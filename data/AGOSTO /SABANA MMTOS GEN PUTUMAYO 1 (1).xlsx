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07.- Mantenimiento/6.- Planificacion mensual de mantenimientos/Costayaco/Sabana de mantenimientos/"/>
    </mc:Choice>
  </mc:AlternateContent>
  <xr:revisionPtr revIDLastSave="2596" documentId="14_{977A75DB-DAB2-4882-B5B9-F0E118B74523}" xr6:coauthVersionLast="47" xr6:coauthVersionMax="47" xr10:uidLastSave="{F06D821D-0CAF-4C80-AEA4-CB63EA1DE794}"/>
  <bookViews>
    <workbookView xWindow="-108" yWindow="-108" windowWidth="23256" windowHeight="13896" activeTab="2" xr2:uid="{DF37D27A-D24C-4520-AAA6-AB81AF2C78DC}"/>
  </bookViews>
  <sheets>
    <sheet name="GENERACIÓN PUTUMAYO" sheetId="1" r:id="rId1"/>
    <sheet name="AUXILIARES Y CELDAS " sheetId="5" r:id="rId2"/>
    <sheet name="WINDROCK Y CARGABILIDAD " sheetId="7" r:id="rId3"/>
  </sheets>
  <definedNames>
    <definedName name="_xlnm._FilterDatabase" localSheetId="1" hidden="1">'AUXILIARES Y CELDAS '!$A$4:$CZ$369</definedName>
    <definedName name="_xlnm._FilterDatabase" localSheetId="0" hidden="1">'GENERACIÓN PUTUMAYO'!$A$3:$BJ$368</definedName>
    <definedName name="_xlnm._FilterDatabase" localSheetId="2" hidden="1">'WINDROCK Y CARGABILIDAD '!$A$3:$BH$368</definedName>
    <definedName name="_xlnm.Print_Area" localSheetId="1">'AUXILIARES Y CELDAS '!$A$1:$CZ$369</definedName>
    <definedName name="_xlnm.Print_Area" localSheetId="0">'GENERACIÓN PUTUMAYO'!$A$1:$BJ$368</definedName>
    <definedName name="_xlnm.Print_Area" localSheetId="2">'WINDROCK Y CARGABILIDAD '!$A$1:$BH$368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4" i="1" l="1"/>
  <c r="D216" i="1"/>
  <c r="D5" i="1"/>
  <c r="D6" i="1"/>
  <c r="D7" i="1"/>
  <c r="D8" i="1"/>
  <c r="D9" i="1"/>
  <c r="D10" i="1"/>
  <c r="D11" i="1"/>
  <c r="D12" i="1"/>
  <c r="D13" i="1"/>
  <c r="D14" i="1"/>
  <c r="BE364" i="1"/>
  <c r="BE306" i="1"/>
  <c r="BE308" i="1"/>
  <c r="BE310" i="1"/>
  <c r="BE311" i="1"/>
  <c r="BE312" i="1"/>
  <c r="BE313" i="1"/>
  <c r="BE314" i="1"/>
  <c r="BE315" i="1"/>
  <c r="BE316" i="1"/>
  <c r="BE317" i="1"/>
  <c r="BE318" i="1"/>
  <c r="BE320" i="1"/>
  <c r="BE321" i="1"/>
  <c r="BE322" i="1"/>
  <c r="BE323" i="1"/>
  <c r="BE325" i="1"/>
  <c r="BE326" i="1"/>
  <c r="BE327" i="1"/>
  <c r="BE328" i="1"/>
  <c r="BE329" i="1"/>
  <c r="BE330" i="1"/>
  <c r="BE331" i="1"/>
  <c r="BE332" i="1"/>
  <c r="BE333" i="1"/>
  <c r="BE335" i="1"/>
  <c r="BE337" i="1"/>
  <c r="BE338" i="1"/>
  <c r="BE340" i="1"/>
  <c r="BE341" i="1"/>
  <c r="BE342" i="1"/>
  <c r="BE343" i="1"/>
  <c r="BE344" i="1"/>
  <c r="BE345" i="1"/>
  <c r="BE346" i="1"/>
  <c r="BE347" i="1"/>
  <c r="BE348" i="1"/>
  <c r="BE350" i="1"/>
  <c r="BE351" i="1"/>
  <c r="BE352" i="1"/>
  <c r="BE353" i="1"/>
  <c r="BE355" i="1"/>
  <c r="BE358" i="1"/>
  <c r="BE359" i="1"/>
  <c r="BE360" i="1"/>
  <c r="BE361" i="1"/>
  <c r="BE362" i="1"/>
  <c r="BE363" i="1"/>
  <c r="BC368" i="7"/>
  <c r="D368" i="7"/>
  <c r="BC367" i="7"/>
  <c r="D367" i="7"/>
  <c r="BC366" i="7"/>
  <c r="D366" i="7"/>
  <c r="BC365" i="7"/>
  <c r="D365" i="7"/>
  <c r="BC364" i="7"/>
  <c r="D364" i="7"/>
  <c r="BC363" i="7"/>
  <c r="D363" i="7"/>
  <c r="BC362" i="7"/>
  <c r="D362" i="7"/>
  <c r="BC361" i="7"/>
  <c r="D361" i="7"/>
  <c r="BC360" i="7"/>
  <c r="D360" i="7"/>
  <c r="BC359" i="7"/>
  <c r="D359" i="7"/>
  <c r="BC358" i="7"/>
  <c r="D358" i="7"/>
  <c r="BC357" i="7"/>
  <c r="D357" i="7"/>
  <c r="BC356" i="7"/>
  <c r="D356" i="7"/>
  <c r="BC355" i="7"/>
  <c r="D355" i="7"/>
  <c r="BC354" i="7"/>
  <c r="D354" i="7"/>
  <c r="BC353" i="7"/>
  <c r="D353" i="7"/>
  <c r="BC352" i="7"/>
  <c r="D352" i="7"/>
  <c r="BC351" i="7"/>
  <c r="D351" i="7"/>
  <c r="BC350" i="7"/>
  <c r="D350" i="7"/>
  <c r="BC349" i="7"/>
  <c r="D349" i="7"/>
  <c r="BC348" i="7"/>
  <c r="D348" i="7"/>
  <c r="BC347" i="7"/>
  <c r="D347" i="7"/>
  <c r="BC346" i="7"/>
  <c r="D346" i="7"/>
  <c r="BC345" i="7"/>
  <c r="D345" i="7"/>
  <c r="BC344" i="7"/>
  <c r="D344" i="7"/>
  <c r="BC343" i="7"/>
  <c r="D343" i="7"/>
  <c r="BC342" i="7"/>
  <c r="D342" i="7"/>
  <c r="BC341" i="7"/>
  <c r="D341" i="7"/>
  <c r="BC340" i="7"/>
  <c r="D340" i="7"/>
  <c r="BC339" i="7"/>
  <c r="D339" i="7"/>
  <c r="BC338" i="7"/>
  <c r="D338" i="7"/>
  <c r="BC337" i="7"/>
  <c r="D337" i="7"/>
  <c r="BC336" i="7"/>
  <c r="D336" i="7"/>
  <c r="BC335" i="7"/>
  <c r="D335" i="7"/>
  <c r="BC334" i="7"/>
  <c r="D334" i="7"/>
  <c r="BC333" i="7"/>
  <c r="D333" i="7"/>
  <c r="BC332" i="7"/>
  <c r="D332" i="7"/>
  <c r="BC331" i="7"/>
  <c r="D331" i="7"/>
  <c r="BC330" i="7"/>
  <c r="D330" i="7"/>
  <c r="BC329" i="7"/>
  <c r="D329" i="7"/>
  <c r="BC328" i="7"/>
  <c r="D328" i="7"/>
  <c r="BC327" i="7"/>
  <c r="D327" i="7"/>
  <c r="BC326" i="7"/>
  <c r="D326" i="7"/>
  <c r="BC325" i="7"/>
  <c r="D325" i="7"/>
  <c r="BC324" i="7"/>
  <c r="D324" i="7"/>
  <c r="BC323" i="7"/>
  <c r="D323" i="7"/>
  <c r="BC322" i="7"/>
  <c r="D322" i="7"/>
  <c r="BC321" i="7"/>
  <c r="D321" i="7"/>
  <c r="BC320" i="7"/>
  <c r="D320" i="7"/>
  <c r="BC319" i="7"/>
  <c r="D319" i="7"/>
  <c r="BC318" i="7"/>
  <c r="D318" i="7"/>
  <c r="BC317" i="7"/>
  <c r="D317" i="7"/>
  <c r="BC316" i="7"/>
  <c r="D316" i="7"/>
  <c r="BC315" i="7"/>
  <c r="D315" i="7"/>
  <c r="BC314" i="7"/>
  <c r="D314" i="7"/>
  <c r="BC313" i="7"/>
  <c r="D313" i="7"/>
  <c r="BC312" i="7"/>
  <c r="D312" i="7"/>
  <c r="BC311" i="7"/>
  <c r="D311" i="7"/>
  <c r="BC310" i="7"/>
  <c r="D310" i="7"/>
  <c r="BC309" i="7"/>
  <c r="D309" i="7"/>
  <c r="BC308" i="7"/>
  <c r="D308" i="7"/>
  <c r="BC307" i="7"/>
  <c r="D307" i="7"/>
  <c r="BC306" i="7"/>
  <c r="D306" i="7"/>
  <c r="BC305" i="7"/>
  <c r="D305" i="7"/>
  <c r="BC304" i="7"/>
  <c r="D304" i="7"/>
  <c r="BC303" i="7"/>
  <c r="D303" i="7"/>
  <c r="BC302" i="7"/>
  <c r="D302" i="7"/>
  <c r="BC301" i="7"/>
  <c r="D301" i="7"/>
  <c r="BC300" i="7"/>
  <c r="D300" i="7"/>
  <c r="BC299" i="7"/>
  <c r="D299" i="7"/>
  <c r="BC298" i="7"/>
  <c r="D298" i="7"/>
  <c r="BC297" i="7"/>
  <c r="D297" i="7"/>
  <c r="BC296" i="7"/>
  <c r="D296" i="7"/>
  <c r="BC295" i="7"/>
  <c r="D295" i="7"/>
  <c r="BC294" i="7"/>
  <c r="D294" i="7"/>
  <c r="BC293" i="7"/>
  <c r="D293" i="7"/>
  <c r="BC292" i="7"/>
  <c r="D292" i="7"/>
  <c r="BC291" i="7"/>
  <c r="D291" i="7"/>
  <c r="BC290" i="7"/>
  <c r="D290" i="7"/>
  <c r="BC289" i="7"/>
  <c r="D289" i="7"/>
  <c r="BC288" i="7"/>
  <c r="D288" i="7"/>
  <c r="BC287" i="7"/>
  <c r="D287" i="7"/>
  <c r="BC286" i="7"/>
  <c r="D286" i="7"/>
  <c r="BC285" i="7"/>
  <c r="D285" i="7"/>
  <c r="BC284" i="7"/>
  <c r="D284" i="7"/>
  <c r="BC283" i="7"/>
  <c r="D283" i="7"/>
  <c r="BC282" i="7"/>
  <c r="D282" i="7"/>
  <c r="BC281" i="7"/>
  <c r="D281" i="7"/>
  <c r="BC280" i="7"/>
  <c r="D280" i="7"/>
  <c r="BC279" i="7"/>
  <c r="D279" i="7"/>
  <c r="BC278" i="7"/>
  <c r="D278" i="7"/>
  <c r="BC277" i="7"/>
  <c r="D277" i="7"/>
  <c r="BC276" i="7"/>
  <c r="D276" i="7"/>
  <c r="BC275" i="7"/>
  <c r="D275" i="7"/>
  <c r="BC274" i="7"/>
  <c r="D274" i="7"/>
  <c r="BC273" i="7"/>
  <c r="D273" i="7"/>
  <c r="BC272" i="7"/>
  <c r="D272" i="7"/>
  <c r="BC271" i="7"/>
  <c r="D271" i="7"/>
  <c r="BC270" i="7"/>
  <c r="D270" i="7"/>
  <c r="BC269" i="7"/>
  <c r="D269" i="7"/>
  <c r="BC268" i="7"/>
  <c r="D268" i="7"/>
  <c r="BC267" i="7"/>
  <c r="D267" i="7"/>
  <c r="BC266" i="7"/>
  <c r="D266" i="7"/>
  <c r="BC265" i="7"/>
  <c r="D265" i="7"/>
  <c r="BC264" i="7"/>
  <c r="D264" i="7"/>
  <c r="BC263" i="7"/>
  <c r="D263" i="7"/>
  <c r="BC262" i="7"/>
  <c r="D262" i="7"/>
  <c r="BC261" i="7"/>
  <c r="D261" i="7"/>
  <c r="BC260" i="7"/>
  <c r="D260" i="7"/>
  <c r="BC259" i="7"/>
  <c r="D259" i="7"/>
  <c r="BC258" i="7"/>
  <c r="D258" i="7"/>
  <c r="BC257" i="7"/>
  <c r="D257" i="7"/>
  <c r="BC256" i="7"/>
  <c r="D256" i="7"/>
  <c r="BC255" i="7"/>
  <c r="D255" i="7"/>
  <c r="BC254" i="7"/>
  <c r="D254" i="7"/>
  <c r="BC253" i="7"/>
  <c r="D253" i="7"/>
  <c r="BC252" i="7"/>
  <c r="D252" i="7"/>
  <c r="BC251" i="7"/>
  <c r="D251" i="7"/>
  <c r="BC250" i="7"/>
  <c r="D250" i="7"/>
  <c r="BC249" i="7"/>
  <c r="D249" i="7"/>
  <c r="BC248" i="7"/>
  <c r="D248" i="7"/>
  <c r="BC247" i="7"/>
  <c r="D247" i="7"/>
  <c r="BC246" i="7"/>
  <c r="D246" i="7"/>
  <c r="BC245" i="7"/>
  <c r="D245" i="7"/>
  <c r="BC244" i="7"/>
  <c r="D244" i="7"/>
  <c r="BC243" i="7"/>
  <c r="D243" i="7"/>
  <c r="BC242" i="7"/>
  <c r="D242" i="7"/>
  <c r="BC241" i="7"/>
  <c r="D241" i="7"/>
  <c r="BC240" i="7"/>
  <c r="D240" i="7"/>
  <c r="BC239" i="7"/>
  <c r="D239" i="7"/>
  <c r="BC238" i="7"/>
  <c r="D238" i="7"/>
  <c r="BC237" i="7"/>
  <c r="D237" i="7"/>
  <c r="BC236" i="7"/>
  <c r="D236" i="7"/>
  <c r="BC235" i="7"/>
  <c r="D235" i="7"/>
  <c r="BC234" i="7"/>
  <c r="D234" i="7"/>
  <c r="BC233" i="7"/>
  <c r="D233" i="7"/>
  <c r="BC232" i="7"/>
  <c r="D232" i="7"/>
  <c r="BC231" i="7"/>
  <c r="D231" i="7"/>
  <c r="BC230" i="7"/>
  <c r="D230" i="7"/>
  <c r="BC229" i="7"/>
  <c r="D229" i="7"/>
  <c r="BC228" i="7"/>
  <c r="D228" i="7"/>
  <c r="BC227" i="7"/>
  <c r="D227" i="7"/>
  <c r="BC226" i="7"/>
  <c r="D226" i="7"/>
  <c r="BC225" i="7"/>
  <c r="D225" i="7"/>
  <c r="BC224" i="7"/>
  <c r="D224" i="7"/>
  <c r="BC223" i="7"/>
  <c r="D223" i="7"/>
  <c r="BC222" i="7"/>
  <c r="D222" i="7"/>
  <c r="BC221" i="7"/>
  <c r="D221" i="7"/>
  <c r="BC220" i="7"/>
  <c r="D220" i="7"/>
  <c r="BC219" i="7"/>
  <c r="D219" i="7"/>
  <c r="BC218" i="7"/>
  <c r="D218" i="7"/>
  <c r="BC217" i="7"/>
  <c r="D217" i="7"/>
  <c r="BC216" i="7"/>
  <c r="D216" i="7"/>
  <c r="BC215" i="7"/>
  <c r="D215" i="7"/>
  <c r="BC214" i="7"/>
  <c r="D214" i="7"/>
  <c r="BC213" i="7"/>
  <c r="D213" i="7"/>
  <c r="BC212" i="7"/>
  <c r="D212" i="7"/>
  <c r="BC211" i="7"/>
  <c r="D211" i="7"/>
  <c r="BC210" i="7"/>
  <c r="D210" i="7"/>
  <c r="BC209" i="7"/>
  <c r="D209" i="7"/>
  <c r="BC208" i="7"/>
  <c r="D208" i="7"/>
  <c r="BC207" i="7"/>
  <c r="D207" i="7"/>
  <c r="BC206" i="7"/>
  <c r="D206" i="7"/>
  <c r="BC205" i="7"/>
  <c r="D205" i="7"/>
  <c r="BC204" i="7"/>
  <c r="D204" i="7"/>
  <c r="BC203" i="7"/>
  <c r="D203" i="7"/>
  <c r="BC202" i="7"/>
  <c r="D202" i="7"/>
  <c r="BC201" i="7"/>
  <c r="D201" i="7"/>
  <c r="BC200" i="7"/>
  <c r="D200" i="7"/>
  <c r="BC199" i="7"/>
  <c r="D199" i="7"/>
  <c r="BC198" i="7"/>
  <c r="D198" i="7"/>
  <c r="BC197" i="7"/>
  <c r="D197" i="7"/>
  <c r="BC196" i="7"/>
  <c r="D196" i="7"/>
  <c r="BC195" i="7"/>
  <c r="D195" i="7"/>
  <c r="BC194" i="7"/>
  <c r="D194" i="7"/>
  <c r="BC193" i="7"/>
  <c r="D193" i="7"/>
  <c r="BC192" i="7"/>
  <c r="D192" i="7"/>
  <c r="BC191" i="7"/>
  <c r="D191" i="7"/>
  <c r="BC190" i="7"/>
  <c r="D190" i="7"/>
  <c r="BC189" i="7"/>
  <c r="D189" i="7"/>
  <c r="BC188" i="7"/>
  <c r="D188" i="7"/>
  <c r="BC187" i="7"/>
  <c r="D187" i="7"/>
  <c r="BC186" i="7"/>
  <c r="D186" i="7"/>
  <c r="BC185" i="7"/>
  <c r="D185" i="7"/>
  <c r="BC184" i="7"/>
  <c r="D184" i="7"/>
  <c r="BC183" i="7"/>
  <c r="D183" i="7"/>
  <c r="BC182" i="7"/>
  <c r="D182" i="7"/>
  <c r="BC181" i="7"/>
  <c r="D181" i="7"/>
  <c r="BC180" i="7"/>
  <c r="D180" i="7"/>
  <c r="BC179" i="7"/>
  <c r="D179" i="7"/>
  <c r="BC178" i="7"/>
  <c r="D178" i="7"/>
  <c r="BC177" i="7"/>
  <c r="D177" i="7"/>
  <c r="BC176" i="7"/>
  <c r="D176" i="7"/>
  <c r="BC175" i="7"/>
  <c r="D175" i="7"/>
  <c r="BC174" i="7"/>
  <c r="D174" i="7"/>
  <c r="BC173" i="7"/>
  <c r="D173" i="7"/>
  <c r="BC172" i="7"/>
  <c r="D172" i="7"/>
  <c r="BC171" i="7"/>
  <c r="D171" i="7"/>
  <c r="BC170" i="7"/>
  <c r="D170" i="7"/>
  <c r="BC169" i="7"/>
  <c r="D169" i="7"/>
  <c r="BC168" i="7"/>
  <c r="D168" i="7"/>
  <c r="BC167" i="7"/>
  <c r="D167" i="7"/>
  <c r="BC166" i="7"/>
  <c r="D166" i="7"/>
  <c r="BC165" i="7"/>
  <c r="D165" i="7"/>
  <c r="BC164" i="7"/>
  <c r="D164" i="7"/>
  <c r="BC163" i="7"/>
  <c r="D163" i="7"/>
  <c r="BC162" i="7"/>
  <c r="D162" i="7"/>
  <c r="BC161" i="7"/>
  <c r="D161" i="7"/>
  <c r="BC160" i="7"/>
  <c r="D160" i="7"/>
  <c r="BC159" i="7"/>
  <c r="D159" i="7"/>
  <c r="BC158" i="7"/>
  <c r="D158" i="7"/>
  <c r="BC157" i="7"/>
  <c r="D157" i="7"/>
  <c r="BC156" i="7"/>
  <c r="D156" i="7"/>
  <c r="BC155" i="7"/>
  <c r="D155" i="7"/>
  <c r="BC154" i="7"/>
  <c r="D154" i="7"/>
  <c r="BC153" i="7"/>
  <c r="D153" i="7"/>
  <c r="BC152" i="7"/>
  <c r="D152" i="7"/>
  <c r="BC151" i="7"/>
  <c r="D151" i="7"/>
  <c r="BC150" i="7"/>
  <c r="D150" i="7"/>
  <c r="BC149" i="7"/>
  <c r="D149" i="7"/>
  <c r="BC148" i="7"/>
  <c r="D148" i="7"/>
  <c r="BC147" i="7"/>
  <c r="D147" i="7"/>
  <c r="BC146" i="7"/>
  <c r="D146" i="7"/>
  <c r="BC145" i="7"/>
  <c r="D145" i="7"/>
  <c r="BC144" i="7"/>
  <c r="D144" i="7"/>
  <c r="BC143" i="7"/>
  <c r="D143" i="7"/>
  <c r="BC142" i="7"/>
  <c r="D142" i="7"/>
  <c r="BC141" i="7"/>
  <c r="D141" i="7"/>
  <c r="BC140" i="7"/>
  <c r="D140" i="7"/>
  <c r="BC139" i="7"/>
  <c r="D139" i="7"/>
  <c r="BC138" i="7"/>
  <c r="D138" i="7"/>
  <c r="BC137" i="7"/>
  <c r="D137" i="7"/>
  <c r="BC136" i="7"/>
  <c r="D136" i="7"/>
  <c r="BC135" i="7"/>
  <c r="D135" i="7"/>
  <c r="BC134" i="7"/>
  <c r="D134" i="7"/>
  <c r="BC133" i="7"/>
  <c r="D133" i="7"/>
  <c r="BC132" i="7"/>
  <c r="D132" i="7"/>
  <c r="BC131" i="7"/>
  <c r="D131" i="7"/>
  <c r="BC130" i="7"/>
  <c r="D130" i="7"/>
  <c r="BG129" i="7"/>
  <c r="BC129" i="7"/>
  <c r="D129" i="7"/>
  <c r="BC128" i="7"/>
  <c r="D128" i="7"/>
  <c r="BC127" i="7"/>
  <c r="D127" i="7"/>
  <c r="BC126" i="7"/>
  <c r="D126" i="7"/>
  <c r="BC125" i="7"/>
  <c r="D125" i="7"/>
  <c r="BC124" i="7"/>
  <c r="D124" i="7"/>
  <c r="BC123" i="7"/>
  <c r="D123" i="7"/>
  <c r="BC122" i="7"/>
  <c r="D122" i="7"/>
  <c r="BC121" i="7"/>
  <c r="D121" i="7"/>
  <c r="BC120" i="7"/>
  <c r="D120" i="7"/>
  <c r="BC119" i="7"/>
  <c r="D119" i="7"/>
  <c r="BC118" i="7"/>
  <c r="D118" i="7"/>
  <c r="BC117" i="7"/>
  <c r="D117" i="7"/>
  <c r="BC116" i="7"/>
  <c r="D116" i="7"/>
  <c r="BC115" i="7"/>
  <c r="D115" i="7"/>
  <c r="BC114" i="7"/>
  <c r="D114" i="7"/>
  <c r="BC113" i="7"/>
  <c r="D113" i="7"/>
  <c r="BC112" i="7"/>
  <c r="D112" i="7"/>
  <c r="BC111" i="7"/>
  <c r="D111" i="7"/>
  <c r="BC110" i="7"/>
  <c r="D110" i="7"/>
  <c r="BC109" i="7"/>
  <c r="D109" i="7"/>
  <c r="BC108" i="7"/>
  <c r="D108" i="7"/>
  <c r="BC107" i="7"/>
  <c r="D107" i="7"/>
  <c r="BC106" i="7"/>
  <c r="D106" i="7"/>
  <c r="BC105" i="7"/>
  <c r="D105" i="7"/>
  <c r="BC104" i="7"/>
  <c r="D104" i="7"/>
  <c r="BC103" i="7"/>
  <c r="D103" i="7"/>
  <c r="BC102" i="7"/>
  <c r="D102" i="7"/>
  <c r="BC101" i="7"/>
  <c r="D101" i="7"/>
  <c r="BC100" i="7"/>
  <c r="D100" i="7"/>
  <c r="BG99" i="7"/>
  <c r="BC99" i="7"/>
  <c r="D99" i="7"/>
  <c r="BC98" i="7"/>
  <c r="D98" i="7"/>
  <c r="BC97" i="7"/>
  <c r="D97" i="7"/>
  <c r="BC96" i="7"/>
  <c r="D96" i="7"/>
  <c r="BC95" i="7"/>
  <c r="D95" i="7"/>
  <c r="BC94" i="7"/>
  <c r="D94" i="7"/>
  <c r="BC93" i="7"/>
  <c r="D93" i="7"/>
  <c r="BC92" i="7"/>
  <c r="D92" i="7"/>
  <c r="BC91" i="7"/>
  <c r="D91" i="7"/>
  <c r="BC90" i="7"/>
  <c r="D90" i="7"/>
  <c r="BC89" i="7"/>
  <c r="D89" i="7"/>
  <c r="BC88" i="7"/>
  <c r="D88" i="7"/>
  <c r="BC87" i="7"/>
  <c r="D87" i="7"/>
  <c r="BC86" i="7"/>
  <c r="D86" i="7"/>
  <c r="BC85" i="7"/>
  <c r="D85" i="7"/>
  <c r="BG84" i="7"/>
  <c r="BC84" i="7"/>
  <c r="D84" i="7"/>
  <c r="BC83" i="7"/>
  <c r="D83" i="7"/>
  <c r="BC82" i="7"/>
  <c r="D82" i="7"/>
  <c r="BC81" i="7"/>
  <c r="D81" i="7"/>
  <c r="BC80" i="7"/>
  <c r="D80" i="7"/>
  <c r="BC79" i="7"/>
  <c r="D79" i="7"/>
  <c r="BC78" i="7"/>
  <c r="D78" i="7"/>
  <c r="BC77" i="7"/>
  <c r="D77" i="7"/>
  <c r="BC76" i="7"/>
  <c r="D76" i="7"/>
  <c r="BC75" i="7"/>
  <c r="D75" i="7"/>
  <c r="BC74" i="7"/>
  <c r="D74" i="7"/>
  <c r="BC73" i="7"/>
  <c r="D73" i="7"/>
  <c r="BC72" i="7"/>
  <c r="D72" i="7"/>
  <c r="BC71" i="7"/>
  <c r="D71" i="7"/>
  <c r="BC70" i="7"/>
  <c r="D70" i="7"/>
  <c r="BG69" i="7"/>
  <c r="BC69" i="7"/>
  <c r="D69" i="7"/>
  <c r="BC68" i="7"/>
  <c r="D68" i="7"/>
  <c r="BC67" i="7"/>
  <c r="D67" i="7"/>
  <c r="BC66" i="7"/>
  <c r="D66" i="7"/>
  <c r="BC65" i="7"/>
  <c r="D65" i="7"/>
  <c r="BC64" i="7"/>
  <c r="D64" i="7"/>
  <c r="BC63" i="7"/>
  <c r="D63" i="7"/>
  <c r="BC62" i="7"/>
  <c r="D62" i="7"/>
  <c r="BC61" i="7"/>
  <c r="D61" i="7"/>
  <c r="BC60" i="7"/>
  <c r="D60" i="7"/>
  <c r="BC59" i="7"/>
  <c r="D59" i="7"/>
  <c r="BC58" i="7"/>
  <c r="D58" i="7"/>
  <c r="BC57" i="7"/>
  <c r="D57" i="7"/>
  <c r="BC56" i="7"/>
  <c r="D56" i="7"/>
  <c r="BC55" i="7"/>
  <c r="D55" i="7"/>
  <c r="BG54" i="7"/>
  <c r="BC54" i="7"/>
  <c r="D54" i="7"/>
  <c r="BC53" i="7"/>
  <c r="D53" i="7"/>
  <c r="BC52" i="7"/>
  <c r="D52" i="7"/>
  <c r="BC51" i="7"/>
  <c r="D51" i="7"/>
  <c r="BC50" i="7"/>
  <c r="D50" i="7"/>
  <c r="BC49" i="7"/>
  <c r="D49" i="7"/>
  <c r="BC48" i="7"/>
  <c r="D48" i="7"/>
  <c r="BC47" i="7"/>
  <c r="D47" i="7"/>
  <c r="BC46" i="7"/>
  <c r="D46" i="7"/>
  <c r="BC45" i="7"/>
  <c r="D45" i="7"/>
  <c r="BC44" i="7"/>
  <c r="D44" i="7"/>
  <c r="BC43" i="7"/>
  <c r="D43" i="7"/>
  <c r="BC42" i="7"/>
  <c r="D42" i="7"/>
  <c r="BC41" i="7"/>
  <c r="D41" i="7"/>
  <c r="BC40" i="7"/>
  <c r="D40" i="7"/>
  <c r="BG39" i="7"/>
  <c r="BC39" i="7"/>
  <c r="D39" i="7"/>
  <c r="BC38" i="7"/>
  <c r="D38" i="7"/>
  <c r="BC37" i="7"/>
  <c r="D37" i="7"/>
  <c r="BC36" i="7"/>
  <c r="D36" i="7"/>
  <c r="BC35" i="7"/>
  <c r="D35" i="7"/>
  <c r="AY6" i="7" s="1"/>
  <c r="D34" i="7"/>
  <c r="BC33" i="7"/>
  <c r="D33" i="7"/>
  <c r="BC32" i="7"/>
  <c r="D32" i="7"/>
  <c r="BC31" i="7"/>
  <c r="D31" i="7"/>
  <c r="BC30" i="7"/>
  <c r="D30" i="7"/>
  <c r="BC29" i="7"/>
  <c r="D29" i="7"/>
  <c r="BC28" i="7"/>
  <c r="D28" i="7"/>
  <c r="BC27" i="7"/>
  <c r="D27" i="7"/>
  <c r="BA26" i="7"/>
  <c r="AY26" i="7"/>
  <c r="BC26" i="7"/>
  <c r="D26" i="7"/>
  <c r="BC25" i="7"/>
  <c r="D25" i="7"/>
  <c r="BG24" i="7"/>
  <c r="BA24" i="7"/>
  <c r="AY24" i="7"/>
  <c r="BC24" i="7"/>
  <c r="D24" i="7"/>
  <c r="BC23" i="7"/>
  <c r="D23" i="7"/>
  <c r="BC22" i="7"/>
  <c r="D22" i="7"/>
  <c r="BC21" i="7"/>
  <c r="D21" i="7"/>
  <c r="BA20" i="7"/>
  <c r="AY20" i="7"/>
  <c r="BC20" i="7"/>
  <c r="D20" i="7"/>
  <c r="BC19" i="7"/>
  <c r="D19" i="7"/>
  <c r="BA18" i="7"/>
  <c r="AY18" i="7"/>
  <c r="BC18" i="7"/>
  <c r="D18" i="7"/>
  <c r="BC17" i="7"/>
  <c r="D17" i="7"/>
  <c r="BA16" i="7"/>
  <c r="AY16" i="7"/>
  <c r="BC16" i="7"/>
  <c r="D16" i="7"/>
  <c r="BC15" i="7"/>
  <c r="D15" i="7"/>
  <c r="BA14" i="7"/>
  <c r="AY14" i="7"/>
  <c r="BC14" i="7"/>
  <c r="D14" i="7"/>
  <c r="BC13" i="7"/>
  <c r="D13" i="7"/>
  <c r="BA12" i="7"/>
  <c r="AY12" i="7"/>
  <c r="BC12" i="7"/>
  <c r="D12" i="7"/>
  <c r="BC11" i="7"/>
  <c r="D11" i="7"/>
  <c r="BA10" i="7"/>
  <c r="AY10" i="7"/>
  <c r="BC10" i="7"/>
  <c r="D10" i="7"/>
  <c r="BG9" i="7"/>
  <c r="BC9" i="7"/>
  <c r="D9" i="7"/>
  <c r="BA8" i="7"/>
  <c r="AY8" i="7"/>
  <c r="BC8" i="7"/>
  <c r="D8" i="7"/>
  <c r="BC7" i="7"/>
  <c r="D7" i="7"/>
  <c r="BA6" i="7"/>
  <c r="BC6" i="7"/>
  <c r="D6" i="7"/>
  <c r="BC5" i="7"/>
  <c r="D5" i="7"/>
  <c r="BA4" i="7"/>
  <c r="AY4" i="7"/>
  <c r="BC4" i="7"/>
  <c r="D4" i="7"/>
  <c r="BM4" i="5"/>
  <c r="BK4" i="5"/>
  <c r="BI4" i="5"/>
  <c r="BG4" i="5"/>
  <c r="CA4" i="5"/>
  <c r="BE4" i="5"/>
  <c r="BC4" i="5"/>
  <c r="BA4" i="5"/>
  <c r="AY4" i="5"/>
  <c r="AW4" i="5"/>
  <c r="K324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CU309" i="5" s="1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2" i="5"/>
  <c r="G281" i="5"/>
  <c r="G280" i="5"/>
  <c r="G279" i="5"/>
  <c r="G278" i="5"/>
  <c r="CU278" i="5" s="1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CU248" i="5" s="1"/>
  <c r="G247" i="5"/>
  <c r="G246" i="5"/>
  <c r="G245" i="5"/>
  <c r="G244" i="5"/>
  <c r="G243" i="5"/>
  <c r="G242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K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E359" i="5"/>
  <c r="CU359" i="5" s="1"/>
  <c r="E358" i="5"/>
  <c r="CU358" i="5" s="1"/>
  <c r="E357" i="5"/>
  <c r="CU357" i="5" s="1"/>
  <c r="E356" i="5"/>
  <c r="CU356" i="5" s="1"/>
  <c r="E355" i="5"/>
  <c r="CU355" i="5" s="1"/>
  <c r="E354" i="5"/>
  <c r="E353" i="5"/>
  <c r="E352" i="5"/>
  <c r="CU352" i="5" s="1"/>
  <c r="E351" i="5"/>
  <c r="E350" i="5"/>
  <c r="CU350" i="5" s="1"/>
  <c r="E349" i="5"/>
  <c r="CU349" i="5" s="1"/>
  <c r="E348" i="5"/>
  <c r="CU348" i="5" s="1"/>
  <c r="E347" i="5"/>
  <c r="CU347" i="5" s="1"/>
  <c r="E346" i="5"/>
  <c r="CU346" i="5" s="1"/>
  <c r="E345" i="5"/>
  <c r="CU345" i="5" s="1"/>
  <c r="E344" i="5"/>
  <c r="CU344" i="5" s="1"/>
  <c r="E343" i="5"/>
  <c r="CU343" i="5" s="1"/>
  <c r="E342" i="5"/>
  <c r="CU342" i="5" s="1"/>
  <c r="E341" i="5"/>
  <c r="CU341" i="5" s="1"/>
  <c r="E340" i="5"/>
  <c r="CU340" i="5" s="1"/>
  <c r="CU339" i="5"/>
  <c r="E338" i="5"/>
  <c r="CU338" i="5" s="1"/>
  <c r="E337" i="5"/>
  <c r="E336" i="5"/>
  <c r="CU336" i="5" s="1"/>
  <c r="E335" i="5"/>
  <c r="CU335" i="5" s="1"/>
  <c r="E334" i="5"/>
  <c r="CU334" i="5" s="1"/>
  <c r="E333" i="5"/>
  <c r="CU333" i="5" s="1"/>
  <c r="E332" i="5"/>
  <c r="CU332" i="5" s="1"/>
  <c r="E331" i="5"/>
  <c r="CU331" i="5" s="1"/>
  <c r="E330" i="5"/>
  <c r="E329" i="5"/>
  <c r="E328" i="5"/>
  <c r="E327" i="5"/>
  <c r="E326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2" i="5"/>
  <c r="E281" i="5"/>
  <c r="E280" i="5"/>
  <c r="E279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7" i="5"/>
  <c r="E246" i="5"/>
  <c r="E245" i="5"/>
  <c r="E244" i="5"/>
  <c r="E243" i="5"/>
  <c r="E242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CU217" i="5"/>
  <c r="CU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CU156" i="5"/>
  <c r="CU125" i="5"/>
  <c r="CU9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CU5" i="5"/>
  <c r="AU4" i="5"/>
  <c r="AS4" i="5"/>
  <c r="AQ4" i="5"/>
  <c r="AO4" i="5"/>
  <c r="AM4" i="5"/>
  <c r="AK4" i="5"/>
  <c r="AI4" i="5"/>
  <c r="AG4" i="5"/>
  <c r="AE4" i="5"/>
  <c r="AC4" i="5"/>
  <c r="AA4" i="5"/>
  <c r="Y4" i="5"/>
  <c r="W4" i="5"/>
  <c r="U4" i="5"/>
  <c r="S4" i="5"/>
  <c r="Q4" i="5"/>
  <c r="O4" i="5"/>
  <c r="M4" i="5"/>
  <c r="E4" i="5"/>
  <c r="G4" i="5"/>
  <c r="I4" i="5"/>
  <c r="K4" i="5"/>
  <c r="CU369" i="5"/>
  <c r="D369" i="5"/>
  <c r="CU368" i="5"/>
  <c r="D368" i="5"/>
  <c r="CU367" i="5"/>
  <c r="D367" i="5"/>
  <c r="CU366" i="5"/>
  <c r="D366" i="5"/>
  <c r="CU365" i="5"/>
  <c r="D365" i="5"/>
  <c r="CU364" i="5"/>
  <c r="D364" i="5"/>
  <c r="CU363" i="5"/>
  <c r="D363" i="5"/>
  <c r="CU362" i="5"/>
  <c r="D362" i="5"/>
  <c r="CU361" i="5"/>
  <c r="D361" i="5"/>
  <c r="CU360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CU337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CU325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CU284" i="5"/>
  <c r="D284" i="5"/>
  <c r="CU283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CU241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CU199" i="5"/>
  <c r="D199" i="5"/>
  <c r="D198" i="5"/>
  <c r="D197" i="5"/>
  <c r="D196" i="5"/>
  <c r="D195" i="5"/>
  <c r="D194" i="5"/>
  <c r="CU193" i="5"/>
  <c r="D193" i="5"/>
  <c r="CU192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CU157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CY130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CU115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CY100" i="5"/>
  <c r="D100" i="5"/>
  <c r="D99" i="5"/>
  <c r="D98" i="5"/>
  <c r="D97" i="5"/>
  <c r="D96" i="5"/>
  <c r="D95" i="5"/>
  <c r="D94" i="5"/>
  <c r="D93" i="5"/>
  <c r="CU92" i="5"/>
  <c r="D92" i="5"/>
  <c r="CU91" i="5"/>
  <c r="D91" i="5"/>
  <c r="CU90" i="5"/>
  <c r="D90" i="5"/>
  <c r="CU89" i="5"/>
  <c r="D89" i="5"/>
  <c r="CU88" i="5"/>
  <c r="D88" i="5"/>
  <c r="CU87" i="5"/>
  <c r="D87" i="5"/>
  <c r="CU86" i="5"/>
  <c r="D86" i="5"/>
  <c r="CY85" i="5"/>
  <c r="CU85" i="5"/>
  <c r="D85" i="5"/>
  <c r="CU84" i="5"/>
  <c r="D84" i="5"/>
  <c r="CU83" i="5"/>
  <c r="D83" i="5"/>
  <c r="CU82" i="5"/>
  <c r="D82" i="5"/>
  <c r="CU81" i="5"/>
  <c r="D81" i="5"/>
  <c r="CU80" i="5"/>
  <c r="D80" i="5"/>
  <c r="CU79" i="5"/>
  <c r="D79" i="5"/>
  <c r="CU78" i="5"/>
  <c r="D78" i="5"/>
  <c r="CU77" i="5"/>
  <c r="D77" i="5"/>
  <c r="CU76" i="5"/>
  <c r="D76" i="5"/>
  <c r="CU75" i="5"/>
  <c r="D75" i="5"/>
  <c r="CU74" i="5"/>
  <c r="D74" i="5"/>
  <c r="CU73" i="5"/>
  <c r="D73" i="5"/>
  <c r="CU72" i="5"/>
  <c r="D72" i="5"/>
  <c r="CU71" i="5"/>
  <c r="D71" i="5"/>
  <c r="CY70" i="5"/>
  <c r="CU70" i="5"/>
  <c r="D70" i="5"/>
  <c r="CU69" i="5"/>
  <c r="D69" i="5"/>
  <c r="CU68" i="5"/>
  <c r="D68" i="5"/>
  <c r="CU67" i="5"/>
  <c r="D67" i="5"/>
  <c r="CU66" i="5"/>
  <c r="D66" i="5"/>
  <c r="CU65" i="5"/>
  <c r="D65" i="5"/>
  <c r="CU64" i="5"/>
  <c r="D64" i="5"/>
  <c r="CU63" i="5"/>
  <c r="D63" i="5"/>
  <c r="CU62" i="5"/>
  <c r="D62" i="5"/>
  <c r="CU61" i="5"/>
  <c r="D61" i="5"/>
  <c r="CU60" i="5"/>
  <c r="D60" i="5"/>
  <c r="CU59" i="5"/>
  <c r="D59" i="5"/>
  <c r="CU58" i="5"/>
  <c r="D58" i="5"/>
  <c r="CU57" i="5"/>
  <c r="D57" i="5"/>
  <c r="CU56" i="5"/>
  <c r="D56" i="5"/>
  <c r="CY55" i="5"/>
  <c r="CU55" i="5"/>
  <c r="D55" i="5"/>
  <c r="CU54" i="5"/>
  <c r="D54" i="5"/>
  <c r="CU53" i="5"/>
  <c r="D53" i="5"/>
  <c r="CU52" i="5"/>
  <c r="D52" i="5"/>
  <c r="CU51" i="5"/>
  <c r="D51" i="5"/>
  <c r="CU50" i="5"/>
  <c r="D50" i="5"/>
  <c r="CU49" i="5"/>
  <c r="D49" i="5"/>
  <c r="CU48" i="5"/>
  <c r="D48" i="5"/>
  <c r="CU47" i="5"/>
  <c r="D47" i="5"/>
  <c r="CU46" i="5"/>
  <c r="D46" i="5"/>
  <c r="CU45" i="5"/>
  <c r="D45" i="5"/>
  <c r="CU44" i="5"/>
  <c r="D44" i="5"/>
  <c r="CU43" i="5"/>
  <c r="D43" i="5"/>
  <c r="CU42" i="5"/>
  <c r="D42" i="5"/>
  <c r="CU41" i="5"/>
  <c r="D41" i="5"/>
  <c r="CY40" i="5"/>
  <c r="CU40" i="5"/>
  <c r="D40" i="5"/>
  <c r="CU39" i="5"/>
  <c r="D39" i="5"/>
  <c r="CU38" i="5"/>
  <c r="D38" i="5"/>
  <c r="CU37" i="5"/>
  <c r="D37" i="5"/>
  <c r="CU36" i="5"/>
  <c r="D36" i="5"/>
  <c r="D35" i="5"/>
  <c r="CU34" i="5"/>
  <c r="D34" i="5"/>
  <c r="CU33" i="5"/>
  <c r="D33" i="5"/>
  <c r="CU32" i="5"/>
  <c r="D32" i="5"/>
  <c r="CU31" i="5"/>
  <c r="D31" i="5"/>
  <c r="D30" i="5"/>
  <c r="D29" i="5"/>
  <c r="D28" i="5"/>
  <c r="D27" i="5"/>
  <c r="D26" i="5"/>
  <c r="CY25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CY10" i="5"/>
  <c r="D10" i="5"/>
  <c r="D9" i="5"/>
  <c r="D8" i="5"/>
  <c r="D7" i="5"/>
  <c r="D6" i="5"/>
  <c r="D5" i="5"/>
  <c r="E193" i="1"/>
  <c r="BI129" i="1"/>
  <c r="BI99" i="1"/>
  <c r="BI84" i="1"/>
  <c r="BI69" i="1"/>
  <c r="BI54" i="1"/>
  <c r="BI39" i="1"/>
  <c r="BI24" i="1"/>
  <c r="BI9" i="1"/>
  <c r="Y222" i="1"/>
  <c r="Y221" i="1"/>
  <c r="Y220" i="1"/>
  <c r="Y219" i="1"/>
  <c r="Y217" i="1"/>
  <c r="Y216" i="1"/>
  <c r="Y215" i="1"/>
  <c r="Y207" i="1"/>
  <c r="Y206" i="1"/>
  <c r="Y205" i="1"/>
  <c r="Y204" i="1"/>
  <c r="Y203" i="1"/>
  <c r="Y202" i="1"/>
  <c r="Y201" i="1"/>
  <c r="Y200" i="1"/>
  <c r="Y192" i="1"/>
  <c r="Y191" i="1"/>
  <c r="Y190" i="1"/>
  <c r="Y189" i="1"/>
  <c r="Y188" i="1"/>
  <c r="Y187" i="1"/>
  <c r="Y186" i="1"/>
  <c r="Y185" i="1"/>
  <c r="Y177" i="1"/>
  <c r="Y176" i="1"/>
  <c r="Y175" i="1"/>
  <c r="Y174" i="1"/>
  <c r="Y173" i="1"/>
  <c r="Y172" i="1"/>
  <c r="Y171" i="1"/>
  <c r="Y170" i="1"/>
  <c r="Y162" i="1"/>
  <c r="Y161" i="1"/>
  <c r="Y160" i="1"/>
  <c r="Y159" i="1"/>
  <c r="Y158" i="1"/>
  <c r="Y157" i="1"/>
  <c r="Y156" i="1"/>
  <c r="Y155" i="1"/>
  <c r="Y147" i="1"/>
  <c r="Y146" i="1"/>
  <c r="Y145" i="1"/>
  <c r="Y144" i="1"/>
  <c r="Y143" i="1"/>
  <c r="Y142" i="1"/>
  <c r="Y141" i="1"/>
  <c r="Y140" i="1"/>
  <c r="Y132" i="1"/>
  <c r="Y131" i="1"/>
  <c r="Y130" i="1"/>
  <c r="Y129" i="1"/>
  <c r="Y128" i="1"/>
  <c r="Y127" i="1"/>
  <c r="Y126" i="1"/>
  <c r="Y125" i="1"/>
  <c r="Y117" i="1"/>
  <c r="Y116" i="1"/>
  <c r="Y115" i="1"/>
  <c r="Y114" i="1"/>
  <c r="Y113" i="1"/>
  <c r="Y112" i="1"/>
  <c r="Y111" i="1"/>
  <c r="Y110" i="1"/>
  <c r="Y102" i="1"/>
  <c r="Y101" i="1"/>
  <c r="Y100" i="1"/>
  <c r="Y99" i="1"/>
  <c r="Y98" i="1"/>
  <c r="Y97" i="1"/>
  <c r="Y96" i="1"/>
  <c r="Y95" i="1"/>
  <c r="Y87" i="1"/>
  <c r="Y86" i="1"/>
  <c r="Y85" i="1"/>
  <c r="Y84" i="1"/>
  <c r="Y83" i="1"/>
  <c r="Y82" i="1"/>
  <c r="Y81" i="1"/>
  <c r="Y80" i="1"/>
  <c r="Y72" i="1"/>
  <c r="Y71" i="1"/>
  <c r="Y70" i="1"/>
  <c r="Y69" i="1"/>
  <c r="Y68" i="1"/>
  <c r="Y67" i="1"/>
  <c r="Y66" i="1"/>
  <c r="Y65" i="1"/>
  <c r="Y57" i="1"/>
  <c r="Y56" i="1"/>
  <c r="Y55" i="1"/>
  <c r="Y54" i="1"/>
  <c r="Y53" i="1"/>
  <c r="Y52" i="1"/>
  <c r="Y51" i="1"/>
  <c r="Y50" i="1"/>
  <c r="Y42" i="1"/>
  <c r="Y41" i="1"/>
  <c r="Y40" i="1"/>
  <c r="Y39" i="1"/>
  <c r="Y38" i="1"/>
  <c r="Y37" i="1"/>
  <c r="Y36" i="1"/>
  <c r="Y35" i="1"/>
  <c r="Y27" i="1"/>
  <c r="Y26" i="1"/>
  <c r="Y25" i="1"/>
  <c r="Y24" i="1"/>
  <c r="Y23" i="1"/>
  <c r="Y22" i="1"/>
  <c r="Y21" i="1"/>
  <c r="Y20" i="1"/>
  <c r="E368" i="1"/>
  <c r="M367" i="1"/>
  <c r="E367" i="1"/>
  <c r="M366" i="1"/>
  <c r="E366" i="1"/>
  <c r="M365" i="1"/>
  <c r="E365" i="1"/>
  <c r="M364" i="1"/>
  <c r="E364" i="1"/>
  <c r="M363" i="1"/>
  <c r="E363" i="1"/>
  <c r="M362" i="1"/>
  <c r="E362" i="1"/>
  <c r="M361" i="1"/>
  <c r="E361" i="1"/>
  <c r="M360" i="1"/>
  <c r="E360" i="1"/>
  <c r="M359" i="1"/>
  <c r="E359" i="1"/>
  <c r="M358" i="1"/>
  <c r="E358" i="1"/>
  <c r="M357" i="1"/>
  <c r="E357" i="1"/>
  <c r="M356" i="1"/>
  <c r="E356" i="1"/>
  <c r="M355" i="1"/>
  <c r="E355" i="1"/>
  <c r="M354" i="1"/>
  <c r="E354" i="1"/>
  <c r="M353" i="1"/>
  <c r="E353" i="1"/>
  <c r="M352" i="1"/>
  <c r="E352" i="1"/>
  <c r="M351" i="1"/>
  <c r="E351" i="1"/>
  <c r="M350" i="1"/>
  <c r="E350" i="1"/>
  <c r="M349" i="1"/>
  <c r="E349" i="1"/>
  <c r="M348" i="1"/>
  <c r="E348" i="1"/>
  <c r="M347" i="1"/>
  <c r="E347" i="1"/>
  <c r="M346" i="1"/>
  <c r="E346" i="1"/>
  <c r="M345" i="1"/>
  <c r="E345" i="1"/>
  <c r="M344" i="1"/>
  <c r="E344" i="1"/>
  <c r="M343" i="1"/>
  <c r="E343" i="1"/>
  <c r="M342" i="1"/>
  <c r="E342" i="1"/>
  <c r="M341" i="1"/>
  <c r="E341" i="1"/>
  <c r="M340" i="1"/>
  <c r="M339" i="1"/>
  <c r="E339" i="1"/>
  <c r="M338" i="1"/>
  <c r="E338" i="1"/>
  <c r="M337" i="1"/>
  <c r="E337" i="1"/>
  <c r="M336" i="1"/>
  <c r="E336" i="1"/>
  <c r="M335" i="1"/>
  <c r="E335" i="1"/>
  <c r="M334" i="1"/>
  <c r="E334" i="1"/>
  <c r="M333" i="1"/>
  <c r="E333" i="1"/>
  <c r="M332" i="1"/>
  <c r="E332" i="1"/>
  <c r="M331" i="1"/>
  <c r="E331" i="1"/>
  <c r="M330" i="1"/>
  <c r="E330" i="1"/>
  <c r="M329" i="1"/>
  <c r="E329" i="1"/>
  <c r="E328" i="1"/>
  <c r="M327" i="1"/>
  <c r="E327" i="1"/>
  <c r="M326" i="1"/>
  <c r="E326" i="1"/>
  <c r="M325" i="1"/>
  <c r="E325" i="1"/>
  <c r="M324" i="1"/>
  <c r="E324" i="1"/>
  <c r="M323" i="1"/>
  <c r="E323" i="1"/>
  <c r="M322" i="1"/>
  <c r="E322" i="1"/>
  <c r="M321" i="1"/>
  <c r="E321" i="1"/>
  <c r="M320" i="1"/>
  <c r="E320" i="1"/>
  <c r="M319" i="1"/>
  <c r="E319" i="1"/>
  <c r="M318" i="1"/>
  <c r="E318" i="1"/>
  <c r="M317" i="1"/>
  <c r="E317" i="1"/>
  <c r="M316" i="1"/>
  <c r="E316" i="1"/>
  <c r="M315" i="1"/>
  <c r="E315" i="1"/>
  <c r="M314" i="1"/>
  <c r="E314" i="1"/>
  <c r="M313" i="1"/>
  <c r="E313" i="1"/>
  <c r="M312" i="1"/>
  <c r="E312" i="1"/>
  <c r="M311" i="1"/>
  <c r="E311" i="1"/>
  <c r="M310" i="1"/>
  <c r="E310" i="1"/>
  <c r="M309" i="1"/>
  <c r="E309" i="1"/>
  <c r="M308" i="1"/>
  <c r="E308" i="1"/>
  <c r="M307" i="1"/>
  <c r="E307" i="1"/>
  <c r="M306" i="1"/>
  <c r="E306" i="1"/>
  <c r="M305" i="1"/>
  <c r="E305" i="1"/>
  <c r="M304" i="1"/>
  <c r="E304" i="1"/>
  <c r="BE304" i="1" s="1"/>
  <c r="M303" i="1"/>
  <c r="E303" i="1"/>
  <c r="M302" i="1"/>
  <c r="E302" i="1"/>
  <c r="M301" i="1"/>
  <c r="E301" i="1"/>
  <c r="M300" i="1"/>
  <c r="E300" i="1"/>
  <c r="M299" i="1"/>
  <c r="E299" i="1"/>
  <c r="M298" i="1"/>
  <c r="M297" i="1"/>
  <c r="E297" i="1"/>
  <c r="M296" i="1"/>
  <c r="E296" i="1"/>
  <c r="M295" i="1"/>
  <c r="E295" i="1"/>
  <c r="M294" i="1"/>
  <c r="E294" i="1"/>
  <c r="M293" i="1"/>
  <c r="E293" i="1"/>
  <c r="M292" i="1"/>
  <c r="E292" i="1"/>
  <c r="M291" i="1"/>
  <c r="E291" i="1"/>
  <c r="M290" i="1"/>
  <c r="E290" i="1"/>
  <c r="M289" i="1"/>
  <c r="E289" i="1"/>
  <c r="M288" i="1"/>
  <c r="E288" i="1"/>
  <c r="E287" i="1"/>
  <c r="E286" i="1"/>
  <c r="M285" i="1"/>
  <c r="E285" i="1"/>
  <c r="M284" i="1"/>
  <c r="E284" i="1"/>
  <c r="M283" i="1"/>
  <c r="E283" i="1"/>
  <c r="M282" i="1"/>
  <c r="E282" i="1"/>
  <c r="M281" i="1"/>
  <c r="E281" i="1"/>
  <c r="M280" i="1"/>
  <c r="E280" i="1"/>
  <c r="M279" i="1"/>
  <c r="E279" i="1"/>
  <c r="M278" i="1"/>
  <c r="E278" i="1"/>
  <c r="M277" i="1"/>
  <c r="E277" i="1"/>
  <c r="M276" i="1"/>
  <c r="E276" i="1"/>
  <c r="M275" i="1"/>
  <c r="E275" i="1"/>
  <c r="M274" i="1"/>
  <c r="E274" i="1"/>
  <c r="BE274" i="1" s="1"/>
  <c r="M273" i="1"/>
  <c r="E273" i="1"/>
  <c r="M272" i="1"/>
  <c r="E272" i="1"/>
  <c r="M271" i="1"/>
  <c r="E271" i="1"/>
  <c r="M270" i="1"/>
  <c r="E270" i="1"/>
  <c r="M269" i="1"/>
  <c r="M268" i="1"/>
  <c r="E268" i="1"/>
  <c r="M267" i="1"/>
  <c r="E267" i="1"/>
  <c r="M266" i="1"/>
  <c r="E266" i="1"/>
  <c r="M265" i="1"/>
  <c r="E265" i="1"/>
  <c r="M264" i="1"/>
  <c r="E264" i="1"/>
  <c r="M263" i="1"/>
  <c r="I263" i="1"/>
  <c r="E263" i="1"/>
  <c r="M262" i="1"/>
  <c r="I262" i="1"/>
  <c r="E262" i="1"/>
  <c r="M261" i="1"/>
  <c r="I261" i="1"/>
  <c r="M260" i="1"/>
  <c r="I260" i="1"/>
  <c r="M259" i="1"/>
  <c r="I259" i="1"/>
  <c r="BE259" i="1"/>
  <c r="M258" i="1"/>
  <c r="E258" i="1"/>
  <c r="M257" i="1"/>
  <c r="E257" i="1"/>
  <c r="M256" i="1"/>
  <c r="M255" i="1"/>
  <c r="E255" i="1"/>
  <c r="M253" i="1"/>
  <c r="E253" i="1"/>
  <c r="M252" i="1"/>
  <c r="I252" i="1"/>
  <c r="E252" i="1"/>
  <c r="M251" i="1"/>
  <c r="I251" i="1"/>
  <c r="E251" i="1"/>
  <c r="M250" i="1"/>
  <c r="I250" i="1"/>
  <c r="E250" i="1"/>
  <c r="M249" i="1"/>
  <c r="I249" i="1"/>
  <c r="E249" i="1"/>
  <c r="M248" i="1"/>
  <c r="I248" i="1"/>
  <c r="E248" i="1"/>
  <c r="M247" i="1"/>
  <c r="I247" i="1"/>
  <c r="E247" i="1"/>
  <c r="M246" i="1"/>
  <c r="I246" i="1"/>
  <c r="M245" i="1"/>
  <c r="I245" i="1"/>
  <c r="E245" i="1"/>
  <c r="I244" i="1"/>
  <c r="E244" i="1"/>
  <c r="BE244" i="1" s="1"/>
  <c r="M243" i="1"/>
  <c r="I243" i="1"/>
  <c r="E243" i="1"/>
  <c r="M242" i="1"/>
  <c r="I242" i="1"/>
  <c r="E242" i="1"/>
  <c r="M241" i="1"/>
  <c r="I241" i="1"/>
  <c r="E241" i="1"/>
  <c r="M240" i="1"/>
  <c r="I240" i="1"/>
  <c r="E240" i="1"/>
  <c r="M239" i="1"/>
  <c r="I239" i="1"/>
  <c r="E239" i="1"/>
  <c r="M238" i="1"/>
  <c r="E238" i="1"/>
  <c r="M237" i="1"/>
  <c r="I237" i="1"/>
  <c r="E237" i="1"/>
  <c r="M236" i="1"/>
  <c r="I236" i="1"/>
  <c r="E236" i="1"/>
  <c r="M235" i="1"/>
  <c r="I235" i="1"/>
  <c r="E235" i="1"/>
  <c r="M234" i="1"/>
  <c r="I234" i="1"/>
  <c r="E234" i="1"/>
  <c r="M233" i="1"/>
  <c r="I233" i="1"/>
  <c r="E233" i="1"/>
  <c r="M232" i="1"/>
  <c r="I232" i="1"/>
  <c r="G232" i="1"/>
  <c r="E232" i="1"/>
  <c r="M231" i="1"/>
  <c r="I231" i="1"/>
  <c r="G231" i="1"/>
  <c r="E231" i="1"/>
  <c r="M230" i="1"/>
  <c r="I230" i="1"/>
  <c r="G230" i="1"/>
  <c r="E230" i="1"/>
  <c r="M229" i="1"/>
  <c r="I229" i="1"/>
  <c r="G229" i="1"/>
  <c r="E229" i="1"/>
  <c r="M228" i="1"/>
  <c r="I228" i="1"/>
  <c r="G228" i="1"/>
  <c r="E228" i="1"/>
  <c r="M227" i="1"/>
  <c r="I227" i="1"/>
  <c r="G227" i="1"/>
  <c r="E227" i="1"/>
  <c r="M226" i="1"/>
  <c r="I226" i="1"/>
  <c r="G226" i="1"/>
  <c r="E226" i="1"/>
  <c r="M225" i="1"/>
  <c r="I225" i="1"/>
  <c r="G225" i="1"/>
  <c r="M224" i="1"/>
  <c r="I224" i="1"/>
  <c r="G224" i="1"/>
  <c r="E224" i="1"/>
  <c r="M223" i="1"/>
  <c r="I223" i="1"/>
  <c r="G223" i="1"/>
  <c r="E223" i="1"/>
  <c r="M222" i="1"/>
  <c r="G222" i="1"/>
  <c r="E222" i="1"/>
  <c r="M221" i="1"/>
  <c r="I221" i="1"/>
  <c r="G221" i="1"/>
  <c r="E221" i="1"/>
  <c r="BE221" i="1" s="1"/>
  <c r="M220" i="1"/>
  <c r="I220" i="1"/>
  <c r="G220" i="1"/>
  <c r="E220" i="1"/>
  <c r="BE220" i="1" s="1"/>
  <c r="M219" i="1"/>
  <c r="G219" i="1"/>
  <c r="E219" i="1"/>
  <c r="BE219" i="1" s="1"/>
  <c r="M218" i="1"/>
  <c r="I218" i="1"/>
  <c r="G218" i="1"/>
  <c r="E218" i="1"/>
  <c r="BE218" i="1" s="1"/>
  <c r="M217" i="1"/>
  <c r="I217" i="1"/>
  <c r="G217" i="1"/>
  <c r="E217" i="1"/>
  <c r="BE217" i="1" s="1"/>
  <c r="M216" i="1"/>
  <c r="I216" i="1"/>
  <c r="G216" i="1"/>
  <c r="E216" i="1"/>
  <c r="BE216" i="1" s="1"/>
  <c r="M215" i="1"/>
  <c r="I215" i="1"/>
  <c r="G215" i="1"/>
  <c r="E215" i="1"/>
  <c r="BE215" i="1" s="1"/>
  <c r="I214" i="1"/>
  <c r="G214" i="1"/>
  <c r="BE214" i="1" s="1"/>
  <c r="M213" i="1"/>
  <c r="I213" i="1"/>
  <c r="G213" i="1"/>
  <c r="E213" i="1"/>
  <c r="M212" i="1"/>
  <c r="I212" i="1"/>
  <c r="G212" i="1"/>
  <c r="E212" i="1"/>
  <c r="M211" i="1"/>
  <c r="I211" i="1"/>
  <c r="G211" i="1"/>
  <c r="E211" i="1"/>
  <c r="M210" i="1"/>
  <c r="I210" i="1"/>
  <c r="G210" i="1"/>
  <c r="E210" i="1"/>
  <c r="M209" i="1"/>
  <c r="I209" i="1"/>
  <c r="G209" i="1"/>
  <c r="E209" i="1"/>
  <c r="M208" i="1"/>
  <c r="I208" i="1"/>
  <c r="G208" i="1"/>
  <c r="E208" i="1"/>
  <c r="BE208" i="1" s="1"/>
  <c r="M207" i="1"/>
  <c r="I207" i="1"/>
  <c r="G207" i="1"/>
  <c r="E207" i="1"/>
  <c r="BE207" i="1" s="1"/>
  <c r="M206" i="1"/>
  <c r="I206" i="1"/>
  <c r="G206" i="1"/>
  <c r="E206" i="1"/>
  <c r="BE206" i="1" s="1"/>
  <c r="M205" i="1"/>
  <c r="I205" i="1"/>
  <c r="G205" i="1"/>
  <c r="E205" i="1"/>
  <c r="BE205" i="1" s="1"/>
  <c r="M204" i="1"/>
  <c r="I204" i="1"/>
  <c r="G204" i="1"/>
  <c r="E204" i="1"/>
  <c r="I203" i="1"/>
  <c r="G203" i="1"/>
  <c r="E203" i="1"/>
  <c r="I202" i="1"/>
  <c r="G202" i="1"/>
  <c r="E202" i="1"/>
  <c r="M201" i="1"/>
  <c r="I201" i="1"/>
  <c r="G201" i="1"/>
  <c r="E201" i="1"/>
  <c r="M200" i="1"/>
  <c r="I200" i="1"/>
  <c r="G200" i="1"/>
  <c r="E200" i="1"/>
  <c r="M199" i="1"/>
  <c r="I199" i="1"/>
  <c r="G199" i="1"/>
  <c r="E199" i="1"/>
  <c r="M198" i="1"/>
  <c r="E198" i="1"/>
  <c r="M197" i="1"/>
  <c r="G197" i="1"/>
  <c r="E197" i="1"/>
  <c r="M196" i="1"/>
  <c r="G196" i="1"/>
  <c r="E196" i="1"/>
  <c r="M195" i="1"/>
  <c r="I195" i="1"/>
  <c r="G195" i="1"/>
  <c r="M194" i="1"/>
  <c r="I194" i="1"/>
  <c r="G194" i="1"/>
  <c r="M193" i="1"/>
  <c r="I193" i="1"/>
  <c r="G193" i="1"/>
  <c r="M192" i="1"/>
  <c r="I192" i="1"/>
  <c r="E192" i="1"/>
  <c r="M191" i="1"/>
  <c r="I191" i="1"/>
  <c r="E191" i="1"/>
  <c r="M190" i="1"/>
  <c r="I190" i="1"/>
  <c r="G190" i="1"/>
  <c r="E190" i="1"/>
  <c r="M189" i="1"/>
  <c r="I189" i="1"/>
  <c r="G189" i="1"/>
  <c r="E189" i="1"/>
  <c r="M188" i="1"/>
  <c r="I188" i="1"/>
  <c r="G188" i="1"/>
  <c r="E188" i="1"/>
  <c r="M187" i="1"/>
  <c r="I187" i="1"/>
  <c r="G187" i="1"/>
  <c r="E187" i="1"/>
  <c r="M186" i="1"/>
  <c r="I186" i="1"/>
  <c r="G186" i="1"/>
  <c r="E186" i="1"/>
  <c r="M185" i="1"/>
  <c r="I185" i="1"/>
  <c r="G185" i="1"/>
  <c r="E185" i="1"/>
  <c r="M184" i="1"/>
  <c r="I184" i="1"/>
  <c r="G184" i="1"/>
  <c r="E184" i="1"/>
  <c r="M183" i="1"/>
  <c r="I183" i="1"/>
  <c r="G183" i="1"/>
  <c r="E183" i="1"/>
  <c r="M182" i="1"/>
  <c r="I182" i="1"/>
  <c r="G182" i="1"/>
  <c r="E182" i="1"/>
  <c r="M181" i="1"/>
  <c r="I181" i="1"/>
  <c r="G181" i="1"/>
  <c r="E181" i="1"/>
  <c r="M180" i="1"/>
  <c r="I180" i="1"/>
  <c r="G180" i="1"/>
  <c r="E180" i="1"/>
  <c r="M179" i="1"/>
  <c r="I179" i="1"/>
  <c r="G179" i="1"/>
  <c r="E179" i="1"/>
  <c r="M178" i="1"/>
  <c r="I178" i="1"/>
  <c r="G178" i="1"/>
  <c r="E178" i="1"/>
  <c r="M177" i="1"/>
  <c r="I177" i="1"/>
  <c r="G177" i="1"/>
  <c r="E177" i="1"/>
  <c r="I176" i="1"/>
  <c r="G176" i="1"/>
  <c r="E176" i="1"/>
  <c r="M175" i="1"/>
  <c r="I175" i="1"/>
  <c r="G175" i="1"/>
  <c r="E175" i="1"/>
  <c r="M174" i="1"/>
  <c r="I174" i="1"/>
  <c r="G174" i="1"/>
  <c r="E174" i="1"/>
  <c r="M173" i="1"/>
  <c r="I173" i="1"/>
  <c r="G173" i="1"/>
  <c r="E173" i="1"/>
  <c r="M172" i="1"/>
  <c r="I172" i="1"/>
  <c r="G172" i="1"/>
  <c r="M171" i="1"/>
  <c r="I171" i="1"/>
  <c r="G171" i="1"/>
  <c r="E171" i="1"/>
  <c r="M170" i="1"/>
  <c r="I170" i="1"/>
  <c r="G170" i="1"/>
  <c r="E170" i="1"/>
  <c r="M169" i="1"/>
  <c r="I169" i="1"/>
  <c r="G169" i="1"/>
  <c r="E169" i="1"/>
  <c r="M168" i="1"/>
  <c r="I168" i="1"/>
  <c r="G168" i="1"/>
  <c r="E168" i="1"/>
  <c r="M167" i="1"/>
  <c r="I167" i="1"/>
  <c r="G167" i="1"/>
  <c r="E167" i="1"/>
  <c r="M166" i="1"/>
  <c r="I166" i="1"/>
  <c r="G166" i="1"/>
  <c r="E166" i="1"/>
  <c r="M165" i="1"/>
  <c r="I165" i="1"/>
  <c r="G165" i="1"/>
  <c r="E165" i="1"/>
  <c r="M164" i="1"/>
  <c r="I164" i="1"/>
  <c r="G164" i="1"/>
  <c r="E164" i="1"/>
  <c r="M163" i="1"/>
  <c r="I163" i="1"/>
  <c r="G163" i="1"/>
  <c r="E163" i="1"/>
  <c r="M162" i="1"/>
  <c r="I162" i="1"/>
  <c r="G162" i="1"/>
  <c r="E162" i="1"/>
  <c r="M161" i="1"/>
  <c r="I161" i="1"/>
  <c r="G161" i="1"/>
  <c r="E161" i="1"/>
  <c r="I160" i="1"/>
  <c r="G160" i="1"/>
  <c r="E160" i="1"/>
  <c r="M159" i="1"/>
  <c r="I159" i="1"/>
  <c r="G159" i="1"/>
  <c r="E159" i="1"/>
  <c r="M158" i="1"/>
  <c r="I158" i="1"/>
  <c r="G158" i="1"/>
  <c r="E158" i="1"/>
  <c r="M157" i="1"/>
  <c r="I157" i="1"/>
  <c r="G157" i="1"/>
  <c r="E157" i="1"/>
  <c r="M156" i="1"/>
  <c r="I156" i="1"/>
  <c r="E156" i="1"/>
  <c r="M155" i="1"/>
  <c r="I155" i="1"/>
  <c r="G155" i="1"/>
  <c r="E155" i="1"/>
  <c r="M154" i="1"/>
  <c r="G154" i="1"/>
  <c r="E154" i="1"/>
  <c r="M153" i="1"/>
  <c r="I153" i="1"/>
  <c r="G153" i="1"/>
  <c r="E153" i="1"/>
  <c r="M152" i="1"/>
  <c r="I152" i="1"/>
  <c r="G152" i="1"/>
  <c r="E152" i="1"/>
  <c r="M151" i="1"/>
  <c r="I151" i="1"/>
  <c r="G151" i="1"/>
  <c r="E151" i="1"/>
  <c r="M150" i="1"/>
  <c r="I150" i="1"/>
  <c r="G150" i="1"/>
  <c r="E150" i="1"/>
  <c r="M149" i="1"/>
  <c r="I149" i="1"/>
  <c r="G149" i="1"/>
  <c r="E149" i="1"/>
  <c r="M148" i="1"/>
  <c r="I148" i="1"/>
  <c r="G148" i="1"/>
  <c r="E148" i="1"/>
  <c r="M147" i="1"/>
  <c r="I147" i="1"/>
  <c r="G147" i="1"/>
  <c r="E147" i="1"/>
  <c r="M146" i="1"/>
  <c r="I146" i="1"/>
  <c r="G146" i="1"/>
  <c r="E146" i="1"/>
  <c r="M145" i="1"/>
  <c r="I145" i="1"/>
  <c r="G145" i="1"/>
  <c r="E145" i="1"/>
  <c r="M144" i="1"/>
  <c r="I144" i="1"/>
  <c r="G144" i="1"/>
  <c r="E144" i="1"/>
  <c r="M143" i="1"/>
  <c r="I143" i="1"/>
  <c r="G143" i="1"/>
  <c r="E143" i="1"/>
  <c r="M142" i="1"/>
  <c r="I142" i="1"/>
  <c r="G142" i="1"/>
  <c r="E142" i="1"/>
  <c r="M141" i="1"/>
  <c r="I141" i="1"/>
  <c r="G141" i="1"/>
  <c r="E141" i="1"/>
  <c r="M140" i="1"/>
  <c r="I140" i="1"/>
  <c r="G140" i="1"/>
  <c r="E140" i="1"/>
  <c r="M139" i="1"/>
  <c r="I139" i="1"/>
  <c r="G139" i="1"/>
  <c r="E139" i="1"/>
  <c r="M138" i="1"/>
  <c r="I138" i="1"/>
  <c r="G138" i="1"/>
  <c r="E138" i="1"/>
  <c r="M137" i="1"/>
  <c r="I137" i="1"/>
  <c r="G137" i="1"/>
  <c r="E137" i="1"/>
  <c r="M136" i="1"/>
  <c r="I136" i="1"/>
  <c r="G136" i="1"/>
  <c r="E136" i="1"/>
  <c r="M135" i="1"/>
  <c r="I135" i="1"/>
  <c r="G135" i="1"/>
  <c r="E135" i="1"/>
  <c r="M134" i="1"/>
  <c r="I134" i="1"/>
  <c r="G134" i="1"/>
  <c r="E134" i="1"/>
  <c r="M133" i="1"/>
  <c r="I133" i="1"/>
  <c r="G133" i="1"/>
  <c r="E133" i="1"/>
  <c r="M132" i="1"/>
  <c r="I132" i="1"/>
  <c r="G132" i="1"/>
  <c r="E132" i="1"/>
  <c r="M131" i="1"/>
  <c r="I131" i="1"/>
  <c r="G131" i="1"/>
  <c r="E131" i="1"/>
  <c r="M130" i="1"/>
  <c r="I130" i="1"/>
  <c r="G130" i="1"/>
  <c r="M129" i="1"/>
  <c r="I129" i="1"/>
  <c r="G129" i="1"/>
  <c r="E129" i="1"/>
  <c r="M128" i="1"/>
  <c r="I128" i="1"/>
  <c r="G128" i="1"/>
  <c r="E128" i="1"/>
  <c r="M127" i="1"/>
  <c r="I127" i="1"/>
  <c r="G127" i="1"/>
  <c r="E127" i="1"/>
  <c r="M126" i="1"/>
  <c r="I126" i="1"/>
  <c r="G126" i="1"/>
  <c r="E126" i="1"/>
  <c r="M125" i="1"/>
  <c r="I125" i="1"/>
  <c r="G125" i="1"/>
  <c r="E125" i="1"/>
  <c r="M124" i="1"/>
  <c r="I124" i="1"/>
  <c r="G124" i="1"/>
  <c r="E124" i="1"/>
  <c r="M123" i="1"/>
  <c r="I123" i="1"/>
  <c r="G123" i="1"/>
  <c r="E123" i="1"/>
  <c r="M122" i="1"/>
  <c r="I122" i="1"/>
  <c r="G122" i="1"/>
  <c r="E122" i="1"/>
  <c r="M121" i="1"/>
  <c r="I121" i="1"/>
  <c r="G121" i="1"/>
  <c r="E121" i="1"/>
  <c r="M120" i="1"/>
  <c r="I120" i="1"/>
  <c r="G120" i="1"/>
  <c r="E120" i="1"/>
  <c r="M119" i="1"/>
  <c r="I119" i="1"/>
  <c r="G119" i="1"/>
  <c r="E119" i="1"/>
  <c r="I118" i="1"/>
  <c r="G118" i="1"/>
  <c r="E118" i="1"/>
  <c r="M117" i="1"/>
  <c r="I117" i="1"/>
  <c r="G117" i="1"/>
  <c r="E117" i="1"/>
  <c r="M116" i="1"/>
  <c r="I116" i="1"/>
  <c r="G116" i="1"/>
  <c r="E116" i="1"/>
  <c r="M115" i="1"/>
  <c r="I115" i="1"/>
  <c r="G115" i="1"/>
  <c r="E115" i="1"/>
  <c r="M114" i="1"/>
  <c r="I114" i="1"/>
  <c r="E114" i="1"/>
  <c r="M113" i="1"/>
  <c r="I113" i="1"/>
  <c r="G113" i="1"/>
  <c r="E113" i="1"/>
  <c r="M112" i="1"/>
  <c r="G112" i="1"/>
  <c r="E112" i="1"/>
  <c r="M111" i="1"/>
  <c r="I111" i="1"/>
  <c r="G111" i="1"/>
  <c r="E111" i="1"/>
  <c r="M110" i="1"/>
  <c r="I110" i="1"/>
  <c r="G110" i="1"/>
  <c r="E110" i="1"/>
  <c r="M109" i="1"/>
  <c r="I109" i="1"/>
  <c r="G109" i="1"/>
  <c r="E109" i="1"/>
  <c r="M108" i="1"/>
  <c r="I108" i="1"/>
  <c r="G108" i="1"/>
  <c r="E108" i="1"/>
  <c r="M107" i="1"/>
  <c r="I107" i="1"/>
  <c r="G107" i="1"/>
  <c r="E107" i="1"/>
  <c r="M106" i="1"/>
  <c r="I106" i="1"/>
  <c r="G106" i="1"/>
  <c r="E106" i="1"/>
  <c r="M105" i="1"/>
  <c r="I105" i="1"/>
  <c r="G105" i="1"/>
  <c r="E105" i="1"/>
  <c r="M104" i="1"/>
  <c r="I104" i="1"/>
  <c r="G104" i="1"/>
  <c r="E104" i="1"/>
  <c r="M103" i="1"/>
  <c r="I103" i="1"/>
  <c r="G103" i="1"/>
  <c r="E103" i="1"/>
  <c r="M102" i="1"/>
  <c r="I102" i="1"/>
  <c r="G102" i="1"/>
  <c r="E102" i="1"/>
  <c r="M101" i="1"/>
  <c r="I101" i="1"/>
  <c r="G101" i="1"/>
  <c r="E101" i="1"/>
  <c r="M100" i="1"/>
  <c r="I100" i="1"/>
  <c r="G100" i="1"/>
  <c r="E100" i="1"/>
  <c r="M99" i="1"/>
  <c r="I99" i="1"/>
  <c r="G99" i="1"/>
  <c r="E99" i="1"/>
  <c r="M98" i="1"/>
  <c r="I98" i="1"/>
  <c r="G98" i="1"/>
  <c r="E98" i="1"/>
  <c r="M97" i="1"/>
  <c r="I97" i="1"/>
  <c r="G97" i="1"/>
  <c r="E97" i="1"/>
  <c r="M96" i="1"/>
  <c r="I96" i="1"/>
  <c r="G96" i="1"/>
  <c r="E96" i="1"/>
  <c r="M95" i="1"/>
  <c r="I95" i="1"/>
  <c r="G95" i="1"/>
  <c r="E95" i="1"/>
  <c r="M94" i="1"/>
  <c r="I94" i="1"/>
  <c r="G94" i="1"/>
  <c r="E94" i="1"/>
  <c r="M93" i="1"/>
  <c r="I93" i="1"/>
  <c r="G93" i="1"/>
  <c r="E93" i="1"/>
  <c r="M92" i="1"/>
  <c r="I92" i="1"/>
  <c r="G92" i="1"/>
  <c r="E92" i="1"/>
  <c r="M91" i="1"/>
  <c r="I91" i="1"/>
  <c r="G91" i="1"/>
  <c r="E91" i="1"/>
  <c r="M90" i="1"/>
  <c r="I90" i="1"/>
  <c r="G90" i="1"/>
  <c r="E90" i="1"/>
  <c r="M89" i="1"/>
  <c r="I89" i="1"/>
  <c r="G89" i="1"/>
  <c r="E89" i="1"/>
  <c r="M88" i="1"/>
  <c r="I88" i="1"/>
  <c r="G88" i="1"/>
  <c r="M87" i="1"/>
  <c r="I87" i="1"/>
  <c r="G87" i="1"/>
  <c r="E87" i="1"/>
  <c r="M86" i="1"/>
  <c r="I86" i="1"/>
  <c r="G86" i="1"/>
  <c r="E86" i="1"/>
  <c r="M85" i="1"/>
  <c r="I85" i="1"/>
  <c r="G85" i="1"/>
  <c r="E85" i="1"/>
  <c r="M84" i="1"/>
  <c r="I84" i="1"/>
  <c r="G84" i="1"/>
  <c r="E84" i="1"/>
  <c r="M83" i="1"/>
  <c r="I83" i="1"/>
  <c r="G83" i="1"/>
  <c r="E83" i="1"/>
  <c r="M82" i="1"/>
  <c r="I82" i="1"/>
  <c r="G82" i="1"/>
  <c r="E82" i="1"/>
  <c r="M81" i="1"/>
  <c r="I81" i="1"/>
  <c r="G81" i="1"/>
  <c r="E81" i="1"/>
  <c r="M80" i="1"/>
  <c r="I80" i="1"/>
  <c r="G80" i="1"/>
  <c r="E80" i="1"/>
  <c r="M79" i="1"/>
  <c r="I79" i="1"/>
  <c r="G79" i="1"/>
  <c r="E79" i="1"/>
  <c r="M78" i="1"/>
  <c r="I78" i="1"/>
  <c r="G78" i="1"/>
  <c r="E78" i="1"/>
  <c r="M77" i="1"/>
  <c r="I77" i="1"/>
  <c r="G77" i="1"/>
  <c r="E77" i="1"/>
  <c r="I76" i="1"/>
  <c r="G76" i="1"/>
  <c r="E76" i="1"/>
  <c r="M75" i="1"/>
  <c r="I75" i="1"/>
  <c r="G75" i="1"/>
  <c r="E75" i="1"/>
  <c r="M74" i="1"/>
  <c r="I74" i="1"/>
  <c r="G74" i="1"/>
  <c r="E74" i="1"/>
  <c r="M73" i="1"/>
  <c r="I73" i="1"/>
  <c r="G73" i="1"/>
  <c r="E73" i="1"/>
  <c r="M72" i="1"/>
  <c r="I72" i="1"/>
  <c r="E72" i="1"/>
  <c r="M71" i="1"/>
  <c r="I71" i="1"/>
  <c r="E71" i="1"/>
  <c r="M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9" i="1"/>
  <c r="I59" i="1"/>
  <c r="E59" i="1"/>
  <c r="M58" i="1"/>
  <c r="I58" i="1"/>
  <c r="E58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1" i="1"/>
  <c r="I51" i="1"/>
  <c r="E51" i="1"/>
  <c r="M50" i="1"/>
  <c r="I50" i="1"/>
  <c r="E50" i="1"/>
  <c r="M49" i="1"/>
  <c r="I49" i="1"/>
  <c r="E49" i="1"/>
  <c r="M48" i="1"/>
  <c r="I48" i="1"/>
  <c r="E48" i="1"/>
  <c r="M47" i="1"/>
  <c r="I47" i="1"/>
  <c r="E47" i="1"/>
  <c r="M46" i="1"/>
  <c r="I46" i="1"/>
  <c r="M45" i="1"/>
  <c r="I45" i="1"/>
  <c r="E45" i="1"/>
  <c r="M44" i="1"/>
  <c r="I44" i="1"/>
  <c r="E44" i="1"/>
  <c r="M43" i="1"/>
  <c r="I43" i="1"/>
  <c r="E43" i="1"/>
  <c r="M42" i="1"/>
  <c r="I42" i="1"/>
  <c r="E42" i="1"/>
  <c r="M41" i="1"/>
  <c r="I41" i="1"/>
  <c r="E41" i="1"/>
  <c r="M40" i="1"/>
  <c r="I40" i="1"/>
  <c r="E40" i="1"/>
  <c r="M39" i="1"/>
  <c r="I39" i="1"/>
  <c r="E39" i="1"/>
  <c r="M38" i="1"/>
  <c r="I38" i="1"/>
  <c r="E38" i="1"/>
  <c r="M37" i="1"/>
  <c r="I37" i="1"/>
  <c r="E37" i="1"/>
  <c r="M36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G29" i="1"/>
  <c r="E29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I10" i="1"/>
  <c r="G10" i="1"/>
  <c r="E10" i="1"/>
  <c r="I9" i="1"/>
  <c r="G9" i="1"/>
  <c r="E9" i="1"/>
  <c r="I8" i="1"/>
  <c r="G8" i="1"/>
  <c r="E8" i="1"/>
  <c r="I7" i="1"/>
  <c r="G7" i="1"/>
  <c r="E7" i="1"/>
  <c r="I6" i="1"/>
  <c r="G6" i="1"/>
  <c r="E6" i="1"/>
  <c r="I5" i="1"/>
  <c r="G5" i="1"/>
  <c r="E5" i="1"/>
  <c r="G4" i="1"/>
  <c r="D368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1" i="1"/>
  <c r="D362" i="1"/>
  <c r="D363" i="1"/>
  <c r="D364" i="1"/>
  <c r="D365" i="1"/>
  <c r="D366" i="1"/>
  <c r="D367" i="1"/>
  <c r="BE354" i="1"/>
  <c r="BE349" i="1"/>
  <c r="BE339" i="1"/>
  <c r="BE336" i="1"/>
  <c r="BE324" i="1"/>
  <c r="BE319" i="1"/>
  <c r="BE309" i="1"/>
  <c r="Y224" i="1"/>
  <c r="Y223" i="1"/>
  <c r="Y213" i="1"/>
  <c r="Y212" i="1"/>
  <c r="Y211" i="1"/>
  <c r="Y210" i="1"/>
  <c r="Y209" i="1"/>
  <c r="Y198" i="1"/>
  <c r="Y197" i="1"/>
  <c r="Y196" i="1"/>
  <c r="Y195" i="1"/>
  <c r="Y194" i="1"/>
  <c r="Y193" i="1"/>
  <c r="Y183" i="1"/>
  <c r="Y182" i="1"/>
  <c r="Y181" i="1"/>
  <c r="Y180" i="1"/>
  <c r="Y179" i="1"/>
  <c r="Y178" i="1"/>
  <c r="Y168" i="1"/>
  <c r="Y167" i="1"/>
  <c r="Y166" i="1"/>
  <c r="Y165" i="1"/>
  <c r="Y164" i="1"/>
  <c r="Y163" i="1"/>
  <c r="Y153" i="1"/>
  <c r="Y152" i="1"/>
  <c r="Y151" i="1"/>
  <c r="Y150" i="1"/>
  <c r="Y149" i="1"/>
  <c r="Y148" i="1"/>
  <c r="Y138" i="1"/>
  <c r="Y137" i="1"/>
  <c r="Y136" i="1"/>
  <c r="Y135" i="1"/>
  <c r="Y134" i="1"/>
  <c r="Y133" i="1"/>
  <c r="Y123" i="1"/>
  <c r="Y122" i="1"/>
  <c r="Y121" i="1"/>
  <c r="Y120" i="1"/>
  <c r="Y119" i="1"/>
  <c r="Y118" i="1"/>
  <c r="Y108" i="1"/>
  <c r="Y107" i="1"/>
  <c r="Y106" i="1"/>
  <c r="Y105" i="1"/>
  <c r="Y104" i="1"/>
  <c r="Y103" i="1"/>
  <c r="Y93" i="1"/>
  <c r="Y92" i="1"/>
  <c r="Y91" i="1"/>
  <c r="Y90" i="1"/>
  <c r="Y89" i="1"/>
  <c r="Y88" i="1"/>
  <c r="Y78" i="1"/>
  <c r="Y77" i="1"/>
  <c r="Y76" i="1"/>
  <c r="Y75" i="1"/>
  <c r="Y74" i="1"/>
  <c r="Y73" i="1"/>
  <c r="Y63" i="1"/>
  <c r="Y62" i="1"/>
  <c r="Y61" i="1"/>
  <c r="Y60" i="1"/>
  <c r="Y59" i="1"/>
  <c r="Y58" i="1"/>
  <c r="Y48" i="1"/>
  <c r="Y47" i="1"/>
  <c r="Y46" i="1"/>
  <c r="Y45" i="1"/>
  <c r="Y44" i="1"/>
  <c r="Y43" i="1"/>
  <c r="Y33" i="1"/>
  <c r="Y32" i="1"/>
  <c r="Y31" i="1"/>
  <c r="Y30" i="1"/>
  <c r="Y29" i="1"/>
  <c r="Y28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BE305" i="1" l="1"/>
  <c r="BE294" i="1"/>
  <c r="BE290" i="1"/>
  <c r="BE263" i="1"/>
  <c r="BE295" i="1"/>
  <c r="BE282" i="1"/>
  <c r="BE261" i="1"/>
  <c r="BE251" i="1"/>
  <c r="BE247" i="1"/>
  <c r="BE297" i="1"/>
  <c r="BE296" i="1"/>
  <c r="BE293" i="1"/>
  <c r="BE292" i="1"/>
  <c r="BE291" i="1"/>
  <c r="BE249" i="1"/>
  <c r="BE246" i="1"/>
  <c r="BE280" i="1"/>
  <c r="BE279" i="1"/>
  <c r="BE278" i="1"/>
  <c r="BE277" i="1"/>
  <c r="BE276" i="1"/>
  <c r="BE275" i="1"/>
  <c r="BE262" i="1"/>
  <c r="BE260" i="1"/>
  <c r="BE252" i="1"/>
  <c r="BE250" i="1"/>
  <c r="BE248" i="1"/>
  <c r="BE245" i="1"/>
  <c r="BE307" i="1"/>
  <c r="BE334" i="1"/>
  <c r="BE289" i="1"/>
  <c r="BE267" i="1"/>
  <c r="BE266" i="1"/>
  <c r="BE265" i="1"/>
  <c r="BE281" i="1"/>
  <c r="BF368" i="7"/>
  <c r="BD368" i="7"/>
  <c r="BD367" i="7"/>
  <c r="BF367" i="7"/>
  <c r="BD366" i="7"/>
  <c r="BF366" i="7"/>
  <c r="BD365" i="7"/>
  <c r="BF365" i="7"/>
  <c r="BD364" i="7"/>
  <c r="BF364" i="7"/>
  <c r="BD363" i="7"/>
  <c r="BF363" i="7"/>
  <c r="BD362" i="7"/>
  <c r="BF362" i="7"/>
  <c r="BF361" i="7"/>
  <c r="BD361" i="7"/>
  <c r="BF360" i="7"/>
  <c r="BD360" i="7"/>
  <c r="BF359" i="7"/>
  <c r="BD359" i="7"/>
  <c r="BD358" i="7"/>
  <c r="BF358" i="7"/>
  <c r="BD357" i="7"/>
  <c r="BF357" i="7"/>
  <c r="BD356" i="7"/>
  <c r="BF356" i="7"/>
  <c r="BD355" i="7"/>
  <c r="BF355" i="7"/>
  <c r="BD354" i="7"/>
  <c r="BF354" i="7"/>
  <c r="BD353" i="7"/>
  <c r="BF353" i="7"/>
  <c r="BF352" i="7"/>
  <c r="BD352" i="7"/>
  <c r="BF351" i="7"/>
  <c r="BD351" i="7"/>
  <c r="BF350" i="7"/>
  <c r="BD350" i="7"/>
  <c r="BF349" i="7"/>
  <c r="BD349" i="7"/>
  <c r="BD348" i="7"/>
  <c r="BF348" i="7"/>
  <c r="BF347" i="7"/>
  <c r="BD347" i="7"/>
  <c r="BD346" i="7"/>
  <c r="BF346" i="7"/>
  <c r="BD345" i="7"/>
  <c r="BF345" i="7"/>
  <c r="BD344" i="7"/>
  <c r="BF344" i="7"/>
  <c r="BF343" i="7"/>
  <c r="BD343" i="7"/>
  <c r="BF342" i="7"/>
  <c r="BD342" i="7"/>
  <c r="BD341" i="7"/>
  <c r="BF341" i="7"/>
  <c r="BD340" i="7"/>
  <c r="BF340" i="7"/>
  <c r="BD339" i="7"/>
  <c r="BF339" i="7"/>
  <c r="BF338" i="7"/>
  <c r="BD338" i="7"/>
  <c r="BD337" i="7"/>
  <c r="BF337" i="7"/>
  <c r="BF336" i="7"/>
  <c r="BD336" i="7"/>
  <c r="BF335" i="7"/>
  <c r="BD335" i="7"/>
  <c r="BD334" i="7"/>
  <c r="BF334" i="7"/>
  <c r="BF333" i="7"/>
  <c r="BD333" i="7"/>
  <c r="BF332" i="7"/>
  <c r="BD332" i="7"/>
  <c r="BD331" i="7"/>
  <c r="BF331" i="7"/>
  <c r="BF330" i="7"/>
  <c r="BD330" i="7"/>
  <c r="BD329" i="7"/>
  <c r="BF329" i="7"/>
  <c r="BF328" i="7"/>
  <c r="BD328" i="7"/>
  <c r="BD327" i="7"/>
  <c r="BF327" i="7"/>
  <c r="BD326" i="7"/>
  <c r="BF326" i="7"/>
  <c r="BF325" i="7"/>
  <c r="BD325" i="7"/>
  <c r="BF324" i="7"/>
  <c r="BD324" i="7"/>
  <c r="BD323" i="7"/>
  <c r="BF323" i="7"/>
  <c r="BF322" i="7"/>
  <c r="BD322" i="7"/>
  <c r="BF321" i="7"/>
  <c r="BD321" i="7"/>
  <c r="BF320" i="7"/>
  <c r="BD320" i="7"/>
  <c r="BD319" i="7"/>
  <c r="BF319" i="7"/>
  <c r="BD318" i="7"/>
  <c r="BF318" i="7"/>
  <c r="BF317" i="7"/>
  <c r="BD317" i="7"/>
  <c r="BF316" i="7"/>
  <c r="BD316" i="7"/>
  <c r="BD315" i="7"/>
  <c r="BF315" i="7"/>
  <c r="BD314" i="7"/>
  <c r="BF314" i="7"/>
  <c r="BD313" i="7"/>
  <c r="BF313" i="7"/>
  <c r="BF312" i="7"/>
  <c r="BD312" i="7"/>
  <c r="BF311" i="7"/>
  <c r="BD311" i="7"/>
  <c r="BF310" i="7"/>
  <c r="BD310" i="7"/>
  <c r="BF309" i="7"/>
  <c r="BD309" i="7"/>
  <c r="BF308" i="7"/>
  <c r="BD308" i="7"/>
  <c r="BD307" i="7"/>
  <c r="BF307" i="7"/>
  <c r="BF306" i="7"/>
  <c r="BD306" i="7"/>
  <c r="BD305" i="7"/>
  <c r="BF305" i="7"/>
  <c r="BD304" i="7"/>
  <c r="BF304" i="7"/>
  <c r="BD303" i="7"/>
  <c r="BF303" i="7"/>
  <c r="BD302" i="7"/>
  <c r="BF302" i="7"/>
  <c r="BD301" i="7"/>
  <c r="BF301" i="7"/>
  <c r="BD300" i="7"/>
  <c r="BF300" i="7"/>
  <c r="BD299" i="7"/>
  <c r="BF299" i="7"/>
  <c r="BD298" i="7"/>
  <c r="BF298" i="7"/>
  <c r="BD297" i="7"/>
  <c r="BF297" i="7"/>
  <c r="BD296" i="7"/>
  <c r="BF296" i="7"/>
  <c r="BD295" i="7"/>
  <c r="BF295" i="7"/>
  <c r="BD294" i="7"/>
  <c r="BF294" i="7"/>
  <c r="BD293" i="7"/>
  <c r="BF293" i="7"/>
  <c r="BD292" i="7"/>
  <c r="BF292" i="7"/>
  <c r="BD291" i="7"/>
  <c r="BF291" i="7"/>
  <c r="BD290" i="7"/>
  <c r="BF290" i="7"/>
  <c r="BD289" i="7"/>
  <c r="BF289" i="7"/>
  <c r="BF288" i="7"/>
  <c r="BD288" i="7"/>
  <c r="BD287" i="7"/>
  <c r="BF287" i="7"/>
  <c r="BF286" i="7"/>
  <c r="BD286" i="7"/>
  <c r="BF285" i="7"/>
  <c r="BD285" i="7"/>
  <c r="BF284" i="7"/>
  <c r="BD284" i="7"/>
  <c r="BD283" i="7"/>
  <c r="BF283" i="7"/>
  <c r="BD282" i="7"/>
  <c r="BF282" i="7"/>
  <c r="BF281" i="7"/>
  <c r="BD281" i="7"/>
  <c r="BD280" i="7"/>
  <c r="BF280" i="7"/>
  <c r="BF279" i="7"/>
  <c r="BD279" i="7"/>
  <c r="BA22" i="7"/>
  <c r="BA28" i="7" s="1"/>
  <c r="AY22" i="7"/>
  <c r="AY28" i="7" s="1"/>
  <c r="BF278" i="7"/>
  <c r="BD278" i="7"/>
  <c r="BF277" i="7"/>
  <c r="BD277" i="7"/>
  <c r="BF276" i="7"/>
  <c r="BD276" i="7"/>
  <c r="BF275" i="7"/>
  <c r="BD275" i="7"/>
  <c r="BD274" i="7"/>
  <c r="BF274" i="7"/>
  <c r="BF273" i="7"/>
  <c r="BD273" i="7"/>
  <c r="BD272" i="7"/>
  <c r="BF272" i="7"/>
  <c r="BF271" i="7"/>
  <c r="BD271" i="7"/>
  <c r="BF270" i="7"/>
  <c r="BD270" i="7"/>
  <c r="BF269" i="7"/>
  <c r="BD269" i="7"/>
  <c r="BF268" i="7"/>
  <c r="BD268" i="7"/>
  <c r="BF267" i="7"/>
  <c r="BD267" i="7"/>
  <c r="BF266" i="7"/>
  <c r="BD266" i="7"/>
  <c r="BF265" i="7"/>
  <c r="BD265" i="7"/>
  <c r="BD264" i="7"/>
  <c r="BF264" i="7"/>
  <c r="BD263" i="7"/>
  <c r="BF263" i="7"/>
  <c r="BF262" i="7"/>
  <c r="BD262" i="7"/>
  <c r="BF261" i="7"/>
  <c r="BD261" i="7"/>
  <c r="BF260" i="7"/>
  <c r="BD260" i="7"/>
  <c r="BF259" i="7"/>
  <c r="BD259" i="7"/>
  <c r="BD258" i="7"/>
  <c r="BF258" i="7"/>
  <c r="BD257" i="7"/>
  <c r="BF257" i="7"/>
  <c r="BD256" i="7"/>
  <c r="BF256" i="7"/>
  <c r="BD255" i="7"/>
  <c r="BF255" i="7"/>
  <c r="BD254" i="7"/>
  <c r="BF254" i="7"/>
  <c r="BF253" i="7"/>
  <c r="BD253" i="7"/>
  <c r="BF252" i="7"/>
  <c r="BD252" i="7"/>
  <c r="BD251" i="7"/>
  <c r="BF251" i="7"/>
  <c r="BD250" i="7"/>
  <c r="BF250" i="7"/>
  <c r="BF249" i="7"/>
  <c r="BD249" i="7"/>
  <c r="BF248" i="7"/>
  <c r="BD248" i="7"/>
  <c r="BD247" i="7"/>
  <c r="BF247" i="7"/>
  <c r="BD246" i="7"/>
  <c r="BF246" i="7"/>
  <c r="BF245" i="7"/>
  <c r="BD245" i="7"/>
  <c r="BD244" i="7"/>
  <c r="BF244" i="7"/>
  <c r="BD243" i="7"/>
  <c r="BF243" i="7"/>
  <c r="BD242" i="7"/>
  <c r="BF242" i="7"/>
  <c r="BD241" i="7"/>
  <c r="BF241" i="7"/>
  <c r="BF240" i="7"/>
  <c r="BD240" i="7"/>
  <c r="BD239" i="7"/>
  <c r="BF239" i="7"/>
  <c r="BD238" i="7"/>
  <c r="BF238" i="7"/>
  <c r="BD237" i="7"/>
  <c r="BF237" i="7"/>
  <c r="BD236" i="7"/>
  <c r="BF236" i="7"/>
  <c r="BD235" i="7"/>
  <c r="BF235" i="7"/>
  <c r="BD234" i="7"/>
  <c r="BF234" i="7"/>
  <c r="BD233" i="7"/>
  <c r="BF233" i="7"/>
  <c r="BD232" i="7"/>
  <c r="BF232" i="7"/>
  <c r="BD231" i="7"/>
  <c r="BF231" i="7"/>
  <c r="BD230" i="7"/>
  <c r="BF230" i="7"/>
  <c r="BF229" i="7"/>
  <c r="BD229" i="7"/>
  <c r="BD228" i="7"/>
  <c r="BF228" i="7"/>
  <c r="BF227" i="7"/>
  <c r="BD227" i="7"/>
  <c r="BD226" i="7"/>
  <c r="BF226" i="7"/>
  <c r="BD225" i="7"/>
  <c r="BF225" i="7"/>
  <c r="BD224" i="7"/>
  <c r="BF224" i="7"/>
  <c r="BD223" i="7"/>
  <c r="BF223" i="7"/>
  <c r="BF222" i="7"/>
  <c r="BD222" i="7"/>
  <c r="BD221" i="7"/>
  <c r="BF221" i="7"/>
  <c r="BF220" i="7"/>
  <c r="BD220" i="7"/>
  <c r="BF219" i="7"/>
  <c r="BD219" i="7"/>
  <c r="BD218" i="7"/>
  <c r="BF218" i="7"/>
  <c r="BD217" i="7"/>
  <c r="BF217" i="7"/>
  <c r="BD216" i="7"/>
  <c r="BF216" i="7"/>
  <c r="BF215" i="7"/>
  <c r="BD215" i="7"/>
  <c r="BD214" i="7"/>
  <c r="BF214" i="7"/>
  <c r="BF213" i="7"/>
  <c r="BD213" i="7"/>
  <c r="BF212" i="7"/>
  <c r="BD212" i="7"/>
  <c r="BD211" i="7"/>
  <c r="BF211" i="7"/>
  <c r="BD210" i="7"/>
  <c r="BF210" i="7"/>
  <c r="BD209" i="7"/>
  <c r="BF209" i="7"/>
  <c r="BD208" i="7"/>
  <c r="BF208" i="7"/>
  <c r="BF207" i="7"/>
  <c r="BD207" i="7"/>
  <c r="BF206" i="7"/>
  <c r="BD206" i="7"/>
  <c r="BD205" i="7"/>
  <c r="BF205" i="7"/>
  <c r="BD204" i="7"/>
  <c r="BF204" i="7"/>
  <c r="BD203" i="7"/>
  <c r="BF203" i="7"/>
  <c r="BF202" i="7"/>
  <c r="BD202" i="7"/>
  <c r="BD201" i="7"/>
  <c r="BF201" i="7"/>
  <c r="BF200" i="7"/>
  <c r="BD200" i="7"/>
  <c r="BF199" i="7"/>
  <c r="BD199" i="7"/>
  <c r="BD198" i="7"/>
  <c r="BF198" i="7"/>
  <c r="BF197" i="7"/>
  <c r="BD197" i="7"/>
  <c r="BF196" i="7"/>
  <c r="BD196" i="7"/>
  <c r="BD195" i="7"/>
  <c r="BF195" i="7"/>
  <c r="BF194" i="7"/>
  <c r="BD194" i="7"/>
  <c r="BF193" i="7"/>
  <c r="BD193" i="7"/>
  <c r="BF192" i="7"/>
  <c r="BD192" i="7"/>
  <c r="BD191" i="7"/>
  <c r="BF191" i="7"/>
  <c r="BD190" i="7"/>
  <c r="BF190" i="7"/>
  <c r="BF189" i="7"/>
  <c r="BD189" i="7"/>
  <c r="BD188" i="7"/>
  <c r="BF188" i="7"/>
  <c r="BF187" i="7"/>
  <c r="BD187" i="7"/>
  <c r="BD186" i="7"/>
  <c r="BF186" i="7"/>
  <c r="BD185" i="7"/>
  <c r="BF185" i="7"/>
  <c r="BF184" i="7"/>
  <c r="BD184" i="7"/>
  <c r="BF183" i="7"/>
  <c r="BD183" i="7"/>
  <c r="BF182" i="7"/>
  <c r="BD182" i="7"/>
  <c r="BD181" i="7"/>
  <c r="BF181" i="7"/>
  <c r="BF180" i="7"/>
  <c r="BD180" i="7"/>
  <c r="BD179" i="7"/>
  <c r="BF179" i="7"/>
  <c r="BF178" i="7"/>
  <c r="BD178" i="7"/>
  <c r="BD177" i="7"/>
  <c r="BF177" i="7"/>
  <c r="BF176" i="7"/>
  <c r="BD176" i="7"/>
  <c r="BF175" i="7"/>
  <c r="BD175" i="7"/>
  <c r="BD174" i="7"/>
  <c r="BF174" i="7"/>
  <c r="BD173" i="7"/>
  <c r="BF173" i="7"/>
  <c r="BD172" i="7"/>
  <c r="BF172" i="7"/>
  <c r="BD171" i="7"/>
  <c r="BF171" i="7"/>
  <c r="BD170" i="7"/>
  <c r="BF170" i="7"/>
  <c r="BD169" i="7"/>
  <c r="BF169" i="7"/>
  <c r="BD168" i="7"/>
  <c r="BF168" i="7"/>
  <c r="BD167" i="7"/>
  <c r="BF167" i="7"/>
  <c r="BD166" i="7"/>
  <c r="BF166" i="7"/>
  <c r="BD165" i="7"/>
  <c r="BF165" i="7"/>
  <c r="BD164" i="7"/>
  <c r="BF164" i="7"/>
  <c r="BD163" i="7"/>
  <c r="BF163" i="7"/>
  <c r="BD162" i="7"/>
  <c r="BF162" i="7"/>
  <c r="BD161" i="7"/>
  <c r="BF161" i="7"/>
  <c r="BD160" i="7"/>
  <c r="BF160" i="7"/>
  <c r="BD159" i="7"/>
  <c r="BF159" i="7"/>
  <c r="BD158" i="7"/>
  <c r="BF158" i="7"/>
  <c r="BD157" i="7"/>
  <c r="BF157" i="7"/>
  <c r="BD156" i="7"/>
  <c r="BF156" i="7"/>
  <c r="BD155" i="7"/>
  <c r="BF155" i="7"/>
  <c r="BD154" i="7"/>
  <c r="BF154" i="7"/>
  <c r="BD153" i="7"/>
  <c r="BF153" i="7"/>
  <c r="BD152" i="7"/>
  <c r="BF152" i="7"/>
  <c r="BD151" i="7"/>
  <c r="BF151" i="7"/>
  <c r="BD150" i="7"/>
  <c r="BF150" i="7"/>
  <c r="BD149" i="7"/>
  <c r="BF149" i="7"/>
  <c r="BD148" i="7"/>
  <c r="BF148" i="7"/>
  <c r="BD147" i="7"/>
  <c r="BF147" i="7"/>
  <c r="BD146" i="7"/>
  <c r="BF146" i="7"/>
  <c r="BD145" i="7"/>
  <c r="BF145" i="7"/>
  <c r="BD144" i="7"/>
  <c r="BF144" i="7"/>
  <c r="BD143" i="7"/>
  <c r="BF143" i="7"/>
  <c r="BD142" i="7"/>
  <c r="BF142" i="7"/>
  <c r="BD141" i="7"/>
  <c r="BF141" i="7"/>
  <c r="BD140" i="7"/>
  <c r="BF140" i="7"/>
  <c r="BD139" i="7"/>
  <c r="BF139" i="7"/>
  <c r="BD138" i="7"/>
  <c r="BF138" i="7"/>
  <c r="BD137" i="7"/>
  <c r="BF137" i="7"/>
  <c r="BD136" i="7"/>
  <c r="BF136" i="7"/>
  <c r="BD135" i="7"/>
  <c r="BF135" i="7"/>
  <c r="BD134" i="7"/>
  <c r="BF134" i="7"/>
  <c r="BD133" i="7"/>
  <c r="BF133" i="7"/>
  <c r="BD132" i="7"/>
  <c r="BF132" i="7"/>
  <c r="BD131" i="7"/>
  <c r="BF131" i="7"/>
  <c r="BD130" i="7"/>
  <c r="BF130" i="7"/>
  <c r="BD129" i="7"/>
  <c r="BF129" i="7"/>
  <c r="BD128" i="7"/>
  <c r="BF128" i="7"/>
  <c r="BD127" i="7"/>
  <c r="BF127" i="7"/>
  <c r="BD126" i="7"/>
  <c r="BF126" i="7"/>
  <c r="BD125" i="7"/>
  <c r="BF125" i="7"/>
  <c r="BD124" i="7"/>
  <c r="BF124" i="7"/>
  <c r="BD123" i="7"/>
  <c r="BF123" i="7"/>
  <c r="BD122" i="7"/>
  <c r="BF122" i="7"/>
  <c r="BD121" i="7"/>
  <c r="BF121" i="7"/>
  <c r="BF120" i="7"/>
  <c r="BD120" i="7"/>
  <c r="BD119" i="7"/>
  <c r="BF119" i="7"/>
  <c r="BF118" i="7"/>
  <c r="BD118" i="7"/>
  <c r="BF117" i="7"/>
  <c r="BD117" i="7"/>
  <c r="BF116" i="7"/>
  <c r="BD116" i="7"/>
  <c r="BD115" i="7"/>
  <c r="BF115" i="7"/>
  <c r="BF114" i="7"/>
  <c r="BD114" i="7"/>
  <c r="BF113" i="7"/>
  <c r="BD113" i="7"/>
  <c r="BF112" i="7"/>
  <c r="BD112" i="7"/>
  <c r="BF111" i="7"/>
  <c r="BD111" i="7"/>
  <c r="BD110" i="7"/>
  <c r="BF110" i="7"/>
  <c r="BD109" i="7"/>
  <c r="BF109" i="7"/>
  <c r="BD108" i="7"/>
  <c r="BF108" i="7"/>
  <c r="BD107" i="7"/>
  <c r="BF107" i="7"/>
  <c r="BD106" i="7"/>
  <c r="BF106" i="7"/>
  <c r="BD105" i="7"/>
  <c r="BF105" i="7"/>
  <c r="BD104" i="7"/>
  <c r="BF104" i="7"/>
  <c r="BD103" i="7"/>
  <c r="BF103" i="7"/>
  <c r="BD102" i="7"/>
  <c r="BF102" i="7"/>
  <c r="BD101" i="7"/>
  <c r="BF101" i="7"/>
  <c r="BD100" i="7"/>
  <c r="BF100" i="7"/>
  <c r="BD99" i="7"/>
  <c r="BF99" i="7"/>
  <c r="BD98" i="7"/>
  <c r="BF98" i="7"/>
  <c r="BD97" i="7"/>
  <c r="BF97" i="7"/>
  <c r="BD96" i="7"/>
  <c r="BF96" i="7"/>
  <c r="BD95" i="7"/>
  <c r="BF95" i="7"/>
  <c r="BD94" i="7"/>
  <c r="BF94" i="7"/>
  <c r="BD93" i="7"/>
  <c r="BF93" i="7"/>
  <c r="BD92" i="7"/>
  <c r="BF92" i="7"/>
  <c r="BD91" i="7"/>
  <c r="BF91" i="7"/>
  <c r="BD90" i="7"/>
  <c r="BF90" i="7"/>
  <c r="BD89" i="7"/>
  <c r="BF89" i="7"/>
  <c r="BD88" i="7"/>
  <c r="BF88" i="7"/>
  <c r="BD87" i="7"/>
  <c r="BF87" i="7"/>
  <c r="BD86" i="7"/>
  <c r="BF86" i="7"/>
  <c r="BD85" i="7"/>
  <c r="BF85" i="7"/>
  <c r="BD84" i="7"/>
  <c r="BF84" i="7"/>
  <c r="BD83" i="7"/>
  <c r="BF83" i="7"/>
  <c r="BD82" i="7"/>
  <c r="BF82" i="7"/>
  <c r="BD81" i="7"/>
  <c r="BF81" i="7"/>
  <c r="BD80" i="7"/>
  <c r="BF80" i="7"/>
  <c r="BD79" i="7"/>
  <c r="BF79" i="7"/>
  <c r="BD78" i="7"/>
  <c r="BF78" i="7"/>
  <c r="BD77" i="7"/>
  <c r="BF77" i="7"/>
  <c r="BD76" i="7"/>
  <c r="BF76" i="7"/>
  <c r="BD75" i="7"/>
  <c r="BF75" i="7"/>
  <c r="BD74" i="7"/>
  <c r="BF74" i="7"/>
  <c r="BD73" i="7"/>
  <c r="BF73" i="7"/>
  <c r="BD72" i="7"/>
  <c r="BF72" i="7"/>
  <c r="BD71" i="7"/>
  <c r="BF71" i="7"/>
  <c r="BD70" i="7"/>
  <c r="BF70" i="7"/>
  <c r="BD69" i="7"/>
  <c r="BF69" i="7"/>
  <c r="BD68" i="7"/>
  <c r="BF68" i="7"/>
  <c r="BD67" i="7"/>
  <c r="BF67" i="7"/>
  <c r="BD66" i="7"/>
  <c r="BF66" i="7"/>
  <c r="BD65" i="7"/>
  <c r="BF65" i="7"/>
  <c r="BD64" i="7"/>
  <c r="BF64" i="7"/>
  <c r="BD63" i="7"/>
  <c r="BF63" i="7"/>
  <c r="BD62" i="7"/>
  <c r="BF62" i="7"/>
  <c r="BD61" i="7"/>
  <c r="BF61" i="7"/>
  <c r="BD60" i="7"/>
  <c r="BF60" i="7"/>
  <c r="BD59" i="7"/>
  <c r="BF59" i="7"/>
  <c r="BD58" i="7"/>
  <c r="BF58" i="7"/>
  <c r="BD57" i="7"/>
  <c r="BF57" i="7"/>
  <c r="BF56" i="7"/>
  <c r="BD56" i="7"/>
  <c r="BD55" i="7"/>
  <c r="BF55" i="7"/>
  <c r="BF54" i="7"/>
  <c r="BD54" i="7"/>
  <c r="BD53" i="7"/>
  <c r="BF53" i="7"/>
  <c r="BD52" i="7"/>
  <c r="BF52" i="7"/>
  <c r="BD51" i="7"/>
  <c r="BF51" i="7"/>
  <c r="BF50" i="7"/>
  <c r="BD50" i="7"/>
  <c r="BF49" i="7"/>
  <c r="BD49" i="7"/>
  <c r="BF48" i="7"/>
  <c r="BD48" i="7"/>
  <c r="BD47" i="7"/>
  <c r="BF47" i="7"/>
  <c r="BF46" i="7"/>
  <c r="BD46" i="7"/>
  <c r="BD45" i="7"/>
  <c r="BF45" i="7"/>
  <c r="BF44" i="7"/>
  <c r="BD44" i="7"/>
  <c r="BD43" i="7"/>
  <c r="BF43" i="7"/>
  <c r="BD42" i="7"/>
  <c r="BF42" i="7"/>
  <c r="BD41" i="7"/>
  <c r="BF41" i="7"/>
  <c r="BD40" i="7"/>
  <c r="BF40" i="7"/>
  <c r="BD39" i="7"/>
  <c r="BF39" i="7"/>
  <c r="BD38" i="7"/>
  <c r="BF38" i="7"/>
  <c r="BD37" i="7"/>
  <c r="BF37" i="7"/>
  <c r="BD36" i="7"/>
  <c r="BF36" i="7"/>
  <c r="BD35" i="7"/>
  <c r="BF35" i="7"/>
  <c r="BD33" i="7"/>
  <c r="BF33" i="7"/>
  <c r="BD32" i="7"/>
  <c r="BF32" i="7"/>
  <c r="BD31" i="7"/>
  <c r="BF31" i="7"/>
  <c r="BD30" i="7"/>
  <c r="BF30" i="7"/>
  <c r="BD29" i="7"/>
  <c r="BF29" i="7"/>
  <c r="BD28" i="7"/>
  <c r="BF28" i="7"/>
  <c r="BD27" i="7"/>
  <c r="BF27" i="7"/>
  <c r="BD26" i="7"/>
  <c r="BF26" i="7"/>
  <c r="BD25" i="7"/>
  <c r="BF25" i="7"/>
  <c r="BD24" i="7"/>
  <c r="BF24" i="7"/>
  <c r="BD23" i="7"/>
  <c r="BF23" i="7"/>
  <c r="BD22" i="7"/>
  <c r="BF22" i="7"/>
  <c r="BD21" i="7"/>
  <c r="BF21" i="7"/>
  <c r="BD20" i="7"/>
  <c r="BF20" i="7"/>
  <c r="BD19" i="7"/>
  <c r="BF19" i="7"/>
  <c r="BF18" i="7"/>
  <c r="BD18" i="7"/>
  <c r="BF17" i="7"/>
  <c r="BD17" i="7"/>
  <c r="BD16" i="7"/>
  <c r="BF16" i="7"/>
  <c r="BD15" i="7"/>
  <c r="BF15" i="7"/>
  <c r="BD14" i="7"/>
  <c r="BF14" i="7"/>
  <c r="BD13" i="7"/>
  <c r="BF13" i="7"/>
  <c r="BF12" i="7"/>
  <c r="BD12" i="7"/>
  <c r="BD11" i="7"/>
  <c r="BF11" i="7"/>
  <c r="BF10" i="7"/>
  <c r="BD10" i="7"/>
  <c r="BD9" i="7"/>
  <c r="BF9" i="7"/>
  <c r="BD8" i="7"/>
  <c r="BF8" i="7"/>
  <c r="BD7" i="7"/>
  <c r="BF7" i="7"/>
  <c r="BD6" i="7"/>
  <c r="BF6" i="7"/>
  <c r="BD5" i="7"/>
  <c r="BF5" i="7"/>
  <c r="BD4" i="7"/>
  <c r="BF4" i="7"/>
  <c r="CU353" i="5"/>
  <c r="CV353" i="5" s="1"/>
  <c r="CU351" i="5"/>
  <c r="CU354" i="5"/>
  <c r="CU330" i="5"/>
  <c r="CU329" i="5"/>
  <c r="CU328" i="5"/>
  <c r="CU324" i="5"/>
  <c r="CU322" i="5"/>
  <c r="CU321" i="5"/>
  <c r="CU320" i="5"/>
  <c r="CU319" i="5"/>
  <c r="CU318" i="5"/>
  <c r="CU317" i="5"/>
  <c r="CU316" i="5"/>
  <c r="CU315" i="5"/>
  <c r="CU314" i="5"/>
  <c r="CU313" i="5"/>
  <c r="CU312" i="5"/>
  <c r="CU311" i="5"/>
  <c r="CU310" i="5"/>
  <c r="CU308" i="5"/>
  <c r="CU307" i="5"/>
  <c r="CU306" i="5"/>
  <c r="CU305" i="5"/>
  <c r="CU304" i="5"/>
  <c r="CU303" i="5"/>
  <c r="CU302" i="5"/>
  <c r="CU301" i="5"/>
  <c r="CU300" i="5"/>
  <c r="CU299" i="5"/>
  <c r="CU298" i="5"/>
  <c r="CU297" i="5"/>
  <c r="CU296" i="5"/>
  <c r="CU295" i="5"/>
  <c r="CU294" i="5"/>
  <c r="CU293" i="5"/>
  <c r="CU292" i="5"/>
  <c r="CU291" i="5"/>
  <c r="CU290" i="5"/>
  <c r="CU289" i="5"/>
  <c r="CU288" i="5"/>
  <c r="CU287" i="5"/>
  <c r="CU286" i="5"/>
  <c r="CU285" i="5"/>
  <c r="CU282" i="5"/>
  <c r="CU281" i="5"/>
  <c r="CU280" i="5"/>
  <c r="CU279" i="5"/>
  <c r="CU277" i="5"/>
  <c r="CU276" i="5"/>
  <c r="CU275" i="5"/>
  <c r="CU274" i="5"/>
  <c r="CU273" i="5"/>
  <c r="CU272" i="5"/>
  <c r="CU271" i="5"/>
  <c r="CU270" i="5"/>
  <c r="CU269" i="5"/>
  <c r="CU29" i="5"/>
  <c r="CU28" i="5"/>
  <c r="CU27" i="5"/>
  <c r="CU26" i="5"/>
  <c r="CU25" i="5"/>
  <c r="CU24" i="5"/>
  <c r="CU23" i="5"/>
  <c r="CU22" i="5"/>
  <c r="CU21" i="5"/>
  <c r="CU20" i="5"/>
  <c r="CU19" i="5"/>
  <c r="CU18" i="5"/>
  <c r="CU17" i="5"/>
  <c r="CU16" i="5"/>
  <c r="CU15" i="5"/>
  <c r="CU14" i="5"/>
  <c r="CU13" i="5"/>
  <c r="CU12" i="5"/>
  <c r="CU11" i="5"/>
  <c r="CU10" i="5"/>
  <c r="CU9" i="5"/>
  <c r="CU8" i="5"/>
  <c r="CU7" i="5"/>
  <c r="CU6" i="5"/>
  <c r="CU327" i="5"/>
  <c r="CU326" i="5"/>
  <c r="CU323" i="5"/>
  <c r="CU30" i="5"/>
  <c r="CU267" i="5"/>
  <c r="CU266" i="5"/>
  <c r="CU264" i="5"/>
  <c r="CU263" i="5"/>
  <c r="CU261" i="5"/>
  <c r="CU259" i="5"/>
  <c r="CU257" i="5"/>
  <c r="CU255" i="5"/>
  <c r="CU253" i="5"/>
  <c r="CU247" i="5"/>
  <c r="CU233" i="5"/>
  <c r="CU194" i="5"/>
  <c r="CU184" i="5"/>
  <c r="CU182" i="5"/>
  <c r="CU180" i="5"/>
  <c r="CU178" i="5"/>
  <c r="CU268" i="5"/>
  <c r="CU265" i="5"/>
  <c r="CU262" i="5"/>
  <c r="CU260" i="5"/>
  <c r="CU258" i="5"/>
  <c r="CU256" i="5"/>
  <c r="CU254" i="5"/>
  <c r="CU252" i="5"/>
  <c r="CU251" i="5"/>
  <c r="CU250" i="5"/>
  <c r="CU249" i="5"/>
  <c r="CU246" i="5"/>
  <c r="CU245" i="5"/>
  <c r="CU244" i="5"/>
  <c r="CU243" i="5"/>
  <c r="CU242" i="5"/>
  <c r="CU240" i="5"/>
  <c r="CU239" i="5"/>
  <c r="CU238" i="5"/>
  <c r="CU237" i="5"/>
  <c r="CU236" i="5"/>
  <c r="CU235" i="5"/>
  <c r="CU234" i="5"/>
  <c r="CU232" i="5"/>
  <c r="CU231" i="5"/>
  <c r="CU230" i="5"/>
  <c r="CU229" i="5"/>
  <c r="CU228" i="5"/>
  <c r="CU227" i="5"/>
  <c r="CU226" i="5"/>
  <c r="CU225" i="5"/>
  <c r="CU224" i="5"/>
  <c r="CU223" i="5"/>
  <c r="CU222" i="5"/>
  <c r="CU221" i="5"/>
  <c r="CU220" i="5"/>
  <c r="CU219" i="5"/>
  <c r="CU218" i="5"/>
  <c r="CU216" i="5"/>
  <c r="CU215" i="5"/>
  <c r="CU214" i="5"/>
  <c r="CU213" i="5"/>
  <c r="CU212" i="5"/>
  <c r="CU211" i="5"/>
  <c r="CU210" i="5"/>
  <c r="CU209" i="5"/>
  <c r="CU208" i="5"/>
  <c r="CU207" i="5"/>
  <c r="CU206" i="5"/>
  <c r="CU205" i="5"/>
  <c r="CU204" i="5"/>
  <c r="CU203" i="5"/>
  <c r="CU202" i="5"/>
  <c r="CU201" i="5"/>
  <c r="CU200" i="5"/>
  <c r="CU198" i="5"/>
  <c r="CU197" i="5"/>
  <c r="CU196" i="5"/>
  <c r="CU195" i="5"/>
  <c r="CU191" i="5"/>
  <c r="CU190" i="5"/>
  <c r="CU189" i="5"/>
  <c r="CU188" i="5"/>
  <c r="CU187" i="5"/>
  <c r="CU185" i="5"/>
  <c r="CU183" i="5"/>
  <c r="CU181" i="5"/>
  <c r="CU179" i="5"/>
  <c r="CU177" i="5"/>
  <c r="CU176" i="5"/>
  <c r="CU175" i="5"/>
  <c r="CU174" i="5"/>
  <c r="CU173" i="5"/>
  <c r="CU172" i="5"/>
  <c r="CU171" i="5"/>
  <c r="CU170" i="5"/>
  <c r="CU169" i="5"/>
  <c r="CU168" i="5"/>
  <c r="CU167" i="5"/>
  <c r="CU166" i="5"/>
  <c r="CU165" i="5"/>
  <c r="CU164" i="5"/>
  <c r="CU163" i="5"/>
  <c r="CU162" i="5"/>
  <c r="CU161" i="5"/>
  <c r="CU160" i="5"/>
  <c r="CU159" i="5"/>
  <c r="CU158" i="5"/>
  <c r="CU155" i="5"/>
  <c r="CU154" i="5"/>
  <c r="CU153" i="5"/>
  <c r="CU152" i="5"/>
  <c r="CU151" i="5"/>
  <c r="CU150" i="5"/>
  <c r="CU149" i="5"/>
  <c r="CU148" i="5"/>
  <c r="CU147" i="5"/>
  <c r="CU146" i="5"/>
  <c r="CU145" i="5"/>
  <c r="CU144" i="5"/>
  <c r="CU143" i="5"/>
  <c r="CU142" i="5"/>
  <c r="CU141" i="5"/>
  <c r="CU140" i="5"/>
  <c r="CU139" i="5"/>
  <c r="CU138" i="5"/>
  <c r="CU137" i="5"/>
  <c r="CU136" i="5"/>
  <c r="CU135" i="5"/>
  <c r="CU134" i="5"/>
  <c r="CU133" i="5"/>
  <c r="CU132" i="5"/>
  <c r="CU131" i="5"/>
  <c r="CU130" i="5"/>
  <c r="CU129" i="5"/>
  <c r="CU128" i="5"/>
  <c r="CU127" i="5"/>
  <c r="CU126" i="5"/>
  <c r="CU124" i="5"/>
  <c r="CU123" i="5"/>
  <c r="CU122" i="5"/>
  <c r="CU121" i="5"/>
  <c r="CU120" i="5"/>
  <c r="CU119" i="5"/>
  <c r="CU118" i="5"/>
  <c r="CU117" i="5"/>
  <c r="CU116" i="5"/>
  <c r="CU114" i="5"/>
  <c r="CU113" i="5"/>
  <c r="CU112" i="5"/>
  <c r="CU111" i="5"/>
  <c r="CU110" i="5"/>
  <c r="CU109" i="5"/>
  <c r="CU108" i="5"/>
  <c r="CU107" i="5"/>
  <c r="CU106" i="5"/>
  <c r="CU105" i="5"/>
  <c r="CU104" i="5"/>
  <c r="CU103" i="5"/>
  <c r="CU102" i="5"/>
  <c r="CU101" i="5"/>
  <c r="CU100" i="5"/>
  <c r="CU99" i="5"/>
  <c r="CU98" i="5"/>
  <c r="CU97" i="5"/>
  <c r="CU96" i="5"/>
  <c r="CU94" i="5"/>
  <c r="CU93" i="5"/>
  <c r="BE264" i="1"/>
  <c r="CV369" i="5"/>
  <c r="CX369" i="5"/>
  <c r="CV368" i="5"/>
  <c r="CX368" i="5"/>
  <c r="CV367" i="5"/>
  <c r="CX367" i="5"/>
  <c r="CV366" i="5"/>
  <c r="CX366" i="5"/>
  <c r="CX365" i="5"/>
  <c r="CV365" i="5"/>
  <c r="CX364" i="5"/>
  <c r="CV364" i="5"/>
  <c r="CV363" i="5"/>
  <c r="CX363" i="5"/>
  <c r="CV362" i="5"/>
  <c r="CX362" i="5"/>
  <c r="CV361" i="5"/>
  <c r="CX361" i="5"/>
  <c r="CV360" i="5"/>
  <c r="CX360" i="5"/>
  <c r="CV359" i="5"/>
  <c r="CX359" i="5"/>
  <c r="CV358" i="5"/>
  <c r="CX358" i="5"/>
  <c r="CV357" i="5"/>
  <c r="CX357" i="5"/>
  <c r="CV356" i="5"/>
  <c r="CX356" i="5"/>
  <c r="CX355" i="5"/>
  <c r="CV355" i="5"/>
  <c r="CV354" i="5"/>
  <c r="CX354" i="5"/>
  <c r="CX353" i="5"/>
  <c r="CV352" i="5"/>
  <c r="CX352" i="5"/>
  <c r="CV351" i="5"/>
  <c r="CX351" i="5"/>
  <c r="CV350" i="5"/>
  <c r="CX350" i="5"/>
  <c r="CV349" i="5"/>
  <c r="CX349" i="5"/>
  <c r="CV348" i="5"/>
  <c r="CX348" i="5"/>
  <c r="CV347" i="5"/>
  <c r="CX347" i="5"/>
  <c r="CV346" i="5"/>
  <c r="CX346" i="5"/>
  <c r="CX345" i="5"/>
  <c r="CV345" i="5"/>
  <c r="CV344" i="5"/>
  <c r="CX344" i="5"/>
  <c r="CV343" i="5"/>
  <c r="CX343" i="5"/>
  <c r="CV342" i="5"/>
  <c r="CX342" i="5"/>
  <c r="CX341" i="5"/>
  <c r="CV341" i="5"/>
  <c r="CX340" i="5"/>
  <c r="CV340" i="5"/>
  <c r="CV339" i="5"/>
  <c r="CX339" i="5"/>
  <c r="CX338" i="5"/>
  <c r="CV338" i="5"/>
  <c r="CV337" i="5"/>
  <c r="CX337" i="5"/>
  <c r="CV336" i="5"/>
  <c r="CX336" i="5"/>
  <c r="CV335" i="5"/>
  <c r="CX335" i="5"/>
  <c r="CV334" i="5"/>
  <c r="CX334" i="5"/>
  <c r="CV333" i="5"/>
  <c r="CX333" i="5"/>
  <c r="CX332" i="5"/>
  <c r="CV332" i="5"/>
  <c r="CX331" i="5"/>
  <c r="CV331" i="5"/>
  <c r="CX330" i="5"/>
  <c r="CV330" i="5"/>
  <c r="CX329" i="5"/>
  <c r="CV329" i="5"/>
  <c r="CX328" i="5"/>
  <c r="CV328" i="5"/>
  <c r="CX325" i="5"/>
  <c r="CV325" i="5"/>
  <c r="CV309" i="5"/>
  <c r="CX309" i="5"/>
  <c r="CX284" i="5"/>
  <c r="CV284" i="5"/>
  <c r="CV283" i="5"/>
  <c r="CX283" i="5"/>
  <c r="CX278" i="5"/>
  <c r="CV278" i="5"/>
  <c r="CX248" i="5"/>
  <c r="CV248" i="5"/>
  <c r="CX241" i="5"/>
  <c r="CV241" i="5"/>
  <c r="CX217" i="5"/>
  <c r="CV217" i="5"/>
  <c r="CV199" i="5"/>
  <c r="CX199" i="5"/>
  <c r="CV193" i="5"/>
  <c r="CX193" i="5"/>
  <c r="CX192" i="5"/>
  <c r="CV192" i="5"/>
  <c r="CV186" i="5"/>
  <c r="CX186" i="5"/>
  <c r="CV157" i="5"/>
  <c r="CX157" i="5"/>
  <c r="CV156" i="5"/>
  <c r="CX156" i="5"/>
  <c r="CX125" i="5"/>
  <c r="CV125" i="5"/>
  <c r="CX115" i="5"/>
  <c r="CV115" i="5"/>
  <c r="CV95" i="5"/>
  <c r="CX95" i="5"/>
  <c r="CX92" i="5"/>
  <c r="CV92" i="5"/>
  <c r="CX91" i="5"/>
  <c r="CV91" i="5"/>
  <c r="CX90" i="5"/>
  <c r="CV90" i="5"/>
  <c r="CV89" i="5"/>
  <c r="CX89" i="5"/>
  <c r="CX88" i="5"/>
  <c r="CV88" i="5"/>
  <c r="CV87" i="5"/>
  <c r="CX87" i="5"/>
  <c r="CV86" i="5"/>
  <c r="CX86" i="5"/>
  <c r="CV85" i="5"/>
  <c r="CX85" i="5"/>
  <c r="CV84" i="5"/>
  <c r="CX84" i="5"/>
  <c r="CV83" i="5"/>
  <c r="CX83" i="5"/>
  <c r="CV82" i="5"/>
  <c r="CX82" i="5"/>
  <c r="CV81" i="5"/>
  <c r="CX81" i="5"/>
  <c r="CX80" i="5"/>
  <c r="CV80" i="5"/>
  <c r="CX79" i="5"/>
  <c r="CV79" i="5"/>
  <c r="CV78" i="5"/>
  <c r="CX78" i="5"/>
  <c r="CV77" i="5"/>
  <c r="CX77" i="5"/>
  <c r="CX76" i="5"/>
  <c r="CV76" i="5"/>
  <c r="CX75" i="5"/>
  <c r="CV75" i="5"/>
  <c r="CV74" i="5"/>
  <c r="CX74" i="5"/>
  <c r="CX73" i="5"/>
  <c r="CV73" i="5"/>
  <c r="CX72" i="5"/>
  <c r="CV72" i="5"/>
  <c r="CX71" i="5"/>
  <c r="CV71" i="5"/>
  <c r="CV70" i="5"/>
  <c r="CX70" i="5"/>
  <c r="CX69" i="5"/>
  <c r="CV69" i="5"/>
  <c r="CX68" i="5"/>
  <c r="CV68" i="5"/>
  <c r="CX67" i="5"/>
  <c r="CV67" i="5"/>
  <c r="CX66" i="5"/>
  <c r="CV66" i="5"/>
  <c r="CV65" i="5"/>
  <c r="CX65" i="5"/>
  <c r="CX64" i="5"/>
  <c r="CV64" i="5"/>
  <c r="CX63" i="5"/>
  <c r="CV63" i="5"/>
  <c r="CV62" i="5"/>
  <c r="CX62" i="5"/>
  <c r="CV61" i="5"/>
  <c r="CX61" i="5"/>
  <c r="CV60" i="5"/>
  <c r="CX60" i="5"/>
  <c r="CX59" i="5"/>
  <c r="CV59" i="5"/>
  <c r="CV58" i="5"/>
  <c r="CX58" i="5"/>
  <c r="CX57" i="5"/>
  <c r="CV57" i="5"/>
  <c r="CV56" i="5"/>
  <c r="CX56" i="5"/>
  <c r="CV55" i="5"/>
  <c r="CX55" i="5"/>
  <c r="CX54" i="5"/>
  <c r="CV54" i="5"/>
  <c r="CX53" i="5"/>
  <c r="CV53" i="5"/>
  <c r="CX52" i="5"/>
  <c r="CV52" i="5"/>
  <c r="CV51" i="5"/>
  <c r="CX51" i="5"/>
  <c r="CX50" i="5"/>
  <c r="CV50" i="5"/>
  <c r="CX49" i="5"/>
  <c r="CV49" i="5"/>
  <c r="CX48" i="5"/>
  <c r="CV48" i="5"/>
  <c r="CX47" i="5"/>
  <c r="CV47" i="5"/>
  <c r="CV46" i="5"/>
  <c r="CX46" i="5"/>
  <c r="CV45" i="5"/>
  <c r="CX45" i="5"/>
  <c r="CX44" i="5"/>
  <c r="CV44" i="5"/>
  <c r="CX43" i="5"/>
  <c r="CV43" i="5"/>
  <c r="CV42" i="5"/>
  <c r="CX42" i="5"/>
  <c r="CX41" i="5"/>
  <c r="CV41" i="5"/>
  <c r="CX40" i="5"/>
  <c r="CV40" i="5"/>
  <c r="CV39" i="5"/>
  <c r="CX39" i="5"/>
  <c r="CX38" i="5"/>
  <c r="CV38" i="5"/>
  <c r="CX37" i="5"/>
  <c r="CV37" i="5"/>
  <c r="CV36" i="5"/>
  <c r="CX36" i="5"/>
  <c r="CX34" i="5"/>
  <c r="CV34" i="5"/>
  <c r="CV33" i="5"/>
  <c r="CX33" i="5"/>
  <c r="CV32" i="5"/>
  <c r="CX32" i="5"/>
  <c r="CV31" i="5"/>
  <c r="CX31" i="5"/>
  <c r="CV5" i="5"/>
  <c r="CX5" i="5"/>
  <c r="BE303" i="1"/>
  <c r="BE302" i="1"/>
  <c r="BE301" i="1"/>
  <c r="BE300" i="1"/>
  <c r="BE299" i="1"/>
  <c r="BE298" i="1"/>
  <c r="BE288" i="1"/>
  <c r="BE287" i="1"/>
  <c r="BE286" i="1"/>
  <c r="BE285" i="1"/>
  <c r="BE284" i="1"/>
  <c r="BE283" i="1"/>
  <c r="BE273" i="1"/>
  <c r="BE272" i="1"/>
  <c r="BE271" i="1"/>
  <c r="BE270" i="1"/>
  <c r="BE269" i="1"/>
  <c r="BE268" i="1"/>
  <c r="BE258" i="1"/>
  <c r="BE257" i="1"/>
  <c r="BE256" i="1"/>
  <c r="BE255" i="1"/>
  <c r="BE254" i="1"/>
  <c r="BE253" i="1"/>
  <c r="BE243" i="1"/>
  <c r="BE242" i="1"/>
  <c r="BE241" i="1"/>
  <c r="BE213" i="1"/>
  <c r="BE211" i="1"/>
  <c r="BE210" i="1"/>
  <c r="BE209" i="1"/>
  <c r="BE368" i="1"/>
  <c r="BE367" i="1"/>
  <c r="BE366" i="1"/>
  <c r="BE365" i="1"/>
  <c r="BE357" i="1"/>
  <c r="BE356" i="1"/>
  <c r="BE204" i="1"/>
  <c r="BE203" i="1"/>
  <c r="BE202" i="1"/>
  <c r="BE199" i="1"/>
  <c r="BE201" i="1"/>
  <c r="BE200" i="1"/>
  <c r="BE212" i="1"/>
  <c r="BE240" i="1"/>
  <c r="BE235" i="1"/>
  <c r="BE230" i="1"/>
  <c r="BE228" i="1"/>
  <c r="BE225" i="1"/>
  <c r="BE223" i="1"/>
  <c r="BE195" i="1"/>
  <c r="BE193" i="1"/>
  <c r="BE191" i="1"/>
  <c r="BE189" i="1"/>
  <c r="BE187" i="1"/>
  <c r="BE182" i="1"/>
  <c r="BE179" i="1"/>
  <c r="BE176" i="1"/>
  <c r="BE174" i="1"/>
  <c r="BE172" i="1"/>
  <c r="BE164" i="1"/>
  <c r="BE159" i="1"/>
  <c r="BE157" i="1"/>
  <c r="BE154" i="1"/>
  <c r="BE152" i="1"/>
  <c r="BE150" i="1"/>
  <c r="BE146" i="1"/>
  <c r="BE144" i="1"/>
  <c r="BE137" i="1"/>
  <c r="BE133" i="1"/>
  <c r="BE130" i="1"/>
  <c r="BE93" i="1"/>
  <c r="BE81" i="1"/>
  <c r="BE78" i="1"/>
  <c r="BE76" i="1"/>
  <c r="BE72" i="1"/>
  <c r="BE69" i="1"/>
  <c r="BE66" i="1"/>
  <c r="BE64" i="1"/>
  <c r="BE61" i="1"/>
  <c r="BE58" i="1"/>
  <c r="BE55" i="1"/>
  <c r="BE52" i="1"/>
  <c r="BE49" i="1"/>
  <c r="BE44" i="1"/>
  <c r="BE40" i="1"/>
  <c r="BE38" i="1"/>
  <c r="BE36" i="1"/>
  <c r="BE33" i="1"/>
  <c r="BE30" i="1"/>
  <c r="BE27" i="1"/>
  <c r="BE24" i="1"/>
  <c r="BE22" i="1"/>
  <c r="BE12" i="1"/>
  <c r="BE9" i="1"/>
  <c r="BE6" i="1"/>
  <c r="BE239" i="1"/>
  <c r="BE234" i="1"/>
  <c r="BE232" i="1"/>
  <c r="BE229" i="1"/>
  <c r="BE227" i="1"/>
  <c r="BE224" i="1"/>
  <c r="BE196" i="1"/>
  <c r="BE194" i="1"/>
  <c r="BE186" i="1"/>
  <c r="BE180" i="1"/>
  <c r="BE178" i="1"/>
  <c r="BE173" i="1"/>
  <c r="BE170" i="1"/>
  <c r="BE166" i="1"/>
  <c r="BE165" i="1"/>
  <c r="BE162" i="1"/>
  <c r="BE160" i="1"/>
  <c r="BE158" i="1"/>
  <c r="BE156" i="1"/>
  <c r="BE145" i="1"/>
  <c r="BE141" i="1"/>
  <c r="BE139" i="1"/>
  <c r="BE135" i="1"/>
  <c r="BE131" i="1"/>
  <c r="BE128" i="1"/>
  <c r="BE126" i="1"/>
  <c r="BE124" i="1"/>
  <c r="BE122" i="1"/>
  <c r="BE120" i="1"/>
  <c r="BE119" i="1"/>
  <c r="BE117" i="1"/>
  <c r="BE115" i="1"/>
  <c r="BE113" i="1"/>
  <c r="BE112" i="1"/>
  <c r="BE110" i="1"/>
  <c r="BE108" i="1"/>
  <c r="BE107" i="1"/>
  <c r="BE105" i="1"/>
  <c r="BE104" i="1"/>
  <c r="BE102" i="1"/>
  <c r="BE101" i="1"/>
  <c r="BE99" i="1"/>
  <c r="BE98" i="1"/>
  <c r="BE95" i="1"/>
  <c r="BE94" i="1"/>
  <c r="BE90" i="1"/>
  <c r="BE89" i="1"/>
  <c r="BE87" i="1"/>
  <c r="BE84" i="1"/>
  <c r="BE79" i="1"/>
  <c r="BE75" i="1"/>
  <c r="BE73" i="1"/>
  <c r="BE70" i="1"/>
  <c r="BE67" i="1"/>
  <c r="BE62" i="1"/>
  <c r="BE56" i="1"/>
  <c r="BE54" i="1"/>
  <c r="BE50" i="1"/>
  <c r="BE47" i="1"/>
  <c r="BE42" i="1"/>
  <c r="BE32" i="1"/>
  <c r="BE25" i="1"/>
  <c r="BE19" i="1"/>
  <c r="BE17" i="1"/>
  <c r="BE8" i="1"/>
  <c r="BE238" i="1"/>
  <c r="BE231" i="1"/>
  <c r="BE226" i="1"/>
  <c r="BE222" i="1"/>
  <c r="BE197" i="1"/>
  <c r="BE192" i="1"/>
  <c r="BE188" i="1"/>
  <c r="BE185" i="1"/>
  <c r="BE181" i="1"/>
  <c r="BE177" i="1"/>
  <c r="BE175" i="1"/>
  <c r="BE169" i="1"/>
  <c r="BE167" i="1"/>
  <c r="BE163" i="1"/>
  <c r="BE155" i="1"/>
  <c r="BE153" i="1"/>
  <c r="BE149" i="1"/>
  <c r="BE147" i="1"/>
  <c r="BE142" i="1"/>
  <c r="BE140" i="1"/>
  <c r="BE138" i="1"/>
  <c r="BE136" i="1"/>
  <c r="BE129" i="1"/>
  <c r="BE125" i="1"/>
  <c r="BE123" i="1"/>
  <c r="BE121" i="1"/>
  <c r="BE118" i="1"/>
  <c r="BF118" i="1" s="1"/>
  <c r="BE116" i="1"/>
  <c r="BE111" i="1"/>
  <c r="BE88" i="1"/>
  <c r="BE85" i="1"/>
  <c r="BE83" i="1"/>
  <c r="BE80" i="1"/>
  <c r="BE77" i="1"/>
  <c r="BE74" i="1"/>
  <c r="BE71" i="1"/>
  <c r="BE60" i="1"/>
  <c r="BE57" i="1"/>
  <c r="BE53" i="1"/>
  <c r="BE45" i="1"/>
  <c r="BE43" i="1"/>
  <c r="BE41" i="1"/>
  <c r="BE37" i="1"/>
  <c r="BE35" i="1"/>
  <c r="BE31" i="1"/>
  <c r="BE29" i="1"/>
  <c r="BE23" i="1"/>
  <c r="BE18" i="1"/>
  <c r="BE16" i="1"/>
  <c r="BE13" i="1"/>
  <c r="BE11" i="1"/>
  <c r="BE7" i="1"/>
  <c r="BE5" i="1"/>
  <c r="BE237" i="1"/>
  <c r="BE198" i="1"/>
  <c r="BE183" i="1"/>
  <c r="BE171" i="1"/>
  <c r="BE161" i="1"/>
  <c r="BE148" i="1"/>
  <c r="BE132" i="1"/>
  <c r="BE127" i="1"/>
  <c r="BE106" i="1"/>
  <c r="BE100" i="1"/>
  <c r="BE96" i="1"/>
  <c r="BE91" i="1"/>
  <c r="BE86" i="1"/>
  <c r="BE68" i="1"/>
  <c r="BE63" i="1"/>
  <c r="BE59" i="1"/>
  <c r="BE46" i="1"/>
  <c r="BE26" i="1"/>
  <c r="BE20" i="1"/>
  <c r="BE14" i="1"/>
  <c r="BE4" i="1"/>
  <c r="BE236" i="1"/>
  <c r="BE233" i="1"/>
  <c r="BE190" i="1"/>
  <c r="BE184" i="1"/>
  <c r="BE168" i="1"/>
  <c r="BE151" i="1"/>
  <c r="BE143" i="1"/>
  <c r="BE134" i="1"/>
  <c r="BE114" i="1"/>
  <c r="BE109" i="1"/>
  <c r="BE103" i="1"/>
  <c r="BE97" i="1"/>
  <c r="BE92" i="1"/>
  <c r="BE82" i="1"/>
  <c r="BE65" i="1"/>
  <c r="BE51" i="1"/>
  <c r="BE48" i="1"/>
  <c r="BE39" i="1"/>
  <c r="BE28" i="1"/>
  <c r="BE21" i="1"/>
  <c r="BE15" i="1"/>
  <c r="BE10" i="1"/>
  <c r="BH364" i="1"/>
  <c r="BF364" i="1"/>
  <c r="BH363" i="1"/>
  <c r="BF363" i="1"/>
  <c r="BH362" i="1"/>
  <c r="BF362" i="1"/>
  <c r="BH361" i="1"/>
  <c r="BF361" i="1"/>
  <c r="BH360" i="1"/>
  <c r="BF360" i="1"/>
  <c r="BH359" i="1"/>
  <c r="BF359" i="1"/>
  <c r="BH358" i="1"/>
  <c r="BF358" i="1"/>
  <c r="BH355" i="1"/>
  <c r="BF355" i="1"/>
  <c r="BH354" i="1"/>
  <c r="BF354" i="1"/>
  <c r="BH353" i="1"/>
  <c r="BF353" i="1"/>
  <c r="BH352" i="1"/>
  <c r="BF352" i="1"/>
  <c r="BH351" i="1"/>
  <c r="BF351" i="1"/>
  <c r="BF350" i="1"/>
  <c r="BH350" i="1"/>
  <c r="BF349" i="1"/>
  <c r="BH349" i="1"/>
  <c r="BH348" i="1"/>
  <c r="BF348" i="1"/>
  <c r="BH347" i="1"/>
  <c r="BF347" i="1"/>
  <c r="BF346" i="1"/>
  <c r="BH346" i="1"/>
  <c r="BH345" i="1"/>
  <c r="BF345" i="1"/>
  <c r="BF344" i="1"/>
  <c r="BH344" i="1"/>
  <c r="BH343" i="1"/>
  <c r="BF343" i="1"/>
  <c r="BH342" i="1"/>
  <c r="BF342" i="1"/>
  <c r="BH341" i="1"/>
  <c r="BF341" i="1"/>
  <c r="BH340" i="1"/>
  <c r="BF340" i="1"/>
  <c r="BF339" i="1"/>
  <c r="BH339" i="1"/>
  <c r="BF338" i="1"/>
  <c r="BH338" i="1"/>
  <c r="BF337" i="1"/>
  <c r="BH337" i="1"/>
  <c r="BH336" i="1"/>
  <c r="BF336" i="1"/>
  <c r="BH335" i="1"/>
  <c r="BF335" i="1"/>
  <c r="BF333" i="1"/>
  <c r="BH333" i="1"/>
  <c r="BF332" i="1"/>
  <c r="BH332" i="1"/>
  <c r="BF331" i="1"/>
  <c r="BH331" i="1"/>
  <c r="BF330" i="1"/>
  <c r="BH330" i="1"/>
  <c r="BF329" i="1"/>
  <c r="BH329" i="1"/>
  <c r="BF328" i="1"/>
  <c r="BH328" i="1"/>
  <c r="BH327" i="1"/>
  <c r="BF327" i="1"/>
  <c r="BF326" i="1"/>
  <c r="BH326" i="1"/>
  <c r="BF325" i="1"/>
  <c r="BH325" i="1"/>
  <c r="BF324" i="1"/>
  <c r="BH324" i="1"/>
  <c r="BH323" i="1"/>
  <c r="BF323" i="1"/>
  <c r="BF322" i="1"/>
  <c r="BH322" i="1"/>
  <c r="BF321" i="1"/>
  <c r="BH321" i="1"/>
  <c r="BF320" i="1"/>
  <c r="BH320" i="1"/>
  <c r="BF319" i="1"/>
  <c r="BH319" i="1"/>
  <c r="BF318" i="1"/>
  <c r="BH318" i="1"/>
  <c r="BF317" i="1"/>
  <c r="BH317" i="1"/>
  <c r="BF316" i="1"/>
  <c r="BH316" i="1"/>
  <c r="BF315" i="1"/>
  <c r="BH315" i="1"/>
  <c r="BF314" i="1"/>
  <c r="BH314" i="1"/>
  <c r="BF313" i="1"/>
  <c r="BH313" i="1"/>
  <c r="BH312" i="1"/>
  <c r="BF312" i="1"/>
  <c r="BF311" i="1"/>
  <c r="BH311" i="1"/>
  <c r="BF310" i="1"/>
  <c r="BH310" i="1"/>
  <c r="BF309" i="1"/>
  <c r="BH309" i="1"/>
  <c r="BF308" i="1"/>
  <c r="BH308" i="1"/>
  <c r="BF306" i="1"/>
  <c r="BH306" i="1"/>
  <c r="BH304" i="1"/>
  <c r="BF304" i="1"/>
  <c r="BH303" i="1"/>
  <c r="BF303" i="1"/>
  <c r="BF302" i="1"/>
  <c r="BH302" i="1"/>
  <c r="BH301" i="1"/>
  <c r="BF301" i="1"/>
  <c r="BF300" i="1"/>
  <c r="BH300" i="1"/>
  <c r="BH298" i="1"/>
  <c r="BF298" i="1"/>
  <c r="BH288" i="1"/>
  <c r="BF288" i="1"/>
  <c r="BH274" i="1"/>
  <c r="BF274" i="1"/>
  <c r="BF259" i="1"/>
  <c r="BH259" i="1"/>
  <c r="BF244" i="1"/>
  <c r="BH244" i="1"/>
  <c r="BH243" i="1"/>
  <c r="BF243" i="1"/>
  <c r="BF242" i="1"/>
  <c r="BH242" i="1"/>
  <c r="BH221" i="1"/>
  <c r="BF221" i="1"/>
  <c r="BF220" i="1"/>
  <c r="BH220" i="1"/>
  <c r="BH219" i="1"/>
  <c r="BF219" i="1"/>
  <c r="BF218" i="1"/>
  <c r="BH218" i="1"/>
  <c r="BH217" i="1"/>
  <c r="BF217" i="1"/>
  <c r="BH216" i="1"/>
  <c r="BF216" i="1"/>
  <c r="BH215" i="1"/>
  <c r="BF215" i="1"/>
  <c r="BF214" i="1"/>
  <c r="BH214" i="1"/>
  <c r="BF213" i="1"/>
  <c r="BH213" i="1"/>
  <c r="BF211" i="1"/>
  <c r="BH211" i="1"/>
  <c r="BF210" i="1"/>
  <c r="BH210" i="1"/>
  <c r="BF209" i="1"/>
  <c r="BH209" i="1"/>
  <c r="BH208" i="1"/>
  <c r="BF208" i="1"/>
  <c r="BH207" i="1"/>
  <c r="BF207" i="1"/>
  <c r="BH206" i="1"/>
  <c r="BF206" i="1"/>
  <c r="BH205" i="1"/>
  <c r="BF205" i="1"/>
  <c r="BA6" i="1"/>
  <c r="BC6" i="1"/>
  <c r="BC22" i="1"/>
  <c r="BC4" i="1"/>
  <c r="BA4" i="1"/>
  <c r="BC8" i="1"/>
  <c r="BA8" i="1"/>
  <c r="BA10" i="1"/>
  <c r="BC10" i="1"/>
  <c r="BC12" i="1"/>
  <c r="BA12" i="1"/>
  <c r="BA14" i="1"/>
  <c r="BC14" i="1"/>
  <c r="BC16" i="1"/>
  <c r="BA16" i="1"/>
  <c r="BC18" i="1"/>
  <c r="BA18" i="1"/>
  <c r="BC20" i="1"/>
  <c r="BA20" i="1"/>
  <c r="BA22" i="1"/>
  <c r="BC24" i="1"/>
  <c r="BA24" i="1"/>
  <c r="BC26" i="1"/>
  <c r="BA26" i="1"/>
  <c r="BH257" i="1" l="1"/>
  <c r="BF257" i="1"/>
  <c r="BF258" i="1"/>
  <c r="BH258" i="1"/>
  <c r="BF241" i="1"/>
  <c r="BH241" i="1"/>
  <c r="BF256" i="1"/>
  <c r="BH256" i="1"/>
  <c r="BH255" i="1"/>
  <c r="BF255" i="1"/>
  <c r="BH299" i="1"/>
  <c r="BF299" i="1"/>
  <c r="BH305" i="1"/>
  <c r="BF305" i="1"/>
  <c r="BF294" i="1"/>
  <c r="BH294" i="1"/>
  <c r="BH290" i="1"/>
  <c r="BF290" i="1"/>
  <c r="BF263" i="1"/>
  <c r="BH263" i="1"/>
  <c r="BH295" i="1"/>
  <c r="BF295" i="1"/>
  <c r="BH282" i="1"/>
  <c r="BF282" i="1"/>
  <c r="BF261" i="1"/>
  <c r="BH261" i="1"/>
  <c r="BH251" i="1"/>
  <c r="BF251" i="1"/>
  <c r="BF247" i="1"/>
  <c r="BH247" i="1"/>
  <c r="BF297" i="1"/>
  <c r="BH297" i="1"/>
  <c r="BF296" i="1"/>
  <c r="BH296" i="1"/>
  <c r="BF293" i="1"/>
  <c r="BH293" i="1"/>
  <c r="BH292" i="1"/>
  <c r="BF292" i="1"/>
  <c r="BH291" i="1"/>
  <c r="BF291" i="1"/>
  <c r="BH249" i="1"/>
  <c r="BF249" i="1"/>
  <c r="BH246" i="1"/>
  <c r="BF246" i="1"/>
  <c r="BF280" i="1"/>
  <c r="BH280" i="1"/>
  <c r="BF279" i="1"/>
  <c r="BH279" i="1"/>
  <c r="BF278" i="1"/>
  <c r="BH278" i="1"/>
  <c r="BH277" i="1"/>
  <c r="BF277" i="1"/>
  <c r="BH276" i="1"/>
  <c r="BF276" i="1"/>
  <c r="BF275" i="1"/>
  <c r="BH275" i="1"/>
  <c r="BF262" i="1"/>
  <c r="BH262" i="1"/>
  <c r="BH260" i="1"/>
  <c r="BF260" i="1"/>
  <c r="BH252" i="1"/>
  <c r="BF252" i="1"/>
  <c r="BH250" i="1"/>
  <c r="BF250" i="1"/>
  <c r="BH248" i="1"/>
  <c r="BF248" i="1"/>
  <c r="BH245" i="1"/>
  <c r="BF245" i="1"/>
  <c r="BH307" i="1"/>
  <c r="BF307" i="1"/>
  <c r="BH334" i="1"/>
  <c r="BF334" i="1"/>
  <c r="BF289" i="1"/>
  <c r="BH289" i="1"/>
  <c r="BH267" i="1"/>
  <c r="BF267" i="1"/>
  <c r="BF266" i="1"/>
  <c r="BH266" i="1"/>
  <c r="BF265" i="1"/>
  <c r="BH265" i="1"/>
  <c r="BH281" i="1"/>
  <c r="BF281" i="1"/>
  <c r="BF287" i="1"/>
  <c r="BH287" i="1"/>
  <c r="BH286" i="1"/>
  <c r="BF286" i="1"/>
  <c r="BF273" i="1"/>
  <c r="BH273" i="1"/>
  <c r="BH272" i="1"/>
  <c r="BF272" i="1"/>
  <c r="BH270" i="1"/>
  <c r="BF270" i="1"/>
  <c r="BH268" i="1"/>
  <c r="BF268" i="1"/>
  <c r="BF253" i="1"/>
  <c r="BH253" i="1"/>
  <c r="BF269" i="1"/>
  <c r="BH269" i="1"/>
  <c r="BH271" i="1"/>
  <c r="BF271" i="1"/>
  <c r="BH254" i="1"/>
  <c r="BF254" i="1"/>
  <c r="CX324" i="5"/>
  <c r="CV324" i="5"/>
  <c r="CX322" i="5"/>
  <c r="CV322" i="5"/>
  <c r="CV321" i="5"/>
  <c r="CX321" i="5"/>
  <c r="CV320" i="5"/>
  <c r="CX320" i="5"/>
  <c r="CV319" i="5"/>
  <c r="CX319" i="5"/>
  <c r="CV318" i="5"/>
  <c r="CX318" i="5"/>
  <c r="CV317" i="5"/>
  <c r="CX317" i="5"/>
  <c r="CX316" i="5"/>
  <c r="CV316" i="5"/>
  <c r="CX315" i="5"/>
  <c r="CV315" i="5"/>
  <c r="CV314" i="5"/>
  <c r="CX314" i="5"/>
  <c r="CX313" i="5"/>
  <c r="CV313" i="5"/>
  <c r="CX312" i="5"/>
  <c r="CV312" i="5"/>
  <c r="CX311" i="5"/>
  <c r="CV311" i="5"/>
  <c r="CX310" i="5"/>
  <c r="CV310" i="5"/>
  <c r="CV308" i="5"/>
  <c r="CX308" i="5"/>
  <c r="CX307" i="5"/>
  <c r="CV307" i="5"/>
  <c r="CX306" i="5"/>
  <c r="CV306" i="5"/>
  <c r="CV305" i="5"/>
  <c r="CX305" i="5"/>
  <c r="CX304" i="5"/>
  <c r="CV304" i="5"/>
  <c r="CV303" i="5"/>
  <c r="CX303" i="5"/>
  <c r="CV302" i="5"/>
  <c r="CX302" i="5"/>
  <c r="CV301" i="5"/>
  <c r="CX301" i="5"/>
  <c r="CV300" i="5"/>
  <c r="CX300" i="5"/>
  <c r="CX299" i="5"/>
  <c r="CV299" i="5"/>
  <c r="CX298" i="5"/>
  <c r="CV298" i="5"/>
  <c r="CX297" i="5"/>
  <c r="CV297" i="5"/>
  <c r="CX296" i="5"/>
  <c r="CV296" i="5"/>
  <c r="CX295" i="5"/>
  <c r="CV295" i="5"/>
  <c r="CV294" i="5"/>
  <c r="CX294" i="5"/>
  <c r="CV293" i="5"/>
  <c r="CX293" i="5"/>
  <c r="CX292" i="5"/>
  <c r="CV292" i="5"/>
  <c r="CX291" i="5"/>
  <c r="CV291" i="5"/>
  <c r="CX290" i="5"/>
  <c r="CV290" i="5"/>
  <c r="CV289" i="5"/>
  <c r="CX289" i="5"/>
  <c r="CV288" i="5"/>
  <c r="CX288" i="5"/>
  <c r="CV287" i="5"/>
  <c r="CX287" i="5"/>
  <c r="CV286" i="5"/>
  <c r="CX286" i="5"/>
  <c r="CX285" i="5"/>
  <c r="CV285" i="5"/>
  <c r="CX282" i="5"/>
  <c r="CV282" i="5"/>
  <c r="CV281" i="5"/>
  <c r="CX281" i="5"/>
  <c r="CV280" i="5"/>
  <c r="CX280" i="5"/>
  <c r="CV279" i="5"/>
  <c r="CX279" i="5"/>
  <c r="CV277" i="5"/>
  <c r="CX277" i="5"/>
  <c r="CV276" i="5"/>
  <c r="CX276" i="5"/>
  <c r="CX275" i="5"/>
  <c r="CV275" i="5"/>
  <c r="CX274" i="5"/>
  <c r="CV274" i="5"/>
  <c r="CV273" i="5"/>
  <c r="CX273" i="5"/>
  <c r="CX272" i="5"/>
  <c r="CV272" i="5"/>
  <c r="CV271" i="5"/>
  <c r="CX271" i="5"/>
  <c r="CX270" i="5"/>
  <c r="CV270" i="5"/>
  <c r="CX269" i="5"/>
  <c r="CV269" i="5"/>
  <c r="CV29" i="5"/>
  <c r="CX29" i="5"/>
  <c r="CV28" i="5"/>
  <c r="CX28" i="5"/>
  <c r="CV27" i="5"/>
  <c r="CX27" i="5"/>
  <c r="CV26" i="5"/>
  <c r="CX26" i="5"/>
  <c r="CV25" i="5"/>
  <c r="CX25" i="5"/>
  <c r="CV24" i="5"/>
  <c r="CX24" i="5"/>
  <c r="CV23" i="5"/>
  <c r="CX23" i="5"/>
  <c r="CV22" i="5"/>
  <c r="CX22" i="5"/>
  <c r="CV21" i="5"/>
  <c r="CX21" i="5"/>
  <c r="CX20" i="5"/>
  <c r="CV20" i="5"/>
  <c r="CV19" i="5"/>
  <c r="CX19" i="5"/>
  <c r="CX18" i="5"/>
  <c r="CV18" i="5"/>
  <c r="CX17" i="5"/>
  <c r="CV17" i="5"/>
  <c r="CX16" i="5"/>
  <c r="CV16" i="5"/>
  <c r="CX15" i="5"/>
  <c r="CV15" i="5"/>
  <c r="CV14" i="5"/>
  <c r="CX14" i="5"/>
  <c r="CX13" i="5"/>
  <c r="CV13" i="5"/>
  <c r="CX12" i="5"/>
  <c r="CV12" i="5"/>
  <c r="CV11" i="5"/>
  <c r="CX11" i="5"/>
  <c r="CX10" i="5"/>
  <c r="CV10" i="5"/>
  <c r="CX9" i="5"/>
  <c r="CV9" i="5"/>
  <c r="CV8" i="5"/>
  <c r="CX8" i="5"/>
  <c r="CV7" i="5"/>
  <c r="CX7" i="5"/>
  <c r="CX6" i="5"/>
  <c r="CV6" i="5"/>
  <c r="CX30" i="5"/>
  <c r="CV30" i="5"/>
  <c r="CV267" i="5"/>
  <c r="CX267" i="5"/>
  <c r="CV266" i="5"/>
  <c r="CX266" i="5"/>
  <c r="CV264" i="5"/>
  <c r="CX264" i="5"/>
  <c r="CX263" i="5"/>
  <c r="CV263" i="5"/>
  <c r="CV233" i="5"/>
  <c r="CX233" i="5"/>
  <c r="CX194" i="5"/>
  <c r="CV194" i="5"/>
  <c r="CV184" i="5"/>
  <c r="CX184" i="5"/>
  <c r="CX182" i="5"/>
  <c r="CV182" i="5"/>
  <c r="CV180" i="5"/>
  <c r="CX180" i="5"/>
  <c r="CX178" i="5"/>
  <c r="CV178" i="5"/>
  <c r="CV327" i="5"/>
  <c r="CX327" i="5"/>
  <c r="CX326" i="5"/>
  <c r="CV326" i="5"/>
  <c r="CX323" i="5"/>
  <c r="CV323" i="5"/>
  <c r="CX261" i="5"/>
  <c r="CV261" i="5"/>
  <c r="CV259" i="5"/>
  <c r="CX259" i="5"/>
  <c r="CV257" i="5"/>
  <c r="CX257" i="5"/>
  <c r="CV255" i="5"/>
  <c r="CX255" i="5"/>
  <c r="CV253" i="5"/>
  <c r="CX253" i="5"/>
  <c r="CV247" i="5"/>
  <c r="CX247" i="5"/>
  <c r="CV239" i="5"/>
  <c r="CX239" i="5"/>
  <c r="CV238" i="5"/>
  <c r="CX238" i="5"/>
  <c r="CV237" i="5"/>
  <c r="CX237" i="5"/>
  <c r="CX236" i="5"/>
  <c r="CV236" i="5"/>
  <c r="CV235" i="5"/>
  <c r="CX235" i="5"/>
  <c r="CX234" i="5"/>
  <c r="CV234" i="5"/>
  <c r="CV232" i="5"/>
  <c r="CX232" i="5"/>
  <c r="CV231" i="5"/>
  <c r="CX231" i="5"/>
  <c r="CX230" i="5"/>
  <c r="CV230" i="5"/>
  <c r="CV229" i="5"/>
  <c r="CX229" i="5"/>
  <c r="CX228" i="5"/>
  <c r="CV228" i="5"/>
  <c r="CV227" i="5"/>
  <c r="CX227" i="5"/>
  <c r="CX226" i="5"/>
  <c r="CV226" i="5"/>
  <c r="CX225" i="5"/>
  <c r="CV225" i="5"/>
  <c r="CV224" i="5"/>
  <c r="CX224" i="5"/>
  <c r="CX223" i="5"/>
  <c r="CV223" i="5"/>
  <c r="CV222" i="5"/>
  <c r="CX222" i="5"/>
  <c r="CX221" i="5"/>
  <c r="CV221" i="5"/>
  <c r="CX220" i="5"/>
  <c r="CV220" i="5"/>
  <c r="CX185" i="5"/>
  <c r="CV185" i="5"/>
  <c r="CX183" i="5"/>
  <c r="CV183" i="5"/>
  <c r="CX181" i="5"/>
  <c r="CV181" i="5"/>
  <c r="CX179" i="5"/>
  <c r="CV179" i="5"/>
  <c r="CX177" i="5"/>
  <c r="CV177" i="5"/>
  <c r="CV176" i="5"/>
  <c r="CX176" i="5"/>
  <c r="CX175" i="5"/>
  <c r="CV175" i="5"/>
  <c r="CX174" i="5"/>
  <c r="CV174" i="5"/>
  <c r="CX173" i="5"/>
  <c r="CV173" i="5"/>
  <c r="CX172" i="5"/>
  <c r="CV172" i="5"/>
  <c r="CV171" i="5"/>
  <c r="CX171" i="5"/>
  <c r="CX170" i="5"/>
  <c r="CV170" i="5"/>
  <c r="CX169" i="5"/>
  <c r="CV169" i="5"/>
  <c r="CV168" i="5"/>
  <c r="CX168" i="5"/>
  <c r="CV167" i="5"/>
  <c r="CX167" i="5"/>
  <c r="CX166" i="5"/>
  <c r="CV166" i="5"/>
  <c r="CV165" i="5"/>
  <c r="CX165" i="5"/>
  <c r="CV164" i="5"/>
  <c r="CX164" i="5"/>
  <c r="CV163" i="5"/>
  <c r="CX163" i="5"/>
  <c r="CX162" i="5"/>
  <c r="CV162" i="5"/>
  <c r="CX161" i="5"/>
  <c r="CV161" i="5"/>
  <c r="CV159" i="5"/>
  <c r="CX159" i="5"/>
  <c r="CX158" i="5"/>
  <c r="CV158" i="5"/>
  <c r="CV155" i="5"/>
  <c r="CX155" i="5"/>
  <c r="CX154" i="5"/>
  <c r="CV154" i="5"/>
  <c r="CV153" i="5"/>
  <c r="CX153" i="5"/>
  <c r="CV152" i="5"/>
  <c r="CX152" i="5"/>
  <c r="CV151" i="5"/>
  <c r="CX151" i="5"/>
  <c r="CX150" i="5"/>
  <c r="CV150" i="5"/>
  <c r="CX149" i="5"/>
  <c r="CV149" i="5"/>
  <c r="CX148" i="5"/>
  <c r="CV148" i="5"/>
  <c r="CX147" i="5"/>
  <c r="CV147" i="5"/>
  <c r="CX146" i="5"/>
  <c r="CV146" i="5"/>
  <c r="CV145" i="5"/>
  <c r="CX145" i="5"/>
  <c r="CX144" i="5"/>
  <c r="CV144" i="5"/>
  <c r="CX143" i="5"/>
  <c r="CV143" i="5"/>
  <c r="CV142" i="5"/>
  <c r="CX142" i="5"/>
  <c r="CV141" i="5"/>
  <c r="CX141" i="5"/>
  <c r="CX140" i="5"/>
  <c r="CV140" i="5"/>
  <c r="CX139" i="5"/>
  <c r="CV139" i="5"/>
  <c r="CX138" i="5"/>
  <c r="CV138" i="5"/>
  <c r="CX137" i="5"/>
  <c r="CV137" i="5"/>
  <c r="CX136" i="5"/>
  <c r="CV136" i="5"/>
  <c r="CX135" i="5"/>
  <c r="CV135" i="5"/>
  <c r="CX134" i="5"/>
  <c r="CV134" i="5"/>
  <c r="CV133" i="5"/>
  <c r="CX133" i="5"/>
  <c r="CX132" i="5"/>
  <c r="CV132" i="5"/>
  <c r="CV131" i="5"/>
  <c r="CX131" i="5"/>
  <c r="CV130" i="5"/>
  <c r="CX130" i="5"/>
  <c r="CX129" i="5"/>
  <c r="CV129" i="5"/>
  <c r="CX128" i="5"/>
  <c r="CV128" i="5"/>
  <c r="CV127" i="5"/>
  <c r="CX127" i="5"/>
  <c r="CX126" i="5"/>
  <c r="CV126" i="5"/>
  <c r="CX160" i="5"/>
  <c r="CV160" i="5"/>
  <c r="CV124" i="5"/>
  <c r="CX124" i="5"/>
  <c r="CX123" i="5"/>
  <c r="CV123" i="5"/>
  <c r="CV122" i="5"/>
  <c r="CX122" i="5"/>
  <c r="CV121" i="5"/>
  <c r="CX121" i="5"/>
  <c r="CX120" i="5"/>
  <c r="CV120" i="5"/>
  <c r="CV119" i="5"/>
  <c r="CX119" i="5"/>
  <c r="CV118" i="5"/>
  <c r="CX118" i="5"/>
  <c r="CX117" i="5"/>
  <c r="CV117" i="5"/>
  <c r="CX116" i="5"/>
  <c r="CV116" i="5"/>
  <c r="CV114" i="5"/>
  <c r="CX114" i="5"/>
  <c r="CX113" i="5"/>
  <c r="CV113" i="5"/>
  <c r="CV112" i="5"/>
  <c r="CX112" i="5"/>
  <c r="CV111" i="5"/>
  <c r="CX111" i="5"/>
  <c r="CX110" i="5"/>
  <c r="CV110" i="5"/>
  <c r="CX109" i="5"/>
  <c r="CV109" i="5"/>
  <c r="CV108" i="5"/>
  <c r="CX108" i="5"/>
  <c r="CV107" i="5"/>
  <c r="CX107" i="5"/>
  <c r="CX106" i="5"/>
  <c r="CV106" i="5"/>
  <c r="CV105" i="5"/>
  <c r="CX105" i="5"/>
  <c r="CX104" i="5"/>
  <c r="CV104" i="5"/>
  <c r="CX103" i="5"/>
  <c r="CV103" i="5"/>
  <c r="CX102" i="5"/>
  <c r="CV102" i="5"/>
  <c r="CX101" i="5"/>
  <c r="CV101" i="5"/>
  <c r="CX100" i="5"/>
  <c r="CV100" i="5"/>
  <c r="CX99" i="5"/>
  <c r="CV99" i="5"/>
  <c r="CV98" i="5"/>
  <c r="CX98" i="5"/>
  <c r="CV97" i="5"/>
  <c r="CX97" i="5"/>
  <c r="CV96" i="5"/>
  <c r="CX96" i="5"/>
  <c r="CV94" i="5"/>
  <c r="CX94" i="5"/>
  <c r="CX93" i="5"/>
  <c r="CV93" i="5"/>
  <c r="CX240" i="5"/>
  <c r="CV240" i="5"/>
  <c r="CV219" i="5"/>
  <c r="CX219" i="5"/>
  <c r="CV218" i="5"/>
  <c r="CX218" i="5"/>
  <c r="CX216" i="5"/>
  <c r="CV216" i="5"/>
  <c r="CX215" i="5"/>
  <c r="CV215" i="5"/>
  <c r="CX214" i="5"/>
  <c r="CV214" i="5"/>
  <c r="CV213" i="5"/>
  <c r="CX213" i="5"/>
  <c r="CV212" i="5"/>
  <c r="CX212" i="5"/>
  <c r="CV211" i="5"/>
  <c r="CX211" i="5"/>
  <c r="CV210" i="5"/>
  <c r="CX210" i="5"/>
  <c r="CV209" i="5"/>
  <c r="CX209" i="5"/>
  <c r="CX208" i="5"/>
  <c r="CV208" i="5"/>
  <c r="CV207" i="5"/>
  <c r="CX207" i="5"/>
  <c r="CX206" i="5"/>
  <c r="CV206" i="5"/>
  <c r="CX205" i="5"/>
  <c r="CV205" i="5"/>
  <c r="CX204" i="5"/>
  <c r="CV204" i="5"/>
  <c r="CV203" i="5"/>
  <c r="CX203" i="5"/>
  <c r="CV202" i="5"/>
  <c r="CX202" i="5"/>
  <c r="CX201" i="5"/>
  <c r="CV201" i="5"/>
  <c r="CV200" i="5"/>
  <c r="CX200" i="5"/>
  <c r="CV198" i="5"/>
  <c r="CX198" i="5"/>
  <c r="CX197" i="5"/>
  <c r="CV197" i="5"/>
  <c r="CX196" i="5"/>
  <c r="CV196" i="5"/>
  <c r="CX195" i="5"/>
  <c r="CV195" i="5"/>
  <c r="CX191" i="5"/>
  <c r="CV191" i="5"/>
  <c r="CV190" i="5"/>
  <c r="CX190" i="5"/>
  <c r="CX189" i="5"/>
  <c r="CV189" i="5"/>
  <c r="CV188" i="5"/>
  <c r="CX188" i="5"/>
  <c r="CX187" i="5"/>
  <c r="CV187" i="5"/>
  <c r="CX268" i="5"/>
  <c r="CV268" i="5"/>
  <c r="CX265" i="5"/>
  <c r="CV265" i="5"/>
  <c r="CX262" i="5"/>
  <c r="CV262" i="5"/>
  <c r="CV260" i="5"/>
  <c r="CX260" i="5"/>
  <c r="CV258" i="5"/>
  <c r="CX258" i="5"/>
  <c r="CV256" i="5"/>
  <c r="CX256" i="5"/>
  <c r="CX254" i="5"/>
  <c r="CV254" i="5"/>
  <c r="CX252" i="5"/>
  <c r="CV252" i="5"/>
  <c r="CV251" i="5"/>
  <c r="CX251" i="5"/>
  <c r="CV250" i="5"/>
  <c r="CX250" i="5"/>
  <c r="CX249" i="5"/>
  <c r="CV249" i="5"/>
  <c r="CX246" i="5"/>
  <c r="CV246" i="5"/>
  <c r="CX245" i="5"/>
  <c r="CV245" i="5"/>
  <c r="CX244" i="5"/>
  <c r="CV244" i="5"/>
  <c r="CV243" i="5"/>
  <c r="CX243" i="5"/>
  <c r="CX242" i="5"/>
  <c r="CV242" i="5"/>
  <c r="BF285" i="1"/>
  <c r="BH285" i="1"/>
  <c r="BH284" i="1"/>
  <c r="BF284" i="1"/>
  <c r="BH283" i="1"/>
  <c r="BF283" i="1"/>
  <c r="BH264" i="1"/>
  <c r="BF264" i="1"/>
  <c r="BH368" i="1"/>
  <c r="BF368" i="1"/>
  <c r="BF367" i="1"/>
  <c r="BH367" i="1"/>
  <c r="BH366" i="1"/>
  <c r="BF366" i="1"/>
  <c r="BH365" i="1"/>
  <c r="BF365" i="1"/>
  <c r="BF357" i="1"/>
  <c r="BH357" i="1"/>
  <c r="BH356" i="1"/>
  <c r="BF356" i="1"/>
  <c r="BF204" i="1"/>
  <c r="BH204" i="1"/>
  <c r="BF203" i="1"/>
  <c r="BH203" i="1"/>
  <c r="BF202" i="1"/>
  <c r="BH202" i="1"/>
  <c r="BF199" i="1"/>
  <c r="BH199" i="1"/>
  <c r="BF201" i="1"/>
  <c r="BH201" i="1"/>
  <c r="BF200" i="1"/>
  <c r="BH200" i="1"/>
  <c r="BF212" i="1"/>
  <c r="BH212" i="1"/>
  <c r="BH23" i="1"/>
  <c r="BF23" i="1"/>
  <c r="BH18" i="1"/>
  <c r="BF18" i="1"/>
  <c r="BH16" i="1"/>
  <c r="BF16" i="1"/>
  <c r="BH13" i="1"/>
  <c r="BF13" i="1"/>
  <c r="BH11" i="1"/>
  <c r="BF11" i="1"/>
  <c r="BH7" i="1"/>
  <c r="BF7" i="1"/>
  <c r="BF5" i="1"/>
  <c r="BH5" i="1"/>
  <c r="BH198" i="1"/>
  <c r="BF198" i="1"/>
  <c r="BH183" i="1"/>
  <c r="BF183" i="1"/>
  <c r="BH171" i="1"/>
  <c r="BF171" i="1"/>
  <c r="BH161" i="1"/>
  <c r="BF161" i="1"/>
  <c r="BH148" i="1"/>
  <c r="BF148" i="1"/>
  <c r="BH132" i="1"/>
  <c r="BF132" i="1"/>
  <c r="BF127" i="1"/>
  <c r="BH127" i="1"/>
  <c r="BH106" i="1"/>
  <c r="BF106" i="1"/>
  <c r="BH100" i="1"/>
  <c r="BF100" i="1"/>
  <c r="BH96" i="1"/>
  <c r="BF96" i="1"/>
  <c r="BF91" i="1"/>
  <c r="BH91" i="1"/>
  <c r="BF86" i="1"/>
  <c r="BH86" i="1"/>
  <c r="BF68" i="1"/>
  <c r="BH68" i="1"/>
  <c r="BH63" i="1"/>
  <c r="BF63" i="1"/>
  <c r="BF59" i="1"/>
  <c r="BH59" i="1"/>
  <c r="BF46" i="1"/>
  <c r="BH46" i="1"/>
  <c r="BH26" i="1"/>
  <c r="BF26" i="1"/>
  <c r="BF20" i="1"/>
  <c r="BH20" i="1"/>
  <c r="BH14" i="1"/>
  <c r="BF14" i="1"/>
  <c r="BF4" i="1"/>
  <c r="BH4" i="1"/>
  <c r="BH190" i="1"/>
  <c r="BF190" i="1"/>
  <c r="BH184" i="1"/>
  <c r="BF184" i="1"/>
  <c r="BH168" i="1"/>
  <c r="BF168" i="1"/>
  <c r="BH151" i="1"/>
  <c r="BF151" i="1"/>
  <c r="BH143" i="1"/>
  <c r="BF143" i="1"/>
  <c r="BF134" i="1"/>
  <c r="BH134" i="1"/>
  <c r="BH114" i="1"/>
  <c r="BF114" i="1"/>
  <c r="BH109" i="1"/>
  <c r="BF109" i="1"/>
  <c r="BF103" i="1"/>
  <c r="BH103" i="1"/>
  <c r="BF97" i="1"/>
  <c r="BH97" i="1"/>
  <c r="BF92" i="1"/>
  <c r="BH92" i="1"/>
  <c r="BF82" i="1"/>
  <c r="BH82" i="1"/>
  <c r="BF39" i="1"/>
  <c r="BH39" i="1"/>
  <c r="BF28" i="1"/>
  <c r="BH28" i="1"/>
  <c r="BF21" i="1"/>
  <c r="BH21" i="1"/>
  <c r="BH15" i="1"/>
  <c r="BF15" i="1"/>
  <c r="BF10" i="1"/>
  <c r="BH10" i="1"/>
  <c r="BH240" i="1"/>
  <c r="BF240" i="1"/>
  <c r="BF235" i="1"/>
  <c r="BH235" i="1"/>
  <c r="BF230" i="1"/>
  <c r="BH230" i="1"/>
  <c r="BF228" i="1"/>
  <c r="BH228" i="1"/>
  <c r="BH225" i="1"/>
  <c r="BF225" i="1"/>
  <c r="BH223" i="1"/>
  <c r="BF223" i="1"/>
  <c r="BH195" i="1"/>
  <c r="BF195" i="1"/>
  <c r="BH193" i="1"/>
  <c r="BF193" i="1"/>
  <c r="BH191" i="1"/>
  <c r="BF191" i="1"/>
  <c r="BF189" i="1"/>
  <c r="BH189" i="1"/>
  <c r="BH187" i="1"/>
  <c r="BF187" i="1"/>
  <c r="BH182" i="1"/>
  <c r="BF182" i="1"/>
  <c r="BH179" i="1"/>
  <c r="BF179" i="1"/>
  <c r="BH176" i="1"/>
  <c r="BF176" i="1"/>
  <c r="BH174" i="1"/>
  <c r="BF174" i="1"/>
  <c r="BH172" i="1"/>
  <c r="BF172" i="1"/>
  <c r="BF164" i="1"/>
  <c r="BH164" i="1"/>
  <c r="BH159" i="1"/>
  <c r="BF159" i="1"/>
  <c r="BH157" i="1"/>
  <c r="BF157" i="1"/>
  <c r="BH154" i="1"/>
  <c r="BF154" i="1"/>
  <c r="BH152" i="1"/>
  <c r="BF152" i="1"/>
  <c r="BF150" i="1"/>
  <c r="BH150" i="1"/>
  <c r="BH146" i="1"/>
  <c r="BF146" i="1"/>
  <c r="BH144" i="1"/>
  <c r="BF144" i="1"/>
  <c r="BH137" i="1"/>
  <c r="BF137" i="1"/>
  <c r="BF133" i="1"/>
  <c r="BH133" i="1"/>
  <c r="BH130" i="1"/>
  <c r="BF130" i="1"/>
  <c r="BH93" i="1"/>
  <c r="BF93" i="1"/>
  <c r="BF81" i="1"/>
  <c r="BH81" i="1"/>
  <c r="BF78" i="1"/>
  <c r="BH78" i="1"/>
  <c r="BF76" i="1"/>
  <c r="BH76" i="1"/>
  <c r="BF72" i="1"/>
  <c r="BH72" i="1"/>
  <c r="BF69" i="1"/>
  <c r="BH69" i="1"/>
  <c r="BH66" i="1"/>
  <c r="BF66" i="1"/>
  <c r="BF64" i="1"/>
  <c r="BH64" i="1"/>
  <c r="BF61" i="1"/>
  <c r="BH61" i="1"/>
  <c r="BF58" i="1"/>
  <c r="BH58" i="1"/>
  <c r="BF55" i="1"/>
  <c r="BH55" i="1"/>
  <c r="BH52" i="1"/>
  <c r="BF52" i="1"/>
  <c r="BF49" i="1"/>
  <c r="BH49" i="1"/>
  <c r="BH44" i="1"/>
  <c r="BF44" i="1"/>
  <c r="BF40" i="1"/>
  <c r="BH40" i="1"/>
  <c r="BH38" i="1"/>
  <c r="BF38" i="1"/>
  <c r="BH36" i="1"/>
  <c r="BF36" i="1"/>
  <c r="BH33" i="1"/>
  <c r="BF33" i="1"/>
  <c r="BF30" i="1"/>
  <c r="BH30" i="1"/>
  <c r="BF27" i="1"/>
  <c r="BH27" i="1"/>
  <c r="BH24" i="1"/>
  <c r="BF24" i="1"/>
  <c r="BH22" i="1"/>
  <c r="BF22" i="1"/>
  <c r="BH12" i="1"/>
  <c r="BF12" i="1"/>
  <c r="BF9" i="1"/>
  <c r="BH9" i="1"/>
  <c r="BF6" i="1"/>
  <c r="BH6" i="1"/>
  <c r="BH239" i="1"/>
  <c r="BF239" i="1"/>
  <c r="BF234" i="1"/>
  <c r="BH234" i="1"/>
  <c r="BH232" i="1"/>
  <c r="BF232" i="1"/>
  <c r="BH229" i="1"/>
  <c r="BF229" i="1"/>
  <c r="BF227" i="1"/>
  <c r="BH227" i="1"/>
  <c r="BF224" i="1"/>
  <c r="BH224" i="1"/>
  <c r="BF196" i="1"/>
  <c r="BH196" i="1"/>
  <c r="BH194" i="1"/>
  <c r="BF194" i="1"/>
  <c r="BF186" i="1"/>
  <c r="BH186" i="1"/>
  <c r="BH180" i="1"/>
  <c r="BF180" i="1"/>
  <c r="BH178" i="1"/>
  <c r="BF178" i="1"/>
  <c r="BH173" i="1"/>
  <c r="BF173" i="1"/>
  <c r="BH170" i="1"/>
  <c r="BF170" i="1"/>
  <c r="BH166" i="1"/>
  <c r="BF166" i="1"/>
  <c r="BF165" i="1"/>
  <c r="BH165" i="1"/>
  <c r="BF162" i="1"/>
  <c r="BH162" i="1"/>
  <c r="BF160" i="1"/>
  <c r="BH160" i="1"/>
  <c r="BF158" i="1"/>
  <c r="BH158" i="1"/>
  <c r="BH156" i="1"/>
  <c r="BF156" i="1"/>
  <c r="BH145" i="1"/>
  <c r="BF145" i="1"/>
  <c r="BH141" i="1"/>
  <c r="BF141" i="1"/>
  <c r="BF139" i="1"/>
  <c r="BH139" i="1"/>
  <c r="BH135" i="1"/>
  <c r="BF135" i="1"/>
  <c r="BF131" i="1"/>
  <c r="BH131" i="1"/>
  <c r="BF128" i="1"/>
  <c r="BH128" i="1"/>
  <c r="BF126" i="1"/>
  <c r="BH126" i="1"/>
  <c r="BH124" i="1"/>
  <c r="BF124" i="1"/>
  <c r="BH122" i="1"/>
  <c r="BF122" i="1"/>
  <c r="BH120" i="1"/>
  <c r="BF120" i="1"/>
  <c r="BF119" i="1"/>
  <c r="BH119" i="1"/>
  <c r="BH117" i="1"/>
  <c r="BF117" i="1"/>
  <c r="BF115" i="1"/>
  <c r="BH115" i="1"/>
  <c r="BH113" i="1"/>
  <c r="BF113" i="1"/>
  <c r="BF112" i="1"/>
  <c r="BH112" i="1"/>
  <c r="BH110" i="1"/>
  <c r="BF110" i="1"/>
  <c r="BF108" i="1"/>
  <c r="BH108" i="1"/>
  <c r="BF107" i="1"/>
  <c r="BH107" i="1"/>
  <c r="BF105" i="1"/>
  <c r="BH105" i="1"/>
  <c r="BH104" i="1"/>
  <c r="BF104" i="1"/>
  <c r="BH102" i="1"/>
  <c r="BF102" i="1"/>
  <c r="BH101" i="1"/>
  <c r="BF101" i="1"/>
  <c r="BF99" i="1"/>
  <c r="BH99" i="1"/>
  <c r="BH98" i="1"/>
  <c r="BF98" i="1"/>
  <c r="BH95" i="1"/>
  <c r="BF95" i="1"/>
  <c r="BF94" i="1"/>
  <c r="BH94" i="1"/>
  <c r="BF90" i="1"/>
  <c r="BH90" i="1"/>
  <c r="BH89" i="1"/>
  <c r="BF89" i="1"/>
  <c r="BF87" i="1"/>
  <c r="BH87" i="1"/>
  <c r="BF84" i="1"/>
  <c r="BH84" i="1"/>
  <c r="BH79" i="1"/>
  <c r="BF79" i="1"/>
  <c r="BH75" i="1"/>
  <c r="BF75" i="1"/>
  <c r="BH73" i="1"/>
  <c r="BF73" i="1"/>
  <c r="BH70" i="1"/>
  <c r="BF70" i="1"/>
  <c r="BF67" i="1"/>
  <c r="BH67" i="1"/>
  <c r="BH62" i="1"/>
  <c r="BF62" i="1"/>
  <c r="BH56" i="1"/>
  <c r="BF56" i="1"/>
  <c r="BF54" i="1"/>
  <c r="BH54" i="1"/>
  <c r="BF50" i="1"/>
  <c r="BH50" i="1"/>
  <c r="BF47" i="1"/>
  <c r="BH47" i="1"/>
  <c r="BH42" i="1"/>
  <c r="BF42" i="1"/>
  <c r="BH32" i="1"/>
  <c r="BF32" i="1"/>
  <c r="BF25" i="1"/>
  <c r="BH25" i="1"/>
  <c r="BF19" i="1"/>
  <c r="BH19" i="1"/>
  <c r="BF17" i="1"/>
  <c r="BH17" i="1"/>
  <c r="BF8" i="1"/>
  <c r="BH8" i="1"/>
  <c r="BH238" i="1"/>
  <c r="BF238" i="1"/>
  <c r="BF231" i="1"/>
  <c r="BH231" i="1"/>
  <c r="BH226" i="1"/>
  <c r="BF226" i="1"/>
  <c r="BF222" i="1"/>
  <c r="BH222" i="1"/>
  <c r="BH197" i="1"/>
  <c r="BF197" i="1"/>
  <c r="BH192" i="1"/>
  <c r="BF192" i="1"/>
  <c r="BF188" i="1"/>
  <c r="BH188" i="1"/>
  <c r="BF185" i="1"/>
  <c r="BH185" i="1"/>
  <c r="BF181" i="1"/>
  <c r="BH181" i="1"/>
  <c r="BF177" i="1"/>
  <c r="BH177" i="1"/>
  <c r="BF175" i="1"/>
  <c r="BH175" i="1"/>
  <c r="BF169" i="1"/>
  <c r="BH169" i="1"/>
  <c r="BH167" i="1"/>
  <c r="BF167" i="1"/>
  <c r="BH163" i="1"/>
  <c r="BF163" i="1"/>
  <c r="BF155" i="1"/>
  <c r="BH155" i="1"/>
  <c r="BH153" i="1"/>
  <c r="BF153" i="1"/>
  <c r="BF149" i="1"/>
  <c r="BH149" i="1"/>
  <c r="BF147" i="1"/>
  <c r="BH147" i="1"/>
  <c r="BF142" i="1"/>
  <c r="BH142" i="1"/>
  <c r="BF140" i="1"/>
  <c r="BH140" i="1"/>
  <c r="BH138" i="1"/>
  <c r="BF138" i="1"/>
  <c r="BH136" i="1"/>
  <c r="BF136" i="1"/>
  <c r="BH129" i="1"/>
  <c r="BF129" i="1"/>
  <c r="BF125" i="1"/>
  <c r="BH125" i="1"/>
  <c r="BF123" i="1"/>
  <c r="BH123" i="1"/>
  <c r="BH121" i="1"/>
  <c r="BF121" i="1"/>
  <c r="BH118" i="1"/>
  <c r="BH116" i="1"/>
  <c r="BF116" i="1"/>
  <c r="BH111" i="1"/>
  <c r="BF111" i="1"/>
  <c r="BF88" i="1"/>
  <c r="BH88" i="1"/>
  <c r="BH85" i="1"/>
  <c r="BF85" i="1"/>
  <c r="BF83" i="1"/>
  <c r="BH83" i="1"/>
  <c r="BF80" i="1"/>
  <c r="BH80" i="1"/>
  <c r="BH77" i="1"/>
  <c r="BF77" i="1"/>
  <c r="BH74" i="1"/>
  <c r="BF74" i="1"/>
  <c r="BH71" i="1"/>
  <c r="BF71" i="1"/>
  <c r="BF60" i="1"/>
  <c r="BH60" i="1"/>
  <c r="BF57" i="1"/>
  <c r="BH57" i="1"/>
  <c r="BF53" i="1"/>
  <c r="BH53" i="1"/>
  <c r="BH45" i="1"/>
  <c r="BF45" i="1"/>
  <c r="BH43" i="1"/>
  <c r="BF43" i="1"/>
  <c r="BH41" i="1"/>
  <c r="BF41" i="1"/>
  <c r="BH37" i="1"/>
  <c r="BF37" i="1"/>
  <c r="BH35" i="1"/>
  <c r="BF35" i="1"/>
  <c r="BF31" i="1"/>
  <c r="BH31" i="1"/>
  <c r="BH29" i="1"/>
  <c r="BF29" i="1"/>
  <c r="BF237" i="1"/>
  <c r="BH237" i="1"/>
  <c r="BH236" i="1"/>
  <c r="BF236" i="1"/>
  <c r="BH233" i="1"/>
  <c r="BF233" i="1"/>
  <c r="BF65" i="1"/>
  <c r="BH65" i="1"/>
  <c r="BH51" i="1"/>
  <c r="BF51" i="1"/>
  <c r="BH48" i="1"/>
  <c r="BF48" i="1"/>
  <c r="BC28" i="1"/>
  <c r="BA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COPOWER_USER</author>
  </authors>
  <commentList>
    <comment ref="AK241" authorId="0" shapeId="0" xr:uid="{E85FC892-FD93-42F1-A9AF-6F3D9FE3DC9B}">
      <text>
        <r>
          <rPr>
            <b/>
            <sz val="9"/>
            <color indexed="81"/>
            <rFont val="Tahoma"/>
            <charset val="1"/>
          </rPr>
          <t>COPOWER_USER:</t>
        </r>
        <r>
          <rPr>
            <sz val="9"/>
            <color indexed="81"/>
            <rFont val="Tahoma"/>
            <charset val="1"/>
          </rPr>
          <t xml:space="preserve">
DESCONEXIÓN DEL DIESEL </t>
        </r>
      </text>
    </comment>
    <comment ref="M254" authorId="0" shapeId="0" xr:uid="{2091B267-7D7B-4B86-9752-7FFAE553CA8F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O257" authorId="0" shapeId="0" xr:uid="{1D731E9B-FE6B-46A5-8110-2169E2A746BC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Q259" authorId="0" shapeId="0" xr:uid="{6718572C-7B31-4DEB-BC42-3B0EDC673ED0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S261" authorId="0" shapeId="0" xr:uid="{310333C7-4C1D-4E1F-8FEE-1262DBC68A43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S262" authorId="0" shapeId="0" xr:uid="{B7D905C2-550F-4913-B7EA-6AE90C393DF3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U263" authorId="0" shapeId="0" xr:uid="{C7568D67-0393-40DB-8105-5E3CF609F16D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I264" authorId="0" shapeId="0" xr:uid="{4E74B34C-926B-46DF-B7E8-BA1608500263}">
      <text>
        <r>
          <rPr>
            <b/>
            <sz val="9"/>
            <color indexed="81"/>
            <rFont val="Tahoma"/>
            <family val="2"/>
          </rPr>
          <t>COPOWER_USER:</t>
        </r>
        <r>
          <rPr>
            <sz val="9"/>
            <color indexed="81"/>
            <rFont val="Tahoma"/>
            <family val="2"/>
          </rPr>
          <t xml:space="preserve">
CAMBIO DE RODAMIENTOS </t>
        </r>
      </text>
    </comment>
    <comment ref="W265" authorId="0" shapeId="0" xr:uid="{D6CD7457-B52C-499F-BE84-66AC172B8F68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  <comment ref="E269" authorId="0" shapeId="0" xr:uid="{4A2F34C2-21F1-4AA5-A238-A69BA2CACEE9}">
      <text>
        <r>
          <rPr>
            <b/>
            <sz val="9"/>
            <color indexed="81"/>
            <rFont val="Tahoma"/>
            <family val="2"/>
          </rPr>
          <t xml:space="preserve">INSTALACIÓN DE RELÉ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COPOWER_USER</author>
  </authors>
  <commentList>
    <comment ref="I283" authorId="0" shapeId="0" xr:uid="{042B0B8D-DA04-4A74-AD92-ED3F22A9C4F9}">
      <text>
        <r>
          <rPr>
            <b/>
            <sz val="14"/>
            <color indexed="81"/>
            <rFont val="Tahoma"/>
            <family val="2"/>
          </rPr>
          <t>COPOWER_USER:</t>
        </r>
        <r>
          <rPr>
            <sz val="14"/>
            <color indexed="81"/>
            <rFont val="Tahoma"/>
            <family val="2"/>
          </rPr>
          <t xml:space="preserve">
CAMBIO DE RODDAMIENTOS </t>
        </r>
      </text>
    </comment>
  </commentList>
</comments>
</file>

<file path=xl/sharedStrings.xml><?xml version="1.0" encoding="utf-8"?>
<sst xmlns="http://schemas.openxmlformats.org/spreadsheetml/2006/main" count="6107" uniqueCount="204">
  <si>
    <t xml:space="preserve">SÁBANA DE MANTENIMIENTOS  GENERACION PUTUMAYO </t>
  </si>
  <si>
    <t xml:space="preserve">RESÚMEN MENSUAL </t>
  </si>
  <si>
    <t>TOTAL  H/H DIA</t>
  </si>
  <si>
    <t>J320</t>
  </si>
  <si>
    <t>J420</t>
  </si>
  <si>
    <t>KTA 19</t>
  </si>
  <si>
    <t>KTA 38</t>
  </si>
  <si>
    <t>SWG</t>
  </si>
  <si>
    <t>FILTRO COALESCENTE MQT</t>
  </si>
  <si>
    <t>FILTRO COALESCENTE MRU</t>
  </si>
  <si>
    <t xml:space="preserve">FILTRO COALESCENTE COSTAYACO SIN TRATAR </t>
  </si>
  <si>
    <t>CONTROL DE EJECUCIÓN</t>
  </si>
  <si>
    <t>DIA</t>
  </si>
  <si>
    <t>H/H</t>
  </si>
  <si>
    <t>CPW01</t>
  </si>
  <si>
    <t>CPW03</t>
  </si>
  <si>
    <t xml:space="preserve">CPW04
</t>
  </si>
  <si>
    <t>CPW05</t>
  </si>
  <si>
    <t>CPW06</t>
  </si>
  <si>
    <t>CPW07</t>
  </si>
  <si>
    <t>CPW 10</t>
  </si>
  <si>
    <t>CPW11</t>
  </si>
  <si>
    <t>CPW12</t>
  </si>
  <si>
    <t>JINAN 01</t>
  </si>
  <si>
    <t>JINAN 02</t>
  </si>
  <si>
    <t>JINAN 03/JN 10</t>
  </si>
  <si>
    <t>G 102 I</t>
  </si>
  <si>
    <t>G 102 E</t>
  </si>
  <si>
    <t>G 102 A</t>
  </si>
  <si>
    <t>G 101 V</t>
  </si>
  <si>
    <t>G102 J</t>
  </si>
  <si>
    <t>G102K</t>
  </si>
  <si>
    <t>HH</t>
  </si>
  <si>
    <t>MQT</t>
  </si>
  <si>
    <t>MRU</t>
  </si>
  <si>
    <t>CYC</t>
  </si>
  <si>
    <t>MES</t>
  </si>
  <si>
    <t>TOTAL HORAS MTO</t>
  </si>
  <si>
    <t>TOTAL HORAS HOMBRE</t>
  </si>
  <si>
    <t>MTO PROGRAMADO</t>
  </si>
  <si>
    <t>EQUIPOS PROGRAMADOS</t>
  </si>
  <si>
    <t>MTO EJECUTADO</t>
  </si>
  <si>
    <t>ESTADO</t>
  </si>
  <si>
    <t>FECHA EJECUCIÓN</t>
  </si>
  <si>
    <t>OBSERVACIONES</t>
  </si>
  <si>
    <t>ENERO</t>
  </si>
  <si>
    <t>JUEVES</t>
  </si>
  <si>
    <t>Sí</t>
  </si>
  <si>
    <t>M1 SE EJECUTA MANTENIMIENTO</t>
  </si>
  <si>
    <t>VIERNES</t>
  </si>
  <si>
    <t>SÁBADO</t>
  </si>
  <si>
    <t>FEBRERO</t>
  </si>
  <si>
    <t>DOMINGO</t>
  </si>
  <si>
    <t>MANTENIMIENTO PREVENTIVO</t>
  </si>
  <si>
    <t>LUNES</t>
  </si>
  <si>
    <t>MARZO</t>
  </si>
  <si>
    <t>MARTES</t>
  </si>
  <si>
    <t>MIÉRCOLES</t>
  </si>
  <si>
    <t>ABRIL</t>
  </si>
  <si>
    <t>M6; SE CORRE MANTENIMIENTO POR PLANEACIÓN</t>
  </si>
  <si>
    <t>MAYO</t>
  </si>
  <si>
    <t>JUNIO</t>
  </si>
  <si>
    <t>JULIO</t>
  </si>
  <si>
    <t>AGOSTO</t>
  </si>
  <si>
    <t>29-012026</t>
  </si>
  <si>
    <t>SEPTIEMBRE</t>
  </si>
  <si>
    <t>OCTUBRE</t>
  </si>
  <si>
    <t>NOVIEMBRE</t>
  </si>
  <si>
    <t>DICIEMBRE</t>
  </si>
  <si>
    <t>TOTAL</t>
  </si>
  <si>
    <t>M1 SE EJECUTA MANTENIMIENTO SE POSTERGA POR NO CUMPLIMIENTO DE HORAS OPERATIVAS</t>
  </si>
  <si>
    <t/>
  </si>
  <si>
    <t>Periocidad de mantenimientos</t>
  </si>
  <si>
    <t>SABADO</t>
  </si>
  <si>
    <t>SI</t>
  </si>
  <si>
    <t>EJECUTADO</t>
  </si>
  <si>
    <t>FEBREO</t>
  </si>
  <si>
    <t>RUN</t>
  </si>
  <si>
    <t>JINAN</t>
  </si>
  <si>
    <t>350 HORAS DE OPERACIÓN</t>
  </si>
  <si>
    <t>M2: SE EJECUTA MANTENIMIENTO</t>
  </si>
  <si>
    <t>DIESEL</t>
  </si>
  <si>
    <t>1000 HORAS DE OPERACIÓN</t>
  </si>
  <si>
    <t>M1 SE EJECUTA MANTENIMIENTO, SE POSTERGA POR QUE NO CUMPLE MANTENIMIENTO POR STAND BY</t>
  </si>
  <si>
    <t>No</t>
  </si>
  <si>
    <t>NO SE EJECUTA MANTENIMIENTO PREVENTIVO EN STAND BY</t>
  </si>
  <si>
    <t xml:space="preserve">SE EJECUTA MANTENIMIENTO M1 </t>
  </si>
  <si>
    <t>SE CORRE CRONOGRAMA POR NUMERO DE HORAS OPERATIVO</t>
  </si>
  <si>
    <t>M7 SE EJECUTA EN ESTA FECHA POR HORAS DE PARADA</t>
  </si>
  <si>
    <t>7/03/2026
3-03-2026</t>
  </si>
  <si>
    <t>MO, SE ADELANTA MANTENIMIENTO POR CAMBIO DE ACEITE
M0 SE ADELANTA MANTENIMIENTO POR CAMBIO DE ACEITE</t>
  </si>
  <si>
    <t>SE EJECUTA MANTENIMIENTO M2</t>
  </si>
  <si>
    <t>NO CUMPLE HORAS DE MANTENIMIENTO</t>
  </si>
  <si>
    <t>Miercoles</t>
  </si>
  <si>
    <t>Jueves</t>
  </si>
  <si>
    <t>Viernes</t>
  </si>
  <si>
    <t>M1 SE EJECUTA MANTENIMIENTO//SE POSTERGA POR QUE NO CUMPLE HORAS DE MANTENIMIENTO</t>
  </si>
  <si>
    <t>Sábado</t>
  </si>
  <si>
    <t>Domingo</t>
  </si>
  <si>
    <t>Lunes</t>
  </si>
  <si>
    <t>Martes</t>
  </si>
  <si>
    <t>Miércoles</t>
  </si>
  <si>
    <t>M1 SE CORRE FECHA POR QUE NO CUMPLE HORAS DE MTO</t>
  </si>
  <si>
    <t>16/04/2026
15/04/2026</t>
  </si>
  <si>
    <t>M2 SE POSTERGA DEBIDO QUE NO CUMPLE HORAS DE MANTENIMIETO
M1 SE POSTERGA MANTENIMIENTO NO CUMPLE HORAS OPERATIVAS</t>
  </si>
  <si>
    <t>M1 SE EJECUTA MANTENIMIENTO PREVENTIVO</t>
  </si>
  <si>
    <t>M6 SE POSTERGA POR QUE NO CUMPLE CON LAS HORAS OPERATIVAS</t>
  </si>
  <si>
    <t>M1 SE ADELANTA MANTENIMIENTO</t>
  </si>
  <si>
    <t>SE EJECUTA M0</t>
  </si>
  <si>
    <t>SE POSTERGA MANTENIMIENTO, NO CUMPLE HORAS DE OPERACIÓN</t>
  </si>
  <si>
    <t>no cumple horas de mantenimiento</t>
  </si>
  <si>
    <t>3/06/2026
7-06-2026</t>
  </si>
  <si>
    <t>SE CORRE UN DIA POR PLANEACIÓN
M1 SE ADELANTA MANTENIMIENTO POR OPORTUNIDAD</t>
  </si>
  <si>
    <t>30/05/2026
22/05/2026</t>
  </si>
  <si>
    <t>M1 : SE ADELANTA MANTENIMIENTO</t>
  </si>
  <si>
    <t>M6: SE CORRE MANTENIMIENTO</t>
  </si>
  <si>
    <t xml:space="preserve">M2 Se corre por aprovechamiento por parada </t>
  </si>
  <si>
    <t xml:space="preserve">M2 Se ejecuta mantenimiento </t>
  </si>
  <si>
    <t xml:space="preserve">MO SE EJECUTA CAMBIO DE ACEITE </t>
  </si>
  <si>
    <t>1-07-2026
5/07/2026</t>
  </si>
  <si>
    <t>SE CORRE DIA DE MANTENIMIENTO</t>
  </si>
  <si>
    <t>SE REALIZA MANTENIMIENTO POR CAMBIO DE CONTROL AGC 4 M10</t>
  </si>
  <si>
    <t>SE PROGRAM MANTENIMIENTO M1//SE POSTERGA MANTENIMIENTO, NO CUMPLE CON HORAS DE MANTENIMIENTO</t>
  </si>
  <si>
    <t xml:space="preserve">M2 SE EJECUTA MANTENIMIENTO. </t>
  </si>
  <si>
    <t>M10 SE ADELANTA MANTENIMIENTO PREVENTIVO POR CUMPLIMIENTO DE HORAS 
M3 SE EJECUTA MANTENIMIENTO</t>
  </si>
  <si>
    <t xml:space="preserve">AGOSTO </t>
  </si>
  <si>
    <t xml:space="preserve">CPW02
</t>
  </si>
  <si>
    <t>J320 - CPW02</t>
  </si>
  <si>
    <t>J320 - CPW01</t>
  </si>
  <si>
    <t>J320 - CPW03</t>
  </si>
  <si>
    <t>J420 - CPW04</t>
  </si>
  <si>
    <t>J420 - CPW05</t>
  </si>
  <si>
    <t>J420 - CPW06</t>
  </si>
  <si>
    <t>J320 - CPW07</t>
  </si>
  <si>
    <t>600GFT - CPW 10</t>
  </si>
  <si>
    <t>600GFT - CPW 11</t>
  </si>
  <si>
    <t>600GFT - CPW 12</t>
  </si>
  <si>
    <t>600GFT - JINAN 01</t>
  </si>
  <si>
    <t>600GFT - JINAN 02</t>
  </si>
  <si>
    <t xml:space="preserve">KTA 19 </t>
  </si>
  <si>
    <t xml:space="preserve">SE REALIZA UN M0 CAMBIO DE ACEITE , SE CORRE FECHA POR CRONOGRAMA </t>
  </si>
  <si>
    <t>SE EJECUTA MANTENIMIENTO M0
SE EJECUTA MANTENIMIENTO M2(JINAN 02 SE APLAZA POR CIERRE DE VIA VUELTA CICLÍSTICA Y SE EJECUTA EL DOMINGO)</t>
  </si>
  <si>
    <t>DESCARBONIZACIÓN DEL EQUIPO</t>
  </si>
  <si>
    <t>NO CUMPLE HORAS DE MANTENIMIENTO, ESQUIPO ESTUVO EN STAND BY</t>
  </si>
  <si>
    <t xml:space="preserve">SE REALIZA MANTENIMIENTO PREVEVENTIVO M1 </t>
  </si>
  <si>
    <t>SE EJECUTA MANTENIMIENTO M3</t>
  </si>
  <si>
    <t>SE EJECUTA M5</t>
  </si>
  <si>
    <t xml:space="preserve">FALTA DE PERMISOS DE TRABAJO, SE REPROGRAMA MANTENIMIENTO M2 </t>
  </si>
  <si>
    <t xml:space="preserve">M1 CAMBIO DE ACEITE Y FILTROS </t>
  </si>
  <si>
    <t xml:space="preserve">M2 SE REALIZA MANTENIMIENTO PREVENTIVO </t>
  </si>
  <si>
    <t xml:space="preserve">CALENDARIO
FECHA PROGRAMADA </t>
  </si>
  <si>
    <t>EQUIPO PERMANECE EN STAND BY</t>
  </si>
  <si>
    <t>CPW 01</t>
  </si>
  <si>
    <t xml:space="preserve">CELDA A6
</t>
  </si>
  <si>
    <t>TABLERO M6</t>
  </si>
  <si>
    <t>TABLERO AUXILIAR 1</t>
  </si>
  <si>
    <t>TABLERO AUXILIAR 2</t>
  </si>
  <si>
    <t>CPW 02</t>
  </si>
  <si>
    <t xml:space="preserve">CELDA A5
</t>
  </si>
  <si>
    <t>TABLERO M5</t>
  </si>
  <si>
    <t>CPW 03</t>
  </si>
  <si>
    <t xml:space="preserve">CELDA A7
</t>
  </si>
  <si>
    <t>TABLERO M7</t>
  </si>
  <si>
    <t>TABLERO AUXILIAR 7</t>
  </si>
  <si>
    <t>CPW 04</t>
  </si>
  <si>
    <t xml:space="preserve">CELDA A4
</t>
  </si>
  <si>
    <t>TABLERO M4</t>
  </si>
  <si>
    <t>TABLERO S4</t>
  </si>
  <si>
    <t xml:space="preserve">TRANSFORMADOR T204 </t>
  </si>
  <si>
    <t>CPW 05</t>
  </si>
  <si>
    <t>TRANSFORMADOR T205</t>
  </si>
  <si>
    <t>CPW 06</t>
  </si>
  <si>
    <t>CELDA S6</t>
  </si>
  <si>
    <t>TABLERO TEX 06</t>
  </si>
  <si>
    <t>TRANSFORMADOR T206</t>
  </si>
  <si>
    <t>CELDA S7</t>
  </si>
  <si>
    <t>TABLERO AUXILIAR</t>
  </si>
  <si>
    <t>TRANSFORMADOR T207</t>
  </si>
  <si>
    <t>CPW 07</t>
  </si>
  <si>
    <t xml:space="preserve">CELDA A10
</t>
  </si>
  <si>
    <t>TABLERO S10</t>
  </si>
  <si>
    <t>TRANSFORMADOR T210</t>
  </si>
  <si>
    <t>CPW 11</t>
  </si>
  <si>
    <t xml:space="preserve">CELDA A11
</t>
  </si>
  <si>
    <t>TABLERO S11</t>
  </si>
  <si>
    <t>TRANSFORMADOR T211</t>
  </si>
  <si>
    <t>CPW 12</t>
  </si>
  <si>
    <t xml:space="preserve">SE POSTERGA MANTENIMIENTO DEBIDO A MANTENIMIENTO EN LA TURBINA </t>
  </si>
  <si>
    <t xml:space="preserve">CELDA A1
</t>
  </si>
  <si>
    <t>TABLERO S1</t>
  </si>
  <si>
    <t>TRANSFORMADOR T201</t>
  </si>
  <si>
    <t xml:space="preserve">CELDA A2
</t>
  </si>
  <si>
    <t>TABLERO S2</t>
  </si>
  <si>
    <t>TRANSFORMADOR T202</t>
  </si>
  <si>
    <t>SE EJECUTA MANTENIMIENTO PREVENTIVO</t>
  </si>
  <si>
    <t>-</t>
  </si>
  <si>
    <t>EQUIPO EN STAND BY</t>
  </si>
  <si>
    <t>SE REALIZA MANTENIMIENTO PREVENTIVO PROGRAMADO
EQUIPO DIESEL EN STAND BY</t>
  </si>
  <si>
    <t xml:space="preserve">SE APLAZA MANTENIMIENTO </t>
  </si>
  <si>
    <t>TOTAL  HORAS MTO</t>
  </si>
  <si>
    <t>)</t>
  </si>
  <si>
    <t xml:space="preserve">
26-08-2026</t>
  </si>
  <si>
    <t>EN EJCUCIÓN, YA SE EJECUTO EL CPW06, PENDIENTE 04 Y 05 POR CONDICIONES DEL GAS</t>
  </si>
  <si>
    <t>EJECUTADO SATISFACTORIAMENTE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</si>
</sst>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0"/>
      <name val="Calibri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48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b/>
      <sz val="72"/>
      <color rgb="FFFFFFFF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/>
      <bottom style="thin">
        <color rgb="FFD9E2F3"/>
      </bottom>
      <diagonal/>
    </border>
    <border>
      <left style="medium">
        <color rgb="FFD9E2F3"/>
      </left>
      <right/>
      <top/>
      <bottom style="thin">
        <color rgb="FFD9E2F3"/>
      </bottom>
      <diagonal/>
    </border>
    <border>
      <left style="medium">
        <color indexed="64"/>
      </left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/>
      <top style="thin">
        <color rgb="FFD9E2F3"/>
      </top>
      <bottom style="thin">
        <color rgb="FFD9E2F3"/>
      </bottom>
      <diagonal/>
    </border>
    <border>
      <left style="medium">
        <color rgb="FFD9E2F3"/>
      </left>
      <right/>
      <top style="medium">
        <color indexed="64"/>
      </top>
      <bottom style="thin">
        <color rgb="FFD9E2F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thin">
        <color rgb="FFD9E2F3"/>
      </top>
      <bottom/>
      <diagonal/>
    </border>
    <border>
      <left style="medium">
        <color rgb="FFD9E2F3"/>
      </left>
      <right style="medium">
        <color indexed="64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 style="medium">
        <color indexed="64"/>
      </right>
      <top style="thin">
        <color rgb="FFD9E2F3"/>
      </top>
      <bottom style="thin">
        <color rgb="FFD9E2F3"/>
      </bottom>
      <diagonal/>
    </border>
    <border>
      <left style="medium">
        <color indexed="64"/>
      </left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 style="medium">
        <color rgb="FFD9E2F3"/>
      </left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 style="medium">
        <color rgb="FFD9E2F3"/>
      </left>
      <right style="medium">
        <color indexed="64"/>
      </right>
      <top style="thin">
        <color rgb="FFD9E2F3"/>
      </top>
      <bottom style="medium">
        <color indexed="64"/>
      </bottom>
      <diagonal/>
    </border>
    <border>
      <left/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/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 style="medium">
        <color indexed="64"/>
      </left>
      <right/>
      <top style="thin">
        <color rgb="FFD9E2F3"/>
      </top>
      <bottom style="thin">
        <color rgb="FFD9E2F3"/>
      </bottom>
      <diagonal/>
    </border>
    <border>
      <left/>
      <right style="medium">
        <color rgb="FFD9E2F3"/>
      </right>
      <top style="medium">
        <color indexed="64"/>
      </top>
      <bottom/>
      <diagonal/>
    </border>
    <border>
      <left style="medium">
        <color rgb="FFD9E2F3"/>
      </left>
      <right style="medium">
        <color rgb="FFD9E2F3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D9E2F3"/>
      </bottom>
      <diagonal/>
    </border>
    <border>
      <left/>
      <right/>
      <top/>
      <bottom style="medium">
        <color indexed="64"/>
      </bottom>
      <diagonal/>
    </border>
    <border>
      <left style="medium">
        <color rgb="FFD9E2F3"/>
      </left>
      <right style="medium">
        <color rgb="FFD9E2F3"/>
      </right>
      <top/>
      <bottom style="medium">
        <color indexed="64"/>
      </bottom>
      <diagonal/>
    </border>
    <border>
      <left style="medium">
        <color rgb="FFD9E2F3"/>
      </left>
      <right/>
      <top style="thin">
        <color rgb="FFD9E2F3"/>
      </top>
      <bottom style="medium">
        <color indexed="64"/>
      </bottom>
      <diagonal/>
    </border>
    <border>
      <left style="medium">
        <color rgb="FFD9E2F3"/>
      </left>
      <right style="medium">
        <color rgb="FFD9E2F3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164" fontId="8" fillId="4" borderId="19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3" fontId="8" fillId="4" borderId="19" xfId="0" applyNumberFormat="1" applyFont="1" applyFill="1" applyBorder="1" applyAlignment="1">
      <alignment horizontal="center" vertical="center"/>
    </xf>
    <xf numFmtId="3" fontId="8" fillId="4" borderId="23" xfId="0" applyNumberFormat="1" applyFont="1" applyFill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3" fontId="8" fillId="12" borderId="23" xfId="0" applyNumberFormat="1" applyFont="1" applyFill="1" applyBorder="1" applyAlignment="1">
      <alignment horizontal="center" vertical="center"/>
    </xf>
    <xf numFmtId="3" fontId="8" fillId="0" borderId="30" xfId="0" applyNumberFormat="1" applyFont="1" applyBorder="1" applyAlignment="1">
      <alignment horizontal="center" vertical="center"/>
    </xf>
    <xf numFmtId="3" fontId="8" fillId="0" borderId="20" xfId="0" applyNumberFormat="1" applyFont="1" applyBorder="1" applyAlignment="1">
      <alignment horizontal="center" vertical="center"/>
    </xf>
    <xf numFmtId="3" fontId="8" fillId="4" borderId="20" xfId="0" applyNumberFormat="1" applyFont="1" applyFill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3" fontId="8" fillId="0" borderId="31" xfId="0" applyNumberFormat="1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3" fontId="8" fillId="0" borderId="34" xfId="0" applyNumberFormat="1" applyFont="1" applyBorder="1" applyAlignment="1">
      <alignment horizontal="center" vertical="center"/>
    </xf>
    <xf numFmtId="3" fontId="8" fillId="4" borderId="34" xfId="0" applyNumberFormat="1" applyFont="1" applyFill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3" fontId="8" fillId="4" borderId="31" xfId="0" applyNumberFormat="1" applyFont="1" applyFill="1" applyBorder="1" applyAlignment="1">
      <alignment horizontal="center" vertical="center"/>
    </xf>
    <xf numFmtId="3" fontId="8" fillId="4" borderId="32" xfId="0" applyNumberFormat="1" applyFont="1" applyFill="1" applyBorder="1" applyAlignment="1">
      <alignment horizontal="center" vertical="center"/>
    </xf>
    <xf numFmtId="164" fontId="8" fillId="4" borderId="34" xfId="0" applyNumberFormat="1" applyFont="1" applyFill="1" applyBorder="1" applyAlignment="1">
      <alignment horizontal="center" vertical="center"/>
    </xf>
    <xf numFmtId="3" fontId="8" fillId="4" borderId="35" xfId="0" applyNumberFormat="1" applyFont="1" applyFill="1" applyBorder="1" applyAlignment="1">
      <alignment horizontal="center" vertical="center"/>
    </xf>
    <xf numFmtId="3" fontId="8" fillId="2" borderId="19" xfId="0" applyNumberFormat="1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3" fontId="8" fillId="2" borderId="3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7" fillId="8" borderId="36" xfId="0" applyFont="1" applyFill="1" applyBorder="1" applyAlignment="1">
      <alignment horizontal="center" vertical="center" textRotation="255"/>
    </xf>
    <xf numFmtId="0" fontId="7" fillId="8" borderId="29" xfId="0" applyFont="1" applyFill="1" applyBorder="1" applyAlignment="1">
      <alignment horizontal="center" vertical="center" textRotation="255"/>
    </xf>
    <xf numFmtId="0" fontId="7" fillId="8" borderId="37" xfId="0" applyFont="1" applyFill="1" applyBorder="1" applyAlignment="1">
      <alignment horizontal="center" vertical="center" textRotation="255"/>
    </xf>
    <xf numFmtId="164" fontId="8" fillId="4" borderId="29" xfId="0" applyNumberFormat="1" applyFont="1" applyFill="1" applyBorder="1" applyAlignment="1">
      <alignment horizontal="center" vertical="center"/>
    </xf>
    <xf numFmtId="3" fontId="8" fillId="0" borderId="29" xfId="0" applyNumberFormat="1" applyFont="1" applyBorder="1" applyAlignment="1">
      <alignment horizontal="center" vertical="center"/>
    </xf>
    <xf numFmtId="3" fontId="8" fillId="0" borderId="40" xfId="0" applyNumberFormat="1" applyFont="1" applyBorder="1" applyAlignment="1">
      <alignment horizontal="center" vertical="center"/>
    </xf>
    <xf numFmtId="0" fontId="8" fillId="8" borderId="39" xfId="0" applyFont="1" applyFill="1" applyBorder="1" applyAlignment="1">
      <alignment horizontal="left" vertical="center"/>
    </xf>
    <xf numFmtId="3" fontId="8" fillId="4" borderId="24" xfId="0" applyNumberFormat="1" applyFont="1" applyFill="1" applyBorder="1" applyAlignment="1">
      <alignment horizontal="center" vertical="center"/>
    </xf>
    <xf numFmtId="3" fontId="8" fillId="4" borderId="29" xfId="0" applyNumberFormat="1" applyFont="1" applyFill="1" applyBorder="1" applyAlignment="1">
      <alignment horizontal="center" vertical="center"/>
    </xf>
    <xf numFmtId="3" fontId="8" fillId="0" borderId="41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8" fillId="8" borderId="42" xfId="0" applyFont="1" applyFill="1" applyBorder="1" applyAlignment="1">
      <alignment horizontal="left" vertical="center"/>
    </xf>
    <xf numFmtId="3" fontId="8" fillId="4" borderId="43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3" fontId="8" fillId="14" borderId="23" xfId="0" applyNumberFormat="1" applyFont="1" applyFill="1" applyBorder="1" applyAlignment="1">
      <alignment horizontal="center" vertical="center"/>
    </xf>
    <xf numFmtId="3" fontId="8" fillId="14" borderId="20" xfId="0" applyNumberFormat="1" applyFont="1" applyFill="1" applyBorder="1" applyAlignment="1">
      <alignment horizontal="center" vertical="center"/>
    </xf>
    <xf numFmtId="3" fontId="8" fillId="14" borderId="43" xfId="0" applyNumberFormat="1" applyFont="1" applyFill="1" applyBorder="1" applyAlignment="1">
      <alignment horizontal="center" vertical="center"/>
    </xf>
    <xf numFmtId="3" fontId="8" fillId="14" borderId="19" xfId="0" applyNumberFormat="1" applyFont="1" applyFill="1" applyBorder="1" applyAlignment="1">
      <alignment horizontal="center" vertical="center"/>
    </xf>
    <xf numFmtId="3" fontId="8" fillId="14" borderId="34" xfId="0" applyNumberFormat="1" applyFont="1" applyFill="1" applyBorder="1" applyAlignment="1">
      <alignment horizontal="center" vertical="center"/>
    </xf>
    <xf numFmtId="3" fontId="8" fillId="15" borderId="23" xfId="0" applyNumberFormat="1" applyFont="1" applyFill="1" applyBorder="1" applyAlignment="1">
      <alignment horizontal="center" vertical="center"/>
    </xf>
    <xf numFmtId="3" fontId="8" fillId="16" borderId="2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35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/>
    </xf>
    <xf numFmtId="3" fontId="8" fillId="4" borderId="45" xfId="0" applyNumberFormat="1" applyFont="1" applyFill="1" applyBorder="1" applyAlignment="1">
      <alignment horizontal="center" vertical="center"/>
    </xf>
    <xf numFmtId="3" fontId="8" fillId="0" borderId="4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10" fillId="0" borderId="2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3" fontId="8" fillId="15" borderId="34" xfId="0" applyNumberFormat="1" applyFont="1" applyFill="1" applyBorder="1" applyAlignment="1">
      <alignment horizontal="center" vertical="center"/>
    </xf>
    <xf numFmtId="3" fontId="8" fillId="16" borderId="34" xfId="0" applyNumberFormat="1" applyFont="1" applyFill="1" applyBorder="1" applyAlignment="1">
      <alignment horizontal="center" vertical="center"/>
    </xf>
    <xf numFmtId="0" fontId="8" fillId="19" borderId="19" xfId="0" applyFont="1" applyFill="1" applyBorder="1" applyAlignment="1">
      <alignment horizontal="left" vertical="center"/>
    </xf>
    <xf numFmtId="0" fontId="8" fillId="20" borderId="23" xfId="0" applyFont="1" applyFill="1" applyBorder="1" applyAlignment="1">
      <alignment horizontal="left" vertical="center"/>
    </xf>
    <xf numFmtId="0" fontId="8" fillId="17" borderId="23" xfId="0" applyFont="1" applyFill="1" applyBorder="1" applyAlignment="1">
      <alignment horizontal="left" vertical="center"/>
    </xf>
    <xf numFmtId="0" fontId="8" fillId="21" borderId="23" xfId="0" applyFont="1" applyFill="1" applyBorder="1" applyAlignment="1">
      <alignment horizontal="left" vertical="center"/>
    </xf>
    <xf numFmtId="0" fontId="8" fillId="20" borderId="34" xfId="0" applyFont="1" applyFill="1" applyBorder="1" applyAlignment="1">
      <alignment horizontal="left" vertical="center"/>
    </xf>
    <xf numFmtId="0" fontId="8" fillId="4" borderId="23" xfId="0" applyFont="1" applyFill="1" applyBorder="1" applyAlignment="1">
      <alignment horizontal="left" vertical="center"/>
    </xf>
    <xf numFmtId="3" fontId="8" fillId="22" borderId="19" xfId="0" applyNumberFormat="1" applyFont="1" applyFill="1" applyBorder="1" applyAlignment="1">
      <alignment horizontal="center" vertical="center"/>
    </xf>
    <xf numFmtId="3" fontId="8" fillId="22" borderId="23" xfId="0" applyNumberFormat="1" applyFont="1" applyFill="1" applyBorder="1" applyAlignment="1">
      <alignment horizontal="center" vertical="center"/>
    </xf>
    <xf numFmtId="3" fontId="8" fillId="22" borderId="20" xfId="0" applyNumberFormat="1" applyFont="1" applyFill="1" applyBorder="1" applyAlignment="1">
      <alignment horizontal="center" vertical="center"/>
    </xf>
    <xf numFmtId="3" fontId="8" fillId="22" borderId="34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3" fontId="10" fillId="4" borderId="2" xfId="0" applyNumberFormat="1" applyFont="1" applyFill="1" applyBorder="1" applyAlignment="1">
      <alignment horizontal="center" vertical="center"/>
    </xf>
    <xf numFmtId="3" fontId="8" fillId="4" borderId="30" xfId="0" applyNumberFormat="1" applyFont="1" applyFill="1" applyBorder="1" applyAlignment="1">
      <alignment horizontal="center" vertical="center"/>
    </xf>
    <xf numFmtId="3" fontId="8" fillId="4" borderId="40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8" fillId="23" borderId="19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34" xfId="0" applyFont="1" applyFill="1" applyBorder="1" applyAlignment="1">
      <alignment horizontal="left" vertical="center"/>
    </xf>
    <xf numFmtId="0" fontId="8" fillId="4" borderId="23" xfId="0" applyFont="1" applyFill="1" applyBorder="1" applyAlignment="1">
      <alignment horizontal="left" vertical="center" wrapText="1"/>
    </xf>
    <xf numFmtId="3" fontId="8" fillId="23" borderId="23" xfId="0" applyNumberFormat="1" applyFont="1" applyFill="1" applyBorder="1" applyAlignment="1">
      <alignment horizontal="center" vertical="center"/>
    </xf>
    <xf numFmtId="3" fontId="8" fillId="24" borderId="23" xfId="0" applyNumberFormat="1" applyFont="1" applyFill="1" applyBorder="1" applyAlignment="1">
      <alignment horizontal="center" vertical="center"/>
    </xf>
    <xf numFmtId="3" fontId="8" fillId="17" borderId="23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/>
    </xf>
    <xf numFmtId="3" fontId="7" fillId="9" borderId="23" xfId="0" applyNumberFormat="1" applyFont="1" applyFill="1" applyBorder="1" applyAlignment="1">
      <alignment horizontal="center" vertical="center"/>
    </xf>
    <xf numFmtId="3" fontId="7" fillId="9" borderId="24" xfId="0" applyNumberFormat="1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 wrapText="1"/>
    </xf>
    <xf numFmtId="0" fontId="7" fillId="10" borderId="24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1" borderId="4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3" fontId="7" fillId="9" borderId="19" xfId="0" applyNumberFormat="1" applyFont="1" applyFill="1" applyBorder="1" applyAlignment="1">
      <alignment horizontal="center" vertical="center"/>
    </xf>
    <xf numFmtId="3" fontId="7" fillId="9" borderId="25" xfId="0" applyNumberFormat="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 textRotation="255"/>
    </xf>
    <xf numFmtId="0" fontId="7" fillId="8" borderId="38" xfId="0" applyFont="1" applyFill="1" applyBorder="1" applyAlignment="1">
      <alignment horizontal="center" vertical="center" textRotation="255"/>
    </xf>
    <xf numFmtId="0" fontId="7" fillId="8" borderId="22" xfId="0" applyFont="1" applyFill="1" applyBorder="1" applyAlignment="1">
      <alignment horizontal="center" vertical="center" textRotation="255"/>
    </xf>
    <xf numFmtId="0" fontId="7" fillId="8" borderId="33" xfId="0" applyFont="1" applyFill="1" applyBorder="1" applyAlignment="1">
      <alignment horizontal="center" vertical="center" textRotation="255"/>
    </xf>
    <xf numFmtId="0" fontId="0" fillId="3" borderId="5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4" fontId="8" fillId="4" borderId="19" xfId="0" applyNumberFormat="1" applyFont="1" applyFill="1" applyBorder="1" applyAlignment="1">
      <alignment horizontal="center" vertical="center"/>
    </xf>
    <xf numFmtId="4" fontId="8" fillId="2" borderId="19" xfId="0" applyNumberFormat="1" applyFont="1" applyFill="1" applyBorder="1" applyAlignment="1">
      <alignment horizontal="center" vertical="center"/>
    </xf>
    <xf numFmtId="4" fontId="8" fillId="0" borderId="19" xfId="0" applyNumberFormat="1" applyFont="1" applyBorder="1" applyAlignment="1">
      <alignment horizontal="center" vertical="center"/>
    </xf>
    <xf numFmtId="4" fontId="8" fillId="4" borderId="31" xfId="0" applyNumberFormat="1" applyFont="1" applyFill="1" applyBorder="1" applyAlignment="1">
      <alignment horizontal="center" vertical="center"/>
    </xf>
    <xf numFmtId="4" fontId="8" fillId="4" borderId="23" xfId="0" applyNumberFormat="1" applyFont="1" applyFill="1" applyBorder="1" applyAlignment="1">
      <alignment horizontal="center" vertical="center"/>
    </xf>
    <xf numFmtId="4" fontId="8" fillId="2" borderId="23" xfId="0" applyNumberFormat="1" applyFont="1" applyFill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4" fontId="8" fillId="4" borderId="32" xfId="0" applyNumberFormat="1" applyFont="1" applyFill="1" applyBorder="1" applyAlignment="1">
      <alignment horizontal="center" vertical="center"/>
    </xf>
    <xf numFmtId="4" fontId="8" fillId="4" borderId="24" xfId="0" applyNumberFormat="1" applyFont="1" applyFill="1" applyBorder="1" applyAlignment="1">
      <alignment horizontal="center" vertical="center"/>
    </xf>
    <xf numFmtId="4" fontId="8" fillId="4" borderId="29" xfId="0" applyNumberFormat="1" applyFont="1" applyFill="1" applyBorder="1" applyAlignment="1">
      <alignment horizontal="center" vertical="center"/>
    </xf>
    <xf numFmtId="4" fontId="8" fillId="4" borderId="20" xfId="0" applyNumberFormat="1" applyFont="1" applyFill="1" applyBorder="1" applyAlignment="1">
      <alignment horizontal="center" vertical="center"/>
    </xf>
    <xf numFmtId="4" fontId="8" fillId="4" borderId="34" xfId="0" applyNumberFormat="1" applyFont="1" applyFill="1" applyBorder="1" applyAlignment="1">
      <alignment horizontal="center" vertical="center"/>
    </xf>
    <xf numFmtId="4" fontId="8" fillId="4" borderId="35" xfId="0" applyNumberFormat="1" applyFont="1" applyFill="1" applyBorder="1" applyAlignment="1">
      <alignment horizontal="center" vertical="center"/>
    </xf>
    <xf numFmtId="4" fontId="8" fillId="2" borderId="34" xfId="0" applyNumberFormat="1" applyFont="1" applyFill="1" applyBorder="1" applyAlignment="1">
      <alignment horizontal="center" vertical="center"/>
    </xf>
    <xf numFmtId="4" fontId="8" fillId="0" borderId="34" xfId="0" applyNumberFormat="1" applyFont="1" applyBorder="1" applyAlignment="1">
      <alignment horizontal="center" vertical="center"/>
    </xf>
    <xf numFmtId="4" fontId="8" fillId="4" borderId="45" xfId="0" applyNumberFormat="1" applyFont="1" applyFill="1" applyBorder="1" applyAlignment="1">
      <alignment horizontal="center" vertical="center"/>
    </xf>
    <xf numFmtId="4" fontId="8" fillId="0" borderId="45" xfId="0" applyNumberFormat="1" applyFont="1" applyBorder="1" applyAlignment="1">
      <alignment horizontal="center" vertical="center"/>
    </xf>
    <xf numFmtId="4" fontId="8" fillId="12" borderId="19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10" fillId="0" borderId="2" xfId="0" applyNumberFormat="1" applyFont="1" applyBorder="1" applyAlignment="1">
      <alignment horizontal="center" vertical="center"/>
    </xf>
    <xf numFmtId="4" fontId="8" fillId="0" borderId="41" xfId="0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8" fillId="0" borderId="32" xfId="0" applyNumberFormat="1" applyFont="1" applyBorder="1" applyAlignment="1">
      <alignment horizontal="center" vertical="center"/>
    </xf>
    <xf numFmtId="4" fontId="8" fillId="0" borderId="30" xfId="0" applyNumberFormat="1" applyFont="1" applyBorder="1" applyAlignment="1">
      <alignment horizontal="center" vertical="center"/>
    </xf>
    <xf numFmtId="4" fontId="8" fillId="13" borderId="23" xfId="0" applyNumberFormat="1" applyFont="1" applyFill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9" xfId="0" applyNumberFormat="1" applyFont="1" applyBorder="1" applyAlignment="1">
      <alignment horizontal="center" vertical="center"/>
    </xf>
    <xf numFmtId="4" fontId="8" fillId="15" borderId="23" xfId="0" applyNumberFormat="1" applyFont="1" applyFill="1" applyBorder="1" applyAlignment="1">
      <alignment horizontal="center" vertical="center"/>
    </xf>
    <xf numFmtId="4" fontId="8" fillId="16" borderId="23" xfId="0" applyNumberFormat="1" applyFont="1" applyFill="1" applyBorder="1" applyAlignment="1">
      <alignment horizontal="center" vertical="center"/>
    </xf>
    <xf numFmtId="4" fontId="8" fillId="0" borderId="35" xfId="0" applyNumberFormat="1" applyFont="1" applyBorder="1" applyAlignment="1">
      <alignment horizontal="center" vertical="center"/>
    </xf>
    <xf numFmtId="4" fontId="8" fillId="0" borderId="40" xfId="0" applyNumberFormat="1" applyFont="1" applyBorder="1" applyAlignment="1">
      <alignment horizontal="center" vertical="center"/>
    </xf>
    <xf numFmtId="4" fontId="8" fillId="0" borderId="31" xfId="0" applyNumberFormat="1" applyFont="1" applyBorder="1" applyAlignment="1">
      <alignment horizontal="center" vertical="center"/>
    </xf>
    <xf numFmtId="4" fontId="8" fillId="4" borderId="0" xfId="0" applyNumberFormat="1" applyFont="1" applyFill="1" applyAlignment="1">
      <alignment horizontal="center" vertical="center"/>
    </xf>
    <xf numFmtId="4" fontId="8" fillId="12" borderId="23" xfId="0" applyNumberFormat="1" applyFont="1" applyFill="1" applyBorder="1" applyAlignment="1">
      <alignment horizontal="center" vertical="center"/>
    </xf>
    <xf numFmtId="4" fontId="8" fillId="15" borderId="34" xfId="0" applyNumberFormat="1" applyFont="1" applyFill="1" applyBorder="1" applyAlignment="1">
      <alignment horizontal="center" vertical="center"/>
    </xf>
    <xf numFmtId="4" fontId="8" fillId="16" borderId="34" xfId="0" applyNumberFormat="1" applyFont="1" applyFill="1" applyBorder="1" applyAlignment="1">
      <alignment horizontal="center" vertical="center"/>
    </xf>
    <xf numFmtId="4" fontId="8" fillId="14" borderId="23" xfId="0" applyNumberFormat="1" applyFont="1" applyFill="1" applyBorder="1" applyAlignment="1">
      <alignment horizontal="center" vertical="center"/>
    </xf>
    <xf numFmtId="4" fontId="8" fillId="14" borderId="20" xfId="0" applyNumberFormat="1" applyFont="1" applyFill="1" applyBorder="1" applyAlignment="1">
      <alignment horizontal="center" vertical="center"/>
    </xf>
    <xf numFmtId="4" fontId="8" fillId="4" borderId="43" xfId="0" applyNumberFormat="1" applyFont="1" applyFill="1" applyBorder="1" applyAlignment="1">
      <alignment horizontal="center" vertical="center"/>
    </xf>
    <xf numFmtId="4" fontId="8" fillId="14" borderId="43" xfId="0" applyNumberFormat="1" applyFont="1" applyFill="1" applyBorder="1" applyAlignment="1">
      <alignment horizontal="center" vertical="center"/>
    </xf>
    <xf numFmtId="4" fontId="8" fillId="14" borderId="19" xfId="0" applyNumberFormat="1" applyFont="1" applyFill="1" applyBorder="1" applyAlignment="1">
      <alignment horizontal="center" vertical="center"/>
    </xf>
    <xf numFmtId="4" fontId="8" fillId="22" borderId="19" xfId="0" applyNumberFormat="1" applyFont="1" applyFill="1" applyBorder="1" applyAlignment="1">
      <alignment horizontal="center" vertical="center"/>
    </xf>
    <xf numFmtId="4" fontId="8" fillId="22" borderId="23" xfId="0" applyNumberFormat="1" applyFont="1" applyFill="1" applyBorder="1" applyAlignment="1">
      <alignment horizontal="center" vertical="center"/>
    </xf>
    <xf numFmtId="4" fontId="8" fillId="18" borderId="23" xfId="0" applyNumberFormat="1" applyFont="1" applyFill="1" applyBorder="1" applyAlignment="1">
      <alignment horizontal="center" vertical="center"/>
    </xf>
    <xf numFmtId="4" fontId="8" fillId="22" borderId="20" xfId="0" applyNumberFormat="1" applyFont="1" applyFill="1" applyBorder="1" applyAlignment="1">
      <alignment horizontal="center" vertical="center"/>
    </xf>
    <xf numFmtId="4" fontId="8" fillId="22" borderId="34" xfId="0" applyNumberFormat="1" applyFont="1" applyFill="1" applyBorder="1" applyAlignment="1">
      <alignment horizontal="center" vertical="center"/>
    </xf>
    <xf numFmtId="4" fontId="8" fillId="14" borderId="34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/>
    </xf>
  </cellXfs>
  <cellStyles count="1">
    <cellStyle name="Normal" xfId="0" builtinId="0"/>
  </cellStyles>
  <dxfs count="95">
    <dxf>
      <fill>
        <patternFill>
          <bgColor theme="5" tint="0.39994506668294322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0.499984740745262"/>
        </patternFill>
      </fill>
    </dxf>
    <dxf>
      <fill>
        <patternFill>
          <bgColor rgb="FFFFFF00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FFA-A486-44A6-BD1F-29D92F8EE696}">
  <sheetPr codeName="Hoja1"/>
  <dimension ref="A1:BJ7032"/>
  <sheetViews>
    <sheetView zoomScale="55" zoomScaleNormal="55" zoomScaleSheetLayoutView="55" workbookViewId="0">
      <pane xSplit="4" ySplit="3" topLeftCell="AO244" activePane="bottomRight" state="frozen"/>
      <selection pane="topRight" activeCell="E1" sqref="E1"/>
      <selection pane="bottomLeft" activeCell="A4" sqref="A4"/>
      <selection pane="bottomRight" activeCell="BC356" sqref="BC356"/>
    </sheetView>
  </sheetViews>
  <sheetFormatPr baseColWidth="10" defaultColWidth="11.44140625" defaultRowHeight="14.4" x14ac:dyDescent="0.3"/>
  <cols>
    <col min="1" max="1" width="9.33203125" style="2" customWidth="1"/>
    <col min="2" max="2" width="17.44140625" style="2" customWidth="1"/>
    <col min="3" max="3" width="20.5546875" style="2" customWidth="1"/>
    <col min="4" max="4" width="13" style="2" customWidth="1"/>
    <col min="5" max="16" width="17.33203125" style="2" customWidth="1"/>
    <col min="17" max="24" width="17.33203125" style="3" customWidth="1"/>
    <col min="25" max="25" width="17" style="2" customWidth="1"/>
    <col min="26" max="28" width="12.6640625" style="2" customWidth="1"/>
    <col min="29" max="29" width="16.6640625" style="2" customWidth="1"/>
    <col min="30" max="50" width="12.6640625" style="2" customWidth="1"/>
    <col min="51" max="56" width="13.33203125" style="2" customWidth="1"/>
    <col min="57" max="57" width="21" style="2" customWidth="1"/>
    <col min="58" max="58" width="33.33203125" style="2" customWidth="1"/>
    <col min="59" max="59" width="16.6640625" style="2" customWidth="1"/>
    <col min="60" max="60" width="24.109375" style="2" customWidth="1"/>
    <col min="61" max="61" width="17.5546875" style="2" customWidth="1"/>
    <col min="62" max="62" width="60.5546875" style="2" customWidth="1"/>
    <col min="63" max="16384" width="11.44140625" style="2"/>
  </cols>
  <sheetData>
    <row r="1" spans="1:62" ht="30" customHeight="1" thickBot="1" x14ac:dyDescent="0.35">
      <c r="A1" s="152" t="s">
        <v>36</v>
      </c>
      <c r="B1" s="41"/>
      <c r="C1" s="145" t="s">
        <v>0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7"/>
      <c r="AY1" s="130" t="s">
        <v>1</v>
      </c>
      <c r="AZ1" s="131"/>
      <c r="BA1" s="131"/>
      <c r="BB1" s="131"/>
      <c r="BC1" s="131"/>
      <c r="BD1" s="132"/>
    </row>
    <row r="2" spans="1:62" ht="60" customHeight="1" thickBot="1" x14ac:dyDescent="0.35">
      <c r="A2" s="152"/>
      <c r="B2" s="41"/>
      <c r="C2" s="153" t="s">
        <v>150</v>
      </c>
      <c r="D2" s="155" t="s">
        <v>199</v>
      </c>
      <c r="E2" s="143" t="s">
        <v>127</v>
      </c>
      <c r="F2" s="144"/>
      <c r="G2" s="143" t="s">
        <v>128</v>
      </c>
      <c r="H2" s="144"/>
      <c r="I2" s="143" t="s">
        <v>129</v>
      </c>
      <c r="J2" s="144"/>
      <c r="K2" s="143" t="s">
        <v>130</v>
      </c>
      <c r="L2" s="144"/>
      <c r="M2" s="143" t="s">
        <v>131</v>
      </c>
      <c r="N2" s="144"/>
      <c r="O2" s="143" t="s">
        <v>132</v>
      </c>
      <c r="P2" s="144"/>
      <c r="Q2" s="143" t="s">
        <v>133</v>
      </c>
      <c r="R2" s="144"/>
      <c r="S2" s="143" t="s">
        <v>134</v>
      </c>
      <c r="T2" s="144"/>
      <c r="U2" s="143" t="s">
        <v>135</v>
      </c>
      <c r="V2" s="144"/>
      <c r="W2" s="143" t="s">
        <v>136</v>
      </c>
      <c r="X2" s="144"/>
      <c r="Y2" s="143" t="s">
        <v>137</v>
      </c>
      <c r="Z2" s="144"/>
      <c r="AA2" s="143" t="s">
        <v>138</v>
      </c>
      <c r="AB2" s="144"/>
      <c r="AC2" s="143" t="s">
        <v>134</v>
      </c>
      <c r="AD2" s="144"/>
      <c r="AE2" s="143" t="s">
        <v>139</v>
      </c>
      <c r="AF2" s="144"/>
      <c r="AG2" s="143" t="s">
        <v>5</v>
      </c>
      <c r="AH2" s="144"/>
      <c r="AI2" s="143" t="s">
        <v>5</v>
      </c>
      <c r="AJ2" s="144"/>
      <c r="AK2" s="143" t="s">
        <v>5</v>
      </c>
      <c r="AL2" s="144"/>
      <c r="AM2" s="143" t="s">
        <v>6</v>
      </c>
      <c r="AN2" s="144"/>
      <c r="AO2" s="143" t="s">
        <v>6</v>
      </c>
      <c r="AP2" s="157"/>
      <c r="AQ2" s="143" t="s">
        <v>7</v>
      </c>
      <c r="AR2" s="157"/>
      <c r="AS2" s="143" t="s">
        <v>8</v>
      </c>
      <c r="AT2" s="144"/>
      <c r="AU2" s="143" t="s">
        <v>9</v>
      </c>
      <c r="AV2" s="144"/>
      <c r="AW2" s="143" t="s">
        <v>10</v>
      </c>
      <c r="AX2" s="144"/>
      <c r="AY2" s="133"/>
      <c r="AZ2" s="134"/>
      <c r="BA2" s="134"/>
      <c r="BB2" s="134"/>
      <c r="BC2" s="134"/>
      <c r="BD2" s="135"/>
      <c r="BE2" s="113" t="s">
        <v>11</v>
      </c>
      <c r="BF2" s="114"/>
      <c r="BG2" s="114"/>
      <c r="BH2" s="114"/>
      <c r="BI2" s="114"/>
      <c r="BJ2" s="114"/>
    </row>
    <row r="3" spans="1:62" s="1" customFormat="1" ht="36" customHeight="1" thickBot="1" x14ac:dyDescent="0.35">
      <c r="A3" s="152"/>
      <c r="B3" s="41" t="s">
        <v>12</v>
      </c>
      <c r="C3" s="154"/>
      <c r="D3" s="156"/>
      <c r="E3" s="5" t="s">
        <v>126</v>
      </c>
      <c r="F3" s="7" t="s">
        <v>13</v>
      </c>
      <c r="G3" s="5" t="s">
        <v>14</v>
      </c>
      <c r="H3" s="7" t="s">
        <v>13</v>
      </c>
      <c r="I3" s="5" t="s">
        <v>15</v>
      </c>
      <c r="J3" s="7" t="s">
        <v>13</v>
      </c>
      <c r="K3" s="5" t="s">
        <v>16</v>
      </c>
      <c r="L3" s="7" t="s">
        <v>13</v>
      </c>
      <c r="M3" s="5" t="s">
        <v>17</v>
      </c>
      <c r="N3" s="7" t="s">
        <v>13</v>
      </c>
      <c r="O3" s="5" t="s">
        <v>18</v>
      </c>
      <c r="P3" s="7" t="s">
        <v>13</v>
      </c>
      <c r="Q3" s="5" t="s">
        <v>19</v>
      </c>
      <c r="R3" s="7" t="s">
        <v>13</v>
      </c>
      <c r="S3" s="5" t="s">
        <v>20</v>
      </c>
      <c r="T3" s="7" t="s">
        <v>13</v>
      </c>
      <c r="U3" s="5" t="s">
        <v>21</v>
      </c>
      <c r="V3" s="7" t="s">
        <v>13</v>
      </c>
      <c r="W3" s="5" t="s">
        <v>22</v>
      </c>
      <c r="X3" s="7" t="s">
        <v>13</v>
      </c>
      <c r="Y3" s="5" t="s">
        <v>23</v>
      </c>
      <c r="Z3" s="7" t="s">
        <v>13</v>
      </c>
      <c r="AA3" s="5" t="s">
        <v>24</v>
      </c>
      <c r="AB3" s="7" t="s">
        <v>13</v>
      </c>
      <c r="AC3" s="5" t="s">
        <v>25</v>
      </c>
      <c r="AD3" s="7" t="s">
        <v>13</v>
      </c>
      <c r="AE3" s="5" t="s">
        <v>26</v>
      </c>
      <c r="AF3" s="7" t="s">
        <v>13</v>
      </c>
      <c r="AG3" s="5" t="s">
        <v>27</v>
      </c>
      <c r="AH3" s="7" t="s">
        <v>13</v>
      </c>
      <c r="AI3" s="5" t="s">
        <v>28</v>
      </c>
      <c r="AJ3" s="7" t="s">
        <v>13</v>
      </c>
      <c r="AK3" s="5" t="s">
        <v>29</v>
      </c>
      <c r="AL3" s="7" t="s">
        <v>13</v>
      </c>
      <c r="AM3" s="5" t="s">
        <v>30</v>
      </c>
      <c r="AN3" s="7" t="s">
        <v>13</v>
      </c>
      <c r="AO3" s="5" t="s">
        <v>31</v>
      </c>
      <c r="AP3" s="6" t="s">
        <v>13</v>
      </c>
      <c r="AQ3" s="8" t="s">
        <v>7</v>
      </c>
      <c r="AR3" s="9" t="s">
        <v>32</v>
      </c>
      <c r="AS3" s="74" t="s">
        <v>33</v>
      </c>
      <c r="AT3" s="77"/>
      <c r="AU3" s="74" t="s">
        <v>34</v>
      </c>
      <c r="AV3" s="77"/>
      <c r="AW3" s="5" t="s">
        <v>35</v>
      </c>
      <c r="AX3" s="7" t="s">
        <v>32</v>
      </c>
      <c r="AY3" s="141" t="s">
        <v>36</v>
      </c>
      <c r="AZ3" s="142"/>
      <c r="BA3" s="139" t="s">
        <v>37</v>
      </c>
      <c r="BB3" s="139"/>
      <c r="BC3" s="139" t="s">
        <v>38</v>
      </c>
      <c r="BD3" s="140"/>
      <c r="BE3" s="10" t="s">
        <v>39</v>
      </c>
      <c r="BF3" s="10" t="s">
        <v>40</v>
      </c>
      <c r="BG3" s="10" t="s">
        <v>41</v>
      </c>
      <c r="BH3" s="10" t="s">
        <v>42</v>
      </c>
      <c r="BI3" s="10" t="s">
        <v>43</v>
      </c>
      <c r="BJ3" s="10" t="s">
        <v>44</v>
      </c>
    </row>
    <row r="4" spans="1:62" ht="36" customHeight="1" x14ac:dyDescent="0.3">
      <c r="A4" s="148" t="s">
        <v>45</v>
      </c>
      <c r="B4" s="48" t="s">
        <v>46</v>
      </c>
      <c r="C4" s="16">
        <v>46023</v>
      </c>
      <c r="D4" s="18">
        <v>20</v>
      </c>
      <c r="E4" s="168"/>
      <c r="F4" s="168"/>
      <c r="G4" s="168" t="str">
        <f t="shared" ref="G4:G29" si="0">IF(MOD(C4-$C$30,42)=0,8,"")</f>
        <v/>
      </c>
      <c r="H4" s="168"/>
      <c r="I4" s="168"/>
      <c r="J4" s="168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8"/>
      <c r="X4" s="168"/>
      <c r="Y4" s="170">
        <v>10</v>
      </c>
      <c r="Z4" s="170">
        <v>20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71"/>
      <c r="AY4" s="138" t="s">
        <v>45</v>
      </c>
      <c r="AZ4" s="138"/>
      <c r="BA4" s="136">
        <f>SUMIF(E4:AX34,8)</f>
        <v>0</v>
      </c>
      <c r="BB4" s="136"/>
      <c r="BC4" s="136">
        <f>SUMIF(E4:AX34,16)</f>
        <v>0</v>
      </c>
      <c r="BD4" s="137"/>
      <c r="BE4" s="14" t="str">
        <f t="shared" ref="BE4:BE33" si="1">IF(SUM(E4,G4,I4,K4,M4,O4,Q4,S4,U4,W4,Y4,AA4,AC4,AE4,AG4,AI4,AK4,AM4,AO4,AQ4,AW4)&gt;0,"Sí","No")</f>
        <v>Sí</v>
      </c>
      <c r="BF4" s="21" t="str">
        <f t="shared" ref="BF4:BF33" si="2">IF($BE4="Sí",_xlfn.TEXTJOIN(", ",TRUE,IF(N(E4)&gt;0,E$3,""),IF(N(G4)&gt;0,G$3,""),IF(N(I4)&gt;0,I$3,""),IF(N(K4)&gt;0,K$3,""),IF(N(M4)&gt;0,M$3,""),IF(N(O4)&gt;0,O$3,""),IF(N(Q4)&gt;0,Q$3,""),IF(N(S4)&gt;0,S$3,""),IF(N(U4)&gt;0,U$3,""),IF(N(W4)&gt;0,W$3,""),IF(N(Y4)&gt;0,Y$3,""),IF(N(AA4)&gt;0,AA$3,""),IF(N(AC4)&gt;0,AC$3,""),IF(N(AE4)&gt;0,AE$3,""),IF(N(AG4)&gt;0,AG$3,""),IF(N(AI4)&gt;0,AI$3,""),IF(N(AK4)&gt;0,AK$3,""),IF(N(AM4)&gt;0,AM$3,""),IF(N(AO4)&gt;0,AO$3,""),IF(N(AQ4)&gt;0,AQ$3,""),IF(N(AW4)&gt;0,AW$3,"")),"")</f>
        <v>JINAN 01</v>
      </c>
      <c r="BG4" s="14" t="s">
        <v>47</v>
      </c>
      <c r="BH4" s="14" t="str">
        <f>IF($BE4="No","No aplica",IF($BG4="Sí","Ejecutado","Programado pendiente"))</f>
        <v>Ejecutado</v>
      </c>
      <c r="BI4" s="15">
        <v>46033</v>
      </c>
      <c r="BJ4" s="66" t="s">
        <v>96</v>
      </c>
    </row>
    <row r="5" spans="1:62" ht="18" customHeight="1" x14ac:dyDescent="0.3">
      <c r="A5" s="149"/>
      <c r="B5" s="78" t="s">
        <v>49</v>
      </c>
      <c r="C5" s="45">
        <v>46024</v>
      </c>
      <c r="D5" s="19">
        <f t="shared" ref="D4:D67" si="3">+F5+H5+J5+L5+N5+P5+R5+Z5+AB5+AD5+AF5+AH5+AJ5+AL5+AN5+AP5</f>
        <v>20</v>
      </c>
      <c r="E5" s="172" t="str">
        <f t="shared" ref="E5:E10" si="4">IF(MOD(C5-$C$11,42)=0,8,"")</f>
        <v/>
      </c>
      <c r="F5" s="172"/>
      <c r="G5" s="172" t="str">
        <f t="shared" si="0"/>
        <v/>
      </c>
      <c r="H5" s="172"/>
      <c r="I5" s="172" t="str">
        <f t="shared" ref="I5:I27" si="5">IF(MOD(C7-$C$30,42)=0,8,"")</f>
        <v/>
      </c>
      <c r="J5" s="172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2"/>
      <c r="X5" s="172"/>
      <c r="Y5" s="172" t="str">
        <f t="shared" ref="Y5:Y63" si="6">IF(MOD(C5-$C$4,15)=0,8,"")</f>
        <v/>
      </c>
      <c r="Z5" s="172"/>
      <c r="AA5" s="174">
        <v>10</v>
      </c>
      <c r="AB5" s="174">
        <v>20</v>
      </c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5"/>
      <c r="AY5" s="115"/>
      <c r="AZ5" s="115"/>
      <c r="BA5" s="116"/>
      <c r="BB5" s="116"/>
      <c r="BC5" s="116"/>
      <c r="BD5" s="117"/>
      <c r="BE5" s="11" t="str">
        <f t="shared" si="1"/>
        <v>Sí</v>
      </c>
      <c r="BF5" s="22" t="str">
        <f t="shared" si="2"/>
        <v>JINAN 02</v>
      </c>
      <c r="BG5" s="11" t="s">
        <v>47</v>
      </c>
      <c r="BH5" s="11" t="str">
        <f t="shared" ref="BH5:BH68" si="7">IF($BE5="No","No aplica",IF($BG5="Sí","Ejecutado","Programado pendiente"))</f>
        <v>Ejecutado</v>
      </c>
      <c r="BI5" s="12">
        <v>46024</v>
      </c>
      <c r="BJ5" s="68" t="s">
        <v>48</v>
      </c>
    </row>
    <row r="6" spans="1:62" ht="18" customHeight="1" x14ac:dyDescent="0.3">
      <c r="A6" s="150"/>
      <c r="B6" s="78" t="s">
        <v>50</v>
      </c>
      <c r="C6" s="17">
        <v>46025</v>
      </c>
      <c r="D6" s="19">
        <f t="shared" si="3"/>
        <v>20</v>
      </c>
      <c r="E6" s="172" t="str">
        <f t="shared" si="4"/>
        <v/>
      </c>
      <c r="F6" s="172"/>
      <c r="G6" s="172" t="str">
        <f t="shared" si="0"/>
        <v/>
      </c>
      <c r="H6" s="172"/>
      <c r="I6" s="172" t="str">
        <f t="shared" si="5"/>
        <v/>
      </c>
      <c r="J6" s="172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2"/>
      <c r="X6" s="172"/>
      <c r="Y6" s="172" t="str">
        <f t="shared" si="6"/>
        <v/>
      </c>
      <c r="Z6" s="172"/>
      <c r="AA6" s="172"/>
      <c r="AB6" s="172"/>
      <c r="AC6" s="174">
        <v>10</v>
      </c>
      <c r="AD6" s="174">
        <v>20</v>
      </c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5"/>
      <c r="AY6" s="115" t="s">
        <v>51</v>
      </c>
      <c r="AZ6" s="115"/>
      <c r="BA6" s="116">
        <f>SUMIF(D35:AX62,8)</f>
        <v>24</v>
      </c>
      <c r="BB6" s="116"/>
      <c r="BC6" s="116">
        <f>SUMIF(E35:AX62,16)</f>
        <v>0</v>
      </c>
      <c r="BD6" s="117"/>
      <c r="BE6" s="11" t="str">
        <f t="shared" si="1"/>
        <v>Sí</v>
      </c>
      <c r="BF6" s="22" t="str">
        <f t="shared" si="2"/>
        <v>JINAN 03/JN 10</v>
      </c>
      <c r="BG6" s="11" t="s">
        <v>47</v>
      </c>
      <c r="BH6" s="11" t="str">
        <f t="shared" si="7"/>
        <v>Ejecutado</v>
      </c>
      <c r="BI6" s="12">
        <v>46025</v>
      </c>
      <c r="BJ6" s="68" t="s">
        <v>48</v>
      </c>
    </row>
    <row r="7" spans="1:62" ht="18" customHeight="1" x14ac:dyDescent="0.3">
      <c r="A7" s="150"/>
      <c r="B7" s="78" t="s">
        <v>52</v>
      </c>
      <c r="C7" s="17">
        <v>46026</v>
      </c>
      <c r="D7" s="19">
        <f t="shared" si="3"/>
        <v>20</v>
      </c>
      <c r="E7" s="172" t="str">
        <f t="shared" si="4"/>
        <v/>
      </c>
      <c r="F7" s="172"/>
      <c r="G7" s="172" t="str">
        <f t="shared" si="0"/>
        <v/>
      </c>
      <c r="H7" s="172"/>
      <c r="I7" s="172" t="str">
        <f t="shared" si="5"/>
        <v/>
      </c>
      <c r="J7" s="172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2"/>
      <c r="X7" s="172"/>
      <c r="Y7" s="172" t="str">
        <f t="shared" si="6"/>
        <v/>
      </c>
      <c r="Z7" s="172"/>
      <c r="AA7" s="172"/>
      <c r="AB7" s="172"/>
      <c r="AC7" s="172"/>
      <c r="AD7" s="172"/>
      <c r="AE7" s="174">
        <v>10</v>
      </c>
      <c r="AF7" s="174">
        <v>20</v>
      </c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5"/>
      <c r="AY7" s="115"/>
      <c r="AZ7" s="115"/>
      <c r="BA7" s="116"/>
      <c r="BB7" s="116"/>
      <c r="BC7" s="116"/>
      <c r="BD7" s="117"/>
      <c r="BE7" s="11" t="str">
        <f t="shared" si="1"/>
        <v>Sí</v>
      </c>
      <c r="BF7" s="22" t="str">
        <f t="shared" si="2"/>
        <v>G 102 I</v>
      </c>
      <c r="BG7" s="11" t="s">
        <v>47</v>
      </c>
      <c r="BH7" s="11" t="str">
        <f t="shared" si="7"/>
        <v>Ejecutado</v>
      </c>
      <c r="BI7" s="12">
        <v>46026</v>
      </c>
      <c r="BJ7" s="68" t="s">
        <v>53</v>
      </c>
    </row>
    <row r="8" spans="1:62" ht="18" customHeight="1" x14ac:dyDescent="0.3">
      <c r="A8" s="150"/>
      <c r="B8" s="78" t="s">
        <v>54</v>
      </c>
      <c r="C8" s="17">
        <v>46027</v>
      </c>
      <c r="D8" s="19">
        <f t="shared" si="3"/>
        <v>20</v>
      </c>
      <c r="E8" s="172" t="str">
        <f t="shared" si="4"/>
        <v/>
      </c>
      <c r="F8" s="172"/>
      <c r="G8" s="172" t="str">
        <f t="shared" si="0"/>
        <v/>
      </c>
      <c r="H8" s="172"/>
      <c r="I8" s="172" t="str">
        <f t="shared" si="5"/>
        <v/>
      </c>
      <c r="J8" s="172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2"/>
      <c r="X8" s="172"/>
      <c r="Y8" s="172" t="str">
        <f t="shared" si="6"/>
        <v/>
      </c>
      <c r="Z8" s="172"/>
      <c r="AA8" s="172"/>
      <c r="AB8" s="172"/>
      <c r="AC8" s="172"/>
      <c r="AD8" s="172"/>
      <c r="AE8" s="172"/>
      <c r="AF8" s="172"/>
      <c r="AG8" s="174">
        <v>10</v>
      </c>
      <c r="AH8" s="174">
        <v>20</v>
      </c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5"/>
      <c r="AY8" s="115" t="s">
        <v>55</v>
      </c>
      <c r="AZ8" s="115"/>
      <c r="BA8" s="116">
        <f>SUMIF(E63:AX93,8)</f>
        <v>0</v>
      </c>
      <c r="BB8" s="116"/>
      <c r="BC8" s="116">
        <f>SUMIF(E63:AX93,16)</f>
        <v>0</v>
      </c>
      <c r="BD8" s="117"/>
      <c r="BE8" s="11" t="str">
        <f t="shared" si="1"/>
        <v>Sí</v>
      </c>
      <c r="BF8" s="22" t="str">
        <f t="shared" si="2"/>
        <v>G 102 E</v>
      </c>
      <c r="BG8" s="11" t="s">
        <v>47</v>
      </c>
      <c r="BH8" s="11" t="str">
        <f t="shared" si="7"/>
        <v>Ejecutado</v>
      </c>
      <c r="BI8" s="12">
        <v>46027</v>
      </c>
      <c r="BJ8" s="68" t="s">
        <v>53</v>
      </c>
    </row>
    <row r="9" spans="1:62" ht="18" customHeight="1" x14ac:dyDescent="0.3">
      <c r="A9" s="150"/>
      <c r="B9" s="78" t="s">
        <v>56</v>
      </c>
      <c r="C9" s="17">
        <v>46028</v>
      </c>
      <c r="D9" s="19">
        <f t="shared" si="3"/>
        <v>20</v>
      </c>
      <c r="E9" s="172" t="str">
        <f t="shared" si="4"/>
        <v/>
      </c>
      <c r="F9" s="172"/>
      <c r="G9" s="172" t="str">
        <f t="shared" si="0"/>
        <v/>
      </c>
      <c r="H9" s="172"/>
      <c r="I9" s="172" t="str">
        <f t="shared" si="5"/>
        <v/>
      </c>
      <c r="J9" s="172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2"/>
      <c r="X9" s="172"/>
      <c r="Y9" s="172" t="str">
        <f t="shared" si="6"/>
        <v/>
      </c>
      <c r="Z9" s="172"/>
      <c r="AA9" s="172"/>
      <c r="AB9" s="172"/>
      <c r="AC9" s="172"/>
      <c r="AD9" s="172"/>
      <c r="AE9" s="172"/>
      <c r="AF9" s="172"/>
      <c r="AG9" s="172"/>
      <c r="AH9" s="172"/>
      <c r="AI9" s="174">
        <v>10</v>
      </c>
      <c r="AJ9" s="174">
        <v>20</v>
      </c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5"/>
      <c r="AY9" s="115"/>
      <c r="AZ9" s="115"/>
      <c r="BA9" s="116"/>
      <c r="BB9" s="116"/>
      <c r="BC9" s="116"/>
      <c r="BD9" s="117"/>
      <c r="BE9" s="11" t="str">
        <f t="shared" si="1"/>
        <v>Sí</v>
      </c>
      <c r="BF9" s="22" t="str">
        <f t="shared" si="2"/>
        <v>G 102 A</v>
      </c>
      <c r="BG9" s="11" t="s">
        <v>47</v>
      </c>
      <c r="BH9" s="11" t="str">
        <f t="shared" si="7"/>
        <v>Ejecutado</v>
      </c>
      <c r="BI9" s="12">
        <f>+C9</f>
        <v>46028</v>
      </c>
      <c r="BJ9" s="68" t="s">
        <v>53</v>
      </c>
    </row>
    <row r="10" spans="1:62" ht="18" customHeight="1" x14ac:dyDescent="0.3">
      <c r="A10" s="150"/>
      <c r="B10" s="78" t="s">
        <v>57</v>
      </c>
      <c r="C10" s="17">
        <v>46029</v>
      </c>
      <c r="D10" s="19">
        <f t="shared" si="3"/>
        <v>20</v>
      </c>
      <c r="E10" s="172" t="str">
        <f t="shared" si="4"/>
        <v/>
      </c>
      <c r="F10" s="172"/>
      <c r="G10" s="172" t="str">
        <f t="shared" si="0"/>
        <v/>
      </c>
      <c r="H10" s="172"/>
      <c r="I10" s="172" t="str">
        <f t="shared" si="5"/>
        <v/>
      </c>
      <c r="J10" s="172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2"/>
      <c r="X10" s="172"/>
      <c r="Y10" s="172" t="str">
        <f t="shared" si="6"/>
        <v/>
      </c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4">
        <v>10</v>
      </c>
      <c r="AL10" s="174">
        <v>20</v>
      </c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5"/>
      <c r="AY10" s="115" t="s">
        <v>58</v>
      </c>
      <c r="AZ10" s="115"/>
      <c r="BA10" s="116">
        <f>SUMIF(E94:AX123,8)</f>
        <v>24</v>
      </c>
      <c r="BB10" s="116"/>
      <c r="BC10" s="116">
        <f>SUMIF(E94:AX123,16)</f>
        <v>0</v>
      </c>
      <c r="BD10" s="117"/>
      <c r="BE10" s="11" t="str">
        <f t="shared" si="1"/>
        <v>Sí</v>
      </c>
      <c r="BF10" s="22" t="str">
        <f t="shared" si="2"/>
        <v>G 101 V</v>
      </c>
      <c r="BG10" s="11" t="s">
        <v>47</v>
      </c>
      <c r="BH10" s="11" t="str">
        <f t="shared" si="7"/>
        <v>Ejecutado</v>
      </c>
      <c r="BI10" s="12"/>
      <c r="BJ10" s="68" t="s">
        <v>53</v>
      </c>
    </row>
    <row r="11" spans="1:62" ht="27.6" customHeight="1" x14ac:dyDescent="0.3">
      <c r="A11" s="150"/>
      <c r="B11" s="78" t="s">
        <v>46</v>
      </c>
      <c r="C11" s="17">
        <v>46030</v>
      </c>
      <c r="D11" s="19">
        <f t="shared" si="3"/>
        <v>40</v>
      </c>
      <c r="E11" s="174">
        <v>10</v>
      </c>
      <c r="F11" s="174">
        <v>20</v>
      </c>
      <c r="G11" s="172" t="str">
        <f t="shared" si="0"/>
        <v/>
      </c>
      <c r="H11" s="172"/>
      <c r="I11" s="172" t="str">
        <f t="shared" si="5"/>
        <v/>
      </c>
      <c r="J11" s="172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2"/>
      <c r="X11" s="172"/>
      <c r="Y11" s="172" t="str">
        <f t="shared" si="6"/>
        <v/>
      </c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4">
        <v>10</v>
      </c>
      <c r="AN11" s="174">
        <v>20</v>
      </c>
      <c r="AO11" s="172"/>
      <c r="AP11" s="172"/>
      <c r="AQ11" s="172"/>
      <c r="AR11" s="172"/>
      <c r="AS11" s="172"/>
      <c r="AT11" s="172"/>
      <c r="AU11" s="172"/>
      <c r="AV11" s="172"/>
      <c r="AW11" s="172"/>
      <c r="AX11" s="175"/>
      <c r="AY11" s="115"/>
      <c r="AZ11" s="115"/>
      <c r="BA11" s="116"/>
      <c r="BB11" s="116"/>
      <c r="BC11" s="116"/>
      <c r="BD11" s="117"/>
      <c r="BE11" s="11" t="str">
        <f t="shared" si="1"/>
        <v>Sí</v>
      </c>
      <c r="BF11" s="22" t="str">
        <f t="shared" si="2"/>
        <v>CPW02
, G102 J</v>
      </c>
      <c r="BG11" s="11" t="s">
        <v>47</v>
      </c>
      <c r="BH11" s="11" t="str">
        <f t="shared" si="7"/>
        <v>Ejecutado</v>
      </c>
      <c r="BI11" s="12">
        <v>46037</v>
      </c>
      <c r="BJ11" s="68" t="s">
        <v>59</v>
      </c>
    </row>
    <row r="12" spans="1:62" ht="18" customHeight="1" x14ac:dyDescent="0.3">
      <c r="A12" s="150"/>
      <c r="B12" s="78" t="s">
        <v>49</v>
      </c>
      <c r="C12" s="17">
        <v>46031</v>
      </c>
      <c r="D12" s="19">
        <f t="shared" si="3"/>
        <v>20</v>
      </c>
      <c r="E12" s="172" t="str">
        <f t="shared" ref="E12:E70" si="8">IF(MOD(C12-$C$4,42)=0,8,"")</f>
        <v/>
      </c>
      <c r="F12" s="172"/>
      <c r="G12" s="172" t="str">
        <f t="shared" si="0"/>
        <v/>
      </c>
      <c r="H12" s="172"/>
      <c r="I12" s="172" t="str">
        <f t="shared" si="5"/>
        <v/>
      </c>
      <c r="J12" s="172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2"/>
      <c r="X12" s="172"/>
      <c r="Y12" s="172" t="str">
        <f t="shared" si="6"/>
        <v/>
      </c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4">
        <v>10</v>
      </c>
      <c r="AP12" s="174">
        <v>20</v>
      </c>
      <c r="AQ12" s="172"/>
      <c r="AR12" s="172"/>
      <c r="AS12" s="172"/>
      <c r="AT12" s="172"/>
      <c r="AU12" s="172"/>
      <c r="AV12" s="172"/>
      <c r="AW12" s="172"/>
      <c r="AX12" s="175"/>
      <c r="AY12" s="115" t="s">
        <v>60</v>
      </c>
      <c r="AZ12" s="115"/>
      <c r="BA12" s="116">
        <f>SUMIF(E124:AX154,8)</f>
        <v>24</v>
      </c>
      <c r="BB12" s="116"/>
      <c r="BC12" s="116">
        <f>SUMIF(E124:AX154,16)</f>
        <v>48</v>
      </c>
      <c r="BD12" s="117"/>
      <c r="BE12" s="11" t="str">
        <f t="shared" si="1"/>
        <v>Sí</v>
      </c>
      <c r="BF12" s="22" t="str">
        <f t="shared" si="2"/>
        <v>G102K</v>
      </c>
      <c r="BG12" s="11" t="s">
        <v>47</v>
      </c>
      <c r="BH12" s="11" t="str">
        <f t="shared" si="7"/>
        <v>Ejecutado</v>
      </c>
      <c r="BI12" s="12"/>
      <c r="BJ12" s="68"/>
    </row>
    <row r="13" spans="1:62" ht="18" customHeight="1" x14ac:dyDescent="0.3">
      <c r="A13" s="150"/>
      <c r="B13" s="78" t="s">
        <v>50</v>
      </c>
      <c r="C13" s="17">
        <v>46032</v>
      </c>
      <c r="D13" s="19">
        <f t="shared" si="3"/>
        <v>0</v>
      </c>
      <c r="E13" s="172" t="str">
        <f t="shared" si="8"/>
        <v/>
      </c>
      <c r="F13" s="172"/>
      <c r="G13" s="172" t="str">
        <f t="shared" si="0"/>
        <v/>
      </c>
      <c r="H13" s="172"/>
      <c r="I13" s="172" t="str">
        <f t="shared" si="5"/>
        <v/>
      </c>
      <c r="J13" s="172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2"/>
      <c r="X13" s="172"/>
      <c r="Y13" s="172" t="str">
        <f t="shared" si="6"/>
        <v/>
      </c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5"/>
      <c r="AY13" s="115"/>
      <c r="AZ13" s="115"/>
      <c r="BA13" s="116"/>
      <c r="BB13" s="116"/>
      <c r="BC13" s="116"/>
      <c r="BD13" s="117"/>
      <c r="BE13" s="11" t="str">
        <f t="shared" si="1"/>
        <v>No</v>
      </c>
      <c r="BF13" s="22" t="str">
        <f t="shared" si="2"/>
        <v/>
      </c>
      <c r="BG13" s="11"/>
      <c r="BH13" s="11" t="str">
        <f t="shared" si="7"/>
        <v>No aplica</v>
      </c>
      <c r="BI13" s="12"/>
      <c r="BJ13" s="68"/>
    </row>
    <row r="14" spans="1:62" ht="18" customHeight="1" x14ac:dyDescent="0.3">
      <c r="A14" s="150"/>
      <c r="B14" s="78" t="s">
        <v>52</v>
      </c>
      <c r="C14" s="17">
        <v>46033</v>
      </c>
      <c r="D14" s="19">
        <f t="shared" si="3"/>
        <v>0</v>
      </c>
      <c r="E14" s="172" t="str">
        <f t="shared" si="8"/>
        <v/>
      </c>
      <c r="F14" s="172"/>
      <c r="G14" s="172" t="str">
        <f t="shared" si="0"/>
        <v/>
      </c>
      <c r="H14" s="172"/>
      <c r="I14" s="172" t="str">
        <f t="shared" si="5"/>
        <v/>
      </c>
      <c r="J14" s="172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2"/>
      <c r="X14" s="172"/>
      <c r="Y14" s="172" t="str">
        <f t="shared" si="6"/>
        <v/>
      </c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5"/>
      <c r="AY14" s="115" t="s">
        <v>61</v>
      </c>
      <c r="AZ14" s="115"/>
      <c r="BA14" s="116">
        <f>SUMIF(E155:AX184,8)</f>
        <v>40</v>
      </c>
      <c r="BB14" s="116"/>
      <c r="BC14" s="116">
        <f>SUMIF(E155:AX185,16)</f>
        <v>32</v>
      </c>
      <c r="BD14" s="117"/>
      <c r="BE14" s="11" t="str">
        <f t="shared" si="1"/>
        <v>No</v>
      </c>
      <c r="BF14" s="22" t="str">
        <f t="shared" si="2"/>
        <v/>
      </c>
      <c r="BG14" s="11"/>
      <c r="BH14" s="11" t="str">
        <f t="shared" si="7"/>
        <v>No aplica</v>
      </c>
      <c r="BI14" s="12"/>
      <c r="BJ14" s="68"/>
    </row>
    <row r="15" spans="1:62" ht="18" customHeight="1" x14ac:dyDescent="0.3">
      <c r="A15" s="150"/>
      <c r="B15" s="78" t="s">
        <v>54</v>
      </c>
      <c r="C15" s="17">
        <v>46034</v>
      </c>
      <c r="D15" s="19">
        <f t="shared" si="3"/>
        <v>0</v>
      </c>
      <c r="E15" s="172" t="str">
        <f t="shared" si="8"/>
        <v/>
      </c>
      <c r="F15" s="172"/>
      <c r="G15" s="172" t="str">
        <f t="shared" si="0"/>
        <v/>
      </c>
      <c r="H15" s="172"/>
      <c r="I15" s="172" t="str">
        <f t="shared" si="5"/>
        <v/>
      </c>
      <c r="J15" s="172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2"/>
      <c r="X15" s="172"/>
      <c r="Y15" s="172" t="str">
        <f t="shared" si="6"/>
        <v/>
      </c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5"/>
      <c r="AY15" s="115"/>
      <c r="AZ15" s="115"/>
      <c r="BA15" s="116"/>
      <c r="BB15" s="116"/>
      <c r="BC15" s="116"/>
      <c r="BD15" s="117"/>
      <c r="BE15" s="11" t="str">
        <f t="shared" si="1"/>
        <v>No</v>
      </c>
      <c r="BF15" s="22" t="str">
        <f t="shared" si="2"/>
        <v/>
      </c>
      <c r="BG15" s="11"/>
      <c r="BH15" s="11" t="str">
        <f t="shared" si="7"/>
        <v>No aplica</v>
      </c>
      <c r="BI15" s="12"/>
      <c r="BJ15" s="68"/>
    </row>
    <row r="16" spans="1:62" ht="18" customHeight="1" x14ac:dyDescent="0.3">
      <c r="A16" s="150"/>
      <c r="B16" s="78" t="s">
        <v>56</v>
      </c>
      <c r="C16" s="17">
        <v>46035</v>
      </c>
      <c r="D16" s="19">
        <f t="shared" si="3"/>
        <v>0</v>
      </c>
      <c r="E16" s="172" t="str">
        <f t="shared" si="8"/>
        <v/>
      </c>
      <c r="F16" s="172"/>
      <c r="G16" s="172" t="str">
        <f t="shared" si="0"/>
        <v/>
      </c>
      <c r="H16" s="172"/>
      <c r="I16" s="172" t="str">
        <f t="shared" si="5"/>
        <v/>
      </c>
      <c r="J16" s="172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2"/>
      <c r="X16" s="172"/>
      <c r="Y16" s="172" t="str">
        <f t="shared" si="6"/>
        <v/>
      </c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5"/>
      <c r="AY16" s="115" t="s">
        <v>62</v>
      </c>
      <c r="AZ16" s="115"/>
      <c r="BA16" s="116">
        <f>SUMIF(E185:AX215,8)</f>
        <v>0</v>
      </c>
      <c r="BB16" s="116"/>
      <c r="BC16" s="116">
        <f>SUMIF(E185:AX215,16)</f>
        <v>0</v>
      </c>
      <c r="BD16" s="117"/>
      <c r="BE16" s="11" t="str">
        <f t="shared" si="1"/>
        <v>No</v>
      </c>
      <c r="BF16" s="22" t="str">
        <f t="shared" si="2"/>
        <v/>
      </c>
      <c r="BG16" s="11"/>
      <c r="BH16" s="11" t="str">
        <f t="shared" si="7"/>
        <v>No aplica</v>
      </c>
      <c r="BI16" s="12"/>
      <c r="BJ16" s="68"/>
    </row>
    <row r="17" spans="1:62" ht="18" customHeight="1" x14ac:dyDescent="0.3">
      <c r="A17" s="150"/>
      <c r="B17" s="78" t="s">
        <v>57</v>
      </c>
      <c r="C17" s="17">
        <v>46036</v>
      </c>
      <c r="D17" s="19">
        <f t="shared" si="3"/>
        <v>0</v>
      </c>
      <c r="E17" s="172" t="str">
        <f t="shared" si="8"/>
        <v/>
      </c>
      <c r="F17" s="172"/>
      <c r="G17" s="172" t="str">
        <f t="shared" si="0"/>
        <v/>
      </c>
      <c r="H17" s="172"/>
      <c r="I17" s="172" t="str">
        <f t="shared" si="5"/>
        <v/>
      </c>
      <c r="J17" s="172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2"/>
      <c r="X17" s="172"/>
      <c r="Y17" s="172" t="str">
        <f t="shared" si="6"/>
        <v/>
      </c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5"/>
      <c r="AY17" s="115"/>
      <c r="AZ17" s="115"/>
      <c r="BA17" s="116"/>
      <c r="BB17" s="116"/>
      <c r="BC17" s="116"/>
      <c r="BD17" s="117"/>
      <c r="BE17" s="11" t="str">
        <f t="shared" si="1"/>
        <v>No</v>
      </c>
      <c r="BF17" s="22" t="str">
        <f t="shared" si="2"/>
        <v/>
      </c>
      <c r="BG17" s="11"/>
      <c r="BH17" s="11" t="str">
        <f t="shared" si="7"/>
        <v>No aplica</v>
      </c>
      <c r="BI17" s="12"/>
      <c r="BJ17" s="68"/>
    </row>
    <row r="18" spans="1:62" ht="18" customHeight="1" x14ac:dyDescent="0.3">
      <c r="A18" s="150"/>
      <c r="B18" s="78" t="s">
        <v>46</v>
      </c>
      <c r="C18" s="17">
        <v>46037</v>
      </c>
      <c r="D18" s="19">
        <f t="shared" si="3"/>
        <v>0</v>
      </c>
      <c r="E18" s="172" t="str">
        <f t="shared" si="8"/>
        <v/>
      </c>
      <c r="F18" s="172"/>
      <c r="G18" s="172" t="str">
        <f t="shared" si="0"/>
        <v/>
      </c>
      <c r="H18" s="172"/>
      <c r="I18" s="172" t="str">
        <f t="shared" si="5"/>
        <v/>
      </c>
      <c r="J18" s="172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2"/>
      <c r="X18" s="172"/>
      <c r="Y18" s="172" t="str">
        <f t="shared" si="6"/>
        <v/>
      </c>
      <c r="Z18" s="176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7"/>
      <c r="AR18" s="172"/>
      <c r="AS18" s="172"/>
      <c r="AT18" s="172"/>
      <c r="AU18" s="172"/>
      <c r="AV18" s="172"/>
      <c r="AW18" s="172"/>
      <c r="AX18" s="175"/>
      <c r="AY18" s="115" t="s">
        <v>63</v>
      </c>
      <c r="AZ18" s="115"/>
      <c r="BA18" s="116">
        <f>SUMIF(E216:AX246,8)</f>
        <v>24</v>
      </c>
      <c r="BB18" s="116"/>
      <c r="BC18" s="116">
        <f>SUMIF(E216:AX246,16)</f>
        <v>0</v>
      </c>
      <c r="BD18" s="117"/>
      <c r="BE18" s="11" t="str">
        <f t="shared" si="1"/>
        <v>No</v>
      </c>
      <c r="BF18" s="22" t="str">
        <f t="shared" si="2"/>
        <v/>
      </c>
      <c r="BG18" s="11"/>
      <c r="BH18" s="11" t="str">
        <f t="shared" si="7"/>
        <v>No aplica</v>
      </c>
      <c r="BI18" s="12"/>
      <c r="BJ18" s="68"/>
    </row>
    <row r="19" spans="1:62" ht="18" customHeight="1" x14ac:dyDescent="0.3">
      <c r="A19" s="150"/>
      <c r="B19" s="78" t="s">
        <v>49</v>
      </c>
      <c r="C19" s="17">
        <v>46038</v>
      </c>
      <c r="D19" s="19">
        <f t="shared" si="3"/>
        <v>20</v>
      </c>
      <c r="E19" s="172" t="str">
        <f t="shared" si="8"/>
        <v/>
      </c>
      <c r="F19" s="172"/>
      <c r="G19" s="172" t="str">
        <f t="shared" si="0"/>
        <v/>
      </c>
      <c r="H19" s="172"/>
      <c r="I19" s="172" t="str">
        <f t="shared" si="5"/>
        <v/>
      </c>
      <c r="J19" s="172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2"/>
      <c r="X19" s="172"/>
      <c r="Y19" s="174">
        <v>10</v>
      </c>
      <c r="Z19" s="174">
        <v>20</v>
      </c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2"/>
      <c r="AR19" s="172"/>
      <c r="AS19" s="172"/>
      <c r="AT19" s="172"/>
      <c r="AU19" s="172"/>
      <c r="AV19" s="172"/>
      <c r="AW19" s="172"/>
      <c r="AX19" s="175"/>
      <c r="AY19" s="115"/>
      <c r="AZ19" s="115"/>
      <c r="BA19" s="116"/>
      <c r="BB19" s="116"/>
      <c r="BC19" s="116"/>
      <c r="BD19" s="117"/>
      <c r="BE19" s="11" t="str">
        <f t="shared" si="1"/>
        <v>Sí</v>
      </c>
      <c r="BF19" s="22" t="str">
        <f t="shared" si="2"/>
        <v>JINAN 01</v>
      </c>
      <c r="BG19" s="11" t="s">
        <v>47</v>
      </c>
      <c r="BH19" s="11" t="str">
        <f t="shared" si="7"/>
        <v>Ejecutado</v>
      </c>
      <c r="BI19" s="12" t="s">
        <v>64</v>
      </c>
      <c r="BJ19" s="68" t="s">
        <v>48</v>
      </c>
    </row>
    <row r="20" spans="1:62" ht="18" customHeight="1" x14ac:dyDescent="0.3">
      <c r="A20" s="150"/>
      <c r="B20" s="78" t="s">
        <v>50</v>
      </c>
      <c r="C20" s="17">
        <v>46039</v>
      </c>
      <c r="D20" s="19">
        <f t="shared" si="3"/>
        <v>20</v>
      </c>
      <c r="E20" s="172" t="str">
        <f t="shared" si="8"/>
        <v/>
      </c>
      <c r="F20" s="172"/>
      <c r="G20" s="172" t="str">
        <f t="shared" si="0"/>
        <v/>
      </c>
      <c r="H20" s="172"/>
      <c r="I20" s="172" t="str">
        <f t="shared" si="5"/>
        <v/>
      </c>
      <c r="J20" s="17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2"/>
      <c r="X20" s="172"/>
      <c r="Y20" s="172" t="str">
        <f t="shared" ref="Y20:Y27" si="9">IF(MOD(C20-$C$4,15)=0,8,"")</f>
        <v/>
      </c>
      <c r="Z20" s="172"/>
      <c r="AA20" s="174">
        <v>10</v>
      </c>
      <c r="AB20" s="174">
        <v>20</v>
      </c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5"/>
      <c r="AY20" s="115" t="s">
        <v>65</v>
      </c>
      <c r="AZ20" s="115"/>
      <c r="BA20" s="116">
        <f>SUMIF(E247:AX276,8)</f>
        <v>0</v>
      </c>
      <c r="BB20" s="116"/>
      <c r="BC20" s="116">
        <f>SUMIF(E247:AX276,16)</f>
        <v>0</v>
      </c>
      <c r="BD20" s="117"/>
      <c r="BE20" s="11" t="str">
        <f t="shared" si="1"/>
        <v>Sí</v>
      </c>
      <c r="BF20" s="22" t="str">
        <f t="shared" si="2"/>
        <v>JINAN 02</v>
      </c>
      <c r="BG20" s="11" t="s">
        <v>47</v>
      </c>
      <c r="BH20" s="11" t="str">
        <f t="shared" si="7"/>
        <v>Ejecutado</v>
      </c>
      <c r="BI20" s="12">
        <v>46034</v>
      </c>
      <c r="BJ20" s="68" t="s">
        <v>48</v>
      </c>
    </row>
    <row r="21" spans="1:62" ht="18" customHeight="1" x14ac:dyDescent="0.3">
      <c r="A21" s="150"/>
      <c r="B21" s="78" t="s">
        <v>52</v>
      </c>
      <c r="C21" s="17">
        <v>46040</v>
      </c>
      <c r="D21" s="19">
        <f t="shared" si="3"/>
        <v>20</v>
      </c>
      <c r="E21" s="172" t="str">
        <f t="shared" si="8"/>
        <v/>
      </c>
      <c r="F21" s="172"/>
      <c r="G21" s="172" t="str">
        <f t="shared" si="0"/>
        <v/>
      </c>
      <c r="H21" s="172"/>
      <c r="I21" s="172" t="str">
        <f t="shared" si="5"/>
        <v/>
      </c>
      <c r="J21" s="172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2"/>
      <c r="X21" s="172"/>
      <c r="Y21" s="172" t="str">
        <f t="shared" si="9"/>
        <v/>
      </c>
      <c r="Z21" s="172"/>
      <c r="AA21" s="172"/>
      <c r="AB21" s="172"/>
      <c r="AC21" s="174">
        <v>10</v>
      </c>
      <c r="AD21" s="174">
        <v>20</v>
      </c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5"/>
      <c r="AY21" s="115"/>
      <c r="AZ21" s="115"/>
      <c r="BA21" s="116"/>
      <c r="BB21" s="116"/>
      <c r="BC21" s="116"/>
      <c r="BD21" s="117"/>
      <c r="BE21" s="11" t="str">
        <f t="shared" si="1"/>
        <v>Sí</v>
      </c>
      <c r="BF21" s="22" t="str">
        <f t="shared" si="2"/>
        <v>JINAN 03/JN 10</v>
      </c>
      <c r="BG21" s="11" t="s">
        <v>47</v>
      </c>
      <c r="BH21" s="11" t="str">
        <f t="shared" si="7"/>
        <v>Ejecutado</v>
      </c>
      <c r="BI21" s="12">
        <v>46040</v>
      </c>
      <c r="BJ21" s="68" t="s">
        <v>48</v>
      </c>
    </row>
    <row r="22" spans="1:62" ht="18" customHeight="1" x14ac:dyDescent="0.3">
      <c r="A22" s="150"/>
      <c r="B22" s="78" t="s">
        <v>54</v>
      </c>
      <c r="C22" s="17">
        <v>46041</v>
      </c>
      <c r="D22" s="19">
        <f t="shared" si="3"/>
        <v>20</v>
      </c>
      <c r="E22" s="172" t="str">
        <f t="shared" si="8"/>
        <v/>
      </c>
      <c r="F22" s="172"/>
      <c r="G22" s="172" t="str">
        <f t="shared" si="0"/>
        <v/>
      </c>
      <c r="H22" s="172"/>
      <c r="I22" s="172" t="str">
        <f t="shared" si="5"/>
        <v/>
      </c>
      <c r="J22" s="172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2"/>
      <c r="X22" s="172"/>
      <c r="Y22" s="172" t="str">
        <f t="shared" si="9"/>
        <v/>
      </c>
      <c r="Z22" s="172"/>
      <c r="AA22" s="172"/>
      <c r="AB22" s="172"/>
      <c r="AC22" s="172"/>
      <c r="AD22" s="172"/>
      <c r="AE22" s="174">
        <v>10</v>
      </c>
      <c r="AF22" s="174">
        <v>20</v>
      </c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5"/>
      <c r="AY22" s="115" t="s">
        <v>66</v>
      </c>
      <c r="AZ22" s="115"/>
      <c r="BA22" s="116">
        <f>SUMIF(E277:AX307,8)</f>
        <v>24</v>
      </c>
      <c r="BB22" s="116"/>
      <c r="BC22" s="116">
        <f>SUMIF(D277:AX307,16)</f>
        <v>0</v>
      </c>
      <c r="BD22" s="117"/>
      <c r="BE22" s="11" t="str">
        <f t="shared" si="1"/>
        <v>Sí</v>
      </c>
      <c r="BF22" s="22" t="str">
        <f t="shared" si="2"/>
        <v>G 102 I</v>
      </c>
      <c r="BG22" s="11" t="s">
        <v>47</v>
      </c>
      <c r="BH22" s="11" t="str">
        <f t="shared" si="7"/>
        <v>Ejecutado</v>
      </c>
      <c r="BI22" s="12">
        <v>46041</v>
      </c>
      <c r="BJ22" s="68" t="s">
        <v>48</v>
      </c>
    </row>
    <row r="23" spans="1:62" ht="36" customHeight="1" x14ac:dyDescent="0.3">
      <c r="A23" s="150"/>
      <c r="B23" s="78" t="s">
        <v>56</v>
      </c>
      <c r="C23" s="17">
        <v>46042</v>
      </c>
      <c r="D23" s="19">
        <f t="shared" si="3"/>
        <v>20</v>
      </c>
      <c r="E23" s="172" t="str">
        <f t="shared" si="8"/>
        <v/>
      </c>
      <c r="F23" s="172"/>
      <c r="G23" s="172" t="str">
        <f t="shared" si="0"/>
        <v/>
      </c>
      <c r="H23" s="172"/>
      <c r="I23" s="172" t="str">
        <f t="shared" si="5"/>
        <v/>
      </c>
      <c r="J23" s="172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2"/>
      <c r="X23" s="172"/>
      <c r="Y23" s="172" t="str">
        <f t="shared" si="9"/>
        <v/>
      </c>
      <c r="Z23" s="172"/>
      <c r="AA23" s="172"/>
      <c r="AB23" s="172"/>
      <c r="AC23" s="172"/>
      <c r="AD23" s="172"/>
      <c r="AE23" s="172"/>
      <c r="AF23" s="172"/>
      <c r="AG23" s="174">
        <v>10</v>
      </c>
      <c r="AH23" s="174">
        <v>20</v>
      </c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5"/>
      <c r="AY23" s="115"/>
      <c r="AZ23" s="115"/>
      <c r="BA23" s="116"/>
      <c r="BB23" s="116"/>
      <c r="BC23" s="116"/>
      <c r="BD23" s="117"/>
      <c r="BE23" s="11" t="str">
        <f t="shared" si="1"/>
        <v>Sí</v>
      </c>
      <c r="BF23" s="22" t="str">
        <f t="shared" si="2"/>
        <v>G 102 E</v>
      </c>
      <c r="BG23" s="11" t="s">
        <v>47</v>
      </c>
      <c r="BH23" s="11" t="str">
        <f t="shared" si="7"/>
        <v>Ejecutado</v>
      </c>
      <c r="BI23" s="12">
        <v>46042</v>
      </c>
      <c r="BJ23" s="68" t="s">
        <v>48</v>
      </c>
    </row>
    <row r="24" spans="1:62" ht="36" customHeight="1" x14ac:dyDescent="0.3">
      <c r="A24" s="150"/>
      <c r="B24" s="78" t="s">
        <v>57</v>
      </c>
      <c r="C24" s="17">
        <v>46043</v>
      </c>
      <c r="D24" s="19">
        <f t="shared" si="3"/>
        <v>20</v>
      </c>
      <c r="E24" s="172" t="str">
        <f t="shared" si="8"/>
        <v/>
      </c>
      <c r="F24" s="172"/>
      <c r="G24" s="172" t="str">
        <f t="shared" si="0"/>
        <v/>
      </c>
      <c r="H24" s="172"/>
      <c r="I24" s="172" t="str">
        <f t="shared" si="5"/>
        <v/>
      </c>
      <c r="J24" s="172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2"/>
      <c r="X24" s="172"/>
      <c r="Y24" s="172" t="str">
        <f t="shared" si="9"/>
        <v/>
      </c>
      <c r="Z24" s="172"/>
      <c r="AA24" s="172"/>
      <c r="AB24" s="172"/>
      <c r="AC24" s="172"/>
      <c r="AD24" s="172"/>
      <c r="AE24" s="172"/>
      <c r="AF24" s="172"/>
      <c r="AG24" s="172"/>
      <c r="AH24" s="172"/>
      <c r="AI24" s="174">
        <v>10</v>
      </c>
      <c r="AJ24" s="174">
        <v>20</v>
      </c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5"/>
      <c r="AY24" s="115" t="s">
        <v>67</v>
      </c>
      <c r="AZ24" s="115"/>
      <c r="BA24" s="116">
        <f>SUMIF(E308:AX337,8)</f>
        <v>0</v>
      </c>
      <c r="BB24" s="116"/>
      <c r="BC24" s="116">
        <f>SUMIF(E308:AX337,16)</f>
        <v>0</v>
      </c>
      <c r="BD24" s="117"/>
      <c r="BE24" s="11" t="str">
        <f t="shared" si="1"/>
        <v>Sí</v>
      </c>
      <c r="BF24" s="22" t="str">
        <f t="shared" si="2"/>
        <v>G 102 A</v>
      </c>
      <c r="BG24" s="11" t="s">
        <v>47</v>
      </c>
      <c r="BH24" s="11" t="str">
        <f t="shared" si="7"/>
        <v>Ejecutado</v>
      </c>
      <c r="BI24" s="12">
        <f>C24</f>
        <v>46043</v>
      </c>
      <c r="BJ24" s="68" t="s">
        <v>48</v>
      </c>
    </row>
    <row r="25" spans="1:62" ht="36" customHeight="1" x14ac:dyDescent="0.3">
      <c r="A25" s="150"/>
      <c r="B25" s="78" t="s">
        <v>46</v>
      </c>
      <c r="C25" s="17">
        <v>46044</v>
      </c>
      <c r="D25" s="19">
        <f t="shared" si="3"/>
        <v>20</v>
      </c>
      <c r="E25" s="172" t="str">
        <f t="shared" si="8"/>
        <v/>
      </c>
      <c r="F25" s="172"/>
      <c r="G25" s="172" t="str">
        <f t="shared" si="0"/>
        <v/>
      </c>
      <c r="H25" s="172"/>
      <c r="I25" s="172" t="str">
        <f t="shared" si="5"/>
        <v/>
      </c>
      <c r="J25" s="172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2"/>
      <c r="X25" s="172"/>
      <c r="Y25" s="172" t="str">
        <f t="shared" si="9"/>
        <v/>
      </c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4">
        <v>10</v>
      </c>
      <c r="AL25" s="174">
        <v>20</v>
      </c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5"/>
      <c r="AY25" s="115"/>
      <c r="AZ25" s="115"/>
      <c r="BA25" s="116"/>
      <c r="BB25" s="116"/>
      <c r="BC25" s="116"/>
      <c r="BD25" s="117"/>
      <c r="BE25" s="11" t="str">
        <f t="shared" si="1"/>
        <v>Sí</v>
      </c>
      <c r="BF25" s="22" t="str">
        <f t="shared" si="2"/>
        <v>G 101 V</v>
      </c>
      <c r="BG25" s="11" t="s">
        <v>47</v>
      </c>
      <c r="BH25" s="11" t="str">
        <f t="shared" si="7"/>
        <v>Ejecutado</v>
      </c>
      <c r="BI25" s="12">
        <v>46044</v>
      </c>
      <c r="BJ25" s="68" t="s">
        <v>48</v>
      </c>
    </row>
    <row r="26" spans="1:62" ht="36" customHeight="1" x14ac:dyDescent="0.3">
      <c r="A26" s="150"/>
      <c r="B26" s="78" t="s">
        <v>49</v>
      </c>
      <c r="C26" s="17">
        <v>46045</v>
      </c>
      <c r="D26" s="19">
        <f t="shared" si="3"/>
        <v>20</v>
      </c>
      <c r="E26" s="172" t="str">
        <f t="shared" si="8"/>
        <v/>
      </c>
      <c r="F26" s="172"/>
      <c r="G26" s="172" t="str">
        <f t="shared" si="0"/>
        <v/>
      </c>
      <c r="H26" s="172"/>
      <c r="I26" s="172" t="str">
        <f t="shared" si="5"/>
        <v/>
      </c>
      <c r="J26" s="172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2"/>
      <c r="X26" s="172"/>
      <c r="Y26" s="172" t="str">
        <f t="shared" si="9"/>
        <v/>
      </c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4">
        <v>10</v>
      </c>
      <c r="AN26" s="174">
        <v>20</v>
      </c>
      <c r="AO26" s="172"/>
      <c r="AP26" s="172"/>
      <c r="AQ26" s="172"/>
      <c r="AR26" s="172"/>
      <c r="AS26" s="172"/>
      <c r="AT26" s="172"/>
      <c r="AU26" s="172"/>
      <c r="AV26" s="172"/>
      <c r="AW26" s="172"/>
      <c r="AX26" s="175"/>
      <c r="AY26" s="115" t="s">
        <v>68</v>
      </c>
      <c r="AZ26" s="115"/>
      <c r="BA26" s="116">
        <f>SUMIF(E338:AX368,8)</f>
        <v>24</v>
      </c>
      <c r="BB26" s="116"/>
      <c r="BC26" s="116">
        <f>SUMIF(E338:AX368,16)</f>
        <v>0</v>
      </c>
      <c r="BD26" s="117"/>
      <c r="BE26" s="11" t="str">
        <f t="shared" si="1"/>
        <v>Sí</v>
      </c>
      <c r="BF26" s="22" t="str">
        <f t="shared" si="2"/>
        <v>G102 J</v>
      </c>
      <c r="BG26" s="11" t="s">
        <v>47</v>
      </c>
      <c r="BH26" s="11" t="str">
        <f t="shared" si="7"/>
        <v>Ejecutado</v>
      </c>
      <c r="BI26" s="12">
        <v>46045</v>
      </c>
      <c r="BJ26" s="68" t="s">
        <v>48</v>
      </c>
    </row>
    <row r="27" spans="1:62" ht="18" customHeight="1" x14ac:dyDescent="0.3">
      <c r="A27" s="150"/>
      <c r="B27" s="78" t="s">
        <v>50</v>
      </c>
      <c r="C27" s="17">
        <v>46046</v>
      </c>
      <c r="D27" s="19">
        <f t="shared" si="3"/>
        <v>20</v>
      </c>
      <c r="E27" s="172" t="str">
        <f t="shared" si="8"/>
        <v/>
      </c>
      <c r="F27" s="172"/>
      <c r="G27" s="172" t="str">
        <f t="shared" si="0"/>
        <v/>
      </c>
      <c r="H27" s="172"/>
      <c r="I27" s="172" t="str">
        <f t="shared" si="5"/>
        <v/>
      </c>
      <c r="J27" s="172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2"/>
      <c r="X27" s="172"/>
      <c r="Y27" s="172" t="str">
        <f t="shared" si="9"/>
        <v/>
      </c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4">
        <v>10</v>
      </c>
      <c r="AP27" s="174">
        <v>20</v>
      </c>
      <c r="AQ27" s="172"/>
      <c r="AR27" s="172"/>
      <c r="AS27" s="172"/>
      <c r="AT27" s="172"/>
      <c r="AU27" s="172"/>
      <c r="AV27" s="172"/>
      <c r="AW27" s="172"/>
      <c r="AX27" s="175"/>
      <c r="AY27" s="115"/>
      <c r="AZ27" s="115"/>
      <c r="BA27" s="116"/>
      <c r="BB27" s="116"/>
      <c r="BC27" s="116"/>
      <c r="BD27" s="117"/>
      <c r="BE27" s="11" t="str">
        <f t="shared" si="1"/>
        <v>Sí</v>
      </c>
      <c r="BF27" s="22" t="str">
        <f t="shared" si="2"/>
        <v>G102K</v>
      </c>
      <c r="BG27" s="11" t="s">
        <v>47</v>
      </c>
      <c r="BH27" s="11" t="str">
        <f t="shared" si="7"/>
        <v>Ejecutado</v>
      </c>
      <c r="BI27" s="12">
        <v>46046</v>
      </c>
      <c r="BJ27" s="68" t="s">
        <v>48</v>
      </c>
    </row>
    <row r="28" spans="1:62" ht="46.2" customHeight="1" x14ac:dyDescent="0.3">
      <c r="A28" s="150"/>
      <c r="B28" s="78" t="s">
        <v>52</v>
      </c>
      <c r="C28" s="17">
        <v>46047</v>
      </c>
      <c r="D28" s="19">
        <f t="shared" si="3"/>
        <v>20</v>
      </c>
      <c r="E28" s="172" t="str">
        <f t="shared" si="8"/>
        <v/>
      </c>
      <c r="F28" s="172"/>
      <c r="G28" s="172" t="str">
        <f t="shared" si="0"/>
        <v/>
      </c>
      <c r="H28" s="172"/>
      <c r="I28" s="174">
        <v>10</v>
      </c>
      <c r="J28" s="174">
        <v>20</v>
      </c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2"/>
      <c r="X28" s="172"/>
      <c r="Y28" s="172" t="str">
        <f t="shared" si="6"/>
        <v/>
      </c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5"/>
      <c r="AY28" s="115" t="s">
        <v>69</v>
      </c>
      <c r="AZ28" s="115"/>
      <c r="BA28" s="116">
        <f>SUM(BA4:BB27)</f>
        <v>184</v>
      </c>
      <c r="BB28" s="116"/>
      <c r="BC28" s="116">
        <f>SUM(BC4:BD27)</f>
        <v>80</v>
      </c>
      <c r="BD28" s="117"/>
      <c r="BE28" s="11" t="str">
        <f t="shared" si="1"/>
        <v>Sí</v>
      </c>
      <c r="BF28" s="22" t="str">
        <f t="shared" si="2"/>
        <v>CPW03</v>
      </c>
      <c r="BG28" s="11" t="s">
        <v>47</v>
      </c>
      <c r="BH28" s="11" t="str">
        <f t="shared" si="7"/>
        <v>Ejecutado</v>
      </c>
      <c r="BI28" s="12">
        <v>46063</v>
      </c>
      <c r="BJ28" s="68" t="s">
        <v>70</v>
      </c>
    </row>
    <row r="29" spans="1:62" ht="18" customHeight="1" x14ac:dyDescent="0.3">
      <c r="A29" s="150"/>
      <c r="B29" s="78" t="s">
        <v>54</v>
      </c>
      <c r="C29" s="17">
        <v>46048</v>
      </c>
      <c r="D29" s="19">
        <f t="shared" si="3"/>
        <v>0</v>
      </c>
      <c r="E29" s="172" t="str">
        <f t="shared" si="8"/>
        <v/>
      </c>
      <c r="F29" s="172"/>
      <c r="G29" s="172" t="str">
        <f t="shared" si="0"/>
        <v/>
      </c>
      <c r="H29" s="172"/>
      <c r="I29" s="172" t="str">
        <f t="shared" ref="I29:I92" si="10">IF(MOD(C31-$C$30,42)=0,8,"")</f>
        <v/>
      </c>
      <c r="J29" s="172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2"/>
      <c r="X29" s="172"/>
      <c r="Y29" s="172" t="str">
        <f t="shared" si="6"/>
        <v/>
      </c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5"/>
      <c r="AY29" s="124"/>
      <c r="AZ29" s="124"/>
      <c r="BA29" s="124"/>
      <c r="BB29" s="124"/>
      <c r="BC29" s="124"/>
      <c r="BD29" s="125"/>
      <c r="BE29" s="11" t="str">
        <f t="shared" si="1"/>
        <v>No</v>
      </c>
      <c r="BF29" s="22" t="str">
        <f t="shared" si="2"/>
        <v/>
      </c>
      <c r="BG29" s="11"/>
      <c r="BH29" s="11" t="str">
        <f t="shared" si="7"/>
        <v>No aplica</v>
      </c>
      <c r="BI29" s="12"/>
      <c r="BJ29" s="68"/>
    </row>
    <row r="30" spans="1:62" ht="18" customHeight="1" x14ac:dyDescent="0.3">
      <c r="A30" s="150"/>
      <c r="B30" s="78" t="s">
        <v>56</v>
      </c>
      <c r="C30" s="17">
        <v>46049</v>
      </c>
      <c r="D30" s="19">
        <f t="shared" si="3"/>
        <v>20</v>
      </c>
      <c r="E30" s="172" t="str">
        <f t="shared" si="8"/>
        <v/>
      </c>
      <c r="F30" s="172"/>
      <c r="G30" s="172">
        <v>10</v>
      </c>
      <c r="H30" s="172">
        <v>20</v>
      </c>
      <c r="I30" s="172" t="str">
        <f t="shared" si="10"/>
        <v/>
      </c>
      <c r="J30" s="172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2"/>
      <c r="X30" s="172"/>
      <c r="Y30" s="172" t="str">
        <f t="shared" si="6"/>
        <v/>
      </c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5"/>
      <c r="AY30" s="11"/>
      <c r="AZ30" s="11"/>
      <c r="BA30" s="11"/>
      <c r="BB30" s="11"/>
      <c r="BC30" s="11"/>
      <c r="BD30" s="13"/>
      <c r="BE30" s="11" t="str">
        <f t="shared" si="1"/>
        <v>Sí</v>
      </c>
      <c r="BF30" s="22" t="str">
        <f t="shared" si="2"/>
        <v>CPW01</v>
      </c>
      <c r="BG30" s="11" t="s">
        <v>47</v>
      </c>
      <c r="BH30" s="11" t="str">
        <f t="shared" si="7"/>
        <v>Ejecutado</v>
      </c>
      <c r="BI30" s="12">
        <v>46049</v>
      </c>
      <c r="BJ30" s="68" t="s">
        <v>48</v>
      </c>
    </row>
    <row r="31" spans="1:62" ht="18" customHeight="1" x14ac:dyDescent="0.3">
      <c r="A31" s="150"/>
      <c r="B31" s="78" t="s">
        <v>57</v>
      </c>
      <c r="C31" s="17">
        <v>46050</v>
      </c>
      <c r="D31" s="19">
        <f t="shared" si="3"/>
        <v>0</v>
      </c>
      <c r="E31" s="172" t="str">
        <f t="shared" si="8"/>
        <v/>
      </c>
      <c r="F31" s="172"/>
      <c r="G31" s="172" t="s">
        <v>71</v>
      </c>
      <c r="H31" s="172"/>
      <c r="I31" s="172" t="str">
        <f t="shared" si="10"/>
        <v/>
      </c>
      <c r="J31" s="172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2"/>
      <c r="X31" s="172"/>
      <c r="Y31" s="172" t="str">
        <f t="shared" si="6"/>
        <v/>
      </c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5"/>
      <c r="AY31" s="11"/>
      <c r="AZ31" s="11"/>
      <c r="BA31" s="11"/>
      <c r="BB31" s="11"/>
      <c r="BC31" s="11"/>
      <c r="BD31" s="13"/>
      <c r="BE31" s="11" t="str">
        <f t="shared" si="1"/>
        <v>No</v>
      </c>
      <c r="BF31" s="22" t="str">
        <f t="shared" si="2"/>
        <v/>
      </c>
      <c r="BG31" s="11"/>
      <c r="BH31" s="11" t="str">
        <f t="shared" si="7"/>
        <v>No aplica</v>
      </c>
      <c r="BI31" s="12"/>
      <c r="BJ31" s="68"/>
    </row>
    <row r="32" spans="1:62" ht="18" customHeight="1" x14ac:dyDescent="0.3">
      <c r="A32" s="150"/>
      <c r="B32" s="78" t="s">
        <v>46</v>
      </c>
      <c r="C32" s="17">
        <v>46051</v>
      </c>
      <c r="D32" s="19">
        <f t="shared" si="3"/>
        <v>0</v>
      </c>
      <c r="E32" s="172" t="str">
        <f t="shared" si="8"/>
        <v/>
      </c>
      <c r="F32" s="172"/>
      <c r="G32" s="172" t="s">
        <v>71</v>
      </c>
      <c r="H32" s="172"/>
      <c r="I32" s="172" t="str">
        <f t="shared" si="10"/>
        <v/>
      </c>
      <c r="J32" s="172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2"/>
      <c r="X32" s="172"/>
      <c r="Y32" s="172" t="str">
        <f t="shared" si="6"/>
        <v/>
      </c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5"/>
      <c r="AY32" s="126" t="s">
        <v>72</v>
      </c>
      <c r="AZ32" s="126"/>
      <c r="BA32" s="126"/>
      <c r="BB32" s="126"/>
      <c r="BC32" s="126"/>
      <c r="BD32" s="127"/>
      <c r="BE32" s="11" t="str">
        <f t="shared" si="1"/>
        <v>No</v>
      </c>
      <c r="BF32" s="22" t="str">
        <f t="shared" si="2"/>
        <v/>
      </c>
      <c r="BG32" s="11"/>
      <c r="BH32" s="11" t="str">
        <f t="shared" si="7"/>
        <v>No aplica</v>
      </c>
      <c r="BI32" s="12"/>
      <c r="BJ32" s="68"/>
    </row>
    <row r="33" spans="1:62" ht="18" customHeight="1" thickBot="1" x14ac:dyDescent="0.35">
      <c r="A33" s="150"/>
      <c r="B33" s="78" t="s">
        <v>49</v>
      </c>
      <c r="C33" s="17">
        <v>46052</v>
      </c>
      <c r="D33" s="19">
        <f t="shared" si="3"/>
        <v>0</v>
      </c>
      <c r="E33" s="172" t="str">
        <f t="shared" si="8"/>
        <v/>
      </c>
      <c r="F33" s="172"/>
      <c r="G33" s="172" t="s">
        <v>71</v>
      </c>
      <c r="H33" s="172"/>
      <c r="I33" s="172" t="str">
        <f t="shared" si="10"/>
        <v/>
      </c>
      <c r="J33" s="172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2"/>
      <c r="X33" s="172"/>
      <c r="Y33" s="172" t="str">
        <f t="shared" si="6"/>
        <v/>
      </c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9"/>
      <c r="AS33" s="179"/>
      <c r="AT33" s="179"/>
      <c r="AU33" s="179"/>
      <c r="AV33" s="179"/>
      <c r="AW33" s="179"/>
      <c r="AX33" s="180"/>
      <c r="AY33" s="126"/>
      <c r="AZ33" s="126"/>
      <c r="BA33" s="126"/>
      <c r="BB33" s="126"/>
      <c r="BC33" s="126"/>
      <c r="BD33" s="127"/>
      <c r="BE33" s="11" t="str">
        <f t="shared" si="1"/>
        <v>No</v>
      </c>
      <c r="BF33" s="22" t="str">
        <f t="shared" si="2"/>
        <v/>
      </c>
      <c r="BG33" s="11"/>
      <c r="BH33" s="11" t="str">
        <f t="shared" si="7"/>
        <v>No aplica</v>
      </c>
      <c r="BI33" s="12"/>
      <c r="BJ33" s="68"/>
    </row>
    <row r="34" spans="1:62" ht="18" customHeight="1" thickBot="1" x14ac:dyDescent="0.35">
      <c r="A34" s="151"/>
      <c r="B34" s="53" t="s">
        <v>73</v>
      </c>
      <c r="C34" s="36">
        <v>46053</v>
      </c>
      <c r="D34" s="32">
        <f t="shared" si="3"/>
        <v>20</v>
      </c>
      <c r="E34" s="179" t="str">
        <f t="shared" si="8"/>
        <v/>
      </c>
      <c r="F34" s="179"/>
      <c r="G34" s="179" t="s">
        <v>71</v>
      </c>
      <c r="H34" s="179"/>
      <c r="I34" s="179" t="str">
        <f t="shared" si="10"/>
        <v/>
      </c>
      <c r="J34" s="179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79"/>
      <c r="X34" s="179"/>
      <c r="Y34" s="182">
        <v>10</v>
      </c>
      <c r="Z34" s="182">
        <v>20</v>
      </c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4"/>
      <c r="AR34" s="179"/>
      <c r="AS34" s="179"/>
      <c r="AT34" s="179"/>
      <c r="AU34" s="179"/>
      <c r="AV34" s="179"/>
      <c r="AW34" s="179"/>
      <c r="AX34" s="180"/>
      <c r="AY34" s="128"/>
      <c r="AZ34" s="128"/>
      <c r="BA34" s="128"/>
      <c r="BB34" s="128"/>
      <c r="BC34" s="128"/>
      <c r="BD34" s="129"/>
      <c r="BE34" s="70" t="s">
        <v>74</v>
      </c>
      <c r="BF34" s="72" t="s">
        <v>23</v>
      </c>
      <c r="BG34" s="70" t="s">
        <v>47</v>
      </c>
      <c r="BH34" s="70" t="s">
        <v>75</v>
      </c>
      <c r="BI34" s="30">
        <v>46051</v>
      </c>
      <c r="BJ34" s="73" t="s">
        <v>48</v>
      </c>
    </row>
    <row r="35" spans="1:62" ht="18" customHeight="1" x14ac:dyDescent="0.3">
      <c r="A35" s="148" t="s">
        <v>76</v>
      </c>
      <c r="B35" s="48" t="s">
        <v>52</v>
      </c>
      <c r="C35" s="15">
        <v>46054</v>
      </c>
      <c r="D35" s="27" t="e">
        <f t="shared" si="3"/>
        <v>#VALUE!</v>
      </c>
      <c r="E35" s="170" t="str">
        <f t="shared" si="8"/>
        <v/>
      </c>
      <c r="F35" s="170"/>
      <c r="G35" s="170" t="s">
        <v>71</v>
      </c>
      <c r="H35" s="170"/>
      <c r="I35" s="170" t="str">
        <f t="shared" si="10"/>
        <v/>
      </c>
      <c r="J35" s="170"/>
      <c r="K35" s="185" t="s">
        <v>77</v>
      </c>
      <c r="L35" s="185" t="s">
        <v>77</v>
      </c>
      <c r="M35" s="185" t="s">
        <v>77</v>
      </c>
      <c r="N35" s="185" t="s">
        <v>77</v>
      </c>
      <c r="O35" s="169"/>
      <c r="P35" s="169"/>
      <c r="Q35" s="169"/>
      <c r="R35" s="169"/>
      <c r="S35" s="169"/>
      <c r="T35" s="169"/>
      <c r="U35" s="169"/>
      <c r="V35" s="169"/>
      <c r="W35" s="168"/>
      <c r="X35" s="168"/>
      <c r="Y35" s="168" t="str">
        <f t="shared" ref="Y35:Y42" si="11">IF(MOD(C35-$C$4,15)=0,8,"")</f>
        <v/>
      </c>
      <c r="Z35" s="168"/>
      <c r="AA35" s="170">
        <v>10</v>
      </c>
      <c r="AB35" s="170">
        <v>20</v>
      </c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86"/>
      <c r="AR35" s="187"/>
      <c r="AS35" s="186"/>
      <c r="AT35" s="170"/>
      <c r="AU35" s="170"/>
      <c r="AV35" s="170"/>
      <c r="AW35" s="170"/>
      <c r="AX35" s="188"/>
      <c r="AY35" s="121" t="s">
        <v>78</v>
      </c>
      <c r="AZ35" s="121"/>
      <c r="BA35" s="121"/>
      <c r="BB35" s="121"/>
      <c r="BC35" s="122" t="s">
        <v>79</v>
      </c>
      <c r="BD35" s="123"/>
      <c r="BE35" s="14" t="str">
        <f>IF(SUM(E35,G35,I35,K35,M35,O35,Q35,S35,U35,W35,Y35,AA35,AC35,AE35,AG35,AI35,AK35,AM35,AO35,AQ34,AW35)&gt;0,"Sí","No")</f>
        <v>Sí</v>
      </c>
      <c r="BF35" s="21" t="str">
        <f>IF($BE35="Sí",_xlfn.TEXTJOIN(", ",TRUE,IF(N(E35)&gt;0,E$3,""),IF(N(G35)&gt;0,G$3,""),IF(N(I35)&gt;0,I$3,""),IF(N(K35)&gt;0,K$3,""),IF(N(M35)&gt;0,M$3,""),IF(N(O35)&gt;0,O$3,""),IF(N(Q35)&gt;0,Q$3,""),IF(N(S35)&gt;0,S$3,""),IF(N(U35)&gt;0,U$3,""),IF(N(W35)&gt;0,W$3,""),IF(N(Y35)&gt;0,Y$3,""),IF(N(AA35)&gt;0,AA$3,""),IF(N(AC35)&gt;0,AC$3,""),IF(N(AE35)&gt;0,AE$3,""),IF(N(AG35)&gt;0,AG$3,""),IF(N(AI35)&gt;0,AI$3,""),IF(N(AK35)&gt;0,AK$3,""),IF(N(AM35)&gt;0,AM$3,""),IF(N(AO35)&gt;0,AO$3,""),IF(N(AQ34)&gt;0,AQ$3,""),IF(N(AW35)&gt;0,AW$3,"")),"")</f>
        <v>JINAN 02</v>
      </c>
      <c r="BG35" s="14" t="s">
        <v>47</v>
      </c>
      <c r="BH35" s="14" t="str">
        <f t="shared" si="7"/>
        <v>Ejecutado</v>
      </c>
      <c r="BI35" s="15">
        <v>46054</v>
      </c>
      <c r="BJ35" s="66" t="s">
        <v>80</v>
      </c>
    </row>
    <row r="36" spans="1:62" ht="28.2" customHeight="1" x14ac:dyDescent="0.3">
      <c r="A36" s="150"/>
      <c r="B36" s="78" t="s">
        <v>54</v>
      </c>
      <c r="C36" s="12">
        <v>46055</v>
      </c>
      <c r="D36" s="20">
        <f t="shared" si="3"/>
        <v>20</v>
      </c>
      <c r="E36" s="174" t="str">
        <f t="shared" si="8"/>
        <v/>
      </c>
      <c r="F36" s="174"/>
      <c r="G36" s="174" t="s">
        <v>71</v>
      </c>
      <c r="H36" s="174"/>
      <c r="I36" s="174" t="str">
        <f t="shared" si="10"/>
        <v/>
      </c>
      <c r="J36" s="174"/>
      <c r="K36" s="174"/>
      <c r="L36" s="174"/>
      <c r="M36" s="174" t="str">
        <f t="shared" ref="M36:M67" si="12">IF(MOD(C36-$C$76,42)=0,8,"")</f>
        <v/>
      </c>
      <c r="N36" s="174"/>
      <c r="O36" s="173"/>
      <c r="P36" s="173"/>
      <c r="Q36" s="173"/>
      <c r="R36" s="173"/>
      <c r="S36" s="173"/>
      <c r="T36" s="173"/>
      <c r="U36" s="173"/>
      <c r="V36" s="173"/>
      <c r="W36" s="172"/>
      <c r="X36" s="172"/>
      <c r="Y36" s="172" t="str">
        <f t="shared" si="11"/>
        <v/>
      </c>
      <c r="Z36" s="172"/>
      <c r="AA36" s="172"/>
      <c r="AB36" s="172"/>
      <c r="AC36" s="174">
        <v>10</v>
      </c>
      <c r="AD36" s="174">
        <v>20</v>
      </c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4"/>
      <c r="AR36" s="189"/>
      <c r="AS36" s="190"/>
      <c r="AT36" s="189"/>
      <c r="AU36" s="189"/>
      <c r="AV36" s="189"/>
      <c r="AW36" s="189"/>
      <c r="AX36" s="191"/>
      <c r="AY36" s="118"/>
      <c r="AZ36" s="118"/>
      <c r="BA36" s="118"/>
      <c r="BB36" s="118"/>
      <c r="BC36" s="119"/>
      <c r="BD36" s="120"/>
      <c r="BE36" s="11" t="str">
        <f t="shared" ref="BE36:BE99" si="13">IF(SUM(E36,G36,I36,K36,M36,O36,Q36,S36,U36,W36,Y36,AA36,AC36,AE36,AG36,AI36,AK36,AM36,AO36,AQ36,AW36)&gt;0,"Sí","No")</f>
        <v>Sí</v>
      </c>
      <c r="BF36" s="22" t="str">
        <f t="shared" ref="BF36:BF99" si="14">IF($BE36="Sí",_xlfn.TEXTJOIN(", ",TRUE,IF(N(E36)&gt;0,E$3,""),IF(N(G36)&gt;0,G$3,""),IF(N(I36)&gt;0,I$3,""),IF(N(K36)&gt;0,K$3,""),IF(N(M36)&gt;0,M$3,""),IF(N(O36)&gt;0,O$3,""),IF(N(Q36)&gt;0,Q$3,""),IF(N(S36)&gt;0,S$3,""),IF(N(U36)&gt;0,U$3,""),IF(N(W36)&gt;0,W$3,""),IF(N(Y36)&gt;0,Y$3,""),IF(N(AA36)&gt;0,AA$3,""),IF(N(AC36)&gt;0,AC$3,""),IF(N(AE36)&gt;0,AE$3,""),IF(N(AG36)&gt;0,AG$3,""),IF(N(AI36)&gt;0,AI$3,""),IF(N(AK36)&gt;0,AK$3,""),IF(N(AM36)&gt;0,AM$3,""),IF(N(AO36)&gt;0,AO$3,""),IF(N(AQ36)&gt;0,AQ$3,""),IF(N(AW36)&gt;0,AW$3,"")),"")</f>
        <v>JINAN 03/JN 10</v>
      </c>
      <c r="BG36" s="11" t="s">
        <v>47</v>
      </c>
      <c r="BH36" s="11" t="str">
        <f t="shared" si="7"/>
        <v>Ejecutado</v>
      </c>
      <c r="BI36" s="12">
        <v>46055</v>
      </c>
      <c r="BJ36" s="68" t="s">
        <v>80</v>
      </c>
    </row>
    <row r="37" spans="1:62" ht="28.2" customHeight="1" x14ac:dyDescent="0.3">
      <c r="A37" s="150"/>
      <c r="B37" s="78" t="s">
        <v>56</v>
      </c>
      <c r="C37" s="12">
        <v>46056</v>
      </c>
      <c r="D37" s="20">
        <f t="shared" si="3"/>
        <v>20</v>
      </c>
      <c r="E37" s="174" t="str">
        <f t="shared" si="8"/>
        <v/>
      </c>
      <c r="F37" s="174"/>
      <c r="G37" s="174" t="s">
        <v>71</v>
      </c>
      <c r="H37" s="174"/>
      <c r="I37" s="174" t="str">
        <f t="shared" si="10"/>
        <v/>
      </c>
      <c r="J37" s="174"/>
      <c r="K37" s="174"/>
      <c r="L37" s="174"/>
      <c r="M37" s="174" t="str">
        <f t="shared" si="12"/>
        <v/>
      </c>
      <c r="N37" s="174"/>
      <c r="O37" s="173"/>
      <c r="P37" s="173"/>
      <c r="Q37" s="173"/>
      <c r="R37" s="173"/>
      <c r="S37" s="173"/>
      <c r="T37" s="173"/>
      <c r="U37" s="173"/>
      <c r="V37" s="173"/>
      <c r="W37" s="172"/>
      <c r="X37" s="172"/>
      <c r="Y37" s="172" t="str">
        <f t="shared" si="11"/>
        <v/>
      </c>
      <c r="Z37" s="172"/>
      <c r="AA37" s="172"/>
      <c r="AB37" s="172"/>
      <c r="AC37" s="172"/>
      <c r="AD37" s="172"/>
      <c r="AE37" s="174">
        <v>10</v>
      </c>
      <c r="AF37" s="174">
        <v>20</v>
      </c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4"/>
      <c r="AR37" s="174"/>
      <c r="AS37" s="174"/>
      <c r="AT37" s="174"/>
      <c r="AU37" s="174"/>
      <c r="AV37" s="174"/>
      <c r="AW37" s="174"/>
      <c r="AX37" s="191"/>
      <c r="AY37" s="118"/>
      <c r="AZ37" s="118"/>
      <c r="BA37" s="118"/>
      <c r="BB37" s="118"/>
      <c r="BC37" s="119"/>
      <c r="BD37" s="120"/>
      <c r="BE37" s="11" t="str">
        <f t="shared" si="13"/>
        <v>Sí</v>
      </c>
      <c r="BF37" s="22" t="str">
        <f t="shared" si="14"/>
        <v>G 102 I</v>
      </c>
      <c r="BG37" s="11"/>
      <c r="BH37" s="11" t="str">
        <f t="shared" si="7"/>
        <v>Programado pendiente</v>
      </c>
      <c r="BI37" s="12"/>
      <c r="BJ37" s="68"/>
    </row>
    <row r="38" spans="1:62" ht="28.2" customHeight="1" x14ac:dyDescent="0.3">
      <c r="A38" s="150"/>
      <c r="B38" s="78" t="s">
        <v>57</v>
      </c>
      <c r="C38" s="12">
        <v>46057</v>
      </c>
      <c r="D38" s="20">
        <f t="shared" si="3"/>
        <v>20</v>
      </c>
      <c r="E38" s="174" t="str">
        <f t="shared" si="8"/>
        <v/>
      </c>
      <c r="F38" s="174"/>
      <c r="G38" s="174" t="s">
        <v>71</v>
      </c>
      <c r="H38" s="174"/>
      <c r="I38" s="174" t="str">
        <f t="shared" si="10"/>
        <v/>
      </c>
      <c r="J38" s="174"/>
      <c r="K38" s="174"/>
      <c r="L38" s="174"/>
      <c r="M38" s="174" t="str">
        <f t="shared" si="12"/>
        <v/>
      </c>
      <c r="N38" s="174"/>
      <c r="O38" s="173"/>
      <c r="P38" s="173"/>
      <c r="Q38" s="173"/>
      <c r="R38" s="173"/>
      <c r="S38" s="173"/>
      <c r="T38" s="173"/>
      <c r="U38" s="173"/>
      <c r="V38" s="173"/>
      <c r="W38" s="172"/>
      <c r="X38" s="172"/>
      <c r="Y38" s="172" t="str">
        <f t="shared" si="11"/>
        <v/>
      </c>
      <c r="Z38" s="172"/>
      <c r="AA38" s="172"/>
      <c r="AB38" s="172"/>
      <c r="AC38" s="172"/>
      <c r="AD38" s="172"/>
      <c r="AE38" s="172"/>
      <c r="AF38" s="172"/>
      <c r="AG38" s="174">
        <v>10</v>
      </c>
      <c r="AH38" s="174">
        <v>20</v>
      </c>
      <c r="AI38" s="172"/>
      <c r="AJ38" s="172"/>
      <c r="AK38" s="172"/>
      <c r="AL38" s="172"/>
      <c r="AM38" s="172"/>
      <c r="AN38" s="172"/>
      <c r="AO38" s="172"/>
      <c r="AP38" s="172"/>
      <c r="AQ38" s="174"/>
      <c r="AR38" s="174"/>
      <c r="AS38" s="174"/>
      <c r="AT38" s="174"/>
      <c r="AU38" s="174"/>
      <c r="AV38" s="174"/>
      <c r="AW38" s="174"/>
      <c r="AX38" s="191"/>
      <c r="AY38" s="118" t="s">
        <v>81</v>
      </c>
      <c r="AZ38" s="118"/>
      <c r="BA38" s="118"/>
      <c r="BB38" s="118"/>
      <c r="BC38" s="119" t="s">
        <v>79</v>
      </c>
      <c r="BD38" s="120"/>
      <c r="BE38" s="11" t="str">
        <f t="shared" si="13"/>
        <v>Sí</v>
      </c>
      <c r="BF38" s="22" t="str">
        <f t="shared" si="14"/>
        <v>G 102 E</v>
      </c>
      <c r="BG38" s="11"/>
      <c r="BH38" s="11" t="str">
        <f t="shared" si="7"/>
        <v>Programado pendiente</v>
      </c>
      <c r="BI38" s="12"/>
      <c r="BJ38" s="68"/>
    </row>
    <row r="39" spans="1:62" ht="18" customHeight="1" x14ac:dyDescent="0.3">
      <c r="A39" s="150"/>
      <c r="B39" s="78" t="s">
        <v>46</v>
      </c>
      <c r="C39" s="12">
        <v>46058</v>
      </c>
      <c r="D39" s="20">
        <f t="shared" si="3"/>
        <v>20</v>
      </c>
      <c r="E39" s="174" t="str">
        <f t="shared" si="8"/>
        <v/>
      </c>
      <c r="F39" s="174"/>
      <c r="G39" s="174" t="s">
        <v>71</v>
      </c>
      <c r="H39" s="174"/>
      <c r="I39" s="174" t="str">
        <f t="shared" si="10"/>
        <v/>
      </c>
      <c r="J39" s="174"/>
      <c r="K39" s="174"/>
      <c r="L39" s="174"/>
      <c r="M39" s="174" t="str">
        <f t="shared" si="12"/>
        <v/>
      </c>
      <c r="N39" s="174"/>
      <c r="O39" s="173"/>
      <c r="P39" s="173"/>
      <c r="Q39" s="173"/>
      <c r="R39" s="173"/>
      <c r="S39" s="173"/>
      <c r="T39" s="173"/>
      <c r="U39" s="173"/>
      <c r="V39" s="173"/>
      <c r="W39" s="172"/>
      <c r="X39" s="172"/>
      <c r="Y39" s="172" t="str">
        <f t="shared" si="11"/>
        <v/>
      </c>
      <c r="Z39" s="172"/>
      <c r="AA39" s="172"/>
      <c r="AB39" s="172"/>
      <c r="AC39" s="172"/>
      <c r="AD39" s="172"/>
      <c r="AE39" s="172"/>
      <c r="AF39" s="172"/>
      <c r="AG39" s="172"/>
      <c r="AH39" s="172"/>
      <c r="AI39" s="174">
        <v>10</v>
      </c>
      <c r="AJ39" s="174">
        <v>20</v>
      </c>
      <c r="AK39" s="172"/>
      <c r="AL39" s="172"/>
      <c r="AM39" s="172"/>
      <c r="AN39" s="172"/>
      <c r="AO39" s="172"/>
      <c r="AP39" s="172"/>
      <c r="AQ39" s="174"/>
      <c r="AR39" s="174"/>
      <c r="AS39" s="174"/>
      <c r="AT39" s="174"/>
      <c r="AU39" s="174"/>
      <c r="AV39" s="174"/>
      <c r="AW39" s="174"/>
      <c r="AX39" s="191"/>
      <c r="AY39" s="118"/>
      <c r="AZ39" s="118"/>
      <c r="BA39" s="118"/>
      <c r="BB39" s="118"/>
      <c r="BC39" s="119"/>
      <c r="BD39" s="120"/>
      <c r="BE39" s="11" t="str">
        <f t="shared" si="13"/>
        <v>Sí</v>
      </c>
      <c r="BF39" s="22" t="str">
        <f t="shared" si="14"/>
        <v>G 102 A</v>
      </c>
      <c r="BG39" s="11" t="s">
        <v>47</v>
      </c>
      <c r="BH39" s="11" t="str">
        <f t="shared" si="7"/>
        <v>Ejecutado</v>
      </c>
      <c r="BI39" s="12">
        <f>C39</f>
        <v>46058</v>
      </c>
      <c r="BJ39" s="68"/>
    </row>
    <row r="40" spans="1:62" ht="22.2" customHeight="1" x14ac:dyDescent="0.3">
      <c r="A40" s="150"/>
      <c r="B40" s="78" t="s">
        <v>49</v>
      </c>
      <c r="C40" s="12">
        <v>46059</v>
      </c>
      <c r="D40" s="20">
        <f t="shared" si="3"/>
        <v>20</v>
      </c>
      <c r="E40" s="174" t="str">
        <f t="shared" si="8"/>
        <v/>
      </c>
      <c r="F40" s="174"/>
      <c r="G40" s="174" t="s">
        <v>71</v>
      </c>
      <c r="H40" s="174"/>
      <c r="I40" s="174" t="str">
        <f t="shared" si="10"/>
        <v/>
      </c>
      <c r="J40" s="174"/>
      <c r="K40" s="174"/>
      <c r="L40" s="174"/>
      <c r="M40" s="174" t="str">
        <f t="shared" si="12"/>
        <v/>
      </c>
      <c r="N40" s="174"/>
      <c r="O40" s="173"/>
      <c r="P40" s="173"/>
      <c r="Q40" s="173"/>
      <c r="R40" s="173"/>
      <c r="S40" s="173"/>
      <c r="T40" s="173"/>
      <c r="U40" s="173"/>
      <c r="V40" s="173"/>
      <c r="W40" s="172"/>
      <c r="X40" s="172"/>
      <c r="Y40" s="172" t="str">
        <f t="shared" si="11"/>
        <v/>
      </c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4">
        <v>10</v>
      </c>
      <c r="AL40" s="174">
        <v>20</v>
      </c>
      <c r="AM40" s="172"/>
      <c r="AN40" s="172"/>
      <c r="AO40" s="172"/>
      <c r="AP40" s="172"/>
      <c r="AQ40" s="174"/>
      <c r="AR40" s="174"/>
      <c r="AS40" s="174"/>
      <c r="AT40" s="174"/>
      <c r="AU40" s="174"/>
      <c r="AV40" s="174"/>
      <c r="AW40" s="174"/>
      <c r="AX40" s="191"/>
      <c r="AY40" s="118"/>
      <c r="AZ40" s="118"/>
      <c r="BA40" s="118"/>
      <c r="BB40" s="118"/>
      <c r="BC40" s="119"/>
      <c r="BD40" s="120"/>
      <c r="BE40" s="11" t="str">
        <f t="shared" si="13"/>
        <v>Sí</v>
      </c>
      <c r="BF40" s="22" t="str">
        <f t="shared" si="14"/>
        <v>G 101 V</v>
      </c>
      <c r="BG40" s="11"/>
      <c r="BH40" s="11" t="str">
        <f t="shared" si="7"/>
        <v>Programado pendiente</v>
      </c>
      <c r="BI40" s="12"/>
      <c r="BJ40" s="68"/>
    </row>
    <row r="41" spans="1:62" ht="22.2" customHeight="1" x14ac:dyDescent="0.3">
      <c r="A41" s="150"/>
      <c r="B41" s="78" t="s">
        <v>50</v>
      </c>
      <c r="C41" s="12">
        <v>46060</v>
      </c>
      <c r="D41" s="20">
        <f t="shared" si="3"/>
        <v>20</v>
      </c>
      <c r="E41" s="174" t="str">
        <f t="shared" si="8"/>
        <v/>
      </c>
      <c r="F41" s="174"/>
      <c r="G41" s="174" t="s">
        <v>71</v>
      </c>
      <c r="H41" s="174"/>
      <c r="I41" s="174" t="str">
        <f t="shared" si="10"/>
        <v/>
      </c>
      <c r="J41" s="174"/>
      <c r="K41" s="174"/>
      <c r="L41" s="174"/>
      <c r="M41" s="174" t="str">
        <f t="shared" si="12"/>
        <v/>
      </c>
      <c r="N41" s="174"/>
      <c r="O41" s="173"/>
      <c r="P41" s="173"/>
      <c r="Q41" s="173"/>
      <c r="R41" s="173"/>
      <c r="S41" s="173"/>
      <c r="T41" s="173"/>
      <c r="U41" s="173"/>
      <c r="V41" s="173"/>
      <c r="W41" s="172"/>
      <c r="X41" s="172"/>
      <c r="Y41" s="172" t="str">
        <f t="shared" si="11"/>
        <v/>
      </c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4">
        <v>10</v>
      </c>
      <c r="AN41" s="174">
        <v>20</v>
      </c>
      <c r="AO41" s="172"/>
      <c r="AP41" s="172"/>
      <c r="AQ41" s="174"/>
      <c r="AR41" s="174"/>
      <c r="AS41" s="174"/>
      <c r="AT41" s="174"/>
      <c r="AU41" s="174"/>
      <c r="AV41" s="174"/>
      <c r="AW41" s="174"/>
      <c r="AX41" s="191"/>
      <c r="AY41" s="118" t="s">
        <v>3</v>
      </c>
      <c r="AZ41" s="118"/>
      <c r="BA41" s="118"/>
      <c r="BB41" s="118"/>
      <c r="BC41" s="119" t="s">
        <v>82</v>
      </c>
      <c r="BD41" s="120"/>
      <c r="BE41" s="11" t="str">
        <f t="shared" si="13"/>
        <v>Sí</v>
      </c>
      <c r="BF41" s="22" t="str">
        <f t="shared" si="14"/>
        <v>G102 J</v>
      </c>
      <c r="BG41" s="11"/>
      <c r="BH41" s="11" t="str">
        <f t="shared" si="7"/>
        <v>Programado pendiente</v>
      </c>
      <c r="BI41" s="12"/>
      <c r="BJ41" s="68"/>
    </row>
    <row r="42" spans="1:62" ht="22.2" customHeight="1" x14ac:dyDescent="0.3">
      <c r="A42" s="150"/>
      <c r="B42" s="78" t="s">
        <v>52</v>
      </c>
      <c r="C42" s="12">
        <v>46061</v>
      </c>
      <c r="D42" s="20">
        <f t="shared" si="3"/>
        <v>20</v>
      </c>
      <c r="E42" s="174" t="str">
        <f t="shared" si="8"/>
        <v/>
      </c>
      <c r="F42" s="174"/>
      <c r="G42" s="174" t="s">
        <v>71</v>
      </c>
      <c r="H42" s="174"/>
      <c r="I42" s="174" t="str">
        <f t="shared" si="10"/>
        <v/>
      </c>
      <c r="J42" s="174"/>
      <c r="K42" s="174"/>
      <c r="L42" s="174"/>
      <c r="M42" s="174" t="str">
        <f t="shared" si="12"/>
        <v/>
      </c>
      <c r="N42" s="174"/>
      <c r="O42" s="173"/>
      <c r="P42" s="173"/>
      <c r="Q42" s="173"/>
      <c r="R42" s="173"/>
      <c r="S42" s="173"/>
      <c r="T42" s="173"/>
      <c r="U42" s="173"/>
      <c r="V42" s="173"/>
      <c r="W42" s="172"/>
      <c r="X42" s="172"/>
      <c r="Y42" s="172" t="str">
        <f t="shared" si="11"/>
        <v/>
      </c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4">
        <v>10</v>
      </c>
      <c r="AP42" s="174">
        <v>20</v>
      </c>
      <c r="AQ42" s="174"/>
      <c r="AR42" s="174"/>
      <c r="AS42" s="174"/>
      <c r="AT42" s="174"/>
      <c r="AU42" s="174"/>
      <c r="AV42" s="174"/>
      <c r="AW42" s="174"/>
      <c r="AX42" s="191"/>
      <c r="AY42" s="118"/>
      <c r="AZ42" s="118"/>
      <c r="BA42" s="118"/>
      <c r="BB42" s="118"/>
      <c r="BC42" s="119"/>
      <c r="BD42" s="120"/>
      <c r="BE42" s="11" t="str">
        <f t="shared" si="13"/>
        <v>Sí</v>
      </c>
      <c r="BF42" s="22" t="str">
        <f t="shared" si="14"/>
        <v>G102K</v>
      </c>
      <c r="BG42" s="11"/>
      <c r="BH42" s="11" t="str">
        <f t="shared" si="7"/>
        <v>Programado pendiente</v>
      </c>
      <c r="BI42" s="12"/>
      <c r="BJ42" s="68"/>
    </row>
    <row r="43" spans="1:62" ht="22.2" customHeight="1" x14ac:dyDescent="0.3">
      <c r="A43" s="150"/>
      <c r="B43" s="78" t="s">
        <v>54</v>
      </c>
      <c r="C43" s="12">
        <v>46062</v>
      </c>
      <c r="D43" s="20">
        <f t="shared" si="3"/>
        <v>0</v>
      </c>
      <c r="E43" s="174" t="str">
        <f t="shared" si="8"/>
        <v/>
      </c>
      <c r="F43" s="174"/>
      <c r="G43" s="174" t="s">
        <v>71</v>
      </c>
      <c r="H43" s="174"/>
      <c r="I43" s="174" t="str">
        <f t="shared" si="10"/>
        <v/>
      </c>
      <c r="J43" s="174"/>
      <c r="K43" s="174"/>
      <c r="L43" s="174"/>
      <c r="M43" s="174" t="str">
        <f t="shared" si="12"/>
        <v/>
      </c>
      <c r="N43" s="174"/>
      <c r="O43" s="173"/>
      <c r="P43" s="173"/>
      <c r="Q43" s="173"/>
      <c r="R43" s="173"/>
      <c r="S43" s="173"/>
      <c r="T43" s="173"/>
      <c r="U43" s="173"/>
      <c r="V43" s="173"/>
      <c r="W43" s="172"/>
      <c r="X43" s="172"/>
      <c r="Y43" s="174" t="str">
        <f t="shared" si="6"/>
        <v/>
      </c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91"/>
      <c r="AY43" s="118"/>
      <c r="AZ43" s="118"/>
      <c r="BA43" s="118"/>
      <c r="BB43" s="118"/>
      <c r="BC43" s="119"/>
      <c r="BD43" s="120"/>
      <c r="BE43" s="11" t="str">
        <f t="shared" si="13"/>
        <v>No</v>
      </c>
      <c r="BF43" s="22" t="str">
        <f t="shared" si="14"/>
        <v/>
      </c>
      <c r="BG43" s="11"/>
      <c r="BH43" s="11" t="str">
        <f t="shared" si="7"/>
        <v>No aplica</v>
      </c>
      <c r="BI43" s="12"/>
      <c r="BJ43" s="68"/>
    </row>
    <row r="44" spans="1:62" ht="18" customHeight="1" x14ac:dyDescent="0.3">
      <c r="A44" s="150"/>
      <c r="B44" s="78" t="s">
        <v>56</v>
      </c>
      <c r="C44" s="12">
        <v>46063</v>
      </c>
      <c r="D44" s="20">
        <f t="shared" si="3"/>
        <v>0</v>
      </c>
      <c r="E44" s="174" t="str">
        <f t="shared" si="8"/>
        <v/>
      </c>
      <c r="F44" s="174"/>
      <c r="G44" s="174" t="s">
        <v>71</v>
      </c>
      <c r="H44" s="174"/>
      <c r="I44" s="174" t="str">
        <f t="shared" si="10"/>
        <v/>
      </c>
      <c r="J44" s="174"/>
      <c r="K44" s="174"/>
      <c r="L44" s="174"/>
      <c r="M44" s="174" t="str">
        <f t="shared" si="12"/>
        <v/>
      </c>
      <c r="N44" s="174"/>
      <c r="O44" s="173"/>
      <c r="P44" s="173"/>
      <c r="Q44" s="173"/>
      <c r="R44" s="173"/>
      <c r="S44" s="173"/>
      <c r="T44" s="173"/>
      <c r="U44" s="173"/>
      <c r="V44" s="173"/>
      <c r="W44" s="172"/>
      <c r="X44" s="172"/>
      <c r="Y44" s="174" t="str">
        <f t="shared" si="6"/>
        <v/>
      </c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91"/>
      <c r="AY44" s="118" t="s">
        <v>4</v>
      </c>
      <c r="AZ44" s="118"/>
      <c r="BA44" s="118"/>
      <c r="BB44" s="118"/>
      <c r="BC44" s="119" t="s">
        <v>82</v>
      </c>
      <c r="BD44" s="120"/>
      <c r="BE44" s="11" t="str">
        <f t="shared" si="13"/>
        <v>No</v>
      </c>
      <c r="BF44" s="22" t="str">
        <f t="shared" si="14"/>
        <v/>
      </c>
      <c r="BG44" s="11"/>
      <c r="BH44" s="11" t="str">
        <f t="shared" si="7"/>
        <v>No aplica</v>
      </c>
      <c r="BI44" s="12"/>
      <c r="BJ44" s="68"/>
    </row>
    <row r="45" spans="1:62" ht="18" customHeight="1" x14ac:dyDescent="0.3">
      <c r="A45" s="150"/>
      <c r="B45" s="78" t="s">
        <v>57</v>
      </c>
      <c r="C45" s="12">
        <v>46064</v>
      </c>
      <c r="D45" s="20">
        <f t="shared" si="3"/>
        <v>0</v>
      </c>
      <c r="E45" s="174" t="str">
        <f t="shared" si="8"/>
        <v/>
      </c>
      <c r="F45" s="174"/>
      <c r="G45" s="174" t="s">
        <v>71</v>
      </c>
      <c r="H45" s="174"/>
      <c r="I45" s="174" t="str">
        <f t="shared" si="10"/>
        <v/>
      </c>
      <c r="J45" s="174"/>
      <c r="K45" s="174"/>
      <c r="L45" s="174"/>
      <c r="M45" s="174" t="str">
        <f t="shared" si="12"/>
        <v/>
      </c>
      <c r="N45" s="174"/>
      <c r="O45" s="173"/>
      <c r="P45" s="173"/>
      <c r="Q45" s="173"/>
      <c r="R45" s="173"/>
      <c r="S45" s="173"/>
      <c r="T45" s="173"/>
      <c r="U45" s="173"/>
      <c r="V45" s="173"/>
      <c r="W45" s="172"/>
      <c r="X45" s="172"/>
      <c r="Y45" s="174" t="str">
        <f t="shared" si="6"/>
        <v/>
      </c>
      <c r="Z45" s="174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74"/>
      <c r="AR45" s="174"/>
      <c r="AS45" s="174"/>
      <c r="AT45" s="174"/>
      <c r="AU45" s="174"/>
      <c r="AV45" s="174"/>
      <c r="AW45" s="174"/>
      <c r="AX45" s="191"/>
      <c r="AY45" s="118"/>
      <c r="AZ45" s="118"/>
      <c r="BA45" s="118"/>
      <c r="BB45" s="118"/>
      <c r="BC45" s="119"/>
      <c r="BD45" s="120"/>
      <c r="BE45" s="11" t="str">
        <f t="shared" si="13"/>
        <v>No</v>
      </c>
      <c r="BF45" s="22" t="str">
        <f t="shared" si="14"/>
        <v/>
      </c>
      <c r="BG45" s="11"/>
      <c r="BH45" s="11" t="str">
        <f t="shared" si="7"/>
        <v>No aplica</v>
      </c>
      <c r="BI45" s="12"/>
      <c r="BJ45" s="68"/>
    </row>
    <row r="46" spans="1:62" ht="18" customHeight="1" x14ac:dyDescent="0.3">
      <c r="A46" s="150"/>
      <c r="B46" s="78" t="s">
        <v>46</v>
      </c>
      <c r="C46" s="12">
        <v>46065</v>
      </c>
      <c r="D46" s="20">
        <f t="shared" si="3"/>
        <v>20</v>
      </c>
      <c r="E46" s="193">
        <v>10</v>
      </c>
      <c r="F46" s="174">
        <v>20</v>
      </c>
      <c r="G46" s="174" t="s">
        <v>71</v>
      </c>
      <c r="H46" s="174"/>
      <c r="I46" s="174" t="str">
        <f t="shared" si="10"/>
        <v/>
      </c>
      <c r="J46" s="174"/>
      <c r="K46" s="174"/>
      <c r="L46" s="174"/>
      <c r="M46" s="174" t="str">
        <f t="shared" si="12"/>
        <v/>
      </c>
      <c r="N46" s="174"/>
      <c r="O46" s="173"/>
      <c r="P46" s="173"/>
      <c r="Q46" s="173"/>
      <c r="R46" s="173"/>
      <c r="S46" s="173"/>
      <c r="T46" s="173"/>
      <c r="U46" s="173"/>
      <c r="V46" s="173"/>
      <c r="W46" s="172"/>
      <c r="X46" s="172"/>
      <c r="Y46" s="174" t="str">
        <f t="shared" si="6"/>
        <v/>
      </c>
      <c r="Z46" s="194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6"/>
      <c r="AR46" s="174"/>
      <c r="AS46" s="174"/>
      <c r="AT46" s="174"/>
      <c r="AU46" s="174"/>
      <c r="AV46" s="174"/>
      <c r="AW46" s="174"/>
      <c r="AX46" s="191"/>
      <c r="AY46" s="118"/>
      <c r="AZ46" s="118"/>
      <c r="BA46" s="118"/>
      <c r="BB46" s="118"/>
      <c r="BC46" s="119"/>
      <c r="BD46" s="120"/>
      <c r="BE46" s="11" t="str">
        <f t="shared" si="13"/>
        <v>Sí</v>
      </c>
      <c r="BF46" s="22" t="str">
        <f t="shared" si="14"/>
        <v xml:space="preserve">CPW02
</v>
      </c>
      <c r="BG46" s="11" t="s">
        <v>47</v>
      </c>
      <c r="BH46" s="11" t="str">
        <f t="shared" si="7"/>
        <v>Ejecutado</v>
      </c>
      <c r="BI46" s="12">
        <v>46065</v>
      </c>
      <c r="BJ46" s="68" t="s">
        <v>48</v>
      </c>
    </row>
    <row r="47" spans="1:62" ht="18" customHeight="1" x14ac:dyDescent="0.3">
      <c r="A47" s="150"/>
      <c r="B47" s="78" t="s">
        <v>49</v>
      </c>
      <c r="C47" s="12">
        <v>46066</v>
      </c>
      <c r="D47" s="20">
        <f t="shared" si="3"/>
        <v>0</v>
      </c>
      <c r="E47" s="174" t="str">
        <f t="shared" si="8"/>
        <v/>
      </c>
      <c r="F47" s="174"/>
      <c r="G47" s="174" t="s">
        <v>71</v>
      </c>
      <c r="H47" s="174"/>
      <c r="I47" s="174" t="str">
        <f t="shared" si="10"/>
        <v/>
      </c>
      <c r="J47" s="174"/>
      <c r="K47" s="174"/>
      <c r="L47" s="174"/>
      <c r="M47" s="174" t="str">
        <f t="shared" si="12"/>
        <v/>
      </c>
      <c r="N47" s="174"/>
      <c r="O47" s="173"/>
      <c r="P47" s="173"/>
      <c r="Q47" s="173"/>
      <c r="R47" s="173"/>
      <c r="S47" s="173"/>
      <c r="T47" s="173"/>
      <c r="U47" s="173"/>
      <c r="V47" s="173"/>
      <c r="W47" s="172"/>
      <c r="X47" s="172"/>
      <c r="Y47" s="174" t="str">
        <f t="shared" si="6"/>
        <v/>
      </c>
      <c r="Z47" s="194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6"/>
      <c r="AR47" s="174"/>
      <c r="AS47" s="174"/>
      <c r="AT47" s="174"/>
      <c r="AU47" s="174"/>
      <c r="AV47" s="174"/>
      <c r="AW47" s="174"/>
      <c r="AX47" s="191"/>
      <c r="AY47" s="11"/>
      <c r="AZ47" s="11"/>
      <c r="BA47" s="11"/>
      <c r="BB47" s="11"/>
      <c r="BC47" s="11"/>
      <c r="BD47" s="13"/>
      <c r="BE47" s="11" t="str">
        <f t="shared" si="13"/>
        <v>No</v>
      </c>
      <c r="BF47" s="22" t="str">
        <f t="shared" si="14"/>
        <v/>
      </c>
      <c r="BG47" s="11"/>
      <c r="BH47" s="11" t="str">
        <f t="shared" si="7"/>
        <v>No aplica</v>
      </c>
      <c r="BI47" s="12"/>
      <c r="BJ47" s="68"/>
    </row>
    <row r="48" spans="1:62" ht="18" customHeight="1" x14ac:dyDescent="0.3">
      <c r="A48" s="150"/>
      <c r="B48" s="78" t="s">
        <v>50</v>
      </c>
      <c r="C48" s="12">
        <v>46067</v>
      </c>
      <c r="D48" s="20">
        <f t="shared" si="3"/>
        <v>0</v>
      </c>
      <c r="E48" s="174" t="str">
        <f t="shared" si="8"/>
        <v/>
      </c>
      <c r="F48" s="174"/>
      <c r="G48" s="174" t="s">
        <v>71</v>
      </c>
      <c r="H48" s="174"/>
      <c r="I48" s="174" t="str">
        <f t="shared" si="10"/>
        <v/>
      </c>
      <c r="J48" s="174"/>
      <c r="K48" s="174"/>
      <c r="L48" s="174"/>
      <c r="M48" s="174" t="str">
        <f t="shared" si="12"/>
        <v/>
      </c>
      <c r="N48" s="174"/>
      <c r="O48" s="173"/>
      <c r="P48" s="173"/>
      <c r="Q48" s="173"/>
      <c r="R48" s="173"/>
      <c r="S48" s="173"/>
      <c r="T48" s="173"/>
      <c r="U48" s="173"/>
      <c r="V48" s="173"/>
      <c r="W48" s="172"/>
      <c r="X48" s="172"/>
      <c r="Y48" s="174" t="str">
        <f t="shared" si="6"/>
        <v/>
      </c>
      <c r="Z48" s="194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6"/>
      <c r="AR48" s="174"/>
      <c r="AS48" s="174"/>
      <c r="AT48" s="174"/>
      <c r="AU48" s="174"/>
      <c r="AV48" s="174"/>
      <c r="AW48" s="174"/>
      <c r="AX48" s="191"/>
      <c r="AY48" s="11"/>
      <c r="AZ48" s="11"/>
      <c r="BA48" s="11"/>
      <c r="BB48" s="11"/>
      <c r="BC48" s="11"/>
      <c r="BD48" s="13"/>
      <c r="BE48" s="11" t="str">
        <f t="shared" si="13"/>
        <v>No</v>
      </c>
      <c r="BF48" s="22" t="str">
        <f t="shared" si="14"/>
        <v/>
      </c>
      <c r="BG48" s="11"/>
      <c r="BH48" s="11" t="str">
        <f t="shared" si="7"/>
        <v>No aplica</v>
      </c>
      <c r="BI48" s="12"/>
      <c r="BJ48" s="68"/>
    </row>
    <row r="49" spans="1:62" ht="35.4" customHeight="1" x14ac:dyDescent="0.3">
      <c r="A49" s="150"/>
      <c r="B49" s="78" t="s">
        <v>52</v>
      </c>
      <c r="C49" s="12">
        <v>46068</v>
      </c>
      <c r="D49" s="20">
        <f t="shared" si="3"/>
        <v>20</v>
      </c>
      <c r="E49" s="174" t="str">
        <f t="shared" si="8"/>
        <v/>
      </c>
      <c r="F49" s="174"/>
      <c r="G49" s="174" t="s">
        <v>71</v>
      </c>
      <c r="H49" s="174"/>
      <c r="I49" s="174" t="str">
        <f t="shared" si="10"/>
        <v/>
      </c>
      <c r="J49" s="174"/>
      <c r="K49" s="174"/>
      <c r="L49" s="174"/>
      <c r="M49" s="174" t="str">
        <f t="shared" si="12"/>
        <v/>
      </c>
      <c r="N49" s="174"/>
      <c r="O49" s="173"/>
      <c r="P49" s="173"/>
      <c r="Q49" s="173"/>
      <c r="R49" s="173"/>
      <c r="S49" s="173"/>
      <c r="T49" s="173"/>
      <c r="U49" s="173"/>
      <c r="V49" s="173"/>
      <c r="W49" s="172"/>
      <c r="X49" s="172"/>
      <c r="Y49" s="174">
        <v>10</v>
      </c>
      <c r="Z49" s="174">
        <v>20</v>
      </c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4"/>
      <c r="AR49" s="174"/>
      <c r="AS49" s="174"/>
      <c r="AT49" s="174"/>
      <c r="AU49" s="174"/>
      <c r="AV49" s="174"/>
      <c r="AW49" s="174"/>
      <c r="AX49" s="191"/>
      <c r="AY49" s="11"/>
      <c r="AZ49" s="11"/>
      <c r="BA49" s="11"/>
      <c r="BB49" s="11"/>
      <c r="BC49" s="11"/>
      <c r="BD49" s="13"/>
      <c r="BE49" s="11" t="str">
        <f t="shared" si="13"/>
        <v>Sí</v>
      </c>
      <c r="BF49" s="22" t="str">
        <f t="shared" si="14"/>
        <v>JINAN 01</v>
      </c>
      <c r="BG49" s="11" t="s">
        <v>47</v>
      </c>
      <c r="BH49" s="11" t="str">
        <f t="shared" si="7"/>
        <v>Ejecutado</v>
      </c>
      <c r="BI49" s="12">
        <v>46068</v>
      </c>
      <c r="BJ49" s="68" t="s">
        <v>83</v>
      </c>
    </row>
    <row r="50" spans="1:62" ht="18" customHeight="1" x14ac:dyDescent="0.3">
      <c r="A50" s="150"/>
      <c r="B50" s="78" t="s">
        <v>54</v>
      </c>
      <c r="C50" s="12">
        <v>46069</v>
      </c>
      <c r="D50" s="20">
        <f t="shared" si="3"/>
        <v>20</v>
      </c>
      <c r="E50" s="174" t="str">
        <f t="shared" si="8"/>
        <v/>
      </c>
      <c r="F50" s="174"/>
      <c r="G50" s="174" t="s">
        <v>71</v>
      </c>
      <c r="H50" s="174"/>
      <c r="I50" s="174" t="str">
        <f t="shared" si="10"/>
        <v/>
      </c>
      <c r="J50" s="174"/>
      <c r="K50" s="174"/>
      <c r="L50" s="174"/>
      <c r="M50" s="174" t="str">
        <f t="shared" si="12"/>
        <v/>
      </c>
      <c r="N50" s="174"/>
      <c r="O50" s="173"/>
      <c r="P50" s="173"/>
      <c r="Q50" s="173"/>
      <c r="R50" s="173"/>
      <c r="S50" s="173"/>
      <c r="T50" s="173"/>
      <c r="U50" s="173"/>
      <c r="V50" s="173"/>
      <c r="W50" s="172"/>
      <c r="X50" s="172"/>
      <c r="Y50" s="172" t="str">
        <f t="shared" ref="Y50:Y57" si="15">IF(MOD(C50-$C$4,15)=0,8,"")</f>
        <v/>
      </c>
      <c r="Z50" s="172"/>
      <c r="AA50" s="174">
        <v>10</v>
      </c>
      <c r="AB50" s="174">
        <v>20</v>
      </c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4"/>
      <c r="AR50" s="174"/>
      <c r="AS50" s="174"/>
      <c r="AT50" s="174"/>
      <c r="AU50" s="174"/>
      <c r="AV50" s="174"/>
      <c r="AW50" s="174"/>
      <c r="AX50" s="191"/>
      <c r="AY50" s="11"/>
      <c r="AZ50" s="11"/>
      <c r="BA50" s="11"/>
      <c r="BB50" s="11"/>
      <c r="BC50" s="11"/>
      <c r="BD50" s="13"/>
      <c r="BE50" s="11" t="str">
        <f t="shared" si="13"/>
        <v>Sí</v>
      </c>
      <c r="BF50" s="22" t="str">
        <f t="shared" si="14"/>
        <v>JINAN 02</v>
      </c>
      <c r="BG50" s="11" t="s">
        <v>84</v>
      </c>
      <c r="BH50" s="11" t="str">
        <f t="shared" si="7"/>
        <v>Programado pendiente</v>
      </c>
      <c r="BI50" s="12"/>
      <c r="BJ50" s="68" t="s">
        <v>85</v>
      </c>
    </row>
    <row r="51" spans="1:62" ht="18" customHeight="1" x14ac:dyDescent="0.3">
      <c r="A51" s="150"/>
      <c r="B51" s="78" t="s">
        <v>56</v>
      </c>
      <c r="C51" s="12">
        <v>46070</v>
      </c>
      <c r="D51" s="20">
        <f t="shared" si="3"/>
        <v>20</v>
      </c>
      <c r="E51" s="174" t="str">
        <f t="shared" si="8"/>
        <v/>
      </c>
      <c r="F51" s="174"/>
      <c r="G51" s="174" t="s">
        <v>71</v>
      </c>
      <c r="H51" s="174"/>
      <c r="I51" s="174" t="str">
        <f t="shared" si="10"/>
        <v/>
      </c>
      <c r="J51" s="174"/>
      <c r="K51" s="174"/>
      <c r="L51" s="174"/>
      <c r="M51" s="174" t="str">
        <f t="shared" si="12"/>
        <v/>
      </c>
      <c r="N51" s="174"/>
      <c r="O51" s="173"/>
      <c r="P51" s="173"/>
      <c r="Q51" s="173"/>
      <c r="R51" s="173"/>
      <c r="S51" s="173"/>
      <c r="T51" s="173"/>
      <c r="U51" s="173"/>
      <c r="V51" s="173"/>
      <c r="W51" s="172"/>
      <c r="X51" s="172"/>
      <c r="Y51" s="172" t="str">
        <f t="shared" si="15"/>
        <v/>
      </c>
      <c r="Z51" s="172"/>
      <c r="AA51" s="172"/>
      <c r="AB51" s="172"/>
      <c r="AC51" s="174">
        <v>10</v>
      </c>
      <c r="AD51" s="174">
        <v>20</v>
      </c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4"/>
      <c r="AR51" s="174"/>
      <c r="AS51" s="174"/>
      <c r="AT51" s="174"/>
      <c r="AU51" s="174"/>
      <c r="AV51" s="174"/>
      <c r="AW51" s="174"/>
      <c r="AX51" s="191"/>
      <c r="AY51" s="11"/>
      <c r="AZ51" s="11"/>
      <c r="BA51" s="11"/>
      <c r="BB51" s="11"/>
      <c r="BC51" s="11"/>
      <c r="BD51" s="13"/>
      <c r="BE51" s="11" t="str">
        <f t="shared" si="13"/>
        <v>Sí</v>
      </c>
      <c r="BF51" s="22" t="str">
        <f t="shared" si="14"/>
        <v>JINAN 03/JN 10</v>
      </c>
      <c r="BG51" s="11" t="s">
        <v>47</v>
      </c>
      <c r="BH51" s="11" t="str">
        <f t="shared" si="7"/>
        <v>Ejecutado</v>
      </c>
      <c r="BI51" s="12">
        <v>46070</v>
      </c>
      <c r="BJ51" s="68" t="s">
        <v>80</v>
      </c>
    </row>
    <row r="52" spans="1:62" ht="18" customHeight="1" x14ac:dyDescent="0.3">
      <c r="A52" s="150"/>
      <c r="B52" s="78" t="s">
        <v>57</v>
      </c>
      <c r="C52" s="12">
        <v>46071</v>
      </c>
      <c r="D52" s="20">
        <f t="shared" si="3"/>
        <v>20</v>
      </c>
      <c r="E52" s="174" t="str">
        <f t="shared" si="8"/>
        <v/>
      </c>
      <c r="F52" s="174"/>
      <c r="G52" s="174" t="s">
        <v>71</v>
      </c>
      <c r="H52" s="174"/>
      <c r="I52" s="174" t="str">
        <f t="shared" si="10"/>
        <v/>
      </c>
      <c r="J52" s="174"/>
      <c r="K52" s="174"/>
      <c r="L52" s="174"/>
      <c r="M52" s="174" t="str">
        <f t="shared" si="12"/>
        <v/>
      </c>
      <c r="N52" s="174"/>
      <c r="O52" s="173"/>
      <c r="P52" s="173"/>
      <c r="Q52" s="173"/>
      <c r="R52" s="173"/>
      <c r="S52" s="173"/>
      <c r="T52" s="173"/>
      <c r="U52" s="173"/>
      <c r="V52" s="173"/>
      <c r="W52" s="172"/>
      <c r="X52" s="172"/>
      <c r="Y52" s="172" t="str">
        <f t="shared" si="15"/>
        <v/>
      </c>
      <c r="Z52" s="172"/>
      <c r="AA52" s="172"/>
      <c r="AB52" s="172"/>
      <c r="AC52" s="172"/>
      <c r="AD52" s="172"/>
      <c r="AE52" s="174">
        <v>10</v>
      </c>
      <c r="AF52" s="174">
        <v>20</v>
      </c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4"/>
      <c r="AR52" s="174"/>
      <c r="AS52" s="174"/>
      <c r="AT52" s="174"/>
      <c r="AU52" s="174"/>
      <c r="AV52" s="174"/>
      <c r="AW52" s="197">
        <v>4</v>
      </c>
      <c r="AX52" s="198">
        <v>8</v>
      </c>
      <c r="AY52" s="11"/>
      <c r="AZ52" s="11"/>
      <c r="BA52" s="11"/>
      <c r="BB52" s="11"/>
      <c r="BC52" s="11"/>
      <c r="BD52" s="13"/>
      <c r="BE52" s="11" t="str">
        <f t="shared" si="13"/>
        <v>Sí</v>
      </c>
      <c r="BF52" s="22" t="str">
        <f t="shared" si="14"/>
        <v>G 102 I, CYC</v>
      </c>
      <c r="BG52" s="11"/>
      <c r="BH52" s="11" t="str">
        <f t="shared" si="7"/>
        <v>Programado pendiente</v>
      </c>
      <c r="BI52" s="12"/>
      <c r="BJ52" s="68"/>
    </row>
    <row r="53" spans="1:62" ht="18" customHeight="1" x14ac:dyDescent="0.3">
      <c r="A53" s="150"/>
      <c r="B53" s="78" t="s">
        <v>46</v>
      </c>
      <c r="C53" s="12">
        <v>46072</v>
      </c>
      <c r="D53" s="20">
        <f t="shared" si="3"/>
        <v>20</v>
      </c>
      <c r="E53" s="174" t="str">
        <f t="shared" si="8"/>
        <v/>
      </c>
      <c r="F53" s="174"/>
      <c r="G53" s="174" t="s">
        <v>71</v>
      </c>
      <c r="H53" s="174"/>
      <c r="I53" s="174" t="str">
        <f t="shared" si="10"/>
        <v/>
      </c>
      <c r="J53" s="174"/>
      <c r="K53" s="174"/>
      <c r="L53" s="174"/>
      <c r="M53" s="174" t="str">
        <f t="shared" si="12"/>
        <v/>
      </c>
      <c r="N53" s="174"/>
      <c r="O53" s="173"/>
      <c r="P53" s="173"/>
      <c r="Q53" s="173"/>
      <c r="R53" s="173"/>
      <c r="S53" s="173"/>
      <c r="T53" s="173"/>
      <c r="U53" s="173"/>
      <c r="V53" s="173"/>
      <c r="W53" s="172"/>
      <c r="X53" s="172"/>
      <c r="Y53" s="172" t="str">
        <f t="shared" si="15"/>
        <v/>
      </c>
      <c r="Z53" s="172"/>
      <c r="AA53" s="172"/>
      <c r="AB53" s="172"/>
      <c r="AC53" s="172"/>
      <c r="AD53" s="172"/>
      <c r="AE53" s="172"/>
      <c r="AF53" s="172"/>
      <c r="AG53" s="174">
        <v>10</v>
      </c>
      <c r="AH53" s="174">
        <v>20</v>
      </c>
      <c r="AI53" s="172"/>
      <c r="AJ53" s="172"/>
      <c r="AK53" s="172"/>
      <c r="AL53" s="172"/>
      <c r="AM53" s="172"/>
      <c r="AN53" s="172"/>
      <c r="AO53" s="172"/>
      <c r="AP53" s="172"/>
      <c r="AQ53" s="174"/>
      <c r="AR53" s="174"/>
      <c r="AS53" s="197">
        <v>4</v>
      </c>
      <c r="AT53" s="198">
        <v>8</v>
      </c>
      <c r="AU53" s="197">
        <v>4</v>
      </c>
      <c r="AV53" s="198">
        <v>8</v>
      </c>
      <c r="AW53" s="174"/>
      <c r="AX53" s="191"/>
      <c r="AY53" s="11"/>
      <c r="AZ53" s="11"/>
      <c r="BA53" s="11"/>
      <c r="BB53" s="11"/>
      <c r="BC53" s="11"/>
      <c r="BD53" s="13"/>
      <c r="BE53" s="11" t="str">
        <f t="shared" si="13"/>
        <v>Sí</v>
      </c>
      <c r="BF53" s="22" t="str">
        <f t="shared" si="14"/>
        <v>G 102 E</v>
      </c>
      <c r="BG53" s="11"/>
      <c r="BH53" s="11" t="str">
        <f t="shared" si="7"/>
        <v>Programado pendiente</v>
      </c>
      <c r="BI53" s="12"/>
      <c r="BJ53" s="68"/>
    </row>
    <row r="54" spans="1:62" ht="18" customHeight="1" x14ac:dyDescent="0.3">
      <c r="A54" s="150"/>
      <c r="B54" s="78" t="s">
        <v>49</v>
      </c>
      <c r="C54" s="12">
        <v>46073</v>
      </c>
      <c r="D54" s="20">
        <f t="shared" si="3"/>
        <v>20</v>
      </c>
      <c r="E54" s="174" t="str">
        <f t="shared" si="8"/>
        <v/>
      </c>
      <c r="F54" s="174"/>
      <c r="G54" s="174" t="s">
        <v>71</v>
      </c>
      <c r="H54" s="174"/>
      <c r="I54" s="174" t="str">
        <f t="shared" si="10"/>
        <v/>
      </c>
      <c r="J54" s="174"/>
      <c r="K54" s="174"/>
      <c r="L54" s="174"/>
      <c r="M54" s="174" t="str">
        <f t="shared" si="12"/>
        <v/>
      </c>
      <c r="N54" s="174"/>
      <c r="O54" s="173"/>
      <c r="P54" s="173"/>
      <c r="Q54" s="173"/>
      <c r="R54" s="173"/>
      <c r="S54" s="173"/>
      <c r="T54" s="173"/>
      <c r="U54" s="173"/>
      <c r="V54" s="173"/>
      <c r="W54" s="172"/>
      <c r="X54" s="172"/>
      <c r="Y54" s="172" t="str">
        <f t="shared" si="15"/>
        <v/>
      </c>
      <c r="Z54" s="172"/>
      <c r="AA54" s="172"/>
      <c r="AB54" s="172"/>
      <c r="AC54" s="172"/>
      <c r="AD54" s="172"/>
      <c r="AE54" s="172"/>
      <c r="AF54" s="172"/>
      <c r="AG54" s="172"/>
      <c r="AH54" s="172"/>
      <c r="AI54" s="174">
        <v>10</v>
      </c>
      <c r="AJ54" s="174">
        <v>20</v>
      </c>
      <c r="AK54" s="172"/>
      <c r="AL54" s="172"/>
      <c r="AM54" s="172"/>
      <c r="AN54" s="172"/>
      <c r="AO54" s="172"/>
      <c r="AP54" s="172"/>
      <c r="AQ54" s="174"/>
      <c r="AR54" s="174"/>
      <c r="AS54" s="174"/>
      <c r="AT54" s="174"/>
      <c r="AU54" s="174"/>
      <c r="AV54" s="174"/>
      <c r="AW54" s="174"/>
      <c r="AX54" s="191"/>
      <c r="AY54" s="11"/>
      <c r="AZ54" s="11"/>
      <c r="BA54" s="11"/>
      <c r="BB54" s="11"/>
      <c r="BC54" s="11"/>
      <c r="BD54" s="13"/>
      <c r="BE54" s="11" t="str">
        <f t="shared" si="13"/>
        <v>Sí</v>
      </c>
      <c r="BF54" s="22" t="str">
        <f t="shared" si="14"/>
        <v>G 102 A</v>
      </c>
      <c r="BG54" s="11" t="s">
        <v>47</v>
      </c>
      <c r="BH54" s="11" t="str">
        <f t="shared" si="7"/>
        <v>Ejecutado</v>
      </c>
      <c r="BI54" s="12">
        <f>C54</f>
        <v>46073</v>
      </c>
      <c r="BJ54" s="68"/>
    </row>
    <row r="55" spans="1:62" ht="18" customHeight="1" x14ac:dyDescent="0.3">
      <c r="A55" s="150"/>
      <c r="B55" s="78" t="s">
        <v>50</v>
      </c>
      <c r="C55" s="12">
        <v>46074</v>
      </c>
      <c r="D55" s="20">
        <f t="shared" si="3"/>
        <v>20</v>
      </c>
      <c r="E55" s="174" t="str">
        <f t="shared" si="8"/>
        <v/>
      </c>
      <c r="F55" s="174"/>
      <c r="G55" s="174" t="s">
        <v>71</v>
      </c>
      <c r="H55" s="174"/>
      <c r="I55" s="174" t="str">
        <f t="shared" si="10"/>
        <v/>
      </c>
      <c r="J55" s="174"/>
      <c r="K55" s="174"/>
      <c r="L55" s="174"/>
      <c r="M55" s="174" t="str">
        <f t="shared" si="12"/>
        <v/>
      </c>
      <c r="N55" s="174"/>
      <c r="O55" s="173"/>
      <c r="P55" s="173"/>
      <c r="Q55" s="173"/>
      <c r="R55" s="173"/>
      <c r="S55" s="173"/>
      <c r="T55" s="173"/>
      <c r="U55" s="173"/>
      <c r="V55" s="173"/>
      <c r="W55" s="172"/>
      <c r="X55" s="172"/>
      <c r="Y55" s="172" t="str">
        <f t="shared" si="15"/>
        <v/>
      </c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4">
        <v>10</v>
      </c>
      <c r="AL55" s="174">
        <v>20</v>
      </c>
      <c r="AM55" s="172"/>
      <c r="AN55" s="172"/>
      <c r="AO55" s="172"/>
      <c r="AP55" s="172"/>
      <c r="AQ55" s="174"/>
      <c r="AR55" s="174"/>
      <c r="AS55" s="174"/>
      <c r="AT55" s="174"/>
      <c r="AU55" s="174"/>
      <c r="AV55" s="174"/>
      <c r="AW55" s="174"/>
      <c r="AX55" s="191"/>
      <c r="AY55" s="11"/>
      <c r="AZ55" s="11"/>
      <c r="BA55" s="11"/>
      <c r="BB55" s="11"/>
      <c r="BC55" s="11"/>
      <c r="BD55" s="13"/>
      <c r="BE55" s="11" t="str">
        <f t="shared" si="13"/>
        <v>Sí</v>
      </c>
      <c r="BF55" s="22" t="str">
        <f t="shared" si="14"/>
        <v>G 101 V</v>
      </c>
      <c r="BG55" s="11"/>
      <c r="BH55" s="11" t="str">
        <f t="shared" si="7"/>
        <v>Programado pendiente</v>
      </c>
      <c r="BI55" s="12"/>
      <c r="BJ55" s="68"/>
    </row>
    <row r="56" spans="1:62" ht="18" customHeight="1" x14ac:dyDescent="0.3">
      <c r="A56" s="150"/>
      <c r="B56" s="78" t="s">
        <v>52</v>
      </c>
      <c r="C56" s="12">
        <v>46075</v>
      </c>
      <c r="D56" s="20">
        <f t="shared" si="3"/>
        <v>20</v>
      </c>
      <c r="E56" s="174" t="str">
        <f t="shared" si="8"/>
        <v/>
      </c>
      <c r="F56" s="174"/>
      <c r="G56" s="174" t="s">
        <v>71</v>
      </c>
      <c r="H56" s="174"/>
      <c r="I56" s="174" t="str">
        <f t="shared" si="10"/>
        <v/>
      </c>
      <c r="J56" s="174"/>
      <c r="K56" s="174"/>
      <c r="L56" s="174"/>
      <c r="M56" s="174" t="str">
        <f t="shared" si="12"/>
        <v/>
      </c>
      <c r="N56" s="174"/>
      <c r="O56" s="173"/>
      <c r="P56" s="173"/>
      <c r="Q56" s="173"/>
      <c r="R56" s="173"/>
      <c r="S56" s="173"/>
      <c r="T56" s="173"/>
      <c r="U56" s="173"/>
      <c r="V56" s="173"/>
      <c r="W56" s="172"/>
      <c r="X56" s="172"/>
      <c r="Y56" s="172" t="str">
        <f t="shared" si="15"/>
        <v/>
      </c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4">
        <v>10</v>
      </c>
      <c r="AN56" s="174">
        <v>20</v>
      </c>
      <c r="AO56" s="172"/>
      <c r="AP56" s="172"/>
      <c r="AQ56" s="174"/>
      <c r="AR56" s="174"/>
      <c r="AS56" s="174"/>
      <c r="AT56" s="174"/>
      <c r="AU56" s="174"/>
      <c r="AV56" s="174"/>
      <c r="AW56" s="174"/>
      <c r="AX56" s="191"/>
      <c r="AY56" s="11"/>
      <c r="AZ56" s="11"/>
      <c r="BA56" s="11"/>
      <c r="BB56" s="11"/>
      <c r="BC56" s="11"/>
      <c r="BD56" s="13"/>
      <c r="BE56" s="11" t="str">
        <f t="shared" si="13"/>
        <v>Sí</v>
      </c>
      <c r="BF56" s="22" t="str">
        <f t="shared" si="14"/>
        <v>G102 J</v>
      </c>
      <c r="BG56" s="11"/>
      <c r="BH56" s="11" t="str">
        <f t="shared" si="7"/>
        <v>Programado pendiente</v>
      </c>
      <c r="BI56" s="12"/>
      <c r="BJ56" s="68"/>
    </row>
    <row r="57" spans="1:62" ht="18" customHeight="1" x14ac:dyDescent="0.3">
      <c r="A57" s="150"/>
      <c r="B57" s="78" t="s">
        <v>54</v>
      </c>
      <c r="C57" s="12">
        <v>46076</v>
      </c>
      <c r="D57" s="20">
        <f t="shared" si="3"/>
        <v>20</v>
      </c>
      <c r="E57" s="174" t="str">
        <f t="shared" si="8"/>
        <v/>
      </c>
      <c r="F57" s="174"/>
      <c r="G57" s="174" t="s">
        <v>71</v>
      </c>
      <c r="H57" s="174"/>
      <c r="I57" s="174" t="str">
        <f t="shared" si="10"/>
        <v/>
      </c>
      <c r="J57" s="174"/>
      <c r="K57" s="174"/>
      <c r="L57" s="174"/>
      <c r="M57" s="174" t="str">
        <f t="shared" si="12"/>
        <v/>
      </c>
      <c r="N57" s="174"/>
      <c r="O57" s="173"/>
      <c r="P57" s="173"/>
      <c r="Q57" s="173"/>
      <c r="R57" s="173"/>
      <c r="S57" s="173"/>
      <c r="T57" s="173"/>
      <c r="U57" s="173"/>
      <c r="V57" s="173"/>
      <c r="W57" s="172"/>
      <c r="X57" s="172"/>
      <c r="Y57" s="172" t="str">
        <f t="shared" si="15"/>
        <v/>
      </c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4">
        <v>10</v>
      </c>
      <c r="AP57" s="174">
        <v>20</v>
      </c>
      <c r="AQ57" s="174"/>
      <c r="AR57" s="174"/>
      <c r="AS57" s="174"/>
      <c r="AT57" s="174"/>
      <c r="AU57" s="174"/>
      <c r="AV57" s="174"/>
      <c r="AW57" s="174"/>
      <c r="AX57" s="191"/>
      <c r="AY57" s="11"/>
      <c r="AZ57" s="11"/>
      <c r="BA57" s="11"/>
      <c r="BB57" s="11"/>
      <c r="BC57" s="11"/>
      <c r="BD57" s="13"/>
      <c r="BE57" s="11" t="str">
        <f t="shared" si="13"/>
        <v>Sí</v>
      </c>
      <c r="BF57" s="22" t="str">
        <f t="shared" si="14"/>
        <v>G102K</v>
      </c>
      <c r="BG57" s="11"/>
      <c r="BH57" s="11" t="str">
        <f t="shared" si="7"/>
        <v>Programado pendiente</v>
      </c>
      <c r="BI57" s="12"/>
      <c r="BJ57" s="68"/>
    </row>
    <row r="58" spans="1:62" ht="18" customHeight="1" x14ac:dyDescent="0.3">
      <c r="A58" s="150"/>
      <c r="B58" s="78" t="s">
        <v>56</v>
      </c>
      <c r="C58" s="12">
        <v>46077</v>
      </c>
      <c r="D58" s="20">
        <f t="shared" si="3"/>
        <v>0</v>
      </c>
      <c r="E58" s="174" t="str">
        <f t="shared" si="8"/>
        <v/>
      </c>
      <c r="F58" s="174"/>
      <c r="G58" s="174" t="s">
        <v>71</v>
      </c>
      <c r="H58" s="174"/>
      <c r="I58" s="174" t="str">
        <f t="shared" si="10"/>
        <v/>
      </c>
      <c r="J58" s="174"/>
      <c r="K58" s="174"/>
      <c r="L58" s="174"/>
      <c r="M58" s="174" t="str">
        <f t="shared" si="12"/>
        <v/>
      </c>
      <c r="N58" s="174"/>
      <c r="O58" s="173"/>
      <c r="P58" s="173"/>
      <c r="Q58" s="173"/>
      <c r="R58" s="173"/>
      <c r="S58" s="173"/>
      <c r="T58" s="173"/>
      <c r="U58" s="173"/>
      <c r="V58" s="173"/>
      <c r="W58" s="172"/>
      <c r="X58" s="172"/>
      <c r="Y58" s="174" t="str">
        <f t="shared" si="6"/>
        <v/>
      </c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91"/>
      <c r="AY58" s="11"/>
      <c r="AZ58" s="11"/>
      <c r="BA58" s="11"/>
      <c r="BB58" s="11"/>
      <c r="BC58" s="11"/>
      <c r="BD58" s="13"/>
      <c r="BE58" s="11" t="str">
        <f t="shared" si="13"/>
        <v>No</v>
      </c>
      <c r="BF58" s="22" t="str">
        <f t="shared" si="14"/>
        <v/>
      </c>
      <c r="BG58" s="11"/>
      <c r="BH58" s="11" t="str">
        <f t="shared" si="7"/>
        <v>No aplica</v>
      </c>
      <c r="BI58" s="12"/>
      <c r="BJ58" s="68"/>
    </row>
    <row r="59" spans="1:62" ht="18" customHeight="1" x14ac:dyDescent="0.3">
      <c r="A59" s="150"/>
      <c r="B59" s="78" t="s">
        <v>57</v>
      </c>
      <c r="C59" s="12">
        <v>46078</v>
      </c>
      <c r="D59" s="20">
        <f t="shared" si="3"/>
        <v>0</v>
      </c>
      <c r="E59" s="174" t="str">
        <f t="shared" si="8"/>
        <v/>
      </c>
      <c r="F59" s="174"/>
      <c r="G59" s="174" t="s">
        <v>71</v>
      </c>
      <c r="H59" s="174"/>
      <c r="I59" s="174" t="str">
        <f t="shared" si="10"/>
        <v/>
      </c>
      <c r="J59" s="174"/>
      <c r="K59" s="174"/>
      <c r="L59" s="174"/>
      <c r="M59" s="174" t="str">
        <f t="shared" si="12"/>
        <v/>
      </c>
      <c r="N59" s="174"/>
      <c r="O59" s="173"/>
      <c r="P59" s="173"/>
      <c r="Q59" s="173"/>
      <c r="R59" s="173"/>
      <c r="S59" s="173"/>
      <c r="T59" s="173"/>
      <c r="U59" s="173"/>
      <c r="V59" s="173"/>
      <c r="W59" s="172"/>
      <c r="X59" s="172"/>
      <c r="Y59" s="174" t="str">
        <f t="shared" si="6"/>
        <v/>
      </c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91"/>
      <c r="AY59" s="11"/>
      <c r="AZ59" s="11"/>
      <c r="BA59" s="11"/>
      <c r="BB59" s="11"/>
      <c r="BC59" s="11"/>
      <c r="BD59" s="13"/>
      <c r="BE59" s="11" t="str">
        <f t="shared" si="13"/>
        <v>No</v>
      </c>
      <c r="BF59" s="22" t="str">
        <f t="shared" si="14"/>
        <v/>
      </c>
      <c r="BG59" s="11"/>
      <c r="BH59" s="11" t="str">
        <f t="shared" si="7"/>
        <v>No aplica</v>
      </c>
      <c r="BI59" s="12"/>
      <c r="BJ59" s="68"/>
    </row>
    <row r="60" spans="1:62" ht="18" customHeight="1" x14ac:dyDescent="0.3">
      <c r="A60" s="150"/>
      <c r="B60" s="78" t="s">
        <v>46</v>
      </c>
      <c r="C60" s="12">
        <v>46079</v>
      </c>
      <c r="D60" s="20">
        <f t="shared" si="3"/>
        <v>0</v>
      </c>
      <c r="E60" s="174" t="str">
        <f t="shared" si="8"/>
        <v/>
      </c>
      <c r="F60" s="174"/>
      <c r="G60" s="174" t="s">
        <v>71</v>
      </c>
      <c r="H60" s="174"/>
      <c r="I60" s="174" t="str">
        <f t="shared" si="10"/>
        <v/>
      </c>
      <c r="J60" s="174"/>
      <c r="K60" s="174"/>
      <c r="L60" s="174"/>
      <c r="M60" s="174" t="str">
        <f t="shared" si="12"/>
        <v/>
      </c>
      <c r="N60" s="174"/>
      <c r="O60" s="173"/>
      <c r="P60" s="173"/>
      <c r="Q60" s="173"/>
      <c r="R60" s="173"/>
      <c r="S60" s="173"/>
      <c r="T60" s="173"/>
      <c r="U60" s="173"/>
      <c r="V60" s="173"/>
      <c r="W60" s="172"/>
      <c r="X60" s="172"/>
      <c r="Y60" s="174" t="str">
        <f t="shared" si="6"/>
        <v/>
      </c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91"/>
      <c r="AY60" s="11"/>
      <c r="AZ60" s="11"/>
      <c r="BA60" s="11"/>
      <c r="BB60" s="11"/>
      <c r="BC60" s="11"/>
      <c r="BD60" s="13"/>
      <c r="BE60" s="11" t="str">
        <f t="shared" si="13"/>
        <v>No</v>
      </c>
      <c r="BF60" s="22" t="str">
        <f t="shared" si="14"/>
        <v/>
      </c>
      <c r="BG60" s="11"/>
      <c r="BH60" s="11" t="str">
        <f t="shared" si="7"/>
        <v>No aplica</v>
      </c>
      <c r="BI60" s="12"/>
      <c r="BJ60" s="68"/>
    </row>
    <row r="61" spans="1:62" ht="18" customHeight="1" x14ac:dyDescent="0.3">
      <c r="A61" s="150"/>
      <c r="B61" s="78" t="s">
        <v>49</v>
      </c>
      <c r="C61" s="12">
        <v>46080</v>
      </c>
      <c r="D61" s="20">
        <f t="shared" si="3"/>
        <v>0</v>
      </c>
      <c r="E61" s="174" t="str">
        <f t="shared" si="8"/>
        <v/>
      </c>
      <c r="F61" s="174"/>
      <c r="G61" s="174" t="s">
        <v>71</v>
      </c>
      <c r="H61" s="174"/>
      <c r="I61" s="174" t="str">
        <f t="shared" si="10"/>
        <v/>
      </c>
      <c r="J61" s="174"/>
      <c r="K61" s="174"/>
      <c r="L61" s="174"/>
      <c r="M61" s="174" t="str">
        <f t="shared" si="12"/>
        <v/>
      </c>
      <c r="N61" s="174"/>
      <c r="O61" s="173"/>
      <c r="P61" s="173"/>
      <c r="Q61" s="173"/>
      <c r="R61" s="173"/>
      <c r="S61" s="173"/>
      <c r="T61" s="173"/>
      <c r="U61" s="173"/>
      <c r="V61" s="173"/>
      <c r="W61" s="172"/>
      <c r="X61" s="172"/>
      <c r="Y61" s="174" t="str">
        <f t="shared" si="6"/>
        <v/>
      </c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91"/>
      <c r="AY61" s="11"/>
      <c r="AZ61" s="11"/>
      <c r="BA61" s="11"/>
      <c r="BB61" s="11"/>
      <c r="BC61" s="11"/>
      <c r="BD61" s="13"/>
      <c r="BE61" s="11" t="str">
        <f t="shared" si="13"/>
        <v>No</v>
      </c>
      <c r="BF61" s="22" t="str">
        <f t="shared" si="14"/>
        <v/>
      </c>
      <c r="BG61" s="11"/>
      <c r="BH61" s="11" t="str">
        <f t="shared" si="7"/>
        <v>No aplica</v>
      </c>
      <c r="BI61" s="12"/>
      <c r="BJ61" s="68"/>
    </row>
    <row r="62" spans="1:62" ht="18" customHeight="1" thickBot="1" x14ac:dyDescent="0.35">
      <c r="A62" s="151"/>
      <c r="B62" s="53" t="s">
        <v>50</v>
      </c>
      <c r="C62" s="30">
        <v>46081</v>
      </c>
      <c r="D62" s="31">
        <f t="shared" si="3"/>
        <v>0</v>
      </c>
      <c r="E62" s="182" t="str">
        <f t="shared" si="8"/>
        <v/>
      </c>
      <c r="F62" s="182"/>
      <c r="G62" s="182" t="s">
        <v>71</v>
      </c>
      <c r="H62" s="182"/>
      <c r="I62" s="182" t="str">
        <f t="shared" si="10"/>
        <v/>
      </c>
      <c r="J62" s="182"/>
      <c r="K62" s="182"/>
      <c r="L62" s="182"/>
      <c r="M62" s="182" t="str">
        <f t="shared" si="12"/>
        <v/>
      </c>
      <c r="N62" s="182"/>
      <c r="O62" s="181"/>
      <c r="P62" s="181"/>
      <c r="Q62" s="181"/>
      <c r="R62" s="181"/>
      <c r="S62" s="181"/>
      <c r="T62" s="181"/>
      <c r="U62" s="181"/>
      <c r="V62" s="181"/>
      <c r="W62" s="179"/>
      <c r="X62" s="179"/>
      <c r="Y62" s="182" t="str">
        <f t="shared" si="6"/>
        <v/>
      </c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99"/>
      <c r="AY62" s="70"/>
      <c r="AZ62" s="70"/>
      <c r="BA62" s="70"/>
      <c r="BB62" s="70"/>
      <c r="BC62" s="70"/>
      <c r="BD62" s="71"/>
      <c r="BE62" s="70" t="str">
        <f t="shared" si="13"/>
        <v>No</v>
      </c>
      <c r="BF62" s="72" t="str">
        <f t="shared" si="14"/>
        <v/>
      </c>
      <c r="BG62" s="70"/>
      <c r="BH62" s="70" t="str">
        <f t="shared" si="7"/>
        <v>No aplica</v>
      </c>
      <c r="BI62" s="30"/>
      <c r="BJ62" s="73"/>
    </row>
    <row r="63" spans="1:62" ht="18" customHeight="1" x14ac:dyDescent="0.3">
      <c r="A63" s="148" t="s">
        <v>55</v>
      </c>
      <c r="B63" s="48" t="s">
        <v>52</v>
      </c>
      <c r="C63" s="15">
        <v>46082</v>
      </c>
      <c r="D63" s="27">
        <f t="shared" si="3"/>
        <v>0</v>
      </c>
      <c r="E63" s="170" t="str">
        <f t="shared" si="8"/>
        <v/>
      </c>
      <c r="F63" s="170"/>
      <c r="G63" s="170" t="s">
        <v>71</v>
      </c>
      <c r="H63" s="170"/>
      <c r="I63" s="170" t="str">
        <f t="shared" si="10"/>
        <v/>
      </c>
      <c r="J63" s="170"/>
      <c r="K63" s="170"/>
      <c r="L63" s="170"/>
      <c r="M63" s="170" t="str">
        <f t="shared" si="12"/>
        <v/>
      </c>
      <c r="N63" s="170"/>
      <c r="O63" s="169"/>
      <c r="P63" s="169"/>
      <c r="Q63" s="169"/>
      <c r="R63" s="169"/>
      <c r="S63" s="169"/>
      <c r="T63" s="169"/>
      <c r="U63" s="169"/>
      <c r="V63" s="169"/>
      <c r="W63" s="168"/>
      <c r="X63" s="168"/>
      <c r="Y63" s="170" t="str">
        <f t="shared" si="6"/>
        <v/>
      </c>
      <c r="Z63" s="17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170"/>
      <c r="AR63" s="170"/>
      <c r="AS63" s="170"/>
      <c r="AT63" s="170"/>
      <c r="AU63" s="170"/>
      <c r="AV63" s="170"/>
      <c r="AW63" s="170"/>
      <c r="AX63" s="201"/>
      <c r="AY63" s="14"/>
      <c r="AZ63" s="14"/>
      <c r="BA63" s="14"/>
      <c r="BB63" s="14"/>
      <c r="BC63" s="14"/>
      <c r="BD63" s="65"/>
      <c r="BE63" s="14" t="str">
        <f t="shared" si="13"/>
        <v>No</v>
      </c>
      <c r="BF63" s="21" t="str">
        <f t="shared" si="14"/>
        <v/>
      </c>
      <c r="BG63" s="14"/>
      <c r="BH63" s="14" t="str">
        <f t="shared" si="7"/>
        <v>No aplica</v>
      </c>
      <c r="BI63" s="15"/>
      <c r="BJ63" s="66"/>
    </row>
    <row r="64" spans="1:62" ht="31.2" customHeight="1" x14ac:dyDescent="0.3">
      <c r="A64" s="150"/>
      <c r="B64" s="78" t="s">
        <v>54</v>
      </c>
      <c r="C64" s="12">
        <v>46083</v>
      </c>
      <c r="D64" s="20">
        <f t="shared" si="3"/>
        <v>20</v>
      </c>
      <c r="E64" s="174" t="str">
        <f t="shared" si="8"/>
        <v/>
      </c>
      <c r="F64" s="174"/>
      <c r="G64" s="174" t="s">
        <v>71</v>
      </c>
      <c r="H64" s="174"/>
      <c r="I64" s="174" t="str">
        <f t="shared" si="10"/>
        <v/>
      </c>
      <c r="J64" s="174"/>
      <c r="K64" s="174"/>
      <c r="L64" s="174"/>
      <c r="M64" s="174" t="str">
        <f t="shared" si="12"/>
        <v/>
      </c>
      <c r="N64" s="174"/>
      <c r="O64" s="173"/>
      <c r="P64" s="173"/>
      <c r="Q64" s="173"/>
      <c r="R64" s="173"/>
      <c r="S64" s="173"/>
      <c r="T64" s="173"/>
      <c r="U64" s="173"/>
      <c r="V64" s="173"/>
      <c r="W64" s="172"/>
      <c r="X64" s="172"/>
      <c r="Y64" s="174">
        <v>10</v>
      </c>
      <c r="Z64" s="194">
        <v>20</v>
      </c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196"/>
      <c r="AR64" s="174"/>
      <c r="AS64" s="174"/>
      <c r="AT64" s="174"/>
      <c r="AU64" s="174"/>
      <c r="AV64" s="174"/>
      <c r="AW64" s="174"/>
      <c r="AX64" s="191"/>
      <c r="AY64" s="11"/>
      <c r="AZ64" s="11"/>
      <c r="BA64" s="11"/>
      <c r="BB64" s="11"/>
      <c r="BC64" s="11"/>
      <c r="BD64" s="13"/>
      <c r="BE64" s="11" t="str">
        <f t="shared" si="13"/>
        <v>Sí</v>
      </c>
      <c r="BF64" s="22" t="str">
        <f t="shared" si="14"/>
        <v>JINAN 01</v>
      </c>
      <c r="BG64" s="11" t="s">
        <v>47</v>
      </c>
      <c r="BH64" s="11" t="str">
        <f t="shared" si="7"/>
        <v>Ejecutado</v>
      </c>
      <c r="BI64" s="12">
        <v>46082</v>
      </c>
      <c r="BJ64" s="68" t="s">
        <v>83</v>
      </c>
    </row>
    <row r="65" spans="1:62" ht="18" customHeight="1" x14ac:dyDescent="0.3">
      <c r="A65" s="150"/>
      <c r="B65" s="78" t="s">
        <v>56</v>
      </c>
      <c r="C65" s="12">
        <v>46084</v>
      </c>
      <c r="D65" s="20">
        <f t="shared" si="3"/>
        <v>20</v>
      </c>
      <c r="E65" s="174" t="str">
        <f t="shared" si="8"/>
        <v/>
      </c>
      <c r="F65" s="174"/>
      <c r="G65" s="174" t="s">
        <v>71</v>
      </c>
      <c r="H65" s="174"/>
      <c r="I65" s="174" t="str">
        <f t="shared" si="10"/>
        <v/>
      </c>
      <c r="J65" s="174"/>
      <c r="K65" s="174"/>
      <c r="L65" s="174"/>
      <c r="M65" s="174" t="str">
        <f t="shared" si="12"/>
        <v/>
      </c>
      <c r="N65" s="174"/>
      <c r="O65" s="173"/>
      <c r="P65" s="173"/>
      <c r="Q65" s="173"/>
      <c r="R65" s="173"/>
      <c r="S65" s="173"/>
      <c r="T65" s="173"/>
      <c r="U65" s="173"/>
      <c r="V65" s="173"/>
      <c r="W65" s="172"/>
      <c r="X65" s="172"/>
      <c r="Y65" s="172" t="str">
        <f t="shared" ref="Y65:Y72" si="16">IF(MOD(C65-$C$4,15)=0,8,"")</f>
        <v/>
      </c>
      <c r="Z65" s="172"/>
      <c r="AA65" s="189">
        <v>10</v>
      </c>
      <c r="AB65" s="189">
        <v>20</v>
      </c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4"/>
      <c r="AR65" s="174"/>
      <c r="AS65" s="174"/>
      <c r="AT65" s="174"/>
      <c r="AU65" s="174"/>
      <c r="AV65" s="174"/>
      <c r="AW65" s="174"/>
      <c r="AX65" s="191"/>
      <c r="AY65" s="11"/>
      <c r="AZ65" s="11"/>
      <c r="BA65" s="11"/>
      <c r="BB65" s="11"/>
      <c r="BC65" s="11"/>
      <c r="BD65" s="13"/>
      <c r="BE65" s="11" t="str">
        <f t="shared" si="13"/>
        <v>Sí</v>
      </c>
      <c r="BF65" s="22" t="str">
        <f t="shared" si="14"/>
        <v>JINAN 02</v>
      </c>
      <c r="BG65" s="11" t="s">
        <v>47</v>
      </c>
      <c r="BH65" s="11" t="str">
        <f t="shared" si="7"/>
        <v>Ejecutado</v>
      </c>
      <c r="BI65" s="12">
        <v>46084</v>
      </c>
      <c r="BJ65" s="68" t="s">
        <v>86</v>
      </c>
    </row>
    <row r="66" spans="1:62" ht="18" customHeight="1" x14ac:dyDescent="0.3">
      <c r="A66" s="150"/>
      <c r="B66" s="78" t="s">
        <v>57</v>
      </c>
      <c r="C66" s="12">
        <v>46085</v>
      </c>
      <c r="D66" s="20">
        <f t="shared" si="3"/>
        <v>20</v>
      </c>
      <c r="E66" s="174" t="str">
        <f t="shared" si="8"/>
        <v/>
      </c>
      <c r="F66" s="174"/>
      <c r="G66" s="174" t="s">
        <v>71</v>
      </c>
      <c r="H66" s="174"/>
      <c r="I66" s="174" t="str">
        <f t="shared" si="10"/>
        <v/>
      </c>
      <c r="J66" s="174"/>
      <c r="K66" s="174"/>
      <c r="L66" s="174"/>
      <c r="M66" s="174" t="str">
        <f t="shared" si="12"/>
        <v/>
      </c>
      <c r="N66" s="174"/>
      <c r="O66" s="173"/>
      <c r="P66" s="173"/>
      <c r="Q66" s="173"/>
      <c r="R66" s="173"/>
      <c r="S66" s="173"/>
      <c r="T66" s="173"/>
      <c r="U66" s="173"/>
      <c r="V66" s="173"/>
      <c r="W66" s="172"/>
      <c r="X66" s="172"/>
      <c r="Y66" s="172" t="str">
        <f t="shared" si="16"/>
        <v/>
      </c>
      <c r="Z66" s="172"/>
      <c r="AA66" s="172"/>
      <c r="AB66" s="172"/>
      <c r="AC66" s="174">
        <v>10</v>
      </c>
      <c r="AD66" s="174">
        <v>20</v>
      </c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4"/>
      <c r="AR66" s="174"/>
      <c r="AS66" s="174"/>
      <c r="AT66" s="174"/>
      <c r="AU66" s="174"/>
      <c r="AV66" s="174"/>
      <c r="AW66" s="174"/>
      <c r="AX66" s="191"/>
      <c r="AY66" s="11"/>
      <c r="AZ66" s="11"/>
      <c r="BA66" s="11"/>
      <c r="BB66" s="11"/>
      <c r="BC66" s="11"/>
      <c r="BD66" s="13"/>
      <c r="BE66" s="11" t="str">
        <f t="shared" si="13"/>
        <v>Sí</v>
      </c>
      <c r="BF66" s="22" t="str">
        <f t="shared" si="14"/>
        <v>JINAN 03/JN 10</v>
      </c>
      <c r="BG66" s="11" t="s">
        <v>47</v>
      </c>
      <c r="BH66" s="11" t="str">
        <f t="shared" si="7"/>
        <v>Ejecutado</v>
      </c>
      <c r="BI66" s="12">
        <v>46094</v>
      </c>
      <c r="BJ66" s="68" t="s">
        <v>86</v>
      </c>
    </row>
    <row r="67" spans="1:62" ht="18" customHeight="1" x14ac:dyDescent="0.3">
      <c r="A67" s="150"/>
      <c r="B67" s="78" t="s">
        <v>46</v>
      </c>
      <c r="C67" s="12">
        <v>46086</v>
      </c>
      <c r="D67" s="20">
        <f t="shared" si="3"/>
        <v>20</v>
      </c>
      <c r="E67" s="174" t="str">
        <f t="shared" si="8"/>
        <v/>
      </c>
      <c r="F67" s="174"/>
      <c r="G67" s="174" t="s">
        <v>71</v>
      </c>
      <c r="H67" s="174"/>
      <c r="I67" s="174" t="str">
        <f t="shared" si="10"/>
        <v/>
      </c>
      <c r="J67" s="174"/>
      <c r="K67" s="174"/>
      <c r="L67" s="174"/>
      <c r="M67" s="174" t="str">
        <f t="shared" si="12"/>
        <v/>
      </c>
      <c r="N67" s="174"/>
      <c r="O67" s="173"/>
      <c r="P67" s="173"/>
      <c r="Q67" s="173"/>
      <c r="R67" s="173"/>
      <c r="S67" s="173"/>
      <c r="T67" s="173"/>
      <c r="U67" s="173"/>
      <c r="V67" s="173"/>
      <c r="W67" s="172"/>
      <c r="X67" s="172"/>
      <c r="Y67" s="172" t="str">
        <f t="shared" si="16"/>
        <v/>
      </c>
      <c r="Z67" s="172"/>
      <c r="AA67" s="172"/>
      <c r="AB67" s="172"/>
      <c r="AC67" s="172"/>
      <c r="AD67" s="172"/>
      <c r="AE67" s="174">
        <v>10</v>
      </c>
      <c r="AF67" s="174">
        <v>20</v>
      </c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4"/>
      <c r="AR67" s="174"/>
      <c r="AS67" s="174"/>
      <c r="AT67" s="174"/>
      <c r="AU67" s="174"/>
      <c r="AV67" s="174"/>
      <c r="AW67" s="174"/>
      <c r="AX67" s="191"/>
      <c r="AY67" s="11"/>
      <c r="AZ67" s="11"/>
      <c r="BA67" s="11"/>
      <c r="BB67" s="11"/>
      <c r="BC67" s="11"/>
      <c r="BD67" s="13"/>
      <c r="BE67" s="11" t="str">
        <f t="shared" si="13"/>
        <v>Sí</v>
      </c>
      <c r="BF67" s="22" t="str">
        <f t="shared" si="14"/>
        <v>G 102 I</v>
      </c>
      <c r="BG67" s="11"/>
      <c r="BH67" s="11" t="str">
        <f t="shared" si="7"/>
        <v>Programado pendiente</v>
      </c>
      <c r="BI67" s="12"/>
      <c r="BJ67" s="68"/>
    </row>
    <row r="68" spans="1:62" ht="18" customHeight="1" x14ac:dyDescent="0.3">
      <c r="A68" s="150"/>
      <c r="B68" s="78" t="s">
        <v>49</v>
      </c>
      <c r="C68" s="12">
        <v>46087</v>
      </c>
      <c r="D68" s="20">
        <f t="shared" ref="D68:D131" si="17">+F68+H68+J68+L68+N68+P68+R68+Z68+AB68+AD68+AF68+AH68+AJ68+AL68+AN68+AP68</f>
        <v>20</v>
      </c>
      <c r="E68" s="174" t="str">
        <f t="shared" si="8"/>
        <v/>
      </c>
      <c r="F68" s="174"/>
      <c r="G68" s="174" t="s">
        <v>71</v>
      </c>
      <c r="H68" s="174"/>
      <c r="I68" s="174" t="str">
        <f t="shared" si="10"/>
        <v/>
      </c>
      <c r="J68" s="174"/>
      <c r="K68" s="174"/>
      <c r="L68" s="174"/>
      <c r="M68" s="174" t="str">
        <f t="shared" ref="M68:M75" si="18">IF(MOD(C68-$C$76,42)=0,8,"")</f>
        <v/>
      </c>
      <c r="N68" s="174"/>
      <c r="O68" s="173"/>
      <c r="P68" s="173"/>
      <c r="Q68" s="173"/>
      <c r="R68" s="173"/>
      <c r="S68" s="173"/>
      <c r="T68" s="173"/>
      <c r="U68" s="173"/>
      <c r="V68" s="173"/>
      <c r="W68" s="172"/>
      <c r="X68" s="172"/>
      <c r="Y68" s="172" t="str">
        <f t="shared" si="16"/>
        <v/>
      </c>
      <c r="Z68" s="172"/>
      <c r="AA68" s="172"/>
      <c r="AB68" s="172"/>
      <c r="AC68" s="172"/>
      <c r="AD68" s="172"/>
      <c r="AE68" s="172"/>
      <c r="AF68" s="172"/>
      <c r="AG68" s="174">
        <v>10</v>
      </c>
      <c r="AH68" s="174">
        <v>20</v>
      </c>
      <c r="AI68" s="172"/>
      <c r="AJ68" s="172"/>
      <c r="AK68" s="172"/>
      <c r="AL68" s="172"/>
      <c r="AM68" s="172"/>
      <c r="AN68" s="172"/>
      <c r="AO68" s="172"/>
      <c r="AP68" s="172"/>
      <c r="AQ68" s="174"/>
      <c r="AR68" s="174"/>
      <c r="AS68" s="174"/>
      <c r="AT68" s="174"/>
      <c r="AU68" s="174"/>
      <c r="AV68" s="174"/>
      <c r="AW68" s="174"/>
      <c r="AX68" s="191"/>
      <c r="AY68" s="11"/>
      <c r="AZ68" s="11"/>
      <c r="BA68" s="11"/>
      <c r="BB68" s="11"/>
      <c r="BC68" s="11"/>
      <c r="BD68" s="13"/>
      <c r="BE68" s="11" t="str">
        <f t="shared" si="13"/>
        <v>Sí</v>
      </c>
      <c r="BF68" s="22" t="str">
        <f t="shared" si="14"/>
        <v>G 102 E</v>
      </c>
      <c r="BG68" s="11"/>
      <c r="BH68" s="11" t="str">
        <f t="shared" si="7"/>
        <v>Programado pendiente</v>
      </c>
      <c r="BI68" s="12"/>
      <c r="BJ68" s="68"/>
    </row>
    <row r="69" spans="1:62" ht="18" customHeight="1" x14ac:dyDescent="0.3">
      <c r="A69" s="150"/>
      <c r="B69" s="78" t="s">
        <v>50</v>
      </c>
      <c r="C69" s="12">
        <v>46088</v>
      </c>
      <c r="D69" s="20">
        <f t="shared" si="17"/>
        <v>20</v>
      </c>
      <c r="E69" s="174" t="str">
        <f t="shared" si="8"/>
        <v/>
      </c>
      <c r="F69" s="174"/>
      <c r="G69" s="174" t="s">
        <v>71</v>
      </c>
      <c r="H69" s="174"/>
      <c r="I69" s="174" t="str">
        <f t="shared" si="10"/>
        <v/>
      </c>
      <c r="J69" s="174"/>
      <c r="K69" s="174"/>
      <c r="L69" s="174"/>
      <c r="M69" s="174" t="str">
        <f t="shared" si="18"/>
        <v/>
      </c>
      <c r="N69" s="174"/>
      <c r="O69" s="173"/>
      <c r="P69" s="173"/>
      <c r="Q69" s="173"/>
      <c r="R69" s="173"/>
      <c r="S69" s="173"/>
      <c r="T69" s="173"/>
      <c r="U69" s="173"/>
      <c r="V69" s="173"/>
      <c r="W69" s="172"/>
      <c r="X69" s="172"/>
      <c r="Y69" s="172" t="str">
        <f t="shared" si="16"/>
        <v/>
      </c>
      <c r="Z69" s="172"/>
      <c r="AA69" s="172"/>
      <c r="AB69" s="172"/>
      <c r="AC69" s="172"/>
      <c r="AD69" s="172"/>
      <c r="AE69" s="172"/>
      <c r="AF69" s="172"/>
      <c r="AG69" s="172"/>
      <c r="AH69" s="172"/>
      <c r="AI69" s="174">
        <v>10</v>
      </c>
      <c r="AJ69" s="174">
        <v>20</v>
      </c>
      <c r="AK69" s="172"/>
      <c r="AL69" s="172"/>
      <c r="AM69" s="172"/>
      <c r="AN69" s="172"/>
      <c r="AO69" s="172"/>
      <c r="AP69" s="172"/>
      <c r="AQ69" s="174"/>
      <c r="AR69" s="174"/>
      <c r="AS69" s="174"/>
      <c r="AT69" s="174"/>
      <c r="AU69" s="174"/>
      <c r="AV69" s="174"/>
      <c r="AW69" s="174"/>
      <c r="AX69" s="191"/>
      <c r="AY69" s="11"/>
      <c r="AZ69" s="11"/>
      <c r="BA69" s="11"/>
      <c r="BB69" s="11"/>
      <c r="BC69" s="11"/>
      <c r="BD69" s="13"/>
      <c r="BE69" s="11" t="str">
        <f t="shared" si="13"/>
        <v>Sí</v>
      </c>
      <c r="BF69" s="22" t="str">
        <f t="shared" si="14"/>
        <v>G 102 A</v>
      </c>
      <c r="BG69" s="11" t="s">
        <v>47</v>
      </c>
      <c r="BH69" s="11" t="str">
        <f t="shared" ref="BH69:BH132" si="19">IF($BE69="No","No aplica",IF($BG69="Sí","Ejecutado","Programado pendiente"))</f>
        <v>Ejecutado</v>
      </c>
      <c r="BI69" s="12">
        <f>C69</f>
        <v>46088</v>
      </c>
      <c r="BJ69" s="68"/>
    </row>
    <row r="70" spans="1:62" ht="30.6" customHeight="1" x14ac:dyDescent="0.3">
      <c r="A70" s="150"/>
      <c r="B70" s="78" t="s">
        <v>52</v>
      </c>
      <c r="C70" s="12">
        <v>46089</v>
      </c>
      <c r="D70" s="20">
        <f t="shared" si="17"/>
        <v>40</v>
      </c>
      <c r="E70" s="174" t="str">
        <f t="shared" si="8"/>
        <v/>
      </c>
      <c r="F70" s="174"/>
      <c r="G70" s="174" t="s">
        <v>71</v>
      </c>
      <c r="H70" s="174"/>
      <c r="I70" s="174">
        <v>10</v>
      </c>
      <c r="J70" s="174">
        <v>20</v>
      </c>
      <c r="K70" s="174"/>
      <c r="L70" s="174"/>
      <c r="M70" s="174" t="str">
        <f t="shared" si="18"/>
        <v/>
      </c>
      <c r="N70" s="174"/>
      <c r="O70" s="173"/>
      <c r="P70" s="173"/>
      <c r="Q70" s="173"/>
      <c r="R70" s="173"/>
      <c r="S70" s="173"/>
      <c r="T70" s="173"/>
      <c r="U70" s="173"/>
      <c r="V70" s="173"/>
      <c r="W70" s="172"/>
      <c r="X70" s="172"/>
      <c r="Y70" s="172" t="str">
        <f t="shared" si="16"/>
        <v/>
      </c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4">
        <v>10</v>
      </c>
      <c r="AL70" s="174">
        <v>20</v>
      </c>
      <c r="AM70" s="172"/>
      <c r="AN70" s="172"/>
      <c r="AO70" s="172"/>
      <c r="AP70" s="172"/>
      <c r="AQ70" s="174"/>
      <c r="AR70" s="174"/>
      <c r="AS70" s="174"/>
      <c r="AT70" s="174"/>
      <c r="AU70" s="174"/>
      <c r="AV70" s="174"/>
      <c r="AW70" s="174"/>
      <c r="AX70" s="191"/>
      <c r="AY70" s="11"/>
      <c r="AZ70" s="11"/>
      <c r="BA70" s="11"/>
      <c r="BB70" s="11"/>
      <c r="BC70" s="11"/>
      <c r="BD70" s="13"/>
      <c r="BE70" s="11" t="str">
        <f t="shared" si="13"/>
        <v>Sí</v>
      </c>
      <c r="BF70" s="22" t="str">
        <f t="shared" si="14"/>
        <v>CPW03, G 101 V</v>
      </c>
      <c r="BG70" s="11" t="s">
        <v>47</v>
      </c>
      <c r="BH70" s="11" t="str">
        <f t="shared" si="19"/>
        <v>Ejecutado</v>
      </c>
      <c r="BI70" s="12">
        <v>46105</v>
      </c>
      <c r="BJ70" s="68" t="s">
        <v>87</v>
      </c>
    </row>
    <row r="71" spans="1:62" ht="18" customHeight="1" x14ac:dyDescent="0.3">
      <c r="A71" s="150"/>
      <c r="B71" s="78" t="s">
        <v>54</v>
      </c>
      <c r="C71" s="12">
        <v>46090</v>
      </c>
      <c r="D71" s="20">
        <f t="shared" si="17"/>
        <v>20</v>
      </c>
      <c r="E71" s="174" t="str">
        <f t="shared" ref="E71:E134" si="20">IF(MOD(C71-$C$4,42)=0,8,"")</f>
        <v/>
      </c>
      <c r="F71" s="174"/>
      <c r="G71" s="174" t="s">
        <v>71</v>
      </c>
      <c r="H71" s="174"/>
      <c r="I71" s="174" t="str">
        <f t="shared" si="10"/>
        <v/>
      </c>
      <c r="J71" s="174"/>
      <c r="K71" s="174"/>
      <c r="L71" s="174"/>
      <c r="M71" s="174" t="str">
        <f t="shared" si="18"/>
        <v/>
      </c>
      <c r="N71" s="174"/>
      <c r="O71" s="173"/>
      <c r="P71" s="173"/>
      <c r="Q71" s="173"/>
      <c r="R71" s="173"/>
      <c r="S71" s="173"/>
      <c r="T71" s="173"/>
      <c r="U71" s="173"/>
      <c r="V71" s="173"/>
      <c r="W71" s="172"/>
      <c r="X71" s="172"/>
      <c r="Y71" s="172" t="str">
        <f t="shared" si="16"/>
        <v/>
      </c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4">
        <v>10</v>
      </c>
      <c r="AN71" s="174">
        <v>20</v>
      </c>
      <c r="AO71" s="172"/>
      <c r="AP71" s="172"/>
      <c r="AQ71" s="174"/>
      <c r="AR71" s="174"/>
      <c r="AS71" s="174"/>
      <c r="AT71" s="174"/>
      <c r="AU71" s="174"/>
      <c r="AV71" s="174"/>
      <c r="AW71" s="174"/>
      <c r="AX71" s="191"/>
      <c r="AY71" s="11"/>
      <c r="AZ71" s="11"/>
      <c r="BA71" s="11"/>
      <c r="BB71" s="11"/>
      <c r="BC71" s="11"/>
      <c r="BD71" s="13"/>
      <c r="BE71" s="11" t="str">
        <f t="shared" si="13"/>
        <v>Sí</v>
      </c>
      <c r="BF71" s="22" t="str">
        <f t="shared" si="14"/>
        <v>G102 J</v>
      </c>
      <c r="BG71" s="11"/>
      <c r="BH71" s="11" t="str">
        <f t="shared" si="19"/>
        <v>Programado pendiente</v>
      </c>
      <c r="BI71" s="12"/>
      <c r="BJ71" s="68"/>
    </row>
    <row r="72" spans="1:62" ht="30" customHeight="1" x14ac:dyDescent="0.3">
      <c r="A72" s="150"/>
      <c r="B72" s="78" t="s">
        <v>56</v>
      </c>
      <c r="C72" s="12">
        <v>46091</v>
      </c>
      <c r="D72" s="20">
        <f t="shared" si="17"/>
        <v>40</v>
      </c>
      <c r="E72" s="174" t="str">
        <f t="shared" si="20"/>
        <v/>
      </c>
      <c r="F72" s="174"/>
      <c r="G72" s="174">
        <v>10</v>
      </c>
      <c r="H72" s="174">
        <v>20</v>
      </c>
      <c r="I72" s="174" t="str">
        <f t="shared" si="10"/>
        <v/>
      </c>
      <c r="J72" s="174"/>
      <c r="K72" s="174"/>
      <c r="L72" s="174"/>
      <c r="M72" s="174" t="str">
        <f t="shared" si="18"/>
        <v/>
      </c>
      <c r="N72" s="174"/>
      <c r="O72" s="173"/>
      <c r="P72" s="173"/>
      <c r="Q72" s="173"/>
      <c r="R72" s="173"/>
      <c r="S72" s="173"/>
      <c r="T72" s="173"/>
      <c r="U72" s="173"/>
      <c r="V72" s="173"/>
      <c r="W72" s="172"/>
      <c r="X72" s="172"/>
      <c r="Y72" s="172" t="str">
        <f t="shared" si="16"/>
        <v/>
      </c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4">
        <v>10</v>
      </c>
      <c r="AP72" s="174">
        <v>20</v>
      </c>
      <c r="AQ72" s="174">
        <v>10</v>
      </c>
      <c r="AR72" s="174">
        <v>20</v>
      </c>
      <c r="AS72" s="174"/>
      <c r="AT72" s="174"/>
      <c r="AU72" s="174"/>
      <c r="AV72" s="174"/>
      <c r="AW72" s="174"/>
      <c r="AX72" s="191"/>
      <c r="AY72" s="11"/>
      <c r="AZ72" s="11"/>
      <c r="BA72" s="11"/>
      <c r="BB72" s="11"/>
      <c r="BC72" s="11"/>
      <c r="BD72" s="13"/>
      <c r="BE72" s="11" t="str">
        <f t="shared" si="13"/>
        <v>Sí</v>
      </c>
      <c r="BF72" s="55" t="str">
        <f t="shared" si="14"/>
        <v>CPW01, G102K, SWG</v>
      </c>
      <c r="BG72" s="11" t="s">
        <v>47</v>
      </c>
      <c r="BH72" s="11" t="str">
        <f t="shared" si="19"/>
        <v>Ejecutado</v>
      </c>
      <c r="BI72" s="12">
        <v>46106</v>
      </c>
      <c r="BJ72" s="68" t="s">
        <v>88</v>
      </c>
    </row>
    <row r="73" spans="1:62" ht="18" customHeight="1" x14ac:dyDescent="0.3">
      <c r="A73" s="150"/>
      <c r="B73" s="78" t="s">
        <v>57</v>
      </c>
      <c r="C73" s="12">
        <v>46092</v>
      </c>
      <c r="D73" s="20">
        <f t="shared" si="17"/>
        <v>0</v>
      </c>
      <c r="E73" s="174" t="str">
        <f t="shared" si="20"/>
        <v/>
      </c>
      <c r="F73" s="174"/>
      <c r="G73" s="174" t="str">
        <f t="shared" ref="G73:G94" si="21">IF(MOD(C73-$C$30,42)=0,8,"")</f>
        <v/>
      </c>
      <c r="H73" s="174"/>
      <c r="I73" s="174" t="str">
        <f t="shared" si="10"/>
        <v/>
      </c>
      <c r="J73" s="174"/>
      <c r="K73" s="174"/>
      <c r="L73" s="174"/>
      <c r="M73" s="174" t="str">
        <f t="shared" si="18"/>
        <v/>
      </c>
      <c r="N73" s="174"/>
      <c r="O73" s="173"/>
      <c r="P73" s="173"/>
      <c r="Q73" s="173"/>
      <c r="R73" s="173"/>
      <c r="S73" s="173"/>
      <c r="T73" s="173"/>
      <c r="U73" s="173"/>
      <c r="V73" s="173"/>
      <c r="W73" s="172"/>
      <c r="X73" s="172"/>
      <c r="Y73" s="174" t="str">
        <f t="shared" ref="Y73:Y123" si="22">IF(MOD(C73-$C$4,15)=0,8,"")</f>
        <v/>
      </c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  <c r="AW73" s="174"/>
      <c r="AX73" s="191"/>
      <c r="AY73" s="11"/>
      <c r="AZ73" s="11"/>
      <c r="BA73" s="11"/>
      <c r="BB73" s="11"/>
      <c r="BC73" s="11"/>
      <c r="BD73" s="13"/>
      <c r="BE73" s="11" t="str">
        <f t="shared" si="13"/>
        <v>No</v>
      </c>
      <c r="BF73" s="22" t="str">
        <f t="shared" si="14"/>
        <v/>
      </c>
      <c r="BG73" s="11"/>
      <c r="BH73" s="11" t="str">
        <f t="shared" si="19"/>
        <v>No aplica</v>
      </c>
      <c r="BI73" s="12"/>
      <c r="BJ73" s="68"/>
    </row>
    <row r="74" spans="1:62" ht="18" customHeight="1" x14ac:dyDescent="0.3">
      <c r="A74" s="150"/>
      <c r="B74" s="78" t="s">
        <v>46</v>
      </c>
      <c r="C74" s="12">
        <v>46093</v>
      </c>
      <c r="D74" s="20">
        <f t="shared" si="17"/>
        <v>0</v>
      </c>
      <c r="E74" s="174" t="str">
        <f t="shared" si="20"/>
        <v/>
      </c>
      <c r="F74" s="174"/>
      <c r="G74" s="174" t="str">
        <f t="shared" si="21"/>
        <v/>
      </c>
      <c r="H74" s="174"/>
      <c r="I74" s="174" t="str">
        <f t="shared" si="10"/>
        <v/>
      </c>
      <c r="J74" s="174"/>
      <c r="K74" s="174"/>
      <c r="L74" s="174"/>
      <c r="M74" s="174" t="str">
        <f t="shared" si="18"/>
        <v/>
      </c>
      <c r="N74" s="174"/>
      <c r="O74" s="173"/>
      <c r="P74" s="173"/>
      <c r="Q74" s="173"/>
      <c r="R74" s="173"/>
      <c r="S74" s="173"/>
      <c r="T74" s="173"/>
      <c r="U74" s="173"/>
      <c r="V74" s="173"/>
      <c r="W74" s="172"/>
      <c r="X74" s="172"/>
      <c r="Y74" s="174" t="str">
        <f t="shared" si="22"/>
        <v/>
      </c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4"/>
      <c r="AS74" s="174"/>
      <c r="AT74" s="174"/>
      <c r="AU74" s="174"/>
      <c r="AV74" s="174"/>
      <c r="AW74" s="174"/>
      <c r="AX74" s="191"/>
      <c r="AY74" s="11"/>
      <c r="AZ74" s="11"/>
      <c r="BA74" s="11"/>
      <c r="BB74" s="11"/>
      <c r="BC74" s="11"/>
      <c r="BD74" s="13"/>
      <c r="BE74" s="11" t="str">
        <f t="shared" si="13"/>
        <v>No</v>
      </c>
      <c r="BF74" s="22" t="str">
        <f t="shared" si="14"/>
        <v/>
      </c>
      <c r="BG74" s="11"/>
      <c r="BH74" s="11" t="str">
        <f t="shared" si="19"/>
        <v>No aplica</v>
      </c>
      <c r="BI74" s="12"/>
      <c r="BJ74" s="68"/>
    </row>
    <row r="75" spans="1:62" ht="18" customHeight="1" x14ac:dyDescent="0.3">
      <c r="A75" s="150"/>
      <c r="B75" s="78" t="s">
        <v>49</v>
      </c>
      <c r="C75" s="12">
        <v>46094</v>
      </c>
      <c r="D75" s="20">
        <f t="shared" si="17"/>
        <v>0</v>
      </c>
      <c r="E75" s="174" t="str">
        <f t="shared" si="20"/>
        <v/>
      </c>
      <c r="F75" s="174"/>
      <c r="G75" s="174" t="str">
        <f t="shared" si="21"/>
        <v/>
      </c>
      <c r="H75" s="174"/>
      <c r="I75" s="174" t="str">
        <f t="shared" si="10"/>
        <v/>
      </c>
      <c r="J75" s="174"/>
      <c r="K75" s="174"/>
      <c r="L75" s="174"/>
      <c r="M75" s="174" t="str">
        <f t="shared" si="18"/>
        <v/>
      </c>
      <c r="N75" s="174"/>
      <c r="O75" s="173"/>
      <c r="P75" s="173"/>
      <c r="Q75" s="173"/>
      <c r="R75" s="173"/>
      <c r="S75" s="173"/>
      <c r="T75" s="173"/>
      <c r="U75" s="173"/>
      <c r="V75" s="173"/>
      <c r="W75" s="172"/>
      <c r="X75" s="172"/>
      <c r="Y75" s="174" t="str">
        <f t="shared" si="22"/>
        <v/>
      </c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4"/>
      <c r="AS75" s="174"/>
      <c r="AT75" s="174"/>
      <c r="AU75" s="174"/>
      <c r="AV75" s="174"/>
      <c r="AW75" s="174"/>
      <c r="AX75" s="191"/>
      <c r="AY75" s="11"/>
      <c r="AZ75" s="11"/>
      <c r="BA75" s="11"/>
      <c r="BB75" s="11"/>
      <c r="BC75" s="11"/>
      <c r="BD75" s="13"/>
      <c r="BE75" s="11" t="str">
        <f t="shared" si="13"/>
        <v>No</v>
      </c>
      <c r="BF75" s="22" t="str">
        <f t="shared" si="14"/>
        <v/>
      </c>
      <c r="BG75" s="11"/>
      <c r="BH75" s="11" t="str">
        <f t="shared" si="19"/>
        <v>No aplica</v>
      </c>
      <c r="BI75" s="12"/>
      <c r="BJ75" s="68"/>
    </row>
    <row r="76" spans="1:62" ht="27.6" customHeight="1" x14ac:dyDescent="0.3">
      <c r="A76" s="150"/>
      <c r="B76" s="78" t="s">
        <v>50</v>
      </c>
      <c r="C76" s="12">
        <v>46095</v>
      </c>
      <c r="D76" s="20">
        <f t="shared" si="17"/>
        <v>40</v>
      </c>
      <c r="E76" s="174" t="str">
        <f t="shared" si="20"/>
        <v/>
      </c>
      <c r="F76" s="174"/>
      <c r="G76" s="174" t="str">
        <f t="shared" si="21"/>
        <v/>
      </c>
      <c r="H76" s="174"/>
      <c r="I76" s="174" t="str">
        <f t="shared" si="10"/>
        <v/>
      </c>
      <c r="J76" s="174"/>
      <c r="K76" s="193">
        <v>10</v>
      </c>
      <c r="L76" s="174">
        <v>20</v>
      </c>
      <c r="M76" s="174">
        <v>10</v>
      </c>
      <c r="N76" s="174">
        <v>20</v>
      </c>
      <c r="O76" s="173"/>
      <c r="P76" s="173"/>
      <c r="Q76" s="173"/>
      <c r="R76" s="173"/>
      <c r="S76" s="173"/>
      <c r="T76" s="173"/>
      <c r="U76" s="173"/>
      <c r="V76" s="173"/>
      <c r="W76" s="172"/>
      <c r="X76" s="172"/>
      <c r="Y76" s="174" t="str">
        <f t="shared" si="22"/>
        <v/>
      </c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4"/>
      <c r="AS76" s="174"/>
      <c r="AT76" s="174"/>
      <c r="AU76" s="174"/>
      <c r="AV76" s="174"/>
      <c r="AW76" s="174"/>
      <c r="AX76" s="191"/>
      <c r="AY76" s="11"/>
      <c r="AZ76" s="11"/>
      <c r="BA76" s="11"/>
      <c r="BB76" s="11"/>
      <c r="BC76" s="11"/>
      <c r="BD76" s="13"/>
      <c r="BE76" s="11" t="str">
        <f t="shared" si="13"/>
        <v>Sí</v>
      </c>
      <c r="BF76" s="22" t="str">
        <f t="shared" si="14"/>
        <v>CPW04
, CPW05</v>
      </c>
      <c r="BG76" s="11" t="s">
        <v>47</v>
      </c>
      <c r="BH76" s="11" t="str">
        <f t="shared" si="19"/>
        <v>Ejecutado</v>
      </c>
      <c r="BI76" s="56" t="s">
        <v>89</v>
      </c>
      <c r="BJ76" s="68" t="s">
        <v>90</v>
      </c>
    </row>
    <row r="77" spans="1:62" ht="18" customHeight="1" x14ac:dyDescent="0.3">
      <c r="A77" s="150"/>
      <c r="B77" s="78" t="s">
        <v>52</v>
      </c>
      <c r="C77" s="12">
        <v>46096</v>
      </c>
      <c r="D77" s="20">
        <f t="shared" si="17"/>
        <v>0</v>
      </c>
      <c r="E77" s="174" t="str">
        <f t="shared" si="20"/>
        <v/>
      </c>
      <c r="F77" s="174"/>
      <c r="G77" s="174" t="str">
        <f t="shared" si="21"/>
        <v/>
      </c>
      <c r="H77" s="174"/>
      <c r="I77" s="174" t="str">
        <f t="shared" si="10"/>
        <v/>
      </c>
      <c r="J77" s="174"/>
      <c r="K77" s="174" t="s">
        <v>71</v>
      </c>
      <c r="L77" s="174"/>
      <c r="M77" s="174" t="str">
        <f t="shared" ref="M77:M140" si="23">IF(MOD(C77-$C$76,42)=0,8,"")</f>
        <v/>
      </c>
      <c r="N77" s="174"/>
      <c r="O77" s="173"/>
      <c r="P77" s="173"/>
      <c r="Q77" s="173"/>
      <c r="R77" s="173"/>
      <c r="S77" s="173"/>
      <c r="T77" s="173"/>
      <c r="U77" s="173"/>
      <c r="V77" s="173"/>
      <c r="W77" s="172"/>
      <c r="X77" s="172"/>
      <c r="Y77" s="174" t="str">
        <f t="shared" si="22"/>
        <v/>
      </c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91"/>
      <c r="AY77" s="11"/>
      <c r="AZ77" s="11"/>
      <c r="BA77" s="11"/>
      <c r="BB77" s="11"/>
      <c r="BC77" s="11"/>
      <c r="BD77" s="13"/>
      <c r="BE77" s="11" t="str">
        <f t="shared" si="13"/>
        <v>No</v>
      </c>
      <c r="BF77" s="22" t="str">
        <f t="shared" si="14"/>
        <v/>
      </c>
      <c r="BG77" s="11"/>
      <c r="BH77" s="11" t="str">
        <f t="shared" si="19"/>
        <v>No aplica</v>
      </c>
      <c r="BI77" s="12"/>
      <c r="BJ77" s="68"/>
    </row>
    <row r="78" spans="1:62" ht="12.6" customHeight="1" x14ac:dyDescent="0.3">
      <c r="A78" s="150"/>
      <c r="B78" s="78" t="s">
        <v>54</v>
      </c>
      <c r="C78" s="12">
        <v>46097</v>
      </c>
      <c r="D78" s="20">
        <f t="shared" si="17"/>
        <v>0</v>
      </c>
      <c r="E78" s="174" t="str">
        <f t="shared" si="20"/>
        <v/>
      </c>
      <c r="F78" s="174"/>
      <c r="G78" s="174" t="str">
        <f t="shared" si="21"/>
        <v/>
      </c>
      <c r="H78" s="174"/>
      <c r="I78" s="174" t="str">
        <f t="shared" si="10"/>
        <v/>
      </c>
      <c r="J78" s="174"/>
      <c r="K78" s="174" t="s">
        <v>71</v>
      </c>
      <c r="L78" s="174"/>
      <c r="M78" s="174" t="str">
        <f t="shared" si="23"/>
        <v/>
      </c>
      <c r="N78" s="174"/>
      <c r="O78" s="173"/>
      <c r="P78" s="173"/>
      <c r="Q78" s="173"/>
      <c r="R78" s="173"/>
      <c r="S78" s="173"/>
      <c r="T78" s="173"/>
      <c r="U78" s="173"/>
      <c r="V78" s="173"/>
      <c r="W78" s="172"/>
      <c r="X78" s="172"/>
      <c r="Y78" s="174" t="str">
        <f t="shared" si="22"/>
        <v/>
      </c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91"/>
      <c r="AY78" s="11"/>
      <c r="AZ78" s="11"/>
      <c r="BA78" s="11"/>
      <c r="BB78" s="11"/>
      <c r="BC78" s="11"/>
      <c r="BD78" s="13"/>
      <c r="BE78" s="11" t="str">
        <f t="shared" si="13"/>
        <v>No</v>
      </c>
      <c r="BF78" s="22" t="str">
        <f t="shared" si="14"/>
        <v/>
      </c>
      <c r="BG78" s="11"/>
      <c r="BH78" s="11" t="str">
        <f t="shared" si="19"/>
        <v>No aplica</v>
      </c>
      <c r="BI78" s="12"/>
      <c r="BJ78" s="68"/>
    </row>
    <row r="79" spans="1:62" ht="18" customHeight="1" x14ac:dyDescent="0.3">
      <c r="A79" s="150"/>
      <c r="B79" s="78" t="s">
        <v>56</v>
      </c>
      <c r="C79" s="12">
        <v>46098</v>
      </c>
      <c r="D79" s="20">
        <f t="shared" si="17"/>
        <v>20</v>
      </c>
      <c r="E79" s="174" t="str">
        <f t="shared" si="20"/>
        <v/>
      </c>
      <c r="F79" s="174"/>
      <c r="G79" s="174" t="str">
        <f t="shared" si="21"/>
        <v/>
      </c>
      <c r="H79" s="174"/>
      <c r="I79" s="174" t="str">
        <f t="shared" si="10"/>
        <v/>
      </c>
      <c r="J79" s="174"/>
      <c r="K79" s="174" t="s">
        <v>71</v>
      </c>
      <c r="L79" s="174"/>
      <c r="M79" s="174" t="str">
        <f t="shared" si="23"/>
        <v/>
      </c>
      <c r="N79" s="174"/>
      <c r="O79" s="173"/>
      <c r="P79" s="173"/>
      <c r="Q79" s="173"/>
      <c r="R79" s="173"/>
      <c r="S79" s="173"/>
      <c r="T79" s="173"/>
      <c r="U79" s="173"/>
      <c r="V79" s="173"/>
      <c r="W79" s="172"/>
      <c r="X79" s="172"/>
      <c r="Y79" s="174">
        <v>10</v>
      </c>
      <c r="Z79" s="174">
        <v>20</v>
      </c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4"/>
      <c r="AR79" s="174"/>
      <c r="AS79" s="174"/>
      <c r="AT79" s="174"/>
      <c r="AU79" s="174"/>
      <c r="AV79" s="174"/>
      <c r="AW79" s="174"/>
      <c r="AX79" s="191"/>
      <c r="AY79" s="11"/>
      <c r="AZ79" s="11"/>
      <c r="BA79" s="11"/>
      <c r="BB79" s="11"/>
      <c r="BC79" s="11"/>
      <c r="BD79" s="13"/>
      <c r="BE79" s="11" t="str">
        <f t="shared" si="13"/>
        <v>Sí</v>
      </c>
      <c r="BF79" s="22" t="str">
        <f t="shared" si="14"/>
        <v>JINAN 01</v>
      </c>
      <c r="BG79" s="11" t="s">
        <v>47</v>
      </c>
      <c r="BH79" s="11" t="str">
        <f t="shared" si="19"/>
        <v>Ejecutado</v>
      </c>
      <c r="BI79" s="12">
        <v>46092</v>
      </c>
      <c r="BJ79" s="68" t="s">
        <v>48</v>
      </c>
    </row>
    <row r="80" spans="1:62" ht="18" customHeight="1" x14ac:dyDescent="0.3">
      <c r="A80" s="150"/>
      <c r="B80" s="78" t="s">
        <v>57</v>
      </c>
      <c r="C80" s="12">
        <v>46099</v>
      </c>
      <c r="D80" s="20">
        <f t="shared" si="17"/>
        <v>20</v>
      </c>
      <c r="E80" s="174" t="str">
        <f t="shared" si="20"/>
        <v/>
      </c>
      <c r="F80" s="174"/>
      <c r="G80" s="174" t="str">
        <f t="shared" si="21"/>
        <v/>
      </c>
      <c r="H80" s="174"/>
      <c r="I80" s="174" t="str">
        <f t="shared" si="10"/>
        <v/>
      </c>
      <c r="J80" s="174"/>
      <c r="K80" s="174" t="s">
        <v>71</v>
      </c>
      <c r="L80" s="174"/>
      <c r="M80" s="174" t="str">
        <f t="shared" si="23"/>
        <v/>
      </c>
      <c r="N80" s="174"/>
      <c r="O80" s="173"/>
      <c r="P80" s="173"/>
      <c r="Q80" s="173"/>
      <c r="R80" s="173"/>
      <c r="S80" s="173"/>
      <c r="T80" s="173"/>
      <c r="U80" s="173"/>
      <c r="V80" s="173"/>
      <c r="W80" s="172"/>
      <c r="X80" s="172"/>
      <c r="Y80" s="172" t="str">
        <f t="shared" ref="Y80:Y87" si="24">IF(MOD(C80-$C$4,15)=0,8,"")</f>
        <v/>
      </c>
      <c r="Z80" s="172"/>
      <c r="AA80" s="174">
        <v>10</v>
      </c>
      <c r="AB80" s="174">
        <v>20</v>
      </c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4"/>
      <c r="AR80" s="174"/>
      <c r="AS80" s="174"/>
      <c r="AT80" s="174"/>
      <c r="AU80" s="174"/>
      <c r="AV80" s="174"/>
      <c r="AW80" s="174"/>
      <c r="AX80" s="191"/>
      <c r="AY80" s="11"/>
      <c r="AZ80" s="11"/>
      <c r="BA80" s="11"/>
      <c r="BB80" s="11"/>
      <c r="BC80" s="11"/>
      <c r="BD80" s="13"/>
      <c r="BE80" s="11" t="str">
        <f t="shared" si="13"/>
        <v>Sí</v>
      </c>
      <c r="BF80" s="22" t="str">
        <f t="shared" si="14"/>
        <v>JINAN 02</v>
      </c>
      <c r="BG80" s="11" t="s">
        <v>47</v>
      </c>
      <c r="BH80" s="11" t="str">
        <f t="shared" si="19"/>
        <v>Ejecutado</v>
      </c>
      <c r="BI80" s="12">
        <v>46099</v>
      </c>
      <c r="BJ80" s="68" t="s">
        <v>91</v>
      </c>
    </row>
    <row r="81" spans="1:62" ht="18" customHeight="1" x14ac:dyDescent="0.3">
      <c r="A81" s="150"/>
      <c r="B81" s="78" t="s">
        <v>46</v>
      </c>
      <c r="C81" s="12">
        <v>46100</v>
      </c>
      <c r="D81" s="20">
        <f t="shared" si="17"/>
        <v>20</v>
      </c>
      <c r="E81" s="174" t="str">
        <f t="shared" si="20"/>
        <v/>
      </c>
      <c r="F81" s="174"/>
      <c r="G81" s="174" t="str">
        <f t="shared" si="21"/>
        <v/>
      </c>
      <c r="H81" s="174"/>
      <c r="I81" s="174" t="str">
        <f t="shared" si="10"/>
        <v/>
      </c>
      <c r="J81" s="174"/>
      <c r="K81" s="174" t="s">
        <v>71</v>
      </c>
      <c r="L81" s="174"/>
      <c r="M81" s="174" t="str">
        <f t="shared" si="23"/>
        <v/>
      </c>
      <c r="N81" s="174"/>
      <c r="O81" s="173"/>
      <c r="P81" s="173"/>
      <c r="Q81" s="173"/>
      <c r="R81" s="173"/>
      <c r="S81" s="173"/>
      <c r="T81" s="173"/>
      <c r="U81" s="173"/>
      <c r="V81" s="173"/>
      <c r="W81" s="172"/>
      <c r="X81" s="172"/>
      <c r="Y81" s="172" t="str">
        <f t="shared" si="24"/>
        <v/>
      </c>
      <c r="Z81" s="172"/>
      <c r="AA81" s="172"/>
      <c r="AB81" s="172"/>
      <c r="AC81" s="174">
        <v>10</v>
      </c>
      <c r="AD81" s="174">
        <v>20</v>
      </c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4"/>
      <c r="AR81" s="174"/>
      <c r="AS81" s="174"/>
      <c r="AT81" s="174"/>
      <c r="AU81" s="174"/>
      <c r="AV81" s="174"/>
      <c r="AW81" s="174"/>
      <c r="AX81" s="191"/>
      <c r="AY81" s="11"/>
      <c r="AZ81" s="11"/>
      <c r="BA81" s="11"/>
      <c r="BB81" s="11"/>
      <c r="BC81" s="11"/>
      <c r="BD81" s="13"/>
      <c r="BE81" s="11" t="str">
        <f t="shared" si="13"/>
        <v>Sí</v>
      </c>
      <c r="BF81" s="22" t="str">
        <f t="shared" si="14"/>
        <v>JINAN 03/JN 10</v>
      </c>
      <c r="BG81" s="11" t="s">
        <v>84</v>
      </c>
      <c r="BH81" s="11" t="str">
        <f t="shared" si="19"/>
        <v>Programado pendiente</v>
      </c>
      <c r="BI81" s="12"/>
      <c r="BJ81" s="68" t="s">
        <v>92</v>
      </c>
    </row>
    <row r="82" spans="1:62" ht="18" customHeight="1" x14ac:dyDescent="0.3">
      <c r="A82" s="150"/>
      <c r="B82" s="78" t="s">
        <v>49</v>
      </c>
      <c r="C82" s="12">
        <v>46101</v>
      </c>
      <c r="D82" s="20">
        <f t="shared" si="17"/>
        <v>20</v>
      </c>
      <c r="E82" s="174" t="str">
        <f t="shared" si="20"/>
        <v/>
      </c>
      <c r="F82" s="174"/>
      <c r="G82" s="174" t="str">
        <f t="shared" si="21"/>
        <v/>
      </c>
      <c r="H82" s="174"/>
      <c r="I82" s="174" t="str">
        <f t="shared" si="10"/>
        <v/>
      </c>
      <c r="J82" s="174"/>
      <c r="K82" s="174" t="s">
        <v>71</v>
      </c>
      <c r="L82" s="174"/>
      <c r="M82" s="174" t="str">
        <f t="shared" si="23"/>
        <v/>
      </c>
      <c r="N82" s="174"/>
      <c r="O82" s="173"/>
      <c r="P82" s="173"/>
      <c r="Q82" s="173"/>
      <c r="R82" s="173"/>
      <c r="S82" s="203" t="s">
        <v>77</v>
      </c>
      <c r="T82" s="203" t="s">
        <v>77</v>
      </c>
      <c r="U82" s="173"/>
      <c r="V82" s="173"/>
      <c r="W82" s="172"/>
      <c r="X82" s="172"/>
      <c r="Y82" s="172" t="str">
        <f t="shared" si="24"/>
        <v/>
      </c>
      <c r="Z82" s="172"/>
      <c r="AA82" s="172"/>
      <c r="AB82" s="172"/>
      <c r="AC82" s="172"/>
      <c r="AD82" s="172"/>
      <c r="AE82" s="174">
        <v>10</v>
      </c>
      <c r="AF82" s="174">
        <v>20</v>
      </c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4"/>
      <c r="AR82" s="174"/>
      <c r="AS82" s="174"/>
      <c r="AT82" s="174"/>
      <c r="AU82" s="174"/>
      <c r="AV82" s="174"/>
      <c r="AW82" s="174"/>
      <c r="AX82" s="191"/>
      <c r="AY82" s="11"/>
      <c r="AZ82" s="11"/>
      <c r="BA82" s="11"/>
      <c r="BB82" s="11"/>
      <c r="BC82" s="11"/>
      <c r="BD82" s="13"/>
      <c r="BE82" s="11" t="str">
        <f t="shared" si="13"/>
        <v>Sí</v>
      </c>
      <c r="BF82" s="22" t="str">
        <f t="shared" si="14"/>
        <v>G 102 I</v>
      </c>
      <c r="BG82" s="11"/>
      <c r="BH82" s="11" t="str">
        <f t="shared" si="19"/>
        <v>Programado pendiente</v>
      </c>
      <c r="BI82" s="12"/>
      <c r="BJ82" s="68"/>
    </row>
    <row r="83" spans="1:62" ht="18" customHeight="1" x14ac:dyDescent="0.3">
      <c r="A83" s="150"/>
      <c r="B83" s="78" t="s">
        <v>50</v>
      </c>
      <c r="C83" s="12">
        <v>46102</v>
      </c>
      <c r="D83" s="20">
        <f t="shared" si="17"/>
        <v>20</v>
      </c>
      <c r="E83" s="174" t="str">
        <f t="shared" si="20"/>
        <v/>
      </c>
      <c r="F83" s="174"/>
      <c r="G83" s="174" t="str">
        <f t="shared" si="21"/>
        <v/>
      </c>
      <c r="H83" s="174"/>
      <c r="I83" s="174" t="str">
        <f t="shared" si="10"/>
        <v/>
      </c>
      <c r="J83" s="174"/>
      <c r="K83" s="174" t="s">
        <v>71</v>
      </c>
      <c r="L83" s="174"/>
      <c r="M83" s="174" t="str">
        <f t="shared" si="23"/>
        <v/>
      </c>
      <c r="N83" s="174"/>
      <c r="O83" s="173"/>
      <c r="P83" s="173"/>
      <c r="Q83" s="173"/>
      <c r="R83" s="173"/>
      <c r="S83" s="172"/>
      <c r="T83" s="172"/>
      <c r="U83" s="173"/>
      <c r="V83" s="173"/>
      <c r="W83" s="172"/>
      <c r="X83" s="172"/>
      <c r="Y83" s="172" t="str">
        <f t="shared" si="24"/>
        <v/>
      </c>
      <c r="Z83" s="172"/>
      <c r="AA83" s="172"/>
      <c r="AB83" s="172"/>
      <c r="AC83" s="172"/>
      <c r="AD83" s="172"/>
      <c r="AE83" s="172"/>
      <c r="AF83" s="172"/>
      <c r="AG83" s="174">
        <v>10</v>
      </c>
      <c r="AH83" s="174">
        <v>20</v>
      </c>
      <c r="AI83" s="172"/>
      <c r="AJ83" s="172"/>
      <c r="AK83" s="172"/>
      <c r="AL83" s="172"/>
      <c r="AM83" s="172"/>
      <c r="AN83" s="172"/>
      <c r="AO83" s="172"/>
      <c r="AP83" s="172"/>
      <c r="AQ83" s="174"/>
      <c r="AR83" s="174"/>
      <c r="AS83" s="174"/>
      <c r="AT83" s="174"/>
      <c r="AU83" s="174"/>
      <c r="AV83" s="174"/>
      <c r="AW83" s="174"/>
      <c r="AX83" s="191"/>
      <c r="AY83" s="11"/>
      <c r="AZ83" s="11"/>
      <c r="BA83" s="11"/>
      <c r="BB83" s="11"/>
      <c r="BC83" s="11"/>
      <c r="BD83" s="13"/>
      <c r="BE83" s="11" t="str">
        <f t="shared" si="13"/>
        <v>Sí</v>
      </c>
      <c r="BF83" s="22" t="str">
        <f t="shared" si="14"/>
        <v>G 102 E</v>
      </c>
      <c r="BG83" s="11"/>
      <c r="BH83" s="11" t="str">
        <f t="shared" si="19"/>
        <v>Programado pendiente</v>
      </c>
      <c r="BI83" s="12"/>
      <c r="BJ83" s="68"/>
    </row>
    <row r="84" spans="1:62" ht="18" customHeight="1" x14ac:dyDescent="0.3">
      <c r="A84" s="150"/>
      <c r="B84" s="78" t="s">
        <v>52</v>
      </c>
      <c r="C84" s="12">
        <v>46103</v>
      </c>
      <c r="D84" s="20">
        <f t="shared" si="17"/>
        <v>20</v>
      </c>
      <c r="E84" s="174" t="str">
        <f t="shared" si="20"/>
        <v/>
      </c>
      <c r="F84" s="174"/>
      <c r="G84" s="174" t="str">
        <f t="shared" si="21"/>
        <v/>
      </c>
      <c r="H84" s="174"/>
      <c r="I84" s="174" t="str">
        <f t="shared" si="10"/>
        <v/>
      </c>
      <c r="J84" s="174"/>
      <c r="K84" s="174" t="s">
        <v>71</v>
      </c>
      <c r="L84" s="174"/>
      <c r="M84" s="174" t="str">
        <f t="shared" si="23"/>
        <v/>
      </c>
      <c r="N84" s="174"/>
      <c r="O84" s="173"/>
      <c r="P84" s="173"/>
      <c r="Q84" s="173"/>
      <c r="R84" s="173"/>
      <c r="S84" s="172"/>
      <c r="T84" s="172"/>
      <c r="U84" s="173"/>
      <c r="V84" s="173"/>
      <c r="W84" s="172"/>
      <c r="X84" s="172"/>
      <c r="Y84" s="172" t="str">
        <f t="shared" si="24"/>
        <v/>
      </c>
      <c r="Z84" s="172"/>
      <c r="AA84" s="172"/>
      <c r="AB84" s="172"/>
      <c r="AC84" s="172"/>
      <c r="AD84" s="172"/>
      <c r="AE84" s="172"/>
      <c r="AF84" s="172"/>
      <c r="AG84" s="172"/>
      <c r="AH84" s="172"/>
      <c r="AI84" s="174">
        <v>10</v>
      </c>
      <c r="AJ84" s="174">
        <v>20</v>
      </c>
      <c r="AK84" s="172"/>
      <c r="AL84" s="172"/>
      <c r="AM84" s="172"/>
      <c r="AN84" s="172"/>
      <c r="AO84" s="172"/>
      <c r="AP84" s="172"/>
      <c r="AQ84" s="174"/>
      <c r="AR84" s="174"/>
      <c r="AS84" s="174"/>
      <c r="AT84" s="174"/>
      <c r="AU84" s="174"/>
      <c r="AV84" s="174"/>
      <c r="AW84" s="174"/>
      <c r="AX84" s="191"/>
      <c r="AY84" s="11"/>
      <c r="AZ84" s="11"/>
      <c r="BA84" s="11"/>
      <c r="BB84" s="11"/>
      <c r="BC84" s="11"/>
      <c r="BD84" s="13"/>
      <c r="BE84" s="11" t="str">
        <f t="shared" si="13"/>
        <v>Sí</v>
      </c>
      <c r="BF84" s="22" t="str">
        <f t="shared" si="14"/>
        <v>G 102 A</v>
      </c>
      <c r="BG84" s="11" t="s">
        <v>47</v>
      </c>
      <c r="BH84" s="11" t="str">
        <f t="shared" si="19"/>
        <v>Ejecutado</v>
      </c>
      <c r="BI84" s="12">
        <f>C84</f>
        <v>46103</v>
      </c>
      <c r="BJ84" s="68"/>
    </row>
    <row r="85" spans="1:62" ht="18" customHeight="1" x14ac:dyDescent="0.3">
      <c r="A85" s="150"/>
      <c r="B85" s="78" t="s">
        <v>54</v>
      </c>
      <c r="C85" s="12">
        <v>46104</v>
      </c>
      <c r="D85" s="20">
        <f t="shared" si="17"/>
        <v>20</v>
      </c>
      <c r="E85" s="174" t="str">
        <f t="shared" si="20"/>
        <v/>
      </c>
      <c r="F85" s="174"/>
      <c r="G85" s="174" t="str">
        <f t="shared" si="21"/>
        <v/>
      </c>
      <c r="H85" s="174"/>
      <c r="I85" s="174" t="str">
        <f t="shared" si="10"/>
        <v/>
      </c>
      <c r="J85" s="174"/>
      <c r="K85" s="174" t="s">
        <v>71</v>
      </c>
      <c r="L85" s="174"/>
      <c r="M85" s="174" t="str">
        <f t="shared" si="23"/>
        <v/>
      </c>
      <c r="N85" s="174"/>
      <c r="O85" s="173"/>
      <c r="P85" s="173"/>
      <c r="Q85" s="173"/>
      <c r="R85" s="173"/>
      <c r="S85" s="172"/>
      <c r="T85" s="172"/>
      <c r="U85" s="173"/>
      <c r="V85" s="173"/>
      <c r="W85" s="172"/>
      <c r="X85" s="172"/>
      <c r="Y85" s="172" t="str">
        <f t="shared" si="24"/>
        <v/>
      </c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4">
        <v>10</v>
      </c>
      <c r="AL85" s="174">
        <v>20</v>
      </c>
      <c r="AM85" s="172"/>
      <c r="AN85" s="172"/>
      <c r="AO85" s="172"/>
      <c r="AP85" s="172"/>
      <c r="AQ85" s="174"/>
      <c r="AR85" s="174"/>
      <c r="AS85" s="174"/>
      <c r="AT85" s="174"/>
      <c r="AU85" s="174"/>
      <c r="AV85" s="174"/>
      <c r="AW85" s="174"/>
      <c r="AX85" s="191"/>
      <c r="AY85" s="11"/>
      <c r="AZ85" s="11"/>
      <c r="BA85" s="11"/>
      <c r="BB85" s="11"/>
      <c r="BC85" s="11"/>
      <c r="BD85" s="13"/>
      <c r="BE85" s="11" t="str">
        <f t="shared" si="13"/>
        <v>Sí</v>
      </c>
      <c r="BF85" s="22" t="str">
        <f t="shared" si="14"/>
        <v>G 101 V</v>
      </c>
      <c r="BG85" s="11"/>
      <c r="BH85" s="11" t="str">
        <f t="shared" si="19"/>
        <v>Programado pendiente</v>
      </c>
      <c r="BI85" s="12"/>
      <c r="BJ85" s="68"/>
    </row>
    <row r="86" spans="1:62" ht="18" customHeight="1" x14ac:dyDescent="0.3">
      <c r="A86" s="150"/>
      <c r="B86" s="78" t="s">
        <v>56</v>
      </c>
      <c r="C86" s="12">
        <v>46105</v>
      </c>
      <c r="D86" s="20">
        <f t="shared" si="17"/>
        <v>20</v>
      </c>
      <c r="E86" s="174" t="str">
        <f t="shared" si="20"/>
        <v/>
      </c>
      <c r="F86" s="174"/>
      <c r="G86" s="174" t="str">
        <f t="shared" si="21"/>
        <v/>
      </c>
      <c r="H86" s="174"/>
      <c r="I86" s="174" t="str">
        <f t="shared" si="10"/>
        <v/>
      </c>
      <c r="J86" s="174"/>
      <c r="K86" s="174" t="s">
        <v>71</v>
      </c>
      <c r="L86" s="174"/>
      <c r="M86" s="174" t="str">
        <f t="shared" si="23"/>
        <v/>
      </c>
      <c r="N86" s="174"/>
      <c r="O86" s="173"/>
      <c r="P86" s="173"/>
      <c r="Q86" s="173"/>
      <c r="R86" s="173"/>
      <c r="S86" s="172"/>
      <c r="T86" s="172"/>
      <c r="U86" s="173"/>
      <c r="V86" s="173"/>
      <c r="W86" s="172"/>
      <c r="X86" s="172"/>
      <c r="Y86" s="172" t="str">
        <f t="shared" si="24"/>
        <v/>
      </c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4">
        <v>10</v>
      </c>
      <c r="AN86" s="174">
        <v>20</v>
      </c>
      <c r="AO86" s="172"/>
      <c r="AP86" s="172"/>
      <c r="AQ86" s="174"/>
      <c r="AR86" s="174"/>
      <c r="AS86" s="174"/>
      <c r="AT86" s="174"/>
      <c r="AU86" s="174"/>
      <c r="AV86" s="174"/>
      <c r="AW86" s="174"/>
      <c r="AX86" s="191"/>
      <c r="AY86" s="11"/>
      <c r="AZ86" s="11"/>
      <c r="BA86" s="11"/>
      <c r="BB86" s="11"/>
      <c r="BC86" s="11"/>
      <c r="BD86" s="13"/>
      <c r="BE86" s="11" t="str">
        <f t="shared" si="13"/>
        <v>Sí</v>
      </c>
      <c r="BF86" s="22" t="str">
        <f t="shared" si="14"/>
        <v>G102 J</v>
      </c>
      <c r="BG86" s="11"/>
      <c r="BH86" s="11" t="str">
        <f t="shared" si="19"/>
        <v>Programado pendiente</v>
      </c>
      <c r="BI86" s="12"/>
      <c r="BJ86" s="68"/>
    </row>
    <row r="87" spans="1:62" ht="18" customHeight="1" x14ac:dyDescent="0.3">
      <c r="A87" s="150"/>
      <c r="B87" s="78" t="s">
        <v>57</v>
      </c>
      <c r="C87" s="12">
        <v>46106</v>
      </c>
      <c r="D87" s="20">
        <f t="shared" si="17"/>
        <v>20</v>
      </c>
      <c r="E87" s="174" t="str">
        <f t="shared" si="20"/>
        <v/>
      </c>
      <c r="F87" s="174"/>
      <c r="G87" s="174" t="str">
        <f t="shared" si="21"/>
        <v/>
      </c>
      <c r="H87" s="174"/>
      <c r="I87" s="174" t="str">
        <f t="shared" si="10"/>
        <v/>
      </c>
      <c r="J87" s="174"/>
      <c r="K87" s="174" t="s">
        <v>71</v>
      </c>
      <c r="L87" s="174"/>
      <c r="M87" s="174" t="str">
        <f t="shared" si="23"/>
        <v/>
      </c>
      <c r="N87" s="174"/>
      <c r="O87" s="173"/>
      <c r="P87" s="173"/>
      <c r="Q87" s="173"/>
      <c r="R87" s="173"/>
      <c r="S87" s="172"/>
      <c r="T87" s="172"/>
      <c r="U87" s="173"/>
      <c r="V87" s="173"/>
      <c r="W87" s="172"/>
      <c r="X87" s="172"/>
      <c r="Y87" s="172" t="str">
        <f t="shared" si="24"/>
        <v/>
      </c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4">
        <v>10</v>
      </c>
      <c r="AP87" s="174">
        <v>20</v>
      </c>
      <c r="AQ87" s="174"/>
      <c r="AR87" s="174"/>
      <c r="AS87" s="174"/>
      <c r="AT87" s="174"/>
      <c r="AU87" s="174"/>
      <c r="AV87" s="174"/>
      <c r="AW87" s="174"/>
      <c r="AX87" s="191"/>
      <c r="AY87" s="11"/>
      <c r="AZ87" s="11"/>
      <c r="BA87" s="11"/>
      <c r="BB87" s="11"/>
      <c r="BC87" s="11"/>
      <c r="BD87" s="13"/>
      <c r="BE87" s="11" t="str">
        <f t="shared" si="13"/>
        <v>Sí</v>
      </c>
      <c r="BF87" s="22" t="str">
        <f t="shared" si="14"/>
        <v>G102K</v>
      </c>
      <c r="BG87" s="11"/>
      <c r="BH87" s="11" t="str">
        <f t="shared" si="19"/>
        <v>Programado pendiente</v>
      </c>
      <c r="BI87" s="12"/>
      <c r="BJ87" s="68"/>
    </row>
    <row r="88" spans="1:62" ht="18" customHeight="1" x14ac:dyDescent="0.3">
      <c r="A88" s="150"/>
      <c r="B88" s="78" t="s">
        <v>46</v>
      </c>
      <c r="C88" s="12">
        <v>46107</v>
      </c>
      <c r="D88" s="20">
        <f t="shared" si="17"/>
        <v>20</v>
      </c>
      <c r="E88" s="193">
        <v>10</v>
      </c>
      <c r="F88" s="174">
        <v>20</v>
      </c>
      <c r="G88" s="174" t="str">
        <f t="shared" si="21"/>
        <v/>
      </c>
      <c r="H88" s="174"/>
      <c r="I88" s="174" t="str">
        <f t="shared" si="10"/>
        <v/>
      </c>
      <c r="J88" s="174"/>
      <c r="K88" s="174" t="s">
        <v>71</v>
      </c>
      <c r="L88" s="174"/>
      <c r="M88" s="174" t="str">
        <f t="shared" si="23"/>
        <v/>
      </c>
      <c r="N88" s="174"/>
      <c r="O88" s="173"/>
      <c r="P88" s="173"/>
      <c r="Q88" s="173"/>
      <c r="R88" s="173"/>
      <c r="S88" s="172"/>
      <c r="T88" s="172"/>
      <c r="U88" s="173"/>
      <c r="V88" s="173"/>
      <c r="W88" s="172"/>
      <c r="X88" s="172"/>
      <c r="Y88" s="174" t="str">
        <f t="shared" si="22"/>
        <v/>
      </c>
      <c r="Z88" s="174"/>
      <c r="AA88" s="174"/>
      <c r="AB88" s="174"/>
      <c r="AC88" s="172"/>
      <c r="AD88" s="172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/>
      <c r="AU88" s="174"/>
      <c r="AV88" s="174"/>
      <c r="AW88" s="174"/>
      <c r="AX88" s="191"/>
      <c r="AY88" s="11"/>
      <c r="AZ88" s="11"/>
      <c r="BA88" s="11"/>
      <c r="BB88" s="11"/>
      <c r="BC88" s="11"/>
      <c r="BD88" s="13"/>
      <c r="BE88" s="11" t="str">
        <f t="shared" si="13"/>
        <v>Sí</v>
      </c>
      <c r="BF88" s="22" t="str">
        <f t="shared" si="14"/>
        <v xml:space="preserve">CPW02
</v>
      </c>
      <c r="BG88" s="11" t="s">
        <v>47</v>
      </c>
      <c r="BH88" s="11" t="str">
        <f t="shared" si="19"/>
        <v>Ejecutado</v>
      </c>
      <c r="BI88" s="12">
        <v>46107</v>
      </c>
      <c r="BJ88" s="68" t="s">
        <v>48</v>
      </c>
    </row>
    <row r="89" spans="1:62" ht="18" customHeight="1" x14ac:dyDescent="0.3">
      <c r="A89" s="150"/>
      <c r="B89" s="78" t="s">
        <v>49</v>
      </c>
      <c r="C89" s="12">
        <v>46108</v>
      </c>
      <c r="D89" s="20">
        <f t="shared" si="17"/>
        <v>0</v>
      </c>
      <c r="E89" s="174" t="str">
        <f t="shared" si="20"/>
        <v/>
      </c>
      <c r="F89" s="174"/>
      <c r="G89" s="174" t="str">
        <f t="shared" si="21"/>
        <v/>
      </c>
      <c r="H89" s="174"/>
      <c r="I89" s="174" t="str">
        <f t="shared" si="10"/>
        <v/>
      </c>
      <c r="J89" s="174"/>
      <c r="K89" s="174" t="s">
        <v>71</v>
      </c>
      <c r="L89" s="174"/>
      <c r="M89" s="174" t="str">
        <f t="shared" si="23"/>
        <v/>
      </c>
      <c r="N89" s="174"/>
      <c r="O89" s="173"/>
      <c r="P89" s="173"/>
      <c r="Q89" s="173"/>
      <c r="R89" s="173"/>
      <c r="S89" s="172"/>
      <c r="T89" s="172"/>
      <c r="U89" s="173"/>
      <c r="V89" s="173"/>
      <c r="W89" s="172"/>
      <c r="X89" s="172"/>
      <c r="Y89" s="174" t="str">
        <f t="shared" si="22"/>
        <v/>
      </c>
      <c r="Z89" s="174"/>
      <c r="AA89" s="174"/>
      <c r="AB89" s="174"/>
      <c r="AC89" s="172"/>
      <c r="AD89" s="172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91"/>
      <c r="AY89" s="11"/>
      <c r="AZ89" s="11"/>
      <c r="BA89" s="11"/>
      <c r="BB89" s="11"/>
      <c r="BC89" s="11"/>
      <c r="BD89" s="13"/>
      <c r="BE89" s="11" t="str">
        <f t="shared" si="13"/>
        <v>No</v>
      </c>
      <c r="BF89" s="22" t="str">
        <f t="shared" si="14"/>
        <v/>
      </c>
      <c r="BG89" s="11"/>
      <c r="BH89" s="11" t="str">
        <f t="shared" si="19"/>
        <v>No aplica</v>
      </c>
      <c r="BI89" s="12"/>
      <c r="BJ89" s="68"/>
    </row>
    <row r="90" spans="1:62" ht="18" customHeight="1" x14ac:dyDescent="0.3">
      <c r="A90" s="150"/>
      <c r="B90" s="78" t="s">
        <v>50</v>
      </c>
      <c r="C90" s="12">
        <v>46109</v>
      </c>
      <c r="D90" s="20">
        <f t="shared" si="17"/>
        <v>0</v>
      </c>
      <c r="E90" s="174" t="str">
        <f t="shared" si="20"/>
        <v/>
      </c>
      <c r="F90" s="174"/>
      <c r="G90" s="174" t="str">
        <f t="shared" si="21"/>
        <v/>
      </c>
      <c r="H90" s="174"/>
      <c r="I90" s="174" t="str">
        <f t="shared" si="10"/>
        <v/>
      </c>
      <c r="J90" s="174"/>
      <c r="K90" s="174" t="s">
        <v>71</v>
      </c>
      <c r="L90" s="174"/>
      <c r="M90" s="174" t="str">
        <f t="shared" si="23"/>
        <v/>
      </c>
      <c r="N90" s="174"/>
      <c r="O90" s="173"/>
      <c r="P90" s="173"/>
      <c r="Q90" s="173"/>
      <c r="R90" s="173"/>
      <c r="S90" s="172"/>
      <c r="T90" s="172"/>
      <c r="U90" s="173"/>
      <c r="V90" s="173"/>
      <c r="W90" s="172"/>
      <c r="X90" s="172"/>
      <c r="Y90" s="174" t="str">
        <f t="shared" si="22"/>
        <v/>
      </c>
      <c r="Z90" s="174"/>
      <c r="AA90" s="174"/>
      <c r="AB90" s="174"/>
      <c r="AC90" s="172"/>
      <c r="AD90" s="172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91"/>
      <c r="AY90" s="11"/>
      <c r="AZ90" s="11"/>
      <c r="BA90" s="11"/>
      <c r="BB90" s="11"/>
      <c r="BC90" s="11"/>
      <c r="BD90" s="13"/>
      <c r="BE90" s="11" t="str">
        <f t="shared" si="13"/>
        <v>No</v>
      </c>
      <c r="BF90" s="22" t="str">
        <f t="shared" si="14"/>
        <v/>
      </c>
      <c r="BG90" s="11"/>
      <c r="BH90" s="11" t="str">
        <f t="shared" si="19"/>
        <v>No aplica</v>
      </c>
      <c r="BI90" s="12"/>
      <c r="BJ90" s="68"/>
    </row>
    <row r="91" spans="1:62" ht="18" customHeight="1" x14ac:dyDescent="0.3">
      <c r="A91" s="150"/>
      <c r="B91" s="78" t="s">
        <v>52</v>
      </c>
      <c r="C91" s="12">
        <v>46110</v>
      </c>
      <c r="D91" s="20">
        <f t="shared" si="17"/>
        <v>0</v>
      </c>
      <c r="E91" s="174" t="str">
        <f t="shared" si="20"/>
        <v/>
      </c>
      <c r="F91" s="174"/>
      <c r="G91" s="174" t="str">
        <f t="shared" si="21"/>
        <v/>
      </c>
      <c r="H91" s="174"/>
      <c r="I91" s="174" t="str">
        <f t="shared" si="10"/>
        <v/>
      </c>
      <c r="J91" s="174"/>
      <c r="K91" s="174" t="s">
        <v>71</v>
      </c>
      <c r="L91" s="174"/>
      <c r="M91" s="174" t="str">
        <f t="shared" si="23"/>
        <v/>
      </c>
      <c r="N91" s="174"/>
      <c r="O91" s="173"/>
      <c r="P91" s="173"/>
      <c r="Q91" s="173"/>
      <c r="R91" s="173"/>
      <c r="S91" s="172"/>
      <c r="T91" s="172"/>
      <c r="U91" s="173"/>
      <c r="V91" s="173"/>
      <c r="W91" s="172"/>
      <c r="X91" s="172"/>
      <c r="Y91" s="174" t="str">
        <f t="shared" si="22"/>
        <v/>
      </c>
      <c r="Z91" s="174"/>
      <c r="AA91" s="174"/>
      <c r="AB91" s="174"/>
      <c r="AC91" s="172"/>
      <c r="AD91" s="172"/>
      <c r="AE91" s="174"/>
      <c r="AF91" s="174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  <c r="AS91" s="174"/>
      <c r="AT91" s="174"/>
      <c r="AU91" s="174"/>
      <c r="AV91" s="174"/>
      <c r="AW91" s="174"/>
      <c r="AX91" s="191"/>
      <c r="AY91" s="11"/>
      <c r="AZ91" s="11"/>
      <c r="BA91" s="11"/>
      <c r="BB91" s="11"/>
      <c r="BC91" s="11"/>
      <c r="BD91" s="13"/>
      <c r="BE91" s="11" t="str">
        <f t="shared" si="13"/>
        <v>No</v>
      </c>
      <c r="BF91" s="22" t="str">
        <f t="shared" si="14"/>
        <v/>
      </c>
      <c r="BG91" s="11"/>
      <c r="BH91" s="11" t="str">
        <f t="shared" si="19"/>
        <v>No aplica</v>
      </c>
      <c r="BI91" s="12"/>
      <c r="BJ91" s="68"/>
    </row>
    <row r="92" spans="1:62" ht="18" customHeight="1" x14ac:dyDescent="0.3">
      <c r="A92" s="150"/>
      <c r="B92" s="78" t="s">
        <v>54</v>
      </c>
      <c r="C92" s="12">
        <v>46111</v>
      </c>
      <c r="D92" s="20">
        <f t="shared" si="17"/>
        <v>0</v>
      </c>
      <c r="E92" s="174" t="str">
        <f t="shared" si="20"/>
        <v/>
      </c>
      <c r="F92" s="174"/>
      <c r="G92" s="174" t="str">
        <f t="shared" si="21"/>
        <v/>
      </c>
      <c r="H92" s="174"/>
      <c r="I92" s="174" t="str">
        <f t="shared" si="10"/>
        <v/>
      </c>
      <c r="J92" s="174"/>
      <c r="K92" s="174" t="s">
        <v>71</v>
      </c>
      <c r="L92" s="174"/>
      <c r="M92" s="174" t="str">
        <f t="shared" si="23"/>
        <v/>
      </c>
      <c r="N92" s="174"/>
      <c r="O92" s="173"/>
      <c r="P92" s="173"/>
      <c r="Q92" s="173"/>
      <c r="R92" s="173"/>
      <c r="S92" s="172"/>
      <c r="T92" s="172"/>
      <c r="U92" s="173"/>
      <c r="V92" s="173"/>
      <c r="W92" s="172"/>
      <c r="X92" s="172"/>
      <c r="Y92" s="174" t="str">
        <f t="shared" si="22"/>
        <v/>
      </c>
      <c r="Z92" s="174"/>
      <c r="AA92" s="174"/>
      <c r="AB92" s="174"/>
      <c r="AC92" s="172"/>
      <c r="AD92" s="172"/>
      <c r="AE92" s="174"/>
      <c r="AF92" s="174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  <c r="AS92" s="174"/>
      <c r="AT92" s="174"/>
      <c r="AU92" s="174"/>
      <c r="AV92" s="174"/>
      <c r="AW92" s="174"/>
      <c r="AX92" s="191"/>
      <c r="AY92" s="11"/>
      <c r="AZ92" s="11"/>
      <c r="BA92" s="11"/>
      <c r="BB92" s="11"/>
      <c r="BC92" s="11"/>
      <c r="BD92" s="13"/>
      <c r="BE92" s="11" t="str">
        <f t="shared" si="13"/>
        <v>No</v>
      </c>
      <c r="BF92" s="22" t="str">
        <f t="shared" si="14"/>
        <v/>
      </c>
      <c r="BG92" s="11"/>
      <c r="BH92" s="11" t="str">
        <f t="shared" si="19"/>
        <v>No aplica</v>
      </c>
      <c r="BI92" s="12"/>
      <c r="BJ92" s="68"/>
    </row>
    <row r="93" spans="1:62" ht="18" customHeight="1" thickBot="1" x14ac:dyDescent="0.35">
      <c r="A93" s="151"/>
      <c r="B93" s="53" t="s">
        <v>56</v>
      </c>
      <c r="C93" s="30">
        <v>46112</v>
      </c>
      <c r="D93" s="31">
        <f t="shared" si="17"/>
        <v>0</v>
      </c>
      <c r="E93" s="182" t="str">
        <f t="shared" si="20"/>
        <v/>
      </c>
      <c r="F93" s="182"/>
      <c r="G93" s="182" t="str">
        <f t="shared" si="21"/>
        <v/>
      </c>
      <c r="H93" s="182"/>
      <c r="I93" s="182" t="str">
        <f t="shared" ref="I93:I111" si="25">IF(MOD(C95-$C$30,42)=0,8,"")</f>
        <v/>
      </c>
      <c r="J93" s="182"/>
      <c r="K93" s="182" t="s">
        <v>71</v>
      </c>
      <c r="L93" s="182"/>
      <c r="M93" s="182" t="str">
        <f t="shared" si="23"/>
        <v/>
      </c>
      <c r="N93" s="182"/>
      <c r="O93" s="181"/>
      <c r="P93" s="181"/>
      <c r="Q93" s="181"/>
      <c r="R93" s="181"/>
      <c r="S93" s="179"/>
      <c r="T93" s="179"/>
      <c r="U93" s="181"/>
      <c r="V93" s="181"/>
      <c r="W93" s="179"/>
      <c r="X93" s="179"/>
      <c r="Y93" s="182" t="str">
        <f t="shared" si="22"/>
        <v/>
      </c>
      <c r="Z93" s="182"/>
      <c r="AA93" s="182"/>
      <c r="AB93" s="182"/>
      <c r="AC93" s="179"/>
      <c r="AD93" s="179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99"/>
      <c r="AY93" s="70"/>
      <c r="AZ93" s="70"/>
      <c r="BA93" s="70"/>
      <c r="BB93" s="70"/>
      <c r="BC93" s="70"/>
      <c r="BD93" s="71"/>
      <c r="BE93" s="70" t="str">
        <f t="shared" si="13"/>
        <v>No</v>
      </c>
      <c r="BF93" s="72" t="str">
        <f t="shared" si="14"/>
        <v/>
      </c>
      <c r="BG93" s="70"/>
      <c r="BH93" s="70" t="str">
        <f t="shared" si="19"/>
        <v>No aplica</v>
      </c>
      <c r="BI93" s="30"/>
      <c r="BJ93" s="73"/>
    </row>
    <row r="94" spans="1:62" ht="18" customHeight="1" x14ac:dyDescent="0.3">
      <c r="A94" s="148" t="s">
        <v>58</v>
      </c>
      <c r="B94" s="48" t="s">
        <v>93</v>
      </c>
      <c r="C94" s="15">
        <v>46113</v>
      </c>
      <c r="D94" s="27">
        <f t="shared" si="17"/>
        <v>20</v>
      </c>
      <c r="E94" s="170" t="str">
        <f t="shared" si="20"/>
        <v/>
      </c>
      <c r="F94" s="170"/>
      <c r="G94" s="170" t="str">
        <f t="shared" si="21"/>
        <v/>
      </c>
      <c r="H94" s="170"/>
      <c r="I94" s="170" t="str">
        <f t="shared" si="25"/>
        <v/>
      </c>
      <c r="J94" s="170"/>
      <c r="K94" s="170" t="s">
        <v>71</v>
      </c>
      <c r="L94" s="170"/>
      <c r="M94" s="170" t="str">
        <f t="shared" si="23"/>
        <v/>
      </c>
      <c r="N94" s="170"/>
      <c r="O94" s="169"/>
      <c r="P94" s="169"/>
      <c r="Q94" s="169"/>
      <c r="R94" s="169"/>
      <c r="S94" s="168"/>
      <c r="T94" s="168"/>
      <c r="U94" s="169"/>
      <c r="V94" s="169"/>
      <c r="W94" s="168"/>
      <c r="X94" s="168"/>
      <c r="Y94" s="170">
        <v>10</v>
      </c>
      <c r="Z94" s="170">
        <v>20</v>
      </c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70"/>
      <c r="AR94" s="170"/>
      <c r="AS94" s="170"/>
      <c r="AT94" s="170"/>
      <c r="AU94" s="170"/>
      <c r="AV94" s="170"/>
      <c r="AW94" s="170"/>
      <c r="AX94" s="201"/>
      <c r="AY94" s="14"/>
      <c r="AZ94" s="14"/>
      <c r="BA94" s="14"/>
      <c r="BB94" s="14"/>
      <c r="BC94" s="14"/>
      <c r="BD94" s="65"/>
      <c r="BE94" s="14" t="str">
        <f t="shared" si="13"/>
        <v>Sí</v>
      </c>
      <c r="BF94" s="21" t="str">
        <f t="shared" si="14"/>
        <v>JINAN 01</v>
      </c>
      <c r="BG94" s="14" t="s">
        <v>47</v>
      </c>
      <c r="BH94" s="14" t="str">
        <f t="shared" si="19"/>
        <v>Ejecutado</v>
      </c>
      <c r="BI94" s="15">
        <v>46111</v>
      </c>
      <c r="BJ94" s="66" t="s">
        <v>48</v>
      </c>
    </row>
    <row r="95" spans="1:62" ht="18" customHeight="1" x14ac:dyDescent="0.3">
      <c r="A95" s="150"/>
      <c r="B95" s="78" t="s">
        <v>94</v>
      </c>
      <c r="C95" s="12">
        <v>46114</v>
      </c>
      <c r="D95" s="20">
        <f t="shared" si="17"/>
        <v>20</v>
      </c>
      <c r="E95" s="174" t="str">
        <f t="shared" si="20"/>
        <v/>
      </c>
      <c r="F95" s="174"/>
      <c r="G95" s="174" t="str">
        <f t="shared" ref="G95:G113" si="26">IF(MOD(C95-$C$30,42)=0,8,"")</f>
        <v/>
      </c>
      <c r="H95" s="174"/>
      <c r="I95" s="174" t="str">
        <f t="shared" si="25"/>
        <v/>
      </c>
      <c r="J95" s="174"/>
      <c r="K95" s="174" t="s">
        <v>71</v>
      </c>
      <c r="L95" s="174"/>
      <c r="M95" s="174" t="str">
        <f t="shared" si="23"/>
        <v/>
      </c>
      <c r="N95" s="174"/>
      <c r="O95" s="173"/>
      <c r="P95" s="173"/>
      <c r="Q95" s="173"/>
      <c r="R95" s="173"/>
      <c r="S95" s="172"/>
      <c r="T95" s="172"/>
      <c r="U95" s="173"/>
      <c r="V95" s="173"/>
      <c r="W95" s="172"/>
      <c r="X95" s="172"/>
      <c r="Y95" s="172" t="str">
        <f t="shared" ref="Y95:Y102" si="27">IF(MOD(C95-$C$4,15)=0,8,"")</f>
        <v/>
      </c>
      <c r="Z95" s="172"/>
      <c r="AA95" s="174">
        <v>10</v>
      </c>
      <c r="AB95" s="174">
        <v>20</v>
      </c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4"/>
      <c r="AR95" s="174"/>
      <c r="AS95" s="174"/>
      <c r="AT95" s="174"/>
      <c r="AU95" s="174"/>
      <c r="AV95" s="174"/>
      <c r="AW95" s="174"/>
      <c r="AX95" s="191"/>
      <c r="AY95" s="11"/>
      <c r="AZ95" s="11"/>
      <c r="BA95" s="11"/>
      <c r="BB95" s="11"/>
      <c r="BC95" s="11"/>
      <c r="BD95" s="13"/>
      <c r="BE95" s="11" t="str">
        <f t="shared" si="13"/>
        <v>Sí</v>
      </c>
      <c r="BF95" s="22" t="str">
        <f t="shared" si="14"/>
        <v>JINAN 02</v>
      </c>
      <c r="BG95" s="11" t="s">
        <v>47</v>
      </c>
      <c r="BH95" s="11" t="str">
        <f t="shared" si="19"/>
        <v>Ejecutado</v>
      </c>
      <c r="BI95" s="12">
        <v>46113</v>
      </c>
      <c r="BJ95" s="68" t="s">
        <v>48</v>
      </c>
    </row>
    <row r="96" spans="1:62" ht="30.6" customHeight="1" x14ac:dyDescent="0.3">
      <c r="A96" s="150"/>
      <c r="B96" s="78" t="s">
        <v>95</v>
      </c>
      <c r="C96" s="12">
        <v>46115</v>
      </c>
      <c r="D96" s="20">
        <f t="shared" si="17"/>
        <v>20</v>
      </c>
      <c r="E96" s="174" t="str">
        <f t="shared" si="20"/>
        <v/>
      </c>
      <c r="F96" s="174"/>
      <c r="G96" s="174" t="str">
        <f t="shared" si="26"/>
        <v/>
      </c>
      <c r="H96" s="174"/>
      <c r="I96" s="174" t="str">
        <f t="shared" si="25"/>
        <v/>
      </c>
      <c r="J96" s="174"/>
      <c r="K96" s="174" t="s">
        <v>71</v>
      </c>
      <c r="L96" s="174"/>
      <c r="M96" s="174" t="str">
        <f t="shared" si="23"/>
        <v/>
      </c>
      <c r="N96" s="174"/>
      <c r="O96" s="173"/>
      <c r="P96" s="173"/>
      <c r="Q96" s="173"/>
      <c r="R96" s="173"/>
      <c r="S96" s="172">
        <v>10</v>
      </c>
      <c r="T96" s="172">
        <v>20</v>
      </c>
      <c r="U96" s="173"/>
      <c r="V96" s="173"/>
      <c r="W96" s="172"/>
      <c r="X96" s="172"/>
      <c r="Y96" s="172" t="str">
        <f t="shared" si="27"/>
        <v/>
      </c>
      <c r="Z96" s="172"/>
      <c r="AA96" s="172"/>
      <c r="AB96" s="172"/>
      <c r="AC96" s="174">
        <v>10</v>
      </c>
      <c r="AD96" s="174">
        <v>20</v>
      </c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4"/>
      <c r="AR96" s="174"/>
      <c r="AS96" s="174"/>
      <c r="AT96" s="174"/>
      <c r="AU96" s="174"/>
      <c r="AV96" s="174"/>
      <c r="AW96" s="174"/>
      <c r="AX96" s="191"/>
      <c r="AY96" s="11"/>
      <c r="AZ96" s="11"/>
      <c r="BA96" s="11"/>
      <c r="BB96" s="11"/>
      <c r="BC96" s="11"/>
      <c r="BD96" s="13"/>
      <c r="BE96" s="11" t="str">
        <f t="shared" si="13"/>
        <v>Sí</v>
      </c>
      <c r="BF96" s="22" t="str">
        <f t="shared" si="14"/>
        <v>CPW 10, JINAN 03/JN 10</v>
      </c>
      <c r="BG96" s="11" t="s">
        <v>47</v>
      </c>
      <c r="BH96" s="11" t="str">
        <f t="shared" si="19"/>
        <v>Ejecutado</v>
      </c>
      <c r="BI96" s="12">
        <v>46118</v>
      </c>
      <c r="BJ96" s="68" t="s">
        <v>96</v>
      </c>
    </row>
    <row r="97" spans="1:62" ht="18" customHeight="1" x14ac:dyDescent="0.3">
      <c r="A97" s="150"/>
      <c r="B97" s="78" t="s">
        <v>97</v>
      </c>
      <c r="C97" s="12">
        <v>46116</v>
      </c>
      <c r="D97" s="20">
        <f t="shared" si="17"/>
        <v>20</v>
      </c>
      <c r="E97" s="174" t="str">
        <f t="shared" si="20"/>
        <v/>
      </c>
      <c r="F97" s="174"/>
      <c r="G97" s="174" t="str">
        <f t="shared" si="26"/>
        <v/>
      </c>
      <c r="H97" s="174"/>
      <c r="I97" s="174" t="str">
        <f t="shared" si="25"/>
        <v/>
      </c>
      <c r="J97" s="174"/>
      <c r="K97" s="174" t="s">
        <v>71</v>
      </c>
      <c r="L97" s="174"/>
      <c r="M97" s="174" t="str">
        <f t="shared" si="23"/>
        <v/>
      </c>
      <c r="N97" s="174"/>
      <c r="O97" s="173"/>
      <c r="P97" s="173"/>
      <c r="Q97" s="173"/>
      <c r="R97" s="173"/>
      <c r="S97" s="172"/>
      <c r="T97" s="172"/>
      <c r="U97" s="173"/>
      <c r="V97" s="173"/>
      <c r="W97" s="172"/>
      <c r="X97" s="172"/>
      <c r="Y97" s="172" t="str">
        <f t="shared" si="27"/>
        <v/>
      </c>
      <c r="Z97" s="172"/>
      <c r="AA97" s="172"/>
      <c r="AB97" s="172"/>
      <c r="AC97" s="172"/>
      <c r="AD97" s="172"/>
      <c r="AE97" s="174">
        <v>10</v>
      </c>
      <c r="AF97" s="174">
        <v>20</v>
      </c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4"/>
      <c r="AR97" s="174"/>
      <c r="AS97" s="174"/>
      <c r="AT97" s="174"/>
      <c r="AU97" s="174"/>
      <c r="AV97" s="174"/>
      <c r="AW97" s="174"/>
      <c r="AX97" s="191"/>
      <c r="AY97" s="11"/>
      <c r="AZ97" s="11"/>
      <c r="BA97" s="11"/>
      <c r="BB97" s="11"/>
      <c r="BC97" s="11"/>
      <c r="BD97" s="13"/>
      <c r="BE97" s="11" t="str">
        <f t="shared" si="13"/>
        <v>Sí</v>
      </c>
      <c r="BF97" s="22" t="str">
        <f t="shared" si="14"/>
        <v>G 102 I</v>
      </c>
      <c r="BG97" s="11"/>
      <c r="BH97" s="11" t="str">
        <f t="shared" si="19"/>
        <v>Programado pendiente</v>
      </c>
      <c r="BI97" s="12"/>
      <c r="BJ97" s="68"/>
    </row>
    <row r="98" spans="1:62" ht="18" customHeight="1" x14ac:dyDescent="0.3">
      <c r="A98" s="150"/>
      <c r="B98" s="78" t="s">
        <v>98</v>
      </c>
      <c r="C98" s="12">
        <v>46117</v>
      </c>
      <c r="D98" s="20">
        <f t="shared" si="17"/>
        <v>20</v>
      </c>
      <c r="E98" s="174" t="str">
        <f t="shared" si="20"/>
        <v/>
      </c>
      <c r="F98" s="174"/>
      <c r="G98" s="174" t="str">
        <f t="shared" si="26"/>
        <v/>
      </c>
      <c r="H98" s="174"/>
      <c r="I98" s="174" t="str">
        <f t="shared" si="25"/>
        <v/>
      </c>
      <c r="J98" s="174"/>
      <c r="K98" s="174" t="s">
        <v>71</v>
      </c>
      <c r="L98" s="174"/>
      <c r="M98" s="174" t="str">
        <f t="shared" si="23"/>
        <v/>
      </c>
      <c r="N98" s="174"/>
      <c r="O98" s="173"/>
      <c r="P98" s="173"/>
      <c r="Q98" s="173"/>
      <c r="R98" s="173"/>
      <c r="S98" s="172"/>
      <c r="T98" s="172"/>
      <c r="U98" s="173"/>
      <c r="V98" s="173"/>
      <c r="W98" s="172"/>
      <c r="X98" s="172"/>
      <c r="Y98" s="172" t="str">
        <f t="shared" si="27"/>
        <v/>
      </c>
      <c r="Z98" s="172"/>
      <c r="AA98" s="172"/>
      <c r="AB98" s="172"/>
      <c r="AC98" s="172"/>
      <c r="AD98" s="172"/>
      <c r="AE98" s="172"/>
      <c r="AF98" s="172"/>
      <c r="AG98" s="174">
        <v>10</v>
      </c>
      <c r="AH98" s="174">
        <v>20</v>
      </c>
      <c r="AI98" s="172"/>
      <c r="AJ98" s="172"/>
      <c r="AK98" s="172"/>
      <c r="AL98" s="172"/>
      <c r="AM98" s="172"/>
      <c r="AN98" s="172"/>
      <c r="AO98" s="172"/>
      <c r="AP98" s="172"/>
      <c r="AQ98" s="174"/>
      <c r="AR98" s="174"/>
      <c r="AS98" s="174"/>
      <c r="AT98" s="174"/>
      <c r="AU98" s="174"/>
      <c r="AV98" s="174"/>
      <c r="AW98" s="174"/>
      <c r="AX98" s="191"/>
      <c r="AY98" s="11"/>
      <c r="AZ98" s="11"/>
      <c r="BA98" s="11"/>
      <c r="BB98" s="11"/>
      <c r="BC98" s="11"/>
      <c r="BD98" s="13"/>
      <c r="BE98" s="11" t="str">
        <f t="shared" si="13"/>
        <v>Sí</v>
      </c>
      <c r="BF98" s="22" t="str">
        <f t="shared" si="14"/>
        <v>G 102 E</v>
      </c>
      <c r="BG98" s="11"/>
      <c r="BH98" s="11" t="str">
        <f t="shared" si="19"/>
        <v>Programado pendiente</v>
      </c>
      <c r="BI98" s="12"/>
      <c r="BJ98" s="68"/>
    </row>
    <row r="99" spans="1:62" ht="18" customHeight="1" x14ac:dyDescent="0.3">
      <c r="A99" s="150"/>
      <c r="B99" s="78" t="s">
        <v>99</v>
      </c>
      <c r="C99" s="12">
        <v>46118</v>
      </c>
      <c r="D99" s="20">
        <f t="shared" si="17"/>
        <v>20</v>
      </c>
      <c r="E99" s="174" t="str">
        <f t="shared" si="20"/>
        <v/>
      </c>
      <c r="F99" s="174"/>
      <c r="G99" s="174" t="str">
        <f t="shared" si="26"/>
        <v/>
      </c>
      <c r="H99" s="174"/>
      <c r="I99" s="174" t="str">
        <f t="shared" si="25"/>
        <v/>
      </c>
      <c r="J99" s="174"/>
      <c r="K99" s="174" t="s">
        <v>71</v>
      </c>
      <c r="L99" s="174"/>
      <c r="M99" s="174" t="str">
        <f t="shared" si="23"/>
        <v/>
      </c>
      <c r="N99" s="174"/>
      <c r="O99" s="173"/>
      <c r="P99" s="173"/>
      <c r="Q99" s="173"/>
      <c r="R99" s="173"/>
      <c r="S99" s="172"/>
      <c r="T99" s="172"/>
      <c r="U99" s="173"/>
      <c r="V99" s="173"/>
      <c r="W99" s="172"/>
      <c r="X99" s="172"/>
      <c r="Y99" s="172" t="str">
        <f t="shared" si="27"/>
        <v/>
      </c>
      <c r="Z99" s="172"/>
      <c r="AA99" s="172"/>
      <c r="AB99" s="172"/>
      <c r="AC99" s="172"/>
      <c r="AD99" s="172"/>
      <c r="AE99" s="172"/>
      <c r="AF99" s="172"/>
      <c r="AG99" s="172"/>
      <c r="AH99" s="172"/>
      <c r="AI99" s="174">
        <v>10</v>
      </c>
      <c r="AJ99" s="174">
        <v>20</v>
      </c>
      <c r="AK99" s="172"/>
      <c r="AL99" s="172"/>
      <c r="AM99" s="172"/>
      <c r="AN99" s="172"/>
      <c r="AO99" s="172"/>
      <c r="AP99" s="172"/>
      <c r="AQ99" s="174"/>
      <c r="AR99" s="174"/>
      <c r="AS99" s="174"/>
      <c r="AT99" s="174"/>
      <c r="AU99" s="174"/>
      <c r="AV99" s="174"/>
      <c r="AW99" s="174"/>
      <c r="AX99" s="191"/>
      <c r="AY99" s="11"/>
      <c r="AZ99" s="11"/>
      <c r="BA99" s="11"/>
      <c r="BB99" s="11"/>
      <c r="BC99" s="11"/>
      <c r="BD99" s="13"/>
      <c r="BE99" s="11" t="str">
        <f t="shared" si="13"/>
        <v>Sí</v>
      </c>
      <c r="BF99" s="22" t="str">
        <f t="shared" si="14"/>
        <v>G 102 A</v>
      </c>
      <c r="BG99" s="11" t="s">
        <v>47</v>
      </c>
      <c r="BH99" s="11" t="str">
        <f t="shared" si="19"/>
        <v>Ejecutado</v>
      </c>
      <c r="BI99" s="12">
        <f>C99</f>
        <v>46118</v>
      </c>
      <c r="BJ99" s="68"/>
    </row>
    <row r="100" spans="1:62" ht="18" customHeight="1" x14ac:dyDescent="0.3">
      <c r="A100" s="150"/>
      <c r="B100" s="78" t="s">
        <v>100</v>
      </c>
      <c r="C100" s="12">
        <v>46119</v>
      </c>
      <c r="D100" s="20">
        <f t="shared" si="17"/>
        <v>20</v>
      </c>
      <c r="E100" s="174" t="str">
        <f t="shared" si="20"/>
        <v/>
      </c>
      <c r="F100" s="174"/>
      <c r="G100" s="174" t="str">
        <f t="shared" si="26"/>
        <v/>
      </c>
      <c r="H100" s="174"/>
      <c r="I100" s="174" t="str">
        <f t="shared" si="25"/>
        <v/>
      </c>
      <c r="J100" s="174"/>
      <c r="K100" s="174" t="s">
        <v>71</v>
      </c>
      <c r="L100" s="174"/>
      <c r="M100" s="174" t="str">
        <f t="shared" si="23"/>
        <v/>
      </c>
      <c r="N100" s="174"/>
      <c r="O100" s="173"/>
      <c r="P100" s="173"/>
      <c r="Q100" s="173"/>
      <c r="R100" s="173"/>
      <c r="S100" s="172"/>
      <c r="T100" s="172"/>
      <c r="U100" s="173"/>
      <c r="V100" s="173"/>
      <c r="W100" s="172"/>
      <c r="X100" s="172"/>
      <c r="Y100" s="172" t="str">
        <f t="shared" si="27"/>
        <v/>
      </c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4">
        <v>10</v>
      </c>
      <c r="AL100" s="174">
        <v>20</v>
      </c>
      <c r="AM100" s="172"/>
      <c r="AN100" s="172"/>
      <c r="AO100" s="172"/>
      <c r="AP100" s="172"/>
      <c r="AQ100" s="174"/>
      <c r="AR100" s="174"/>
      <c r="AS100" s="174"/>
      <c r="AT100" s="174"/>
      <c r="AU100" s="174"/>
      <c r="AV100" s="174"/>
      <c r="AW100" s="174"/>
      <c r="AX100" s="191"/>
      <c r="AY100" s="11"/>
      <c r="AZ100" s="11"/>
      <c r="BA100" s="11"/>
      <c r="BB100" s="11"/>
      <c r="BC100" s="11"/>
      <c r="BD100" s="13"/>
      <c r="BE100" s="11" t="str">
        <f t="shared" ref="BE100:BE163" si="28">IF(SUM(E100,G100,I100,K100,M100,O100,Q100,S100,U100,W100,Y100,AA100,AC100,AE100,AG100,AI100,AK100,AM100,AO100,AQ100,AW100)&gt;0,"Sí","No")</f>
        <v>Sí</v>
      </c>
      <c r="BF100" s="22" t="str">
        <f t="shared" ref="BF100:BF163" si="29">IF($BE100="Sí",_xlfn.TEXTJOIN(", ",TRUE,IF(N(E100)&gt;0,E$3,""),IF(N(G100)&gt;0,G$3,""),IF(N(I100)&gt;0,I$3,""),IF(N(K100)&gt;0,K$3,""),IF(N(M100)&gt;0,M$3,""),IF(N(O100)&gt;0,O$3,""),IF(N(Q100)&gt;0,Q$3,""),IF(N(S100)&gt;0,S$3,""),IF(N(U100)&gt;0,U$3,""),IF(N(W100)&gt;0,W$3,""),IF(N(Y100)&gt;0,Y$3,""),IF(N(AA100)&gt;0,AA$3,""),IF(N(AC100)&gt;0,AC$3,""),IF(N(AE100)&gt;0,AE$3,""),IF(N(AG100)&gt;0,AG$3,""),IF(N(AI100)&gt;0,AI$3,""),IF(N(AK100)&gt;0,AK$3,""),IF(N(AM100)&gt;0,AM$3,""),IF(N(AO100)&gt;0,AO$3,""),IF(N(AQ100)&gt;0,AQ$3,""),IF(N(AW100)&gt;0,AW$3,"")),"")</f>
        <v>G 101 V</v>
      </c>
      <c r="BG100" s="11"/>
      <c r="BH100" s="11" t="str">
        <f t="shared" si="19"/>
        <v>Programado pendiente</v>
      </c>
      <c r="BI100" s="12"/>
      <c r="BJ100" s="68"/>
    </row>
    <row r="101" spans="1:62" ht="18" customHeight="1" x14ac:dyDescent="0.3">
      <c r="A101" s="150"/>
      <c r="B101" s="78" t="s">
        <v>101</v>
      </c>
      <c r="C101" s="12">
        <v>46120</v>
      </c>
      <c r="D101" s="20">
        <f t="shared" si="17"/>
        <v>20</v>
      </c>
      <c r="E101" s="174" t="str">
        <f t="shared" si="20"/>
        <v/>
      </c>
      <c r="F101" s="174"/>
      <c r="G101" s="174" t="str">
        <f t="shared" si="26"/>
        <v/>
      </c>
      <c r="H101" s="174"/>
      <c r="I101" s="174" t="str">
        <f t="shared" si="25"/>
        <v/>
      </c>
      <c r="J101" s="174"/>
      <c r="K101" s="174" t="s">
        <v>71</v>
      </c>
      <c r="L101" s="174"/>
      <c r="M101" s="174" t="str">
        <f t="shared" si="23"/>
        <v/>
      </c>
      <c r="N101" s="174"/>
      <c r="O101" s="173"/>
      <c r="P101" s="173"/>
      <c r="Q101" s="173"/>
      <c r="R101" s="173"/>
      <c r="S101" s="172"/>
      <c r="T101" s="172"/>
      <c r="U101" s="173"/>
      <c r="V101" s="173"/>
      <c r="W101" s="172"/>
      <c r="X101" s="172"/>
      <c r="Y101" s="172" t="str">
        <f t="shared" si="27"/>
        <v/>
      </c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4">
        <v>10</v>
      </c>
      <c r="AN101" s="174">
        <v>20</v>
      </c>
      <c r="AO101" s="172"/>
      <c r="AP101" s="172"/>
      <c r="AQ101" s="174"/>
      <c r="AR101" s="174"/>
      <c r="AS101" s="174"/>
      <c r="AT101" s="174"/>
      <c r="AU101" s="174"/>
      <c r="AV101" s="174"/>
      <c r="AW101" s="174"/>
      <c r="AX101" s="191"/>
      <c r="AY101" s="11"/>
      <c r="AZ101" s="11"/>
      <c r="BA101" s="11"/>
      <c r="BB101" s="11"/>
      <c r="BC101" s="11"/>
      <c r="BD101" s="13"/>
      <c r="BE101" s="11" t="str">
        <f t="shared" si="28"/>
        <v>Sí</v>
      </c>
      <c r="BF101" s="22" t="str">
        <f t="shared" si="29"/>
        <v>G102 J</v>
      </c>
      <c r="BG101" s="11"/>
      <c r="BH101" s="11" t="str">
        <f t="shared" si="19"/>
        <v>Programado pendiente</v>
      </c>
      <c r="BI101" s="12"/>
      <c r="BJ101" s="68"/>
    </row>
    <row r="102" spans="1:62" ht="18" customHeight="1" x14ac:dyDescent="0.3">
      <c r="A102" s="150"/>
      <c r="B102" s="78" t="s">
        <v>94</v>
      </c>
      <c r="C102" s="12">
        <v>46121</v>
      </c>
      <c r="D102" s="20">
        <f t="shared" si="17"/>
        <v>20</v>
      </c>
      <c r="E102" s="174" t="str">
        <f t="shared" si="20"/>
        <v/>
      </c>
      <c r="F102" s="174"/>
      <c r="G102" s="174" t="str">
        <f t="shared" si="26"/>
        <v/>
      </c>
      <c r="H102" s="174"/>
      <c r="I102" s="174" t="str">
        <f t="shared" si="25"/>
        <v/>
      </c>
      <c r="J102" s="174"/>
      <c r="K102" s="174" t="s">
        <v>71</v>
      </c>
      <c r="L102" s="174"/>
      <c r="M102" s="174" t="str">
        <f t="shared" si="23"/>
        <v/>
      </c>
      <c r="N102" s="174"/>
      <c r="O102" s="173"/>
      <c r="P102" s="173"/>
      <c r="Q102" s="173"/>
      <c r="R102" s="173"/>
      <c r="S102" s="172"/>
      <c r="T102" s="172"/>
      <c r="U102" s="173"/>
      <c r="V102" s="173"/>
      <c r="W102" s="172"/>
      <c r="X102" s="172"/>
      <c r="Y102" s="172" t="str">
        <f t="shared" si="27"/>
        <v/>
      </c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4">
        <v>10</v>
      </c>
      <c r="AP102" s="174">
        <v>20</v>
      </c>
      <c r="AQ102" s="174"/>
      <c r="AR102" s="174"/>
      <c r="AS102" s="174"/>
      <c r="AT102" s="174"/>
      <c r="AU102" s="174"/>
      <c r="AV102" s="174"/>
      <c r="AW102" s="174"/>
      <c r="AX102" s="191"/>
      <c r="AY102" s="11"/>
      <c r="AZ102" s="11"/>
      <c r="BA102" s="11"/>
      <c r="BB102" s="11"/>
      <c r="BC102" s="11"/>
      <c r="BD102" s="13"/>
      <c r="BE102" s="11" t="str">
        <f t="shared" si="28"/>
        <v>Sí</v>
      </c>
      <c r="BF102" s="22" t="str">
        <f t="shared" si="29"/>
        <v>G102K</v>
      </c>
      <c r="BG102" s="11"/>
      <c r="BH102" s="11" t="str">
        <f t="shared" si="19"/>
        <v>Programado pendiente</v>
      </c>
      <c r="BI102" s="12"/>
      <c r="BJ102" s="68"/>
    </row>
    <row r="103" spans="1:62" ht="18" customHeight="1" x14ac:dyDescent="0.3">
      <c r="A103" s="150"/>
      <c r="B103" s="78" t="s">
        <v>95</v>
      </c>
      <c r="C103" s="12">
        <v>46122</v>
      </c>
      <c r="D103" s="20">
        <f t="shared" si="17"/>
        <v>0</v>
      </c>
      <c r="E103" s="174" t="str">
        <f t="shared" si="20"/>
        <v/>
      </c>
      <c r="F103" s="174"/>
      <c r="G103" s="174" t="str">
        <f t="shared" si="26"/>
        <v/>
      </c>
      <c r="H103" s="174"/>
      <c r="I103" s="174" t="str">
        <f t="shared" si="25"/>
        <v/>
      </c>
      <c r="J103" s="174"/>
      <c r="K103" s="174" t="s">
        <v>71</v>
      </c>
      <c r="L103" s="174"/>
      <c r="M103" s="174" t="str">
        <f t="shared" si="23"/>
        <v/>
      </c>
      <c r="N103" s="174"/>
      <c r="O103" s="173"/>
      <c r="P103" s="173"/>
      <c r="Q103" s="173"/>
      <c r="R103" s="173"/>
      <c r="S103" s="174"/>
      <c r="T103" s="174"/>
      <c r="U103" s="173"/>
      <c r="V103" s="173"/>
      <c r="W103" s="172"/>
      <c r="X103" s="172"/>
      <c r="Y103" s="174" t="str">
        <f t="shared" si="22"/>
        <v/>
      </c>
      <c r="Z103" s="174"/>
      <c r="AA103" s="174"/>
      <c r="AB103" s="174"/>
      <c r="AC103" s="172"/>
      <c r="AD103" s="172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4"/>
      <c r="AT103" s="174"/>
      <c r="AU103" s="174"/>
      <c r="AV103" s="174"/>
      <c r="AW103" s="174"/>
      <c r="AX103" s="191"/>
      <c r="AY103" s="11"/>
      <c r="AZ103" s="11"/>
      <c r="BA103" s="11"/>
      <c r="BB103" s="11"/>
      <c r="BC103" s="11"/>
      <c r="BD103" s="13"/>
      <c r="BE103" s="11" t="str">
        <f t="shared" si="28"/>
        <v>No</v>
      </c>
      <c r="BF103" s="22" t="str">
        <f t="shared" si="29"/>
        <v/>
      </c>
      <c r="BG103" s="11"/>
      <c r="BH103" s="11" t="str">
        <f t="shared" si="19"/>
        <v>No aplica</v>
      </c>
      <c r="BI103" s="12"/>
      <c r="BJ103" s="68"/>
    </row>
    <row r="104" spans="1:62" ht="18" customHeight="1" x14ac:dyDescent="0.3">
      <c r="A104" s="150"/>
      <c r="B104" s="78" t="s">
        <v>97</v>
      </c>
      <c r="C104" s="12">
        <v>46123</v>
      </c>
      <c r="D104" s="20">
        <f t="shared" si="17"/>
        <v>0</v>
      </c>
      <c r="E104" s="174" t="str">
        <f t="shared" si="20"/>
        <v/>
      </c>
      <c r="F104" s="174"/>
      <c r="G104" s="174" t="str">
        <f t="shared" si="26"/>
        <v/>
      </c>
      <c r="H104" s="174"/>
      <c r="I104" s="174" t="str">
        <f t="shared" si="25"/>
        <v/>
      </c>
      <c r="J104" s="174"/>
      <c r="K104" s="174" t="s">
        <v>71</v>
      </c>
      <c r="L104" s="174"/>
      <c r="M104" s="174" t="str">
        <f t="shared" si="23"/>
        <v/>
      </c>
      <c r="N104" s="174"/>
      <c r="O104" s="173"/>
      <c r="P104" s="173"/>
      <c r="Q104" s="173"/>
      <c r="R104" s="173"/>
      <c r="S104" s="174"/>
      <c r="T104" s="174"/>
      <c r="U104" s="173"/>
      <c r="V104" s="173"/>
      <c r="W104" s="172"/>
      <c r="X104" s="172"/>
      <c r="Y104" s="174" t="str">
        <f t="shared" si="22"/>
        <v/>
      </c>
      <c r="Z104" s="174"/>
      <c r="AA104" s="174"/>
      <c r="AB104" s="174"/>
      <c r="AC104" s="172"/>
      <c r="AD104" s="172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4"/>
      <c r="AU104" s="174"/>
      <c r="AV104" s="174"/>
      <c r="AW104" s="174"/>
      <c r="AX104" s="191"/>
      <c r="AY104" s="11"/>
      <c r="AZ104" s="11"/>
      <c r="BA104" s="11"/>
      <c r="BB104" s="11"/>
      <c r="BC104" s="11"/>
      <c r="BD104" s="13"/>
      <c r="BE104" s="11" t="str">
        <f t="shared" si="28"/>
        <v>No</v>
      </c>
      <c r="BF104" s="22" t="str">
        <f t="shared" si="29"/>
        <v/>
      </c>
      <c r="BG104" s="11"/>
      <c r="BH104" s="11" t="str">
        <f t="shared" si="19"/>
        <v>No aplica</v>
      </c>
      <c r="BI104" s="12"/>
      <c r="BJ104" s="68"/>
    </row>
    <row r="105" spans="1:62" ht="18" customHeight="1" x14ac:dyDescent="0.3">
      <c r="A105" s="150"/>
      <c r="B105" s="78" t="s">
        <v>98</v>
      </c>
      <c r="C105" s="12">
        <v>46124</v>
      </c>
      <c r="D105" s="20">
        <f t="shared" si="17"/>
        <v>0</v>
      </c>
      <c r="E105" s="174" t="str">
        <f t="shared" si="20"/>
        <v/>
      </c>
      <c r="F105" s="174"/>
      <c r="G105" s="174" t="str">
        <f t="shared" si="26"/>
        <v/>
      </c>
      <c r="H105" s="174"/>
      <c r="I105" s="174" t="str">
        <f t="shared" si="25"/>
        <v/>
      </c>
      <c r="J105" s="174"/>
      <c r="K105" s="174" t="s">
        <v>71</v>
      </c>
      <c r="L105" s="174"/>
      <c r="M105" s="174" t="str">
        <f t="shared" si="23"/>
        <v/>
      </c>
      <c r="N105" s="174"/>
      <c r="O105" s="173"/>
      <c r="P105" s="173"/>
      <c r="Q105" s="173"/>
      <c r="R105" s="173"/>
      <c r="S105" s="174"/>
      <c r="T105" s="174"/>
      <c r="U105" s="173"/>
      <c r="V105" s="173"/>
      <c r="W105" s="172"/>
      <c r="X105" s="172"/>
      <c r="Y105" s="174" t="str">
        <f t="shared" si="22"/>
        <v/>
      </c>
      <c r="Z105" s="174"/>
      <c r="AA105" s="174"/>
      <c r="AB105" s="174"/>
      <c r="AC105" s="172"/>
      <c r="AD105" s="172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91"/>
      <c r="AY105" s="11"/>
      <c r="AZ105" s="11"/>
      <c r="BA105" s="11"/>
      <c r="BB105" s="11"/>
      <c r="BC105" s="11"/>
      <c r="BD105" s="13"/>
      <c r="BE105" s="11" t="str">
        <f t="shared" si="28"/>
        <v>No</v>
      </c>
      <c r="BF105" s="22" t="str">
        <f t="shared" si="29"/>
        <v/>
      </c>
      <c r="BG105" s="11"/>
      <c r="BH105" s="11" t="str">
        <f t="shared" si="19"/>
        <v>No aplica</v>
      </c>
      <c r="BI105" s="12"/>
      <c r="BJ105" s="68"/>
    </row>
    <row r="106" spans="1:62" ht="18" customHeight="1" x14ac:dyDescent="0.3">
      <c r="A106" s="150"/>
      <c r="B106" s="78" t="s">
        <v>99</v>
      </c>
      <c r="C106" s="12">
        <v>46125</v>
      </c>
      <c r="D106" s="20">
        <f t="shared" si="17"/>
        <v>0</v>
      </c>
      <c r="E106" s="174" t="str">
        <f t="shared" si="20"/>
        <v/>
      </c>
      <c r="F106" s="174"/>
      <c r="G106" s="174" t="str">
        <f t="shared" si="26"/>
        <v/>
      </c>
      <c r="H106" s="174"/>
      <c r="I106" s="174" t="str">
        <f t="shared" si="25"/>
        <v/>
      </c>
      <c r="J106" s="174"/>
      <c r="K106" s="174" t="s">
        <v>71</v>
      </c>
      <c r="L106" s="174"/>
      <c r="M106" s="174" t="str">
        <f t="shared" si="23"/>
        <v/>
      </c>
      <c r="N106" s="174"/>
      <c r="O106" s="173"/>
      <c r="P106" s="173"/>
      <c r="Q106" s="173"/>
      <c r="R106" s="173"/>
      <c r="S106" s="174"/>
      <c r="T106" s="174"/>
      <c r="U106" s="173"/>
      <c r="V106" s="173"/>
      <c r="W106" s="172"/>
      <c r="X106" s="172"/>
      <c r="Y106" s="174" t="str">
        <f t="shared" si="22"/>
        <v/>
      </c>
      <c r="Z106" s="174"/>
      <c r="AA106" s="174"/>
      <c r="AB106" s="174"/>
      <c r="AC106" s="172"/>
      <c r="AD106" s="172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4"/>
      <c r="AT106" s="174"/>
      <c r="AU106" s="174"/>
      <c r="AV106" s="174"/>
      <c r="AW106" s="174"/>
      <c r="AX106" s="191"/>
      <c r="AY106" s="11"/>
      <c r="AZ106" s="11"/>
      <c r="BA106" s="11"/>
      <c r="BB106" s="11"/>
      <c r="BC106" s="11"/>
      <c r="BD106" s="13"/>
      <c r="BE106" s="11" t="str">
        <f t="shared" si="28"/>
        <v>No</v>
      </c>
      <c r="BF106" s="22" t="str">
        <f t="shared" si="29"/>
        <v/>
      </c>
      <c r="BG106" s="11"/>
      <c r="BH106" s="11" t="str">
        <f t="shared" si="19"/>
        <v>No aplica</v>
      </c>
      <c r="BI106" s="12"/>
      <c r="BJ106" s="68"/>
    </row>
    <row r="107" spans="1:62" ht="18" customHeight="1" x14ac:dyDescent="0.3">
      <c r="A107" s="150"/>
      <c r="B107" s="78" t="s">
        <v>100</v>
      </c>
      <c r="C107" s="12">
        <v>46126</v>
      </c>
      <c r="D107" s="20">
        <f t="shared" si="17"/>
        <v>0</v>
      </c>
      <c r="E107" s="174" t="str">
        <f t="shared" si="20"/>
        <v/>
      </c>
      <c r="F107" s="174"/>
      <c r="G107" s="174" t="str">
        <f t="shared" si="26"/>
        <v/>
      </c>
      <c r="H107" s="174"/>
      <c r="I107" s="174" t="str">
        <f t="shared" si="25"/>
        <v/>
      </c>
      <c r="J107" s="174"/>
      <c r="K107" s="174" t="s">
        <v>71</v>
      </c>
      <c r="L107" s="174"/>
      <c r="M107" s="174" t="str">
        <f t="shared" si="23"/>
        <v/>
      </c>
      <c r="N107" s="174"/>
      <c r="O107" s="173"/>
      <c r="P107" s="173"/>
      <c r="Q107" s="173"/>
      <c r="R107" s="173"/>
      <c r="S107" s="174"/>
      <c r="T107" s="174"/>
      <c r="U107" s="173"/>
      <c r="V107" s="173"/>
      <c r="W107" s="172"/>
      <c r="X107" s="172"/>
      <c r="Y107" s="174" t="str">
        <f t="shared" si="22"/>
        <v/>
      </c>
      <c r="Z107" s="174"/>
      <c r="AA107" s="174"/>
      <c r="AB107" s="174"/>
      <c r="AC107" s="172"/>
      <c r="AD107" s="172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4"/>
      <c r="AT107" s="174"/>
      <c r="AU107" s="174"/>
      <c r="AV107" s="174"/>
      <c r="AW107" s="174"/>
      <c r="AX107" s="191"/>
      <c r="AY107" s="11"/>
      <c r="AZ107" s="11"/>
      <c r="BA107" s="11"/>
      <c r="BB107" s="11"/>
      <c r="BC107" s="11"/>
      <c r="BD107" s="13"/>
      <c r="BE107" s="11" t="str">
        <f t="shared" si="28"/>
        <v>No</v>
      </c>
      <c r="BF107" s="22" t="str">
        <f t="shared" si="29"/>
        <v/>
      </c>
      <c r="BG107" s="11"/>
      <c r="BH107" s="11" t="str">
        <f t="shared" si="19"/>
        <v>No aplica</v>
      </c>
      <c r="BI107" s="12"/>
      <c r="BJ107" s="68"/>
    </row>
    <row r="108" spans="1:62" ht="18" customHeight="1" x14ac:dyDescent="0.3">
      <c r="A108" s="150"/>
      <c r="B108" s="78" t="s">
        <v>101</v>
      </c>
      <c r="C108" s="12">
        <v>46127</v>
      </c>
      <c r="D108" s="20">
        <f t="shared" si="17"/>
        <v>0</v>
      </c>
      <c r="E108" s="174" t="str">
        <f t="shared" si="20"/>
        <v/>
      </c>
      <c r="F108" s="174"/>
      <c r="G108" s="174" t="str">
        <f t="shared" si="26"/>
        <v/>
      </c>
      <c r="H108" s="174"/>
      <c r="I108" s="174" t="str">
        <f t="shared" si="25"/>
        <v/>
      </c>
      <c r="J108" s="174"/>
      <c r="K108" s="174" t="s">
        <v>71</v>
      </c>
      <c r="L108" s="174"/>
      <c r="M108" s="174" t="str">
        <f t="shared" si="23"/>
        <v/>
      </c>
      <c r="N108" s="174"/>
      <c r="O108" s="173"/>
      <c r="P108" s="173"/>
      <c r="Q108" s="173"/>
      <c r="R108" s="173"/>
      <c r="S108" s="174"/>
      <c r="T108" s="174"/>
      <c r="U108" s="173"/>
      <c r="V108" s="173"/>
      <c r="W108" s="172"/>
      <c r="X108" s="172"/>
      <c r="Y108" s="174" t="str">
        <f t="shared" si="22"/>
        <v/>
      </c>
      <c r="Z108" s="174"/>
      <c r="AA108" s="174"/>
      <c r="AB108" s="174"/>
      <c r="AC108" s="172"/>
      <c r="AD108" s="172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4"/>
      <c r="AT108" s="174"/>
      <c r="AU108" s="174"/>
      <c r="AV108" s="174"/>
      <c r="AW108" s="174"/>
      <c r="AX108" s="191"/>
      <c r="AY108" s="11"/>
      <c r="AZ108" s="11"/>
      <c r="BA108" s="11"/>
      <c r="BB108" s="11"/>
      <c r="BC108" s="11"/>
      <c r="BD108" s="13"/>
      <c r="BE108" s="11" t="str">
        <f t="shared" si="28"/>
        <v>No</v>
      </c>
      <c r="BF108" s="22" t="str">
        <f t="shared" si="29"/>
        <v/>
      </c>
      <c r="BG108" s="11"/>
      <c r="BH108" s="11" t="str">
        <f t="shared" si="19"/>
        <v>No aplica</v>
      </c>
      <c r="BI108" s="12"/>
      <c r="BJ108" s="68"/>
    </row>
    <row r="109" spans="1:62" ht="18" customHeight="1" x14ac:dyDescent="0.3">
      <c r="A109" s="150"/>
      <c r="B109" s="78" t="s">
        <v>94</v>
      </c>
      <c r="C109" s="12">
        <v>46128</v>
      </c>
      <c r="D109" s="20">
        <f t="shared" si="17"/>
        <v>20</v>
      </c>
      <c r="E109" s="174" t="str">
        <f t="shared" si="20"/>
        <v/>
      </c>
      <c r="F109" s="174"/>
      <c r="G109" s="174" t="str">
        <f t="shared" si="26"/>
        <v/>
      </c>
      <c r="H109" s="174"/>
      <c r="I109" s="174" t="str">
        <f t="shared" si="25"/>
        <v/>
      </c>
      <c r="J109" s="174"/>
      <c r="K109" s="174" t="s">
        <v>71</v>
      </c>
      <c r="L109" s="174"/>
      <c r="M109" s="174" t="str">
        <f t="shared" si="23"/>
        <v/>
      </c>
      <c r="N109" s="174"/>
      <c r="O109" s="173"/>
      <c r="P109" s="173"/>
      <c r="Q109" s="173"/>
      <c r="R109" s="173"/>
      <c r="S109" s="172"/>
      <c r="T109" s="172"/>
      <c r="U109" s="173"/>
      <c r="V109" s="173"/>
      <c r="W109" s="172"/>
      <c r="X109" s="172"/>
      <c r="Y109" s="174">
        <v>10</v>
      </c>
      <c r="Z109" s="174">
        <v>20</v>
      </c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4"/>
      <c r="AR109" s="174"/>
      <c r="AS109" s="174"/>
      <c r="AT109" s="174"/>
      <c r="AU109" s="174"/>
      <c r="AV109" s="174"/>
      <c r="AW109" s="174"/>
      <c r="AX109" s="191"/>
      <c r="AY109" s="11"/>
      <c r="AZ109" s="11"/>
      <c r="BA109" s="11"/>
      <c r="BB109" s="11"/>
      <c r="BC109" s="11"/>
      <c r="BD109" s="13"/>
      <c r="BE109" s="11" t="str">
        <f t="shared" si="28"/>
        <v>Sí</v>
      </c>
      <c r="BF109" s="22" t="str">
        <f t="shared" si="29"/>
        <v>JINAN 01</v>
      </c>
      <c r="BG109" s="11" t="s">
        <v>47</v>
      </c>
      <c r="BH109" s="11" t="str">
        <f t="shared" si="19"/>
        <v>Ejecutado</v>
      </c>
      <c r="BI109" s="12">
        <v>46132</v>
      </c>
      <c r="BJ109" s="68" t="s">
        <v>48</v>
      </c>
    </row>
    <row r="110" spans="1:62" ht="18" customHeight="1" x14ac:dyDescent="0.3">
      <c r="A110" s="150"/>
      <c r="B110" s="78" t="s">
        <v>95</v>
      </c>
      <c r="C110" s="12">
        <v>46129</v>
      </c>
      <c r="D110" s="20">
        <f t="shared" si="17"/>
        <v>20</v>
      </c>
      <c r="E110" s="174" t="str">
        <f t="shared" si="20"/>
        <v/>
      </c>
      <c r="F110" s="174"/>
      <c r="G110" s="174" t="str">
        <f t="shared" si="26"/>
        <v/>
      </c>
      <c r="H110" s="174"/>
      <c r="I110" s="174" t="str">
        <f t="shared" si="25"/>
        <v/>
      </c>
      <c r="J110" s="174"/>
      <c r="K110" s="174" t="s">
        <v>71</v>
      </c>
      <c r="L110" s="174"/>
      <c r="M110" s="174" t="str">
        <f t="shared" si="23"/>
        <v/>
      </c>
      <c r="N110" s="174"/>
      <c r="O110" s="173"/>
      <c r="P110" s="173"/>
      <c r="Q110" s="173"/>
      <c r="R110" s="173"/>
      <c r="S110" s="172"/>
      <c r="T110" s="172"/>
      <c r="U110" s="173"/>
      <c r="V110" s="173"/>
      <c r="W110" s="172"/>
      <c r="X110" s="172"/>
      <c r="Y110" s="172" t="str">
        <f t="shared" ref="Y110:Y117" si="30">IF(MOD(C110-$C$4,15)=0,8,"")</f>
        <v/>
      </c>
      <c r="Z110" s="172"/>
      <c r="AA110" s="174">
        <v>10</v>
      </c>
      <c r="AB110" s="174">
        <v>20</v>
      </c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4"/>
      <c r="AR110" s="174"/>
      <c r="AS110" s="174"/>
      <c r="AT110" s="174"/>
      <c r="AU110" s="174"/>
      <c r="AV110" s="174"/>
      <c r="AW110" s="174"/>
      <c r="AX110" s="191"/>
      <c r="AY110" s="11"/>
      <c r="AZ110" s="11"/>
      <c r="BA110" s="11"/>
      <c r="BB110" s="11"/>
      <c r="BC110" s="11"/>
      <c r="BD110" s="13"/>
      <c r="BE110" s="11" t="str">
        <f t="shared" si="28"/>
        <v>Sí</v>
      </c>
      <c r="BF110" s="22" t="str">
        <f t="shared" si="29"/>
        <v>JINAN 02</v>
      </c>
      <c r="BG110" s="11" t="s">
        <v>47</v>
      </c>
      <c r="BH110" s="11" t="str">
        <f t="shared" si="19"/>
        <v>Ejecutado</v>
      </c>
      <c r="BI110" s="12">
        <v>46134</v>
      </c>
      <c r="BJ110" s="68" t="s">
        <v>48</v>
      </c>
    </row>
    <row r="111" spans="1:62" ht="18" customHeight="1" x14ac:dyDescent="0.3">
      <c r="A111" s="150"/>
      <c r="B111" s="78" t="s">
        <v>97</v>
      </c>
      <c r="C111" s="12">
        <v>46130</v>
      </c>
      <c r="D111" s="20">
        <f t="shared" si="17"/>
        <v>20</v>
      </c>
      <c r="E111" s="174" t="str">
        <f t="shared" si="20"/>
        <v/>
      </c>
      <c r="F111" s="174"/>
      <c r="G111" s="174" t="str">
        <f t="shared" si="26"/>
        <v/>
      </c>
      <c r="H111" s="174"/>
      <c r="I111" s="174" t="str">
        <f t="shared" si="25"/>
        <v/>
      </c>
      <c r="J111" s="174"/>
      <c r="K111" s="174" t="s">
        <v>71</v>
      </c>
      <c r="L111" s="174"/>
      <c r="M111" s="174" t="str">
        <f t="shared" si="23"/>
        <v/>
      </c>
      <c r="N111" s="174"/>
      <c r="O111" s="173"/>
      <c r="P111" s="173"/>
      <c r="Q111" s="173"/>
      <c r="R111" s="173"/>
      <c r="S111" s="172">
        <v>10</v>
      </c>
      <c r="T111" s="172">
        <v>20</v>
      </c>
      <c r="U111" s="173"/>
      <c r="V111" s="173"/>
      <c r="W111" s="172"/>
      <c r="X111" s="172"/>
      <c r="Y111" s="172" t="str">
        <f t="shared" si="30"/>
        <v/>
      </c>
      <c r="Z111" s="172"/>
      <c r="AA111" s="172"/>
      <c r="AB111" s="172"/>
      <c r="AC111" s="174">
        <v>10</v>
      </c>
      <c r="AD111" s="174">
        <v>20</v>
      </c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4"/>
      <c r="AR111" s="174"/>
      <c r="AS111" s="174"/>
      <c r="AT111" s="174"/>
      <c r="AU111" s="174"/>
      <c r="AV111" s="174"/>
      <c r="AW111" s="174"/>
      <c r="AX111" s="191"/>
      <c r="AY111" s="11"/>
      <c r="AZ111" s="11"/>
      <c r="BA111" s="11"/>
      <c r="BB111" s="11"/>
      <c r="BC111" s="11"/>
      <c r="BD111" s="13"/>
      <c r="BE111" s="11" t="str">
        <f t="shared" si="28"/>
        <v>Sí</v>
      </c>
      <c r="BF111" s="22" t="str">
        <f t="shared" si="29"/>
        <v>CPW 10, JINAN 03/JN 10</v>
      </c>
      <c r="BG111" s="11" t="s">
        <v>47</v>
      </c>
      <c r="BH111" s="11" t="str">
        <f t="shared" si="19"/>
        <v>Ejecutado</v>
      </c>
      <c r="BI111" s="12">
        <v>46130</v>
      </c>
      <c r="BJ111" s="68" t="s">
        <v>48</v>
      </c>
    </row>
    <row r="112" spans="1:62" ht="18" customHeight="1" x14ac:dyDescent="0.3">
      <c r="A112" s="150"/>
      <c r="B112" s="78" t="s">
        <v>98</v>
      </c>
      <c r="C112" s="12">
        <v>46131</v>
      </c>
      <c r="D112" s="20">
        <f t="shared" si="17"/>
        <v>40</v>
      </c>
      <c r="E112" s="174" t="str">
        <f t="shared" si="20"/>
        <v/>
      </c>
      <c r="F112" s="174"/>
      <c r="G112" s="174" t="str">
        <f t="shared" si="26"/>
        <v/>
      </c>
      <c r="H112" s="174"/>
      <c r="I112" s="174">
        <v>10</v>
      </c>
      <c r="J112" s="174">
        <v>20</v>
      </c>
      <c r="K112" s="174" t="s">
        <v>71</v>
      </c>
      <c r="L112" s="174"/>
      <c r="M112" s="174" t="str">
        <f t="shared" si="23"/>
        <v/>
      </c>
      <c r="N112" s="174"/>
      <c r="O112" s="173"/>
      <c r="P112" s="173"/>
      <c r="Q112" s="173"/>
      <c r="R112" s="173"/>
      <c r="S112" s="172"/>
      <c r="T112" s="172"/>
      <c r="U112" s="173"/>
      <c r="V112" s="173"/>
      <c r="W112" s="172"/>
      <c r="X112" s="172"/>
      <c r="Y112" s="172" t="str">
        <f t="shared" si="30"/>
        <v/>
      </c>
      <c r="Z112" s="172"/>
      <c r="AA112" s="172"/>
      <c r="AB112" s="172"/>
      <c r="AC112" s="172"/>
      <c r="AD112" s="172"/>
      <c r="AE112" s="174">
        <v>10</v>
      </c>
      <c r="AF112" s="174">
        <v>20</v>
      </c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4"/>
      <c r="AR112" s="174"/>
      <c r="AS112" s="174"/>
      <c r="AT112" s="174"/>
      <c r="AU112" s="174"/>
      <c r="AV112" s="174"/>
      <c r="AW112" s="174"/>
      <c r="AX112" s="191"/>
      <c r="AY112" s="11"/>
      <c r="AZ112" s="11"/>
      <c r="BA112" s="11"/>
      <c r="BB112" s="11"/>
      <c r="BC112" s="11"/>
      <c r="BD112" s="13"/>
      <c r="BE112" s="11" t="str">
        <f t="shared" si="28"/>
        <v>Sí</v>
      </c>
      <c r="BF112" s="22" t="str">
        <f t="shared" si="29"/>
        <v>CPW03, G 102 I</v>
      </c>
      <c r="BG112" s="11" t="s">
        <v>47</v>
      </c>
      <c r="BH112" s="11" t="str">
        <f t="shared" si="19"/>
        <v>Ejecutado</v>
      </c>
      <c r="BI112" s="12">
        <v>46131</v>
      </c>
      <c r="BJ112" s="68" t="s">
        <v>48</v>
      </c>
    </row>
    <row r="113" spans="1:62" ht="18" customHeight="1" x14ac:dyDescent="0.3">
      <c r="A113" s="150"/>
      <c r="B113" s="78" t="s">
        <v>99</v>
      </c>
      <c r="C113" s="12">
        <v>46132</v>
      </c>
      <c r="D113" s="20">
        <f t="shared" si="17"/>
        <v>20</v>
      </c>
      <c r="E113" s="174" t="str">
        <f t="shared" si="20"/>
        <v/>
      </c>
      <c r="F113" s="174"/>
      <c r="G113" s="174" t="str">
        <f t="shared" si="26"/>
        <v/>
      </c>
      <c r="H113" s="174"/>
      <c r="I113" s="174" t="str">
        <f t="shared" ref="I113:I153" si="31">IF(MOD(C115-$C$30,42)=0,8,"")</f>
        <v/>
      </c>
      <c r="J113" s="174"/>
      <c r="K113" s="174" t="s">
        <v>71</v>
      </c>
      <c r="L113" s="174"/>
      <c r="M113" s="174" t="str">
        <f t="shared" si="23"/>
        <v/>
      </c>
      <c r="N113" s="174"/>
      <c r="O113" s="173"/>
      <c r="P113" s="173"/>
      <c r="Q113" s="173"/>
      <c r="R113" s="173"/>
      <c r="S113" s="172"/>
      <c r="T113" s="172"/>
      <c r="U113" s="173"/>
      <c r="V113" s="173"/>
      <c r="W113" s="172"/>
      <c r="X113" s="172"/>
      <c r="Y113" s="172" t="str">
        <f t="shared" si="30"/>
        <v/>
      </c>
      <c r="Z113" s="172"/>
      <c r="AA113" s="172"/>
      <c r="AB113" s="172"/>
      <c r="AC113" s="172"/>
      <c r="AD113" s="172"/>
      <c r="AE113" s="172"/>
      <c r="AF113" s="172"/>
      <c r="AG113" s="174">
        <v>10</v>
      </c>
      <c r="AH113" s="174">
        <v>20</v>
      </c>
      <c r="AI113" s="172"/>
      <c r="AJ113" s="172"/>
      <c r="AK113" s="172"/>
      <c r="AL113" s="172"/>
      <c r="AM113" s="172"/>
      <c r="AN113" s="172"/>
      <c r="AO113" s="172"/>
      <c r="AP113" s="172"/>
      <c r="AQ113" s="174"/>
      <c r="AR113" s="174"/>
      <c r="AS113" s="174"/>
      <c r="AT113" s="174"/>
      <c r="AU113" s="174"/>
      <c r="AV113" s="174"/>
      <c r="AW113" s="174"/>
      <c r="AX113" s="191"/>
      <c r="AY113" s="11"/>
      <c r="AZ113" s="11"/>
      <c r="BA113" s="11"/>
      <c r="BB113" s="11"/>
      <c r="BC113" s="11"/>
      <c r="BD113" s="13"/>
      <c r="BE113" s="11" t="str">
        <f t="shared" si="28"/>
        <v>Sí</v>
      </c>
      <c r="BF113" s="22" t="str">
        <f t="shared" si="29"/>
        <v>G 102 E</v>
      </c>
      <c r="BG113" s="11"/>
      <c r="BH113" s="11" t="str">
        <f t="shared" si="19"/>
        <v>Programado pendiente</v>
      </c>
      <c r="BI113" s="12"/>
      <c r="BJ113" s="68"/>
    </row>
    <row r="114" spans="1:62" ht="18" customHeight="1" x14ac:dyDescent="0.3">
      <c r="A114" s="150"/>
      <c r="B114" s="78" t="s">
        <v>100</v>
      </c>
      <c r="C114" s="12">
        <v>46133</v>
      </c>
      <c r="D114" s="20">
        <f t="shared" si="17"/>
        <v>40</v>
      </c>
      <c r="E114" s="174" t="str">
        <f t="shared" si="20"/>
        <v/>
      </c>
      <c r="F114" s="174"/>
      <c r="G114" s="174">
        <v>10</v>
      </c>
      <c r="H114" s="174">
        <v>20</v>
      </c>
      <c r="I114" s="174" t="str">
        <f t="shared" si="31"/>
        <v/>
      </c>
      <c r="J114" s="174"/>
      <c r="K114" s="174" t="s">
        <v>71</v>
      </c>
      <c r="L114" s="174"/>
      <c r="M114" s="174" t="str">
        <f t="shared" si="23"/>
        <v/>
      </c>
      <c r="N114" s="174"/>
      <c r="O114" s="173"/>
      <c r="P114" s="173"/>
      <c r="Q114" s="173"/>
      <c r="R114" s="173"/>
      <c r="S114" s="172"/>
      <c r="T114" s="172"/>
      <c r="U114" s="173"/>
      <c r="V114" s="173"/>
      <c r="W114" s="172"/>
      <c r="X114" s="172"/>
      <c r="Y114" s="172" t="str">
        <f t="shared" si="30"/>
        <v/>
      </c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4">
        <v>10</v>
      </c>
      <c r="AJ114" s="174">
        <v>20</v>
      </c>
      <c r="AK114" s="172"/>
      <c r="AL114" s="172"/>
      <c r="AM114" s="172"/>
      <c r="AN114" s="172"/>
      <c r="AO114" s="172"/>
      <c r="AP114" s="172"/>
      <c r="AQ114" s="174"/>
      <c r="AR114" s="174"/>
      <c r="AS114" s="174"/>
      <c r="AT114" s="174"/>
      <c r="AU114" s="174"/>
      <c r="AV114" s="174"/>
      <c r="AW114" s="174"/>
      <c r="AX114" s="191"/>
      <c r="AY114" s="11"/>
      <c r="AZ114" s="11"/>
      <c r="BA114" s="11"/>
      <c r="BB114" s="11"/>
      <c r="BC114" s="11"/>
      <c r="BD114" s="13"/>
      <c r="BE114" s="11" t="str">
        <f t="shared" si="28"/>
        <v>Sí</v>
      </c>
      <c r="BF114" s="22" t="str">
        <f t="shared" si="29"/>
        <v>CPW01, G 102 A</v>
      </c>
      <c r="BG114" s="11" t="s">
        <v>47</v>
      </c>
      <c r="BH114" s="11" t="str">
        <f t="shared" si="19"/>
        <v>Ejecutado</v>
      </c>
      <c r="BI114" s="12">
        <v>46138</v>
      </c>
      <c r="BJ114" s="68" t="s">
        <v>102</v>
      </c>
    </row>
    <row r="115" spans="1:62" ht="18" customHeight="1" x14ac:dyDescent="0.3">
      <c r="A115" s="150"/>
      <c r="B115" s="78" t="s">
        <v>101</v>
      </c>
      <c r="C115" s="12">
        <v>46134</v>
      </c>
      <c r="D115" s="20">
        <f t="shared" si="17"/>
        <v>20</v>
      </c>
      <c r="E115" s="174" t="str">
        <f t="shared" si="20"/>
        <v/>
      </c>
      <c r="F115" s="174"/>
      <c r="G115" s="174" t="str">
        <f t="shared" ref="G115:G155" si="32">IF(MOD(C115-$C$30,42)=0,8,"")</f>
        <v/>
      </c>
      <c r="H115" s="174"/>
      <c r="I115" s="174" t="str">
        <f t="shared" si="31"/>
        <v/>
      </c>
      <c r="J115" s="174"/>
      <c r="K115" s="174" t="s">
        <v>71</v>
      </c>
      <c r="L115" s="174"/>
      <c r="M115" s="174" t="str">
        <f t="shared" si="23"/>
        <v/>
      </c>
      <c r="N115" s="174"/>
      <c r="O115" s="173"/>
      <c r="P115" s="173"/>
      <c r="Q115" s="173"/>
      <c r="R115" s="173"/>
      <c r="S115" s="172"/>
      <c r="T115" s="172"/>
      <c r="U115" s="173"/>
      <c r="V115" s="173"/>
      <c r="W115" s="172"/>
      <c r="X115" s="172"/>
      <c r="Y115" s="172" t="str">
        <f t="shared" si="30"/>
        <v/>
      </c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4">
        <v>10</v>
      </c>
      <c r="AL115" s="174">
        <v>20</v>
      </c>
      <c r="AM115" s="172"/>
      <c r="AN115" s="172"/>
      <c r="AO115" s="172"/>
      <c r="AP115" s="172"/>
      <c r="AQ115" s="174"/>
      <c r="AR115" s="174"/>
      <c r="AS115" s="174"/>
      <c r="AT115" s="174"/>
      <c r="AU115" s="174"/>
      <c r="AV115" s="174"/>
      <c r="AW115" s="174"/>
      <c r="AX115" s="191"/>
      <c r="AY115" s="11"/>
      <c r="AZ115" s="11"/>
      <c r="BA115" s="11"/>
      <c r="BB115" s="11"/>
      <c r="BC115" s="11"/>
      <c r="BD115" s="13"/>
      <c r="BE115" s="11" t="str">
        <f t="shared" si="28"/>
        <v>Sí</v>
      </c>
      <c r="BF115" s="22" t="str">
        <f t="shared" si="29"/>
        <v>G 101 V</v>
      </c>
      <c r="BG115" s="11"/>
      <c r="BH115" s="11" t="str">
        <f t="shared" si="19"/>
        <v>Programado pendiente</v>
      </c>
      <c r="BI115" s="12"/>
      <c r="BJ115" s="68"/>
    </row>
    <row r="116" spans="1:62" ht="18" customHeight="1" x14ac:dyDescent="0.3">
      <c r="A116" s="150"/>
      <c r="B116" s="78" t="s">
        <v>94</v>
      </c>
      <c r="C116" s="12">
        <v>46135</v>
      </c>
      <c r="D116" s="20">
        <f t="shared" si="17"/>
        <v>20</v>
      </c>
      <c r="E116" s="174" t="str">
        <f t="shared" si="20"/>
        <v/>
      </c>
      <c r="F116" s="174"/>
      <c r="G116" s="174" t="str">
        <f t="shared" si="32"/>
        <v/>
      </c>
      <c r="H116" s="174"/>
      <c r="I116" s="174" t="str">
        <f t="shared" si="31"/>
        <v/>
      </c>
      <c r="J116" s="174"/>
      <c r="K116" s="174" t="s">
        <v>71</v>
      </c>
      <c r="L116" s="174"/>
      <c r="M116" s="174" t="str">
        <f t="shared" si="23"/>
        <v/>
      </c>
      <c r="N116" s="174"/>
      <c r="O116" s="173"/>
      <c r="P116" s="173"/>
      <c r="Q116" s="173"/>
      <c r="R116" s="173"/>
      <c r="S116" s="172"/>
      <c r="T116" s="172"/>
      <c r="U116" s="173"/>
      <c r="V116" s="173"/>
      <c r="W116" s="172"/>
      <c r="X116" s="172"/>
      <c r="Y116" s="172" t="str">
        <f t="shared" si="30"/>
        <v/>
      </c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4">
        <v>10</v>
      </c>
      <c r="AN116" s="174">
        <v>20</v>
      </c>
      <c r="AO116" s="172"/>
      <c r="AP116" s="172"/>
      <c r="AQ116" s="174"/>
      <c r="AR116" s="174"/>
      <c r="AS116" s="172"/>
      <c r="AT116" s="172"/>
      <c r="AU116" s="174"/>
      <c r="AV116" s="174"/>
      <c r="AW116" s="174"/>
      <c r="AX116" s="191"/>
      <c r="AY116" s="11"/>
      <c r="AZ116" s="11"/>
      <c r="BA116" s="11"/>
      <c r="BB116" s="11"/>
      <c r="BC116" s="11"/>
      <c r="BD116" s="13"/>
      <c r="BE116" s="11" t="str">
        <f t="shared" si="28"/>
        <v>Sí</v>
      </c>
      <c r="BF116" s="22" t="str">
        <f t="shared" si="29"/>
        <v>G102 J</v>
      </c>
      <c r="BG116" s="11"/>
      <c r="BH116" s="11" t="str">
        <f t="shared" si="19"/>
        <v>Programado pendiente</v>
      </c>
      <c r="BI116" s="12"/>
      <c r="BJ116" s="68"/>
    </row>
    <row r="117" spans="1:62" ht="18" customHeight="1" x14ac:dyDescent="0.3">
      <c r="A117" s="150"/>
      <c r="B117" s="78" t="s">
        <v>95</v>
      </c>
      <c r="C117" s="12">
        <v>46136</v>
      </c>
      <c r="D117" s="20">
        <f t="shared" si="17"/>
        <v>20</v>
      </c>
      <c r="E117" s="174" t="str">
        <f t="shared" si="20"/>
        <v/>
      </c>
      <c r="F117" s="174"/>
      <c r="G117" s="174" t="str">
        <f t="shared" si="32"/>
        <v/>
      </c>
      <c r="H117" s="174"/>
      <c r="I117" s="174" t="str">
        <f t="shared" si="31"/>
        <v/>
      </c>
      <c r="J117" s="174"/>
      <c r="K117" s="174" t="s">
        <v>71</v>
      </c>
      <c r="L117" s="174"/>
      <c r="M117" s="174" t="str">
        <f t="shared" si="23"/>
        <v/>
      </c>
      <c r="N117" s="174"/>
      <c r="O117" s="173"/>
      <c r="P117" s="173"/>
      <c r="Q117" s="173"/>
      <c r="R117" s="173"/>
      <c r="S117" s="172"/>
      <c r="T117" s="172"/>
      <c r="U117" s="173"/>
      <c r="V117" s="173"/>
      <c r="W117" s="172"/>
      <c r="X117" s="172"/>
      <c r="Y117" s="172" t="str">
        <f t="shared" si="30"/>
        <v/>
      </c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4">
        <v>10</v>
      </c>
      <c r="AP117" s="174">
        <v>20</v>
      </c>
      <c r="AQ117" s="174"/>
      <c r="AR117" s="174"/>
      <c r="AS117" s="174"/>
      <c r="AT117" s="174"/>
      <c r="AU117" s="174"/>
      <c r="AV117" s="174"/>
      <c r="AW117" s="174"/>
      <c r="AX117" s="191"/>
      <c r="AY117" s="11"/>
      <c r="AZ117" s="11"/>
      <c r="BA117" s="11"/>
      <c r="BB117" s="11"/>
      <c r="BC117" s="11"/>
      <c r="BD117" s="13"/>
      <c r="BE117" s="11" t="str">
        <f t="shared" si="28"/>
        <v>Sí</v>
      </c>
      <c r="BF117" s="22" t="str">
        <f t="shared" si="29"/>
        <v>G102K</v>
      </c>
      <c r="BG117" s="11"/>
      <c r="BH117" s="11" t="str">
        <f t="shared" si="19"/>
        <v>Programado pendiente</v>
      </c>
      <c r="BI117" s="12"/>
      <c r="BJ117" s="68"/>
    </row>
    <row r="118" spans="1:62" ht="60.6" customHeight="1" x14ac:dyDescent="0.3">
      <c r="A118" s="150"/>
      <c r="B118" s="78" t="s">
        <v>97</v>
      </c>
      <c r="C118" s="12">
        <v>46137</v>
      </c>
      <c r="D118" s="20">
        <f t="shared" si="17"/>
        <v>40</v>
      </c>
      <c r="E118" s="174" t="str">
        <f t="shared" si="20"/>
        <v/>
      </c>
      <c r="F118" s="174"/>
      <c r="G118" s="174" t="str">
        <f t="shared" si="32"/>
        <v/>
      </c>
      <c r="H118" s="174"/>
      <c r="I118" s="174" t="str">
        <f t="shared" si="31"/>
        <v/>
      </c>
      <c r="J118" s="174"/>
      <c r="K118" s="193">
        <v>10</v>
      </c>
      <c r="L118" s="174">
        <v>20</v>
      </c>
      <c r="M118" s="174">
        <v>10</v>
      </c>
      <c r="N118" s="174">
        <v>20</v>
      </c>
      <c r="O118" s="173"/>
      <c r="P118" s="173"/>
      <c r="Q118" s="173"/>
      <c r="R118" s="173"/>
      <c r="S118" s="174"/>
      <c r="T118" s="174"/>
      <c r="U118" s="173"/>
      <c r="V118" s="173"/>
      <c r="W118" s="172"/>
      <c r="X118" s="172"/>
      <c r="Y118" s="174" t="str">
        <f t="shared" si="22"/>
        <v/>
      </c>
      <c r="Z118" s="174"/>
      <c r="AA118" s="174"/>
      <c r="AB118" s="174"/>
      <c r="AC118" s="172"/>
      <c r="AD118" s="172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91"/>
      <c r="AY118" s="11"/>
      <c r="AZ118" s="11"/>
      <c r="BA118" s="11"/>
      <c r="BB118" s="11"/>
      <c r="BC118" s="11"/>
      <c r="BD118" s="13"/>
      <c r="BE118" s="11" t="str">
        <f t="shared" si="28"/>
        <v>Sí</v>
      </c>
      <c r="BF118" s="22" t="str">
        <f t="shared" si="29"/>
        <v>CPW04
, CPW05</v>
      </c>
      <c r="BG118" s="11" t="s">
        <v>47</v>
      </c>
      <c r="BH118" s="11" t="str">
        <f t="shared" si="19"/>
        <v>Ejecutado</v>
      </c>
      <c r="BI118" s="56" t="s">
        <v>103</v>
      </c>
      <c r="BJ118" s="68" t="s">
        <v>104</v>
      </c>
    </row>
    <row r="119" spans="1:62" ht="18" customHeight="1" x14ac:dyDescent="0.3">
      <c r="A119" s="150"/>
      <c r="B119" s="78" t="s">
        <v>98</v>
      </c>
      <c r="C119" s="12">
        <v>46138</v>
      </c>
      <c r="D119" s="20">
        <f t="shared" si="17"/>
        <v>0</v>
      </c>
      <c r="E119" s="174" t="str">
        <f t="shared" si="20"/>
        <v/>
      </c>
      <c r="F119" s="174"/>
      <c r="G119" s="174" t="str">
        <f t="shared" si="32"/>
        <v/>
      </c>
      <c r="H119" s="174"/>
      <c r="I119" s="174" t="str">
        <f t="shared" si="31"/>
        <v/>
      </c>
      <c r="J119" s="174"/>
      <c r="K119" s="174" t="s">
        <v>71</v>
      </c>
      <c r="L119" s="174"/>
      <c r="M119" s="174" t="str">
        <f t="shared" si="23"/>
        <v/>
      </c>
      <c r="N119" s="174"/>
      <c r="O119" s="173"/>
      <c r="P119" s="173"/>
      <c r="Q119" s="173"/>
      <c r="R119" s="173"/>
      <c r="S119" s="174"/>
      <c r="T119" s="174"/>
      <c r="U119" s="173"/>
      <c r="V119" s="173"/>
      <c r="W119" s="172"/>
      <c r="X119" s="172"/>
      <c r="Y119" s="174" t="str">
        <f t="shared" si="22"/>
        <v/>
      </c>
      <c r="Z119" s="174"/>
      <c r="AA119" s="174"/>
      <c r="AB119" s="174"/>
      <c r="AC119" s="172"/>
      <c r="AD119" s="172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91"/>
      <c r="AY119" s="11"/>
      <c r="AZ119" s="11"/>
      <c r="BA119" s="11"/>
      <c r="BB119" s="11"/>
      <c r="BC119" s="11"/>
      <c r="BD119" s="13"/>
      <c r="BE119" s="11" t="str">
        <f t="shared" si="28"/>
        <v>No</v>
      </c>
      <c r="BF119" s="22" t="str">
        <f t="shared" si="29"/>
        <v/>
      </c>
      <c r="BG119" s="11"/>
      <c r="BH119" s="11" t="str">
        <f t="shared" si="19"/>
        <v>No aplica</v>
      </c>
      <c r="BI119" s="12"/>
      <c r="BJ119" s="68"/>
    </row>
    <row r="120" spans="1:62" ht="18" customHeight="1" x14ac:dyDescent="0.3">
      <c r="A120" s="150"/>
      <c r="B120" s="78" t="s">
        <v>99</v>
      </c>
      <c r="C120" s="12">
        <v>46139</v>
      </c>
      <c r="D120" s="20">
        <f t="shared" si="17"/>
        <v>0</v>
      </c>
      <c r="E120" s="174" t="str">
        <f t="shared" si="20"/>
        <v/>
      </c>
      <c r="F120" s="174"/>
      <c r="G120" s="174" t="str">
        <f t="shared" si="32"/>
        <v/>
      </c>
      <c r="H120" s="174"/>
      <c r="I120" s="174" t="str">
        <f t="shared" si="31"/>
        <v/>
      </c>
      <c r="J120" s="174"/>
      <c r="K120" s="174" t="s">
        <v>71</v>
      </c>
      <c r="L120" s="174"/>
      <c r="M120" s="174" t="str">
        <f t="shared" si="23"/>
        <v/>
      </c>
      <c r="N120" s="174"/>
      <c r="O120" s="173"/>
      <c r="P120" s="173"/>
      <c r="Q120" s="173"/>
      <c r="R120" s="173"/>
      <c r="S120" s="174"/>
      <c r="T120" s="174"/>
      <c r="U120" s="173"/>
      <c r="V120" s="173"/>
      <c r="W120" s="172"/>
      <c r="X120" s="172"/>
      <c r="Y120" s="174" t="str">
        <f t="shared" si="22"/>
        <v/>
      </c>
      <c r="Z120" s="174"/>
      <c r="AA120" s="174"/>
      <c r="AB120" s="174"/>
      <c r="AC120" s="172"/>
      <c r="AD120" s="172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4"/>
      <c r="AT120" s="174"/>
      <c r="AU120" s="174"/>
      <c r="AV120" s="174"/>
      <c r="AW120" s="174"/>
      <c r="AX120" s="191"/>
      <c r="AY120" s="11"/>
      <c r="AZ120" s="11"/>
      <c r="BA120" s="11"/>
      <c r="BB120" s="11"/>
      <c r="BC120" s="11"/>
      <c r="BD120" s="13"/>
      <c r="BE120" s="11" t="str">
        <f t="shared" si="28"/>
        <v>No</v>
      </c>
      <c r="BF120" s="22" t="str">
        <f t="shared" si="29"/>
        <v/>
      </c>
      <c r="BG120" s="11"/>
      <c r="BH120" s="11" t="str">
        <f t="shared" si="19"/>
        <v>No aplica</v>
      </c>
      <c r="BI120" s="12"/>
      <c r="BJ120" s="68"/>
    </row>
    <row r="121" spans="1:62" ht="18" customHeight="1" x14ac:dyDescent="0.3">
      <c r="A121" s="150"/>
      <c r="B121" s="78" t="s">
        <v>100</v>
      </c>
      <c r="C121" s="12">
        <v>46140</v>
      </c>
      <c r="D121" s="20">
        <f t="shared" si="17"/>
        <v>0</v>
      </c>
      <c r="E121" s="174" t="str">
        <f t="shared" si="20"/>
        <v/>
      </c>
      <c r="F121" s="174"/>
      <c r="G121" s="174" t="str">
        <f t="shared" si="32"/>
        <v/>
      </c>
      <c r="H121" s="174"/>
      <c r="I121" s="174" t="str">
        <f t="shared" si="31"/>
        <v/>
      </c>
      <c r="J121" s="174"/>
      <c r="K121" s="174" t="s">
        <v>71</v>
      </c>
      <c r="L121" s="174"/>
      <c r="M121" s="174" t="str">
        <f t="shared" si="23"/>
        <v/>
      </c>
      <c r="N121" s="174"/>
      <c r="O121" s="173"/>
      <c r="P121" s="173"/>
      <c r="Q121" s="173"/>
      <c r="R121" s="173"/>
      <c r="S121" s="174"/>
      <c r="T121" s="174"/>
      <c r="U121" s="173"/>
      <c r="V121" s="173"/>
      <c r="W121" s="172"/>
      <c r="X121" s="172"/>
      <c r="Y121" s="174" t="str">
        <f t="shared" si="22"/>
        <v/>
      </c>
      <c r="Z121" s="174"/>
      <c r="AA121" s="174"/>
      <c r="AB121" s="174"/>
      <c r="AC121" s="172"/>
      <c r="AD121" s="172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4"/>
      <c r="AT121" s="174"/>
      <c r="AU121" s="174"/>
      <c r="AV121" s="174"/>
      <c r="AW121" s="174"/>
      <c r="AX121" s="191"/>
      <c r="AY121" s="11"/>
      <c r="AZ121" s="11"/>
      <c r="BA121" s="11"/>
      <c r="BB121" s="11"/>
      <c r="BC121" s="11"/>
      <c r="BD121" s="13"/>
      <c r="BE121" s="11" t="str">
        <f t="shared" si="28"/>
        <v>No</v>
      </c>
      <c r="BF121" s="22" t="str">
        <f t="shared" si="29"/>
        <v/>
      </c>
      <c r="BG121" s="11"/>
      <c r="BH121" s="11" t="str">
        <f t="shared" si="19"/>
        <v>No aplica</v>
      </c>
      <c r="BI121" s="12"/>
      <c r="BJ121" s="68"/>
    </row>
    <row r="122" spans="1:62" ht="18" customHeight="1" x14ac:dyDescent="0.3">
      <c r="A122" s="150"/>
      <c r="B122" s="78" t="s">
        <v>101</v>
      </c>
      <c r="C122" s="12">
        <v>46141</v>
      </c>
      <c r="D122" s="20">
        <f t="shared" si="17"/>
        <v>0</v>
      </c>
      <c r="E122" s="174" t="str">
        <f t="shared" si="20"/>
        <v/>
      </c>
      <c r="F122" s="174"/>
      <c r="G122" s="174" t="str">
        <f t="shared" si="32"/>
        <v/>
      </c>
      <c r="H122" s="174"/>
      <c r="I122" s="174" t="str">
        <f t="shared" si="31"/>
        <v/>
      </c>
      <c r="J122" s="174"/>
      <c r="K122" s="174" t="s">
        <v>71</v>
      </c>
      <c r="L122" s="174"/>
      <c r="M122" s="174" t="str">
        <f t="shared" si="23"/>
        <v/>
      </c>
      <c r="N122" s="174"/>
      <c r="O122" s="173"/>
      <c r="P122" s="173"/>
      <c r="Q122" s="173"/>
      <c r="R122" s="173"/>
      <c r="S122" s="174"/>
      <c r="T122" s="174"/>
      <c r="U122" s="173"/>
      <c r="V122" s="173"/>
      <c r="W122" s="172"/>
      <c r="X122" s="172"/>
      <c r="Y122" s="174" t="str">
        <f t="shared" si="22"/>
        <v/>
      </c>
      <c r="Z122" s="174"/>
      <c r="AA122" s="174"/>
      <c r="AB122" s="174"/>
      <c r="AC122" s="172"/>
      <c r="AD122" s="172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4"/>
      <c r="AT122" s="174"/>
      <c r="AU122" s="174"/>
      <c r="AV122" s="174"/>
      <c r="AW122" s="197">
        <v>4</v>
      </c>
      <c r="AX122" s="198">
        <v>8</v>
      </c>
      <c r="AY122" s="11"/>
      <c r="AZ122" s="11"/>
      <c r="BA122" s="11"/>
      <c r="BB122" s="11"/>
      <c r="BC122" s="11"/>
      <c r="BD122" s="13"/>
      <c r="BE122" s="11" t="str">
        <f t="shared" si="28"/>
        <v>Sí</v>
      </c>
      <c r="BF122" s="22" t="str">
        <f t="shared" si="29"/>
        <v>CYC</v>
      </c>
      <c r="BG122" s="11"/>
      <c r="BH122" s="11" t="str">
        <f t="shared" si="19"/>
        <v>Programado pendiente</v>
      </c>
      <c r="BI122" s="12"/>
      <c r="BJ122" s="68"/>
    </row>
    <row r="123" spans="1:62" ht="18" customHeight="1" thickBot="1" x14ac:dyDescent="0.35">
      <c r="A123" s="151"/>
      <c r="B123" s="53" t="s">
        <v>94</v>
      </c>
      <c r="C123" s="30">
        <v>46142</v>
      </c>
      <c r="D123" s="31">
        <f t="shared" si="17"/>
        <v>0</v>
      </c>
      <c r="E123" s="182" t="str">
        <f t="shared" si="20"/>
        <v/>
      </c>
      <c r="F123" s="182"/>
      <c r="G123" s="182" t="str">
        <f t="shared" si="32"/>
        <v/>
      </c>
      <c r="H123" s="182"/>
      <c r="I123" s="182" t="str">
        <f t="shared" si="31"/>
        <v/>
      </c>
      <c r="J123" s="182"/>
      <c r="K123" s="182" t="s">
        <v>71</v>
      </c>
      <c r="L123" s="182"/>
      <c r="M123" s="182" t="str">
        <f t="shared" si="23"/>
        <v/>
      </c>
      <c r="N123" s="182"/>
      <c r="O123" s="181"/>
      <c r="P123" s="181"/>
      <c r="Q123" s="181"/>
      <c r="R123" s="181"/>
      <c r="S123" s="182"/>
      <c r="T123" s="182"/>
      <c r="U123" s="181"/>
      <c r="V123" s="181"/>
      <c r="W123" s="179"/>
      <c r="X123" s="179"/>
      <c r="Y123" s="182" t="str">
        <f t="shared" si="22"/>
        <v/>
      </c>
      <c r="Z123" s="182"/>
      <c r="AA123" s="182"/>
      <c r="AB123" s="182"/>
      <c r="AC123" s="179"/>
      <c r="AD123" s="179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204">
        <v>4</v>
      </c>
      <c r="AT123" s="205">
        <v>8</v>
      </c>
      <c r="AU123" s="204">
        <v>4</v>
      </c>
      <c r="AV123" s="205">
        <v>8</v>
      </c>
      <c r="AW123" s="182"/>
      <c r="AX123" s="199"/>
      <c r="AY123" s="70"/>
      <c r="AZ123" s="70"/>
      <c r="BA123" s="70"/>
      <c r="BB123" s="70"/>
      <c r="BC123" s="70"/>
      <c r="BD123" s="71"/>
      <c r="BE123" s="70" t="str">
        <f t="shared" si="28"/>
        <v>No</v>
      </c>
      <c r="BF123" s="72" t="str">
        <f t="shared" si="29"/>
        <v/>
      </c>
      <c r="BG123" s="70"/>
      <c r="BH123" s="70" t="str">
        <f t="shared" si="19"/>
        <v>No aplica</v>
      </c>
      <c r="BI123" s="30"/>
      <c r="BJ123" s="73"/>
    </row>
    <row r="124" spans="1:62" ht="18" customHeight="1" x14ac:dyDescent="0.3">
      <c r="A124" s="148" t="s">
        <v>60</v>
      </c>
      <c r="B124" s="52" t="s">
        <v>95</v>
      </c>
      <c r="C124" s="15">
        <v>46143</v>
      </c>
      <c r="D124" s="27">
        <f t="shared" si="17"/>
        <v>20</v>
      </c>
      <c r="E124" s="170" t="str">
        <f t="shared" si="20"/>
        <v/>
      </c>
      <c r="F124" s="170"/>
      <c r="G124" s="170" t="str">
        <f t="shared" si="32"/>
        <v/>
      </c>
      <c r="H124" s="170"/>
      <c r="I124" s="170" t="str">
        <f t="shared" si="31"/>
        <v/>
      </c>
      <c r="J124" s="170"/>
      <c r="K124" s="170" t="s">
        <v>71</v>
      </c>
      <c r="L124" s="170"/>
      <c r="M124" s="170" t="str">
        <f t="shared" si="23"/>
        <v/>
      </c>
      <c r="N124" s="170"/>
      <c r="O124" s="169"/>
      <c r="P124" s="169"/>
      <c r="Q124" s="169"/>
      <c r="R124" s="169"/>
      <c r="S124" s="168"/>
      <c r="T124" s="168"/>
      <c r="U124" s="169"/>
      <c r="V124" s="169"/>
      <c r="W124" s="168"/>
      <c r="X124" s="168"/>
      <c r="Y124" s="170">
        <v>10</v>
      </c>
      <c r="Z124" s="170">
        <v>20</v>
      </c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70"/>
      <c r="AR124" s="170"/>
      <c r="AS124" s="170"/>
      <c r="AT124" s="170"/>
      <c r="AU124" s="170"/>
      <c r="AV124" s="170"/>
      <c r="AW124" s="170"/>
      <c r="AX124" s="201"/>
      <c r="AY124" s="14"/>
      <c r="AZ124" s="14"/>
      <c r="BA124" s="14"/>
      <c r="BB124" s="14"/>
      <c r="BC124" s="14"/>
      <c r="BD124" s="65"/>
      <c r="BE124" s="14" t="str">
        <f t="shared" si="28"/>
        <v>Sí</v>
      </c>
      <c r="BF124" s="21" t="str">
        <f t="shared" si="29"/>
        <v>JINAN 01</v>
      </c>
      <c r="BG124" s="14" t="s">
        <v>47</v>
      </c>
      <c r="BH124" s="14" t="str">
        <f t="shared" si="19"/>
        <v>Ejecutado</v>
      </c>
      <c r="BI124" s="15">
        <v>46148</v>
      </c>
      <c r="BJ124" s="66" t="s">
        <v>105</v>
      </c>
    </row>
    <row r="125" spans="1:62" ht="18" customHeight="1" x14ac:dyDescent="0.3">
      <c r="A125" s="150"/>
      <c r="B125" s="78" t="s">
        <v>97</v>
      </c>
      <c r="C125" s="12">
        <v>46144</v>
      </c>
      <c r="D125" s="20">
        <f t="shared" si="17"/>
        <v>20</v>
      </c>
      <c r="E125" s="174" t="str">
        <f t="shared" si="20"/>
        <v/>
      </c>
      <c r="F125" s="174"/>
      <c r="G125" s="174" t="str">
        <f t="shared" si="32"/>
        <v/>
      </c>
      <c r="H125" s="174"/>
      <c r="I125" s="174" t="str">
        <f t="shared" si="31"/>
        <v/>
      </c>
      <c r="J125" s="174"/>
      <c r="K125" s="174" t="s">
        <v>71</v>
      </c>
      <c r="L125" s="174"/>
      <c r="M125" s="174" t="str">
        <f t="shared" si="23"/>
        <v/>
      </c>
      <c r="N125" s="174"/>
      <c r="O125" s="173"/>
      <c r="P125" s="173"/>
      <c r="Q125" s="173"/>
      <c r="R125" s="173"/>
      <c r="S125" s="172"/>
      <c r="T125" s="172"/>
      <c r="U125" s="173"/>
      <c r="V125" s="173"/>
      <c r="W125" s="172"/>
      <c r="X125" s="172"/>
      <c r="Y125" s="172" t="str">
        <f t="shared" ref="Y125:Y132" si="33">IF(MOD(C125-$C$4,15)=0,8,"")</f>
        <v/>
      </c>
      <c r="Z125" s="172"/>
      <c r="AA125" s="174">
        <v>10</v>
      </c>
      <c r="AB125" s="174">
        <v>20</v>
      </c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4"/>
      <c r="AR125" s="174"/>
      <c r="AS125" s="174"/>
      <c r="AT125" s="174"/>
      <c r="AU125" s="174"/>
      <c r="AV125" s="174"/>
      <c r="AW125" s="174"/>
      <c r="AX125" s="191"/>
      <c r="AY125" s="11"/>
      <c r="AZ125" s="11"/>
      <c r="BA125" s="11"/>
      <c r="BB125" s="11"/>
      <c r="BC125" s="11"/>
      <c r="BD125" s="13"/>
      <c r="BE125" s="11" t="str">
        <f t="shared" si="28"/>
        <v>Sí</v>
      </c>
      <c r="BF125" s="22" t="str">
        <f t="shared" si="29"/>
        <v>JINAN 02</v>
      </c>
      <c r="BG125" s="11" t="s">
        <v>47</v>
      </c>
      <c r="BH125" s="11" t="str">
        <f t="shared" si="19"/>
        <v>Ejecutado</v>
      </c>
      <c r="BI125" s="12">
        <v>46148</v>
      </c>
      <c r="BJ125" s="68" t="s">
        <v>48</v>
      </c>
    </row>
    <row r="126" spans="1:62" ht="18" customHeight="1" x14ac:dyDescent="0.3">
      <c r="A126" s="150"/>
      <c r="B126" s="78" t="s">
        <v>98</v>
      </c>
      <c r="C126" s="12">
        <v>46145</v>
      </c>
      <c r="D126" s="20">
        <f t="shared" si="17"/>
        <v>20</v>
      </c>
      <c r="E126" s="174" t="str">
        <f t="shared" si="20"/>
        <v/>
      </c>
      <c r="F126" s="174"/>
      <c r="G126" s="174" t="str">
        <f t="shared" si="32"/>
        <v/>
      </c>
      <c r="H126" s="174"/>
      <c r="I126" s="174" t="str">
        <f t="shared" si="31"/>
        <v/>
      </c>
      <c r="J126" s="174"/>
      <c r="K126" s="174" t="s">
        <v>71</v>
      </c>
      <c r="L126" s="174"/>
      <c r="M126" s="174" t="str">
        <f t="shared" si="23"/>
        <v/>
      </c>
      <c r="N126" s="174"/>
      <c r="O126" s="173"/>
      <c r="P126" s="173"/>
      <c r="Q126" s="173"/>
      <c r="R126" s="173"/>
      <c r="S126" s="172">
        <v>8</v>
      </c>
      <c r="T126" s="172">
        <v>16</v>
      </c>
      <c r="U126" s="173"/>
      <c r="V126" s="173"/>
      <c r="W126" s="172"/>
      <c r="X126" s="172"/>
      <c r="Y126" s="172" t="str">
        <f t="shared" si="33"/>
        <v/>
      </c>
      <c r="Z126" s="172"/>
      <c r="AA126" s="172"/>
      <c r="AB126" s="172"/>
      <c r="AC126" s="174">
        <v>10</v>
      </c>
      <c r="AD126" s="174">
        <v>20</v>
      </c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4"/>
      <c r="AR126" s="174"/>
      <c r="AS126" s="174"/>
      <c r="AT126" s="174"/>
      <c r="AU126" s="174"/>
      <c r="AV126" s="174"/>
      <c r="AW126" s="174"/>
      <c r="AX126" s="191"/>
      <c r="AY126" s="11"/>
      <c r="AZ126" s="11"/>
      <c r="BA126" s="11"/>
      <c r="BB126" s="11"/>
      <c r="BC126" s="11"/>
      <c r="BD126" s="13"/>
      <c r="BE126" s="11" t="str">
        <f t="shared" si="28"/>
        <v>Sí</v>
      </c>
      <c r="BF126" s="22" t="str">
        <f t="shared" si="29"/>
        <v>CPW 10, JINAN 03/JN 10</v>
      </c>
      <c r="BG126" s="11" t="s">
        <v>47</v>
      </c>
      <c r="BH126" s="11" t="str">
        <f t="shared" si="19"/>
        <v>Ejecutado</v>
      </c>
      <c r="BI126" s="12">
        <v>46142</v>
      </c>
      <c r="BJ126" s="68" t="s">
        <v>48</v>
      </c>
    </row>
    <row r="127" spans="1:62" ht="18" customHeight="1" x14ac:dyDescent="0.3">
      <c r="A127" s="150"/>
      <c r="B127" s="78" t="s">
        <v>99</v>
      </c>
      <c r="C127" s="12">
        <v>46146</v>
      </c>
      <c r="D127" s="20">
        <f t="shared" si="17"/>
        <v>20</v>
      </c>
      <c r="E127" s="174" t="str">
        <f t="shared" si="20"/>
        <v/>
      </c>
      <c r="F127" s="174"/>
      <c r="G127" s="174" t="str">
        <f t="shared" si="32"/>
        <v/>
      </c>
      <c r="H127" s="174"/>
      <c r="I127" s="174" t="str">
        <f t="shared" si="31"/>
        <v/>
      </c>
      <c r="J127" s="174"/>
      <c r="K127" s="174" t="s">
        <v>71</v>
      </c>
      <c r="L127" s="174"/>
      <c r="M127" s="174" t="str">
        <f t="shared" si="23"/>
        <v/>
      </c>
      <c r="N127" s="174"/>
      <c r="O127" s="173"/>
      <c r="P127" s="173"/>
      <c r="Q127" s="173"/>
      <c r="R127" s="173"/>
      <c r="S127" s="172"/>
      <c r="T127" s="172"/>
      <c r="U127" s="173"/>
      <c r="V127" s="173"/>
      <c r="W127" s="172"/>
      <c r="X127" s="172"/>
      <c r="Y127" s="172" t="str">
        <f t="shared" si="33"/>
        <v/>
      </c>
      <c r="Z127" s="172"/>
      <c r="AA127" s="172"/>
      <c r="AB127" s="172"/>
      <c r="AC127" s="172"/>
      <c r="AD127" s="172"/>
      <c r="AE127" s="174">
        <v>10</v>
      </c>
      <c r="AF127" s="174">
        <v>20</v>
      </c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4"/>
      <c r="AR127" s="174"/>
      <c r="AS127" s="174"/>
      <c r="AT127" s="174"/>
      <c r="AU127" s="174"/>
      <c r="AV127" s="174"/>
      <c r="AW127" s="174"/>
      <c r="AX127" s="191"/>
      <c r="AY127" s="11"/>
      <c r="AZ127" s="11"/>
      <c r="BA127" s="11"/>
      <c r="BB127" s="11"/>
      <c r="BC127" s="11"/>
      <c r="BD127" s="13"/>
      <c r="BE127" s="11" t="str">
        <f t="shared" si="28"/>
        <v>Sí</v>
      </c>
      <c r="BF127" s="22" t="str">
        <f t="shared" si="29"/>
        <v>G 102 I</v>
      </c>
      <c r="BG127" s="11"/>
      <c r="BH127" s="11" t="str">
        <f t="shared" si="19"/>
        <v>Programado pendiente</v>
      </c>
      <c r="BI127" s="12"/>
      <c r="BJ127" s="68"/>
    </row>
    <row r="128" spans="1:62" ht="18" customHeight="1" x14ac:dyDescent="0.3">
      <c r="A128" s="150"/>
      <c r="B128" s="78" t="s">
        <v>100</v>
      </c>
      <c r="C128" s="12">
        <v>46147</v>
      </c>
      <c r="D128" s="20">
        <f t="shared" si="17"/>
        <v>20</v>
      </c>
      <c r="E128" s="174" t="str">
        <f t="shared" si="20"/>
        <v/>
      </c>
      <c r="F128" s="174"/>
      <c r="G128" s="174" t="str">
        <f t="shared" si="32"/>
        <v/>
      </c>
      <c r="H128" s="174"/>
      <c r="I128" s="174" t="str">
        <f t="shared" si="31"/>
        <v/>
      </c>
      <c r="J128" s="174"/>
      <c r="K128" s="174" t="s">
        <v>71</v>
      </c>
      <c r="L128" s="174"/>
      <c r="M128" s="174" t="str">
        <f t="shared" si="23"/>
        <v/>
      </c>
      <c r="N128" s="174"/>
      <c r="O128" s="173"/>
      <c r="P128" s="173"/>
      <c r="Q128" s="173"/>
      <c r="R128" s="173"/>
      <c r="S128" s="172"/>
      <c r="T128" s="172"/>
      <c r="U128" s="173"/>
      <c r="V128" s="173"/>
      <c r="W128" s="172"/>
      <c r="X128" s="172"/>
      <c r="Y128" s="172" t="str">
        <f t="shared" si="33"/>
        <v/>
      </c>
      <c r="Z128" s="172"/>
      <c r="AA128" s="172"/>
      <c r="AB128" s="172"/>
      <c r="AC128" s="172"/>
      <c r="AD128" s="172"/>
      <c r="AE128" s="172"/>
      <c r="AF128" s="172"/>
      <c r="AG128" s="174">
        <v>10</v>
      </c>
      <c r="AH128" s="174">
        <v>20</v>
      </c>
      <c r="AI128" s="172"/>
      <c r="AJ128" s="172"/>
      <c r="AK128" s="172"/>
      <c r="AL128" s="172"/>
      <c r="AM128" s="172"/>
      <c r="AN128" s="172"/>
      <c r="AO128" s="172"/>
      <c r="AP128" s="172"/>
      <c r="AQ128" s="174"/>
      <c r="AR128" s="174"/>
      <c r="AS128" s="174"/>
      <c r="AT128" s="174"/>
      <c r="AU128" s="174"/>
      <c r="AV128" s="174"/>
      <c r="AW128" s="174"/>
      <c r="AX128" s="191"/>
      <c r="AY128" s="11"/>
      <c r="AZ128" s="11"/>
      <c r="BA128" s="11"/>
      <c r="BB128" s="11"/>
      <c r="BC128" s="11"/>
      <c r="BD128" s="13"/>
      <c r="BE128" s="11" t="str">
        <f t="shared" si="28"/>
        <v>Sí</v>
      </c>
      <c r="BF128" s="22" t="str">
        <f t="shared" si="29"/>
        <v>G 102 E</v>
      </c>
      <c r="BG128" s="11"/>
      <c r="BH128" s="11" t="str">
        <f t="shared" si="19"/>
        <v>Programado pendiente</v>
      </c>
      <c r="BI128" s="12"/>
      <c r="BJ128" s="68"/>
    </row>
    <row r="129" spans="1:62" ht="18" customHeight="1" x14ac:dyDescent="0.3">
      <c r="A129" s="150"/>
      <c r="B129" s="78" t="s">
        <v>101</v>
      </c>
      <c r="C129" s="12">
        <v>46148</v>
      </c>
      <c r="D129" s="20">
        <f t="shared" si="17"/>
        <v>20</v>
      </c>
      <c r="E129" s="174" t="str">
        <f t="shared" si="20"/>
        <v/>
      </c>
      <c r="F129" s="174"/>
      <c r="G129" s="174" t="str">
        <f t="shared" si="32"/>
        <v/>
      </c>
      <c r="H129" s="174"/>
      <c r="I129" s="174" t="str">
        <f t="shared" si="31"/>
        <v/>
      </c>
      <c r="J129" s="174"/>
      <c r="K129" s="174" t="s">
        <v>71</v>
      </c>
      <c r="L129" s="174"/>
      <c r="M129" s="174" t="str">
        <f t="shared" si="23"/>
        <v/>
      </c>
      <c r="N129" s="174"/>
      <c r="O129" s="173"/>
      <c r="P129" s="173"/>
      <c r="Q129" s="173"/>
      <c r="R129" s="173"/>
      <c r="S129" s="172"/>
      <c r="T129" s="172"/>
      <c r="U129" s="173"/>
      <c r="V129" s="173"/>
      <c r="W129" s="172"/>
      <c r="X129" s="172"/>
      <c r="Y129" s="172" t="str">
        <f t="shared" si="33"/>
        <v/>
      </c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4">
        <v>10</v>
      </c>
      <c r="AJ129" s="174">
        <v>20</v>
      </c>
      <c r="AK129" s="172"/>
      <c r="AL129" s="172"/>
      <c r="AM129" s="172"/>
      <c r="AN129" s="172"/>
      <c r="AO129" s="172"/>
      <c r="AP129" s="172"/>
      <c r="AQ129" s="174"/>
      <c r="AR129" s="174"/>
      <c r="AS129" s="174"/>
      <c r="AT129" s="174"/>
      <c r="AU129" s="174"/>
      <c r="AV129" s="174"/>
      <c r="AW129" s="174"/>
      <c r="AX129" s="191"/>
      <c r="AY129" s="11"/>
      <c r="AZ129" s="11"/>
      <c r="BA129" s="11"/>
      <c r="BB129" s="11"/>
      <c r="BC129" s="11"/>
      <c r="BD129" s="13"/>
      <c r="BE129" s="11" t="str">
        <f t="shared" si="28"/>
        <v>Sí</v>
      </c>
      <c r="BF129" s="22" t="str">
        <f t="shared" si="29"/>
        <v>G 102 A</v>
      </c>
      <c r="BG129" s="11" t="s">
        <v>47</v>
      </c>
      <c r="BH129" s="11" t="str">
        <f t="shared" si="19"/>
        <v>Ejecutado</v>
      </c>
      <c r="BI129" s="12">
        <f>C129</f>
        <v>46148</v>
      </c>
      <c r="BJ129" s="68"/>
    </row>
    <row r="130" spans="1:62" ht="38.4" customHeight="1" x14ac:dyDescent="0.3">
      <c r="A130" s="150"/>
      <c r="B130" s="78" t="s">
        <v>94</v>
      </c>
      <c r="C130" s="12">
        <v>46149</v>
      </c>
      <c r="D130" s="20">
        <f t="shared" si="17"/>
        <v>36</v>
      </c>
      <c r="E130" s="174">
        <v>8</v>
      </c>
      <c r="F130" s="174">
        <v>16</v>
      </c>
      <c r="G130" s="174" t="str">
        <f t="shared" si="32"/>
        <v/>
      </c>
      <c r="H130" s="174"/>
      <c r="I130" s="174" t="str">
        <f t="shared" si="31"/>
        <v/>
      </c>
      <c r="J130" s="174"/>
      <c r="K130" s="174" t="s">
        <v>71</v>
      </c>
      <c r="L130" s="174"/>
      <c r="M130" s="174" t="str">
        <f t="shared" si="23"/>
        <v/>
      </c>
      <c r="N130" s="174"/>
      <c r="O130" s="173"/>
      <c r="P130" s="173"/>
      <c r="Q130" s="173"/>
      <c r="R130" s="173"/>
      <c r="S130" s="172"/>
      <c r="T130" s="172"/>
      <c r="U130" s="173"/>
      <c r="V130" s="173"/>
      <c r="W130" s="172"/>
      <c r="X130" s="172"/>
      <c r="Y130" s="172" t="str">
        <f t="shared" si="33"/>
        <v/>
      </c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4">
        <v>10</v>
      </c>
      <c r="AL130" s="174">
        <v>20</v>
      </c>
      <c r="AM130" s="172"/>
      <c r="AN130" s="172"/>
      <c r="AO130" s="172"/>
      <c r="AP130" s="172"/>
      <c r="AQ130" s="174"/>
      <c r="AR130" s="174"/>
      <c r="AS130" s="174"/>
      <c r="AT130" s="174"/>
      <c r="AU130" s="174"/>
      <c r="AV130" s="174"/>
      <c r="AW130" s="174"/>
      <c r="AX130" s="191"/>
      <c r="AY130" s="11"/>
      <c r="AZ130" s="11"/>
      <c r="BA130" s="11"/>
      <c r="BB130" s="11"/>
      <c r="BC130" s="11"/>
      <c r="BD130" s="13"/>
      <c r="BE130" s="11" t="str">
        <f t="shared" si="28"/>
        <v>Sí</v>
      </c>
      <c r="BF130" s="22" t="str">
        <f t="shared" si="29"/>
        <v>CPW02
, G 101 V</v>
      </c>
      <c r="BG130" s="11" t="s">
        <v>47</v>
      </c>
      <c r="BH130" s="11" t="str">
        <f t="shared" si="19"/>
        <v>Ejecutado</v>
      </c>
      <c r="BI130" s="12">
        <v>46147</v>
      </c>
      <c r="BJ130" s="68" t="s">
        <v>88</v>
      </c>
    </row>
    <row r="131" spans="1:62" ht="18" customHeight="1" x14ac:dyDescent="0.3">
      <c r="A131" s="150"/>
      <c r="B131" s="78" t="s">
        <v>95</v>
      </c>
      <c r="C131" s="12">
        <v>46150</v>
      </c>
      <c r="D131" s="20">
        <f t="shared" si="17"/>
        <v>20</v>
      </c>
      <c r="E131" s="174" t="str">
        <f t="shared" si="20"/>
        <v/>
      </c>
      <c r="F131" s="174"/>
      <c r="G131" s="174" t="str">
        <f t="shared" si="32"/>
        <v/>
      </c>
      <c r="H131" s="174"/>
      <c r="I131" s="174" t="str">
        <f t="shared" si="31"/>
        <v/>
      </c>
      <c r="J131" s="174"/>
      <c r="K131" s="174" t="s">
        <v>71</v>
      </c>
      <c r="L131" s="174"/>
      <c r="M131" s="174" t="str">
        <f t="shared" si="23"/>
        <v/>
      </c>
      <c r="N131" s="174"/>
      <c r="O131" s="173"/>
      <c r="P131" s="173"/>
      <c r="Q131" s="173"/>
      <c r="R131" s="173"/>
      <c r="S131" s="172"/>
      <c r="T131" s="172"/>
      <c r="U131" s="173"/>
      <c r="V131" s="173"/>
      <c r="W131" s="172"/>
      <c r="X131" s="172"/>
      <c r="Y131" s="172" t="str">
        <f t="shared" si="33"/>
        <v/>
      </c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4">
        <v>10</v>
      </c>
      <c r="AN131" s="174">
        <v>20</v>
      </c>
      <c r="AO131" s="172"/>
      <c r="AP131" s="172"/>
      <c r="AQ131" s="174"/>
      <c r="AR131" s="174"/>
      <c r="AS131" s="174"/>
      <c r="AT131" s="174"/>
      <c r="AU131" s="174"/>
      <c r="AV131" s="174"/>
      <c r="AW131" s="174"/>
      <c r="AX131" s="191"/>
      <c r="AY131" s="11"/>
      <c r="AZ131" s="11"/>
      <c r="BA131" s="11"/>
      <c r="BB131" s="11"/>
      <c r="BC131" s="11"/>
      <c r="BD131" s="13"/>
      <c r="BE131" s="11" t="str">
        <f t="shared" si="28"/>
        <v>Sí</v>
      </c>
      <c r="BF131" s="22" t="str">
        <f t="shared" si="29"/>
        <v>G102 J</v>
      </c>
      <c r="BG131" s="11"/>
      <c r="BH131" s="11" t="str">
        <f t="shared" si="19"/>
        <v>Programado pendiente</v>
      </c>
      <c r="BI131" s="12"/>
      <c r="BJ131" s="68"/>
    </row>
    <row r="132" spans="1:62" ht="18" customHeight="1" x14ac:dyDescent="0.3">
      <c r="A132" s="150"/>
      <c r="B132" s="78" t="s">
        <v>97</v>
      </c>
      <c r="C132" s="12">
        <v>46151</v>
      </c>
      <c r="D132" s="20">
        <f t="shared" ref="D132:D195" si="34">+F132+H132+J132+L132+N132+P132+R132+Z132+AB132+AD132+AF132+AH132+AJ132+AL132+AN132+AP132</f>
        <v>20</v>
      </c>
      <c r="E132" s="174" t="str">
        <f t="shared" si="20"/>
        <v/>
      </c>
      <c r="F132" s="174"/>
      <c r="G132" s="174" t="str">
        <f t="shared" si="32"/>
        <v/>
      </c>
      <c r="H132" s="174"/>
      <c r="I132" s="174" t="str">
        <f t="shared" si="31"/>
        <v/>
      </c>
      <c r="J132" s="174"/>
      <c r="K132" s="174" t="s">
        <v>71</v>
      </c>
      <c r="L132" s="174"/>
      <c r="M132" s="174" t="str">
        <f t="shared" si="23"/>
        <v/>
      </c>
      <c r="N132" s="174"/>
      <c r="O132" s="173"/>
      <c r="P132" s="173"/>
      <c r="Q132" s="173"/>
      <c r="R132" s="173"/>
      <c r="S132" s="172"/>
      <c r="T132" s="172"/>
      <c r="U132" s="173"/>
      <c r="V132" s="173"/>
      <c r="W132" s="172"/>
      <c r="X132" s="172"/>
      <c r="Y132" s="172" t="str">
        <f t="shared" si="33"/>
        <v/>
      </c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4">
        <v>10</v>
      </c>
      <c r="AP132" s="174">
        <v>20</v>
      </c>
      <c r="AQ132" s="174"/>
      <c r="AR132" s="174"/>
      <c r="AS132" s="174"/>
      <c r="AT132" s="174"/>
      <c r="AU132" s="174"/>
      <c r="AV132" s="174"/>
      <c r="AW132" s="174"/>
      <c r="AX132" s="191"/>
      <c r="AY132" s="11"/>
      <c r="AZ132" s="11"/>
      <c r="BA132" s="11"/>
      <c r="BB132" s="11"/>
      <c r="BC132" s="11"/>
      <c r="BD132" s="13"/>
      <c r="BE132" s="11" t="str">
        <f t="shared" si="28"/>
        <v>Sí</v>
      </c>
      <c r="BF132" s="22" t="str">
        <f t="shared" si="29"/>
        <v>G102K</v>
      </c>
      <c r="BG132" s="11"/>
      <c r="BH132" s="11" t="str">
        <f t="shared" si="19"/>
        <v>Programado pendiente</v>
      </c>
      <c r="BI132" s="12"/>
      <c r="BJ132" s="68"/>
    </row>
    <row r="133" spans="1:62" ht="18" customHeight="1" x14ac:dyDescent="0.3">
      <c r="A133" s="150"/>
      <c r="B133" s="78" t="s">
        <v>98</v>
      </c>
      <c r="C133" s="12">
        <v>46152</v>
      </c>
      <c r="D133" s="20">
        <f t="shared" si="34"/>
        <v>0</v>
      </c>
      <c r="E133" s="174" t="str">
        <f t="shared" si="20"/>
        <v/>
      </c>
      <c r="F133" s="174"/>
      <c r="G133" s="174" t="str">
        <f t="shared" si="32"/>
        <v/>
      </c>
      <c r="H133" s="174"/>
      <c r="I133" s="174" t="str">
        <f t="shared" si="31"/>
        <v/>
      </c>
      <c r="J133" s="174"/>
      <c r="K133" s="174" t="s">
        <v>71</v>
      </c>
      <c r="L133" s="174"/>
      <c r="M133" s="174" t="str">
        <f t="shared" si="23"/>
        <v/>
      </c>
      <c r="N133" s="174"/>
      <c r="O133" s="173"/>
      <c r="P133" s="173"/>
      <c r="Q133" s="173"/>
      <c r="R133" s="173"/>
      <c r="S133" s="174"/>
      <c r="T133" s="174"/>
      <c r="U133" s="173"/>
      <c r="V133" s="173"/>
      <c r="W133" s="172"/>
      <c r="X133" s="172"/>
      <c r="Y133" s="174" t="str">
        <f t="shared" ref="Y133:Y196" si="35">IF(MOD(C133-$C$4,15)=0,8,"")</f>
        <v/>
      </c>
      <c r="Z133" s="174"/>
      <c r="AA133" s="174"/>
      <c r="AB133" s="174"/>
      <c r="AC133" s="172"/>
      <c r="AD133" s="172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4"/>
      <c r="AT133" s="174"/>
      <c r="AU133" s="174"/>
      <c r="AV133" s="174"/>
      <c r="AW133" s="174"/>
      <c r="AX133" s="191"/>
      <c r="AY133" s="11"/>
      <c r="AZ133" s="11"/>
      <c r="BA133" s="11"/>
      <c r="BB133" s="11"/>
      <c r="BC133" s="11"/>
      <c r="BD133" s="13"/>
      <c r="BE133" s="11" t="str">
        <f t="shared" si="28"/>
        <v>No</v>
      </c>
      <c r="BF133" s="22" t="str">
        <f t="shared" si="29"/>
        <v/>
      </c>
      <c r="BG133" s="11"/>
      <c r="BH133" s="11" t="str">
        <f t="shared" ref="BH133:BH196" si="36">IF($BE133="No","No aplica",IF($BG133="Sí","Ejecutado","Programado pendiente"))</f>
        <v>No aplica</v>
      </c>
      <c r="BI133" s="12"/>
      <c r="BJ133" s="68"/>
    </row>
    <row r="134" spans="1:62" ht="18" customHeight="1" x14ac:dyDescent="0.3">
      <c r="A134" s="150"/>
      <c r="B134" s="78" t="s">
        <v>99</v>
      </c>
      <c r="C134" s="12">
        <v>46153</v>
      </c>
      <c r="D134" s="20">
        <f t="shared" si="34"/>
        <v>0</v>
      </c>
      <c r="E134" s="174" t="str">
        <f t="shared" si="20"/>
        <v/>
      </c>
      <c r="F134" s="174"/>
      <c r="G134" s="174" t="str">
        <f t="shared" si="32"/>
        <v/>
      </c>
      <c r="H134" s="174"/>
      <c r="I134" s="174" t="str">
        <f t="shared" si="31"/>
        <v/>
      </c>
      <c r="J134" s="174"/>
      <c r="K134" s="174" t="s">
        <v>71</v>
      </c>
      <c r="L134" s="174"/>
      <c r="M134" s="174" t="str">
        <f t="shared" si="23"/>
        <v/>
      </c>
      <c r="N134" s="174"/>
      <c r="O134" s="173"/>
      <c r="P134" s="173"/>
      <c r="Q134" s="173"/>
      <c r="R134" s="173"/>
      <c r="S134" s="174"/>
      <c r="T134" s="174"/>
      <c r="U134" s="173"/>
      <c r="V134" s="173"/>
      <c r="W134" s="172"/>
      <c r="X134" s="172"/>
      <c r="Y134" s="174" t="str">
        <f t="shared" si="35"/>
        <v/>
      </c>
      <c r="Z134" s="174"/>
      <c r="AA134" s="174"/>
      <c r="AB134" s="174"/>
      <c r="AC134" s="172"/>
      <c r="AD134" s="172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4"/>
      <c r="AT134" s="174"/>
      <c r="AU134" s="174"/>
      <c r="AV134" s="174"/>
      <c r="AW134" s="174"/>
      <c r="AX134" s="191"/>
      <c r="AY134" s="11"/>
      <c r="AZ134" s="11"/>
      <c r="BA134" s="11"/>
      <c r="BB134" s="11"/>
      <c r="BC134" s="11"/>
      <c r="BD134" s="13"/>
      <c r="BE134" s="11" t="str">
        <f t="shared" si="28"/>
        <v>No</v>
      </c>
      <c r="BF134" s="22" t="str">
        <f t="shared" si="29"/>
        <v/>
      </c>
      <c r="BG134" s="11"/>
      <c r="BH134" s="11" t="str">
        <f t="shared" si="36"/>
        <v>No aplica</v>
      </c>
      <c r="BI134" s="12"/>
      <c r="BJ134" s="68"/>
    </row>
    <row r="135" spans="1:62" ht="18" customHeight="1" x14ac:dyDescent="0.3">
      <c r="A135" s="150"/>
      <c r="B135" s="78" t="s">
        <v>100</v>
      </c>
      <c r="C135" s="12">
        <v>46154</v>
      </c>
      <c r="D135" s="20">
        <f t="shared" si="34"/>
        <v>0</v>
      </c>
      <c r="E135" s="174" t="str">
        <f t="shared" ref="E135:E171" si="37">IF(MOD(C135-$C$4,42)=0,8,"")</f>
        <v/>
      </c>
      <c r="F135" s="174"/>
      <c r="G135" s="174" t="str">
        <f t="shared" si="32"/>
        <v/>
      </c>
      <c r="H135" s="174"/>
      <c r="I135" s="174" t="str">
        <f t="shared" si="31"/>
        <v/>
      </c>
      <c r="J135" s="174"/>
      <c r="K135" s="174" t="s">
        <v>71</v>
      </c>
      <c r="L135" s="174"/>
      <c r="M135" s="174" t="str">
        <f t="shared" si="23"/>
        <v/>
      </c>
      <c r="N135" s="174"/>
      <c r="O135" s="173"/>
      <c r="P135" s="173"/>
      <c r="Q135" s="173"/>
      <c r="R135" s="173"/>
      <c r="S135" s="174"/>
      <c r="T135" s="174"/>
      <c r="U135" s="173"/>
      <c r="V135" s="173"/>
      <c r="W135" s="172"/>
      <c r="X135" s="172"/>
      <c r="Y135" s="174" t="str">
        <f t="shared" si="35"/>
        <v/>
      </c>
      <c r="Z135" s="174"/>
      <c r="AA135" s="174"/>
      <c r="AB135" s="174"/>
      <c r="AC135" s="172"/>
      <c r="AD135" s="172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4"/>
      <c r="AT135" s="174"/>
      <c r="AU135" s="174"/>
      <c r="AV135" s="174"/>
      <c r="AW135" s="174"/>
      <c r="AX135" s="191"/>
      <c r="AY135" s="11"/>
      <c r="AZ135" s="11"/>
      <c r="BA135" s="11"/>
      <c r="BB135" s="11"/>
      <c r="BC135" s="11"/>
      <c r="BD135" s="13"/>
      <c r="BE135" s="11" t="str">
        <f t="shared" si="28"/>
        <v>No</v>
      </c>
      <c r="BF135" s="22" t="str">
        <f t="shared" si="29"/>
        <v/>
      </c>
      <c r="BG135" s="11"/>
      <c r="BH135" s="11" t="str">
        <f t="shared" si="36"/>
        <v>No aplica</v>
      </c>
      <c r="BI135" s="12"/>
      <c r="BJ135" s="68"/>
    </row>
    <row r="136" spans="1:62" ht="18" customHeight="1" x14ac:dyDescent="0.3">
      <c r="A136" s="150"/>
      <c r="B136" s="78" t="s">
        <v>101</v>
      </c>
      <c r="C136" s="12">
        <v>46155</v>
      </c>
      <c r="D136" s="20" t="e">
        <f t="shared" si="34"/>
        <v>#VALUE!</v>
      </c>
      <c r="E136" s="174" t="str">
        <f t="shared" si="37"/>
        <v/>
      </c>
      <c r="F136" s="174"/>
      <c r="G136" s="174" t="str">
        <f t="shared" si="32"/>
        <v/>
      </c>
      <c r="H136" s="174"/>
      <c r="I136" s="174" t="str">
        <f t="shared" si="31"/>
        <v/>
      </c>
      <c r="J136" s="174"/>
      <c r="K136" s="174" t="s">
        <v>71</v>
      </c>
      <c r="L136" s="174"/>
      <c r="M136" s="174" t="str">
        <f t="shared" si="23"/>
        <v/>
      </c>
      <c r="N136" s="174"/>
      <c r="O136" s="203" t="s">
        <v>77</v>
      </c>
      <c r="P136" s="203" t="s">
        <v>77</v>
      </c>
      <c r="Q136" s="173"/>
      <c r="R136" s="173"/>
      <c r="S136" s="174"/>
      <c r="T136" s="174"/>
      <c r="U136" s="173"/>
      <c r="V136" s="173"/>
      <c r="W136" s="172"/>
      <c r="X136" s="172"/>
      <c r="Y136" s="174" t="str">
        <f t="shared" si="35"/>
        <v/>
      </c>
      <c r="Z136" s="174"/>
      <c r="AA136" s="174"/>
      <c r="AB136" s="174"/>
      <c r="AC136" s="172"/>
      <c r="AD136" s="172"/>
      <c r="AE136" s="206"/>
      <c r="AF136" s="206"/>
      <c r="AG136" s="206"/>
      <c r="AH136" s="206"/>
      <c r="AI136" s="206"/>
      <c r="AJ136" s="206"/>
      <c r="AK136" s="174"/>
      <c r="AL136" s="174"/>
      <c r="AM136" s="174"/>
      <c r="AN136" s="174"/>
      <c r="AO136" s="174"/>
      <c r="AP136" s="174"/>
      <c r="AQ136" s="174"/>
      <c r="AR136" s="174"/>
      <c r="AS136" s="174"/>
      <c r="AT136" s="174"/>
      <c r="AU136" s="174"/>
      <c r="AV136" s="174"/>
      <c r="AW136" s="174"/>
      <c r="AX136" s="191"/>
      <c r="AY136" s="11"/>
      <c r="AZ136" s="11"/>
      <c r="BA136" s="11"/>
      <c r="BB136" s="11"/>
      <c r="BC136" s="11"/>
      <c r="BD136" s="13"/>
      <c r="BE136" s="11" t="str">
        <f t="shared" si="28"/>
        <v>No</v>
      </c>
      <c r="BF136" s="22" t="str">
        <f t="shared" si="29"/>
        <v/>
      </c>
      <c r="BG136" s="11"/>
      <c r="BH136" s="11" t="str">
        <f t="shared" si="36"/>
        <v>No aplica</v>
      </c>
      <c r="BI136" s="12"/>
      <c r="BJ136" s="68"/>
    </row>
    <row r="137" spans="1:62" ht="18" customHeight="1" x14ac:dyDescent="0.3">
      <c r="A137" s="150"/>
      <c r="B137" s="78" t="s">
        <v>94</v>
      </c>
      <c r="C137" s="12">
        <v>46156</v>
      </c>
      <c r="D137" s="20">
        <f t="shared" si="34"/>
        <v>0</v>
      </c>
      <c r="E137" s="174" t="str">
        <f t="shared" si="37"/>
        <v/>
      </c>
      <c r="F137" s="174"/>
      <c r="G137" s="174" t="str">
        <f t="shared" si="32"/>
        <v/>
      </c>
      <c r="H137" s="174"/>
      <c r="I137" s="174" t="str">
        <f t="shared" si="31"/>
        <v/>
      </c>
      <c r="J137" s="174"/>
      <c r="K137" s="174" t="s">
        <v>71</v>
      </c>
      <c r="L137" s="174"/>
      <c r="M137" s="174" t="str">
        <f t="shared" si="23"/>
        <v/>
      </c>
      <c r="N137" s="174"/>
      <c r="O137" s="172"/>
      <c r="P137" s="172"/>
      <c r="Q137" s="173"/>
      <c r="R137" s="173"/>
      <c r="S137" s="174"/>
      <c r="T137" s="174"/>
      <c r="U137" s="173"/>
      <c r="V137" s="173"/>
      <c r="W137" s="172"/>
      <c r="X137" s="172"/>
      <c r="Y137" s="174" t="str">
        <f t="shared" si="35"/>
        <v/>
      </c>
      <c r="Z137" s="174"/>
      <c r="AA137" s="174"/>
      <c r="AB137" s="174"/>
      <c r="AC137" s="172"/>
      <c r="AD137" s="172"/>
      <c r="AE137" s="206"/>
      <c r="AF137" s="206"/>
      <c r="AG137" s="206"/>
      <c r="AH137" s="206"/>
      <c r="AI137" s="206"/>
      <c r="AJ137" s="206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174"/>
      <c r="AV137" s="174"/>
      <c r="AW137" s="174"/>
      <c r="AX137" s="191"/>
      <c r="AY137" s="11"/>
      <c r="AZ137" s="11"/>
      <c r="BA137" s="11"/>
      <c r="BB137" s="11"/>
      <c r="BC137" s="11"/>
      <c r="BD137" s="13"/>
      <c r="BE137" s="11" t="str">
        <f t="shared" si="28"/>
        <v>No</v>
      </c>
      <c r="BF137" s="22" t="str">
        <f t="shared" si="29"/>
        <v/>
      </c>
      <c r="BG137" s="11"/>
      <c r="BH137" s="11" t="str">
        <f t="shared" si="36"/>
        <v>No aplica</v>
      </c>
      <c r="BI137" s="12"/>
      <c r="BJ137" s="68"/>
    </row>
    <row r="138" spans="1:62" ht="18" customHeight="1" x14ac:dyDescent="0.3">
      <c r="A138" s="150"/>
      <c r="B138" s="78" t="s">
        <v>95</v>
      </c>
      <c r="C138" s="12">
        <v>46157</v>
      </c>
      <c r="D138" s="20">
        <f t="shared" si="34"/>
        <v>0</v>
      </c>
      <c r="E138" s="174" t="str">
        <f t="shared" si="37"/>
        <v/>
      </c>
      <c r="F138" s="174"/>
      <c r="G138" s="174" t="str">
        <f t="shared" si="32"/>
        <v/>
      </c>
      <c r="H138" s="174"/>
      <c r="I138" s="174" t="str">
        <f t="shared" si="31"/>
        <v/>
      </c>
      <c r="J138" s="174"/>
      <c r="K138" s="174" t="s">
        <v>71</v>
      </c>
      <c r="L138" s="174"/>
      <c r="M138" s="174" t="str">
        <f t="shared" si="23"/>
        <v/>
      </c>
      <c r="N138" s="174"/>
      <c r="O138" s="172"/>
      <c r="P138" s="172"/>
      <c r="Q138" s="173"/>
      <c r="R138" s="173"/>
      <c r="S138" s="174"/>
      <c r="T138" s="174"/>
      <c r="U138" s="173"/>
      <c r="V138" s="173"/>
      <c r="W138" s="172"/>
      <c r="X138" s="172"/>
      <c r="Y138" s="174" t="str">
        <f t="shared" si="35"/>
        <v/>
      </c>
      <c r="Z138" s="174"/>
      <c r="AA138" s="174"/>
      <c r="AB138" s="174"/>
      <c r="AC138" s="172"/>
      <c r="AD138" s="172"/>
      <c r="AE138" s="206"/>
      <c r="AF138" s="206"/>
      <c r="AG138" s="206"/>
      <c r="AH138" s="206"/>
      <c r="AI138" s="206"/>
      <c r="AJ138" s="206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  <c r="AU138" s="174"/>
      <c r="AV138" s="174"/>
      <c r="AW138" s="174"/>
      <c r="AX138" s="191"/>
      <c r="AY138" s="11"/>
      <c r="AZ138" s="11"/>
      <c r="BA138" s="11"/>
      <c r="BB138" s="11"/>
      <c r="BC138" s="11"/>
      <c r="BD138" s="13"/>
      <c r="BE138" s="11" t="str">
        <f t="shared" si="28"/>
        <v>No</v>
      </c>
      <c r="BF138" s="22" t="str">
        <f t="shared" si="29"/>
        <v/>
      </c>
      <c r="BG138" s="11"/>
      <c r="BH138" s="11" t="str">
        <f t="shared" si="36"/>
        <v>No aplica</v>
      </c>
      <c r="BI138" s="12"/>
      <c r="BJ138" s="68"/>
    </row>
    <row r="139" spans="1:62" ht="18" customHeight="1" x14ac:dyDescent="0.3">
      <c r="A139" s="150"/>
      <c r="B139" s="78" t="s">
        <v>97</v>
      </c>
      <c r="C139" s="12">
        <v>46158</v>
      </c>
      <c r="D139" s="20">
        <f t="shared" si="34"/>
        <v>20</v>
      </c>
      <c r="E139" s="174" t="str">
        <f t="shared" si="37"/>
        <v/>
      </c>
      <c r="F139" s="174"/>
      <c r="G139" s="174" t="str">
        <f t="shared" si="32"/>
        <v/>
      </c>
      <c r="H139" s="174"/>
      <c r="I139" s="174" t="str">
        <f t="shared" si="31"/>
        <v/>
      </c>
      <c r="J139" s="174"/>
      <c r="K139" s="174" t="s">
        <v>71</v>
      </c>
      <c r="L139" s="174"/>
      <c r="M139" s="174" t="str">
        <f t="shared" si="23"/>
        <v/>
      </c>
      <c r="N139" s="174"/>
      <c r="O139" s="172"/>
      <c r="P139" s="172"/>
      <c r="Q139" s="173"/>
      <c r="R139" s="173"/>
      <c r="S139" s="172"/>
      <c r="T139" s="172"/>
      <c r="U139" s="173"/>
      <c r="V139" s="173"/>
      <c r="W139" s="172"/>
      <c r="X139" s="172"/>
      <c r="Y139" s="174">
        <v>10</v>
      </c>
      <c r="Z139" s="174">
        <v>20</v>
      </c>
      <c r="AA139" s="178"/>
      <c r="AB139" s="178"/>
      <c r="AC139" s="178"/>
      <c r="AD139" s="178"/>
      <c r="AE139" s="207"/>
      <c r="AF139" s="207"/>
      <c r="AG139" s="207"/>
      <c r="AH139" s="207"/>
      <c r="AI139" s="207"/>
      <c r="AJ139" s="207"/>
      <c r="AK139" s="178"/>
      <c r="AL139" s="178"/>
      <c r="AM139" s="178"/>
      <c r="AN139" s="178"/>
      <c r="AO139" s="178"/>
      <c r="AP139" s="178"/>
      <c r="AQ139" s="174"/>
      <c r="AR139" s="174"/>
      <c r="AS139" s="174"/>
      <c r="AT139" s="174"/>
      <c r="AU139" s="174"/>
      <c r="AV139" s="174"/>
      <c r="AW139" s="174"/>
      <c r="AX139" s="191"/>
      <c r="AY139" s="11"/>
      <c r="AZ139" s="11"/>
      <c r="BA139" s="11"/>
      <c r="BB139" s="11"/>
      <c r="BC139" s="11"/>
      <c r="BD139" s="13"/>
      <c r="BE139" s="11" t="str">
        <f t="shared" si="28"/>
        <v>Sí</v>
      </c>
      <c r="BF139" s="22" t="str">
        <f t="shared" si="29"/>
        <v>JINAN 01</v>
      </c>
      <c r="BG139" s="11" t="s">
        <v>47</v>
      </c>
      <c r="BH139" s="11" t="str">
        <f t="shared" si="36"/>
        <v>Ejecutado</v>
      </c>
      <c r="BI139" s="12">
        <v>46158</v>
      </c>
      <c r="BJ139" s="68" t="s">
        <v>48</v>
      </c>
    </row>
    <row r="140" spans="1:62" ht="18" customHeight="1" x14ac:dyDescent="0.3">
      <c r="A140" s="150"/>
      <c r="B140" s="78" t="s">
        <v>98</v>
      </c>
      <c r="C140" s="12">
        <v>46159</v>
      </c>
      <c r="D140" s="20">
        <f t="shared" si="34"/>
        <v>20</v>
      </c>
      <c r="E140" s="174" t="str">
        <f t="shared" si="37"/>
        <v/>
      </c>
      <c r="F140" s="174"/>
      <c r="G140" s="174" t="str">
        <f t="shared" si="32"/>
        <v/>
      </c>
      <c r="H140" s="174"/>
      <c r="I140" s="174" t="str">
        <f t="shared" si="31"/>
        <v/>
      </c>
      <c r="J140" s="174"/>
      <c r="K140" s="174" t="s">
        <v>71</v>
      </c>
      <c r="L140" s="174"/>
      <c r="M140" s="174" t="str">
        <f t="shared" si="23"/>
        <v/>
      </c>
      <c r="N140" s="174"/>
      <c r="O140" s="172"/>
      <c r="P140" s="172"/>
      <c r="Q140" s="173"/>
      <c r="R140" s="173"/>
      <c r="S140" s="172"/>
      <c r="T140" s="172"/>
      <c r="U140" s="173"/>
      <c r="V140" s="173"/>
      <c r="W140" s="172"/>
      <c r="X140" s="172"/>
      <c r="Y140" s="172" t="str">
        <f t="shared" ref="Y140:Y147" si="38">IF(MOD(C140-$C$4,15)=0,8,"")</f>
        <v/>
      </c>
      <c r="Z140" s="172"/>
      <c r="AA140" s="174">
        <v>10</v>
      </c>
      <c r="AB140" s="174">
        <v>20</v>
      </c>
      <c r="AC140" s="172"/>
      <c r="AD140" s="172"/>
      <c r="AE140" s="206"/>
      <c r="AF140" s="206"/>
      <c r="AG140" s="206"/>
      <c r="AH140" s="206"/>
      <c r="AI140" s="206"/>
      <c r="AJ140" s="206"/>
      <c r="AK140" s="172"/>
      <c r="AL140" s="172"/>
      <c r="AM140" s="172"/>
      <c r="AN140" s="172"/>
      <c r="AO140" s="172"/>
      <c r="AP140" s="172"/>
      <c r="AQ140" s="174"/>
      <c r="AR140" s="174"/>
      <c r="AS140" s="174"/>
      <c r="AT140" s="174"/>
      <c r="AU140" s="174"/>
      <c r="AV140" s="174"/>
      <c r="AW140" s="174"/>
      <c r="AX140" s="191"/>
      <c r="AY140" s="11"/>
      <c r="AZ140" s="11"/>
      <c r="BA140" s="11"/>
      <c r="BB140" s="11"/>
      <c r="BC140" s="11"/>
      <c r="BD140" s="13"/>
      <c r="BE140" s="11" t="str">
        <f t="shared" si="28"/>
        <v>Sí</v>
      </c>
      <c r="BF140" s="22" t="str">
        <f t="shared" si="29"/>
        <v>JINAN 02</v>
      </c>
      <c r="BG140" s="11" t="s">
        <v>47</v>
      </c>
      <c r="BH140" s="11" t="str">
        <f t="shared" si="36"/>
        <v>Ejecutado</v>
      </c>
      <c r="BI140" s="12">
        <v>46169</v>
      </c>
      <c r="BJ140" s="68" t="s">
        <v>106</v>
      </c>
    </row>
    <row r="141" spans="1:62" ht="18" customHeight="1" x14ac:dyDescent="0.3">
      <c r="A141" s="150"/>
      <c r="B141" s="78" t="s">
        <v>99</v>
      </c>
      <c r="C141" s="12">
        <v>46160</v>
      </c>
      <c r="D141" s="20">
        <f t="shared" si="34"/>
        <v>20</v>
      </c>
      <c r="E141" s="174" t="str">
        <f t="shared" si="37"/>
        <v/>
      </c>
      <c r="F141" s="174"/>
      <c r="G141" s="174" t="str">
        <f t="shared" si="32"/>
        <v/>
      </c>
      <c r="H141" s="174"/>
      <c r="I141" s="174" t="str">
        <f t="shared" si="31"/>
        <v/>
      </c>
      <c r="J141" s="174"/>
      <c r="K141" s="174" t="s">
        <v>71</v>
      </c>
      <c r="L141" s="174"/>
      <c r="M141" s="174" t="str">
        <f t="shared" ref="M141:M204" si="39">IF(MOD(C141-$C$76,42)=0,8,"")</f>
        <v/>
      </c>
      <c r="N141" s="174"/>
      <c r="O141" s="172"/>
      <c r="P141" s="172"/>
      <c r="Q141" s="173"/>
      <c r="R141" s="173"/>
      <c r="S141" s="172">
        <v>8</v>
      </c>
      <c r="T141" s="172">
        <v>16</v>
      </c>
      <c r="U141" s="173"/>
      <c r="V141" s="173"/>
      <c r="W141" s="172"/>
      <c r="X141" s="172"/>
      <c r="Y141" s="172" t="str">
        <f t="shared" si="38"/>
        <v/>
      </c>
      <c r="Z141" s="172"/>
      <c r="AA141" s="172"/>
      <c r="AB141" s="172"/>
      <c r="AC141" s="174">
        <v>10</v>
      </c>
      <c r="AD141" s="174">
        <v>20</v>
      </c>
      <c r="AE141" s="206"/>
      <c r="AF141" s="206"/>
      <c r="AG141" s="206"/>
      <c r="AH141" s="206"/>
      <c r="AI141" s="206"/>
      <c r="AJ141" s="206"/>
      <c r="AK141" s="172"/>
      <c r="AL141" s="172"/>
      <c r="AM141" s="172"/>
      <c r="AN141" s="172"/>
      <c r="AO141" s="172"/>
      <c r="AP141" s="172"/>
      <c r="AQ141" s="174"/>
      <c r="AR141" s="174"/>
      <c r="AS141" s="174"/>
      <c r="AT141" s="174"/>
      <c r="AU141" s="174"/>
      <c r="AV141" s="174"/>
      <c r="AW141" s="174"/>
      <c r="AX141" s="191"/>
      <c r="AY141" s="11"/>
      <c r="AZ141" s="11"/>
      <c r="BA141" s="11"/>
      <c r="BB141" s="11"/>
      <c r="BC141" s="11"/>
      <c r="BD141" s="13"/>
      <c r="BE141" s="11" t="str">
        <f t="shared" si="28"/>
        <v>Sí</v>
      </c>
      <c r="BF141" s="22" t="str">
        <f t="shared" si="29"/>
        <v>CPW 10, JINAN 03/JN 10</v>
      </c>
      <c r="BG141" s="11" t="s">
        <v>47</v>
      </c>
      <c r="BH141" s="11" t="str">
        <f t="shared" si="36"/>
        <v>Ejecutado</v>
      </c>
      <c r="BI141" s="12">
        <v>46167</v>
      </c>
      <c r="BJ141" s="68" t="s">
        <v>107</v>
      </c>
    </row>
    <row r="142" spans="1:62" ht="18" customHeight="1" x14ac:dyDescent="0.3">
      <c r="A142" s="150"/>
      <c r="B142" s="78" t="s">
        <v>100</v>
      </c>
      <c r="C142" s="12">
        <v>46161</v>
      </c>
      <c r="D142" s="20">
        <f t="shared" si="34"/>
        <v>0</v>
      </c>
      <c r="E142" s="174" t="str">
        <f t="shared" si="37"/>
        <v/>
      </c>
      <c r="F142" s="174"/>
      <c r="G142" s="174" t="str">
        <f t="shared" si="32"/>
        <v/>
      </c>
      <c r="H142" s="174"/>
      <c r="I142" s="174" t="str">
        <f t="shared" si="31"/>
        <v/>
      </c>
      <c r="J142" s="174"/>
      <c r="K142" s="174" t="s">
        <v>71</v>
      </c>
      <c r="L142" s="174"/>
      <c r="M142" s="174" t="str">
        <f t="shared" si="39"/>
        <v/>
      </c>
      <c r="N142" s="174"/>
      <c r="O142" s="172"/>
      <c r="P142" s="172"/>
      <c r="Q142" s="173"/>
      <c r="R142" s="173"/>
      <c r="S142" s="172"/>
      <c r="T142" s="172"/>
      <c r="U142" s="173"/>
      <c r="V142" s="173"/>
      <c r="W142" s="172"/>
      <c r="X142" s="172"/>
      <c r="Y142" s="172" t="str">
        <f t="shared" si="38"/>
        <v/>
      </c>
      <c r="Z142" s="172"/>
      <c r="AA142" s="172"/>
      <c r="AB142" s="172"/>
      <c r="AC142" s="172"/>
      <c r="AD142" s="172"/>
      <c r="AE142" s="206"/>
      <c r="AF142" s="206"/>
      <c r="AG142" s="206"/>
      <c r="AH142" s="206"/>
      <c r="AI142" s="206"/>
      <c r="AJ142" s="206"/>
      <c r="AK142" s="172"/>
      <c r="AL142" s="172"/>
      <c r="AM142" s="172"/>
      <c r="AN142" s="172"/>
      <c r="AO142" s="172"/>
      <c r="AP142" s="172"/>
      <c r="AQ142" s="174"/>
      <c r="AR142" s="174"/>
      <c r="AS142" s="174"/>
      <c r="AT142" s="174"/>
      <c r="AU142" s="174"/>
      <c r="AV142" s="174"/>
      <c r="AW142" s="174"/>
      <c r="AX142" s="191"/>
      <c r="AY142" s="11"/>
      <c r="AZ142" s="11"/>
      <c r="BA142" s="11"/>
      <c r="BB142" s="11"/>
      <c r="BC142" s="11"/>
      <c r="BD142" s="13"/>
      <c r="BE142" s="11" t="str">
        <f t="shared" si="28"/>
        <v>No</v>
      </c>
      <c r="BF142" s="22" t="str">
        <f t="shared" si="29"/>
        <v/>
      </c>
      <c r="BG142" s="11"/>
      <c r="BH142" s="11" t="str">
        <f t="shared" si="36"/>
        <v>No aplica</v>
      </c>
      <c r="BI142" s="12"/>
      <c r="BJ142" s="68"/>
    </row>
    <row r="143" spans="1:62" ht="18" customHeight="1" x14ac:dyDescent="0.3">
      <c r="A143" s="150"/>
      <c r="B143" s="78" t="s">
        <v>101</v>
      </c>
      <c r="C143" s="12">
        <v>46162</v>
      </c>
      <c r="D143" s="20">
        <f t="shared" si="34"/>
        <v>20</v>
      </c>
      <c r="E143" s="174" t="str">
        <f t="shared" si="37"/>
        <v/>
      </c>
      <c r="F143" s="174"/>
      <c r="G143" s="174" t="str">
        <f t="shared" si="32"/>
        <v/>
      </c>
      <c r="H143" s="174"/>
      <c r="I143" s="174" t="str">
        <f t="shared" si="31"/>
        <v/>
      </c>
      <c r="J143" s="174"/>
      <c r="K143" s="174" t="s">
        <v>71</v>
      </c>
      <c r="L143" s="174"/>
      <c r="M143" s="174" t="str">
        <f t="shared" si="39"/>
        <v/>
      </c>
      <c r="N143" s="174"/>
      <c r="O143" s="174">
        <v>10</v>
      </c>
      <c r="P143" s="174">
        <v>20</v>
      </c>
      <c r="Q143" s="173"/>
      <c r="R143" s="173"/>
      <c r="S143" s="172"/>
      <c r="T143" s="172"/>
      <c r="U143" s="173"/>
      <c r="V143" s="173"/>
      <c r="W143" s="172"/>
      <c r="X143" s="172"/>
      <c r="Y143" s="172" t="str">
        <f t="shared" si="38"/>
        <v/>
      </c>
      <c r="Z143" s="172"/>
      <c r="AA143" s="172"/>
      <c r="AB143" s="172"/>
      <c r="AC143" s="172"/>
      <c r="AD143" s="172"/>
      <c r="AE143" s="206"/>
      <c r="AF143" s="206"/>
      <c r="AG143" s="206"/>
      <c r="AH143" s="206"/>
      <c r="AI143" s="206"/>
      <c r="AJ143" s="206"/>
      <c r="AK143" s="172"/>
      <c r="AL143" s="172"/>
      <c r="AM143" s="172"/>
      <c r="AN143" s="172"/>
      <c r="AO143" s="172"/>
      <c r="AP143" s="172"/>
      <c r="AQ143" s="174"/>
      <c r="AR143" s="174"/>
      <c r="AS143" s="174"/>
      <c r="AT143" s="174"/>
      <c r="AU143" s="174"/>
      <c r="AV143" s="174"/>
      <c r="AW143" s="174"/>
      <c r="AX143" s="191"/>
      <c r="AY143" s="11"/>
      <c r="AZ143" s="11"/>
      <c r="BA143" s="11"/>
      <c r="BB143" s="11"/>
      <c r="BC143" s="11"/>
      <c r="BD143" s="13"/>
      <c r="BE143" s="11" t="str">
        <f t="shared" si="28"/>
        <v>Sí</v>
      </c>
      <c r="BF143" s="22" t="str">
        <f t="shared" si="29"/>
        <v>CPW06</v>
      </c>
      <c r="BG143" s="11" t="s">
        <v>47</v>
      </c>
      <c r="BH143" s="11" t="str">
        <f t="shared" si="36"/>
        <v>Ejecutado</v>
      </c>
      <c r="BI143" s="12">
        <v>46162</v>
      </c>
      <c r="BJ143" s="68" t="s">
        <v>108</v>
      </c>
    </row>
    <row r="144" spans="1:62" ht="18" customHeight="1" x14ac:dyDescent="0.3">
      <c r="A144" s="150"/>
      <c r="B144" s="78" t="s">
        <v>94</v>
      </c>
      <c r="C144" s="12">
        <v>46163</v>
      </c>
      <c r="D144" s="20">
        <f t="shared" si="34"/>
        <v>0</v>
      </c>
      <c r="E144" s="174" t="str">
        <f t="shared" si="37"/>
        <v/>
      </c>
      <c r="F144" s="174"/>
      <c r="G144" s="174" t="str">
        <f t="shared" si="32"/>
        <v/>
      </c>
      <c r="H144" s="174"/>
      <c r="I144" s="174" t="str">
        <f t="shared" si="31"/>
        <v/>
      </c>
      <c r="J144" s="174"/>
      <c r="K144" s="174" t="s">
        <v>71</v>
      </c>
      <c r="L144" s="174"/>
      <c r="M144" s="174" t="str">
        <f t="shared" si="39"/>
        <v/>
      </c>
      <c r="N144" s="174"/>
      <c r="O144" s="172"/>
      <c r="P144" s="172"/>
      <c r="Q144" s="173"/>
      <c r="R144" s="173"/>
      <c r="S144" s="172"/>
      <c r="T144" s="172"/>
      <c r="U144" s="173"/>
      <c r="V144" s="173"/>
      <c r="W144" s="172"/>
      <c r="X144" s="172"/>
      <c r="Y144" s="172" t="str">
        <f t="shared" si="38"/>
        <v/>
      </c>
      <c r="Z144" s="172"/>
      <c r="AA144" s="172"/>
      <c r="AB144" s="172"/>
      <c r="AC144" s="172"/>
      <c r="AD144" s="172"/>
      <c r="AE144" s="206"/>
      <c r="AF144" s="206"/>
      <c r="AG144" s="206"/>
      <c r="AH144" s="206"/>
      <c r="AI144" s="206"/>
      <c r="AJ144" s="206"/>
      <c r="AK144" s="172"/>
      <c r="AL144" s="172"/>
      <c r="AM144" s="172"/>
      <c r="AN144" s="172"/>
      <c r="AO144" s="172"/>
      <c r="AP144" s="172"/>
      <c r="AQ144" s="174"/>
      <c r="AR144" s="174"/>
      <c r="AS144" s="174"/>
      <c r="AT144" s="174"/>
      <c r="AU144" s="174"/>
      <c r="AV144" s="174"/>
      <c r="AW144" s="174"/>
      <c r="AX144" s="191"/>
      <c r="AY144" s="11"/>
      <c r="AZ144" s="11"/>
      <c r="BA144" s="11"/>
      <c r="BB144" s="11"/>
      <c r="BC144" s="11"/>
      <c r="BD144" s="13"/>
      <c r="BE144" s="11" t="str">
        <f t="shared" si="28"/>
        <v>No</v>
      </c>
      <c r="BF144" s="22" t="str">
        <f t="shared" si="29"/>
        <v/>
      </c>
      <c r="BG144" s="11" t="s">
        <v>84</v>
      </c>
      <c r="BH144" s="11" t="str">
        <f t="shared" si="36"/>
        <v>No aplica</v>
      </c>
      <c r="BI144" s="12"/>
      <c r="BJ144" s="68"/>
    </row>
    <row r="145" spans="1:62" ht="18" customHeight="1" x14ac:dyDescent="0.3">
      <c r="A145" s="150"/>
      <c r="B145" s="78" t="s">
        <v>95</v>
      </c>
      <c r="C145" s="12">
        <v>46164</v>
      </c>
      <c r="D145" s="20">
        <f t="shared" si="34"/>
        <v>20</v>
      </c>
      <c r="E145" s="174" t="str">
        <f t="shared" si="37"/>
        <v/>
      </c>
      <c r="F145" s="174"/>
      <c r="G145" s="174" t="str">
        <f t="shared" si="32"/>
        <v/>
      </c>
      <c r="H145" s="174"/>
      <c r="I145" s="174" t="str">
        <f t="shared" si="31"/>
        <v/>
      </c>
      <c r="J145" s="174"/>
      <c r="K145" s="174" t="s">
        <v>71</v>
      </c>
      <c r="L145" s="174"/>
      <c r="M145" s="174" t="str">
        <f t="shared" si="39"/>
        <v/>
      </c>
      <c r="N145" s="174"/>
      <c r="O145" s="172"/>
      <c r="P145" s="172"/>
      <c r="Q145" s="173"/>
      <c r="R145" s="173"/>
      <c r="S145" s="172"/>
      <c r="T145" s="172"/>
      <c r="U145" s="173"/>
      <c r="V145" s="173"/>
      <c r="W145" s="172"/>
      <c r="X145" s="172"/>
      <c r="Y145" s="172" t="str">
        <f t="shared" si="38"/>
        <v/>
      </c>
      <c r="Z145" s="172"/>
      <c r="AA145" s="172"/>
      <c r="AB145" s="172"/>
      <c r="AC145" s="172"/>
      <c r="AD145" s="172"/>
      <c r="AE145" s="206"/>
      <c r="AF145" s="206"/>
      <c r="AG145" s="206"/>
      <c r="AH145" s="206"/>
      <c r="AI145" s="206"/>
      <c r="AJ145" s="206"/>
      <c r="AK145" s="174">
        <v>10</v>
      </c>
      <c r="AL145" s="174">
        <v>20</v>
      </c>
      <c r="AM145" s="172"/>
      <c r="AN145" s="172"/>
      <c r="AO145" s="172"/>
      <c r="AP145" s="172"/>
      <c r="AQ145" s="174"/>
      <c r="AR145" s="174"/>
      <c r="AS145" s="174"/>
      <c r="AT145" s="174"/>
      <c r="AU145" s="174"/>
      <c r="AV145" s="174"/>
      <c r="AW145" s="174"/>
      <c r="AX145" s="191"/>
      <c r="AY145" s="11"/>
      <c r="AZ145" s="11"/>
      <c r="BA145" s="11"/>
      <c r="BB145" s="11"/>
      <c r="BC145" s="11"/>
      <c r="BD145" s="13"/>
      <c r="BE145" s="11" t="str">
        <f t="shared" si="28"/>
        <v>Sí</v>
      </c>
      <c r="BF145" s="22" t="str">
        <f t="shared" si="29"/>
        <v>G 101 V</v>
      </c>
      <c r="BG145" s="11"/>
      <c r="BH145" s="11" t="str">
        <f t="shared" si="36"/>
        <v>Programado pendiente</v>
      </c>
      <c r="BI145" s="12"/>
      <c r="BJ145" s="68"/>
    </row>
    <row r="146" spans="1:62" ht="18" customHeight="1" x14ac:dyDescent="0.3">
      <c r="A146" s="150"/>
      <c r="B146" s="78" t="s">
        <v>97</v>
      </c>
      <c r="C146" s="12">
        <v>46165</v>
      </c>
      <c r="D146" s="20">
        <f t="shared" si="34"/>
        <v>20</v>
      </c>
      <c r="E146" s="174" t="str">
        <f t="shared" si="37"/>
        <v/>
      </c>
      <c r="F146" s="174"/>
      <c r="G146" s="174" t="str">
        <f t="shared" si="32"/>
        <v/>
      </c>
      <c r="H146" s="174"/>
      <c r="I146" s="174" t="str">
        <f t="shared" si="31"/>
        <v/>
      </c>
      <c r="J146" s="174"/>
      <c r="K146" s="174" t="s">
        <v>71</v>
      </c>
      <c r="L146" s="174"/>
      <c r="M146" s="174" t="str">
        <f t="shared" si="39"/>
        <v/>
      </c>
      <c r="N146" s="174"/>
      <c r="O146" s="172"/>
      <c r="P146" s="172"/>
      <c r="Q146" s="173"/>
      <c r="R146" s="173"/>
      <c r="S146" s="172"/>
      <c r="T146" s="172"/>
      <c r="U146" s="173"/>
      <c r="V146" s="173"/>
      <c r="W146" s="172"/>
      <c r="X146" s="172"/>
      <c r="Y146" s="172" t="str">
        <f t="shared" si="38"/>
        <v/>
      </c>
      <c r="Z146" s="172"/>
      <c r="AA146" s="172"/>
      <c r="AB146" s="172"/>
      <c r="AC146" s="172"/>
      <c r="AD146" s="172"/>
      <c r="AE146" s="206"/>
      <c r="AF146" s="206"/>
      <c r="AG146" s="206"/>
      <c r="AH146" s="206"/>
      <c r="AI146" s="206"/>
      <c r="AJ146" s="206"/>
      <c r="AK146" s="172"/>
      <c r="AL146" s="172"/>
      <c r="AM146" s="174">
        <v>10</v>
      </c>
      <c r="AN146" s="174">
        <v>20</v>
      </c>
      <c r="AO146" s="172"/>
      <c r="AP146" s="172"/>
      <c r="AQ146" s="174"/>
      <c r="AR146" s="174"/>
      <c r="AS146" s="174"/>
      <c r="AT146" s="174"/>
      <c r="AU146" s="174"/>
      <c r="AV146" s="174"/>
      <c r="AW146" s="174"/>
      <c r="AX146" s="191"/>
      <c r="AY146" s="11"/>
      <c r="AZ146" s="11"/>
      <c r="BA146" s="11"/>
      <c r="BB146" s="11"/>
      <c r="BC146" s="11"/>
      <c r="BD146" s="13"/>
      <c r="BE146" s="11" t="str">
        <f t="shared" si="28"/>
        <v>Sí</v>
      </c>
      <c r="BF146" s="22" t="str">
        <f t="shared" si="29"/>
        <v>G102 J</v>
      </c>
      <c r="BG146" s="11"/>
      <c r="BH146" s="11" t="str">
        <f t="shared" si="36"/>
        <v>Programado pendiente</v>
      </c>
      <c r="BI146" s="12"/>
      <c r="BJ146" s="68"/>
    </row>
    <row r="147" spans="1:62" ht="18" customHeight="1" x14ac:dyDescent="0.3">
      <c r="A147" s="150"/>
      <c r="B147" s="78" t="s">
        <v>98</v>
      </c>
      <c r="C147" s="12">
        <v>46166</v>
      </c>
      <c r="D147" s="20">
        <f t="shared" si="34"/>
        <v>20</v>
      </c>
      <c r="E147" s="174" t="str">
        <f t="shared" si="37"/>
        <v/>
      </c>
      <c r="F147" s="174"/>
      <c r="G147" s="174" t="str">
        <f t="shared" si="32"/>
        <v/>
      </c>
      <c r="H147" s="174"/>
      <c r="I147" s="174" t="str">
        <f t="shared" si="31"/>
        <v/>
      </c>
      <c r="J147" s="174"/>
      <c r="K147" s="174" t="s">
        <v>71</v>
      </c>
      <c r="L147" s="174"/>
      <c r="M147" s="174" t="str">
        <f t="shared" si="39"/>
        <v/>
      </c>
      <c r="N147" s="174"/>
      <c r="O147" s="172"/>
      <c r="P147" s="172"/>
      <c r="Q147" s="173"/>
      <c r="R147" s="173"/>
      <c r="S147" s="172"/>
      <c r="T147" s="172"/>
      <c r="U147" s="173"/>
      <c r="V147" s="173"/>
      <c r="W147" s="172"/>
      <c r="X147" s="172"/>
      <c r="Y147" s="172" t="str">
        <f t="shared" si="38"/>
        <v/>
      </c>
      <c r="Z147" s="172"/>
      <c r="AA147" s="172"/>
      <c r="AB147" s="172"/>
      <c r="AC147" s="172"/>
      <c r="AD147" s="172"/>
      <c r="AE147" s="206"/>
      <c r="AF147" s="206"/>
      <c r="AG147" s="206"/>
      <c r="AH147" s="206"/>
      <c r="AI147" s="206"/>
      <c r="AJ147" s="206"/>
      <c r="AK147" s="172"/>
      <c r="AL147" s="172"/>
      <c r="AM147" s="172"/>
      <c r="AN147" s="172"/>
      <c r="AO147" s="174">
        <v>10</v>
      </c>
      <c r="AP147" s="174">
        <v>20</v>
      </c>
      <c r="AQ147" s="174"/>
      <c r="AR147" s="174"/>
      <c r="AS147" s="174"/>
      <c r="AT147" s="174"/>
      <c r="AU147" s="174"/>
      <c r="AV147" s="174"/>
      <c r="AW147" s="174"/>
      <c r="AX147" s="191"/>
      <c r="AY147" s="11"/>
      <c r="AZ147" s="11"/>
      <c r="BA147" s="11"/>
      <c r="BB147" s="11"/>
      <c r="BC147" s="11"/>
      <c r="BD147" s="13"/>
      <c r="BE147" s="11" t="str">
        <f t="shared" si="28"/>
        <v>Sí</v>
      </c>
      <c r="BF147" s="22" t="str">
        <f t="shared" si="29"/>
        <v>G102K</v>
      </c>
      <c r="BG147" s="11"/>
      <c r="BH147" s="11" t="str">
        <f t="shared" si="36"/>
        <v>Programado pendiente</v>
      </c>
      <c r="BI147" s="12"/>
      <c r="BJ147" s="68"/>
    </row>
    <row r="148" spans="1:62" ht="18" customHeight="1" x14ac:dyDescent="0.3">
      <c r="A148" s="150"/>
      <c r="B148" s="78" t="s">
        <v>99</v>
      </c>
      <c r="C148" s="12">
        <v>46167</v>
      </c>
      <c r="D148" s="20" t="e">
        <f t="shared" si="34"/>
        <v>#VALUE!</v>
      </c>
      <c r="E148" s="174" t="str">
        <f t="shared" si="37"/>
        <v/>
      </c>
      <c r="F148" s="174"/>
      <c r="G148" s="174" t="str">
        <f t="shared" si="32"/>
        <v/>
      </c>
      <c r="H148" s="174"/>
      <c r="I148" s="174" t="str">
        <f t="shared" si="31"/>
        <v/>
      </c>
      <c r="J148" s="174"/>
      <c r="K148" s="174" t="s">
        <v>71</v>
      </c>
      <c r="L148" s="174"/>
      <c r="M148" s="174" t="str">
        <f t="shared" si="39"/>
        <v/>
      </c>
      <c r="N148" s="174"/>
      <c r="O148" s="172"/>
      <c r="P148" s="172"/>
      <c r="Q148" s="203" t="s">
        <v>77</v>
      </c>
      <c r="R148" s="203" t="s">
        <v>77</v>
      </c>
      <c r="S148" s="174"/>
      <c r="T148" s="174"/>
      <c r="U148" s="173"/>
      <c r="V148" s="173"/>
      <c r="W148" s="172"/>
      <c r="X148" s="172"/>
      <c r="Y148" s="174" t="str">
        <f t="shared" si="35"/>
        <v/>
      </c>
      <c r="Z148" s="174"/>
      <c r="AA148" s="174"/>
      <c r="AB148" s="174"/>
      <c r="AC148" s="172"/>
      <c r="AD148" s="172"/>
      <c r="AE148" s="206"/>
      <c r="AF148" s="206"/>
      <c r="AG148" s="206"/>
      <c r="AH148" s="206"/>
      <c r="AI148" s="206"/>
      <c r="AJ148" s="206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91"/>
      <c r="AY148" s="11"/>
      <c r="AZ148" s="11"/>
      <c r="BA148" s="11"/>
      <c r="BB148" s="11"/>
      <c r="BC148" s="11"/>
      <c r="BD148" s="13"/>
      <c r="BE148" s="11" t="str">
        <f t="shared" si="28"/>
        <v>No</v>
      </c>
      <c r="BF148" s="22" t="str">
        <f t="shared" si="29"/>
        <v/>
      </c>
      <c r="BG148" s="11"/>
      <c r="BH148" s="11" t="str">
        <f t="shared" si="36"/>
        <v>No aplica</v>
      </c>
      <c r="BI148" s="12"/>
      <c r="BJ148" s="68"/>
    </row>
    <row r="149" spans="1:62" ht="18" customHeight="1" x14ac:dyDescent="0.3">
      <c r="A149" s="150"/>
      <c r="B149" s="78" t="s">
        <v>100</v>
      </c>
      <c r="C149" s="12">
        <v>46168</v>
      </c>
      <c r="D149" s="20">
        <f t="shared" si="34"/>
        <v>0</v>
      </c>
      <c r="E149" s="174" t="str">
        <f t="shared" si="37"/>
        <v/>
      </c>
      <c r="F149" s="174"/>
      <c r="G149" s="174" t="str">
        <f t="shared" si="32"/>
        <v/>
      </c>
      <c r="H149" s="174"/>
      <c r="I149" s="174" t="str">
        <f t="shared" si="31"/>
        <v/>
      </c>
      <c r="J149" s="174"/>
      <c r="K149" s="174" t="s">
        <v>71</v>
      </c>
      <c r="L149" s="174"/>
      <c r="M149" s="174" t="str">
        <f t="shared" si="39"/>
        <v/>
      </c>
      <c r="N149" s="174"/>
      <c r="O149" s="172"/>
      <c r="P149" s="172"/>
      <c r="Q149" s="172"/>
      <c r="R149" s="172"/>
      <c r="S149" s="174"/>
      <c r="T149" s="174"/>
      <c r="U149" s="173"/>
      <c r="V149" s="173"/>
      <c r="W149" s="172"/>
      <c r="X149" s="172"/>
      <c r="Y149" s="174" t="str">
        <f t="shared" si="35"/>
        <v/>
      </c>
      <c r="Z149" s="174"/>
      <c r="AA149" s="174"/>
      <c r="AB149" s="174"/>
      <c r="AC149" s="172"/>
      <c r="AD149" s="172"/>
      <c r="AE149" s="206"/>
      <c r="AF149" s="206"/>
      <c r="AG149" s="206"/>
      <c r="AH149" s="206"/>
      <c r="AI149" s="206"/>
      <c r="AJ149" s="206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91"/>
      <c r="AY149" s="11"/>
      <c r="AZ149" s="11"/>
      <c r="BA149" s="11"/>
      <c r="BB149" s="11"/>
      <c r="BC149" s="11"/>
      <c r="BD149" s="13"/>
      <c r="BE149" s="11" t="str">
        <f t="shared" si="28"/>
        <v>No</v>
      </c>
      <c r="BF149" s="22" t="str">
        <f t="shared" si="29"/>
        <v/>
      </c>
      <c r="BG149" s="11"/>
      <c r="BH149" s="11" t="str">
        <f t="shared" si="36"/>
        <v>No aplica</v>
      </c>
      <c r="BI149" s="12"/>
      <c r="BJ149" s="68"/>
    </row>
    <row r="150" spans="1:62" ht="18" customHeight="1" x14ac:dyDescent="0.3">
      <c r="A150" s="150"/>
      <c r="B150" s="78" t="s">
        <v>101</v>
      </c>
      <c r="C150" s="12">
        <v>46169</v>
      </c>
      <c r="D150" s="20">
        <f t="shared" si="34"/>
        <v>0</v>
      </c>
      <c r="E150" s="174" t="str">
        <f t="shared" si="37"/>
        <v/>
      </c>
      <c r="F150" s="174"/>
      <c r="G150" s="174" t="str">
        <f t="shared" si="32"/>
        <v/>
      </c>
      <c r="H150" s="174"/>
      <c r="I150" s="174" t="str">
        <f t="shared" si="31"/>
        <v/>
      </c>
      <c r="J150" s="174"/>
      <c r="K150" s="174" t="s">
        <v>71</v>
      </c>
      <c r="L150" s="174"/>
      <c r="M150" s="174" t="str">
        <f t="shared" si="39"/>
        <v/>
      </c>
      <c r="N150" s="174"/>
      <c r="O150" s="172"/>
      <c r="P150" s="172"/>
      <c r="Q150" s="172"/>
      <c r="R150" s="172"/>
      <c r="S150" s="174"/>
      <c r="T150" s="174"/>
      <c r="U150" s="173"/>
      <c r="V150" s="173"/>
      <c r="W150" s="172"/>
      <c r="X150" s="172"/>
      <c r="Y150" s="174" t="str">
        <f t="shared" si="35"/>
        <v/>
      </c>
      <c r="Z150" s="174"/>
      <c r="AA150" s="174"/>
      <c r="AB150" s="174"/>
      <c r="AC150" s="172"/>
      <c r="AD150" s="172"/>
      <c r="AE150" s="206"/>
      <c r="AF150" s="206"/>
      <c r="AG150" s="206"/>
      <c r="AH150" s="206"/>
      <c r="AI150" s="206"/>
      <c r="AJ150" s="206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91"/>
      <c r="AY150" s="11"/>
      <c r="AZ150" s="11"/>
      <c r="BA150" s="11"/>
      <c r="BB150" s="11"/>
      <c r="BC150" s="11"/>
      <c r="BD150" s="13"/>
      <c r="BE150" s="11" t="str">
        <f t="shared" si="28"/>
        <v>No</v>
      </c>
      <c r="BF150" s="22" t="str">
        <f t="shared" si="29"/>
        <v/>
      </c>
      <c r="BG150" s="11"/>
      <c r="BH150" s="11" t="str">
        <f t="shared" si="36"/>
        <v>No aplica</v>
      </c>
      <c r="BI150" s="12"/>
      <c r="BJ150" s="68"/>
    </row>
    <row r="151" spans="1:62" ht="18" customHeight="1" x14ac:dyDescent="0.3">
      <c r="A151" s="150"/>
      <c r="B151" s="78" t="s">
        <v>94</v>
      </c>
      <c r="C151" s="12">
        <v>46170</v>
      </c>
      <c r="D151" s="20">
        <f t="shared" si="34"/>
        <v>0</v>
      </c>
      <c r="E151" s="174" t="str">
        <f t="shared" si="37"/>
        <v/>
      </c>
      <c r="F151" s="174"/>
      <c r="G151" s="174" t="str">
        <f t="shared" si="32"/>
        <v/>
      </c>
      <c r="H151" s="174"/>
      <c r="I151" s="174" t="str">
        <f t="shared" si="31"/>
        <v/>
      </c>
      <c r="J151" s="174"/>
      <c r="K151" s="174" t="s">
        <v>71</v>
      </c>
      <c r="L151" s="174"/>
      <c r="M151" s="174" t="str">
        <f t="shared" si="39"/>
        <v/>
      </c>
      <c r="N151" s="174"/>
      <c r="O151" s="172"/>
      <c r="P151" s="172"/>
      <c r="Q151" s="172"/>
      <c r="R151" s="172"/>
      <c r="S151" s="174"/>
      <c r="T151" s="174"/>
      <c r="U151" s="173"/>
      <c r="V151" s="173"/>
      <c r="W151" s="172"/>
      <c r="X151" s="172"/>
      <c r="Y151" s="174" t="str">
        <f t="shared" si="35"/>
        <v/>
      </c>
      <c r="Z151" s="174"/>
      <c r="AA151" s="174"/>
      <c r="AB151" s="174"/>
      <c r="AC151" s="172"/>
      <c r="AD151" s="172"/>
      <c r="AE151" s="206"/>
      <c r="AF151" s="206"/>
      <c r="AG151" s="206"/>
      <c r="AH151" s="206"/>
      <c r="AI151" s="206"/>
      <c r="AJ151" s="206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91"/>
      <c r="AY151" s="11"/>
      <c r="AZ151" s="11"/>
      <c r="BA151" s="11"/>
      <c r="BB151" s="11"/>
      <c r="BC151" s="11"/>
      <c r="BD151" s="13"/>
      <c r="BE151" s="11" t="str">
        <f t="shared" si="28"/>
        <v>No</v>
      </c>
      <c r="BF151" s="22" t="str">
        <f t="shared" si="29"/>
        <v/>
      </c>
      <c r="BG151" s="11"/>
      <c r="BH151" s="11" t="str">
        <f t="shared" si="36"/>
        <v>No aplica</v>
      </c>
      <c r="BI151" s="12"/>
      <c r="BJ151" s="68"/>
    </row>
    <row r="152" spans="1:62" ht="18" customHeight="1" x14ac:dyDescent="0.3">
      <c r="A152" s="150"/>
      <c r="B152" s="78" t="s">
        <v>95</v>
      </c>
      <c r="C152" s="12">
        <v>46171</v>
      </c>
      <c r="D152" s="20">
        <f t="shared" si="34"/>
        <v>0</v>
      </c>
      <c r="E152" s="174" t="str">
        <f t="shared" si="37"/>
        <v/>
      </c>
      <c r="F152" s="174"/>
      <c r="G152" s="174" t="str">
        <f t="shared" si="32"/>
        <v/>
      </c>
      <c r="H152" s="174"/>
      <c r="I152" s="174" t="str">
        <f t="shared" si="31"/>
        <v/>
      </c>
      <c r="J152" s="174"/>
      <c r="K152" s="174" t="s">
        <v>71</v>
      </c>
      <c r="L152" s="174"/>
      <c r="M152" s="174" t="str">
        <f t="shared" si="39"/>
        <v/>
      </c>
      <c r="N152" s="174"/>
      <c r="O152" s="172"/>
      <c r="P152" s="172"/>
      <c r="Q152" s="172"/>
      <c r="R152" s="172"/>
      <c r="S152" s="174"/>
      <c r="T152" s="174"/>
      <c r="U152" s="173"/>
      <c r="V152" s="173"/>
      <c r="W152" s="172"/>
      <c r="X152" s="172"/>
      <c r="Y152" s="174" t="str">
        <f t="shared" si="35"/>
        <v/>
      </c>
      <c r="Z152" s="174"/>
      <c r="AA152" s="174"/>
      <c r="AB152" s="174"/>
      <c r="AC152" s="172"/>
      <c r="AD152" s="172"/>
      <c r="AE152" s="206"/>
      <c r="AF152" s="206"/>
      <c r="AG152" s="206"/>
      <c r="AH152" s="206"/>
      <c r="AI152" s="206"/>
      <c r="AJ152" s="206"/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91"/>
      <c r="AY152" s="11"/>
      <c r="AZ152" s="11"/>
      <c r="BA152" s="11"/>
      <c r="BB152" s="11"/>
      <c r="BC152" s="11"/>
      <c r="BD152" s="13"/>
      <c r="BE152" s="11" t="str">
        <f t="shared" si="28"/>
        <v>No</v>
      </c>
      <c r="BF152" s="22" t="str">
        <f t="shared" si="29"/>
        <v/>
      </c>
      <c r="BG152" s="11"/>
      <c r="BH152" s="11" t="str">
        <f t="shared" si="36"/>
        <v>No aplica</v>
      </c>
      <c r="BI152" s="12"/>
      <c r="BJ152" s="68"/>
    </row>
    <row r="153" spans="1:62" ht="18" customHeight="1" x14ac:dyDescent="0.3">
      <c r="A153" s="150"/>
      <c r="B153" s="78" t="s">
        <v>97</v>
      </c>
      <c r="C153" s="12">
        <v>46172</v>
      </c>
      <c r="D153" s="20">
        <f t="shared" si="34"/>
        <v>0</v>
      </c>
      <c r="E153" s="174" t="str">
        <f t="shared" si="37"/>
        <v/>
      </c>
      <c r="F153" s="174"/>
      <c r="G153" s="174" t="str">
        <f t="shared" si="32"/>
        <v/>
      </c>
      <c r="H153" s="174"/>
      <c r="I153" s="174" t="str">
        <f t="shared" si="31"/>
        <v/>
      </c>
      <c r="J153" s="174"/>
      <c r="K153" s="174" t="s">
        <v>71</v>
      </c>
      <c r="L153" s="174"/>
      <c r="M153" s="174" t="str">
        <f t="shared" si="39"/>
        <v/>
      </c>
      <c r="N153" s="174"/>
      <c r="O153" s="172"/>
      <c r="P153" s="172"/>
      <c r="Q153" s="172"/>
      <c r="R153" s="172"/>
      <c r="S153" s="174"/>
      <c r="T153" s="174"/>
      <c r="U153" s="173"/>
      <c r="V153" s="173"/>
      <c r="W153" s="172"/>
      <c r="X153" s="172"/>
      <c r="Y153" s="174" t="str">
        <f t="shared" si="35"/>
        <v/>
      </c>
      <c r="Z153" s="174"/>
      <c r="AA153" s="174"/>
      <c r="AB153" s="174"/>
      <c r="AC153" s="172"/>
      <c r="AD153" s="172"/>
      <c r="AE153" s="206"/>
      <c r="AF153" s="206"/>
      <c r="AG153" s="206"/>
      <c r="AH153" s="206"/>
      <c r="AI153" s="206"/>
      <c r="AJ153" s="206"/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91"/>
      <c r="AY153" s="11"/>
      <c r="AZ153" s="11"/>
      <c r="BA153" s="11"/>
      <c r="BB153" s="11"/>
      <c r="BC153" s="11"/>
      <c r="BD153" s="13"/>
      <c r="BE153" s="11" t="str">
        <f t="shared" si="28"/>
        <v>No</v>
      </c>
      <c r="BF153" s="22" t="str">
        <f t="shared" si="29"/>
        <v/>
      </c>
      <c r="BG153" s="11"/>
      <c r="BH153" s="11" t="str">
        <f t="shared" si="36"/>
        <v>No aplica</v>
      </c>
      <c r="BI153" s="12"/>
      <c r="BJ153" s="68"/>
    </row>
    <row r="154" spans="1:62" ht="30.6" customHeight="1" thickBot="1" x14ac:dyDescent="0.35">
      <c r="A154" s="151"/>
      <c r="B154" s="53" t="s">
        <v>98</v>
      </c>
      <c r="C154" s="30">
        <v>46173</v>
      </c>
      <c r="D154" s="31">
        <f t="shared" si="34"/>
        <v>44</v>
      </c>
      <c r="E154" s="182" t="str">
        <f t="shared" si="37"/>
        <v/>
      </c>
      <c r="F154" s="182"/>
      <c r="G154" s="182" t="str">
        <f t="shared" si="32"/>
        <v/>
      </c>
      <c r="H154" s="182"/>
      <c r="I154" s="182">
        <v>12</v>
      </c>
      <c r="J154" s="182">
        <v>24</v>
      </c>
      <c r="K154" s="182" t="s">
        <v>71</v>
      </c>
      <c r="L154" s="182"/>
      <c r="M154" s="182" t="str">
        <f t="shared" si="39"/>
        <v/>
      </c>
      <c r="N154" s="182"/>
      <c r="O154" s="179"/>
      <c r="P154" s="179"/>
      <c r="Q154" s="179"/>
      <c r="R154" s="179"/>
      <c r="S154" s="179"/>
      <c r="T154" s="179"/>
      <c r="U154" s="181"/>
      <c r="V154" s="181"/>
      <c r="W154" s="179"/>
      <c r="X154" s="179"/>
      <c r="Y154" s="182">
        <v>10</v>
      </c>
      <c r="Z154" s="182">
        <v>20</v>
      </c>
      <c r="AA154" s="208"/>
      <c r="AB154" s="208"/>
      <c r="AC154" s="208"/>
      <c r="AD154" s="208"/>
      <c r="AE154" s="209"/>
      <c r="AF154" s="209"/>
      <c r="AG154" s="209"/>
      <c r="AH154" s="209"/>
      <c r="AI154" s="209"/>
      <c r="AJ154" s="209"/>
      <c r="AK154" s="208"/>
      <c r="AL154" s="208"/>
      <c r="AM154" s="208"/>
      <c r="AN154" s="208"/>
      <c r="AO154" s="208"/>
      <c r="AP154" s="208"/>
      <c r="AQ154" s="182"/>
      <c r="AR154" s="182"/>
      <c r="AS154" s="182"/>
      <c r="AT154" s="182"/>
      <c r="AU154" s="182"/>
      <c r="AV154" s="182"/>
      <c r="AW154" s="182"/>
      <c r="AX154" s="199"/>
      <c r="AY154" s="70"/>
      <c r="AZ154" s="70"/>
      <c r="BA154" s="70"/>
      <c r="BB154" s="70"/>
      <c r="BC154" s="70"/>
      <c r="BD154" s="71"/>
      <c r="BE154" s="70" t="str">
        <f t="shared" si="28"/>
        <v>Sí</v>
      </c>
      <c r="BF154" s="72" t="str">
        <f t="shared" si="29"/>
        <v>CPW03, JINAN 01</v>
      </c>
      <c r="BG154" s="70" t="s">
        <v>47</v>
      </c>
      <c r="BH154" s="70" t="str">
        <f t="shared" si="36"/>
        <v>Ejecutado</v>
      </c>
      <c r="BI154" s="30">
        <v>46181</v>
      </c>
      <c r="BJ154" s="73" t="s">
        <v>109</v>
      </c>
    </row>
    <row r="155" spans="1:62" ht="18" customHeight="1" x14ac:dyDescent="0.3">
      <c r="A155" s="148" t="s">
        <v>61</v>
      </c>
      <c r="B155" s="42"/>
      <c r="C155" s="15">
        <v>46174</v>
      </c>
      <c r="D155" s="27">
        <f t="shared" si="34"/>
        <v>20</v>
      </c>
      <c r="E155" s="170" t="str">
        <f t="shared" si="37"/>
        <v/>
      </c>
      <c r="F155" s="170"/>
      <c r="G155" s="170" t="str">
        <f t="shared" si="32"/>
        <v/>
      </c>
      <c r="H155" s="170"/>
      <c r="I155" s="170" t="str">
        <f>IF(MOD(C157-$C$30,42)=0,8,"")</f>
        <v/>
      </c>
      <c r="J155" s="170"/>
      <c r="K155" s="170" t="s">
        <v>71</v>
      </c>
      <c r="L155" s="170"/>
      <c r="M155" s="170" t="str">
        <f t="shared" si="39"/>
        <v/>
      </c>
      <c r="N155" s="170"/>
      <c r="O155" s="168"/>
      <c r="P155" s="168"/>
      <c r="Q155" s="168"/>
      <c r="R155" s="168"/>
      <c r="S155" s="168"/>
      <c r="T155" s="168"/>
      <c r="U155" s="169"/>
      <c r="V155" s="169"/>
      <c r="W155" s="168"/>
      <c r="X155" s="168"/>
      <c r="Y155" s="168" t="str">
        <f t="shared" ref="Y155:Y162" si="40">IF(MOD(C155-$C$4,15)=0,8,"")</f>
        <v/>
      </c>
      <c r="Z155" s="168"/>
      <c r="AA155" s="170">
        <v>10</v>
      </c>
      <c r="AB155" s="170">
        <v>20</v>
      </c>
      <c r="AC155" s="168"/>
      <c r="AD155" s="168"/>
      <c r="AE155" s="210"/>
      <c r="AF155" s="210"/>
      <c r="AG155" s="210"/>
      <c r="AH155" s="210"/>
      <c r="AI155" s="210"/>
      <c r="AJ155" s="210"/>
      <c r="AK155" s="168"/>
      <c r="AL155" s="168"/>
      <c r="AM155" s="168"/>
      <c r="AN155" s="168"/>
      <c r="AO155" s="168"/>
      <c r="AP155" s="168"/>
      <c r="AQ155" s="170"/>
      <c r="AR155" s="170"/>
      <c r="AS155" s="170"/>
      <c r="AT155" s="170"/>
      <c r="AU155" s="170"/>
      <c r="AV155" s="170"/>
      <c r="AW155" s="170"/>
      <c r="AX155" s="201"/>
      <c r="AY155" s="64"/>
      <c r="AZ155" s="14"/>
      <c r="BA155" s="14"/>
      <c r="BB155" s="14"/>
      <c r="BC155" s="14"/>
      <c r="BD155" s="65"/>
      <c r="BE155" s="14" t="str">
        <f t="shared" si="28"/>
        <v>Sí</v>
      </c>
      <c r="BF155" s="21" t="str">
        <f t="shared" si="29"/>
        <v>JINAN 02</v>
      </c>
      <c r="BG155" s="14" t="s">
        <v>84</v>
      </c>
      <c r="BH155" s="14" t="str">
        <f t="shared" si="36"/>
        <v>Programado pendiente</v>
      </c>
      <c r="BI155" s="15"/>
      <c r="BJ155" s="66" t="s">
        <v>110</v>
      </c>
    </row>
    <row r="156" spans="1:62" ht="35.4" customHeight="1" x14ac:dyDescent="0.3">
      <c r="A156" s="150"/>
      <c r="B156" s="43"/>
      <c r="C156" s="12">
        <v>46175</v>
      </c>
      <c r="D156" s="20">
        <f t="shared" si="34"/>
        <v>44</v>
      </c>
      <c r="E156" s="174" t="str">
        <f t="shared" si="37"/>
        <v/>
      </c>
      <c r="F156" s="174"/>
      <c r="G156" s="174">
        <v>12</v>
      </c>
      <c r="H156" s="174">
        <v>24</v>
      </c>
      <c r="I156" s="174" t="str">
        <f>IF(MOD(C158-$C$30,42)=0,8,"")</f>
        <v/>
      </c>
      <c r="J156" s="174"/>
      <c r="K156" s="174" t="s">
        <v>71</v>
      </c>
      <c r="L156" s="174"/>
      <c r="M156" s="174" t="str">
        <f t="shared" si="39"/>
        <v/>
      </c>
      <c r="N156" s="174"/>
      <c r="O156" s="172"/>
      <c r="P156" s="172"/>
      <c r="Q156" s="172"/>
      <c r="R156" s="172"/>
      <c r="S156" s="172">
        <v>8</v>
      </c>
      <c r="T156" s="172">
        <v>16</v>
      </c>
      <c r="U156" s="173"/>
      <c r="V156" s="173"/>
      <c r="W156" s="172"/>
      <c r="X156" s="172"/>
      <c r="Y156" s="172" t="str">
        <f t="shared" si="40"/>
        <v/>
      </c>
      <c r="Z156" s="172"/>
      <c r="AA156" s="172"/>
      <c r="AB156" s="172"/>
      <c r="AC156" s="174">
        <v>10</v>
      </c>
      <c r="AD156" s="174">
        <v>20</v>
      </c>
      <c r="AE156" s="206"/>
      <c r="AF156" s="206"/>
      <c r="AG156" s="206"/>
      <c r="AH156" s="206"/>
      <c r="AI156" s="206"/>
      <c r="AJ156" s="206"/>
      <c r="AK156" s="172"/>
      <c r="AL156" s="172"/>
      <c r="AM156" s="172"/>
      <c r="AN156" s="172"/>
      <c r="AO156" s="172"/>
      <c r="AP156" s="172"/>
      <c r="AQ156" s="174"/>
      <c r="AR156" s="174"/>
      <c r="AS156" s="174"/>
      <c r="AT156" s="174"/>
      <c r="AU156" s="174"/>
      <c r="AV156" s="174"/>
      <c r="AW156" s="174"/>
      <c r="AX156" s="191"/>
      <c r="AY156" s="67"/>
      <c r="AZ156" s="11"/>
      <c r="BA156" s="11"/>
      <c r="BB156" s="11"/>
      <c r="BC156" s="11"/>
      <c r="BD156" s="13"/>
      <c r="BE156" s="11" t="str">
        <f t="shared" si="28"/>
        <v>Sí</v>
      </c>
      <c r="BF156" s="22" t="str">
        <f t="shared" si="29"/>
        <v>CPW01, CPW 10, JINAN 03/JN 10</v>
      </c>
      <c r="BG156" s="11" t="s">
        <v>47</v>
      </c>
      <c r="BH156" s="11" t="str">
        <f t="shared" si="36"/>
        <v>Ejecutado</v>
      </c>
      <c r="BI156" s="56" t="s">
        <v>111</v>
      </c>
      <c r="BJ156" s="68" t="s">
        <v>112</v>
      </c>
    </row>
    <row r="157" spans="1:62" ht="18" customHeight="1" x14ac:dyDescent="0.3">
      <c r="A157" s="150"/>
      <c r="B157" s="43"/>
      <c r="C157" s="12">
        <v>46176</v>
      </c>
      <c r="D157" s="20">
        <f t="shared" si="34"/>
        <v>0</v>
      </c>
      <c r="E157" s="174" t="str">
        <f t="shared" si="37"/>
        <v/>
      </c>
      <c r="F157" s="174"/>
      <c r="G157" s="174" t="str">
        <f>IF(MOD(C157-$C$30,42)=0,8,"")</f>
        <v/>
      </c>
      <c r="H157" s="174"/>
      <c r="I157" s="174" t="str">
        <f t="shared" ref="I157:I220" si="41">IF(MOD(C159-$C$30,42)=0,8,"")</f>
        <v/>
      </c>
      <c r="J157" s="174"/>
      <c r="K157" s="174" t="s">
        <v>71</v>
      </c>
      <c r="L157" s="174"/>
      <c r="M157" s="174" t="str">
        <f t="shared" si="39"/>
        <v/>
      </c>
      <c r="N157" s="174"/>
      <c r="O157" s="172"/>
      <c r="P157" s="172"/>
      <c r="Q157" s="172"/>
      <c r="R157" s="172"/>
      <c r="S157" s="172"/>
      <c r="T157" s="172"/>
      <c r="U157" s="173"/>
      <c r="V157" s="173"/>
      <c r="W157" s="172"/>
      <c r="X157" s="172"/>
      <c r="Y157" s="172" t="str">
        <f t="shared" si="40"/>
        <v/>
      </c>
      <c r="Z157" s="172"/>
      <c r="AA157" s="172"/>
      <c r="AB157" s="172"/>
      <c r="AC157" s="172"/>
      <c r="AD157" s="172"/>
      <c r="AE157" s="206"/>
      <c r="AF157" s="206"/>
      <c r="AG157" s="206"/>
      <c r="AH157" s="206"/>
      <c r="AI157" s="206"/>
      <c r="AJ157" s="206"/>
      <c r="AK157" s="172"/>
      <c r="AL157" s="172"/>
      <c r="AM157" s="172"/>
      <c r="AN157" s="172"/>
      <c r="AO157" s="172"/>
      <c r="AP157" s="172"/>
      <c r="AQ157" s="174"/>
      <c r="AR157" s="174"/>
      <c r="AS157" s="174"/>
      <c r="AT157" s="174"/>
      <c r="AU157" s="174"/>
      <c r="AV157" s="174"/>
      <c r="AW157" s="174"/>
      <c r="AX157" s="191"/>
      <c r="AY157" s="67"/>
      <c r="AZ157" s="11"/>
      <c r="BA157" s="11"/>
      <c r="BB157" s="11"/>
      <c r="BC157" s="11"/>
      <c r="BD157" s="13"/>
      <c r="BE157" s="11" t="str">
        <f t="shared" si="28"/>
        <v>No</v>
      </c>
      <c r="BF157" s="22" t="str">
        <f t="shared" si="29"/>
        <v/>
      </c>
      <c r="BG157" s="11"/>
      <c r="BH157" s="11" t="str">
        <f t="shared" si="36"/>
        <v>No aplica</v>
      </c>
      <c r="BI157" s="12"/>
      <c r="BJ157" s="68"/>
    </row>
    <row r="158" spans="1:62" ht="18" customHeight="1" x14ac:dyDescent="0.3">
      <c r="A158" s="150"/>
      <c r="B158" s="43"/>
      <c r="C158" s="12">
        <v>46177</v>
      </c>
      <c r="D158" s="20">
        <f t="shared" si="34"/>
        <v>0</v>
      </c>
      <c r="E158" s="174" t="str">
        <f t="shared" si="37"/>
        <v/>
      </c>
      <c r="F158" s="174"/>
      <c r="G158" s="174" t="str">
        <f>IF(MOD(C158-$C$30,42)=0,8,"")</f>
        <v/>
      </c>
      <c r="H158" s="174"/>
      <c r="I158" s="174" t="str">
        <f t="shared" si="41"/>
        <v/>
      </c>
      <c r="J158" s="174"/>
      <c r="K158" s="174" t="s">
        <v>71</v>
      </c>
      <c r="L158" s="174"/>
      <c r="M158" s="174" t="str">
        <f t="shared" si="39"/>
        <v/>
      </c>
      <c r="N158" s="174"/>
      <c r="O158" s="172"/>
      <c r="P158" s="172"/>
      <c r="Q158" s="172"/>
      <c r="R158" s="172"/>
      <c r="S158" s="172"/>
      <c r="T158" s="172"/>
      <c r="U158" s="173"/>
      <c r="V158" s="173"/>
      <c r="W158" s="172"/>
      <c r="X158" s="172"/>
      <c r="Y158" s="172" t="str">
        <f t="shared" si="40"/>
        <v/>
      </c>
      <c r="Z158" s="172"/>
      <c r="AA158" s="172"/>
      <c r="AB158" s="172"/>
      <c r="AC158" s="172"/>
      <c r="AD158" s="172"/>
      <c r="AE158" s="206"/>
      <c r="AF158" s="206"/>
      <c r="AG158" s="206"/>
      <c r="AH158" s="206"/>
      <c r="AI158" s="206"/>
      <c r="AJ158" s="206"/>
      <c r="AK158" s="172"/>
      <c r="AL158" s="172"/>
      <c r="AM158" s="172"/>
      <c r="AN158" s="172"/>
      <c r="AO158" s="172"/>
      <c r="AP158" s="172"/>
      <c r="AQ158" s="174"/>
      <c r="AR158" s="174"/>
      <c r="AS158" s="174"/>
      <c r="AT158" s="174"/>
      <c r="AU158" s="174"/>
      <c r="AV158" s="174"/>
      <c r="AW158" s="174"/>
      <c r="AX158" s="191"/>
      <c r="AY158" s="67"/>
      <c r="AZ158" s="11"/>
      <c r="BA158" s="11"/>
      <c r="BB158" s="11"/>
      <c r="BC158" s="11"/>
      <c r="BD158" s="13"/>
      <c r="BE158" s="11" t="str">
        <f t="shared" si="28"/>
        <v>No</v>
      </c>
      <c r="BF158" s="22" t="str">
        <f t="shared" si="29"/>
        <v/>
      </c>
      <c r="BG158" s="11"/>
      <c r="BH158" s="11" t="str">
        <f t="shared" si="36"/>
        <v>No aplica</v>
      </c>
      <c r="BI158" s="12"/>
      <c r="BJ158" s="68"/>
    </row>
    <row r="159" spans="1:62" ht="18" customHeight="1" x14ac:dyDescent="0.3">
      <c r="A159" s="150"/>
      <c r="B159" s="43"/>
      <c r="C159" s="12">
        <v>46178</v>
      </c>
      <c r="D159" s="20">
        <f t="shared" si="34"/>
        <v>0</v>
      </c>
      <c r="E159" s="174" t="str">
        <f t="shared" si="37"/>
        <v/>
      </c>
      <c r="F159" s="174"/>
      <c r="G159" s="174" t="str">
        <f t="shared" ref="G159:G222" si="42">IF(MOD(C159-$C$30,42)=0,8,"")</f>
        <v/>
      </c>
      <c r="H159" s="174"/>
      <c r="I159" s="174" t="str">
        <f t="shared" si="41"/>
        <v/>
      </c>
      <c r="J159" s="174"/>
      <c r="K159" s="174" t="s">
        <v>71</v>
      </c>
      <c r="L159" s="174"/>
      <c r="M159" s="174" t="str">
        <f t="shared" si="39"/>
        <v/>
      </c>
      <c r="N159" s="174"/>
      <c r="O159" s="172"/>
      <c r="P159" s="172"/>
      <c r="Q159" s="172"/>
      <c r="R159" s="172"/>
      <c r="S159" s="172"/>
      <c r="T159" s="172"/>
      <c r="U159" s="173"/>
      <c r="V159" s="173"/>
      <c r="W159" s="172"/>
      <c r="X159" s="172"/>
      <c r="Y159" s="172" t="str">
        <f t="shared" si="40"/>
        <v/>
      </c>
      <c r="Z159" s="172"/>
      <c r="AA159" s="172"/>
      <c r="AB159" s="172"/>
      <c r="AC159" s="172"/>
      <c r="AD159" s="172"/>
      <c r="AE159" s="206"/>
      <c r="AF159" s="206"/>
      <c r="AG159" s="206"/>
      <c r="AH159" s="206"/>
      <c r="AI159" s="206"/>
      <c r="AJ159" s="206"/>
      <c r="AK159" s="172"/>
      <c r="AL159" s="172"/>
      <c r="AM159" s="172"/>
      <c r="AN159" s="172"/>
      <c r="AO159" s="172"/>
      <c r="AP159" s="172"/>
      <c r="AQ159" s="174"/>
      <c r="AR159" s="174"/>
      <c r="AS159" s="174"/>
      <c r="AT159" s="174"/>
      <c r="AU159" s="174"/>
      <c r="AV159" s="174"/>
      <c r="AW159" s="174"/>
      <c r="AX159" s="191"/>
      <c r="AY159" s="67"/>
      <c r="AZ159" s="11"/>
      <c r="BA159" s="11"/>
      <c r="BB159" s="11"/>
      <c r="BC159" s="11"/>
      <c r="BD159" s="13"/>
      <c r="BE159" s="11" t="str">
        <f t="shared" si="28"/>
        <v>No</v>
      </c>
      <c r="BF159" s="22" t="str">
        <f t="shared" si="29"/>
        <v/>
      </c>
      <c r="BG159" s="11" t="s">
        <v>84</v>
      </c>
      <c r="BH159" s="11" t="str">
        <f t="shared" si="36"/>
        <v>No aplica</v>
      </c>
      <c r="BI159" s="12"/>
      <c r="BJ159" s="68"/>
    </row>
    <row r="160" spans="1:62" ht="24" customHeight="1" x14ac:dyDescent="0.3">
      <c r="A160" s="150"/>
      <c r="B160" s="43"/>
      <c r="C160" s="12">
        <v>46179</v>
      </c>
      <c r="D160" s="20">
        <f t="shared" si="34"/>
        <v>60</v>
      </c>
      <c r="E160" s="174" t="str">
        <f t="shared" si="37"/>
        <v/>
      </c>
      <c r="F160" s="174"/>
      <c r="G160" s="174" t="str">
        <f t="shared" si="42"/>
        <v/>
      </c>
      <c r="H160" s="174"/>
      <c r="I160" s="174" t="str">
        <f t="shared" si="41"/>
        <v/>
      </c>
      <c r="J160" s="174"/>
      <c r="K160" s="174">
        <v>10</v>
      </c>
      <c r="L160" s="174">
        <v>20</v>
      </c>
      <c r="M160" s="174">
        <v>10</v>
      </c>
      <c r="N160" s="174">
        <v>20</v>
      </c>
      <c r="O160" s="172"/>
      <c r="P160" s="172"/>
      <c r="Q160" s="172"/>
      <c r="R160" s="172"/>
      <c r="S160" s="172"/>
      <c r="T160" s="172"/>
      <c r="U160" s="173"/>
      <c r="V160" s="173"/>
      <c r="W160" s="172"/>
      <c r="X160" s="172"/>
      <c r="Y160" s="172" t="str">
        <f t="shared" si="40"/>
        <v/>
      </c>
      <c r="Z160" s="172"/>
      <c r="AA160" s="172"/>
      <c r="AB160" s="172"/>
      <c r="AC160" s="172"/>
      <c r="AD160" s="172"/>
      <c r="AE160" s="206"/>
      <c r="AF160" s="206"/>
      <c r="AG160" s="206"/>
      <c r="AH160" s="206"/>
      <c r="AI160" s="206"/>
      <c r="AJ160" s="206"/>
      <c r="AK160" s="174">
        <v>10</v>
      </c>
      <c r="AL160" s="174">
        <v>20</v>
      </c>
      <c r="AM160" s="172"/>
      <c r="AN160" s="172"/>
      <c r="AO160" s="172"/>
      <c r="AP160" s="172"/>
      <c r="AQ160" s="174"/>
      <c r="AR160" s="174"/>
      <c r="AS160" s="174"/>
      <c r="AT160" s="174"/>
      <c r="AU160" s="174"/>
      <c r="AV160" s="174"/>
      <c r="AW160" s="174"/>
      <c r="AX160" s="191"/>
      <c r="AY160" s="67"/>
      <c r="AZ160" s="11"/>
      <c r="BA160" s="11"/>
      <c r="BB160" s="11"/>
      <c r="BC160" s="11"/>
      <c r="BD160" s="13"/>
      <c r="BE160" s="11" t="str">
        <f t="shared" si="28"/>
        <v>Sí</v>
      </c>
      <c r="BF160" s="22" t="str">
        <f t="shared" si="29"/>
        <v>CPW04
, CPW05, G 101 V</v>
      </c>
      <c r="BG160" s="11" t="s">
        <v>47</v>
      </c>
      <c r="BH160" s="11" t="str">
        <f t="shared" si="36"/>
        <v>Ejecutado</v>
      </c>
      <c r="BI160" s="56" t="s">
        <v>113</v>
      </c>
      <c r="BJ160" s="68" t="s">
        <v>114</v>
      </c>
    </row>
    <row r="161" spans="1:62" ht="18" customHeight="1" x14ac:dyDescent="0.3">
      <c r="A161" s="150"/>
      <c r="B161" s="43"/>
      <c r="C161" s="12">
        <v>46180</v>
      </c>
      <c r="D161" s="20">
        <f t="shared" si="34"/>
        <v>20</v>
      </c>
      <c r="E161" s="174" t="str">
        <f t="shared" si="37"/>
        <v/>
      </c>
      <c r="F161" s="174"/>
      <c r="G161" s="174" t="str">
        <f t="shared" si="42"/>
        <v/>
      </c>
      <c r="H161" s="174"/>
      <c r="I161" s="174" t="str">
        <f t="shared" si="41"/>
        <v/>
      </c>
      <c r="J161" s="174"/>
      <c r="K161" s="174" t="s">
        <v>71</v>
      </c>
      <c r="L161" s="174"/>
      <c r="M161" s="174" t="str">
        <f t="shared" si="39"/>
        <v/>
      </c>
      <c r="N161" s="174"/>
      <c r="O161" s="172"/>
      <c r="P161" s="172"/>
      <c r="Q161" s="172"/>
      <c r="R161" s="172"/>
      <c r="S161" s="172"/>
      <c r="T161" s="172"/>
      <c r="U161" s="173"/>
      <c r="V161" s="173"/>
      <c r="W161" s="172"/>
      <c r="X161" s="172"/>
      <c r="Y161" s="172" t="str">
        <f t="shared" si="40"/>
        <v/>
      </c>
      <c r="Z161" s="172"/>
      <c r="AA161" s="172"/>
      <c r="AB161" s="172"/>
      <c r="AC161" s="172"/>
      <c r="AD161" s="172"/>
      <c r="AE161" s="206"/>
      <c r="AF161" s="206"/>
      <c r="AG161" s="206"/>
      <c r="AH161" s="206"/>
      <c r="AI161" s="206"/>
      <c r="AJ161" s="206"/>
      <c r="AK161" s="172"/>
      <c r="AL161" s="172"/>
      <c r="AM161" s="174">
        <v>10</v>
      </c>
      <c r="AN161" s="174">
        <v>20</v>
      </c>
      <c r="AO161" s="172"/>
      <c r="AP161" s="172"/>
      <c r="AQ161" s="174"/>
      <c r="AR161" s="174"/>
      <c r="AS161" s="174"/>
      <c r="AT161" s="174"/>
      <c r="AU161" s="174"/>
      <c r="AV161" s="174"/>
      <c r="AW161" s="174"/>
      <c r="AX161" s="191"/>
      <c r="AY161" s="67"/>
      <c r="AZ161" s="11"/>
      <c r="BA161" s="11"/>
      <c r="BB161" s="11"/>
      <c r="BC161" s="11"/>
      <c r="BD161" s="13"/>
      <c r="BE161" s="11" t="str">
        <f t="shared" si="28"/>
        <v>Sí</v>
      </c>
      <c r="BF161" s="22" t="str">
        <f t="shared" si="29"/>
        <v>G102 J</v>
      </c>
      <c r="BG161" s="11"/>
      <c r="BH161" s="11" t="str">
        <f t="shared" si="36"/>
        <v>Programado pendiente</v>
      </c>
      <c r="BI161" s="12"/>
      <c r="BJ161" s="68"/>
    </row>
    <row r="162" spans="1:62" ht="18" customHeight="1" x14ac:dyDescent="0.3">
      <c r="A162" s="150"/>
      <c r="B162" s="43"/>
      <c r="C162" s="12">
        <v>46181</v>
      </c>
      <c r="D162" s="20">
        <f t="shared" si="34"/>
        <v>20</v>
      </c>
      <c r="E162" s="174" t="str">
        <f t="shared" si="37"/>
        <v/>
      </c>
      <c r="F162" s="174"/>
      <c r="G162" s="174" t="str">
        <f t="shared" si="42"/>
        <v/>
      </c>
      <c r="H162" s="174"/>
      <c r="I162" s="174" t="str">
        <f t="shared" si="41"/>
        <v/>
      </c>
      <c r="J162" s="174"/>
      <c r="K162" s="174" t="s">
        <v>71</v>
      </c>
      <c r="L162" s="174"/>
      <c r="M162" s="174" t="str">
        <f t="shared" si="39"/>
        <v/>
      </c>
      <c r="N162" s="174"/>
      <c r="O162" s="172"/>
      <c r="P162" s="172"/>
      <c r="Q162" s="172"/>
      <c r="R162" s="172"/>
      <c r="S162" s="172"/>
      <c r="T162" s="172"/>
      <c r="U162" s="173"/>
      <c r="V162" s="173"/>
      <c r="W162" s="172"/>
      <c r="X162" s="172"/>
      <c r="Y162" s="172" t="str">
        <f t="shared" si="40"/>
        <v/>
      </c>
      <c r="Z162" s="172"/>
      <c r="AA162" s="172"/>
      <c r="AB162" s="172"/>
      <c r="AC162" s="172"/>
      <c r="AD162" s="172"/>
      <c r="AE162" s="206"/>
      <c r="AF162" s="206"/>
      <c r="AG162" s="206"/>
      <c r="AH162" s="206"/>
      <c r="AI162" s="206"/>
      <c r="AJ162" s="206"/>
      <c r="AK162" s="172"/>
      <c r="AL162" s="172"/>
      <c r="AM162" s="172"/>
      <c r="AN162" s="172"/>
      <c r="AO162" s="174">
        <v>10</v>
      </c>
      <c r="AP162" s="174">
        <v>20</v>
      </c>
      <c r="AQ162" s="174"/>
      <c r="AR162" s="174"/>
      <c r="AS162" s="174"/>
      <c r="AT162" s="174"/>
      <c r="AU162" s="174"/>
      <c r="AV162" s="174"/>
      <c r="AW162" s="174"/>
      <c r="AX162" s="191"/>
      <c r="AY162" s="67"/>
      <c r="AZ162" s="11"/>
      <c r="BA162" s="11"/>
      <c r="BB162" s="11"/>
      <c r="BC162" s="11"/>
      <c r="BD162" s="13"/>
      <c r="BE162" s="11" t="str">
        <f t="shared" si="28"/>
        <v>Sí</v>
      </c>
      <c r="BF162" s="22" t="str">
        <f t="shared" si="29"/>
        <v>G102K</v>
      </c>
      <c r="BG162" s="11"/>
      <c r="BH162" s="11" t="str">
        <f t="shared" si="36"/>
        <v>Programado pendiente</v>
      </c>
      <c r="BI162" s="12"/>
      <c r="BJ162" s="68"/>
    </row>
    <row r="163" spans="1:62" ht="18" customHeight="1" x14ac:dyDescent="0.3">
      <c r="A163" s="150"/>
      <c r="B163" s="43"/>
      <c r="C163" s="12">
        <v>46182</v>
      </c>
      <c r="D163" s="20">
        <f t="shared" si="34"/>
        <v>0</v>
      </c>
      <c r="E163" s="174" t="str">
        <f t="shared" si="37"/>
        <v/>
      </c>
      <c r="F163" s="174"/>
      <c r="G163" s="174" t="str">
        <f t="shared" si="42"/>
        <v/>
      </c>
      <c r="H163" s="174"/>
      <c r="I163" s="174" t="str">
        <f t="shared" si="41"/>
        <v/>
      </c>
      <c r="J163" s="174"/>
      <c r="K163" s="174" t="s">
        <v>71</v>
      </c>
      <c r="L163" s="174"/>
      <c r="M163" s="174" t="str">
        <f t="shared" si="39"/>
        <v/>
      </c>
      <c r="N163" s="174"/>
      <c r="O163" s="172"/>
      <c r="P163" s="172"/>
      <c r="Q163" s="172"/>
      <c r="R163" s="172"/>
      <c r="S163" s="174"/>
      <c r="T163" s="174"/>
      <c r="U163" s="173"/>
      <c r="V163" s="173"/>
      <c r="W163" s="172"/>
      <c r="X163" s="172"/>
      <c r="Y163" s="174" t="str">
        <f t="shared" si="35"/>
        <v/>
      </c>
      <c r="Z163" s="174"/>
      <c r="AA163" s="174"/>
      <c r="AB163" s="174"/>
      <c r="AC163" s="172"/>
      <c r="AD163" s="172"/>
      <c r="AE163" s="206"/>
      <c r="AF163" s="206"/>
      <c r="AG163" s="206"/>
      <c r="AH163" s="206"/>
      <c r="AI163" s="206"/>
      <c r="AJ163" s="206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4"/>
      <c r="AV163" s="174"/>
      <c r="AW163" s="174"/>
      <c r="AX163" s="191"/>
      <c r="AY163" s="67"/>
      <c r="AZ163" s="11"/>
      <c r="BA163" s="11"/>
      <c r="BB163" s="11"/>
      <c r="BC163" s="11"/>
      <c r="BD163" s="13"/>
      <c r="BE163" s="11" t="str">
        <f t="shared" si="28"/>
        <v>No</v>
      </c>
      <c r="BF163" s="22" t="str">
        <f t="shared" si="29"/>
        <v/>
      </c>
      <c r="BG163" s="11"/>
      <c r="BH163" s="11" t="str">
        <f t="shared" si="36"/>
        <v>No aplica</v>
      </c>
      <c r="BI163" s="12"/>
      <c r="BJ163" s="68"/>
    </row>
    <row r="164" spans="1:62" ht="18" customHeight="1" x14ac:dyDescent="0.3">
      <c r="A164" s="150"/>
      <c r="B164" s="43"/>
      <c r="C164" s="12">
        <v>46183</v>
      </c>
      <c r="D164" s="20">
        <f t="shared" si="34"/>
        <v>0</v>
      </c>
      <c r="E164" s="174" t="str">
        <f t="shared" si="37"/>
        <v/>
      </c>
      <c r="F164" s="174"/>
      <c r="G164" s="174" t="str">
        <f t="shared" si="42"/>
        <v/>
      </c>
      <c r="H164" s="174"/>
      <c r="I164" s="174" t="str">
        <f t="shared" si="41"/>
        <v/>
      </c>
      <c r="J164" s="174"/>
      <c r="K164" s="174" t="s">
        <v>71</v>
      </c>
      <c r="L164" s="174"/>
      <c r="M164" s="174" t="str">
        <f t="shared" si="39"/>
        <v/>
      </c>
      <c r="N164" s="174"/>
      <c r="O164" s="172"/>
      <c r="P164" s="172"/>
      <c r="Q164" s="172"/>
      <c r="R164" s="172"/>
      <c r="S164" s="174"/>
      <c r="T164" s="174"/>
      <c r="U164" s="173"/>
      <c r="V164" s="173"/>
      <c r="W164" s="172"/>
      <c r="X164" s="172"/>
      <c r="Y164" s="174" t="str">
        <f t="shared" si="35"/>
        <v/>
      </c>
      <c r="Z164" s="174"/>
      <c r="AA164" s="174"/>
      <c r="AB164" s="174"/>
      <c r="AC164" s="172"/>
      <c r="AD164" s="172"/>
      <c r="AE164" s="206"/>
      <c r="AF164" s="206"/>
      <c r="AG164" s="206"/>
      <c r="AH164" s="206"/>
      <c r="AI164" s="206"/>
      <c r="AJ164" s="206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4"/>
      <c r="AV164" s="174"/>
      <c r="AW164" s="174"/>
      <c r="AX164" s="191"/>
      <c r="AY164" s="67"/>
      <c r="AZ164" s="11"/>
      <c r="BA164" s="11"/>
      <c r="BB164" s="11"/>
      <c r="BC164" s="11"/>
      <c r="BD164" s="13"/>
      <c r="BE164" s="11" t="str">
        <f t="shared" ref="BE164:BE227" si="43">IF(SUM(E164,G164,I164,K164,M164,O164,Q164,S164,U164,W164,Y164,AA164,AC164,AE164,AG164,AI164,AK164,AM164,AO164,AQ164,AW164)&gt;0,"Sí","No")</f>
        <v>No</v>
      </c>
      <c r="BF164" s="22" t="str">
        <f t="shared" ref="BF164:BF227" si="44">IF($BE164="Sí",_xlfn.TEXTJOIN(", ",TRUE,IF(N(E164)&gt;0,E$3,""),IF(N(G164)&gt;0,G$3,""),IF(N(I164)&gt;0,I$3,""),IF(N(K164)&gt;0,K$3,""),IF(N(M164)&gt;0,M$3,""),IF(N(O164)&gt;0,O$3,""),IF(N(Q164)&gt;0,Q$3,""),IF(N(S164)&gt;0,S$3,""),IF(N(U164)&gt;0,U$3,""),IF(N(W164)&gt;0,W$3,""),IF(N(Y164)&gt;0,Y$3,""),IF(N(AA164)&gt;0,AA$3,""),IF(N(AC164)&gt;0,AC$3,""),IF(N(AE164)&gt;0,AE$3,""),IF(N(AG164)&gt;0,AG$3,""),IF(N(AI164)&gt;0,AI$3,""),IF(N(AK164)&gt;0,AK$3,""),IF(N(AM164)&gt;0,AM$3,""),IF(N(AO164)&gt;0,AO$3,""),IF(N(AQ164)&gt;0,AQ$3,""),IF(N(AW164)&gt;0,AW$3,"")),"")</f>
        <v/>
      </c>
      <c r="BG164" s="11"/>
      <c r="BH164" s="11" t="str">
        <f t="shared" si="36"/>
        <v>No aplica</v>
      </c>
      <c r="BI164" s="12"/>
      <c r="BJ164" s="68"/>
    </row>
    <row r="165" spans="1:62" ht="18" customHeight="1" x14ac:dyDescent="0.3">
      <c r="A165" s="150"/>
      <c r="B165" s="43"/>
      <c r="C165" s="12">
        <v>46184</v>
      </c>
      <c r="D165" s="20">
        <f t="shared" si="34"/>
        <v>0</v>
      </c>
      <c r="E165" s="174" t="str">
        <f t="shared" si="37"/>
        <v/>
      </c>
      <c r="F165" s="174"/>
      <c r="G165" s="174" t="str">
        <f t="shared" si="42"/>
        <v/>
      </c>
      <c r="H165" s="174"/>
      <c r="I165" s="174" t="str">
        <f t="shared" si="41"/>
        <v/>
      </c>
      <c r="J165" s="174"/>
      <c r="K165" s="174" t="s">
        <v>71</v>
      </c>
      <c r="L165" s="174"/>
      <c r="M165" s="174" t="str">
        <f t="shared" si="39"/>
        <v/>
      </c>
      <c r="N165" s="174"/>
      <c r="O165" s="172"/>
      <c r="P165" s="172"/>
      <c r="Q165" s="172"/>
      <c r="R165" s="172"/>
      <c r="S165" s="174"/>
      <c r="T165" s="174"/>
      <c r="U165" s="203" t="s">
        <v>77</v>
      </c>
      <c r="V165" s="203" t="s">
        <v>77</v>
      </c>
      <c r="W165" s="172"/>
      <c r="X165" s="172"/>
      <c r="Y165" s="174" t="str">
        <f t="shared" si="35"/>
        <v/>
      </c>
      <c r="Z165" s="174"/>
      <c r="AA165" s="174"/>
      <c r="AB165" s="174"/>
      <c r="AC165" s="172"/>
      <c r="AD165" s="172"/>
      <c r="AE165" s="206"/>
      <c r="AF165" s="206"/>
      <c r="AG165" s="206"/>
      <c r="AH165" s="206"/>
      <c r="AI165" s="206"/>
      <c r="AJ165" s="206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4"/>
      <c r="AV165" s="174"/>
      <c r="AW165" s="174"/>
      <c r="AX165" s="191"/>
      <c r="AY165" s="67"/>
      <c r="AZ165" s="11"/>
      <c r="BA165" s="11"/>
      <c r="BB165" s="11"/>
      <c r="BC165" s="11"/>
      <c r="BD165" s="13"/>
      <c r="BE165" s="11" t="str">
        <f t="shared" si="43"/>
        <v>No</v>
      </c>
      <c r="BF165" s="22" t="str">
        <f t="shared" si="44"/>
        <v/>
      </c>
      <c r="BG165" s="11"/>
      <c r="BH165" s="11" t="str">
        <f t="shared" si="36"/>
        <v>No aplica</v>
      </c>
      <c r="BI165" s="12"/>
      <c r="BJ165" s="68"/>
    </row>
    <row r="166" spans="1:62" ht="18" customHeight="1" x14ac:dyDescent="0.3">
      <c r="A166" s="150"/>
      <c r="B166" s="43"/>
      <c r="C166" s="12">
        <v>46185</v>
      </c>
      <c r="D166" s="20">
        <f t="shared" si="34"/>
        <v>0</v>
      </c>
      <c r="E166" s="174" t="str">
        <f t="shared" si="37"/>
        <v/>
      </c>
      <c r="F166" s="174"/>
      <c r="G166" s="174" t="str">
        <f t="shared" si="42"/>
        <v/>
      </c>
      <c r="H166" s="174"/>
      <c r="I166" s="174" t="str">
        <f t="shared" si="41"/>
        <v/>
      </c>
      <c r="J166" s="174"/>
      <c r="K166" s="174" t="s">
        <v>71</v>
      </c>
      <c r="L166" s="174"/>
      <c r="M166" s="174" t="str">
        <f t="shared" si="39"/>
        <v/>
      </c>
      <c r="N166" s="174"/>
      <c r="O166" s="172"/>
      <c r="P166" s="172"/>
      <c r="Q166" s="172"/>
      <c r="R166" s="172"/>
      <c r="S166" s="174"/>
      <c r="T166" s="174"/>
      <c r="U166" s="172"/>
      <c r="V166" s="172"/>
      <c r="W166" s="203" t="s">
        <v>77</v>
      </c>
      <c r="X166" s="203" t="s">
        <v>77</v>
      </c>
      <c r="Y166" s="174" t="str">
        <f t="shared" si="35"/>
        <v/>
      </c>
      <c r="Z166" s="174"/>
      <c r="AA166" s="174"/>
      <c r="AB166" s="174"/>
      <c r="AC166" s="172"/>
      <c r="AD166" s="172"/>
      <c r="AE166" s="206"/>
      <c r="AF166" s="206"/>
      <c r="AG166" s="206"/>
      <c r="AH166" s="206"/>
      <c r="AI166" s="206"/>
      <c r="AJ166" s="206"/>
      <c r="AK166" s="174"/>
      <c r="AL166" s="174"/>
      <c r="AM166" s="174"/>
      <c r="AN166" s="174"/>
      <c r="AO166" s="174"/>
      <c r="AP166" s="174"/>
      <c r="AQ166" s="174"/>
      <c r="AR166" s="174"/>
      <c r="AS166" s="174"/>
      <c r="AT166" s="174"/>
      <c r="AU166" s="174"/>
      <c r="AV166" s="174"/>
      <c r="AW166" s="174"/>
      <c r="AX166" s="191"/>
      <c r="AY166" s="67"/>
      <c r="AZ166" s="11"/>
      <c r="BA166" s="11"/>
      <c r="BB166" s="11"/>
      <c r="BC166" s="11"/>
      <c r="BD166" s="13"/>
      <c r="BE166" s="11" t="str">
        <f t="shared" si="43"/>
        <v>No</v>
      </c>
      <c r="BF166" s="22" t="str">
        <f t="shared" si="44"/>
        <v/>
      </c>
      <c r="BG166" s="11"/>
      <c r="BH166" s="11" t="str">
        <f t="shared" si="36"/>
        <v>No aplica</v>
      </c>
      <c r="BI166" s="12"/>
      <c r="BJ166" s="68"/>
    </row>
    <row r="167" spans="1:62" ht="18" customHeight="1" x14ac:dyDescent="0.3">
      <c r="A167" s="150"/>
      <c r="B167" s="43"/>
      <c r="C167" s="12">
        <v>46186</v>
      </c>
      <c r="D167" s="20">
        <f t="shared" si="34"/>
        <v>0</v>
      </c>
      <c r="E167" s="174" t="str">
        <f t="shared" si="37"/>
        <v/>
      </c>
      <c r="F167" s="174"/>
      <c r="G167" s="174" t="str">
        <f t="shared" si="42"/>
        <v/>
      </c>
      <c r="H167" s="174"/>
      <c r="I167" s="174" t="str">
        <f t="shared" si="41"/>
        <v/>
      </c>
      <c r="J167" s="174"/>
      <c r="K167" s="174" t="s">
        <v>71</v>
      </c>
      <c r="L167" s="174"/>
      <c r="M167" s="174" t="str">
        <f t="shared" si="39"/>
        <v/>
      </c>
      <c r="N167" s="174"/>
      <c r="O167" s="172"/>
      <c r="P167" s="172"/>
      <c r="Q167" s="172"/>
      <c r="R167" s="172"/>
      <c r="S167" s="174"/>
      <c r="T167" s="174"/>
      <c r="U167" s="172"/>
      <c r="V167" s="172"/>
      <c r="W167" s="172"/>
      <c r="X167" s="172"/>
      <c r="Y167" s="174" t="str">
        <f t="shared" si="35"/>
        <v/>
      </c>
      <c r="Z167" s="174"/>
      <c r="AA167" s="174"/>
      <c r="AB167" s="174"/>
      <c r="AC167" s="172"/>
      <c r="AD167" s="172"/>
      <c r="AE167" s="206"/>
      <c r="AF167" s="206"/>
      <c r="AG167" s="206"/>
      <c r="AH167" s="206"/>
      <c r="AI167" s="206"/>
      <c r="AJ167" s="206"/>
      <c r="AK167" s="174"/>
      <c r="AL167" s="174"/>
      <c r="AM167" s="174"/>
      <c r="AN167" s="174"/>
      <c r="AO167" s="174"/>
      <c r="AP167" s="174"/>
      <c r="AQ167" s="174"/>
      <c r="AR167" s="174"/>
      <c r="AS167" s="174"/>
      <c r="AT167" s="174"/>
      <c r="AU167" s="174"/>
      <c r="AV167" s="174"/>
      <c r="AW167" s="174"/>
      <c r="AX167" s="191"/>
      <c r="AY167" s="67"/>
      <c r="AZ167" s="11"/>
      <c r="BA167" s="11"/>
      <c r="BB167" s="11"/>
      <c r="BC167" s="11"/>
      <c r="BD167" s="13"/>
      <c r="BE167" s="11" t="str">
        <f t="shared" si="43"/>
        <v>No</v>
      </c>
      <c r="BF167" s="22" t="str">
        <f t="shared" si="44"/>
        <v/>
      </c>
      <c r="BG167" s="11"/>
      <c r="BH167" s="11" t="str">
        <f t="shared" si="36"/>
        <v>No aplica</v>
      </c>
      <c r="BI167" s="12"/>
      <c r="BJ167" s="68"/>
    </row>
    <row r="168" spans="1:62" ht="18" customHeight="1" x14ac:dyDescent="0.3">
      <c r="A168" s="150"/>
      <c r="B168" s="43"/>
      <c r="C168" s="12">
        <v>46187</v>
      </c>
      <c r="D168" s="20">
        <f t="shared" si="34"/>
        <v>0</v>
      </c>
      <c r="E168" s="174" t="str">
        <f t="shared" si="37"/>
        <v/>
      </c>
      <c r="F168" s="174"/>
      <c r="G168" s="174" t="str">
        <f t="shared" si="42"/>
        <v/>
      </c>
      <c r="H168" s="174"/>
      <c r="I168" s="174" t="str">
        <f t="shared" si="41"/>
        <v/>
      </c>
      <c r="J168" s="174"/>
      <c r="K168" s="174" t="s">
        <v>71</v>
      </c>
      <c r="L168" s="174"/>
      <c r="M168" s="174" t="str">
        <f t="shared" si="39"/>
        <v/>
      </c>
      <c r="N168" s="174"/>
      <c r="O168" s="172"/>
      <c r="P168" s="172"/>
      <c r="Q168" s="172"/>
      <c r="R168" s="172"/>
      <c r="S168" s="174"/>
      <c r="T168" s="174"/>
      <c r="U168" s="172"/>
      <c r="V168" s="172"/>
      <c r="W168" s="172"/>
      <c r="X168" s="172"/>
      <c r="Y168" s="174" t="str">
        <f t="shared" si="35"/>
        <v/>
      </c>
      <c r="Z168" s="174"/>
      <c r="AA168" s="174"/>
      <c r="AB168" s="174"/>
      <c r="AC168" s="172"/>
      <c r="AD168" s="172"/>
      <c r="AE168" s="206"/>
      <c r="AF168" s="206"/>
      <c r="AG168" s="206"/>
      <c r="AH168" s="206"/>
      <c r="AI168" s="206"/>
      <c r="AJ168" s="206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91"/>
      <c r="AY168" s="67"/>
      <c r="AZ168" s="11"/>
      <c r="BA168" s="11"/>
      <c r="BB168" s="11"/>
      <c r="BC168" s="11"/>
      <c r="BD168" s="13"/>
      <c r="BE168" s="11" t="str">
        <f t="shared" si="43"/>
        <v>No</v>
      </c>
      <c r="BF168" s="22" t="str">
        <f t="shared" si="44"/>
        <v/>
      </c>
      <c r="BG168" s="11"/>
      <c r="BH168" s="11" t="str">
        <f t="shared" si="36"/>
        <v>No aplica</v>
      </c>
      <c r="BI168" s="12"/>
      <c r="BJ168" s="68"/>
    </row>
    <row r="169" spans="1:62" ht="18" customHeight="1" x14ac:dyDescent="0.3">
      <c r="A169" s="150"/>
      <c r="B169" s="43"/>
      <c r="C169" s="12">
        <v>46188</v>
      </c>
      <c r="D169" s="20">
        <f t="shared" si="34"/>
        <v>20</v>
      </c>
      <c r="E169" s="174" t="str">
        <f t="shared" si="37"/>
        <v/>
      </c>
      <c r="F169" s="174"/>
      <c r="G169" s="174" t="str">
        <f t="shared" si="42"/>
        <v/>
      </c>
      <c r="H169" s="174"/>
      <c r="I169" s="174" t="str">
        <f t="shared" si="41"/>
        <v/>
      </c>
      <c r="J169" s="174"/>
      <c r="K169" s="174" t="s">
        <v>71</v>
      </c>
      <c r="L169" s="174"/>
      <c r="M169" s="174" t="str">
        <f t="shared" si="39"/>
        <v/>
      </c>
      <c r="N169" s="174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4">
        <v>10</v>
      </c>
      <c r="Z169" s="174">
        <v>20</v>
      </c>
      <c r="AA169" s="178"/>
      <c r="AB169" s="178"/>
      <c r="AC169" s="178"/>
      <c r="AD169" s="178"/>
      <c r="AE169" s="207"/>
      <c r="AF169" s="207"/>
      <c r="AG169" s="207"/>
      <c r="AH169" s="207"/>
      <c r="AI169" s="207"/>
      <c r="AJ169" s="207"/>
      <c r="AK169" s="178"/>
      <c r="AL169" s="178"/>
      <c r="AM169" s="178"/>
      <c r="AN169" s="178"/>
      <c r="AO169" s="178"/>
      <c r="AP169" s="178"/>
      <c r="AQ169" s="174"/>
      <c r="AR169" s="174"/>
      <c r="AS169" s="174"/>
      <c r="AT169" s="174"/>
      <c r="AU169" s="174"/>
      <c r="AV169" s="174"/>
      <c r="AW169" s="174"/>
      <c r="AX169" s="191"/>
      <c r="AY169" s="67"/>
      <c r="AZ169" s="11"/>
      <c r="BA169" s="11"/>
      <c r="BB169" s="11"/>
      <c r="BC169" s="11"/>
      <c r="BD169" s="13"/>
      <c r="BE169" s="11" t="str">
        <f t="shared" si="43"/>
        <v>Sí</v>
      </c>
      <c r="BF169" s="22" t="str">
        <f t="shared" si="44"/>
        <v>JINAN 01</v>
      </c>
      <c r="BG169" s="11" t="s">
        <v>47</v>
      </c>
      <c r="BH169" s="11" t="str">
        <f t="shared" si="36"/>
        <v>Ejecutado</v>
      </c>
      <c r="BI169" s="12">
        <v>46176</v>
      </c>
      <c r="BJ169" s="68" t="s">
        <v>115</v>
      </c>
    </row>
    <row r="170" spans="1:62" ht="18" customHeight="1" x14ac:dyDescent="0.3">
      <c r="A170" s="150"/>
      <c r="B170" s="43"/>
      <c r="C170" s="12">
        <v>46189</v>
      </c>
      <c r="D170" s="20">
        <f t="shared" si="34"/>
        <v>20</v>
      </c>
      <c r="E170" s="174" t="str">
        <f t="shared" si="37"/>
        <v/>
      </c>
      <c r="F170" s="174"/>
      <c r="G170" s="174" t="str">
        <f t="shared" si="42"/>
        <v/>
      </c>
      <c r="H170" s="174"/>
      <c r="I170" s="174" t="str">
        <f t="shared" si="41"/>
        <v/>
      </c>
      <c r="J170" s="174"/>
      <c r="K170" s="174" t="s">
        <v>71</v>
      </c>
      <c r="L170" s="174"/>
      <c r="M170" s="174" t="str">
        <f t="shared" si="39"/>
        <v/>
      </c>
      <c r="N170" s="174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 t="str">
        <f t="shared" ref="Y170:Y177" si="45">IF(MOD(C170-$C$4,15)=0,8,"")</f>
        <v/>
      </c>
      <c r="Z170" s="172"/>
      <c r="AA170" s="174">
        <v>10</v>
      </c>
      <c r="AB170" s="174">
        <v>20</v>
      </c>
      <c r="AC170" s="172"/>
      <c r="AD170" s="172"/>
      <c r="AE170" s="206"/>
      <c r="AF170" s="206"/>
      <c r="AG170" s="206"/>
      <c r="AH170" s="206"/>
      <c r="AI170" s="206"/>
      <c r="AJ170" s="206"/>
      <c r="AK170" s="172"/>
      <c r="AL170" s="172"/>
      <c r="AM170" s="172"/>
      <c r="AN170" s="172"/>
      <c r="AO170" s="172"/>
      <c r="AP170" s="172"/>
      <c r="AQ170" s="174"/>
      <c r="AR170" s="174"/>
      <c r="AS170" s="174"/>
      <c r="AT170" s="174"/>
      <c r="AU170" s="174"/>
      <c r="AV170" s="174"/>
      <c r="AW170" s="174"/>
      <c r="AX170" s="191"/>
      <c r="AY170" s="67"/>
      <c r="AZ170" s="11"/>
      <c r="BA170" s="11"/>
      <c r="BB170" s="11"/>
      <c r="BC170" s="11"/>
      <c r="BD170" s="13"/>
      <c r="BE170" s="11" t="str">
        <f t="shared" si="43"/>
        <v>Sí</v>
      </c>
      <c r="BF170" s="22" t="str">
        <f t="shared" si="44"/>
        <v>JINAN 02</v>
      </c>
      <c r="BG170" s="11" t="s">
        <v>47</v>
      </c>
      <c r="BH170" s="11" t="str">
        <f t="shared" si="36"/>
        <v>Ejecutado</v>
      </c>
      <c r="BI170" s="12">
        <v>46183</v>
      </c>
      <c r="BJ170" s="68" t="s">
        <v>48</v>
      </c>
    </row>
    <row r="171" spans="1:62" ht="18" customHeight="1" x14ac:dyDescent="0.3">
      <c r="A171" s="150"/>
      <c r="B171" s="43"/>
      <c r="C171" s="12">
        <v>46190</v>
      </c>
      <c r="D171" s="20">
        <f t="shared" si="34"/>
        <v>20</v>
      </c>
      <c r="E171" s="174" t="str">
        <f t="shared" si="37"/>
        <v/>
      </c>
      <c r="F171" s="174"/>
      <c r="G171" s="174" t="str">
        <f t="shared" si="42"/>
        <v/>
      </c>
      <c r="H171" s="174"/>
      <c r="I171" s="174" t="str">
        <f t="shared" si="41"/>
        <v/>
      </c>
      <c r="J171" s="174"/>
      <c r="K171" s="174" t="s">
        <v>71</v>
      </c>
      <c r="L171" s="174"/>
      <c r="M171" s="174" t="str">
        <f t="shared" si="39"/>
        <v/>
      </c>
      <c r="N171" s="174"/>
      <c r="O171" s="172"/>
      <c r="P171" s="172"/>
      <c r="Q171" s="172"/>
      <c r="R171" s="172"/>
      <c r="S171" s="172">
        <v>8</v>
      </c>
      <c r="T171" s="172">
        <v>16</v>
      </c>
      <c r="U171" s="172"/>
      <c r="V171" s="172"/>
      <c r="W171" s="172"/>
      <c r="X171" s="172"/>
      <c r="Y171" s="172" t="str">
        <f t="shared" si="45"/>
        <v/>
      </c>
      <c r="Z171" s="172"/>
      <c r="AA171" s="172"/>
      <c r="AB171" s="172"/>
      <c r="AC171" s="174">
        <v>10</v>
      </c>
      <c r="AD171" s="174">
        <v>20</v>
      </c>
      <c r="AE171" s="206"/>
      <c r="AF171" s="206"/>
      <c r="AG171" s="206"/>
      <c r="AH171" s="206"/>
      <c r="AI171" s="206"/>
      <c r="AJ171" s="206"/>
      <c r="AK171" s="172"/>
      <c r="AL171" s="172"/>
      <c r="AM171" s="172"/>
      <c r="AN171" s="172"/>
      <c r="AO171" s="172"/>
      <c r="AP171" s="172"/>
      <c r="AQ171" s="174"/>
      <c r="AR171" s="174"/>
      <c r="AS171" s="174"/>
      <c r="AT171" s="174"/>
      <c r="AU171" s="174"/>
      <c r="AV171" s="174"/>
      <c r="AW171" s="174"/>
      <c r="AX171" s="191"/>
      <c r="AY171" s="67"/>
      <c r="AZ171" s="11"/>
      <c r="BA171" s="11"/>
      <c r="BB171" s="11"/>
      <c r="BC171" s="11"/>
      <c r="BD171" s="13"/>
      <c r="BE171" s="11" t="str">
        <f t="shared" si="43"/>
        <v>Sí</v>
      </c>
      <c r="BF171" s="22" t="str">
        <f t="shared" si="44"/>
        <v>CPW 10, JINAN 03/JN 10</v>
      </c>
      <c r="BG171" s="11" t="s">
        <v>47</v>
      </c>
      <c r="BH171" s="11" t="str">
        <f t="shared" si="36"/>
        <v>Ejecutado</v>
      </c>
      <c r="BI171" s="12">
        <v>46197</v>
      </c>
      <c r="BJ171" s="68" t="s">
        <v>48</v>
      </c>
    </row>
    <row r="172" spans="1:62" ht="28.95" customHeight="1" x14ac:dyDescent="0.3">
      <c r="A172" s="150"/>
      <c r="B172" s="43"/>
      <c r="C172" s="12">
        <v>46191</v>
      </c>
      <c r="D172" s="20">
        <f t="shared" si="34"/>
        <v>24</v>
      </c>
      <c r="E172" s="174">
        <v>12</v>
      </c>
      <c r="F172" s="174">
        <v>24</v>
      </c>
      <c r="G172" s="174" t="str">
        <f t="shared" si="42"/>
        <v/>
      </c>
      <c r="H172" s="174"/>
      <c r="I172" s="174" t="str">
        <f t="shared" si="41"/>
        <v/>
      </c>
      <c r="J172" s="174"/>
      <c r="K172" s="174" t="s">
        <v>71</v>
      </c>
      <c r="L172" s="174"/>
      <c r="M172" s="174" t="str">
        <f t="shared" si="39"/>
        <v/>
      </c>
      <c r="N172" s="174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 t="str">
        <f t="shared" si="45"/>
        <v/>
      </c>
      <c r="Z172" s="172"/>
      <c r="AA172" s="172"/>
      <c r="AB172" s="172"/>
      <c r="AC172" s="172"/>
      <c r="AD172" s="172"/>
      <c r="AE172" s="206"/>
      <c r="AF172" s="206"/>
      <c r="AG172" s="206"/>
      <c r="AH172" s="206"/>
      <c r="AI172" s="206"/>
      <c r="AJ172" s="206"/>
      <c r="AK172" s="172"/>
      <c r="AL172" s="172"/>
      <c r="AM172" s="172"/>
      <c r="AN172" s="172"/>
      <c r="AO172" s="172"/>
      <c r="AP172" s="172"/>
      <c r="AQ172" s="174"/>
      <c r="AR172" s="174"/>
      <c r="AS172" s="174"/>
      <c r="AT172" s="174"/>
      <c r="AU172" s="174"/>
      <c r="AV172" s="174"/>
      <c r="AW172" s="174"/>
      <c r="AX172" s="191"/>
      <c r="AY172" s="67"/>
      <c r="AZ172" s="11"/>
      <c r="BA172" s="11"/>
      <c r="BB172" s="11"/>
      <c r="BC172" s="11"/>
      <c r="BD172" s="13"/>
      <c r="BE172" s="11" t="str">
        <f t="shared" si="43"/>
        <v>Sí</v>
      </c>
      <c r="BF172" s="22" t="str">
        <f t="shared" si="44"/>
        <v xml:space="preserve">CPW02
</v>
      </c>
      <c r="BG172" s="11" t="s">
        <v>47</v>
      </c>
      <c r="BH172" s="11" t="str">
        <f t="shared" si="36"/>
        <v>Ejecutado</v>
      </c>
      <c r="BI172" s="12">
        <v>46189</v>
      </c>
      <c r="BJ172" s="68" t="s">
        <v>116</v>
      </c>
    </row>
    <row r="173" spans="1:62" ht="18" customHeight="1" x14ac:dyDescent="0.3">
      <c r="A173" s="150"/>
      <c r="B173" s="43"/>
      <c r="C173" s="12">
        <v>46192</v>
      </c>
      <c r="D173" s="20">
        <f t="shared" si="34"/>
        <v>0</v>
      </c>
      <c r="E173" s="174" t="str">
        <f t="shared" ref="E173:E198" si="46">IF(MOD(C173-$C$4,42)=0,8,"")</f>
        <v/>
      </c>
      <c r="F173" s="174"/>
      <c r="G173" s="174" t="str">
        <f t="shared" si="42"/>
        <v/>
      </c>
      <c r="H173" s="174"/>
      <c r="I173" s="174" t="str">
        <f t="shared" si="41"/>
        <v/>
      </c>
      <c r="J173" s="174"/>
      <c r="K173" s="174" t="s">
        <v>71</v>
      </c>
      <c r="L173" s="174"/>
      <c r="M173" s="174" t="str">
        <f t="shared" si="39"/>
        <v/>
      </c>
      <c r="N173" s="174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 t="str">
        <f t="shared" si="45"/>
        <v/>
      </c>
      <c r="Z173" s="172"/>
      <c r="AA173" s="172"/>
      <c r="AB173" s="172"/>
      <c r="AC173" s="172"/>
      <c r="AD173" s="172"/>
      <c r="AE173" s="206"/>
      <c r="AF173" s="206"/>
      <c r="AG173" s="206"/>
      <c r="AH173" s="206"/>
      <c r="AI173" s="206"/>
      <c r="AJ173" s="206"/>
      <c r="AK173" s="172"/>
      <c r="AL173" s="172"/>
      <c r="AM173" s="172"/>
      <c r="AN173" s="172"/>
      <c r="AO173" s="172"/>
      <c r="AP173" s="172"/>
      <c r="AQ173" s="174"/>
      <c r="AR173" s="174"/>
      <c r="AS173" s="174"/>
      <c r="AT173" s="174"/>
      <c r="AU173" s="174"/>
      <c r="AV173" s="174"/>
      <c r="AW173" s="174"/>
      <c r="AX173" s="191"/>
      <c r="AY173" s="67"/>
      <c r="AZ173" s="11"/>
      <c r="BA173" s="11"/>
      <c r="BB173" s="11"/>
      <c r="BC173" s="11"/>
      <c r="BD173" s="13"/>
      <c r="BE173" s="11" t="str">
        <f t="shared" si="43"/>
        <v>No</v>
      </c>
      <c r="BF173" s="22" t="str">
        <f t="shared" si="44"/>
        <v/>
      </c>
      <c r="BG173" s="11"/>
      <c r="BH173" s="11" t="str">
        <f t="shared" si="36"/>
        <v>No aplica</v>
      </c>
      <c r="BI173" s="12"/>
      <c r="BJ173" s="68"/>
    </row>
    <row r="174" spans="1:62" ht="18" customHeight="1" x14ac:dyDescent="0.3">
      <c r="A174" s="150"/>
      <c r="B174" s="43"/>
      <c r="C174" s="12">
        <v>46193</v>
      </c>
      <c r="D174" s="20">
        <f t="shared" si="34"/>
        <v>0</v>
      </c>
      <c r="E174" s="174" t="str">
        <f t="shared" si="46"/>
        <v/>
      </c>
      <c r="F174" s="174"/>
      <c r="G174" s="174" t="str">
        <f t="shared" si="42"/>
        <v/>
      </c>
      <c r="H174" s="174"/>
      <c r="I174" s="174" t="str">
        <f t="shared" si="41"/>
        <v/>
      </c>
      <c r="J174" s="174"/>
      <c r="K174" s="174" t="s">
        <v>71</v>
      </c>
      <c r="L174" s="174"/>
      <c r="M174" s="174" t="str">
        <f t="shared" si="39"/>
        <v/>
      </c>
      <c r="N174" s="174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 t="str">
        <f t="shared" si="45"/>
        <v/>
      </c>
      <c r="Z174" s="172"/>
      <c r="AA174" s="172"/>
      <c r="AB174" s="172"/>
      <c r="AC174" s="172"/>
      <c r="AD174" s="172"/>
      <c r="AE174" s="206"/>
      <c r="AF174" s="206"/>
      <c r="AG174" s="206"/>
      <c r="AH174" s="206"/>
      <c r="AI174" s="206"/>
      <c r="AJ174" s="206"/>
      <c r="AK174" s="172"/>
      <c r="AL174" s="172"/>
      <c r="AM174" s="172"/>
      <c r="AN174" s="172"/>
      <c r="AO174" s="172"/>
      <c r="AP174" s="172"/>
      <c r="AQ174" s="174"/>
      <c r="AR174" s="174"/>
      <c r="AS174" s="174"/>
      <c r="AT174" s="174"/>
      <c r="AU174" s="174"/>
      <c r="AV174" s="174"/>
      <c r="AW174" s="174"/>
      <c r="AX174" s="191"/>
      <c r="AY174" s="67"/>
      <c r="AZ174" s="11"/>
      <c r="BA174" s="11"/>
      <c r="BB174" s="11"/>
      <c r="BC174" s="11"/>
      <c r="BD174" s="13"/>
      <c r="BE174" s="11" t="str">
        <f t="shared" si="43"/>
        <v>No</v>
      </c>
      <c r="BF174" s="22" t="str">
        <f t="shared" si="44"/>
        <v/>
      </c>
      <c r="BG174" s="11" t="s">
        <v>84</v>
      </c>
      <c r="BH174" s="11" t="str">
        <f t="shared" si="36"/>
        <v>No aplica</v>
      </c>
      <c r="BI174" s="12"/>
      <c r="BJ174" s="68"/>
    </row>
    <row r="175" spans="1:62" ht="18" customHeight="1" x14ac:dyDescent="0.3">
      <c r="A175" s="150"/>
      <c r="B175" s="43"/>
      <c r="C175" s="12">
        <v>46194</v>
      </c>
      <c r="D175" s="20">
        <f t="shared" si="34"/>
        <v>20</v>
      </c>
      <c r="E175" s="174" t="str">
        <f t="shared" si="46"/>
        <v/>
      </c>
      <c r="F175" s="174"/>
      <c r="G175" s="174" t="str">
        <f t="shared" si="42"/>
        <v/>
      </c>
      <c r="H175" s="174"/>
      <c r="I175" s="174" t="str">
        <f t="shared" si="41"/>
        <v/>
      </c>
      <c r="J175" s="174"/>
      <c r="K175" s="174" t="s">
        <v>71</v>
      </c>
      <c r="L175" s="174"/>
      <c r="M175" s="174" t="str">
        <f t="shared" si="39"/>
        <v/>
      </c>
      <c r="N175" s="174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 t="str">
        <f t="shared" si="45"/>
        <v/>
      </c>
      <c r="Z175" s="172"/>
      <c r="AA175" s="172"/>
      <c r="AB175" s="172"/>
      <c r="AC175" s="172"/>
      <c r="AD175" s="172"/>
      <c r="AE175" s="206"/>
      <c r="AF175" s="206"/>
      <c r="AG175" s="206"/>
      <c r="AH175" s="206"/>
      <c r="AI175" s="206"/>
      <c r="AJ175" s="206"/>
      <c r="AK175" s="174">
        <v>10</v>
      </c>
      <c r="AL175" s="174">
        <v>20</v>
      </c>
      <c r="AM175" s="172"/>
      <c r="AN175" s="172"/>
      <c r="AO175" s="172"/>
      <c r="AP175" s="172"/>
      <c r="AQ175" s="174"/>
      <c r="AR175" s="174"/>
      <c r="AS175" s="174"/>
      <c r="AT175" s="174"/>
      <c r="AU175" s="174"/>
      <c r="AV175" s="174"/>
      <c r="AW175" s="174"/>
      <c r="AX175" s="191"/>
      <c r="AY175" s="67"/>
      <c r="AZ175" s="11"/>
      <c r="BA175" s="11"/>
      <c r="BB175" s="11"/>
      <c r="BC175" s="11"/>
      <c r="BD175" s="13"/>
      <c r="BE175" s="11" t="str">
        <f t="shared" si="43"/>
        <v>Sí</v>
      </c>
      <c r="BF175" s="22" t="str">
        <f t="shared" si="44"/>
        <v>G 101 V</v>
      </c>
      <c r="BG175" s="11"/>
      <c r="BH175" s="11" t="str">
        <f t="shared" si="36"/>
        <v>Programado pendiente</v>
      </c>
      <c r="BI175" s="12"/>
      <c r="BJ175" s="68"/>
    </row>
    <row r="176" spans="1:62" ht="18" customHeight="1" x14ac:dyDescent="0.3">
      <c r="A176" s="150"/>
      <c r="B176" s="43"/>
      <c r="C176" s="12">
        <v>46195</v>
      </c>
      <c r="D176" s="20">
        <f t="shared" si="34"/>
        <v>40</v>
      </c>
      <c r="E176" s="174" t="str">
        <f t="shared" si="46"/>
        <v/>
      </c>
      <c r="F176" s="174"/>
      <c r="G176" s="174" t="str">
        <f t="shared" si="42"/>
        <v/>
      </c>
      <c r="H176" s="174"/>
      <c r="I176" s="174" t="str">
        <f t="shared" si="41"/>
        <v/>
      </c>
      <c r="J176" s="174"/>
      <c r="K176" s="174" t="s">
        <v>71</v>
      </c>
      <c r="L176" s="174"/>
      <c r="M176" s="174">
        <v>10</v>
      </c>
      <c r="N176" s="174">
        <v>20</v>
      </c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 t="str">
        <f t="shared" si="45"/>
        <v/>
      </c>
      <c r="Z176" s="172"/>
      <c r="AA176" s="172"/>
      <c r="AB176" s="172"/>
      <c r="AC176" s="172"/>
      <c r="AD176" s="172"/>
      <c r="AE176" s="206"/>
      <c r="AF176" s="206"/>
      <c r="AG176" s="206"/>
      <c r="AH176" s="206"/>
      <c r="AI176" s="206"/>
      <c r="AJ176" s="206"/>
      <c r="AK176" s="172"/>
      <c r="AL176" s="172"/>
      <c r="AM176" s="174">
        <v>10</v>
      </c>
      <c r="AN176" s="174">
        <v>20</v>
      </c>
      <c r="AO176" s="172"/>
      <c r="AP176" s="172"/>
      <c r="AQ176" s="174"/>
      <c r="AR176" s="174"/>
      <c r="AS176" s="174"/>
      <c r="AT176" s="174"/>
      <c r="AU176" s="174"/>
      <c r="AV176" s="174"/>
      <c r="AW176" s="174"/>
      <c r="AX176" s="191"/>
      <c r="AY176" s="67"/>
      <c r="AZ176" s="11"/>
      <c r="BA176" s="11"/>
      <c r="BB176" s="11"/>
      <c r="BC176" s="11"/>
      <c r="BD176" s="13"/>
      <c r="BE176" s="11" t="str">
        <f t="shared" si="43"/>
        <v>Sí</v>
      </c>
      <c r="BF176" s="22" t="str">
        <f t="shared" si="44"/>
        <v>CPW05, G102 J</v>
      </c>
      <c r="BG176" s="11" t="s">
        <v>47</v>
      </c>
      <c r="BH176" s="11" t="str">
        <f t="shared" si="36"/>
        <v>Ejecutado</v>
      </c>
      <c r="BI176" s="12">
        <v>46195</v>
      </c>
      <c r="BJ176" s="68" t="s">
        <v>117</v>
      </c>
    </row>
    <row r="177" spans="1:62" ht="18" customHeight="1" x14ac:dyDescent="0.3">
      <c r="A177" s="150"/>
      <c r="B177" s="43"/>
      <c r="C177" s="12">
        <v>46196</v>
      </c>
      <c r="D177" s="20">
        <f t="shared" si="34"/>
        <v>44</v>
      </c>
      <c r="E177" s="174" t="str">
        <f t="shared" si="46"/>
        <v/>
      </c>
      <c r="F177" s="174"/>
      <c r="G177" s="174" t="str">
        <f t="shared" si="42"/>
        <v/>
      </c>
      <c r="H177" s="174"/>
      <c r="I177" s="174" t="str">
        <f t="shared" si="41"/>
        <v/>
      </c>
      <c r="J177" s="174"/>
      <c r="K177" s="174" t="s">
        <v>71</v>
      </c>
      <c r="L177" s="174"/>
      <c r="M177" s="174" t="str">
        <f t="shared" si="39"/>
        <v/>
      </c>
      <c r="N177" s="174"/>
      <c r="O177" s="172">
        <v>12</v>
      </c>
      <c r="P177" s="172">
        <v>24</v>
      </c>
      <c r="Q177" s="172"/>
      <c r="R177" s="172"/>
      <c r="S177" s="172"/>
      <c r="T177" s="172"/>
      <c r="U177" s="172"/>
      <c r="V177" s="172"/>
      <c r="W177" s="172"/>
      <c r="X177" s="172"/>
      <c r="Y177" s="172" t="str">
        <f t="shared" si="45"/>
        <v/>
      </c>
      <c r="Z177" s="172"/>
      <c r="AA177" s="172"/>
      <c r="AB177" s="172"/>
      <c r="AC177" s="172"/>
      <c r="AD177" s="172"/>
      <c r="AE177" s="206"/>
      <c r="AF177" s="206"/>
      <c r="AG177" s="206"/>
      <c r="AH177" s="206"/>
      <c r="AI177" s="206"/>
      <c r="AJ177" s="206"/>
      <c r="AK177" s="172"/>
      <c r="AL177" s="172"/>
      <c r="AM177" s="172"/>
      <c r="AN177" s="172"/>
      <c r="AO177" s="174">
        <v>10</v>
      </c>
      <c r="AP177" s="174">
        <v>20</v>
      </c>
      <c r="AQ177" s="174"/>
      <c r="AR177" s="174"/>
      <c r="AS177" s="174"/>
      <c r="AT177" s="174"/>
      <c r="AU177" s="174"/>
      <c r="AV177" s="174"/>
      <c r="AW177" s="174"/>
      <c r="AX177" s="191"/>
      <c r="AY177" s="67"/>
      <c r="AZ177" s="11"/>
      <c r="BA177" s="11"/>
      <c r="BB177" s="11"/>
      <c r="BC177" s="11"/>
      <c r="BD177" s="13"/>
      <c r="BE177" s="11" t="str">
        <f t="shared" si="43"/>
        <v>Sí</v>
      </c>
      <c r="BF177" s="22" t="str">
        <f t="shared" si="44"/>
        <v>CPW06, G102K</v>
      </c>
      <c r="BG177" s="11"/>
      <c r="BH177" s="11" t="str">
        <f t="shared" si="36"/>
        <v>Programado pendiente</v>
      </c>
      <c r="BI177" s="12"/>
      <c r="BJ177" s="68"/>
    </row>
    <row r="178" spans="1:62" ht="18" customHeight="1" x14ac:dyDescent="0.3">
      <c r="A178" s="150"/>
      <c r="B178" s="43"/>
      <c r="C178" s="12">
        <v>46197</v>
      </c>
      <c r="D178" s="20">
        <f t="shared" si="34"/>
        <v>24</v>
      </c>
      <c r="E178" s="174" t="str">
        <f t="shared" si="46"/>
        <v/>
      </c>
      <c r="F178" s="174"/>
      <c r="G178" s="174" t="str">
        <f t="shared" si="42"/>
        <v/>
      </c>
      <c r="H178" s="174"/>
      <c r="I178" s="174" t="str">
        <f t="shared" si="41"/>
        <v/>
      </c>
      <c r="J178" s="174"/>
      <c r="K178" s="174" t="s">
        <v>71</v>
      </c>
      <c r="L178" s="174"/>
      <c r="M178" s="174" t="str">
        <f t="shared" si="39"/>
        <v/>
      </c>
      <c r="N178" s="174"/>
      <c r="O178" s="172"/>
      <c r="P178" s="172"/>
      <c r="Q178" s="172">
        <v>12</v>
      </c>
      <c r="R178" s="172">
        <v>24</v>
      </c>
      <c r="S178" s="174"/>
      <c r="T178" s="174"/>
      <c r="U178" s="172"/>
      <c r="V178" s="172"/>
      <c r="W178" s="172"/>
      <c r="X178" s="172"/>
      <c r="Y178" s="174" t="str">
        <f t="shared" si="35"/>
        <v/>
      </c>
      <c r="Z178" s="174"/>
      <c r="AA178" s="174"/>
      <c r="AB178" s="174"/>
      <c r="AC178" s="172"/>
      <c r="AD178" s="172"/>
      <c r="AE178" s="206"/>
      <c r="AF178" s="206"/>
      <c r="AG178" s="206"/>
      <c r="AH178" s="206"/>
      <c r="AI178" s="206"/>
      <c r="AJ178" s="206"/>
      <c r="AK178" s="174"/>
      <c r="AL178" s="174"/>
      <c r="AM178" s="174"/>
      <c r="AN178" s="174"/>
      <c r="AO178" s="174"/>
      <c r="AP178" s="174"/>
      <c r="AQ178" s="174"/>
      <c r="AR178" s="174"/>
      <c r="AS178" s="197">
        <v>4</v>
      </c>
      <c r="AT178" s="198">
        <v>8</v>
      </c>
      <c r="AU178" s="197">
        <v>4</v>
      </c>
      <c r="AV178" s="198">
        <v>8</v>
      </c>
      <c r="AW178" s="174"/>
      <c r="AX178" s="191"/>
      <c r="AY178" s="67"/>
      <c r="AZ178" s="11"/>
      <c r="BA178" s="11"/>
      <c r="BB178" s="11"/>
      <c r="BC178" s="11"/>
      <c r="BD178" s="13"/>
      <c r="BE178" s="11" t="str">
        <f t="shared" si="43"/>
        <v>Sí</v>
      </c>
      <c r="BF178" s="22" t="str">
        <f t="shared" si="44"/>
        <v>CPW07</v>
      </c>
      <c r="BG178" s="11" t="s">
        <v>47</v>
      </c>
      <c r="BH178" s="11" t="str">
        <f t="shared" si="36"/>
        <v>Ejecutado</v>
      </c>
      <c r="BI178" s="12">
        <v>46196</v>
      </c>
      <c r="BJ178" s="68" t="s">
        <v>118</v>
      </c>
    </row>
    <row r="179" spans="1:62" ht="18" customHeight="1" x14ac:dyDescent="0.3">
      <c r="A179" s="150"/>
      <c r="B179" s="43"/>
      <c r="C179" s="12">
        <v>46198</v>
      </c>
      <c r="D179" s="20">
        <f t="shared" si="34"/>
        <v>0</v>
      </c>
      <c r="E179" s="174" t="str">
        <f t="shared" si="46"/>
        <v/>
      </c>
      <c r="F179" s="174"/>
      <c r="G179" s="174" t="str">
        <f t="shared" si="42"/>
        <v/>
      </c>
      <c r="H179" s="174"/>
      <c r="I179" s="174" t="str">
        <f t="shared" si="41"/>
        <v/>
      </c>
      <c r="J179" s="174"/>
      <c r="K179" s="174" t="s">
        <v>71</v>
      </c>
      <c r="L179" s="174"/>
      <c r="M179" s="174" t="str">
        <f t="shared" si="39"/>
        <v/>
      </c>
      <c r="N179" s="174"/>
      <c r="O179" s="172"/>
      <c r="P179" s="172"/>
      <c r="Q179" s="172"/>
      <c r="R179" s="172"/>
      <c r="S179" s="174"/>
      <c r="T179" s="174"/>
      <c r="U179" s="172"/>
      <c r="V179" s="172"/>
      <c r="W179" s="172"/>
      <c r="X179" s="172"/>
      <c r="Y179" s="174" t="str">
        <f t="shared" si="35"/>
        <v/>
      </c>
      <c r="Z179" s="174"/>
      <c r="AA179" s="174"/>
      <c r="AB179" s="174"/>
      <c r="AC179" s="172"/>
      <c r="AD179" s="172"/>
      <c r="AE179" s="206"/>
      <c r="AF179" s="206"/>
      <c r="AG179" s="206"/>
      <c r="AH179" s="206"/>
      <c r="AI179" s="206"/>
      <c r="AJ179" s="206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4"/>
      <c r="AU179" s="174"/>
      <c r="AV179" s="174"/>
      <c r="AW179" s="197">
        <v>4</v>
      </c>
      <c r="AX179" s="198">
        <v>8</v>
      </c>
      <c r="AY179" s="67"/>
      <c r="AZ179" s="11"/>
      <c r="BA179" s="11"/>
      <c r="BB179" s="11"/>
      <c r="BC179" s="11"/>
      <c r="BD179" s="13"/>
      <c r="BE179" s="11" t="str">
        <f t="shared" si="43"/>
        <v>Sí</v>
      </c>
      <c r="BF179" s="22" t="str">
        <f t="shared" si="44"/>
        <v>CYC</v>
      </c>
      <c r="BG179" s="11"/>
      <c r="BH179" s="11" t="str">
        <f t="shared" si="36"/>
        <v>Programado pendiente</v>
      </c>
      <c r="BI179" s="12"/>
      <c r="BJ179" s="68"/>
    </row>
    <row r="180" spans="1:62" ht="18" customHeight="1" x14ac:dyDescent="0.3">
      <c r="A180" s="150"/>
      <c r="B180" s="43"/>
      <c r="C180" s="12">
        <v>46199</v>
      </c>
      <c r="D180" s="20">
        <f t="shared" si="34"/>
        <v>0</v>
      </c>
      <c r="E180" s="174" t="str">
        <f t="shared" si="46"/>
        <v/>
      </c>
      <c r="F180" s="174"/>
      <c r="G180" s="174" t="str">
        <f t="shared" si="42"/>
        <v/>
      </c>
      <c r="H180" s="174"/>
      <c r="I180" s="174" t="str">
        <f t="shared" si="41"/>
        <v/>
      </c>
      <c r="J180" s="174"/>
      <c r="K180" s="174" t="s">
        <v>71</v>
      </c>
      <c r="L180" s="174"/>
      <c r="M180" s="174" t="str">
        <f t="shared" si="39"/>
        <v/>
      </c>
      <c r="N180" s="174"/>
      <c r="O180" s="172"/>
      <c r="P180" s="172"/>
      <c r="Q180" s="172"/>
      <c r="R180" s="172"/>
      <c r="S180" s="174"/>
      <c r="T180" s="174"/>
      <c r="U180" s="172"/>
      <c r="V180" s="172"/>
      <c r="W180" s="172"/>
      <c r="X180" s="172"/>
      <c r="Y180" s="174" t="str">
        <f t="shared" si="35"/>
        <v/>
      </c>
      <c r="Z180" s="174"/>
      <c r="AA180" s="174"/>
      <c r="AB180" s="174"/>
      <c r="AC180" s="172"/>
      <c r="AD180" s="172"/>
      <c r="AE180" s="206"/>
      <c r="AF180" s="206"/>
      <c r="AG180" s="206"/>
      <c r="AH180" s="206"/>
      <c r="AI180" s="206"/>
      <c r="AJ180" s="206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4"/>
      <c r="AU180" s="174"/>
      <c r="AV180" s="174"/>
      <c r="AW180" s="174"/>
      <c r="AX180" s="191"/>
      <c r="AY180" s="67"/>
      <c r="AZ180" s="11"/>
      <c r="BA180" s="11"/>
      <c r="BB180" s="11"/>
      <c r="BC180" s="11"/>
      <c r="BD180" s="13"/>
      <c r="BE180" s="11" t="str">
        <f t="shared" si="43"/>
        <v>No</v>
      </c>
      <c r="BF180" s="22" t="str">
        <f t="shared" si="44"/>
        <v/>
      </c>
      <c r="BG180" s="11"/>
      <c r="BH180" s="11" t="str">
        <f t="shared" si="36"/>
        <v>No aplica</v>
      </c>
      <c r="BI180" s="12"/>
      <c r="BJ180" s="68"/>
    </row>
    <row r="181" spans="1:62" ht="18" customHeight="1" x14ac:dyDescent="0.3">
      <c r="A181" s="150"/>
      <c r="B181" s="43"/>
      <c r="C181" s="12">
        <v>46200</v>
      </c>
      <c r="D181" s="20">
        <f t="shared" si="34"/>
        <v>0</v>
      </c>
      <c r="E181" s="174" t="str">
        <f t="shared" si="46"/>
        <v/>
      </c>
      <c r="F181" s="174"/>
      <c r="G181" s="174" t="str">
        <f t="shared" si="42"/>
        <v/>
      </c>
      <c r="H181" s="174"/>
      <c r="I181" s="174" t="str">
        <f t="shared" si="41"/>
        <v/>
      </c>
      <c r="J181" s="174"/>
      <c r="K181" s="174" t="s">
        <v>71</v>
      </c>
      <c r="L181" s="174"/>
      <c r="M181" s="174" t="str">
        <f t="shared" si="39"/>
        <v/>
      </c>
      <c r="N181" s="174"/>
      <c r="O181" s="172"/>
      <c r="P181" s="172"/>
      <c r="Q181" s="172"/>
      <c r="R181" s="172"/>
      <c r="S181" s="174"/>
      <c r="T181" s="174"/>
      <c r="U181" s="172"/>
      <c r="V181" s="172"/>
      <c r="W181" s="172"/>
      <c r="X181" s="172"/>
      <c r="Y181" s="174" t="str">
        <f t="shared" si="35"/>
        <v/>
      </c>
      <c r="Z181" s="174"/>
      <c r="AA181" s="174"/>
      <c r="AB181" s="174"/>
      <c r="AC181" s="172"/>
      <c r="AD181" s="172"/>
      <c r="AE181" s="206"/>
      <c r="AF181" s="206"/>
      <c r="AG181" s="206"/>
      <c r="AH181" s="206"/>
      <c r="AI181" s="206"/>
      <c r="AJ181" s="206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4"/>
      <c r="AU181" s="174"/>
      <c r="AV181" s="174"/>
      <c r="AW181" s="174"/>
      <c r="AX181" s="191"/>
      <c r="AY181" s="67"/>
      <c r="AZ181" s="11"/>
      <c r="BA181" s="11"/>
      <c r="BB181" s="11"/>
      <c r="BC181" s="11"/>
      <c r="BD181" s="13"/>
      <c r="BE181" s="11" t="str">
        <f t="shared" si="43"/>
        <v>No</v>
      </c>
      <c r="BF181" s="22" t="str">
        <f t="shared" si="44"/>
        <v/>
      </c>
      <c r="BG181" s="11"/>
      <c r="BH181" s="11" t="str">
        <f t="shared" si="36"/>
        <v>No aplica</v>
      </c>
      <c r="BI181" s="12"/>
      <c r="BJ181" s="68"/>
    </row>
    <row r="182" spans="1:62" ht="18" customHeight="1" x14ac:dyDescent="0.3">
      <c r="A182" s="150"/>
      <c r="B182" s="43"/>
      <c r="C182" s="12">
        <v>46201</v>
      </c>
      <c r="D182" s="20">
        <f t="shared" si="34"/>
        <v>0</v>
      </c>
      <c r="E182" s="174" t="str">
        <f t="shared" si="46"/>
        <v/>
      </c>
      <c r="F182" s="174"/>
      <c r="G182" s="174" t="str">
        <f t="shared" si="42"/>
        <v/>
      </c>
      <c r="H182" s="174"/>
      <c r="I182" s="174" t="str">
        <f t="shared" si="41"/>
        <v/>
      </c>
      <c r="J182" s="174"/>
      <c r="K182" s="174" t="s">
        <v>71</v>
      </c>
      <c r="L182" s="174"/>
      <c r="M182" s="174" t="str">
        <f t="shared" si="39"/>
        <v/>
      </c>
      <c r="N182" s="174"/>
      <c r="O182" s="172"/>
      <c r="P182" s="172"/>
      <c r="Q182" s="172"/>
      <c r="R182" s="172"/>
      <c r="S182" s="174"/>
      <c r="T182" s="174"/>
      <c r="U182" s="172"/>
      <c r="V182" s="172"/>
      <c r="W182" s="172"/>
      <c r="X182" s="172"/>
      <c r="Y182" s="174" t="str">
        <f t="shared" si="35"/>
        <v/>
      </c>
      <c r="Z182" s="174"/>
      <c r="AA182" s="174"/>
      <c r="AB182" s="174"/>
      <c r="AC182" s="172"/>
      <c r="AD182" s="172"/>
      <c r="AE182" s="206"/>
      <c r="AF182" s="206"/>
      <c r="AG182" s="206"/>
      <c r="AH182" s="206"/>
      <c r="AI182" s="206"/>
      <c r="AJ182" s="206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4"/>
      <c r="AU182" s="174"/>
      <c r="AV182" s="174"/>
      <c r="AW182" s="174"/>
      <c r="AX182" s="191"/>
      <c r="AY182" s="67"/>
      <c r="AZ182" s="11"/>
      <c r="BA182" s="11"/>
      <c r="BB182" s="11"/>
      <c r="BC182" s="11"/>
      <c r="BD182" s="13"/>
      <c r="BE182" s="11" t="str">
        <f t="shared" si="43"/>
        <v>No</v>
      </c>
      <c r="BF182" s="22" t="str">
        <f t="shared" si="44"/>
        <v/>
      </c>
      <c r="BG182" s="11"/>
      <c r="BH182" s="11" t="str">
        <f t="shared" si="36"/>
        <v>No aplica</v>
      </c>
      <c r="BI182" s="12"/>
      <c r="BJ182" s="68"/>
    </row>
    <row r="183" spans="1:62" ht="18" customHeight="1" x14ac:dyDescent="0.3">
      <c r="A183" s="150"/>
      <c r="B183" s="43"/>
      <c r="C183" s="12">
        <v>46202</v>
      </c>
      <c r="D183" s="20">
        <f t="shared" si="34"/>
        <v>0</v>
      </c>
      <c r="E183" s="174" t="str">
        <f t="shared" si="46"/>
        <v/>
      </c>
      <c r="F183" s="174"/>
      <c r="G183" s="174" t="str">
        <f t="shared" si="42"/>
        <v/>
      </c>
      <c r="H183" s="174"/>
      <c r="I183" s="174" t="str">
        <f t="shared" si="41"/>
        <v/>
      </c>
      <c r="J183" s="174"/>
      <c r="K183" s="174" t="s">
        <v>71</v>
      </c>
      <c r="L183" s="174"/>
      <c r="M183" s="174" t="str">
        <f t="shared" si="39"/>
        <v/>
      </c>
      <c r="N183" s="174"/>
      <c r="O183" s="172"/>
      <c r="P183" s="172"/>
      <c r="Q183" s="172"/>
      <c r="R183" s="172"/>
      <c r="S183" s="174"/>
      <c r="T183" s="174"/>
      <c r="U183" s="172"/>
      <c r="V183" s="172"/>
      <c r="W183" s="172"/>
      <c r="X183" s="172"/>
      <c r="Y183" s="174" t="str">
        <f t="shared" si="35"/>
        <v/>
      </c>
      <c r="Z183" s="174"/>
      <c r="AA183" s="174"/>
      <c r="AB183" s="174"/>
      <c r="AC183" s="172"/>
      <c r="AD183" s="172"/>
      <c r="AE183" s="206"/>
      <c r="AF183" s="206"/>
      <c r="AG183" s="206"/>
      <c r="AH183" s="206"/>
      <c r="AI183" s="206"/>
      <c r="AJ183" s="206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4"/>
      <c r="AU183" s="174"/>
      <c r="AV183" s="174"/>
      <c r="AW183" s="174"/>
      <c r="AX183" s="191"/>
      <c r="AY183" s="67"/>
      <c r="AZ183" s="11"/>
      <c r="BA183" s="11"/>
      <c r="BB183" s="11"/>
      <c r="BC183" s="11"/>
      <c r="BD183" s="13"/>
      <c r="BE183" s="11" t="str">
        <f t="shared" si="43"/>
        <v>No</v>
      </c>
      <c r="BF183" s="22" t="str">
        <f t="shared" si="44"/>
        <v/>
      </c>
      <c r="BG183" s="11"/>
      <c r="BH183" s="11" t="str">
        <f t="shared" si="36"/>
        <v>No aplica</v>
      </c>
      <c r="BI183" s="12"/>
      <c r="BJ183" s="68"/>
    </row>
    <row r="184" spans="1:62" ht="18" customHeight="1" thickBot="1" x14ac:dyDescent="0.35">
      <c r="A184" s="151"/>
      <c r="B184" s="44"/>
      <c r="C184" s="30">
        <v>46203</v>
      </c>
      <c r="D184" s="31">
        <f t="shared" si="34"/>
        <v>20</v>
      </c>
      <c r="E184" s="182" t="str">
        <f t="shared" si="46"/>
        <v/>
      </c>
      <c r="F184" s="182"/>
      <c r="G184" s="182" t="str">
        <f t="shared" si="42"/>
        <v/>
      </c>
      <c r="H184" s="182"/>
      <c r="I184" s="182" t="str">
        <f t="shared" si="41"/>
        <v/>
      </c>
      <c r="J184" s="182"/>
      <c r="K184" s="182" t="s">
        <v>71</v>
      </c>
      <c r="L184" s="182"/>
      <c r="M184" s="182" t="str">
        <f t="shared" si="39"/>
        <v/>
      </c>
      <c r="N184" s="182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82">
        <v>10</v>
      </c>
      <c r="Z184" s="182">
        <v>20</v>
      </c>
      <c r="AA184" s="208"/>
      <c r="AB184" s="208"/>
      <c r="AC184" s="208"/>
      <c r="AD184" s="208"/>
      <c r="AE184" s="209"/>
      <c r="AF184" s="209"/>
      <c r="AG184" s="209"/>
      <c r="AH184" s="209"/>
      <c r="AI184" s="209"/>
      <c r="AJ184" s="209"/>
      <c r="AK184" s="208"/>
      <c r="AL184" s="208"/>
      <c r="AM184" s="208"/>
      <c r="AN184" s="208"/>
      <c r="AO184" s="208"/>
      <c r="AP184" s="208"/>
      <c r="AQ184" s="182"/>
      <c r="AR184" s="182"/>
      <c r="AS184" s="182"/>
      <c r="AT184" s="182"/>
      <c r="AU184" s="182"/>
      <c r="AV184" s="182"/>
      <c r="AW184" s="182"/>
      <c r="AX184" s="199"/>
      <c r="AY184" s="69"/>
      <c r="AZ184" s="70"/>
      <c r="BA184" s="70"/>
      <c r="BB184" s="70"/>
      <c r="BC184" s="70"/>
      <c r="BD184" s="71"/>
      <c r="BE184" s="70" t="str">
        <f t="shared" si="43"/>
        <v>Sí</v>
      </c>
      <c r="BF184" s="72" t="str">
        <f t="shared" si="44"/>
        <v>JINAN 01</v>
      </c>
      <c r="BG184" s="70" t="s">
        <v>47</v>
      </c>
      <c r="BH184" s="70" t="str">
        <f t="shared" si="36"/>
        <v>Ejecutado</v>
      </c>
      <c r="BI184" s="30">
        <v>46206</v>
      </c>
      <c r="BJ184" s="73" t="s">
        <v>48</v>
      </c>
    </row>
    <row r="185" spans="1:62" ht="64.2" customHeight="1" x14ac:dyDescent="0.3">
      <c r="A185" s="148" t="s">
        <v>62</v>
      </c>
      <c r="B185" s="42"/>
      <c r="C185" s="15">
        <v>46204</v>
      </c>
      <c r="D185" s="27">
        <f t="shared" si="34"/>
        <v>20</v>
      </c>
      <c r="E185" s="170" t="str">
        <f t="shared" si="46"/>
        <v/>
      </c>
      <c r="F185" s="170"/>
      <c r="G185" s="170" t="str">
        <f t="shared" si="42"/>
        <v/>
      </c>
      <c r="H185" s="170"/>
      <c r="I185" s="170" t="str">
        <f t="shared" si="41"/>
        <v/>
      </c>
      <c r="J185" s="170"/>
      <c r="K185" s="170" t="s">
        <v>71</v>
      </c>
      <c r="L185" s="170"/>
      <c r="M185" s="170" t="str">
        <f t="shared" si="39"/>
        <v/>
      </c>
      <c r="N185" s="170"/>
      <c r="O185" s="168"/>
      <c r="P185" s="168"/>
      <c r="Q185" s="168"/>
      <c r="R185" s="168"/>
      <c r="S185" s="168"/>
      <c r="T185" s="168"/>
      <c r="U185" s="168"/>
      <c r="V185" s="168"/>
      <c r="W185" s="172">
        <v>12</v>
      </c>
      <c r="X185" s="172">
        <v>24</v>
      </c>
      <c r="Y185" s="168" t="str">
        <f t="shared" ref="Y185:Y192" si="47">IF(MOD(C185-$C$4,15)=0,8,"")</f>
        <v/>
      </c>
      <c r="Z185" s="168"/>
      <c r="AA185" s="170">
        <v>10</v>
      </c>
      <c r="AB185" s="170">
        <v>20</v>
      </c>
      <c r="AC185" s="211"/>
      <c r="AD185" s="211"/>
      <c r="AE185" s="210"/>
      <c r="AF185" s="210"/>
      <c r="AG185" s="210"/>
      <c r="AH185" s="210"/>
      <c r="AI185" s="210"/>
      <c r="AJ185" s="210"/>
      <c r="AK185" s="168"/>
      <c r="AL185" s="168"/>
      <c r="AM185" s="168"/>
      <c r="AN185" s="168"/>
      <c r="AO185" s="168"/>
      <c r="AP185" s="168"/>
      <c r="AQ185" s="170"/>
      <c r="AR185" s="170"/>
      <c r="AS185" s="170"/>
      <c r="AT185" s="170"/>
      <c r="AU185" s="170"/>
      <c r="AV185" s="170"/>
      <c r="AW185" s="170"/>
      <c r="AX185" s="201"/>
      <c r="AY185" s="14"/>
      <c r="AZ185" s="14"/>
      <c r="BA185" s="14"/>
      <c r="BB185" s="14"/>
      <c r="BC185" s="14"/>
      <c r="BD185" s="65"/>
      <c r="BE185" s="14" t="str">
        <f t="shared" si="43"/>
        <v>Sí</v>
      </c>
      <c r="BF185" s="87" t="str">
        <f t="shared" si="44"/>
        <v>CPW12, JINAN 02</v>
      </c>
      <c r="BG185" s="14" t="s">
        <v>47</v>
      </c>
      <c r="BH185" s="14" t="str">
        <f t="shared" si="36"/>
        <v>Ejecutado</v>
      </c>
      <c r="BI185" s="75" t="s">
        <v>119</v>
      </c>
      <c r="BJ185" s="66" t="s">
        <v>141</v>
      </c>
    </row>
    <row r="186" spans="1:62" ht="38.4" customHeight="1" x14ac:dyDescent="0.3">
      <c r="A186" s="150"/>
      <c r="B186" s="43"/>
      <c r="C186" s="12">
        <v>46205</v>
      </c>
      <c r="D186" s="20">
        <f t="shared" si="34"/>
        <v>0</v>
      </c>
      <c r="E186" s="174" t="str">
        <f t="shared" si="46"/>
        <v/>
      </c>
      <c r="F186" s="174"/>
      <c r="G186" s="174" t="str">
        <f t="shared" si="42"/>
        <v/>
      </c>
      <c r="H186" s="174"/>
      <c r="I186" s="174" t="str">
        <f t="shared" si="41"/>
        <v/>
      </c>
      <c r="J186" s="174"/>
      <c r="K186" s="174" t="s">
        <v>71</v>
      </c>
      <c r="L186" s="174"/>
      <c r="M186" s="174" t="str">
        <f t="shared" si="39"/>
        <v/>
      </c>
      <c r="N186" s="174"/>
      <c r="O186" s="172"/>
      <c r="P186" s="172"/>
      <c r="Q186" s="172"/>
      <c r="R186" s="172"/>
      <c r="S186" s="174">
        <v>10</v>
      </c>
      <c r="T186" s="174">
        <v>20</v>
      </c>
      <c r="U186" s="172"/>
      <c r="V186" s="172"/>
      <c r="W186" s="172"/>
      <c r="X186" s="172"/>
      <c r="Y186" s="172" t="str">
        <f t="shared" si="47"/>
        <v/>
      </c>
      <c r="Z186" s="172"/>
      <c r="AA186" s="172"/>
      <c r="AB186" s="172"/>
      <c r="AC186" s="212"/>
      <c r="AD186" s="212"/>
      <c r="AE186" s="206"/>
      <c r="AF186" s="206"/>
      <c r="AG186" s="206"/>
      <c r="AH186" s="206"/>
      <c r="AI186" s="206"/>
      <c r="AJ186" s="206"/>
      <c r="AK186" s="172"/>
      <c r="AL186" s="172"/>
      <c r="AM186" s="172"/>
      <c r="AN186" s="172"/>
      <c r="AO186" s="172"/>
      <c r="AP186" s="172"/>
      <c r="AQ186" s="174"/>
      <c r="AR186" s="174"/>
      <c r="AS186" s="174"/>
      <c r="AT186" s="174"/>
      <c r="AU186" s="174"/>
      <c r="AV186" s="174"/>
      <c r="AW186" s="174"/>
      <c r="AX186" s="191"/>
      <c r="AY186" s="11"/>
      <c r="AZ186" s="11"/>
      <c r="BA186" s="11"/>
      <c r="BB186" s="11"/>
      <c r="BC186" s="11"/>
      <c r="BD186" s="13"/>
      <c r="BE186" s="11" t="str">
        <f t="shared" si="43"/>
        <v>Sí</v>
      </c>
      <c r="BF186" s="89" t="str">
        <f t="shared" si="44"/>
        <v>CPW 10</v>
      </c>
      <c r="BG186" s="11" t="s">
        <v>84</v>
      </c>
      <c r="BH186" s="11" t="str">
        <f t="shared" si="36"/>
        <v>Programado pendiente</v>
      </c>
      <c r="BI186" s="12"/>
      <c r="BJ186" s="68" t="s">
        <v>143</v>
      </c>
    </row>
    <row r="187" spans="1:62" ht="37.799999999999997" customHeight="1" x14ac:dyDescent="0.3">
      <c r="A187" s="150"/>
      <c r="B187" s="43"/>
      <c r="C187" s="12">
        <v>46206</v>
      </c>
      <c r="D187" s="20">
        <f t="shared" si="34"/>
        <v>0</v>
      </c>
      <c r="E187" s="174" t="str">
        <f t="shared" si="46"/>
        <v/>
      </c>
      <c r="F187" s="174"/>
      <c r="G187" s="174" t="str">
        <f t="shared" si="42"/>
        <v/>
      </c>
      <c r="H187" s="174"/>
      <c r="I187" s="174" t="str">
        <f t="shared" si="41"/>
        <v/>
      </c>
      <c r="J187" s="174"/>
      <c r="K187" s="174" t="s">
        <v>71</v>
      </c>
      <c r="L187" s="174"/>
      <c r="M187" s="174" t="str">
        <f t="shared" si="39"/>
        <v/>
      </c>
      <c r="N187" s="174"/>
      <c r="O187" s="172"/>
      <c r="P187" s="172"/>
      <c r="Q187" s="172"/>
      <c r="R187" s="172"/>
      <c r="S187" s="172"/>
      <c r="T187" s="172"/>
      <c r="U187" s="172">
        <v>12</v>
      </c>
      <c r="V187" s="172">
        <v>24</v>
      </c>
      <c r="W187" s="172"/>
      <c r="X187" s="172"/>
      <c r="Y187" s="172" t="str">
        <f t="shared" si="47"/>
        <v/>
      </c>
      <c r="Z187" s="172"/>
      <c r="AA187" s="172"/>
      <c r="AB187" s="172"/>
      <c r="AC187" s="212"/>
      <c r="AD187" s="212"/>
      <c r="AE187" s="206"/>
      <c r="AF187" s="206"/>
      <c r="AG187" s="206"/>
      <c r="AH187" s="206"/>
      <c r="AI187" s="206"/>
      <c r="AJ187" s="206"/>
      <c r="AK187" s="172"/>
      <c r="AL187" s="172"/>
      <c r="AM187" s="172"/>
      <c r="AN187" s="172"/>
      <c r="AO187" s="172"/>
      <c r="AP187" s="172"/>
      <c r="AQ187" s="174"/>
      <c r="AR187" s="174"/>
      <c r="AS187" s="174"/>
      <c r="AT187" s="174"/>
      <c r="AU187" s="174"/>
      <c r="AV187" s="174"/>
      <c r="AW187" s="174"/>
      <c r="AX187" s="191"/>
      <c r="AY187" s="11"/>
      <c r="AZ187" s="11"/>
      <c r="BA187" s="11"/>
      <c r="BB187" s="11"/>
      <c r="BC187" s="11"/>
      <c r="BD187" s="13"/>
      <c r="BE187" s="11" t="str">
        <f t="shared" si="43"/>
        <v>Sí</v>
      </c>
      <c r="BF187" s="90" t="str">
        <f t="shared" si="44"/>
        <v>CPW11</v>
      </c>
      <c r="BG187" s="11" t="s">
        <v>47</v>
      </c>
      <c r="BH187" s="11" t="str">
        <f t="shared" si="36"/>
        <v>Ejecutado</v>
      </c>
      <c r="BI187" s="12">
        <v>46205</v>
      </c>
      <c r="BJ187" s="76" t="s">
        <v>140</v>
      </c>
    </row>
    <row r="188" spans="1:62" ht="18" customHeight="1" x14ac:dyDescent="0.3">
      <c r="A188" s="150"/>
      <c r="B188" s="43"/>
      <c r="C188" s="12">
        <v>46207</v>
      </c>
      <c r="D188" s="20">
        <f t="shared" si="34"/>
        <v>0</v>
      </c>
      <c r="E188" s="174" t="str">
        <f t="shared" si="46"/>
        <v/>
      </c>
      <c r="F188" s="174"/>
      <c r="G188" s="174" t="str">
        <f t="shared" si="42"/>
        <v/>
      </c>
      <c r="H188" s="174"/>
      <c r="I188" s="174" t="str">
        <f t="shared" si="41"/>
        <v/>
      </c>
      <c r="J188" s="174"/>
      <c r="K188" s="174"/>
      <c r="L188" s="174"/>
      <c r="M188" s="174" t="str">
        <f t="shared" si="39"/>
        <v/>
      </c>
      <c r="N188" s="174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 t="str">
        <f t="shared" si="47"/>
        <v/>
      </c>
      <c r="Z188" s="172"/>
      <c r="AA188" s="172"/>
      <c r="AB188" s="172"/>
      <c r="AC188" s="212"/>
      <c r="AD188" s="212"/>
      <c r="AE188" s="206"/>
      <c r="AF188" s="206"/>
      <c r="AG188" s="206"/>
      <c r="AH188" s="206"/>
      <c r="AI188" s="206"/>
      <c r="AJ188" s="206"/>
      <c r="AK188" s="172"/>
      <c r="AL188" s="172"/>
      <c r="AM188" s="172"/>
      <c r="AN188" s="172"/>
      <c r="AO188" s="172"/>
      <c r="AP188" s="172"/>
      <c r="AQ188" s="174"/>
      <c r="AR188" s="174"/>
      <c r="AS188" s="174"/>
      <c r="AT188" s="174"/>
      <c r="AU188" s="174"/>
      <c r="AV188" s="174"/>
      <c r="AW188" s="174"/>
      <c r="AX188" s="191"/>
      <c r="AY188" s="11"/>
      <c r="AZ188" s="11"/>
      <c r="BA188" s="11"/>
      <c r="BB188" s="11"/>
      <c r="BC188" s="11"/>
      <c r="BD188" s="13"/>
      <c r="BE188" s="11" t="str">
        <f t="shared" si="43"/>
        <v>No</v>
      </c>
      <c r="BF188" s="22" t="str">
        <f t="shared" si="44"/>
        <v/>
      </c>
      <c r="BG188" s="11"/>
      <c r="BH188" s="11" t="str">
        <f t="shared" si="36"/>
        <v>No aplica</v>
      </c>
      <c r="BI188" s="12"/>
      <c r="BJ188" s="68"/>
    </row>
    <row r="189" spans="1:62" ht="18" customHeight="1" x14ac:dyDescent="0.3">
      <c r="A189" s="150"/>
      <c r="B189" s="43"/>
      <c r="C189" s="12">
        <v>46208</v>
      </c>
      <c r="D189" s="20">
        <f t="shared" si="34"/>
        <v>0</v>
      </c>
      <c r="E189" s="174" t="str">
        <f t="shared" si="46"/>
        <v/>
      </c>
      <c r="F189" s="174"/>
      <c r="G189" s="174" t="str">
        <f t="shared" si="42"/>
        <v/>
      </c>
      <c r="H189" s="174"/>
      <c r="I189" s="174" t="str">
        <f t="shared" si="41"/>
        <v/>
      </c>
      <c r="J189" s="174"/>
      <c r="K189" s="174" t="s">
        <v>71</v>
      </c>
      <c r="L189" s="174"/>
      <c r="M189" s="174" t="str">
        <f t="shared" si="39"/>
        <v/>
      </c>
      <c r="N189" s="174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 t="str">
        <f t="shared" si="47"/>
        <v/>
      </c>
      <c r="Z189" s="172"/>
      <c r="AA189" s="172"/>
      <c r="AB189" s="172"/>
      <c r="AC189" s="212"/>
      <c r="AD189" s="212"/>
      <c r="AE189" s="206"/>
      <c r="AF189" s="206"/>
      <c r="AG189" s="206"/>
      <c r="AH189" s="206"/>
      <c r="AI189" s="206"/>
      <c r="AJ189" s="206"/>
      <c r="AK189" s="172"/>
      <c r="AL189" s="172"/>
      <c r="AM189" s="172"/>
      <c r="AN189" s="172"/>
      <c r="AO189" s="172"/>
      <c r="AP189" s="172"/>
      <c r="AQ189" s="174"/>
      <c r="AR189" s="174"/>
      <c r="AS189" s="174"/>
      <c r="AT189" s="174"/>
      <c r="AU189" s="174"/>
      <c r="AV189" s="174"/>
      <c r="AW189" s="174"/>
      <c r="AX189" s="191"/>
      <c r="AY189" s="11"/>
      <c r="AZ189" s="11"/>
      <c r="BA189" s="11"/>
      <c r="BB189" s="11"/>
      <c r="BC189" s="11"/>
      <c r="BD189" s="13"/>
      <c r="BE189" s="11" t="str">
        <f t="shared" si="43"/>
        <v>No</v>
      </c>
      <c r="BF189" s="92" t="str">
        <f t="shared" si="44"/>
        <v/>
      </c>
      <c r="BG189" s="11" t="s">
        <v>84</v>
      </c>
      <c r="BH189" s="11" t="str">
        <f t="shared" si="36"/>
        <v>No aplica</v>
      </c>
      <c r="BI189" s="12"/>
      <c r="BJ189" s="68"/>
    </row>
    <row r="190" spans="1:62" ht="18" customHeight="1" x14ac:dyDescent="0.3">
      <c r="A190" s="150"/>
      <c r="B190" s="43"/>
      <c r="C190" s="12">
        <v>46209</v>
      </c>
      <c r="D190" s="20">
        <f t="shared" si="34"/>
        <v>40</v>
      </c>
      <c r="E190" s="174" t="str">
        <f t="shared" si="46"/>
        <v/>
      </c>
      <c r="F190" s="174"/>
      <c r="G190" s="174" t="str">
        <f t="shared" si="42"/>
        <v/>
      </c>
      <c r="H190" s="174"/>
      <c r="I190" s="174" t="str">
        <f t="shared" si="41"/>
        <v/>
      </c>
      <c r="J190" s="174"/>
      <c r="K190" s="174">
        <v>10</v>
      </c>
      <c r="L190" s="174">
        <v>20</v>
      </c>
      <c r="M190" s="174" t="str">
        <f t="shared" si="39"/>
        <v/>
      </c>
      <c r="N190" s="174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 t="str">
        <f t="shared" si="47"/>
        <v/>
      </c>
      <c r="Z190" s="172"/>
      <c r="AA190" s="172"/>
      <c r="AB190" s="172"/>
      <c r="AC190" s="212"/>
      <c r="AD190" s="212"/>
      <c r="AE190" s="206"/>
      <c r="AF190" s="206"/>
      <c r="AG190" s="206"/>
      <c r="AH190" s="206"/>
      <c r="AI190" s="206"/>
      <c r="AJ190" s="206"/>
      <c r="AK190" s="174">
        <v>10</v>
      </c>
      <c r="AL190" s="174">
        <v>20</v>
      </c>
      <c r="AM190" s="172"/>
      <c r="AN190" s="172"/>
      <c r="AO190" s="172"/>
      <c r="AP190" s="172"/>
      <c r="AQ190" s="174"/>
      <c r="AR190" s="174"/>
      <c r="AS190" s="174"/>
      <c r="AT190" s="174"/>
      <c r="AU190" s="174"/>
      <c r="AV190" s="174"/>
      <c r="AW190" s="174"/>
      <c r="AX190" s="191"/>
      <c r="AY190" s="11"/>
      <c r="AZ190" s="11"/>
      <c r="BA190" s="11"/>
      <c r="BB190" s="11"/>
      <c r="BC190" s="11"/>
      <c r="BD190" s="13"/>
      <c r="BE190" s="11" t="str">
        <f t="shared" si="43"/>
        <v>Sí</v>
      </c>
      <c r="BF190" s="88" t="str">
        <f t="shared" si="44"/>
        <v>CPW04
, G 101 V</v>
      </c>
      <c r="BG190" s="11" t="s">
        <v>47</v>
      </c>
      <c r="BH190" s="11" t="str">
        <f t="shared" si="36"/>
        <v>Ejecutado</v>
      </c>
      <c r="BI190" s="12">
        <v>46209</v>
      </c>
      <c r="BJ190" s="68" t="s">
        <v>91</v>
      </c>
    </row>
    <row r="191" spans="1:62" ht="18" customHeight="1" x14ac:dyDescent="0.3">
      <c r="A191" s="150"/>
      <c r="B191" s="43"/>
      <c r="C191" s="12">
        <v>46210</v>
      </c>
      <c r="D191" s="20">
        <f t="shared" si="34"/>
        <v>68</v>
      </c>
      <c r="E191" s="174" t="str">
        <f t="shared" si="46"/>
        <v/>
      </c>
      <c r="F191" s="174"/>
      <c r="G191" s="213">
        <v>24</v>
      </c>
      <c r="H191" s="174">
        <v>48</v>
      </c>
      <c r="I191" s="174" t="str">
        <f t="shared" si="41"/>
        <v/>
      </c>
      <c r="J191" s="174"/>
      <c r="K191" s="174" t="s">
        <v>71</v>
      </c>
      <c r="L191" s="174"/>
      <c r="M191" s="174" t="str">
        <f t="shared" si="39"/>
        <v/>
      </c>
      <c r="N191" s="174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 t="str">
        <f t="shared" si="47"/>
        <v/>
      </c>
      <c r="Z191" s="172"/>
      <c r="AA191" s="172"/>
      <c r="AB191" s="172"/>
      <c r="AC191" s="212"/>
      <c r="AD191" s="212"/>
      <c r="AE191" s="206"/>
      <c r="AF191" s="206"/>
      <c r="AG191" s="206"/>
      <c r="AH191" s="206"/>
      <c r="AI191" s="206"/>
      <c r="AJ191" s="206"/>
      <c r="AK191" s="172"/>
      <c r="AL191" s="172"/>
      <c r="AM191" s="174">
        <v>10</v>
      </c>
      <c r="AN191" s="174">
        <v>20</v>
      </c>
      <c r="AO191" s="172"/>
      <c r="AP191" s="172"/>
      <c r="AQ191" s="174"/>
      <c r="AR191" s="174"/>
      <c r="AS191" s="174"/>
      <c r="AT191" s="174"/>
      <c r="AU191" s="174"/>
      <c r="AV191" s="174"/>
      <c r="AW191" s="174"/>
      <c r="AX191" s="191"/>
      <c r="AY191" s="11"/>
      <c r="AZ191" s="11"/>
      <c r="BA191" s="11"/>
      <c r="BB191" s="11"/>
      <c r="BC191" s="11"/>
      <c r="BD191" s="13"/>
      <c r="BE191" s="11" t="str">
        <f t="shared" si="43"/>
        <v>Sí</v>
      </c>
      <c r="BF191" s="88" t="str">
        <f t="shared" si="44"/>
        <v>CPW01, G102 J</v>
      </c>
      <c r="BG191" s="11" t="s">
        <v>47</v>
      </c>
      <c r="BH191" s="11" t="str">
        <f t="shared" si="36"/>
        <v>Ejecutado</v>
      </c>
      <c r="BI191" s="12">
        <v>46210</v>
      </c>
      <c r="BJ191" s="68" t="s">
        <v>142</v>
      </c>
    </row>
    <row r="192" spans="1:62" ht="18" customHeight="1" x14ac:dyDescent="0.3">
      <c r="A192" s="150"/>
      <c r="B192" s="43"/>
      <c r="C192" s="12">
        <v>46211</v>
      </c>
      <c r="D192" s="20">
        <f t="shared" si="34"/>
        <v>68</v>
      </c>
      <c r="E192" s="174" t="str">
        <f t="shared" si="46"/>
        <v/>
      </c>
      <c r="F192" s="174"/>
      <c r="G192" s="213">
        <v>24</v>
      </c>
      <c r="H192" s="174">
        <v>48</v>
      </c>
      <c r="I192" s="174" t="str">
        <f t="shared" si="41"/>
        <v/>
      </c>
      <c r="J192" s="174"/>
      <c r="K192" s="174" t="s">
        <v>71</v>
      </c>
      <c r="L192" s="174"/>
      <c r="M192" s="174" t="str">
        <f t="shared" si="39"/>
        <v/>
      </c>
      <c r="N192" s="174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 t="str">
        <f t="shared" si="47"/>
        <v/>
      </c>
      <c r="Z192" s="172"/>
      <c r="AA192" s="172"/>
      <c r="AB192" s="172"/>
      <c r="AC192" s="212"/>
      <c r="AD192" s="212"/>
      <c r="AE192" s="206"/>
      <c r="AF192" s="206"/>
      <c r="AG192" s="206"/>
      <c r="AH192" s="206"/>
      <c r="AI192" s="206"/>
      <c r="AJ192" s="206"/>
      <c r="AK192" s="172"/>
      <c r="AL192" s="172"/>
      <c r="AM192" s="172"/>
      <c r="AN192" s="172"/>
      <c r="AO192" s="174">
        <v>10</v>
      </c>
      <c r="AP192" s="174">
        <v>20</v>
      </c>
      <c r="AQ192" s="174"/>
      <c r="AR192" s="174"/>
      <c r="AS192" s="174"/>
      <c r="AT192" s="174"/>
      <c r="AU192" s="174"/>
      <c r="AV192" s="174"/>
      <c r="AW192" s="174"/>
      <c r="AX192" s="191"/>
      <c r="AY192" s="11"/>
      <c r="AZ192" s="11"/>
      <c r="BA192" s="11"/>
      <c r="BB192" s="11"/>
      <c r="BC192" s="11"/>
      <c r="BD192" s="13"/>
      <c r="BE192" s="11" t="str">
        <f t="shared" si="43"/>
        <v>Sí</v>
      </c>
      <c r="BF192" s="88" t="str">
        <f t="shared" si="44"/>
        <v>CPW01, G102K</v>
      </c>
      <c r="BG192" s="11" t="s">
        <v>47</v>
      </c>
      <c r="BH192" s="11" t="str">
        <f t="shared" si="36"/>
        <v>Ejecutado</v>
      </c>
      <c r="BI192" s="12">
        <v>46211</v>
      </c>
      <c r="BJ192" s="68" t="s">
        <v>142</v>
      </c>
    </row>
    <row r="193" spans="1:62" ht="18" customHeight="1" x14ac:dyDescent="0.3">
      <c r="A193" s="150"/>
      <c r="B193" s="43"/>
      <c r="C193" s="12">
        <v>46212</v>
      </c>
      <c r="D193" s="20">
        <f t="shared" si="34"/>
        <v>0</v>
      </c>
      <c r="E193" s="174" t="str">
        <f t="shared" si="46"/>
        <v/>
      </c>
      <c r="F193" s="174"/>
      <c r="G193" s="174" t="str">
        <f t="shared" si="42"/>
        <v/>
      </c>
      <c r="H193" s="174"/>
      <c r="I193" s="174" t="str">
        <f t="shared" si="41"/>
        <v/>
      </c>
      <c r="J193" s="174"/>
      <c r="K193" s="174" t="s">
        <v>71</v>
      </c>
      <c r="L193" s="174"/>
      <c r="M193" s="174" t="str">
        <f t="shared" si="39"/>
        <v/>
      </c>
      <c r="N193" s="174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4" t="str">
        <f t="shared" si="35"/>
        <v/>
      </c>
      <c r="Z193" s="174"/>
      <c r="AA193" s="174"/>
      <c r="AB193" s="174"/>
      <c r="AC193" s="212"/>
      <c r="AD193" s="212"/>
      <c r="AE193" s="206"/>
      <c r="AF193" s="206"/>
      <c r="AG193" s="206"/>
      <c r="AH193" s="206"/>
      <c r="AI193" s="206"/>
      <c r="AJ193" s="206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4"/>
      <c r="AV193" s="174"/>
      <c r="AW193" s="174"/>
      <c r="AX193" s="191"/>
      <c r="AY193" s="11"/>
      <c r="AZ193" s="11"/>
      <c r="BA193" s="11"/>
      <c r="BB193" s="11"/>
      <c r="BC193" s="11"/>
      <c r="BD193" s="13"/>
      <c r="BE193" s="11" t="str">
        <f t="shared" si="43"/>
        <v>No</v>
      </c>
      <c r="BF193" s="22" t="str">
        <f t="shared" si="44"/>
        <v/>
      </c>
      <c r="BG193" s="11"/>
      <c r="BH193" s="11" t="str">
        <f t="shared" si="36"/>
        <v>No aplica</v>
      </c>
      <c r="BI193" s="12"/>
      <c r="BJ193" s="68"/>
    </row>
    <row r="194" spans="1:62" ht="18" customHeight="1" x14ac:dyDescent="0.3">
      <c r="A194" s="150"/>
      <c r="B194" s="43"/>
      <c r="C194" s="12">
        <v>46213</v>
      </c>
      <c r="D194" s="20">
        <f t="shared" si="34"/>
        <v>48</v>
      </c>
      <c r="E194" s="213">
        <v>24</v>
      </c>
      <c r="F194" s="174">
        <v>48</v>
      </c>
      <c r="G194" s="174" t="str">
        <f t="shared" si="42"/>
        <v/>
      </c>
      <c r="H194" s="174"/>
      <c r="I194" s="174" t="str">
        <f t="shared" si="41"/>
        <v/>
      </c>
      <c r="J194" s="174"/>
      <c r="K194" s="174" t="s">
        <v>71</v>
      </c>
      <c r="L194" s="174"/>
      <c r="M194" s="174" t="str">
        <f t="shared" si="39"/>
        <v/>
      </c>
      <c r="N194" s="174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4" t="str">
        <f t="shared" si="35"/>
        <v/>
      </c>
      <c r="Z194" s="174"/>
      <c r="AA194" s="174"/>
      <c r="AB194" s="174"/>
      <c r="AC194" s="212"/>
      <c r="AD194" s="212"/>
      <c r="AE194" s="206"/>
      <c r="AF194" s="206"/>
      <c r="AG194" s="206"/>
      <c r="AH194" s="206"/>
      <c r="AI194" s="206"/>
      <c r="AJ194" s="206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4"/>
      <c r="AV194" s="174"/>
      <c r="AW194" s="174"/>
      <c r="AX194" s="191"/>
      <c r="AY194" s="11"/>
      <c r="AZ194" s="11"/>
      <c r="BA194" s="11"/>
      <c r="BB194" s="11"/>
      <c r="BC194" s="11"/>
      <c r="BD194" s="13"/>
      <c r="BE194" s="11" t="str">
        <f t="shared" si="43"/>
        <v>Sí</v>
      </c>
      <c r="BF194" s="88" t="str">
        <f t="shared" si="44"/>
        <v xml:space="preserve">CPW02
</v>
      </c>
      <c r="BG194" s="11" t="s">
        <v>47</v>
      </c>
      <c r="BH194" s="11" t="str">
        <f t="shared" si="36"/>
        <v>Ejecutado</v>
      </c>
      <c r="BI194" s="12">
        <v>46213</v>
      </c>
      <c r="BJ194" s="68" t="s">
        <v>142</v>
      </c>
    </row>
    <row r="195" spans="1:62" ht="18" customHeight="1" x14ac:dyDescent="0.3">
      <c r="A195" s="150"/>
      <c r="B195" s="43"/>
      <c r="C195" s="12">
        <v>46214</v>
      </c>
      <c r="D195" s="20">
        <f t="shared" si="34"/>
        <v>48</v>
      </c>
      <c r="E195" s="213">
        <v>24</v>
      </c>
      <c r="F195" s="174">
        <v>48</v>
      </c>
      <c r="G195" s="174" t="str">
        <f t="shared" si="42"/>
        <v/>
      </c>
      <c r="H195" s="174"/>
      <c r="I195" s="174" t="str">
        <f t="shared" si="41"/>
        <v/>
      </c>
      <c r="J195" s="174"/>
      <c r="K195" s="174" t="s">
        <v>71</v>
      </c>
      <c r="L195" s="174"/>
      <c r="M195" s="174" t="str">
        <f t="shared" si="39"/>
        <v/>
      </c>
      <c r="N195" s="174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4" t="str">
        <f t="shared" si="35"/>
        <v/>
      </c>
      <c r="Z195" s="174"/>
      <c r="AA195" s="174"/>
      <c r="AB195" s="174"/>
      <c r="AC195" s="212"/>
      <c r="AD195" s="212"/>
      <c r="AE195" s="206"/>
      <c r="AF195" s="206"/>
      <c r="AG195" s="206"/>
      <c r="AH195" s="206"/>
      <c r="AI195" s="206"/>
      <c r="AJ195" s="206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4"/>
      <c r="AV195" s="174"/>
      <c r="AW195" s="174"/>
      <c r="AX195" s="191"/>
      <c r="AY195" s="11"/>
      <c r="AZ195" s="11"/>
      <c r="BA195" s="11"/>
      <c r="BB195" s="11"/>
      <c r="BC195" s="11"/>
      <c r="BD195" s="13"/>
      <c r="BE195" s="11" t="str">
        <f t="shared" si="43"/>
        <v>Sí</v>
      </c>
      <c r="BF195" s="88" t="str">
        <f t="shared" si="44"/>
        <v xml:space="preserve">CPW02
</v>
      </c>
      <c r="BG195" s="11" t="s">
        <v>47</v>
      </c>
      <c r="BH195" s="11" t="str">
        <f t="shared" si="36"/>
        <v>Ejecutado</v>
      </c>
      <c r="BI195" s="12">
        <v>46214</v>
      </c>
      <c r="BJ195" s="68" t="s">
        <v>142</v>
      </c>
    </row>
    <row r="196" spans="1:62" ht="18" customHeight="1" x14ac:dyDescent="0.3">
      <c r="A196" s="150"/>
      <c r="B196" s="43"/>
      <c r="C196" s="12">
        <v>46215</v>
      </c>
      <c r="D196" s="20">
        <f t="shared" ref="D196:D259" si="48">+F196+H196+J196+L196+N196+P196+R196+Z196+AB196+AD196+AF196+AH196+AJ196+AL196+AN196+AP196</f>
        <v>0</v>
      </c>
      <c r="E196" s="174" t="str">
        <f t="shared" si="46"/>
        <v/>
      </c>
      <c r="F196" s="174"/>
      <c r="G196" s="174" t="str">
        <f t="shared" si="42"/>
        <v/>
      </c>
      <c r="H196" s="174"/>
      <c r="I196" s="174"/>
      <c r="J196" s="174"/>
      <c r="K196" s="174" t="s">
        <v>71</v>
      </c>
      <c r="L196" s="174"/>
      <c r="M196" s="174" t="str">
        <f t="shared" si="39"/>
        <v/>
      </c>
      <c r="N196" s="174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4" t="str">
        <f t="shared" si="35"/>
        <v/>
      </c>
      <c r="Z196" s="174"/>
      <c r="AA196" s="174"/>
      <c r="AB196" s="174"/>
      <c r="AC196" s="212"/>
      <c r="AD196" s="212"/>
      <c r="AE196" s="206"/>
      <c r="AF196" s="206"/>
      <c r="AG196" s="206"/>
      <c r="AH196" s="206"/>
      <c r="AI196" s="206"/>
      <c r="AJ196" s="206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4"/>
      <c r="AV196" s="174"/>
      <c r="AW196" s="174"/>
      <c r="AX196" s="191"/>
      <c r="AY196" s="11"/>
      <c r="AZ196" s="11"/>
      <c r="BA196" s="11"/>
      <c r="BB196" s="11"/>
      <c r="BC196" s="11"/>
      <c r="BD196" s="13"/>
      <c r="BE196" s="11" t="str">
        <f t="shared" si="43"/>
        <v>No</v>
      </c>
      <c r="BF196" s="22" t="str">
        <f t="shared" si="44"/>
        <v/>
      </c>
      <c r="BG196" s="11" t="s">
        <v>47</v>
      </c>
      <c r="BH196" s="11" t="str">
        <f t="shared" si="36"/>
        <v>No aplica</v>
      </c>
      <c r="BI196" s="12">
        <v>46216</v>
      </c>
      <c r="BJ196" s="68" t="s">
        <v>120</v>
      </c>
    </row>
    <row r="197" spans="1:62" ht="27.6" customHeight="1" x14ac:dyDescent="0.3">
      <c r="A197" s="150"/>
      <c r="B197" s="43"/>
      <c r="C197" s="12">
        <v>46216</v>
      </c>
      <c r="D197" s="20">
        <f t="shared" si="48"/>
        <v>48</v>
      </c>
      <c r="E197" s="174" t="str">
        <f t="shared" si="46"/>
        <v/>
      </c>
      <c r="F197" s="174"/>
      <c r="G197" s="174" t="str">
        <f t="shared" si="42"/>
        <v/>
      </c>
      <c r="H197" s="174"/>
      <c r="I197" s="213">
        <v>24</v>
      </c>
      <c r="J197" s="174">
        <v>48</v>
      </c>
      <c r="K197" s="174" t="s">
        <v>71</v>
      </c>
      <c r="L197" s="174"/>
      <c r="M197" s="174" t="str">
        <f t="shared" si="39"/>
        <v/>
      </c>
      <c r="N197" s="174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4" t="str">
        <f t="shared" ref="Y197:Y228" si="49">IF(MOD(C197-$C$4,15)=0,8,"")</f>
        <v/>
      </c>
      <c r="Z197" s="174"/>
      <c r="AA197" s="174"/>
      <c r="AB197" s="174"/>
      <c r="AC197" s="212"/>
      <c r="AD197" s="212"/>
      <c r="AE197" s="206"/>
      <c r="AF197" s="206"/>
      <c r="AG197" s="206"/>
      <c r="AH197" s="206"/>
      <c r="AI197" s="206"/>
      <c r="AJ197" s="206"/>
      <c r="AK197" s="174"/>
      <c r="AL197" s="174"/>
      <c r="AM197" s="174"/>
      <c r="AN197" s="174"/>
      <c r="AO197" s="174"/>
      <c r="AP197" s="174"/>
      <c r="AQ197" s="174"/>
      <c r="AR197" s="174"/>
      <c r="AS197" s="174"/>
      <c r="AT197" s="174"/>
      <c r="AU197" s="174"/>
      <c r="AV197" s="174"/>
      <c r="AW197" s="174"/>
      <c r="AX197" s="191"/>
      <c r="AY197" s="11"/>
      <c r="AZ197" s="11"/>
      <c r="BA197" s="11"/>
      <c r="BB197" s="11"/>
      <c r="BC197" s="11"/>
      <c r="BD197" s="13"/>
      <c r="BE197" s="11" t="str">
        <f t="shared" si="43"/>
        <v>Sí</v>
      </c>
      <c r="BF197" s="88" t="str">
        <f t="shared" si="44"/>
        <v>CPW03</v>
      </c>
      <c r="BG197" s="11" t="s">
        <v>47</v>
      </c>
      <c r="BH197" s="11" t="str">
        <f t="shared" ref="BH197:BH260" si="50">IF($BE197="No","No aplica",IF($BG197="Sí","Ejecutado","Programado pendiente"))</f>
        <v>Ejecutado</v>
      </c>
      <c r="BI197" s="12">
        <v>46216</v>
      </c>
      <c r="BJ197" s="68" t="s">
        <v>121</v>
      </c>
    </row>
    <row r="198" spans="1:62" ht="33" customHeight="1" x14ac:dyDescent="0.3">
      <c r="A198" s="150"/>
      <c r="B198" s="43"/>
      <c r="C198" s="12">
        <v>46217</v>
      </c>
      <c r="D198" s="20">
        <f t="shared" si="48"/>
        <v>68</v>
      </c>
      <c r="E198" s="174" t="str">
        <f t="shared" si="46"/>
        <v/>
      </c>
      <c r="F198" s="174"/>
      <c r="G198" s="174">
        <v>10</v>
      </c>
      <c r="H198" s="174">
        <v>20</v>
      </c>
      <c r="I198" s="213">
        <v>24</v>
      </c>
      <c r="J198" s="174">
        <v>48</v>
      </c>
      <c r="K198" s="174" t="s">
        <v>71</v>
      </c>
      <c r="L198" s="174"/>
      <c r="M198" s="174" t="str">
        <f t="shared" si="39"/>
        <v/>
      </c>
      <c r="N198" s="174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4" t="str">
        <f t="shared" si="49"/>
        <v/>
      </c>
      <c r="Z198" s="174"/>
      <c r="AA198" s="174"/>
      <c r="AB198" s="174"/>
      <c r="AC198" s="212"/>
      <c r="AD198" s="212"/>
      <c r="AE198" s="206"/>
      <c r="AF198" s="206"/>
      <c r="AG198" s="206"/>
      <c r="AH198" s="206"/>
      <c r="AI198" s="206"/>
      <c r="AJ198" s="206"/>
      <c r="AK198" s="174"/>
      <c r="AL198" s="174"/>
      <c r="AM198" s="174"/>
      <c r="AN198" s="174"/>
      <c r="AO198" s="174"/>
      <c r="AP198" s="174"/>
      <c r="AQ198" s="174"/>
      <c r="AR198" s="174"/>
      <c r="AS198" s="174"/>
      <c r="AT198" s="174"/>
      <c r="AU198" s="174"/>
      <c r="AV198" s="174"/>
      <c r="AW198" s="174"/>
      <c r="AX198" s="191"/>
      <c r="AY198" s="11"/>
      <c r="AZ198" s="11"/>
      <c r="BA198" s="11"/>
      <c r="BB198" s="11"/>
      <c r="BC198" s="11"/>
      <c r="BD198" s="13"/>
      <c r="BE198" s="11" t="str">
        <f t="shared" si="43"/>
        <v>Sí</v>
      </c>
      <c r="BF198" s="88" t="str">
        <f t="shared" si="44"/>
        <v>CPW01, CPW03</v>
      </c>
      <c r="BG198" s="11" t="s">
        <v>47</v>
      </c>
      <c r="BH198" s="11" t="str">
        <f t="shared" si="50"/>
        <v>Ejecutado</v>
      </c>
      <c r="BI198" s="12">
        <v>46217</v>
      </c>
      <c r="BJ198" s="68" t="s">
        <v>121</v>
      </c>
    </row>
    <row r="199" spans="1:62" ht="18" customHeight="1" x14ac:dyDescent="0.3">
      <c r="A199" s="150"/>
      <c r="B199" s="43"/>
      <c r="C199" s="12">
        <v>46218</v>
      </c>
      <c r="D199" s="20">
        <f t="shared" si="48"/>
        <v>20</v>
      </c>
      <c r="E199" s="174" t="str">
        <f t="shared" ref="E199:E262" si="51">IF(MOD(C199-$C$4,42)=0,8,"")</f>
        <v/>
      </c>
      <c r="F199" s="174"/>
      <c r="G199" s="174" t="str">
        <f t="shared" si="42"/>
        <v/>
      </c>
      <c r="H199" s="174"/>
      <c r="I199" s="174" t="str">
        <f t="shared" si="41"/>
        <v/>
      </c>
      <c r="J199" s="174"/>
      <c r="K199" s="174" t="s">
        <v>71</v>
      </c>
      <c r="L199" s="174"/>
      <c r="M199" s="174" t="str">
        <f t="shared" si="39"/>
        <v/>
      </c>
      <c r="N199" s="174"/>
      <c r="O199" s="172"/>
      <c r="P199" s="172"/>
      <c r="Q199" s="172"/>
      <c r="R199" s="172"/>
      <c r="S199" s="178"/>
      <c r="T199" s="178"/>
      <c r="U199" s="172"/>
      <c r="V199" s="172"/>
      <c r="W199" s="172"/>
      <c r="X199" s="172"/>
      <c r="Y199" s="174">
        <v>10</v>
      </c>
      <c r="Z199" s="174">
        <v>20</v>
      </c>
      <c r="AA199" s="178"/>
      <c r="AB199" s="178"/>
      <c r="AC199" s="214"/>
      <c r="AD199" s="214"/>
      <c r="AE199" s="207"/>
      <c r="AF199" s="207"/>
      <c r="AG199" s="207"/>
      <c r="AH199" s="207"/>
      <c r="AI199" s="207"/>
      <c r="AJ199" s="207"/>
      <c r="AK199" s="178"/>
      <c r="AL199" s="178"/>
      <c r="AM199" s="178"/>
      <c r="AN199" s="178"/>
      <c r="AO199" s="178"/>
      <c r="AP199" s="178"/>
      <c r="AQ199" s="174"/>
      <c r="AR199" s="174"/>
      <c r="AS199" s="174"/>
      <c r="AT199" s="174"/>
      <c r="AU199" s="174"/>
      <c r="AV199" s="174"/>
      <c r="AW199" s="174"/>
      <c r="AX199" s="191"/>
      <c r="AY199" s="11"/>
      <c r="AZ199" s="11"/>
      <c r="BA199" s="11"/>
      <c r="BB199" s="11"/>
      <c r="BC199" s="11"/>
      <c r="BD199" s="13"/>
      <c r="BE199" s="11" t="str">
        <f t="shared" si="43"/>
        <v>Sí</v>
      </c>
      <c r="BF199" s="88" t="str">
        <f t="shared" si="44"/>
        <v>JINAN 01</v>
      </c>
      <c r="BG199" s="11" t="s">
        <v>47</v>
      </c>
      <c r="BH199" s="11" t="str">
        <f t="shared" si="50"/>
        <v>Ejecutado</v>
      </c>
      <c r="BI199" s="12">
        <v>46219</v>
      </c>
      <c r="BJ199" s="68" t="s">
        <v>117</v>
      </c>
    </row>
    <row r="200" spans="1:62" ht="46.2" customHeight="1" x14ac:dyDescent="0.3">
      <c r="A200" s="150"/>
      <c r="B200" s="43"/>
      <c r="C200" s="12">
        <v>46219</v>
      </c>
      <c r="D200" s="20">
        <f t="shared" si="48"/>
        <v>20</v>
      </c>
      <c r="E200" s="174" t="str">
        <f t="shared" si="51"/>
        <v/>
      </c>
      <c r="F200" s="174"/>
      <c r="G200" s="174" t="str">
        <f t="shared" si="42"/>
        <v/>
      </c>
      <c r="H200" s="174"/>
      <c r="I200" s="174" t="str">
        <f t="shared" si="41"/>
        <v/>
      </c>
      <c r="J200" s="174"/>
      <c r="K200" s="174" t="s">
        <v>71</v>
      </c>
      <c r="L200" s="174"/>
      <c r="M200" s="174" t="str">
        <f t="shared" si="39"/>
        <v/>
      </c>
      <c r="N200" s="174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 t="str">
        <f t="shared" ref="Y200:Y207" si="52">IF(MOD(C200-$C$4,15)=0,8,"")</f>
        <v/>
      </c>
      <c r="Z200" s="172"/>
      <c r="AA200" s="174">
        <v>10</v>
      </c>
      <c r="AB200" s="174">
        <v>20</v>
      </c>
      <c r="AC200" s="212"/>
      <c r="AD200" s="212"/>
      <c r="AE200" s="206"/>
      <c r="AF200" s="206"/>
      <c r="AG200" s="206"/>
      <c r="AH200" s="206"/>
      <c r="AI200" s="206"/>
      <c r="AJ200" s="206"/>
      <c r="AK200" s="172"/>
      <c r="AL200" s="172"/>
      <c r="AM200" s="172"/>
      <c r="AN200" s="172"/>
      <c r="AO200" s="172"/>
      <c r="AP200" s="172"/>
      <c r="AQ200" s="174"/>
      <c r="AR200" s="174"/>
      <c r="AS200" s="174"/>
      <c r="AT200" s="174"/>
      <c r="AU200" s="174"/>
      <c r="AV200" s="174"/>
      <c r="AW200" s="174"/>
      <c r="AX200" s="191"/>
      <c r="AY200" s="11"/>
      <c r="AZ200" s="11"/>
      <c r="BA200" s="11"/>
      <c r="BB200" s="11"/>
      <c r="BC200" s="11"/>
      <c r="BD200" s="13"/>
      <c r="BE200" s="11" t="str">
        <f t="shared" si="43"/>
        <v>Sí</v>
      </c>
      <c r="BF200" s="88" t="str">
        <f t="shared" si="44"/>
        <v>JINAN 02</v>
      </c>
      <c r="BG200" s="11" t="s">
        <v>47</v>
      </c>
      <c r="BH200" s="11" t="str">
        <f t="shared" si="50"/>
        <v>Ejecutado</v>
      </c>
      <c r="BI200" s="12">
        <v>46224</v>
      </c>
      <c r="BJ200" s="68" t="s">
        <v>122</v>
      </c>
    </row>
    <row r="201" spans="1:62" ht="18" customHeight="1" x14ac:dyDescent="0.3">
      <c r="A201" s="150"/>
      <c r="B201" s="43"/>
      <c r="C201" s="12">
        <v>46220</v>
      </c>
      <c r="D201" s="20">
        <f t="shared" si="48"/>
        <v>0</v>
      </c>
      <c r="E201" s="174" t="str">
        <f t="shared" si="51"/>
        <v/>
      </c>
      <c r="F201" s="174"/>
      <c r="G201" s="174" t="str">
        <f t="shared" si="42"/>
        <v/>
      </c>
      <c r="H201" s="174"/>
      <c r="I201" s="174" t="str">
        <f t="shared" si="41"/>
        <v/>
      </c>
      <c r="J201" s="174"/>
      <c r="K201" s="174" t="s">
        <v>71</v>
      </c>
      <c r="L201" s="174"/>
      <c r="M201" s="174" t="str">
        <f t="shared" si="39"/>
        <v/>
      </c>
      <c r="N201" s="174"/>
      <c r="O201" s="172"/>
      <c r="P201" s="172"/>
      <c r="Q201" s="172"/>
      <c r="R201" s="172"/>
      <c r="S201" s="174">
        <v>10</v>
      </c>
      <c r="T201" s="174">
        <v>20</v>
      </c>
      <c r="U201" s="172"/>
      <c r="V201" s="172"/>
      <c r="W201" s="172"/>
      <c r="X201" s="172"/>
      <c r="Y201" s="172" t="str">
        <f t="shared" si="52"/>
        <v/>
      </c>
      <c r="Z201" s="172"/>
      <c r="AA201" s="172"/>
      <c r="AB201" s="172"/>
      <c r="AC201" s="212"/>
      <c r="AD201" s="212"/>
      <c r="AE201" s="206"/>
      <c r="AF201" s="206"/>
      <c r="AG201" s="206"/>
      <c r="AH201" s="206"/>
      <c r="AI201" s="206"/>
      <c r="AJ201" s="206"/>
      <c r="AK201" s="172"/>
      <c r="AL201" s="172"/>
      <c r="AM201" s="172"/>
      <c r="AN201" s="172"/>
      <c r="AO201" s="172"/>
      <c r="AP201" s="172"/>
      <c r="AQ201" s="174"/>
      <c r="AR201" s="174"/>
      <c r="AS201" s="174"/>
      <c r="AT201" s="174"/>
      <c r="AU201" s="174"/>
      <c r="AV201" s="174"/>
      <c r="AW201" s="174"/>
      <c r="AX201" s="191"/>
      <c r="AY201" s="11"/>
      <c r="AZ201" s="11"/>
      <c r="BA201" s="11"/>
      <c r="BB201" s="11"/>
      <c r="BC201" s="11"/>
      <c r="BD201" s="13"/>
      <c r="BE201" s="11" t="str">
        <f t="shared" si="43"/>
        <v>Sí</v>
      </c>
      <c r="BF201" s="88" t="str">
        <f t="shared" si="44"/>
        <v>CPW 10</v>
      </c>
      <c r="BG201" s="11" t="s">
        <v>47</v>
      </c>
      <c r="BH201" s="11" t="str">
        <f t="shared" si="50"/>
        <v>Ejecutado</v>
      </c>
      <c r="BI201" s="12">
        <v>46218</v>
      </c>
      <c r="BJ201" s="68" t="s">
        <v>123</v>
      </c>
    </row>
    <row r="202" spans="1:62" ht="18" customHeight="1" x14ac:dyDescent="0.3">
      <c r="A202" s="150"/>
      <c r="B202" s="43"/>
      <c r="C202" s="12">
        <v>46221</v>
      </c>
      <c r="D202" s="20">
        <f t="shared" si="48"/>
        <v>0</v>
      </c>
      <c r="E202" s="174" t="str">
        <f t="shared" si="51"/>
        <v/>
      </c>
      <c r="F202" s="174"/>
      <c r="G202" s="174" t="str">
        <f t="shared" si="42"/>
        <v/>
      </c>
      <c r="H202" s="174"/>
      <c r="I202" s="174" t="str">
        <f t="shared" si="41"/>
        <v/>
      </c>
      <c r="J202" s="174"/>
      <c r="K202" s="174"/>
      <c r="L202" s="174"/>
      <c r="M202" s="174"/>
      <c r="N202" s="174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 t="str">
        <f t="shared" si="52"/>
        <v/>
      </c>
      <c r="Z202" s="172"/>
      <c r="AA202" s="172"/>
      <c r="AB202" s="172"/>
      <c r="AC202" s="212"/>
      <c r="AD202" s="212"/>
      <c r="AE202" s="206"/>
      <c r="AF202" s="206"/>
      <c r="AG202" s="206"/>
      <c r="AH202" s="206"/>
      <c r="AI202" s="206"/>
      <c r="AJ202" s="206"/>
      <c r="AK202" s="172"/>
      <c r="AL202" s="172"/>
      <c r="AM202" s="172"/>
      <c r="AN202" s="172"/>
      <c r="AO202" s="172"/>
      <c r="AP202" s="172"/>
      <c r="AQ202" s="174"/>
      <c r="AR202" s="174"/>
      <c r="AS202" s="174"/>
      <c r="AT202" s="174"/>
      <c r="AU202" s="174"/>
      <c r="AV202" s="174"/>
      <c r="AW202" s="174"/>
      <c r="AX202" s="191"/>
      <c r="AY202" s="11"/>
      <c r="AZ202" s="11"/>
      <c r="BA202" s="11"/>
      <c r="BB202" s="11"/>
      <c r="BC202" s="11"/>
      <c r="BD202" s="13"/>
      <c r="BE202" s="11" t="str">
        <f t="shared" si="43"/>
        <v>No</v>
      </c>
      <c r="BF202" s="22" t="str">
        <f t="shared" si="44"/>
        <v/>
      </c>
      <c r="BG202" s="11" t="s">
        <v>84</v>
      </c>
      <c r="BH202" s="11" t="str">
        <f t="shared" si="50"/>
        <v>No aplica</v>
      </c>
      <c r="BI202" s="12"/>
      <c r="BJ202" s="68"/>
    </row>
    <row r="203" spans="1:62" ht="18" customHeight="1" x14ac:dyDescent="0.3">
      <c r="A203" s="150"/>
      <c r="B203" s="43"/>
      <c r="C203" s="12">
        <v>46222</v>
      </c>
      <c r="D203" s="20">
        <f t="shared" si="48"/>
        <v>0</v>
      </c>
      <c r="E203" s="174" t="str">
        <f t="shared" si="51"/>
        <v/>
      </c>
      <c r="F203" s="174"/>
      <c r="G203" s="174" t="str">
        <f t="shared" si="42"/>
        <v/>
      </c>
      <c r="H203" s="174"/>
      <c r="I203" s="174" t="str">
        <f t="shared" si="41"/>
        <v/>
      </c>
      <c r="J203" s="174"/>
      <c r="K203" s="174" t="s">
        <v>71</v>
      </c>
      <c r="L203" s="174"/>
      <c r="M203" s="174"/>
      <c r="N203" s="174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 t="str">
        <f t="shared" si="52"/>
        <v/>
      </c>
      <c r="Z203" s="172"/>
      <c r="AA203" s="172"/>
      <c r="AB203" s="172"/>
      <c r="AC203" s="212"/>
      <c r="AD203" s="212"/>
      <c r="AE203" s="206"/>
      <c r="AF203" s="206"/>
      <c r="AG203" s="206"/>
      <c r="AH203" s="206"/>
      <c r="AI203" s="206"/>
      <c r="AJ203" s="206"/>
      <c r="AK203" s="172"/>
      <c r="AL203" s="172"/>
      <c r="AM203" s="172"/>
      <c r="AN203" s="172"/>
      <c r="AO203" s="172"/>
      <c r="AP203" s="172"/>
      <c r="AQ203" s="174"/>
      <c r="AR203" s="174"/>
      <c r="AS203" s="174"/>
      <c r="AT203" s="174"/>
      <c r="AU203" s="174"/>
      <c r="AV203" s="174"/>
      <c r="AW203" s="174"/>
      <c r="AX203" s="191"/>
      <c r="AY203" s="11"/>
      <c r="AZ203" s="11"/>
      <c r="BA203" s="11"/>
      <c r="BB203" s="11"/>
      <c r="BC203" s="11"/>
      <c r="BD203" s="13"/>
      <c r="BE203" s="11" t="str">
        <f t="shared" si="43"/>
        <v>No</v>
      </c>
      <c r="BF203" s="22" t="str">
        <f t="shared" si="44"/>
        <v/>
      </c>
      <c r="BG203" s="11"/>
      <c r="BH203" s="11" t="str">
        <f t="shared" si="50"/>
        <v>No aplica</v>
      </c>
      <c r="BI203" s="12"/>
      <c r="BJ203" s="68"/>
    </row>
    <row r="204" spans="1:62" ht="18" customHeight="1" x14ac:dyDescent="0.3">
      <c r="A204" s="150"/>
      <c r="B204" s="43"/>
      <c r="C204" s="12">
        <v>46223</v>
      </c>
      <c r="D204" s="20">
        <f t="shared" si="48"/>
        <v>0</v>
      </c>
      <c r="E204" s="174" t="str">
        <f t="shared" si="51"/>
        <v/>
      </c>
      <c r="F204" s="174"/>
      <c r="G204" s="174" t="str">
        <f t="shared" si="42"/>
        <v/>
      </c>
      <c r="H204" s="174"/>
      <c r="I204" s="174" t="str">
        <f t="shared" si="41"/>
        <v/>
      </c>
      <c r="J204" s="174"/>
      <c r="K204" s="174" t="s">
        <v>71</v>
      </c>
      <c r="L204" s="174"/>
      <c r="M204" s="174" t="str">
        <f t="shared" si="39"/>
        <v/>
      </c>
      <c r="N204" s="174"/>
      <c r="O204" s="172"/>
      <c r="P204" s="172"/>
      <c r="Q204" s="172"/>
      <c r="R204" s="172"/>
      <c r="S204" s="172"/>
      <c r="T204" s="172"/>
      <c r="U204" s="172">
        <v>12</v>
      </c>
      <c r="V204" s="172">
        <v>24</v>
      </c>
      <c r="W204" s="172"/>
      <c r="X204" s="172"/>
      <c r="Y204" s="172" t="str">
        <f t="shared" si="52"/>
        <v/>
      </c>
      <c r="Z204" s="172"/>
      <c r="AA204" s="172"/>
      <c r="AB204" s="172"/>
      <c r="AC204" s="212"/>
      <c r="AD204" s="212"/>
      <c r="AE204" s="206"/>
      <c r="AF204" s="206"/>
      <c r="AG204" s="206"/>
      <c r="AH204" s="206"/>
      <c r="AI204" s="206"/>
      <c r="AJ204" s="206"/>
      <c r="AK204" s="172"/>
      <c r="AL204" s="172"/>
      <c r="AM204" s="172"/>
      <c r="AN204" s="172"/>
      <c r="AO204" s="172"/>
      <c r="AP204" s="172"/>
      <c r="AQ204" s="174"/>
      <c r="AR204" s="174"/>
      <c r="AS204" s="174"/>
      <c r="AT204" s="174"/>
      <c r="AU204" s="174"/>
      <c r="AV204" s="174"/>
      <c r="AW204" s="174"/>
      <c r="AX204" s="191"/>
      <c r="AY204" s="11"/>
      <c r="AZ204" s="11"/>
      <c r="BA204" s="11"/>
      <c r="BB204" s="11"/>
      <c r="BC204" s="11"/>
      <c r="BD204" s="13"/>
      <c r="BE204" s="11" t="str">
        <f t="shared" si="43"/>
        <v>Sí</v>
      </c>
      <c r="BF204" s="88" t="str">
        <f t="shared" si="44"/>
        <v>CPW11</v>
      </c>
      <c r="BG204" s="11" t="s">
        <v>47</v>
      </c>
      <c r="BH204" s="11" t="str">
        <f t="shared" si="50"/>
        <v>Ejecutado</v>
      </c>
      <c r="BI204" s="12"/>
      <c r="BJ204" s="68"/>
    </row>
    <row r="205" spans="1:62" ht="18" customHeight="1" x14ac:dyDescent="0.3">
      <c r="A205" s="150"/>
      <c r="B205" s="43"/>
      <c r="C205" s="12">
        <v>46224</v>
      </c>
      <c r="D205" s="20">
        <f t="shared" si="48"/>
        <v>20</v>
      </c>
      <c r="E205" s="174" t="str">
        <f t="shared" si="51"/>
        <v/>
      </c>
      <c r="F205" s="174"/>
      <c r="G205" s="174" t="str">
        <f t="shared" si="42"/>
        <v/>
      </c>
      <c r="H205" s="174"/>
      <c r="I205" s="174" t="str">
        <f t="shared" si="41"/>
        <v/>
      </c>
      <c r="J205" s="174"/>
      <c r="K205" s="174" t="s">
        <v>71</v>
      </c>
      <c r="L205" s="174"/>
      <c r="M205" s="174" t="str">
        <f t="shared" ref="M205:M268" si="53">IF(MOD(C205-$C$76,42)=0,8,"")</f>
        <v/>
      </c>
      <c r="N205" s="174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 t="str">
        <f t="shared" si="52"/>
        <v/>
      </c>
      <c r="Z205" s="172"/>
      <c r="AA205" s="172"/>
      <c r="AB205" s="172"/>
      <c r="AC205" s="212"/>
      <c r="AD205" s="212"/>
      <c r="AE205" s="206"/>
      <c r="AF205" s="206"/>
      <c r="AG205" s="206"/>
      <c r="AH205" s="206"/>
      <c r="AI205" s="206"/>
      <c r="AJ205" s="206"/>
      <c r="AK205" s="174">
        <v>10</v>
      </c>
      <c r="AL205" s="174">
        <v>20</v>
      </c>
      <c r="AM205" s="172"/>
      <c r="AN205" s="172"/>
      <c r="AO205" s="172"/>
      <c r="AP205" s="172"/>
      <c r="AQ205" s="174"/>
      <c r="AR205" s="174"/>
      <c r="AS205" s="174"/>
      <c r="AT205" s="174"/>
      <c r="AU205" s="174"/>
      <c r="AV205" s="174"/>
      <c r="AW205" s="174"/>
      <c r="AX205" s="191"/>
      <c r="AY205" s="11"/>
      <c r="AZ205" s="11"/>
      <c r="BA205" s="11"/>
      <c r="BB205" s="11"/>
      <c r="BC205" s="11"/>
      <c r="BD205" s="13"/>
      <c r="BE205" s="11" t="str">
        <f t="shared" si="43"/>
        <v>Sí</v>
      </c>
      <c r="BF205" s="88" t="str">
        <f t="shared" si="44"/>
        <v>G 101 V</v>
      </c>
      <c r="BG205" s="11" t="s">
        <v>47</v>
      </c>
      <c r="BH205" s="11" t="str">
        <f t="shared" si="50"/>
        <v>Ejecutado</v>
      </c>
      <c r="BI205" s="12">
        <v>46316</v>
      </c>
      <c r="BJ205" s="68" t="s">
        <v>151</v>
      </c>
    </row>
    <row r="206" spans="1:62" ht="18" customHeight="1" x14ac:dyDescent="0.3">
      <c r="A206" s="150"/>
      <c r="B206" s="43"/>
      <c r="C206" s="12">
        <v>46225</v>
      </c>
      <c r="D206" s="20">
        <f t="shared" si="48"/>
        <v>20</v>
      </c>
      <c r="E206" s="174" t="str">
        <f t="shared" si="51"/>
        <v/>
      </c>
      <c r="F206" s="174"/>
      <c r="G206" s="174" t="str">
        <f t="shared" si="42"/>
        <v/>
      </c>
      <c r="H206" s="174"/>
      <c r="I206" s="174" t="str">
        <f t="shared" si="41"/>
        <v/>
      </c>
      <c r="J206" s="174"/>
      <c r="K206" s="174" t="s">
        <v>71</v>
      </c>
      <c r="L206" s="174"/>
      <c r="M206" s="174" t="str">
        <f t="shared" si="53"/>
        <v/>
      </c>
      <c r="N206" s="174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 t="str">
        <f t="shared" si="52"/>
        <v/>
      </c>
      <c r="Z206" s="172"/>
      <c r="AA206" s="172"/>
      <c r="AB206" s="172"/>
      <c r="AC206" s="212"/>
      <c r="AD206" s="212"/>
      <c r="AE206" s="206"/>
      <c r="AF206" s="206"/>
      <c r="AG206" s="206"/>
      <c r="AH206" s="206"/>
      <c r="AI206" s="206"/>
      <c r="AJ206" s="206"/>
      <c r="AK206" s="172"/>
      <c r="AL206" s="172"/>
      <c r="AM206" s="174">
        <v>10</v>
      </c>
      <c r="AN206" s="174">
        <v>20</v>
      </c>
      <c r="AO206" s="172"/>
      <c r="AP206" s="172"/>
      <c r="AQ206" s="174"/>
      <c r="AR206" s="174"/>
      <c r="AS206" s="174"/>
      <c r="AT206" s="174"/>
      <c r="AU206" s="174"/>
      <c r="AV206" s="174"/>
      <c r="AW206" s="174"/>
      <c r="AX206" s="191"/>
      <c r="AY206" s="11"/>
      <c r="AZ206" s="11"/>
      <c r="BA206" s="11"/>
      <c r="BB206" s="11"/>
      <c r="BC206" s="11"/>
      <c r="BD206" s="13"/>
      <c r="BE206" s="11" t="str">
        <f t="shared" si="43"/>
        <v>Sí</v>
      </c>
      <c r="BF206" s="88" t="str">
        <f t="shared" si="44"/>
        <v>G102 J</v>
      </c>
      <c r="BG206" s="11" t="s">
        <v>47</v>
      </c>
      <c r="BH206" s="11" t="str">
        <f t="shared" si="50"/>
        <v>Ejecutado</v>
      </c>
      <c r="BI206" s="12">
        <v>46225</v>
      </c>
      <c r="BJ206" s="68" t="s">
        <v>86</v>
      </c>
    </row>
    <row r="207" spans="1:62" ht="18" customHeight="1" x14ac:dyDescent="0.3">
      <c r="A207" s="150"/>
      <c r="B207" s="43"/>
      <c r="C207" s="12">
        <v>46226</v>
      </c>
      <c r="D207" s="20">
        <f t="shared" si="48"/>
        <v>20</v>
      </c>
      <c r="E207" s="174" t="str">
        <f t="shared" si="51"/>
        <v/>
      </c>
      <c r="F207" s="174"/>
      <c r="G207" s="174" t="str">
        <f t="shared" si="42"/>
        <v/>
      </c>
      <c r="H207" s="174"/>
      <c r="I207" s="174" t="str">
        <f t="shared" si="41"/>
        <v/>
      </c>
      <c r="J207" s="174"/>
      <c r="K207" s="174" t="s">
        <v>71</v>
      </c>
      <c r="L207" s="174"/>
      <c r="M207" s="174" t="str">
        <f t="shared" si="53"/>
        <v/>
      </c>
      <c r="N207" s="174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 t="str">
        <f t="shared" si="52"/>
        <v/>
      </c>
      <c r="Z207" s="172"/>
      <c r="AA207" s="172"/>
      <c r="AB207" s="172"/>
      <c r="AC207" s="212"/>
      <c r="AD207" s="212"/>
      <c r="AE207" s="206"/>
      <c r="AF207" s="206"/>
      <c r="AG207" s="206"/>
      <c r="AH207" s="206"/>
      <c r="AI207" s="206"/>
      <c r="AJ207" s="206"/>
      <c r="AK207" s="172"/>
      <c r="AL207" s="172"/>
      <c r="AM207" s="172"/>
      <c r="AN207" s="172"/>
      <c r="AO207" s="174">
        <v>10</v>
      </c>
      <c r="AP207" s="174">
        <v>20</v>
      </c>
      <c r="AQ207" s="174"/>
      <c r="AR207" s="174"/>
      <c r="AS207" s="174"/>
      <c r="AT207" s="174"/>
      <c r="AU207" s="174"/>
      <c r="AV207" s="174"/>
      <c r="AW207" s="174"/>
      <c r="AX207" s="191"/>
      <c r="AY207" s="11"/>
      <c r="AZ207" s="11"/>
      <c r="BA207" s="11"/>
      <c r="BB207" s="11"/>
      <c r="BC207" s="11"/>
      <c r="BD207" s="13"/>
      <c r="BE207" s="11" t="str">
        <f t="shared" si="43"/>
        <v>Sí</v>
      </c>
      <c r="BF207" s="88" t="str">
        <f t="shared" si="44"/>
        <v>G102K</v>
      </c>
      <c r="BG207" s="11" t="s">
        <v>47</v>
      </c>
      <c r="BH207" s="11" t="str">
        <f t="shared" si="50"/>
        <v>Ejecutado</v>
      </c>
      <c r="BI207" s="12"/>
      <c r="BJ207" s="68"/>
    </row>
    <row r="208" spans="1:62" ht="18" customHeight="1" x14ac:dyDescent="0.3">
      <c r="A208" s="150"/>
      <c r="B208" s="43"/>
      <c r="C208" s="12">
        <v>46227</v>
      </c>
      <c r="D208" s="20">
        <f t="shared" si="48"/>
        <v>0</v>
      </c>
      <c r="E208" s="174" t="str">
        <f t="shared" si="51"/>
        <v/>
      </c>
      <c r="F208" s="174"/>
      <c r="G208" s="174" t="str">
        <f t="shared" si="42"/>
        <v/>
      </c>
      <c r="H208" s="174"/>
      <c r="I208" s="174" t="str">
        <f t="shared" si="41"/>
        <v/>
      </c>
      <c r="J208" s="174"/>
      <c r="K208" s="174" t="s">
        <v>71</v>
      </c>
      <c r="L208" s="174"/>
      <c r="M208" s="174" t="str">
        <f t="shared" si="53"/>
        <v/>
      </c>
      <c r="N208" s="174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4"/>
      <c r="Z208" s="174"/>
      <c r="AA208" s="174"/>
      <c r="AB208" s="174"/>
      <c r="AC208" s="212"/>
      <c r="AD208" s="212"/>
      <c r="AE208" s="206"/>
      <c r="AF208" s="206"/>
      <c r="AG208" s="206"/>
      <c r="AH208" s="206"/>
      <c r="AI208" s="206"/>
      <c r="AJ208" s="206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4"/>
      <c r="AV208" s="174"/>
      <c r="AW208" s="174"/>
      <c r="AX208" s="191"/>
      <c r="AY208" s="11"/>
      <c r="AZ208" s="11"/>
      <c r="BA208" s="11"/>
      <c r="BB208" s="11"/>
      <c r="BC208" s="11"/>
      <c r="BD208" s="13"/>
      <c r="BE208" s="11" t="str">
        <f t="shared" si="43"/>
        <v>No</v>
      </c>
      <c r="BF208" s="22" t="str">
        <f t="shared" si="44"/>
        <v/>
      </c>
      <c r="BG208" s="11"/>
      <c r="BH208" s="11" t="str">
        <f t="shared" si="50"/>
        <v>No aplica</v>
      </c>
      <c r="BI208" s="12"/>
      <c r="BJ208" s="68"/>
    </row>
    <row r="209" spans="1:62" ht="18" customHeight="1" x14ac:dyDescent="0.3">
      <c r="A209" s="150"/>
      <c r="B209" s="43"/>
      <c r="C209" s="12">
        <v>46228</v>
      </c>
      <c r="D209" s="20">
        <f t="shared" si="48"/>
        <v>0</v>
      </c>
      <c r="E209" s="174" t="str">
        <f t="shared" si="51"/>
        <v/>
      </c>
      <c r="F209" s="174"/>
      <c r="G209" s="174" t="str">
        <f t="shared" si="42"/>
        <v/>
      </c>
      <c r="H209" s="174"/>
      <c r="I209" s="174" t="str">
        <f t="shared" si="41"/>
        <v/>
      </c>
      <c r="J209" s="174"/>
      <c r="K209" s="174" t="s">
        <v>71</v>
      </c>
      <c r="L209" s="174"/>
      <c r="M209" s="174" t="str">
        <f t="shared" si="53"/>
        <v/>
      </c>
      <c r="N209" s="174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4" t="str">
        <f t="shared" si="49"/>
        <v/>
      </c>
      <c r="Z209" s="174"/>
      <c r="AA209" s="174"/>
      <c r="AB209" s="174"/>
      <c r="AC209" s="212"/>
      <c r="AD209" s="212"/>
      <c r="AE209" s="206"/>
      <c r="AF209" s="206"/>
      <c r="AG209" s="206"/>
      <c r="AH209" s="206"/>
      <c r="AI209" s="206"/>
      <c r="AJ209" s="206"/>
      <c r="AK209" s="174"/>
      <c r="AL209" s="174"/>
      <c r="AM209" s="174"/>
      <c r="AN209" s="174"/>
      <c r="AO209" s="174"/>
      <c r="AP209" s="174"/>
      <c r="AQ209" s="174"/>
      <c r="AR209" s="174"/>
      <c r="AS209" s="174"/>
      <c r="AT209" s="174"/>
      <c r="AU209" s="174"/>
      <c r="AV209" s="174"/>
      <c r="AW209" s="174"/>
      <c r="AX209" s="191"/>
      <c r="AY209" s="11"/>
      <c r="AZ209" s="11"/>
      <c r="BA209" s="11"/>
      <c r="BB209" s="11"/>
      <c r="BC209" s="11"/>
      <c r="BD209" s="13"/>
      <c r="BE209" s="11" t="str">
        <f t="shared" si="43"/>
        <v>No</v>
      </c>
      <c r="BF209" s="22" t="str">
        <f t="shared" si="44"/>
        <v/>
      </c>
      <c r="BG209" s="11"/>
      <c r="BH209" s="11" t="str">
        <f t="shared" si="50"/>
        <v>No aplica</v>
      </c>
      <c r="BI209" s="12"/>
      <c r="BJ209" s="68"/>
    </row>
    <row r="210" spans="1:62" ht="18" customHeight="1" x14ac:dyDescent="0.3">
      <c r="A210" s="150"/>
      <c r="B210" s="43"/>
      <c r="C210" s="12">
        <v>46229</v>
      </c>
      <c r="D210" s="20">
        <f t="shared" si="48"/>
        <v>0</v>
      </c>
      <c r="E210" s="174" t="str">
        <f t="shared" si="51"/>
        <v/>
      </c>
      <c r="F210" s="174"/>
      <c r="G210" s="174" t="str">
        <f t="shared" si="42"/>
        <v/>
      </c>
      <c r="H210" s="174"/>
      <c r="I210" s="174" t="str">
        <f t="shared" si="41"/>
        <v/>
      </c>
      <c r="J210" s="174"/>
      <c r="K210" s="174" t="s">
        <v>71</v>
      </c>
      <c r="L210" s="174"/>
      <c r="M210" s="174" t="str">
        <f t="shared" si="53"/>
        <v/>
      </c>
      <c r="N210" s="174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4" t="str">
        <f t="shared" si="49"/>
        <v/>
      </c>
      <c r="Z210" s="174"/>
      <c r="AA210" s="174"/>
      <c r="AB210" s="174"/>
      <c r="AC210" s="212"/>
      <c r="AD210" s="212"/>
      <c r="AE210" s="206"/>
      <c r="AF210" s="206"/>
      <c r="AG210" s="206"/>
      <c r="AH210" s="206"/>
      <c r="AI210" s="206"/>
      <c r="AJ210" s="206"/>
      <c r="AK210" s="174"/>
      <c r="AL210" s="174"/>
      <c r="AM210" s="174"/>
      <c r="AN210" s="174"/>
      <c r="AO210" s="174"/>
      <c r="AP210" s="174"/>
      <c r="AQ210" s="174"/>
      <c r="AR210" s="174"/>
      <c r="AS210" s="174"/>
      <c r="AT210" s="174"/>
      <c r="AU210" s="174"/>
      <c r="AV210" s="174"/>
      <c r="AW210" s="174"/>
      <c r="AX210" s="191"/>
      <c r="AY210" s="11"/>
      <c r="AZ210" s="11"/>
      <c r="BA210" s="11"/>
      <c r="BB210" s="11"/>
      <c r="BC210" s="11"/>
      <c r="BD210" s="13"/>
      <c r="BE210" s="11" t="str">
        <f t="shared" si="43"/>
        <v>No</v>
      </c>
      <c r="BF210" s="22" t="str">
        <f t="shared" si="44"/>
        <v/>
      </c>
      <c r="BG210" s="11"/>
      <c r="BH210" s="11" t="str">
        <f t="shared" si="50"/>
        <v>No aplica</v>
      </c>
      <c r="BI210" s="12"/>
      <c r="BJ210" s="68"/>
    </row>
    <row r="211" spans="1:62" ht="18" customHeight="1" x14ac:dyDescent="0.3">
      <c r="A211" s="150"/>
      <c r="B211" s="43"/>
      <c r="C211" s="12">
        <v>46230</v>
      </c>
      <c r="D211" s="20">
        <f t="shared" si="48"/>
        <v>0</v>
      </c>
      <c r="E211" s="174" t="str">
        <f t="shared" si="51"/>
        <v/>
      </c>
      <c r="F211" s="174"/>
      <c r="G211" s="174" t="str">
        <f t="shared" si="42"/>
        <v/>
      </c>
      <c r="H211" s="174"/>
      <c r="I211" s="174" t="str">
        <f t="shared" si="41"/>
        <v/>
      </c>
      <c r="J211" s="174"/>
      <c r="K211" s="174" t="s">
        <v>71</v>
      </c>
      <c r="L211" s="174"/>
      <c r="M211" s="174" t="str">
        <f t="shared" si="53"/>
        <v/>
      </c>
      <c r="N211" s="174"/>
      <c r="O211" s="172"/>
      <c r="P211" s="172"/>
      <c r="Q211" s="172"/>
      <c r="R211" s="172"/>
      <c r="S211" s="172"/>
      <c r="T211" s="172"/>
      <c r="U211" s="172"/>
      <c r="V211" s="172"/>
      <c r="W211" s="174">
        <v>10</v>
      </c>
      <c r="X211" s="174">
        <v>20</v>
      </c>
      <c r="Y211" s="174" t="str">
        <f t="shared" si="49"/>
        <v/>
      </c>
      <c r="Z211" s="174"/>
      <c r="AA211" s="174"/>
      <c r="AB211" s="174"/>
      <c r="AC211" s="212"/>
      <c r="AD211" s="212"/>
      <c r="AE211" s="206"/>
      <c r="AF211" s="206"/>
      <c r="AG211" s="206"/>
      <c r="AH211" s="206"/>
      <c r="AI211" s="206"/>
      <c r="AJ211" s="206"/>
      <c r="AK211" s="174"/>
      <c r="AL211" s="174"/>
      <c r="AM211" s="174"/>
      <c r="AN211" s="174"/>
      <c r="AO211" s="174"/>
      <c r="AP211" s="174"/>
      <c r="AQ211" s="174"/>
      <c r="AR211" s="174"/>
      <c r="AS211" s="174"/>
      <c r="AT211" s="174"/>
      <c r="AU211" s="174"/>
      <c r="AV211" s="174"/>
      <c r="AW211" s="174"/>
      <c r="AX211" s="191"/>
      <c r="AY211" s="11"/>
      <c r="AZ211" s="11"/>
      <c r="BA211" s="11"/>
      <c r="BB211" s="11"/>
      <c r="BC211" s="11"/>
      <c r="BD211" s="13"/>
      <c r="BE211" s="11" t="str">
        <f t="shared" si="43"/>
        <v>Sí</v>
      </c>
      <c r="BF211" s="88" t="str">
        <f t="shared" si="44"/>
        <v>CPW12</v>
      </c>
      <c r="BG211" s="11" t="s">
        <v>47</v>
      </c>
      <c r="BH211" s="11" t="str">
        <f t="shared" si="50"/>
        <v>Ejecutado</v>
      </c>
      <c r="BI211" s="12">
        <v>46230</v>
      </c>
      <c r="BJ211" s="68" t="s">
        <v>144</v>
      </c>
    </row>
    <row r="212" spans="1:62" ht="18" customHeight="1" x14ac:dyDescent="0.3">
      <c r="A212" s="150"/>
      <c r="B212" s="43"/>
      <c r="C212" s="12">
        <v>46231</v>
      </c>
      <c r="D212" s="20">
        <f t="shared" si="48"/>
        <v>0</v>
      </c>
      <c r="E212" s="174" t="str">
        <f t="shared" si="51"/>
        <v/>
      </c>
      <c r="F212" s="174"/>
      <c r="G212" s="174" t="str">
        <f t="shared" si="42"/>
        <v/>
      </c>
      <c r="H212" s="174"/>
      <c r="I212" s="174" t="str">
        <f t="shared" si="41"/>
        <v/>
      </c>
      <c r="J212" s="174"/>
      <c r="K212" s="174" t="s">
        <v>71</v>
      </c>
      <c r="L212" s="174"/>
      <c r="M212" s="174" t="str">
        <f t="shared" si="53"/>
        <v/>
      </c>
      <c r="N212" s="174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4" t="str">
        <f t="shared" si="49"/>
        <v/>
      </c>
      <c r="Z212" s="174"/>
      <c r="AA212" s="174"/>
      <c r="AB212" s="174"/>
      <c r="AC212" s="212"/>
      <c r="AD212" s="212"/>
      <c r="AE212" s="206"/>
      <c r="AF212" s="206"/>
      <c r="AG212" s="206"/>
      <c r="AH212" s="206"/>
      <c r="AI212" s="206"/>
      <c r="AJ212" s="206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91"/>
      <c r="AY212" s="11"/>
      <c r="AZ212" s="11"/>
      <c r="BA212" s="11"/>
      <c r="BB212" s="11"/>
      <c r="BC212" s="11"/>
      <c r="BD212" s="13"/>
      <c r="BE212" s="11" t="str">
        <f t="shared" si="43"/>
        <v>No</v>
      </c>
      <c r="BF212" s="22" t="str">
        <f t="shared" si="44"/>
        <v/>
      </c>
      <c r="BG212" s="11"/>
      <c r="BH212" s="11" t="str">
        <f t="shared" si="50"/>
        <v>No aplica</v>
      </c>
      <c r="BI212" s="12"/>
      <c r="BJ212" s="68"/>
    </row>
    <row r="213" spans="1:62" ht="18" customHeight="1" x14ac:dyDescent="0.3">
      <c r="A213" s="150"/>
      <c r="B213" s="43"/>
      <c r="C213" s="12">
        <v>46232</v>
      </c>
      <c r="D213" s="20">
        <f t="shared" si="48"/>
        <v>0</v>
      </c>
      <c r="E213" s="174" t="str">
        <f t="shared" si="51"/>
        <v/>
      </c>
      <c r="F213" s="174"/>
      <c r="G213" s="174" t="str">
        <f t="shared" si="42"/>
        <v/>
      </c>
      <c r="H213" s="174"/>
      <c r="I213" s="174" t="str">
        <f t="shared" si="41"/>
        <v/>
      </c>
      <c r="J213" s="174"/>
      <c r="K213" s="174" t="s">
        <v>71</v>
      </c>
      <c r="L213" s="174"/>
      <c r="M213" s="174" t="str">
        <f t="shared" si="53"/>
        <v/>
      </c>
      <c r="N213" s="174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4" t="str">
        <f t="shared" si="49"/>
        <v/>
      </c>
      <c r="Z213" s="174"/>
      <c r="AA213" s="174"/>
      <c r="AB213" s="174"/>
      <c r="AC213" s="212"/>
      <c r="AD213" s="212"/>
      <c r="AE213" s="206"/>
      <c r="AF213" s="206"/>
      <c r="AG213" s="206"/>
      <c r="AH213" s="206"/>
      <c r="AI213" s="206"/>
      <c r="AJ213" s="206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4"/>
      <c r="AU213" s="174"/>
      <c r="AV213" s="174"/>
      <c r="AW213" s="174"/>
      <c r="AX213" s="191"/>
      <c r="AY213" s="11"/>
      <c r="AZ213" s="11"/>
      <c r="BA213" s="11"/>
      <c r="BB213" s="11"/>
      <c r="BC213" s="11"/>
      <c r="BD213" s="13"/>
      <c r="BE213" s="11" t="str">
        <f t="shared" si="43"/>
        <v>No</v>
      </c>
      <c r="BF213" s="22" t="str">
        <f t="shared" si="44"/>
        <v/>
      </c>
      <c r="BG213" s="11"/>
      <c r="BH213" s="11" t="str">
        <f t="shared" si="50"/>
        <v>No aplica</v>
      </c>
      <c r="BI213" s="12"/>
      <c r="BJ213" s="68"/>
    </row>
    <row r="214" spans="1:62" ht="42" customHeight="1" x14ac:dyDescent="0.3">
      <c r="A214" s="150"/>
      <c r="B214" s="43"/>
      <c r="C214" s="12">
        <v>46233</v>
      </c>
      <c r="D214" s="20">
        <f t="shared" si="48"/>
        <v>20</v>
      </c>
      <c r="E214" s="174"/>
      <c r="F214" s="174"/>
      <c r="G214" s="174" t="str">
        <f t="shared" si="42"/>
        <v/>
      </c>
      <c r="H214" s="174"/>
      <c r="I214" s="174" t="str">
        <f t="shared" si="41"/>
        <v/>
      </c>
      <c r="J214" s="174"/>
      <c r="K214" s="174" t="s">
        <v>71</v>
      </c>
      <c r="L214" s="174"/>
      <c r="M214" s="174">
        <v>10</v>
      </c>
      <c r="N214" s="174">
        <v>20</v>
      </c>
      <c r="O214" s="172"/>
      <c r="P214" s="172"/>
      <c r="Q214" s="172"/>
      <c r="R214" s="172"/>
      <c r="S214" s="178"/>
      <c r="T214" s="178"/>
      <c r="U214" s="172"/>
      <c r="V214" s="172"/>
      <c r="W214" s="172"/>
      <c r="X214" s="172"/>
      <c r="Y214" s="174"/>
      <c r="Z214" s="174"/>
      <c r="AA214" s="178"/>
      <c r="AB214" s="178"/>
      <c r="AC214" s="214"/>
      <c r="AD214" s="214"/>
      <c r="AE214" s="207"/>
      <c r="AF214" s="207"/>
      <c r="AG214" s="207"/>
      <c r="AH214" s="207"/>
      <c r="AI214" s="207"/>
      <c r="AJ214" s="207"/>
      <c r="AK214" s="178"/>
      <c r="AL214" s="178"/>
      <c r="AM214" s="178"/>
      <c r="AN214" s="178"/>
      <c r="AO214" s="178"/>
      <c r="AP214" s="178"/>
      <c r="AQ214" s="174"/>
      <c r="AR214" s="174"/>
      <c r="AS214" s="174"/>
      <c r="AT214" s="174"/>
      <c r="AU214" s="174"/>
      <c r="AV214" s="174"/>
      <c r="AW214" s="174"/>
      <c r="AX214" s="191"/>
      <c r="AY214" s="11"/>
      <c r="AZ214" s="11"/>
      <c r="BA214" s="11"/>
      <c r="BB214" s="11"/>
      <c r="BC214" s="11"/>
      <c r="BD214" s="13"/>
      <c r="BE214" s="11" t="str">
        <f t="shared" si="43"/>
        <v>Sí</v>
      </c>
      <c r="BF214" s="88" t="str">
        <f t="shared" si="44"/>
        <v>CPW05</v>
      </c>
      <c r="BG214" s="11" t="s">
        <v>47</v>
      </c>
      <c r="BH214" s="11" t="str">
        <f t="shared" si="50"/>
        <v>Ejecutado</v>
      </c>
      <c r="BI214" s="56">
        <v>46233</v>
      </c>
      <c r="BJ214" s="76" t="s">
        <v>124</v>
      </c>
    </row>
    <row r="215" spans="1:62" ht="27.6" customHeight="1" thickBot="1" x14ac:dyDescent="0.35">
      <c r="A215" s="151"/>
      <c r="B215" s="44"/>
      <c r="C215" s="30">
        <v>46234</v>
      </c>
      <c r="D215" s="31">
        <f t="shared" si="48"/>
        <v>0</v>
      </c>
      <c r="E215" s="182" t="str">
        <f t="shared" si="51"/>
        <v/>
      </c>
      <c r="F215" s="182"/>
      <c r="G215" s="182" t="str">
        <f t="shared" si="42"/>
        <v/>
      </c>
      <c r="H215" s="182"/>
      <c r="I215" s="182" t="str">
        <f t="shared" si="41"/>
        <v/>
      </c>
      <c r="J215" s="182"/>
      <c r="K215" s="182" t="s">
        <v>71</v>
      </c>
      <c r="L215" s="182"/>
      <c r="M215" s="182" t="str">
        <f t="shared" si="53"/>
        <v/>
      </c>
      <c r="N215" s="182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 t="str">
        <f t="shared" ref="Y215:Y222" si="54">IF(MOD(C215-$C$4,15)=0,8,"")</f>
        <v/>
      </c>
      <c r="Z215" s="179"/>
      <c r="AA215" s="182"/>
      <c r="AB215" s="182"/>
      <c r="AC215" s="215"/>
      <c r="AD215" s="215"/>
      <c r="AE215" s="216"/>
      <c r="AF215" s="216"/>
      <c r="AG215" s="216"/>
      <c r="AH215" s="216"/>
      <c r="AI215" s="216"/>
      <c r="AJ215" s="216"/>
      <c r="AK215" s="179"/>
      <c r="AL215" s="179"/>
      <c r="AM215" s="179"/>
      <c r="AN215" s="179"/>
      <c r="AO215" s="179"/>
      <c r="AP215" s="179"/>
      <c r="AQ215" s="182"/>
      <c r="AR215" s="182"/>
      <c r="AS215" s="182"/>
      <c r="AT215" s="182"/>
      <c r="AU215" s="182"/>
      <c r="AV215" s="182"/>
      <c r="AW215" s="182"/>
      <c r="AX215" s="199"/>
      <c r="AY215" s="70"/>
      <c r="AZ215" s="70"/>
      <c r="BA215" s="70"/>
      <c r="BB215" s="70"/>
      <c r="BC215" s="70"/>
      <c r="BD215" s="71"/>
      <c r="BE215" s="70" t="str">
        <f t="shared" si="43"/>
        <v>No</v>
      </c>
      <c r="BF215" s="91" t="str">
        <f t="shared" si="44"/>
        <v/>
      </c>
      <c r="BG215" s="70" t="s">
        <v>47</v>
      </c>
      <c r="BH215" s="70" t="str">
        <f t="shared" si="50"/>
        <v>No aplica</v>
      </c>
      <c r="BI215" s="30">
        <v>46234</v>
      </c>
      <c r="BJ215" s="73" t="s">
        <v>145</v>
      </c>
    </row>
    <row r="216" spans="1:62" ht="18" customHeight="1" x14ac:dyDescent="0.3">
      <c r="A216" s="148" t="s">
        <v>125</v>
      </c>
      <c r="B216" s="42"/>
      <c r="C216" s="15">
        <v>46235</v>
      </c>
      <c r="D216" s="27">
        <f t="shared" si="48"/>
        <v>0</v>
      </c>
      <c r="E216" s="170" t="str">
        <f t="shared" si="51"/>
        <v/>
      </c>
      <c r="F216" s="170"/>
      <c r="G216" s="170" t="str">
        <f t="shared" si="42"/>
        <v/>
      </c>
      <c r="H216" s="170"/>
      <c r="I216" s="170" t="str">
        <f t="shared" si="41"/>
        <v/>
      </c>
      <c r="J216" s="170"/>
      <c r="K216" s="170" t="s">
        <v>71</v>
      </c>
      <c r="L216" s="170"/>
      <c r="M216" s="170" t="str">
        <f t="shared" si="53"/>
        <v/>
      </c>
      <c r="N216" s="170"/>
      <c r="O216" s="168"/>
      <c r="P216" s="168"/>
      <c r="Q216" s="168"/>
      <c r="R216" s="168"/>
      <c r="S216" s="170"/>
      <c r="T216" s="170"/>
      <c r="U216" s="168"/>
      <c r="V216" s="168"/>
      <c r="W216" s="168"/>
      <c r="X216" s="168"/>
      <c r="Y216" s="168" t="str">
        <f t="shared" si="54"/>
        <v/>
      </c>
      <c r="Z216" s="168"/>
      <c r="AA216" s="168"/>
      <c r="AB216" s="168"/>
      <c r="AC216" s="211"/>
      <c r="AD216" s="211"/>
      <c r="AE216" s="210"/>
      <c r="AF216" s="210"/>
      <c r="AG216" s="210"/>
      <c r="AH216" s="210"/>
      <c r="AI216" s="210"/>
      <c r="AJ216" s="210"/>
      <c r="AK216" s="168"/>
      <c r="AL216" s="168"/>
      <c r="AM216" s="168"/>
      <c r="AN216" s="168"/>
      <c r="AO216" s="168"/>
      <c r="AP216" s="168"/>
      <c r="AQ216" s="170"/>
      <c r="AR216" s="170"/>
      <c r="AS216" s="170"/>
      <c r="AT216" s="170"/>
      <c r="AU216" s="170"/>
      <c r="AV216" s="170"/>
      <c r="AW216" s="170"/>
      <c r="AX216" s="201"/>
      <c r="AY216" s="14"/>
      <c r="AZ216" s="14"/>
      <c r="BA216" s="14"/>
      <c r="BB216" s="14"/>
      <c r="BC216" s="14"/>
      <c r="BD216" s="65"/>
      <c r="BE216" s="14" t="str">
        <f t="shared" si="43"/>
        <v>No</v>
      </c>
      <c r="BF216" s="21" t="str">
        <f t="shared" si="44"/>
        <v/>
      </c>
      <c r="BG216" s="14"/>
      <c r="BH216" s="14" t="str">
        <f t="shared" si="50"/>
        <v>No aplica</v>
      </c>
      <c r="BI216" s="15"/>
      <c r="BJ216" s="66"/>
    </row>
    <row r="217" spans="1:62" ht="18" customHeight="1" x14ac:dyDescent="0.3">
      <c r="A217" s="150"/>
      <c r="B217" s="43"/>
      <c r="C217" s="12">
        <v>46236</v>
      </c>
      <c r="D217" s="20">
        <f t="shared" si="48"/>
        <v>0</v>
      </c>
      <c r="E217" s="174" t="str">
        <f t="shared" si="51"/>
        <v/>
      </c>
      <c r="F217" s="174"/>
      <c r="G217" s="174" t="str">
        <f t="shared" si="42"/>
        <v/>
      </c>
      <c r="H217" s="174"/>
      <c r="I217" s="174" t="str">
        <f t="shared" si="41"/>
        <v/>
      </c>
      <c r="J217" s="174"/>
      <c r="K217" s="174" t="s">
        <v>71</v>
      </c>
      <c r="L217" s="174"/>
      <c r="M217" s="174" t="str">
        <f t="shared" si="53"/>
        <v/>
      </c>
      <c r="N217" s="174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 t="str">
        <f t="shared" si="54"/>
        <v/>
      </c>
      <c r="Z217" s="172"/>
      <c r="AA217" s="172"/>
      <c r="AB217" s="172"/>
      <c r="AC217" s="212"/>
      <c r="AD217" s="212"/>
      <c r="AE217" s="206"/>
      <c r="AF217" s="206"/>
      <c r="AG217" s="206"/>
      <c r="AH217" s="206"/>
      <c r="AI217" s="206"/>
      <c r="AJ217" s="206"/>
      <c r="AK217" s="172"/>
      <c r="AL217" s="172"/>
      <c r="AM217" s="172"/>
      <c r="AN217" s="172"/>
      <c r="AO217" s="172"/>
      <c r="AP217" s="172"/>
      <c r="AQ217" s="174"/>
      <c r="AR217" s="174"/>
      <c r="AS217" s="174"/>
      <c r="AT217" s="174"/>
      <c r="AU217" s="174"/>
      <c r="AV217" s="174"/>
      <c r="AW217" s="174"/>
      <c r="AX217" s="191"/>
      <c r="AY217" s="11"/>
      <c r="AZ217" s="11"/>
      <c r="BA217" s="11"/>
      <c r="BB217" s="11"/>
      <c r="BC217" s="11"/>
      <c r="BD217" s="13"/>
      <c r="BE217" s="11" t="str">
        <f t="shared" si="43"/>
        <v>No</v>
      </c>
      <c r="BF217" s="22" t="str">
        <f t="shared" si="44"/>
        <v/>
      </c>
      <c r="BG217" s="11"/>
      <c r="BH217" s="11" t="str">
        <f t="shared" si="50"/>
        <v>No aplica</v>
      </c>
      <c r="BI217" s="12"/>
      <c r="BJ217" s="68"/>
    </row>
    <row r="218" spans="1:62" ht="18" customHeight="1" x14ac:dyDescent="0.3">
      <c r="A218" s="150"/>
      <c r="B218" s="43"/>
      <c r="C218" s="12">
        <v>46237</v>
      </c>
      <c r="D218" s="20">
        <f t="shared" si="48"/>
        <v>0</v>
      </c>
      <c r="E218" s="174" t="str">
        <f t="shared" si="51"/>
        <v/>
      </c>
      <c r="F218" s="174"/>
      <c r="G218" s="174" t="str">
        <f t="shared" si="42"/>
        <v/>
      </c>
      <c r="H218" s="174"/>
      <c r="I218" s="174" t="str">
        <f t="shared" si="41"/>
        <v/>
      </c>
      <c r="J218" s="174"/>
      <c r="K218" s="174" t="s">
        <v>71</v>
      </c>
      <c r="L218" s="174"/>
      <c r="M218" s="174" t="str">
        <f t="shared" si="53"/>
        <v/>
      </c>
      <c r="N218" s="174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212"/>
      <c r="AD218" s="212"/>
      <c r="AE218" s="206"/>
      <c r="AF218" s="206"/>
      <c r="AG218" s="206"/>
      <c r="AH218" s="206"/>
      <c r="AI218" s="206"/>
      <c r="AJ218" s="206"/>
      <c r="AK218" s="172"/>
      <c r="AL218" s="172"/>
      <c r="AM218" s="172"/>
      <c r="AN218" s="172"/>
      <c r="AO218" s="172"/>
      <c r="AP218" s="172"/>
      <c r="AQ218" s="174"/>
      <c r="AR218" s="174"/>
      <c r="AS218" s="174"/>
      <c r="AT218" s="174"/>
      <c r="AU218" s="174"/>
      <c r="AV218" s="174"/>
      <c r="AW218" s="174"/>
      <c r="AX218" s="191"/>
      <c r="AY218" s="11"/>
      <c r="AZ218" s="11"/>
      <c r="BA218" s="11"/>
      <c r="BB218" s="11"/>
      <c r="BC218" s="11"/>
      <c r="BD218" s="13"/>
      <c r="BE218" s="11" t="str">
        <f t="shared" si="43"/>
        <v>No</v>
      </c>
      <c r="BF218" s="88" t="str">
        <f t="shared" si="44"/>
        <v/>
      </c>
      <c r="BG218" s="11" t="s">
        <v>47</v>
      </c>
      <c r="BH218" s="11" t="str">
        <f t="shared" si="50"/>
        <v>No aplica</v>
      </c>
      <c r="BI218" s="12">
        <v>46237</v>
      </c>
      <c r="BJ218" s="68" t="s">
        <v>146</v>
      </c>
    </row>
    <row r="219" spans="1:62" ht="28.8" customHeight="1" x14ac:dyDescent="0.3">
      <c r="A219" s="150"/>
      <c r="B219" s="43"/>
      <c r="C219" s="12">
        <v>46238</v>
      </c>
      <c r="D219" s="20">
        <f t="shared" si="48"/>
        <v>0</v>
      </c>
      <c r="E219" s="174" t="str">
        <f t="shared" si="51"/>
        <v/>
      </c>
      <c r="F219" s="174"/>
      <c r="G219" s="174" t="str">
        <f t="shared" si="42"/>
        <v/>
      </c>
      <c r="H219" s="174"/>
      <c r="I219" s="172"/>
      <c r="J219" s="172"/>
      <c r="K219" s="174" t="s">
        <v>71</v>
      </c>
      <c r="L219" s="174"/>
      <c r="M219" s="174" t="str">
        <f t="shared" si="53"/>
        <v/>
      </c>
      <c r="N219" s="174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 t="str">
        <f t="shared" si="54"/>
        <v/>
      </c>
      <c r="Z219" s="172"/>
      <c r="AA219" s="172"/>
      <c r="AB219" s="172"/>
      <c r="AC219" s="212"/>
      <c r="AD219" s="212"/>
      <c r="AE219" s="206"/>
      <c r="AF219" s="206"/>
      <c r="AG219" s="206"/>
      <c r="AH219" s="206"/>
      <c r="AI219" s="206"/>
      <c r="AJ219" s="206"/>
      <c r="AK219" s="172"/>
      <c r="AL219" s="172"/>
      <c r="AM219" s="172"/>
      <c r="AN219" s="172"/>
      <c r="AO219" s="172"/>
      <c r="AP219" s="172"/>
      <c r="AQ219" s="174"/>
      <c r="AR219" s="174"/>
      <c r="AS219" s="174"/>
      <c r="AT219" s="174"/>
      <c r="AU219" s="174"/>
      <c r="AV219" s="174"/>
      <c r="AW219" s="174"/>
      <c r="AX219" s="191"/>
      <c r="AY219" s="11"/>
      <c r="AZ219" s="11"/>
      <c r="BA219" s="11"/>
      <c r="BB219" s="11"/>
      <c r="BC219" s="11"/>
      <c r="BD219" s="13"/>
      <c r="BE219" s="11" t="str">
        <f t="shared" si="43"/>
        <v>No</v>
      </c>
      <c r="BF219" s="88" t="str">
        <f t="shared" si="44"/>
        <v/>
      </c>
      <c r="BG219" s="11" t="s">
        <v>47</v>
      </c>
      <c r="BH219" s="11" t="str">
        <f t="shared" si="50"/>
        <v>No aplica</v>
      </c>
      <c r="BI219" s="12">
        <v>46241</v>
      </c>
      <c r="BJ219" s="68" t="s">
        <v>147</v>
      </c>
    </row>
    <row r="220" spans="1:62" ht="36.6" customHeight="1" x14ac:dyDescent="0.3">
      <c r="A220" s="150"/>
      <c r="B220" s="43"/>
      <c r="C220" s="12">
        <v>46239</v>
      </c>
      <c r="D220" s="20">
        <f t="shared" si="48"/>
        <v>40</v>
      </c>
      <c r="E220" s="174" t="str">
        <f t="shared" si="51"/>
        <v/>
      </c>
      <c r="F220" s="174"/>
      <c r="G220" s="174" t="str">
        <f t="shared" si="42"/>
        <v/>
      </c>
      <c r="H220" s="174"/>
      <c r="I220" s="174" t="str">
        <f t="shared" si="41"/>
        <v/>
      </c>
      <c r="J220" s="174"/>
      <c r="K220" s="174" t="s">
        <v>71</v>
      </c>
      <c r="L220" s="174"/>
      <c r="M220" s="174" t="str">
        <f t="shared" si="53"/>
        <v/>
      </c>
      <c r="N220" s="174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 t="str">
        <f t="shared" si="54"/>
        <v/>
      </c>
      <c r="Z220" s="172"/>
      <c r="AA220" s="172">
        <v>10</v>
      </c>
      <c r="AB220" s="172">
        <v>20</v>
      </c>
      <c r="AC220" s="212"/>
      <c r="AD220" s="212"/>
      <c r="AE220" s="206"/>
      <c r="AF220" s="206"/>
      <c r="AG220" s="206"/>
      <c r="AH220" s="206"/>
      <c r="AI220" s="206"/>
      <c r="AJ220" s="206"/>
      <c r="AK220" s="174">
        <v>10</v>
      </c>
      <c r="AL220" s="174">
        <v>20</v>
      </c>
      <c r="AM220" s="172"/>
      <c r="AN220" s="172"/>
      <c r="AO220" s="172"/>
      <c r="AP220" s="172"/>
      <c r="AQ220" s="174"/>
      <c r="AR220" s="174"/>
      <c r="AS220" s="174"/>
      <c r="AT220" s="174"/>
      <c r="AU220" s="174"/>
      <c r="AV220" s="174"/>
      <c r="AW220" s="174"/>
      <c r="AX220" s="191"/>
      <c r="AY220" s="11"/>
      <c r="AZ220" s="11"/>
      <c r="BA220" s="11"/>
      <c r="BB220" s="11"/>
      <c r="BC220" s="11"/>
      <c r="BD220" s="13"/>
      <c r="BE220" s="11" t="str">
        <f t="shared" si="43"/>
        <v>Sí</v>
      </c>
      <c r="BF220" s="88" t="str">
        <f t="shared" si="44"/>
        <v>JINAN 02, G 101 V</v>
      </c>
      <c r="BG220" s="11" t="s">
        <v>84</v>
      </c>
      <c r="BH220" s="11" t="str">
        <f t="shared" si="50"/>
        <v>Programado pendiente</v>
      </c>
      <c r="BI220" s="12"/>
      <c r="BJ220" s="68" t="s">
        <v>147</v>
      </c>
    </row>
    <row r="221" spans="1:62" ht="18" customHeight="1" x14ac:dyDescent="0.3">
      <c r="A221" s="150"/>
      <c r="B221" s="43"/>
      <c r="C221" s="12">
        <v>46240</v>
      </c>
      <c r="D221" s="20">
        <f t="shared" si="48"/>
        <v>40</v>
      </c>
      <c r="E221" s="174" t="str">
        <f t="shared" si="51"/>
        <v/>
      </c>
      <c r="F221" s="174"/>
      <c r="G221" s="174" t="str">
        <f t="shared" si="42"/>
        <v/>
      </c>
      <c r="H221" s="174"/>
      <c r="I221" s="174" t="str">
        <f t="shared" ref="I221:I282" si="55">IF(MOD(C223-$C$30,42)=0,8,"")</f>
        <v/>
      </c>
      <c r="J221" s="174"/>
      <c r="K221" s="174" t="s">
        <v>71</v>
      </c>
      <c r="L221" s="174"/>
      <c r="M221" s="174" t="str">
        <f t="shared" si="53"/>
        <v/>
      </c>
      <c r="N221" s="174"/>
      <c r="O221" s="172">
        <v>10</v>
      </c>
      <c r="P221" s="172">
        <v>20</v>
      </c>
      <c r="Q221" s="172"/>
      <c r="R221" s="172"/>
      <c r="S221" s="172"/>
      <c r="T221" s="172"/>
      <c r="U221" s="172"/>
      <c r="V221" s="172"/>
      <c r="W221" s="172"/>
      <c r="X221" s="172"/>
      <c r="Y221" s="172" t="str">
        <f t="shared" si="54"/>
        <v/>
      </c>
      <c r="Z221" s="172"/>
      <c r="AA221" s="172"/>
      <c r="AB221" s="172"/>
      <c r="AC221" s="212"/>
      <c r="AD221" s="212"/>
      <c r="AE221" s="206"/>
      <c r="AF221" s="206"/>
      <c r="AG221" s="206"/>
      <c r="AH221" s="206"/>
      <c r="AI221" s="206"/>
      <c r="AJ221" s="206"/>
      <c r="AK221" s="172"/>
      <c r="AL221" s="172"/>
      <c r="AM221" s="174">
        <v>10</v>
      </c>
      <c r="AN221" s="174">
        <v>20</v>
      </c>
      <c r="AO221" s="172"/>
      <c r="AP221" s="172"/>
      <c r="AQ221" s="174"/>
      <c r="AR221" s="174"/>
      <c r="AS221" s="174"/>
      <c r="AT221" s="174"/>
      <c r="AU221" s="174"/>
      <c r="AV221" s="174"/>
      <c r="AW221" s="174"/>
      <c r="AX221" s="191"/>
      <c r="AY221" s="11"/>
      <c r="AZ221" s="11"/>
      <c r="BA221" s="11"/>
      <c r="BB221" s="11"/>
      <c r="BC221" s="11"/>
      <c r="BD221" s="13"/>
      <c r="BE221" s="11" t="str">
        <f t="shared" si="43"/>
        <v>Sí</v>
      </c>
      <c r="BF221" s="88" t="str">
        <f t="shared" si="44"/>
        <v>CPW06, G102 J</v>
      </c>
      <c r="BG221" s="11" t="s">
        <v>47</v>
      </c>
      <c r="BH221" s="11" t="str">
        <f t="shared" si="50"/>
        <v>Ejecutado</v>
      </c>
      <c r="BI221" s="12">
        <v>46240</v>
      </c>
      <c r="BJ221" s="68" t="s">
        <v>148</v>
      </c>
    </row>
    <row r="222" spans="1:62" ht="18" customHeight="1" x14ac:dyDescent="0.3">
      <c r="A222" s="150"/>
      <c r="B222" s="43"/>
      <c r="C222" s="12">
        <v>46241</v>
      </c>
      <c r="D222" s="20">
        <f t="shared" si="48"/>
        <v>40</v>
      </c>
      <c r="E222" s="174" t="str">
        <f t="shared" si="51"/>
        <v/>
      </c>
      <c r="F222" s="174"/>
      <c r="G222" s="174" t="str">
        <f t="shared" si="42"/>
        <v/>
      </c>
      <c r="H222" s="174"/>
      <c r="I222" s="174">
        <v>10</v>
      </c>
      <c r="J222" s="174">
        <v>20</v>
      </c>
      <c r="K222" s="174" t="s">
        <v>71</v>
      </c>
      <c r="L222" s="174"/>
      <c r="M222" s="174" t="str">
        <f t="shared" si="53"/>
        <v/>
      </c>
      <c r="N222" s="174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 t="str">
        <f t="shared" si="54"/>
        <v/>
      </c>
      <c r="Z222" s="172"/>
      <c r="AA222" s="172"/>
      <c r="AB222" s="172"/>
      <c r="AC222" s="212"/>
      <c r="AD222" s="212"/>
      <c r="AE222" s="206"/>
      <c r="AF222" s="206"/>
      <c r="AG222" s="206"/>
      <c r="AH222" s="206"/>
      <c r="AI222" s="206"/>
      <c r="AJ222" s="206"/>
      <c r="AK222" s="172"/>
      <c r="AL222" s="172"/>
      <c r="AM222" s="172"/>
      <c r="AN222" s="172"/>
      <c r="AO222" s="174">
        <v>10</v>
      </c>
      <c r="AP222" s="174">
        <v>20</v>
      </c>
      <c r="AQ222" s="174"/>
      <c r="AR222" s="174"/>
      <c r="AS222" s="174"/>
      <c r="AT222" s="174"/>
      <c r="AU222" s="174"/>
      <c r="AV222" s="174"/>
      <c r="AW222" s="174"/>
      <c r="AX222" s="191"/>
      <c r="AY222" s="11"/>
      <c r="AZ222" s="11"/>
      <c r="BA222" s="11"/>
      <c r="BB222" s="11"/>
      <c r="BC222" s="11"/>
      <c r="BD222" s="13"/>
      <c r="BE222" s="11" t="str">
        <f t="shared" si="43"/>
        <v>Sí</v>
      </c>
      <c r="BF222" s="88" t="str">
        <f t="shared" si="44"/>
        <v>CPW03, G102K</v>
      </c>
      <c r="BG222" s="11" t="s">
        <v>47</v>
      </c>
      <c r="BH222" s="11" t="str">
        <f t="shared" si="50"/>
        <v>Ejecutado</v>
      </c>
      <c r="BI222" s="12">
        <v>46241</v>
      </c>
      <c r="BJ222" s="68" t="s">
        <v>149</v>
      </c>
    </row>
    <row r="223" spans="1:62" ht="18" customHeight="1" x14ac:dyDescent="0.3">
      <c r="A223" s="150"/>
      <c r="B223" s="43"/>
      <c r="C223" s="12">
        <v>46242</v>
      </c>
      <c r="D223" s="20">
        <f t="shared" si="48"/>
        <v>0</v>
      </c>
      <c r="E223" s="174" t="str">
        <f t="shared" si="51"/>
        <v/>
      </c>
      <c r="F223" s="174"/>
      <c r="G223" s="174" t="str">
        <f t="shared" ref="G223:G286" si="56">IF(MOD(C223-$C$30,42)=0,8,"")</f>
        <v/>
      </c>
      <c r="H223" s="174"/>
      <c r="I223" s="174" t="str">
        <f t="shared" si="55"/>
        <v/>
      </c>
      <c r="J223" s="174"/>
      <c r="K223" s="174" t="s">
        <v>71</v>
      </c>
      <c r="L223" s="174"/>
      <c r="M223" s="174" t="str">
        <f t="shared" si="53"/>
        <v/>
      </c>
      <c r="N223" s="174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4" t="str">
        <f t="shared" si="49"/>
        <v/>
      </c>
      <c r="Z223" s="174"/>
      <c r="AA223" s="174"/>
      <c r="AB223" s="174"/>
      <c r="AC223" s="212"/>
      <c r="AD223" s="212"/>
      <c r="AE223" s="206"/>
      <c r="AF223" s="206"/>
      <c r="AG223" s="206"/>
      <c r="AH223" s="206"/>
      <c r="AI223" s="206"/>
      <c r="AJ223" s="206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91"/>
      <c r="AY223" s="11"/>
      <c r="AZ223" s="11"/>
      <c r="BA223" s="11"/>
      <c r="BB223" s="11"/>
      <c r="BC223" s="11"/>
      <c r="BD223" s="13"/>
      <c r="BE223" s="11" t="str">
        <f t="shared" si="43"/>
        <v>No</v>
      </c>
      <c r="BF223" s="22" t="str">
        <f t="shared" si="44"/>
        <v/>
      </c>
      <c r="BG223" s="11" t="s">
        <v>84</v>
      </c>
      <c r="BH223" s="11" t="str">
        <f t="shared" si="50"/>
        <v>No aplica</v>
      </c>
      <c r="BI223" s="12"/>
      <c r="BJ223" s="68"/>
    </row>
    <row r="224" spans="1:62" ht="18" customHeight="1" x14ac:dyDescent="0.3">
      <c r="A224" s="150"/>
      <c r="B224" s="43"/>
      <c r="C224" s="12">
        <v>46243</v>
      </c>
      <c r="D224" s="20">
        <f t="shared" si="48"/>
        <v>0</v>
      </c>
      <c r="E224" s="174" t="str">
        <f t="shared" si="51"/>
        <v/>
      </c>
      <c r="F224" s="174"/>
      <c r="G224" s="174" t="str">
        <f t="shared" si="56"/>
        <v/>
      </c>
      <c r="H224" s="174"/>
      <c r="I224" s="174" t="str">
        <f t="shared" si="55"/>
        <v/>
      </c>
      <c r="J224" s="174"/>
      <c r="K224" s="174" t="s">
        <v>71</v>
      </c>
      <c r="L224" s="174"/>
      <c r="M224" s="174" t="str">
        <f t="shared" si="53"/>
        <v/>
      </c>
      <c r="N224" s="174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4" t="str">
        <f t="shared" si="49"/>
        <v/>
      </c>
      <c r="Z224" s="174"/>
      <c r="AA224" s="174"/>
      <c r="AB224" s="174"/>
      <c r="AC224" s="212"/>
      <c r="AD224" s="212"/>
      <c r="AE224" s="206"/>
      <c r="AF224" s="206"/>
      <c r="AG224" s="206"/>
      <c r="AH224" s="206"/>
      <c r="AI224" s="206"/>
      <c r="AJ224" s="206"/>
      <c r="AK224" s="174"/>
      <c r="AL224" s="174"/>
      <c r="AM224" s="174"/>
      <c r="AN224" s="174"/>
      <c r="AO224" s="174"/>
      <c r="AP224" s="174"/>
      <c r="AQ224" s="174"/>
      <c r="AR224" s="174"/>
      <c r="AS224" s="174"/>
      <c r="AT224" s="174"/>
      <c r="AU224" s="174"/>
      <c r="AV224" s="174"/>
      <c r="AW224" s="174"/>
      <c r="AX224" s="191"/>
      <c r="AY224" s="11"/>
      <c r="AZ224" s="11"/>
      <c r="BA224" s="11"/>
      <c r="BB224" s="11"/>
      <c r="BC224" s="11"/>
      <c r="BD224" s="13"/>
      <c r="BE224" s="11" t="str">
        <f t="shared" si="43"/>
        <v>No</v>
      </c>
      <c r="BF224" s="22" t="str">
        <f t="shared" si="44"/>
        <v/>
      </c>
      <c r="BG224" s="11"/>
      <c r="BH224" s="11" t="str">
        <f t="shared" si="50"/>
        <v>No aplica</v>
      </c>
      <c r="BI224" s="12"/>
      <c r="BJ224" s="68"/>
    </row>
    <row r="225" spans="1:62" ht="18" customHeight="1" x14ac:dyDescent="0.3">
      <c r="A225" s="150"/>
      <c r="B225" s="43"/>
      <c r="C225" s="12">
        <v>46244</v>
      </c>
      <c r="D225" s="20">
        <f t="shared" si="48"/>
        <v>20</v>
      </c>
      <c r="E225" s="174"/>
      <c r="F225" s="174"/>
      <c r="G225" s="174" t="str">
        <f t="shared" si="56"/>
        <v/>
      </c>
      <c r="H225" s="174"/>
      <c r="I225" s="174" t="str">
        <f t="shared" si="55"/>
        <v/>
      </c>
      <c r="J225" s="174"/>
      <c r="K225" s="174" t="s">
        <v>71</v>
      </c>
      <c r="L225" s="174"/>
      <c r="M225" s="174" t="str">
        <f t="shared" si="53"/>
        <v/>
      </c>
      <c r="N225" s="174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4">
        <v>10</v>
      </c>
      <c r="Z225" s="174">
        <v>20</v>
      </c>
      <c r="AA225" s="174"/>
      <c r="AB225" s="174"/>
      <c r="AC225" s="212"/>
      <c r="AD225" s="212"/>
      <c r="AE225" s="206"/>
      <c r="AF225" s="206"/>
      <c r="AG225" s="206"/>
      <c r="AH225" s="206"/>
      <c r="AI225" s="206"/>
      <c r="AJ225" s="206"/>
      <c r="AK225" s="174"/>
      <c r="AL225" s="174"/>
      <c r="AM225" s="174"/>
      <c r="AN225" s="174"/>
      <c r="AO225" s="174"/>
      <c r="AP225" s="174"/>
      <c r="AQ225" s="174"/>
      <c r="AR225" s="174"/>
      <c r="AS225" s="174"/>
      <c r="AT225" s="174"/>
      <c r="AU225" s="174"/>
      <c r="AV225" s="174"/>
      <c r="AW225" s="174"/>
      <c r="AX225" s="191"/>
      <c r="AY225" s="11"/>
      <c r="AZ225" s="11"/>
      <c r="BA225" s="11"/>
      <c r="BB225" s="11"/>
      <c r="BC225" s="11"/>
      <c r="BD225" s="13"/>
      <c r="BE225" s="11" t="str">
        <f t="shared" si="43"/>
        <v>Sí</v>
      </c>
      <c r="BF225" s="22" t="str">
        <f t="shared" si="44"/>
        <v>JINAN 01</v>
      </c>
      <c r="BG225" s="11"/>
      <c r="BH225" s="11" t="str">
        <f t="shared" si="50"/>
        <v>Programado pendiente</v>
      </c>
      <c r="BI225" s="12"/>
      <c r="BJ225" s="68"/>
    </row>
    <row r="226" spans="1:62" ht="18" customHeight="1" x14ac:dyDescent="0.3">
      <c r="A226" s="150"/>
      <c r="B226" s="43"/>
      <c r="C226" s="12">
        <v>46245</v>
      </c>
      <c r="D226" s="20">
        <f t="shared" si="48"/>
        <v>0</v>
      </c>
      <c r="E226" s="174" t="str">
        <f t="shared" si="51"/>
        <v/>
      </c>
      <c r="F226" s="174"/>
      <c r="G226" s="174" t="str">
        <f t="shared" si="56"/>
        <v/>
      </c>
      <c r="H226" s="174"/>
      <c r="I226" s="174" t="str">
        <f t="shared" si="55"/>
        <v/>
      </c>
      <c r="J226" s="174"/>
      <c r="K226" s="174" t="s">
        <v>71</v>
      </c>
      <c r="L226" s="174"/>
      <c r="M226" s="174" t="str">
        <f t="shared" si="53"/>
        <v/>
      </c>
      <c r="N226" s="174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4" t="s">
        <v>71</v>
      </c>
      <c r="Z226" s="174"/>
      <c r="AA226" s="174"/>
      <c r="AB226" s="174"/>
      <c r="AC226" s="212"/>
      <c r="AD226" s="212"/>
      <c r="AE226" s="206"/>
      <c r="AF226" s="206"/>
      <c r="AG226" s="206"/>
      <c r="AH226" s="206"/>
      <c r="AI226" s="206"/>
      <c r="AJ226" s="206"/>
      <c r="AK226" s="174"/>
      <c r="AL226" s="174"/>
      <c r="AM226" s="174"/>
      <c r="AN226" s="174"/>
      <c r="AO226" s="174"/>
      <c r="AP226" s="174"/>
      <c r="AQ226" s="174"/>
      <c r="AR226" s="174"/>
      <c r="AS226" s="174"/>
      <c r="AT226" s="174"/>
      <c r="AU226" s="174"/>
      <c r="AV226" s="174"/>
      <c r="AW226" s="174"/>
      <c r="AX226" s="191"/>
      <c r="AY226" s="11"/>
      <c r="AZ226" s="11"/>
      <c r="BA226" s="11"/>
      <c r="BB226" s="11"/>
      <c r="BC226" s="11"/>
      <c r="BD226" s="13"/>
      <c r="BE226" s="11" t="str">
        <f t="shared" si="43"/>
        <v>No</v>
      </c>
      <c r="BF226" s="22" t="str">
        <f t="shared" si="44"/>
        <v/>
      </c>
      <c r="BG226" s="11"/>
      <c r="BH226" s="11" t="str">
        <f t="shared" si="50"/>
        <v>No aplica</v>
      </c>
      <c r="BI226" s="12"/>
      <c r="BJ226" s="68"/>
    </row>
    <row r="227" spans="1:62" ht="18" customHeight="1" x14ac:dyDescent="0.3">
      <c r="A227" s="150"/>
      <c r="B227" s="43"/>
      <c r="C227" s="12">
        <v>46246</v>
      </c>
      <c r="D227" s="20">
        <f t="shared" si="48"/>
        <v>0</v>
      </c>
      <c r="E227" s="174" t="str">
        <f t="shared" si="51"/>
        <v/>
      </c>
      <c r="F227" s="174"/>
      <c r="G227" s="174" t="str">
        <f t="shared" si="56"/>
        <v/>
      </c>
      <c r="H227" s="174"/>
      <c r="I227" s="174" t="str">
        <f t="shared" si="55"/>
        <v/>
      </c>
      <c r="J227" s="174"/>
      <c r="K227" s="174" t="s">
        <v>71</v>
      </c>
      <c r="L227" s="174"/>
      <c r="M227" s="174" t="str">
        <f t="shared" si="53"/>
        <v/>
      </c>
      <c r="N227" s="174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4" t="s">
        <v>71</v>
      </c>
      <c r="Z227" s="174"/>
      <c r="AA227" s="174"/>
      <c r="AB227" s="174"/>
      <c r="AC227" s="212"/>
      <c r="AD227" s="212"/>
      <c r="AE227" s="206"/>
      <c r="AF227" s="206"/>
      <c r="AG227" s="206"/>
      <c r="AH227" s="206"/>
      <c r="AI227" s="206"/>
      <c r="AJ227" s="206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4"/>
      <c r="AV227" s="174"/>
      <c r="AW227" s="174"/>
      <c r="AX227" s="191"/>
      <c r="AY227" s="11"/>
      <c r="AZ227" s="11"/>
      <c r="BA227" s="11"/>
      <c r="BB227" s="11"/>
      <c r="BC227" s="11"/>
      <c r="BD227" s="13"/>
      <c r="BE227" s="11" t="str">
        <f t="shared" si="43"/>
        <v>No</v>
      </c>
      <c r="BF227" s="22" t="str">
        <f t="shared" si="44"/>
        <v/>
      </c>
      <c r="BG227" s="11"/>
      <c r="BH227" s="11" t="str">
        <f t="shared" si="50"/>
        <v>No aplica</v>
      </c>
      <c r="BI227" s="12"/>
      <c r="BJ227" s="68"/>
    </row>
    <row r="228" spans="1:62" ht="18" customHeight="1" x14ac:dyDescent="0.3">
      <c r="A228" s="150"/>
      <c r="B228" s="43"/>
      <c r="C228" s="12">
        <v>46247</v>
      </c>
      <c r="D228" s="20">
        <f t="shared" si="48"/>
        <v>0</v>
      </c>
      <c r="E228" s="174" t="str">
        <f t="shared" si="51"/>
        <v/>
      </c>
      <c r="F228" s="174"/>
      <c r="G228" s="174" t="str">
        <f t="shared" si="56"/>
        <v/>
      </c>
      <c r="H228" s="174"/>
      <c r="I228" s="174" t="str">
        <f t="shared" si="55"/>
        <v/>
      </c>
      <c r="J228" s="174"/>
      <c r="K228" s="174" t="s">
        <v>71</v>
      </c>
      <c r="L228" s="174"/>
      <c r="M228" s="174" t="str">
        <f t="shared" si="53"/>
        <v/>
      </c>
      <c r="N228" s="174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4" t="s">
        <v>71</v>
      </c>
      <c r="Z228" s="174"/>
      <c r="AA228" s="174"/>
      <c r="AB228" s="174"/>
      <c r="AC228" s="212"/>
      <c r="AD228" s="212"/>
      <c r="AE228" s="206"/>
      <c r="AF228" s="206"/>
      <c r="AG228" s="206"/>
      <c r="AH228" s="206"/>
      <c r="AI228" s="206"/>
      <c r="AJ228" s="206"/>
      <c r="AK228" s="174"/>
      <c r="AL228" s="174"/>
      <c r="AM228" s="174"/>
      <c r="AN228" s="174"/>
      <c r="AO228" s="174"/>
      <c r="AP228" s="174"/>
      <c r="AQ228" s="174"/>
      <c r="AR228" s="174"/>
      <c r="AS228" s="174"/>
      <c r="AT228" s="174"/>
      <c r="AU228" s="174"/>
      <c r="AV228" s="174"/>
      <c r="AW228" s="174"/>
      <c r="AX228" s="191"/>
      <c r="AY228" s="11"/>
      <c r="AZ228" s="11"/>
      <c r="BA228" s="11"/>
      <c r="BB228" s="11"/>
      <c r="BC228" s="11"/>
      <c r="BD228" s="13"/>
      <c r="BE228" s="11" t="str">
        <f t="shared" ref="BE228:BE291" si="57">IF(SUM(E228,G228,I228,K228,M228,O228,Q228,S228,U228,W228,Y228,AA228,AC228,AE228,AG228,AI228,AK228,AM228,AO228,AQ228,AW228)&gt;0,"Sí","No")</f>
        <v>No</v>
      </c>
      <c r="BF228" s="22" t="str">
        <f t="shared" ref="BF228:BF291" si="58">IF($BE228="Sí",_xlfn.TEXTJOIN(", ",TRUE,IF(N(E228)&gt;0,E$3,""),IF(N(G228)&gt;0,G$3,""),IF(N(I228)&gt;0,I$3,""),IF(N(K228)&gt;0,K$3,""),IF(N(M228)&gt;0,M$3,""),IF(N(O228)&gt;0,O$3,""),IF(N(Q228)&gt;0,Q$3,""),IF(N(S228)&gt;0,S$3,""),IF(N(U228)&gt;0,U$3,""),IF(N(W228)&gt;0,W$3,""),IF(N(Y228)&gt;0,Y$3,""),IF(N(AA228)&gt;0,AA$3,""),IF(N(AC228)&gt;0,AC$3,""),IF(N(AE228)&gt;0,AE$3,""),IF(N(AG228)&gt;0,AG$3,""),IF(N(AI228)&gt;0,AI$3,""),IF(N(AK228)&gt;0,AK$3,""),IF(N(AM228)&gt;0,AM$3,""),IF(N(AO228)&gt;0,AO$3,""),IF(N(AQ228)&gt;0,AQ$3,""),IF(N(AW228)&gt;0,AW$3,"")),"")</f>
        <v/>
      </c>
      <c r="BG228" s="11"/>
      <c r="BH228" s="11" t="str">
        <f t="shared" si="50"/>
        <v>No aplica</v>
      </c>
      <c r="BI228" s="12"/>
      <c r="BJ228" s="68"/>
    </row>
    <row r="229" spans="1:62" ht="18" customHeight="1" x14ac:dyDescent="0.3">
      <c r="A229" s="150"/>
      <c r="B229" s="43"/>
      <c r="C229" s="12">
        <v>46248</v>
      </c>
      <c r="D229" s="20">
        <f t="shared" si="48"/>
        <v>0</v>
      </c>
      <c r="E229" s="174" t="str">
        <f t="shared" si="51"/>
        <v/>
      </c>
      <c r="F229" s="174"/>
      <c r="G229" s="174" t="str">
        <f t="shared" si="56"/>
        <v/>
      </c>
      <c r="H229" s="174"/>
      <c r="I229" s="174" t="str">
        <f t="shared" si="55"/>
        <v/>
      </c>
      <c r="J229" s="174"/>
      <c r="K229" s="174" t="s">
        <v>71</v>
      </c>
      <c r="L229" s="174"/>
      <c r="M229" s="174" t="str">
        <f t="shared" si="53"/>
        <v/>
      </c>
      <c r="N229" s="174"/>
      <c r="O229" s="172"/>
      <c r="P229" s="172"/>
      <c r="Q229" s="172"/>
      <c r="R229" s="172"/>
      <c r="S229" s="178"/>
      <c r="T229" s="178"/>
      <c r="U229" s="172"/>
      <c r="V229" s="172"/>
      <c r="W229" s="172"/>
      <c r="X229" s="172"/>
      <c r="Y229" s="174" t="s">
        <v>71</v>
      </c>
      <c r="Z229" s="174"/>
      <c r="AA229" s="178"/>
      <c r="AB229" s="178"/>
      <c r="AC229" s="214"/>
      <c r="AD229" s="214"/>
      <c r="AE229" s="207"/>
      <c r="AF229" s="207"/>
      <c r="AG229" s="207"/>
      <c r="AH229" s="207"/>
      <c r="AI229" s="207"/>
      <c r="AJ229" s="207"/>
      <c r="AK229" s="178"/>
      <c r="AL229" s="178"/>
      <c r="AM229" s="178"/>
      <c r="AN229" s="178"/>
      <c r="AO229" s="178"/>
      <c r="AP229" s="178"/>
      <c r="AQ229" s="174"/>
      <c r="AR229" s="174"/>
      <c r="AS229" s="174"/>
      <c r="AT229" s="174"/>
      <c r="AU229" s="174"/>
      <c r="AV229" s="174"/>
      <c r="AW229" s="174"/>
      <c r="AX229" s="191"/>
      <c r="AY229" s="11"/>
      <c r="AZ229" s="11"/>
      <c r="BA229" s="11"/>
      <c r="BB229" s="11"/>
      <c r="BC229" s="11"/>
      <c r="BD229" s="13"/>
      <c r="BE229" s="11" t="str">
        <f t="shared" si="57"/>
        <v>No</v>
      </c>
      <c r="BF229" s="22" t="str">
        <f t="shared" si="58"/>
        <v/>
      </c>
      <c r="BG229" s="11"/>
      <c r="BH229" s="11" t="str">
        <f t="shared" si="50"/>
        <v>No aplica</v>
      </c>
      <c r="BI229" s="12"/>
      <c r="BJ229" s="68"/>
    </row>
    <row r="230" spans="1:62" ht="18" customHeight="1" x14ac:dyDescent="0.3">
      <c r="A230" s="150"/>
      <c r="B230" s="43"/>
      <c r="C230" s="12">
        <v>46249</v>
      </c>
      <c r="D230" s="20">
        <f t="shared" si="48"/>
        <v>0</v>
      </c>
      <c r="E230" s="174" t="str">
        <f t="shared" si="51"/>
        <v/>
      </c>
      <c r="F230" s="174"/>
      <c r="G230" s="174" t="str">
        <f t="shared" si="56"/>
        <v/>
      </c>
      <c r="H230" s="174"/>
      <c r="I230" s="174" t="str">
        <f t="shared" si="55"/>
        <v/>
      </c>
      <c r="J230" s="174"/>
      <c r="K230" s="174" t="s">
        <v>71</v>
      </c>
      <c r="L230" s="174"/>
      <c r="M230" s="174" t="str">
        <f t="shared" si="53"/>
        <v/>
      </c>
      <c r="N230" s="174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 t="s">
        <v>71</v>
      </c>
      <c r="Z230" s="172"/>
      <c r="AA230" s="174"/>
      <c r="AB230" s="174"/>
      <c r="AC230" s="212"/>
      <c r="AD230" s="212"/>
      <c r="AE230" s="206"/>
      <c r="AF230" s="206"/>
      <c r="AG230" s="206"/>
      <c r="AH230" s="206"/>
      <c r="AI230" s="206"/>
      <c r="AJ230" s="206"/>
      <c r="AK230" s="172"/>
      <c r="AL230" s="172"/>
      <c r="AM230" s="172"/>
      <c r="AN230" s="172"/>
      <c r="AO230" s="172"/>
      <c r="AP230" s="172"/>
      <c r="AQ230" s="174"/>
      <c r="AR230" s="174"/>
      <c r="AS230" s="174"/>
      <c r="AT230" s="174"/>
      <c r="AU230" s="174"/>
      <c r="AV230" s="174"/>
      <c r="AW230" s="174"/>
      <c r="AX230" s="191"/>
      <c r="AY230" s="11"/>
      <c r="AZ230" s="11"/>
      <c r="BA230" s="11"/>
      <c r="BB230" s="11"/>
      <c r="BC230" s="11"/>
      <c r="BD230" s="13"/>
      <c r="BE230" s="11" t="str">
        <f t="shared" si="57"/>
        <v>No</v>
      </c>
      <c r="BF230" s="22" t="str">
        <f t="shared" si="58"/>
        <v/>
      </c>
      <c r="BG230" s="11" t="s">
        <v>84</v>
      </c>
      <c r="BH230" s="11" t="str">
        <f t="shared" si="50"/>
        <v>No aplica</v>
      </c>
      <c r="BI230" s="12" t="s">
        <v>195</v>
      </c>
      <c r="BJ230" s="68" t="s">
        <v>196</v>
      </c>
    </row>
    <row r="231" spans="1:62" ht="18" customHeight="1" x14ac:dyDescent="0.3">
      <c r="A231" s="150"/>
      <c r="B231" s="43"/>
      <c r="C231" s="12">
        <v>46250</v>
      </c>
      <c r="D231" s="20">
        <f t="shared" si="48"/>
        <v>0</v>
      </c>
      <c r="E231" s="174" t="str">
        <f t="shared" si="51"/>
        <v/>
      </c>
      <c r="F231" s="174"/>
      <c r="G231" s="174" t="str">
        <f t="shared" si="56"/>
        <v/>
      </c>
      <c r="H231" s="174"/>
      <c r="I231" s="174" t="str">
        <f t="shared" si="55"/>
        <v/>
      </c>
      <c r="J231" s="174"/>
      <c r="K231" s="174" t="s">
        <v>71</v>
      </c>
      <c r="L231" s="174"/>
      <c r="M231" s="174" t="str">
        <f t="shared" si="53"/>
        <v/>
      </c>
      <c r="N231" s="174"/>
      <c r="O231" s="172"/>
      <c r="P231" s="172"/>
      <c r="Q231" s="172"/>
      <c r="R231" s="172"/>
      <c r="S231" s="174">
        <v>10</v>
      </c>
      <c r="T231" s="174">
        <v>20</v>
      </c>
      <c r="U231" s="172"/>
      <c r="V231" s="172"/>
      <c r="W231" s="172"/>
      <c r="X231" s="172"/>
      <c r="Y231" s="172" t="s">
        <v>71</v>
      </c>
      <c r="Z231" s="172"/>
      <c r="AA231" s="172"/>
      <c r="AB231" s="172"/>
      <c r="AC231" s="212"/>
      <c r="AD231" s="212"/>
      <c r="AE231" s="206"/>
      <c r="AF231" s="206"/>
      <c r="AG231" s="206"/>
      <c r="AH231" s="206"/>
      <c r="AI231" s="206"/>
      <c r="AJ231" s="206"/>
      <c r="AK231" s="172"/>
      <c r="AL231" s="172"/>
      <c r="AM231" s="172"/>
      <c r="AN231" s="172"/>
      <c r="AO231" s="172"/>
      <c r="AP231" s="172"/>
      <c r="AQ231" s="174"/>
      <c r="AR231" s="174"/>
      <c r="AS231" s="174"/>
      <c r="AT231" s="174"/>
      <c r="AU231" s="174"/>
      <c r="AV231" s="174"/>
      <c r="AW231" s="174"/>
      <c r="AX231" s="191"/>
      <c r="AY231" s="11"/>
      <c r="AZ231" s="11"/>
      <c r="BA231" s="11"/>
      <c r="BB231" s="11"/>
      <c r="BC231" s="11"/>
      <c r="BD231" s="13"/>
      <c r="BE231" s="11" t="str">
        <f t="shared" si="57"/>
        <v>Sí</v>
      </c>
      <c r="BF231" s="22" t="str">
        <f t="shared" si="58"/>
        <v>CPW 10</v>
      </c>
      <c r="BG231" s="11" t="s">
        <v>47</v>
      </c>
      <c r="BH231" s="11" t="str">
        <f t="shared" si="50"/>
        <v>Ejecutado</v>
      </c>
      <c r="BI231" s="12">
        <v>46252</v>
      </c>
      <c r="BJ231" s="68" t="s">
        <v>194</v>
      </c>
    </row>
    <row r="232" spans="1:62" ht="31.8" customHeight="1" x14ac:dyDescent="0.3">
      <c r="A232" s="150"/>
      <c r="B232" s="43"/>
      <c r="C232" s="12">
        <v>46251</v>
      </c>
      <c r="D232" s="20">
        <f t="shared" si="48"/>
        <v>24</v>
      </c>
      <c r="E232" s="174" t="str">
        <f t="shared" si="51"/>
        <v/>
      </c>
      <c r="F232" s="174"/>
      <c r="G232" s="174" t="str">
        <f t="shared" si="56"/>
        <v/>
      </c>
      <c r="H232" s="174"/>
      <c r="I232" s="174" t="str">
        <f t="shared" si="55"/>
        <v/>
      </c>
      <c r="J232" s="174"/>
      <c r="K232" s="174" t="s">
        <v>71</v>
      </c>
      <c r="L232" s="174"/>
      <c r="M232" s="174" t="str">
        <f t="shared" si="53"/>
        <v/>
      </c>
      <c r="N232" s="174"/>
      <c r="O232" s="172"/>
      <c r="P232" s="172"/>
      <c r="Q232" s="172">
        <v>12</v>
      </c>
      <c r="R232" s="172">
        <v>24</v>
      </c>
      <c r="S232" s="172"/>
      <c r="T232" s="172"/>
      <c r="U232" s="172"/>
      <c r="V232" s="172"/>
      <c r="W232" s="172"/>
      <c r="X232" s="172"/>
      <c r="Y232" s="172" t="s">
        <v>71</v>
      </c>
      <c r="Z232" s="172"/>
      <c r="AA232" s="172"/>
      <c r="AB232" s="172"/>
      <c r="AC232" s="212"/>
      <c r="AD232" s="212"/>
      <c r="AE232" s="206"/>
      <c r="AF232" s="206"/>
      <c r="AG232" s="206"/>
      <c r="AH232" s="206"/>
      <c r="AI232" s="206"/>
      <c r="AJ232" s="206"/>
      <c r="AK232" s="172"/>
      <c r="AL232" s="172"/>
      <c r="AM232" s="172"/>
      <c r="AN232" s="172"/>
      <c r="AO232" s="172"/>
      <c r="AP232" s="172"/>
      <c r="AQ232" s="174"/>
      <c r="AR232" s="174"/>
      <c r="AS232" s="174"/>
      <c r="AT232" s="174"/>
      <c r="AU232" s="174"/>
      <c r="AV232" s="174"/>
      <c r="AW232" s="174"/>
      <c r="AX232" s="191"/>
      <c r="AY232" s="11"/>
      <c r="AZ232" s="11"/>
      <c r="BA232" s="11"/>
      <c r="BB232" s="11"/>
      <c r="BC232" s="11"/>
      <c r="BD232" s="13"/>
      <c r="BE232" s="11" t="str">
        <f t="shared" si="57"/>
        <v>Sí</v>
      </c>
      <c r="BF232" s="22" t="str">
        <f t="shared" si="58"/>
        <v>CPW07</v>
      </c>
      <c r="BG232" s="11" t="s">
        <v>47</v>
      </c>
      <c r="BH232" s="11" t="str">
        <f t="shared" si="50"/>
        <v>Ejecutado</v>
      </c>
      <c r="BI232" s="12">
        <v>46251</v>
      </c>
      <c r="BJ232" s="68" t="s">
        <v>187</v>
      </c>
    </row>
    <row r="233" spans="1:62" ht="18" customHeight="1" x14ac:dyDescent="0.3">
      <c r="A233" s="150"/>
      <c r="B233" s="43"/>
      <c r="C233" s="12">
        <v>46252</v>
      </c>
      <c r="D233" s="20">
        <f t="shared" si="48"/>
        <v>0</v>
      </c>
      <c r="E233" s="174" t="str">
        <f t="shared" si="51"/>
        <v/>
      </c>
      <c r="F233" s="174"/>
      <c r="G233" s="174"/>
      <c r="H233" s="174"/>
      <c r="I233" s="174" t="str">
        <f t="shared" si="55"/>
        <v/>
      </c>
      <c r="J233" s="174"/>
      <c r="K233" s="174" t="s">
        <v>71</v>
      </c>
      <c r="L233" s="174"/>
      <c r="M233" s="174" t="str">
        <f t="shared" si="53"/>
        <v/>
      </c>
      <c r="N233" s="174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 t="s">
        <v>71</v>
      </c>
      <c r="Z233" s="172"/>
      <c r="AA233" s="172"/>
      <c r="AB233" s="172"/>
      <c r="AC233" s="212"/>
      <c r="AD233" s="212"/>
      <c r="AE233" s="206"/>
      <c r="AF233" s="206"/>
      <c r="AG233" s="206"/>
      <c r="AH233" s="206"/>
      <c r="AI233" s="206"/>
      <c r="AJ233" s="206"/>
      <c r="AK233" s="172"/>
      <c r="AL233" s="172"/>
      <c r="AM233" s="172"/>
      <c r="AN233" s="172"/>
      <c r="AO233" s="172"/>
      <c r="AP233" s="172"/>
      <c r="AQ233" s="174"/>
      <c r="AR233" s="174"/>
      <c r="AS233" s="174"/>
      <c r="AT233" s="174"/>
      <c r="AU233" s="174"/>
      <c r="AV233" s="174"/>
      <c r="AW233" s="174"/>
      <c r="AX233" s="191"/>
      <c r="AY233" s="11"/>
      <c r="AZ233" s="11"/>
      <c r="BA233" s="11"/>
      <c r="BB233" s="11"/>
      <c r="BC233" s="11"/>
      <c r="BD233" s="13"/>
      <c r="BE233" s="11" t="str">
        <f t="shared" si="57"/>
        <v>No</v>
      </c>
      <c r="BF233" s="22" t="str">
        <f t="shared" si="58"/>
        <v/>
      </c>
      <c r="BG233" s="11"/>
      <c r="BH233" s="11" t="str">
        <f t="shared" si="50"/>
        <v>No aplica</v>
      </c>
      <c r="BI233" s="12"/>
      <c r="BJ233" s="68"/>
    </row>
    <row r="234" spans="1:62" ht="18" customHeight="1" x14ac:dyDescent="0.3">
      <c r="A234" s="150"/>
      <c r="B234" s="43"/>
      <c r="C234" s="12">
        <v>46253</v>
      </c>
      <c r="D234" s="20">
        <f t="shared" si="48"/>
        <v>20</v>
      </c>
      <c r="E234" s="174" t="str">
        <f t="shared" si="51"/>
        <v/>
      </c>
      <c r="F234" s="174"/>
      <c r="G234" s="174">
        <v>10</v>
      </c>
      <c r="H234" s="174">
        <v>20</v>
      </c>
      <c r="I234" s="174" t="str">
        <f t="shared" si="55"/>
        <v/>
      </c>
      <c r="J234" s="174"/>
      <c r="K234" s="174" t="s">
        <v>71</v>
      </c>
      <c r="L234" s="174"/>
      <c r="M234" s="174" t="str">
        <f t="shared" si="53"/>
        <v/>
      </c>
      <c r="N234" s="174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 t="s">
        <v>71</v>
      </c>
      <c r="Z234" s="172"/>
      <c r="AA234" s="172"/>
      <c r="AB234" s="172"/>
      <c r="AC234" s="212"/>
      <c r="AD234" s="212"/>
      <c r="AE234" s="206"/>
      <c r="AF234" s="206"/>
      <c r="AG234" s="206"/>
      <c r="AH234" s="206"/>
      <c r="AI234" s="206"/>
      <c r="AJ234" s="206"/>
      <c r="AK234" s="172"/>
      <c r="AL234" s="172"/>
      <c r="AM234" s="172"/>
      <c r="AN234" s="172"/>
      <c r="AO234" s="172"/>
      <c r="AP234" s="172"/>
      <c r="AQ234" s="174"/>
      <c r="AR234" s="174"/>
      <c r="AS234" s="174"/>
      <c r="AT234" s="174"/>
      <c r="AU234" s="174"/>
      <c r="AV234" s="174"/>
      <c r="AW234" s="174"/>
      <c r="AX234" s="191"/>
      <c r="AY234" s="11"/>
      <c r="AZ234" s="11"/>
      <c r="BA234" s="11"/>
      <c r="BB234" s="11"/>
      <c r="BC234" s="11"/>
      <c r="BD234" s="13"/>
      <c r="BE234" s="11" t="str">
        <f t="shared" si="57"/>
        <v>Sí</v>
      </c>
      <c r="BF234" s="22" t="str">
        <f t="shared" si="58"/>
        <v>CPW01</v>
      </c>
      <c r="BG234" s="11" t="s">
        <v>84</v>
      </c>
      <c r="BH234" s="11" t="str">
        <f t="shared" si="50"/>
        <v>Programado pendiente</v>
      </c>
      <c r="BI234" s="12"/>
      <c r="BJ234" s="68"/>
    </row>
    <row r="235" spans="1:62" ht="35.4" customHeight="1" x14ac:dyDescent="0.3">
      <c r="A235" s="150"/>
      <c r="B235" s="43"/>
      <c r="C235" s="12">
        <v>46254</v>
      </c>
      <c r="D235" s="20">
        <f t="shared" si="48"/>
        <v>20</v>
      </c>
      <c r="E235" s="174" t="str">
        <f t="shared" si="51"/>
        <v/>
      </c>
      <c r="F235" s="174"/>
      <c r="G235" s="174" t="s">
        <v>71</v>
      </c>
      <c r="H235" s="174"/>
      <c r="I235" s="174" t="str">
        <f t="shared" si="55"/>
        <v/>
      </c>
      <c r="J235" s="174"/>
      <c r="K235" s="174" t="s">
        <v>71</v>
      </c>
      <c r="L235" s="174"/>
      <c r="M235" s="174" t="str">
        <f t="shared" si="53"/>
        <v/>
      </c>
      <c r="N235" s="174"/>
      <c r="O235" s="172"/>
      <c r="P235" s="172"/>
      <c r="Q235" s="172"/>
      <c r="R235" s="172"/>
      <c r="S235" s="172"/>
      <c r="T235" s="172"/>
      <c r="U235" s="172"/>
      <c r="V235" s="172"/>
      <c r="W235" s="172">
        <v>12</v>
      </c>
      <c r="X235" s="172">
        <v>24</v>
      </c>
      <c r="Y235" s="172" t="s">
        <v>71</v>
      </c>
      <c r="Z235" s="172"/>
      <c r="AA235" s="172"/>
      <c r="AB235" s="172"/>
      <c r="AC235" s="212"/>
      <c r="AD235" s="212"/>
      <c r="AE235" s="206"/>
      <c r="AF235" s="206"/>
      <c r="AG235" s="206"/>
      <c r="AH235" s="206"/>
      <c r="AI235" s="206"/>
      <c r="AJ235" s="206"/>
      <c r="AK235" s="174">
        <v>10</v>
      </c>
      <c r="AL235" s="174">
        <v>20</v>
      </c>
      <c r="AM235" s="172"/>
      <c r="AN235" s="172"/>
      <c r="AO235" s="172"/>
      <c r="AP235" s="172"/>
      <c r="AQ235" s="174"/>
      <c r="AR235" s="174"/>
      <c r="AS235" s="174"/>
      <c r="AT235" s="174"/>
      <c r="AU235" s="174"/>
      <c r="AV235" s="174"/>
      <c r="AW235" s="174"/>
      <c r="AX235" s="191"/>
      <c r="AY235" s="11"/>
      <c r="AZ235" s="11"/>
      <c r="BA235" s="11"/>
      <c r="BB235" s="11"/>
      <c r="BC235" s="11"/>
      <c r="BD235" s="13"/>
      <c r="BE235" s="11" t="str">
        <f t="shared" si="57"/>
        <v>Sí</v>
      </c>
      <c r="BF235" s="22" t="str">
        <f t="shared" si="58"/>
        <v>CPW12, G 101 V</v>
      </c>
      <c r="BG235" s="11" t="s">
        <v>47</v>
      </c>
      <c r="BH235" s="11" t="str">
        <f t="shared" si="50"/>
        <v>Ejecutado</v>
      </c>
      <c r="BI235" s="12">
        <v>46254</v>
      </c>
      <c r="BJ235" s="68" t="s">
        <v>197</v>
      </c>
    </row>
    <row r="236" spans="1:62" ht="30" customHeight="1" x14ac:dyDescent="0.3">
      <c r="A236" s="150"/>
      <c r="B236" s="43"/>
      <c r="C236" s="12">
        <v>46255</v>
      </c>
      <c r="D236" s="20">
        <f t="shared" si="48"/>
        <v>20</v>
      </c>
      <c r="E236" s="174" t="str">
        <f t="shared" si="51"/>
        <v/>
      </c>
      <c r="F236" s="174"/>
      <c r="G236" s="174" t="s">
        <v>71</v>
      </c>
      <c r="H236" s="174"/>
      <c r="I236" s="174" t="str">
        <f t="shared" si="55"/>
        <v/>
      </c>
      <c r="J236" s="174"/>
      <c r="K236" s="174" t="s">
        <v>71</v>
      </c>
      <c r="L236" s="174"/>
      <c r="M236" s="174" t="str">
        <f t="shared" si="53"/>
        <v/>
      </c>
      <c r="N236" s="174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212"/>
      <c r="AD236" s="212"/>
      <c r="AE236" s="206"/>
      <c r="AF236" s="206"/>
      <c r="AG236" s="206"/>
      <c r="AH236" s="206"/>
      <c r="AI236" s="206"/>
      <c r="AJ236" s="206"/>
      <c r="AK236" s="172"/>
      <c r="AL236" s="172"/>
      <c r="AM236" s="174">
        <v>10</v>
      </c>
      <c r="AN236" s="174">
        <v>20</v>
      </c>
      <c r="AO236" s="172"/>
      <c r="AP236" s="172"/>
      <c r="AQ236" s="174"/>
      <c r="AR236" s="174"/>
      <c r="AS236" s="174"/>
      <c r="AT236" s="174"/>
      <c r="AU236" s="174"/>
      <c r="AV236" s="174"/>
      <c r="AW236" s="174"/>
      <c r="AX236" s="191"/>
      <c r="AY236" s="11"/>
      <c r="AZ236" s="11"/>
      <c r="BA236" s="11"/>
      <c r="BB236" s="11"/>
      <c r="BC236" s="11"/>
      <c r="BD236" s="13"/>
      <c r="BE236" s="11" t="str">
        <f t="shared" si="57"/>
        <v>Sí</v>
      </c>
      <c r="BF236" s="22" t="str">
        <f t="shared" si="58"/>
        <v>G102 J</v>
      </c>
      <c r="BG236" s="11" t="s">
        <v>84</v>
      </c>
      <c r="BH236" s="11" t="str">
        <f t="shared" si="50"/>
        <v>Programado pendiente</v>
      </c>
      <c r="BI236" s="12"/>
      <c r="BJ236" s="68" t="s">
        <v>143</v>
      </c>
    </row>
    <row r="237" spans="1:62" ht="27.6" customHeight="1" x14ac:dyDescent="0.3">
      <c r="A237" s="150"/>
      <c r="B237" s="43"/>
      <c r="C237" s="12">
        <v>46256</v>
      </c>
      <c r="D237" s="20">
        <f t="shared" si="48"/>
        <v>20</v>
      </c>
      <c r="E237" s="174" t="str">
        <f t="shared" si="51"/>
        <v/>
      </c>
      <c r="F237" s="174"/>
      <c r="G237" s="174" t="s">
        <v>71</v>
      </c>
      <c r="H237" s="174"/>
      <c r="I237" s="174" t="str">
        <f t="shared" si="55"/>
        <v/>
      </c>
      <c r="J237" s="174"/>
      <c r="K237" s="174" t="s">
        <v>71</v>
      </c>
      <c r="L237" s="174"/>
      <c r="M237" s="174" t="str">
        <f t="shared" si="53"/>
        <v/>
      </c>
      <c r="N237" s="174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 t="s">
        <v>71</v>
      </c>
      <c r="Z237" s="172"/>
      <c r="AA237" s="172"/>
      <c r="AB237" s="172"/>
      <c r="AC237" s="212"/>
      <c r="AD237" s="212"/>
      <c r="AE237" s="206"/>
      <c r="AF237" s="206"/>
      <c r="AG237" s="206"/>
      <c r="AH237" s="206"/>
      <c r="AI237" s="206"/>
      <c r="AJ237" s="206"/>
      <c r="AK237" s="172"/>
      <c r="AL237" s="172"/>
      <c r="AM237" s="172"/>
      <c r="AN237" s="172"/>
      <c r="AO237" s="174">
        <v>10</v>
      </c>
      <c r="AP237" s="174">
        <v>20</v>
      </c>
      <c r="AQ237" s="174"/>
      <c r="AR237" s="174"/>
      <c r="AS237" s="174"/>
      <c r="AT237" s="174"/>
      <c r="AU237" s="174"/>
      <c r="AV237" s="174"/>
      <c r="AW237" s="174"/>
      <c r="AX237" s="191"/>
      <c r="AY237" s="11"/>
      <c r="AZ237" s="11"/>
      <c r="BA237" s="11"/>
      <c r="BB237" s="11"/>
      <c r="BC237" s="11"/>
      <c r="BD237" s="13"/>
      <c r="BE237" s="11" t="str">
        <f t="shared" si="57"/>
        <v>Sí</v>
      </c>
      <c r="BF237" s="22" t="str">
        <f t="shared" si="58"/>
        <v>G102K</v>
      </c>
      <c r="BG237" s="11" t="s">
        <v>84</v>
      </c>
      <c r="BH237" s="11" t="str">
        <f t="shared" si="50"/>
        <v>Programado pendiente</v>
      </c>
      <c r="BI237" s="12"/>
      <c r="BJ237" s="68" t="s">
        <v>143</v>
      </c>
    </row>
    <row r="238" spans="1:62" ht="18" customHeight="1" x14ac:dyDescent="0.3">
      <c r="A238" s="150"/>
      <c r="B238" s="43"/>
      <c r="C238" s="12">
        <v>46257</v>
      </c>
      <c r="D238" s="20">
        <f t="shared" si="48"/>
        <v>0</v>
      </c>
      <c r="E238" s="174" t="str">
        <f t="shared" si="51"/>
        <v/>
      </c>
      <c r="F238" s="174"/>
      <c r="G238" s="174" t="s">
        <v>71</v>
      </c>
      <c r="H238" s="174"/>
      <c r="I238" s="174"/>
      <c r="J238" s="174"/>
      <c r="K238" s="174" t="s">
        <v>71</v>
      </c>
      <c r="L238" s="174"/>
      <c r="M238" s="174" t="str">
        <f t="shared" si="53"/>
        <v/>
      </c>
      <c r="N238" s="174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4" t="s">
        <v>71</v>
      </c>
      <c r="Z238" s="174"/>
      <c r="AA238" s="174"/>
      <c r="AB238" s="174"/>
      <c r="AC238" s="212"/>
      <c r="AD238" s="212"/>
      <c r="AE238" s="206"/>
      <c r="AF238" s="206"/>
      <c r="AG238" s="206"/>
      <c r="AH238" s="206"/>
      <c r="AI238" s="206"/>
      <c r="AJ238" s="206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91"/>
      <c r="AY238" s="11"/>
      <c r="AZ238" s="11"/>
      <c r="BA238" s="11"/>
      <c r="BB238" s="11"/>
      <c r="BC238" s="11"/>
      <c r="BD238" s="13"/>
      <c r="BE238" s="11" t="str">
        <f t="shared" si="57"/>
        <v>No</v>
      </c>
      <c r="BF238" s="22" t="str">
        <f t="shared" si="58"/>
        <v/>
      </c>
      <c r="BG238" s="11" t="s">
        <v>47</v>
      </c>
      <c r="BH238" s="11" t="str">
        <f t="shared" si="50"/>
        <v>No aplica</v>
      </c>
      <c r="BI238" s="12"/>
      <c r="BJ238" s="68"/>
    </row>
    <row r="239" spans="1:62" ht="18" customHeight="1" x14ac:dyDescent="0.3">
      <c r="A239" s="150"/>
      <c r="B239" s="43"/>
      <c r="C239" s="12">
        <v>46258</v>
      </c>
      <c r="D239" s="20">
        <f t="shared" si="48"/>
        <v>0</v>
      </c>
      <c r="E239" s="174" t="str">
        <f t="shared" si="51"/>
        <v/>
      </c>
      <c r="F239" s="174"/>
      <c r="G239" s="174" t="s">
        <v>71</v>
      </c>
      <c r="H239" s="174"/>
      <c r="I239" s="174" t="str">
        <f t="shared" si="55"/>
        <v/>
      </c>
      <c r="J239" s="174"/>
      <c r="K239" s="174" t="s">
        <v>71</v>
      </c>
      <c r="L239" s="174"/>
      <c r="M239" s="174" t="str">
        <f t="shared" si="53"/>
        <v/>
      </c>
      <c r="N239" s="174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4" t="s">
        <v>71</v>
      </c>
      <c r="Z239" s="174"/>
      <c r="AA239" s="174"/>
      <c r="AB239" s="174"/>
      <c r="AC239" s="212"/>
      <c r="AD239" s="212"/>
      <c r="AE239" s="206"/>
      <c r="AF239" s="206"/>
      <c r="AG239" s="206"/>
      <c r="AH239" s="206"/>
      <c r="AI239" s="206"/>
      <c r="AJ239" s="206"/>
      <c r="AK239" s="174"/>
      <c r="AL239" s="174"/>
      <c r="AM239" s="174"/>
      <c r="AN239" s="174"/>
      <c r="AO239" s="174"/>
      <c r="AP239" s="174"/>
      <c r="AQ239" s="174"/>
      <c r="AR239" s="174"/>
      <c r="AS239" s="174"/>
      <c r="AT239" s="174"/>
      <c r="AU239" s="174"/>
      <c r="AV239" s="174"/>
      <c r="AW239" s="174"/>
      <c r="AX239" s="191"/>
      <c r="AY239" s="11"/>
      <c r="AZ239" s="11"/>
      <c r="BA239" s="11"/>
      <c r="BB239" s="11"/>
      <c r="BC239" s="11"/>
      <c r="BD239" s="13"/>
      <c r="BE239" s="11" t="str">
        <f t="shared" si="57"/>
        <v>No</v>
      </c>
      <c r="BF239" s="22" t="str">
        <f t="shared" si="58"/>
        <v/>
      </c>
      <c r="BG239" s="11"/>
      <c r="BH239" s="11" t="str">
        <f t="shared" si="50"/>
        <v>No aplica</v>
      </c>
      <c r="BI239" s="12"/>
      <c r="BJ239" s="68"/>
    </row>
    <row r="240" spans="1:62" ht="18" customHeight="1" x14ac:dyDescent="0.3">
      <c r="A240" s="150"/>
      <c r="B240" s="43"/>
      <c r="C240" s="12">
        <v>46259</v>
      </c>
      <c r="D240" s="20">
        <f t="shared" si="48"/>
        <v>0</v>
      </c>
      <c r="E240" s="174" t="str">
        <f t="shared" si="51"/>
        <v/>
      </c>
      <c r="F240" s="174"/>
      <c r="G240" s="174" t="s">
        <v>71</v>
      </c>
      <c r="H240" s="174"/>
      <c r="I240" s="174" t="str">
        <f t="shared" si="55"/>
        <v/>
      </c>
      <c r="J240" s="174"/>
      <c r="K240" s="174" t="s">
        <v>71</v>
      </c>
      <c r="L240" s="174"/>
      <c r="M240" s="174" t="str">
        <f t="shared" si="53"/>
        <v/>
      </c>
      <c r="N240" s="174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4" t="s">
        <v>71</v>
      </c>
      <c r="Z240" s="174"/>
      <c r="AA240" s="174"/>
      <c r="AB240" s="174"/>
      <c r="AC240" s="212"/>
      <c r="AD240" s="212"/>
      <c r="AE240" s="206"/>
      <c r="AF240" s="206"/>
      <c r="AG240" s="206"/>
      <c r="AH240" s="206"/>
      <c r="AI240" s="206"/>
      <c r="AJ240" s="206"/>
      <c r="AK240" s="174"/>
      <c r="AL240" s="174"/>
      <c r="AM240" s="174"/>
      <c r="AN240" s="174"/>
      <c r="AO240" s="174"/>
      <c r="AP240" s="174"/>
      <c r="AQ240" s="174"/>
      <c r="AR240" s="174"/>
      <c r="AS240" s="174"/>
      <c r="AT240" s="174"/>
      <c r="AU240" s="174"/>
      <c r="AV240" s="174"/>
      <c r="AW240" s="174"/>
      <c r="AX240" s="191"/>
      <c r="AY240" s="11"/>
      <c r="AZ240" s="11"/>
      <c r="BA240" s="11"/>
      <c r="BB240" s="11"/>
      <c r="BC240" s="11"/>
      <c r="BD240" s="13"/>
      <c r="BE240" s="11" t="str">
        <f t="shared" si="57"/>
        <v>No</v>
      </c>
      <c r="BF240" s="22" t="str">
        <f t="shared" si="58"/>
        <v/>
      </c>
      <c r="BG240" s="11" t="s">
        <v>47</v>
      </c>
      <c r="BH240" s="11" t="str">
        <f t="shared" si="50"/>
        <v>No aplica</v>
      </c>
      <c r="BI240" s="12"/>
      <c r="BJ240" s="68"/>
    </row>
    <row r="241" spans="1:62" ht="18" customHeight="1" x14ac:dyDescent="0.3">
      <c r="A241" s="150"/>
      <c r="B241" s="43"/>
      <c r="C241" s="12">
        <v>46260</v>
      </c>
      <c r="D241" s="20">
        <f t="shared" si="48"/>
        <v>40</v>
      </c>
      <c r="E241" s="174" t="str">
        <f t="shared" si="51"/>
        <v/>
      </c>
      <c r="F241" s="174"/>
      <c r="G241" s="174" t="s">
        <v>71</v>
      </c>
      <c r="H241" s="174"/>
      <c r="I241" s="174" t="str">
        <f t="shared" si="55"/>
        <v/>
      </c>
      <c r="J241" s="174"/>
      <c r="K241" s="174" t="s">
        <v>71</v>
      </c>
      <c r="L241" s="174"/>
      <c r="M241" s="174" t="str">
        <f t="shared" si="53"/>
        <v/>
      </c>
      <c r="N241" s="174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4">
        <v>10</v>
      </c>
      <c r="Z241" s="174">
        <v>20</v>
      </c>
      <c r="AA241" s="174">
        <v>10</v>
      </c>
      <c r="AB241" s="174">
        <v>20</v>
      </c>
      <c r="AC241" s="212"/>
      <c r="AD241" s="212"/>
      <c r="AE241" s="206"/>
      <c r="AF241" s="206"/>
      <c r="AG241" s="206"/>
      <c r="AH241" s="206"/>
      <c r="AI241" s="206"/>
      <c r="AJ241" s="206"/>
      <c r="AK241" s="193"/>
      <c r="AL241" s="193"/>
      <c r="AM241" s="193"/>
      <c r="AN241" s="193"/>
      <c r="AO241" s="193"/>
      <c r="AP241" s="193"/>
      <c r="AQ241" s="174"/>
      <c r="AR241" s="174"/>
      <c r="AS241" s="174"/>
      <c r="AT241" s="174"/>
      <c r="AU241" s="174"/>
      <c r="AV241" s="174"/>
      <c r="AW241" s="174"/>
      <c r="AX241" s="191"/>
      <c r="AY241" s="11"/>
      <c r="AZ241" s="11"/>
      <c r="BA241" s="11"/>
      <c r="BB241" s="11"/>
      <c r="BC241" s="11"/>
      <c r="BD241" s="13"/>
      <c r="BE241" s="11" t="str">
        <f t="shared" si="57"/>
        <v>Sí</v>
      </c>
      <c r="BF241" s="22" t="str">
        <f t="shared" si="58"/>
        <v>JINAN 01, JINAN 02</v>
      </c>
      <c r="BG241" s="11" t="s">
        <v>47</v>
      </c>
      <c r="BH241" s="11" t="str">
        <f t="shared" si="50"/>
        <v>Ejecutado</v>
      </c>
      <c r="BI241" s="12"/>
      <c r="BJ241" s="68"/>
    </row>
    <row r="242" spans="1:62" ht="18" customHeight="1" x14ac:dyDescent="0.3">
      <c r="A242" s="150"/>
      <c r="B242" s="43"/>
      <c r="C242" s="12">
        <v>46261</v>
      </c>
      <c r="D242" s="20">
        <f t="shared" si="48"/>
        <v>0</v>
      </c>
      <c r="E242" s="174" t="str">
        <f t="shared" si="51"/>
        <v/>
      </c>
      <c r="F242" s="174"/>
      <c r="G242" s="174" t="s">
        <v>71</v>
      </c>
      <c r="H242" s="174"/>
      <c r="I242" s="174" t="str">
        <f t="shared" si="55"/>
        <v/>
      </c>
      <c r="J242" s="174"/>
      <c r="K242" s="174" t="s">
        <v>71</v>
      </c>
      <c r="L242" s="174"/>
      <c r="M242" s="174" t="str">
        <f t="shared" si="53"/>
        <v/>
      </c>
      <c r="N242" s="174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4" t="s">
        <v>71</v>
      </c>
      <c r="Z242" s="174"/>
      <c r="AA242" s="174"/>
      <c r="AB242" s="174"/>
      <c r="AC242" s="212"/>
      <c r="AD242" s="212"/>
      <c r="AE242" s="206"/>
      <c r="AF242" s="206"/>
      <c r="AG242" s="206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174"/>
      <c r="AR242" s="174"/>
      <c r="AS242" s="197">
        <v>4</v>
      </c>
      <c r="AT242" s="198">
        <v>8</v>
      </c>
      <c r="AU242" s="197">
        <v>4</v>
      </c>
      <c r="AV242" s="198">
        <v>8</v>
      </c>
      <c r="AW242" s="174"/>
      <c r="AX242" s="191"/>
      <c r="AY242" s="11"/>
      <c r="AZ242" s="11"/>
      <c r="BA242" s="11"/>
      <c r="BB242" s="11"/>
      <c r="BC242" s="11"/>
      <c r="BD242" s="13"/>
      <c r="BE242" s="11" t="str">
        <f t="shared" si="57"/>
        <v>No</v>
      </c>
      <c r="BF242" s="22" t="str">
        <f t="shared" si="58"/>
        <v/>
      </c>
      <c r="BG242" s="11"/>
      <c r="BH242" s="11" t="str">
        <f t="shared" si="50"/>
        <v>No aplica</v>
      </c>
      <c r="BI242" s="12"/>
      <c r="BJ242" s="68"/>
    </row>
    <row r="243" spans="1:62" ht="18" customHeight="1" x14ac:dyDescent="0.3">
      <c r="A243" s="150"/>
      <c r="B243" s="43"/>
      <c r="C243" s="12">
        <v>46262</v>
      </c>
      <c r="D243" s="20">
        <f t="shared" si="48"/>
        <v>0</v>
      </c>
      <c r="E243" s="174" t="str">
        <f t="shared" si="51"/>
        <v/>
      </c>
      <c r="F243" s="174"/>
      <c r="G243" s="174" t="s">
        <v>71</v>
      </c>
      <c r="H243" s="174"/>
      <c r="I243" s="174" t="str">
        <f t="shared" si="55"/>
        <v/>
      </c>
      <c r="J243" s="174"/>
      <c r="K243" s="174"/>
      <c r="L243" s="174"/>
      <c r="M243" s="174" t="str">
        <f t="shared" si="53"/>
        <v/>
      </c>
      <c r="N243" s="174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4" t="s">
        <v>71</v>
      </c>
      <c r="Z243" s="174"/>
      <c r="AA243" s="174"/>
      <c r="AB243" s="174"/>
      <c r="AC243" s="212"/>
      <c r="AD243" s="212"/>
      <c r="AE243" s="206"/>
      <c r="AF243" s="206"/>
      <c r="AG243" s="206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174"/>
      <c r="AR243" s="174"/>
      <c r="AS243" s="174"/>
      <c r="AT243" s="174"/>
      <c r="AU243" s="174"/>
      <c r="AV243" s="174"/>
      <c r="AW243" s="197">
        <v>4</v>
      </c>
      <c r="AX243" s="198">
        <v>8</v>
      </c>
      <c r="AY243" s="11"/>
      <c r="AZ243" s="11"/>
      <c r="BA243" s="11"/>
      <c r="BB243" s="11"/>
      <c r="BC243" s="11"/>
      <c r="BD243" s="13"/>
      <c r="BE243" s="11" t="str">
        <f t="shared" si="57"/>
        <v>Sí</v>
      </c>
      <c r="BF243" s="22" t="str">
        <f t="shared" si="58"/>
        <v>CYC</v>
      </c>
      <c r="BG243" s="11" t="s">
        <v>84</v>
      </c>
      <c r="BH243" s="11" t="str">
        <f t="shared" si="50"/>
        <v>Programado pendiente</v>
      </c>
      <c r="BI243" s="12"/>
      <c r="BJ243" s="68" t="s">
        <v>198</v>
      </c>
    </row>
    <row r="244" spans="1:62" ht="18" customHeight="1" x14ac:dyDescent="0.3">
      <c r="A244" s="150"/>
      <c r="B244" s="43"/>
      <c r="C244" s="12">
        <v>46263</v>
      </c>
      <c r="D244" s="20">
        <f t="shared" si="48"/>
        <v>0</v>
      </c>
      <c r="E244" s="174" t="str">
        <f t="shared" si="51"/>
        <v/>
      </c>
      <c r="F244" s="174"/>
      <c r="G244" s="174" t="s">
        <v>71</v>
      </c>
      <c r="H244" s="174"/>
      <c r="I244" s="174" t="str">
        <f t="shared" si="55"/>
        <v/>
      </c>
      <c r="J244" s="174"/>
      <c r="K244" s="174"/>
      <c r="L244" s="174"/>
      <c r="M244" s="174"/>
      <c r="N244" s="174"/>
      <c r="O244" s="172"/>
      <c r="P244" s="172"/>
      <c r="Q244" s="172"/>
      <c r="R244" s="172"/>
      <c r="S244" s="178"/>
      <c r="T244" s="178"/>
      <c r="U244" s="172"/>
      <c r="V244" s="172"/>
      <c r="W244" s="172"/>
      <c r="X244" s="172"/>
      <c r="Y244" s="174" t="s">
        <v>71</v>
      </c>
      <c r="Z244" s="174"/>
      <c r="AA244" s="178"/>
      <c r="AB244" s="178"/>
      <c r="AC244" s="214"/>
      <c r="AD244" s="214"/>
      <c r="AE244" s="207"/>
      <c r="AF244" s="207"/>
      <c r="AG244" s="207"/>
      <c r="AH244" s="207"/>
      <c r="AI244" s="207"/>
      <c r="AJ244" s="207"/>
      <c r="AK244" s="207"/>
      <c r="AL244" s="207"/>
      <c r="AM244" s="207"/>
      <c r="AN244" s="207"/>
      <c r="AO244" s="207"/>
      <c r="AP244" s="207"/>
      <c r="AQ244" s="174"/>
      <c r="AR244" s="174"/>
      <c r="AS244" s="174"/>
      <c r="AT244" s="174"/>
      <c r="AU244" s="174"/>
      <c r="AV244" s="174"/>
      <c r="AW244" s="174"/>
      <c r="AX244" s="191"/>
      <c r="AY244" s="11"/>
      <c r="AZ244" s="11"/>
      <c r="BA244" s="11"/>
      <c r="BB244" s="11"/>
      <c r="BC244" s="11"/>
      <c r="BD244" s="13"/>
      <c r="BE244" s="11" t="str">
        <f t="shared" si="57"/>
        <v>No</v>
      </c>
      <c r="BF244" s="22" t="str">
        <f t="shared" si="58"/>
        <v/>
      </c>
      <c r="BG244" s="11"/>
      <c r="BH244" s="11" t="str">
        <f t="shared" si="50"/>
        <v>No aplica</v>
      </c>
      <c r="BI244" s="12"/>
      <c r="BJ244" s="68"/>
    </row>
    <row r="245" spans="1:62" ht="18" customHeight="1" x14ac:dyDescent="0.3">
      <c r="A245" s="150"/>
      <c r="B245" s="43"/>
      <c r="C245" s="12">
        <v>46264</v>
      </c>
      <c r="D245" s="20">
        <f t="shared" si="48"/>
        <v>0</v>
      </c>
      <c r="E245" s="174" t="str">
        <f t="shared" si="51"/>
        <v/>
      </c>
      <c r="F245" s="174"/>
      <c r="G245" s="174" t="s">
        <v>71</v>
      </c>
      <c r="H245" s="174"/>
      <c r="I245" s="174" t="str">
        <f t="shared" si="55"/>
        <v/>
      </c>
      <c r="J245" s="174"/>
      <c r="K245" s="174" t="s">
        <v>71</v>
      </c>
      <c r="L245" s="174"/>
      <c r="M245" s="174" t="str">
        <f t="shared" si="53"/>
        <v/>
      </c>
      <c r="N245" s="174"/>
      <c r="O245" s="172"/>
      <c r="P245" s="172"/>
      <c r="Q245" s="172"/>
      <c r="R245" s="172"/>
      <c r="S245" s="172"/>
      <c r="T245" s="172"/>
      <c r="U245" s="172">
        <v>12</v>
      </c>
      <c r="V245" s="172">
        <v>24</v>
      </c>
      <c r="W245" s="172"/>
      <c r="X245" s="172"/>
      <c r="Y245" s="172" t="s">
        <v>71</v>
      </c>
      <c r="Z245" s="172"/>
      <c r="AA245" s="174"/>
      <c r="AB245" s="174"/>
      <c r="AC245" s="212"/>
      <c r="AD245" s="212"/>
      <c r="AE245" s="206"/>
      <c r="AF245" s="206"/>
      <c r="AG245" s="206"/>
      <c r="AH245" s="206"/>
      <c r="AI245" s="206"/>
      <c r="AJ245" s="206"/>
      <c r="AK245" s="206"/>
      <c r="AL245" s="206"/>
      <c r="AM245" s="206"/>
      <c r="AN245" s="206"/>
      <c r="AO245" s="206"/>
      <c r="AP245" s="206"/>
      <c r="AQ245" s="174"/>
      <c r="AR245" s="174"/>
      <c r="AS245" s="174"/>
      <c r="AT245" s="174"/>
      <c r="AU245" s="174"/>
      <c r="AV245" s="174"/>
      <c r="AW245" s="174"/>
      <c r="AX245" s="191"/>
      <c r="AY245" s="11"/>
      <c r="AZ245" s="11"/>
      <c r="BA245" s="11"/>
      <c r="BB245" s="11"/>
      <c r="BC245" s="11"/>
      <c r="BD245" s="13"/>
      <c r="BE245" s="11" t="str">
        <f t="shared" si="57"/>
        <v>Sí</v>
      </c>
      <c r="BF245" s="22" t="str">
        <f t="shared" si="58"/>
        <v>CPW11</v>
      </c>
      <c r="BG245" s="11"/>
      <c r="BH245" s="11" t="str">
        <f t="shared" si="50"/>
        <v>Programado pendiente</v>
      </c>
      <c r="BI245" s="12"/>
      <c r="BJ245" s="68"/>
    </row>
    <row r="246" spans="1:62" ht="18" customHeight="1" thickBot="1" x14ac:dyDescent="0.35">
      <c r="A246" s="151"/>
      <c r="B246" s="44"/>
      <c r="C246" s="30">
        <v>46265</v>
      </c>
      <c r="D246" s="31">
        <f t="shared" si="48"/>
        <v>20</v>
      </c>
      <c r="E246" s="182">
        <v>10</v>
      </c>
      <c r="F246" s="182">
        <v>20</v>
      </c>
      <c r="G246" s="182" t="s">
        <v>71</v>
      </c>
      <c r="H246" s="182"/>
      <c r="I246" s="182" t="str">
        <f t="shared" si="55"/>
        <v/>
      </c>
      <c r="J246" s="182"/>
      <c r="K246" s="182" t="s">
        <v>71</v>
      </c>
      <c r="L246" s="182"/>
      <c r="M246" s="182" t="str">
        <f t="shared" si="53"/>
        <v/>
      </c>
      <c r="N246" s="182"/>
      <c r="O246" s="179"/>
      <c r="P246" s="179"/>
      <c r="Q246" s="179"/>
      <c r="R246" s="179"/>
      <c r="S246" s="182"/>
      <c r="T246" s="182"/>
      <c r="U246" s="179"/>
      <c r="V246" s="179"/>
      <c r="W246" s="179"/>
      <c r="X246" s="179"/>
      <c r="Y246" s="179" t="s">
        <v>71</v>
      </c>
      <c r="Z246" s="179"/>
      <c r="AA246" s="179"/>
      <c r="AB246" s="179"/>
      <c r="AC246" s="215"/>
      <c r="AD246" s="215"/>
      <c r="AE246" s="216"/>
      <c r="AF246" s="216"/>
      <c r="AG246" s="216"/>
      <c r="AH246" s="216"/>
      <c r="AI246" s="216"/>
      <c r="AJ246" s="216"/>
      <c r="AK246" s="216"/>
      <c r="AL246" s="216"/>
      <c r="AM246" s="216"/>
      <c r="AN246" s="216"/>
      <c r="AO246" s="216"/>
      <c r="AP246" s="216"/>
      <c r="AQ246" s="182"/>
      <c r="AR246" s="182"/>
      <c r="AS246" s="182"/>
      <c r="AT246" s="182"/>
      <c r="AU246" s="182"/>
      <c r="AV246" s="182"/>
      <c r="AW246" s="182"/>
      <c r="AX246" s="199"/>
      <c r="AY246" s="70"/>
      <c r="AZ246" s="70"/>
      <c r="BA246" s="70"/>
      <c r="BB246" s="70"/>
      <c r="BC246" s="70"/>
      <c r="BD246" s="71"/>
      <c r="BE246" s="70" t="str">
        <f t="shared" si="57"/>
        <v>Sí</v>
      </c>
      <c r="BF246" s="72" t="str">
        <f t="shared" si="58"/>
        <v xml:space="preserve">CPW02
</v>
      </c>
      <c r="BG246" s="70"/>
      <c r="BH246" s="70" t="str">
        <f t="shared" si="50"/>
        <v>Programado pendiente</v>
      </c>
      <c r="BI246" s="30"/>
      <c r="BJ246" s="73"/>
    </row>
    <row r="247" spans="1:62" ht="18" customHeight="1" x14ac:dyDescent="0.3">
      <c r="A247" s="148" t="s">
        <v>65</v>
      </c>
      <c r="B247" s="42"/>
      <c r="C247" s="15">
        <v>46266</v>
      </c>
      <c r="D247" s="27">
        <f t="shared" si="48"/>
        <v>0</v>
      </c>
      <c r="E247" s="170" t="str">
        <f t="shared" si="51"/>
        <v/>
      </c>
      <c r="F247" s="170"/>
      <c r="G247" s="170" t="s">
        <v>71</v>
      </c>
      <c r="H247" s="170"/>
      <c r="I247" s="170" t="str">
        <f t="shared" si="55"/>
        <v/>
      </c>
      <c r="J247" s="170"/>
      <c r="K247" s="170" t="s">
        <v>71</v>
      </c>
      <c r="L247" s="170"/>
      <c r="M247" s="170" t="str">
        <f t="shared" si="53"/>
        <v/>
      </c>
      <c r="N247" s="170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 t="s">
        <v>71</v>
      </c>
      <c r="Z247" s="168"/>
      <c r="AA247" s="168"/>
      <c r="AB247" s="168"/>
      <c r="AC247" s="211"/>
      <c r="AD247" s="211"/>
      <c r="AE247" s="210"/>
      <c r="AF247" s="210"/>
      <c r="AG247" s="210"/>
      <c r="AH247" s="210"/>
      <c r="AI247" s="210"/>
      <c r="AJ247" s="210"/>
      <c r="AK247" s="210"/>
      <c r="AL247" s="210"/>
      <c r="AM247" s="210"/>
      <c r="AN247" s="210"/>
      <c r="AO247" s="210"/>
      <c r="AP247" s="210"/>
      <c r="AQ247" s="170"/>
      <c r="AR247" s="170"/>
      <c r="AS247" s="170"/>
      <c r="AT247" s="170"/>
      <c r="AU247" s="170"/>
      <c r="AV247" s="170"/>
      <c r="AW247" s="170"/>
      <c r="AX247" s="201"/>
      <c r="AY247" s="14"/>
      <c r="AZ247" s="14"/>
      <c r="BA247" s="14"/>
      <c r="BB247" s="14"/>
      <c r="BC247" s="14"/>
      <c r="BD247" s="65"/>
      <c r="BE247" s="14" t="str">
        <f t="shared" si="57"/>
        <v>No</v>
      </c>
      <c r="BF247" s="21" t="str">
        <f t="shared" si="58"/>
        <v/>
      </c>
      <c r="BG247" s="14"/>
      <c r="BH247" s="14" t="str">
        <f t="shared" si="50"/>
        <v>No aplica</v>
      </c>
      <c r="BI247" s="15"/>
      <c r="BJ247" s="66"/>
    </row>
    <row r="248" spans="1:62" ht="18" customHeight="1" x14ac:dyDescent="0.3">
      <c r="A248" s="150"/>
      <c r="B248" s="43"/>
      <c r="C248" s="12">
        <v>46267</v>
      </c>
      <c r="D248" s="20">
        <f t="shared" si="48"/>
        <v>0</v>
      </c>
      <c r="E248" s="174" t="str">
        <f t="shared" si="51"/>
        <v/>
      </c>
      <c r="F248" s="174"/>
      <c r="G248" s="174"/>
      <c r="H248" s="174"/>
      <c r="I248" s="174" t="str">
        <f t="shared" si="55"/>
        <v/>
      </c>
      <c r="J248" s="174"/>
      <c r="K248" s="174" t="s">
        <v>71</v>
      </c>
      <c r="L248" s="174"/>
      <c r="M248" s="174" t="str">
        <f t="shared" si="53"/>
        <v/>
      </c>
      <c r="N248" s="174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 t="s">
        <v>71</v>
      </c>
      <c r="Z248" s="172"/>
      <c r="AA248" s="172"/>
      <c r="AB248" s="172"/>
      <c r="AC248" s="212"/>
      <c r="AD248" s="212"/>
      <c r="AE248" s="206"/>
      <c r="AF248" s="206"/>
      <c r="AG248" s="206"/>
      <c r="AH248" s="206"/>
      <c r="AI248" s="206"/>
      <c r="AJ248" s="206"/>
      <c r="AK248" s="206"/>
      <c r="AL248" s="206"/>
      <c r="AM248" s="206"/>
      <c r="AN248" s="206"/>
      <c r="AO248" s="206"/>
      <c r="AP248" s="206"/>
      <c r="AQ248" s="174"/>
      <c r="AR248" s="174"/>
      <c r="AS248" s="174"/>
      <c r="AT248" s="174"/>
      <c r="AU248" s="174"/>
      <c r="AV248" s="174"/>
      <c r="AW248" s="174"/>
      <c r="AX248" s="191"/>
      <c r="AY248" s="11"/>
      <c r="AZ248" s="11"/>
      <c r="BA248" s="11"/>
      <c r="BB248" s="11"/>
      <c r="BC248" s="11"/>
      <c r="BD248" s="13"/>
      <c r="BE248" s="11" t="str">
        <f t="shared" si="57"/>
        <v>No</v>
      </c>
      <c r="BF248" s="22" t="str">
        <f t="shared" si="58"/>
        <v/>
      </c>
      <c r="BG248" s="11"/>
      <c r="BH248" s="11" t="str">
        <f t="shared" si="50"/>
        <v>No aplica</v>
      </c>
      <c r="BI248" s="12"/>
      <c r="BJ248" s="68"/>
    </row>
    <row r="249" spans="1:62" ht="18" customHeight="1" x14ac:dyDescent="0.3">
      <c r="A249" s="150"/>
      <c r="B249" s="43"/>
      <c r="C249" s="12">
        <v>46268</v>
      </c>
      <c r="D249" s="20">
        <f t="shared" si="48"/>
        <v>0</v>
      </c>
      <c r="E249" s="174" t="str">
        <f t="shared" si="51"/>
        <v/>
      </c>
      <c r="F249" s="174"/>
      <c r="G249" s="174" t="s">
        <v>71</v>
      </c>
      <c r="H249" s="174"/>
      <c r="I249" s="174" t="str">
        <f t="shared" si="55"/>
        <v/>
      </c>
      <c r="J249" s="174"/>
      <c r="K249" s="174" t="s">
        <v>71</v>
      </c>
      <c r="L249" s="174"/>
      <c r="M249" s="174" t="str">
        <f t="shared" si="53"/>
        <v/>
      </c>
      <c r="N249" s="174"/>
      <c r="O249" s="172"/>
      <c r="P249" s="172"/>
      <c r="Q249" s="172"/>
      <c r="R249" s="172"/>
      <c r="S249" s="172">
        <v>10</v>
      </c>
      <c r="T249" s="172">
        <v>20</v>
      </c>
      <c r="U249" s="172"/>
      <c r="V249" s="172"/>
      <c r="W249" s="172"/>
      <c r="X249" s="172"/>
      <c r="Y249" s="172" t="s">
        <v>71</v>
      </c>
      <c r="Z249" s="172"/>
      <c r="AA249" s="172"/>
      <c r="AB249" s="172"/>
      <c r="AC249" s="212"/>
      <c r="AD249" s="212"/>
      <c r="AE249" s="206"/>
      <c r="AF249" s="206"/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174"/>
      <c r="AR249" s="174"/>
      <c r="AS249" s="174"/>
      <c r="AT249" s="174"/>
      <c r="AU249" s="174"/>
      <c r="AV249" s="174"/>
      <c r="AW249" s="174"/>
      <c r="AX249" s="191"/>
      <c r="AY249" s="11"/>
      <c r="AZ249" s="11"/>
      <c r="BA249" s="11"/>
      <c r="BB249" s="11"/>
      <c r="BC249" s="11"/>
      <c r="BD249" s="13"/>
      <c r="BE249" s="11" t="str">
        <f t="shared" si="57"/>
        <v>Sí</v>
      </c>
      <c r="BF249" s="22" t="str">
        <f t="shared" si="58"/>
        <v>CPW 10</v>
      </c>
      <c r="BG249" s="11" t="s">
        <v>84</v>
      </c>
      <c r="BH249" s="11" t="str">
        <f t="shared" si="50"/>
        <v>Programado pendiente</v>
      </c>
      <c r="BI249" s="12"/>
      <c r="BJ249" s="68"/>
    </row>
    <row r="250" spans="1:62" ht="18" customHeight="1" x14ac:dyDescent="0.3">
      <c r="A250" s="150"/>
      <c r="B250" s="43"/>
      <c r="C250" s="12">
        <v>46269</v>
      </c>
      <c r="D250" s="20">
        <f t="shared" si="48"/>
        <v>0</v>
      </c>
      <c r="E250" s="174" t="str">
        <f t="shared" si="51"/>
        <v/>
      </c>
      <c r="F250" s="174"/>
      <c r="G250" s="174" t="s">
        <v>71</v>
      </c>
      <c r="H250" s="174"/>
      <c r="I250" s="174" t="str">
        <f t="shared" si="55"/>
        <v/>
      </c>
      <c r="J250" s="174"/>
      <c r="K250" s="174" t="s">
        <v>71</v>
      </c>
      <c r="L250" s="174"/>
      <c r="M250" s="174" t="str">
        <f t="shared" si="53"/>
        <v/>
      </c>
      <c r="N250" s="174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 t="s">
        <v>71</v>
      </c>
      <c r="Z250" s="172"/>
      <c r="AA250" s="172"/>
      <c r="AB250" s="172"/>
      <c r="AC250" s="212"/>
      <c r="AD250" s="212"/>
      <c r="AE250" s="206"/>
      <c r="AF250" s="206"/>
      <c r="AG250" s="206"/>
      <c r="AH250" s="206"/>
      <c r="AI250" s="206"/>
      <c r="AJ250" s="206"/>
      <c r="AK250" s="206"/>
      <c r="AL250" s="206"/>
      <c r="AM250" s="206"/>
      <c r="AN250" s="206"/>
      <c r="AO250" s="206"/>
      <c r="AP250" s="206"/>
      <c r="AQ250" s="174"/>
      <c r="AR250" s="174"/>
      <c r="AS250" s="174"/>
      <c r="AT250" s="174"/>
      <c r="AU250" s="174"/>
      <c r="AV250" s="174"/>
      <c r="AW250" s="174"/>
      <c r="AX250" s="191"/>
      <c r="AY250" s="11"/>
      <c r="AZ250" s="11"/>
      <c r="BA250" s="11"/>
      <c r="BB250" s="11"/>
      <c r="BC250" s="11"/>
      <c r="BD250" s="13"/>
      <c r="BE250" s="11" t="str">
        <f t="shared" si="57"/>
        <v>No</v>
      </c>
      <c r="BF250" s="22" t="str">
        <f t="shared" si="58"/>
        <v/>
      </c>
      <c r="BG250" s="11"/>
      <c r="BH250" s="11" t="str">
        <f t="shared" si="50"/>
        <v>No aplica</v>
      </c>
      <c r="BI250" s="12"/>
      <c r="BJ250" s="68"/>
    </row>
    <row r="251" spans="1:62" ht="18" customHeight="1" x14ac:dyDescent="0.3">
      <c r="A251" s="150"/>
      <c r="B251" s="43"/>
      <c r="C251" s="12">
        <v>46270</v>
      </c>
      <c r="D251" s="20">
        <f t="shared" si="48"/>
        <v>0</v>
      </c>
      <c r="E251" s="174" t="str">
        <f t="shared" si="51"/>
        <v/>
      </c>
      <c r="F251" s="174"/>
      <c r="G251" s="174" t="s">
        <v>71</v>
      </c>
      <c r="H251" s="174"/>
      <c r="I251" s="174" t="str">
        <f t="shared" si="55"/>
        <v/>
      </c>
      <c r="J251" s="174"/>
      <c r="K251" s="174" t="s">
        <v>71</v>
      </c>
      <c r="L251" s="174"/>
      <c r="M251" s="174" t="str">
        <f t="shared" si="53"/>
        <v/>
      </c>
      <c r="N251" s="174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 t="s">
        <v>71</v>
      </c>
      <c r="Z251" s="172"/>
      <c r="AA251" s="172"/>
      <c r="AB251" s="172"/>
      <c r="AC251" s="212"/>
      <c r="AD251" s="212"/>
      <c r="AE251" s="206"/>
      <c r="AF251" s="206"/>
      <c r="AG251" s="206"/>
      <c r="AH251" s="206"/>
      <c r="AI251" s="206"/>
      <c r="AJ251" s="206"/>
      <c r="AK251" s="206"/>
      <c r="AL251" s="206"/>
      <c r="AM251" s="206"/>
      <c r="AN251" s="206"/>
      <c r="AO251" s="206"/>
      <c r="AP251" s="206"/>
      <c r="AQ251" s="174"/>
      <c r="AR251" s="174"/>
      <c r="AS251" s="174"/>
      <c r="AT251" s="174"/>
      <c r="AU251" s="174"/>
      <c r="AV251" s="174"/>
      <c r="AW251" s="174"/>
      <c r="AX251" s="191"/>
      <c r="AY251" s="11"/>
      <c r="AZ251" s="11"/>
      <c r="BA251" s="11"/>
      <c r="BB251" s="11"/>
      <c r="BC251" s="11"/>
      <c r="BD251" s="13"/>
      <c r="BE251" s="11" t="str">
        <f t="shared" si="57"/>
        <v>No</v>
      </c>
      <c r="BF251" s="22" t="str">
        <f t="shared" si="58"/>
        <v/>
      </c>
      <c r="BG251" s="11"/>
      <c r="BH251" s="11" t="str">
        <f t="shared" si="50"/>
        <v>No aplica</v>
      </c>
      <c r="BI251" s="12"/>
      <c r="BJ251" s="68"/>
    </row>
    <row r="252" spans="1:62" ht="18" customHeight="1" x14ac:dyDescent="0.3">
      <c r="A252" s="150"/>
      <c r="B252" s="43"/>
      <c r="C252" s="12">
        <v>46271</v>
      </c>
      <c r="D252" s="20">
        <f t="shared" si="48"/>
        <v>0</v>
      </c>
      <c r="E252" s="174" t="str">
        <f t="shared" si="51"/>
        <v/>
      </c>
      <c r="F252" s="174"/>
      <c r="G252" s="174" t="s">
        <v>71</v>
      </c>
      <c r="H252" s="174"/>
      <c r="I252" s="174" t="str">
        <f t="shared" si="55"/>
        <v/>
      </c>
      <c r="J252" s="174"/>
      <c r="K252" s="174" t="s">
        <v>71</v>
      </c>
      <c r="L252" s="174"/>
      <c r="M252" s="174" t="str">
        <f t="shared" si="53"/>
        <v/>
      </c>
      <c r="N252" s="174"/>
      <c r="O252" s="172"/>
      <c r="P252" s="172"/>
      <c r="Q252" s="172"/>
      <c r="R252" s="172"/>
      <c r="S252" s="172"/>
      <c r="T252" s="172"/>
      <c r="U252" s="172"/>
      <c r="V252" s="172"/>
      <c r="W252" s="172">
        <v>12</v>
      </c>
      <c r="X252" s="172">
        <v>24</v>
      </c>
      <c r="Y252" s="172" t="s">
        <v>71</v>
      </c>
      <c r="Z252" s="172"/>
      <c r="AA252" s="172"/>
      <c r="AB252" s="172"/>
      <c r="AC252" s="212"/>
      <c r="AD252" s="212"/>
      <c r="AE252" s="206"/>
      <c r="AF252" s="206"/>
      <c r="AG252" s="206"/>
      <c r="AH252" s="206"/>
      <c r="AI252" s="206"/>
      <c r="AJ252" s="206"/>
      <c r="AK252" s="206"/>
      <c r="AL252" s="206"/>
      <c r="AM252" s="206"/>
      <c r="AN252" s="206"/>
      <c r="AO252" s="206"/>
      <c r="AP252" s="206"/>
      <c r="AQ252" s="174"/>
      <c r="AR252" s="174"/>
      <c r="AS252" s="174"/>
      <c r="AT252" s="174"/>
      <c r="AU252" s="174"/>
      <c r="AV252" s="174"/>
      <c r="AW252" s="174"/>
      <c r="AX252" s="191"/>
      <c r="AY252" s="11"/>
      <c r="AZ252" s="11"/>
      <c r="BA252" s="11"/>
      <c r="BB252" s="11"/>
      <c r="BC252" s="11"/>
      <c r="BD252" s="13"/>
      <c r="BE252" s="11" t="str">
        <f t="shared" si="57"/>
        <v>Sí</v>
      </c>
      <c r="BF252" s="22" t="str">
        <f t="shared" si="58"/>
        <v>CPW12</v>
      </c>
      <c r="BG252" s="11"/>
      <c r="BH252" s="11" t="str">
        <f t="shared" si="50"/>
        <v>Programado pendiente</v>
      </c>
      <c r="BI252" s="12"/>
      <c r="BJ252" s="68"/>
    </row>
    <row r="253" spans="1:62" ht="18" customHeight="1" x14ac:dyDescent="0.3">
      <c r="A253" s="150"/>
      <c r="B253" s="43"/>
      <c r="C253" s="12">
        <v>46272</v>
      </c>
      <c r="D253" s="20">
        <f t="shared" si="48"/>
        <v>24</v>
      </c>
      <c r="E253" s="174" t="str">
        <f t="shared" si="51"/>
        <v/>
      </c>
      <c r="F253" s="174"/>
      <c r="G253" s="174"/>
      <c r="H253" s="174"/>
      <c r="I253" s="174"/>
      <c r="J253" s="174"/>
      <c r="K253" s="174">
        <v>12</v>
      </c>
      <c r="L253" s="174">
        <v>24</v>
      </c>
      <c r="M253" s="174" t="str">
        <f t="shared" si="53"/>
        <v/>
      </c>
      <c r="N253" s="174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4" t="s">
        <v>71</v>
      </c>
      <c r="Z253" s="174"/>
      <c r="AA253" s="174"/>
      <c r="AB253" s="174"/>
      <c r="AC253" s="212"/>
      <c r="AD253" s="212"/>
      <c r="AE253" s="206"/>
      <c r="AF253" s="206"/>
      <c r="AG253" s="206"/>
      <c r="AH253" s="206"/>
      <c r="AI253" s="206"/>
      <c r="AJ253" s="206"/>
      <c r="AK253" s="206"/>
      <c r="AL253" s="206"/>
      <c r="AM253" s="206"/>
      <c r="AN253" s="206"/>
      <c r="AO253" s="206"/>
      <c r="AP253" s="206"/>
      <c r="AQ253" s="174"/>
      <c r="AR253" s="174"/>
      <c r="AS253" s="174"/>
      <c r="AT253" s="174"/>
      <c r="AU253" s="174"/>
      <c r="AV253" s="174"/>
      <c r="AW253" s="174"/>
      <c r="AX253" s="191"/>
      <c r="AY253" s="11"/>
      <c r="AZ253" s="11"/>
      <c r="BA253" s="11"/>
      <c r="BB253" s="11"/>
      <c r="BC253" s="11"/>
      <c r="BD253" s="13"/>
      <c r="BE253" s="11" t="str">
        <f t="shared" si="57"/>
        <v>Sí</v>
      </c>
      <c r="BF253" s="22" t="str">
        <f t="shared" si="58"/>
        <v xml:space="preserve">CPW04
</v>
      </c>
      <c r="BG253" s="11"/>
      <c r="BH253" s="11" t="str">
        <f t="shared" si="50"/>
        <v>Programado pendiente</v>
      </c>
      <c r="BI253" s="12"/>
      <c r="BJ253" s="68"/>
    </row>
    <row r="254" spans="1:62" ht="18" customHeight="1" x14ac:dyDescent="0.3">
      <c r="A254" s="150"/>
      <c r="B254" s="43"/>
      <c r="C254" s="12">
        <v>46273</v>
      </c>
      <c r="D254" s="20">
        <f t="shared" si="48"/>
        <v>24</v>
      </c>
      <c r="E254" s="174"/>
      <c r="F254" s="174"/>
      <c r="G254" s="174"/>
      <c r="H254" s="174"/>
      <c r="I254" s="174"/>
      <c r="J254" s="174"/>
      <c r="K254" s="174" t="s">
        <v>71</v>
      </c>
      <c r="L254" s="174"/>
      <c r="M254" s="174">
        <v>12</v>
      </c>
      <c r="N254" s="174">
        <v>24</v>
      </c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4" t="s">
        <v>71</v>
      </c>
      <c r="Z254" s="174"/>
      <c r="AA254" s="174"/>
      <c r="AB254" s="174"/>
      <c r="AC254" s="212"/>
      <c r="AD254" s="212"/>
      <c r="AE254" s="206"/>
      <c r="AF254" s="206"/>
      <c r="AG254" s="206"/>
      <c r="AH254" s="206"/>
      <c r="AI254" s="206"/>
      <c r="AJ254" s="206"/>
      <c r="AK254" s="206"/>
      <c r="AL254" s="206"/>
      <c r="AM254" s="206"/>
      <c r="AN254" s="206"/>
      <c r="AO254" s="206"/>
      <c r="AP254" s="206"/>
      <c r="AQ254" s="174"/>
      <c r="AR254" s="174"/>
      <c r="AS254" s="174"/>
      <c r="AT254" s="174"/>
      <c r="AU254" s="174"/>
      <c r="AV254" s="174"/>
      <c r="AW254" s="174"/>
      <c r="AX254" s="191"/>
      <c r="AY254" s="11"/>
      <c r="AZ254" s="11"/>
      <c r="BA254" s="11"/>
      <c r="BB254" s="11"/>
      <c r="BC254" s="11"/>
      <c r="BD254" s="13"/>
      <c r="BE254" s="11" t="str">
        <f t="shared" si="57"/>
        <v>Sí</v>
      </c>
      <c r="BF254" s="22" t="str">
        <f t="shared" si="58"/>
        <v>CPW05</v>
      </c>
      <c r="BG254" s="11"/>
      <c r="BH254" s="11" t="str">
        <f t="shared" si="50"/>
        <v>Programado pendiente</v>
      </c>
      <c r="BI254" s="12"/>
      <c r="BJ254" s="68"/>
    </row>
    <row r="255" spans="1:62" ht="18" customHeight="1" x14ac:dyDescent="0.3">
      <c r="A255" s="150"/>
      <c r="B255" s="43"/>
      <c r="C255" s="12">
        <v>46274</v>
      </c>
      <c r="D255" s="20">
        <f t="shared" si="48"/>
        <v>20</v>
      </c>
      <c r="E255" s="174" t="str">
        <f t="shared" si="51"/>
        <v/>
      </c>
      <c r="F255" s="174"/>
      <c r="G255" s="174"/>
      <c r="H255" s="174"/>
      <c r="I255" s="174"/>
      <c r="J255" s="174"/>
      <c r="K255" s="174" t="s">
        <v>71</v>
      </c>
      <c r="L255" s="174"/>
      <c r="M255" s="174" t="str">
        <f t="shared" si="53"/>
        <v/>
      </c>
      <c r="N255" s="174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4" t="s">
        <v>71</v>
      </c>
      <c r="Z255" s="174"/>
      <c r="AA255" s="174">
        <v>10</v>
      </c>
      <c r="AB255" s="174">
        <v>20</v>
      </c>
      <c r="AC255" s="212"/>
      <c r="AD255" s="212"/>
      <c r="AE255" s="206"/>
      <c r="AF255" s="206"/>
      <c r="AG255" s="206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174"/>
      <c r="AR255" s="174"/>
      <c r="AS255" s="174"/>
      <c r="AT255" s="174"/>
      <c r="AU255" s="174"/>
      <c r="AV255" s="174"/>
      <c r="AW255" s="174"/>
      <c r="AX255" s="191"/>
      <c r="AY255" s="11"/>
      <c r="AZ255" s="11"/>
      <c r="BA255" s="11"/>
      <c r="BB255" s="11"/>
      <c r="BC255" s="11"/>
      <c r="BD255" s="13"/>
      <c r="BE255" s="11" t="str">
        <f t="shared" si="57"/>
        <v>Sí</v>
      </c>
      <c r="BF255" s="22" t="str">
        <f t="shared" si="58"/>
        <v>JINAN 02</v>
      </c>
      <c r="BG255" s="11"/>
      <c r="BH255" s="11" t="str">
        <f t="shared" si="50"/>
        <v>Programado pendiente</v>
      </c>
      <c r="BI255" s="12"/>
      <c r="BJ255" s="68"/>
    </row>
    <row r="256" spans="1:62" ht="18" customHeight="1" x14ac:dyDescent="0.3">
      <c r="A256" s="150"/>
      <c r="B256" s="43"/>
      <c r="C256" s="12">
        <v>46275</v>
      </c>
      <c r="D256" s="20">
        <f t="shared" si="48"/>
        <v>20</v>
      </c>
      <c r="E256" s="174"/>
      <c r="F256" s="174"/>
      <c r="G256" s="174" t="s">
        <v>71</v>
      </c>
      <c r="H256" s="174"/>
      <c r="I256" s="174"/>
      <c r="J256" s="174"/>
      <c r="K256" s="174" t="s">
        <v>71</v>
      </c>
      <c r="L256" s="174"/>
      <c r="M256" s="174" t="str">
        <f t="shared" si="53"/>
        <v/>
      </c>
      <c r="N256" s="174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4">
        <v>10</v>
      </c>
      <c r="Z256" s="174">
        <v>20</v>
      </c>
      <c r="AA256" s="174"/>
      <c r="AB256" s="174"/>
      <c r="AC256" s="212"/>
      <c r="AD256" s="212"/>
      <c r="AE256" s="206"/>
      <c r="AF256" s="206"/>
      <c r="AG256" s="206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174"/>
      <c r="AR256" s="174"/>
      <c r="AS256" s="174"/>
      <c r="AT256" s="174"/>
      <c r="AU256" s="174"/>
      <c r="AV256" s="174"/>
      <c r="AW256" s="174"/>
      <c r="AX256" s="191"/>
      <c r="AY256" s="11"/>
      <c r="AZ256" s="11"/>
      <c r="BA256" s="11"/>
      <c r="BB256" s="11"/>
      <c r="BC256" s="11"/>
      <c r="BD256" s="13"/>
      <c r="BE256" s="11" t="str">
        <f t="shared" si="57"/>
        <v>Sí</v>
      </c>
      <c r="BF256" s="22" t="str">
        <f t="shared" si="58"/>
        <v>JINAN 01</v>
      </c>
      <c r="BG256" s="11"/>
      <c r="BH256" s="11" t="str">
        <f t="shared" si="50"/>
        <v>Programado pendiente</v>
      </c>
      <c r="BI256" s="12"/>
      <c r="BJ256" s="68"/>
    </row>
    <row r="257" spans="1:62" ht="18" customHeight="1" x14ac:dyDescent="0.3">
      <c r="A257" s="150"/>
      <c r="B257" s="43"/>
      <c r="C257" s="12">
        <v>46276</v>
      </c>
      <c r="D257" s="20">
        <f t="shared" si="48"/>
        <v>24</v>
      </c>
      <c r="E257" s="174" t="str">
        <f t="shared" si="51"/>
        <v/>
      </c>
      <c r="F257" s="174"/>
      <c r="G257" s="174" t="s">
        <v>71</v>
      </c>
      <c r="H257" s="174"/>
      <c r="I257" s="174"/>
      <c r="J257" s="174"/>
      <c r="K257" s="174" t="s">
        <v>71</v>
      </c>
      <c r="L257" s="174"/>
      <c r="M257" s="174" t="str">
        <f t="shared" si="53"/>
        <v/>
      </c>
      <c r="N257" s="174"/>
      <c r="O257" s="174">
        <v>12</v>
      </c>
      <c r="P257" s="172">
        <v>24</v>
      </c>
      <c r="Q257" s="172"/>
      <c r="R257" s="172"/>
      <c r="S257" s="172"/>
      <c r="T257" s="172"/>
      <c r="U257" s="172"/>
      <c r="V257" s="172"/>
      <c r="W257" s="172"/>
      <c r="X257" s="172"/>
      <c r="Y257" s="174"/>
      <c r="Z257" s="174"/>
      <c r="AA257" s="174"/>
      <c r="AB257" s="174"/>
      <c r="AC257" s="212"/>
      <c r="AD257" s="212"/>
      <c r="AE257" s="206"/>
      <c r="AF257" s="206"/>
      <c r="AG257" s="206"/>
      <c r="AH257" s="206"/>
      <c r="AI257" s="206"/>
      <c r="AJ257" s="206"/>
      <c r="AK257" s="206"/>
      <c r="AL257" s="206"/>
      <c r="AM257" s="206"/>
      <c r="AN257" s="206"/>
      <c r="AO257" s="206"/>
      <c r="AP257" s="206"/>
      <c r="AQ257" s="174"/>
      <c r="AR257" s="174"/>
      <c r="AS257" s="174"/>
      <c r="AT257" s="174"/>
      <c r="AU257" s="174"/>
      <c r="AV257" s="174"/>
      <c r="AW257" s="174"/>
      <c r="AX257" s="191"/>
      <c r="AY257" s="11"/>
      <c r="AZ257" s="11"/>
      <c r="BA257" s="11"/>
      <c r="BB257" s="11"/>
      <c r="BC257" s="11"/>
      <c r="BD257" s="13"/>
      <c r="BE257" s="11" t="str">
        <f t="shared" si="57"/>
        <v>Sí</v>
      </c>
      <c r="BF257" s="22" t="str">
        <f t="shared" si="58"/>
        <v>CPW06</v>
      </c>
      <c r="BG257" s="11"/>
      <c r="BH257" s="11" t="str">
        <f t="shared" si="50"/>
        <v>Programado pendiente</v>
      </c>
      <c r="BI257" s="12"/>
      <c r="BJ257" s="68"/>
    </row>
    <row r="258" spans="1:62" ht="18" customHeight="1" x14ac:dyDescent="0.3">
      <c r="A258" s="150"/>
      <c r="B258" s="43"/>
      <c r="C258" s="12">
        <v>46277</v>
      </c>
      <c r="D258" s="20">
        <f t="shared" si="48"/>
        <v>0</v>
      </c>
      <c r="E258" s="174" t="str">
        <f t="shared" si="51"/>
        <v/>
      </c>
      <c r="F258" s="174"/>
      <c r="G258" s="174" t="s">
        <v>71</v>
      </c>
      <c r="H258" s="174"/>
      <c r="I258" s="174"/>
      <c r="J258" s="174"/>
      <c r="K258" s="174" t="s">
        <v>71</v>
      </c>
      <c r="L258" s="174"/>
      <c r="M258" s="174" t="str">
        <f t="shared" si="53"/>
        <v/>
      </c>
      <c r="N258" s="174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4" t="s">
        <v>71</v>
      </c>
      <c r="Z258" s="174"/>
      <c r="AA258" s="174"/>
      <c r="AB258" s="174"/>
      <c r="AC258" s="212"/>
      <c r="AD258" s="212"/>
      <c r="AE258" s="206"/>
      <c r="AF258" s="206"/>
      <c r="AG258" s="206"/>
      <c r="AH258" s="206"/>
      <c r="AI258" s="206"/>
      <c r="AJ258" s="206"/>
      <c r="AK258" s="206"/>
      <c r="AL258" s="206"/>
      <c r="AM258" s="206"/>
      <c r="AN258" s="206"/>
      <c r="AO258" s="206"/>
      <c r="AP258" s="206"/>
      <c r="AQ258" s="174"/>
      <c r="AR258" s="174"/>
      <c r="AS258" s="174"/>
      <c r="AT258" s="174"/>
      <c r="AU258" s="174"/>
      <c r="AV258" s="174"/>
      <c r="AW258" s="174"/>
      <c r="AX258" s="191"/>
      <c r="AY258" s="11"/>
      <c r="AZ258" s="11"/>
      <c r="BA258" s="11"/>
      <c r="BB258" s="11"/>
      <c r="BC258" s="11"/>
      <c r="BD258" s="13"/>
      <c r="BE258" s="11" t="str">
        <f t="shared" si="57"/>
        <v>No</v>
      </c>
      <c r="BF258" s="22" t="str">
        <f t="shared" si="58"/>
        <v/>
      </c>
      <c r="BG258" s="11"/>
      <c r="BH258" s="11" t="str">
        <f t="shared" si="50"/>
        <v>No aplica</v>
      </c>
      <c r="BI258" s="12"/>
      <c r="BJ258" s="68"/>
    </row>
    <row r="259" spans="1:62" ht="18" customHeight="1" x14ac:dyDescent="0.3">
      <c r="A259" s="150"/>
      <c r="B259" s="43"/>
      <c r="C259" s="12">
        <v>46278</v>
      </c>
      <c r="D259" s="20">
        <f t="shared" si="48"/>
        <v>24</v>
      </c>
      <c r="E259" s="174"/>
      <c r="F259" s="174"/>
      <c r="G259" s="174" t="s">
        <v>71</v>
      </c>
      <c r="H259" s="174"/>
      <c r="I259" s="174" t="str">
        <f t="shared" si="55"/>
        <v/>
      </c>
      <c r="J259" s="174"/>
      <c r="K259" s="174" t="s">
        <v>71</v>
      </c>
      <c r="L259" s="174"/>
      <c r="M259" s="174" t="str">
        <f t="shared" si="53"/>
        <v/>
      </c>
      <c r="N259" s="174"/>
      <c r="O259" s="172"/>
      <c r="P259" s="172"/>
      <c r="Q259" s="174">
        <v>12</v>
      </c>
      <c r="R259" s="172">
        <v>24</v>
      </c>
      <c r="S259" s="178"/>
      <c r="T259" s="178"/>
      <c r="U259" s="172"/>
      <c r="V259" s="172"/>
      <c r="W259" s="172"/>
      <c r="X259" s="172"/>
      <c r="Y259" s="174" t="s">
        <v>71</v>
      </c>
      <c r="Z259" s="174"/>
      <c r="AA259" s="178"/>
      <c r="AB259" s="178"/>
      <c r="AC259" s="214"/>
      <c r="AD259" s="214"/>
      <c r="AE259" s="207"/>
      <c r="AF259" s="207"/>
      <c r="AG259" s="207"/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174"/>
      <c r="AR259" s="174"/>
      <c r="AS259" s="174"/>
      <c r="AT259" s="174"/>
      <c r="AU259" s="174"/>
      <c r="AV259" s="174"/>
      <c r="AW259" s="174"/>
      <c r="AX259" s="191"/>
      <c r="AY259" s="11"/>
      <c r="AZ259" s="11"/>
      <c r="BA259" s="11"/>
      <c r="BB259" s="11"/>
      <c r="BC259" s="11"/>
      <c r="BD259" s="13"/>
      <c r="BE259" s="11" t="str">
        <f t="shared" si="57"/>
        <v>Sí</v>
      </c>
      <c r="BF259" s="22" t="str">
        <f t="shared" si="58"/>
        <v>CPW07</v>
      </c>
      <c r="BG259" s="11"/>
      <c r="BH259" s="11" t="str">
        <f t="shared" si="50"/>
        <v>Programado pendiente</v>
      </c>
      <c r="BI259" s="12"/>
      <c r="BJ259" s="68"/>
    </row>
    <row r="260" spans="1:62" ht="18" customHeight="1" x14ac:dyDescent="0.3">
      <c r="A260" s="150"/>
      <c r="B260" s="43"/>
      <c r="C260" s="12">
        <v>46279</v>
      </c>
      <c r="D260" s="20">
        <f t="shared" ref="D260:D323" si="59">+F260+H260+J260+L260+N260+P260+R260+Z260+AB260+AD260+AF260+AH260+AJ260+AL260+AN260+AP260</f>
        <v>0</v>
      </c>
      <c r="E260" s="174"/>
      <c r="F260" s="174"/>
      <c r="G260" s="174" t="s">
        <v>71</v>
      </c>
      <c r="H260" s="174"/>
      <c r="I260" s="174" t="str">
        <f t="shared" si="55"/>
        <v/>
      </c>
      <c r="J260" s="174"/>
      <c r="K260" s="174" t="s">
        <v>71</v>
      </c>
      <c r="L260" s="174"/>
      <c r="M260" s="174" t="str">
        <f t="shared" si="53"/>
        <v/>
      </c>
      <c r="N260" s="174"/>
      <c r="O260" s="172"/>
      <c r="P260" s="172"/>
      <c r="Q260" s="172"/>
      <c r="R260" s="172"/>
      <c r="S260" s="172"/>
      <c r="T260" s="172"/>
      <c r="U260" s="172">
        <v>12</v>
      </c>
      <c r="V260" s="172">
        <v>24</v>
      </c>
      <c r="W260" s="172"/>
      <c r="X260" s="172"/>
      <c r="Y260" s="172" t="s">
        <v>71</v>
      </c>
      <c r="Z260" s="172"/>
      <c r="AA260" s="174"/>
      <c r="AB260" s="174"/>
      <c r="AC260" s="212"/>
      <c r="AD260" s="212"/>
      <c r="AE260" s="206"/>
      <c r="AF260" s="206"/>
      <c r="AG260" s="206"/>
      <c r="AH260" s="206"/>
      <c r="AI260" s="206"/>
      <c r="AJ260" s="206"/>
      <c r="AK260" s="206"/>
      <c r="AL260" s="206"/>
      <c r="AM260" s="206"/>
      <c r="AN260" s="206"/>
      <c r="AO260" s="206"/>
      <c r="AP260" s="206"/>
      <c r="AQ260" s="174"/>
      <c r="AR260" s="174"/>
      <c r="AS260" s="174"/>
      <c r="AT260" s="174"/>
      <c r="AU260" s="174"/>
      <c r="AV260" s="174"/>
      <c r="AW260" s="174"/>
      <c r="AX260" s="191"/>
      <c r="AY260" s="11"/>
      <c r="AZ260" s="11"/>
      <c r="BA260" s="11"/>
      <c r="BB260" s="11"/>
      <c r="BC260" s="11"/>
      <c r="BD260" s="13"/>
      <c r="BE260" s="11" t="str">
        <f t="shared" si="57"/>
        <v>Sí</v>
      </c>
      <c r="BF260" s="22" t="str">
        <f t="shared" si="58"/>
        <v>CPW11</v>
      </c>
      <c r="BG260" s="11"/>
      <c r="BH260" s="11" t="str">
        <f t="shared" si="50"/>
        <v>Programado pendiente</v>
      </c>
      <c r="BI260" s="12"/>
      <c r="BJ260" s="68"/>
    </row>
    <row r="261" spans="1:62" ht="18" customHeight="1" x14ac:dyDescent="0.3">
      <c r="A261" s="150"/>
      <c r="B261" s="43"/>
      <c r="C261" s="12">
        <v>46280</v>
      </c>
      <c r="D261" s="20">
        <f t="shared" si="59"/>
        <v>24</v>
      </c>
      <c r="E261" s="174"/>
      <c r="F261" s="174"/>
      <c r="G261" s="174">
        <v>12</v>
      </c>
      <c r="H261" s="174">
        <v>24</v>
      </c>
      <c r="I261" s="174" t="str">
        <f t="shared" si="55"/>
        <v/>
      </c>
      <c r="J261" s="174"/>
      <c r="K261" s="174" t="s">
        <v>71</v>
      </c>
      <c r="L261" s="174"/>
      <c r="M261" s="174" t="str">
        <f t="shared" si="53"/>
        <v/>
      </c>
      <c r="N261" s="174"/>
      <c r="O261" s="172"/>
      <c r="P261" s="172"/>
      <c r="Q261" s="172"/>
      <c r="R261" s="172"/>
      <c r="S261" s="174"/>
      <c r="T261" s="174"/>
      <c r="U261" s="172"/>
      <c r="V261" s="172"/>
      <c r="W261" s="172"/>
      <c r="X261" s="172"/>
      <c r="Y261" s="172" t="s">
        <v>71</v>
      </c>
      <c r="Z261" s="172"/>
      <c r="AA261" s="172"/>
      <c r="AB261" s="172"/>
      <c r="AC261" s="212"/>
      <c r="AD261" s="212"/>
      <c r="AE261" s="206"/>
      <c r="AF261" s="206"/>
      <c r="AG261" s="206"/>
      <c r="AH261" s="206"/>
      <c r="AI261" s="206"/>
      <c r="AJ261" s="206"/>
      <c r="AK261" s="206"/>
      <c r="AL261" s="206"/>
      <c r="AM261" s="206"/>
      <c r="AN261" s="206"/>
      <c r="AO261" s="206"/>
      <c r="AP261" s="206"/>
      <c r="AQ261" s="174"/>
      <c r="AR261" s="174"/>
      <c r="AS261" s="174"/>
      <c r="AT261" s="174"/>
      <c r="AU261" s="174"/>
      <c r="AV261" s="174"/>
      <c r="AW261" s="174"/>
      <c r="AX261" s="191"/>
      <c r="AY261" s="11"/>
      <c r="AZ261" s="11"/>
      <c r="BA261" s="11"/>
      <c r="BB261" s="11"/>
      <c r="BC261" s="11"/>
      <c r="BD261" s="13"/>
      <c r="BE261" s="11" t="str">
        <f t="shared" si="57"/>
        <v>Sí</v>
      </c>
      <c r="BF261" s="22" t="str">
        <f t="shared" si="58"/>
        <v>CPW01</v>
      </c>
      <c r="BG261" s="11"/>
      <c r="BH261" s="11" t="str">
        <f t="shared" ref="BH261:BH324" si="60">IF($BE261="No","No aplica",IF($BG261="Sí","Ejecutado","Programado pendiente"))</f>
        <v>Programado pendiente</v>
      </c>
      <c r="BI261" s="12"/>
      <c r="BJ261" s="68"/>
    </row>
    <row r="262" spans="1:62" ht="18" customHeight="1" x14ac:dyDescent="0.3">
      <c r="A262" s="150"/>
      <c r="B262" s="43"/>
      <c r="C262" s="12">
        <v>46281</v>
      </c>
      <c r="D262" s="20">
        <f t="shared" si="59"/>
        <v>0</v>
      </c>
      <c r="E262" s="174" t="str">
        <f t="shared" si="51"/>
        <v/>
      </c>
      <c r="F262" s="174"/>
      <c r="G262" s="174" t="s">
        <v>71</v>
      </c>
      <c r="H262" s="174"/>
      <c r="I262" s="174" t="str">
        <f t="shared" si="55"/>
        <v/>
      </c>
      <c r="J262" s="174"/>
      <c r="K262" s="174" t="s">
        <v>71</v>
      </c>
      <c r="L262" s="174"/>
      <c r="M262" s="174" t="str">
        <f t="shared" si="53"/>
        <v/>
      </c>
      <c r="N262" s="174"/>
      <c r="O262" s="172"/>
      <c r="P262" s="172"/>
      <c r="Q262" s="172"/>
      <c r="R262" s="172"/>
      <c r="S262" s="174">
        <v>12</v>
      </c>
      <c r="T262" s="174">
        <v>20</v>
      </c>
      <c r="U262" s="172"/>
      <c r="V262" s="172"/>
      <c r="W262" s="172"/>
      <c r="X262" s="172"/>
      <c r="Y262" s="172" t="s">
        <v>71</v>
      </c>
      <c r="Z262" s="172"/>
      <c r="AA262" s="172"/>
      <c r="AB262" s="172"/>
      <c r="AC262" s="212"/>
      <c r="AD262" s="212"/>
      <c r="AE262" s="206"/>
      <c r="AF262" s="206"/>
      <c r="AG262" s="206"/>
      <c r="AH262" s="206"/>
      <c r="AI262" s="206"/>
      <c r="AJ262" s="206"/>
      <c r="AK262" s="206"/>
      <c r="AL262" s="206"/>
      <c r="AM262" s="206"/>
      <c r="AN262" s="206"/>
      <c r="AO262" s="206"/>
      <c r="AP262" s="206"/>
      <c r="AQ262" s="174"/>
      <c r="AR262" s="174"/>
      <c r="AS262" s="174"/>
      <c r="AT262" s="174"/>
      <c r="AU262" s="174"/>
      <c r="AV262" s="174"/>
      <c r="AW262" s="174"/>
      <c r="AX262" s="191"/>
      <c r="AY262" s="11"/>
      <c r="AZ262" s="11"/>
      <c r="BA262" s="11"/>
      <c r="BB262" s="11"/>
      <c r="BC262" s="11"/>
      <c r="BD262" s="13"/>
      <c r="BE262" s="11" t="str">
        <f t="shared" si="57"/>
        <v>Sí</v>
      </c>
      <c r="BF262" s="22" t="str">
        <f t="shared" si="58"/>
        <v>CPW 10</v>
      </c>
      <c r="BG262" s="11"/>
      <c r="BH262" s="11" t="str">
        <f t="shared" si="60"/>
        <v>Programado pendiente</v>
      </c>
      <c r="BI262" s="12"/>
      <c r="BJ262" s="68"/>
    </row>
    <row r="263" spans="1:62" ht="18" customHeight="1" x14ac:dyDescent="0.3">
      <c r="A263" s="150"/>
      <c r="B263" s="43"/>
      <c r="C263" s="12">
        <v>46282</v>
      </c>
      <c r="D263" s="20">
        <f t="shared" si="59"/>
        <v>0</v>
      </c>
      <c r="E263" s="174" t="str">
        <f t="shared" ref="E263:E326" si="61">IF(MOD(C263-$C$4,42)=0,8,"")</f>
        <v/>
      </c>
      <c r="F263" s="174"/>
      <c r="G263" s="174" t="s">
        <v>71</v>
      </c>
      <c r="H263" s="174"/>
      <c r="I263" s="174" t="str">
        <f t="shared" si="55"/>
        <v/>
      </c>
      <c r="J263" s="174"/>
      <c r="K263" s="174" t="s">
        <v>71</v>
      </c>
      <c r="L263" s="174"/>
      <c r="M263" s="174" t="str">
        <f t="shared" si="53"/>
        <v/>
      </c>
      <c r="N263" s="174"/>
      <c r="O263" s="172"/>
      <c r="P263" s="172"/>
      <c r="Q263" s="172"/>
      <c r="R263" s="172"/>
      <c r="S263" s="172"/>
      <c r="T263" s="172"/>
      <c r="U263" s="174"/>
      <c r="V263" s="172"/>
      <c r="W263" s="172"/>
      <c r="X263" s="172"/>
      <c r="Y263" s="172" t="s">
        <v>71</v>
      </c>
      <c r="Z263" s="172"/>
      <c r="AA263" s="172"/>
      <c r="AB263" s="172"/>
      <c r="AC263" s="212"/>
      <c r="AD263" s="212"/>
      <c r="AE263" s="206"/>
      <c r="AF263" s="206"/>
      <c r="AG263" s="206"/>
      <c r="AH263" s="206"/>
      <c r="AI263" s="206"/>
      <c r="AJ263" s="206"/>
      <c r="AK263" s="206"/>
      <c r="AL263" s="206"/>
      <c r="AM263" s="206"/>
      <c r="AN263" s="206"/>
      <c r="AO263" s="206"/>
      <c r="AP263" s="206"/>
      <c r="AQ263" s="174"/>
      <c r="AR263" s="174"/>
      <c r="AS263" s="174"/>
      <c r="AT263" s="174"/>
      <c r="AU263" s="174"/>
      <c r="AV263" s="174"/>
      <c r="AW263" s="174"/>
      <c r="AX263" s="191"/>
      <c r="AY263" s="11"/>
      <c r="AZ263" s="11"/>
      <c r="BA263" s="11"/>
      <c r="BB263" s="11"/>
      <c r="BC263" s="11"/>
      <c r="BD263" s="13"/>
      <c r="BE263" s="11" t="str">
        <f t="shared" si="57"/>
        <v>No</v>
      </c>
      <c r="BF263" s="22" t="str">
        <f t="shared" si="58"/>
        <v/>
      </c>
      <c r="BG263" s="11"/>
      <c r="BH263" s="11" t="str">
        <f t="shared" si="60"/>
        <v>No aplica</v>
      </c>
      <c r="BI263" s="12"/>
      <c r="BJ263" s="68"/>
    </row>
    <row r="264" spans="1:62" ht="18" customHeight="1" x14ac:dyDescent="0.3">
      <c r="A264" s="150"/>
      <c r="B264" s="43"/>
      <c r="C264" s="12">
        <v>46283</v>
      </c>
      <c r="D264" s="20">
        <f t="shared" si="59"/>
        <v>48</v>
      </c>
      <c r="E264" s="174" t="str">
        <f t="shared" si="61"/>
        <v/>
      </c>
      <c r="F264" s="174"/>
      <c r="G264" s="174" t="s">
        <v>71</v>
      </c>
      <c r="H264" s="174"/>
      <c r="I264" s="174">
        <f>24</f>
        <v>24</v>
      </c>
      <c r="J264" s="174">
        <v>48</v>
      </c>
      <c r="K264" s="174" t="s">
        <v>71</v>
      </c>
      <c r="L264" s="174"/>
      <c r="M264" s="174" t="str">
        <f t="shared" si="53"/>
        <v/>
      </c>
      <c r="N264" s="174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 t="s">
        <v>71</v>
      </c>
      <c r="Z264" s="172"/>
      <c r="AA264" s="172"/>
      <c r="AB264" s="172"/>
      <c r="AC264" s="212"/>
      <c r="AD264" s="212"/>
      <c r="AE264" s="206"/>
      <c r="AF264" s="206"/>
      <c r="AG264" s="206"/>
      <c r="AH264" s="206"/>
      <c r="AI264" s="206"/>
      <c r="AJ264" s="206"/>
      <c r="AK264" s="206"/>
      <c r="AL264" s="206"/>
      <c r="AM264" s="206"/>
      <c r="AN264" s="206"/>
      <c r="AO264" s="206"/>
      <c r="AP264" s="206"/>
      <c r="AQ264" s="174"/>
      <c r="AR264" s="174"/>
      <c r="AS264" s="174"/>
      <c r="AT264" s="174"/>
      <c r="AU264" s="174"/>
      <c r="AV264" s="174"/>
      <c r="AW264" s="174"/>
      <c r="AX264" s="191"/>
      <c r="AY264" s="11"/>
      <c r="AZ264" s="11"/>
      <c r="BA264" s="11"/>
      <c r="BB264" s="11"/>
      <c r="BC264" s="11"/>
      <c r="BD264" s="13"/>
      <c r="BE264" s="11" t="str">
        <f t="shared" si="57"/>
        <v>Sí</v>
      </c>
      <c r="BF264" s="22" t="str">
        <f t="shared" si="58"/>
        <v>CPW03</v>
      </c>
      <c r="BG264" s="11" t="s">
        <v>84</v>
      </c>
      <c r="BH264" s="11" t="str">
        <f t="shared" si="60"/>
        <v>Programado pendiente</v>
      </c>
      <c r="BI264" s="12"/>
      <c r="BJ264" s="68"/>
    </row>
    <row r="265" spans="1:62" ht="18" customHeight="1" x14ac:dyDescent="0.3">
      <c r="A265" s="150"/>
      <c r="B265" s="43"/>
      <c r="C265" s="12">
        <v>46284</v>
      </c>
      <c r="D265" s="20">
        <f t="shared" si="59"/>
        <v>48</v>
      </c>
      <c r="E265" s="174" t="str">
        <f t="shared" si="61"/>
        <v/>
      </c>
      <c r="F265" s="174"/>
      <c r="G265" s="174" t="s">
        <v>71</v>
      </c>
      <c r="H265" s="174"/>
      <c r="I265" s="174">
        <v>24</v>
      </c>
      <c r="J265" s="174">
        <v>48</v>
      </c>
      <c r="K265" s="174" t="s">
        <v>71</v>
      </c>
      <c r="L265" s="174"/>
      <c r="M265" s="174" t="str">
        <f t="shared" si="53"/>
        <v/>
      </c>
      <c r="N265" s="174"/>
      <c r="O265" s="172"/>
      <c r="P265" s="172"/>
      <c r="Q265" s="172"/>
      <c r="R265" s="172"/>
      <c r="S265" s="172"/>
      <c r="T265" s="172"/>
      <c r="U265" s="172"/>
      <c r="V265" s="172"/>
      <c r="W265" s="174"/>
      <c r="X265" s="172"/>
      <c r="Y265" s="172" t="s">
        <v>71</v>
      </c>
      <c r="Z265" s="172"/>
      <c r="AA265" s="172"/>
      <c r="AB265" s="172"/>
      <c r="AC265" s="212"/>
      <c r="AD265" s="212"/>
      <c r="AE265" s="206"/>
      <c r="AF265" s="206"/>
      <c r="AG265" s="206"/>
      <c r="AH265" s="206"/>
      <c r="AI265" s="206"/>
      <c r="AJ265" s="206"/>
      <c r="AK265" s="206"/>
      <c r="AL265" s="206"/>
      <c r="AM265" s="206"/>
      <c r="AN265" s="206"/>
      <c r="AO265" s="206"/>
      <c r="AP265" s="206"/>
      <c r="AQ265" s="174"/>
      <c r="AR265" s="174"/>
      <c r="AS265" s="174"/>
      <c r="AT265" s="174"/>
      <c r="AU265" s="174"/>
      <c r="AV265" s="174"/>
      <c r="AW265" s="174"/>
      <c r="AX265" s="191"/>
      <c r="AY265" s="11"/>
      <c r="AZ265" s="11"/>
      <c r="BA265" s="11"/>
      <c r="BB265" s="11"/>
      <c r="BC265" s="11"/>
      <c r="BD265" s="13"/>
      <c r="BE265" s="11" t="str">
        <f t="shared" si="57"/>
        <v>Sí</v>
      </c>
      <c r="BF265" s="22" t="str">
        <f t="shared" si="58"/>
        <v>CPW03</v>
      </c>
      <c r="BG265" s="11"/>
      <c r="BH265" s="11" t="str">
        <f t="shared" si="60"/>
        <v>Programado pendiente</v>
      </c>
      <c r="BI265" s="12"/>
      <c r="BJ265" s="68"/>
    </row>
    <row r="266" spans="1:62" ht="18" customHeight="1" x14ac:dyDescent="0.3">
      <c r="A266" s="150"/>
      <c r="B266" s="43"/>
      <c r="C266" s="12">
        <v>46285</v>
      </c>
      <c r="D266" s="20">
        <f t="shared" si="59"/>
        <v>48</v>
      </c>
      <c r="E266" s="174" t="str">
        <f t="shared" si="61"/>
        <v/>
      </c>
      <c r="F266" s="174"/>
      <c r="G266" s="174" t="s">
        <v>71</v>
      </c>
      <c r="H266" s="174"/>
      <c r="I266" s="174">
        <v>24</v>
      </c>
      <c r="J266" s="174">
        <v>48</v>
      </c>
      <c r="K266" s="174" t="s">
        <v>71</v>
      </c>
      <c r="L266" s="174"/>
      <c r="M266" s="174" t="str">
        <f t="shared" si="53"/>
        <v/>
      </c>
      <c r="N266" s="174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 t="s">
        <v>71</v>
      </c>
      <c r="Z266" s="172"/>
      <c r="AA266" s="172"/>
      <c r="AB266" s="172"/>
      <c r="AC266" s="212"/>
      <c r="AD266" s="212"/>
      <c r="AE266" s="206"/>
      <c r="AF266" s="206"/>
      <c r="AG266" s="206"/>
      <c r="AH266" s="206"/>
      <c r="AI266" s="206"/>
      <c r="AJ266" s="206"/>
      <c r="AK266" s="206"/>
      <c r="AL266" s="206"/>
      <c r="AM266" s="206"/>
      <c r="AN266" s="206"/>
      <c r="AO266" s="206"/>
      <c r="AP266" s="206"/>
      <c r="AQ266" s="174"/>
      <c r="AR266" s="174"/>
      <c r="AS266" s="174"/>
      <c r="AT266" s="174"/>
      <c r="AU266" s="174"/>
      <c r="AV266" s="174"/>
      <c r="AW266" s="174"/>
      <c r="AX266" s="191"/>
      <c r="AY266" s="11"/>
      <c r="AZ266" s="11"/>
      <c r="BA266" s="11"/>
      <c r="BB266" s="11"/>
      <c r="BC266" s="11"/>
      <c r="BD266" s="13"/>
      <c r="BE266" s="11" t="str">
        <f t="shared" si="57"/>
        <v>Sí</v>
      </c>
      <c r="BF266" s="22" t="str">
        <f t="shared" si="58"/>
        <v>CPW03</v>
      </c>
      <c r="BG266" s="11"/>
      <c r="BH266" s="11" t="str">
        <f t="shared" si="60"/>
        <v>Programado pendiente</v>
      </c>
      <c r="BI266" s="12"/>
      <c r="BJ266" s="68"/>
    </row>
    <row r="267" spans="1:62" ht="18" customHeight="1" x14ac:dyDescent="0.3">
      <c r="A267" s="150"/>
      <c r="B267" s="43"/>
      <c r="C267" s="12">
        <v>46286</v>
      </c>
      <c r="D267" s="20">
        <f t="shared" si="59"/>
        <v>48</v>
      </c>
      <c r="E267" s="174" t="str">
        <f t="shared" si="61"/>
        <v/>
      </c>
      <c r="F267" s="174"/>
      <c r="G267" s="174" t="s">
        <v>71</v>
      </c>
      <c r="H267" s="174"/>
      <c r="I267" s="174">
        <v>24</v>
      </c>
      <c r="J267" s="174">
        <v>48</v>
      </c>
      <c r="K267" s="174" t="s">
        <v>71</v>
      </c>
      <c r="L267" s="174"/>
      <c r="M267" s="174" t="str">
        <f t="shared" si="53"/>
        <v/>
      </c>
      <c r="N267" s="174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 t="s">
        <v>71</v>
      </c>
      <c r="Z267" s="172"/>
      <c r="AA267" s="172"/>
      <c r="AB267" s="172"/>
      <c r="AC267" s="212"/>
      <c r="AD267" s="212"/>
      <c r="AE267" s="206"/>
      <c r="AF267" s="206"/>
      <c r="AG267" s="206"/>
      <c r="AH267" s="206"/>
      <c r="AI267" s="206"/>
      <c r="AJ267" s="206"/>
      <c r="AK267" s="206"/>
      <c r="AL267" s="206"/>
      <c r="AM267" s="206"/>
      <c r="AN267" s="206"/>
      <c r="AO267" s="206"/>
      <c r="AP267" s="206"/>
      <c r="AQ267" s="174"/>
      <c r="AR267" s="174"/>
      <c r="AS267" s="174"/>
      <c r="AT267" s="174"/>
      <c r="AU267" s="174"/>
      <c r="AV267" s="174"/>
      <c r="AW267" s="174"/>
      <c r="AX267" s="191"/>
      <c r="AY267" s="11"/>
      <c r="AZ267" s="11"/>
      <c r="BA267" s="11"/>
      <c r="BB267" s="11"/>
      <c r="BC267" s="11"/>
      <c r="BD267" s="13"/>
      <c r="BE267" s="11" t="str">
        <f t="shared" si="57"/>
        <v>Sí</v>
      </c>
      <c r="BF267" s="22" t="str">
        <f t="shared" si="58"/>
        <v>CPW03</v>
      </c>
      <c r="BG267" s="11"/>
      <c r="BH267" s="11" t="str">
        <f t="shared" si="60"/>
        <v>Programado pendiente</v>
      </c>
      <c r="BI267" s="12"/>
      <c r="BJ267" s="68"/>
    </row>
    <row r="268" spans="1:62" ht="18" customHeight="1" x14ac:dyDescent="0.3">
      <c r="A268" s="150"/>
      <c r="B268" s="43"/>
      <c r="C268" s="12">
        <v>46287</v>
      </c>
      <c r="D268" s="20">
        <f t="shared" si="59"/>
        <v>0</v>
      </c>
      <c r="E268" s="174" t="str">
        <f t="shared" si="61"/>
        <v/>
      </c>
      <c r="F268" s="174"/>
      <c r="G268" s="174" t="s">
        <v>71</v>
      </c>
      <c r="H268" s="174"/>
      <c r="I268" s="174"/>
      <c r="J268" s="174"/>
      <c r="K268" s="174" t="s">
        <v>71</v>
      </c>
      <c r="L268" s="174"/>
      <c r="M268" s="174" t="str">
        <f t="shared" si="53"/>
        <v/>
      </c>
      <c r="N268" s="174"/>
      <c r="O268" s="172"/>
      <c r="P268" s="172"/>
      <c r="Q268" s="172"/>
      <c r="R268" s="172"/>
      <c r="S268" s="172"/>
      <c r="T268" s="172"/>
      <c r="U268" s="172"/>
      <c r="V268" s="172"/>
      <c r="W268" s="172">
        <v>12</v>
      </c>
      <c r="X268" s="172">
        <v>24</v>
      </c>
      <c r="Y268" s="174" t="s">
        <v>71</v>
      </c>
      <c r="Z268" s="174"/>
      <c r="AA268" s="174"/>
      <c r="AB268" s="174"/>
      <c r="AC268" s="212"/>
      <c r="AD268" s="212"/>
      <c r="AE268" s="206"/>
      <c r="AF268" s="206"/>
      <c r="AG268" s="206"/>
      <c r="AH268" s="206"/>
      <c r="AI268" s="206"/>
      <c r="AJ268" s="206"/>
      <c r="AK268" s="206"/>
      <c r="AL268" s="206"/>
      <c r="AM268" s="206"/>
      <c r="AN268" s="206"/>
      <c r="AO268" s="206"/>
      <c r="AP268" s="206"/>
      <c r="AQ268" s="174"/>
      <c r="AR268" s="174"/>
      <c r="AS268" s="174"/>
      <c r="AT268" s="174"/>
      <c r="AU268" s="174"/>
      <c r="AV268" s="174"/>
      <c r="AW268" s="174"/>
      <c r="AX268" s="191"/>
      <c r="AY268" s="11"/>
      <c r="AZ268" s="11"/>
      <c r="BA268" s="11"/>
      <c r="BB268" s="11"/>
      <c r="BC268" s="11"/>
      <c r="BD268" s="13"/>
      <c r="BE268" s="11" t="str">
        <f t="shared" si="57"/>
        <v>Sí</v>
      </c>
      <c r="BF268" s="22" t="str">
        <f t="shared" si="58"/>
        <v>CPW12</v>
      </c>
      <c r="BG268" s="11"/>
      <c r="BH268" s="11" t="str">
        <f t="shared" si="60"/>
        <v>Programado pendiente</v>
      </c>
      <c r="BI268" s="12"/>
      <c r="BJ268" s="68"/>
    </row>
    <row r="269" spans="1:62" ht="18" customHeight="1" x14ac:dyDescent="0.3">
      <c r="A269" s="150"/>
      <c r="B269" s="43"/>
      <c r="C269" s="12">
        <v>46288</v>
      </c>
      <c r="D269" s="20">
        <f t="shared" si="59"/>
        <v>24</v>
      </c>
      <c r="E269" s="174">
        <v>12</v>
      </c>
      <c r="F269" s="174">
        <v>24</v>
      </c>
      <c r="G269" s="174" t="s">
        <v>71</v>
      </c>
      <c r="H269" s="174"/>
      <c r="I269" s="174"/>
      <c r="J269" s="174"/>
      <c r="K269" s="174" t="s">
        <v>71</v>
      </c>
      <c r="L269" s="174"/>
      <c r="M269" s="174" t="str">
        <f t="shared" ref="M269:M332" si="62">IF(MOD(C269-$C$76,42)=0,8,"")</f>
        <v/>
      </c>
      <c r="N269" s="174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4" t="s">
        <v>71</v>
      </c>
      <c r="Z269" s="174"/>
      <c r="AA269" s="174"/>
      <c r="AB269" s="174"/>
      <c r="AC269" s="212"/>
      <c r="AD269" s="212"/>
      <c r="AE269" s="206"/>
      <c r="AF269" s="206"/>
      <c r="AG269" s="206"/>
      <c r="AH269" s="206"/>
      <c r="AI269" s="206"/>
      <c r="AJ269" s="206"/>
      <c r="AK269" s="206"/>
      <c r="AL269" s="206"/>
      <c r="AM269" s="206"/>
      <c r="AN269" s="206"/>
      <c r="AO269" s="206"/>
      <c r="AP269" s="206"/>
      <c r="AQ269" s="174"/>
      <c r="AR269" s="174"/>
      <c r="AS269" s="174"/>
      <c r="AT269" s="174"/>
      <c r="AU269" s="174"/>
      <c r="AV269" s="174"/>
      <c r="AW269" s="174"/>
      <c r="AX269" s="191"/>
      <c r="AY269" s="11"/>
      <c r="AZ269" s="11"/>
      <c r="BA269" s="11"/>
      <c r="BB269" s="11"/>
      <c r="BC269" s="11"/>
      <c r="BD269" s="13"/>
      <c r="BE269" s="11" t="str">
        <f t="shared" si="57"/>
        <v>Sí</v>
      </c>
      <c r="BF269" s="22" t="str">
        <f t="shared" si="58"/>
        <v xml:space="preserve">CPW02
</v>
      </c>
      <c r="BG269" s="11"/>
      <c r="BH269" s="11" t="str">
        <f t="shared" si="60"/>
        <v>Programado pendiente</v>
      </c>
      <c r="BI269" s="12"/>
      <c r="BJ269" s="68"/>
    </row>
    <row r="270" spans="1:62" ht="18" customHeight="1" x14ac:dyDescent="0.3">
      <c r="A270" s="150"/>
      <c r="B270" s="43"/>
      <c r="C270" s="12">
        <v>46289</v>
      </c>
      <c r="D270" s="20">
        <f t="shared" si="59"/>
        <v>20</v>
      </c>
      <c r="E270" s="174" t="str">
        <f t="shared" si="61"/>
        <v/>
      </c>
      <c r="F270" s="174"/>
      <c r="G270" s="174" t="s">
        <v>71</v>
      </c>
      <c r="H270" s="174"/>
      <c r="I270" s="174"/>
      <c r="J270" s="174"/>
      <c r="K270" s="174" t="s">
        <v>71</v>
      </c>
      <c r="L270" s="174"/>
      <c r="M270" s="174" t="str">
        <f t="shared" si="62"/>
        <v/>
      </c>
      <c r="N270" s="174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4" t="s">
        <v>71</v>
      </c>
      <c r="Z270" s="174"/>
      <c r="AA270" s="174">
        <v>10</v>
      </c>
      <c r="AB270" s="174">
        <v>20</v>
      </c>
      <c r="AC270" s="212"/>
      <c r="AD270" s="212"/>
      <c r="AE270" s="206"/>
      <c r="AF270" s="206"/>
      <c r="AG270" s="206"/>
      <c r="AH270" s="206"/>
      <c r="AI270" s="206"/>
      <c r="AJ270" s="206"/>
      <c r="AK270" s="206"/>
      <c r="AL270" s="206"/>
      <c r="AM270" s="206"/>
      <c r="AN270" s="206"/>
      <c r="AO270" s="206"/>
      <c r="AP270" s="206"/>
      <c r="AQ270" s="174"/>
      <c r="AR270" s="174"/>
      <c r="AS270" s="174"/>
      <c r="AT270" s="174"/>
      <c r="AU270" s="174"/>
      <c r="AV270" s="174"/>
      <c r="AW270" s="174"/>
      <c r="AX270" s="191"/>
      <c r="AY270" s="11"/>
      <c r="AZ270" s="11"/>
      <c r="BA270" s="11"/>
      <c r="BB270" s="11"/>
      <c r="BC270" s="11"/>
      <c r="BD270" s="13"/>
      <c r="BE270" s="11" t="str">
        <f t="shared" si="57"/>
        <v>Sí</v>
      </c>
      <c r="BF270" s="22" t="str">
        <f t="shared" si="58"/>
        <v>JINAN 02</v>
      </c>
      <c r="BG270" s="11"/>
      <c r="BH270" s="11" t="str">
        <f t="shared" si="60"/>
        <v>Programado pendiente</v>
      </c>
      <c r="BI270" s="12"/>
      <c r="BJ270" s="68"/>
    </row>
    <row r="271" spans="1:62" ht="18" customHeight="1" x14ac:dyDescent="0.3">
      <c r="A271" s="150"/>
      <c r="B271" s="43"/>
      <c r="C271" s="12">
        <v>46290</v>
      </c>
      <c r="D271" s="20">
        <f t="shared" si="59"/>
        <v>20</v>
      </c>
      <c r="E271" s="174" t="str">
        <f t="shared" si="61"/>
        <v/>
      </c>
      <c r="F271" s="174"/>
      <c r="G271" s="174" t="s">
        <v>71</v>
      </c>
      <c r="H271" s="174"/>
      <c r="I271" s="174"/>
      <c r="J271" s="174"/>
      <c r="K271" s="174" t="s">
        <v>71</v>
      </c>
      <c r="L271" s="174"/>
      <c r="M271" s="174" t="str">
        <f t="shared" si="62"/>
        <v/>
      </c>
      <c r="N271" s="174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4">
        <v>10</v>
      </c>
      <c r="Z271" s="174">
        <v>20</v>
      </c>
      <c r="AA271" s="174"/>
      <c r="AB271" s="174"/>
      <c r="AC271" s="212"/>
      <c r="AD271" s="212"/>
      <c r="AE271" s="206"/>
      <c r="AF271" s="206"/>
      <c r="AG271" s="206"/>
      <c r="AH271" s="206"/>
      <c r="AI271" s="206"/>
      <c r="AJ271" s="206"/>
      <c r="AK271" s="206"/>
      <c r="AL271" s="206"/>
      <c r="AM271" s="206"/>
      <c r="AN271" s="206"/>
      <c r="AO271" s="206"/>
      <c r="AP271" s="206"/>
      <c r="AQ271" s="174"/>
      <c r="AR271" s="174"/>
      <c r="AS271" s="174"/>
      <c r="AT271" s="174"/>
      <c r="AU271" s="174"/>
      <c r="AV271" s="174"/>
      <c r="AW271" s="174"/>
      <c r="AX271" s="191"/>
      <c r="AY271" s="11"/>
      <c r="AZ271" s="11"/>
      <c r="BA271" s="11"/>
      <c r="BB271" s="11"/>
      <c r="BC271" s="11"/>
      <c r="BD271" s="13"/>
      <c r="BE271" s="11" t="str">
        <f t="shared" si="57"/>
        <v>Sí</v>
      </c>
      <c r="BF271" s="22" t="str">
        <f t="shared" si="58"/>
        <v>JINAN 01</v>
      </c>
      <c r="BG271" s="11"/>
      <c r="BH271" s="11" t="str">
        <f t="shared" si="60"/>
        <v>Programado pendiente</v>
      </c>
      <c r="BI271" s="12"/>
      <c r="BJ271" s="68"/>
    </row>
    <row r="272" spans="1:62" ht="18" customHeight="1" x14ac:dyDescent="0.3">
      <c r="A272" s="150"/>
      <c r="B272" s="43"/>
      <c r="C272" s="12">
        <v>46291</v>
      </c>
      <c r="D272" s="20">
        <f t="shared" si="59"/>
        <v>0</v>
      </c>
      <c r="E272" s="174" t="str">
        <f t="shared" si="61"/>
        <v/>
      </c>
      <c r="F272" s="174"/>
      <c r="G272" s="174" t="s">
        <v>71</v>
      </c>
      <c r="H272" s="174"/>
      <c r="I272" s="174"/>
      <c r="J272" s="174"/>
      <c r="K272" s="174" t="s">
        <v>71</v>
      </c>
      <c r="L272" s="174"/>
      <c r="M272" s="174" t="str">
        <f t="shared" si="62"/>
        <v/>
      </c>
      <c r="N272" s="174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4" t="s">
        <v>71</v>
      </c>
      <c r="Z272" s="174"/>
      <c r="AA272" s="174"/>
      <c r="AB272" s="174"/>
      <c r="AC272" s="212"/>
      <c r="AD272" s="212"/>
      <c r="AE272" s="206"/>
      <c r="AF272" s="206"/>
      <c r="AG272" s="206"/>
      <c r="AH272" s="206"/>
      <c r="AI272" s="206"/>
      <c r="AJ272" s="206"/>
      <c r="AK272" s="206"/>
      <c r="AL272" s="206"/>
      <c r="AM272" s="206"/>
      <c r="AN272" s="206"/>
      <c r="AO272" s="206"/>
      <c r="AP272" s="206"/>
      <c r="AQ272" s="174"/>
      <c r="AR272" s="174"/>
      <c r="AS272" s="174"/>
      <c r="AT272" s="174"/>
      <c r="AU272" s="174"/>
      <c r="AV272" s="174"/>
      <c r="AW272" s="174"/>
      <c r="AX272" s="191"/>
      <c r="AY272" s="11"/>
      <c r="AZ272" s="11"/>
      <c r="BA272" s="11"/>
      <c r="BB272" s="11"/>
      <c r="BC272" s="11"/>
      <c r="BD272" s="13"/>
      <c r="BE272" s="11" t="str">
        <f t="shared" si="57"/>
        <v>No</v>
      </c>
      <c r="BF272" s="22" t="str">
        <f t="shared" si="58"/>
        <v/>
      </c>
      <c r="BG272" s="11"/>
      <c r="BH272" s="11" t="str">
        <f t="shared" si="60"/>
        <v>No aplica</v>
      </c>
      <c r="BI272" s="12"/>
      <c r="BJ272" s="68"/>
    </row>
    <row r="273" spans="1:62" ht="18" customHeight="1" x14ac:dyDescent="0.3">
      <c r="A273" s="150"/>
      <c r="B273" s="43"/>
      <c r="C273" s="12">
        <v>46292</v>
      </c>
      <c r="D273" s="20">
        <f t="shared" si="59"/>
        <v>0</v>
      </c>
      <c r="E273" s="174" t="str">
        <f t="shared" si="61"/>
        <v/>
      </c>
      <c r="F273" s="174"/>
      <c r="G273" s="174" t="s">
        <v>71</v>
      </c>
      <c r="H273" s="174"/>
      <c r="I273" s="174"/>
      <c r="J273" s="174"/>
      <c r="K273" s="174" t="s">
        <v>71</v>
      </c>
      <c r="L273" s="174"/>
      <c r="M273" s="174" t="str">
        <f t="shared" si="62"/>
        <v/>
      </c>
      <c r="N273" s="174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4" t="s">
        <v>71</v>
      </c>
      <c r="Z273" s="174"/>
      <c r="AA273" s="174"/>
      <c r="AB273" s="174"/>
      <c r="AC273" s="212"/>
      <c r="AD273" s="212"/>
      <c r="AE273" s="206"/>
      <c r="AF273" s="206"/>
      <c r="AG273" s="206"/>
      <c r="AH273" s="206"/>
      <c r="AI273" s="206"/>
      <c r="AJ273" s="206"/>
      <c r="AK273" s="206"/>
      <c r="AL273" s="206"/>
      <c r="AM273" s="206"/>
      <c r="AN273" s="206"/>
      <c r="AO273" s="206"/>
      <c r="AP273" s="206"/>
      <c r="AQ273" s="174"/>
      <c r="AR273" s="174"/>
      <c r="AS273" s="174"/>
      <c r="AT273" s="174"/>
      <c r="AU273" s="174"/>
      <c r="AV273" s="174"/>
      <c r="AW273" s="174"/>
      <c r="AX273" s="191"/>
      <c r="AY273" s="11"/>
      <c r="AZ273" s="11"/>
      <c r="BA273" s="11"/>
      <c r="BB273" s="11"/>
      <c r="BC273" s="11"/>
      <c r="BD273" s="13"/>
      <c r="BE273" s="11" t="str">
        <f t="shared" si="57"/>
        <v>No</v>
      </c>
      <c r="BF273" s="22" t="str">
        <f t="shared" si="58"/>
        <v/>
      </c>
      <c r="BG273" s="11"/>
      <c r="BH273" s="11" t="str">
        <f t="shared" si="60"/>
        <v>No aplica</v>
      </c>
      <c r="BI273" s="12"/>
      <c r="BJ273" s="68"/>
    </row>
    <row r="274" spans="1:62" ht="18" customHeight="1" x14ac:dyDescent="0.3">
      <c r="A274" s="150"/>
      <c r="B274" s="43"/>
      <c r="C274" s="12">
        <v>46293</v>
      </c>
      <c r="D274" s="20">
        <f t="shared" si="59"/>
        <v>0</v>
      </c>
      <c r="E274" s="174" t="str">
        <f t="shared" si="61"/>
        <v/>
      </c>
      <c r="F274" s="174"/>
      <c r="G274" s="174" t="s">
        <v>71</v>
      </c>
      <c r="H274" s="174"/>
      <c r="I274" s="174" t="s">
        <v>71</v>
      </c>
      <c r="J274" s="174"/>
      <c r="K274" s="174" t="s">
        <v>71</v>
      </c>
      <c r="L274" s="174"/>
      <c r="M274" s="174" t="str">
        <f t="shared" si="62"/>
        <v/>
      </c>
      <c r="N274" s="174"/>
      <c r="O274" s="172"/>
      <c r="P274" s="172"/>
      <c r="Q274" s="172"/>
      <c r="R274" s="172"/>
      <c r="S274" s="178"/>
      <c r="T274" s="178"/>
      <c r="U274" s="172"/>
      <c r="V274" s="172"/>
      <c r="W274" s="172"/>
      <c r="X274" s="172"/>
      <c r="Y274" s="174" t="s">
        <v>71</v>
      </c>
      <c r="Z274" s="174"/>
      <c r="AA274" s="178"/>
      <c r="AB274" s="178"/>
      <c r="AC274" s="214"/>
      <c r="AD274" s="214"/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174"/>
      <c r="AR274" s="174"/>
      <c r="AS274" s="174"/>
      <c r="AT274" s="174"/>
      <c r="AU274" s="174"/>
      <c r="AV274" s="174"/>
      <c r="AW274" s="174"/>
      <c r="AX274" s="191"/>
      <c r="AY274" s="11"/>
      <c r="AZ274" s="11"/>
      <c r="BA274" s="11"/>
      <c r="BB274" s="11"/>
      <c r="BC274" s="11"/>
      <c r="BD274" s="13"/>
      <c r="BE274" s="11" t="str">
        <f t="shared" si="57"/>
        <v>No</v>
      </c>
      <c r="BF274" s="22" t="str">
        <f t="shared" si="58"/>
        <v/>
      </c>
      <c r="BG274" s="11"/>
      <c r="BH274" s="11" t="str">
        <f t="shared" si="60"/>
        <v>No aplica</v>
      </c>
      <c r="BI274" s="12"/>
      <c r="BJ274" s="68"/>
    </row>
    <row r="275" spans="1:62" ht="18" customHeight="1" x14ac:dyDescent="0.3">
      <c r="A275" s="150"/>
      <c r="B275" s="43"/>
      <c r="C275" s="12">
        <v>46294</v>
      </c>
      <c r="D275" s="20">
        <f t="shared" si="59"/>
        <v>0</v>
      </c>
      <c r="E275" s="174" t="str">
        <f t="shared" si="61"/>
        <v/>
      </c>
      <c r="F275" s="174"/>
      <c r="G275" s="174" t="s">
        <v>71</v>
      </c>
      <c r="H275" s="174"/>
      <c r="I275" s="174" t="s">
        <v>71</v>
      </c>
      <c r="J275" s="174"/>
      <c r="K275" s="174" t="s">
        <v>71</v>
      </c>
      <c r="L275" s="174"/>
      <c r="M275" s="174" t="str">
        <f t="shared" si="62"/>
        <v/>
      </c>
      <c r="N275" s="174"/>
      <c r="O275" s="172"/>
      <c r="P275" s="172"/>
      <c r="Q275" s="172"/>
      <c r="R275" s="172"/>
      <c r="S275" s="172">
        <v>10</v>
      </c>
      <c r="T275" s="172">
        <v>20</v>
      </c>
      <c r="U275" s="172"/>
      <c r="V275" s="172"/>
      <c r="W275" s="172"/>
      <c r="X275" s="172"/>
      <c r="Y275" s="172" t="s">
        <v>71</v>
      </c>
      <c r="Z275" s="172"/>
      <c r="AA275" s="174"/>
      <c r="AB275" s="174"/>
      <c r="AC275" s="212"/>
      <c r="AD275" s="212"/>
      <c r="AE275" s="206"/>
      <c r="AF275" s="206"/>
      <c r="AG275" s="206"/>
      <c r="AH275" s="206"/>
      <c r="AI275" s="206"/>
      <c r="AJ275" s="206"/>
      <c r="AK275" s="206"/>
      <c r="AL275" s="206"/>
      <c r="AM275" s="206"/>
      <c r="AN275" s="206"/>
      <c r="AO275" s="206"/>
      <c r="AP275" s="206"/>
      <c r="AQ275" s="174"/>
      <c r="AR275" s="174"/>
      <c r="AS275" s="174"/>
      <c r="AT275" s="174"/>
      <c r="AU275" s="174"/>
      <c r="AV275" s="174"/>
      <c r="AW275" s="174"/>
      <c r="AX275" s="191"/>
      <c r="AY275" s="11"/>
      <c r="AZ275" s="11"/>
      <c r="BA275" s="11"/>
      <c r="BB275" s="11"/>
      <c r="BC275" s="11"/>
      <c r="BD275" s="13"/>
      <c r="BE275" s="11" t="str">
        <f t="shared" si="57"/>
        <v>Sí</v>
      </c>
      <c r="BF275" s="22" t="str">
        <f t="shared" si="58"/>
        <v>CPW 10</v>
      </c>
      <c r="BG275" s="11"/>
      <c r="BH275" s="11" t="str">
        <f t="shared" si="60"/>
        <v>Programado pendiente</v>
      </c>
      <c r="BI275" s="12"/>
      <c r="BJ275" s="68"/>
    </row>
    <row r="276" spans="1:62" ht="18" customHeight="1" thickBot="1" x14ac:dyDescent="0.35">
      <c r="A276" s="151"/>
      <c r="B276" s="44"/>
      <c r="C276" s="30">
        <v>46295</v>
      </c>
      <c r="D276" s="31">
        <f t="shared" si="59"/>
        <v>20</v>
      </c>
      <c r="E276" s="182" t="str">
        <f t="shared" si="61"/>
        <v/>
      </c>
      <c r="F276" s="182"/>
      <c r="G276" s="182">
        <v>10</v>
      </c>
      <c r="H276" s="182">
        <v>20</v>
      </c>
      <c r="I276" s="182" t="s">
        <v>71</v>
      </c>
      <c r="J276" s="182"/>
      <c r="K276" s="182" t="s">
        <v>71</v>
      </c>
      <c r="L276" s="182"/>
      <c r="M276" s="182" t="str">
        <f t="shared" si="62"/>
        <v/>
      </c>
      <c r="N276" s="182"/>
      <c r="O276" s="179"/>
      <c r="P276" s="179"/>
      <c r="Q276" s="179"/>
      <c r="R276" s="179"/>
      <c r="S276" s="182"/>
      <c r="T276" s="182"/>
      <c r="U276" s="179"/>
      <c r="V276" s="179"/>
      <c r="W276" s="179"/>
      <c r="X276" s="179"/>
      <c r="Y276" s="179" t="s">
        <v>71</v>
      </c>
      <c r="Z276" s="179"/>
      <c r="AA276" s="179"/>
      <c r="AB276" s="179"/>
      <c r="AC276" s="215"/>
      <c r="AD276" s="215"/>
      <c r="AE276" s="216"/>
      <c r="AF276" s="216"/>
      <c r="AG276" s="216"/>
      <c r="AH276" s="216"/>
      <c r="AI276" s="216"/>
      <c r="AJ276" s="216"/>
      <c r="AK276" s="216"/>
      <c r="AL276" s="216"/>
      <c r="AM276" s="216"/>
      <c r="AN276" s="216"/>
      <c r="AO276" s="216"/>
      <c r="AP276" s="216"/>
      <c r="AQ276" s="182"/>
      <c r="AR276" s="182"/>
      <c r="AS276" s="182"/>
      <c r="AT276" s="182"/>
      <c r="AU276" s="182"/>
      <c r="AV276" s="182"/>
      <c r="AW276" s="182"/>
      <c r="AX276" s="199"/>
      <c r="AY276" s="70"/>
      <c r="AZ276" s="70"/>
      <c r="BA276" s="70"/>
      <c r="BB276" s="70"/>
      <c r="BC276" s="70"/>
      <c r="BD276" s="71"/>
      <c r="BE276" s="70" t="str">
        <f t="shared" si="57"/>
        <v>Sí</v>
      </c>
      <c r="BF276" s="72" t="str">
        <f t="shared" si="58"/>
        <v>CPW01</v>
      </c>
      <c r="BG276" s="70"/>
      <c r="BH276" s="70" t="str">
        <f t="shared" si="60"/>
        <v>Programado pendiente</v>
      </c>
      <c r="BI276" s="30"/>
      <c r="BJ276" s="73"/>
    </row>
    <row r="277" spans="1:62" ht="18" customHeight="1" x14ac:dyDescent="0.3">
      <c r="A277" s="148" t="s">
        <v>66</v>
      </c>
      <c r="B277" s="42"/>
      <c r="C277" s="15">
        <v>46296</v>
      </c>
      <c r="D277" s="27">
        <f>+F277+H277+J277+L277+N277+P277+R277+Z277+AB277+AD277+AF277+AH277+AJ277+AL277+AN277+AP277</f>
        <v>20</v>
      </c>
      <c r="E277" s="170" t="str">
        <f t="shared" si="61"/>
        <v/>
      </c>
      <c r="F277" s="170"/>
      <c r="G277" s="170" t="s">
        <v>71</v>
      </c>
      <c r="H277" s="170"/>
      <c r="I277" s="170" t="s">
        <v>71</v>
      </c>
      <c r="J277" s="170"/>
      <c r="K277" s="170">
        <v>10</v>
      </c>
      <c r="L277" s="170">
        <v>20</v>
      </c>
      <c r="M277" s="170" t="str">
        <f t="shared" si="62"/>
        <v/>
      </c>
      <c r="N277" s="170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 t="s">
        <v>71</v>
      </c>
      <c r="Z277" s="168"/>
      <c r="AA277" s="168"/>
      <c r="AB277" s="168"/>
      <c r="AC277" s="211"/>
      <c r="AD277" s="211"/>
      <c r="AE277" s="210"/>
      <c r="AF277" s="210"/>
      <c r="AG277" s="210"/>
      <c r="AH277" s="210"/>
      <c r="AI277" s="210"/>
      <c r="AJ277" s="210"/>
      <c r="AK277" s="210"/>
      <c r="AL277" s="210"/>
      <c r="AM277" s="210"/>
      <c r="AN277" s="210"/>
      <c r="AO277" s="210"/>
      <c r="AP277" s="210"/>
      <c r="AQ277" s="170"/>
      <c r="AR277" s="170"/>
      <c r="AS277" s="170"/>
      <c r="AT277" s="170"/>
      <c r="AU277" s="170"/>
      <c r="AV277" s="170"/>
      <c r="AW277" s="170"/>
      <c r="AX277" s="201"/>
      <c r="AY277" s="14"/>
      <c r="AZ277" s="14"/>
      <c r="BA277" s="14"/>
      <c r="BB277" s="14"/>
      <c r="BC277" s="14"/>
      <c r="BD277" s="65"/>
      <c r="BE277" s="14" t="str">
        <f>IF(SUM(E277,G277,I277,K277,M277,O277,Q277,S277,U277,W277,Y277,AA277,AC277,AE277,AG277,AI277,AK277,AM277,AO277,AQ277,AW277)&gt;0,"Sí","No")</f>
        <v>Sí</v>
      </c>
      <c r="BF277" s="21" t="str">
        <f>IF($BE277="Sí",_xlfn.TEXTJOIN(", ",TRUE,IF(N(E277)&gt;0,E$3,""),IF(N(G277)&gt;0,G$3,""),IF(N(I277)&gt;0,I$3,""),IF(N(K277)&gt;0,K$3,""),IF(N(M277)&gt;0,M$3,""),IF(N(O277)&gt;0,O$3,""),IF(N(Q277)&gt;0,Q$3,""),IF(N(S277)&gt;0,S$3,""),IF(N(U277)&gt;0,U$3,""),IF(N(W277)&gt;0,W$3,""),IF(N(Y277)&gt;0,Y$3,""),IF(N(AA277)&gt;0,AA$3,""),IF(N(AC277)&gt;0,AC$3,""),IF(N(AE277)&gt;0,AE$3,""),IF(N(AG277)&gt;0,AG$3,""),IF(N(AI277)&gt;0,AI$3,""),IF(N(AK277)&gt;0,AK$3,""),IF(N(AM277)&gt;0,AM$3,""),IF(N(AO277)&gt;0,AO$3,""),IF(N(AQ277)&gt;0,AQ$3,""),IF(N(AW277)&gt;0,AW$3,"")),"")</f>
        <v xml:space="preserve">CPW04
</v>
      </c>
      <c r="BG277" s="14"/>
      <c r="BH277" s="14" t="str">
        <f t="shared" si="60"/>
        <v>Programado pendiente</v>
      </c>
      <c r="BI277" s="15"/>
      <c r="BJ277" s="66"/>
    </row>
    <row r="278" spans="1:62" ht="18" customHeight="1" x14ac:dyDescent="0.3">
      <c r="A278" s="150"/>
      <c r="B278" s="43"/>
      <c r="C278" s="12">
        <v>46297</v>
      </c>
      <c r="D278" s="20">
        <f t="shared" si="59"/>
        <v>0</v>
      </c>
      <c r="E278" s="174" t="str">
        <f t="shared" si="61"/>
        <v/>
      </c>
      <c r="F278" s="174"/>
      <c r="G278" s="174" t="s">
        <v>71</v>
      </c>
      <c r="H278" s="174"/>
      <c r="I278" s="174" t="s">
        <v>71</v>
      </c>
      <c r="J278" s="174"/>
      <c r="K278" s="174" t="s">
        <v>71</v>
      </c>
      <c r="L278" s="174"/>
      <c r="M278" s="174" t="str">
        <f t="shared" si="62"/>
        <v/>
      </c>
      <c r="N278" s="174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 t="s">
        <v>71</v>
      </c>
      <c r="Z278" s="172"/>
      <c r="AA278" s="172"/>
      <c r="AB278" s="172"/>
      <c r="AC278" s="212"/>
      <c r="AD278" s="212"/>
      <c r="AE278" s="206"/>
      <c r="AF278" s="206"/>
      <c r="AG278" s="206"/>
      <c r="AH278" s="206"/>
      <c r="AI278" s="206"/>
      <c r="AJ278" s="206"/>
      <c r="AK278" s="206"/>
      <c r="AL278" s="206"/>
      <c r="AM278" s="206"/>
      <c r="AN278" s="206"/>
      <c r="AO278" s="206"/>
      <c r="AP278" s="206"/>
      <c r="AQ278" s="174"/>
      <c r="AR278" s="174"/>
      <c r="AS278" s="174"/>
      <c r="AT278" s="174"/>
      <c r="AU278" s="174"/>
      <c r="AV278" s="174"/>
      <c r="AW278" s="174"/>
      <c r="AX278" s="191"/>
      <c r="AY278" s="11"/>
      <c r="AZ278" s="11"/>
      <c r="BA278" s="11"/>
      <c r="BB278" s="11"/>
      <c r="BC278" s="11"/>
      <c r="BD278" s="13"/>
      <c r="BE278" s="11" t="str">
        <f t="shared" si="57"/>
        <v>No</v>
      </c>
      <c r="BF278" s="22" t="str">
        <f t="shared" si="58"/>
        <v/>
      </c>
      <c r="BG278" s="11"/>
      <c r="BH278" s="11" t="str">
        <f t="shared" si="60"/>
        <v>No aplica</v>
      </c>
      <c r="BI278" s="12"/>
      <c r="BJ278" s="68"/>
    </row>
    <row r="279" spans="1:62" ht="18" customHeight="1" x14ac:dyDescent="0.3">
      <c r="A279" s="150"/>
      <c r="B279" s="43"/>
      <c r="C279" s="12">
        <v>46298</v>
      </c>
      <c r="D279" s="20">
        <f t="shared" si="59"/>
        <v>0</v>
      </c>
      <c r="E279" s="174" t="str">
        <f t="shared" si="61"/>
        <v/>
      </c>
      <c r="F279" s="174"/>
      <c r="G279" s="174" t="s">
        <v>71</v>
      </c>
      <c r="H279" s="174"/>
      <c r="I279" s="174" t="s">
        <v>71</v>
      </c>
      <c r="J279" s="174"/>
      <c r="K279" s="174" t="s">
        <v>71</v>
      </c>
      <c r="L279" s="174"/>
      <c r="M279" s="174" t="str">
        <f t="shared" si="62"/>
        <v/>
      </c>
      <c r="N279" s="174"/>
      <c r="O279" s="172"/>
      <c r="P279" s="172"/>
      <c r="Q279" s="172"/>
      <c r="R279" s="172"/>
      <c r="S279" s="172"/>
      <c r="T279" s="172"/>
      <c r="U279" s="172">
        <v>12</v>
      </c>
      <c r="V279" s="172">
        <v>24</v>
      </c>
      <c r="W279" s="172"/>
      <c r="X279" s="172"/>
      <c r="Y279" s="172" t="s">
        <v>71</v>
      </c>
      <c r="Z279" s="172"/>
      <c r="AA279" s="172"/>
      <c r="AB279" s="172"/>
      <c r="AC279" s="212"/>
      <c r="AD279" s="212"/>
      <c r="AE279" s="206"/>
      <c r="AF279" s="206"/>
      <c r="AG279" s="206"/>
      <c r="AH279" s="206"/>
      <c r="AI279" s="206"/>
      <c r="AJ279" s="206"/>
      <c r="AK279" s="206"/>
      <c r="AL279" s="206"/>
      <c r="AM279" s="206"/>
      <c r="AN279" s="206"/>
      <c r="AO279" s="206"/>
      <c r="AP279" s="206"/>
      <c r="AQ279" s="174"/>
      <c r="AR279" s="174"/>
      <c r="AS279" s="174"/>
      <c r="AT279" s="174"/>
      <c r="AU279" s="174"/>
      <c r="AV279" s="174"/>
      <c r="AW279" s="174"/>
      <c r="AX279" s="191"/>
      <c r="AY279" s="11"/>
      <c r="AZ279" s="11"/>
      <c r="BA279" s="11"/>
      <c r="BB279" s="11"/>
      <c r="BC279" s="11"/>
      <c r="BD279" s="13"/>
      <c r="BE279" s="11" t="str">
        <f t="shared" si="57"/>
        <v>Sí</v>
      </c>
      <c r="BF279" s="22" t="str">
        <f t="shared" si="58"/>
        <v>CPW11</v>
      </c>
      <c r="BG279" s="11" t="s">
        <v>84</v>
      </c>
      <c r="BH279" s="11" t="str">
        <f t="shared" si="60"/>
        <v>Programado pendiente</v>
      </c>
      <c r="BI279" s="12"/>
      <c r="BJ279" s="68"/>
    </row>
    <row r="280" spans="1:62" ht="18" customHeight="1" x14ac:dyDescent="0.3">
      <c r="A280" s="150"/>
      <c r="B280" s="43"/>
      <c r="C280" s="12">
        <v>46299</v>
      </c>
      <c r="D280" s="20">
        <f t="shared" si="59"/>
        <v>24</v>
      </c>
      <c r="E280" s="174" t="str">
        <f t="shared" si="61"/>
        <v/>
      </c>
      <c r="F280" s="174"/>
      <c r="G280" s="174" t="s">
        <v>71</v>
      </c>
      <c r="H280" s="174"/>
      <c r="I280" s="174">
        <v>12</v>
      </c>
      <c r="J280" s="174">
        <v>24</v>
      </c>
      <c r="K280" s="174" t="s">
        <v>71</v>
      </c>
      <c r="L280" s="174"/>
      <c r="M280" s="174" t="str">
        <f t="shared" si="62"/>
        <v/>
      </c>
      <c r="N280" s="174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 t="s">
        <v>71</v>
      </c>
      <c r="Z280" s="172"/>
      <c r="AA280" s="172"/>
      <c r="AB280" s="172"/>
      <c r="AC280" s="212"/>
      <c r="AD280" s="212"/>
      <c r="AE280" s="206"/>
      <c r="AF280" s="206"/>
      <c r="AG280" s="206"/>
      <c r="AH280" s="206"/>
      <c r="AI280" s="206"/>
      <c r="AJ280" s="206"/>
      <c r="AK280" s="206"/>
      <c r="AL280" s="206"/>
      <c r="AM280" s="206"/>
      <c r="AN280" s="206"/>
      <c r="AO280" s="206"/>
      <c r="AP280" s="206"/>
      <c r="AQ280" s="174"/>
      <c r="AR280" s="174"/>
      <c r="AS280" s="174"/>
      <c r="AT280" s="174"/>
      <c r="AU280" s="174"/>
      <c r="AV280" s="174"/>
      <c r="AW280" s="174"/>
      <c r="AX280" s="191"/>
      <c r="AY280" s="11"/>
      <c r="AZ280" s="11"/>
      <c r="BA280" s="11"/>
      <c r="BB280" s="11"/>
      <c r="BC280" s="11"/>
      <c r="BD280" s="13"/>
      <c r="BE280" s="11" t="str">
        <f t="shared" si="57"/>
        <v>Sí</v>
      </c>
      <c r="BF280" s="22" t="str">
        <f t="shared" si="58"/>
        <v>CPW03</v>
      </c>
      <c r="BG280" s="11"/>
      <c r="BH280" s="11" t="str">
        <f t="shared" si="60"/>
        <v>Programado pendiente</v>
      </c>
      <c r="BI280" s="12"/>
      <c r="BJ280" s="68"/>
    </row>
    <row r="281" spans="1:62" ht="18" customHeight="1" x14ac:dyDescent="0.3">
      <c r="A281" s="150"/>
      <c r="B281" s="43"/>
      <c r="C281" s="12">
        <v>46300</v>
      </c>
      <c r="D281" s="20">
        <f t="shared" si="59"/>
        <v>0</v>
      </c>
      <c r="E281" s="174" t="str">
        <f t="shared" si="61"/>
        <v/>
      </c>
      <c r="F281" s="174"/>
      <c r="G281" s="174" t="s">
        <v>71</v>
      </c>
      <c r="H281" s="174"/>
      <c r="I281" s="174" t="s">
        <v>71</v>
      </c>
      <c r="J281" s="174"/>
      <c r="K281" s="174" t="s">
        <v>71</v>
      </c>
      <c r="L281" s="174"/>
      <c r="M281" s="174" t="str">
        <f t="shared" si="62"/>
        <v/>
      </c>
      <c r="N281" s="174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 t="s">
        <v>71</v>
      </c>
      <c r="Z281" s="172"/>
      <c r="AA281" s="172"/>
      <c r="AB281" s="172"/>
      <c r="AC281" s="212"/>
      <c r="AD281" s="212"/>
      <c r="AE281" s="206"/>
      <c r="AF281" s="206"/>
      <c r="AG281" s="206"/>
      <c r="AH281" s="206"/>
      <c r="AI281" s="206"/>
      <c r="AJ281" s="206"/>
      <c r="AK281" s="206"/>
      <c r="AL281" s="206"/>
      <c r="AM281" s="206"/>
      <c r="AN281" s="206"/>
      <c r="AO281" s="206"/>
      <c r="AP281" s="206"/>
      <c r="AQ281" s="174"/>
      <c r="AR281" s="174"/>
      <c r="AS281" s="174"/>
      <c r="AT281" s="174"/>
      <c r="AU281" s="174"/>
      <c r="AV281" s="174"/>
      <c r="AW281" s="174"/>
      <c r="AX281" s="191"/>
      <c r="AY281" s="11"/>
      <c r="AZ281" s="11"/>
      <c r="BA281" s="11"/>
      <c r="BB281" s="11"/>
      <c r="BC281" s="11"/>
      <c r="BD281" s="13"/>
      <c r="BE281" s="11" t="str">
        <f t="shared" si="57"/>
        <v>No</v>
      </c>
      <c r="BF281" s="22" t="str">
        <f t="shared" si="58"/>
        <v/>
      </c>
      <c r="BG281" s="11"/>
      <c r="BH281" s="11" t="str">
        <f t="shared" si="60"/>
        <v>No aplica</v>
      </c>
      <c r="BI281" s="12"/>
      <c r="BJ281" s="68"/>
    </row>
    <row r="282" spans="1:62" ht="18" customHeight="1" x14ac:dyDescent="0.3">
      <c r="A282" s="150"/>
      <c r="B282" s="43"/>
      <c r="C282" s="12">
        <v>46301</v>
      </c>
      <c r="D282" s="20">
        <f>+F282+H282+J282+L282+N282+P282+R282+Z282+AB282+AD282+AF282+AH282+AJ282+AL282+AN282+AP282</f>
        <v>0</v>
      </c>
      <c r="E282" s="174" t="str">
        <f t="shared" si="61"/>
        <v/>
      </c>
      <c r="F282" s="174"/>
      <c r="G282" s="174" t="s">
        <v>71</v>
      </c>
      <c r="H282" s="174"/>
      <c r="I282" s="174" t="s">
        <v>71</v>
      </c>
      <c r="J282" s="174"/>
      <c r="K282" s="174" t="s">
        <v>71</v>
      </c>
      <c r="L282" s="174"/>
      <c r="M282" s="174" t="str">
        <f t="shared" si="62"/>
        <v/>
      </c>
      <c r="N282" s="174"/>
      <c r="O282" s="172"/>
      <c r="P282" s="172"/>
      <c r="Q282" s="172"/>
      <c r="R282" s="172"/>
      <c r="S282" s="172"/>
      <c r="T282" s="172"/>
      <c r="U282" s="172"/>
      <c r="V282" s="172"/>
      <c r="W282" s="172">
        <v>12</v>
      </c>
      <c r="X282" s="172">
        <v>24</v>
      </c>
      <c r="Y282" s="172" t="s">
        <v>71</v>
      </c>
      <c r="Z282" s="172"/>
      <c r="AA282" s="172"/>
      <c r="AB282" s="172"/>
      <c r="AC282" s="212"/>
      <c r="AD282" s="212"/>
      <c r="AE282" s="206"/>
      <c r="AF282" s="206"/>
      <c r="AG282" s="206"/>
      <c r="AH282" s="206"/>
      <c r="AI282" s="206"/>
      <c r="AJ282" s="206"/>
      <c r="AK282" s="206"/>
      <c r="AL282" s="206"/>
      <c r="AM282" s="206"/>
      <c r="AN282" s="206"/>
      <c r="AO282" s="206"/>
      <c r="AP282" s="206"/>
      <c r="AQ282" s="174"/>
      <c r="AR282" s="174"/>
      <c r="AS282" s="174"/>
      <c r="AT282" s="174"/>
      <c r="AU282" s="174"/>
      <c r="AV282" s="174"/>
      <c r="AW282" s="174"/>
      <c r="AX282" s="191"/>
      <c r="AY282" s="11"/>
      <c r="AZ282" s="11"/>
      <c r="BA282" s="11"/>
      <c r="BB282" s="11"/>
      <c r="BC282" s="11"/>
      <c r="BD282" s="13"/>
      <c r="BE282" s="11" t="str">
        <f>IF(SUM(E282,G282,I282,K282,M282,O282,Q282,S282,U282,W282,Y282,AA282,AC282,AE282,AG282,AI282,AK282,AM282,AO282,AQ282,AW282)&gt;0,"Sí","No")</f>
        <v>Sí</v>
      </c>
      <c r="BF282" s="22" t="str">
        <f>IF($BE282="Sí",_xlfn.TEXTJOIN(", ",TRUE,IF(N(E282)&gt;0,E$3,""),IF(N(G282)&gt;0,G$3,""),IF(N(I282)&gt;0,I$3,""),IF(N(K282)&gt;0,K$3,""),IF(N(M282)&gt;0,M$3,""),IF(N(O282)&gt;0,O$3,""),IF(N(Q282)&gt;0,Q$3,""),IF(N(S282)&gt;0,S$3,""),IF(N(U282)&gt;0,U$3,""),IF(N(W282)&gt;0,W$3,""),IF(N(Y282)&gt;0,Y$3,""),IF(N(AA282)&gt;0,AA$3,""),IF(N(AC282)&gt;0,AC$3,""),IF(N(AE282)&gt;0,AE$3,""),IF(N(AG282)&gt;0,AG$3,""),IF(N(AI282)&gt;0,AI$3,""),IF(N(AK282)&gt;0,AK$3,""),IF(N(AM282)&gt;0,AM$3,""),IF(N(AO282)&gt;0,AO$3,""),IF(N(AQ282)&gt;0,AQ$3,""),IF(N(AW282)&gt;0,AW$3,"")),"")</f>
        <v>CPW12</v>
      </c>
      <c r="BG282" s="11"/>
      <c r="BH282" s="11" t="str">
        <f t="shared" si="60"/>
        <v>Programado pendiente</v>
      </c>
      <c r="BI282" s="12"/>
      <c r="BJ282" s="68"/>
    </row>
    <row r="283" spans="1:62" ht="18" customHeight="1" x14ac:dyDescent="0.3">
      <c r="A283" s="150"/>
      <c r="B283" s="43"/>
      <c r="C283" s="12">
        <v>46302</v>
      </c>
      <c r="D283" s="20">
        <f t="shared" si="59"/>
        <v>0</v>
      </c>
      <c r="E283" s="174" t="str">
        <f t="shared" si="61"/>
        <v/>
      </c>
      <c r="F283" s="174"/>
      <c r="G283" s="174" t="s">
        <v>71</v>
      </c>
      <c r="H283" s="174"/>
      <c r="I283" s="174" t="s">
        <v>71</v>
      </c>
      <c r="J283" s="174"/>
      <c r="K283" s="174" t="s">
        <v>71</v>
      </c>
      <c r="L283" s="174"/>
      <c r="M283" s="174" t="str">
        <f t="shared" si="62"/>
        <v/>
      </c>
      <c r="N283" s="174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4" t="s">
        <v>71</v>
      </c>
      <c r="Z283" s="174"/>
      <c r="AA283" s="174"/>
      <c r="AB283" s="174"/>
      <c r="AC283" s="212"/>
      <c r="AD283" s="212"/>
      <c r="AE283" s="206"/>
      <c r="AF283" s="206"/>
      <c r="AG283" s="206"/>
      <c r="AH283" s="206"/>
      <c r="AI283" s="206"/>
      <c r="AJ283" s="206"/>
      <c r="AK283" s="206"/>
      <c r="AL283" s="206"/>
      <c r="AM283" s="206"/>
      <c r="AN283" s="206"/>
      <c r="AO283" s="206"/>
      <c r="AP283" s="206"/>
      <c r="AQ283" s="174"/>
      <c r="AR283" s="174"/>
      <c r="AS283" s="174"/>
      <c r="AT283" s="174"/>
      <c r="AU283" s="174"/>
      <c r="AV283" s="174"/>
      <c r="AW283" s="174"/>
      <c r="AX283" s="191"/>
      <c r="AY283" s="11"/>
      <c r="AZ283" s="11"/>
      <c r="BA283" s="11"/>
      <c r="BB283" s="11"/>
      <c r="BC283" s="11"/>
      <c r="BD283" s="13"/>
      <c r="BE283" s="11" t="str">
        <f t="shared" si="57"/>
        <v>No</v>
      </c>
      <c r="BF283" s="22" t="str">
        <f t="shared" si="58"/>
        <v/>
      </c>
      <c r="BG283" s="11"/>
      <c r="BH283" s="11" t="str">
        <f t="shared" si="60"/>
        <v>No aplica</v>
      </c>
      <c r="BI283" s="12"/>
      <c r="BJ283" s="68"/>
    </row>
    <row r="284" spans="1:62" ht="18" customHeight="1" x14ac:dyDescent="0.3">
      <c r="A284" s="150"/>
      <c r="B284" s="43"/>
      <c r="C284" s="12">
        <v>46303</v>
      </c>
      <c r="D284" s="20">
        <f t="shared" si="59"/>
        <v>0</v>
      </c>
      <c r="E284" s="174" t="str">
        <f t="shared" si="61"/>
        <v/>
      </c>
      <c r="F284" s="174"/>
      <c r="G284" s="174" t="s">
        <v>71</v>
      </c>
      <c r="H284" s="174"/>
      <c r="I284" s="174" t="s">
        <v>71</v>
      </c>
      <c r="J284" s="174"/>
      <c r="K284" s="174" t="s">
        <v>71</v>
      </c>
      <c r="L284" s="174"/>
      <c r="M284" s="174" t="str">
        <f t="shared" si="62"/>
        <v/>
      </c>
      <c r="N284" s="174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4" t="s">
        <v>71</v>
      </c>
      <c r="Z284" s="174"/>
      <c r="AA284" s="174"/>
      <c r="AB284" s="174"/>
      <c r="AC284" s="212"/>
      <c r="AD284" s="212"/>
      <c r="AE284" s="206"/>
      <c r="AF284" s="206"/>
      <c r="AG284" s="206"/>
      <c r="AH284" s="206"/>
      <c r="AI284" s="206"/>
      <c r="AJ284" s="206"/>
      <c r="AK284" s="206"/>
      <c r="AL284" s="206"/>
      <c r="AM284" s="206"/>
      <c r="AN284" s="206"/>
      <c r="AO284" s="206"/>
      <c r="AP284" s="206"/>
      <c r="AQ284" s="174"/>
      <c r="AR284" s="174"/>
      <c r="AS284" s="174"/>
      <c r="AT284" s="174"/>
      <c r="AU284" s="174"/>
      <c r="AV284" s="174"/>
      <c r="AW284" s="174"/>
      <c r="AX284" s="191"/>
      <c r="AY284" s="11"/>
      <c r="AZ284" s="11"/>
      <c r="BA284" s="11"/>
      <c r="BB284" s="11"/>
      <c r="BC284" s="11"/>
      <c r="BD284" s="13"/>
      <c r="BE284" s="11" t="str">
        <f t="shared" si="57"/>
        <v>No</v>
      </c>
      <c r="BF284" s="22" t="str">
        <f t="shared" si="58"/>
        <v/>
      </c>
      <c r="BG284" s="11"/>
      <c r="BH284" s="11" t="str">
        <f t="shared" si="60"/>
        <v>No aplica</v>
      </c>
      <c r="BI284" s="12"/>
      <c r="BJ284" s="68"/>
    </row>
    <row r="285" spans="1:62" ht="18" customHeight="1" x14ac:dyDescent="0.3">
      <c r="A285" s="150"/>
      <c r="B285" s="43"/>
      <c r="C285" s="12">
        <v>46304</v>
      </c>
      <c r="D285" s="20">
        <f t="shared" si="59"/>
        <v>20</v>
      </c>
      <c r="E285" s="174" t="str">
        <f t="shared" si="61"/>
        <v/>
      </c>
      <c r="F285" s="174"/>
      <c r="G285" s="174" t="s">
        <v>71</v>
      </c>
      <c r="H285" s="174"/>
      <c r="I285" s="174" t="s">
        <v>71</v>
      </c>
      <c r="J285" s="174"/>
      <c r="K285" s="174" t="s">
        <v>71</v>
      </c>
      <c r="L285" s="174"/>
      <c r="M285" s="174" t="str">
        <f t="shared" si="62"/>
        <v/>
      </c>
      <c r="N285" s="174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4" t="s">
        <v>71</v>
      </c>
      <c r="Z285" s="174"/>
      <c r="AA285" s="174">
        <v>10</v>
      </c>
      <c r="AB285" s="174">
        <v>20</v>
      </c>
      <c r="AC285" s="212"/>
      <c r="AD285" s="212"/>
      <c r="AE285" s="206"/>
      <c r="AF285" s="206"/>
      <c r="AG285" s="206"/>
      <c r="AH285" s="206"/>
      <c r="AI285" s="206"/>
      <c r="AJ285" s="206"/>
      <c r="AK285" s="206"/>
      <c r="AL285" s="206"/>
      <c r="AM285" s="206"/>
      <c r="AN285" s="206"/>
      <c r="AO285" s="206"/>
      <c r="AP285" s="206"/>
      <c r="AQ285" s="174"/>
      <c r="AR285" s="174"/>
      <c r="AS285" s="174"/>
      <c r="AT285" s="174"/>
      <c r="AU285" s="174"/>
      <c r="AV285" s="174"/>
      <c r="AW285" s="174"/>
      <c r="AX285" s="191"/>
      <c r="AY285" s="11"/>
      <c r="AZ285" s="11"/>
      <c r="BA285" s="11"/>
      <c r="BB285" s="11"/>
      <c r="BC285" s="11"/>
      <c r="BD285" s="13"/>
      <c r="BE285" s="11" t="str">
        <f t="shared" si="57"/>
        <v>Sí</v>
      </c>
      <c r="BF285" s="22" t="str">
        <f t="shared" si="58"/>
        <v>JINAN 02</v>
      </c>
      <c r="BG285" s="11"/>
      <c r="BH285" s="11" t="str">
        <f t="shared" si="60"/>
        <v>Programado pendiente</v>
      </c>
      <c r="BI285" s="12"/>
      <c r="BJ285" s="68"/>
    </row>
    <row r="286" spans="1:62" ht="18" customHeight="1" x14ac:dyDescent="0.3">
      <c r="A286" s="150"/>
      <c r="B286" s="43"/>
      <c r="C286" s="12">
        <v>46305</v>
      </c>
      <c r="D286" s="20">
        <f t="shared" si="59"/>
        <v>20</v>
      </c>
      <c r="E286" s="174" t="str">
        <f t="shared" si="61"/>
        <v/>
      </c>
      <c r="F286" s="174"/>
      <c r="G286" s="174" t="s">
        <v>71</v>
      </c>
      <c r="H286" s="174"/>
      <c r="I286" s="174" t="s">
        <v>71</v>
      </c>
      <c r="J286" s="174"/>
      <c r="K286" s="174" t="s">
        <v>71</v>
      </c>
      <c r="L286" s="174"/>
      <c r="M286" s="174"/>
      <c r="N286" s="174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4">
        <v>10</v>
      </c>
      <c r="Z286" s="174">
        <v>20</v>
      </c>
      <c r="AA286" s="174"/>
      <c r="AB286" s="174"/>
      <c r="AC286" s="212"/>
      <c r="AD286" s="212"/>
      <c r="AE286" s="206"/>
      <c r="AF286" s="206"/>
      <c r="AG286" s="206"/>
      <c r="AH286" s="206"/>
      <c r="AI286" s="206"/>
      <c r="AJ286" s="206"/>
      <c r="AK286" s="206"/>
      <c r="AL286" s="206"/>
      <c r="AM286" s="206"/>
      <c r="AN286" s="206"/>
      <c r="AO286" s="206"/>
      <c r="AP286" s="206"/>
      <c r="AQ286" s="174"/>
      <c r="AR286" s="174"/>
      <c r="AS286" s="174"/>
      <c r="AT286" s="174"/>
      <c r="AU286" s="174"/>
      <c r="AV286" s="174"/>
      <c r="AW286" s="174"/>
      <c r="AX286" s="191"/>
      <c r="AY286" s="11"/>
      <c r="AZ286" s="11"/>
      <c r="BA286" s="11"/>
      <c r="BB286" s="11"/>
      <c r="BC286" s="11"/>
      <c r="BD286" s="13"/>
      <c r="BE286" s="11" t="str">
        <f t="shared" si="57"/>
        <v>Sí</v>
      </c>
      <c r="BF286" s="22" t="str">
        <f t="shared" si="58"/>
        <v>JINAN 01</v>
      </c>
      <c r="BG286" s="11"/>
      <c r="BH286" s="11" t="str">
        <f t="shared" si="60"/>
        <v>Programado pendiente</v>
      </c>
      <c r="BI286" s="12"/>
      <c r="BJ286" s="68"/>
    </row>
    <row r="287" spans="1:62" ht="18" customHeight="1" x14ac:dyDescent="0.3">
      <c r="A287" s="150"/>
      <c r="B287" s="43"/>
      <c r="C287" s="12">
        <v>46306</v>
      </c>
      <c r="D287" s="20">
        <f t="shared" si="59"/>
        <v>20</v>
      </c>
      <c r="E287" s="174" t="str">
        <f t="shared" si="61"/>
        <v/>
      </c>
      <c r="F287" s="174"/>
      <c r="G287" s="174" t="s">
        <v>71</v>
      </c>
      <c r="H287" s="174"/>
      <c r="I287" s="174" t="s">
        <v>71</v>
      </c>
      <c r="J287" s="174"/>
      <c r="K287" s="174" t="s">
        <v>71</v>
      </c>
      <c r="L287" s="174"/>
      <c r="M287" s="174">
        <v>10</v>
      </c>
      <c r="N287" s="174">
        <v>20</v>
      </c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4" t="s">
        <v>71</v>
      </c>
      <c r="Z287" s="174"/>
      <c r="AA287" s="174"/>
      <c r="AB287" s="174"/>
      <c r="AC287" s="212"/>
      <c r="AD287" s="212"/>
      <c r="AE287" s="206"/>
      <c r="AF287" s="206"/>
      <c r="AG287" s="206"/>
      <c r="AH287" s="206"/>
      <c r="AI287" s="206"/>
      <c r="AJ287" s="206"/>
      <c r="AK287" s="206"/>
      <c r="AL287" s="206"/>
      <c r="AM287" s="206"/>
      <c r="AN287" s="206"/>
      <c r="AO287" s="206"/>
      <c r="AP287" s="206"/>
      <c r="AQ287" s="174"/>
      <c r="AR287" s="174"/>
      <c r="AS287" s="174"/>
      <c r="AT287" s="174"/>
      <c r="AU287" s="174"/>
      <c r="AV287" s="174"/>
      <c r="AW287" s="174"/>
      <c r="AX287" s="191"/>
      <c r="AY287" s="11"/>
      <c r="AZ287" s="11"/>
      <c r="BA287" s="11"/>
      <c r="BB287" s="11"/>
      <c r="BC287" s="11"/>
      <c r="BD287" s="13"/>
      <c r="BE287" s="11" t="str">
        <f t="shared" si="57"/>
        <v>Sí</v>
      </c>
      <c r="BF287" s="22" t="str">
        <f t="shared" si="58"/>
        <v>CPW05</v>
      </c>
      <c r="BG287" s="11"/>
      <c r="BH287" s="11" t="str">
        <f t="shared" si="60"/>
        <v>Programado pendiente</v>
      </c>
      <c r="BI287" s="12"/>
      <c r="BJ287" s="68"/>
    </row>
    <row r="288" spans="1:62" ht="18" customHeight="1" x14ac:dyDescent="0.3">
      <c r="A288" s="150"/>
      <c r="B288" s="43"/>
      <c r="C288" s="12">
        <v>46307</v>
      </c>
      <c r="D288" s="20">
        <f t="shared" si="59"/>
        <v>0</v>
      </c>
      <c r="E288" s="174" t="str">
        <f t="shared" si="61"/>
        <v/>
      </c>
      <c r="F288" s="174"/>
      <c r="G288" s="174" t="s">
        <v>71</v>
      </c>
      <c r="H288" s="174"/>
      <c r="I288" s="174" t="s">
        <v>71</v>
      </c>
      <c r="J288" s="174"/>
      <c r="K288" s="174" t="s">
        <v>71</v>
      </c>
      <c r="L288" s="174"/>
      <c r="M288" s="174" t="str">
        <f t="shared" si="62"/>
        <v/>
      </c>
      <c r="N288" s="174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4" t="s">
        <v>71</v>
      </c>
      <c r="Z288" s="174"/>
      <c r="AA288" s="174"/>
      <c r="AB288" s="174"/>
      <c r="AC288" s="212"/>
      <c r="AD288" s="212"/>
      <c r="AE288" s="206"/>
      <c r="AF288" s="206"/>
      <c r="AG288" s="206"/>
      <c r="AH288" s="206"/>
      <c r="AI288" s="206"/>
      <c r="AJ288" s="206"/>
      <c r="AK288" s="206"/>
      <c r="AL288" s="206"/>
      <c r="AM288" s="206"/>
      <c r="AN288" s="206"/>
      <c r="AO288" s="206"/>
      <c r="AP288" s="206"/>
      <c r="AQ288" s="174"/>
      <c r="AR288" s="174"/>
      <c r="AS288" s="174"/>
      <c r="AT288" s="174"/>
      <c r="AU288" s="174"/>
      <c r="AV288" s="174"/>
      <c r="AW288" s="174"/>
      <c r="AX288" s="191"/>
      <c r="AY288" s="11"/>
      <c r="AZ288" s="11"/>
      <c r="BA288" s="11"/>
      <c r="BB288" s="11"/>
      <c r="BC288" s="11"/>
      <c r="BD288" s="13"/>
      <c r="BE288" s="11" t="str">
        <f t="shared" si="57"/>
        <v>No</v>
      </c>
      <c r="BF288" s="22" t="str">
        <f t="shared" si="58"/>
        <v/>
      </c>
      <c r="BG288" s="11"/>
      <c r="BH288" s="11" t="str">
        <f t="shared" si="60"/>
        <v>No aplica</v>
      </c>
      <c r="BI288" s="12"/>
      <c r="BJ288" s="68"/>
    </row>
    <row r="289" spans="1:62" ht="18" customHeight="1" x14ac:dyDescent="0.3">
      <c r="A289" s="150"/>
      <c r="B289" s="43"/>
      <c r="C289" s="12">
        <v>46308</v>
      </c>
      <c r="D289" s="20">
        <f t="shared" si="59"/>
        <v>0</v>
      </c>
      <c r="E289" s="174" t="str">
        <f t="shared" si="61"/>
        <v/>
      </c>
      <c r="F289" s="174"/>
      <c r="G289" s="174" t="s">
        <v>71</v>
      </c>
      <c r="H289" s="174"/>
      <c r="I289" s="174"/>
      <c r="J289" s="174"/>
      <c r="K289" s="174" t="s">
        <v>71</v>
      </c>
      <c r="L289" s="174"/>
      <c r="M289" s="174" t="str">
        <f t="shared" si="62"/>
        <v/>
      </c>
      <c r="N289" s="174"/>
      <c r="O289" s="172"/>
      <c r="P289" s="172"/>
      <c r="Q289" s="172"/>
      <c r="R289" s="172"/>
      <c r="S289" s="178"/>
      <c r="T289" s="178"/>
      <c r="U289" s="172"/>
      <c r="V289" s="172"/>
      <c r="W289" s="172"/>
      <c r="X289" s="172"/>
      <c r="Y289" s="174" t="s">
        <v>71</v>
      </c>
      <c r="Z289" s="174"/>
      <c r="AA289" s="178"/>
      <c r="AB289" s="178"/>
      <c r="AC289" s="214"/>
      <c r="AD289" s="214"/>
      <c r="AE289" s="207"/>
      <c r="AF289" s="207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174"/>
      <c r="AR289" s="174"/>
      <c r="AS289" s="174"/>
      <c r="AT289" s="174"/>
      <c r="AU289" s="174"/>
      <c r="AV289" s="174"/>
      <c r="AW289" s="174"/>
      <c r="AX289" s="191"/>
      <c r="AY289" s="11"/>
      <c r="AZ289" s="11"/>
      <c r="BA289" s="11"/>
      <c r="BB289" s="11"/>
      <c r="BC289" s="11"/>
      <c r="BD289" s="13"/>
      <c r="BE289" s="11" t="str">
        <f t="shared" si="57"/>
        <v>No</v>
      </c>
      <c r="BF289" s="22" t="str">
        <f t="shared" si="58"/>
        <v/>
      </c>
      <c r="BG289" s="11"/>
      <c r="BH289" s="11" t="str">
        <f t="shared" si="60"/>
        <v>No aplica</v>
      </c>
      <c r="BI289" s="12"/>
      <c r="BJ289" s="68"/>
    </row>
    <row r="290" spans="1:62" ht="18" customHeight="1" x14ac:dyDescent="0.3">
      <c r="A290" s="150"/>
      <c r="B290" s="43"/>
      <c r="C290" s="12">
        <v>46309</v>
      </c>
      <c r="D290" s="20">
        <f t="shared" si="59"/>
        <v>0</v>
      </c>
      <c r="E290" s="174" t="str">
        <f t="shared" si="61"/>
        <v/>
      </c>
      <c r="F290" s="174"/>
      <c r="G290" s="174" t="s">
        <v>71</v>
      </c>
      <c r="H290" s="174"/>
      <c r="I290" s="174" t="s">
        <v>71</v>
      </c>
      <c r="J290" s="174"/>
      <c r="K290" s="174" t="s">
        <v>71</v>
      </c>
      <c r="L290" s="174"/>
      <c r="M290" s="174" t="str">
        <f t="shared" si="62"/>
        <v/>
      </c>
      <c r="N290" s="174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 t="s">
        <v>71</v>
      </c>
      <c r="Z290" s="172"/>
      <c r="AA290" s="174"/>
      <c r="AB290" s="174"/>
      <c r="AC290" s="212"/>
      <c r="AD290" s="212"/>
      <c r="AE290" s="206"/>
      <c r="AF290" s="206"/>
      <c r="AG290" s="206"/>
      <c r="AH290" s="206"/>
      <c r="AI290" s="206"/>
      <c r="AJ290" s="206"/>
      <c r="AK290" s="206"/>
      <c r="AL290" s="206"/>
      <c r="AM290" s="206"/>
      <c r="AN290" s="206"/>
      <c r="AO290" s="206"/>
      <c r="AP290" s="206"/>
      <c r="AQ290" s="174"/>
      <c r="AR290" s="174"/>
      <c r="AS290" s="174"/>
      <c r="AT290" s="174"/>
      <c r="AU290" s="174"/>
      <c r="AV290" s="174"/>
      <c r="AW290" s="174"/>
      <c r="AX290" s="191"/>
      <c r="AY290" s="11"/>
      <c r="AZ290" s="11"/>
      <c r="BA290" s="11"/>
      <c r="BB290" s="11"/>
      <c r="BC290" s="11"/>
      <c r="BD290" s="13"/>
      <c r="BE290" s="11" t="str">
        <f t="shared" si="57"/>
        <v>No</v>
      </c>
      <c r="BF290" s="22" t="str">
        <f t="shared" si="58"/>
        <v/>
      </c>
      <c r="BG290" s="11"/>
      <c r="BH290" s="11" t="str">
        <f t="shared" si="60"/>
        <v>No aplica</v>
      </c>
      <c r="BI290" s="12"/>
      <c r="BJ290" s="68"/>
    </row>
    <row r="291" spans="1:62" ht="18" customHeight="1" x14ac:dyDescent="0.3">
      <c r="A291" s="150"/>
      <c r="B291" s="43"/>
      <c r="C291" s="12">
        <v>46310</v>
      </c>
      <c r="D291" s="20">
        <f t="shared" si="59"/>
        <v>0</v>
      </c>
      <c r="E291" s="174" t="str">
        <f t="shared" si="61"/>
        <v/>
      </c>
      <c r="F291" s="174"/>
      <c r="G291" s="174" t="s">
        <v>71</v>
      </c>
      <c r="H291" s="174"/>
      <c r="I291" s="174" t="s">
        <v>71</v>
      </c>
      <c r="J291" s="174"/>
      <c r="K291" s="174" t="s">
        <v>71</v>
      </c>
      <c r="L291" s="174"/>
      <c r="M291" s="174" t="str">
        <f t="shared" si="62"/>
        <v/>
      </c>
      <c r="N291" s="174"/>
      <c r="O291" s="172"/>
      <c r="P291" s="172"/>
      <c r="Q291" s="172"/>
      <c r="R291" s="172"/>
      <c r="S291" s="174">
        <v>10</v>
      </c>
      <c r="T291" s="174">
        <v>20</v>
      </c>
      <c r="U291" s="172"/>
      <c r="V291" s="172"/>
      <c r="W291" s="172"/>
      <c r="X291" s="172"/>
      <c r="Y291" s="172" t="s">
        <v>71</v>
      </c>
      <c r="Z291" s="172"/>
      <c r="AA291" s="172"/>
      <c r="AB291" s="172"/>
      <c r="AC291" s="212"/>
      <c r="AD291" s="212"/>
      <c r="AE291" s="206"/>
      <c r="AF291" s="206"/>
      <c r="AG291" s="206"/>
      <c r="AH291" s="206"/>
      <c r="AI291" s="206"/>
      <c r="AJ291" s="206"/>
      <c r="AK291" s="206"/>
      <c r="AL291" s="206"/>
      <c r="AM291" s="206"/>
      <c r="AN291" s="206"/>
      <c r="AO291" s="206"/>
      <c r="AP291" s="206"/>
      <c r="AQ291" s="174"/>
      <c r="AR291" s="174"/>
      <c r="AS291" s="174"/>
      <c r="AT291" s="174"/>
      <c r="AU291" s="174"/>
      <c r="AV291" s="174"/>
      <c r="AW291" s="174"/>
      <c r="AX291" s="191"/>
      <c r="AY291" s="11"/>
      <c r="AZ291" s="11"/>
      <c r="BA291" s="11"/>
      <c r="BB291" s="11"/>
      <c r="BC291" s="11"/>
      <c r="BD291" s="13"/>
      <c r="BE291" s="11" t="str">
        <f t="shared" si="57"/>
        <v>Sí</v>
      </c>
      <c r="BF291" s="22" t="str">
        <f t="shared" si="58"/>
        <v>CPW 10</v>
      </c>
      <c r="BG291" s="11"/>
      <c r="BH291" s="11" t="str">
        <f t="shared" si="60"/>
        <v>Programado pendiente</v>
      </c>
      <c r="BI291" s="12"/>
      <c r="BJ291" s="68"/>
    </row>
    <row r="292" spans="1:62" ht="18" customHeight="1" x14ac:dyDescent="0.3">
      <c r="A292" s="150"/>
      <c r="B292" s="43"/>
      <c r="C292" s="12">
        <v>46311</v>
      </c>
      <c r="D292" s="20">
        <f t="shared" si="59"/>
        <v>0</v>
      </c>
      <c r="E292" s="174" t="str">
        <f t="shared" si="61"/>
        <v/>
      </c>
      <c r="F292" s="174"/>
      <c r="G292" s="174" t="s">
        <v>71</v>
      </c>
      <c r="H292" s="174"/>
      <c r="I292" s="174"/>
      <c r="J292" s="174"/>
      <c r="K292" s="174" t="s">
        <v>71</v>
      </c>
      <c r="L292" s="174"/>
      <c r="M292" s="174" t="str">
        <f t="shared" si="62"/>
        <v/>
      </c>
      <c r="N292" s="174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 t="s">
        <v>71</v>
      </c>
      <c r="Z292" s="172"/>
      <c r="AA292" s="172"/>
      <c r="AB292" s="172"/>
      <c r="AC292" s="212"/>
      <c r="AD292" s="212"/>
      <c r="AE292" s="206"/>
      <c r="AF292" s="206"/>
      <c r="AG292" s="206"/>
      <c r="AH292" s="206"/>
      <c r="AI292" s="206"/>
      <c r="AJ292" s="206"/>
      <c r="AK292" s="206"/>
      <c r="AL292" s="206"/>
      <c r="AM292" s="206"/>
      <c r="AN292" s="206"/>
      <c r="AO292" s="206"/>
      <c r="AP292" s="206"/>
      <c r="AQ292" s="174"/>
      <c r="AR292" s="174"/>
      <c r="AS292" s="174"/>
      <c r="AT292" s="174"/>
      <c r="AU292" s="174"/>
      <c r="AV292" s="174"/>
      <c r="AW292" s="174"/>
      <c r="AX292" s="191"/>
      <c r="AY292" s="11"/>
      <c r="AZ292" s="11"/>
      <c r="BA292" s="11"/>
      <c r="BB292" s="11"/>
      <c r="BC292" s="11"/>
      <c r="BD292" s="13"/>
      <c r="BE292" s="11" t="str">
        <f t="shared" ref="BE292:BE319" si="63">IF(SUM(E292,G292,I292,K292,M292,O292,Q292,S292,U292,W292,Y292,AA292,AC292,AE292,AG292,AI292,AK292,AM292,AO292,AQ292,AW292)&gt;0,"Sí","No")</f>
        <v>No</v>
      </c>
      <c r="BF292" s="22" t="str">
        <f t="shared" ref="BF292:BF319" si="64">IF($BE292="Sí",_xlfn.TEXTJOIN(", ",TRUE,IF(N(E292)&gt;0,E$3,""),IF(N(G292)&gt;0,G$3,""),IF(N(I292)&gt;0,I$3,""),IF(N(K292)&gt;0,K$3,""),IF(N(M292)&gt;0,M$3,""),IF(N(O292)&gt;0,O$3,""),IF(N(Q292)&gt;0,Q$3,""),IF(N(S292)&gt;0,S$3,""),IF(N(U292)&gt;0,U$3,""),IF(N(W292)&gt;0,W$3,""),IF(N(Y292)&gt;0,Y$3,""),IF(N(AA292)&gt;0,AA$3,""),IF(N(AC292)&gt;0,AC$3,""),IF(N(AE292)&gt;0,AE$3,""),IF(N(AG292)&gt;0,AG$3,""),IF(N(AI292)&gt;0,AI$3,""),IF(N(AK292)&gt;0,AK$3,""),IF(N(AM292)&gt;0,AM$3,""),IF(N(AO292)&gt;0,AO$3,""),IF(N(AQ292)&gt;0,AQ$3,""),IF(N(AW292)&gt;0,AW$3,"")),"")</f>
        <v/>
      </c>
      <c r="BG292" s="11"/>
      <c r="BH292" s="11" t="str">
        <f t="shared" si="60"/>
        <v>No aplica</v>
      </c>
      <c r="BI292" s="12"/>
      <c r="BJ292" s="68"/>
    </row>
    <row r="293" spans="1:62" ht="18" customHeight="1" x14ac:dyDescent="0.3">
      <c r="A293" s="150"/>
      <c r="B293" s="43"/>
      <c r="C293" s="12">
        <v>46312</v>
      </c>
      <c r="D293" s="20">
        <f t="shared" si="59"/>
        <v>0</v>
      </c>
      <c r="E293" s="174" t="str">
        <f t="shared" si="61"/>
        <v/>
      </c>
      <c r="F293" s="174"/>
      <c r="G293" s="174" t="s">
        <v>71</v>
      </c>
      <c r="H293" s="174"/>
      <c r="I293" s="174"/>
      <c r="J293" s="174"/>
      <c r="K293" s="174" t="s">
        <v>71</v>
      </c>
      <c r="L293" s="174"/>
      <c r="M293" s="174" t="str">
        <f t="shared" si="62"/>
        <v/>
      </c>
      <c r="N293" s="174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 t="s">
        <v>71</v>
      </c>
      <c r="Z293" s="172"/>
      <c r="AA293" s="172"/>
      <c r="AB293" s="172"/>
      <c r="AC293" s="212"/>
      <c r="AD293" s="212"/>
      <c r="AE293" s="206"/>
      <c r="AF293" s="206"/>
      <c r="AG293" s="206"/>
      <c r="AH293" s="206"/>
      <c r="AI293" s="206"/>
      <c r="AJ293" s="206"/>
      <c r="AK293" s="206"/>
      <c r="AL293" s="206"/>
      <c r="AM293" s="206"/>
      <c r="AN293" s="206"/>
      <c r="AO293" s="206"/>
      <c r="AP293" s="206"/>
      <c r="AQ293" s="174"/>
      <c r="AR293" s="174"/>
      <c r="AS293" s="174"/>
      <c r="AT293" s="174"/>
      <c r="AU293" s="174"/>
      <c r="AV293" s="174"/>
      <c r="AW293" s="174"/>
      <c r="AX293" s="191"/>
      <c r="AY293" s="11"/>
      <c r="AZ293" s="11"/>
      <c r="BA293" s="11"/>
      <c r="BB293" s="11"/>
      <c r="BC293" s="11"/>
      <c r="BD293" s="13"/>
      <c r="BE293" s="11" t="str">
        <f t="shared" si="63"/>
        <v>No</v>
      </c>
      <c r="BF293" s="22" t="str">
        <f t="shared" si="64"/>
        <v/>
      </c>
      <c r="BG293" s="11"/>
      <c r="BH293" s="11" t="str">
        <f t="shared" si="60"/>
        <v>No aplica</v>
      </c>
      <c r="BI293" s="12"/>
      <c r="BJ293" s="68"/>
    </row>
    <row r="294" spans="1:62" ht="18" customHeight="1" x14ac:dyDescent="0.3">
      <c r="A294" s="150"/>
      <c r="B294" s="43"/>
      <c r="C294" s="12">
        <v>46313</v>
      </c>
      <c r="D294" s="20">
        <f t="shared" si="59"/>
        <v>0</v>
      </c>
      <c r="E294" s="174" t="str">
        <f t="shared" si="61"/>
        <v/>
      </c>
      <c r="F294" s="174"/>
      <c r="G294" s="174" t="s">
        <v>71</v>
      </c>
      <c r="H294" s="174"/>
      <c r="I294" s="174"/>
      <c r="J294" s="174"/>
      <c r="K294" s="174" t="s">
        <v>71</v>
      </c>
      <c r="L294" s="174"/>
      <c r="M294" s="174" t="str">
        <f t="shared" si="62"/>
        <v/>
      </c>
      <c r="N294" s="174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 t="s">
        <v>71</v>
      </c>
      <c r="Z294" s="172"/>
      <c r="AA294" s="172"/>
      <c r="AB294" s="172"/>
      <c r="AC294" s="212"/>
      <c r="AD294" s="212"/>
      <c r="AE294" s="206"/>
      <c r="AF294" s="206"/>
      <c r="AG294" s="206"/>
      <c r="AH294" s="206"/>
      <c r="AI294" s="206"/>
      <c r="AJ294" s="206"/>
      <c r="AK294" s="206"/>
      <c r="AL294" s="206"/>
      <c r="AM294" s="206"/>
      <c r="AN294" s="206"/>
      <c r="AO294" s="206"/>
      <c r="AP294" s="206"/>
      <c r="AQ294" s="174"/>
      <c r="AR294" s="174"/>
      <c r="AS294" s="174"/>
      <c r="AT294" s="174"/>
      <c r="AU294" s="174"/>
      <c r="AV294" s="174"/>
      <c r="AW294" s="174"/>
      <c r="AX294" s="191"/>
      <c r="AY294" s="11"/>
      <c r="AZ294" s="11"/>
      <c r="BA294" s="11"/>
      <c r="BB294" s="11"/>
      <c r="BC294" s="11"/>
      <c r="BD294" s="13"/>
      <c r="BE294" s="11" t="str">
        <f t="shared" si="63"/>
        <v>No</v>
      </c>
      <c r="BF294" s="22" t="str">
        <f t="shared" si="64"/>
        <v/>
      </c>
      <c r="BG294" s="11" t="s">
        <v>84</v>
      </c>
      <c r="BH294" s="11" t="str">
        <f t="shared" si="60"/>
        <v>No aplica</v>
      </c>
      <c r="BI294" s="12"/>
      <c r="BJ294" s="68"/>
    </row>
    <row r="295" spans="1:62" ht="18" customHeight="1" x14ac:dyDescent="0.3">
      <c r="A295" s="150"/>
      <c r="B295" s="43"/>
      <c r="C295" s="12">
        <v>46314</v>
      </c>
      <c r="D295" s="20">
        <f t="shared" si="59"/>
        <v>0</v>
      </c>
      <c r="E295" s="174" t="str">
        <f t="shared" si="61"/>
        <v/>
      </c>
      <c r="F295" s="174"/>
      <c r="G295" s="174" t="s">
        <v>71</v>
      </c>
      <c r="H295" s="174"/>
      <c r="I295" s="174"/>
      <c r="J295" s="174"/>
      <c r="K295" s="174" t="s">
        <v>71</v>
      </c>
      <c r="L295" s="174"/>
      <c r="M295" s="174" t="str">
        <f t="shared" si="62"/>
        <v/>
      </c>
      <c r="N295" s="174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 t="s">
        <v>71</v>
      </c>
      <c r="Z295" s="172"/>
      <c r="AA295" s="172"/>
      <c r="AB295" s="172"/>
      <c r="AC295" s="212"/>
      <c r="AD295" s="212"/>
      <c r="AE295" s="206"/>
      <c r="AF295" s="206"/>
      <c r="AG295" s="206"/>
      <c r="AH295" s="206"/>
      <c r="AI295" s="206"/>
      <c r="AJ295" s="206"/>
      <c r="AK295" s="206"/>
      <c r="AL295" s="206"/>
      <c r="AM295" s="206"/>
      <c r="AN295" s="206"/>
      <c r="AO295" s="206"/>
      <c r="AP295" s="206"/>
      <c r="AQ295" s="174"/>
      <c r="AR295" s="174"/>
      <c r="AS295" s="174"/>
      <c r="AT295" s="174"/>
      <c r="AU295" s="174"/>
      <c r="AV295" s="174"/>
      <c r="AW295" s="174"/>
      <c r="AX295" s="191"/>
      <c r="AY295" s="11"/>
      <c r="AZ295" s="11"/>
      <c r="BA295" s="11"/>
      <c r="BB295" s="11"/>
      <c r="BC295" s="11"/>
      <c r="BD295" s="13"/>
      <c r="BE295" s="11" t="str">
        <f t="shared" si="63"/>
        <v>No</v>
      </c>
      <c r="BF295" s="22" t="str">
        <f t="shared" si="64"/>
        <v/>
      </c>
      <c r="BG295" s="11"/>
      <c r="BH295" s="11" t="str">
        <f t="shared" si="60"/>
        <v>No aplica</v>
      </c>
      <c r="BI295" s="12"/>
      <c r="BJ295" s="68"/>
    </row>
    <row r="296" spans="1:62" ht="18" customHeight="1" x14ac:dyDescent="0.3">
      <c r="A296" s="150"/>
      <c r="B296" s="43"/>
      <c r="C296" s="12">
        <v>46315</v>
      </c>
      <c r="D296" s="20">
        <f t="shared" si="59"/>
        <v>0</v>
      </c>
      <c r="E296" s="174" t="str">
        <f t="shared" si="61"/>
        <v/>
      </c>
      <c r="F296" s="174"/>
      <c r="G296" s="174" t="s">
        <v>71</v>
      </c>
      <c r="H296" s="174"/>
      <c r="I296" s="174" t="s">
        <v>71</v>
      </c>
      <c r="J296" s="174"/>
      <c r="K296" s="174" t="s">
        <v>71</v>
      </c>
      <c r="L296" s="174"/>
      <c r="M296" s="174" t="str">
        <f t="shared" si="62"/>
        <v/>
      </c>
      <c r="N296" s="174"/>
      <c r="O296" s="172"/>
      <c r="P296" s="172"/>
      <c r="Q296" s="172"/>
      <c r="R296" s="172"/>
      <c r="S296" s="172"/>
      <c r="T296" s="172"/>
      <c r="U296" s="172">
        <v>12</v>
      </c>
      <c r="V296" s="172">
        <v>24</v>
      </c>
      <c r="W296" s="172"/>
      <c r="X296" s="172"/>
      <c r="Y296" s="172" t="s">
        <v>71</v>
      </c>
      <c r="Z296" s="172"/>
      <c r="AA296" s="172"/>
      <c r="AB296" s="172"/>
      <c r="AC296" s="212"/>
      <c r="AD296" s="212"/>
      <c r="AE296" s="206"/>
      <c r="AF296" s="206"/>
      <c r="AG296" s="206"/>
      <c r="AH296" s="206"/>
      <c r="AI296" s="206"/>
      <c r="AJ296" s="206"/>
      <c r="AK296" s="206"/>
      <c r="AL296" s="206"/>
      <c r="AM296" s="206"/>
      <c r="AN296" s="206"/>
      <c r="AO296" s="206"/>
      <c r="AP296" s="206"/>
      <c r="AQ296" s="174"/>
      <c r="AR296" s="174"/>
      <c r="AS296" s="174"/>
      <c r="AT296" s="174"/>
      <c r="AU296" s="174"/>
      <c r="AV296" s="174"/>
      <c r="AW296" s="174"/>
      <c r="AX296" s="191"/>
      <c r="AY296" s="11"/>
      <c r="AZ296" s="11"/>
      <c r="BA296" s="11"/>
      <c r="BB296" s="11"/>
      <c r="BC296" s="11"/>
      <c r="BD296" s="13"/>
      <c r="BE296" s="11" t="str">
        <f t="shared" si="63"/>
        <v>Sí</v>
      </c>
      <c r="BF296" s="22" t="str">
        <f t="shared" si="64"/>
        <v>CPW11</v>
      </c>
      <c r="BG296" s="11"/>
      <c r="BH296" s="11" t="str">
        <f t="shared" si="60"/>
        <v>Programado pendiente</v>
      </c>
      <c r="BI296" s="12"/>
      <c r="BJ296" s="68"/>
    </row>
    <row r="297" spans="1:62" ht="18" customHeight="1" x14ac:dyDescent="0.3">
      <c r="A297" s="150"/>
      <c r="B297" s="43"/>
      <c r="C297" s="12">
        <v>46316</v>
      </c>
      <c r="D297" s="20">
        <f t="shared" si="59"/>
        <v>0</v>
      </c>
      <c r="E297" s="174" t="str">
        <f t="shared" si="61"/>
        <v/>
      </c>
      <c r="F297" s="174"/>
      <c r="G297" s="174" t="s">
        <v>71</v>
      </c>
      <c r="H297" s="174"/>
      <c r="I297" s="174" t="s">
        <v>71</v>
      </c>
      <c r="J297" s="174"/>
      <c r="K297" s="174" t="s">
        <v>71</v>
      </c>
      <c r="L297" s="174"/>
      <c r="M297" s="174" t="str">
        <f t="shared" si="62"/>
        <v/>
      </c>
      <c r="N297" s="174"/>
      <c r="O297" s="172"/>
      <c r="P297" s="172"/>
      <c r="Q297" s="172"/>
      <c r="R297" s="172"/>
      <c r="S297" s="172"/>
      <c r="T297" s="172"/>
      <c r="U297" s="172"/>
      <c r="V297" s="172"/>
      <c r="W297" s="172">
        <v>12</v>
      </c>
      <c r="X297" s="172">
        <v>24</v>
      </c>
      <c r="Y297" s="172" t="s">
        <v>71</v>
      </c>
      <c r="Z297" s="172"/>
      <c r="AA297" s="172"/>
      <c r="AB297" s="172"/>
      <c r="AC297" s="212"/>
      <c r="AD297" s="212"/>
      <c r="AE297" s="206"/>
      <c r="AF297" s="206"/>
      <c r="AG297" s="206"/>
      <c r="AH297" s="206"/>
      <c r="AI297" s="206"/>
      <c r="AJ297" s="206"/>
      <c r="AK297" s="206"/>
      <c r="AL297" s="206"/>
      <c r="AM297" s="206"/>
      <c r="AN297" s="206"/>
      <c r="AO297" s="206"/>
      <c r="AP297" s="206"/>
      <c r="AQ297" s="174"/>
      <c r="AR297" s="174"/>
      <c r="AS297" s="174"/>
      <c r="AT297" s="174"/>
      <c r="AU297" s="174"/>
      <c r="AV297" s="174"/>
      <c r="AW297" s="174"/>
      <c r="AX297" s="191"/>
      <c r="AY297" s="11"/>
      <c r="AZ297" s="11"/>
      <c r="BA297" s="11"/>
      <c r="BB297" s="11"/>
      <c r="BC297" s="11"/>
      <c r="BD297" s="13"/>
      <c r="BE297" s="11" t="str">
        <f t="shared" si="63"/>
        <v>Sí</v>
      </c>
      <c r="BF297" s="22" t="str">
        <f t="shared" si="64"/>
        <v>CPW12</v>
      </c>
      <c r="BG297" s="11"/>
      <c r="BH297" s="11" t="str">
        <f t="shared" si="60"/>
        <v>Programado pendiente</v>
      </c>
      <c r="BI297" s="12"/>
      <c r="BJ297" s="68"/>
    </row>
    <row r="298" spans="1:62" ht="18" customHeight="1" x14ac:dyDescent="0.3">
      <c r="A298" s="150"/>
      <c r="B298" s="43"/>
      <c r="C298" s="12">
        <v>46317</v>
      </c>
      <c r="D298" s="20">
        <f t="shared" si="59"/>
        <v>20</v>
      </c>
      <c r="E298" s="174">
        <v>10</v>
      </c>
      <c r="F298" s="174">
        <v>20</v>
      </c>
      <c r="G298" s="174" t="s">
        <v>71</v>
      </c>
      <c r="H298" s="174"/>
      <c r="I298" s="174" t="s">
        <v>71</v>
      </c>
      <c r="J298" s="174"/>
      <c r="K298" s="174" t="s">
        <v>71</v>
      </c>
      <c r="L298" s="174"/>
      <c r="M298" s="174" t="str">
        <f t="shared" si="62"/>
        <v/>
      </c>
      <c r="N298" s="174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4" t="s">
        <v>71</v>
      </c>
      <c r="Z298" s="174"/>
      <c r="AA298" s="174"/>
      <c r="AB298" s="174"/>
      <c r="AC298" s="212"/>
      <c r="AD298" s="212"/>
      <c r="AE298" s="206"/>
      <c r="AF298" s="206"/>
      <c r="AG298" s="206"/>
      <c r="AH298" s="206"/>
      <c r="AI298" s="206"/>
      <c r="AJ298" s="206"/>
      <c r="AK298" s="206"/>
      <c r="AL298" s="206"/>
      <c r="AM298" s="206"/>
      <c r="AN298" s="206"/>
      <c r="AO298" s="206"/>
      <c r="AP298" s="206"/>
      <c r="AQ298" s="174"/>
      <c r="AR298" s="174"/>
      <c r="AS298" s="174"/>
      <c r="AT298" s="174"/>
      <c r="AU298" s="174"/>
      <c r="AV298" s="174"/>
      <c r="AW298" s="174"/>
      <c r="AX298" s="191"/>
      <c r="AY298" s="11"/>
      <c r="AZ298" s="11"/>
      <c r="BA298" s="11"/>
      <c r="BB298" s="11"/>
      <c r="BC298" s="11"/>
      <c r="BD298" s="13"/>
      <c r="BE298" s="11" t="str">
        <f t="shared" si="63"/>
        <v>Sí</v>
      </c>
      <c r="BF298" s="22" t="str">
        <f t="shared" si="64"/>
        <v xml:space="preserve">CPW02
</v>
      </c>
      <c r="BG298" s="11"/>
      <c r="BH298" s="11" t="str">
        <f t="shared" si="60"/>
        <v>Programado pendiente</v>
      </c>
      <c r="BI298" s="12"/>
      <c r="BJ298" s="68"/>
    </row>
    <row r="299" spans="1:62" ht="18" customHeight="1" x14ac:dyDescent="0.3">
      <c r="A299" s="150"/>
      <c r="B299" s="43"/>
      <c r="C299" s="12">
        <v>46318</v>
      </c>
      <c r="D299" s="20">
        <f t="shared" si="59"/>
        <v>0</v>
      </c>
      <c r="E299" s="174" t="str">
        <f t="shared" si="61"/>
        <v/>
      </c>
      <c r="F299" s="174"/>
      <c r="G299" s="174" t="s">
        <v>71</v>
      </c>
      <c r="H299" s="174"/>
      <c r="I299" s="174" t="s">
        <v>71</v>
      </c>
      <c r="J299" s="174"/>
      <c r="K299" s="174" t="s">
        <v>71</v>
      </c>
      <c r="L299" s="174"/>
      <c r="M299" s="174" t="str">
        <f t="shared" si="62"/>
        <v/>
      </c>
      <c r="N299" s="174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4" t="s">
        <v>71</v>
      </c>
      <c r="Z299" s="174"/>
      <c r="AA299" s="174"/>
      <c r="AB299" s="174"/>
      <c r="AC299" s="212"/>
      <c r="AD299" s="212"/>
      <c r="AE299" s="206"/>
      <c r="AF299" s="206"/>
      <c r="AG299" s="206"/>
      <c r="AH299" s="206"/>
      <c r="AI299" s="206"/>
      <c r="AJ299" s="206"/>
      <c r="AK299" s="206"/>
      <c r="AL299" s="206"/>
      <c r="AM299" s="206"/>
      <c r="AN299" s="206"/>
      <c r="AO299" s="206"/>
      <c r="AP299" s="206"/>
      <c r="AQ299" s="174"/>
      <c r="AR299" s="174"/>
      <c r="AS299" s="174"/>
      <c r="AT299" s="174"/>
      <c r="AU299" s="174"/>
      <c r="AV299" s="174"/>
      <c r="AW299" s="174"/>
      <c r="AX299" s="191"/>
      <c r="AY299" s="11"/>
      <c r="AZ299" s="11"/>
      <c r="BA299" s="11"/>
      <c r="BB299" s="11"/>
      <c r="BC299" s="11"/>
      <c r="BD299" s="13"/>
      <c r="BE299" s="11" t="str">
        <f t="shared" si="63"/>
        <v>No</v>
      </c>
      <c r="BF299" s="22" t="str">
        <f t="shared" si="64"/>
        <v/>
      </c>
      <c r="BG299" s="11"/>
      <c r="BH299" s="11" t="str">
        <f t="shared" si="60"/>
        <v>No aplica</v>
      </c>
      <c r="BI299" s="12"/>
      <c r="BJ299" s="68"/>
    </row>
    <row r="300" spans="1:62" ht="18" customHeight="1" x14ac:dyDescent="0.3">
      <c r="A300" s="150"/>
      <c r="B300" s="43"/>
      <c r="C300" s="12">
        <v>46319</v>
      </c>
      <c r="D300" s="20">
        <f t="shared" si="59"/>
        <v>20</v>
      </c>
      <c r="E300" s="174" t="str">
        <f t="shared" si="61"/>
        <v/>
      </c>
      <c r="F300" s="174"/>
      <c r="G300" s="174" t="s">
        <v>71</v>
      </c>
      <c r="H300" s="174"/>
      <c r="I300" s="174" t="s">
        <v>71</v>
      </c>
      <c r="J300" s="174"/>
      <c r="K300" s="174" t="s">
        <v>71</v>
      </c>
      <c r="L300" s="174"/>
      <c r="M300" s="174" t="str">
        <f t="shared" si="62"/>
        <v/>
      </c>
      <c r="N300" s="174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4" t="s">
        <v>71</v>
      </c>
      <c r="Z300" s="174"/>
      <c r="AA300" s="174">
        <v>10</v>
      </c>
      <c r="AB300" s="174">
        <v>20</v>
      </c>
      <c r="AC300" s="212"/>
      <c r="AD300" s="212"/>
      <c r="AE300" s="206"/>
      <c r="AF300" s="206"/>
      <c r="AG300" s="206"/>
      <c r="AH300" s="206"/>
      <c r="AI300" s="206"/>
      <c r="AJ300" s="206"/>
      <c r="AK300" s="206"/>
      <c r="AL300" s="206"/>
      <c r="AM300" s="206"/>
      <c r="AN300" s="206"/>
      <c r="AO300" s="206"/>
      <c r="AP300" s="206"/>
      <c r="AQ300" s="174"/>
      <c r="AR300" s="174"/>
      <c r="AS300" s="174"/>
      <c r="AT300" s="174"/>
      <c r="AU300" s="174"/>
      <c r="AV300" s="174"/>
      <c r="AW300" s="174"/>
      <c r="AX300" s="191"/>
      <c r="AY300" s="11"/>
      <c r="AZ300" s="11"/>
      <c r="BA300" s="11"/>
      <c r="BB300" s="11"/>
      <c r="BC300" s="11"/>
      <c r="BD300" s="13"/>
      <c r="BE300" s="11" t="str">
        <f t="shared" si="63"/>
        <v>Sí</v>
      </c>
      <c r="BF300" s="22" t="str">
        <f t="shared" si="64"/>
        <v>JINAN 02</v>
      </c>
      <c r="BG300" s="11"/>
      <c r="BH300" s="11" t="str">
        <f t="shared" si="60"/>
        <v>Programado pendiente</v>
      </c>
      <c r="BI300" s="12"/>
      <c r="BJ300" s="68"/>
    </row>
    <row r="301" spans="1:62" ht="18" customHeight="1" x14ac:dyDescent="0.3">
      <c r="A301" s="150"/>
      <c r="B301" s="43"/>
      <c r="C301" s="12">
        <v>46320</v>
      </c>
      <c r="D301" s="20">
        <f t="shared" si="59"/>
        <v>20</v>
      </c>
      <c r="E301" s="174" t="str">
        <f t="shared" si="61"/>
        <v/>
      </c>
      <c r="F301" s="174"/>
      <c r="G301" s="174" t="s">
        <v>71</v>
      </c>
      <c r="H301" s="174"/>
      <c r="I301" s="174" t="s">
        <v>71</v>
      </c>
      <c r="J301" s="174"/>
      <c r="K301" s="174" t="s">
        <v>71</v>
      </c>
      <c r="L301" s="174"/>
      <c r="M301" s="174" t="str">
        <f t="shared" si="62"/>
        <v/>
      </c>
      <c r="N301" s="174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4">
        <v>10</v>
      </c>
      <c r="Z301" s="174">
        <v>20</v>
      </c>
      <c r="AA301" s="174"/>
      <c r="AB301" s="174"/>
      <c r="AC301" s="212"/>
      <c r="AD301" s="212"/>
      <c r="AE301" s="206"/>
      <c r="AF301" s="206"/>
      <c r="AG301" s="206"/>
      <c r="AH301" s="206"/>
      <c r="AI301" s="206"/>
      <c r="AJ301" s="206"/>
      <c r="AK301" s="206"/>
      <c r="AL301" s="206"/>
      <c r="AM301" s="206"/>
      <c r="AN301" s="206"/>
      <c r="AO301" s="206"/>
      <c r="AP301" s="206"/>
      <c r="AQ301" s="174"/>
      <c r="AR301" s="174"/>
      <c r="AS301" s="197">
        <v>4</v>
      </c>
      <c r="AT301" s="198">
        <v>8</v>
      </c>
      <c r="AU301" s="197">
        <v>4</v>
      </c>
      <c r="AV301" s="198">
        <v>8</v>
      </c>
      <c r="AW301" s="174"/>
      <c r="AX301" s="191"/>
      <c r="AY301" s="11"/>
      <c r="AZ301" s="11"/>
      <c r="BA301" s="11"/>
      <c r="BB301" s="11"/>
      <c r="BC301" s="11"/>
      <c r="BD301" s="13"/>
      <c r="BE301" s="11" t="str">
        <f t="shared" si="63"/>
        <v>Sí</v>
      </c>
      <c r="BF301" s="22" t="str">
        <f t="shared" si="64"/>
        <v>JINAN 01</v>
      </c>
      <c r="BG301" s="11"/>
      <c r="BH301" s="11" t="str">
        <f t="shared" si="60"/>
        <v>Programado pendiente</v>
      </c>
      <c r="BI301" s="12"/>
      <c r="BJ301" s="68"/>
    </row>
    <row r="302" spans="1:62" ht="18" customHeight="1" x14ac:dyDescent="0.3">
      <c r="A302" s="150"/>
      <c r="B302" s="43"/>
      <c r="C302" s="12">
        <v>46321</v>
      </c>
      <c r="D302" s="20">
        <f t="shared" si="59"/>
        <v>0</v>
      </c>
      <c r="E302" s="174" t="str">
        <f t="shared" si="61"/>
        <v/>
      </c>
      <c r="F302" s="174"/>
      <c r="G302" s="174" t="s">
        <v>71</v>
      </c>
      <c r="H302" s="174"/>
      <c r="I302" s="174" t="s">
        <v>71</v>
      </c>
      <c r="J302" s="174"/>
      <c r="K302" s="174" t="s">
        <v>71</v>
      </c>
      <c r="L302" s="174"/>
      <c r="M302" s="174" t="str">
        <f t="shared" si="62"/>
        <v/>
      </c>
      <c r="N302" s="174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4" t="s">
        <v>71</v>
      </c>
      <c r="Z302" s="174"/>
      <c r="AA302" s="174"/>
      <c r="AB302" s="174"/>
      <c r="AC302" s="212"/>
      <c r="AD302" s="212"/>
      <c r="AE302" s="206"/>
      <c r="AF302" s="206"/>
      <c r="AG302" s="206"/>
      <c r="AH302" s="206"/>
      <c r="AI302" s="206"/>
      <c r="AJ302" s="206"/>
      <c r="AK302" s="206"/>
      <c r="AL302" s="206"/>
      <c r="AM302" s="206"/>
      <c r="AN302" s="206"/>
      <c r="AO302" s="206"/>
      <c r="AP302" s="206"/>
      <c r="AQ302" s="174"/>
      <c r="AR302" s="174"/>
      <c r="AS302" s="174"/>
      <c r="AT302" s="174"/>
      <c r="AU302" s="174"/>
      <c r="AV302" s="174"/>
      <c r="AW302" s="197">
        <v>4</v>
      </c>
      <c r="AX302" s="198">
        <v>8</v>
      </c>
      <c r="AY302" s="11"/>
      <c r="AZ302" s="11"/>
      <c r="BA302" s="11"/>
      <c r="BB302" s="11"/>
      <c r="BC302" s="11"/>
      <c r="BD302" s="13"/>
      <c r="BE302" s="11" t="str">
        <f t="shared" si="63"/>
        <v>Sí</v>
      </c>
      <c r="BF302" s="22" t="str">
        <f t="shared" si="64"/>
        <v>CYC</v>
      </c>
      <c r="BG302" s="11"/>
      <c r="BH302" s="11" t="str">
        <f t="shared" si="60"/>
        <v>Programado pendiente</v>
      </c>
      <c r="BI302" s="12"/>
      <c r="BJ302" s="68"/>
    </row>
    <row r="303" spans="1:62" ht="18" customHeight="1" x14ac:dyDescent="0.3">
      <c r="A303" s="150"/>
      <c r="B303" s="43"/>
      <c r="C303" s="12">
        <v>46322</v>
      </c>
      <c r="D303" s="20">
        <f t="shared" si="59"/>
        <v>24</v>
      </c>
      <c r="E303" s="174" t="str">
        <f t="shared" si="61"/>
        <v/>
      </c>
      <c r="F303" s="174"/>
      <c r="G303" s="174" t="s">
        <v>71</v>
      </c>
      <c r="H303" s="174"/>
      <c r="I303" s="174" t="s">
        <v>71</v>
      </c>
      <c r="J303" s="174"/>
      <c r="K303" s="174" t="s">
        <v>71</v>
      </c>
      <c r="L303" s="174"/>
      <c r="M303" s="174" t="str">
        <f t="shared" si="62"/>
        <v/>
      </c>
      <c r="N303" s="174"/>
      <c r="O303" s="172">
        <v>12</v>
      </c>
      <c r="P303" s="172">
        <v>24</v>
      </c>
      <c r="Q303" s="172"/>
      <c r="R303" s="172"/>
      <c r="S303" s="172"/>
      <c r="T303" s="172"/>
      <c r="U303" s="172"/>
      <c r="V303" s="172"/>
      <c r="W303" s="172"/>
      <c r="X303" s="172"/>
      <c r="Y303" s="174" t="s">
        <v>71</v>
      </c>
      <c r="Z303" s="174"/>
      <c r="AA303" s="174"/>
      <c r="AB303" s="174"/>
      <c r="AC303" s="212"/>
      <c r="AD303" s="212"/>
      <c r="AE303" s="206"/>
      <c r="AF303" s="206"/>
      <c r="AG303" s="206"/>
      <c r="AH303" s="206"/>
      <c r="AI303" s="206"/>
      <c r="AJ303" s="206"/>
      <c r="AK303" s="206"/>
      <c r="AL303" s="206"/>
      <c r="AM303" s="206"/>
      <c r="AN303" s="206"/>
      <c r="AO303" s="206"/>
      <c r="AP303" s="206"/>
      <c r="AQ303" s="174"/>
      <c r="AR303" s="174"/>
      <c r="AS303" s="174"/>
      <c r="AT303" s="174"/>
      <c r="AU303" s="174"/>
      <c r="AV303" s="174"/>
      <c r="AW303" s="174"/>
      <c r="AX303" s="191"/>
      <c r="AY303" s="11"/>
      <c r="AZ303" s="11"/>
      <c r="BA303" s="11"/>
      <c r="BB303" s="11"/>
      <c r="BC303" s="11"/>
      <c r="BD303" s="13"/>
      <c r="BE303" s="11" t="str">
        <f t="shared" si="63"/>
        <v>Sí</v>
      </c>
      <c r="BF303" s="22" t="str">
        <f t="shared" si="64"/>
        <v>CPW06</v>
      </c>
      <c r="BG303" s="11"/>
      <c r="BH303" s="11" t="str">
        <f t="shared" si="60"/>
        <v>Programado pendiente</v>
      </c>
      <c r="BI303" s="12"/>
      <c r="BJ303" s="68"/>
    </row>
    <row r="304" spans="1:62" ht="18" customHeight="1" x14ac:dyDescent="0.3">
      <c r="A304" s="150"/>
      <c r="B304" s="43"/>
      <c r="C304" s="12">
        <v>46323</v>
      </c>
      <c r="D304" s="20">
        <f t="shared" si="59"/>
        <v>0</v>
      </c>
      <c r="E304" s="174" t="str">
        <f t="shared" si="61"/>
        <v/>
      </c>
      <c r="F304" s="174"/>
      <c r="G304" s="174" t="s">
        <v>71</v>
      </c>
      <c r="H304" s="174"/>
      <c r="I304" s="174" t="s">
        <v>71</v>
      </c>
      <c r="J304" s="174"/>
      <c r="K304" s="174" t="s">
        <v>71</v>
      </c>
      <c r="L304" s="174"/>
      <c r="M304" s="174" t="str">
        <f t="shared" si="62"/>
        <v/>
      </c>
      <c r="N304" s="174"/>
      <c r="O304" s="172"/>
      <c r="P304" s="172"/>
      <c r="Q304" s="172"/>
      <c r="R304" s="172"/>
      <c r="S304" s="178"/>
      <c r="T304" s="178"/>
      <c r="U304" s="172"/>
      <c r="V304" s="172"/>
      <c r="W304" s="172"/>
      <c r="X304" s="172"/>
      <c r="Y304" s="174" t="s">
        <v>71</v>
      </c>
      <c r="Z304" s="174"/>
      <c r="AA304" s="178"/>
      <c r="AB304" s="178"/>
      <c r="AC304" s="214"/>
      <c r="AD304" s="214"/>
      <c r="AE304" s="207"/>
      <c r="AF304" s="207"/>
      <c r="AG304" s="207"/>
      <c r="AH304" s="207"/>
      <c r="AI304" s="207"/>
      <c r="AJ304" s="207"/>
      <c r="AK304" s="207"/>
      <c r="AL304" s="207"/>
      <c r="AM304" s="207"/>
      <c r="AN304" s="207"/>
      <c r="AO304" s="207"/>
      <c r="AP304" s="207"/>
      <c r="AQ304" s="174"/>
      <c r="AR304" s="174"/>
      <c r="AS304" s="174"/>
      <c r="AT304" s="174"/>
      <c r="AU304" s="174"/>
      <c r="AV304" s="174"/>
      <c r="AW304" s="174"/>
      <c r="AX304" s="191"/>
      <c r="AY304" s="11"/>
      <c r="AZ304" s="11"/>
      <c r="BA304" s="11"/>
      <c r="BB304" s="11"/>
      <c r="BC304" s="11"/>
      <c r="BD304" s="13"/>
      <c r="BE304" s="11" t="str">
        <f t="shared" si="63"/>
        <v>No</v>
      </c>
      <c r="BF304" s="22" t="str">
        <f t="shared" si="64"/>
        <v/>
      </c>
      <c r="BG304" s="11"/>
      <c r="BH304" s="11" t="str">
        <f t="shared" si="60"/>
        <v>No aplica</v>
      </c>
      <c r="BI304" s="12"/>
      <c r="BJ304" s="68"/>
    </row>
    <row r="305" spans="1:62" ht="18" customHeight="1" x14ac:dyDescent="0.3">
      <c r="A305" s="150"/>
      <c r="B305" s="43"/>
      <c r="C305" s="12">
        <v>46324</v>
      </c>
      <c r="D305" s="20">
        <f t="shared" si="59"/>
        <v>0</v>
      </c>
      <c r="E305" s="174" t="str">
        <f t="shared" si="61"/>
        <v/>
      </c>
      <c r="F305" s="174"/>
      <c r="G305" s="174" t="s">
        <v>71</v>
      </c>
      <c r="H305" s="174"/>
      <c r="I305" s="174" t="s">
        <v>71</v>
      </c>
      <c r="J305" s="174"/>
      <c r="K305" s="174" t="s">
        <v>71</v>
      </c>
      <c r="L305" s="174"/>
      <c r="M305" s="174" t="str">
        <f t="shared" si="62"/>
        <v/>
      </c>
      <c r="N305" s="174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 t="s">
        <v>71</v>
      </c>
      <c r="Z305" s="172"/>
      <c r="AA305" s="174"/>
      <c r="AB305" s="174"/>
      <c r="AC305" s="212"/>
      <c r="AD305" s="212"/>
      <c r="AE305" s="206"/>
      <c r="AF305" s="206"/>
      <c r="AG305" s="206"/>
      <c r="AH305" s="206"/>
      <c r="AI305" s="206"/>
      <c r="AJ305" s="206"/>
      <c r="AK305" s="206"/>
      <c r="AL305" s="206"/>
      <c r="AM305" s="206"/>
      <c r="AN305" s="206"/>
      <c r="AO305" s="206"/>
      <c r="AP305" s="206"/>
      <c r="AQ305" s="174"/>
      <c r="AR305" s="174"/>
      <c r="AS305" s="174"/>
      <c r="AT305" s="174"/>
      <c r="AU305" s="174"/>
      <c r="AV305" s="174"/>
      <c r="AW305" s="174"/>
      <c r="AX305" s="191"/>
      <c r="AY305" s="11"/>
      <c r="AZ305" s="11"/>
      <c r="BA305" s="11"/>
      <c r="BB305" s="11"/>
      <c r="BC305" s="11"/>
      <c r="BD305" s="13"/>
      <c r="BE305" s="11" t="str">
        <f t="shared" si="63"/>
        <v>No</v>
      </c>
      <c r="BF305" s="22" t="str">
        <f t="shared" si="64"/>
        <v/>
      </c>
      <c r="BG305" s="11"/>
      <c r="BH305" s="11" t="str">
        <f t="shared" si="60"/>
        <v>No aplica</v>
      </c>
      <c r="BI305" s="12"/>
      <c r="BJ305" s="68"/>
    </row>
    <row r="306" spans="1:62" ht="18" customHeight="1" x14ac:dyDescent="0.3">
      <c r="A306" s="150"/>
      <c r="B306" s="43"/>
      <c r="C306" s="12">
        <v>46325</v>
      </c>
      <c r="D306" s="20">
        <f t="shared" si="59"/>
        <v>0</v>
      </c>
      <c r="E306" s="174" t="str">
        <f t="shared" si="61"/>
        <v/>
      </c>
      <c r="F306" s="174"/>
      <c r="G306" s="174" t="s">
        <v>71</v>
      </c>
      <c r="H306" s="174"/>
      <c r="I306" s="174" t="s">
        <v>71</v>
      </c>
      <c r="J306" s="174"/>
      <c r="K306" s="174" t="s">
        <v>71</v>
      </c>
      <c r="L306" s="174"/>
      <c r="M306" s="174" t="str">
        <f t="shared" si="62"/>
        <v/>
      </c>
      <c r="N306" s="174"/>
      <c r="O306" s="172"/>
      <c r="P306" s="172"/>
      <c r="Q306" s="172"/>
      <c r="R306" s="172"/>
      <c r="S306" s="174">
        <v>10</v>
      </c>
      <c r="T306" s="174">
        <v>20</v>
      </c>
      <c r="U306" s="172"/>
      <c r="V306" s="172"/>
      <c r="W306" s="172"/>
      <c r="X306" s="172"/>
      <c r="Y306" s="172" t="s">
        <v>71</v>
      </c>
      <c r="Z306" s="172"/>
      <c r="AA306" s="172"/>
      <c r="AB306" s="172"/>
      <c r="AC306" s="212"/>
      <c r="AD306" s="212"/>
      <c r="AE306" s="206"/>
      <c r="AF306" s="206"/>
      <c r="AG306" s="206"/>
      <c r="AH306" s="206"/>
      <c r="AI306" s="206"/>
      <c r="AJ306" s="206"/>
      <c r="AK306" s="206"/>
      <c r="AL306" s="206"/>
      <c r="AM306" s="206"/>
      <c r="AN306" s="206"/>
      <c r="AO306" s="206"/>
      <c r="AP306" s="206"/>
      <c r="AQ306" s="174"/>
      <c r="AR306" s="174"/>
      <c r="AS306" s="174"/>
      <c r="AT306" s="174"/>
      <c r="AU306" s="174"/>
      <c r="AV306" s="174"/>
      <c r="AW306" s="174"/>
      <c r="AX306" s="191"/>
      <c r="AY306" s="11"/>
      <c r="AZ306" s="11"/>
      <c r="BA306" s="11"/>
      <c r="BB306" s="11"/>
      <c r="BC306" s="11"/>
      <c r="BD306" s="13"/>
      <c r="BE306" s="11" t="str">
        <f t="shared" si="63"/>
        <v>Sí</v>
      </c>
      <c r="BF306" s="22" t="str">
        <f t="shared" si="64"/>
        <v>CPW 10</v>
      </c>
      <c r="BG306" s="11"/>
      <c r="BH306" s="11" t="str">
        <f t="shared" si="60"/>
        <v>Programado pendiente</v>
      </c>
      <c r="BI306" s="12"/>
      <c r="BJ306" s="68"/>
    </row>
    <row r="307" spans="1:62" ht="18" customHeight="1" thickBot="1" x14ac:dyDescent="0.35">
      <c r="A307" s="151"/>
      <c r="B307" s="44"/>
      <c r="C307" s="30">
        <v>46326</v>
      </c>
      <c r="D307" s="31">
        <f t="shared" si="59"/>
        <v>0</v>
      </c>
      <c r="E307" s="182" t="str">
        <f t="shared" si="61"/>
        <v/>
      </c>
      <c r="F307" s="182"/>
      <c r="G307" s="182" t="s">
        <v>71</v>
      </c>
      <c r="H307" s="182"/>
      <c r="I307" s="182" t="s">
        <v>71</v>
      </c>
      <c r="J307" s="182"/>
      <c r="K307" s="182" t="s">
        <v>71</v>
      </c>
      <c r="L307" s="182"/>
      <c r="M307" s="182" t="str">
        <f t="shared" si="62"/>
        <v/>
      </c>
      <c r="N307" s="182"/>
      <c r="O307" s="179"/>
      <c r="P307" s="179"/>
      <c r="Q307" s="179"/>
      <c r="R307" s="179"/>
      <c r="S307" s="179"/>
      <c r="T307" s="179"/>
      <c r="U307" s="172"/>
      <c r="V307" s="172"/>
      <c r="W307" s="179"/>
      <c r="X307" s="179"/>
      <c r="Y307" s="179" t="s">
        <v>71</v>
      </c>
      <c r="Z307" s="179"/>
      <c r="AA307" s="179"/>
      <c r="AB307" s="179"/>
      <c r="AC307" s="215"/>
      <c r="AD307" s="215"/>
      <c r="AE307" s="216"/>
      <c r="AF307" s="216"/>
      <c r="AG307" s="216"/>
      <c r="AH307" s="216"/>
      <c r="AI307" s="216"/>
      <c r="AJ307" s="216"/>
      <c r="AK307" s="216"/>
      <c r="AL307" s="216"/>
      <c r="AM307" s="216"/>
      <c r="AN307" s="216"/>
      <c r="AO307" s="216"/>
      <c r="AP307" s="216"/>
      <c r="AQ307" s="182"/>
      <c r="AR307" s="182"/>
      <c r="AS307" s="182"/>
      <c r="AT307" s="182"/>
      <c r="AU307" s="182"/>
      <c r="AV307" s="182"/>
      <c r="AW307" s="182"/>
      <c r="AX307" s="199"/>
      <c r="AY307" s="70"/>
      <c r="AZ307" s="70"/>
      <c r="BA307" s="70"/>
      <c r="BB307" s="70"/>
      <c r="BC307" s="70"/>
      <c r="BD307" s="71"/>
      <c r="BE307" s="70" t="str">
        <f t="shared" si="63"/>
        <v>No</v>
      </c>
      <c r="BF307" s="72" t="str">
        <f t="shared" si="64"/>
        <v/>
      </c>
      <c r="BG307" s="70"/>
      <c r="BH307" s="70" t="str">
        <f t="shared" si="60"/>
        <v>No aplica</v>
      </c>
      <c r="BI307" s="30"/>
      <c r="BJ307" s="73"/>
    </row>
    <row r="308" spans="1:62" ht="18" customHeight="1" x14ac:dyDescent="0.3">
      <c r="A308" s="148" t="s">
        <v>67</v>
      </c>
      <c r="B308" s="42"/>
      <c r="C308" s="15">
        <v>46327</v>
      </c>
      <c r="D308" s="27">
        <f t="shared" si="59"/>
        <v>0</v>
      </c>
      <c r="E308" s="170" t="str">
        <f t="shared" si="61"/>
        <v/>
      </c>
      <c r="F308" s="170"/>
      <c r="G308" s="170" t="s">
        <v>71</v>
      </c>
      <c r="H308" s="170"/>
      <c r="I308" s="170" t="s">
        <v>71</v>
      </c>
      <c r="J308" s="170"/>
      <c r="K308" s="170" t="s">
        <v>71</v>
      </c>
      <c r="L308" s="170"/>
      <c r="M308" s="170" t="str">
        <f t="shared" si="62"/>
        <v/>
      </c>
      <c r="N308" s="170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 t="s">
        <v>71</v>
      </c>
      <c r="Z308" s="168"/>
      <c r="AA308" s="168"/>
      <c r="AB308" s="168"/>
      <c r="AC308" s="211"/>
      <c r="AD308" s="211"/>
      <c r="AE308" s="210"/>
      <c r="AF308" s="210"/>
      <c r="AG308" s="210"/>
      <c r="AH308" s="210"/>
      <c r="AI308" s="210"/>
      <c r="AJ308" s="210"/>
      <c r="AK308" s="210"/>
      <c r="AL308" s="210"/>
      <c r="AM308" s="210"/>
      <c r="AN308" s="210"/>
      <c r="AO308" s="210"/>
      <c r="AP308" s="210"/>
      <c r="AQ308" s="170"/>
      <c r="AR308" s="170"/>
      <c r="AS308" s="170"/>
      <c r="AT308" s="170"/>
      <c r="AU308" s="170"/>
      <c r="AV308" s="170"/>
      <c r="AW308" s="170"/>
      <c r="AX308" s="201"/>
      <c r="AY308" s="14"/>
      <c r="AZ308" s="14"/>
      <c r="BA308" s="14"/>
      <c r="BB308" s="14"/>
      <c r="BC308" s="14"/>
      <c r="BD308" s="65"/>
      <c r="BE308" s="14" t="str">
        <f t="shared" si="63"/>
        <v>No</v>
      </c>
      <c r="BF308" s="21" t="str">
        <f t="shared" si="64"/>
        <v/>
      </c>
      <c r="BG308" s="14"/>
      <c r="BH308" s="14" t="str">
        <f t="shared" si="60"/>
        <v>No aplica</v>
      </c>
      <c r="BI308" s="15"/>
      <c r="BJ308" s="66"/>
    </row>
    <row r="309" spans="1:62" ht="18" customHeight="1" x14ac:dyDescent="0.3">
      <c r="A309" s="150"/>
      <c r="B309" s="43"/>
      <c r="C309" s="12">
        <v>46328</v>
      </c>
      <c r="D309" s="20">
        <f t="shared" si="59"/>
        <v>0</v>
      </c>
      <c r="E309" s="174" t="str">
        <f t="shared" si="61"/>
        <v/>
      </c>
      <c r="F309" s="174"/>
      <c r="G309" s="174" t="s">
        <v>71</v>
      </c>
      <c r="H309" s="174"/>
      <c r="I309" s="174" t="s">
        <v>71</v>
      </c>
      <c r="J309" s="174"/>
      <c r="K309" s="174" t="s">
        <v>71</v>
      </c>
      <c r="L309" s="174"/>
      <c r="M309" s="174" t="str">
        <f t="shared" si="62"/>
        <v/>
      </c>
      <c r="N309" s="174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 t="s">
        <v>71</v>
      </c>
      <c r="Z309" s="172"/>
      <c r="AA309" s="172"/>
      <c r="AB309" s="172"/>
      <c r="AC309" s="212"/>
      <c r="AD309" s="212"/>
      <c r="AE309" s="206"/>
      <c r="AF309" s="206"/>
      <c r="AG309" s="206"/>
      <c r="AH309" s="206"/>
      <c r="AI309" s="206"/>
      <c r="AJ309" s="206"/>
      <c r="AK309" s="206"/>
      <c r="AL309" s="206"/>
      <c r="AM309" s="206"/>
      <c r="AN309" s="206"/>
      <c r="AO309" s="206"/>
      <c r="AP309" s="206"/>
      <c r="AQ309" s="174"/>
      <c r="AR309" s="174"/>
      <c r="AS309" s="174"/>
      <c r="AT309" s="174"/>
      <c r="AU309" s="174"/>
      <c r="AV309" s="174"/>
      <c r="AW309" s="174"/>
      <c r="AX309" s="191"/>
      <c r="AY309" s="11"/>
      <c r="AZ309" s="11"/>
      <c r="BA309" s="11"/>
      <c r="BB309" s="11"/>
      <c r="BC309" s="11"/>
      <c r="BD309" s="13"/>
      <c r="BE309" s="11" t="str">
        <f t="shared" si="63"/>
        <v>No</v>
      </c>
      <c r="BF309" s="22" t="str">
        <f t="shared" si="64"/>
        <v/>
      </c>
      <c r="BG309" s="11" t="s">
        <v>84</v>
      </c>
      <c r="BH309" s="11" t="str">
        <f t="shared" si="60"/>
        <v>No aplica</v>
      </c>
      <c r="BI309" s="12"/>
      <c r="BJ309" s="68"/>
    </row>
    <row r="310" spans="1:62" ht="18" customHeight="1" x14ac:dyDescent="0.3">
      <c r="A310" s="150"/>
      <c r="B310" s="43"/>
      <c r="C310" s="12">
        <v>46329</v>
      </c>
      <c r="D310" s="20">
        <f t="shared" si="59"/>
        <v>0</v>
      </c>
      <c r="E310" s="174" t="str">
        <f t="shared" si="61"/>
        <v/>
      </c>
      <c r="F310" s="174"/>
      <c r="G310" s="174" t="s">
        <v>71</v>
      </c>
      <c r="H310" s="174"/>
      <c r="I310" s="174" t="s">
        <v>71</v>
      </c>
      <c r="J310" s="174"/>
      <c r="K310" s="174" t="s">
        <v>71</v>
      </c>
      <c r="L310" s="174"/>
      <c r="M310" s="174" t="str">
        <f t="shared" si="62"/>
        <v/>
      </c>
      <c r="N310" s="174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 t="s">
        <v>71</v>
      </c>
      <c r="Z310" s="172"/>
      <c r="AA310" s="172"/>
      <c r="AB310" s="172"/>
      <c r="AC310" s="212"/>
      <c r="AD310" s="212"/>
      <c r="AE310" s="206"/>
      <c r="AF310" s="206"/>
      <c r="AG310" s="206"/>
      <c r="AH310" s="206"/>
      <c r="AI310" s="206"/>
      <c r="AJ310" s="206"/>
      <c r="AK310" s="206"/>
      <c r="AL310" s="206"/>
      <c r="AM310" s="206"/>
      <c r="AN310" s="206"/>
      <c r="AO310" s="206"/>
      <c r="AP310" s="206"/>
      <c r="AQ310" s="174"/>
      <c r="AR310" s="174"/>
      <c r="AS310" s="174"/>
      <c r="AT310" s="174"/>
      <c r="AU310" s="174"/>
      <c r="AV310" s="174"/>
      <c r="AW310" s="174"/>
      <c r="AX310" s="191"/>
      <c r="AY310" s="11"/>
      <c r="AZ310" s="11"/>
      <c r="BA310" s="11"/>
      <c r="BB310" s="11"/>
      <c r="BC310" s="11"/>
      <c r="BD310" s="13"/>
      <c r="BE310" s="11" t="str">
        <f t="shared" si="63"/>
        <v>No</v>
      </c>
      <c r="BF310" s="22" t="str">
        <f t="shared" si="64"/>
        <v/>
      </c>
      <c r="BG310" s="11"/>
      <c r="BH310" s="11" t="str">
        <f t="shared" si="60"/>
        <v>No aplica</v>
      </c>
      <c r="BI310" s="12"/>
      <c r="BJ310" s="68"/>
    </row>
    <row r="311" spans="1:62" ht="18" customHeight="1" x14ac:dyDescent="0.3">
      <c r="A311" s="150"/>
      <c r="B311" s="43"/>
      <c r="C311" s="12">
        <v>46330</v>
      </c>
      <c r="D311" s="20">
        <f t="shared" si="59"/>
        <v>0</v>
      </c>
      <c r="E311" s="174" t="str">
        <f t="shared" si="61"/>
        <v/>
      </c>
      <c r="F311" s="174"/>
      <c r="G311" s="174" t="s">
        <v>71</v>
      </c>
      <c r="H311" s="174"/>
      <c r="I311" s="174" t="s">
        <v>71</v>
      </c>
      <c r="J311" s="174"/>
      <c r="K311" s="174" t="s">
        <v>71</v>
      </c>
      <c r="L311" s="174"/>
      <c r="M311" s="174" t="str">
        <f t="shared" si="62"/>
        <v/>
      </c>
      <c r="N311" s="174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 t="s">
        <v>71</v>
      </c>
      <c r="Z311" s="172"/>
      <c r="AA311" s="172"/>
      <c r="AB311" s="172"/>
      <c r="AC311" s="212"/>
      <c r="AD311" s="212"/>
      <c r="AE311" s="206"/>
      <c r="AF311" s="206"/>
      <c r="AG311" s="206"/>
      <c r="AH311" s="206"/>
      <c r="AI311" s="206"/>
      <c r="AJ311" s="206"/>
      <c r="AK311" s="206"/>
      <c r="AL311" s="206"/>
      <c r="AM311" s="206"/>
      <c r="AN311" s="206"/>
      <c r="AO311" s="206"/>
      <c r="AP311" s="206"/>
      <c r="AQ311" s="174"/>
      <c r="AR311" s="174"/>
      <c r="AS311" s="174"/>
      <c r="AT311" s="174"/>
      <c r="AU311" s="174"/>
      <c r="AV311" s="174"/>
      <c r="AW311" s="174"/>
      <c r="AX311" s="191"/>
      <c r="AY311" s="11"/>
      <c r="AZ311" s="11"/>
      <c r="BA311" s="11"/>
      <c r="BB311" s="11"/>
      <c r="BC311" s="11"/>
      <c r="BD311" s="13"/>
      <c r="BE311" s="11" t="str">
        <f t="shared" si="63"/>
        <v>No</v>
      </c>
      <c r="BF311" s="22" t="str">
        <f t="shared" si="64"/>
        <v/>
      </c>
      <c r="BG311" s="11"/>
      <c r="BH311" s="11" t="str">
        <f t="shared" si="60"/>
        <v>No aplica</v>
      </c>
      <c r="BI311" s="12"/>
      <c r="BJ311" s="68"/>
    </row>
    <row r="312" spans="1:62" ht="18" customHeight="1" x14ac:dyDescent="0.3">
      <c r="A312" s="150"/>
      <c r="B312" s="43"/>
      <c r="C312" s="12">
        <v>46331</v>
      </c>
      <c r="D312" s="20">
        <f t="shared" si="59"/>
        <v>0</v>
      </c>
      <c r="E312" s="174" t="str">
        <f t="shared" si="61"/>
        <v/>
      </c>
      <c r="F312" s="174"/>
      <c r="G312" s="174" t="s">
        <v>71</v>
      </c>
      <c r="H312" s="174"/>
      <c r="I312" s="174" t="s">
        <v>71</v>
      </c>
      <c r="J312" s="174"/>
      <c r="K312" s="174" t="s">
        <v>71</v>
      </c>
      <c r="L312" s="174"/>
      <c r="M312" s="174" t="str">
        <f t="shared" si="62"/>
        <v/>
      </c>
      <c r="N312" s="174"/>
      <c r="O312" s="172"/>
      <c r="P312" s="172"/>
      <c r="Q312" s="172"/>
      <c r="R312" s="172"/>
      <c r="S312" s="172"/>
      <c r="T312" s="172"/>
      <c r="U312" s="172"/>
      <c r="V312" s="172"/>
      <c r="W312" s="172">
        <v>12</v>
      </c>
      <c r="X312" s="172">
        <v>20</v>
      </c>
      <c r="Y312" s="172" t="s">
        <v>71</v>
      </c>
      <c r="Z312" s="172"/>
      <c r="AA312" s="172"/>
      <c r="AB312" s="172"/>
      <c r="AC312" s="212"/>
      <c r="AD312" s="212"/>
      <c r="AE312" s="206"/>
      <c r="AF312" s="206"/>
      <c r="AG312" s="206"/>
      <c r="AH312" s="206"/>
      <c r="AI312" s="206"/>
      <c r="AJ312" s="206"/>
      <c r="AK312" s="206"/>
      <c r="AL312" s="206"/>
      <c r="AM312" s="206"/>
      <c r="AN312" s="206"/>
      <c r="AO312" s="206"/>
      <c r="AP312" s="206"/>
      <c r="AQ312" s="174"/>
      <c r="AR312" s="174"/>
      <c r="AS312" s="174"/>
      <c r="AT312" s="174"/>
      <c r="AU312" s="174"/>
      <c r="AV312" s="174"/>
      <c r="AW312" s="174"/>
      <c r="AX312" s="191"/>
      <c r="AY312" s="11"/>
      <c r="AZ312" s="11"/>
      <c r="BA312" s="11"/>
      <c r="BB312" s="11"/>
      <c r="BC312" s="11"/>
      <c r="BD312" s="13"/>
      <c r="BE312" s="11" t="str">
        <f t="shared" si="63"/>
        <v>Sí</v>
      </c>
      <c r="BF312" s="22" t="str">
        <f t="shared" si="64"/>
        <v>CPW12</v>
      </c>
      <c r="BG312" s="11"/>
      <c r="BH312" s="11" t="str">
        <f t="shared" si="60"/>
        <v>Programado pendiente</v>
      </c>
      <c r="BI312" s="12"/>
      <c r="BJ312" s="68"/>
    </row>
    <row r="313" spans="1:62" ht="18" customHeight="1" x14ac:dyDescent="0.3">
      <c r="A313" s="150"/>
      <c r="B313" s="43"/>
      <c r="C313" s="12">
        <v>46332</v>
      </c>
      <c r="D313" s="20">
        <f t="shared" si="59"/>
        <v>0</v>
      </c>
      <c r="E313" s="174" t="str">
        <f t="shared" si="61"/>
        <v/>
      </c>
      <c r="F313" s="174"/>
      <c r="G313" s="174" t="s">
        <v>71</v>
      </c>
      <c r="H313" s="174"/>
      <c r="I313" s="174" t="s">
        <v>71</v>
      </c>
      <c r="J313" s="174"/>
      <c r="K313" s="174" t="s">
        <v>71</v>
      </c>
      <c r="L313" s="174"/>
      <c r="M313" s="174" t="str">
        <f t="shared" si="62"/>
        <v/>
      </c>
      <c r="N313" s="174"/>
      <c r="O313" s="172"/>
      <c r="P313" s="172"/>
      <c r="Q313" s="172"/>
      <c r="R313" s="172"/>
      <c r="S313" s="172"/>
      <c r="T313" s="172"/>
      <c r="U313" s="172">
        <v>12</v>
      </c>
      <c r="V313" s="172">
        <v>20</v>
      </c>
      <c r="W313" s="172"/>
      <c r="X313" s="172"/>
      <c r="Y313" s="174" t="s">
        <v>71</v>
      </c>
      <c r="Z313" s="174"/>
      <c r="AA313" s="174"/>
      <c r="AB313" s="174"/>
      <c r="AC313" s="212"/>
      <c r="AD313" s="212"/>
      <c r="AE313" s="206"/>
      <c r="AF313" s="206"/>
      <c r="AG313" s="206"/>
      <c r="AH313" s="206"/>
      <c r="AI313" s="206"/>
      <c r="AJ313" s="206"/>
      <c r="AK313" s="206"/>
      <c r="AL313" s="206"/>
      <c r="AM313" s="206"/>
      <c r="AN313" s="206"/>
      <c r="AO313" s="206"/>
      <c r="AP313" s="206"/>
      <c r="AQ313" s="174"/>
      <c r="AR313" s="174"/>
      <c r="AS313" s="174"/>
      <c r="AT313" s="174"/>
      <c r="AU313" s="174"/>
      <c r="AV313" s="174"/>
      <c r="AW313" s="174"/>
      <c r="AX313" s="191"/>
      <c r="AY313" s="11"/>
      <c r="AZ313" s="11"/>
      <c r="BA313" s="11"/>
      <c r="BB313" s="11"/>
      <c r="BC313" s="11"/>
      <c r="BD313" s="13"/>
      <c r="BE313" s="11" t="str">
        <f t="shared" si="63"/>
        <v>Sí</v>
      </c>
      <c r="BF313" s="22" t="str">
        <f t="shared" si="64"/>
        <v>CPW11</v>
      </c>
      <c r="BG313" s="11"/>
      <c r="BH313" s="11" t="str">
        <f t="shared" si="60"/>
        <v>Programado pendiente</v>
      </c>
      <c r="BI313" s="12"/>
      <c r="BJ313" s="68"/>
    </row>
    <row r="314" spans="1:62" ht="18" customHeight="1" x14ac:dyDescent="0.3">
      <c r="A314" s="150"/>
      <c r="B314" s="43"/>
      <c r="C314" s="12">
        <v>46333</v>
      </c>
      <c r="D314" s="20">
        <f t="shared" si="59"/>
        <v>24</v>
      </c>
      <c r="E314" s="174" t="str">
        <f t="shared" si="61"/>
        <v/>
      </c>
      <c r="F314" s="174"/>
      <c r="G314" s="174" t="s">
        <v>71</v>
      </c>
      <c r="H314" s="174"/>
      <c r="I314" s="174" t="s">
        <v>71</v>
      </c>
      <c r="J314" s="174"/>
      <c r="K314" s="174" t="s">
        <v>71</v>
      </c>
      <c r="L314" s="174"/>
      <c r="M314" s="174" t="str">
        <f t="shared" si="62"/>
        <v/>
      </c>
      <c r="N314" s="174"/>
      <c r="O314" s="172"/>
      <c r="P314" s="172"/>
      <c r="Q314" s="172">
        <v>12</v>
      </c>
      <c r="R314" s="172">
        <v>24</v>
      </c>
      <c r="S314" s="172"/>
      <c r="T314" s="172"/>
      <c r="U314" s="172"/>
      <c r="V314" s="172"/>
      <c r="W314" s="172"/>
      <c r="X314" s="172"/>
      <c r="Y314" s="174" t="s">
        <v>71</v>
      </c>
      <c r="Z314" s="174"/>
      <c r="AA314" s="174"/>
      <c r="AB314" s="174"/>
      <c r="AC314" s="212"/>
      <c r="AD314" s="212"/>
      <c r="AE314" s="206"/>
      <c r="AF314" s="206"/>
      <c r="AG314" s="206"/>
      <c r="AH314" s="206"/>
      <c r="AI314" s="206"/>
      <c r="AJ314" s="206"/>
      <c r="AK314" s="206"/>
      <c r="AL314" s="206"/>
      <c r="AM314" s="206"/>
      <c r="AN314" s="206"/>
      <c r="AO314" s="206"/>
      <c r="AP314" s="206"/>
      <c r="AQ314" s="174"/>
      <c r="AR314" s="174"/>
      <c r="AS314" s="174"/>
      <c r="AT314" s="174"/>
      <c r="AU314" s="174"/>
      <c r="AV314" s="174"/>
      <c r="AW314" s="174"/>
      <c r="AX314" s="191"/>
      <c r="AY314" s="11"/>
      <c r="AZ314" s="11"/>
      <c r="BA314" s="11"/>
      <c r="BB314" s="11"/>
      <c r="BC314" s="11"/>
      <c r="BD314" s="13"/>
      <c r="BE314" s="11" t="str">
        <f t="shared" si="63"/>
        <v>Sí</v>
      </c>
      <c r="BF314" s="22" t="str">
        <f t="shared" si="64"/>
        <v>CPW07</v>
      </c>
      <c r="BG314" s="11"/>
      <c r="BH314" s="11" t="str">
        <f t="shared" si="60"/>
        <v>Programado pendiente</v>
      </c>
      <c r="BI314" s="12"/>
      <c r="BJ314" s="68"/>
    </row>
    <row r="315" spans="1:62" ht="18" customHeight="1" x14ac:dyDescent="0.3">
      <c r="A315" s="150"/>
      <c r="B315" s="43"/>
      <c r="C315" s="12">
        <v>46334</v>
      </c>
      <c r="D315" s="20">
        <f t="shared" si="59"/>
        <v>24</v>
      </c>
      <c r="E315" s="174" t="str">
        <f t="shared" si="61"/>
        <v/>
      </c>
      <c r="F315" s="174"/>
      <c r="G315" s="174" t="s">
        <v>71</v>
      </c>
      <c r="H315" s="174"/>
      <c r="I315" s="174" t="s">
        <v>71</v>
      </c>
      <c r="J315" s="174"/>
      <c r="K315" s="174" t="s">
        <v>71</v>
      </c>
      <c r="L315" s="174"/>
      <c r="M315" s="174" t="str">
        <f t="shared" si="62"/>
        <v/>
      </c>
      <c r="N315" s="174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4" t="s">
        <v>71</v>
      </c>
      <c r="Z315" s="174"/>
      <c r="AA315" s="174">
        <v>10</v>
      </c>
      <c r="AB315" s="174">
        <v>24</v>
      </c>
      <c r="AC315" s="212"/>
      <c r="AD315" s="212"/>
      <c r="AE315" s="206"/>
      <c r="AF315" s="206"/>
      <c r="AG315" s="206"/>
      <c r="AH315" s="206"/>
      <c r="AI315" s="206"/>
      <c r="AJ315" s="206"/>
      <c r="AK315" s="206"/>
      <c r="AL315" s="206"/>
      <c r="AM315" s="206"/>
      <c r="AN315" s="206"/>
      <c r="AO315" s="206"/>
      <c r="AP315" s="206"/>
      <c r="AQ315" s="174"/>
      <c r="AR315" s="174"/>
      <c r="AS315" s="174"/>
      <c r="AT315" s="174"/>
      <c r="AU315" s="174"/>
      <c r="AV315" s="174"/>
      <c r="AW315" s="174"/>
      <c r="AX315" s="191"/>
      <c r="AY315" s="11"/>
      <c r="AZ315" s="11"/>
      <c r="BA315" s="11"/>
      <c r="BB315" s="11"/>
      <c r="BC315" s="11"/>
      <c r="BD315" s="13"/>
      <c r="BE315" s="11" t="str">
        <f t="shared" si="63"/>
        <v>Sí</v>
      </c>
      <c r="BF315" s="22" t="str">
        <f t="shared" si="64"/>
        <v>JINAN 02</v>
      </c>
      <c r="BG315" s="11"/>
      <c r="BH315" s="11" t="str">
        <f t="shared" si="60"/>
        <v>Programado pendiente</v>
      </c>
      <c r="BI315" s="12"/>
      <c r="BJ315" s="68"/>
    </row>
    <row r="316" spans="1:62" ht="18" customHeight="1" x14ac:dyDescent="0.3">
      <c r="A316" s="150"/>
      <c r="B316" s="43"/>
      <c r="C316" s="12">
        <v>46335</v>
      </c>
      <c r="D316" s="20">
        <f t="shared" si="59"/>
        <v>20</v>
      </c>
      <c r="E316" s="174" t="str">
        <f t="shared" si="61"/>
        <v/>
      </c>
      <c r="F316" s="174"/>
      <c r="G316" s="174" t="s">
        <v>71</v>
      </c>
      <c r="H316" s="174"/>
      <c r="I316" s="174" t="s">
        <v>71</v>
      </c>
      <c r="J316" s="174"/>
      <c r="K316" s="174" t="s">
        <v>71</v>
      </c>
      <c r="L316" s="174"/>
      <c r="M316" s="174" t="str">
        <f t="shared" si="62"/>
        <v/>
      </c>
      <c r="N316" s="174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4">
        <v>10</v>
      </c>
      <c r="Z316" s="174">
        <v>20</v>
      </c>
      <c r="AA316" s="174"/>
      <c r="AB316" s="174"/>
      <c r="AC316" s="212"/>
      <c r="AD316" s="212"/>
      <c r="AE316" s="206"/>
      <c r="AF316" s="206"/>
      <c r="AG316" s="206"/>
      <c r="AH316" s="206"/>
      <c r="AI316" s="206"/>
      <c r="AJ316" s="206"/>
      <c r="AK316" s="206"/>
      <c r="AL316" s="206"/>
      <c r="AM316" s="206"/>
      <c r="AN316" s="206"/>
      <c r="AO316" s="206"/>
      <c r="AP316" s="206"/>
      <c r="AQ316" s="174"/>
      <c r="AR316" s="174"/>
      <c r="AS316" s="174"/>
      <c r="AT316" s="174"/>
      <c r="AU316" s="174"/>
      <c r="AV316" s="174"/>
      <c r="AW316" s="174"/>
      <c r="AX316" s="191"/>
      <c r="AY316" s="11"/>
      <c r="AZ316" s="11"/>
      <c r="BA316" s="11"/>
      <c r="BB316" s="11"/>
      <c r="BC316" s="11"/>
      <c r="BD316" s="13"/>
      <c r="BE316" s="11" t="str">
        <f t="shared" si="63"/>
        <v>Sí</v>
      </c>
      <c r="BF316" s="22" t="str">
        <f t="shared" si="64"/>
        <v>JINAN 01</v>
      </c>
      <c r="BG316" s="11"/>
      <c r="BH316" s="11" t="str">
        <f t="shared" si="60"/>
        <v>Programado pendiente</v>
      </c>
      <c r="BI316" s="12"/>
      <c r="BJ316" s="68"/>
    </row>
    <row r="317" spans="1:62" ht="18" customHeight="1" x14ac:dyDescent="0.3">
      <c r="A317" s="150"/>
      <c r="B317" s="43"/>
      <c r="C317" s="12">
        <v>46336</v>
      </c>
      <c r="D317" s="20">
        <f t="shared" si="59"/>
        <v>0</v>
      </c>
      <c r="E317" s="174" t="str">
        <f t="shared" si="61"/>
        <v/>
      </c>
      <c r="F317" s="174"/>
      <c r="G317" s="174" t="s">
        <v>71</v>
      </c>
      <c r="H317" s="174"/>
      <c r="I317" s="174" t="s">
        <v>71</v>
      </c>
      <c r="J317" s="174"/>
      <c r="K317" s="174" t="s">
        <v>71</v>
      </c>
      <c r="L317" s="174"/>
      <c r="M317" s="174" t="str">
        <f t="shared" si="62"/>
        <v/>
      </c>
      <c r="N317" s="174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4" t="s">
        <v>71</v>
      </c>
      <c r="Z317" s="174"/>
      <c r="AA317" s="174"/>
      <c r="AB317" s="174"/>
      <c r="AC317" s="212"/>
      <c r="AD317" s="212"/>
      <c r="AE317" s="206"/>
      <c r="AF317" s="206"/>
      <c r="AG317" s="206"/>
      <c r="AH317" s="206"/>
      <c r="AI317" s="206"/>
      <c r="AJ317" s="206"/>
      <c r="AK317" s="206"/>
      <c r="AL317" s="206"/>
      <c r="AM317" s="206"/>
      <c r="AN317" s="206"/>
      <c r="AO317" s="206"/>
      <c r="AP317" s="206"/>
      <c r="AQ317" s="174"/>
      <c r="AR317" s="174"/>
      <c r="AS317" s="174"/>
      <c r="AT317" s="174"/>
      <c r="AU317" s="174"/>
      <c r="AV317" s="174"/>
      <c r="AW317" s="174"/>
      <c r="AX317" s="191"/>
      <c r="AY317" s="11"/>
      <c r="AZ317" s="11"/>
      <c r="BA317" s="11"/>
      <c r="BB317" s="11"/>
      <c r="BC317" s="11"/>
      <c r="BD317" s="13"/>
      <c r="BE317" s="11" t="str">
        <f t="shared" si="63"/>
        <v>No</v>
      </c>
      <c r="BF317" s="22" t="str">
        <f t="shared" si="64"/>
        <v/>
      </c>
      <c r="BG317" s="11"/>
      <c r="BH317" s="11" t="str">
        <f t="shared" si="60"/>
        <v>No aplica</v>
      </c>
      <c r="BI317" s="12"/>
      <c r="BJ317" s="68"/>
    </row>
    <row r="318" spans="1:62" ht="18" customHeight="1" x14ac:dyDescent="0.3">
      <c r="A318" s="150"/>
      <c r="B318" s="43"/>
      <c r="C318" s="12">
        <v>46337</v>
      </c>
      <c r="D318" s="20">
        <f t="shared" si="59"/>
        <v>20</v>
      </c>
      <c r="E318" s="174" t="str">
        <f t="shared" si="61"/>
        <v/>
      </c>
      <c r="F318" s="174"/>
      <c r="G318" s="174">
        <v>10</v>
      </c>
      <c r="H318" s="174">
        <v>20</v>
      </c>
      <c r="I318" s="174" t="s">
        <v>71</v>
      </c>
      <c r="J318" s="174"/>
      <c r="K318" s="174" t="s">
        <v>71</v>
      </c>
      <c r="L318" s="174"/>
      <c r="M318" s="174" t="str">
        <f t="shared" si="62"/>
        <v/>
      </c>
      <c r="N318" s="174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4" t="s">
        <v>71</v>
      </c>
      <c r="Z318" s="174"/>
      <c r="AA318" s="174"/>
      <c r="AB318" s="174"/>
      <c r="AC318" s="212"/>
      <c r="AD318" s="212"/>
      <c r="AE318" s="206"/>
      <c r="AF318" s="206"/>
      <c r="AG318" s="206"/>
      <c r="AH318" s="206"/>
      <c r="AI318" s="206"/>
      <c r="AJ318" s="206"/>
      <c r="AK318" s="206"/>
      <c r="AL318" s="206"/>
      <c r="AM318" s="206"/>
      <c r="AN318" s="206"/>
      <c r="AO318" s="206"/>
      <c r="AP318" s="206"/>
      <c r="AQ318" s="174"/>
      <c r="AR318" s="174"/>
      <c r="AS318" s="174"/>
      <c r="AT318" s="174"/>
      <c r="AU318" s="174"/>
      <c r="AV318" s="174"/>
      <c r="AW318" s="174"/>
      <c r="AX318" s="191"/>
      <c r="AY318" s="11"/>
      <c r="AZ318" s="11"/>
      <c r="BA318" s="11"/>
      <c r="BB318" s="11"/>
      <c r="BC318" s="11"/>
      <c r="BD318" s="13"/>
      <c r="BE318" s="11" t="str">
        <f t="shared" si="63"/>
        <v>Sí</v>
      </c>
      <c r="BF318" s="22" t="str">
        <f t="shared" si="64"/>
        <v>CPW01</v>
      </c>
      <c r="BG318" s="11"/>
      <c r="BH318" s="11" t="str">
        <f t="shared" si="60"/>
        <v>Programado pendiente</v>
      </c>
      <c r="BI318" s="12"/>
      <c r="BJ318" s="68"/>
    </row>
    <row r="319" spans="1:62" ht="18" customHeight="1" x14ac:dyDescent="0.3">
      <c r="A319" s="150"/>
      <c r="B319" s="43"/>
      <c r="C319" s="12">
        <v>46338</v>
      </c>
      <c r="D319" s="20">
        <f t="shared" si="59"/>
        <v>20</v>
      </c>
      <c r="E319" s="174" t="str">
        <f t="shared" si="61"/>
        <v/>
      </c>
      <c r="F319" s="174"/>
      <c r="G319" s="174" t="s">
        <v>71</v>
      </c>
      <c r="H319" s="174"/>
      <c r="I319" s="174" t="s">
        <v>71</v>
      </c>
      <c r="J319" s="174"/>
      <c r="K319" s="174">
        <v>10</v>
      </c>
      <c r="L319" s="174">
        <v>20</v>
      </c>
      <c r="M319" s="174" t="str">
        <f t="shared" si="62"/>
        <v/>
      </c>
      <c r="N319" s="174"/>
      <c r="O319" s="172"/>
      <c r="P319" s="172"/>
      <c r="Q319" s="172"/>
      <c r="R319" s="172"/>
      <c r="S319" s="178"/>
      <c r="T319" s="178"/>
      <c r="U319" s="172"/>
      <c r="V319" s="172"/>
      <c r="W319" s="172"/>
      <c r="X319" s="172"/>
      <c r="Y319" s="174" t="s">
        <v>71</v>
      </c>
      <c r="Z319" s="174"/>
      <c r="AA319" s="178"/>
      <c r="AB319" s="178"/>
      <c r="AC319" s="214"/>
      <c r="AD319" s="214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174"/>
      <c r="AR319" s="174"/>
      <c r="AS319" s="174"/>
      <c r="AT319" s="174"/>
      <c r="AU319" s="174"/>
      <c r="AV319" s="174"/>
      <c r="AW319" s="174"/>
      <c r="AX319" s="191"/>
      <c r="AY319" s="11"/>
      <c r="AZ319" s="11"/>
      <c r="BA319" s="11"/>
      <c r="BB319" s="11"/>
      <c r="BC319" s="11"/>
      <c r="BD319" s="13"/>
      <c r="BE319" s="11" t="str">
        <f t="shared" si="63"/>
        <v>Sí</v>
      </c>
      <c r="BF319" s="22" t="str">
        <f t="shared" si="64"/>
        <v xml:space="preserve">CPW04
</v>
      </c>
      <c r="BG319" s="11"/>
      <c r="BH319" s="11" t="str">
        <f t="shared" si="60"/>
        <v>Programado pendiente</v>
      </c>
      <c r="BI319" s="12"/>
      <c r="BJ319" s="68"/>
    </row>
    <row r="320" spans="1:62" ht="18" customHeight="1" x14ac:dyDescent="0.3">
      <c r="A320" s="150"/>
      <c r="B320" s="43"/>
      <c r="C320" s="12">
        <v>46339</v>
      </c>
      <c r="D320" s="20">
        <f t="shared" si="59"/>
        <v>0</v>
      </c>
      <c r="E320" s="174" t="str">
        <f t="shared" si="61"/>
        <v/>
      </c>
      <c r="F320" s="174"/>
      <c r="G320" s="174" t="s">
        <v>71</v>
      </c>
      <c r="H320" s="174"/>
      <c r="I320" s="174" t="s">
        <v>71</v>
      </c>
      <c r="J320" s="174"/>
      <c r="K320" s="174"/>
      <c r="L320" s="174"/>
      <c r="M320" s="174" t="str">
        <f t="shared" si="62"/>
        <v/>
      </c>
      <c r="N320" s="174"/>
      <c r="O320" s="172"/>
      <c r="P320" s="172"/>
      <c r="Q320" s="172"/>
      <c r="R320" s="172"/>
      <c r="S320" s="172"/>
      <c r="T320" s="172"/>
      <c r="U320" s="172"/>
      <c r="V320" s="172"/>
      <c r="W320" s="217"/>
      <c r="X320" s="217"/>
      <c r="Y320" s="172" t="s">
        <v>71</v>
      </c>
      <c r="Z320" s="172"/>
      <c r="AA320" s="174"/>
      <c r="AB320" s="174"/>
      <c r="AC320" s="212"/>
      <c r="AD320" s="212"/>
      <c r="AE320" s="206"/>
      <c r="AF320" s="206"/>
      <c r="AG320" s="206"/>
      <c r="AH320" s="206"/>
      <c r="AI320" s="206"/>
      <c r="AJ320" s="206"/>
      <c r="AK320" s="206"/>
      <c r="AL320" s="206"/>
      <c r="AM320" s="206"/>
      <c r="AN320" s="206"/>
      <c r="AO320" s="206"/>
      <c r="AP320" s="206"/>
      <c r="AQ320" s="174"/>
      <c r="AR320" s="174"/>
      <c r="AS320" s="174"/>
      <c r="AT320" s="174"/>
      <c r="AU320" s="174"/>
      <c r="AV320" s="174"/>
      <c r="AW320" s="174"/>
      <c r="AX320" s="191"/>
      <c r="AY320" s="11"/>
      <c r="AZ320" s="11"/>
      <c r="BA320" s="11"/>
      <c r="BB320" s="11"/>
      <c r="BC320" s="11"/>
      <c r="BD320" s="13"/>
      <c r="BE320" s="11" t="str">
        <f t="shared" ref="BE320:BE335" si="65">IF(SUM(E320,G320,I320,K320,M320,O320,Q320,S320,U320,W321,Y320,AA320,AC320,AE320,AG320,AI320,AK320,AM320,AO320,AQ320,AW320)&gt;0,"Sí","No")</f>
        <v>No</v>
      </c>
      <c r="BF320" s="22" t="str">
        <f t="shared" ref="BF320:BF335" si="66">IF($BE320="Sí",_xlfn.TEXTJOIN(", ",TRUE,IF(N(E320)&gt;0,E$3,""),IF(N(G320)&gt;0,G$3,""),IF(N(I320)&gt;0,I$3,""),IF(N(K320)&gt;0,K$3,""),IF(N(M320)&gt;0,M$3,""),IF(N(O320)&gt;0,O$3,""),IF(N(Q320)&gt;0,Q$3,""),IF(N(S320)&gt;0,S$3,""),IF(N(U320)&gt;0,U$3,""),IF(N(W321)&gt;0,W$3,""),IF(N(Y320)&gt;0,Y$3,""),IF(N(AA320)&gt;0,AA$3,""),IF(N(AC320)&gt;0,AC$3,""),IF(N(AE320)&gt;0,AE$3,""),IF(N(AG320)&gt;0,AG$3,""),IF(N(AI320)&gt;0,AI$3,""),IF(N(AK320)&gt;0,AK$3,""),IF(N(AM320)&gt;0,AM$3,""),IF(N(AO320)&gt;0,AO$3,""),IF(N(AQ320)&gt;0,AQ$3,""),IF(N(AW320)&gt;0,AW$3,"")),"")</f>
        <v/>
      </c>
      <c r="BG320" s="11"/>
      <c r="BH320" s="11" t="str">
        <f t="shared" si="60"/>
        <v>No aplica</v>
      </c>
      <c r="BI320" s="12"/>
      <c r="BJ320" s="68"/>
    </row>
    <row r="321" spans="1:62" ht="18" customHeight="1" x14ac:dyDescent="0.3">
      <c r="A321" s="150"/>
      <c r="B321" s="43"/>
      <c r="C321" s="12">
        <v>46340</v>
      </c>
      <c r="D321" s="20">
        <f t="shared" si="59"/>
        <v>0</v>
      </c>
      <c r="E321" s="174" t="str">
        <f t="shared" si="61"/>
        <v/>
      </c>
      <c r="F321" s="174"/>
      <c r="G321" s="174" t="s">
        <v>71</v>
      </c>
      <c r="H321" s="174"/>
      <c r="I321" s="174" t="s">
        <v>71</v>
      </c>
      <c r="J321" s="174"/>
      <c r="K321" s="174"/>
      <c r="L321" s="174"/>
      <c r="M321" s="174" t="str">
        <f t="shared" si="62"/>
        <v/>
      </c>
      <c r="N321" s="174"/>
      <c r="O321" s="172"/>
      <c r="P321" s="172"/>
      <c r="Q321" s="172"/>
      <c r="R321" s="172"/>
      <c r="S321" s="174">
        <v>10</v>
      </c>
      <c r="T321" s="174">
        <v>24</v>
      </c>
      <c r="U321" s="172"/>
      <c r="V321" s="172"/>
      <c r="W321" s="172"/>
      <c r="X321" s="172"/>
      <c r="Y321" s="172" t="s">
        <v>71</v>
      </c>
      <c r="Z321" s="172"/>
      <c r="AA321" s="172"/>
      <c r="AB321" s="172"/>
      <c r="AC321" s="212"/>
      <c r="AD321" s="212"/>
      <c r="AE321" s="206"/>
      <c r="AF321" s="206"/>
      <c r="AG321" s="206"/>
      <c r="AH321" s="206"/>
      <c r="AI321" s="206"/>
      <c r="AJ321" s="206"/>
      <c r="AK321" s="206"/>
      <c r="AL321" s="206"/>
      <c r="AM321" s="206"/>
      <c r="AN321" s="206"/>
      <c r="AO321" s="206"/>
      <c r="AP321" s="206"/>
      <c r="AQ321" s="174"/>
      <c r="AR321" s="174"/>
      <c r="AS321" s="174"/>
      <c r="AT321" s="174"/>
      <c r="AU321" s="174"/>
      <c r="AV321" s="174"/>
      <c r="AW321" s="174"/>
      <c r="AX321" s="191"/>
      <c r="AY321" s="11"/>
      <c r="AZ321" s="11"/>
      <c r="BA321" s="11"/>
      <c r="BB321" s="11"/>
      <c r="BC321" s="11"/>
      <c r="BD321" s="13"/>
      <c r="BE321" s="11" t="str">
        <f t="shared" si="65"/>
        <v>Sí</v>
      </c>
      <c r="BF321" s="22" t="str">
        <f t="shared" si="66"/>
        <v>CPW 10</v>
      </c>
      <c r="BG321" s="11"/>
      <c r="BH321" s="11" t="str">
        <f t="shared" si="60"/>
        <v>Programado pendiente</v>
      </c>
      <c r="BI321" s="12"/>
      <c r="BJ321" s="68"/>
    </row>
    <row r="322" spans="1:62" ht="18" customHeight="1" x14ac:dyDescent="0.3">
      <c r="A322" s="150"/>
      <c r="B322" s="43"/>
      <c r="C322" s="12">
        <v>46341</v>
      </c>
      <c r="D322" s="20">
        <f t="shared" si="59"/>
        <v>0</v>
      </c>
      <c r="E322" s="174" t="str">
        <f t="shared" si="61"/>
        <v/>
      </c>
      <c r="F322" s="174"/>
      <c r="G322" s="174" t="s">
        <v>71</v>
      </c>
      <c r="H322" s="174"/>
      <c r="I322" s="174" t="s">
        <v>71</v>
      </c>
      <c r="J322" s="174"/>
      <c r="K322" s="174"/>
      <c r="L322" s="174"/>
      <c r="M322" s="174" t="str">
        <f t="shared" si="62"/>
        <v/>
      </c>
      <c r="N322" s="174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 t="s">
        <v>71</v>
      </c>
      <c r="Z322" s="172"/>
      <c r="AA322" s="172"/>
      <c r="AB322" s="172"/>
      <c r="AC322" s="212"/>
      <c r="AD322" s="212"/>
      <c r="AE322" s="206"/>
      <c r="AF322" s="206"/>
      <c r="AG322" s="206"/>
      <c r="AH322" s="206"/>
      <c r="AI322" s="206"/>
      <c r="AJ322" s="206"/>
      <c r="AK322" s="206"/>
      <c r="AL322" s="206"/>
      <c r="AM322" s="206"/>
      <c r="AN322" s="206"/>
      <c r="AO322" s="206"/>
      <c r="AP322" s="206"/>
      <c r="AQ322" s="174"/>
      <c r="AR322" s="174"/>
      <c r="AS322" s="174"/>
      <c r="AT322" s="174"/>
      <c r="AU322" s="174"/>
      <c r="AV322" s="174"/>
      <c r="AW322" s="174"/>
      <c r="AX322" s="191"/>
      <c r="AY322" s="11"/>
      <c r="AZ322" s="11"/>
      <c r="BA322" s="11"/>
      <c r="BB322" s="11"/>
      <c r="BC322" s="11"/>
      <c r="BD322" s="13"/>
      <c r="BE322" s="11" t="str">
        <f t="shared" si="65"/>
        <v>No</v>
      </c>
      <c r="BF322" s="22" t="str">
        <f t="shared" si="66"/>
        <v/>
      </c>
      <c r="BG322" s="11"/>
      <c r="BH322" s="11" t="str">
        <f t="shared" si="60"/>
        <v>No aplica</v>
      </c>
      <c r="BI322" s="12"/>
      <c r="BJ322" s="68"/>
    </row>
    <row r="323" spans="1:62" ht="18" customHeight="1" x14ac:dyDescent="0.3">
      <c r="A323" s="150"/>
      <c r="B323" s="43"/>
      <c r="C323" s="12">
        <v>46342</v>
      </c>
      <c r="D323" s="20">
        <f t="shared" si="59"/>
        <v>0</v>
      </c>
      <c r="E323" s="174" t="str">
        <f t="shared" si="61"/>
        <v/>
      </c>
      <c r="F323" s="174"/>
      <c r="G323" s="174" t="s">
        <v>71</v>
      </c>
      <c r="H323" s="174"/>
      <c r="I323" s="174" t="s">
        <v>71</v>
      </c>
      <c r="J323" s="174"/>
      <c r="K323" s="174"/>
      <c r="L323" s="174"/>
      <c r="M323" s="174" t="str">
        <f t="shared" si="62"/>
        <v/>
      </c>
      <c r="N323" s="174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 t="s">
        <v>71</v>
      </c>
      <c r="Z323" s="172"/>
      <c r="AA323" s="172"/>
      <c r="AB323" s="172"/>
      <c r="AC323" s="212"/>
      <c r="AD323" s="212"/>
      <c r="AE323" s="206"/>
      <c r="AF323" s="206"/>
      <c r="AG323" s="206"/>
      <c r="AH323" s="206"/>
      <c r="AI323" s="206"/>
      <c r="AJ323" s="206"/>
      <c r="AK323" s="206"/>
      <c r="AL323" s="206"/>
      <c r="AM323" s="206"/>
      <c r="AN323" s="206"/>
      <c r="AO323" s="206"/>
      <c r="AP323" s="206"/>
      <c r="AQ323" s="174"/>
      <c r="AR323" s="174"/>
      <c r="AS323" s="174"/>
      <c r="AT323" s="174"/>
      <c r="AU323" s="174"/>
      <c r="AV323" s="174"/>
      <c r="AW323" s="174"/>
      <c r="AX323" s="191"/>
      <c r="AY323" s="11"/>
      <c r="AZ323" s="11"/>
      <c r="BA323" s="11"/>
      <c r="BB323" s="11"/>
      <c r="BC323" s="11"/>
      <c r="BD323" s="13"/>
      <c r="BE323" s="11" t="str">
        <f t="shared" si="65"/>
        <v>No</v>
      </c>
      <c r="BF323" s="22" t="str">
        <f t="shared" si="66"/>
        <v/>
      </c>
      <c r="BG323" s="11"/>
      <c r="BH323" s="11" t="str">
        <f t="shared" si="60"/>
        <v>No aplica</v>
      </c>
      <c r="BI323" s="12"/>
      <c r="BJ323" s="68"/>
    </row>
    <row r="324" spans="1:62" ht="18" customHeight="1" x14ac:dyDescent="0.3">
      <c r="A324" s="150"/>
      <c r="B324" s="43"/>
      <c r="C324" s="12">
        <v>46343</v>
      </c>
      <c r="D324" s="20">
        <f t="shared" ref="D324:D368" si="67">+F324+H324+J324+L324+N324+P324+R324+Z324+AB324+AD324+AF324+AH324+AJ324+AL324+AN324+AP324</f>
        <v>0</v>
      </c>
      <c r="E324" s="174" t="str">
        <f t="shared" si="61"/>
        <v/>
      </c>
      <c r="F324" s="174"/>
      <c r="G324" s="174" t="s">
        <v>71</v>
      </c>
      <c r="H324" s="174"/>
      <c r="I324" s="174" t="s">
        <v>71</v>
      </c>
      <c r="J324" s="174"/>
      <c r="K324" s="174"/>
      <c r="L324" s="174"/>
      <c r="M324" s="174" t="str">
        <f t="shared" si="62"/>
        <v/>
      </c>
      <c r="N324" s="174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 t="s">
        <v>71</v>
      </c>
      <c r="Z324" s="172"/>
      <c r="AA324" s="172"/>
      <c r="AB324" s="172"/>
      <c r="AC324" s="212"/>
      <c r="AD324" s="212"/>
      <c r="AE324" s="206"/>
      <c r="AF324" s="206"/>
      <c r="AG324" s="206"/>
      <c r="AH324" s="206"/>
      <c r="AI324" s="206"/>
      <c r="AJ324" s="206"/>
      <c r="AK324" s="206"/>
      <c r="AL324" s="206"/>
      <c r="AM324" s="206"/>
      <c r="AN324" s="206"/>
      <c r="AO324" s="206"/>
      <c r="AP324" s="206"/>
      <c r="AQ324" s="174"/>
      <c r="AR324" s="174"/>
      <c r="AS324" s="174"/>
      <c r="AT324" s="174"/>
      <c r="AU324" s="174"/>
      <c r="AV324" s="174"/>
      <c r="AW324" s="174"/>
      <c r="AX324" s="191"/>
      <c r="AY324" s="11"/>
      <c r="AZ324" s="11"/>
      <c r="BA324" s="11"/>
      <c r="BB324" s="11"/>
      <c r="BC324" s="11"/>
      <c r="BD324" s="13"/>
      <c r="BE324" s="11" t="str">
        <f t="shared" si="65"/>
        <v>No</v>
      </c>
      <c r="BF324" s="22" t="str">
        <f t="shared" si="66"/>
        <v/>
      </c>
      <c r="BG324" s="11" t="s">
        <v>84</v>
      </c>
      <c r="BH324" s="11" t="str">
        <f t="shared" si="60"/>
        <v>No aplica</v>
      </c>
      <c r="BI324" s="12"/>
      <c r="BJ324" s="68"/>
    </row>
    <row r="325" spans="1:62" ht="18" customHeight="1" x14ac:dyDescent="0.3">
      <c r="A325" s="150"/>
      <c r="B325" s="43"/>
      <c r="C325" s="12">
        <v>46344</v>
      </c>
      <c r="D325" s="20">
        <f t="shared" si="67"/>
        <v>0</v>
      </c>
      <c r="E325" s="174" t="str">
        <f t="shared" si="61"/>
        <v/>
      </c>
      <c r="F325" s="174"/>
      <c r="G325" s="174" t="s">
        <v>71</v>
      </c>
      <c r="H325" s="174"/>
      <c r="I325" s="174" t="s">
        <v>71</v>
      </c>
      <c r="J325" s="174"/>
      <c r="K325" s="174"/>
      <c r="L325" s="174"/>
      <c r="M325" s="174" t="str">
        <f t="shared" si="62"/>
        <v/>
      </c>
      <c r="N325" s="174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 t="s">
        <v>71</v>
      </c>
      <c r="Z325" s="172"/>
      <c r="AA325" s="172"/>
      <c r="AB325" s="172"/>
      <c r="AC325" s="212"/>
      <c r="AD325" s="212"/>
      <c r="AE325" s="206"/>
      <c r="AF325" s="206"/>
      <c r="AG325" s="206"/>
      <c r="AH325" s="206"/>
      <c r="AI325" s="206"/>
      <c r="AJ325" s="206"/>
      <c r="AK325" s="206"/>
      <c r="AL325" s="206"/>
      <c r="AM325" s="206"/>
      <c r="AN325" s="206"/>
      <c r="AO325" s="206"/>
      <c r="AP325" s="206"/>
      <c r="AQ325" s="174"/>
      <c r="AR325" s="174"/>
      <c r="AS325" s="174"/>
      <c r="AT325" s="174"/>
      <c r="AU325" s="174"/>
      <c r="AV325" s="174"/>
      <c r="AW325" s="174"/>
      <c r="AX325" s="191"/>
      <c r="AY325" s="11"/>
      <c r="AZ325" s="11"/>
      <c r="BA325" s="11"/>
      <c r="BB325" s="11"/>
      <c r="BC325" s="11"/>
      <c r="BD325" s="13"/>
      <c r="BE325" s="11" t="str">
        <f t="shared" si="65"/>
        <v>No</v>
      </c>
      <c r="BF325" s="22" t="str">
        <f t="shared" si="66"/>
        <v/>
      </c>
      <c r="BG325" s="11"/>
      <c r="BH325" s="11" t="str">
        <f t="shared" ref="BH325:BH368" si="68">IF($BE325="No","No aplica",IF($BG325="Sí","Ejecutado","Programado pendiente"))</f>
        <v>No aplica</v>
      </c>
      <c r="BI325" s="12"/>
      <c r="BJ325" s="68"/>
    </row>
    <row r="326" spans="1:62" ht="18" customHeight="1" x14ac:dyDescent="0.3">
      <c r="A326" s="150"/>
      <c r="B326" s="43"/>
      <c r="C326" s="12">
        <v>46345</v>
      </c>
      <c r="D326" s="20">
        <f t="shared" si="67"/>
        <v>0</v>
      </c>
      <c r="E326" s="174" t="str">
        <f t="shared" si="61"/>
        <v/>
      </c>
      <c r="F326" s="174"/>
      <c r="G326" s="174" t="s">
        <v>71</v>
      </c>
      <c r="H326" s="174"/>
      <c r="I326" s="174" t="s">
        <v>71</v>
      </c>
      <c r="J326" s="174"/>
      <c r="K326" s="174"/>
      <c r="L326" s="174"/>
      <c r="M326" s="174" t="str">
        <f t="shared" si="62"/>
        <v/>
      </c>
      <c r="N326" s="174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 t="s">
        <v>71</v>
      </c>
      <c r="Z326" s="172"/>
      <c r="AA326" s="172"/>
      <c r="AB326" s="172"/>
      <c r="AC326" s="212"/>
      <c r="AD326" s="212"/>
      <c r="AE326" s="206"/>
      <c r="AF326" s="206"/>
      <c r="AG326" s="206"/>
      <c r="AH326" s="206"/>
      <c r="AI326" s="206"/>
      <c r="AJ326" s="206"/>
      <c r="AK326" s="206"/>
      <c r="AL326" s="206"/>
      <c r="AM326" s="206"/>
      <c r="AN326" s="206"/>
      <c r="AO326" s="206"/>
      <c r="AP326" s="206"/>
      <c r="AQ326" s="174"/>
      <c r="AR326" s="174"/>
      <c r="AS326" s="174"/>
      <c r="AT326" s="174"/>
      <c r="AU326" s="174"/>
      <c r="AV326" s="174"/>
      <c r="AW326" s="174"/>
      <c r="AX326" s="191"/>
      <c r="AY326" s="11"/>
      <c r="AZ326" s="11"/>
      <c r="BA326" s="11"/>
      <c r="BB326" s="11"/>
      <c r="BC326" s="11"/>
      <c r="BD326" s="13"/>
      <c r="BE326" s="11" t="str">
        <f t="shared" si="65"/>
        <v>No</v>
      </c>
      <c r="BF326" s="22" t="str">
        <f t="shared" si="66"/>
        <v/>
      </c>
      <c r="BG326" s="11"/>
      <c r="BH326" s="11" t="str">
        <f t="shared" si="68"/>
        <v>No aplica</v>
      </c>
      <c r="BI326" s="12"/>
      <c r="BJ326" s="68"/>
    </row>
    <row r="327" spans="1:62" ht="18" customHeight="1" x14ac:dyDescent="0.3">
      <c r="A327" s="150"/>
      <c r="B327" s="43"/>
      <c r="C327" s="12">
        <v>46346</v>
      </c>
      <c r="D327" s="20">
        <f t="shared" si="67"/>
        <v>0</v>
      </c>
      <c r="E327" s="174" t="str">
        <f t="shared" ref="E327:E368" si="69">IF(MOD(C327-$C$4,42)=0,8,"")</f>
        <v/>
      </c>
      <c r="F327" s="174"/>
      <c r="G327" s="174" t="s">
        <v>71</v>
      </c>
      <c r="H327" s="174"/>
      <c r="I327" s="174" t="s">
        <v>71</v>
      </c>
      <c r="J327" s="174"/>
      <c r="K327" s="174"/>
      <c r="L327" s="174"/>
      <c r="M327" s="174" t="str">
        <f t="shared" si="62"/>
        <v/>
      </c>
      <c r="N327" s="174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 t="s">
        <v>71</v>
      </c>
      <c r="Z327" s="172"/>
      <c r="AA327" s="172"/>
      <c r="AB327" s="172"/>
      <c r="AC327" s="212"/>
      <c r="AD327" s="212"/>
      <c r="AE327" s="206"/>
      <c r="AF327" s="206"/>
      <c r="AG327" s="206"/>
      <c r="AH327" s="206"/>
      <c r="AI327" s="206"/>
      <c r="AJ327" s="206"/>
      <c r="AK327" s="206"/>
      <c r="AL327" s="206"/>
      <c r="AM327" s="206"/>
      <c r="AN327" s="206"/>
      <c r="AO327" s="206"/>
      <c r="AP327" s="206"/>
      <c r="AQ327" s="174"/>
      <c r="AR327" s="174"/>
      <c r="AS327" s="174"/>
      <c r="AT327" s="174"/>
      <c r="AU327" s="174"/>
      <c r="AV327" s="174"/>
      <c r="AW327" s="174"/>
      <c r="AX327" s="191"/>
      <c r="AY327" s="11"/>
      <c r="AZ327" s="11"/>
      <c r="BA327" s="11"/>
      <c r="BB327" s="11"/>
      <c r="BC327" s="11"/>
      <c r="BD327" s="13"/>
      <c r="BE327" s="11" t="str">
        <f t="shared" si="65"/>
        <v>Sí</v>
      </c>
      <c r="BF327" s="22" t="str">
        <f t="shared" si="66"/>
        <v>CPW12</v>
      </c>
      <c r="BG327" s="11"/>
      <c r="BH327" s="11" t="str">
        <f t="shared" si="68"/>
        <v>Programado pendiente</v>
      </c>
      <c r="BI327" s="12"/>
      <c r="BJ327" s="68"/>
    </row>
    <row r="328" spans="1:62" ht="18" customHeight="1" x14ac:dyDescent="0.3">
      <c r="A328" s="150"/>
      <c r="B328" s="43"/>
      <c r="C328" s="12">
        <v>46347</v>
      </c>
      <c r="D328" s="20">
        <f t="shared" si="67"/>
        <v>20</v>
      </c>
      <c r="E328" s="174" t="str">
        <f t="shared" si="69"/>
        <v/>
      </c>
      <c r="F328" s="174"/>
      <c r="G328" s="174" t="s">
        <v>71</v>
      </c>
      <c r="H328" s="174"/>
      <c r="I328" s="174" t="s">
        <v>71</v>
      </c>
      <c r="J328" s="174"/>
      <c r="K328" s="174"/>
      <c r="L328" s="174"/>
      <c r="M328" s="174">
        <v>10</v>
      </c>
      <c r="N328" s="174">
        <v>20</v>
      </c>
      <c r="O328" s="172"/>
      <c r="P328" s="172"/>
      <c r="Q328" s="172"/>
      <c r="R328" s="172"/>
      <c r="S328" s="172"/>
      <c r="T328" s="172"/>
      <c r="U328" s="172"/>
      <c r="V328" s="172"/>
      <c r="W328" s="172">
        <v>12</v>
      </c>
      <c r="X328" s="172">
        <v>24</v>
      </c>
      <c r="Y328" s="174" t="s">
        <v>71</v>
      </c>
      <c r="Z328" s="174"/>
      <c r="AA328" s="174"/>
      <c r="AB328" s="174"/>
      <c r="AC328" s="212"/>
      <c r="AD328" s="212"/>
      <c r="AE328" s="206"/>
      <c r="AF328" s="206"/>
      <c r="AG328" s="206"/>
      <c r="AH328" s="206"/>
      <c r="AI328" s="206"/>
      <c r="AJ328" s="206"/>
      <c r="AK328" s="206"/>
      <c r="AL328" s="206"/>
      <c r="AM328" s="206"/>
      <c r="AN328" s="206"/>
      <c r="AO328" s="206"/>
      <c r="AP328" s="206"/>
      <c r="AQ328" s="174"/>
      <c r="AR328" s="174"/>
      <c r="AS328" s="174"/>
      <c r="AT328" s="174"/>
      <c r="AU328" s="174"/>
      <c r="AV328" s="174"/>
      <c r="AW328" s="174"/>
      <c r="AX328" s="191"/>
      <c r="AY328" s="11"/>
      <c r="AZ328" s="11"/>
      <c r="BA328" s="11"/>
      <c r="BB328" s="11"/>
      <c r="BC328" s="11"/>
      <c r="BD328" s="13"/>
      <c r="BE328" s="11" t="str">
        <f t="shared" si="65"/>
        <v>Sí</v>
      </c>
      <c r="BF328" s="22" t="str">
        <f t="shared" si="66"/>
        <v>CPW05</v>
      </c>
      <c r="BG328" s="11"/>
      <c r="BH328" s="11" t="str">
        <f t="shared" si="68"/>
        <v>Programado pendiente</v>
      </c>
      <c r="BI328" s="12"/>
      <c r="BJ328" s="68"/>
    </row>
    <row r="329" spans="1:62" ht="18" customHeight="1" x14ac:dyDescent="0.3">
      <c r="A329" s="150"/>
      <c r="B329" s="43"/>
      <c r="C329" s="12">
        <v>46348</v>
      </c>
      <c r="D329" s="20">
        <f t="shared" si="67"/>
        <v>24</v>
      </c>
      <c r="E329" s="174" t="str">
        <f t="shared" si="69"/>
        <v/>
      </c>
      <c r="F329" s="174"/>
      <c r="G329" s="174" t="s">
        <v>71</v>
      </c>
      <c r="H329" s="174"/>
      <c r="I329" s="174" t="s">
        <v>71</v>
      </c>
      <c r="J329" s="174"/>
      <c r="K329" s="174"/>
      <c r="L329" s="174"/>
      <c r="M329" s="174" t="str">
        <f t="shared" si="62"/>
        <v/>
      </c>
      <c r="N329" s="174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4" t="s">
        <v>71</v>
      </c>
      <c r="Z329" s="174"/>
      <c r="AA329" s="174">
        <v>10</v>
      </c>
      <c r="AB329" s="174">
        <v>24</v>
      </c>
      <c r="AC329" s="212"/>
      <c r="AD329" s="212"/>
      <c r="AE329" s="206"/>
      <c r="AF329" s="206"/>
      <c r="AG329" s="206"/>
      <c r="AH329" s="206"/>
      <c r="AI329" s="206"/>
      <c r="AJ329" s="206"/>
      <c r="AK329" s="206"/>
      <c r="AL329" s="206"/>
      <c r="AM329" s="206"/>
      <c r="AN329" s="206"/>
      <c r="AO329" s="206"/>
      <c r="AP329" s="206"/>
      <c r="AQ329" s="174"/>
      <c r="AR329" s="174"/>
      <c r="AS329" s="174"/>
      <c r="AT329" s="174"/>
      <c r="AU329" s="174"/>
      <c r="AV329" s="174"/>
      <c r="AW329" s="174"/>
      <c r="AX329" s="191"/>
      <c r="AY329" s="11"/>
      <c r="AZ329" s="11"/>
      <c r="BA329" s="11"/>
      <c r="BB329" s="11"/>
      <c r="BC329" s="11"/>
      <c r="BD329" s="13"/>
      <c r="BE329" s="11" t="str">
        <f t="shared" si="65"/>
        <v>Sí</v>
      </c>
      <c r="BF329" s="22" t="str">
        <f t="shared" si="66"/>
        <v>JINAN 02</v>
      </c>
      <c r="BG329" s="11"/>
      <c r="BH329" s="11" t="str">
        <f t="shared" si="68"/>
        <v>Programado pendiente</v>
      </c>
      <c r="BI329" s="12"/>
      <c r="BJ329" s="68"/>
    </row>
    <row r="330" spans="1:62" ht="18" customHeight="1" x14ac:dyDescent="0.3">
      <c r="A330" s="150"/>
      <c r="B330" s="43"/>
      <c r="C330" s="12">
        <v>46349</v>
      </c>
      <c r="D330" s="20">
        <f t="shared" si="67"/>
        <v>0</v>
      </c>
      <c r="E330" s="174" t="str">
        <f t="shared" si="69"/>
        <v/>
      </c>
      <c r="F330" s="174"/>
      <c r="G330" s="174" t="s">
        <v>71</v>
      </c>
      <c r="H330" s="174"/>
      <c r="I330" s="174"/>
      <c r="J330" s="174"/>
      <c r="K330" s="174"/>
      <c r="L330" s="174"/>
      <c r="M330" s="174" t="str">
        <f t="shared" si="62"/>
        <v/>
      </c>
      <c r="N330" s="174"/>
      <c r="O330" s="172"/>
      <c r="P330" s="172"/>
      <c r="Q330" s="172"/>
      <c r="R330" s="172"/>
      <c r="S330" s="172"/>
      <c r="T330" s="172"/>
      <c r="U330" s="172">
        <v>12</v>
      </c>
      <c r="V330" s="172">
        <v>24</v>
      </c>
      <c r="W330" s="172"/>
      <c r="X330" s="172"/>
      <c r="Y330" s="174" t="s">
        <v>71</v>
      </c>
      <c r="Z330" s="174"/>
      <c r="AA330" s="174"/>
      <c r="AB330" s="174"/>
      <c r="AC330" s="212"/>
      <c r="AD330" s="212"/>
      <c r="AE330" s="206"/>
      <c r="AF330" s="206"/>
      <c r="AG330" s="206"/>
      <c r="AH330" s="206"/>
      <c r="AI330" s="206"/>
      <c r="AJ330" s="206"/>
      <c r="AK330" s="206"/>
      <c r="AL330" s="206"/>
      <c r="AM330" s="206"/>
      <c r="AN330" s="206"/>
      <c r="AO330" s="206"/>
      <c r="AP330" s="206"/>
      <c r="AQ330" s="174"/>
      <c r="AR330" s="174"/>
      <c r="AS330" s="174"/>
      <c r="AT330" s="174"/>
      <c r="AU330" s="174"/>
      <c r="AV330" s="174"/>
      <c r="AW330" s="174"/>
      <c r="AX330" s="191"/>
      <c r="AY330" s="11"/>
      <c r="AZ330" s="11"/>
      <c r="BA330" s="11"/>
      <c r="BB330" s="11"/>
      <c r="BC330" s="11"/>
      <c r="BD330" s="13"/>
      <c r="BE330" s="11" t="str">
        <f t="shared" si="65"/>
        <v>Sí</v>
      </c>
      <c r="BF330" s="22" t="str">
        <f t="shared" si="66"/>
        <v>CPW11</v>
      </c>
      <c r="BG330" s="11"/>
      <c r="BH330" s="11" t="str">
        <f t="shared" si="68"/>
        <v>Programado pendiente</v>
      </c>
      <c r="BI330" s="12"/>
      <c r="BJ330" s="68"/>
    </row>
    <row r="331" spans="1:62" ht="18" customHeight="1" x14ac:dyDescent="0.3">
      <c r="A331" s="150"/>
      <c r="B331" s="43"/>
      <c r="C331" s="12">
        <v>46350</v>
      </c>
      <c r="D331" s="20">
        <f t="shared" si="67"/>
        <v>24</v>
      </c>
      <c r="E331" s="174" t="str">
        <f t="shared" si="69"/>
        <v/>
      </c>
      <c r="F331" s="174"/>
      <c r="G331" s="174" t="s">
        <v>71</v>
      </c>
      <c r="H331" s="174"/>
      <c r="I331" s="174"/>
      <c r="J331" s="174"/>
      <c r="K331" s="174"/>
      <c r="L331" s="174"/>
      <c r="M331" s="174" t="str">
        <f t="shared" si="62"/>
        <v/>
      </c>
      <c r="N331" s="174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4">
        <v>10</v>
      </c>
      <c r="Z331" s="174">
        <v>24</v>
      </c>
      <c r="AA331" s="174"/>
      <c r="AB331" s="174"/>
      <c r="AC331" s="212"/>
      <c r="AD331" s="212"/>
      <c r="AE331" s="206"/>
      <c r="AF331" s="206"/>
      <c r="AG331" s="206"/>
      <c r="AH331" s="206"/>
      <c r="AI331" s="206"/>
      <c r="AJ331" s="206"/>
      <c r="AK331" s="206"/>
      <c r="AL331" s="206"/>
      <c r="AM331" s="206"/>
      <c r="AN331" s="206"/>
      <c r="AO331" s="206"/>
      <c r="AP331" s="206"/>
      <c r="AQ331" s="174"/>
      <c r="AR331" s="174"/>
      <c r="AS331" s="174"/>
      <c r="AT331" s="174"/>
      <c r="AU331" s="174"/>
      <c r="AV331" s="174"/>
      <c r="AW331" s="174"/>
      <c r="AX331" s="191"/>
      <c r="AY331" s="11"/>
      <c r="AZ331" s="11"/>
      <c r="BA331" s="11"/>
      <c r="BB331" s="11"/>
      <c r="BC331" s="11"/>
      <c r="BD331" s="13"/>
      <c r="BE331" s="11" t="str">
        <f t="shared" si="65"/>
        <v>Sí</v>
      </c>
      <c r="BF331" s="22" t="str">
        <f t="shared" si="66"/>
        <v>JINAN 01</v>
      </c>
      <c r="BG331" s="11"/>
      <c r="BH331" s="11" t="str">
        <f t="shared" si="68"/>
        <v>Programado pendiente</v>
      </c>
      <c r="BI331" s="12"/>
      <c r="BJ331" s="68"/>
    </row>
    <row r="332" spans="1:62" ht="18" customHeight="1" x14ac:dyDescent="0.3">
      <c r="A332" s="150"/>
      <c r="B332" s="43"/>
      <c r="C332" s="12">
        <v>46351</v>
      </c>
      <c r="D332" s="20">
        <f t="shared" si="67"/>
        <v>20</v>
      </c>
      <c r="E332" s="174" t="str">
        <f t="shared" si="69"/>
        <v/>
      </c>
      <c r="F332" s="174"/>
      <c r="G332" s="174" t="s">
        <v>71</v>
      </c>
      <c r="H332" s="174"/>
      <c r="I332" s="174">
        <v>10</v>
      </c>
      <c r="J332" s="174">
        <v>20</v>
      </c>
      <c r="K332" s="174"/>
      <c r="L332" s="174"/>
      <c r="M332" s="174" t="str">
        <f t="shared" si="62"/>
        <v/>
      </c>
      <c r="N332" s="174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4" t="s">
        <v>71</v>
      </c>
      <c r="Z332" s="174"/>
      <c r="AA332" s="174"/>
      <c r="AB332" s="174"/>
      <c r="AC332" s="212"/>
      <c r="AD332" s="212"/>
      <c r="AE332" s="206"/>
      <c r="AF332" s="206"/>
      <c r="AG332" s="206"/>
      <c r="AH332" s="206"/>
      <c r="AI332" s="206"/>
      <c r="AJ332" s="206"/>
      <c r="AK332" s="206"/>
      <c r="AL332" s="206"/>
      <c r="AM332" s="206"/>
      <c r="AN332" s="206"/>
      <c r="AO332" s="206"/>
      <c r="AP332" s="206"/>
      <c r="AQ332" s="174"/>
      <c r="AR332" s="174"/>
      <c r="AS332" s="174"/>
      <c r="AT332" s="174"/>
      <c r="AU332" s="174"/>
      <c r="AV332" s="174"/>
      <c r="AW332" s="174"/>
      <c r="AX332" s="191"/>
      <c r="AY332" s="11"/>
      <c r="AZ332" s="11"/>
      <c r="BA332" s="11"/>
      <c r="BB332" s="11"/>
      <c r="BC332" s="11"/>
      <c r="BD332" s="13"/>
      <c r="BE332" s="11" t="str">
        <f t="shared" si="65"/>
        <v>Sí</v>
      </c>
      <c r="BF332" s="22" t="str">
        <f t="shared" si="66"/>
        <v>CPW03</v>
      </c>
      <c r="BG332" s="11"/>
      <c r="BH332" s="11" t="str">
        <f t="shared" si="68"/>
        <v>Programado pendiente</v>
      </c>
      <c r="BI332" s="12"/>
      <c r="BJ332" s="68"/>
    </row>
    <row r="333" spans="1:62" ht="18" customHeight="1" x14ac:dyDescent="0.3">
      <c r="A333" s="150"/>
      <c r="B333" s="43"/>
      <c r="C333" s="12">
        <v>46352</v>
      </c>
      <c r="D333" s="20">
        <f t="shared" si="67"/>
        <v>0</v>
      </c>
      <c r="E333" s="174" t="str">
        <f t="shared" si="69"/>
        <v/>
      </c>
      <c r="F333" s="174"/>
      <c r="G333" s="174" t="s">
        <v>71</v>
      </c>
      <c r="H333" s="174"/>
      <c r="I333" s="174" t="s">
        <v>71</v>
      </c>
      <c r="J333" s="174"/>
      <c r="K333" s="174"/>
      <c r="L333" s="174"/>
      <c r="M333" s="174" t="str">
        <f t="shared" ref="M333:M367" si="70">IF(MOD(C333-$C$76,42)=0,8,"")</f>
        <v/>
      </c>
      <c r="N333" s="174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4" t="s">
        <v>71</v>
      </c>
      <c r="Z333" s="174"/>
      <c r="AA333" s="174"/>
      <c r="AB333" s="174"/>
      <c r="AC333" s="212"/>
      <c r="AD333" s="212"/>
      <c r="AE333" s="206"/>
      <c r="AF333" s="206"/>
      <c r="AG333" s="206"/>
      <c r="AH333" s="206"/>
      <c r="AI333" s="206"/>
      <c r="AJ333" s="206"/>
      <c r="AK333" s="206"/>
      <c r="AL333" s="206"/>
      <c r="AM333" s="206"/>
      <c r="AN333" s="206"/>
      <c r="AO333" s="206"/>
      <c r="AP333" s="206"/>
      <c r="AQ333" s="174"/>
      <c r="AR333" s="174"/>
      <c r="AS333" s="174"/>
      <c r="AT333" s="174"/>
      <c r="AU333" s="174"/>
      <c r="AV333" s="174"/>
      <c r="AW333" s="174"/>
      <c r="AX333" s="191"/>
      <c r="AY333" s="11"/>
      <c r="AZ333" s="11"/>
      <c r="BA333" s="11"/>
      <c r="BB333" s="11"/>
      <c r="BC333" s="11"/>
      <c r="BD333" s="13"/>
      <c r="BE333" s="11" t="str">
        <f t="shared" si="65"/>
        <v>No</v>
      </c>
      <c r="BF333" s="22" t="str">
        <f t="shared" si="66"/>
        <v/>
      </c>
      <c r="BG333" s="11"/>
      <c r="BH333" s="11" t="str">
        <f t="shared" si="68"/>
        <v>No aplica</v>
      </c>
      <c r="BI333" s="12"/>
      <c r="BJ333" s="68"/>
    </row>
    <row r="334" spans="1:62" ht="18" customHeight="1" x14ac:dyDescent="0.3">
      <c r="A334" s="150"/>
      <c r="B334" s="43"/>
      <c r="C334" s="12">
        <v>46353</v>
      </c>
      <c r="D334" s="20">
        <f t="shared" si="67"/>
        <v>0</v>
      </c>
      <c r="E334" s="174" t="str">
        <f t="shared" si="69"/>
        <v/>
      </c>
      <c r="F334" s="174"/>
      <c r="G334" s="174" t="s">
        <v>71</v>
      </c>
      <c r="H334" s="174"/>
      <c r="I334" s="174" t="s">
        <v>71</v>
      </c>
      <c r="J334" s="174"/>
      <c r="K334" s="174"/>
      <c r="L334" s="174"/>
      <c r="M334" s="174" t="str">
        <f t="shared" si="70"/>
        <v/>
      </c>
      <c r="N334" s="174"/>
      <c r="O334" s="172"/>
      <c r="P334" s="172"/>
      <c r="Q334" s="172"/>
      <c r="R334" s="172"/>
      <c r="S334" s="178"/>
      <c r="T334" s="178"/>
      <c r="U334" s="172"/>
      <c r="V334" s="172"/>
      <c r="W334" s="172"/>
      <c r="X334" s="172"/>
      <c r="Y334" s="174" t="s">
        <v>71</v>
      </c>
      <c r="Z334" s="174"/>
      <c r="AA334" s="178"/>
      <c r="AB334" s="178"/>
      <c r="AC334" s="214"/>
      <c r="AD334" s="214"/>
      <c r="AE334" s="207"/>
      <c r="AF334" s="207"/>
      <c r="AG334" s="207"/>
      <c r="AH334" s="207"/>
      <c r="AI334" s="207"/>
      <c r="AJ334" s="207"/>
      <c r="AK334" s="207"/>
      <c r="AL334" s="207"/>
      <c r="AM334" s="207"/>
      <c r="AN334" s="207"/>
      <c r="AO334" s="207"/>
      <c r="AP334" s="207"/>
      <c r="AQ334" s="174"/>
      <c r="AR334" s="174"/>
      <c r="AS334" s="174"/>
      <c r="AT334" s="174"/>
      <c r="AU334" s="174"/>
      <c r="AV334" s="174"/>
      <c r="AW334" s="174"/>
      <c r="AX334" s="191"/>
      <c r="AY334" s="11"/>
      <c r="AZ334" s="11"/>
      <c r="BA334" s="11"/>
      <c r="BB334" s="11"/>
      <c r="BC334" s="11"/>
      <c r="BD334" s="13"/>
      <c r="BE334" s="11" t="str">
        <f t="shared" si="65"/>
        <v>No</v>
      </c>
      <c r="BF334" s="22" t="str">
        <f t="shared" si="66"/>
        <v/>
      </c>
      <c r="BG334" s="11"/>
      <c r="BH334" s="11" t="str">
        <f t="shared" si="68"/>
        <v>No aplica</v>
      </c>
      <c r="BI334" s="12"/>
      <c r="BJ334" s="68"/>
    </row>
    <row r="335" spans="1:62" ht="18" customHeight="1" x14ac:dyDescent="0.3">
      <c r="A335" s="150"/>
      <c r="B335" s="43"/>
      <c r="C335" s="12">
        <v>46354</v>
      </c>
      <c r="D335" s="20">
        <f t="shared" si="67"/>
        <v>0</v>
      </c>
      <c r="E335" s="174" t="str">
        <f t="shared" si="69"/>
        <v/>
      </c>
      <c r="F335" s="174"/>
      <c r="G335" s="174" t="s">
        <v>71</v>
      </c>
      <c r="H335" s="174"/>
      <c r="I335" s="174" t="s">
        <v>71</v>
      </c>
      <c r="J335" s="174"/>
      <c r="K335" s="174"/>
      <c r="L335" s="174"/>
      <c r="M335" s="174" t="str">
        <f t="shared" si="70"/>
        <v/>
      </c>
      <c r="N335" s="174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 t="s">
        <v>71</v>
      </c>
      <c r="Z335" s="172"/>
      <c r="AA335" s="174"/>
      <c r="AB335" s="174"/>
      <c r="AC335" s="212"/>
      <c r="AD335" s="212"/>
      <c r="AE335" s="206"/>
      <c r="AF335" s="206"/>
      <c r="AG335" s="206"/>
      <c r="AH335" s="206"/>
      <c r="AI335" s="206"/>
      <c r="AJ335" s="206"/>
      <c r="AK335" s="206"/>
      <c r="AL335" s="206"/>
      <c r="AM335" s="206"/>
      <c r="AN335" s="206"/>
      <c r="AO335" s="206"/>
      <c r="AP335" s="206"/>
      <c r="AQ335" s="174"/>
      <c r="AR335" s="174"/>
      <c r="AS335" s="174"/>
      <c r="AT335" s="174"/>
      <c r="AU335" s="174"/>
      <c r="AV335" s="174"/>
      <c r="AW335" s="174"/>
      <c r="AX335" s="191"/>
      <c r="AY335" s="11"/>
      <c r="AZ335" s="11"/>
      <c r="BA335" s="11"/>
      <c r="BB335" s="11"/>
      <c r="BC335" s="11"/>
      <c r="BD335" s="13"/>
      <c r="BE335" s="11" t="str">
        <f t="shared" si="65"/>
        <v>No</v>
      </c>
      <c r="BF335" s="22" t="str">
        <f t="shared" si="66"/>
        <v/>
      </c>
      <c r="BG335" s="11"/>
      <c r="BH335" s="11" t="str">
        <f t="shared" si="68"/>
        <v>No aplica</v>
      </c>
      <c r="BI335" s="12"/>
      <c r="BJ335" s="68"/>
    </row>
    <row r="336" spans="1:62" ht="18" customHeight="1" x14ac:dyDescent="0.3">
      <c r="A336" s="150"/>
      <c r="B336" s="43"/>
      <c r="C336" s="12">
        <v>46355</v>
      </c>
      <c r="D336" s="20">
        <f t="shared" si="67"/>
        <v>0</v>
      </c>
      <c r="E336" s="174" t="str">
        <f t="shared" si="69"/>
        <v/>
      </c>
      <c r="F336" s="174"/>
      <c r="G336" s="174" t="s">
        <v>71</v>
      </c>
      <c r="H336" s="174"/>
      <c r="I336" s="174" t="s">
        <v>71</v>
      </c>
      <c r="J336" s="174"/>
      <c r="K336" s="174"/>
      <c r="L336" s="174"/>
      <c r="M336" s="174" t="str">
        <f t="shared" si="70"/>
        <v/>
      </c>
      <c r="N336" s="174"/>
      <c r="O336" s="172"/>
      <c r="P336" s="172"/>
      <c r="Q336" s="172"/>
      <c r="R336" s="172"/>
      <c r="S336" s="174">
        <v>10</v>
      </c>
      <c r="T336" s="174">
        <v>20</v>
      </c>
      <c r="U336" s="172"/>
      <c r="V336" s="172"/>
      <c r="W336" s="172"/>
      <c r="X336" s="172"/>
      <c r="Y336" s="172" t="s">
        <v>71</v>
      </c>
      <c r="Z336" s="172"/>
      <c r="AA336" s="172"/>
      <c r="AB336" s="172"/>
      <c r="AC336" s="212"/>
      <c r="AD336" s="212"/>
      <c r="AE336" s="206"/>
      <c r="AF336" s="206"/>
      <c r="AG336" s="206"/>
      <c r="AH336" s="206"/>
      <c r="AI336" s="206"/>
      <c r="AJ336" s="206"/>
      <c r="AK336" s="206"/>
      <c r="AL336" s="206"/>
      <c r="AM336" s="206"/>
      <c r="AN336" s="206"/>
      <c r="AO336" s="206"/>
      <c r="AP336" s="206"/>
      <c r="AQ336" s="174"/>
      <c r="AR336" s="174"/>
      <c r="AS336" s="174"/>
      <c r="AT336" s="174"/>
      <c r="AU336" s="174"/>
      <c r="AV336" s="174"/>
      <c r="AW336" s="174"/>
      <c r="AX336" s="191"/>
      <c r="AY336" s="11"/>
      <c r="AZ336" s="11"/>
      <c r="BA336" s="11"/>
      <c r="BB336" s="11"/>
      <c r="BC336" s="11"/>
      <c r="BD336" s="13"/>
      <c r="BE336" s="11" t="e">
        <f>IF(SUM(E336,G336,I336,K336,M336,O336,Q336,S336,U336,#REF!,Y336,AA336,AC336,AE336,AG336,AI336,AK336,AM336,AO336,AQ336,AW336)&gt;0,"Sí","No")</f>
        <v>#REF!</v>
      </c>
      <c r="BF336" s="22" t="e">
        <f>IF($BE336="Sí",_xlfn.TEXTJOIN(", ",TRUE,IF(N(E336)&gt;0,E$3,""),IF(N(G336)&gt;0,G$3,""),IF(N(I336)&gt;0,I$3,""),IF(N(K336)&gt;0,K$3,""),IF(N(M336)&gt;0,M$3,""),IF(N(O336)&gt;0,O$3,""),IF(N(Q336)&gt;0,Q$3,""),IF(N(S336)&gt;0,S$3,""),IF(N(U336)&gt;0,U$3,""),IF(N(#REF!)&gt;0,W$3,""),IF(N(Y336)&gt;0,Y$3,""),IF(N(AA336)&gt;0,AA$3,""),IF(N(AC336)&gt;0,AC$3,""),IF(N(AE336)&gt;0,AE$3,""),IF(N(AG336)&gt;0,AG$3,""),IF(N(AI336)&gt;0,AI$3,""),IF(N(AK336)&gt;0,AK$3,""),IF(N(AM336)&gt;0,AM$3,""),IF(N(AO336)&gt;0,AO$3,""),IF(N(AQ336)&gt;0,AQ$3,""),IF(N(AW336)&gt;0,AW$3,"")),"")</f>
        <v>#REF!</v>
      </c>
      <c r="BG336" s="11"/>
      <c r="BH336" s="11" t="e">
        <f t="shared" si="68"/>
        <v>#REF!</v>
      </c>
      <c r="BI336" s="12"/>
      <c r="BJ336" s="68"/>
    </row>
    <row r="337" spans="1:62" ht="18" customHeight="1" thickBot="1" x14ac:dyDescent="0.35">
      <c r="A337" s="151"/>
      <c r="B337" s="44"/>
      <c r="C337" s="30">
        <v>46356</v>
      </c>
      <c r="D337" s="31">
        <f t="shared" si="67"/>
        <v>0</v>
      </c>
      <c r="E337" s="182" t="str">
        <f t="shared" si="69"/>
        <v/>
      </c>
      <c r="F337" s="182"/>
      <c r="G337" s="182" t="s">
        <v>71</v>
      </c>
      <c r="H337" s="182"/>
      <c r="I337" s="182" t="s">
        <v>71</v>
      </c>
      <c r="J337" s="182"/>
      <c r="K337" s="182"/>
      <c r="L337" s="182"/>
      <c r="M337" s="182" t="str">
        <f t="shared" si="70"/>
        <v/>
      </c>
      <c r="N337" s="182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 t="s">
        <v>71</v>
      </c>
      <c r="Z337" s="179"/>
      <c r="AA337" s="179"/>
      <c r="AB337" s="179"/>
      <c r="AC337" s="215"/>
      <c r="AD337" s="215"/>
      <c r="AE337" s="216"/>
      <c r="AF337" s="216"/>
      <c r="AG337" s="216"/>
      <c r="AH337" s="216"/>
      <c r="AI337" s="216"/>
      <c r="AJ337" s="216"/>
      <c r="AK337" s="216"/>
      <c r="AL337" s="216"/>
      <c r="AM337" s="216"/>
      <c r="AN337" s="216"/>
      <c r="AO337" s="216"/>
      <c r="AP337" s="216"/>
      <c r="AQ337" s="182"/>
      <c r="AR337" s="182"/>
      <c r="AS337" s="182"/>
      <c r="AT337" s="182"/>
      <c r="AU337" s="182"/>
      <c r="AV337" s="182"/>
      <c r="AW337" s="182"/>
      <c r="AX337" s="199"/>
      <c r="AY337" s="70"/>
      <c r="AZ337" s="70"/>
      <c r="BA337" s="70"/>
      <c r="BB337" s="70"/>
      <c r="BC337" s="70"/>
      <c r="BD337" s="71"/>
      <c r="BE337" s="70" t="str">
        <f t="shared" ref="BE337:BE368" si="71">IF(SUM(E337,G337,I337,K337,M337,O337,Q337,S337,U337,W337,Y337,AA337,AC337,AE337,AG337,AI337,AK337,AM337,AO337,AQ337,AW337)&gt;0,"Sí","No")</f>
        <v>No</v>
      </c>
      <c r="BF337" s="72" t="str">
        <f t="shared" ref="BF337:BF368" si="72">IF($BE337="Sí",_xlfn.TEXTJOIN(", ",TRUE,IF(N(E337)&gt;0,E$3,""),IF(N(G337)&gt;0,G$3,""),IF(N(I337)&gt;0,I$3,""),IF(N(K337)&gt;0,K$3,""),IF(N(M337)&gt;0,M$3,""),IF(N(O337)&gt;0,O$3,""),IF(N(Q337)&gt;0,Q$3,""),IF(N(S337)&gt;0,S$3,""),IF(N(U337)&gt;0,U$3,""),IF(N(W337)&gt;0,W$3,""),IF(N(Y337)&gt;0,Y$3,""),IF(N(AA337)&gt;0,AA$3,""),IF(N(AC337)&gt;0,AC$3,""),IF(N(AE337)&gt;0,AE$3,""),IF(N(AG337)&gt;0,AG$3,""),IF(N(AI337)&gt;0,AI$3,""),IF(N(AK337)&gt;0,AK$3,""),IF(N(AM337)&gt;0,AM$3,""),IF(N(AO337)&gt;0,AO$3,""),IF(N(AQ337)&gt;0,AQ$3,""),IF(N(AW337)&gt;0,AW$3,"")),"")</f>
        <v/>
      </c>
      <c r="BG337" s="70"/>
      <c r="BH337" s="70" t="str">
        <f t="shared" si="68"/>
        <v>No aplica</v>
      </c>
      <c r="BI337" s="30"/>
      <c r="BJ337" s="73"/>
    </row>
    <row r="338" spans="1:62" ht="18" customHeight="1" x14ac:dyDescent="0.3">
      <c r="A338" s="148" t="s">
        <v>68</v>
      </c>
      <c r="B338" s="42"/>
      <c r="C338" s="15">
        <v>46357</v>
      </c>
      <c r="D338" s="27">
        <f t="shared" si="67"/>
        <v>0</v>
      </c>
      <c r="E338" s="170" t="str">
        <f t="shared" si="69"/>
        <v/>
      </c>
      <c r="F338" s="170"/>
      <c r="G338" s="170" t="s">
        <v>71</v>
      </c>
      <c r="H338" s="170"/>
      <c r="I338" s="170" t="s">
        <v>71</v>
      </c>
      <c r="J338" s="170"/>
      <c r="K338" s="170"/>
      <c r="L338" s="170"/>
      <c r="M338" s="170" t="str">
        <f t="shared" si="70"/>
        <v/>
      </c>
      <c r="N338" s="170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 t="s">
        <v>71</v>
      </c>
      <c r="Z338" s="168"/>
      <c r="AA338" s="168"/>
      <c r="AB338" s="168"/>
      <c r="AC338" s="211"/>
      <c r="AD338" s="211"/>
      <c r="AE338" s="210"/>
      <c r="AF338" s="210"/>
      <c r="AG338" s="210"/>
      <c r="AH338" s="210"/>
      <c r="AI338" s="210"/>
      <c r="AJ338" s="210"/>
      <c r="AK338" s="210"/>
      <c r="AL338" s="210"/>
      <c r="AM338" s="210"/>
      <c r="AN338" s="210"/>
      <c r="AO338" s="210"/>
      <c r="AP338" s="210"/>
      <c r="AQ338" s="170"/>
      <c r="AR338" s="170"/>
      <c r="AS338" s="170"/>
      <c r="AT338" s="170"/>
      <c r="AU338" s="170"/>
      <c r="AV338" s="170"/>
      <c r="AW338" s="170"/>
      <c r="AX338" s="201"/>
      <c r="AY338" s="14"/>
      <c r="AZ338" s="14"/>
      <c r="BA338" s="14"/>
      <c r="BB338" s="14"/>
      <c r="BC338" s="14"/>
      <c r="BD338" s="65"/>
      <c r="BE338" s="14" t="str">
        <f t="shared" si="71"/>
        <v>No</v>
      </c>
      <c r="BF338" s="21" t="str">
        <f t="shared" si="72"/>
        <v/>
      </c>
      <c r="BG338" s="14"/>
      <c r="BH338" s="14" t="str">
        <f t="shared" si="68"/>
        <v>No aplica</v>
      </c>
      <c r="BI338" s="15"/>
      <c r="BJ338" s="66"/>
    </row>
    <row r="339" spans="1:62" ht="18" customHeight="1" x14ac:dyDescent="0.3">
      <c r="A339" s="150"/>
      <c r="B339" s="43"/>
      <c r="C339" s="12">
        <v>46358</v>
      </c>
      <c r="D339" s="20">
        <f t="shared" si="67"/>
        <v>0</v>
      </c>
      <c r="E339" s="174" t="str">
        <f t="shared" si="69"/>
        <v/>
      </c>
      <c r="F339" s="174"/>
      <c r="G339" s="174" t="s">
        <v>71</v>
      </c>
      <c r="H339" s="174"/>
      <c r="I339" s="174" t="s">
        <v>71</v>
      </c>
      <c r="J339" s="174"/>
      <c r="K339" s="174"/>
      <c r="L339" s="174"/>
      <c r="M339" s="174" t="str">
        <f t="shared" si="70"/>
        <v/>
      </c>
      <c r="N339" s="174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 t="s">
        <v>71</v>
      </c>
      <c r="Z339" s="172"/>
      <c r="AA339" s="172"/>
      <c r="AB339" s="172"/>
      <c r="AC339" s="212"/>
      <c r="AD339" s="212"/>
      <c r="AE339" s="206"/>
      <c r="AF339" s="206"/>
      <c r="AG339" s="206"/>
      <c r="AH339" s="206"/>
      <c r="AI339" s="206"/>
      <c r="AJ339" s="206"/>
      <c r="AK339" s="206"/>
      <c r="AL339" s="206"/>
      <c r="AM339" s="206"/>
      <c r="AN339" s="206"/>
      <c r="AO339" s="206"/>
      <c r="AP339" s="206"/>
      <c r="AQ339" s="174"/>
      <c r="AR339" s="174"/>
      <c r="AS339" s="174"/>
      <c r="AT339" s="174"/>
      <c r="AU339" s="174"/>
      <c r="AV339" s="174"/>
      <c r="AW339" s="174"/>
      <c r="AX339" s="191"/>
      <c r="AY339" s="11"/>
      <c r="AZ339" s="11"/>
      <c r="BA339" s="11"/>
      <c r="BB339" s="11"/>
      <c r="BC339" s="11"/>
      <c r="BD339" s="13"/>
      <c r="BE339" s="11" t="str">
        <f t="shared" si="71"/>
        <v>No</v>
      </c>
      <c r="BF339" s="22" t="str">
        <f t="shared" si="72"/>
        <v/>
      </c>
      <c r="BG339" s="11" t="s">
        <v>84</v>
      </c>
      <c r="BH339" s="11" t="str">
        <f t="shared" si="68"/>
        <v>No aplica</v>
      </c>
      <c r="BI339" s="12"/>
      <c r="BJ339" s="68"/>
    </row>
    <row r="340" spans="1:62" ht="18" customHeight="1" x14ac:dyDescent="0.3">
      <c r="A340" s="150"/>
      <c r="B340" s="43"/>
      <c r="C340" s="12">
        <v>46359</v>
      </c>
      <c r="D340" s="20">
        <f t="shared" si="67"/>
        <v>20</v>
      </c>
      <c r="E340" s="174">
        <v>10</v>
      </c>
      <c r="F340" s="174">
        <v>20</v>
      </c>
      <c r="G340" s="174" t="s">
        <v>71</v>
      </c>
      <c r="H340" s="174"/>
      <c r="I340" s="174" t="s">
        <v>71</v>
      </c>
      <c r="J340" s="174"/>
      <c r="K340" s="174"/>
      <c r="L340" s="174"/>
      <c r="M340" s="174" t="str">
        <f t="shared" si="70"/>
        <v/>
      </c>
      <c r="N340" s="174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 t="s">
        <v>71</v>
      </c>
      <c r="Z340" s="172"/>
      <c r="AA340" s="172"/>
      <c r="AB340" s="172"/>
      <c r="AC340" s="212"/>
      <c r="AD340" s="212"/>
      <c r="AE340" s="206"/>
      <c r="AF340" s="206"/>
      <c r="AG340" s="206"/>
      <c r="AH340" s="206"/>
      <c r="AI340" s="206"/>
      <c r="AJ340" s="206"/>
      <c r="AK340" s="206"/>
      <c r="AL340" s="206"/>
      <c r="AM340" s="206"/>
      <c r="AN340" s="206"/>
      <c r="AO340" s="206"/>
      <c r="AP340" s="206"/>
      <c r="AQ340" s="174"/>
      <c r="AR340" s="174"/>
      <c r="AS340" s="174"/>
      <c r="AT340" s="174"/>
      <c r="AU340" s="174"/>
      <c r="AV340" s="174"/>
      <c r="AW340" s="174"/>
      <c r="AX340" s="191"/>
      <c r="AY340" s="11"/>
      <c r="AZ340" s="11"/>
      <c r="BA340" s="11"/>
      <c r="BB340" s="11"/>
      <c r="BC340" s="11"/>
      <c r="BD340" s="13"/>
      <c r="BE340" s="11" t="str">
        <f t="shared" si="71"/>
        <v>Sí</v>
      </c>
      <c r="BF340" s="22" t="str">
        <f t="shared" si="72"/>
        <v xml:space="preserve">CPW02
</v>
      </c>
      <c r="BG340" s="11"/>
      <c r="BH340" s="11" t="str">
        <f t="shared" si="68"/>
        <v>Programado pendiente</v>
      </c>
      <c r="BI340" s="12"/>
      <c r="BJ340" s="68"/>
    </row>
    <row r="341" spans="1:62" ht="18" customHeight="1" x14ac:dyDescent="0.3">
      <c r="A341" s="150"/>
      <c r="B341" s="43"/>
      <c r="C341" s="12">
        <v>46360</v>
      </c>
      <c r="D341" s="20">
        <f t="shared" si="67"/>
        <v>0</v>
      </c>
      <c r="E341" s="174" t="str">
        <f t="shared" si="69"/>
        <v/>
      </c>
      <c r="F341" s="174"/>
      <c r="G341" s="174" t="s">
        <v>71</v>
      </c>
      <c r="H341" s="174"/>
      <c r="I341" s="174" t="s">
        <v>71</v>
      </c>
      <c r="J341" s="174"/>
      <c r="K341" s="174"/>
      <c r="L341" s="174"/>
      <c r="M341" s="174" t="str">
        <f t="shared" si="70"/>
        <v/>
      </c>
      <c r="N341" s="174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 t="s">
        <v>71</v>
      </c>
      <c r="Z341" s="172"/>
      <c r="AA341" s="172"/>
      <c r="AB341" s="172"/>
      <c r="AC341" s="212"/>
      <c r="AD341" s="212"/>
      <c r="AE341" s="206"/>
      <c r="AF341" s="206"/>
      <c r="AG341" s="206"/>
      <c r="AH341" s="206"/>
      <c r="AI341" s="206"/>
      <c r="AJ341" s="206"/>
      <c r="AK341" s="206"/>
      <c r="AL341" s="206"/>
      <c r="AM341" s="206"/>
      <c r="AN341" s="206"/>
      <c r="AO341" s="206"/>
      <c r="AP341" s="206"/>
      <c r="AQ341" s="174"/>
      <c r="AR341" s="174"/>
      <c r="AS341" s="174"/>
      <c r="AT341" s="174"/>
      <c r="AU341" s="174"/>
      <c r="AV341" s="174"/>
      <c r="AW341" s="174"/>
      <c r="AX341" s="191"/>
      <c r="AY341" s="11"/>
      <c r="AZ341" s="11"/>
      <c r="BA341" s="11"/>
      <c r="BB341" s="11"/>
      <c r="BC341" s="11"/>
      <c r="BD341" s="13"/>
      <c r="BE341" s="11" t="str">
        <f t="shared" si="71"/>
        <v>No</v>
      </c>
      <c r="BF341" s="22" t="str">
        <f t="shared" si="72"/>
        <v/>
      </c>
      <c r="BG341" s="11"/>
      <c r="BH341" s="11" t="str">
        <f t="shared" si="68"/>
        <v>No aplica</v>
      </c>
      <c r="BI341" s="12"/>
      <c r="BJ341" s="68"/>
    </row>
    <row r="342" spans="1:62" ht="18" customHeight="1" x14ac:dyDescent="0.3">
      <c r="A342" s="150"/>
      <c r="B342" s="43"/>
      <c r="C342" s="12">
        <v>46361</v>
      </c>
      <c r="D342" s="20">
        <f t="shared" si="67"/>
        <v>0</v>
      </c>
      <c r="E342" s="174" t="str">
        <f t="shared" si="69"/>
        <v/>
      </c>
      <c r="F342" s="174"/>
      <c r="G342" s="174" t="s">
        <v>71</v>
      </c>
      <c r="H342" s="174"/>
      <c r="I342" s="174" t="s">
        <v>71</v>
      </c>
      <c r="J342" s="174"/>
      <c r="K342" s="174"/>
      <c r="L342" s="174"/>
      <c r="M342" s="174" t="str">
        <f t="shared" si="70"/>
        <v/>
      </c>
      <c r="N342" s="174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 t="s">
        <v>71</v>
      </c>
      <c r="Z342" s="172"/>
      <c r="AA342" s="172"/>
      <c r="AB342" s="172"/>
      <c r="AC342" s="212"/>
      <c r="AD342" s="212"/>
      <c r="AE342" s="206"/>
      <c r="AF342" s="206"/>
      <c r="AG342" s="206"/>
      <c r="AH342" s="206"/>
      <c r="AI342" s="206"/>
      <c r="AJ342" s="206"/>
      <c r="AK342" s="206"/>
      <c r="AL342" s="206"/>
      <c r="AM342" s="206"/>
      <c r="AN342" s="206"/>
      <c r="AO342" s="206"/>
      <c r="AP342" s="206"/>
      <c r="AQ342" s="174"/>
      <c r="AR342" s="174"/>
      <c r="AS342" s="174"/>
      <c r="AT342" s="174"/>
      <c r="AU342" s="174"/>
      <c r="AV342" s="174"/>
      <c r="AW342" s="174"/>
      <c r="AX342" s="191"/>
      <c r="AY342" s="11"/>
      <c r="AZ342" s="11"/>
      <c r="BA342" s="11"/>
      <c r="BB342" s="11"/>
      <c r="BC342" s="11"/>
      <c r="BD342" s="13"/>
      <c r="BE342" s="11" t="str">
        <f t="shared" si="71"/>
        <v>No</v>
      </c>
      <c r="BF342" s="22" t="str">
        <f t="shared" si="72"/>
        <v/>
      </c>
      <c r="BG342" s="11"/>
      <c r="BH342" s="11" t="str">
        <f t="shared" si="68"/>
        <v>No aplica</v>
      </c>
      <c r="BI342" s="12"/>
      <c r="BJ342" s="68"/>
    </row>
    <row r="343" spans="1:62" ht="18" customHeight="1" x14ac:dyDescent="0.3">
      <c r="A343" s="150"/>
      <c r="B343" s="43"/>
      <c r="C343" s="12">
        <v>46362</v>
      </c>
      <c r="D343" s="20">
        <f t="shared" si="67"/>
        <v>0</v>
      </c>
      <c r="E343" s="174" t="str">
        <f t="shared" si="69"/>
        <v/>
      </c>
      <c r="F343" s="174"/>
      <c r="G343" s="174" t="s">
        <v>71</v>
      </c>
      <c r="H343" s="174"/>
      <c r="I343" s="174" t="s">
        <v>71</v>
      </c>
      <c r="J343" s="174"/>
      <c r="K343" s="174"/>
      <c r="L343" s="174"/>
      <c r="M343" s="174" t="str">
        <f t="shared" si="70"/>
        <v/>
      </c>
      <c r="N343" s="174"/>
      <c r="O343" s="172"/>
      <c r="P343" s="172"/>
      <c r="Q343" s="172"/>
      <c r="R343" s="172"/>
      <c r="S343" s="172"/>
      <c r="T343" s="172"/>
      <c r="U343" s="172"/>
      <c r="V343" s="172"/>
      <c r="W343" s="172">
        <v>12</v>
      </c>
      <c r="X343" s="172">
        <v>20</v>
      </c>
      <c r="Y343" s="174" t="s">
        <v>71</v>
      </c>
      <c r="Z343" s="174"/>
      <c r="AA343" s="174"/>
      <c r="AB343" s="174"/>
      <c r="AC343" s="212"/>
      <c r="AD343" s="212"/>
      <c r="AE343" s="206"/>
      <c r="AF343" s="206"/>
      <c r="AG343" s="206"/>
      <c r="AH343" s="206"/>
      <c r="AI343" s="206"/>
      <c r="AJ343" s="206"/>
      <c r="AK343" s="206"/>
      <c r="AL343" s="206"/>
      <c r="AM343" s="206"/>
      <c r="AN343" s="206"/>
      <c r="AO343" s="206"/>
      <c r="AP343" s="206"/>
      <c r="AQ343" s="174"/>
      <c r="AR343" s="174"/>
      <c r="AS343" s="174"/>
      <c r="AT343" s="174"/>
      <c r="AU343" s="174"/>
      <c r="AV343" s="174"/>
      <c r="AW343" s="174"/>
      <c r="AX343" s="191"/>
      <c r="AY343" s="11"/>
      <c r="AZ343" s="11"/>
      <c r="BA343" s="11"/>
      <c r="BB343" s="11"/>
      <c r="BC343" s="11"/>
      <c r="BD343" s="13"/>
      <c r="BE343" s="11" t="str">
        <f t="shared" si="71"/>
        <v>Sí</v>
      </c>
      <c r="BF343" s="22" t="str">
        <f t="shared" si="72"/>
        <v>CPW12</v>
      </c>
      <c r="BG343" s="11"/>
      <c r="BH343" s="11" t="str">
        <f t="shared" si="68"/>
        <v>Programado pendiente</v>
      </c>
      <c r="BI343" s="12"/>
      <c r="BJ343" s="68"/>
    </row>
    <row r="344" spans="1:62" ht="18" customHeight="1" x14ac:dyDescent="0.3">
      <c r="A344" s="150"/>
      <c r="B344" s="43"/>
      <c r="C344" s="12">
        <v>46363</v>
      </c>
      <c r="D344" s="20">
        <f t="shared" si="67"/>
        <v>24</v>
      </c>
      <c r="E344" s="174" t="str">
        <f t="shared" si="69"/>
        <v/>
      </c>
      <c r="F344" s="174"/>
      <c r="G344" s="174" t="s">
        <v>71</v>
      </c>
      <c r="H344" s="174"/>
      <c r="I344" s="174" t="s">
        <v>71</v>
      </c>
      <c r="J344" s="174"/>
      <c r="K344" s="174"/>
      <c r="L344" s="174"/>
      <c r="M344" s="174" t="str">
        <f t="shared" si="70"/>
        <v/>
      </c>
      <c r="N344" s="174"/>
      <c r="O344" s="172">
        <v>12</v>
      </c>
      <c r="P344" s="172">
        <v>24</v>
      </c>
      <c r="Q344" s="172"/>
      <c r="R344" s="172"/>
      <c r="S344" s="172"/>
      <c r="T344" s="172"/>
      <c r="U344" s="172"/>
      <c r="V344" s="172"/>
      <c r="W344" s="172"/>
      <c r="X344" s="172"/>
      <c r="Y344" s="174" t="s">
        <v>71</v>
      </c>
      <c r="Z344" s="174"/>
      <c r="AA344" s="174"/>
      <c r="AB344" s="174"/>
      <c r="AC344" s="212"/>
      <c r="AD344" s="212"/>
      <c r="AE344" s="206"/>
      <c r="AF344" s="206"/>
      <c r="AG344" s="206"/>
      <c r="AH344" s="206"/>
      <c r="AI344" s="206"/>
      <c r="AJ344" s="206"/>
      <c r="AK344" s="206"/>
      <c r="AL344" s="206"/>
      <c r="AM344" s="206"/>
      <c r="AN344" s="206"/>
      <c r="AO344" s="206"/>
      <c r="AP344" s="206"/>
      <c r="AQ344" s="174"/>
      <c r="AR344" s="174"/>
      <c r="AS344" s="174"/>
      <c r="AT344" s="174"/>
      <c r="AU344" s="174"/>
      <c r="AV344" s="174"/>
      <c r="AW344" s="174"/>
      <c r="AX344" s="191"/>
      <c r="AY344" s="11"/>
      <c r="AZ344" s="11"/>
      <c r="BA344" s="11"/>
      <c r="BB344" s="11"/>
      <c r="BC344" s="11"/>
      <c r="BD344" s="13"/>
      <c r="BE344" s="11" t="str">
        <f t="shared" si="71"/>
        <v>Sí</v>
      </c>
      <c r="BF344" s="22" t="str">
        <f t="shared" si="72"/>
        <v>CPW06</v>
      </c>
      <c r="BG344" s="11"/>
      <c r="BH344" s="11" t="str">
        <f t="shared" si="68"/>
        <v>Programado pendiente</v>
      </c>
      <c r="BI344" s="12"/>
      <c r="BJ344" s="68"/>
    </row>
    <row r="345" spans="1:62" ht="18" customHeight="1" x14ac:dyDescent="0.3">
      <c r="A345" s="150"/>
      <c r="B345" s="43"/>
      <c r="C345" s="12">
        <v>46364</v>
      </c>
      <c r="D345" s="20">
        <f t="shared" si="67"/>
        <v>20</v>
      </c>
      <c r="E345" s="174" t="str">
        <f t="shared" si="69"/>
        <v/>
      </c>
      <c r="F345" s="174"/>
      <c r="G345" s="174" t="s">
        <v>71</v>
      </c>
      <c r="H345" s="174"/>
      <c r="I345" s="174" t="s">
        <v>71</v>
      </c>
      <c r="J345" s="174"/>
      <c r="K345" s="174"/>
      <c r="L345" s="174"/>
      <c r="M345" s="174" t="str">
        <f t="shared" si="70"/>
        <v/>
      </c>
      <c r="N345" s="174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4" t="s">
        <v>71</v>
      </c>
      <c r="Z345" s="174"/>
      <c r="AA345" s="174">
        <v>10</v>
      </c>
      <c r="AB345" s="174">
        <v>20</v>
      </c>
      <c r="AC345" s="212"/>
      <c r="AD345" s="212"/>
      <c r="AE345" s="206"/>
      <c r="AF345" s="206"/>
      <c r="AG345" s="206"/>
      <c r="AH345" s="206"/>
      <c r="AI345" s="206"/>
      <c r="AJ345" s="206"/>
      <c r="AK345" s="206"/>
      <c r="AL345" s="206"/>
      <c r="AM345" s="206"/>
      <c r="AN345" s="206"/>
      <c r="AO345" s="206"/>
      <c r="AP345" s="206"/>
      <c r="AQ345" s="174"/>
      <c r="AR345" s="174"/>
      <c r="AS345" s="174"/>
      <c r="AT345" s="174"/>
      <c r="AU345" s="174"/>
      <c r="AV345" s="174"/>
      <c r="AW345" s="174"/>
      <c r="AX345" s="191"/>
      <c r="AY345" s="11"/>
      <c r="AZ345" s="11"/>
      <c r="BA345" s="11"/>
      <c r="BB345" s="11"/>
      <c r="BC345" s="11"/>
      <c r="BD345" s="13"/>
      <c r="BE345" s="11" t="str">
        <f t="shared" si="71"/>
        <v>Sí</v>
      </c>
      <c r="BF345" s="22" t="str">
        <f t="shared" si="72"/>
        <v>JINAN 02</v>
      </c>
      <c r="BG345" s="11"/>
      <c r="BH345" s="11" t="str">
        <f t="shared" si="68"/>
        <v>Programado pendiente</v>
      </c>
      <c r="BI345" s="12"/>
      <c r="BJ345" s="68"/>
    </row>
    <row r="346" spans="1:62" ht="18" customHeight="1" x14ac:dyDescent="0.3">
      <c r="A346" s="150"/>
      <c r="B346" s="43"/>
      <c r="C346" s="12">
        <v>46365</v>
      </c>
      <c r="D346" s="20">
        <f t="shared" si="67"/>
        <v>20</v>
      </c>
      <c r="E346" s="174" t="str">
        <f t="shared" si="69"/>
        <v/>
      </c>
      <c r="F346" s="174"/>
      <c r="G346" s="174" t="s">
        <v>71</v>
      </c>
      <c r="H346" s="174"/>
      <c r="I346" s="174" t="s">
        <v>71</v>
      </c>
      <c r="J346" s="174"/>
      <c r="K346" s="174"/>
      <c r="L346" s="174"/>
      <c r="M346" s="174" t="str">
        <f t="shared" si="70"/>
        <v/>
      </c>
      <c r="N346" s="174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4">
        <v>10</v>
      </c>
      <c r="Z346" s="174">
        <v>20</v>
      </c>
      <c r="AA346" s="174"/>
      <c r="AB346" s="174"/>
      <c r="AC346" s="212"/>
      <c r="AD346" s="212"/>
      <c r="AE346" s="206"/>
      <c r="AF346" s="206"/>
      <c r="AG346" s="206"/>
      <c r="AH346" s="206"/>
      <c r="AI346" s="206"/>
      <c r="AJ346" s="206"/>
      <c r="AK346" s="206"/>
      <c r="AL346" s="206"/>
      <c r="AM346" s="206"/>
      <c r="AN346" s="206"/>
      <c r="AO346" s="206"/>
      <c r="AP346" s="206"/>
      <c r="AQ346" s="174"/>
      <c r="AR346" s="174"/>
      <c r="AS346" s="174"/>
      <c r="AT346" s="174"/>
      <c r="AU346" s="174"/>
      <c r="AV346" s="174"/>
      <c r="AW346" s="174"/>
      <c r="AX346" s="191"/>
      <c r="AY346" s="11"/>
      <c r="AZ346" s="11"/>
      <c r="BA346" s="11"/>
      <c r="BB346" s="11"/>
      <c r="BC346" s="11"/>
      <c r="BD346" s="13"/>
      <c r="BE346" s="11" t="str">
        <f t="shared" si="71"/>
        <v>Sí</v>
      </c>
      <c r="BF346" s="22" t="str">
        <f t="shared" si="72"/>
        <v>JINAN 01</v>
      </c>
      <c r="BG346" s="11"/>
      <c r="BH346" s="11" t="str">
        <f t="shared" si="68"/>
        <v>Programado pendiente</v>
      </c>
      <c r="BI346" s="12"/>
      <c r="BJ346" s="68"/>
    </row>
    <row r="347" spans="1:62" ht="18" customHeight="1" x14ac:dyDescent="0.3">
      <c r="A347" s="150"/>
      <c r="B347" s="43"/>
      <c r="C347" s="12">
        <v>46366</v>
      </c>
      <c r="D347" s="20">
        <f t="shared" si="67"/>
        <v>0</v>
      </c>
      <c r="E347" s="174" t="str">
        <f t="shared" si="69"/>
        <v/>
      </c>
      <c r="F347" s="174"/>
      <c r="G347" s="174" t="s">
        <v>71</v>
      </c>
      <c r="H347" s="174"/>
      <c r="I347" s="174" t="s">
        <v>71</v>
      </c>
      <c r="J347" s="174"/>
      <c r="K347" s="174"/>
      <c r="L347" s="174"/>
      <c r="M347" s="174" t="str">
        <f t="shared" si="70"/>
        <v/>
      </c>
      <c r="N347" s="174"/>
      <c r="O347" s="172"/>
      <c r="P347" s="172"/>
      <c r="Q347" s="172"/>
      <c r="R347" s="172"/>
      <c r="S347" s="172"/>
      <c r="T347" s="172"/>
      <c r="U347" s="172">
        <v>12</v>
      </c>
      <c r="V347" s="172">
        <v>20</v>
      </c>
      <c r="W347" s="172"/>
      <c r="X347" s="172"/>
      <c r="Y347" s="174" t="s">
        <v>71</v>
      </c>
      <c r="Z347" s="174"/>
      <c r="AA347" s="174"/>
      <c r="AB347" s="174"/>
      <c r="AC347" s="212"/>
      <c r="AD347" s="212"/>
      <c r="AE347" s="206"/>
      <c r="AF347" s="206"/>
      <c r="AG347" s="206"/>
      <c r="AH347" s="206"/>
      <c r="AI347" s="206"/>
      <c r="AJ347" s="206"/>
      <c r="AK347" s="206"/>
      <c r="AL347" s="206"/>
      <c r="AM347" s="206"/>
      <c r="AN347" s="206"/>
      <c r="AO347" s="206"/>
      <c r="AP347" s="206"/>
      <c r="AQ347" s="174"/>
      <c r="AR347" s="174"/>
      <c r="AS347" s="174"/>
      <c r="AT347" s="174"/>
      <c r="AU347" s="174"/>
      <c r="AV347" s="174"/>
      <c r="AW347" s="174"/>
      <c r="AX347" s="191"/>
      <c r="AY347" s="11"/>
      <c r="AZ347" s="11"/>
      <c r="BA347" s="11"/>
      <c r="BB347" s="11"/>
      <c r="BC347" s="11"/>
      <c r="BD347" s="13"/>
      <c r="BE347" s="11" t="str">
        <f t="shared" si="71"/>
        <v>Sí</v>
      </c>
      <c r="BF347" s="22" t="str">
        <f t="shared" si="72"/>
        <v>CPW11</v>
      </c>
      <c r="BG347" s="11"/>
      <c r="BH347" s="11" t="str">
        <f t="shared" si="68"/>
        <v>Programado pendiente</v>
      </c>
      <c r="BI347" s="12"/>
      <c r="BJ347" s="68"/>
    </row>
    <row r="348" spans="1:62" ht="18" customHeight="1" x14ac:dyDescent="0.3">
      <c r="A348" s="150"/>
      <c r="B348" s="43"/>
      <c r="C348" s="12">
        <v>46367</v>
      </c>
      <c r="D348" s="20">
        <f t="shared" si="67"/>
        <v>0</v>
      </c>
      <c r="E348" s="174" t="str">
        <f t="shared" si="69"/>
        <v/>
      </c>
      <c r="F348" s="174"/>
      <c r="G348" s="174" t="s">
        <v>71</v>
      </c>
      <c r="H348" s="174"/>
      <c r="I348" s="174" t="s">
        <v>71</v>
      </c>
      <c r="J348" s="174"/>
      <c r="K348" s="174"/>
      <c r="L348" s="174"/>
      <c r="M348" s="174" t="str">
        <f t="shared" si="70"/>
        <v/>
      </c>
      <c r="N348" s="174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4" t="s">
        <v>71</v>
      </c>
      <c r="Z348" s="174"/>
      <c r="AA348" s="174"/>
      <c r="AB348" s="174"/>
      <c r="AC348" s="212"/>
      <c r="AD348" s="212"/>
      <c r="AE348" s="206"/>
      <c r="AF348" s="206"/>
      <c r="AG348" s="206"/>
      <c r="AH348" s="206"/>
      <c r="AI348" s="206"/>
      <c r="AJ348" s="206"/>
      <c r="AK348" s="206"/>
      <c r="AL348" s="206"/>
      <c r="AM348" s="206"/>
      <c r="AN348" s="206"/>
      <c r="AO348" s="206"/>
      <c r="AP348" s="206"/>
      <c r="AQ348" s="174"/>
      <c r="AR348" s="174"/>
      <c r="AS348" s="174"/>
      <c r="AT348" s="174"/>
      <c r="AU348" s="174"/>
      <c r="AV348" s="174"/>
      <c r="AW348" s="174"/>
      <c r="AX348" s="191"/>
      <c r="AY348" s="11"/>
      <c r="AZ348" s="11"/>
      <c r="BA348" s="11"/>
      <c r="BB348" s="11"/>
      <c r="BC348" s="11"/>
      <c r="BD348" s="13"/>
      <c r="BE348" s="11" t="str">
        <f t="shared" si="71"/>
        <v>No</v>
      </c>
      <c r="BF348" s="22" t="str">
        <f t="shared" si="72"/>
        <v/>
      </c>
      <c r="BG348" s="11"/>
      <c r="BH348" s="11" t="str">
        <f t="shared" si="68"/>
        <v>No aplica</v>
      </c>
      <c r="BI348" s="12"/>
      <c r="BJ348" s="68"/>
    </row>
    <row r="349" spans="1:62" ht="18" customHeight="1" x14ac:dyDescent="0.3">
      <c r="A349" s="150"/>
      <c r="B349" s="43"/>
      <c r="C349" s="12">
        <v>46368</v>
      </c>
      <c r="D349" s="20">
        <f t="shared" si="67"/>
        <v>0</v>
      </c>
      <c r="E349" s="174" t="str">
        <f t="shared" si="69"/>
        <v/>
      </c>
      <c r="F349" s="174"/>
      <c r="G349" s="174" t="s">
        <v>71</v>
      </c>
      <c r="H349" s="174"/>
      <c r="I349" s="174" t="s">
        <v>71</v>
      </c>
      <c r="J349" s="174"/>
      <c r="K349" s="174"/>
      <c r="L349" s="174"/>
      <c r="M349" s="174" t="str">
        <f t="shared" si="70"/>
        <v/>
      </c>
      <c r="N349" s="174"/>
      <c r="O349" s="172"/>
      <c r="P349" s="172"/>
      <c r="Q349" s="172"/>
      <c r="R349" s="172"/>
      <c r="S349" s="178"/>
      <c r="T349" s="178"/>
      <c r="U349" s="172"/>
      <c r="V349" s="172"/>
      <c r="W349" s="172"/>
      <c r="X349" s="172"/>
      <c r="Y349" s="174" t="s">
        <v>71</v>
      </c>
      <c r="Z349" s="174"/>
      <c r="AA349" s="178"/>
      <c r="AB349" s="178"/>
      <c r="AC349" s="214"/>
      <c r="AD349" s="214"/>
      <c r="AE349" s="207"/>
      <c r="AF349" s="207"/>
      <c r="AG349" s="207"/>
      <c r="AH349" s="207"/>
      <c r="AI349" s="207"/>
      <c r="AJ349" s="207"/>
      <c r="AK349" s="207"/>
      <c r="AL349" s="207"/>
      <c r="AM349" s="207"/>
      <c r="AN349" s="207"/>
      <c r="AO349" s="207"/>
      <c r="AP349" s="207"/>
      <c r="AQ349" s="174"/>
      <c r="AR349" s="174"/>
      <c r="AS349" s="174"/>
      <c r="AT349" s="174"/>
      <c r="AU349" s="174"/>
      <c r="AV349" s="174"/>
      <c r="AW349" s="174"/>
      <c r="AX349" s="191"/>
      <c r="AY349" s="11"/>
      <c r="AZ349" s="11"/>
      <c r="BA349" s="11"/>
      <c r="BB349" s="11"/>
      <c r="BC349" s="11"/>
      <c r="BD349" s="13"/>
      <c r="BE349" s="11" t="str">
        <f t="shared" si="71"/>
        <v>No</v>
      </c>
      <c r="BF349" s="22" t="str">
        <f t="shared" si="72"/>
        <v/>
      </c>
      <c r="BG349" s="11"/>
      <c r="BH349" s="11" t="str">
        <f t="shared" si="68"/>
        <v>No aplica</v>
      </c>
      <c r="BI349" s="12"/>
      <c r="BJ349" s="68"/>
    </row>
    <row r="350" spans="1:62" ht="18" customHeight="1" x14ac:dyDescent="0.3">
      <c r="A350" s="150"/>
      <c r="B350" s="43"/>
      <c r="C350" s="12">
        <v>46369</v>
      </c>
      <c r="D350" s="20">
        <f t="shared" si="67"/>
        <v>0</v>
      </c>
      <c r="E350" s="174" t="str">
        <f t="shared" si="69"/>
        <v/>
      </c>
      <c r="F350" s="174"/>
      <c r="G350" s="174" t="s">
        <v>71</v>
      </c>
      <c r="H350" s="174"/>
      <c r="I350" s="174" t="s">
        <v>71</v>
      </c>
      <c r="J350" s="174"/>
      <c r="K350" s="174"/>
      <c r="L350" s="174"/>
      <c r="M350" s="174" t="str">
        <f t="shared" si="70"/>
        <v/>
      </c>
      <c r="N350" s="174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 t="s">
        <v>71</v>
      </c>
      <c r="Z350" s="172"/>
      <c r="AA350" s="174"/>
      <c r="AB350" s="174"/>
      <c r="AC350" s="212"/>
      <c r="AD350" s="212"/>
      <c r="AE350" s="206"/>
      <c r="AF350" s="206"/>
      <c r="AG350" s="206"/>
      <c r="AH350" s="206"/>
      <c r="AI350" s="206"/>
      <c r="AJ350" s="206"/>
      <c r="AK350" s="206"/>
      <c r="AL350" s="206"/>
      <c r="AM350" s="206"/>
      <c r="AN350" s="206"/>
      <c r="AO350" s="206"/>
      <c r="AP350" s="206"/>
      <c r="AQ350" s="174"/>
      <c r="AR350" s="174"/>
      <c r="AS350" s="174"/>
      <c r="AT350" s="174"/>
      <c r="AU350" s="174"/>
      <c r="AV350" s="174"/>
      <c r="AW350" s="174"/>
      <c r="AX350" s="191"/>
      <c r="AY350" s="11"/>
      <c r="AZ350" s="11"/>
      <c r="BA350" s="11"/>
      <c r="BB350" s="11"/>
      <c r="BC350" s="11"/>
      <c r="BD350" s="13"/>
      <c r="BE350" s="11" t="str">
        <f t="shared" si="71"/>
        <v>No</v>
      </c>
      <c r="BF350" s="22" t="str">
        <f t="shared" si="72"/>
        <v/>
      </c>
      <c r="BG350" s="11"/>
      <c r="BH350" s="11" t="str">
        <f t="shared" si="68"/>
        <v>No aplica</v>
      </c>
      <c r="BI350" s="12"/>
      <c r="BJ350" s="68"/>
    </row>
    <row r="351" spans="1:62" ht="18" customHeight="1" x14ac:dyDescent="0.3">
      <c r="A351" s="150"/>
      <c r="B351" s="43"/>
      <c r="C351" s="12">
        <v>46370</v>
      </c>
      <c r="D351" s="20">
        <f t="shared" si="67"/>
        <v>0</v>
      </c>
      <c r="E351" s="174" t="str">
        <f t="shared" si="69"/>
        <v/>
      </c>
      <c r="F351" s="174"/>
      <c r="G351" s="174" t="s">
        <v>71</v>
      </c>
      <c r="H351" s="174"/>
      <c r="I351" s="174" t="s">
        <v>71</v>
      </c>
      <c r="J351" s="174"/>
      <c r="K351" s="174"/>
      <c r="L351" s="174"/>
      <c r="M351" s="174" t="str">
        <f t="shared" si="70"/>
        <v/>
      </c>
      <c r="N351" s="174"/>
      <c r="O351" s="172"/>
      <c r="P351" s="172"/>
      <c r="Q351" s="172"/>
      <c r="R351" s="172"/>
      <c r="S351" s="174">
        <v>10</v>
      </c>
      <c r="T351" s="174">
        <v>20</v>
      </c>
      <c r="U351" s="172"/>
      <c r="V351" s="172"/>
      <c r="W351" s="172"/>
      <c r="X351" s="172"/>
      <c r="Y351" s="172" t="s">
        <v>71</v>
      </c>
      <c r="Z351" s="172"/>
      <c r="AA351" s="172"/>
      <c r="AB351" s="172"/>
      <c r="AC351" s="212"/>
      <c r="AD351" s="212"/>
      <c r="AE351" s="206"/>
      <c r="AF351" s="206"/>
      <c r="AG351" s="206"/>
      <c r="AH351" s="206"/>
      <c r="AI351" s="206"/>
      <c r="AJ351" s="206"/>
      <c r="AK351" s="206"/>
      <c r="AL351" s="206"/>
      <c r="AM351" s="206"/>
      <c r="AN351" s="206"/>
      <c r="AO351" s="206"/>
      <c r="AP351" s="206"/>
      <c r="AQ351" s="174"/>
      <c r="AR351" s="174"/>
      <c r="AS351" s="174"/>
      <c r="AT351" s="174"/>
      <c r="AU351" s="174"/>
      <c r="AV351" s="174"/>
      <c r="AW351" s="174"/>
      <c r="AX351" s="191"/>
      <c r="AY351" s="11"/>
      <c r="AZ351" s="11"/>
      <c r="BA351" s="11"/>
      <c r="BB351" s="11"/>
      <c r="BC351" s="11"/>
      <c r="BD351" s="13"/>
      <c r="BE351" s="11" t="str">
        <f t="shared" si="71"/>
        <v>Sí</v>
      </c>
      <c r="BF351" s="22" t="str">
        <f t="shared" si="72"/>
        <v>CPW 10</v>
      </c>
      <c r="BG351" s="11"/>
      <c r="BH351" s="11" t="str">
        <f t="shared" si="68"/>
        <v>Programado pendiente</v>
      </c>
      <c r="BI351" s="12"/>
      <c r="BJ351" s="68"/>
    </row>
    <row r="352" spans="1:62" ht="18" customHeight="1" x14ac:dyDescent="0.3">
      <c r="A352" s="150"/>
      <c r="B352" s="43"/>
      <c r="C352" s="12">
        <v>46371</v>
      </c>
      <c r="D352" s="20">
        <f t="shared" si="67"/>
        <v>0</v>
      </c>
      <c r="E352" s="174" t="str">
        <f t="shared" si="69"/>
        <v/>
      </c>
      <c r="F352" s="174"/>
      <c r="G352" s="174" t="s">
        <v>71</v>
      </c>
      <c r="H352" s="174"/>
      <c r="I352" s="174" t="s">
        <v>71</v>
      </c>
      <c r="J352" s="174"/>
      <c r="K352" s="174"/>
      <c r="L352" s="174"/>
      <c r="M352" s="174" t="str">
        <f t="shared" si="70"/>
        <v/>
      </c>
      <c r="N352" s="174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 t="s">
        <v>71</v>
      </c>
      <c r="Z352" s="172"/>
      <c r="AA352" s="172"/>
      <c r="AB352" s="172"/>
      <c r="AC352" s="212"/>
      <c r="AD352" s="212"/>
      <c r="AE352" s="206"/>
      <c r="AF352" s="206"/>
      <c r="AG352" s="206"/>
      <c r="AH352" s="206"/>
      <c r="AI352" s="206"/>
      <c r="AJ352" s="206"/>
      <c r="AK352" s="206"/>
      <c r="AL352" s="206"/>
      <c r="AM352" s="206"/>
      <c r="AN352" s="206"/>
      <c r="AO352" s="206"/>
      <c r="AP352" s="206"/>
      <c r="AQ352" s="174"/>
      <c r="AR352" s="174"/>
      <c r="AS352" s="174"/>
      <c r="AT352" s="174"/>
      <c r="AU352" s="174"/>
      <c r="AV352" s="174"/>
      <c r="AW352" s="174"/>
      <c r="AX352" s="191"/>
      <c r="AY352" s="11"/>
      <c r="AZ352" s="11"/>
      <c r="BA352" s="11"/>
      <c r="BB352" s="11"/>
      <c r="BC352" s="11"/>
      <c r="BD352" s="13"/>
      <c r="BE352" s="11" t="str">
        <f t="shared" si="71"/>
        <v>No</v>
      </c>
      <c r="BF352" s="22" t="str">
        <f t="shared" si="72"/>
        <v/>
      </c>
      <c r="BG352" s="11"/>
      <c r="BH352" s="11" t="str">
        <f t="shared" si="68"/>
        <v>No aplica</v>
      </c>
      <c r="BI352" s="12"/>
      <c r="BJ352" s="68"/>
    </row>
    <row r="353" spans="1:62" ht="18" customHeight="1" x14ac:dyDescent="0.3">
      <c r="A353" s="150"/>
      <c r="B353" s="43"/>
      <c r="C353" s="12">
        <v>46372</v>
      </c>
      <c r="D353" s="20">
        <f t="shared" si="67"/>
        <v>0</v>
      </c>
      <c r="E353" s="174" t="str">
        <f t="shared" si="69"/>
        <v/>
      </c>
      <c r="F353" s="174"/>
      <c r="G353" s="174" t="s">
        <v>71</v>
      </c>
      <c r="H353" s="174"/>
      <c r="I353" s="174" t="s">
        <v>71</v>
      </c>
      <c r="J353" s="174"/>
      <c r="K353" s="174"/>
      <c r="L353" s="174"/>
      <c r="M353" s="174" t="str">
        <f t="shared" si="70"/>
        <v/>
      </c>
      <c r="N353" s="174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 t="s">
        <v>71</v>
      </c>
      <c r="Z353" s="172"/>
      <c r="AA353" s="172"/>
      <c r="AB353" s="172"/>
      <c r="AC353" s="212"/>
      <c r="AD353" s="212"/>
      <c r="AE353" s="206"/>
      <c r="AF353" s="206"/>
      <c r="AG353" s="206"/>
      <c r="AH353" s="206"/>
      <c r="AI353" s="206"/>
      <c r="AJ353" s="206"/>
      <c r="AK353" s="206"/>
      <c r="AL353" s="206"/>
      <c r="AM353" s="206"/>
      <c r="AN353" s="206"/>
      <c r="AO353" s="206"/>
      <c r="AP353" s="206"/>
      <c r="AQ353" s="174"/>
      <c r="AR353" s="174"/>
      <c r="AS353" s="174"/>
      <c r="AT353" s="174"/>
      <c r="AU353" s="174"/>
      <c r="AV353" s="174"/>
      <c r="AW353" s="174"/>
      <c r="AX353" s="191"/>
      <c r="AY353" s="11"/>
      <c r="AZ353" s="11"/>
      <c r="BA353" s="11"/>
      <c r="BB353" s="11"/>
      <c r="BC353" s="11"/>
      <c r="BD353" s="13"/>
      <c r="BE353" s="11" t="str">
        <f t="shared" si="71"/>
        <v>No</v>
      </c>
      <c r="BF353" s="22" t="str">
        <f t="shared" si="72"/>
        <v/>
      </c>
      <c r="BG353" s="11"/>
      <c r="BH353" s="11" t="str">
        <f t="shared" si="68"/>
        <v>No aplica</v>
      </c>
      <c r="BI353" s="12"/>
      <c r="BJ353" s="68"/>
    </row>
    <row r="354" spans="1:62" ht="18" customHeight="1" x14ac:dyDescent="0.3">
      <c r="A354" s="150"/>
      <c r="B354" s="43"/>
      <c r="C354" s="12">
        <v>46373</v>
      </c>
      <c r="D354" s="20">
        <f t="shared" si="67"/>
        <v>0</v>
      </c>
      <c r="E354" s="174" t="str">
        <f t="shared" si="69"/>
        <v/>
      </c>
      <c r="F354" s="174"/>
      <c r="G354" s="174" t="s">
        <v>71</v>
      </c>
      <c r="H354" s="174"/>
      <c r="I354" s="174" t="s">
        <v>71</v>
      </c>
      <c r="J354" s="174"/>
      <c r="K354" s="174"/>
      <c r="L354" s="174"/>
      <c r="M354" s="174" t="str">
        <f t="shared" si="70"/>
        <v/>
      </c>
      <c r="N354" s="174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 t="s">
        <v>71</v>
      </c>
      <c r="Z354" s="172"/>
      <c r="AA354" s="172"/>
      <c r="AB354" s="172"/>
      <c r="AC354" s="212"/>
      <c r="AD354" s="212"/>
      <c r="AE354" s="206"/>
      <c r="AF354" s="206"/>
      <c r="AG354" s="206"/>
      <c r="AH354" s="206"/>
      <c r="AI354" s="206"/>
      <c r="AJ354" s="206"/>
      <c r="AK354" s="206"/>
      <c r="AL354" s="206"/>
      <c r="AM354" s="206"/>
      <c r="AN354" s="206"/>
      <c r="AO354" s="206"/>
      <c r="AP354" s="206"/>
      <c r="AQ354" s="174"/>
      <c r="AR354" s="174"/>
      <c r="AS354" s="174"/>
      <c r="AT354" s="174"/>
      <c r="AU354" s="174"/>
      <c r="AV354" s="174"/>
      <c r="AW354" s="174"/>
      <c r="AX354" s="191"/>
      <c r="AY354" s="11"/>
      <c r="AZ354" s="11"/>
      <c r="BA354" s="11"/>
      <c r="BB354" s="11"/>
      <c r="BC354" s="11"/>
      <c r="BD354" s="13"/>
      <c r="BE354" s="11" t="str">
        <f t="shared" si="71"/>
        <v>No</v>
      </c>
      <c r="BF354" s="22" t="str">
        <f t="shared" si="72"/>
        <v/>
      </c>
      <c r="BG354" s="11" t="s">
        <v>84</v>
      </c>
      <c r="BH354" s="11" t="str">
        <f t="shared" si="68"/>
        <v>No aplica</v>
      </c>
      <c r="BI354" s="12"/>
      <c r="BJ354" s="68"/>
    </row>
    <row r="355" spans="1:62" ht="18" customHeight="1" x14ac:dyDescent="0.3">
      <c r="A355" s="150"/>
      <c r="B355" s="43"/>
      <c r="C355" s="12">
        <v>46374</v>
      </c>
      <c r="D355" s="20">
        <f t="shared" si="67"/>
        <v>24</v>
      </c>
      <c r="E355" s="174" t="str">
        <f t="shared" si="69"/>
        <v/>
      </c>
      <c r="F355" s="174"/>
      <c r="G355" s="174" t="s">
        <v>71</v>
      </c>
      <c r="H355" s="174"/>
      <c r="I355" s="174" t="s">
        <v>71</v>
      </c>
      <c r="J355" s="174"/>
      <c r="K355" s="174"/>
      <c r="L355" s="174"/>
      <c r="M355" s="174" t="str">
        <f t="shared" si="70"/>
        <v/>
      </c>
      <c r="N355" s="174"/>
      <c r="O355" s="172"/>
      <c r="P355" s="172"/>
      <c r="Q355" s="172">
        <v>12</v>
      </c>
      <c r="R355" s="172">
        <v>24</v>
      </c>
      <c r="S355" s="172"/>
      <c r="T355" s="172"/>
      <c r="U355" s="172"/>
      <c r="V355" s="172"/>
      <c r="W355" s="172"/>
      <c r="X355" s="172"/>
      <c r="Y355" s="172" t="s">
        <v>71</v>
      </c>
      <c r="Z355" s="172"/>
      <c r="AA355" s="172"/>
      <c r="AB355" s="172"/>
      <c r="AC355" s="212"/>
      <c r="AD355" s="212"/>
      <c r="AE355" s="206"/>
      <c r="AF355" s="206"/>
      <c r="AG355" s="206"/>
      <c r="AH355" s="206"/>
      <c r="AI355" s="206"/>
      <c r="AJ355" s="206"/>
      <c r="AK355" s="206"/>
      <c r="AL355" s="206"/>
      <c r="AM355" s="206"/>
      <c r="AN355" s="206"/>
      <c r="AO355" s="206"/>
      <c r="AP355" s="206"/>
      <c r="AQ355" s="174"/>
      <c r="AR355" s="174"/>
      <c r="AS355" s="174"/>
      <c r="AT355" s="174"/>
      <c r="AU355" s="174"/>
      <c r="AV355" s="174"/>
      <c r="AW355" s="174"/>
      <c r="AX355" s="191"/>
      <c r="AY355" s="11"/>
      <c r="AZ355" s="11"/>
      <c r="BA355" s="11"/>
      <c r="BB355" s="11"/>
      <c r="BC355" s="11"/>
      <c r="BD355" s="13"/>
      <c r="BE355" s="11" t="str">
        <f t="shared" si="71"/>
        <v>Sí</v>
      </c>
      <c r="BF355" s="22" t="str">
        <f t="shared" si="72"/>
        <v>CPW07</v>
      </c>
      <c r="BG355" s="11"/>
      <c r="BH355" s="11" t="str">
        <f t="shared" si="68"/>
        <v>Programado pendiente</v>
      </c>
      <c r="BI355" s="12"/>
      <c r="BJ355" s="68"/>
    </row>
    <row r="356" spans="1:62" ht="18" customHeight="1" x14ac:dyDescent="0.3">
      <c r="A356" s="150"/>
      <c r="B356" s="43"/>
      <c r="C356" s="12">
        <v>46375</v>
      </c>
      <c r="D356" s="20">
        <f t="shared" si="67"/>
        <v>0</v>
      </c>
      <c r="E356" s="174" t="str">
        <f t="shared" si="69"/>
        <v/>
      </c>
      <c r="F356" s="174"/>
      <c r="G356" s="174" t="s">
        <v>71</v>
      </c>
      <c r="H356" s="174"/>
      <c r="I356" s="174" t="s">
        <v>71</v>
      </c>
      <c r="J356" s="174"/>
      <c r="K356" s="174"/>
      <c r="L356" s="174"/>
      <c r="M356" s="174" t="str">
        <f t="shared" si="70"/>
        <v/>
      </c>
      <c r="N356" s="174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 t="s">
        <v>71</v>
      </c>
      <c r="Z356" s="172"/>
      <c r="AA356" s="172"/>
      <c r="AB356" s="172"/>
      <c r="AC356" s="212"/>
      <c r="AD356" s="212"/>
      <c r="AE356" s="206"/>
      <c r="AF356" s="206"/>
      <c r="AG356" s="206"/>
      <c r="AH356" s="206"/>
      <c r="AI356" s="206"/>
      <c r="AJ356" s="206"/>
      <c r="AK356" s="206"/>
      <c r="AL356" s="206"/>
      <c r="AM356" s="206"/>
      <c r="AN356" s="206"/>
      <c r="AO356" s="206"/>
      <c r="AP356" s="206"/>
      <c r="AQ356" s="174"/>
      <c r="AR356" s="174"/>
      <c r="AS356" s="174"/>
      <c r="AT356" s="174"/>
      <c r="AU356" s="174"/>
      <c r="AV356" s="174"/>
      <c r="AW356" s="174"/>
      <c r="AX356" s="191"/>
      <c r="AY356" s="11"/>
      <c r="AZ356" s="11"/>
      <c r="BA356" s="11"/>
      <c r="BB356" s="11"/>
      <c r="BC356" s="11"/>
      <c r="BD356" s="13"/>
      <c r="BE356" s="11" t="str">
        <f t="shared" si="71"/>
        <v>No</v>
      </c>
      <c r="BF356" s="22" t="str">
        <f t="shared" si="72"/>
        <v/>
      </c>
      <c r="BG356" s="11"/>
      <c r="BH356" s="11" t="str">
        <f t="shared" si="68"/>
        <v>No aplica</v>
      </c>
      <c r="BI356" s="12"/>
      <c r="BJ356" s="68"/>
    </row>
    <row r="357" spans="1:62" ht="18" customHeight="1" x14ac:dyDescent="0.3">
      <c r="A357" s="150"/>
      <c r="B357" s="43"/>
      <c r="C357" s="12">
        <v>46376</v>
      </c>
      <c r="D357" s="20">
        <f t="shared" si="67"/>
        <v>0</v>
      </c>
      <c r="E357" s="174" t="str">
        <f t="shared" si="69"/>
        <v/>
      </c>
      <c r="F357" s="174"/>
      <c r="G357" s="174" t="s">
        <v>71</v>
      </c>
      <c r="H357" s="174"/>
      <c r="I357" s="174" t="s">
        <v>71</v>
      </c>
      <c r="J357" s="174"/>
      <c r="K357" s="174"/>
      <c r="L357" s="174"/>
      <c r="M357" s="174" t="str">
        <f t="shared" si="70"/>
        <v/>
      </c>
      <c r="N357" s="174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 t="s">
        <v>71</v>
      </c>
      <c r="Z357" s="172"/>
      <c r="AA357" s="172"/>
      <c r="AB357" s="172"/>
      <c r="AC357" s="212"/>
      <c r="AD357" s="212"/>
      <c r="AE357" s="206"/>
      <c r="AF357" s="206"/>
      <c r="AG357" s="206"/>
      <c r="AH357" s="206"/>
      <c r="AI357" s="206"/>
      <c r="AJ357" s="206"/>
      <c r="AK357" s="206"/>
      <c r="AL357" s="206"/>
      <c r="AM357" s="206"/>
      <c r="AN357" s="206"/>
      <c r="AO357" s="206"/>
      <c r="AP357" s="206"/>
      <c r="AQ357" s="174"/>
      <c r="AR357" s="174"/>
      <c r="AS357" s="174"/>
      <c r="AT357" s="174"/>
      <c r="AU357" s="174"/>
      <c r="AV357" s="174"/>
      <c r="AW357" s="197">
        <v>4</v>
      </c>
      <c r="AX357" s="198">
        <v>8</v>
      </c>
      <c r="AY357" s="11"/>
      <c r="AZ357" s="11"/>
      <c r="BA357" s="11"/>
      <c r="BB357" s="11"/>
      <c r="BC357" s="11"/>
      <c r="BD357" s="13"/>
      <c r="BE357" s="11" t="str">
        <f t="shared" si="71"/>
        <v>Sí</v>
      </c>
      <c r="BF357" s="22" t="str">
        <f t="shared" si="72"/>
        <v>CYC</v>
      </c>
      <c r="BG357" s="11"/>
      <c r="BH357" s="11" t="str">
        <f t="shared" si="68"/>
        <v>Programado pendiente</v>
      </c>
      <c r="BI357" s="12"/>
      <c r="BJ357" s="68"/>
    </row>
    <row r="358" spans="1:62" ht="18" customHeight="1" x14ac:dyDescent="0.3">
      <c r="A358" s="150"/>
      <c r="B358" s="43"/>
      <c r="C358" s="12">
        <v>46377</v>
      </c>
      <c r="D358" s="20">
        <f t="shared" si="67"/>
        <v>0</v>
      </c>
      <c r="E358" s="174" t="str">
        <f t="shared" si="69"/>
        <v/>
      </c>
      <c r="F358" s="174"/>
      <c r="G358" s="174" t="s">
        <v>71</v>
      </c>
      <c r="H358" s="174"/>
      <c r="I358" s="174" t="s">
        <v>71</v>
      </c>
      <c r="J358" s="174"/>
      <c r="K358" s="174"/>
      <c r="L358" s="174"/>
      <c r="M358" s="174" t="str">
        <f t="shared" si="70"/>
        <v/>
      </c>
      <c r="N358" s="174"/>
      <c r="O358" s="172"/>
      <c r="P358" s="172"/>
      <c r="Q358" s="172"/>
      <c r="R358" s="172"/>
      <c r="S358" s="172"/>
      <c r="T358" s="172"/>
      <c r="U358" s="172"/>
      <c r="V358" s="172"/>
      <c r="W358" s="172">
        <v>12</v>
      </c>
      <c r="X358" s="172">
        <v>20</v>
      </c>
      <c r="Y358" s="174" t="s">
        <v>71</v>
      </c>
      <c r="Z358" s="174"/>
      <c r="AA358" s="174"/>
      <c r="AB358" s="174"/>
      <c r="AC358" s="212"/>
      <c r="AD358" s="212"/>
      <c r="AE358" s="206"/>
      <c r="AF358" s="206"/>
      <c r="AG358" s="206"/>
      <c r="AH358" s="206"/>
      <c r="AI358" s="206"/>
      <c r="AJ358" s="206"/>
      <c r="AK358" s="206"/>
      <c r="AL358" s="206"/>
      <c r="AM358" s="206"/>
      <c r="AN358" s="206"/>
      <c r="AO358" s="206"/>
      <c r="AP358" s="206"/>
      <c r="AQ358" s="174"/>
      <c r="AR358" s="174"/>
      <c r="AS358" s="174"/>
      <c r="AT358" s="174"/>
      <c r="AU358" s="174"/>
      <c r="AV358" s="174"/>
      <c r="AW358" s="174"/>
      <c r="AX358" s="191"/>
      <c r="AY358" s="11"/>
      <c r="AZ358" s="11"/>
      <c r="BA358" s="11"/>
      <c r="BB358" s="11"/>
      <c r="BC358" s="11"/>
      <c r="BD358" s="13"/>
      <c r="BE358" s="11" t="str">
        <f t="shared" si="71"/>
        <v>Sí</v>
      </c>
      <c r="BF358" s="22" t="str">
        <f t="shared" si="72"/>
        <v>CPW12</v>
      </c>
      <c r="BG358" s="11"/>
      <c r="BH358" s="11" t="str">
        <f t="shared" si="68"/>
        <v>Programado pendiente</v>
      </c>
      <c r="BI358" s="12"/>
      <c r="BJ358" s="68"/>
    </row>
    <row r="359" spans="1:62" ht="18" customHeight="1" x14ac:dyDescent="0.3">
      <c r="A359" s="150"/>
      <c r="B359" s="43"/>
      <c r="C359" s="12">
        <v>46378</v>
      </c>
      <c r="D359" s="20">
        <f t="shared" si="67"/>
        <v>20</v>
      </c>
      <c r="E359" s="174" t="str">
        <f t="shared" si="69"/>
        <v/>
      </c>
      <c r="F359" s="174"/>
      <c r="G359" s="174" t="s">
        <v>71</v>
      </c>
      <c r="H359" s="174"/>
      <c r="I359" s="174" t="s">
        <v>71</v>
      </c>
      <c r="J359" s="174"/>
      <c r="K359" s="174"/>
      <c r="L359" s="174"/>
      <c r="M359" s="174" t="str">
        <f t="shared" si="70"/>
        <v/>
      </c>
      <c r="N359" s="174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4" t="s">
        <v>71</v>
      </c>
      <c r="Z359" s="174"/>
      <c r="AA359" s="174">
        <v>10</v>
      </c>
      <c r="AB359" s="174">
        <v>20</v>
      </c>
      <c r="AC359" s="212"/>
      <c r="AD359" s="212"/>
      <c r="AE359" s="206"/>
      <c r="AF359" s="206"/>
      <c r="AG359" s="206"/>
      <c r="AH359" s="206"/>
      <c r="AI359" s="206"/>
      <c r="AJ359" s="206"/>
      <c r="AK359" s="206"/>
      <c r="AL359" s="206"/>
      <c r="AM359" s="206"/>
      <c r="AN359" s="206"/>
      <c r="AO359" s="206"/>
      <c r="AP359" s="206"/>
      <c r="AQ359" s="174"/>
      <c r="AR359" s="174"/>
      <c r="AS359" s="197">
        <v>4</v>
      </c>
      <c r="AT359" s="198">
        <v>8</v>
      </c>
      <c r="AU359" s="197">
        <v>4</v>
      </c>
      <c r="AV359" s="198">
        <v>8</v>
      </c>
      <c r="AW359" s="174"/>
      <c r="AX359" s="191"/>
      <c r="AY359" s="11"/>
      <c r="AZ359" s="11"/>
      <c r="BA359" s="11"/>
      <c r="BB359" s="11"/>
      <c r="BC359" s="11"/>
      <c r="BD359" s="13"/>
      <c r="BE359" s="11" t="str">
        <f t="shared" si="71"/>
        <v>Sí</v>
      </c>
      <c r="BF359" s="22" t="str">
        <f t="shared" si="72"/>
        <v>JINAN 02</v>
      </c>
      <c r="BG359" s="11"/>
      <c r="BH359" s="11" t="str">
        <f t="shared" si="68"/>
        <v>Programado pendiente</v>
      </c>
      <c r="BI359" s="12"/>
      <c r="BJ359" s="68"/>
    </row>
    <row r="360" spans="1:62" ht="18" customHeight="1" x14ac:dyDescent="0.3">
      <c r="A360" s="150"/>
      <c r="B360" s="43"/>
      <c r="C360" s="12">
        <v>46379</v>
      </c>
      <c r="D360" s="20" t="s">
        <v>200</v>
      </c>
      <c r="E360" s="174" t="str">
        <f t="shared" si="69"/>
        <v/>
      </c>
      <c r="F360" s="174"/>
      <c r="G360" s="174">
        <v>10</v>
      </c>
      <c r="H360" s="174">
        <v>20</v>
      </c>
      <c r="I360" s="174" t="s">
        <v>71</v>
      </c>
      <c r="J360" s="174"/>
      <c r="K360" s="174"/>
      <c r="L360" s="174"/>
      <c r="M360" s="174" t="str">
        <f t="shared" si="70"/>
        <v/>
      </c>
      <c r="N360" s="174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4" t="s">
        <v>71</v>
      </c>
      <c r="Z360" s="174"/>
      <c r="AA360" s="174"/>
      <c r="AB360" s="174"/>
      <c r="AC360" s="212"/>
      <c r="AD360" s="212"/>
      <c r="AE360" s="206"/>
      <c r="AF360" s="206"/>
      <c r="AG360" s="206"/>
      <c r="AH360" s="206"/>
      <c r="AI360" s="206"/>
      <c r="AJ360" s="206"/>
      <c r="AK360" s="206"/>
      <c r="AL360" s="206"/>
      <c r="AM360" s="206"/>
      <c r="AN360" s="206"/>
      <c r="AO360" s="206"/>
      <c r="AP360" s="206"/>
      <c r="AQ360" s="174"/>
      <c r="AR360" s="174"/>
      <c r="AS360" s="174"/>
      <c r="AT360" s="174"/>
      <c r="AU360" s="174"/>
      <c r="AV360" s="174"/>
      <c r="AW360" s="172"/>
      <c r="AX360" s="172"/>
      <c r="AY360" s="11"/>
      <c r="AZ360" s="11"/>
      <c r="BA360" s="11"/>
      <c r="BB360" s="11"/>
      <c r="BC360" s="11"/>
      <c r="BD360" s="13"/>
      <c r="BE360" s="11" t="str">
        <f t="shared" si="71"/>
        <v>Sí</v>
      </c>
      <c r="BF360" s="22" t="str">
        <f t="shared" si="72"/>
        <v>CPW01</v>
      </c>
      <c r="BG360" s="11"/>
      <c r="BH360" s="11" t="str">
        <f t="shared" si="68"/>
        <v>Programado pendiente</v>
      </c>
      <c r="BI360" s="12"/>
      <c r="BJ360" s="68"/>
    </row>
    <row r="361" spans="1:62" ht="18" customHeight="1" x14ac:dyDescent="0.3">
      <c r="A361" s="150"/>
      <c r="B361" s="43"/>
      <c r="C361" s="12">
        <v>46380</v>
      </c>
      <c r="D361" s="20">
        <f t="shared" si="67"/>
        <v>20</v>
      </c>
      <c r="E361" s="174" t="str">
        <f t="shared" si="69"/>
        <v/>
      </c>
      <c r="F361" s="174"/>
      <c r="G361" s="174" t="s">
        <v>71</v>
      </c>
      <c r="H361" s="174"/>
      <c r="I361" s="174" t="s">
        <v>71</v>
      </c>
      <c r="J361" s="174"/>
      <c r="K361" s="174"/>
      <c r="L361" s="174"/>
      <c r="M361" s="174" t="str">
        <f t="shared" si="70"/>
        <v/>
      </c>
      <c r="N361" s="174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4">
        <v>10</v>
      </c>
      <c r="Z361" s="174">
        <v>20</v>
      </c>
      <c r="AA361" s="174"/>
      <c r="AB361" s="174"/>
      <c r="AC361" s="212"/>
      <c r="AD361" s="212"/>
      <c r="AE361" s="206"/>
      <c r="AF361" s="206"/>
      <c r="AG361" s="206"/>
      <c r="AH361" s="206"/>
      <c r="AI361" s="206"/>
      <c r="AJ361" s="206"/>
      <c r="AK361" s="206"/>
      <c r="AL361" s="206"/>
      <c r="AM361" s="206"/>
      <c r="AN361" s="206"/>
      <c r="AO361" s="206"/>
      <c r="AP361" s="206"/>
      <c r="AQ361" s="174"/>
      <c r="AR361" s="174"/>
      <c r="AS361" s="174"/>
      <c r="AT361" s="174"/>
      <c r="AU361" s="174"/>
      <c r="AV361" s="174"/>
      <c r="AW361" s="174"/>
      <c r="AX361" s="191"/>
      <c r="AY361" s="11"/>
      <c r="AZ361" s="11"/>
      <c r="BA361" s="11"/>
      <c r="BB361" s="11"/>
      <c r="BC361" s="11"/>
      <c r="BD361" s="13"/>
      <c r="BE361" s="11" t="str">
        <f t="shared" si="71"/>
        <v>Sí</v>
      </c>
      <c r="BF361" s="22" t="str">
        <f t="shared" si="72"/>
        <v>JINAN 01</v>
      </c>
      <c r="BG361" s="11"/>
      <c r="BH361" s="11" t="str">
        <f t="shared" si="68"/>
        <v>Programado pendiente</v>
      </c>
      <c r="BI361" s="12"/>
      <c r="BJ361" s="68"/>
    </row>
    <row r="362" spans="1:62" ht="18" customHeight="1" x14ac:dyDescent="0.3">
      <c r="A362" s="150"/>
      <c r="B362" s="43"/>
      <c r="C362" s="12">
        <v>46381</v>
      </c>
      <c r="D362" s="20">
        <f t="shared" si="67"/>
        <v>0</v>
      </c>
      <c r="E362" s="174" t="str">
        <f t="shared" si="69"/>
        <v/>
      </c>
      <c r="F362" s="174"/>
      <c r="G362" s="174" t="s">
        <v>71</v>
      </c>
      <c r="H362" s="174"/>
      <c r="I362" s="174" t="s">
        <v>71</v>
      </c>
      <c r="J362" s="174"/>
      <c r="K362" s="174"/>
      <c r="L362" s="174"/>
      <c r="M362" s="174" t="str">
        <f t="shared" si="70"/>
        <v/>
      </c>
      <c r="N362" s="174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4" t="s">
        <v>71</v>
      </c>
      <c r="Z362" s="174"/>
      <c r="AA362" s="174"/>
      <c r="AB362" s="174"/>
      <c r="AC362" s="212"/>
      <c r="AD362" s="212"/>
      <c r="AE362" s="206"/>
      <c r="AF362" s="206"/>
      <c r="AG362" s="206"/>
      <c r="AH362" s="206"/>
      <c r="AI362" s="206"/>
      <c r="AJ362" s="206"/>
      <c r="AK362" s="206"/>
      <c r="AL362" s="206"/>
      <c r="AM362" s="206"/>
      <c r="AN362" s="206"/>
      <c r="AO362" s="206"/>
      <c r="AP362" s="206"/>
      <c r="AQ362" s="174"/>
      <c r="AR362" s="174"/>
      <c r="AS362" s="174"/>
      <c r="AT362" s="174"/>
      <c r="AU362" s="174"/>
      <c r="AV362" s="174"/>
      <c r="AW362" s="174"/>
      <c r="AX362" s="191"/>
      <c r="AY362" s="11"/>
      <c r="AZ362" s="11"/>
      <c r="BA362" s="11"/>
      <c r="BB362" s="11"/>
      <c r="BC362" s="11"/>
      <c r="BD362" s="13"/>
      <c r="BE362" s="11" t="str">
        <f t="shared" si="71"/>
        <v>No</v>
      </c>
      <c r="BF362" s="22" t="str">
        <f t="shared" si="72"/>
        <v/>
      </c>
      <c r="BG362" s="11"/>
      <c r="BH362" s="11" t="str">
        <f t="shared" si="68"/>
        <v>No aplica</v>
      </c>
      <c r="BI362" s="12"/>
      <c r="BJ362" s="68"/>
    </row>
    <row r="363" spans="1:62" ht="18" customHeight="1" x14ac:dyDescent="0.3">
      <c r="A363" s="150"/>
      <c r="B363" s="43"/>
      <c r="C363" s="12">
        <v>46382</v>
      </c>
      <c r="D363" s="20">
        <f t="shared" si="67"/>
        <v>0</v>
      </c>
      <c r="E363" s="174" t="str">
        <f t="shared" si="69"/>
        <v/>
      </c>
      <c r="F363" s="174"/>
      <c r="G363" s="174" t="s">
        <v>71</v>
      </c>
      <c r="H363" s="174"/>
      <c r="I363" s="174" t="s">
        <v>71</v>
      </c>
      <c r="J363" s="174"/>
      <c r="K363" s="174"/>
      <c r="L363" s="174"/>
      <c r="M363" s="174" t="str">
        <f t="shared" si="70"/>
        <v/>
      </c>
      <c r="N363" s="174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4" t="s">
        <v>71</v>
      </c>
      <c r="Z363" s="174"/>
      <c r="AA363" s="174"/>
      <c r="AB363" s="174"/>
      <c r="AC363" s="212"/>
      <c r="AD363" s="212"/>
      <c r="AE363" s="206"/>
      <c r="AF363" s="206"/>
      <c r="AG363" s="206"/>
      <c r="AH363" s="206"/>
      <c r="AI363" s="206"/>
      <c r="AJ363" s="206"/>
      <c r="AK363" s="206"/>
      <c r="AL363" s="206"/>
      <c r="AM363" s="206"/>
      <c r="AN363" s="206"/>
      <c r="AO363" s="206"/>
      <c r="AP363" s="206"/>
      <c r="AQ363" s="174"/>
      <c r="AR363" s="174"/>
      <c r="AS363" s="174"/>
      <c r="AT363" s="174"/>
      <c r="AU363" s="174"/>
      <c r="AV363" s="174"/>
      <c r="AW363" s="174"/>
      <c r="AX363" s="191"/>
      <c r="AY363" s="11"/>
      <c r="AZ363" s="11"/>
      <c r="BA363" s="11"/>
      <c r="BB363" s="11"/>
      <c r="BC363" s="11"/>
      <c r="BD363" s="13"/>
      <c r="BE363" s="11" t="str">
        <f t="shared" si="71"/>
        <v>No</v>
      </c>
      <c r="BF363" s="22" t="str">
        <f t="shared" si="72"/>
        <v/>
      </c>
      <c r="BG363" s="11"/>
      <c r="BH363" s="11" t="str">
        <f t="shared" si="68"/>
        <v>No aplica</v>
      </c>
      <c r="BI363" s="12"/>
      <c r="BJ363" s="68"/>
    </row>
    <row r="364" spans="1:62" ht="18" customHeight="1" x14ac:dyDescent="0.3">
      <c r="A364" s="150"/>
      <c r="B364" s="43"/>
      <c r="C364" s="12">
        <v>46383</v>
      </c>
      <c r="D364" s="20">
        <f t="shared" si="67"/>
        <v>0</v>
      </c>
      <c r="E364" s="174" t="str">
        <f t="shared" si="69"/>
        <v/>
      </c>
      <c r="F364" s="174"/>
      <c r="G364" s="174" t="s">
        <v>71</v>
      </c>
      <c r="H364" s="174"/>
      <c r="I364" s="174" t="s">
        <v>71</v>
      </c>
      <c r="J364" s="174"/>
      <c r="K364" s="174"/>
      <c r="L364" s="174"/>
      <c r="M364" s="174" t="str">
        <f t="shared" si="70"/>
        <v/>
      </c>
      <c r="N364" s="174"/>
      <c r="O364" s="172"/>
      <c r="P364" s="172"/>
      <c r="Q364" s="172"/>
      <c r="R364" s="172"/>
      <c r="S364" s="172"/>
      <c r="T364" s="172"/>
      <c r="U364" s="172">
        <v>12</v>
      </c>
      <c r="V364" s="172">
        <v>24</v>
      </c>
      <c r="W364" s="172"/>
      <c r="X364" s="172"/>
      <c r="Y364" s="174" t="s">
        <v>71</v>
      </c>
      <c r="Z364" s="172"/>
      <c r="AA364" s="172"/>
      <c r="AB364" s="172"/>
      <c r="AC364" s="212"/>
      <c r="AD364" s="212"/>
      <c r="AE364" s="206"/>
      <c r="AF364" s="206"/>
      <c r="AG364" s="206"/>
      <c r="AH364" s="206"/>
      <c r="AI364" s="206"/>
      <c r="AJ364" s="206"/>
      <c r="AK364" s="206"/>
      <c r="AL364" s="206"/>
      <c r="AM364" s="206"/>
      <c r="AN364" s="206"/>
      <c r="AO364" s="206"/>
      <c r="AP364" s="206"/>
      <c r="AQ364" s="174"/>
      <c r="AR364" s="174"/>
      <c r="AS364" s="174"/>
      <c r="AT364" s="174"/>
      <c r="AU364" s="174"/>
      <c r="AV364" s="174"/>
      <c r="AW364" s="174"/>
      <c r="AX364" s="191"/>
      <c r="AY364" s="11"/>
      <c r="AZ364" s="11"/>
      <c r="BA364" s="11"/>
      <c r="BB364" s="11"/>
      <c r="BC364" s="11"/>
      <c r="BD364" s="13"/>
      <c r="BE364" s="11" t="str">
        <f t="shared" si="71"/>
        <v>Sí</v>
      </c>
      <c r="BF364" s="22" t="str">
        <f t="shared" si="72"/>
        <v>CPW11</v>
      </c>
      <c r="BG364" s="11"/>
      <c r="BH364" s="11" t="str">
        <f t="shared" si="68"/>
        <v>Programado pendiente</v>
      </c>
      <c r="BI364" s="12"/>
      <c r="BJ364" s="68"/>
    </row>
    <row r="365" spans="1:62" ht="18" customHeight="1" x14ac:dyDescent="0.3">
      <c r="A365" s="150"/>
      <c r="B365" s="43"/>
      <c r="C365" s="12">
        <v>46384</v>
      </c>
      <c r="D365" s="20">
        <f t="shared" si="67"/>
        <v>0</v>
      </c>
      <c r="E365" s="174" t="str">
        <f t="shared" si="69"/>
        <v/>
      </c>
      <c r="F365" s="174"/>
      <c r="G365" s="174" t="s">
        <v>71</v>
      </c>
      <c r="H365" s="174"/>
      <c r="I365" s="174" t="s">
        <v>71</v>
      </c>
      <c r="J365" s="174"/>
      <c r="K365" s="174"/>
      <c r="L365" s="174"/>
      <c r="M365" s="174" t="str">
        <f t="shared" si="70"/>
        <v/>
      </c>
      <c r="N365" s="174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4" t="s">
        <v>71</v>
      </c>
      <c r="Z365" s="172"/>
      <c r="AA365" s="172"/>
      <c r="AB365" s="172"/>
      <c r="AC365" s="212"/>
      <c r="AD365" s="212"/>
      <c r="AE365" s="206"/>
      <c r="AF365" s="206"/>
      <c r="AG365" s="206"/>
      <c r="AH365" s="206"/>
      <c r="AI365" s="206"/>
      <c r="AJ365" s="206"/>
      <c r="AK365" s="206"/>
      <c r="AL365" s="206"/>
      <c r="AM365" s="206"/>
      <c r="AN365" s="206"/>
      <c r="AO365" s="206"/>
      <c r="AP365" s="206"/>
      <c r="AQ365" s="174"/>
      <c r="AR365" s="174"/>
      <c r="AS365" s="174"/>
      <c r="AT365" s="174"/>
      <c r="AU365" s="174"/>
      <c r="AV365" s="174"/>
      <c r="AW365" s="174"/>
      <c r="AX365" s="191"/>
      <c r="AY365" s="11"/>
      <c r="AZ365" s="11"/>
      <c r="BA365" s="11"/>
      <c r="BB365" s="11"/>
      <c r="BC365" s="11"/>
      <c r="BD365" s="13"/>
      <c r="BE365" s="11" t="str">
        <f t="shared" si="71"/>
        <v>No</v>
      </c>
      <c r="BF365" s="22" t="str">
        <f t="shared" si="72"/>
        <v/>
      </c>
      <c r="BG365" s="11"/>
      <c r="BH365" s="11" t="str">
        <f t="shared" si="68"/>
        <v>No aplica</v>
      </c>
      <c r="BI365" s="12"/>
      <c r="BJ365" s="68"/>
    </row>
    <row r="366" spans="1:62" ht="18" customHeight="1" x14ac:dyDescent="0.3">
      <c r="A366" s="150"/>
      <c r="B366" s="43"/>
      <c r="C366" s="12">
        <v>46385</v>
      </c>
      <c r="D366" s="20">
        <f t="shared" si="67"/>
        <v>0</v>
      </c>
      <c r="E366" s="174" t="str">
        <f t="shared" si="69"/>
        <v/>
      </c>
      <c r="F366" s="174"/>
      <c r="G366" s="174" t="s">
        <v>71</v>
      </c>
      <c r="H366" s="174"/>
      <c r="I366" s="174" t="s">
        <v>71</v>
      </c>
      <c r="J366" s="174"/>
      <c r="K366" s="174"/>
      <c r="L366" s="174"/>
      <c r="M366" s="174" t="str">
        <f t="shared" si="70"/>
        <v/>
      </c>
      <c r="N366" s="174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4" t="s">
        <v>71</v>
      </c>
      <c r="Z366" s="172"/>
      <c r="AA366" s="172"/>
      <c r="AB366" s="172"/>
      <c r="AC366" s="212"/>
      <c r="AD366" s="212"/>
      <c r="AE366" s="206"/>
      <c r="AF366" s="206"/>
      <c r="AG366" s="206"/>
      <c r="AH366" s="206"/>
      <c r="AI366" s="206"/>
      <c r="AJ366" s="206"/>
      <c r="AK366" s="206"/>
      <c r="AL366" s="206"/>
      <c r="AM366" s="206"/>
      <c r="AN366" s="206"/>
      <c r="AO366" s="206"/>
      <c r="AP366" s="206"/>
      <c r="AQ366" s="174"/>
      <c r="AR366" s="174"/>
      <c r="AS366" s="174"/>
      <c r="AT366" s="174"/>
      <c r="AU366" s="174"/>
      <c r="AV366" s="174"/>
      <c r="AW366" s="174"/>
      <c r="AX366" s="191"/>
      <c r="AY366" s="11"/>
      <c r="AZ366" s="11"/>
      <c r="BA366" s="11"/>
      <c r="BB366" s="11"/>
      <c r="BC366" s="11"/>
      <c r="BD366" s="13"/>
      <c r="BE366" s="11" t="str">
        <f t="shared" si="71"/>
        <v>No</v>
      </c>
      <c r="BF366" s="22" t="str">
        <f t="shared" si="72"/>
        <v/>
      </c>
      <c r="BG366" s="11"/>
      <c r="BH366" s="11" t="str">
        <f t="shared" si="68"/>
        <v>No aplica</v>
      </c>
      <c r="BI366" s="12"/>
      <c r="BJ366" s="68"/>
    </row>
    <row r="367" spans="1:62" ht="18" customHeight="1" x14ac:dyDescent="0.3">
      <c r="A367" s="150"/>
      <c r="B367" s="43"/>
      <c r="C367" s="12">
        <v>46386</v>
      </c>
      <c r="D367" s="20">
        <f t="shared" si="67"/>
        <v>0</v>
      </c>
      <c r="E367" s="174" t="str">
        <f t="shared" si="69"/>
        <v/>
      </c>
      <c r="F367" s="174"/>
      <c r="G367" s="174"/>
      <c r="H367" s="174"/>
      <c r="I367" s="174" t="s">
        <v>71</v>
      </c>
      <c r="J367" s="174"/>
      <c r="K367" s="174"/>
      <c r="L367" s="174"/>
      <c r="M367" s="174" t="str">
        <f t="shared" si="70"/>
        <v/>
      </c>
      <c r="N367" s="174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4" t="s">
        <v>71</v>
      </c>
      <c r="Z367" s="172"/>
      <c r="AA367" s="172"/>
      <c r="AB367" s="172"/>
      <c r="AC367" s="212"/>
      <c r="AD367" s="212"/>
      <c r="AE367" s="206"/>
      <c r="AF367" s="206"/>
      <c r="AG367" s="206"/>
      <c r="AH367" s="206"/>
      <c r="AI367" s="206"/>
      <c r="AJ367" s="206"/>
      <c r="AK367" s="206"/>
      <c r="AL367" s="206"/>
      <c r="AM367" s="206"/>
      <c r="AN367" s="206"/>
      <c r="AO367" s="206"/>
      <c r="AP367" s="206"/>
      <c r="AQ367" s="174"/>
      <c r="AR367" s="174"/>
      <c r="AS367" s="174"/>
      <c r="AT367" s="174"/>
      <c r="AU367" s="174"/>
      <c r="AV367" s="174"/>
      <c r="AW367" s="174"/>
      <c r="AX367" s="191"/>
      <c r="AY367" s="11"/>
      <c r="AZ367" s="11"/>
      <c r="BA367" s="11"/>
      <c r="BB367" s="11"/>
      <c r="BC367" s="11"/>
      <c r="BD367" s="13"/>
      <c r="BE367" s="11" t="str">
        <f t="shared" si="71"/>
        <v>No</v>
      </c>
      <c r="BF367" s="22" t="str">
        <f t="shared" si="72"/>
        <v/>
      </c>
      <c r="BG367" s="11"/>
      <c r="BH367" s="11" t="str">
        <f t="shared" si="68"/>
        <v>No aplica</v>
      </c>
      <c r="BI367" s="12"/>
      <c r="BJ367" s="68"/>
    </row>
    <row r="368" spans="1:62" ht="18" customHeight="1" thickBot="1" x14ac:dyDescent="0.35">
      <c r="A368" s="151"/>
      <c r="B368" s="44"/>
      <c r="C368" s="30">
        <v>46387</v>
      </c>
      <c r="D368" s="31">
        <f t="shared" si="67"/>
        <v>0</v>
      </c>
      <c r="E368" s="182" t="str">
        <f t="shared" si="69"/>
        <v/>
      </c>
      <c r="F368" s="182"/>
      <c r="G368" s="182" t="s">
        <v>71</v>
      </c>
      <c r="H368" s="182"/>
      <c r="I368" s="182" t="s">
        <v>71</v>
      </c>
      <c r="J368" s="182"/>
      <c r="K368" s="182"/>
      <c r="L368" s="182"/>
      <c r="M368" s="182"/>
      <c r="N368" s="182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82" t="s">
        <v>71</v>
      </c>
      <c r="Z368" s="182"/>
      <c r="AA368" s="182"/>
      <c r="AB368" s="182"/>
      <c r="AC368" s="215"/>
      <c r="AD368" s="215"/>
      <c r="AE368" s="216"/>
      <c r="AF368" s="216"/>
      <c r="AG368" s="216"/>
      <c r="AH368" s="216"/>
      <c r="AI368" s="216"/>
      <c r="AJ368" s="216"/>
      <c r="AK368" s="216"/>
      <c r="AL368" s="216"/>
      <c r="AM368" s="216"/>
      <c r="AN368" s="216"/>
      <c r="AO368" s="216"/>
      <c r="AP368" s="216"/>
      <c r="AQ368" s="182"/>
      <c r="AR368" s="182"/>
      <c r="AS368" s="182"/>
      <c r="AT368" s="182"/>
      <c r="AU368" s="182"/>
      <c r="AV368" s="182"/>
      <c r="AW368" s="182"/>
      <c r="AX368" s="199"/>
      <c r="AY368" s="70"/>
      <c r="AZ368" s="70"/>
      <c r="BA368" s="70"/>
      <c r="BB368" s="70"/>
      <c r="BC368" s="70"/>
      <c r="BD368" s="71"/>
      <c r="BE368" s="70" t="str">
        <f t="shared" si="71"/>
        <v>No</v>
      </c>
      <c r="BF368" s="72" t="str">
        <f t="shared" si="72"/>
        <v/>
      </c>
      <c r="BG368" s="70"/>
      <c r="BH368" s="70" t="str">
        <f t="shared" si="68"/>
        <v>No aplica</v>
      </c>
      <c r="BI368" s="30"/>
      <c r="BJ368" s="73"/>
    </row>
    <row r="369" spans="7:28" x14ac:dyDescent="0.3">
      <c r="G369" s="2" t="s">
        <v>71</v>
      </c>
      <c r="I369" s="2" t="s">
        <v>71</v>
      </c>
      <c r="Q369" s="4"/>
      <c r="R369" s="4"/>
      <c r="S369" s="4"/>
      <c r="T369" s="4"/>
      <c r="U369" s="4"/>
      <c r="V369" s="4"/>
      <c r="W369" s="4"/>
      <c r="X369" s="4"/>
      <c r="Y369" s="2" t="s">
        <v>71</v>
      </c>
    </row>
    <row r="370" spans="7:28" x14ac:dyDescent="0.3">
      <c r="I370" s="2" t="s">
        <v>71</v>
      </c>
      <c r="Q370" s="4"/>
      <c r="R370" s="4"/>
      <c r="S370" s="4"/>
      <c r="T370" s="4"/>
      <c r="U370" s="4"/>
      <c r="V370" s="4"/>
      <c r="W370" s="4"/>
      <c r="X370" s="4"/>
      <c r="Y370" s="2" t="s">
        <v>71</v>
      </c>
    </row>
    <row r="371" spans="7:28" x14ac:dyDescent="0.3">
      <c r="I371" s="2" t="s">
        <v>71</v>
      </c>
      <c r="Q371" s="4"/>
      <c r="R371" s="4"/>
      <c r="S371" s="4"/>
      <c r="T371" s="4"/>
      <c r="U371" s="4"/>
      <c r="V371" s="4"/>
      <c r="W371" s="4">
        <v>12</v>
      </c>
      <c r="X371" s="4">
        <v>24</v>
      </c>
      <c r="Y371" s="2" t="s">
        <v>71</v>
      </c>
    </row>
    <row r="372" spans="7:28" x14ac:dyDescent="0.3">
      <c r="I372" s="2" t="s">
        <v>71</v>
      </c>
      <c r="Q372" s="4"/>
      <c r="R372" s="4"/>
      <c r="S372" s="4"/>
      <c r="T372" s="4"/>
      <c r="U372" s="4"/>
      <c r="V372" s="4"/>
      <c r="W372" s="4"/>
      <c r="X372" s="4"/>
      <c r="Y372" s="2" t="s">
        <v>71</v>
      </c>
    </row>
    <row r="373" spans="7:28" x14ac:dyDescent="0.3">
      <c r="I373" s="2">
        <v>10</v>
      </c>
      <c r="J373" s="2">
        <v>20</v>
      </c>
      <c r="Q373" s="4"/>
      <c r="R373" s="4"/>
      <c r="S373" s="4"/>
      <c r="T373" s="4"/>
      <c r="U373" s="4"/>
      <c r="V373" s="4"/>
      <c r="W373" s="4"/>
      <c r="X373" s="4"/>
      <c r="Y373" s="2" t="s">
        <v>71</v>
      </c>
    </row>
    <row r="374" spans="7:28" x14ac:dyDescent="0.3">
      <c r="I374" s="2" t="s">
        <v>71</v>
      </c>
      <c r="Q374" s="4"/>
      <c r="R374" s="4"/>
      <c r="S374" s="4"/>
      <c r="T374" s="4"/>
      <c r="U374" s="4"/>
      <c r="V374" s="4"/>
      <c r="W374" s="4"/>
      <c r="X374" s="4"/>
      <c r="Y374" s="2" t="s">
        <v>71</v>
      </c>
    </row>
    <row r="375" spans="7:28" x14ac:dyDescent="0.3">
      <c r="I375" s="2" t="s">
        <v>71</v>
      </c>
      <c r="Q375" s="4"/>
      <c r="R375" s="4"/>
      <c r="S375" s="4"/>
      <c r="T375" s="4"/>
      <c r="U375" s="4"/>
      <c r="V375" s="4"/>
      <c r="W375" s="4"/>
      <c r="X375" s="4"/>
      <c r="Y375" s="2" t="s">
        <v>71</v>
      </c>
      <c r="AA375" s="2">
        <v>8</v>
      </c>
      <c r="AB375" s="2">
        <v>16</v>
      </c>
    </row>
    <row r="376" spans="7:28" x14ac:dyDescent="0.3">
      <c r="I376" s="2" t="s">
        <v>71</v>
      </c>
      <c r="Q376" s="4"/>
      <c r="R376" s="4"/>
      <c r="S376" s="4"/>
      <c r="T376" s="4"/>
      <c r="U376" s="4"/>
      <c r="V376" s="4"/>
      <c r="W376" s="4"/>
      <c r="X376" s="4"/>
    </row>
    <row r="377" spans="7:28" x14ac:dyDescent="0.3">
      <c r="I377" s="2" t="s">
        <v>71</v>
      </c>
      <c r="Q377" s="4"/>
      <c r="R377" s="4"/>
      <c r="S377" s="4"/>
      <c r="T377" s="4"/>
      <c r="U377" s="4"/>
      <c r="V377" s="4"/>
      <c r="W377" s="4"/>
      <c r="X377" s="4"/>
    </row>
    <row r="378" spans="7:28" x14ac:dyDescent="0.3">
      <c r="Q378" s="4"/>
      <c r="R378" s="4"/>
      <c r="S378" s="4"/>
      <c r="T378" s="4"/>
      <c r="U378" s="4"/>
      <c r="V378" s="4"/>
      <c r="W378" s="4"/>
      <c r="X378" s="4"/>
    </row>
    <row r="379" spans="7:28" x14ac:dyDescent="0.3">
      <c r="Q379" s="4"/>
      <c r="R379" s="4"/>
      <c r="S379" s="4"/>
      <c r="T379" s="4"/>
      <c r="U379" s="4"/>
      <c r="V379" s="4"/>
      <c r="W379" s="4"/>
      <c r="X379" s="4"/>
    </row>
    <row r="380" spans="7:28" x14ac:dyDescent="0.3">
      <c r="Q380" s="4"/>
      <c r="R380" s="4"/>
      <c r="S380" s="4"/>
      <c r="T380" s="4"/>
      <c r="U380" s="4"/>
      <c r="V380" s="4"/>
      <c r="W380" s="4"/>
      <c r="X380" s="4"/>
    </row>
    <row r="381" spans="7:28" x14ac:dyDescent="0.3">
      <c r="Q381" s="4"/>
      <c r="R381" s="4"/>
      <c r="S381" s="4"/>
      <c r="T381" s="4"/>
      <c r="U381" s="4"/>
      <c r="V381" s="4"/>
      <c r="W381" s="4"/>
      <c r="X381" s="4"/>
    </row>
    <row r="382" spans="7:28" x14ac:dyDescent="0.3">
      <c r="Q382" s="4"/>
      <c r="R382" s="4"/>
      <c r="S382" s="4"/>
      <c r="T382" s="4"/>
      <c r="U382" s="4"/>
      <c r="V382" s="4"/>
      <c r="W382" s="4"/>
      <c r="X382" s="4"/>
    </row>
    <row r="383" spans="7:28" x14ac:dyDescent="0.3">
      <c r="Q383" s="4"/>
      <c r="R383" s="4"/>
      <c r="S383" s="4"/>
      <c r="T383" s="4"/>
      <c r="U383" s="4"/>
      <c r="V383" s="4"/>
      <c r="W383" s="4"/>
      <c r="X383" s="4"/>
    </row>
    <row r="384" spans="7:28" x14ac:dyDescent="0.3">
      <c r="Q384" s="4"/>
      <c r="R384" s="4"/>
      <c r="S384" s="4"/>
      <c r="T384" s="4"/>
      <c r="U384" s="4"/>
      <c r="V384" s="4"/>
      <c r="W384" s="4"/>
      <c r="X384" s="4"/>
    </row>
    <row r="385" spans="17:24" x14ac:dyDescent="0.3">
      <c r="Q385" s="4"/>
      <c r="R385" s="4"/>
      <c r="S385" s="4"/>
      <c r="T385" s="4"/>
      <c r="U385" s="4"/>
      <c r="V385" s="4"/>
      <c r="W385" s="4"/>
      <c r="X385" s="4"/>
    </row>
    <row r="386" spans="17:24" x14ac:dyDescent="0.3">
      <c r="Q386" s="4"/>
      <c r="R386" s="4"/>
      <c r="S386" s="4"/>
      <c r="T386" s="4"/>
      <c r="U386" s="4"/>
      <c r="V386" s="4"/>
      <c r="W386" s="4"/>
      <c r="X386" s="4"/>
    </row>
    <row r="387" spans="17:24" x14ac:dyDescent="0.3">
      <c r="Q387" s="4"/>
      <c r="R387" s="4"/>
      <c r="S387" s="4"/>
      <c r="T387" s="4"/>
      <c r="U387" s="4"/>
      <c r="V387" s="4"/>
      <c r="W387" s="4"/>
      <c r="X387" s="4"/>
    </row>
    <row r="388" spans="17:24" x14ac:dyDescent="0.3">
      <c r="Q388" s="4"/>
      <c r="R388" s="4"/>
      <c r="S388" s="4"/>
      <c r="T388" s="4"/>
      <c r="U388" s="4"/>
      <c r="V388" s="4"/>
      <c r="W388" s="4"/>
      <c r="X388" s="4"/>
    </row>
    <row r="389" spans="17:24" x14ac:dyDescent="0.3">
      <c r="Q389" s="4"/>
      <c r="R389" s="4"/>
      <c r="S389" s="4"/>
      <c r="T389" s="4"/>
      <c r="U389" s="4"/>
      <c r="V389" s="4"/>
      <c r="W389" s="4"/>
      <c r="X389" s="4"/>
    </row>
    <row r="390" spans="17:24" x14ac:dyDescent="0.3">
      <c r="Q390" s="4"/>
      <c r="R390" s="4"/>
      <c r="S390" s="4"/>
      <c r="T390" s="4"/>
      <c r="U390" s="4"/>
      <c r="V390" s="4"/>
      <c r="W390" s="4"/>
      <c r="X390" s="4"/>
    </row>
    <row r="391" spans="17:24" x14ac:dyDescent="0.3">
      <c r="Q391" s="4"/>
      <c r="R391" s="4"/>
      <c r="S391" s="4"/>
      <c r="T391" s="4"/>
      <c r="U391" s="4"/>
      <c r="V391" s="4"/>
      <c r="W391" s="4"/>
      <c r="X391" s="4"/>
    </row>
    <row r="392" spans="17:24" x14ac:dyDescent="0.3">
      <c r="Q392" s="4"/>
      <c r="R392" s="4"/>
      <c r="S392" s="4"/>
      <c r="T392" s="4"/>
      <c r="U392" s="4"/>
      <c r="V392" s="4"/>
      <c r="W392" s="4"/>
      <c r="X392" s="4"/>
    </row>
    <row r="393" spans="17:24" x14ac:dyDescent="0.3">
      <c r="Q393" s="4"/>
      <c r="R393" s="4"/>
      <c r="S393" s="4"/>
      <c r="T393" s="4"/>
      <c r="U393" s="4"/>
      <c r="V393" s="4"/>
      <c r="W393" s="4"/>
      <c r="X393" s="4"/>
    </row>
    <row r="394" spans="17:24" x14ac:dyDescent="0.3">
      <c r="Q394" s="4"/>
      <c r="R394" s="4"/>
      <c r="S394" s="4"/>
      <c r="T394" s="4"/>
      <c r="U394" s="4"/>
      <c r="V394" s="4"/>
      <c r="W394" s="4"/>
      <c r="X394" s="4"/>
    </row>
    <row r="395" spans="17:24" x14ac:dyDescent="0.3">
      <c r="Q395" s="4"/>
      <c r="R395" s="4"/>
      <c r="S395" s="4"/>
      <c r="T395" s="4"/>
      <c r="U395" s="4"/>
      <c r="V395" s="4"/>
      <c r="W395" s="4"/>
      <c r="X395" s="4"/>
    </row>
    <row r="396" spans="17:24" x14ac:dyDescent="0.3">
      <c r="Q396" s="4"/>
      <c r="R396" s="4"/>
      <c r="S396" s="4"/>
      <c r="T396" s="4"/>
      <c r="U396" s="4"/>
      <c r="V396" s="4"/>
      <c r="W396" s="4"/>
      <c r="X396" s="4"/>
    </row>
    <row r="397" spans="17:24" x14ac:dyDescent="0.3">
      <c r="Q397" s="4"/>
      <c r="R397" s="4"/>
      <c r="S397" s="4"/>
      <c r="T397" s="4"/>
      <c r="U397" s="4"/>
      <c r="V397" s="4"/>
      <c r="W397" s="4"/>
      <c r="X397" s="4"/>
    </row>
    <row r="398" spans="17:24" x14ac:dyDescent="0.3">
      <c r="Q398" s="4"/>
      <c r="R398" s="4"/>
      <c r="S398" s="4"/>
      <c r="T398" s="4"/>
      <c r="U398" s="4"/>
      <c r="V398" s="4"/>
      <c r="W398" s="4"/>
      <c r="X398" s="4"/>
    </row>
    <row r="399" spans="17:24" x14ac:dyDescent="0.3">
      <c r="Q399" s="4"/>
      <c r="R399" s="4"/>
      <c r="S399" s="4"/>
      <c r="T399" s="4"/>
      <c r="U399" s="4"/>
      <c r="V399" s="4"/>
      <c r="W399" s="4"/>
      <c r="X399" s="4"/>
    </row>
    <row r="400" spans="17:24" x14ac:dyDescent="0.3">
      <c r="Q400" s="4"/>
      <c r="R400" s="4"/>
      <c r="S400" s="4"/>
      <c r="T400" s="4"/>
      <c r="U400" s="4"/>
      <c r="V400" s="4"/>
      <c r="W400" s="4"/>
      <c r="X400" s="4"/>
    </row>
    <row r="401" spans="17:24" x14ac:dyDescent="0.3">
      <c r="Q401" s="4"/>
      <c r="R401" s="4"/>
      <c r="S401" s="4"/>
      <c r="T401" s="4"/>
      <c r="U401" s="4"/>
      <c r="V401" s="4"/>
      <c r="W401" s="4"/>
      <c r="X401" s="4"/>
    </row>
    <row r="402" spans="17:24" x14ac:dyDescent="0.3">
      <c r="Q402" s="4"/>
      <c r="R402" s="4"/>
      <c r="S402" s="4"/>
      <c r="T402" s="4"/>
      <c r="U402" s="4"/>
      <c r="V402" s="4"/>
      <c r="W402" s="4"/>
      <c r="X402" s="4"/>
    </row>
    <row r="403" spans="17:24" x14ac:dyDescent="0.3">
      <c r="Q403" s="4"/>
      <c r="R403" s="4"/>
      <c r="S403" s="4"/>
      <c r="T403" s="4"/>
      <c r="U403" s="4"/>
      <c r="V403" s="4"/>
      <c r="W403" s="4"/>
      <c r="X403" s="4"/>
    </row>
    <row r="404" spans="17:24" x14ac:dyDescent="0.3">
      <c r="Q404" s="4"/>
      <c r="R404" s="4"/>
      <c r="S404" s="4"/>
      <c r="T404" s="4"/>
      <c r="U404" s="4"/>
      <c r="V404" s="4"/>
      <c r="W404" s="4"/>
      <c r="X404" s="4"/>
    </row>
    <row r="405" spans="17:24" x14ac:dyDescent="0.3">
      <c r="Q405" s="4"/>
      <c r="R405" s="4"/>
      <c r="S405" s="4"/>
      <c r="T405" s="4"/>
      <c r="U405" s="4"/>
      <c r="V405" s="4"/>
      <c r="W405" s="4"/>
      <c r="X405" s="4"/>
    </row>
    <row r="406" spans="17:24" x14ac:dyDescent="0.3">
      <c r="Q406" s="4"/>
      <c r="R406" s="4"/>
      <c r="S406" s="4"/>
      <c r="T406" s="4"/>
      <c r="U406" s="4"/>
      <c r="V406" s="4"/>
      <c r="W406" s="4"/>
      <c r="X406" s="4"/>
    </row>
    <row r="407" spans="17:24" x14ac:dyDescent="0.3">
      <c r="Q407" s="4"/>
      <c r="R407" s="4"/>
      <c r="S407" s="4"/>
      <c r="T407" s="4"/>
      <c r="U407" s="4"/>
      <c r="V407" s="4"/>
      <c r="W407" s="4"/>
      <c r="X407" s="4"/>
    </row>
    <row r="408" spans="17:24" x14ac:dyDescent="0.3">
      <c r="Q408" s="4"/>
      <c r="R408" s="4"/>
      <c r="S408" s="4"/>
      <c r="T408" s="4"/>
      <c r="U408" s="4"/>
      <c r="V408" s="4"/>
      <c r="W408" s="4"/>
      <c r="X408" s="4"/>
    </row>
    <row r="409" spans="17:24" x14ac:dyDescent="0.3">
      <c r="Q409" s="4"/>
      <c r="R409" s="4"/>
      <c r="S409" s="4"/>
      <c r="T409" s="4"/>
      <c r="U409" s="4"/>
      <c r="V409" s="4"/>
      <c r="W409" s="4"/>
      <c r="X409" s="4"/>
    </row>
    <row r="410" spans="17:24" x14ac:dyDescent="0.3">
      <c r="Q410" s="4"/>
      <c r="R410" s="4"/>
      <c r="S410" s="4"/>
      <c r="T410" s="4"/>
      <c r="U410" s="4"/>
      <c r="V410" s="4"/>
      <c r="W410" s="4"/>
      <c r="X410" s="4"/>
    </row>
    <row r="411" spans="17:24" x14ac:dyDescent="0.3">
      <c r="Q411" s="4"/>
      <c r="R411" s="4"/>
      <c r="S411" s="4"/>
      <c r="T411" s="4"/>
      <c r="U411" s="4"/>
      <c r="V411" s="4"/>
      <c r="W411" s="4"/>
      <c r="X411" s="4"/>
    </row>
    <row r="412" spans="17:24" x14ac:dyDescent="0.3">
      <c r="Q412" s="4"/>
      <c r="R412" s="4"/>
      <c r="S412" s="4"/>
      <c r="T412" s="4"/>
      <c r="U412" s="4"/>
      <c r="V412" s="4"/>
      <c r="W412" s="4"/>
      <c r="X412" s="4"/>
    </row>
    <row r="413" spans="17:24" x14ac:dyDescent="0.3">
      <c r="Q413" s="4"/>
      <c r="R413" s="4"/>
      <c r="S413" s="4"/>
      <c r="T413" s="4"/>
      <c r="U413" s="4"/>
      <c r="V413" s="4"/>
      <c r="W413" s="4"/>
      <c r="X413" s="4"/>
    </row>
    <row r="414" spans="17:24" x14ac:dyDescent="0.3">
      <c r="Q414" s="4"/>
      <c r="R414" s="4"/>
      <c r="S414" s="4"/>
      <c r="T414" s="4"/>
      <c r="U414" s="4"/>
      <c r="V414" s="4"/>
      <c r="W414" s="4"/>
      <c r="X414" s="4"/>
    </row>
    <row r="415" spans="17:24" x14ac:dyDescent="0.3">
      <c r="Q415" s="4"/>
      <c r="R415" s="4"/>
      <c r="S415" s="4"/>
      <c r="T415" s="4"/>
      <c r="U415" s="4"/>
      <c r="V415" s="4"/>
      <c r="W415" s="4"/>
      <c r="X415" s="4"/>
    </row>
    <row r="416" spans="17:24" x14ac:dyDescent="0.3">
      <c r="Q416" s="4"/>
      <c r="R416" s="4"/>
      <c r="S416" s="4"/>
      <c r="T416" s="4"/>
      <c r="U416" s="4"/>
      <c r="V416" s="4"/>
      <c r="W416" s="4"/>
      <c r="X416" s="4"/>
    </row>
    <row r="417" spans="17:24" x14ac:dyDescent="0.3">
      <c r="Q417" s="4"/>
      <c r="R417" s="4"/>
      <c r="S417" s="4"/>
      <c r="T417" s="4"/>
      <c r="U417" s="4"/>
      <c r="V417" s="4"/>
      <c r="W417" s="4"/>
      <c r="X417" s="4"/>
    </row>
    <row r="418" spans="17:24" x14ac:dyDescent="0.3">
      <c r="Q418" s="4"/>
      <c r="R418" s="4"/>
      <c r="S418" s="4"/>
      <c r="T418" s="4"/>
      <c r="U418" s="4"/>
      <c r="V418" s="4"/>
      <c r="W418" s="4"/>
      <c r="X418" s="4"/>
    </row>
    <row r="419" spans="17:24" x14ac:dyDescent="0.3">
      <c r="Q419" s="4"/>
      <c r="R419" s="4"/>
      <c r="S419" s="4"/>
      <c r="T419" s="4"/>
      <c r="U419" s="4"/>
      <c r="V419" s="4"/>
      <c r="W419" s="4"/>
      <c r="X419" s="4"/>
    </row>
    <row r="420" spans="17:24" x14ac:dyDescent="0.3">
      <c r="Q420" s="4"/>
      <c r="R420" s="4"/>
      <c r="S420" s="4"/>
      <c r="T420" s="4"/>
      <c r="U420" s="4"/>
      <c r="V420" s="4"/>
      <c r="W420" s="4"/>
      <c r="X420" s="4"/>
    </row>
    <row r="421" spans="17:24" x14ac:dyDescent="0.3">
      <c r="Q421" s="4"/>
      <c r="R421" s="4"/>
      <c r="S421" s="4"/>
      <c r="T421" s="4"/>
      <c r="U421" s="4"/>
      <c r="V421" s="4"/>
      <c r="W421" s="4"/>
      <c r="X421" s="4"/>
    </row>
    <row r="422" spans="17:24" x14ac:dyDescent="0.3">
      <c r="Q422" s="4"/>
      <c r="R422" s="4"/>
      <c r="S422" s="4"/>
      <c r="T422" s="4"/>
      <c r="U422" s="4"/>
      <c r="V422" s="4"/>
      <c r="W422" s="4"/>
      <c r="X422" s="4"/>
    </row>
    <row r="423" spans="17:24" x14ac:dyDescent="0.3">
      <c r="Q423" s="4"/>
      <c r="R423" s="4"/>
      <c r="S423" s="4"/>
      <c r="T423" s="4"/>
      <c r="U423" s="4"/>
      <c r="V423" s="4"/>
      <c r="W423" s="4"/>
      <c r="X423" s="4"/>
    </row>
    <row r="424" spans="17:24" x14ac:dyDescent="0.3">
      <c r="Q424" s="4"/>
      <c r="R424" s="4"/>
      <c r="S424" s="4"/>
      <c r="T424" s="4"/>
      <c r="U424" s="4"/>
      <c r="V424" s="4"/>
      <c r="W424" s="4"/>
      <c r="X424" s="4"/>
    </row>
    <row r="425" spans="17:24" x14ac:dyDescent="0.3">
      <c r="Q425" s="4"/>
      <c r="R425" s="4"/>
      <c r="S425" s="4"/>
      <c r="T425" s="4"/>
      <c r="U425" s="4"/>
      <c r="V425" s="4"/>
      <c r="W425" s="4"/>
      <c r="X425" s="4"/>
    </row>
    <row r="426" spans="17:24" x14ac:dyDescent="0.3">
      <c r="Q426" s="4"/>
      <c r="R426" s="4"/>
      <c r="S426" s="4"/>
      <c r="T426" s="4"/>
      <c r="U426" s="4"/>
      <c r="V426" s="4"/>
      <c r="W426" s="4"/>
      <c r="X426" s="4"/>
    </row>
    <row r="427" spans="17:24" x14ac:dyDescent="0.3">
      <c r="Q427" s="4"/>
      <c r="R427" s="4"/>
      <c r="S427" s="4"/>
      <c r="T427" s="4"/>
      <c r="U427" s="4"/>
      <c r="V427" s="4"/>
      <c r="W427" s="4"/>
      <c r="X427" s="4"/>
    </row>
    <row r="428" spans="17:24" x14ac:dyDescent="0.3">
      <c r="Q428" s="4"/>
      <c r="R428" s="4"/>
      <c r="S428" s="4"/>
      <c r="T428" s="4"/>
      <c r="U428" s="4"/>
      <c r="V428" s="4"/>
      <c r="W428" s="4"/>
      <c r="X428" s="4"/>
    </row>
    <row r="429" spans="17:24" x14ac:dyDescent="0.3">
      <c r="Q429" s="4"/>
      <c r="R429" s="4"/>
      <c r="S429" s="4"/>
      <c r="T429" s="4"/>
      <c r="U429" s="4"/>
      <c r="V429" s="4"/>
      <c r="W429" s="4"/>
      <c r="X429" s="4"/>
    </row>
    <row r="430" spans="17:24" x14ac:dyDescent="0.3">
      <c r="Q430" s="4"/>
      <c r="R430" s="4"/>
      <c r="S430" s="4"/>
      <c r="T430" s="4"/>
      <c r="U430" s="4"/>
      <c r="V430" s="4"/>
      <c r="W430" s="4"/>
      <c r="X430" s="4"/>
    </row>
    <row r="431" spans="17:24" x14ac:dyDescent="0.3">
      <c r="Q431" s="4"/>
      <c r="R431" s="4"/>
      <c r="S431" s="4"/>
      <c r="T431" s="4"/>
      <c r="U431" s="4"/>
      <c r="V431" s="4"/>
      <c r="W431" s="4"/>
      <c r="X431" s="4"/>
    </row>
    <row r="432" spans="17:24" x14ac:dyDescent="0.3">
      <c r="Q432" s="4"/>
      <c r="R432" s="4"/>
      <c r="S432" s="4"/>
      <c r="T432" s="4"/>
      <c r="U432" s="4"/>
      <c r="V432" s="4"/>
      <c r="W432" s="4"/>
      <c r="X432" s="4"/>
    </row>
    <row r="433" spans="17:24" x14ac:dyDescent="0.3">
      <c r="Q433" s="4"/>
      <c r="R433" s="4"/>
      <c r="S433" s="4"/>
      <c r="T433" s="4"/>
      <c r="U433" s="4"/>
      <c r="V433" s="4"/>
      <c r="W433" s="4"/>
      <c r="X433" s="4"/>
    </row>
    <row r="434" spans="17:24" x14ac:dyDescent="0.3">
      <c r="Q434" s="4"/>
      <c r="R434" s="4"/>
      <c r="S434" s="4"/>
      <c r="T434" s="4"/>
      <c r="U434" s="4"/>
      <c r="V434" s="4"/>
      <c r="W434" s="4"/>
      <c r="X434" s="4"/>
    </row>
    <row r="435" spans="17:24" x14ac:dyDescent="0.3">
      <c r="Q435" s="4"/>
      <c r="R435" s="4"/>
      <c r="S435" s="4"/>
      <c r="T435" s="4"/>
      <c r="U435" s="4"/>
      <c r="V435" s="4"/>
      <c r="W435" s="4"/>
      <c r="X435" s="4"/>
    </row>
    <row r="436" spans="17:24" x14ac:dyDescent="0.3">
      <c r="Q436" s="4"/>
      <c r="R436" s="4"/>
      <c r="S436" s="4"/>
      <c r="T436" s="4"/>
      <c r="U436" s="4"/>
      <c r="V436" s="4"/>
      <c r="W436" s="4"/>
      <c r="X436" s="4"/>
    </row>
    <row r="437" spans="17:24" x14ac:dyDescent="0.3">
      <c r="Q437" s="4"/>
      <c r="R437" s="4"/>
      <c r="S437" s="4"/>
      <c r="T437" s="4"/>
      <c r="U437" s="4"/>
      <c r="V437" s="4"/>
      <c r="W437" s="4"/>
      <c r="X437" s="4"/>
    </row>
    <row r="438" spans="17:24" x14ac:dyDescent="0.3">
      <c r="Q438" s="4"/>
      <c r="R438" s="4"/>
      <c r="S438" s="4"/>
      <c r="T438" s="4"/>
      <c r="U438" s="4"/>
      <c r="V438" s="4"/>
      <c r="W438" s="4"/>
      <c r="X438" s="4"/>
    </row>
    <row r="439" spans="17:24" x14ac:dyDescent="0.3">
      <c r="Q439" s="4"/>
      <c r="R439" s="4"/>
      <c r="S439" s="4"/>
      <c r="T439" s="4"/>
      <c r="U439" s="4"/>
      <c r="V439" s="4"/>
      <c r="W439" s="4"/>
      <c r="X439" s="4"/>
    </row>
    <row r="440" spans="17:24" x14ac:dyDescent="0.3">
      <c r="Q440" s="4"/>
      <c r="R440" s="4"/>
      <c r="S440" s="4"/>
      <c r="T440" s="4"/>
      <c r="U440" s="4"/>
      <c r="V440" s="4"/>
      <c r="W440" s="4"/>
      <c r="X440" s="4"/>
    </row>
    <row r="441" spans="17:24" x14ac:dyDescent="0.3">
      <c r="Q441" s="4"/>
      <c r="R441" s="4"/>
      <c r="S441" s="4"/>
      <c r="T441" s="4"/>
      <c r="U441" s="4"/>
      <c r="V441" s="4"/>
      <c r="W441" s="4"/>
      <c r="X441" s="4"/>
    </row>
    <row r="442" spans="17:24" x14ac:dyDescent="0.3">
      <c r="Q442" s="4"/>
      <c r="R442" s="4"/>
      <c r="S442" s="4"/>
      <c r="T442" s="4"/>
      <c r="U442" s="4"/>
      <c r="V442" s="4"/>
      <c r="W442" s="4"/>
      <c r="X442" s="4"/>
    </row>
    <row r="443" spans="17:24" x14ac:dyDescent="0.3">
      <c r="Q443" s="4"/>
      <c r="R443" s="4"/>
      <c r="S443" s="4"/>
      <c r="T443" s="4"/>
      <c r="U443" s="4"/>
      <c r="V443" s="4"/>
      <c r="W443" s="4"/>
      <c r="X443" s="4"/>
    </row>
    <row r="444" spans="17:24" x14ac:dyDescent="0.3">
      <c r="Q444" s="4"/>
      <c r="R444" s="4"/>
      <c r="S444" s="4"/>
      <c r="T444" s="4"/>
      <c r="U444" s="4"/>
      <c r="V444" s="4"/>
      <c r="W444" s="4"/>
      <c r="X444" s="4"/>
    </row>
    <row r="445" spans="17:24" x14ac:dyDescent="0.3">
      <c r="Q445" s="4"/>
      <c r="R445" s="4"/>
      <c r="S445" s="4"/>
      <c r="T445" s="4"/>
      <c r="U445" s="4"/>
      <c r="V445" s="4"/>
      <c r="W445" s="4"/>
      <c r="X445" s="4"/>
    </row>
    <row r="446" spans="17:24" x14ac:dyDescent="0.3">
      <c r="Q446" s="4"/>
      <c r="R446" s="4"/>
      <c r="S446" s="4"/>
      <c r="T446" s="4"/>
      <c r="U446" s="4"/>
      <c r="V446" s="4"/>
      <c r="W446" s="4"/>
      <c r="X446" s="4"/>
    </row>
    <row r="447" spans="17:24" x14ac:dyDescent="0.3">
      <c r="Q447" s="4"/>
      <c r="R447" s="4"/>
      <c r="S447" s="4"/>
      <c r="T447" s="4"/>
      <c r="U447" s="4"/>
      <c r="V447" s="4"/>
      <c r="W447" s="4"/>
      <c r="X447" s="4"/>
    </row>
    <row r="448" spans="17:24" x14ac:dyDescent="0.3">
      <c r="Q448" s="4"/>
      <c r="R448" s="4"/>
      <c r="S448" s="4"/>
      <c r="T448" s="4"/>
      <c r="U448" s="4"/>
      <c r="V448" s="4"/>
      <c r="W448" s="4"/>
      <c r="X448" s="4"/>
    </row>
    <row r="449" spans="17:24" x14ac:dyDescent="0.3">
      <c r="Q449" s="4"/>
      <c r="R449" s="4"/>
      <c r="S449" s="4"/>
      <c r="T449" s="4"/>
      <c r="U449" s="4"/>
      <c r="V449" s="4"/>
      <c r="W449" s="4"/>
      <c r="X449" s="4"/>
    </row>
    <row r="450" spans="17:24" x14ac:dyDescent="0.3">
      <c r="Q450" s="4"/>
      <c r="R450" s="4"/>
      <c r="S450" s="4"/>
      <c r="T450" s="4"/>
      <c r="U450" s="4"/>
      <c r="V450" s="4"/>
      <c r="W450" s="4"/>
      <c r="X450" s="4"/>
    </row>
    <row r="451" spans="17:24" x14ac:dyDescent="0.3">
      <c r="Q451" s="4"/>
      <c r="R451" s="4"/>
      <c r="S451" s="4"/>
      <c r="T451" s="4"/>
      <c r="U451" s="4"/>
      <c r="V451" s="4"/>
      <c r="W451" s="4"/>
      <c r="X451" s="4"/>
    </row>
    <row r="452" spans="17:24" x14ac:dyDescent="0.3">
      <c r="Q452" s="4"/>
      <c r="R452" s="4"/>
      <c r="S452" s="4"/>
      <c r="T452" s="4"/>
      <c r="U452" s="4"/>
      <c r="V452" s="4"/>
      <c r="W452" s="4"/>
      <c r="X452" s="4"/>
    </row>
    <row r="453" spans="17:24" x14ac:dyDescent="0.3">
      <c r="Q453" s="4"/>
      <c r="R453" s="4"/>
      <c r="S453" s="4"/>
      <c r="T453" s="4"/>
      <c r="U453" s="4"/>
      <c r="V453" s="4"/>
      <c r="W453" s="4"/>
      <c r="X453" s="4"/>
    </row>
    <row r="454" spans="17:24" x14ac:dyDescent="0.3">
      <c r="Q454" s="4"/>
      <c r="R454" s="4"/>
      <c r="S454" s="4"/>
      <c r="T454" s="4"/>
      <c r="U454" s="4"/>
      <c r="V454" s="4"/>
      <c r="W454" s="4"/>
      <c r="X454" s="4"/>
    </row>
    <row r="455" spans="17:24" x14ac:dyDescent="0.3">
      <c r="Q455" s="4"/>
      <c r="R455" s="4"/>
      <c r="S455" s="4"/>
      <c r="T455" s="4"/>
      <c r="U455" s="4"/>
      <c r="V455" s="4"/>
      <c r="W455" s="4"/>
      <c r="X455" s="4"/>
    </row>
    <row r="456" spans="17:24" x14ac:dyDescent="0.3">
      <c r="Q456" s="4"/>
      <c r="R456" s="4"/>
      <c r="S456" s="4"/>
      <c r="T456" s="4"/>
      <c r="U456" s="4"/>
      <c r="V456" s="4"/>
      <c r="W456" s="4"/>
      <c r="X456" s="4"/>
    </row>
    <row r="457" spans="17:24" x14ac:dyDescent="0.3">
      <c r="Q457" s="4"/>
      <c r="R457" s="4"/>
      <c r="S457" s="4"/>
      <c r="T457" s="4"/>
      <c r="U457" s="4"/>
      <c r="V457" s="4"/>
      <c r="W457" s="4"/>
      <c r="X457" s="4"/>
    </row>
    <row r="458" spans="17:24" x14ac:dyDescent="0.3">
      <c r="Q458" s="4"/>
      <c r="R458" s="4"/>
      <c r="S458" s="4"/>
      <c r="T458" s="4"/>
      <c r="U458" s="4"/>
      <c r="V458" s="4"/>
      <c r="W458" s="4"/>
      <c r="X458" s="4"/>
    </row>
    <row r="459" spans="17:24" x14ac:dyDescent="0.3">
      <c r="Q459" s="4"/>
      <c r="R459" s="4"/>
      <c r="S459" s="4"/>
      <c r="T459" s="4"/>
      <c r="U459" s="4"/>
      <c r="V459" s="4"/>
      <c r="W459" s="4"/>
      <c r="X459" s="4"/>
    </row>
    <row r="460" spans="17:24" x14ac:dyDescent="0.3">
      <c r="Q460" s="4"/>
      <c r="R460" s="4"/>
      <c r="S460" s="4"/>
      <c r="T460" s="4"/>
      <c r="U460" s="4"/>
      <c r="V460" s="4"/>
      <c r="W460" s="4"/>
      <c r="X460" s="4"/>
    </row>
    <row r="461" spans="17:24" x14ac:dyDescent="0.3">
      <c r="Q461" s="4"/>
      <c r="R461" s="4"/>
      <c r="S461" s="4"/>
      <c r="T461" s="4"/>
      <c r="U461" s="4"/>
      <c r="V461" s="4"/>
      <c r="W461" s="4"/>
      <c r="X461" s="4"/>
    </row>
    <row r="462" spans="17:24" x14ac:dyDescent="0.3">
      <c r="Q462" s="4"/>
      <c r="R462" s="4"/>
      <c r="S462" s="4"/>
      <c r="T462" s="4"/>
      <c r="U462" s="4"/>
      <c r="V462" s="4"/>
      <c r="W462" s="4"/>
      <c r="X462" s="4"/>
    </row>
    <row r="463" spans="17:24" x14ac:dyDescent="0.3">
      <c r="Q463" s="4"/>
      <c r="R463" s="4"/>
      <c r="S463" s="4"/>
      <c r="T463" s="4"/>
      <c r="U463" s="4"/>
      <c r="V463" s="4"/>
      <c r="W463" s="4"/>
      <c r="X463" s="4"/>
    </row>
    <row r="464" spans="17:24" x14ac:dyDescent="0.3">
      <c r="Q464" s="4"/>
      <c r="R464" s="4"/>
      <c r="S464" s="4"/>
      <c r="T464" s="4"/>
      <c r="U464" s="4"/>
      <c r="V464" s="4"/>
      <c r="W464" s="4"/>
      <c r="X464" s="4"/>
    </row>
    <row r="465" spans="17:24" x14ac:dyDescent="0.3">
      <c r="Q465" s="4"/>
      <c r="R465" s="4"/>
      <c r="S465" s="4"/>
      <c r="T465" s="4"/>
      <c r="U465" s="4"/>
      <c r="V465" s="4"/>
      <c r="W465" s="4"/>
      <c r="X465" s="4"/>
    </row>
    <row r="466" spans="17:24" x14ac:dyDescent="0.3">
      <c r="Q466" s="4"/>
      <c r="R466" s="4"/>
      <c r="S466" s="4"/>
      <c r="T466" s="4"/>
      <c r="U466" s="4"/>
      <c r="V466" s="4"/>
      <c r="W466" s="4"/>
      <c r="X466" s="4"/>
    </row>
    <row r="467" spans="17:24" x14ac:dyDescent="0.3">
      <c r="Q467" s="4"/>
      <c r="R467" s="4"/>
      <c r="S467" s="4"/>
      <c r="T467" s="4"/>
      <c r="U467" s="4"/>
      <c r="V467" s="4"/>
      <c r="W467" s="4"/>
      <c r="X467" s="4"/>
    </row>
    <row r="468" spans="17:24" x14ac:dyDescent="0.3">
      <c r="Q468" s="4"/>
      <c r="R468" s="4"/>
      <c r="S468" s="4"/>
      <c r="T468" s="4"/>
      <c r="U468" s="4"/>
      <c r="V468" s="4"/>
      <c r="W468" s="4"/>
      <c r="X468" s="4"/>
    </row>
    <row r="469" spans="17:24" x14ac:dyDescent="0.3">
      <c r="Q469" s="4"/>
      <c r="R469" s="4"/>
      <c r="S469" s="4"/>
      <c r="T469" s="4"/>
      <c r="U469" s="4"/>
      <c r="V469" s="4"/>
      <c r="W469" s="4"/>
      <c r="X469" s="4"/>
    </row>
    <row r="470" spans="17:24" x14ac:dyDescent="0.3">
      <c r="Q470" s="4"/>
      <c r="R470" s="4"/>
      <c r="S470" s="4"/>
      <c r="T470" s="4"/>
      <c r="U470" s="4"/>
      <c r="V470" s="4"/>
      <c r="W470" s="4"/>
      <c r="X470" s="4"/>
    </row>
    <row r="471" spans="17:24" x14ac:dyDescent="0.3">
      <c r="Q471" s="4"/>
      <c r="R471" s="4"/>
      <c r="S471" s="4"/>
      <c r="T471" s="4"/>
      <c r="U471" s="4"/>
      <c r="V471" s="4"/>
      <c r="W471" s="4"/>
      <c r="X471" s="4"/>
    </row>
    <row r="472" spans="17:24" x14ac:dyDescent="0.3">
      <c r="Q472" s="4"/>
      <c r="R472" s="4"/>
      <c r="S472" s="4"/>
      <c r="T472" s="4"/>
      <c r="U472" s="4"/>
      <c r="V472" s="4"/>
      <c r="W472" s="4"/>
      <c r="X472" s="4"/>
    </row>
    <row r="473" spans="17:24" x14ac:dyDescent="0.3">
      <c r="Q473" s="4"/>
      <c r="R473" s="4"/>
      <c r="S473" s="4"/>
      <c r="T473" s="4"/>
      <c r="U473" s="4"/>
      <c r="V473" s="4"/>
      <c r="W473" s="4"/>
      <c r="X473" s="4"/>
    </row>
    <row r="474" spans="17:24" x14ac:dyDescent="0.3">
      <c r="Q474" s="4"/>
      <c r="R474" s="4"/>
      <c r="S474" s="4"/>
      <c r="T474" s="4"/>
      <c r="U474" s="4"/>
      <c r="V474" s="4"/>
      <c r="W474" s="4"/>
      <c r="X474" s="4"/>
    </row>
    <row r="475" spans="17:24" x14ac:dyDescent="0.3">
      <c r="Q475" s="4"/>
      <c r="R475" s="4"/>
      <c r="S475" s="4"/>
      <c r="T475" s="4"/>
      <c r="U475" s="4"/>
      <c r="V475" s="4"/>
      <c r="W475" s="4"/>
      <c r="X475" s="4"/>
    </row>
    <row r="476" spans="17:24" x14ac:dyDescent="0.3">
      <c r="Q476" s="4"/>
      <c r="R476" s="4"/>
      <c r="S476" s="4"/>
      <c r="T476" s="4"/>
      <c r="U476" s="4"/>
      <c r="V476" s="4"/>
      <c r="W476" s="4"/>
      <c r="X476" s="4"/>
    </row>
    <row r="477" spans="17:24" x14ac:dyDescent="0.3">
      <c r="Q477" s="4"/>
      <c r="R477" s="4"/>
      <c r="S477" s="4"/>
      <c r="T477" s="4"/>
      <c r="U477" s="4"/>
      <c r="V477" s="4"/>
      <c r="W477" s="4"/>
      <c r="X477" s="4"/>
    </row>
    <row r="478" spans="17:24" x14ac:dyDescent="0.3">
      <c r="Q478" s="4"/>
      <c r="R478" s="4"/>
      <c r="S478" s="4"/>
      <c r="T478" s="4"/>
      <c r="U478" s="4"/>
      <c r="V478" s="4"/>
      <c r="W478" s="4"/>
      <c r="X478" s="4"/>
    </row>
    <row r="479" spans="17:24" x14ac:dyDescent="0.3">
      <c r="Q479" s="4"/>
      <c r="R479" s="4"/>
      <c r="S479" s="4"/>
      <c r="T479" s="4"/>
      <c r="U479" s="4"/>
      <c r="V479" s="4"/>
      <c r="W479" s="4"/>
      <c r="X479" s="4"/>
    </row>
    <row r="480" spans="17:24" x14ac:dyDescent="0.3">
      <c r="Q480" s="4"/>
      <c r="R480" s="4"/>
      <c r="S480" s="4"/>
      <c r="T480" s="4"/>
      <c r="U480" s="4"/>
      <c r="V480" s="4"/>
      <c r="W480" s="4"/>
      <c r="X480" s="4"/>
    </row>
    <row r="481" spans="17:24" x14ac:dyDescent="0.3">
      <c r="Q481" s="4"/>
      <c r="R481" s="4"/>
      <c r="S481" s="4"/>
      <c r="T481" s="4"/>
      <c r="U481" s="4"/>
      <c r="V481" s="4"/>
      <c r="W481" s="4"/>
      <c r="X481" s="4"/>
    </row>
    <row r="482" spans="17:24" x14ac:dyDescent="0.3">
      <c r="Q482" s="4"/>
      <c r="R482" s="4"/>
      <c r="S482" s="4"/>
      <c r="T482" s="4"/>
      <c r="U482" s="4"/>
      <c r="V482" s="4"/>
      <c r="W482" s="4"/>
      <c r="X482" s="4"/>
    </row>
    <row r="483" spans="17:24" x14ac:dyDescent="0.3">
      <c r="Q483" s="4"/>
      <c r="R483" s="4"/>
      <c r="S483" s="4"/>
      <c r="T483" s="4"/>
      <c r="U483" s="4"/>
      <c r="V483" s="4"/>
      <c r="W483" s="4"/>
      <c r="X483" s="4"/>
    </row>
    <row r="484" spans="17:24" x14ac:dyDescent="0.3">
      <c r="Q484" s="4"/>
      <c r="R484" s="4"/>
      <c r="S484" s="4"/>
      <c r="T484" s="4"/>
      <c r="U484" s="4"/>
      <c r="V484" s="4"/>
      <c r="W484" s="4"/>
      <c r="X484" s="4"/>
    </row>
    <row r="485" spans="17:24" x14ac:dyDescent="0.3">
      <c r="Q485" s="4"/>
      <c r="R485" s="4"/>
      <c r="S485" s="4"/>
      <c r="T485" s="4"/>
      <c r="U485" s="4"/>
      <c r="V485" s="4"/>
      <c r="W485" s="4"/>
      <c r="X485" s="4"/>
    </row>
    <row r="486" spans="17:24" x14ac:dyDescent="0.3">
      <c r="Q486" s="4"/>
      <c r="R486" s="4"/>
      <c r="S486" s="4"/>
      <c r="T486" s="4"/>
      <c r="U486" s="4"/>
      <c r="V486" s="4"/>
      <c r="W486" s="4"/>
      <c r="X486" s="4"/>
    </row>
    <row r="487" spans="17:24" x14ac:dyDescent="0.3">
      <c r="Q487" s="4"/>
      <c r="R487" s="4"/>
      <c r="S487" s="4"/>
      <c r="T487" s="4"/>
      <c r="U487" s="4"/>
      <c r="V487" s="4"/>
      <c r="W487" s="4"/>
      <c r="X487" s="4"/>
    </row>
    <row r="488" spans="17:24" x14ac:dyDescent="0.3">
      <c r="Q488" s="4"/>
      <c r="R488" s="4"/>
      <c r="S488" s="4"/>
      <c r="T488" s="4"/>
      <c r="U488" s="4"/>
      <c r="V488" s="4"/>
      <c r="W488" s="4"/>
      <c r="X488" s="4"/>
    </row>
    <row r="489" spans="17:24" x14ac:dyDescent="0.3">
      <c r="Q489" s="4"/>
      <c r="R489" s="4"/>
      <c r="S489" s="4"/>
      <c r="T489" s="4"/>
      <c r="U489" s="4"/>
      <c r="V489" s="4"/>
      <c r="W489" s="4"/>
      <c r="X489" s="4"/>
    </row>
    <row r="490" spans="17:24" x14ac:dyDescent="0.3">
      <c r="Q490" s="4"/>
      <c r="R490" s="4"/>
      <c r="S490" s="4"/>
      <c r="T490" s="4"/>
      <c r="U490" s="4"/>
      <c r="V490" s="4"/>
      <c r="W490" s="4"/>
      <c r="X490" s="4"/>
    </row>
    <row r="491" spans="17:24" x14ac:dyDescent="0.3">
      <c r="Q491" s="4"/>
      <c r="R491" s="4"/>
      <c r="S491" s="4"/>
      <c r="T491" s="4"/>
      <c r="U491" s="4"/>
      <c r="V491" s="4"/>
      <c r="W491" s="4"/>
      <c r="X491" s="4"/>
    </row>
    <row r="492" spans="17:24" x14ac:dyDescent="0.3">
      <c r="Q492" s="4"/>
      <c r="R492" s="4"/>
      <c r="S492" s="4"/>
      <c r="T492" s="4"/>
      <c r="U492" s="4"/>
      <c r="V492" s="4"/>
      <c r="W492" s="4"/>
      <c r="X492" s="4"/>
    </row>
    <row r="493" spans="17:24" x14ac:dyDescent="0.3">
      <c r="Q493" s="4"/>
      <c r="R493" s="4"/>
      <c r="S493" s="4"/>
      <c r="T493" s="4"/>
      <c r="U493" s="4"/>
      <c r="V493" s="4"/>
      <c r="W493" s="4"/>
      <c r="X493" s="4"/>
    </row>
    <row r="494" spans="17:24" x14ac:dyDescent="0.3">
      <c r="Q494" s="4"/>
      <c r="R494" s="4"/>
      <c r="S494" s="4"/>
      <c r="T494" s="4"/>
      <c r="U494" s="4"/>
      <c r="V494" s="4"/>
      <c r="W494" s="4"/>
      <c r="X494" s="4"/>
    </row>
    <row r="495" spans="17:24" x14ac:dyDescent="0.3">
      <c r="Q495" s="4"/>
      <c r="R495" s="4"/>
      <c r="S495" s="4"/>
      <c r="T495" s="4"/>
      <c r="U495" s="4"/>
      <c r="V495" s="4"/>
      <c r="W495" s="4"/>
      <c r="X495" s="4"/>
    </row>
    <row r="496" spans="17:24" x14ac:dyDescent="0.3">
      <c r="Q496" s="4"/>
      <c r="R496" s="4"/>
      <c r="S496" s="4"/>
      <c r="T496" s="4"/>
      <c r="U496" s="4"/>
      <c r="V496" s="4"/>
      <c r="W496" s="4"/>
      <c r="X496" s="4"/>
    </row>
    <row r="497" spans="17:24" x14ac:dyDescent="0.3">
      <c r="Q497" s="4"/>
      <c r="R497" s="4"/>
      <c r="S497" s="4"/>
      <c r="T497" s="4"/>
      <c r="U497" s="4"/>
      <c r="V497" s="4"/>
      <c r="W497" s="4"/>
      <c r="X497" s="4"/>
    </row>
    <row r="498" spans="17:24" x14ac:dyDescent="0.3">
      <c r="Q498" s="4"/>
      <c r="R498" s="4"/>
      <c r="S498" s="4"/>
      <c r="T498" s="4"/>
      <c r="U498" s="4"/>
      <c r="V498" s="4"/>
      <c r="W498" s="4"/>
      <c r="X498" s="4"/>
    </row>
    <row r="499" spans="17:24" x14ac:dyDescent="0.3">
      <c r="Q499" s="4"/>
      <c r="R499" s="4"/>
      <c r="S499" s="4"/>
      <c r="T499" s="4"/>
      <c r="U499" s="4"/>
      <c r="V499" s="4"/>
      <c r="W499" s="4"/>
      <c r="X499" s="4"/>
    </row>
    <row r="500" spans="17:24" x14ac:dyDescent="0.3">
      <c r="Q500" s="4"/>
      <c r="R500" s="4"/>
      <c r="S500" s="4"/>
      <c r="T500" s="4"/>
      <c r="U500" s="4"/>
      <c r="V500" s="4"/>
      <c r="W500" s="4"/>
      <c r="X500" s="4"/>
    </row>
    <row r="501" spans="17:24" x14ac:dyDescent="0.3">
      <c r="Q501" s="4"/>
      <c r="R501" s="4"/>
      <c r="S501" s="4"/>
      <c r="T501" s="4"/>
      <c r="U501" s="4"/>
      <c r="V501" s="4"/>
      <c r="W501" s="4"/>
      <c r="X501" s="4"/>
    </row>
    <row r="502" spans="17:24" x14ac:dyDescent="0.3">
      <c r="Q502" s="4"/>
      <c r="R502" s="4"/>
      <c r="S502" s="4"/>
      <c r="T502" s="4"/>
      <c r="U502" s="4"/>
      <c r="V502" s="4"/>
      <c r="W502" s="4"/>
      <c r="X502" s="4"/>
    </row>
    <row r="503" spans="17:24" x14ac:dyDescent="0.3">
      <c r="Q503" s="4"/>
      <c r="R503" s="4"/>
      <c r="S503" s="4"/>
      <c r="T503" s="4"/>
      <c r="U503" s="4"/>
      <c r="V503" s="4"/>
      <c r="W503" s="4"/>
      <c r="X503" s="4"/>
    </row>
    <row r="504" spans="17:24" x14ac:dyDescent="0.3">
      <c r="Q504" s="4"/>
      <c r="R504" s="4"/>
      <c r="S504" s="4"/>
      <c r="T504" s="4"/>
      <c r="U504" s="4"/>
      <c r="V504" s="4"/>
      <c r="W504" s="4"/>
      <c r="X504" s="4"/>
    </row>
    <row r="505" spans="17:24" x14ac:dyDescent="0.3">
      <c r="Q505" s="4"/>
      <c r="R505" s="4"/>
      <c r="S505" s="4"/>
      <c r="T505" s="4"/>
      <c r="U505" s="4"/>
      <c r="V505" s="4"/>
      <c r="W505" s="4"/>
      <c r="X505" s="4"/>
    </row>
    <row r="506" spans="17:24" x14ac:dyDescent="0.3">
      <c r="Q506" s="4"/>
      <c r="R506" s="4"/>
      <c r="S506" s="4"/>
      <c r="T506" s="4"/>
      <c r="U506" s="4"/>
      <c r="V506" s="4"/>
      <c r="W506" s="4"/>
      <c r="X506" s="4"/>
    </row>
    <row r="507" spans="17:24" x14ac:dyDescent="0.3">
      <c r="Q507" s="4"/>
      <c r="R507" s="4"/>
      <c r="S507" s="4"/>
      <c r="T507" s="4"/>
      <c r="U507" s="4"/>
      <c r="V507" s="4"/>
      <c r="W507" s="4"/>
      <c r="X507" s="4"/>
    </row>
    <row r="508" spans="17:24" x14ac:dyDescent="0.3">
      <c r="Q508" s="4"/>
      <c r="R508" s="4"/>
      <c r="S508" s="4"/>
      <c r="T508" s="4"/>
      <c r="U508" s="4"/>
      <c r="V508" s="4"/>
      <c r="W508" s="4"/>
      <c r="X508" s="4"/>
    </row>
    <row r="509" spans="17:24" x14ac:dyDescent="0.3">
      <c r="Q509" s="4"/>
      <c r="R509" s="4"/>
      <c r="S509" s="4"/>
      <c r="T509" s="4"/>
      <c r="U509" s="4"/>
      <c r="V509" s="4"/>
      <c r="W509" s="4"/>
      <c r="X509" s="4"/>
    </row>
    <row r="510" spans="17:24" x14ac:dyDescent="0.3">
      <c r="Q510" s="4"/>
      <c r="R510" s="4"/>
      <c r="S510" s="4"/>
      <c r="T510" s="4"/>
      <c r="U510" s="4"/>
      <c r="V510" s="4"/>
      <c r="W510" s="4"/>
      <c r="X510" s="4"/>
    </row>
    <row r="511" spans="17:24" x14ac:dyDescent="0.3">
      <c r="Q511" s="4"/>
      <c r="R511" s="4"/>
      <c r="S511" s="4"/>
      <c r="T511" s="4"/>
      <c r="U511" s="4"/>
      <c r="V511" s="4"/>
      <c r="W511" s="4"/>
      <c r="X511" s="4"/>
    </row>
    <row r="512" spans="17:24" x14ac:dyDescent="0.3">
      <c r="Q512" s="4"/>
      <c r="R512" s="4"/>
      <c r="S512" s="4"/>
      <c r="T512" s="4"/>
      <c r="U512" s="4"/>
      <c r="V512" s="4"/>
      <c r="W512" s="4"/>
      <c r="X512" s="4"/>
    </row>
    <row r="513" spans="17:24" x14ac:dyDescent="0.3">
      <c r="Q513" s="4"/>
      <c r="R513" s="4"/>
      <c r="S513" s="4"/>
      <c r="T513" s="4"/>
      <c r="U513" s="4"/>
      <c r="V513" s="4"/>
      <c r="W513" s="4"/>
      <c r="X513" s="4"/>
    </row>
    <row r="514" spans="17:24" x14ac:dyDescent="0.3">
      <c r="Q514" s="4"/>
      <c r="R514" s="4"/>
      <c r="S514" s="4"/>
      <c r="T514" s="4"/>
      <c r="U514" s="4"/>
      <c r="V514" s="4"/>
      <c r="W514" s="4"/>
      <c r="X514" s="4"/>
    </row>
    <row r="515" spans="17:24" x14ac:dyDescent="0.3">
      <c r="Q515" s="4"/>
      <c r="R515" s="4"/>
      <c r="S515" s="4"/>
      <c r="T515" s="4"/>
      <c r="U515" s="4"/>
      <c r="V515" s="4"/>
      <c r="W515" s="4"/>
      <c r="X515" s="4"/>
    </row>
    <row r="516" spans="17:24" x14ac:dyDescent="0.3">
      <c r="Q516" s="4"/>
      <c r="R516" s="4"/>
      <c r="S516" s="4"/>
      <c r="T516" s="4"/>
      <c r="U516" s="4"/>
      <c r="V516" s="4"/>
      <c r="W516" s="4"/>
      <c r="X516" s="4"/>
    </row>
    <row r="517" spans="17:24" x14ac:dyDescent="0.3">
      <c r="Q517" s="4"/>
      <c r="R517" s="4"/>
      <c r="S517" s="4"/>
      <c r="T517" s="4"/>
      <c r="U517" s="4"/>
      <c r="V517" s="4"/>
      <c r="W517" s="4"/>
      <c r="X517" s="4"/>
    </row>
    <row r="518" spans="17:24" x14ac:dyDescent="0.3">
      <c r="Q518" s="4"/>
      <c r="R518" s="4"/>
      <c r="S518" s="4"/>
      <c r="T518" s="4"/>
      <c r="U518" s="4"/>
      <c r="V518" s="4"/>
      <c r="W518" s="4"/>
      <c r="X518" s="4"/>
    </row>
    <row r="519" spans="17:24" x14ac:dyDescent="0.3">
      <c r="Q519" s="4"/>
      <c r="R519" s="4"/>
      <c r="S519" s="4"/>
      <c r="T519" s="4"/>
      <c r="U519" s="4"/>
      <c r="V519" s="4"/>
      <c r="W519" s="4"/>
      <c r="X519" s="4"/>
    </row>
    <row r="520" spans="17:24" x14ac:dyDescent="0.3">
      <c r="Q520" s="4"/>
      <c r="R520" s="4"/>
      <c r="S520" s="4"/>
      <c r="T520" s="4"/>
      <c r="U520" s="4"/>
      <c r="V520" s="4"/>
      <c r="W520" s="4"/>
      <c r="X520" s="4"/>
    </row>
    <row r="521" spans="17:24" x14ac:dyDescent="0.3">
      <c r="Q521" s="4"/>
      <c r="R521" s="4"/>
      <c r="S521" s="4"/>
      <c r="T521" s="4"/>
      <c r="U521" s="4"/>
      <c r="V521" s="4"/>
      <c r="W521" s="4"/>
      <c r="X521" s="4"/>
    </row>
    <row r="522" spans="17:24" x14ac:dyDescent="0.3">
      <c r="Q522" s="4"/>
      <c r="R522" s="4"/>
      <c r="S522" s="4"/>
      <c r="T522" s="4"/>
      <c r="U522" s="4"/>
      <c r="V522" s="4"/>
      <c r="W522" s="4"/>
      <c r="X522" s="4"/>
    </row>
    <row r="523" spans="17:24" x14ac:dyDescent="0.3">
      <c r="Q523" s="4"/>
      <c r="R523" s="4"/>
      <c r="S523" s="4"/>
      <c r="T523" s="4"/>
      <c r="U523" s="4"/>
      <c r="V523" s="4"/>
      <c r="W523" s="4"/>
      <c r="X523" s="4"/>
    </row>
    <row r="524" spans="17:24" x14ac:dyDescent="0.3">
      <c r="Q524" s="4"/>
      <c r="R524" s="4"/>
      <c r="S524" s="4"/>
      <c r="T524" s="4"/>
      <c r="U524" s="4"/>
      <c r="V524" s="4"/>
      <c r="W524" s="4"/>
      <c r="X524" s="4"/>
    </row>
    <row r="525" spans="17:24" x14ac:dyDescent="0.3">
      <c r="Q525" s="4"/>
      <c r="R525" s="4"/>
      <c r="S525" s="4"/>
      <c r="T525" s="4"/>
      <c r="U525" s="4"/>
      <c r="V525" s="4"/>
      <c r="W525" s="4"/>
      <c r="X525" s="4"/>
    </row>
    <row r="526" spans="17:24" x14ac:dyDescent="0.3">
      <c r="Q526" s="4"/>
      <c r="R526" s="4"/>
      <c r="S526" s="4"/>
      <c r="T526" s="4"/>
      <c r="U526" s="4"/>
      <c r="V526" s="4"/>
      <c r="W526" s="4"/>
      <c r="X526" s="4"/>
    </row>
    <row r="527" spans="17:24" x14ac:dyDescent="0.3">
      <c r="Q527" s="4"/>
      <c r="R527" s="4"/>
      <c r="S527" s="4"/>
      <c r="T527" s="4"/>
      <c r="U527" s="4"/>
      <c r="V527" s="4"/>
      <c r="W527" s="4"/>
      <c r="X527" s="4"/>
    </row>
    <row r="528" spans="17:24" x14ac:dyDescent="0.3">
      <c r="Q528" s="4"/>
      <c r="R528" s="4"/>
      <c r="S528" s="4"/>
      <c r="T528" s="4"/>
      <c r="U528" s="4"/>
      <c r="V528" s="4"/>
      <c r="W528" s="4"/>
      <c r="X528" s="4"/>
    </row>
    <row r="529" spans="17:24" x14ac:dyDescent="0.3">
      <c r="Q529" s="4"/>
      <c r="R529" s="4"/>
      <c r="S529" s="4"/>
      <c r="T529" s="4"/>
      <c r="U529" s="4"/>
      <c r="V529" s="4"/>
      <c r="W529" s="4"/>
      <c r="X529" s="4"/>
    </row>
    <row r="530" spans="17:24" x14ac:dyDescent="0.3">
      <c r="Q530" s="4"/>
      <c r="R530" s="4"/>
      <c r="S530" s="4"/>
      <c r="T530" s="4"/>
      <c r="U530" s="4"/>
      <c r="V530" s="4"/>
      <c r="W530" s="4"/>
      <c r="X530" s="4"/>
    </row>
    <row r="531" spans="17:24" x14ac:dyDescent="0.3">
      <c r="Q531" s="4"/>
      <c r="R531" s="4"/>
      <c r="S531" s="4"/>
      <c r="T531" s="4"/>
      <c r="U531" s="4"/>
      <c r="V531" s="4"/>
      <c r="W531" s="4"/>
      <c r="X531" s="4"/>
    </row>
    <row r="532" spans="17:24" x14ac:dyDescent="0.3">
      <c r="Q532" s="4"/>
      <c r="R532" s="4"/>
      <c r="S532" s="4"/>
      <c r="T532" s="4"/>
      <c r="U532" s="4"/>
      <c r="V532" s="4"/>
      <c r="W532" s="4"/>
      <c r="X532" s="4"/>
    </row>
    <row r="533" spans="17:24" x14ac:dyDescent="0.3">
      <c r="Q533" s="4"/>
      <c r="R533" s="4"/>
      <c r="S533" s="4"/>
      <c r="T533" s="4"/>
      <c r="U533" s="4"/>
      <c r="V533" s="4"/>
      <c r="W533" s="4"/>
      <c r="X533" s="4"/>
    </row>
    <row r="534" spans="17:24" x14ac:dyDescent="0.3">
      <c r="Q534" s="4"/>
      <c r="R534" s="4"/>
      <c r="S534" s="4"/>
      <c r="T534" s="4"/>
      <c r="U534" s="4"/>
      <c r="V534" s="4"/>
      <c r="W534" s="4"/>
      <c r="X534" s="4"/>
    </row>
    <row r="535" spans="17:24" x14ac:dyDescent="0.3">
      <c r="Q535" s="4"/>
      <c r="R535" s="4"/>
      <c r="S535" s="4"/>
      <c r="T535" s="4"/>
      <c r="U535" s="4"/>
      <c r="V535" s="4"/>
      <c r="W535" s="4"/>
      <c r="X535" s="4"/>
    </row>
    <row r="536" spans="17:24" x14ac:dyDescent="0.3">
      <c r="Q536" s="4"/>
      <c r="R536" s="4"/>
      <c r="S536" s="4"/>
      <c r="T536" s="4"/>
      <c r="U536" s="4"/>
      <c r="V536" s="4"/>
      <c r="W536" s="4"/>
      <c r="X536" s="4"/>
    </row>
    <row r="537" spans="17:24" x14ac:dyDescent="0.3">
      <c r="Q537" s="4"/>
      <c r="R537" s="4"/>
      <c r="S537" s="4"/>
      <c r="T537" s="4"/>
      <c r="U537" s="4"/>
      <c r="V537" s="4"/>
      <c r="W537" s="4"/>
      <c r="X537" s="4"/>
    </row>
    <row r="538" spans="17:24" x14ac:dyDescent="0.3">
      <c r="Q538" s="4"/>
      <c r="R538" s="4"/>
      <c r="S538" s="4"/>
      <c r="T538" s="4"/>
      <c r="U538" s="4"/>
      <c r="V538" s="4"/>
      <c r="W538" s="4"/>
      <c r="X538" s="4"/>
    </row>
    <row r="539" spans="17:24" x14ac:dyDescent="0.3">
      <c r="Q539" s="4"/>
      <c r="R539" s="4"/>
      <c r="S539" s="4"/>
      <c r="T539" s="4"/>
      <c r="U539" s="4"/>
      <c r="V539" s="4"/>
      <c r="W539" s="4"/>
      <c r="X539" s="4"/>
    </row>
    <row r="540" spans="17:24" x14ac:dyDescent="0.3">
      <c r="Q540" s="4"/>
      <c r="R540" s="4"/>
      <c r="S540" s="4"/>
      <c r="T540" s="4"/>
      <c r="U540" s="4"/>
      <c r="V540" s="4"/>
      <c r="W540" s="4"/>
      <c r="X540" s="4"/>
    </row>
    <row r="541" spans="17:24" x14ac:dyDescent="0.3">
      <c r="Q541" s="4"/>
      <c r="R541" s="4"/>
      <c r="S541" s="4"/>
      <c r="T541" s="4"/>
      <c r="U541" s="4"/>
      <c r="V541" s="4"/>
      <c r="W541" s="4"/>
      <c r="X541" s="4"/>
    </row>
    <row r="542" spans="17:24" x14ac:dyDescent="0.3">
      <c r="Q542" s="4"/>
      <c r="R542" s="4"/>
      <c r="S542" s="4"/>
      <c r="T542" s="4"/>
      <c r="U542" s="4"/>
      <c r="V542" s="4"/>
      <c r="W542" s="4"/>
      <c r="X542" s="4"/>
    </row>
    <row r="543" spans="17:24" x14ac:dyDescent="0.3">
      <c r="Q543" s="4"/>
      <c r="R543" s="4"/>
      <c r="S543" s="4"/>
      <c r="T543" s="4"/>
      <c r="U543" s="4"/>
      <c r="V543" s="4"/>
      <c r="W543" s="4"/>
      <c r="X543" s="4"/>
    </row>
    <row r="544" spans="17:24" x14ac:dyDescent="0.3">
      <c r="Q544" s="4"/>
      <c r="R544" s="4"/>
      <c r="S544" s="4"/>
      <c r="T544" s="4"/>
      <c r="U544" s="4"/>
      <c r="V544" s="4"/>
      <c r="W544" s="4"/>
      <c r="X544" s="4"/>
    </row>
    <row r="545" spans="17:24" x14ac:dyDescent="0.3">
      <c r="Q545" s="4"/>
      <c r="R545" s="4"/>
      <c r="S545" s="4"/>
      <c r="T545" s="4"/>
      <c r="U545" s="4"/>
      <c r="V545" s="4"/>
      <c r="W545" s="4"/>
      <c r="X545" s="4"/>
    </row>
    <row r="546" spans="17:24" x14ac:dyDescent="0.3">
      <c r="Q546" s="4"/>
      <c r="R546" s="4"/>
      <c r="S546" s="4"/>
      <c r="T546" s="4"/>
      <c r="U546" s="4"/>
      <c r="V546" s="4"/>
      <c r="W546" s="4"/>
      <c r="X546" s="4"/>
    </row>
    <row r="547" spans="17:24" x14ac:dyDescent="0.3">
      <c r="Q547" s="4"/>
      <c r="R547" s="4"/>
      <c r="S547" s="4"/>
      <c r="T547" s="4"/>
      <c r="U547" s="4"/>
      <c r="V547" s="4"/>
      <c r="W547" s="4"/>
      <c r="X547" s="4"/>
    </row>
    <row r="548" spans="17:24" x14ac:dyDescent="0.3">
      <c r="Q548" s="4"/>
      <c r="R548" s="4"/>
      <c r="S548" s="4"/>
      <c r="T548" s="4"/>
      <c r="U548" s="4"/>
      <c r="V548" s="4"/>
      <c r="W548" s="4"/>
      <c r="X548" s="4"/>
    </row>
    <row r="549" spans="17:24" x14ac:dyDescent="0.3">
      <c r="Q549" s="4"/>
      <c r="R549" s="4"/>
      <c r="S549" s="4"/>
      <c r="T549" s="4"/>
      <c r="U549" s="4"/>
      <c r="V549" s="4"/>
      <c r="W549" s="4"/>
      <c r="X549" s="4"/>
    </row>
    <row r="550" spans="17:24" x14ac:dyDescent="0.3">
      <c r="Q550" s="4"/>
      <c r="R550" s="4"/>
      <c r="S550" s="4"/>
      <c r="T550" s="4"/>
      <c r="U550" s="4"/>
      <c r="V550" s="4"/>
      <c r="W550" s="4"/>
      <c r="X550" s="4"/>
    </row>
    <row r="551" spans="17:24" x14ac:dyDescent="0.3">
      <c r="Q551" s="4"/>
      <c r="R551" s="4"/>
      <c r="S551" s="4"/>
      <c r="T551" s="4"/>
      <c r="U551" s="4"/>
      <c r="V551" s="4"/>
      <c r="W551" s="4"/>
      <c r="X551" s="4"/>
    </row>
    <row r="552" spans="17:24" x14ac:dyDescent="0.3">
      <c r="Q552" s="4"/>
      <c r="R552" s="4"/>
      <c r="S552" s="4"/>
      <c r="T552" s="4"/>
      <c r="U552" s="4"/>
      <c r="V552" s="4"/>
      <c r="W552" s="4"/>
      <c r="X552" s="4"/>
    </row>
    <row r="553" spans="17:24" x14ac:dyDescent="0.3">
      <c r="Q553" s="4"/>
      <c r="R553" s="4"/>
      <c r="S553" s="4"/>
      <c r="T553" s="4"/>
      <c r="U553" s="4"/>
      <c r="V553" s="4"/>
      <c r="W553" s="4"/>
      <c r="X553" s="4"/>
    </row>
    <row r="554" spans="17:24" x14ac:dyDescent="0.3">
      <c r="Q554" s="4"/>
      <c r="R554" s="4"/>
      <c r="S554" s="4"/>
      <c r="T554" s="4"/>
      <c r="U554" s="4"/>
      <c r="V554" s="4"/>
      <c r="W554" s="4"/>
      <c r="X554" s="4"/>
    </row>
    <row r="555" spans="17:24" x14ac:dyDescent="0.3">
      <c r="Q555" s="4"/>
      <c r="R555" s="4"/>
      <c r="S555" s="4"/>
      <c r="T555" s="4"/>
      <c r="U555" s="4"/>
      <c r="V555" s="4"/>
      <c r="W555" s="4"/>
      <c r="X555" s="4"/>
    </row>
    <row r="556" spans="17:24" x14ac:dyDescent="0.3">
      <c r="Q556" s="4"/>
      <c r="R556" s="4"/>
      <c r="S556" s="4"/>
      <c r="T556" s="4"/>
      <c r="U556" s="4"/>
      <c r="V556" s="4"/>
      <c r="W556" s="4"/>
      <c r="X556" s="4"/>
    </row>
    <row r="557" spans="17:24" x14ac:dyDescent="0.3">
      <c r="Q557" s="4"/>
      <c r="R557" s="4"/>
      <c r="S557" s="4"/>
      <c r="T557" s="4"/>
      <c r="U557" s="4"/>
      <c r="V557" s="4"/>
      <c r="W557" s="4"/>
      <c r="X557" s="4"/>
    </row>
    <row r="558" spans="17:24" x14ac:dyDescent="0.3">
      <c r="Q558" s="4"/>
      <c r="R558" s="4"/>
      <c r="S558" s="4"/>
      <c r="T558" s="4"/>
      <c r="U558" s="4"/>
      <c r="V558" s="4"/>
      <c r="W558" s="4"/>
      <c r="X558" s="4"/>
    </row>
    <row r="559" spans="17:24" x14ac:dyDescent="0.3">
      <c r="Q559" s="4"/>
      <c r="R559" s="4"/>
      <c r="S559" s="4"/>
      <c r="T559" s="4"/>
      <c r="U559" s="4"/>
      <c r="V559" s="4"/>
      <c r="W559" s="4"/>
      <c r="X559" s="4"/>
    </row>
    <row r="560" spans="17:24" x14ac:dyDescent="0.3">
      <c r="Q560" s="4"/>
      <c r="R560" s="4"/>
      <c r="S560" s="4"/>
      <c r="T560" s="4"/>
      <c r="U560" s="4"/>
      <c r="V560" s="4"/>
      <c r="W560" s="4"/>
      <c r="X560" s="4"/>
    </row>
    <row r="561" spans="17:24" x14ac:dyDescent="0.3">
      <c r="Q561" s="4"/>
      <c r="R561" s="4"/>
      <c r="S561" s="4"/>
      <c r="T561" s="4"/>
      <c r="U561" s="4"/>
      <c r="V561" s="4"/>
      <c r="W561" s="4"/>
      <c r="X561" s="4"/>
    </row>
    <row r="562" spans="17:24" x14ac:dyDescent="0.3">
      <c r="Q562" s="4"/>
      <c r="R562" s="4"/>
      <c r="S562" s="4"/>
      <c r="T562" s="4"/>
      <c r="U562" s="4"/>
      <c r="V562" s="4"/>
      <c r="W562" s="4"/>
      <c r="X562" s="4"/>
    </row>
    <row r="563" spans="17:24" x14ac:dyDescent="0.3">
      <c r="Q563" s="4"/>
      <c r="R563" s="4"/>
      <c r="S563" s="4"/>
      <c r="T563" s="4"/>
      <c r="U563" s="4"/>
      <c r="V563" s="4"/>
      <c r="W563" s="4"/>
      <c r="X563" s="4"/>
    </row>
    <row r="564" spans="17:24" x14ac:dyDescent="0.3">
      <c r="Q564" s="4"/>
      <c r="R564" s="4"/>
      <c r="S564" s="4"/>
      <c r="T564" s="4"/>
      <c r="U564" s="4"/>
      <c r="V564" s="4"/>
      <c r="W564" s="4"/>
      <c r="X564" s="4"/>
    </row>
    <row r="565" spans="17:24" x14ac:dyDescent="0.3">
      <c r="Q565" s="4"/>
      <c r="R565" s="4"/>
      <c r="S565" s="4"/>
      <c r="T565" s="4"/>
      <c r="U565" s="4"/>
      <c r="V565" s="4"/>
      <c r="W565" s="4"/>
      <c r="X565" s="4"/>
    </row>
    <row r="566" spans="17:24" x14ac:dyDescent="0.3">
      <c r="Q566" s="4"/>
      <c r="R566" s="4"/>
      <c r="S566" s="4"/>
      <c r="T566" s="4"/>
      <c r="U566" s="4"/>
      <c r="V566" s="4"/>
      <c r="W566" s="4"/>
      <c r="X566" s="4"/>
    </row>
    <row r="567" spans="17:24" x14ac:dyDescent="0.3">
      <c r="Q567" s="4"/>
      <c r="R567" s="4"/>
      <c r="S567" s="4"/>
      <c r="T567" s="4"/>
      <c r="U567" s="4"/>
      <c r="V567" s="4"/>
      <c r="W567" s="4"/>
      <c r="X567" s="4"/>
    </row>
    <row r="568" spans="17:24" x14ac:dyDescent="0.3">
      <c r="Q568" s="4"/>
      <c r="R568" s="4"/>
      <c r="S568" s="4"/>
      <c r="T568" s="4"/>
      <c r="U568" s="4"/>
      <c r="V568" s="4"/>
      <c r="W568" s="4"/>
      <c r="X568" s="4"/>
    </row>
    <row r="569" spans="17:24" x14ac:dyDescent="0.3">
      <c r="Q569" s="4"/>
      <c r="R569" s="4"/>
      <c r="S569" s="4"/>
      <c r="T569" s="4"/>
      <c r="U569" s="4"/>
      <c r="V569" s="4"/>
      <c r="W569" s="4"/>
      <c r="X569" s="4"/>
    </row>
    <row r="570" spans="17:24" x14ac:dyDescent="0.3">
      <c r="Q570" s="4"/>
      <c r="R570" s="4"/>
      <c r="S570" s="4"/>
      <c r="T570" s="4"/>
      <c r="U570" s="4"/>
      <c r="V570" s="4"/>
      <c r="W570" s="4"/>
      <c r="X570" s="4"/>
    </row>
    <row r="571" spans="17:24" x14ac:dyDescent="0.3">
      <c r="Q571" s="4"/>
      <c r="R571" s="4"/>
      <c r="S571" s="4"/>
      <c r="T571" s="4"/>
      <c r="U571" s="4"/>
      <c r="V571" s="4"/>
      <c r="W571" s="4"/>
      <c r="X571" s="4"/>
    </row>
    <row r="572" spans="17:24" x14ac:dyDescent="0.3">
      <c r="Q572" s="4"/>
      <c r="R572" s="4"/>
      <c r="S572" s="4"/>
      <c r="T572" s="4"/>
      <c r="U572" s="4"/>
      <c r="V572" s="4"/>
      <c r="W572" s="4"/>
      <c r="X572" s="4"/>
    </row>
    <row r="573" spans="17:24" x14ac:dyDescent="0.3">
      <c r="Q573" s="4"/>
      <c r="R573" s="4"/>
      <c r="S573" s="4"/>
      <c r="T573" s="4"/>
      <c r="U573" s="4"/>
      <c r="V573" s="4"/>
      <c r="W573" s="4"/>
      <c r="X573" s="4"/>
    </row>
    <row r="574" spans="17:24" x14ac:dyDescent="0.3">
      <c r="Q574" s="4"/>
      <c r="R574" s="4"/>
      <c r="S574" s="4"/>
      <c r="T574" s="4"/>
      <c r="U574" s="4"/>
      <c r="V574" s="4"/>
      <c r="W574" s="4"/>
      <c r="X574" s="4"/>
    </row>
    <row r="575" spans="17:24" x14ac:dyDescent="0.3">
      <c r="Q575" s="4"/>
      <c r="R575" s="4"/>
      <c r="S575" s="4"/>
      <c r="T575" s="4"/>
      <c r="U575" s="4"/>
      <c r="V575" s="4"/>
      <c r="W575" s="4"/>
      <c r="X575" s="4"/>
    </row>
    <row r="576" spans="17:24" x14ac:dyDescent="0.3">
      <c r="Q576" s="4"/>
      <c r="R576" s="4"/>
      <c r="S576" s="4"/>
      <c r="T576" s="4"/>
      <c r="U576" s="4"/>
      <c r="V576" s="4"/>
      <c r="W576" s="4"/>
      <c r="X576" s="4"/>
    </row>
    <row r="577" spans="17:24" x14ac:dyDescent="0.3">
      <c r="Q577" s="4"/>
      <c r="R577" s="4"/>
      <c r="S577" s="4"/>
      <c r="T577" s="4"/>
      <c r="U577" s="4"/>
      <c r="V577" s="4"/>
      <c r="W577" s="4"/>
      <c r="X577" s="4"/>
    </row>
    <row r="578" spans="17:24" x14ac:dyDescent="0.3">
      <c r="Q578" s="4"/>
      <c r="R578" s="4"/>
      <c r="S578" s="4"/>
      <c r="T578" s="4"/>
      <c r="U578" s="4"/>
      <c r="V578" s="4"/>
      <c r="W578" s="4"/>
      <c r="X578" s="4"/>
    </row>
    <row r="579" spans="17:24" x14ac:dyDescent="0.3">
      <c r="Q579" s="4"/>
      <c r="R579" s="4"/>
      <c r="S579" s="4"/>
      <c r="T579" s="4"/>
      <c r="U579" s="4"/>
      <c r="V579" s="4"/>
      <c r="W579" s="4"/>
      <c r="X579" s="4"/>
    </row>
    <row r="580" spans="17:24" x14ac:dyDescent="0.3">
      <c r="Q580" s="4"/>
      <c r="R580" s="4"/>
      <c r="S580" s="4"/>
      <c r="T580" s="4"/>
      <c r="U580" s="4"/>
      <c r="V580" s="4"/>
      <c r="W580" s="4"/>
      <c r="X580" s="4"/>
    </row>
    <row r="581" spans="17:24" x14ac:dyDescent="0.3">
      <c r="Q581" s="4"/>
      <c r="R581" s="4"/>
      <c r="S581" s="4"/>
      <c r="T581" s="4"/>
      <c r="U581" s="4"/>
      <c r="V581" s="4"/>
      <c r="W581" s="4"/>
      <c r="X581" s="4"/>
    </row>
    <row r="582" spans="17:24" x14ac:dyDescent="0.3">
      <c r="Q582" s="4"/>
      <c r="R582" s="4"/>
      <c r="S582" s="4"/>
      <c r="T582" s="4"/>
      <c r="U582" s="4"/>
      <c r="V582" s="4"/>
      <c r="W582" s="4"/>
      <c r="X582" s="4"/>
    </row>
    <row r="583" spans="17:24" x14ac:dyDescent="0.3">
      <c r="Q583" s="4"/>
      <c r="R583" s="4"/>
      <c r="S583" s="4"/>
      <c r="T583" s="4"/>
      <c r="U583" s="4"/>
      <c r="V583" s="4"/>
      <c r="W583" s="4"/>
      <c r="X583" s="4"/>
    </row>
    <row r="584" spans="17:24" x14ac:dyDescent="0.3">
      <c r="Q584" s="4"/>
      <c r="R584" s="4"/>
      <c r="S584" s="4"/>
      <c r="T584" s="4"/>
      <c r="U584" s="4"/>
      <c r="V584" s="4"/>
      <c r="W584" s="4"/>
      <c r="X584" s="4"/>
    </row>
    <row r="585" spans="17:24" x14ac:dyDescent="0.3">
      <c r="Q585" s="4"/>
      <c r="R585" s="4"/>
      <c r="S585" s="4"/>
      <c r="T585" s="4"/>
      <c r="U585" s="4"/>
      <c r="V585" s="4"/>
      <c r="W585" s="4"/>
      <c r="X585" s="4"/>
    </row>
    <row r="586" spans="17:24" x14ac:dyDescent="0.3">
      <c r="Q586" s="4"/>
      <c r="R586" s="4"/>
      <c r="S586" s="4"/>
      <c r="T586" s="4"/>
      <c r="U586" s="4"/>
      <c r="V586" s="4"/>
      <c r="W586" s="4"/>
      <c r="X586" s="4"/>
    </row>
    <row r="587" spans="17:24" x14ac:dyDescent="0.3">
      <c r="Q587" s="4"/>
      <c r="R587" s="4"/>
      <c r="S587" s="4"/>
      <c r="T587" s="4"/>
      <c r="U587" s="4"/>
      <c r="V587" s="4"/>
      <c r="W587" s="4"/>
      <c r="X587" s="4"/>
    </row>
    <row r="588" spans="17:24" x14ac:dyDescent="0.3">
      <c r="Q588" s="4"/>
      <c r="R588" s="4"/>
      <c r="S588" s="4"/>
      <c r="T588" s="4"/>
      <c r="U588" s="4"/>
      <c r="V588" s="4"/>
      <c r="W588" s="4"/>
      <c r="X588" s="4"/>
    </row>
    <row r="589" spans="17:24" x14ac:dyDescent="0.3">
      <c r="Q589" s="4"/>
      <c r="R589" s="4"/>
      <c r="S589" s="4"/>
      <c r="T589" s="4"/>
      <c r="U589" s="4"/>
      <c r="V589" s="4"/>
      <c r="W589" s="4"/>
      <c r="X589" s="4"/>
    </row>
    <row r="590" spans="17:24" x14ac:dyDescent="0.3">
      <c r="Q590" s="4"/>
      <c r="R590" s="4"/>
      <c r="S590" s="4"/>
      <c r="T590" s="4"/>
      <c r="U590" s="4"/>
      <c r="V590" s="4"/>
      <c r="W590" s="4"/>
      <c r="X590" s="4"/>
    </row>
    <row r="591" spans="17:24" x14ac:dyDescent="0.3">
      <c r="Q591" s="4"/>
      <c r="R591" s="4"/>
      <c r="S591" s="4"/>
      <c r="T591" s="4"/>
      <c r="U591" s="4"/>
      <c r="V591" s="4"/>
      <c r="W591" s="4"/>
      <c r="X591" s="4"/>
    </row>
    <row r="592" spans="17:24" x14ac:dyDescent="0.3">
      <c r="Q592" s="4"/>
      <c r="R592" s="4"/>
      <c r="S592" s="4"/>
      <c r="T592" s="4"/>
      <c r="U592" s="4"/>
      <c r="V592" s="4"/>
      <c r="W592" s="4"/>
      <c r="X592" s="4"/>
    </row>
    <row r="593" spans="17:24" x14ac:dyDescent="0.3">
      <c r="Q593" s="4"/>
      <c r="R593" s="4"/>
      <c r="S593" s="4"/>
      <c r="T593" s="4"/>
      <c r="U593" s="4"/>
      <c r="V593" s="4"/>
      <c r="W593" s="4"/>
      <c r="X593" s="4"/>
    </row>
    <row r="594" spans="17:24" x14ac:dyDescent="0.3">
      <c r="Q594" s="4"/>
      <c r="R594" s="4"/>
      <c r="S594" s="4"/>
      <c r="T594" s="4"/>
      <c r="U594" s="4"/>
      <c r="V594" s="4"/>
      <c r="W594" s="4"/>
      <c r="X594" s="4"/>
    </row>
    <row r="595" spans="17:24" x14ac:dyDescent="0.3">
      <c r="Q595" s="4"/>
      <c r="R595" s="4"/>
      <c r="S595" s="4"/>
      <c r="T595" s="4"/>
      <c r="U595" s="4"/>
      <c r="V595" s="4"/>
      <c r="W595" s="4"/>
      <c r="X595" s="4"/>
    </row>
    <row r="596" spans="17:24" x14ac:dyDescent="0.3">
      <c r="Q596" s="4"/>
      <c r="R596" s="4"/>
      <c r="S596" s="4"/>
      <c r="T596" s="4"/>
      <c r="U596" s="4"/>
      <c r="V596" s="4"/>
      <c r="W596" s="4"/>
      <c r="X596" s="4"/>
    </row>
    <row r="597" spans="17:24" x14ac:dyDescent="0.3">
      <c r="Q597" s="4"/>
      <c r="R597" s="4"/>
      <c r="S597" s="4"/>
      <c r="T597" s="4"/>
      <c r="U597" s="4"/>
      <c r="V597" s="4"/>
      <c r="W597" s="4"/>
      <c r="X597" s="4"/>
    </row>
    <row r="598" spans="17:24" x14ac:dyDescent="0.3">
      <c r="Q598" s="4"/>
      <c r="R598" s="4"/>
      <c r="S598" s="4"/>
      <c r="T598" s="4"/>
      <c r="U598" s="4"/>
      <c r="V598" s="4"/>
      <c r="W598" s="4"/>
      <c r="X598" s="4"/>
    </row>
    <row r="599" spans="17:24" x14ac:dyDescent="0.3">
      <c r="Q599" s="4"/>
      <c r="R599" s="4"/>
      <c r="S599" s="4"/>
      <c r="T599" s="4"/>
      <c r="U599" s="4"/>
      <c r="V599" s="4"/>
      <c r="W599" s="4"/>
      <c r="X599" s="4"/>
    </row>
    <row r="600" spans="17:24" x14ac:dyDescent="0.3">
      <c r="Q600" s="4"/>
      <c r="R600" s="4"/>
      <c r="S600" s="4"/>
      <c r="T600" s="4"/>
      <c r="U600" s="4"/>
      <c r="V600" s="4"/>
      <c r="W600" s="4"/>
      <c r="X600" s="4"/>
    </row>
    <row r="601" spans="17:24" x14ac:dyDescent="0.3">
      <c r="Q601" s="4"/>
      <c r="R601" s="4"/>
      <c r="S601" s="4"/>
      <c r="T601" s="4"/>
      <c r="U601" s="4"/>
      <c r="V601" s="4"/>
      <c r="W601" s="4"/>
      <c r="X601" s="4"/>
    </row>
    <row r="602" spans="17:24" x14ac:dyDescent="0.3">
      <c r="Q602" s="4"/>
      <c r="R602" s="4"/>
      <c r="S602" s="4"/>
      <c r="T602" s="4"/>
      <c r="U602" s="4"/>
      <c r="V602" s="4"/>
      <c r="W602" s="4"/>
      <c r="X602" s="4"/>
    </row>
    <row r="603" spans="17:24" x14ac:dyDescent="0.3">
      <c r="Q603" s="4"/>
      <c r="R603" s="4"/>
      <c r="S603" s="4"/>
      <c r="T603" s="4"/>
      <c r="U603" s="4"/>
      <c r="V603" s="4"/>
      <c r="W603" s="4"/>
      <c r="X603" s="4"/>
    </row>
    <row r="604" spans="17:24" x14ac:dyDescent="0.3">
      <c r="Q604" s="4"/>
      <c r="R604" s="4"/>
      <c r="S604" s="4"/>
      <c r="T604" s="4"/>
      <c r="U604" s="4"/>
      <c r="V604" s="4"/>
      <c r="W604" s="4"/>
      <c r="X604" s="4"/>
    </row>
    <row r="605" spans="17:24" x14ac:dyDescent="0.3">
      <c r="Q605" s="4"/>
      <c r="R605" s="4"/>
      <c r="S605" s="4"/>
      <c r="T605" s="4"/>
      <c r="U605" s="4"/>
      <c r="V605" s="4"/>
      <c r="W605" s="4"/>
      <c r="X605" s="4"/>
    </row>
    <row r="606" spans="17:24" x14ac:dyDescent="0.3">
      <c r="Q606" s="4"/>
      <c r="R606" s="4"/>
      <c r="S606" s="4"/>
      <c r="T606" s="4"/>
      <c r="U606" s="4"/>
      <c r="V606" s="4"/>
      <c r="W606" s="4"/>
      <c r="X606" s="4"/>
    </row>
    <row r="607" spans="17:24" x14ac:dyDescent="0.3">
      <c r="Q607" s="4"/>
      <c r="R607" s="4"/>
      <c r="S607" s="4"/>
      <c r="T607" s="4"/>
      <c r="U607" s="4"/>
      <c r="V607" s="4"/>
      <c r="W607" s="4"/>
      <c r="X607" s="4"/>
    </row>
    <row r="608" spans="17:24" x14ac:dyDescent="0.3">
      <c r="Q608" s="4"/>
      <c r="R608" s="4"/>
      <c r="S608" s="4"/>
      <c r="T608" s="4"/>
      <c r="U608" s="4"/>
      <c r="V608" s="4"/>
      <c r="W608" s="4"/>
      <c r="X608" s="4"/>
    </row>
    <row r="609" spans="17:24" x14ac:dyDescent="0.3">
      <c r="Q609" s="4"/>
      <c r="R609" s="4"/>
      <c r="S609" s="4"/>
      <c r="T609" s="4"/>
      <c r="U609" s="4"/>
      <c r="V609" s="4"/>
      <c r="W609" s="4"/>
      <c r="X609" s="4"/>
    </row>
    <row r="610" spans="17:24" x14ac:dyDescent="0.3">
      <c r="Q610" s="4"/>
      <c r="R610" s="4"/>
      <c r="S610" s="4"/>
      <c r="T610" s="4"/>
      <c r="U610" s="4"/>
      <c r="V610" s="4"/>
      <c r="W610" s="4"/>
      <c r="X610" s="4"/>
    </row>
    <row r="611" spans="17:24" x14ac:dyDescent="0.3">
      <c r="Q611" s="4"/>
      <c r="R611" s="4"/>
      <c r="S611" s="4"/>
      <c r="T611" s="4"/>
      <c r="U611" s="4"/>
      <c r="V611" s="4"/>
      <c r="W611" s="4"/>
      <c r="X611" s="4"/>
    </row>
    <row r="612" spans="17:24" x14ac:dyDescent="0.3">
      <c r="Q612" s="4"/>
      <c r="R612" s="4"/>
      <c r="S612" s="4"/>
      <c r="T612" s="4"/>
      <c r="U612" s="4"/>
      <c r="V612" s="4"/>
      <c r="W612" s="4"/>
      <c r="X612" s="4"/>
    </row>
    <row r="613" spans="17:24" x14ac:dyDescent="0.3">
      <c r="Q613" s="4"/>
      <c r="R613" s="4"/>
      <c r="S613" s="4"/>
      <c r="T613" s="4"/>
      <c r="U613" s="4"/>
      <c r="V613" s="4"/>
      <c r="W613" s="4"/>
      <c r="X613" s="4"/>
    </row>
    <row r="614" spans="17:24" x14ac:dyDescent="0.3">
      <c r="Q614" s="4"/>
      <c r="R614" s="4"/>
      <c r="S614" s="4"/>
      <c r="T614" s="4"/>
      <c r="U614" s="4"/>
      <c r="V614" s="4"/>
      <c r="W614" s="4"/>
      <c r="X614" s="4"/>
    </row>
    <row r="615" spans="17:24" x14ac:dyDescent="0.3">
      <c r="Q615" s="4"/>
      <c r="R615" s="4"/>
      <c r="S615" s="4"/>
      <c r="T615" s="4"/>
      <c r="U615" s="4"/>
      <c r="V615" s="4"/>
      <c r="W615" s="4"/>
      <c r="X615" s="4"/>
    </row>
    <row r="616" spans="17:24" x14ac:dyDescent="0.3">
      <c r="Q616" s="4"/>
      <c r="R616" s="4"/>
      <c r="S616" s="4"/>
      <c r="T616" s="4"/>
      <c r="U616" s="4"/>
      <c r="V616" s="4"/>
      <c r="W616" s="4"/>
      <c r="X616" s="4"/>
    </row>
    <row r="617" spans="17:24" x14ac:dyDescent="0.3">
      <c r="Q617" s="4"/>
      <c r="R617" s="4"/>
      <c r="S617" s="4"/>
      <c r="T617" s="4"/>
      <c r="U617" s="4"/>
      <c r="V617" s="4"/>
      <c r="W617" s="4"/>
      <c r="X617" s="4"/>
    </row>
    <row r="618" spans="17:24" x14ac:dyDescent="0.3">
      <c r="Q618" s="4"/>
      <c r="R618" s="4"/>
      <c r="S618" s="4"/>
      <c r="T618" s="4"/>
      <c r="U618" s="4"/>
      <c r="V618" s="4"/>
      <c r="W618" s="4"/>
      <c r="X618" s="4"/>
    </row>
    <row r="619" spans="17:24" x14ac:dyDescent="0.3">
      <c r="Q619" s="4"/>
      <c r="R619" s="4"/>
      <c r="S619" s="4"/>
      <c r="T619" s="4"/>
      <c r="U619" s="4"/>
      <c r="V619" s="4"/>
      <c r="W619" s="4"/>
      <c r="X619" s="4"/>
    </row>
    <row r="620" spans="17:24" x14ac:dyDescent="0.3">
      <c r="Q620" s="4"/>
      <c r="R620" s="4"/>
      <c r="S620" s="4"/>
      <c r="T620" s="4"/>
      <c r="U620" s="4"/>
      <c r="V620" s="4"/>
      <c r="W620" s="4"/>
      <c r="X620" s="4"/>
    </row>
    <row r="621" spans="17:24" x14ac:dyDescent="0.3">
      <c r="Q621" s="4"/>
      <c r="R621" s="4"/>
      <c r="S621" s="4"/>
      <c r="T621" s="4"/>
      <c r="U621" s="4"/>
      <c r="V621" s="4"/>
      <c r="W621" s="4"/>
      <c r="X621" s="4"/>
    </row>
    <row r="622" spans="17:24" x14ac:dyDescent="0.3">
      <c r="Q622" s="4"/>
      <c r="R622" s="4"/>
      <c r="S622" s="4"/>
      <c r="T622" s="4"/>
      <c r="U622" s="4"/>
      <c r="V622" s="4"/>
      <c r="W622" s="4"/>
      <c r="X622" s="4"/>
    </row>
    <row r="623" spans="17:24" x14ac:dyDescent="0.3">
      <c r="Q623" s="4"/>
      <c r="R623" s="4"/>
      <c r="S623" s="4"/>
      <c r="T623" s="4"/>
      <c r="U623" s="4"/>
      <c r="V623" s="4"/>
      <c r="W623" s="4"/>
      <c r="X623" s="4"/>
    </row>
    <row r="624" spans="17:24" x14ac:dyDescent="0.3">
      <c r="Q624" s="4"/>
      <c r="R624" s="4"/>
      <c r="S624" s="4"/>
      <c r="T624" s="4"/>
      <c r="U624" s="4"/>
      <c r="V624" s="4"/>
      <c r="W624" s="4"/>
      <c r="X624" s="4"/>
    </row>
    <row r="625" spans="17:24" x14ac:dyDescent="0.3">
      <c r="Q625" s="4"/>
      <c r="R625" s="4"/>
      <c r="S625" s="4"/>
      <c r="T625" s="4"/>
      <c r="U625" s="4"/>
      <c r="V625" s="4"/>
      <c r="W625" s="4"/>
      <c r="X625" s="4"/>
    </row>
    <row r="626" spans="17:24" x14ac:dyDescent="0.3">
      <c r="Q626" s="4"/>
      <c r="R626" s="4"/>
      <c r="S626" s="4"/>
      <c r="T626" s="4"/>
      <c r="U626" s="4"/>
      <c r="V626" s="4"/>
      <c r="W626" s="4"/>
      <c r="X626" s="4"/>
    </row>
    <row r="627" spans="17:24" x14ac:dyDescent="0.3">
      <c r="Q627" s="4"/>
      <c r="R627" s="4"/>
      <c r="S627" s="4"/>
      <c r="T627" s="4"/>
      <c r="U627" s="4"/>
      <c r="V627" s="4"/>
      <c r="W627" s="4"/>
      <c r="X627" s="4"/>
    </row>
    <row r="628" spans="17:24" x14ac:dyDescent="0.3">
      <c r="Q628" s="4"/>
      <c r="R628" s="4"/>
      <c r="S628" s="4"/>
      <c r="T628" s="4"/>
      <c r="U628" s="4"/>
      <c r="V628" s="4"/>
      <c r="W628" s="4"/>
      <c r="X628" s="4"/>
    </row>
    <row r="629" spans="17:24" x14ac:dyDescent="0.3">
      <c r="Q629" s="4"/>
      <c r="R629" s="4"/>
      <c r="S629" s="4"/>
      <c r="T629" s="4"/>
      <c r="U629" s="4"/>
      <c r="V629" s="4"/>
      <c r="W629" s="4"/>
      <c r="X629" s="4"/>
    </row>
    <row r="630" spans="17:24" x14ac:dyDescent="0.3">
      <c r="Q630" s="4"/>
      <c r="R630" s="4"/>
      <c r="S630" s="4"/>
      <c r="T630" s="4"/>
      <c r="U630" s="4"/>
      <c r="V630" s="4"/>
      <c r="W630" s="4"/>
      <c r="X630" s="4"/>
    </row>
    <row r="631" spans="17:24" x14ac:dyDescent="0.3">
      <c r="Q631" s="4"/>
      <c r="R631" s="4"/>
      <c r="S631" s="4"/>
      <c r="T631" s="4"/>
      <c r="U631" s="4"/>
      <c r="V631" s="4"/>
      <c r="W631" s="4"/>
      <c r="X631" s="4"/>
    </row>
    <row r="632" spans="17:24" x14ac:dyDescent="0.3">
      <c r="Q632" s="4"/>
      <c r="R632" s="4"/>
      <c r="S632" s="4"/>
      <c r="T632" s="4"/>
      <c r="U632" s="4"/>
      <c r="V632" s="4"/>
      <c r="W632" s="4"/>
      <c r="X632" s="4"/>
    </row>
    <row r="633" spans="17:24" x14ac:dyDescent="0.3">
      <c r="Q633" s="4"/>
      <c r="R633" s="4"/>
      <c r="S633" s="4"/>
      <c r="T633" s="4"/>
      <c r="U633" s="4"/>
      <c r="V633" s="4"/>
      <c r="W633" s="4"/>
      <c r="X633" s="4"/>
    </row>
    <row r="634" spans="17:24" x14ac:dyDescent="0.3">
      <c r="Q634" s="4"/>
      <c r="R634" s="4"/>
      <c r="S634" s="4"/>
      <c r="T634" s="4"/>
      <c r="U634" s="4"/>
      <c r="V634" s="4"/>
      <c r="W634" s="4"/>
      <c r="X634" s="4"/>
    </row>
    <row r="635" spans="17:24" x14ac:dyDescent="0.3">
      <c r="Q635" s="4"/>
      <c r="R635" s="4"/>
      <c r="S635" s="4"/>
      <c r="T635" s="4"/>
      <c r="U635" s="4"/>
      <c r="V635" s="4"/>
      <c r="W635" s="4"/>
      <c r="X635" s="4"/>
    </row>
    <row r="636" spans="17:24" x14ac:dyDescent="0.3">
      <c r="Q636" s="4"/>
      <c r="R636" s="4"/>
      <c r="S636" s="4"/>
      <c r="T636" s="4"/>
      <c r="U636" s="4"/>
      <c r="V636" s="4"/>
      <c r="W636" s="4"/>
      <c r="X636" s="4"/>
    </row>
    <row r="637" spans="17:24" x14ac:dyDescent="0.3">
      <c r="Q637" s="4"/>
      <c r="R637" s="4"/>
      <c r="S637" s="4"/>
      <c r="T637" s="4"/>
      <c r="U637" s="4"/>
      <c r="V637" s="4"/>
      <c r="W637" s="4"/>
      <c r="X637" s="4"/>
    </row>
    <row r="638" spans="17:24" x14ac:dyDescent="0.3">
      <c r="Q638" s="4"/>
      <c r="R638" s="4"/>
      <c r="S638" s="4"/>
      <c r="T638" s="4"/>
      <c r="U638" s="4"/>
      <c r="V638" s="4"/>
      <c r="W638" s="4"/>
      <c r="X638" s="4"/>
    </row>
    <row r="639" spans="17:24" x14ac:dyDescent="0.3">
      <c r="Q639" s="4"/>
      <c r="R639" s="4"/>
      <c r="S639" s="4"/>
      <c r="T639" s="4"/>
      <c r="U639" s="4"/>
      <c r="V639" s="4"/>
      <c r="W639" s="4"/>
      <c r="X639" s="4"/>
    </row>
    <row r="640" spans="17:24" x14ac:dyDescent="0.3">
      <c r="Q640" s="4"/>
      <c r="R640" s="4"/>
      <c r="S640" s="4"/>
      <c r="T640" s="4"/>
      <c r="U640" s="4"/>
      <c r="V640" s="4"/>
      <c r="W640" s="4"/>
      <c r="X640" s="4"/>
    </row>
    <row r="641" spans="17:24" x14ac:dyDescent="0.3">
      <c r="Q641" s="4"/>
      <c r="R641" s="4"/>
      <c r="S641" s="4"/>
      <c r="T641" s="4"/>
      <c r="U641" s="4"/>
      <c r="V641" s="4"/>
      <c r="W641" s="4"/>
      <c r="X641" s="4"/>
    </row>
    <row r="642" spans="17:24" x14ac:dyDescent="0.3">
      <c r="Q642" s="4"/>
      <c r="R642" s="4"/>
      <c r="S642" s="4"/>
      <c r="T642" s="4"/>
      <c r="U642" s="4"/>
      <c r="V642" s="4"/>
      <c r="W642" s="4"/>
      <c r="X642" s="4"/>
    </row>
    <row r="643" spans="17:24" x14ac:dyDescent="0.3">
      <c r="Q643" s="4"/>
      <c r="R643" s="4"/>
      <c r="S643" s="4"/>
      <c r="T643" s="4"/>
      <c r="U643" s="4"/>
      <c r="V643" s="4"/>
      <c r="W643" s="4"/>
      <c r="X643" s="4"/>
    </row>
    <row r="644" spans="17:24" x14ac:dyDescent="0.3">
      <c r="Q644" s="4"/>
      <c r="R644" s="4"/>
      <c r="S644" s="4"/>
      <c r="T644" s="4"/>
      <c r="U644" s="4"/>
      <c r="V644" s="4"/>
      <c r="W644" s="4"/>
      <c r="X644" s="4"/>
    </row>
    <row r="645" spans="17:24" x14ac:dyDescent="0.3">
      <c r="Q645" s="4"/>
      <c r="R645" s="4"/>
      <c r="S645" s="4"/>
      <c r="T645" s="4"/>
      <c r="U645" s="4"/>
      <c r="V645" s="4"/>
      <c r="W645" s="4"/>
      <c r="X645" s="4"/>
    </row>
    <row r="646" spans="17:24" x14ac:dyDescent="0.3">
      <c r="Q646" s="4"/>
      <c r="R646" s="4"/>
      <c r="S646" s="4"/>
      <c r="T646" s="4"/>
      <c r="U646" s="4"/>
      <c r="V646" s="4"/>
      <c r="W646" s="4"/>
      <c r="X646" s="4"/>
    </row>
    <row r="647" spans="17:24" x14ac:dyDescent="0.3">
      <c r="Q647" s="4"/>
      <c r="R647" s="4"/>
      <c r="S647" s="4"/>
      <c r="T647" s="4"/>
      <c r="U647" s="4"/>
      <c r="V647" s="4"/>
      <c r="W647" s="4"/>
      <c r="X647" s="4"/>
    </row>
    <row r="648" spans="17:24" x14ac:dyDescent="0.3">
      <c r="Q648" s="4"/>
      <c r="R648" s="4"/>
      <c r="S648" s="4"/>
      <c r="T648" s="4"/>
      <c r="U648" s="4"/>
      <c r="V648" s="4"/>
      <c r="W648" s="4"/>
      <c r="X648" s="4"/>
    </row>
    <row r="649" spans="17:24" x14ac:dyDescent="0.3">
      <c r="Q649" s="4"/>
      <c r="R649" s="4"/>
      <c r="S649" s="4"/>
      <c r="T649" s="4"/>
      <c r="U649" s="4"/>
      <c r="V649" s="4"/>
      <c r="W649" s="4"/>
      <c r="X649" s="4"/>
    </row>
    <row r="650" spans="17:24" x14ac:dyDescent="0.3">
      <c r="Q650" s="4"/>
      <c r="R650" s="4"/>
      <c r="S650" s="4"/>
      <c r="T650" s="4"/>
      <c r="U650" s="4"/>
      <c r="V650" s="4"/>
      <c r="W650" s="4"/>
      <c r="X650" s="4"/>
    </row>
    <row r="651" spans="17:24" x14ac:dyDescent="0.3">
      <c r="Q651" s="4"/>
      <c r="R651" s="4"/>
      <c r="S651" s="4"/>
      <c r="T651" s="4"/>
      <c r="U651" s="4"/>
      <c r="V651" s="4"/>
      <c r="W651" s="4"/>
      <c r="X651" s="4"/>
    </row>
    <row r="652" spans="17:24" x14ac:dyDescent="0.3">
      <c r="Q652" s="4"/>
      <c r="R652" s="4"/>
      <c r="S652" s="4"/>
      <c r="T652" s="4"/>
      <c r="U652" s="4"/>
      <c r="V652" s="4"/>
      <c r="W652" s="4"/>
      <c r="X652" s="4"/>
    </row>
    <row r="653" spans="17:24" x14ac:dyDescent="0.3">
      <c r="Q653" s="4"/>
      <c r="R653" s="4"/>
      <c r="S653" s="4"/>
      <c r="T653" s="4"/>
      <c r="U653" s="4"/>
      <c r="V653" s="4"/>
      <c r="W653" s="4"/>
      <c r="X653" s="4"/>
    </row>
    <row r="654" spans="17:24" x14ac:dyDescent="0.3">
      <c r="Q654" s="4"/>
      <c r="R654" s="4"/>
      <c r="S654" s="4"/>
      <c r="T654" s="4"/>
      <c r="U654" s="4"/>
      <c r="V654" s="4"/>
      <c r="W654" s="4"/>
      <c r="X654" s="4"/>
    </row>
    <row r="655" spans="17:24" x14ac:dyDescent="0.3">
      <c r="Q655" s="4"/>
      <c r="R655" s="4"/>
      <c r="S655" s="4"/>
      <c r="T655" s="4"/>
      <c r="U655" s="4"/>
      <c r="V655" s="4"/>
      <c r="W655" s="4"/>
      <c r="X655" s="4"/>
    </row>
    <row r="656" spans="17:24" x14ac:dyDescent="0.3">
      <c r="Q656" s="4"/>
      <c r="R656" s="4"/>
      <c r="S656" s="4"/>
      <c r="T656" s="4"/>
      <c r="U656" s="4"/>
      <c r="V656" s="4"/>
      <c r="W656" s="4"/>
      <c r="X656" s="4"/>
    </row>
    <row r="657" spans="17:24" x14ac:dyDescent="0.3">
      <c r="Q657" s="4"/>
      <c r="R657" s="4"/>
      <c r="S657" s="4"/>
      <c r="T657" s="4"/>
      <c r="U657" s="4"/>
      <c r="V657" s="4"/>
      <c r="W657" s="4"/>
      <c r="X657" s="4"/>
    </row>
    <row r="658" spans="17:24" x14ac:dyDescent="0.3">
      <c r="Q658" s="4"/>
      <c r="R658" s="4"/>
      <c r="S658" s="4"/>
      <c r="T658" s="4"/>
      <c r="U658" s="4"/>
      <c r="V658" s="4"/>
      <c r="W658" s="4"/>
      <c r="X658" s="4"/>
    </row>
    <row r="659" spans="17:24" x14ac:dyDescent="0.3">
      <c r="Q659" s="4"/>
      <c r="R659" s="4"/>
      <c r="S659" s="4"/>
      <c r="T659" s="4"/>
      <c r="U659" s="4"/>
      <c r="V659" s="4"/>
      <c r="W659" s="4"/>
      <c r="X659" s="4"/>
    </row>
    <row r="660" spans="17:24" x14ac:dyDescent="0.3">
      <c r="Q660" s="4"/>
      <c r="R660" s="4"/>
      <c r="S660" s="4"/>
      <c r="T660" s="4"/>
      <c r="U660" s="4"/>
      <c r="V660" s="4"/>
      <c r="W660" s="4"/>
      <c r="X660" s="4"/>
    </row>
    <row r="661" spans="17:24" x14ac:dyDescent="0.3">
      <c r="Q661" s="4"/>
      <c r="R661" s="4"/>
      <c r="S661" s="4"/>
      <c r="T661" s="4"/>
      <c r="U661" s="4"/>
      <c r="V661" s="4"/>
      <c r="W661" s="4"/>
      <c r="X661" s="4"/>
    </row>
    <row r="662" spans="17:24" x14ac:dyDescent="0.3">
      <c r="Q662" s="4"/>
      <c r="R662" s="4"/>
      <c r="S662" s="4"/>
      <c r="T662" s="4"/>
      <c r="U662" s="4"/>
      <c r="V662" s="4"/>
      <c r="W662" s="4"/>
      <c r="X662" s="4"/>
    </row>
    <row r="663" spans="17:24" x14ac:dyDescent="0.3">
      <c r="Q663" s="4"/>
      <c r="R663" s="4"/>
      <c r="S663" s="4"/>
      <c r="T663" s="4"/>
      <c r="U663" s="4"/>
      <c r="V663" s="4"/>
      <c r="W663" s="4"/>
      <c r="X663" s="4"/>
    </row>
    <row r="664" spans="17:24" x14ac:dyDescent="0.3">
      <c r="Q664" s="4"/>
      <c r="R664" s="4"/>
      <c r="S664" s="4"/>
      <c r="T664" s="4"/>
      <c r="U664" s="4"/>
      <c r="V664" s="4"/>
      <c r="W664" s="4"/>
      <c r="X664" s="4"/>
    </row>
    <row r="665" spans="17:24" x14ac:dyDescent="0.3">
      <c r="Q665" s="4"/>
      <c r="R665" s="4"/>
      <c r="S665" s="4"/>
      <c r="T665" s="4"/>
      <c r="U665" s="4"/>
      <c r="V665" s="4"/>
      <c r="W665" s="4"/>
      <c r="X665" s="4"/>
    </row>
    <row r="666" spans="17:24" x14ac:dyDescent="0.3">
      <c r="Q666" s="4"/>
      <c r="R666" s="4"/>
      <c r="S666" s="4"/>
      <c r="T666" s="4"/>
      <c r="U666" s="4"/>
      <c r="V666" s="4"/>
      <c r="W666" s="4"/>
      <c r="X666" s="4"/>
    </row>
    <row r="667" spans="17:24" x14ac:dyDescent="0.3">
      <c r="Q667" s="4"/>
      <c r="R667" s="4"/>
      <c r="S667" s="4"/>
      <c r="T667" s="4"/>
      <c r="U667" s="4"/>
      <c r="V667" s="4"/>
      <c r="W667" s="4"/>
      <c r="X667" s="4"/>
    </row>
    <row r="668" spans="17:24" x14ac:dyDescent="0.3">
      <c r="Q668" s="4"/>
      <c r="R668" s="4"/>
      <c r="S668" s="4"/>
      <c r="T668" s="4"/>
      <c r="U668" s="4"/>
      <c r="V668" s="4"/>
      <c r="W668" s="4"/>
      <c r="X668" s="4"/>
    </row>
    <row r="669" spans="17:24" x14ac:dyDescent="0.3">
      <c r="Q669" s="4"/>
      <c r="R669" s="4"/>
      <c r="S669" s="4"/>
      <c r="T669" s="4"/>
      <c r="U669" s="4"/>
      <c r="V669" s="4"/>
      <c r="W669" s="4"/>
      <c r="X669" s="4"/>
    </row>
    <row r="670" spans="17:24" x14ac:dyDescent="0.3">
      <c r="Q670" s="4"/>
      <c r="R670" s="4"/>
      <c r="S670" s="4"/>
      <c r="T670" s="4"/>
      <c r="U670" s="4"/>
      <c r="V670" s="4"/>
      <c r="W670" s="4"/>
      <c r="X670" s="4"/>
    </row>
    <row r="671" spans="17:24" x14ac:dyDescent="0.3">
      <c r="Q671" s="4"/>
      <c r="R671" s="4"/>
      <c r="S671" s="4"/>
      <c r="T671" s="4"/>
      <c r="U671" s="4"/>
      <c r="V671" s="4"/>
      <c r="W671" s="4"/>
      <c r="X671" s="4"/>
    </row>
    <row r="672" spans="17:24" x14ac:dyDescent="0.3">
      <c r="Q672" s="4"/>
      <c r="R672" s="4"/>
      <c r="S672" s="4"/>
      <c r="T672" s="4"/>
      <c r="U672" s="4"/>
      <c r="V672" s="4"/>
      <c r="W672" s="4"/>
      <c r="X672" s="4"/>
    </row>
    <row r="673" spans="17:24" x14ac:dyDescent="0.3">
      <c r="Q673" s="4"/>
      <c r="R673" s="4"/>
      <c r="S673" s="4"/>
      <c r="T673" s="4"/>
      <c r="U673" s="4"/>
      <c r="V673" s="4"/>
      <c r="W673" s="4"/>
      <c r="X673" s="4"/>
    </row>
    <row r="674" spans="17:24" x14ac:dyDescent="0.3">
      <c r="Q674" s="4"/>
      <c r="R674" s="4"/>
      <c r="S674" s="4"/>
      <c r="T674" s="4"/>
      <c r="U674" s="4"/>
      <c r="V674" s="4"/>
      <c r="W674" s="4"/>
      <c r="X674" s="4"/>
    </row>
    <row r="675" spans="17:24" x14ac:dyDescent="0.3">
      <c r="Q675" s="4"/>
      <c r="R675" s="4"/>
      <c r="S675" s="4"/>
      <c r="T675" s="4"/>
      <c r="U675" s="4"/>
      <c r="V675" s="4"/>
      <c r="W675" s="4"/>
      <c r="X675" s="4"/>
    </row>
    <row r="676" spans="17:24" x14ac:dyDescent="0.3">
      <c r="Q676" s="4"/>
      <c r="R676" s="4"/>
      <c r="S676" s="4"/>
      <c r="T676" s="4"/>
      <c r="U676" s="4"/>
      <c r="V676" s="4"/>
      <c r="W676" s="4"/>
      <c r="X676" s="4"/>
    </row>
    <row r="677" spans="17:24" x14ac:dyDescent="0.3">
      <c r="Q677" s="4"/>
      <c r="R677" s="4"/>
      <c r="S677" s="4"/>
      <c r="T677" s="4"/>
      <c r="U677" s="4"/>
      <c r="V677" s="4"/>
      <c r="W677" s="4"/>
      <c r="X677" s="4"/>
    </row>
    <row r="678" spans="17:24" x14ac:dyDescent="0.3">
      <c r="Q678" s="4"/>
      <c r="R678" s="4"/>
      <c r="S678" s="4"/>
      <c r="T678" s="4"/>
      <c r="U678" s="4"/>
      <c r="V678" s="4"/>
      <c r="W678" s="4"/>
      <c r="X678" s="4"/>
    </row>
    <row r="679" spans="17:24" x14ac:dyDescent="0.3">
      <c r="Q679" s="4"/>
      <c r="R679" s="4"/>
      <c r="S679" s="4"/>
      <c r="T679" s="4"/>
      <c r="U679" s="4"/>
      <c r="V679" s="4"/>
      <c r="W679" s="4"/>
      <c r="X679" s="4"/>
    </row>
    <row r="680" spans="17:24" x14ac:dyDescent="0.3">
      <c r="Q680" s="4"/>
      <c r="R680" s="4"/>
      <c r="S680" s="4"/>
      <c r="T680" s="4"/>
      <c r="U680" s="4"/>
      <c r="V680" s="4"/>
      <c r="W680" s="4"/>
      <c r="X680" s="4"/>
    </row>
    <row r="681" spans="17:24" x14ac:dyDescent="0.3">
      <c r="Q681" s="4"/>
      <c r="R681" s="4"/>
      <c r="S681" s="4"/>
      <c r="T681" s="4"/>
      <c r="U681" s="4"/>
      <c r="V681" s="4"/>
      <c r="W681" s="4"/>
      <c r="X681" s="4"/>
    </row>
    <row r="682" spans="17:24" x14ac:dyDescent="0.3">
      <c r="Q682" s="4"/>
      <c r="R682" s="4"/>
      <c r="S682" s="4"/>
      <c r="T682" s="4"/>
      <c r="U682" s="4"/>
      <c r="V682" s="4"/>
      <c r="W682" s="4"/>
      <c r="X682" s="4"/>
    </row>
    <row r="683" spans="17:24" x14ac:dyDescent="0.3">
      <c r="Q683" s="4"/>
      <c r="R683" s="4"/>
      <c r="S683" s="4"/>
      <c r="T683" s="4"/>
      <c r="U683" s="4"/>
      <c r="V683" s="4"/>
      <c r="W683" s="4"/>
      <c r="X683" s="4"/>
    </row>
    <row r="684" spans="17:24" x14ac:dyDescent="0.3">
      <c r="Q684" s="4"/>
      <c r="R684" s="4"/>
      <c r="S684" s="4"/>
      <c r="T684" s="4"/>
      <c r="U684" s="4"/>
      <c r="V684" s="4"/>
      <c r="W684" s="4"/>
      <c r="X684" s="4"/>
    </row>
    <row r="685" spans="17:24" x14ac:dyDescent="0.3">
      <c r="Q685" s="4"/>
      <c r="R685" s="4"/>
      <c r="S685" s="4"/>
      <c r="T685" s="4"/>
      <c r="U685" s="4"/>
      <c r="V685" s="4"/>
      <c r="W685" s="4"/>
      <c r="X685" s="4"/>
    </row>
    <row r="686" spans="17:24" x14ac:dyDescent="0.3">
      <c r="Q686" s="4"/>
      <c r="R686" s="4"/>
      <c r="S686" s="4"/>
      <c r="T686" s="4"/>
      <c r="U686" s="4"/>
      <c r="V686" s="4"/>
      <c r="W686" s="4"/>
      <c r="X686" s="4"/>
    </row>
    <row r="687" spans="17:24" x14ac:dyDescent="0.3">
      <c r="Q687" s="4"/>
      <c r="R687" s="4"/>
      <c r="S687" s="4"/>
      <c r="T687" s="4"/>
      <c r="U687" s="4"/>
      <c r="V687" s="4"/>
      <c r="W687" s="4"/>
      <c r="X687" s="4"/>
    </row>
    <row r="688" spans="17:24" x14ac:dyDescent="0.3">
      <c r="Q688" s="4"/>
      <c r="R688" s="4"/>
      <c r="S688" s="4"/>
      <c r="T688" s="4"/>
      <c r="U688" s="4"/>
      <c r="V688" s="4"/>
      <c r="W688" s="4"/>
      <c r="X688" s="4"/>
    </row>
    <row r="689" spans="17:24" x14ac:dyDescent="0.3">
      <c r="Q689" s="4"/>
      <c r="R689" s="4"/>
      <c r="S689" s="4"/>
      <c r="T689" s="4"/>
      <c r="U689" s="4"/>
      <c r="V689" s="4"/>
      <c r="W689" s="4"/>
      <c r="X689" s="4"/>
    </row>
    <row r="690" spans="17:24" x14ac:dyDescent="0.3">
      <c r="Q690" s="4"/>
      <c r="R690" s="4"/>
      <c r="S690" s="4"/>
      <c r="T690" s="4"/>
      <c r="U690" s="4"/>
      <c r="V690" s="4"/>
      <c r="W690" s="4"/>
      <c r="X690" s="4"/>
    </row>
    <row r="691" spans="17:24" x14ac:dyDescent="0.3">
      <c r="Q691" s="4"/>
      <c r="R691" s="4"/>
      <c r="S691" s="4"/>
      <c r="T691" s="4"/>
      <c r="U691" s="4"/>
      <c r="V691" s="4"/>
      <c r="W691" s="4"/>
      <c r="X691" s="4"/>
    </row>
    <row r="692" spans="17:24" x14ac:dyDescent="0.3">
      <c r="Q692" s="4"/>
      <c r="R692" s="4"/>
      <c r="S692" s="4"/>
      <c r="T692" s="4"/>
      <c r="U692" s="4"/>
      <c r="V692" s="4"/>
      <c r="W692" s="4"/>
      <c r="X692" s="4"/>
    </row>
    <row r="693" spans="17:24" x14ac:dyDescent="0.3">
      <c r="Q693" s="4"/>
      <c r="R693" s="4"/>
      <c r="S693" s="4"/>
      <c r="T693" s="4"/>
      <c r="U693" s="4"/>
      <c r="V693" s="4"/>
      <c r="W693" s="4"/>
      <c r="X693" s="4"/>
    </row>
    <row r="694" spans="17:24" x14ac:dyDescent="0.3">
      <c r="Q694" s="4"/>
      <c r="R694" s="4"/>
      <c r="S694" s="4"/>
      <c r="T694" s="4"/>
      <c r="U694" s="4"/>
      <c r="V694" s="4"/>
      <c r="W694" s="4"/>
      <c r="X694" s="4"/>
    </row>
    <row r="695" spans="17:24" x14ac:dyDescent="0.3">
      <c r="Q695" s="4"/>
      <c r="R695" s="4"/>
      <c r="S695" s="4"/>
      <c r="T695" s="4"/>
      <c r="U695" s="4"/>
      <c r="V695" s="4"/>
      <c r="W695" s="4"/>
      <c r="X695" s="4"/>
    </row>
    <row r="696" spans="17:24" x14ac:dyDescent="0.3">
      <c r="Q696" s="4"/>
      <c r="R696" s="4"/>
      <c r="S696" s="4"/>
      <c r="T696" s="4"/>
      <c r="U696" s="4"/>
      <c r="V696" s="4"/>
      <c r="W696" s="4"/>
      <c r="X696" s="4"/>
    </row>
    <row r="697" spans="17:24" x14ac:dyDescent="0.3">
      <c r="Q697" s="4"/>
      <c r="R697" s="4"/>
      <c r="S697" s="4"/>
      <c r="T697" s="4"/>
      <c r="U697" s="4"/>
      <c r="V697" s="4"/>
      <c r="W697" s="4"/>
      <c r="X697" s="4"/>
    </row>
    <row r="698" spans="17:24" x14ac:dyDescent="0.3">
      <c r="Q698" s="4"/>
      <c r="R698" s="4"/>
      <c r="S698" s="4"/>
      <c r="T698" s="4"/>
      <c r="U698" s="4"/>
      <c r="V698" s="4"/>
      <c r="W698" s="4"/>
      <c r="X698" s="4"/>
    </row>
    <row r="699" spans="17:24" x14ac:dyDescent="0.3">
      <c r="Q699" s="4"/>
      <c r="R699" s="4"/>
      <c r="S699" s="4"/>
      <c r="T699" s="4"/>
      <c r="U699" s="4"/>
      <c r="V699" s="4"/>
      <c r="W699" s="4"/>
      <c r="X699" s="4"/>
    </row>
    <row r="700" spans="17:24" x14ac:dyDescent="0.3">
      <c r="Q700" s="4"/>
      <c r="R700" s="4"/>
      <c r="S700" s="4"/>
      <c r="T700" s="4"/>
      <c r="U700" s="4"/>
      <c r="V700" s="4"/>
      <c r="W700" s="4"/>
      <c r="X700" s="4"/>
    </row>
    <row r="701" spans="17:24" x14ac:dyDescent="0.3">
      <c r="Q701" s="4"/>
      <c r="R701" s="4"/>
      <c r="S701" s="4"/>
      <c r="T701" s="4"/>
      <c r="U701" s="4"/>
      <c r="V701" s="4"/>
      <c r="W701" s="4"/>
      <c r="X701" s="4"/>
    </row>
    <row r="702" spans="17:24" x14ac:dyDescent="0.3">
      <c r="Q702" s="4"/>
      <c r="R702" s="4"/>
      <c r="S702" s="4"/>
      <c r="T702" s="4"/>
      <c r="U702" s="4"/>
      <c r="V702" s="4"/>
      <c r="W702" s="4"/>
      <c r="X702" s="4"/>
    </row>
    <row r="703" spans="17:24" x14ac:dyDescent="0.3">
      <c r="Q703" s="4"/>
      <c r="R703" s="4"/>
      <c r="S703" s="4"/>
      <c r="T703" s="4"/>
      <c r="U703" s="4"/>
      <c r="V703" s="4"/>
      <c r="W703" s="4"/>
      <c r="X703" s="4"/>
    </row>
    <row r="704" spans="17:24" x14ac:dyDescent="0.3">
      <c r="Q704" s="4"/>
      <c r="R704" s="4"/>
      <c r="S704" s="4"/>
      <c r="T704" s="4"/>
      <c r="U704" s="4"/>
      <c r="V704" s="4"/>
      <c r="W704" s="4"/>
      <c r="X704" s="4"/>
    </row>
    <row r="705" spans="17:24" x14ac:dyDescent="0.3">
      <c r="Q705" s="4"/>
      <c r="R705" s="4"/>
      <c r="S705" s="4"/>
      <c r="T705" s="4"/>
      <c r="U705" s="4"/>
      <c r="V705" s="4"/>
      <c r="W705" s="4"/>
      <c r="X705" s="4"/>
    </row>
    <row r="706" spans="17:24" x14ac:dyDescent="0.3">
      <c r="Q706" s="4"/>
      <c r="R706" s="4"/>
      <c r="S706" s="4"/>
      <c r="T706" s="4"/>
      <c r="U706" s="4"/>
      <c r="V706" s="4"/>
      <c r="W706" s="4"/>
      <c r="X706" s="4"/>
    </row>
    <row r="707" spans="17:24" x14ac:dyDescent="0.3">
      <c r="Q707" s="4"/>
      <c r="R707" s="4"/>
      <c r="S707" s="4"/>
      <c r="T707" s="4"/>
      <c r="U707" s="4"/>
      <c r="V707" s="4"/>
      <c r="W707" s="4"/>
      <c r="X707" s="4"/>
    </row>
    <row r="708" spans="17:24" x14ac:dyDescent="0.3">
      <c r="Q708" s="4"/>
      <c r="R708" s="4"/>
      <c r="S708" s="4"/>
      <c r="T708" s="4"/>
      <c r="U708" s="4"/>
      <c r="V708" s="4"/>
      <c r="W708" s="4"/>
      <c r="X708" s="4"/>
    </row>
    <row r="709" spans="17:24" x14ac:dyDescent="0.3">
      <c r="Q709" s="4"/>
      <c r="R709" s="4"/>
      <c r="S709" s="4"/>
      <c r="T709" s="4"/>
      <c r="U709" s="4"/>
      <c r="V709" s="4"/>
      <c r="W709" s="4"/>
      <c r="X709" s="4"/>
    </row>
    <row r="710" spans="17:24" x14ac:dyDescent="0.3">
      <c r="Q710" s="4"/>
      <c r="R710" s="4"/>
      <c r="S710" s="4"/>
      <c r="T710" s="4"/>
      <c r="U710" s="4"/>
      <c r="V710" s="4"/>
      <c r="W710" s="4"/>
      <c r="X710" s="4"/>
    </row>
    <row r="711" spans="17:24" x14ac:dyDescent="0.3">
      <c r="Q711" s="4"/>
      <c r="R711" s="4"/>
      <c r="S711" s="4"/>
      <c r="T711" s="4"/>
      <c r="U711" s="4"/>
      <c r="V711" s="4"/>
      <c r="W711" s="4"/>
      <c r="X711" s="4"/>
    </row>
    <row r="712" spans="17:24" x14ac:dyDescent="0.3">
      <c r="Q712" s="4"/>
      <c r="R712" s="4"/>
      <c r="S712" s="4"/>
      <c r="T712" s="4"/>
      <c r="U712" s="4"/>
      <c r="V712" s="4"/>
      <c r="W712" s="4"/>
      <c r="X712" s="4"/>
    </row>
    <row r="713" spans="17:24" x14ac:dyDescent="0.3">
      <c r="Q713" s="4"/>
      <c r="R713" s="4"/>
      <c r="S713" s="4"/>
      <c r="T713" s="4"/>
      <c r="U713" s="4"/>
      <c r="V713" s="4"/>
      <c r="W713" s="4"/>
      <c r="X713" s="4"/>
    </row>
    <row r="714" spans="17:24" x14ac:dyDescent="0.3">
      <c r="Q714" s="4"/>
      <c r="R714" s="4"/>
      <c r="S714" s="4"/>
      <c r="T714" s="4"/>
      <c r="U714" s="4"/>
      <c r="V714" s="4"/>
      <c r="W714" s="4"/>
      <c r="X714" s="4"/>
    </row>
    <row r="715" spans="17:24" x14ac:dyDescent="0.3">
      <c r="Q715" s="4"/>
      <c r="R715" s="4"/>
      <c r="S715" s="4"/>
      <c r="T715" s="4"/>
      <c r="U715" s="4"/>
      <c r="V715" s="4"/>
      <c r="W715" s="4"/>
      <c r="X715" s="4"/>
    </row>
    <row r="716" spans="17:24" x14ac:dyDescent="0.3">
      <c r="Q716" s="4"/>
      <c r="R716" s="4"/>
      <c r="S716" s="4"/>
      <c r="T716" s="4"/>
      <c r="U716" s="4"/>
      <c r="V716" s="4"/>
      <c r="W716" s="4"/>
      <c r="X716" s="4"/>
    </row>
    <row r="717" spans="17:24" x14ac:dyDescent="0.3">
      <c r="Q717" s="4"/>
      <c r="R717" s="4"/>
      <c r="S717" s="4"/>
      <c r="T717" s="4"/>
      <c r="U717" s="4"/>
      <c r="V717" s="4"/>
      <c r="W717" s="4"/>
      <c r="X717" s="4"/>
    </row>
    <row r="718" spans="17:24" x14ac:dyDescent="0.3">
      <c r="Q718" s="4"/>
      <c r="R718" s="4"/>
      <c r="S718" s="4"/>
      <c r="T718" s="4"/>
      <c r="U718" s="4"/>
      <c r="V718" s="4"/>
      <c r="W718" s="4"/>
      <c r="X718" s="4"/>
    </row>
    <row r="719" spans="17:24" x14ac:dyDescent="0.3">
      <c r="Q719" s="4"/>
      <c r="R719" s="4"/>
      <c r="S719" s="4"/>
      <c r="T719" s="4"/>
      <c r="U719" s="4"/>
      <c r="V719" s="4"/>
      <c r="W719" s="4"/>
      <c r="X719" s="4"/>
    </row>
    <row r="720" spans="17:24" x14ac:dyDescent="0.3">
      <c r="Q720" s="4"/>
      <c r="R720" s="4"/>
      <c r="S720" s="4"/>
      <c r="T720" s="4"/>
      <c r="U720" s="4"/>
      <c r="V720" s="4"/>
      <c r="W720" s="4"/>
      <c r="X720" s="4"/>
    </row>
    <row r="721" spans="17:24" x14ac:dyDescent="0.3">
      <c r="Q721" s="4"/>
      <c r="R721" s="4"/>
      <c r="S721" s="4"/>
      <c r="T721" s="4"/>
      <c r="U721" s="4"/>
      <c r="V721" s="4"/>
      <c r="W721" s="4"/>
      <c r="X721" s="4"/>
    </row>
    <row r="722" spans="17:24" x14ac:dyDescent="0.3">
      <c r="Q722" s="4"/>
      <c r="R722" s="4"/>
      <c r="S722" s="4"/>
      <c r="T722" s="4"/>
      <c r="U722" s="4"/>
      <c r="V722" s="4"/>
      <c r="W722" s="4"/>
      <c r="X722" s="4"/>
    </row>
    <row r="723" spans="17:24" x14ac:dyDescent="0.3">
      <c r="Q723" s="4"/>
      <c r="R723" s="4"/>
      <c r="S723" s="4"/>
      <c r="T723" s="4"/>
      <c r="U723" s="4"/>
      <c r="V723" s="4"/>
      <c r="W723" s="4"/>
      <c r="X723" s="4"/>
    </row>
    <row r="724" spans="17:24" x14ac:dyDescent="0.3">
      <c r="Q724" s="4"/>
      <c r="R724" s="4"/>
      <c r="S724" s="4"/>
      <c r="T724" s="4"/>
      <c r="U724" s="4"/>
      <c r="V724" s="4"/>
      <c r="W724" s="4"/>
      <c r="X724" s="4"/>
    </row>
    <row r="725" spans="17:24" x14ac:dyDescent="0.3">
      <c r="Q725" s="4"/>
      <c r="R725" s="4"/>
      <c r="S725" s="4"/>
      <c r="T725" s="4"/>
      <c r="U725" s="4"/>
      <c r="V725" s="4"/>
      <c r="W725" s="4"/>
      <c r="X725" s="4"/>
    </row>
    <row r="726" spans="17:24" x14ac:dyDescent="0.3">
      <c r="Q726" s="4"/>
      <c r="R726" s="4"/>
      <c r="S726" s="4"/>
      <c r="T726" s="4"/>
      <c r="U726" s="4"/>
      <c r="V726" s="4"/>
      <c r="W726" s="4"/>
      <c r="X726" s="4"/>
    </row>
    <row r="727" spans="17:24" x14ac:dyDescent="0.3">
      <c r="Q727" s="4"/>
      <c r="R727" s="4"/>
      <c r="S727" s="4"/>
      <c r="T727" s="4"/>
      <c r="U727" s="4"/>
      <c r="V727" s="4"/>
      <c r="W727" s="4"/>
      <c r="X727" s="4"/>
    </row>
    <row r="728" spans="17:24" x14ac:dyDescent="0.3">
      <c r="Q728" s="4"/>
      <c r="R728" s="4"/>
      <c r="S728" s="4"/>
      <c r="T728" s="4"/>
      <c r="U728" s="4"/>
      <c r="V728" s="4"/>
      <c r="W728" s="4"/>
      <c r="X728" s="4"/>
    </row>
    <row r="729" spans="17:24" x14ac:dyDescent="0.3">
      <c r="Q729" s="4"/>
      <c r="R729" s="4"/>
      <c r="S729" s="4"/>
      <c r="T729" s="4"/>
      <c r="U729" s="4"/>
      <c r="V729" s="4"/>
      <c r="W729" s="4"/>
      <c r="X729" s="4"/>
    </row>
    <row r="730" spans="17:24" x14ac:dyDescent="0.3">
      <c r="Q730" s="4"/>
      <c r="R730" s="4"/>
      <c r="S730" s="4"/>
      <c r="T730" s="4"/>
      <c r="U730" s="4"/>
      <c r="V730" s="4"/>
      <c r="W730" s="4"/>
      <c r="X730" s="4"/>
    </row>
    <row r="731" spans="17:24" x14ac:dyDescent="0.3">
      <c r="Q731" s="4"/>
      <c r="R731" s="4"/>
      <c r="S731" s="4"/>
      <c r="T731" s="4"/>
      <c r="U731" s="4"/>
      <c r="V731" s="4"/>
      <c r="W731" s="4"/>
      <c r="X731" s="4"/>
    </row>
    <row r="732" spans="17:24" x14ac:dyDescent="0.3">
      <c r="Q732" s="4"/>
      <c r="R732" s="4"/>
      <c r="S732" s="4"/>
      <c r="T732" s="4"/>
      <c r="U732" s="4"/>
      <c r="V732" s="4"/>
      <c r="W732" s="4"/>
      <c r="X732" s="4"/>
    </row>
    <row r="733" spans="17:24" x14ac:dyDescent="0.3">
      <c r="Q733" s="4"/>
      <c r="R733" s="4"/>
      <c r="S733" s="4"/>
      <c r="T733" s="4"/>
      <c r="U733" s="4"/>
      <c r="V733" s="4"/>
      <c r="W733" s="4"/>
      <c r="X733" s="4"/>
    </row>
    <row r="734" spans="17:24" x14ac:dyDescent="0.3">
      <c r="Q734" s="4"/>
      <c r="R734" s="4"/>
      <c r="S734" s="4"/>
      <c r="T734" s="4"/>
      <c r="U734" s="4"/>
      <c r="V734" s="4"/>
      <c r="W734" s="4"/>
      <c r="X734" s="4"/>
    </row>
    <row r="735" spans="17:24" x14ac:dyDescent="0.3">
      <c r="Q735" s="4"/>
      <c r="R735" s="4"/>
      <c r="S735" s="4"/>
      <c r="T735" s="4"/>
      <c r="U735" s="4"/>
      <c r="V735" s="4"/>
      <c r="W735" s="4"/>
      <c r="X735" s="4"/>
    </row>
    <row r="736" spans="17:24" x14ac:dyDescent="0.3">
      <c r="Q736" s="4"/>
      <c r="R736" s="4"/>
      <c r="S736" s="4"/>
      <c r="T736" s="4"/>
      <c r="U736" s="4"/>
      <c r="V736" s="4"/>
      <c r="W736" s="4"/>
      <c r="X736" s="4"/>
    </row>
    <row r="737" spans="17:24" x14ac:dyDescent="0.3">
      <c r="Q737" s="4"/>
      <c r="R737" s="4"/>
      <c r="S737" s="4"/>
      <c r="T737" s="4"/>
      <c r="U737" s="4"/>
      <c r="V737" s="4"/>
      <c r="W737" s="4"/>
      <c r="X737" s="4"/>
    </row>
    <row r="738" spans="17:24" x14ac:dyDescent="0.3">
      <c r="Q738" s="4"/>
      <c r="R738" s="4"/>
      <c r="S738" s="4"/>
      <c r="T738" s="4"/>
      <c r="U738" s="4"/>
      <c r="V738" s="4"/>
      <c r="W738" s="4"/>
      <c r="X738" s="4"/>
    </row>
    <row r="739" spans="17:24" x14ac:dyDescent="0.3">
      <c r="Q739" s="4"/>
      <c r="R739" s="4"/>
      <c r="S739" s="4"/>
      <c r="T739" s="4"/>
      <c r="U739" s="4"/>
      <c r="V739" s="4"/>
      <c r="W739" s="4"/>
      <c r="X739" s="4"/>
    </row>
    <row r="740" spans="17:24" x14ac:dyDescent="0.3">
      <c r="Q740" s="4"/>
      <c r="R740" s="4"/>
      <c r="S740" s="4"/>
      <c r="T740" s="4"/>
      <c r="U740" s="4"/>
      <c r="V740" s="4"/>
      <c r="W740" s="4"/>
      <c r="X740" s="4"/>
    </row>
    <row r="741" spans="17:24" x14ac:dyDescent="0.3">
      <c r="Q741" s="4"/>
      <c r="R741" s="4"/>
      <c r="S741" s="4"/>
      <c r="T741" s="4"/>
      <c r="U741" s="4"/>
      <c r="V741" s="4"/>
      <c r="W741" s="4"/>
      <c r="X741" s="4"/>
    </row>
    <row r="742" spans="17:24" x14ac:dyDescent="0.3">
      <c r="Q742" s="4"/>
      <c r="R742" s="4"/>
      <c r="S742" s="4"/>
      <c r="T742" s="4"/>
      <c r="U742" s="4"/>
      <c r="V742" s="4"/>
      <c r="W742" s="4"/>
      <c r="X742" s="4"/>
    </row>
    <row r="743" spans="17:24" x14ac:dyDescent="0.3">
      <c r="Q743" s="4"/>
      <c r="R743" s="4"/>
      <c r="S743" s="4"/>
      <c r="T743" s="4"/>
      <c r="U743" s="4"/>
      <c r="V743" s="4"/>
      <c r="W743" s="4"/>
      <c r="X743" s="4"/>
    </row>
    <row r="744" spans="17:24" x14ac:dyDescent="0.3">
      <c r="Q744" s="4"/>
      <c r="R744" s="4"/>
      <c r="S744" s="4"/>
      <c r="T744" s="4"/>
      <c r="U744" s="4"/>
      <c r="V744" s="4"/>
      <c r="W744" s="4"/>
      <c r="X744" s="4"/>
    </row>
    <row r="745" spans="17:24" x14ac:dyDescent="0.3">
      <c r="Q745" s="4"/>
      <c r="R745" s="4"/>
      <c r="S745" s="4"/>
      <c r="T745" s="4"/>
      <c r="U745" s="4"/>
      <c r="V745" s="4"/>
      <c r="W745" s="4"/>
      <c r="X745" s="4"/>
    </row>
    <row r="746" spans="17:24" x14ac:dyDescent="0.3">
      <c r="Q746" s="4"/>
      <c r="R746" s="4"/>
      <c r="S746" s="4"/>
      <c r="T746" s="4"/>
      <c r="U746" s="4"/>
      <c r="V746" s="4"/>
      <c r="W746" s="4"/>
      <c r="X746" s="4"/>
    </row>
    <row r="747" spans="17:24" x14ac:dyDescent="0.3">
      <c r="Q747" s="4"/>
      <c r="R747" s="4"/>
      <c r="S747" s="4"/>
      <c r="T747" s="4"/>
      <c r="U747" s="4"/>
      <c r="V747" s="4"/>
      <c r="W747" s="4"/>
      <c r="X747" s="4"/>
    </row>
    <row r="748" spans="17:24" x14ac:dyDescent="0.3">
      <c r="Q748" s="4"/>
      <c r="R748" s="4"/>
      <c r="S748" s="4"/>
      <c r="T748" s="4"/>
      <c r="U748" s="4"/>
      <c r="V748" s="4"/>
      <c r="W748" s="4"/>
      <c r="X748" s="4"/>
    </row>
    <row r="749" spans="17:24" x14ac:dyDescent="0.3">
      <c r="Q749" s="4"/>
      <c r="R749" s="4"/>
      <c r="S749" s="4"/>
      <c r="T749" s="4"/>
      <c r="U749" s="4"/>
      <c r="V749" s="4"/>
      <c r="W749" s="4"/>
      <c r="X749" s="4"/>
    </row>
    <row r="750" spans="17:24" x14ac:dyDescent="0.3">
      <c r="Q750" s="4"/>
      <c r="R750" s="4"/>
      <c r="S750" s="4"/>
      <c r="T750" s="4"/>
      <c r="U750" s="4"/>
      <c r="V750" s="4"/>
      <c r="W750" s="4"/>
      <c r="X750" s="4"/>
    </row>
    <row r="751" spans="17:24" x14ac:dyDescent="0.3">
      <c r="Q751" s="4"/>
      <c r="R751" s="4"/>
      <c r="S751" s="4"/>
      <c r="T751" s="4"/>
      <c r="U751" s="4"/>
      <c r="V751" s="4"/>
      <c r="W751" s="4"/>
      <c r="X751" s="4"/>
    </row>
    <row r="752" spans="17:24" x14ac:dyDescent="0.3">
      <c r="Q752" s="4"/>
      <c r="R752" s="4"/>
      <c r="S752" s="4"/>
      <c r="T752" s="4"/>
      <c r="U752" s="4"/>
      <c r="V752" s="4"/>
      <c r="W752" s="4"/>
      <c r="X752" s="4"/>
    </row>
    <row r="753" spans="17:24" x14ac:dyDescent="0.3">
      <c r="Q753" s="4"/>
      <c r="R753" s="4"/>
      <c r="S753" s="4"/>
      <c r="T753" s="4"/>
      <c r="U753" s="4"/>
      <c r="V753" s="4"/>
      <c r="W753" s="4"/>
      <c r="X753" s="4"/>
    </row>
    <row r="754" spans="17:24" x14ac:dyDescent="0.3">
      <c r="Q754" s="4"/>
      <c r="R754" s="4"/>
      <c r="S754" s="4"/>
      <c r="T754" s="4"/>
      <c r="U754" s="4"/>
      <c r="V754" s="4"/>
      <c r="W754" s="4"/>
      <c r="X754" s="4"/>
    </row>
    <row r="755" spans="17:24" x14ac:dyDescent="0.3">
      <c r="Q755" s="4"/>
      <c r="R755" s="4"/>
      <c r="S755" s="4"/>
      <c r="T755" s="4"/>
      <c r="U755" s="4"/>
      <c r="V755" s="4"/>
      <c r="W755" s="4"/>
      <c r="X755" s="4"/>
    </row>
    <row r="756" spans="17:24" x14ac:dyDescent="0.3">
      <c r="Q756" s="4"/>
      <c r="R756" s="4"/>
      <c r="S756" s="4"/>
      <c r="T756" s="4"/>
      <c r="U756" s="4"/>
      <c r="V756" s="4"/>
      <c r="W756" s="4"/>
      <c r="X756" s="4"/>
    </row>
    <row r="757" spans="17:24" x14ac:dyDescent="0.3">
      <c r="Q757" s="4"/>
      <c r="R757" s="4"/>
      <c r="S757" s="4"/>
      <c r="T757" s="4"/>
      <c r="U757" s="4"/>
      <c r="V757" s="4"/>
      <c r="W757" s="4"/>
      <c r="X757" s="4"/>
    </row>
    <row r="758" spans="17:24" x14ac:dyDescent="0.3">
      <c r="Q758" s="4"/>
      <c r="R758" s="4"/>
      <c r="S758" s="4"/>
      <c r="T758" s="4"/>
      <c r="U758" s="4"/>
      <c r="V758" s="4"/>
      <c r="W758" s="4"/>
      <c r="X758" s="4"/>
    </row>
    <row r="759" spans="17:24" x14ac:dyDescent="0.3">
      <c r="Q759" s="4"/>
      <c r="R759" s="4"/>
      <c r="S759" s="4"/>
      <c r="T759" s="4"/>
      <c r="U759" s="4"/>
      <c r="V759" s="4"/>
      <c r="W759" s="4"/>
      <c r="X759" s="4"/>
    </row>
    <row r="760" spans="17:24" x14ac:dyDescent="0.3">
      <c r="Q760" s="4"/>
      <c r="R760" s="4"/>
      <c r="S760" s="4"/>
      <c r="T760" s="4"/>
      <c r="U760" s="4"/>
      <c r="V760" s="4"/>
      <c r="W760" s="4"/>
      <c r="X760" s="4"/>
    </row>
    <row r="761" spans="17:24" x14ac:dyDescent="0.3">
      <c r="Q761" s="4"/>
      <c r="R761" s="4"/>
      <c r="S761" s="4"/>
      <c r="T761" s="4"/>
      <c r="U761" s="4"/>
      <c r="V761" s="4"/>
      <c r="W761" s="4"/>
      <c r="X761" s="4"/>
    </row>
    <row r="762" spans="17:24" x14ac:dyDescent="0.3">
      <c r="Q762" s="4"/>
      <c r="R762" s="4"/>
      <c r="S762" s="4"/>
      <c r="T762" s="4"/>
      <c r="U762" s="4"/>
      <c r="V762" s="4"/>
      <c r="W762" s="4"/>
      <c r="X762" s="4"/>
    </row>
    <row r="763" spans="17:24" x14ac:dyDescent="0.3">
      <c r="Q763" s="4"/>
      <c r="R763" s="4"/>
      <c r="S763" s="4"/>
      <c r="T763" s="4"/>
      <c r="U763" s="4"/>
      <c r="V763" s="4"/>
      <c r="W763" s="4"/>
      <c r="X763" s="4"/>
    </row>
    <row r="764" spans="17:24" x14ac:dyDescent="0.3">
      <c r="Q764" s="4"/>
      <c r="R764" s="4"/>
      <c r="S764" s="4"/>
      <c r="T764" s="4"/>
      <c r="U764" s="4"/>
      <c r="V764" s="4"/>
      <c r="W764" s="4"/>
      <c r="X764" s="4"/>
    </row>
    <row r="765" spans="17:24" x14ac:dyDescent="0.3">
      <c r="Q765" s="4"/>
      <c r="R765" s="4"/>
      <c r="S765" s="4"/>
      <c r="T765" s="4"/>
      <c r="U765" s="4"/>
      <c r="V765" s="4"/>
      <c r="W765" s="4"/>
      <c r="X765" s="4"/>
    </row>
    <row r="766" spans="17:24" x14ac:dyDescent="0.3">
      <c r="Q766" s="4"/>
      <c r="R766" s="4"/>
      <c r="S766" s="4"/>
      <c r="T766" s="4"/>
      <c r="U766" s="4"/>
      <c r="V766" s="4"/>
      <c r="W766" s="4"/>
      <c r="X766" s="4"/>
    </row>
    <row r="767" spans="17:24" x14ac:dyDescent="0.3">
      <c r="Q767" s="4"/>
      <c r="R767" s="4"/>
      <c r="S767" s="4"/>
      <c r="T767" s="4"/>
      <c r="U767" s="4"/>
      <c r="V767" s="4"/>
      <c r="W767" s="4"/>
      <c r="X767" s="4"/>
    </row>
    <row r="768" spans="17:24" x14ac:dyDescent="0.3">
      <c r="Q768" s="4"/>
      <c r="R768" s="4"/>
      <c r="S768" s="4"/>
      <c r="T768" s="4"/>
      <c r="U768" s="4"/>
      <c r="V768" s="4"/>
      <c r="W768" s="4"/>
      <c r="X768" s="4"/>
    </row>
    <row r="769" spans="17:24" x14ac:dyDescent="0.3">
      <c r="Q769" s="4"/>
      <c r="R769" s="4"/>
      <c r="S769" s="4"/>
      <c r="T769" s="4"/>
      <c r="U769" s="4"/>
      <c r="V769" s="4"/>
      <c r="W769" s="4"/>
      <c r="X769" s="4"/>
    </row>
    <row r="770" spans="17:24" x14ac:dyDescent="0.3">
      <c r="Q770" s="4"/>
      <c r="R770" s="4"/>
      <c r="S770" s="4"/>
      <c r="T770" s="4"/>
      <c r="U770" s="4"/>
      <c r="V770" s="4"/>
      <c r="W770" s="4"/>
      <c r="X770" s="4"/>
    </row>
    <row r="771" spans="17:24" x14ac:dyDescent="0.3">
      <c r="Q771" s="4"/>
      <c r="R771" s="4"/>
      <c r="S771" s="4"/>
      <c r="T771" s="4"/>
      <c r="U771" s="4"/>
      <c r="V771" s="4"/>
      <c r="W771" s="4"/>
      <c r="X771" s="4"/>
    </row>
    <row r="772" spans="17:24" x14ac:dyDescent="0.3">
      <c r="Q772" s="4"/>
      <c r="R772" s="4"/>
      <c r="S772" s="4"/>
      <c r="T772" s="4"/>
      <c r="U772" s="4"/>
      <c r="V772" s="4"/>
      <c r="W772" s="4"/>
      <c r="X772" s="4"/>
    </row>
    <row r="773" spans="17:24" x14ac:dyDescent="0.3">
      <c r="Q773" s="4"/>
      <c r="R773" s="4"/>
      <c r="S773" s="4"/>
      <c r="T773" s="4"/>
      <c r="U773" s="4"/>
      <c r="V773" s="4"/>
      <c r="W773" s="4"/>
      <c r="X773" s="4"/>
    </row>
    <row r="774" spans="17:24" x14ac:dyDescent="0.3">
      <c r="Q774" s="4"/>
      <c r="R774" s="4"/>
      <c r="S774" s="4"/>
      <c r="T774" s="4"/>
      <c r="U774" s="4"/>
      <c r="V774" s="4"/>
      <c r="W774" s="4"/>
      <c r="X774" s="4"/>
    </row>
    <row r="775" spans="17:24" x14ac:dyDescent="0.3">
      <c r="Q775" s="4"/>
      <c r="R775" s="4"/>
      <c r="S775" s="4"/>
      <c r="T775" s="4"/>
      <c r="U775" s="4"/>
      <c r="V775" s="4"/>
      <c r="W775" s="4"/>
      <c r="X775" s="4"/>
    </row>
    <row r="776" spans="17:24" x14ac:dyDescent="0.3">
      <c r="Q776" s="4"/>
      <c r="R776" s="4"/>
      <c r="S776" s="4"/>
      <c r="T776" s="4"/>
      <c r="U776" s="4"/>
      <c r="V776" s="4"/>
      <c r="W776" s="4"/>
      <c r="X776" s="4"/>
    </row>
    <row r="777" spans="17:24" x14ac:dyDescent="0.3">
      <c r="Q777" s="4"/>
      <c r="R777" s="4"/>
      <c r="S777" s="4"/>
      <c r="T777" s="4"/>
      <c r="U777" s="4"/>
      <c r="V777" s="4"/>
      <c r="W777" s="4"/>
      <c r="X777" s="4"/>
    </row>
    <row r="778" spans="17:24" x14ac:dyDescent="0.3">
      <c r="Q778" s="4"/>
      <c r="R778" s="4"/>
      <c r="S778" s="4"/>
      <c r="T778" s="4"/>
      <c r="U778" s="4"/>
      <c r="V778" s="4"/>
      <c r="W778" s="4"/>
      <c r="X778" s="4"/>
    </row>
    <row r="779" spans="17:24" x14ac:dyDescent="0.3">
      <c r="Q779" s="4"/>
      <c r="R779" s="4"/>
      <c r="S779" s="4"/>
      <c r="T779" s="4"/>
      <c r="U779" s="4"/>
      <c r="V779" s="4"/>
      <c r="W779" s="4"/>
      <c r="X779" s="4"/>
    </row>
    <row r="780" spans="17:24" x14ac:dyDescent="0.3">
      <c r="Q780" s="4"/>
      <c r="R780" s="4"/>
      <c r="S780" s="4"/>
      <c r="T780" s="4"/>
      <c r="U780" s="4"/>
      <c r="V780" s="4"/>
      <c r="W780" s="4"/>
      <c r="X780" s="4"/>
    </row>
    <row r="781" spans="17:24" x14ac:dyDescent="0.3">
      <c r="Q781" s="4"/>
      <c r="R781" s="4"/>
      <c r="S781" s="4"/>
      <c r="T781" s="4"/>
      <c r="U781" s="4"/>
      <c r="V781" s="4"/>
      <c r="W781" s="4"/>
      <c r="X781" s="4"/>
    </row>
    <row r="782" spans="17:24" x14ac:dyDescent="0.3">
      <c r="Q782" s="4"/>
      <c r="R782" s="4"/>
      <c r="S782" s="4"/>
      <c r="T782" s="4"/>
      <c r="U782" s="4"/>
      <c r="V782" s="4"/>
      <c r="W782" s="4"/>
      <c r="X782" s="4"/>
    </row>
    <row r="783" spans="17:24" x14ac:dyDescent="0.3">
      <c r="Q783" s="4"/>
      <c r="R783" s="4"/>
      <c r="S783" s="4"/>
      <c r="T783" s="4"/>
      <c r="U783" s="4"/>
      <c r="V783" s="4"/>
      <c r="W783" s="4"/>
      <c r="X783" s="4"/>
    </row>
    <row r="784" spans="17:24" x14ac:dyDescent="0.3">
      <c r="Q784" s="4"/>
      <c r="R784" s="4"/>
      <c r="S784" s="4"/>
      <c r="T784" s="4"/>
      <c r="U784" s="4"/>
      <c r="V784" s="4"/>
      <c r="W784" s="4"/>
      <c r="X784" s="4"/>
    </row>
    <row r="785" spans="17:24" x14ac:dyDescent="0.3">
      <c r="Q785" s="4"/>
      <c r="R785" s="4"/>
      <c r="S785" s="4"/>
      <c r="T785" s="4"/>
      <c r="U785" s="4"/>
      <c r="V785" s="4"/>
      <c r="W785" s="4"/>
      <c r="X785" s="4"/>
    </row>
    <row r="786" spans="17:24" x14ac:dyDescent="0.3">
      <c r="Q786" s="4"/>
      <c r="R786" s="4"/>
      <c r="S786" s="4"/>
      <c r="T786" s="4"/>
      <c r="U786" s="4"/>
      <c r="V786" s="4"/>
      <c r="W786" s="4"/>
      <c r="X786" s="4"/>
    </row>
    <row r="787" spans="17:24" x14ac:dyDescent="0.3">
      <c r="Q787" s="4"/>
      <c r="R787" s="4"/>
      <c r="S787" s="4"/>
      <c r="T787" s="4"/>
      <c r="U787" s="4"/>
      <c r="V787" s="4"/>
      <c r="W787" s="4"/>
      <c r="X787" s="4"/>
    </row>
    <row r="788" spans="17:24" x14ac:dyDescent="0.3">
      <c r="Q788" s="4"/>
      <c r="R788" s="4"/>
      <c r="S788" s="4"/>
      <c r="T788" s="4"/>
      <c r="U788" s="4"/>
      <c r="V788" s="4"/>
      <c r="W788" s="4"/>
      <c r="X788" s="4"/>
    </row>
    <row r="789" spans="17:24" x14ac:dyDescent="0.3">
      <c r="Q789" s="4"/>
      <c r="R789" s="4"/>
      <c r="S789" s="4"/>
      <c r="T789" s="4"/>
      <c r="U789" s="4"/>
      <c r="V789" s="4"/>
      <c r="W789" s="4"/>
      <c r="X789" s="4"/>
    </row>
    <row r="790" spans="17:24" x14ac:dyDescent="0.3">
      <c r="Q790" s="4"/>
      <c r="R790" s="4"/>
      <c r="S790" s="4"/>
      <c r="T790" s="4"/>
      <c r="U790" s="4"/>
      <c r="V790" s="4"/>
      <c r="W790" s="4"/>
      <c r="X790" s="4"/>
    </row>
    <row r="791" spans="17:24" x14ac:dyDescent="0.3">
      <c r="Q791" s="4"/>
      <c r="R791" s="4"/>
      <c r="S791" s="4"/>
      <c r="T791" s="4"/>
      <c r="U791" s="4"/>
      <c r="V791" s="4"/>
      <c r="W791" s="4"/>
      <c r="X791" s="4"/>
    </row>
    <row r="792" spans="17:24" x14ac:dyDescent="0.3">
      <c r="Q792" s="4"/>
      <c r="R792" s="4"/>
      <c r="S792" s="4"/>
      <c r="T792" s="4"/>
      <c r="U792" s="4"/>
      <c r="V792" s="4"/>
      <c r="W792" s="4"/>
      <c r="X792" s="4"/>
    </row>
    <row r="793" spans="17:24" x14ac:dyDescent="0.3">
      <c r="Q793" s="4"/>
      <c r="R793" s="4"/>
      <c r="S793" s="4"/>
      <c r="T793" s="4"/>
      <c r="U793" s="4"/>
      <c r="V793" s="4"/>
      <c r="W793" s="4"/>
      <c r="X793" s="4"/>
    </row>
    <row r="794" spans="17:24" x14ac:dyDescent="0.3">
      <c r="Q794" s="4"/>
      <c r="R794" s="4"/>
      <c r="S794" s="4"/>
      <c r="T794" s="4"/>
      <c r="U794" s="4"/>
      <c r="V794" s="4"/>
      <c r="W794" s="4"/>
      <c r="X794" s="4"/>
    </row>
    <row r="795" spans="17:24" x14ac:dyDescent="0.3">
      <c r="Q795" s="4"/>
      <c r="R795" s="4"/>
      <c r="S795" s="4"/>
      <c r="T795" s="4"/>
      <c r="U795" s="4"/>
      <c r="V795" s="4"/>
      <c r="W795" s="4"/>
      <c r="X795" s="4"/>
    </row>
    <row r="796" spans="17:24" x14ac:dyDescent="0.3">
      <c r="Q796" s="4"/>
      <c r="R796" s="4"/>
      <c r="S796" s="4"/>
      <c r="T796" s="4"/>
      <c r="U796" s="4"/>
      <c r="V796" s="4"/>
      <c r="W796" s="4"/>
      <c r="X796" s="4"/>
    </row>
    <row r="797" spans="17:24" x14ac:dyDescent="0.3">
      <c r="Q797" s="4"/>
      <c r="R797" s="4"/>
      <c r="S797" s="4"/>
      <c r="T797" s="4"/>
      <c r="U797" s="4"/>
      <c r="V797" s="4"/>
      <c r="W797" s="4"/>
      <c r="X797" s="4"/>
    </row>
    <row r="798" spans="17:24" x14ac:dyDescent="0.3">
      <c r="Q798" s="4"/>
      <c r="R798" s="4"/>
      <c r="S798" s="4"/>
      <c r="T798" s="4"/>
      <c r="U798" s="4"/>
      <c r="V798" s="4"/>
      <c r="W798" s="4"/>
      <c r="X798" s="4"/>
    </row>
    <row r="799" spans="17:24" x14ac:dyDescent="0.3">
      <c r="Q799" s="4"/>
      <c r="R799" s="4"/>
      <c r="S799" s="4"/>
      <c r="T799" s="4"/>
      <c r="U799" s="4"/>
      <c r="V799" s="4"/>
      <c r="W799" s="4"/>
      <c r="X799" s="4"/>
    </row>
    <row r="800" spans="17:24" x14ac:dyDescent="0.3">
      <c r="Q800" s="4"/>
      <c r="R800" s="4"/>
      <c r="S800" s="4"/>
      <c r="T800" s="4"/>
      <c r="U800" s="4"/>
      <c r="V800" s="4"/>
      <c r="W800" s="4"/>
      <c r="X800" s="4"/>
    </row>
    <row r="801" spans="17:24" x14ac:dyDescent="0.3">
      <c r="Q801" s="4"/>
      <c r="R801" s="4"/>
      <c r="S801" s="4"/>
      <c r="T801" s="4"/>
      <c r="U801" s="4"/>
      <c r="V801" s="4"/>
      <c r="W801" s="4"/>
      <c r="X801" s="4"/>
    </row>
    <row r="802" spans="17:24" x14ac:dyDescent="0.3">
      <c r="Q802" s="4"/>
      <c r="R802" s="4"/>
      <c r="S802" s="4"/>
      <c r="T802" s="4"/>
      <c r="U802" s="4"/>
      <c r="V802" s="4"/>
      <c r="W802" s="4"/>
      <c r="X802" s="4"/>
    </row>
    <row r="803" spans="17:24" x14ac:dyDescent="0.3">
      <c r="Q803" s="4"/>
      <c r="R803" s="4"/>
      <c r="S803" s="4"/>
      <c r="T803" s="4"/>
      <c r="U803" s="4"/>
      <c r="V803" s="4"/>
      <c r="W803" s="4"/>
      <c r="X803" s="4"/>
    </row>
    <row r="804" spans="17:24" x14ac:dyDescent="0.3">
      <c r="Q804" s="4"/>
      <c r="R804" s="4"/>
      <c r="S804" s="4"/>
      <c r="T804" s="4"/>
      <c r="U804" s="4"/>
      <c r="V804" s="4"/>
      <c r="W804" s="4"/>
      <c r="X804" s="4"/>
    </row>
    <row r="805" spans="17:24" x14ac:dyDescent="0.3">
      <c r="Q805" s="4"/>
      <c r="R805" s="4"/>
      <c r="S805" s="4"/>
      <c r="T805" s="4"/>
      <c r="U805" s="4"/>
      <c r="V805" s="4"/>
      <c r="W805" s="4"/>
      <c r="X805" s="4"/>
    </row>
    <row r="806" spans="17:24" x14ac:dyDescent="0.3">
      <c r="Q806" s="4"/>
      <c r="R806" s="4"/>
      <c r="S806" s="4"/>
      <c r="T806" s="4"/>
      <c r="U806" s="4"/>
      <c r="V806" s="4"/>
      <c r="W806" s="4"/>
      <c r="X806" s="4"/>
    </row>
    <row r="807" spans="17:24" x14ac:dyDescent="0.3">
      <c r="Q807" s="4"/>
      <c r="R807" s="4"/>
      <c r="S807" s="4"/>
      <c r="T807" s="4"/>
      <c r="U807" s="4"/>
      <c r="V807" s="4"/>
      <c r="W807" s="4"/>
      <c r="X807" s="4"/>
    </row>
    <row r="808" spans="17:24" x14ac:dyDescent="0.3">
      <c r="Q808" s="4"/>
      <c r="R808" s="4"/>
      <c r="S808" s="4"/>
      <c r="T808" s="4"/>
      <c r="U808" s="4"/>
      <c r="V808" s="4"/>
      <c r="W808" s="4"/>
      <c r="X808" s="4"/>
    </row>
    <row r="809" spans="17:24" x14ac:dyDescent="0.3">
      <c r="Q809" s="4"/>
      <c r="R809" s="4"/>
      <c r="S809" s="4"/>
      <c r="T809" s="4"/>
      <c r="U809" s="4"/>
      <c r="V809" s="4"/>
      <c r="W809" s="4"/>
      <c r="X809" s="4"/>
    </row>
    <row r="810" spans="17:24" x14ac:dyDescent="0.3">
      <c r="Q810" s="4"/>
      <c r="R810" s="4"/>
      <c r="S810" s="4"/>
      <c r="T810" s="4"/>
      <c r="U810" s="4"/>
      <c r="V810" s="4"/>
      <c r="W810" s="4"/>
      <c r="X810" s="4"/>
    </row>
    <row r="811" spans="17:24" x14ac:dyDescent="0.3">
      <c r="Q811" s="4"/>
      <c r="R811" s="4"/>
      <c r="S811" s="4"/>
      <c r="T811" s="4"/>
      <c r="U811" s="4"/>
      <c r="V811" s="4"/>
      <c r="W811" s="4"/>
      <c r="X811" s="4"/>
    </row>
    <row r="812" spans="17:24" x14ac:dyDescent="0.3">
      <c r="Q812" s="4"/>
      <c r="R812" s="4"/>
      <c r="S812" s="4"/>
      <c r="T812" s="4"/>
      <c r="U812" s="4"/>
      <c r="V812" s="4"/>
      <c r="W812" s="4"/>
      <c r="X812" s="4"/>
    </row>
    <row r="813" spans="17:24" x14ac:dyDescent="0.3">
      <c r="Q813" s="4"/>
      <c r="R813" s="4"/>
      <c r="S813" s="4"/>
      <c r="T813" s="4"/>
      <c r="U813" s="4"/>
      <c r="V813" s="4"/>
      <c r="W813" s="4"/>
      <c r="X813" s="4"/>
    </row>
    <row r="814" spans="17:24" x14ac:dyDescent="0.3">
      <c r="Q814" s="4"/>
      <c r="R814" s="4"/>
      <c r="S814" s="4"/>
      <c r="T814" s="4"/>
      <c r="U814" s="4"/>
      <c r="V814" s="4"/>
      <c r="W814" s="4"/>
      <c r="X814" s="4"/>
    </row>
    <row r="815" spans="17:24" x14ac:dyDescent="0.3">
      <c r="Q815" s="4"/>
      <c r="R815" s="4"/>
      <c r="S815" s="4"/>
      <c r="T815" s="4"/>
      <c r="U815" s="4"/>
      <c r="V815" s="4"/>
      <c r="W815" s="4"/>
      <c r="X815" s="4"/>
    </row>
    <row r="816" spans="17:24" x14ac:dyDescent="0.3">
      <c r="Q816" s="4"/>
      <c r="R816" s="4"/>
      <c r="S816" s="4"/>
      <c r="T816" s="4"/>
      <c r="U816" s="4"/>
      <c r="V816" s="4"/>
      <c r="W816" s="4"/>
      <c r="X816" s="4"/>
    </row>
    <row r="817" spans="17:24" x14ac:dyDescent="0.3">
      <c r="Q817" s="4"/>
      <c r="R817" s="4"/>
      <c r="S817" s="4"/>
      <c r="T817" s="4"/>
      <c r="U817" s="4"/>
      <c r="V817" s="4"/>
      <c r="W817" s="4"/>
      <c r="X817" s="4"/>
    </row>
    <row r="818" spans="17:24" x14ac:dyDescent="0.3">
      <c r="Q818" s="4"/>
      <c r="R818" s="4"/>
      <c r="S818" s="4"/>
      <c r="T818" s="4"/>
      <c r="U818" s="4"/>
      <c r="V818" s="4"/>
      <c r="W818" s="4"/>
      <c r="X818" s="4"/>
    </row>
    <row r="819" spans="17:24" x14ac:dyDescent="0.3">
      <c r="Q819" s="4"/>
      <c r="R819" s="4"/>
      <c r="S819" s="4"/>
      <c r="T819" s="4"/>
      <c r="U819" s="4"/>
      <c r="V819" s="4"/>
      <c r="W819" s="4"/>
      <c r="X819" s="4"/>
    </row>
    <row r="820" spans="17:24" x14ac:dyDescent="0.3">
      <c r="Q820" s="4"/>
      <c r="R820" s="4"/>
      <c r="S820" s="4"/>
      <c r="T820" s="4"/>
      <c r="U820" s="4"/>
      <c r="V820" s="4"/>
      <c r="W820" s="4"/>
      <c r="X820" s="4"/>
    </row>
    <row r="821" spans="17:24" x14ac:dyDescent="0.3">
      <c r="Q821" s="4"/>
      <c r="R821" s="4"/>
      <c r="S821" s="4"/>
      <c r="T821" s="4"/>
      <c r="U821" s="4"/>
      <c r="V821" s="4"/>
      <c r="W821" s="4"/>
      <c r="X821" s="4"/>
    </row>
    <row r="822" spans="17:24" x14ac:dyDescent="0.3">
      <c r="Q822" s="4"/>
      <c r="R822" s="4"/>
      <c r="S822" s="4"/>
      <c r="T822" s="4"/>
      <c r="U822" s="4"/>
      <c r="V822" s="4"/>
      <c r="W822" s="4"/>
      <c r="X822" s="4"/>
    </row>
    <row r="823" spans="17:24" x14ac:dyDescent="0.3">
      <c r="Q823" s="4"/>
      <c r="R823" s="4"/>
      <c r="S823" s="4"/>
      <c r="T823" s="4"/>
      <c r="U823" s="4"/>
      <c r="V823" s="4"/>
      <c r="W823" s="4"/>
      <c r="X823" s="4"/>
    </row>
    <row r="824" spans="17:24" x14ac:dyDescent="0.3">
      <c r="Q824" s="4"/>
      <c r="R824" s="4"/>
      <c r="S824" s="4"/>
      <c r="T824" s="4"/>
      <c r="U824" s="4"/>
      <c r="V824" s="4"/>
      <c r="W824" s="4"/>
      <c r="X824" s="4"/>
    </row>
    <row r="825" spans="17:24" x14ac:dyDescent="0.3">
      <c r="Q825" s="4"/>
      <c r="R825" s="4"/>
      <c r="S825" s="4"/>
      <c r="T825" s="4"/>
      <c r="U825" s="4"/>
      <c r="V825" s="4"/>
      <c r="W825" s="4"/>
      <c r="X825" s="4"/>
    </row>
    <row r="826" spans="17:24" x14ac:dyDescent="0.3">
      <c r="Q826" s="4"/>
      <c r="R826" s="4"/>
      <c r="S826" s="4"/>
      <c r="T826" s="4"/>
      <c r="U826" s="4"/>
      <c r="V826" s="4"/>
      <c r="W826" s="4"/>
      <c r="X826" s="4"/>
    </row>
    <row r="827" spans="17:24" x14ac:dyDescent="0.3">
      <c r="Q827" s="4"/>
      <c r="R827" s="4"/>
      <c r="S827" s="4"/>
      <c r="T827" s="4"/>
      <c r="U827" s="4"/>
      <c r="V827" s="4"/>
      <c r="W827" s="4"/>
      <c r="X827" s="4"/>
    </row>
    <row r="828" spans="17:24" x14ac:dyDescent="0.3">
      <c r="Q828" s="4"/>
      <c r="R828" s="4"/>
      <c r="S828" s="4"/>
      <c r="T828" s="4"/>
      <c r="U828" s="4"/>
      <c r="V828" s="4"/>
      <c r="W828" s="4"/>
      <c r="X828" s="4"/>
    </row>
    <row r="829" spans="17:24" x14ac:dyDescent="0.3">
      <c r="Q829" s="4"/>
      <c r="R829" s="4"/>
      <c r="S829" s="4"/>
      <c r="T829" s="4"/>
      <c r="U829" s="4"/>
      <c r="V829" s="4"/>
      <c r="W829" s="4"/>
      <c r="X829" s="4"/>
    </row>
    <row r="830" spans="17:24" x14ac:dyDescent="0.3">
      <c r="Q830" s="4"/>
      <c r="R830" s="4"/>
      <c r="S830" s="4"/>
      <c r="T830" s="4"/>
      <c r="U830" s="4"/>
      <c r="V830" s="4"/>
      <c r="W830" s="4"/>
      <c r="X830" s="4"/>
    </row>
    <row r="831" spans="17:24" x14ac:dyDescent="0.3">
      <c r="Q831" s="4"/>
      <c r="R831" s="4"/>
      <c r="S831" s="4"/>
      <c r="T831" s="4"/>
      <c r="U831" s="4"/>
      <c r="V831" s="4"/>
      <c r="W831" s="4"/>
      <c r="X831" s="4"/>
    </row>
    <row r="832" spans="17:24" x14ac:dyDescent="0.3">
      <c r="Q832" s="4"/>
      <c r="R832" s="4"/>
      <c r="S832" s="4"/>
      <c r="T832" s="4"/>
      <c r="U832" s="4"/>
      <c r="V832" s="4"/>
      <c r="W832" s="4"/>
      <c r="X832" s="4"/>
    </row>
    <row r="833" spans="17:24" x14ac:dyDescent="0.3">
      <c r="Q833" s="4"/>
      <c r="R833" s="4"/>
      <c r="S833" s="4"/>
      <c r="T833" s="4"/>
      <c r="U833" s="4"/>
      <c r="V833" s="4"/>
      <c r="W833" s="4"/>
      <c r="X833" s="4"/>
    </row>
    <row r="834" spans="17:24" x14ac:dyDescent="0.3">
      <c r="Q834" s="4"/>
      <c r="R834" s="4"/>
      <c r="S834" s="4"/>
      <c r="T834" s="4"/>
      <c r="U834" s="4"/>
      <c r="V834" s="4"/>
      <c r="W834" s="4"/>
      <c r="X834" s="4"/>
    </row>
    <row r="835" spans="17:24" x14ac:dyDescent="0.3">
      <c r="Q835" s="4"/>
      <c r="R835" s="4"/>
      <c r="S835" s="4"/>
      <c r="T835" s="4"/>
      <c r="U835" s="4"/>
      <c r="V835" s="4"/>
      <c r="W835" s="4"/>
      <c r="X835" s="4"/>
    </row>
    <row r="836" spans="17:24" x14ac:dyDescent="0.3">
      <c r="Q836" s="4"/>
      <c r="R836" s="4"/>
      <c r="S836" s="4"/>
      <c r="T836" s="4"/>
      <c r="U836" s="4"/>
      <c r="V836" s="4"/>
      <c r="W836" s="4"/>
      <c r="X836" s="4"/>
    </row>
    <row r="837" spans="17:24" x14ac:dyDescent="0.3">
      <c r="Q837" s="4"/>
      <c r="R837" s="4"/>
      <c r="S837" s="4"/>
      <c r="T837" s="4"/>
      <c r="U837" s="4"/>
      <c r="V837" s="4"/>
      <c r="W837" s="4"/>
      <c r="X837" s="4"/>
    </row>
    <row r="838" spans="17:24" x14ac:dyDescent="0.3">
      <c r="Q838" s="4"/>
      <c r="R838" s="4"/>
      <c r="S838" s="4"/>
      <c r="T838" s="4"/>
      <c r="U838" s="4"/>
      <c r="V838" s="4"/>
      <c r="W838" s="4"/>
      <c r="X838" s="4"/>
    </row>
    <row r="839" spans="17:24" x14ac:dyDescent="0.3">
      <c r="Q839" s="4"/>
      <c r="R839" s="4"/>
      <c r="S839" s="4"/>
      <c r="T839" s="4"/>
      <c r="U839" s="4"/>
      <c r="V839" s="4"/>
      <c r="W839" s="4"/>
      <c r="X839" s="4"/>
    </row>
    <row r="840" spans="17:24" x14ac:dyDescent="0.3">
      <c r="Q840" s="4"/>
      <c r="R840" s="4"/>
      <c r="S840" s="4"/>
      <c r="T840" s="4"/>
      <c r="U840" s="4"/>
      <c r="V840" s="4"/>
      <c r="W840" s="4"/>
      <c r="X840" s="4"/>
    </row>
    <row r="841" spans="17:24" x14ac:dyDescent="0.3">
      <c r="Q841" s="4"/>
      <c r="R841" s="4"/>
      <c r="S841" s="4"/>
      <c r="T841" s="4"/>
      <c r="U841" s="4"/>
      <c r="V841" s="4"/>
      <c r="W841" s="4"/>
      <c r="X841" s="4"/>
    </row>
    <row r="842" spans="17:24" x14ac:dyDescent="0.3">
      <c r="Q842" s="4"/>
      <c r="R842" s="4"/>
      <c r="S842" s="4"/>
      <c r="T842" s="4"/>
      <c r="U842" s="4"/>
      <c r="V842" s="4"/>
      <c r="W842" s="4"/>
      <c r="X842" s="4"/>
    </row>
    <row r="843" spans="17:24" x14ac:dyDescent="0.3">
      <c r="Q843" s="4"/>
      <c r="R843" s="4"/>
      <c r="S843" s="4"/>
      <c r="T843" s="4"/>
      <c r="U843" s="4"/>
      <c r="V843" s="4"/>
      <c r="W843" s="4"/>
      <c r="X843" s="4"/>
    </row>
    <row r="844" spans="17:24" x14ac:dyDescent="0.3">
      <c r="Q844" s="4"/>
      <c r="R844" s="4"/>
      <c r="S844" s="4"/>
      <c r="T844" s="4"/>
      <c r="U844" s="4"/>
      <c r="V844" s="4"/>
      <c r="W844" s="4"/>
      <c r="X844" s="4"/>
    </row>
    <row r="845" spans="17:24" x14ac:dyDescent="0.3">
      <c r="Q845" s="4"/>
      <c r="R845" s="4"/>
      <c r="S845" s="4"/>
      <c r="T845" s="4"/>
      <c r="U845" s="4"/>
      <c r="V845" s="4"/>
      <c r="W845" s="4"/>
      <c r="X845" s="4"/>
    </row>
    <row r="846" spans="17:24" x14ac:dyDescent="0.3">
      <c r="Q846" s="4"/>
      <c r="R846" s="4"/>
      <c r="S846" s="4"/>
      <c r="T846" s="4"/>
      <c r="U846" s="4"/>
      <c r="V846" s="4"/>
      <c r="W846" s="4"/>
      <c r="X846" s="4"/>
    </row>
    <row r="847" spans="17:24" x14ac:dyDescent="0.3">
      <c r="Q847" s="4"/>
      <c r="R847" s="4"/>
      <c r="S847" s="4"/>
      <c r="T847" s="4"/>
      <c r="U847" s="4"/>
      <c r="V847" s="4"/>
      <c r="W847" s="4"/>
      <c r="X847" s="4"/>
    </row>
    <row r="848" spans="17:24" x14ac:dyDescent="0.3">
      <c r="Q848" s="4"/>
      <c r="R848" s="4"/>
      <c r="S848" s="4"/>
      <c r="T848" s="4"/>
      <c r="U848" s="4"/>
      <c r="V848" s="4"/>
      <c r="W848" s="4"/>
      <c r="X848" s="4"/>
    </row>
    <row r="849" spans="17:24" x14ac:dyDescent="0.3">
      <c r="Q849" s="4"/>
      <c r="R849" s="4"/>
      <c r="S849" s="4"/>
      <c r="T849" s="4"/>
      <c r="U849" s="4"/>
      <c r="V849" s="4"/>
      <c r="W849" s="4"/>
      <c r="X849" s="4"/>
    </row>
    <row r="850" spans="17:24" x14ac:dyDescent="0.3">
      <c r="Q850" s="4"/>
      <c r="R850" s="4"/>
      <c r="S850" s="4"/>
      <c r="T850" s="4"/>
      <c r="U850" s="4"/>
      <c r="V850" s="4"/>
      <c r="W850" s="4"/>
      <c r="X850" s="4"/>
    </row>
    <row r="851" spans="17:24" x14ac:dyDescent="0.3">
      <c r="Q851" s="4"/>
      <c r="R851" s="4"/>
      <c r="S851" s="4"/>
      <c r="T851" s="4"/>
      <c r="U851" s="4"/>
      <c r="V851" s="4"/>
      <c r="W851" s="4"/>
      <c r="X851" s="4"/>
    </row>
    <row r="852" spans="17:24" x14ac:dyDescent="0.3">
      <c r="Q852" s="4"/>
      <c r="R852" s="4"/>
      <c r="S852" s="4"/>
      <c r="T852" s="4"/>
      <c r="U852" s="4"/>
      <c r="V852" s="4"/>
      <c r="W852" s="4"/>
      <c r="X852" s="4"/>
    </row>
    <row r="853" spans="17:24" x14ac:dyDescent="0.3">
      <c r="Q853" s="4"/>
      <c r="R853" s="4"/>
      <c r="S853" s="4"/>
      <c r="T853" s="4"/>
      <c r="U853" s="4"/>
      <c r="V853" s="4"/>
      <c r="W853" s="4"/>
      <c r="X853" s="4"/>
    </row>
    <row r="854" spans="17:24" x14ac:dyDescent="0.3">
      <c r="Q854" s="4"/>
      <c r="R854" s="4"/>
      <c r="S854" s="4"/>
      <c r="T854" s="4"/>
      <c r="U854" s="4"/>
      <c r="V854" s="4"/>
      <c r="W854" s="4"/>
      <c r="X854" s="4"/>
    </row>
    <row r="855" spans="17:24" x14ac:dyDescent="0.3">
      <c r="Q855" s="4"/>
      <c r="R855" s="4"/>
      <c r="S855" s="4"/>
      <c r="T855" s="4"/>
      <c r="U855" s="4"/>
      <c r="V855" s="4"/>
      <c r="W855" s="4"/>
      <c r="X855" s="4"/>
    </row>
    <row r="856" spans="17:24" x14ac:dyDescent="0.3">
      <c r="Q856" s="4"/>
      <c r="R856" s="4"/>
      <c r="S856" s="4"/>
      <c r="T856" s="4"/>
      <c r="U856" s="4"/>
      <c r="V856" s="4"/>
      <c r="W856" s="4"/>
      <c r="X856" s="4"/>
    </row>
    <row r="857" spans="17:24" x14ac:dyDescent="0.3">
      <c r="Q857" s="4"/>
      <c r="R857" s="4"/>
      <c r="S857" s="4"/>
      <c r="T857" s="4"/>
      <c r="U857" s="4"/>
      <c r="V857" s="4"/>
      <c r="W857" s="4"/>
      <c r="X857" s="4"/>
    </row>
    <row r="858" spans="17:24" x14ac:dyDescent="0.3">
      <c r="Q858" s="4"/>
      <c r="R858" s="4"/>
      <c r="S858" s="4"/>
      <c r="T858" s="4"/>
      <c r="U858" s="4"/>
      <c r="V858" s="4"/>
      <c r="W858" s="4"/>
      <c r="X858" s="4"/>
    </row>
    <row r="859" spans="17:24" x14ac:dyDescent="0.3">
      <c r="Q859" s="4"/>
      <c r="R859" s="4"/>
      <c r="S859" s="4"/>
      <c r="T859" s="4"/>
      <c r="U859" s="4"/>
      <c r="V859" s="4"/>
      <c r="W859" s="4"/>
      <c r="X859" s="4"/>
    </row>
    <row r="860" spans="17:24" x14ac:dyDescent="0.3">
      <c r="Q860" s="4"/>
      <c r="R860" s="4"/>
      <c r="S860" s="4"/>
      <c r="T860" s="4"/>
      <c r="U860" s="4"/>
      <c r="V860" s="4"/>
      <c r="W860" s="4"/>
      <c r="X860" s="4"/>
    </row>
    <row r="861" spans="17:24" x14ac:dyDescent="0.3">
      <c r="Q861" s="4"/>
      <c r="R861" s="4"/>
      <c r="S861" s="4"/>
      <c r="T861" s="4"/>
      <c r="U861" s="4"/>
      <c r="V861" s="4"/>
      <c r="W861" s="4"/>
      <c r="X861" s="4"/>
    </row>
    <row r="862" spans="17:24" x14ac:dyDescent="0.3">
      <c r="Q862" s="4"/>
      <c r="R862" s="4"/>
      <c r="S862" s="4"/>
      <c r="T862" s="4"/>
      <c r="U862" s="4"/>
      <c r="V862" s="4"/>
      <c r="W862" s="4"/>
      <c r="X862" s="4"/>
    </row>
    <row r="863" spans="17:24" x14ac:dyDescent="0.3">
      <c r="Q863" s="4"/>
      <c r="R863" s="4"/>
      <c r="S863" s="4"/>
      <c r="T863" s="4"/>
      <c r="U863" s="4"/>
      <c r="V863" s="4"/>
      <c r="W863" s="4"/>
      <c r="X863" s="4"/>
    </row>
    <row r="864" spans="17:24" x14ac:dyDescent="0.3">
      <c r="Q864" s="4"/>
      <c r="R864" s="4"/>
      <c r="S864" s="4"/>
      <c r="T864" s="4"/>
      <c r="U864" s="4"/>
      <c r="V864" s="4"/>
      <c r="W864" s="4"/>
      <c r="X864" s="4"/>
    </row>
    <row r="865" spans="17:24" x14ac:dyDescent="0.3">
      <c r="Q865" s="4"/>
      <c r="R865" s="4"/>
      <c r="S865" s="4"/>
      <c r="T865" s="4"/>
      <c r="U865" s="4"/>
      <c r="V865" s="4"/>
      <c r="W865" s="4"/>
      <c r="X865" s="4"/>
    </row>
    <row r="866" spans="17:24" x14ac:dyDescent="0.3">
      <c r="Q866" s="4"/>
      <c r="R866" s="4"/>
      <c r="S866" s="4"/>
      <c r="T866" s="4"/>
      <c r="U866" s="4"/>
      <c r="V866" s="4"/>
      <c r="W866" s="4"/>
      <c r="X866" s="4"/>
    </row>
    <row r="867" spans="17:24" x14ac:dyDescent="0.3">
      <c r="Q867" s="4"/>
      <c r="R867" s="4"/>
      <c r="S867" s="4"/>
      <c r="T867" s="4"/>
      <c r="U867" s="4"/>
      <c r="V867" s="4"/>
      <c r="W867" s="4"/>
      <c r="X867" s="4"/>
    </row>
    <row r="868" spans="17:24" x14ac:dyDescent="0.3">
      <c r="Q868" s="4"/>
      <c r="R868" s="4"/>
      <c r="S868" s="4"/>
      <c r="T868" s="4"/>
      <c r="U868" s="4"/>
      <c r="V868" s="4"/>
      <c r="W868" s="4"/>
      <c r="X868" s="4"/>
    </row>
    <row r="869" spans="17:24" x14ac:dyDescent="0.3">
      <c r="Q869" s="4"/>
      <c r="R869" s="4"/>
      <c r="S869" s="4"/>
      <c r="T869" s="4"/>
      <c r="U869" s="4"/>
      <c r="V869" s="4"/>
      <c r="W869" s="4"/>
      <c r="X869" s="4"/>
    </row>
    <row r="870" spans="17:24" x14ac:dyDescent="0.3">
      <c r="Q870" s="4"/>
      <c r="R870" s="4"/>
      <c r="S870" s="4"/>
      <c r="T870" s="4"/>
      <c r="U870" s="4"/>
      <c r="V870" s="4"/>
      <c r="W870" s="4"/>
      <c r="X870" s="4"/>
    </row>
    <row r="871" spans="17:24" x14ac:dyDescent="0.3">
      <c r="Q871" s="4"/>
      <c r="R871" s="4"/>
      <c r="S871" s="4"/>
      <c r="T871" s="4"/>
      <c r="U871" s="4"/>
      <c r="V871" s="4"/>
      <c r="W871" s="4"/>
      <c r="X871" s="4"/>
    </row>
    <row r="872" spans="17:24" x14ac:dyDescent="0.3">
      <c r="Q872" s="4"/>
      <c r="R872" s="4"/>
      <c r="S872" s="4"/>
      <c r="T872" s="4"/>
      <c r="U872" s="4"/>
      <c r="V872" s="4"/>
      <c r="W872" s="4"/>
      <c r="X872" s="4"/>
    </row>
    <row r="873" spans="17:24" x14ac:dyDescent="0.3">
      <c r="Q873" s="4"/>
      <c r="R873" s="4"/>
      <c r="S873" s="4"/>
      <c r="T873" s="4"/>
      <c r="U873" s="4"/>
      <c r="V873" s="4"/>
      <c r="W873" s="4"/>
      <c r="X873" s="4"/>
    </row>
    <row r="874" spans="17:24" x14ac:dyDescent="0.3">
      <c r="Q874" s="4"/>
      <c r="R874" s="4"/>
      <c r="S874" s="4"/>
      <c r="T874" s="4"/>
      <c r="U874" s="4"/>
      <c r="V874" s="4"/>
      <c r="W874" s="4"/>
      <c r="X874" s="4"/>
    </row>
    <row r="875" spans="17:24" x14ac:dyDescent="0.3">
      <c r="Q875" s="4"/>
      <c r="R875" s="4"/>
      <c r="S875" s="4"/>
      <c r="T875" s="4"/>
      <c r="U875" s="4"/>
      <c r="V875" s="4"/>
      <c r="W875" s="4"/>
      <c r="X875" s="4"/>
    </row>
    <row r="876" spans="17:24" x14ac:dyDescent="0.3">
      <c r="Q876" s="4"/>
      <c r="R876" s="4"/>
      <c r="S876" s="4"/>
      <c r="T876" s="4"/>
      <c r="U876" s="4"/>
      <c r="V876" s="4"/>
      <c r="W876" s="4"/>
      <c r="X876" s="4"/>
    </row>
    <row r="877" spans="17:24" x14ac:dyDescent="0.3">
      <c r="Q877" s="4"/>
      <c r="R877" s="4"/>
      <c r="S877" s="4"/>
      <c r="T877" s="4"/>
      <c r="U877" s="4"/>
      <c r="V877" s="4"/>
      <c r="W877" s="4"/>
      <c r="X877" s="4"/>
    </row>
    <row r="878" spans="17:24" x14ac:dyDescent="0.3">
      <c r="Q878" s="4"/>
      <c r="R878" s="4"/>
      <c r="S878" s="4"/>
      <c r="T878" s="4"/>
      <c r="U878" s="4"/>
      <c r="V878" s="4"/>
      <c r="W878" s="4"/>
      <c r="X878" s="4"/>
    </row>
    <row r="879" spans="17:24" x14ac:dyDescent="0.3">
      <c r="Q879" s="4"/>
      <c r="R879" s="4"/>
      <c r="S879" s="4"/>
      <c r="T879" s="4"/>
      <c r="U879" s="4"/>
      <c r="V879" s="4"/>
      <c r="W879" s="4"/>
      <c r="X879" s="4"/>
    </row>
    <row r="880" spans="17:24" x14ac:dyDescent="0.3">
      <c r="Q880" s="4"/>
      <c r="R880" s="4"/>
      <c r="S880" s="4"/>
      <c r="T880" s="4"/>
      <c r="U880" s="4"/>
      <c r="V880" s="4"/>
      <c r="W880" s="4"/>
      <c r="X880" s="4"/>
    </row>
    <row r="881" spans="17:24" x14ac:dyDescent="0.3">
      <c r="Q881" s="4"/>
      <c r="R881" s="4"/>
      <c r="S881" s="4"/>
      <c r="T881" s="4"/>
      <c r="U881" s="4"/>
      <c r="V881" s="4"/>
      <c r="W881" s="4"/>
      <c r="X881" s="4"/>
    </row>
    <row r="882" spans="17:24" x14ac:dyDescent="0.3">
      <c r="Q882" s="4"/>
      <c r="R882" s="4"/>
      <c r="S882" s="4"/>
      <c r="T882" s="4"/>
      <c r="U882" s="4"/>
      <c r="V882" s="4"/>
      <c r="W882" s="4"/>
      <c r="X882" s="4"/>
    </row>
    <row r="883" spans="17:24" x14ac:dyDescent="0.3">
      <c r="Q883" s="4"/>
      <c r="R883" s="4"/>
      <c r="S883" s="4"/>
      <c r="T883" s="4"/>
      <c r="U883" s="4"/>
      <c r="V883" s="4"/>
      <c r="W883" s="4"/>
      <c r="X883" s="4"/>
    </row>
    <row r="884" spans="17:24" x14ac:dyDescent="0.3">
      <c r="Q884" s="4"/>
      <c r="R884" s="4"/>
      <c r="S884" s="4"/>
      <c r="T884" s="4"/>
      <c r="U884" s="4"/>
      <c r="V884" s="4"/>
      <c r="W884" s="4"/>
      <c r="X884" s="4"/>
    </row>
    <row r="885" spans="17:24" x14ac:dyDescent="0.3">
      <c r="Q885" s="4"/>
      <c r="R885" s="4"/>
      <c r="S885" s="4"/>
      <c r="T885" s="4"/>
      <c r="U885" s="4"/>
      <c r="V885" s="4"/>
      <c r="W885" s="4"/>
      <c r="X885" s="4"/>
    </row>
    <row r="886" spans="17:24" x14ac:dyDescent="0.3">
      <c r="Q886" s="4"/>
      <c r="R886" s="4"/>
      <c r="S886" s="4"/>
      <c r="T886" s="4"/>
      <c r="U886" s="4"/>
      <c r="V886" s="4"/>
      <c r="W886" s="4"/>
      <c r="X886" s="4"/>
    </row>
    <row r="887" spans="17:24" x14ac:dyDescent="0.3">
      <c r="Q887" s="4"/>
      <c r="R887" s="4"/>
      <c r="S887" s="4"/>
      <c r="T887" s="4"/>
      <c r="U887" s="4"/>
      <c r="V887" s="4"/>
      <c r="W887" s="4"/>
      <c r="X887" s="4"/>
    </row>
    <row r="888" spans="17:24" x14ac:dyDescent="0.3">
      <c r="Q888" s="4"/>
      <c r="R888" s="4"/>
      <c r="S888" s="4"/>
      <c r="T888" s="4"/>
      <c r="U888" s="4"/>
      <c r="V888" s="4"/>
      <c r="W888" s="4"/>
      <c r="X888" s="4"/>
    </row>
    <row r="889" spans="17:24" x14ac:dyDescent="0.3">
      <c r="Q889" s="4"/>
      <c r="R889" s="4"/>
      <c r="S889" s="4"/>
      <c r="T889" s="4"/>
      <c r="U889" s="4"/>
      <c r="V889" s="4"/>
      <c r="W889" s="4"/>
      <c r="X889" s="4"/>
    </row>
    <row r="890" spans="17:24" x14ac:dyDescent="0.3">
      <c r="Q890" s="4"/>
      <c r="R890" s="4"/>
      <c r="S890" s="4"/>
      <c r="T890" s="4"/>
      <c r="U890" s="4"/>
      <c r="V890" s="4"/>
      <c r="W890" s="4"/>
      <c r="X890" s="4"/>
    </row>
    <row r="891" spans="17:24" x14ac:dyDescent="0.3">
      <c r="Q891" s="4"/>
      <c r="R891" s="4"/>
      <c r="S891" s="4"/>
      <c r="T891" s="4"/>
      <c r="U891" s="4"/>
      <c r="V891" s="4"/>
      <c r="W891" s="4"/>
      <c r="X891" s="4"/>
    </row>
    <row r="892" spans="17:24" x14ac:dyDescent="0.3">
      <c r="Q892" s="4"/>
      <c r="R892" s="4"/>
      <c r="S892" s="4"/>
      <c r="T892" s="4"/>
      <c r="U892" s="4"/>
      <c r="V892" s="4"/>
      <c r="W892" s="4"/>
      <c r="X892" s="4"/>
    </row>
    <row r="893" spans="17:24" x14ac:dyDescent="0.3">
      <c r="Q893" s="4"/>
      <c r="R893" s="4"/>
      <c r="S893" s="4"/>
      <c r="T893" s="4"/>
      <c r="U893" s="4"/>
      <c r="V893" s="4"/>
      <c r="W893" s="4"/>
      <c r="X893" s="4"/>
    </row>
    <row r="894" spans="17:24" x14ac:dyDescent="0.3">
      <c r="Q894" s="4"/>
      <c r="R894" s="4"/>
      <c r="S894" s="4"/>
      <c r="T894" s="4"/>
      <c r="U894" s="4"/>
      <c r="V894" s="4"/>
      <c r="W894" s="4"/>
      <c r="X894" s="4"/>
    </row>
    <row r="895" spans="17:24" x14ac:dyDescent="0.3">
      <c r="Q895" s="4"/>
      <c r="R895" s="4"/>
      <c r="S895" s="4"/>
      <c r="T895" s="4"/>
      <c r="U895" s="4"/>
      <c r="V895" s="4"/>
      <c r="W895" s="4"/>
      <c r="X895" s="4"/>
    </row>
    <row r="896" spans="17:24" x14ac:dyDescent="0.3">
      <c r="Q896" s="4"/>
      <c r="R896" s="4"/>
      <c r="S896" s="4"/>
      <c r="T896" s="4"/>
      <c r="U896" s="4"/>
      <c r="V896" s="4"/>
      <c r="W896" s="4"/>
      <c r="X896" s="4"/>
    </row>
    <row r="897" spans="17:24" x14ac:dyDescent="0.3">
      <c r="Q897" s="4"/>
      <c r="R897" s="4"/>
      <c r="S897" s="4"/>
      <c r="T897" s="4"/>
      <c r="U897" s="4"/>
      <c r="V897" s="4"/>
      <c r="W897" s="4"/>
      <c r="X897" s="4"/>
    </row>
    <row r="898" spans="17:24" x14ac:dyDescent="0.3">
      <c r="Q898" s="4"/>
      <c r="R898" s="4"/>
      <c r="S898" s="4"/>
      <c r="T898" s="4"/>
      <c r="U898" s="4"/>
      <c r="V898" s="4"/>
      <c r="W898" s="4"/>
      <c r="X898" s="4"/>
    </row>
    <row r="899" spans="17:24" x14ac:dyDescent="0.3">
      <c r="Q899" s="4"/>
      <c r="R899" s="4"/>
      <c r="S899" s="4"/>
      <c r="T899" s="4"/>
      <c r="U899" s="4"/>
      <c r="V899" s="4"/>
      <c r="W899" s="4"/>
      <c r="X899" s="4"/>
    </row>
    <row r="900" spans="17:24" x14ac:dyDescent="0.3">
      <c r="Q900" s="4"/>
      <c r="R900" s="4"/>
      <c r="S900" s="4"/>
      <c r="T900" s="4"/>
      <c r="U900" s="4"/>
      <c r="V900" s="4"/>
      <c r="W900" s="4"/>
      <c r="X900" s="4"/>
    </row>
    <row r="901" spans="17:24" x14ac:dyDescent="0.3">
      <c r="Q901" s="4"/>
      <c r="R901" s="4"/>
      <c r="S901" s="4"/>
      <c r="T901" s="4"/>
      <c r="U901" s="4"/>
      <c r="V901" s="4"/>
      <c r="W901" s="4"/>
      <c r="X901" s="4"/>
    </row>
    <row r="902" spans="17:24" x14ac:dyDescent="0.3">
      <c r="Q902" s="4"/>
      <c r="R902" s="4"/>
      <c r="S902" s="4"/>
      <c r="T902" s="4"/>
      <c r="U902" s="4"/>
      <c r="V902" s="4"/>
      <c r="W902" s="4"/>
      <c r="X902" s="4"/>
    </row>
    <row r="903" spans="17:24" x14ac:dyDescent="0.3">
      <c r="Q903" s="4"/>
      <c r="R903" s="4"/>
      <c r="S903" s="4"/>
      <c r="T903" s="4"/>
      <c r="U903" s="4"/>
      <c r="V903" s="4"/>
      <c r="W903" s="4"/>
      <c r="X903" s="4"/>
    </row>
    <row r="904" spans="17:24" x14ac:dyDescent="0.3">
      <c r="Q904" s="4"/>
      <c r="R904" s="4"/>
      <c r="S904" s="4"/>
      <c r="T904" s="4"/>
      <c r="U904" s="4"/>
      <c r="V904" s="4"/>
      <c r="W904" s="4"/>
      <c r="X904" s="4"/>
    </row>
    <row r="905" spans="17:24" x14ac:dyDescent="0.3">
      <c r="Q905" s="4"/>
      <c r="R905" s="4"/>
      <c r="S905" s="4"/>
      <c r="T905" s="4"/>
      <c r="U905" s="4"/>
      <c r="V905" s="4"/>
      <c r="W905" s="4"/>
      <c r="X905" s="4"/>
    </row>
    <row r="906" spans="17:24" x14ac:dyDescent="0.3">
      <c r="Q906" s="4"/>
      <c r="R906" s="4"/>
      <c r="S906" s="4"/>
      <c r="T906" s="4"/>
      <c r="U906" s="4"/>
      <c r="V906" s="4"/>
      <c r="W906" s="4"/>
      <c r="X906" s="4"/>
    </row>
    <row r="907" spans="17:24" x14ac:dyDescent="0.3">
      <c r="Q907" s="4"/>
      <c r="R907" s="4"/>
      <c r="S907" s="4"/>
      <c r="T907" s="4"/>
      <c r="U907" s="4"/>
      <c r="V907" s="4"/>
      <c r="W907" s="4"/>
      <c r="X907" s="4"/>
    </row>
    <row r="908" spans="17:24" x14ac:dyDescent="0.3">
      <c r="Q908" s="4"/>
      <c r="R908" s="4"/>
      <c r="S908" s="4"/>
      <c r="T908" s="4"/>
      <c r="U908" s="4"/>
      <c r="V908" s="4"/>
      <c r="W908" s="4"/>
      <c r="X908" s="4"/>
    </row>
    <row r="909" spans="17:24" x14ac:dyDescent="0.3">
      <c r="Q909" s="4"/>
      <c r="R909" s="4"/>
      <c r="S909" s="4"/>
      <c r="T909" s="4"/>
      <c r="U909" s="4"/>
      <c r="V909" s="4"/>
      <c r="W909" s="4"/>
      <c r="X909" s="4"/>
    </row>
    <row r="910" spans="17:24" x14ac:dyDescent="0.3">
      <c r="Q910" s="4"/>
      <c r="R910" s="4"/>
      <c r="S910" s="4"/>
      <c r="T910" s="4"/>
      <c r="U910" s="4"/>
      <c r="V910" s="4"/>
      <c r="W910" s="4"/>
      <c r="X910" s="4"/>
    </row>
    <row r="911" spans="17:24" x14ac:dyDescent="0.3">
      <c r="Q911" s="4"/>
      <c r="R911" s="4"/>
      <c r="S911" s="4"/>
      <c r="T911" s="4"/>
      <c r="U911" s="4"/>
      <c r="V911" s="4"/>
      <c r="W911" s="4"/>
      <c r="X911" s="4"/>
    </row>
    <row r="912" spans="17:24" x14ac:dyDescent="0.3">
      <c r="Q912" s="4"/>
      <c r="R912" s="4"/>
      <c r="S912" s="4"/>
      <c r="T912" s="4"/>
      <c r="U912" s="4"/>
      <c r="V912" s="4"/>
      <c r="W912" s="4"/>
      <c r="X912" s="4"/>
    </row>
    <row r="913" spans="17:24" x14ac:dyDescent="0.3">
      <c r="Q913" s="4"/>
      <c r="R913" s="4"/>
      <c r="S913" s="4"/>
      <c r="T913" s="4"/>
      <c r="U913" s="4"/>
      <c r="V913" s="4"/>
      <c r="W913" s="4"/>
      <c r="X913" s="4"/>
    </row>
    <row r="914" spans="17:24" x14ac:dyDescent="0.3">
      <c r="Q914" s="4"/>
      <c r="R914" s="4"/>
      <c r="S914" s="4"/>
      <c r="T914" s="4"/>
      <c r="U914" s="4"/>
      <c r="V914" s="4"/>
      <c r="W914" s="4"/>
      <c r="X914" s="4"/>
    </row>
    <row r="915" spans="17:24" x14ac:dyDescent="0.3">
      <c r="Q915" s="4"/>
      <c r="R915" s="4"/>
      <c r="S915" s="4"/>
      <c r="T915" s="4"/>
      <c r="U915" s="4"/>
      <c r="V915" s="4"/>
      <c r="W915" s="4"/>
      <c r="X915" s="4"/>
    </row>
    <row r="916" spans="17:24" x14ac:dyDescent="0.3">
      <c r="Q916" s="4"/>
      <c r="R916" s="4"/>
      <c r="S916" s="4"/>
      <c r="T916" s="4"/>
      <c r="U916" s="4"/>
      <c r="V916" s="4"/>
      <c r="W916" s="4"/>
      <c r="X916" s="4"/>
    </row>
    <row r="917" spans="17:24" x14ac:dyDescent="0.3">
      <c r="Q917" s="4"/>
      <c r="R917" s="4"/>
      <c r="S917" s="4"/>
      <c r="T917" s="4"/>
      <c r="U917" s="4"/>
      <c r="V917" s="4"/>
      <c r="W917" s="4"/>
      <c r="X917" s="4"/>
    </row>
    <row r="918" spans="17:24" x14ac:dyDescent="0.3">
      <c r="Q918" s="4"/>
      <c r="R918" s="4"/>
      <c r="S918" s="4"/>
      <c r="T918" s="4"/>
      <c r="U918" s="4"/>
      <c r="V918" s="4"/>
      <c r="W918" s="4"/>
      <c r="X918" s="4"/>
    </row>
    <row r="919" spans="17:24" x14ac:dyDescent="0.3">
      <c r="Q919" s="4"/>
      <c r="R919" s="4"/>
      <c r="S919" s="4"/>
      <c r="T919" s="4"/>
      <c r="U919" s="4"/>
      <c r="V919" s="4"/>
      <c r="W919" s="4"/>
      <c r="X919" s="4"/>
    </row>
    <row r="920" spans="17:24" x14ac:dyDescent="0.3">
      <c r="Q920" s="4"/>
      <c r="R920" s="4"/>
      <c r="S920" s="4"/>
      <c r="T920" s="4"/>
      <c r="U920" s="4"/>
      <c r="V920" s="4"/>
      <c r="W920" s="4"/>
      <c r="X920" s="4"/>
    </row>
    <row r="921" spans="17:24" x14ac:dyDescent="0.3">
      <c r="Q921" s="4"/>
      <c r="R921" s="4"/>
      <c r="S921" s="4"/>
      <c r="T921" s="4"/>
      <c r="U921" s="4"/>
      <c r="V921" s="4"/>
      <c r="W921" s="4"/>
      <c r="X921" s="4"/>
    </row>
    <row r="922" spans="17:24" x14ac:dyDescent="0.3">
      <c r="Q922" s="4"/>
      <c r="R922" s="4"/>
      <c r="S922" s="4"/>
      <c r="T922" s="4"/>
      <c r="U922" s="4"/>
      <c r="V922" s="4"/>
      <c r="W922" s="4"/>
      <c r="X922" s="4"/>
    </row>
    <row r="923" spans="17:24" x14ac:dyDescent="0.3">
      <c r="Q923" s="4"/>
      <c r="R923" s="4"/>
      <c r="S923" s="4"/>
      <c r="T923" s="4"/>
      <c r="U923" s="4"/>
      <c r="V923" s="4"/>
      <c r="W923" s="4"/>
      <c r="X923" s="4"/>
    </row>
    <row r="924" spans="17:24" x14ac:dyDescent="0.3">
      <c r="Q924" s="4"/>
      <c r="R924" s="4"/>
      <c r="S924" s="4"/>
      <c r="T924" s="4"/>
      <c r="U924" s="4"/>
      <c r="V924" s="4"/>
      <c r="W924" s="4"/>
      <c r="X924" s="4"/>
    </row>
    <row r="925" spans="17:24" x14ac:dyDescent="0.3">
      <c r="Q925" s="4"/>
      <c r="R925" s="4"/>
      <c r="S925" s="4"/>
      <c r="T925" s="4"/>
      <c r="U925" s="4"/>
      <c r="V925" s="4"/>
      <c r="W925" s="4"/>
      <c r="X925" s="4"/>
    </row>
    <row r="926" spans="17:24" x14ac:dyDescent="0.3">
      <c r="Q926" s="4"/>
      <c r="R926" s="4"/>
      <c r="S926" s="4"/>
      <c r="T926" s="4"/>
      <c r="U926" s="4"/>
      <c r="V926" s="4"/>
      <c r="W926" s="4"/>
      <c r="X926" s="4"/>
    </row>
    <row r="927" spans="17:24" x14ac:dyDescent="0.3">
      <c r="Q927" s="4"/>
      <c r="R927" s="4"/>
      <c r="S927" s="4"/>
      <c r="T927" s="4"/>
      <c r="U927" s="4"/>
      <c r="V927" s="4"/>
      <c r="W927" s="4"/>
      <c r="X927" s="4"/>
    </row>
    <row r="928" spans="17:24" x14ac:dyDescent="0.3">
      <c r="Q928" s="4"/>
      <c r="R928" s="4"/>
      <c r="S928" s="4"/>
      <c r="T928" s="4"/>
      <c r="U928" s="4"/>
      <c r="V928" s="4"/>
      <c r="W928" s="4"/>
      <c r="X928" s="4"/>
    </row>
    <row r="929" spans="17:24" x14ac:dyDescent="0.3">
      <c r="Q929" s="4"/>
      <c r="R929" s="4"/>
      <c r="S929" s="4"/>
      <c r="T929" s="4"/>
      <c r="U929" s="4"/>
      <c r="V929" s="4"/>
      <c r="W929" s="4"/>
      <c r="X929" s="4"/>
    </row>
    <row r="930" spans="17:24" x14ac:dyDescent="0.3">
      <c r="Q930" s="4"/>
      <c r="R930" s="4"/>
      <c r="S930" s="4"/>
      <c r="T930" s="4"/>
      <c r="U930" s="4"/>
      <c r="V930" s="4"/>
      <c r="W930" s="4"/>
      <c r="X930" s="4"/>
    </row>
    <row r="931" spans="17:24" x14ac:dyDescent="0.3">
      <c r="Q931" s="4"/>
      <c r="R931" s="4"/>
      <c r="S931" s="4"/>
      <c r="T931" s="4"/>
      <c r="U931" s="4"/>
      <c r="V931" s="4"/>
      <c r="W931" s="4"/>
      <c r="X931" s="4"/>
    </row>
    <row r="932" spans="17:24" x14ac:dyDescent="0.3">
      <c r="Q932" s="4"/>
      <c r="R932" s="4"/>
      <c r="S932" s="4"/>
      <c r="T932" s="4"/>
      <c r="U932" s="4"/>
      <c r="V932" s="4"/>
      <c r="W932" s="4"/>
      <c r="X932" s="4"/>
    </row>
    <row r="933" spans="17:24" x14ac:dyDescent="0.3">
      <c r="Q933" s="4"/>
      <c r="R933" s="4"/>
      <c r="S933" s="4"/>
      <c r="T933" s="4"/>
      <c r="U933" s="4"/>
      <c r="V933" s="4"/>
      <c r="W933" s="4"/>
      <c r="X933" s="4"/>
    </row>
    <row r="934" spans="17:24" x14ac:dyDescent="0.3">
      <c r="Q934" s="4"/>
      <c r="R934" s="4"/>
      <c r="S934" s="4"/>
      <c r="T934" s="4"/>
      <c r="U934" s="4"/>
      <c r="V934" s="4"/>
      <c r="W934" s="4"/>
      <c r="X934" s="4"/>
    </row>
    <row r="935" spans="17:24" x14ac:dyDescent="0.3">
      <c r="Q935" s="4"/>
      <c r="R935" s="4"/>
      <c r="S935" s="4"/>
      <c r="T935" s="4"/>
      <c r="U935" s="4"/>
      <c r="V935" s="4"/>
      <c r="W935" s="4"/>
      <c r="X935" s="4"/>
    </row>
    <row r="936" spans="17:24" x14ac:dyDescent="0.3">
      <c r="Q936" s="4"/>
      <c r="R936" s="4"/>
      <c r="S936" s="4"/>
      <c r="T936" s="4"/>
      <c r="U936" s="4"/>
      <c r="V936" s="4"/>
      <c r="W936" s="4"/>
      <c r="X936" s="4"/>
    </row>
    <row r="937" spans="17:24" x14ac:dyDescent="0.3">
      <c r="Q937" s="4"/>
      <c r="R937" s="4"/>
      <c r="S937" s="4"/>
      <c r="T937" s="4"/>
      <c r="U937" s="4"/>
      <c r="V937" s="4"/>
      <c r="W937" s="4"/>
      <c r="X937" s="4"/>
    </row>
    <row r="938" spans="17:24" x14ac:dyDescent="0.3">
      <c r="Q938" s="4"/>
      <c r="R938" s="4"/>
      <c r="S938" s="4"/>
      <c r="T938" s="4"/>
      <c r="U938" s="4"/>
      <c r="V938" s="4"/>
      <c r="W938" s="4"/>
      <c r="X938" s="4"/>
    </row>
    <row r="939" spans="17:24" x14ac:dyDescent="0.3">
      <c r="Q939" s="4"/>
      <c r="R939" s="4"/>
      <c r="S939" s="4"/>
      <c r="T939" s="4"/>
      <c r="U939" s="4"/>
      <c r="V939" s="4"/>
      <c r="W939" s="4"/>
      <c r="X939" s="4"/>
    </row>
    <row r="940" spans="17:24" x14ac:dyDescent="0.3">
      <c r="Q940" s="4"/>
      <c r="R940" s="4"/>
      <c r="S940" s="4"/>
      <c r="T940" s="4"/>
      <c r="U940" s="4"/>
      <c r="V940" s="4"/>
      <c r="W940" s="4"/>
      <c r="X940" s="4"/>
    </row>
    <row r="941" spans="17:24" x14ac:dyDescent="0.3">
      <c r="Q941" s="4"/>
      <c r="R941" s="4"/>
      <c r="S941" s="4"/>
      <c r="T941" s="4"/>
      <c r="U941" s="4"/>
      <c r="V941" s="4"/>
      <c r="W941" s="4"/>
      <c r="X941" s="4"/>
    </row>
    <row r="942" spans="17:24" x14ac:dyDescent="0.3">
      <c r="Q942" s="4"/>
      <c r="R942" s="4"/>
      <c r="S942" s="4"/>
      <c r="T942" s="4"/>
      <c r="U942" s="4"/>
      <c r="V942" s="4"/>
      <c r="W942" s="4"/>
      <c r="X942" s="4"/>
    </row>
    <row r="943" spans="17:24" x14ac:dyDescent="0.3">
      <c r="Q943" s="4"/>
      <c r="R943" s="4"/>
      <c r="S943" s="4"/>
      <c r="T943" s="4"/>
      <c r="U943" s="4"/>
      <c r="V943" s="4"/>
      <c r="W943" s="4"/>
      <c r="X943" s="4"/>
    </row>
    <row r="944" spans="17:24" x14ac:dyDescent="0.3">
      <c r="Q944" s="4"/>
      <c r="R944" s="4"/>
      <c r="S944" s="4"/>
      <c r="T944" s="4"/>
      <c r="U944" s="4"/>
      <c r="V944" s="4"/>
      <c r="W944" s="4"/>
      <c r="X944" s="4"/>
    </row>
    <row r="945" spans="17:24" x14ac:dyDescent="0.3">
      <c r="Q945" s="4"/>
      <c r="R945" s="4"/>
      <c r="S945" s="4"/>
      <c r="T945" s="4"/>
      <c r="U945" s="4"/>
      <c r="V945" s="4"/>
      <c r="W945" s="4"/>
      <c r="X945" s="4"/>
    </row>
    <row r="946" spans="17:24" x14ac:dyDescent="0.3">
      <c r="Q946" s="4"/>
      <c r="R946" s="4"/>
      <c r="S946" s="4"/>
      <c r="T946" s="4"/>
      <c r="U946" s="4"/>
      <c r="V946" s="4"/>
      <c r="W946" s="4"/>
      <c r="X946" s="4"/>
    </row>
    <row r="947" spans="17:24" x14ac:dyDescent="0.3">
      <c r="Q947" s="4"/>
      <c r="R947" s="4"/>
      <c r="S947" s="4"/>
      <c r="T947" s="4"/>
      <c r="U947" s="4"/>
      <c r="V947" s="4"/>
      <c r="W947" s="4"/>
      <c r="X947" s="4"/>
    </row>
    <row r="948" spans="17:24" x14ac:dyDescent="0.3">
      <c r="Q948" s="4"/>
      <c r="R948" s="4"/>
      <c r="S948" s="4"/>
      <c r="T948" s="4"/>
      <c r="U948" s="4"/>
      <c r="V948" s="4"/>
      <c r="W948" s="4"/>
      <c r="X948" s="4"/>
    </row>
    <row r="949" spans="17:24" x14ac:dyDescent="0.3">
      <c r="Q949" s="4"/>
      <c r="R949" s="4"/>
      <c r="S949" s="4"/>
      <c r="T949" s="4"/>
      <c r="U949" s="4"/>
      <c r="V949" s="4"/>
      <c r="W949" s="4"/>
      <c r="X949" s="4"/>
    </row>
    <row r="950" spans="17:24" x14ac:dyDescent="0.3">
      <c r="Q950" s="4"/>
      <c r="R950" s="4"/>
      <c r="S950" s="4"/>
      <c r="T950" s="4"/>
      <c r="U950" s="4"/>
      <c r="V950" s="4"/>
      <c r="W950" s="4"/>
      <c r="X950" s="4"/>
    </row>
    <row r="951" spans="17:24" x14ac:dyDescent="0.3">
      <c r="Q951" s="4"/>
      <c r="R951" s="4"/>
      <c r="S951" s="4"/>
      <c r="T951" s="4"/>
      <c r="U951" s="4"/>
      <c r="V951" s="4"/>
      <c r="W951" s="4"/>
      <c r="X951" s="4"/>
    </row>
    <row r="952" spans="17:24" x14ac:dyDescent="0.3">
      <c r="Q952" s="4"/>
      <c r="R952" s="4"/>
      <c r="S952" s="4"/>
      <c r="T952" s="4"/>
      <c r="U952" s="4"/>
      <c r="V952" s="4"/>
      <c r="W952" s="4"/>
      <c r="X952" s="4"/>
    </row>
    <row r="953" spans="17:24" x14ac:dyDescent="0.3">
      <c r="Q953" s="4"/>
      <c r="R953" s="4"/>
      <c r="S953" s="4"/>
      <c r="T953" s="4"/>
      <c r="U953" s="4"/>
      <c r="V953" s="4"/>
      <c r="W953" s="4"/>
      <c r="X953" s="4"/>
    </row>
    <row r="954" spans="17:24" x14ac:dyDescent="0.3">
      <c r="Q954" s="4"/>
      <c r="R954" s="4"/>
      <c r="S954" s="4"/>
      <c r="T954" s="4"/>
      <c r="U954" s="4"/>
      <c r="V954" s="4"/>
      <c r="W954" s="4"/>
      <c r="X954" s="4"/>
    </row>
    <row r="955" spans="17:24" x14ac:dyDescent="0.3">
      <c r="Q955" s="4"/>
      <c r="R955" s="4"/>
      <c r="S955" s="4"/>
      <c r="T955" s="4"/>
      <c r="U955" s="4"/>
      <c r="V955" s="4"/>
      <c r="W955" s="4"/>
      <c r="X955" s="4"/>
    </row>
    <row r="956" spans="17:24" x14ac:dyDescent="0.3">
      <c r="Q956" s="4"/>
      <c r="R956" s="4"/>
      <c r="S956" s="4"/>
      <c r="T956" s="4"/>
      <c r="U956" s="4"/>
      <c r="V956" s="4"/>
      <c r="W956" s="4"/>
      <c r="X956" s="4"/>
    </row>
    <row r="957" spans="17:24" x14ac:dyDescent="0.3">
      <c r="Q957" s="4"/>
      <c r="R957" s="4"/>
      <c r="S957" s="4"/>
      <c r="T957" s="4"/>
      <c r="U957" s="4"/>
      <c r="V957" s="4"/>
      <c r="W957" s="4"/>
      <c r="X957" s="4"/>
    </row>
    <row r="958" spans="17:24" x14ac:dyDescent="0.3">
      <c r="Q958" s="4"/>
      <c r="R958" s="4"/>
      <c r="S958" s="4"/>
      <c r="T958" s="4"/>
      <c r="U958" s="4"/>
      <c r="V958" s="4"/>
      <c r="W958" s="4"/>
      <c r="X958" s="4"/>
    </row>
    <row r="959" spans="17:24" x14ac:dyDescent="0.3">
      <c r="Q959" s="4"/>
      <c r="R959" s="4"/>
      <c r="S959" s="4"/>
      <c r="T959" s="4"/>
      <c r="U959" s="4"/>
      <c r="V959" s="4"/>
      <c r="W959" s="4"/>
      <c r="X959" s="4"/>
    </row>
    <row r="960" spans="17:24" x14ac:dyDescent="0.3">
      <c r="Q960" s="4"/>
      <c r="R960" s="4"/>
      <c r="S960" s="4"/>
      <c r="T960" s="4"/>
      <c r="U960" s="4"/>
      <c r="V960" s="4"/>
      <c r="W960" s="4"/>
      <c r="X960" s="4"/>
    </row>
    <row r="961" spans="17:24" x14ac:dyDescent="0.3">
      <c r="Q961" s="4"/>
      <c r="R961" s="4"/>
      <c r="S961" s="4"/>
      <c r="T961" s="4"/>
      <c r="U961" s="4"/>
      <c r="V961" s="4"/>
      <c r="W961" s="4"/>
      <c r="X961" s="4"/>
    </row>
    <row r="962" spans="17:24" x14ac:dyDescent="0.3">
      <c r="Q962" s="4"/>
      <c r="R962" s="4"/>
      <c r="S962" s="4"/>
      <c r="T962" s="4"/>
      <c r="U962" s="4"/>
      <c r="V962" s="4"/>
      <c r="W962" s="4"/>
      <c r="X962" s="4"/>
    </row>
    <row r="963" spans="17:24" x14ac:dyDescent="0.3">
      <c r="Q963" s="4"/>
      <c r="R963" s="4"/>
      <c r="S963" s="4"/>
      <c r="T963" s="4"/>
      <c r="U963" s="4"/>
      <c r="V963" s="4"/>
      <c r="W963" s="4"/>
      <c r="X963" s="4"/>
    </row>
    <row r="964" spans="17:24" x14ac:dyDescent="0.3">
      <c r="Q964" s="4"/>
      <c r="R964" s="4"/>
      <c r="S964" s="4"/>
      <c r="T964" s="4"/>
      <c r="U964" s="4"/>
      <c r="V964" s="4"/>
      <c r="W964" s="4"/>
      <c r="X964" s="4"/>
    </row>
    <row r="965" spans="17:24" x14ac:dyDescent="0.3">
      <c r="Q965" s="4"/>
      <c r="R965" s="4"/>
      <c r="S965" s="4"/>
      <c r="T965" s="4"/>
      <c r="U965" s="4"/>
      <c r="V965" s="4"/>
      <c r="W965" s="4"/>
      <c r="X965" s="4"/>
    </row>
    <row r="966" spans="17:24" x14ac:dyDescent="0.3">
      <c r="Q966" s="4"/>
      <c r="R966" s="4"/>
      <c r="S966" s="4"/>
      <c r="T966" s="4"/>
      <c r="U966" s="4"/>
      <c r="V966" s="4"/>
      <c r="W966" s="4"/>
      <c r="X966" s="4"/>
    </row>
    <row r="967" spans="17:24" x14ac:dyDescent="0.3">
      <c r="Q967" s="4"/>
      <c r="R967" s="4"/>
      <c r="S967" s="4"/>
      <c r="T967" s="4"/>
      <c r="U967" s="4"/>
      <c r="V967" s="4"/>
      <c r="W967" s="4"/>
      <c r="X967" s="4"/>
    </row>
    <row r="968" spans="17:24" x14ac:dyDescent="0.3">
      <c r="Q968" s="4"/>
      <c r="R968" s="4"/>
      <c r="S968" s="4"/>
      <c r="T968" s="4"/>
      <c r="U968" s="4"/>
      <c r="V968" s="4"/>
      <c r="W968" s="4"/>
      <c r="X968" s="4"/>
    </row>
    <row r="969" spans="17:24" x14ac:dyDescent="0.3">
      <c r="Q969" s="4"/>
      <c r="R969" s="4"/>
      <c r="S969" s="4"/>
      <c r="T969" s="4"/>
      <c r="U969" s="4"/>
      <c r="V969" s="4"/>
      <c r="W969" s="4"/>
      <c r="X969" s="4"/>
    </row>
    <row r="970" spans="17:24" x14ac:dyDescent="0.3">
      <c r="Q970" s="4"/>
      <c r="R970" s="4"/>
      <c r="S970" s="4"/>
      <c r="T970" s="4"/>
      <c r="U970" s="4"/>
      <c r="V970" s="4"/>
      <c r="W970" s="4"/>
      <c r="X970" s="4"/>
    </row>
    <row r="971" spans="17:24" x14ac:dyDescent="0.3">
      <c r="Q971" s="4"/>
      <c r="R971" s="4"/>
      <c r="S971" s="4"/>
      <c r="T971" s="4"/>
      <c r="U971" s="4"/>
      <c r="V971" s="4"/>
      <c r="W971" s="4"/>
      <c r="X971" s="4"/>
    </row>
    <row r="972" spans="17:24" x14ac:dyDescent="0.3">
      <c r="Q972" s="4"/>
      <c r="R972" s="4"/>
      <c r="S972" s="4"/>
      <c r="T972" s="4"/>
      <c r="U972" s="4"/>
      <c r="V972" s="4"/>
      <c r="W972" s="4"/>
      <c r="X972" s="4"/>
    </row>
    <row r="973" spans="17:24" x14ac:dyDescent="0.3">
      <c r="Q973" s="4"/>
      <c r="R973" s="4"/>
      <c r="S973" s="4"/>
      <c r="T973" s="4"/>
      <c r="U973" s="4"/>
      <c r="V973" s="4"/>
      <c r="W973" s="4"/>
      <c r="X973" s="4"/>
    </row>
    <row r="974" spans="17:24" x14ac:dyDescent="0.3">
      <c r="Q974" s="4"/>
      <c r="R974" s="4"/>
      <c r="S974" s="4"/>
      <c r="T974" s="4"/>
      <c r="U974" s="4"/>
      <c r="V974" s="4"/>
      <c r="W974" s="4"/>
      <c r="X974" s="4"/>
    </row>
    <row r="975" spans="17:24" x14ac:dyDescent="0.3">
      <c r="Q975" s="4"/>
      <c r="R975" s="4"/>
      <c r="S975" s="4"/>
      <c r="T975" s="4"/>
      <c r="U975" s="4"/>
      <c r="V975" s="4"/>
      <c r="W975" s="4"/>
      <c r="X975" s="4"/>
    </row>
    <row r="976" spans="17:24" x14ac:dyDescent="0.3">
      <c r="Q976" s="4"/>
      <c r="R976" s="4"/>
      <c r="S976" s="4"/>
      <c r="T976" s="4"/>
      <c r="U976" s="4"/>
      <c r="V976" s="4"/>
      <c r="W976" s="4"/>
      <c r="X976" s="4"/>
    </row>
    <row r="977" spans="17:24" x14ac:dyDescent="0.3">
      <c r="Q977" s="4"/>
      <c r="R977" s="4"/>
      <c r="S977" s="4"/>
      <c r="T977" s="4"/>
      <c r="U977" s="4"/>
      <c r="V977" s="4"/>
      <c r="W977" s="4"/>
      <c r="X977" s="4"/>
    </row>
    <row r="978" spans="17:24" x14ac:dyDescent="0.3">
      <c r="Q978" s="4"/>
      <c r="R978" s="4"/>
      <c r="S978" s="4"/>
      <c r="T978" s="4"/>
      <c r="U978" s="4"/>
      <c r="V978" s="4"/>
      <c r="W978" s="4"/>
      <c r="X978" s="4"/>
    </row>
    <row r="979" spans="17:24" x14ac:dyDescent="0.3">
      <c r="Q979" s="4"/>
      <c r="R979" s="4"/>
      <c r="S979" s="4"/>
      <c r="T979" s="4"/>
      <c r="U979" s="4"/>
      <c r="V979" s="4"/>
      <c r="W979" s="4"/>
      <c r="X979" s="4"/>
    </row>
    <row r="980" spans="17:24" x14ac:dyDescent="0.3">
      <c r="Q980" s="4"/>
      <c r="R980" s="4"/>
      <c r="S980" s="4"/>
      <c r="T980" s="4"/>
      <c r="U980" s="4"/>
      <c r="V980" s="4"/>
      <c r="W980" s="4"/>
      <c r="X980" s="4"/>
    </row>
    <row r="981" spans="17:24" x14ac:dyDescent="0.3">
      <c r="Q981" s="4"/>
      <c r="R981" s="4"/>
      <c r="S981" s="4"/>
      <c r="T981" s="4"/>
      <c r="U981" s="4"/>
      <c r="V981" s="4"/>
      <c r="W981" s="4"/>
      <c r="X981" s="4"/>
    </row>
    <row r="982" spans="17:24" x14ac:dyDescent="0.3">
      <c r="Q982" s="4"/>
      <c r="R982" s="4"/>
      <c r="S982" s="4"/>
      <c r="T982" s="4"/>
      <c r="U982" s="4"/>
      <c r="V982" s="4"/>
      <c r="W982" s="4"/>
      <c r="X982" s="4"/>
    </row>
    <row r="983" spans="17:24" x14ac:dyDescent="0.3">
      <c r="Q983" s="4"/>
      <c r="R983" s="4"/>
      <c r="S983" s="4"/>
      <c r="T983" s="4"/>
      <c r="U983" s="4"/>
      <c r="V983" s="4"/>
      <c r="W983" s="4"/>
      <c r="X983" s="4"/>
    </row>
    <row r="984" spans="17:24" x14ac:dyDescent="0.3">
      <c r="Q984" s="4"/>
      <c r="R984" s="4"/>
      <c r="S984" s="4"/>
      <c r="T984" s="4"/>
      <c r="U984" s="4"/>
      <c r="V984" s="4"/>
      <c r="W984" s="4"/>
      <c r="X984" s="4"/>
    </row>
    <row r="985" spans="17:24" x14ac:dyDescent="0.3">
      <c r="Q985" s="4"/>
      <c r="R985" s="4"/>
      <c r="S985" s="4"/>
      <c r="T985" s="4"/>
      <c r="U985" s="4"/>
      <c r="V985" s="4"/>
      <c r="W985" s="4"/>
      <c r="X985" s="4"/>
    </row>
    <row r="986" spans="17:24" x14ac:dyDescent="0.3">
      <c r="Q986" s="4"/>
      <c r="R986" s="4"/>
      <c r="S986" s="4"/>
      <c r="T986" s="4"/>
      <c r="U986" s="4"/>
      <c r="V986" s="4"/>
      <c r="W986" s="4"/>
      <c r="X986" s="4"/>
    </row>
    <row r="987" spans="17:24" x14ac:dyDescent="0.3">
      <c r="Q987" s="4"/>
      <c r="R987" s="4"/>
      <c r="S987" s="4"/>
      <c r="T987" s="4"/>
      <c r="U987" s="4"/>
      <c r="V987" s="4"/>
      <c r="W987" s="4"/>
      <c r="X987" s="4"/>
    </row>
    <row r="988" spans="17:24" x14ac:dyDescent="0.3">
      <c r="Q988" s="4"/>
      <c r="R988" s="4"/>
      <c r="S988" s="4"/>
      <c r="T988" s="4"/>
      <c r="U988" s="4"/>
      <c r="V988" s="4"/>
      <c r="W988" s="4"/>
      <c r="X988" s="4"/>
    </row>
    <row r="989" spans="17:24" x14ac:dyDescent="0.3">
      <c r="Q989" s="4"/>
      <c r="R989" s="4"/>
      <c r="S989" s="4"/>
      <c r="T989" s="4"/>
      <c r="U989" s="4"/>
      <c r="V989" s="4"/>
      <c r="W989" s="4"/>
      <c r="X989" s="4"/>
    </row>
    <row r="990" spans="17:24" x14ac:dyDescent="0.3">
      <c r="Q990" s="4"/>
      <c r="R990" s="4"/>
      <c r="S990" s="4"/>
      <c r="T990" s="4"/>
      <c r="U990" s="4"/>
      <c r="V990" s="4"/>
      <c r="W990" s="4"/>
      <c r="X990" s="4"/>
    </row>
    <row r="991" spans="17:24" x14ac:dyDescent="0.3">
      <c r="Q991" s="4"/>
      <c r="R991" s="4"/>
      <c r="S991" s="4"/>
      <c r="T991" s="4"/>
      <c r="U991" s="4"/>
      <c r="V991" s="4"/>
      <c r="W991" s="4"/>
      <c r="X991" s="4"/>
    </row>
    <row r="992" spans="17:24" x14ac:dyDescent="0.3">
      <c r="Q992" s="4"/>
      <c r="R992" s="4"/>
      <c r="S992" s="4"/>
      <c r="T992" s="4"/>
      <c r="U992" s="4"/>
      <c r="V992" s="4"/>
      <c r="W992" s="4"/>
      <c r="X992" s="4"/>
    </row>
    <row r="993" spans="17:24" x14ac:dyDescent="0.3">
      <c r="Q993" s="4"/>
      <c r="R993" s="4"/>
      <c r="S993" s="4"/>
      <c r="T993" s="4"/>
      <c r="U993" s="4"/>
      <c r="V993" s="4"/>
      <c r="W993" s="4"/>
      <c r="X993" s="4"/>
    </row>
    <row r="994" spans="17:24" x14ac:dyDescent="0.3">
      <c r="Q994" s="4"/>
      <c r="R994" s="4"/>
      <c r="S994" s="4"/>
      <c r="T994" s="4"/>
      <c r="U994" s="4"/>
      <c r="V994" s="4"/>
      <c r="W994" s="4"/>
      <c r="X994" s="4"/>
    </row>
    <row r="995" spans="17:24" x14ac:dyDescent="0.3">
      <c r="Q995" s="4"/>
      <c r="R995" s="4"/>
      <c r="S995" s="4"/>
      <c r="T995" s="4"/>
      <c r="U995" s="4"/>
      <c r="V995" s="4"/>
      <c r="W995" s="4"/>
      <c r="X995" s="4"/>
    </row>
    <row r="996" spans="17:24" x14ac:dyDescent="0.3">
      <c r="Q996" s="4"/>
      <c r="R996" s="4"/>
      <c r="S996" s="4"/>
      <c r="T996" s="4"/>
      <c r="U996" s="4"/>
      <c r="V996" s="4"/>
      <c r="W996" s="4"/>
      <c r="X996" s="4"/>
    </row>
    <row r="997" spans="17:24" x14ac:dyDescent="0.3">
      <c r="Q997" s="4"/>
      <c r="R997" s="4"/>
      <c r="S997" s="4"/>
      <c r="T997" s="4"/>
      <c r="U997" s="4"/>
      <c r="V997" s="4"/>
      <c r="W997" s="4"/>
      <c r="X997" s="4"/>
    </row>
    <row r="998" spans="17:24" x14ac:dyDescent="0.3">
      <c r="Q998" s="4"/>
      <c r="R998" s="4"/>
      <c r="S998" s="4"/>
      <c r="T998" s="4"/>
      <c r="U998" s="4"/>
      <c r="V998" s="4"/>
      <c r="W998" s="4"/>
      <c r="X998" s="4"/>
    </row>
    <row r="999" spans="17:24" x14ac:dyDescent="0.3">
      <c r="Q999" s="4"/>
      <c r="R999" s="4"/>
      <c r="S999" s="4"/>
      <c r="T999" s="4"/>
      <c r="U999" s="4"/>
      <c r="V999" s="4"/>
      <c r="W999" s="4"/>
      <c r="X999" s="4"/>
    </row>
    <row r="1000" spans="17:24" x14ac:dyDescent="0.3">
      <c r="Q1000" s="4"/>
      <c r="R1000" s="4"/>
      <c r="S1000" s="4"/>
      <c r="T1000" s="4"/>
      <c r="U1000" s="4"/>
      <c r="V1000" s="4"/>
      <c r="W1000" s="4"/>
      <c r="X1000" s="4"/>
    </row>
    <row r="1001" spans="17:24" x14ac:dyDescent="0.3">
      <c r="Q1001" s="4"/>
      <c r="R1001" s="4"/>
      <c r="S1001" s="4"/>
      <c r="T1001" s="4"/>
      <c r="U1001" s="4"/>
      <c r="V1001" s="4"/>
      <c r="W1001" s="4"/>
      <c r="X1001" s="4"/>
    </row>
    <row r="1002" spans="17:24" x14ac:dyDescent="0.3">
      <c r="Q1002" s="4"/>
      <c r="R1002" s="4"/>
      <c r="S1002" s="4"/>
      <c r="T1002" s="4"/>
      <c r="U1002" s="4"/>
      <c r="V1002" s="4"/>
      <c r="W1002" s="4"/>
      <c r="X1002" s="4"/>
    </row>
    <row r="1003" spans="17:24" x14ac:dyDescent="0.3">
      <c r="Q1003" s="4"/>
      <c r="R1003" s="4"/>
      <c r="S1003" s="4"/>
      <c r="T1003" s="4"/>
      <c r="U1003" s="4"/>
      <c r="V1003" s="4"/>
      <c r="W1003" s="4"/>
      <c r="X1003" s="4"/>
    </row>
    <row r="1004" spans="17:24" x14ac:dyDescent="0.3">
      <c r="Q1004" s="4"/>
      <c r="R1004" s="4"/>
      <c r="S1004" s="4"/>
      <c r="T1004" s="4"/>
      <c r="U1004" s="4"/>
      <c r="V1004" s="4"/>
      <c r="W1004" s="4"/>
      <c r="X1004" s="4"/>
    </row>
    <row r="1005" spans="17:24" x14ac:dyDescent="0.3">
      <c r="Q1005" s="4"/>
      <c r="R1005" s="4"/>
      <c r="S1005" s="4"/>
      <c r="T1005" s="4"/>
      <c r="U1005" s="4"/>
      <c r="V1005" s="4"/>
      <c r="W1005" s="4"/>
      <c r="X1005" s="4"/>
    </row>
    <row r="1006" spans="17:24" x14ac:dyDescent="0.3">
      <c r="Q1006" s="4"/>
      <c r="R1006" s="4"/>
      <c r="S1006" s="4"/>
      <c r="T1006" s="4"/>
      <c r="U1006" s="4"/>
      <c r="V1006" s="4"/>
      <c r="W1006" s="4"/>
      <c r="X1006" s="4"/>
    </row>
    <row r="1007" spans="17:24" x14ac:dyDescent="0.3">
      <c r="Q1007" s="4"/>
      <c r="R1007" s="4"/>
      <c r="S1007" s="4"/>
      <c r="T1007" s="4"/>
      <c r="U1007" s="4"/>
      <c r="V1007" s="4"/>
      <c r="W1007" s="4"/>
      <c r="X1007" s="4"/>
    </row>
    <row r="1008" spans="17:24" x14ac:dyDescent="0.3">
      <c r="Q1008" s="4"/>
      <c r="R1008" s="4"/>
      <c r="S1008" s="4"/>
      <c r="T1008" s="4"/>
      <c r="U1008" s="4"/>
      <c r="V1008" s="4"/>
      <c r="W1008" s="4"/>
      <c r="X1008" s="4"/>
    </row>
    <row r="1009" spans="17:24" x14ac:dyDescent="0.3">
      <c r="Q1009" s="4"/>
      <c r="R1009" s="4"/>
      <c r="S1009" s="4"/>
      <c r="T1009" s="4"/>
      <c r="U1009" s="4"/>
      <c r="V1009" s="4"/>
      <c r="W1009" s="4"/>
      <c r="X1009" s="4"/>
    </row>
    <row r="1010" spans="17:24" x14ac:dyDescent="0.3">
      <c r="Q1010" s="4"/>
      <c r="R1010" s="4"/>
      <c r="S1010" s="4"/>
      <c r="T1010" s="4"/>
      <c r="U1010" s="4"/>
      <c r="V1010" s="4"/>
      <c r="W1010" s="4"/>
      <c r="X1010" s="4"/>
    </row>
    <row r="1011" spans="17:24" x14ac:dyDescent="0.3">
      <c r="Q1011" s="4"/>
      <c r="R1011" s="4"/>
      <c r="S1011" s="4"/>
      <c r="T1011" s="4"/>
      <c r="U1011" s="4"/>
      <c r="V1011" s="4"/>
      <c r="W1011" s="4"/>
      <c r="X1011" s="4"/>
    </row>
    <row r="1012" spans="17:24" x14ac:dyDescent="0.3">
      <c r="Q1012" s="4"/>
      <c r="R1012" s="4"/>
      <c r="S1012" s="4"/>
      <c r="T1012" s="4"/>
      <c r="U1012" s="4"/>
      <c r="V1012" s="4"/>
      <c r="W1012" s="4"/>
      <c r="X1012" s="4"/>
    </row>
    <row r="1013" spans="17:24" x14ac:dyDescent="0.3">
      <c r="Q1013" s="4"/>
      <c r="R1013" s="4"/>
      <c r="S1013" s="4"/>
      <c r="T1013" s="4"/>
      <c r="U1013" s="4"/>
      <c r="V1013" s="4"/>
      <c r="W1013" s="4"/>
      <c r="X1013" s="4"/>
    </row>
    <row r="1014" spans="17:24" x14ac:dyDescent="0.3">
      <c r="Q1014" s="4"/>
      <c r="R1014" s="4"/>
      <c r="S1014" s="4"/>
      <c r="T1014" s="4"/>
      <c r="U1014" s="4"/>
      <c r="V1014" s="4"/>
      <c r="W1014" s="4"/>
      <c r="X1014" s="4"/>
    </row>
    <row r="1015" spans="17:24" x14ac:dyDescent="0.3">
      <c r="Q1015" s="4"/>
      <c r="R1015" s="4"/>
      <c r="S1015" s="4"/>
      <c r="T1015" s="4"/>
      <c r="U1015" s="4"/>
      <c r="V1015" s="4"/>
      <c r="W1015" s="4"/>
      <c r="X1015" s="4"/>
    </row>
    <row r="1016" spans="17:24" x14ac:dyDescent="0.3">
      <c r="Q1016" s="4"/>
      <c r="R1016" s="4"/>
      <c r="S1016" s="4"/>
      <c r="T1016" s="4"/>
      <c r="U1016" s="4"/>
      <c r="V1016" s="4"/>
      <c r="W1016" s="4"/>
      <c r="X1016" s="4"/>
    </row>
    <row r="1017" spans="17:24" x14ac:dyDescent="0.3">
      <c r="Q1017" s="4"/>
      <c r="R1017" s="4"/>
      <c r="S1017" s="4"/>
      <c r="T1017" s="4"/>
      <c r="U1017" s="4"/>
      <c r="V1017" s="4"/>
      <c r="W1017" s="4"/>
      <c r="X1017" s="4"/>
    </row>
    <row r="1018" spans="17:24" x14ac:dyDescent="0.3">
      <c r="Q1018" s="4"/>
      <c r="R1018" s="4"/>
      <c r="S1018" s="4"/>
      <c r="T1018" s="4"/>
      <c r="U1018" s="4"/>
      <c r="V1018" s="4"/>
      <c r="W1018" s="4"/>
      <c r="X1018" s="4"/>
    </row>
    <row r="1019" spans="17:24" x14ac:dyDescent="0.3">
      <c r="Q1019" s="4"/>
      <c r="R1019" s="4"/>
      <c r="S1019" s="4"/>
      <c r="T1019" s="4"/>
      <c r="U1019" s="4"/>
      <c r="V1019" s="4"/>
      <c r="W1019" s="4"/>
      <c r="X1019" s="4"/>
    </row>
    <row r="1020" spans="17:24" x14ac:dyDescent="0.3">
      <c r="Q1020" s="4"/>
      <c r="R1020" s="4"/>
      <c r="S1020" s="4"/>
      <c r="T1020" s="4"/>
      <c r="U1020" s="4"/>
      <c r="V1020" s="4"/>
      <c r="W1020" s="4"/>
      <c r="X1020" s="4"/>
    </row>
    <row r="1021" spans="17:24" x14ac:dyDescent="0.3">
      <c r="Q1021" s="4"/>
      <c r="R1021" s="4"/>
      <c r="S1021" s="4"/>
      <c r="T1021" s="4"/>
      <c r="U1021" s="4"/>
      <c r="V1021" s="4"/>
      <c r="W1021" s="4"/>
      <c r="X1021" s="4"/>
    </row>
    <row r="1022" spans="17:24" x14ac:dyDescent="0.3">
      <c r="Q1022" s="4"/>
      <c r="R1022" s="4"/>
      <c r="S1022" s="4"/>
      <c r="T1022" s="4"/>
      <c r="U1022" s="4"/>
      <c r="V1022" s="4"/>
      <c r="W1022" s="4"/>
      <c r="X1022" s="4"/>
    </row>
    <row r="1023" spans="17:24" x14ac:dyDescent="0.3">
      <c r="Q1023" s="4"/>
      <c r="R1023" s="4"/>
      <c r="S1023" s="4"/>
      <c r="T1023" s="4"/>
      <c r="U1023" s="4"/>
      <c r="V1023" s="4"/>
      <c r="W1023" s="4"/>
      <c r="X1023" s="4"/>
    </row>
    <row r="1024" spans="17:24" x14ac:dyDescent="0.3">
      <c r="Q1024" s="4"/>
      <c r="R1024" s="4"/>
      <c r="S1024" s="4"/>
      <c r="T1024" s="4"/>
      <c r="U1024" s="4"/>
      <c r="V1024" s="4"/>
      <c r="W1024" s="4"/>
      <c r="X1024" s="4"/>
    </row>
    <row r="1025" spans="17:24" x14ac:dyDescent="0.3">
      <c r="Q1025" s="4"/>
      <c r="R1025" s="4"/>
      <c r="S1025" s="4"/>
      <c r="T1025" s="4"/>
      <c r="U1025" s="4"/>
      <c r="V1025" s="4"/>
      <c r="W1025" s="4"/>
      <c r="X1025" s="4"/>
    </row>
    <row r="1026" spans="17:24" x14ac:dyDescent="0.3">
      <c r="Q1026" s="4"/>
      <c r="R1026" s="4"/>
      <c r="S1026" s="4"/>
      <c r="T1026" s="4"/>
      <c r="U1026" s="4"/>
      <c r="V1026" s="4"/>
      <c r="W1026" s="4"/>
      <c r="X1026" s="4"/>
    </row>
    <row r="1027" spans="17:24" x14ac:dyDescent="0.3">
      <c r="Q1027" s="4"/>
      <c r="R1027" s="4"/>
      <c r="S1027" s="4"/>
      <c r="T1027" s="4"/>
      <c r="U1027" s="4"/>
      <c r="V1027" s="4"/>
      <c r="W1027" s="4"/>
      <c r="X1027" s="4"/>
    </row>
    <row r="1028" spans="17:24" x14ac:dyDescent="0.3">
      <c r="Q1028" s="4"/>
      <c r="R1028" s="4"/>
      <c r="S1028" s="4"/>
      <c r="T1028" s="4"/>
      <c r="U1028" s="4"/>
      <c r="V1028" s="4"/>
      <c r="W1028" s="4"/>
      <c r="X1028" s="4"/>
    </row>
    <row r="1029" spans="17:24" x14ac:dyDescent="0.3">
      <c r="Q1029" s="4"/>
      <c r="R1029" s="4"/>
      <c r="S1029" s="4"/>
      <c r="T1029" s="4"/>
      <c r="U1029" s="4"/>
      <c r="V1029" s="4"/>
      <c r="W1029" s="4"/>
      <c r="X1029" s="4"/>
    </row>
    <row r="1030" spans="17:24" x14ac:dyDescent="0.3">
      <c r="Q1030" s="4"/>
      <c r="R1030" s="4"/>
      <c r="S1030" s="4"/>
      <c r="T1030" s="4"/>
      <c r="U1030" s="4"/>
      <c r="V1030" s="4"/>
      <c r="W1030" s="4"/>
      <c r="X1030" s="4"/>
    </row>
    <row r="1031" spans="17:24" x14ac:dyDescent="0.3">
      <c r="Q1031" s="4"/>
      <c r="R1031" s="4"/>
      <c r="S1031" s="4"/>
      <c r="T1031" s="4"/>
      <c r="U1031" s="4"/>
      <c r="V1031" s="4"/>
      <c r="W1031" s="4"/>
      <c r="X1031" s="4"/>
    </row>
    <row r="1032" spans="17:24" x14ac:dyDescent="0.3">
      <c r="Q1032" s="4"/>
      <c r="R1032" s="4"/>
      <c r="S1032" s="4"/>
      <c r="T1032" s="4"/>
      <c r="U1032" s="4"/>
      <c r="V1032" s="4"/>
      <c r="W1032" s="4"/>
      <c r="X1032" s="4"/>
    </row>
    <row r="1033" spans="17:24" x14ac:dyDescent="0.3">
      <c r="Q1033" s="4"/>
      <c r="R1033" s="4"/>
      <c r="S1033" s="4"/>
      <c r="T1033" s="4"/>
      <c r="U1033" s="4"/>
      <c r="V1033" s="4"/>
      <c r="W1033" s="4"/>
      <c r="X1033" s="4"/>
    </row>
    <row r="1034" spans="17:24" x14ac:dyDescent="0.3">
      <c r="Q1034" s="4"/>
      <c r="R1034" s="4"/>
      <c r="S1034" s="4"/>
      <c r="T1034" s="4"/>
      <c r="U1034" s="4"/>
      <c r="V1034" s="4"/>
      <c r="W1034" s="4"/>
      <c r="X1034" s="4"/>
    </row>
    <row r="1035" spans="17:24" x14ac:dyDescent="0.3">
      <c r="Q1035" s="4"/>
      <c r="R1035" s="4"/>
      <c r="S1035" s="4"/>
      <c r="T1035" s="4"/>
      <c r="U1035" s="4"/>
      <c r="V1035" s="4"/>
      <c r="W1035" s="4"/>
      <c r="X1035" s="4"/>
    </row>
    <row r="1036" spans="17:24" x14ac:dyDescent="0.3">
      <c r="Q1036" s="4"/>
      <c r="R1036" s="4"/>
      <c r="S1036" s="4"/>
      <c r="T1036" s="4"/>
      <c r="U1036" s="4"/>
      <c r="V1036" s="4"/>
      <c r="W1036" s="4"/>
      <c r="X1036" s="4"/>
    </row>
    <row r="1037" spans="17:24" x14ac:dyDescent="0.3">
      <c r="Q1037" s="4"/>
      <c r="R1037" s="4"/>
      <c r="S1037" s="4"/>
      <c r="T1037" s="4"/>
      <c r="U1037" s="4"/>
      <c r="V1037" s="4"/>
      <c r="W1037" s="4"/>
      <c r="X1037" s="4"/>
    </row>
    <row r="1038" spans="17:24" x14ac:dyDescent="0.3">
      <c r="Q1038" s="4"/>
      <c r="R1038" s="4"/>
      <c r="S1038" s="4"/>
      <c r="T1038" s="4"/>
      <c r="U1038" s="4"/>
      <c r="V1038" s="4"/>
      <c r="W1038" s="4"/>
      <c r="X1038" s="4"/>
    </row>
    <row r="1039" spans="17:24" x14ac:dyDescent="0.3">
      <c r="Q1039" s="4"/>
      <c r="R1039" s="4"/>
      <c r="S1039" s="4"/>
      <c r="T1039" s="4"/>
      <c r="U1039" s="4"/>
      <c r="V1039" s="4"/>
      <c r="W1039" s="4"/>
      <c r="X1039" s="4"/>
    </row>
    <row r="1040" spans="17:24" x14ac:dyDescent="0.3">
      <c r="Q1040" s="4"/>
      <c r="R1040" s="4"/>
      <c r="S1040" s="4"/>
      <c r="T1040" s="4"/>
      <c r="U1040" s="4"/>
      <c r="V1040" s="4"/>
      <c r="W1040" s="4"/>
      <c r="X1040" s="4"/>
    </row>
    <row r="1041" spans="17:24" x14ac:dyDescent="0.3">
      <c r="Q1041" s="4"/>
      <c r="R1041" s="4"/>
      <c r="S1041" s="4"/>
      <c r="T1041" s="4"/>
      <c r="U1041" s="4"/>
      <c r="V1041" s="4"/>
      <c r="W1041" s="4"/>
      <c r="X1041" s="4"/>
    </row>
    <row r="1042" spans="17:24" x14ac:dyDescent="0.3">
      <c r="Q1042" s="4"/>
      <c r="R1042" s="4"/>
      <c r="S1042" s="4"/>
      <c r="T1042" s="4"/>
      <c r="U1042" s="4"/>
      <c r="V1042" s="4"/>
      <c r="W1042" s="4"/>
      <c r="X1042" s="4"/>
    </row>
    <row r="1043" spans="17:24" x14ac:dyDescent="0.3">
      <c r="Q1043" s="4"/>
      <c r="R1043" s="4"/>
      <c r="S1043" s="4"/>
      <c r="T1043" s="4"/>
      <c r="U1043" s="4"/>
      <c r="V1043" s="4"/>
      <c r="W1043" s="4"/>
      <c r="X1043" s="4"/>
    </row>
    <row r="1044" spans="17:24" x14ac:dyDescent="0.3">
      <c r="Q1044" s="4"/>
      <c r="R1044" s="4"/>
      <c r="S1044" s="4"/>
      <c r="T1044" s="4"/>
      <c r="U1044" s="4"/>
      <c r="V1044" s="4"/>
      <c r="W1044" s="4"/>
      <c r="X1044" s="4"/>
    </row>
    <row r="1045" spans="17:24" x14ac:dyDescent="0.3">
      <c r="Q1045" s="4"/>
      <c r="R1045" s="4"/>
      <c r="S1045" s="4"/>
      <c r="T1045" s="4"/>
      <c r="U1045" s="4"/>
      <c r="V1045" s="4"/>
      <c r="W1045" s="4"/>
      <c r="X1045" s="4"/>
    </row>
    <row r="1046" spans="17:24" x14ac:dyDescent="0.3">
      <c r="Q1046" s="4"/>
      <c r="R1046" s="4"/>
      <c r="S1046" s="4"/>
      <c r="T1046" s="4"/>
      <c r="U1046" s="4"/>
      <c r="V1046" s="4"/>
      <c r="W1046" s="4"/>
      <c r="X1046" s="4"/>
    </row>
    <row r="1047" spans="17:24" x14ac:dyDescent="0.3">
      <c r="Q1047" s="4"/>
      <c r="R1047" s="4"/>
      <c r="S1047" s="4"/>
      <c r="T1047" s="4"/>
      <c r="U1047" s="4"/>
      <c r="V1047" s="4"/>
      <c r="W1047" s="4"/>
      <c r="X1047" s="4"/>
    </row>
    <row r="1048" spans="17:24" x14ac:dyDescent="0.3">
      <c r="Q1048" s="4"/>
      <c r="R1048" s="4"/>
      <c r="S1048" s="4"/>
      <c r="T1048" s="4"/>
      <c r="U1048" s="4"/>
      <c r="V1048" s="4"/>
      <c r="W1048" s="4"/>
      <c r="X1048" s="4"/>
    </row>
    <row r="1049" spans="17:24" x14ac:dyDescent="0.3">
      <c r="Q1049" s="4"/>
      <c r="R1049" s="4"/>
      <c r="S1049" s="4"/>
      <c r="T1049" s="4"/>
      <c r="U1049" s="4"/>
      <c r="V1049" s="4"/>
      <c r="W1049" s="4"/>
      <c r="X1049" s="4"/>
    </row>
    <row r="1050" spans="17:24" x14ac:dyDescent="0.3">
      <c r="Q1050" s="4"/>
      <c r="R1050" s="4"/>
      <c r="S1050" s="4"/>
      <c r="T1050" s="4"/>
      <c r="U1050" s="4"/>
      <c r="V1050" s="4"/>
      <c r="W1050" s="4"/>
      <c r="X1050" s="4"/>
    </row>
    <row r="1051" spans="17:24" x14ac:dyDescent="0.3">
      <c r="Q1051" s="4"/>
      <c r="R1051" s="4"/>
      <c r="S1051" s="4"/>
      <c r="T1051" s="4"/>
      <c r="U1051" s="4"/>
      <c r="V1051" s="4"/>
      <c r="W1051" s="4"/>
      <c r="X1051" s="4"/>
    </row>
    <row r="1052" spans="17:24" x14ac:dyDescent="0.3">
      <c r="Q1052" s="4"/>
      <c r="R1052" s="4"/>
      <c r="S1052" s="4"/>
      <c r="T1052" s="4"/>
      <c r="U1052" s="4"/>
      <c r="V1052" s="4"/>
      <c r="W1052" s="4"/>
      <c r="X1052" s="4"/>
    </row>
    <row r="1053" spans="17:24" x14ac:dyDescent="0.3">
      <c r="Q1053" s="4"/>
      <c r="R1053" s="4"/>
      <c r="S1053" s="4"/>
      <c r="T1053" s="4"/>
      <c r="U1053" s="4"/>
      <c r="V1053" s="4"/>
      <c r="W1053" s="4"/>
      <c r="X1053" s="4"/>
    </row>
    <row r="1054" spans="17:24" x14ac:dyDescent="0.3">
      <c r="Q1054" s="4"/>
      <c r="R1054" s="4"/>
      <c r="S1054" s="4"/>
      <c r="T1054" s="4"/>
      <c r="U1054" s="4"/>
      <c r="V1054" s="4"/>
      <c r="W1054" s="4"/>
      <c r="X1054" s="4"/>
    </row>
    <row r="1055" spans="17:24" x14ac:dyDescent="0.3">
      <c r="Q1055" s="4"/>
      <c r="R1055" s="4"/>
      <c r="S1055" s="4"/>
      <c r="T1055" s="4"/>
      <c r="U1055" s="4"/>
      <c r="V1055" s="4"/>
      <c r="W1055" s="4"/>
      <c r="X1055" s="4"/>
    </row>
    <row r="1056" spans="17:24" x14ac:dyDescent="0.3">
      <c r="Q1056" s="4"/>
      <c r="R1056" s="4"/>
      <c r="S1056" s="4"/>
      <c r="T1056" s="4"/>
      <c r="U1056" s="4"/>
      <c r="V1056" s="4"/>
      <c r="W1056" s="4"/>
      <c r="X1056" s="4"/>
    </row>
    <row r="1057" spans="17:24" x14ac:dyDescent="0.3">
      <c r="Q1057" s="4"/>
      <c r="R1057" s="4"/>
      <c r="S1057" s="4"/>
      <c r="T1057" s="4"/>
      <c r="U1057" s="4"/>
      <c r="V1057" s="4"/>
      <c r="W1057" s="4"/>
      <c r="X1057" s="4"/>
    </row>
    <row r="1058" spans="17:24" x14ac:dyDescent="0.3">
      <c r="Q1058" s="4"/>
      <c r="R1058" s="4"/>
      <c r="S1058" s="4"/>
      <c r="T1058" s="4"/>
      <c r="U1058" s="4"/>
      <c r="V1058" s="4"/>
      <c r="W1058" s="4"/>
      <c r="X1058" s="4"/>
    </row>
    <row r="1059" spans="17:24" x14ac:dyDescent="0.3">
      <c r="Q1059" s="4"/>
      <c r="R1059" s="4"/>
      <c r="S1059" s="4"/>
      <c r="T1059" s="4"/>
      <c r="U1059" s="4"/>
      <c r="V1059" s="4"/>
      <c r="W1059" s="4"/>
      <c r="X1059" s="4"/>
    </row>
    <row r="1060" spans="17:24" x14ac:dyDescent="0.3">
      <c r="Q1060" s="4"/>
      <c r="R1060" s="4"/>
      <c r="S1060" s="4"/>
      <c r="T1060" s="4"/>
      <c r="U1060" s="4"/>
      <c r="V1060" s="4"/>
      <c r="W1060" s="4"/>
      <c r="X1060" s="4"/>
    </row>
    <row r="1061" spans="17:24" x14ac:dyDescent="0.3">
      <c r="Q1061" s="4"/>
      <c r="R1061" s="4"/>
      <c r="S1061" s="4"/>
      <c r="T1061" s="4"/>
      <c r="U1061" s="4"/>
      <c r="V1061" s="4"/>
      <c r="W1061" s="4"/>
      <c r="X1061" s="4"/>
    </row>
    <row r="1062" spans="17:24" x14ac:dyDescent="0.3">
      <c r="Q1062" s="4"/>
      <c r="R1062" s="4"/>
      <c r="S1062" s="4"/>
      <c r="T1062" s="4"/>
      <c r="U1062" s="4"/>
      <c r="V1062" s="4"/>
      <c r="W1062" s="4"/>
      <c r="X1062" s="4"/>
    </row>
    <row r="1063" spans="17:24" x14ac:dyDescent="0.3">
      <c r="Q1063" s="4"/>
      <c r="R1063" s="4"/>
      <c r="S1063" s="4"/>
      <c r="T1063" s="4"/>
      <c r="U1063" s="4"/>
      <c r="V1063" s="4"/>
      <c r="W1063" s="4"/>
      <c r="X1063" s="4"/>
    </row>
    <row r="1064" spans="17:24" x14ac:dyDescent="0.3">
      <c r="Q1064" s="4"/>
      <c r="R1064" s="4"/>
      <c r="S1064" s="4"/>
      <c r="T1064" s="4"/>
      <c r="U1064" s="4"/>
      <c r="V1064" s="4"/>
      <c r="W1064" s="4"/>
      <c r="X1064" s="4"/>
    </row>
    <row r="1065" spans="17:24" x14ac:dyDescent="0.3">
      <c r="Q1065" s="4"/>
      <c r="R1065" s="4"/>
      <c r="S1065" s="4"/>
      <c r="T1065" s="4"/>
      <c r="U1065" s="4"/>
      <c r="V1065" s="4"/>
      <c r="W1065" s="4"/>
      <c r="X1065" s="4"/>
    </row>
    <row r="1066" spans="17:24" x14ac:dyDescent="0.3">
      <c r="Q1066" s="4"/>
      <c r="R1066" s="4"/>
      <c r="S1066" s="4"/>
      <c r="T1066" s="4"/>
      <c r="U1066" s="4"/>
      <c r="V1066" s="4"/>
      <c r="W1066" s="4"/>
      <c r="X1066" s="4"/>
    </row>
    <row r="1067" spans="17:24" x14ac:dyDescent="0.3">
      <c r="Q1067" s="4"/>
      <c r="R1067" s="4"/>
      <c r="S1067" s="4"/>
      <c r="T1067" s="4"/>
      <c r="U1067" s="4"/>
      <c r="V1067" s="4"/>
      <c r="W1067" s="4"/>
      <c r="X1067" s="4"/>
    </row>
    <row r="1068" spans="17:24" x14ac:dyDescent="0.3">
      <c r="Q1068" s="4"/>
      <c r="R1068" s="4"/>
      <c r="S1068" s="4"/>
      <c r="T1068" s="4"/>
      <c r="U1068" s="4"/>
      <c r="V1068" s="4"/>
      <c r="W1068" s="4"/>
      <c r="X1068" s="4"/>
    </row>
    <row r="1069" spans="17:24" x14ac:dyDescent="0.3">
      <c r="Q1069" s="4"/>
      <c r="R1069" s="4"/>
      <c r="S1069" s="4"/>
      <c r="T1069" s="4"/>
      <c r="U1069" s="4"/>
      <c r="V1069" s="4"/>
      <c r="W1069" s="4"/>
      <c r="X1069" s="4"/>
    </row>
    <row r="1070" spans="17:24" x14ac:dyDescent="0.3">
      <c r="Q1070" s="4"/>
      <c r="R1070" s="4"/>
      <c r="S1070" s="4"/>
      <c r="T1070" s="4"/>
      <c r="U1070" s="4"/>
      <c r="V1070" s="4"/>
      <c r="W1070" s="4"/>
      <c r="X1070" s="4"/>
    </row>
    <row r="1071" spans="17:24" x14ac:dyDescent="0.3">
      <c r="Q1071" s="4"/>
      <c r="R1071" s="4"/>
      <c r="S1071" s="4"/>
      <c r="T1071" s="4"/>
      <c r="U1071" s="4"/>
      <c r="V1071" s="4"/>
      <c r="W1071" s="4"/>
      <c r="X1071" s="4"/>
    </row>
    <row r="1072" spans="17:24" x14ac:dyDescent="0.3">
      <c r="Q1072" s="4"/>
      <c r="R1072" s="4"/>
      <c r="S1072" s="4"/>
      <c r="T1072" s="4"/>
      <c r="U1072" s="4"/>
      <c r="V1072" s="4"/>
      <c r="W1072" s="4"/>
      <c r="X1072" s="4"/>
    </row>
    <row r="1073" spans="17:24" x14ac:dyDescent="0.3">
      <c r="Q1073" s="4"/>
      <c r="R1073" s="4"/>
      <c r="S1073" s="4"/>
      <c r="T1073" s="4"/>
      <c r="U1073" s="4"/>
      <c r="V1073" s="4"/>
      <c r="W1073" s="4"/>
      <c r="X1073" s="4"/>
    </row>
    <row r="1074" spans="17:24" x14ac:dyDescent="0.3">
      <c r="Q1074" s="4"/>
      <c r="R1074" s="4"/>
      <c r="S1074" s="4"/>
      <c r="T1074" s="4"/>
      <c r="U1074" s="4"/>
      <c r="V1074" s="4"/>
      <c r="W1074" s="4"/>
      <c r="X1074" s="4"/>
    </row>
    <row r="1075" spans="17:24" x14ac:dyDescent="0.3">
      <c r="Q1075" s="4"/>
      <c r="R1075" s="4"/>
      <c r="S1075" s="4"/>
      <c r="T1075" s="4"/>
      <c r="U1075" s="4"/>
      <c r="V1075" s="4"/>
      <c r="W1075" s="4"/>
      <c r="X1075" s="4"/>
    </row>
    <row r="1076" spans="17:24" x14ac:dyDescent="0.3">
      <c r="Q1076" s="4"/>
      <c r="R1076" s="4"/>
      <c r="S1076" s="4"/>
      <c r="T1076" s="4"/>
      <c r="U1076" s="4"/>
      <c r="V1076" s="4"/>
      <c r="W1076" s="4"/>
      <c r="X1076" s="4"/>
    </row>
    <row r="1077" spans="17:24" x14ac:dyDescent="0.3">
      <c r="Q1077" s="4"/>
      <c r="R1077" s="4"/>
      <c r="S1077" s="4"/>
      <c r="T1077" s="4"/>
      <c r="U1077" s="4"/>
      <c r="V1077" s="4"/>
      <c r="W1077" s="4"/>
      <c r="X1077" s="4"/>
    </row>
    <row r="1078" spans="17:24" x14ac:dyDescent="0.3">
      <c r="Q1078" s="4"/>
      <c r="R1078" s="4"/>
      <c r="S1078" s="4"/>
      <c r="T1078" s="4"/>
      <c r="U1078" s="4"/>
      <c r="V1078" s="4"/>
      <c r="W1078" s="4"/>
      <c r="X1078" s="4"/>
    </row>
    <row r="1079" spans="17:24" x14ac:dyDescent="0.3">
      <c r="Q1079" s="4"/>
      <c r="R1079" s="4"/>
      <c r="S1079" s="4"/>
      <c r="T1079" s="4"/>
      <c r="U1079" s="4"/>
      <c r="V1079" s="4"/>
      <c r="W1079" s="4"/>
      <c r="X1079" s="4"/>
    </row>
    <row r="1080" spans="17:24" x14ac:dyDescent="0.3">
      <c r="Q1080" s="4"/>
      <c r="R1080" s="4"/>
      <c r="S1080" s="4"/>
      <c r="T1080" s="4"/>
      <c r="U1080" s="4"/>
      <c r="V1080" s="4"/>
      <c r="W1080" s="4"/>
      <c r="X1080" s="4"/>
    </row>
    <row r="1081" spans="17:24" x14ac:dyDescent="0.3">
      <c r="Q1081" s="4"/>
      <c r="R1081" s="4"/>
      <c r="S1081" s="4"/>
      <c r="T1081" s="4"/>
      <c r="U1081" s="4"/>
      <c r="V1081" s="4"/>
      <c r="W1081" s="4"/>
      <c r="X1081" s="4"/>
    </row>
    <row r="1082" spans="17:24" x14ac:dyDescent="0.3">
      <c r="Q1082" s="4"/>
      <c r="R1082" s="4"/>
      <c r="S1082" s="4"/>
      <c r="T1082" s="4"/>
      <c r="U1082" s="4"/>
      <c r="V1082" s="4"/>
      <c r="W1082" s="4"/>
      <c r="X1082" s="4"/>
    </row>
    <row r="1083" spans="17:24" x14ac:dyDescent="0.3">
      <c r="Q1083" s="4"/>
      <c r="R1083" s="4"/>
      <c r="S1083" s="4"/>
      <c r="T1083" s="4"/>
      <c r="U1083" s="4"/>
      <c r="V1083" s="4"/>
      <c r="W1083" s="4"/>
      <c r="X1083" s="4"/>
    </row>
    <row r="1084" spans="17:24" x14ac:dyDescent="0.3">
      <c r="Q1084" s="4"/>
      <c r="R1084" s="4"/>
      <c r="S1084" s="4"/>
      <c r="T1084" s="4"/>
      <c r="U1084" s="4"/>
      <c r="V1084" s="4"/>
      <c r="W1084" s="4"/>
      <c r="X1084" s="4"/>
    </row>
    <row r="1085" spans="17:24" x14ac:dyDescent="0.3">
      <c r="Q1085" s="4"/>
      <c r="R1085" s="4"/>
      <c r="S1085" s="4"/>
      <c r="T1085" s="4"/>
      <c r="U1085" s="4"/>
      <c r="V1085" s="4"/>
      <c r="W1085" s="4"/>
      <c r="X1085" s="4"/>
    </row>
    <row r="1086" spans="17:24" x14ac:dyDescent="0.3">
      <c r="Q1086" s="4"/>
      <c r="R1086" s="4"/>
      <c r="S1086" s="4"/>
      <c r="T1086" s="4"/>
      <c r="U1086" s="4"/>
      <c r="V1086" s="4"/>
      <c r="W1086" s="4"/>
      <c r="X1086" s="4"/>
    </row>
    <row r="1087" spans="17:24" x14ac:dyDescent="0.3">
      <c r="Q1087" s="4"/>
      <c r="R1087" s="4"/>
      <c r="S1087" s="4"/>
      <c r="T1087" s="4"/>
      <c r="U1087" s="4"/>
      <c r="V1087" s="4"/>
      <c r="W1087" s="4"/>
      <c r="X1087" s="4"/>
    </row>
    <row r="1088" spans="17:24" x14ac:dyDescent="0.3">
      <c r="Q1088" s="4"/>
      <c r="R1088" s="4"/>
      <c r="S1088" s="4"/>
      <c r="T1088" s="4"/>
      <c r="U1088" s="4"/>
      <c r="V1088" s="4"/>
      <c r="W1088" s="4"/>
      <c r="X1088" s="4"/>
    </row>
    <row r="1089" spans="17:24" x14ac:dyDescent="0.3">
      <c r="Q1089" s="4"/>
      <c r="R1089" s="4"/>
      <c r="S1089" s="4"/>
      <c r="T1089" s="4"/>
      <c r="U1089" s="4"/>
      <c r="V1089" s="4"/>
      <c r="W1089" s="4"/>
      <c r="X1089" s="4"/>
    </row>
    <row r="1090" spans="17:24" x14ac:dyDescent="0.3">
      <c r="Q1090" s="4"/>
      <c r="R1090" s="4"/>
      <c r="S1090" s="4"/>
      <c r="T1090" s="4"/>
      <c r="U1090" s="4"/>
      <c r="V1090" s="4"/>
      <c r="W1090" s="4"/>
      <c r="X1090" s="4"/>
    </row>
    <row r="1091" spans="17:24" x14ac:dyDescent="0.3">
      <c r="Q1091" s="4"/>
      <c r="R1091" s="4"/>
      <c r="S1091" s="4"/>
      <c r="T1091" s="4"/>
      <c r="U1091" s="4"/>
      <c r="V1091" s="4"/>
      <c r="W1091" s="4"/>
      <c r="X1091" s="4"/>
    </row>
    <row r="1092" spans="17:24" x14ac:dyDescent="0.3">
      <c r="Q1092" s="4"/>
      <c r="R1092" s="4"/>
      <c r="S1092" s="4"/>
      <c r="T1092" s="4"/>
      <c r="U1092" s="4"/>
      <c r="V1092" s="4"/>
      <c r="W1092" s="4"/>
      <c r="X1092" s="4"/>
    </row>
    <row r="1093" spans="17:24" x14ac:dyDescent="0.3">
      <c r="Q1093" s="4"/>
      <c r="R1093" s="4"/>
      <c r="S1093" s="4"/>
      <c r="T1093" s="4"/>
      <c r="U1093" s="4"/>
      <c r="V1093" s="4"/>
      <c r="W1093" s="4"/>
      <c r="X1093" s="4"/>
    </row>
    <row r="1094" spans="17:24" x14ac:dyDescent="0.3">
      <c r="Q1094" s="4"/>
      <c r="R1094" s="4"/>
      <c r="S1094" s="4"/>
      <c r="T1094" s="4"/>
      <c r="U1094" s="4"/>
      <c r="V1094" s="4"/>
      <c r="W1094" s="4"/>
      <c r="X1094" s="4"/>
    </row>
    <row r="1095" spans="17:24" x14ac:dyDescent="0.3">
      <c r="Q1095" s="4"/>
      <c r="R1095" s="4"/>
      <c r="S1095" s="4"/>
      <c r="T1095" s="4"/>
      <c r="U1095" s="4"/>
      <c r="V1095" s="4"/>
      <c r="W1095" s="4"/>
      <c r="X1095" s="4"/>
    </row>
    <row r="1096" spans="17:24" x14ac:dyDescent="0.3">
      <c r="Q1096" s="4"/>
      <c r="R1096" s="4"/>
      <c r="S1096" s="4"/>
      <c r="T1096" s="4"/>
      <c r="U1096" s="4"/>
      <c r="V1096" s="4"/>
      <c r="W1096" s="4"/>
      <c r="X1096" s="4"/>
    </row>
    <row r="1097" spans="17:24" x14ac:dyDescent="0.3">
      <c r="Q1097" s="4"/>
      <c r="R1097" s="4"/>
      <c r="S1097" s="4"/>
      <c r="T1097" s="4"/>
      <c r="U1097" s="4"/>
      <c r="V1097" s="4"/>
      <c r="W1097" s="4"/>
      <c r="X1097" s="4"/>
    </row>
    <row r="1098" spans="17:24" x14ac:dyDescent="0.3">
      <c r="Q1098" s="4"/>
      <c r="R1098" s="4"/>
      <c r="S1098" s="4"/>
      <c r="T1098" s="4"/>
      <c r="U1098" s="4"/>
      <c r="V1098" s="4"/>
      <c r="W1098" s="4"/>
      <c r="X1098" s="4"/>
    </row>
    <row r="1099" spans="17:24" x14ac:dyDescent="0.3">
      <c r="Q1099" s="4"/>
      <c r="R1099" s="4"/>
      <c r="S1099" s="4"/>
      <c r="T1099" s="4"/>
      <c r="U1099" s="4"/>
      <c r="V1099" s="4"/>
      <c r="W1099" s="4"/>
      <c r="X1099" s="4"/>
    </row>
    <row r="1100" spans="17:24" x14ac:dyDescent="0.3">
      <c r="Q1100" s="4"/>
      <c r="R1100" s="4"/>
      <c r="S1100" s="4"/>
      <c r="T1100" s="4"/>
      <c r="U1100" s="4"/>
      <c r="V1100" s="4"/>
      <c r="W1100" s="4"/>
      <c r="X1100" s="4"/>
    </row>
    <row r="1101" spans="17:24" x14ac:dyDescent="0.3">
      <c r="Q1101" s="4"/>
      <c r="R1101" s="4"/>
      <c r="S1101" s="4"/>
      <c r="T1101" s="4"/>
      <c r="U1101" s="4"/>
      <c r="V1101" s="4"/>
      <c r="W1101" s="4"/>
      <c r="X1101" s="4"/>
    </row>
    <row r="1102" spans="17:24" x14ac:dyDescent="0.3">
      <c r="Q1102" s="4"/>
      <c r="R1102" s="4"/>
      <c r="S1102" s="4"/>
      <c r="T1102" s="4"/>
      <c r="U1102" s="4"/>
      <c r="V1102" s="4"/>
      <c r="W1102" s="4"/>
      <c r="X1102" s="4"/>
    </row>
    <row r="1103" spans="17:24" x14ac:dyDescent="0.3">
      <c r="Q1103" s="4"/>
      <c r="R1103" s="4"/>
      <c r="S1103" s="4"/>
      <c r="T1103" s="4"/>
      <c r="U1103" s="4"/>
      <c r="V1103" s="4"/>
      <c r="W1103" s="4"/>
      <c r="X1103" s="4"/>
    </row>
    <row r="1104" spans="17:24" x14ac:dyDescent="0.3">
      <c r="Q1104" s="4"/>
      <c r="R1104" s="4"/>
      <c r="S1104" s="4"/>
      <c r="T1104" s="4"/>
      <c r="U1104" s="4"/>
      <c r="V1104" s="4"/>
      <c r="W1104" s="4"/>
      <c r="X1104" s="4"/>
    </row>
    <row r="1105" spans="17:24" x14ac:dyDescent="0.3">
      <c r="Q1105" s="4"/>
      <c r="R1105" s="4"/>
      <c r="S1105" s="4"/>
      <c r="T1105" s="4"/>
      <c r="U1105" s="4"/>
      <c r="V1105" s="4"/>
      <c r="W1105" s="4"/>
      <c r="X1105" s="4"/>
    </row>
    <row r="1106" spans="17:24" x14ac:dyDescent="0.3">
      <c r="Q1106" s="4"/>
      <c r="R1106" s="4"/>
      <c r="S1106" s="4"/>
      <c r="T1106" s="4"/>
      <c r="U1106" s="4"/>
      <c r="V1106" s="4"/>
      <c r="W1106" s="4"/>
      <c r="X1106" s="4"/>
    </row>
    <row r="1107" spans="17:24" x14ac:dyDescent="0.3">
      <c r="Q1107" s="4"/>
      <c r="R1107" s="4"/>
      <c r="S1107" s="4"/>
      <c r="T1107" s="4"/>
      <c r="U1107" s="4"/>
      <c r="V1107" s="4"/>
      <c r="W1107" s="4"/>
      <c r="X1107" s="4"/>
    </row>
    <row r="1108" spans="17:24" x14ac:dyDescent="0.3">
      <c r="Q1108" s="4"/>
      <c r="R1108" s="4"/>
      <c r="S1108" s="4"/>
      <c r="T1108" s="4"/>
      <c r="U1108" s="4"/>
      <c r="V1108" s="4"/>
      <c r="W1108" s="4"/>
      <c r="X1108" s="4"/>
    </row>
    <row r="1109" spans="17:24" x14ac:dyDescent="0.3">
      <c r="Q1109" s="4"/>
      <c r="R1109" s="4"/>
      <c r="S1109" s="4"/>
      <c r="T1109" s="4"/>
      <c r="U1109" s="4"/>
      <c r="V1109" s="4"/>
      <c r="W1109" s="4"/>
      <c r="X1109" s="4"/>
    </row>
    <row r="1110" spans="17:24" x14ac:dyDescent="0.3">
      <c r="Q1110" s="4"/>
      <c r="R1110" s="4"/>
      <c r="S1110" s="4"/>
      <c r="T1110" s="4"/>
      <c r="U1110" s="4"/>
      <c r="V1110" s="4"/>
      <c r="W1110" s="4"/>
      <c r="X1110" s="4"/>
    </row>
    <row r="1111" spans="17:24" x14ac:dyDescent="0.3">
      <c r="Q1111" s="4"/>
      <c r="R1111" s="4"/>
      <c r="S1111" s="4"/>
      <c r="T1111" s="4"/>
      <c r="U1111" s="4"/>
      <c r="V1111" s="4"/>
      <c r="W1111" s="4"/>
      <c r="X1111" s="4"/>
    </row>
    <row r="1112" spans="17:24" x14ac:dyDescent="0.3">
      <c r="Q1112" s="4"/>
      <c r="R1112" s="4"/>
      <c r="S1112" s="4"/>
      <c r="T1112" s="4"/>
      <c r="U1112" s="4"/>
      <c r="V1112" s="4"/>
      <c r="W1112" s="4"/>
      <c r="X1112" s="4"/>
    </row>
    <row r="1113" spans="17:24" x14ac:dyDescent="0.3">
      <c r="Q1113" s="4"/>
      <c r="R1113" s="4"/>
      <c r="S1113" s="4"/>
      <c r="T1113" s="4"/>
      <c r="U1113" s="4"/>
      <c r="V1113" s="4"/>
      <c r="W1113" s="4"/>
      <c r="X1113" s="4"/>
    </row>
    <row r="1114" spans="17:24" x14ac:dyDescent="0.3">
      <c r="Q1114" s="4"/>
      <c r="R1114" s="4"/>
      <c r="S1114" s="4"/>
      <c r="T1114" s="4"/>
      <c r="U1114" s="4"/>
      <c r="V1114" s="4"/>
      <c r="W1114" s="4"/>
      <c r="X1114" s="4"/>
    </row>
    <row r="1115" spans="17:24" x14ac:dyDescent="0.3">
      <c r="Q1115" s="4"/>
      <c r="R1115" s="4"/>
      <c r="S1115" s="4"/>
      <c r="T1115" s="4"/>
      <c r="U1115" s="4"/>
      <c r="V1115" s="4"/>
      <c r="W1115" s="4"/>
      <c r="X1115" s="4"/>
    </row>
    <row r="1116" spans="17:24" x14ac:dyDescent="0.3">
      <c r="Q1116" s="4"/>
      <c r="R1116" s="4"/>
      <c r="S1116" s="4"/>
      <c r="T1116" s="4"/>
      <c r="U1116" s="4"/>
      <c r="V1116" s="4"/>
      <c r="W1116" s="4"/>
      <c r="X1116" s="4"/>
    </row>
    <row r="1117" spans="17:24" x14ac:dyDescent="0.3">
      <c r="Q1117" s="4"/>
      <c r="R1117" s="4"/>
      <c r="S1117" s="4"/>
      <c r="T1117" s="4"/>
      <c r="U1117" s="4"/>
      <c r="V1117" s="4"/>
      <c r="W1117" s="4"/>
      <c r="X1117" s="4"/>
    </row>
    <row r="1118" spans="17:24" x14ac:dyDescent="0.3">
      <c r="Q1118" s="4"/>
      <c r="R1118" s="4"/>
      <c r="S1118" s="4"/>
      <c r="T1118" s="4"/>
      <c r="U1118" s="4"/>
      <c r="V1118" s="4"/>
      <c r="W1118" s="4"/>
      <c r="X1118" s="4"/>
    </row>
    <row r="1119" spans="17:24" x14ac:dyDescent="0.3">
      <c r="Q1119" s="4"/>
      <c r="R1119" s="4"/>
      <c r="S1119" s="4"/>
      <c r="T1119" s="4"/>
      <c r="U1119" s="4"/>
      <c r="V1119" s="4"/>
      <c r="W1119" s="4"/>
      <c r="X1119" s="4"/>
    </row>
    <row r="1120" spans="17:24" x14ac:dyDescent="0.3">
      <c r="Q1120" s="4"/>
      <c r="R1120" s="4"/>
      <c r="S1120" s="4"/>
      <c r="T1120" s="4"/>
      <c r="U1120" s="4"/>
      <c r="V1120" s="4"/>
      <c r="W1120" s="4"/>
      <c r="X1120" s="4"/>
    </row>
    <row r="1121" spans="17:24" x14ac:dyDescent="0.3">
      <c r="Q1121" s="4"/>
      <c r="R1121" s="4"/>
      <c r="S1121" s="4"/>
      <c r="T1121" s="4"/>
      <c r="U1121" s="4"/>
      <c r="V1121" s="4"/>
      <c r="W1121" s="4"/>
      <c r="X1121" s="4"/>
    </row>
    <row r="1122" spans="17:24" x14ac:dyDescent="0.3">
      <c r="Q1122" s="4"/>
      <c r="R1122" s="4"/>
      <c r="S1122" s="4"/>
      <c r="T1122" s="4"/>
      <c r="U1122" s="4"/>
      <c r="V1122" s="4"/>
      <c r="W1122" s="4"/>
      <c r="X1122" s="4"/>
    </row>
    <row r="1123" spans="17:24" x14ac:dyDescent="0.3">
      <c r="Q1123" s="4"/>
      <c r="R1123" s="4"/>
      <c r="S1123" s="4"/>
      <c r="T1123" s="4"/>
      <c r="U1123" s="4"/>
      <c r="V1123" s="4"/>
      <c r="W1123" s="4"/>
      <c r="X1123" s="4"/>
    </row>
    <row r="1124" spans="17:24" x14ac:dyDescent="0.3">
      <c r="Q1124" s="4"/>
      <c r="R1124" s="4"/>
      <c r="S1124" s="4"/>
      <c r="T1124" s="4"/>
      <c r="U1124" s="4"/>
      <c r="V1124" s="4"/>
      <c r="W1124" s="4"/>
      <c r="X1124" s="4"/>
    </row>
    <row r="1125" spans="17:24" x14ac:dyDescent="0.3">
      <c r="Q1125" s="4"/>
      <c r="R1125" s="4"/>
      <c r="S1125" s="4"/>
      <c r="T1125" s="4"/>
      <c r="U1125" s="4"/>
      <c r="V1125" s="4"/>
      <c r="W1125" s="4"/>
      <c r="X1125" s="4"/>
    </row>
    <row r="1126" spans="17:24" x14ac:dyDescent="0.3">
      <c r="Q1126" s="4"/>
      <c r="R1126" s="4"/>
      <c r="S1126" s="4"/>
      <c r="T1126" s="4"/>
      <c r="U1126" s="4"/>
      <c r="V1126" s="4"/>
      <c r="W1126" s="4"/>
      <c r="X1126" s="4"/>
    </row>
    <row r="1127" spans="17:24" x14ac:dyDescent="0.3">
      <c r="Q1127" s="4"/>
      <c r="R1127" s="4"/>
      <c r="S1127" s="4"/>
      <c r="T1127" s="4"/>
      <c r="U1127" s="4"/>
      <c r="V1127" s="4"/>
      <c r="W1127" s="4"/>
      <c r="X1127" s="4"/>
    </row>
    <row r="1128" spans="17:24" x14ac:dyDescent="0.3">
      <c r="Q1128" s="4"/>
      <c r="R1128" s="4"/>
      <c r="S1128" s="4"/>
      <c r="T1128" s="4"/>
      <c r="U1128" s="4"/>
      <c r="V1128" s="4"/>
      <c r="W1128" s="4"/>
      <c r="X1128" s="4"/>
    </row>
    <row r="1129" spans="17:24" x14ac:dyDescent="0.3">
      <c r="Q1129" s="4"/>
      <c r="R1129" s="4"/>
      <c r="S1129" s="4"/>
      <c r="T1129" s="4"/>
      <c r="U1129" s="4"/>
      <c r="V1129" s="4"/>
      <c r="W1129" s="4"/>
      <c r="X1129" s="4"/>
    </row>
    <row r="1130" spans="17:24" x14ac:dyDescent="0.3">
      <c r="Q1130" s="4"/>
      <c r="R1130" s="4"/>
      <c r="S1130" s="4"/>
      <c r="T1130" s="4"/>
      <c r="U1130" s="4"/>
      <c r="V1130" s="4"/>
      <c r="W1130" s="4"/>
      <c r="X1130" s="4"/>
    </row>
    <row r="1131" spans="17:24" x14ac:dyDescent="0.3">
      <c r="Q1131" s="4"/>
      <c r="R1131" s="4"/>
      <c r="S1131" s="4"/>
      <c r="T1131" s="4"/>
      <c r="U1131" s="4"/>
      <c r="V1131" s="4"/>
      <c r="W1131" s="4"/>
      <c r="X1131" s="4"/>
    </row>
    <row r="1132" spans="17:24" x14ac:dyDescent="0.3">
      <c r="Q1132" s="4"/>
      <c r="R1132" s="4"/>
      <c r="S1132" s="4"/>
      <c r="T1132" s="4"/>
      <c r="U1132" s="4"/>
      <c r="V1132" s="4"/>
      <c r="W1132" s="4"/>
      <c r="X1132" s="4"/>
    </row>
    <row r="1133" spans="17:24" x14ac:dyDescent="0.3">
      <c r="Q1133" s="4"/>
      <c r="R1133" s="4"/>
      <c r="S1133" s="4"/>
      <c r="T1133" s="4"/>
      <c r="U1133" s="4"/>
      <c r="V1133" s="4"/>
      <c r="W1133" s="4"/>
      <c r="X1133" s="4"/>
    </row>
    <row r="1134" spans="17:24" x14ac:dyDescent="0.3">
      <c r="Q1134" s="4"/>
      <c r="R1134" s="4"/>
      <c r="S1134" s="4"/>
      <c r="T1134" s="4"/>
      <c r="U1134" s="4"/>
      <c r="V1134" s="4"/>
      <c r="W1134" s="4"/>
      <c r="X1134" s="4"/>
    </row>
    <row r="1135" spans="17:24" x14ac:dyDescent="0.3">
      <c r="Q1135" s="4"/>
      <c r="R1135" s="4"/>
      <c r="S1135" s="4"/>
      <c r="T1135" s="4"/>
      <c r="U1135" s="4"/>
      <c r="V1135" s="4"/>
      <c r="W1135" s="4"/>
      <c r="X1135" s="4"/>
    </row>
    <row r="1136" spans="17:24" x14ac:dyDescent="0.3">
      <c r="Q1136" s="4"/>
      <c r="R1136" s="4"/>
      <c r="S1136" s="4"/>
      <c r="T1136" s="4"/>
      <c r="U1136" s="4"/>
      <c r="V1136" s="4"/>
      <c r="W1136" s="4"/>
      <c r="X1136" s="4"/>
    </row>
    <row r="1137" spans="17:24" x14ac:dyDescent="0.3">
      <c r="Q1137" s="4"/>
      <c r="R1137" s="4"/>
      <c r="S1137" s="4"/>
      <c r="T1137" s="4"/>
      <c r="U1137" s="4"/>
      <c r="V1137" s="4"/>
      <c r="W1137" s="4"/>
      <c r="X1137" s="4"/>
    </row>
    <row r="1138" spans="17:24" x14ac:dyDescent="0.3">
      <c r="Q1138" s="4"/>
      <c r="R1138" s="4"/>
      <c r="S1138" s="4"/>
      <c r="T1138" s="4"/>
      <c r="U1138" s="4"/>
      <c r="V1138" s="4"/>
      <c r="W1138" s="4"/>
      <c r="X1138" s="4"/>
    </row>
    <row r="1139" spans="17:24" x14ac:dyDescent="0.3">
      <c r="Q1139" s="4"/>
      <c r="R1139" s="4"/>
      <c r="S1139" s="4"/>
      <c r="T1139" s="4"/>
      <c r="U1139" s="4"/>
      <c r="V1139" s="4"/>
      <c r="W1139" s="4"/>
      <c r="X1139" s="4"/>
    </row>
    <row r="1140" spans="17:24" x14ac:dyDescent="0.3">
      <c r="Q1140" s="4"/>
      <c r="R1140" s="4"/>
      <c r="S1140" s="4"/>
      <c r="T1140" s="4"/>
      <c r="U1140" s="4"/>
      <c r="V1140" s="4"/>
      <c r="W1140" s="4"/>
      <c r="X1140" s="4"/>
    </row>
    <row r="1141" spans="17:24" x14ac:dyDescent="0.3">
      <c r="Q1141" s="4"/>
      <c r="R1141" s="4"/>
      <c r="S1141" s="4"/>
      <c r="T1141" s="4"/>
      <c r="U1141" s="4"/>
      <c r="V1141" s="4"/>
      <c r="W1141" s="4"/>
      <c r="X1141" s="4"/>
    </row>
    <row r="1142" spans="17:24" x14ac:dyDescent="0.3">
      <c r="Q1142" s="4"/>
      <c r="R1142" s="4"/>
      <c r="S1142" s="4"/>
      <c r="T1142" s="4"/>
      <c r="U1142" s="4"/>
      <c r="V1142" s="4"/>
      <c r="W1142" s="4"/>
      <c r="X1142" s="4"/>
    </row>
    <row r="1143" spans="17:24" x14ac:dyDescent="0.3">
      <c r="Q1143" s="4"/>
      <c r="R1143" s="4"/>
      <c r="S1143" s="4"/>
      <c r="T1143" s="4"/>
      <c r="U1143" s="4"/>
      <c r="V1143" s="4"/>
      <c r="W1143" s="4"/>
      <c r="X1143" s="4"/>
    </row>
    <row r="1144" spans="17:24" x14ac:dyDescent="0.3">
      <c r="Q1144" s="4"/>
      <c r="R1144" s="4"/>
      <c r="S1144" s="4"/>
      <c r="T1144" s="4"/>
      <c r="U1144" s="4"/>
      <c r="V1144" s="4"/>
      <c r="W1144" s="4"/>
      <c r="X1144" s="4"/>
    </row>
    <row r="1145" spans="17:24" x14ac:dyDescent="0.3">
      <c r="Q1145" s="4"/>
      <c r="R1145" s="4"/>
      <c r="S1145" s="4"/>
      <c r="T1145" s="4"/>
      <c r="U1145" s="4"/>
      <c r="V1145" s="4"/>
      <c r="W1145" s="4"/>
      <c r="X1145" s="4"/>
    </row>
    <row r="1146" spans="17:24" x14ac:dyDescent="0.3">
      <c r="Q1146" s="4"/>
      <c r="R1146" s="4"/>
      <c r="S1146" s="4"/>
      <c r="T1146" s="4"/>
      <c r="U1146" s="4"/>
      <c r="V1146" s="4"/>
      <c r="W1146" s="4"/>
      <c r="X1146" s="4"/>
    </row>
    <row r="1147" spans="17:24" x14ac:dyDescent="0.3">
      <c r="Q1147" s="4"/>
      <c r="R1147" s="4"/>
      <c r="S1147" s="4"/>
      <c r="T1147" s="4"/>
      <c r="U1147" s="4"/>
      <c r="V1147" s="4"/>
      <c r="W1147" s="4"/>
      <c r="X1147" s="4"/>
    </row>
    <row r="1148" spans="17:24" x14ac:dyDescent="0.3">
      <c r="Q1148" s="4"/>
      <c r="R1148" s="4"/>
      <c r="S1148" s="4"/>
      <c r="T1148" s="4"/>
      <c r="U1148" s="4"/>
      <c r="V1148" s="4"/>
      <c r="W1148" s="4"/>
      <c r="X1148" s="4"/>
    </row>
    <row r="1149" spans="17:24" x14ac:dyDescent="0.3">
      <c r="Q1149" s="4"/>
      <c r="R1149" s="4"/>
      <c r="S1149" s="4"/>
      <c r="T1149" s="4"/>
      <c r="U1149" s="4"/>
      <c r="V1149" s="4"/>
      <c r="W1149" s="4"/>
      <c r="X1149" s="4"/>
    </row>
    <row r="1150" spans="17:24" x14ac:dyDescent="0.3">
      <c r="Q1150" s="4"/>
      <c r="R1150" s="4"/>
      <c r="S1150" s="4"/>
      <c r="T1150" s="4"/>
      <c r="U1150" s="4"/>
      <c r="V1150" s="4"/>
      <c r="W1150" s="4"/>
      <c r="X1150" s="4"/>
    </row>
    <row r="1151" spans="17:24" x14ac:dyDescent="0.3">
      <c r="Q1151" s="4"/>
      <c r="R1151" s="4"/>
      <c r="S1151" s="4"/>
      <c r="T1151" s="4"/>
      <c r="U1151" s="4"/>
      <c r="V1151" s="4"/>
      <c r="W1151" s="4"/>
      <c r="X1151" s="4"/>
    </row>
    <row r="1152" spans="17:24" x14ac:dyDescent="0.3">
      <c r="Q1152" s="4"/>
      <c r="R1152" s="4"/>
      <c r="S1152" s="4"/>
      <c r="T1152" s="4"/>
      <c r="U1152" s="4"/>
      <c r="V1152" s="4"/>
      <c r="W1152" s="4"/>
      <c r="X1152" s="4"/>
    </row>
    <row r="1153" spans="17:24" x14ac:dyDescent="0.3">
      <c r="Q1153" s="4"/>
      <c r="R1153" s="4"/>
      <c r="S1153" s="4"/>
      <c r="T1153" s="4"/>
      <c r="U1153" s="4"/>
      <c r="V1153" s="4"/>
      <c r="W1153" s="4"/>
      <c r="X1153" s="4"/>
    </row>
    <row r="1154" spans="17:24" x14ac:dyDescent="0.3">
      <c r="Q1154" s="4"/>
      <c r="R1154" s="4"/>
      <c r="S1154" s="4"/>
      <c r="T1154" s="4"/>
      <c r="U1154" s="4"/>
      <c r="V1154" s="4"/>
      <c r="W1154" s="4"/>
      <c r="X1154" s="4"/>
    </row>
    <row r="1155" spans="17:24" x14ac:dyDescent="0.3">
      <c r="Q1155" s="4"/>
      <c r="R1155" s="4"/>
      <c r="S1155" s="4"/>
      <c r="T1155" s="4"/>
      <c r="U1155" s="4"/>
      <c r="V1155" s="4"/>
      <c r="W1155" s="4"/>
      <c r="X1155" s="4"/>
    </row>
    <row r="1156" spans="17:24" x14ac:dyDescent="0.3">
      <c r="Q1156" s="4"/>
      <c r="R1156" s="4"/>
      <c r="S1156" s="4"/>
      <c r="T1156" s="4"/>
      <c r="U1156" s="4"/>
      <c r="V1156" s="4"/>
      <c r="W1156" s="4"/>
      <c r="X1156" s="4"/>
    </row>
    <row r="1157" spans="17:24" x14ac:dyDescent="0.3">
      <c r="Q1157" s="4"/>
      <c r="R1157" s="4"/>
      <c r="S1157" s="4"/>
      <c r="T1157" s="4"/>
      <c r="U1157" s="4"/>
      <c r="V1157" s="4"/>
      <c r="W1157" s="4"/>
      <c r="X1157" s="4"/>
    </row>
    <row r="1158" spans="17:24" x14ac:dyDescent="0.3">
      <c r="Q1158" s="4"/>
      <c r="R1158" s="4"/>
      <c r="S1158" s="4"/>
      <c r="T1158" s="4"/>
      <c r="U1158" s="4"/>
      <c r="V1158" s="4"/>
      <c r="W1158" s="4"/>
      <c r="X1158" s="4"/>
    </row>
    <row r="1159" spans="17:24" x14ac:dyDescent="0.3">
      <c r="Q1159" s="4"/>
      <c r="R1159" s="4"/>
      <c r="S1159" s="4"/>
      <c r="T1159" s="4"/>
      <c r="U1159" s="4"/>
      <c r="V1159" s="4"/>
      <c r="W1159" s="4"/>
      <c r="X1159" s="4"/>
    </row>
    <row r="1160" spans="17:24" x14ac:dyDescent="0.3">
      <c r="Q1160" s="4"/>
      <c r="R1160" s="4"/>
      <c r="S1160" s="4"/>
      <c r="T1160" s="4"/>
      <c r="U1160" s="4"/>
      <c r="V1160" s="4"/>
      <c r="W1160" s="4"/>
      <c r="X1160" s="4"/>
    </row>
    <row r="1161" spans="17:24" x14ac:dyDescent="0.3">
      <c r="Q1161" s="4"/>
      <c r="R1161" s="4"/>
      <c r="S1161" s="4"/>
      <c r="T1161" s="4"/>
      <c r="U1161" s="4"/>
      <c r="V1161" s="4"/>
      <c r="W1161" s="4"/>
      <c r="X1161" s="4"/>
    </row>
    <row r="1162" spans="17:24" x14ac:dyDescent="0.3">
      <c r="Q1162" s="4"/>
      <c r="R1162" s="4"/>
      <c r="S1162" s="4"/>
      <c r="T1162" s="4"/>
      <c r="U1162" s="4"/>
      <c r="V1162" s="4"/>
      <c r="W1162" s="4"/>
      <c r="X1162" s="4"/>
    </row>
    <row r="1163" spans="17:24" x14ac:dyDescent="0.3">
      <c r="Q1163" s="4"/>
      <c r="R1163" s="4"/>
      <c r="S1163" s="4"/>
      <c r="T1163" s="4"/>
      <c r="U1163" s="4"/>
      <c r="V1163" s="4"/>
      <c r="W1163" s="4"/>
      <c r="X1163" s="4"/>
    </row>
    <row r="1164" spans="17:24" x14ac:dyDescent="0.3">
      <c r="Q1164" s="4"/>
      <c r="R1164" s="4"/>
      <c r="S1164" s="4"/>
      <c r="T1164" s="4"/>
      <c r="U1164" s="4"/>
      <c r="V1164" s="4"/>
      <c r="W1164" s="4"/>
      <c r="X1164" s="4"/>
    </row>
    <row r="1165" spans="17:24" x14ac:dyDescent="0.3">
      <c r="Q1165" s="4"/>
      <c r="R1165" s="4"/>
      <c r="S1165" s="4"/>
      <c r="T1165" s="4"/>
      <c r="U1165" s="4"/>
      <c r="V1165" s="4"/>
      <c r="W1165" s="4"/>
      <c r="X1165" s="4"/>
    </row>
    <row r="1166" spans="17:24" x14ac:dyDescent="0.3">
      <c r="Q1166" s="4"/>
      <c r="R1166" s="4"/>
      <c r="S1166" s="4"/>
      <c r="T1166" s="4"/>
      <c r="U1166" s="4"/>
      <c r="V1166" s="4"/>
      <c r="W1166" s="4"/>
      <c r="X1166" s="4"/>
    </row>
    <row r="1167" spans="17:24" x14ac:dyDescent="0.3">
      <c r="Q1167" s="4"/>
      <c r="R1167" s="4"/>
      <c r="S1167" s="4"/>
      <c r="T1167" s="4"/>
      <c r="U1167" s="4"/>
      <c r="V1167" s="4"/>
      <c r="W1167" s="4"/>
      <c r="X1167" s="4"/>
    </row>
    <row r="1168" spans="17:24" x14ac:dyDescent="0.3">
      <c r="Q1168" s="4"/>
      <c r="R1168" s="4"/>
      <c r="S1168" s="4"/>
      <c r="T1168" s="4"/>
      <c r="U1168" s="4"/>
      <c r="V1168" s="4"/>
      <c r="W1168" s="4"/>
      <c r="X1168" s="4"/>
    </row>
    <row r="1169" spans="17:24" x14ac:dyDescent="0.3">
      <c r="Q1169" s="4"/>
      <c r="R1169" s="4"/>
      <c r="S1169" s="4"/>
      <c r="T1169" s="4"/>
      <c r="U1169" s="4"/>
      <c r="V1169" s="4"/>
      <c r="W1169" s="4"/>
      <c r="X1169" s="4"/>
    </row>
    <row r="1170" spans="17:24" x14ac:dyDescent="0.3">
      <c r="Q1170" s="4"/>
      <c r="R1170" s="4"/>
      <c r="S1170" s="4"/>
      <c r="T1170" s="4"/>
      <c r="U1170" s="4"/>
      <c r="V1170" s="4"/>
      <c r="W1170" s="4"/>
      <c r="X1170" s="4"/>
    </row>
    <row r="1171" spans="17:24" x14ac:dyDescent="0.3">
      <c r="Q1171" s="4"/>
      <c r="R1171" s="4"/>
      <c r="S1171" s="4"/>
      <c r="T1171" s="4"/>
      <c r="U1171" s="4"/>
      <c r="V1171" s="4"/>
      <c r="W1171" s="4"/>
      <c r="X1171" s="4"/>
    </row>
    <row r="1172" spans="17:24" x14ac:dyDescent="0.3">
      <c r="Q1172" s="4"/>
      <c r="R1172" s="4"/>
      <c r="S1172" s="4"/>
      <c r="T1172" s="4"/>
      <c r="U1172" s="4"/>
      <c r="V1172" s="4"/>
      <c r="W1172" s="4"/>
      <c r="X1172" s="4"/>
    </row>
    <row r="1173" spans="17:24" x14ac:dyDescent="0.3">
      <c r="Q1173" s="4"/>
      <c r="R1173" s="4"/>
      <c r="S1173" s="4"/>
      <c r="T1173" s="4"/>
      <c r="U1173" s="4"/>
      <c r="V1173" s="4"/>
      <c r="W1173" s="4"/>
      <c r="X1173" s="4"/>
    </row>
    <row r="1174" spans="17:24" x14ac:dyDescent="0.3">
      <c r="Q1174" s="4"/>
      <c r="R1174" s="4"/>
      <c r="S1174" s="4"/>
      <c r="T1174" s="4"/>
      <c r="U1174" s="4"/>
      <c r="V1174" s="4"/>
      <c r="W1174" s="4"/>
      <c r="X1174" s="4"/>
    </row>
    <row r="1175" spans="17:24" x14ac:dyDescent="0.3">
      <c r="Q1175" s="4"/>
      <c r="R1175" s="4"/>
      <c r="S1175" s="4"/>
      <c r="T1175" s="4"/>
      <c r="U1175" s="4"/>
      <c r="V1175" s="4"/>
      <c r="W1175" s="4"/>
      <c r="X1175" s="4"/>
    </row>
    <row r="1176" spans="17:24" x14ac:dyDescent="0.3">
      <c r="Q1176" s="4"/>
      <c r="R1176" s="4"/>
      <c r="S1176" s="4"/>
      <c r="T1176" s="4"/>
      <c r="U1176" s="4"/>
      <c r="V1176" s="4"/>
      <c r="W1176" s="4"/>
      <c r="X1176" s="4"/>
    </row>
    <row r="1177" spans="17:24" x14ac:dyDescent="0.3">
      <c r="Q1177" s="4"/>
      <c r="R1177" s="4"/>
      <c r="S1177" s="4"/>
      <c r="T1177" s="4"/>
      <c r="U1177" s="4"/>
      <c r="V1177" s="4"/>
      <c r="W1177" s="4"/>
      <c r="X1177" s="4"/>
    </row>
    <row r="1178" spans="17:24" x14ac:dyDescent="0.3">
      <c r="Q1178" s="4"/>
      <c r="R1178" s="4"/>
      <c r="S1178" s="4"/>
      <c r="T1178" s="4"/>
      <c r="U1178" s="4"/>
      <c r="V1178" s="4"/>
      <c r="W1178" s="4"/>
      <c r="X1178" s="4"/>
    </row>
    <row r="1179" spans="17:24" x14ac:dyDescent="0.3">
      <c r="Q1179" s="4"/>
      <c r="R1179" s="4"/>
      <c r="S1179" s="4"/>
      <c r="T1179" s="4"/>
      <c r="U1179" s="4"/>
      <c r="V1179" s="4"/>
      <c r="W1179" s="4"/>
      <c r="X1179" s="4"/>
    </row>
    <row r="1180" spans="17:24" x14ac:dyDescent="0.3">
      <c r="Q1180" s="4"/>
      <c r="R1180" s="4"/>
      <c r="S1180" s="4"/>
      <c r="T1180" s="4"/>
      <c r="U1180" s="4"/>
      <c r="V1180" s="4"/>
      <c r="W1180" s="4"/>
      <c r="X1180" s="4"/>
    </row>
    <row r="1181" spans="17:24" x14ac:dyDescent="0.3">
      <c r="Q1181" s="4"/>
      <c r="R1181" s="4"/>
      <c r="S1181" s="4"/>
      <c r="T1181" s="4"/>
      <c r="U1181" s="4"/>
      <c r="V1181" s="4"/>
      <c r="W1181" s="4"/>
      <c r="X1181" s="4"/>
    </row>
    <row r="1182" spans="17:24" x14ac:dyDescent="0.3">
      <c r="Q1182" s="4"/>
      <c r="R1182" s="4"/>
      <c r="S1182" s="4"/>
      <c r="T1182" s="4"/>
      <c r="U1182" s="4"/>
      <c r="V1182" s="4"/>
      <c r="W1182" s="4"/>
      <c r="X1182" s="4"/>
    </row>
    <row r="1183" spans="17:24" x14ac:dyDescent="0.3">
      <c r="Q1183" s="4"/>
      <c r="R1183" s="4"/>
      <c r="S1183" s="4"/>
      <c r="T1183" s="4"/>
      <c r="U1183" s="4"/>
      <c r="V1183" s="4"/>
      <c r="W1183" s="4"/>
      <c r="X1183" s="4"/>
    </row>
    <row r="1184" spans="17:24" x14ac:dyDescent="0.3">
      <c r="Q1184" s="4"/>
      <c r="R1184" s="4"/>
      <c r="S1184" s="4"/>
      <c r="T1184" s="4"/>
      <c r="U1184" s="4"/>
      <c r="V1184" s="4"/>
      <c r="W1184" s="4"/>
      <c r="X1184" s="4"/>
    </row>
    <row r="1185" spans="17:24" x14ac:dyDescent="0.3">
      <c r="Q1185" s="4"/>
      <c r="R1185" s="4"/>
      <c r="S1185" s="4"/>
      <c r="T1185" s="4"/>
      <c r="U1185" s="4"/>
      <c r="V1185" s="4"/>
      <c r="W1185" s="4"/>
      <c r="X1185" s="4"/>
    </row>
    <row r="1186" spans="17:24" x14ac:dyDescent="0.3">
      <c r="Q1186" s="4"/>
      <c r="R1186" s="4"/>
      <c r="S1186" s="4"/>
      <c r="T1186" s="4"/>
      <c r="U1186" s="4"/>
      <c r="V1186" s="4"/>
      <c r="W1186" s="4"/>
      <c r="X1186" s="4"/>
    </row>
    <row r="1187" spans="17:24" x14ac:dyDescent="0.3">
      <c r="Q1187" s="4"/>
      <c r="R1187" s="4"/>
      <c r="S1187" s="4"/>
      <c r="T1187" s="4"/>
      <c r="U1187" s="4"/>
      <c r="V1187" s="4"/>
      <c r="W1187" s="4"/>
      <c r="X1187" s="4"/>
    </row>
    <row r="1188" spans="17:24" x14ac:dyDescent="0.3">
      <c r="Q1188" s="4"/>
      <c r="R1188" s="4"/>
      <c r="S1188" s="4"/>
      <c r="T1188" s="4"/>
      <c r="U1188" s="4"/>
      <c r="V1188" s="4"/>
      <c r="W1188" s="4"/>
      <c r="X1188" s="4"/>
    </row>
    <row r="1189" spans="17:24" x14ac:dyDescent="0.3">
      <c r="Q1189" s="4"/>
      <c r="R1189" s="4"/>
      <c r="S1189" s="4"/>
      <c r="T1189" s="4"/>
      <c r="U1189" s="4"/>
      <c r="V1189" s="4"/>
      <c r="W1189" s="4"/>
      <c r="X1189" s="4"/>
    </row>
    <row r="1190" spans="17:24" x14ac:dyDescent="0.3">
      <c r="Q1190" s="4"/>
      <c r="R1190" s="4"/>
      <c r="S1190" s="4"/>
      <c r="T1190" s="4"/>
      <c r="U1190" s="4"/>
      <c r="V1190" s="4"/>
      <c r="W1190" s="4"/>
      <c r="X1190" s="4"/>
    </row>
    <row r="1191" spans="17:24" x14ac:dyDescent="0.3">
      <c r="Q1191" s="4"/>
      <c r="R1191" s="4"/>
      <c r="S1191" s="4"/>
      <c r="T1191" s="4"/>
      <c r="U1191" s="4"/>
      <c r="V1191" s="4"/>
      <c r="W1191" s="4"/>
      <c r="X1191" s="4"/>
    </row>
    <row r="1192" spans="17:24" x14ac:dyDescent="0.3">
      <c r="Q1192" s="4"/>
      <c r="R1192" s="4"/>
      <c r="S1192" s="4"/>
      <c r="T1192" s="4"/>
      <c r="U1192" s="4"/>
      <c r="V1192" s="4"/>
      <c r="W1192" s="4"/>
      <c r="X1192" s="4"/>
    </row>
    <row r="1193" spans="17:24" x14ac:dyDescent="0.3">
      <c r="Q1193" s="4"/>
      <c r="R1193" s="4"/>
      <c r="S1193" s="4"/>
      <c r="T1193" s="4"/>
      <c r="U1193" s="4"/>
      <c r="V1193" s="4"/>
      <c r="W1193" s="4"/>
      <c r="X1193" s="4"/>
    </row>
    <row r="1194" spans="17:24" x14ac:dyDescent="0.3">
      <c r="Q1194" s="4"/>
      <c r="R1194" s="4"/>
      <c r="S1194" s="4"/>
      <c r="T1194" s="4"/>
      <c r="U1194" s="4"/>
      <c r="V1194" s="4"/>
      <c r="W1194" s="4"/>
      <c r="X1194" s="4"/>
    </row>
    <row r="1195" spans="17:24" x14ac:dyDescent="0.3">
      <c r="Q1195" s="4"/>
      <c r="R1195" s="4"/>
      <c r="S1195" s="4"/>
      <c r="T1195" s="4"/>
      <c r="U1195" s="4"/>
      <c r="V1195" s="4"/>
      <c r="W1195" s="4"/>
      <c r="X1195" s="4"/>
    </row>
    <row r="1196" spans="17:24" x14ac:dyDescent="0.3">
      <c r="Q1196" s="4"/>
      <c r="R1196" s="4"/>
      <c r="S1196" s="4"/>
      <c r="T1196" s="4"/>
      <c r="U1196" s="4"/>
      <c r="V1196" s="4"/>
      <c r="W1196" s="4"/>
      <c r="X1196" s="4"/>
    </row>
    <row r="1197" spans="17:24" x14ac:dyDescent="0.3">
      <c r="Q1197" s="4"/>
      <c r="R1197" s="4"/>
      <c r="S1197" s="4"/>
      <c r="T1197" s="4"/>
      <c r="U1197" s="4"/>
      <c r="V1197" s="4"/>
      <c r="W1197" s="4"/>
      <c r="X1197" s="4"/>
    </row>
    <row r="1198" spans="17:24" x14ac:dyDescent="0.3">
      <c r="Q1198" s="4"/>
      <c r="R1198" s="4"/>
      <c r="S1198" s="4"/>
      <c r="T1198" s="4"/>
      <c r="U1198" s="4"/>
      <c r="V1198" s="4"/>
      <c r="W1198" s="4"/>
      <c r="X1198" s="4"/>
    </row>
    <row r="1199" spans="17:24" x14ac:dyDescent="0.3">
      <c r="Q1199" s="4"/>
      <c r="R1199" s="4"/>
      <c r="S1199" s="4"/>
      <c r="T1199" s="4"/>
      <c r="U1199" s="4"/>
      <c r="V1199" s="4"/>
      <c r="W1199" s="4"/>
      <c r="X1199" s="4"/>
    </row>
    <row r="1200" spans="17:24" x14ac:dyDescent="0.3">
      <c r="Q1200" s="4"/>
      <c r="R1200" s="4"/>
      <c r="S1200" s="4"/>
      <c r="T1200" s="4"/>
      <c r="U1200" s="4"/>
      <c r="V1200" s="4"/>
      <c r="W1200" s="4"/>
      <c r="X1200" s="4"/>
    </row>
    <row r="1201" spans="17:24" x14ac:dyDescent="0.3">
      <c r="Q1201" s="4"/>
      <c r="R1201" s="4"/>
      <c r="S1201" s="4"/>
      <c r="T1201" s="4"/>
      <c r="U1201" s="4"/>
      <c r="V1201" s="4"/>
      <c r="W1201" s="4"/>
      <c r="X1201" s="4"/>
    </row>
    <row r="1202" spans="17:24" x14ac:dyDescent="0.3">
      <c r="Q1202" s="4"/>
      <c r="R1202" s="4"/>
      <c r="S1202" s="4"/>
      <c r="T1202" s="4"/>
      <c r="U1202" s="4"/>
      <c r="V1202" s="4"/>
      <c r="W1202" s="4"/>
      <c r="X1202" s="4"/>
    </row>
    <row r="1203" spans="17:24" x14ac:dyDescent="0.3">
      <c r="Q1203" s="4"/>
      <c r="R1203" s="4"/>
      <c r="S1203" s="4"/>
      <c r="T1203" s="4"/>
      <c r="U1203" s="4"/>
      <c r="V1203" s="4"/>
      <c r="W1203" s="4"/>
      <c r="X1203" s="4"/>
    </row>
    <row r="1204" spans="17:24" x14ac:dyDescent="0.3">
      <c r="Q1204" s="4"/>
      <c r="R1204" s="4"/>
      <c r="S1204" s="4"/>
      <c r="T1204" s="4"/>
      <c r="U1204" s="4"/>
      <c r="V1204" s="4"/>
      <c r="W1204" s="4"/>
      <c r="X1204" s="4"/>
    </row>
    <row r="1205" spans="17:24" x14ac:dyDescent="0.3">
      <c r="Q1205" s="4"/>
      <c r="R1205" s="4"/>
      <c r="S1205" s="4"/>
      <c r="T1205" s="4"/>
      <c r="U1205" s="4"/>
      <c r="V1205" s="4"/>
      <c r="W1205" s="4"/>
      <c r="X1205" s="4"/>
    </row>
    <row r="1206" spans="17:24" x14ac:dyDescent="0.3">
      <c r="Q1206" s="4"/>
      <c r="R1206" s="4"/>
      <c r="S1206" s="4"/>
      <c r="T1206" s="4"/>
      <c r="U1206" s="4"/>
      <c r="V1206" s="4"/>
      <c r="W1206" s="4"/>
      <c r="X1206" s="4"/>
    </row>
    <row r="1207" spans="17:24" x14ac:dyDescent="0.3">
      <c r="Q1207" s="4"/>
      <c r="R1207" s="4"/>
      <c r="S1207" s="4"/>
      <c r="T1207" s="4"/>
      <c r="U1207" s="4"/>
      <c r="V1207" s="4"/>
      <c r="W1207" s="4"/>
      <c r="X1207" s="4"/>
    </row>
    <row r="1208" spans="17:24" x14ac:dyDescent="0.3">
      <c r="Q1208" s="4"/>
      <c r="R1208" s="4"/>
      <c r="S1208" s="4"/>
      <c r="T1208" s="4"/>
      <c r="U1208" s="4"/>
      <c r="V1208" s="4"/>
      <c r="W1208" s="4"/>
      <c r="X1208" s="4"/>
    </row>
    <row r="1209" spans="17:24" x14ac:dyDescent="0.3">
      <c r="Q1209" s="4"/>
      <c r="R1209" s="4"/>
      <c r="S1209" s="4"/>
      <c r="T1209" s="4"/>
      <c r="U1209" s="4"/>
      <c r="V1209" s="4"/>
      <c r="W1209" s="4"/>
      <c r="X1209" s="4"/>
    </row>
    <row r="1210" spans="17:24" x14ac:dyDescent="0.3">
      <c r="Q1210" s="4"/>
      <c r="R1210" s="4"/>
      <c r="S1210" s="4"/>
      <c r="T1210" s="4"/>
      <c r="U1210" s="4"/>
      <c r="V1210" s="4"/>
      <c r="W1210" s="4"/>
      <c r="X1210" s="4"/>
    </row>
    <row r="1211" spans="17:24" x14ac:dyDescent="0.3">
      <c r="Q1211" s="4"/>
      <c r="R1211" s="4"/>
      <c r="S1211" s="4"/>
      <c r="T1211" s="4"/>
      <c r="U1211" s="4"/>
      <c r="V1211" s="4"/>
      <c r="W1211" s="4"/>
      <c r="X1211" s="4"/>
    </row>
    <row r="1212" spans="17:24" x14ac:dyDescent="0.3">
      <c r="Q1212" s="4"/>
      <c r="R1212" s="4"/>
      <c r="S1212" s="4"/>
      <c r="T1212" s="4"/>
      <c r="U1212" s="4"/>
      <c r="V1212" s="4"/>
      <c r="W1212" s="4"/>
      <c r="X1212" s="4"/>
    </row>
    <row r="1213" spans="17:24" x14ac:dyDescent="0.3">
      <c r="Q1213" s="4"/>
      <c r="R1213" s="4"/>
      <c r="S1213" s="4"/>
      <c r="T1213" s="4"/>
      <c r="U1213" s="4"/>
      <c r="V1213" s="4"/>
      <c r="W1213" s="4"/>
      <c r="X1213" s="4"/>
    </row>
    <row r="1214" spans="17:24" x14ac:dyDescent="0.3">
      <c r="Q1214" s="4"/>
      <c r="R1214" s="4"/>
      <c r="S1214" s="4"/>
      <c r="T1214" s="4"/>
      <c r="U1214" s="4"/>
      <c r="V1214" s="4"/>
      <c r="W1214" s="4"/>
      <c r="X1214" s="4"/>
    </row>
    <row r="1215" spans="17:24" x14ac:dyDescent="0.3">
      <c r="Q1215" s="4"/>
      <c r="R1215" s="4"/>
      <c r="S1215" s="4"/>
      <c r="T1215" s="4"/>
      <c r="U1215" s="4"/>
      <c r="V1215" s="4"/>
      <c r="W1215" s="4"/>
      <c r="X1215" s="4"/>
    </row>
    <row r="1216" spans="17:24" x14ac:dyDescent="0.3">
      <c r="Q1216" s="4"/>
      <c r="R1216" s="4"/>
      <c r="S1216" s="4"/>
      <c r="T1216" s="4"/>
      <c r="U1216" s="4"/>
      <c r="V1216" s="4"/>
      <c r="W1216" s="4"/>
      <c r="X1216" s="4"/>
    </row>
    <row r="1217" spans="17:24" x14ac:dyDescent="0.3">
      <c r="Q1217" s="4"/>
      <c r="R1217" s="4"/>
      <c r="S1217" s="4"/>
      <c r="T1217" s="4"/>
      <c r="U1217" s="4"/>
      <c r="V1217" s="4"/>
      <c r="W1217" s="4"/>
      <c r="X1217" s="4"/>
    </row>
    <row r="1218" spans="17:24" x14ac:dyDescent="0.3">
      <c r="Q1218" s="4"/>
      <c r="R1218" s="4"/>
      <c r="S1218" s="4"/>
      <c r="T1218" s="4"/>
      <c r="U1218" s="4"/>
      <c r="V1218" s="4"/>
      <c r="W1218" s="4"/>
      <c r="X1218" s="4"/>
    </row>
    <row r="1219" spans="17:24" x14ac:dyDescent="0.3">
      <c r="Q1219" s="4"/>
      <c r="R1219" s="4"/>
      <c r="S1219" s="4"/>
      <c r="T1219" s="4"/>
      <c r="U1219" s="4"/>
      <c r="V1219" s="4"/>
      <c r="W1219" s="4"/>
      <c r="X1219" s="4"/>
    </row>
    <row r="1220" spans="17:24" x14ac:dyDescent="0.3">
      <c r="Q1220" s="4"/>
      <c r="R1220" s="4"/>
      <c r="S1220" s="4"/>
      <c r="T1220" s="4"/>
      <c r="U1220" s="4"/>
      <c r="V1220" s="4"/>
      <c r="W1220" s="4"/>
      <c r="X1220" s="4"/>
    </row>
    <row r="1221" spans="17:24" x14ac:dyDescent="0.3">
      <c r="Q1221" s="4"/>
      <c r="R1221" s="4"/>
      <c r="S1221" s="4"/>
      <c r="T1221" s="4"/>
      <c r="U1221" s="4"/>
      <c r="V1221" s="4"/>
      <c r="W1221" s="4"/>
      <c r="X1221" s="4"/>
    </row>
    <row r="1222" spans="17:24" x14ac:dyDescent="0.3">
      <c r="Q1222" s="4"/>
      <c r="R1222" s="4"/>
      <c r="S1222" s="4"/>
      <c r="T1222" s="4"/>
      <c r="U1222" s="4"/>
      <c r="V1222" s="4"/>
      <c r="W1222" s="4"/>
      <c r="X1222" s="4"/>
    </row>
    <row r="1223" spans="17:24" x14ac:dyDescent="0.3">
      <c r="Q1223" s="4"/>
      <c r="R1223" s="4"/>
      <c r="S1223" s="4"/>
      <c r="T1223" s="4"/>
      <c r="U1223" s="4"/>
      <c r="V1223" s="4"/>
      <c r="W1223" s="4"/>
      <c r="X1223" s="4"/>
    </row>
    <row r="1224" spans="17:24" x14ac:dyDescent="0.3">
      <c r="Q1224" s="4"/>
      <c r="R1224" s="4"/>
      <c r="S1224" s="4"/>
      <c r="T1224" s="4"/>
      <c r="U1224" s="4"/>
      <c r="V1224" s="4"/>
      <c r="W1224" s="4"/>
      <c r="X1224" s="4"/>
    </row>
    <row r="1225" spans="17:24" x14ac:dyDescent="0.3">
      <c r="Q1225" s="4"/>
      <c r="R1225" s="4"/>
      <c r="S1225" s="4"/>
      <c r="T1225" s="4"/>
      <c r="U1225" s="4"/>
      <c r="V1225" s="4"/>
      <c r="W1225" s="4"/>
      <c r="X1225" s="4"/>
    </row>
    <row r="1226" spans="17:24" x14ac:dyDescent="0.3">
      <c r="Q1226" s="4"/>
      <c r="R1226" s="4"/>
      <c r="S1226" s="4"/>
      <c r="T1226" s="4"/>
      <c r="U1226" s="4"/>
      <c r="V1226" s="4"/>
      <c r="W1226" s="4"/>
      <c r="X1226" s="4"/>
    </row>
    <row r="1227" spans="17:24" x14ac:dyDescent="0.3">
      <c r="Q1227" s="4"/>
      <c r="R1227" s="4"/>
      <c r="S1227" s="4"/>
      <c r="T1227" s="4"/>
      <c r="U1227" s="4"/>
      <c r="V1227" s="4"/>
      <c r="W1227" s="4"/>
      <c r="X1227" s="4"/>
    </row>
    <row r="1228" spans="17:24" x14ac:dyDescent="0.3">
      <c r="Q1228" s="4"/>
      <c r="R1228" s="4"/>
      <c r="S1228" s="4"/>
      <c r="T1228" s="4"/>
      <c r="U1228" s="4"/>
      <c r="V1228" s="4"/>
      <c r="W1228" s="4"/>
      <c r="X1228" s="4"/>
    </row>
    <row r="1229" spans="17:24" x14ac:dyDescent="0.3">
      <c r="Q1229" s="4"/>
      <c r="R1229" s="4"/>
      <c r="S1229" s="4"/>
      <c r="T1229" s="4"/>
      <c r="U1229" s="4"/>
      <c r="V1229" s="4"/>
      <c r="W1229" s="4"/>
      <c r="X1229" s="4"/>
    </row>
    <row r="1230" spans="17:24" x14ac:dyDescent="0.3">
      <c r="Q1230" s="4"/>
      <c r="R1230" s="4"/>
      <c r="S1230" s="4"/>
      <c r="T1230" s="4"/>
      <c r="U1230" s="4"/>
      <c r="V1230" s="4"/>
      <c r="W1230" s="4"/>
      <c r="X1230" s="4"/>
    </row>
    <row r="1231" spans="17:24" x14ac:dyDescent="0.3">
      <c r="Q1231" s="4"/>
      <c r="R1231" s="4"/>
      <c r="S1231" s="4"/>
      <c r="T1231" s="4"/>
      <c r="U1231" s="4"/>
      <c r="V1231" s="4"/>
      <c r="W1231" s="4"/>
      <c r="X1231" s="4"/>
    </row>
    <row r="1232" spans="17:24" x14ac:dyDescent="0.3">
      <c r="Q1232" s="4"/>
      <c r="R1232" s="4"/>
      <c r="S1232" s="4"/>
      <c r="T1232" s="4"/>
      <c r="U1232" s="4"/>
      <c r="V1232" s="4"/>
      <c r="W1232" s="4"/>
      <c r="X1232" s="4"/>
    </row>
    <row r="1233" spans="17:24" x14ac:dyDescent="0.3">
      <c r="Q1233" s="4"/>
      <c r="R1233" s="4"/>
      <c r="S1233" s="4"/>
      <c r="T1233" s="4"/>
      <c r="U1233" s="4"/>
      <c r="V1233" s="4"/>
      <c r="W1233" s="4"/>
      <c r="X1233" s="4"/>
    </row>
    <row r="1234" spans="17:24" x14ac:dyDescent="0.3">
      <c r="Q1234" s="4"/>
      <c r="R1234" s="4"/>
      <c r="S1234" s="4"/>
      <c r="T1234" s="4"/>
      <c r="U1234" s="4"/>
      <c r="V1234" s="4"/>
      <c r="W1234" s="4"/>
      <c r="X1234" s="4"/>
    </row>
    <row r="1235" spans="17:24" x14ac:dyDescent="0.3">
      <c r="Q1235" s="4"/>
      <c r="R1235" s="4"/>
      <c r="S1235" s="4"/>
      <c r="T1235" s="4"/>
      <c r="U1235" s="4"/>
      <c r="V1235" s="4"/>
      <c r="W1235" s="4"/>
      <c r="X1235" s="4"/>
    </row>
    <row r="1236" spans="17:24" x14ac:dyDescent="0.3">
      <c r="Q1236" s="4"/>
      <c r="R1236" s="4"/>
      <c r="S1236" s="4"/>
      <c r="T1236" s="4"/>
      <c r="U1236" s="4"/>
      <c r="V1236" s="4"/>
      <c r="W1236" s="4"/>
      <c r="X1236" s="4"/>
    </row>
    <row r="1237" spans="17:24" x14ac:dyDescent="0.3">
      <c r="Q1237" s="4"/>
      <c r="R1237" s="4"/>
      <c r="S1237" s="4"/>
      <c r="T1237" s="4"/>
      <c r="U1237" s="4"/>
      <c r="V1237" s="4"/>
      <c r="W1237" s="4"/>
      <c r="X1237" s="4"/>
    </row>
    <row r="1238" spans="17:24" x14ac:dyDescent="0.3">
      <c r="Q1238" s="4"/>
      <c r="R1238" s="4"/>
      <c r="S1238" s="4"/>
      <c r="T1238" s="4"/>
      <c r="U1238" s="4"/>
      <c r="V1238" s="4"/>
      <c r="W1238" s="4"/>
      <c r="X1238" s="4"/>
    </row>
    <row r="1239" spans="17:24" x14ac:dyDescent="0.3">
      <c r="Q1239" s="4"/>
      <c r="R1239" s="4"/>
      <c r="S1239" s="4"/>
      <c r="T1239" s="4"/>
      <c r="U1239" s="4"/>
      <c r="V1239" s="4"/>
      <c r="W1239" s="4"/>
      <c r="X1239" s="4"/>
    </row>
    <row r="1240" spans="17:24" x14ac:dyDescent="0.3">
      <c r="Q1240" s="4"/>
      <c r="R1240" s="4"/>
      <c r="S1240" s="4"/>
      <c r="T1240" s="4"/>
      <c r="U1240" s="4"/>
      <c r="V1240" s="4"/>
      <c r="W1240" s="4"/>
      <c r="X1240" s="4"/>
    </row>
    <row r="1241" spans="17:24" x14ac:dyDescent="0.3">
      <c r="Q1241" s="4"/>
      <c r="R1241" s="4"/>
      <c r="S1241" s="4"/>
      <c r="T1241" s="4"/>
      <c r="U1241" s="4"/>
      <c r="V1241" s="4"/>
      <c r="W1241" s="4"/>
      <c r="X1241" s="4"/>
    </row>
    <row r="1242" spans="17:24" x14ac:dyDescent="0.3">
      <c r="Q1242" s="4"/>
      <c r="R1242" s="4"/>
      <c r="S1242" s="4"/>
      <c r="T1242" s="4"/>
      <c r="U1242" s="4"/>
      <c r="V1242" s="4"/>
      <c r="W1242" s="4"/>
      <c r="X1242" s="4"/>
    </row>
    <row r="1243" spans="17:24" x14ac:dyDescent="0.3">
      <c r="Q1243" s="4"/>
      <c r="R1243" s="4"/>
      <c r="S1243" s="4"/>
      <c r="T1243" s="4"/>
      <c r="U1243" s="4"/>
      <c r="V1243" s="4"/>
      <c r="W1243" s="4"/>
      <c r="X1243" s="4"/>
    </row>
    <row r="1244" spans="17:24" x14ac:dyDescent="0.3">
      <c r="Q1244" s="4"/>
      <c r="R1244" s="4"/>
      <c r="S1244" s="4"/>
      <c r="T1244" s="4"/>
      <c r="U1244" s="4"/>
      <c r="V1244" s="4"/>
      <c r="W1244" s="4"/>
      <c r="X1244" s="4"/>
    </row>
    <row r="1245" spans="17:24" x14ac:dyDescent="0.3">
      <c r="Q1245" s="4"/>
      <c r="R1245" s="4"/>
      <c r="S1245" s="4"/>
      <c r="T1245" s="4"/>
      <c r="U1245" s="4"/>
      <c r="V1245" s="4"/>
      <c r="W1245" s="4"/>
      <c r="X1245" s="4"/>
    </row>
    <row r="1246" spans="17:24" x14ac:dyDescent="0.3">
      <c r="Q1246" s="4"/>
      <c r="R1246" s="4"/>
      <c r="S1246" s="4"/>
      <c r="T1246" s="4"/>
      <c r="U1246" s="4"/>
      <c r="V1246" s="4"/>
      <c r="W1246" s="4"/>
      <c r="X1246" s="4"/>
    </row>
    <row r="1247" spans="17:24" x14ac:dyDescent="0.3">
      <c r="Q1247" s="4"/>
      <c r="R1247" s="4"/>
      <c r="S1247" s="4"/>
      <c r="T1247" s="4"/>
      <c r="U1247" s="4"/>
      <c r="V1247" s="4"/>
      <c r="W1247" s="4"/>
      <c r="X1247" s="4"/>
    </row>
    <row r="1248" spans="17:24" x14ac:dyDescent="0.3">
      <c r="Q1248" s="4"/>
      <c r="R1248" s="4"/>
      <c r="S1248" s="4"/>
      <c r="T1248" s="4"/>
      <c r="U1248" s="4"/>
      <c r="V1248" s="4"/>
      <c r="W1248" s="4"/>
      <c r="X1248" s="4"/>
    </row>
    <row r="1249" spans="17:24" x14ac:dyDescent="0.3">
      <c r="Q1249" s="4"/>
      <c r="R1249" s="4"/>
      <c r="S1249" s="4"/>
      <c r="T1249" s="4"/>
      <c r="U1249" s="4"/>
      <c r="V1249" s="4"/>
      <c r="W1249" s="4"/>
      <c r="X1249" s="4"/>
    </row>
    <row r="1250" spans="17:24" x14ac:dyDescent="0.3">
      <c r="Q1250" s="4"/>
      <c r="R1250" s="4"/>
      <c r="S1250" s="4"/>
      <c r="T1250" s="4"/>
      <c r="U1250" s="4"/>
      <c r="V1250" s="4"/>
      <c r="W1250" s="4"/>
      <c r="X1250" s="4"/>
    </row>
    <row r="1251" spans="17:24" x14ac:dyDescent="0.3">
      <c r="Q1251" s="4"/>
      <c r="R1251" s="4"/>
      <c r="S1251" s="4"/>
      <c r="T1251" s="4"/>
      <c r="U1251" s="4"/>
      <c r="V1251" s="4"/>
      <c r="W1251" s="4"/>
      <c r="X1251" s="4"/>
    </row>
    <row r="1252" spans="17:24" x14ac:dyDescent="0.3">
      <c r="Q1252" s="4"/>
      <c r="R1252" s="4"/>
      <c r="S1252" s="4"/>
      <c r="T1252" s="4"/>
      <c r="U1252" s="4"/>
      <c r="V1252" s="4"/>
      <c r="W1252" s="4"/>
      <c r="X1252" s="4"/>
    </row>
    <row r="1253" spans="17:24" x14ac:dyDescent="0.3">
      <c r="Q1253" s="4"/>
      <c r="R1253" s="4"/>
      <c r="S1253" s="4"/>
      <c r="T1253" s="4"/>
      <c r="U1253" s="4"/>
      <c r="V1253" s="4"/>
      <c r="W1253" s="4"/>
      <c r="X1253" s="4"/>
    </row>
    <row r="1254" spans="17:24" x14ac:dyDescent="0.3">
      <c r="Q1254" s="4"/>
      <c r="R1254" s="4"/>
      <c r="S1254" s="4"/>
      <c r="T1254" s="4"/>
      <c r="U1254" s="4"/>
      <c r="V1254" s="4"/>
      <c r="W1254" s="4"/>
      <c r="X1254" s="4"/>
    </row>
    <row r="1255" spans="17:24" x14ac:dyDescent="0.3">
      <c r="Q1255" s="4"/>
      <c r="R1255" s="4"/>
      <c r="S1255" s="4"/>
      <c r="T1255" s="4"/>
      <c r="U1255" s="4"/>
      <c r="V1255" s="4"/>
      <c r="W1255" s="4"/>
      <c r="X1255" s="4"/>
    </row>
    <row r="1256" spans="17:24" x14ac:dyDescent="0.3">
      <c r="Q1256" s="4"/>
      <c r="R1256" s="4"/>
      <c r="S1256" s="4"/>
      <c r="T1256" s="4"/>
      <c r="U1256" s="4"/>
      <c r="V1256" s="4"/>
      <c r="W1256" s="4"/>
      <c r="X1256" s="4"/>
    </row>
    <row r="1257" spans="17:24" x14ac:dyDescent="0.3">
      <c r="Q1257" s="4"/>
      <c r="R1257" s="4"/>
      <c r="S1257" s="4"/>
      <c r="T1257" s="4"/>
      <c r="U1257" s="4"/>
      <c r="V1257" s="4"/>
      <c r="W1257" s="4"/>
      <c r="X1257" s="4"/>
    </row>
    <row r="1258" spans="17:24" x14ac:dyDescent="0.3">
      <c r="Q1258" s="4"/>
      <c r="R1258" s="4"/>
      <c r="S1258" s="4"/>
      <c r="T1258" s="4"/>
      <c r="U1258" s="4"/>
      <c r="V1258" s="4"/>
      <c r="W1258" s="4"/>
      <c r="X1258" s="4"/>
    </row>
    <row r="1259" spans="17:24" x14ac:dyDescent="0.3">
      <c r="Q1259" s="4"/>
      <c r="R1259" s="4"/>
      <c r="S1259" s="4"/>
      <c r="T1259" s="4"/>
      <c r="U1259" s="4"/>
      <c r="V1259" s="4"/>
      <c r="W1259" s="4"/>
      <c r="X1259" s="4"/>
    </row>
    <row r="1260" spans="17:24" x14ac:dyDescent="0.3">
      <c r="Q1260" s="4"/>
      <c r="R1260" s="4"/>
      <c r="S1260" s="4"/>
      <c r="T1260" s="4"/>
      <c r="U1260" s="4"/>
      <c r="V1260" s="4"/>
      <c r="W1260" s="4"/>
      <c r="X1260" s="4"/>
    </row>
    <row r="1261" spans="17:24" x14ac:dyDescent="0.3">
      <c r="Q1261" s="4"/>
      <c r="R1261" s="4"/>
      <c r="S1261" s="4"/>
      <c r="T1261" s="4"/>
      <c r="U1261" s="4"/>
      <c r="V1261" s="4"/>
      <c r="W1261" s="4"/>
      <c r="X1261" s="4"/>
    </row>
    <row r="1262" spans="17:24" x14ac:dyDescent="0.3">
      <c r="Q1262" s="4"/>
      <c r="R1262" s="4"/>
      <c r="S1262" s="4"/>
      <c r="T1262" s="4"/>
      <c r="U1262" s="4"/>
      <c r="V1262" s="4"/>
      <c r="W1262" s="4"/>
      <c r="X1262" s="4"/>
    </row>
    <row r="1263" spans="17:24" x14ac:dyDescent="0.3">
      <c r="Q1263" s="4"/>
      <c r="R1263" s="4"/>
      <c r="S1263" s="4"/>
      <c r="T1263" s="4"/>
      <c r="U1263" s="4"/>
      <c r="V1263" s="4"/>
      <c r="W1263" s="4"/>
      <c r="X1263" s="4"/>
    </row>
    <row r="1264" spans="17:24" x14ac:dyDescent="0.3">
      <c r="Q1264" s="4"/>
      <c r="R1264" s="4"/>
      <c r="S1264" s="4"/>
      <c r="T1264" s="4"/>
      <c r="U1264" s="4"/>
      <c r="V1264" s="4"/>
      <c r="W1264" s="4"/>
      <c r="X1264" s="4"/>
    </row>
    <row r="1265" spans="17:24" x14ac:dyDescent="0.3">
      <c r="Q1265" s="4"/>
      <c r="R1265" s="4"/>
      <c r="S1265" s="4"/>
      <c r="T1265" s="4"/>
      <c r="U1265" s="4"/>
      <c r="V1265" s="4"/>
      <c r="W1265" s="4"/>
      <c r="X1265" s="4"/>
    </row>
    <row r="1266" spans="17:24" x14ac:dyDescent="0.3">
      <c r="Q1266" s="4"/>
      <c r="R1266" s="4"/>
      <c r="S1266" s="4"/>
      <c r="T1266" s="4"/>
      <c r="U1266" s="4"/>
      <c r="V1266" s="4"/>
      <c r="W1266" s="4"/>
      <c r="X1266" s="4"/>
    </row>
    <row r="1267" spans="17:24" x14ac:dyDescent="0.3">
      <c r="Q1267" s="4"/>
      <c r="R1267" s="4"/>
      <c r="S1267" s="4"/>
      <c r="T1267" s="4"/>
      <c r="U1267" s="4"/>
      <c r="V1267" s="4"/>
      <c r="W1267" s="4"/>
      <c r="X1267" s="4"/>
    </row>
    <row r="1268" spans="17:24" x14ac:dyDescent="0.3">
      <c r="Q1268" s="4"/>
      <c r="R1268" s="4"/>
      <c r="S1268" s="4"/>
      <c r="T1268" s="4"/>
      <c r="U1268" s="4"/>
      <c r="V1268" s="4"/>
      <c r="W1268" s="4"/>
      <c r="X1268" s="4"/>
    </row>
    <row r="1269" spans="17:24" x14ac:dyDescent="0.3">
      <c r="Q1269" s="4"/>
      <c r="R1269" s="4"/>
      <c r="S1269" s="4"/>
      <c r="T1269" s="4"/>
      <c r="U1269" s="4"/>
      <c r="V1269" s="4"/>
      <c r="W1269" s="4"/>
      <c r="X1269" s="4"/>
    </row>
    <row r="1270" spans="17:24" x14ac:dyDescent="0.3">
      <c r="Q1270" s="4"/>
      <c r="R1270" s="4"/>
      <c r="S1270" s="4"/>
      <c r="T1270" s="4"/>
      <c r="U1270" s="4"/>
      <c r="V1270" s="4"/>
      <c r="W1270" s="4"/>
      <c r="X1270" s="4"/>
    </row>
    <row r="1271" spans="17:24" x14ac:dyDescent="0.3">
      <c r="Q1271" s="4"/>
      <c r="R1271" s="4"/>
      <c r="S1271" s="4"/>
      <c r="T1271" s="4"/>
      <c r="U1271" s="4"/>
      <c r="V1271" s="4"/>
      <c r="W1271" s="4"/>
      <c r="X1271" s="4"/>
    </row>
    <row r="1272" spans="17:24" x14ac:dyDescent="0.3">
      <c r="Q1272" s="4"/>
      <c r="R1272" s="4"/>
      <c r="S1272" s="4"/>
      <c r="T1272" s="4"/>
      <c r="U1272" s="4"/>
      <c r="V1272" s="4"/>
      <c r="W1272" s="4"/>
      <c r="X1272" s="4"/>
    </row>
    <row r="1273" spans="17:24" x14ac:dyDescent="0.3">
      <c r="Q1273" s="4"/>
      <c r="R1273" s="4"/>
      <c r="S1273" s="4"/>
      <c r="T1273" s="4"/>
      <c r="U1273" s="4"/>
      <c r="V1273" s="4"/>
      <c r="W1273" s="4"/>
      <c r="X1273" s="4"/>
    </row>
    <row r="1274" spans="17:24" x14ac:dyDescent="0.3">
      <c r="Q1274" s="4"/>
      <c r="R1274" s="4"/>
      <c r="S1274" s="4"/>
      <c r="T1274" s="4"/>
      <c r="U1274" s="4"/>
      <c r="V1274" s="4"/>
      <c r="W1274" s="4"/>
      <c r="X1274" s="4"/>
    </row>
    <row r="1275" spans="17:24" x14ac:dyDescent="0.3">
      <c r="Q1275" s="4"/>
      <c r="R1275" s="4"/>
      <c r="S1275" s="4"/>
      <c r="T1275" s="4"/>
      <c r="U1275" s="4"/>
      <c r="V1275" s="4"/>
      <c r="W1275" s="4"/>
      <c r="X1275" s="4"/>
    </row>
    <row r="1276" spans="17:24" x14ac:dyDescent="0.3">
      <c r="Q1276" s="4"/>
      <c r="R1276" s="4"/>
      <c r="S1276" s="4"/>
      <c r="T1276" s="4"/>
      <c r="U1276" s="4"/>
      <c r="V1276" s="4"/>
      <c r="W1276" s="4"/>
      <c r="X1276" s="4"/>
    </row>
    <row r="1277" spans="17:24" x14ac:dyDescent="0.3">
      <c r="Q1277" s="4"/>
      <c r="R1277" s="4"/>
      <c r="S1277" s="4"/>
      <c r="T1277" s="4"/>
      <c r="U1277" s="4"/>
      <c r="V1277" s="4"/>
      <c r="W1277" s="4"/>
      <c r="X1277" s="4"/>
    </row>
    <row r="1278" spans="17:24" x14ac:dyDescent="0.3">
      <c r="Q1278" s="4"/>
      <c r="R1278" s="4"/>
      <c r="S1278" s="4"/>
      <c r="T1278" s="4"/>
      <c r="U1278" s="4"/>
      <c r="V1278" s="4"/>
      <c r="W1278" s="4"/>
      <c r="X1278" s="4"/>
    </row>
    <row r="1279" spans="17:24" x14ac:dyDescent="0.3">
      <c r="Q1279" s="4"/>
      <c r="R1279" s="4"/>
      <c r="S1279" s="4"/>
      <c r="T1279" s="4"/>
      <c r="U1279" s="4"/>
      <c r="V1279" s="4"/>
      <c r="W1279" s="4"/>
      <c r="X1279" s="4"/>
    </row>
    <row r="1280" spans="17:24" x14ac:dyDescent="0.3">
      <c r="Q1280" s="4"/>
      <c r="R1280" s="4"/>
      <c r="S1280" s="4"/>
      <c r="T1280" s="4"/>
      <c r="U1280" s="4"/>
      <c r="V1280" s="4"/>
      <c r="W1280" s="4"/>
      <c r="X1280" s="4"/>
    </row>
    <row r="1281" spans="17:24" x14ac:dyDescent="0.3">
      <c r="Q1281" s="4"/>
      <c r="R1281" s="4"/>
      <c r="S1281" s="4"/>
      <c r="T1281" s="4"/>
      <c r="U1281" s="4"/>
      <c r="V1281" s="4"/>
      <c r="W1281" s="4"/>
      <c r="X1281" s="4"/>
    </row>
    <row r="1282" spans="17:24" x14ac:dyDescent="0.3">
      <c r="Q1282" s="4"/>
      <c r="R1282" s="4"/>
      <c r="S1282" s="4"/>
      <c r="T1282" s="4"/>
      <c r="U1282" s="4"/>
      <c r="V1282" s="4"/>
      <c r="W1282" s="4"/>
      <c r="X1282" s="4"/>
    </row>
    <row r="1283" spans="17:24" x14ac:dyDescent="0.3">
      <c r="Q1283" s="4"/>
      <c r="R1283" s="4"/>
      <c r="S1283" s="4"/>
      <c r="T1283" s="4"/>
      <c r="U1283" s="4"/>
      <c r="V1283" s="4"/>
      <c r="W1283" s="4"/>
      <c r="X1283" s="4"/>
    </row>
    <row r="1284" spans="17:24" x14ac:dyDescent="0.3">
      <c r="Q1284" s="4"/>
      <c r="R1284" s="4"/>
      <c r="S1284" s="4"/>
      <c r="T1284" s="4"/>
      <c r="U1284" s="4"/>
      <c r="V1284" s="4"/>
      <c r="W1284" s="4"/>
      <c r="X1284" s="4"/>
    </row>
    <row r="1285" spans="17:24" x14ac:dyDescent="0.3">
      <c r="Q1285" s="4"/>
      <c r="R1285" s="4"/>
      <c r="S1285" s="4"/>
      <c r="T1285" s="4"/>
      <c r="U1285" s="4"/>
      <c r="V1285" s="4"/>
      <c r="W1285" s="4"/>
      <c r="X1285" s="4"/>
    </row>
    <row r="1286" spans="17:24" x14ac:dyDescent="0.3">
      <c r="Q1286" s="4"/>
      <c r="R1286" s="4"/>
      <c r="S1286" s="4"/>
      <c r="T1286" s="4"/>
      <c r="U1286" s="4"/>
      <c r="V1286" s="4"/>
      <c r="W1286" s="4"/>
      <c r="X1286" s="4"/>
    </row>
    <row r="1287" spans="17:24" x14ac:dyDescent="0.3">
      <c r="Q1287" s="4"/>
      <c r="R1287" s="4"/>
      <c r="S1287" s="4"/>
      <c r="T1287" s="4"/>
      <c r="U1287" s="4"/>
      <c r="V1287" s="4"/>
      <c r="W1287" s="4"/>
      <c r="X1287" s="4"/>
    </row>
    <row r="1288" spans="17:24" x14ac:dyDescent="0.3">
      <c r="Q1288" s="4"/>
      <c r="R1288" s="4"/>
      <c r="S1288" s="4"/>
      <c r="T1288" s="4"/>
      <c r="U1288" s="4"/>
      <c r="V1288" s="4"/>
      <c r="W1288" s="4"/>
      <c r="X1288" s="4"/>
    </row>
    <row r="1289" spans="17:24" x14ac:dyDescent="0.3">
      <c r="Q1289" s="4"/>
      <c r="R1289" s="4"/>
      <c r="S1289" s="4"/>
      <c r="T1289" s="4"/>
      <c r="U1289" s="4"/>
      <c r="V1289" s="4"/>
      <c r="W1289" s="4"/>
      <c r="X1289" s="4"/>
    </row>
    <row r="1290" spans="17:24" x14ac:dyDescent="0.3">
      <c r="Q1290" s="4"/>
      <c r="R1290" s="4"/>
      <c r="S1290" s="4"/>
      <c r="T1290" s="4"/>
      <c r="U1290" s="4"/>
      <c r="V1290" s="4"/>
      <c r="W1290" s="4"/>
      <c r="X1290" s="4"/>
    </row>
    <row r="1291" spans="17:24" x14ac:dyDescent="0.3">
      <c r="Q1291" s="4"/>
      <c r="R1291" s="4"/>
      <c r="S1291" s="4"/>
      <c r="T1291" s="4"/>
      <c r="U1291" s="4"/>
      <c r="V1291" s="4"/>
      <c r="W1291" s="4"/>
      <c r="X1291" s="4"/>
    </row>
    <row r="1292" spans="17:24" x14ac:dyDescent="0.3">
      <c r="Q1292" s="4"/>
      <c r="R1292" s="4"/>
      <c r="S1292" s="4"/>
      <c r="T1292" s="4"/>
      <c r="U1292" s="4"/>
      <c r="V1292" s="4"/>
      <c r="W1292" s="4"/>
      <c r="X1292" s="4"/>
    </row>
    <row r="1293" spans="17:24" x14ac:dyDescent="0.3">
      <c r="Q1293" s="4"/>
      <c r="R1293" s="4"/>
      <c r="S1293" s="4"/>
      <c r="T1293" s="4"/>
      <c r="U1293" s="4"/>
      <c r="V1293" s="4"/>
      <c r="W1293" s="4"/>
      <c r="X1293" s="4"/>
    </row>
    <row r="1294" spans="17:24" x14ac:dyDescent="0.3">
      <c r="Q1294" s="4"/>
      <c r="R1294" s="4"/>
      <c r="S1294" s="4"/>
      <c r="T1294" s="4"/>
      <c r="U1294" s="4"/>
      <c r="V1294" s="4"/>
      <c r="W1294" s="4"/>
      <c r="X1294" s="4"/>
    </row>
    <row r="1295" spans="17:24" x14ac:dyDescent="0.3">
      <c r="Q1295" s="4"/>
      <c r="R1295" s="4"/>
      <c r="S1295" s="4"/>
      <c r="T1295" s="4"/>
      <c r="U1295" s="4"/>
      <c r="V1295" s="4"/>
      <c r="W1295" s="4"/>
      <c r="X1295" s="4"/>
    </row>
    <row r="1296" spans="17:24" x14ac:dyDescent="0.3">
      <c r="Q1296" s="4"/>
      <c r="R1296" s="4"/>
      <c r="S1296" s="4"/>
      <c r="T1296" s="4"/>
      <c r="U1296" s="4"/>
      <c r="V1296" s="4"/>
      <c r="W1296" s="4"/>
      <c r="X1296" s="4"/>
    </row>
    <row r="1297" spans="17:24" x14ac:dyDescent="0.3">
      <c r="Q1297" s="4"/>
      <c r="R1297" s="4"/>
      <c r="S1297" s="4"/>
      <c r="T1297" s="4"/>
      <c r="U1297" s="4"/>
      <c r="V1297" s="4"/>
      <c r="W1297" s="4"/>
      <c r="X1297" s="4"/>
    </row>
    <row r="1298" spans="17:24" x14ac:dyDescent="0.3">
      <c r="Q1298" s="4"/>
      <c r="R1298" s="4"/>
      <c r="S1298" s="4"/>
      <c r="T1298" s="4"/>
      <c r="U1298" s="4"/>
      <c r="V1298" s="4"/>
      <c r="W1298" s="4"/>
      <c r="X1298" s="4"/>
    </row>
    <row r="1299" spans="17:24" x14ac:dyDescent="0.3">
      <c r="Q1299" s="4"/>
      <c r="R1299" s="4"/>
      <c r="S1299" s="4"/>
      <c r="T1299" s="4"/>
      <c r="U1299" s="4"/>
      <c r="V1299" s="4"/>
      <c r="W1299" s="4"/>
      <c r="X1299" s="4"/>
    </row>
    <row r="1300" spans="17:24" x14ac:dyDescent="0.3">
      <c r="Q1300" s="4"/>
      <c r="R1300" s="4"/>
      <c r="S1300" s="4"/>
      <c r="T1300" s="4"/>
      <c r="U1300" s="4"/>
      <c r="V1300" s="4"/>
      <c r="W1300" s="4"/>
      <c r="X1300" s="4"/>
    </row>
    <row r="1301" spans="17:24" x14ac:dyDescent="0.3">
      <c r="Q1301" s="4"/>
      <c r="R1301" s="4"/>
      <c r="S1301" s="4"/>
      <c r="T1301" s="4"/>
      <c r="U1301" s="4"/>
      <c r="V1301" s="4"/>
      <c r="W1301" s="4"/>
      <c r="X1301" s="4"/>
    </row>
    <row r="1302" spans="17:24" x14ac:dyDescent="0.3">
      <c r="Q1302" s="4"/>
      <c r="R1302" s="4"/>
      <c r="S1302" s="4"/>
      <c r="T1302" s="4"/>
      <c r="U1302" s="4"/>
      <c r="V1302" s="4"/>
      <c r="W1302" s="4"/>
      <c r="X1302" s="4"/>
    </row>
    <row r="1303" spans="17:24" x14ac:dyDescent="0.3">
      <c r="Q1303" s="4"/>
      <c r="R1303" s="4"/>
      <c r="S1303" s="4"/>
      <c r="T1303" s="4"/>
      <c r="U1303" s="4"/>
      <c r="V1303" s="4"/>
      <c r="W1303" s="4"/>
      <c r="X1303" s="4"/>
    </row>
    <row r="1304" spans="17:24" x14ac:dyDescent="0.3">
      <c r="Q1304" s="4"/>
      <c r="R1304" s="4"/>
      <c r="S1304" s="4"/>
      <c r="T1304" s="4"/>
      <c r="U1304" s="4"/>
      <c r="V1304" s="4"/>
      <c r="W1304" s="4"/>
      <c r="X1304" s="4"/>
    </row>
    <row r="1305" spans="17:24" x14ac:dyDescent="0.3">
      <c r="Q1305" s="4"/>
      <c r="R1305" s="4"/>
      <c r="S1305" s="4"/>
      <c r="T1305" s="4"/>
      <c r="U1305" s="4"/>
      <c r="V1305" s="4"/>
      <c r="W1305" s="4"/>
      <c r="X1305" s="4"/>
    </row>
    <row r="1306" spans="17:24" x14ac:dyDescent="0.3">
      <c r="Q1306" s="4"/>
      <c r="R1306" s="4"/>
      <c r="S1306" s="4"/>
      <c r="T1306" s="4"/>
      <c r="U1306" s="4"/>
      <c r="V1306" s="4"/>
      <c r="W1306" s="4"/>
      <c r="X1306" s="4"/>
    </row>
    <row r="1307" spans="17:24" x14ac:dyDescent="0.3">
      <c r="Q1307" s="4"/>
      <c r="R1307" s="4"/>
      <c r="S1307" s="4"/>
      <c r="T1307" s="4"/>
      <c r="U1307" s="4"/>
      <c r="V1307" s="4"/>
      <c r="W1307" s="4"/>
      <c r="X1307" s="4"/>
    </row>
    <row r="1308" spans="17:24" x14ac:dyDescent="0.3">
      <c r="Q1308" s="4"/>
      <c r="R1308" s="4"/>
      <c r="S1308" s="4"/>
      <c r="T1308" s="4"/>
      <c r="U1308" s="4"/>
      <c r="V1308" s="4"/>
      <c r="W1308" s="4"/>
      <c r="X1308" s="4"/>
    </row>
    <row r="1309" spans="17:24" x14ac:dyDescent="0.3">
      <c r="Q1309" s="4"/>
      <c r="R1309" s="4"/>
      <c r="S1309" s="4"/>
      <c r="T1309" s="4"/>
      <c r="U1309" s="4"/>
      <c r="V1309" s="4"/>
      <c r="W1309" s="4"/>
      <c r="X1309" s="4"/>
    </row>
    <row r="1310" spans="17:24" x14ac:dyDescent="0.3">
      <c r="Q1310" s="4"/>
      <c r="R1310" s="4"/>
      <c r="S1310" s="4"/>
      <c r="T1310" s="4"/>
      <c r="U1310" s="4"/>
      <c r="V1310" s="4"/>
      <c r="W1310" s="4"/>
      <c r="X1310" s="4"/>
    </row>
    <row r="1311" spans="17:24" x14ac:dyDescent="0.3">
      <c r="Q1311" s="4"/>
      <c r="R1311" s="4"/>
      <c r="S1311" s="4"/>
      <c r="T1311" s="4"/>
      <c r="U1311" s="4"/>
      <c r="V1311" s="4"/>
      <c r="W1311" s="4"/>
      <c r="X1311" s="4"/>
    </row>
    <row r="1312" spans="17:24" x14ac:dyDescent="0.3">
      <c r="Q1312" s="4"/>
      <c r="R1312" s="4"/>
      <c r="S1312" s="4"/>
      <c r="T1312" s="4"/>
      <c r="U1312" s="4"/>
      <c r="V1312" s="4"/>
      <c r="W1312" s="4"/>
      <c r="X1312" s="4"/>
    </row>
    <row r="1313" spans="17:24" x14ac:dyDescent="0.3">
      <c r="Q1313" s="4"/>
      <c r="R1313" s="4"/>
      <c r="S1313" s="4"/>
      <c r="T1313" s="4"/>
      <c r="U1313" s="4"/>
      <c r="V1313" s="4"/>
      <c r="W1313" s="4"/>
      <c r="X1313" s="4"/>
    </row>
    <row r="1314" spans="17:24" x14ac:dyDescent="0.3">
      <c r="Q1314" s="4"/>
      <c r="R1314" s="4"/>
      <c r="S1314" s="4"/>
      <c r="T1314" s="4"/>
      <c r="U1314" s="4"/>
      <c r="V1314" s="4"/>
      <c r="W1314" s="4"/>
      <c r="X1314" s="4"/>
    </row>
    <row r="1315" spans="17:24" x14ac:dyDescent="0.3">
      <c r="Q1315" s="4"/>
      <c r="R1315" s="4"/>
      <c r="S1315" s="4"/>
      <c r="T1315" s="4"/>
      <c r="U1315" s="4"/>
      <c r="V1315" s="4"/>
      <c r="W1315" s="4"/>
      <c r="X1315" s="4"/>
    </row>
    <row r="1316" spans="17:24" x14ac:dyDescent="0.3">
      <c r="Q1316" s="4"/>
      <c r="R1316" s="4"/>
      <c r="S1316" s="4"/>
      <c r="T1316" s="4"/>
      <c r="U1316" s="4"/>
      <c r="V1316" s="4"/>
      <c r="W1316" s="4"/>
      <c r="X1316" s="4"/>
    </row>
    <row r="1317" spans="17:24" x14ac:dyDescent="0.3">
      <c r="Q1317" s="4"/>
      <c r="R1317" s="4"/>
      <c r="S1317" s="4"/>
      <c r="T1317" s="4"/>
      <c r="U1317" s="4"/>
      <c r="V1317" s="4"/>
      <c r="W1317" s="4"/>
      <c r="X1317" s="4"/>
    </row>
    <row r="1318" spans="17:24" x14ac:dyDescent="0.3">
      <c r="Q1318" s="4"/>
      <c r="R1318" s="4"/>
      <c r="S1318" s="4"/>
      <c r="T1318" s="4"/>
      <c r="U1318" s="4"/>
      <c r="V1318" s="4"/>
      <c r="W1318" s="4"/>
      <c r="X1318" s="4"/>
    </row>
    <row r="1319" spans="17:24" x14ac:dyDescent="0.3">
      <c r="Q1319" s="4"/>
      <c r="R1319" s="4"/>
      <c r="S1319" s="4"/>
      <c r="T1319" s="4"/>
      <c r="U1319" s="4"/>
      <c r="V1319" s="4"/>
      <c r="W1319" s="4"/>
      <c r="X1319" s="4"/>
    </row>
    <row r="1320" spans="17:24" x14ac:dyDescent="0.3">
      <c r="Q1320" s="4"/>
      <c r="R1320" s="4"/>
      <c r="S1320" s="4"/>
      <c r="T1320" s="4"/>
      <c r="U1320" s="4"/>
      <c r="V1320" s="4"/>
      <c r="W1320" s="4"/>
      <c r="X1320" s="4"/>
    </row>
    <row r="1321" spans="17:24" x14ac:dyDescent="0.3">
      <c r="Q1321" s="4"/>
      <c r="R1321" s="4"/>
      <c r="S1321" s="4"/>
      <c r="T1321" s="4"/>
      <c r="U1321" s="4"/>
      <c r="V1321" s="4"/>
      <c r="W1321" s="4"/>
      <c r="X1321" s="4"/>
    </row>
    <row r="1322" spans="17:24" x14ac:dyDescent="0.3">
      <c r="Q1322" s="4"/>
      <c r="R1322" s="4"/>
      <c r="S1322" s="4"/>
      <c r="T1322" s="4"/>
      <c r="U1322" s="4"/>
      <c r="V1322" s="4"/>
      <c r="W1322" s="4"/>
      <c r="X1322" s="4"/>
    </row>
    <row r="1323" spans="17:24" x14ac:dyDescent="0.3">
      <c r="Q1323" s="4"/>
      <c r="R1323" s="4"/>
      <c r="S1323" s="4"/>
      <c r="T1323" s="4"/>
      <c r="U1323" s="4"/>
      <c r="V1323" s="4"/>
      <c r="W1323" s="4"/>
      <c r="X1323" s="4"/>
    </row>
    <row r="1324" spans="17:24" x14ac:dyDescent="0.3">
      <c r="Q1324" s="4"/>
      <c r="R1324" s="4"/>
      <c r="S1324" s="4"/>
      <c r="T1324" s="4"/>
      <c r="U1324" s="4"/>
      <c r="V1324" s="4"/>
      <c r="W1324" s="4"/>
      <c r="X1324" s="4"/>
    </row>
    <row r="1325" spans="17:24" x14ac:dyDescent="0.3">
      <c r="Q1325" s="4"/>
      <c r="R1325" s="4"/>
      <c r="S1325" s="4"/>
      <c r="T1325" s="4"/>
      <c r="U1325" s="4"/>
      <c r="V1325" s="4"/>
      <c r="W1325" s="4"/>
      <c r="X1325" s="4"/>
    </row>
    <row r="1326" spans="17:24" x14ac:dyDescent="0.3">
      <c r="Q1326" s="4"/>
      <c r="R1326" s="4"/>
      <c r="S1326" s="4"/>
      <c r="T1326" s="4"/>
      <c r="U1326" s="4"/>
      <c r="V1326" s="4"/>
      <c r="W1326" s="4"/>
      <c r="X1326" s="4"/>
    </row>
    <row r="1327" spans="17:24" x14ac:dyDescent="0.3">
      <c r="Q1327" s="4"/>
      <c r="R1327" s="4"/>
      <c r="S1327" s="4"/>
      <c r="T1327" s="4"/>
      <c r="U1327" s="4"/>
      <c r="V1327" s="4"/>
      <c r="W1327" s="4"/>
      <c r="X1327" s="4"/>
    </row>
    <row r="1328" spans="17:24" x14ac:dyDescent="0.3">
      <c r="Q1328" s="4"/>
      <c r="R1328" s="4"/>
      <c r="S1328" s="4"/>
      <c r="T1328" s="4"/>
      <c r="U1328" s="4"/>
      <c r="V1328" s="4"/>
      <c r="W1328" s="4"/>
      <c r="X1328" s="4"/>
    </row>
    <row r="1329" spans="17:24" x14ac:dyDescent="0.3">
      <c r="Q1329" s="4"/>
      <c r="R1329" s="4"/>
      <c r="S1329" s="4"/>
      <c r="T1329" s="4"/>
      <c r="U1329" s="4"/>
      <c r="V1329" s="4"/>
      <c r="W1329" s="4"/>
      <c r="X1329" s="4"/>
    </row>
    <row r="1330" spans="17:24" x14ac:dyDescent="0.3">
      <c r="Q1330" s="4"/>
      <c r="R1330" s="4"/>
      <c r="S1330" s="4"/>
      <c r="T1330" s="4"/>
      <c r="U1330" s="4"/>
      <c r="V1330" s="4"/>
      <c r="W1330" s="4"/>
      <c r="X1330" s="4"/>
    </row>
    <row r="1331" spans="17:24" x14ac:dyDescent="0.3">
      <c r="Q1331" s="4"/>
      <c r="R1331" s="4"/>
      <c r="S1331" s="4"/>
      <c r="T1331" s="4"/>
      <c r="U1331" s="4"/>
      <c r="V1331" s="4"/>
      <c r="W1331" s="4"/>
      <c r="X1331" s="4"/>
    </row>
    <row r="1332" spans="17:24" x14ac:dyDescent="0.3">
      <c r="Q1332" s="4"/>
      <c r="R1332" s="4"/>
      <c r="S1332" s="4"/>
      <c r="T1332" s="4"/>
      <c r="U1332" s="4"/>
      <c r="V1332" s="4"/>
      <c r="W1332" s="4"/>
      <c r="X1332" s="4"/>
    </row>
    <row r="1333" spans="17:24" x14ac:dyDescent="0.3">
      <c r="Q1333" s="4"/>
      <c r="R1333" s="4"/>
      <c r="S1333" s="4"/>
      <c r="T1333" s="4"/>
      <c r="U1333" s="4"/>
      <c r="V1333" s="4"/>
      <c r="W1333" s="4"/>
      <c r="X1333" s="4"/>
    </row>
    <row r="1334" spans="17:24" x14ac:dyDescent="0.3">
      <c r="Q1334" s="4"/>
      <c r="R1334" s="4"/>
      <c r="S1334" s="4"/>
      <c r="T1334" s="4"/>
      <c r="U1334" s="4"/>
      <c r="V1334" s="4"/>
      <c r="W1334" s="4"/>
      <c r="X1334" s="4"/>
    </row>
    <row r="1335" spans="17:24" x14ac:dyDescent="0.3">
      <c r="Q1335" s="4"/>
      <c r="R1335" s="4"/>
      <c r="S1335" s="4"/>
      <c r="T1335" s="4"/>
      <c r="U1335" s="4"/>
      <c r="V1335" s="4"/>
      <c r="W1335" s="4"/>
      <c r="X1335" s="4"/>
    </row>
    <row r="1336" spans="17:24" x14ac:dyDescent="0.3">
      <c r="Q1336" s="4"/>
      <c r="R1336" s="4"/>
      <c r="S1336" s="4"/>
      <c r="T1336" s="4"/>
      <c r="U1336" s="4"/>
      <c r="V1336" s="4"/>
      <c r="W1336" s="4"/>
      <c r="X1336" s="4"/>
    </row>
    <row r="1337" spans="17:24" x14ac:dyDescent="0.3">
      <c r="Q1337" s="4"/>
      <c r="R1337" s="4"/>
      <c r="S1337" s="4"/>
      <c r="T1337" s="4"/>
      <c r="U1337" s="4"/>
      <c r="V1337" s="4"/>
      <c r="W1337" s="4"/>
      <c r="X1337" s="4"/>
    </row>
    <row r="1338" spans="17:24" x14ac:dyDescent="0.3">
      <c r="Q1338" s="4"/>
      <c r="R1338" s="4"/>
      <c r="S1338" s="4"/>
      <c r="T1338" s="4"/>
      <c r="U1338" s="4"/>
      <c r="V1338" s="4"/>
      <c r="W1338" s="4"/>
      <c r="X1338" s="4"/>
    </row>
    <row r="1339" spans="17:24" x14ac:dyDescent="0.3">
      <c r="Q1339" s="4"/>
      <c r="R1339" s="4"/>
      <c r="S1339" s="4"/>
      <c r="T1339" s="4"/>
      <c r="U1339" s="4"/>
      <c r="V1339" s="4"/>
      <c r="W1339" s="4"/>
      <c r="X1339" s="4"/>
    </row>
    <row r="1340" spans="17:24" x14ac:dyDescent="0.3">
      <c r="Q1340" s="4"/>
      <c r="R1340" s="4"/>
      <c r="S1340" s="4"/>
      <c r="T1340" s="4"/>
      <c r="U1340" s="4"/>
      <c r="V1340" s="4"/>
      <c r="W1340" s="4"/>
      <c r="X1340" s="4"/>
    </row>
    <row r="1341" spans="17:24" x14ac:dyDescent="0.3">
      <c r="Q1341" s="4"/>
      <c r="R1341" s="4"/>
      <c r="S1341" s="4"/>
      <c r="T1341" s="4"/>
      <c r="U1341" s="4"/>
      <c r="V1341" s="4"/>
      <c r="W1341" s="4"/>
      <c r="X1341" s="4"/>
    </row>
    <row r="1342" spans="17:24" x14ac:dyDescent="0.3">
      <c r="Q1342" s="4"/>
      <c r="R1342" s="4"/>
      <c r="S1342" s="4"/>
      <c r="T1342" s="4"/>
      <c r="U1342" s="4"/>
      <c r="V1342" s="4"/>
      <c r="W1342" s="4"/>
      <c r="X1342" s="4"/>
    </row>
    <row r="1343" spans="17:24" x14ac:dyDescent="0.3">
      <c r="Q1343" s="4"/>
      <c r="R1343" s="4"/>
      <c r="S1343" s="4"/>
      <c r="T1343" s="4"/>
      <c r="U1343" s="4"/>
      <c r="V1343" s="4"/>
      <c r="W1343" s="4"/>
      <c r="X1343" s="4"/>
    </row>
    <row r="1344" spans="17:24" x14ac:dyDescent="0.3">
      <c r="Q1344" s="4"/>
      <c r="R1344" s="4"/>
      <c r="S1344" s="4"/>
      <c r="T1344" s="4"/>
      <c r="U1344" s="4"/>
      <c r="V1344" s="4"/>
      <c r="W1344" s="4"/>
      <c r="X1344" s="4"/>
    </row>
    <row r="1345" spans="17:24" x14ac:dyDescent="0.3">
      <c r="Q1345" s="4"/>
      <c r="R1345" s="4"/>
      <c r="S1345" s="4"/>
      <c r="T1345" s="4"/>
      <c r="U1345" s="4"/>
      <c r="V1345" s="4"/>
      <c r="W1345" s="4"/>
      <c r="X1345" s="4"/>
    </row>
    <row r="1346" spans="17:24" x14ac:dyDescent="0.3">
      <c r="Q1346" s="4"/>
      <c r="R1346" s="4"/>
      <c r="S1346" s="4"/>
      <c r="T1346" s="4"/>
      <c r="U1346" s="4"/>
      <c r="V1346" s="4"/>
      <c r="W1346" s="4"/>
      <c r="X1346" s="4"/>
    </row>
    <row r="1347" spans="17:24" x14ac:dyDescent="0.3">
      <c r="Q1347" s="4"/>
      <c r="R1347" s="4"/>
      <c r="S1347" s="4"/>
      <c r="T1347" s="4"/>
      <c r="U1347" s="4"/>
      <c r="V1347" s="4"/>
      <c r="W1347" s="4"/>
      <c r="X1347" s="4"/>
    </row>
    <row r="1348" spans="17:24" x14ac:dyDescent="0.3">
      <c r="Q1348" s="4"/>
      <c r="R1348" s="4"/>
      <c r="S1348" s="4"/>
      <c r="T1348" s="4"/>
      <c r="U1348" s="4"/>
      <c r="V1348" s="4"/>
      <c r="W1348" s="4"/>
      <c r="X1348" s="4"/>
    </row>
    <row r="1349" spans="17:24" x14ac:dyDescent="0.3">
      <c r="Q1349" s="4"/>
      <c r="R1349" s="4"/>
      <c r="S1349" s="4"/>
      <c r="T1349" s="4"/>
      <c r="U1349" s="4"/>
      <c r="V1349" s="4"/>
      <c r="W1349" s="4"/>
      <c r="X1349" s="4"/>
    </row>
    <row r="1350" spans="17:24" x14ac:dyDescent="0.3">
      <c r="Q1350" s="4"/>
      <c r="R1350" s="4"/>
      <c r="S1350" s="4"/>
      <c r="T1350" s="4"/>
      <c r="U1350" s="4"/>
      <c r="V1350" s="4"/>
      <c r="W1350" s="4"/>
      <c r="X1350" s="4"/>
    </row>
    <row r="1351" spans="17:24" x14ac:dyDescent="0.3">
      <c r="Q1351" s="4"/>
      <c r="R1351" s="4"/>
      <c r="S1351" s="4"/>
      <c r="T1351" s="4"/>
      <c r="U1351" s="4"/>
      <c r="V1351" s="4"/>
      <c r="W1351" s="4"/>
      <c r="X1351" s="4"/>
    </row>
    <row r="1352" spans="17:24" x14ac:dyDescent="0.3">
      <c r="Q1352" s="4"/>
      <c r="R1352" s="4"/>
      <c r="S1352" s="4"/>
      <c r="T1352" s="4"/>
      <c r="U1352" s="4"/>
      <c r="V1352" s="4"/>
      <c r="W1352" s="4"/>
      <c r="X1352" s="4"/>
    </row>
    <row r="1353" spans="17:24" x14ac:dyDescent="0.3">
      <c r="Q1353" s="4"/>
      <c r="R1353" s="4"/>
      <c r="S1353" s="4"/>
      <c r="T1353" s="4"/>
      <c r="U1353" s="4"/>
      <c r="V1353" s="4"/>
      <c r="W1353" s="4"/>
      <c r="X1353" s="4"/>
    </row>
    <row r="1354" spans="17:24" x14ac:dyDescent="0.3">
      <c r="Q1354" s="4"/>
      <c r="R1354" s="4"/>
      <c r="S1354" s="4"/>
      <c r="T1354" s="4"/>
      <c r="U1354" s="4"/>
      <c r="V1354" s="4"/>
      <c r="W1354" s="4"/>
      <c r="X1354" s="4"/>
    </row>
    <row r="1355" spans="17:24" x14ac:dyDescent="0.3">
      <c r="Q1355" s="4"/>
      <c r="R1355" s="4"/>
      <c r="S1355" s="4"/>
      <c r="T1355" s="4"/>
      <c r="U1355" s="4"/>
      <c r="V1355" s="4"/>
      <c r="W1355" s="4"/>
      <c r="X1355" s="4"/>
    </row>
    <row r="1356" spans="17:24" x14ac:dyDescent="0.3">
      <c r="Q1356" s="4"/>
      <c r="R1356" s="4"/>
      <c r="S1356" s="4"/>
      <c r="T1356" s="4"/>
      <c r="U1356" s="4"/>
      <c r="V1356" s="4"/>
      <c r="W1356" s="4"/>
      <c r="X1356" s="4"/>
    </row>
    <row r="1357" spans="17:24" x14ac:dyDescent="0.3">
      <c r="Q1357" s="4"/>
      <c r="R1357" s="4"/>
      <c r="S1357" s="4"/>
      <c r="T1357" s="4"/>
      <c r="U1357" s="4"/>
      <c r="V1357" s="4"/>
      <c r="W1357" s="4"/>
      <c r="X1357" s="4"/>
    </row>
    <row r="1358" spans="17:24" x14ac:dyDescent="0.3">
      <c r="Q1358" s="4"/>
      <c r="R1358" s="4"/>
      <c r="S1358" s="4"/>
      <c r="T1358" s="4"/>
      <c r="U1358" s="4"/>
      <c r="V1358" s="4"/>
      <c r="W1358" s="4"/>
      <c r="X1358" s="4"/>
    </row>
    <row r="1359" spans="17:24" x14ac:dyDescent="0.3">
      <c r="Q1359" s="4"/>
      <c r="R1359" s="4"/>
      <c r="S1359" s="4"/>
      <c r="T1359" s="4"/>
      <c r="U1359" s="4"/>
      <c r="V1359" s="4"/>
      <c r="W1359" s="4"/>
      <c r="X1359" s="4"/>
    </row>
    <row r="1360" spans="17:24" x14ac:dyDescent="0.3">
      <c r="Q1360" s="4"/>
      <c r="R1360" s="4"/>
      <c r="S1360" s="4"/>
      <c r="T1360" s="4"/>
      <c r="U1360" s="4"/>
      <c r="V1360" s="4"/>
      <c r="W1360" s="4"/>
      <c r="X1360" s="4"/>
    </row>
    <row r="1361" spans="17:24" x14ac:dyDescent="0.3">
      <c r="Q1361" s="4"/>
      <c r="R1361" s="4"/>
      <c r="S1361" s="4"/>
      <c r="T1361" s="4"/>
      <c r="U1361" s="4"/>
      <c r="V1361" s="4"/>
      <c r="W1361" s="4"/>
      <c r="X1361" s="4"/>
    </row>
    <row r="1362" spans="17:24" x14ac:dyDescent="0.3">
      <c r="Q1362" s="4"/>
      <c r="R1362" s="4"/>
      <c r="S1362" s="4"/>
      <c r="T1362" s="4"/>
      <c r="U1362" s="4"/>
      <c r="V1362" s="4"/>
      <c r="W1362" s="4"/>
      <c r="X1362" s="4"/>
    </row>
    <row r="1363" spans="17:24" x14ac:dyDescent="0.3">
      <c r="Q1363" s="4"/>
      <c r="R1363" s="4"/>
      <c r="S1363" s="4"/>
      <c r="T1363" s="4"/>
      <c r="U1363" s="4"/>
      <c r="V1363" s="4"/>
      <c r="W1363" s="4"/>
      <c r="X1363" s="4"/>
    </row>
    <row r="1364" spans="17:24" x14ac:dyDescent="0.3">
      <c r="Q1364" s="4"/>
      <c r="R1364" s="4"/>
      <c r="S1364" s="4"/>
      <c r="T1364" s="4"/>
      <c r="U1364" s="4"/>
      <c r="V1364" s="4"/>
      <c r="W1364" s="4"/>
      <c r="X1364" s="4"/>
    </row>
    <row r="1365" spans="17:24" x14ac:dyDescent="0.3">
      <c r="Q1365" s="4"/>
      <c r="R1365" s="4"/>
      <c r="S1365" s="4"/>
      <c r="T1365" s="4"/>
      <c r="U1365" s="4"/>
      <c r="V1365" s="4"/>
      <c r="W1365" s="4"/>
      <c r="X1365" s="4"/>
    </row>
    <row r="1366" spans="17:24" x14ac:dyDescent="0.3">
      <c r="Q1366" s="4"/>
      <c r="R1366" s="4"/>
      <c r="S1366" s="4"/>
      <c r="T1366" s="4"/>
      <c r="U1366" s="4"/>
      <c r="V1366" s="4"/>
      <c r="W1366" s="4"/>
      <c r="X1366" s="4"/>
    </row>
    <row r="1367" spans="17:24" x14ac:dyDescent="0.3">
      <c r="Q1367" s="4"/>
      <c r="R1367" s="4"/>
      <c r="S1367" s="4"/>
      <c r="T1367" s="4"/>
      <c r="U1367" s="4"/>
      <c r="V1367" s="4"/>
      <c r="W1367" s="4"/>
      <c r="X1367" s="4"/>
    </row>
    <row r="1368" spans="17:24" x14ac:dyDescent="0.3">
      <c r="Q1368" s="4"/>
      <c r="R1368" s="4"/>
      <c r="S1368" s="4"/>
      <c r="T1368" s="4"/>
      <c r="U1368" s="4"/>
      <c r="V1368" s="4"/>
      <c r="W1368" s="4"/>
      <c r="X1368" s="4"/>
    </row>
    <row r="1369" spans="17:24" x14ac:dyDescent="0.3">
      <c r="Q1369" s="4"/>
      <c r="R1369" s="4"/>
      <c r="S1369" s="4"/>
      <c r="T1369" s="4"/>
      <c r="U1369" s="4"/>
      <c r="V1369" s="4"/>
      <c r="W1369" s="4"/>
      <c r="X1369" s="4"/>
    </row>
    <row r="1370" spans="17:24" x14ac:dyDescent="0.3">
      <c r="Q1370" s="4"/>
      <c r="R1370" s="4"/>
      <c r="S1370" s="4"/>
      <c r="T1370" s="4"/>
      <c r="U1370" s="4"/>
      <c r="V1370" s="4"/>
      <c r="W1370" s="4"/>
      <c r="X1370" s="4"/>
    </row>
    <row r="1371" spans="17:24" x14ac:dyDescent="0.3">
      <c r="Q1371" s="4"/>
      <c r="R1371" s="4"/>
      <c r="S1371" s="4"/>
      <c r="T1371" s="4"/>
      <c r="U1371" s="4"/>
      <c r="V1371" s="4"/>
      <c r="W1371" s="4"/>
      <c r="X1371" s="4"/>
    </row>
    <row r="1372" spans="17:24" x14ac:dyDescent="0.3">
      <c r="Q1372" s="4"/>
      <c r="R1372" s="4"/>
      <c r="S1372" s="4"/>
      <c r="T1372" s="4"/>
      <c r="U1372" s="4"/>
      <c r="V1372" s="4"/>
      <c r="W1372" s="4"/>
      <c r="X1372" s="4"/>
    </row>
    <row r="1373" spans="17:24" x14ac:dyDescent="0.3">
      <c r="Q1373" s="4"/>
      <c r="R1373" s="4"/>
      <c r="S1373" s="4"/>
      <c r="T1373" s="4"/>
      <c r="U1373" s="4"/>
      <c r="V1373" s="4"/>
      <c r="W1373" s="4"/>
      <c r="X1373" s="4"/>
    </row>
    <row r="1374" spans="17:24" x14ac:dyDescent="0.3">
      <c r="Q1374" s="4"/>
      <c r="R1374" s="4"/>
      <c r="S1374" s="4"/>
      <c r="T1374" s="4"/>
      <c r="U1374" s="4"/>
      <c r="V1374" s="4"/>
      <c r="W1374" s="4"/>
      <c r="X1374" s="4"/>
    </row>
    <row r="1375" spans="17:24" x14ac:dyDescent="0.3">
      <c r="Q1375" s="4"/>
      <c r="R1375" s="4"/>
      <c r="S1375" s="4"/>
      <c r="T1375" s="4"/>
      <c r="U1375" s="4"/>
      <c r="V1375" s="4"/>
      <c r="W1375" s="4"/>
      <c r="X1375" s="4"/>
    </row>
    <row r="1376" spans="17:24" x14ac:dyDescent="0.3">
      <c r="Q1376" s="4"/>
      <c r="R1376" s="4"/>
      <c r="S1376" s="4"/>
      <c r="T1376" s="4"/>
      <c r="U1376" s="4"/>
      <c r="V1376" s="4"/>
      <c r="W1376" s="4"/>
      <c r="X1376" s="4"/>
    </row>
    <row r="1377" spans="17:24" x14ac:dyDescent="0.3">
      <c r="Q1377" s="4"/>
      <c r="R1377" s="4"/>
      <c r="S1377" s="4"/>
      <c r="T1377" s="4"/>
      <c r="U1377" s="4"/>
      <c r="V1377" s="4"/>
      <c r="W1377" s="4"/>
      <c r="X1377" s="4"/>
    </row>
    <row r="1378" spans="17:24" x14ac:dyDescent="0.3">
      <c r="Q1378" s="4"/>
      <c r="R1378" s="4"/>
      <c r="S1378" s="4"/>
      <c r="T1378" s="4"/>
      <c r="U1378" s="4"/>
      <c r="V1378" s="4"/>
      <c r="W1378" s="4"/>
      <c r="X1378" s="4"/>
    </row>
    <row r="1379" spans="17:24" x14ac:dyDescent="0.3">
      <c r="Q1379" s="4"/>
      <c r="R1379" s="4"/>
      <c r="S1379" s="4"/>
      <c r="T1379" s="4"/>
      <c r="U1379" s="4"/>
      <c r="V1379" s="4"/>
      <c r="W1379" s="4"/>
      <c r="X1379" s="4"/>
    </row>
    <row r="1380" spans="17:24" x14ac:dyDescent="0.3">
      <c r="Q1380" s="4"/>
      <c r="R1380" s="4"/>
      <c r="S1380" s="4"/>
      <c r="T1380" s="4"/>
      <c r="U1380" s="4"/>
      <c r="V1380" s="4"/>
      <c r="W1380" s="4"/>
      <c r="X1380" s="4"/>
    </row>
    <row r="1381" spans="17:24" x14ac:dyDescent="0.3">
      <c r="Q1381" s="4"/>
      <c r="R1381" s="4"/>
      <c r="S1381" s="4"/>
      <c r="T1381" s="4"/>
      <c r="U1381" s="4"/>
      <c r="V1381" s="4"/>
      <c r="W1381" s="4"/>
      <c r="X1381" s="4"/>
    </row>
    <row r="1382" spans="17:24" x14ac:dyDescent="0.3">
      <c r="Q1382" s="4"/>
      <c r="R1382" s="4"/>
      <c r="S1382" s="4"/>
      <c r="T1382" s="4"/>
      <c r="U1382" s="4"/>
      <c r="V1382" s="4"/>
      <c r="W1382" s="4"/>
      <c r="X1382" s="4"/>
    </row>
    <row r="1383" spans="17:24" x14ac:dyDescent="0.3">
      <c r="Q1383" s="4"/>
      <c r="R1383" s="4"/>
      <c r="S1383" s="4"/>
      <c r="T1383" s="4"/>
      <c r="U1383" s="4"/>
      <c r="V1383" s="4"/>
      <c r="W1383" s="4"/>
      <c r="X1383" s="4"/>
    </row>
    <row r="1384" spans="17:24" x14ac:dyDescent="0.3">
      <c r="Q1384" s="4"/>
      <c r="R1384" s="4"/>
      <c r="S1384" s="4"/>
      <c r="T1384" s="4"/>
      <c r="U1384" s="4"/>
      <c r="V1384" s="4"/>
      <c r="W1384" s="4"/>
      <c r="X1384" s="4"/>
    </row>
    <row r="1385" spans="17:24" x14ac:dyDescent="0.3">
      <c r="Q1385" s="4"/>
      <c r="R1385" s="4"/>
      <c r="S1385" s="4"/>
      <c r="T1385" s="4"/>
      <c r="U1385" s="4"/>
      <c r="V1385" s="4"/>
      <c r="W1385" s="4"/>
      <c r="X1385" s="4"/>
    </row>
    <row r="1386" spans="17:24" x14ac:dyDescent="0.3">
      <c r="Q1386" s="4"/>
      <c r="R1386" s="4"/>
      <c r="S1386" s="4"/>
      <c r="T1386" s="4"/>
      <c r="U1386" s="4"/>
      <c r="V1386" s="4"/>
      <c r="W1386" s="4"/>
      <c r="X1386" s="4"/>
    </row>
    <row r="1387" spans="17:24" x14ac:dyDescent="0.3">
      <c r="Q1387" s="4"/>
      <c r="R1387" s="4"/>
      <c r="S1387" s="4"/>
      <c r="T1387" s="4"/>
      <c r="U1387" s="4"/>
      <c r="V1387" s="4"/>
      <c r="W1387" s="4"/>
      <c r="X1387" s="4"/>
    </row>
    <row r="1388" spans="17:24" x14ac:dyDescent="0.3">
      <c r="Q1388" s="4"/>
      <c r="R1388" s="4"/>
      <c r="S1388" s="4"/>
      <c r="T1388" s="4"/>
      <c r="U1388" s="4"/>
      <c r="V1388" s="4"/>
      <c r="W1388" s="4"/>
      <c r="X1388" s="4"/>
    </row>
    <row r="1389" spans="17:24" x14ac:dyDescent="0.3">
      <c r="Q1389" s="4"/>
      <c r="R1389" s="4"/>
      <c r="S1389" s="4"/>
      <c r="T1389" s="4"/>
      <c r="U1389" s="4"/>
      <c r="V1389" s="4"/>
      <c r="W1389" s="4"/>
      <c r="X1389" s="4"/>
    </row>
    <row r="1390" spans="17:24" x14ac:dyDescent="0.3">
      <c r="Q1390" s="4"/>
      <c r="R1390" s="4"/>
      <c r="S1390" s="4"/>
      <c r="T1390" s="4"/>
      <c r="U1390" s="4"/>
      <c r="V1390" s="4"/>
      <c r="W1390" s="4"/>
      <c r="X1390" s="4"/>
    </row>
    <row r="1391" spans="17:24" x14ac:dyDescent="0.3">
      <c r="Q1391" s="4"/>
      <c r="R1391" s="4"/>
      <c r="S1391" s="4"/>
      <c r="T1391" s="4"/>
      <c r="U1391" s="4"/>
      <c r="V1391" s="4"/>
      <c r="W1391" s="4"/>
      <c r="X1391" s="4"/>
    </row>
    <row r="1392" spans="17:24" x14ac:dyDescent="0.3">
      <c r="Q1392" s="4"/>
      <c r="R1392" s="4"/>
      <c r="S1392" s="4"/>
      <c r="T1392" s="4"/>
      <c r="U1392" s="4"/>
      <c r="V1392" s="4"/>
      <c r="W1392" s="4"/>
      <c r="X1392" s="4"/>
    </row>
    <row r="1393" spans="17:24" x14ac:dyDescent="0.3">
      <c r="Q1393" s="4"/>
      <c r="R1393" s="4"/>
      <c r="S1393" s="4"/>
      <c r="T1393" s="4"/>
      <c r="U1393" s="4"/>
      <c r="V1393" s="4"/>
      <c r="W1393" s="4"/>
      <c r="X1393" s="4"/>
    </row>
    <row r="1394" spans="17:24" x14ac:dyDescent="0.3">
      <c r="Q1394" s="4"/>
      <c r="R1394" s="4"/>
      <c r="S1394" s="4"/>
      <c r="T1394" s="4"/>
      <c r="U1394" s="4"/>
      <c r="V1394" s="4"/>
      <c r="W1394" s="4"/>
      <c r="X1394" s="4"/>
    </row>
    <row r="1395" spans="17:24" x14ac:dyDescent="0.3">
      <c r="Q1395" s="4"/>
      <c r="R1395" s="4"/>
      <c r="S1395" s="4"/>
      <c r="T1395" s="4"/>
      <c r="U1395" s="4"/>
      <c r="V1395" s="4"/>
      <c r="W1395" s="4"/>
      <c r="X1395" s="4"/>
    </row>
    <row r="1396" spans="17:24" x14ac:dyDescent="0.3">
      <c r="Q1396" s="4"/>
      <c r="R1396" s="4"/>
      <c r="S1396" s="4"/>
      <c r="T1396" s="4"/>
      <c r="U1396" s="4"/>
      <c r="V1396" s="4"/>
      <c r="W1396" s="4"/>
      <c r="X1396" s="4"/>
    </row>
    <row r="1397" spans="17:24" x14ac:dyDescent="0.3">
      <c r="Q1397" s="4"/>
      <c r="R1397" s="4"/>
      <c r="S1397" s="4"/>
      <c r="T1397" s="4"/>
      <c r="U1397" s="4"/>
      <c r="V1397" s="4"/>
      <c r="W1397" s="4"/>
      <c r="X1397" s="4"/>
    </row>
    <row r="1398" spans="17:24" x14ac:dyDescent="0.3">
      <c r="Q1398" s="4"/>
      <c r="R1398" s="4"/>
      <c r="S1398" s="4"/>
      <c r="T1398" s="4"/>
      <c r="U1398" s="4"/>
      <c r="V1398" s="4"/>
      <c r="W1398" s="4"/>
      <c r="X1398" s="4"/>
    </row>
    <row r="1399" spans="17:24" x14ac:dyDescent="0.3">
      <c r="Q1399" s="4"/>
      <c r="R1399" s="4"/>
      <c r="S1399" s="4"/>
      <c r="T1399" s="4"/>
      <c r="U1399" s="4"/>
      <c r="V1399" s="4"/>
      <c r="W1399" s="4"/>
      <c r="X1399" s="4"/>
    </row>
    <row r="1400" spans="17:24" x14ac:dyDescent="0.3">
      <c r="Q1400" s="4"/>
      <c r="R1400" s="4"/>
      <c r="S1400" s="4"/>
      <c r="T1400" s="4"/>
      <c r="U1400" s="4"/>
      <c r="V1400" s="4"/>
      <c r="W1400" s="4"/>
      <c r="X1400" s="4"/>
    </row>
    <row r="1401" spans="17:24" x14ac:dyDescent="0.3">
      <c r="Q1401" s="4"/>
      <c r="R1401" s="4"/>
      <c r="S1401" s="4"/>
      <c r="T1401" s="4"/>
      <c r="U1401" s="4"/>
      <c r="V1401" s="4"/>
      <c r="W1401" s="4"/>
      <c r="X1401" s="4"/>
    </row>
    <row r="1402" spans="17:24" x14ac:dyDescent="0.3">
      <c r="Q1402" s="4"/>
      <c r="R1402" s="4"/>
      <c r="S1402" s="4"/>
      <c r="T1402" s="4"/>
      <c r="U1402" s="4"/>
      <c r="V1402" s="4"/>
      <c r="W1402" s="4"/>
      <c r="X1402" s="4"/>
    </row>
    <row r="1403" spans="17:24" x14ac:dyDescent="0.3">
      <c r="Q1403" s="4"/>
      <c r="R1403" s="4"/>
      <c r="S1403" s="4"/>
      <c r="T1403" s="4"/>
      <c r="U1403" s="4"/>
      <c r="V1403" s="4"/>
      <c r="W1403" s="4"/>
      <c r="X1403" s="4"/>
    </row>
    <row r="1404" spans="17:24" x14ac:dyDescent="0.3">
      <c r="Q1404" s="4"/>
      <c r="R1404" s="4"/>
      <c r="S1404" s="4"/>
      <c r="T1404" s="4"/>
      <c r="U1404" s="4"/>
      <c r="V1404" s="4"/>
      <c r="W1404" s="4"/>
      <c r="X1404" s="4"/>
    </row>
    <row r="1405" spans="17:24" x14ac:dyDescent="0.3">
      <c r="Q1405" s="4"/>
      <c r="R1405" s="4"/>
      <c r="S1405" s="4"/>
      <c r="T1405" s="4"/>
      <c r="U1405" s="4"/>
      <c r="V1405" s="4"/>
      <c r="W1405" s="4"/>
      <c r="X1405" s="4"/>
    </row>
    <row r="1406" spans="17:24" x14ac:dyDescent="0.3">
      <c r="Q1406" s="4"/>
      <c r="R1406" s="4"/>
      <c r="S1406" s="4"/>
      <c r="T1406" s="4"/>
      <c r="U1406" s="4"/>
      <c r="V1406" s="4"/>
      <c r="W1406" s="4"/>
      <c r="X1406" s="4"/>
    </row>
    <row r="1407" spans="17:24" x14ac:dyDescent="0.3">
      <c r="Q1407" s="4"/>
      <c r="R1407" s="4"/>
      <c r="S1407" s="4"/>
      <c r="T1407" s="4"/>
      <c r="U1407" s="4"/>
      <c r="V1407" s="4"/>
      <c r="W1407" s="4"/>
      <c r="X1407" s="4"/>
    </row>
    <row r="1408" spans="17:24" x14ac:dyDescent="0.3">
      <c r="Q1408" s="4"/>
      <c r="R1408" s="4"/>
      <c r="S1408" s="4"/>
      <c r="T1408" s="4"/>
      <c r="U1408" s="4"/>
      <c r="V1408" s="4"/>
      <c r="W1408" s="4"/>
      <c r="X1408" s="4"/>
    </row>
    <row r="1409" spans="17:24" x14ac:dyDescent="0.3">
      <c r="Q1409" s="4"/>
      <c r="R1409" s="4"/>
      <c r="S1409" s="4"/>
      <c r="T1409" s="4"/>
      <c r="U1409" s="4"/>
      <c r="V1409" s="4"/>
      <c r="W1409" s="4"/>
      <c r="X1409" s="4"/>
    </row>
    <row r="1410" spans="17:24" x14ac:dyDescent="0.3">
      <c r="Q1410" s="4"/>
      <c r="R1410" s="4"/>
      <c r="S1410" s="4"/>
      <c r="T1410" s="4"/>
      <c r="U1410" s="4"/>
      <c r="V1410" s="4"/>
      <c r="W1410" s="4"/>
      <c r="X1410" s="4"/>
    </row>
    <row r="1411" spans="17:24" x14ac:dyDescent="0.3">
      <c r="Q1411" s="4"/>
      <c r="R1411" s="4"/>
      <c r="S1411" s="4"/>
      <c r="T1411" s="4"/>
      <c r="U1411" s="4"/>
      <c r="V1411" s="4"/>
      <c r="W1411" s="4"/>
      <c r="X1411" s="4"/>
    </row>
    <row r="1412" spans="17:24" x14ac:dyDescent="0.3">
      <c r="Q1412" s="4"/>
      <c r="R1412" s="4"/>
      <c r="S1412" s="4"/>
      <c r="T1412" s="4"/>
      <c r="U1412" s="4"/>
      <c r="V1412" s="4"/>
      <c r="W1412" s="4"/>
      <c r="X1412" s="4"/>
    </row>
    <row r="1413" spans="17:24" x14ac:dyDescent="0.3">
      <c r="Q1413" s="4"/>
      <c r="R1413" s="4"/>
      <c r="S1413" s="4"/>
      <c r="T1413" s="4"/>
      <c r="U1413" s="4"/>
      <c r="V1413" s="4"/>
      <c r="W1413" s="4"/>
      <c r="X1413" s="4"/>
    </row>
    <row r="1414" spans="17:24" x14ac:dyDescent="0.3">
      <c r="Q1414" s="4"/>
      <c r="R1414" s="4"/>
      <c r="S1414" s="4"/>
      <c r="T1414" s="4"/>
      <c r="U1414" s="4"/>
      <c r="V1414" s="4"/>
      <c r="W1414" s="4"/>
      <c r="X1414" s="4"/>
    </row>
    <row r="1415" spans="17:24" x14ac:dyDescent="0.3">
      <c r="Q1415" s="4"/>
      <c r="R1415" s="4"/>
      <c r="S1415" s="4"/>
      <c r="T1415" s="4"/>
      <c r="U1415" s="4"/>
      <c r="V1415" s="4"/>
      <c r="W1415" s="4"/>
      <c r="X1415" s="4"/>
    </row>
    <row r="1416" spans="17:24" x14ac:dyDescent="0.3">
      <c r="Q1416" s="4"/>
      <c r="R1416" s="4"/>
      <c r="S1416" s="4"/>
      <c r="T1416" s="4"/>
      <c r="U1416" s="4"/>
      <c r="V1416" s="4"/>
      <c r="W1416" s="4"/>
      <c r="X1416" s="4"/>
    </row>
    <row r="1417" spans="17:24" x14ac:dyDescent="0.3">
      <c r="Q1417" s="4"/>
      <c r="R1417" s="4"/>
      <c r="S1417" s="4"/>
      <c r="T1417" s="4"/>
      <c r="U1417" s="4"/>
      <c r="V1417" s="4"/>
      <c r="W1417" s="4"/>
      <c r="X1417" s="4"/>
    </row>
    <row r="1418" spans="17:24" x14ac:dyDescent="0.3">
      <c r="Q1418" s="4"/>
      <c r="R1418" s="4"/>
      <c r="S1418" s="4"/>
      <c r="T1418" s="4"/>
      <c r="U1418" s="4"/>
      <c r="V1418" s="4"/>
      <c r="W1418" s="4"/>
      <c r="X1418" s="4"/>
    </row>
    <row r="1419" spans="17:24" x14ac:dyDescent="0.3">
      <c r="Q1419" s="4"/>
      <c r="R1419" s="4"/>
      <c r="S1419" s="4"/>
      <c r="T1419" s="4"/>
      <c r="U1419" s="4"/>
      <c r="V1419" s="4"/>
      <c r="W1419" s="4"/>
      <c r="X1419" s="4"/>
    </row>
    <row r="1420" spans="17:24" x14ac:dyDescent="0.3">
      <c r="Q1420" s="4"/>
      <c r="R1420" s="4"/>
      <c r="S1420" s="4"/>
      <c r="T1420" s="4"/>
      <c r="U1420" s="4"/>
      <c r="V1420" s="4"/>
      <c r="W1420" s="4"/>
      <c r="X1420" s="4"/>
    </row>
    <row r="1421" spans="17:24" x14ac:dyDescent="0.3">
      <c r="Q1421" s="4"/>
      <c r="R1421" s="4"/>
      <c r="S1421" s="4"/>
      <c r="T1421" s="4"/>
      <c r="U1421" s="4"/>
      <c r="V1421" s="4"/>
      <c r="W1421" s="4"/>
      <c r="X1421" s="4"/>
    </row>
    <row r="1422" spans="17:24" x14ac:dyDescent="0.3">
      <c r="Q1422" s="4"/>
      <c r="R1422" s="4"/>
      <c r="S1422" s="4"/>
      <c r="T1422" s="4"/>
      <c r="U1422" s="4"/>
      <c r="V1422" s="4"/>
      <c r="W1422" s="4"/>
      <c r="X1422" s="4"/>
    </row>
    <row r="1423" spans="17:24" x14ac:dyDescent="0.3">
      <c r="Q1423" s="4"/>
      <c r="R1423" s="4"/>
      <c r="S1423" s="4"/>
      <c r="T1423" s="4"/>
      <c r="U1423" s="4"/>
      <c r="V1423" s="4"/>
      <c r="W1423" s="4"/>
      <c r="X1423" s="4"/>
    </row>
    <row r="1424" spans="17:24" x14ac:dyDescent="0.3">
      <c r="Q1424" s="4"/>
      <c r="R1424" s="4"/>
      <c r="S1424" s="4"/>
      <c r="T1424" s="4"/>
      <c r="U1424" s="4"/>
      <c r="V1424" s="4"/>
      <c r="W1424" s="4"/>
      <c r="X1424" s="4"/>
    </row>
    <row r="1425" spans="17:24" x14ac:dyDescent="0.3">
      <c r="Q1425" s="4"/>
      <c r="R1425" s="4"/>
      <c r="S1425" s="4"/>
      <c r="T1425" s="4"/>
      <c r="U1425" s="4"/>
      <c r="V1425" s="4"/>
      <c r="W1425" s="4"/>
      <c r="X1425" s="4"/>
    </row>
    <row r="1426" spans="17:24" x14ac:dyDescent="0.3">
      <c r="Q1426" s="4"/>
      <c r="R1426" s="4"/>
      <c r="S1426" s="4"/>
      <c r="T1426" s="4"/>
      <c r="U1426" s="4"/>
      <c r="V1426" s="4"/>
      <c r="W1426" s="4"/>
      <c r="X1426" s="4"/>
    </row>
    <row r="1427" spans="17:24" x14ac:dyDescent="0.3">
      <c r="Q1427" s="4"/>
      <c r="R1427" s="4"/>
      <c r="S1427" s="4"/>
      <c r="T1427" s="4"/>
      <c r="U1427" s="4"/>
      <c r="V1427" s="4"/>
      <c r="W1427" s="4"/>
      <c r="X1427" s="4"/>
    </row>
    <row r="1428" spans="17:24" x14ac:dyDescent="0.3">
      <c r="Q1428" s="4"/>
      <c r="R1428" s="4"/>
      <c r="S1428" s="4"/>
      <c r="T1428" s="4"/>
      <c r="U1428" s="4"/>
      <c r="V1428" s="4"/>
      <c r="W1428" s="4"/>
      <c r="X1428" s="4"/>
    </row>
    <row r="1429" spans="17:24" x14ac:dyDescent="0.3">
      <c r="Q1429" s="4"/>
      <c r="R1429" s="4"/>
      <c r="S1429" s="4"/>
      <c r="T1429" s="4"/>
      <c r="U1429" s="4"/>
      <c r="V1429" s="4"/>
      <c r="W1429" s="4"/>
      <c r="X1429" s="4"/>
    </row>
    <row r="1430" spans="17:24" x14ac:dyDescent="0.3">
      <c r="Q1430" s="4"/>
      <c r="R1430" s="4"/>
      <c r="S1430" s="4"/>
      <c r="T1430" s="4"/>
      <c r="U1430" s="4"/>
      <c r="V1430" s="4"/>
      <c r="W1430" s="4"/>
      <c r="X1430" s="4"/>
    </row>
    <row r="1431" spans="17:24" x14ac:dyDescent="0.3">
      <c r="Q1431" s="4"/>
      <c r="R1431" s="4"/>
      <c r="S1431" s="4"/>
      <c r="T1431" s="4"/>
      <c r="U1431" s="4"/>
      <c r="V1431" s="4"/>
      <c r="W1431" s="4"/>
      <c r="X1431" s="4"/>
    </row>
    <row r="1432" spans="17:24" x14ac:dyDescent="0.3">
      <c r="Q1432" s="4"/>
      <c r="R1432" s="4"/>
      <c r="S1432" s="4"/>
      <c r="T1432" s="4"/>
      <c r="U1432" s="4"/>
      <c r="V1432" s="4"/>
      <c r="W1432" s="4"/>
      <c r="X1432" s="4"/>
    </row>
    <row r="1433" spans="17:24" x14ac:dyDescent="0.3">
      <c r="Q1433" s="4"/>
      <c r="R1433" s="4"/>
      <c r="S1433" s="4"/>
      <c r="T1433" s="4"/>
      <c r="U1433" s="4"/>
      <c r="V1433" s="4"/>
      <c r="W1433" s="4"/>
      <c r="X1433" s="4"/>
    </row>
    <row r="1434" spans="17:24" x14ac:dyDescent="0.3">
      <c r="Q1434" s="4"/>
      <c r="R1434" s="4"/>
      <c r="S1434" s="4"/>
      <c r="T1434" s="4"/>
      <c r="U1434" s="4"/>
      <c r="V1434" s="4"/>
      <c r="W1434" s="4"/>
      <c r="X1434" s="4"/>
    </row>
    <row r="1435" spans="17:24" x14ac:dyDescent="0.3">
      <c r="Q1435" s="4"/>
      <c r="R1435" s="4"/>
      <c r="S1435" s="4"/>
      <c r="T1435" s="4"/>
      <c r="U1435" s="4"/>
      <c r="V1435" s="4"/>
      <c r="W1435" s="4"/>
      <c r="X1435" s="4"/>
    </row>
    <row r="1436" spans="17:24" x14ac:dyDescent="0.3">
      <c r="Q1436" s="4"/>
      <c r="R1436" s="4"/>
      <c r="S1436" s="4"/>
      <c r="T1436" s="4"/>
      <c r="U1436" s="4"/>
      <c r="V1436" s="4"/>
      <c r="W1436" s="4"/>
      <c r="X1436" s="4"/>
    </row>
    <row r="1437" spans="17:24" x14ac:dyDescent="0.3">
      <c r="Q1437" s="4"/>
      <c r="R1437" s="4"/>
      <c r="S1437" s="4"/>
      <c r="T1437" s="4"/>
      <c r="U1437" s="4"/>
      <c r="V1437" s="4"/>
      <c r="W1437" s="4"/>
      <c r="X1437" s="4"/>
    </row>
    <row r="1438" spans="17:24" x14ac:dyDescent="0.3">
      <c r="Q1438" s="4"/>
      <c r="R1438" s="4"/>
      <c r="S1438" s="4"/>
      <c r="T1438" s="4"/>
      <c r="U1438" s="4"/>
      <c r="V1438" s="4"/>
      <c r="W1438" s="4"/>
      <c r="X1438" s="4"/>
    </row>
    <row r="1439" spans="17:24" x14ac:dyDescent="0.3">
      <c r="Q1439" s="4"/>
      <c r="R1439" s="4"/>
      <c r="S1439" s="4"/>
      <c r="T1439" s="4"/>
      <c r="U1439" s="4"/>
      <c r="V1439" s="4"/>
      <c r="W1439" s="4"/>
      <c r="X1439" s="4"/>
    </row>
    <row r="1440" spans="17:24" x14ac:dyDescent="0.3">
      <c r="Q1440" s="4"/>
      <c r="R1440" s="4"/>
      <c r="S1440" s="4"/>
      <c r="T1440" s="4"/>
      <c r="U1440" s="4"/>
      <c r="V1440" s="4"/>
      <c r="W1440" s="4"/>
      <c r="X1440" s="4"/>
    </row>
    <row r="1441" spans="17:24" x14ac:dyDescent="0.3">
      <c r="Q1441" s="4"/>
      <c r="R1441" s="4"/>
      <c r="S1441" s="4"/>
      <c r="T1441" s="4"/>
      <c r="U1441" s="4"/>
      <c r="V1441" s="4"/>
      <c r="W1441" s="4"/>
      <c r="X1441" s="4"/>
    </row>
    <row r="1442" spans="17:24" x14ac:dyDescent="0.3">
      <c r="Q1442" s="4"/>
      <c r="R1442" s="4"/>
      <c r="S1442" s="4"/>
      <c r="T1442" s="4"/>
      <c r="U1442" s="4"/>
      <c r="V1442" s="4"/>
      <c r="W1442" s="4"/>
      <c r="X1442" s="4"/>
    </row>
    <row r="1443" spans="17:24" x14ac:dyDescent="0.3">
      <c r="Q1443" s="4"/>
      <c r="R1443" s="4"/>
      <c r="S1443" s="4"/>
      <c r="T1443" s="4"/>
      <c r="U1443" s="4"/>
      <c r="V1443" s="4"/>
      <c r="W1443" s="4"/>
      <c r="X1443" s="4"/>
    </row>
    <row r="1444" spans="17:24" x14ac:dyDescent="0.3">
      <c r="Q1444" s="4"/>
      <c r="R1444" s="4"/>
      <c r="S1444" s="4"/>
      <c r="T1444" s="4"/>
      <c r="U1444" s="4"/>
      <c r="V1444" s="4"/>
      <c r="W1444" s="4"/>
      <c r="X1444" s="4"/>
    </row>
    <row r="1445" spans="17:24" x14ac:dyDescent="0.3">
      <c r="Q1445" s="4"/>
      <c r="R1445" s="4"/>
      <c r="S1445" s="4"/>
      <c r="T1445" s="4"/>
      <c r="U1445" s="4"/>
      <c r="V1445" s="4"/>
      <c r="W1445" s="4"/>
      <c r="X1445" s="4"/>
    </row>
    <row r="1446" spans="17:24" x14ac:dyDescent="0.3">
      <c r="Q1446" s="4"/>
      <c r="R1446" s="4"/>
      <c r="S1446" s="4"/>
      <c r="T1446" s="4"/>
      <c r="U1446" s="4"/>
      <c r="V1446" s="4"/>
      <c r="W1446" s="4"/>
      <c r="X1446" s="4"/>
    </row>
    <row r="1447" spans="17:24" x14ac:dyDescent="0.3">
      <c r="Q1447" s="4"/>
      <c r="R1447" s="4"/>
      <c r="S1447" s="4"/>
      <c r="T1447" s="4"/>
      <c r="U1447" s="4"/>
      <c r="V1447" s="4"/>
      <c r="W1447" s="4"/>
      <c r="X1447" s="4"/>
    </row>
    <row r="1448" spans="17:24" x14ac:dyDescent="0.3">
      <c r="Q1448" s="4"/>
      <c r="R1448" s="4"/>
      <c r="S1448" s="4"/>
      <c r="T1448" s="4"/>
      <c r="U1448" s="4"/>
      <c r="V1448" s="4"/>
      <c r="W1448" s="4"/>
      <c r="X1448" s="4"/>
    </row>
    <row r="1449" spans="17:24" x14ac:dyDescent="0.3">
      <c r="Q1449" s="4"/>
      <c r="R1449" s="4"/>
      <c r="S1449" s="4"/>
      <c r="T1449" s="4"/>
      <c r="U1449" s="4"/>
      <c r="V1449" s="4"/>
      <c r="W1449" s="4"/>
      <c r="X1449" s="4"/>
    </row>
    <row r="1450" spans="17:24" x14ac:dyDescent="0.3">
      <c r="Q1450" s="4"/>
      <c r="R1450" s="4"/>
      <c r="S1450" s="4"/>
      <c r="T1450" s="4"/>
      <c r="U1450" s="4"/>
      <c r="V1450" s="4"/>
      <c r="W1450" s="4"/>
      <c r="X1450" s="4"/>
    </row>
    <row r="1451" spans="17:24" x14ac:dyDescent="0.3">
      <c r="Q1451" s="4"/>
      <c r="R1451" s="4"/>
      <c r="S1451" s="4"/>
      <c r="T1451" s="4"/>
      <c r="U1451" s="4"/>
      <c r="V1451" s="4"/>
      <c r="W1451" s="4"/>
      <c r="X1451" s="4"/>
    </row>
    <row r="1452" spans="17:24" x14ac:dyDescent="0.3">
      <c r="Q1452" s="4"/>
      <c r="R1452" s="4"/>
      <c r="S1452" s="4"/>
      <c r="T1452" s="4"/>
      <c r="U1452" s="4"/>
      <c r="V1452" s="4"/>
      <c r="W1452" s="4"/>
      <c r="X1452" s="4"/>
    </row>
    <row r="1453" spans="17:24" x14ac:dyDescent="0.3">
      <c r="Q1453" s="4"/>
      <c r="R1453" s="4"/>
      <c r="S1453" s="4"/>
      <c r="T1453" s="4"/>
      <c r="U1453" s="4"/>
      <c r="V1453" s="4"/>
      <c r="W1453" s="4"/>
      <c r="X1453" s="4"/>
    </row>
    <row r="1454" spans="17:24" x14ac:dyDescent="0.3">
      <c r="Q1454" s="4"/>
      <c r="R1454" s="4"/>
      <c r="S1454" s="4"/>
      <c r="T1454" s="4"/>
      <c r="U1454" s="4"/>
      <c r="V1454" s="4"/>
      <c r="W1454" s="4"/>
      <c r="X1454" s="4"/>
    </row>
    <row r="1455" spans="17:24" x14ac:dyDescent="0.3">
      <c r="Q1455" s="4"/>
      <c r="R1455" s="4"/>
      <c r="S1455" s="4"/>
      <c r="T1455" s="4"/>
      <c r="U1455" s="4"/>
      <c r="V1455" s="4"/>
      <c r="W1455" s="4"/>
      <c r="X1455" s="4"/>
    </row>
    <row r="1456" spans="17:24" x14ac:dyDescent="0.3">
      <c r="Q1456" s="4"/>
      <c r="R1456" s="4"/>
      <c r="S1456" s="4"/>
      <c r="T1456" s="4"/>
      <c r="U1456" s="4"/>
      <c r="V1456" s="4"/>
      <c r="W1456" s="4"/>
      <c r="X1456" s="4"/>
    </row>
    <row r="1457" spans="17:24" x14ac:dyDescent="0.3">
      <c r="Q1457" s="4"/>
      <c r="R1457" s="4"/>
      <c r="S1457" s="4"/>
      <c r="T1457" s="4"/>
      <c r="U1457" s="4"/>
      <c r="V1457" s="4"/>
      <c r="W1457" s="4"/>
      <c r="X1457" s="4"/>
    </row>
    <row r="1458" spans="17:24" x14ac:dyDescent="0.3">
      <c r="Q1458" s="4"/>
      <c r="R1458" s="4"/>
      <c r="S1458" s="4"/>
      <c r="T1458" s="4"/>
      <c r="U1458" s="4"/>
      <c r="V1458" s="4"/>
      <c r="W1458" s="4"/>
      <c r="X1458" s="4"/>
    </row>
    <row r="1459" spans="17:24" x14ac:dyDescent="0.3">
      <c r="Q1459" s="4"/>
      <c r="R1459" s="4"/>
      <c r="S1459" s="4"/>
      <c r="T1459" s="4"/>
      <c r="U1459" s="4"/>
      <c r="V1459" s="4"/>
      <c r="W1459" s="4"/>
      <c r="X1459" s="4"/>
    </row>
    <row r="1460" spans="17:24" x14ac:dyDescent="0.3">
      <c r="Q1460" s="4"/>
      <c r="R1460" s="4"/>
      <c r="S1460" s="4"/>
      <c r="T1460" s="4"/>
      <c r="U1460" s="4"/>
      <c r="V1460" s="4"/>
      <c r="W1460" s="4"/>
      <c r="X1460" s="4"/>
    </row>
    <row r="1461" spans="17:24" x14ac:dyDescent="0.3">
      <c r="Q1461" s="4"/>
      <c r="R1461" s="4"/>
      <c r="S1461" s="4"/>
      <c r="T1461" s="4"/>
      <c r="U1461" s="4"/>
      <c r="V1461" s="4"/>
      <c r="W1461" s="4"/>
      <c r="X1461" s="4"/>
    </row>
    <row r="1462" spans="17:24" x14ac:dyDescent="0.3">
      <c r="Q1462" s="4"/>
      <c r="R1462" s="4"/>
      <c r="S1462" s="4"/>
      <c r="T1462" s="4"/>
      <c r="U1462" s="4"/>
      <c r="V1462" s="4"/>
      <c r="W1462" s="4"/>
      <c r="X1462" s="4"/>
    </row>
    <row r="1463" spans="17:24" x14ac:dyDescent="0.3">
      <c r="Q1463" s="4"/>
      <c r="R1463" s="4"/>
      <c r="S1463" s="4"/>
      <c r="T1463" s="4"/>
      <c r="U1463" s="4"/>
      <c r="V1463" s="4"/>
      <c r="W1463" s="4"/>
      <c r="X1463" s="4"/>
    </row>
    <row r="1464" spans="17:24" x14ac:dyDescent="0.3">
      <c r="Q1464" s="4"/>
      <c r="R1464" s="4"/>
      <c r="S1464" s="4"/>
      <c r="T1464" s="4"/>
      <c r="U1464" s="4"/>
      <c r="V1464" s="4"/>
      <c r="W1464" s="4"/>
      <c r="X1464" s="4"/>
    </row>
    <row r="1465" spans="17:24" x14ac:dyDescent="0.3">
      <c r="Q1465" s="4"/>
      <c r="R1465" s="4"/>
      <c r="S1465" s="4"/>
      <c r="T1465" s="4"/>
      <c r="U1465" s="4"/>
      <c r="V1465" s="4"/>
      <c r="W1465" s="4"/>
      <c r="X1465" s="4"/>
    </row>
    <row r="1466" spans="17:24" x14ac:dyDescent="0.3">
      <c r="Q1466" s="4"/>
      <c r="R1466" s="4"/>
      <c r="S1466" s="4"/>
      <c r="T1466" s="4"/>
      <c r="U1466" s="4"/>
      <c r="V1466" s="4"/>
      <c r="W1466" s="4"/>
      <c r="X1466" s="4"/>
    </row>
    <row r="1467" spans="17:24" x14ac:dyDescent="0.3">
      <c r="Q1467" s="4"/>
      <c r="R1467" s="4"/>
      <c r="S1467" s="4"/>
      <c r="T1467" s="4"/>
      <c r="U1467" s="4"/>
      <c r="V1467" s="4"/>
      <c r="W1467" s="4"/>
      <c r="X1467" s="4"/>
    </row>
    <row r="1468" spans="17:24" x14ac:dyDescent="0.3">
      <c r="Q1468" s="4"/>
      <c r="R1468" s="4"/>
      <c r="S1468" s="4"/>
      <c r="T1468" s="4"/>
      <c r="U1468" s="4"/>
      <c r="V1468" s="4"/>
      <c r="W1468" s="4"/>
      <c r="X1468" s="4"/>
    </row>
    <row r="1469" spans="17:24" x14ac:dyDescent="0.3">
      <c r="Q1469" s="4"/>
      <c r="R1469" s="4"/>
      <c r="S1469" s="4"/>
      <c r="T1469" s="4"/>
      <c r="U1469" s="4"/>
      <c r="V1469" s="4"/>
      <c r="W1469" s="4"/>
      <c r="X1469" s="4"/>
    </row>
    <row r="1470" spans="17:24" x14ac:dyDescent="0.3">
      <c r="Q1470" s="4"/>
      <c r="R1470" s="4"/>
      <c r="S1470" s="4"/>
      <c r="T1470" s="4"/>
      <c r="U1470" s="4"/>
      <c r="V1470" s="4"/>
      <c r="W1470" s="4"/>
      <c r="X1470" s="4"/>
    </row>
    <row r="1471" spans="17:24" x14ac:dyDescent="0.3">
      <c r="Q1471" s="4"/>
      <c r="R1471" s="4"/>
      <c r="S1471" s="4"/>
      <c r="T1471" s="4"/>
      <c r="U1471" s="4"/>
      <c r="V1471" s="4"/>
      <c r="W1471" s="4"/>
      <c r="X1471" s="4"/>
    </row>
    <row r="1472" spans="17:24" x14ac:dyDescent="0.3">
      <c r="Q1472" s="4"/>
      <c r="R1472" s="4"/>
      <c r="S1472" s="4"/>
      <c r="T1472" s="4"/>
      <c r="U1472" s="4"/>
      <c r="V1472" s="4"/>
      <c r="W1472" s="4"/>
      <c r="X1472" s="4"/>
    </row>
    <row r="1473" spans="17:24" x14ac:dyDescent="0.3">
      <c r="Q1473" s="4"/>
      <c r="R1473" s="4"/>
      <c r="S1473" s="4"/>
      <c r="T1473" s="4"/>
      <c r="U1473" s="4"/>
      <c r="V1473" s="4"/>
      <c r="W1473" s="4"/>
      <c r="X1473" s="4"/>
    </row>
    <row r="1474" spans="17:24" x14ac:dyDescent="0.3">
      <c r="Q1474" s="4"/>
      <c r="R1474" s="4"/>
      <c r="S1474" s="4"/>
      <c r="T1474" s="4"/>
      <c r="U1474" s="4"/>
      <c r="V1474" s="4"/>
      <c r="W1474" s="4"/>
      <c r="X1474" s="4"/>
    </row>
    <row r="1475" spans="17:24" x14ac:dyDescent="0.3">
      <c r="Q1475" s="4"/>
      <c r="R1475" s="4"/>
      <c r="S1475" s="4"/>
      <c r="T1475" s="4"/>
      <c r="U1475" s="4"/>
      <c r="V1475" s="4"/>
      <c r="W1475" s="4"/>
      <c r="X1475" s="4"/>
    </row>
    <row r="1476" spans="17:24" x14ac:dyDescent="0.3">
      <c r="Q1476" s="4"/>
      <c r="R1476" s="4"/>
      <c r="S1476" s="4"/>
      <c r="T1476" s="4"/>
      <c r="U1476" s="4"/>
      <c r="V1476" s="4"/>
      <c r="W1476" s="4"/>
      <c r="X1476" s="4"/>
    </row>
    <row r="1477" spans="17:24" x14ac:dyDescent="0.3">
      <c r="Q1477" s="4"/>
      <c r="R1477" s="4"/>
      <c r="S1477" s="4"/>
      <c r="T1477" s="4"/>
      <c r="U1477" s="4"/>
      <c r="V1477" s="4"/>
      <c r="W1477" s="4"/>
      <c r="X1477" s="4"/>
    </row>
    <row r="1478" spans="17:24" x14ac:dyDescent="0.3">
      <c r="Q1478" s="4"/>
      <c r="R1478" s="4"/>
      <c r="S1478" s="4"/>
      <c r="T1478" s="4"/>
      <c r="U1478" s="4"/>
      <c r="V1478" s="4"/>
      <c r="W1478" s="4"/>
      <c r="X1478" s="4"/>
    </row>
    <row r="1479" spans="17:24" x14ac:dyDescent="0.3">
      <c r="Q1479" s="4"/>
      <c r="R1479" s="4"/>
      <c r="S1479" s="4"/>
      <c r="T1479" s="4"/>
      <c r="U1479" s="4"/>
      <c r="V1479" s="4"/>
      <c r="W1479" s="4"/>
      <c r="X1479" s="4"/>
    </row>
    <row r="1480" spans="17:24" x14ac:dyDescent="0.3">
      <c r="Q1480" s="4"/>
      <c r="R1480" s="4"/>
      <c r="S1480" s="4"/>
      <c r="T1480" s="4"/>
      <c r="U1480" s="4"/>
      <c r="V1480" s="4"/>
      <c r="W1480" s="4"/>
      <c r="X1480" s="4"/>
    </row>
    <row r="1481" spans="17:24" x14ac:dyDescent="0.3">
      <c r="Q1481" s="4"/>
      <c r="R1481" s="4"/>
      <c r="S1481" s="4"/>
      <c r="T1481" s="4"/>
      <c r="U1481" s="4"/>
      <c r="V1481" s="4"/>
      <c r="W1481" s="4"/>
      <c r="X1481" s="4"/>
    </row>
    <row r="1482" spans="17:24" x14ac:dyDescent="0.3">
      <c r="Q1482" s="4"/>
      <c r="R1482" s="4"/>
      <c r="S1482" s="4"/>
      <c r="T1482" s="4"/>
      <c r="U1482" s="4"/>
      <c r="V1482" s="4"/>
      <c r="W1482" s="4"/>
      <c r="X1482" s="4"/>
    </row>
    <row r="1483" spans="17:24" x14ac:dyDescent="0.3">
      <c r="Q1483" s="4"/>
      <c r="R1483" s="4"/>
      <c r="S1483" s="4"/>
      <c r="T1483" s="4"/>
      <c r="U1483" s="4"/>
      <c r="V1483" s="4"/>
      <c r="W1483" s="4"/>
      <c r="X1483" s="4"/>
    </row>
    <row r="1484" spans="17:24" x14ac:dyDescent="0.3">
      <c r="Q1484" s="4"/>
      <c r="R1484" s="4"/>
      <c r="S1484" s="4"/>
      <c r="T1484" s="4"/>
      <c r="U1484" s="4"/>
      <c r="V1484" s="4"/>
      <c r="W1484" s="4"/>
      <c r="X1484" s="4"/>
    </row>
    <row r="1485" spans="17:24" x14ac:dyDescent="0.3">
      <c r="Q1485" s="4"/>
      <c r="R1485" s="4"/>
      <c r="S1485" s="4"/>
      <c r="T1485" s="4"/>
      <c r="U1485" s="4"/>
      <c r="V1485" s="4"/>
      <c r="W1485" s="4"/>
      <c r="X1485" s="4"/>
    </row>
    <row r="1486" spans="17:24" x14ac:dyDescent="0.3">
      <c r="Q1486" s="4"/>
      <c r="R1486" s="4"/>
      <c r="S1486" s="4"/>
      <c r="T1486" s="4"/>
      <c r="U1486" s="4"/>
      <c r="V1486" s="4"/>
      <c r="W1486" s="4"/>
      <c r="X1486" s="4"/>
    </row>
    <row r="1487" spans="17:24" x14ac:dyDescent="0.3">
      <c r="Q1487" s="4"/>
      <c r="R1487" s="4"/>
      <c r="S1487" s="4"/>
      <c r="T1487" s="4"/>
      <c r="U1487" s="4"/>
      <c r="V1487" s="4"/>
      <c r="W1487" s="4"/>
      <c r="X1487" s="4"/>
    </row>
    <row r="1488" spans="17:24" x14ac:dyDescent="0.3">
      <c r="Q1488" s="4"/>
      <c r="R1488" s="4"/>
      <c r="S1488" s="4"/>
      <c r="T1488" s="4"/>
      <c r="U1488" s="4"/>
      <c r="V1488" s="4"/>
      <c r="W1488" s="4"/>
      <c r="X1488" s="4"/>
    </row>
    <row r="1489" spans="17:24" x14ac:dyDescent="0.3">
      <c r="Q1489" s="4"/>
      <c r="R1489" s="4"/>
      <c r="S1489" s="4"/>
      <c r="T1489" s="4"/>
      <c r="U1489" s="4"/>
      <c r="V1489" s="4"/>
      <c r="W1489" s="4"/>
      <c r="X1489" s="4"/>
    </row>
    <row r="1490" spans="17:24" x14ac:dyDescent="0.3">
      <c r="Q1490" s="4"/>
      <c r="R1490" s="4"/>
      <c r="S1490" s="4"/>
      <c r="T1490" s="4"/>
      <c r="U1490" s="4"/>
      <c r="V1490" s="4"/>
      <c r="W1490" s="4"/>
      <c r="X1490" s="4"/>
    </row>
    <row r="1491" spans="17:24" x14ac:dyDescent="0.3">
      <c r="Q1491" s="4"/>
      <c r="R1491" s="4"/>
      <c r="S1491" s="4"/>
      <c r="T1491" s="4"/>
      <c r="U1491" s="4"/>
      <c r="V1491" s="4"/>
      <c r="W1491" s="4"/>
      <c r="X1491" s="4"/>
    </row>
    <row r="1492" spans="17:24" x14ac:dyDescent="0.3">
      <c r="Q1492" s="4"/>
      <c r="R1492" s="4"/>
      <c r="S1492" s="4"/>
      <c r="T1492" s="4"/>
      <c r="U1492" s="4"/>
      <c r="V1492" s="4"/>
      <c r="W1492" s="4"/>
      <c r="X1492" s="4"/>
    </row>
    <row r="1493" spans="17:24" x14ac:dyDescent="0.3">
      <c r="Q1493" s="4"/>
      <c r="R1493" s="4"/>
      <c r="S1493" s="4"/>
      <c r="T1493" s="4"/>
      <c r="U1493" s="4"/>
      <c r="V1493" s="4"/>
      <c r="W1493" s="4"/>
      <c r="X1493" s="4"/>
    </row>
    <row r="1494" spans="17:24" x14ac:dyDescent="0.3">
      <c r="Q1494" s="4"/>
      <c r="R1494" s="4"/>
      <c r="S1494" s="4"/>
      <c r="T1494" s="4"/>
      <c r="U1494" s="4"/>
      <c r="V1494" s="4"/>
      <c r="W1494" s="4"/>
      <c r="X1494" s="4"/>
    </row>
    <row r="1495" spans="17:24" x14ac:dyDescent="0.3">
      <c r="Q1495" s="4"/>
      <c r="R1495" s="4"/>
      <c r="S1495" s="4"/>
      <c r="T1495" s="4"/>
      <c r="U1495" s="4"/>
      <c r="V1495" s="4"/>
      <c r="W1495" s="4"/>
      <c r="X1495" s="4"/>
    </row>
    <row r="1496" spans="17:24" x14ac:dyDescent="0.3">
      <c r="Q1496" s="4"/>
      <c r="R1496" s="4"/>
      <c r="S1496" s="4"/>
      <c r="T1496" s="4"/>
      <c r="U1496" s="4"/>
      <c r="V1496" s="4"/>
      <c r="W1496" s="4"/>
      <c r="X1496" s="4"/>
    </row>
    <row r="1497" spans="17:24" x14ac:dyDescent="0.3">
      <c r="Q1497" s="4"/>
      <c r="R1497" s="4"/>
      <c r="S1497" s="4"/>
      <c r="T1497" s="4"/>
      <c r="U1497" s="4"/>
      <c r="V1497" s="4"/>
      <c r="W1497" s="4"/>
      <c r="X1497" s="4"/>
    </row>
    <row r="1498" spans="17:24" x14ac:dyDescent="0.3">
      <c r="Q1498" s="4"/>
      <c r="R1498" s="4"/>
      <c r="S1498" s="4"/>
      <c r="T1498" s="4"/>
      <c r="U1498" s="4"/>
      <c r="V1498" s="4"/>
      <c r="W1498" s="4"/>
      <c r="X1498" s="4"/>
    </row>
    <row r="1499" spans="17:24" x14ac:dyDescent="0.3">
      <c r="Q1499" s="4"/>
      <c r="R1499" s="4"/>
      <c r="S1499" s="4"/>
      <c r="T1499" s="4"/>
      <c r="U1499" s="4"/>
      <c r="V1499" s="4"/>
      <c r="W1499" s="4"/>
      <c r="X1499" s="4"/>
    </row>
    <row r="1500" spans="17:24" x14ac:dyDescent="0.3">
      <c r="Q1500" s="4"/>
      <c r="R1500" s="4"/>
      <c r="S1500" s="4"/>
      <c r="T1500" s="4"/>
      <c r="U1500" s="4"/>
      <c r="V1500" s="4"/>
      <c r="W1500" s="4"/>
      <c r="X1500" s="4"/>
    </row>
    <row r="1501" spans="17:24" x14ac:dyDescent="0.3">
      <c r="Q1501" s="4"/>
      <c r="R1501" s="4"/>
      <c r="S1501" s="4"/>
      <c r="T1501" s="4"/>
      <c r="U1501" s="4"/>
      <c r="V1501" s="4"/>
      <c r="W1501" s="4"/>
      <c r="X1501" s="4"/>
    </row>
    <row r="1502" spans="17:24" x14ac:dyDescent="0.3">
      <c r="Q1502" s="4"/>
      <c r="R1502" s="4"/>
      <c r="S1502" s="4"/>
      <c r="T1502" s="4"/>
      <c r="U1502" s="4"/>
      <c r="V1502" s="4"/>
      <c r="W1502" s="4"/>
      <c r="X1502" s="4"/>
    </row>
    <row r="1503" spans="17:24" x14ac:dyDescent="0.3">
      <c r="Q1503" s="4"/>
      <c r="R1503" s="4"/>
      <c r="S1503" s="4"/>
      <c r="T1503" s="4"/>
      <c r="U1503" s="4"/>
      <c r="V1503" s="4"/>
      <c r="W1503" s="4"/>
      <c r="X1503" s="4"/>
    </row>
    <row r="1504" spans="17:24" x14ac:dyDescent="0.3">
      <c r="Q1504" s="4"/>
      <c r="R1504" s="4"/>
      <c r="S1504" s="4"/>
      <c r="T1504" s="4"/>
      <c r="U1504" s="4"/>
      <c r="V1504" s="4"/>
      <c r="W1504" s="4"/>
      <c r="X1504" s="4"/>
    </row>
    <row r="1505" spans="17:24" x14ac:dyDescent="0.3">
      <c r="Q1505" s="4"/>
      <c r="R1505" s="4"/>
      <c r="S1505" s="4"/>
      <c r="T1505" s="4"/>
      <c r="U1505" s="4"/>
      <c r="V1505" s="4"/>
      <c r="W1505" s="4"/>
      <c r="X1505" s="4"/>
    </row>
    <row r="1506" spans="17:24" x14ac:dyDescent="0.3">
      <c r="Q1506" s="4"/>
      <c r="R1506" s="4"/>
      <c r="S1506" s="4"/>
      <c r="T1506" s="4"/>
      <c r="U1506" s="4"/>
      <c r="V1506" s="4"/>
      <c r="W1506" s="4"/>
      <c r="X1506" s="4"/>
    </row>
    <row r="1507" spans="17:24" x14ac:dyDescent="0.3">
      <c r="Q1507" s="4"/>
      <c r="R1507" s="4"/>
      <c r="S1507" s="4"/>
      <c r="T1507" s="4"/>
      <c r="U1507" s="4"/>
      <c r="V1507" s="4"/>
      <c r="W1507" s="4"/>
      <c r="X1507" s="4"/>
    </row>
    <row r="1508" spans="17:24" x14ac:dyDescent="0.3">
      <c r="Q1508" s="4"/>
      <c r="R1508" s="4"/>
      <c r="S1508" s="4"/>
      <c r="T1508" s="4"/>
      <c r="U1508" s="4"/>
      <c r="V1508" s="4"/>
      <c r="W1508" s="4"/>
      <c r="X1508" s="4"/>
    </row>
    <row r="1509" spans="17:24" x14ac:dyDescent="0.3">
      <c r="Q1509" s="4"/>
      <c r="R1509" s="4"/>
      <c r="S1509" s="4"/>
      <c r="T1509" s="4"/>
      <c r="U1509" s="4"/>
      <c r="V1509" s="4"/>
      <c r="W1509" s="4"/>
      <c r="X1509" s="4"/>
    </row>
    <row r="1510" spans="17:24" x14ac:dyDescent="0.3">
      <c r="Q1510" s="4"/>
      <c r="R1510" s="4"/>
      <c r="S1510" s="4"/>
      <c r="T1510" s="4"/>
      <c r="U1510" s="4"/>
      <c r="V1510" s="4"/>
      <c r="W1510" s="4"/>
      <c r="X1510" s="4"/>
    </row>
    <row r="1511" spans="17:24" x14ac:dyDescent="0.3">
      <c r="Q1511" s="4"/>
      <c r="R1511" s="4"/>
      <c r="S1511" s="4"/>
      <c r="T1511" s="4"/>
      <c r="U1511" s="4"/>
      <c r="V1511" s="4"/>
      <c r="W1511" s="4"/>
      <c r="X1511" s="4"/>
    </row>
    <row r="1512" spans="17:24" x14ac:dyDescent="0.3">
      <c r="Q1512" s="4"/>
      <c r="R1512" s="4"/>
      <c r="S1512" s="4"/>
      <c r="T1512" s="4"/>
      <c r="U1512" s="4"/>
      <c r="V1512" s="4"/>
      <c r="W1512" s="4"/>
      <c r="X1512" s="4"/>
    </row>
    <row r="1513" spans="17:24" x14ac:dyDescent="0.3">
      <c r="Q1513" s="4"/>
      <c r="R1513" s="4"/>
      <c r="S1513" s="4"/>
      <c r="T1513" s="4"/>
      <c r="U1513" s="4"/>
      <c r="V1513" s="4"/>
      <c r="W1513" s="4"/>
      <c r="X1513" s="4"/>
    </row>
    <row r="1514" spans="17:24" x14ac:dyDescent="0.3">
      <c r="Q1514" s="4"/>
      <c r="R1514" s="4"/>
      <c r="S1514" s="4"/>
      <c r="T1514" s="4"/>
      <c r="U1514" s="4"/>
      <c r="V1514" s="4"/>
      <c r="W1514" s="4"/>
      <c r="X1514" s="4"/>
    </row>
    <row r="1515" spans="17:24" x14ac:dyDescent="0.3">
      <c r="Q1515" s="4"/>
      <c r="R1515" s="4"/>
      <c r="S1515" s="4"/>
      <c r="T1515" s="4"/>
      <c r="U1515" s="4"/>
      <c r="V1515" s="4"/>
      <c r="W1515" s="4"/>
      <c r="X1515" s="4"/>
    </row>
    <row r="1516" spans="17:24" x14ac:dyDescent="0.3">
      <c r="Q1516" s="4"/>
      <c r="R1516" s="4"/>
      <c r="S1516" s="4"/>
      <c r="T1516" s="4"/>
      <c r="U1516" s="4"/>
      <c r="V1516" s="4"/>
      <c r="W1516" s="4"/>
      <c r="X1516" s="4"/>
    </row>
    <row r="1517" spans="17:24" x14ac:dyDescent="0.3">
      <c r="Q1517" s="4"/>
      <c r="R1517" s="4"/>
      <c r="S1517" s="4"/>
      <c r="T1517" s="4"/>
      <c r="U1517" s="4"/>
      <c r="V1517" s="4"/>
      <c r="W1517" s="4"/>
      <c r="X1517" s="4"/>
    </row>
    <row r="1518" spans="17:24" x14ac:dyDescent="0.3">
      <c r="Q1518" s="4"/>
      <c r="R1518" s="4"/>
      <c r="S1518" s="4"/>
      <c r="T1518" s="4"/>
      <c r="U1518" s="4"/>
      <c r="V1518" s="4"/>
      <c r="W1518" s="4"/>
      <c r="X1518" s="4"/>
    </row>
    <row r="1519" spans="17:24" x14ac:dyDescent="0.3">
      <c r="Q1519" s="4"/>
      <c r="R1519" s="4"/>
      <c r="S1519" s="4"/>
      <c r="T1519" s="4"/>
      <c r="U1519" s="4"/>
      <c r="V1519" s="4"/>
      <c r="W1519" s="4"/>
      <c r="X1519" s="4"/>
    </row>
    <row r="1520" spans="17:24" x14ac:dyDescent="0.3">
      <c r="Q1520" s="4"/>
      <c r="R1520" s="4"/>
      <c r="S1520" s="4"/>
      <c r="T1520" s="4"/>
      <c r="U1520" s="4"/>
      <c r="V1520" s="4"/>
      <c r="W1520" s="4"/>
      <c r="X1520" s="4"/>
    </row>
    <row r="1521" spans="17:24" x14ac:dyDescent="0.3">
      <c r="Q1521" s="4"/>
      <c r="R1521" s="4"/>
      <c r="S1521" s="4"/>
      <c r="T1521" s="4"/>
      <c r="U1521" s="4"/>
      <c r="V1521" s="4"/>
      <c r="W1521" s="4"/>
      <c r="X1521" s="4"/>
    </row>
    <row r="1522" spans="17:24" x14ac:dyDescent="0.3">
      <c r="Q1522" s="4"/>
      <c r="R1522" s="4"/>
      <c r="S1522" s="4"/>
      <c r="T1522" s="4"/>
      <c r="U1522" s="4"/>
      <c r="V1522" s="4"/>
      <c r="W1522" s="4"/>
      <c r="X1522" s="4"/>
    </row>
    <row r="1523" spans="17:24" x14ac:dyDescent="0.3">
      <c r="Q1523" s="4"/>
      <c r="R1523" s="4"/>
      <c r="S1523" s="4"/>
      <c r="T1523" s="4"/>
      <c r="U1523" s="4"/>
      <c r="V1523" s="4"/>
      <c r="W1523" s="4"/>
      <c r="X1523" s="4"/>
    </row>
    <row r="1524" spans="17:24" x14ac:dyDescent="0.3">
      <c r="Q1524" s="4"/>
      <c r="R1524" s="4"/>
      <c r="S1524" s="4"/>
      <c r="T1524" s="4"/>
      <c r="U1524" s="4"/>
      <c r="V1524" s="4"/>
      <c r="W1524" s="4"/>
      <c r="X1524" s="4"/>
    </row>
    <row r="1525" spans="17:24" x14ac:dyDescent="0.3">
      <c r="Q1525" s="4"/>
      <c r="R1525" s="4"/>
      <c r="S1525" s="4"/>
      <c r="T1525" s="4"/>
      <c r="U1525" s="4"/>
      <c r="V1525" s="4"/>
      <c r="W1525" s="4"/>
      <c r="X1525" s="4"/>
    </row>
    <row r="1526" spans="17:24" x14ac:dyDescent="0.3">
      <c r="Q1526" s="4"/>
      <c r="R1526" s="4"/>
      <c r="S1526" s="4"/>
      <c r="T1526" s="4"/>
      <c r="U1526" s="4"/>
      <c r="V1526" s="4"/>
      <c r="W1526" s="4"/>
      <c r="X1526" s="4"/>
    </row>
    <row r="1527" spans="17:24" x14ac:dyDescent="0.3">
      <c r="Q1527" s="4"/>
      <c r="R1527" s="4"/>
      <c r="S1527" s="4"/>
      <c r="T1527" s="4"/>
      <c r="U1527" s="4"/>
      <c r="V1527" s="4"/>
      <c r="W1527" s="4"/>
      <c r="X1527" s="4"/>
    </row>
    <row r="1528" spans="17:24" x14ac:dyDescent="0.3">
      <c r="Q1528" s="4"/>
      <c r="R1528" s="4"/>
      <c r="S1528" s="4"/>
      <c r="T1528" s="4"/>
      <c r="U1528" s="4"/>
      <c r="V1528" s="4"/>
      <c r="W1528" s="4"/>
      <c r="X1528" s="4"/>
    </row>
    <row r="1529" spans="17:24" x14ac:dyDescent="0.3">
      <c r="Q1529" s="4"/>
      <c r="R1529" s="4"/>
      <c r="S1529" s="4"/>
      <c r="T1529" s="4"/>
      <c r="U1529" s="4"/>
      <c r="V1529" s="4"/>
      <c r="W1529" s="4"/>
      <c r="X1529" s="4"/>
    </row>
    <row r="1530" spans="17:24" x14ac:dyDescent="0.3">
      <c r="Q1530" s="4"/>
      <c r="R1530" s="4"/>
      <c r="S1530" s="4"/>
      <c r="T1530" s="4"/>
      <c r="U1530" s="4"/>
      <c r="V1530" s="4"/>
      <c r="W1530" s="4"/>
      <c r="X1530" s="4"/>
    </row>
    <row r="1531" spans="17:24" x14ac:dyDescent="0.3">
      <c r="Q1531" s="4"/>
      <c r="R1531" s="4"/>
      <c r="S1531" s="4"/>
      <c r="T1531" s="4"/>
      <c r="U1531" s="4"/>
      <c r="V1531" s="4"/>
      <c r="W1531" s="4"/>
      <c r="X1531" s="4"/>
    </row>
    <row r="1532" spans="17:24" x14ac:dyDescent="0.3">
      <c r="Q1532" s="4"/>
      <c r="R1532" s="4"/>
      <c r="S1532" s="4"/>
      <c r="T1532" s="4"/>
      <c r="U1532" s="4"/>
      <c r="V1532" s="4"/>
      <c r="W1532" s="4"/>
      <c r="X1532" s="4"/>
    </row>
    <row r="1533" spans="17:24" x14ac:dyDescent="0.3">
      <c r="Q1533" s="4"/>
      <c r="R1533" s="4"/>
      <c r="S1533" s="4"/>
      <c r="T1533" s="4"/>
      <c r="U1533" s="4"/>
      <c r="V1533" s="4"/>
      <c r="W1533" s="4"/>
      <c r="X1533" s="4"/>
    </row>
    <row r="1534" spans="17:24" x14ac:dyDescent="0.3">
      <c r="Q1534" s="4"/>
      <c r="R1534" s="4"/>
      <c r="S1534" s="4"/>
      <c r="T1534" s="4"/>
      <c r="U1534" s="4"/>
      <c r="V1534" s="4"/>
      <c r="W1534" s="4"/>
      <c r="X1534" s="4"/>
    </row>
    <row r="1535" spans="17:24" x14ac:dyDescent="0.3">
      <c r="Q1535" s="4"/>
      <c r="R1535" s="4"/>
      <c r="S1535" s="4"/>
      <c r="T1535" s="4"/>
      <c r="U1535" s="4"/>
      <c r="V1535" s="4"/>
      <c r="W1535" s="4"/>
      <c r="X1535" s="4"/>
    </row>
    <row r="1536" spans="17:24" x14ac:dyDescent="0.3">
      <c r="Q1536" s="4"/>
      <c r="R1536" s="4"/>
      <c r="S1536" s="4"/>
      <c r="T1536" s="4"/>
      <c r="U1536" s="4"/>
      <c r="V1536" s="4"/>
      <c r="W1536" s="4"/>
      <c r="X1536" s="4"/>
    </row>
    <row r="1537" spans="17:24" x14ac:dyDescent="0.3">
      <c r="Q1537" s="4"/>
      <c r="R1537" s="4"/>
      <c r="S1537" s="4"/>
      <c r="T1537" s="4"/>
      <c r="U1537" s="4"/>
      <c r="V1537" s="4"/>
      <c r="W1537" s="4"/>
      <c r="X1537" s="4"/>
    </row>
    <row r="1538" spans="17:24" x14ac:dyDescent="0.3">
      <c r="Q1538" s="4"/>
      <c r="R1538" s="4"/>
      <c r="S1538" s="4"/>
      <c r="T1538" s="4"/>
      <c r="U1538" s="4"/>
      <c r="V1538" s="4"/>
      <c r="W1538" s="4"/>
      <c r="X1538" s="4"/>
    </row>
    <row r="1539" spans="17:24" x14ac:dyDescent="0.3">
      <c r="Q1539" s="4"/>
      <c r="R1539" s="4"/>
      <c r="S1539" s="4"/>
      <c r="T1539" s="4"/>
      <c r="U1539" s="4"/>
      <c r="V1539" s="4"/>
      <c r="W1539" s="4"/>
      <c r="X1539" s="4"/>
    </row>
    <row r="1540" spans="17:24" x14ac:dyDescent="0.3">
      <c r="Q1540" s="4"/>
      <c r="R1540" s="4"/>
      <c r="S1540" s="4"/>
      <c r="T1540" s="4"/>
      <c r="U1540" s="4"/>
      <c r="V1540" s="4"/>
      <c r="W1540" s="4"/>
      <c r="X1540" s="4"/>
    </row>
    <row r="1541" spans="17:24" x14ac:dyDescent="0.3">
      <c r="Q1541" s="4"/>
      <c r="R1541" s="4"/>
      <c r="S1541" s="4"/>
      <c r="T1541" s="4"/>
      <c r="U1541" s="4"/>
      <c r="V1541" s="4"/>
      <c r="W1541" s="4"/>
      <c r="X1541" s="4"/>
    </row>
    <row r="1542" spans="17:24" x14ac:dyDescent="0.3">
      <c r="Q1542" s="4"/>
      <c r="R1542" s="4"/>
      <c r="S1542" s="4"/>
      <c r="T1542" s="4"/>
      <c r="U1542" s="4"/>
      <c r="V1542" s="4"/>
      <c r="W1542" s="4"/>
      <c r="X1542" s="4"/>
    </row>
    <row r="1543" spans="17:24" x14ac:dyDescent="0.3">
      <c r="Q1543" s="4"/>
      <c r="R1543" s="4"/>
      <c r="S1543" s="4"/>
      <c r="T1543" s="4"/>
      <c r="U1543" s="4"/>
      <c r="V1543" s="4"/>
      <c r="W1543" s="4"/>
      <c r="X1543" s="4"/>
    </row>
    <row r="1544" spans="17:24" x14ac:dyDescent="0.3">
      <c r="Q1544" s="4"/>
      <c r="R1544" s="4"/>
      <c r="S1544" s="4"/>
      <c r="T1544" s="4"/>
      <c r="U1544" s="4"/>
      <c r="V1544" s="4"/>
      <c r="W1544" s="4"/>
      <c r="X1544" s="4"/>
    </row>
    <row r="1545" spans="17:24" x14ac:dyDescent="0.3">
      <c r="Q1545" s="4"/>
      <c r="R1545" s="4"/>
      <c r="S1545" s="4"/>
      <c r="T1545" s="4"/>
      <c r="U1545" s="4"/>
      <c r="V1545" s="4"/>
      <c r="W1545" s="4"/>
      <c r="X1545" s="4"/>
    </row>
    <row r="1546" spans="17:24" x14ac:dyDescent="0.3">
      <c r="Q1546" s="4"/>
      <c r="R1546" s="4"/>
      <c r="S1546" s="4"/>
      <c r="T1546" s="4"/>
      <c r="U1546" s="4"/>
      <c r="V1546" s="4"/>
      <c r="W1546" s="4"/>
      <c r="X1546" s="4"/>
    </row>
    <row r="1547" spans="17:24" x14ac:dyDescent="0.3">
      <c r="Q1547" s="4"/>
      <c r="R1547" s="4"/>
      <c r="S1547" s="4"/>
      <c r="T1547" s="4"/>
      <c r="U1547" s="4"/>
      <c r="V1547" s="4"/>
      <c r="W1547" s="4"/>
      <c r="X1547" s="4"/>
    </row>
    <row r="1548" spans="17:24" x14ac:dyDescent="0.3">
      <c r="Q1548" s="4"/>
      <c r="R1548" s="4"/>
      <c r="S1548" s="4"/>
      <c r="T1548" s="4"/>
      <c r="U1548" s="4"/>
      <c r="V1548" s="4"/>
      <c r="W1548" s="4"/>
      <c r="X1548" s="4"/>
    </row>
    <row r="1549" spans="17:24" x14ac:dyDescent="0.3">
      <c r="Q1549" s="4"/>
      <c r="R1549" s="4"/>
      <c r="S1549" s="4"/>
      <c r="T1549" s="4"/>
      <c r="U1549" s="4"/>
      <c r="V1549" s="4"/>
      <c r="W1549" s="4"/>
      <c r="X1549" s="4"/>
    </row>
    <row r="1550" spans="17:24" x14ac:dyDescent="0.3">
      <c r="Q1550" s="4"/>
      <c r="R1550" s="4"/>
      <c r="S1550" s="4"/>
      <c r="T1550" s="4"/>
      <c r="U1550" s="4"/>
      <c r="V1550" s="4"/>
      <c r="W1550" s="4"/>
      <c r="X1550" s="4"/>
    </row>
    <row r="1551" spans="17:24" x14ac:dyDescent="0.3">
      <c r="Q1551" s="4"/>
      <c r="R1551" s="4"/>
      <c r="S1551" s="4"/>
      <c r="T1551" s="4"/>
      <c r="U1551" s="4"/>
      <c r="V1551" s="4"/>
      <c r="W1551" s="4"/>
      <c r="X1551" s="4"/>
    </row>
    <row r="1552" spans="17:24" x14ac:dyDescent="0.3">
      <c r="Q1552" s="4"/>
      <c r="R1552" s="4"/>
      <c r="S1552" s="4"/>
      <c r="T1552" s="4"/>
      <c r="U1552" s="4"/>
      <c r="V1552" s="4"/>
      <c r="W1552" s="4"/>
      <c r="X1552" s="4"/>
    </row>
    <row r="1553" spans="17:24" x14ac:dyDescent="0.3">
      <c r="Q1553" s="4"/>
      <c r="R1553" s="4"/>
      <c r="S1553" s="4"/>
      <c r="T1553" s="4"/>
      <c r="U1553" s="4"/>
      <c r="V1553" s="4"/>
      <c r="W1553" s="4"/>
      <c r="X1553" s="4"/>
    </row>
    <row r="1554" spans="17:24" x14ac:dyDescent="0.3">
      <c r="Q1554" s="4"/>
      <c r="R1554" s="4"/>
      <c r="S1554" s="4"/>
      <c r="T1554" s="4"/>
      <c r="U1554" s="4"/>
      <c r="V1554" s="4"/>
      <c r="W1554" s="4"/>
      <c r="X1554" s="4"/>
    </row>
    <row r="1555" spans="17:24" x14ac:dyDescent="0.3">
      <c r="Q1555" s="4"/>
      <c r="R1555" s="4"/>
      <c r="S1555" s="4"/>
      <c r="T1555" s="4"/>
      <c r="U1555" s="4"/>
      <c r="V1555" s="4"/>
      <c r="W1555" s="4"/>
      <c r="X1555" s="4"/>
    </row>
    <row r="1556" spans="17:24" x14ac:dyDescent="0.3">
      <c r="Q1556" s="4"/>
      <c r="R1556" s="4"/>
      <c r="S1556" s="4"/>
      <c r="T1556" s="4"/>
      <c r="U1556" s="4"/>
      <c r="V1556" s="4"/>
      <c r="W1556" s="4"/>
      <c r="X1556" s="4"/>
    </row>
    <row r="1557" spans="17:24" x14ac:dyDescent="0.3">
      <c r="Q1557" s="4"/>
      <c r="R1557" s="4"/>
      <c r="S1557" s="4"/>
      <c r="T1557" s="4"/>
      <c r="U1557" s="4"/>
      <c r="V1557" s="4"/>
      <c r="W1557" s="4"/>
      <c r="X1557" s="4"/>
    </row>
    <row r="1558" spans="17:24" x14ac:dyDescent="0.3">
      <c r="Q1558" s="4"/>
      <c r="R1558" s="4"/>
      <c r="S1558" s="4"/>
      <c r="T1558" s="4"/>
      <c r="U1558" s="4"/>
      <c r="V1558" s="4"/>
      <c r="W1558" s="4"/>
      <c r="X1558" s="4"/>
    </row>
    <row r="1559" spans="17:24" x14ac:dyDescent="0.3">
      <c r="Q1559" s="4"/>
      <c r="R1559" s="4"/>
      <c r="S1559" s="4"/>
      <c r="T1559" s="4"/>
      <c r="U1559" s="4"/>
      <c r="V1559" s="4"/>
      <c r="W1559" s="4"/>
      <c r="X1559" s="4"/>
    </row>
    <row r="1560" spans="17:24" x14ac:dyDescent="0.3">
      <c r="Q1560" s="4"/>
      <c r="R1560" s="4"/>
      <c r="S1560" s="4"/>
      <c r="T1560" s="4"/>
      <c r="U1560" s="4"/>
      <c r="V1560" s="4"/>
      <c r="W1560" s="4"/>
      <c r="X1560" s="4"/>
    </row>
    <row r="1561" spans="17:24" x14ac:dyDescent="0.3">
      <c r="Q1561" s="4"/>
      <c r="R1561" s="4"/>
      <c r="S1561" s="4"/>
      <c r="T1561" s="4"/>
      <c r="U1561" s="4"/>
      <c r="V1561" s="4"/>
      <c r="W1561" s="4"/>
      <c r="X1561" s="4"/>
    </row>
    <row r="1562" spans="17:24" x14ac:dyDescent="0.3">
      <c r="Q1562" s="4"/>
      <c r="R1562" s="4"/>
      <c r="S1562" s="4"/>
      <c r="T1562" s="4"/>
      <c r="U1562" s="4"/>
      <c r="V1562" s="4"/>
      <c r="W1562" s="4"/>
      <c r="X1562" s="4"/>
    </row>
    <row r="1563" spans="17:24" x14ac:dyDescent="0.3">
      <c r="Q1563" s="4"/>
      <c r="R1563" s="4"/>
      <c r="S1563" s="4"/>
      <c r="T1563" s="4"/>
      <c r="U1563" s="4"/>
      <c r="V1563" s="4"/>
      <c r="W1563" s="4"/>
      <c r="X1563" s="4"/>
    </row>
    <row r="1564" spans="17:24" x14ac:dyDescent="0.3">
      <c r="Q1564" s="4"/>
      <c r="R1564" s="4"/>
      <c r="S1564" s="4"/>
      <c r="T1564" s="4"/>
      <c r="U1564" s="4"/>
      <c r="V1564" s="4"/>
      <c r="W1564" s="4"/>
      <c r="X1564" s="4"/>
    </row>
    <row r="1565" spans="17:24" x14ac:dyDescent="0.3">
      <c r="Q1565" s="4"/>
      <c r="R1565" s="4"/>
      <c r="S1565" s="4"/>
      <c r="T1565" s="4"/>
      <c r="U1565" s="4"/>
      <c r="V1565" s="4"/>
      <c r="W1565" s="4"/>
      <c r="X1565" s="4"/>
    </row>
    <row r="1566" spans="17:24" x14ac:dyDescent="0.3">
      <c r="Q1566" s="4"/>
      <c r="R1566" s="4"/>
      <c r="S1566" s="4"/>
      <c r="T1566" s="4"/>
      <c r="U1566" s="4"/>
      <c r="V1566" s="4"/>
      <c r="W1566" s="4"/>
      <c r="X1566" s="4"/>
    </row>
    <row r="1567" spans="17:24" x14ac:dyDescent="0.3">
      <c r="Q1567" s="4"/>
      <c r="R1567" s="4"/>
      <c r="S1567" s="4"/>
      <c r="T1567" s="4"/>
      <c r="U1567" s="4"/>
      <c r="V1567" s="4"/>
      <c r="W1567" s="4"/>
      <c r="X1567" s="4"/>
    </row>
    <row r="1568" spans="17:24" x14ac:dyDescent="0.3">
      <c r="Q1568" s="4"/>
      <c r="R1568" s="4"/>
      <c r="S1568" s="4"/>
      <c r="T1568" s="4"/>
      <c r="U1568" s="4"/>
      <c r="V1568" s="4"/>
      <c r="W1568" s="4"/>
      <c r="X1568" s="4"/>
    </row>
    <row r="1569" spans="17:24" x14ac:dyDescent="0.3">
      <c r="Q1569" s="4"/>
      <c r="R1569" s="4"/>
      <c r="S1569" s="4"/>
      <c r="T1569" s="4"/>
      <c r="U1569" s="4"/>
      <c r="V1569" s="4"/>
      <c r="W1569" s="4"/>
      <c r="X1569" s="4"/>
    </row>
    <row r="1570" spans="17:24" x14ac:dyDescent="0.3">
      <c r="Q1570" s="4"/>
      <c r="R1570" s="4"/>
      <c r="S1570" s="4"/>
      <c r="T1570" s="4"/>
      <c r="U1570" s="4"/>
      <c r="V1570" s="4"/>
      <c r="W1570" s="4"/>
      <c r="X1570" s="4"/>
    </row>
    <row r="1571" spans="17:24" x14ac:dyDescent="0.3">
      <c r="Q1571" s="4"/>
      <c r="R1571" s="4"/>
      <c r="S1571" s="4"/>
      <c r="T1571" s="4"/>
      <c r="U1571" s="4"/>
      <c r="V1571" s="4"/>
      <c r="W1571" s="4"/>
      <c r="X1571" s="4"/>
    </row>
    <row r="1572" spans="17:24" x14ac:dyDescent="0.3">
      <c r="Q1572" s="4"/>
      <c r="R1572" s="4"/>
      <c r="S1572" s="4"/>
      <c r="T1572" s="4"/>
      <c r="U1572" s="4"/>
      <c r="V1572" s="4"/>
      <c r="W1572" s="4"/>
      <c r="X1572" s="4"/>
    </row>
    <row r="1573" spans="17:24" x14ac:dyDescent="0.3">
      <c r="Q1573" s="4"/>
      <c r="R1573" s="4"/>
      <c r="S1573" s="4"/>
      <c r="T1573" s="4"/>
      <c r="U1573" s="4"/>
      <c r="V1573" s="4"/>
      <c r="W1573" s="4"/>
      <c r="X1573" s="4"/>
    </row>
    <row r="1574" spans="17:24" x14ac:dyDescent="0.3">
      <c r="Q1574" s="4"/>
      <c r="R1574" s="4"/>
      <c r="S1574" s="4"/>
      <c r="T1574" s="4"/>
      <c r="U1574" s="4"/>
      <c r="V1574" s="4"/>
      <c r="W1574" s="4"/>
      <c r="X1574" s="4"/>
    </row>
    <row r="1575" spans="17:24" x14ac:dyDescent="0.3">
      <c r="Q1575" s="4"/>
      <c r="R1575" s="4"/>
      <c r="S1575" s="4"/>
      <c r="T1575" s="4"/>
      <c r="U1575" s="4"/>
      <c r="V1575" s="4"/>
      <c r="W1575" s="4"/>
      <c r="X1575" s="4"/>
    </row>
    <row r="1576" spans="17:24" x14ac:dyDescent="0.3">
      <c r="Q1576" s="4"/>
      <c r="R1576" s="4"/>
      <c r="S1576" s="4"/>
      <c r="T1576" s="4"/>
      <c r="U1576" s="4"/>
      <c r="V1576" s="4"/>
      <c r="W1576" s="4"/>
      <c r="X1576" s="4"/>
    </row>
    <row r="1577" spans="17:24" x14ac:dyDescent="0.3">
      <c r="Q1577" s="4"/>
      <c r="R1577" s="4"/>
      <c r="S1577" s="4"/>
      <c r="T1577" s="4"/>
      <c r="U1577" s="4"/>
      <c r="V1577" s="4"/>
      <c r="W1577" s="4"/>
      <c r="X1577" s="4"/>
    </row>
    <row r="1578" spans="17:24" x14ac:dyDescent="0.3">
      <c r="Q1578" s="4"/>
      <c r="R1578" s="4"/>
      <c r="S1578" s="4"/>
      <c r="T1578" s="4"/>
      <c r="U1578" s="4"/>
      <c r="V1578" s="4"/>
      <c r="W1578" s="4"/>
      <c r="X1578" s="4"/>
    </row>
    <row r="1579" spans="17:24" x14ac:dyDescent="0.3">
      <c r="Q1579" s="4"/>
      <c r="R1579" s="4"/>
      <c r="S1579" s="4"/>
      <c r="T1579" s="4"/>
      <c r="U1579" s="4"/>
      <c r="V1579" s="4"/>
      <c r="W1579" s="4"/>
      <c r="X1579" s="4"/>
    </row>
    <row r="1580" spans="17:24" x14ac:dyDescent="0.3">
      <c r="Q1580" s="4"/>
      <c r="R1580" s="4"/>
      <c r="S1580" s="4"/>
      <c r="T1580" s="4"/>
      <c r="U1580" s="4"/>
      <c r="V1580" s="4"/>
      <c r="W1580" s="4"/>
      <c r="X1580" s="4"/>
    </row>
    <row r="1581" spans="17:24" x14ac:dyDescent="0.3">
      <c r="Q1581" s="4"/>
      <c r="R1581" s="4"/>
      <c r="S1581" s="4"/>
      <c r="T1581" s="4"/>
      <c r="U1581" s="4"/>
      <c r="V1581" s="4"/>
      <c r="W1581" s="4"/>
      <c r="X1581" s="4"/>
    </row>
    <row r="1582" spans="17:24" x14ac:dyDescent="0.3">
      <c r="Q1582" s="4"/>
      <c r="R1582" s="4"/>
      <c r="S1582" s="4"/>
      <c r="T1582" s="4"/>
      <c r="U1582" s="4"/>
      <c r="V1582" s="4"/>
      <c r="W1582" s="4"/>
      <c r="X1582" s="4"/>
    </row>
    <row r="1583" spans="17:24" x14ac:dyDescent="0.3">
      <c r="Q1583" s="4"/>
      <c r="R1583" s="4"/>
      <c r="S1583" s="4"/>
      <c r="T1583" s="4"/>
      <c r="U1583" s="4"/>
      <c r="V1583" s="4"/>
      <c r="W1583" s="4"/>
      <c r="X1583" s="4"/>
    </row>
    <row r="1584" spans="17:24" x14ac:dyDescent="0.3">
      <c r="Q1584" s="4"/>
      <c r="R1584" s="4"/>
      <c r="S1584" s="4"/>
      <c r="T1584" s="4"/>
      <c r="U1584" s="4"/>
      <c r="V1584" s="4"/>
      <c r="W1584" s="4"/>
      <c r="X1584" s="4"/>
    </row>
    <row r="1585" spans="17:24" x14ac:dyDescent="0.3">
      <c r="Q1585" s="4"/>
      <c r="R1585" s="4"/>
      <c r="S1585" s="4"/>
      <c r="T1585" s="4"/>
      <c r="U1585" s="4"/>
      <c r="V1585" s="4"/>
      <c r="W1585" s="4"/>
      <c r="X1585" s="4"/>
    </row>
    <row r="1586" spans="17:24" x14ac:dyDescent="0.3">
      <c r="Q1586" s="4"/>
      <c r="R1586" s="4"/>
      <c r="S1586" s="4"/>
      <c r="T1586" s="4"/>
      <c r="U1586" s="4"/>
      <c r="V1586" s="4"/>
      <c r="W1586" s="4"/>
      <c r="X1586" s="4"/>
    </row>
    <row r="1587" spans="17:24" x14ac:dyDescent="0.3">
      <c r="Q1587" s="4"/>
      <c r="R1587" s="4"/>
      <c r="S1587" s="4"/>
      <c r="T1587" s="4"/>
      <c r="U1587" s="4"/>
      <c r="V1587" s="4"/>
      <c r="W1587" s="4"/>
      <c r="X1587" s="4"/>
    </row>
    <row r="1588" spans="17:24" x14ac:dyDescent="0.3">
      <c r="Q1588" s="4"/>
      <c r="R1588" s="4"/>
      <c r="S1588" s="4"/>
      <c r="T1588" s="4"/>
      <c r="U1588" s="4"/>
      <c r="V1588" s="4"/>
      <c r="W1588" s="4"/>
      <c r="X1588" s="4"/>
    </row>
    <row r="1589" spans="17:24" x14ac:dyDescent="0.3">
      <c r="Q1589" s="4"/>
      <c r="R1589" s="4"/>
      <c r="S1589" s="4"/>
      <c r="T1589" s="4"/>
      <c r="U1589" s="4"/>
      <c r="V1589" s="4"/>
      <c r="W1589" s="4"/>
      <c r="X1589" s="4"/>
    </row>
    <row r="1590" spans="17:24" x14ac:dyDescent="0.3">
      <c r="Q1590" s="4"/>
      <c r="R1590" s="4"/>
      <c r="S1590" s="4"/>
      <c r="T1590" s="4"/>
      <c r="U1590" s="4"/>
      <c r="V1590" s="4"/>
      <c r="W1590" s="4"/>
      <c r="X1590" s="4"/>
    </row>
    <row r="1591" spans="17:24" x14ac:dyDescent="0.3">
      <c r="Q1591" s="4"/>
      <c r="R1591" s="4"/>
      <c r="S1591" s="4"/>
      <c r="T1591" s="4"/>
      <c r="U1591" s="4"/>
      <c r="V1591" s="4"/>
      <c r="W1591" s="4"/>
      <c r="X1591" s="4"/>
    </row>
    <row r="1592" spans="17:24" x14ac:dyDescent="0.3">
      <c r="Q1592" s="4"/>
      <c r="R1592" s="4"/>
      <c r="S1592" s="4"/>
      <c r="T1592" s="4"/>
      <c r="U1592" s="4"/>
      <c r="V1592" s="4"/>
      <c r="W1592" s="4"/>
      <c r="X1592" s="4"/>
    </row>
    <row r="1593" spans="17:24" x14ac:dyDescent="0.3">
      <c r="Q1593" s="4"/>
      <c r="R1593" s="4"/>
      <c r="S1593" s="4"/>
      <c r="T1593" s="4"/>
      <c r="U1593" s="4"/>
      <c r="V1593" s="4"/>
      <c r="W1593" s="4"/>
      <c r="X1593" s="4"/>
    </row>
    <row r="1594" spans="17:24" x14ac:dyDescent="0.3">
      <c r="Q1594" s="4"/>
      <c r="R1594" s="4"/>
      <c r="S1594" s="4"/>
      <c r="T1594" s="4"/>
      <c r="U1594" s="4"/>
      <c r="V1594" s="4"/>
      <c r="W1594" s="4"/>
      <c r="X1594" s="4"/>
    </row>
    <row r="1595" spans="17:24" x14ac:dyDescent="0.3">
      <c r="Q1595" s="4"/>
      <c r="R1595" s="4"/>
      <c r="S1595" s="4"/>
      <c r="T1595" s="4"/>
      <c r="U1595" s="4"/>
      <c r="V1595" s="4"/>
      <c r="W1595" s="4"/>
      <c r="X1595" s="4"/>
    </row>
    <row r="1596" spans="17:24" x14ac:dyDescent="0.3">
      <c r="Q1596" s="4"/>
      <c r="R1596" s="4"/>
      <c r="S1596" s="4"/>
      <c r="T1596" s="4"/>
      <c r="U1596" s="4"/>
      <c r="V1596" s="4"/>
      <c r="W1596" s="4"/>
      <c r="X1596" s="4"/>
    </row>
    <row r="1597" spans="17:24" x14ac:dyDescent="0.3">
      <c r="Q1597" s="4"/>
      <c r="R1597" s="4"/>
      <c r="S1597" s="4"/>
      <c r="T1597" s="4"/>
      <c r="U1597" s="4"/>
      <c r="V1597" s="4"/>
      <c r="W1597" s="4"/>
      <c r="X1597" s="4"/>
    </row>
    <row r="1598" spans="17:24" x14ac:dyDescent="0.3">
      <c r="Q1598" s="4"/>
      <c r="R1598" s="4"/>
      <c r="S1598" s="4"/>
      <c r="T1598" s="4"/>
      <c r="U1598" s="4"/>
      <c r="V1598" s="4"/>
      <c r="W1598" s="4"/>
      <c r="X1598" s="4"/>
    </row>
    <row r="1599" spans="17:24" x14ac:dyDescent="0.3">
      <c r="Q1599" s="4"/>
      <c r="R1599" s="4"/>
      <c r="S1599" s="4"/>
      <c r="T1599" s="4"/>
      <c r="U1599" s="4"/>
      <c r="V1599" s="4"/>
      <c r="W1599" s="4"/>
      <c r="X1599" s="4"/>
    </row>
    <row r="1600" spans="17:24" x14ac:dyDescent="0.3">
      <c r="Q1600" s="4"/>
      <c r="R1600" s="4"/>
      <c r="S1600" s="4"/>
      <c r="T1600" s="4"/>
      <c r="U1600" s="4"/>
      <c r="V1600" s="4"/>
      <c r="W1600" s="4"/>
      <c r="X1600" s="4"/>
    </row>
    <row r="1601" spans="17:24" x14ac:dyDescent="0.3">
      <c r="Q1601" s="4"/>
      <c r="R1601" s="4"/>
      <c r="S1601" s="4"/>
      <c r="T1601" s="4"/>
      <c r="U1601" s="4"/>
      <c r="V1601" s="4"/>
      <c r="W1601" s="4"/>
      <c r="X1601" s="4"/>
    </row>
    <row r="1602" spans="17:24" x14ac:dyDescent="0.3">
      <c r="Q1602" s="4"/>
      <c r="R1602" s="4"/>
      <c r="S1602" s="4"/>
      <c r="T1602" s="4"/>
      <c r="U1602" s="4"/>
      <c r="V1602" s="4"/>
      <c r="W1602" s="4"/>
      <c r="X1602" s="4"/>
    </row>
    <row r="1603" spans="17:24" x14ac:dyDescent="0.3">
      <c r="Q1603" s="4"/>
      <c r="R1603" s="4"/>
      <c r="S1603" s="4"/>
      <c r="T1603" s="4"/>
      <c r="U1603" s="4"/>
      <c r="V1603" s="4"/>
      <c r="W1603" s="4"/>
      <c r="X1603" s="4"/>
    </row>
    <row r="1604" spans="17:24" x14ac:dyDescent="0.3">
      <c r="Q1604" s="4"/>
      <c r="R1604" s="4"/>
      <c r="S1604" s="4"/>
      <c r="T1604" s="4"/>
      <c r="U1604" s="4"/>
      <c r="V1604" s="4"/>
      <c r="W1604" s="4"/>
      <c r="X1604" s="4"/>
    </row>
    <row r="1605" spans="17:24" x14ac:dyDescent="0.3">
      <c r="Q1605" s="4"/>
      <c r="R1605" s="4"/>
      <c r="S1605" s="4"/>
      <c r="T1605" s="4"/>
      <c r="U1605" s="4"/>
      <c r="V1605" s="4"/>
      <c r="W1605" s="4"/>
      <c r="X1605" s="4"/>
    </row>
    <row r="1606" spans="17:24" x14ac:dyDescent="0.3">
      <c r="Q1606" s="4"/>
      <c r="R1606" s="4"/>
      <c r="S1606" s="4"/>
      <c r="T1606" s="4"/>
      <c r="U1606" s="4"/>
      <c r="V1606" s="4"/>
      <c r="W1606" s="4"/>
      <c r="X1606" s="4"/>
    </row>
    <row r="1607" spans="17:24" x14ac:dyDescent="0.3">
      <c r="Q1607" s="4"/>
      <c r="R1607" s="4"/>
      <c r="S1607" s="4"/>
      <c r="T1607" s="4"/>
      <c r="U1607" s="4"/>
      <c r="V1607" s="4"/>
      <c r="W1607" s="4"/>
      <c r="X1607" s="4"/>
    </row>
    <row r="1608" spans="17:24" x14ac:dyDescent="0.3">
      <c r="Q1608" s="4"/>
      <c r="R1608" s="4"/>
      <c r="S1608" s="4"/>
      <c r="T1608" s="4"/>
      <c r="U1608" s="4"/>
      <c r="V1608" s="4"/>
      <c r="W1608" s="4"/>
      <c r="X1608" s="4"/>
    </row>
    <row r="1609" spans="17:24" x14ac:dyDescent="0.3">
      <c r="Q1609" s="4"/>
      <c r="R1609" s="4"/>
      <c r="S1609" s="4"/>
      <c r="T1609" s="4"/>
      <c r="U1609" s="4"/>
      <c r="V1609" s="4"/>
      <c r="W1609" s="4"/>
      <c r="X1609" s="4"/>
    </row>
    <row r="1610" spans="17:24" x14ac:dyDescent="0.3">
      <c r="Q1610" s="4"/>
      <c r="R1610" s="4"/>
      <c r="S1610" s="4"/>
      <c r="T1610" s="4"/>
      <c r="U1610" s="4"/>
      <c r="V1610" s="4"/>
      <c r="W1610" s="4"/>
      <c r="X1610" s="4"/>
    </row>
    <row r="1611" spans="17:24" x14ac:dyDescent="0.3">
      <c r="Q1611" s="4"/>
      <c r="R1611" s="4"/>
      <c r="S1611" s="4"/>
      <c r="T1611" s="4"/>
      <c r="U1611" s="4"/>
      <c r="V1611" s="4"/>
      <c r="W1611" s="4"/>
      <c r="X1611" s="4"/>
    </row>
    <row r="1612" spans="17:24" x14ac:dyDescent="0.3">
      <c r="Q1612" s="4"/>
      <c r="R1612" s="4"/>
      <c r="S1612" s="4"/>
      <c r="T1612" s="4"/>
      <c r="U1612" s="4"/>
      <c r="V1612" s="4"/>
      <c r="W1612" s="4"/>
      <c r="X1612" s="4"/>
    </row>
    <row r="1613" spans="17:24" x14ac:dyDescent="0.3">
      <c r="Q1613" s="4"/>
      <c r="R1613" s="4"/>
      <c r="S1613" s="4"/>
      <c r="T1613" s="4"/>
      <c r="U1613" s="4"/>
      <c r="V1613" s="4"/>
      <c r="W1613" s="4"/>
      <c r="X1613" s="4"/>
    </row>
    <row r="1614" spans="17:24" x14ac:dyDescent="0.3">
      <c r="Q1614" s="4"/>
      <c r="R1614" s="4"/>
      <c r="S1614" s="4"/>
      <c r="T1614" s="4"/>
      <c r="U1614" s="4"/>
      <c r="V1614" s="4"/>
      <c r="W1614" s="4"/>
      <c r="X1614" s="4"/>
    </row>
    <row r="1615" spans="17:24" x14ac:dyDescent="0.3">
      <c r="Q1615" s="4"/>
      <c r="R1615" s="4"/>
      <c r="S1615" s="4"/>
      <c r="T1615" s="4"/>
      <c r="U1615" s="4"/>
      <c r="V1615" s="4"/>
      <c r="W1615" s="4"/>
      <c r="X1615" s="4"/>
    </row>
    <row r="1616" spans="17:24" x14ac:dyDescent="0.3">
      <c r="Q1616" s="4"/>
      <c r="R1616" s="4"/>
      <c r="S1616" s="4"/>
      <c r="T1616" s="4"/>
      <c r="U1616" s="4"/>
      <c r="V1616" s="4"/>
      <c r="W1616" s="4"/>
      <c r="X1616" s="4"/>
    </row>
    <row r="1617" spans="17:24" x14ac:dyDescent="0.3">
      <c r="Q1617" s="4"/>
      <c r="R1617" s="4"/>
      <c r="S1617" s="4"/>
      <c r="T1617" s="4"/>
      <c r="U1617" s="4"/>
      <c r="V1617" s="4"/>
      <c r="W1617" s="4"/>
      <c r="X1617" s="4"/>
    </row>
    <row r="1618" spans="17:24" x14ac:dyDescent="0.3">
      <c r="Q1618" s="4"/>
      <c r="R1618" s="4"/>
      <c r="S1618" s="4"/>
      <c r="T1618" s="4"/>
      <c r="U1618" s="4"/>
      <c r="V1618" s="4"/>
      <c r="W1618" s="4"/>
      <c r="X1618" s="4"/>
    </row>
    <row r="1619" spans="17:24" x14ac:dyDescent="0.3">
      <c r="Q1619" s="4"/>
      <c r="R1619" s="4"/>
      <c r="S1619" s="4"/>
      <c r="T1619" s="4"/>
      <c r="U1619" s="4"/>
      <c r="V1619" s="4"/>
      <c r="W1619" s="4"/>
      <c r="X1619" s="4"/>
    </row>
    <row r="1620" spans="17:24" x14ac:dyDescent="0.3">
      <c r="Q1620" s="4"/>
      <c r="R1620" s="4"/>
      <c r="S1620" s="4"/>
      <c r="T1620" s="4"/>
      <c r="U1620" s="4"/>
      <c r="V1620" s="4"/>
      <c r="W1620" s="4"/>
      <c r="X1620" s="4"/>
    </row>
    <row r="1621" spans="17:24" x14ac:dyDescent="0.3">
      <c r="Q1621" s="4"/>
      <c r="R1621" s="4"/>
      <c r="S1621" s="4"/>
      <c r="T1621" s="4"/>
      <c r="U1621" s="4"/>
      <c r="V1621" s="4"/>
      <c r="W1621" s="4"/>
      <c r="X1621" s="4"/>
    </row>
    <row r="1622" spans="17:24" x14ac:dyDescent="0.3">
      <c r="Q1622" s="4"/>
      <c r="R1622" s="4"/>
      <c r="S1622" s="4"/>
      <c r="T1622" s="4"/>
      <c r="U1622" s="4"/>
      <c r="V1622" s="4"/>
      <c r="W1622" s="4"/>
      <c r="X1622" s="4"/>
    </row>
    <row r="1623" spans="17:24" x14ac:dyDescent="0.3">
      <c r="Q1623" s="4"/>
      <c r="R1623" s="4"/>
      <c r="S1623" s="4"/>
      <c r="T1623" s="4"/>
      <c r="U1623" s="4"/>
      <c r="V1623" s="4"/>
      <c r="W1623" s="4"/>
      <c r="X1623" s="4"/>
    </row>
    <row r="1624" spans="17:24" x14ac:dyDescent="0.3">
      <c r="Q1624" s="4"/>
      <c r="R1624" s="4"/>
      <c r="S1624" s="4"/>
      <c r="T1624" s="4"/>
      <c r="U1624" s="4"/>
      <c r="V1624" s="4"/>
      <c r="W1624" s="4"/>
      <c r="X1624" s="4"/>
    </row>
    <row r="1625" spans="17:24" x14ac:dyDescent="0.3">
      <c r="Q1625" s="4"/>
      <c r="R1625" s="4"/>
      <c r="S1625" s="4"/>
      <c r="T1625" s="4"/>
      <c r="U1625" s="4"/>
      <c r="V1625" s="4"/>
      <c r="W1625" s="4"/>
      <c r="X1625" s="4"/>
    </row>
    <row r="1626" spans="17:24" x14ac:dyDescent="0.3">
      <c r="Q1626" s="4"/>
      <c r="R1626" s="4"/>
      <c r="S1626" s="4"/>
      <c r="T1626" s="4"/>
      <c r="U1626" s="4"/>
      <c r="V1626" s="4"/>
      <c r="W1626" s="4"/>
      <c r="X1626" s="4"/>
    </row>
    <row r="1627" spans="17:24" x14ac:dyDescent="0.3">
      <c r="Q1627" s="4"/>
      <c r="R1627" s="4"/>
      <c r="S1627" s="4"/>
      <c r="T1627" s="4"/>
      <c r="U1627" s="4"/>
      <c r="V1627" s="4"/>
      <c r="W1627" s="4"/>
      <c r="X1627" s="4"/>
    </row>
    <row r="1628" spans="17:24" x14ac:dyDescent="0.3">
      <c r="Q1628" s="4"/>
      <c r="R1628" s="4"/>
      <c r="S1628" s="4"/>
      <c r="T1628" s="4"/>
      <c r="U1628" s="4"/>
      <c r="V1628" s="4"/>
      <c r="W1628" s="4"/>
      <c r="X1628" s="4"/>
    </row>
    <row r="1629" spans="17:24" x14ac:dyDescent="0.3">
      <c r="Q1629" s="4"/>
      <c r="R1629" s="4"/>
      <c r="S1629" s="4"/>
      <c r="T1629" s="4"/>
      <c r="U1629" s="4"/>
      <c r="V1629" s="4"/>
      <c r="W1629" s="4"/>
      <c r="X1629" s="4"/>
    </row>
    <row r="1630" spans="17:24" x14ac:dyDescent="0.3">
      <c r="Q1630" s="4"/>
      <c r="R1630" s="4"/>
      <c r="S1630" s="4"/>
      <c r="T1630" s="4"/>
      <c r="U1630" s="4"/>
      <c r="V1630" s="4"/>
      <c r="W1630" s="4"/>
      <c r="X1630" s="4"/>
    </row>
    <row r="1631" spans="17:24" x14ac:dyDescent="0.3">
      <c r="Q1631" s="4"/>
      <c r="R1631" s="4"/>
      <c r="S1631" s="4"/>
      <c r="T1631" s="4"/>
      <c r="U1631" s="4"/>
      <c r="V1631" s="4"/>
      <c r="W1631" s="4"/>
      <c r="X1631" s="4"/>
    </row>
    <row r="1632" spans="17:24" x14ac:dyDescent="0.3">
      <c r="Q1632" s="4"/>
      <c r="R1632" s="4"/>
      <c r="S1632" s="4"/>
      <c r="T1632" s="4"/>
      <c r="U1632" s="4"/>
      <c r="V1632" s="4"/>
      <c r="W1632" s="4"/>
      <c r="X1632" s="4"/>
    </row>
    <row r="1633" spans="17:24" x14ac:dyDescent="0.3">
      <c r="Q1633" s="4"/>
      <c r="R1633" s="4"/>
      <c r="S1633" s="4"/>
      <c r="T1633" s="4"/>
      <c r="U1633" s="4"/>
      <c r="V1633" s="4"/>
      <c r="W1633" s="4"/>
      <c r="X1633" s="4"/>
    </row>
    <row r="1634" spans="17:24" x14ac:dyDescent="0.3">
      <c r="Q1634" s="4"/>
      <c r="R1634" s="4"/>
      <c r="S1634" s="4"/>
      <c r="T1634" s="4"/>
      <c r="U1634" s="4"/>
      <c r="V1634" s="4"/>
      <c r="W1634" s="4"/>
      <c r="X1634" s="4"/>
    </row>
    <row r="1635" spans="17:24" x14ac:dyDescent="0.3">
      <c r="Q1635" s="4"/>
      <c r="R1635" s="4"/>
      <c r="S1635" s="4"/>
      <c r="T1635" s="4"/>
      <c r="U1635" s="4"/>
      <c r="V1635" s="4"/>
      <c r="W1635" s="4"/>
      <c r="X1635" s="4"/>
    </row>
    <row r="1636" spans="17:24" x14ac:dyDescent="0.3">
      <c r="Q1636" s="4"/>
      <c r="R1636" s="4"/>
      <c r="S1636" s="4"/>
      <c r="T1636" s="4"/>
      <c r="U1636" s="4"/>
      <c r="V1636" s="4"/>
      <c r="W1636" s="4"/>
      <c r="X1636" s="4"/>
    </row>
    <row r="1637" spans="17:24" x14ac:dyDescent="0.3">
      <c r="Q1637" s="4"/>
      <c r="R1637" s="4"/>
      <c r="S1637" s="4"/>
      <c r="T1637" s="4"/>
      <c r="U1637" s="4"/>
      <c r="V1637" s="4"/>
      <c r="W1637" s="4"/>
      <c r="X1637" s="4"/>
    </row>
    <row r="1638" spans="17:24" x14ac:dyDescent="0.3">
      <c r="Q1638" s="4"/>
      <c r="R1638" s="4"/>
      <c r="S1638" s="4"/>
      <c r="T1638" s="4"/>
      <c r="U1638" s="4"/>
      <c r="V1638" s="4"/>
      <c r="W1638" s="4"/>
      <c r="X1638" s="4"/>
    </row>
    <row r="1639" spans="17:24" x14ac:dyDescent="0.3">
      <c r="Q1639" s="4"/>
      <c r="R1639" s="4"/>
      <c r="S1639" s="4"/>
      <c r="T1639" s="4"/>
      <c r="U1639" s="4"/>
      <c r="V1639" s="4"/>
      <c r="W1639" s="4"/>
      <c r="X1639" s="4"/>
    </row>
    <row r="1640" spans="17:24" x14ac:dyDescent="0.3">
      <c r="Q1640" s="4"/>
      <c r="R1640" s="4"/>
      <c r="S1640" s="4"/>
      <c r="T1640" s="4"/>
      <c r="U1640" s="4"/>
      <c r="V1640" s="4"/>
      <c r="W1640" s="4"/>
      <c r="X1640" s="4"/>
    </row>
    <row r="1641" spans="17:24" x14ac:dyDescent="0.3">
      <c r="Q1641" s="4"/>
      <c r="R1641" s="4"/>
      <c r="S1641" s="4"/>
      <c r="T1641" s="4"/>
      <c r="U1641" s="4"/>
      <c r="V1641" s="4"/>
      <c r="W1641" s="4"/>
      <c r="X1641" s="4"/>
    </row>
    <row r="1642" spans="17:24" x14ac:dyDescent="0.3">
      <c r="Q1642" s="4"/>
      <c r="R1642" s="4"/>
      <c r="S1642" s="4"/>
      <c r="T1642" s="4"/>
      <c r="U1642" s="4"/>
      <c r="V1642" s="4"/>
      <c r="W1642" s="4"/>
      <c r="X1642" s="4"/>
    </row>
    <row r="1643" spans="17:24" x14ac:dyDescent="0.3">
      <c r="Q1643" s="4"/>
      <c r="R1643" s="4"/>
      <c r="S1643" s="4"/>
      <c r="T1643" s="4"/>
      <c r="U1643" s="4"/>
      <c r="V1643" s="4"/>
      <c r="W1643" s="4"/>
      <c r="X1643" s="4"/>
    </row>
    <row r="1644" spans="17:24" x14ac:dyDescent="0.3">
      <c r="Q1644" s="4"/>
      <c r="R1644" s="4"/>
      <c r="S1644" s="4"/>
      <c r="T1644" s="4"/>
      <c r="U1644" s="4"/>
      <c r="V1644" s="4"/>
      <c r="W1644" s="4"/>
      <c r="X1644" s="4"/>
    </row>
    <row r="1645" spans="17:24" x14ac:dyDescent="0.3">
      <c r="Q1645" s="4"/>
      <c r="R1645" s="4"/>
      <c r="S1645" s="4"/>
      <c r="T1645" s="4"/>
      <c r="U1645" s="4"/>
      <c r="V1645" s="4"/>
      <c r="W1645" s="4"/>
      <c r="X1645" s="4"/>
    </row>
    <row r="1646" spans="17:24" x14ac:dyDescent="0.3">
      <c r="Q1646" s="4"/>
      <c r="R1646" s="4"/>
      <c r="S1646" s="4"/>
      <c r="T1646" s="4"/>
      <c r="U1646" s="4"/>
      <c r="V1646" s="4"/>
      <c r="W1646" s="4"/>
      <c r="X1646" s="4"/>
    </row>
    <row r="1647" spans="17:24" x14ac:dyDescent="0.3">
      <c r="Q1647" s="4"/>
      <c r="R1647" s="4"/>
      <c r="S1647" s="4"/>
      <c r="T1647" s="4"/>
      <c r="U1647" s="4"/>
      <c r="V1647" s="4"/>
      <c r="W1647" s="4"/>
      <c r="X1647" s="4"/>
    </row>
    <row r="1648" spans="17:24" x14ac:dyDescent="0.3">
      <c r="Q1648" s="4"/>
      <c r="R1648" s="4"/>
      <c r="S1648" s="4"/>
      <c r="T1648" s="4"/>
      <c r="U1648" s="4"/>
      <c r="V1648" s="4"/>
      <c r="W1648" s="4"/>
      <c r="X1648" s="4"/>
    </row>
    <row r="1649" spans="17:24" x14ac:dyDescent="0.3">
      <c r="Q1649" s="4"/>
      <c r="R1649" s="4"/>
      <c r="S1649" s="4"/>
      <c r="T1649" s="4"/>
      <c r="U1649" s="4"/>
      <c r="V1649" s="4"/>
      <c r="W1649" s="4"/>
      <c r="X1649" s="4"/>
    </row>
    <row r="1650" spans="17:24" x14ac:dyDescent="0.3">
      <c r="Q1650" s="4"/>
      <c r="R1650" s="4"/>
      <c r="S1650" s="4"/>
      <c r="T1650" s="4"/>
      <c r="U1650" s="4"/>
      <c r="V1650" s="4"/>
      <c r="W1650" s="4"/>
      <c r="X1650" s="4"/>
    </row>
    <row r="1651" spans="17:24" x14ac:dyDescent="0.3">
      <c r="Q1651" s="4"/>
      <c r="R1651" s="4"/>
      <c r="S1651" s="4"/>
      <c r="T1651" s="4"/>
      <c r="U1651" s="4"/>
      <c r="V1651" s="4"/>
      <c r="W1651" s="4"/>
      <c r="X1651" s="4"/>
    </row>
    <row r="1652" spans="17:24" x14ac:dyDescent="0.3">
      <c r="Q1652" s="4"/>
      <c r="R1652" s="4"/>
      <c r="S1652" s="4"/>
      <c r="T1652" s="4"/>
      <c r="U1652" s="4"/>
      <c r="V1652" s="4"/>
      <c r="W1652" s="4"/>
      <c r="X1652" s="4"/>
    </row>
    <row r="1653" spans="17:24" x14ac:dyDescent="0.3">
      <c r="Q1653" s="4"/>
      <c r="R1653" s="4"/>
      <c r="S1653" s="4"/>
      <c r="T1653" s="4"/>
      <c r="U1653" s="4"/>
      <c r="V1653" s="4"/>
      <c r="W1653" s="4"/>
      <c r="X1653" s="4"/>
    </row>
    <row r="1654" spans="17:24" x14ac:dyDescent="0.3">
      <c r="Q1654" s="4"/>
      <c r="R1654" s="4"/>
      <c r="S1654" s="4"/>
      <c r="T1654" s="4"/>
      <c r="U1654" s="4"/>
      <c r="V1654" s="4"/>
      <c r="W1654" s="4"/>
      <c r="X1654" s="4"/>
    </row>
    <row r="1655" spans="17:24" x14ac:dyDescent="0.3">
      <c r="Q1655" s="4"/>
      <c r="R1655" s="4"/>
      <c r="S1655" s="4"/>
      <c r="T1655" s="4"/>
      <c r="U1655" s="4"/>
      <c r="V1655" s="4"/>
      <c r="W1655" s="4"/>
      <c r="X1655" s="4"/>
    </row>
    <row r="1656" spans="17:24" x14ac:dyDescent="0.3">
      <c r="Q1656" s="4"/>
      <c r="R1656" s="4"/>
      <c r="S1656" s="4"/>
      <c r="T1656" s="4"/>
      <c r="U1656" s="4"/>
      <c r="V1656" s="4"/>
      <c r="W1656" s="4"/>
      <c r="X1656" s="4"/>
    </row>
    <row r="1657" spans="17:24" x14ac:dyDescent="0.3">
      <c r="Q1657" s="4"/>
      <c r="R1657" s="4"/>
      <c r="S1657" s="4"/>
      <c r="T1657" s="4"/>
      <c r="U1657" s="4"/>
      <c r="V1657" s="4"/>
      <c r="W1657" s="4"/>
      <c r="X1657" s="4"/>
    </row>
    <row r="1658" spans="17:24" x14ac:dyDescent="0.3">
      <c r="Q1658" s="4"/>
      <c r="R1658" s="4"/>
      <c r="S1658" s="4"/>
      <c r="T1658" s="4"/>
      <c r="U1658" s="4"/>
      <c r="V1658" s="4"/>
      <c r="W1658" s="4"/>
      <c r="X1658" s="4"/>
    </row>
    <row r="1659" spans="17:24" x14ac:dyDescent="0.3">
      <c r="Q1659" s="4"/>
      <c r="R1659" s="4"/>
      <c r="S1659" s="4"/>
      <c r="T1659" s="4"/>
      <c r="U1659" s="4"/>
      <c r="V1659" s="4"/>
      <c r="W1659" s="4"/>
      <c r="X1659" s="4"/>
    </row>
    <row r="1660" spans="17:24" x14ac:dyDescent="0.3">
      <c r="Q1660" s="4"/>
      <c r="R1660" s="4"/>
      <c r="S1660" s="4"/>
      <c r="T1660" s="4"/>
      <c r="U1660" s="4"/>
      <c r="V1660" s="4"/>
      <c r="W1660" s="4"/>
      <c r="X1660" s="4"/>
    </row>
    <row r="1661" spans="17:24" x14ac:dyDescent="0.3">
      <c r="Q1661" s="4"/>
      <c r="R1661" s="4"/>
      <c r="S1661" s="4"/>
      <c r="T1661" s="4"/>
      <c r="U1661" s="4"/>
      <c r="V1661" s="4"/>
      <c r="W1661" s="4"/>
      <c r="X1661" s="4"/>
    </row>
    <row r="1662" spans="17:24" x14ac:dyDescent="0.3">
      <c r="Q1662" s="4"/>
      <c r="R1662" s="4"/>
      <c r="S1662" s="4"/>
      <c r="T1662" s="4"/>
      <c r="U1662" s="4"/>
      <c r="V1662" s="4"/>
      <c r="W1662" s="4"/>
      <c r="X1662" s="4"/>
    </row>
    <row r="1663" spans="17:24" x14ac:dyDescent="0.3">
      <c r="Q1663" s="4"/>
      <c r="R1663" s="4"/>
      <c r="S1663" s="4"/>
      <c r="T1663" s="4"/>
      <c r="U1663" s="4"/>
      <c r="V1663" s="4"/>
      <c r="W1663" s="4"/>
      <c r="X1663" s="4"/>
    </row>
    <row r="1664" spans="17:24" x14ac:dyDescent="0.3">
      <c r="Q1664" s="4"/>
      <c r="R1664" s="4"/>
      <c r="S1664" s="4"/>
      <c r="T1664" s="4"/>
      <c r="U1664" s="4"/>
      <c r="V1664" s="4"/>
      <c r="W1664" s="4"/>
      <c r="X1664" s="4"/>
    </row>
    <row r="1665" spans="17:24" x14ac:dyDescent="0.3">
      <c r="Q1665" s="4"/>
      <c r="R1665" s="4"/>
      <c r="S1665" s="4"/>
      <c r="T1665" s="4"/>
      <c r="U1665" s="4"/>
      <c r="V1665" s="4"/>
      <c r="W1665" s="4"/>
      <c r="X1665" s="4"/>
    </row>
    <row r="1666" spans="17:24" x14ac:dyDescent="0.3">
      <c r="Q1666" s="4"/>
      <c r="R1666" s="4"/>
      <c r="S1666" s="4"/>
      <c r="T1666" s="4"/>
      <c r="U1666" s="4"/>
      <c r="V1666" s="4"/>
      <c r="W1666" s="4"/>
      <c r="X1666" s="4"/>
    </row>
    <row r="1667" spans="17:24" x14ac:dyDescent="0.3">
      <c r="Q1667" s="4"/>
      <c r="R1667" s="4"/>
      <c r="S1667" s="4"/>
      <c r="T1667" s="4"/>
      <c r="U1667" s="4"/>
      <c r="V1667" s="4"/>
      <c r="W1667" s="4"/>
      <c r="X1667" s="4"/>
    </row>
    <row r="1668" spans="17:24" x14ac:dyDescent="0.3">
      <c r="Q1668" s="4"/>
      <c r="R1668" s="4"/>
      <c r="S1668" s="4"/>
      <c r="T1668" s="4"/>
      <c r="U1668" s="4"/>
      <c r="V1668" s="4"/>
      <c r="W1668" s="4"/>
      <c r="X1668" s="4"/>
    </row>
    <row r="1669" spans="17:24" x14ac:dyDescent="0.3">
      <c r="Q1669" s="4"/>
      <c r="R1669" s="4"/>
      <c r="S1669" s="4"/>
      <c r="T1669" s="4"/>
      <c r="U1669" s="4"/>
      <c r="V1669" s="4"/>
      <c r="W1669" s="4"/>
      <c r="X1669" s="4"/>
    </row>
    <row r="1670" spans="17:24" x14ac:dyDescent="0.3">
      <c r="Q1670" s="4"/>
      <c r="R1670" s="4"/>
      <c r="S1670" s="4"/>
      <c r="T1670" s="4"/>
      <c r="U1670" s="4"/>
      <c r="V1670" s="4"/>
      <c r="W1670" s="4"/>
      <c r="X1670" s="4"/>
    </row>
    <row r="1671" spans="17:24" x14ac:dyDescent="0.3">
      <c r="Q1671" s="4"/>
      <c r="R1671" s="4"/>
      <c r="S1671" s="4"/>
      <c r="T1671" s="4"/>
      <c r="U1671" s="4"/>
      <c r="V1671" s="4"/>
      <c r="W1671" s="4"/>
      <c r="X1671" s="4"/>
    </row>
    <row r="1672" spans="17:24" x14ac:dyDescent="0.3">
      <c r="Q1672" s="4"/>
      <c r="R1672" s="4"/>
      <c r="S1672" s="4"/>
      <c r="T1672" s="4"/>
      <c r="U1672" s="4"/>
      <c r="V1672" s="4"/>
      <c r="W1672" s="4"/>
      <c r="X1672" s="4"/>
    </row>
    <row r="1673" spans="17:24" x14ac:dyDescent="0.3">
      <c r="Q1673" s="4"/>
      <c r="R1673" s="4"/>
      <c r="S1673" s="4"/>
      <c r="T1673" s="4"/>
      <c r="U1673" s="4"/>
      <c r="V1673" s="4"/>
      <c r="W1673" s="4"/>
      <c r="X1673" s="4"/>
    </row>
    <row r="1674" spans="17:24" x14ac:dyDescent="0.3">
      <c r="Q1674" s="4"/>
      <c r="R1674" s="4"/>
      <c r="S1674" s="4"/>
      <c r="T1674" s="4"/>
      <c r="U1674" s="4"/>
      <c r="V1674" s="4"/>
      <c r="W1674" s="4"/>
      <c r="X1674" s="4"/>
    </row>
    <row r="1675" spans="17:24" x14ac:dyDescent="0.3">
      <c r="Q1675" s="4"/>
      <c r="R1675" s="4"/>
      <c r="S1675" s="4"/>
      <c r="T1675" s="4"/>
      <c r="U1675" s="4"/>
      <c r="V1675" s="4"/>
      <c r="W1675" s="4"/>
      <c r="X1675" s="4"/>
    </row>
    <row r="1676" spans="17:24" x14ac:dyDescent="0.3">
      <c r="Q1676" s="4"/>
      <c r="R1676" s="4"/>
      <c r="S1676" s="4"/>
      <c r="T1676" s="4"/>
      <c r="U1676" s="4"/>
      <c r="V1676" s="4"/>
      <c r="W1676" s="4"/>
      <c r="X1676" s="4"/>
    </row>
    <row r="1677" spans="17:24" x14ac:dyDescent="0.3">
      <c r="Q1677" s="4"/>
      <c r="R1677" s="4"/>
      <c r="S1677" s="4"/>
      <c r="T1677" s="4"/>
      <c r="U1677" s="4"/>
      <c r="V1677" s="4"/>
      <c r="W1677" s="4"/>
      <c r="X1677" s="4"/>
    </row>
    <row r="1678" spans="17:24" x14ac:dyDescent="0.3">
      <c r="Q1678" s="4"/>
      <c r="R1678" s="4"/>
      <c r="S1678" s="4"/>
      <c r="T1678" s="4"/>
      <c r="U1678" s="4"/>
      <c r="V1678" s="4"/>
      <c r="W1678" s="4"/>
      <c r="X1678" s="4"/>
    </row>
    <row r="1679" spans="17:24" x14ac:dyDescent="0.3">
      <c r="Q1679" s="4"/>
      <c r="R1679" s="4"/>
      <c r="S1679" s="4"/>
      <c r="T1679" s="4"/>
      <c r="U1679" s="4"/>
      <c r="V1679" s="4"/>
      <c r="W1679" s="4"/>
      <c r="X1679" s="4"/>
    </row>
    <row r="1680" spans="17:24" x14ac:dyDescent="0.3">
      <c r="Q1680" s="4"/>
      <c r="R1680" s="4"/>
      <c r="S1680" s="4"/>
      <c r="T1680" s="4"/>
      <c r="U1680" s="4"/>
      <c r="V1680" s="4"/>
      <c r="W1680" s="4"/>
      <c r="X1680" s="4"/>
    </row>
    <row r="1681" spans="17:24" x14ac:dyDescent="0.3">
      <c r="Q1681" s="4"/>
      <c r="R1681" s="4"/>
      <c r="S1681" s="4"/>
      <c r="T1681" s="4"/>
      <c r="U1681" s="4"/>
      <c r="V1681" s="4"/>
      <c r="W1681" s="4"/>
      <c r="X1681" s="4"/>
    </row>
    <row r="1682" spans="17:24" x14ac:dyDescent="0.3">
      <c r="Q1682" s="4"/>
      <c r="R1682" s="4"/>
      <c r="S1682" s="4"/>
      <c r="T1682" s="4"/>
      <c r="U1682" s="4"/>
      <c r="V1682" s="4"/>
      <c r="W1682" s="4"/>
      <c r="X1682" s="4"/>
    </row>
    <row r="1683" spans="17:24" x14ac:dyDescent="0.3">
      <c r="Q1683" s="4"/>
      <c r="R1683" s="4"/>
      <c r="S1683" s="4"/>
      <c r="T1683" s="4"/>
      <c r="U1683" s="4"/>
      <c r="V1683" s="4"/>
      <c r="W1683" s="4"/>
      <c r="X1683" s="4"/>
    </row>
    <row r="1684" spans="17:24" x14ac:dyDescent="0.3">
      <c r="Q1684" s="4"/>
      <c r="R1684" s="4"/>
      <c r="S1684" s="4"/>
      <c r="T1684" s="4"/>
      <c r="U1684" s="4"/>
      <c r="V1684" s="4"/>
      <c r="W1684" s="4"/>
      <c r="X1684" s="4"/>
    </row>
    <row r="1685" spans="17:24" x14ac:dyDescent="0.3">
      <c r="Q1685" s="4"/>
      <c r="R1685" s="4"/>
      <c r="S1685" s="4"/>
      <c r="T1685" s="4"/>
      <c r="U1685" s="4"/>
      <c r="V1685" s="4"/>
      <c r="W1685" s="4"/>
      <c r="X1685" s="4"/>
    </row>
    <row r="1686" spans="17:24" x14ac:dyDescent="0.3">
      <c r="Q1686" s="4"/>
      <c r="R1686" s="4"/>
      <c r="S1686" s="4"/>
      <c r="T1686" s="4"/>
      <c r="U1686" s="4"/>
      <c r="V1686" s="4"/>
      <c r="W1686" s="4"/>
      <c r="X1686" s="4"/>
    </row>
    <row r="1687" spans="17:24" x14ac:dyDescent="0.3">
      <c r="Q1687" s="4"/>
      <c r="R1687" s="4"/>
      <c r="S1687" s="4"/>
      <c r="T1687" s="4"/>
      <c r="U1687" s="4"/>
      <c r="V1687" s="4"/>
      <c r="W1687" s="4"/>
      <c r="X1687" s="4"/>
    </row>
    <row r="1688" spans="17:24" x14ac:dyDescent="0.3">
      <c r="Q1688" s="4"/>
      <c r="R1688" s="4"/>
      <c r="S1688" s="4"/>
      <c r="T1688" s="4"/>
      <c r="U1688" s="4"/>
      <c r="V1688" s="4"/>
      <c r="W1688" s="4"/>
      <c r="X1688" s="4"/>
    </row>
    <row r="1689" spans="17:24" x14ac:dyDescent="0.3">
      <c r="Q1689" s="4"/>
      <c r="R1689" s="4"/>
      <c r="S1689" s="4"/>
      <c r="T1689" s="4"/>
      <c r="U1689" s="4"/>
      <c r="V1689" s="4"/>
      <c r="W1689" s="4"/>
      <c r="X1689" s="4"/>
    </row>
    <row r="1690" spans="17:24" x14ac:dyDescent="0.3">
      <c r="Q1690" s="4"/>
      <c r="R1690" s="4"/>
      <c r="S1690" s="4"/>
      <c r="T1690" s="4"/>
      <c r="U1690" s="4"/>
      <c r="V1690" s="4"/>
      <c r="W1690" s="4"/>
      <c r="X1690" s="4"/>
    </row>
    <row r="1691" spans="17:24" x14ac:dyDescent="0.3">
      <c r="Q1691" s="4"/>
      <c r="R1691" s="4"/>
      <c r="S1691" s="4"/>
      <c r="T1691" s="4"/>
      <c r="U1691" s="4"/>
      <c r="V1691" s="4"/>
      <c r="W1691" s="4"/>
      <c r="X1691" s="4"/>
    </row>
    <row r="1692" spans="17:24" x14ac:dyDescent="0.3">
      <c r="Q1692" s="4"/>
      <c r="R1692" s="4"/>
      <c r="S1692" s="4"/>
      <c r="T1692" s="4"/>
      <c r="U1692" s="4"/>
      <c r="V1692" s="4"/>
      <c r="W1692" s="4"/>
      <c r="X1692" s="4"/>
    </row>
    <row r="1693" spans="17:24" x14ac:dyDescent="0.3">
      <c r="Q1693" s="4"/>
      <c r="R1693" s="4"/>
      <c r="S1693" s="4"/>
      <c r="T1693" s="4"/>
      <c r="U1693" s="4"/>
      <c r="V1693" s="4"/>
      <c r="W1693" s="4"/>
      <c r="X1693" s="4"/>
    </row>
    <row r="1694" spans="17:24" x14ac:dyDescent="0.3">
      <c r="Q1694" s="4"/>
      <c r="R1694" s="4"/>
      <c r="S1694" s="4"/>
      <c r="T1694" s="4"/>
      <c r="U1694" s="4"/>
      <c r="V1694" s="4"/>
      <c r="W1694" s="4"/>
      <c r="X1694" s="4"/>
    </row>
    <row r="1695" spans="17:24" x14ac:dyDescent="0.3">
      <c r="Q1695" s="4"/>
      <c r="R1695" s="4"/>
      <c r="S1695" s="4"/>
      <c r="T1695" s="4"/>
      <c r="U1695" s="4"/>
      <c r="V1695" s="4"/>
      <c r="W1695" s="4"/>
      <c r="X1695" s="4"/>
    </row>
    <row r="1696" spans="17:24" x14ac:dyDescent="0.3">
      <c r="Q1696" s="4"/>
      <c r="R1696" s="4"/>
      <c r="S1696" s="4"/>
      <c r="T1696" s="4"/>
      <c r="U1696" s="4"/>
      <c r="V1696" s="4"/>
      <c r="W1696" s="4"/>
      <c r="X1696" s="4"/>
    </row>
    <row r="1697" spans="17:24" x14ac:dyDescent="0.3">
      <c r="Q1697" s="4"/>
      <c r="R1697" s="4"/>
      <c r="S1697" s="4"/>
      <c r="T1697" s="4"/>
      <c r="U1697" s="4"/>
      <c r="V1697" s="4"/>
      <c r="W1697" s="4"/>
      <c r="X1697" s="4"/>
    </row>
    <row r="1698" spans="17:24" x14ac:dyDescent="0.3">
      <c r="Q1698" s="4"/>
      <c r="R1698" s="4"/>
      <c r="S1698" s="4"/>
      <c r="T1698" s="4"/>
      <c r="U1698" s="4"/>
      <c r="V1698" s="4"/>
      <c r="W1698" s="4"/>
      <c r="X1698" s="4"/>
    </row>
    <row r="1699" spans="17:24" x14ac:dyDescent="0.3">
      <c r="Q1699" s="4"/>
      <c r="R1699" s="4"/>
      <c r="S1699" s="4"/>
      <c r="T1699" s="4"/>
      <c r="U1699" s="4"/>
      <c r="V1699" s="4"/>
      <c r="W1699" s="4"/>
      <c r="X1699" s="4"/>
    </row>
    <row r="1700" spans="17:24" x14ac:dyDescent="0.3">
      <c r="Q1700" s="4"/>
      <c r="R1700" s="4"/>
      <c r="S1700" s="4"/>
      <c r="T1700" s="4"/>
      <c r="U1700" s="4"/>
      <c r="V1700" s="4"/>
      <c r="W1700" s="4"/>
      <c r="X1700" s="4"/>
    </row>
    <row r="1701" spans="17:24" x14ac:dyDescent="0.3">
      <c r="Q1701" s="4"/>
      <c r="R1701" s="4"/>
      <c r="S1701" s="4"/>
      <c r="T1701" s="4"/>
      <c r="U1701" s="4"/>
      <c r="V1701" s="4"/>
      <c r="W1701" s="4"/>
      <c r="X1701" s="4"/>
    </row>
    <row r="1702" spans="17:24" x14ac:dyDescent="0.3">
      <c r="Q1702" s="4"/>
      <c r="R1702" s="4"/>
      <c r="S1702" s="4"/>
      <c r="T1702" s="4"/>
      <c r="U1702" s="4"/>
      <c r="V1702" s="4"/>
      <c r="W1702" s="4"/>
      <c r="X1702" s="4"/>
    </row>
    <row r="1703" spans="17:24" x14ac:dyDescent="0.3">
      <c r="Q1703" s="4"/>
      <c r="R1703" s="4"/>
      <c r="S1703" s="4"/>
      <c r="T1703" s="4"/>
      <c r="U1703" s="4"/>
      <c r="V1703" s="4"/>
      <c r="W1703" s="4"/>
      <c r="X1703" s="4"/>
    </row>
    <row r="1704" spans="17:24" x14ac:dyDescent="0.3">
      <c r="Q1704" s="4"/>
      <c r="R1704" s="4"/>
      <c r="S1704" s="4"/>
      <c r="T1704" s="4"/>
      <c r="U1704" s="4"/>
      <c r="V1704" s="4"/>
      <c r="W1704" s="4"/>
      <c r="X1704" s="4"/>
    </row>
    <row r="1705" spans="17:24" x14ac:dyDescent="0.3">
      <c r="Q1705" s="4"/>
      <c r="R1705" s="4"/>
      <c r="S1705" s="4"/>
      <c r="T1705" s="4"/>
      <c r="U1705" s="4"/>
      <c r="V1705" s="4"/>
      <c r="W1705" s="4"/>
      <c r="X1705" s="4"/>
    </row>
    <row r="1706" spans="17:24" x14ac:dyDescent="0.3">
      <c r="Q1706" s="4"/>
      <c r="R1706" s="4"/>
      <c r="S1706" s="4"/>
      <c r="T1706" s="4"/>
      <c r="U1706" s="4"/>
      <c r="V1706" s="4"/>
      <c r="W1706" s="4"/>
      <c r="X1706" s="4"/>
    </row>
    <row r="1707" spans="17:24" x14ac:dyDescent="0.3">
      <c r="Q1707" s="4"/>
      <c r="R1707" s="4"/>
      <c r="S1707" s="4"/>
      <c r="T1707" s="4"/>
      <c r="U1707" s="4"/>
      <c r="V1707" s="4"/>
      <c r="W1707" s="4"/>
      <c r="X1707" s="4"/>
    </row>
    <row r="1708" spans="17:24" x14ac:dyDescent="0.3">
      <c r="Q1708" s="4"/>
      <c r="R1708" s="4"/>
      <c r="S1708" s="4"/>
      <c r="T1708" s="4"/>
      <c r="U1708" s="4"/>
      <c r="V1708" s="4"/>
      <c r="W1708" s="4"/>
      <c r="X1708" s="4"/>
    </row>
    <row r="1709" spans="17:24" x14ac:dyDescent="0.3">
      <c r="Q1709" s="4"/>
      <c r="R1709" s="4"/>
      <c r="S1709" s="4"/>
      <c r="T1709" s="4"/>
      <c r="U1709" s="4"/>
      <c r="V1709" s="4"/>
      <c r="W1709" s="4"/>
      <c r="X1709" s="4"/>
    </row>
    <row r="1710" spans="17:24" x14ac:dyDescent="0.3">
      <c r="Q1710" s="4"/>
      <c r="R1710" s="4"/>
      <c r="S1710" s="4"/>
      <c r="T1710" s="4"/>
      <c r="U1710" s="4"/>
      <c r="V1710" s="4"/>
      <c r="W1710" s="4"/>
      <c r="X1710" s="4"/>
    </row>
    <row r="1711" spans="17:24" x14ac:dyDescent="0.3">
      <c r="Q1711" s="4"/>
      <c r="R1711" s="4"/>
      <c r="S1711" s="4"/>
      <c r="T1711" s="4"/>
      <c r="U1711" s="4"/>
      <c r="V1711" s="4"/>
      <c r="W1711" s="4"/>
      <c r="X1711" s="4"/>
    </row>
    <row r="1712" spans="17:24" x14ac:dyDescent="0.3">
      <c r="Q1712" s="4"/>
      <c r="R1712" s="4"/>
      <c r="S1712" s="4"/>
      <c r="T1712" s="4"/>
      <c r="U1712" s="4"/>
      <c r="V1712" s="4"/>
      <c r="W1712" s="4"/>
      <c r="X1712" s="4"/>
    </row>
    <row r="1713" spans="17:24" x14ac:dyDescent="0.3">
      <c r="Q1713" s="4"/>
      <c r="R1713" s="4"/>
      <c r="S1713" s="4"/>
      <c r="T1713" s="4"/>
      <c r="U1713" s="4"/>
      <c r="V1713" s="4"/>
      <c r="W1713" s="4"/>
      <c r="X1713" s="4"/>
    </row>
    <row r="1714" spans="17:24" x14ac:dyDescent="0.3">
      <c r="Q1714" s="4"/>
      <c r="R1714" s="4"/>
      <c r="S1714" s="4"/>
      <c r="T1714" s="4"/>
      <c r="U1714" s="4"/>
      <c r="V1714" s="4"/>
      <c r="W1714" s="4"/>
      <c r="X1714" s="4"/>
    </row>
    <row r="1715" spans="17:24" x14ac:dyDescent="0.3">
      <c r="Q1715" s="4"/>
      <c r="R1715" s="4"/>
      <c r="S1715" s="4"/>
      <c r="T1715" s="4"/>
      <c r="U1715" s="4"/>
      <c r="V1715" s="4"/>
      <c r="W1715" s="4"/>
      <c r="X1715" s="4"/>
    </row>
    <row r="1716" spans="17:24" x14ac:dyDescent="0.3">
      <c r="Q1716" s="4"/>
      <c r="R1716" s="4"/>
      <c r="S1716" s="4"/>
      <c r="T1716" s="4"/>
      <c r="U1716" s="4"/>
      <c r="V1716" s="4"/>
      <c r="W1716" s="4"/>
      <c r="X1716" s="4"/>
    </row>
    <row r="1717" spans="17:24" x14ac:dyDescent="0.3">
      <c r="Q1717" s="4"/>
      <c r="R1717" s="4"/>
      <c r="S1717" s="4"/>
      <c r="T1717" s="4"/>
      <c r="U1717" s="4"/>
      <c r="V1717" s="4"/>
      <c r="W1717" s="4"/>
      <c r="X1717" s="4"/>
    </row>
    <row r="1718" spans="17:24" x14ac:dyDescent="0.3">
      <c r="Q1718" s="4"/>
      <c r="R1718" s="4"/>
      <c r="S1718" s="4"/>
      <c r="T1718" s="4"/>
      <c r="U1718" s="4"/>
      <c r="V1718" s="4"/>
      <c r="W1718" s="4"/>
      <c r="X1718" s="4"/>
    </row>
    <row r="1719" spans="17:24" x14ac:dyDescent="0.3">
      <c r="Q1719" s="4"/>
      <c r="R1719" s="4"/>
      <c r="S1719" s="4"/>
      <c r="T1719" s="4"/>
      <c r="U1719" s="4"/>
      <c r="V1719" s="4"/>
      <c r="W1719" s="4"/>
      <c r="X1719" s="4"/>
    </row>
    <row r="1720" spans="17:24" x14ac:dyDescent="0.3">
      <c r="Q1720" s="4"/>
      <c r="R1720" s="4"/>
      <c r="S1720" s="4"/>
      <c r="T1720" s="4"/>
      <c r="U1720" s="4"/>
      <c r="V1720" s="4"/>
      <c r="W1720" s="4"/>
      <c r="X1720" s="4"/>
    </row>
    <row r="1721" spans="17:24" x14ac:dyDescent="0.3">
      <c r="Q1721" s="4"/>
      <c r="R1721" s="4"/>
      <c r="S1721" s="4"/>
      <c r="T1721" s="4"/>
      <c r="U1721" s="4"/>
      <c r="V1721" s="4"/>
      <c r="W1721" s="4"/>
      <c r="X1721" s="4"/>
    </row>
    <row r="1722" spans="17:24" x14ac:dyDescent="0.3">
      <c r="Q1722" s="4"/>
      <c r="R1722" s="4"/>
      <c r="S1722" s="4"/>
      <c r="T1722" s="4"/>
      <c r="U1722" s="4"/>
      <c r="V1722" s="4"/>
      <c r="W1722" s="4"/>
      <c r="X1722" s="4"/>
    </row>
    <row r="1723" spans="17:24" x14ac:dyDescent="0.3">
      <c r="Q1723" s="4"/>
      <c r="R1723" s="4"/>
      <c r="S1723" s="4"/>
      <c r="T1723" s="4"/>
      <c r="U1723" s="4"/>
      <c r="V1723" s="4"/>
      <c r="W1723" s="4"/>
      <c r="X1723" s="4"/>
    </row>
    <row r="1724" spans="17:24" x14ac:dyDescent="0.3">
      <c r="Q1724" s="4"/>
      <c r="R1724" s="4"/>
      <c r="S1724" s="4"/>
      <c r="T1724" s="4"/>
      <c r="U1724" s="4"/>
      <c r="V1724" s="4"/>
      <c r="W1724" s="4"/>
      <c r="X1724" s="4"/>
    </row>
    <row r="1725" spans="17:24" x14ac:dyDescent="0.3">
      <c r="Q1725" s="4"/>
      <c r="R1725" s="4"/>
      <c r="S1725" s="4"/>
      <c r="T1725" s="4"/>
      <c r="U1725" s="4"/>
      <c r="V1725" s="4"/>
      <c r="W1725" s="4"/>
      <c r="X1725" s="4"/>
    </row>
    <row r="1726" spans="17:24" x14ac:dyDescent="0.3">
      <c r="Q1726" s="4"/>
      <c r="R1726" s="4"/>
      <c r="S1726" s="4"/>
      <c r="T1726" s="4"/>
      <c r="U1726" s="4"/>
      <c r="V1726" s="4"/>
      <c r="W1726" s="4"/>
      <c r="X1726" s="4"/>
    </row>
    <row r="1727" spans="17:24" x14ac:dyDescent="0.3">
      <c r="Q1727" s="4"/>
      <c r="R1727" s="4"/>
      <c r="S1727" s="4"/>
      <c r="T1727" s="4"/>
      <c r="U1727" s="4"/>
      <c r="V1727" s="4"/>
      <c r="W1727" s="4"/>
      <c r="X1727" s="4"/>
    </row>
    <row r="1728" spans="17:24" x14ac:dyDescent="0.3">
      <c r="Q1728" s="4"/>
      <c r="R1728" s="4"/>
      <c r="S1728" s="4"/>
      <c r="T1728" s="4"/>
      <c r="U1728" s="4"/>
      <c r="V1728" s="4"/>
      <c r="W1728" s="4"/>
      <c r="X1728" s="4"/>
    </row>
    <row r="1729" spans="17:24" x14ac:dyDescent="0.3">
      <c r="Q1729" s="4"/>
      <c r="R1729" s="4"/>
      <c r="S1729" s="4"/>
      <c r="T1729" s="4"/>
      <c r="U1729" s="4"/>
      <c r="V1729" s="4"/>
      <c r="W1729" s="4"/>
      <c r="X1729" s="4"/>
    </row>
    <row r="1730" spans="17:24" x14ac:dyDescent="0.3">
      <c r="Q1730" s="4"/>
      <c r="R1730" s="4"/>
      <c r="S1730" s="4"/>
      <c r="T1730" s="4"/>
      <c r="U1730" s="4"/>
      <c r="V1730" s="4"/>
      <c r="W1730" s="4"/>
      <c r="X1730" s="4"/>
    </row>
    <row r="1731" spans="17:24" x14ac:dyDescent="0.3">
      <c r="Q1731" s="4"/>
      <c r="R1731" s="4"/>
      <c r="S1731" s="4"/>
      <c r="T1731" s="4"/>
      <c r="U1731" s="4"/>
      <c r="V1731" s="4"/>
      <c r="W1731" s="4"/>
      <c r="X1731" s="4"/>
    </row>
    <row r="1732" spans="17:24" x14ac:dyDescent="0.3">
      <c r="Q1732" s="4"/>
      <c r="R1732" s="4"/>
      <c r="S1732" s="4"/>
      <c r="T1732" s="4"/>
      <c r="U1732" s="4"/>
      <c r="V1732" s="4"/>
      <c r="W1732" s="4"/>
      <c r="X1732" s="4"/>
    </row>
    <row r="1733" spans="17:24" x14ac:dyDescent="0.3">
      <c r="Q1733" s="4"/>
      <c r="R1733" s="4"/>
      <c r="S1733" s="4"/>
      <c r="T1733" s="4"/>
      <c r="U1733" s="4"/>
      <c r="V1733" s="4"/>
      <c r="W1733" s="4"/>
      <c r="X1733" s="4"/>
    </row>
    <row r="1734" spans="17:24" x14ac:dyDescent="0.3">
      <c r="Q1734" s="4"/>
      <c r="R1734" s="4"/>
      <c r="S1734" s="4"/>
      <c r="T1734" s="4"/>
      <c r="U1734" s="4"/>
      <c r="V1734" s="4"/>
      <c r="W1734" s="4"/>
      <c r="X1734" s="4"/>
    </row>
    <row r="1735" spans="17:24" x14ac:dyDescent="0.3">
      <c r="Q1735" s="4"/>
      <c r="R1735" s="4"/>
      <c r="S1735" s="4"/>
      <c r="T1735" s="4"/>
      <c r="U1735" s="4"/>
      <c r="V1735" s="4"/>
      <c r="W1735" s="4"/>
      <c r="X1735" s="4"/>
    </row>
    <row r="1736" spans="17:24" x14ac:dyDescent="0.3">
      <c r="Q1736" s="4"/>
      <c r="R1736" s="4"/>
      <c r="S1736" s="4"/>
      <c r="T1736" s="4"/>
      <c r="U1736" s="4"/>
      <c r="V1736" s="4"/>
      <c r="W1736" s="4"/>
      <c r="X1736" s="4"/>
    </row>
    <row r="1737" spans="17:24" x14ac:dyDescent="0.3">
      <c r="Q1737" s="4"/>
      <c r="R1737" s="4"/>
      <c r="S1737" s="4"/>
      <c r="T1737" s="4"/>
      <c r="U1737" s="4"/>
      <c r="V1737" s="4"/>
      <c r="W1737" s="4"/>
      <c r="X1737" s="4"/>
    </row>
    <row r="1738" spans="17:24" x14ac:dyDescent="0.3">
      <c r="Q1738" s="4"/>
      <c r="R1738" s="4"/>
      <c r="S1738" s="4"/>
      <c r="T1738" s="4"/>
      <c r="U1738" s="4"/>
      <c r="V1738" s="4"/>
      <c r="W1738" s="4"/>
      <c r="X1738" s="4"/>
    </row>
    <row r="1739" spans="17:24" x14ac:dyDescent="0.3">
      <c r="Q1739" s="4"/>
      <c r="R1739" s="4"/>
      <c r="S1739" s="4"/>
      <c r="T1739" s="4"/>
      <c r="U1739" s="4"/>
      <c r="V1739" s="4"/>
      <c r="W1739" s="4"/>
      <c r="X1739" s="4"/>
    </row>
    <row r="1740" spans="17:24" x14ac:dyDescent="0.3">
      <c r="Q1740" s="4"/>
      <c r="R1740" s="4"/>
      <c r="S1740" s="4"/>
      <c r="T1740" s="4"/>
      <c r="U1740" s="4"/>
      <c r="V1740" s="4"/>
      <c r="W1740" s="4"/>
      <c r="X1740" s="4"/>
    </row>
    <row r="1741" spans="17:24" x14ac:dyDescent="0.3">
      <c r="Q1741" s="4"/>
      <c r="R1741" s="4"/>
      <c r="S1741" s="4"/>
      <c r="T1741" s="4"/>
      <c r="U1741" s="4"/>
      <c r="V1741" s="4"/>
      <c r="W1741" s="4"/>
      <c r="X1741" s="4"/>
    </row>
    <row r="1742" spans="17:24" x14ac:dyDescent="0.3">
      <c r="Q1742" s="4"/>
      <c r="R1742" s="4"/>
      <c r="S1742" s="4"/>
      <c r="T1742" s="4"/>
      <c r="U1742" s="4"/>
      <c r="V1742" s="4"/>
      <c r="W1742" s="4"/>
      <c r="X1742" s="4"/>
    </row>
    <row r="1743" spans="17:24" x14ac:dyDescent="0.3">
      <c r="Q1743" s="4"/>
      <c r="R1743" s="4"/>
      <c r="S1743" s="4"/>
      <c r="T1743" s="4"/>
      <c r="U1743" s="4"/>
      <c r="V1743" s="4"/>
      <c r="W1743" s="4"/>
      <c r="X1743" s="4"/>
    </row>
    <row r="1744" spans="17:24" x14ac:dyDescent="0.3">
      <c r="Q1744" s="4"/>
      <c r="R1744" s="4"/>
      <c r="S1744" s="4"/>
      <c r="T1744" s="4"/>
      <c r="U1744" s="4"/>
      <c r="V1744" s="4"/>
      <c r="W1744" s="4"/>
      <c r="X1744" s="4"/>
    </row>
    <row r="1745" spans="17:24" x14ac:dyDescent="0.3">
      <c r="Q1745" s="4"/>
      <c r="R1745" s="4"/>
      <c r="S1745" s="4"/>
      <c r="T1745" s="4"/>
      <c r="U1745" s="4"/>
      <c r="V1745" s="4"/>
      <c r="W1745" s="4"/>
      <c r="X1745" s="4"/>
    </row>
    <row r="1746" spans="17:24" x14ac:dyDescent="0.3">
      <c r="Q1746" s="4"/>
      <c r="R1746" s="4"/>
      <c r="S1746" s="4"/>
      <c r="T1746" s="4"/>
      <c r="U1746" s="4"/>
      <c r="V1746" s="4"/>
      <c r="W1746" s="4"/>
      <c r="X1746" s="4"/>
    </row>
    <row r="1747" spans="17:24" x14ac:dyDescent="0.3">
      <c r="Q1747" s="4"/>
      <c r="R1747" s="4"/>
      <c r="S1747" s="4"/>
      <c r="T1747" s="4"/>
      <c r="U1747" s="4"/>
      <c r="V1747" s="4"/>
      <c r="W1747" s="4"/>
      <c r="X1747" s="4"/>
    </row>
    <row r="1748" spans="17:24" x14ac:dyDescent="0.3">
      <c r="Q1748" s="4"/>
      <c r="R1748" s="4"/>
      <c r="S1748" s="4"/>
      <c r="T1748" s="4"/>
      <c r="U1748" s="4"/>
      <c r="V1748" s="4"/>
      <c r="W1748" s="4"/>
      <c r="X1748" s="4"/>
    </row>
    <row r="1749" spans="17:24" x14ac:dyDescent="0.3">
      <c r="Q1749" s="4"/>
      <c r="R1749" s="4"/>
      <c r="S1749" s="4"/>
      <c r="T1749" s="4"/>
      <c r="U1749" s="4"/>
      <c r="V1749" s="4"/>
      <c r="W1749" s="4"/>
      <c r="X1749" s="4"/>
    </row>
    <row r="1750" spans="17:24" x14ac:dyDescent="0.3">
      <c r="Q1750" s="4"/>
      <c r="R1750" s="4"/>
      <c r="S1750" s="4"/>
      <c r="T1750" s="4"/>
      <c r="U1750" s="4"/>
      <c r="V1750" s="4"/>
      <c r="W1750" s="4"/>
      <c r="X1750" s="4"/>
    </row>
    <row r="1751" spans="17:24" x14ac:dyDescent="0.3">
      <c r="Q1751" s="4"/>
      <c r="R1751" s="4"/>
      <c r="S1751" s="4"/>
      <c r="T1751" s="4"/>
      <c r="U1751" s="4"/>
      <c r="V1751" s="4"/>
      <c r="W1751" s="4"/>
      <c r="X1751" s="4"/>
    </row>
    <row r="1752" spans="17:24" x14ac:dyDescent="0.3">
      <c r="Q1752" s="4"/>
      <c r="R1752" s="4"/>
      <c r="S1752" s="4"/>
      <c r="T1752" s="4"/>
      <c r="U1752" s="4"/>
      <c r="V1752" s="4"/>
      <c r="W1752" s="4"/>
      <c r="X1752" s="4"/>
    </row>
    <row r="1753" spans="17:24" x14ac:dyDescent="0.3">
      <c r="Q1753" s="4"/>
      <c r="R1753" s="4"/>
      <c r="S1753" s="4"/>
      <c r="T1753" s="4"/>
      <c r="U1753" s="4"/>
      <c r="V1753" s="4"/>
      <c r="W1753" s="4"/>
      <c r="X1753" s="4"/>
    </row>
    <row r="1754" spans="17:24" x14ac:dyDescent="0.3">
      <c r="Q1754" s="4"/>
      <c r="R1754" s="4"/>
      <c r="S1754" s="4"/>
      <c r="T1754" s="4"/>
      <c r="U1754" s="4"/>
      <c r="V1754" s="4"/>
      <c r="W1754" s="4"/>
      <c r="X1754" s="4"/>
    </row>
    <row r="1755" spans="17:24" x14ac:dyDescent="0.3">
      <c r="Q1755" s="4"/>
      <c r="R1755" s="4"/>
      <c r="S1755" s="4"/>
      <c r="T1755" s="4"/>
      <c r="U1755" s="4"/>
      <c r="V1755" s="4"/>
      <c r="W1755" s="4"/>
      <c r="X1755" s="4"/>
    </row>
    <row r="1756" spans="17:24" x14ac:dyDescent="0.3">
      <c r="Q1756" s="4"/>
      <c r="R1756" s="4"/>
      <c r="S1756" s="4"/>
      <c r="T1756" s="4"/>
      <c r="U1756" s="4"/>
      <c r="V1756" s="4"/>
      <c r="W1756" s="4"/>
      <c r="X1756" s="4"/>
    </row>
    <row r="1757" spans="17:24" x14ac:dyDescent="0.3">
      <c r="Q1757" s="4"/>
      <c r="R1757" s="4"/>
      <c r="S1757" s="4"/>
      <c r="T1757" s="4"/>
      <c r="U1757" s="4"/>
      <c r="V1757" s="4"/>
      <c r="W1757" s="4"/>
      <c r="X1757" s="4"/>
    </row>
    <row r="1758" spans="17:24" x14ac:dyDescent="0.3">
      <c r="Q1758" s="4"/>
      <c r="R1758" s="4"/>
      <c r="S1758" s="4"/>
      <c r="T1758" s="4"/>
      <c r="U1758" s="4"/>
      <c r="V1758" s="4"/>
      <c r="W1758" s="4"/>
      <c r="X1758" s="4"/>
    </row>
    <row r="1759" spans="17:24" x14ac:dyDescent="0.3">
      <c r="Q1759" s="4"/>
      <c r="R1759" s="4"/>
      <c r="S1759" s="4"/>
      <c r="T1759" s="4"/>
      <c r="U1759" s="4"/>
      <c r="V1759" s="4"/>
      <c r="W1759" s="4"/>
      <c r="X1759" s="4"/>
    </row>
    <row r="1760" spans="17:24" x14ac:dyDescent="0.3">
      <c r="Q1760" s="4"/>
      <c r="R1760" s="4"/>
      <c r="S1760" s="4"/>
      <c r="T1760" s="4"/>
      <c r="U1760" s="4"/>
      <c r="V1760" s="4"/>
      <c r="W1760" s="4"/>
      <c r="X1760" s="4"/>
    </row>
    <row r="1761" spans="17:24" x14ac:dyDescent="0.3">
      <c r="Q1761" s="4"/>
      <c r="R1761" s="4"/>
      <c r="S1761" s="4"/>
      <c r="T1761" s="4"/>
      <c r="U1761" s="4"/>
      <c r="V1761" s="4"/>
      <c r="W1761" s="4"/>
      <c r="X1761" s="4"/>
    </row>
    <row r="1762" spans="17:24" x14ac:dyDescent="0.3">
      <c r="Q1762" s="4"/>
      <c r="R1762" s="4"/>
      <c r="S1762" s="4"/>
      <c r="T1762" s="4"/>
      <c r="U1762" s="4"/>
      <c r="V1762" s="4"/>
      <c r="W1762" s="4"/>
      <c r="X1762" s="4"/>
    </row>
    <row r="1763" spans="17:24" x14ac:dyDescent="0.3">
      <c r="Q1763" s="4"/>
      <c r="R1763" s="4"/>
      <c r="S1763" s="4"/>
      <c r="T1763" s="4"/>
      <c r="U1763" s="4"/>
      <c r="V1763" s="4"/>
      <c r="W1763" s="4"/>
      <c r="X1763" s="4"/>
    </row>
    <row r="1764" spans="17:24" x14ac:dyDescent="0.3">
      <c r="Q1764" s="4"/>
      <c r="R1764" s="4"/>
      <c r="S1764" s="4"/>
      <c r="T1764" s="4"/>
      <c r="U1764" s="4"/>
      <c r="V1764" s="4"/>
      <c r="W1764" s="4"/>
      <c r="X1764" s="4"/>
    </row>
    <row r="1765" spans="17:24" x14ac:dyDescent="0.3">
      <c r="Q1765" s="4"/>
      <c r="R1765" s="4"/>
      <c r="S1765" s="4"/>
      <c r="T1765" s="4"/>
      <c r="U1765" s="4"/>
      <c r="V1765" s="4"/>
      <c r="W1765" s="4"/>
      <c r="X1765" s="4"/>
    </row>
    <row r="1766" spans="17:24" x14ac:dyDescent="0.3">
      <c r="Q1766" s="4"/>
      <c r="R1766" s="4"/>
      <c r="S1766" s="4"/>
      <c r="T1766" s="4"/>
      <c r="U1766" s="4"/>
      <c r="V1766" s="4"/>
      <c r="W1766" s="4"/>
      <c r="X1766" s="4"/>
    </row>
    <row r="1767" spans="17:24" x14ac:dyDescent="0.3">
      <c r="Q1767" s="4"/>
      <c r="R1767" s="4"/>
      <c r="S1767" s="4"/>
      <c r="T1767" s="4"/>
      <c r="U1767" s="4"/>
      <c r="V1767" s="4"/>
      <c r="W1767" s="4"/>
      <c r="X1767" s="4"/>
    </row>
    <row r="1768" spans="17:24" x14ac:dyDescent="0.3">
      <c r="Q1768" s="4"/>
      <c r="R1768" s="4"/>
      <c r="S1768" s="4"/>
      <c r="T1768" s="4"/>
      <c r="U1768" s="4"/>
      <c r="V1768" s="4"/>
      <c r="W1768" s="4"/>
      <c r="X1768" s="4"/>
    </row>
    <row r="1769" spans="17:24" x14ac:dyDescent="0.3">
      <c r="Q1769" s="4"/>
      <c r="R1769" s="4"/>
      <c r="S1769" s="4"/>
      <c r="T1769" s="4"/>
      <c r="U1769" s="4"/>
      <c r="V1769" s="4"/>
      <c r="W1769" s="4"/>
      <c r="X1769" s="4"/>
    </row>
    <row r="1770" spans="17:24" x14ac:dyDescent="0.3">
      <c r="Q1770" s="4"/>
      <c r="R1770" s="4"/>
      <c r="S1770" s="4"/>
      <c r="T1770" s="4"/>
      <c r="U1770" s="4"/>
      <c r="V1770" s="4"/>
      <c r="W1770" s="4"/>
      <c r="X1770" s="4"/>
    </row>
    <row r="1771" spans="17:24" x14ac:dyDescent="0.3">
      <c r="Q1771" s="4"/>
      <c r="R1771" s="4"/>
      <c r="S1771" s="4"/>
      <c r="T1771" s="4"/>
      <c r="U1771" s="4"/>
      <c r="V1771" s="4"/>
      <c r="W1771" s="4"/>
      <c r="X1771" s="4"/>
    </row>
    <row r="1772" spans="17:24" x14ac:dyDescent="0.3">
      <c r="Q1772" s="4"/>
      <c r="R1772" s="4"/>
      <c r="S1772" s="4"/>
      <c r="T1772" s="4"/>
      <c r="U1772" s="4"/>
      <c r="V1772" s="4"/>
      <c r="W1772" s="4"/>
      <c r="X1772" s="4"/>
    </row>
    <row r="1773" spans="17:24" x14ac:dyDescent="0.3">
      <c r="Q1773" s="4"/>
      <c r="R1773" s="4"/>
      <c r="S1773" s="4"/>
      <c r="T1773" s="4"/>
      <c r="U1773" s="4"/>
      <c r="V1773" s="4"/>
      <c r="W1773" s="4"/>
      <c r="X1773" s="4"/>
    </row>
    <row r="1774" spans="17:24" x14ac:dyDescent="0.3">
      <c r="Q1774" s="4"/>
      <c r="R1774" s="4"/>
      <c r="S1774" s="4"/>
      <c r="T1774" s="4"/>
      <c r="U1774" s="4"/>
      <c r="V1774" s="4"/>
      <c r="W1774" s="4"/>
      <c r="X1774" s="4"/>
    </row>
    <row r="1775" spans="17:24" x14ac:dyDescent="0.3">
      <c r="Q1775" s="4"/>
      <c r="R1775" s="4"/>
      <c r="S1775" s="4"/>
      <c r="T1775" s="4"/>
      <c r="U1775" s="4"/>
      <c r="V1775" s="4"/>
      <c r="W1775" s="4"/>
      <c r="X1775" s="4"/>
    </row>
    <row r="1776" spans="17:24" x14ac:dyDescent="0.3">
      <c r="Q1776" s="4"/>
      <c r="R1776" s="4"/>
      <c r="S1776" s="4"/>
      <c r="T1776" s="4"/>
      <c r="U1776" s="4"/>
      <c r="V1776" s="4"/>
      <c r="W1776" s="4"/>
      <c r="X1776" s="4"/>
    </row>
    <row r="1777" spans="17:24" x14ac:dyDescent="0.3">
      <c r="Q1777" s="4"/>
      <c r="R1777" s="4"/>
      <c r="S1777" s="4"/>
      <c r="T1777" s="4"/>
      <c r="U1777" s="4"/>
      <c r="V1777" s="4"/>
      <c r="W1777" s="4"/>
      <c r="X1777" s="4"/>
    </row>
    <row r="1778" spans="17:24" x14ac:dyDescent="0.3">
      <c r="Q1778" s="4"/>
      <c r="R1778" s="4"/>
      <c r="S1778" s="4"/>
      <c r="T1778" s="4"/>
      <c r="U1778" s="4"/>
      <c r="V1778" s="4"/>
      <c r="W1778" s="4"/>
      <c r="X1778" s="4"/>
    </row>
    <row r="1779" spans="17:24" x14ac:dyDescent="0.3">
      <c r="Q1779" s="4"/>
      <c r="R1779" s="4"/>
      <c r="S1779" s="4"/>
      <c r="T1779" s="4"/>
      <c r="U1779" s="4"/>
      <c r="V1779" s="4"/>
      <c r="W1779" s="4"/>
      <c r="X1779" s="4"/>
    </row>
    <row r="1780" spans="17:24" x14ac:dyDescent="0.3">
      <c r="Q1780" s="4"/>
      <c r="R1780" s="4"/>
      <c r="S1780" s="4"/>
      <c r="T1780" s="4"/>
      <c r="U1780" s="4"/>
      <c r="V1780" s="4"/>
      <c r="W1780" s="4"/>
      <c r="X1780" s="4"/>
    </row>
    <row r="1781" spans="17:24" x14ac:dyDescent="0.3">
      <c r="Q1781" s="4"/>
      <c r="R1781" s="4"/>
      <c r="S1781" s="4"/>
      <c r="T1781" s="4"/>
      <c r="U1781" s="4"/>
      <c r="V1781" s="4"/>
      <c r="W1781" s="4"/>
      <c r="X1781" s="4"/>
    </row>
    <row r="1782" spans="17:24" x14ac:dyDescent="0.3">
      <c r="Q1782" s="4"/>
      <c r="R1782" s="4"/>
      <c r="S1782" s="4"/>
      <c r="T1782" s="4"/>
      <c r="U1782" s="4"/>
      <c r="V1782" s="4"/>
      <c r="W1782" s="4"/>
      <c r="X1782" s="4"/>
    </row>
    <row r="1783" spans="17:24" x14ac:dyDescent="0.3">
      <c r="Q1783" s="4"/>
      <c r="R1783" s="4"/>
      <c r="S1783" s="4"/>
      <c r="T1783" s="4"/>
      <c r="U1783" s="4"/>
      <c r="V1783" s="4"/>
      <c r="W1783" s="4"/>
      <c r="X1783" s="4"/>
    </row>
    <row r="1784" spans="17:24" x14ac:dyDescent="0.3">
      <c r="Q1784" s="4"/>
      <c r="R1784" s="4"/>
      <c r="S1784" s="4"/>
      <c r="T1784" s="4"/>
      <c r="U1784" s="4"/>
      <c r="V1784" s="4"/>
      <c r="W1784" s="4"/>
      <c r="X1784" s="4"/>
    </row>
    <row r="1785" spans="17:24" x14ac:dyDescent="0.3">
      <c r="Q1785" s="4"/>
      <c r="R1785" s="4"/>
      <c r="S1785" s="4"/>
      <c r="T1785" s="4"/>
      <c r="U1785" s="4"/>
      <c r="V1785" s="4"/>
      <c r="W1785" s="4"/>
      <c r="X1785" s="4"/>
    </row>
    <row r="1786" spans="17:24" x14ac:dyDescent="0.3">
      <c r="Q1786" s="4"/>
      <c r="R1786" s="4"/>
      <c r="S1786" s="4"/>
      <c r="T1786" s="4"/>
      <c r="U1786" s="4"/>
      <c r="V1786" s="4"/>
      <c r="W1786" s="4"/>
      <c r="X1786" s="4"/>
    </row>
    <row r="1787" spans="17:24" x14ac:dyDescent="0.3">
      <c r="Q1787" s="4"/>
      <c r="R1787" s="4"/>
      <c r="S1787" s="4"/>
      <c r="T1787" s="4"/>
      <c r="U1787" s="4"/>
      <c r="V1787" s="4"/>
      <c r="W1787" s="4"/>
      <c r="X1787" s="4"/>
    </row>
    <row r="1788" spans="17:24" x14ac:dyDescent="0.3">
      <c r="Q1788" s="4"/>
      <c r="R1788" s="4"/>
      <c r="S1788" s="4"/>
      <c r="T1788" s="4"/>
      <c r="U1788" s="4"/>
      <c r="V1788" s="4"/>
      <c r="W1788" s="4"/>
      <c r="X1788" s="4"/>
    </row>
    <row r="1789" spans="17:24" x14ac:dyDescent="0.3">
      <c r="Q1789" s="4"/>
      <c r="R1789" s="4"/>
      <c r="S1789" s="4"/>
      <c r="T1789" s="4"/>
      <c r="U1789" s="4"/>
      <c r="V1789" s="4"/>
      <c r="W1789" s="4"/>
      <c r="X1789" s="4"/>
    </row>
    <row r="1790" spans="17:24" x14ac:dyDescent="0.3">
      <c r="Q1790" s="4"/>
      <c r="R1790" s="4"/>
      <c r="S1790" s="4"/>
      <c r="T1790" s="4"/>
      <c r="U1790" s="4"/>
      <c r="V1790" s="4"/>
      <c r="W1790" s="4"/>
      <c r="X1790" s="4"/>
    </row>
    <row r="1791" spans="17:24" x14ac:dyDescent="0.3">
      <c r="Q1791" s="4"/>
      <c r="R1791" s="4"/>
      <c r="S1791" s="4"/>
      <c r="T1791" s="4"/>
      <c r="U1791" s="4"/>
      <c r="V1791" s="4"/>
      <c r="W1791" s="4"/>
      <c r="X1791" s="4"/>
    </row>
    <row r="1792" spans="17:24" x14ac:dyDescent="0.3">
      <c r="Q1792" s="4"/>
      <c r="R1792" s="4"/>
      <c r="S1792" s="4"/>
      <c r="T1792" s="4"/>
      <c r="U1792" s="4"/>
      <c r="V1792" s="4"/>
      <c r="W1792" s="4"/>
      <c r="X1792" s="4"/>
    </row>
    <row r="1793" spans="17:24" x14ac:dyDescent="0.3">
      <c r="Q1793" s="4"/>
      <c r="R1793" s="4"/>
      <c r="S1793" s="4"/>
      <c r="T1793" s="4"/>
      <c r="U1793" s="4"/>
      <c r="V1793" s="4"/>
      <c r="W1793" s="4"/>
      <c r="X1793" s="4"/>
    </row>
    <row r="1794" spans="17:24" x14ac:dyDescent="0.3">
      <c r="Q1794" s="4"/>
      <c r="R1794" s="4"/>
      <c r="S1794" s="4"/>
      <c r="T1794" s="4"/>
      <c r="U1794" s="4"/>
      <c r="V1794" s="4"/>
      <c r="W1794" s="4"/>
      <c r="X1794" s="4"/>
    </row>
    <row r="1795" spans="17:24" x14ac:dyDescent="0.3">
      <c r="Q1795" s="4"/>
      <c r="R1795" s="4"/>
      <c r="S1795" s="4"/>
      <c r="T1795" s="4"/>
      <c r="U1795" s="4"/>
      <c r="V1795" s="4"/>
      <c r="W1795" s="4"/>
      <c r="X1795" s="4"/>
    </row>
    <row r="1796" spans="17:24" x14ac:dyDescent="0.3">
      <c r="Q1796" s="4"/>
      <c r="R1796" s="4"/>
      <c r="S1796" s="4"/>
      <c r="T1796" s="4"/>
      <c r="U1796" s="4"/>
      <c r="V1796" s="4"/>
      <c r="W1796" s="4"/>
      <c r="X1796" s="4"/>
    </row>
    <row r="1797" spans="17:24" x14ac:dyDescent="0.3">
      <c r="Q1797" s="4"/>
      <c r="R1797" s="4"/>
      <c r="S1797" s="4"/>
      <c r="T1797" s="4"/>
      <c r="U1797" s="4"/>
      <c r="V1797" s="4"/>
      <c r="W1797" s="4"/>
      <c r="X1797" s="4"/>
    </row>
    <row r="1798" spans="17:24" x14ac:dyDescent="0.3">
      <c r="Q1798" s="4"/>
      <c r="R1798" s="4"/>
      <c r="S1798" s="4"/>
      <c r="T1798" s="4"/>
      <c r="U1798" s="4"/>
      <c r="V1798" s="4"/>
      <c r="W1798" s="4"/>
      <c r="X1798" s="4"/>
    </row>
    <row r="1799" spans="17:24" x14ac:dyDescent="0.3">
      <c r="Q1799" s="4"/>
      <c r="R1799" s="4"/>
      <c r="S1799" s="4"/>
      <c r="T1799" s="4"/>
      <c r="U1799" s="4"/>
      <c r="V1799" s="4"/>
      <c r="W1799" s="4"/>
      <c r="X1799" s="4"/>
    </row>
    <row r="1800" spans="17:24" x14ac:dyDescent="0.3">
      <c r="Q1800" s="4"/>
      <c r="R1800" s="4"/>
      <c r="S1800" s="4"/>
      <c r="T1800" s="4"/>
      <c r="U1800" s="4"/>
      <c r="V1800" s="4"/>
      <c r="W1800" s="4"/>
      <c r="X1800" s="4"/>
    </row>
    <row r="1801" spans="17:24" x14ac:dyDescent="0.3">
      <c r="Q1801" s="4"/>
      <c r="R1801" s="4"/>
      <c r="S1801" s="4"/>
      <c r="T1801" s="4"/>
      <c r="U1801" s="4"/>
      <c r="V1801" s="4"/>
      <c r="W1801" s="4"/>
      <c r="X1801" s="4"/>
    </row>
    <row r="1802" spans="17:24" x14ac:dyDescent="0.3">
      <c r="Q1802" s="4"/>
      <c r="R1802" s="4"/>
      <c r="S1802" s="4"/>
      <c r="T1802" s="4"/>
      <c r="U1802" s="4"/>
      <c r="V1802" s="4"/>
      <c r="W1802" s="4"/>
      <c r="X1802" s="4"/>
    </row>
    <row r="1803" spans="17:24" x14ac:dyDescent="0.3">
      <c r="Q1803" s="4"/>
      <c r="R1803" s="4"/>
      <c r="S1803" s="4"/>
      <c r="T1803" s="4"/>
      <c r="U1803" s="4"/>
      <c r="V1803" s="4"/>
      <c r="W1803" s="4"/>
      <c r="X1803" s="4"/>
    </row>
    <row r="1804" spans="17:24" x14ac:dyDescent="0.3">
      <c r="Q1804" s="4"/>
      <c r="R1804" s="4"/>
      <c r="S1804" s="4"/>
      <c r="T1804" s="4"/>
      <c r="U1804" s="4"/>
      <c r="V1804" s="4"/>
      <c r="W1804" s="4"/>
      <c r="X1804" s="4"/>
    </row>
    <row r="1805" spans="17:24" x14ac:dyDescent="0.3">
      <c r="Q1805" s="4"/>
      <c r="R1805" s="4"/>
      <c r="S1805" s="4"/>
      <c r="T1805" s="4"/>
      <c r="U1805" s="4"/>
      <c r="V1805" s="4"/>
      <c r="W1805" s="4"/>
      <c r="X1805" s="4"/>
    </row>
    <row r="1806" spans="17:24" x14ac:dyDescent="0.3">
      <c r="Q1806" s="4"/>
      <c r="R1806" s="4"/>
      <c r="S1806" s="4"/>
      <c r="T1806" s="4"/>
      <c r="U1806" s="4"/>
      <c r="V1806" s="4"/>
      <c r="W1806" s="4"/>
      <c r="X1806" s="4"/>
    </row>
    <row r="1807" spans="17:24" x14ac:dyDescent="0.3">
      <c r="Q1807" s="4"/>
      <c r="R1807" s="4"/>
      <c r="S1807" s="4"/>
      <c r="T1807" s="4"/>
      <c r="U1807" s="4"/>
      <c r="V1807" s="4"/>
      <c r="W1807" s="4"/>
      <c r="X1807" s="4"/>
    </row>
    <row r="1808" spans="17:24" x14ac:dyDescent="0.3">
      <c r="Q1808" s="4"/>
      <c r="R1808" s="4"/>
      <c r="S1808" s="4"/>
      <c r="T1808" s="4"/>
      <c r="U1808" s="4"/>
      <c r="V1808" s="4"/>
      <c r="W1808" s="4"/>
      <c r="X1808" s="4"/>
    </row>
    <row r="1809" spans="17:24" x14ac:dyDescent="0.3">
      <c r="Q1809" s="4"/>
      <c r="R1809" s="4"/>
      <c r="S1809" s="4"/>
      <c r="T1809" s="4"/>
      <c r="U1809" s="4"/>
      <c r="V1809" s="4"/>
      <c r="W1809" s="4"/>
      <c r="X1809" s="4"/>
    </row>
    <row r="1810" spans="17:24" x14ac:dyDescent="0.3">
      <c r="Q1810" s="4"/>
      <c r="R1810" s="4"/>
      <c r="S1810" s="4"/>
      <c r="T1810" s="4"/>
      <c r="U1810" s="4"/>
      <c r="V1810" s="4"/>
      <c r="W1810" s="4"/>
      <c r="X1810" s="4"/>
    </row>
    <row r="1811" spans="17:24" x14ac:dyDescent="0.3">
      <c r="Q1811" s="4"/>
      <c r="R1811" s="4"/>
      <c r="S1811" s="4"/>
      <c r="T1811" s="4"/>
      <c r="U1811" s="4"/>
      <c r="V1811" s="4"/>
      <c r="W1811" s="4"/>
      <c r="X1811" s="4"/>
    </row>
    <row r="1812" spans="17:24" x14ac:dyDescent="0.3">
      <c r="Q1812" s="4"/>
      <c r="R1812" s="4"/>
      <c r="S1812" s="4"/>
      <c r="T1812" s="4"/>
      <c r="U1812" s="4"/>
      <c r="V1812" s="4"/>
      <c r="W1812" s="4"/>
      <c r="X1812" s="4"/>
    </row>
    <row r="1813" spans="17:24" x14ac:dyDescent="0.3">
      <c r="Q1813" s="4"/>
      <c r="R1813" s="4"/>
      <c r="S1813" s="4"/>
      <c r="T1813" s="4"/>
      <c r="U1813" s="4"/>
      <c r="V1813" s="4"/>
      <c r="W1813" s="4"/>
      <c r="X1813" s="4"/>
    </row>
    <row r="1814" spans="17:24" x14ac:dyDescent="0.3">
      <c r="Q1814" s="4"/>
      <c r="R1814" s="4"/>
      <c r="S1814" s="4"/>
      <c r="T1814" s="4"/>
      <c r="U1814" s="4"/>
      <c r="V1814" s="4"/>
      <c r="W1814" s="4"/>
      <c r="X1814" s="4"/>
    </row>
    <row r="1815" spans="17:24" x14ac:dyDescent="0.3">
      <c r="Q1815" s="4"/>
      <c r="R1815" s="4"/>
      <c r="S1815" s="4"/>
      <c r="T1815" s="4"/>
      <c r="U1815" s="4"/>
      <c r="V1815" s="4"/>
      <c r="W1815" s="4"/>
      <c r="X1815" s="4"/>
    </row>
    <row r="1816" spans="17:24" x14ac:dyDescent="0.3">
      <c r="Q1816" s="4"/>
      <c r="R1816" s="4"/>
      <c r="S1816" s="4"/>
      <c r="T1816" s="4"/>
      <c r="U1816" s="4"/>
      <c r="V1816" s="4"/>
      <c r="W1816" s="4"/>
      <c r="X1816" s="4"/>
    </row>
    <row r="1817" spans="17:24" x14ac:dyDescent="0.3">
      <c r="Q1817" s="4"/>
      <c r="R1817" s="4"/>
      <c r="S1817" s="4"/>
      <c r="T1817" s="4"/>
      <c r="U1817" s="4"/>
      <c r="V1817" s="4"/>
      <c r="W1817" s="4"/>
      <c r="X1817" s="4"/>
    </row>
    <row r="1818" spans="17:24" x14ac:dyDescent="0.3">
      <c r="Q1818" s="4"/>
      <c r="R1818" s="4"/>
      <c r="S1818" s="4"/>
      <c r="T1818" s="4"/>
      <c r="U1818" s="4"/>
      <c r="V1818" s="4"/>
      <c r="W1818" s="4"/>
      <c r="X1818" s="4"/>
    </row>
    <row r="1819" spans="17:24" x14ac:dyDescent="0.3">
      <c r="Q1819" s="4"/>
      <c r="R1819" s="4"/>
      <c r="S1819" s="4"/>
      <c r="T1819" s="4"/>
      <c r="U1819" s="4"/>
      <c r="V1819" s="4"/>
      <c r="W1819" s="4"/>
      <c r="X1819" s="4"/>
    </row>
    <row r="1820" spans="17:24" x14ac:dyDescent="0.3">
      <c r="Q1820" s="4"/>
      <c r="R1820" s="4"/>
      <c r="S1820" s="4"/>
      <c r="T1820" s="4"/>
      <c r="U1820" s="4"/>
      <c r="V1820" s="4"/>
      <c r="W1820" s="4"/>
      <c r="X1820" s="4"/>
    </row>
    <row r="1821" spans="17:24" x14ac:dyDescent="0.3">
      <c r="Q1821" s="4"/>
      <c r="R1821" s="4"/>
      <c r="S1821" s="4"/>
      <c r="T1821" s="4"/>
      <c r="U1821" s="4"/>
      <c r="V1821" s="4"/>
      <c r="W1821" s="4"/>
      <c r="X1821" s="4"/>
    </row>
    <row r="1822" spans="17:24" x14ac:dyDescent="0.3">
      <c r="Q1822" s="4"/>
      <c r="R1822" s="4"/>
      <c r="S1822" s="4"/>
      <c r="T1822" s="4"/>
      <c r="U1822" s="4"/>
      <c r="V1822" s="4"/>
      <c r="W1822" s="4"/>
      <c r="X1822" s="4"/>
    </row>
    <row r="1823" spans="17:24" x14ac:dyDescent="0.3">
      <c r="Q1823" s="4"/>
      <c r="R1823" s="4"/>
      <c r="S1823" s="4"/>
      <c r="T1823" s="4"/>
      <c r="U1823" s="4"/>
      <c r="V1823" s="4"/>
      <c r="W1823" s="4"/>
      <c r="X1823" s="4"/>
    </row>
    <row r="1824" spans="17:24" x14ac:dyDescent="0.3">
      <c r="Q1824" s="4"/>
      <c r="R1824" s="4"/>
      <c r="S1824" s="4"/>
      <c r="T1824" s="4"/>
      <c r="U1824" s="4"/>
      <c r="V1824" s="4"/>
      <c r="W1824" s="4"/>
      <c r="X1824" s="4"/>
    </row>
    <row r="1825" spans="17:24" x14ac:dyDescent="0.3">
      <c r="Q1825" s="4"/>
      <c r="R1825" s="4"/>
      <c r="S1825" s="4"/>
      <c r="T1825" s="4"/>
      <c r="U1825" s="4"/>
      <c r="V1825" s="4"/>
      <c r="W1825" s="4"/>
      <c r="X1825" s="4"/>
    </row>
    <row r="1826" spans="17:24" x14ac:dyDescent="0.3">
      <c r="Q1826" s="4"/>
      <c r="R1826" s="4"/>
      <c r="S1826" s="4"/>
      <c r="T1826" s="4"/>
      <c r="U1826" s="4"/>
      <c r="V1826" s="4"/>
      <c r="W1826" s="4"/>
      <c r="X1826" s="4"/>
    </row>
    <row r="1827" spans="17:24" x14ac:dyDescent="0.3">
      <c r="Q1827" s="4"/>
      <c r="R1827" s="4"/>
      <c r="S1827" s="4"/>
      <c r="T1827" s="4"/>
      <c r="U1827" s="4"/>
      <c r="V1827" s="4"/>
      <c r="W1827" s="4"/>
      <c r="X1827" s="4"/>
    </row>
    <row r="1828" spans="17:24" x14ac:dyDescent="0.3">
      <c r="Q1828" s="4"/>
      <c r="R1828" s="4"/>
      <c r="S1828" s="4"/>
      <c r="T1828" s="4"/>
      <c r="U1828" s="4"/>
      <c r="V1828" s="4"/>
      <c r="W1828" s="4"/>
      <c r="X1828" s="4"/>
    </row>
    <row r="1829" spans="17:24" x14ac:dyDescent="0.3">
      <c r="Q1829" s="4"/>
      <c r="R1829" s="4"/>
      <c r="S1829" s="4"/>
      <c r="T1829" s="4"/>
      <c r="U1829" s="4"/>
      <c r="V1829" s="4"/>
      <c r="W1829" s="4"/>
      <c r="X1829" s="4"/>
    </row>
    <row r="1830" spans="17:24" x14ac:dyDescent="0.3">
      <c r="Q1830" s="4"/>
      <c r="R1830" s="4"/>
      <c r="S1830" s="4"/>
      <c r="T1830" s="4"/>
      <c r="U1830" s="4"/>
      <c r="V1830" s="4"/>
      <c r="W1830" s="4"/>
      <c r="X1830" s="4"/>
    </row>
    <row r="1831" spans="17:24" x14ac:dyDescent="0.3">
      <c r="Q1831" s="4"/>
      <c r="R1831" s="4"/>
      <c r="S1831" s="4"/>
      <c r="T1831" s="4"/>
      <c r="U1831" s="4"/>
      <c r="V1831" s="4"/>
      <c r="W1831" s="4"/>
      <c r="X1831" s="4"/>
    </row>
    <row r="1832" spans="17:24" x14ac:dyDescent="0.3">
      <c r="Q1832" s="4"/>
      <c r="R1832" s="4"/>
      <c r="S1832" s="4"/>
      <c r="T1832" s="4"/>
      <c r="U1832" s="4"/>
      <c r="V1832" s="4"/>
      <c r="W1832" s="4"/>
      <c r="X1832" s="4"/>
    </row>
    <row r="1833" spans="17:24" x14ac:dyDescent="0.3">
      <c r="Q1833" s="4"/>
      <c r="R1833" s="4"/>
      <c r="S1833" s="4"/>
      <c r="T1833" s="4"/>
      <c r="U1833" s="4"/>
      <c r="V1833" s="4"/>
      <c r="W1833" s="4"/>
      <c r="X1833" s="4"/>
    </row>
    <row r="1834" spans="17:24" x14ac:dyDescent="0.3">
      <c r="Q1834" s="4"/>
      <c r="R1834" s="4"/>
      <c r="S1834" s="4"/>
      <c r="T1834" s="4"/>
      <c r="U1834" s="4"/>
      <c r="V1834" s="4"/>
      <c r="W1834" s="4"/>
      <c r="X1834" s="4"/>
    </row>
    <row r="1835" spans="17:24" x14ac:dyDescent="0.3">
      <c r="Q1835" s="4"/>
      <c r="R1835" s="4"/>
      <c r="S1835" s="4"/>
      <c r="T1835" s="4"/>
      <c r="U1835" s="4"/>
      <c r="V1835" s="4"/>
      <c r="W1835" s="4"/>
      <c r="X1835" s="4"/>
    </row>
    <row r="1836" spans="17:24" x14ac:dyDescent="0.3">
      <c r="Q1836" s="4"/>
      <c r="R1836" s="4"/>
      <c r="S1836" s="4"/>
      <c r="T1836" s="4"/>
      <c r="U1836" s="4"/>
      <c r="V1836" s="4"/>
      <c r="W1836" s="4"/>
      <c r="X1836" s="4"/>
    </row>
    <row r="1837" spans="17:24" x14ac:dyDescent="0.3">
      <c r="Q1837" s="4"/>
      <c r="R1837" s="4"/>
      <c r="S1837" s="4"/>
      <c r="T1837" s="4"/>
      <c r="U1837" s="4"/>
      <c r="V1837" s="4"/>
      <c r="W1837" s="4"/>
      <c r="X1837" s="4"/>
    </row>
    <row r="1838" spans="17:24" x14ac:dyDescent="0.3">
      <c r="Q1838" s="4"/>
      <c r="R1838" s="4"/>
      <c r="S1838" s="4"/>
      <c r="T1838" s="4"/>
      <c r="U1838" s="4"/>
      <c r="V1838" s="4"/>
      <c r="W1838" s="4"/>
      <c r="X1838" s="4"/>
    </row>
    <row r="1839" spans="17:24" x14ac:dyDescent="0.3">
      <c r="Q1839" s="4"/>
      <c r="R1839" s="4"/>
      <c r="S1839" s="4"/>
      <c r="T1839" s="4"/>
      <c r="U1839" s="4"/>
      <c r="V1839" s="4"/>
      <c r="W1839" s="4"/>
      <c r="X1839" s="4"/>
    </row>
    <row r="1840" spans="17:24" x14ac:dyDescent="0.3">
      <c r="Q1840" s="4"/>
      <c r="R1840" s="4"/>
      <c r="S1840" s="4"/>
      <c r="T1840" s="4"/>
      <c r="U1840" s="4"/>
      <c r="V1840" s="4"/>
      <c r="W1840" s="4"/>
      <c r="X1840" s="4"/>
    </row>
    <row r="1841" spans="17:24" x14ac:dyDescent="0.3">
      <c r="Q1841" s="4"/>
      <c r="R1841" s="4"/>
      <c r="S1841" s="4"/>
      <c r="T1841" s="4"/>
      <c r="U1841" s="4"/>
      <c r="V1841" s="4"/>
      <c r="W1841" s="4"/>
      <c r="X1841" s="4"/>
    </row>
    <row r="1842" spans="17:24" x14ac:dyDescent="0.3">
      <c r="Q1842" s="4"/>
      <c r="R1842" s="4"/>
      <c r="S1842" s="4"/>
      <c r="T1842" s="4"/>
      <c r="U1842" s="4"/>
      <c r="V1842" s="4"/>
      <c r="W1842" s="4"/>
      <c r="X1842" s="4"/>
    </row>
    <row r="1843" spans="17:24" x14ac:dyDescent="0.3">
      <c r="Q1843" s="4"/>
      <c r="R1843" s="4"/>
      <c r="S1843" s="4"/>
      <c r="T1843" s="4"/>
      <c r="U1843" s="4"/>
      <c r="V1843" s="4"/>
      <c r="W1843" s="4"/>
      <c r="X1843" s="4"/>
    </row>
    <row r="1844" spans="17:24" x14ac:dyDescent="0.3">
      <c r="Q1844" s="4"/>
      <c r="R1844" s="4"/>
      <c r="S1844" s="4"/>
      <c r="T1844" s="4"/>
      <c r="U1844" s="4"/>
      <c r="V1844" s="4"/>
      <c r="W1844" s="4"/>
      <c r="X1844" s="4"/>
    </row>
    <row r="1845" spans="17:24" x14ac:dyDescent="0.3">
      <c r="Q1845" s="4"/>
      <c r="R1845" s="4"/>
      <c r="S1845" s="4"/>
      <c r="T1845" s="4"/>
      <c r="U1845" s="4"/>
      <c r="V1845" s="4"/>
      <c r="W1845" s="4"/>
      <c r="X1845" s="4"/>
    </row>
    <row r="1846" spans="17:24" x14ac:dyDescent="0.3">
      <c r="Q1846" s="4"/>
      <c r="R1846" s="4"/>
      <c r="S1846" s="4"/>
      <c r="T1846" s="4"/>
      <c r="U1846" s="4"/>
      <c r="V1846" s="4"/>
      <c r="W1846" s="4"/>
      <c r="X1846" s="4"/>
    </row>
    <row r="1847" spans="17:24" x14ac:dyDescent="0.3">
      <c r="Q1847" s="4"/>
      <c r="R1847" s="4"/>
      <c r="S1847" s="4"/>
      <c r="T1847" s="4"/>
      <c r="U1847" s="4"/>
      <c r="V1847" s="4"/>
      <c r="W1847" s="4"/>
      <c r="X1847" s="4"/>
    </row>
    <row r="1848" spans="17:24" x14ac:dyDescent="0.3">
      <c r="Q1848" s="4"/>
      <c r="R1848" s="4"/>
      <c r="S1848" s="4"/>
      <c r="T1848" s="4"/>
      <c r="U1848" s="4"/>
      <c r="V1848" s="4"/>
      <c r="W1848" s="4"/>
      <c r="X1848" s="4"/>
    </row>
    <row r="1849" spans="17:24" x14ac:dyDescent="0.3">
      <c r="Q1849" s="4"/>
      <c r="R1849" s="4"/>
      <c r="S1849" s="4"/>
      <c r="T1849" s="4"/>
      <c r="U1849" s="4"/>
      <c r="V1849" s="4"/>
      <c r="W1849" s="4"/>
      <c r="X1849" s="4"/>
    </row>
    <row r="1850" spans="17:24" x14ac:dyDescent="0.3">
      <c r="Q1850" s="4"/>
      <c r="R1850" s="4"/>
      <c r="S1850" s="4"/>
      <c r="T1850" s="4"/>
      <c r="U1850" s="4"/>
      <c r="V1850" s="4"/>
      <c r="W1850" s="4"/>
      <c r="X1850" s="4"/>
    </row>
    <row r="1851" spans="17:24" x14ac:dyDescent="0.3">
      <c r="Q1851" s="4"/>
      <c r="R1851" s="4"/>
      <c r="S1851" s="4"/>
      <c r="T1851" s="4"/>
      <c r="U1851" s="4"/>
      <c r="V1851" s="4"/>
      <c r="W1851" s="4"/>
      <c r="X1851" s="4"/>
    </row>
    <row r="1852" spans="17:24" x14ac:dyDescent="0.3">
      <c r="Q1852" s="4"/>
      <c r="R1852" s="4"/>
      <c r="S1852" s="4"/>
      <c r="T1852" s="4"/>
      <c r="U1852" s="4"/>
      <c r="V1852" s="4"/>
      <c r="W1852" s="4"/>
      <c r="X1852" s="4"/>
    </row>
    <row r="1853" spans="17:24" x14ac:dyDescent="0.3">
      <c r="Q1853" s="4"/>
      <c r="R1853" s="4"/>
      <c r="S1853" s="4"/>
      <c r="T1853" s="4"/>
      <c r="U1853" s="4"/>
      <c r="V1853" s="4"/>
      <c r="W1853" s="4"/>
      <c r="X1853" s="4"/>
    </row>
    <row r="1854" spans="17:24" x14ac:dyDescent="0.3">
      <c r="Q1854" s="4"/>
      <c r="R1854" s="4"/>
      <c r="S1854" s="4"/>
      <c r="T1854" s="4"/>
      <c r="U1854" s="4"/>
      <c r="V1854" s="4"/>
      <c r="W1854" s="4"/>
      <c r="X1854" s="4"/>
    </row>
    <row r="1855" spans="17:24" x14ac:dyDescent="0.3">
      <c r="Q1855" s="4"/>
      <c r="R1855" s="4"/>
      <c r="S1855" s="4"/>
      <c r="T1855" s="4"/>
      <c r="U1855" s="4"/>
      <c r="V1855" s="4"/>
      <c r="W1855" s="4"/>
      <c r="X1855" s="4"/>
    </row>
    <row r="1856" spans="17:24" x14ac:dyDescent="0.3">
      <c r="Q1856" s="4"/>
      <c r="R1856" s="4"/>
      <c r="S1856" s="4"/>
      <c r="T1856" s="4"/>
      <c r="U1856" s="4"/>
      <c r="V1856" s="4"/>
      <c r="W1856" s="4"/>
      <c r="X1856" s="4"/>
    </row>
    <row r="1857" spans="17:24" x14ac:dyDescent="0.3">
      <c r="Q1857" s="4"/>
      <c r="R1857" s="4"/>
      <c r="S1857" s="4"/>
      <c r="T1857" s="4"/>
      <c r="U1857" s="4"/>
      <c r="V1857" s="4"/>
      <c r="W1857" s="4"/>
      <c r="X1857" s="4"/>
    </row>
    <row r="1858" spans="17:24" x14ac:dyDescent="0.3">
      <c r="Q1858" s="4"/>
      <c r="R1858" s="4"/>
      <c r="S1858" s="4"/>
      <c r="T1858" s="4"/>
      <c r="U1858" s="4"/>
      <c r="V1858" s="4"/>
      <c r="W1858" s="4"/>
      <c r="X1858" s="4"/>
    </row>
    <row r="1859" spans="17:24" x14ac:dyDescent="0.3">
      <c r="Q1859" s="4"/>
      <c r="R1859" s="4"/>
      <c r="S1859" s="4"/>
      <c r="T1859" s="4"/>
      <c r="U1859" s="4"/>
      <c r="V1859" s="4"/>
      <c r="W1859" s="4"/>
      <c r="X1859" s="4"/>
    </row>
    <row r="1860" spans="17:24" x14ac:dyDescent="0.3">
      <c r="Q1860" s="4"/>
      <c r="R1860" s="4"/>
      <c r="S1860" s="4"/>
      <c r="T1860" s="4"/>
      <c r="U1860" s="4"/>
      <c r="V1860" s="4"/>
      <c r="W1860" s="4"/>
      <c r="X1860" s="4"/>
    </row>
    <row r="1861" spans="17:24" x14ac:dyDescent="0.3">
      <c r="Q1861" s="4"/>
      <c r="R1861" s="4"/>
      <c r="S1861" s="4"/>
      <c r="T1861" s="4"/>
      <c r="U1861" s="4"/>
      <c r="V1861" s="4"/>
      <c r="W1861" s="4"/>
      <c r="X1861" s="4"/>
    </row>
    <row r="1862" spans="17:24" x14ac:dyDescent="0.3">
      <c r="Q1862" s="4"/>
      <c r="R1862" s="4"/>
      <c r="S1862" s="4"/>
      <c r="T1862" s="4"/>
      <c r="U1862" s="4"/>
      <c r="V1862" s="4"/>
      <c r="W1862" s="4"/>
      <c r="X1862" s="4"/>
    </row>
    <row r="1863" spans="17:24" x14ac:dyDescent="0.3">
      <c r="Q1863" s="4"/>
      <c r="R1863" s="4"/>
      <c r="S1863" s="4"/>
      <c r="T1863" s="4"/>
      <c r="U1863" s="4"/>
      <c r="V1863" s="4"/>
      <c r="W1863" s="4"/>
      <c r="X1863" s="4"/>
    </row>
    <row r="1864" spans="17:24" x14ac:dyDescent="0.3">
      <c r="Q1864" s="4"/>
      <c r="R1864" s="4"/>
      <c r="S1864" s="4"/>
      <c r="T1864" s="4"/>
      <c r="U1864" s="4"/>
      <c r="V1864" s="4"/>
      <c r="W1864" s="4"/>
      <c r="X1864" s="4"/>
    </row>
    <row r="1865" spans="17:24" x14ac:dyDescent="0.3">
      <c r="Q1865" s="4"/>
      <c r="R1865" s="4"/>
      <c r="S1865" s="4"/>
      <c r="T1865" s="4"/>
      <c r="U1865" s="4"/>
      <c r="V1865" s="4"/>
      <c r="W1865" s="4"/>
      <c r="X1865" s="4"/>
    </row>
    <row r="1866" spans="17:24" x14ac:dyDescent="0.3">
      <c r="Q1866" s="4"/>
      <c r="R1866" s="4"/>
      <c r="S1866" s="4"/>
      <c r="T1866" s="4"/>
      <c r="U1866" s="4"/>
      <c r="V1866" s="4"/>
      <c r="W1866" s="4"/>
      <c r="X1866" s="4"/>
    </row>
    <row r="1867" spans="17:24" x14ac:dyDescent="0.3">
      <c r="Q1867" s="4"/>
      <c r="R1867" s="4"/>
      <c r="S1867" s="4"/>
      <c r="T1867" s="4"/>
      <c r="U1867" s="4"/>
      <c r="V1867" s="4"/>
      <c r="W1867" s="4"/>
      <c r="X1867" s="4"/>
    </row>
    <row r="1868" spans="17:24" x14ac:dyDescent="0.3">
      <c r="Q1868" s="4"/>
      <c r="R1868" s="4"/>
      <c r="S1868" s="4"/>
      <c r="T1868" s="4"/>
      <c r="U1868" s="4"/>
      <c r="V1868" s="4"/>
      <c r="W1868" s="4"/>
      <c r="X1868" s="4"/>
    </row>
    <row r="1869" spans="17:24" x14ac:dyDescent="0.3">
      <c r="Q1869" s="4"/>
      <c r="R1869" s="4"/>
      <c r="S1869" s="4"/>
      <c r="T1869" s="4"/>
      <c r="U1869" s="4"/>
      <c r="V1869" s="4"/>
      <c r="W1869" s="4"/>
      <c r="X1869" s="4"/>
    </row>
    <row r="1870" spans="17:24" x14ac:dyDescent="0.3">
      <c r="Q1870" s="4"/>
      <c r="R1870" s="4"/>
      <c r="S1870" s="4"/>
      <c r="T1870" s="4"/>
      <c r="U1870" s="4"/>
      <c r="V1870" s="4"/>
      <c r="W1870" s="4"/>
      <c r="X1870" s="4"/>
    </row>
    <row r="1871" spans="17:24" x14ac:dyDescent="0.3">
      <c r="Q1871" s="4"/>
      <c r="R1871" s="4"/>
      <c r="S1871" s="4"/>
      <c r="T1871" s="4"/>
      <c r="U1871" s="4"/>
      <c r="V1871" s="4"/>
      <c r="W1871" s="4"/>
      <c r="X1871" s="4"/>
    </row>
    <row r="1872" spans="17:24" x14ac:dyDescent="0.3">
      <c r="Q1872" s="4"/>
      <c r="R1872" s="4"/>
      <c r="S1872" s="4"/>
      <c r="T1872" s="4"/>
      <c r="U1872" s="4"/>
      <c r="V1872" s="4"/>
      <c r="W1872" s="4"/>
      <c r="X1872" s="4"/>
    </row>
    <row r="1873" spans="17:24" x14ac:dyDescent="0.3">
      <c r="Q1873" s="4"/>
      <c r="R1873" s="4"/>
      <c r="S1873" s="4"/>
      <c r="T1873" s="4"/>
      <c r="U1873" s="4"/>
      <c r="V1873" s="4"/>
      <c r="W1873" s="4"/>
      <c r="X1873" s="4"/>
    </row>
    <row r="1874" spans="17:24" x14ac:dyDescent="0.3">
      <c r="Q1874" s="4"/>
      <c r="R1874" s="4"/>
      <c r="S1874" s="4"/>
      <c r="T1874" s="4"/>
      <c r="U1874" s="4"/>
      <c r="V1874" s="4"/>
      <c r="W1874" s="4"/>
      <c r="X1874" s="4"/>
    </row>
    <row r="1875" spans="17:24" x14ac:dyDescent="0.3">
      <c r="Q1875" s="4"/>
      <c r="R1875" s="4"/>
      <c r="S1875" s="4"/>
      <c r="T1875" s="4"/>
      <c r="U1875" s="4"/>
      <c r="V1875" s="4"/>
      <c r="W1875" s="4"/>
      <c r="X1875" s="4"/>
    </row>
    <row r="1876" spans="17:24" x14ac:dyDescent="0.3">
      <c r="Q1876" s="4"/>
      <c r="R1876" s="4"/>
      <c r="S1876" s="4"/>
      <c r="T1876" s="4"/>
      <c r="U1876" s="4"/>
      <c r="V1876" s="4"/>
      <c r="W1876" s="4"/>
      <c r="X1876" s="4"/>
    </row>
    <row r="1877" spans="17:24" x14ac:dyDescent="0.3">
      <c r="Q1877" s="4"/>
      <c r="R1877" s="4"/>
      <c r="S1877" s="4"/>
      <c r="T1877" s="4"/>
      <c r="U1877" s="4"/>
      <c r="V1877" s="4"/>
      <c r="W1877" s="4"/>
      <c r="X1877" s="4"/>
    </row>
    <row r="1878" spans="17:24" x14ac:dyDescent="0.3">
      <c r="Q1878" s="4"/>
      <c r="R1878" s="4"/>
      <c r="S1878" s="4"/>
      <c r="T1878" s="4"/>
      <c r="U1878" s="4"/>
      <c r="V1878" s="4"/>
      <c r="W1878" s="4"/>
      <c r="X1878" s="4"/>
    </row>
    <row r="1879" spans="17:24" x14ac:dyDescent="0.3">
      <c r="Q1879" s="4"/>
      <c r="R1879" s="4"/>
      <c r="S1879" s="4"/>
      <c r="T1879" s="4"/>
      <c r="U1879" s="4"/>
      <c r="V1879" s="4"/>
      <c r="W1879" s="4"/>
      <c r="X1879" s="4"/>
    </row>
    <row r="1880" spans="17:24" x14ac:dyDescent="0.3">
      <c r="Q1880" s="4"/>
      <c r="R1880" s="4"/>
      <c r="S1880" s="4"/>
      <c r="T1880" s="4"/>
      <c r="U1880" s="4"/>
      <c r="V1880" s="4"/>
      <c r="W1880" s="4"/>
      <c r="X1880" s="4"/>
    </row>
    <row r="1881" spans="17:24" x14ac:dyDescent="0.3">
      <c r="Q1881" s="4"/>
      <c r="R1881" s="4"/>
      <c r="S1881" s="4"/>
      <c r="T1881" s="4"/>
      <c r="U1881" s="4"/>
      <c r="V1881" s="4"/>
      <c r="W1881" s="4"/>
      <c r="X1881" s="4"/>
    </row>
    <row r="1882" spans="17:24" x14ac:dyDescent="0.3">
      <c r="Q1882" s="4"/>
      <c r="R1882" s="4"/>
      <c r="S1882" s="4"/>
      <c r="T1882" s="4"/>
      <c r="U1882" s="4"/>
      <c r="V1882" s="4"/>
      <c r="W1882" s="4"/>
      <c r="X1882" s="4"/>
    </row>
    <row r="1883" spans="17:24" x14ac:dyDescent="0.3">
      <c r="Q1883" s="4"/>
      <c r="R1883" s="4"/>
      <c r="S1883" s="4"/>
      <c r="T1883" s="4"/>
      <c r="U1883" s="4"/>
      <c r="V1883" s="4"/>
      <c r="W1883" s="4"/>
      <c r="X1883" s="4"/>
    </row>
    <row r="1884" spans="17:24" x14ac:dyDescent="0.3">
      <c r="Q1884" s="4"/>
      <c r="R1884" s="4"/>
      <c r="S1884" s="4"/>
      <c r="T1884" s="4"/>
      <c r="U1884" s="4"/>
      <c r="V1884" s="4"/>
      <c r="W1884" s="4"/>
      <c r="X1884" s="4"/>
    </row>
    <row r="1885" spans="17:24" x14ac:dyDescent="0.3">
      <c r="Q1885" s="4"/>
      <c r="R1885" s="4"/>
      <c r="S1885" s="4"/>
      <c r="T1885" s="4"/>
      <c r="U1885" s="4"/>
      <c r="V1885" s="4"/>
      <c r="W1885" s="4"/>
      <c r="X1885" s="4"/>
    </row>
    <row r="1886" spans="17:24" x14ac:dyDescent="0.3">
      <c r="Q1886" s="4"/>
      <c r="R1886" s="4"/>
      <c r="S1886" s="4"/>
      <c r="T1886" s="4"/>
      <c r="U1886" s="4"/>
      <c r="V1886" s="4"/>
      <c r="W1886" s="4"/>
      <c r="X1886" s="4"/>
    </row>
    <row r="1887" spans="17:24" x14ac:dyDescent="0.3">
      <c r="Q1887" s="4"/>
      <c r="R1887" s="4"/>
      <c r="S1887" s="4"/>
      <c r="T1887" s="4"/>
      <c r="U1887" s="4"/>
      <c r="V1887" s="4"/>
      <c r="W1887" s="4"/>
      <c r="X1887" s="4"/>
    </row>
    <row r="1888" spans="17:24" x14ac:dyDescent="0.3">
      <c r="Q1888" s="4"/>
      <c r="R1888" s="4"/>
      <c r="S1888" s="4"/>
      <c r="T1888" s="4"/>
      <c r="U1888" s="4"/>
      <c r="V1888" s="4"/>
      <c r="W1888" s="4"/>
      <c r="X1888" s="4"/>
    </row>
    <row r="1889" spans="17:24" x14ac:dyDescent="0.3">
      <c r="Q1889" s="4"/>
      <c r="R1889" s="4"/>
      <c r="S1889" s="4"/>
      <c r="T1889" s="4"/>
      <c r="U1889" s="4"/>
      <c r="V1889" s="4"/>
      <c r="W1889" s="4"/>
      <c r="X1889" s="4"/>
    </row>
    <row r="1890" spans="17:24" x14ac:dyDescent="0.3">
      <c r="Q1890" s="4"/>
      <c r="R1890" s="4"/>
      <c r="S1890" s="4"/>
      <c r="T1890" s="4"/>
      <c r="U1890" s="4"/>
      <c r="V1890" s="4"/>
      <c r="W1890" s="4"/>
      <c r="X1890" s="4"/>
    </row>
    <row r="1891" spans="17:24" x14ac:dyDescent="0.3">
      <c r="Q1891" s="4"/>
      <c r="R1891" s="4"/>
      <c r="S1891" s="4"/>
      <c r="T1891" s="4"/>
      <c r="U1891" s="4"/>
      <c r="V1891" s="4"/>
      <c r="W1891" s="4"/>
      <c r="X1891" s="4"/>
    </row>
    <row r="1892" spans="17:24" x14ac:dyDescent="0.3">
      <c r="Q1892" s="4"/>
      <c r="R1892" s="4"/>
      <c r="S1892" s="4"/>
      <c r="T1892" s="4"/>
      <c r="U1892" s="4"/>
      <c r="V1892" s="4"/>
      <c r="W1892" s="4"/>
      <c r="X1892" s="4"/>
    </row>
    <row r="1893" spans="17:24" x14ac:dyDescent="0.3">
      <c r="Q1893" s="4"/>
      <c r="R1893" s="4"/>
      <c r="S1893" s="4"/>
      <c r="T1893" s="4"/>
      <c r="U1893" s="4"/>
      <c r="V1893" s="4"/>
      <c r="W1893" s="4"/>
      <c r="X1893" s="4"/>
    </row>
    <row r="1894" spans="17:24" x14ac:dyDescent="0.3">
      <c r="Q1894" s="4"/>
      <c r="R1894" s="4"/>
      <c r="S1894" s="4"/>
      <c r="T1894" s="4"/>
      <c r="U1894" s="4"/>
      <c r="V1894" s="4"/>
      <c r="W1894" s="4"/>
      <c r="X1894" s="4"/>
    </row>
    <row r="1895" spans="17:24" x14ac:dyDescent="0.3">
      <c r="Q1895" s="4"/>
      <c r="R1895" s="4"/>
      <c r="S1895" s="4"/>
      <c r="T1895" s="4"/>
      <c r="U1895" s="4"/>
      <c r="V1895" s="4"/>
      <c r="W1895" s="4"/>
      <c r="X1895" s="4"/>
    </row>
    <row r="1896" spans="17:24" x14ac:dyDescent="0.3">
      <c r="Q1896" s="4"/>
      <c r="R1896" s="4"/>
      <c r="S1896" s="4"/>
      <c r="T1896" s="4"/>
      <c r="U1896" s="4"/>
      <c r="V1896" s="4"/>
      <c r="W1896" s="4"/>
      <c r="X1896" s="4"/>
    </row>
    <row r="1897" spans="17:24" x14ac:dyDescent="0.3">
      <c r="Q1897" s="4"/>
      <c r="R1897" s="4"/>
      <c r="S1897" s="4"/>
      <c r="T1897" s="4"/>
      <c r="U1897" s="4"/>
      <c r="V1897" s="4"/>
      <c r="W1897" s="4"/>
      <c r="X1897" s="4"/>
    </row>
    <row r="1898" spans="17:24" x14ac:dyDescent="0.3">
      <c r="Q1898" s="4"/>
      <c r="R1898" s="4"/>
      <c r="S1898" s="4"/>
      <c r="T1898" s="4"/>
      <c r="U1898" s="4"/>
      <c r="V1898" s="4"/>
      <c r="W1898" s="4"/>
      <c r="X1898" s="4"/>
    </row>
    <row r="1899" spans="17:24" x14ac:dyDescent="0.3">
      <c r="Q1899" s="4"/>
      <c r="R1899" s="4"/>
      <c r="S1899" s="4"/>
      <c r="T1899" s="4"/>
      <c r="U1899" s="4"/>
      <c r="V1899" s="4"/>
      <c r="W1899" s="4"/>
      <c r="X1899" s="4"/>
    </row>
    <row r="1900" spans="17:24" x14ac:dyDescent="0.3">
      <c r="Q1900" s="4"/>
      <c r="R1900" s="4"/>
      <c r="S1900" s="4"/>
      <c r="T1900" s="4"/>
      <c r="U1900" s="4"/>
      <c r="V1900" s="4"/>
      <c r="W1900" s="4"/>
      <c r="X1900" s="4"/>
    </row>
    <row r="1901" spans="17:24" x14ac:dyDescent="0.3">
      <c r="Q1901" s="4"/>
      <c r="R1901" s="4"/>
      <c r="S1901" s="4"/>
      <c r="T1901" s="4"/>
      <c r="U1901" s="4"/>
      <c r="V1901" s="4"/>
      <c r="W1901" s="4"/>
      <c r="X1901" s="4"/>
    </row>
    <row r="1902" spans="17:24" x14ac:dyDescent="0.3">
      <c r="Q1902" s="4"/>
      <c r="R1902" s="4"/>
      <c r="S1902" s="4"/>
      <c r="T1902" s="4"/>
      <c r="U1902" s="4"/>
      <c r="V1902" s="4"/>
      <c r="W1902" s="4"/>
      <c r="X1902" s="4"/>
    </row>
    <row r="1903" spans="17:24" x14ac:dyDescent="0.3">
      <c r="Q1903" s="4"/>
      <c r="R1903" s="4"/>
      <c r="S1903" s="4"/>
      <c r="T1903" s="4"/>
      <c r="U1903" s="4"/>
      <c r="V1903" s="4"/>
      <c r="W1903" s="4"/>
      <c r="X1903" s="4"/>
    </row>
    <row r="1904" spans="17:24" x14ac:dyDescent="0.3">
      <c r="Q1904" s="4"/>
      <c r="R1904" s="4"/>
      <c r="S1904" s="4"/>
      <c r="T1904" s="4"/>
      <c r="U1904" s="4"/>
      <c r="V1904" s="4"/>
      <c r="W1904" s="4"/>
      <c r="X1904" s="4"/>
    </row>
    <row r="1905" spans="17:24" x14ac:dyDescent="0.3">
      <c r="Q1905" s="4"/>
      <c r="R1905" s="4"/>
      <c r="S1905" s="4"/>
      <c r="T1905" s="4"/>
      <c r="U1905" s="4"/>
      <c r="V1905" s="4"/>
      <c r="W1905" s="4"/>
      <c r="X1905" s="4"/>
    </row>
    <row r="1906" spans="17:24" x14ac:dyDescent="0.3">
      <c r="Q1906" s="4"/>
      <c r="R1906" s="4"/>
      <c r="S1906" s="4"/>
      <c r="T1906" s="4"/>
      <c r="U1906" s="4"/>
      <c r="V1906" s="4"/>
      <c r="W1906" s="4"/>
      <c r="X1906" s="4"/>
    </row>
    <row r="1907" spans="17:24" x14ac:dyDescent="0.3">
      <c r="Q1907" s="4"/>
      <c r="R1907" s="4"/>
      <c r="S1907" s="4"/>
      <c r="T1907" s="4"/>
      <c r="U1907" s="4"/>
      <c r="V1907" s="4"/>
      <c r="W1907" s="4"/>
      <c r="X1907" s="4"/>
    </row>
    <row r="1908" spans="17:24" x14ac:dyDescent="0.3">
      <c r="Q1908" s="4"/>
      <c r="R1908" s="4"/>
      <c r="S1908" s="4"/>
      <c r="T1908" s="4"/>
      <c r="U1908" s="4"/>
      <c r="V1908" s="4"/>
      <c r="W1908" s="4"/>
      <c r="X1908" s="4"/>
    </row>
    <row r="1909" spans="17:24" x14ac:dyDescent="0.3">
      <c r="Q1909" s="4"/>
      <c r="R1909" s="4"/>
      <c r="S1909" s="4"/>
      <c r="T1909" s="4"/>
      <c r="U1909" s="4"/>
      <c r="V1909" s="4"/>
      <c r="W1909" s="4"/>
      <c r="X1909" s="4"/>
    </row>
    <row r="1910" spans="17:24" x14ac:dyDescent="0.3">
      <c r="Q1910" s="4"/>
      <c r="R1910" s="4"/>
      <c r="S1910" s="4"/>
      <c r="T1910" s="4"/>
      <c r="U1910" s="4"/>
      <c r="V1910" s="4"/>
      <c r="W1910" s="4"/>
      <c r="X1910" s="4"/>
    </row>
    <row r="1911" spans="17:24" x14ac:dyDescent="0.3">
      <c r="Q1911" s="4"/>
      <c r="R1911" s="4"/>
      <c r="S1911" s="4"/>
      <c r="T1911" s="4"/>
      <c r="U1911" s="4"/>
      <c r="V1911" s="4"/>
      <c r="W1911" s="4"/>
      <c r="X1911" s="4"/>
    </row>
    <row r="1912" spans="17:24" x14ac:dyDescent="0.3">
      <c r="Q1912" s="4"/>
      <c r="R1912" s="4"/>
      <c r="S1912" s="4"/>
      <c r="T1912" s="4"/>
      <c r="U1912" s="4"/>
      <c r="V1912" s="4"/>
      <c r="W1912" s="4"/>
      <c r="X1912" s="4"/>
    </row>
    <row r="1913" spans="17:24" x14ac:dyDescent="0.3">
      <c r="Q1913" s="4"/>
      <c r="R1913" s="4"/>
      <c r="S1913" s="4"/>
      <c r="T1913" s="4"/>
      <c r="U1913" s="4"/>
      <c r="V1913" s="4"/>
      <c r="W1913" s="4"/>
      <c r="X1913" s="4"/>
    </row>
    <row r="1914" spans="17:24" x14ac:dyDescent="0.3">
      <c r="Q1914" s="4"/>
      <c r="R1914" s="4"/>
      <c r="S1914" s="4"/>
      <c r="T1914" s="4"/>
      <c r="U1914" s="4"/>
      <c r="V1914" s="4"/>
      <c r="W1914" s="4"/>
      <c r="X1914" s="4"/>
    </row>
    <row r="1915" spans="17:24" x14ac:dyDescent="0.3">
      <c r="Q1915" s="4"/>
      <c r="R1915" s="4"/>
      <c r="S1915" s="4"/>
      <c r="T1915" s="4"/>
      <c r="U1915" s="4"/>
      <c r="V1915" s="4"/>
      <c r="W1915" s="4"/>
      <c r="X1915" s="4"/>
    </row>
    <row r="1916" spans="17:24" x14ac:dyDescent="0.3">
      <c r="Q1916" s="4"/>
      <c r="R1916" s="4"/>
      <c r="S1916" s="4"/>
      <c r="T1916" s="4"/>
      <c r="U1916" s="4"/>
      <c r="V1916" s="4"/>
      <c r="W1916" s="4"/>
      <c r="X1916" s="4"/>
    </row>
    <row r="1917" spans="17:24" x14ac:dyDescent="0.3">
      <c r="Q1917" s="4"/>
      <c r="R1917" s="4"/>
      <c r="S1917" s="4"/>
      <c r="T1917" s="4"/>
      <c r="U1917" s="4"/>
      <c r="V1917" s="4"/>
      <c r="W1917" s="4"/>
      <c r="X1917" s="4"/>
    </row>
    <row r="1918" spans="17:24" x14ac:dyDescent="0.3">
      <c r="Q1918" s="4"/>
      <c r="R1918" s="4"/>
      <c r="S1918" s="4"/>
      <c r="T1918" s="4"/>
      <c r="U1918" s="4"/>
      <c r="V1918" s="4"/>
      <c r="W1918" s="4"/>
      <c r="X1918" s="4"/>
    </row>
    <row r="1919" spans="17:24" x14ac:dyDescent="0.3">
      <c r="Q1919" s="4"/>
      <c r="R1919" s="4"/>
      <c r="S1919" s="4"/>
      <c r="T1919" s="4"/>
      <c r="U1919" s="4"/>
      <c r="V1919" s="4"/>
      <c r="W1919" s="4"/>
      <c r="X1919" s="4"/>
    </row>
    <row r="1920" spans="17:24" x14ac:dyDescent="0.3">
      <c r="Q1920" s="4"/>
      <c r="R1920" s="4"/>
      <c r="S1920" s="4"/>
      <c r="T1920" s="4"/>
      <c r="U1920" s="4"/>
      <c r="V1920" s="4"/>
      <c r="W1920" s="4"/>
      <c r="X1920" s="4"/>
    </row>
    <row r="1921" spans="17:24" x14ac:dyDescent="0.3">
      <c r="Q1921" s="4"/>
      <c r="R1921" s="4"/>
      <c r="S1921" s="4"/>
      <c r="T1921" s="4"/>
      <c r="U1921" s="4"/>
      <c r="V1921" s="4"/>
      <c r="W1921" s="4"/>
      <c r="X1921" s="4"/>
    </row>
    <row r="1922" spans="17:24" x14ac:dyDescent="0.3">
      <c r="Q1922" s="4"/>
      <c r="R1922" s="4"/>
      <c r="S1922" s="4"/>
      <c r="T1922" s="4"/>
      <c r="U1922" s="4"/>
      <c r="V1922" s="4"/>
      <c r="W1922" s="4"/>
      <c r="X1922" s="4"/>
    </row>
    <row r="1923" spans="17:24" x14ac:dyDescent="0.3">
      <c r="Q1923" s="4"/>
      <c r="R1923" s="4"/>
      <c r="S1923" s="4"/>
      <c r="T1923" s="4"/>
      <c r="U1923" s="4"/>
      <c r="V1923" s="4"/>
      <c r="W1923" s="4"/>
      <c r="X1923" s="4"/>
    </row>
    <row r="1924" spans="17:24" x14ac:dyDescent="0.3">
      <c r="Q1924" s="4"/>
      <c r="R1924" s="4"/>
      <c r="S1924" s="4"/>
      <c r="T1924" s="4"/>
      <c r="U1924" s="4"/>
      <c r="V1924" s="4"/>
      <c r="W1924" s="4"/>
      <c r="X1924" s="4"/>
    </row>
    <row r="1925" spans="17:24" x14ac:dyDescent="0.3">
      <c r="Q1925" s="4"/>
      <c r="R1925" s="4"/>
      <c r="S1925" s="4"/>
      <c r="T1925" s="4"/>
      <c r="U1925" s="4"/>
      <c r="V1925" s="4"/>
      <c r="W1925" s="4"/>
      <c r="X1925" s="4"/>
    </row>
    <row r="1926" spans="17:24" x14ac:dyDescent="0.3">
      <c r="Q1926" s="4"/>
      <c r="R1926" s="4"/>
      <c r="S1926" s="4"/>
      <c r="T1926" s="4"/>
      <c r="U1926" s="4"/>
      <c r="V1926" s="4"/>
      <c r="W1926" s="4"/>
      <c r="X1926" s="4"/>
    </row>
    <row r="1927" spans="17:24" x14ac:dyDescent="0.3">
      <c r="Q1927" s="4"/>
      <c r="R1927" s="4"/>
      <c r="S1927" s="4"/>
      <c r="T1927" s="4"/>
      <c r="U1927" s="4"/>
      <c r="V1927" s="4"/>
      <c r="W1927" s="4"/>
      <c r="X1927" s="4"/>
    </row>
    <row r="1928" spans="17:24" x14ac:dyDescent="0.3">
      <c r="Q1928" s="4"/>
      <c r="R1928" s="4"/>
      <c r="S1928" s="4"/>
      <c r="T1928" s="4"/>
      <c r="U1928" s="4"/>
      <c r="V1928" s="4"/>
      <c r="W1928" s="4"/>
      <c r="X1928" s="4"/>
    </row>
    <row r="1929" spans="17:24" x14ac:dyDescent="0.3">
      <c r="Q1929" s="4"/>
      <c r="R1929" s="4"/>
      <c r="S1929" s="4"/>
      <c r="T1929" s="4"/>
      <c r="U1929" s="4"/>
      <c r="V1929" s="4"/>
      <c r="W1929" s="4"/>
      <c r="X1929" s="4"/>
    </row>
    <row r="1930" spans="17:24" x14ac:dyDescent="0.3">
      <c r="Q1930" s="4"/>
      <c r="R1930" s="4"/>
      <c r="S1930" s="4"/>
      <c r="T1930" s="4"/>
      <c r="U1930" s="4"/>
      <c r="V1930" s="4"/>
      <c r="W1930" s="4"/>
      <c r="X1930" s="4"/>
    </row>
    <row r="1931" spans="17:24" x14ac:dyDescent="0.3">
      <c r="Q1931" s="4"/>
      <c r="R1931" s="4"/>
      <c r="S1931" s="4"/>
      <c r="T1931" s="4"/>
      <c r="U1931" s="4"/>
      <c r="V1931" s="4"/>
      <c r="W1931" s="4"/>
      <c r="X1931" s="4"/>
    </row>
    <row r="1932" spans="17:24" x14ac:dyDescent="0.3">
      <c r="Q1932" s="4"/>
      <c r="R1932" s="4"/>
      <c r="S1932" s="4"/>
      <c r="T1932" s="4"/>
      <c r="U1932" s="4"/>
      <c r="V1932" s="4"/>
      <c r="W1932" s="4"/>
      <c r="X1932" s="4"/>
    </row>
    <row r="1933" spans="17:24" x14ac:dyDescent="0.3">
      <c r="Q1933" s="4"/>
      <c r="R1933" s="4"/>
      <c r="S1933" s="4"/>
      <c r="T1933" s="4"/>
      <c r="U1933" s="4"/>
      <c r="V1933" s="4"/>
      <c r="W1933" s="4"/>
      <c r="X1933" s="4"/>
    </row>
    <row r="1934" spans="17:24" x14ac:dyDescent="0.3">
      <c r="Q1934" s="4"/>
      <c r="R1934" s="4"/>
      <c r="S1934" s="4"/>
      <c r="T1934" s="4"/>
      <c r="U1934" s="4"/>
      <c r="V1934" s="4"/>
      <c r="W1934" s="4"/>
      <c r="X1934" s="4"/>
    </row>
    <row r="1935" spans="17:24" x14ac:dyDescent="0.3">
      <c r="Q1935" s="4"/>
      <c r="R1935" s="4"/>
      <c r="S1935" s="4"/>
      <c r="T1935" s="4"/>
      <c r="U1935" s="4"/>
      <c r="V1935" s="4"/>
      <c r="W1935" s="4"/>
      <c r="X1935" s="4"/>
    </row>
    <row r="1936" spans="17:24" x14ac:dyDescent="0.3">
      <c r="Q1936" s="4"/>
      <c r="R1936" s="4"/>
      <c r="S1936" s="4"/>
      <c r="T1936" s="4"/>
      <c r="U1936" s="4"/>
      <c r="V1936" s="4"/>
      <c r="W1936" s="4"/>
      <c r="X1936" s="4"/>
    </row>
    <row r="1937" spans="17:24" x14ac:dyDescent="0.3">
      <c r="Q1937" s="4"/>
      <c r="R1937" s="4"/>
      <c r="S1937" s="4"/>
      <c r="T1937" s="4"/>
      <c r="U1937" s="4"/>
      <c r="V1937" s="4"/>
      <c r="W1937" s="4"/>
      <c r="X1937" s="4"/>
    </row>
    <row r="1938" spans="17:24" x14ac:dyDescent="0.3">
      <c r="Q1938" s="4"/>
      <c r="R1938" s="4"/>
      <c r="S1938" s="4"/>
      <c r="T1938" s="4"/>
      <c r="U1938" s="4"/>
      <c r="V1938" s="4"/>
      <c r="W1938" s="4"/>
      <c r="X1938" s="4"/>
    </row>
    <row r="1939" spans="17:24" x14ac:dyDescent="0.3">
      <c r="Q1939" s="4"/>
      <c r="R1939" s="4"/>
      <c r="S1939" s="4"/>
      <c r="T1939" s="4"/>
      <c r="U1939" s="4"/>
      <c r="V1939" s="4"/>
      <c r="W1939" s="4"/>
      <c r="X1939" s="4"/>
    </row>
    <row r="1940" spans="17:24" x14ac:dyDescent="0.3">
      <c r="Q1940" s="4"/>
      <c r="R1940" s="4"/>
      <c r="S1940" s="4"/>
      <c r="T1940" s="4"/>
      <c r="U1940" s="4"/>
      <c r="V1940" s="4"/>
      <c r="W1940" s="4"/>
      <c r="X1940" s="4"/>
    </row>
    <row r="1941" spans="17:24" x14ac:dyDescent="0.3">
      <c r="Q1941" s="4"/>
      <c r="R1941" s="4"/>
      <c r="S1941" s="4"/>
      <c r="T1941" s="4"/>
      <c r="U1941" s="4"/>
      <c r="V1941" s="4"/>
      <c r="W1941" s="4"/>
      <c r="X1941" s="4"/>
    </row>
    <row r="1942" spans="17:24" x14ac:dyDescent="0.3">
      <c r="Q1942" s="4"/>
      <c r="R1942" s="4"/>
      <c r="S1942" s="4"/>
      <c r="T1942" s="4"/>
      <c r="U1942" s="4"/>
      <c r="V1942" s="4"/>
      <c r="W1942" s="4"/>
      <c r="X1942" s="4"/>
    </row>
    <row r="1943" spans="17:24" x14ac:dyDescent="0.3">
      <c r="Q1943" s="4"/>
      <c r="R1943" s="4"/>
      <c r="S1943" s="4"/>
      <c r="T1943" s="4"/>
      <c r="U1943" s="4"/>
      <c r="V1943" s="4"/>
      <c r="W1943" s="4"/>
      <c r="X1943" s="4"/>
    </row>
    <row r="1944" spans="17:24" x14ac:dyDescent="0.3">
      <c r="Q1944" s="4"/>
      <c r="R1944" s="4"/>
      <c r="S1944" s="4"/>
      <c r="T1944" s="4"/>
      <c r="U1944" s="4"/>
      <c r="V1944" s="4"/>
      <c r="W1944" s="4"/>
      <c r="X1944" s="4"/>
    </row>
    <row r="1945" spans="17:24" x14ac:dyDescent="0.3">
      <c r="Q1945" s="4"/>
      <c r="R1945" s="4"/>
      <c r="S1945" s="4"/>
      <c r="T1945" s="4"/>
      <c r="U1945" s="4"/>
      <c r="V1945" s="4"/>
      <c r="W1945" s="4"/>
      <c r="X1945" s="4"/>
    </row>
    <row r="1946" spans="17:24" x14ac:dyDescent="0.3">
      <c r="Q1946" s="4"/>
      <c r="R1946" s="4"/>
      <c r="S1946" s="4"/>
      <c r="T1946" s="4"/>
      <c r="U1946" s="4"/>
      <c r="V1946" s="4"/>
      <c r="W1946" s="4"/>
      <c r="X1946" s="4"/>
    </row>
    <row r="1947" spans="17:24" x14ac:dyDescent="0.3">
      <c r="Q1947" s="4"/>
      <c r="R1947" s="4"/>
      <c r="S1947" s="4"/>
      <c r="T1947" s="4"/>
      <c r="U1947" s="4"/>
      <c r="V1947" s="4"/>
      <c r="W1947" s="4"/>
      <c r="X1947" s="4"/>
    </row>
    <row r="1948" spans="17:24" x14ac:dyDescent="0.3">
      <c r="Q1948" s="4"/>
      <c r="R1948" s="4"/>
      <c r="S1948" s="4"/>
      <c r="T1948" s="4"/>
      <c r="U1948" s="4"/>
      <c r="V1948" s="4"/>
      <c r="W1948" s="4"/>
      <c r="X1948" s="4"/>
    </row>
    <row r="1949" spans="17:24" x14ac:dyDescent="0.3">
      <c r="Q1949" s="4"/>
      <c r="R1949" s="4"/>
      <c r="S1949" s="4"/>
      <c r="T1949" s="4"/>
      <c r="U1949" s="4"/>
      <c r="V1949" s="4"/>
      <c r="W1949" s="4"/>
      <c r="X1949" s="4"/>
    </row>
    <row r="1950" spans="17:24" x14ac:dyDescent="0.3">
      <c r="Q1950" s="4"/>
      <c r="R1950" s="4"/>
      <c r="S1950" s="4"/>
      <c r="T1950" s="4"/>
      <c r="U1950" s="4"/>
      <c r="V1950" s="4"/>
      <c r="W1950" s="4"/>
      <c r="X1950" s="4"/>
    </row>
    <row r="1951" spans="17:24" x14ac:dyDescent="0.3">
      <c r="Q1951" s="4"/>
      <c r="R1951" s="4"/>
      <c r="S1951" s="4"/>
      <c r="T1951" s="4"/>
      <c r="U1951" s="4"/>
      <c r="V1951" s="4"/>
      <c r="W1951" s="4"/>
      <c r="X1951" s="4"/>
    </row>
    <row r="1952" spans="17:24" x14ac:dyDescent="0.3">
      <c r="Q1952" s="4"/>
      <c r="R1952" s="4"/>
      <c r="S1952" s="4"/>
      <c r="T1952" s="4"/>
      <c r="U1952" s="4"/>
      <c r="V1952" s="4"/>
      <c r="W1952" s="4"/>
      <c r="X1952" s="4"/>
    </row>
    <row r="1953" spans="17:24" x14ac:dyDescent="0.3">
      <c r="Q1953" s="4"/>
      <c r="R1953" s="4"/>
      <c r="S1953" s="4"/>
      <c r="T1953" s="4"/>
      <c r="U1953" s="4"/>
      <c r="V1953" s="4"/>
      <c r="W1953" s="4"/>
      <c r="X1953" s="4"/>
    </row>
    <row r="1954" spans="17:24" x14ac:dyDescent="0.3">
      <c r="Q1954" s="4"/>
      <c r="R1954" s="4"/>
      <c r="S1954" s="4"/>
      <c r="T1954" s="4"/>
      <c r="U1954" s="4"/>
      <c r="V1954" s="4"/>
      <c r="W1954" s="4"/>
      <c r="X1954" s="4"/>
    </row>
    <row r="1955" spans="17:24" x14ac:dyDescent="0.3">
      <c r="Q1955" s="4"/>
      <c r="R1955" s="4"/>
      <c r="S1955" s="4"/>
      <c r="T1955" s="4"/>
      <c r="U1955" s="4"/>
      <c r="V1955" s="4"/>
      <c r="W1955" s="4"/>
      <c r="X1955" s="4"/>
    </row>
    <row r="1956" spans="17:24" x14ac:dyDescent="0.3">
      <c r="Q1956" s="4"/>
      <c r="R1956" s="4"/>
      <c r="S1956" s="4"/>
      <c r="T1956" s="4"/>
      <c r="U1956" s="4"/>
      <c r="V1956" s="4"/>
      <c r="W1956" s="4"/>
      <c r="X1956" s="4"/>
    </row>
    <row r="1957" spans="17:24" x14ac:dyDescent="0.3">
      <c r="Q1957" s="4"/>
      <c r="R1957" s="4"/>
      <c r="S1957" s="4"/>
      <c r="T1957" s="4"/>
      <c r="U1957" s="4"/>
      <c r="V1957" s="4"/>
      <c r="W1957" s="4"/>
      <c r="X1957" s="4"/>
    </row>
    <row r="1958" spans="17:24" x14ac:dyDescent="0.3">
      <c r="Q1958" s="4"/>
      <c r="R1958" s="4"/>
      <c r="S1958" s="4"/>
      <c r="T1958" s="4"/>
      <c r="U1958" s="4"/>
      <c r="V1958" s="4"/>
      <c r="W1958" s="4"/>
      <c r="X1958" s="4"/>
    </row>
    <row r="1959" spans="17:24" x14ac:dyDescent="0.3">
      <c r="Q1959" s="4"/>
      <c r="R1959" s="4"/>
      <c r="S1959" s="4"/>
      <c r="T1959" s="4"/>
      <c r="U1959" s="4"/>
      <c r="V1959" s="4"/>
      <c r="W1959" s="4"/>
      <c r="X1959" s="4"/>
    </row>
    <row r="1960" spans="17:24" x14ac:dyDescent="0.3">
      <c r="Q1960" s="4"/>
      <c r="R1960" s="4"/>
      <c r="S1960" s="4"/>
      <c r="T1960" s="4"/>
      <c r="U1960" s="4"/>
      <c r="V1960" s="4"/>
      <c r="W1960" s="4"/>
      <c r="X1960" s="4"/>
    </row>
    <row r="1961" spans="17:24" x14ac:dyDescent="0.3">
      <c r="Q1961" s="4"/>
      <c r="R1961" s="4"/>
      <c r="S1961" s="4"/>
      <c r="T1961" s="4"/>
      <c r="U1961" s="4"/>
      <c r="V1961" s="4"/>
      <c r="W1961" s="4"/>
      <c r="X1961" s="4"/>
    </row>
    <row r="1962" spans="17:24" x14ac:dyDescent="0.3">
      <c r="Q1962" s="4"/>
      <c r="R1962" s="4"/>
      <c r="S1962" s="4"/>
      <c r="T1962" s="4"/>
      <c r="U1962" s="4"/>
      <c r="V1962" s="4"/>
      <c r="W1962" s="4"/>
      <c r="X1962" s="4"/>
    </row>
    <row r="1963" spans="17:24" x14ac:dyDescent="0.3">
      <c r="Q1963" s="4"/>
      <c r="R1963" s="4"/>
      <c r="S1963" s="4"/>
      <c r="T1963" s="4"/>
      <c r="U1963" s="4"/>
      <c r="V1963" s="4"/>
      <c r="W1963" s="4"/>
      <c r="X1963" s="4"/>
    </row>
    <row r="1964" spans="17:24" x14ac:dyDescent="0.3">
      <c r="Q1964" s="4"/>
      <c r="R1964" s="4"/>
      <c r="S1964" s="4"/>
      <c r="T1964" s="4"/>
      <c r="U1964" s="4"/>
      <c r="V1964" s="4"/>
      <c r="W1964" s="4"/>
      <c r="X1964" s="4"/>
    </row>
    <row r="1965" spans="17:24" x14ac:dyDescent="0.3">
      <c r="Q1965" s="4"/>
      <c r="R1965" s="4"/>
      <c r="S1965" s="4"/>
      <c r="T1965" s="4"/>
      <c r="U1965" s="4"/>
      <c r="V1965" s="4"/>
      <c r="W1965" s="4"/>
      <c r="X1965" s="4"/>
    </row>
    <row r="1966" spans="17:24" x14ac:dyDescent="0.3">
      <c r="Q1966" s="4"/>
      <c r="R1966" s="4"/>
      <c r="S1966" s="4"/>
      <c r="T1966" s="4"/>
      <c r="U1966" s="4"/>
      <c r="V1966" s="4"/>
      <c r="W1966" s="4"/>
      <c r="X1966" s="4"/>
    </row>
    <row r="1967" spans="17:24" x14ac:dyDescent="0.3">
      <c r="Q1967" s="4"/>
      <c r="R1967" s="4"/>
      <c r="S1967" s="4"/>
      <c r="T1967" s="4"/>
      <c r="U1967" s="4"/>
      <c r="V1967" s="4"/>
      <c r="W1967" s="4"/>
      <c r="X1967" s="4"/>
    </row>
    <row r="1968" spans="17:24" x14ac:dyDescent="0.3">
      <c r="Q1968" s="4"/>
      <c r="R1968" s="4"/>
      <c r="S1968" s="4"/>
      <c r="T1968" s="4"/>
      <c r="U1968" s="4"/>
      <c r="V1968" s="4"/>
      <c r="W1968" s="4"/>
      <c r="X1968" s="4"/>
    </row>
    <row r="1969" spans="17:24" x14ac:dyDescent="0.3">
      <c r="Q1969" s="4"/>
      <c r="R1969" s="4"/>
      <c r="S1969" s="4"/>
      <c r="T1969" s="4"/>
      <c r="U1969" s="4"/>
      <c r="V1969" s="4"/>
      <c r="W1969" s="4"/>
      <c r="X1969" s="4"/>
    </row>
    <row r="1970" spans="17:24" x14ac:dyDescent="0.3">
      <c r="Q1970" s="4"/>
      <c r="R1970" s="4"/>
      <c r="S1970" s="4"/>
      <c r="T1970" s="4"/>
      <c r="U1970" s="4"/>
      <c r="V1970" s="4"/>
      <c r="W1970" s="4"/>
      <c r="X1970" s="4"/>
    </row>
    <row r="1971" spans="17:24" x14ac:dyDescent="0.3">
      <c r="Q1971" s="4"/>
      <c r="R1971" s="4"/>
      <c r="S1971" s="4"/>
      <c r="T1971" s="4"/>
      <c r="U1971" s="4"/>
      <c r="V1971" s="4"/>
      <c r="W1971" s="4"/>
      <c r="X1971" s="4"/>
    </row>
    <row r="1972" spans="17:24" x14ac:dyDescent="0.3">
      <c r="Q1972" s="4"/>
      <c r="R1972" s="4"/>
      <c r="S1972" s="4"/>
      <c r="T1972" s="4"/>
      <c r="U1972" s="4"/>
      <c r="V1972" s="4"/>
      <c r="W1972" s="4"/>
      <c r="X1972" s="4"/>
    </row>
    <row r="1973" spans="17:24" x14ac:dyDescent="0.3">
      <c r="Q1973" s="4"/>
      <c r="R1973" s="4"/>
      <c r="S1973" s="4"/>
      <c r="T1973" s="4"/>
      <c r="U1973" s="4"/>
      <c r="V1973" s="4"/>
      <c r="W1973" s="4"/>
      <c r="X1973" s="4"/>
    </row>
    <row r="1974" spans="17:24" x14ac:dyDescent="0.3">
      <c r="Q1974" s="4"/>
      <c r="R1974" s="4"/>
      <c r="S1974" s="4"/>
      <c r="T1974" s="4"/>
      <c r="U1974" s="4"/>
      <c r="V1974" s="4"/>
      <c r="W1974" s="4"/>
      <c r="X1974" s="4"/>
    </row>
    <row r="1975" spans="17:24" x14ac:dyDescent="0.3">
      <c r="Q1975" s="4"/>
      <c r="R1975" s="4"/>
      <c r="S1975" s="4"/>
      <c r="T1975" s="4"/>
      <c r="U1975" s="4"/>
      <c r="V1975" s="4"/>
      <c r="W1975" s="4"/>
      <c r="X1975" s="4"/>
    </row>
    <row r="1976" spans="17:24" x14ac:dyDescent="0.3">
      <c r="Q1976" s="4"/>
      <c r="R1976" s="4"/>
      <c r="S1976" s="4"/>
      <c r="T1976" s="4"/>
      <c r="U1976" s="4"/>
      <c r="V1976" s="4"/>
      <c r="W1976" s="4"/>
      <c r="X1976" s="4"/>
    </row>
    <row r="1977" spans="17:24" x14ac:dyDescent="0.3">
      <c r="Q1977" s="4"/>
      <c r="R1977" s="4"/>
      <c r="S1977" s="4"/>
      <c r="T1977" s="4"/>
      <c r="U1977" s="4"/>
      <c r="V1977" s="4"/>
      <c r="W1977" s="4"/>
      <c r="X1977" s="4"/>
    </row>
    <row r="1978" spans="17:24" x14ac:dyDescent="0.3">
      <c r="Q1978" s="4"/>
      <c r="R1978" s="4"/>
      <c r="S1978" s="4"/>
      <c r="T1978" s="4"/>
      <c r="U1978" s="4"/>
      <c r="V1978" s="4"/>
      <c r="W1978" s="4"/>
      <c r="X1978" s="4"/>
    </row>
    <row r="1979" spans="17:24" x14ac:dyDescent="0.3">
      <c r="Q1979" s="4"/>
      <c r="R1979" s="4"/>
      <c r="S1979" s="4"/>
      <c r="T1979" s="4"/>
      <c r="U1979" s="4"/>
      <c r="V1979" s="4"/>
      <c r="W1979" s="4"/>
      <c r="X1979" s="4"/>
    </row>
    <row r="1980" spans="17:24" x14ac:dyDescent="0.3">
      <c r="Q1980" s="4"/>
      <c r="R1980" s="4"/>
      <c r="S1980" s="4"/>
      <c r="T1980" s="4"/>
      <c r="U1980" s="4"/>
      <c r="V1980" s="4"/>
      <c r="W1980" s="4"/>
      <c r="X1980" s="4"/>
    </row>
    <row r="1981" spans="17:24" x14ac:dyDescent="0.3">
      <c r="Q1981" s="4"/>
      <c r="R1981" s="4"/>
      <c r="S1981" s="4"/>
      <c r="T1981" s="4"/>
      <c r="U1981" s="4"/>
      <c r="V1981" s="4"/>
      <c r="W1981" s="4"/>
      <c r="X1981" s="4"/>
    </row>
    <row r="1982" spans="17:24" x14ac:dyDescent="0.3">
      <c r="Q1982" s="4"/>
      <c r="R1982" s="4"/>
      <c r="S1982" s="4"/>
      <c r="T1982" s="4"/>
      <c r="U1982" s="4"/>
      <c r="V1982" s="4"/>
      <c r="W1982" s="4"/>
      <c r="X1982" s="4"/>
    </row>
    <row r="1983" spans="17:24" x14ac:dyDescent="0.3">
      <c r="Q1983" s="4"/>
      <c r="R1983" s="4"/>
      <c r="S1983" s="4"/>
      <c r="T1983" s="4"/>
      <c r="U1983" s="4"/>
      <c r="V1983" s="4"/>
      <c r="W1983" s="4"/>
      <c r="X1983" s="4"/>
    </row>
    <row r="1984" spans="17:24" x14ac:dyDescent="0.3">
      <c r="Q1984" s="4"/>
      <c r="R1984" s="4"/>
      <c r="S1984" s="4"/>
      <c r="T1984" s="4"/>
      <c r="U1984" s="4"/>
      <c r="V1984" s="4"/>
      <c r="W1984" s="4"/>
      <c r="X1984" s="4"/>
    </row>
    <row r="1985" spans="17:24" x14ac:dyDescent="0.3">
      <c r="Q1985" s="4"/>
      <c r="R1985" s="4"/>
      <c r="S1985" s="4"/>
      <c r="T1985" s="4"/>
      <c r="U1985" s="4"/>
      <c r="V1985" s="4"/>
      <c r="W1985" s="4"/>
      <c r="X1985" s="4"/>
    </row>
    <row r="1986" spans="17:24" x14ac:dyDescent="0.3">
      <c r="Q1986" s="4"/>
      <c r="R1986" s="4"/>
      <c r="S1986" s="4"/>
      <c r="T1986" s="4"/>
      <c r="U1986" s="4"/>
      <c r="V1986" s="4"/>
      <c r="W1986" s="4"/>
      <c r="X1986" s="4"/>
    </row>
    <row r="1987" spans="17:24" x14ac:dyDescent="0.3">
      <c r="Q1987" s="4"/>
      <c r="R1987" s="4"/>
      <c r="S1987" s="4"/>
      <c r="T1987" s="4"/>
      <c r="U1987" s="4"/>
      <c r="V1987" s="4"/>
      <c r="W1987" s="4"/>
      <c r="X1987" s="4"/>
    </row>
    <row r="1988" spans="17:24" x14ac:dyDescent="0.3">
      <c r="Q1988" s="4"/>
      <c r="R1988" s="4"/>
      <c r="S1988" s="4"/>
      <c r="T1988" s="4"/>
      <c r="U1988" s="4"/>
      <c r="V1988" s="4"/>
      <c r="W1988" s="4"/>
      <c r="X1988" s="4"/>
    </row>
    <row r="1989" spans="17:24" x14ac:dyDescent="0.3">
      <c r="Q1989" s="4"/>
      <c r="R1989" s="4"/>
      <c r="S1989" s="4"/>
      <c r="T1989" s="4"/>
      <c r="U1989" s="4"/>
      <c r="V1989" s="4"/>
      <c r="W1989" s="4"/>
      <c r="X1989" s="4"/>
    </row>
    <row r="1990" spans="17:24" x14ac:dyDescent="0.3">
      <c r="Q1990" s="4"/>
      <c r="R1990" s="4"/>
      <c r="S1990" s="4"/>
      <c r="T1990" s="4"/>
      <c r="U1990" s="4"/>
      <c r="V1990" s="4"/>
      <c r="W1990" s="4"/>
      <c r="X1990" s="4"/>
    </row>
    <row r="1991" spans="17:24" x14ac:dyDescent="0.3">
      <c r="Q1991" s="4"/>
      <c r="R1991" s="4"/>
      <c r="S1991" s="4"/>
      <c r="T1991" s="4"/>
      <c r="U1991" s="4"/>
      <c r="V1991" s="4"/>
      <c r="W1991" s="4"/>
      <c r="X1991" s="4"/>
    </row>
    <row r="1992" spans="17:24" x14ac:dyDescent="0.3">
      <c r="Q1992" s="4"/>
      <c r="R1992" s="4"/>
      <c r="S1992" s="4"/>
      <c r="T1992" s="4"/>
      <c r="U1992" s="4"/>
      <c r="V1992" s="4"/>
      <c r="W1992" s="4"/>
      <c r="X1992" s="4"/>
    </row>
    <row r="1993" spans="17:24" x14ac:dyDescent="0.3">
      <c r="Q1993" s="4"/>
      <c r="R1993" s="4"/>
      <c r="S1993" s="4"/>
      <c r="T1993" s="4"/>
      <c r="U1993" s="4"/>
      <c r="V1993" s="4"/>
      <c r="W1993" s="4"/>
      <c r="X1993" s="4"/>
    </row>
    <row r="1994" spans="17:24" x14ac:dyDescent="0.3">
      <c r="Q1994" s="4"/>
      <c r="R1994" s="4"/>
      <c r="S1994" s="4"/>
      <c r="T1994" s="4"/>
      <c r="U1994" s="4"/>
      <c r="V1994" s="4"/>
      <c r="W1994" s="4"/>
      <c r="X1994" s="4"/>
    </row>
    <row r="1995" spans="17:24" x14ac:dyDescent="0.3">
      <c r="Q1995" s="4"/>
      <c r="R1995" s="4"/>
      <c r="S1995" s="4"/>
      <c r="T1995" s="4"/>
      <c r="U1995" s="4"/>
      <c r="V1995" s="4"/>
      <c r="W1995" s="4"/>
      <c r="X1995" s="4"/>
    </row>
    <row r="1996" spans="17:24" x14ac:dyDescent="0.3">
      <c r="Q1996" s="4"/>
      <c r="R1996" s="4"/>
      <c r="S1996" s="4"/>
      <c r="T1996" s="4"/>
      <c r="U1996" s="4"/>
      <c r="V1996" s="4"/>
      <c r="W1996" s="4"/>
      <c r="X1996" s="4"/>
    </row>
    <row r="1997" spans="17:24" x14ac:dyDescent="0.3">
      <c r="Q1997" s="4"/>
      <c r="R1997" s="4"/>
      <c r="S1997" s="4"/>
      <c r="T1997" s="4"/>
      <c r="U1997" s="4"/>
      <c r="V1997" s="4"/>
      <c r="W1997" s="4"/>
      <c r="X1997" s="4"/>
    </row>
    <row r="1998" spans="17:24" x14ac:dyDescent="0.3">
      <c r="Q1998" s="4"/>
      <c r="R1998" s="4"/>
      <c r="S1998" s="4"/>
      <c r="T1998" s="4"/>
      <c r="U1998" s="4"/>
      <c r="V1998" s="4"/>
      <c r="W1998" s="4"/>
      <c r="X1998" s="4"/>
    </row>
    <row r="1999" spans="17:24" x14ac:dyDescent="0.3">
      <c r="Q1999" s="4"/>
      <c r="R1999" s="4"/>
      <c r="S1999" s="4"/>
      <c r="T1999" s="4"/>
      <c r="U1999" s="4"/>
      <c r="V1999" s="4"/>
      <c r="W1999" s="4"/>
      <c r="X1999" s="4"/>
    </row>
    <row r="2000" spans="17:24" x14ac:dyDescent="0.3">
      <c r="Q2000" s="4"/>
      <c r="R2000" s="4"/>
      <c r="S2000" s="4"/>
      <c r="T2000" s="4"/>
      <c r="U2000" s="4"/>
      <c r="V2000" s="4"/>
      <c r="W2000" s="4"/>
      <c r="X2000" s="4"/>
    </row>
    <row r="2001" spans="17:24" x14ac:dyDescent="0.3">
      <c r="Q2001" s="4"/>
      <c r="R2001" s="4"/>
      <c r="S2001" s="4"/>
      <c r="T2001" s="4"/>
      <c r="U2001" s="4"/>
      <c r="V2001" s="4"/>
      <c r="W2001" s="4"/>
      <c r="X2001" s="4"/>
    </row>
    <row r="2002" spans="17:24" x14ac:dyDescent="0.3">
      <c r="Q2002" s="4"/>
      <c r="R2002" s="4"/>
      <c r="S2002" s="4"/>
      <c r="T2002" s="4"/>
      <c r="U2002" s="4"/>
      <c r="V2002" s="4"/>
      <c r="W2002" s="4"/>
      <c r="X2002" s="4"/>
    </row>
    <row r="2003" spans="17:24" x14ac:dyDescent="0.3">
      <c r="Q2003" s="4"/>
      <c r="R2003" s="4"/>
      <c r="S2003" s="4"/>
      <c r="T2003" s="4"/>
      <c r="U2003" s="4"/>
      <c r="V2003" s="4"/>
      <c r="W2003" s="4"/>
      <c r="X2003" s="4"/>
    </row>
    <row r="2004" spans="17:24" x14ac:dyDescent="0.3">
      <c r="Q2004" s="4"/>
      <c r="R2004" s="4"/>
      <c r="S2004" s="4"/>
      <c r="T2004" s="4"/>
      <c r="U2004" s="4"/>
      <c r="V2004" s="4"/>
      <c r="W2004" s="4"/>
      <c r="X2004" s="4"/>
    </row>
    <row r="2005" spans="17:24" x14ac:dyDescent="0.3">
      <c r="Q2005" s="4"/>
      <c r="R2005" s="4"/>
      <c r="S2005" s="4"/>
      <c r="T2005" s="4"/>
      <c r="U2005" s="4"/>
      <c r="V2005" s="4"/>
      <c r="W2005" s="4"/>
      <c r="X2005" s="4"/>
    </row>
    <row r="2006" spans="17:24" x14ac:dyDescent="0.3">
      <c r="Q2006" s="4"/>
      <c r="R2006" s="4"/>
      <c r="S2006" s="4"/>
      <c r="T2006" s="4"/>
      <c r="U2006" s="4"/>
      <c r="V2006" s="4"/>
      <c r="W2006" s="4"/>
      <c r="X2006" s="4"/>
    </row>
    <row r="2007" spans="17:24" x14ac:dyDescent="0.3">
      <c r="Q2007" s="4"/>
      <c r="R2007" s="4"/>
      <c r="S2007" s="4"/>
      <c r="T2007" s="4"/>
      <c r="U2007" s="4"/>
      <c r="V2007" s="4"/>
      <c r="W2007" s="4"/>
      <c r="X2007" s="4"/>
    </row>
    <row r="2008" spans="17:24" x14ac:dyDescent="0.3">
      <c r="Q2008" s="4"/>
      <c r="R2008" s="4"/>
      <c r="S2008" s="4"/>
      <c r="T2008" s="4"/>
      <c r="U2008" s="4"/>
      <c r="V2008" s="4"/>
      <c r="W2008" s="4"/>
      <c r="X2008" s="4"/>
    </row>
    <row r="2009" spans="17:24" x14ac:dyDescent="0.3">
      <c r="Q2009" s="4"/>
      <c r="R2009" s="4"/>
      <c r="S2009" s="4"/>
      <c r="T2009" s="4"/>
      <c r="U2009" s="4"/>
      <c r="V2009" s="4"/>
      <c r="W2009" s="4"/>
      <c r="X2009" s="4"/>
    </row>
    <row r="2010" spans="17:24" x14ac:dyDescent="0.3">
      <c r="Q2010" s="4"/>
      <c r="R2010" s="4"/>
      <c r="S2010" s="4"/>
      <c r="T2010" s="4"/>
      <c r="U2010" s="4"/>
      <c r="V2010" s="4"/>
      <c r="W2010" s="4"/>
      <c r="X2010" s="4"/>
    </row>
    <row r="2011" spans="17:24" x14ac:dyDescent="0.3">
      <c r="Q2011" s="4"/>
      <c r="R2011" s="4"/>
      <c r="S2011" s="4"/>
      <c r="T2011" s="4"/>
      <c r="U2011" s="4"/>
      <c r="V2011" s="4"/>
      <c r="W2011" s="4"/>
      <c r="X2011" s="4"/>
    </row>
    <row r="2012" spans="17:24" x14ac:dyDescent="0.3">
      <c r="Q2012" s="4"/>
      <c r="R2012" s="4"/>
      <c r="S2012" s="4"/>
      <c r="T2012" s="4"/>
      <c r="U2012" s="4"/>
      <c r="V2012" s="4"/>
      <c r="W2012" s="4"/>
      <c r="X2012" s="4"/>
    </row>
    <row r="2013" spans="17:24" x14ac:dyDescent="0.3">
      <c r="Q2013" s="4"/>
      <c r="R2013" s="4"/>
      <c r="S2013" s="4"/>
      <c r="T2013" s="4"/>
      <c r="U2013" s="4"/>
      <c r="V2013" s="4"/>
      <c r="W2013" s="4"/>
      <c r="X2013" s="4"/>
    </row>
    <row r="2014" spans="17:24" x14ac:dyDescent="0.3">
      <c r="Q2014" s="4"/>
      <c r="R2014" s="4"/>
      <c r="S2014" s="4"/>
      <c r="T2014" s="4"/>
      <c r="U2014" s="4"/>
      <c r="V2014" s="4"/>
      <c r="W2014" s="4"/>
      <c r="X2014" s="4"/>
    </row>
    <row r="2015" spans="17:24" x14ac:dyDescent="0.3">
      <c r="Q2015" s="4"/>
      <c r="R2015" s="4"/>
      <c r="S2015" s="4"/>
      <c r="T2015" s="4"/>
      <c r="U2015" s="4"/>
      <c r="V2015" s="4"/>
      <c r="W2015" s="4"/>
      <c r="X2015" s="4"/>
    </row>
    <row r="2016" spans="17:24" x14ac:dyDescent="0.3">
      <c r="Q2016" s="4"/>
      <c r="R2016" s="4"/>
      <c r="S2016" s="4"/>
      <c r="T2016" s="4"/>
      <c r="U2016" s="4"/>
      <c r="V2016" s="4"/>
      <c r="W2016" s="4"/>
      <c r="X2016" s="4"/>
    </row>
    <row r="2017" spans="17:24" x14ac:dyDescent="0.3">
      <c r="Q2017" s="4"/>
      <c r="R2017" s="4"/>
      <c r="S2017" s="4"/>
      <c r="T2017" s="4"/>
      <c r="U2017" s="4"/>
      <c r="V2017" s="4"/>
      <c r="W2017" s="4"/>
      <c r="X2017" s="4"/>
    </row>
    <row r="2018" spans="17:24" x14ac:dyDescent="0.3">
      <c r="Q2018" s="4"/>
      <c r="R2018" s="4"/>
      <c r="S2018" s="4"/>
      <c r="T2018" s="4"/>
      <c r="U2018" s="4"/>
      <c r="V2018" s="4"/>
      <c r="W2018" s="4"/>
      <c r="X2018" s="4"/>
    </row>
    <row r="2019" spans="17:24" x14ac:dyDescent="0.3">
      <c r="Q2019" s="4"/>
      <c r="R2019" s="4"/>
      <c r="S2019" s="4"/>
      <c r="T2019" s="4"/>
      <c r="U2019" s="4"/>
      <c r="V2019" s="4"/>
      <c r="W2019" s="4"/>
      <c r="X2019" s="4"/>
    </row>
    <row r="2020" spans="17:24" x14ac:dyDescent="0.3">
      <c r="Q2020" s="4"/>
      <c r="R2020" s="4"/>
      <c r="S2020" s="4"/>
      <c r="T2020" s="4"/>
      <c r="U2020" s="4"/>
      <c r="V2020" s="4"/>
      <c r="W2020" s="4"/>
      <c r="X2020" s="4"/>
    </row>
    <row r="2021" spans="17:24" x14ac:dyDescent="0.3">
      <c r="Q2021" s="4"/>
      <c r="R2021" s="4"/>
      <c r="S2021" s="4"/>
      <c r="T2021" s="4"/>
      <c r="U2021" s="4"/>
      <c r="V2021" s="4"/>
      <c r="W2021" s="4"/>
      <c r="X2021" s="4"/>
    </row>
    <row r="2022" spans="17:24" x14ac:dyDescent="0.3">
      <c r="Q2022" s="4"/>
      <c r="R2022" s="4"/>
      <c r="S2022" s="4"/>
      <c r="T2022" s="4"/>
      <c r="U2022" s="4"/>
      <c r="V2022" s="4"/>
      <c r="W2022" s="4"/>
      <c r="X2022" s="4"/>
    </row>
    <row r="2023" spans="17:24" x14ac:dyDescent="0.3">
      <c r="Q2023" s="4"/>
      <c r="R2023" s="4"/>
      <c r="S2023" s="4"/>
      <c r="T2023" s="4"/>
      <c r="U2023" s="4"/>
      <c r="V2023" s="4"/>
      <c r="W2023" s="4"/>
      <c r="X2023" s="4"/>
    </row>
    <row r="2024" spans="17:24" x14ac:dyDescent="0.3">
      <c r="Q2024" s="4"/>
      <c r="R2024" s="4"/>
      <c r="S2024" s="4"/>
      <c r="T2024" s="4"/>
      <c r="U2024" s="4"/>
      <c r="V2024" s="4"/>
      <c r="W2024" s="4"/>
      <c r="X2024" s="4"/>
    </row>
    <row r="2025" spans="17:24" x14ac:dyDescent="0.3">
      <c r="Q2025" s="4"/>
      <c r="R2025" s="4"/>
      <c r="S2025" s="4"/>
      <c r="T2025" s="4"/>
      <c r="U2025" s="4"/>
      <c r="V2025" s="4"/>
      <c r="W2025" s="4"/>
      <c r="X2025" s="4"/>
    </row>
    <row r="2026" spans="17:24" x14ac:dyDescent="0.3">
      <c r="Q2026" s="4"/>
      <c r="R2026" s="4"/>
      <c r="S2026" s="4"/>
      <c r="T2026" s="4"/>
      <c r="U2026" s="4"/>
      <c r="V2026" s="4"/>
      <c r="W2026" s="4"/>
      <c r="X2026" s="4"/>
    </row>
    <row r="2027" spans="17:24" x14ac:dyDescent="0.3">
      <c r="Q2027" s="4"/>
      <c r="R2027" s="4"/>
      <c r="S2027" s="4"/>
      <c r="T2027" s="4"/>
      <c r="U2027" s="4"/>
      <c r="V2027" s="4"/>
      <c r="W2027" s="4"/>
      <c r="X2027" s="4"/>
    </row>
    <row r="2028" spans="17:24" x14ac:dyDescent="0.3">
      <c r="Q2028" s="4"/>
      <c r="R2028" s="4"/>
      <c r="S2028" s="4"/>
      <c r="T2028" s="4"/>
      <c r="U2028" s="4"/>
      <c r="V2028" s="4"/>
      <c r="W2028" s="4"/>
      <c r="X2028" s="4"/>
    </row>
    <row r="2029" spans="17:24" x14ac:dyDescent="0.3">
      <c r="Q2029" s="4"/>
      <c r="R2029" s="4"/>
      <c r="S2029" s="4"/>
      <c r="T2029" s="4"/>
      <c r="U2029" s="4"/>
      <c r="V2029" s="4"/>
      <c r="W2029" s="4"/>
      <c r="X2029" s="4"/>
    </row>
    <row r="2030" spans="17:24" x14ac:dyDescent="0.3">
      <c r="Q2030" s="4"/>
      <c r="R2030" s="4"/>
      <c r="S2030" s="4"/>
      <c r="T2030" s="4"/>
      <c r="U2030" s="4"/>
      <c r="V2030" s="4"/>
      <c r="W2030" s="4"/>
      <c r="X2030" s="4"/>
    </row>
    <row r="2031" spans="17:24" x14ac:dyDescent="0.3">
      <c r="Q2031" s="4"/>
      <c r="R2031" s="4"/>
      <c r="S2031" s="4"/>
      <c r="T2031" s="4"/>
      <c r="U2031" s="4"/>
      <c r="V2031" s="4"/>
      <c r="W2031" s="4"/>
      <c r="X2031" s="4"/>
    </row>
    <row r="2032" spans="17:24" x14ac:dyDescent="0.3">
      <c r="Q2032" s="4"/>
      <c r="R2032" s="4"/>
      <c r="S2032" s="4"/>
      <c r="T2032" s="4"/>
      <c r="U2032" s="4"/>
      <c r="V2032" s="4"/>
      <c r="W2032" s="4"/>
      <c r="X2032" s="4"/>
    </row>
    <row r="2033" spans="17:24" x14ac:dyDescent="0.3">
      <c r="Q2033" s="4"/>
      <c r="R2033" s="4"/>
      <c r="S2033" s="4"/>
      <c r="T2033" s="4"/>
      <c r="U2033" s="4"/>
      <c r="V2033" s="4"/>
      <c r="W2033" s="4"/>
      <c r="X2033" s="4"/>
    </row>
    <row r="2034" spans="17:24" x14ac:dyDescent="0.3">
      <c r="Q2034" s="4"/>
      <c r="R2034" s="4"/>
      <c r="S2034" s="4"/>
      <c r="T2034" s="4"/>
      <c r="U2034" s="4"/>
      <c r="V2034" s="4"/>
      <c r="W2034" s="4"/>
      <c r="X2034" s="4"/>
    </row>
    <row r="2035" spans="17:24" x14ac:dyDescent="0.3">
      <c r="Q2035" s="4"/>
      <c r="R2035" s="4"/>
      <c r="S2035" s="4"/>
      <c r="T2035" s="4"/>
      <c r="U2035" s="4"/>
      <c r="V2035" s="4"/>
      <c r="W2035" s="4"/>
      <c r="X2035" s="4"/>
    </row>
    <row r="2036" spans="17:24" x14ac:dyDescent="0.3">
      <c r="Q2036" s="4"/>
      <c r="R2036" s="4"/>
      <c r="S2036" s="4"/>
      <c r="T2036" s="4"/>
      <c r="U2036" s="4"/>
      <c r="V2036" s="4"/>
      <c r="W2036" s="4"/>
      <c r="X2036" s="4"/>
    </row>
    <row r="2037" spans="17:24" x14ac:dyDescent="0.3">
      <c r="Q2037" s="4"/>
      <c r="R2037" s="4"/>
      <c r="S2037" s="4"/>
      <c r="T2037" s="4"/>
      <c r="U2037" s="4"/>
      <c r="V2037" s="4"/>
      <c r="W2037" s="4"/>
      <c r="X2037" s="4"/>
    </row>
    <row r="2038" spans="17:24" x14ac:dyDescent="0.3">
      <c r="Q2038" s="4"/>
      <c r="R2038" s="4"/>
      <c r="S2038" s="4"/>
      <c r="T2038" s="4"/>
      <c r="U2038" s="4"/>
      <c r="V2038" s="4"/>
      <c r="W2038" s="4"/>
      <c r="X2038" s="4"/>
    </row>
    <row r="2039" spans="17:24" x14ac:dyDescent="0.3">
      <c r="Q2039" s="4"/>
      <c r="R2039" s="4"/>
      <c r="S2039" s="4"/>
      <c r="T2039" s="4"/>
      <c r="U2039" s="4"/>
      <c r="V2039" s="4"/>
      <c r="W2039" s="4"/>
      <c r="X2039" s="4"/>
    </row>
    <row r="2040" spans="17:24" x14ac:dyDescent="0.3">
      <c r="Q2040" s="4"/>
      <c r="R2040" s="4"/>
      <c r="S2040" s="4"/>
      <c r="T2040" s="4"/>
      <c r="U2040" s="4"/>
      <c r="V2040" s="4"/>
      <c r="W2040" s="4"/>
      <c r="X2040" s="4"/>
    </row>
    <row r="2041" spans="17:24" x14ac:dyDescent="0.3">
      <c r="Q2041" s="4"/>
      <c r="R2041" s="4"/>
      <c r="S2041" s="4"/>
      <c r="T2041" s="4"/>
      <c r="U2041" s="4"/>
      <c r="V2041" s="4"/>
      <c r="W2041" s="4"/>
      <c r="X2041" s="4"/>
    </row>
    <row r="2042" spans="17:24" x14ac:dyDescent="0.3">
      <c r="Q2042" s="4"/>
      <c r="R2042" s="4"/>
      <c r="S2042" s="4"/>
      <c r="T2042" s="4"/>
      <c r="U2042" s="4"/>
      <c r="V2042" s="4"/>
      <c r="W2042" s="4"/>
      <c r="X2042" s="4"/>
    </row>
    <row r="2043" spans="17:24" x14ac:dyDescent="0.3">
      <c r="Q2043" s="4"/>
      <c r="R2043" s="4"/>
      <c r="S2043" s="4"/>
      <c r="T2043" s="4"/>
      <c r="U2043" s="4"/>
      <c r="V2043" s="4"/>
      <c r="W2043" s="4"/>
      <c r="X2043" s="4"/>
    </row>
    <row r="2044" spans="17:24" x14ac:dyDescent="0.3">
      <c r="Q2044" s="4"/>
      <c r="R2044" s="4"/>
      <c r="S2044" s="4"/>
      <c r="T2044" s="4"/>
      <c r="U2044" s="4"/>
      <c r="V2044" s="4"/>
      <c r="W2044" s="4"/>
      <c r="X2044" s="4"/>
    </row>
    <row r="2045" spans="17:24" x14ac:dyDescent="0.3">
      <c r="Q2045" s="4"/>
      <c r="R2045" s="4"/>
      <c r="S2045" s="4"/>
      <c r="T2045" s="4"/>
      <c r="U2045" s="4"/>
      <c r="V2045" s="4"/>
      <c r="W2045" s="4"/>
      <c r="X2045" s="4"/>
    </row>
    <row r="2046" spans="17:24" x14ac:dyDescent="0.3">
      <c r="Q2046" s="4"/>
      <c r="R2046" s="4"/>
      <c r="S2046" s="4"/>
      <c r="T2046" s="4"/>
      <c r="U2046" s="4"/>
      <c r="V2046" s="4"/>
      <c r="W2046" s="4"/>
      <c r="X2046" s="4"/>
    </row>
    <row r="2047" spans="17:24" x14ac:dyDescent="0.3">
      <c r="Q2047" s="4"/>
      <c r="R2047" s="4"/>
      <c r="S2047" s="4"/>
      <c r="T2047" s="4"/>
      <c r="U2047" s="4"/>
      <c r="V2047" s="4"/>
      <c r="W2047" s="4"/>
      <c r="X2047" s="4"/>
    </row>
    <row r="2048" spans="17:24" x14ac:dyDescent="0.3">
      <c r="Q2048" s="4"/>
      <c r="R2048" s="4"/>
      <c r="S2048" s="4"/>
      <c r="T2048" s="4"/>
      <c r="U2048" s="4"/>
      <c r="V2048" s="4"/>
      <c r="W2048" s="4"/>
      <c r="X2048" s="4"/>
    </row>
    <row r="2049" spans="17:24" x14ac:dyDescent="0.3">
      <c r="Q2049" s="4"/>
      <c r="R2049" s="4"/>
      <c r="S2049" s="4"/>
      <c r="T2049" s="4"/>
      <c r="U2049" s="4"/>
      <c r="V2049" s="4"/>
      <c r="W2049" s="4"/>
      <c r="X2049" s="4"/>
    </row>
    <row r="2050" spans="17:24" x14ac:dyDescent="0.3">
      <c r="Q2050" s="4"/>
      <c r="R2050" s="4"/>
      <c r="S2050" s="4"/>
      <c r="T2050" s="4"/>
      <c r="U2050" s="4"/>
      <c r="V2050" s="4"/>
      <c r="W2050" s="4"/>
      <c r="X2050" s="4"/>
    </row>
    <row r="2051" spans="17:24" x14ac:dyDescent="0.3">
      <c r="Q2051" s="4"/>
      <c r="R2051" s="4"/>
      <c r="S2051" s="4"/>
      <c r="T2051" s="4"/>
      <c r="U2051" s="4"/>
      <c r="V2051" s="4"/>
      <c r="W2051" s="4"/>
      <c r="X2051" s="4"/>
    </row>
    <row r="2052" spans="17:24" x14ac:dyDescent="0.3">
      <c r="Q2052" s="4"/>
      <c r="R2052" s="4"/>
      <c r="S2052" s="4"/>
      <c r="T2052" s="4"/>
      <c r="U2052" s="4"/>
      <c r="V2052" s="4"/>
      <c r="W2052" s="4"/>
      <c r="X2052" s="4"/>
    </row>
    <row r="2053" spans="17:24" x14ac:dyDescent="0.3">
      <c r="Q2053" s="4"/>
      <c r="R2053" s="4"/>
      <c r="S2053" s="4"/>
      <c r="T2053" s="4"/>
      <c r="U2053" s="4"/>
      <c r="V2053" s="4"/>
      <c r="W2053" s="4"/>
      <c r="X2053" s="4"/>
    </row>
    <row r="2054" spans="17:24" x14ac:dyDescent="0.3">
      <c r="Q2054" s="4"/>
      <c r="R2054" s="4"/>
      <c r="S2054" s="4"/>
      <c r="T2054" s="4"/>
      <c r="U2054" s="4"/>
      <c r="V2054" s="4"/>
      <c r="W2054" s="4"/>
      <c r="X2054" s="4"/>
    </row>
    <row r="2055" spans="17:24" x14ac:dyDescent="0.3">
      <c r="Q2055" s="4"/>
      <c r="R2055" s="4"/>
      <c r="S2055" s="4"/>
      <c r="T2055" s="4"/>
      <c r="U2055" s="4"/>
      <c r="V2055" s="4"/>
      <c r="W2055" s="4"/>
      <c r="X2055" s="4"/>
    </row>
    <row r="2056" spans="17:24" x14ac:dyDescent="0.3">
      <c r="Q2056" s="4"/>
      <c r="R2056" s="4"/>
      <c r="S2056" s="4"/>
      <c r="T2056" s="4"/>
      <c r="U2056" s="4"/>
      <c r="V2056" s="4"/>
      <c r="W2056" s="4"/>
      <c r="X2056" s="4"/>
    </row>
    <row r="2057" spans="17:24" x14ac:dyDescent="0.3">
      <c r="Q2057" s="4"/>
      <c r="R2057" s="4"/>
      <c r="S2057" s="4"/>
      <c r="T2057" s="4"/>
      <c r="U2057" s="4"/>
      <c r="V2057" s="4"/>
      <c r="W2057" s="4"/>
      <c r="X2057" s="4"/>
    </row>
    <row r="2058" spans="17:24" x14ac:dyDescent="0.3">
      <c r="Q2058" s="4"/>
      <c r="R2058" s="4"/>
      <c r="S2058" s="4"/>
      <c r="T2058" s="4"/>
      <c r="U2058" s="4"/>
      <c r="V2058" s="4"/>
      <c r="W2058" s="4"/>
      <c r="X2058" s="4"/>
    </row>
    <row r="2059" spans="17:24" x14ac:dyDescent="0.3">
      <c r="Q2059" s="4"/>
      <c r="R2059" s="4"/>
      <c r="S2059" s="4"/>
      <c r="T2059" s="4"/>
      <c r="U2059" s="4"/>
      <c r="V2059" s="4"/>
      <c r="W2059" s="4"/>
      <c r="X2059" s="4"/>
    </row>
    <row r="2060" spans="17:24" x14ac:dyDescent="0.3">
      <c r="Q2060" s="4"/>
      <c r="R2060" s="4"/>
      <c r="S2060" s="4"/>
      <c r="T2060" s="4"/>
      <c r="U2060" s="4"/>
      <c r="V2060" s="4"/>
      <c r="W2060" s="4"/>
      <c r="X2060" s="4"/>
    </row>
    <row r="2061" spans="17:24" x14ac:dyDescent="0.3">
      <c r="Q2061" s="4"/>
      <c r="R2061" s="4"/>
      <c r="S2061" s="4"/>
      <c r="T2061" s="4"/>
      <c r="U2061" s="4"/>
      <c r="V2061" s="4"/>
      <c r="W2061" s="4"/>
      <c r="X2061" s="4"/>
    </row>
    <row r="2062" spans="17:24" x14ac:dyDescent="0.3">
      <c r="Q2062" s="4"/>
      <c r="R2062" s="4"/>
      <c r="S2062" s="4"/>
      <c r="T2062" s="4"/>
      <c r="U2062" s="4"/>
      <c r="V2062" s="4"/>
      <c r="W2062" s="4"/>
      <c r="X2062" s="4"/>
    </row>
    <row r="2063" spans="17:24" x14ac:dyDescent="0.3">
      <c r="Q2063" s="4"/>
      <c r="R2063" s="4"/>
      <c r="S2063" s="4"/>
      <c r="T2063" s="4"/>
      <c r="U2063" s="4"/>
      <c r="V2063" s="4"/>
      <c r="W2063" s="4"/>
      <c r="X2063" s="4"/>
    </row>
    <row r="2064" spans="17:24" x14ac:dyDescent="0.3">
      <c r="Q2064" s="4"/>
      <c r="R2064" s="4"/>
      <c r="S2064" s="4"/>
      <c r="T2064" s="4"/>
      <c r="U2064" s="4"/>
      <c r="V2064" s="4"/>
      <c r="W2064" s="4"/>
      <c r="X2064" s="4"/>
    </row>
    <row r="2065" spans="17:24" x14ac:dyDescent="0.3">
      <c r="Q2065" s="4"/>
      <c r="R2065" s="4"/>
      <c r="S2065" s="4"/>
      <c r="T2065" s="4"/>
      <c r="U2065" s="4"/>
      <c r="V2065" s="4"/>
      <c r="W2065" s="4"/>
      <c r="X2065" s="4"/>
    </row>
    <row r="2066" spans="17:24" x14ac:dyDescent="0.3">
      <c r="Q2066" s="4"/>
      <c r="R2066" s="4"/>
      <c r="S2066" s="4"/>
      <c r="T2066" s="4"/>
      <c r="U2066" s="4"/>
      <c r="V2066" s="4"/>
      <c r="W2066" s="4"/>
      <c r="X2066" s="4"/>
    </row>
    <row r="2067" spans="17:24" x14ac:dyDescent="0.3">
      <c r="Q2067" s="4"/>
      <c r="R2067" s="4"/>
      <c r="S2067" s="4"/>
      <c r="T2067" s="4"/>
      <c r="U2067" s="4"/>
      <c r="V2067" s="4"/>
      <c r="W2067" s="4"/>
      <c r="X2067" s="4"/>
    </row>
    <row r="2068" spans="17:24" x14ac:dyDescent="0.3">
      <c r="Q2068" s="4"/>
      <c r="R2068" s="4"/>
      <c r="S2068" s="4"/>
      <c r="T2068" s="4"/>
      <c r="U2068" s="4"/>
      <c r="V2068" s="4"/>
      <c r="W2068" s="4"/>
      <c r="X2068" s="4"/>
    </row>
    <row r="2069" spans="17:24" x14ac:dyDescent="0.3">
      <c r="Q2069" s="4"/>
      <c r="R2069" s="4"/>
      <c r="S2069" s="4"/>
      <c r="T2069" s="4"/>
      <c r="U2069" s="4"/>
      <c r="V2069" s="4"/>
      <c r="W2069" s="4"/>
      <c r="X2069" s="4"/>
    </row>
    <row r="2070" spans="17:24" x14ac:dyDescent="0.3">
      <c r="Q2070" s="4"/>
      <c r="R2070" s="4"/>
      <c r="S2070" s="4"/>
      <c r="T2070" s="4"/>
      <c r="U2070" s="4"/>
      <c r="V2070" s="4"/>
      <c r="W2070" s="4"/>
      <c r="X2070" s="4"/>
    </row>
    <row r="2071" spans="17:24" x14ac:dyDescent="0.3">
      <c r="Q2071" s="4"/>
      <c r="R2071" s="4"/>
      <c r="S2071" s="4"/>
      <c r="T2071" s="4"/>
      <c r="U2071" s="4"/>
      <c r="V2071" s="4"/>
      <c r="W2071" s="4"/>
      <c r="X2071" s="4"/>
    </row>
    <row r="2072" spans="17:24" x14ac:dyDescent="0.3">
      <c r="Q2072" s="4"/>
      <c r="R2072" s="4"/>
      <c r="S2072" s="4"/>
      <c r="T2072" s="4"/>
      <c r="U2072" s="4"/>
      <c r="V2072" s="4"/>
      <c r="W2072" s="4"/>
      <c r="X2072" s="4"/>
    </row>
    <row r="2073" spans="17:24" x14ac:dyDescent="0.3">
      <c r="Q2073" s="4"/>
      <c r="R2073" s="4"/>
      <c r="S2073" s="4"/>
      <c r="T2073" s="4"/>
      <c r="U2073" s="4"/>
      <c r="V2073" s="4"/>
      <c r="W2073" s="4"/>
      <c r="X2073" s="4"/>
    </row>
    <row r="2074" spans="17:24" x14ac:dyDescent="0.3">
      <c r="Q2074" s="4"/>
      <c r="R2074" s="4"/>
      <c r="S2074" s="4"/>
      <c r="T2074" s="4"/>
      <c r="U2074" s="4"/>
      <c r="V2074" s="4"/>
      <c r="W2074" s="4"/>
      <c r="X2074" s="4"/>
    </row>
    <row r="2075" spans="17:24" x14ac:dyDescent="0.3">
      <c r="Q2075" s="4"/>
      <c r="R2075" s="4"/>
      <c r="S2075" s="4"/>
      <c r="T2075" s="4"/>
      <c r="U2075" s="4"/>
      <c r="V2075" s="4"/>
      <c r="W2075" s="4"/>
      <c r="X2075" s="4"/>
    </row>
    <row r="2076" spans="17:24" x14ac:dyDescent="0.3">
      <c r="Q2076" s="4"/>
      <c r="R2076" s="4"/>
      <c r="S2076" s="4"/>
      <c r="T2076" s="4"/>
      <c r="U2076" s="4"/>
      <c r="V2076" s="4"/>
      <c r="W2076" s="4"/>
      <c r="X2076" s="4"/>
    </row>
    <row r="2077" spans="17:24" x14ac:dyDescent="0.3">
      <c r="Q2077" s="4"/>
      <c r="R2077" s="4"/>
      <c r="S2077" s="4"/>
      <c r="T2077" s="4"/>
      <c r="U2077" s="4"/>
      <c r="V2077" s="4"/>
      <c r="W2077" s="4"/>
      <c r="X2077" s="4"/>
    </row>
    <row r="2078" spans="17:24" x14ac:dyDescent="0.3">
      <c r="Q2078" s="4"/>
      <c r="R2078" s="4"/>
      <c r="S2078" s="4"/>
      <c r="T2078" s="4"/>
      <c r="U2078" s="4"/>
      <c r="V2078" s="4"/>
      <c r="W2078" s="4"/>
      <c r="X2078" s="4"/>
    </row>
    <row r="2079" spans="17:24" x14ac:dyDescent="0.3">
      <c r="Q2079" s="4"/>
      <c r="R2079" s="4"/>
      <c r="S2079" s="4"/>
      <c r="T2079" s="4"/>
      <c r="U2079" s="4"/>
      <c r="V2079" s="4"/>
      <c r="W2079" s="4"/>
      <c r="X2079" s="4"/>
    </row>
    <row r="2080" spans="17:24" x14ac:dyDescent="0.3">
      <c r="Q2080" s="4"/>
      <c r="R2080" s="4"/>
      <c r="S2080" s="4"/>
      <c r="T2080" s="4"/>
      <c r="U2080" s="4"/>
      <c r="V2080" s="4"/>
      <c r="W2080" s="4"/>
      <c r="X2080" s="4"/>
    </row>
    <row r="2081" spans="17:24" x14ac:dyDescent="0.3">
      <c r="Q2081" s="4"/>
      <c r="R2081" s="4"/>
      <c r="S2081" s="4"/>
      <c r="T2081" s="4"/>
      <c r="U2081" s="4"/>
      <c r="V2081" s="4"/>
      <c r="W2081" s="4"/>
      <c r="X2081" s="4"/>
    </row>
    <row r="2082" spans="17:24" x14ac:dyDescent="0.3">
      <c r="Q2082" s="4"/>
      <c r="R2082" s="4"/>
      <c r="S2082" s="4"/>
      <c r="T2082" s="4"/>
      <c r="U2082" s="4"/>
      <c r="V2082" s="4"/>
      <c r="W2082" s="4"/>
      <c r="X2082" s="4"/>
    </row>
    <row r="2083" spans="17:24" x14ac:dyDescent="0.3">
      <c r="Q2083" s="4"/>
      <c r="R2083" s="4"/>
      <c r="S2083" s="4"/>
      <c r="T2083" s="4"/>
      <c r="U2083" s="4"/>
      <c r="V2083" s="4"/>
      <c r="W2083" s="4"/>
      <c r="X2083" s="4"/>
    </row>
    <row r="2084" spans="17:24" x14ac:dyDescent="0.3">
      <c r="Q2084" s="4"/>
      <c r="R2084" s="4"/>
      <c r="S2084" s="4"/>
      <c r="T2084" s="4"/>
      <c r="U2084" s="4"/>
      <c r="V2084" s="4"/>
      <c r="W2084" s="4"/>
      <c r="X2084" s="4"/>
    </row>
    <row r="2085" spans="17:24" x14ac:dyDescent="0.3">
      <c r="Q2085" s="4"/>
      <c r="R2085" s="4"/>
      <c r="S2085" s="4"/>
      <c r="T2085" s="4"/>
      <c r="U2085" s="4"/>
      <c r="V2085" s="4"/>
      <c r="W2085" s="4"/>
      <c r="X2085" s="4"/>
    </row>
    <row r="2086" spans="17:24" x14ac:dyDescent="0.3">
      <c r="Q2086" s="4"/>
      <c r="R2086" s="4"/>
      <c r="S2086" s="4"/>
      <c r="T2086" s="4"/>
      <c r="U2086" s="4"/>
      <c r="V2086" s="4"/>
      <c r="W2086" s="4"/>
      <c r="X2086" s="4"/>
    </row>
    <row r="2087" spans="17:24" x14ac:dyDescent="0.3">
      <c r="Q2087" s="4"/>
      <c r="R2087" s="4"/>
      <c r="S2087" s="4"/>
      <c r="T2087" s="4"/>
      <c r="U2087" s="4"/>
      <c r="V2087" s="4"/>
      <c r="W2087" s="4"/>
      <c r="X2087" s="4"/>
    </row>
    <row r="2088" spans="17:24" x14ac:dyDescent="0.3">
      <c r="Q2088" s="4"/>
      <c r="R2088" s="4"/>
      <c r="S2088" s="4"/>
      <c r="T2088" s="4"/>
      <c r="U2088" s="4"/>
      <c r="V2088" s="4"/>
      <c r="W2088" s="4"/>
      <c r="X2088" s="4"/>
    </row>
    <row r="2089" spans="17:24" x14ac:dyDescent="0.3">
      <c r="Q2089" s="4"/>
      <c r="R2089" s="4"/>
      <c r="S2089" s="4"/>
      <c r="T2089" s="4"/>
      <c r="U2089" s="4"/>
      <c r="V2089" s="4"/>
      <c r="W2089" s="4"/>
      <c r="X2089" s="4"/>
    </row>
    <row r="2090" spans="17:24" x14ac:dyDescent="0.3">
      <c r="Q2090" s="4"/>
      <c r="R2090" s="4"/>
      <c r="S2090" s="4"/>
      <c r="T2090" s="4"/>
      <c r="U2090" s="4"/>
      <c r="V2090" s="4"/>
      <c r="W2090" s="4"/>
      <c r="X2090" s="4"/>
    </row>
    <row r="2091" spans="17:24" x14ac:dyDescent="0.3">
      <c r="Q2091" s="4"/>
      <c r="R2091" s="4"/>
      <c r="S2091" s="4"/>
      <c r="T2091" s="4"/>
      <c r="U2091" s="4"/>
      <c r="V2091" s="4"/>
      <c r="W2091" s="4"/>
      <c r="X2091" s="4"/>
    </row>
    <row r="2092" spans="17:24" x14ac:dyDescent="0.3">
      <c r="Q2092" s="4"/>
      <c r="R2092" s="4"/>
      <c r="S2092" s="4"/>
      <c r="T2092" s="4"/>
      <c r="U2092" s="4"/>
      <c r="V2092" s="4"/>
      <c r="W2092" s="4"/>
      <c r="X2092" s="4"/>
    </row>
    <row r="2093" spans="17:24" x14ac:dyDescent="0.3">
      <c r="Q2093" s="4"/>
      <c r="R2093" s="4"/>
      <c r="S2093" s="4"/>
      <c r="T2093" s="4"/>
      <c r="U2093" s="4"/>
      <c r="V2093" s="4"/>
      <c r="W2093" s="4"/>
      <c r="X2093" s="4"/>
    </row>
    <row r="2094" spans="17:24" x14ac:dyDescent="0.3">
      <c r="Q2094" s="4"/>
      <c r="R2094" s="4"/>
      <c r="S2094" s="4"/>
      <c r="T2094" s="4"/>
      <c r="U2094" s="4"/>
      <c r="V2094" s="4"/>
      <c r="W2094" s="4"/>
      <c r="X2094" s="4"/>
    </row>
    <row r="2095" spans="17:24" x14ac:dyDescent="0.3">
      <c r="Q2095" s="4"/>
      <c r="R2095" s="4"/>
      <c r="S2095" s="4"/>
      <c r="T2095" s="4"/>
      <c r="U2095" s="4"/>
      <c r="V2095" s="4"/>
      <c r="W2095" s="4"/>
      <c r="X2095" s="4"/>
    </row>
    <row r="2096" spans="17:24" x14ac:dyDescent="0.3">
      <c r="Q2096" s="4"/>
      <c r="R2096" s="4"/>
      <c r="S2096" s="4"/>
      <c r="T2096" s="4"/>
      <c r="U2096" s="4"/>
      <c r="V2096" s="4"/>
      <c r="W2096" s="4"/>
      <c r="X2096" s="4"/>
    </row>
    <row r="2097" spans="17:24" x14ac:dyDescent="0.3">
      <c r="Q2097" s="4"/>
      <c r="R2097" s="4"/>
      <c r="S2097" s="4"/>
      <c r="T2097" s="4"/>
      <c r="U2097" s="4"/>
      <c r="V2097" s="4"/>
      <c r="W2097" s="4"/>
      <c r="X2097" s="4"/>
    </row>
    <row r="2098" spans="17:24" x14ac:dyDescent="0.3">
      <c r="Q2098" s="4"/>
      <c r="R2098" s="4"/>
      <c r="S2098" s="4"/>
      <c r="T2098" s="4"/>
      <c r="U2098" s="4"/>
      <c r="V2098" s="4"/>
      <c r="W2098" s="4"/>
      <c r="X2098" s="4"/>
    </row>
    <row r="2099" spans="17:24" x14ac:dyDescent="0.3">
      <c r="Q2099" s="4"/>
      <c r="R2099" s="4"/>
      <c r="S2099" s="4"/>
      <c r="T2099" s="4"/>
      <c r="U2099" s="4"/>
      <c r="V2099" s="4"/>
      <c r="W2099" s="4"/>
      <c r="X2099" s="4"/>
    </row>
    <row r="2100" spans="17:24" x14ac:dyDescent="0.3">
      <c r="Q2100" s="4"/>
      <c r="R2100" s="4"/>
      <c r="S2100" s="4"/>
      <c r="T2100" s="4"/>
      <c r="U2100" s="4"/>
      <c r="V2100" s="4"/>
      <c r="W2100" s="4"/>
      <c r="X2100" s="4"/>
    </row>
    <row r="2101" spans="17:24" x14ac:dyDescent="0.3">
      <c r="Q2101" s="4"/>
      <c r="R2101" s="4"/>
      <c r="S2101" s="4"/>
      <c r="T2101" s="4"/>
      <c r="U2101" s="4"/>
      <c r="V2101" s="4"/>
      <c r="W2101" s="4"/>
      <c r="X2101" s="4"/>
    </row>
    <row r="2102" spans="17:24" x14ac:dyDescent="0.3">
      <c r="Q2102" s="4"/>
      <c r="R2102" s="4"/>
      <c r="S2102" s="4"/>
      <c r="T2102" s="4"/>
      <c r="U2102" s="4"/>
      <c r="V2102" s="4"/>
      <c r="W2102" s="4"/>
      <c r="X2102" s="4"/>
    </row>
    <row r="2103" spans="17:24" x14ac:dyDescent="0.3">
      <c r="Q2103" s="4"/>
      <c r="R2103" s="4"/>
      <c r="S2103" s="4"/>
      <c r="T2103" s="4"/>
      <c r="U2103" s="4"/>
      <c r="V2103" s="4"/>
      <c r="W2103" s="4"/>
      <c r="X2103" s="4"/>
    </row>
    <row r="2104" spans="17:24" x14ac:dyDescent="0.3">
      <c r="Q2104" s="4"/>
      <c r="R2104" s="4"/>
      <c r="S2104" s="4"/>
      <c r="T2104" s="4"/>
      <c r="U2104" s="4"/>
      <c r="V2104" s="4"/>
      <c r="W2104" s="4"/>
      <c r="X2104" s="4"/>
    </row>
    <row r="2105" spans="17:24" x14ac:dyDescent="0.3">
      <c r="Q2105" s="4"/>
      <c r="R2105" s="4"/>
      <c r="S2105" s="4"/>
      <c r="T2105" s="4"/>
      <c r="U2105" s="4"/>
      <c r="V2105" s="4"/>
      <c r="W2105" s="4"/>
      <c r="X2105" s="4"/>
    </row>
    <row r="2106" spans="17:24" x14ac:dyDescent="0.3">
      <c r="Q2106" s="4"/>
      <c r="R2106" s="4"/>
      <c r="S2106" s="4"/>
      <c r="T2106" s="4"/>
      <c r="U2106" s="4"/>
      <c r="V2106" s="4"/>
      <c r="W2106" s="4"/>
      <c r="X2106" s="4"/>
    </row>
    <row r="2107" spans="17:24" x14ac:dyDescent="0.3">
      <c r="Q2107" s="4"/>
      <c r="R2107" s="4"/>
      <c r="S2107" s="4"/>
      <c r="T2107" s="4"/>
      <c r="U2107" s="4"/>
      <c r="V2107" s="4"/>
      <c r="W2107" s="4"/>
      <c r="X2107" s="4"/>
    </row>
    <row r="2108" spans="17:24" x14ac:dyDescent="0.3">
      <c r="Q2108" s="4"/>
      <c r="R2108" s="4"/>
      <c r="S2108" s="4"/>
      <c r="T2108" s="4"/>
      <c r="U2108" s="4"/>
      <c r="V2108" s="4"/>
      <c r="W2108" s="4"/>
      <c r="X2108" s="4"/>
    </row>
    <row r="2109" spans="17:24" x14ac:dyDescent="0.3">
      <c r="Q2109" s="4"/>
      <c r="R2109" s="4"/>
      <c r="S2109" s="4"/>
      <c r="T2109" s="4"/>
      <c r="U2109" s="4"/>
      <c r="V2109" s="4"/>
      <c r="W2109" s="4"/>
      <c r="X2109" s="4"/>
    </row>
    <row r="2110" spans="17:24" x14ac:dyDescent="0.3">
      <c r="Q2110" s="4"/>
      <c r="R2110" s="4"/>
      <c r="S2110" s="4"/>
      <c r="T2110" s="4"/>
      <c r="U2110" s="4"/>
      <c r="V2110" s="4"/>
      <c r="W2110" s="4"/>
      <c r="X2110" s="4"/>
    </row>
    <row r="2111" spans="17:24" x14ac:dyDescent="0.3">
      <c r="Q2111" s="4"/>
      <c r="R2111" s="4"/>
      <c r="S2111" s="4"/>
      <c r="T2111" s="4"/>
      <c r="U2111" s="4"/>
      <c r="V2111" s="4"/>
      <c r="W2111" s="4"/>
      <c r="X2111" s="4"/>
    </row>
    <row r="2112" spans="17:24" x14ac:dyDescent="0.3">
      <c r="Q2112" s="4"/>
      <c r="R2112" s="4"/>
      <c r="S2112" s="4"/>
      <c r="T2112" s="4"/>
      <c r="U2112" s="4"/>
      <c r="V2112" s="4"/>
      <c r="W2112" s="4"/>
      <c r="X2112" s="4"/>
    </row>
    <row r="2113" spans="17:24" x14ac:dyDescent="0.3">
      <c r="Q2113" s="4"/>
      <c r="R2113" s="4"/>
      <c r="S2113" s="4"/>
      <c r="T2113" s="4"/>
      <c r="U2113" s="4"/>
      <c r="V2113" s="4"/>
      <c r="W2113" s="4"/>
      <c r="X2113" s="4"/>
    </row>
    <row r="2114" spans="17:24" x14ac:dyDescent="0.3">
      <c r="Q2114" s="4"/>
      <c r="R2114" s="4"/>
      <c r="S2114" s="4"/>
      <c r="T2114" s="4"/>
      <c r="U2114" s="4"/>
      <c r="V2114" s="4"/>
      <c r="W2114" s="4"/>
      <c r="X2114" s="4"/>
    </row>
    <row r="2115" spans="17:24" x14ac:dyDescent="0.3">
      <c r="Q2115" s="4"/>
      <c r="R2115" s="4"/>
      <c r="S2115" s="4"/>
      <c r="T2115" s="4"/>
      <c r="U2115" s="4"/>
      <c r="V2115" s="4"/>
      <c r="W2115" s="4"/>
      <c r="X2115" s="4"/>
    </row>
    <row r="2116" spans="17:24" x14ac:dyDescent="0.3">
      <c r="Q2116" s="4"/>
      <c r="R2116" s="4"/>
      <c r="S2116" s="4"/>
      <c r="T2116" s="4"/>
      <c r="U2116" s="4"/>
      <c r="V2116" s="4"/>
      <c r="W2116" s="4"/>
      <c r="X2116" s="4"/>
    </row>
    <row r="2117" spans="17:24" x14ac:dyDescent="0.3">
      <c r="Q2117" s="4"/>
      <c r="R2117" s="4"/>
      <c r="S2117" s="4"/>
      <c r="T2117" s="4"/>
      <c r="U2117" s="4"/>
      <c r="V2117" s="4"/>
      <c r="W2117" s="4"/>
      <c r="X2117" s="4"/>
    </row>
    <row r="2118" spans="17:24" x14ac:dyDescent="0.3">
      <c r="Q2118" s="4"/>
      <c r="R2118" s="4"/>
      <c r="S2118" s="4"/>
      <c r="T2118" s="4"/>
      <c r="U2118" s="4"/>
      <c r="V2118" s="4"/>
      <c r="W2118" s="4"/>
      <c r="X2118" s="4"/>
    </row>
    <row r="2119" spans="17:24" x14ac:dyDescent="0.3">
      <c r="Q2119" s="4"/>
      <c r="R2119" s="4"/>
      <c r="S2119" s="4"/>
      <c r="T2119" s="4"/>
      <c r="U2119" s="4"/>
      <c r="V2119" s="4"/>
      <c r="W2119" s="4"/>
      <c r="X2119" s="4"/>
    </row>
    <row r="2120" spans="17:24" x14ac:dyDescent="0.3">
      <c r="Q2120" s="4"/>
      <c r="R2120" s="4"/>
      <c r="S2120" s="4"/>
      <c r="T2120" s="4"/>
      <c r="U2120" s="4"/>
      <c r="V2120" s="4"/>
      <c r="W2120" s="4"/>
      <c r="X2120" s="4"/>
    </row>
    <row r="2121" spans="17:24" x14ac:dyDescent="0.3">
      <c r="Q2121" s="4"/>
      <c r="R2121" s="4"/>
      <c r="S2121" s="4"/>
      <c r="T2121" s="4"/>
      <c r="U2121" s="4"/>
      <c r="V2121" s="4"/>
      <c r="W2121" s="4"/>
      <c r="X2121" s="4"/>
    </row>
    <row r="2122" spans="17:24" x14ac:dyDescent="0.3">
      <c r="Q2122" s="4"/>
      <c r="R2122" s="4"/>
      <c r="S2122" s="4"/>
      <c r="T2122" s="4"/>
      <c r="U2122" s="4"/>
      <c r="V2122" s="4"/>
      <c r="W2122" s="4"/>
      <c r="X2122" s="4"/>
    </row>
    <row r="2123" spans="17:24" x14ac:dyDescent="0.3">
      <c r="Q2123" s="4"/>
      <c r="R2123" s="4"/>
      <c r="S2123" s="4"/>
      <c r="T2123" s="4"/>
      <c r="U2123" s="4"/>
      <c r="V2123" s="4"/>
      <c r="W2123" s="4"/>
      <c r="X2123" s="4"/>
    </row>
    <row r="2124" spans="17:24" x14ac:dyDescent="0.3">
      <c r="Q2124" s="4"/>
      <c r="R2124" s="4"/>
      <c r="S2124" s="4"/>
      <c r="T2124" s="4"/>
      <c r="U2124" s="4"/>
      <c r="V2124" s="4"/>
      <c r="W2124" s="4"/>
      <c r="X2124" s="4"/>
    </row>
    <row r="2125" spans="17:24" x14ac:dyDescent="0.3">
      <c r="Q2125" s="4"/>
      <c r="R2125" s="4"/>
      <c r="S2125" s="4"/>
      <c r="T2125" s="4"/>
      <c r="U2125" s="4"/>
      <c r="V2125" s="4"/>
      <c r="W2125" s="4"/>
      <c r="X2125" s="4"/>
    </row>
    <row r="2126" spans="17:24" x14ac:dyDescent="0.3">
      <c r="Q2126" s="4"/>
      <c r="R2126" s="4"/>
      <c r="S2126" s="4"/>
      <c r="T2126" s="4"/>
      <c r="U2126" s="4"/>
      <c r="V2126" s="4"/>
      <c r="W2126" s="4"/>
      <c r="X2126" s="4"/>
    </row>
    <row r="2127" spans="17:24" x14ac:dyDescent="0.3">
      <c r="Q2127" s="4"/>
      <c r="R2127" s="4"/>
      <c r="S2127" s="4"/>
      <c r="T2127" s="4"/>
      <c r="U2127" s="4"/>
      <c r="V2127" s="4"/>
      <c r="W2127" s="4"/>
      <c r="X2127" s="4"/>
    </row>
    <row r="2128" spans="17:24" x14ac:dyDescent="0.3">
      <c r="Q2128" s="4"/>
      <c r="R2128" s="4"/>
      <c r="S2128" s="4"/>
      <c r="T2128" s="4"/>
      <c r="U2128" s="4"/>
      <c r="V2128" s="4"/>
      <c r="W2128" s="4"/>
      <c r="X2128" s="4"/>
    </row>
    <row r="2129" spans="17:24" x14ac:dyDescent="0.3">
      <c r="Q2129" s="4"/>
      <c r="R2129" s="4"/>
      <c r="S2129" s="4"/>
      <c r="T2129" s="4"/>
      <c r="U2129" s="4"/>
      <c r="V2129" s="4"/>
      <c r="W2129" s="4"/>
      <c r="X2129" s="4"/>
    </row>
    <row r="2130" spans="17:24" x14ac:dyDescent="0.3">
      <c r="Q2130" s="4"/>
      <c r="R2130" s="4"/>
      <c r="S2130" s="4"/>
      <c r="T2130" s="4"/>
      <c r="U2130" s="4"/>
      <c r="V2130" s="4"/>
      <c r="W2130" s="4"/>
      <c r="X2130" s="4"/>
    </row>
    <row r="2131" spans="17:24" x14ac:dyDescent="0.3">
      <c r="Q2131" s="4"/>
      <c r="R2131" s="4"/>
      <c r="S2131" s="4"/>
      <c r="T2131" s="4"/>
      <c r="U2131" s="4"/>
      <c r="V2131" s="4"/>
      <c r="W2131" s="4"/>
      <c r="X2131" s="4"/>
    </row>
    <row r="2132" spans="17:24" x14ac:dyDescent="0.3">
      <c r="Q2132" s="4"/>
      <c r="R2132" s="4"/>
      <c r="S2132" s="4"/>
      <c r="T2132" s="4"/>
      <c r="U2132" s="4"/>
      <c r="V2132" s="4"/>
      <c r="W2132" s="4"/>
      <c r="X2132" s="4"/>
    </row>
    <row r="2133" spans="17:24" x14ac:dyDescent="0.3">
      <c r="Q2133" s="4"/>
      <c r="R2133" s="4"/>
      <c r="S2133" s="4"/>
      <c r="T2133" s="4"/>
      <c r="U2133" s="4"/>
      <c r="V2133" s="4"/>
      <c r="W2133" s="4"/>
      <c r="X2133" s="4"/>
    </row>
    <row r="2134" spans="17:24" x14ac:dyDescent="0.3">
      <c r="Q2134" s="4"/>
      <c r="R2134" s="4"/>
      <c r="S2134" s="4"/>
      <c r="T2134" s="4"/>
      <c r="U2134" s="4"/>
      <c r="V2134" s="4"/>
      <c r="W2134" s="4"/>
      <c r="X2134" s="4"/>
    </row>
    <row r="2135" spans="17:24" x14ac:dyDescent="0.3">
      <c r="Q2135" s="4"/>
      <c r="R2135" s="4"/>
      <c r="S2135" s="4"/>
      <c r="T2135" s="4"/>
      <c r="U2135" s="4"/>
      <c r="V2135" s="4"/>
      <c r="W2135" s="4"/>
      <c r="X2135" s="4"/>
    </row>
    <row r="2136" spans="17:24" x14ac:dyDescent="0.3">
      <c r="Q2136" s="4"/>
      <c r="R2136" s="4"/>
      <c r="S2136" s="4"/>
      <c r="T2136" s="4"/>
      <c r="U2136" s="4"/>
      <c r="V2136" s="4"/>
      <c r="W2136" s="4"/>
      <c r="X2136" s="4"/>
    </row>
    <row r="2137" spans="17:24" x14ac:dyDescent="0.3">
      <c r="Q2137" s="4"/>
      <c r="R2137" s="4"/>
      <c r="S2137" s="4"/>
      <c r="T2137" s="4"/>
      <c r="U2137" s="4"/>
      <c r="V2137" s="4"/>
      <c r="W2137" s="4"/>
      <c r="X2137" s="4"/>
    </row>
    <row r="2138" spans="17:24" x14ac:dyDescent="0.3">
      <c r="Q2138" s="4"/>
      <c r="R2138" s="4"/>
      <c r="S2138" s="4"/>
      <c r="T2138" s="4"/>
      <c r="U2138" s="4"/>
      <c r="V2138" s="4"/>
      <c r="W2138" s="4"/>
      <c r="X2138" s="4"/>
    </row>
    <row r="2139" spans="17:24" x14ac:dyDescent="0.3">
      <c r="Q2139" s="4"/>
      <c r="R2139" s="4"/>
      <c r="S2139" s="4"/>
      <c r="T2139" s="4"/>
      <c r="U2139" s="4"/>
      <c r="V2139" s="4"/>
      <c r="W2139" s="4"/>
      <c r="X2139" s="4"/>
    </row>
    <row r="2140" spans="17:24" x14ac:dyDescent="0.3">
      <c r="Q2140" s="4"/>
      <c r="R2140" s="4"/>
      <c r="S2140" s="4"/>
      <c r="T2140" s="4"/>
      <c r="U2140" s="4"/>
      <c r="V2140" s="4"/>
      <c r="W2140" s="4"/>
      <c r="X2140" s="4"/>
    </row>
    <row r="2141" spans="17:24" x14ac:dyDescent="0.3">
      <c r="Q2141" s="4"/>
      <c r="R2141" s="4"/>
      <c r="S2141" s="4"/>
      <c r="T2141" s="4"/>
      <c r="U2141" s="4"/>
      <c r="V2141" s="4"/>
      <c r="W2141" s="4"/>
      <c r="X2141" s="4"/>
    </row>
    <row r="2142" spans="17:24" x14ac:dyDescent="0.3">
      <c r="Q2142" s="4"/>
      <c r="R2142" s="4"/>
      <c r="S2142" s="4"/>
      <c r="T2142" s="4"/>
      <c r="U2142" s="4"/>
      <c r="V2142" s="4"/>
      <c r="W2142" s="4"/>
      <c r="X2142" s="4"/>
    </row>
    <row r="2143" spans="17:24" x14ac:dyDescent="0.3">
      <c r="Q2143" s="4"/>
      <c r="R2143" s="4"/>
      <c r="S2143" s="4"/>
      <c r="T2143" s="4"/>
      <c r="U2143" s="4"/>
      <c r="V2143" s="4"/>
      <c r="W2143" s="4"/>
      <c r="X2143" s="4"/>
    </row>
    <row r="2144" spans="17:24" x14ac:dyDescent="0.3">
      <c r="Q2144" s="4"/>
      <c r="R2144" s="4"/>
      <c r="S2144" s="4"/>
      <c r="T2144" s="4"/>
      <c r="U2144" s="4"/>
      <c r="V2144" s="4"/>
      <c r="W2144" s="4"/>
      <c r="X2144" s="4"/>
    </row>
    <row r="2145" spans="17:24" x14ac:dyDescent="0.3">
      <c r="Q2145" s="4"/>
      <c r="R2145" s="4"/>
      <c r="S2145" s="4"/>
      <c r="T2145" s="4"/>
      <c r="U2145" s="4"/>
      <c r="V2145" s="4"/>
      <c r="W2145" s="4"/>
      <c r="X2145" s="4"/>
    </row>
    <row r="2146" spans="17:24" x14ac:dyDescent="0.3">
      <c r="Q2146" s="4"/>
      <c r="R2146" s="4"/>
      <c r="S2146" s="4"/>
      <c r="T2146" s="4"/>
      <c r="U2146" s="4"/>
      <c r="V2146" s="4"/>
      <c r="W2146" s="4"/>
      <c r="X2146" s="4"/>
    </row>
    <row r="2147" spans="17:24" x14ac:dyDescent="0.3">
      <c r="Q2147" s="4"/>
      <c r="R2147" s="4"/>
      <c r="S2147" s="4"/>
      <c r="T2147" s="4"/>
      <c r="U2147" s="4"/>
      <c r="V2147" s="4"/>
      <c r="W2147" s="4"/>
      <c r="X2147" s="4"/>
    </row>
    <row r="2148" spans="17:24" x14ac:dyDescent="0.3">
      <c r="Q2148" s="4"/>
      <c r="R2148" s="4"/>
      <c r="S2148" s="4"/>
      <c r="T2148" s="4"/>
      <c r="U2148" s="4"/>
      <c r="V2148" s="4"/>
      <c r="W2148" s="4"/>
      <c r="X2148" s="4"/>
    </row>
    <row r="2149" spans="17:24" x14ac:dyDescent="0.3">
      <c r="Q2149" s="4"/>
      <c r="R2149" s="4"/>
      <c r="S2149" s="4"/>
      <c r="T2149" s="4"/>
      <c r="U2149" s="4"/>
      <c r="V2149" s="4"/>
      <c r="W2149" s="4"/>
      <c r="X2149" s="4"/>
    </row>
    <row r="2150" spans="17:24" x14ac:dyDescent="0.3">
      <c r="Q2150" s="4"/>
      <c r="R2150" s="4"/>
      <c r="S2150" s="4"/>
      <c r="T2150" s="4"/>
      <c r="U2150" s="4"/>
      <c r="V2150" s="4"/>
      <c r="W2150" s="4"/>
      <c r="X2150" s="4"/>
    </row>
    <row r="2151" spans="17:24" x14ac:dyDescent="0.3">
      <c r="Q2151" s="4"/>
      <c r="R2151" s="4"/>
      <c r="S2151" s="4"/>
      <c r="T2151" s="4"/>
      <c r="U2151" s="4"/>
      <c r="V2151" s="4"/>
      <c r="W2151" s="4"/>
      <c r="X2151" s="4"/>
    </row>
    <row r="2152" spans="17:24" x14ac:dyDescent="0.3">
      <c r="Q2152" s="4"/>
      <c r="R2152" s="4"/>
      <c r="S2152" s="4"/>
      <c r="T2152" s="4"/>
      <c r="U2152" s="4"/>
      <c r="V2152" s="4"/>
      <c r="W2152" s="4"/>
      <c r="X2152" s="4"/>
    </row>
    <row r="2153" spans="17:24" x14ac:dyDescent="0.3">
      <c r="Q2153" s="4"/>
      <c r="R2153" s="4"/>
      <c r="S2153" s="4"/>
      <c r="T2153" s="4"/>
      <c r="U2153" s="4"/>
      <c r="V2153" s="4"/>
      <c r="W2153" s="4"/>
      <c r="X2153" s="4"/>
    </row>
    <row r="2154" spans="17:24" x14ac:dyDescent="0.3">
      <c r="Q2154" s="4"/>
      <c r="R2154" s="4"/>
      <c r="S2154" s="4"/>
      <c r="T2154" s="4"/>
      <c r="U2154" s="4"/>
      <c r="V2154" s="4"/>
      <c r="W2154" s="4"/>
      <c r="X2154" s="4"/>
    </row>
    <row r="2155" spans="17:24" x14ac:dyDescent="0.3">
      <c r="Q2155" s="4"/>
      <c r="R2155" s="4"/>
      <c r="S2155" s="4"/>
      <c r="T2155" s="4"/>
      <c r="U2155" s="4"/>
      <c r="V2155" s="4"/>
      <c r="W2155" s="4"/>
      <c r="X2155" s="4"/>
    </row>
    <row r="2156" spans="17:24" x14ac:dyDescent="0.3">
      <c r="Q2156" s="4"/>
      <c r="R2156" s="4"/>
      <c r="S2156" s="4"/>
      <c r="T2156" s="4"/>
      <c r="U2156" s="4"/>
      <c r="V2156" s="4"/>
      <c r="W2156" s="4"/>
      <c r="X2156" s="4"/>
    </row>
    <row r="2157" spans="17:24" x14ac:dyDescent="0.3">
      <c r="Q2157" s="4"/>
      <c r="R2157" s="4"/>
      <c r="S2157" s="4"/>
      <c r="T2157" s="4"/>
      <c r="U2157" s="4"/>
      <c r="V2157" s="4"/>
      <c r="W2157" s="4"/>
      <c r="X2157" s="4"/>
    </row>
    <row r="2158" spans="17:24" x14ac:dyDescent="0.3">
      <c r="Q2158" s="4"/>
      <c r="R2158" s="4"/>
      <c r="S2158" s="4"/>
      <c r="T2158" s="4"/>
      <c r="U2158" s="4"/>
      <c r="V2158" s="4"/>
      <c r="W2158" s="4"/>
      <c r="X2158" s="4"/>
    </row>
    <row r="2159" spans="17:24" x14ac:dyDescent="0.3">
      <c r="Q2159" s="4"/>
      <c r="R2159" s="4"/>
      <c r="S2159" s="4"/>
      <c r="T2159" s="4"/>
      <c r="U2159" s="4"/>
      <c r="V2159" s="4"/>
      <c r="W2159" s="4"/>
      <c r="X2159" s="4"/>
    </row>
    <row r="2160" spans="17:24" x14ac:dyDescent="0.3">
      <c r="Q2160" s="4"/>
      <c r="R2160" s="4"/>
      <c r="S2160" s="4"/>
      <c r="T2160" s="4"/>
      <c r="U2160" s="4"/>
      <c r="V2160" s="4"/>
      <c r="W2160" s="4"/>
      <c r="X2160" s="4"/>
    </row>
    <row r="2161" spans="17:24" x14ac:dyDescent="0.3">
      <c r="Q2161" s="4"/>
      <c r="R2161" s="4"/>
      <c r="S2161" s="4"/>
      <c r="T2161" s="4"/>
      <c r="U2161" s="4"/>
      <c r="V2161" s="4"/>
      <c r="W2161" s="4"/>
      <c r="X2161" s="4"/>
    </row>
    <row r="2162" spans="17:24" x14ac:dyDescent="0.3">
      <c r="Q2162" s="4"/>
      <c r="R2162" s="4"/>
      <c r="S2162" s="4"/>
      <c r="T2162" s="4"/>
      <c r="U2162" s="4"/>
      <c r="V2162" s="4"/>
      <c r="W2162" s="4"/>
      <c r="X2162" s="4"/>
    </row>
    <row r="2163" spans="17:24" x14ac:dyDescent="0.3">
      <c r="Q2163" s="4"/>
      <c r="R2163" s="4"/>
      <c r="S2163" s="4"/>
      <c r="T2163" s="4"/>
      <c r="U2163" s="4"/>
      <c r="V2163" s="4"/>
      <c r="W2163" s="4"/>
      <c r="X2163" s="4"/>
    </row>
    <row r="2164" spans="17:24" x14ac:dyDescent="0.3">
      <c r="Q2164" s="4"/>
      <c r="R2164" s="4"/>
      <c r="S2164" s="4"/>
      <c r="T2164" s="4"/>
      <c r="U2164" s="4"/>
      <c r="V2164" s="4"/>
      <c r="W2164" s="4"/>
      <c r="X2164" s="4"/>
    </row>
    <row r="2165" spans="17:24" x14ac:dyDescent="0.3">
      <c r="Q2165" s="4"/>
      <c r="R2165" s="4"/>
      <c r="S2165" s="4"/>
      <c r="T2165" s="4"/>
      <c r="U2165" s="4"/>
      <c r="V2165" s="4"/>
      <c r="W2165" s="4"/>
      <c r="X2165" s="4"/>
    </row>
    <row r="2166" spans="17:24" x14ac:dyDescent="0.3">
      <c r="Q2166" s="4"/>
      <c r="R2166" s="4"/>
      <c r="S2166" s="4"/>
      <c r="T2166" s="4"/>
      <c r="U2166" s="4"/>
      <c r="V2166" s="4"/>
      <c r="W2166" s="4"/>
      <c r="X2166" s="4"/>
    </row>
    <row r="2167" spans="17:24" x14ac:dyDescent="0.3">
      <c r="Q2167" s="4"/>
      <c r="R2167" s="4"/>
      <c r="S2167" s="4"/>
      <c r="T2167" s="4"/>
      <c r="U2167" s="4"/>
      <c r="V2167" s="4"/>
      <c r="W2167" s="4"/>
      <c r="X2167" s="4"/>
    </row>
    <row r="2168" spans="17:24" x14ac:dyDescent="0.3">
      <c r="Q2168" s="4"/>
      <c r="R2168" s="4"/>
      <c r="S2168" s="4"/>
      <c r="T2168" s="4"/>
      <c r="U2168" s="4"/>
      <c r="V2168" s="4"/>
      <c r="W2168" s="4"/>
      <c r="X2168" s="4"/>
    </row>
    <row r="2169" spans="17:24" x14ac:dyDescent="0.3">
      <c r="Q2169" s="4"/>
      <c r="R2169" s="4"/>
      <c r="S2169" s="4"/>
      <c r="T2169" s="4"/>
      <c r="U2169" s="4"/>
      <c r="V2169" s="4"/>
      <c r="W2169" s="4"/>
      <c r="X2169" s="4"/>
    </row>
    <row r="2170" spans="17:24" x14ac:dyDescent="0.3">
      <c r="Q2170" s="4"/>
      <c r="R2170" s="4"/>
      <c r="S2170" s="4"/>
      <c r="T2170" s="4"/>
      <c r="U2170" s="4"/>
      <c r="V2170" s="4"/>
      <c r="W2170" s="4"/>
      <c r="X2170" s="4"/>
    </row>
    <row r="2171" spans="17:24" x14ac:dyDescent="0.3">
      <c r="Q2171" s="4"/>
      <c r="R2171" s="4"/>
      <c r="S2171" s="4"/>
      <c r="T2171" s="4"/>
      <c r="U2171" s="4"/>
      <c r="V2171" s="4"/>
      <c r="W2171" s="4"/>
      <c r="X2171" s="4"/>
    </row>
    <row r="2172" spans="17:24" x14ac:dyDescent="0.3">
      <c r="Q2172" s="4"/>
      <c r="R2172" s="4"/>
      <c r="S2172" s="4"/>
      <c r="T2172" s="4"/>
      <c r="U2172" s="4"/>
      <c r="V2172" s="4"/>
      <c r="W2172" s="4"/>
      <c r="X2172" s="4"/>
    </row>
    <row r="2173" spans="17:24" x14ac:dyDescent="0.3">
      <c r="Q2173" s="4"/>
      <c r="R2173" s="4"/>
      <c r="S2173" s="4"/>
      <c r="T2173" s="4"/>
      <c r="U2173" s="4"/>
      <c r="V2173" s="4"/>
      <c r="W2173" s="4"/>
      <c r="X2173" s="4"/>
    </row>
    <row r="2174" spans="17:24" x14ac:dyDescent="0.3">
      <c r="Q2174" s="4"/>
      <c r="R2174" s="4"/>
      <c r="S2174" s="4"/>
      <c r="T2174" s="4"/>
      <c r="U2174" s="4"/>
      <c r="V2174" s="4"/>
      <c r="W2174" s="4"/>
      <c r="X2174" s="4"/>
    </row>
    <row r="2175" spans="17:24" x14ac:dyDescent="0.3">
      <c r="Q2175" s="4"/>
      <c r="R2175" s="4"/>
      <c r="S2175" s="4"/>
      <c r="T2175" s="4"/>
      <c r="U2175" s="4"/>
      <c r="V2175" s="4"/>
      <c r="W2175" s="4"/>
      <c r="X2175" s="4"/>
    </row>
    <row r="2176" spans="17:24" x14ac:dyDescent="0.3">
      <c r="Q2176" s="4"/>
      <c r="R2176" s="4"/>
      <c r="S2176" s="4"/>
      <c r="T2176" s="4"/>
      <c r="U2176" s="4"/>
      <c r="V2176" s="4"/>
      <c r="W2176" s="4"/>
      <c r="X2176" s="4"/>
    </row>
    <row r="2177" spans="17:24" x14ac:dyDescent="0.3">
      <c r="Q2177" s="4"/>
      <c r="R2177" s="4"/>
      <c r="S2177" s="4"/>
      <c r="T2177" s="4"/>
      <c r="U2177" s="4"/>
      <c r="V2177" s="4"/>
      <c r="W2177" s="4"/>
      <c r="X2177" s="4"/>
    </row>
    <row r="2178" spans="17:24" x14ac:dyDescent="0.3">
      <c r="Q2178" s="4"/>
      <c r="R2178" s="4"/>
      <c r="S2178" s="4"/>
      <c r="T2178" s="4"/>
      <c r="U2178" s="4"/>
      <c r="V2178" s="4"/>
      <c r="W2178" s="4"/>
      <c r="X2178" s="4"/>
    </row>
    <row r="2179" spans="17:24" x14ac:dyDescent="0.3">
      <c r="Q2179" s="4"/>
      <c r="R2179" s="4"/>
      <c r="S2179" s="4"/>
      <c r="T2179" s="4"/>
      <c r="U2179" s="4"/>
      <c r="V2179" s="4"/>
      <c r="W2179" s="4"/>
      <c r="X2179" s="4"/>
    </row>
    <row r="2180" spans="17:24" x14ac:dyDescent="0.3">
      <c r="Q2180" s="4"/>
      <c r="R2180" s="4"/>
      <c r="S2180" s="4"/>
      <c r="T2180" s="4"/>
      <c r="U2180" s="4"/>
      <c r="V2180" s="4"/>
      <c r="W2180" s="4"/>
      <c r="X2180" s="4"/>
    </row>
    <row r="2181" spans="17:24" x14ac:dyDescent="0.3">
      <c r="Q2181" s="4"/>
      <c r="R2181" s="4"/>
      <c r="S2181" s="4"/>
      <c r="T2181" s="4"/>
      <c r="U2181" s="4"/>
      <c r="V2181" s="4"/>
      <c r="W2181" s="4"/>
      <c r="X2181" s="4"/>
    </row>
    <row r="2182" spans="17:24" x14ac:dyDescent="0.3">
      <c r="Q2182" s="4"/>
      <c r="R2182" s="4"/>
      <c r="S2182" s="4"/>
      <c r="T2182" s="4"/>
      <c r="U2182" s="4"/>
      <c r="V2182" s="4"/>
      <c r="W2182" s="4"/>
      <c r="X2182" s="4"/>
    </row>
    <row r="2183" spans="17:24" x14ac:dyDescent="0.3">
      <c r="Q2183" s="4"/>
      <c r="R2183" s="4"/>
      <c r="S2183" s="4"/>
      <c r="T2183" s="4"/>
      <c r="U2183" s="4"/>
      <c r="V2183" s="4"/>
      <c r="W2183" s="4"/>
      <c r="X2183" s="4"/>
    </row>
    <row r="2184" spans="17:24" x14ac:dyDescent="0.3">
      <c r="Q2184" s="4"/>
      <c r="R2184" s="4"/>
      <c r="S2184" s="4"/>
      <c r="T2184" s="4"/>
      <c r="U2184" s="4"/>
      <c r="V2184" s="4"/>
      <c r="W2184" s="4"/>
      <c r="X2184" s="4"/>
    </row>
    <row r="2185" spans="17:24" x14ac:dyDescent="0.3">
      <c r="Q2185" s="4"/>
      <c r="R2185" s="4"/>
      <c r="S2185" s="4"/>
      <c r="T2185" s="4"/>
      <c r="U2185" s="4"/>
      <c r="V2185" s="4"/>
      <c r="W2185" s="4"/>
      <c r="X2185" s="4"/>
    </row>
    <row r="2186" spans="17:24" x14ac:dyDescent="0.3">
      <c r="Q2186" s="4"/>
      <c r="R2186" s="4"/>
      <c r="S2186" s="4"/>
      <c r="T2186" s="4"/>
      <c r="U2186" s="4"/>
      <c r="V2186" s="4"/>
      <c r="W2186" s="4"/>
      <c r="X2186" s="4"/>
    </row>
    <row r="2187" spans="17:24" x14ac:dyDescent="0.3">
      <c r="Q2187" s="4"/>
      <c r="R2187" s="4"/>
      <c r="S2187" s="4"/>
      <c r="T2187" s="4"/>
      <c r="U2187" s="4"/>
      <c r="V2187" s="4"/>
      <c r="W2187" s="4"/>
      <c r="X2187" s="4"/>
    </row>
    <row r="2188" spans="17:24" x14ac:dyDescent="0.3">
      <c r="Q2188" s="4"/>
      <c r="R2188" s="4"/>
      <c r="S2188" s="4"/>
      <c r="T2188" s="4"/>
      <c r="U2188" s="4"/>
      <c r="V2188" s="4"/>
      <c r="W2188" s="4"/>
      <c r="X2188" s="4"/>
    </row>
    <row r="2189" spans="17:24" x14ac:dyDescent="0.3">
      <c r="Q2189" s="4"/>
      <c r="R2189" s="4"/>
      <c r="S2189" s="4"/>
      <c r="T2189" s="4"/>
      <c r="U2189" s="4"/>
      <c r="V2189" s="4"/>
      <c r="W2189" s="4"/>
      <c r="X2189" s="4"/>
    </row>
    <row r="2190" spans="17:24" x14ac:dyDescent="0.3">
      <c r="Q2190" s="4"/>
      <c r="R2190" s="4"/>
      <c r="S2190" s="4"/>
      <c r="T2190" s="4"/>
      <c r="U2190" s="4"/>
      <c r="V2190" s="4"/>
      <c r="W2190" s="4"/>
      <c r="X2190" s="4"/>
    </row>
    <row r="2191" spans="17:24" x14ac:dyDescent="0.3">
      <c r="Q2191" s="4"/>
      <c r="R2191" s="4"/>
      <c r="S2191" s="4"/>
      <c r="T2191" s="4"/>
      <c r="U2191" s="4"/>
      <c r="V2191" s="4"/>
      <c r="W2191" s="4"/>
      <c r="X2191" s="4"/>
    </row>
    <row r="2192" spans="17:24" x14ac:dyDescent="0.3">
      <c r="Q2192" s="4"/>
      <c r="R2192" s="4"/>
      <c r="S2192" s="4"/>
      <c r="T2192" s="4"/>
      <c r="U2192" s="4"/>
      <c r="V2192" s="4"/>
      <c r="W2192" s="4"/>
      <c r="X2192" s="4"/>
    </row>
    <row r="2193" spans="17:24" x14ac:dyDescent="0.3">
      <c r="Q2193" s="4"/>
      <c r="R2193" s="4"/>
      <c r="S2193" s="4"/>
      <c r="T2193" s="4"/>
      <c r="U2193" s="4"/>
      <c r="V2193" s="4"/>
      <c r="W2193" s="4"/>
      <c r="X2193" s="4"/>
    </row>
    <row r="2194" spans="17:24" x14ac:dyDescent="0.3">
      <c r="Q2194" s="4"/>
      <c r="R2194" s="4"/>
      <c r="S2194" s="4"/>
      <c r="T2194" s="4"/>
      <c r="U2194" s="4"/>
      <c r="V2194" s="4"/>
      <c r="W2194" s="4"/>
      <c r="X2194" s="4"/>
    </row>
    <row r="2195" spans="17:24" x14ac:dyDescent="0.3">
      <c r="Q2195" s="4"/>
      <c r="R2195" s="4"/>
      <c r="S2195" s="4"/>
      <c r="T2195" s="4"/>
      <c r="U2195" s="4"/>
      <c r="V2195" s="4"/>
      <c r="W2195" s="4"/>
      <c r="X2195" s="4"/>
    </row>
    <row r="2196" spans="17:24" x14ac:dyDescent="0.3">
      <c r="Q2196" s="4"/>
      <c r="R2196" s="4"/>
      <c r="S2196" s="4"/>
      <c r="T2196" s="4"/>
      <c r="U2196" s="4"/>
      <c r="V2196" s="4"/>
      <c r="W2196" s="4"/>
      <c r="X2196" s="4"/>
    </row>
    <row r="2197" spans="17:24" x14ac:dyDescent="0.3">
      <c r="Q2197" s="4"/>
      <c r="R2197" s="4"/>
      <c r="S2197" s="4"/>
      <c r="T2197" s="4"/>
      <c r="U2197" s="4"/>
      <c r="V2197" s="4"/>
      <c r="W2197" s="4"/>
      <c r="X2197" s="4"/>
    </row>
    <row r="2198" spans="17:24" x14ac:dyDescent="0.3">
      <c r="Q2198" s="4"/>
      <c r="R2198" s="4"/>
      <c r="S2198" s="4"/>
      <c r="T2198" s="4"/>
      <c r="U2198" s="4"/>
      <c r="V2198" s="4"/>
      <c r="W2198" s="4"/>
      <c r="X2198" s="4"/>
    </row>
    <row r="2199" spans="17:24" x14ac:dyDescent="0.3">
      <c r="Q2199" s="4"/>
      <c r="R2199" s="4"/>
      <c r="S2199" s="4"/>
      <c r="T2199" s="4"/>
      <c r="U2199" s="4"/>
      <c r="V2199" s="4"/>
      <c r="W2199" s="4"/>
      <c r="X2199" s="4"/>
    </row>
    <row r="2200" spans="17:24" x14ac:dyDescent="0.3">
      <c r="Q2200" s="4"/>
      <c r="R2200" s="4"/>
      <c r="S2200" s="4"/>
      <c r="T2200" s="4"/>
      <c r="U2200" s="4"/>
      <c r="V2200" s="4"/>
      <c r="W2200" s="4"/>
      <c r="X2200" s="4"/>
    </row>
    <row r="2201" spans="17:24" x14ac:dyDescent="0.3">
      <c r="Q2201" s="4"/>
      <c r="R2201" s="4"/>
      <c r="S2201" s="4"/>
      <c r="T2201" s="4"/>
      <c r="U2201" s="4"/>
      <c r="V2201" s="4"/>
      <c r="W2201" s="4"/>
      <c r="X2201" s="4"/>
    </row>
    <row r="2202" spans="17:24" x14ac:dyDescent="0.3">
      <c r="Q2202" s="4"/>
      <c r="R2202" s="4"/>
      <c r="S2202" s="4"/>
      <c r="T2202" s="4"/>
      <c r="U2202" s="4"/>
      <c r="V2202" s="4"/>
      <c r="W2202" s="4"/>
      <c r="X2202" s="4"/>
    </row>
    <row r="2203" spans="17:24" x14ac:dyDescent="0.3">
      <c r="Q2203" s="4"/>
      <c r="R2203" s="4"/>
      <c r="S2203" s="4"/>
      <c r="T2203" s="4"/>
      <c r="U2203" s="4"/>
      <c r="V2203" s="4"/>
      <c r="W2203" s="4"/>
      <c r="X2203" s="4"/>
    </row>
    <row r="2204" spans="17:24" x14ac:dyDescent="0.3">
      <c r="Q2204" s="4"/>
      <c r="R2204" s="4"/>
      <c r="S2204" s="4"/>
      <c r="T2204" s="4"/>
      <c r="U2204" s="4"/>
      <c r="V2204" s="4"/>
      <c r="W2204" s="4"/>
      <c r="X2204" s="4"/>
    </row>
    <row r="2205" spans="17:24" x14ac:dyDescent="0.3">
      <c r="Q2205" s="4"/>
      <c r="R2205" s="4"/>
      <c r="S2205" s="4"/>
      <c r="T2205" s="4"/>
      <c r="U2205" s="4"/>
      <c r="V2205" s="4"/>
      <c r="W2205" s="4"/>
      <c r="X2205" s="4"/>
    </row>
    <row r="2206" spans="17:24" x14ac:dyDescent="0.3">
      <c r="Q2206" s="4"/>
      <c r="R2206" s="4"/>
      <c r="S2206" s="4"/>
      <c r="T2206" s="4"/>
      <c r="U2206" s="4"/>
      <c r="V2206" s="4"/>
      <c r="W2206" s="4"/>
      <c r="X2206" s="4"/>
    </row>
    <row r="2207" spans="17:24" x14ac:dyDescent="0.3">
      <c r="Q2207" s="4"/>
      <c r="R2207" s="4"/>
      <c r="S2207" s="4"/>
      <c r="T2207" s="4"/>
      <c r="U2207" s="4"/>
      <c r="V2207" s="4"/>
      <c r="W2207" s="4"/>
      <c r="X2207" s="4"/>
    </row>
    <row r="2208" spans="17:24" x14ac:dyDescent="0.3">
      <c r="Q2208" s="4"/>
      <c r="R2208" s="4"/>
      <c r="S2208" s="4"/>
      <c r="T2208" s="4"/>
      <c r="U2208" s="4"/>
      <c r="V2208" s="4"/>
      <c r="W2208" s="4"/>
      <c r="X2208" s="4"/>
    </row>
    <row r="2209" spans="17:24" x14ac:dyDescent="0.3">
      <c r="Q2209" s="4"/>
      <c r="R2209" s="4"/>
      <c r="S2209" s="4"/>
      <c r="T2209" s="4"/>
      <c r="U2209" s="4"/>
      <c r="V2209" s="4"/>
      <c r="W2209" s="4"/>
      <c r="X2209" s="4"/>
    </row>
    <row r="2210" spans="17:24" x14ac:dyDescent="0.3">
      <c r="Q2210" s="4"/>
      <c r="R2210" s="4"/>
      <c r="S2210" s="4"/>
      <c r="T2210" s="4"/>
      <c r="U2210" s="4"/>
      <c r="V2210" s="4"/>
      <c r="W2210" s="4"/>
      <c r="X2210" s="4"/>
    </row>
    <row r="2211" spans="17:24" x14ac:dyDescent="0.3">
      <c r="Q2211" s="4"/>
      <c r="R2211" s="4"/>
      <c r="S2211" s="4"/>
      <c r="T2211" s="4"/>
      <c r="U2211" s="4"/>
      <c r="V2211" s="4"/>
      <c r="W2211" s="4"/>
      <c r="X2211" s="4"/>
    </row>
    <row r="2212" spans="17:24" x14ac:dyDescent="0.3">
      <c r="Q2212" s="4"/>
      <c r="R2212" s="4"/>
      <c r="S2212" s="4"/>
      <c r="T2212" s="4"/>
      <c r="U2212" s="4"/>
      <c r="V2212" s="4"/>
      <c r="W2212" s="4"/>
      <c r="X2212" s="4"/>
    </row>
    <row r="2213" spans="17:24" x14ac:dyDescent="0.3">
      <c r="Q2213" s="4"/>
      <c r="R2213" s="4"/>
      <c r="S2213" s="4"/>
      <c r="T2213" s="4"/>
      <c r="U2213" s="4"/>
      <c r="V2213" s="4"/>
      <c r="W2213" s="4"/>
      <c r="X2213" s="4"/>
    </row>
    <row r="2214" spans="17:24" x14ac:dyDescent="0.3">
      <c r="Q2214" s="4"/>
      <c r="R2214" s="4"/>
      <c r="S2214" s="4"/>
      <c r="T2214" s="4"/>
      <c r="U2214" s="4"/>
      <c r="V2214" s="4"/>
      <c r="W2214" s="4"/>
      <c r="X2214" s="4"/>
    </row>
    <row r="2215" spans="17:24" x14ac:dyDescent="0.3">
      <c r="Q2215" s="4"/>
      <c r="R2215" s="4"/>
      <c r="S2215" s="4"/>
      <c r="T2215" s="4"/>
      <c r="U2215" s="4"/>
      <c r="V2215" s="4"/>
      <c r="W2215" s="4"/>
      <c r="X2215" s="4"/>
    </row>
    <row r="2216" spans="17:24" x14ac:dyDescent="0.3">
      <c r="Q2216" s="4"/>
      <c r="R2216" s="4"/>
      <c r="S2216" s="4"/>
      <c r="T2216" s="4"/>
      <c r="U2216" s="4"/>
      <c r="V2216" s="4"/>
      <c r="W2216" s="4"/>
      <c r="X2216" s="4"/>
    </row>
    <row r="2217" spans="17:24" x14ac:dyDescent="0.3">
      <c r="Q2217" s="4"/>
      <c r="R2217" s="4"/>
      <c r="S2217" s="4"/>
      <c r="T2217" s="4"/>
      <c r="U2217" s="4"/>
      <c r="V2217" s="4"/>
      <c r="W2217" s="4"/>
      <c r="X2217" s="4"/>
    </row>
    <row r="2218" spans="17:24" x14ac:dyDescent="0.3">
      <c r="Q2218" s="4"/>
      <c r="R2218" s="4"/>
      <c r="S2218" s="4"/>
      <c r="T2218" s="4"/>
      <c r="U2218" s="4"/>
      <c r="V2218" s="4"/>
      <c r="W2218" s="4"/>
      <c r="X2218" s="4"/>
    </row>
    <row r="2219" spans="17:24" x14ac:dyDescent="0.3">
      <c r="Q2219" s="4"/>
      <c r="R2219" s="4"/>
      <c r="S2219" s="4"/>
      <c r="T2219" s="4"/>
      <c r="U2219" s="4"/>
      <c r="V2219" s="4"/>
      <c r="W2219" s="4"/>
      <c r="X2219" s="4"/>
    </row>
    <row r="2220" spans="17:24" x14ac:dyDescent="0.3">
      <c r="Q2220" s="4"/>
      <c r="R2220" s="4"/>
      <c r="S2220" s="4"/>
      <c r="T2220" s="4"/>
      <c r="U2220" s="4"/>
      <c r="V2220" s="4"/>
      <c r="W2220" s="4"/>
      <c r="X2220" s="4"/>
    </row>
    <row r="2221" spans="17:24" x14ac:dyDescent="0.3">
      <c r="Q2221" s="4"/>
      <c r="R2221" s="4"/>
      <c r="S2221" s="4"/>
      <c r="T2221" s="4"/>
      <c r="U2221" s="4"/>
      <c r="V2221" s="4"/>
      <c r="W2221" s="4"/>
      <c r="X2221" s="4"/>
    </row>
    <row r="2222" spans="17:24" x14ac:dyDescent="0.3">
      <c r="Q2222" s="4"/>
      <c r="R2222" s="4"/>
      <c r="S2222" s="4"/>
      <c r="T2222" s="4"/>
      <c r="U2222" s="4"/>
      <c r="V2222" s="4"/>
      <c r="W2222" s="4"/>
      <c r="X2222" s="4"/>
    </row>
    <row r="2223" spans="17:24" x14ac:dyDescent="0.3">
      <c r="Q2223" s="4"/>
      <c r="R2223" s="4"/>
      <c r="S2223" s="4"/>
      <c r="T2223" s="4"/>
      <c r="U2223" s="4"/>
      <c r="V2223" s="4"/>
      <c r="W2223" s="4"/>
      <c r="X2223" s="4"/>
    </row>
    <row r="2224" spans="17:24" x14ac:dyDescent="0.3">
      <c r="Q2224" s="4"/>
      <c r="R2224" s="4"/>
      <c r="S2224" s="4"/>
      <c r="T2224" s="4"/>
      <c r="U2224" s="4"/>
      <c r="V2224" s="4"/>
      <c r="W2224" s="4"/>
      <c r="X2224" s="4"/>
    </row>
    <row r="2225" spans="17:24" x14ac:dyDescent="0.3">
      <c r="Q2225" s="4"/>
      <c r="R2225" s="4"/>
      <c r="S2225" s="4"/>
      <c r="T2225" s="4"/>
      <c r="U2225" s="4"/>
      <c r="V2225" s="4"/>
      <c r="W2225" s="4"/>
      <c r="X2225" s="4"/>
    </row>
    <row r="2226" spans="17:24" x14ac:dyDescent="0.3">
      <c r="Q2226" s="4"/>
      <c r="R2226" s="4"/>
      <c r="S2226" s="4"/>
      <c r="T2226" s="4"/>
      <c r="U2226" s="4"/>
      <c r="V2226" s="4"/>
      <c r="W2226" s="4"/>
      <c r="X2226" s="4"/>
    </row>
    <row r="2227" spans="17:24" x14ac:dyDescent="0.3">
      <c r="Q2227" s="4"/>
      <c r="R2227" s="4"/>
      <c r="S2227" s="4"/>
      <c r="T2227" s="4"/>
      <c r="U2227" s="4"/>
      <c r="V2227" s="4"/>
      <c r="W2227" s="4"/>
      <c r="X2227" s="4"/>
    </row>
    <row r="2228" spans="17:24" x14ac:dyDescent="0.3">
      <c r="Q2228" s="4"/>
      <c r="R2228" s="4"/>
      <c r="S2228" s="4"/>
      <c r="T2228" s="4"/>
      <c r="U2228" s="4"/>
      <c r="V2228" s="4"/>
      <c r="W2228" s="4"/>
      <c r="X2228" s="4"/>
    </row>
    <row r="2229" spans="17:24" x14ac:dyDescent="0.3">
      <c r="Q2229" s="4"/>
      <c r="R2229" s="4"/>
      <c r="S2229" s="4"/>
      <c r="T2229" s="4"/>
      <c r="U2229" s="4"/>
      <c r="V2229" s="4"/>
      <c r="W2229" s="4"/>
      <c r="X2229" s="4"/>
    </row>
    <row r="2230" spans="17:24" x14ac:dyDescent="0.3">
      <c r="Q2230" s="4"/>
      <c r="R2230" s="4"/>
      <c r="S2230" s="4"/>
      <c r="T2230" s="4"/>
      <c r="U2230" s="4"/>
      <c r="V2230" s="4"/>
      <c r="W2230" s="4"/>
      <c r="X2230" s="4"/>
    </row>
    <row r="2231" spans="17:24" x14ac:dyDescent="0.3">
      <c r="Q2231" s="4"/>
      <c r="R2231" s="4"/>
      <c r="S2231" s="4"/>
      <c r="T2231" s="4"/>
      <c r="U2231" s="4"/>
      <c r="V2231" s="4"/>
      <c r="W2231" s="4"/>
      <c r="X2231" s="4"/>
    </row>
    <row r="2232" spans="17:24" x14ac:dyDescent="0.3">
      <c r="Q2232" s="4"/>
      <c r="R2232" s="4"/>
      <c r="S2232" s="4"/>
      <c r="T2232" s="4"/>
      <c r="U2232" s="4"/>
      <c r="V2232" s="4"/>
      <c r="W2232" s="4"/>
      <c r="X2232" s="4"/>
    </row>
    <row r="2233" spans="17:24" x14ac:dyDescent="0.3">
      <c r="Q2233" s="4"/>
      <c r="R2233" s="4"/>
      <c r="S2233" s="4"/>
      <c r="T2233" s="4"/>
      <c r="U2233" s="4"/>
      <c r="V2233" s="4"/>
      <c r="W2233" s="4"/>
      <c r="X2233" s="4"/>
    </row>
    <row r="2234" spans="17:24" x14ac:dyDescent="0.3">
      <c r="Q2234" s="4"/>
      <c r="R2234" s="4"/>
      <c r="S2234" s="4"/>
      <c r="T2234" s="4"/>
      <c r="U2234" s="4"/>
      <c r="V2234" s="4"/>
      <c r="W2234" s="4"/>
      <c r="X2234" s="4"/>
    </row>
    <row r="2235" spans="17:24" x14ac:dyDescent="0.3">
      <c r="Q2235" s="4"/>
      <c r="R2235" s="4"/>
      <c r="S2235" s="4"/>
      <c r="T2235" s="4"/>
      <c r="U2235" s="4"/>
      <c r="V2235" s="4"/>
      <c r="W2235" s="4"/>
      <c r="X2235" s="4"/>
    </row>
    <row r="2236" spans="17:24" x14ac:dyDescent="0.3">
      <c r="Q2236" s="4"/>
      <c r="R2236" s="4"/>
      <c r="S2236" s="4"/>
      <c r="T2236" s="4"/>
      <c r="U2236" s="4"/>
      <c r="V2236" s="4"/>
      <c r="W2236" s="4"/>
      <c r="X2236" s="4"/>
    </row>
    <row r="2237" spans="17:24" x14ac:dyDescent="0.3">
      <c r="Q2237" s="4"/>
      <c r="R2237" s="4"/>
      <c r="S2237" s="4"/>
      <c r="T2237" s="4"/>
      <c r="U2237" s="4"/>
      <c r="V2237" s="4"/>
      <c r="W2237" s="4"/>
      <c r="X2237" s="4"/>
    </row>
    <row r="2238" spans="17:24" x14ac:dyDescent="0.3">
      <c r="Q2238" s="4"/>
      <c r="R2238" s="4"/>
      <c r="S2238" s="4"/>
      <c r="T2238" s="4"/>
      <c r="U2238" s="4"/>
      <c r="V2238" s="4"/>
      <c r="W2238" s="4"/>
      <c r="X2238" s="4"/>
    </row>
    <row r="2239" spans="17:24" x14ac:dyDescent="0.3">
      <c r="Q2239" s="4"/>
      <c r="R2239" s="4"/>
      <c r="S2239" s="4"/>
      <c r="T2239" s="4"/>
      <c r="U2239" s="4"/>
      <c r="V2239" s="4"/>
      <c r="W2239" s="4"/>
      <c r="X2239" s="4"/>
    </row>
    <row r="2240" spans="17:24" x14ac:dyDescent="0.3">
      <c r="Q2240" s="4"/>
      <c r="R2240" s="4"/>
      <c r="S2240" s="4"/>
      <c r="T2240" s="4"/>
      <c r="U2240" s="4"/>
      <c r="V2240" s="4"/>
      <c r="W2240" s="4"/>
      <c r="X2240" s="4"/>
    </row>
    <row r="2241" spans="17:24" x14ac:dyDescent="0.3">
      <c r="Q2241" s="4"/>
      <c r="R2241" s="4"/>
      <c r="S2241" s="4"/>
      <c r="T2241" s="4"/>
      <c r="U2241" s="4"/>
      <c r="V2241" s="4"/>
      <c r="W2241" s="4"/>
      <c r="X2241" s="4"/>
    </row>
    <row r="2242" spans="17:24" x14ac:dyDescent="0.3">
      <c r="Q2242" s="4"/>
      <c r="R2242" s="4"/>
      <c r="S2242" s="4"/>
      <c r="T2242" s="4"/>
      <c r="U2242" s="4"/>
      <c r="V2242" s="4"/>
      <c r="W2242" s="4"/>
      <c r="X2242" s="4"/>
    </row>
    <row r="2243" spans="17:24" x14ac:dyDescent="0.3">
      <c r="Q2243" s="4"/>
      <c r="R2243" s="4"/>
      <c r="S2243" s="4"/>
      <c r="T2243" s="4"/>
      <c r="U2243" s="4"/>
      <c r="V2243" s="4"/>
      <c r="W2243" s="4"/>
      <c r="X2243" s="4"/>
    </row>
    <row r="2244" spans="17:24" x14ac:dyDescent="0.3">
      <c r="Q2244" s="4"/>
      <c r="R2244" s="4"/>
      <c r="S2244" s="4"/>
      <c r="T2244" s="4"/>
      <c r="U2244" s="4"/>
      <c r="V2244" s="4"/>
      <c r="W2244" s="4"/>
      <c r="X2244" s="4"/>
    </row>
    <row r="2245" spans="17:24" x14ac:dyDescent="0.3">
      <c r="Q2245" s="4"/>
      <c r="R2245" s="4"/>
      <c r="S2245" s="4"/>
      <c r="T2245" s="4"/>
      <c r="U2245" s="4"/>
      <c r="V2245" s="4"/>
      <c r="W2245" s="4"/>
      <c r="X2245" s="4"/>
    </row>
    <row r="2246" spans="17:24" x14ac:dyDescent="0.3">
      <c r="Q2246" s="4"/>
      <c r="R2246" s="4"/>
      <c r="S2246" s="4"/>
      <c r="T2246" s="4"/>
      <c r="U2246" s="4"/>
      <c r="V2246" s="4"/>
      <c r="W2246" s="4"/>
      <c r="X2246" s="4"/>
    </row>
    <row r="2247" spans="17:24" x14ac:dyDescent="0.3">
      <c r="Q2247" s="4"/>
      <c r="R2247" s="4"/>
      <c r="S2247" s="4"/>
      <c r="T2247" s="4"/>
      <c r="U2247" s="4"/>
      <c r="V2247" s="4"/>
      <c r="W2247" s="4"/>
      <c r="X2247" s="4"/>
    </row>
    <row r="2248" spans="17:24" x14ac:dyDescent="0.3">
      <c r="Q2248" s="4"/>
      <c r="R2248" s="4"/>
      <c r="S2248" s="4"/>
      <c r="T2248" s="4"/>
      <c r="U2248" s="4"/>
      <c r="V2248" s="4"/>
      <c r="W2248" s="4"/>
      <c r="X2248" s="4"/>
    </row>
    <row r="2249" spans="17:24" x14ac:dyDescent="0.3">
      <c r="Q2249" s="4"/>
      <c r="R2249" s="4"/>
      <c r="S2249" s="4"/>
      <c r="T2249" s="4"/>
      <c r="U2249" s="4"/>
      <c r="V2249" s="4"/>
      <c r="W2249" s="4"/>
      <c r="X2249" s="4"/>
    </row>
    <row r="2250" spans="17:24" x14ac:dyDescent="0.3">
      <c r="Q2250" s="4"/>
      <c r="R2250" s="4"/>
      <c r="S2250" s="4"/>
      <c r="T2250" s="4"/>
      <c r="U2250" s="4"/>
      <c r="V2250" s="4"/>
      <c r="W2250" s="4"/>
      <c r="X2250" s="4"/>
    </row>
    <row r="2251" spans="17:24" x14ac:dyDescent="0.3">
      <c r="Q2251" s="4"/>
      <c r="R2251" s="4"/>
      <c r="S2251" s="4"/>
      <c r="T2251" s="4"/>
      <c r="U2251" s="4"/>
      <c r="V2251" s="4"/>
      <c r="W2251" s="4"/>
      <c r="X2251" s="4"/>
    </row>
    <row r="2252" spans="17:24" x14ac:dyDescent="0.3">
      <c r="Q2252" s="4"/>
      <c r="R2252" s="4"/>
      <c r="S2252" s="4"/>
      <c r="T2252" s="4"/>
      <c r="U2252" s="4"/>
      <c r="V2252" s="4"/>
      <c r="W2252" s="4"/>
      <c r="X2252" s="4"/>
    </row>
    <row r="2253" spans="17:24" x14ac:dyDescent="0.3">
      <c r="Q2253" s="4"/>
      <c r="R2253" s="4"/>
      <c r="S2253" s="4"/>
      <c r="T2253" s="4"/>
      <c r="U2253" s="4"/>
      <c r="V2253" s="4"/>
      <c r="W2253" s="4"/>
      <c r="X2253" s="4"/>
    </row>
    <row r="2254" spans="17:24" x14ac:dyDescent="0.3">
      <c r="Q2254" s="4"/>
      <c r="R2254" s="4"/>
      <c r="S2254" s="4"/>
      <c r="T2254" s="4"/>
      <c r="U2254" s="4"/>
      <c r="V2254" s="4"/>
      <c r="W2254" s="4"/>
      <c r="X2254" s="4"/>
    </row>
    <row r="2255" spans="17:24" x14ac:dyDescent="0.3">
      <c r="Q2255" s="4"/>
      <c r="R2255" s="4"/>
      <c r="S2255" s="4"/>
      <c r="T2255" s="4"/>
      <c r="U2255" s="4"/>
      <c r="V2255" s="4"/>
      <c r="W2255" s="4"/>
      <c r="X2255" s="4"/>
    </row>
    <row r="2256" spans="17:24" x14ac:dyDescent="0.3">
      <c r="Q2256" s="4"/>
      <c r="R2256" s="4"/>
      <c r="S2256" s="4"/>
      <c r="T2256" s="4"/>
      <c r="U2256" s="4"/>
      <c r="V2256" s="4"/>
      <c r="W2256" s="4"/>
      <c r="X2256" s="4"/>
    </row>
    <row r="2257" spans="17:24" x14ac:dyDescent="0.3">
      <c r="Q2257" s="4"/>
      <c r="R2257" s="4"/>
      <c r="S2257" s="4"/>
      <c r="T2257" s="4"/>
      <c r="U2257" s="4"/>
      <c r="V2257" s="4"/>
      <c r="W2257" s="4"/>
      <c r="X2257" s="4"/>
    </row>
    <row r="2258" spans="17:24" x14ac:dyDescent="0.3">
      <c r="Q2258" s="4"/>
      <c r="R2258" s="4"/>
      <c r="S2258" s="4"/>
      <c r="T2258" s="4"/>
      <c r="U2258" s="4"/>
      <c r="V2258" s="4"/>
      <c r="W2258" s="4"/>
      <c r="X2258" s="4"/>
    </row>
    <row r="2259" spans="17:24" x14ac:dyDescent="0.3">
      <c r="Q2259" s="4"/>
      <c r="R2259" s="4"/>
      <c r="S2259" s="4"/>
      <c r="T2259" s="4"/>
      <c r="U2259" s="4"/>
      <c r="V2259" s="4"/>
      <c r="W2259" s="4"/>
      <c r="X2259" s="4"/>
    </row>
    <row r="2260" spans="17:24" x14ac:dyDescent="0.3">
      <c r="Q2260" s="4"/>
      <c r="R2260" s="4"/>
      <c r="S2260" s="4"/>
      <c r="T2260" s="4"/>
      <c r="U2260" s="4"/>
      <c r="V2260" s="4"/>
      <c r="W2260" s="4"/>
      <c r="X2260" s="4"/>
    </row>
    <row r="2261" spans="17:24" x14ac:dyDescent="0.3">
      <c r="Q2261" s="4"/>
      <c r="R2261" s="4"/>
      <c r="S2261" s="4"/>
      <c r="T2261" s="4"/>
      <c r="U2261" s="4"/>
      <c r="V2261" s="4"/>
      <c r="W2261" s="4"/>
      <c r="X2261" s="4"/>
    </row>
    <row r="2262" spans="17:24" x14ac:dyDescent="0.3">
      <c r="Q2262" s="4"/>
      <c r="R2262" s="4"/>
      <c r="S2262" s="4"/>
      <c r="T2262" s="4"/>
      <c r="U2262" s="4"/>
      <c r="V2262" s="4"/>
      <c r="W2262" s="4"/>
      <c r="X2262" s="4"/>
    </row>
    <row r="2263" spans="17:24" x14ac:dyDescent="0.3">
      <c r="Q2263" s="4"/>
      <c r="R2263" s="4"/>
      <c r="S2263" s="4"/>
      <c r="T2263" s="4"/>
      <c r="U2263" s="4"/>
      <c r="V2263" s="4"/>
      <c r="W2263" s="4"/>
      <c r="X2263" s="4"/>
    </row>
    <row r="2264" spans="17:24" x14ac:dyDescent="0.3">
      <c r="Q2264" s="4"/>
      <c r="R2264" s="4"/>
      <c r="S2264" s="4"/>
      <c r="T2264" s="4"/>
      <c r="U2264" s="4"/>
      <c r="V2264" s="4"/>
      <c r="W2264" s="4"/>
      <c r="X2264" s="4"/>
    </row>
    <row r="2265" spans="17:24" x14ac:dyDescent="0.3">
      <c r="Q2265" s="4"/>
      <c r="R2265" s="4"/>
      <c r="S2265" s="4"/>
      <c r="T2265" s="4"/>
      <c r="U2265" s="4"/>
      <c r="V2265" s="4"/>
      <c r="W2265" s="4"/>
      <c r="X2265" s="4"/>
    </row>
    <row r="2266" spans="17:24" x14ac:dyDescent="0.3">
      <c r="Q2266" s="4"/>
      <c r="R2266" s="4"/>
      <c r="S2266" s="4"/>
      <c r="T2266" s="4"/>
      <c r="U2266" s="4"/>
      <c r="V2266" s="4"/>
      <c r="W2266" s="4"/>
      <c r="X2266" s="4"/>
    </row>
    <row r="2267" spans="17:24" x14ac:dyDescent="0.3">
      <c r="Q2267" s="4"/>
      <c r="R2267" s="4"/>
      <c r="S2267" s="4"/>
      <c r="T2267" s="4"/>
      <c r="U2267" s="4"/>
      <c r="V2267" s="4"/>
      <c r="W2267" s="4"/>
      <c r="X2267" s="4"/>
    </row>
    <row r="2268" spans="17:24" x14ac:dyDescent="0.3">
      <c r="Q2268" s="4"/>
      <c r="R2268" s="4"/>
      <c r="S2268" s="4"/>
      <c r="T2268" s="4"/>
      <c r="U2268" s="4"/>
      <c r="V2268" s="4"/>
      <c r="W2268" s="4"/>
      <c r="X2268" s="4"/>
    </row>
    <row r="2269" spans="17:24" x14ac:dyDescent="0.3">
      <c r="Q2269" s="4"/>
      <c r="R2269" s="4"/>
      <c r="S2269" s="4"/>
      <c r="T2269" s="4"/>
      <c r="U2269" s="4"/>
      <c r="V2269" s="4"/>
      <c r="W2269" s="4"/>
      <c r="X2269" s="4"/>
    </row>
    <row r="2270" spans="17:24" x14ac:dyDescent="0.3">
      <c r="Q2270" s="4"/>
      <c r="R2270" s="4"/>
      <c r="S2270" s="4"/>
      <c r="T2270" s="4"/>
      <c r="U2270" s="4"/>
      <c r="V2270" s="4"/>
      <c r="W2270" s="4"/>
      <c r="X2270" s="4"/>
    </row>
    <row r="2271" spans="17:24" x14ac:dyDescent="0.3">
      <c r="Q2271" s="4"/>
      <c r="R2271" s="4"/>
      <c r="S2271" s="4"/>
      <c r="T2271" s="4"/>
      <c r="U2271" s="4"/>
      <c r="V2271" s="4"/>
      <c r="W2271" s="4"/>
      <c r="X2271" s="4"/>
    </row>
    <row r="2272" spans="17:24" x14ac:dyDescent="0.3">
      <c r="Q2272" s="4"/>
      <c r="R2272" s="4"/>
      <c r="S2272" s="4"/>
      <c r="T2272" s="4"/>
      <c r="U2272" s="4"/>
      <c r="V2272" s="4"/>
      <c r="W2272" s="4"/>
      <c r="X2272" s="4"/>
    </row>
    <row r="2273" spans="17:24" x14ac:dyDescent="0.3">
      <c r="Q2273" s="4"/>
      <c r="R2273" s="4"/>
      <c r="S2273" s="4"/>
      <c r="T2273" s="4"/>
      <c r="U2273" s="4"/>
      <c r="V2273" s="4"/>
      <c r="W2273" s="4"/>
      <c r="X2273" s="4"/>
    </row>
    <row r="2274" spans="17:24" x14ac:dyDescent="0.3">
      <c r="Q2274" s="4"/>
      <c r="R2274" s="4"/>
      <c r="S2274" s="4"/>
      <c r="T2274" s="4"/>
      <c r="U2274" s="4"/>
      <c r="V2274" s="4"/>
      <c r="W2274" s="4"/>
      <c r="X2274" s="4"/>
    </row>
    <row r="2275" spans="17:24" x14ac:dyDescent="0.3">
      <c r="Q2275" s="4"/>
      <c r="R2275" s="4"/>
      <c r="S2275" s="4"/>
      <c r="T2275" s="4"/>
      <c r="U2275" s="4"/>
      <c r="V2275" s="4"/>
      <c r="W2275" s="4"/>
      <c r="X2275" s="4"/>
    </row>
    <row r="2276" spans="17:24" x14ac:dyDescent="0.3">
      <c r="Q2276" s="4"/>
      <c r="R2276" s="4"/>
      <c r="S2276" s="4"/>
      <c r="T2276" s="4"/>
      <c r="U2276" s="4"/>
      <c r="V2276" s="4"/>
      <c r="W2276" s="4"/>
      <c r="X2276" s="4"/>
    </row>
    <row r="2277" spans="17:24" x14ac:dyDescent="0.3">
      <c r="Q2277" s="4"/>
      <c r="R2277" s="4"/>
      <c r="S2277" s="4"/>
      <c r="T2277" s="4"/>
      <c r="U2277" s="4"/>
      <c r="V2277" s="4"/>
      <c r="W2277" s="4"/>
      <c r="X2277" s="4"/>
    </row>
    <row r="2278" spans="17:24" x14ac:dyDescent="0.3">
      <c r="Q2278" s="4"/>
      <c r="R2278" s="4"/>
      <c r="S2278" s="4"/>
      <c r="T2278" s="4"/>
      <c r="U2278" s="4"/>
      <c r="V2278" s="4"/>
      <c r="W2278" s="4"/>
      <c r="X2278" s="4"/>
    </row>
    <row r="2279" spans="17:24" x14ac:dyDescent="0.3">
      <c r="Q2279" s="4"/>
      <c r="R2279" s="4"/>
      <c r="S2279" s="4"/>
      <c r="T2279" s="4"/>
      <c r="U2279" s="4"/>
      <c r="V2279" s="4"/>
      <c r="W2279" s="4"/>
      <c r="X2279" s="4"/>
    </row>
    <row r="2280" spans="17:24" x14ac:dyDescent="0.3">
      <c r="Q2280" s="4"/>
      <c r="R2280" s="4"/>
      <c r="S2280" s="4"/>
      <c r="T2280" s="4"/>
      <c r="U2280" s="4"/>
      <c r="V2280" s="4"/>
      <c r="W2280" s="4"/>
      <c r="X2280" s="4"/>
    </row>
    <row r="2281" spans="17:24" x14ac:dyDescent="0.3">
      <c r="Q2281" s="4"/>
      <c r="R2281" s="4"/>
      <c r="S2281" s="4"/>
      <c r="T2281" s="4"/>
      <c r="U2281" s="4"/>
      <c r="V2281" s="4"/>
      <c r="W2281" s="4"/>
      <c r="X2281" s="4"/>
    </row>
    <row r="2282" spans="17:24" x14ac:dyDescent="0.3">
      <c r="Q2282" s="4"/>
      <c r="R2282" s="4"/>
      <c r="S2282" s="4"/>
      <c r="T2282" s="4"/>
      <c r="U2282" s="4"/>
      <c r="V2282" s="4"/>
      <c r="W2282" s="4"/>
      <c r="X2282" s="4"/>
    </row>
    <row r="2283" spans="17:24" x14ac:dyDescent="0.3">
      <c r="Q2283" s="4"/>
      <c r="R2283" s="4"/>
      <c r="S2283" s="4"/>
      <c r="T2283" s="4"/>
      <c r="U2283" s="4"/>
      <c r="V2283" s="4"/>
      <c r="W2283" s="4"/>
      <c r="X2283" s="4"/>
    </row>
    <row r="2284" spans="17:24" x14ac:dyDescent="0.3">
      <c r="Q2284" s="4"/>
      <c r="R2284" s="4"/>
      <c r="S2284" s="4"/>
      <c r="T2284" s="4"/>
      <c r="U2284" s="4"/>
      <c r="V2284" s="4"/>
      <c r="W2284" s="4"/>
      <c r="X2284" s="4"/>
    </row>
    <row r="2285" spans="17:24" x14ac:dyDescent="0.3">
      <c r="Q2285" s="4"/>
      <c r="R2285" s="4"/>
      <c r="S2285" s="4"/>
      <c r="T2285" s="4"/>
      <c r="U2285" s="4"/>
      <c r="V2285" s="4"/>
      <c r="W2285" s="4"/>
      <c r="X2285" s="4"/>
    </row>
    <row r="2286" spans="17:24" x14ac:dyDescent="0.3">
      <c r="Q2286" s="4"/>
      <c r="R2286" s="4"/>
      <c r="S2286" s="4"/>
      <c r="T2286" s="4"/>
      <c r="U2286" s="4"/>
      <c r="V2286" s="4"/>
      <c r="W2286" s="4"/>
      <c r="X2286" s="4"/>
    </row>
    <row r="2287" spans="17:24" x14ac:dyDescent="0.3">
      <c r="Q2287" s="4"/>
      <c r="R2287" s="4"/>
      <c r="S2287" s="4"/>
      <c r="T2287" s="4"/>
      <c r="U2287" s="4"/>
      <c r="V2287" s="4"/>
      <c r="W2287" s="4"/>
      <c r="X2287" s="4"/>
    </row>
    <row r="2288" spans="17:24" x14ac:dyDescent="0.3">
      <c r="Q2288" s="4"/>
      <c r="R2288" s="4"/>
      <c r="S2288" s="4"/>
      <c r="T2288" s="4"/>
      <c r="U2288" s="4"/>
      <c r="V2288" s="4"/>
      <c r="W2288" s="4"/>
      <c r="X2288" s="4"/>
    </row>
    <row r="2289" spans="17:24" x14ac:dyDescent="0.3">
      <c r="Q2289" s="4"/>
      <c r="R2289" s="4"/>
      <c r="S2289" s="4"/>
      <c r="T2289" s="4"/>
      <c r="U2289" s="4"/>
      <c r="V2289" s="4"/>
      <c r="W2289" s="4"/>
      <c r="X2289" s="4"/>
    </row>
    <row r="2290" spans="17:24" x14ac:dyDescent="0.3">
      <c r="Q2290" s="4"/>
      <c r="R2290" s="4"/>
      <c r="S2290" s="4"/>
      <c r="T2290" s="4"/>
      <c r="U2290" s="4"/>
      <c r="V2290" s="4"/>
      <c r="W2290" s="4"/>
      <c r="X2290" s="4"/>
    </row>
    <row r="2291" spans="17:24" x14ac:dyDescent="0.3">
      <c r="Q2291" s="4"/>
      <c r="R2291" s="4"/>
      <c r="S2291" s="4"/>
      <c r="T2291" s="4"/>
      <c r="U2291" s="4"/>
      <c r="V2291" s="4"/>
      <c r="W2291" s="4"/>
      <c r="X2291" s="4"/>
    </row>
    <row r="2292" spans="17:24" x14ac:dyDescent="0.3">
      <c r="Q2292" s="4"/>
      <c r="R2292" s="4"/>
      <c r="S2292" s="4"/>
      <c r="T2292" s="4"/>
      <c r="U2292" s="4"/>
      <c r="V2292" s="4"/>
      <c r="W2292" s="4"/>
      <c r="X2292" s="4"/>
    </row>
    <row r="2293" spans="17:24" x14ac:dyDescent="0.3">
      <c r="Q2293" s="4"/>
      <c r="R2293" s="4"/>
      <c r="S2293" s="4"/>
      <c r="T2293" s="4"/>
      <c r="U2293" s="4"/>
      <c r="V2293" s="4"/>
      <c r="W2293" s="4"/>
      <c r="X2293" s="4"/>
    </row>
    <row r="2294" spans="17:24" x14ac:dyDescent="0.3">
      <c r="Q2294" s="4"/>
      <c r="R2294" s="4"/>
      <c r="S2294" s="4"/>
      <c r="T2294" s="4"/>
      <c r="U2294" s="4"/>
      <c r="V2294" s="4"/>
      <c r="W2294" s="4"/>
      <c r="X2294" s="4"/>
    </row>
    <row r="2295" spans="17:24" x14ac:dyDescent="0.3">
      <c r="Q2295" s="4"/>
      <c r="R2295" s="4"/>
      <c r="S2295" s="4"/>
      <c r="T2295" s="4"/>
      <c r="U2295" s="4"/>
      <c r="V2295" s="4"/>
      <c r="W2295" s="4"/>
      <c r="X2295" s="4"/>
    </row>
    <row r="2296" spans="17:24" x14ac:dyDescent="0.3">
      <c r="Q2296" s="4"/>
      <c r="R2296" s="4"/>
      <c r="S2296" s="4"/>
      <c r="T2296" s="4"/>
      <c r="U2296" s="4"/>
      <c r="V2296" s="4"/>
      <c r="W2296" s="4"/>
      <c r="X2296" s="4"/>
    </row>
    <row r="2297" spans="17:24" x14ac:dyDescent="0.3">
      <c r="Q2297" s="4"/>
      <c r="R2297" s="4"/>
      <c r="S2297" s="4"/>
      <c r="T2297" s="4"/>
      <c r="U2297" s="4"/>
      <c r="V2297" s="4"/>
      <c r="W2297" s="4"/>
      <c r="X2297" s="4"/>
    </row>
    <row r="2298" spans="17:24" x14ac:dyDescent="0.3">
      <c r="Q2298" s="4"/>
      <c r="R2298" s="4"/>
      <c r="S2298" s="4"/>
      <c r="T2298" s="4"/>
      <c r="U2298" s="4"/>
      <c r="V2298" s="4"/>
      <c r="W2298" s="4"/>
      <c r="X2298" s="4"/>
    </row>
    <row r="2299" spans="17:24" x14ac:dyDescent="0.3">
      <c r="Q2299" s="4"/>
      <c r="R2299" s="4"/>
      <c r="S2299" s="4"/>
      <c r="T2299" s="4"/>
      <c r="U2299" s="4"/>
      <c r="V2299" s="4"/>
      <c r="W2299" s="4"/>
      <c r="X2299" s="4"/>
    </row>
    <row r="2300" spans="17:24" x14ac:dyDescent="0.3">
      <c r="Q2300" s="4"/>
      <c r="R2300" s="4"/>
      <c r="S2300" s="4"/>
      <c r="T2300" s="4"/>
      <c r="U2300" s="4"/>
      <c r="V2300" s="4"/>
      <c r="W2300" s="4"/>
      <c r="X2300" s="4"/>
    </row>
    <row r="2301" spans="17:24" x14ac:dyDescent="0.3">
      <c r="Q2301" s="4"/>
      <c r="R2301" s="4"/>
      <c r="S2301" s="4"/>
      <c r="T2301" s="4"/>
      <c r="U2301" s="4"/>
      <c r="V2301" s="4"/>
      <c r="W2301" s="4"/>
      <c r="X2301" s="4"/>
    </row>
    <row r="2302" spans="17:24" x14ac:dyDescent="0.3">
      <c r="Q2302" s="4"/>
      <c r="R2302" s="4"/>
      <c r="S2302" s="4"/>
      <c r="T2302" s="4"/>
      <c r="U2302" s="4"/>
      <c r="V2302" s="4"/>
      <c r="W2302" s="4"/>
      <c r="X2302" s="4"/>
    </row>
    <row r="2303" spans="17:24" x14ac:dyDescent="0.3">
      <c r="Q2303" s="4"/>
      <c r="R2303" s="4"/>
      <c r="S2303" s="4"/>
      <c r="T2303" s="4"/>
      <c r="U2303" s="4"/>
      <c r="V2303" s="4"/>
      <c r="W2303" s="4"/>
      <c r="X2303" s="4"/>
    </row>
    <row r="2304" spans="17:24" x14ac:dyDescent="0.3">
      <c r="Q2304" s="4"/>
      <c r="R2304" s="4"/>
      <c r="S2304" s="4"/>
      <c r="T2304" s="4"/>
      <c r="U2304" s="4"/>
      <c r="V2304" s="4"/>
      <c r="W2304" s="4"/>
      <c r="X2304" s="4"/>
    </row>
    <row r="2305" spans="17:24" x14ac:dyDescent="0.3">
      <c r="Q2305" s="4"/>
      <c r="R2305" s="4"/>
      <c r="S2305" s="4"/>
      <c r="T2305" s="4"/>
      <c r="U2305" s="4"/>
      <c r="V2305" s="4"/>
      <c r="W2305" s="4"/>
      <c r="X2305" s="4"/>
    </row>
    <row r="2306" spans="17:24" x14ac:dyDescent="0.3">
      <c r="Q2306" s="4"/>
      <c r="R2306" s="4"/>
      <c r="S2306" s="4"/>
      <c r="T2306" s="4"/>
      <c r="U2306" s="4"/>
      <c r="V2306" s="4"/>
      <c r="W2306" s="4"/>
      <c r="X2306" s="4"/>
    </row>
    <row r="2307" spans="17:24" x14ac:dyDescent="0.3">
      <c r="Q2307" s="4"/>
      <c r="R2307" s="4"/>
      <c r="S2307" s="4"/>
      <c r="T2307" s="4"/>
      <c r="U2307" s="4"/>
      <c r="V2307" s="4"/>
      <c r="W2307" s="4"/>
      <c r="X2307" s="4"/>
    </row>
    <row r="2308" spans="17:24" x14ac:dyDescent="0.3">
      <c r="Q2308" s="4"/>
      <c r="R2308" s="4"/>
      <c r="S2308" s="4"/>
      <c r="T2308" s="4"/>
      <c r="U2308" s="4"/>
      <c r="V2308" s="4"/>
      <c r="W2308" s="4"/>
      <c r="X2308" s="4"/>
    </row>
    <row r="2309" spans="17:24" x14ac:dyDescent="0.3">
      <c r="Q2309" s="4"/>
      <c r="R2309" s="4"/>
      <c r="S2309" s="4"/>
      <c r="T2309" s="4"/>
      <c r="U2309" s="4"/>
      <c r="V2309" s="4"/>
      <c r="W2309" s="4"/>
      <c r="X2309" s="4"/>
    </row>
    <row r="2310" spans="17:24" x14ac:dyDescent="0.3">
      <c r="Q2310" s="4"/>
      <c r="R2310" s="4"/>
      <c r="S2310" s="4"/>
      <c r="T2310" s="4"/>
      <c r="U2310" s="4"/>
      <c r="V2310" s="4"/>
      <c r="W2310" s="4"/>
      <c r="X2310" s="4"/>
    </row>
    <row r="2311" spans="17:24" x14ac:dyDescent="0.3">
      <c r="Q2311" s="4"/>
      <c r="R2311" s="4"/>
      <c r="S2311" s="4"/>
      <c r="T2311" s="4"/>
      <c r="U2311" s="4"/>
      <c r="V2311" s="4"/>
      <c r="W2311" s="4"/>
      <c r="X2311" s="4"/>
    </row>
    <row r="2312" spans="17:24" x14ac:dyDescent="0.3">
      <c r="Q2312" s="4"/>
      <c r="R2312" s="4"/>
      <c r="S2312" s="4"/>
      <c r="T2312" s="4"/>
      <c r="U2312" s="4"/>
      <c r="V2312" s="4"/>
      <c r="W2312" s="4"/>
      <c r="X2312" s="4"/>
    </row>
    <row r="2313" spans="17:24" x14ac:dyDescent="0.3">
      <c r="Q2313" s="4"/>
      <c r="R2313" s="4"/>
      <c r="S2313" s="4"/>
      <c r="T2313" s="4"/>
      <c r="U2313" s="4"/>
      <c r="V2313" s="4"/>
      <c r="W2313" s="4"/>
      <c r="X2313" s="4"/>
    </row>
    <row r="2314" spans="17:24" x14ac:dyDescent="0.3">
      <c r="Q2314" s="4"/>
      <c r="R2314" s="4"/>
      <c r="S2314" s="4"/>
      <c r="T2314" s="4"/>
      <c r="U2314" s="4"/>
      <c r="V2314" s="4"/>
      <c r="W2314" s="4"/>
      <c r="X2314" s="4"/>
    </row>
    <row r="2315" spans="17:24" x14ac:dyDescent="0.3">
      <c r="Q2315" s="4"/>
      <c r="R2315" s="4"/>
      <c r="S2315" s="4"/>
      <c r="T2315" s="4"/>
      <c r="U2315" s="4"/>
      <c r="V2315" s="4"/>
      <c r="W2315" s="4"/>
      <c r="X2315" s="4"/>
    </row>
    <row r="2316" spans="17:24" x14ac:dyDescent="0.3">
      <c r="Q2316" s="4"/>
      <c r="R2316" s="4"/>
      <c r="S2316" s="4"/>
      <c r="T2316" s="4"/>
      <c r="U2316" s="4"/>
      <c r="V2316" s="4"/>
      <c r="W2316" s="4"/>
      <c r="X2316" s="4"/>
    </row>
    <row r="2317" spans="17:24" x14ac:dyDescent="0.3">
      <c r="Q2317" s="4"/>
      <c r="R2317" s="4"/>
      <c r="S2317" s="4"/>
      <c r="T2317" s="4"/>
      <c r="U2317" s="4"/>
      <c r="V2317" s="4"/>
      <c r="W2317" s="4"/>
      <c r="X2317" s="4"/>
    </row>
    <row r="2318" spans="17:24" x14ac:dyDescent="0.3">
      <c r="Q2318" s="4"/>
      <c r="R2318" s="4"/>
      <c r="S2318" s="4"/>
      <c r="T2318" s="4"/>
      <c r="U2318" s="4"/>
      <c r="V2318" s="4"/>
      <c r="W2318" s="4"/>
      <c r="X2318" s="4"/>
    </row>
    <row r="2319" spans="17:24" x14ac:dyDescent="0.3">
      <c r="Q2319" s="4"/>
      <c r="R2319" s="4"/>
      <c r="S2319" s="4"/>
      <c r="T2319" s="4"/>
      <c r="U2319" s="4"/>
      <c r="V2319" s="4"/>
      <c r="W2319" s="4"/>
      <c r="X2319" s="4"/>
    </row>
    <row r="2320" spans="17:24" x14ac:dyDescent="0.3">
      <c r="Q2320" s="4"/>
      <c r="R2320" s="4"/>
      <c r="S2320" s="4"/>
      <c r="T2320" s="4"/>
      <c r="U2320" s="4"/>
      <c r="V2320" s="4"/>
      <c r="W2320" s="4"/>
      <c r="X2320" s="4"/>
    </row>
    <row r="2321" spans="17:24" x14ac:dyDescent="0.3">
      <c r="Q2321" s="4"/>
      <c r="R2321" s="4"/>
      <c r="S2321" s="4"/>
      <c r="T2321" s="4"/>
      <c r="U2321" s="4"/>
      <c r="V2321" s="4"/>
      <c r="W2321" s="4"/>
      <c r="X2321" s="4"/>
    </row>
    <row r="2322" spans="17:24" x14ac:dyDescent="0.3">
      <c r="Q2322" s="4"/>
      <c r="R2322" s="4"/>
      <c r="S2322" s="4"/>
      <c r="T2322" s="4"/>
      <c r="U2322" s="4"/>
      <c r="V2322" s="4"/>
      <c r="W2322" s="4"/>
      <c r="X2322" s="4"/>
    </row>
    <row r="2323" spans="17:24" x14ac:dyDescent="0.3">
      <c r="Q2323" s="4"/>
      <c r="R2323" s="4"/>
      <c r="S2323" s="4"/>
      <c r="T2323" s="4"/>
      <c r="U2323" s="4"/>
      <c r="V2323" s="4"/>
      <c r="W2323" s="4"/>
      <c r="X2323" s="4"/>
    </row>
    <row r="2324" spans="17:24" x14ac:dyDescent="0.3">
      <c r="Q2324" s="4"/>
      <c r="R2324" s="4"/>
      <c r="S2324" s="4"/>
      <c r="T2324" s="4"/>
      <c r="U2324" s="4"/>
      <c r="V2324" s="4"/>
      <c r="W2324" s="4"/>
      <c r="X2324" s="4"/>
    </row>
    <row r="2325" spans="17:24" x14ac:dyDescent="0.3">
      <c r="Q2325" s="4"/>
      <c r="R2325" s="4"/>
      <c r="S2325" s="4"/>
      <c r="T2325" s="4"/>
      <c r="U2325" s="4"/>
      <c r="V2325" s="4"/>
      <c r="W2325" s="4"/>
      <c r="X2325" s="4"/>
    </row>
    <row r="2326" spans="17:24" x14ac:dyDescent="0.3">
      <c r="Q2326" s="4"/>
      <c r="R2326" s="4"/>
      <c r="S2326" s="4"/>
      <c r="T2326" s="4"/>
      <c r="U2326" s="4"/>
      <c r="V2326" s="4"/>
      <c r="W2326" s="4"/>
      <c r="X2326" s="4"/>
    </row>
    <row r="2327" spans="17:24" x14ac:dyDescent="0.3">
      <c r="Q2327" s="4"/>
      <c r="R2327" s="4"/>
      <c r="S2327" s="4"/>
      <c r="T2327" s="4"/>
      <c r="U2327" s="4"/>
      <c r="V2327" s="4"/>
      <c r="W2327" s="4"/>
      <c r="X2327" s="4"/>
    </row>
    <row r="2328" spans="17:24" x14ac:dyDescent="0.3">
      <c r="Q2328" s="4"/>
      <c r="R2328" s="4"/>
      <c r="S2328" s="4"/>
      <c r="T2328" s="4"/>
      <c r="U2328" s="4"/>
      <c r="V2328" s="4"/>
      <c r="W2328" s="4"/>
      <c r="X2328" s="4"/>
    </row>
    <row r="2329" spans="17:24" x14ac:dyDescent="0.3">
      <c r="Q2329" s="4"/>
      <c r="R2329" s="4"/>
      <c r="S2329" s="4"/>
      <c r="T2329" s="4"/>
      <c r="U2329" s="4"/>
      <c r="V2329" s="4"/>
      <c r="W2329" s="4"/>
      <c r="X2329" s="4"/>
    </row>
    <row r="2330" spans="17:24" x14ac:dyDescent="0.3">
      <c r="Q2330" s="4"/>
      <c r="R2330" s="4"/>
      <c r="S2330" s="4"/>
      <c r="T2330" s="4"/>
      <c r="U2330" s="4"/>
      <c r="V2330" s="4"/>
      <c r="W2330" s="4"/>
      <c r="X2330" s="4"/>
    </row>
    <row r="2331" spans="17:24" x14ac:dyDescent="0.3">
      <c r="Q2331" s="4"/>
      <c r="R2331" s="4"/>
      <c r="S2331" s="4"/>
      <c r="T2331" s="4"/>
      <c r="U2331" s="4"/>
      <c r="V2331" s="4"/>
      <c r="W2331" s="4"/>
      <c r="X2331" s="4"/>
    </row>
    <row r="2332" spans="17:24" x14ac:dyDescent="0.3">
      <c r="Q2332" s="4"/>
      <c r="R2332" s="4"/>
      <c r="S2332" s="4"/>
      <c r="T2332" s="4"/>
      <c r="U2332" s="4"/>
      <c r="V2332" s="4"/>
      <c r="W2332" s="4"/>
      <c r="X2332" s="4"/>
    </row>
    <row r="2333" spans="17:24" x14ac:dyDescent="0.3">
      <c r="Q2333" s="4"/>
      <c r="R2333" s="4"/>
      <c r="S2333" s="4"/>
      <c r="T2333" s="4"/>
      <c r="U2333" s="4"/>
      <c r="V2333" s="4"/>
      <c r="W2333" s="4"/>
      <c r="X2333" s="4"/>
    </row>
    <row r="2334" spans="17:24" x14ac:dyDescent="0.3">
      <c r="Q2334" s="4"/>
      <c r="R2334" s="4"/>
      <c r="S2334" s="4"/>
      <c r="T2334" s="4"/>
      <c r="U2334" s="4"/>
      <c r="V2334" s="4"/>
      <c r="W2334" s="4"/>
      <c r="X2334" s="4"/>
    </row>
    <row r="2335" spans="17:24" x14ac:dyDescent="0.3">
      <c r="Q2335" s="4"/>
      <c r="R2335" s="4"/>
      <c r="S2335" s="4"/>
      <c r="T2335" s="4"/>
      <c r="U2335" s="4"/>
      <c r="V2335" s="4"/>
      <c r="W2335" s="4"/>
      <c r="X2335" s="4"/>
    </row>
    <row r="2336" spans="17:24" x14ac:dyDescent="0.3">
      <c r="Q2336" s="4"/>
      <c r="R2336" s="4"/>
      <c r="S2336" s="4"/>
      <c r="T2336" s="4"/>
      <c r="U2336" s="4"/>
      <c r="V2336" s="4"/>
      <c r="W2336" s="4"/>
      <c r="X2336" s="4"/>
    </row>
    <row r="2337" spans="17:24" x14ac:dyDescent="0.3">
      <c r="Q2337" s="4"/>
      <c r="R2337" s="4"/>
      <c r="S2337" s="4"/>
      <c r="T2337" s="4"/>
      <c r="U2337" s="4"/>
      <c r="V2337" s="4"/>
      <c r="W2337" s="4"/>
      <c r="X2337" s="4"/>
    </row>
    <row r="2338" spans="17:24" x14ac:dyDescent="0.3">
      <c r="Q2338" s="4"/>
      <c r="R2338" s="4"/>
      <c r="S2338" s="4"/>
      <c r="T2338" s="4"/>
      <c r="U2338" s="4"/>
      <c r="V2338" s="4"/>
      <c r="W2338" s="4"/>
      <c r="X2338" s="4"/>
    </row>
    <row r="2339" spans="17:24" x14ac:dyDescent="0.3">
      <c r="Q2339" s="4"/>
      <c r="R2339" s="4"/>
      <c r="S2339" s="4"/>
      <c r="T2339" s="4"/>
      <c r="U2339" s="4"/>
      <c r="V2339" s="4"/>
      <c r="W2339" s="4"/>
      <c r="X2339" s="4"/>
    </row>
    <row r="2340" spans="17:24" x14ac:dyDescent="0.3">
      <c r="Q2340" s="4"/>
      <c r="R2340" s="4"/>
      <c r="S2340" s="4"/>
      <c r="T2340" s="4"/>
      <c r="U2340" s="4"/>
      <c r="V2340" s="4"/>
      <c r="W2340" s="4"/>
      <c r="X2340" s="4"/>
    </row>
    <row r="2341" spans="17:24" x14ac:dyDescent="0.3">
      <c r="Q2341" s="4"/>
      <c r="R2341" s="4"/>
      <c r="S2341" s="4"/>
      <c r="T2341" s="4"/>
      <c r="U2341" s="4"/>
      <c r="V2341" s="4"/>
      <c r="W2341" s="4"/>
      <c r="X2341" s="4"/>
    </row>
    <row r="2342" spans="17:24" x14ac:dyDescent="0.3">
      <c r="Q2342" s="4"/>
      <c r="R2342" s="4"/>
      <c r="S2342" s="4"/>
      <c r="T2342" s="4"/>
      <c r="U2342" s="4"/>
      <c r="V2342" s="4"/>
      <c r="W2342" s="4"/>
      <c r="X2342" s="4"/>
    </row>
    <row r="2343" spans="17:24" x14ac:dyDescent="0.3">
      <c r="Q2343" s="4"/>
      <c r="R2343" s="4"/>
      <c r="S2343" s="4"/>
      <c r="T2343" s="4"/>
      <c r="U2343" s="4"/>
      <c r="V2343" s="4"/>
      <c r="W2343" s="4"/>
      <c r="X2343" s="4"/>
    </row>
    <row r="2344" spans="17:24" x14ac:dyDescent="0.3">
      <c r="Q2344" s="4"/>
      <c r="R2344" s="4"/>
      <c r="S2344" s="4"/>
      <c r="T2344" s="4"/>
      <c r="U2344" s="4"/>
      <c r="V2344" s="4"/>
      <c r="W2344" s="4"/>
      <c r="X2344" s="4"/>
    </row>
    <row r="2345" spans="17:24" x14ac:dyDescent="0.3">
      <c r="Q2345" s="4"/>
      <c r="R2345" s="4"/>
      <c r="S2345" s="4"/>
      <c r="T2345" s="4"/>
      <c r="U2345" s="4"/>
      <c r="V2345" s="4"/>
      <c r="W2345" s="4"/>
      <c r="X2345" s="4"/>
    </row>
    <row r="2346" spans="17:24" x14ac:dyDescent="0.3">
      <c r="Q2346" s="4"/>
      <c r="R2346" s="4"/>
      <c r="S2346" s="4"/>
      <c r="T2346" s="4"/>
      <c r="U2346" s="4"/>
      <c r="V2346" s="4"/>
      <c r="W2346" s="4"/>
      <c r="X2346" s="4"/>
    </row>
    <row r="2347" spans="17:24" x14ac:dyDescent="0.3">
      <c r="Q2347" s="4"/>
      <c r="R2347" s="4"/>
      <c r="S2347" s="4"/>
      <c r="T2347" s="4"/>
      <c r="U2347" s="4"/>
      <c r="V2347" s="4"/>
      <c r="W2347" s="4"/>
      <c r="X2347" s="4"/>
    </row>
    <row r="2348" spans="17:24" x14ac:dyDescent="0.3">
      <c r="Q2348" s="4"/>
      <c r="R2348" s="4"/>
      <c r="S2348" s="4"/>
      <c r="T2348" s="4"/>
      <c r="U2348" s="4"/>
      <c r="V2348" s="4"/>
      <c r="W2348" s="4"/>
      <c r="X2348" s="4"/>
    </row>
    <row r="2349" spans="17:24" x14ac:dyDescent="0.3">
      <c r="Q2349" s="4"/>
      <c r="R2349" s="4"/>
      <c r="S2349" s="4"/>
      <c r="T2349" s="4"/>
      <c r="U2349" s="4"/>
      <c r="V2349" s="4"/>
      <c r="W2349" s="4"/>
      <c r="X2349" s="4"/>
    </row>
    <row r="2350" spans="17:24" x14ac:dyDescent="0.3">
      <c r="Q2350" s="4"/>
      <c r="R2350" s="4"/>
      <c r="S2350" s="4"/>
      <c r="T2350" s="4"/>
      <c r="U2350" s="4"/>
      <c r="V2350" s="4"/>
      <c r="W2350" s="4"/>
      <c r="X2350" s="4"/>
    </row>
    <row r="2351" spans="17:24" x14ac:dyDescent="0.3">
      <c r="Q2351" s="4"/>
      <c r="R2351" s="4"/>
      <c r="S2351" s="4"/>
      <c r="T2351" s="4"/>
      <c r="U2351" s="4"/>
      <c r="V2351" s="4"/>
      <c r="W2351" s="4"/>
      <c r="X2351" s="4"/>
    </row>
    <row r="2352" spans="17:24" x14ac:dyDescent="0.3">
      <c r="Q2352" s="4"/>
      <c r="R2352" s="4"/>
      <c r="S2352" s="4"/>
      <c r="T2352" s="4"/>
      <c r="U2352" s="4"/>
      <c r="V2352" s="4"/>
      <c r="W2352" s="4"/>
      <c r="X2352" s="4"/>
    </row>
    <row r="2353" spans="17:24" x14ac:dyDescent="0.3">
      <c r="Q2353" s="4"/>
      <c r="R2353" s="4"/>
      <c r="S2353" s="4"/>
      <c r="T2353" s="4"/>
      <c r="U2353" s="4"/>
      <c r="V2353" s="4"/>
      <c r="W2353" s="4"/>
      <c r="X2353" s="4"/>
    </row>
    <row r="2354" spans="17:24" x14ac:dyDescent="0.3">
      <c r="Q2354" s="4"/>
      <c r="R2354" s="4"/>
      <c r="S2354" s="4"/>
      <c r="T2354" s="4"/>
      <c r="U2354" s="4"/>
      <c r="V2354" s="4"/>
      <c r="W2354" s="4"/>
      <c r="X2354" s="4"/>
    </row>
    <row r="2355" spans="17:24" x14ac:dyDescent="0.3">
      <c r="Q2355" s="4"/>
      <c r="R2355" s="4"/>
      <c r="S2355" s="4"/>
      <c r="T2355" s="4"/>
      <c r="U2355" s="4"/>
      <c r="V2355" s="4"/>
      <c r="W2355" s="4"/>
      <c r="X2355" s="4"/>
    </row>
    <row r="2356" spans="17:24" x14ac:dyDescent="0.3">
      <c r="Q2356" s="4"/>
      <c r="R2356" s="4"/>
      <c r="S2356" s="4"/>
      <c r="T2356" s="4"/>
      <c r="U2356" s="4"/>
      <c r="V2356" s="4"/>
      <c r="W2356" s="4"/>
      <c r="X2356" s="4"/>
    </row>
    <row r="2357" spans="17:24" x14ac:dyDescent="0.3">
      <c r="Q2357" s="4"/>
      <c r="R2357" s="4"/>
      <c r="S2357" s="4"/>
      <c r="T2357" s="4"/>
      <c r="U2357" s="4"/>
      <c r="V2357" s="4"/>
      <c r="W2357" s="4"/>
      <c r="X2357" s="4"/>
    </row>
    <row r="2358" spans="17:24" x14ac:dyDescent="0.3">
      <c r="Q2358" s="4"/>
      <c r="R2358" s="4"/>
      <c r="S2358" s="4"/>
      <c r="T2358" s="4"/>
      <c r="U2358" s="4"/>
      <c r="V2358" s="4"/>
      <c r="W2358" s="4"/>
      <c r="X2358" s="4"/>
    </row>
    <row r="2359" spans="17:24" x14ac:dyDescent="0.3">
      <c r="Q2359" s="4"/>
      <c r="R2359" s="4"/>
      <c r="S2359" s="4"/>
      <c r="T2359" s="4"/>
      <c r="U2359" s="4"/>
      <c r="V2359" s="4"/>
      <c r="W2359" s="4"/>
      <c r="X2359" s="4"/>
    </row>
    <row r="2360" spans="17:24" x14ac:dyDescent="0.3">
      <c r="Q2360" s="4"/>
      <c r="R2360" s="4"/>
      <c r="S2360" s="4"/>
      <c r="T2360" s="4"/>
      <c r="U2360" s="4"/>
      <c r="V2360" s="4"/>
      <c r="W2360" s="4"/>
      <c r="X2360" s="4"/>
    </row>
    <row r="2361" spans="17:24" x14ac:dyDescent="0.3">
      <c r="Q2361" s="4"/>
      <c r="R2361" s="4"/>
      <c r="S2361" s="4"/>
      <c r="T2361" s="4"/>
      <c r="U2361" s="4"/>
      <c r="V2361" s="4"/>
      <c r="W2361" s="4"/>
      <c r="X2361" s="4"/>
    </row>
    <row r="2362" spans="17:24" x14ac:dyDescent="0.3">
      <c r="Q2362" s="4"/>
      <c r="R2362" s="4"/>
      <c r="S2362" s="4"/>
      <c r="T2362" s="4"/>
      <c r="U2362" s="4"/>
      <c r="V2362" s="4"/>
      <c r="W2362" s="4"/>
      <c r="X2362" s="4"/>
    </row>
    <row r="2363" spans="17:24" x14ac:dyDescent="0.3">
      <c r="Q2363" s="4"/>
      <c r="R2363" s="4"/>
      <c r="S2363" s="4"/>
      <c r="T2363" s="4"/>
      <c r="U2363" s="4"/>
      <c r="V2363" s="4"/>
      <c r="W2363" s="4"/>
      <c r="X2363" s="4"/>
    </row>
    <row r="2364" spans="17:24" x14ac:dyDescent="0.3">
      <c r="Q2364" s="4"/>
      <c r="R2364" s="4"/>
      <c r="S2364" s="4"/>
      <c r="T2364" s="4"/>
      <c r="U2364" s="4"/>
      <c r="V2364" s="4"/>
      <c r="W2364" s="4"/>
      <c r="X2364" s="4"/>
    </row>
    <row r="2365" spans="17:24" x14ac:dyDescent="0.3">
      <c r="Q2365" s="4"/>
      <c r="R2365" s="4"/>
      <c r="S2365" s="4"/>
      <c r="T2365" s="4"/>
      <c r="U2365" s="4"/>
      <c r="V2365" s="4"/>
      <c r="W2365" s="4"/>
      <c r="X2365" s="4"/>
    </row>
    <row r="2366" spans="17:24" x14ac:dyDescent="0.3">
      <c r="Q2366" s="4"/>
      <c r="R2366" s="4"/>
      <c r="S2366" s="4"/>
      <c r="T2366" s="4"/>
      <c r="U2366" s="4"/>
      <c r="V2366" s="4"/>
      <c r="W2366" s="4"/>
      <c r="X2366" s="4"/>
    </row>
    <row r="2367" spans="17:24" x14ac:dyDescent="0.3">
      <c r="Q2367" s="4"/>
      <c r="R2367" s="4"/>
      <c r="S2367" s="4"/>
      <c r="T2367" s="4"/>
      <c r="U2367" s="4"/>
      <c r="V2367" s="4"/>
      <c r="W2367" s="4"/>
      <c r="X2367" s="4"/>
    </row>
    <row r="2368" spans="17:24" x14ac:dyDescent="0.3">
      <c r="Q2368" s="4"/>
      <c r="R2368" s="4"/>
      <c r="S2368" s="4"/>
      <c r="T2368" s="4"/>
      <c r="U2368" s="4"/>
      <c r="V2368" s="4"/>
      <c r="W2368" s="4"/>
      <c r="X2368" s="4"/>
    </row>
    <row r="2369" spans="17:24" x14ac:dyDescent="0.3">
      <c r="Q2369" s="4"/>
      <c r="R2369" s="4"/>
      <c r="S2369" s="4"/>
      <c r="T2369" s="4"/>
      <c r="U2369" s="4"/>
      <c r="V2369" s="4"/>
      <c r="W2369" s="4"/>
      <c r="X2369" s="4"/>
    </row>
    <row r="2370" spans="17:24" x14ac:dyDescent="0.3">
      <c r="Q2370" s="4"/>
      <c r="R2370" s="4"/>
      <c r="S2370" s="4"/>
      <c r="T2370" s="4"/>
      <c r="U2370" s="4"/>
      <c r="V2370" s="4"/>
      <c r="W2370" s="4"/>
      <c r="X2370" s="4"/>
    </row>
    <row r="2371" spans="17:24" x14ac:dyDescent="0.3">
      <c r="Q2371" s="4"/>
      <c r="R2371" s="4"/>
      <c r="S2371" s="4"/>
      <c r="T2371" s="4"/>
      <c r="U2371" s="4"/>
      <c r="V2371" s="4"/>
      <c r="W2371" s="4"/>
      <c r="X2371" s="4"/>
    </row>
    <row r="2372" spans="17:24" x14ac:dyDescent="0.3">
      <c r="Q2372" s="4"/>
      <c r="R2372" s="4"/>
      <c r="S2372" s="4"/>
      <c r="T2372" s="4"/>
      <c r="U2372" s="4"/>
      <c r="V2372" s="4"/>
      <c r="W2372" s="4"/>
      <c r="X2372" s="4"/>
    </row>
    <row r="2373" spans="17:24" x14ac:dyDescent="0.3">
      <c r="Q2373" s="4"/>
      <c r="R2373" s="4"/>
      <c r="S2373" s="4"/>
      <c r="T2373" s="4"/>
      <c r="U2373" s="4"/>
      <c r="V2373" s="4"/>
      <c r="W2373" s="4"/>
      <c r="X2373" s="4"/>
    </row>
    <row r="2374" spans="17:24" x14ac:dyDescent="0.3">
      <c r="Q2374" s="4"/>
      <c r="R2374" s="4"/>
      <c r="S2374" s="4"/>
      <c r="T2374" s="4"/>
      <c r="U2374" s="4"/>
      <c r="V2374" s="4"/>
      <c r="W2374" s="4"/>
      <c r="X2374" s="4"/>
    </row>
    <row r="2375" spans="17:24" x14ac:dyDescent="0.3">
      <c r="Q2375" s="4"/>
      <c r="R2375" s="4"/>
      <c r="S2375" s="4"/>
      <c r="T2375" s="4"/>
      <c r="U2375" s="4"/>
      <c r="V2375" s="4"/>
      <c r="W2375" s="4"/>
      <c r="X2375" s="4"/>
    </row>
    <row r="2376" spans="17:24" x14ac:dyDescent="0.3">
      <c r="Q2376" s="4"/>
      <c r="R2376" s="4"/>
      <c r="S2376" s="4"/>
      <c r="T2376" s="4"/>
      <c r="U2376" s="4"/>
      <c r="V2376" s="4"/>
      <c r="W2376" s="4"/>
      <c r="X2376" s="4"/>
    </row>
    <row r="2377" spans="17:24" x14ac:dyDescent="0.3">
      <c r="Q2377" s="4"/>
      <c r="R2377" s="4"/>
      <c r="S2377" s="4"/>
      <c r="T2377" s="4"/>
      <c r="U2377" s="4"/>
      <c r="V2377" s="4"/>
      <c r="W2377" s="4"/>
      <c r="X2377" s="4"/>
    </row>
    <row r="2378" spans="17:24" x14ac:dyDescent="0.3">
      <c r="Q2378" s="4"/>
      <c r="R2378" s="4"/>
      <c r="S2378" s="4"/>
      <c r="T2378" s="4"/>
      <c r="U2378" s="4"/>
      <c r="V2378" s="4"/>
      <c r="W2378" s="4"/>
      <c r="X2378" s="4"/>
    </row>
    <row r="2379" spans="17:24" x14ac:dyDescent="0.3">
      <c r="Q2379" s="4"/>
      <c r="R2379" s="4"/>
      <c r="S2379" s="4"/>
      <c r="T2379" s="4"/>
      <c r="U2379" s="4"/>
      <c r="V2379" s="4"/>
      <c r="W2379" s="4"/>
      <c r="X2379" s="4"/>
    </row>
    <row r="2380" spans="17:24" x14ac:dyDescent="0.3">
      <c r="Q2380" s="4"/>
      <c r="R2380" s="4"/>
      <c r="S2380" s="4"/>
      <c r="T2380" s="4"/>
      <c r="U2380" s="4"/>
      <c r="V2380" s="4"/>
      <c r="W2380" s="4"/>
      <c r="X2380" s="4"/>
    </row>
    <row r="2381" spans="17:24" x14ac:dyDescent="0.3">
      <c r="Q2381" s="4"/>
      <c r="R2381" s="4"/>
      <c r="S2381" s="4"/>
      <c r="T2381" s="4"/>
      <c r="U2381" s="4"/>
      <c r="V2381" s="4"/>
      <c r="W2381" s="4"/>
      <c r="X2381" s="4"/>
    </row>
    <row r="2382" spans="17:24" x14ac:dyDescent="0.3">
      <c r="Q2382" s="4"/>
      <c r="R2382" s="4"/>
      <c r="S2382" s="4"/>
      <c r="T2382" s="4"/>
      <c r="U2382" s="4"/>
      <c r="V2382" s="4"/>
      <c r="W2382" s="4"/>
      <c r="X2382" s="4"/>
    </row>
    <row r="2383" spans="17:24" x14ac:dyDescent="0.3">
      <c r="Q2383" s="4"/>
      <c r="R2383" s="4"/>
      <c r="S2383" s="4"/>
      <c r="T2383" s="4"/>
      <c r="U2383" s="4"/>
      <c r="V2383" s="4"/>
      <c r="W2383" s="4"/>
      <c r="X2383" s="4"/>
    </row>
    <row r="2384" spans="17:24" x14ac:dyDescent="0.3">
      <c r="Q2384" s="4"/>
      <c r="R2384" s="4"/>
      <c r="S2384" s="4"/>
      <c r="T2384" s="4"/>
      <c r="U2384" s="4"/>
      <c r="V2384" s="4"/>
      <c r="W2384" s="4"/>
      <c r="X2384" s="4"/>
    </row>
    <row r="2385" spans="17:24" x14ac:dyDescent="0.3">
      <c r="Q2385" s="4"/>
      <c r="R2385" s="4"/>
      <c r="S2385" s="4"/>
      <c r="T2385" s="4"/>
      <c r="U2385" s="4"/>
      <c r="V2385" s="4"/>
      <c r="W2385" s="4"/>
      <c r="X2385" s="4"/>
    </row>
    <row r="2386" spans="17:24" x14ac:dyDescent="0.3">
      <c r="Q2386" s="4"/>
      <c r="R2386" s="4"/>
      <c r="S2386" s="4"/>
      <c r="T2386" s="4"/>
      <c r="U2386" s="4"/>
      <c r="V2386" s="4"/>
      <c r="W2386" s="4"/>
      <c r="X2386" s="4"/>
    </row>
    <row r="2387" spans="17:24" x14ac:dyDescent="0.3">
      <c r="Q2387" s="4"/>
      <c r="R2387" s="4"/>
      <c r="S2387" s="4"/>
      <c r="T2387" s="4"/>
      <c r="U2387" s="4"/>
      <c r="V2387" s="4"/>
      <c r="W2387" s="4"/>
      <c r="X2387" s="4"/>
    </row>
    <row r="2388" spans="17:24" x14ac:dyDescent="0.3">
      <c r="Q2388" s="4"/>
      <c r="R2388" s="4"/>
      <c r="S2388" s="4"/>
      <c r="T2388" s="4"/>
      <c r="U2388" s="4"/>
      <c r="V2388" s="4"/>
      <c r="W2388" s="4"/>
      <c r="X2388" s="4"/>
    </row>
    <row r="2389" spans="17:24" x14ac:dyDescent="0.3">
      <c r="Q2389" s="4"/>
      <c r="R2389" s="4"/>
      <c r="S2389" s="4"/>
      <c r="T2389" s="4"/>
      <c r="U2389" s="4"/>
      <c r="V2389" s="4"/>
      <c r="W2389" s="4"/>
      <c r="X2389" s="4"/>
    </row>
    <row r="2390" spans="17:24" x14ac:dyDescent="0.3">
      <c r="Q2390" s="4"/>
      <c r="R2390" s="4"/>
      <c r="S2390" s="4"/>
      <c r="T2390" s="4"/>
      <c r="U2390" s="4"/>
      <c r="V2390" s="4"/>
      <c r="W2390" s="4"/>
      <c r="X2390" s="4"/>
    </row>
    <row r="2391" spans="17:24" x14ac:dyDescent="0.3">
      <c r="Q2391" s="4"/>
      <c r="R2391" s="4"/>
      <c r="S2391" s="4"/>
      <c r="T2391" s="4"/>
      <c r="U2391" s="4"/>
      <c r="V2391" s="4"/>
      <c r="W2391" s="4"/>
      <c r="X2391" s="4"/>
    </row>
    <row r="2392" spans="17:24" x14ac:dyDescent="0.3">
      <c r="Q2392" s="4"/>
      <c r="R2392" s="4"/>
      <c r="S2392" s="4"/>
      <c r="T2392" s="4"/>
      <c r="U2392" s="4"/>
      <c r="V2392" s="4"/>
      <c r="W2392" s="4"/>
      <c r="X2392" s="4"/>
    </row>
    <row r="2393" spans="17:24" x14ac:dyDescent="0.3">
      <c r="Q2393" s="4"/>
      <c r="R2393" s="4"/>
      <c r="S2393" s="4"/>
      <c r="T2393" s="4"/>
      <c r="U2393" s="4"/>
      <c r="V2393" s="4"/>
      <c r="W2393" s="4"/>
      <c r="X2393" s="4"/>
    </row>
    <row r="2394" spans="17:24" x14ac:dyDescent="0.3">
      <c r="Q2394" s="4"/>
      <c r="R2394" s="4"/>
      <c r="S2394" s="4"/>
      <c r="T2394" s="4"/>
      <c r="U2394" s="4"/>
      <c r="V2394" s="4"/>
      <c r="W2394" s="4"/>
      <c r="X2394" s="4"/>
    </row>
    <row r="2395" spans="17:24" x14ac:dyDescent="0.3">
      <c r="Q2395" s="4"/>
      <c r="R2395" s="4"/>
      <c r="S2395" s="4"/>
      <c r="T2395" s="4"/>
      <c r="U2395" s="4"/>
      <c r="V2395" s="4"/>
      <c r="W2395" s="4"/>
      <c r="X2395" s="4"/>
    </row>
    <row r="2396" spans="17:24" x14ac:dyDescent="0.3">
      <c r="Q2396" s="4"/>
      <c r="R2396" s="4"/>
      <c r="S2396" s="4"/>
      <c r="T2396" s="4"/>
      <c r="U2396" s="4"/>
      <c r="V2396" s="4"/>
      <c r="W2396" s="4"/>
      <c r="X2396" s="4"/>
    </row>
    <row r="2397" spans="17:24" x14ac:dyDescent="0.3">
      <c r="Q2397" s="4"/>
      <c r="R2397" s="4"/>
      <c r="S2397" s="4"/>
      <c r="T2397" s="4"/>
      <c r="U2397" s="4"/>
      <c r="V2397" s="4"/>
      <c r="W2397" s="4"/>
      <c r="X2397" s="4"/>
    </row>
    <row r="2398" spans="17:24" x14ac:dyDescent="0.3">
      <c r="Q2398" s="4"/>
      <c r="R2398" s="4"/>
      <c r="S2398" s="4"/>
      <c r="T2398" s="4"/>
      <c r="U2398" s="4"/>
      <c r="V2398" s="4"/>
      <c r="W2398" s="4"/>
      <c r="X2398" s="4"/>
    </row>
    <row r="2399" spans="17:24" x14ac:dyDescent="0.3">
      <c r="Q2399" s="4"/>
      <c r="R2399" s="4"/>
      <c r="S2399" s="4"/>
      <c r="T2399" s="4"/>
      <c r="U2399" s="4"/>
      <c r="V2399" s="4"/>
      <c r="W2399" s="4"/>
      <c r="X2399" s="4"/>
    </row>
    <row r="2400" spans="17:24" x14ac:dyDescent="0.3">
      <c r="Q2400" s="4"/>
      <c r="R2400" s="4"/>
      <c r="S2400" s="4"/>
      <c r="T2400" s="4"/>
      <c r="U2400" s="4"/>
      <c r="V2400" s="4"/>
      <c r="W2400" s="4"/>
      <c r="X2400" s="4"/>
    </row>
    <row r="2401" spans="17:24" x14ac:dyDescent="0.3">
      <c r="Q2401" s="4"/>
      <c r="R2401" s="4"/>
      <c r="S2401" s="4"/>
      <c r="T2401" s="4"/>
      <c r="U2401" s="4"/>
      <c r="V2401" s="4"/>
      <c r="W2401" s="4"/>
      <c r="X2401" s="4"/>
    </row>
    <row r="2402" spans="17:24" x14ac:dyDescent="0.3">
      <c r="Q2402" s="4"/>
      <c r="R2402" s="4"/>
      <c r="S2402" s="4"/>
      <c r="T2402" s="4"/>
      <c r="U2402" s="4"/>
      <c r="V2402" s="4"/>
      <c r="W2402" s="4"/>
      <c r="X2402" s="4"/>
    </row>
    <row r="2403" spans="17:24" x14ac:dyDescent="0.3">
      <c r="Q2403" s="4"/>
      <c r="R2403" s="4"/>
      <c r="S2403" s="4"/>
      <c r="T2403" s="4"/>
      <c r="U2403" s="4"/>
      <c r="V2403" s="4"/>
      <c r="W2403" s="4"/>
      <c r="X2403" s="4"/>
    </row>
    <row r="2404" spans="17:24" x14ac:dyDescent="0.3">
      <c r="Q2404" s="4"/>
      <c r="R2404" s="4"/>
      <c r="S2404" s="4"/>
      <c r="T2404" s="4"/>
      <c r="U2404" s="4"/>
      <c r="V2404" s="4"/>
      <c r="W2404" s="4"/>
      <c r="X2404" s="4"/>
    </row>
    <row r="2405" spans="17:24" x14ac:dyDescent="0.3">
      <c r="Q2405" s="4"/>
      <c r="R2405" s="4"/>
      <c r="S2405" s="4"/>
      <c r="T2405" s="4"/>
      <c r="U2405" s="4"/>
      <c r="V2405" s="4"/>
      <c r="W2405" s="4"/>
      <c r="X2405" s="4"/>
    </row>
    <row r="2406" spans="17:24" x14ac:dyDescent="0.3">
      <c r="Q2406" s="4"/>
      <c r="R2406" s="4"/>
      <c r="S2406" s="4"/>
      <c r="T2406" s="4"/>
      <c r="U2406" s="4"/>
      <c r="V2406" s="4"/>
      <c r="W2406" s="4"/>
      <c r="X2406" s="4"/>
    </row>
    <row r="2407" spans="17:24" x14ac:dyDescent="0.3">
      <c r="Q2407" s="4"/>
      <c r="R2407" s="4"/>
      <c r="S2407" s="4"/>
      <c r="T2407" s="4"/>
      <c r="U2407" s="4"/>
      <c r="V2407" s="4"/>
      <c r="W2407" s="4"/>
      <c r="X2407" s="4"/>
    </row>
    <row r="2408" spans="17:24" x14ac:dyDescent="0.3">
      <c r="Q2408" s="4"/>
      <c r="R2408" s="4"/>
      <c r="S2408" s="4"/>
      <c r="T2408" s="4"/>
      <c r="U2408" s="4"/>
      <c r="V2408" s="4"/>
      <c r="W2408" s="4"/>
      <c r="X2408" s="4"/>
    </row>
    <row r="2409" spans="17:24" x14ac:dyDescent="0.3">
      <c r="Q2409" s="4"/>
      <c r="R2409" s="4"/>
      <c r="S2409" s="4"/>
      <c r="T2409" s="4"/>
      <c r="U2409" s="4"/>
      <c r="V2409" s="4"/>
      <c r="W2409" s="4"/>
      <c r="X2409" s="4"/>
    </row>
    <row r="2410" spans="17:24" x14ac:dyDescent="0.3">
      <c r="Q2410" s="4"/>
      <c r="R2410" s="4"/>
      <c r="S2410" s="4"/>
      <c r="T2410" s="4"/>
      <c r="U2410" s="4"/>
      <c r="V2410" s="4"/>
      <c r="W2410" s="4"/>
      <c r="X2410" s="4"/>
    </row>
    <row r="2411" spans="17:24" x14ac:dyDescent="0.3">
      <c r="Q2411" s="4"/>
      <c r="R2411" s="4"/>
      <c r="S2411" s="4"/>
      <c r="T2411" s="4"/>
      <c r="U2411" s="4"/>
      <c r="V2411" s="4"/>
      <c r="W2411" s="4"/>
      <c r="X2411" s="4"/>
    </row>
    <row r="2412" spans="17:24" x14ac:dyDescent="0.3">
      <c r="Q2412" s="4"/>
      <c r="R2412" s="4"/>
      <c r="S2412" s="4"/>
      <c r="T2412" s="4"/>
      <c r="U2412" s="4"/>
      <c r="V2412" s="4"/>
      <c r="W2412" s="4"/>
      <c r="X2412" s="4"/>
    </row>
    <row r="2413" spans="17:24" x14ac:dyDescent="0.3">
      <c r="Q2413" s="4"/>
      <c r="R2413" s="4"/>
      <c r="S2413" s="4"/>
      <c r="T2413" s="4"/>
      <c r="U2413" s="4"/>
      <c r="V2413" s="4"/>
      <c r="W2413" s="4"/>
      <c r="X2413" s="4"/>
    </row>
    <row r="2414" spans="17:24" x14ac:dyDescent="0.3">
      <c r="Q2414" s="4"/>
      <c r="R2414" s="4"/>
      <c r="S2414" s="4"/>
      <c r="T2414" s="4"/>
      <c r="U2414" s="4"/>
      <c r="V2414" s="4"/>
      <c r="W2414" s="4"/>
      <c r="X2414" s="4"/>
    </row>
    <row r="2415" spans="17:24" x14ac:dyDescent="0.3">
      <c r="Q2415" s="4"/>
      <c r="R2415" s="4"/>
      <c r="S2415" s="4"/>
      <c r="T2415" s="4"/>
      <c r="U2415" s="4"/>
      <c r="V2415" s="4"/>
      <c r="W2415" s="4"/>
      <c r="X2415" s="4"/>
    </row>
    <row r="2416" spans="17:24" x14ac:dyDescent="0.3">
      <c r="Q2416" s="4"/>
      <c r="R2416" s="4"/>
      <c r="S2416" s="4"/>
      <c r="T2416" s="4"/>
      <c r="U2416" s="4"/>
      <c r="V2416" s="4"/>
      <c r="W2416" s="4"/>
      <c r="X2416" s="4"/>
    </row>
    <row r="2417" spans="17:24" x14ac:dyDescent="0.3">
      <c r="Q2417" s="4"/>
      <c r="R2417" s="4"/>
      <c r="S2417" s="4"/>
      <c r="T2417" s="4"/>
      <c r="U2417" s="4"/>
      <c r="V2417" s="4"/>
      <c r="W2417" s="4"/>
      <c r="X2417" s="4"/>
    </row>
    <row r="2418" spans="17:24" x14ac:dyDescent="0.3">
      <c r="Q2418" s="4"/>
      <c r="R2418" s="4"/>
      <c r="S2418" s="4"/>
      <c r="T2418" s="4"/>
      <c r="U2418" s="4"/>
      <c r="V2418" s="4"/>
      <c r="W2418" s="4"/>
      <c r="X2418" s="4"/>
    </row>
    <row r="2419" spans="17:24" x14ac:dyDescent="0.3">
      <c r="Q2419" s="4"/>
      <c r="R2419" s="4"/>
      <c r="S2419" s="4"/>
      <c r="T2419" s="4"/>
      <c r="U2419" s="4"/>
      <c r="V2419" s="4"/>
      <c r="W2419" s="4"/>
      <c r="X2419" s="4"/>
    </row>
    <row r="2420" spans="17:24" x14ac:dyDescent="0.3">
      <c r="Q2420" s="4"/>
      <c r="R2420" s="4"/>
      <c r="S2420" s="4"/>
      <c r="T2420" s="4"/>
      <c r="U2420" s="4"/>
      <c r="V2420" s="4"/>
      <c r="W2420" s="4"/>
      <c r="X2420" s="4"/>
    </row>
    <row r="2421" spans="17:24" x14ac:dyDescent="0.3">
      <c r="Q2421" s="4"/>
      <c r="R2421" s="4"/>
      <c r="S2421" s="4"/>
      <c r="T2421" s="4"/>
      <c r="U2421" s="4"/>
      <c r="V2421" s="4"/>
      <c r="W2421" s="4"/>
      <c r="X2421" s="4"/>
    </row>
    <row r="2422" spans="17:24" x14ac:dyDescent="0.3">
      <c r="Q2422" s="4"/>
      <c r="R2422" s="4"/>
      <c r="S2422" s="4"/>
      <c r="T2422" s="4"/>
      <c r="U2422" s="4"/>
      <c r="V2422" s="4"/>
      <c r="W2422" s="4"/>
      <c r="X2422" s="4"/>
    </row>
    <row r="2423" spans="17:24" x14ac:dyDescent="0.3">
      <c r="Q2423" s="4"/>
      <c r="R2423" s="4"/>
      <c r="S2423" s="4"/>
      <c r="T2423" s="4"/>
      <c r="U2423" s="4"/>
      <c r="V2423" s="4"/>
      <c r="W2423" s="4"/>
      <c r="X2423" s="4"/>
    </row>
    <row r="2424" spans="17:24" x14ac:dyDescent="0.3">
      <c r="Q2424" s="4"/>
      <c r="R2424" s="4"/>
      <c r="S2424" s="4"/>
      <c r="T2424" s="4"/>
      <c r="U2424" s="4"/>
      <c r="V2424" s="4"/>
      <c r="W2424" s="4"/>
      <c r="X2424" s="4"/>
    </row>
    <row r="2425" spans="17:24" x14ac:dyDescent="0.3">
      <c r="Q2425" s="4"/>
      <c r="R2425" s="4"/>
      <c r="S2425" s="4"/>
      <c r="T2425" s="4"/>
      <c r="U2425" s="4"/>
      <c r="V2425" s="4"/>
      <c r="W2425" s="4"/>
      <c r="X2425" s="4"/>
    </row>
    <row r="2426" spans="17:24" x14ac:dyDescent="0.3">
      <c r="Q2426" s="4"/>
      <c r="R2426" s="4"/>
      <c r="S2426" s="4"/>
      <c r="T2426" s="4"/>
      <c r="U2426" s="4"/>
      <c r="V2426" s="4"/>
      <c r="W2426" s="4"/>
      <c r="X2426" s="4"/>
    </row>
    <row r="2427" spans="17:24" x14ac:dyDescent="0.3">
      <c r="Q2427" s="4"/>
      <c r="R2427" s="4"/>
      <c r="S2427" s="4"/>
      <c r="T2427" s="4"/>
      <c r="U2427" s="4"/>
      <c r="V2427" s="4"/>
      <c r="W2427" s="4"/>
      <c r="X2427" s="4"/>
    </row>
    <row r="2428" spans="17:24" x14ac:dyDescent="0.3">
      <c r="Q2428" s="4"/>
      <c r="R2428" s="4"/>
      <c r="S2428" s="4"/>
      <c r="T2428" s="4"/>
      <c r="U2428" s="4"/>
      <c r="V2428" s="4"/>
      <c r="W2428" s="4"/>
      <c r="X2428" s="4"/>
    </row>
    <row r="2429" spans="17:24" x14ac:dyDescent="0.3">
      <c r="Q2429" s="4"/>
      <c r="R2429" s="4"/>
      <c r="S2429" s="4"/>
      <c r="T2429" s="4"/>
      <c r="U2429" s="4"/>
      <c r="V2429" s="4"/>
      <c r="W2429" s="4"/>
      <c r="X2429" s="4"/>
    </row>
    <row r="2430" spans="17:24" x14ac:dyDescent="0.3">
      <c r="Q2430" s="4"/>
      <c r="R2430" s="4"/>
      <c r="S2430" s="4"/>
      <c r="T2430" s="4"/>
      <c r="U2430" s="4"/>
      <c r="V2430" s="4"/>
      <c r="W2430" s="4"/>
      <c r="X2430" s="4"/>
    </row>
    <row r="2431" spans="17:24" x14ac:dyDescent="0.3">
      <c r="Q2431" s="4"/>
      <c r="R2431" s="4"/>
      <c r="S2431" s="4"/>
      <c r="T2431" s="4"/>
      <c r="U2431" s="4"/>
      <c r="V2431" s="4"/>
      <c r="W2431" s="4"/>
      <c r="X2431" s="4"/>
    </row>
    <row r="2432" spans="17:24" x14ac:dyDescent="0.3">
      <c r="Q2432" s="4"/>
      <c r="R2432" s="4"/>
      <c r="S2432" s="4"/>
      <c r="T2432" s="4"/>
      <c r="U2432" s="4"/>
      <c r="V2432" s="4"/>
      <c r="W2432" s="4"/>
      <c r="X2432" s="4"/>
    </row>
    <row r="2433" spans="17:24" x14ac:dyDescent="0.3">
      <c r="Q2433" s="4"/>
      <c r="R2433" s="4"/>
      <c r="S2433" s="4"/>
      <c r="T2433" s="4"/>
      <c r="U2433" s="4"/>
      <c r="V2433" s="4"/>
      <c r="W2433" s="4"/>
      <c r="X2433" s="4"/>
    </row>
    <row r="2434" spans="17:24" x14ac:dyDescent="0.3">
      <c r="Q2434" s="4"/>
      <c r="R2434" s="4"/>
      <c r="S2434" s="4"/>
      <c r="T2434" s="4"/>
      <c r="U2434" s="4"/>
      <c r="V2434" s="4"/>
      <c r="W2434" s="4"/>
      <c r="X2434" s="4"/>
    </row>
    <row r="2435" spans="17:24" x14ac:dyDescent="0.3">
      <c r="Q2435" s="4"/>
      <c r="R2435" s="4"/>
      <c r="S2435" s="4"/>
      <c r="T2435" s="4"/>
      <c r="U2435" s="4"/>
      <c r="V2435" s="4"/>
      <c r="W2435" s="4"/>
      <c r="X2435" s="4"/>
    </row>
    <row r="2436" spans="17:24" x14ac:dyDescent="0.3">
      <c r="Q2436" s="4"/>
      <c r="R2436" s="4"/>
      <c r="S2436" s="4"/>
      <c r="T2436" s="4"/>
      <c r="U2436" s="4"/>
      <c r="V2436" s="4"/>
      <c r="W2436" s="4"/>
      <c r="X2436" s="4"/>
    </row>
    <row r="2437" spans="17:24" x14ac:dyDescent="0.3">
      <c r="Q2437" s="4"/>
      <c r="R2437" s="4"/>
      <c r="S2437" s="4"/>
      <c r="T2437" s="4"/>
      <c r="U2437" s="4"/>
      <c r="V2437" s="4"/>
      <c r="W2437" s="4"/>
      <c r="X2437" s="4"/>
    </row>
    <row r="2438" spans="17:24" x14ac:dyDescent="0.3">
      <c r="Q2438" s="4"/>
      <c r="R2438" s="4"/>
      <c r="S2438" s="4"/>
      <c r="T2438" s="4"/>
      <c r="U2438" s="4"/>
      <c r="V2438" s="4"/>
      <c r="W2438" s="4"/>
      <c r="X2438" s="4"/>
    </row>
    <row r="2439" spans="17:24" x14ac:dyDescent="0.3">
      <c r="Q2439" s="4"/>
      <c r="R2439" s="4"/>
      <c r="S2439" s="4"/>
      <c r="T2439" s="4"/>
      <c r="U2439" s="4"/>
      <c r="V2439" s="4"/>
      <c r="W2439" s="4"/>
      <c r="X2439" s="4"/>
    </row>
    <row r="2440" spans="17:24" x14ac:dyDescent="0.3">
      <c r="Q2440" s="4"/>
      <c r="R2440" s="4"/>
      <c r="S2440" s="4"/>
      <c r="T2440" s="4"/>
      <c r="U2440" s="4"/>
      <c r="V2440" s="4"/>
      <c r="W2440" s="4"/>
      <c r="X2440" s="4"/>
    </row>
    <row r="2441" spans="17:24" x14ac:dyDescent="0.3">
      <c r="Q2441" s="4"/>
      <c r="R2441" s="4"/>
      <c r="S2441" s="4"/>
      <c r="T2441" s="4"/>
      <c r="U2441" s="4"/>
      <c r="V2441" s="4"/>
      <c r="W2441" s="4"/>
      <c r="X2441" s="4"/>
    </row>
    <row r="2442" spans="17:24" x14ac:dyDescent="0.3">
      <c r="Q2442" s="4"/>
      <c r="R2442" s="4"/>
      <c r="S2442" s="4"/>
      <c r="T2442" s="4"/>
      <c r="U2442" s="4"/>
      <c r="V2442" s="4"/>
      <c r="W2442" s="4"/>
      <c r="X2442" s="4"/>
    </row>
    <row r="2443" spans="17:24" x14ac:dyDescent="0.3">
      <c r="Q2443" s="4"/>
      <c r="R2443" s="4"/>
      <c r="S2443" s="4"/>
      <c r="T2443" s="4"/>
      <c r="U2443" s="4"/>
      <c r="V2443" s="4"/>
      <c r="W2443" s="4"/>
      <c r="X2443" s="4"/>
    </row>
    <row r="2444" spans="17:24" x14ac:dyDescent="0.3">
      <c r="Q2444" s="4"/>
      <c r="R2444" s="4"/>
      <c r="S2444" s="4"/>
      <c r="T2444" s="4"/>
      <c r="U2444" s="4"/>
      <c r="V2444" s="4"/>
      <c r="W2444" s="4"/>
      <c r="X2444" s="4"/>
    </row>
    <row r="2445" spans="17:24" x14ac:dyDescent="0.3">
      <c r="Q2445" s="4"/>
      <c r="R2445" s="4"/>
      <c r="S2445" s="4"/>
      <c r="T2445" s="4"/>
      <c r="U2445" s="4"/>
      <c r="V2445" s="4"/>
      <c r="W2445" s="4"/>
      <c r="X2445" s="4"/>
    </row>
    <row r="2446" spans="17:24" x14ac:dyDescent="0.3">
      <c r="Q2446" s="4"/>
      <c r="R2446" s="4"/>
      <c r="S2446" s="4"/>
      <c r="T2446" s="4"/>
      <c r="U2446" s="4"/>
      <c r="V2446" s="4"/>
      <c r="W2446" s="4"/>
      <c r="X2446" s="4"/>
    </row>
    <row r="2447" spans="17:24" x14ac:dyDescent="0.3">
      <c r="Q2447" s="4"/>
      <c r="R2447" s="4"/>
      <c r="S2447" s="4"/>
      <c r="T2447" s="4"/>
      <c r="U2447" s="4"/>
      <c r="V2447" s="4"/>
      <c r="W2447" s="4"/>
      <c r="X2447" s="4"/>
    </row>
    <row r="2448" spans="17:24" x14ac:dyDescent="0.3">
      <c r="Q2448" s="4"/>
      <c r="R2448" s="4"/>
      <c r="S2448" s="4"/>
      <c r="T2448" s="4"/>
      <c r="U2448" s="4"/>
      <c r="V2448" s="4"/>
      <c r="W2448" s="4"/>
      <c r="X2448" s="4"/>
    </row>
    <row r="2449" spans="17:24" x14ac:dyDescent="0.3">
      <c r="Q2449" s="4"/>
      <c r="R2449" s="4"/>
      <c r="S2449" s="4"/>
      <c r="T2449" s="4"/>
      <c r="U2449" s="4"/>
      <c r="V2449" s="4"/>
      <c r="W2449" s="4"/>
      <c r="X2449" s="4"/>
    </row>
    <row r="2450" spans="17:24" x14ac:dyDescent="0.3">
      <c r="Q2450" s="4"/>
      <c r="R2450" s="4"/>
      <c r="S2450" s="4"/>
      <c r="T2450" s="4"/>
      <c r="U2450" s="4"/>
      <c r="V2450" s="4"/>
      <c r="W2450" s="4"/>
      <c r="X2450" s="4"/>
    </row>
    <row r="2451" spans="17:24" x14ac:dyDescent="0.3">
      <c r="Q2451" s="4"/>
      <c r="R2451" s="4"/>
      <c r="S2451" s="4"/>
      <c r="T2451" s="4"/>
      <c r="U2451" s="4"/>
      <c r="V2451" s="4"/>
      <c r="W2451" s="4"/>
      <c r="X2451" s="4"/>
    </row>
    <row r="2452" spans="17:24" x14ac:dyDescent="0.3">
      <c r="Q2452" s="4"/>
      <c r="R2452" s="4"/>
      <c r="S2452" s="4"/>
      <c r="T2452" s="4"/>
      <c r="U2452" s="4"/>
      <c r="V2452" s="4"/>
      <c r="W2452" s="4"/>
      <c r="X2452" s="4"/>
    </row>
    <row r="2453" spans="17:24" x14ac:dyDescent="0.3">
      <c r="Q2453" s="4"/>
      <c r="R2453" s="4"/>
      <c r="S2453" s="4"/>
      <c r="T2453" s="4"/>
      <c r="U2453" s="4"/>
      <c r="V2453" s="4"/>
      <c r="W2453" s="4"/>
      <c r="X2453" s="4"/>
    </row>
    <row r="2454" spans="17:24" x14ac:dyDescent="0.3">
      <c r="Q2454" s="4"/>
      <c r="R2454" s="4"/>
      <c r="S2454" s="4"/>
      <c r="T2454" s="4"/>
      <c r="U2454" s="4"/>
      <c r="V2454" s="4"/>
      <c r="W2454" s="4"/>
      <c r="X2454" s="4"/>
    </row>
    <row r="2455" spans="17:24" x14ac:dyDescent="0.3">
      <c r="Q2455" s="4"/>
      <c r="R2455" s="4"/>
      <c r="S2455" s="4"/>
      <c r="T2455" s="4"/>
      <c r="U2455" s="4"/>
      <c r="V2455" s="4"/>
      <c r="W2455" s="4"/>
      <c r="X2455" s="4"/>
    </row>
    <row r="2456" spans="17:24" x14ac:dyDescent="0.3">
      <c r="Q2456" s="4"/>
      <c r="R2456" s="4"/>
      <c r="S2456" s="4"/>
      <c r="T2456" s="4"/>
      <c r="U2456" s="4"/>
      <c r="V2456" s="4"/>
      <c r="W2456" s="4"/>
      <c r="X2456" s="4"/>
    </row>
    <row r="2457" spans="17:24" x14ac:dyDescent="0.3">
      <c r="Q2457" s="4"/>
      <c r="R2457" s="4"/>
      <c r="S2457" s="4"/>
      <c r="T2457" s="4"/>
      <c r="U2457" s="4"/>
      <c r="V2457" s="4"/>
      <c r="W2457" s="4"/>
      <c r="X2457" s="4"/>
    </row>
    <row r="2458" spans="17:24" x14ac:dyDescent="0.3">
      <c r="Q2458" s="4"/>
      <c r="R2458" s="4"/>
      <c r="S2458" s="4"/>
      <c r="T2458" s="4"/>
      <c r="U2458" s="4"/>
      <c r="V2458" s="4"/>
      <c r="W2458" s="4"/>
      <c r="X2458" s="4"/>
    </row>
    <row r="2459" spans="17:24" x14ac:dyDescent="0.3">
      <c r="Q2459" s="4"/>
      <c r="R2459" s="4"/>
      <c r="S2459" s="4"/>
      <c r="T2459" s="4"/>
      <c r="U2459" s="4"/>
      <c r="V2459" s="4"/>
      <c r="W2459" s="4"/>
      <c r="X2459" s="4"/>
    </row>
    <row r="2460" spans="17:24" x14ac:dyDescent="0.3">
      <c r="Q2460" s="4"/>
      <c r="R2460" s="4"/>
      <c r="S2460" s="4"/>
      <c r="T2460" s="4"/>
      <c r="U2460" s="4"/>
      <c r="V2460" s="4"/>
      <c r="W2460" s="4"/>
      <c r="X2460" s="4"/>
    </row>
    <row r="2461" spans="17:24" x14ac:dyDescent="0.3">
      <c r="Q2461" s="4"/>
      <c r="R2461" s="4"/>
      <c r="S2461" s="4"/>
      <c r="T2461" s="4"/>
      <c r="U2461" s="4"/>
      <c r="V2461" s="4"/>
      <c r="W2461" s="4"/>
      <c r="X2461" s="4"/>
    </row>
    <row r="2462" spans="17:24" x14ac:dyDescent="0.3">
      <c r="Q2462" s="4"/>
      <c r="R2462" s="4"/>
      <c r="S2462" s="4"/>
      <c r="T2462" s="4"/>
      <c r="U2462" s="4"/>
      <c r="V2462" s="4"/>
      <c r="W2462" s="4"/>
      <c r="X2462" s="4"/>
    </row>
    <row r="2463" spans="17:24" x14ac:dyDescent="0.3">
      <c r="Q2463" s="4"/>
      <c r="R2463" s="4"/>
      <c r="S2463" s="4"/>
      <c r="T2463" s="4"/>
      <c r="U2463" s="4"/>
      <c r="V2463" s="4"/>
      <c r="W2463" s="4"/>
      <c r="X2463" s="4"/>
    </row>
    <row r="2464" spans="17:24" x14ac:dyDescent="0.3">
      <c r="Q2464" s="4"/>
      <c r="R2464" s="4"/>
      <c r="S2464" s="4"/>
      <c r="T2464" s="4"/>
      <c r="U2464" s="4"/>
      <c r="V2464" s="4"/>
      <c r="W2464" s="4"/>
      <c r="X2464" s="4"/>
    </row>
    <row r="2465" spans="17:24" x14ac:dyDescent="0.3">
      <c r="Q2465" s="4"/>
      <c r="R2465" s="4"/>
      <c r="S2465" s="4"/>
      <c r="T2465" s="4"/>
      <c r="U2465" s="4"/>
      <c r="V2465" s="4"/>
      <c r="W2465" s="4"/>
      <c r="X2465" s="4"/>
    </row>
    <row r="2466" spans="17:24" x14ac:dyDescent="0.3">
      <c r="Q2466" s="4"/>
      <c r="R2466" s="4"/>
      <c r="S2466" s="4"/>
      <c r="T2466" s="4"/>
      <c r="U2466" s="4"/>
      <c r="V2466" s="4"/>
      <c r="W2466" s="4"/>
      <c r="X2466" s="4"/>
    </row>
    <row r="2467" spans="17:24" x14ac:dyDescent="0.3">
      <c r="Q2467" s="4"/>
      <c r="R2467" s="4"/>
      <c r="S2467" s="4"/>
      <c r="T2467" s="4"/>
      <c r="U2467" s="4"/>
      <c r="V2467" s="4"/>
      <c r="W2467" s="4"/>
      <c r="X2467" s="4"/>
    </row>
    <row r="2468" spans="17:24" x14ac:dyDescent="0.3">
      <c r="Q2468" s="4"/>
      <c r="R2468" s="4"/>
      <c r="S2468" s="4"/>
      <c r="T2468" s="4"/>
      <c r="U2468" s="4"/>
      <c r="V2468" s="4"/>
      <c r="W2468" s="4"/>
      <c r="X2468" s="4"/>
    </row>
    <row r="2469" spans="17:24" x14ac:dyDescent="0.3">
      <c r="Q2469" s="4"/>
      <c r="R2469" s="4"/>
      <c r="S2469" s="4"/>
      <c r="T2469" s="4"/>
      <c r="U2469" s="4"/>
      <c r="V2469" s="4"/>
      <c r="W2469" s="4"/>
      <c r="X2469" s="4"/>
    </row>
    <row r="2470" spans="17:24" x14ac:dyDescent="0.3">
      <c r="Q2470" s="4"/>
      <c r="R2470" s="4"/>
      <c r="S2470" s="4"/>
      <c r="T2470" s="4"/>
      <c r="U2470" s="4"/>
      <c r="V2470" s="4"/>
      <c r="W2470" s="4"/>
      <c r="X2470" s="4"/>
    </row>
    <row r="2471" spans="17:24" x14ac:dyDescent="0.3">
      <c r="Q2471" s="4"/>
      <c r="R2471" s="4"/>
      <c r="S2471" s="4"/>
      <c r="T2471" s="4"/>
      <c r="U2471" s="4"/>
      <c r="V2471" s="4"/>
      <c r="W2471" s="4"/>
      <c r="X2471" s="4"/>
    </row>
    <row r="2472" spans="17:24" x14ac:dyDescent="0.3">
      <c r="Q2472" s="4"/>
      <c r="R2472" s="4"/>
      <c r="S2472" s="4"/>
      <c r="T2472" s="4"/>
      <c r="U2472" s="4"/>
      <c r="V2472" s="4"/>
      <c r="W2472" s="4"/>
      <c r="X2472" s="4"/>
    </row>
    <row r="2473" spans="17:24" x14ac:dyDescent="0.3">
      <c r="Q2473" s="4"/>
      <c r="R2473" s="4"/>
      <c r="S2473" s="4"/>
      <c r="T2473" s="4"/>
      <c r="U2473" s="4"/>
      <c r="V2473" s="4"/>
      <c r="W2473" s="4"/>
      <c r="X2473" s="4"/>
    </row>
    <row r="2474" spans="17:24" x14ac:dyDescent="0.3">
      <c r="Q2474" s="4"/>
      <c r="R2474" s="4"/>
      <c r="S2474" s="4"/>
      <c r="T2474" s="4"/>
      <c r="U2474" s="4"/>
      <c r="V2474" s="4"/>
      <c r="W2474" s="4"/>
      <c r="X2474" s="4"/>
    </row>
    <row r="2475" spans="17:24" x14ac:dyDescent="0.3">
      <c r="Q2475" s="4"/>
      <c r="R2475" s="4"/>
      <c r="S2475" s="4"/>
      <c r="T2475" s="4"/>
      <c r="U2475" s="4"/>
      <c r="V2475" s="4"/>
      <c r="W2475" s="4"/>
      <c r="X2475" s="4"/>
    </row>
    <row r="2476" spans="17:24" x14ac:dyDescent="0.3">
      <c r="Q2476" s="4"/>
      <c r="R2476" s="4"/>
      <c r="S2476" s="4"/>
      <c r="T2476" s="4"/>
      <c r="U2476" s="4"/>
      <c r="V2476" s="4"/>
      <c r="W2476" s="4"/>
      <c r="X2476" s="4"/>
    </row>
    <row r="2477" spans="17:24" x14ac:dyDescent="0.3">
      <c r="Q2477" s="4"/>
      <c r="R2477" s="4"/>
      <c r="S2477" s="4"/>
      <c r="T2477" s="4"/>
      <c r="U2477" s="4"/>
      <c r="V2477" s="4"/>
      <c r="W2477" s="4"/>
      <c r="X2477" s="4"/>
    </row>
    <row r="2478" spans="17:24" x14ac:dyDescent="0.3">
      <c r="Q2478" s="4"/>
      <c r="R2478" s="4"/>
      <c r="S2478" s="4"/>
      <c r="T2478" s="4"/>
      <c r="U2478" s="4"/>
      <c r="V2478" s="4"/>
      <c r="W2478" s="4"/>
      <c r="X2478" s="4"/>
    </row>
    <row r="2479" spans="17:24" x14ac:dyDescent="0.3">
      <c r="Q2479" s="4"/>
      <c r="R2479" s="4"/>
      <c r="S2479" s="4"/>
      <c r="T2479" s="4"/>
      <c r="U2479" s="4"/>
      <c r="V2479" s="4"/>
      <c r="W2479" s="4"/>
      <c r="X2479" s="4"/>
    </row>
    <row r="2480" spans="17:24" x14ac:dyDescent="0.3">
      <c r="Q2480" s="4"/>
      <c r="R2480" s="4"/>
      <c r="S2480" s="4"/>
      <c r="T2480" s="4"/>
      <c r="U2480" s="4"/>
      <c r="V2480" s="4"/>
      <c r="W2480" s="4"/>
      <c r="X2480" s="4"/>
    </row>
    <row r="2481" spans="17:24" x14ac:dyDescent="0.3">
      <c r="Q2481" s="4"/>
      <c r="R2481" s="4"/>
      <c r="S2481" s="4"/>
      <c r="T2481" s="4"/>
      <c r="U2481" s="4"/>
      <c r="V2481" s="4"/>
      <c r="W2481" s="4"/>
      <c r="X2481" s="4"/>
    </row>
    <row r="2482" spans="17:24" x14ac:dyDescent="0.3">
      <c r="Q2482" s="4"/>
      <c r="R2482" s="4"/>
      <c r="S2482" s="4"/>
      <c r="T2482" s="4"/>
      <c r="U2482" s="4"/>
      <c r="V2482" s="4"/>
      <c r="W2482" s="4"/>
      <c r="X2482" s="4"/>
    </row>
    <row r="2483" spans="17:24" x14ac:dyDescent="0.3">
      <c r="Q2483" s="4"/>
      <c r="R2483" s="4"/>
      <c r="S2483" s="4"/>
      <c r="T2483" s="4"/>
      <c r="U2483" s="4"/>
      <c r="V2483" s="4"/>
      <c r="W2483" s="4"/>
      <c r="X2483" s="4"/>
    </row>
    <row r="2484" spans="17:24" x14ac:dyDescent="0.3">
      <c r="Q2484" s="4"/>
      <c r="R2484" s="4"/>
      <c r="S2484" s="4"/>
      <c r="T2484" s="4"/>
      <c r="U2484" s="4"/>
      <c r="V2484" s="4"/>
      <c r="W2484" s="4"/>
      <c r="X2484" s="4"/>
    </row>
    <row r="2485" spans="17:24" x14ac:dyDescent="0.3">
      <c r="Q2485" s="4"/>
      <c r="R2485" s="4"/>
      <c r="S2485" s="4"/>
      <c r="T2485" s="4"/>
      <c r="U2485" s="4"/>
      <c r="V2485" s="4"/>
      <c r="W2485" s="4"/>
      <c r="X2485" s="4"/>
    </row>
    <row r="2486" spans="17:24" x14ac:dyDescent="0.3">
      <c r="Q2486" s="4"/>
      <c r="R2486" s="4"/>
      <c r="S2486" s="4"/>
      <c r="T2486" s="4"/>
      <c r="U2486" s="4"/>
      <c r="V2486" s="4"/>
      <c r="W2486" s="4"/>
      <c r="X2486" s="4"/>
    </row>
    <row r="2487" spans="17:24" x14ac:dyDescent="0.3">
      <c r="Q2487" s="4"/>
      <c r="R2487" s="4"/>
      <c r="S2487" s="4"/>
      <c r="T2487" s="4"/>
      <c r="U2487" s="4"/>
      <c r="V2487" s="4"/>
      <c r="W2487" s="4"/>
      <c r="X2487" s="4"/>
    </row>
    <row r="2488" spans="17:24" x14ac:dyDescent="0.3">
      <c r="Q2488" s="4"/>
      <c r="R2488" s="4"/>
      <c r="S2488" s="4"/>
      <c r="T2488" s="4"/>
      <c r="U2488" s="4"/>
      <c r="V2488" s="4"/>
      <c r="W2488" s="4"/>
      <c r="X2488" s="4"/>
    </row>
    <row r="2489" spans="17:24" x14ac:dyDescent="0.3">
      <c r="Q2489" s="4"/>
      <c r="R2489" s="4"/>
      <c r="S2489" s="4"/>
      <c r="T2489" s="4"/>
      <c r="U2489" s="4"/>
      <c r="V2489" s="4"/>
      <c r="W2489" s="4"/>
      <c r="X2489" s="4"/>
    </row>
    <row r="2490" spans="17:24" x14ac:dyDescent="0.3">
      <c r="Q2490" s="4"/>
      <c r="R2490" s="4"/>
      <c r="S2490" s="4"/>
      <c r="T2490" s="4"/>
      <c r="U2490" s="4"/>
      <c r="V2490" s="4"/>
      <c r="W2490" s="4"/>
      <c r="X2490" s="4"/>
    </row>
    <row r="2491" spans="17:24" x14ac:dyDescent="0.3">
      <c r="Q2491" s="4"/>
      <c r="R2491" s="4"/>
      <c r="S2491" s="4"/>
      <c r="T2491" s="4"/>
      <c r="U2491" s="4"/>
      <c r="V2491" s="4"/>
      <c r="W2491" s="4"/>
      <c r="X2491" s="4"/>
    </row>
    <row r="2492" spans="17:24" x14ac:dyDescent="0.3">
      <c r="Q2492" s="4"/>
      <c r="R2492" s="4"/>
      <c r="S2492" s="4"/>
      <c r="T2492" s="4"/>
      <c r="U2492" s="4"/>
      <c r="V2492" s="4"/>
      <c r="W2492" s="4"/>
      <c r="X2492" s="4"/>
    </row>
    <row r="2493" spans="17:24" x14ac:dyDescent="0.3">
      <c r="Q2493" s="4"/>
      <c r="R2493" s="4"/>
      <c r="S2493" s="4"/>
      <c r="T2493" s="4"/>
      <c r="U2493" s="4"/>
      <c r="V2493" s="4"/>
      <c r="W2493" s="4"/>
      <c r="X2493" s="4"/>
    </row>
    <row r="2494" spans="17:24" x14ac:dyDescent="0.3">
      <c r="Q2494" s="4"/>
      <c r="R2494" s="4"/>
      <c r="S2494" s="4"/>
      <c r="T2494" s="4"/>
      <c r="U2494" s="4"/>
      <c r="V2494" s="4"/>
      <c r="W2494" s="4"/>
      <c r="X2494" s="4"/>
    </row>
    <row r="2495" spans="17:24" x14ac:dyDescent="0.3">
      <c r="Q2495" s="4"/>
      <c r="R2495" s="4"/>
      <c r="S2495" s="4"/>
      <c r="T2495" s="4"/>
      <c r="U2495" s="4"/>
      <c r="V2495" s="4"/>
      <c r="W2495" s="4"/>
      <c r="X2495" s="4"/>
    </row>
    <row r="2496" spans="17:24" x14ac:dyDescent="0.3">
      <c r="Q2496" s="4"/>
      <c r="R2496" s="4"/>
      <c r="S2496" s="4"/>
      <c r="T2496" s="4"/>
      <c r="U2496" s="4"/>
      <c r="V2496" s="4"/>
      <c r="W2496" s="4"/>
      <c r="X2496" s="4"/>
    </row>
    <row r="2497" spans="17:24" x14ac:dyDescent="0.3">
      <c r="Q2497" s="4"/>
      <c r="R2497" s="4"/>
      <c r="S2497" s="4"/>
      <c r="T2497" s="4"/>
      <c r="U2497" s="4"/>
      <c r="V2497" s="4"/>
      <c r="W2497" s="4"/>
      <c r="X2497" s="4"/>
    </row>
    <row r="2498" spans="17:24" x14ac:dyDescent="0.3">
      <c r="Q2498" s="4"/>
      <c r="R2498" s="4"/>
      <c r="S2498" s="4"/>
      <c r="T2498" s="4"/>
      <c r="U2498" s="4"/>
      <c r="V2498" s="4"/>
      <c r="W2498" s="4"/>
      <c r="X2498" s="4"/>
    </row>
    <row r="2499" spans="17:24" x14ac:dyDescent="0.3">
      <c r="Q2499" s="4"/>
      <c r="R2499" s="4"/>
      <c r="S2499" s="4"/>
      <c r="T2499" s="4"/>
      <c r="U2499" s="4"/>
      <c r="V2499" s="4"/>
      <c r="W2499" s="4"/>
      <c r="X2499" s="4"/>
    </row>
    <row r="2500" spans="17:24" x14ac:dyDescent="0.3">
      <c r="Q2500" s="4"/>
      <c r="R2500" s="4"/>
      <c r="S2500" s="4"/>
      <c r="T2500" s="4"/>
      <c r="U2500" s="4"/>
      <c r="V2500" s="4"/>
      <c r="W2500" s="4"/>
      <c r="X2500" s="4"/>
    </row>
    <row r="2501" spans="17:24" x14ac:dyDescent="0.3">
      <c r="Q2501" s="4"/>
      <c r="R2501" s="4"/>
      <c r="S2501" s="4"/>
      <c r="T2501" s="4"/>
      <c r="U2501" s="4"/>
      <c r="V2501" s="4"/>
      <c r="W2501" s="4"/>
      <c r="X2501" s="4"/>
    </row>
    <row r="2502" spans="17:24" x14ac:dyDescent="0.3">
      <c r="Q2502" s="4"/>
      <c r="R2502" s="4"/>
      <c r="S2502" s="4"/>
      <c r="T2502" s="4"/>
      <c r="U2502" s="4"/>
      <c r="V2502" s="4"/>
      <c r="W2502" s="4"/>
      <c r="X2502" s="4"/>
    </row>
    <row r="2503" spans="17:24" x14ac:dyDescent="0.3">
      <c r="Q2503" s="4"/>
      <c r="R2503" s="4"/>
      <c r="S2503" s="4"/>
      <c r="T2503" s="4"/>
      <c r="U2503" s="4"/>
      <c r="V2503" s="4"/>
      <c r="W2503" s="4"/>
      <c r="X2503" s="4"/>
    </row>
    <row r="2504" spans="17:24" x14ac:dyDescent="0.3">
      <c r="Q2504" s="4"/>
      <c r="R2504" s="4"/>
      <c r="S2504" s="4"/>
      <c r="T2504" s="4"/>
      <c r="U2504" s="4"/>
      <c r="V2504" s="4"/>
      <c r="W2504" s="4"/>
      <c r="X2504" s="4"/>
    </row>
    <row r="2505" spans="17:24" x14ac:dyDescent="0.3">
      <c r="Q2505" s="4"/>
      <c r="R2505" s="4"/>
      <c r="S2505" s="4"/>
      <c r="T2505" s="4"/>
      <c r="U2505" s="4"/>
      <c r="V2505" s="4"/>
      <c r="W2505" s="4"/>
      <c r="X2505" s="4"/>
    </row>
    <row r="2506" spans="17:24" x14ac:dyDescent="0.3">
      <c r="Q2506" s="4"/>
      <c r="R2506" s="4"/>
      <c r="S2506" s="4"/>
      <c r="T2506" s="4"/>
      <c r="U2506" s="4"/>
      <c r="V2506" s="4"/>
      <c r="W2506" s="4"/>
      <c r="X2506" s="4"/>
    </row>
    <row r="2507" spans="17:24" x14ac:dyDescent="0.3">
      <c r="Q2507" s="4"/>
      <c r="R2507" s="4"/>
      <c r="S2507" s="4"/>
      <c r="T2507" s="4"/>
      <c r="U2507" s="4"/>
      <c r="V2507" s="4"/>
      <c r="W2507" s="4"/>
      <c r="X2507" s="4"/>
    </row>
    <row r="2508" spans="17:24" x14ac:dyDescent="0.3">
      <c r="Q2508" s="4"/>
      <c r="R2508" s="4"/>
      <c r="S2508" s="4"/>
      <c r="T2508" s="4"/>
      <c r="U2508" s="4"/>
      <c r="V2508" s="4"/>
      <c r="W2508" s="4"/>
      <c r="X2508" s="4"/>
    </row>
    <row r="2509" spans="17:24" x14ac:dyDescent="0.3">
      <c r="Q2509" s="4"/>
      <c r="R2509" s="4"/>
      <c r="S2509" s="4"/>
      <c r="T2509" s="4"/>
      <c r="U2509" s="4"/>
      <c r="V2509" s="4"/>
      <c r="W2509" s="4"/>
      <c r="X2509" s="4"/>
    </row>
    <row r="2510" spans="17:24" x14ac:dyDescent="0.3">
      <c r="Q2510" s="4"/>
      <c r="R2510" s="4"/>
      <c r="S2510" s="4"/>
      <c r="T2510" s="4"/>
      <c r="U2510" s="4"/>
      <c r="V2510" s="4"/>
      <c r="W2510" s="4"/>
      <c r="X2510" s="4"/>
    </row>
    <row r="2511" spans="17:24" x14ac:dyDescent="0.3">
      <c r="Q2511" s="4"/>
      <c r="R2511" s="4"/>
      <c r="S2511" s="4"/>
      <c r="T2511" s="4"/>
      <c r="U2511" s="4"/>
      <c r="V2511" s="4"/>
      <c r="W2511" s="4"/>
      <c r="X2511" s="4"/>
    </row>
    <row r="2512" spans="17:24" x14ac:dyDescent="0.3">
      <c r="Q2512" s="4"/>
      <c r="R2512" s="4"/>
      <c r="S2512" s="4"/>
      <c r="T2512" s="4"/>
      <c r="U2512" s="4"/>
      <c r="V2512" s="4"/>
      <c r="W2512" s="4"/>
      <c r="X2512" s="4"/>
    </row>
    <row r="2513" spans="17:24" x14ac:dyDescent="0.3">
      <c r="Q2513" s="4"/>
      <c r="R2513" s="4"/>
      <c r="S2513" s="4"/>
      <c r="T2513" s="4"/>
      <c r="U2513" s="4"/>
      <c r="V2513" s="4"/>
      <c r="W2513" s="4"/>
      <c r="X2513" s="4"/>
    </row>
    <row r="2514" spans="17:24" x14ac:dyDescent="0.3">
      <c r="Q2514" s="4"/>
      <c r="R2514" s="4"/>
      <c r="S2514" s="4"/>
      <c r="T2514" s="4"/>
      <c r="U2514" s="4"/>
      <c r="V2514" s="4"/>
      <c r="W2514" s="4"/>
      <c r="X2514" s="4"/>
    </row>
    <row r="2515" spans="17:24" x14ac:dyDescent="0.3">
      <c r="Q2515" s="4"/>
      <c r="R2515" s="4"/>
      <c r="S2515" s="4"/>
      <c r="T2515" s="4"/>
      <c r="U2515" s="4"/>
      <c r="V2515" s="4"/>
      <c r="W2515" s="4"/>
      <c r="X2515" s="4"/>
    </row>
    <row r="2516" spans="17:24" x14ac:dyDescent="0.3">
      <c r="Q2516" s="4"/>
      <c r="R2516" s="4"/>
      <c r="S2516" s="4"/>
      <c r="T2516" s="4"/>
      <c r="U2516" s="4"/>
      <c r="V2516" s="4"/>
      <c r="W2516" s="4"/>
      <c r="X2516" s="4"/>
    </row>
    <row r="2517" spans="17:24" x14ac:dyDescent="0.3">
      <c r="Q2517" s="4"/>
      <c r="R2517" s="4"/>
      <c r="S2517" s="4"/>
      <c r="T2517" s="4"/>
      <c r="U2517" s="4"/>
      <c r="V2517" s="4"/>
      <c r="W2517" s="4"/>
      <c r="X2517" s="4"/>
    </row>
    <row r="2518" spans="17:24" x14ac:dyDescent="0.3">
      <c r="Q2518" s="4"/>
      <c r="R2518" s="4"/>
      <c r="S2518" s="4"/>
      <c r="T2518" s="4"/>
      <c r="U2518" s="4"/>
      <c r="V2518" s="4"/>
      <c r="W2518" s="4"/>
      <c r="X2518" s="4"/>
    </row>
    <row r="2519" spans="17:24" x14ac:dyDescent="0.3">
      <c r="Q2519" s="4"/>
      <c r="R2519" s="4"/>
      <c r="S2519" s="4"/>
      <c r="T2519" s="4"/>
      <c r="U2519" s="4"/>
      <c r="V2519" s="4"/>
      <c r="W2519" s="4"/>
      <c r="X2519" s="4"/>
    </row>
    <row r="2520" spans="17:24" x14ac:dyDescent="0.3">
      <c r="Q2520" s="4"/>
      <c r="R2520" s="4"/>
      <c r="S2520" s="4"/>
      <c r="T2520" s="4"/>
      <c r="U2520" s="4"/>
      <c r="V2520" s="4"/>
      <c r="W2520" s="4"/>
      <c r="X2520" s="4"/>
    </row>
    <row r="2521" spans="17:24" x14ac:dyDescent="0.3">
      <c r="Q2521" s="4"/>
      <c r="R2521" s="4"/>
      <c r="S2521" s="4"/>
      <c r="T2521" s="4"/>
      <c r="U2521" s="4"/>
      <c r="V2521" s="4"/>
      <c r="W2521" s="4"/>
      <c r="X2521" s="4"/>
    </row>
    <row r="2522" spans="17:24" x14ac:dyDescent="0.3">
      <c r="Q2522" s="4"/>
      <c r="R2522" s="4"/>
      <c r="S2522" s="4"/>
      <c r="T2522" s="4"/>
      <c r="U2522" s="4"/>
      <c r="V2522" s="4"/>
      <c r="W2522" s="4"/>
      <c r="X2522" s="4"/>
    </row>
    <row r="2523" spans="17:24" x14ac:dyDescent="0.3">
      <c r="Q2523" s="4"/>
      <c r="R2523" s="4"/>
      <c r="S2523" s="4"/>
      <c r="T2523" s="4"/>
      <c r="U2523" s="4"/>
      <c r="V2523" s="4"/>
      <c r="W2523" s="4"/>
      <c r="X2523" s="4"/>
    </row>
    <row r="2524" spans="17:24" x14ac:dyDescent="0.3">
      <c r="Q2524" s="4"/>
      <c r="R2524" s="4"/>
      <c r="S2524" s="4"/>
      <c r="T2524" s="4"/>
      <c r="U2524" s="4"/>
      <c r="V2524" s="4"/>
      <c r="W2524" s="4"/>
      <c r="X2524" s="4"/>
    </row>
    <row r="2525" spans="17:24" x14ac:dyDescent="0.3">
      <c r="Q2525" s="4"/>
      <c r="R2525" s="4"/>
      <c r="S2525" s="4"/>
      <c r="T2525" s="4"/>
      <c r="U2525" s="4"/>
      <c r="V2525" s="4"/>
      <c r="W2525" s="4"/>
      <c r="X2525" s="4"/>
    </row>
    <row r="2526" spans="17:24" x14ac:dyDescent="0.3">
      <c r="Q2526" s="4"/>
      <c r="R2526" s="4"/>
      <c r="S2526" s="4"/>
      <c r="T2526" s="4"/>
      <c r="U2526" s="4"/>
      <c r="V2526" s="4"/>
      <c r="W2526" s="4"/>
      <c r="X2526" s="4"/>
    </row>
    <row r="2527" spans="17:24" x14ac:dyDescent="0.3">
      <c r="Q2527" s="4"/>
      <c r="R2527" s="4"/>
      <c r="S2527" s="4"/>
      <c r="T2527" s="4"/>
      <c r="U2527" s="4"/>
      <c r="V2527" s="4"/>
      <c r="W2527" s="4"/>
      <c r="X2527" s="4"/>
    </row>
    <row r="2528" spans="17:24" x14ac:dyDescent="0.3">
      <c r="Q2528" s="4"/>
      <c r="R2528" s="4"/>
      <c r="S2528" s="4"/>
      <c r="T2528" s="4"/>
      <c r="U2528" s="4"/>
      <c r="V2528" s="4"/>
      <c r="W2528" s="4"/>
      <c r="X2528" s="4"/>
    </row>
    <row r="2529" spans="17:24" x14ac:dyDescent="0.3">
      <c r="Q2529" s="4"/>
      <c r="R2529" s="4"/>
      <c r="S2529" s="4"/>
      <c r="T2529" s="4"/>
      <c r="U2529" s="4"/>
      <c r="V2529" s="4"/>
      <c r="W2529" s="4"/>
      <c r="X2529" s="4"/>
    </row>
    <row r="2530" spans="17:24" x14ac:dyDescent="0.3">
      <c r="Q2530" s="4"/>
      <c r="R2530" s="4"/>
      <c r="S2530" s="4"/>
      <c r="T2530" s="4"/>
      <c r="U2530" s="4"/>
      <c r="V2530" s="4"/>
      <c r="W2530" s="4"/>
      <c r="X2530" s="4"/>
    </row>
    <row r="2531" spans="17:24" x14ac:dyDescent="0.3">
      <c r="Q2531" s="4"/>
      <c r="R2531" s="4"/>
      <c r="S2531" s="4"/>
      <c r="T2531" s="4"/>
      <c r="U2531" s="4"/>
      <c r="V2531" s="4"/>
      <c r="W2531" s="4"/>
      <c r="X2531" s="4"/>
    </row>
    <row r="2532" spans="17:24" x14ac:dyDescent="0.3">
      <c r="Q2532" s="4"/>
      <c r="R2532" s="4"/>
      <c r="S2532" s="4"/>
      <c r="T2532" s="4"/>
      <c r="U2532" s="4"/>
      <c r="V2532" s="4"/>
      <c r="W2532" s="4"/>
      <c r="X2532" s="4"/>
    </row>
    <row r="2533" spans="17:24" x14ac:dyDescent="0.3">
      <c r="Q2533" s="4"/>
      <c r="R2533" s="4"/>
      <c r="S2533" s="4"/>
      <c r="T2533" s="4"/>
      <c r="U2533" s="4"/>
      <c r="V2533" s="4"/>
      <c r="W2533" s="4"/>
      <c r="X2533" s="4"/>
    </row>
    <row r="2534" spans="17:24" x14ac:dyDescent="0.3">
      <c r="Q2534" s="4"/>
      <c r="R2534" s="4"/>
      <c r="S2534" s="4"/>
      <c r="T2534" s="4"/>
      <c r="U2534" s="4"/>
      <c r="V2534" s="4"/>
      <c r="W2534" s="4"/>
      <c r="X2534" s="4"/>
    </row>
    <row r="2535" spans="17:24" x14ac:dyDescent="0.3">
      <c r="Q2535" s="4"/>
      <c r="R2535" s="4"/>
      <c r="S2535" s="4"/>
      <c r="T2535" s="4"/>
      <c r="U2535" s="4"/>
      <c r="V2535" s="4"/>
      <c r="W2535" s="4"/>
      <c r="X2535" s="4"/>
    </row>
    <row r="2536" spans="17:24" x14ac:dyDescent="0.3">
      <c r="Q2536" s="4"/>
      <c r="R2536" s="4"/>
      <c r="S2536" s="4"/>
      <c r="T2536" s="4"/>
      <c r="U2536" s="4"/>
      <c r="V2536" s="4"/>
      <c r="W2536" s="4"/>
      <c r="X2536" s="4"/>
    </row>
    <row r="2537" spans="17:24" x14ac:dyDescent="0.3">
      <c r="Q2537" s="4"/>
      <c r="R2537" s="4"/>
      <c r="S2537" s="4"/>
      <c r="T2537" s="4"/>
      <c r="U2537" s="4"/>
      <c r="V2537" s="4"/>
      <c r="W2537" s="4"/>
      <c r="X2537" s="4"/>
    </row>
    <row r="2538" spans="17:24" x14ac:dyDescent="0.3">
      <c r="Q2538" s="4"/>
      <c r="R2538" s="4"/>
      <c r="S2538" s="4"/>
      <c r="T2538" s="4"/>
      <c r="U2538" s="4"/>
      <c r="V2538" s="4"/>
      <c r="W2538" s="4"/>
      <c r="X2538" s="4"/>
    </row>
    <row r="2539" spans="17:24" x14ac:dyDescent="0.3">
      <c r="Q2539" s="4"/>
      <c r="R2539" s="4"/>
      <c r="S2539" s="4"/>
      <c r="T2539" s="4"/>
      <c r="U2539" s="4"/>
      <c r="V2539" s="4"/>
      <c r="W2539" s="4"/>
      <c r="X2539" s="4"/>
    </row>
    <row r="2540" spans="17:24" x14ac:dyDescent="0.3">
      <c r="Q2540" s="4"/>
      <c r="R2540" s="4"/>
      <c r="S2540" s="4"/>
      <c r="T2540" s="4"/>
      <c r="U2540" s="4"/>
      <c r="V2540" s="4"/>
      <c r="W2540" s="4"/>
      <c r="X2540" s="4"/>
    </row>
    <row r="2541" spans="17:24" x14ac:dyDescent="0.3">
      <c r="Q2541" s="4"/>
      <c r="R2541" s="4"/>
      <c r="S2541" s="4"/>
      <c r="T2541" s="4"/>
      <c r="U2541" s="4"/>
      <c r="V2541" s="4"/>
      <c r="W2541" s="4"/>
      <c r="X2541" s="4"/>
    </row>
    <row r="2542" spans="17:24" x14ac:dyDescent="0.3">
      <c r="Q2542" s="4"/>
      <c r="R2542" s="4"/>
      <c r="S2542" s="4"/>
      <c r="T2542" s="4"/>
      <c r="U2542" s="4"/>
      <c r="V2542" s="4"/>
      <c r="W2542" s="4"/>
      <c r="X2542" s="4"/>
    </row>
    <row r="2543" spans="17:24" x14ac:dyDescent="0.3">
      <c r="Q2543" s="4"/>
      <c r="R2543" s="4"/>
      <c r="S2543" s="4"/>
      <c r="T2543" s="4"/>
      <c r="U2543" s="4"/>
      <c r="V2543" s="4"/>
      <c r="W2543" s="4"/>
      <c r="X2543" s="4"/>
    </row>
    <row r="2544" spans="17:24" x14ac:dyDescent="0.3">
      <c r="Q2544" s="4"/>
      <c r="R2544" s="4"/>
      <c r="S2544" s="4"/>
      <c r="T2544" s="4"/>
      <c r="U2544" s="4"/>
      <c r="V2544" s="4"/>
      <c r="W2544" s="4"/>
      <c r="X2544" s="4"/>
    </row>
    <row r="2545" spans="17:24" x14ac:dyDescent="0.3">
      <c r="Q2545" s="4"/>
      <c r="R2545" s="4"/>
      <c r="S2545" s="4"/>
      <c r="T2545" s="4"/>
      <c r="U2545" s="4"/>
      <c r="V2545" s="4"/>
      <c r="W2545" s="4"/>
      <c r="X2545" s="4"/>
    </row>
    <row r="2546" spans="17:24" x14ac:dyDescent="0.3">
      <c r="Q2546" s="4"/>
      <c r="R2546" s="4"/>
      <c r="S2546" s="4"/>
      <c r="T2546" s="4"/>
      <c r="U2546" s="4"/>
      <c r="V2546" s="4"/>
      <c r="W2546" s="4"/>
      <c r="X2546" s="4"/>
    </row>
    <row r="2547" spans="17:24" x14ac:dyDescent="0.3">
      <c r="Q2547" s="4"/>
      <c r="R2547" s="4"/>
      <c r="S2547" s="4"/>
      <c r="T2547" s="4"/>
      <c r="U2547" s="4"/>
      <c r="V2547" s="4"/>
      <c r="W2547" s="4"/>
      <c r="X2547" s="4"/>
    </row>
    <row r="2548" spans="17:24" x14ac:dyDescent="0.3">
      <c r="Q2548" s="4"/>
      <c r="R2548" s="4"/>
      <c r="S2548" s="4"/>
      <c r="T2548" s="4"/>
      <c r="U2548" s="4"/>
      <c r="V2548" s="4"/>
      <c r="W2548" s="4"/>
      <c r="X2548" s="4"/>
    </row>
    <row r="2549" spans="17:24" x14ac:dyDescent="0.3">
      <c r="Q2549" s="4"/>
      <c r="R2549" s="4"/>
      <c r="S2549" s="4"/>
      <c r="T2549" s="4"/>
      <c r="U2549" s="4"/>
      <c r="V2549" s="4"/>
      <c r="W2549" s="4"/>
      <c r="X2549" s="4"/>
    </row>
    <row r="2550" spans="17:24" x14ac:dyDescent="0.3">
      <c r="Q2550" s="4"/>
      <c r="R2550" s="4"/>
      <c r="S2550" s="4"/>
      <c r="T2550" s="4"/>
      <c r="U2550" s="4"/>
      <c r="V2550" s="4"/>
      <c r="W2550" s="4"/>
      <c r="X2550" s="4"/>
    </row>
    <row r="2551" spans="17:24" x14ac:dyDescent="0.3">
      <c r="Q2551" s="4"/>
      <c r="R2551" s="4"/>
      <c r="S2551" s="4"/>
      <c r="T2551" s="4"/>
      <c r="U2551" s="4"/>
      <c r="V2551" s="4"/>
      <c r="W2551" s="4"/>
      <c r="X2551" s="4"/>
    </row>
    <row r="2552" spans="17:24" x14ac:dyDescent="0.3">
      <c r="Q2552" s="4"/>
      <c r="R2552" s="4"/>
      <c r="S2552" s="4"/>
      <c r="T2552" s="4"/>
      <c r="U2552" s="4"/>
      <c r="V2552" s="4"/>
      <c r="W2552" s="4"/>
      <c r="X2552" s="4"/>
    </row>
    <row r="2553" spans="17:24" x14ac:dyDescent="0.3">
      <c r="Q2553" s="4"/>
      <c r="R2553" s="4"/>
      <c r="S2553" s="4"/>
      <c r="T2553" s="4"/>
      <c r="U2553" s="4"/>
      <c r="V2553" s="4"/>
      <c r="W2553" s="4"/>
      <c r="X2553" s="4"/>
    </row>
    <row r="2554" spans="17:24" x14ac:dyDescent="0.3">
      <c r="Q2554" s="4"/>
      <c r="R2554" s="4"/>
      <c r="S2554" s="4"/>
      <c r="T2554" s="4"/>
      <c r="U2554" s="4"/>
      <c r="V2554" s="4"/>
      <c r="W2554" s="4"/>
      <c r="X2554" s="4"/>
    </row>
    <row r="2555" spans="17:24" x14ac:dyDescent="0.3">
      <c r="Q2555" s="4"/>
      <c r="R2555" s="4"/>
      <c r="S2555" s="4"/>
      <c r="T2555" s="4"/>
      <c r="U2555" s="4"/>
      <c r="V2555" s="4"/>
      <c r="W2555" s="4"/>
      <c r="X2555" s="4"/>
    </row>
    <row r="2556" spans="17:24" x14ac:dyDescent="0.3">
      <c r="Q2556" s="4"/>
      <c r="R2556" s="4"/>
      <c r="S2556" s="4"/>
      <c r="T2556" s="4"/>
      <c r="U2556" s="4"/>
      <c r="V2556" s="4"/>
      <c r="W2556" s="4"/>
      <c r="X2556" s="4"/>
    </row>
    <row r="2557" spans="17:24" x14ac:dyDescent="0.3">
      <c r="Q2557" s="4"/>
      <c r="R2557" s="4"/>
      <c r="S2557" s="4"/>
      <c r="T2557" s="4"/>
      <c r="U2557" s="4"/>
      <c r="V2557" s="4"/>
      <c r="W2557" s="4"/>
      <c r="X2557" s="4"/>
    </row>
    <row r="2558" spans="17:24" x14ac:dyDescent="0.3">
      <c r="Q2558" s="4"/>
      <c r="R2558" s="4"/>
      <c r="S2558" s="4"/>
      <c r="T2558" s="4"/>
      <c r="U2558" s="4"/>
      <c r="V2558" s="4"/>
      <c r="W2558" s="4"/>
      <c r="X2558" s="4"/>
    </row>
    <row r="2559" spans="17:24" x14ac:dyDescent="0.3">
      <c r="Q2559" s="4"/>
      <c r="R2559" s="4"/>
      <c r="S2559" s="4"/>
      <c r="T2559" s="4"/>
      <c r="U2559" s="4"/>
      <c r="V2559" s="4"/>
      <c r="W2559" s="4"/>
      <c r="X2559" s="4"/>
    </row>
    <row r="2560" spans="17:24" x14ac:dyDescent="0.3">
      <c r="Q2560" s="4"/>
      <c r="R2560" s="4"/>
      <c r="S2560" s="4"/>
      <c r="T2560" s="4"/>
      <c r="U2560" s="4"/>
      <c r="V2560" s="4"/>
      <c r="W2560" s="4"/>
      <c r="X2560" s="4"/>
    </row>
    <row r="2561" spans="17:24" x14ac:dyDescent="0.3">
      <c r="Q2561" s="4"/>
      <c r="R2561" s="4"/>
      <c r="S2561" s="4"/>
      <c r="T2561" s="4"/>
      <c r="U2561" s="4"/>
      <c r="V2561" s="4"/>
      <c r="W2561" s="4"/>
      <c r="X2561" s="4"/>
    </row>
    <row r="2562" spans="17:24" x14ac:dyDescent="0.3">
      <c r="Q2562" s="4"/>
      <c r="R2562" s="4"/>
      <c r="S2562" s="4"/>
      <c r="T2562" s="4"/>
      <c r="U2562" s="4"/>
      <c r="V2562" s="4"/>
      <c r="W2562" s="4"/>
      <c r="X2562" s="4"/>
    </row>
    <row r="2563" spans="17:24" x14ac:dyDescent="0.3">
      <c r="Q2563" s="4"/>
      <c r="R2563" s="4"/>
      <c r="S2563" s="4"/>
      <c r="T2563" s="4"/>
      <c r="U2563" s="4"/>
      <c r="V2563" s="4"/>
      <c r="W2563" s="4"/>
      <c r="X2563" s="4"/>
    </row>
    <row r="2564" spans="17:24" x14ac:dyDescent="0.3">
      <c r="Q2564" s="4"/>
      <c r="R2564" s="4"/>
      <c r="S2564" s="4"/>
      <c r="T2564" s="4"/>
      <c r="U2564" s="4"/>
      <c r="V2564" s="4"/>
      <c r="W2564" s="4"/>
      <c r="X2564" s="4"/>
    </row>
    <row r="2565" spans="17:24" x14ac:dyDescent="0.3">
      <c r="Q2565" s="4"/>
      <c r="R2565" s="4"/>
      <c r="S2565" s="4"/>
      <c r="T2565" s="4"/>
      <c r="U2565" s="4"/>
      <c r="V2565" s="4"/>
      <c r="W2565" s="4"/>
      <c r="X2565" s="4"/>
    </row>
    <row r="2566" spans="17:24" x14ac:dyDescent="0.3">
      <c r="Q2566" s="4"/>
      <c r="R2566" s="4"/>
      <c r="S2566" s="4"/>
      <c r="T2566" s="4"/>
      <c r="U2566" s="4"/>
      <c r="V2566" s="4"/>
      <c r="W2566" s="4"/>
      <c r="X2566" s="4"/>
    </row>
    <row r="2567" spans="17:24" x14ac:dyDescent="0.3">
      <c r="Q2567" s="4"/>
      <c r="R2567" s="4"/>
      <c r="S2567" s="4"/>
      <c r="T2567" s="4"/>
      <c r="U2567" s="4"/>
      <c r="V2567" s="4"/>
      <c r="W2567" s="4"/>
      <c r="X2567" s="4"/>
    </row>
    <row r="2568" spans="17:24" x14ac:dyDescent="0.3">
      <c r="Q2568" s="4"/>
      <c r="R2568" s="4"/>
      <c r="S2568" s="4"/>
      <c r="T2568" s="4"/>
      <c r="U2568" s="4"/>
      <c r="V2568" s="4"/>
      <c r="W2568" s="4"/>
      <c r="X2568" s="4"/>
    </row>
    <row r="2569" spans="17:24" x14ac:dyDescent="0.3">
      <c r="Q2569" s="4"/>
      <c r="R2569" s="4"/>
      <c r="S2569" s="4"/>
      <c r="T2569" s="4"/>
      <c r="U2569" s="4"/>
      <c r="V2569" s="4"/>
      <c r="W2569" s="4"/>
      <c r="X2569" s="4"/>
    </row>
    <row r="2570" spans="17:24" x14ac:dyDescent="0.3">
      <c r="Q2570" s="4"/>
      <c r="R2570" s="4"/>
      <c r="S2570" s="4"/>
      <c r="T2570" s="4"/>
      <c r="U2570" s="4"/>
      <c r="V2570" s="4"/>
      <c r="W2570" s="4"/>
      <c r="X2570" s="4"/>
    </row>
    <row r="2571" spans="17:24" x14ac:dyDescent="0.3">
      <c r="Q2571" s="4"/>
      <c r="R2571" s="4"/>
      <c r="S2571" s="4"/>
      <c r="T2571" s="4"/>
      <c r="U2571" s="4"/>
      <c r="V2571" s="4"/>
      <c r="W2571" s="4"/>
      <c r="X2571" s="4"/>
    </row>
    <row r="2572" spans="17:24" x14ac:dyDescent="0.3">
      <c r="Q2572" s="4"/>
      <c r="R2572" s="4"/>
      <c r="S2572" s="4"/>
      <c r="T2572" s="4"/>
      <c r="U2572" s="4"/>
      <c r="V2572" s="4"/>
      <c r="W2572" s="4"/>
      <c r="X2572" s="4"/>
    </row>
    <row r="2573" spans="17:24" x14ac:dyDescent="0.3">
      <c r="Q2573" s="4"/>
      <c r="R2573" s="4"/>
      <c r="S2573" s="4"/>
      <c r="T2573" s="4"/>
      <c r="U2573" s="4"/>
      <c r="V2573" s="4"/>
      <c r="W2573" s="4"/>
      <c r="X2573" s="4"/>
    </row>
    <row r="2574" spans="17:24" x14ac:dyDescent="0.3">
      <c r="Q2574" s="4"/>
      <c r="R2574" s="4"/>
      <c r="S2574" s="4"/>
      <c r="T2574" s="4"/>
      <c r="U2574" s="4"/>
      <c r="V2574" s="4"/>
      <c r="W2574" s="4"/>
      <c r="X2574" s="4"/>
    </row>
    <row r="2575" spans="17:24" x14ac:dyDescent="0.3">
      <c r="Q2575" s="4"/>
      <c r="R2575" s="4"/>
      <c r="S2575" s="4"/>
      <c r="T2575" s="4"/>
      <c r="U2575" s="4"/>
      <c r="V2575" s="4"/>
      <c r="W2575" s="4"/>
      <c r="X2575" s="4"/>
    </row>
    <row r="2576" spans="17:24" x14ac:dyDescent="0.3">
      <c r="Q2576" s="4"/>
      <c r="R2576" s="4"/>
      <c r="S2576" s="4"/>
      <c r="T2576" s="4"/>
      <c r="U2576" s="4"/>
      <c r="V2576" s="4"/>
      <c r="W2576" s="4"/>
      <c r="X2576" s="4"/>
    </row>
    <row r="2577" spans="17:24" x14ac:dyDescent="0.3">
      <c r="Q2577" s="4"/>
      <c r="R2577" s="4"/>
      <c r="S2577" s="4"/>
      <c r="T2577" s="4"/>
      <c r="U2577" s="4"/>
      <c r="V2577" s="4"/>
      <c r="W2577" s="4"/>
      <c r="X2577" s="4"/>
    </row>
    <row r="2578" spans="17:24" x14ac:dyDescent="0.3">
      <c r="Q2578" s="4"/>
      <c r="R2578" s="4"/>
      <c r="S2578" s="4"/>
      <c r="T2578" s="4"/>
      <c r="U2578" s="4"/>
      <c r="V2578" s="4"/>
      <c r="W2578" s="4"/>
      <c r="X2578" s="4"/>
    </row>
    <row r="2579" spans="17:24" x14ac:dyDescent="0.3">
      <c r="Q2579" s="4"/>
      <c r="R2579" s="4"/>
      <c r="S2579" s="4"/>
      <c r="T2579" s="4"/>
      <c r="U2579" s="4"/>
      <c r="V2579" s="4"/>
      <c r="W2579" s="4"/>
      <c r="X2579" s="4"/>
    </row>
    <row r="2580" spans="17:24" x14ac:dyDescent="0.3">
      <c r="Q2580" s="4"/>
      <c r="R2580" s="4"/>
      <c r="S2580" s="4"/>
      <c r="T2580" s="4"/>
      <c r="U2580" s="4"/>
      <c r="V2580" s="4"/>
      <c r="W2580" s="4"/>
      <c r="X2580" s="4"/>
    </row>
    <row r="2581" spans="17:24" x14ac:dyDescent="0.3">
      <c r="Q2581" s="4"/>
      <c r="R2581" s="4"/>
      <c r="S2581" s="4"/>
      <c r="T2581" s="4"/>
      <c r="U2581" s="4"/>
      <c r="V2581" s="4"/>
      <c r="W2581" s="4"/>
      <c r="X2581" s="4"/>
    </row>
    <row r="2582" spans="17:24" x14ac:dyDescent="0.3">
      <c r="Q2582" s="4"/>
      <c r="R2582" s="4"/>
      <c r="S2582" s="4"/>
      <c r="T2582" s="4"/>
      <c r="U2582" s="4"/>
      <c r="V2582" s="4"/>
      <c r="W2582" s="4"/>
      <c r="X2582" s="4"/>
    </row>
    <row r="2583" spans="17:24" x14ac:dyDescent="0.3">
      <c r="Q2583" s="4"/>
      <c r="R2583" s="4"/>
      <c r="S2583" s="4"/>
      <c r="T2583" s="4"/>
      <c r="U2583" s="4"/>
      <c r="V2583" s="4"/>
      <c r="W2583" s="4"/>
      <c r="X2583" s="4"/>
    </row>
    <row r="2584" spans="17:24" x14ac:dyDescent="0.3">
      <c r="Q2584" s="4"/>
      <c r="R2584" s="4"/>
      <c r="S2584" s="4"/>
      <c r="T2584" s="4"/>
      <c r="U2584" s="4"/>
      <c r="V2584" s="4"/>
      <c r="W2584" s="4"/>
      <c r="X2584" s="4"/>
    </row>
    <row r="2585" spans="17:24" x14ac:dyDescent="0.3">
      <c r="Q2585" s="4"/>
      <c r="R2585" s="4"/>
      <c r="S2585" s="4"/>
      <c r="T2585" s="4"/>
      <c r="U2585" s="4"/>
      <c r="V2585" s="4"/>
      <c r="W2585" s="4"/>
      <c r="X2585" s="4"/>
    </row>
    <row r="2586" spans="17:24" x14ac:dyDescent="0.3">
      <c r="Q2586" s="4"/>
      <c r="R2586" s="4"/>
      <c r="S2586" s="4"/>
      <c r="T2586" s="4"/>
      <c r="U2586" s="4"/>
      <c r="V2586" s="4"/>
      <c r="W2586" s="4"/>
      <c r="X2586" s="4"/>
    </row>
    <row r="2587" spans="17:24" x14ac:dyDescent="0.3">
      <c r="Q2587" s="4"/>
      <c r="R2587" s="4"/>
      <c r="S2587" s="4"/>
      <c r="T2587" s="4"/>
      <c r="U2587" s="4"/>
      <c r="V2587" s="4"/>
      <c r="W2587" s="4"/>
      <c r="X2587" s="4"/>
    </row>
    <row r="2588" spans="17:24" x14ac:dyDescent="0.3">
      <c r="Q2588" s="4"/>
      <c r="R2588" s="4"/>
      <c r="S2588" s="4"/>
      <c r="T2588" s="4"/>
      <c r="U2588" s="4"/>
      <c r="V2588" s="4"/>
      <c r="W2588" s="4"/>
      <c r="X2588" s="4"/>
    </row>
    <row r="2589" spans="17:24" x14ac:dyDescent="0.3">
      <c r="Q2589" s="4"/>
      <c r="R2589" s="4"/>
      <c r="S2589" s="4"/>
      <c r="T2589" s="4"/>
      <c r="U2589" s="4"/>
      <c r="V2589" s="4"/>
      <c r="W2589" s="4"/>
      <c r="X2589" s="4"/>
    </row>
    <row r="2590" spans="17:24" x14ac:dyDescent="0.3">
      <c r="Q2590" s="4"/>
      <c r="R2590" s="4"/>
      <c r="S2590" s="4"/>
      <c r="T2590" s="4"/>
      <c r="U2590" s="4"/>
      <c r="V2590" s="4"/>
      <c r="W2590" s="4"/>
      <c r="X2590" s="4"/>
    </row>
    <row r="2591" spans="17:24" x14ac:dyDescent="0.3">
      <c r="Q2591" s="4"/>
      <c r="R2591" s="4"/>
      <c r="S2591" s="4"/>
      <c r="T2591" s="4"/>
      <c r="U2591" s="4"/>
      <c r="V2591" s="4"/>
      <c r="W2591" s="4"/>
      <c r="X2591" s="4"/>
    </row>
    <row r="2592" spans="17:24" x14ac:dyDescent="0.3">
      <c r="Q2592" s="4"/>
      <c r="R2592" s="4"/>
      <c r="S2592" s="4"/>
      <c r="T2592" s="4"/>
      <c r="U2592" s="4"/>
      <c r="V2592" s="4"/>
      <c r="W2592" s="4"/>
      <c r="X2592" s="4"/>
    </row>
    <row r="2593" spans="17:24" x14ac:dyDescent="0.3">
      <c r="Q2593" s="4"/>
      <c r="R2593" s="4"/>
      <c r="S2593" s="4"/>
      <c r="T2593" s="4"/>
      <c r="U2593" s="4"/>
      <c r="V2593" s="4"/>
      <c r="W2593" s="4"/>
      <c r="X2593" s="4"/>
    </row>
    <row r="2594" spans="17:24" x14ac:dyDescent="0.3">
      <c r="Q2594" s="4"/>
      <c r="R2594" s="4"/>
      <c r="S2594" s="4"/>
      <c r="T2594" s="4"/>
      <c r="U2594" s="4"/>
      <c r="V2594" s="4"/>
      <c r="W2594" s="4"/>
      <c r="X2594" s="4"/>
    </row>
    <row r="2595" spans="17:24" x14ac:dyDescent="0.3">
      <c r="Q2595" s="4"/>
      <c r="R2595" s="4"/>
      <c r="S2595" s="4"/>
      <c r="T2595" s="4"/>
      <c r="U2595" s="4"/>
      <c r="V2595" s="4"/>
      <c r="W2595" s="4"/>
      <c r="X2595" s="4"/>
    </row>
    <row r="2596" spans="17:24" x14ac:dyDescent="0.3">
      <c r="Q2596" s="4"/>
      <c r="R2596" s="4"/>
      <c r="S2596" s="4"/>
      <c r="T2596" s="4"/>
      <c r="U2596" s="4"/>
      <c r="V2596" s="4"/>
      <c r="W2596" s="4"/>
      <c r="X2596" s="4"/>
    </row>
    <row r="2597" spans="17:24" x14ac:dyDescent="0.3">
      <c r="Q2597" s="4"/>
      <c r="R2597" s="4"/>
      <c r="S2597" s="4"/>
      <c r="T2597" s="4"/>
      <c r="U2597" s="4"/>
      <c r="V2597" s="4"/>
      <c r="W2597" s="4"/>
      <c r="X2597" s="4"/>
    </row>
    <row r="2598" spans="17:24" x14ac:dyDescent="0.3">
      <c r="Q2598" s="4"/>
      <c r="R2598" s="4"/>
      <c r="S2598" s="4"/>
      <c r="T2598" s="4"/>
      <c r="U2598" s="4"/>
      <c r="V2598" s="4"/>
      <c r="W2598" s="4"/>
      <c r="X2598" s="4"/>
    </row>
    <row r="2599" spans="17:24" x14ac:dyDescent="0.3">
      <c r="Q2599" s="4"/>
      <c r="R2599" s="4"/>
      <c r="S2599" s="4"/>
      <c r="T2599" s="4"/>
      <c r="U2599" s="4"/>
      <c r="V2599" s="4"/>
      <c r="W2599" s="4"/>
      <c r="X2599" s="4"/>
    </row>
    <row r="2600" spans="17:24" x14ac:dyDescent="0.3">
      <c r="Q2600" s="4"/>
      <c r="R2600" s="4"/>
      <c r="S2600" s="4"/>
      <c r="T2600" s="4"/>
      <c r="U2600" s="4"/>
      <c r="V2600" s="4"/>
      <c r="W2600" s="4"/>
      <c r="X2600" s="4"/>
    </row>
    <row r="2601" spans="17:24" x14ac:dyDescent="0.3">
      <c r="Q2601" s="4"/>
      <c r="R2601" s="4"/>
      <c r="S2601" s="4"/>
      <c r="T2601" s="4"/>
      <c r="U2601" s="4"/>
      <c r="V2601" s="4"/>
      <c r="W2601" s="4"/>
      <c r="X2601" s="4"/>
    </row>
    <row r="2602" spans="17:24" x14ac:dyDescent="0.3">
      <c r="Q2602" s="4"/>
      <c r="R2602" s="4"/>
      <c r="S2602" s="4"/>
      <c r="T2602" s="4"/>
      <c r="U2602" s="4"/>
      <c r="V2602" s="4"/>
      <c r="W2602" s="4"/>
      <c r="X2602" s="4"/>
    </row>
    <row r="2603" spans="17:24" x14ac:dyDescent="0.3">
      <c r="Q2603" s="4"/>
      <c r="R2603" s="4"/>
      <c r="S2603" s="4"/>
      <c r="T2603" s="4"/>
      <c r="U2603" s="4"/>
      <c r="V2603" s="4"/>
      <c r="W2603" s="4"/>
      <c r="X2603" s="4"/>
    </row>
    <row r="2604" spans="17:24" x14ac:dyDescent="0.3">
      <c r="Q2604" s="4"/>
      <c r="R2604" s="4"/>
      <c r="S2604" s="4"/>
      <c r="T2604" s="4"/>
      <c r="U2604" s="4"/>
      <c r="V2604" s="4"/>
      <c r="W2604" s="4"/>
      <c r="X2604" s="4"/>
    </row>
    <row r="2605" spans="17:24" x14ac:dyDescent="0.3">
      <c r="Q2605" s="4"/>
      <c r="R2605" s="4"/>
      <c r="S2605" s="4"/>
      <c r="T2605" s="4"/>
      <c r="U2605" s="4"/>
      <c r="V2605" s="4"/>
      <c r="W2605" s="4"/>
      <c r="X2605" s="4"/>
    </row>
    <row r="2606" spans="17:24" x14ac:dyDescent="0.3">
      <c r="Q2606" s="4"/>
      <c r="R2606" s="4"/>
      <c r="S2606" s="4"/>
      <c r="T2606" s="4"/>
      <c r="U2606" s="4"/>
      <c r="V2606" s="4"/>
      <c r="W2606" s="4"/>
      <c r="X2606" s="4"/>
    </row>
    <row r="2607" spans="17:24" x14ac:dyDescent="0.3">
      <c r="Q2607" s="4"/>
      <c r="R2607" s="4"/>
      <c r="S2607" s="4"/>
      <c r="T2607" s="4"/>
      <c r="U2607" s="4"/>
      <c r="V2607" s="4"/>
      <c r="W2607" s="4"/>
      <c r="X2607" s="4"/>
    </row>
    <row r="2608" spans="17:24" x14ac:dyDescent="0.3">
      <c r="Q2608" s="4"/>
      <c r="R2608" s="4"/>
      <c r="S2608" s="4"/>
      <c r="T2608" s="4"/>
      <c r="U2608" s="4"/>
      <c r="V2608" s="4"/>
      <c r="W2608" s="4"/>
      <c r="X2608" s="4"/>
    </row>
    <row r="2609" spans="17:24" x14ac:dyDescent="0.3">
      <c r="Q2609" s="4"/>
      <c r="R2609" s="4"/>
      <c r="S2609" s="4"/>
      <c r="T2609" s="4"/>
      <c r="U2609" s="4"/>
      <c r="V2609" s="4"/>
      <c r="W2609" s="4"/>
      <c r="X2609" s="4"/>
    </row>
    <row r="2610" spans="17:24" x14ac:dyDescent="0.3">
      <c r="Q2610" s="4"/>
      <c r="R2610" s="4"/>
      <c r="S2610" s="4"/>
      <c r="T2610" s="4"/>
      <c r="U2610" s="4"/>
      <c r="V2610" s="4"/>
      <c r="W2610" s="4"/>
      <c r="X2610" s="4"/>
    </row>
    <row r="2611" spans="17:24" x14ac:dyDescent="0.3">
      <c r="Q2611" s="4"/>
      <c r="R2611" s="4"/>
      <c r="S2611" s="4"/>
      <c r="T2611" s="4"/>
      <c r="U2611" s="4"/>
      <c r="V2611" s="4"/>
      <c r="W2611" s="4"/>
      <c r="X2611" s="4"/>
    </row>
    <row r="2612" spans="17:24" x14ac:dyDescent="0.3">
      <c r="Q2612" s="4"/>
      <c r="R2612" s="4"/>
      <c r="S2612" s="4"/>
      <c r="T2612" s="4"/>
      <c r="U2612" s="4"/>
      <c r="V2612" s="4"/>
      <c r="W2612" s="4"/>
      <c r="X2612" s="4"/>
    </row>
    <row r="2613" spans="17:24" x14ac:dyDescent="0.3">
      <c r="Q2613" s="4"/>
      <c r="R2613" s="4"/>
      <c r="S2613" s="4"/>
      <c r="T2613" s="4"/>
      <c r="U2613" s="4"/>
      <c r="V2613" s="4"/>
      <c r="W2613" s="4"/>
      <c r="X2613" s="4"/>
    </row>
    <row r="2614" spans="17:24" x14ac:dyDescent="0.3">
      <c r="Q2614" s="4"/>
      <c r="R2614" s="4"/>
      <c r="S2614" s="4"/>
      <c r="T2614" s="4"/>
      <c r="U2614" s="4"/>
      <c r="V2614" s="4"/>
      <c r="W2614" s="4"/>
      <c r="X2614" s="4"/>
    </row>
    <row r="2615" spans="17:24" x14ac:dyDescent="0.3">
      <c r="Q2615" s="4"/>
      <c r="R2615" s="4"/>
      <c r="S2615" s="4"/>
      <c r="T2615" s="4"/>
      <c r="U2615" s="4"/>
      <c r="V2615" s="4"/>
      <c r="W2615" s="4"/>
      <c r="X2615" s="4"/>
    </row>
    <row r="2616" spans="17:24" x14ac:dyDescent="0.3">
      <c r="Q2616" s="4"/>
      <c r="R2616" s="4"/>
      <c r="S2616" s="4"/>
      <c r="T2616" s="4"/>
      <c r="U2616" s="4"/>
      <c r="V2616" s="4"/>
      <c r="W2616" s="4"/>
      <c r="X2616" s="4"/>
    </row>
    <row r="2617" spans="17:24" x14ac:dyDescent="0.3">
      <c r="Q2617" s="4"/>
      <c r="R2617" s="4"/>
      <c r="S2617" s="4"/>
      <c r="T2617" s="4"/>
      <c r="U2617" s="4"/>
      <c r="V2617" s="4"/>
      <c r="W2617" s="4"/>
      <c r="X2617" s="4"/>
    </row>
    <row r="2618" spans="17:24" x14ac:dyDescent="0.3">
      <c r="Q2618" s="4"/>
      <c r="R2618" s="4"/>
      <c r="S2618" s="4"/>
      <c r="T2618" s="4"/>
      <c r="U2618" s="4"/>
      <c r="V2618" s="4"/>
      <c r="W2618" s="4"/>
      <c r="X2618" s="4"/>
    </row>
    <row r="2619" spans="17:24" x14ac:dyDescent="0.3">
      <c r="Q2619" s="4"/>
      <c r="R2619" s="4"/>
      <c r="S2619" s="4"/>
      <c r="T2619" s="4"/>
      <c r="U2619" s="4"/>
      <c r="V2619" s="4"/>
      <c r="W2619" s="4"/>
      <c r="X2619" s="4"/>
    </row>
    <row r="2620" spans="17:24" x14ac:dyDescent="0.3">
      <c r="Q2620" s="4"/>
      <c r="R2620" s="4"/>
      <c r="S2620" s="4"/>
      <c r="T2620" s="4"/>
      <c r="U2620" s="4"/>
      <c r="V2620" s="4"/>
      <c r="W2620" s="4"/>
      <c r="X2620" s="4"/>
    </row>
    <row r="2621" spans="17:24" x14ac:dyDescent="0.3">
      <c r="Q2621" s="4"/>
      <c r="R2621" s="4"/>
      <c r="S2621" s="4"/>
      <c r="T2621" s="4"/>
      <c r="U2621" s="4"/>
      <c r="V2621" s="4"/>
      <c r="W2621" s="4"/>
      <c r="X2621" s="4"/>
    </row>
    <row r="2622" spans="17:24" x14ac:dyDescent="0.3">
      <c r="Q2622" s="4"/>
      <c r="R2622" s="4"/>
      <c r="S2622" s="4"/>
      <c r="T2622" s="4"/>
      <c r="U2622" s="4"/>
      <c r="V2622" s="4"/>
      <c r="W2622" s="4"/>
      <c r="X2622" s="4"/>
    </row>
    <row r="2623" spans="17:24" x14ac:dyDescent="0.3">
      <c r="Q2623" s="4"/>
      <c r="R2623" s="4"/>
      <c r="S2623" s="4"/>
      <c r="T2623" s="4"/>
      <c r="U2623" s="4"/>
      <c r="V2623" s="4"/>
      <c r="W2623" s="4"/>
      <c r="X2623" s="4"/>
    </row>
    <row r="2624" spans="17:24" x14ac:dyDescent="0.3">
      <c r="Q2624" s="4"/>
      <c r="R2624" s="4"/>
      <c r="S2624" s="4"/>
      <c r="T2624" s="4"/>
      <c r="U2624" s="4"/>
      <c r="V2624" s="4"/>
      <c r="W2624" s="4"/>
      <c r="X2624" s="4"/>
    </row>
    <row r="2625" spans="17:24" x14ac:dyDescent="0.3">
      <c r="Q2625" s="4"/>
      <c r="R2625" s="4"/>
      <c r="S2625" s="4"/>
      <c r="T2625" s="4"/>
      <c r="U2625" s="4"/>
      <c r="V2625" s="4"/>
      <c r="W2625" s="4"/>
      <c r="X2625" s="4"/>
    </row>
    <row r="2626" spans="17:24" x14ac:dyDescent="0.3">
      <c r="Q2626" s="4"/>
      <c r="R2626" s="4"/>
      <c r="S2626" s="4"/>
      <c r="T2626" s="4"/>
      <c r="U2626" s="4"/>
      <c r="V2626" s="4"/>
      <c r="W2626" s="4"/>
      <c r="X2626" s="4"/>
    </row>
    <row r="2627" spans="17:24" x14ac:dyDescent="0.3">
      <c r="Q2627" s="4"/>
      <c r="R2627" s="4"/>
      <c r="S2627" s="4"/>
      <c r="T2627" s="4"/>
      <c r="U2627" s="4"/>
      <c r="V2627" s="4"/>
      <c r="W2627" s="4"/>
      <c r="X2627" s="4"/>
    </row>
    <row r="2628" spans="17:24" x14ac:dyDescent="0.3">
      <c r="Q2628" s="4"/>
      <c r="R2628" s="4"/>
      <c r="S2628" s="4"/>
      <c r="T2628" s="4"/>
      <c r="U2628" s="4"/>
      <c r="V2628" s="4"/>
      <c r="W2628" s="4"/>
      <c r="X2628" s="4"/>
    </row>
    <row r="2629" spans="17:24" x14ac:dyDescent="0.3">
      <c r="Q2629" s="4"/>
      <c r="R2629" s="4"/>
      <c r="S2629" s="4"/>
      <c r="T2629" s="4"/>
      <c r="U2629" s="4"/>
      <c r="V2629" s="4"/>
      <c r="W2629" s="4"/>
      <c r="X2629" s="4"/>
    </row>
    <row r="2630" spans="17:24" x14ac:dyDescent="0.3">
      <c r="Q2630" s="4"/>
      <c r="R2630" s="4"/>
      <c r="S2630" s="4"/>
      <c r="T2630" s="4"/>
      <c r="U2630" s="4"/>
      <c r="V2630" s="4"/>
      <c r="W2630" s="4"/>
      <c r="X2630" s="4"/>
    </row>
    <row r="2631" spans="17:24" x14ac:dyDescent="0.3">
      <c r="Q2631" s="4"/>
      <c r="R2631" s="4"/>
      <c r="S2631" s="4"/>
      <c r="T2631" s="4"/>
      <c r="U2631" s="4"/>
      <c r="V2631" s="4"/>
      <c r="W2631" s="4"/>
      <c r="X2631" s="4"/>
    </row>
    <row r="2632" spans="17:24" x14ac:dyDescent="0.3">
      <c r="Q2632" s="4"/>
      <c r="R2632" s="4"/>
      <c r="S2632" s="4"/>
      <c r="T2632" s="4"/>
      <c r="U2632" s="4"/>
      <c r="V2632" s="4"/>
      <c r="W2632" s="4"/>
      <c r="X2632" s="4"/>
    </row>
    <row r="2633" spans="17:24" x14ac:dyDescent="0.3">
      <c r="Q2633" s="4"/>
      <c r="R2633" s="4"/>
      <c r="S2633" s="4"/>
      <c r="T2633" s="4"/>
      <c r="U2633" s="4"/>
      <c r="V2633" s="4"/>
      <c r="W2633" s="4"/>
      <c r="X2633" s="4"/>
    </row>
    <row r="2634" spans="17:24" x14ac:dyDescent="0.3">
      <c r="Q2634" s="4"/>
      <c r="R2634" s="4"/>
      <c r="S2634" s="4"/>
      <c r="T2634" s="4"/>
      <c r="U2634" s="4"/>
      <c r="V2634" s="4"/>
      <c r="W2634" s="4"/>
      <c r="X2634" s="4"/>
    </row>
    <row r="2635" spans="17:24" x14ac:dyDescent="0.3">
      <c r="Q2635" s="4"/>
      <c r="R2635" s="4"/>
      <c r="S2635" s="4"/>
      <c r="T2635" s="4"/>
      <c r="U2635" s="4"/>
      <c r="V2635" s="4"/>
      <c r="W2635" s="4"/>
      <c r="X2635" s="4"/>
    </row>
    <row r="2636" spans="17:24" x14ac:dyDescent="0.3">
      <c r="Q2636" s="4"/>
      <c r="R2636" s="4"/>
      <c r="S2636" s="4"/>
      <c r="T2636" s="4"/>
      <c r="U2636" s="4"/>
      <c r="V2636" s="4"/>
      <c r="W2636" s="4"/>
      <c r="X2636" s="4"/>
    </row>
    <row r="2637" spans="17:24" x14ac:dyDescent="0.3">
      <c r="Q2637" s="4"/>
      <c r="R2637" s="4"/>
      <c r="S2637" s="4"/>
      <c r="T2637" s="4"/>
      <c r="U2637" s="4"/>
      <c r="V2637" s="4"/>
      <c r="W2637" s="4"/>
      <c r="X2637" s="4"/>
    </row>
    <row r="2638" spans="17:24" x14ac:dyDescent="0.3">
      <c r="Q2638" s="4"/>
      <c r="R2638" s="4"/>
      <c r="S2638" s="4"/>
      <c r="T2638" s="4"/>
      <c r="U2638" s="4"/>
      <c r="V2638" s="4"/>
      <c r="W2638" s="4"/>
      <c r="X2638" s="4"/>
    </row>
    <row r="2639" spans="17:24" x14ac:dyDescent="0.3">
      <c r="Q2639" s="4"/>
      <c r="R2639" s="4"/>
      <c r="S2639" s="4"/>
      <c r="T2639" s="4"/>
      <c r="U2639" s="4"/>
      <c r="V2639" s="4"/>
      <c r="W2639" s="4"/>
      <c r="X2639" s="4"/>
    </row>
    <row r="2640" spans="17:24" x14ac:dyDescent="0.3">
      <c r="Q2640" s="4"/>
      <c r="R2640" s="4"/>
      <c r="S2640" s="4"/>
      <c r="T2640" s="4"/>
      <c r="U2640" s="4"/>
      <c r="V2640" s="4"/>
      <c r="W2640" s="4"/>
      <c r="X2640" s="4"/>
    </row>
    <row r="2641" spans="17:24" x14ac:dyDescent="0.3">
      <c r="Q2641" s="4"/>
      <c r="R2641" s="4"/>
      <c r="S2641" s="4"/>
      <c r="T2641" s="4"/>
      <c r="U2641" s="4"/>
      <c r="V2641" s="4"/>
      <c r="W2641" s="4"/>
      <c r="X2641" s="4"/>
    </row>
    <row r="2642" spans="17:24" x14ac:dyDescent="0.3">
      <c r="Q2642" s="4"/>
      <c r="R2642" s="4"/>
      <c r="S2642" s="4"/>
      <c r="T2642" s="4"/>
      <c r="U2642" s="4"/>
      <c r="V2642" s="4"/>
      <c r="W2642" s="4"/>
      <c r="X2642" s="4"/>
    </row>
    <row r="2643" spans="17:24" x14ac:dyDescent="0.3">
      <c r="Q2643" s="4"/>
      <c r="R2643" s="4"/>
      <c r="S2643" s="4"/>
      <c r="T2643" s="4"/>
      <c r="U2643" s="4"/>
      <c r="V2643" s="4"/>
      <c r="W2643" s="4"/>
      <c r="X2643" s="4"/>
    </row>
    <row r="2644" spans="17:24" x14ac:dyDescent="0.3">
      <c r="Q2644" s="4"/>
      <c r="R2644" s="4"/>
      <c r="S2644" s="4"/>
      <c r="T2644" s="4"/>
      <c r="U2644" s="4"/>
      <c r="V2644" s="4"/>
      <c r="W2644" s="4"/>
      <c r="X2644" s="4"/>
    </row>
    <row r="2645" spans="17:24" x14ac:dyDescent="0.3">
      <c r="Q2645" s="4"/>
      <c r="R2645" s="4"/>
      <c r="S2645" s="4"/>
      <c r="T2645" s="4"/>
      <c r="U2645" s="4"/>
      <c r="V2645" s="4"/>
      <c r="W2645" s="4"/>
      <c r="X2645" s="4"/>
    </row>
    <row r="2646" spans="17:24" x14ac:dyDescent="0.3">
      <c r="Q2646" s="4"/>
      <c r="R2646" s="4"/>
      <c r="S2646" s="4"/>
      <c r="T2646" s="4"/>
      <c r="U2646" s="4"/>
      <c r="V2646" s="4"/>
      <c r="W2646" s="4"/>
      <c r="X2646" s="4"/>
    </row>
    <row r="2647" spans="17:24" x14ac:dyDescent="0.3">
      <c r="Q2647" s="4"/>
      <c r="R2647" s="4"/>
      <c r="S2647" s="4"/>
      <c r="T2647" s="4"/>
      <c r="U2647" s="4"/>
      <c r="V2647" s="4"/>
      <c r="W2647" s="4"/>
      <c r="X2647" s="4"/>
    </row>
    <row r="2648" spans="17:24" x14ac:dyDescent="0.3">
      <c r="Q2648" s="4"/>
      <c r="R2648" s="4"/>
      <c r="S2648" s="4"/>
      <c r="T2648" s="4"/>
      <c r="U2648" s="4"/>
      <c r="V2648" s="4"/>
      <c r="W2648" s="4"/>
      <c r="X2648" s="4"/>
    </row>
    <row r="2649" spans="17:24" x14ac:dyDescent="0.3">
      <c r="Q2649" s="4"/>
      <c r="R2649" s="4"/>
      <c r="S2649" s="4"/>
      <c r="T2649" s="4"/>
      <c r="U2649" s="4"/>
      <c r="V2649" s="4"/>
      <c r="W2649" s="4"/>
      <c r="X2649" s="4"/>
    </row>
    <row r="2650" spans="17:24" x14ac:dyDescent="0.3">
      <c r="Q2650" s="4"/>
      <c r="R2650" s="4"/>
      <c r="S2650" s="4"/>
      <c r="T2650" s="4"/>
      <c r="U2650" s="4"/>
      <c r="V2650" s="4"/>
      <c r="W2650" s="4"/>
      <c r="X2650" s="4"/>
    </row>
    <row r="2651" spans="17:24" x14ac:dyDescent="0.3">
      <c r="Q2651" s="4"/>
      <c r="R2651" s="4"/>
      <c r="S2651" s="4"/>
      <c r="T2651" s="4"/>
      <c r="U2651" s="4"/>
      <c r="V2651" s="4"/>
      <c r="W2651" s="4"/>
      <c r="X2651" s="4"/>
    </row>
    <row r="2652" spans="17:24" x14ac:dyDescent="0.3">
      <c r="Q2652" s="4"/>
      <c r="R2652" s="4"/>
      <c r="S2652" s="4"/>
      <c r="T2652" s="4"/>
      <c r="U2652" s="4"/>
      <c r="V2652" s="4"/>
      <c r="W2652" s="4"/>
      <c r="X2652" s="4"/>
    </row>
    <row r="2653" spans="17:24" x14ac:dyDescent="0.3">
      <c r="Q2653" s="4"/>
      <c r="R2653" s="4"/>
      <c r="S2653" s="4"/>
      <c r="T2653" s="4"/>
      <c r="U2653" s="4"/>
      <c r="V2653" s="4"/>
      <c r="W2653" s="4"/>
      <c r="X2653" s="4"/>
    </row>
    <row r="2654" spans="17:24" x14ac:dyDescent="0.3">
      <c r="Q2654" s="4"/>
      <c r="R2654" s="4"/>
      <c r="S2654" s="4"/>
      <c r="T2654" s="4"/>
      <c r="U2654" s="4"/>
      <c r="V2654" s="4"/>
      <c r="W2654" s="4"/>
      <c r="X2654" s="4"/>
    </row>
    <row r="2655" spans="17:24" x14ac:dyDescent="0.3">
      <c r="Q2655" s="4"/>
      <c r="R2655" s="4"/>
      <c r="S2655" s="4"/>
      <c r="T2655" s="4"/>
      <c r="U2655" s="4"/>
      <c r="V2655" s="4"/>
      <c r="W2655" s="4"/>
      <c r="X2655" s="4"/>
    </row>
    <row r="2656" spans="17:24" x14ac:dyDescent="0.3">
      <c r="Q2656" s="4"/>
      <c r="R2656" s="4"/>
      <c r="S2656" s="4"/>
      <c r="T2656" s="4"/>
      <c r="U2656" s="4"/>
      <c r="V2656" s="4"/>
      <c r="W2656" s="4"/>
      <c r="X2656" s="4"/>
    </row>
    <row r="2657" spans="17:24" x14ac:dyDescent="0.3">
      <c r="Q2657" s="4"/>
      <c r="R2657" s="4"/>
      <c r="S2657" s="4"/>
      <c r="T2657" s="4"/>
      <c r="U2657" s="4"/>
      <c r="V2657" s="4"/>
      <c r="W2657" s="4"/>
      <c r="X2657" s="4"/>
    </row>
    <row r="2658" spans="17:24" x14ac:dyDescent="0.3">
      <c r="Q2658" s="4"/>
      <c r="R2658" s="4"/>
      <c r="S2658" s="4"/>
      <c r="T2658" s="4"/>
      <c r="U2658" s="4"/>
      <c r="V2658" s="4"/>
      <c r="W2658" s="4"/>
      <c r="X2658" s="4"/>
    </row>
    <row r="2659" spans="17:24" x14ac:dyDescent="0.3">
      <c r="Q2659" s="4"/>
      <c r="R2659" s="4"/>
      <c r="S2659" s="4"/>
      <c r="T2659" s="4"/>
      <c r="U2659" s="4"/>
      <c r="V2659" s="4"/>
      <c r="W2659" s="4"/>
      <c r="X2659" s="4"/>
    </row>
    <row r="2660" spans="17:24" x14ac:dyDescent="0.3">
      <c r="Q2660" s="4"/>
      <c r="R2660" s="4"/>
      <c r="S2660" s="4"/>
      <c r="T2660" s="4"/>
      <c r="U2660" s="4"/>
      <c r="V2660" s="4"/>
      <c r="W2660" s="4"/>
      <c r="X2660" s="4"/>
    </row>
    <row r="2661" spans="17:24" x14ac:dyDescent="0.3">
      <c r="Q2661" s="4"/>
      <c r="R2661" s="4"/>
      <c r="S2661" s="4"/>
      <c r="T2661" s="4"/>
      <c r="U2661" s="4"/>
      <c r="V2661" s="4"/>
      <c r="W2661" s="4"/>
      <c r="X2661" s="4"/>
    </row>
    <row r="2662" spans="17:24" x14ac:dyDescent="0.3">
      <c r="Q2662" s="4"/>
      <c r="R2662" s="4"/>
      <c r="S2662" s="4"/>
      <c r="T2662" s="4"/>
      <c r="U2662" s="4"/>
      <c r="V2662" s="4"/>
      <c r="W2662" s="4"/>
      <c r="X2662" s="4"/>
    </row>
    <row r="2663" spans="17:24" x14ac:dyDescent="0.3">
      <c r="Q2663" s="4"/>
      <c r="R2663" s="4"/>
      <c r="S2663" s="4"/>
      <c r="T2663" s="4"/>
      <c r="U2663" s="4"/>
      <c r="V2663" s="4"/>
      <c r="W2663" s="4"/>
      <c r="X2663" s="4"/>
    </row>
    <row r="2664" spans="17:24" x14ac:dyDescent="0.3">
      <c r="Q2664" s="4"/>
      <c r="R2664" s="4"/>
      <c r="S2664" s="4"/>
      <c r="T2664" s="4"/>
      <c r="U2664" s="4"/>
      <c r="V2664" s="4"/>
      <c r="W2664" s="4"/>
      <c r="X2664" s="4"/>
    </row>
    <row r="2665" spans="17:24" x14ac:dyDescent="0.3">
      <c r="Q2665" s="4"/>
      <c r="R2665" s="4"/>
      <c r="S2665" s="4"/>
      <c r="T2665" s="4"/>
      <c r="U2665" s="4"/>
      <c r="V2665" s="4"/>
      <c r="W2665" s="4"/>
      <c r="X2665" s="4"/>
    </row>
    <row r="2666" spans="17:24" x14ac:dyDescent="0.3">
      <c r="Q2666" s="4"/>
      <c r="R2666" s="4"/>
      <c r="S2666" s="4"/>
      <c r="T2666" s="4"/>
      <c r="U2666" s="4"/>
      <c r="V2666" s="4"/>
      <c r="W2666" s="4"/>
      <c r="X2666" s="4"/>
    </row>
    <row r="2667" spans="17:24" x14ac:dyDescent="0.3">
      <c r="Q2667" s="4"/>
      <c r="R2667" s="4"/>
      <c r="S2667" s="4"/>
      <c r="T2667" s="4"/>
      <c r="U2667" s="4"/>
      <c r="V2667" s="4"/>
      <c r="W2667" s="4"/>
      <c r="X2667" s="4"/>
    </row>
    <row r="2668" spans="17:24" x14ac:dyDescent="0.3">
      <c r="Q2668" s="4"/>
      <c r="R2668" s="4"/>
      <c r="S2668" s="4"/>
      <c r="T2668" s="4"/>
      <c r="U2668" s="4"/>
      <c r="V2668" s="4"/>
      <c r="W2668" s="4"/>
      <c r="X2668" s="4"/>
    </row>
    <row r="2669" spans="17:24" x14ac:dyDescent="0.3">
      <c r="Q2669" s="4"/>
      <c r="R2669" s="4"/>
      <c r="S2669" s="4"/>
      <c r="T2669" s="4"/>
      <c r="U2669" s="4"/>
      <c r="V2669" s="4"/>
      <c r="W2669" s="4"/>
      <c r="X2669" s="4"/>
    </row>
    <row r="2670" spans="17:24" x14ac:dyDescent="0.3">
      <c r="Q2670" s="4"/>
      <c r="R2670" s="4"/>
      <c r="S2670" s="4"/>
      <c r="T2670" s="4"/>
      <c r="U2670" s="4"/>
      <c r="V2670" s="4"/>
      <c r="W2670" s="4"/>
      <c r="X2670" s="4"/>
    </row>
    <row r="2671" spans="17:24" x14ac:dyDescent="0.3">
      <c r="Q2671" s="4"/>
      <c r="R2671" s="4"/>
      <c r="S2671" s="4"/>
      <c r="T2671" s="4"/>
      <c r="U2671" s="4"/>
      <c r="V2671" s="4"/>
      <c r="W2671" s="4"/>
      <c r="X2671" s="4"/>
    </row>
    <row r="2672" spans="17:24" x14ac:dyDescent="0.3">
      <c r="Q2672" s="4"/>
      <c r="R2672" s="4"/>
      <c r="S2672" s="4"/>
      <c r="T2672" s="4"/>
      <c r="U2672" s="4"/>
      <c r="V2672" s="4"/>
      <c r="W2672" s="4"/>
      <c r="X2672" s="4"/>
    </row>
    <row r="2673" spans="17:24" x14ac:dyDescent="0.3">
      <c r="Q2673" s="4"/>
      <c r="R2673" s="4"/>
      <c r="S2673" s="4"/>
      <c r="T2673" s="4"/>
      <c r="U2673" s="4"/>
      <c r="V2673" s="4"/>
      <c r="W2673" s="4"/>
      <c r="X2673" s="4"/>
    </row>
    <row r="2674" spans="17:24" x14ac:dyDescent="0.3">
      <c r="Q2674" s="4"/>
      <c r="R2674" s="4"/>
      <c r="S2674" s="4"/>
      <c r="T2674" s="4"/>
      <c r="U2674" s="4"/>
      <c r="V2674" s="4"/>
      <c r="W2674" s="4"/>
      <c r="X2674" s="4"/>
    </row>
    <row r="2675" spans="17:24" x14ac:dyDescent="0.3">
      <c r="Q2675" s="4"/>
      <c r="R2675" s="4"/>
      <c r="S2675" s="4"/>
      <c r="T2675" s="4"/>
      <c r="U2675" s="4"/>
      <c r="V2675" s="4"/>
      <c r="W2675" s="4"/>
      <c r="X2675" s="4"/>
    </row>
    <row r="2676" spans="17:24" x14ac:dyDescent="0.3">
      <c r="Q2676" s="4"/>
      <c r="R2676" s="4"/>
      <c r="S2676" s="4"/>
      <c r="T2676" s="4"/>
      <c r="U2676" s="4"/>
      <c r="V2676" s="4"/>
      <c r="W2676" s="4"/>
      <c r="X2676" s="4"/>
    </row>
    <row r="2677" spans="17:24" x14ac:dyDescent="0.3">
      <c r="Q2677" s="4"/>
      <c r="R2677" s="4"/>
      <c r="S2677" s="4"/>
      <c r="T2677" s="4"/>
      <c r="U2677" s="4"/>
      <c r="V2677" s="4"/>
      <c r="W2677" s="4"/>
      <c r="X2677" s="4"/>
    </row>
    <row r="2678" spans="17:24" x14ac:dyDescent="0.3">
      <c r="Q2678" s="4"/>
      <c r="R2678" s="4"/>
      <c r="S2678" s="4"/>
      <c r="T2678" s="4"/>
      <c r="U2678" s="4"/>
      <c r="V2678" s="4"/>
      <c r="W2678" s="4"/>
      <c r="X2678" s="4"/>
    </row>
    <row r="2679" spans="17:24" x14ac:dyDescent="0.3">
      <c r="Q2679" s="4"/>
      <c r="R2679" s="4"/>
      <c r="S2679" s="4"/>
      <c r="T2679" s="4"/>
      <c r="U2679" s="4"/>
      <c r="V2679" s="4"/>
      <c r="W2679" s="4"/>
      <c r="X2679" s="4"/>
    </row>
    <row r="2680" spans="17:24" x14ac:dyDescent="0.3">
      <c r="Q2680" s="4"/>
      <c r="R2680" s="4"/>
      <c r="S2680" s="4"/>
      <c r="T2680" s="4"/>
      <c r="U2680" s="4"/>
      <c r="V2680" s="4"/>
      <c r="W2680" s="4"/>
      <c r="X2680" s="4"/>
    </row>
    <row r="2681" spans="17:24" x14ac:dyDescent="0.3">
      <c r="Q2681" s="4"/>
      <c r="R2681" s="4"/>
      <c r="S2681" s="4"/>
      <c r="T2681" s="4"/>
      <c r="U2681" s="4"/>
      <c r="V2681" s="4"/>
      <c r="W2681" s="4"/>
      <c r="X2681" s="4"/>
    </row>
    <row r="2682" spans="17:24" x14ac:dyDescent="0.3">
      <c r="Q2682" s="4"/>
      <c r="R2682" s="4"/>
      <c r="S2682" s="4"/>
      <c r="T2682" s="4"/>
      <c r="U2682" s="4"/>
      <c r="V2682" s="4"/>
      <c r="W2682" s="4"/>
      <c r="X2682" s="4"/>
    </row>
    <row r="2683" spans="17:24" x14ac:dyDescent="0.3">
      <c r="Q2683" s="4"/>
      <c r="R2683" s="4"/>
      <c r="S2683" s="4"/>
      <c r="T2683" s="4"/>
      <c r="U2683" s="4"/>
      <c r="V2683" s="4"/>
      <c r="W2683" s="4"/>
      <c r="X2683" s="4"/>
    </row>
    <row r="2684" spans="17:24" x14ac:dyDescent="0.3">
      <c r="Q2684" s="4"/>
      <c r="R2684" s="4"/>
      <c r="S2684" s="4"/>
      <c r="T2684" s="4"/>
      <c r="U2684" s="4"/>
      <c r="V2684" s="4"/>
      <c r="W2684" s="4"/>
      <c r="X2684" s="4"/>
    </row>
    <row r="2685" spans="17:24" x14ac:dyDescent="0.3">
      <c r="Q2685" s="4"/>
      <c r="R2685" s="4"/>
      <c r="S2685" s="4"/>
      <c r="T2685" s="4"/>
      <c r="U2685" s="4"/>
      <c r="V2685" s="4"/>
      <c r="W2685" s="4"/>
      <c r="X2685" s="4"/>
    </row>
    <row r="2686" spans="17:24" x14ac:dyDescent="0.3">
      <c r="Q2686" s="4"/>
      <c r="R2686" s="4"/>
      <c r="S2686" s="4"/>
      <c r="T2686" s="4"/>
      <c r="U2686" s="4"/>
      <c r="V2686" s="4"/>
      <c r="W2686" s="4"/>
      <c r="X2686" s="4"/>
    </row>
    <row r="2687" spans="17:24" x14ac:dyDescent="0.3">
      <c r="Q2687" s="4"/>
      <c r="R2687" s="4"/>
      <c r="S2687" s="4"/>
      <c r="T2687" s="4"/>
      <c r="U2687" s="4"/>
      <c r="V2687" s="4"/>
      <c r="W2687" s="4"/>
      <c r="X2687" s="4"/>
    </row>
    <row r="2688" spans="17:24" x14ac:dyDescent="0.3">
      <c r="Q2688" s="4"/>
      <c r="R2688" s="4"/>
      <c r="S2688" s="4"/>
      <c r="T2688" s="4"/>
      <c r="U2688" s="4"/>
      <c r="V2688" s="4"/>
      <c r="W2688" s="4"/>
      <c r="X2688" s="4"/>
    </row>
    <row r="2689" spans="17:24" x14ac:dyDescent="0.3">
      <c r="Q2689" s="4"/>
      <c r="R2689" s="4"/>
      <c r="S2689" s="4"/>
      <c r="T2689" s="4"/>
      <c r="U2689" s="4"/>
      <c r="V2689" s="4"/>
      <c r="W2689" s="4"/>
      <c r="X2689" s="4"/>
    </row>
    <row r="2690" spans="17:24" x14ac:dyDescent="0.3">
      <c r="Q2690" s="4"/>
      <c r="R2690" s="4"/>
      <c r="S2690" s="4"/>
      <c r="T2690" s="4"/>
      <c r="U2690" s="4"/>
      <c r="V2690" s="4"/>
      <c r="W2690" s="4"/>
      <c r="X2690" s="4"/>
    </row>
    <row r="2691" spans="17:24" x14ac:dyDescent="0.3">
      <c r="Q2691" s="4"/>
      <c r="R2691" s="4"/>
      <c r="S2691" s="4"/>
      <c r="T2691" s="4"/>
      <c r="U2691" s="4"/>
      <c r="V2691" s="4"/>
      <c r="W2691" s="4"/>
      <c r="X2691" s="4"/>
    </row>
    <row r="2692" spans="17:24" x14ac:dyDescent="0.3">
      <c r="Q2692" s="4"/>
      <c r="R2692" s="4"/>
      <c r="S2692" s="4"/>
      <c r="T2692" s="4"/>
      <c r="U2692" s="4"/>
      <c r="V2692" s="4"/>
      <c r="W2692" s="4"/>
      <c r="X2692" s="4"/>
    </row>
    <row r="2693" spans="17:24" x14ac:dyDescent="0.3">
      <c r="Q2693" s="4"/>
      <c r="R2693" s="4"/>
      <c r="S2693" s="4"/>
      <c r="T2693" s="4"/>
      <c r="U2693" s="4"/>
      <c r="V2693" s="4"/>
      <c r="W2693" s="4"/>
      <c r="X2693" s="4"/>
    </row>
    <row r="2694" spans="17:24" x14ac:dyDescent="0.3">
      <c r="Q2694" s="4"/>
      <c r="R2694" s="4"/>
      <c r="S2694" s="4"/>
      <c r="T2694" s="4"/>
      <c r="U2694" s="4"/>
      <c r="V2694" s="4"/>
      <c r="W2694" s="4"/>
      <c r="X2694" s="4"/>
    </row>
    <row r="2695" spans="17:24" x14ac:dyDescent="0.3">
      <c r="Q2695" s="4"/>
      <c r="R2695" s="4"/>
      <c r="S2695" s="4"/>
      <c r="T2695" s="4"/>
      <c r="U2695" s="4"/>
      <c r="V2695" s="4"/>
      <c r="W2695" s="4"/>
      <c r="X2695" s="4"/>
    </row>
    <row r="2696" spans="17:24" x14ac:dyDescent="0.3">
      <c r="Q2696" s="4"/>
      <c r="R2696" s="4"/>
      <c r="S2696" s="4"/>
      <c r="T2696" s="4"/>
      <c r="U2696" s="4"/>
      <c r="V2696" s="4"/>
      <c r="W2696" s="4"/>
      <c r="X2696" s="4"/>
    </row>
    <row r="2697" spans="17:24" x14ac:dyDescent="0.3">
      <c r="Q2697" s="4"/>
      <c r="R2697" s="4"/>
      <c r="S2697" s="4"/>
      <c r="T2697" s="4"/>
      <c r="U2697" s="4"/>
      <c r="V2697" s="4"/>
      <c r="W2697" s="4"/>
      <c r="X2697" s="4"/>
    </row>
    <row r="2698" spans="17:24" x14ac:dyDescent="0.3">
      <c r="Q2698" s="4"/>
      <c r="R2698" s="4"/>
      <c r="S2698" s="4"/>
      <c r="T2698" s="4"/>
      <c r="U2698" s="4"/>
      <c r="V2698" s="4"/>
      <c r="W2698" s="4"/>
      <c r="X2698" s="4"/>
    </row>
    <row r="2699" spans="17:24" x14ac:dyDescent="0.3">
      <c r="Q2699" s="4"/>
      <c r="R2699" s="4"/>
      <c r="S2699" s="4"/>
      <c r="T2699" s="4"/>
      <c r="U2699" s="4"/>
      <c r="V2699" s="4"/>
      <c r="W2699" s="4"/>
      <c r="X2699" s="4"/>
    </row>
    <row r="2700" spans="17:24" x14ac:dyDescent="0.3">
      <c r="Q2700" s="4"/>
      <c r="R2700" s="4"/>
      <c r="S2700" s="4"/>
      <c r="T2700" s="4"/>
      <c r="U2700" s="4"/>
      <c r="V2700" s="4"/>
      <c r="W2700" s="4"/>
      <c r="X2700" s="4"/>
    </row>
    <row r="2701" spans="17:24" x14ac:dyDescent="0.3">
      <c r="Q2701" s="4"/>
      <c r="R2701" s="4"/>
      <c r="S2701" s="4"/>
      <c r="T2701" s="4"/>
      <c r="U2701" s="4"/>
      <c r="V2701" s="4"/>
      <c r="W2701" s="4"/>
      <c r="X2701" s="4"/>
    </row>
    <row r="2702" spans="17:24" x14ac:dyDescent="0.3">
      <c r="Q2702" s="4"/>
      <c r="R2702" s="4"/>
      <c r="S2702" s="4"/>
      <c r="T2702" s="4"/>
      <c r="U2702" s="4"/>
      <c r="V2702" s="4"/>
      <c r="W2702" s="4"/>
      <c r="X2702" s="4"/>
    </row>
    <row r="2703" spans="17:24" x14ac:dyDescent="0.3">
      <c r="Q2703" s="4"/>
      <c r="R2703" s="4"/>
      <c r="S2703" s="4"/>
      <c r="T2703" s="4"/>
      <c r="U2703" s="4"/>
      <c r="V2703" s="4"/>
      <c r="W2703" s="4"/>
      <c r="X2703" s="4"/>
    </row>
    <row r="2704" spans="17:24" x14ac:dyDescent="0.3">
      <c r="Q2704" s="4"/>
      <c r="R2704" s="4"/>
      <c r="S2704" s="4"/>
      <c r="T2704" s="4"/>
      <c r="U2704" s="4"/>
      <c r="V2704" s="4"/>
      <c r="W2704" s="4"/>
      <c r="X2704" s="4"/>
    </row>
    <row r="2705" spans="17:24" x14ac:dyDescent="0.3">
      <c r="Q2705" s="4"/>
      <c r="R2705" s="4"/>
      <c r="S2705" s="4"/>
      <c r="T2705" s="4"/>
      <c r="U2705" s="4"/>
      <c r="V2705" s="4"/>
      <c r="W2705" s="4"/>
      <c r="X2705" s="4"/>
    </row>
    <row r="2706" spans="17:24" x14ac:dyDescent="0.3">
      <c r="Q2706" s="4"/>
      <c r="R2706" s="4"/>
      <c r="S2706" s="4"/>
      <c r="T2706" s="4"/>
      <c r="U2706" s="4"/>
      <c r="V2706" s="4"/>
      <c r="W2706" s="4"/>
      <c r="X2706" s="4"/>
    </row>
    <row r="2707" spans="17:24" x14ac:dyDescent="0.3">
      <c r="Q2707" s="4"/>
      <c r="R2707" s="4"/>
      <c r="S2707" s="4"/>
      <c r="T2707" s="4"/>
      <c r="U2707" s="4"/>
      <c r="V2707" s="4"/>
      <c r="W2707" s="4"/>
      <c r="X2707" s="4"/>
    </row>
    <row r="2708" spans="17:24" x14ac:dyDescent="0.3">
      <c r="Q2708" s="4"/>
      <c r="R2708" s="4"/>
      <c r="S2708" s="4"/>
      <c r="T2708" s="4"/>
      <c r="U2708" s="4"/>
      <c r="V2708" s="4"/>
      <c r="W2708" s="4"/>
      <c r="X2708" s="4"/>
    </row>
    <row r="2709" spans="17:24" x14ac:dyDescent="0.3">
      <c r="Q2709" s="4"/>
      <c r="R2709" s="4"/>
      <c r="S2709" s="4"/>
      <c r="T2709" s="4"/>
      <c r="U2709" s="4"/>
      <c r="V2709" s="4"/>
      <c r="W2709" s="4"/>
      <c r="X2709" s="4"/>
    </row>
    <row r="2710" spans="17:24" x14ac:dyDescent="0.3">
      <c r="Q2710" s="4"/>
      <c r="R2710" s="4"/>
      <c r="S2710" s="4"/>
      <c r="T2710" s="4"/>
      <c r="U2710" s="4"/>
      <c r="V2710" s="4"/>
      <c r="W2710" s="4"/>
      <c r="X2710" s="4"/>
    </row>
    <row r="2711" spans="17:24" x14ac:dyDescent="0.3">
      <c r="Q2711" s="4"/>
      <c r="R2711" s="4"/>
      <c r="S2711" s="4"/>
      <c r="T2711" s="4"/>
      <c r="U2711" s="4"/>
      <c r="V2711" s="4"/>
      <c r="W2711" s="4"/>
      <c r="X2711" s="4"/>
    </row>
    <row r="2712" spans="17:24" x14ac:dyDescent="0.3">
      <c r="Q2712" s="4"/>
      <c r="R2712" s="4"/>
      <c r="S2712" s="4"/>
      <c r="T2712" s="4"/>
      <c r="U2712" s="4"/>
      <c r="V2712" s="4"/>
      <c r="W2712" s="4"/>
      <c r="X2712" s="4"/>
    </row>
    <row r="2713" spans="17:24" x14ac:dyDescent="0.3">
      <c r="Q2713" s="4"/>
      <c r="R2713" s="4"/>
      <c r="S2713" s="4"/>
      <c r="T2713" s="4"/>
      <c r="U2713" s="4"/>
      <c r="V2713" s="4"/>
      <c r="W2713" s="4"/>
      <c r="X2713" s="4"/>
    </row>
    <row r="2714" spans="17:24" x14ac:dyDescent="0.3">
      <c r="Q2714" s="4"/>
      <c r="R2714" s="4"/>
      <c r="S2714" s="4"/>
      <c r="T2714" s="4"/>
      <c r="U2714" s="4"/>
      <c r="V2714" s="4"/>
      <c r="W2714" s="4"/>
      <c r="X2714" s="4"/>
    </row>
    <row r="2715" spans="17:24" x14ac:dyDescent="0.3">
      <c r="Q2715" s="4"/>
      <c r="R2715" s="4"/>
      <c r="S2715" s="4"/>
      <c r="T2715" s="4"/>
      <c r="U2715" s="4"/>
      <c r="V2715" s="4"/>
      <c r="W2715" s="4"/>
      <c r="X2715" s="4"/>
    </row>
    <row r="2716" spans="17:24" x14ac:dyDescent="0.3">
      <c r="Q2716" s="4"/>
      <c r="R2716" s="4"/>
      <c r="S2716" s="4"/>
      <c r="T2716" s="4"/>
      <c r="U2716" s="4"/>
      <c r="V2716" s="4"/>
      <c r="W2716" s="4"/>
      <c r="X2716" s="4"/>
    </row>
    <row r="2717" spans="17:24" x14ac:dyDescent="0.3">
      <c r="Q2717" s="4"/>
      <c r="R2717" s="4"/>
      <c r="S2717" s="4"/>
      <c r="T2717" s="4"/>
      <c r="U2717" s="4"/>
      <c r="V2717" s="4"/>
      <c r="W2717" s="4"/>
      <c r="X2717" s="4"/>
    </row>
    <row r="2718" spans="17:24" x14ac:dyDescent="0.3">
      <c r="Q2718" s="4"/>
      <c r="R2718" s="4"/>
      <c r="S2718" s="4"/>
      <c r="T2718" s="4"/>
      <c r="U2718" s="4"/>
      <c r="V2718" s="4"/>
      <c r="W2718" s="4"/>
      <c r="X2718" s="4"/>
    </row>
    <row r="2719" spans="17:24" x14ac:dyDescent="0.3">
      <c r="Q2719" s="4"/>
      <c r="R2719" s="4"/>
      <c r="S2719" s="4"/>
      <c r="T2719" s="4"/>
      <c r="U2719" s="4"/>
      <c r="V2719" s="4"/>
      <c r="W2719" s="4"/>
      <c r="X2719" s="4"/>
    </row>
    <row r="2720" spans="17:24" x14ac:dyDescent="0.3">
      <c r="Q2720" s="4"/>
      <c r="R2720" s="4"/>
      <c r="S2720" s="4"/>
      <c r="T2720" s="4"/>
      <c r="U2720" s="4"/>
      <c r="V2720" s="4"/>
      <c r="W2720" s="4"/>
      <c r="X2720" s="4"/>
    </row>
    <row r="2721" spans="17:24" x14ac:dyDescent="0.3">
      <c r="Q2721" s="4"/>
      <c r="R2721" s="4"/>
      <c r="S2721" s="4"/>
      <c r="T2721" s="4"/>
      <c r="U2721" s="4"/>
      <c r="V2721" s="4"/>
      <c r="W2721" s="4"/>
      <c r="X2721" s="4"/>
    </row>
    <row r="2722" spans="17:24" x14ac:dyDescent="0.3">
      <c r="Q2722" s="4"/>
      <c r="R2722" s="4"/>
      <c r="S2722" s="4"/>
      <c r="T2722" s="4"/>
      <c r="U2722" s="4"/>
      <c r="V2722" s="4"/>
      <c r="W2722" s="4"/>
      <c r="X2722" s="4"/>
    </row>
    <row r="2723" spans="17:24" x14ac:dyDescent="0.3">
      <c r="Q2723" s="4"/>
      <c r="R2723" s="4"/>
      <c r="S2723" s="4"/>
      <c r="T2723" s="4"/>
      <c r="U2723" s="4"/>
      <c r="V2723" s="4"/>
      <c r="W2723" s="4"/>
      <c r="X2723" s="4"/>
    </row>
    <row r="2724" spans="17:24" x14ac:dyDescent="0.3">
      <c r="Q2724" s="4"/>
      <c r="R2724" s="4"/>
      <c r="S2724" s="4"/>
      <c r="T2724" s="4"/>
      <c r="U2724" s="4"/>
      <c r="V2724" s="4"/>
      <c r="W2724" s="4"/>
      <c r="X2724" s="4"/>
    </row>
    <row r="2725" spans="17:24" x14ac:dyDescent="0.3">
      <c r="Q2725" s="4"/>
      <c r="R2725" s="4"/>
      <c r="S2725" s="4"/>
      <c r="T2725" s="4"/>
      <c r="U2725" s="4"/>
      <c r="V2725" s="4"/>
      <c r="W2725" s="4"/>
      <c r="X2725" s="4"/>
    </row>
    <row r="2726" spans="17:24" x14ac:dyDescent="0.3">
      <c r="Q2726" s="4"/>
      <c r="R2726" s="4"/>
      <c r="S2726" s="4"/>
      <c r="T2726" s="4"/>
      <c r="U2726" s="4"/>
      <c r="V2726" s="4"/>
      <c r="W2726" s="4"/>
      <c r="X2726" s="4"/>
    </row>
    <row r="2727" spans="17:24" x14ac:dyDescent="0.3">
      <c r="Q2727" s="4"/>
      <c r="R2727" s="4"/>
      <c r="S2727" s="4"/>
      <c r="T2727" s="4"/>
      <c r="U2727" s="4"/>
      <c r="V2727" s="4"/>
      <c r="W2727" s="4"/>
      <c r="X2727" s="4"/>
    </row>
    <row r="2728" spans="17:24" x14ac:dyDescent="0.3">
      <c r="Q2728" s="4"/>
      <c r="R2728" s="4"/>
      <c r="S2728" s="4"/>
      <c r="T2728" s="4"/>
      <c r="U2728" s="4"/>
      <c r="V2728" s="4"/>
      <c r="W2728" s="4"/>
      <c r="X2728" s="4"/>
    </row>
    <row r="2729" spans="17:24" x14ac:dyDescent="0.3">
      <c r="Q2729" s="4"/>
      <c r="R2729" s="4"/>
      <c r="S2729" s="4"/>
      <c r="T2729" s="4"/>
      <c r="U2729" s="4"/>
      <c r="V2729" s="4"/>
      <c r="W2729" s="4"/>
      <c r="X2729" s="4"/>
    </row>
    <row r="2730" spans="17:24" x14ac:dyDescent="0.3">
      <c r="Q2730" s="4"/>
      <c r="R2730" s="4"/>
      <c r="S2730" s="4"/>
      <c r="T2730" s="4"/>
      <c r="U2730" s="4"/>
      <c r="V2730" s="4"/>
      <c r="W2730" s="4"/>
      <c r="X2730" s="4"/>
    </row>
    <row r="2731" spans="17:24" x14ac:dyDescent="0.3">
      <c r="Q2731" s="4"/>
      <c r="R2731" s="4"/>
      <c r="S2731" s="4"/>
      <c r="T2731" s="4"/>
      <c r="U2731" s="4"/>
      <c r="V2731" s="4"/>
      <c r="W2731" s="4"/>
      <c r="X2731" s="4"/>
    </row>
    <row r="2732" spans="17:24" x14ac:dyDescent="0.3">
      <c r="Q2732" s="4"/>
      <c r="R2732" s="4"/>
      <c r="S2732" s="4"/>
      <c r="T2732" s="4"/>
      <c r="U2732" s="4"/>
      <c r="V2732" s="4"/>
      <c r="W2732" s="4"/>
      <c r="X2732" s="4"/>
    </row>
    <row r="2733" spans="17:24" x14ac:dyDescent="0.3">
      <c r="Q2733" s="4"/>
      <c r="R2733" s="4"/>
      <c r="S2733" s="4"/>
      <c r="T2733" s="4"/>
      <c r="U2733" s="4"/>
      <c r="V2733" s="4"/>
      <c r="W2733" s="4"/>
      <c r="X2733" s="4"/>
    </row>
    <row r="2734" spans="17:24" x14ac:dyDescent="0.3">
      <c r="Q2734" s="4"/>
      <c r="R2734" s="4"/>
      <c r="S2734" s="4"/>
      <c r="T2734" s="4"/>
      <c r="U2734" s="4"/>
      <c r="V2734" s="4"/>
      <c r="W2734" s="4"/>
      <c r="X2734" s="4"/>
    </row>
    <row r="2735" spans="17:24" x14ac:dyDescent="0.3">
      <c r="Q2735" s="4"/>
      <c r="R2735" s="4"/>
      <c r="S2735" s="4"/>
      <c r="T2735" s="4"/>
      <c r="U2735" s="4"/>
      <c r="V2735" s="4"/>
      <c r="W2735" s="4"/>
      <c r="X2735" s="4"/>
    </row>
    <row r="2736" spans="17:24" x14ac:dyDescent="0.3">
      <c r="Q2736" s="4"/>
      <c r="R2736" s="4"/>
      <c r="S2736" s="4"/>
      <c r="T2736" s="4"/>
      <c r="U2736" s="4"/>
      <c r="V2736" s="4"/>
      <c r="W2736" s="4"/>
      <c r="X2736" s="4"/>
    </row>
    <row r="2737" spans="17:24" x14ac:dyDescent="0.3">
      <c r="Q2737" s="4"/>
      <c r="R2737" s="4"/>
      <c r="S2737" s="4"/>
      <c r="T2737" s="4"/>
      <c r="U2737" s="4"/>
      <c r="V2737" s="4"/>
      <c r="W2737" s="4"/>
      <c r="X2737" s="4"/>
    </row>
    <row r="2738" spans="17:24" x14ac:dyDescent="0.3">
      <c r="Q2738" s="4"/>
      <c r="R2738" s="4"/>
      <c r="S2738" s="4"/>
      <c r="T2738" s="4"/>
      <c r="U2738" s="4"/>
      <c r="V2738" s="4"/>
      <c r="W2738" s="4"/>
      <c r="X2738" s="4"/>
    </row>
    <row r="2739" spans="17:24" x14ac:dyDescent="0.3">
      <c r="Q2739" s="4"/>
      <c r="R2739" s="4"/>
      <c r="S2739" s="4"/>
      <c r="T2739" s="4"/>
      <c r="U2739" s="4"/>
      <c r="V2739" s="4"/>
      <c r="W2739" s="4"/>
      <c r="X2739" s="4"/>
    </row>
    <row r="2740" spans="17:24" x14ac:dyDescent="0.3">
      <c r="Q2740" s="4"/>
      <c r="R2740" s="4"/>
      <c r="S2740" s="4"/>
      <c r="T2740" s="4"/>
      <c r="U2740" s="4"/>
      <c r="V2740" s="4"/>
      <c r="W2740" s="4"/>
      <c r="X2740" s="4"/>
    </row>
    <row r="2741" spans="17:24" x14ac:dyDescent="0.3">
      <c r="Q2741" s="4"/>
      <c r="R2741" s="4"/>
      <c r="S2741" s="4"/>
      <c r="T2741" s="4"/>
      <c r="U2741" s="4"/>
      <c r="V2741" s="4"/>
      <c r="W2741" s="4"/>
      <c r="X2741" s="4"/>
    </row>
    <row r="2742" spans="17:24" x14ac:dyDescent="0.3">
      <c r="Q2742" s="4"/>
      <c r="R2742" s="4"/>
      <c r="S2742" s="4"/>
      <c r="T2742" s="4"/>
      <c r="U2742" s="4"/>
      <c r="V2742" s="4"/>
      <c r="W2742" s="4"/>
      <c r="X2742" s="4"/>
    </row>
    <row r="2743" spans="17:24" x14ac:dyDescent="0.3">
      <c r="Q2743" s="4"/>
      <c r="R2743" s="4"/>
      <c r="S2743" s="4"/>
      <c r="T2743" s="4"/>
      <c r="U2743" s="4"/>
      <c r="V2743" s="4"/>
      <c r="W2743" s="4"/>
      <c r="X2743" s="4"/>
    </row>
    <row r="2744" spans="17:24" x14ac:dyDescent="0.3">
      <c r="Q2744" s="4"/>
      <c r="R2744" s="4"/>
      <c r="S2744" s="4"/>
      <c r="T2744" s="4"/>
      <c r="U2744" s="4"/>
      <c r="V2744" s="4"/>
      <c r="W2744" s="4"/>
      <c r="X2744" s="4"/>
    </row>
    <row r="2745" spans="17:24" x14ac:dyDescent="0.3">
      <c r="Q2745" s="4"/>
      <c r="R2745" s="4"/>
      <c r="S2745" s="4"/>
      <c r="T2745" s="4"/>
      <c r="U2745" s="4"/>
      <c r="V2745" s="4"/>
      <c r="W2745" s="4"/>
      <c r="X2745" s="4"/>
    </row>
    <row r="2746" spans="17:24" x14ac:dyDescent="0.3">
      <c r="Q2746" s="4"/>
      <c r="R2746" s="4"/>
      <c r="S2746" s="4"/>
      <c r="T2746" s="4"/>
      <c r="U2746" s="4"/>
      <c r="V2746" s="4"/>
      <c r="W2746" s="4"/>
      <c r="X2746" s="4"/>
    </row>
    <row r="2747" spans="17:24" x14ac:dyDescent="0.3">
      <c r="Q2747" s="4"/>
      <c r="R2747" s="4"/>
      <c r="S2747" s="4"/>
      <c r="T2747" s="4"/>
      <c r="U2747" s="4"/>
      <c r="V2747" s="4"/>
      <c r="W2747" s="4"/>
      <c r="X2747" s="4"/>
    </row>
    <row r="2748" spans="17:24" x14ac:dyDescent="0.3">
      <c r="Q2748" s="4"/>
      <c r="R2748" s="4"/>
      <c r="S2748" s="4"/>
      <c r="T2748" s="4"/>
      <c r="U2748" s="4"/>
      <c r="V2748" s="4"/>
      <c r="W2748" s="4"/>
      <c r="X2748" s="4"/>
    </row>
    <row r="2749" spans="17:24" x14ac:dyDescent="0.3">
      <c r="Q2749" s="4"/>
      <c r="R2749" s="4"/>
      <c r="S2749" s="4"/>
      <c r="T2749" s="4"/>
      <c r="U2749" s="4"/>
      <c r="V2749" s="4"/>
      <c r="W2749" s="4"/>
      <c r="X2749" s="4"/>
    </row>
    <row r="2750" spans="17:24" x14ac:dyDescent="0.3">
      <c r="Q2750" s="4"/>
      <c r="R2750" s="4"/>
      <c r="S2750" s="4"/>
      <c r="T2750" s="4"/>
      <c r="U2750" s="4"/>
      <c r="V2750" s="4"/>
      <c r="W2750" s="4"/>
      <c r="X2750" s="4"/>
    </row>
    <row r="2751" spans="17:24" x14ac:dyDescent="0.3">
      <c r="Q2751" s="4"/>
      <c r="R2751" s="4"/>
      <c r="S2751" s="4"/>
      <c r="T2751" s="4"/>
      <c r="U2751" s="4"/>
      <c r="V2751" s="4"/>
      <c r="W2751" s="4"/>
      <c r="X2751" s="4"/>
    </row>
    <row r="2752" spans="17:24" x14ac:dyDescent="0.3">
      <c r="Q2752" s="4"/>
      <c r="R2752" s="4"/>
      <c r="S2752" s="4"/>
      <c r="T2752" s="4"/>
      <c r="U2752" s="4"/>
      <c r="V2752" s="4"/>
      <c r="W2752" s="4"/>
      <c r="X2752" s="4"/>
    </row>
    <row r="2753" spans="17:24" x14ac:dyDescent="0.3">
      <c r="Q2753" s="4"/>
      <c r="R2753" s="4"/>
      <c r="S2753" s="4"/>
      <c r="T2753" s="4"/>
      <c r="U2753" s="4"/>
      <c r="V2753" s="4"/>
      <c r="W2753" s="4"/>
      <c r="X2753" s="4"/>
    </row>
    <row r="2754" spans="17:24" x14ac:dyDescent="0.3">
      <c r="Q2754" s="4"/>
      <c r="R2754" s="4"/>
      <c r="S2754" s="4"/>
      <c r="T2754" s="4"/>
      <c r="U2754" s="4"/>
      <c r="V2754" s="4"/>
      <c r="W2754" s="4"/>
      <c r="X2754" s="4"/>
    </row>
    <row r="2755" spans="17:24" x14ac:dyDescent="0.3">
      <c r="Q2755" s="4"/>
      <c r="R2755" s="4"/>
      <c r="S2755" s="4"/>
      <c r="T2755" s="4"/>
      <c r="U2755" s="4"/>
      <c r="V2755" s="4"/>
      <c r="W2755" s="4"/>
      <c r="X2755" s="4"/>
    </row>
    <row r="2756" spans="17:24" x14ac:dyDescent="0.3">
      <c r="Q2756" s="4"/>
      <c r="R2756" s="4"/>
      <c r="S2756" s="4"/>
      <c r="T2756" s="4"/>
      <c r="U2756" s="4"/>
      <c r="V2756" s="4"/>
      <c r="W2756" s="4"/>
      <c r="X2756" s="4"/>
    </row>
    <row r="2757" spans="17:24" x14ac:dyDescent="0.3">
      <c r="Q2757" s="4"/>
      <c r="R2757" s="4"/>
      <c r="S2757" s="4"/>
      <c r="T2757" s="4"/>
      <c r="U2757" s="4"/>
      <c r="V2757" s="4"/>
      <c r="W2757" s="4"/>
      <c r="X2757" s="4"/>
    </row>
    <row r="2758" spans="17:24" x14ac:dyDescent="0.3">
      <c r="Q2758" s="4"/>
      <c r="R2758" s="4"/>
      <c r="S2758" s="4"/>
      <c r="T2758" s="4"/>
      <c r="U2758" s="4"/>
      <c r="V2758" s="4"/>
      <c r="W2758" s="4"/>
      <c r="X2758" s="4"/>
    </row>
    <row r="2759" spans="17:24" x14ac:dyDescent="0.3">
      <c r="Q2759" s="4"/>
      <c r="R2759" s="4"/>
      <c r="S2759" s="4"/>
      <c r="T2759" s="4"/>
      <c r="U2759" s="4"/>
      <c r="V2759" s="4"/>
      <c r="W2759" s="4"/>
      <c r="X2759" s="4"/>
    </row>
    <row r="2760" spans="17:24" x14ac:dyDescent="0.3">
      <c r="Q2760" s="4"/>
      <c r="R2760" s="4"/>
      <c r="S2760" s="4"/>
      <c r="T2760" s="4"/>
      <c r="U2760" s="4"/>
      <c r="V2760" s="4"/>
      <c r="W2760" s="4"/>
      <c r="X2760" s="4"/>
    </row>
    <row r="2761" spans="17:24" x14ac:dyDescent="0.3">
      <c r="Q2761" s="4"/>
      <c r="R2761" s="4"/>
      <c r="S2761" s="4"/>
      <c r="T2761" s="4"/>
      <c r="U2761" s="4"/>
      <c r="V2761" s="4"/>
      <c r="W2761" s="4"/>
      <c r="X2761" s="4"/>
    </row>
    <row r="2762" spans="17:24" x14ac:dyDescent="0.3">
      <c r="Q2762" s="4"/>
      <c r="R2762" s="4"/>
      <c r="S2762" s="4"/>
      <c r="T2762" s="4"/>
      <c r="U2762" s="4"/>
      <c r="V2762" s="4"/>
      <c r="W2762" s="4"/>
      <c r="X2762" s="4"/>
    </row>
    <row r="2763" spans="17:24" x14ac:dyDescent="0.3">
      <c r="Q2763" s="4"/>
      <c r="R2763" s="4"/>
      <c r="S2763" s="4"/>
      <c r="T2763" s="4"/>
      <c r="U2763" s="4"/>
      <c r="V2763" s="4"/>
      <c r="W2763" s="4"/>
      <c r="X2763" s="4"/>
    </row>
    <row r="2764" spans="17:24" x14ac:dyDescent="0.3">
      <c r="Q2764" s="4"/>
      <c r="R2764" s="4"/>
      <c r="S2764" s="4"/>
      <c r="T2764" s="4"/>
      <c r="U2764" s="4"/>
      <c r="V2764" s="4"/>
      <c r="W2764" s="4"/>
      <c r="X2764" s="4"/>
    </row>
    <row r="2765" spans="17:24" x14ac:dyDescent="0.3">
      <c r="Q2765" s="4"/>
      <c r="R2765" s="4"/>
      <c r="S2765" s="4"/>
      <c r="T2765" s="4"/>
      <c r="U2765" s="4"/>
      <c r="V2765" s="4"/>
      <c r="W2765" s="4"/>
      <c r="X2765" s="4"/>
    </row>
    <row r="2766" spans="17:24" x14ac:dyDescent="0.3">
      <c r="Q2766" s="4"/>
      <c r="R2766" s="4"/>
      <c r="S2766" s="4"/>
      <c r="T2766" s="4"/>
      <c r="U2766" s="4"/>
      <c r="V2766" s="4"/>
      <c r="W2766" s="4"/>
      <c r="X2766" s="4"/>
    </row>
    <row r="2767" spans="17:24" x14ac:dyDescent="0.3">
      <c r="Q2767" s="4"/>
      <c r="R2767" s="4"/>
      <c r="S2767" s="4"/>
      <c r="T2767" s="4"/>
      <c r="U2767" s="4"/>
      <c r="V2767" s="4"/>
      <c r="W2767" s="4"/>
      <c r="X2767" s="4"/>
    </row>
    <row r="2768" spans="17:24" x14ac:dyDescent="0.3">
      <c r="Q2768" s="4"/>
      <c r="R2768" s="4"/>
      <c r="S2768" s="4"/>
      <c r="T2768" s="4"/>
      <c r="U2768" s="4"/>
      <c r="V2768" s="4"/>
      <c r="W2768" s="4"/>
      <c r="X2768" s="4"/>
    </row>
    <row r="2769" spans="17:24" x14ac:dyDescent="0.3">
      <c r="Q2769" s="4"/>
      <c r="R2769" s="4"/>
      <c r="S2769" s="4"/>
      <c r="T2769" s="4"/>
      <c r="U2769" s="4"/>
      <c r="V2769" s="4"/>
      <c r="W2769" s="4"/>
      <c r="X2769" s="4"/>
    </row>
    <row r="2770" spans="17:24" x14ac:dyDescent="0.3">
      <c r="Q2770" s="4"/>
      <c r="R2770" s="4"/>
      <c r="S2770" s="4"/>
      <c r="T2770" s="4"/>
      <c r="U2770" s="4"/>
      <c r="V2770" s="4"/>
      <c r="W2770" s="4"/>
      <c r="X2770" s="4"/>
    </row>
    <row r="2771" spans="17:24" x14ac:dyDescent="0.3">
      <c r="Q2771" s="4"/>
      <c r="R2771" s="4"/>
      <c r="S2771" s="4"/>
      <c r="T2771" s="4"/>
      <c r="U2771" s="4"/>
      <c r="V2771" s="4"/>
      <c r="W2771" s="4"/>
      <c r="X2771" s="4"/>
    </row>
    <row r="2772" spans="17:24" x14ac:dyDescent="0.3">
      <c r="Q2772" s="4"/>
      <c r="R2772" s="4"/>
      <c r="S2772" s="4"/>
      <c r="T2772" s="4"/>
      <c r="U2772" s="4"/>
      <c r="V2772" s="4"/>
      <c r="W2772" s="4"/>
      <c r="X2772" s="4"/>
    </row>
    <row r="2773" spans="17:24" x14ac:dyDescent="0.3">
      <c r="Q2773" s="4"/>
      <c r="R2773" s="4"/>
      <c r="S2773" s="4"/>
      <c r="T2773" s="4"/>
      <c r="U2773" s="4"/>
      <c r="V2773" s="4"/>
      <c r="W2773" s="4"/>
      <c r="X2773" s="4"/>
    </row>
    <row r="2774" spans="17:24" x14ac:dyDescent="0.3">
      <c r="Q2774" s="4"/>
      <c r="R2774" s="4"/>
      <c r="S2774" s="4"/>
      <c r="T2774" s="4"/>
      <c r="U2774" s="4"/>
      <c r="V2774" s="4"/>
      <c r="W2774" s="4"/>
      <c r="X2774" s="4"/>
    </row>
    <row r="2775" spans="17:24" x14ac:dyDescent="0.3">
      <c r="Q2775" s="4"/>
      <c r="R2775" s="4"/>
      <c r="S2775" s="4"/>
      <c r="T2775" s="4"/>
      <c r="U2775" s="4"/>
      <c r="V2775" s="4"/>
      <c r="W2775" s="4"/>
      <c r="X2775" s="4"/>
    </row>
    <row r="2776" spans="17:24" x14ac:dyDescent="0.3">
      <c r="Q2776" s="4"/>
      <c r="R2776" s="4"/>
      <c r="S2776" s="4"/>
      <c r="T2776" s="4"/>
      <c r="U2776" s="4"/>
      <c r="V2776" s="4"/>
      <c r="W2776" s="4"/>
      <c r="X2776" s="4"/>
    </row>
    <row r="2777" spans="17:24" x14ac:dyDescent="0.3">
      <c r="Q2777" s="4"/>
      <c r="R2777" s="4"/>
      <c r="S2777" s="4"/>
      <c r="T2777" s="4"/>
      <c r="U2777" s="4"/>
      <c r="V2777" s="4"/>
      <c r="W2777" s="4"/>
      <c r="X2777" s="4"/>
    </row>
    <row r="2778" spans="17:24" x14ac:dyDescent="0.3">
      <c r="Q2778" s="4"/>
      <c r="R2778" s="4"/>
      <c r="S2778" s="4"/>
      <c r="T2778" s="4"/>
      <c r="U2778" s="4"/>
      <c r="V2778" s="4"/>
      <c r="W2778" s="4"/>
      <c r="X2778" s="4"/>
    </row>
    <row r="2779" spans="17:24" x14ac:dyDescent="0.3">
      <c r="Q2779" s="4"/>
      <c r="R2779" s="4"/>
      <c r="S2779" s="4"/>
      <c r="T2779" s="4"/>
      <c r="U2779" s="4"/>
      <c r="V2779" s="4"/>
      <c r="W2779" s="4"/>
      <c r="X2779" s="4"/>
    </row>
    <row r="2780" spans="17:24" x14ac:dyDescent="0.3">
      <c r="Q2780" s="4"/>
      <c r="R2780" s="4"/>
      <c r="S2780" s="4"/>
      <c r="T2780" s="4"/>
      <c r="U2780" s="4"/>
      <c r="V2780" s="4"/>
      <c r="W2780" s="4"/>
      <c r="X2780" s="4"/>
    </row>
    <row r="2781" spans="17:24" x14ac:dyDescent="0.3">
      <c r="Q2781" s="4"/>
      <c r="R2781" s="4"/>
      <c r="S2781" s="4"/>
      <c r="T2781" s="4"/>
      <c r="U2781" s="4"/>
      <c r="V2781" s="4"/>
      <c r="W2781" s="4"/>
      <c r="X2781" s="4"/>
    </row>
    <row r="2782" spans="17:24" x14ac:dyDescent="0.3">
      <c r="Q2782" s="4"/>
      <c r="R2782" s="4"/>
      <c r="S2782" s="4"/>
      <c r="T2782" s="4"/>
      <c r="U2782" s="4"/>
      <c r="V2782" s="4"/>
      <c r="W2782" s="4"/>
      <c r="X2782" s="4"/>
    </row>
    <row r="2783" spans="17:24" x14ac:dyDescent="0.3">
      <c r="Q2783" s="4"/>
      <c r="R2783" s="4"/>
      <c r="S2783" s="4"/>
      <c r="T2783" s="4"/>
      <c r="U2783" s="4"/>
      <c r="V2783" s="4"/>
      <c r="W2783" s="4"/>
      <c r="X2783" s="4"/>
    </row>
    <row r="2784" spans="17:24" x14ac:dyDescent="0.3">
      <c r="Q2784" s="4"/>
      <c r="R2784" s="4"/>
      <c r="S2784" s="4"/>
      <c r="T2784" s="4"/>
      <c r="U2784" s="4"/>
      <c r="V2784" s="4"/>
      <c r="W2784" s="4"/>
      <c r="X2784" s="4"/>
    </row>
    <row r="2785" spans="17:24" x14ac:dyDescent="0.3">
      <c r="Q2785" s="4"/>
      <c r="R2785" s="4"/>
      <c r="S2785" s="4"/>
      <c r="T2785" s="4"/>
      <c r="U2785" s="4"/>
      <c r="V2785" s="4"/>
      <c r="W2785" s="4"/>
      <c r="X2785" s="4"/>
    </row>
    <row r="2786" spans="17:24" x14ac:dyDescent="0.3">
      <c r="Q2786" s="4"/>
      <c r="R2786" s="4"/>
      <c r="S2786" s="4"/>
      <c r="T2786" s="4"/>
      <c r="U2786" s="4"/>
      <c r="V2786" s="4"/>
      <c r="W2786" s="4"/>
      <c r="X2786" s="4"/>
    </row>
    <row r="2787" spans="17:24" x14ac:dyDescent="0.3">
      <c r="Q2787" s="4"/>
      <c r="R2787" s="4"/>
      <c r="S2787" s="4"/>
      <c r="T2787" s="4"/>
      <c r="U2787" s="4"/>
      <c r="V2787" s="4"/>
      <c r="W2787" s="4"/>
      <c r="X2787" s="4"/>
    </row>
    <row r="2788" spans="17:24" x14ac:dyDescent="0.3">
      <c r="Q2788" s="4"/>
      <c r="R2788" s="4"/>
      <c r="S2788" s="4"/>
      <c r="T2788" s="4"/>
      <c r="U2788" s="4"/>
      <c r="V2788" s="4"/>
      <c r="W2788" s="4"/>
      <c r="X2788" s="4"/>
    </row>
    <row r="2789" spans="17:24" x14ac:dyDescent="0.3">
      <c r="Q2789" s="4"/>
      <c r="R2789" s="4"/>
      <c r="S2789" s="4"/>
      <c r="T2789" s="4"/>
      <c r="U2789" s="4"/>
      <c r="V2789" s="4"/>
      <c r="W2789" s="4"/>
      <c r="X2789" s="4"/>
    </row>
    <row r="2790" spans="17:24" x14ac:dyDescent="0.3">
      <c r="Q2790" s="4"/>
      <c r="R2790" s="4"/>
      <c r="S2790" s="4"/>
      <c r="T2790" s="4"/>
      <c r="U2790" s="4"/>
      <c r="V2790" s="4"/>
      <c r="W2790" s="4"/>
      <c r="X2790" s="4"/>
    </row>
    <row r="2791" spans="17:24" x14ac:dyDescent="0.3">
      <c r="Q2791" s="4"/>
      <c r="R2791" s="4"/>
      <c r="S2791" s="4"/>
      <c r="T2791" s="4"/>
      <c r="U2791" s="4"/>
      <c r="V2791" s="4"/>
      <c r="W2791" s="4"/>
      <c r="X2791" s="4"/>
    </row>
    <row r="2792" spans="17:24" x14ac:dyDescent="0.3">
      <c r="Q2792" s="4"/>
      <c r="R2792" s="4"/>
      <c r="S2792" s="4"/>
      <c r="T2792" s="4"/>
      <c r="U2792" s="4"/>
      <c r="V2792" s="4"/>
      <c r="W2792" s="4"/>
      <c r="X2792" s="4"/>
    </row>
    <row r="2793" spans="17:24" x14ac:dyDescent="0.3">
      <c r="Q2793" s="4"/>
      <c r="R2793" s="4"/>
      <c r="S2793" s="4"/>
      <c r="T2793" s="4"/>
      <c r="U2793" s="4"/>
      <c r="V2793" s="4"/>
      <c r="W2793" s="4"/>
      <c r="X2793" s="4"/>
    </row>
    <row r="2794" spans="17:24" x14ac:dyDescent="0.3">
      <c r="Q2794" s="4"/>
      <c r="R2794" s="4"/>
      <c r="S2794" s="4"/>
      <c r="T2794" s="4"/>
      <c r="U2794" s="4"/>
      <c r="V2794" s="4"/>
      <c r="W2794" s="4"/>
      <c r="X2794" s="4"/>
    </row>
    <row r="2795" spans="17:24" x14ac:dyDescent="0.3">
      <c r="Q2795" s="4"/>
      <c r="R2795" s="4"/>
      <c r="S2795" s="4"/>
      <c r="T2795" s="4"/>
      <c r="U2795" s="4"/>
      <c r="V2795" s="4"/>
      <c r="W2795" s="4"/>
      <c r="X2795" s="4"/>
    </row>
    <row r="2796" spans="17:24" x14ac:dyDescent="0.3">
      <c r="Q2796" s="4"/>
      <c r="R2796" s="4"/>
      <c r="S2796" s="4"/>
      <c r="T2796" s="4"/>
      <c r="U2796" s="4"/>
      <c r="V2796" s="4"/>
      <c r="W2796" s="4"/>
      <c r="X2796" s="4"/>
    </row>
    <row r="2797" spans="17:24" x14ac:dyDescent="0.3">
      <c r="Q2797" s="4"/>
      <c r="R2797" s="4"/>
      <c r="S2797" s="4"/>
      <c r="T2797" s="4"/>
      <c r="U2797" s="4"/>
      <c r="V2797" s="4"/>
      <c r="W2797" s="4"/>
      <c r="X2797" s="4"/>
    </row>
    <row r="2798" spans="17:24" x14ac:dyDescent="0.3">
      <c r="Q2798" s="4"/>
      <c r="R2798" s="4"/>
      <c r="S2798" s="4"/>
      <c r="T2798" s="4"/>
      <c r="U2798" s="4"/>
      <c r="V2798" s="4"/>
      <c r="W2798" s="4"/>
      <c r="X2798" s="4"/>
    </row>
    <row r="2799" spans="17:24" x14ac:dyDescent="0.3">
      <c r="Q2799" s="4"/>
      <c r="R2799" s="4"/>
      <c r="S2799" s="4"/>
      <c r="T2799" s="4"/>
      <c r="U2799" s="4"/>
      <c r="V2799" s="4"/>
      <c r="W2799" s="4"/>
      <c r="X2799" s="4"/>
    </row>
    <row r="2800" spans="17:24" x14ac:dyDescent="0.3">
      <c r="Q2800" s="4"/>
      <c r="R2800" s="4"/>
      <c r="S2800" s="4"/>
      <c r="T2800" s="4"/>
      <c r="U2800" s="4"/>
      <c r="V2800" s="4"/>
      <c r="W2800" s="4"/>
      <c r="X2800" s="4"/>
    </row>
    <row r="2801" spans="17:24" x14ac:dyDescent="0.3">
      <c r="Q2801" s="4"/>
      <c r="R2801" s="4"/>
      <c r="S2801" s="4"/>
      <c r="T2801" s="4"/>
      <c r="U2801" s="4"/>
      <c r="V2801" s="4"/>
      <c r="W2801" s="4"/>
      <c r="X2801" s="4"/>
    </row>
    <row r="2802" spans="17:24" x14ac:dyDescent="0.3">
      <c r="Q2802" s="4"/>
      <c r="R2802" s="4"/>
      <c r="S2802" s="4"/>
      <c r="T2802" s="4"/>
      <c r="U2802" s="4"/>
      <c r="V2802" s="4"/>
      <c r="W2802" s="4"/>
      <c r="X2802" s="4"/>
    </row>
    <row r="2803" spans="17:24" x14ac:dyDescent="0.3">
      <c r="Q2803" s="4"/>
      <c r="R2803" s="4"/>
      <c r="S2803" s="4"/>
      <c r="T2803" s="4"/>
      <c r="U2803" s="4"/>
      <c r="V2803" s="4"/>
      <c r="W2803" s="4"/>
      <c r="X2803" s="4"/>
    </row>
    <row r="2804" spans="17:24" x14ac:dyDescent="0.3">
      <c r="Q2804" s="4"/>
      <c r="R2804" s="4"/>
      <c r="S2804" s="4"/>
      <c r="T2804" s="4"/>
      <c r="U2804" s="4"/>
      <c r="V2804" s="4"/>
      <c r="W2804" s="4"/>
      <c r="X2804" s="4"/>
    </row>
    <row r="2805" spans="17:24" x14ac:dyDescent="0.3">
      <c r="Q2805" s="4"/>
      <c r="R2805" s="4"/>
      <c r="S2805" s="4"/>
      <c r="T2805" s="4"/>
      <c r="U2805" s="4"/>
      <c r="V2805" s="4"/>
      <c r="W2805" s="4"/>
      <c r="X2805" s="4"/>
    </row>
    <row r="2806" spans="17:24" x14ac:dyDescent="0.3">
      <c r="Q2806" s="4"/>
      <c r="R2806" s="4"/>
      <c r="S2806" s="4"/>
      <c r="T2806" s="4"/>
      <c r="U2806" s="4"/>
      <c r="V2806" s="4"/>
      <c r="W2806" s="4"/>
      <c r="X2806" s="4"/>
    </row>
    <row r="2807" spans="17:24" x14ac:dyDescent="0.3">
      <c r="Q2807" s="4"/>
      <c r="R2807" s="4"/>
      <c r="S2807" s="4"/>
      <c r="T2807" s="4"/>
      <c r="U2807" s="4"/>
      <c r="V2807" s="4"/>
      <c r="W2807" s="4"/>
      <c r="X2807" s="4"/>
    </row>
    <row r="2808" spans="17:24" x14ac:dyDescent="0.3">
      <c r="Q2808" s="4"/>
      <c r="R2808" s="4"/>
      <c r="S2808" s="4"/>
      <c r="T2808" s="4"/>
      <c r="U2808" s="4"/>
      <c r="V2808" s="4"/>
      <c r="W2808" s="4"/>
      <c r="X2808" s="4"/>
    </row>
    <row r="2809" spans="17:24" x14ac:dyDescent="0.3">
      <c r="Q2809" s="4"/>
      <c r="R2809" s="4"/>
      <c r="S2809" s="4"/>
      <c r="T2809" s="4"/>
      <c r="U2809" s="4"/>
      <c r="V2809" s="4"/>
      <c r="W2809" s="4"/>
      <c r="X2809" s="4"/>
    </row>
    <row r="2810" spans="17:24" x14ac:dyDescent="0.3">
      <c r="Q2810" s="4"/>
      <c r="R2810" s="4"/>
      <c r="S2810" s="4"/>
      <c r="T2810" s="4"/>
      <c r="U2810" s="4"/>
      <c r="V2810" s="4"/>
      <c r="W2810" s="4"/>
      <c r="X2810" s="4"/>
    </row>
    <row r="2811" spans="17:24" x14ac:dyDescent="0.3">
      <c r="Q2811" s="4"/>
      <c r="R2811" s="4"/>
      <c r="S2811" s="4"/>
      <c r="T2811" s="4"/>
      <c r="U2811" s="4"/>
      <c r="V2811" s="4"/>
      <c r="W2811" s="4"/>
      <c r="X2811" s="4"/>
    </row>
    <row r="2812" spans="17:24" x14ac:dyDescent="0.3">
      <c r="Q2812" s="4"/>
      <c r="R2812" s="4"/>
      <c r="S2812" s="4"/>
      <c r="T2812" s="4"/>
      <c r="U2812" s="4"/>
      <c r="V2812" s="4"/>
      <c r="W2812" s="4"/>
      <c r="X2812" s="4"/>
    </row>
    <row r="2813" spans="17:24" x14ac:dyDescent="0.3">
      <c r="Q2813" s="4"/>
      <c r="R2813" s="4"/>
      <c r="S2813" s="4"/>
      <c r="T2813" s="4"/>
      <c r="U2813" s="4"/>
      <c r="V2813" s="4"/>
      <c r="W2813" s="4"/>
      <c r="X2813" s="4"/>
    </row>
    <row r="2814" spans="17:24" x14ac:dyDescent="0.3">
      <c r="Q2814" s="4"/>
      <c r="R2814" s="4"/>
      <c r="S2814" s="4"/>
      <c r="T2814" s="4"/>
      <c r="U2814" s="4"/>
      <c r="V2814" s="4"/>
      <c r="W2814" s="4"/>
      <c r="X2814" s="4"/>
    </row>
    <row r="2815" spans="17:24" x14ac:dyDescent="0.3">
      <c r="Q2815" s="4"/>
      <c r="R2815" s="4"/>
      <c r="S2815" s="4"/>
      <c r="T2815" s="4"/>
      <c r="U2815" s="4"/>
      <c r="V2815" s="4"/>
      <c r="W2815" s="4"/>
      <c r="X2815" s="4"/>
    </row>
    <row r="2816" spans="17:24" x14ac:dyDescent="0.3">
      <c r="Q2816" s="4"/>
      <c r="R2816" s="4"/>
      <c r="S2816" s="4"/>
      <c r="T2816" s="4"/>
      <c r="U2816" s="4"/>
      <c r="V2816" s="4"/>
      <c r="W2816" s="4"/>
      <c r="X2816" s="4"/>
    </row>
    <row r="2817" spans="17:24" x14ac:dyDescent="0.3">
      <c r="Q2817" s="4"/>
      <c r="R2817" s="4"/>
      <c r="S2817" s="4"/>
      <c r="T2817" s="4"/>
      <c r="U2817" s="4"/>
      <c r="V2817" s="4"/>
      <c r="W2817" s="4"/>
      <c r="X2817" s="4"/>
    </row>
    <row r="2818" spans="17:24" x14ac:dyDescent="0.3">
      <c r="Q2818" s="4"/>
      <c r="R2818" s="4"/>
      <c r="S2818" s="4"/>
      <c r="T2818" s="4"/>
      <c r="U2818" s="4"/>
      <c r="V2818" s="4"/>
      <c r="W2818" s="4"/>
      <c r="X2818" s="4"/>
    </row>
    <row r="2819" spans="17:24" x14ac:dyDescent="0.3">
      <c r="Q2819" s="4"/>
      <c r="R2819" s="4"/>
      <c r="S2819" s="4"/>
      <c r="T2819" s="4"/>
      <c r="U2819" s="4"/>
      <c r="V2819" s="4"/>
      <c r="W2819" s="4"/>
      <c r="X2819" s="4"/>
    </row>
    <row r="2820" spans="17:24" x14ac:dyDescent="0.3">
      <c r="Q2820" s="4"/>
      <c r="R2820" s="4"/>
      <c r="S2820" s="4"/>
      <c r="T2820" s="4"/>
      <c r="U2820" s="4"/>
      <c r="V2820" s="4"/>
      <c r="W2820" s="4"/>
      <c r="X2820" s="4"/>
    </row>
    <row r="2821" spans="17:24" x14ac:dyDescent="0.3">
      <c r="Q2821" s="4"/>
      <c r="R2821" s="4"/>
      <c r="S2821" s="4"/>
      <c r="T2821" s="4"/>
      <c r="U2821" s="4"/>
      <c r="V2821" s="4"/>
      <c r="W2821" s="4"/>
      <c r="X2821" s="4"/>
    </row>
    <row r="2822" spans="17:24" x14ac:dyDescent="0.3">
      <c r="Q2822" s="4"/>
      <c r="R2822" s="4"/>
      <c r="S2822" s="4"/>
      <c r="T2822" s="4"/>
      <c r="U2822" s="4"/>
      <c r="V2822" s="4"/>
      <c r="W2822" s="4"/>
      <c r="X2822" s="4"/>
    </row>
    <row r="2823" spans="17:24" x14ac:dyDescent="0.3">
      <c r="Q2823" s="4"/>
      <c r="R2823" s="4"/>
      <c r="S2823" s="4"/>
      <c r="T2823" s="4"/>
      <c r="U2823" s="4"/>
      <c r="V2823" s="4"/>
      <c r="W2823" s="4"/>
      <c r="X2823" s="4"/>
    </row>
    <row r="2824" spans="17:24" x14ac:dyDescent="0.3">
      <c r="Q2824" s="4"/>
      <c r="R2824" s="4"/>
      <c r="S2824" s="4"/>
      <c r="T2824" s="4"/>
      <c r="U2824" s="4"/>
      <c r="V2824" s="4"/>
      <c r="W2824" s="4"/>
      <c r="X2824" s="4"/>
    </row>
    <row r="2825" spans="17:24" x14ac:dyDescent="0.3">
      <c r="Q2825" s="4"/>
      <c r="R2825" s="4"/>
      <c r="S2825" s="4"/>
      <c r="T2825" s="4"/>
      <c r="U2825" s="4"/>
      <c r="V2825" s="4"/>
      <c r="W2825" s="4"/>
      <c r="X2825" s="4"/>
    </row>
    <row r="2826" spans="17:24" x14ac:dyDescent="0.3">
      <c r="Q2826" s="4"/>
      <c r="R2826" s="4"/>
      <c r="S2826" s="4"/>
      <c r="T2826" s="4"/>
      <c r="U2826" s="4"/>
      <c r="V2826" s="4"/>
      <c r="W2826" s="4"/>
      <c r="X2826" s="4"/>
    </row>
    <row r="2827" spans="17:24" x14ac:dyDescent="0.3">
      <c r="Q2827" s="4"/>
      <c r="R2827" s="4"/>
      <c r="S2827" s="4"/>
      <c r="T2827" s="4"/>
      <c r="U2827" s="4"/>
      <c r="V2827" s="4"/>
      <c r="W2827" s="4"/>
      <c r="X2827" s="4"/>
    </row>
    <row r="2828" spans="17:24" x14ac:dyDescent="0.3">
      <c r="Q2828" s="4"/>
      <c r="R2828" s="4"/>
      <c r="S2828" s="4"/>
      <c r="T2828" s="4"/>
      <c r="U2828" s="4"/>
      <c r="V2828" s="4"/>
      <c r="W2828" s="4"/>
      <c r="X2828" s="4"/>
    </row>
    <row r="2829" spans="17:24" x14ac:dyDescent="0.3">
      <c r="Q2829" s="4"/>
      <c r="R2829" s="4"/>
      <c r="S2829" s="4"/>
      <c r="T2829" s="4"/>
      <c r="U2829" s="4"/>
      <c r="V2829" s="4"/>
      <c r="W2829" s="4"/>
      <c r="X2829" s="4"/>
    </row>
    <row r="2830" spans="17:24" x14ac:dyDescent="0.3">
      <c r="Q2830" s="4"/>
      <c r="R2830" s="4"/>
      <c r="S2830" s="4"/>
      <c r="T2830" s="4"/>
      <c r="U2830" s="4"/>
      <c r="V2830" s="4"/>
      <c r="W2830" s="4"/>
      <c r="X2830" s="4"/>
    </row>
    <row r="2831" spans="17:24" x14ac:dyDescent="0.3">
      <c r="Q2831" s="4"/>
      <c r="R2831" s="4"/>
      <c r="S2831" s="4"/>
      <c r="T2831" s="4"/>
      <c r="U2831" s="4"/>
      <c r="V2831" s="4"/>
      <c r="W2831" s="4"/>
      <c r="X2831" s="4"/>
    </row>
    <row r="2832" spans="17:24" x14ac:dyDescent="0.3">
      <c r="Q2832" s="4"/>
      <c r="R2832" s="4"/>
      <c r="S2832" s="4"/>
      <c r="T2832" s="4"/>
      <c r="U2832" s="4"/>
      <c r="V2832" s="4"/>
      <c r="W2832" s="4"/>
      <c r="X2832" s="4"/>
    </row>
    <row r="2833" spans="17:24" x14ac:dyDescent="0.3">
      <c r="Q2833" s="4"/>
      <c r="R2833" s="4"/>
      <c r="S2833" s="4"/>
      <c r="T2833" s="4"/>
      <c r="U2833" s="4"/>
      <c r="V2833" s="4"/>
      <c r="W2833" s="4"/>
      <c r="X2833" s="4"/>
    </row>
    <row r="2834" spans="17:24" x14ac:dyDescent="0.3">
      <c r="Q2834" s="4"/>
      <c r="R2834" s="4"/>
      <c r="S2834" s="4"/>
      <c r="T2834" s="4"/>
      <c r="U2834" s="4"/>
      <c r="V2834" s="4"/>
      <c r="W2834" s="4"/>
      <c r="X2834" s="4"/>
    </row>
    <row r="2835" spans="17:24" x14ac:dyDescent="0.3">
      <c r="Q2835" s="4"/>
      <c r="R2835" s="4"/>
      <c r="S2835" s="4"/>
      <c r="T2835" s="4"/>
      <c r="U2835" s="4"/>
      <c r="V2835" s="4"/>
      <c r="W2835" s="4"/>
      <c r="X2835" s="4"/>
    </row>
    <row r="2836" spans="17:24" x14ac:dyDescent="0.3">
      <c r="Q2836" s="4"/>
      <c r="R2836" s="4"/>
      <c r="S2836" s="4"/>
      <c r="T2836" s="4"/>
      <c r="U2836" s="4"/>
      <c r="V2836" s="4"/>
      <c r="W2836" s="4"/>
      <c r="X2836" s="4"/>
    </row>
    <row r="2837" spans="17:24" x14ac:dyDescent="0.3">
      <c r="Q2837" s="4"/>
      <c r="R2837" s="4"/>
      <c r="S2837" s="4"/>
      <c r="T2837" s="4"/>
      <c r="U2837" s="4"/>
      <c r="V2837" s="4"/>
      <c r="W2837" s="4"/>
      <c r="X2837" s="4"/>
    </row>
    <row r="2838" spans="17:24" x14ac:dyDescent="0.3">
      <c r="Q2838" s="4"/>
      <c r="R2838" s="4"/>
      <c r="S2838" s="4"/>
      <c r="T2838" s="4"/>
      <c r="U2838" s="4"/>
      <c r="V2838" s="4"/>
      <c r="W2838" s="4"/>
      <c r="X2838" s="4"/>
    </row>
    <row r="2839" spans="17:24" x14ac:dyDescent="0.3">
      <c r="Q2839" s="4"/>
      <c r="R2839" s="4"/>
      <c r="S2839" s="4"/>
      <c r="T2839" s="4"/>
      <c r="U2839" s="4"/>
      <c r="V2839" s="4"/>
      <c r="W2839" s="4"/>
      <c r="X2839" s="4"/>
    </row>
    <row r="2840" spans="17:24" x14ac:dyDescent="0.3">
      <c r="Q2840" s="4"/>
      <c r="R2840" s="4"/>
      <c r="S2840" s="4"/>
      <c r="T2840" s="4"/>
      <c r="U2840" s="4"/>
      <c r="V2840" s="4"/>
      <c r="W2840" s="4"/>
      <c r="X2840" s="4"/>
    </row>
    <row r="2841" spans="17:24" x14ac:dyDescent="0.3">
      <c r="Q2841" s="4"/>
      <c r="R2841" s="4"/>
      <c r="S2841" s="4"/>
      <c r="T2841" s="4"/>
      <c r="U2841" s="4"/>
      <c r="V2841" s="4"/>
      <c r="W2841" s="4"/>
      <c r="X2841" s="4"/>
    </row>
    <row r="2842" spans="17:24" x14ac:dyDescent="0.3">
      <c r="Q2842" s="4"/>
      <c r="R2842" s="4"/>
      <c r="S2842" s="4"/>
      <c r="T2842" s="4"/>
      <c r="U2842" s="4"/>
      <c r="V2842" s="4"/>
      <c r="W2842" s="4"/>
      <c r="X2842" s="4"/>
    </row>
    <row r="2843" spans="17:24" x14ac:dyDescent="0.3">
      <c r="Q2843" s="4"/>
      <c r="R2843" s="4"/>
      <c r="S2843" s="4"/>
      <c r="T2843" s="4"/>
      <c r="U2843" s="4"/>
      <c r="V2843" s="4"/>
      <c r="W2843" s="4"/>
      <c r="X2843" s="4"/>
    </row>
    <row r="2844" spans="17:24" x14ac:dyDescent="0.3">
      <c r="Q2844" s="4"/>
      <c r="R2844" s="4"/>
      <c r="S2844" s="4"/>
      <c r="T2844" s="4"/>
      <c r="U2844" s="4"/>
      <c r="V2844" s="4"/>
      <c r="W2844" s="4"/>
      <c r="X2844" s="4"/>
    </row>
    <row r="2845" spans="17:24" x14ac:dyDescent="0.3">
      <c r="Q2845" s="4"/>
      <c r="R2845" s="4"/>
      <c r="S2845" s="4"/>
      <c r="T2845" s="4"/>
      <c r="U2845" s="4"/>
      <c r="V2845" s="4"/>
      <c r="W2845" s="4"/>
      <c r="X2845" s="4"/>
    </row>
    <row r="2846" spans="17:24" x14ac:dyDescent="0.3">
      <c r="Q2846" s="4"/>
      <c r="R2846" s="4"/>
      <c r="S2846" s="4"/>
      <c r="T2846" s="4"/>
      <c r="U2846" s="4"/>
      <c r="V2846" s="4"/>
      <c r="W2846" s="4"/>
      <c r="X2846" s="4"/>
    </row>
    <row r="2847" spans="17:24" x14ac:dyDescent="0.3">
      <c r="Q2847" s="4"/>
      <c r="R2847" s="4"/>
      <c r="S2847" s="4"/>
      <c r="T2847" s="4"/>
      <c r="U2847" s="4"/>
      <c r="V2847" s="4"/>
      <c r="W2847" s="4"/>
      <c r="X2847" s="4"/>
    </row>
    <row r="2848" spans="17:24" x14ac:dyDescent="0.3">
      <c r="Q2848" s="4"/>
      <c r="R2848" s="4"/>
      <c r="S2848" s="4"/>
      <c r="T2848" s="4"/>
      <c r="U2848" s="4"/>
      <c r="V2848" s="4"/>
      <c r="W2848" s="4"/>
      <c r="X2848" s="4"/>
    </row>
    <row r="2849" spans="17:24" x14ac:dyDescent="0.3">
      <c r="Q2849" s="4"/>
      <c r="R2849" s="4"/>
      <c r="S2849" s="4"/>
      <c r="T2849" s="4"/>
      <c r="U2849" s="4"/>
      <c r="V2849" s="4"/>
      <c r="W2849" s="4"/>
      <c r="X2849" s="4"/>
    </row>
    <row r="2850" spans="17:24" x14ac:dyDescent="0.3">
      <c r="Q2850" s="4"/>
      <c r="R2850" s="4"/>
      <c r="S2850" s="4"/>
      <c r="T2850" s="4"/>
      <c r="U2850" s="4"/>
      <c r="V2850" s="4"/>
      <c r="W2850" s="4"/>
      <c r="X2850" s="4"/>
    </row>
    <row r="2851" spans="17:24" x14ac:dyDescent="0.3">
      <c r="Q2851" s="4"/>
      <c r="R2851" s="4"/>
      <c r="S2851" s="4"/>
      <c r="T2851" s="4"/>
      <c r="U2851" s="4"/>
      <c r="V2851" s="4"/>
      <c r="W2851" s="4"/>
      <c r="X2851" s="4"/>
    </row>
    <row r="2852" spans="17:24" x14ac:dyDescent="0.3">
      <c r="Q2852" s="4"/>
      <c r="R2852" s="4"/>
      <c r="S2852" s="4"/>
      <c r="T2852" s="4"/>
      <c r="U2852" s="4"/>
      <c r="V2852" s="4"/>
      <c r="W2852" s="4"/>
      <c r="X2852" s="4"/>
    </row>
    <row r="2853" spans="17:24" x14ac:dyDescent="0.3">
      <c r="Q2853" s="4"/>
      <c r="R2853" s="4"/>
      <c r="S2853" s="4"/>
      <c r="T2853" s="4"/>
      <c r="U2853" s="4"/>
      <c r="V2853" s="4"/>
      <c r="W2853" s="4"/>
      <c r="X2853" s="4"/>
    </row>
    <row r="2854" spans="17:24" x14ac:dyDescent="0.3">
      <c r="Q2854" s="4"/>
      <c r="R2854" s="4"/>
      <c r="S2854" s="4"/>
      <c r="T2854" s="4"/>
      <c r="U2854" s="4"/>
      <c r="V2854" s="4"/>
      <c r="W2854" s="4"/>
      <c r="X2854" s="4"/>
    </row>
    <row r="2855" spans="17:24" x14ac:dyDescent="0.3">
      <c r="Q2855" s="4"/>
      <c r="R2855" s="4"/>
      <c r="S2855" s="4"/>
      <c r="T2855" s="4"/>
      <c r="U2855" s="4"/>
      <c r="V2855" s="4"/>
      <c r="W2855" s="4"/>
      <c r="X2855" s="4"/>
    </row>
    <row r="2856" spans="17:24" x14ac:dyDescent="0.3">
      <c r="Q2856" s="4"/>
      <c r="R2856" s="4"/>
      <c r="S2856" s="4"/>
      <c r="T2856" s="4"/>
      <c r="U2856" s="4"/>
      <c r="V2856" s="4"/>
      <c r="W2856" s="4"/>
      <c r="X2856" s="4"/>
    </row>
    <row r="2857" spans="17:24" x14ac:dyDescent="0.3">
      <c r="Q2857" s="4"/>
      <c r="R2857" s="4"/>
      <c r="S2857" s="4"/>
      <c r="T2857" s="4"/>
      <c r="U2857" s="4"/>
      <c r="V2857" s="4"/>
      <c r="W2857" s="4"/>
      <c r="X2857" s="4"/>
    </row>
    <row r="2858" spans="17:24" x14ac:dyDescent="0.3">
      <c r="Q2858" s="4"/>
      <c r="R2858" s="4"/>
      <c r="S2858" s="4"/>
      <c r="T2858" s="4"/>
      <c r="U2858" s="4"/>
      <c r="V2858" s="4"/>
      <c r="W2858" s="4"/>
      <c r="X2858" s="4"/>
    </row>
    <row r="2859" spans="17:24" x14ac:dyDescent="0.3">
      <c r="Q2859" s="4"/>
      <c r="R2859" s="4"/>
      <c r="S2859" s="4"/>
      <c r="T2859" s="4"/>
      <c r="U2859" s="4"/>
      <c r="V2859" s="4"/>
      <c r="W2859" s="4"/>
      <c r="X2859" s="4"/>
    </row>
    <row r="2860" spans="17:24" x14ac:dyDescent="0.3">
      <c r="Q2860" s="4"/>
      <c r="R2860" s="4"/>
      <c r="S2860" s="4"/>
      <c r="T2860" s="4"/>
      <c r="U2860" s="4"/>
      <c r="V2860" s="4"/>
      <c r="W2860" s="4"/>
      <c r="X2860" s="4"/>
    </row>
    <row r="2861" spans="17:24" x14ac:dyDescent="0.3">
      <c r="Q2861" s="4"/>
      <c r="R2861" s="4"/>
      <c r="S2861" s="4"/>
      <c r="T2861" s="4"/>
      <c r="U2861" s="4"/>
      <c r="V2861" s="4"/>
      <c r="W2861" s="4"/>
      <c r="X2861" s="4"/>
    </row>
    <row r="2862" spans="17:24" x14ac:dyDescent="0.3">
      <c r="Q2862" s="4"/>
      <c r="R2862" s="4"/>
      <c r="S2862" s="4"/>
      <c r="T2862" s="4"/>
      <c r="U2862" s="4"/>
      <c r="V2862" s="4"/>
      <c r="W2862" s="4"/>
      <c r="X2862" s="4"/>
    </row>
    <row r="2863" spans="17:24" x14ac:dyDescent="0.3">
      <c r="Q2863" s="4"/>
      <c r="R2863" s="4"/>
      <c r="S2863" s="4"/>
      <c r="T2863" s="4"/>
      <c r="U2863" s="4"/>
      <c r="V2863" s="4"/>
      <c r="W2863" s="4"/>
      <c r="X2863" s="4"/>
    </row>
    <row r="2864" spans="17:24" x14ac:dyDescent="0.3">
      <c r="Q2864" s="4"/>
      <c r="R2864" s="4"/>
      <c r="S2864" s="4"/>
      <c r="T2864" s="4"/>
      <c r="U2864" s="4"/>
      <c r="V2864" s="4"/>
      <c r="W2864" s="4"/>
      <c r="X2864" s="4"/>
    </row>
    <row r="2865" spans="17:24" x14ac:dyDescent="0.3">
      <c r="Q2865" s="4"/>
      <c r="R2865" s="4"/>
      <c r="S2865" s="4"/>
      <c r="T2865" s="4"/>
      <c r="U2865" s="4"/>
      <c r="V2865" s="4"/>
      <c r="W2865" s="4"/>
      <c r="X2865" s="4"/>
    </row>
    <row r="2866" spans="17:24" x14ac:dyDescent="0.3">
      <c r="Q2866" s="4"/>
      <c r="R2866" s="4"/>
      <c r="S2866" s="4"/>
      <c r="T2866" s="4"/>
      <c r="U2866" s="4"/>
      <c r="V2866" s="4"/>
      <c r="W2866" s="4"/>
      <c r="X2866" s="4"/>
    </row>
    <row r="2867" spans="17:24" x14ac:dyDescent="0.3">
      <c r="Q2867" s="4"/>
      <c r="R2867" s="4"/>
      <c r="S2867" s="4"/>
      <c r="T2867" s="4"/>
      <c r="U2867" s="4"/>
      <c r="V2867" s="4"/>
      <c r="W2867" s="4"/>
      <c r="X2867" s="4"/>
    </row>
    <row r="2868" spans="17:24" x14ac:dyDescent="0.3">
      <c r="Q2868" s="4"/>
      <c r="R2868" s="4"/>
      <c r="S2868" s="4"/>
      <c r="T2868" s="4"/>
      <c r="U2868" s="4"/>
      <c r="V2868" s="4"/>
      <c r="W2868" s="4"/>
      <c r="X2868" s="4"/>
    </row>
    <row r="2869" spans="17:24" x14ac:dyDescent="0.3">
      <c r="Q2869" s="4"/>
      <c r="R2869" s="4"/>
      <c r="S2869" s="4"/>
      <c r="T2869" s="4"/>
      <c r="U2869" s="4"/>
      <c r="V2869" s="4"/>
      <c r="W2869" s="4"/>
      <c r="X2869" s="4"/>
    </row>
    <row r="2870" spans="17:24" x14ac:dyDescent="0.3">
      <c r="Q2870" s="4"/>
      <c r="R2870" s="4"/>
      <c r="S2870" s="4"/>
      <c r="T2870" s="4"/>
      <c r="U2870" s="4"/>
      <c r="V2870" s="4"/>
      <c r="W2870" s="4"/>
      <c r="X2870" s="4"/>
    </row>
    <row r="2871" spans="17:24" x14ac:dyDescent="0.3">
      <c r="Q2871" s="4"/>
      <c r="R2871" s="4"/>
      <c r="S2871" s="4"/>
      <c r="T2871" s="4"/>
      <c r="U2871" s="4"/>
      <c r="V2871" s="4"/>
      <c r="W2871" s="4"/>
      <c r="X2871" s="4"/>
    </row>
    <row r="2872" spans="17:24" x14ac:dyDescent="0.3">
      <c r="Q2872" s="4"/>
      <c r="R2872" s="4"/>
      <c r="S2872" s="4"/>
      <c r="T2872" s="4"/>
      <c r="U2872" s="4"/>
      <c r="V2872" s="4"/>
      <c r="W2872" s="4"/>
      <c r="X2872" s="4"/>
    </row>
    <row r="2873" spans="17:24" x14ac:dyDescent="0.3">
      <c r="Q2873" s="4"/>
      <c r="R2873" s="4"/>
      <c r="S2873" s="4"/>
      <c r="T2873" s="4"/>
      <c r="U2873" s="4"/>
      <c r="V2873" s="4"/>
      <c r="W2873" s="4"/>
      <c r="X2873" s="4"/>
    </row>
    <row r="2874" spans="17:24" x14ac:dyDescent="0.3">
      <c r="Q2874" s="4"/>
      <c r="R2874" s="4"/>
      <c r="S2874" s="4"/>
      <c r="T2874" s="4"/>
      <c r="U2874" s="4"/>
      <c r="V2874" s="4"/>
      <c r="W2874" s="4"/>
      <c r="X2874" s="4"/>
    </row>
    <row r="2875" spans="17:24" x14ac:dyDescent="0.3">
      <c r="Q2875" s="4"/>
      <c r="R2875" s="4"/>
      <c r="S2875" s="4"/>
      <c r="T2875" s="4"/>
      <c r="U2875" s="4"/>
      <c r="V2875" s="4"/>
      <c r="W2875" s="4"/>
      <c r="X2875" s="4"/>
    </row>
    <row r="2876" spans="17:24" x14ac:dyDescent="0.3">
      <c r="Q2876" s="4"/>
      <c r="R2876" s="4"/>
      <c r="S2876" s="4"/>
      <c r="T2876" s="4"/>
      <c r="U2876" s="4"/>
      <c r="V2876" s="4"/>
      <c r="W2876" s="4"/>
      <c r="X2876" s="4"/>
    </row>
    <row r="2877" spans="17:24" x14ac:dyDescent="0.3">
      <c r="Q2877" s="4"/>
      <c r="R2877" s="4"/>
      <c r="S2877" s="4"/>
      <c r="T2877" s="4"/>
      <c r="U2877" s="4"/>
      <c r="V2877" s="4"/>
      <c r="W2877" s="4"/>
      <c r="X2877" s="4"/>
    </row>
    <row r="2878" spans="17:24" x14ac:dyDescent="0.3">
      <c r="Q2878" s="4"/>
      <c r="R2878" s="4"/>
      <c r="S2878" s="4"/>
      <c r="T2878" s="4"/>
      <c r="U2878" s="4"/>
      <c r="V2878" s="4"/>
      <c r="W2878" s="4"/>
      <c r="X2878" s="4"/>
    </row>
    <row r="2879" spans="17:24" x14ac:dyDescent="0.3">
      <c r="Q2879" s="4"/>
      <c r="R2879" s="4"/>
      <c r="S2879" s="4"/>
      <c r="T2879" s="4"/>
      <c r="U2879" s="4"/>
      <c r="V2879" s="4"/>
      <c r="W2879" s="4"/>
      <c r="X2879" s="4"/>
    </row>
    <row r="2880" spans="17:24" x14ac:dyDescent="0.3">
      <c r="Q2880" s="4"/>
      <c r="R2880" s="4"/>
      <c r="S2880" s="4"/>
      <c r="T2880" s="4"/>
      <c r="U2880" s="4"/>
      <c r="V2880" s="4"/>
      <c r="W2880" s="4"/>
      <c r="X2880" s="4"/>
    </row>
    <row r="2881" spans="17:24" x14ac:dyDescent="0.3">
      <c r="Q2881" s="4"/>
      <c r="R2881" s="4"/>
      <c r="S2881" s="4"/>
      <c r="T2881" s="4"/>
      <c r="U2881" s="4"/>
      <c r="V2881" s="4"/>
      <c r="W2881" s="4"/>
      <c r="X2881" s="4"/>
    </row>
    <row r="2882" spans="17:24" x14ac:dyDescent="0.3">
      <c r="Q2882" s="4"/>
      <c r="R2882" s="4"/>
      <c r="S2882" s="4"/>
      <c r="T2882" s="4"/>
      <c r="U2882" s="4"/>
      <c r="V2882" s="4"/>
      <c r="W2882" s="4"/>
      <c r="X2882" s="4"/>
    </row>
    <row r="2883" spans="17:24" x14ac:dyDescent="0.3">
      <c r="Q2883" s="4"/>
      <c r="R2883" s="4"/>
      <c r="S2883" s="4"/>
      <c r="T2883" s="4"/>
      <c r="U2883" s="4"/>
      <c r="V2883" s="4"/>
      <c r="W2883" s="4"/>
      <c r="X2883" s="4"/>
    </row>
    <row r="2884" spans="17:24" x14ac:dyDescent="0.3">
      <c r="Q2884" s="4"/>
      <c r="R2884" s="4"/>
      <c r="S2884" s="4"/>
      <c r="T2884" s="4"/>
      <c r="U2884" s="4"/>
      <c r="V2884" s="4"/>
      <c r="W2884" s="4"/>
      <c r="X2884" s="4"/>
    </row>
    <row r="2885" spans="17:24" x14ac:dyDescent="0.3">
      <c r="Q2885" s="4"/>
      <c r="R2885" s="4"/>
      <c r="S2885" s="4"/>
      <c r="T2885" s="4"/>
      <c r="U2885" s="4"/>
      <c r="V2885" s="4"/>
      <c r="W2885" s="4"/>
      <c r="X2885" s="4"/>
    </row>
    <row r="2886" spans="17:24" x14ac:dyDescent="0.3">
      <c r="Q2886" s="4"/>
      <c r="R2886" s="4"/>
      <c r="S2886" s="4"/>
      <c r="T2886" s="4"/>
      <c r="U2886" s="4"/>
      <c r="V2886" s="4"/>
      <c r="W2886" s="4"/>
      <c r="X2886" s="4"/>
    </row>
    <row r="2887" spans="17:24" x14ac:dyDescent="0.3">
      <c r="Q2887" s="4"/>
      <c r="R2887" s="4"/>
      <c r="S2887" s="4"/>
      <c r="T2887" s="4"/>
      <c r="U2887" s="4"/>
      <c r="V2887" s="4"/>
      <c r="W2887" s="4"/>
      <c r="X2887" s="4"/>
    </row>
    <row r="2888" spans="17:24" x14ac:dyDescent="0.3">
      <c r="Q2888" s="4"/>
      <c r="R2888" s="4"/>
      <c r="S2888" s="4"/>
      <c r="T2888" s="4"/>
      <c r="U2888" s="4"/>
      <c r="V2888" s="4"/>
      <c r="W2888" s="4"/>
      <c r="X2888" s="4"/>
    </row>
    <row r="2889" spans="17:24" x14ac:dyDescent="0.3">
      <c r="Q2889" s="4"/>
      <c r="R2889" s="4"/>
      <c r="S2889" s="4"/>
      <c r="T2889" s="4"/>
      <c r="U2889" s="4"/>
      <c r="V2889" s="4"/>
      <c r="W2889" s="4"/>
      <c r="X2889" s="4"/>
    </row>
    <row r="2890" spans="17:24" x14ac:dyDescent="0.3">
      <c r="Q2890" s="4"/>
      <c r="R2890" s="4"/>
      <c r="S2890" s="4"/>
      <c r="T2890" s="4"/>
      <c r="U2890" s="4"/>
      <c r="V2890" s="4"/>
      <c r="W2890" s="4"/>
      <c r="X2890" s="4"/>
    </row>
    <row r="2891" spans="17:24" x14ac:dyDescent="0.3">
      <c r="Q2891" s="4"/>
      <c r="R2891" s="4"/>
      <c r="S2891" s="4"/>
      <c r="T2891" s="4"/>
      <c r="U2891" s="4"/>
      <c r="V2891" s="4"/>
      <c r="W2891" s="4"/>
      <c r="X2891" s="4"/>
    </row>
    <row r="2892" spans="17:24" x14ac:dyDescent="0.3">
      <c r="Q2892" s="4"/>
      <c r="R2892" s="4"/>
      <c r="S2892" s="4"/>
      <c r="T2892" s="4"/>
      <c r="U2892" s="4"/>
      <c r="V2892" s="4"/>
      <c r="W2892" s="4"/>
      <c r="X2892" s="4"/>
    </row>
    <row r="2893" spans="17:24" x14ac:dyDescent="0.3">
      <c r="Q2893" s="4"/>
      <c r="R2893" s="4"/>
      <c r="S2893" s="4"/>
      <c r="T2893" s="4"/>
      <c r="U2893" s="4"/>
      <c r="V2893" s="4"/>
      <c r="W2893" s="4"/>
      <c r="X2893" s="4"/>
    </row>
    <row r="2894" spans="17:24" x14ac:dyDescent="0.3">
      <c r="Q2894" s="4"/>
      <c r="R2894" s="4"/>
      <c r="S2894" s="4"/>
      <c r="T2894" s="4"/>
      <c r="U2894" s="4"/>
      <c r="V2894" s="4"/>
      <c r="W2894" s="4"/>
      <c r="X2894" s="4"/>
    </row>
    <row r="2895" spans="17:24" x14ac:dyDescent="0.3">
      <c r="Q2895" s="4"/>
      <c r="R2895" s="4"/>
      <c r="S2895" s="4"/>
      <c r="T2895" s="4"/>
      <c r="U2895" s="4"/>
      <c r="V2895" s="4"/>
      <c r="W2895" s="4"/>
      <c r="X2895" s="4"/>
    </row>
    <row r="2896" spans="17:24" x14ac:dyDescent="0.3">
      <c r="Q2896" s="4"/>
      <c r="R2896" s="4"/>
      <c r="S2896" s="4"/>
      <c r="T2896" s="4"/>
      <c r="U2896" s="4"/>
      <c r="V2896" s="4"/>
      <c r="W2896" s="4"/>
      <c r="X2896" s="4"/>
    </row>
    <row r="2897" spans="17:24" x14ac:dyDescent="0.3">
      <c r="Q2897" s="4"/>
      <c r="R2897" s="4"/>
      <c r="S2897" s="4"/>
      <c r="T2897" s="4"/>
      <c r="U2897" s="4"/>
      <c r="V2897" s="4"/>
      <c r="W2897" s="4"/>
      <c r="X2897" s="4"/>
    </row>
    <row r="2898" spans="17:24" x14ac:dyDescent="0.3">
      <c r="Q2898" s="4"/>
      <c r="R2898" s="4"/>
      <c r="S2898" s="4"/>
      <c r="T2898" s="4"/>
      <c r="U2898" s="4"/>
      <c r="V2898" s="4"/>
      <c r="W2898" s="4"/>
      <c r="X2898" s="4"/>
    </row>
    <row r="2899" spans="17:24" x14ac:dyDescent="0.3">
      <c r="Q2899" s="4"/>
      <c r="R2899" s="4"/>
      <c r="S2899" s="4"/>
      <c r="T2899" s="4"/>
      <c r="U2899" s="4"/>
      <c r="V2899" s="4"/>
      <c r="W2899" s="4"/>
      <c r="X2899" s="4"/>
    </row>
    <row r="2900" spans="17:24" x14ac:dyDescent="0.3">
      <c r="Q2900" s="4"/>
      <c r="R2900" s="4"/>
      <c r="S2900" s="4"/>
      <c r="T2900" s="4"/>
      <c r="U2900" s="4"/>
      <c r="V2900" s="4"/>
      <c r="W2900" s="4"/>
      <c r="X2900" s="4"/>
    </row>
    <row r="2901" spans="17:24" x14ac:dyDescent="0.3">
      <c r="Q2901" s="4"/>
      <c r="R2901" s="4"/>
      <c r="S2901" s="4"/>
      <c r="T2901" s="4"/>
      <c r="U2901" s="4"/>
      <c r="V2901" s="4"/>
      <c r="W2901" s="4"/>
      <c r="X2901" s="4"/>
    </row>
    <row r="2902" spans="17:24" x14ac:dyDescent="0.3">
      <c r="Q2902" s="4"/>
      <c r="R2902" s="4"/>
      <c r="S2902" s="4"/>
      <c r="T2902" s="4"/>
      <c r="U2902" s="4"/>
      <c r="V2902" s="4"/>
      <c r="W2902" s="4"/>
      <c r="X2902" s="4"/>
    </row>
    <row r="2903" spans="17:24" x14ac:dyDescent="0.3">
      <c r="Q2903" s="4"/>
      <c r="R2903" s="4"/>
      <c r="S2903" s="4"/>
      <c r="T2903" s="4"/>
      <c r="U2903" s="4"/>
      <c r="V2903" s="4"/>
      <c r="W2903" s="4"/>
      <c r="X2903" s="4"/>
    </row>
    <row r="2904" spans="17:24" x14ac:dyDescent="0.3">
      <c r="Q2904" s="4"/>
      <c r="R2904" s="4"/>
      <c r="S2904" s="4"/>
      <c r="T2904" s="4"/>
      <c r="U2904" s="4"/>
      <c r="V2904" s="4"/>
      <c r="W2904" s="4"/>
      <c r="X2904" s="4"/>
    </row>
    <row r="2905" spans="17:24" x14ac:dyDescent="0.3">
      <c r="Q2905" s="4"/>
      <c r="R2905" s="4"/>
      <c r="S2905" s="4"/>
      <c r="T2905" s="4"/>
      <c r="U2905" s="4"/>
      <c r="V2905" s="4"/>
      <c r="W2905" s="4"/>
      <c r="X2905" s="4"/>
    </row>
    <row r="2906" spans="17:24" x14ac:dyDescent="0.3">
      <c r="Q2906" s="4"/>
      <c r="R2906" s="4"/>
      <c r="S2906" s="4"/>
      <c r="T2906" s="4"/>
      <c r="U2906" s="4"/>
      <c r="V2906" s="4"/>
      <c r="W2906" s="4"/>
      <c r="X2906" s="4"/>
    </row>
    <row r="2907" spans="17:24" x14ac:dyDescent="0.3">
      <c r="Q2907" s="4"/>
      <c r="R2907" s="4"/>
      <c r="S2907" s="4"/>
      <c r="T2907" s="4"/>
      <c r="U2907" s="4"/>
      <c r="V2907" s="4"/>
      <c r="W2907" s="4"/>
      <c r="X2907" s="4"/>
    </row>
    <row r="2908" spans="17:24" x14ac:dyDescent="0.3">
      <c r="Q2908" s="4"/>
      <c r="R2908" s="4"/>
      <c r="S2908" s="4"/>
      <c r="T2908" s="4"/>
      <c r="U2908" s="4"/>
      <c r="V2908" s="4"/>
      <c r="W2908" s="4"/>
      <c r="X2908" s="4"/>
    </row>
    <row r="2909" spans="17:24" x14ac:dyDescent="0.3">
      <c r="Q2909" s="4"/>
      <c r="R2909" s="4"/>
      <c r="S2909" s="4"/>
      <c r="T2909" s="4"/>
      <c r="U2909" s="4"/>
      <c r="V2909" s="4"/>
      <c r="W2909" s="4"/>
      <c r="X2909" s="4"/>
    </row>
    <row r="2910" spans="17:24" x14ac:dyDescent="0.3">
      <c r="Q2910" s="4"/>
      <c r="R2910" s="4"/>
      <c r="S2910" s="4"/>
      <c r="T2910" s="4"/>
      <c r="U2910" s="4"/>
      <c r="V2910" s="4"/>
      <c r="W2910" s="4"/>
      <c r="X2910" s="4"/>
    </row>
    <row r="2911" spans="17:24" x14ac:dyDescent="0.3">
      <c r="Q2911" s="4"/>
      <c r="R2911" s="4"/>
      <c r="S2911" s="4"/>
      <c r="T2911" s="4"/>
      <c r="U2911" s="4"/>
      <c r="V2911" s="4"/>
      <c r="W2911" s="4"/>
      <c r="X2911" s="4"/>
    </row>
    <row r="2912" spans="17:24" x14ac:dyDescent="0.3">
      <c r="Q2912" s="4"/>
      <c r="R2912" s="4"/>
      <c r="S2912" s="4"/>
      <c r="T2912" s="4"/>
      <c r="U2912" s="4"/>
      <c r="V2912" s="4"/>
      <c r="W2912" s="4"/>
      <c r="X2912" s="4"/>
    </row>
    <row r="2913" spans="17:24" x14ac:dyDescent="0.3">
      <c r="Q2913" s="4"/>
      <c r="R2913" s="4"/>
      <c r="S2913" s="4"/>
      <c r="T2913" s="4"/>
      <c r="U2913" s="4"/>
      <c r="V2913" s="4"/>
      <c r="W2913" s="4"/>
      <c r="X2913" s="4"/>
    </row>
    <row r="2914" spans="17:24" x14ac:dyDescent="0.3">
      <c r="Q2914" s="4"/>
      <c r="R2914" s="4"/>
      <c r="S2914" s="4"/>
      <c r="T2914" s="4"/>
      <c r="U2914" s="4"/>
      <c r="V2914" s="4"/>
      <c r="W2914" s="4"/>
      <c r="X2914" s="4"/>
    </row>
    <row r="2915" spans="17:24" x14ac:dyDescent="0.3">
      <c r="Q2915" s="4"/>
      <c r="R2915" s="4"/>
      <c r="S2915" s="4"/>
      <c r="T2915" s="4"/>
      <c r="U2915" s="4"/>
      <c r="V2915" s="4"/>
      <c r="W2915" s="4"/>
      <c r="X2915" s="4"/>
    </row>
    <row r="2916" spans="17:24" x14ac:dyDescent="0.3">
      <c r="Q2916" s="4"/>
      <c r="R2916" s="4"/>
      <c r="S2916" s="4"/>
      <c r="T2916" s="4"/>
      <c r="U2916" s="4"/>
      <c r="V2916" s="4"/>
      <c r="W2916" s="4"/>
      <c r="X2916" s="4"/>
    </row>
    <row r="2917" spans="17:24" x14ac:dyDescent="0.3">
      <c r="Q2917" s="4"/>
      <c r="R2917" s="4"/>
      <c r="S2917" s="4"/>
      <c r="T2917" s="4"/>
      <c r="U2917" s="4"/>
      <c r="V2917" s="4"/>
      <c r="W2917" s="4"/>
      <c r="X2917" s="4"/>
    </row>
    <row r="2918" spans="17:24" x14ac:dyDescent="0.3">
      <c r="Q2918" s="4"/>
      <c r="R2918" s="4"/>
      <c r="S2918" s="4"/>
      <c r="T2918" s="4"/>
      <c r="U2918" s="4"/>
      <c r="V2918" s="4"/>
      <c r="W2918" s="4"/>
      <c r="X2918" s="4"/>
    </row>
    <row r="2919" spans="17:24" x14ac:dyDescent="0.3">
      <c r="Q2919" s="4"/>
      <c r="R2919" s="4"/>
      <c r="S2919" s="4"/>
      <c r="T2919" s="4"/>
      <c r="U2919" s="4"/>
      <c r="V2919" s="4"/>
      <c r="W2919" s="4"/>
      <c r="X2919" s="4"/>
    </row>
    <row r="2920" spans="17:24" x14ac:dyDescent="0.3">
      <c r="Q2920" s="4"/>
      <c r="R2920" s="4"/>
      <c r="S2920" s="4"/>
      <c r="T2920" s="4"/>
      <c r="U2920" s="4"/>
      <c r="V2920" s="4"/>
      <c r="W2920" s="4"/>
      <c r="X2920" s="4"/>
    </row>
    <row r="2921" spans="17:24" x14ac:dyDescent="0.3">
      <c r="Q2921" s="4"/>
      <c r="R2921" s="4"/>
      <c r="S2921" s="4"/>
      <c r="T2921" s="4"/>
      <c r="U2921" s="4"/>
      <c r="V2921" s="4"/>
      <c r="W2921" s="4"/>
      <c r="X2921" s="4"/>
    </row>
    <row r="2922" spans="17:24" x14ac:dyDescent="0.3">
      <c r="Q2922" s="4"/>
      <c r="R2922" s="4"/>
      <c r="S2922" s="4"/>
      <c r="T2922" s="4"/>
      <c r="U2922" s="4"/>
      <c r="V2922" s="4"/>
      <c r="W2922" s="4"/>
      <c r="X2922" s="4"/>
    </row>
    <row r="2923" spans="17:24" x14ac:dyDescent="0.3">
      <c r="Q2923" s="4"/>
      <c r="R2923" s="4"/>
      <c r="S2923" s="4"/>
      <c r="T2923" s="4"/>
      <c r="U2923" s="4"/>
      <c r="V2923" s="4"/>
      <c r="W2923" s="4"/>
      <c r="X2923" s="4"/>
    </row>
    <row r="2924" spans="17:24" x14ac:dyDescent="0.3">
      <c r="Q2924" s="4"/>
      <c r="R2924" s="4"/>
      <c r="S2924" s="4"/>
      <c r="T2924" s="4"/>
      <c r="U2924" s="4"/>
      <c r="V2924" s="4"/>
      <c r="W2924" s="4"/>
      <c r="X2924" s="4"/>
    </row>
    <row r="2925" spans="17:24" x14ac:dyDescent="0.3">
      <c r="Q2925" s="4"/>
      <c r="R2925" s="4"/>
      <c r="S2925" s="4"/>
      <c r="T2925" s="4"/>
      <c r="U2925" s="4"/>
      <c r="V2925" s="4"/>
      <c r="W2925" s="4"/>
      <c r="X2925" s="4"/>
    </row>
    <row r="2926" spans="17:24" x14ac:dyDescent="0.3">
      <c r="Q2926" s="4"/>
      <c r="R2926" s="4"/>
      <c r="S2926" s="4"/>
      <c r="T2926" s="4"/>
      <c r="U2926" s="4"/>
      <c r="V2926" s="4"/>
      <c r="W2926" s="4"/>
      <c r="X2926" s="4"/>
    </row>
    <row r="2927" spans="17:24" x14ac:dyDescent="0.3">
      <c r="Q2927" s="4"/>
      <c r="R2927" s="4"/>
      <c r="S2927" s="4"/>
      <c r="T2927" s="4"/>
      <c r="U2927" s="4"/>
      <c r="V2927" s="4"/>
      <c r="W2927" s="4"/>
      <c r="X2927" s="4"/>
    </row>
    <row r="2928" spans="17:24" x14ac:dyDescent="0.3">
      <c r="Q2928" s="4"/>
      <c r="R2928" s="4"/>
      <c r="S2928" s="4"/>
      <c r="T2928" s="4"/>
      <c r="U2928" s="4"/>
      <c r="V2928" s="4"/>
      <c r="W2928" s="4"/>
      <c r="X2928" s="4"/>
    </row>
    <row r="2929" spans="17:24" x14ac:dyDescent="0.3">
      <c r="Q2929" s="4"/>
      <c r="R2929" s="4"/>
      <c r="S2929" s="4"/>
      <c r="T2929" s="4"/>
      <c r="U2929" s="4"/>
      <c r="V2929" s="4"/>
      <c r="W2929" s="4"/>
      <c r="X2929" s="4"/>
    </row>
    <row r="2930" spans="17:24" x14ac:dyDescent="0.3">
      <c r="Q2930" s="4"/>
      <c r="R2930" s="4"/>
      <c r="S2930" s="4"/>
      <c r="T2930" s="4"/>
      <c r="U2930" s="4"/>
      <c r="V2930" s="4"/>
      <c r="W2930" s="4"/>
      <c r="X2930" s="4"/>
    </row>
    <row r="2931" spans="17:24" x14ac:dyDescent="0.3">
      <c r="Q2931" s="4"/>
      <c r="R2931" s="4"/>
      <c r="S2931" s="4"/>
      <c r="T2931" s="4"/>
      <c r="U2931" s="4"/>
      <c r="V2931" s="4"/>
      <c r="W2931" s="4"/>
      <c r="X2931" s="4"/>
    </row>
    <row r="2932" spans="17:24" x14ac:dyDescent="0.3">
      <c r="Q2932" s="4"/>
      <c r="R2932" s="4"/>
      <c r="S2932" s="4"/>
      <c r="T2932" s="4"/>
      <c r="U2932" s="4"/>
      <c r="V2932" s="4"/>
      <c r="W2932" s="4"/>
      <c r="X2932" s="4"/>
    </row>
    <row r="2933" spans="17:24" x14ac:dyDescent="0.3">
      <c r="Q2933" s="4"/>
      <c r="R2933" s="4"/>
      <c r="S2933" s="4"/>
      <c r="T2933" s="4"/>
      <c r="U2933" s="4"/>
      <c r="V2933" s="4"/>
      <c r="W2933" s="4"/>
      <c r="X2933" s="4"/>
    </row>
    <row r="2934" spans="17:24" x14ac:dyDescent="0.3">
      <c r="Q2934" s="4"/>
      <c r="R2934" s="4"/>
      <c r="S2934" s="4"/>
      <c r="T2934" s="4"/>
      <c r="U2934" s="4"/>
      <c r="V2934" s="4"/>
      <c r="W2934" s="4"/>
      <c r="X2934" s="4"/>
    </row>
    <row r="2935" spans="17:24" x14ac:dyDescent="0.3">
      <c r="Q2935" s="4"/>
      <c r="R2935" s="4"/>
      <c r="S2935" s="4"/>
      <c r="T2935" s="4"/>
      <c r="U2935" s="4"/>
      <c r="V2935" s="4"/>
      <c r="W2935" s="4"/>
      <c r="X2935" s="4"/>
    </row>
    <row r="2936" spans="17:24" x14ac:dyDescent="0.3">
      <c r="Q2936" s="4"/>
      <c r="R2936" s="4"/>
      <c r="S2936" s="4"/>
      <c r="T2936" s="4"/>
      <c r="U2936" s="4"/>
      <c r="V2936" s="4"/>
      <c r="W2936" s="4"/>
      <c r="X2936" s="4"/>
    </row>
    <row r="2937" spans="17:24" x14ac:dyDescent="0.3">
      <c r="Q2937" s="4"/>
      <c r="R2937" s="4"/>
      <c r="S2937" s="4"/>
      <c r="T2937" s="4"/>
      <c r="U2937" s="4"/>
      <c r="V2937" s="4"/>
      <c r="W2937" s="4"/>
      <c r="X2937" s="4"/>
    </row>
    <row r="2938" spans="17:24" x14ac:dyDescent="0.3">
      <c r="Q2938" s="4"/>
      <c r="R2938" s="4"/>
      <c r="S2938" s="4"/>
      <c r="T2938" s="4"/>
      <c r="U2938" s="4"/>
      <c r="V2938" s="4"/>
      <c r="W2938" s="4"/>
      <c r="X2938" s="4"/>
    </row>
    <row r="2939" spans="17:24" x14ac:dyDescent="0.3">
      <c r="Q2939" s="4"/>
      <c r="R2939" s="4"/>
      <c r="S2939" s="4"/>
      <c r="T2939" s="4"/>
      <c r="U2939" s="4"/>
      <c r="V2939" s="4"/>
      <c r="W2939" s="4"/>
      <c r="X2939" s="4"/>
    </row>
    <row r="2940" spans="17:24" x14ac:dyDescent="0.3">
      <c r="Q2940" s="4"/>
      <c r="R2940" s="4"/>
      <c r="S2940" s="4"/>
      <c r="T2940" s="4"/>
      <c r="U2940" s="4"/>
      <c r="V2940" s="4"/>
      <c r="W2940" s="4"/>
      <c r="X2940" s="4"/>
    </row>
    <row r="2941" spans="17:24" x14ac:dyDescent="0.3">
      <c r="Q2941" s="4"/>
      <c r="R2941" s="4"/>
      <c r="S2941" s="4"/>
      <c r="T2941" s="4"/>
      <c r="U2941" s="4"/>
      <c r="V2941" s="4"/>
      <c r="W2941" s="4"/>
      <c r="X2941" s="4"/>
    </row>
    <row r="2942" spans="17:24" x14ac:dyDescent="0.3">
      <c r="Q2942" s="4"/>
      <c r="R2942" s="4"/>
      <c r="S2942" s="4"/>
      <c r="T2942" s="4"/>
      <c r="U2942" s="4"/>
      <c r="V2942" s="4"/>
      <c r="W2942" s="4"/>
      <c r="X2942" s="4"/>
    </row>
    <row r="2943" spans="17:24" x14ac:dyDescent="0.3">
      <c r="Q2943" s="4"/>
      <c r="R2943" s="4"/>
      <c r="S2943" s="4"/>
      <c r="T2943" s="4"/>
      <c r="U2943" s="4"/>
      <c r="V2943" s="4"/>
      <c r="W2943" s="4"/>
      <c r="X2943" s="4"/>
    </row>
    <row r="2944" spans="17:24" x14ac:dyDescent="0.3">
      <c r="Q2944" s="4"/>
      <c r="R2944" s="4"/>
      <c r="S2944" s="4"/>
      <c r="T2944" s="4"/>
      <c r="U2944" s="4"/>
      <c r="V2944" s="4"/>
      <c r="W2944" s="4"/>
      <c r="X2944" s="4"/>
    </row>
    <row r="2945" spans="17:24" x14ac:dyDescent="0.3">
      <c r="Q2945" s="4"/>
      <c r="R2945" s="4"/>
      <c r="S2945" s="4"/>
      <c r="T2945" s="4"/>
      <c r="U2945" s="4"/>
      <c r="V2945" s="4"/>
      <c r="W2945" s="4"/>
      <c r="X2945" s="4"/>
    </row>
    <row r="2946" spans="17:24" x14ac:dyDescent="0.3">
      <c r="Q2946" s="4"/>
      <c r="R2946" s="4"/>
      <c r="S2946" s="4"/>
      <c r="T2946" s="4"/>
      <c r="U2946" s="4"/>
      <c r="V2946" s="4"/>
      <c r="W2946" s="4"/>
      <c r="X2946" s="4"/>
    </row>
    <row r="2947" spans="17:24" x14ac:dyDescent="0.3">
      <c r="Q2947" s="4"/>
      <c r="R2947" s="4"/>
      <c r="S2947" s="4"/>
      <c r="T2947" s="4"/>
      <c r="U2947" s="4"/>
      <c r="V2947" s="4"/>
      <c r="W2947" s="4"/>
      <c r="X2947" s="4"/>
    </row>
    <row r="2948" spans="17:24" x14ac:dyDescent="0.3">
      <c r="Q2948" s="4"/>
      <c r="R2948" s="4"/>
      <c r="S2948" s="4"/>
      <c r="T2948" s="4"/>
      <c r="U2948" s="4"/>
      <c r="V2948" s="4"/>
      <c r="W2948" s="4"/>
      <c r="X2948" s="4"/>
    </row>
    <row r="2949" spans="17:24" x14ac:dyDescent="0.3">
      <c r="Q2949" s="4"/>
      <c r="R2949" s="4"/>
      <c r="S2949" s="4"/>
      <c r="T2949" s="4"/>
      <c r="U2949" s="4"/>
      <c r="V2949" s="4"/>
      <c r="W2949" s="4"/>
      <c r="X2949" s="4"/>
    </row>
    <row r="2950" spans="17:24" x14ac:dyDescent="0.3">
      <c r="Q2950" s="4"/>
      <c r="R2950" s="4"/>
      <c r="S2950" s="4"/>
      <c r="T2950" s="4"/>
      <c r="U2950" s="4"/>
      <c r="V2950" s="4"/>
      <c r="W2950" s="4"/>
      <c r="X2950" s="4"/>
    </row>
    <row r="2951" spans="17:24" x14ac:dyDescent="0.3">
      <c r="Q2951" s="4"/>
      <c r="R2951" s="4"/>
      <c r="S2951" s="4"/>
      <c r="T2951" s="4"/>
      <c r="U2951" s="4"/>
      <c r="V2951" s="4"/>
      <c r="W2951" s="4"/>
      <c r="X2951" s="4"/>
    </row>
    <row r="2952" spans="17:24" x14ac:dyDescent="0.3">
      <c r="Q2952" s="4"/>
      <c r="R2952" s="4"/>
      <c r="S2952" s="4"/>
      <c r="T2952" s="4"/>
      <c r="U2952" s="4"/>
      <c r="V2952" s="4"/>
      <c r="W2952" s="4"/>
      <c r="X2952" s="4"/>
    </row>
    <row r="2953" spans="17:24" x14ac:dyDescent="0.3">
      <c r="Q2953" s="4"/>
      <c r="R2953" s="4"/>
      <c r="S2953" s="4"/>
      <c r="T2953" s="4"/>
      <c r="U2953" s="4"/>
      <c r="V2953" s="4"/>
      <c r="W2953" s="4"/>
      <c r="X2953" s="4"/>
    </row>
    <row r="2954" spans="17:24" x14ac:dyDescent="0.3">
      <c r="Q2954" s="4"/>
      <c r="R2954" s="4"/>
      <c r="S2954" s="4"/>
      <c r="T2954" s="4"/>
      <c r="U2954" s="4"/>
      <c r="V2954" s="4"/>
      <c r="W2954" s="4"/>
      <c r="X2954" s="4"/>
    </row>
    <row r="2955" spans="17:24" x14ac:dyDescent="0.3">
      <c r="Q2955" s="4"/>
      <c r="R2955" s="4"/>
      <c r="S2955" s="4"/>
      <c r="T2955" s="4"/>
      <c r="U2955" s="4"/>
      <c r="V2955" s="4"/>
      <c r="W2955" s="4"/>
      <c r="X2955" s="4"/>
    </row>
    <row r="2956" spans="17:24" x14ac:dyDescent="0.3">
      <c r="Q2956" s="4"/>
      <c r="R2956" s="4"/>
      <c r="S2956" s="4"/>
      <c r="T2956" s="4"/>
      <c r="U2956" s="4"/>
      <c r="V2956" s="4"/>
      <c r="W2956" s="4"/>
      <c r="X2956" s="4"/>
    </row>
    <row r="2957" spans="17:24" x14ac:dyDescent="0.3">
      <c r="Q2957" s="4"/>
      <c r="R2957" s="4"/>
      <c r="S2957" s="4"/>
      <c r="T2957" s="4"/>
      <c r="U2957" s="4"/>
      <c r="V2957" s="4"/>
      <c r="W2957" s="4"/>
      <c r="X2957" s="4"/>
    </row>
    <row r="2958" spans="17:24" x14ac:dyDescent="0.3">
      <c r="Q2958" s="4"/>
      <c r="R2958" s="4"/>
      <c r="S2958" s="4"/>
      <c r="T2958" s="4"/>
      <c r="U2958" s="4"/>
      <c r="V2958" s="4"/>
      <c r="W2958" s="4"/>
      <c r="X2958" s="4"/>
    </row>
    <row r="2959" spans="17:24" x14ac:dyDescent="0.3">
      <c r="Q2959" s="4"/>
      <c r="R2959" s="4"/>
      <c r="S2959" s="4"/>
      <c r="T2959" s="4"/>
      <c r="U2959" s="4"/>
      <c r="V2959" s="4"/>
      <c r="W2959" s="4"/>
      <c r="X2959" s="4"/>
    </row>
    <row r="2960" spans="17:24" x14ac:dyDescent="0.3">
      <c r="Q2960" s="4"/>
      <c r="R2960" s="4"/>
      <c r="S2960" s="4"/>
      <c r="T2960" s="4"/>
      <c r="U2960" s="4"/>
      <c r="V2960" s="4"/>
      <c r="W2960" s="4"/>
      <c r="X2960" s="4"/>
    </row>
    <row r="2961" spans="17:24" x14ac:dyDescent="0.3">
      <c r="Q2961" s="4"/>
      <c r="R2961" s="4"/>
      <c r="S2961" s="4"/>
      <c r="T2961" s="4"/>
      <c r="U2961" s="4"/>
      <c r="V2961" s="4"/>
      <c r="W2961" s="4"/>
      <c r="X2961" s="4"/>
    </row>
    <row r="2962" spans="17:24" x14ac:dyDescent="0.3">
      <c r="Q2962" s="4"/>
      <c r="R2962" s="4"/>
      <c r="S2962" s="4"/>
      <c r="T2962" s="4"/>
      <c r="U2962" s="4"/>
      <c r="V2962" s="4"/>
      <c r="W2962" s="4"/>
      <c r="X2962" s="4"/>
    </row>
    <row r="2963" spans="17:24" x14ac:dyDescent="0.3">
      <c r="Q2963" s="4"/>
      <c r="R2963" s="4"/>
      <c r="S2963" s="4"/>
      <c r="T2963" s="4"/>
      <c r="U2963" s="4"/>
      <c r="V2963" s="4"/>
      <c r="W2963" s="4"/>
      <c r="X2963" s="4"/>
    </row>
    <row r="2964" spans="17:24" x14ac:dyDescent="0.3">
      <c r="Q2964" s="4"/>
      <c r="R2964" s="4"/>
      <c r="S2964" s="4"/>
      <c r="T2964" s="4"/>
      <c r="U2964" s="4"/>
      <c r="V2964" s="4"/>
      <c r="W2964" s="4"/>
      <c r="X2964" s="4"/>
    </row>
    <row r="2965" spans="17:24" x14ac:dyDescent="0.3">
      <c r="Q2965" s="4"/>
      <c r="R2965" s="4"/>
      <c r="S2965" s="4"/>
      <c r="T2965" s="4"/>
      <c r="U2965" s="4"/>
      <c r="V2965" s="4"/>
      <c r="W2965" s="4"/>
      <c r="X2965" s="4"/>
    </row>
    <row r="2966" spans="17:24" x14ac:dyDescent="0.3">
      <c r="Q2966" s="4"/>
      <c r="R2966" s="4"/>
      <c r="S2966" s="4"/>
      <c r="T2966" s="4"/>
      <c r="U2966" s="4"/>
      <c r="V2966" s="4"/>
      <c r="W2966" s="4"/>
      <c r="X2966" s="4"/>
    </row>
    <row r="2967" spans="17:24" x14ac:dyDescent="0.3">
      <c r="Q2967" s="4"/>
      <c r="R2967" s="4"/>
      <c r="S2967" s="4"/>
      <c r="T2967" s="4"/>
      <c r="U2967" s="4"/>
      <c r="V2967" s="4"/>
      <c r="W2967" s="4"/>
      <c r="X2967" s="4"/>
    </row>
    <row r="2968" spans="17:24" x14ac:dyDescent="0.3">
      <c r="Q2968" s="4"/>
      <c r="R2968" s="4"/>
      <c r="S2968" s="4"/>
      <c r="T2968" s="4"/>
      <c r="U2968" s="4"/>
      <c r="V2968" s="4"/>
      <c r="W2968" s="4"/>
      <c r="X2968" s="4"/>
    </row>
    <row r="2969" spans="17:24" x14ac:dyDescent="0.3">
      <c r="Q2969" s="4"/>
      <c r="R2969" s="4"/>
      <c r="S2969" s="4"/>
      <c r="T2969" s="4"/>
      <c r="U2969" s="4"/>
      <c r="V2969" s="4"/>
      <c r="W2969" s="4"/>
      <c r="X2969" s="4"/>
    </row>
    <row r="2970" spans="17:24" x14ac:dyDescent="0.3">
      <c r="Q2970" s="4"/>
      <c r="R2970" s="4"/>
      <c r="S2970" s="4"/>
      <c r="T2970" s="4"/>
      <c r="U2970" s="4"/>
      <c r="V2970" s="4"/>
      <c r="W2970" s="4"/>
      <c r="X2970" s="4"/>
    </row>
    <row r="2971" spans="17:24" x14ac:dyDescent="0.3">
      <c r="Q2971" s="4"/>
      <c r="R2971" s="4"/>
      <c r="S2971" s="4"/>
      <c r="T2971" s="4"/>
      <c r="U2971" s="4"/>
      <c r="V2971" s="4"/>
      <c r="W2971" s="4"/>
      <c r="X2971" s="4"/>
    </row>
    <row r="2972" spans="17:24" x14ac:dyDescent="0.3">
      <c r="Q2972" s="4"/>
      <c r="R2972" s="4"/>
      <c r="S2972" s="4"/>
      <c r="T2972" s="4"/>
      <c r="U2972" s="4"/>
      <c r="V2972" s="4"/>
      <c r="W2972" s="4"/>
      <c r="X2972" s="4"/>
    </row>
    <row r="2973" spans="17:24" x14ac:dyDescent="0.3">
      <c r="Q2973" s="4"/>
      <c r="R2973" s="4"/>
      <c r="S2973" s="4"/>
      <c r="T2973" s="4"/>
      <c r="U2973" s="4"/>
      <c r="V2973" s="4"/>
      <c r="W2973" s="4"/>
      <c r="X2973" s="4"/>
    </row>
    <row r="2974" spans="17:24" x14ac:dyDescent="0.3">
      <c r="Q2974" s="4"/>
      <c r="R2974" s="4"/>
      <c r="S2974" s="4"/>
      <c r="T2974" s="4"/>
      <c r="U2974" s="4"/>
      <c r="V2974" s="4"/>
      <c r="W2974" s="4"/>
      <c r="X2974" s="4"/>
    </row>
    <row r="2975" spans="17:24" x14ac:dyDescent="0.3">
      <c r="Q2975" s="4"/>
      <c r="R2975" s="4"/>
      <c r="S2975" s="4"/>
      <c r="T2975" s="4"/>
      <c r="U2975" s="4"/>
      <c r="V2975" s="4"/>
      <c r="W2975" s="4"/>
      <c r="X2975" s="4"/>
    </row>
    <row r="2976" spans="17:24" x14ac:dyDescent="0.3">
      <c r="Q2976" s="4"/>
      <c r="R2976" s="4"/>
      <c r="S2976" s="4"/>
      <c r="T2976" s="4"/>
      <c r="U2976" s="4"/>
      <c r="V2976" s="4"/>
      <c r="W2976" s="4"/>
      <c r="X2976" s="4"/>
    </row>
    <row r="2977" spans="17:24" x14ac:dyDescent="0.3">
      <c r="Q2977" s="4"/>
      <c r="R2977" s="4"/>
      <c r="S2977" s="4"/>
      <c r="T2977" s="4"/>
      <c r="U2977" s="4"/>
      <c r="V2977" s="4"/>
      <c r="W2977" s="4"/>
      <c r="X2977" s="4"/>
    </row>
    <row r="2978" spans="17:24" x14ac:dyDescent="0.3">
      <c r="Q2978" s="4"/>
      <c r="R2978" s="4"/>
      <c r="S2978" s="4"/>
      <c r="T2978" s="4"/>
      <c r="U2978" s="4"/>
      <c r="V2978" s="4"/>
      <c r="W2978" s="4"/>
      <c r="X2978" s="4"/>
    </row>
    <row r="2979" spans="17:24" x14ac:dyDescent="0.3">
      <c r="Q2979" s="4"/>
      <c r="R2979" s="4"/>
      <c r="S2979" s="4"/>
      <c r="T2979" s="4"/>
      <c r="U2979" s="4"/>
      <c r="V2979" s="4"/>
      <c r="W2979" s="4"/>
      <c r="X2979" s="4"/>
    </row>
    <row r="2980" spans="17:24" x14ac:dyDescent="0.3">
      <c r="Q2980" s="4"/>
      <c r="R2980" s="4"/>
      <c r="S2980" s="4"/>
      <c r="T2980" s="4"/>
      <c r="U2980" s="4"/>
      <c r="V2980" s="4"/>
      <c r="W2980" s="4"/>
      <c r="X2980" s="4"/>
    </row>
    <row r="2981" spans="17:24" x14ac:dyDescent="0.3">
      <c r="Q2981" s="4"/>
      <c r="R2981" s="4"/>
      <c r="S2981" s="4"/>
      <c r="T2981" s="4"/>
      <c r="U2981" s="4"/>
      <c r="V2981" s="4"/>
      <c r="W2981" s="4"/>
      <c r="X2981" s="4"/>
    </row>
    <row r="2982" spans="17:24" x14ac:dyDescent="0.3">
      <c r="Q2982" s="4"/>
      <c r="R2982" s="4"/>
      <c r="S2982" s="4"/>
      <c r="T2982" s="4"/>
      <c r="U2982" s="4"/>
      <c r="V2982" s="4"/>
      <c r="W2982" s="4"/>
      <c r="X2982" s="4"/>
    </row>
    <row r="2983" spans="17:24" x14ac:dyDescent="0.3">
      <c r="Q2983" s="4"/>
      <c r="R2983" s="4"/>
      <c r="S2983" s="4"/>
      <c r="T2983" s="4"/>
      <c r="U2983" s="4"/>
      <c r="V2983" s="4"/>
      <c r="W2983" s="4"/>
      <c r="X2983" s="4"/>
    </row>
    <row r="2984" spans="17:24" x14ac:dyDescent="0.3">
      <c r="Q2984" s="4"/>
      <c r="R2984" s="4"/>
      <c r="S2984" s="4"/>
      <c r="T2984" s="4"/>
      <c r="U2984" s="4"/>
      <c r="V2984" s="4"/>
      <c r="W2984" s="4"/>
      <c r="X2984" s="4"/>
    </row>
    <row r="2985" spans="17:24" x14ac:dyDescent="0.3">
      <c r="Q2985" s="4"/>
      <c r="R2985" s="4"/>
      <c r="S2985" s="4"/>
      <c r="T2985" s="4"/>
      <c r="U2985" s="4"/>
      <c r="V2985" s="4"/>
      <c r="W2985" s="4"/>
      <c r="X2985" s="4"/>
    </row>
    <row r="2986" spans="17:24" x14ac:dyDescent="0.3">
      <c r="Q2986" s="4"/>
      <c r="R2986" s="4"/>
      <c r="S2986" s="4"/>
      <c r="T2986" s="4"/>
      <c r="U2986" s="4"/>
      <c r="V2986" s="4"/>
      <c r="W2986" s="4"/>
      <c r="X2986" s="4"/>
    </row>
    <row r="2987" spans="17:24" x14ac:dyDescent="0.3">
      <c r="Q2987" s="4"/>
      <c r="R2987" s="4"/>
      <c r="S2987" s="4"/>
      <c r="T2987" s="4"/>
      <c r="U2987" s="4"/>
      <c r="V2987" s="4"/>
      <c r="W2987" s="4"/>
      <c r="X2987" s="4"/>
    </row>
    <row r="2988" spans="17:24" x14ac:dyDescent="0.3">
      <c r="Q2988" s="4"/>
      <c r="R2988" s="4"/>
      <c r="S2988" s="4"/>
      <c r="T2988" s="4"/>
      <c r="U2988" s="4"/>
      <c r="V2988" s="4"/>
      <c r="W2988" s="4"/>
      <c r="X2988" s="4"/>
    </row>
    <row r="2989" spans="17:24" x14ac:dyDescent="0.3">
      <c r="Q2989" s="4"/>
      <c r="R2989" s="4"/>
      <c r="S2989" s="4"/>
      <c r="T2989" s="4"/>
      <c r="U2989" s="4"/>
      <c r="V2989" s="4"/>
      <c r="W2989" s="4"/>
      <c r="X2989" s="4"/>
    </row>
    <row r="2990" spans="17:24" x14ac:dyDescent="0.3">
      <c r="Q2990" s="4"/>
      <c r="R2990" s="4"/>
      <c r="S2990" s="4"/>
      <c r="T2990" s="4"/>
      <c r="U2990" s="4"/>
      <c r="V2990" s="4"/>
      <c r="W2990" s="4"/>
      <c r="X2990" s="4"/>
    </row>
    <row r="2991" spans="17:24" x14ac:dyDescent="0.3">
      <c r="Q2991" s="4"/>
      <c r="R2991" s="4"/>
      <c r="S2991" s="4"/>
      <c r="T2991" s="4"/>
      <c r="U2991" s="4"/>
      <c r="V2991" s="4"/>
      <c r="W2991" s="4"/>
      <c r="X2991" s="4"/>
    </row>
    <row r="2992" spans="17:24" x14ac:dyDescent="0.3">
      <c r="Q2992" s="4"/>
      <c r="R2992" s="4"/>
      <c r="S2992" s="4"/>
      <c r="T2992" s="4"/>
      <c r="U2992" s="4"/>
      <c r="V2992" s="4"/>
      <c r="W2992" s="4"/>
      <c r="X2992" s="4"/>
    </row>
    <row r="2993" spans="17:24" x14ac:dyDescent="0.3">
      <c r="Q2993" s="4"/>
      <c r="R2993" s="4"/>
      <c r="S2993" s="4"/>
      <c r="T2993" s="4"/>
      <c r="U2993" s="4"/>
      <c r="V2993" s="4"/>
      <c r="W2993" s="4"/>
      <c r="X2993" s="4"/>
    </row>
    <row r="2994" spans="17:24" x14ac:dyDescent="0.3">
      <c r="Q2994" s="4"/>
      <c r="R2994" s="4"/>
      <c r="S2994" s="4"/>
      <c r="T2994" s="4"/>
      <c r="U2994" s="4"/>
      <c r="V2994" s="4"/>
      <c r="W2994" s="4"/>
      <c r="X2994" s="4"/>
    </row>
    <row r="2995" spans="17:24" x14ac:dyDescent="0.3">
      <c r="Q2995" s="4"/>
      <c r="R2995" s="4"/>
      <c r="S2995" s="4"/>
      <c r="T2995" s="4"/>
      <c r="U2995" s="4"/>
      <c r="V2995" s="4"/>
      <c r="W2995" s="4"/>
      <c r="X2995" s="4"/>
    </row>
    <row r="2996" spans="17:24" x14ac:dyDescent="0.3">
      <c r="Q2996" s="4"/>
      <c r="R2996" s="4"/>
      <c r="S2996" s="4"/>
      <c r="T2996" s="4"/>
      <c r="U2996" s="4"/>
      <c r="V2996" s="4"/>
      <c r="W2996" s="4"/>
      <c r="X2996" s="4"/>
    </row>
    <row r="2997" spans="17:24" x14ac:dyDescent="0.3">
      <c r="Q2997" s="4"/>
      <c r="R2997" s="4"/>
      <c r="S2997" s="4"/>
      <c r="T2997" s="4"/>
      <c r="U2997" s="4"/>
      <c r="V2997" s="4"/>
      <c r="W2997" s="4"/>
      <c r="X2997" s="4"/>
    </row>
    <row r="2998" spans="17:24" x14ac:dyDescent="0.3">
      <c r="Q2998" s="4"/>
      <c r="R2998" s="4"/>
      <c r="S2998" s="4"/>
      <c r="T2998" s="4"/>
      <c r="U2998" s="4"/>
      <c r="V2998" s="4"/>
      <c r="W2998" s="4"/>
      <c r="X2998" s="4"/>
    </row>
    <row r="2999" spans="17:24" x14ac:dyDescent="0.3">
      <c r="Q2999" s="4"/>
      <c r="R2999" s="4"/>
      <c r="S2999" s="4"/>
      <c r="T2999" s="4"/>
      <c r="U2999" s="4"/>
      <c r="V2999" s="4"/>
      <c r="W2999" s="4"/>
      <c r="X2999" s="4"/>
    </row>
    <row r="3000" spans="17:24" x14ac:dyDescent="0.3">
      <c r="Q3000" s="4"/>
      <c r="R3000" s="4"/>
      <c r="S3000" s="4"/>
      <c r="T3000" s="4"/>
      <c r="U3000" s="4"/>
      <c r="V3000" s="4"/>
      <c r="W3000" s="4"/>
      <c r="X3000" s="4"/>
    </row>
    <row r="3001" spans="17:24" x14ac:dyDescent="0.3">
      <c r="Q3001" s="4"/>
      <c r="R3001" s="4"/>
      <c r="S3001" s="4"/>
      <c r="T3001" s="4"/>
      <c r="U3001" s="4"/>
      <c r="V3001" s="4"/>
      <c r="W3001" s="4"/>
      <c r="X3001" s="4"/>
    </row>
    <row r="3002" spans="17:24" x14ac:dyDescent="0.3">
      <c r="Q3002" s="4"/>
      <c r="R3002" s="4"/>
      <c r="S3002" s="4"/>
      <c r="T3002" s="4"/>
      <c r="U3002" s="4"/>
      <c r="V3002" s="4"/>
      <c r="W3002" s="4"/>
      <c r="X3002" s="4"/>
    </row>
    <row r="3003" spans="17:24" x14ac:dyDescent="0.3">
      <c r="Q3003" s="4"/>
      <c r="R3003" s="4"/>
      <c r="S3003" s="4"/>
      <c r="T3003" s="4"/>
      <c r="U3003" s="4"/>
      <c r="V3003" s="4"/>
      <c r="W3003" s="4"/>
      <c r="X3003" s="4"/>
    </row>
    <row r="3004" spans="17:24" x14ac:dyDescent="0.3">
      <c r="Q3004" s="4"/>
      <c r="R3004" s="4"/>
      <c r="S3004" s="4"/>
      <c r="T3004" s="4"/>
      <c r="U3004" s="4"/>
      <c r="V3004" s="4"/>
      <c r="W3004" s="4"/>
      <c r="X3004" s="4"/>
    </row>
    <row r="3005" spans="17:24" x14ac:dyDescent="0.3">
      <c r="Q3005" s="4"/>
      <c r="R3005" s="4"/>
      <c r="S3005" s="4"/>
      <c r="T3005" s="4"/>
      <c r="U3005" s="4"/>
      <c r="V3005" s="4"/>
      <c r="W3005" s="4"/>
      <c r="X3005" s="4"/>
    </row>
    <row r="3006" spans="17:24" x14ac:dyDescent="0.3">
      <c r="Q3006" s="4"/>
      <c r="R3006" s="4"/>
      <c r="S3006" s="4"/>
      <c r="T3006" s="4"/>
      <c r="U3006" s="4"/>
      <c r="V3006" s="4"/>
      <c r="W3006" s="4"/>
      <c r="X3006" s="4"/>
    </row>
    <row r="3007" spans="17:24" x14ac:dyDescent="0.3">
      <c r="Q3007" s="4"/>
      <c r="R3007" s="4"/>
      <c r="S3007" s="4"/>
      <c r="T3007" s="4"/>
      <c r="U3007" s="4"/>
      <c r="V3007" s="4"/>
      <c r="W3007" s="4"/>
      <c r="X3007" s="4"/>
    </row>
    <row r="3008" spans="17:24" x14ac:dyDescent="0.3">
      <c r="Q3008" s="4"/>
      <c r="R3008" s="4"/>
      <c r="S3008" s="4"/>
      <c r="T3008" s="4"/>
      <c r="U3008" s="4"/>
      <c r="V3008" s="4"/>
      <c r="W3008" s="4"/>
      <c r="X3008" s="4"/>
    </row>
    <row r="3009" spans="17:24" x14ac:dyDescent="0.3">
      <c r="Q3009" s="4"/>
      <c r="R3009" s="4"/>
      <c r="S3009" s="4"/>
      <c r="T3009" s="4"/>
      <c r="U3009" s="4"/>
      <c r="V3009" s="4"/>
      <c r="W3009" s="4"/>
      <c r="X3009" s="4"/>
    </row>
    <row r="3010" spans="17:24" x14ac:dyDescent="0.3">
      <c r="Q3010" s="4"/>
      <c r="R3010" s="4"/>
      <c r="S3010" s="4"/>
      <c r="T3010" s="4"/>
      <c r="U3010" s="4"/>
      <c r="V3010" s="4"/>
      <c r="W3010" s="4"/>
      <c r="X3010" s="4"/>
    </row>
    <row r="3011" spans="17:24" x14ac:dyDescent="0.3">
      <c r="Q3011" s="4"/>
      <c r="R3011" s="4"/>
      <c r="S3011" s="4"/>
      <c r="T3011" s="4"/>
      <c r="U3011" s="4"/>
      <c r="V3011" s="4"/>
      <c r="W3011" s="4"/>
      <c r="X3011" s="4"/>
    </row>
    <row r="3012" spans="17:24" x14ac:dyDescent="0.3">
      <c r="Q3012" s="4"/>
      <c r="R3012" s="4"/>
      <c r="S3012" s="4"/>
      <c r="T3012" s="4"/>
      <c r="U3012" s="4"/>
      <c r="V3012" s="4"/>
      <c r="W3012" s="4"/>
      <c r="X3012" s="4"/>
    </row>
    <row r="3013" spans="17:24" x14ac:dyDescent="0.3">
      <c r="Q3013" s="4"/>
      <c r="R3013" s="4"/>
      <c r="S3013" s="4"/>
      <c r="T3013" s="4"/>
      <c r="U3013" s="4"/>
      <c r="V3013" s="4"/>
      <c r="W3013" s="4"/>
      <c r="X3013" s="4"/>
    </row>
    <row r="3014" spans="17:24" x14ac:dyDescent="0.3">
      <c r="Q3014" s="4"/>
      <c r="R3014" s="4"/>
      <c r="S3014" s="4"/>
      <c r="T3014" s="4"/>
      <c r="U3014" s="4"/>
      <c r="V3014" s="4"/>
      <c r="W3014" s="4"/>
      <c r="X3014" s="4"/>
    </row>
    <row r="3015" spans="17:24" x14ac:dyDescent="0.3">
      <c r="Q3015" s="4"/>
      <c r="R3015" s="4"/>
      <c r="S3015" s="4"/>
      <c r="T3015" s="4"/>
      <c r="U3015" s="4"/>
      <c r="V3015" s="4"/>
      <c r="W3015" s="4"/>
      <c r="X3015" s="4"/>
    </row>
    <row r="3016" spans="17:24" x14ac:dyDescent="0.3">
      <c r="Q3016" s="4"/>
      <c r="R3016" s="4"/>
      <c r="S3016" s="4"/>
      <c r="T3016" s="4"/>
      <c r="U3016" s="4"/>
      <c r="V3016" s="4"/>
      <c r="W3016" s="4"/>
      <c r="X3016" s="4"/>
    </row>
    <row r="3017" spans="17:24" x14ac:dyDescent="0.3">
      <c r="Q3017" s="4"/>
      <c r="R3017" s="4"/>
      <c r="S3017" s="4"/>
      <c r="T3017" s="4"/>
      <c r="U3017" s="4"/>
      <c r="V3017" s="4"/>
      <c r="W3017" s="4"/>
      <c r="X3017" s="4"/>
    </row>
    <row r="3018" spans="17:24" x14ac:dyDescent="0.3">
      <c r="Q3018" s="4"/>
      <c r="R3018" s="4"/>
      <c r="S3018" s="4"/>
      <c r="T3018" s="4"/>
      <c r="U3018" s="4"/>
      <c r="V3018" s="4"/>
      <c r="W3018" s="4"/>
      <c r="X3018" s="4"/>
    </row>
    <row r="3019" spans="17:24" x14ac:dyDescent="0.3">
      <c r="Q3019" s="4"/>
      <c r="R3019" s="4"/>
      <c r="S3019" s="4"/>
      <c r="T3019" s="4"/>
      <c r="U3019" s="4"/>
      <c r="V3019" s="4"/>
      <c r="W3019" s="4"/>
      <c r="X3019" s="4"/>
    </row>
    <row r="3020" spans="17:24" x14ac:dyDescent="0.3">
      <c r="Q3020" s="4"/>
      <c r="R3020" s="4"/>
      <c r="S3020" s="4"/>
      <c r="T3020" s="4"/>
      <c r="U3020" s="4"/>
      <c r="V3020" s="4"/>
      <c r="W3020" s="4"/>
      <c r="X3020" s="4"/>
    </row>
    <row r="3021" spans="17:24" x14ac:dyDescent="0.3">
      <c r="Q3021" s="4"/>
      <c r="R3021" s="4"/>
      <c r="S3021" s="4"/>
      <c r="T3021" s="4"/>
      <c r="U3021" s="4"/>
      <c r="V3021" s="4"/>
      <c r="W3021" s="4"/>
      <c r="X3021" s="4"/>
    </row>
    <row r="3022" spans="17:24" x14ac:dyDescent="0.3">
      <c r="Q3022" s="4"/>
      <c r="R3022" s="4"/>
      <c r="S3022" s="4"/>
      <c r="T3022" s="4"/>
      <c r="U3022" s="4"/>
      <c r="V3022" s="4"/>
      <c r="W3022" s="4"/>
      <c r="X3022" s="4"/>
    </row>
    <row r="3023" spans="17:24" x14ac:dyDescent="0.3">
      <c r="Q3023" s="4"/>
      <c r="R3023" s="4"/>
      <c r="S3023" s="4"/>
      <c r="T3023" s="4"/>
      <c r="U3023" s="4"/>
      <c r="V3023" s="4"/>
      <c r="W3023" s="4"/>
      <c r="X3023" s="4"/>
    </row>
    <row r="3024" spans="17:24" x14ac:dyDescent="0.3">
      <c r="Q3024" s="4"/>
      <c r="R3024" s="4"/>
      <c r="S3024" s="4"/>
      <c r="T3024" s="4"/>
      <c r="U3024" s="4"/>
      <c r="V3024" s="4"/>
      <c r="W3024" s="4"/>
      <c r="X3024" s="4"/>
    </row>
    <row r="3025" spans="17:24" x14ac:dyDescent="0.3">
      <c r="Q3025" s="4"/>
      <c r="R3025" s="4"/>
      <c r="S3025" s="4"/>
      <c r="T3025" s="4"/>
      <c r="U3025" s="4"/>
      <c r="V3025" s="4"/>
      <c r="W3025" s="4"/>
      <c r="X3025" s="4"/>
    </row>
    <row r="3026" spans="17:24" x14ac:dyDescent="0.3">
      <c r="Q3026" s="4"/>
      <c r="R3026" s="4"/>
      <c r="S3026" s="4"/>
      <c r="T3026" s="4"/>
      <c r="U3026" s="4"/>
      <c r="V3026" s="4"/>
      <c r="W3026" s="4"/>
      <c r="X3026" s="4"/>
    </row>
    <row r="3027" spans="17:24" x14ac:dyDescent="0.3">
      <c r="Q3027" s="4"/>
      <c r="R3027" s="4"/>
      <c r="S3027" s="4"/>
      <c r="T3027" s="4"/>
      <c r="U3027" s="4"/>
      <c r="V3027" s="4"/>
      <c r="W3027" s="4"/>
      <c r="X3027" s="4"/>
    </row>
    <row r="3028" spans="17:24" x14ac:dyDescent="0.3">
      <c r="Q3028" s="4"/>
      <c r="R3028" s="4"/>
      <c r="S3028" s="4"/>
      <c r="T3028" s="4"/>
      <c r="U3028" s="4"/>
      <c r="V3028" s="4"/>
      <c r="W3028" s="4"/>
      <c r="X3028" s="4"/>
    </row>
    <row r="3029" spans="17:24" x14ac:dyDescent="0.3">
      <c r="Q3029" s="4"/>
      <c r="R3029" s="4"/>
      <c r="S3029" s="4"/>
      <c r="T3029" s="4"/>
      <c r="U3029" s="4"/>
      <c r="V3029" s="4"/>
      <c r="W3029" s="4"/>
      <c r="X3029" s="4"/>
    </row>
    <row r="3030" spans="17:24" x14ac:dyDescent="0.3">
      <c r="Q3030" s="4"/>
      <c r="R3030" s="4"/>
      <c r="S3030" s="4"/>
      <c r="T3030" s="4"/>
      <c r="U3030" s="4"/>
      <c r="V3030" s="4"/>
      <c r="W3030" s="4"/>
      <c r="X3030" s="4"/>
    </row>
    <row r="3031" spans="17:24" x14ac:dyDescent="0.3">
      <c r="Q3031" s="4"/>
      <c r="R3031" s="4"/>
      <c r="S3031" s="4"/>
      <c r="T3031" s="4"/>
      <c r="U3031" s="4"/>
      <c r="V3031" s="4"/>
      <c r="W3031" s="4"/>
      <c r="X3031" s="4"/>
    </row>
    <row r="3032" spans="17:24" x14ac:dyDescent="0.3">
      <c r="Q3032" s="4"/>
      <c r="R3032" s="4"/>
      <c r="S3032" s="4"/>
      <c r="T3032" s="4"/>
      <c r="U3032" s="4"/>
      <c r="V3032" s="4"/>
      <c r="W3032" s="4"/>
      <c r="X3032" s="4"/>
    </row>
    <row r="3033" spans="17:24" x14ac:dyDescent="0.3">
      <c r="Q3033" s="4"/>
      <c r="R3033" s="4"/>
      <c r="S3033" s="4"/>
      <c r="T3033" s="4"/>
      <c r="U3033" s="4"/>
      <c r="V3033" s="4"/>
      <c r="W3033" s="4"/>
      <c r="X3033" s="4"/>
    </row>
    <row r="3034" spans="17:24" x14ac:dyDescent="0.3">
      <c r="Q3034" s="4"/>
      <c r="R3034" s="4"/>
      <c r="S3034" s="4"/>
      <c r="T3034" s="4"/>
      <c r="U3034" s="4"/>
      <c r="V3034" s="4"/>
      <c r="W3034" s="4"/>
      <c r="X3034" s="4"/>
    </row>
    <row r="3035" spans="17:24" x14ac:dyDescent="0.3">
      <c r="Q3035" s="4"/>
      <c r="R3035" s="4"/>
      <c r="S3035" s="4"/>
      <c r="T3035" s="4"/>
      <c r="U3035" s="4"/>
      <c r="V3035" s="4"/>
      <c r="W3035" s="4"/>
      <c r="X3035" s="4"/>
    </row>
    <row r="3036" spans="17:24" x14ac:dyDescent="0.3">
      <c r="Q3036" s="4"/>
      <c r="R3036" s="4"/>
      <c r="S3036" s="4"/>
      <c r="T3036" s="4"/>
      <c r="U3036" s="4"/>
      <c r="V3036" s="4"/>
      <c r="W3036" s="4"/>
      <c r="X3036" s="4"/>
    </row>
    <row r="3037" spans="17:24" x14ac:dyDescent="0.3">
      <c r="Q3037" s="4"/>
      <c r="R3037" s="4"/>
      <c r="S3037" s="4"/>
      <c r="T3037" s="4"/>
      <c r="U3037" s="4"/>
      <c r="V3037" s="4"/>
      <c r="W3037" s="4"/>
      <c r="X3037" s="4"/>
    </row>
    <row r="3038" spans="17:24" x14ac:dyDescent="0.3">
      <c r="Q3038" s="4"/>
      <c r="R3038" s="4"/>
      <c r="S3038" s="4"/>
      <c r="T3038" s="4"/>
      <c r="U3038" s="4"/>
      <c r="V3038" s="4"/>
      <c r="W3038" s="4"/>
      <c r="X3038" s="4"/>
    </row>
    <row r="3039" spans="17:24" x14ac:dyDescent="0.3">
      <c r="Q3039" s="4"/>
      <c r="R3039" s="4"/>
      <c r="S3039" s="4"/>
      <c r="T3039" s="4"/>
      <c r="U3039" s="4"/>
      <c r="V3039" s="4"/>
      <c r="W3039" s="4"/>
      <c r="X3039" s="4"/>
    </row>
    <row r="3040" spans="17:24" x14ac:dyDescent="0.3">
      <c r="Q3040" s="4"/>
      <c r="R3040" s="4"/>
      <c r="S3040" s="4"/>
      <c r="T3040" s="4"/>
      <c r="U3040" s="4"/>
      <c r="V3040" s="4"/>
      <c r="W3040" s="4"/>
      <c r="X3040" s="4"/>
    </row>
    <row r="3041" spans="17:24" x14ac:dyDescent="0.3">
      <c r="Q3041" s="4"/>
      <c r="R3041" s="4"/>
      <c r="S3041" s="4"/>
      <c r="T3041" s="4"/>
      <c r="U3041" s="4"/>
      <c r="V3041" s="4"/>
      <c r="W3041" s="4"/>
      <c r="X3041" s="4"/>
    </row>
    <row r="3042" spans="17:24" x14ac:dyDescent="0.3">
      <c r="Q3042" s="4"/>
      <c r="R3042" s="4"/>
      <c r="S3042" s="4"/>
      <c r="T3042" s="4"/>
      <c r="U3042" s="4"/>
      <c r="V3042" s="4"/>
      <c r="W3042" s="4"/>
      <c r="X3042" s="4"/>
    </row>
    <row r="3043" spans="17:24" x14ac:dyDescent="0.3">
      <c r="Q3043" s="4"/>
      <c r="R3043" s="4"/>
      <c r="S3043" s="4"/>
      <c r="T3043" s="4"/>
      <c r="U3043" s="4"/>
      <c r="V3043" s="4"/>
      <c r="W3043" s="4"/>
      <c r="X3043" s="4"/>
    </row>
    <row r="3044" spans="17:24" x14ac:dyDescent="0.3">
      <c r="Q3044" s="4"/>
      <c r="R3044" s="4"/>
      <c r="S3044" s="4"/>
      <c r="T3044" s="4"/>
      <c r="U3044" s="4"/>
      <c r="V3044" s="4"/>
      <c r="W3044" s="4"/>
      <c r="X3044" s="4"/>
    </row>
    <row r="3045" spans="17:24" x14ac:dyDescent="0.3">
      <c r="Q3045" s="4"/>
      <c r="R3045" s="4"/>
      <c r="S3045" s="4"/>
      <c r="T3045" s="4"/>
      <c r="U3045" s="4"/>
      <c r="V3045" s="4"/>
      <c r="W3045" s="4"/>
      <c r="X3045" s="4"/>
    </row>
    <row r="3046" spans="17:24" x14ac:dyDescent="0.3">
      <c r="Q3046" s="4"/>
      <c r="R3046" s="4"/>
      <c r="S3046" s="4"/>
      <c r="T3046" s="4"/>
      <c r="U3046" s="4"/>
      <c r="V3046" s="4"/>
      <c r="W3046" s="4"/>
      <c r="X3046" s="4"/>
    </row>
    <row r="3047" spans="17:24" x14ac:dyDescent="0.3">
      <c r="Q3047" s="4"/>
      <c r="R3047" s="4"/>
      <c r="S3047" s="4"/>
      <c r="T3047" s="4"/>
      <c r="U3047" s="4"/>
      <c r="V3047" s="4"/>
      <c r="W3047" s="4"/>
      <c r="X3047" s="4"/>
    </row>
    <row r="3048" spans="17:24" x14ac:dyDescent="0.3">
      <c r="Q3048" s="4"/>
      <c r="R3048" s="4"/>
      <c r="S3048" s="4"/>
      <c r="T3048" s="4"/>
      <c r="U3048" s="4"/>
      <c r="V3048" s="4"/>
      <c r="W3048" s="4"/>
      <c r="X3048" s="4"/>
    </row>
    <row r="3049" spans="17:24" x14ac:dyDescent="0.3">
      <c r="Q3049" s="4"/>
      <c r="R3049" s="4"/>
      <c r="S3049" s="4"/>
      <c r="T3049" s="4"/>
      <c r="U3049" s="4"/>
      <c r="V3049" s="4"/>
      <c r="W3049" s="4"/>
      <c r="X3049" s="4"/>
    </row>
    <row r="3050" spans="17:24" x14ac:dyDescent="0.3">
      <c r="Q3050" s="4"/>
      <c r="R3050" s="4"/>
      <c r="S3050" s="4"/>
      <c r="T3050" s="4"/>
      <c r="U3050" s="4"/>
      <c r="V3050" s="4"/>
      <c r="W3050" s="4"/>
      <c r="X3050" s="4"/>
    </row>
    <row r="3051" spans="17:24" x14ac:dyDescent="0.3">
      <c r="Q3051" s="4"/>
      <c r="R3051" s="4"/>
      <c r="S3051" s="4"/>
      <c r="T3051" s="4"/>
      <c r="U3051" s="4"/>
      <c r="V3051" s="4"/>
      <c r="W3051" s="4"/>
      <c r="X3051" s="4"/>
    </row>
    <row r="3052" spans="17:24" x14ac:dyDescent="0.3">
      <c r="Q3052" s="4"/>
      <c r="R3052" s="4"/>
      <c r="S3052" s="4"/>
      <c r="T3052" s="4"/>
      <c r="U3052" s="4"/>
      <c r="V3052" s="4"/>
      <c r="W3052" s="4"/>
      <c r="X3052" s="4"/>
    </row>
    <row r="3053" spans="17:24" x14ac:dyDescent="0.3">
      <c r="Q3053" s="4"/>
      <c r="R3053" s="4"/>
      <c r="S3053" s="4"/>
      <c r="T3053" s="4"/>
      <c r="U3053" s="4"/>
      <c r="V3053" s="4"/>
      <c r="W3053" s="4"/>
      <c r="X3053" s="4"/>
    </row>
    <row r="3054" spans="17:24" x14ac:dyDescent="0.3">
      <c r="Q3054" s="4"/>
      <c r="R3054" s="4"/>
      <c r="S3054" s="4"/>
      <c r="T3054" s="4"/>
      <c r="U3054" s="4"/>
      <c r="V3054" s="4"/>
      <c r="W3054" s="4"/>
      <c r="X3054" s="4"/>
    </row>
    <row r="3055" spans="17:24" x14ac:dyDescent="0.3">
      <c r="Q3055" s="4"/>
      <c r="R3055" s="4"/>
      <c r="S3055" s="4"/>
      <c r="T3055" s="4"/>
      <c r="U3055" s="4"/>
      <c r="V3055" s="4"/>
      <c r="W3055" s="4"/>
      <c r="X3055" s="4"/>
    </row>
    <row r="3056" spans="17:24" x14ac:dyDescent="0.3">
      <c r="Q3056" s="4"/>
      <c r="R3056" s="4"/>
      <c r="S3056" s="4"/>
      <c r="T3056" s="4"/>
      <c r="U3056" s="4"/>
      <c r="V3056" s="4"/>
      <c r="W3056" s="4"/>
      <c r="X3056" s="4"/>
    </row>
    <row r="3057" spans="17:24" x14ac:dyDescent="0.3">
      <c r="Q3057" s="4"/>
      <c r="R3057" s="4"/>
      <c r="S3057" s="4"/>
      <c r="T3057" s="4"/>
      <c r="U3057" s="4"/>
      <c r="V3057" s="4"/>
      <c r="W3057" s="4"/>
      <c r="X3057" s="4"/>
    </row>
    <row r="3058" spans="17:24" x14ac:dyDescent="0.3">
      <c r="Q3058" s="4"/>
      <c r="R3058" s="4"/>
      <c r="S3058" s="4"/>
      <c r="T3058" s="4"/>
      <c r="U3058" s="4"/>
      <c r="V3058" s="4"/>
      <c r="W3058" s="4"/>
      <c r="X3058" s="4"/>
    </row>
    <row r="3059" spans="17:24" x14ac:dyDescent="0.3">
      <c r="Q3059" s="4"/>
      <c r="R3059" s="4"/>
      <c r="S3059" s="4"/>
      <c r="T3059" s="4"/>
      <c r="U3059" s="4"/>
      <c r="V3059" s="4"/>
      <c r="W3059" s="4"/>
      <c r="X3059" s="4"/>
    </row>
    <row r="3060" spans="17:24" x14ac:dyDescent="0.3">
      <c r="Q3060" s="4"/>
      <c r="R3060" s="4"/>
      <c r="S3060" s="4"/>
      <c r="T3060" s="4"/>
      <c r="U3060" s="4"/>
      <c r="V3060" s="4"/>
      <c r="W3060" s="4"/>
      <c r="X3060" s="4"/>
    </row>
    <row r="3061" spans="17:24" x14ac:dyDescent="0.3">
      <c r="Q3061" s="4"/>
      <c r="R3061" s="4"/>
      <c r="S3061" s="4"/>
      <c r="T3061" s="4"/>
      <c r="U3061" s="4"/>
      <c r="V3061" s="4"/>
      <c r="W3061" s="4"/>
      <c r="X3061" s="4"/>
    </row>
    <row r="3062" spans="17:24" x14ac:dyDescent="0.3">
      <c r="Q3062" s="4"/>
      <c r="R3062" s="4"/>
      <c r="S3062" s="4"/>
      <c r="T3062" s="4"/>
      <c r="U3062" s="4"/>
      <c r="V3062" s="4"/>
      <c r="W3062" s="4"/>
      <c r="X3062" s="4"/>
    </row>
    <row r="3063" spans="17:24" x14ac:dyDescent="0.3">
      <c r="Q3063" s="4"/>
      <c r="R3063" s="4"/>
      <c r="S3063" s="4"/>
      <c r="T3063" s="4"/>
      <c r="U3063" s="4"/>
      <c r="V3063" s="4"/>
      <c r="W3063" s="4"/>
      <c r="X3063" s="4"/>
    </row>
    <row r="3064" spans="17:24" x14ac:dyDescent="0.3">
      <c r="Q3064" s="4"/>
      <c r="R3064" s="4"/>
      <c r="S3064" s="4"/>
      <c r="T3064" s="4"/>
      <c r="U3064" s="4"/>
      <c r="V3064" s="4"/>
      <c r="W3064" s="4"/>
      <c r="X3064" s="4"/>
    </row>
    <row r="3065" spans="17:24" x14ac:dyDescent="0.3">
      <c r="Q3065" s="4"/>
      <c r="R3065" s="4"/>
      <c r="S3065" s="4"/>
      <c r="T3065" s="4"/>
      <c r="U3065" s="4"/>
      <c r="V3065" s="4"/>
      <c r="W3065" s="4"/>
      <c r="X3065" s="4"/>
    </row>
    <row r="3066" spans="17:24" x14ac:dyDescent="0.3">
      <c r="Q3066" s="4"/>
      <c r="R3066" s="4"/>
      <c r="S3066" s="4"/>
      <c r="T3066" s="4"/>
      <c r="U3066" s="4"/>
      <c r="V3066" s="4"/>
      <c r="W3066" s="4"/>
      <c r="X3066" s="4"/>
    </row>
    <row r="3067" spans="17:24" x14ac:dyDescent="0.3">
      <c r="Q3067" s="4"/>
      <c r="R3067" s="4"/>
      <c r="S3067" s="4"/>
      <c r="T3067" s="4"/>
      <c r="U3067" s="4"/>
      <c r="V3067" s="4"/>
      <c r="W3067" s="4"/>
      <c r="X3067" s="4"/>
    </row>
    <row r="3068" spans="17:24" x14ac:dyDescent="0.3">
      <c r="Q3068" s="4"/>
      <c r="R3068" s="4"/>
      <c r="S3068" s="4"/>
      <c r="T3068" s="4"/>
      <c r="U3068" s="4"/>
      <c r="V3068" s="4"/>
      <c r="W3068" s="4"/>
      <c r="X3068" s="4"/>
    </row>
    <row r="3069" spans="17:24" x14ac:dyDescent="0.3">
      <c r="Q3069" s="4"/>
      <c r="R3069" s="4"/>
      <c r="S3069" s="4"/>
      <c r="T3069" s="4"/>
      <c r="U3069" s="4"/>
      <c r="V3069" s="4"/>
      <c r="W3069" s="4"/>
      <c r="X3069" s="4"/>
    </row>
    <row r="3070" spans="17:24" x14ac:dyDescent="0.3">
      <c r="Q3070" s="4"/>
      <c r="R3070" s="4"/>
      <c r="S3070" s="4"/>
      <c r="T3070" s="4"/>
      <c r="U3070" s="4"/>
      <c r="V3070" s="4"/>
      <c r="W3070" s="4"/>
      <c r="X3070" s="4"/>
    </row>
    <row r="3071" spans="17:24" x14ac:dyDescent="0.3">
      <c r="Q3071" s="4"/>
      <c r="R3071" s="4"/>
      <c r="S3071" s="4"/>
      <c r="T3071" s="4"/>
      <c r="U3071" s="4"/>
      <c r="V3071" s="4"/>
      <c r="W3071" s="4"/>
      <c r="X3071" s="4"/>
    </row>
    <row r="3072" spans="17:24" x14ac:dyDescent="0.3">
      <c r="Q3072" s="4"/>
      <c r="R3072" s="4"/>
      <c r="S3072" s="4"/>
      <c r="T3072" s="4"/>
      <c r="U3072" s="4"/>
      <c r="V3072" s="4"/>
      <c r="W3072" s="4"/>
      <c r="X3072" s="4"/>
    </row>
    <row r="3073" spans="17:24" x14ac:dyDescent="0.3">
      <c r="Q3073" s="4"/>
      <c r="R3073" s="4"/>
      <c r="S3073" s="4"/>
      <c r="T3073" s="4"/>
      <c r="U3073" s="4"/>
      <c r="V3073" s="4"/>
      <c r="W3073" s="4"/>
      <c r="X3073" s="4"/>
    </row>
    <row r="3074" spans="17:24" x14ac:dyDescent="0.3">
      <c r="Q3074" s="4"/>
      <c r="R3074" s="4"/>
      <c r="S3074" s="4"/>
      <c r="T3074" s="4"/>
      <c r="U3074" s="4"/>
      <c r="V3074" s="4"/>
      <c r="W3074" s="4"/>
      <c r="X3074" s="4"/>
    </row>
    <row r="3075" spans="17:24" x14ac:dyDescent="0.3">
      <c r="Q3075" s="4"/>
      <c r="R3075" s="4"/>
      <c r="S3075" s="4"/>
      <c r="T3075" s="4"/>
      <c r="U3075" s="4"/>
      <c r="V3075" s="4"/>
      <c r="W3075" s="4"/>
      <c r="X3075" s="4"/>
    </row>
    <row r="3076" spans="17:24" x14ac:dyDescent="0.3">
      <c r="Q3076" s="4"/>
      <c r="R3076" s="4"/>
      <c r="S3076" s="4"/>
      <c r="T3076" s="4"/>
      <c r="U3076" s="4"/>
      <c r="V3076" s="4"/>
      <c r="W3076" s="4"/>
      <c r="X3076" s="4"/>
    </row>
    <row r="3077" spans="17:24" x14ac:dyDescent="0.3">
      <c r="Q3077" s="4"/>
      <c r="R3077" s="4"/>
      <c r="S3077" s="4"/>
      <c r="T3077" s="4"/>
      <c r="U3077" s="4"/>
      <c r="V3077" s="4"/>
      <c r="W3077" s="4"/>
      <c r="X3077" s="4"/>
    </row>
    <row r="3078" spans="17:24" x14ac:dyDescent="0.3">
      <c r="Q3078" s="4"/>
      <c r="R3078" s="4"/>
      <c r="S3078" s="4"/>
      <c r="T3078" s="4"/>
      <c r="U3078" s="4"/>
      <c r="V3078" s="4"/>
      <c r="W3078" s="4"/>
      <c r="X3078" s="4"/>
    </row>
    <row r="3079" spans="17:24" x14ac:dyDescent="0.3">
      <c r="Q3079" s="4"/>
      <c r="R3079" s="4"/>
      <c r="S3079" s="4"/>
      <c r="T3079" s="4"/>
      <c r="U3079" s="4"/>
      <c r="V3079" s="4"/>
      <c r="W3079" s="4"/>
      <c r="X3079" s="4"/>
    </row>
    <row r="3080" spans="17:24" x14ac:dyDescent="0.3">
      <c r="Q3080" s="4"/>
      <c r="R3080" s="4"/>
      <c r="S3080" s="4"/>
      <c r="T3080" s="4"/>
      <c r="U3080" s="4"/>
      <c r="V3080" s="4"/>
      <c r="W3080" s="4"/>
      <c r="X3080" s="4"/>
    </row>
    <row r="3081" spans="17:24" x14ac:dyDescent="0.3">
      <c r="Q3081" s="4"/>
      <c r="R3081" s="4"/>
      <c r="S3081" s="4"/>
      <c r="T3081" s="4"/>
      <c r="U3081" s="4"/>
      <c r="V3081" s="4"/>
      <c r="W3081" s="4"/>
      <c r="X3081" s="4"/>
    </row>
    <row r="3082" spans="17:24" x14ac:dyDescent="0.3">
      <c r="Q3082" s="4"/>
      <c r="R3082" s="4"/>
      <c r="S3082" s="4"/>
      <c r="T3082" s="4"/>
      <c r="U3082" s="4"/>
      <c r="V3082" s="4"/>
      <c r="W3082" s="4"/>
      <c r="X3082" s="4"/>
    </row>
    <row r="3083" spans="17:24" x14ac:dyDescent="0.3">
      <c r="Q3083" s="4"/>
      <c r="R3083" s="4"/>
      <c r="S3083" s="4"/>
      <c r="T3083" s="4"/>
      <c r="U3083" s="4"/>
      <c r="V3083" s="4"/>
      <c r="W3083" s="4"/>
      <c r="X3083" s="4"/>
    </row>
    <row r="3084" spans="17:24" x14ac:dyDescent="0.3">
      <c r="Q3084" s="4"/>
      <c r="R3084" s="4"/>
      <c r="S3084" s="4"/>
      <c r="T3084" s="4"/>
      <c r="U3084" s="4"/>
      <c r="V3084" s="4"/>
      <c r="W3084" s="4"/>
      <c r="X3084" s="4"/>
    </row>
    <row r="3085" spans="17:24" x14ac:dyDescent="0.3">
      <c r="Q3085" s="4"/>
      <c r="R3085" s="4"/>
      <c r="S3085" s="4"/>
      <c r="T3085" s="4"/>
      <c r="U3085" s="4"/>
      <c r="V3085" s="4"/>
      <c r="W3085" s="4"/>
      <c r="X3085" s="4"/>
    </row>
    <row r="3086" spans="17:24" x14ac:dyDescent="0.3">
      <c r="Q3086" s="4"/>
      <c r="R3086" s="4"/>
      <c r="S3086" s="4"/>
      <c r="T3086" s="4"/>
      <c r="U3086" s="4"/>
      <c r="V3086" s="4"/>
      <c r="W3086" s="4"/>
      <c r="X3086" s="4"/>
    </row>
    <row r="3087" spans="17:24" x14ac:dyDescent="0.3">
      <c r="Q3087" s="4"/>
      <c r="R3087" s="4"/>
      <c r="S3087" s="4"/>
      <c r="T3087" s="4"/>
      <c r="U3087" s="4"/>
      <c r="V3087" s="4"/>
      <c r="W3087" s="4"/>
      <c r="X3087" s="4"/>
    </row>
    <row r="3088" spans="17:24" x14ac:dyDescent="0.3">
      <c r="Q3088" s="4"/>
      <c r="R3088" s="4"/>
      <c r="S3088" s="4"/>
      <c r="T3088" s="4"/>
      <c r="U3088" s="4"/>
      <c r="V3088" s="4"/>
      <c r="W3088" s="4"/>
      <c r="X3088" s="4"/>
    </row>
    <row r="3089" spans="17:24" x14ac:dyDescent="0.3">
      <c r="Q3089" s="4"/>
      <c r="R3089" s="4"/>
      <c r="S3089" s="4"/>
      <c r="T3089" s="4"/>
      <c r="U3089" s="4"/>
      <c r="V3089" s="4"/>
      <c r="W3089" s="4"/>
      <c r="X3089" s="4"/>
    </row>
    <row r="3090" spans="17:24" x14ac:dyDescent="0.3">
      <c r="Q3090" s="4"/>
      <c r="R3090" s="4"/>
      <c r="S3090" s="4"/>
      <c r="T3090" s="4"/>
      <c r="U3090" s="4"/>
      <c r="V3090" s="4"/>
      <c r="W3090" s="4"/>
      <c r="X3090" s="4"/>
    </row>
    <row r="3091" spans="17:24" x14ac:dyDescent="0.3">
      <c r="Q3091" s="4"/>
      <c r="R3091" s="4"/>
      <c r="S3091" s="4"/>
      <c r="T3091" s="4"/>
      <c r="U3091" s="4"/>
      <c r="V3091" s="4"/>
      <c r="W3091" s="4"/>
      <c r="X3091" s="4"/>
    </row>
    <row r="3092" spans="17:24" x14ac:dyDescent="0.3">
      <c r="Q3092" s="4"/>
      <c r="R3092" s="4"/>
      <c r="S3092" s="4"/>
      <c r="T3092" s="4"/>
      <c r="U3092" s="4"/>
      <c r="V3092" s="4"/>
      <c r="W3092" s="4"/>
      <c r="X3092" s="4"/>
    </row>
    <row r="3093" spans="17:24" x14ac:dyDescent="0.3">
      <c r="Q3093" s="4"/>
      <c r="R3093" s="4"/>
      <c r="S3093" s="4"/>
      <c r="T3093" s="4"/>
      <c r="U3093" s="4"/>
      <c r="V3093" s="4"/>
      <c r="W3093" s="4"/>
      <c r="X3093" s="4"/>
    </row>
    <row r="3094" spans="17:24" x14ac:dyDescent="0.3">
      <c r="Q3094" s="4"/>
      <c r="R3094" s="4"/>
      <c r="S3094" s="4"/>
      <c r="T3094" s="4"/>
      <c r="U3094" s="4"/>
      <c r="V3094" s="4"/>
      <c r="W3094" s="4"/>
      <c r="X3094" s="4"/>
    </row>
    <row r="3095" spans="17:24" x14ac:dyDescent="0.3">
      <c r="Q3095" s="4"/>
      <c r="R3095" s="4"/>
      <c r="S3095" s="4"/>
      <c r="T3095" s="4"/>
      <c r="U3095" s="4"/>
      <c r="V3095" s="4"/>
      <c r="W3095" s="4"/>
      <c r="X3095" s="4"/>
    </row>
    <row r="3096" spans="17:24" x14ac:dyDescent="0.3">
      <c r="Q3096" s="4"/>
      <c r="R3096" s="4"/>
      <c r="S3096" s="4"/>
      <c r="T3096" s="4"/>
      <c r="U3096" s="4"/>
      <c r="V3096" s="4"/>
      <c r="W3096" s="4"/>
      <c r="X3096" s="4"/>
    </row>
    <row r="3097" spans="17:24" x14ac:dyDescent="0.3">
      <c r="Q3097" s="4"/>
      <c r="R3097" s="4"/>
      <c r="S3097" s="4"/>
      <c r="T3097" s="4"/>
      <c r="U3097" s="4"/>
      <c r="V3097" s="4"/>
      <c r="W3097" s="4"/>
      <c r="X3097" s="4"/>
    </row>
    <row r="3098" spans="17:24" x14ac:dyDescent="0.3">
      <c r="Q3098" s="4"/>
      <c r="R3098" s="4"/>
      <c r="S3098" s="4"/>
      <c r="T3098" s="4"/>
      <c r="U3098" s="4"/>
      <c r="V3098" s="4"/>
      <c r="W3098" s="4"/>
      <c r="X3098" s="4"/>
    </row>
    <row r="3099" spans="17:24" x14ac:dyDescent="0.3">
      <c r="Q3099" s="4"/>
      <c r="R3099" s="4"/>
      <c r="S3099" s="4"/>
      <c r="T3099" s="4"/>
      <c r="U3099" s="4"/>
      <c r="V3099" s="4"/>
      <c r="W3099" s="4"/>
      <c r="X3099" s="4"/>
    </row>
    <row r="3100" spans="17:24" x14ac:dyDescent="0.3">
      <c r="Q3100" s="4"/>
      <c r="R3100" s="4"/>
      <c r="S3100" s="4"/>
      <c r="T3100" s="4"/>
      <c r="U3100" s="4"/>
      <c r="V3100" s="4"/>
      <c r="W3100" s="4"/>
      <c r="X3100" s="4"/>
    </row>
    <row r="3101" spans="17:24" x14ac:dyDescent="0.3">
      <c r="Q3101" s="4"/>
      <c r="R3101" s="4"/>
      <c r="S3101" s="4"/>
      <c r="T3101" s="4"/>
      <c r="U3101" s="4"/>
      <c r="V3101" s="4"/>
      <c r="W3101" s="4"/>
      <c r="X3101" s="4"/>
    </row>
    <row r="3102" spans="17:24" x14ac:dyDescent="0.3">
      <c r="Q3102" s="4"/>
      <c r="R3102" s="4"/>
      <c r="S3102" s="4"/>
      <c r="T3102" s="4"/>
      <c r="U3102" s="4"/>
      <c r="V3102" s="4"/>
      <c r="W3102" s="4"/>
      <c r="X3102" s="4"/>
    </row>
    <row r="3103" spans="17:24" x14ac:dyDescent="0.3">
      <c r="Q3103" s="4"/>
      <c r="R3103" s="4"/>
      <c r="S3103" s="4"/>
      <c r="T3103" s="4"/>
      <c r="U3103" s="4"/>
      <c r="V3103" s="4"/>
      <c r="W3103" s="4"/>
      <c r="X3103" s="4"/>
    </row>
    <row r="3104" spans="17:24" x14ac:dyDescent="0.3">
      <c r="Q3104" s="4"/>
      <c r="R3104" s="4"/>
      <c r="S3104" s="4"/>
      <c r="T3104" s="4"/>
      <c r="U3104" s="4"/>
      <c r="V3104" s="4"/>
      <c r="W3104" s="4"/>
      <c r="X3104" s="4"/>
    </row>
    <row r="3105" spans="17:24" x14ac:dyDescent="0.3">
      <c r="Q3105" s="4"/>
      <c r="R3105" s="4"/>
      <c r="S3105" s="4"/>
      <c r="T3105" s="4"/>
      <c r="U3105" s="4"/>
      <c r="V3105" s="4"/>
      <c r="W3105" s="4"/>
      <c r="X3105" s="4"/>
    </row>
    <row r="3106" spans="17:24" x14ac:dyDescent="0.3">
      <c r="Q3106" s="4"/>
      <c r="R3106" s="4"/>
      <c r="S3106" s="4"/>
      <c r="T3106" s="4"/>
      <c r="U3106" s="4"/>
      <c r="V3106" s="4"/>
      <c r="W3106" s="4"/>
      <c r="X3106" s="4"/>
    </row>
    <row r="3107" spans="17:24" x14ac:dyDescent="0.3">
      <c r="Q3107" s="4"/>
      <c r="R3107" s="4"/>
      <c r="S3107" s="4"/>
      <c r="T3107" s="4"/>
      <c r="U3107" s="4"/>
      <c r="V3107" s="4"/>
      <c r="W3107" s="4"/>
      <c r="X3107" s="4"/>
    </row>
    <row r="3108" spans="17:24" x14ac:dyDescent="0.3">
      <c r="Q3108" s="4"/>
      <c r="R3108" s="4"/>
      <c r="S3108" s="4"/>
      <c r="T3108" s="4"/>
      <c r="U3108" s="4"/>
      <c r="V3108" s="4"/>
      <c r="W3108" s="4"/>
      <c r="X3108" s="4"/>
    </row>
    <row r="3109" spans="17:24" x14ac:dyDescent="0.3">
      <c r="Q3109" s="4"/>
      <c r="R3109" s="4"/>
      <c r="S3109" s="4"/>
      <c r="T3109" s="4"/>
      <c r="U3109" s="4"/>
      <c r="V3109" s="4"/>
      <c r="W3109" s="4"/>
      <c r="X3109" s="4"/>
    </row>
    <row r="3110" spans="17:24" x14ac:dyDescent="0.3">
      <c r="Q3110" s="4"/>
      <c r="R3110" s="4"/>
      <c r="S3110" s="4"/>
      <c r="T3110" s="4"/>
      <c r="U3110" s="4"/>
      <c r="V3110" s="4"/>
      <c r="W3110" s="4"/>
      <c r="X3110" s="4"/>
    </row>
    <row r="3111" spans="17:24" x14ac:dyDescent="0.3">
      <c r="Q3111" s="4"/>
      <c r="R3111" s="4"/>
      <c r="S3111" s="4"/>
      <c r="T3111" s="4"/>
      <c r="U3111" s="4"/>
      <c r="V3111" s="4"/>
      <c r="W3111" s="4"/>
      <c r="X3111" s="4"/>
    </row>
    <row r="3112" spans="17:24" x14ac:dyDescent="0.3">
      <c r="Q3112" s="4"/>
      <c r="R3112" s="4"/>
      <c r="S3112" s="4"/>
      <c r="T3112" s="4"/>
      <c r="U3112" s="4"/>
      <c r="V3112" s="4"/>
      <c r="W3112" s="4"/>
      <c r="X3112" s="4"/>
    </row>
    <row r="3113" spans="17:24" x14ac:dyDescent="0.3">
      <c r="Q3113" s="4"/>
      <c r="R3113" s="4"/>
      <c r="S3113" s="4"/>
      <c r="T3113" s="4"/>
      <c r="U3113" s="4"/>
      <c r="V3113" s="4"/>
      <c r="W3113" s="4"/>
      <c r="X3113" s="4"/>
    </row>
    <row r="3114" spans="17:24" x14ac:dyDescent="0.3">
      <c r="Q3114" s="4"/>
      <c r="R3114" s="4"/>
      <c r="S3114" s="4"/>
      <c r="T3114" s="4"/>
      <c r="U3114" s="4"/>
      <c r="V3114" s="4"/>
      <c r="W3114" s="4"/>
      <c r="X3114" s="4"/>
    </row>
    <row r="3115" spans="17:24" x14ac:dyDescent="0.3">
      <c r="Q3115" s="4"/>
      <c r="R3115" s="4"/>
      <c r="S3115" s="4"/>
      <c r="T3115" s="4"/>
      <c r="U3115" s="4"/>
      <c r="V3115" s="4"/>
      <c r="W3115" s="4"/>
      <c r="X3115" s="4"/>
    </row>
    <row r="3116" spans="17:24" x14ac:dyDescent="0.3">
      <c r="Q3116" s="4"/>
      <c r="R3116" s="4"/>
      <c r="S3116" s="4"/>
      <c r="T3116" s="4"/>
      <c r="U3116" s="4"/>
      <c r="V3116" s="4"/>
      <c r="W3116" s="4"/>
      <c r="X3116" s="4"/>
    </row>
    <row r="3117" spans="17:24" x14ac:dyDescent="0.3">
      <c r="Q3117" s="4"/>
      <c r="R3117" s="4"/>
      <c r="S3117" s="4"/>
      <c r="T3117" s="4"/>
      <c r="U3117" s="4"/>
      <c r="V3117" s="4"/>
      <c r="W3117" s="4"/>
      <c r="X3117" s="4"/>
    </row>
    <row r="3118" spans="17:24" x14ac:dyDescent="0.3">
      <c r="Q3118" s="4"/>
      <c r="R3118" s="4"/>
      <c r="S3118" s="4"/>
      <c r="T3118" s="4"/>
      <c r="U3118" s="4"/>
      <c r="V3118" s="4"/>
      <c r="W3118" s="4"/>
      <c r="X3118" s="4"/>
    </row>
    <row r="3119" spans="17:24" x14ac:dyDescent="0.3">
      <c r="Q3119" s="4"/>
      <c r="R3119" s="4"/>
      <c r="S3119" s="4"/>
      <c r="T3119" s="4"/>
      <c r="U3119" s="4"/>
      <c r="V3119" s="4"/>
      <c r="W3119" s="4"/>
      <c r="X3119" s="4"/>
    </row>
    <row r="3120" spans="17:24" x14ac:dyDescent="0.3">
      <c r="Q3120" s="4"/>
      <c r="R3120" s="4"/>
      <c r="S3120" s="4"/>
      <c r="T3120" s="4"/>
      <c r="U3120" s="4"/>
      <c r="V3120" s="4"/>
      <c r="W3120" s="4"/>
      <c r="X3120" s="4"/>
    </row>
    <row r="3121" spans="17:24" x14ac:dyDescent="0.3">
      <c r="Q3121" s="4"/>
      <c r="R3121" s="4"/>
      <c r="S3121" s="4"/>
      <c r="T3121" s="4"/>
      <c r="U3121" s="4"/>
      <c r="V3121" s="4"/>
      <c r="W3121" s="4"/>
      <c r="X3121" s="4"/>
    </row>
    <row r="3122" spans="17:24" x14ac:dyDescent="0.3">
      <c r="Q3122" s="4"/>
      <c r="R3122" s="4"/>
      <c r="S3122" s="4"/>
      <c r="T3122" s="4"/>
      <c r="U3122" s="4"/>
      <c r="V3122" s="4"/>
      <c r="W3122" s="4"/>
      <c r="X3122" s="4"/>
    </row>
    <row r="3123" spans="17:24" x14ac:dyDescent="0.3">
      <c r="Q3123" s="4"/>
      <c r="R3123" s="4"/>
      <c r="S3123" s="4"/>
      <c r="T3123" s="4"/>
      <c r="U3123" s="4"/>
      <c r="V3123" s="4"/>
      <c r="W3123" s="4"/>
      <c r="X3123" s="4"/>
    </row>
    <row r="3124" spans="17:24" x14ac:dyDescent="0.3">
      <c r="Q3124" s="4"/>
      <c r="R3124" s="4"/>
      <c r="S3124" s="4"/>
      <c r="T3124" s="4"/>
      <c r="U3124" s="4"/>
      <c r="V3124" s="4"/>
      <c r="W3124" s="4"/>
      <c r="X3124" s="4"/>
    </row>
    <row r="3125" spans="17:24" x14ac:dyDescent="0.3">
      <c r="Q3125" s="4"/>
      <c r="R3125" s="4"/>
      <c r="S3125" s="4"/>
      <c r="T3125" s="4"/>
      <c r="U3125" s="4"/>
      <c r="V3125" s="4"/>
      <c r="W3125" s="4"/>
      <c r="X3125" s="4"/>
    </row>
    <row r="3126" spans="17:24" x14ac:dyDescent="0.3">
      <c r="Q3126" s="4"/>
      <c r="R3126" s="4"/>
      <c r="S3126" s="4"/>
      <c r="T3126" s="4"/>
      <c r="U3126" s="4"/>
      <c r="V3126" s="4"/>
      <c r="W3126" s="4"/>
      <c r="X3126" s="4"/>
    </row>
    <row r="3127" spans="17:24" x14ac:dyDescent="0.3">
      <c r="Q3127" s="4"/>
      <c r="R3127" s="4"/>
      <c r="S3127" s="4"/>
      <c r="T3127" s="4"/>
      <c r="U3127" s="4"/>
      <c r="V3127" s="4"/>
      <c r="W3127" s="4"/>
      <c r="X3127" s="4"/>
    </row>
    <row r="3128" spans="17:24" x14ac:dyDescent="0.3">
      <c r="Q3128" s="4"/>
      <c r="R3128" s="4"/>
      <c r="S3128" s="4"/>
      <c r="T3128" s="4"/>
      <c r="U3128" s="4"/>
      <c r="V3128" s="4"/>
      <c r="W3128" s="4"/>
      <c r="X3128" s="4"/>
    </row>
    <row r="3129" spans="17:24" x14ac:dyDescent="0.3">
      <c r="Q3129" s="4"/>
      <c r="R3129" s="4"/>
      <c r="S3129" s="4"/>
      <c r="T3129" s="4"/>
      <c r="U3129" s="4"/>
      <c r="V3129" s="4"/>
      <c r="W3129" s="4"/>
      <c r="X3129" s="4"/>
    </row>
    <row r="3130" spans="17:24" x14ac:dyDescent="0.3">
      <c r="Q3130" s="4"/>
      <c r="R3130" s="4"/>
      <c r="S3130" s="4"/>
      <c r="T3130" s="4"/>
      <c r="U3130" s="4"/>
      <c r="V3130" s="4"/>
      <c r="W3130" s="4"/>
      <c r="X3130" s="4"/>
    </row>
    <row r="3131" spans="17:24" x14ac:dyDescent="0.3">
      <c r="Q3131" s="4"/>
      <c r="R3131" s="4"/>
      <c r="S3131" s="4"/>
      <c r="T3131" s="4"/>
      <c r="U3131" s="4"/>
      <c r="V3131" s="4"/>
      <c r="W3131" s="4"/>
      <c r="X3131" s="4"/>
    </row>
    <row r="3132" spans="17:24" x14ac:dyDescent="0.3">
      <c r="Q3132" s="4"/>
      <c r="R3132" s="4"/>
      <c r="S3132" s="4"/>
      <c r="T3132" s="4"/>
      <c r="U3132" s="4"/>
      <c r="V3132" s="4"/>
      <c r="W3132" s="4"/>
      <c r="X3132" s="4"/>
    </row>
    <row r="3133" spans="17:24" x14ac:dyDescent="0.3">
      <c r="Q3133" s="4"/>
      <c r="R3133" s="4"/>
      <c r="S3133" s="4"/>
      <c r="T3133" s="4"/>
      <c r="U3133" s="4"/>
      <c r="V3133" s="4"/>
      <c r="W3133" s="4"/>
      <c r="X3133" s="4"/>
    </row>
    <row r="3134" spans="17:24" x14ac:dyDescent="0.3">
      <c r="Q3134" s="4"/>
      <c r="R3134" s="4"/>
      <c r="S3134" s="4"/>
      <c r="T3134" s="4"/>
      <c r="U3134" s="4"/>
      <c r="V3134" s="4"/>
      <c r="W3134" s="4"/>
      <c r="X3134" s="4"/>
    </row>
    <row r="3135" spans="17:24" x14ac:dyDescent="0.3">
      <c r="Q3135" s="4"/>
      <c r="R3135" s="4"/>
      <c r="S3135" s="4"/>
      <c r="T3135" s="4"/>
      <c r="U3135" s="4"/>
      <c r="V3135" s="4"/>
      <c r="W3135" s="4"/>
      <c r="X3135" s="4"/>
    </row>
    <row r="3136" spans="17:24" x14ac:dyDescent="0.3">
      <c r="Q3136" s="4"/>
      <c r="R3136" s="4"/>
      <c r="S3136" s="4"/>
      <c r="T3136" s="4"/>
      <c r="U3136" s="4"/>
      <c r="V3136" s="4"/>
      <c r="W3136" s="4"/>
      <c r="X3136" s="4"/>
    </row>
    <row r="3137" spans="17:24" x14ac:dyDescent="0.3">
      <c r="Q3137" s="4"/>
      <c r="R3137" s="4"/>
      <c r="S3137" s="4"/>
      <c r="T3137" s="4"/>
      <c r="U3137" s="4"/>
      <c r="V3137" s="4"/>
      <c r="W3137" s="4"/>
      <c r="X3137" s="4"/>
    </row>
    <row r="3138" spans="17:24" x14ac:dyDescent="0.3">
      <c r="Q3138" s="4"/>
      <c r="R3138" s="4"/>
      <c r="S3138" s="4"/>
      <c r="T3138" s="4"/>
      <c r="U3138" s="4"/>
      <c r="V3138" s="4"/>
      <c r="W3138" s="4"/>
      <c r="X3138" s="4"/>
    </row>
    <row r="3139" spans="17:24" x14ac:dyDescent="0.3">
      <c r="Q3139" s="4"/>
      <c r="R3139" s="4"/>
      <c r="S3139" s="4"/>
      <c r="T3139" s="4"/>
      <c r="U3139" s="4"/>
      <c r="V3139" s="4"/>
      <c r="W3139" s="4"/>
      <c r="X3139" s="4"/>
    </row>
    <row r="3140" spans="17:24" x14ac:dyDescent="0.3">
      <c r="Q3140" s="4"/>
      <c r="R3140" s="4"/>
      <c r="S3140" s="4"/>
      <c r="T3140" s="4"/>
      <c r="U3140" s="4"/>
      <c r="V3140" s="4"/>
      <c r="W3140" s="4"/>
      <c r="X3140" s="4"/>
    </row>
    <row r="3141" spans="17:24" x14ac:dyDescent="0.3">
      <c r="Q3141" s="4"/>
      <c r="R3141" s="4"/>
      <c r="S3141" s="4"/>
      <c r="T3141" s="4"/>
      <c r="U3141" s="4"/>
      <c r="V3141" s="4"/>
      <c r="W3141" s="4"/>
      <c r="X3141" s="4"/>
    </row>
    <row r="3142" spans="17:24" x14ac:dyDescent="0.3">
      <c r="Q3142" s="4"/>
      <c r="R3142" s="4"/>
      <c r="S3142" s="4"/>
      <c r="T3142" s="4"/>
      <c r="U3142" s="4"/>
      <c r="V3142" s="4"/>
      <c r="W3142" s="4"/>
      <c r="X3142" s="4"/>
    </row>
    <row r="3143" spans="17:24" x14ac:dyDescent="0.3">
      <c r="Q3143" s="4"/>
      <c r="R3143" s="4"/>
      <c r="S3143" s="4"/>
      <c r="T3143" s="4"/>
      <c r="U3143" s="4"/>
      <c r="V3143" s="4"/>
      <c r="W3143" s="4"/>
      <c r="X3143" s="4"/>
    </row>
    <row r="3144" spans="17:24" x14ac:dyDescent="0.3">
      <c r="Q3144" s="4"/>
      <c r="R3144" s="4"/>
      <c r="S3144" s="4"/>
      <c r="T3144" s="4"/>
      <c r="U3144" s="4"/>
      <c r="V3144" s="4"/>
      <c r="W3144" s="4"/>
      <c r="X3144" s="4"/>
    </row>
    <row r="3145" spans="17:24" x14ac:dyDescent="0.3">
      <c r="Q3145" s="4"/>
      <c r="R3145" s="4"/>
      <c r="S3145" s="4"/>
      <c r="T3145" s="4"/>
      <c r="U3145" s="4"/>
      <c r="V3145" s="4"/>
      <c r="W3145" s="4"/>
      <c r="X3145" s="4"/>
    </row>
    <row r="3146" spans="17:24" x14ac:dyDescent="0.3">
      <c r="Q3146" s="4"/>
      <c r="R3146" s="4"/>
      <c r="S3146" s="4"/>
      <c r="T3146" s="4"/>
      <c r="U3146" s="4"/>
      <c r="V3146" s="4"/>
      <c r="W3146" s="4"/>
      <c r="X3146" s="4"/>
    </row>
    <row r="3147" spans="17:24" x14ac:dyDescent="0.3">
      <c r="Q3147" s="4"/>
      <c r="R3147" s="4"/>
      <c r="S3147" s="4"/>
      <c r="T3147" s="4"/>
      <c r="U3147" s="4"/>
      <c r="V3147" s="4"/>
      <c r="W3147" s="4"/>
      <c r="X3147" s="4"/>
    </row>
    <row r="3148" spans="17:24" x14ac:dyDescent="0.3">
      <c r="Q3148" s="4"/>
      <c r="R3148" s="4"/>
      <c r="S3148" s="4"/>
      <c r="T3148" s="4"/>
      <c r="U3148" s="4"/>
      <c r="V3148" s="4"/>
      <c r="W3148" s="4"/>
      <c r="X3148" s="4"/>
    </row>
    <row r="3149" spans="17:24" x14ac:dyDescent="0.3">
      <c r="Q3149" s="4"/>
      <c r="R3149" s="4"/>
      <c r="S3149" s="4"/>
      <c r="T3149" s="4"/>
      <c r="U3149" s="4"/>
      <c r="V3149" s="4"/>
      <c r="W3149" s="4"/>
      <c r="X3149" s="4"/>
    </row>
    <row r="3150" spans="17:24" x14ac:dyDescent="0.3">
      <c r="Q3150" s="4"/>
      <c r="R3150" s="4"/>
      <c r="S3150" s="4"/>
      <c r="T3150" s="4"/>
      <c r="U3150" s="4"/>
      <c r="V3150" s="4"/>
      <c r="W3150" s="4"/>
      <c r="X3150" s="4"/>
    </row>
    <row r="3151" spans="17:24" x14ac:dyDescent="0.3">
      <c r="Q3151" s="4"/>
      <c r="R3151" s="4"/>
      <c r="S3151" s="4"/>
      <c r="T3151" s="4"/>
      <c r="U3151" s="4"/>
      <c r="V3151" s="4"/>
      <c r="W3151" s="4"/>
      <c r="X3151" s="4"/>
    </row>
    <row r="3152" spans="17:24" x14ac:dyDescent="0.3">
      <c r="Q3152" s="4"/>
      <c r="R3152" s="4"/>
      <c r="S3152" s="4"/>
      <c r="T3152" s="4"/>
      <c r="U3152" s="4"/>
      <c r="V3152" s="4"/>
      <c r="W3152" s="4"/>
      <c r="X3152" s="4"/>
    </row>
    <row r="3153" spans="17:24" x14ac:dyDescent="0.3">
      <c r="Q3153" s="4"/>
      <c r="R3153" s="4"/>
      <c r="S3153" s="4"/>
      <c r="T3153" s="4"/>
      <c r="U3153" s="4"/>
      <c r="V3153" s="4"/>
      <c r="W3153" s="4"/>
      <c r="X3153" s="4"/>
    </row>
    <row r="3154" spans="17:24" x14ac:dyDescent="0.3">
      <c r="Q3154" s="4"/>
      <c r="R3154" s="4"/>
      <c r="S3154" s="4"/>
      <c r="T3154" s="4"/>
      <c r="U3154" s="4"/>
      <c r="V3154" s="4"/>
      <c r="W3154" s="4"/>
      <c r="X3154" s="4"/>
    </row>
    <row r="3155" spans="17:24" x14ac:dyDescent="0.3">
      <c r="Q3155" s="4"/>
      <c r="R3155" s="4"/>
      <c r="S3155" s="4"/>
      <c r="T3155" s="4"/>
      <c r="U3155" s="4"/>
      <c r="V3155" s="4"/>
      <c r="W3155" s="4"/>
      <c r="X3155" s="4"/>
    </row>
    <row r="3156" spans="17:24" x14ac:dyDescent="0.3">
      <c r="Q3156" s="4"/>
      <c r="R3156" s="4"/>
      <c r="S3156" s="4"/>
      <c r="T3156" s="4"/>
      <c r="U3156" s="4"/>
      <c r="V3156" s="4"/>
      <c r="W3156" s="4"/>
      <c r="X3156" s="4"/>
    </row>
    <row r="3157" spans="17:24" x14ac:dyDescent="0.3">
      <c r="Q3157" s="4"/>
      <c r="R3157" s="4"/>
      <c r="S3157" s="4"/>
      <c r="T3157" s="4"/>
      <c r="U3157" s="4"/>
      <c r="V3157" s="4"/>
      <c r="W3157" s="4"/>
      <c r="X3157" s="4"/>
    </row>
    <row r="3158" spans="17:24" x14ac:dyDescent="0.3">
      <c r="Q3158" s="4"/>
      <c r="R3158" s="4"/>
      <c r="S3158" s="4"/>
      <c r="T3158" s="4"/>
      <c r="U3158" s="4"/>
      <c r="V3158" s="4"/>
      <c r="W3158" s="4"/>
      <c r="X3158" s="4"/>
    </row>
    <row r="3159" spans="17:24" x14ac:dyDescent="0.3">
      <c r="Q3159" s="4"/>
      <c r="R3159" s="4"/>
      <c r="S3159" s="4"/>
      <c r="T3159" s="4"/>
      <c r="U3159" s="4"/>
      <c r="V3159" s="4"/>
      <c r="W3159" s="4"/>
      <c r="X3159" s="4"/>
    </row>
    <row r="3160" spans="17:24" x14ac:dyDescent="0.3">
      <c r="Q3160" s="4"/>
      <c r="R3160" s="4"/>
      <c r="S3160" s="4"/>
      <c r="T3160" s="4"/>
      <c r="U3160" s="4"/>
      <c r="V3160" s="4"/>
      <c r="W3160" s="4"/>
      <c r="X3160" s="4"/>
    </row>
    <row r="3161" spans="17:24" x14ac:dyDescent="0.3">
      <c r="Q3161" s="4"/>
      <c r="R3161" s="4"/>
      <c r="S3161" s="4"/>
      <c r="T3161" s="4"/>
      <c r="U3161" s="4"/>
      <c r="V3161" s="4"/>
      <c r="W3161" s="4"/>
      <c r="X3161" s="4"/>
    </row>
    <row r="3162" spans="17:24" x14ac:dyDescent="0.3">
      <c r="Q3162" s="4"/>
      <c r="R3162" s="4"/>
      <c r="S3162" s="4"/>
      <c r="T3162" s="4"/>
      <c r="U3162" s="4"/>
      <c r="V3162" s="4"/>
      <c r="W3162" s="4"/>
      <c r="X3162" s="4"/>
    </row>
    <row r="3163" spans="17:24" x14ac:dyDescent="0.3">
      <c r="Q3163" s="4"/>
      <c r="R3163" s="4"/>
      <c r="S3163" s="4"/>
      <c r="T3163" s="4"/>
      <c r="U3163" s="4"/>
      <c r="V3163" s="4"/>
      <c r="W3163" s="4"/>
      <c r="X3163" s="4"/>
    </row>
    <row r="3164" spans="17:24" x14ac:dyDescent="0.3">
      <c r="Q3164" s="4"/>
      <c r="R3164" s="4"/>
      <c r="S3164" s="4"/>
      <c r="T3164" s="4"/>
      <c r="U3164" s="4"/>
      <c r="V3164" s="4"/>
      <c r="W3164" s="4"/>
      <c r="X3164" s="4"/>
    </row>
    <row r="3165" spans="17:24" x14ac:dyDescent="0.3">
      <c r="Q3165" s="4"/>
      <c r="R3165" s="4"/>
      <c r="S3165" s="4"/>
      <c r="T3165" s="4"/>
      <c r="U3165" s="4"/>
      <c r="V3165" s="4"/>
      <c r="W3165" s="4"/>
      <c r="X3165" s="4"/>
    </row>
    <row r="3166" spans="17:24" x14ac:dyDescent="0.3">
      <c r="Q3166" s="4"/>
      <c r="R3166" s="4"/>
      <c r="S3166" s="4"/>
      <c r="T3166" s="4"/>
      <c r="U3166" s="4"/>
      <c r="V3166" s="4"/>
      <c r="W3166" s="4"/>
      <c r="X3166" s="4"/>
    </row>
    <row r="3167" spans="17:24" x14ac:dyDescent="0.3">
      <c r="Q3167" s="4"/>
      <c r="R3167" s="4"/>
      <c r="S3167" s="4"/>
      <c r="T3167" s="4"/>
      <c r="U3167" s="4"/>
      <c r="V3167" s="4"/>
      <c r="W3167" s="4"/>
      <c r="X3167" s="4"/>
    </row>
    <row r="3168" spans="17:24" x14ac:dyDescent="0.3">
      <c r="Q3168" s="4"/>
      <c r="R3168" s="4"/>
      <c r="S3168" s="4"/>
      <c r="T3168" s="4"/>
      <c r="U3168" s="4"/>
      <c r="V3168" s="4"/>
      <c r="W3168" s="4"/>
      <c r="X3168" s="4"/>
    </row>
    <row r="3169" spans="17:24" x14ac:dyDescent="0.3">
      <c r="Q3169" s="4"/>
      <c r="R3169" s="4"/>
      <c r="S3169" s="4"/>
      <c r="T3169" s="4"/>
      <c r="U3169" s="4"/>
      <c r="V3169" s="4"/>
      <c r="W3169" s="4"/>
      <c r="X3169" s="4"/>
    </row>
    <row r="3170" spans="17:24" x14ac:dyDescent="0.3">
      <c r="Q3170" s="4"/>
      <c r="R3170" s="4"/>
      <c r="S3170" s="4"/>
      <c r="T3170" s="4"/>
      <c r="U3170" s="4"/>
      <c r="V3170" s="4"/>
      <c r="W3170" s="4"/>
      <c r="X3170" s="4"/>
    </row>
    <row r="3171" spans="17:24" x14ac:dyDescent="0.3">
      <c r="Q3171" s="4"/>
      <c r="R3171" s="4"/>
      <c r="S3171" s="4"/>
      <c r="T3171" s="4"/>
      <c r="U3171" s="4"/>
      <c r="V3171" s="4"/>
      <c r="W3171" s="4"/>
      <c r="X3171" s="4"/>
    </row>
    <row r="3172" spans="17:24" x14ac:dyDescent="0.3">
      <c r="Q3172" s="4"/>
      <c r="R3172" s="4"/>
      <c r="S3172" s="4"/>
      <c r="T3172" s="4"/>
      <c r="U3172" s="4"/>
      <c r="V3172" s="4"/>
      <c r="W3172" s="4"/>
      <c r="X3172" s="4"/>
    </row>
    <row r="3173" spans="17:24" x14ac:dyDescent="0.3">
      <c r="Q3173" s="4"/>
      <c r="R3173" s="4"/>
      <c r="S3173" s="4"/>
      <c r="T3173" s="4"/>
      <c r="U3173" s="4"/>
      <c r="V3173" s="4"/>
      <c r="W3173" s="4"/>
      <c r="X3173" s="4"/>
    </row>
    <row r="3174" spans="17:24" x14ac:dyDescent="0.3">
      <c r="Q3174" s="4"/>
      <c r="R3174" s="4"/>
      <c r="S3174" s="4"/>
      <c r="T3174" s="4"/>
      <c r="U3174" s="4"/>
      <c r="V3174" s="4"/>
      <c r="W3174" s="4"/>
      <c r="X3174" s="4"/>
    </row>
    <row r="3175" spans="17:24" x14ac:dyDescent="0.3">
      <c r="Q3175" s="4"/>
      <c r="R3175" s="4"/>
      <c r="S3175" s="4"/>
      <c r="T3175" s="4"/>
      <c r="U3175" s="4"/>
      <c r="V3175" s="4"/>
      <c r="W3175" s="4"/>
      <c r="X3175" s="4"/>
    </row>
    <row r="3176" spans="17:24" x14ac:dyDescent="0.3">
      <c r="Q3176" s="4"/>
      <c r="R3176" s="4"/>
      <c r="S3176" s="4"/>
      <c r="T3176" s="4"/>
      <c r="U3176" s="4"/>
      <c r="V3176" s="4"/>
      <c r="W3176" s="4"/>
      <c r="X3176" s="4"/>
    </row>
    <row r="3177" spans="17:24" x14ac:dyDescent="0.3">
      <c r="Q3177" s="4"/>
      <c r="R3177" s="4"/>
      <c r="S3177" s="4"/>
      <c r="T3177" s="4"/>
      <c r="U3177" s="4"/>
      <c r="V3177" s="4"/>
      <c r="W3177" s="4"/>
      <c r="X3177" s="4"/>
    </row>
    <row r="3178" spans="17:24" x14ac:dyDescent="0.3">
      <c r="Q3178" s="4"/>
      <c r="R3178" s="4"/>
      <c r="S3178" s="4"/>
      <c r="T3178" s="4"/>
      <c r="U3178" s="4"/>
      <c r="V3178" s="4"/>
      <c r="W3178" s="4"/>
      <c r="X3178" s="4"/>
    </row>
    <row r="3179" spans="17:24" x14ac:dyDescent="0.3">
      <c r="Q3179" s="4"/>
      <c r="R3179" s="4"/>
      <c r="S3179" s="4"/>
      <c r="T3179" s="4"/>
      <c r="U3179" s="4"/>
      <c r="V3179" s="4"/>
      <c r="W3179" s="4"/>
      <c r="X3179" s="4"/>
    </row>
    <row r="3180" spans="17:24" x14ac:dyDescent="0.3">
      <c r="Q3180" s="4"/>
      <c r="R3180" s="4"/>
      <c r="S3180" s="4"/>
      <c r="T3180" s="4"/>
      <c r="U3180" s="4"/>
      <c r="V3180" s="4"/>
      <c r="W3180" s="4"/>
      <c r="X3180" s="4"/>
    </row>
    <row r="3181" spans="17:24" x14ac:dyDescent="0.3">
      <c r="Q3181" s="4"/>
      <c r="R3181" s="4"/>
      <c r="S3181" s="4"/>
      <c r="T3181" s="4"/>
      <c r="U3181" s="4"/>
      <c r="V3181" s="4"/>
      <c r="W3181" s="4"/>
      <c r="X3181" s="4"/>
    </row>
    <row r="3182" spans="17:24" x14ac:dyDescent="0.3">
      <c r="Q3182" s="4"/>
      <c r="R3182" s="4"/>
      <c r="S3182" s="4"/>
      <c r="T3182" s="4"/>
      <c r="U3182" s="4"/>
      <c r="V3182" s="4"/>
      <c r="W3182" s="4"/>
      <c r="X3182" s="4"/>
    </row>
    <row r="3183" spans="17:24" x14ac:dyDescent="0.3">
      <c r="Q3183" s="4"/>
      <c r="R3183" s="4"/>
      <c r="S3183" s="4"/>
      <c r="T3183" s="4"/>
      <c r="U3183" s="4"/>
      <c r="V3183" s="4"/>
      <c r="W3183" s="4"/>
      <c r="X3183" s="4"/>
    </row>
    <row r="3184" spans="17:24" x14ac:dyDescent="0.3">
      <c r="Q3184" s="4"/>
      <c r="R3184" s="4"/>
      <c r="S3184" s="4"/>
      <c r="T3184" s="4"/>
      <c r="U3184" s="4"/>
      <c r="V3184" s="4"/>
      <c r="W3184" s="4"/>
      <c r="X3184" s="4"/>
    </row>
    <row r="3185" spans="17:24" x14ac:dyDescent="0.3">
      <c r="Q3185" s="4"/>
      <c r="R3185" s="4"/>
      <c r="S3185" s="4"/>
      <c r="T3185" s="4"/>
      <c r="U3185" s="4"/>
      <c r="V3185" s="4"/>
      <c r="W3185" s="4"/>
      <c r="X3185" s="4"/>
    </row>
    <row r="3186" spans="17:24" x14ac:dyDescent="0.3">
      <c r="Q3186" s="4"/>
      <c r="R3186" s="4"/>
      <c r="S3186" s="4"/>
      <c r="T3186" s="4"/>
      <c r="U3186" s="4"/>
      <c r="V3186" s="4"/>
      <c r="W3186" s="4"/>
      <c r="X3186" s="4"/>
    </row>
    <row r="3187" spans="17:24" x14ac:dyDescent="0.3">
      <c r="Q3187" s="4"/>
      <c r="R3187" s="4"/>
      <c r="S3187" s="4"/>
      <c r="T3187" s="4"/>
      <c r="U3187" s="4"/>
      <c r="V3187" s="4"/>
      <c r="W3187" s="4"/>
      <c r="X3187" s="4"/>
    </row>
    <row r="3188" spans="17:24" x14ac:dyDescent="0.3">
      <c r="Q3188" s="4"/>
      <c r="R3188" s="4"/>
      <c r="S3188" s="4"/>
      <c r="T3188" s="4"/>
      <c r="U3188" s="4"/>
      <c r="V3188" s="4"/>
      <c r="W3188" s="4"/>
      <c r="X3188" s="4"/>
    </row>
    <row r="3189" spans="17:24" x14ac:dyDescent="0.3">
      <c r="Q3189" s="4"/>
      <c r="R3189" s="4"/>
      <c r="S3189" s="4"/>
      <c r="T3189" s="4"/>
      <c r="U3189" s="4"/>
      <c r="V3189" s="4"/>
      <c r="W3189" s="4"/>
      <c r="X3189" s="4"/>
    </row>
    <row r="3190" spans="17:24" x14ac:dyDescent="0.3">
      <c r="Q3190" s="4"/>
      <c r="R3190" s="4"/>
      <c r="S3190" s="4"/>
      <c r="T3190" s="4"/>
      <c r="U3190" s="4"/>
      <c r="V3190" s="4"/>
      <c r="W3190" s="4"/>
      <c r="X3190" s="4"/>
    </row>
    <row r="3191" spans="17:24" x14ac:dyDescent="0.3">
      <c r="Q3191" s="4"/>
      <c r="R3191" s="4"/>
      <c r="S3191" s="4"/>
      <c r="T3191" s="4"/>
      <c r="U3191" s="4"/>
      <c r="V3191" s="4"/>
      <c r="W3191" s="4"/>
      <c r="X3191" s="4"/>
    </row>
    <row r="3192" spans="17:24" x14ac:dyDescent="0.3">
      <c r="Q3192" s="4"/>
      <c r="R3192" s="4"/>
      <c r="S3192" s="4"/>
      <c r="T3192" s="4"/>
      <c r="U3192" s="4"/>
      <c r="V3192" s="4"/>
      <c r="W3192" s="4"/>
      <c r="X3192" s="4"/>
    </row>
    <row r="3193" spans="17:24" x14ac:dyDescent="0.3">
      <c r="Q3193" s="4"/>
      <c r="R3193" s="4"/>
      <c r="S3193" s="4"/>
      <c r="T3193" s="4"/>
      <c r="U3193" s="4"/>
      <c r="V3193" s="4"/>
      <c r="W3193" s="4"/>
      <c r="X3193" s="4"/>
    </row>
    <row r="3194" spans="17:24" x14ac:dyDescent="0.3">
      <c r="Q3194" s="4"/>
      <c r="R3194" s="4"/>
      <c r="S3194" s="4"/>
      <c r="T3194" s="4"/>
      <c r="U3194" s="4"/>
      <c r="V3194" s="4"/>
      <c r="W3194" s="4"/>
      <c r="X3194" s="4"/>
    </row>
    <row r="3195" spans="17:24" x14ac:dyDescent="0.3">
      <c r="Q3195" s="4"/>
      <c r="R3195" s="4"/>
      <c r="S3195" s="4"/>
      <c r="T3195" s="4"/>
      <c r="U3195" s="4"/>
      <c r="V3195" s="4"/>
      <c r="W3195" s="4"/>
      <c r="X3195" s="4"/>
    </row>
    <row r="3196" spans="17:24" x14ac:dyDescent="0.3">
      <c r="Q3196" s="4"/>
      <c r="R3196" s="4"/>
      <c r="S3196" s="4"/>
      <c r="T3196" s="4"/>
      <c r="U3196" s="4"/>
      <c r="V3196" s="4"/>
      <c r="W3196" s="4"/>
      <c r="X3196" s="4"/>
    </row>
    <row r="3197" spans="17:24" x14ac:dyDescent="0.3">
      <c r="Q3197" s="4"/>
      <c r="R3197" s="4"/>
      <c r="S3197" s="4"/>
      <c r="T3197" s="4"/>
      <c r="U3197" s="4"/>
      <c r="V3197" s="4"/>
      <c r="W3197" s="4"/>
      <c r="X3197" s="4"/>
    </row>
    <row r="3198" spans="17:24" x14ac:dyDescent="0.3">
      <c r="Q3198" s="4"/>
      <c r="R3198" s="4"/>
      <c r="S3198" s="4"/>
      <c r="T3198" s="4"/>
      <c r="U3198" s="4"/>
      <c r="V3198" s="4"/>
      <c r="W3198" s="4"/>
      <c r="X3198" s="4"/>
    </row>
    <row r="3199" spans="17:24" x14ac:dyDescent="0.3">
      <c r="Q3199" s="4"/>
      <c r="R3199" s="4"/>
      <c r="S3199" s="4"/>
      <c r="T3199" s="4"/>
      <c r="U3199" s="4"/>
      <c r="V3199" s="4"/>
      <c r="W3199" s="4"/>
      <c r="X3199" s="4"/>
    </row>
    <row r="3200" spans="17:24" x14ac:dyDescent="0.3">
      <c r="Q3200" s="4"/>
      <c r="R3200" s="4"/>
      <c r="S3200" s="4"/>
      <c r="T3200" s="4"/>
      <c r="U3200" s="4"/>
      <c r="V3200" s="4"/>
      <c r="W3200" s="4"/>
      <c r="X3200" s="4"/>
    </row>
    <row r="3201" spans="17:24" x14ac:dyDescent="0.3">
      <c r="Q3201" s="4"/>
      <c r="R3201" s="4"/>
      <c r="S3201" s="4"/>
      <c r="T3201" s="4"/>
      <c r="U3201" s="4"/>
      <c r="V3201" s="4"/>
      <c r="W3201" s="4"/>
      <c r="X3201" s="4"/>
    </row>
    <row r="3202" spans="17:24" x14ac:dyDescent="0.3">
      <c r="Q3202" s="4"/>
      <c r="R3202" s="4"/>
      <c r="S3202" s="4"/>
      <c r="T3202" s="4"/>
      <c r="U3202" s="4"/>
      <c r="V3202" s="4"/>
      <c r="W3202" s="4"/>
      <c r="X3202" s="4"/>
    </row>
    <row r="3203" spans="17:24" x14ac:dyDescent="0.3">
      <c r="Q3203" s="4"/>
      <c r="R3203" s="4"/>
      <c r="S3203" s="4"/>
      <c r="T3203" s="4"/>
      <c r="U3203" s="4"/>
      <c r="V3203" s="4"/>
      <c r="W3203" s="4"/>
      <c r="X3203" s="4"/>
    </row>
    <row r="3204" spans="17:24" x14ac:dyDescent="0.3">
      <c r="Q3204" s="4"/>
      <c r="R3204" s="4"/>
      <c r="S3204" s="4"/>
      <c r="T3204" s="4"/>
      <c r="U3204" s="4"/>
      <c r="V3204" s="4"/>
      <c r="W3204" s="4"/>
      <c r="X3204" s="4"/>
    </row>
    <row r="3205" spans="17:24" x14ac:dyDescent="0.3">
      <c r="Q3205" s="4"/>
      <c r="R3205" s="4"/>
      <c r="S3205" s="4"/>
      <c r="T3205" s="4"/>
      <c r="U3205" s="4"/>
      <c r="V3205" s="4"/>
      <c r="W3205" s="4"/>
      <c r="X3205" s="4"/>
    </row>
    <row r="3206" spans="17:24" x14ac:dyDescent="0.3">
      <c r="Q3206" s="4"/>
      <c r="R3206" s="4"/>
      <c r="S3206" s="4"/>
      <c r="T3206" s="4"/>
      <c r="U3206" s="4"/>
      <c r="V3206" s="4"/>
      <c r="W3206" s="4"/>
      <c r="X3206" s="4"/>
    </row>
    <row r="3207" spans="17:24" x14ac:dyDescent="0.3">
      <c r="Q3207" s="4"/>
      <c r="R3207" s="4"/>
      <c r="S3207" s="4"/>
      <c r="T3207" s="4"/>
      <c r="U3207" s="4"/>
      <c r="V3207" s="4"/>
      <c r="W3207" s="4"/>
      <c r="X3207" s="4"/>
    </row>
    <row r="3208" spans="17:24" x14ac:dyDescent="0.3">
      <c r="Q3208" s="4"/>
      <c r="R3208" s="4"/>
      <c r="S3208" s="4"/>
      <c r="T3208" s="4"/>
      <c r="U3208" s="4"/>
      <c r="V3208" s="4"/>
      <c r="W3208" s="4"/>
      <c r="X3208" s="4"/>
    </row>
    <row r="3209" spans="17:24" x14ac:dyDescent="0.3">
      <c r="Q3209" s="4"/>
      <c r="R3209" s="4"/>
      <c r="S3209" s="4"/>
      <c r="T3209" s="4"/>
      <c r="U3209" s="4"/>
      <c r="V3209" s="4"/>
      <c r="W3209" s="4"/>
      <c r="X3209" s="4"/>
    </row>
    <row r="3210" spans="17:24" x14ac:dyDescent="0.3">
      <c r="Q3210" s="4"/>
      <c r="R3210" s="4"/>
      <c r="S3210" s="4"/>
      <c r="T3210" s="4"/>
      <c r="U3210" s="4"/>
      <c r="V3210" s="4"/>
      <c r="W3210" s="4"/>
      <c r="X3210" s="4"/>
    </row>
    <row r="3211" spans="17:24" x14ac:dyDescent="0.3">
      <c r="Q3211" s="4"/>
      <c r="R3211" s="4"/>
      <c r="S3211" s="4"/>
      <c r="T3211" s="4"/>
      <c r="U3211" s="4"/>
      <c r="V3211" s="4"/>
      <c r="W3211" s="4"/>
      <c r="X3211" s="4"/>
    </row>
    <row r="3212" spans="17:24" x14ac:dyDescent="0.3">
      <c r="Q3212" s="4"/>
      <c r="R3212" s="4"/>
      <c r="S3212" s="4"/>
      <c r="T3212" s="4"/>
      <c r="U3212" s="4"/>
      <c r="V3212" s="4"/>
      <c r="W3212" s="4"/>
      <c r="X3212" s="4"/>
    </row>
    <row r="3213" spans="17:24" x14ac:dyDescent="0.3">
      <c r="Q3213" s="4"/>
      <c r="R3213" s="4"/>
      <c r="S3213" s="4"/>
      <c r="T3213" s="4"/>
      <c r="U3213" s="4"/>
      <c r="V3213" s="4"/>
      <c r="W3213" s="4"/>
      <c r="X3213" s="4"/>
    </row>
    <row r="3214" spans="17:24" x14ac:dyDescent="0.3">
      <c r="Q3214" s="4"/>
      <c r="R3214" s="4"/>
      <c r="S3214" s="4"/>
      <c r="T3214" s="4"/>
      <c r="U3214" s="4"/>
      <c r="V3214" s="4"/>
      <c r="W3214" s="4"/>
      <c r="X3214" s="4"/>
    </row>
    <row r="3215" spans="17:24" x14ac:dyDescent="0.3">
      <c r="Q3215" s="4"/>
      <c r="R3215" s="4"/>
      <c r="S3215" s="4"/>
      <c r="T3215" s="4"/>
      <c r="U3215" s="4"/>
      <c r="V3215" s="4"/>
      <c r="W3215" s="4"/>
      <c r="X3215" s="4"/>
    </row>
    <row r="3216" spans="17:24" x14ac:dyDescent="0.3">
      <c r="Q3216" s="4"/>
      <c r="R3216" s="4"/>
      <c r="S3216" s="4"/>
      <c r="T3216" s="4"/>
      <c r="U3216" s="4"/>
      <c r="V3216" s="4"/>
      <c r="W3216" s="4"/>
      <c r="X3216" s="4"/>
    </row>
    <row r="3217" spans="17:24" x14ac:dyDescent="0.3">
      <c r="Q3217" s="4"/>
      <c r="R3217" s="4"/>
      <c r="S3217" s="4"/>
      <c r="T3217" s="4"/>
      <c r="U3217" s="4"/>
      <c r="V3217" s="4"/>
      <c r="W3217" s="4"/>
      <c r="X3217" s="4"/>
    </row>
    <row r="3218" spans="17:24" x14ac:dyDescent="0.3">
      <c r="Q3218" s="4"/>
      <c r="R3218" s="4"/>
      <c r="S3218" s="4"/>
      <c r="T3218" s="4"/>
      <c r="U3218" s="4"/>
      <c r="V3218" s="4"/>
      <c r="W3218" s="4"/>
      <c r="X3218" s="4"/>
    </row>
    <row r="3219" spans="17:24" x14ac:dyDescent="0.3">
      <c r="Q3219" s="4"/>
      <c r="R3219" s="4"/>
      <c r="S3219" s="4"/>
      <c r="T3219" s="4"/>
      <c r="U3219" s="4"/>
      <c r="V3219" s="4"/>
      <c r="W3219" s="4"/>
      <c r="X3219" s="4"/>
    </row>
    <row r="3220" spans="17:24" x14ac:dyDescent="0.3">
      <c r="Q3220" s="4"/>
      <c r="R3220" s="4"/>
      <c r="S3220" s="4"/>
      <c r="T3220" s="4"/>
      <c r="U3220" s="4"/>
      <c r="V3220" s="4"/>
      <c r="W3220" s="4"/>
      <c r="X3220" s="4"/>
    </row>
    <row r="3221" spans="17:24" x14ac:dyDescent="0.3">
      <c r="Q3221" s="4"/>
      <c r="R3221" s="4"/>
      <c r="S3221" s="4"/>
      <c r="T3221" s="4"/>
      <c r="U3221" s="4"/>
      <c r="V3221" s="4"/>
      <c r="W3221" s="4"/>
      <c r="X3221" s="4"/>
    </row>
    <row r="3222" spans="17:24" x14ac:dyDescent="0.3">
      <c r="Q3222" s="4"/>
      <c r="R3222" s="4"/>
      <c r="S3222" s="4"/>
      <c r="T3222" s="4"/>
      <c r="U3222" s="4"/>
      <c r="V3222" s="4"/>
      <c r="W3222" s="4"/>
      <c r="X3222" s="4"/>
    </row>
    <row r="3223" spans="17:24" x14ac:dyDescent="0.3">
      <c r="Q3223" s="4"/>
      <c r="R3223" s="4"/>
      <c r="S3223" s="4"/>
      <c r="T3223" s="4"/>
      <c r="U3223" s="4"/>
      <c r="V3223" s="4"/>
      <c r="W3223" s="4"/>
      <c r="X3223" s="4"/>
    </row>
    <row r="3224" spans="17:24" x14ac:dyDescent="0.3">
      <c r="Q3224" s="4"/>
      <c r="R3224" s="4"/>
      <c r="S3224" s="4"/>
      <c r="T3224" s="4"/>
      <c r="U3224" s="4"/>
      <c r="V3224" s="4"/>
      <c r="W3224" s="4"/>
      <c r="X3224" s="4"/>
    </row>
    <row r="3225" spans="17:24" x14ac:dyDescent="0.3">
      <c r="Q3225" s="4"/>
      <c r="R3225" s="4"/>
      <c r="S3225" s="4"/>
      <c r="T3225" s="4"/>
      <c r="U3225" s="4"/>
      <c r="V3225" s="4"/>
      <c r="W3225" s="4"/>
      <c r="X3225" s="4"/>
    </row>
    <row r="3226" spans="17:24" x14ac:dyDescent="0.3">
      <c r="Q3226" s="4"/>
      <c r="R3226" s="4"/>
      <c r="S3226" s="4"/>
      <c r="T3226" s="4"/>
      <c r="U3226" s="4"/>
      <c r="V3226" s="4"/>
      <c r="W3226" s="4"/>
      <c r="X3226" s="4"/>
    </row>
    <row r="3227" spans="17:24" x14ac:dyDescent="0.3">
      <c r="Q3227" s="4"/>
      <c r="R3227" s="4"/>
      <c r="S3227" s="4"/>
      <c r="T3227" s="4"/>
      <c r="U3227" s="4"/>
      <c r="V3227" s="4"/>
      <c r="W3227" s="4"/>
      <c r="X3227" s="4"/>
    </row>
    <row r="3228" spans="17:24" x14ac:dyDescent="0.3">
      <c r="Q3228" s="4"/>
      <c r="R3228" s="4"/>
      <c r="S3228" s="4"/>
      <c r="T3228" s="4"/>
      <c r="U3228" s="4"/>
      <c r="V3228" s="4"/>
      <c r="W3228" s="4"/>
      <c r="X3228" s="4"/>
    </row>
    <row r="3229" spans="17:24" x14ac:dyDescent="0.3">
      <c r="Q3229" s="4"/>
      <c r="R3229" s="4"/>
      <c r="S3229" s="4"/>
      <c r="T3229" s="4"/>
      <c r="U3229" s="4"/>
      <c r="V3229" s="4"/>
      <c r="W3229" s="4"/>
      <c r="X3229" s="4"/>
    </row>
    <row r="3230" spans="17:24" x14ac:dyDescent="0.3">
      <c r="Q3230" s="4"/>
      <c r="R3230" s="4"/>
      <c r="S3230" s="4"/>
      <c r="T3230" s="4"/>
      <c r="U3230" s="4"/>
      <c r="V3230" s="4"/>
      <c r="W3230" s="4"/>
      <c r="X3230" s="4"/>
    </row>
    <row r="3231" spans="17:24" x14ac:dyDescent="0.3">
      <c r="Q3231" s="4"/>
      <c r="R3231" s="4"/>
      <c r="S3231" s="4"/>
      <c r="T3231" s="4"/>
      <c r="U3231" s="4"/>
      <c r="V3231" s="4"/>
      <c r="W3231" s="4"/>
      <c r="X3231" s="4"/>
    </row>
    <row r="3232" spans="17:24" x14ac:dyDescent="0.3">
      <c r="Q3232" s="4"/>
      <c r="R3232" s="4"/>
      <c r="S3232" s="4"/>
      <c r="T3232" s="4"/>
      <c r="U3232" s="4"/>
      <c r="V3232" s="4"/>
      <c r="W3232" s="4"/>
      <c r="X3232" s="4"/>
    </row>
    <row r="3233" spans="17:24" x14ac:dyDescent="0.3">
      <c r="Q3233" s="4"/>
      <c r="R3233" s="4"/>
      <c r="S3233" s="4"/>
      <c r="T3233" s="4"/>
      <c r="U3233" s="4"/>
      <c r="V3233" s="4"/>
      <c r="W3233" s="4"/>
      <c r="X3233" s="4"/>
    </row>
    <row r="3234" spans="17:24" x14ac:dyDescent="0.3">
      <c r="Q3234" s="4"/>
      <c r="R3234" s="4"/>
      <c r="S3234" s="4"/>
      <c r="T3234" s="4"/>
      <c r="U3234" s="4"/>
      <c r="V3234" s="4"/>
      <c r="W3234" s="4"/>
      <c r="X3234" s="4"/>
    </row>
    <row r="3235" spans="17:24" x14ac:dyDescent="0.3">
      <c r="Q3235" s="4"/>
      <c r="R3235" s="4"/>
      <c r="S3235" s="4"/>
      <c r="T3235" s="4"/>
      <c r="U3235" s="4"/>
      <c r="V3235" s="4"/>
      <c r="W3235" s="4"/>
      <c r="X3235" s="4"/>
    </row>
    <row r="3236" spans="17:24" x14ac:dyDescent="0.3">
      <c r="Q3236" s="4"/>
      <c r="R3236" s="4"/>
      <c r="S3236" s="4"/>
      <c r="T3236" s="4"/>
      <c r="U3236" s="4"/>
      <c r="V3236" s="4"/>
      <c r="W3236" s="4"/>
      <c r="X3236" s="4"/>
    </row>
    <row r="3237" spans="17:24" x14ac:dyDescent="0.3">
      <c r="Q3237" s="4"/>
      <c r="R3237" s="4"/>
      <c r="S3237" s="4"/>
      <c r="T3237" s="4"/>
      <c r="U3237" s="4"/>
      <c r="V3237" s="4"/>
      <c r="W3237" s="4"/>
      <c r="X3237" s="4"/>
    </row>
    <row r="3238" spans="17:24" x14ac:dyDescent="0.3">
      <c r="Q3238" s="4"/>
      <c r="R3238" s="4"/>
      <c r="S3238" s="4"/>
      <c r="T3238" s="4"/>
      <c r="U3238" s="4"/>
      <c r="V3238" s="4"/>
      <c r="W3238" s="4"/>
      <c r="X3238" s="4"/>
    </row>
    <row r="3239" spans="17:24" x14ac:dyDescent="0.3">
      <c r="Q3239" s="4"/>
      <c r="R3239" s="4"/>
      <c r="S3239" s="4"/>
      <c r="T3239" s="4"/>
      <c r="U3239" s="4"/>
      <c r="V3239" s="4"/>
      <c r="W3239" s="4"/>
      <c r="X3239" s="4"/>
    </row>
    <row r="3240" spans="17:24" x14ac:dyDescent="0.3">
      <c r="Q3240" s="4"/>
      <c r="R3240" s="4"/>
      <c r="S3240" s="4"/>
      <c r="T3240" s="4"/>
      <c r="U3240" s="4"/>
      <c r="V3240" s="4"/>
      <c r="W3240" s="4"/>
      <c r="X3240" s="4"/>
    </row>
    <row r="3241" spans="17:24" x14ac:dyDescent="0.3">
      <c r="Q3241" s="4"/>
      <c r="R3241" s="4"/>
      <c r="S3241" s="4"/>
      <c r="T3241" s="4"/>
      <c r="U3241" s="4"/>
      <c r="V3241" s="4"/>
      <c r="W3241" s="4"/>
      <c r="X3241" s="4"/>
    </row>
    <row r="3242" spans="17:24" x14ac:dyDescent="0.3">
      <c r="Q3242" s="4"/>
      <c r="R3242" s="4"/>
      <c r="S3242" s="4"/>
      <c r="T3242" s="4"/>
      <c r="U3242" s="4"/>
      <c r="V3242" s="4"/>
      <c r="W3242" s="4"/>
      <c r="X3242" s="4"/>
    </row>
    <row r="3243" spans="17:24" x14ac:dyDescent="0.3">
      <c r="Q3243" s="4"/>
      <c r="R3243" s="4"/>
      <c r="S3243" s="4"/>
      <c r="T3243" s="4"/>
      <c r="U3243" s="4"/>
      <c r="V3243" s="4"/>
      <c r="W3243" s="4"/>
      <c r="X3243" s="4"/>
    </row>
    <row r="3244" spans="17:24" x14ac:dyDescent="0.3">
      <c r="Q3244" s="4"/>
      <c r="R3244" s="4"/>
      <c r="S3244" s="4"/>
      <c r="T3244" s="4"/>
      <c r="U3244" s="4"/>
      <c r="V3244" s="4"/>
      <c r="W3244" s="4"/>
      <c r="X3244" s="4"/>
    </row>
    <row r="3245" spans="17:24" x14ac:dyDescent="0.3">
      <c r="Q3245" s="4"/>
      <c r="R3245" s="4"/>
      <c r="S3245" s="4"/>
      <c r="T3245" s="4"/>
      <c r="U3245" s="4"/>
      <c r="V3245" s="4"/>
      <c r="W3245" s="4"/>
      <c r="X3245" s="4"/>
    </row>
    <row r="3246" spans="17:24" x14ac:dyDescent="0.3">
      <c r="Q3246" s="4"/>
      <c r="R3246" s="4"/>
      <c r="S3246" s="4"/>
      <c r="T3246" s="4"/>
      <c r="U3246" s="4"/>
      <c r="V3246" s="4"/>
      <c r="W3246" s="4"/>
      <c r="X3246" s="4"/>
    </row>
    <row r="3247" spans="17:24" x14ac:dyDescent="0.3">
      <c r="Q3247" s="4"/>
      <c r="R3247" s="4"/>
      <c r="S3247" s="4"/>
      <c r="T3247" s="4"/>
      <c r="U3247" s="4"/>
      <c r="V3247" s="4"/>
      <c r="W3247" s="4"/>
      <c r="X3247" s="4"/>
    </row>
    <row r="3248" spans="17:24" x14ac:dyDescent="0.3">
      <c r="Q3248" s="4"/>
      <c r="R3248" s="4"/>
      <c r="S3248" s="4"/>
      <c r="T3248" s="4"/>
      <c r="U3248" s="4"/>
      <c r="V3248" s="4"/>
      <c r="W3248" s="4"/>
      <c r="X3248" s="4"/>
    </row>
    <row r="3249" spans="17:24" x14ac:dyDescent="0.3">
      <c r="Q3249" s="4"/>
      <c r="R3249" s="4"/>
      <c r="S3249" s="4"/>
      <c r="T3249" s="4"/>
      <c r="U3249" s="4"/>
      <c r="V3249" s="4"/>
      <c r="W3249" s="4"/>
      <c r="X3249" s="4"/>
    </row>
    <row r="3250" spans="17:24" x14ac:dyDescent="0.3">
      <c r="Q3250" s="4"/>
      <c r="R3250" s="4"/>
      <c r="S3250" s="4"/>
      <c r="T3250" s="4"/>
      <c r="U3250" s="4"/>
      <c r="V3250" s="4"/>
      <c r="W3250" s="4"/>
      <c r="X3250" s="4"/>
    </row>
    <row r="3251" spans="17:24" x14ac:dyDescent="0.3">
      <c r="Q3251" s="4"/>
      <c r="R3251" s="4"/>
      <c r="S3251" s="4"/>
      <c r="T3251" s="4"/>
      <c r="U3251" s="4"/>
      <c r="V3251" s="4"/>
      <c r="W3251" s="4"/>
      <c r="X3251" s="4"/>
    </row>
    <row r="3252" spans="17:24" x14ac:dyDescent="0.3">
      <c r="Q3252" s="4"/>
      <c r="R3252" s="4"/>
      <c r="S3252" s="4"/>
      <c r="T3252" s="4"/>
      <c r="U3252" s="4"/>
      <c r="V3252" s="4"/>
      <c r="W3252" s="4"/>
      <c r="X3252" s="4"/>
    </row>
    <row r="3253" spans="17:24" x14ac:dyDescent="0.3">
      <c r="Q3253" s="4"/>
      <c r="R3253" s="4"/>
      <c r="S3253" s="4"/>
      <c r="T3253" s="4"/>
      <c r="U3253" s="4"/>
      <c r="V3253" s="4"/>
      <c r="W3253" s="4"/>
      <c r="X3253" s="4"/>
    </row>
    <row r="3254" spans="17:24" x14ac:dyDescent="0.3">
      <c r="Q3254" s="4"/>
      <c r="R3254" s="4"/>
      <c r="S3254" s="4"/>
      <c r="T3254" s="4"/>
      <c r="U3254" s="4"/>
      <c r="V3254" s="4"/>
      <c r="W3254" s="4"/>
      <c r="X3254" s="4"/>
    </row>
    <row r="3255" spans="17:24" x14ac:dyDescent="0.3">
      <c r="Q3255" s="4"/>
      <c r="R3255" s="4"/>
      <c r="S3255" s="4"/>
      <c r="T3255" s="4"/>
      <c r="U3255" s="4"/>
      <c r="V3255" s="4"/>
      <c r="W3255" s="4"/>
      <c r="X3255" s="4"/>
    </row>
    <row r="3256" spans="17:24" x14ac:dyDescent="0.3">
      <c r="Q3256" s="4"/>
      <c r="R3256" s="4"/>
      <c r="S3256" s="4"/>
      <c r="T3256" s="4"/>
      <c r="U3256" s="4"/>
      <c r="V3256" s="4"/>
      <c r="W3256" s="4"/>
      <c r="X3256" s="4"/>
    </row>
    <row r="3257" spans="17:24" x14ac:dyDescent="0.3">
      <c r="Q3257" s="4"/>
      <c r="R3257" s="4"/>
      <c r="S3257" s="4"/>
      <c r="T3257" s="4"/>
      <c r="U3257" s="4"/>
      <c r="V3257" s="4"/>
      <c r="W3257" s="4"/>
      <c r="X3257" s="4"/>
    </row>
    <row r="3258" spans="17:24" x14ac:dyDescent="0.3">
      <c r="Q3258" s="4"/>
      <c r="R3258" s="4"/>
      <c r="S3258" s="4"/>
      <c r="T3258" s="4"/>
      <c r="U3258" s="4"/>
      <c r="V3258" s="4"/>
      <c r="W3258" s="4"/>
      <c r="X3258" s="4"/>
    </row>
    <row r="3259" spans="17:24" x14ac:dyDescent="0.3">
      <c r="Q3259" s="4"/>
      <c r="R3259" s="4"/>
      <c r="S3259" s="4"/>
      <c r="T3259" s="4"/>
      <c r="U3259" s="4"/>
      <c r="V3259" s="4"/>
      <c r="W3259" s="4"/>
      <c r="X3259" s="4"/>
    </row>
    <row r="3260" spans="17:24" x14ac:dyDescent="0.3">
      <c r="Q3260" s="4"/>
      <c r="R3260" s="4"/>
      <c r="S3260" s="4"/>
      <c r="T3260" s="4"/>
      <c r="U3260" s="4"/>
      <c r="V3260" s="4"/>
      <c r="W3260" s="4"/>
      <c r="X3260" s="4"/>
    </row>
    <row r="3261" spans="17:24" x14ac:dyDescent="0.3">
      <c r="Q3261" s="4"/>
      <c r="R3261" s="4"/>
      <c r="S3261" s="4"/>
      <c r="T3261" s="4"/>
      <c r="U3261" s="4"/>
      <c r="V3261" s="4"/>
      <c r="W3261" s="4"/>
      <c r="X3261" s="4"/>
    </row>
    <row r="3262" spans="17:24" x14ac:dyDescent="0.3">
      <c r="Q3262" s="4"/>
      <c r="R3262" s="4"/>
      <c r="S3262" s="4"/>
      <c r="T3262" s="4"/>
      <c r="U3262" s="4"/>
      <c r="V3262" s="4"/>
      <c r="W3262" s="4"/>
      <c r="X3262" s="4"/>
    </row>
    <row r="3263" spans="17:24" x14ac:dyDescent="0.3">
      <c r="Q3263" s="4"/>
      <c r="R3263" s="4"/>
      <c r="S3263" s="4"/>
      <c r="T3263" s="4"/>
      <c r="U3263" s="4"/>
      <c r="V3263" s="4"/>
      <c r="W3263" s="4"/>
      <c r="X3263" s="4"/>
    </row>
    <row r="3264" spans="17:24" x14ac:dyDescent="0.3">
      <c r="Q3264" s="4"/>
      <c r="R3264" s="4"/>
      <c r="S3264" s="4"/>
      <c r="T3264" s="4"/>
      <c r="U3264" s="4"/>
      <c r="V3264" s="4"/>
      <c r="W3264" s="4"/>
      <c r="X3264" s="4"/>
    </row>
    <row r="3265" spans="17:24" x14ac:dyDescent="0.3">
      <c r="Q3265" s="4"/>
      <c r="R3265" s="4"/>
      <c r="S3265" s="4"/>
      <c r="T3265" s="4"/>
      <c r="U3265" s="4"/>
      <c r="V3265" s="4"/>
      <c r="W3265" s="4"/>
      <c r="X3265" s="4"/>
    </row>
    <row r="3266" spans="17:24" x14ac:dyDescent="0.3">
      <c r="Q3266" s="4"/>
      <c r="R3266" s="4"/>
      <c r="S3266" s="4"/>
      <c r="T3266" s="4"/>
      <c r="U3266" s="4"/>
      <c r="V3266" s="4"/>
      <c r="W3266" s="4"/>
      <c r="X3266" s="4"/>
    </row>
    <row r="3267" spans="17:24" x14ac:dyDescent="0.3">
      <c r="Q3267" s="4"/>
      <c r="R3267" s="4"/>
      <c r="S3267" s="4"/>
      <c r="T3267" s="4"/>
      <c r="U3267" s="4"/>
      <c r="V3267" s="4"/>
      <c r="W3267" s="4"/>
      <c r="X3267" s="4"/>
    </row>
    <row r="3268" spans="17:24" x14ac:dyDescent="0.3">
      <c r="Q3268" s="4"/>
      <c r="R3268" s="4"/>
      <c r="S3268" s="4"/>
      <c r="T3268" s="4"/>
      <c r="U3268" s="4"/>
      <c r="V3268" s="4"/>
      <c r="W3268" s="4"/>
      <c r="X3268" s="4"/>
    </row>
    <row r="3269" spans="17:24" x14ac:dyDescent="0.3">
      <c r="Q3269" s="4"/>
      <c r="R3269" s="4"/>
      <c r="S3269" s="4"/>
      <c r="T3269" s="4"/>
      <c r="U3269" s="4"/>
      <c r="V3269" s="4"/>
      <c r="W3269" s="4"/>
      <c r="X3269" s="4"/>
    </row>
    <row r="3270" spans="17:24" x14ac:dyDescent="0.3">
      <c r="Q3270" s="4"/>
      <c r="R3270" s="4"/>
      <c r="S3270" s="4"/>
      <c r="T3270" s="4"/>
      <c r="U3270" s="4"/>
      <c r="V3270" s="4"/>
      <c r="W3270" s="4"/>
      <c r="X3270" s="4"/>
    </row>
    <row r="3271" spans="17:24" x14ac:dyDescent="0.3">
      <c r="Q3271" s="4"/>
      <c r="R3271" s="4"/>
      <c r="S3271" s="4"/>
      <c r="T3271" s="4"/>
      <c r="U3271" s="4"/>
      <c r="V3271" s="4"/>
      <c r="W3271" s="4"/>
      <c r="X3271" s="4"/>
    </row>
    <row r="3272" spans="17:24" x14ac:dyDescent="0.3">
      <c r="Q3272" s="4"/>
      <c r="R3272" s="4"/>
      <c r="S3272" s="4"/>
      <c r="T3272" s="4"/>
      <c r="U3272" s="4"/>
      <c r="V3272" s="4"/>
      <c r="W3272" s="4"/>
      <c r="X3272" s="4"/>
    </row>
    <row r="3273" spans="17:24" x14ac:dyDescent="0.3">
      <c r="Q3273" s="4"/>
      <c r="R3273" s="4"/>
      <c r="S3273" s="4"/>
      <c r="T3273" s="4"/>
      <c r="U3273" s="4"/>
      <c r="V3273" s="4"/>
      <c r="W3273" s="4"/>
      <c r="X3273" s="4"/>
    </row>
    <row r="3274" spans="17:24" x14ac:dyDescent="0.3">
      <c r="Q3274" s="4"/>
      <c r="R3274" s="4"/>
      <c r="S3274" s="4"/>
      <c r="T3274" s="4"/>
      <c r="U3274" s="4"/>
      <c r="V3274" s="4"/>
      <c r="W3274" s="4"/>
      <c r="X3274" s="4"/>
    </row>
    <row r="3275" spans="17:24" x14ac:dyDescent="0.3">
      <c r="Q3275" s="4"/>
      <c r="R3275" s="4"/>
      <c r="S3275" s="4"/>
      <c r="T3275" s="4"/>
      <c r="U3275" s="4"/>
      <c r="V3275" s="4"/>
      <c r="W3275" s="4"/>
      <c r="X3275" s="4"/>
    </row>
    <row r="3276" spans="17:24" x14ac:dyDescent="0.3">
      <c r="Q3276" s="4"/>
      <c r="R3276" s="4"/>
      <c r="S3276" s="4"/>
      <c r="T3276" s="4"/>
      <c r="U3276" s="4"/>
      <c r="V3276" s="4"/>
      <c r="W3276" s="4"/>
      <c r="X3276" s="4"/>
    </row>
    <row r="3277" spans="17:24" x14ac:dyDescent="0.3">
      <c r="Q3277" s="4"/>
      <c r="R3277" s="4"/>
      <c r="S3277" s="4"/>
      <c r="T3277" s="4"/>
      <c r="U3277" s="4"/>
      <c r="V3277" s="4"/>
      <c r="W3277" s="4"/>
      <c r="X3277" s="4"/>
    </row>
    <row r="3278" spans="17:24" x14ac:dyDescent="0.3">
      <c r="Q3278" s="4"/>
      <c r="R3278" s="4"/>
      <c r="S3278" s="4"/>
      <c r="T3278" s="4"/>
      <c r="U3278" s="4"/>
      <c r="V3278" s="4"/>
      <c r="W3278" s="4"/>
      <c r="X3278" s="4"/>
    </row>
    <row r="3279" spans="17:24" x14ac:dyDescent="0.3">
      <c r="Q3279" s="4"/>
      <c r="R3279" s="4"/>
      <c r="S3279" s="4"/>
      <c r="T3279" s="4"/>
      <c r="U3279" s="4"/>
      <c r="V3279" s="4"/>
      <c r="W3279" s="4"/>
      <c r="X3279" s="4"/>
    </row>
    <row r="3280" spans="17:24" x14ac:dyDescent="0.3">
      <c r="Q3280" s="4"/>
      <c r="R3280" s="4"/>
      <c r="S3280" s="4"/>
      <c r="T3280" s="4"/>
      <c r="U3280" s="4"/>
      <c r="V3280" s="4"/>
      <c r="W3280" s="4"/>
      <c r="X3280" s="4"/>
    </row>
    <row r="3281" spans="17:24" x14ac:dyDescent="0.3">
      <c r="Q3281" s="4"/>
      <c r="R3281" s="4"/>
      <c r="S3281" s="4"/>
      <c r="T3281" s="4"/>
      <c r="U3281" s="4"/>
      <c r="V3281" s="4"/>
      <c r="W3281" s="4"/>
      <c r="X3281" s="4"/>
    </row>
    <row r="3282" spans="17:24" x14ac:dyDescent="0.3">
      <c r="Q3282" s="4"/>
      <c r="R3282" s="4"/>
      <c r="S3282" s="4"/>
      <c r="T3282" s="4"/>
      <c r="U3282" s="4"/>
      <c r="V3282" s="4"/>
      <c r="W3282" s="4"/>
      <c r="X3282" s="4"/>
    </row>
    <row r="3283" spans="17:24" x14ac:dyDescent="0.3">
      <c r="Q3283" s="4"/>
      <c r="R3283" s="4"/>
      <c r="S3283" s="4"/>
      <c r="T3283" s="4"/>
      <c r="U3283" s="4"/>
      <c r="V3283" s="4"/>
      <c r="W3283" s="4"/>
      <c r="X3283" s="4"/>
    </row>
    <row r="3284" spans="17:24" x14ac:dyDescent="0.3">
      <c r="Q3284" s="4"/>
      <c r="R3284" s="4"/>
      <c r="S3284" s="4"/>
      <c r="T3284" s="4"/>
      <c r="U3284" s="4"/>
      <c r="V3284" s="4"/>
      <c r="W3284" s="4"/>
      <c r="X3284" s="4"/>
    </row>
    <row r="3285" spans="17:24" x14ac:dyDescent="0.3">
      <c r="Q3285" s="4"/>
      <c r="R3285" s="4"/>
      <c r="S3285" s="4"/>
      <c r="T3285" s="4"/>
      <c r="U3285" s="4"/>
      <c r="V3285" s="4"/>
      <c r="W3285" s="4"/>
      <c r="X3285" s="4"/>
    </row>
    <row r="3286" spans="17:24" x14ac:dyDescent="0.3">
      <c r="Q3286" s="4"/>
      <c r="R3286" s="4"/>
      <c r="S3286" s="4"/>
      <c r="T3286" s="4"/>
      <c r="U3286" s="4"/>
      <c r="V3286" s="4"/>
      <c r="W3286" s="4"/>
      <c r="X3286" s="4"/>
    </row>
    <row r="3287" spans="17:24" x14ac:dyDescent="0.3">
      <c r="Q3287" s="4"/>
      <c r="R3287" s="4"/>
      <c r="S3287" s="4"/>
      <c r="T3287" s="4"/>
      <c r="U3287" s="4"/>
      <c r="V3287" s="4"/>
      <c r="W3287" s="4"/>
      <c r="X3287" s="4"/>
    </row>
    <row r="3288" spans="17:24" x14ac:dyDescent="0.3">
      <c r="Q3288" s="4"/>
      <c r="R3288" s="4"/>
      <c r="S3288" s="4"/>
      <c r="T3288" s="4"/>
      <c r="U3288" s="4"/>
      <c r="V3288" s="4"/>
      <c r="W3288" s="4"/>
      <c r="X3288" s="4"/>
    </row>
    <row r="3289" spans="17:24" x14ac:dyDescent="0.3">
      <c r="Q3289" s="4"/>
      <c r="R3289" s="4"/>
      <c r="S3289" s="4"/>
      <c r="T3289" s="4"/>
      <c r="U3289" s="4"/>
      <c r="V3289" s="4"/>
      <c r="W3289" s="4"/>
      <c r="X3289" s="4"/>
    </row>
    <row r="3290" spans="17:24" x14ac:dyDescent="0.3">
      <c r="Q3290" s="4"/>
      <c r="R3290" s="4"/>
      <c r="S3290" s="4"/>
      <c r="T3290" s="4"/>
      <c r="U3290" s="4"/>
      <c r="V3290" s="4"/>
      <c r="W3290" s="4"/>
      <c r="X3290" s="4"/>
    </row>
    <row r="3291" spans="17:24" x14ac:dyDescent="0.3">
      <c r="Q3291" s="4"/>
      <c r="R3291" s="4"/>
      <c r="S3291" s="4"/>
      <c r="T3291" s="4"/>
      <c r="U3291" s="4"/>
      <c r="V3291" s="4"/>
      <c r="W3291" s="4"/>
      <c r="X3291" s="4"/>
    </row>
    <row r="3292" spans="17:24" x14ac:dyDescent="0.3">
      <c r="Q3292" s="4"/>
      <c r="R3292" s="4"/>
      <c r="S3292" s="4"/>
      <c r="T3292" s="4"/>
      <c r="U3292" s="4"/>
      <c r="V3292" s="4"/>
      <c r="W3292" s="4"/>
      <c r="X3292" s="4"/>
    </row>
    <row r="3293" spans="17:24" x14ac:dyDescent="0.3">
      <c r="Q3293" s="4"/>
      <c r="R3293" s="4"/>
      <c r="S3293" s="4"/>
      <c r="T3293" s="4"/>
      <c r="U3293" s="4"/>
      <c r="V3293" s="4"/>
      <c r="W3293" s="4"/>
      <c r="X3293" s="4"/>
    </row>
    <row r="3294" spans="17:24" x14ac:dyDescent="0.3">
      <c r="Q3294" s="4"/>
      <c r="R3294" s="4"/>
      <c r="S3294" s="4"/>
      <c r="T3294" s="4"/>
      <c r="U3294" s="4"/>
      <c r="V3294" s="4"/>
      <c r="W3294" s="4"/>
      <c r="X3294" s="4"/>
    </row>
    <row r="3295" spans="17:24" x14ac:dyDescent="0.3">
      <c r="Q3295" s="4"/>
      <c r="R3295" s="4"/>
      <c r="S3295" s="4"/>
      <c r="T3295" s="4"/>
      <c r="U3295" s="4"/>
      <c r="V3295" s="4"/>
      <c r="W3295" s="4"/>
      <c r="X3295" s="4"/>
    </row>
    <row r="3296" spans="17:24" x14ac:dyDescent="0.3">
      <c r="Q3296" s="4"/>
      <c r="R3296" s="4"/>
      <c r="S3296" s="4"/>
      <c r="T3296" s="4"/>
      <c r="U3296" s="4"/>
      <c r="V3296" s="4"/>
      <c r="W3296" s="4"/>
      <c r="X3296" s="4"/>
    </row>
    <row r="3297" spans="17:24" x14ac:dyDescent="0.3">
      <c r="Q3297" s="4"/>
      <c r="R3297" s="4"/>
      <c r="S3297" s="4"/>
      <c r="T3297" s="4"/>
      <c r="U3297" s="4"/>
      <c r="V3297" s="4"/>
      <c r="W3297" s="4"/>
      <c r="X3297" s="4"/>
    </row>
    <row r="3298" spans="17:24" x14ac:dyDescent="0.3">
      <c r="Q3298" s="4"/>
      <c r="R3298" s="4"/>
      <c r="S3298" s="4"/>
      <c r="T3298" s="4"/>
      <c r="U3298" s="4"/>
      <c r="V3298" s="4"/>
      <c r="W3298" s="4"/>
      <c r="X3298" s="4"/>
    </row>
    <row r="3299" spans="17:24" x14ac:dyDescent="0.3">
      <c r="Q3299" s="4"/>
      <c r="R3299" s="4"/>
      <c r="S3299" s="4"/>
      <c r="T3299" s="4"/>
      <c r="U3299" s="4"/>
      <c r="V3299" s="4"/>
      <c r="W3299" s="4"/>
      <c r="X3299" s="4"/>
    </row>
    <row r="3300" spans="17:24" x14ac:dyDescent="0.3">
      <c r="Q3300" s="4"/>
      <c r="R3300" s="4"/>
      <c r="S3300" s="4"/>
      <c r="T3300" s="4"/>
      <c r="U3300" s="4"/>
      <c r="V3300" s="4"/>
      <c r="W3300" s="4"/>
      <c r="X3300" s="4"/>
    </row>
    <row r="3301" spans="17:24" x14ac:dyDescent="0.3">
      <c r="Q3301" s="4"/>
      <c r="R3301" s="4"/>
      <c r="S3301" s="4"/>
      <c r="T3301" s="4"/>
      <c r="U3301" s="4"/>
      <c r="V3301" s="4"/>
      <c r="W3301" s="4"/>
      <c r="X3301" s="4"/>
    </row>
    <row r="3302" spans="17:24" x14ac:dyDescent="0.3">
      <c r="Q3302" s="4"/>
      <c r="R3302" s="4"/>
      <c r="S3302" s="4"/>
      <c r="T3302" s="4"/>
      <c r="U3302" s="4"/>
      <c r="V3302" s="4"/>
      <c r="W3302" s="4"/>
      <c r="X3302" s="4"/>
    </row>
    <row r="3303" spans="17:24" x14ac:dyDescent="0.3">
      <c r="Q3303" s="4"/>
      <c r="R3303" s="4"/>
      <c r="S3303" s="4"/>
      <c r="T3303" s="4"/>
      <c r="U3303" s="4"/>
      <c r="V3303" s="4"/>
      <c r="W3303" s="4"/>
      <c r="X3303" s="4"/>
    </row>
    <row r="3304" spans="17:24" x14ac:dyDescent="0.3">
      <c r="Q3304" s="4"/>
      <c r="R3304" s="4"/>
      <c r="S3304" s="4"/>
      <c r="T3304" s="4"/>
      <c r="U3304" s="4"/>
      <c r="V3304" s="4"/>
      <c r="W3304" s="4"/>
      <c r="X3304" s="4"/>
    </row>
    <row r="3305" spans="17:24" x14ac:dyDescent="0.3">
      <c r="Q3305" s="4"/>
      <c r="R3305" s="4"/>
      <c r="S3305" s="4"/>
      <c r="T3305" s="4"/>
      <c r="U3305" s="4"/>
      <c r="V3305" s="4"/>
      <c r="W3305" s="4"/>
      <c r="X3305" s="4"/>
    </row>
    <row r="3306" spans="17:24" x14ac:dyDescent="0.3">
      <c r="Q3306" s="4"/>
      <c r="R3306" s="4"/>
      <c r="S3306" s="4"/>
      <c r="T3306" s="4"/>
      <c r="U3306" s="4"/>
      <c r="V3306" s="4"/>
      <c r="W3306" s="4"/>
      <c r="X3306" s="4"/>
    </row>
    <row r="3307" spans="17:24" x14ac:dyDescent="0.3">
      <c r="Q3307" s="4"/>
      <c r="R3307" s="4"/>
      <c r="S3307" s="4"/>
      <c r="T3307" s="4"/>
      <c r="U3307" s="4"/>
      <c r="V3307" s="4"/>
      <c r="W3307" s="4"/>
      <c r="X3307" s="4"/>
    </row>
    <row r="3308" spans="17:24" x14ac:dyDescent="0.3">
      <c r="Q3308" s="4"/>
      <c r="R3308" s="4"/>
      <c r="S3308" s="4"/>
      <c r="T3308" s="4"/>
      <c r="U3308" s="4"/>
      <c r="V3308" s="4"/>
      <c r="W3308" s="4"/>
      <c r="X3308" s="4"/>
    </row>
    <row r="3309" spans="17:24" x14ac:dyDescent="0.3">
      <c r="Q3309" s="4"/>
      <c r="R3309" s="4"/>
      <c r="S3309" s="4"/>
      <c r="T3309" s="4"/>
      <c r="U3309" s="4"/>
      <c r="V3309" s="4"/>
      <c r="W3309" s="4"/>
      <c r="X3309" s="4"/>
    </row>
    <row r="3310" spans="17:24" x14ac:dyDescent="0.3">
      <c r="Q3310" s="4"/>
      <c r="R3310" s="4"/>
      <c r="S3310" s="4"/>
      <c r="T3310" s="4"/>
      <c r="U3310" s="4"/>
      <c r="V3310" s="4"/>
      <c r="W3310" s="4"/>
      <c r="X3310" s="4"/>
    </row>
    <row r="3311" spans="17:24" x14ac:dyDescent="0.3">
      <c r="Q3311" s="4"/>
      <c r="R3311" s="4"/>
      <c r="S3311" s="4"/>
      <c r="T3311" s="4"/>
      <c r="U3311" s="4"/>
      <c r="V3311" s="4"/>
      <c r="W3311" s="4"/>
      <c r="X3311" s="4"/>
    </row>
    <row r="3312" spans="17:24" x14ac:dyDescent="0.3">
      <c r="Q3312" s="4"/>
      <c r="R3312" s="4"/>
      <c r="S3312" s="4"/>
      <c r="T3312" s="4"/>
      <c r="U3312" s="4"/>
      <c r="V3312" s="4"/>
      <c r="W3312" s="4"/>
      <c r="X3312" s="4"/>
    </row>
    <row r="3313" spans="17:24" x14ac:dyDescent="0.3">
      <c r="Q3313" s="4"/>
      <c r="R3313" s="4"/>
      <c r="S3313" s="4"/>
      <c r="T3313" s="4"/>
      <c r="U3313" s="4"/>
      <c r="V3313" s="4"/>
      <c r="W3313" s="4"/>
      <c r="X3313" s="4"/>
    </row>
    <row r="3314" spans="17:24" x14ac:dyDescent="0.3">
      <c r="Q3314" s="4"/>
      <c r="R3314" s="4"/>
      <c r="S3314" s="4"/>
      <c r="T3314" s="4"/>
      <c r="U3314" s="4"/>
      <c r="V3314" s="4"/>
      <c r="W3314" s="4"/>
      <c r="X3314" s="4"/>
    </row>
    <row r="3315" spans="17:24" x14ac:dyDescent="0.3">
      <c r="Q3315" s="4"/>
      <c r="R3315" s="4"/>
      <c r="S3315" s="4"/>
      <c r="T3315" s="4"/>
      <c r="U3315" s="4"/>
      <c r="V3315" s="4"/>
      <c r="W3315" s="4"/>
      <c r="X3315" s="4"/>
    </row>
    <row r="3316" spans="17:24" x14ac:dyDescent="0.3">
      <c r="Q3316" s="4"/>
      <c r="R3316" s="4"/>
      <c r="S3316" s="4"/>
      <c r="T3316" s="4"/>
      <c r="U3316" s="4"/>
      <c r="V3316" s="4"/>
      <c r="W3316" s="4"/>
      <c r="X3316" s="4"/>
    </row>
    <row r="3317" spans="17:24" x14ac:dyDescent="0.3">
      <c r="Q3317" s="4"/>
      <c r="R3317" s="4"/>
      <c r="S3317" s="4"/>
      <c r="T3317" s="4"/>
      <c r="U3317" s="4"/>
      <c r="V3317" s="4"/>
      <c r="W3317" s="4"/>
      <c r="X3317" s="4"/>
    </row>
    <row r="3318" spans="17:24" x14ac:dyDescent="0.3">
      <c r="Q3318" s="4"/>
      <c r="R3318" s="4"/>
      <c r="S3318" s="4"/>
      <c r="T3318" s="4"/>
      <c r="U3318" s="4"/>
      <c r="V3318" s="4"/>
      <c r="W3318" s="4"/>
      <c r="X3318" s="4"/>
    </row>
    <row r="3319" spans="17:24" x14ac:dyDescent="0.3">
      <c r="Q3319" s="4"/>
      <c r="R3319" s="4"/>
      <c r="S3319" s="4"/>
      <c r="T3319" s="4"/>
      <c r="U3319" s="4"/>
      <c r="V3319" s="4"/>
      <c r="W3319" s="4"/>
      <c r="X3319" s="4"/>
    </row>
    <row r="3320" spans="17:24" x14ac:dyDescent="0.3">
      <c r="Q3320" s="4"/>
      <c r="R3320" s="4"/>
      <c r="S3320" s="4"/>
      <c r="T3320" s="4"/>
      <c r="U3320" s="4"/>
      <c r="V3320" s="4"/>
      <c r="W3320" s="4"/>
      <c r="X3320" s="4"/>
    </row>
    <row r="3321" spans="17:24" x14ac:dyDescent="0.3">
      <c r="Q3321" s="4"/>
      <c r="R3321" s="4"/>
      <c r="S3321" s="4"/>
      <c r="T3321" s="4"/>
      <c r="U3321" s="4"/>
      <c r="V3321" s="4"/>
      <c r="W3321" s="4"/>
      <c r="X3321" s="4"/>
    </row>
    <row r="3322" spans="17:24" x14ac:dyDescent="0.3">
      <c r="Q3322" s="4"/>
      <c r="R3322" s="4"/>
      <c r="S3322" s="4"/>
      <c r="T3322" s="4"/>
      <c r="U3322" s="4"/>
      <c r="V3322" s="4"/>
      <c r="W3322" s="4"/>
      <c r="X3322" s="4"/>
    </row>
    <row r="3323" spans="17:24" x14ac:dyDescent="0.3">
      <c r="Q3323" s="4"/>
      <c r="R3323" s="4"/>
      <c r="S3323" s="4"/>
      <c r="T3323" s="4"/>
      <c r="U3323" s="4"/>
      <c r="V3323" s="4"/>
      <c r="W3323" s="4"/>
      <c r="X3323" s="4"/>
    </row>
    <row r="3324" spans="17:24" x14ac:dyDescent="0.3">
      <c r="Q3324" s="4"/>
      <c r="R3324" s="4"/>
      <c r="S3324" s="4"/>
      <c r="T3324" s="4"/>
      <c r="U3324" s="4"/>
      <c r="V3324" s="4"/>
      <c r="W3324" s="4"/>
      <c r="X3324" s="4"/>
    </row>
    <row r="3325" spans="17:24" x14ac:dyDescent="0.3">
      <c r="Q3325" s="4"/>
      <c r="R3325" s="4"/>
      <c r="S3325" s="4"/>
      <c r="T3325" s="4"/>
      <c r="U3325" s="4"/>
      <c r="V3325" s="4"/>
      <c r="W3325" s="4"/>
      <c r="X3325" s="4"/>
    </row>
    <row r="3326" spans="17:24" x14ac:dyDescent="0.3">
      <c r="Q3326" s="4"/>
      <c r="R3326" s="4"/>
      <c r="S3326" s="4"/>
      <c r="T3326" s="4"/>
      <c r="U3326" s="4"/>
      <c r="V3326" s="4"/>
      <c r="W3326" s="4"/>
      <c r="X3326" s="4"/>
    </row>
    <row r="3327" spans="17:24" x14ac:dyDescent="0.3">
      <c r="Q3327" s="4"/>
      <c r="R3327" s="4"/>
      <c r="S3327" s="4"/>
      <c r="T3327" s="4"/>
      <c r="U3327" s="4"/>
      <c r="V3327" s="4"/>
      <c r="W3327" s="4"/>
      <c r="X3327" s="4"/>
    </row>
    <row r="3328" spans="17:24" x14ac:dyDescent="0.3">
      <c r="Q3328" s="4"/>
      <c r="R3328" s="4"/>
      <c r="S3328" s="4"/>
      <c r="T3328" s="4"/>
      <c r="U3328" s="4"/>
      <c r="V3328" s="4"/>
      <c r="W3328" s="4"/>
      <c r="X3328" s="4"/>
    </row>
    <row r="3329" spans="17:24" x14ac:dyDescent="0.3">
      <c r="Q3329" s="4"/>
      <c r="R3329" s="4"/>
      <c r="S3329" s="4"/>
      <c r="T3329" s="4"/>
      <c r="U3329" s="4"/>
      <c r="V3329" s="4"/>
      <c r="W3329" s="4"/>
      <c r="X3329" s="4"/>
    </row>
    <row r="3330" spans="17:24" x14ac:dyDescent="0.3">
      <c r="Q3330" s="4"/>
      <c r="R3330" s="4"/>
      <c r="S3330" s="4"/>
      <c r="T3330" s="4"/>
      <c r="U3330" s="4"/>
      <c r="V3330" s="4"/>
      <c r="W3330" s="4"/>
      <c r="X3330" s="4"/>
    </row>
    <row r="3331" spans="17:24" x14ac:dyDescent="0.3">
      <c r="Q3331" s="4"/>
      <c r="R3331" s="4"/>
      <c r="S3331" s="4"/>
      <c r="T3331" s="4"/>
      <c r="U3331" s="4"/>
      <c r="V3331" s="4"/>
      <c r="W3331" s="4"/>
      <c r="X3331" s="4"/>
    </row>
    <row r="3332" spans="17:24" x14ac:dyDescent="0.3">
      <c r="Q3332" s="4"/>
      <c r="R3332" s="4"/>
      <c r="S3332" s="4"/>
      <c r="T3332" s="4"/>
      <c r="U3332" s="4"/>
      <c r="V3332" s="4"/>
      <c r="W3332" s="4"/>
      <c r="X3332" s="4"/>
    </row>
    <row r="3333" spans="17:24" x14ac:dyDescent="0.3">
      <c r="Q3333" s="4"/>
      <c r="R3333" s="4"/>
      <c r="S3333" s="4"/>
      <c r="T3333" s="4"/>
      <c r="U3333" s="4"/>
      <c r="V3333" s="4"/>
      <c r="W3333" s="4"/>
      <c r="X3333" s="4"/>
    </row>
    <row r="3334" spans="17:24" x14ac:dyDescent="0.3">
      <c r="Q3334" s="4"/>
      <c r="R3334" s="4"/>
      <c r="S3334" s="4"/>
      <c r="T3334" s="4"/>
      <c r="U3334" s="4"/>
      <c r="V3334" s="4"/>
      <c r="W3334" s="4"/>
      <c r="X3334" s="4"/>
    </row>
    <row r="3335" spans="17:24" x14ac:dyDescent="0.3">
      <c r="Q3335" s="4"/>
      <c r="R3335" s="4"/>
      <c r="S3335" s="4"/>
      <c r="T3335" s="4"/>
      <c r="U3335" s="4"/>
      <c r="V3335" s="4"/>
      <c r="W3335" s="4"/>
      <c r="X3335" s="4"/>
    </row>
    <row r="3336" spans="17:24" x14ac:dyDescent="0.3">
      <c r="Q3336" s="4"/>
      <c r="R3336" s="4"/>
      <c r="S3336" s="4"/>
      <c r="T3336" s="4"/>
      <c r="U3336" s="4"/>
      <c r="V3336" s="4"/>
      <c r="W3336" s="4"/>
      <c r="X3336" s="4"/>
    </row>
    <row r="3337" spans="17:24" x14ac:dyDescent="0.3">
      <c r="Q3337" s="4"/>
      <c r="R3337" s="4"/>
      <c r="S3337" s="4"/>
      <c r="T3337" s="4"/>
      <c r="U3337" s="4"/>
      <c r="V3337" s="4"/>
      <c r="W3337" s="4"/>
      <c r="X3337" s="4"/>
    </row>
    <row r="3338" spans="17:24" x14ac:dyDescent="0.3">
      <c r="Q3338" s="4"/>
      <c r="R3338" s="4"/>
      <c r="S3338" s="4"/>
      <c r="T3338" s="4"/>
      <c r="U3338" s="4"/>
      <c r="V3338" s="4"/>
      <c r="W3338" s="4"/>
      <c r="X3338" s="4"/>
    </row>
    <row r="3339" spans="17:24" x14ac:dyDescent="0.3">
      <c r="Q3339" s="4"/>
      <c r="R3339" s="4"/>
      <c r="S3339" s="4"/>
      <c r="T3339" s="4"/>
      <c r="U3339" s="4"/>
      <c r="V3339" s="4"/>
      <c r="W3339" s="4"/>
      <c r="X3339" s="4"/>
    </row>
    <row r="3340" spans="17:24" x14ac:dyDescent="0.3">
      <c r="Q3340" s="4"/>
      <c r="R3340" s="4"/>
      <c r="S3340" s="4"/>
      <c r="T3340" s="4"/>
      <c r="U3340" s="4"/>
      <c r="V3340" s="4"/>
      <c r="W3340" s="4"/>
      <c r="X3340" s="4"/>
    </row>
    <row r="3341" spans="17:24" x14ac:dyDescent="0.3">
      <c r="Q3341" s="4"/>
      <c r="R3341" s="4"/>
      <c r="S3341" s="4"/>
      <c r="T3341" s="4"/>
      <c r="U3341" s="4"/>
      <c r="V3341" s="4"/>
      <c r="W3341" s="4"/>
      <c r="X3341" s="4"/>
    </row>
    <row r="3342" spans="17:24" x14ac:dyDescent="0.3">
      <c r="Q3342" s="4"/>
      <c r="R3342" s="4"/>
      <c r="S3342" s="4"/>
      <c r="T3342" s="4"/>
      <c r="U3342" s="4"/>
      <c r="V3342" s="4"/>
      <c r="W3342" s="4"/>
      <c r="X3342" s="4"/>
    </row>
    <row r="3343" spans="17:24" x14ac:dyDescent="0.3">
      <c r="Q3343" s="4"/>
      <c r="R3343" s="4"/>
      <c r="S3343" s="4"/>
      <c r="T3343" s="4"/>
      <c r="U3343" s="4"/>
      <c r="V3343" s="4"/>
      <c r="W3343" s="4"/>
      <c r="X3343" s="4"/>
    </row>
    <row r="3344" spans="17:24" x14ac:dyDescent="0.3">
      <c r="Q3344" s="4"/>
      <c r="R3344" s="4"/>
      <c r="S3344" s="4"/>
      <c r="T3344" s="4"/>
      <c r="U3344" s="4"/>
      <c r="V3344" s="4"/>
      <c r="W3344" s="4"/>
      <c r="X3344" s="4"/>
    </row>
    <row r="3345" spans="17:24" x14ac:dyDescent="0.3">
      <c r="Q3345" s="4"/>
      <c r="R3345" s="4"/>
      <c r="S3345" s="4"/>
      <c r="T3345" s="4"/>
      <c r="U3345" s="4"/>
      <c r="V3345" s="4"/>
      <c r="W3345" s="4"/>
      <c r="X3345" s="4"/>
    </row>
    <row r="3346" spans="17:24" x14ac:dyDescent="0.3">
      <c r="Q3346" s="4"/>
      <c r="R3346" s="4"/>
      <c r="S3346" s="4"/>
      <c r="T3346" s="4"/>
      <c r="U3346" s="4"/>
      <c r="V3346" s="4"/>
      <c r="W3346" s="4"/>
      <c r="X3346" s="4"/>
    </row>
    <row r="3347" spans="17:24" x14ac:dyDescent="0.3">
      <c r="Q3347" s="4"/>
      <c r="R3347" s="4"/>
      <c r="S3347" s="4"/>
      <c r="T3347" s="4"/>
      <c r="U3347" s="4"/>
      <c r="V3347" s="4"/>
      <c r="W3347" s="4"/>
      <c r="X3347" s="4"/>
    </row>
    <row r="3348" spans="17:24" x14ac:dyDescent="0.3">
      <c r="Q3348" s="4"/>
      <c r="R3348" s="4"/>
      <c r="S3348" s="4"/>
      <c r="T3348" s="4"/>
      <c r="U3348" s="4"/>
      <c r="V3348" s="4"/>
      <c r="W3348" s="4"/>
      <c r="X3348" s="4"/>
    </row>
    <row r="3349" spans="17:24" x14ac:dyDescent="0.3">
      <c r="Q3349" s="4"/>
      <c r="R3349" s="4"/>
      <c r="S3349" s="4"/>
      <c r="T3349" s="4"/>
      <c r="U3349" s="4"/>
      <c r="V3349" s="4"/>
      <c r="W3349" s="4"/>
      <c r="X3349" s="4"/>
    </row>
    <row r="3350" spans="17:24" x14ac:dyDescent="0.3">
      <c r="Q3350" s="4"/>
      <c r="R3350" s="4"/>
      <c r="S3350" s="4"/>
      <c r="T3350" s="4"/>
      <c r="U3350" s="4"/>
      <c r="V3350" s="4"/>
      <c r="W3350" s="4"/>
      <c r="X3350" s="4"/>
    </row>
    <row r="3351" spans="17:24" x14ac:dyDescent="0.3">
      <c r="Q3351" s="4"/>
      <c r="R3351" s="4"/>
      <c r="S3351" s="4"/>
      <c r="T3351" s="4"/>
      <c r="U3351" s="4"/>
      <c r="V3351" s="4"/>
      <c r="W3351" s="4"/>
      <c r="X3351" s="4"/>
    </row>
    <row r="3352" spans="17:24" x14ac:dyDescent="0.3">
      <c r="Q3352" s="4"/>
      <c r="R3352" s="4"/>
      <c r="S3352" s="4"/>
      <c r="T3352" s="4"/>
      <c r="U3352" s="4"/>
      <c r="V3352" s="4"/>
      <c r="W3352" s="4"/>
      <c r="X3352" s="4"/>
    </row>
    <row r="3353" spans="17:24" x14ac:dyDescent="0.3">
      <c r="Q3353" s="4"/>
      <c r="R3353" s="4"/>
      <c r="S3353" s="4"/>
      <c r="T3353" s="4"/>
      <c r="U3353" s="4"/>
      <c r="V3353" s="4"/>
      <c r="W3353" s="4"/>
      <c r="X3353" s="4"/>
    </row>
    <row r="3354" spans="17:24" x14ac:dyDescent="0.3">
      <c r="Q3354" s="4"/>
      <c r="R3354" s="4"/>
      <c r="S3354" s="4"/>
      <c r="T3354" s="4"/>
      <c r="U3354" s="4"/>
      <c r="V3354" s="4"/>
      <c r="W3354" s="4"/>
      <c r="X3354" s="4"/>
    </row>
    <row r="3355" spans="17:24" x14ac:dyDescent="0.3">
      <c r="Q3355" s="4"/>
      <c r="R3355" s="4"/>
      <c r="S3355" s="4"/>
      <c r="T3355" s="4"/>
      <c r="U3355" s="4"/>
      <c r="V3355" s="4"/>
      <c r="W3355" s="4"/>
      <c r="X3355" s="4"/>
    </row>
    <row r="3356" spans="17:24" x14ac:dyDescent="0.3">
      <c r="Q3356" s="4"/>
      <c r="R3356" s="4"/>
      <c r="S3356" s="4"/>
      <c r="T3356" s="4"/>
      <c r="U3356" s="4"/>
      <c r="V3356" s="4"/>
      <c r="W3356" s="4"/>
      <c r="X3356" s="4"/>
    </row>
    <row r="3357" spans="17:24" x14ac:dyDescent="0.3">
      <c r="Q3357" s="4"/>
      <c r="R3357" s="4"/>
      <c r="S3357" s="4"/>
      <c r="T3357" s="4"/>
      <c r="U3357" s="4"/>
      <c r="V3357" s="4"/>
      <c r="W3357" s="4"/>
      <c r="X3357" s="4"/>
    </row>
    <row r="3358" spans="17:24" x14ac:dyDescent="0.3">
      <c r="Q3358" s="4"/>
      <c r="R3358" s="4"/>
      <c r="S3358" s="4"/>
      <c r="T3358" s="4"/>
      <c r="U3358" s="4"/>
      <c r="V3358" s="4"/>
      <c r="W3358" s="4"/>
      <c r="X3358" s="4"/>
    </row>
    <row r="3359" spans="17:24" x14ac:dyDescent="0.3">
      <c r="Q3359" s="4"/>
      <c r="R3359" s="4"/>
      <c r="S3359" s="4"/>
      <c r="T3359" s="4"/>
      <c r="U3359" s="4"/>
      <c r="V3359" s="4"/>
      <c r="W3359" s="4"/>
      <c r="X3359" s="4"/>
    </row>
    <row r="3360" spans="17:24" x14ac:dyDescent="0.3">
      <c r="Q3360" s="4"/>
      <c r="R3360" s="4"/>
      <c r="S3360" s="4"/>
      <c r="T3360" s="4"/>
      <c r="U3360" s="4"/>
      <c r="V3360" s="4"/>
      <c r="W3360" s="4"/>
      <c r="X3360" s="4"/>
    </row>
    <row r="3361" spans="17:24" x14ac:dyDescent="0.3">
      <c r="Q3361" s="4"/>
      <c r="R3361" s="4"/>
      <c r="S3361" s="4"/>
      <c r="T3361" s="4"/>
      <c r="U3361" s="4"/>
      <c r="V3361" s="4"/>
      <c r="W3361" s="4"/>
      <c r="X3361" s="4"/>
    </row>
    <row r="3362" spans="17:24" x14ac:dyDescent="0.3">
      <c r="Q3362" s="4"/>
      <c r="R3362" s="4"/>
      <c r="S3362" s="4"/>
      <c r="T3362" s="4"/>
      <c r="U3362" s="4"/>
      <c r="V3362" s="4"/>
      <c r="W3362" s="4"/>
      <c r="X3362" s="4"/>
    </row>
    <row r="3363" spans="17:24" x14ac:dyDescent="0.3">
      <c r="Q3363" s="4"/>
      <c r="R3363" s="4"/>
      <c r="S3363" s="4"/>
      <c r="T3363" s="4"/>
      <c r="U3363" s="4"/>
      <c r="V3363" s="4"/>
      <c r="W3363" s="4"/>
      <c r="X3363" s="4"/>
    </row>
    <row r="3364" spans="17:24" x14ac:dyDescent="0.3">
      <c r="Q3364" s="4"/>
      <c r="R3364" s="4"/>
      <c r="S3364" s="4"/>
      <c r="T3364" s="4"/>
      <c r="U3364" s="4"/>
      <c r="V3364" s="4"/>
      <c r="W3364" s="4"/>
      <c r="X3364" s="4"/>
    </row>
    <row r="3365" spans="17:24" x14ac:dyDescent="0.3">
      <c r="Q3365" s="4"/>
      <c r="R3365" s="4"/>
      <c r="S3365" s="4"/>
      <c r="T3365" s="4"/>
      <c r="U3365" s="4"/>
      <c r="V3365" s="4"/>
      <c r="W3365" s="4"/>
      <c r="X3365" s="4"/>
    </row>
    <row r="3366" spans="17:24" x14ac:dyDescent="0.3">
      <c r="Q3366" s="4"/>
      <c r="R3366" s="4"/>
      <c r="S3366" s="4"/>
      <c r="T3366" s="4"/>
      <c r="U3366" s="4"/>
      <c r="V3366" s="4"/>
      <c r="W3366" s="4"/>
      <c r="X3366" s="4"/>
    </row>
    <row r="3367" spans="17:24" x14ac:dyDescent="0.3">
      <c r="Q3367" s="4"/>
      <c r="R3367" s="4"/>
      <c r="S3367" s="4"/>
      <c r="T3367" s="4"/>
      <c r="U3367" s="4"/>
      <c r="V3367" s="4"/>
      <c r="W3367" s="4"/>
      <c r="X3367" s="4"/>
    </row>
    <row r="3368" spans="17:24" x14ac:dyDescent="0.3">
      <c r="Q3368" s="4"/>
      <c r="R3368" s="4"/>
      <c r="S3368" s="4"/>
      <c r="T3368" s="4"/>
      <c r="U3368" s="4"/>
      <c r="V3368" s="4"/>
      <c r="W3368" s="4"/>
      <c r="X3368" s="4"/>
    </row>
    <row r="3369" spans="17:24" x14ac:dyDescent="0.3">
      <c r="Q3369" s="4"/>
      <c r="R3369" s="4"/>
      <c r="S3369" s="4"/>
      <c r="T3369" s="4"/>
      <c r="U3369" s="4"/>
      <c r="V3369" s="4"/>
      <c r="W3369" s="4"/>
      <c r="X3369" s="4"/>
    </row>
    <row r="3370" spans="17:24" x14ac:dyDescent="0.3">
      <c r="Q3370" s="4"/>
      <c r="R3370" s="4"/>
      <c r="S3370" s="4"/>
      <c r="T3370" s="4"/>
      <c r="U3370" s="4"/>
      <c r="V3370" s="4"/>
      <c r="W3370" s="4"/>
      <c r="X3370" s="4"/>
    </row>
    <row r="3371" spans="17:24" x14ac:dyDescent="0.3">
      <c r="Q3371" s="4"/>
      <c r="R3371" s="4"/>
      <c r="S3371" s="4"/>
      <c r="T3371" s="4"/>
      <c r="U3371" s="4"/>
      <c r="V3371" s="4"/>
      <c r="W3371" s="4"/>
      <c r="X3371" s="4"/>
    </row>
    <row r="3372" spans="17:24" x14ac:dyDescent="0.3">
      <c r="Q3372" s="4"/>
      <c r="R3372" s="4"/>
      <c r="S3372" s="4"/>
      <c r="T3372" s="4"/>
      <c r="U3372" s="4"/>
      <c r="V3372" s="4"/>
      <c r="W3372" s="4"/>
      <c r="X3372" s="4"/>
    </row>
    <row r="3373" spans="17:24" x14ac:dyDescent="0.3">
      <c r="Q3373" s="4"/>
      <c r="R3373" s="4"/>
      <c r="S3373" s="4"/>
      <c r="T3373" s="4"/>
      <c r="U3373" s="4"/>
      <c r="V3373" s="4"/>
      <c r="W3373" s="4"/>
      <c r="X3373" s="4"/>
    </row>
    <row r="3374" spans="17:24" x14ac:dyDescent="0.3">
      <c r="Q3374" s="4"/>
      <c r="R3374" s="4"/>
      <c r="S3374" s="4"/>
      <c r="T3374" s="4"/>
      <c r="U3374" s="4"/>
      <c r="V3374" s="4"/>
      <c r="W3374" s="4"/>
      <c r="X3374" s="4"/>
    </row>
    <row r="3375" spans="17:24" x14ac:dyDescent="0.3">
      <c r="Q3375" s="4"/>
      <c r="R3375" s="4"/>
      <c r="S3375" s="4"/>
      <c r="T3375" s="4"/>
      <c r="U3375" s="4"/>
      <c r="V3375" s="4"/>
      <c r="W3375" s="4"/>
      <c r="X3375" s="4"/>
    </row>
    <row r="3376" spans="17:24" x14ac:dyDescent="0.3">
      <c r="Q3376" s="4"/>
      <c r="R3376" s="4"/>
      <c r="S3376" s="4"/>
      <c r="T3376" s="4"/>
      <c r="U3376" s="4"/>
      <c r="V3376" s="4"/>
      <c r="W3376" s="4"/>
      <c r="X3376" s="4"/>
    </row>
    <row r="3377" spans="17:24" x14ac:dyDescent="0.3">
      <c r="Q3377" s="4"/>
      <c r="R3377" s="4"/>
      <c r="S3377" s="4"/>
      <c r="T3377" s="4"/>
      <c r="U3377" s="4"/>
      <c r="V3377" s="4"/>
      <c r="W3377" s="4"/>
      <c r="X3377" s="4"/>
    </row>
    <row r="3378" spans="17:24" x14ac:dyDescent="0.3">
      <c r="Q3378" s="4"/>
      <c r="R3378" s="4"/>
      <c r="S3378" s="4"/>
      <c r="T3378" s="4"/>
      <c r="U3378" s="4"/>
      <c r="V3378" s="4"/>
      <c r="W3378" s="4"/>
      <c r="X3378" s="4"/>
    </row>
    <row r="3379" spans="17:24" x14ac:dyDescent="0.3">
      <c r="Q3379" s="4"/>
      <c r="R3379" s="4"/>
      <c r="S3379" s="4"/>
      <c r="T3379" s="4"/>
      <c r="U3379" s="4"/>
      <c r="V3379" s="4"/>
      <c r="W3379" s="4"/>
      <c r="X3379" s="4"/>
    </row>
    <row r="3380" spans="17:24" x14ac:dyDescent="0.3">
      <c r="Q3380" s="4"/>
      <c r="R3380" s="4"/>
      <c r="S3380" s="4"/>
      <c r="T3380" s="4"/>
      <c r="U3380" s="4"/>
      <c r="V3380" s="4"/>
      <c r="W3380" s="4"/>
      <c r="X3380" s="4"/>
    </row>
    <row r="3381" spans="17:24" x14ac:dyDescent="0.3">
      <c r="Q3381" s="4"/>
      <c r="R3381" s="4"/>
      <c r="S3381" s="4"/>
      <c r="T3381" s="4"/>
      <c r="U3381" s="4"/>
      <c r="V3381" s="4"/>
      <c r="W3381" s="4"/>
      <c r="X3381" s="4"/>
    </row>
    <row r="3382" spans="17:24" x14ac:dyDescent="0.3">
      <c r="Q3382" s="4"/>
      <c r="R3382" s="4"/>
      <c r="S3382" s="4"/>
      <c r="T3382" s="4"/>
      <c r="U3382" s="4"/>
      <c r="V3382" s="4"/>
      <c r="W3382" s="4"/>
      <c r="X3382" s="4"/>
    </row>
    <row r="3383" spans="17:24" x14ac:dyDescent="0.3">
      <c r="Q3383" s="4"/>
      <c r="R3383" s="4"/>
      <c r="S3383" s="4"/>
      <c r="T3383" s="4"/>
      <c r="U3383" s="4"/>
      <c r="V3383" s="4"/>
      <c r="W3383" s="4"/>
      <c r="X3383" s="4"/>
    </row>
    <row r="3384" spans="17:24" x14ac:dyDescent="0.3">
      <c r="Q3384" s="4"/>
      <c r="R3384" s="4"/>
      <c r="S3384" s="4"/>
      <c r="T3384" s="4"/>
      <c r="U3384" s="4"/>
      <c r="V3384" s="4"/>
      <c r="W3384" s="4"/>
      <c r="X3384" s="4"/>
    </row>
    <row r="3385" spans="17:24" x14ac:dyDescent="0.3">
      <c r="Q3385" s="4"/>
      <c r="R3385" s="4"/>
      <c r="S3385" s="4"/>
      <c r="T3385" s="4"/>
      <c r="U3385" s="4"/>
      <c r="V3385" s="4"/>
      <c r="W3385" s="4"/>
      <c r="X3385" s="4"/>
    </row>
    <row r="3386" spans="17:24" x14ac:dyDescent="0.3">
      <c r="Q3386" s="4"/>
      <c r="R3386" s="4"/>
      <c r="S3386" s="4"/>
      <c r="T3386" s="4"/>
      <c r="U3386" s="4"/>
      <c r="V3386" s="4"/>
      <c r="W3386" s="4"/>
      <c r="X3386" s="4"/>
    </row>
    <row r="3387" spans="17:24" x14ac:dyDescent="0.3">
      <c r="Q3387" s="4"/>
      <c r="R3387" s="4"/>
      <c r="S3387" s="4"/>
      <c r="T3387" s="4"/>
      <c r="U3387" s="4"/>
      <c r="V3387" s="4"/>
      <c r="W3387" s="4"/>
      <c r="X3387" s="4"/>
    </row>
    <row r="3388" spans="17:24" x14ac:dyDescent="0.3">
      <c r="Q3388" s="4"/>
      <c r="R3388" s="4"/>
      <c r="S3388" s="4"/>
      <c r="T3388" s="4"/>
      <c r="U3388" s="4"/>
      <c r="V3388" s="4"/>
      <c r="W3388" s="4"/>
      <c r="X3388" s="4"/>
    </row>
    <row r="3389" spans="17:24" x14ac:dyDescent="0.3">
      <c r="Q3389" s="4"/>
      <c r="R3389" s="4"/>
      <c r="S3389" s="4"/>
      <c r="T3389" s="4"/>
      <c r="U3389" s="4"/>
      <c r="V3389" s="4"/>
      <c r="W3389" s="4"/>
      <c r="X3389" s="4"/>
    </row>
    <row r="3390" spans="17:24" x14ac:dyDescent="0.3">
      <c r="Q3390" s="4"/>
      <c r="R3390" s="4"/>
      <c r="S3390" s="4"/>
      <c r="T3390" s="4"/>
      <c r="U3390" s="4"/>
      <c r="V3390" s="4"/>
      <c r="W3390" s="4"/>
      <c r="X3390" s="4"/>
    </row>
    <row r="3391" spans="17:24" x14ac:dyDescent="0.3">
      <c r="Q3391" s="4"/>
      <c r="R3391" s="4"/>
      <c r="S3391" s="4"/>
      <c r="T3391" s="4"/>
      <c r="U3391" s="4"/>
      <c r="V3391" s="4"/>
      <c r="W3391" s="4"/>
      <c r="X3391" s="4"/>
    </row>
    <row r="3392" spans="17:24" x14ac:dyDescent="0.3">
      <c r="Q3392" s="4"/>
      <c r="R3392" s="4"/>
      <c r="S3392" s="4"/>
      <c r="T3392" s="4"/>
      <c r="U3392" s="4"/>
      <c r="V3392" s="4"/>
      <c r="W3392" s="4"/>
      <c r="X3392" s="4"/>
    </row>
    <row r="3393" spans="17:24" x14ac:dyDescent="0.3">
      <c r="Q3393" s="4"/>
      <c r="R3393" s="4"/>
      <c r="S3393" s="4"/>
      <c r="T3393" s="4"/>
      <c r="U3393" s="4"/>
      <c r="V3393" s="4"/>
      <c r="W3393" s="4"/>
      <c r="X3393" s="4"/>
    </row>
    <row r="3394" spans="17:24" x14ac:dyDescent="0.3">
      <c r="Q3394" s="4"/>
      <c r="R3394" s="4"/>
      <c r="S3394" s="4"/>
      <c r="T3394" s="4"/>
      <c r="U3394" s="4"/>
      <c r="V3394" s="4"/>
      <c r="W3394" s="4"/>
      <c r="X3394" s="4"/>
    </row>
    <row r="3395" spans="17:24" x14ac:dyDescent="0.3">
      <c r="Q3395" s="4"/>
      <c r="R3395" s="4"/>
      <c r="S3395" s="4"/>
      <c r="T3395" s="4"/>
      <c r="U3395" s="4"/>
      <c r="V3395" s="4"/>
      <c r="W3395" s="4"/>
      <c r="X3395" s="4"/>
    </row>
    <row r="3396" spans="17:24" x14ac:dyDescent="0.3">
      <c r="Q3396" s="4"/>
      <c r="R3396" s="4"/>
      <c r="S3396" s="4"/>
      <c r="T3396" s="4"/>
      <c r="U3396" s="4"/>
      <c r="V3396" s="4"/>
      <c r="W3396" s="4"/>
      <c r="X3396" s="4"/>
    </row>
    <row r="3397" spans="17:24" x14ac:dyDescent="0.3">
      <c r="Q3397" s="4"/>
      <c r="R3397" s="4"/>
      <c r="S3397" s="4"/>
      <c r="T3397" s="4"/>
      <c r="U3397" s="4"/>
      <c r="V3397" s="4"/>
      <c r="W3397" s="4"/>
      <c r="X3397" s="4"/>
    </row>
    <row r="3398" spans="17:24" x14ac:dyDescent="0.3">
      <c r="Q3398" s="4"/>
      <c r="R3398" s="4"/>
      <c r="S3398" s="4"/>
      <c r="T3398" s="4"/>
      <c r="U3398" s="4"/>
      <c r="V3398" s="4"/>
      <c r="W3398" s="4"/>
      <c r="X3398" s="4"/>
    </row>
    <row r="3399" spans="17:24" x14ac:dyDescent="0.3">
      <c r="Q3399" s="4"/>
      <c r="R3399" s="4"/>
      <c r="S3399" s="4"/>
      <c r="T3399" s="4"/>
      <c r="U3399" s="4"/>
      <c r="V3399" s="4"/>
      <c r="W3399" s="4"/>
      <c r="X3399" s="4"/>
    </row>
    <row r="3400" spans="17:24" x14ac:dyDescent="0.3">
      <c r="Q3400" s="4"/>
      <c r="R3400" s="4"/>
      <c r="S3400" s="4"/>
      <c r="T3400" s="4"/>
      <c r="U3400" s="4"/>
      <c r="V3400" s="4"/>
      <c r="W3400" s="4"/>
      <c r="X3400" s="4"/>
    </row>
    <row r="3401" spans="17:24" x14ac:dyDescent="0.3">
      <c r="Q3401" s="4"/>
      <c r="R3401" s="4"/>
      <c r="S3401" s="4"/>
      <c r="T3401" s="4"/>
      <c r="U3401" s="4"/>
      <c r="V3401" s="4"/>
      <c r="W3401" s="4"/>
      <c r="X3401" s="4"/>
    </row>
    <row r="3402" spans="17:24" x14ac:dyDescent="0.3">
      <c r="Q3402" s="4"/>
      <c r="R3402" s="4"/>
      <c r="S3402" s="4"/>
      <c r="T3402" s="4"/>
      <c r="U3402" s="4"/>
      <c r="V3402" s="4"/>
      <c r="W3402" s="4"/>
      <c r="X3402" s="4"/>
    </row>
    <row r="3403" spans="17:24" x14ac:dyDescent="0.3">
      <c r="Q3403" s="4"/>
      <c r="R3403" s="4"/>
      <c r="S3403" s="4"/>
      <c r="T3403" s="4"/>
      <c r="U3403" s="4"/>
      <c r="V3403" s="4"/>
      <c r="W3403" s="4"/>
      <c r="X3403" s="4"/>
    </row>
    <row r="3404" spans="17:24" x14ac:dyDescent="0.3">
      <c r="Q3404" s="4"/>
      <c r="R3404" s="4"/>
      <c r="S3404" s="4"/>
      <c r="T3404" s="4"/>
      <c r="U3404" s="4"/>
      <c r="V3404" s="4"/>
      <c r="W3404" s="4"/>
      <c r="X3404" s="4"/>
    </row>
    <row r="3405" spans="17:24" x14ac:dyDescent="0.3">
      <c r="Q3405" s="4"/>
      <c r="R3405" s="4"/>
      <c r="S3405" s="4"/>
      <c r="T3405" s="4"/>
      <c r="U3405" s="4"/>
      <c r="V3405" s="4"/>
      <c r="W3405" s="4"/>
      <c r="X3405" s="4"/>
    </row>
    <row r="3406" spans="17:24" x14ac:dyDescent="0.3">
      <c r="Q3406" s="4"/>
      <c r="R3406" s="4"/>
      <c r="S3406" s="4"/>
      <c r="T3406" s="4"/>
      <c r="U3406" s="4"/>
      <c r="V3406" s="4"/>
      <c r="W3406" s="4"/>
      <c r="X3406" s="4"/>
    </row>
    <row r="3407" spans="17:24" x14ac:dyDescent="0.3">
      <c r="Q3407" s="4"/>
      <c r="R3407" s="4"/>
      <c r="S3407" s="4"/>
      <c r="T3407" s="4"/>
      <c r="U3407" s="4"/>
      <c r="V3407" s="4"/>
      <c r="W3407" s="4"/>
      <c r="X3407" s="4"/>
    </row>
    <row r="3408" spans="17:24" x14ac:dyDescent="0.3">
      <c r="Q3408" s="4"/>
      <c r="R3408" s="4"/>
      <c r="S3408" s="4"/>
      <c r="T3408" s="4"/>
      <c r="U3408" s="4"/>
      <c r="V3408" s="4"/>
      <c r="W3408" s="4"/>
      <c r="X3408" s="4"/>
    </row>
    <row r="3409" spans="17:24" x14ac:dyDescent="0.3">
      <c r="Q3409" s="4"/>
      <c r="R3409" s="4"/>
      <c r="S3409" s="4"/>
      <c r="T3409" s="4"/>
      <c r="U3409" s="4"/>
      <c r="V3409" s="4"/>
      <c r="W3409" s="4"/>
      <c r="X3409" s="4"/>
    </row>
    <row r="3410" spans="17:24" x14ac:dyDescent="0.3">
      <c r="Q3410" s="4"/>
      <c r="R3410" s="4"/>
      <c r="S3410" s="4"/>
      <c r="T3410" s="4"/>
      <c r="U3410" s="4"/>
      <c r="V3410" s="4"/>
      <c r="W3410" s="4"/>
      <c r="X3410" s="4"/>
    </row>
    <row r="3411" spans="17:24" x14ac:dyDescent="0.3">
      <c r="Q3411" s="4"/>
      <c r="R3411" s="4"/>
      <c r="S3411" s="4"/>
      <c r="T3411" s="4"/>
      <c r="U3411" s="4"/>
      <c r="V3411" s="4"/>
      <c r="W3411" s="4"/>
      <c r="X3411" s="4"/>
    </row>
    <row r="3412" spans="17:24" x14ac:dyDescent="0.3">
      <c r="Q3412" s="4"/>
      <c r="R3412" s="4"/>
      <c r="S3412" s="4"/>
      <c r="T3412" s="4"/>
      <c r="U3412" s="4"/>
      <c r="V3412" s="4"/>
      <c r="W3412" s="4"/>
      <c r="X3412" s="4"/>
    </row>
    <row r="3413" spans="17:24" x14ac:dyDescent="0.3">
      <c r="Q3413" s="4"/>
      <c r="R3413" s="4"/>
      <c r="S3413" s="4"/>
      <c r="T3413" s="4"/>
      <c r="U3413" s="4"/>
      <c r="V3413" s="4"/>
      <c r="W3413" s="4"/>
      <c r="X3413" s="4"/>
    </row>
    <row r="3414" spans="17:24" x14ac:dyDescent="0.3">
      <c r="Q3414" s="4"/>
      <c r="R3414" s="4"/>
      <c r="S3414" s="4"/>
      <c r="T3414" s="4"/>
      <c r="U3414" s="4"/>
      <c r="V3414" s="4"/>
      <c r="W3414" s="4"/>
      <c r="X3414" s="4"/>
    </row>
    <row r="3415" spans="17:24" x14ac:dyDescent="0.3">
      <c r="Q3415" s="4"/>
      <c r="R3415" s="4"/>
      <c r="S3415" s="4"/>
      <c r="T3415" s="4"/>
      <c r="U3415" s="4"/>
      <c r="V3415" s="4"/>
      <c r="W3415" s="4"/>
      <c r="X3415" s="4"/>
    </row>
    <row r="3416" spans="17:24" x14ac:dyDescent="0.3">
      <c r="Q3416" s="4"/>
      <c r="R3416" s="4"/>
      <c r="S3416" s="4"/>
      <c r="T3416" s="4"/>
      <c r="U3416" s="4"/>
      <c r="V3416" s="4"/>
      <c r="W3416" s="4"/>
      <c r="X3416" s="4"/>
    </row>
    <row r="3417" spans="17:24" x14ac:dyDescent="0.3">
      <c r="Q3417" s="4"/>
      <c r="R3417" s="4"/>
      <c r="S3417" s="4"/>
      <c r="T3417" s="4"/>
      <c r="U3417" s="4"/>
      <c r="V3417" s="4"/>
      <c r="W3417" s="4"/>
      <c r="X3417" s="4"/>
    </row>
    <row r="3418" spans="17:24" x14ac:dyDescent="0.3">
      <c r="Q3418" s="4"/>
      <c r="R3418" s="4"/>
      <c r="S3418" s="4"/>
      <c r="T3418" s="4"/>
      <c r="U3418" s="4"/>
      <c r="V3418" s="4"/>
      <c r="W3418" s="4"/>
      <c r="X3418" s="4"/>
    </row>
    <row r="3419" spans="17:24" x14ac:dyDescent="0.3">
      <c r="Q3419" s="4"/>
      <c r="R3419" s="4"/>
      <c r="S3419" s="4"/>
      <c r="T3419" s="4"/>
      <c r="U3419" s="4"/>
      <c r="V3419" s="4"/>
      <c r="W3419" s="4"/>
      <c r="X3419" s="4"/>
    </row>
    <row r="3420" spans="17:24" x14ac:dyDescent="0.3">
      <c r="Q3420" s="4"/>
      <c r="R3420" s="4"/>
      <c r="S3420" s="4"/>
      <c r="T3420" s="4"/>
      <c r="U3420" s="4"/>
      <c r="V3420" s="4"/>
      <c r="W3420" s="4"/>
      <c r="X3420" s="4"/>
    </row>
    <row r="3421" spans="17:24" x14ac:dyDescent="0.3">
      <c r="Q3421" s="4"/>
      <c r="R3421" s="4"/>
      <c r="S3421" s="4"/>
      <c r="T3421" s="4"/>
      <c r="U3421" s="4"/>
      <c r="V3421" s="4"/>
      <c r="W3421" s="4"/>
      <c r="X3421" s="4"/>
    </row>
    <row r="3422" spans="17:24" x14ac:dyDescent="0.3">
      <c r="Q3422" s="4"/>
      <c r="R3422" s="4"/>
      <c r="S3422" s="4"/>
      <c r="T3422" s="4"/>
      <c r="U3422" s="4"/>
      <c r="V3422" s="4"/>
      <c r="W3422" s="4"/>
      <c r="X3422" s="4"/>
    </row>
    <row r="3423" spans="17:24" x14ac:dyDescent="0.3">
      <c r="Q3423" s="4"/>
      <c r="R3423" s="4"/>
      <c r="S3423" s="4"/>
      <c r="T3423" s="4"/>
      <c r="U3423" s="4"/>
      <c r="V3423" s="4"/>
      <c r="W3423" s="4"/>
      <c r="X3423" s="4"/>
    </row>
    <row r="3424" spans="17:24" x14ac:dyDescent="0.3">
      <c r="Q3424" s="4"/>
      <c r="R3424" s="4"/>
      <c r="S3424" s="4"/>
      <c r="T3424" s="4"/>
      <c r="U3424" s="4"/>
      <c r="V3424" s="4"/>
      <c r="W3424" s="4"/>
      <c r="X3424" s="4"/>
    </row>
    <row r="3425" spans="17:24" x14ac:dyDescent="0.3">
      <c r="Q3425" s="4"/>
      <c r="R3425" s="4"/>
      <c r="S3425" s="4"/>
      <c r="T3425" s="4"/>
      <c r="U3425" s="4"/>
      <c r="V3425" s="4"/>
      <c r="W3425" s="4"/>
      <c r="X3425" s="4"/>
    </row>
    <row r="3426" spans="17:24" x14ac:dyDescent="0.3">
      <c r="Q3426" s="4"/>
      <c r="R3426" s="4"/>
      <c r="S3426" s="4"/>
      <c r="T3426" s="4"/>
      <c r="U3426" s="4"/>
      <c r="V3426" s="4"/>
      <c r="W3426" s="4"/>
      <c r="X3426" s="4"/>
    </row>
    <row r="3427" spans="17:24" x14ac:dyDescent="0.3">
      <c r="Q3427" s="4"/>
      <c r="R3427" s="4"/>
      <c r="S3427" s="4"/>
      <c r="T3427" s="4"/>
      <c r="U3427" s="4"/>
      <c r="V3427" s="4"/>
      <c r="W3427" s="4"/>
      <c r="X3427" s="4"/>
    </row>
    <row r="3428" spans="17:24" x14ac:dyDescent="0.3">
      <c r="Q3428" s="4"/>
      <c r="R3428" s="4"/>
      <c r="S3428" s="4"/>
      <c r="T3428" s="4"/>
      <c r="U3428" s="4"/>
      <c r="V3428" s="4"/>
      <c r="W3428" s="4"/>
      <c r="X3428" s="4"/>
    </row>
    <row r="3429" spans="17:24" x14ac:dyDescent="0.3">
      <c r="Q3429" s="4"/>
      <c r="R3429" s="4"/>
      <c r="S3429" s="4"/>
      <c r="T3429" s="4"/>
      <c r="U3429" s="4"/>
      <c r="V3429" s="4"/>
      <c r="W3429" s="4"/>
      <c r="X3429" s="4"/>
    </row>
    <row r="3430" spans="17:24" x14ac:dyDescent="0.3">
      <c r="Q3430" s="4"/>
      <c r="R3430" s="4"/>
      <c r="S3430" s="4"/>
      <c r="T3430" s="4"/>
      <c r="U3430" s="4"/>
      <c r="V3430" s="4"/>
      <c r="W3430" s="4"/>
      <c r="X3430" s="4"/>
    </row>
    <row r="3431" spans="17:24" x14ac:dyDescent="0.3">
      <c r="Q3431" s="4"/>
      <c r="R3431" s="4"/>
      <c r="S3431" s="4"/>
      <c r="T3431" s="4"/>
      <c r="U3431" s="4"/>
      <c r="V3431" s="4"/>
      <c r="W3431" s="4"/>
      <c r="X3431" s="4"/>
    </row>
    <row r="3432" spans="17:24" x14ac:dyDescent="0.3">
      <c r="Q3432" s="4"/>
      <c r="R3432" s="4"/>
      <c r="S3432" s="4"/>
      <c r="T3432" s="4"/>
      <c r="U3432" s="4"/>
      <c r="V3432" s="4"/>
      <c r="W3432" s="4"/>
      <c r="X3432" s="4"/>
    </row>
    <row r="3433" spans="17:24" x14ac:dyDescent="0.3">
      <c r="Q3433" s="4"/>
      <c r="R3433" s="4"/>
      <c r="S3433" s="4"/>
      <c r="T3433" s="4"/>
      <c r="U3433" s="4"/>
      <c r="V3433" s="4"/>
      <c r="W3433" s="4"/>
      <c r="X3433" s="4"/>
    </row>
    <row r="3434" spans="17:24" x14ac:dyDescent="0.3">
      <c r="Q3434" s="4"/>
      <c r="R3434" s="4"/>
      <c r="S3434" s="4"/>
      <c r="T3434" s="4"/>
      <c r="U3434" s="4"/>
      <c r="V3434" s="4"/>
      <c r="W3434" s="4"/>
      <c r="X3434" s="4"/>
    </row>
    <row r="3435" spans="17:24" x14ac:dyDescent="0.3">
      <c r="Q3435" s="4"/>
      <c r="R3435" s="4"/>
      <c r="S3435" s="4"/>
      <c r="T3435" s="4"/>
      <c r="U3435" s="4"/>
      <c r="V3435" s="4"/>
      <c r="W3435" s="4"/>
      <c r="X3435" s="4"/>
    </row>
    <row r="3436" spans="17:24" x14ac:dyDescent="0.3">
      <c r="Q3436" s="4"/>
      <c r="R3436" s="4"/>
      <c r="S3436" s="4"/>
      <c r="T3436" s="4"/>
      <c r="U3436" s="4"/>
      <c r="V3436" s="4"/>
      <c r="W3436" s="4"/>
      <c r="X3436" s="4"/>
    </row>
    <row r="3437" spans="17:24" x14ac:dyDescent="0.3">
      <c r="Q3437" s="4"/>
      <c r="R3437" s="4"/>
      <c r="S3437" s="4"/>
      <c r="T3437" s="4"/>
      <c r="U3437" s="4"/>
      <c r="V3437" s="4"/>
      <c r="W3437" s="4"/>
      <c r="X3437" s="4"/>
    </row>
    <row r="3438" spans="17:24" x14ac:dyDescent="0.3">
      <c r="Q3438" s="4"/>
      <c r="R3438" s="4"/>
      <c r="S3438" s="4"/>
      <c r="T3438" s="4"/>
      <c r="U3438" s="4"/>
      <c r="V3438" s="4"/>
      <c r="W3438" s="4"/>
      <c r="X3438" s="4"/>
    </row>
    <row r="3439" spans="17:24" x14ac:dyDescent="0.3">
      <c r="Q3439" s="4"/>
      <c r="R3439" s="4"/>
      <c r="S3439" s="4"/>
      <c r="T3439" s="4"/>
      <c r="U3439" s="4"/>
      <c r="V3439" s="4"/>
      <c r="W3439" s="4"/>
      <c r="X3439" s="4"/>
    </row>
    <row r="3440" spans="17:24" x14ac:dyDescent="0.3">
      <c r="Q3440" s="4"/>
      <c r="R3440" s="4"/>
      <c r="S3440" s="4"/>
      <c r="T3440" s="4"/>
      <c r="U3440" s="4"/>
      <c r="V3440" s="4"/>
      <c r="W3440" s="4"/>
      <c r="X3440" s="4"/>
    </row>
    <row r="3441" spans="17:24" x14ac:dyDescent="0.3">
      <c r="Q3441" s="4"/>
      <c r="R3441" s="4"/>
      <c r="S3441" s="4"/>
      <c r="T3441" s="4"/>
      <c r="U3441" s="4"/>
      <c r="V3441" s="4"/>
      <c r="W3441" s="4"/>
      <c r="X3441" s="4"/>
    </row>
    <row r="3442" spans="17:24" x14ac:dyDescent="0.3">
      <c r="Q3442" s="4"/>
      <c r="R3442" s="4"/>
      <c r="S3442" s="4"/>
      <c r="T3442" s="4"/>
      <c r="U3442" s="4"/>
      <c r="V3442" s="4"/>
      <c r="W3442" s="4"/>
      <c r="X3442" s="4"/>
    </row>
    <row r="3443" spans="17:24" x14ac:dyDescent="0.3">
      <c r="Q3443" s="4"/>
      <c r="R3443" s="4"/>
      <c r="S3443" s="4"/>
      <c r="T3443" s="4"/>
      <c r="U3443" s="4"/>
      <c r="V3443" s="4"/>
      <c r="W3443" s="4"/>
      <c r="X3443" s="4"/>
    </row>
    <row r="3444" spans="17:24" x14ac:dyDescent="0.3">
      <c r="Q3444" s="4"/>
      <c r="R3444" s="4"/>
      <c r="S3444" s="4"/>
      <c r="T3444" s="4"/>
      <c r="U3444" s="4"/>
      <c r="V3444" s="4"/>
      <c r="W3444" s="4"/>
      <c r="X3444" s="4"/>
    </row>
    <row r="3445" spans="17:24" x14ac:dyDescent="0.3">
      <c r="Q3445" s="4"/>
      <c r="R3445" s="4"/>
      <c r="S3445" s="4"/>
      <c r="T3445" s="4"/>
      <c r="U3445" s="4"/>
      <c r="V3445" s="4"/>
      <c r="W3445" s="4"/>
      <c r="X3445" s="4"/>
    </row>
    <row r="3446" spans="17:24" x14ac:dyDescent="0.3">
      <c r="Q3446" s="4"/>
      <c r="R3446" s="4"/>
      <c r="S3446" s="4"/>
      <c r="T3446" s="4"/>
      <c r="U3446" s="4"/>
      <c r="V3446" s="4"/>
      <c r="W3446" s="4"/>
      <c r="X3446" s="4"/>
    </row>
    <row r="3447" spans="17:24" x14ac:dyDescent="0.3">
      <c r="Q3447" s="4"/>
      <c r="R3447" s="4"/>
      <c r="S3447" s="4"/>
      <c r="T3447" s="4"/>
      <c r="U3447" s="4"/>
      <c r="V3447" s="4"/>
      <c r="W3447" s="4"/>
      <c r="X3447" s="4"/>
    </row>
    <row r="3448" spans="17:24" x14ac:dyDescent="0.3">
      <c r="Q3448" s="4"/>
      <c r="R3448" s="4"/>
      <c r="S3448" s="4"/>
      <c r="T3448" s="4"/>
      <c r="U3448" s="4"/>
      <c r="V3448" s="4"/>
      <c r="W3448" s="4"/>
      <c r="X3448" s="4"/>
    </row>
    <row r="3449" spans="17:24" x14ac:dyDescent="0.3">
      <c r="Q3449" s="4"/>
      <c r="R3449" s="4"/>
      <c r="S3449" s="4"/>
      <c r="T3449" s="4"/>
      <c r="U3449" s="4"/>
      <c r="V3449" s="4"/>
      <c r="W3449" s="4"/>
      <c r="X3449" s="4"/>
    </row>
    <row r="3450" spans="17:24" x14ac:dyDescent="0.3">
      <c r="Q3450" s="4"/>
      <c r="R3450" s="4"/>
      <c r="S3450" s="4"/>
      <c r="T3450" s="4"/>
      <c r="U3450" s="4"/>
      <c r="V3450" s="4"/>
      <c r="W3450" s="4"/>
      <c r="X3450" s="4"/>
    </row>
    <row r="3451" spans="17:24" x14ac:dyDescent="0.3">
      <c r="Q3451" s="4"/>
      <c r="R3451" s="4"/>
      <c r="S3451" s="4"/>
      <c r="T3451" s="4"/>
      <c r="U3451" s="4"/>
      <c r="V3451" s="4"/>
      <c r="W3451" s="4"/>
      <c r="X3451" s="4"/>
    </row>
    <row r="3452" spans="17:24" x14ac:dyDescent="0.3">
      <c r="Q3452" s="4"/>
      <c r="R3452" s="4"/>
      <c r="S3452" s="4"/>
      <c r="T3452" s="4"/>
      <c r="U3452" s="4"/>
      <c r="V3452" s="4"/>
      <c r="W3452" s="4"/>
      <c r="X3452" s="4"/>
    </row>
    <row r="3453" spans="17:24" x14ac:dyDescent="0.3">
      <c r="Q3453" s="4"/>
      <c r="R3453" s="4"/>
      <c r="S3453" s="4"/>
      <c r="T3453" s="4"/>
      <c r="U3453" s="4"/>
      <c r="V3453" s="4"/>
      <c r="W3453" s="4"/>
      <c r="X3453" s="4"/>
    </row>
    <row r="3454" spans="17:24" x14ac:dyDescent="0.3">
      <c r="Q3454" s="4"/>
      <c r="R3454" s="4"/>
      <c r="S3454" s="4"/>
      <c r="T3454" s="4"/>
      <c r="U3454" s="4"/>
      <c r="V3454" s="4"/>
      <c r="W3454" s="4"/>
      <c r="X3454" s="4"/>
    </row>
    <row r="3455" spans="17:24" x14ac:dyDescent="0.3">
      <c r="Q3455" s="4"/>
      <c r="R3455" s="4"/>
      <c r="S3455" s="4"/>
      <c r="T3455" s="4"/>
      <c r="U3455" s="4"/>
      <c r="V3455" s="4"/>
      <c r="W3455" s="4"/>
      <c r="X3455" s="4"/>
    </row>
    <row r="3456" spans="17:24" x14ac:dyDescent="0.3">
      <c r="Q3456" s="4"/>
      <c r="R3456" s="4"/>
      <c r="S3456" s="4"/>
      <c r="T3456" s="4"/>
      <c r="U3456" s="4"/>
      <c r="V3456" s="4"/>
      <c r="W3456" s="4"/>
      <c r="X3456" s="4"/>
    </row>
    <row r="3457" spans="17:24" x14ac:dyDescent="0.3">
      <c r="Q3457" s="4"/>
      <c r="R3457" s="4"/>
      <c r="S3457" s="4"/>
      <c r="T3457" s="4"/>
      <c r="U3457" s="4"/>
      <c r="V3457" s="4"/>
      <c r="W3457" s="4"/>
      <c r="X3457" s="4"/>
    </row>
    <row r="3458" spans="17:24" x14ac:dyDescent="0.3">
      <c r="Q3458" s="4"/>
      <c r="R3458" s="4"/>
      <c r="S3458" s="4"/>
      <c r="T3458" s="4"/>
      <c r="U3458" s="4"/>
      <c r="V3458" s="4"/>
      <c r="W3458" s="4"/>
      <c r="X3458" s="4"/>
    </row>
    <row r="3459" spans="17:24" x14ac:dyDescent="0.3">
      <c r="Q3459" s="4"/>
      <c r="R3459" s="4"/>
      <c r="S3459" s="4"/>
      <c r="T3459" s="4"/>
      <c r="U3459" s="4"/>
      <c r="V3459" s="4"/>
      <c r="W3459" s="4"/>
      <c r="X3459" s="4"/>
    </row>
    <row r="3460" spans="17:24" x14ac:dyDescent="0.3">
      <c r="Q3460" s="4"/>
      <c r="R3460" s="4"/>
      <c r="S3460" s="4"/>
      <c r="T3460" s="4"/>
      <c r="U3460" s="4"/>
      <c r="V3460" s="4"/>
      <c r="W3460" s="4"/>
      <c r="X3460" s="4"/>
    </row>
    <row r="3461" spans="17:24" x14ac:dyDescent="0.3">
      <c r="Q3461" s="4"/>
      <c r="R3461" s="4"/>
      <c r="S3461" s="4"/>
      <c r="T3461" s="4"/>
      <c r="U3461" s="4"/>
      <c r="V3461" s="4"/>
      <c r="W3461" s="4"/>
      <c r="X3461" s="4"/>
    </row>
    <row r="3462" spans="17:24" x14ac:dyDescent="0.3">
      <c r="Q3462" s="4"/>
      <c r="R3462" s="4"/>
      <c r="S3462" s="4"/>
      <c r="T3462" s="4"/>
      <c r="U3462" s="4"/>
      <c r="V3462" s="4"/>
      <c r="W3462" s="4"/>
      <c r="X3462" s="4"/>
    </row>
    <row r="3463" spans="17:24" x14ac:dyDescent="0.3">
      <c r="Q3463" s="4"/>
      <c r="R3463" s="4"/>
      <c r="S3463" s="4"/>
      <c r="T3463" s="4"/>
      <c r="U3463" s="4"/>
      <c r="V3463" s="4"/>
      <c r="W3463" s="4"/>
      <c r="X3463" s="4"/>
    </row>
    <row r="3464" spans="17:24" x14ac:dyDescent="0.3">
      <c r="Q3464" s="4"/>
      <c r="R3464" s="4"/>
      <c r="S3464" s="4"/>
      <c r="T3464" s="4"/>
      <c r="U3464" s="4"/>
      <c r="V3464" s="4"/>
      <c r="W3464" s="4"/>
      <c r="X3464" s="4"/>
    </row>
    <row r="3465" spans="17:24" x14ac:dyDescent="0.3">
      <c r="Q3465" s="4"/>
      <c r="R3465" s="4"/>
      <c r="S3465" s="4"/>
      <c r="T3465" s="4"/>
      <c r="U3465" s="4"/>
      <c r="V3465" s="4"/>
      <c r="W3465" s="4"/>
      <c r="X3465" s="4"/>
    </row>
    <row r="3466" spans="17:24" x14ac:dyDescent="0.3">
      <c r="Q3466" s="4"/>
      <c r="R3466" s="4"/>
      <c r="S3466" s="4"/>
      <c r="T3466" s="4"/>
      <c r="U3466" s="4"/>
      <c r="V3466" s="4"/>
      <c r="W3466" s="4"/>
      <c r="X3466" s="4"/>
    </row>
    <row r="3467" spans="17:24" x14ac:dyDescent="0.3">
      <c r="Q3467" s="4"/>
      <c r="R3467" s="4"/>
      <c r="S3467" s="4"/>
      <c r="T3467" s="4"/>
      <c r="U3467" s="4"/>
      <c r="V3467" s="4"/>
      <c r="W3467" s="4"/>
      <c r="X3467" s="4"/>
    </row>
    <row r="3468" spans="17:24" x14ac:dyDescent="0.3">
      <c r="Q3468" s="4"/>
      <c r="R3468" s="4"/>
      <c r="S3468" s="4"/>
      <c r="T3468" s="4"/>
      <c r="U3468" s="4"/>
      <c r="V3468" s="4"/>
      <c r="W3468" s="4"/>
      <c r="X3468" s="4"/>
    </row>
    <row r="3469" spans="17:24" x14ac:dyDescent="0.3">
      <c r="Q3469" s="4"/>
      <c r="R3469" s="4"/>
      <c r="S3469" s="4"/>
      <c r="T3469" s="4"/>
      <c r="U3469" s="4"/>
      <c r="V3469" s="4"/>
      <c r="W3469" s="4"/>
      <c r="X3469" s="4"/>
    </row>
    <row r="3470" spans="17:24" x14ac:dyDescent="0.3">
      <c r="Q3470" s="4"/>
      <c r="R3470" s="4"/>
      <c r="S3470" s="4"/>
      <c r="T3470" s="4"/>
      <c r="U3470" s="4"/>
      <c r="V3470" s="4"/>
      <c r="W3470" s="4"/>
      <c r="X3470" s="4"/>
    </row>
    <row r="3471" spans="17:24" x14ac:dyDescent="0.3">
      <c r="Q3471" s="4"/>
      <c r="R3471" s="4"/>
      <c r="S3471" s="4"/>
      <c r="T3471" s="4"/>
      <c r="U3471" s="4"/>
      <c r="V3471" s="4"/>
      <c r="W3471" s="4"/>
      <c r="X3471" s="4"/>
    </row>
    <row r="3472" spans="17:24" x14ac:dyDescent="0.3">
      <c r="Q3472" s="4"/>
      <c r="R3472" s="4"/>
      <c r="S3472" s="4"/>
      <c r="T3472" s="4"/>
      <c r="U3472" s="4"/>
      <c r="V3472" s="4"/>
      <c r="W3472" s="4"/>
      <c r="X3472" s="4"/>
    </row>
    <row r="3473" spans="17:24" x14ac:dyDescent="0.3">
      <c r="Q3473" s="4"/>
      <c r="R3473" s="4"/>
      <c r="S3473" s="4"/>
      <c r="T3473" s="4"/>
      <c r="U3473" s="4"/>
      <c r="V3473" s="4"/>
      <c r="W3473" s="4"/>
      <c r="X3473" s="4"/>
    </row>
    <row r="3474" spans="17:24" x14ac:dyDescent="0.3">
      <c r="Q3474" s="4"/>
      <c r="R3474" s="4"/>
      <c r="S3474" s="4"/>
      <c r="T3474" s="4"/>
      <c r="U3474" s="4"/>
      <c r="V3474" s="4"/>
      <c r="W3474" s="4"/>
      <c r="X3474" s="4"/>
    </row>
    <row r="3475" spans="17:24" x14ac:dyDescent="0.3">
      <c r="Q3475" s="4"/>
      <c r="R3475" s="4"/>
      <c r="S3475" s="4"/>
      <c r="T3475" s="4"/>
      <c r="U3475" s="4"/>
      <c r="V3475" s="4"/>
      <c r="W3475" s="4"/>
      <c r="X3475" s="4"/>
    </row>
    <row r="3476" spans="17:24" x14ac:dyDescent="0.3">
      <c r="Q3476" s="4"/>
      <c r="R3476" s="4"/>
      <c r="S3476" s="4"/>
      <c r="T3476" s="4"/>
      <c r="U3476" s="4"/>
      <c r="V3476" s="4"/>
      <c r="W3476" s="4"/>
      <c r="X3476" s="4"/>
    </row>
    <row r="3477" spans="17:24" x14ac:dyDescent="0.3">
      <c r="Q3477" s="4"/>
      <c r="R3477" s="4"/>
      <c r="S3477" s="4"/>
      <c r="T3477" s="4"/>
      <c r="U3477" s="4"/>
      <c r="V3477" s="4"/>
      <c r="W3477" s="4"/>
      <c r="X3477" s="4"/>
    </row>
    <row r="3478" spans="17:24" x14ac:dyDescent="0.3">
      <c r="Q3478" s="4"/>
      <c r="R3478" s="4"/>
      <c r="S3478" s="4"/>
      <c r="T3478" s="4"/>
      <c r="U3478" s="4"/>
      <c r="V3478" s="4"/>
      <c r="W3478" s="4"/>
      <c r="X3478" s="4"/>
    </row>
    <row r="3479" spans="17:24" x14ac:dyDescent="0.3">
      <c r="Q3479" s="4"/>
      <c r="R3479" s="4"/>
      <c r="S3479" s="4"/>
      <c r="T3479" s="4"/>
      <c r="U3479" s="4"/>
      <c r="V3479" s="4"/>
      <c r="W3479" s="4"/>
      <c r="X3479" s="4"/>
    </row>
    <row r="3480" spans="17:24" x14ac:dyDescent="0.3">
      <c r="Q3480" s="4"/>
      <c r="R3480" s="4"/>
      <c r="S3480" s="4"/>
      <c r="T3480" s="4"/>
      <c r="U3480" s="4"/>
      <c r="V3480" s="4"/>
      <c r="W3480" s="4"/>
      <c r="X3480" s="4"/>
    </row>
    <row r="3481" spans="17:24" x14ac:dyDescent="0.3">
      <c r="Q3481" s="4"/>
      <c r="R3481" s="4"/>
      <c r="S3481" s="4"/>
      <c r="T3481" s="4"/>
      <c r="U3481" s="4"/>
      <c r="V3481" s="4"/>
      <c r="W3481" s="4"/>
      <c r="X3481" s="4"/>
    </row>
    <row r="3482" spans="17:24" x14ac:dyDescent="0.3">
      <c r="Q3482" s="4"/>
      <c r="R3482" s="4"/>
      <c r="S3482" s="4"/>
      <c r="T3482" s="4"/>
      <c r="U3482" s="4"/>
      <c r="V3482" s="4"/>
      <c r="W3482" s="4"/>
      <c r="X3482" s="4"/>
    </row>
    <row r="3483" spans="17:24" x14ac:dyDescent="0.3">
      <c r="Q3483" s="4"/>
      <c r="R3483" s="4"/>
      <c r="S3483" s="4"/>
      <c r="T3483" s="4"/>
      <c r="U3483" s="4"/>
      <c r="V3483" s="4"/>
      <c r="W3483" s="4"/>
      <c r="X3483" s="4"/>
    </row>
    <row r="3484" spans="17:24" x14ac:dyDescent="0.3">
      <c r="Q3484" s="4"/>
      <c r="R3484" s="4"/>
      <c r="S3484" s="4"/>
      <c r="T3484" s="4"/>
      <c r="U3484" s="4"/>
      <c r="V3484" s="4"/>
      <c r="W3484" s="4"/>
      <c r="X3484" s="4"/>
    </row>
    <row r="3485" spans="17:24" x14ac:dyDescent="0.3">
      <c r="Q3485" s="4"/>
      <c r="R3485" s="4"/>
      <c r="S3485" s="4"/>
      <c r="T3485" s="4"/>
      <c r="U3485" s="4"/>
      <c r="V3485" s="4"/>
      <c r="W3485" s="4"/>
      <c r="X3485" s="4"/>
    </row>
    <row r="3486" spans="17:24" x14ac:dyDescent="0.3">
      <c r="Q3486" s="4"/>
      <c r="R3486" s="4"/>
      <c r="S3486" s="4"/>
      <c r="T3486" s="4"/>
      <c r="U3486" s="4"/>
      <c r="V3486" s="4"/>
      <c r="W3486" s="4"/>
      <c r="X3486" s="4"/>
    </row>
    <row r="3487" spans="17:24" x14ac:dyDescent="0.3">
      <c r="Q3487" s="4"/>
      <c r="R3487" s="4"/>
      <c r="S3487" s="4"/>
      <c r="T3487" s="4"/>
      <c r="U3487" s="4"/>
      <c r="V3487" s="4"/>
      <c r="W3487" s="4"/>
      <c r="X3487" s="4"/>
    </row>
    <row r="3488" spans="17:24" x14ac:dyDescent="0.3">
      <c r="Q3488" s="4"/>
      <c r="R3488" s="4"/>
      <c r="S3488" s="4"/>
      <c r="T3488" s="4"/>
      <c r="U3488" s="4"/>
      <c r="V3488" s="4"/>
      <c r="W3488" s="4"/>
      <c r="X3488" s="4"/>
    </row>
    <row r="3489" spans="17:24" x14ac:dyDescent="0.3">
      <c r="Q3489" s="4"/>
      <c r="R3489" s="4"/>
      <c r="S3489" s="4"/>
      <c r="T3489" s="4"/>
      <c r="U3489" s="4"/>
      <c r="V3489" s="4"/>
      <c r="W3489" s="4"/>
      <c r="X3489" s="4"/>
    </row>
    <row r="3490" spans="17:24" x14ac:dyDescent="0.3">
      <c r="Q3490" s="4"/>
      <c r="R3490" s="4"/>
      <c r="S3490" s="4"/>
      <c r="T3490" s="4"/>
      <c r="U3490" s="4"/>
      <c r="V3490" s="4"/>
      <c r="W3490" s="4"/>
      <c r="X3490" s="4"/>
    </row>
    <row r="3491" spans="17:24" x14ac:dyDescent="0.3">
      <c r="Q3491" s="4"/>
      <c r="R3491" s="4"/>
      <c r="S3491" s="4"/>
      <c r="T3491" s="4"/>
      <c r="U3491" s="4"/>
      <c r="V3491" s="4"/>
      <c r="W3491" s="4"/>
      <c r="X3491" s="4"/>
    </row>
    <row r="3492" spans="17:24" x14ac:dyDescent="0.3">
      <c r="Q3492" s="4"/>
      <c r="R3492" s="4"/>
      <c r="S3492" s="4"/>
      <c r="T3492" s="4"/>
      <c r="U3492" s="4"/>
      <c r="V3492" s="4"/>
      <c r="W3492" s="4"/>
      <c r="X3492" s="4"/>
    </row>
    <row r="3493" spans="17:24" x14ac:dyDescent="0.3">
      <c r="Q3493" s="4"/>
      <c r="R3493" s="4"/>
      <c r="S3493" s="4"/>
      <c r="T3493" s="4"/>
      <c r="U3493" s="4"/>
      <c r="V3493" s="4"/>
      <c r="W3493" s="4"/>
      <c r="X3493" s="4"/>
    </row>
    <row r="3494" spans="17:24" x14ac:dyDescent="0.3">
      <c r="Q3494" s="4"/>
      <c r="R3494" s="4"/>
      <c r="S3494" s="4"/>
      <c r="T3494" s="4"/>
      <c r="U3494" s="4"/>
      <c r="V3494" s="4"/>
      <c r="W3494" s="4"/>
      <c r="X3494" s="4"/>
    </row>
    <row r="3495" spans="17:24" x14ac:dyDescent="0.3">
      <c r="Q3495" s="4"/>
      <c r="R3495" s="4"/>
      <c r="S3495" s="4"/>
      <c r="T3495" s="4"/>
      <c r="U3495" s="4"/>
      <c r="V3495" s="4"/>
      <c r="W3495" s="4"/>
      <c r="X3495" s="4"/>
    </row>
    <row r="3496" spans="17:24" x14ac:dyDescent="0.3">
      <c r="Q3496" s="4"/>
      <c r="R3496" s="4"/>
      <c r="S3496" s="4"/>
      <c r="T3496" s="4"/>
      <c r="U3496" s="4"/>
      <c r="V3496" s="4"/>
      <c r="W3496" s="4"/>
      <c r="X3496" s="4"/>
    </row>
    <row r="3497" spans="17:24" x14ac:dyDescent="0.3">
      <c r="Q3497" s="4"/>
      <c r="R3497" s="4"/>
      <c r="S3497" s="4"/>
      <c r="T3497" s="4"/>
      <c r="U3497" s="4"/>
      <c r="V3497" s="4"/>
      <c r="W3497" s="4"/>
      <c r="X3497" s="4"/>
    </row>
    <row r="3498" spans="17:24" x14ac:dyDescent="0.3">
      <c r="Q3498" s="4"/>
      <c r="R3498" s="4"/>
      <c r="S3498" s="4"/>
      <c r="T3498" s="4"/>
      <c r="U3498" s="4"/>
      <c r="V3498" s="4"/>
      <c r="W3498" s="4"/>
      <c r="X3498" s="4"/>
    </row>
    <row r="3499" spans="17:24" x14ac:dyDescent="0.3">
      <c r="Q3499" s="4"/>
      <c r="R3499" s="4"/>
      <c r="S3499" s="4"/>
      <c r="T3499" s="4"/>
      <c r="U3499" s="4"/>
      <c r="V3499" s="4"/>
      <c r="W3499" s="4"/>
      <c r="X3499" s="4"/>
    </row>
    <row r="3500" spans="17:24" x14ac:dyDescent="0.3">
      <c r="Q3500" s="4"/>
      <c r="R3500" s="4"/>
      <c r="S3500" s="4"/>
      <c r="T3500" s="4"/>
      <c r="U3500" s="4"/>
      <c r="V3500" s="4"/>
      <c r="W3500" s="4"/>
      <c r="X3500" s="4"/>
    </row>
    <row r="3501" spans="17:24" x14ac:dyDescent="0.3">
      <c r="Q3501" s="4"/>
      <c r="R3501" s="4"/>
      <c r="S3501" s="4"/>
      <c r="T3501" s="4"/>
      <c r="U3501" s="4"/>
      <c r="V3501" s="4"/>
      <c r="W3501" s="4"/>
      <c r="X3501" s="4"/>
    </row>
    <row r="3502" spans="17:24" x14ac:dyDescent="0.3">
      <c r="Q3502" s="4"/>
      <c r="R3502" s="4"/>
      <c r="S3502" s="4"/>
      <c r="T3502" s="4"/>
      <c r="U3502" s="4"/>
      <c r="V3502" s="4"/>
      <c r="W3502" s="4"/>
      <c r="X3502" s="4"/>
    </row>
    <row r="3503" spans="17:24" x14ac:dyDescent="0.3">
      <c r="Q3503" s="4"/>
      <c r="R3503" s="4"/>
      <c r="S3503" s="4"/>
      <c r="T3503" s="4"/>
      <c r="U3503" s="4"/>
      <c r="V3503" s="4"/>
      <c r="W3503" s="4"/>
      <c r="X3503" s="4"/>
    </row>
    <row r="3504" spans="17:24" x14ac:dyDescent="0.3">
      <c r="Q3504" s="4"/>
      <c r="R3504" s="4"/>
      <c r="S3504" s="4"/>
      <c r="T3504" s="4"/>
      <c r="U3504" s="4"/>
      <c r="V3504" s="4"/>
      <c r="W3504" s="4"/>
      <c r="X3504" s="4"/>
    </row>
    <row r="3505" spans="17:24" x14ac:dyDescent="0.3">
      <c r="Q3505" s="4"/>
      <c r="R3505" s="4"/>
      <c r="S3505" s="4"/>
      <c r="T3505" s="4"/>
      <c r="U3505" s="4"/>
      <c r="V3505" s="4"/>
      <c r="W3505" s="4"/>
      <c r="X3505" s="4"/>
    </row>
    <row r="3506" spans="17:24" x14ac:dyDescent="0.3">
      <c r="Q3506" s="4"/>
      <c r="R3506" s="4"/>
      <c r="S3506" s="4"/>
      <c r="T3506" s="4"/>
      <c r="U3506" s="4"/>
      <c r="V3506" s="4"/>
      <c r="W3506" s="4"/>
      <c r="X3506" s="4"/>
    </row>
    <row r="3507" spans="17:24" x14ac:dyDescent="0.3">
      <c r="Q3507" s="4"/>
      <c r="R3507" s="4"/>
      <c r="S3507" s="4"/>
      <c r="T3507" s="4"/>
      <c r="U3507" s="4"/>
      <c r="V3507" s="4"/>
      <c r="W3507" s="4"/>
      <c r="X3507" s="4"/>
    </row>
    <row r="3508" spans="17:24" x14ac:dyDescent="0.3">
      <c r="Q3508" s="4"/>
      <c r="R3508" s="4"/>
      <c r="S3508" s="4"/>
      <c r="T3508" s="4"/>
      <c r="U3508" s="4"/>
      <c r="V3508" s="4"/>
      <c r="W3508" s="4"/>
      <c r="X3508" s="4"/>
    </row>
    <row r="3509" spans="17:24" x14ac:dyDescent="0.3">
      <c r="Q3509" s="4"/>
      <c r="R3509" s="4"/>
      <c r="S3509" s="4"/>
      <c r="T3509" s="4"/>
      <c r="U3509" s="4"/>
      <c r="V3509" s="4"/>
      <c r="W3509" s="4"/>
      <c r="X3509" s="4"/>
    </row>
    <row r="3510" spans="17:24" x14ac:dyDescent="0.3">
      <c r="Q3510" s="4"/>
      <c r="R3510" s="4"/>
      <c r="S3510" s="4"/>
      <c r="T3510" s="4"/>
      <c r="U3510" s="4"/>
      <c r="V3510" s="4"/>
      <c r="W3510" s="4"/>
      <c r="X3510" s="4"/>
    </row>
    <row r="3511" spans="17:24" x14ac:dyDescent="0.3">
      <c r="Q3511" s="4"/>
      <c r="R3511" s="4"/>
      <c r="S3511" s="4"/>
      <c r="T3511" s="4"/>
      <c r="U3511" s="4"/>
      <c r="V3511" s="4"/>
      <c r="W3511" s="4"/>
      <c r="X3511" s="4"/>
    </row>
    <row r="3512" spans="17:24" x14ac:dyDescent="0.3">
      <c r="Q3512" s="4"/>
      <c r="R3512" s="4"/>
      <c r="S3512" s="4"/>
      <c r="T3512" s="4"/>
      <c r="U3512" s="4"/>
      <c r="V3512" s="4"/>
      <c r="W3512" s="4"/>
      <c r="X3512" s="4"/>
    </row>
    <row r="3513" spans="17:24" x14ac:dyDescent="0.3">
      <c r="Q3513" s="4"/>
      <c r="R3513" s="4"/>
      <c r="S3513" s="4"/>
      <c r="T3513" s="4"/>
      <c r="U3513" s="4"/>
      <c r="V3513" s="4"/>
      <c r="W3513" s="4"/>
      <c r="X3513" s="4"/>
    </row>
    <row r="3514" spans="17:24" x14ac:dyDescent="0.3">
      <c r="Q3514" s="4"/>
      <c r="R3514" s="4"/>
      <c r="S3514" s="4"/>
      <c r="T3514" s="4"/>
      <c r="U3514" s="4"/>
      <c r="V3514" s="4"/>
      <c r="W3514" s="4"/>
      <c r="X3514" s="4"/>
    </row>
    <row r="3515" spans="17:24" x14ac:dyDescent="0.3">
      <c r="Q3515" s="4"/>
      <c r="R3515" s="4"/>
      <c r="S3515" s="4"/>
      <c r="T3515" s="4"/>
      <c r="U3515" s="4"/>
      <c r="V3515" s="4"/>
      <c r="W3515" s="4"/>
      <c r="X3515" s="4"/>
    </row>
    <row r="3516" spans="17:24" x14ac:dyDescent="0.3">
      <c r="Q3516" s="4"/>
      <c r="R3516" s="4"/>
      <c r="S3516" s="4"/>
      <c r="T3516" s="4"/>
      <c r="U3516" s="4"/>
      <c r="V3516" s="4"/>
      <c r="W3516" s="4"/>
      <c r="X3516" s="4"/>
    </row>
    <row r="3517" spans="17:24" x14ac:dyDescent="0.3">
      <c r="Q3517" s="4"/>
      <c r="R3517" s="4"/>
      <c r="S3517" s="4"/>
      <c r="T3517" s="4"/>
      <c r="U3517" s="4"/>
      <c r="V3517" s="4"/>
      <c r="W3517" s="4"/>
      <c r="X3517" s="4"/>
    </row>
    <row r="3518" spans="17:24" x14ac:dyDescent="0.3">
      <c r="Q3518" s="4"/>
      <c r="R3518" s="4"/>
      <c r="S3518" s="4"/>
      <c r="T3518" s="4"/>
      <c r="U3518" s="4"/>
      <c r="V3518" s="4"/>
      <c r="W3518" s="4"/>
      <c r="X3518" s="4"/>
    </row>
    <row r="3519" spans="17:24" x14ac:dyDescent="0.3">
      <c r="Q3519" s="4"/>
      <c r="R3519" s="4"/>
      <c r="S3519" s="4"/>
      <c r="T3519" s="4"/>
      <c r="U3519" s="4"/>
      <c r="V3519" s="4"/>
      <c r="W3519" s="4"/>
      <c r="X3519" s="4"/>
    </row>
    <row r="3520" spans="17:24" x14ac:dyDescent="0.3">
      <c r="Q3520" s="4"/>
      <c r="R3520" s="4"/>
      <c r="S3520" s="4"/>
      <c r="T3520" s="4"/>
      <c r="U3520" s="4"/>
      <c r="V3520" s="4"/>
      <c r="W3520" s="4"/>
      <c r="X3520" s="4"/>
    </row>
    <row r="3521" spans="17:24" x14ac:dyDescent="0.3">
      <c r="Q3521" s="4"/>
      <c r="R3521" s="4"/>
      <c r="S3521" s="4"/>
      <c r="T3521" s="4"/>
      <c r="U3521" s="4"/>
      <c r="V3521" s="4"/>
      <c r="W3521" s="4"/>
      <c r="X3521" s="4"/>
    </row>
    <row r="3522" spans="17:24" x14ac:dyDescent="0.3">
      <c r="Q3522" s="4"/>
      <c r="R3522" s="4"/>
      <c r="S3522" s="4"/>
      <c r="T3522" s="4"/>
      <c r="U3522" s="4"/>
      <c r="V3522" s="4"/>
      <c r="W3522" s="4"/>
      <c r="X3522" s="4"/>
    </row>
    <row r="3523" spans="17:24" x14ac:dyDescent="0.3">
      <c r="Q3523" s="4"/>
      <c r="R3523" s="4"/>
      <c r="S3523" s="4"/>
      <c r="T3523" s="4"/>
      <c r="U3523" s="4"/>
      <c r="V3523" s="4"/>
      <c r="W3523" s="4"/>
      <c r="X3523" s="4"/>
    </row>
    <row r="3524" spans="17:24" x14ac:dyDescent="0.3">
      <c r="Q3524" s="4"/>
      <c r="R3524" s="4"/>
      <c r="S3524" s="4"/>
      <c r="T3524" s="4"/>
      <c r="U3524" s="4"/>
      <c r="V3524" s="4"/>
      <c r="W3524" s="4"/>
      <c r="X3524" s="4"/>
    </row>
    <row r="3525" spans="17:24" x14ac:dyDescent="0.3">
      <c r="Q3525" s="4"/>
      <c r="R3525" s="4"/>
      <c r="S3525" s="4"/>
      <c r="T3525" s="4"/>
      <c r="U3525" s="4"/>
      <c r="V3525" s="4"/>
      <c r="W3525" s="4"/>
      <c r="X3525" s="4"/>
    </row>
    <row r="3526" spans="17:24" x14ac:dyDescent="0.3">
      <c r="Q3526" s="4"/>
      <c r="R3526" s="4"/>
      <c r="S3526" s="4"/>
      <c r="T3526" s="4"/>
      <c r="U3526" s="4"/>
      <c r="V3526" s="4"/>
      <c r="W3526" s="4"/>
      <c r="X3526" s="4"/>
    </row>
    <row r="3527" spans="17:24" x14ac:dyDescent="0.3">
      <c r="Q3527" s="4"/>
      <c r="R3527" s="4"/>
      <c r="S3527" s="4"/>
      <c r="T3527" s="4"/>
      <c r="U3527" s="4"/>
      <c r="V3527" s="4"/>
      <c r="W3527" s="4"/>
      <c r="X3527" s="4"/>
    </row>
    <row r="3528" spans="17:24" x14ac:dyDescent="0.3">
      <c r="Q3528" s="4"/>
      <c r="R3528" s="4"/>
      <c r="S3528" s="4"/>
      <c r="T3528" s="4"/>
      <c r="U3528" s="4"/>
      <c r="V3528" s="4"/>
      <c r="W3528" s="4"/>
      <c r="X3528" s="4"/>
    </row>
    <row r="3529" spans="17:24" x14ac:dyDescent="0.3">
      <c r="Q3529" s="4"/>
      <c r="R3529" s="4"/>
      <c r="S3529" s="4"/>
      <c r="T3529" s="4"/>
      <c r="U3529" s="4"/>
      <c r="V3529" s="4"/>
      <c r="W3529" s="4"/>
      <c r="X3529" s="4"/>
    </row>
    <row r="3530" spans="17:24" x14ac:dyDescent="0.3">
      <c r="Q3530" s="4"/>
      <c r="R3530" s="4"/>
      <c r="S3530" s="4"/>
      <c r="T3530" s="4"/>
      <c r="U3530" s="4"/>
      <c r="V3530" s="4"/>
      <c r="W3530" s="4"/>
      <c r="X3530" s="4"/>
    </row>
    <row r="3531" spans="17:24" x14ac:dyDescent="0.3">
      <c r="Q3531" s="4"/>
      <c r="R3531" s="4"/>
      <c r="S3531" s="4"/>
      <c r="T3531" s="4"/>
      <c r="U3531" s="4"/>
      <c r="V3531" s="4"/>
      <c r="W3531" s="4"/>
      <c r="X3531" s="4"/>
    </row>
    <row r="3532" spans="17:24" x14ac:dyDescent="0.3">
      <c r="Q3532" s="4"/>
      <c r="R3532" s="4"/>
      <c r="S3532" s="4"/>
      <c r="T3532" s="4"/>
      <c r="U3532" s="4"/>
      <c r="V3532" s="4"/>
      <c r="W3532" s="4"/>
      <c r="X3532" s="4"/>
    </row>
    <row r="3533" spans="17:24" x14ac:dyDescent="0.3">
      <c r="Q3533" s="4"/>
      <c r="R3533" s="4"/>
      <c r="S3533" s="4"/>
      <c r="T3533" s="4"/>
      <c r="U3533" s="4"/>
      <c r="V3533" s="4"/>
      <c r="W3533" s="4"/>
      <c r="X3533" s="4"/>
    </row>
    <row r="3534" spans="17:24" x14ac:dyDescent="0.3">
      <c r="Q3534" s="4"/>
      <c r="R3534" s="4"/>
      <c r="S3534" s="4"/>
      <c r="T3534" s="4"/>
      <c r="U3534" s="4"/>
      <c r="V3534" s="4"/>
      <c r="W3534" s="4"/>
      <c r="X3534" s="4"/>
    </row>
    <row r="3535" spans="17:24" x14ac:dyDescent="0.3">
      <c r="Q3535" s="4"/>
      <c r="R3535" s="4"/>
      <c r="S3535" s="4"/>
      <c r="T3535" s="4"/>
      <c r="U3535" s="4"/>
      <c r="V3535" s="4"/>
      <c r="W3535" s="4"/>
      <c r="X3535" s="4"/>
    </row>
    <row r="3536" spans="17:24" x14ac:dyDescent="0.3">
      <c r="Q3536" s="4"/>
      <c r="R3536" s="4"/>
      <c r="S3536" s="4"/>
      <c r="T3536" s="4"/>
      <c r="U3536" s="4"/>
      <c r="V3536" s="4"/>
      <c r="W3536" s="4"/>
      <c r="X3536" s="4"/>
    </row>
    <row r="3537" spans="17:24" x14ac:dyDescent="0.3">
      <c r="Q3537" s="4"/>
      <c r="R3537" s="4"/>
      <c r="S3537" s="4"/>
      <c r="T3537" s="4"/>
      <c r="U3537" s="4"/>
      <c r="V3537" s="4"/>
      <c r="W3537" s="4"/>
      <c r="X3537" s="4"/>
    </row>
    <row r="3538" spans="17:24" x14ac:dyDescent="0.3">
      <c r="Q3538" s="4"/>
      <c r="R3538" s="4"/>
      <c r="S3538" s="4"/>
      <c r="T3538" s="4"/>
      <c r="U3538" s="4"/>
      <c r="V3538" s="4"/>
      <c r="W3538" s="4"/>
      <c r="X3538" s="4"/>
    </row>
    <row r="3539" spans="17:24" x14ac:dyDescent="0.3">
      <c r="Q3539" s="4"/>
      <c r="R3539" s="4"/>
      <c r="S3539" s="4"/>
      <c r="T3539" s="4"/>
      <c r="U3539" s="4"/>
      <c r="V3539" s="4"/>
      <c r="W3539" s="4"/>
      <c r="X3539" s="4"/>
    </row>
    <row r="3540" spans="17:24" x14ac:dyDescent="0.3">
      <c r="Q3540" s="4"/>
      <c r="R3540" s="4"/>
      <c r="S3540" s="4"/>
      <c r="T3540" s="4"/>
      <c r="U3540" s="4"/>
      <c r="V3540" s="4"/>
      <c r="W3540" s="4"/>
      <c r="X3540" s="4"/>
    </row>
    <row r="3541" spans="17:24" x14ac:dyDescent="0.3">
      <c r="Q3541" s="4"/>
      <c r="R3541" s="4"/>
      <c r="S3541" s="4"/>
      <c r="T3541" s="4"/>
      <c r="U3541" s="4"/>
      <c r="V3541" s="4"/>
      <c r="W3541" s="4"/>
      <c r="X3541" s="4"/>
    </row>
    <row r="3542" spans="17:24" x14ac:dyDescent="0.3">
      <c r="Q3542" s="4"/>
      <c r="R3542" s="4"/>
      <c r="S3542" s="4"/>
      <c r="T3542" s="4"/>
      <c r="U3542" s="4"/>
      <c r="V3542" s="4"/>
      <c r="W3542" s="4"/>
      <c r="X3542" s="4"/>
    </row>
    <row r="3543" spans="17:24" x14ac:dyDescent="0.3">
      <c r="Q3543" s="4"/>
      <c r="R3543" s="4"/>
      <c r="S3543" s="4"/>
      <c r="T3543" s="4"/>
      <c r="U3543" s="4"/>
      <c r="V3543" s="4"/>
      <c r="W3543" s="4"/>
      <c r="X3543" s="4"/>
    </row>
    <row r="3544" spans="17:24" x14ac:dyDescent="0.3">
      <c r="Q3544" s="4"/>
      <c r="R3544" s="4"/>
      <c r="S3544" s="4"/>
      <c r="T3544" s="4"/>
      <c r="U3544" s="4"/>
      <c r="V3544" s="4"/>
      <c r="W3544" s="4"/>
      <c r="X3544" s="4"/>
    </row>
    <row r="3545" spans="17:24" x14ac:dyDescent="0.3">
      <c r="Q3545" s="4"/>
      <c r="R3545" s="4"/>
      <c r="S3545" s="4"/>
      <c r="T3545" s="4"/>
      <c r="U3545" s="4"/>
      <c r="V3545" s="4"/>
      <c r="W3545" s="4"/>
      <c r="X3545" s="4"/>
    </row>
    <row r="3546" spans="17:24" x14ac:dyDescent="0.3">
      <c r="Q3546" s="4"/>
      <c r="R3546" s="4"/>
      <c r="S3546" s="4"/>
      <c r="T3546" s="4"/>
      <c r="U3546" s="4"/>
      <c r="V3546" s="4"/>
      <c r="W3546" s="4"/>
      <c r="X3546" s="4"/>
    </row>
    <row r="3547" spans="17:24" x14ac:dyDescent="0.3">
      <c r="Q3547" s="4"/>
      <c r="R3547" s="4"/>
      <c r="S3547" s="4"/>
      <c r="T3547" s="4"/>
      <c r="U3547" s="4"/>
      <c r="V3547" s="4"/>
      <c r="W3547" s="4"/>
      <c r="X3547" s="4"/>
    </row>
    <row r="3548" spans="17:24" x14ac:dyDescent="0.3">
      <c r="Q3548" s="4"/>
      <c r="R3548" s="4"/>
      <c r="S3548" s="4"/>
      <c r="T3548" s="4"/>
      <c r="U3548" s="4"/>
      <c r="V3548" s="4"/>
      <c r="W3548" s="4"/>
      <c r="X3548" s="4"/>
    </row>
    <row r="3549" spans="17:24" x14ac:dyDescent="0.3">
      <c r="Q3549" s="4"/>
      <c r="R3549" s="4"/>
      <c r="S3549" s="4"/>
      <c r="T3549" s="4"/>
      <c r="U3549" s="4"/>
      <c r="V3549" s="4"/>
      <c r="W3549" s="4"/>
      <c r="X3549" s="4"/>
    </row>
    <row r="3550" spans="17:24" x14ac:dyDescent="0.3">
      <c r="Q3550" s="4"/>
      <c r="R3550" s="4"/>
      <c r="S3550" s="4"/>
      <c r="T3550" s="4"/>
      <c r="U3550" s="4"/>
      <c r="V3550" s="4"/>
      <c r="W3550" s="4"/>
      <c r="X3550" s="4"/>
    </row>
    <row r="3551" spans="17:24" x14ac:dyDescent="0.3">
      <c r="Q3551" s="4"/>
      <c r="R3551" s="4"/>
      <c r="S3551" s="4"/>
      <c r="T3551" s="4"/>
      <c r="U3551" s="4"/>
      <c r="V3551" s="4"/>
      <c r="W3551" s="4"/>
      <c r="X3551" s="4"/>
    </row>
    <row r="3552" spans="17:24" x14ac:dyDescent="0.3">
      <c r="Q3552" s="4"/>
      <c r="R3552" s="4"/>
      <c r="S3552" s="4"/>
      <c r="T3552" s="4"/>
      <c r="U3552" s="4"/>
      <c r="V3552" s="4"/>
      <c r="W3552" s="4"/>
      <c r="X3552" s="4"/>
    </row>
    <row r="3553" spans="17:24" x14ac:dyDescent="0.3">
      <c r="Q3553" s="4"/>
      <c r="R3553" s="4"/>
      <c r="S3553" s="4"/>
      <c r="T3553" s="4"/>
      <c r="U3553" s="4"/>
      <c r="V3553" s="4"/>
      <c r="W3553" s="4"/>
      <c r="X3553" s="4"/>
    </row>
    <row r="3554" spans="17:24" x14ac:dyDescent="0.3">
      <c r="Q3554" s="4"/>
      <c r="R3554" s="4"/>
      <c r="S3554" s="4"/>
      <c r="T3554" s="4"/>
      <c r="U3554" s="4"/>
      <c r="V3554" s="4"/>
      <c r="W3554" s="4"/>
      <c r="X3554" s="4"/>
    </row>
    <row r="3555" spans="17:24" x14ac:dyDescent="0.3">
      <c r="Q3555" s="4"/>
      <c r="R3555" s="4"/>
      <c r="S3555" s="4"/>
      <c r="T3555" s="4"/>
      <c r="U3555" s="4"/>
      <c r="V3555" s="4"/>
      <c r="W3555" s="4"/>
      <c r="X3555" s="4"/>
    </row>
    <row r="3556" spans="17:24" x14ac:dyDescent="0.3">
      <c r="Q3556" s="4"/>
      <c r="R3556" s="4"/>
      <c r="S3556" s="4"/>
      <c r="T3556" s="4"/>
      <c r="U3556" s="4"/>
      <c r="V3556" s="4"/>
      <c r="W3556" s="4"/>
      <c r="X3556" s="4"/>
    </row>
    <row r="3557" spans="17:24" x14ac:dyDescent="0.3">
      <c r="Q3557" s="4"/>
      <c r="R3557" s="4"/>
      <c r="S3557" s="4"/>
      <c r="T3557" s="4"/>
      <c r="U3557" s="4"/>
      <c r="V3557" s="4"/>
      <c r="W3557" s="4"/>
      <c r="X3557" s="4"/>
    </row>
    <row r="3558" spans="17:24" x14ac:dyDescent="0.3">
      <c r="Q3558" s="4"/>
      <c r="R3558" s="4"/>
      <c r="S3558" s="4"/>
      <c r="T3558" s="4"/>
      <c r="U3558" s="4"/>
      <c r="V3558" s="4"/>
      <c r="W3558" s="4"/>
      <c r="X3558" s="4"/>
    </row>
    <row r="3559" spans="17:24" x14ac:dyDescent="0.3">
      <c r="Q3559" s="4"/>
      <c r="R3559" s="4"/>
      <c r="S3559" s="4"/>
      <c r="T3559" s="4"/>
      <c r="U3559" s="4"/>
      <c r="V3559" s="4"/>
      <c r="W3559" s="4"/>
      <c r="X3559" s="4"/>
    </row>
    <row r="3560" spans="17:24" x14ac:dyDescent="0.3">
      <c r="Q3560" s="4"/>
      <c r="R3560" s="4"/>
      <c r="S3560" s="4"/>
      <c r="T3560" s="4"/>
      <c r="U3560" s="4"/>
      <c r="V3560" s="4"/>
      <c r="W3560" s="4"/>
      <c r="X3560" s="4"/>
    </row>
    <row r="3561" spans="17:24" x14ac:dyDescent="0.3">
      <c r="Q3561" s="4"/>
      <c r="R3561" s="4"/>
      <c r="S3561" s="4"/>
      <c r="T3561" s="4"/>
      <c r="U3561" s="4"/>
      <c r="V3561" s="4"/>
      <c r="W3561" s="4"/>
      <c r="X3561" s="4"/>
    </row>
    <row r="3562" spans="17:24" x14ac:dyDescent="0.3">
      <c r="Q3562" s="4"/>
      <c r="R3562" s="4"/>
      <c r="S3562" s="4"/>
      <c r="T3562" s="4"/>
      <c r="U3562" s="4"/>
      <c r="V3562" s="4"/>
      <c r="W3562" s="4"/>
      <c r="X3562" s="4"/>
    </row>
    <row r="3563" spans="17:24" x14ac:dyDescent="0.3">
      <c r="Q3563" s="4"/>
      <c r="R3563" s="4"/>
      <c r="S3563" s="4"/>
      <c r="T3563" s="4"/>
      <c r="U3563" s="4"/>
      <c r="V3563" s="4"/>
      <c r="W3563" s="4"/>
      <c r="X3563" s="4"/>
    </row>
    <row r="3564" spans="17:24" x14ac:dyDescent="0.3">
      <c r="Q3564" s="4"/>
      <c r="R3564" s="4"/>
      <c r="S3564" s="4"/>
      <c r="T3564" s="4"/>
      <c r="U3564" s="4"/>
      <c r="V3564" s="4"/>
      <c r="W3564" s="4"/>
      <c r="X3564" s="4"/>
    </row>
    <row r="3565" spans="17:24" x14ac:dyDescent="0.3">
      <c r="Q3565" s="4"/>
      <c r="R3565" s="4"/>
      <c r="S3565" s="4"/>
      <c r="T3565" s="4"/>
      <c r="U3565" s="4"/>
      <c r="V3565" s="4"/>
      <c r="W3565" s="4"/>
      <c r="X3565" s="4"/>
    </row>
    <row r="3566" spans="17:24" x14ac:dyDescent="0.3">
      <c r="Q3566" s="4"/>
      <c r="R3566" s="4"/>
      <c r="S3566" s="4"/>
      <c r="T3566" s="4"/>
      <c r="U3566" s="4"/>
      <c r="V3566" s="4"/>
      <c r="W3566" s="4"/>
      <c r="X3566" s="4"/>
    </row>
    <row r="3567" spans="17:24" x14ac:dyDescent="0.3">
      <c r="Q3567" s="4"/>
      <c r="R3567" s="4"/>
      <c r="S3567" s="4"/>
      <c r="T3567" s="4"/>
      <c r="U3567" s="4"/>
      <c r="V3567" s="4"/>
      <c r="W3567" s="4"/>
      <c r="X3567" s="4"/>
    </row>
    <row r="3568" spans="17:24" x14ac:dyDescent="0.3">
      <c r="Q3568" s="4"/>
      <c r="R3568" s="4"/>
      <c r="S3568" s="4"/>
      <c r="T3568" s="4"/>
      <c r="U3568" s="4"/>
      <c r="V3568" s="4"/>
      <c r="W3568" s="4"/>
      <c r="X3568" s="4"/>
    </row>
    <row r="3569" spans="17:24" x14ac:dyDescent="0.3">
      <c r="Q3569" s="4"/>
      <c r="R3569" s="4"/>
      <c r="S3569" s="4"/>
      <c r="T3569" s="4"/>
      <c r="U3569" s="4"/>
      <c r="V3569" s="4"/>
      <c r="W3569" s="4"/>
      <c r="X3569" s="4"/>
    </row>
    <row r="3570" spans="17:24" x14ac:dyDescent="0.3">
      <c r="Q3570" s="4"/>
      <c r="R3570" s="4"/>
      <c r="S3570" s="4"/>
      <c r="T3570" s="4"/>
      <c r="U3570" s="4"/>
      <c r="V3570" s="4"/>
      <c r="W3570" s="4"/>
      <c r="X3570" s="4"/>
    </row>
    <row r="3571" spans="17:24" x14ac:dyDescent="0.3">
      <c r="Q3571" s="4"/>
      <c r="R3571" s="4"/>
      <c r="S3571" s="4"/>
      <c r="T3571" s="4"/>
      <c r="U3571" s="4"/>
      <c r="V3571" s="4"/>
      <c r="W3571" s="4"/>
      <c r="X3571" s="4"/>
    </row>
    <row r="3572" spans="17:24" x14ac:dyDescent="0.3">
      <c r="Q3572" s="4"/>
      <c r="R3572" s="4"/>
      <c r="S3572" s="4"/>
      <c r="T3572" s="4"/>
      <c r="U3572" s="4"/>
      <c r="V3572" s="4"/>
      <c r="W3572" s="4"/>
      <c r="X3572" s="4"/>
    </row>
    <row r="3573" spans="17:24" x14ac:dyDescent="0.3">
      <c r="Q3573" s="4"/>
      <c r="R3573" s="4"/>
      <c r="S3573" s="4"/>
      <c r="T3573" s="4"/>
      <c r="U3573" s="4"/>
      <c r="V3573" s="4"/>
      <c r="W3573" s="4"/>
      <c r="X3573" s="4"/>
    </row>
    <row r="3574" spans="17:24" x14ac:dyDescent="0.3">
      <c r="Q3574" s="4"/>
      <c r="R3574" s="4"/>
      <c r="S3574" s="4"/>
      <c r="T3574" s="4"/>
      <c r="U3574" s="4"/>
      <c r="V3574" s="4"/>
      <c r="W3574" s="4"/>
      <c r="X3574" s="4"/>
    </row>
    <row r="3575" spans="17:24" x14ac:dyDescent="0.3">
      <c r="Q3575" s="4"/>
      <c r="R3575" s="4"/>
      <c r="S3575" s="4"/>
      <c r="T3575" s="4"/>
      <c r="U3575" s="4"/>
      <c r="V3575" s="4"/>
      <c r="W3575" s="4"/>
      <c r="X3575" s="4"/>
    </row>
    <row r="3576" spans="17:24" x14ac:dyDescent="0.3">
      <c r="Q3576" s="4"/>
      <c r="R3576" s="4"/>
      <c r="S3576" s="4"/>
      <c r="T3576" s="4"/>
      <c r="U3576" s="4"/>
      <c r="V3576" s="4"/>
      <c r="W3576" s="4"/>
      <c r="X3576" s="4"/>
    </row>
    <row r="3577" spans="17:24" x14ac:dyDescent="0.3">
      <c r="Q3577" s="4"/>
      <c r="R3577" s="4"/>
      <c r="S3577" s="4"/>
      <c r="T3577" s="4"/>
      <c r="U3577" s="4"/>
      <c r="V3577" s="4"/>
      <c r="W3577" s="4"/>
      <c r="X3577" s="4"/>
    </row>
    <row r="3578" spans="17:24" x14ac:dyDescent="0.3">
      <c r="Q3578" s="4"/>
      <c r="R3578" s="4"/>
      <c r="S3578" s="4"/>
      <c r="T3578" s="4"/>
      <c r="U3578" s="4"/>
      <c r="V3578" s="4"/>
      <c r="W3578" s="4"/>
      <c r="X3578" s="4"/>
    </row>
    <row r="3579" spans="17:24" x14ac:dyDescent="0.3">
      <c r="Q3579" s="4"/>
      <c r="R3579" s="4"/>
      <c r="S3579" s="4"/>
      <c r="T3579" s="4"/>
      <c r="U3579" s="4"/>
      <c r="V3579" s="4"/>
      <c r="W3579" s="4"/>
      <c r="X3579" s="4"/>
    </row>
    <row r="3580" spans="17:24" x14ac:dyDescent="0.3">
      <c r="Q3580" s="4"/>
      <c r="R3580" s="4"/>
      <c r="S3580" s="4"/>
      <c r="T3580" s="4"/>
      <c r="U3580" s="4"/>
      <c r="V3580" s="4"/>
      <c r="W3580" s="4"/>
      <c r="X3580" s="4"/>
    </row>
    <row r="3581" spans="17:24" x14ac:dyDescent="0.3">
      <c r="Q3581" s="4"/>
      <c r="R3581" s="4"/>
      <c r="S3581" s="4"/>
      <c r="T3581" s="4"/>
      <c r="U3581" s="4"/>
      <c r="V3581" s="4"/>
      <c r="W3581" s="4"/>
      <c r="X3581" s="4"/>
    </row>
    <row r="3582" spans="17:24" x14ac:dyDescent="0.3">
      <c r="Q3582" s="4"/>
      <c r="R3582" s="4"/>
      <c r="S3582" s="4"/>
      <c r="T3582" s="4"/>
      <c r="U3582" s="4"/>
      <c r="V3582" s="4"/>
      <c r="W3582" s="4"/>
      <c r="X3582" s="4"/>
    </row>
    <row r="3583" spans="17:24" x14ac:dyDescent="0.3">
      <c r="Q3583" s="4"/>
      <c r="R3583" s="4"/>
      <c r="S3583" s="4"/>
      <c r="T3583" s="4"/>
      <c r="U3583" s="4"/>
      <c r="V3583" s="4"/>
      <c r="W3583" s="4"/>
      <c r="X3583" s="4"/>
    </row>
    <row r="3584" spans="17:24" x14ac:dyDescent="0.3">
      <c r="Q3584" s="4"/>
      <c r="R3584" s="4"/>
      <c r="S3584" s="4"/>
      <c r="T3584" s="4"/>
      <c r="U3584" s="4"/>
      <c r="V3584" s="4"/>
      <c r="W3584" s="4"/>
      <c r="X3584" s="4"/>
    </row>
    <row r="3585" spans="17:24" x14ac:dyDescent="0.3">
      <c r="Q3585" s="4"/>
      <c r="R3585" s="4"/>
      <c r="S3585" s="4"/>
      <c r="T3585" s="4"/>
      <c r="U3585" s="4"/>
      <c r="V3585" s="4"/>
      <c r="W3585" s="4"/>
      <c r="X3585" s="4"/>
    </row>
    <row r="3586" spans="17:24" x14ac:dyDescent="0.3">
      <c r="Q3586" s="4"/>
      <c r="R3586" s="4"/>
      <c r="S3586" s="4"/>
      <c r="T3586" s="4"/>
      <c r="U3586" s="4"/>
      <c r="V3586" s="4"/>
      <c r="W3586" s="4"/>
      <c r="X3586" s="4"/>
    </row>
    <row r="3587" spans="17:24" x14ac:dyDescent="0.3">
      <c r="Q3587" s="4"/>
      <c r="R3587" s="4"/>
      <c r="S3587" s="4"/>
      <c r="T3587" s="4"/>
      <c r="U3587" s="4"/>
      <c r="V3587" s="4"/>
      <c r="W3587" s="4"/>
      <c r="X3587" s="4"/>
    </row>
    <row r="3588" spans="17:24" x14ac:dyDescent="0.3">
      <c r="Q3588" s="4"/>
      <c r="R3588" s="4"/>
      <c r="S3588" s="4"/>
      <c r="T3588" s="4"/>
      <c r="U3588" s="4"/>
      <c r="V3588" s="4"/>
      <c r="W3588" s="4"/>
      <c r="X3588" s="4"/>
    </row>
    <row r="3589" spans="17:24" x14ac:dyDescent="0.3">
      <c r="Q3589" s="4"/>
      <c r="R3589" s="4"/>
      <c r="S3589" s="4"/>
      <c r="T3589" s="4"/>
      <c r="U3589" s="4"/>
      <c r="V3589" s="4"/>
      <c r="W3589" s="4"/>
      <c r="X3589" s="4"/>
    </row>
    <row r="3590" spans="17:24" x14ac:dyDescent="0.3">
      <c r="Q3590" s="4"/>
      <c r="R3590" s="4"/>
      <c r="S3590" s="4"/>
      <c r="T3590" s="4"/>
      <c r="U3590" s="4"/>
      <c r="V3590" s="4"/>
      <c r="W3590" s="4"/>
      <c r="X3590" s="4"/>
    </row>
    <row r="3591" spans="17:24" x14ac:dyDescent="0.3">
      <c r="Q3591" s="4"/>
      <c r="R3591" s="4"/>
      <c r="S3591" s="4"/>
      <c r="T3591" s="4"/>
      <c r="U3591" s="4"/>
      <c r="V3591" s="4"/>
      <c r="W3591" s="4"/>
      <c r="X3591" s="4"/>
    </row>
    <row r="3592" spans="17:24" x14ac:dyDescent="0.3">
      <c r="Q3592" s="4"/>
      <c r="R3592" s="4"/>
      <c r="S3592" s="4"/>
      <c r="T3592" s="4"/>
      <c r="U3592" s="4"/>
      <c r="V3592" s="4"/>
      <c r="W3592" s="4"/>
      <c r="X3592" s="4"/>
    </row>
    <row r="3593" spans="17:24" x14ac:dyDescent="0.3">
      <c r="Q3593" s="4"/>
      <c r="R3593" s="4"/>
      <c r="S3593" s="4"/>
      <c r="T3593" s="4"/>
      <c r="U3593" s="4"/>
      <c r="V3593" s="4"/>
      <c r="W3593" s="4"/>
      <c r="X3593" s="4"/>
    </row>
    <row r="3594" spans="17:24" x14ac:dyDescent="0.3">
      <c r="Q3594" s="4"/>
      <c r="R3594" s="4"/>
      <c r="S3594" s="4"/>
      <c r="T3594" s="4"/>
      <c r="U3594" s="4"/>
      <c r="V3594" s="4"/>
      <c r="W3594" s="4"/>
      <c r="X3594" s="4"/>
    </row>
    <row r="3595" spans="17:24" x14ac:dyDescent="0.3">
      <c r="Q3595" s="4"/>
      <c r="R3595" s="4"/>
      <c r="S3595" s="4"/>
      <c r="T3595" s="4"/>
      <c r="U3595" s="4"/>
      <c r="V3595" s="4"/>
      <c r="W3595" s="4"/>
      <c r="X3595" s="4"/>
    </row>
    <row r="3596" spans="17:24" x14ac:dyDescent="0.3">
      <c r="Q3596" s="4"/>
      <c r="R3596" s="4"/>
      <c r="S3596" s="4"/>
      <c r="T3596" s="4"/>
      <c r="U3596" s="4"/>
      <c r="V3596" s="4"/>
      <c r="W3596" s="4"/>
      <c r="X3596" s="4"/>
    </row>
    <row r="3597" spans="17:24" x14ac:dyDescent="0.3">
      <c r="Q3597" s="4"/>
      <c r="R3597" s="4"/>
      <c r="S3597" s="4"/>
      <c r="T3597" s="4"/>
      <c r="U3597" s="4"/>
      <c r="V3597" s="4"/>
      <c r="W3597" s="4"/>
      <c r="X3597" s="4"/>
    </row>
    <row r="3598" spans="17:24" x14ac:dyDescent="0.3">
      <c r="Q3598" s="4"/>
      <c r="R3598" s="4"/>
      <c r="S3598" s="4"/>
      <c r="T3598" s="4"/>
      <c r="U3598" s="4"/>
      <c r="V3598" s="4"/>
      <c r="W3598" s="4"/>
      <c r="X3598" s="4"/>
    </row>
    <row r="3599" spans="17:24" x14ac:dyDescent="0.3">
      <c r="Q3599" s="4"/>
      <c r="R3599" s="4"/>
      <c r="S3599" s="4"/>
      <c r="T3599" s="4"/>
      <c r="U3599" s="4"/>
      <c r="V3599" s="4"/>
      <c r="W3599" s="4"/>
      <c r="X3599" s="4"/>
    </row>
    <row r="3600" spans="17:24" x14ac:dyDescent="0.3">
      <c r="Q3600" s="4"/>
      <c r="R3600" s="4"/>
      <c r="S3600" s="4"/>
      <c r="T3600" s="4"/>
      <c r="U3600" s="4"/>
      <c r="V3600" s="4"/>
      <c r="W3600" s="4"/>
      <c r="X3600" s="4"/>
    </row>
    <row r="3601" spans="17:24" x14ac:dyDescent="0.3">
      <c r="Q3601" s="4"/>
      <c r="R3601" s="4"/>
      <c r="S3601" s="4"/>
      <c r="T3601" s="4"/>
      <c r="U3601" s="4"/>
      <c r="V3601" s="4"/>
      <c r="W3601" s="4"/>
      <c r="X3601" s="4"/>
    </row>
    <row r="3602" spans="17:24" x14ac:dyDescent="0.3">
      <c r="Q3602" s="4"/>
      <c r="R3602" s="4"/>
      <c r="S3602" s="4"/>
      <c r="T3602" s="4"/>
      <c r="U3602" s="4"/>
      <c r="V3602" s="4"/>
      <c r="W3602" s="4"/>
      <c r="X3602" s="4"/>
    </row>
    <row r="3603" spans="17:24" x14ac:dyDescent="0.3">
      <c r="Q3603" s="4"/>
      <c r="R3603" s="4"/>
      <c r="S3603" s="4"/>
      <c r="T3603" s="4"/>
      <c r="U3603" s="4"/>
      <c r="V3603" s="4"/>
      <c r="W3603" s="4"/>
      <c r="X3603" s="4"/>
    </row>
    <row r="3604" spans="17:24" x14ac:dyDescent="0.3">
      <c r="Q3604" s="4"/>
      <c r="R3604" s="4"/>
      <c r="S3604" s="4"/>
      <c r="T3604" s="4"/>
      <c r="U3604" s="4"/>
      <c r="V3604" s="4"/>
      <c r="W3604" s="4"/>
      <c r="X3604" s="4"/>
    </row>
    <row r="3605" spans="17:24" x14ac:dyDescent="0.3">
      <c r="Q3605" s="4"/>
      <c r="R3605" s="4"/>
      <c r="S3605" s="4"/>
      <c r="T3605" s="4"/>
      <c r="U3605" s="4"/>
      <c r="V3605" s="4"/>
      <c r="W3605" s="4"/>
      <c r="X3605" s="4"/>
    </row>
    <row r="3606" spans="17:24" x14ac:dyDescent="0.3">
      <c r="Q3606" s="4"/>
      <c r="R3606" s="4"/>
      <c r="S3606" s="4"/>
      <c r="T3606" s="4"/>
      <c r="U3606" s="4"/>
      <c r="V3606" s="4"/>
      <c r="W3606" s="4"/>
      <c r="X3606" s="4"/>
    </row>
    <row r="3607" spans="17:24" x14ac:dyDescent="0.3">
      <c r="Q3607" s="4"/>
      <c r="R3607" s="4"/>
      <c r="S3607" s="4"/>
      <c r="T3607" s="4"/>
      <c r="U3607" s="4"/>
      <c r="V3607" s="4"/>
      <c r="W3607" s="4"/>
      <c r="X3607" s="4"/>
    </row>
    <row r="3608" spans="17:24" x14ac:dyDescent="0.3">
      <c r="Q3608" s="4"/>
      <c r="R3608" s="4"/>
      <c r="S3608" s="4"/>
      <c r="T3608" s="4"/>
      <c r="U3608" s="4"/>
      <c r="V3608" s="4"/>
      <c r="W3608" s="4"/>
      <c r="X3608" s="4"/>
    </row>
    <row r="3609" spans="17:24" x14ac:dyDescent="0.3">
      <c r="Q3609" s="4"/>
      <c r="R3609" s="4"/>
      <c r="S3609" s="4"/>
      <c r="T3609" s="4"/>
      <c r="U3609" s="4"/>
      <c r="V3609" s="4"/>
      <c r="W3609" s="4"/>
      <c r="X3609" s="4"/>
    </row>
    <row r="3610" spans="17:24" x14ac:dyDescent="0.3">
      <c r="Q3610" s="4"/>
      <c r="R3610" s="4"/>
      <c r="S3610" s="4"/>
      <c r="T3610" s="4"/>
      <c r="U3610" s="4"/>
      <c r="V3610" s="4"/>
      <c r="W3610" s="4"/>
      <c r="X3610" s="4"/>
    </row>
    <row r="3611" spans="17:24" x14ac:dyDescent="0.3">
      <c r="Q3611" s="4"/>
      <c r="R3611" s="4"/>
      <c r="S3611" s="4"/>
      <c r="T3611" s="4"/>
      <c r="U3611" s="4"/>
      <c r="V3611" s="4"/>
      <c r="W3611" s="4"/>
      <c r="X3611" s="4"/>
    </row>
    <row r="3612" spans="17:24" x14ac:dyDescent="0.3">
      <c r="Q3612" s="4"/>
      <c r="R3612" s="4"/>
      <c r="S3612" s="4"/>
      <c r="T3612" s="4"/>
      <c r="U3612" s="4"/>
      <c r="V3612" s="4"/>
      <c r="W3612" s="4"/>
      <c r="X3612" s="4"/>
    </row>
    <row r="3613" spans="17:24" x14ac:dyDescent="0.3">
      <c r="Q3613" s="4"/>
      <c r="R3613" s="4"/>
      <c r="S3613" s="4"/>
      <c r="T3613" s="4"/>
      <c r="U3613" s="4"/>
      <c r="V3613" s="4"/>
      <c r="W3613" s="4"/>
      <c r="X3613" s="4"/>
    </row>
    <row r="3614" spans="17:24" x14ac:dyDescent="0.3">
      <c r="Q3614" s="4"/>
      <c r="R3614" s="4"/>
      <c r="S3614" s="4"/>
      <c r="T3614" s="4"/>
      <c r="U3614" s="4"/>
      <c r="V3614" s="4"/>
      <c r="W3614" s="4"/>
      <c r="X3614" s="4"/>
    </row>
    <row r="3615" spans="17:24" x14ac:dyDescent="0.3">
      <c r="Q3615" s="4"/>
      <c r="R3615" s="4"/>
      <c r="S3615" s="4"/>
      <c r="T3615" s="4"/>
      <c r="U3615" s="4"/>
      <c r="V3615" s="4"/>
      <c r="W3615" s="4"/>
      <c r="X3615" s="4"/>
    </row>
    <row r="3616" spans="17:24" x14ac:dyDescent="0.3">
      <c r="Q3616" s="4"/>
      <c r="R3616" s="4"/>
      <c r="S3616" s="4"/>
      <c r="T3616" s="4"/>
      <c r="U3616" s="4"/>
      <c r="V3616" s="4"/>
      <c r="W3616" s="4"/>
      <c r="X3616" s="4"/>
    </row>
    <row r="3617" spans="17:24" x14ac:dyDescent="0.3">
      <c r="Q3617" s="4"/>
      <c r="R3617" s="4"/>
      <c r="S3617" s="4"/>
      <c r="T3617" s="4"/>
      <c r="U3617" s="4"/>
      <c r="V3617" s="4"/>
      <c r="W3617" s="4"/>
      <c r="X3617" s="4"/>
    </row>
    <row r="3618" spans="17:24" x14ac:dyDescent="0.3">
      <c r="Q3618" s="4"/>
      <c r="R3618" s="4"/>
      <c r="S3618" s="4"/>
      <c r="T3618" s="4"/>
      <c r="U3618" s="4"/>
      <c r="V3618" s="4"/>
      <c r="W3618" s="4"/>
      <c r="X3618" s="4"/>
    </row>
    <row r="3619" spans="17:24" x14ac:dyDescent="0.3">
      <c r="Q3619" s="4"/>
      <c r="R3619" s="4"/>
      <c r="S3619" s="4"/>
      <c r="T3619" s="4"/>
      <c r="U3619" s="4"/>
      <c r="V3619" s="4"/>
      <c r="W3619" s="4"/>
      <c r="X3619" s="4"/>
    </row>
    <row r="3620" spans="17:24" x14ac:dyDescent="0.3">
      <c r="Q3620" s="4"/>
      <c r="R3620" s="4"/>
      <c r="S3620" s="4"/>
      <c r="T3620" s="4"/>
      <c r="U3620" s="4"/>
      <c r="V3620" s="4"/>
      <c r="W3620" s="4"/>
      <c r="X3620" s="4"/>
    </row>
    <row r="3621" spans="17:24" x14ac:dyDescent="0.3">
      <c r="Q3621" s="4"/>
      <c r="R3621" s="4"/>
      <c r="S3621" s="4"/>
      <c r="T3621" s="4"/>
      <c r="U3621" s="4"/>
      <c r="V3621" s="4"/>
      <c r="W3621" s="4"/>
      <c r="X3621" s="4"/>
    </row>
    <row r="3622" spans="17:24" x14ac:dyDescent="0.3">
      <c r="Q3622" s="4"/>
      <c r="R3622" s="4"/>
      <c r="S3622" s="4"/>
      <c r="T3622" s="4"/>
      <c r="U3622" s="4"/>
      <c r="V3622" s="4"/>
      <c r="W3622" s="4"/>
      <c r="X3622" s="4"/>
    </row>
    <row r="3623" spans="17:24" x14ac:dyDescent="0.3">
      <c r="Q3623" s="4"/>
      <c r="R3623" s="4"/>
      <c r="S3623" s="4"/>
      <c r="T3623" s="4"/>
      <c r="U3623" s="4"/>
      <c r="V3623" s="4"/>
      <c r="W3623" s="4"/>
      <c r="X3623" s="4"/>
    </row>
    <row r="3624" spans="17:24" x14ac:dyDescent="0.3">
      <c r="Q3624" s="4"/>
      <c r="R3624" s="4"/>
      <c r="S3624" s="4"/>
      <c r="T3624" s="4"/>
      <c r="U3624" s="4"/>
      <c r="V3624" s="4"/>
      <c r="W3624" s="4"/>
      <c r="X3624" s="4"/>
    </row>
    <row r="3625" spans="17:24" x14ac:dyDescent="0.3">
      <c r="Q3625" s="4"/>
      <c r="R3625" s="4"/>
      <c r="S3625" s="4"/>
      <c r="T3625" s="4"/>
      <c r="U3625" s="4"/>
      <c r="V3625" s="4"/>
      <c r="W3625" s="4"/>
      <c r="X3625" s="4"/>
    </row>
    <row r="3626" spans="17:24" x14ac:dyDescent="0.3">
      <c r="Q3626" s="4"/>
      <c r="R3626" s="4"/>
      <c r="S3626" s="4"/>
      <c r="T3626" s="4"/>
      <c r="U3626" s="4"/>
      <c r="V3626" s="4"/>
      <c r="W3626" s="4"/>
      <c r="X3626" s="4"/>
    </row>
    <row r="3627" spans="17:24" x14ac:dyDescent="0.3">
      <c r="Q3627" s="4"/>
      <c r="R3627" s="4"/>
      <c r="S3627" s="4"/>
      <c r="T3627" s="4"/>
      <c r="U3627" s="4"/>
      <c r="V3627" s="4"/>
      <c r="W3627" s="4"/>
      <c r="X3627" s="4"/>
    </row>
    <row r="3628" spans="17:24" x14ac:dyDescent="0.3">
      <c r="Q3628" s="4"/>
      <c r="R3628" s="4"/>
      <c r="S3628" s="4"/>
      <c r="T3628" s="4"/>
      <c r="U3628" s="4"/>
      <c r="V3628" s="4"/>
      <c r="W3628" s="4"/>
      <c r="X3628" s="4"/>
    </row>
    <row r="3629" spans="17:24" x14ac:dyDescent="0.3">
      <c r="Q3629" s="4"/>
      <c r="R3629" s="4"/>
      <c r="S3629" s="4"/>
      <c r="T3629" s="4"/>
      <c r="U3629" s="4"/>
      <c r="V3629" s="4"/>
      <c r="W3629" s="4"/>
      <c r="X3629" s="4"/>
    </row>
    <row r="3630" spans="17:24" x14ac:dyDescent="0.3">
      <c r="Q3630" s="4"/>
      <c r="R3630" s="4"/>
      <c r="S3630" s="4"/>
      <c r="T3630" s="4"/>
      <c r="U3630" s="4"/>
      <c r="V3630" s="4"/>
      <c r="W3630" s="4"/>
      <c r="X3630" s="4"/>
    </row>
    <row r="3631" spans="17:24" x14ac:dyDescent="0.3">
      <c r="Q3631" s="4"/>
      <c r="R3631" s="4"/>
      <c r="S3631" s="4"/>
      <c r="T3631" s="4"/>
      <c r="U3631" s="4"/>
      <c r="V3631" s="4"/>
      <c r="W3631" s="4"/>
      <c r="X3631" s="4"/>
    </row>
    <row r="3632" spans="17:24" x14ac:dyDescent="0.3">
      <c r="Q3632" s="4"/>
      <c r="R3632" s="4"/>
      <c r="S3632" s="4"/>
      <c r="T3632" s="4"/>
      <c r="U3632" s="4"/>
      <c r="V3632" s="4"/>
      <c r="W3632" s="4"/>
      <c r="X3632" s="4"/>
    </row>
    <row r="3633" spans="17:24" x14ac:dyDescent="0.3">
      <c r="Q3633" s="4"/>
      <c r="R3633" s="4"/>
      <c r="S3633" s="4"/>
      <c r="T3633" s="4"/>
      <c r="U3633" s="4"/>
      <c r="V3633" s="4"/>
      <c r="W3633" s="4"/>
      <c r="X3633" s="4"/>
    </row>
    <row r="3634" spans="17:24" x14ac:dyDescent="0.3">
      <c r="Q3634" s="4"/>
      <c r="R3634" s="4"/>
      <c r="S3634" s="4"/>
      <c r="T3634" s="4"/>
      <c r="U3634" s="4"/>
      <c r="V3634" s="4"/>
      <c r="W3634" s="4"/>
      <c r="X3634" s="4"/>
    </row>
    <row r="3635" spans="17:24" x14ac:dyDescent="0.3">
      <c r="Q3635" s="4"/>
      <c r="R3635" s="4"/>
      <c r="S3635" s="4"/>
      <c r="T3635" s="4"/>
      <c r="U3635" s="4"/>
      <c r="V3635" s="4"/>
      <c r="W3635" s="4"/>
      <c r="X3635" s="4"/>
    </row>
    <row r="3636" spans="17:24" x14ac:dyDescent="0.3">
      <c r="Q3636" s="4"/>
      <c r="R3636" s="4"/>
      <c r="S3636" s="4"/>
      <c r="T3636" s="4"/>
      <c r="U3636" s="4"/>
      <c r="V3636" s="4"/>
      <c r="W3636" s="4"/>
      <c r="X3636" s="4"/>
    </row>
    <row r="3637" spans="17:24" x14ac:dyDescent="0.3">
      <c r="Q3637" s="4"/>
      <c r="R3637" s="4"/>
      <c r="S3637" s="4"/>
      <c r="T3637" s="4"/>
      <c r="U3637" s="4"/>
      <c r="V3637" s="4"/>
      <c r="W3637" s="4"/>
      <c r="X3637" s="4"/>
    </row>
    <row r="3638" spans="17:24" x14ac:dyDescent="0.3">
      <c r="Q3638" s="4"/>
      <c r="R3638" s="4"/>
      <c r="S3638" s="4"/>
      <c r="T3638" s="4"/>
      <c r="U3638" s="4"/>
      <c r="V3638" s="4"/>
      <c r="W3638" s="4"/>
      <c r="X3638" s="4"/>
    </row>
    <row r="3639" spans="17:24" x14ac:dyDescent="0.3">
      <c r="Q3639" s="4"/>
      <c r="R3639" s="4"/>
      <c r="S3639" s="4"/>
      <c r="T3639" s="4"/>
      <c r="U3639" s="4"/>
      <c r="V3639" s="4"/>
      <c r="W3639" s="4"/>
      <c r="X3639" s="4"/>
    </row>
    <row r="3640" spans="17:24" x14ac:dyDescent="0.3">
      <c r="Q3640" s="4"/>
      <c r="R3640" s="4"/>
      <c r="S3640" s="4"/>
      <c r="T3640" s="4"/>
      <c r="U3640" s="4"/>
      <c r="V3640" s="4"/>
      <c r="W3640" s="4"/>
      <c r="X3640" s="4"/>
    </row>
    <row r="3641" spans="17:24" x14ac:dyDescent="0.3">
      <c r="Q3641" s="4"/>
      <c r="R3641" s="4"/>
      <c r="S3641" s="4"/>
      <c r="T3641" s="4"/>
      <c r="U3641" s="4"/>
      <c r="V3641" s="4"/>
      <c r="W3641" s="4"/>
      <c r="X3641" s="4"/>
    </row>
    <row r="3642" spans="17:24" x14ac:dyDescent="0.3">
      <c r="Q3642" s="4"/>
      <c r="R3642" s="4"/>
      <c r="S3642" s="4"/>
      <c r="T3642" s="4"/>
      <c r="U3642" s="4"/>
      <c r="V3642" s="4"/>
      <c r="W3642" s="4"/>
      <c r="X3642" s="4"/>
    </row>
    <row r="3643" spans="17:24" x14ac:dyDescent="0.3">
      <c r="Q3643" s="4"/>
      <c r="R3643" s="4"/>
      <c r="S3643" s="4"/>
      <c r="T3643" s="4"/>
      <c r="U3643" s="4"/>
      <c r="V3643" s="4"/>
      <c r="W3643" s="4"/>
      <c r="X3643" s="4"/>
    </row>
    <row r="3644" spans="17:24" x14ac:dyDescent="0.3">
      <c r="Q3644" s="4"/>
      <c r="R3644" s="4"/>
      <c r="S3644" s="4"/>
      <c r="T3644" s="4"/>
      <c r="U3644" s="4"/>
      <c r="V3644" s="4"/>
      <c r="W3644" s="4"/>
      <c r="X3644" s="4"/>
    </row>
    <row r="3645" spans="17:24" x14ac:dyDescent="0.3">
      <c r="Q3645" s="4"/>
      <c r="R3645" s="4"/>
      <c r="S3645" s="4"/>
      <c r="T3645" s="4"/>
      <c r="U3645" s="4"/>
      <c r="V3645" s="4"/>
      <c r="W3645" s="4"/>
      <c r="X3645" s="4"/>
    </row>
    <row r="3646" spans="17:24" x14ac:dyDescent="0.3">
      <c r="Q3646" s="4"/>
      <c r="R3646" s="4"/>
      <c r="S3646" s="4"/>
      <c r="T3646" s="4"/>
      <c r="U3646" s="4"/>
      <c r="V3646" s="4"/>
      <c r="W3646" s="4"/>
      <c r="X3646" s="4"/>
    </row>
    <row r="3647" spans="17:24" x14ac:dyDescent="0.3">
      <c r="Q3647" s="4"/>
      <c r="R3647" s="4"/>
      <c r="S3647" s="4"/>
      <c r="T3647" s="4"/>
      <c r="U3647" s="4"/>
      <c r="V3647" s="4"/>
      <c r="W3647" s="4"/>
      <c r="X3647" s="4"/>
    </row>
    <row r="3648" spans="17:24" x14ac:dyDescent="0.3">
      <c r="Q3648" s="4"/>
      <c r="R3648" s="4"/>
      <c r="S3648" s="4"/>
      <c r="T3648" s="4"/>
      <c r="U3648" s="4"/>
      <c r="V3648" s="4"/>
      <c r="W3648" s="4"/>
      <c r="X3648" s="4"/>
    </row>
    <row r="3649" spans="17:24" x14ac:dyDescent="0.3">
      <c r="Q3649" s="4"/>
      <c r="R3649" s="4"/>
      <c r="S3649" s="4"/>
      <c r="T3649" s="4"/>
      <c r="U3649" s="4"/>
      <c r="V3649" s="4"/>
      <c r="W3649" s="4"/>
      <c r="X3649" s="4"/>
    </row>
    <row r="3650" spans="17:24" x14ac:dyDescent="0.3">
      <c r="Q3650" s="4"/>
      <c r="R3650" s="4"/>
      <c r="S3650" s="4"/>
      <c r="T3650" s="4"/>
      <c r="U3650" s="4"/>
      <c r="V3650" s="4"/>
      <c r="W3650" s="4"/>
      <c r="X3650" s="4"/>
    </row>
    <row r="3651" spans="17:24" x14ac:dyDescent="0.3">
      <c r="Q3651" s="4"/>
      <c r="R3651" s="4"/>
      <c r="S3651" s="4"/>
      <c r="T3651" s="4"/>
      <c r="U3651" s="4"/>
      <c r="V3651" s="4"/>
      <c r="W3651" s="4"/>
      <c r="X3651" s="4"/>
    </row>
    <row r="3652" spans="17:24" x14ac:dyDescent="0.3">
      <c r="Q3652" s="4"/>
      <c r="R3652" s="4"/>
      <c r="S3652" s="4"/>
      <c r="T3652" s="4"/>
      <c r="U3652" s="4"/>
      <c r="V3652" s="4"/>
      <c r="W3652" s="4"/>
      <c r="X3652" s="4"/>
    </row>
    <row r="3653" spans="17:24" x14ac:dyDescent="0.3">
      <c r="Q3653" s="4"/>
      <c r="R3653" s="4"/>
      <c r="S3653" s="4"/>
      <c r="T3653" s="4"/>
      <c r="U3653" s="4"/>
      <c r="V3653" s="4"/>
      <c r="W3653" s="4"/>
      <c r="X3653" s="4"/>
    </row>
    <row r="3654" spans="17:24" x14ac:dyDescent="0.3">
      <c r="Q3654" s="4"/>
      <c r="R3654" s="4"/>
      <c r="S3654" s="4"/>
      <c r="T3654" s="4"/>
      <c r="U3654" s="4"/>
      <c r="V3654" s="4"/>
      <c r="W3654" s="4"/>
      <c r="X3654" s="4"/>
    </row>
    <row r="3655" spans="17:24" x14ac:dyDescent="0.3">
      <c r="Q3655" s="4"/>
      <c r="R3655" s="4"/>
      <c r="S3655" s="4"/>
      <c r="T3655" s="4"/>
      <c r="U3655" s="4"/>
      <c r="V3655" s="4"/>
      <c r="W3655" s="4"/>
      <c r="X3655" s="4"/>
    </row>
    <row r="3656" spans="17:24" x14ac:dyDescent="0.3">
      <c r="Q3656" s="4"/>
      <c r="R3656" s="4"/>
      <c r="S3656" s="4"/>
      <c r="T3656" s="4"/>
      <c r="U3656" s="4"/>
      <c r="V3656" s="4"/>
      <c r="W3656" s="4"/>
      <c r="X3656" s="4"/>
    </row>
    <row r="3657" spans="17:24" x14ac:dyDescent="0.3">
      <c r="Q3657" s="4"/>
      <c r="R3657" s="4"/>
      <c r="S3657" s="4"/>
      <c r="T3657" s="4"/>
      <c r="U3657" s="4"/>
      <c r="V3657" s="4"/>
      <c r="W3657" s="4"/>
      <c r="X3657" s="4"/>
    </row>
    <row r="3658" spans="17:24" x14ac:dyDescent="0.3">
      <c r="Q3658" s="4"/>
      <c r="R3658" s="4"/>
      <c r="S3658" s="4"/>
      <c r="T3658" s="4"/>
      <c r="U3658" s="4"/>
      <c r="V3658" s="4"/>
      <c r="W3658" s="4"/>
      <c r="X3658" s="4"/>
    </row>
    <row r="3659" spans="17:24" x14ac:dyDescent="0.3">
      <c r="Q3659" s="4"/>
      <c r="R3659" s="4"/>
      <c r="S3659" s="4"/>
      <c r="T3659" s="4"/>
      <c r="U3659" s="4"/>
      <c r="V3659" s="4"/>
      <c r="W3659" s="4"/>
      <c r="X3659" s="4"/>
    </row>
    <row r="3660" spans="17:24" x14ac:dyDescent="0.3">
      <c r="Q3660" s="4"/>
      <c r="R3660" s="4"/>
      <c r="S3660" s="4"/>
      <c r="T3660" s="4"/>
      <c r="U3660" s="4"/>
      <c r="V3660" s="4"/>
      <c r="W3660" s="4"/>
      <c r="X3660" s="4"/>
    </row>
    <row r="3661" spans="17:24" x14ac:dyDescent="0.3">
      <c r="Q3661" s="4"/>
      <c r="R3661" s="4"/>
      <c r="S3661" s="4"/>
      <c r="T3661" s="4"/>
      <c r="U3661" s="4"/>
      <c r="V3661" s="4"/>
      <c r="W3661" s="4"/>
      <c r="X3661" s="4"/>
    </row>
    <row r="3662" spans="17:24" x14ac:dyDescent="0.3">
      <c r="Q3662" s="4"/>
      <c r="R3662" s="4"/>
      <c r="S3662" s="4"/>
      <c r="T3662" s="4"/>
      <c r="U3662" s="4"/>
      <c r="V3662" s="4"/>
      <c r="W3662" s="4"/>
      <c r="X3662" s="4"/>
    </row>
    <row r="3663" spans="17:24" x14ac:dyDescent="0.3">
      <c r="Q3663" s="4"/>
      <c r="R3663" s="4"/>
      <c r="S3663" s="4"/>
      <c r="T3663" s="4"/>
      <c r="U3663" s="4"/>
      <c r="V3663" s="4"/>
      <c r="W3663" s="4"/>
      <c r="X3663" s="4"/>
    </row>
    <row r="3664" spans="17:24" x14ac:dyDescent="0.3">
      <c r="Q3664" s="4"/>
      <c r="R3664" s="4"/>
      <c r="S3664" s="4"/>
      <c r="T3664" s="4"/>
      <c r="U3664" s="4"/>
      <c r="V3664" s="4"/>
      <c r="W3664" s="4"/>
      <c r="X3664" s="4"/>
    </row>
    <row r="3665" spans="17:24" x14ac:dyDescent="0.3">
      <c r="Q3665" s="4"/>
      <c r="R3665" s="4"/>
      <c r="S3665" s="4"/>
      <c r="T3665" s="4"/>
      <c r="U3665" s="4"/>
      <c r="V3665" s="4"/>
      <c r="W3665" s="4"/>
      <c r="X3665" s="4"/>
    </row>
    <row r="3666" spans="17:24" x14ac:dyDescent="0.3">
      <c r="Q3666" s="4"/>
      <c r="R3666" s="4"/>
      <c r="S3666" s="4"/>
      <c r="T3666" s="4"/>
      <c r="U3666" s="4"/>
      <c r="V3666" s="4"/>
      <c r="W3666" s="4"/>
      <c r="X3666" s="4"/>
    </row>
    <row r="3667" spans="17:24" x14ac:dyDescent="0.3">
      <c r="Q3667" s="4"/>
      <c r="R3667" s="4"/>
      <c r="S3667" s="4"/>
      <c r="T3667" s="4"/>
      <c r="U3667" s="4"/>
      <c r="V3667" s="4"/>
      <c r="W3667" s="4"/>
      <c r="X3667" s="4"/>
    </row>
    <row r="3668" spans="17:24" x14ac:dyDescent="0.3">
      <c r="Q3668" s="4"/>
      <c r="R3668" s="4"/>
      <c r="S3668" s="4"/>
      <c r="T3668" s="4"/>
      <c r="U3668" s="4"/>
      <c r="V3668" s="4"/>
      <c r="W3668" s="4"/>
      <c r="X3668" s="4"/>
    </row>
    <row r="3669" spans="17:24" x14ac:dyDescent="0.3">
      <c r="Q3669" s="4"/>
      <c r="R3669" s="4"/>
      <c r="S3669" s="4"/>
      <c r="T3669" s="4"/>
      <c r="U3669" s="4"/>
      <c r="V3669" s="4"/>
      <c r="W3669" s="4"/>
      <c r="X3669" s="4"/>
    </row>
    <row r="3670" spans="17:24" x14ac:dyDescent="0.3">
      <c r="Q3670" s="4"/>
      <c r="R3670" s="4"/>
      <c r="S3670" s="4"/>
      <c r="T3670" s="4"/>
      <c r="U3670" s="4"/>
      <c r="V3670" s="4"/>
      <c r="W3670" s="4"/>
      <c r="X3670" s="4"/>
    </row>
    <row r="3671" spans="17:24" x14ac:dyDescent="0.3">
      <c r="Q3671" s="4"/>
      <c r="R3671" s="4"/>
      <c r="S3671" s="4"/>
      <c r="T3671" s="4"/>
      <c r="U3671" s="4"/>
      <c r="V3671" s="4"/>
      <c r="W3671" s="4"/>
      <c r="X3671" s="4"/>
    </row>
    <row r="3672" spans="17:24" x14ac:dyDescent="0.3">
      <c r="Q3672" s="4"/>
      <c r="R3672" s="4"/>
      <c r="S3672" s="4"/>
      <c r="T3672" s="4"/>
      <c r="U3672" s="4"/>
      <c r="V3672" s="4"/>
      <c r="W3672" s="4"/>
      <c r="X3672" s="4"/>
    </row>
    <row r="3673" spans="17:24" x14ac:dyDescent="0.3">
      <c r="Q3673" s="4"/>
      <c r="R3673" s="4"/>
      <c r="S3673" s="4"/>
      <c r="T3673" s="4"/>
      <c r="U3673" s="4"/>
      <c r="V3673" s="4"/>
      <c r="W3673" s="4"/>
      <c r="X3673" s="4"/>
    </row>
    <row r="3674" spans="17:24" x14ac:dyDescent="0.3">
      <c r="Q3674" s="4"/>
      <c r="R3674" s="4"/>
      <c r="S3674" s="4"/>
      <c r="T3674" s="4"/>
      <c r="U3674" s="4"/>
      <c r="V3674" s="4"/>
      <c r="W3674" s="4"/>
      <c r="X3674" s="4"/>
    </row>
    <row r="3675" spans="17:24" x14ac:dyDescent="0.3">
      <c r="Q3675" s="4"/>
      <c r="R3675" s="4"/>
      <c r="S3675" s="4"/>
      <c r="T3675" s="4"/>
      <c r="U3675" s="4"/>
      <c r="V3675" s="4"/>
      <c r="W3675" s="4"/>
      <c r="X3675" s="4"/>
    </row>
    <row r="3676" spans="17:24" x14ac:dyDescent="0.3">
      <c r="Q3676" s="4"/>
      <c r="R3676" s="4"/>
      <c r="S3676" s="4"/>
      <c r="T3676" s="4"/>
      <c r="U3676" s="4"/>
      <c r="V3676" s="4"/>
      <c r="W3676" s="4"/>
      <c r="X3676" s="4"/>
    </row>
    <row r="3677" spans="17:24" x14ac:dyDescent="0.3">
      <c r="Q3677" s="4"/>
      <c r="R3677" s="4"/>
      <c r="S3677" s="4"/>
      <c r="T3677" s="4"/>
      <c r="U3677" s="4"/>
      <c r="V3677" s="4"/>
      <c r="W3677" s="4"/>
      <c r="X3677" s="4"/>
    </row>
    <row r="3678" spans="17:24" x14ac:dyDescent="0.3">
      <c r="Q3678" s="4"/>
      <c r="R3678" s="4"/>
      <c r="S3678" s="4"/>
      <c r="T3678" s="4"/>
      <c r="U3678" s="4"/>
      <c r="V3678" s="4"/>
      <c r="W3678" s="4"/>
      <c r="X3678" s="4"/>
    </row>
    <row r="3679" spans="17:24" x14ac:dyDescent="0.3">
      <c r="Q3679" s="4"/>
      <c r="R3679" s="4"/>
      <c r="S3679" s="4"/>
      <c r="T3679" s="4"/>
      <c r="U3679" s="4"/>
      <c r="V3679" s="4"/>
      <c r="W3679" s="4"/>
      <c r="X3679" s="4"/>
    </row>
    <row r="3680" spans="17:24" x14ac:dyDescent="0.3">
      <c r="Q3680" s="4"/>
      <c r="R3680" s="4"/>
      <c r="S3680" s="4"/>
      <c r="T3680" s="4"/>
      <c r="U3680" s="4"/>
      <c r="V3680" s="4"/>
      <c r="W3680" s="4"/>
      <c r="X3680" s="4"/>
    </row>
    <row r="3681" spans="17:24" x14ac:dyDescent="0.3">
      <c r="Q3681" s="4"/>
      <c r="R3681" s="4"/>
      <c r="S3681" s="4"/>
      <c r="T3681" s="4"/>
      <c r="U3681" s="4"/>
      <c r="V3681" s="4"/>
      <c r="W3681" s="4"/>
      <c r="X3681" s="4"/>
    </row>
    <row r="3682" spans="17:24" x14ac:dyDescent="0.3">
      <c r="Q3682" s="4"/>
      <c r="R3682" s="4"/>
      <c r="S3682" s="4"/>
      <c r="T3682" s="4"/>
      <c r="U3682" s="4"/>
      <c r="V3682" s="4"/>
      <c r="W3682" s="4"/>
      <c r="X3682" s="4"/>
    </row>
    <row r="3683" spans="17:24" x14ac:dyDescent="0.3">
      <c r="Q3683" s="4"/>
      <c r="R3683" s="4"/>
      <c r="S3683" s="4"/>
      <c r="T3683" s="4"/>
      <c r="U3683" s="4"/>
      <c r="V3683" s="4"/>
      <c r="W3683" s="4"/>
      <c r="X3683" s="4"/>
    </row>
    <row r="3684" spans="17:24" x14ac:dyDescent="0.3">
      <c r="Q3684" s="4"/>
      <c r="R3684" s="4"/>
      <c r="S3684" s="4"/>
      <c r="T3684" s="4"/>
      <c r="U3684" s="4"/>
      <c r="V3684" s="4"/>
      <c r="W3684" s="4"/>
      <c r="X3684" s="4"/>
    </row>
    <row r="3685" spans="17:24" x14ac:dyDescent="0.3">
      <c r="Q3685" s="4"/>
      <c r="R3685" s="4"/>
      <c r="S3685" s="4"/>
      <c r="T3685" s="4"/>
      <c r="U3685" s="4"/>
      <c r="V3685" s="4"/>
      <c r="W3685" s="4"/>
      <c r="X3685" s="4"/>
    </row>
    <row r="3686" spans="17:24" x14ac:dyDescent="0.3">
      <c r="Q3686" s="4"/>
      <c r="R3686" s="4"/>
      <c r="S3686" s="4"/>
      <c r="T3686" s="4"/>
      <c r="U3686" s="4"/>
      <c r="V3686" s="4"/>
      <c r="W3686" s="4"/>
      <c r="X3686" s="4"/>
    </row>
    <row r="3687" spans="17:24" x14ac:dyDescent="0.3">
      <c r="Q3687" s="4"/>
      <c r="R3687" s="4"/>
      <c r="S3687" s="4"/>
      <c r="T3687" s="4"/>
      <c r="U3687" s="4"/>
      <c r="V3687" s="4"/>
      <c r="W3687" s="4"/>
      <c r="X3687" s="4"/>
    </row>
    <row r="3688" spans="17:24" x14ac:dyDescent="0.3">
      <c r="Q3688" s="4"/>
      <c r="R3688" s="4"/>
      <c r="S3688" s="4"/>
      <c r="T3688" s="4"/>
      <c r="U3688" s="4"/>
      <c r="V3688" s="4"/>
      <c r="W3688" s="4"/>
      <c r="X3688" s="4"/>
    </row>
    <row r="3689" spans="17:24" x14ac:dyDescent="0.3">
      <c r="Q3689" s="4"/>
      <c r="R3689" s="4"/>
      <c r="S3689" s="4"/>
      <c r="T3689" s="4"/>
      <c r="U3689" s="4"/>
      <c r="V3689" s="4"/>
      <c r="W3689" s="4"/>
      <c r="X3689" s="4"/>
    </row>
    <row r="3690" spans="17:24" x14ac:dyDescent="0.3">
      <c r="Q3690" s="4"/>
      <c r="R3690" s="4"/>
      <c r="S3690" s="4"/>
      <c r="T3690" s="4"/>
      <c r="U3690" s="4"/>
      <c r="V3690" s="4"/>
      <c r="W3690" s="4"/>
      <c r="X3690" s="4"/>
    </row>
    <row r="3691" spans="17:24" x14ac:dyDescent="0.3">
      <c r="Q3691" s="4"/>
      <c r="R3691" s="4"/>
      <c r="S3691" s="4"/>
      <c r="T3691" s="4"/>
      <c r="U3691" s="4"/>
      <c r="V3691" s="4"/>
      <c r="W3691" s="4"/>
      <c r="X3691" s="4"/>
    </row>
    <row r="3692" spans="17:24" x14ac:dyDescent="0.3">
      <c r="Q3692" s="4"/>
      <c r="R3692" s="4"/>
      <c r="S3692" s="4"/>
      <c r="T3692" s="4"/>
      <c r="U3692" s="4"/>
      <c r="V3692" s="4"/>
      <c r="W3692" s="4"/>
      <c r="X3692" s="4"/>
    </row>
    <row r="3693" spans="17:24" x14ac:dyDescent="0.3">
      <c r="Q3693" s="4"/>
      <c r="R3693" s="4"/>
      <c r="S3693" s="4"/>
      <c r="T3693" s="4"/>
      <c r="U3693" s="4"/>
      <c r="V3693" s="4"/>
      <c r="W3693" s="4"/>
      <c r="X3693" s="4"/>
    </row>
    <row r="3694" spans="17:24" x14ac:dyDescent="0.3">
      <c r="Q3694" s="4"/>
      <c r="R3694" s="4"/>
      <c r="S3694" s="4"/>
      <c r="T3694" s="4"/>
      <c r="U3694" s="4"/>
      <c r="V3694" s="4"/>
      <c r="W3694" s="4"/>
      <c r="X3694" s="4"/>
    </row>
    <row r="3695" spans="17:24" x14ac:dyDescent="0.3">
      <c r="Q3695" s="4"/>
      <c r="R3695" s="4"/>
      <c r="S3695" s="4"/>
      <c r="T3695" s="4"/>
      <c r="U3695" s="4"/>
      <c r="V3695" s="4"/>
      <c r="W3695" s="4"/>
      <c r="X3695" s="4"/>
    </row>
    <row r="3696" spans="17:24" x14ac:dyDescent="0.3">
      <c r="Q3696" s="4"/>
      <c r="R3696" s="4"/>
      <c r="S3696" s="4"/>
      <c r="T3696" s="4"/>
      <c r="U3696" s="4"/>
      <c r="V3696" s="4"/>
      <c r="W3696" s="4"/>
      <c r="X3696" s="4"/>
    </row>
    <row r="3697" spans="17:24" x14ac:dyDescent="0.3">
      <c r="Q3697" s="4"/>
      <c r="R3697" s="4"/>
      <c r="S3697" s="4"/>
      <c r="T3697" s="4"/>
      <c r="U3697" s="4"/>
      <c r="V3697" s="4"/>
      <c r="W3697" s="4"/>
      <c r="X3697" s="4"/>
    </row>
    <row r="3698" spans="17:24" x14ac:dyDescent="0.3">
      <c r="Q3698" s="4"/>
      <c r="R3698" s="4"/>
      <c r="S3698" s="4"/>
      <c r="T3698" s="4"/>
      <c r="U3698" s="4"/>
      <c r="V3698" s="4"/>
      <c r="W3698" s="4"/>
      <c r="X3698" s="4"/>
    </row>
    <row r="3699" spans="17:24" x14ac:dyDescent="0.3">
      <c r="Q3699" s="4"/>
      <c r="R3699" s="4"/>
      <c r="S3699" s="4"/>
      <c r="T3699" s="4"/>
      <c r="U3699" s="4"/>
      <c r="V3699" s="4"/>
      <c r="W3699" s="4"/>
      <c r="X3699" s="4"/>
    </row>
    <row r="3700" spans="17:24" x14ac:dyDescent="0.3">
      <c r="Q3700" s="4"/>
      <c r="R3700" s="4"/>
      <c r="S3700" s="4"/>
      <c r="T3700" s="4"/>
      <c r="U3700" s="4"/>
      <c r="V3700" s="4"/>
      <c r="W3700" s="4"/>
      <c r="X3700" s="4"/>
    </row>
    <row r="3701" spans="17:24" x14ac:dyDescent="0.3">
      <c r="Q3701" s="4"/>
      <c r="R3701" s="4"/>
      <c r="S3701" s="4"/>
      <c r="T3701" s="4"/>
      <c r="U3701" s="4"/>
      <c r="V3701" s="4"/>
      <c r="W3701" s="4"/>
      <c r="X3701" s="4"/>
    </row>
    <row r="3702" spans="17:24" x14ac:dyDescent="0.3">
      <c r="Q3702" s="4"/>
      <c r="R3702" s="4"/>
      <c r="S3702" s="4"/>
      <c r="T3702" s="4"/>
      <c r="U3702" s="4"/>
      <c r="V3702" s="4"/>
      <c r="W3702" s="4"/>
      <c r="X3702" s="4"/>
    </row>
    <row r="3703" spans="17:24" x14ac:dyDescent="0.3">
      <c r="Q3703" s="4"/>
      <c r="R3703" s="4"/>
      <c r="S3703" s="4"/>
      <c r="T3703" s="4"/>
      <c r="U3703" s="4"/>
      <c r="V3703" s="4"/>
      <c r="W3703" s="4"/>
      <c r="X3703" s="4"/>
    </row>
    <row r="3704" spans="17:24" x14ac:dyDescent="0.3">
      <c r="Q3704" s="4"/>
      <c r="R3704" s="4"/>
      <c r="S3704" s="4"/>
      <c r="T3704" s="4"/>
      <c r="U3704" s="4"/>
      <c r="V3704" s="4"/>
      <c r="W3704" s="4"/>
      <c r="X3704" s="4"/>
    </row>
    <row r="3705" spans="17:24" x14ac:dyDescent="0.3">
      <c r="Q3705" s="4"/>
      <c r="R3705" s="4"/>
      <c r="S3705" s="4"/>
      <c r="T3705" s="4"/>
      <c r="U3705" s="4"/>
      <c r="V3705" s="4"/>
      <c r="W3705" s="4"/>
      <c r="X3705" s="4"/>
    </row>
    <row r="3706" spans="17:24" x14ac:dyDescent="0.3">
      <c r="Q3706" s="4"/>
      <c r="R3706" s="4"/>
      <c r="S3706" s="4"/>
      <c r="T3706" s="4"/>
      <c r="U3706" s="4"/>
      <c r="V3706" s="4"/>
      <c r="W3706" s="4"/>
      <c r="X3706" s="4"/>
    </row>
    <row r="3707" spans="17:24" x14ac:dyDescent="0.3">
      <c r="Q3707" s="4"/>
      <c r="R3707" s="4"/>
      <c r="S3707" s="4"/>
      <c r="T3707" s="4"/>
      <c r="U3707" s="4"/>
      <c r="V3707" s="4"/>
      <c r="W3707" s="4"/>
      <c r="X3707" s="4"/>
    </row>
    <row r="3708" spans="17:24" x14ac:dyDescent="0.3">
      <c r="Q3708" s="4"/>
      <c r="R3708" s="4"/>
      <c r="S3708" s="4"/>
      <c r="T3708" s="4"/>
      <c r="U3708" s="4"/>
      <c r="V3708" s="4"/>
      <c r="W3708" s="4"/>
      <c r="X3708" s="4"/>
    </row>
    <row r="3709" spans="17:24" x14ac:dyDescent="0.3">
      <c r="Q3709" s="4"/>
      <c r="R3709" s="4"/>
      <c r="S3709" s="4"/>
      <c r="T3709" s="4"/>
      <c r="U3709" s="4"/>
      <c r="V3709" s="4"/>
      <c r="W3709" s="4"/>
      <c r="X3709" s="4"/>
    </row>
    <row r="3710" spans="17:24" x14ac:dyDescent="0.3">
      <c r="Q3710" s="4"/>
      <c r="R3710" s="4"/>
      <c r="S3710" s="4"/>
      <c r="T3710" s="4"/>
      <c r="U3710" s="4"/>
      <c r="V3710" s="4"/>
      <c r="W3710" s="4"/>
      <c r="X3710" s="4"/>
    </row>
    <row r="3711" spans="17:24" x14ac:dyDescent="0.3">
      <c r="Q3711" s="4"/>
      <c r="R3711" s="4"/>
      <c r="S3711" s="4"/>
      <c r="T3711" s="4"/>
      <c r="U3711" s="4"/>
      <c r="V3711" s="4"/>
      <c r="W3711" s="4"/>
      <c r="X3711" s="4"/>
    </row>
    <row r="3712" spans="17:24" x14ac:dyDescent="0.3">
      <c r="Q3712" s="4"/>
      <c r="R3712" s="4"/>
      <c r="S3712" s="4"/>
      <c r="T3712" s="4"/>
      <c r="U3712" s="4"/>
      <c r="V3712" s="4"/>
      <c r="W3712" s="4"/>
      <c r="X3712" s="4"/>
    </row>
    <row r="3713" spans="17:24" x14ac:dyDescent="0.3">
      <c r="Q3713" s="4"/>
      <c r="R3713" s="4"/>
      <c r="S3713" s="4"/>
      <c r="T3713" s="4"/>
      <c r="U3713" s="4"/>
      <c r="V3713" s="4"/>
      <c r="W3713" s="4"/>
      <c r="X3713" s="4"/>
    </row>
    <row r="3714" spans="17:24" x14ac:dyDescent="0.3">
      <c r="Q3714" s="4"/>
      <c r="R3714" s="4"/>
      <c r="S3714" s="4"/>
      <c r="T3714" s="4"/>
      <c r="U3714" s="4"/>
      <c r="V3714" s="4"/>
      <c r="W3714" s="4"/>
      <c r="X3714" s="4"/>
    </row>
    <row r="3715" spans="17:24" x14ac:dyDescent="0.3">
      <c r="Q3715" s="4"/>
      <c r="R3715" s="4"/>
      <c r="S3715" s="4"/>
      <c r="T3715" s="4"/>
      <c r="U3715" s="4"/>
      <c r="V3715" s="4"/>
      <c r="W3715" s="4"/>
      <c r="X3715" s="4"/>
    </row>
    <row r="3716" spans="17:24" x14ac:dyDescent="0.3">
      <c r="Q3716" s="4"/>
      <c r="R3716" s="4"/>
      <c r="S3716" s="4"/>
      <c r="T3716" s="4"/>
      <c r="U3716" s="4"/>
      <c r="V3716" s="4"/>
      <c r="W3716" s="4"/>
      <c r="X3716" s="4"/>
    </row>
    <row r="3717" spans="17:24" x14ac:dyDescent="0.3">
      <c r="Q3717" s="4"/>
      <c r="R3717" s="4"/>
      <c r="S3717" s="4"/>
      <c r="T3717" s="4"/>
      <c r="U3717" s="4"/>
      <c r="V3717" s="4"/>
      <c r="W3717" s="4"/>
      <c r="X3717" s="4"/>
    </row>
    <row r="3718" spans="17:24" x14ac:dyDescent="0.3">
      <c r="Q3718" s="4"/>
      <c r="R3718" s="4"/>
      <c r="S3718" s="4"/>
      <c r="T3718" s="4"/>
      <c r="U3718" s="4"/>
      <c r="V3718" s="4"/>
      <c r="W3718" s="4"/>
      <c r="X3718" s="4"/>
    </row>
    <row r="3719" spans="17:24" x14ac:dyDescent="0.3">
      <c r="Q3719" s="4"/>
      <c r="R3719" s="4"/>
      <c r="S3719" s="4"/>
      <c r="T3719" s="4"/>
      <c r="U3719" s="4"/>
      <c r="V3719" s="4"/>
      <c r="W3719" s="4"/>
      <c r="X3719" s="4"/>
    </row>
    <row r="3720" spans="17:24" x14ac:dyDescent="0.3">
      <c r="Q3720" s="4"/>
      <c r="R3720" s="4"/>
      <c r="S3720" s="4"/>
      <c r="T3720" s="4"/>
      <c r="U3720" s="4"/>
      <c r="V3720" s="4"/>
      <c r="W3720" s="4"/>
      <c r="X3720" s="4"/>
    </row>
    <row r="3721" spans="17:24" x14ac:dyDescent="0.3">
      <c r="Q3721" s="4"/>
      <c r="R3721" s="4"/>
      <c r="S3721" s="4"/>
      <c r="T3721" s="4"/>
      <c r="U3721" s="4"/>
      <c r="V3721" s="4"/>
      <c r="W3721" s="4"/>
      <c r="X3721" s="4"/>
    </row>
    <row r="3722" spans="17:24" x14ac:dyDescent="0.3">
      <c r="Q3722" s="4"/>
      <c r="R3722" s="4"/>
      <c r="S3722" s="4"/>
      <c r="T3722" s="4"/>
      <c r="U3722" s="4"/>
      <c r="V3722" s="4"/>
      <c r="W3722" s="4"/>
      <c r="X3722" s="4"/>
    </row>
    <row r="3723" spans="17:24" x14ac:dyDescent="0.3">
      <c r="Q3723" s="4"/>
      <c r="R3723" s="4"/>
      <c r="S3723" s="4"/>
      <c r="T3723" s="4"/>
      <c r="U3723" s="4"/>
      <c r="V3723" s="4"/>
      <c r="W3723" s="4"/>
      <c r="X3723" s="4"/>
    </row>
    <row r="3724" spans="17:24" x14ac:dyDescent="0.3">
      <c r="Q3724" s="4"/>
      <c r="R3724" s="4"/>
      <c r="S3724" s="4"/>
      <c r="T3724" s="4"/>
      <c r="U3724" s="4"/>
      <c r="V3724" s="4"/>
      <c r="W3724" s="4"/>
      <c r="X3724" s="4"/>
    </row>
    <row r="3725" spans="17:24" x14ac:dyDescent="0.3">
      <c r="Q3725" s="4"/>
      <c r="R3725" s="4"/>
      <c r="S3725" s="4"/>
      <c r="T3725" s="4"/>
      <c r="U3725" s="4"/>
      <c r="V3725" s="4"/>
      <c r="W3725" s="4"/>
      <c r="X3725" s="4"/>
    </row>
    <row r="3726" spans="17:24" x14ac:dyDescent="0.3">
      <c r="Q3726" s="4"/>
      <c r="R3726" s="4"/>
      <c r="S3726" s="4"/>
      <c r="T3726" s="4"/>
      <c r="U3726" s="4"/>
      <c r="V3726" s="4"/>
      <c r="W3726" s="4"/>
      <c r="X3726" s="4"/>
    </row>
    <row r="3727" spans="17:24" x14ac:dyDescent="0.3">
      <c r="Q3727" s="4"/>
      <c r="R3727" s="4"/>
      <c r="S3727" s="4"/>
      <c r="T3727" s="4"/>
      <c r="U3727" s="4"/>
      <c r="V3727" s="4"/>
      <c r="W3727" s="4"/>
      <c r="X3727" s="4"/>
    </row>
    <row r="3728" spans="17:24" x14ac:dyDescent="0.3">
      <c r="Q3728" s="4"/>
      <c r="R3728" s="4"/>
      <c r="S3728" s="4"/>
      <c r="T3728" s="4"/>
      <c r="U3728" s="4"/>
      <c r="V3728" s="4"/>
      <c r="W3728" s="4"/>
      <c r="X3728" s="4"/>
    </row>
    <row r="3729" spans="17:24" x14ac:dyDescent="0.3">
      <c r="Q3729" s="4"/>
      <c r="R3729" s="4"/>
      <c r="S3729" s="4"/>
      <c r="T3729" s="4"/>
      <c r="U3729" s="4"/>
      <c r="V3729" s="4"/>
      <c r="W3729" s="4"/>
      <c r="X3729" s="4"/>
    </row>
    <row r="3730" spans="17:24" x14ac:dyDescent="0.3">
      <c r="Q3730" s="4"/>
      <c r="R3730" s="4"/>
      <c r="S3730" s="4"/>
      <c r="T3730" s="4"/>
      <c r="U3730" s="4"/>
      <c r="V3730" s="4"/>
      <c r="W3730" s="4"/>
      <c r="X3730" s="4"/>
    </row>
    <row r="3731" spans="17:24" x14ac:dyDescent="0.3">
      <c r="Q3731" s="4"/>
      <c r="R3731" s="4"/>
      <c r="S3731" s="4"/>
      <c r="T3731" s="4"/>
      <c r="U3731" s="4"/>
      <c r="V3731" s="4"/>
      <c r="W3731" s="4"/>
      <c r="X3731" s="4"/>
    </row>
    <row r="3732" spans="17:24" x14ac:dyDescent="0.3">
      <c r="Q3732" s="4"/>
      <c r="R3732" s="4"/>
      <c r="S3732" s="4"/>
      <c r="T3732" s="4"/>
      <c r="U3732" s="4"/>
      <c r="V3732" s="4"/>
      <c r="W3732" s="4"/>
      <c r="X3732" s="4"/>
    </row>
    <row r="3733" spans="17:24" x14ac:dyDescent="0.3">
      <c r="Q3733" s="4"/>
      <c r="R3733" s="4"/>
      <c r="S3733" s="4"/>
      <c r="T3733" s="4"/>
      <c r="U3733" s="4"/>
      <c r="V3733" s="4"/>
      <c r="W3733" s="4"/>
      <c r="X3733" s="4"/>
    </row>
    <row r="3734" spans="17:24" x14ac:dyDescent="0.3">
      <c r="Q3734" s="4"/>
      <c r="R3734" s="4"/>
      <c r="S3734" s="4"/>
      <c r="T3734" s="4"/>
      <c r="U3734" s="4"/>
      <c r="V3734" s="4"/>
      <c r="W3734" s="4"/>
      <c r="X3734" s="4"/>
    </row>
    <row r="3735" spans="17:24" x14ac:dyDescent="0.3">
      <c r="Q3735" s="4"/>
      <c r="R3735" s="4"/>
      <c r="S3735" s="4"/>
      <c r="T3735" s="4"/>
      <c r="U3735" s="4"/>
      <c r="V3735" s="4"/>
      <c r="W3735" s="4"/>
      <c r="X3735" s="4"/>
    </row>
    <row r="3736" spans="17:24" x14ac:dyDescent="0.3">
      <c r="Q3736" s="4"/>
      <c r="R3736" s="4"/>
      <c r="S3736" s="4"/>
      <c r="T3736" s="4"/>
      <c r="U3736" s="4"/>
      <c r="V3736" s="4"/>
      <c r="W3736" s="4"/>
      <c r="X3736" s="4"/>
    </row>
    <row r="3737" spans="17:24" x14ac:dyDescent="0.3">
      <c r="Q3737" s="4"/>
      <c r="R3737" s="4"/>
      <c r="S3737" s="4"/>
      <c r="T3737" s="4"/>
      <c r="U3737" s="4"/>
      <c r="V3737" s="4"/>
      <c r="W3737" s="4"/>
      <c r="X3737" s="4"/>
    </row>
    <row r="3738" spans="17:24" x14ac:dyDescent="0.3">
      <c r="Q3738" s="4"/>
      <c r="R3738" s="4"/>
      <c r="S3738" s="4"/>
      <c r="T3738" s="4"/>
      <c r="U3738" s="4"/>
      <c r="V3738" s="4"/>
      <c r="W3738" s="4"/>
      <c r="X3738" s="4"/>
    </row>
    <row r="3739" spans="17:24" x14ac:dyDescent="0.3">
      <c r="Q3739" s="4"/>
      <c r="R3739" s="4"/>
      <c r="S3739" s="4"/>
      <c r="T3739" s="4"/>
      <c r="U3739" s="4"/>
      <c r="V3739" s="4"/>
      <c r="W3739" s="4"/>
      <c r="X3739" s="4"/>
    </row>
    <row r="3740" spans="17:24" x14ac:dyDescent="0.3">
      <c r="Q3740" s="4"/>
      <c r="R3740" s="4"/>
      <c r="S3740" s="4"/>
      <c r="T3740" s="4"/>
      <c r="U3740" s="4"/>
      <c r="V3740" s="4"/>
      <c r="W3740" s="4"/>
      <c r="X3740" s="4"/>
    </row>
    <row r="3741" spans="17:24" x14ac:dyDescent="0.3">
      <c r="Q3741" s="4"/>
      <c r="R3741" s="4"/>
      <c r="S3741" s="4"/>
      <c r="T3741" s="4"/>
      <c r="U3741" s="4"/>
      <c r="V3741" s="4"/>
      <c r="W3741" s="4"/>
      <c r="X3741" s="4"/>
    </row>
    <row r="3742" spans="17:24" x14ac:dyDescent="0.3">
      <c r="Q3742" s="4"/>
      <c r="R3742" s="4"/>
      <c r="S3742" s="4"/>
      <c r="T3742" s="4"/>
      <c r="U3742" s="4"/>
      <c r="V3742" s="4"/>
      <c r="W3742" s="4"/>
      <c r="X3742" s="4"/>
    </row>
    <row r="3743" spans="17:24" x14ac:dyDescent="0.3">
      <c r="Q3743" s="4"/>
      <c r="R3743" s="4"/>
      <c r="S3743" s="4"/>
      <c r="T3743" s="4"/>
      <c r="U3743" s="4"/>
      <c r="V3743" s="4"/>
      <c r="W3743" s="4"/>
      <c r="X3743" s="4"/>
    </row>
    <row r="3744" spans="17:24" x14ac:dyDescent="0.3">
      <c r="Q3744" s="4"/>
      <c r="R3744" s="4"/>
      <c r="S3744" s="4"/>
      <c r="T3744" s="4"/>
      <c r="U3744" s="4"/>
      <c r="V3744" s="4"/>
      <c r="W3744" s="4"/>
      <c r="X3744" s="4"/>
    </row>
    <row r="3745" spans="17:24" x14ac:dyDescent="0.3">
      <c r="Q3745" s="4"/>
      <c r="R3745" s="4"/>
      <c r="S3745" s="4"/>
      <c r="T3745" s="4"/>
      <c r="U3745" s="4"/>
      <c r="V3745" s="4"/>
      <c r="W3745" s="4"/>
      <c r="X3745" s="4"/>
    </row>
    <row r="3746" spans="17:24" x14ac:dyDescent="0.3">
      <c r="Q3746" s="4"/>
      <c r="R3746" s="4"/>
      <c r="S3746" s="4"/>
      <c r="T3746" s="4"/>
      <c r="U3746" s="4"/>
      <c r="V3746" s="4"/>
      <c r="W3746" s="4"/>
      <c r="X3746" s="4"/>
    </row>
    <row r="3747" spans="17:24" x14ac:dyDescent="0.3">
      <c r="Q3747" s="4"/>
      <c r="R3747" s="4"/>
      <c r="S3747" s="4"/>
      <c r="T3747" s="4"/>
      <c r="U3747" s="4"/>
      <c r="V3747" s="4"/>
      <c r="W3747" s="4"/>
      <c r="X3747" s="4"/>
    </row>
    <row r="3748" spans="17:24" x14ac:dyDescent="0.3">
      <c r="Q3748" s="4"/>
      <c r="R3748" s="4"/>
      <c r="S3748" s="4"/>
      <c r="T3748" s="4"/>
      <c r="U3748" s="4"/>
      <c r="V3748" s="4"/>
      <c r="W3748" s="4"/>
      <c r="X3748" s="4"/>
    </row>
    <row r="3749" spans="17:24" x14ac:dyDescent="0.3">
      <c r="Q3749" s="4"/>
      <c r="R3749" s="4"/>
      <c r="S3749" s="4"/>
      <c r="T3749" s="4"/>
      <c r="U3749" s="4"/>
      <c r="V3749" s="4"/>
      <c r="W3749" s="4"/>
      <c r="X3749" s="4"/>
    </row>
    <row r="3750" spans="17:24" x14ac:dyDescent="0.3">
      <c r="Q3750" s="4"/>
      <c r="R3750" s="4"/>
      <c r="S3750" s="4"/>
      <c r="T3750" s="4"/>
      <c r="U3750" s="4"/>
      <c r="V3750" s="4"/>
      <c r="W3750" s="4"/>
      <c r="X3750" s="4"/>
    </row>
    <row r="3751" spans="17:24" x14ac:dyDescent="0.3">
      <c r="Q3751" s="4"/>
      <c r="R3751" s="4"/>
      <c r="S3751" s="4"/>
      <c r="T3751" s="4"/>
      <c r="U3751" s="4"/>
      <c r="V3751" s="4"/>
      <c r="W3751" s="4"/>
      <c r="X3751" s="4"/>
    </row>
    <row r="3752" spans="17:24" x14ac:dyDescent="0.3">
      <c r="Q3752" s="4"/>
      <c r="R3752" s="4"/>
      <c r="S3752" s="4"/>
      <c r="T3752" s="4"/>
      <c r="U3752" s="4"/>
      <c r="V3752" s="4"/>
      <c r="W3752" s="4"/>
      <c r="X3752" s="4"/>
    </row>
    <row r="3753" spans="17:24" x14ac:dyDescent="0.3">
      <c r="Q3753" s="4"/>
      <c r="R3753" s="4"/>
      <c r="S3753" s="4"/>
      <c r="T3753" s="4"/>
      <c r="U3753" s="4"/>
      <c r="V3753" s="4"/>
      <c r="W3753" s="4"/>
      <c r="X3753" s="4"/>
    </row>
    <row r="3754" spans="17:24" x14ac:dyDescent="0.3">
      <c r="Q3754" s="4"/>
      <c r="R3754" s="4"/>
      <c r="S3754" s="4"/>
      <c r="T3754" s="4"/>
      <c r="U3754" s="4"/>
      <c r="V3754" s="4"/>
      <c r="W3754" s="4"/>
      <c r="X3754" s="4"/>
    </row>
    <row r="3755" spans="17:24" x14ac:dyDescent="0.3">
      <c r="Q3755" s="4"/>
      <c r="R3755" s="4"/>
      <c r="S3755" s="4"/>
      <c r="T3755" s="4"/>
      <c r="U3755" s="4"/>
      <c r="V3755" s="4"/>
      <c r="W3755" s="4"/>
      <c r="X3755" s="4"/>
    </row>
    <row r="3756" spans="17:24" x14ac:dyDescent="0.3">
      <c r="Q3756" s="4"/>
      <c r="R3756" s="4"/>
      <c r="S3756" s="4"/>
      <c r="T3756" s="4"/>
      <c r="U3756" s="4"/>
      <c r="V3756" s="4"/>
      <c r="W3756" s="4"/>
      <c r="X3756" s="4"/>
    </row>
    <row r="3757" spans="17:24" x14ac:dyDescent="0.3">
      <c r="Q3757" s="4"/>
      <c r="R3757" s="4"/>
      <c r="S3757" s="4"/>
      <c r="T3757" s="4"/>
      <c r="U3757" s="4"/>
      <c r="V3757" s="4"/>
      <c r="W3757" s="4"/>
      <c r="X3757" s="4"/>
    </row>
    <row r="3758" spans="17:24" x14ac:dyDescent="0.3">
      <c r="Q3758" s="4"/>
      <c r="R3758" s="4"/>
      <c r="S3758" s="4"/>
      <c r="T3758" s="4"/>
      <c r="U3758" s="4"/>
      <c r="V3758" s="4"/>
      <c r="W3758" s="4"/>
      <c r="X3758" s="4"/>
    </row>
    <row r="3759" spans="17:24" x14ac:dyDescent="0.3">
      <c r="Q3759" s="4"/>
      <c r="R3759" s="4"/>
      <c r="S3759" s="4"/>
      <c r="T3759" s="4"/>
      <c r="U3759" s="4"/>
      <c r="V3759" s="4"/>
      <c r="W3759" s="4"/>
      <c r="X3759" s="4"/>
    </row>
    <row r="3760" spans="17:24" x14ac:dyDescent="0.3">
      <c r="Q3760" s="4"/>
      <c r="R3760" s="4"/>
      <c r="S3760" s="4"/>
      <c r="T3760" s="4"/>
      <c r="U3760" s="4"/>
      <c r="V3760" s="4"/>
      <c r="W3760" s="4"/>
      <c r="X3760" s="4"/>
    </row>
    <row r="3761" spans="17:24" x14ac:dyDescent="0.3">
      <c r="Q3761" s="4"/>
      <c r="R3761" s="4"/>
      <c r="S3761" s="4"/>
      <c r="T3761" s="4"/>
      <c r="U3761" s="4"/>
      <c r="V3761" s="4"/>
      <c r="W3761" s="4"/>
      <c r="X3761" s="4"/>
    </row>
    <row r="3762" spans="17:24" x14ac:dyDescent="0.3">
      <c r="Q3762" s="4"/>
      <c r="R3762" s="4"/>
      <c r="S3762" s="4"/>
      <c r="T3762" s="4"/>
      <c r="U3762" s="4"/>
      <c r="V3762" s="4"/>
      <c r="W3762" s="4"/>
      <c r="X3762" s="4"/>
    </row>
    <row r="3763" spans="17:24" x14ac:dyDescent="0.3">
      <c r="Q3763" s="4"/>
      <c r="R3763" s="4"/>
      <c r="S3763" s="4"/>
      <c r="T3763" s="4"/>
      <c r="U3763" s="4"/>
      <c r="V3763" s="4"/>
      <c r="W3763" s="4"/>
      <c r="X3763" s="4"/>
    </row>
    <row r="3764" spans="17:24" x14ac:dyDescent="0.3">
      <c r="Q3764" s="4"/>
      <c r="R3764" s="4"/>
      <c r="S3764" s="4"/>
      <c r="T3764" s="4"/>
      <c r="U3764" s="4"/>
      <c r="V3764" s="4"/>
      <c r="W3764" s="4"/>
      <c r="X3764" s="4"/>
    </row>
    <row r="3765" spans="17:24" x14ac:dyDescent="0.3">
      <c r="Q3765" s="4"/>
      <c r="R3765" s="4"/>
      <c r="S3765" s="4"/>
      <c r="T3765" s="4"/>
      <c r="U3765" s="4"/>
      <c r="V3765" s="4"/>
      <c r="W3765" s="4"/>
      <c r="X3765" s="4"/>
    </row>
    <row r="3766" spans="17:24" x14ac:dyDescent="0.3">
      <c r="Q3766" s="4"/>
      <c r="R3766" s="4"/>
      <c r="S3766" s="4"/>
      <c r="T3766" s="4"/>
      <c r="U3766" s="4"/>
      <c r="V3766" s="4"/>
      <c r="W3766" s="4"/>
      <c r="X3766" s="4"/>
    </row>
    <row r="3767" spans="17:24" x14ac:dyDescent="0.3">
      <c r="Q3767" s="4"/>
      <c r="R3767" s="4"/>
      <c r="S3767" s="4"/>
      <c r="T3767" s="4"/>
      <c r="U3767" s="4"/>
      <c r="V3767" s="4"/>
      <c r="W3767" s="4"/>
      <c r="X3767" s="4"/>
    </row>
    <row r="3768" spans="17:24" x14ac:dyDescent="0.3">
      <c r="Q3768" s="4"/>
      <c r="R3768" s="4"/>
      <c r="S3768" s="4"/>
      <c r="T3768" s="4"/>
      <c r="U3768" s="4"/>
      <c r="V3768" s="4"/>
      <c r="W3768" s="4"/>
      <c r="X3768" s="4"/>
    </row>
    <row r="3769" spans="17:24" x14ac:dyDescent="0.3">
      <c r="Q3769" s="4"/>
      <c r="R3769" s="4"/>
      <c r="S3769" s="4"/>
      <c r="T3769" s="4"/>
      <c r="U3769" s="4"/>
      <c r="V3769" s="4"/>
      <c r="W3769" s="4"/>
      <c r="X3769" s="4"/>
    </row>
    <row r="3770" spans="17:24" x14ac:dyDescent="0.3">
      <c r="Q3770" s="4"/>
      <c r="R3770" s="4"/>
      <c r="S3770" s="4"/>
      <c r="T3770" s="4"/>
      <c r="U3770" s="4"/>
      <c r="V3770" s="4"/>
      <c r="W3770" s="4"/>
      <c r="X3770" s="4"/>
    </row>
    <row r="3771" spans="17:24" x14ac:dyDescent="0.3">
      <c r="Q3771" s="4"/>
      <c r="R3771" s="4"/>
      <c r="S3771" s="4"/>
      <c r="T3771" s="4"/>
      <c r="U3771" s="4"/>
      <c r="V3771" s="4"/>
      <c r="W3771" s="4"/>
      <c r="X3771" s="4"/>
    </row>
    <row r="3772" spans="17:24" x14ac:dyDescent="0.3">
      <c r="Q3772" s="4"/>
      <c r="R3772" s="4"/>
      <c r="S3772" s="4"/>
      <c r="T3772" s="4"/>
      <c r="U3772" s="4"/>
      <c r="V3772" s="4"/>
      <c r="W3772" s="4"/>
      <c r="X3772" s="4"/>
    </row>
    <row r="3773" spans="17:24" x14ac:dyDescent="0.3">
      <c r="Q3773" s="4"/>
      <c r="R3773" s="4"/>
      <c r="S3773" s="4"/>
      <c r="T3773" s="4"/>
      <c r="U3773" s="4"/>
      <c r="V3773" s="4"/>
      <c r="W3773" s="4"/>
      <c r="X3773" s="4"/>
    </row>
    <row r="3774" spans="17:24" x14ac:dyDescent="0.3">
      <c r="Q3774" s="4"/>
      <c r="R3774" s="4"/>
      <c r="S3774" s="4"/>
      <c r="T3774" s="4"/>
      <c r="U3774" s="4"/>
      <c r="V3774" s="4"/>
      <c r="W3774" s="4"/>
      <c r="X3774" s="4"/>
    </row>
    <row r="3775" spans="17:24" x14ac:dyDescent="0.3">
      <c r="Q3775" s="4"/>
      <c r="R3775" s="4"/>
      <c r="S3775" s="4"/>
      <c r="T3775" s="4"/>
      <c r="U3775" s="4"/>
      <c r="V3775" s="4"/>
      <c r="W3775" s="4"/>
      <c r="X3775" s="4"/>
    </row>
    <row r="3776" spans="17:24" x14ac:dyDescent="0.3">
      <c r="Q3776" s="4"/>
      <c r="R3776" s="4"/>
      <c r="S3776" s="4"/>
      <c r="T3776" s="4"/>
      <c r="U3776" s="4"/>
      <c r="V3776" s="4"/>
      <c r="W3776" s="4"/>
      <c r="X3776" s="4"/>
    </row>
    <row r="3777" spans="17:24" x14ac:dyDescent="0.3">
      <c r="Q3777" s="4"/>
      <c r="R3777" s="4"/>
      <c r="S3777" s="4"/>
      <c r="T3777" s="4"/>
      <c r="U3777" s="4"/>
      <c r="V3777" s="4"/>
      <c r="W3777" s="4"/>
      <c r="X3777" s="4"/>
    </row>
    <row r="3778" spans="17:24" x14ac:dyDescent="0.3">
      <c r="Q3778" s="4"/>
      <c r="R3778" s="4"/>
      <c r="S3778" s="4"/>
      <c r="T3778" s="4"/>
      <c r="U3778" s="4"/>
      <c r="V3778" s="4"/>
      <c r="W3778" s="4"/>
      <c r="X3778" s="4"/>
    </row>
    <row r="3779" spans="17:24" x14ac:dyDescent="0.3">
      <c r="Q3779" s="4"/>
      <c r="R3779" s="4"/>
      <c r="S3779" s="4"/>
      <c r="T3779" s="4"/>
      <c r="U3779" s="4"/>
      <c r="V3779" s="4"/>
      <c r="W3779" s="4"/>
      <c r="X3779" s="4"/>
    </row>
    <row r="3780" spans="17:24" x14ac:dyDescent="0.3">
      <c r="Q3780" s="4"/>
      <c r="R3780" s="4"/>
      <c r="S3780" s="4"/>
      <c r="T3780" s="4"/>
      <c r="U3780" s="4"/>
      <c r="V3780" s="4"/>
      <c r="W3780" s="4"/>
      <c r="X3780" s="4"/>
    </row>
    <row r="3781" spans="17:24" x14ac:dyDescent="0.3">
      <c r="Q3781" s="4"/>
      <c r="R3781" s="4"/>
      <c r="S3781" s="4"/>
      <c r="T3781" s="4"/>
      <c r="U3781" s="4"/>
      <c r="V3781" s="4"/>
      <c r="W3781" s="4"/>
      <c r="X3781" s="4"/>
    </row>
    <row r="3782" spans="17:24" x14ac:dyDescent="0.3">
      <c r="Q3782" s="4"/>
      <c r="R3782" s="4"/>
      <c r="S3782" s="4"/>
      <c r="T3782" s="4"/>
      <c r="U3782" s="4"/>
      <c r="V3782" s="4"/>
      <c r="W3782" s="4"/>
      <c r="X3782" s="4"/>
    </row>
    <row r="3783" spans="17:24" x14ac:dyDescent="0.3">
      <c r="Q3783" s="4"/>
      <c r="R3783" s="4"/>
      <c r="S3783" s="4"/>
      <c r="T3783" s="4"/>
      <c r="U3783" s="4"/>
      <c r="V3783" s="4"/>
      <c r="W3783" s="4"/>
      <c r="X3783" s="4"/>
    </row>
    <row r="3784" spans="17:24" x14ac:dyDescent="0.3">
      <c r="Q3784" s="4"/>
      <c r="R3784" s="4"/>
      <c r="S3784" s="4"/>
      <c r="T3784" s="4"/>
      <c r="U3784" s="4"/>
      <c r="V3784" s="4"/>
      <c r="W3784" s="4"/>
      <c r="X3784" s="4"/>
    </row>
    <row r="3785" spans="17:24" x14ac:dyDescent="0.3">
      <c r="Q3785" s="4"/>
      <c r="R3785" s="4"/>
      <c r="S3785" s="4"/>
      <c r="T3785" s="4"/>
      <c r="U3785" s="4"/>
      <c r="V3785" s="4"/>
      <c r="W3785" s="4"/>
      <c r="X3785" s="4"/>
    </row>
    <row r="3786" spans="17:24" x14ac:dyDescent="0.3">
      <c r="Q3786" s="4"/>
      <c r="R3786" s="4"/>
      <c r="S3786" s="4"/>
      <c r="T3786" s="4"/>
      <c r="U3786" s="4"/>
      <c r="V3786" s="4"/>
      <c r="W3786" s="4"/>
      <c r="X3786" s="4"/>
    </row>
    <row r="3787" spans="17:24" x14ac:dyDescent="0.3">
      <c r="Q3787" s="4"/>
      <c r="R3787" s="4"/>
      <c r="S3787" s="4"/>
      <c r="T3787" s="4"/>
      <c r="U3787" s="4"/>
      <c r="V3787" s="4"/>
      <c r="W3787" s="4"/>
      <c r="X3787" s="4"/>
    </row>
    <row r="3788" spans="17:24" x14ac:dyDescent="0.3">
      <c r="Q3788" s="4"/>
      <c r="R3788" s="4"/>
      <c r="S3788" s="4"/>
      <c r="T3788" s="4"/>
      <c r="U3788" s="4"/>
      <c r="V3788" s="4"/>
      <c r="W3788" s="4"/>
      <c r="X3788" s="4"/>
    </row>
    <row r="3789" spans="17:24" x14ac:dyDescent="0.3">
      <c r="Q3789" s="4"/>
      <c r="R3789" s="4"/>
      <c r="S3789" s="4"/>
      <c r="T3789" s="4"/>
      <c r="U3789" s="4"/>
      <c r="V3789" s="4"/>
      <c r="W3789" s="4"/>
      <c r="X3789" s="4"/>
    </row>
    <row r="3790" spans="17:24" x14ac:dyDescent="0.3">
      <c r="Q3790" s="4"/>
      <c r="R3790" s="4"/>
      <c r="S3790" s="4"/>
      <c r="T3790" s="4"/>
      <c r="U3790" s="4"/>
      <c r="V3790" s="4"/>
      <c r="W3790" s="4"/>
      <c r="X3790" s="4"/>
    </row>
    <row r="3791" spans="17:24" x14ac:dyDescent="0.3">
      <c r="Q3791" s="4"/>
      <c r="R3791" s="4"/>
      <c r="S3791" s="4"/>
      <c r="T3791" s="4"/>
      <c r="U3791" s="4"/>
      <c r="V3791" s="4"/>
      <c r="W3791" s="4"/>
      <c r="X3791" s="4"/>
    </row>
    <row r="3792" spans="17:24" x14ac:dyDescent="0.3">
      <c r="Q3792" s="4"/>
      <c r="R3792" s="4"/>
      <c r="S3792" s="4"/>
      <c r="T3792" s="4"/>
      <c r="U3792" s="4"/>
      <c r="V3792" s="4"/>
      <c r="W3792" s="4"/>
      <c r="X3792" s="4"/>
    </row>
    <row r="3793" spans="17:24" x14ac:dyDescent="0.3">
      <c r="Q3793" s="4"/>
      <c r="R3793" s="4"/>
      <c r="S3793" s="4"/>
      <c r="T3793" s="4"/>
      <c r="U3793" s="4"/>
      <c r="V3793" s="4"/>
      <c r="W3793" s="4"/>
      <c r="X3793" s="4"/>
    </row>
    <row r="3794" spans="17:24" x14ac:dyDescent="0.3">
      <c r="Q3794" s="4"/>
      <c r="R3794" s="4"/>
      <c r="S3794" s="4"/>
      <c r="T3794" s="4"/>
      <c r="U3794" s="4"/>
      <c r="V3794" s="4"/>
      <c r="W3794" s="4"/>
      <c r="X3794" s="4"/>
    </row>
    <row r="3795" spans="17:24" x14ac:dyDescent="0.3">
      <c r="Q3795" s="4"/>
      <c r="R3795" s="4"/>
      <c r="S3795" s="4"/>
      <c r="T3795" s="4"/>
      <c r="U3795" s="4"/>
      <c r="V3795" s="4"/>
      <c r="W3795" s="4"/>
      <c r="X3795" s="4"/>
    </row>
    <row r="3796" spans="17:24" x14ac:dyDescent="0.3">
      <c r="Q3796" s="4"/>
      <c r="R3796" s="4"/>
      <c r="S3796" s="4"/>
      <c r="T3796" s="4"/>
      <c r="U3796" s="4"/>
      <c r="V3796" s="4"/>
      <c r="W3796" s="4"/>
      <c r="X3796" s="4"/>
    </row>
    <row r="3797" spans="17:24" x14ac:dyDescent="0.3">
      <c r="Q3797" s="4"/>
      <c r="R3797" s="4"/>
      <c r="S3797" s="4"/>
      <c r="T3797" s="4"/>
      <c r="U3797" s="4"/>
      <c r="V3797" s="4"/>
      <c r="W3797" s="4"/>
      <c r="X3797" s="4"/>
    </row>
    <row r="3798" spans="17:24" x14ac:dyDescent="0.3">
      <c r="Q3798" s="4"/>
      <c r="R3798" s="4"/>
      <c r="S3798" s="4"/>
      <c r="T3798" s="4"/>
      <c r="U3798" s="4"/>
      <c r="V3798" s="4"/>
      <c r="W3798" s="4"/>
      <c r="X3798" s="4"/>
    </row>
    <row r="3799" spans="17:24" x14ac:dyDescent="0.3">
      <c r="Q3799" s="4"/>
      <c r="R3799" s="4"/>
      <c r="S3799" s="4"/>
      <c r="T3799" s="4"/>
      <c r="U3799" s="4"/>
      <c r="V3799" s="4"/>
      <c r="W3799" s="4"/>
      <c r="X3799" s="4"/>
    </row>
    <row r="3800" spans="17:24" x14ac:dyDescent="0.3">
      <c r="Q3800" s="4"/>
      <c r="R3800" s="4"/>
      <c r="S3800" s="4"/>
      <c r="T3800" s="4"/>
      <c r="U3800" s="4"/>
      <c r="V3800" s="4"/>
      <c r="W3800" s="4"/>
      <c r="X3800" s="4"/>
    </row>
    <row r="3801" spans="17:24" x14ac:dyDescent="0.3">
      <c r="Q3801" s="4"/>
      <c r="R3801" s="4"/>
      <c r="S3801" s="4"/>
      <c r="T3801" s="4"/>
      <c r="U3801" s="4"/>
      <c r="V3801" s="4"/>
      <c r="W3801" s="4"/>
      <c r="X3801" s="4"/>
    </row>
    <row r="3802" spans="17:24" x14ac:dyDescent="0.3">
      <c r="Q3802" s="4"/>
      <c r="R3802" s="4"/>
      <c r="S3802" s="4"/>
      <c r="T3802" s="4"/>
      <c r="U3802" s="4"/>
      <c r="V3802" s="4"/>
      <c r="W3802" s="4"/>
      <c r="X3802" s="4"/>
    </row>
    <row r="3803" spans="17:24" x14ac:dyDescent="0.3">
      <c r="Q3803" s="4"/>
      <c r="R3803" s="4"/>
      <c r="S3803" s="4"/>
      <c r="T3803" s="4"/>
      <c r="U3803" s="4"/>
      <c r="V3803" s="4"/>
      <c r="W3803" s="4"/>
      <c r="X3803" s="4"/>
    </row>
    <row r="3804" spans="17:24" x14ac:dyDescent="0.3">
      <c r="Q3804" s="4"/>
      <c r="R3804" s="4"/>
      <c r="S3804" s="4"/>
      <c r="T3804" s="4"/>
      <c r="U3804" s="4"/>
      <c r="V3804" s="4"/>
      <c r="W3804" s="4"/>
      <c r="X3804" s="4"/>
    </row>
    <row r="3805" spans="17:24" x14ac:dyDescent="0.3">
      <c r="Q3805" s="4"/>
      <c r="R3805" s="4"/>
      <c r="S3805" s="4"/>
      <c r="T3805" s="4"/>
      <c r="U3805" s="4"/>
      <c r="V3805" s="4"/>
      <c r="W3805" s="4"/>
      <c r="X3805" s="4"/>
    </row>
    <row r="3806" spans="17:24" x14ac:dyDescent="0.3">
      <c r="Q3806" s="4"/>
      <c r="R3806" s="4"/>
      <c r="S3806" s="4"/>
      <c r="T3806" s="4"/>
      <c r="U3806" s="4"/>
      <c r="V3806" s="4"/>
      <c r="W3806" s="4"/>
      <c r="X3806" s="4"/>
    </row>
    <row r="3807" spans="17:24" x14ac:dyDescent="0.3">
      <c r="Q3807" s="4"/>
      <c r="R3807" s="4"/>
      <c r="S3807" s="4"/>
      <c r="T3807" s="4"/>
      <c r="U3807" s="4"/>
      <c r="V3807" s="4"/>
      <c r="W3807" s="4"/>
      <c r="X3807" s="4"/>
    </row>
    <row r="3808" spans="17:24" x14ac:dyDescent="0.3">
      <c r="Q3808" s="4"/>
      <c r="R3808" s="4"/>
      <c r="S3808" s="4"/>
      <c r="T3808" s="4"/>
      <c r="U3808" s="4"/>
      <c r="V3808" s="4"/>
      <c r="W3808" s="4"/>
      <c r="X3808" s="4"/>
    </row>
    <row r="3809" spans="17:24" x14ac:dyDescent="0.3">
      <c r="Q3809" s="4"/>
      <c r="R3809" s="4"/>
      <c r="S3809" s="4"/>
      <c r="T3809" s="4"/>
      <c r="U3809" s="4"/>
      <c r="V3809" s="4"/>
      <c r="W3809" s="4"/>
      <c r="X3809" s="4"/>
    </row>
    <row r="3810" spans="17:24" x14ac:dyDescent="0.3">
      <c r="Q3810" s="4"/>
      <c r="R3810" s="4"/>
      <c r="S3810" s="4"/>
      <c r="T3810" s="4"/>
      <c r="U3810" s="4"/>
      <c r="V3810" s="4"/>
      <c r="W3810" s="4"/>
      <c r="X3810" s="4"/>
    </row>
    <row r="3811" spans="17:24" x14ac:dyDescent="0.3">
      <c r="Q3811" s="4"/>
      <c r="R3811" s="4"/>
      <c r="S3811" s="4"/>
      <c r="T3811" s="4"/>
      <c r="U3811" s="4"/>
      <c r="V3811" s="4"/>
      <c r="W3811" s="4"/>
      <c r="X3811" s="4"/>
    </row>
    <row r="3812" spans="17:24" x14ac:dyDescent="0.3">
      <c r="Q3812" s="4"/>
      <c r="R3812" s="4"/>
      <c r="S3812" s="4"/>
      <c r="T3812" s="4"/>
      <c r="U3812" s="4"/>
      <c r="V3812" s="4"/>
      <c r="W3812" s="4"/>
      <c r="X3812" s="4"/>
    </row>
    <row r="3813" spans="17:24" x14ac:dyDescent="0.3">
      <c r="Q3813" s="4"/>
      <c r="R3813" s="4"/>
      <c r="S3813" s="4"/>
      <c r="T3813" s="4"/>
      <c r="U3813" s="4"/>
      <c r="V3813" s="4"/>
      <c r="W3813" s="4"/>
      <c r="X3813" s="4"/>
    </row>
    <row r="3814" spans="17:24" x14ac:dyDescent="0.3">
      <c r="Q3814" s="4"/>
      <c r="R3814" s="4"/>
      <c r="S3814" s="4"/>
      <c r="T3814" s="4"/>
      <c r="U3814" s="4"/>
      <c r="V3814" s="4"/>
      <c r="W3814" s="4"/>
      <c r="X3814" s="4"/>
    </row>
    <row r="3815" spans="17:24" x14ac:dyDescent="0.3">
      <c r="Q3815" s="4"/>
      <c r="R3815" s="4"/>
      <c r="S3815" s="4"/>
      <c r="T3815" s="4"/>
      <c r="U3815" s="4"/>
      <c r="V3815" s="4"/>
      <c r="W3815" s="4"/>
      <c r="X3815" s="4"/>
    </row>
    <row r="3816" spans="17:24" x14ac:dyDescent="0.3">
      <c r="Q3816" s="4"/>
      <c r="R3816" s="4"/>
      <c r="S3816" s="4"/>
      <c r="T3816" s="4"/>
      <c r="U3816" s="4"/>
      <c r="V3816" s="4"/>
      <c r="W3816" s="4"/>
      <c r="X3816" s="4"/>
    </row>
    <row r="3817" spans="17:24" x14ac:dyDescent="0.3">
      <c r="Q3817" s="4"/>
      <c r="R3817" s="4"/>
      <c r="S3817" s="4"/>
      <c r="T3817" s="4"/>
      <c r="U3817" s="4"/>
      <c r="V3817" s="4"/>
      <c r="W3817" s="4"/>
      <c r="X3817" s="4"/>
    </row>
    <row r="3818" spans="17:24" x14ac:dyDescent="0.3">
      <c r="Q3818" s="4"/>
      <c r="R3818" s="4"/>
      <c r="S3818" s="4"/>
      <c r="T3818" s="4"/>
      <c r="U3818" s="4"/>
      <c r="V3818" s="4"/>
      <c r="W3818" s="4"/>
      <c r="X3818" s="4"/>
    </row>
    <row r="3819" spans="17:24" x14ac:dyDescent="0.3">
      <c r="Q3819" s="4"/>
      <c r="R3819" s="4"/>
      <c r="S3819" s="4"/>
      <c r="T3819" s="4"/>
      <c r="U3819" s="4"/>
      <c r="V3819" s="4"/>
      <c r="W3819" s="4"/>
      <c r="X3819" s="4"/>
    </row>
    <row r="3820" spans="17:24" x14ac:dyDescent="0.3">
      <c r="Q3820" s="4"/>
      <c r="R3820" s="4"/>
      <c r="S3820" s="4"/>
      <c r="T3820" s="4"/>
      <c r="U3820" s="4"/>
      <c r="V3820" s="4"/>
      <c r="W3820" s="4"/>
      <c r="X3820" s="4"/>
    </row>
    <row r="3821" spans="17:24" x14ac:dyDescent="0.3">
      <c r="Q3821" s="4"/>
      <c r="R3821" s="4"/>
      <c r="S3821" s="4"/>
      <c r="T3821" s="4"/>
      <c r="U3821" s="4"/>
      <c r="V3821" s="4"/>
      <c r="W3821" s="4"/>
      <c r="X3821" s="4"/>
    </row>
    <row r="3822" spans="17:24" x14ac:dyDescent="0.3">
      <c r="Q3822" s="4"/>
      <c r="R3822" s="4"/>
      <c r="S3822" s="4"/>
      <c r="T3822" s="4"/>
      <c r="U3822" s="4"/>
      <c r="V3822" s="4"/>
      <c r="W3822" s="4"/>
      <c r="X3822" s="4"/>
    </row>
    <row r="3823" spans="17:24" x14ac:dyDescent="0.3">
      <c r="Q3823" s="4"/>
      <c r="R3823" s="4"/>
      <c r="S3823" s="4"/>
      <c r="T3823" s="4"/>
      <c r="U3823" s="4"/>
      <c r="V3823" s="4"/>
      <c r="W3823" s="4"/>
      <c r="X3823" s="4"/>
    </row>
    <row r="3824" spans="17:24" x14ac:dyDescent="0.3">
      <c r="Q3824" s="4"/>
      <c r="R3824" s="4"/>
      <c r="S3824" s="4"/>
      <c r="T3824" s="4"/>
      <c r="U3824" s="4"/>
      <c r="V3824" s="4"/>
      <c r="W3824" s="4"/>
      <c r="X3824" s="4"/>
    </row>
    <row r="3825" spans="17:24" x14ac:dyDescent="0.3">
      <c r="Q3825" s="4"/>
      <c r="R3825" s="4"/>
      <c r="S3825" s="4"/>
      <c r="T3825" s="4"/>
      <c r="U3825" s="4"/>
      <c r="V3825" s="4"/>
      <c r="W3825" s="4"/>
      <c r="X3825" s="4"/>
    </row>
    <row r="3826" spans="17:24" x14ac:dyDescent="0.3">
      <c r="Q3826" s="4"/>
      <c r="R3826" s="4"/>
      <c r="S3826" s="4"/>
      <c r="T3826" s="4"/>
      <c r="U3826" s="4"/>
      <c r="V3826" s="4"/>
      <c r="W3826" s="4"/>
      <c r="X3826" s="4"/>
    </row>
    <row r="3827" spans="17:24" x14ac:dyDescent="0.3">
      <c r="Q3827" s="4"/>
      <c r="R3827" s="4"/>
      <c r="S3827" s="4"/>
      <c r="T3827" s="4"/>
      <c r="U3827" s="4"/>
      <c r="V3827" s="4"/>
      <c r="W3827" s="4"/>
      <c r="X3827" s="4"/>
    </row>
    <row r="3828" spans="17:24" x14ac:dyDescent="0.3">
      <c r="Q3828" s="4"/>
      <c r="R3828" s="4"/>
      <c r="S3828" s="4"/>
      <c r="T3828" s="4"/>
      <c r="U3828" s="4"/>
      <c r="V3828" s="4"/>
      <c r="W3828" s="4"/>
      <c r="X3828" s="4"/>
    </row>
    <row r="3829" spans="17:24" x14ac:dyDescent="0.3">
      <c r="Q3829" s="4"/>
      <c r="R3829" s="4"/>
      <c r="S3829" s="4"/>
      <c r="T3829" s="4"/>
      <c r="U3829" s="4"/>
      <c r="V3829" s="4"/>
      <c r="W3829" s="4"/>
      <c r="X3829" s="4"/>
    </row>
    <row r="3830" spans="17:24" x14ac:dyDescent="0.3">
      <c r="Q3830" s="4"/>
      <c r="R3830" s="4"/>
      <c r="S3830" s="4"/>
      <c r="T3830" s="4"/>
      <c r="U3830" s="4"/>
      <c r="V3830" s="4"/>
      <c r="W3830" s="4"/>
      <c r="X3830" s="4"/>
    </row>
    <row r="3831" spans="17:24" x14ac:dyDescent="0.3">
      <c r="Q3831" s="4"/>
      <c r="R3831" s="4"/>
      <c r="S3831" s="4"/>
      <c r="T3831" s="4"/>
      <c r="U3831" s="4"/>
      <c r="V3831" s="4"/>
      <c r="W3831" s="4"/>
      <c r="X3831" s="4"/>
    </row>
    <row r="3832" spans="17:24" x14ac:dyDescent="0.3">
      <c r="Q3832" s="4"/>
      <c r="R3832" s="4"/>
      <c r="S3832" s="4"/>
      <c r="T3832" s="4"/>
      <c r="U3832" s="4"/>
      <c r="V3832" s="4"/>
      <c r="W3832" s="4"/>
      <c r="X3832" s="4"/>
    </row>
    <row r="3833" spans="17:24" x14ac:dyDescent="0.3">
      <c r="Q3833" s="4"/>
      <c r="R3833" s="4"/>
      <c r="S3833" s="4"/>
      <c r="T3833" s="4"/>
      <c r="U3833" s="4"/>
      <c r="V3833" s="4"/>
      <c r="W3833" s="4"/>
      <c r="X3833" s="4"/>
    </row>
    <row r="3834" spans="17:24" x14ac:dyDescent="0.3">
      <c r="Q3834" s="4"/>
      <c r="R3834" s="4"/>
      <c r="S3834" s="4"/>
      <c r="T3834" s="4"/>
      <c r="U3834" s="4"/>
      <c r="V3834" s="4"/>
      <c r="W3834" s="4"/>
      <c r="X3834" s="4"/>
    </row>
    <row r="3835" spans="17:24" x14ac:dyDescent="0.3">
      <c r="Q3835" s="4"/>
      <c r="R3835" s="4"/>
      <c r="S3835" s="4"/>
      <c r="T3835" s="4"/>
      <c r="U3835" s="4"/>
      <c r="V3835" s="4"/>
      <c r="W3835" s="4"/>
      <c r="X3835" s="4"/>
    </row>
    <row r="3836" spans="17:24" x14ac:dyDescent="0.3">
      <c r="Q3836" s="4"/>
      <c r="R3836" s="4"/>
      <c r="S3836" s="4"/>
      <c r="T3836" s="4"/>
      <c r="U3836" s="4"/>
      <c r="V3836" s="4"/>
      <c r="W3836" s="4"/>
      <c r="X3836" s="4"/>
    </row>
    <row r="3837" spans="17:24" x14ac:dyDescent="0.3">
      <c r="Q3837" s="4"/>
      <c r="R3837" s="4"/>
      <c r="S3837" s="4"/>
      <c r="T3837" s="4"/>
      <c r="U3837" s="4"/>
      <c r="V3837" s="4"/>
      <c r="W3837" s="4"/>
      <c r="X3837" s="4"/>
    </row>
    <row r="3838" spans="17:24" x14ac:dyDescent="0.3">
      <c r="Q3838" s="4"/>
      <c r="R3838" s="4"/>
      <c r="S3838" s="4"/>
      <c r="T3838" s="4"/>
      <c r="U3838" s="4"/>
      <c r="V3838" s="4"/>
      <c r="W3838" s="4"/>
      <c r="X3838" s="4"/>
    </row>
    <row r="3839" spans="17:24" x14ac:dyDescent="0.3">
      <c r="Q3839" s="4"/>
      <c r="R3839" s="4"/>
      <c r="S3839" s="4"/>
      <c r="T3839" s="4"/>
      <c r="U3839" s="4"/>
      <c r="V3839" s="4"/>
      <c r="W3839" s="4"/>
      <c r="X3839" s="4"/>
    </row>
    <row r="3840" spans="17:24" x14ac:dyDescent="0.3">
      <c r="Q3840" s="4"/>
      <c r="R3840" s="4"/>
      <c r="S3840" s="4"/>
      <c r="T3840" s="4"/>
      <c r="U3840" s="4"/>
      <c r="V3840" s="4"/>
      <c r="W3840" s="4"/>
      <c r="X3840" s="4"/>
    </row>
    <row r="3841" spans="17:24" x14ac:dyDescent="0.3">
      <c r="Q3841" s="4"/>
      <c r="R3841" s="4"/>
      <c r="S3841" s="4"/>
      <c r="T3841" s="4"/>
      <c r="U3841" s="4"/>
      <c r="V3841" s="4"/>
      <c r="W3841" s="4"/>
      <c r="X3841" s="4"/>
    </row>
    <row r="3842" spans="17:24" x14ac:dyDescent="0.3">
      <c r="Q3842" s="4"/>
      <c r="R3842" s="4"/>
      <c r="S3842" s="4"/>
      <c r="T3842" s="4"/>
      <c r="U3842" s="4"/>
      <c r="V3842" s="4"/>
      <c r="W3842" s="4"/>
      <c r="X3842" s="4"/>
    </row>
    <row r="3843" spans="17:24" x14ac:dyDescent="0.3">
      <c r="Q3843" s="4"/>
      <c r="R3843" s="4"/>
      <c r="S3843" s="4"/>
      <c r="T3843" s="4"/>
      <c r="U3843" s="4"/>
      <c r="V3843" s="4"/>
      <c r="W3843" s="4"/>
      <c r="X3843" s="4"/>
    </row>
    <row r="3844" spans="17:24" x14ac:dyDescent="0.3">
      <c r="Q3844" s="4"/>
      <c r="R3844" s="4"/>
      <c r="S3844" s="4"/>
      <c r="T3844" s="4"/>
      <c r="U3844" s="4"/>
      <c r="V3844" s="4"/>
      <c r="W3844" s="4"/>
      <c r="X3844" s="4"/>
    </row>
    <row r="3845" spans="17:24" x14ac:dyDescent="0.3">
      <c r="Q3845" s="4"/>
      <c r="R3845" s="4"/>
      <c r="S3845" s="4"/>
      <c r="T3845" s="4"/>
      <c r="U3845" s="4"/>
      <c r="V3845" s="4"/>
      <c r="W3845" s="4"/>
      <c r="X3845" s="4"/>
    </row>
    <row r="3846" spans="17:24" x14ac:dyDescent="0.3">
      <c r="Q3846" s="4"/>
      <c r="R3846" s="4"/>
      <c r="S3846" s="4"/>
      <c r="T3846" s="4"/>
      <c r="U3846" s="4"/>
      <c r="V3846" s="4"/>
      <c r="W3846" s="4"/>
      <c r="X3846" s="4"/>
    </row>
    <row r="3847" spans="17:24" x14ac:dyDescent="0.3">
      <c r="Q3847" s="4"/>
      <c r="R3847" s="4"/>
      <c r="S3847" s="4"/>
      <c r="T3847" s="4"/>
      <c r="U3847" s="4"/>
      <c r="V3847" s="4"/>
      <c r="W3847" s="4"/>
      <c r="X3847" s="4"/>
    </row>
    <row r="3848" spans="17:24" x14ac:dyDescent="0.3">
      <c r="Q3848" s="4"/>
      <c r="R3848" s="4"/>
      <c r="S3848" s="4"/>
      <c r="T3848" s="4"/>
      <c r="U3848" s="4"/>
      <c r="V3848" s="4"/>
      <c r="W3848" s="4"/>
      <c r="X3848" s="4"/>
    </row>
    <row r="3849" spans="17:24" x14ac:dyDescent="0.3">
      <c r="Q3849" s="4"/>
      <c r="R3849" s="4"/>
      <c r="S3849" s="4"/>
      <c r="T3849" s="4"/>
      <c r="U3849" s="4"/>
      <c r="V3849" s="4"/>
      <c r="W3849" s="4"/>
      <c r="X3849" s="4"/>
    </row>
    <row r="3850" spans="17:24" x14ac:dyDescent="0.3">
      <c r="Q3850" s="4"/>
      <c r="R3850" s="4"/>
      <c r="S3850" s="4"/>
      <c r="T3850" s="4"/>
      <c r="U3850" s="4"/>
      <c r="V3850" s="4"/>
      <c r="W3850" s="4"/>
      <c r="X3850" s="4"/>
    </row>
    <row r="3851" spans="17:24" x14ac:dyDescent="0.3">
      <c r="Q3851" s="4"/>
      <c r="R3851" s="4"/>
      <c r="S3851" s="4"/>
      <c r="T3851" s="4"/>
      <c r="U3851" s="4"/>
      <c r="V3851" s="4"/>
      <c r="W3851" s="4"/>
      <c r="X3851" s="4"/>
    </row>
    <row r="3852" spans="17:24" x14ac:dyDescent="0.3">
      <c r="Q3852" s="4"/>
      <c r="R3852" s="4"/>
      <c r="S3852" s="4"/>
      <c r="T3852" s="4"/>
      <c r="U3852" s="4"/>
      <c r="V3852" s="4"/>
      <c r="W3852" s="4"/>
      <c r="X3852" s="4"/>
    </row>
    <row r="3853" spans="17:24" x14ac:dyDescent="0.3">
      <c r="Q3853" s="4"/>
      <c r="R3853" s="4"/>
      <c r="S3853" s="4"/>
      <c r="T3853" s="4"/>
      <c r="U3853" s="4"/>
      <c r="V3853" s="4"/>
      <c r="W3853" s="4"/>
      <c r="X3853" s="4"/>
    </row>
    <row r="3854" spans="17:24" x14ac:dyDescent="0.3">
      <c r="Q3854" s="4"/>
      <c r="R3854" s="4"/>
      <c r="S3854" s="4"/>
      <c r="T3854" s="4"/>
      <c r="U3854" s="4"/>
      <c r="V3854" s="4"/>
      <c r="W3854" s="4"/>
      <c r="X3854" s="4"/>
    </row>
    <row r="3855" spans="17:24" x14ac:dyDescent="0.3">
      <c r="Q3855" s="4"/>
      <c r="R3855" s="4"/>
      <c r="S3855" s="4"/>
      <c r="T3855" s="4"/>
      <c r="U3855" s="4"/>
      <c r="V3855" s="4"/>
      <c r="W3855" s="4"/>
      <c r="X3855" s="4"/>
    </row>
    <row r="3856" spans="17:24" x14ac:dyDescent="0.3">
      <c r="Q3856" s="4"/>
      <c r="R3856" s="4"/>
      <c r="S3856" s="4"/>
      <c r="T3856" s="4"/>
      <c r="U3856" s="4"/>
      <c r="V3856" s="4"/>
      <c r="W3856" s="4"/>
      <c r="X3856" s="4"/>
    </row>
    <row r="3857" spans="17:24" x14ac:dyDescent="0.3">
      <c r="Q3857" s="4"/>
      <c r="R3857" s="4"/>
      <c r="S3857" s="4"/>
      <c r="T3857" s="4"/>
      <c r="U3857" s="4"/>
      <c r="V3857" s="4"/>
      <c r="W3857" s="4"/>
      <c r="X3857" s="4"/>
    </row>
    <row r="3858" spans="17:24" x14ac:dyDescent="0.3">
      <c r="Q3858" s="4"/>
      <c r="R3858" s="4"/>
      <c r="S3858" s="4"/>
      <c r="T3858" s="4"/>
      <c r="U3858" s="4"/>
      <c r="V3858" s="4"/>
      <c r="W3858" s="4"/>
      <c r="X3858" s="4"/>
    </row>
    <row r="3859" spans="17:24" x14ac:dyDescent="0.3">
      <c r="Q3859" s="4"/>
      <c r="R3859" s="4"/>
      <c r="S3859" s="4"/>
      <c r="T3859" s="4"/>
      <c r="U3859" s="4"/>
      <c r="V3859" s="4"/>
      <c r="W3859" s="4"/>
      <c r="X3859" s="4"/>
    </row>
    <row r="3860" spans="17:24" x14ac:dyDescent="0.3">
      <c r="Q3860" s="4"/>
      <c r="R3860" s="4"/>
      <c r="S3860" s="4"/>
      <c r="T3860" s="4"/>
      <c r="U3860" s="4"/>
      <c r="V3860" s="4"/>
      <c r="W3860" s="4"/>
      <c r="X3860" s="4"/>
    </row>
    <row r="3861" spans="17:24" x14ac:dyDescent="0.3">
      <c r="Q3861" s="4"/>
      <c r="R3861" s="4"/>
      <c r="S3861" s="4"/>
      <c r="T3861" s="4"/>
      <c r="U3861" s="4"/>
      <c r="V3861" s="4"/>
      <c r="W3861" s="4"/>
      <c r="X3861" s="4"/>
    </row>
    <row r="3862" spans="17:24" x14ac:dyDescent="0.3">
      <c r="Q3862" s="4"/>
      <c r="R3862" s="4"/>
      <c r="S3862" s="4"/>
      <c r="T3862" s="4"/>
      <c r="U3862" s="4"/>
      <c r="V3862" s="4"/>
      <c r="W3862" s="4"/>
      <c r="X3862" s="4"/>
    </row>
    <row r="3863" spans="17:24" x14ac:dyDescent="0.3">
      <c r="Q3863" s="4"/>
      <c r="R3863" s="4"/>
      <c r="S3863" s="4"/>
      <c r="T3863" s="4"/>
      <c r="U3863" s="4"/>
      <c r="V3863" s="4"/>
      <c r="W3863" s="4"/>
      <c r="X3863" s="4"/>
    </row>
    <row r="3864" spans="17:24" x14ac:dyDescent="0.3">
      <c r="Q3864" s="4"/>
      <c r="R3864" s="4"/>
      <c r="S3864" s="4"/>
      <c r="T3864" s="4"/>
      <c r="U3864" s="4"/>
      <c r="V3864" s="4"/>
      <c r="W3864" s="4"/>
      <c r="X3864" s="4"/>
    </row>
    <row r="3865" spans="17:24" x14ac:dyDescent="0.3">
      <c r="Q3865" s="4"/>
      <c r="R3865" s="4"/>
      <c r="S3865" s="4"/>
      <c r="T3865" s="4"/>
      <c r="U3865" s="4"/>
      <c r="V3865" s="4"/>
      <c r="W3865" s="4"/>
      <c r="X3865" s="4"/>
    </row>
    <row r="3866" spans="17:24" x14ac:dyDescent="0.3">
      <c r="Q3866" s="4"/>
      <c r="R3866" s="4"/>
      <c r="S3866" s="4"/>
      <c r="T3866" s="4"/>
      <c r="U3866" s="4"/>
      <c r="V3866" s="4"/>
      <c r="W3866" s="4"/>
      <c r="X3866" s="4"/>
    </row>
    <row r="3867" spans="17:24" x14ac:dyDescent="0.3">
      <c r="Q3867" s="4"/>
      <c r="R3867" s="4"/>
      <c r="S3867" s="4"/>
      <c r="T3867" s="4"/>
      <c r="U3867" s="4"/>
      <c r="V3867" s="4"/>
      <c r="W3867" s="4"/>
      <c r="X3867" s="4"/>
    </row>
    <row r="3868" spans="17:24" x14ac:dyDescent="0.3">
      <c r="Q3868" s="4"/>
      <c r="R3868" s="4"/>
      <c r="S3868" s="4"/>
      <c r="T3868" s="4"/>
      <c r="U3868" s="4"/>
      <c r="V3868" s="4"/>
      <c r="W3868" s="4"/>
      <c r="X3868" s="4"/>
    </row>
    <row r="3869" spans="17:24" x14ac:dyDescent="0.3">
      <c r="Q3869" s="4"/>
      <c r="R3869" s="4"/>
      <c r="S3869" s="4"/>
      <c r="T3869" s="4"/>
      <c r="U3869" s="4"/>
      <c r="V3869" s="4"/>
      <c r="W3869" s="4"/>
      <c r="X3869" s="4"/>
    </row>
    <row r="3870" spans="17:24" x14ac:dyDescent="0.3">
      <c r="Q3870" s="4"/>
      <c r="R3870" s="4"/>
      <c r="S3870" s="4"/>
      <c r="T3870" s="4"/>
      <c r="U3870" s="4"/>
      <c r="V3870" s="4"/>
      <c r="W3870" s="4"/>
      <c r="X3870" s="4"/>
    </row>
    <row r="3871" spans="17:24" x14ac:dyDescent="0.3">
      <c r="Q3871" s="4"/>
      <c r="R3871" s="4"/>
      <c r="S3871" s="4"/>
      <c r="T3871" s="4"/>
      <c r="U3871" s="4"/>
      <c r="V3871" s="4"/>
      <c r="W3871" s="4"/>
      <c r="X3871" s="4"/>
    </row>
    <row r="3872" spans="17:24" x14ac:dyDescent="0.3">
      <c r="Q3872" s="4"/>
      <c r="R3872" s="4"/>
      <c r="S3872" s="4"/>
      <c r="T3872" s="4"/>
      <c r="U3872" s="4"/>
      <c r="V3872" s="4"/>
      <c r="W3872" s="4"/>
      <c r="X3872" s="4"/>
    </row>
    <row r="3873" spans="17:24" x14ac:dyDescent="0.3">
      <c r="Q3873" s="4"/>
      <c r="R3873" s="4"/>
      <c r="S3873" s="4"/>
      <c r="T3873" s="4"/>
      <c r="U3873" s="4"/>
      <c r="V3873" s="4"/>
      <c r="W3873" s="4"/>
      <c r="X3873" s="4"/>
    </row>
    <row r="3874" spans="17:24" x14ac:dyDescent="0.3">
      <c r="Q3874" s="4"/>
      <c r="R3874" s="4"/>
      <c r="S3874" s="4"/>
      <c r="T3874" s="4"/>
      <c r="U3874" s="4"/>
      <c r="V3874" s="4"/>
      <c r="W3874" s="4"/>
      <c r="X3874" s="4"/>
    </row>
    <row r="3875" spans="17:24" x14ac:dyDescent="0.3">
      <c r="Q3875" s="4"/>
      <c r="R3875" s="4"/>
      <c r="S3875" s="4"/>
      <c r="T3875" s="4"/>
      <c r="U3875" s="4"/>
      <c r="V3875" s="4"/>
      <c r="W3875" s="4"/>
      <c r="X3875" s="4"/>
    </row>
    <row r="3876" spans="17:24" x14ac:dyDescent="0.3">
      <c r="Q3876" s="4"/>
      <c r="R3876" s="4"/>
      <c r="S3876" s="4"/>
      <c r="T3876" s="4"/>
      <c r="U3876" s="4"/>
      <c r="V3876" s="4"/>
      <c r="W3876" s="4"/>
      <c r="X3876" s="4"/>
    </row>
    <row r="3877" spans="17:24" x14ac:dyDescent="0.3">
      <c r="Q3877" s="4"/>
      <c r="R3877" s="4"/>
      <c r="S3877" s="4"/>
      <c r="T3877" s="4"/>
      <c r="U3877" s="4"/>
      <c r="V3877" s="4"/>
      <c r="W3877" s="4"/>
      <c r="X3877" s="4"/>
    </row>
    <row r="3878" spans="17:24" x14ac:dyDescent="0.3">
      <c r="Q3878" s="4"/>
      <c r="R3878" s="4"/>
      <c r="S3878" s="4"/>
      <c r="T3878" s="4"/>
      <c r="U3878" s="4"/>
      <c r="V3878" s="4"/>
      <c r="W3878" s="4"/>
      <c r="X3878" s="4"/>
    </row>
    <row r="3879" spans="17:24" x14ac:dyDescent="0.3">
      <c r="Q3879" s="4"/>
      <c r="R3879" s="4"/>
      <c r="S3879" s="4"/>
      <c r="T3879" s="4"/>
      <c r="U3879" s="4"/>
      <c r="V3879" s="4"/>
      <c r="W3879" s="4"/>
      <c r="X3879" s="4"/>
    </row>
    <row r="3880" spans="17:24" x14ac:dyDescent="0.3">
      <c r="Q3880" s="4"/>
      <c r="R3880" s="4"/>
      <c r="S3880" s="4"/>
      <c r="T3880" s="4"/>
      <c r="U3880" s="4"/>
      <c r="V3880" s="4"/>
      <c r="W3880" s="4"/>
      <c r="X3880" s="4"/>
    </row>
    <row r="3881" spans="17:24" x14ac:dyDescent="0.3">
      <c r="Q3881" s="4"/>
      <c r="R3881" s="4"/>
      <c r="S3881" s="4"/>
      <c r="T3881" s="4"/>
      <c r="U3881" s="4"/>
      <c r="V3881" s="4"/>
      <c r="W3881" s="4"/>
      <c r="X3881" s="4"/>
    </row>
    <row r="3882" spans="17:24" x14ac:dyDescent="0.3">
      <c r="Q3882" s="4"/>
      <c r="R3882" s="4"/>
      <c r="S3882" s="4"/>
      <c r="T3882" s="4"/>
      <c r="U3882" s="4"/>
      <c r="V3882" s="4"/>
      <c r="W3882" s="4"/>
      <c r="X3882" s="4"/>
    </row>
    <row r="3883" spans="17:24" x14ac:dyDescent="0.3">
      <c r="Q3883" s="4"/>
      <c r="R3883" s="4"/>
      <c r="S3883" s="4"/>
      <c r="T3883" s="4"/>
      <c r="U3883" s="4"/>
      <c r="V3883" s="4"/>
      <c r="W3883" s="4"/>
      <c r="X3883" s="4"/>
    </row>
    <row r="3884" spans="17:24" x14ac:dyDescent="0.3">
      <c r="Q3884" s="4"/>
      <c r="R3884" s="4"/>
      <c r="S3884" s="4"/>
      <c r="T3884" s="4"/>
      <c r="U3884" s="4"/>
      <c r="V3884" s="4"/>
      <c r="W3884" s="4"/>
      <c r="X3884" s="4"/>
    </row>
    <row r="3885" spans="17:24" x14ac:dyDescent="0.3">
      <c r="Q3885" s="4"/>
      <c r="R3885" s="4"/>
      <c r="S3885" s="4"/>
      <c r="T3885" s="4"/>
      <c r="U3885" s="4"/>
      <c r="V3885" s="4"/>
      <c r="W3885" s="4"/>
      <c r="X3885" s="4"/>
    </row>
    <row r="3886" spans="17:24" x14ac:dyDescent="0.3">
      <c r="Q3886" s="4"/>
      <c r="R3886" s="4"/>
      <c r="S3886" s="4"/>
      <c r="T3886" s="4"/>
      <c r="U3886" s="4"/>
      <c r="V3886" s="4"/>
      <c r="W3886" s="4"/>
      <c r="X3886" s="4"/>
    </row>
    <row r="3887" spans="17:24" x14ac:dyDescent="0.3">
      <c r="Q3887" s="4"/>
      <c r="R3887" s="4"/>
      <c r="S3887" s="4"/>
      <c r="T3887" s="4"/>
      <c r="U3887" s="4"/>
      <c r="V3887" s="4"/>
      <c r="W3887" s="4"/>
      <c r="X3887" s="4"/>
    </row>
    <row r="3888" spans="17:24" x14ac:dyDescent="0.3">
      <c r="Q3888" s="4"/>
      <c r="R3888" s="4"/>
      <c r="S3888" s="4"/>
      <c r="T3888" s="4"/>
      <c r="U3888" s="4"/>
      <c r="V3888" s="4"/>
      <c r="W3888" s="4"/>
      <c r="X3888" s="4"/>
    </row>
    <row r="3889" spans="17:24" x14ac:dyDescent="0.3">
      <c r="Q3889" s="4"/>
      <c r="R3889" s="4"/>
      <c r="S3889" s="4"/>
      <c r="T3889" s="4"/>
      <c r="U3889" s="4"/>
      <c r="V3889" s="4"/>
      <c r="W3889" s="4"/>
      <c r="X3889" s="4"/>
    </row>
    <row r="3890" spans="17:24" x14ac:dyDescent="0.3">
      <c r="Q3890" s="4"/>
      <c r="R3890" s="4"/>
      <c r="S3890" s="4"/>
      <c r="T3890" s="4"/>
      <c r="U3890" s="4"/>
      <c r="V3890" s="4"/>
      <c r="W3890" s="4"/>
      <c r="X3890" s="4"/>
    </row>
    <row r="3891" spans="17:24" x14ac:dyDescent="0.3">
      <c r="Q3891" s="4"/>
      <c r="R3891" s="4"/>
      <c r="S3891" s="4"/>
      <c r="T3891" s="4"/>
      <c r="U3891" s="4"/>
      <c r="V3891" s="4"/>
      <c r="W3891" s="4"/>
      <c r="X3891" s="4"/>
    </row>
    <row r="3892" spans="17:24" x14ac:dyDescent="0.3">
      <c r="Q3892" s="4"/>
      <c r="R3892" s="4"/>
      <c r="S3892" s="4"/>
      <c r="T3892" s="4"/>
      <c r="U3892" s="4"/>
      <c r="V3892" s="4"/>
      <c r="W3892" s="4"/>
      <c r="X3892" s="4"/>
    </row>
    <row r="3893" spans="17:24" x14ac:dyDescent="0.3">
      <c r="Q3893" s="4"/>
      <c r="R3893" s="4"/>
      <c r="S3893" s="4"/>
      <c r="T3893" s="4"/>
      <c r="U3893" s="4"/>
      <c r="V3893" s="4"/>
      <c r="W3893" s="4"/>
      <c r="X3893" s="4"/>
    </row>
    <row r="3894" spans="17:24" x14ac:dyDescent="0.3">
      <c r="Q3894" s="4"/>
      <c r="R3894" s="4"/>
      <c r="S3894" s="4"/>
      <c r="T3894" s="4"/>
      <c r="U3894" s="4"/>
      <c r="V3894" s="4"/>
      <c r="W3894" s="4"/>
      <c r="X3894" s="4"/>
    </row>
    <row r="3895" spans="17:24" x14ac:dyDescent="0.3">
      <c r="Q3895" s="4"/>
      <c r="R3895" s="4"/>
      <c r="S3895" s="4"/>
      <c r="T3895" s="4"/>
      <c r="U3895" s="4"/>
      <c r="V3895" s="4"/>
      <c r="W3895" s="4"/>
      <c r="X3895" s="4"/>
    </row>
    <row r="3896" spans="17:24" x14ac:dyDescent="0.3">
      <c r="Q3896" s="4"/>
      <c r="R3896" s="4"/>
      <c r="S3896" s="4"/>
      <c r="T3896" s="4"/>
      <c r="U3896" s="4"/>
      <c r="V3896" s="4"/>
      <c r="W3896" s="4"/>
      <c r="X3896" s="4"/>
    </row>
    <row r="3897" spans="17:24" x14ac:dyDescent="0.3">
      <c r="Q3897" s="4"/>
      <c r="R3897" s="4"/>
      <c r="S3897" s="4"/>
      <c r="T3897" s="4"/>
      <c r="U3897" s="4"/>
      <c r="V3897" s="4"/>
      <c r="W3897" s="4"/>
      <c r="X3897" s="4"/>
    </row>
    <row r="3898" spans="17:24" x14ac:dyDescent="0.3">
      <c r="Q3898" s="4"/>
      <c r="R3898" s="4"/>
      <c r="S3898" s="4"/>
      <c r="T3898" s="4"/>
      <c r="U3898" s="4"/>
      <c r="V3898" s="4"/>
      <c r="W3898" s="4"/>
      <c r="X3898" s="4"/>
    </row>
    <row r="3899" spans="17:24" x14ac:dyDescent="0.3">
      <c r="Q3899" s="4"/>
      <c r="R3899" s="4"/>
      <c r="S3899" s="4"/>
      <c r="T3899" s="4"/>
      <c r="U3899" s="4"/>
      <c r="V3899" s="4"/>
      <c r="W3899" s="4"/>
      <c r="X3899" s="4"/>
    </row>
    <row r="3900" spans="17:24" x14ac:dyDescent="0.3">
      <c r="Q3900" s="4"/>
      <c r="R3900" s="4"/>
      <c r="S3900" s="4"/>
      <c r="T3900" s="4"/>
      <c r="U3900" s="4"/>
      <c r="V3900" s="4"/>
      <c r="W3900" s="4"/>
      <c r="X3900" s="4"/>
    </row>
    <row r="3901" spans="17:24" x14ac:dyDescent="0.3">
      <c r="Q3901" s="4"/>
      <c r="R3901" s="4"/>
      <c r="S3901" s="4"/>
      <c r="T3901" s="4"/>
      <c r="U3901" s="4"/>
      <c r="V3901" s="4"/>
      <c r="W3901" s="4"/>
      <c r="X3901" s="4"/>
    </row>
    <row r="3902" spans="17:24" x14ac:dyDescent="0.3">
      <c r="Q3902" s="4"/>
      <c r="R3902" s="4"/>
      <c r="S3902" s="4"/>
      <c r="T3902" s="4"/>
      <c r="U3902" s="4"/>
      <c r="V3902" s="4"/>
      <c r="W3902" s="4"/>
      <c r="X3902" s="4"/>
    </row>
    <row r="3903" spans="17:24" x14ac:dyDescent="0.3">
      <c r="Q3903" s="4"/>
      <c r="R3903" s="4"/>
      <c r="S3903" s="4"/>
      <c r="T3903" s="4"/>
      <c r="U3903" s="4"/>
      <c r="V3903" s="4"/>
      <c r="W3903" s="4"/>
      <c r="X3903" s="4"/>
    </row>
    <row r="3904" spans="17:24" x14ac:dyDescent="0.3">
      <c r="Q3904" s="4"/>
      <c r="R3904" s="4"/>
      <c r="S3904" s="4"/>
      <c r="T3904" s="4"/>
      <c r="U3904" s="4"/>
      <c r="V3904" s="4"/>
      <c r="W3904" s="4"/>
      <c r="X3904" s="4"/>
    </row>
    <row r="3905" spans="17:24" x14ac:dyDescent="0.3">
      <c r="Q3905" s="4"/>
      <c r="R3905" s="4"/>
      <c r="S3905" s="4"/>
      <c r="T3905" s="4"/>
      <c r="U3905" s="4"/>
      <c r="V3905" s="4"/>
      <c r="W3905" s="4"/>
      <c r="X3905" s="4"/>
    </row>
    <row r="3906" spans="17:24" x14ac:dyDescent="0.3">
      <c r="Q3906" s="4"/>
      <c r="R3906" s="4"/>
      <c r="S3906" s="4"/>
      <c r="T3906" s="4"/>
      <c r="U3906" s="4"/>
      <c r="V3906" s="4"/>
      <c r="W3906" s="4"/>
      <c r="X3906" s="4"/>
    </row>
    <row r="3907" spans="17:24" x14ac:dyDescent="0.3">
      <c r="Q3907" s="4"/>
      <c r="R3907" s="4"/>
      <c r="S3907" s="4"/>
      <c r="T3907" s="4"/>
      <c r="U3907" s="4"/>
      <c r="V3907" s="4"/>
      <c r="W3907" s="4"/>
      <c r="X3907" s="4"/>
    </row>
    <row r="3908" spans="17:24" x14ac:dyDescent="0.3">
      <c r="Q3908" s="4"/>
      <c r="R3908" s="4"/>
      <c r="S3908" s="4"/>
      <c r="T3908" s="4"/>
      <c r="U3908" s="4"/>
      <c r="V3908" s="4"/>
      <c r="W3908" s="4"/>
      <c r="X3908" s="4"/>
    </row>
    <row r="3909" spans="17:24" x14ac:dyDescent="0.3">
      <c r="Q3909" s="4"/>
      <c r="R3909" s="4"/>
      <c r="S3909" s="4"/>
      <c r="T3909" s="4"/>
      <c r="U3909" s="4"/>
      <c r="V3909" s="4"/>
      <c r="W3909" s="4"/>
      <c r="X3909" s="4"/>
    </row>
    <row r="3910" spans="17:24" x14ac:dyDescent="0.3">
      <c r="Q3910" s="4"/>
      <c r="R3910" s="4"/>
      <c r="S3910" s="4"/>
      <c r="T3910" s="4"/>
      <c r="U3910" s="4"/>
      <c r="V3910" s="4"/>
      <c r="W3910" s="4"/>
      <c r="X3910" s="4"/>
    </row>
    <row r="3911" spans="17:24" x14ac:dyDescent="0.3">
      <c r="Q3911" s="4"/>
      <c r="R3911" s="4"/>
      <c r="S3911" s="4"/>
      <c r="T3911" s="4"/>
      <c r="U3911" s="4"/>
      <c r="V3911" s="4"/>
      <c r="W3911" s="4"/>
      <c r="X3911" s="4"/>
    </row>
    <row r="3912" spans="17:24" x14ac:dyDescent="0.3">
      <c r="Q3912" s="4"/>
      <c r="R3912" s="4"/>
      <c r="S3912" s="4"/>
      <c r="T3912" s="4"/>
      <c r="U3912" s="4"/>
      <c r="V3912" s="4"/>
      <c r="W3912" s="4"/>
      <c r="X3912" s="4"/>
    </row>
    <row r="3913" spans="17:24" x14ac:dyDescent="0.3">
      <c r="Q3913" s="4"/>
      <c r="R3913" s="4"/>
      <c r="S3913" s="4"/>
      <c r="T3913" s="4"/>
      <c r="U3913" s="4"/>
      <c r="V3913" s="4"/>
      <c r="W3913" s="4"/>
      <c r="X3913" s="4"/>
    </row>
    <row r="3914" spans="17:24" x14ac:dyDescent="0.3">
      <c r="Q3914" s="4"/>
      <c r="R3914" s="4"/>
      <c r="S3914" s="4"/>
      <c r="T3914" s="4"/>
      <c r="U3914" s="4"/>
      <c r="V3914" s="4"/>
      <c r="W3914" s="4"/>
      <c r="X3914" s="4"/>
    </row>
    <row r="3915" spans="17:24" x14ac:dyDescent="0.3">
      <c r="Q3915" s="4"/>
      <c r="R3915" s="4"/>
      <c r="S3915" s="4"/>
      <c r="T3915" s="4"/>
      <c r="U3915" s="4"/>
      <c r="V3915" s="4"/>
      <c r="W3915" s="4"/>
      <c r="X3915" s="4"/>
    </row>
    <row r="3916" spans="17:24" x14ac:dyDescent="0.3">
      <c r="Q3916" s="4"/>
      <c r="R3916" s="4"/>
      <c r="S3916" s="4"/>
      <c r="T3916" s="4"/>
      <c r="U3916" s="4"/>
      <c r="V3916" s="4"/>
      <c r="W3916" s="4"/>
      <c r="X3916" s="4"/>
    </row>
    <row r="3917" spans="17:24" x14ac:dyDescent="0.3">
      <c r="Q3917" s="4"/>
      <c r="R3917" s="4"/>
      <c r="S3917" s="4"/>
      <c r="T3917" s="4"/>
      <c r="U3917" s="4"/>
      <c r="V3917" s="4"/>
      <c r="W3917" s="4"/>
      <c r="X3917" s="4"/>
    </row>
    <row r="3918" spans="17:24" x14ac:dyDescent="0.3">
      <c r="Q3918" s="4"/>
      <c r="R3918" s="4"/>
      <c r="S3918" s="4"/>
      <c r="T3918" s="4"/>
      <c r="U3918" s="4"/>
      <c r="V3918" s="4"/>
      <c r="W3918" s="4"/>
      <c r="X3918" s="4"/>
    </row>
    <row r="3919" spans="17:24" x14ac:dyDescent="0.3">
      <c r="Q3919" s="4"/>
      <c r="R3919" s="4"/>
      <c r="S3919" s="4"/>
      <c r="T3919" s="4"/>
      <c r="U3919" s="4"/>
      <c r="V3919" s="4"/>
      <c r="W3919" s="4"/>
      <c r="X3919" s="4"/>
    </row>
    <row r="3920" spans="17:24" x14ac:dyDescent="0.3">
      <c r="Q3920" s="4"/>
      <c r="R3920" s="4"/>
      <c r="S3920" s="4"/>
      <c r="T3920" s="4"/>
      <c r="U3920" s="4"/>
      <c r="V3920" s="4"/>
      <c r="W3920" s="4"/>
      <c r="X3920" s="4"/>
    </row>
    <row r="3921" spans="17:24" x14ac:dyDescent="0.3">
      <c r="Q3921" s="4"/>
      <c r="R3921" s="4"/>
      <c r="S3921" s="4"/>
      <c r="T3921" s="4"/>
      <c r="U3921" s="4"/>
      <c r="V3921" s="4"/>
      <c r="W3921" s="4"/>
      <c r="X3921" s="4"/>
    </row>
    <row r="3922" spans="17:24" x14ac:dyDescent="0.3">
      <c r="Q3922" s="4"/>
      <c r="R3922" s="4"/>
      <c r="S3922" s="4"/>
      <c r="T3922" s="4"/>
      <c r="U3922" s="4"/>
      <c r="V3922" s="4"/>
      <c r="W3922" s="4"/>
      <c r="X3922" s="4"/>
    </row>
    <row r="3923" spans="17:24" x14ac:dyDescent="0.3">
      <c r="Q3923" s="4"/>
      <c r="R3923" s="4"/>
      <c r="S3923" s="4"/>
      <c r="T3923" s="4"/>
      <c r="U3923" s="4"/>
      <c r="V3923" s="4"/>
      <c r="W3923" s="4"/>
      <c r="X3923" s="4"/>
    </row>
    <row r="3924" spans="17:24" x14ac:dyDescent="0.3">
      <c r="Q3924" s="4"/>
      <c r="R3924" s="4"/>
      <c r="S3924" s="4"/>
      <c r="T3924" s="4"/>
      <c r="U3924" s="4"/>
      <c r="V3924" s="4"/>
      <c r="W3924" s="4"/>
      <c r="X3924" s="4"/>
    </row>
    <row r="3925" spans="17:24" x14ac:dyDescent="0.3">
      <c r="Q3925" s="4"/>
      <c r="R3925" s="4"/>
      <c r="S3925" s="4"/>
      <c r="T3925" s="4"/>
      <c r="U3925" s="4"/>
      <c r="V3925" s="4"/>
      <c r="W3925" s="4"/>
      <c r="X3925" s="4"/>
    </row>
    <row r="3926" spans="17:24" x14ac:dyDescent="0.3">
      <c r="Q3926" s="4"/>
      <c r="R3926" s="4"/>
      <c r="S3926" s="4"/>
      <c r="T3926" s="4"/>
      <c r="U3926" s="4"/>
      <c r="V3926" s="4"/>
      <c r="W3926" s="4"/>
      <c r="X3926" s="4"/>
    </row>
    <row r="3927" spans="17:24" x14ac:dyDescent="0.3">
      <c r="Q3927" s="4"/>
      <c r="R3927" s="4"/>
      <c r="S3927" s="4"/>
      <c r="T3927" s="4"/>
      <c r="U3927" s="4"/>
      <c r="V3927" s="4"/>
      <c r="W3927" s="4"/>
      <c r="X3927" s="4"/>
    </row>
    <row r="3928" spans="17:24" x14ac:dyDescent="0.3">
      <c r="Q3928" s="4"/>
      <c r="R3928" s="4"/>
      <c r="S3928" s="4"/>
      <c r="T3928" s="4"/>
      <c r="U3928" s="4"/>
      <c r="V3928" s="4"/>
      <c r="W3928" s="4"/>
      <c r="X3928" s="4"/>
    </row>
    <row r="3929" spans="17:24" x14ac:dyDescent="0.3">
      <c r="Q3929" s="4"/>
      <c r="R3929" s="4"/>
      <c r="S3929" s="4"/>
      <c r="T3929" s="4"/>
      <c r="U3929" s="4"/>
      <c r="V3929" s="4"/>
      <c r="W3929" s="4"/>
      <c r="X3929" s="4"/>
    </row>
    <row r="3930" spans="17:24" x14ac:dyDescent="0.3">
      <c r="Q3930" s="4"/>
      <c r="R3930" s="4"/>
      <c r="S3930" s="4"/>
      <c r="T3930" s="4"/>
      <c r="U3930" s="4"/>
      <c r="V3930" s="4"/>
      <c r="W3930" s="4"/>
      <c r="X3930" s="4"/>
    </row>
    <row r="3931" spans="17:24" x14ac:dyDescent="0.3">
      <c r="Q3931" s="4"/>
      <c r="R3931" s="4"/>
      <c r="S3931" s="4"/>
      <c r="T3931" s="4"/>
      <c r="U3931" s="4"/>
      <c r="V3931" s="4"/>
      <c r="W3931" s="4"/>
      <c r="X3931" s="4"/>
    </row>
    <row r="3932" spans="17:24" x14ac:dyDescent="0.3">
      <c r="Q3932" s="4"/>
      <c r="R3932" s="4"/>
      <c r="S3932" s="4"/>
      <c r="T3932" s="4"/>
      <c r="U3932" s="4"/>
      <c r="V3932" s="4"/>
      <c r="W3932" s="4"/>
      <c r="X3932" s="4"/>
    </row>
    <row r="3933" spans="17:24" x14ac:dyDescent="0.3">
      <c r="Q3933" s="4"/>
      <c r="R3933" s="4"/>
      <c r="S3933" s="4"/>
      <c r="T3933" s="4"/>
      <c r="U3933" s="4"/>
      <c r="V3933" s="4"/>
      <c r="W3933" s="4"/>
      <c r="X3933" s="4"/>
    </row>
    <row r="3934" spans="17:24" x14ac:dyDescent="0.3">
      <c r="Q3934" s="4"/>
      <c r="R3934" s="4"/>
      <c r="S3934" s="4"/>
      <c r="T3934" s="4"/>
      <c r="U3934" s="4"/>
      <c r="V3934" s="4"/>
      <c r="W3934" s="4"/>
      <c r="X3934" s="4"/>
    </row>
    <row r="3935" spans="17:24" x14ac:dyDescent="0.3">
      <c r="Q3935" s="4"/>
      <c r="R3935" s="4"/>
      <c r="S3935" s="4"/>
      <c r="T3935" s="4"/>
      <c r="U3935" s="4"/>
      <c r="V3935" s="4"/>
      <c r="W3935" s="4"/>
      <c r="X3935" s="4"/>
    </row>
    <row r="3936" spans="17:24" x14ac:dyDescent="0.3">
      <c r="Q3936" s="4"/>
      <c r="R3936" s="4"/>
      <c r="S3936" s="4"/>
      <c r="T3936" s="4"/>
      <c r="U3936" s="4"/>
      <c r="V3936" s="4"/>
      <c r="W3936" s="4"/>
      <c r="X3936" s="4"/>
    </row>
    <row r="3937" spans="17:24" x14ac:dyDescent="0.3">
      <c r="Q3937" s="4"/>
      <c r="R3937" s="4"/>
      <c r="S3937" s="4"/>
      <c r="T3937" s="4"/>
      <c r="U3937" s="4"/>
      <c r="V3937" s="4"/>
      <c r="W3937" s="4"/>
      <c r="X3937" s="4"/>
    </row>
    <row r="3938" spans="17:24" x14ac:dyDescent="0.3">
      <c r="Q3938" s="4"/>
      <c r="R3938" s="4"/>
      <c r="S3938" s="4"/>
      <c r="T3938" s="4"/>
      <c r="U3938" s="4"/>
      <c r="V3938" s="4"/>
      <c r="W3938" s="4"/>
      <c r="X3938" s="4"/>
    </row>
    <row r="3939" spans="17:24" x14ac:dyDescent="0.3">
      <c r="Q3939" s="4"/>
      <c r="R3939" s="4"/>
      <c r="S3939" s="4"/>
      <c r="T3939" s="4"/>
      <c r="U3939" s="4"/>
      <c r="V3939" s="4"/>
      <c r="W3939" s="4"/>
      <c r="X3939" s="4"/>
    </row>
    <row r="3940" spans="17:24" x14ac:dyDescent="0.3">
      <c r="Q3940" s="4"/>
      <c r="R3940" s="4"/>
      <c r="S3940" s="4"/>
      <c r="T3940" s="4"/>
      <c r="U3940" s="4"/>
      <c r="V3940" s="4"/>
      <c r="W3940" s="4"/>
      <c r="X3940" s="4"/>
    </row>
    <row r="3941" spans="17:24" x14ac:dyDescent="0.3">
      <c r="Q3941" s="4"/>
      <c r="R3941" s="4"/>
      <c r="S3941" s="4"/>
      <c r="T3941" s="4"/>
      <c r="U3941" s="4"/>
      <c r="V3941" s="4"/>
      <c r="W3941" s="4"/>
      <c r="X3941" s="4"/>
    </row>
    <row r="3942" spans="17:24" x14ac:dyDescent="0.3">
      <c r="Q3942" s="4"/>
      <c r="R3942" s="4"/>
      <c r="S3942" s="4"/>
      <c r="T3942" s="4"/>
      <c r="U3942" s="4"/>
      <c r="V3942" s="4"/>
      <c r="W3942" s="4"/>
      <c r="X3942" s="4"/>
    </row>
    <row r="3943" spans="17:24" x14ac:dyDescent="0.3">
      <c r="Q3943" s="4"/>
      <c r="R3943" s="4"/>
      <c r="S3943" s="4"/>
      <c r="T3943" s="4"/>
      <c r="U3943" s="4"/>
      <c r="V3943" s="4"/>
      <c r="W3943" s="4"/>
      <c r="X3943" s="4"/>
    </row>
    <row r="3944" spans="17:24" x14ac:dyDescent="0.3">
      <c r="Q3944" s="4"/>
      <c r="R3944" s="4"/>
      <c r="S3944" s="4"/>
      <c r="T3944" s="4"/>
      <c r="U3944" s="4"/>
      <c r="V3944" s="4"/>
      <c r="W3944" s="4"/>
      <c r="X3944" s="4"/>
    </row>
    <row r="3945" spans="17:24" x14ac:dyDescent="0.3">
      <c r="Q3945" s="4"/>
      <c r="R3945" s="4"/>
      <c r="S3945" s="4"/>
      <c r="T3945" s="4"/>
      <c r="U3945" s="4"/>
      <c r="V3945" s="4"/>
      <c r="W3945" s="4"/>
      <c r="X3945" s="4"/>
    </row>
    <row r="3946" spans="17:24" x14ac:dyDescent="0.3">
      <c r="Q3946" s="4"/>
      <c r="R3946" s="4"/>
      <c r="S3946" s="4"/>
      <c r="T3946" s="4"/>
      <c r="U3946" s="4"/>
      <c r="V3946" s="4"/>
      <c r="W3946" s="4"/>
      <c r="X3946" s="4"/>
    </row>
    <row r="3947" spans="17:24" x14ac:dyDescent="0.3">
      <c r="Q3947" s="4"/>
      <c r="R3947" s="4"/>
      <c r="S3947" s="4"/>
      <c r="T3947" s="4"/>
      <c r="U3947" s="4"/>
      <c r="V3947" s="4"/>
      <c r="W3947" s="4"/>
      <c r="X3947" s="4"/>
    </row>
    <row r="3948" spans="17:24" x14ac:dyDescent="0.3">
      <c r="Q3948" s="4"/>
      <c r="R3948" s="4"/>
      <c r="S3948" s="4"/>
      <c r="T3948" s="4"/>
      <c r="U3948" s="4"/>
      <c r="V3948" s="4"/>
      <c r="W3948" s="4"/>
      <c r="X3948" s="4"/>
    </row>
    <row r="3949" spans="17:24" x14ac:dyDescent="0.3">
      <c r="Q3949" s="4"/>
      <c r="R3949" s="4"/>
      <c r="S3949" s="4"/>
      <c r="T3949" s="4"/>
      <c r="U3949" s="4"/>
      <c r="V3949" s="4"/>
      <c r="W3949" s="4"/>
      <c r="X3949" s="4"/>
    </row>
    <row r="3950" spans="17:24" x14ac:dyDescent="0.3">
      <c r="Q3950" s="4"/>
      <c r="R3950" s="4"/>
      <c r="S3950" s="4"/>
      <c r="T3950" s="4"/>
      <c r="U3950" s="4"/>
      <c r="V3950" s="4"/>
      <c r="W3950" s="4"/>
      <c r="X3950" s="4"/>
    </row>
    <row r="3951" spans="17:24" x14ac:dyDescent="0.3">
      <c r="Q3951" s="4"/>
      <c r="R3951" s="4"/>
      <c r="S3951" s="4"/>
      <c r="T3951" s="4"/>
      <c r="U3951" s="4"/>
      <c r="V3951" s="4"/>
      <c r="W3951" s="4"/>
      <c r="X3951" s="4"/>
    </row>
    <row r="3952" spans="17:24" x14ac:dyDescent="0.3">
      <c r="Q3952" s="4"/>
      <c r="R3952" s="4"/>
      <c r="S3952" s="4"/>
      <c r="T3952" s="4"/>
      <c r="U3952" s="4"/>
      <c r="V3952" s="4"/>
      <c r="W3952" s="4"/>
      <c r="X3952" s="4"/>
    </row>
    <row r="3953" spans="17:24" x14ac:dyDescent="0.3">
      <c r="Q3953" s="4"/>
      <c r="R3953" s="4"/>
      <c r="S3953" s="4"/>
      <c r="T3953" s="4"/>
      <c r="U3953" s="4"/>
      <c r="V3953" s="4"/>
      <c r="W3953" s="4"/>
      <c r="X3953" s="4"/>
    </row>
    <row r="3954" spans="17:24" x14ac:dyDescent="0.3">
      <c r="Q3954" s="4"/>
      <c r="R3954" s="4"/>
      <c r="S3954" s="4"/>
      <c r="T3954" s="4"/>
      <c r="U3954" s="4"/>
      <c r="V3954" s="4"/>
      <c r="W3954" s="4"/>
      <c r="X3954" s="4"/>
    </row>
    <row r="3955" spans="17:24" x14ac:dyDescent="0.3">
      <c r="Q3955" s="4"/>
      <c r="R3955" s="4"/>
      <c r="S3955" s="4"/>
      <c r="T3955" s="4"/>
      <c r="U3955" s="4"/>
      <c r="V3955" s="4"/>
      <c r="W3955" s="4"/>
      <c r="X3955" s="4"/>
    </row>
    <row r="3956" spans="17:24" x14ac:dyDescent="0.3">
      <c r="Q3956" s="4"/>
      <c r="R3956" s="4"/>
      <c r="S3956" s="4"/>
      <c r="T3956" s="4"/>
      <c r="U3956" s="4"/>
      <c r="V3956" s="4"/>
      <c r="W3956" s="4"/>
      <c r="X3956" s="4"/>
    </row>
    <row r="3957" spans="17:24" x14ac:dyDescent="0.3">
      <c r="Q3957" s="4"/>
      <c r="R3957" s="4"/>
      <c r="S3957" s="4"/>
      <c r="T3957" s="4"/>
      <c r="U3957" s="4"/>
      <c r="V3957" s="4"/>
      <c r="W3957" s="4"/>
      <c r="X3957" s="4"/>
    </row>
    <row r="3958" spans="17:24" x14ac:dyDescent="0.3">
      <c r="Q3958" s="4"/>
      <c r="R3958" s="4"/>
      <c r="S3958" s="4"/>
      <c r="T3958" s="4"/>
      <c r="U3958" s="4"/>
      <c r="V3958" s="4"/>
      <c r="W3958" s="4"/>
      <c r="X3958" s="4"/>
    </row>
    <row r="3959" spans="17:24" x14ac:dyDescent="0.3">
      <c r="Q3959" s="4"/>
      <c r="R3959" s="4"/>
      <c r="S3959" s="4"/>
      <c r="T3959" s="4"/>
      <c r="U3959" s="4"/>
      <c r="V3959" s="4"/>
      <c r="W3959" s="4"/>
      <c r="X3959" s="4"/>
    </row>
    <row r="3960" spans="17:24" x14ac:dyDescent="0.3">
      <c r="Q3960" s="4"/>
      <c r="R3960" s="4"/>
      <c r="S3960" s="4"/>
      <c r="T3960" s="4"/>
      <c r="U3960" s="4"/>
      <c r="V3960" s="4"/>
      <c r="W3960" s="4"/>
      <c r="X3960" s="4"/>
    </row>
    <row r="3961" spans="17:24" x14ac:dyDescent="0.3">
      <c r="Q3961" s="4"/>
      <c r="R3961" s="4"/>
      <c r="S3961" s="4"/>
      <c r="T3961" s="4"/>
      <c r="U3961" s="4"/>
      <c r="V3961" s="4"/>
      <c r="W3961" s="4"/>
      <c r="X3961" s="4"/>
    </row>
    <row r="3962" spans="17:24" x14ac:dyDescent="0.3">
      <c r="Q3962" s="4"/>
      <c r="R3962" s="4"/>
      <c r="S3962" s="4"/>
      <c r="T3962" s="4"/>
      <c r="U3962" s="4"/>
      <c r="V3962" s="4"/>
      <c r="W3962" s="4"/>
      <c r="X3962" s="4"/>
    </row>
    <row r="3963" spans="17:24" x14ac:dyDescent="0.3">
      <c r="Q3963" s="4"/>
      <c r="R3963" s="4"/>
      <c r="S3963" s="4"/>
      <c r="T3963" s="4"/>
      <c r="U3963" s="4"/>
      <c r="V3963" s="4"/>
      <c r="W3963" s="4"/>
      <c r="X3963" s="4"/>
    </row>
    <row r="3964" spans="17:24" x14ac:dyDescent="0.3">
      <c r="Q3964" s="4"/>
      <c r="R3964" s="4"/>
      <c r="S3964" s="4"/>
      <c r="T3964" s="4"/>
      <c r="U3964" s="4"/>
      <c r="V3964" s="4"/>
      <c r="W3964" s="4"/>
      <c r="X3964" s="4"/>
    </row>
    <row r="3965" spans="17:24" x14ac:dyDescent="0.3">
      <c r="Q3965" s="4"/>
      <c r="R3965" s="4"/>
      <c r="S3965" s="4"/>
      <c r="T3965" s="4"/>
      <c r="U3965" s="4"/>
      <c r="V3965" s="4"/>
      <c r="W3965" s="4"/>
      <c r="X3965" s="4"/>
    </row>
    <row r="3966" spans="17:24" x14ac:dyDescent="0.3">
      <c r="Q3966" s="4"/>
      <c r="R3966" s="4"/>
      <c r="S3966" s="4"/>
      <c r="T3966" s="4"/>
      <c r="U3966" s="4"/>
      <c r="V3966" s="4"/>
      <c r="W3966" s="4"/>
      <c r="X3966" s="4"/>
    </row>
    <row r="3967" spans="17:24" x14ac:dyDescent="0.3">
      <c r="Q3967" s="4"/>
      <c r="R3967" s="4"/>
      <c r="S3967" s="4"/>
      <c r="T3967" s="4"/>
      <c r="U3967" s="4"/>
      <c r="V3967" s="4"/>
      <c r="W3967" s="4"/>
      <c r="X3967" s="4"/>
    </row>
    <row r="3968" spans="17:24" x14ac:dyDescent="0.3">
      <c r="Q3968" s="4"/>
      <c r="R3968" s="4"/>
      <c r="S3968" s="4"/>
      <c r="T3968" s="4"/>
      <c r="U3968" s="4"/>
      <c r="V3968" s="4"/>
      <c r="W3968" s="4"/>
      <c r="X3968" s="4"/>
    </row>
    <row r="3969" spans="17:24" x14ac:dyDescent="0.3">
      <c r="Q3969" s="4"/>
      <c r="R3969" s="4"/>
      <c r="S3969" s="4"/>
      <c r="T3969" s="4"/>
      <c r="U3969" s="4"/>
      <c r="V3969" s="4"/>
      <c r="W3969" s="4"/>
      <c r="X3969" s="4"/>
    </row>
    <row r="3970" spans="17:24" x14ac:dyDescent="0.3">
      <c r="Q3970" s="4"/>
      <c r="R3970" s="4"/>
      <c r="S3970" s="4"/>
      <c r="T3970" s="4"/>
      <c r="U3970" s="4"/>
      <c r="V3970" s="4"/>
      <c r="W3970" s="4"/>
      <c r="X3970" s="4"/>
    </row>
    <row r="3971" spans="17:24" x14ac:dyDescent="0.3">
      <c r="Q3971" s="4"/>
      <c r="R3971" s="4"/>
      <c r="S3971" s="4"/>
      <c r="T3971" s="4"/>
      <c r="U3971" s="4"/>
      <c r="V3971" s="4"/>
      <c r="W3971" s="4"/>
      <c r="X3971" s="4"/>
    </row>
    <row r="3972" spans="17:24" x14ac:dyDescent="0.3">
      <c r="Q3972" s="4"/>
      <c r="R3972" s="4"/>
      <c r="S3972" s="4"/>
      <c r="T3972" s="4"/>
      <c r="U3972" s="4"/>
      <c r="V3972" s="4"/>
      <c r="W3972" s="4"/>
      <c r="X3972" s="4"/>
    </row>
    <row r="3973" spans="17:24" x14ac:dyDescent="0.3">
      <c r="Q3973" s="4"/>
      <c r="R3973" s="4"/>
      <c r="S3973" s="4"/>
      <c r="T3973" s="4"/>
      <c r="U3973" s="4"/>
      <c r="V3973" s="4"/>
      <c r="W3973" s="4"/>
      <c r="X3973" s="4"/>
    </row>
    <row r="3974" spans="17:24" x14ac:dyDescent="0.3">
      <c r="Q3974" s="4"/>
      <c r="R3974" s="4"/>
      <c r="S3974" s="4"/>
      <c r="T3974" s="4"/>
      <c r="U3974" s="4"/>
      <c r="V3974" s="4"/>
      <c r="W3974" s="4"/>
      <c r="X3974" s="4"/>
    </row>
    <row r="3975" spans="17:24" x14ac:dyDescent="0.3">
      <c r="Q3975" s="4"/>
      <c r="R3975" s="4"/>
      <c r="S3975" s="4"/>
      <c r="T3975" s="4"/>
      <c r="U3975" s="4"/>
      <c r="V3975" s="4"/>
      <c r="W3975" s="4"/>
      <c r="X3975" s="4"/>
    </row>
    <row r="3976" spans="17:24" x14ac:dyDescent="0.3">
      <c r="Q3976" s="4"/>
      <c r="R3976" s="4"/>
      <c r="S3976" s="4"/>
      <c r="T3976" s="4"/>
      <c r="U3976" s="4"/>
      <c r="V3976" s="4"/>
      <c r="W3976" s="4"/>
      <c r="X3976" s="4"/>
    </row>
    <row r="3977" spans="17:24" x14ac:dyDescent="0.3">
      <c r="Q3977" s="4"/>
      <c r="R3977" s="4"/>
      <c r="S3977" s="4"/>
      <c r="T3977" s="4"/>
      <c r="U3977" s="4"/>
      <c r="V3977" s="4"/>
      <c r="W3977" s="4"/>
      <c r="X3977" s="4"/>
    </row>
    <row r="3978" spans="17:24" x14ac:dyDescent="0.3">
      <c r="Q3978" s="4"/>
      <c r="R3978" s="4"/>
      <c r="S3978" s="4"/>
      <c r="T3978" s="4"/>
      <c r="U3978" s="4"/>
      <c r="V3978" s="4"/>
      <c r="W3978" s="4"/>
      <c r="X3978" s="4"/>
    </row>
    <row r="3979" spans="17:24" x14ac:dyDescent="0.3">
      <c r="Q3979" s="4"/>
      <c r="R3979" s="4"/>
      <c r="S3979" s="4"/>
      <c r="T3979" s="4"/>
      <c r="U3979" s="4"/>
      <c r="V3979" s="4"/>
      <c r="W3979" s="4"/>
      <c r="X3979" s="4"/>
    </row>
    <row r="3980" spans="17:24" x14ac:dyDescent="0.3">
      <c r="Q3980" s="4"/>
      <c r="R3980" s="4"/>
      <c r="S3980" s="4"/>
      <c r="T3980" s="4"/>
      <c r="U3980" s="4"/>
      <c r="V3980" s="4"/>
      <c r="W3980" s="4"/>
      <c r="X3980" s="4"/>
    </row>
    <row r="3981" spans="17:24" x14ac:dyDescent="0.3">
      <c r="Q3981" s="4"/>
      <c r="R3981" s="4"/>
      <c r="S3981" s="4"/>
      <c r="T3981" s="4"/>
      <c r="U3981" s="4"/>
      <c r="V3981" s="4"/>
      <c r="W3981" s="4"/>
      <c r="X3981" s="4"/>
    </row>
    <row r="3982" spans="17:24" x14ac:dyDescent="0.3">
      <c r="Q3982" s="4"/>
      <c r="R3982" s="4"/>
      <c r="S3982" s="4"/>
      <c r="T3982" s="4"/>
      <c r="U3982" s="4"/>
      <c r="V3982" s="4"/>
      <c r="W3982" s="4"/>
      <c r="X3982" s="4"/>
    </row>
    <row r="3983" spans="17:24" x14ac:dyDescent="0.3">
      <c r="Q3983" s="4"/>
      <c r="R3983" s="4"/>
      <c r="S3983" s="4"/>
      <c r="T3983" s="4"/>
      <c r="U3983" s="4"/>
      <c r="V3983" s="4"/>
      <c r="W3983" s="4"/>
      <c r="X3983" s="4"/>
    </row>
    <row r="3984" spans="17:24" x14ac:dyDescent="0.3">
      <c r="Q3984" s="4"/>
      <c r="R3984" s="4"/>
      <c r="S3984" s="4"/>
      <c r="T3984" s="4"/>
      <c r="U3984" s="4"/>
      <c r="V3984" s="4"/>
      <c r="W3984" s="4"/>
      <c r="X3984" s="4"/>
    </row>
    <row r="3985" spans="17:24" x14ac:dyDescent="0.3">
      <c r="Q3985" s="4"/>
      <c r="R3985" s="4"/>
      <c r="S3985" s="4"/>
      <c r="T3985" s="4"/>
      <c r="U3985" s="4"/>
      <c r="V3985" s="4"/>
      <c r="W3985" s="4"/>
      <c r="X3985" s="4"/>
    </row>
    <row r="3986" spans="17:24" x14ac:dyDescent="0.3">
      <c r="Q3986" s="4"/>
      <c r="R3986" s="4"/>
      <c r="S3986" s="4"/>
      <c r="T3986" s="4"/>
      <c r="U3986" s="4"/>
      <c r="V3986" s="4"/>
      <c r="W3986" s="4"/>
      <c r="X3986" s="4"/>
    </row>
    <row r="3987" spans="17:24" x14ac:dyDescent="0.3">
      <c r="Q3987" s="4"/>
      <c r="R3987" s="4"/>
      <c r="S3987" s="4"/>
      <c r="T3987" s="4"/>
      <c r="U3987" s="4"/>
      <c r="V3987" s="4"/>
      <c r="W3987" s="4"/>
      <c r="X3987" s="4"/>
    </row>
    <row r="3988" spans="17:24" x14ac:dyDescent="0.3">
      <c r="Q3988" s="4"/>
      <c r="R3988" s="4"/>
      <c r="S3988" s="4"/>
      <c r="T3988" s="4"/>
      <c r="U3988" s="4"/>
      <c r="V3988" s="4"/>
      <c r="W3988" s="4"/>
      <c r="X3988" s="4"/>
    </row>
    <row r="3989" spans="17:24" x14ac:dyDescent="0.3">
      <c r="Q3989" s="4"/>
      <c r="R3989" s="4"/>
      <c r="S3989" s="4"/>
      <c r="T3989" s="4"/>
      <c r="U3989" s="4"/>
      <c r="V3989" s="4"/>
      <c r="W3989" s="4"/>
      <c r="X3989" s="4"/>
    </row>
    <row r="3990" spans="17:24" x14ac:dyDescent="0.3">
      <c r="Q3990" s="4"/>
      <c r="R3990" s="4"/>
      <c r="S3990" s="4"/>
      <c r="T3990" s="4"/>
      <c r="U3990" s="4"/>
      <c r="V3990" s="4"/>
      <c r="W3990" s="4"/>
      <c r="X3990" s="4"/>
    </row>
    <row r="3991" spans="17:24" x14ac:dyDescent="0.3">
      <c r="Q3991" s="4"/>
      <c r="R3991" s="4"/>
      <c r="S3991" s="4"/>
      <c r="T3991" s="4"/>
      <c r="U3991" s="4"/>
      <c r="V3991" s="4"/>
      <c r="W3991" s="4"/>
      <c r="X3991" s="4"/>
    </row>
    <row r="3992" spans="17:24" x14ac:dyDescent="0.3">
      <c r="Q3992" s="4"/>
      <c r="R3992" s="4"/>
      <c r="S3992" s="4"/>
      <c r="T3992" s="4"/>
      <c r="U3992" s="4"/>
      <c r="V3992" s="4"/>
      <c r="W3992" s="4"/>
      <c r="X3992" s="4"/>
    </row>
    <row r="3993" spans="17:24" x14ac:dyDescent="0.3">
      <c r="Q3993" s="4"/>
      <c r="R3993" s="4"/>
      <c r="S3993" s="4"/>
      <c r="T3993" s="4"/>
      <c r="U3993" s="4"/>
      <c r="V3993" s="4"/>
      <c r="W3993" s="4"/>
      <c r="X3993" s="4"/>
    </row>
    <row r="3994" spans="17:24" x14ac:dyDescent="0.3">
      <c r="Q3994" s="4"/>
      <c r="R3994" s="4"/>
      <c r="S3994" s="4"/>
      <c r="T3994" s="4"/>
      <c r="U3994" s="4"/>
      <c r="V3994" s="4"/>
      <c r="W3994" s="4"/>
      <c r="X3994" s="4"/>
    </row>
    <row r="3995" spans="17:24" x14ac:dyDescent="0.3">
      <c r="Q3995" s="4"/>
      <c r="R3995" s="4"/>
      <c r="S3995" s="4"/>
      <c r="T3995" s="4"/>
      <c r="U3995" s="4"/>
      <c r="V3995" s="4"/>
      <c r="W3995" s="4"/>
      <c r="X3995" s="4"/>
    </row>
    <row r="3996" spans="17:24" x14ac:dyDescent="0.3">
      <c r="Q3996" s="4"/>
      <c r="R3996" s="4"/>
      <c r="S3996" s="4"/>
      <c r="T3996" s="4"/>
      <c r="U3996" s="4"/>
      <c r="V3996" s="4"/>
      <c r="W3996" s="4"/>
      <c r="X3996" s="4"/>
    </row>
    <row r="3997" spans="17:24" x14ac:dyDescent="0.3">
      <c r="Q3997" s="4"/>
      <c r="R3997" s="4"/>
      <c r="S3997" s="4"/>
      <c r="T3997" s="4"/>
      <c r="U3997" s="4"/>
      <c r="V3997" s="4"/>
      <c r="W3997" s="4"/>
      <c r="X3997" s="4"/>
    </row>
    <row r="3998" spans="17:24" x14ac:dyDescent="0.3">
      <c r="Q3998" s="4"/>
      <c r="R3998" s="4"/>
      <c r="S3998" s="4"/>
      <c r="T3998" s="4"/>
      <c r="U3998" s="4"/>
      <c r="V3998" s="4"/>
      <c r="W3998" s="4"/>
      <c r="X3998" s="4"/>
    </row>
    <row r="3999" spans="17:24" x14ac:dyDescent="0.3">
      <c r="Q3999" s="4"/>
      <c r="R3999" s="4"/>
      <c r="S3999" s="4"/>
      <c r="T3999" s="4"/>
      <c r="U3999" s="4"/>
      <c r="V3999" s="4"/>
      <c r="W3999" s="4"/>
      <c r="X3999" s="4"/>
    </row>
    <row r="4000" spans="17:24" x14ac:dyDescent="0.3">
      <c r="Q4000" s="4"/>
      <c r="R4000" s="4"/>
      <c r="S4000" s="4"/>
      <c r="T4000" s="4"/>
      <c r="U4000" s="4"/>
      <c r="V4000" s="4"/>
      <c r="W4000" s="4"/>
      <c r="X4000" s="4"/>
    </row>
    <row r="4001" spans="17:24" x14ac:dyDescent="0.3">
      <c r="Q4001" s="4"/>
      <c r="R4001" s="4"/>
      <c r="S4001" s="4"/>
      <c r="T4001" s="4"/>
      <c r="U4001" s="4"/>
      <c r="V4001" s="4"/>
      <c r="W4001" s="4"/>
      <c r="X4001" s="4"/>
    </row>
    <row r="4002" spans="17:24" x14ac:dyDescent="0.3">
      <c r="Q4002" s="4"/>
      <c r="R4002" s="4"/>
      <c r="S4002" s="4"/>
      <c r="T4002" s="4"/>
      <c r="U4002" s="4"/>
      <c r="V4002" s="4"/>
      <c r="W4002" s="4"/>
      <c r="X4002" s="4"/>
    </row>
    <row r="4003" spans="17:24" x14ac:dyDescent="0.3">
      <c r="Q4003" s="4"/>
      <c r="R4003" s="4"/>
      <c r="S4003" s="4"/>
      <c r="T4003" s="4"/>
      <c r="U4003" s="4"/>
      <c r="V4003" s="4"/>
      <c r="W4003" s="4"/>
      <c r="X4003" s="4"/>
    </row>
    <row r="4004" spans="17:24" x14ac:dyDescent="0.3">
      <c r="Q4004" s="4"/>
      <c r="R4004" s="4"/>
      <c r="S4004" s="4"/>
      <c r="T4004" s="4"/>
      <c r="U4004" s="4"/>
      <c r="V4004" s="4"/>
      <c r="W4004" s="4"/>
      <c r="X4004" s="4"/>
    </row>
    <row r="4005" spans="17:24" x14ac:dyDescent="0.3">
      <c r="Q4005" s="4"/>
      <c r="R4005" s="4"/>
      <c r="S4005" s="4"/>
      <c r="T4005" s="4"/>
      <c r="U4005" s="4"/>
      <c r="V4005" s="4"/>
      <c r="W4005" s="4"/>
      <c r="X4005" s="4"/>
    </row>
    <row r="4006" spans="17:24" x14ac:dyDescent="0.3">
      <c r="Q4006" s="4"/>
      <c r="R4006" s="4"/>
      <c r="S4006" s="4"/>
      <c r="T4006" s="4"/>
      <c r="U4006" s="4"/>
      <c r="V4006" s="4"/>
      <c r="W4006" s="4"/>
      <c r="X4006" s="4"/>
    </row>
    <row r="4007" spans="17:24" x14ac:dyDescent="0.3">
      <c r="Q4007" s="4"/>
      <c r="R4007" s="4"/>
      <c r="S4007" s="4"/>
      <c r="T4007" s="4"/>
      <c r="U4007" s="4"/>
      <c r="V4007" s="4"/>
      <c r="W4007" s="4"/>
      <c r="X4007" s="4"/>
    </row>
    <row r="4008" spans="17:24" x14ac:dyDescent="0.3">
      <c r="Q4008" s="4"/>
      <c r="R4008" s="4"/>
      <c r="S4008" s="4"/>
      <c r="T4008" s="4"/>
      <c r="U4008" s="4"/>
      <c r="V4008" s="4"/>
      <c r="W4008" s="4"/>
      <c r="X4008" s="4"/>
    </row>
    <row r="4009" spans="17:24" x14ac:dyDescent="0.3">
      <c r="Q4009" s="4"/>
      <c r="R4009" s="4"/>
      <c r="S4009" s="4"/>
      <c r="T4009" s="4"/>
      <c r="U4009" s="4"/>
      <c r="V4009" s="4"/>
      <c r="W4009" s="4"/>
      <c r="X4009" s="4"/>
    </row>
    <row r="4010" spans="17:24" x14ac:dyDescent="0.3">
      <c r="Q4010" s="4"/>
      <c r="R4010" s="4"/>
      <c r="S4010" s="4"/>
      <c r="T4010" s="4"/>
      <c r="U4010" s="4"/>
      <c r="V4010" s="4"/>
      <c r="W4010" s="4"/>
      <c r="X4010" s="4"/>
    </row>
    <row r="4011" spans="17:24" x14ac:dyDescent="0.3">
      <c r="Q4011" s="4"/>
      <c r="R4011" s="4"/>
      <c r="S4011" s="4"/>
      <c r="T4011" s="4"/>
      <c r="U4011" s="4"/>
      <c r="V4011" s="4"/>
      <c r="W4011" s="4"/>
      <c r="X4011" s="4"/>
    </row>
    <row r="4012" spans="17:24" x14ac:dyDescent="0.3">
      <c r="Q4012" s="4"/>
      <c r="R4012" s="4"/>
      <c r="S4012" s="4"/>
      <c r="T4012" s="4"/>
      <c r="U4012" s="4"/>
      <c r="V4012" s="4"/>
      <c r="W4012" s="4"/>
      <c r="X4012" s="4"/>
    </row>
    <row r="4013" spans="17:24" x14ac:dyDescent="0.3">
      <c r="Q4013" s="4"/>
      <c r="R4013" s="4"/>
      <c r="S4013" s="4"/>
      <c r="T4013" s="4"/>
      <c r="U4013" s="4"/>
      <c r="V4013" s="4"/>
      <c r="W4013" s="4"/>
      <c r="X4013" s="4"/>
    </row>
    <row r="4014" spans="17:24" x14ac:dyDescent="0.3">
      <c r="Q4014" s="4"/>
      <c r="R4014" s="4"/>
      <c r="S4014" s="4"/>
      <c r="T4014" s="4"/>
      <c r="U4014" s="4"/>
      <c r="V4014" s="4"/>
      <c r="W4014" s="4"/>
      <c r="X4014" s="4"/>
    </row>
    <row r="4015" spans="17:24" x14ac:dyDescent="0.3">
      <c r="Q4015" s="4"/>
      <c r="R4015" s="4"/>
      <c r="S4015" s="4"/>
      <c r="T4015" s="4"/>
      <c r="U4015" s="4"/>
      <c r="V4015" s="4"/>
      <c r="W4015" s="4"/>
      <c r="X4015" s="4"/>
    </row>
    <row r="4016" spans="17:24" x14ac:dyDescent="0.3">
      <c r="Q4016" s="4"/>
      <c r="R4016" s="4"/>
      <c r="S4016" s="4"/>
      <c r="T4016" s="4"/>
      <c r="U4016" s="4"/>
      <c r="V4016" s="4"/>
      <c r="W4016" s="4"/>
      <c r="X4016" s="4"/>
    </row>
    <row r="4017" spans="17:24" x14ac:dyDescent="0.3">
      <c r="Q4017" s="4"/>
      <c r="R4017" s="4"/>
      <c r="S4017" s="4"/>
      <c r="T4017" s="4"/>
      <c r="U4017" s="4"/>
      <c r="V4017" s="4"/>
      <c r="W4017" s="4"/>
      <c r="X4017" s="4"/>
    </row>
    <row r="4018" spans="17:24" x14ac:dyDescent="0.3">
      <c r="Q4018" s="4"/>
      <c r="R4018" s="4"/>
      <c r="S4018" s="4"/>
      <c r="T4018" s="4"/>
      <c r="U4018" s="4"/>
      <c r="V4018" s="4"/>
      <c r="W4018" s="4"/>
      <c r="X4018" s="4"/>
    </row>
    <row r="4019" spans="17:24" x14ac:dyDescent="0.3">
      <c r="Q4019" s="4"/>
      <c r="R4019" s="4"/>
      <c r="S4019" s="4"/>
      <c r="T4019" s="4"/>
      <c r="U4019" s="4"/>
      <c r="V4019" s="4"/>
      <c r="W4019" s="4"/>
      <c r="X4019" s="4"/>
    </row>
    <row r="4020" spans="17:24" x14ac:dyDescent="0.3">
      <c r="Q4020" s="4"/>
      <c r="R4020" s="4"/>
      <c r="S4020" s="4"/>
      <c r="T4020" s="4"/>
      <c r="U4020" s="4"/>
      <c r="V4020" s="4"/>
      <c r="W4020" s="4"/>
      <c r="X4020" s="4"/>
    </row>
    <row r="4021" spans="17:24" x14ac:dyDescent="0.3">
      <c r="Q4021" s="4"/>
      <c r="R4021" s="4"/>
      <c r="S4021" s="4"/>
      <c r="T4021" s="4"/>
      <c r="U4021" s="4"/>
      <c r="V4021" s="4"/>
      <c r="W4021" s="4"/>
      <c r="X4021" s="4"/>
    </row>
    <row r="4022" spans="17:24" x14ac:dyDescent="0.3">
      <c r="Q4022" s="4"/>
      <c r="R4022" s="4"/>
      <c r="S4022" s="4"/>
      <c r="T4022" s="4"/>
      <c r="U4022" s="4"/>
      <c r="V4022" s="4"/>
      <c r="W4022" s="4"/>
      <c r="X4022" s="4"/>
    </row>
    <row r="4023" spans="17:24" x14ac:dyDescent="0.3">
      <c r="Q4023" s="4"/>
      <c r="R4023" s="4"/>
      <c r="S4023" s="4"/>
      <c r="T4023" s="4"/>
      <c r="U4023" s="4"/>
      <c r="V4023" s="4"/>
      <c r="W4023" s="4"/>
      <c r="X4023" s="4"/>
    </row>
    <row r="4024" spans="17:24" x14ac:dyDescent="0.3">
      <c r="Q4024" s="4"/>
      <c r="R4024" s="4"/>
      <c r="S4024" s="4"/>
      <c r="T4024" s="4"/>
      <c r="U4024" s="4"/>
      <c r="V4024" s="4"/>
      <c r="W4024" s="4"/>
      <c r="X4024" s="4"/>
    </row>
    <row r="4025" spans="17:24" x14ac:dyDescent="0.3">
      <c r="Q4025" s="4"/>
      <c r="R4025" s="4"/>
      <c r="S4025" s="4"/>
      <c r="T4025" s="4"/>
      <c r="U4025" s="4"/>
      <c r="V4025" s="4"/>
      <c r="W4025" s="4"/>
      <c r="X4025" s="4"/>
    </row>
    <row r="4026" spans="17:24" x14ac:dyDescent="0.3">
      <c r="Q4026" s="4"/>
      <c r="R4026" s="4"/>
      <c r="S4026" s="4"/>
      <c r="T4026" s="4"/>
      <c r="U4026" s="4"/>
      <c r="V4026" s="4"/>
      <c r="W4026" s="4"/>
      <c r="X4026" s="4"/>
    </row>
    <row r="4027" spans="17:24" x14ac:dyDescent="0.3">
      <c r="Q4027" s="4"/>
      <c r="R4027" s="4"/>
      <c r="S4027" s="4"/>
      <c r="T4027" s="4"/>
      <c r="U4027" s="4"/>
      <c r="V4027" s="4"/>
      <c r="W4027" s="4"/>
      <c r="X4027" s="4"/>
    </row>
    <row r="4028" spans="17:24" x14ac:dyDescent="0.3">
      <c r="Q4028" s="4"/>
      <c r="R4028" s="4"/>
      <c r="S4028" s="4"/>
      <c r="T4028" s="4"/>
      <c r="U4028" s="4"/>
      <c r="V4028" s="4"/>
      <c r="W4028" s="4"/>
      <c r="X4028" s="4"/>
    </row>
    <row r="4029" spans="17:24" x14ac:dyDescent="0.3">
      <c r="Q4029" s="4"/>
      <c r="R4029" s="4"/>
      <c r="S4029" s="4"/>
      <c r="T4029" s="4"/>
      <c r="U4029" s="4"/>
      <c r="V4029" s="4"/>
      <c r="W4029" s="4"/>
      <c r="X4029" s="4"/>
    </row>
    <row r="4030" spans="17:24" x14ac:dyDescent="0.3">
      <c r="Q4030" s="4"/>
      <c r="R4030" s="4"/>
      <c r="S4030" s="4"/>
      <c r="T4030" s="4"/>
      <c r="U4030" s="4"/>
      <c r="V4030" s="4"/>
      <c r="W4030" s="4"/>
      <c r="X4030" s="4"/>
    </row>
    <row r="4031" spans="17:24" x14ac:dyDescent="0.3">
      <c r="Q4031" s="4"/>
      <c r="R4031" s="4"/>
      <c r="S4031" s="4"/>
      <c r="T4031" s="4"/>
      <c r="U4031" s="4"/>
      <c r="V4031" s="4"/>
      <c r="W4031" s="4"/>
      <c r="X4031" s="4"/>
    </row>
    <row r="4032" spans="17:24" x14ac:dyDescent="0.3">
      <c r="Q4032" s="4"/>
      <c r="R4032" s="4"/>
      <c r="S4032" s="4"/>
      <c r="T4032" s="4"/>
      <c r="U4032" s="4"/>
      <c r="V4032" s="4"/>
      <c r="W4032" s="4"/>
      <c r="X4032" s="4"/>
    </row>
    <row r="4033" spans="17:24" x14ac:dyDescent="0.3">
      <c r="Q4033" s="4"/>
      <c r="R4033" s="4"/>
      <c r="S4033" s="4"/>
      <c r="T4033" s="4"/>
      <c r="U4033" s="4"/>
      <c r="V4033" s="4"/>
      <c r="W4033" s="4"/>
      <c r="X4033" s="4"/>
    </row>
    <row r="4034" spans="17:24" x14ac:dyDescent="0.3">
      <c r="Q4034" s="4"/>
      <c r="R4034" s="4"/>
      <c r="S4034" s="4"/>
      <c r="T4034" s="4"/>
      <c r="U4034" s="4"/>
      <c r="V4034" s="4"/>
      <c r="W4034" s="4"/>
      <c r="X4034" s="4"/>
    </row>
    <row r="4035" spans="17:24" x14ac:dyDescent="0.3">
      <c r="Q4035" s="4"/>
      <c r="R4035" s="4"/>
      <c r="S4035" s="4"/>
      <c r="T4035" s="4"/>
      <c r="U4035" s="4"/>
      <c r="V4035" s="4"/>
      <c r="W4035" s="4"/>
      <c r="X4035" s="4"/>
    </row>
    <row r="4036" spans="17:24" x14ac:dyDescent="0.3">
      <c r="Q4036" s="4"/>
      <c r="R4036" s="4"/>
      <c r="S4036" s="4"/>
      <c r="T4036" s="4"/>
      <c r="U4036" s="4"/>
      <c r="V4036" s="4"/>
      <c r="W4036" s="4"/>
      <c r="X4036" s="4"/>
    </row>
    <row r="4037" spans="17:24" x14ac:dyDescent="0.3">
      <c r="Q4037" s="4"/>
      <c r="R4037" s="4"/>
      <c r="S4037" s="4"/>
      <c r="T4037" s="4"/>
      <c r="U4037" s="4"/>
      <c r="V4037" s="4"/>
      <c r="W4037" s="4"/>
      <c r="X4037" s="4"/>
    </row>
    <row r="4038" spans="17:24" x14ac:dyDescent="0.3">
      <c r="Q4038" s="4"/>
      <c r="R4038" s="4"/>
      <c r="S4038" s="4"/>
      <c r="T4038" s="4"/>
      <c r="U4038" s="4"/>
      <c r="V4038" s="4"/>
      <c r="W4038" s="4"/>
      <c r="X4038" s="4"/>
    </row>
    <row r="4039" spans="17:24" x14ac:dyDescent="0.3">
      <c r="Q4039" s="4"/>
      <c r="R4039" s="4"/>
      <c r="S4039" s="4"/>
      <c r="T4039" s="4"/>
      <c r="U4039" s="4"/>
      <c r="V4039" s="4"/>
      <c r="W4039" s="4"/>
      <c r="X4039" s="4"/>
    </row>
    <row r="4040" spans="17:24" x14ac:dyDescent="0.3">
      <c r="Q4040" s="4"/>
      <c r="R4040" s="4"/>
      <c r="S4040" s="4"/>
      <c r="T4040" s="4"/>
      <c r="U4040" s="4"/>
      <c r="V4040" s="4"/>
      <c r="W4040" s="4"/>
      <c r="X4040" s="4"/>
    </row>
    <row r="4041" spans="17:24" x14ac:dyDescent="0.3">
      <c r="Q4041" s="4"/>
      <c r="R4041" s="4"/>
      <c r="S4041" s="4"/>
      <c r="T4041" s="4"/>
      <c r="U4041" s="4"/>
      <c r="V4041" s="4"/>
      <c r="W4041" s="4"/>
      <c r="X4041" s="4"/>
    </row>
    <row r="4042" spans="17:24" x14ac:dyDescent="0.3">
      <c r="Q4042" s="4"/>
      <c r="R4042" s="4"/>
      <c r="S4042" s="4"/>
      <c r="T4042" s="4"/>
      <c r="U4042" s="4"/>
      <c r="V4042" s="4"/>
      <c r="W4042" s="4"/>
      <c r="X4042" s="4"/>
    </row>
    <row r="4043" spans="17:24" x14ac:dyDescent="0.3">
      <c r="Q4043" s="4"/>
      <c r="R4043" s="4"/>
      <c r="S4043" s="4"/>
      <c r="T4043" s="4"/>
      <c r="U4043" s="4"/>
      <c r="V4043" s="4"/>
      <c r="W4043" s="4"/>
      <c r="X4043" s="4"/>
    </row>
    <row r="4044" spans="17:24" x14ac:dyDescent="0.3">
      <c r="Q4044" s="4"/>
      <c r="R4044" s="4"/>
      <c r="S4044" s="4"/>
      <c r="T4044" s="4"/>
      <c r="U4044" s="4"/>
      <c r="V4044" s="4"/>
      <c r="W4044" s="4"/>
      <c r="X4044" s="4"/>
    </row>
    <row r="4045" spans="17:24" x14ac:dyDescent="0.3">
      <c r="Q4045" s="4"/>
      <c r="R4045" s="4"/>
      <c r="S4045" s="4"/>
      <c r="T4045" s="4"/>
      <c r="U4045" s="4"/>
      <c r="V4045" s="4"/>
      <c r="W4045" s="4"/>
      <c r="X4045" s="4"/>
    </row>
    <row r="4046" spans="17:24" x14ac:dyDescent="0.3">
      <c r="Q4046" s="4"/>
      <c r="R4046" s="4"/>
      <c r="S4046" s="4"/>
      <c r="T4046" s="4"/>
      <c r="U4046" s="4"/>
      <c r="V4046" s="4"/>
      <c r="W4046" s="4"/>
      <c r="X4046" s="4"/>
    </row>
    <row r="4047" spans="17:24" x14ac:dyDescent="0.3">
      <c r="Q4047" s="4"/>
      <c r="R4047" s="4"/>
      <c r="S4047" s="4"/>
      <c r="T4047" s="4"/>
      <c r="U4047" s="4"/>
      <c r="V4047" s="4"/>
      <c r="W4047" s="4"/>
      <c r="X4047" s="4"/>
    </row>
    <row r="4048" spans="17:24" x14ac:dyDescent="0.3">
      <c r="Q4048" s="4"/>
      <c r="R4048" s="4"/>
      <c r="S4048" s="4"/>
      <c r="T4048" s="4"/>
      <c r="U4048" s="4"/>
      <c r="V4048" s="4"/>
      <c r="W4048" s="4"/>
      <c r="X4048" s="4"/>
    </row>
    <row r="4049" spans="17:24" x14ac:dyDescent="0.3">
      <c r="Q4049" s="4"/>
      <c r="R4049" s="4"/>
      <c r="S4049" s="4"/>
      <c r="T4049" s="4"/>
      <c r="U4049" s="4"/>
      <c r="V4049" s="4"/>
      <c r="W4049" s="4"/>
      <c r="X4049" s="4"/>
    </row>
    <row r="4050" spans="17:24" x14ac:dyDescent="0.3">
      <c r="Q4050" s="4"/>
      <c r="R4050" s="4"/>
      <c r="S4050" s="4"/>
      <c r="T4050" s="4"/>
      <c r="U4050" s="4"/>
      <c r="V4050" s="4"/>
      <c r="W4050" s="4"/>
      <c r="X4050" s="4"/>
    </row>
    <row r="4051" spans="17:24" x14ac:dyDescent="0.3">
      <c r="Q4051" s="4"/>
      <c r="R4051" s="4"/>
      <c r="S4051" s="4"/>
      <c r="T4051" s="4"/>
      <c r="U4051" s="4"/>
      <c r="V4051" s="4"/>
      <c r="W4051" s="4"/>
      <c r="X4051" s="4"/>
    </row>
    <row r="4052" spans="17:24" x14ac:dyDescent="0.3">
      <c r="Q4052" s="4"/>
      <c r="R4052" s="4"/>
      <c r="S4052" s="4"/>
      <c r="T4052" s="4"/>
      <c r="U4052" s="4"/>
      <c r="V4052" s="4"/>
      <c r="W4052" s="4"/>
      <c r="X4052" s="4"/>
    </row>
    <row r="4053" spans="17:24" x14ac:dyDescent="0.3">
      <c r="Q4053" s="4"/>
      <c r="R4053" s="4"/>
      <c r="S4053" s="4"/>
      <c r="T4053" s="4"/>
      <c r="U4053" s="4"/>
      <c r="V4053" s="4"/>
      <c r="W4053" s="4"/>
      <c r="X4053" s="4"/>
    </row>
    <row r="4054" spans="17:24" x14ac:dyDescent="0.3">
      <c r="Q4054" s="4"/>
      <c r="R4054" s="4"/>
      <c r="S4054" s="4"/>
      <c r="T4054" s="4"/>
      <c r="U4054" s="4"/>
      <c r="V4054" s="4"/>
      <c r="W4054" s="4"/>
      <c r="X4054" s="4"/>
    </row>
    <row r="4055" spans="17:24" x14ac:dyDescent="0.3">
      <c r="Q4055" s="4"/>
      <c r="R4055" s="4"/>
      <c r="S4055" s="4"/>
      <c r="T4055" s="4"/>
      <c r="U4055" s="4"/>
      <c r="V4055" s="4"/>
      <c r="W4055" s="4"/>
      <c r="X4055" s="4"/>
    </row>
    <row r="4056" spans="17:24" x14ac:dyDescent="0.3">
      <c r="Q4056" s="4"/>
      <c r="R4056" s="4"/>
      <c r="S4056" s="4"/>
      <c r="T4056" s="4"/>
      <c r="U4056" s="4"/>
      <c r="V4056" s="4"/>
      <c r="W4056" s="4"/>
      <c r="X4056" s="4"/>
    </row>
    <row r="4057" spans="17:24" x14ac:dyDescent="0.3">
      <c r="Q4057" s="4"/>
      <c r="R4057" s="4"/>
      <c r="S4057" s="4"/>
      <c r="T4057" s="4"/>
      <c r="U4057" s="4"/>
      <c r="V4057" s="4"/>
      <c r="W4057" s="4"/>
      <c r="X4057" s="4"/>
    </row>
    <row r="4058" spans="17:24" x14ac:dyDescent="0.3">
      <c r="Q4058" s="4"/>
      <c r="R4058" s="4"/>
      <c r="S4058" s="4"/>
      <c r="T4058" s="4"/>
      <c r="U4058" s="4"/>
      <c r="V4058" s="4"/>
      <c r="W4058" s="4"/>
      <c r="X4058" s="4"/>
    </row>
    <row r="4059" spans="17:24" x14ac:dyDescent="0.3">
      <c r="Q4059" s="4"/>
      <c r="R4059" s="4"/>
      <c r="S4059" s="4"/>
      <c r="T4059" s="4"/>
      <c r="U4059" s="4"/>
      <c r="V4059" s="4"/>
      <c r="W4059" s="4"/>
      <c r="X4059" s="4"/>
    </row>
    <row r="4060" spans="17:24" x14ac:dyDescent="0.3">
      <c r="Q4060" s="4"/>
      <c r="R4060" s="4"/>
      <c r="S4060" s="4"/>
      <c r="T4060" s="4"/>
      <c r="U4060" s="4"/>
      <c r="V4060" s="4"/>
      <c r="W4060" s="4"/>
      <c r="X4060" s="4"/>
    </row>
    <row r="4061" spans="17:24" x14ac:dyDescent="0.3">
      <c r="Q4061" s="4"/>
      <c r="R4061" s="4"/>
      <c r="S4061" s="4"/>
      <c r="T4061" s="4"/>
      <c r="U4061" s="4"/>
      <c r="V4061" s="4"/>
      <c r="W4061" s="4"/>
      <c r="X4061" s="4"/>
    </row>
    <row r="4062" spans="17:24" x14ac:dyDescent="0.3">
      <c r="Q4062" s="4"/>
      <c r="R4062" s="4"/>
      <c r="S4062" s="4"/>
      <c r="T4062" s="4"/>
      <c r="U4062" s="4"/>
      <c r="V4062" s="4"/>
      <c r="W4062" s="4"/>
      <c r="X4062" s="4"/>
    </row>
    <row r="4063" spans="17:24" x14ac:dyDescent="0.3">
      <c r="Q4063" s="4"/>
      <c r="R4063" s="4"/>
      <c r="S4063" s="4"/>
      <c r="T4063" s="4"/>
      <c r="U4063" s="4"/>
      <c r="V4063" s="4"/>
      <c r="W4063" s="4"/>
      <c r="X4063" s="4"/>
    </row>
    <row r="4064" spans="17:24" x14ac:dyDescent="0.3">
      <c r="Q4064" s="4"/>
      <c r="R4064" s="4"/>
      <c r="S4064" s="4"/>
      <c r="T4064" s="4"/>
      <c r="U4064" s="4"/>
      <c r="V4064" s="4"/>
      <c r="W4064" s="4"/>
      <c r="X4064" s="4"/>
    </row>
    <row r="4065" spans="17:24" x14ac:dyDescent="0.3">
      <c r="Q4065" s="4"/>
      <c r="R4065" s="4"/>
      <c r="S4065" s="4"/>
      <c r="T4065" s="4"/>
      <c r="U4065" s="4"/>
      <c r="V4065" s="4"/>
      <c r="W4065" s="4"/>
      <c r="X4065" s="4"/>
    </row>
    <row r="4066" spans="17:24" x14ac:dyDescent="0.3">
      <c r="Q4066" s="4"/>
      <c r="R4066" s="4"/>
      <c r="S4066" s="4"/>
      <c r="T4066" s="4"/>
      <c r="U4066" s="4"/>
      <c r="V4066" s="4"/>
      <c r="W4066" s="4"/>
      <c r="X4066" s="4"/>
    </row>
    <row r="4067" spans="17:24" x14ac:dyDescent="0.3">
      <c r="Q4067" s="4"/>
      <c r="R4067" s="4"/>
      <c r="S4067" s="4"/>
      <c r="T4067" s="4"/>
      <c r="U4067" s="4"/>
      <c r="V4067" s="4"/>
      <c r="W4067" s="4"/>
      <c r="X4067" s="4"/>
    </row>
    <row r="4068" spans="17:24" x14ac:dyDescent="0.3">
      <c r="Q4068" s="4"/>
      <c r="R4068" s="4"/>
      <c r="S4068" s="4"/>
      <c r="T4068" s="4"/>
      <c r="U4068" s="4"/>
      <c r="V4068" s="4"/>
      <c r="W4068" s="4"/>
      <c r="X4068" s="4"/>
    </row>
    <row r="4069" spans="17:24" x14ac:dyDescent="0.3">
      <c r="Q4069" s="4"/>
      <c r="R4069" s="4"/>
      <c r="S4069" s="4"/>
      <c r="T4069" s="4"/>
      <c r="U4069" s="4"/>
      <c r="V4069" s="4"/>
      <c r="W4069" s="4"/>
      <c r="X4069" s="4"/>
    </row>
    <row r="4070" spans="17:24" x14ac:dyDescent="0.3">
      <c r="Q4070" s="4"/>
      <c r="R4070" s="4"/>
      <c r="S4070" s="4"/>
      <c r="T4070" s="4"/>
      <c r="U4070" s="4"/>
      <c r="V4070" s="4"/>
      <c r="W4070" s="4"/>
      <c r="X4070" s="4"/>
    </row>
    <row r="4071" spans="17:24" x14ac:dyDescent="0.3">
      <c r="Q4071" s="4"/>
      <c r="R4071" s="4"/>
      <c r="S4071" s="4"/>
      <c r="T4071" s="4"/>
      <c r="U4071" s="4"/>
      <c r="V4071" s="4"/>
      <c r="W4071" s="4"/>
      <c r="X4071" s="4"/>
    </row>
    <row r="4072" spans="17:24" x14ac:dyDescent="0.3">
      <c r="Q4072" s="4"/>
      <c r="R4072" s="4"/>
      <c r="S4072" s="4"/>
      <c r="T4072" s="4"/>
      <c r="U4072" s="4"/>
      <c r="V4072" s="4"/>
      <c r="W4072" s="4"/>
      <c r="X4072" s="4"/>
    </row>
    <row r="4073" spans="17:24" x14ac:dyDescent="0.3">
      <c r="Q4073" s="4"/>
      <c r="R4073" s="4"/>
      <c r="S4073" s="4"/>
      <c r="T4073" s="4"/>
      <c r="U4073" s="4"/>
      <c r="V4073" s="4"/>
      <c r="W4073" s="4"/>
      <c r="X4073" s="4"/>
    </row>
    <row r="4074" spans="17:24" x14ac:dyDescent="0.3">
      <c r="Q4074" s="4"/>
      <c r="R4074" s="4"/>
      <c r="S4074" s="4"/>
      <c r="T4074" s="4"/>
      <c r="U4074" s="4"/>
      <c r="V4074" s="4"/>
      <c r="W4074" s="4"/>
      <c r="X4074" s="4"/>
    </row>
    <row r="4075" spans="17:24" x14ac:dyDescent="0.3">
      <c r="Q4075" s="4"/>
      <c r="R4075" s="4"/>
      <c r="S4075" s="4"/>
      <c r="T4075" s="4"/>
      <c r="U4075" s="4"/>
      <c r="V4075" s="4"/>
      <c r="W4075" s="4"/>
      <c r="X4075" s="4"/>
    </row>
    <row r="4076" spans="17:24" x14ac:dyDescent="0.3">
      <c r="Q4076" s="4"/>
      <c r="R4076" s="4"/>
      <c r="S4076" s="4"/>
      <c r="T4076" s="4"/>
      <c r="U4076" s="4"/>
      <c r="V4076" s="4"/>
      <c r="W4076" s="4"/>
      <c r="X4076" s="4"/>
    </row>
    <row r="4077" spans="17:24" x14ac:dyDescent="0.3">
      <c r="Q4077" s="4"/>
      <c r="R4077" s="4"/>
      <c r="S4077" s="4"/>
      <c r="T4077" s="4"/>
      <c r="U4077" s="4"/>
      <c r="V4077" s="4"/>
      <c r="W4077" s="4"/>
      <c r="X4077" s="4"/>
    </row>
    <row r="4078" spans="17:24" x14ac:dyDescent="0.3">
      <c r="Q4078" s="4"/>
      <c r="R4078" s="4"/>
      <c r="S4078" s="4"/>
      <c r="T4078" s="4"/>
      <c r="U4078" s="4"/>
      <c r="V4078" s="4"/>
      <c r="W4078" s="4"/>
      <c r="X4078" s="4"/>
    </row>
    <row r="4079" spans="17:24" x14ac:dyDescent="0.3">
      <c r="Q4079" s="4"/>
      <c r="R4079" s="4"/>
      <c r="S4079" s="4"/>
      <c r="T4079" s="4"/>
      <c r="U4079" s="4"/>
      <c r="V4079" s="4"/>
      <c r="W4079" s="4"/>
      <c r="X4079" s="4"/>
    </row>
    <row r="4080" spans="17:24" x14ac:dyDescent="0.3">
      <c r="Q4080" s="4"/>
      <c r="R4080" s="4"/>
      <c r="S4080" s="4"/>
      <c r="T4080" s="4"/>
      <c r="U4080" s="4"/>
      <c r="V4080" s="4"/>
      <c r="W4080" s="4"/>
      <c r="X4080" s="4"/>
    </row>
    <row r="4081" spans="17:24" x14ac:dyDescent="0.3">
      <c r="Q4081" s="4"/>
      <c r="R4081" s="4"/>
      <c r="S4081" s="4"/>
      <c r="T4081" s="4"/>
      <c r="U4081" s="4"/>
      <c r="V4081" s="4"/>
      <c r="W4081" s="4"/>
      <c r="X4081" s="4"/>
    </row>
    <row r="4082" spans="17:24" x14ac:dyDescent="0.3">
      <c r="Q4082" s="4"/>
      <c r="R4082" s="4"/>
      <c r="S4082" s="4"/>
      <c r="T4082" s="4"/>
      <c r="U4082" s="4"/>
      <c r="V4082" s="4"/>
      <c r="W4082" s="4"/>
      <c r="X4082" s="4"/>
    </row>
    <row r="4083" spans="17:24" x14ac:dyDescent="0.3">
      <c r="Q4083" s="4"/>
      <c r="R4083" s="4"/>
      <c r="S4083" s="4"/>
      <c r="T4083" s="4"/>
      <c r="U4083" s="4"/>
      <c r="V4083" s="4"/>
      <c r="W4083" s="4"/>
      <c r="X4083" s="4"/>
    </row>
    <row r="4084" spans="17:24" x14ac:dyDescent="0.3">
      <c r="Q4084" s="4"/>
      <c r="R4084" s="4"/>
      <c r="S4084" s="4"/>
      <c r="T4084" s="4"/>
      <c r="U4084" s="4"/>
      <c r="V4084" s="4"/>
      <c r="W4084" s="4"/>
      <c r="X4084" s="4"/>
    </row>
    <row r="4085" spans="17:24" x14ac:dyDescent="0.3">
      <c r="Q4085" s="4"/>
      <c r="R4085" s="4"/>
      <c r="S4085" s="4"/>
      <c r="T4085" s="4"/>
      <c r="U4085" s="4"/>
      <c r="V4085" s="4"/>
      <c r="W4085" s="4"/>
      <c r="X4085" s="4"/>
    </row>
    <row r="4086" spans="17:24" x14ac:dyDescent="0.3">
      <c r="Q4086" s="4"/>
      <c r="R4086" s="4"/>
      <c r="S4086" s="4"/>
      <c r="T4086" s="4"/>
      <c r="U4086" s="4"/>
      <c r="V4086" s="4"/>
      <c r="W4086" s="4"/>
      <c r="X4086" s="4"/>
    </row>
    <row r="4087" spans="17:24" x14ac:dyDescent="0.3">
      <c r="Q4087" s="4"/>
      <c r="R4087" s="4"/>
      <c r="S4087" s="4"/>
      <c r="T4087" s="4"/>
      <c r="U4087" s="4"/>
      <c r="V4087" s="4"/>
      <c r="W4087" s="4"/>
      <c r="X4087" s="4"/>
    </row>
    <row r="4088" spans="17:24" x14ac:dyDescent="0.3">
      <c r="Q4088" s="4"/>
      <c r="R4088" s="4"/>
      <c r="S4088" s="4"/>
      <c r="T4088" s="4"/>
      <c r="U4088" s="4"/>
      <c r="V4088" s="4"/>
      <c r="W4088" s="4"/>
      <c r="X4088" s="4"/>
    </row>
    <row r="4089" spans="17:24" x14ac:dyDescent="0.3">
      <c r="Q4089" s="4"/>
      <c r="R4089" s="4"/>
      <c r="S4089" s="4"/>
      <c r="T4089" s="4"/>
      <c r="U4089" s="4"/>
      <c r="V4089" s="4"/>
      <c r="W4089" s="4"/>
      <c r="X4089" s="4"/>
    </row>
    <row r="4090" spans="17:24" x14ac:dyDescent="0.3">
      <c r="Q4090" s="4"/>
      <c r="R4090" s="4"/>
      <c r="S4090" s="4"/>
      <c r="T4090" s="4"/>
      <c r="U4090" s="4"/>
      <c r="V4090" s="4"/>
      <c r="W4090" s="4"/>
      <c r="X4090" s="4"/>
    </row>
    <row r="4091" spans="17:24" x14ac:dyDescent="0.3">
      <c r="Q4091" s="4"/>
      <c r="R4091" s="4"/>
      <c r="S4091" s="4"/>
      <c r="T4091" s="4"/>
      <c r="U4091" s="4"/>
      <c r="V4091" s="4"/>
      <c r="W4091" s="4"/>
      <c r="X4091" s="4"/>
    </row>
    <row r="4092" spans="17:24" x14ac:dyDescent="0.3">
      <c r="Q4092" s="4"/>
      <c r="R4092" s="4"/>
      <c r="S4092" s="4"/>
      <c r="T4092" s="4"/>
      <c r="U4092" s="4"/>
      <c r="V4092" s="4"/>
      <c r="W4092" s="4"/>
      <c r="X4092" s="4"/>
    </row>
    <row r="4093" spans="17:24" x14ac:dyDescent="0.3">
      <c r="Q4093" s="4"/>
      <c r="R4093" s="4"/>
      <c r="S4093" s="4"/>
      <c r="T4093" s="4"/>
      <c r="U4093" s="4"/>
      <c r="V4093" s="4"/>
      <c r="W4093" s="4"/>
      <c r="X4093" s="4"/>
    </row>
    <row r="4094" spans="17:24" x14ac:dyDescent="0.3">
      <c r="Q4094" s="4"/>
      <c r="R4094" s="4"/>
      <c r="S4094" s="4"/>
      <c r="T4094" s="4"/>
      <c r="U4094" s="4"/>
      <c r="V4094" s="4"/>
      <c r="W4094" s="4"/>
      <c r="X4094" s="4"/>
    </row>
    <row r="4095" spans="17:24" x14ac:dyDescent="0.3">
      <c r="Q4095" s="4"/>
      <c r="R4095" s="4"/>
      <c r="S4095" s="4"/>
      <c r="T4095" s="4"/>
      <c r="U4095" s="4"/>
      <c r="V4095" s="4"/>
      <c r="W4095" s="4"/>
      <c r="X4095" s="4"/>
    </row>
    <row r="4096" spans="17:24" x14ac:dyDescent="0.3">
      <c r="Q4096" s="4"/>
      <c r="R4096" s="4"/>
      <c r="S4096" s="4"/>
      <c r="T4096" s="4"/>
      <c r="U4096" s="4"/>
      <c r="V4096" s="4"/>
      <c r="W4096" s="4"/>
      <c r="X4096" s="4"/>
    </row>
    <row r="4097" spans="17:24" x14ac:dyDescent="0.3">
      <c r="Q4097" s="4"/>
      <c r="R4097" s="4"/>
      <c r="S4097" s="4"/>
      <c r="T4097" s="4"/>
      <c r="U4097" s="4"/>
      <c r="V4097" s="4"/>
      <c r="W4097" s="4"/>
      <c r="X4097" s="4"/>
    </row>
    <row r="4098" spans="17:24" x14ac:dyDescent="0.3">
      <c r="Q4098" s="4"/>
      <c r="R4098" s="4"/>
      <c r="S4098" s="4"/>
      <c r="T4098" s="4"/>
      <c r="U4098" s="4"/>
      <c r="V4098" s="4"/>
      <c r="W4098" s="4"/>
      <c r="X4098" s="4"/>
    </row>
    <row r="4099" spans="17:24" x14ac:dyDescent="0.3">
      <c r="Q4099" s="4"/>
      <c r="R4099" s="4"/>
      <c r="S4099" s="4"/>
      <c r="T4099" s="4"/>
      <c r="U4099" s="4"/>
      <c r="V4099" s="4"/>
      <c r="W4099" s="4"/>
      <c r="X4099" s="4"/>
    </row>
    <row r="4100" spans="17:24" x14ac:dyDescent="0.3">
      <c r="Q4100" s="4"/>
      <c r="R4100" s="4"/>
      <c r="S4100" s="4"/>
      <c r="T4100" s="4"/>
      <c r="U4100" s="4"/>
      <c r="V4100" s="4"/>
      <c r="W4100" s="4"/>
      <c r="X4100" s="4"/>
    </row>
    <row r="4101" spans="17:24" x14ac:dyDescent="0.3">
      <c r="Q4101" s="4"/>
      <c r="R4101" s="4"/>
      <c r="S4101" s="4"/>
      <c r="T4101" s="4"/>
      <c r="U4101" s="4"/>
      <c r="V4101" s="4"/>
      <c r="W4101" s="4"/>
      <c r="X4101" s="4"/>
    </row>
    <row r="4102" spans="17:24" x14ac:dyDescent="0.3">
      <c r="Q4102" s="4"/>
      <c r="R4102" s="4"/>
      <c r="S4102" s="4"/>
      <c r="T4102" s="4"/>
      <c r="U4102" s="4"/>
      <c r="V4102" s="4"/>
      <c r="W4102" s="4"/>
      <c r="X4102" s="4"/>
    </row>
    <row r="4103" spans="17:24" x14ac:dyDescent="0.3">
      <c r="Q4103" s="4"/>
      <c r="R4103" s="4"/>
      <c r="S4103" s="4"/>
      <c r="T4103" s="4"/>
      <c r="U4103" s="4"/>
      <c r="V4103" s="4"/>
      <c r="W4103" s="4"/>
      <c r="X4103" s="4"/>
    </row>
    <row r="4104" spans="17:24" x14ac:dyDescent="0.3">
      <c r="Q4104" s="4"/>
      <c r="R4104" s="4"/>
      <c r="S4104" s="4"/>
      <c r="T4104" s="4"/>
      <c r="U4104" s="4"/>
      <c r="V4104" s="4"/>
      <c r="W4104" s="4"/>
      <c r="X4104" s="4"/>
    </row>
    <row r="4105" spans="17:24" x14ac:dyDescent="0.3">
      <c r="Q4105" s="4"/>
      <c r="R4105" s="4"/>
      <c r="S4105" s="4"/>
      <c r="T4105" s="4"/>
      <c r="U4105" s="4"/>
      <c r="V4105" s="4"/>
      <c r="W4105" s="4"/>
      <c r="X4105" s="4"/>
    </row>
    <row r="4106" spans="17:24" x14ac:dyDescent="0.3">
      <c r="Q4106" s="4"/>
      <c r="R4106" s="4"/>
      <c r="S4106" s="4"/>
      <c r="T4106" s="4"/>
      <c r="U4106" s="4"/>
      <c r="V4106" s="4"/>
      <c r="W4106" s="4"/>
      <c r="X4106" s="4"/>
    </row>
    <row r="4107" spans="17:24" x14ac:dyDescent="0.3">
      <c r="Q4107" s="4"/>
      <c r="R4107" s="4"/>
      <c r="S4107" s="4"/>
      <c r="T4107" s="4"/>
      <c r="U4107" s="4"/>
      <c r="V4107" s="4"/>
      <c r="W4107" s="4"/>
      <c r="X4107" s="4"/>
    </row>
    <row r="4108" spans="17:24" x14ac:dyDescent="0.3">
      <c r="Q4108" s="4"/>
      <c r="R4108" s="4"/>
      <c r="S4108" s="4"/>
      <c r="T4108" s="4"/>
      <c r="U4108" s="4"/>
      <c r="V4108" s="4"/>
      <c r="W4108" s="4"/>
      <c r="X4108" s="4"/>
    </row>
    <row r="4109" spans="17:24" x14ac:dyDescent="0.3">
      <c r="Q4109" s="4"/>
      <c r="R4109" s="4"/>
      <c r="S4109" s="4"/>
      <c r="T4109" s="4"/>
      <c r="U4109" s="4"/>
      <c r="V4109" s="4"/>
      <c r="W4109" s="4"/>
      <c r="X4109" s="4"/>
    </row>
    <row r="4110" spans="17:24" x14ac:dyDescent="0.3">
      <c r="Q4110" s="4"/>
      <c r="R4110" s="4"/>
      <c r="S4110" s="4"/>
      <c r="T4110" s="4"/>
      <c r="U4110" s="4"/>
      <c r="V4110" s="4"/>
      <c r="W4110" s="4"/>
      <c r="X4110" s="4"/>
    </row>
    <row r="4111" spans="17:24" x14ac:dyDescent="0.3">
      <c r="Q4111" s="4"/>
      <c r="R4111" s="4"/>
      <c r="S4111" s="4"/>
      <c r="T4111" s="4"/>
      <c r="U4111" s="4"/>
      <c r="V4111" s="4"/>
      <c r="W4111" s="4"/>
      <c r="X4111" s="4"/>
    </row>
    <row r="4112" spans="17:24" x14ac:dyDescent="0.3">
      <c r="Q4112" s="4"/>
      <c r="R4112" s="4"/>
      <c r="S4112" s="4"/>
      <c r="T4112" s="4"/>
      <c r="U4112" s="4"/>
      <c r="V4112" s="4"/>
      <c r="W4112" s="4"/>
      <c r="X4112" s="4"/>
    </row>
    <row r="4113" spans="17:24" x14ac:dyDescent="0.3">
      <c r="Q4113" s="4"/>
      <c r="R4113" s="4"/>
      <c r="S4113" s="4"/>
      <c r="T4113" s="4"/>
      <c r="U4113" s="4"/>
      <c r="V4113" s="4"/>
      <c r="W4113" s="4"/>
      <c r="X4113" s="4"/>
    </row>
    <row r="4114" spans="17:24" x14ac:dyDescent="0.3">
      <c r="Q4114" s="4"/>
      <c r="R4114" s="4"/>
      <c r="S4114" s="4"/>
      <c r="T4114" s="4"/>
      <c r="U4114" s="4"/>
      <c r="V4114" s="4"/>
      <c r="W4114" s="4"/>
      <c r="X4114" s="4"/>
    </row>
    <row r="4115" spans="17:24" x14ac:dyDescent="0.3">
      <c r="Q4115" s="4"/>
      <c r="R4115" s="4"/>
      <c r="S4115" s="4"/>
      <c r="T4115" s="4"/>
      <c r="U4115" s="4"/>
      <c r="V4115" s="4"/>
      <c r="W4115" s="4"/>
      <c r="X4115" s="4"/>
    </row>
    <row r="4116" spans="17:24" x14ac:dyDescent="0.3">
      <c r="Q4116" s="4"/>
      <c r="R4116" s="4"/>
      <c r="S4116" s="4"/>
      <c r="T4116" s="4"/>
      <c r="U4116" s="4"/>
      <c r="V4116" s="4"/>
      <c r="W4116" s="4"/>
      <c r="X4116" s="4"/>
    </row>
    <row r="4117" spans="17:24" x14ac:dyDescent="0.3">
      <c r="Q4117" s="4"/>
      <c r="R4117" s="4"/>
      <c r="S4117" s="4"/>
      <c r="T4117" s="4"/>
      <c r="U4117" s="4"/>
      <c r="V4117" s="4"/>
      <c r="W4117" s="4"/>
      <c r="X4117" s="4"/>
    </row>
    <row r="4118" spans="17:24" x14ac:dyDescent="0.3">
      <c r="Q4118" s="4"/>
      <c r="R4118" s="4"/>
      <c r="S4118" s="4"/>
      <c r="T4118" s="4"/>
      <c r="U4118" s="4"/>
      <c r="V4118" s="4"/>
      <c r="W4118" s="4"/>
      <c r="X4118" s="4"/>
    </row>
    <row r="4119" spans="17:24" x14ac:dyDescent="0.3">
      <c r="Q4119" s="4"/>
      <c r="R4119" s="4"/>
      <c r="S4119" s="4"/>
      <c r="T4119" s="4"/>
      <c r="U4119" s="4"/>
      <c r="V4119" s="4"/>
      <c r="W4119" s="4"/>
      <c r="X4119" s="4"/>
    </row>
    <row r="4120" spans="17:24" x14ac:dyDescent="0.3">
      <c r="Q4120" s="4"/>
      <c r="R4120" s="4"/>
      <c r="S4120" s="4"/>
      <c r="T4120" s="4"/>
      <c r="U4120" s="4"/>
      <c r="V4120" s="4"/>
      <c r="W4120" s="4"/>
      <c r="X4120" s="4"/>
    </row>
    <row r="4121" spans="17:24" x14ac:dyDescent="0.3">
      <c r="Q4121" s="4"/>
      <c r="R4121" s="4"/>
      <c r="S4121" s="4"/>
      <c r="T4121" s="4"/>
      <c r="U4121" s="4"/>
      <c r="V4121" s="4"/>
      <c r="W4121" s="4"/>
      <c r="X4121" s="4"/>
    </row>
    <row r="4122" spans="17:24" x14ac:dyDescent="0.3">
      <c r="Q4122" s="4"/>
      <c r="R4122" s="4"/>
      <c r="S4122" s="4"/>
      <c r="T4122" s="4"/>
      <c r="U4122" s="4"/>
      <c r="V4122" s="4"/>
      <c r="W4122" s="4"/>
      <c r="X4122" s="4"/>
    </row>
    <row r="4123" spans="17:24" x14ac:dyDescent="0.3">
      <c r="Q4123" s="4"/>
      <c r="R4123" s="4"/>
      <c r="S4123" s="4"/>
      <c r="T4123" s="4"/>
      <c r="U4123" s="4"/>
      <c r="V4123" s="4"/>
      <c r="W4123" s="4"/>
      <c r="X4123" s="4"/>
    </row>
    <row r="4124" spans="17:24" x14ac:dyDescent="0.3">
      <c r="Q4124" s="4"/>
      <c r="R4124" s="4"/>
      <c r="S4124" s="4"/>
      <c r="T4124" s="4"/>
      <c r="U4124" s="4"/>
      <c r="V4124" s="4"/>
      <c r="W4124" s="4"/>
      <c r="X4124" s="4"/>
    </row>
    <row r="4125" spans="17:24" x14ac:dyDescent="0.3">
      <c r="Q4125" s="4"/>
      <c r="R4125" s="4"/>
      <c r="S4125" s="4"/>
      <c r="T4125" s="4"/>
      <c r="U4125" s="4"/>
      <c r="V4125" s="4"/>
      <c r="W4125" s="4"/>
      <c r="X4125" s="4"/>
    </row>
    <row r="4126" spans="17:24" x14ac:dyDescent="0.3">
      <c r="Q4126" s="4"/>
      <c r="R4126" s="4"/>
      <c r="S4126" s="4"/>
      <c r="T4126" s="4"/>
      <c r="U4126" s="4"/>
      <c r="V4126" s="4"/>
      <c r="W4126" s="4"/>
      <c r="X4126" s="4"/>
    </row>
    <row r="4127" spans="17:24" x14ac:dyDescent="0.3">
      <c r="Q4127" s="4"/>
      <c r="R4127" s="4"/>
      <c r="S4127" s="4"/>
      <c r="T4127" s="4"/>
      <c r="U4127" s="4"/>
      <c r="V4127" s="4"/>
      <c r="W4127" s="4"/>
      <c r="X4127" s="4"/>
    </row>
    <row r="4128" spans="17:24" x14ac:dyDescent="0.3">
      <c r="Q4128" s="4"/>
      <c r="R4128" s="4"/>
      <c r="S4128" s="4"/>
      <c r="T4128" s="4"/>
      <c r="U4128" s="4"/>
      <c r="V4128" s="4"/>
      <c r="W4128" s="4"/>
      <c r="X4128" s="4"/>
    </row>
    <row r="4129" spans="17:24" x14ac:dyDescent="0.3">
      <c r="Q4129" s="4"/>
      <c r="R4129" s="4"/>
      <c r="S4129" s="4"/>
      <c r="T4129" s="4"/>
      <c r="U4129" s="4"/>
      <c r="V4129" s="4"/>
      <c r="W4129" s="4"/>
      <c r="X4129" s="4"/>
    </row>
    <row r="4130" spans="17:24" x14ac:dyDescent="0.3">
      <c r="Q4130" s="4"/>
      <c r="R4130" s="4"/>
      <c r="S4130" s="4"/>
      <c r="T4130" s="4"/>
      <c r="U4130" s="4"/>
      <c r="V4130" s="4"/>
      <c r="W4130" s="4"/>
      <c r="X4130" s="4"/>
    </row>
    <row r="4131" spans="17:24" x14ac:dyDescent="0.3">
      <c r="Q4131" s="4"/>
      <c r="R4131" s="4"/>
      <c r="S4131" s="4"/>
      <c r="T4131" s="4"/>
      <c r="U4131" s="4"/>
      <c r="V4131" s="4"/>
      <c r="W4131" s="4"/>
      <c r="X4131" s="4"/>
    </row>
    <row r="4132" spans="17:24" x14ac:dyDescent="0.3">
      <c r="Q4132" s="4"/>
      <c r="R4132" s="4"/>
      <c r="S4132" s="4"/>
      <c r="T4132" s="4"/>
      <c r="U4132" s="4"/>
      <c r="V4132" s="4"/>
      <c r="W4132" s="4"/>
      <c r="X4132" s="4"/>
    </row>
    <row r="4133" spans="17:24" x14ac:dyDescent="0.3">
      <c r="Q4133" s="4"/>
      <c r="R4133" s="4"/>
      <c r="S4133" s="4"/>
      <c r="T4133" s="4"/>
      <c r="U4133" s="4"/>
      <c r="V4133" s="4"/>
      <c r="W4133" s="4"/>
      <c r="X4133" s="4"/>
    </row>
    <row r="4134" spans="17:24" x14ac:dyDescent="0.3">
      <c r="Q4134" s="4"/>
      <c r="R4134" s="4"/>
      <c r="S4134" s="4"/>
      <c r="T4134" s="4"/>
      <c r="U4134" s="4"/>
      <c r="V4134" s="4"/>
      <c r="W4134" s="4"/>
      <c r="X4134" s="4"/>
    </row>
    <row r="4135" spans="17:24" x14ac:dyDescent="0.3">
      <c r="Q4135" s="4"/>
      <c r="R4135" s="4"/>
      <c r="S4135" s="4"/>
      <c r="T4135" s="4"/>
      <c r="U4135" s="4"/>
      <c r="V4135" s="4"/>
      <c r="W4135" s="4"/>
      <c r="X4135" s="4"/>
    </row>
    <row r="4136" spans="17:24" x14ac:dyDescent="0.3">
      <c r="Q4136" s="4"/>
      <c r="R4136" s="4"/>
      <c r="S4136" s="4"/>
      <c r="T4136" s="4"/>
      <c r="U4136" s="4"/>
      <c r="V4136" s="4"/>
      <c r="W4136" s="4"/>
      <c r="X4136" s="4"/>
    </row>
    <row r="4137" spans="17:24" x14ac:dyDescent="0.3">
      <c r="Q4137" s="4"/>
      <c r="R4137" s="4"/>
      <c r="S4137" s="4"/>
      <c r="T4137" s="4"/>
      <c r="U4137" s="4"/>
      <c r="V4137" s="4"/>
      <c r="W4137" s="4"/>
      <c r="X4137" s="4"/>
    </row>
    <row r="4138" spans="17:24" x14ac:dyDescent="0.3">
      <c r="Q4138" s="4"/>
      <c r="R4138" s="4"/>
      <c r="S4138" s="4"/>
      <c r="T4138" s="4"/>
      <c r="U4138" s="4"/>
      <c r="V4138" s="4"/>
      <c r="W4138" s="4"/>
      <c r="X4138" s="4"/>
    </row>
    <row r="4139" spans="17:24" x14ac:dyDescent="0.3">
      <c r="Q4139" s="4"/>
      <c r="R4139" s="4"/>
      <c r="S4139" s="4"/>
      <c r="T4139" s="4"/>
      <c r="U4139" s="4"/>
      <c r="V4139" s="4"/>
      <c r="W4139" s="4"/>
      <c r="X4139" s="4"/>
    </row>
    <row r="4140" spans="17:24" x14ac:dyDescent="0.3">
      <c r="Q4140" s="4"/>
      <c r="R4140" s="4"/>
      <c r="S4140" s="4"/>
      <c r="T4140" s="4"/>
      <c r="U4140" s="4"/>
      <c r="V4140" s="4"/>
      <c r="W4140" s="4"/>
      <c r="X4140" s="4"/>
    </row>
    <row r="4141" spans="17:24" x14ac:dyDescent="0.3">
      <c r="Q4141" s="4"/>
      <c r="R4141" s="4"/>
      <c r="S4141" s="4"/>
      <c r="T4141" s="4"/>
      <c r="U4141" s="4"/>
      <c r="V4141" s="4"/>
      <c r="W4141" s="4"/>
      <c r="X4141" s="4"/>
    </row>
    <row r="4142" spans="17:24" x14ac:dyDescent="0.3">
      <c r="Q4142" s="4"/>
      <c r="R4142" s="4"/>
      <c r="S4142" s="4"/>
      <c r="T4142" s="4"/>
      <c r="U4142" s="4"/>
      <c r="V4142" s="4"/>
      <c r="W4142" s="4"/>
      <c r="X4142" s="4"/>
    </row>
    <row r="4143" spans="17:24" x14ac:dyDescent="0.3">
      <c r="Q4143" s="4"/>
      <c r="R4143" s="4"/>
      <c r="S4143" s="4"/>
      <c r="T4143" s="4"/>
      <c r="U4143" s="4"/>
      <c r="V4143" s="4"/>
      <c r="W4143" s="4"/>
      <c r="X4143" s="4"/>
    </row>
    <row r="4144" spans="17:24" x14ac:dyDescent="0.3">
      <c r="Q4144" s="4"/>
      <c r="R4144" s="4"/>
      <c r="S4144" s="4"/>
      <c r="T4144" s="4"/>
      <c r="U4144" s="4"/>
      <c r="V4144" s="4"/>
      <c r="W4144" s="4"/>
      <c r="X4144" s="4"/>
    </row>
    <row r="4145" spans="17:24" x14ac:dyDescent="0.3">
      <c r="Q4145" s="4"/>
      <c r="R4145" s="4"/>
      <c r="S4145" s="4"/>
      <c r="T4145" s="4"/>
      <c r="U4145" s="4"/>
      <c r="V4145" s="4"/>
      <c r="W4145" s="4"/>
      <c r="X4145" s="4"/>
    </row>
    <row r="4146" spans="17:24" x14ac:dyDescent="0.3">
      <c r="Q4146" s="4"/>
      <c r="R4146" s="4"/>
      <c r="S4146" s="4"/>
      <c r="T4146" s="4"/>
      <c r="U4146" s="4"/>
      <c r="V4146" s="4"/>
      <c r="W4146" s="4"/>
      <c r="X4146" s="4"/>
    </row>
    <row r="4147" spans="17:24" x14ac:dyDescent="0.3">
      <c r="Q4147" s="4"/>
      <c r="R4147" s="4"/>
      <c r="S4147" s="4"/>
      <c r="T4147" s="4"/>
      <c r="U4147" s="4"/>
      <c r="V4147" s="4"/>
      <c r="W4147" s="4"/>
      <c r="X4147" s="4"/>
    </row>
    <row r="4148" spans="17:24" x14ac:dyDescent="0.3">
      <c r="Q4148" s="4"/>
      <c r="R4148" s="4"/>
      <c r="S4148" s="4"/>
      <c r="T4148" s="4"/>
      <c r="U4148" s="4"/>
      <c r="V4148" s="4"/>
      <c r="W4148" s="4"/>
      <c r="X4148" s="4"/>
    </row>
    <row r="4149" spans="17:24" x14ac:dyDescent="0.3">
      <c r="Q4149" s="4"/>
      <c r="R4149" s="4"/>
      <c r="S4149" s="4"/>
      <c r="T4149" s="4"/>
      <c r="U4149" s="4"/>
      <c r="V4149" s="4"/>
      <c r="W4149" s="4"/>
      <c r="X4149" s="4"/>
    </row>
    <row r="4150" spans="17:24" x14ac:dyDescent="0.3">
      <c r="Q4150" s="4"/>
      <c r="R4150" s="4"/>
      <c r="S4150" s="4"/>
      <c r="T4150" s="4"/>
      <c r="U4150" s="4"/>
      <c r="V4150" s="4"/>
      <c r="W4150" s="4"/>
      <c r="X4150" s="4"/>
    </row>
    <row r="4151" spans="17:24" x14ac:dyDescent="0.3">
      <c r="Q4151" s="4"/>
      <c r="R4151" s="4"/>
      <c r="S4151" s="4"/>
      <c r="T4151" s="4"/>
      <c r="U4151" s="4"/>
      <c r="V4151" s="4"/>
      <c r="W4151" s="4"/>
      <c r="X4151" s="4"/>
    </row>
    <row r="4152" spans="17:24" x14ac:dyDescent="0.3">
      <c r="Q4152" s="4"/>
      <c r="R4152" s="4"/>
      <c r="S4152" s="4"/>
      <c r="T4152" s="4"/>
      <c r="U4152" s="4"/>
      <c r="V4152" s="4"/>
      <c r="W4152" s="4"/>
      <c r="X4152" s="4"/>
    </row>
    <row r="4153" spans="17:24" x14ac:dyDescent="0.3">
      <c r="Q4153" s="4"/>
      <c r="R4153" s="4"/>
      <c r="S4153" s="4"/>
      <c r="T4153" s="4"/>
      <c r="U4153" s="4"/>
      <c r="V4153" s="4"/>
      <c r="W4153" s="4"/>
      <c r="X4153" s="4"/>
    </row>
    <row r="4154" spans="17:24" x14ac:dyDescent="0.3">
      <c r="Q4154" s="4"/>
      <c r="R4154" s="4"/>
      <c r="S4154" s="4"/>
      <c r="T4154" s="4"/>
      <c r="U4154" s="4"/>
      <c r="V4154" s="4"/>
      <c r="W4154" s="4"/>
      <c r="X4154" s="4"/>
    </row>
    <row r="4155" spans="17:24" x14ac:dyDescent="0.3">
      <c r="Q4155" s="4"/>
      <c r="R4155" s="4"/>
      <c r="S4155" s="4"/>
      <c r="T4155" s="4"/>
      <c r="U4155" s="4"/>
      <c r="V4155" s="4"/>
      <c r="W4155" s="4"/>
      <c r="X4155" s="4"/>
    </row>
    <row r="4156" spans="17:24" x14ac:dyDescent="0.3">
      <c r="Q4156" s="4"/>
      <c r="R4156" s="4"/>
      <c r="S4156" s="4"/>
      <c r="T4156" s="4"/>
      <c r="U4156" s="4"/>
      <c r="V4156" s="4"/>
      <c r="W4156" s="4"/>
      <c r="X4156" s="4"/>
    </row>
    <row r="4157" spans="17:24" x14ac:dyDescent="0.3">
      <c r="Q4157" s="4"/>
      <c r="R4157" s="4"/>
      <c r="S4157" s="4"/>
      <c r="T4157" s="4"/>
      <c r="U4157" s="4"/>
      <c r="V4157" s="4"/>
      <c r="W4157" s="4"/>
      <c r="X4157" s="4"/>
    </row>
    <row r="4158" spans="17:24" x14ac:dyDescent="0.3">
      <c r="Q4158" s="4"/>
      <c r="R4158" s="4"/>
      <c r="S4158" s="4"/>
      <c r="T4158" s="4"/>
      <c r="U4158" s="4"/>
      <c r="V4158" s="4"/>
      <c r="W4158" s="4"/>
      <c r="X4158" s="4"/>
    </row>
    <row r="4159" spans="17:24" x14ac:dyDescent="0.3">
      <c r="Q4159" s="4"/>
      <c r="R4159" s="4"/>
      <c r="S4159" s="4"/>
      <c r="T4159" s="4"/>
      <c r="U4159" s="4"/>
      <c r="V4159" s="4"/>
      <c r="W4159" s="4"/>
      <c r="X4159" s="4"/>
    </row>
    <row r="4160" spans="17:24" x14ac:dyDescent="0.3">
      <c r="Q4160" s="4"/>
      <c r="R4160" s="4"/>
      <c r="S4160" s="4"/>
      <c r="T4160" s="4"/>
      <c r="U4160" s="4"/>
      <c r="V4160" s="4"/>
      <c r="W4160" s="4"/>
      <c r="X4160" s="4"/>
    </row>
    <row r="4161" spans="17:24" x14ac:dyDescent="0.3">
      <c r="Q4161" s="4"/>
      <c r="R4161" s="4"/>
      <c r="S4161" s="4"/>
      <c r="T4161" s="4"/>
      <c r="U4161" s="4"/>
      <c r="V4161" s="4"/>
      <c r="W4161" s="4"/>
      <c r="X4161" s="4"/>
    </row>
    <row r="4162" spans="17:24" x14ac:dyDescent="0.3">
      <c r="Q4162" s="4"/>
      <c r="R4162" s="4"/>
      <c r="S4162" s="4"/>
      <c r="T4162" s="4"/>
      <c r="U4162" s="4"/>
      <c r="V4162" s="4"/>
      <c r="W4162" s="4"/>
      <c r="X4162" s="4"/>
    </row>
    <row r="4163" spans="17:24" x14ac:dyDescent="0.3">
      <c r="Q4163" s="4"/>
      <c r="R4163" s="4"/>
      <c r="S4163" s="4"/>
      <c r="T4163" s="4"/>
      <c r="U4163" s="4"/>
      <c r="V4163" s="4"/>
      <c r="W4163" s="4"/>
      <c r="X4163" s="4"/>
    </row>
    <row r="4164" spans="17:24" x14ac:dyDescent="0.3">
      <c r="Q4164" s="4"/>
      <c r="R4164" s="4"/>
      <c r="S4164" s="4"/>
      <c r="T4164" s="4"/>
      <c r="U4164" s="4"/>
      <c r="V4164" s="4"/>
      <c r="W4164" s="4"/>
      <c r="X4164" s="4"/>
    </row>
    <row r="4165" spans="17:24" x14ac:dyDescent="0.3">
      <c r="Q4165" s="4"/>
      <c r="R4165" s="4"/>
      <c r="S4165" s="4"/>
      <c r="T4165" s="4"/>
      <c r="U4165" s="4"/>
      <c r="V4165" s="4"/>
      <c r="W4165" s="4"/>
      <c r="X4165" s="4"/>
    </row>
    <row r="4166" spans="17:24" x14ac:dyDescent="0.3">
      <c r="Q4166" s="4"/>
      <c r="R4166" s="4"/>
      <c r="S4166" s="4"/>
      <c r="T4166" s="4"/>
      <c r="U4166" s="4"/>
      <c r="V4166" s="4"/>
      <c r="W4166" s="4"/>
      <c r="X4166" s="4"/>
    </row>
    <row r="4167" spans="17:24" x14ac:dyDescent="0.3">
      <c r="Q4167" s="4"/>
      <c r="R4167" s="4"/>
      <c r="S4167" s="4"/>
      <c r="T4167" s="4"/>
      <c r="U4167" s="4"/>
      <c r="V4167" s="4"/>
      <c r="W4167" s="4"/>
      <c r="X4167" s="4"/>
    </row>
    <row r="4168" spans="17:24" x14ac:dyDescent="0.3">
      <c r="Q4168" s="4"/>
      <c r="R4168" s="4"/>
      <c r="S4168" s="4"/>
      <c r="T4168" s="4"/>
      <c r="U4168" s="4"/>
      <c r="V4168" s="4"/>
      <c r="W4168" s="4"/>
      <c r="X4168" s="4"/>
    </row>
    <row r="4169" spans="17:24" x14ac:dyDescent="0.3">
      <c r="Q4169" s="4"/>
      <c r="R4169" s="4"/>
      <c r="S4169" s="4"/>
      <c r="T4169" s="4"/>
      <c r="U4169" s="4"/>
      <c r="V4169" s="4"/>
      <c r="W4169" s="4"/>
      <c r="X4169" s="4"/>
    </row>
    <row r="4170" spans="17:24" x14ac:dyDescent="0.3">
      <c r="Q4170" s="4"/>
      <c r="R4170" s="4"/>
      <c r="S4170" s="4"/>
      <c r="T4170" s="4"/>
      <c r="U4170" s="4"/>
      <c r="V4170" s="4"/>
      <c r="W4170" s="4"/>
      <c r="X4170" s="4"/>
    </row>
    <row r="4171" spans="17:24" x14ac:dyDescent="0.3">
      <c r="Q4171" s="4"/>
      <c r="R4171" s="4"/>
      <c r="S4171" s="4"/>
      <c r="T4171" s="4"/>
      <c r="U4171" s="4"/>
      <c r="V4171" s="4"/>
      <c r="W4171" s="4"/>
      <c r="X4171" s="4"/>
    </row>
    <row r="4172" spans="17:24" x14ac:dyDescent="0.3">
      <c r="Q4172" s="4"/>
      <c r="R4172" s="4"/>
      <c r="S4172" s="4"/>
      <c r="T4172" s="4"/>
      <c r="U4172" s="4"/>
      <c r="V4172" s="4"/>
      <c r="W4172" s="4"/>
      <c r="X4172" s="4"/>
    </row>
    <row r="4173" spans="17:24" x14ac:dyDescent="0.3">
      <c r="Q4173" s="4"/>
      <c r="R4173" s="4"/>
      <c r="S4173" s="4"/>
      <c r="T4173" s="4"/>
      <c r="U4173" s="4"/>
      <c r="V4173" s="4"/>
      <c r="W4173" s="4"/>
      <c r="X4173" s="4"/>
    </row>
    <row r="4174" spans="17:24" x14ac:dyDescent="0.3">
      <c r="Q4174" s="4"/>
      <c r="R4174" s="4"/>
      <c r="S4174" s="4"/>
      <c r="T4174" s="4"/>
      <c r="U4174" s="4"/>
      <c r="V4174" s="4"/>
      <c r="W4174" s="4"/>
      <c r="X4174" s="4"/>
    </row>
    <row r="4175" spans="17:24" x14ac:dyDescent="0.3">
      <c r="Q4175" s="4"/>
      <c r="R4175" s="4"/>
      <c r="S4175" s="4"/>
      <c r="T4175" s="4"/>
      <c r="U4175" s="4"/>
      <c r="V4175" s="4"/>
      <c r="W4175" s="4"/>
      <c r="X4175" s="4"/>
    </row>
    <row r="4176" spans="17:24" x14ac:dyDescent="0.3">
      <c r="Q4176" s="4"/>
      <c r="R4176" s="4"/>
      <c r="S4176" s="4"/>
      <c r="T4176" s="4"/>
      <c r="U4176" s="4"/>
      <c r="V4176" s="4"/>
      <c r="W4176" s="4"/>
      <c r="X4176" s="4"/>
    </row>
    <row r="4177" spans="17:24" x14ac:dyDescent="0.3">
      <c r="Q4177" s="4"/>
      <c r="R4177" s="4"/>
      <c r="S4177" s="4"/>
      <c r="T4177" s="4"/>
      <c r="U4177" s="4"/>
      <c r="V4177" s="4"/>
      <c r="W4177" s="4"/>
      <c r="X4177" s="4"/>
    </row>
    <row r="4178" spans="17:24" x14ac:dyDescent="0.3">
      <c r="Q4178" s="4"/>
      <c r="R4178" s="4"/>
      <c r="S4178" s="4"/>
      <c r="T4178" s="4"/>
      <c r="U4178" s="4"/>
      <c r="V4178" s="4"/>
      <c r="W4178" s="4"/>
      <c r="X4178" s="4"/>
    </row>
    <row r="4179" spans="17:24" x14ac:dyDescent="0.3">
      <c r="Q4179" s="4"/>
      <c r="R4179" s="4"/>
      <c r="S4179" s="4"/>
      <c r="T4179" s="4"/>
      <c r="U4179" s="4"/>
      <c r="V4179" s="4"/>
      <c r="W4179" s="4"/>
      <c r="X4179" s="4"/>
    </row>
    <row r="4180" spans="17:24" x14ac:dyDescent="0.3">
      <c r="Q4180" s="4"/>
      <c r="R4180" s="4"/>
      <c r="S4180" s="4"/>
      <c r="T4180" s="4"/>
      <c r="U4180" s="4"/>
      <c r="V4180" s="4"/>
      <c r="W4180" s="4"/>
      <c r="X4180" s="4"/>
    </row>
    <row r="4181" spans="17:24" x14ac:dyDescent="0.3">
      <c r="Q4181" s="4"/>
      <c r="R4181" s="4"/>
      <c r="S4181" s="4"/>
      <c r="T4181" s="4"/>
      <c r="U4181" s="4"/>
      <c r="V4181" s="4"/>
      <c r="W4181" s="4"/>
      <c r="X4181" s="4"/>
    </row>
    <row r="4182" spans="17:24" x14ac:dyDescent="0.3">
      <c r="Q4182" s="4"/>
      <c r="R4182" s="4"/>
      <c r="S4182" s="4"/>
      <c r="T4182" s="4"/>
      <c r="U4182" s="4"/>
      <c r="V4182" s="4"/>
      <c r="W4182" s="4"/>
      <c r="X4182" s="4"/>
    </row>
    <row r="4183" spans="17:24" x14ac:dyDescent="0.3">
      <c r="Q4183" s="4"/>
      <c r="R4183" s="4"/>
      <c r="S4183" s="4"/>
      <c r="T4183" s="4"/>
      <c r="U4183" s="4"/>
      <c r="V4183" s="4"/>
      <c r="W4183" s="4"/>
      <c r="X4183" s="4"/>
    </row>
    <row r="4184" spans="17:24" x14ac:dyDescent="0.3">
      <c r="Q4184" s="4"/>
      <c r="R4184" s="4"/>
      <c r="S4184" s="4"/>
      <c r="T4184" s="4"/>
      <c r="U4184" s="4"/>
      <c r="V4184" s="4"/>
      <c r="W4184" s="4"/>
      <c r="X4184" s="4"/>
    </row>
    <row r="4185" spans="17:24" x14ac:dyDescent="0.3">
      <c r="Q4185" s="4"/>
      <c r="R4185" s="4"/>
      <c r="S4185" s="4"/>
      <c r="T4185" s="4"/>
      <c r="U4185" s="4"/>
      <c r="V4185" s="4"/>
      <c r="W4185" s="4"/>
      <c r="X4185" s="4"/>
    </row>
    <row r="4186" spans="17:24" x14ac:dyDescent="0.3">
      <c r="Q4186" s="4"/>
      <c r="R4186" s="4"/>
      <c r="S4186" s="4"/>
      <c r="T4186" s="4"/>
      <c r="U4186" s="4"/>
      <c r="V4186" s="4"/>
      <c r="W4186" s="4"/>
      <c r="X4186" s="4"/>
    </row>
    <row r="4187" spans="17:24" x14ac:dyDescent="0.3">
      <c r="Q4187" s="4"/>
      <c r="R4187" s="4"/>
      <c r="S4187" s="4"/>
      <c r="T4187" s="4"/>
      <c r="U4187" s="4"/>
      <c r="V4187" s="4"/>
      <c r="W4187" s="4"/>
      <c r="X4187" s="4"/>
    </row>
    <row r="4188" spans="17:24" x14ac:dyDescent="0.3">
      <c r="Q4188" s="4"/>
      <c r="R4188" s="4"/>
      <c r="S4188" s="4"/>
      <c r="T4188" s="4"/>
      <c r="U4188" s="4"/>
      <c r="V4188" s="4"/>
      <c r="W4188" s="4"/>
      <c r="X4188" s="4"/>
    </row>
    <row r="4189" spans="17:24" x14ac:dyDescent="0.3">
      <c r="Q4189" s="4"/>
      <c r="R4189" s="4"/>
      <c r="S4189" s="4"/>
      <c r="T4189" s="4"/>
      <c r="U4189" s="4"/>
      <c r="V4189" s="4"/>
      <c r="W4189" s="4"/>
      <c r="X4189" s="4"/>
    </row>
    <row r="4190" spans="17:24" x14ac:dyDescent="0.3">
      <c r="Q4190" s="4"/>
      <c r="R4190" s="4"/>
      <c r="S4190" s="4"/>
      <c r="T4190" s="4"/>
      <c r="U4190" s="4"/>
      <c r="V4190" s="4"/>
      <c r="W4190" s="4"/>
      <c r="X4190" s="4"/>
    </row>
    <row r="4191" spans="17:24" x14ac:dyDescent="0.3">
      <c r="Q4191" s="4"/>
      <c r="R4191" s="4"/>
      <c r="S4191" s="4"/>
      <c r="T4191" s="4"/>
      <c r="U4191" s="4"/>
      <c r="V4191" s="4"/>
      <c r="W4191" s="4"/>
      <c r="X4191" s="4"/>
    </row>
    <row r="4192" spans="17:24" x14ac:dyDescent="0.3">
      <c r="Q4192" s="4"/>
      <c r="R4192" s="4"/>
      <c r="S4192" s="4"/>
      <c r="T4192" s="4"/>
      <c r="U4192" s="4"/>
      <c r="V4192" s="4"/>
      <c r="W4192" s="4"/>
      <c r="X4192" s="4"/>
    </row>
    <row r="4193" spans="17:24" x14ac:dyDescent="0.3">
      <c r="Q4193" s="4"/>
      <c r="R4193" s="4"/>
      <c r="S4193" s="4"/>
      <c r="T4193" s="4"/>
      <c r="U4193" s="4"/>
      <c r="V4193" s="4"/>
      <c r="W4193" s="4"/>
      <c r="X4193" s="4"/>
    </row>
    <row r="4194" spans="17:24" x14ac:dyDescent="0.3">
      <c r="Q4194" s="4"/>
      <c r="R4194" s="4"/>
      <c r="S4194" s="4"/>
      <c r="T4194" s="4"/>
      <c r="U4194" s="4"/>
      <c r="V4194" s="4"/>
      <c r="W4194" s="4"/>
      <c r="X4194" s="4"/>
    </row>
    <row r="4195" spans="17:24" x14ac:dyDescent="0.3">
      <c r="Q4195" s="4"/>
      <c r="R4195" s="4"/>
      <c r="S4195" s="4"/>
      <c r="T4195" s="4"/>
      <c r="U4195" s="4"/>
      <c r="V4195" s="4"/>
      <c r="W4195" s="4"/>
      <c r="X4195" s="4"/>
    </row>
    <row r="4196" spans="17:24" x14ac:dyDescent="0.3">
      <c r="Q4196" s="4"/>
      <c r="R4196" s="4"/>
      <c r="S4196" s="4"/>
      <c r="T4196" s="4"/>
      <c r="U4196" s="4"/>
      <c r="V4196" s="4"/>
      <c r="W4196" s="4"/>
      <c r="X4196" s="4"/>
    </row>
    <row r="4197" spans="17:24" x14ac:dyDescent="0.3">
      <c r="Q4197" s="4"/>
      <c r="R4197" s="4"/>
      <c r="S4197" s="4"/>
      <c r="T4197" s="4"/>
      <c r="U4197" s="4"/>
      <c r="V4197" s="4"/>
      <c r="W4197" s="4"/>
      <c r="X4197" s="4"/>
    </row>
    <row r="4198" spans="17:24" x14ac:dyDescent="0.3">
      <c r="Q4198" s="4"/>
      <c r="R4198" s="4"/>
      <c r="S4198" s="4"/>
      <c r="T4198" s="4"/>
      <c r="U4198" s="4"/>
      <c r="V4198" s="4"/>
      <c r="W4198" s="4"/>
      <c r="X4198" s="4"/>
    </row>
    <row r="4199" spans="17:24" x14ac:dyDescent="0.3">
      <c r="Q4199" s="4"/>
      <c r="R4199" s="4"/>
      <c r="S4199" s="4"/>
      <c r="T4199" s="4"/>
      <c r="U4199" s="4"/>
      <c r="V4199" s="4"/>
      <c r="W4199" s="4"/>
      <c r="X4199" s="4"/>
    </row>
    <row r="4200" spans="17:24" x14ac:dyDescent="0.3">
      <c r="Q4200" s="4"/>
      <c r="R4200" s="4"/>
      <c r="S4200" s="4"/>
      <c r="T4200" s="4"/>
      <c r="U4200" s="4"/>
      <c r="V4200" s="4"/>
      <c r="W4200" s="4"/>
      <c r="X4200" s="4"/>
    </row>
    <row r="4201" spans="17:24" x14ac:dyDescent="0.3">
      <c r="Q4201" s="4"/>
      <c r="R4201" s="4"/>
      <c r="S4201" s="4"/>
      <c r="T4201" s="4"/>
      <c r="U4201" s="4"/>
      <c r="V4201" s="4"/>
      <c r="W4201" s="4"/>
      <c r="X4201" s="4"/>
    </row>
    <row r="4202" spans="17:24" x14ac:dyDescent="0.3">
      <c r="Q4202" s="4"/>
      <c r="R4202" s="4"/>
      <c r="S4202" s="4"/>
      <c r="T4202" s="4"/>
      <c r="U4202" s="4"/>
      <c r="V4202" s="4"/>
      <c r="W4202" s="4"/>
      <c r="X4202" s="4"/>
    </row>
    <row r="4203" spans="17:24" x14ac:dyDescent="0.3">
      <c r="Q4203" s="4"/>
      <c r="R4203" s="4"/>
      <c r="S4203" s="4"/>
      <c r="T4203" s="4"/>
      <c r="U4203" s="4"/>
      <c r="V4203" s="4"/>
      <c r="W4203" s="4"/>
      <c r="X4203" s="4"/>
    </row>
    <row r="4204" spans="17:24" x14ac:dyDescent="0.3">
      <c r="Q4204" s="4"/>
      <c r="R4204" s="4"/>
      <c r="S4204" s="4"/>
      <c r="T4204" s="4"/>
      <c r="U4204" s="4"/>
      <c r="V4204" s="4"/>
      <c r="W4204" s="4"/>
      <c r="X4204" s="4"/>
    </row>
    <row r="4205" spans="17:24" x14ac:dyDescent="0.3">
      <c r="Q4205" s="4"/>
      <c r="R4205" s="4"/>
      <c r="S4205" s="4"/>
      <c r="T4205" s="4"/>
      <c r="U4205" s="4"/>
      <c r="V4205" s="4"/>
      <c r="W4205" s="4"/>
      <c r="X4205" s="4"/>
    </row>
    <row r="4206" spans="17:24" x14ac:dyDescent="0.3">
      <c r="Q4206" s="4"/>
      <c r="R4206" s="4"/>
      <c r="S4206" s="4"/>
      <c r="T4206" s="4"/>
      <c r="U4206" s="4"/>
      <c r="V4206" s="4"/>
      <c r="W4206" s="4"/>
      <c r="X4206" s="4"/>
    </row>
    <row r="4207" spans="17:24" x14ac:dyDescent="0.3">
      <c r="Q4207" s="4"/>
      <c r="R4207" s="4"/>
      <c r="S4207" s="4"/>
      <c r="T4207" s="4"/>
      <c r="U4207" s="4"/>
      <c r="V4207" s="4"/>
      <c r="W4207" s="4"/>
      <c r="X4207" s="4"/>
    </row>
    <row r="4208" spans="17:24" x14ac:dyDescent="0.3">
      <c r="Q4208" s="4"/>
      <c r="R4208" s="4"/>
      <c r="S4208" s="4"/>
      <c r="T4208" s="4"/>
      <c r="U4208" s="4"/>
      <c r="V4208" s="4"/>
      <c r="W4208" s="4"/>
      <c r="X4208" s="4"/>
    </row>
    <row r="4209" spans="17:24" x14ac:dyDescent="0.3">
      <c r="Q4209" s="4"/>
      <c r="R4209" s="4"/>
      <c r="S4209" s="4"/>
      <c r="T4209" s="4"/>
      <c r="U4209" s="4"/>
      <c r="V4209" s="4"/>
      <c r="W4209" s="4"/>
      <c r="X4209" s="4"/>
    </row>
    <row r="4210" spans="17:24" x14ac:dyDescent="0.3">
      <c r="Q4210" s="4"/>
      <c r="R4210" s="4"/>
      <c r="S4210" s="4"/>
      <c r="T4210" s="4"/>
      <c r="U4210" s="4"/>
      <c r="V4210" s="4"/>
      <c r="W4210" s="4"/>
      <c r="X4210" s="4"/>
    </row>
    <row r="4211" spans="17:24" x14ac:dyDescent="0.3">
      <c r="Q4211" s="4"/>
      <c r="R4211" s="4"/>
      <c r="S4211" s="4"/>
      <c r="T4211" s="4"/>
      <c r="U4211" s="4"/>
      <c r="V4211" s="4"/>
      <c r="W4211" s="4"/>
      <c r="X4211" s="4"/>
    </row>
    <row r="4212" spans="17:24" x14ac:dyDescent="0.3">
      <c r="Q4212" s="4"/>
      <c r="R4212" s="4"/>
      <c r="S4212" s="4"/>
      <c r="T4212" s="4"/>
      <c r="U4212" s="4"/>
      <c r="V4212" s="4"/>
      <c r="W4212" s="4"/>
      <c r="X4212" s="4"/>
    </row>
    <row r="4213" spans="17:24" x14ac:dyDescent="0.3">
      <c r="Q4213" s="4"/>
      <c r="R4213" s="4"/>
      <c r="S4213" s="4"/>
      <c r="T4213" s="4"/>
      <c r="U4213" s="4"/>
      <c r="V4213" s="4"/>
      <c r="W4213" s="4"/>
      <c r="X4213" s="4"/>
    </row>
    <row r="4214" spans="17:24" x14ac:dyDescent="0.3">
      <c r="Q4214" s="4"/>
      <c r="R4214" s="4"/>
      <c r="S4214" s="4"/>
      <c r="T4214" s="4"/>
      <c r="U4214" s="4"/>
      <c r="V4214" s="4"/>
      <c r="W4214" s="4"/>
      <c r="X4214" s="4"/>
    </row>
    <row r="4215" spans="17:24" x14ac:dyDescent="0.3">
      <c r="Q4215" s="4"/>
      <c r="R4215" s="4"/>
      <c r="S4215" s="4"/>
      <c r="T4215" s="4"/>
      <c r="U4215" s="4"/>
      <c r="V4215" s="4"/>
      <c r="W4215" s="4"/>
      <c r="X4215" s="4"/>
    </row>
    <row r="4216" spans="17:24" x14ac:dyDescent="0.3">
      <c r="Q4216" s="4"/>
      <c r="R4216" s="4"/>
      <c r="S4216" s="4"/>
      <c r="T4216" s="4"/>
      <c r="U4216" s="4"/>
      <c r="V4216" s="4"/>
      <c r="W4216" s="4"/>
      <c r="X4216" s="4"/>
    </row>
    <row r="4217" spans="17:24" x14ac:dyDescent="0.3">
      <c r="Q4217" s="4"/>
      <c r="R4217" s="4"/>
      <c r="S4217" s="4"/>
      <c r="T4217" s="4"/>
      <c r="U4217" s="4"/>
      <c r="V4217" s="4"/>
      <c r="W4217" s="4"/>
      <c r="X4217" s="4"/>
    </row>
    <row r="4218" spans="17:24" x14ac:dyDescent="0.3">
      <c r="Q4218" s="4"/>
      <c r="R4218" s="4"/>
      <c r="S4218" s="4"/>
      <c r="T4218" s="4"/>
      <c r="U4218" s="4"/>
      <c r="V4218" s="4"/>
      <c r="W4218" s="4"/>
      <c r="X4218" s="4"/>
    </row>
    <row r="4219" spans="17:24" x14ac:dyDescent="0.3">
      <c r="Q4219" s="4"/>
      <c r="R4219" s="4"/>
      <c r="S4219" s="4"/>
      <c r="T4219" s="4"/>
      <c r="U4219" s="4"/>
      <c r="V4219" s="4"/>
      <c r="W4219" s="4"/>
      <c r="X4219" s="4"/>
    </row>
    <row r="4220" spans="17:24" x14ac:dyDescent="0.3">
      <c r="Q4220" s="4"/>
      <c r="R4220" s="4"/>
      <c r="S4220" s="4"/>
      <c r="T4220" s="4"/>
      <c r="U4220" s="4"/>
      <c r="V4220" s="4"/>
      <c r="W4220" s="4"/>
      <c r="X4220" s="4"/>
    </row>
    <row r="4221" spans="17:24" x14ac:dyDescent="0.3">
      <c r="Q4221" s="4"/>
      <c r="R4221" s="4"/>
      <c r="S4221" s="4"/>
      <c r="T4221" s="4"/>
      <c r="U4221" s="4"/>
      <c r="V4221" s="4"/>
      <c r="W4221" s="4"/>
      <c r="X4221" s="4"/>
    </row>
    <row r="4222" spans="17:24" x14ac:dyDescent="0.3">
      <c r="Q4222" s="4"/>
      <c r="R4222" s="4"/>
      <c r="S4222" s="4"/>
      <c r="T4222" s="4"/>
      <c r="U4222" s="4"/>
      <c r="V4222" s="4"/>
      <c r="W4222" s="4"/>
      <c r="X4222" s="4"/>
    </row>
    <row r="4223" spans="17:24" x14ac:dyDescent="0.3">
      <c r="Q4223" s="4"/>
      <c r="R4223" s="4"/>
      <c r="S4223" s="4"/>
      <c r="T4223" s="4"/>
      <c r="U4223" s="4"/>
      <c r="V4223" s="4"/>
      <c r="W4223" s="4"/>
      <c r="X4223" s="4"/>
    </row>
    <row r="4224" spans="17:24" x14ac:dyDescent="0.3">
      <c r="Q4224" s="4"/>
      <c r="R4224" s="4"/>
      <c r="S4224" s="4"/>
      <c r="T4224" s="4"/>
      <c r="U4224" s="4"/>
      <c r="V4224" s="4"/>
      <c r="W4224" s="4"/>
      <c r="X4224" s="4"/>
    </row>
    <row r="4225" spans="17:24" x14ac:dyDescent="0.3">
      <c r="Q4225" s="4"/>
      <c r="R4225" s="4"/>
      <c r="S4225" s="4"/>
      <c r="T4225" s="4"/>
      <c r="U4225" s="4"/>
      <c r="V4225" s="4"/>
      <c r="W4225" s="4"/>
      <c r="X4225" s="4"/>
    </row>
    <row r="4226" spans="17:24" x14ac:dyDescent="0.3">
      <c r="Q4226" s="4"/>
      <c r="R4226" s="4"/>
      <c r="S4226" s="4"/>
      <c r="T4226" s="4"/>
      <c r="U4226" s="4"/>
      <c r="V4226" s="4"/>
      <c r="W4226" s="4"/>
      <c r="X4226" s="4"/>
    </row>
    <row r="4227" spans="17:24" x14ac:dyDescent="0.3">
      <c r="Q4227" s="4"/>
      <c r="R4227" s="4"/>
      <c r="S4227" s="4"/>
      <c r="T4227" s="4"/>
      <c r="U4227" s="4"/>
      <c r="V4227" s="4"/>
      <c r="W4227" s="4"/>
      <c r="X4227" s="4"/>
    </row>
    <row r="4228" spans="17:24" x14ac:dyDescent="0.3">
      <c r="Q4228" s="4"/>
      <c r="R4228" s="4"/>
      <c r="S4228" s="4"/>
      <c r="T4228" s="4"/>
      <c r="U4228" s="4"/>
      <c r="V4228" s="4"/>
      <c r="W4228" s="4"/>
      <c r="X4228" s="4"/>
    </row>
    <row r="4229" spans="17:24" x14ac:dyDescent="0.3">
      <c r="Q4229" s="4"/>
      <c r="R4229" s="4"/>
      <c r="S4229" s="4"/>
      <c r="T4229" s="4"/>
      <c r="U4229" s="4"/>
      <c r="V4229" s="4"/>
      <c r="W4229" s="4"/>
      <c r="X4229" s="4"/>
    </row>
    <row r="4230" spans="17:24" x14ac:dyDescent="0.3">
      <c r="Q4230" s="4"/>
      <c r="R4230" s="4"/>
      <c r="S4230" s="4"/>
      <c r="T4230" s="4"/>
      <c r="U4230" s="4"/>
      <c r="V4230" s="4"/>
      <c r="W4230" s="4"/>
      <c r="X4230" s="4"/>
    </row>
    <row r="4231" spans="17:24" x14ac:dyDescent="0.3">
      <c r="Q4231" s="4"/>
      <c r="R4231" s="4"/>
      <c r="S4231" s="4"/>
      <c r="T4231" s="4"/>
      <c r="U4231" s="4"/>
      <c r="V4231" s="4"/>
      <c r="W4231" s="4"/>
      <c r="X4231" s="4"/>
    </row>
    <row r="4232" spans="17:24" x14ac:dyDescent="0.3">
      <c r="Q4232" s="4"/>
      <c r="R4232" s="4"/>
      <c r="S4232" s="4"/>
      <c r="T4232" s="4"/>
      <c r="U4232" s="4"/>
      <c r="V4232" s="4"/>
      <c r="W4232" s="4"/>
      <c r="X4232" s="4"/>
    </row>
    <row r="4233" spans="17:24" x14ac:dyDescent="0.3">
      <c r="Q4233" s="4"/>
      <c r="R4233" s="4"/>
      <c r="S4233" s="4"/>
      <c r="T4233" s="4"/>
      <c r="U4233" s="4"/>
      <c r="V4233" s="4"/>
      <c r="W4233" s="4"/>
      <c r="X4233" s="4"/>
    </row>
    <row r="4234" spans="17:24" x14ac:dyDescent="0.3">
      <c r="Q4234" s="4"/>
      <c r="R4234" s="4"/>
      <c r="S4234" s="4"/>
      <c r="T4234" s="4"/>
      <c r="U4234" s="4"/>
      <c r="V4234" s="4"/>
      <c r="W4234" s="4"/>
      <c r="X4234" s="4"/>
    </row>
    <row r="4235" spans="17:24" x14ac:dyDescent="0.3">
      <c r="Q4235" s="4"/>
      <c r="R4235" s="4"/>
      <c r="S4235" s="4"/>
      <c r="T4235" s="4"/>
      <c r="U4235" s="4"/>
      <c r="V4235" s="4"/>
      <c r="W4235" s="4"/>
      <c r="X4235" s="4"/>
    </row>
    <row r="4236" spans="17:24" x14ac:dyDescent="0.3">
      <c r="Q4236" s="4"/>
      <c r="R4236" s="4"/>
      <c r="S4236" s="4"/>
      <c r="T4236" s="4"/>
      <c r="U4236" s="4"/>
      <c r="V4236" s="4"/>
      <c r="W4236" s="4"/>
      <c r="X4236" s="4"/>
    </row>
    <row r="4237" spans="17:24" x14ac:dyDescent="0.3">
      <c r="Q4237" s="4"/>
      <c r="R4237" s="4"/>
      <c r="S4237" s="4"/>
      <c r="T4237" s="4"/>
      <c r="U4237" s="4"/>
      <c r="V4237" s="4"/>
      <c r="W4237" s="4"/>
      <c r="X4237" s="4"/>
    </row>
    <row r="4238" spans="17:24" x14ac:dyDescent="0.3">
      <c r="Q4238" s="4"/>
      <c r="R4238" s="4"/>
      <c r="S4238" s="4"/>
      <c r="T4238" s="4"/>
      <c r="U4238" s="4"/>
      <c r="V4238" s="4"/>
      <c r="W4238" s="4"/>
      <c r="X4238" s="4"/>
    </row>
    <row r="4239" spans="17:24" x14ac:dyDescent="0.3">
      <c r="Q4239" s="4"/>
      <c r="R4239" s="4"/>
      <c r="S4239" s="4"/>
      <c r="T4239" s="4"/>
      <c r="U4239" s="4"/>
      <c r="V4239" s="4"/>
      <c r="W4239" s="4"/>
      <c r="X4239" s="4"/>
    </row>
    <row r="4240" spans="17:24" x14ac:dyDescent="0.3">
      <c r="Q4240" s="4"/>
      <c r="R4240" s="4"/>
      <c r="S4240" s="4"/>
      <c r="T4240" s="4"/>
      <c r="U4240" s="4"/>
      <c r="V4240" s="4"/>
      <c r="W4240" s="4"/>
      <c r="X4240" s="4"/>
    </row>
    <row r="4241" spans="17:24" x14ac:dyDescent="0.3">
      <c r="Q4241" s="4"/>
      <c r="R4241" s="4"/>
      <c r="S4241" s="4"/>
      <c r="T4241" s="4"/>
      <c r="U4241" s="4"/>
      <c r="V4241" s="4"/>
      <c r="W4241" s="4"/>
      <c r="X4241" s="4"/>
    </row>
    <row r="4242" spans="17:24" x14ac:dyDescent="0.3">
      <c r="Q4242" s="4"/>
      <c r="R4242" s="4"/>
      <c r="S4242" s="4"/>
      <c r="T4242" s="4"/>
      <c r="U4242" s="4"/>
      <c r="V4242" s="4"/>
      <c r="W4242" s="4"/>
      <c r="X4242" s="4"/>
    </row>
    <row r="4243" spans="17:24" x14ac:dyDescent="0.3">
      <c r="Q4243" s="4"/>
      <c r="R4243" s="4"/>
      <c r="S4243" s="4"/>
      <c r="T4243" s="4"/>
      <c r="U4243" s="4"/>
      <c r="V4243" s="4"/>
      <c r="W4243" s="4"/>
      <c r="X4243" s="4"/>
    </row>
    <row r="4244" spans="17:24" x14ac:dyDescent="0.3">
      <c r="Q4244" s="4"/>
      <c r="R4244" s="4"/>
      <c r="S4244" s="4"/>
      <c r="T4244" s="4"/>
      <c r="U4244" s="4"/>
      <c r="V4244" s="4"/>
      <c r="W4244" s="4"/>
      <c r="X4244" s="4"/>
    </row>
    <row r="4245" spans="17:24" x14ac:dyDescent="0.3">
      <c r="Q4245" s="4"/>
      <c r="R4245" s="4"/>
      <c r="S4245" s="4"/>
      <c r="T4245" s="4"/>
      <c r="U4245" s="4"/>
      <c r="V4245" s="4"/>
      <c r="W4245" s="4"/>
      <c r="X4245" s="4"/>
    </row>
    <row r="4246" spans="17:24" x14ac:dyDescent="0.3">
      <c r="Q4246" s="4"/>
      <c r="R4246" s="4"/>
      <c r="S4246" s="4"/>
      <c r="T4246" s="4"/>
      <c r="U4246" s="4"/>
      <c r="V4246" s="4"/>
      <c r="W4246" s="4"/>
      <c r="X4246" s="4"/>
    </row>
    <row r="4247" spans="17:24" x14ac:dyDescent="0.3">
      <c r="Q4247" s="4"/>
      <c r="R4247" s="4"/>
      <c r="S4247" s="4"/>
      <c r="T4247" s="4"/>
      <c r="U4247" s="4"/>
      <c r="V4247" s="4"/>
      <c r="W4247" s="4"/>
      <c r="X4247" s="4"/>
    </row>
    <row r="4248" spans="17:24" x14ac:dyDescent="0.3">
      <c r="Q4248" s="4"/>
      <c r="R4248" s="4"/>
      <c r="S4248" s="4"/>
      <c r="T4248" s="4"/>
      <c r="U4248" s="4"/>
      <c r="V4248" s="4"/>
      <c r="W4248" s="4"/>
      <c r="X4248" s="4"/>
    </row>
    <row r="4249" spans="17:24" x14ac:dyDescent="0.3">
      <c r="Q4249" s="4"/>
      <c r="R4249" s="4"/>
      <c r="S4249" s="4"/>
      <c r="T4249" s="4"/>
      <c r="U4249" s="4"/>
      <c r="V4249" s="4"/>
      <c r="W4249" s="4"/>
      <c r="X4249" s="4"/>
    </row>
    <row r="4250" spans="17:24" x14ac:dyDescent="0.3">
      <c r="Q4250" s="4"/>
      <c r="R4250" s="4"/>
      <c r="S4250" s="4"/>
      <c r="T4250" s="4"/>
      <c r="U4250" s="4"/>
      <c r="V4250" s="4"/>
      <c r="W4250" s="4"/>
      <c r="X4250" s="4"/>
    </row>
    <row r="4251" spans="17:24" x14ac:dyDescent="0.3">
      <c r="Q4251" s="4"/>
      <c r="R4251" s="4"/>
      <c r="S4251" s="4"/>
      <c r="T4251" s="4"/>
      <c r="U4251" s="4"/>
      <c r="V4251" s="4"/>
      <c r="W4251" s="4"/>
      <c r="X4251" s="4"/>
    </row>
    <row r="4252" spans="17:24" x14ac:dyDescent="0.3">
      <c r="Q4252" s="4"/>
      <c r="R4252" s="4"/>
      <c r="S4252" s="4"/>
      <c r="T4252" s="4"/>
      <c r="U4252" s="4"/>
      <c r="V4252" s="4"/>
      <c r="W4252" s="4"/>
      <c r="X4252" s="4"/>
    </row>
    <row r="4253" spans="17:24" x14ac:dyDescent="0.3">
      <c r="Q4253" s="4"/>
      <c r="R4253" s="4"/>
      <c r="S4253" s="4"/>
      <c r="T4253" s="4"/>
      <c r="U4253" s="4"/>
      <c r="V4253" s="4"/>
      <c r="W4253" s="4"/>
      <c r="X4253" s="4"/>
    </row>
    <row r="4254" spans="17:24" x14ac:dyDescent="0.3">
      <c r="Q4254" s="4"/>
      <c r="R4254" s="4"/>
      <c r="S4254" s="4"/>
      <c r="T4254" s="4"/>
      <c r="U4254" s="4"/>
      <c r="V4254" s="4"/>
      <c r="W4254" s="4"/>
      <c r="X4254" s="4"/>
    </row>
    <row r="4255" spans="17:24" x14ac:dyDescent="0.3">
      <c r="Q4255" s="4"/>
      <c r="R4255" s="4"/>
      <c r="S4255" s="4"/>
      <c r="T4255" s="4"/>
      <c r="U4255" s="4"/>
      <c r="V4255" s="4"/>
      <c r="W4255" s="4"/>
      <c r="X4255" s="4"/>
    </row>
    <row r="4256" spans="17:24" x14ac:dyDescent="0.3">
      <c r="Q4256" s="4"/>
      <c r="R4256" s="4"/>
      <c r="S4256" s="4"/>
      <c r="T4256" s="4"/>
      <c r="U4256" s="4"/>
      <c r="V4256" s="4"/>
      <c r="W4256" s="4"/>
      <c r="X4256" s="4"/>
    </row>
    <row r="4257" spans="17:24" x14ac:dyDescent="0.3">
      <c r="Q4257" s="4"/>
      <c r="R4257" s="4"/>
      <c r="S4257" s="4"/>
      <c r="T4257" s="4"/>
      <c r="U4257" s="4"/>
      <c r="V4257" s="4"/>
      <c r="W4257" s="4"/>
      <c r="X4257" s="4"/>
    </row>
    <row r="4258" spans="17:24" x14ac:dyDescent="0.3">
      <c r="Q4258" s="4"/>
      <c r="R4258" s="4"/>
      <c r="S4258" s="4"/>
      <c r="T4258" s="4"/>
      <c r="U4258" s="4"/>
      <c r="V4258" s="4"/>
      <c r="W4258" s="4"/>
      <c r="X4258" s="4"/>
    </row>
    <row r="4259" spans="17:24" x14ac:dyDescent="0.3">
      <c r="Q4259" s="4"/>
      <c r="R4259" s="4"/>
      <c r="S4259" s="4"/>
      <c r="T4259" s="4"/>
      <c r="U4259" s="4"/>
      <c r="V4259" s="4"/>
      <c r="W4259" s="4"/>
      <c r="X4259" s="4"/>
    </row>
    <row r="4260" spans="17:24" x14ac:dyDescent="0.3">
      <c r="Q4260" s="4"/>
      <c r="R4260" s="4"/>
      <c r="S4260" s="4"/>
      <c r="T4260" s="4"/>
      <c r="U4260" s="4"/>
      <c r="V4260" s="4"/>
      <c r="W4260" s="4"/>
      <c r="X4260" s="4"/>
    </row>
    <row r="4261" spans="17:24" x14ac:dyDescent="0.3">
      <c r="Q4261" s="4"/>
      <c r="R4261" s="4"/>
      <c r="S4261" s="4"/>
      <c r="T4261" s="4"/>
      <c r="U4261" s="4"/>
      <c r="V4261" s="4"/>
      <c r="W4261" s="4"/>
      <c r="X4261" s="4"/>
    </row>
    <row r="4262" spans="17:24" x14ac:dyDescent="0.3">
      <c r="Q4262" s="4"/>
      <c r="R4262" s="4"/>
      <c r="S4262" s="4"/>
      <c r="T4262" s="4"/>
      <c r="U4262" s="4"/>
      <c r="V4262" s="4"/>
      <c r="W4262" s="4"/>
      <c r="X4262" s="4"/>
    </row>
    <row r="4263" spans="17:24" x14ac:dyDescent="0.3">
      <c r="Q4263" s="4"/>
      <c r="R4263" s="4"/>
      <c r="S4263" s="4"/>
      <c r="T4263" s="4"/>
      <c r="U4263" s="4"/>
      <c r="V4263" s="4"/>
      <c r="W4263" s="4"/>
      <c r="X4263" s="4"/>
    </row>
    <row r="4264" spans="17:24" x14ac:dyDescent="0.3">
      <c r="Q4264" s="4"/>
      <c r="R4264" s="4"/>
      <c r="S4264" s="4"/>
      <c r="T4264" s="4"/>
      <c r="U4264" s="4"/>
      <c r="V4264" s="4"/>
      <c r="W4264" s="4"/>
      <c r="X4264" s="4"/>
    </row>
    <row r="4265" spans="17:24" x14ac:dyDescent="0.3">
      <c r="Q4265" s="4"/>
      <c r="R4265" s="4"/>
      <c r="S4265" s="4"/>
      <c r="T4265" s="4"/>
      <c r="U4265" s="4"/>
      <c r="V4265" s="4"/>
      <c r="W4265" s="4"/>
      <c r="X4265" s="4"/>
    </row>
    <row r="4266" spans="17:24" x14ac:dyDescent="0.3">
      <c r="Q4266" s="4"/>
      <c r="R4266" s="4"/>
      <c r="S4266" s="4"/>
      <c r="T4266" s="4"/>
      <c r="U4266" s="4"/>
      <c r="V4266" s="4"/>
      <c r="W4266" s="4"/>
      <c r="X4266" s="4"/>
    </row>
    <row r="4267" spans="17:24" x14ac:dyDescent="0.3">
      <c r="Q4267" s="4"/>
      <c r="R4267" s="4"/>
      <c r="S4267" s="4"/>
      <c r="T4267" s="4"/>
      <c r="U4267" s="4"/>
      <c r="V4267" s="4"/>
      <c r="W4267" s="4"/>
      <c r="X4267" s="4"/>
    </row>
    <row r="4268" spans="17:24" x14ac:dyDescent="0.3">
      <c r="Q4268" s="4"/>
      <c r="R4268" s="4"/>
      <c r="S4268" s="4"/>
      <c r="T4268" s="4"/>
      <c r="U4268" s="4"/>
      <c r="V4268" s="4"/>
      <c r="W4268" s="4"/>
      <c r="X4268" s="4"/>
    </row>
    <row r="4269" spans="17:24" x14ac:dyDescent="0.3">
      <c r="Q4269" s="4"/>
      <c r="R4269" s="4"/>
      <c r="S4269" s="4"/>
      <c r="T4269" s="4"/>
      <c r="U4269" s="4"/>
      <c r="V4269" s="4"/>
      <c r="W4269" s="4"/>
      <c r="X4269" s="4"/>
    </row>
    <row r="4270" spans="17:24" x14ac:dyDescent="0.3">
      <c r="Q4270" s="4"/>
      <c r="R4270" s="4"/>
      <c r="S4270" s="4"/>
      <c r="T4270" s="4"/>
      <c r="U4270" s="4"/>
      <c r="V4270" s="4"/>
      <c r="W4270" s="4"/>
      <c r="X4270" s="4"/>
    </row>
    <row r="4271" spans="17:24" x14ac:dyDescent="0.3">
      <c r="Q4271" s="4"/>
      <c r="R4271" s="4"/>
      <c r="S4271" s="4"/>
      <c r="T4271" s="4"/>
      <c r="U4271" s="4"/>
      <c r="V4271" s="4"/>
      <c r="W4271" s="4"/>
      <c r="X4271" s="4"/>
    </row>
    <row r="4272" spans="17:24" x14ac:dyDescent="0.3">
      <c r="Q4272" s="4"/>
      <c r="R4272" s="4"/>
      <c r="S4272" s="4"/>
      <c r="T4272" s="4"/>
      <c r="U4272" s="4"/>
      <c r="V4272" s="4"/>
      <c r="W4272" s="4"/>
      <c r="X4272" s="4"/>
    </row>
    <row r="4273" spans="17:24" x14ac:dyDescent="0.3">
      <c r="Q4273" s="4"/>
      <c r="R4273" s="4"/>
      <c r="S4273" s="4"/>
      <c r="T4273" s="4"/>
      <c r="U4273" s="4"/>
      <c r="V4273" s="4"/>
      <c r="W4273" s="4"/>
      <c r="X4273" s="4"/>
    </row>
    <row r="4274" spans="17:24" x14ac:dyDescent="0.3">
      <c r="Q4274" s="4"/>
      <c r="R4274" s="4"/>
      <c r="S4274" s="4"/>
      <c r="T4274" s="4"/>
      <c r="U4274" s="4"/>
      <c r="V4274" s="4"/>
      <c r="W4274" s="4"/>
      <c r="X4274" s="4"/>
    </row>
    <row r="4275" spans="17:24" x14ac:dyDescent="0.3">
      <c r="Q4275" s="4"/>
      <c r="R4275" s="4"/>
      <c r="S4275" s="4"/>
      <c r="T4275" s="4"/>
      <c r="U4275" s="4"/>
      <c r="V4275" s="4"/>
      <c r="W4275" s="4"/>
      <c r="X4275" s="4"/>
    </row>
    <row r="4276" spans="17:24" x14ac:dyDescent="0.3">
      <c r="Q4276" s="4"/>
      <c r="R4276" s="4"/>
      <c r="S4276" s="4"/>
      <c r="T4276" s="4"/>
      <c r="U4276" s="4"/>
      <c r="V4276" s="4"/>
      <c r="W4276" s="4"/>
      <c r="X4276" s="4"/>
    </row>
    <row r="4277" spans="17:24" x14ac:dyDescent="0.3">
      <c r="Q4277" s="4"/>
      <c r="R4277" s="4"/>
      <c r="S4277" s="4"/>
      <c r="T4277" s="4"/>
      <c r="U4277" s="4"/>
      <c r="V4277" s="4"/>
      <c r="W4277" s="4"/>
      <c r="X4277" s="4"/>
    </row>
    <row r="4278" spans="17:24" x14ac:dyDescent="0.3">
      <c r="Q4278" s="4"/>
      <c r="R4278" s="4"/>
      <c r="S4278" s="4"/>
      <c r="T4278" s="4"/>
      <c r="U4278" s="4"/>
      <c r="V4278" s="4"/>
      <c r="W4278" s="4"/>
      <c r="X4278" s="4"/>
    </row>
    <row r="4279" spans="17:24" x14ac:dyDescent="0.3">
      <c r="Q4279" s="4"/>
      <c r="R4279" s="4"/>
      <c r="S4279" s="4"/>
      <c r="T4279" s="4"/>
      <c r="U4279" s="4"/>
      <c r="V4279" s="4"/>
      <c r="W4279" s="4"/>
      <c r="X4279" s="4"/>
    </row>
    <row r="4280" spans="17:24" x14ac:dyDescent="0.3">
      <c r="Q4280" s="4"/>
      <c r="R4280" s="4"/>
      <c r="S4280" s="4"/>
      <c r="T4280" s="4"/>
      <c r="U4280" s="4"/>
      <c r="V4280" s="4"/>
      <c r="W4280" s="4"/>
      <c r="X4280" s="4"/>
    </row>
    <row r="4281" spans="17:24" x14ac:dyDescent="0.3">
      <c r="Q4281" s="4"/>
      <c r="R4281" s="4"/>
      <c r="S4281" s="4"/>
      <c r="T4281" s="4"/>
      <c r="U4281" s="4"/>
      <c r="V4281" s="4"/>
      <c r="W4281" s="4"/>
      <c r="X4281" s="4"/>
    </row>
    <row r="4282" spans="17:24" x14ac:dyDescent="0.3">
      <c r="Q4282" s="4"/>
      <c r="R4282" s="4"/>
      <c r="S4282" s="4"/>
      <c r="T4282" s="4"/>
      <c r="U4282" s="4"/>
      <c r="V4282" s="4"/>
      <c r="W4282" s="4"/>
      <c r="X4282" s="4"/>
    </row>
    <row r="4283" spans="17:24" x14ac:dyDescent="0.3">
      <c r="Q4283" s="4"/>
      <c r="R4283" s="4"/>
      <c r="S4283" s="4"/>
      <c r="T4283" s="4"/>
      <c r="U4283" s="4"/>
      <c r="V4283" s="4"/>
      <c r="W4283" s="4"/>
      <c r="X4283" s="4"/>
    </row>
    <row r="4284" spans="17:24" x14ac:dyDescent="0.3">
      <c r="Q4284" s="4"/>
      <c r="R4284" s="4"/>
      <c r="S4284" s="4"/>
      <c r="T4284" s="4"/>
      <c r="U4284" s="4"/>
      <c r="V4284" s="4"/>
      <c r="W4284" s="4"/>
      <c r="X4284" s="4"/>
    </row>
    <row r="4285" spans="17:24" x14ac:dyDescent="0.3">
      <c r="Q4285" s="4"/>
      <c r="R4285" s="4"/>
      <c r="S4285" s="4"/>
      <c r="T4285" s="4"/>
      <c r="U4285" s="4"/>
      <c r="V4285" s="4"/>
      <c r="W4285" s="4"/>
      <c r="X4285" s="4"/>
    </row>
    <row r="4286" spans="17:24" x14ac:dyDescent="0.3">
      <c r="Q4286" s="4"/>
      <c r="R4286" s="4"/>
      <c r="S4286" s="4"/>
      <c r="T4286" s="4"/>
      <c r="U4286" s="4"/>
      <c r="V4286" s="4"/>
      <c r="W4286" s="4"/>
      <c r="X4286" s="4"/>
    </row>
    <row r="4287" spans="17:24" x14ac:dyDescent="0.3">
      <c r="Q4287" s="4"/>
      <c r="R4287" s="4"/>
      <c r="S4287" s="4"/>
      <c r="T4287" s="4"/>
      <c r="U4287" s="4"/>
      <c r="V4287" s="4"/>
      <c r="W4287" s="4"/>
      <c r="X4287" s="4"/>
    </row>
    <row r="4288" spans="17:24" x14ac:dyDescent="0.3">
      <c r="Q4288" s="4"/>
      <c r="R4288" s="4"/>
      <c r="S4288" s="4"/>
      <c r="T4288" s="4"/>
      <c r="U4288" s="4"/>
      <c r="V4288" s="4"/>
      <c r="W4288" s="4"/>
      <c r="X4288" s="4"/>
    </row>
    <row r="4289" spans="17:24" x14ac:dyDescent="0.3">
      <c r="Q4289" s="4"/>
      <c r="R4289" s="4"/>
      <c r="S4289" s="4"/>
      <c r="T4289" s="4"/>
      <c r="U4289" s="4"/>
      <c r="V4289" s="4"/>
      <c r="W4289" s="4"/>
      <c r="X4289" s="4"/>
    </row>
    <row r="4290" spans="17:24" x14ac:dyDescent="0.3">
      <c r="Q4290" s="4"/>
      <c r="R4290" s="4"/>
      <c r="S4290" s="4"/>
      <c r="T4290" s="4"/>
      <c r="U4290" s="4"/>
      <c r="V4290" s="4"/>
      <c r="W4290" s="4"/>
      <c r="X4290" s="4"/>
    </row>
    <row r="4291" spans="17:24" x14ac:dyDescent="0.3">
      <c r="Q4291" s="4"/>
      <c r="R4291" s="4"/>
      <c r="S4291" s="4"/>
      <c r="T4291" s="4"/>
      <c r="U4291" s="4"/>
      <c r="V4291" s="4"/>
      <c r="W4291" s="4"/>
      <c r="X4291" s="4"/>
    </row>
    <row r="4292" spans="17:24" x14ac:dyDescent="0.3">
      <c r="Q4292" s="4"/>
      <c r="R4292" s="4"/>
      <c r="S4292" s="4"/>
      <c r="T4292" s="4"/>
      <c r="U4292" s="4"/>
      <c r="V4292" s="4"/>
      <c r="W4292" s="4"/>
      <c r="X4292" s="4"/>
    </row>
    <row r="4293" spans="17:24" x14ac:dyDescent="0.3">
      <c r="Q4293" s="4"/>
      <c r="R4293" s="4"/>
      <c r="S4293" s="4"/>
      <c r="T4293" s="4"/>
      <c r="U4293" s="4"/>
      <c r="V4293" s="4"/>
      <c r="W4293" s="4"/>
      <c r="X4293" s="4"/>
    </row>
    <row r="4294" spans="17:24" x14ac:dyDescent="0.3">
      <c r="Q4294" s="4"/>
      <c r="R4294" s="4"/>
      <c r="S4294" s="4"/>
      <c r="T4294" s="4"/>
      <c r="U4294" s="4"/>
      <c r="V4294" s="4"/>
      <c r="W4294" s="4"/>
      <c r="X4294" s="4"/>
    </row>
    <row r="4295" spans="17:24" x14ac:dyDescent="0.3">
      <c r="Q4295" s="4"/>
      <c r="R4295" s="4"/>
      <c r="S4295" s="4"/>
      <c r="T4295" s="4"/>
      <c r="U4295" s="4"/>
      <c r="V4295" s="4"/>
      <c r="W4295" s="4"/>
      <c r="X4295" s="4"/>
    </row>
    <row r="4296" spans="17:24" x14ac:dyDescent="0.3">
      <c r="Q4296" s="4"/>
      <c r="R4296" s="4"/>
      <c r="S4296" s="4"/>
      <c r="T4296" s="4"/>
      <c r="U4296" s="4"/>
      <c r="V4296" s="4"/>
      <c r="W4296" s="4"/>
      <c r="X4296" s="4"/>
    </row>
    <row r="4297" spans="17:24" x14ac:dyDescent="0.3">
      <c r="Q4297" s="4"/>
      <c r="R4297" s="4"/>
      <c r="S4297" s="4"/>
      <c r="T4297" s="4"/>
      <c r="U4297" s="4"/>
      <c r="V4297" s="4"/>
      <c r="W4297" s="4"/>
      <c r="X4297" s="4"/>
    </row>
    <row r="4298" spans="17:24" x14ac:dyDescent="0.3">
      <c r="Q4298" s="4"/>
      <c r="R4298" s="4"/>
      <c r="S4298" s="4"/>
      <c r="T4298" s="4"/>
      <c r="U4298" s="4"/>
      <c r="V4298" s="4"/>
      <c r="W4298" s="4"/>
      <c r="X4298" s="4"/>
    </row>
    <row r="4299" spans="17:24" x14ac:dyDescent="0.3">
      <c r="Q4299" s="4"/>
      <c r="R4299" s="4"/>
      <c r="S4299" s="4"/>
      <c r="T4299" s="4"/>
      <c r="U4299" s="4"/>
      <c r="V4299" s="4"/>
      <c r="W4299" s="4"/>
      <c r="X4299" s="4"/>
    </row>
    <row r="4300" spans="17:24" x14ac:dyDescent="0.3">
      <c r="Q4300" s="4"/>
      <c r="R4300" s="4"/>
      <c r="S4300" s="4"/>
      <c r="T4300" s="4"/>
      <c r="U4300" s="4"/>
      <c r="V4300" s="4"/>
      <c r="W4300" s="4"/>
      <c r="X4300" s="4"/>
    </row>
    <row r="4301" spans="17:24" x14ac:dyDescent="0.3">
      <c r="Q4301" s="4"/>
      <c r="R4301" s="4"/>
      <c r="S4301" s="4"/>
      <c r="T4301" s="4"/>
      <c r="U4301" s="4"/>
      <c r="V4301" s="4"/>
      <c r="W4301" s="4"/>
      <c r="X4301" s="4"/>
    </row>
    <row r="4302" spans="17:24" x14ac:dyDescent="0.3">
      <c r="Q4302" s="4"/>
      <c r="R4302" s="4"/>
      <c r="S4302" s="4"/>
      <c r="T4302" s="4"/>
      <c r="U4302" s="4"/>
      <c r="V4302" s="4"/>
      <c r="W4302" s="4"/>
      <c r="X4302" s="4"/>
    </row>
    <row r="4303" spans="17:24" x14ac:dyDescent="0.3">
      <c r="Q4303" s="4"/>
      <c r="R4303" s="4"/>
      <c r="S4303" s="4"/>
      <c r="T4303" s="4"/>
      <c r="U4303" s="4"/>
      <c r="V4303" s="4"/>
      <c r="W4303" s="4"/>
      <c r="X4303" s="4"/>
    </row>
    <row r="4304" spans="17:24" x14ac:dyDescent="0.3">
      <c r="Q4304" s="4"/>
      <c r="R4304" s="4"/>
      <c r="S4304" s="4"/>
      <c r="T4304" s="4"/>
      <c r="U4304" s="4"/>
      <c r="V4304" s="4"/>
      <c r="W4304" s="4"/>
      <c r="X4304" s="4"/>
    </row>
    <row r="4305" spans="17:24" x14ac:dyDescent="0.3">
      <c r="Q4305" s="4"/>
      <c r="R4305" s="4"/>
      <c r="S4305" s="4"/>
      <c r="T4305" s="4"/>
      <c r="U4305" s="4"/>
      <c r="V4305" s="4"/>
      <c r="W4305" s="4"/>
      <c r="X4305" s="4"/>
    </row>
    <row r="4306" spans="17:24" x14ac:dyDescent="0.3">
      <c r="Q4306" s="4"/>
      <c r="R4306" s="4"/>
      <c r="S4306" s="4"/>
      <c r="T4306" s="4"/>
      <c r="U4306" s="4"/>
      <c r="V4306" s="4"/>
      <c r="W4306" s="4"/>
      <c r="X4306" s="4"/>
    </row>
    <row r="4307" spans="17:24" x14ac:dyDescent="0.3">
      <c r="Q4307" s="4"/>
      <c r="R4307" s="4"/>
      <c r="S4307" s="4"/>
      <c r="T4307" s="4"/>
      <c r="U4307" s="4"/>
      <c r="V4307" s="4"/>
      <c r="W4307" s="4"/>
      <c r="X4307" s="4"/>
    </row>
    <row r="4308" spans="17:24" x14ac:dyDescent="0.3">
      <c r="Q4308" s="4"/>
      <c r="R4308" s="4"/>
      <c r="S4308" s="4"/>
      <c r="T4308" s="4"/>
      <c r="U4308" s="4"/>
      <c r="V4308" s="4"/>
      <c r="W4308" s="4"/>
      <c r="X4308" s="4"/>
    </row>
    <row r="4309" spans="17:24" x14ac:dyDescent="0.3">
      <c r="Q4309" s="4"/>
      <c r="R4309" s="4"/>
      <c r="S4309" s="4"/>
      <c r="T4309" s="4"/>
      <c r="U4309" s="4"/>
      <c r="V4309" s="4"/>
      <c r="W4309" s="4"/>
      <c r="X4309" s="4"/>
    </row>
    <row r="4310" spans="17:24" x14ac:dyDescent="0.3">
      <c r="Q4310" s="4"/>
      <c r="R4310" s="4"/>
      <c r="S4310" s="4"/>
      <c r="T4310" s="4"/>
      <c r="U4310" s="4"/>
      <c r="V4310" s="4"/>
      <c r="W4310" s="4"/>
      <c r="X4310" s="4"/>
    </row>
    <row r="4311" spans="17:24" x14ac:dyDescent="0.3">
      <c r="Q4311" s="4"/>
      <c r="R4311" s="4"/>
      <c r="S4311" s="4"/>
      <c r="T4311" s="4"/>
      <c r="U4311" s="4"/>
      <c r="V4311" s="4"/>
      <c r="W4311" s="4"/>
      <c r="X4311" s="4"/>
    </row>
    <row r="4312" spans="17:24" x14ac:dyDescent="0.3">
      <c r="Q4312" s="4"/>
      <c r="R4312" s="4"/>
      <c r="S4312" s="4"/>
      <c r="T4312" s="4"/>
      <c r="U4312" s="4"/>
      <c r="V4312" s="4"/>
      <c r="W4312" s="4"/>
      <c r="X4312" s="4"/>
    </row>
    <row r="4313" spans="17:24" x14ac:dyDescent="0.3">
      <c r="Q4313" s="4"/>
      <c r="R4313" s="4"/>
      <c r="S4313" s="4"/>
      <c r="T4313" s="4"/>
      <c r="U4313" s="4"/>
      <c r="V4313" s="4"/>
      <c r="W4313" s="4"/>
      <c r="X4313" s="4"/>
    </row>
    <row r="4314" spans="17:24" x14ac:dyDescent="0.3">
      <c r="Q4314" s="4"/>
      <c r="R4314" s="4"/>
      <c r="S4314" s="4"/>
      <c r="T4314" s="4"/>
      <c r="U4314" s="4"/>
      <c r="V4314" s="4"/>
      <c r="W4314" s="4"/>
      <c r="X4314" s="4"/>
    </row>
    <row r="4315" spans="17:24" x14ac:dyDescent="0.3">
      <c r="Q4315" s="4"/>
      <c r="R4315" s="4"/>
      <c r="S4315" s="4"/>
      <c r="T4315" s="4"/>
      <c r="U4315" s="4"/>
      <c r="V4315" s="4"/>
      <c r="W4315" s="4"/>
      <c r="X4315" s="4"/>
    </row>
    <row r="4316" spans="17:24" x14ac:dyDescent="0.3">
      <c r="Q4316" s="4"/>
      <c r="R4316" s="4"/>
      <c r="S4316" s="4"/>
      <c r="T4316" s="4"/>
      <c r="U4316" s="4"/>
      <c r="V4316" s="4"/>
      <c r="W4316" s="4"/>
      <c r="X4316" s="4"/>
    </row>
    <row r="4317" spans="17:24" x14ac:dyDescent="0.3">
      <c r="Q4317" s="4"/>
      <c r="R4317" s="4"/>
      <c r="S4317" s="4"/>
      <c r="T4317" s="4"/>
      <c r="U4317" s="4"/>
      <c r="V4317" s="4"/>
      <c r="W4317" s="4"/>
      <c r="X4317" s="4"/>
    </row>
    <row r="4318" spans="17:24" x14ac:dyDescent="0.3">
      <c r="Q4318" s="4"/>
      <c r="R4318" s="4"/>
      <c r="S4318" s="4"/>
      <c r="T4318" s="4"/>
      <c r="U4318" s="4"/>
      <c r="V4318" s="4"/>
      <c r="W4318" s="4"/>
      <c r="X4318" s="4"/>
    </row>
    <row r="4319" spans="17:24" x14ac:dyDescent="0.3">
      <c r="Q4319" s="4"/>
      <c r="R4319" s="4"/>
      <c r="S4319" s="4"/>
      <c r="T4319" s="4"/>
      <c r="U4319" s="4"/>
      <c r="V4319" s="4"/>
      <c r="W4319" s="4"/>
      <c r="X4319" s="4"/>
    </row>
    <row r="4320" spans="17:24" x14ac:dyDescent="0.3">
      <c r="Q4320" s="4"/>
      <c r="R4320" s="4"/>
      <c r="S4320" s="4"/>
      <c r="T4320" s="4"/>
      <c r="U4320" s="4"/>
      <c r="V4320" s="4"/>
      <c r="W4320" s="4"/>
      <c r="X4320" s="4"/>
    </row>
    <row r="4321" spans="17:24" x14ac:dyDescent="0.3">
      <c r="Q4321" s="4"/>
      <c r="R4321" s="4"/>
      <c r="S4321" s="4"/>
      <c r="T4321" s="4"/>
      <c r="U4321" s="4"/>
      <c r="V4321" s="4"/>
      <c r="W4321" s="4"/>
      <c r="X4321" s="4"/>
    </row>
    <row r="4322" spans="17:24" x14ac:dyDescent="0.3">
      <c r="Q4322" s="4"/>
      <c r="R4322" s="4"/>
      <c r="S4322" s="4"/>
      <c r="T4322" s="4"/>
      <c r="U4322" s="4"/>
      <c r="V4322" s="4"/>
      <c r="W4322" s="4"/>
      <c r="X4322" s="4"/>
    </row>
    <row r="4323" spans="17:24" x14ac:dyDescent="0.3">
      <c r="Q4323" s="4"/>
      <c r="R4323" s="4"/>
      <c r="S4323" s="4"/>
      <c r="T4323" s="4"/>
      <c r="U4323" s="4"/>
      <c r="V4323" s="4"/>
      <c r="W4323" s="4"/>
      <c r="X4323" s="4"/>
    </row>
    <row r="4324" spans="17:24" x14ac:dyDescent="0.3">
      <c r="Q4324" s="4"/>
      <c r="R4324" s="4"/>
      <c r="S4324" s="4"/>
      <c r="T4324" s="4"/>
      <c r="U4324" s="4"/>
      <c r="V4324" s="4"/>
      <c r="W4324" s="4"/>
      <c r="X4324" s="4"/>
    </row>
    <row r="4325" spans="17:24" x14ac:dyDescent="0.3">
      <c r="Q4325" s="4"/>
      <c r="R4325" s="4"/>
      <c r="S4325" s="4"/>
      <c r="T4325" s="4"/>
      <c r="U4325" s="4"/>
      <c r="V4325" s="4"/>
      <c r="W4325" s="4"/>
      <c r="X4325" s="4"/>
    </row>
    <row r="4326" spans="17:24" x14ac:dyDescent="0.3">
      <c r="Q4326" s="4"/>
      <c r="R4326" s="4"/>
      <c r="S4326" s="4"/>
      <c r="T4326" s="4"/>
      <c r="U4326" s="4"/>
      <c r="V4326" s="4"/>
      <c r="W4326" s="4"/>
      <c r="X4326" s="4"/>
    </row>
    <row r="4327" spans="17:24" x14ac:dyDescent="0.3">
      <c r="Q4327" s="4"/>
      <c r="R4327" s="4"/>
      <c r="S4327" s="4"/>
      <c r="T4327" s="4"/>
      <c r="U4327" s="4"/>
      <c r="V4327" s="4"/>
      <c r="W4327" s="4"/>
      <c r="X4327" s="4"/>
    </row>
    <row r="4328" spans="17:24" x14ac:dyDescent="0.3">
      <c r="Q4328" s="4"/>
      <c r="R4328" s="4"/>
      <c r="S4328" s="4"/>
      <c r="T4328" s="4"/>
      <c r="U4328" s="4"/>
      <c r="V4328" s="4"/>
      <c r="W4328" s="4"/>
      <c r="X4328" s="4"/>
    </row>
    <row r="4329" spans="17:24" x14ac:dyDescent="0.3">
      <c r="Q4329" s="4"/>
      <c r="R4329" s="4"/>
      <c r="S4329" s="4"/>
      <c r="T4329" s="4"/>
      <c r="U4329" s="4"/>
      <c r="V4329" s="4"/>
      <c r="W4329" s="4"/>
      <c r="X4329" s="4"/>
    </row>
    <row r="4330" spans="17:24" x14ac:dyDescent="0.3">
      <c r="Q4330" s="4"/>
      <c r="R4330" s="4"/>
      <c r="S4330" s="4"/>
      <c r="T4330" s="4"/>
      <c r="U4330" s="4"/>
      <c r="V4330" s="4"/>
      <c r="W4330" s="4"/>
      <c r="X4330" s="4"/>
    </row>
    <row r="4331" spans="17:24" x14ac:dyDescent="0.3">
      <c r="Q4331" s="4"/>
      <c r="R4331" s="4"/>
      <c r="S4331" s="4"/>
      <c r="T4331" s="4"/>
      <c r="U4331" s="4"/>
      <c r="V4331" s="4"/>
      <c r="W4331" s="4"/>
      <c r="X4331" s="4"/>
    </row>
    <row r="4332" spans="17:24" x14ac:dyDescent="0.3">
      <c r="Q4332" s="4"/>
      <c r="R4332" s="4"/>
      <c r="S4332" s="4"/>
      <c r="T4332" s="4"/>
      <c r="U4332" s="4"/>
      <c r="V4332" s="4"/>
      <c r="W4332" s="4"/>
      <c r="X4332" s="4"/>
    </row>
    <row r="4333" spans="17:24" x14ac:dyDescent="0.3">
      <c r="Q4333" s="4"/>
      <c r="R4333" s="4"/>
      <c r="S4333" s="4"/>
      <c r="T4333" s="4"/>
      <c r="U4333" s="4"/>
      <c r="V4333" s="4"/>
      <c r="W4333" s="4"/>
      <c r="X4333" s="4"/>
    </row>
    <row r="4334" spans="17:24" x14ac:dyDescent="0.3">
      <c r="Q4334" s="4"/>
      <c r="R4334" s="4"/>
      <c r="S4334" s="4"/>
      <c r="T4334" s="4"/>
      <c r="U4334" s="4"/>
      <c r="V4334" s="4"/>
      <c r="W4334" s="4"/>
      <c r="X4334" s="4"/>
    </row>
    <row r="4335" spans="17:24" x14ac:dyDescent="0.3">
      <c r="Q4335" s="4"/>
      <c r="R4335" s="4"/>
      <c r="S4335" s="4"/>
      <c r="T4335" s="4"/>
      <c r="U4335" s="4"/>
      <c r="V4335" s="4"/>
      <c r="W4335" s="4"/>
      <c r="X4335" s="4"/>
    </row>
    <row r="4336" spans="17:24" x14ac:dyDescent="0.3">
      <c r="Q4336" s="4"/>
      <c r="R4336" s="4"/>
      <c r="S4336" s="4"/>
      <c r="T4336" s="4"/>
      <c r="U4336" s="4"/>
      <c r="V4336" s="4"/>
      <c r="W4336" s="4"/>
      <c r="X4336" s="4"/>
    </row>
    <row r="4337" spans="17:24" x14ac:dyDescent="0.3">
      <c r="Q4337" s="4"/>
      <c r="R4337" s="4"/>
      <c r="S4337" s="4"/>
      <c r="T4337" s="4"/>
      <c r="U4337" s="4"/>
      <c r="V4337" s="4"/>
      <c r="W4337" s="4"/>
      <c r="X4337" s="4"/>
    </row>
    <row r="4338" spans="17:24" x14ac:dyDescent="0.3">
      <c r="Q4338" s="4"/>
      <c r="R4338" s="4"/>
      <c r="S4338" s="4"/>
      <c r="T4338" s="4"/>
      <c r="U4338" s="4"/>
      <c r="V4338" s="4"/>
      <c r="W4338" s="4"/>
      <c r="X4338" s="4"/>
    </row>
    <row r="4339" spans="17:24" x14ac:dyDescent="0.3">
      <c r="Q4339" s="4"/>
      <c r="R4339" s="4"/>
      <c r="S4339" s="4"/>
      <c r="T4339" s="4"/>
      <c r="U4339" s="4"/>
      <c r="V4339" s="4"/>
      <c r="W4339" s="4"/>
      <c r="X4339" s="4"/>
    </row>
    <row r="4340" spans="17:24" x14ac:dyDescent="0.3">
      <c r="Q4340" s="4"/>
      <c r="R4340" s="4"/>
      <c r="S4340" s="4"/>
      <c r="T4340" s="4"/>
      <c r="U4340" s="4"/>
      <c r="V4340" s="4"/>
      <c r="W4340" s="4"/>
      <c r="X4340" s="4"/>
    </row>
    <row r="4341" spans="17:24" x14ac:dyDescent="0.3">
      <c r="Q4341" s="4"/>
      <c r="R4341" s="4"/>
      <c r="S4341" s="4"/>
      <c r="T4341" s="4"/>
      <c r="U4341" s="4"/>
      <c r="V4341" s="4"/>
      <c r="W4341" s="4"/>
      <c r="X4341" s="4"/>
    </row>
    <row r="4342" spans="17:24" x14ac:dyDescent="0.3">
      <c r="Q4342" s="4"/>
      <c r="R4342" s="4"/>
      <c r="S4342" s="4"/>
      <c r="T4342" s="4"/>
      <c r="U4342" s="4"/>
      <c r="V4342" s="4"/>
      <c r="W4342" s="4"/>
      <c r="X4342" s="4"/>
    </row>
    <row r="4343" spans="17:24" x14ac:dyDescent="0.3">
      <c r="Q4343" s="4"/>
      <c r="R4343" s="4"/>
      <c r="S4343" s="4"/>
      <c r="T4343" s="4"/>
      <c r="U4343" s="4"/>
      <c r="V4343" s="4"/>
      <c r="W4343" s="4"/>
      <c r="X4343" s="4"/>
    </row>
    <row r="4344" spans="17:24" x14ac:dyDescent="0.3">
      <c r="Q4344" s="4"/>
      <c r="R4344" s="4"/>
      <c r="S4344" s="4"/>
      <c r="T4344" s="4"/>
      <c r="U4344" s="4"/>
      <c r="V4344" s="4"/>
      <c r="W4344" s="4"/>
      <c r="X4344" s="4"/>
    </row>
    <row r="4345" spans="17:24" x14ac:dyDescent="0.3">
      <c r="Q4345" s="4"/>
      <c r="R4345" s="4"/>
      <c r="S4345" s="4"/>
      <c r="T4345" s="4"/>
      <c r="U4345" s="4"/>
      <c r="V4345" s="4"/>
      <c r="W4345" s="4"/>
      <c r="X4345" s="4"/>
    </row>
    <row r="4346" spans="17:24" x14ac:dyDescent="0.3">
      <c r="Q4346" s="4"/>
      <c r="R4346" s="4"/>
      <c r="S4346" s="4"/>
      <c r="T4346" s="4"/>
      <c r="U4346" s="4"/>
      <c r="V4346" s="4"/>
      <c r="W4346" s="4"/>
      <c r="X4346" s="4"/>
    </row>
    <row r="4347" spans="17:24" x14ac:dyDescent="0.3">
      <c r="Q4347" s="4"/>
      <c r="R4347" s="4"/>
      <c r="S4347" s="4"/>
      <c r="T4347" s="4"/>
      <c r="U4347" s="4"/>
      <c r="V4347" s="4"/>
      <c r="W4347" s="4"/>
      <c r="X4347" s="4"/>
    </row>
    <row r="4348" spans="17:24" x14ac:dyDescent="0.3">
      <c r="Q4348" s="4"/>
      <c r="R4348" s="4"/>
      <c r="S4348" s="4"/>
      <c r="T4348" s="4"/>
      <c r="U4348" s="4"/>
      <c r="V4348" s="4"/>
      <c r="W4348" s="4"/>
      <c r="X4348" s="4"/>
    </row>
    <row r="4349" spans="17:24" x14ac:dyDescent="0.3">
      <c r="Q4349" s="4"/>
      <c r="R4349" s="4"/>
      <c r="S4349" s="4"/>
      <c r="T4349" s="4"/>
      <c r="U4349" s="4"/>
      <c r="V4349" s="4"/>
      <c r="W4349" s="4"/>
      <c r="X4349" s="4"/>
    </row>
    <row r="4350" spans="17:24" x14ac:dyDescent="0.3">
      <c r="Q4350" s="4"/>
      <c r="R4350" s="4"/>
      <c r="S4350" s="4"/>
      <c r="T4350" s="4"/>
      <c r="U4350" s="4"/>
      <c r="V4350" s="4"/>
      <c r="W4350" s="4"/>
      <c r="X4350" s="4"/>
    </row>
    <row r="4351" spans="17:24" x14ac:dyDescent="0.3">
      <c r="Q4351" s="4"/>
      <c r="R4351" s="4"/>
      <c r="S4351" s="4"/>
      <c r="T4351" s="4"/>
      <c r="U4351" s="4"/>
      <c r="V4351" s="4"/>
      <c r="W4351" s="4"/>
      <c r="X4351" s="4"/>
    </row>
    <row r="4352" spans="17:24" x14ac:dyDescent="0.3">
      <c r="Q4352" s="4"/>
      <c r="R4352" s="4"/>
      <c r="S4352" s="4"/>
      <c r="T4352" s="4"/>
      <c r="U4352" s="4"/>
      <c r="V4352" s="4"/>
      <c r="W4352" s="4"/>
      <c r="X4352" s="4"/>
    </row>
    <row r="4353" spans="17:24" x14ac:dyDescent="0.3">
      <c r="Q4353" s="4"/>
      <c r="R4353" s="4"/>
      <c r="S4353" s="4"/>
      <c r="T4353" s="4"/>
      <c r="U4353" s="4"/>
      <c r="V4353" s="4"/>
      <c r="W4353" s="4"/>
      <c r="X4353" s="4"/>
    </row>
    <row r="4354" spans="17:24" x14ac:dyDescent="0.3">
      <c r="Q4354" s="4"/>
      <c r="R4354" s="4"/>
      <c r="S4354" s="4"/>
      <c r="T4354" s="4"/>
      <c r="U4354" s="4"/>
      <c r="V4354" s="4"/>
      <c r="W4354" s="4"/>
      <c r="X4354" s="4"/>
    </row>
    <row r="4355" spans="17:24" x14ac:dyDescent="0.3">
      <c r="Q4355" s="4"/>
      <c r="R4355" s="4"/>
      <c r="S4355" s="4"/>
      <c r="T4355" s="4"/>
      <c r="U4355" s="4"/>
      <c r="V4355" s="4"/>
      <c r="W4355" s="4"/>
      <c r="X4355" s="4"/>
    </row>
    <row r="4356" spans="17:24" x14ac:dyDescent="0.3">
      <c r="Q4356" s="4"/>
      <c r="R4356" s="4"/>
      <c r="S4356" s="4"/>
      <c r="T4356" s="4"/>
      <c r="U4356" s="4"/>
      <c r="V4356" s="4"/>
      <c r="W4356" s="4"/>
      <c r="X4356" s="4"/>
    </row>
    <row r="4357" spans="17:24" x14ac:dyDescent="0.3">
      <c r="Q4357" s="4"/>
      <c r="R4357" s="4"/>
      <c r="S4357" s="4"/>
      <c r="T4357" s="4"/>
      <c r="U4357" s="4"/>
      <c r="V4357" s="4"/>
      <c r="W4357" s="4"/>
      <c r="X4357" s="4"/>
    </row>
    <row r="4358" spans="17:24" x14ac:dyDescent="0.3">
      <c r="Q4358" s="4"/>
      <c r="R4358" s="4"/>
      <c r="S4358" s="4"/>
      <c r="T4358" s="4"/>
      <c r="U4358" s="4"/>
      <c r="V4358" s="4"/>
      <c r="W4358" s="4"/>
      <c r="X4358" s="4"/>
    </row>
    <row r="4359" spans="17:24" x14ac:dyDescent="0.3">
      <c r="Q4359" s="4"/>
      <c r="R4359" s="4"/>
      <c r="S4359" s="4"/>
      <c r="T4359" s="4"/>
      <c r="U4359" s="4"/>
      <c r="V4359" s="4"/>
      <c r="W4359" s="4"/>
      <c r="X4359" s="4"/>
    </row>
    <row r="4360" spans="17:24" x14ac:dyDescent="0.3">
      <c r="Q4360" s="4"/>
      <c r="R4360" s="4"/>
      <c r="S4360" s="4"/>
      <c r="T4360" s="4"/>
      <c r="U4360" s="4"/>
      <c r="V4360" s="4"/>
      <c r="W4360" s="4"/>
      <c r="X4360" s="4"/>
    </row>
    <row r="4361" spans="17:24" x14ac:dyDescent="0.3">
      <c r="Q4361" s="4"/>
      <c r="R4361" s="4"/>
      <c r="S4361" s="4"/>
      <c r="T4361" s="4"/>
      <c r="U4361" s="4"/>
      <c r="V4361" s="4"/>
      <c r="W4361" s="4"/>
      <c r="X4361" s="4"/>
    </row>
    <row r="4362" spans="17:24" x14ac:dyDescent="0.3">
      <c r="Q4362" s="4"/>
      <c r="R4362" s="4"/>
      <c r="S4362" s="4"/>
      <c r="T4362" s="4"/>
      <c r="U4362" s="4"/>
      <c r="V4362" s="4"/>
      <c r="W4362" s="4"/>
      <c r="X4362" s="4"/>
    </row>
    <row r="4363" spans="17:24" x14ac:dyDescent="0.3">
      <c r="Q4363" s="4"/>
      <c r="R4363" s="4"/>
      <c r="S4363" s="4"/>
      <c r="T4363" s="4"/>
      <c r="U4363" s="4"/>
      <c r="V4363" s="4"/>
      <c r="W4363" s="4"/>
      <c r="X4363" s="4"/>
    </row>
    <row r="4364" spans="17:24" x14ac:dyDescent="0.3">
      <c r="Q4364" s="4"/>
      <c r="R4364" s="4"/>
      <c r="S4364" s="4"/>
      <c r="T4364" s="4"/>
      <c r="U4364" s="4"/>
      <c r="V4364" s="4"/>
      <c r="W4364" s="4"/>
      <c r="X4364" s="4"/>
    </row>
    <row r="4365" spans="17:24" x14ac:dyDescent="0.3">
      <c r="Q4365" s="4"/>
      <c r="R4365" s="4"/>
      <c r="S4365" s="4"/>
      <c r="T4365" s="4"/>
      <c r="U4365" s="4"/>
      <c r="V4365" s="4"/>
      <c r="W4365" s="4"/>
      <c r="X4365" s="4"/>
    </row>
    <row r="4366" spans="17:24" x14ac:dyDescent="0.3">
      <c r="Q4366" s="4"/>
      <c r="R4366" s="4"/>
      <c r="S4366" s="4"/>
      <c r="T4366" s="4"/>
      <c r="U4366" s="4"/>
      <c r="V4366" s="4"/>
      <c r="W4366" s="4"/>
      <c r="X4366" s="4"/>
    </row>
    <row r="4367" spans="17:24" x14ac:dyDescent="0.3">
      <c r="Q4367" s="4"/>
      <c r="R4367" s="4"/>
      <c r="S4367" s="4"/>
      <c r="T4367" s="4"/>
      <c r="U4367" s="4"/>
      <c r="V4367" s="4"/>
      <c r="W4367" s="4"/>
      <c r="X4367" s="4"/>
    </row>
    <row r="4368" spans="17:24" x14ac:dyDescent="0.3">
      <c r="Q4368" s="4"/>
      <c r="R4368" s="4"/>
      <c r="S4368" s="4"/>
      <c r="T4368" s="4"/>
      <c r="U4368" s="4"/>
      <c r="V4368" s="4"/>
      <c r="W4368" s="4"/>
      <c r="X4368" s="4"/>
    </row>
    <row r="4369" spans="17:24" x14ac:dyDescent="0.3">
      <c r="Q4369" s="4"/>
      <c r="R4369" s="4"/>
      <c r="S4369" s="4"/>
      <c r="T4369" s="4"/>
      <c r="U4369" s="4"/>
      <c r="V4369" s="4"/>
      <c r="W4369" s="4"/>
      <c r="X4369" s="4"/>
    </row>
    <row r="4370" spans="17:24" x14ac:dyDescent="0.3">
      <c r="Q4370" s="4"/>
      <c r="R4370" s="4"/>
      <c r="S4370" s="4"/>
      <c r="T4370" s="4"/>
      <c r="U4370" s="4"/>
      <c r="V4370" s="4"/>
      <c r="W4370" s="4"/>
      <c r="X4370" s="4"/>
    </row>
    <row r="4371" spans="17:24" x14ac:dyDescent="0.3">
      <c r="Q4371" s="4"/>
      <c r="R4371" s="4"/>
      <c r="S4371" s="4"/>
      <c r="T4371" s="4"/>
      <c r="U4371" s="4"/>
      <c r="V4371" s="4"/>
      <c r="W4371" s="4"/>
      <c r="X4371" s="4"/>
    </row>
    <row r="4372" spans="17:24" x14ac:dyDescent="0.3">
      <c r="Q4372" s="4"/>
      <c r="R4372" s="4"/>
      <c r="S4372" s="4"/>
      <c r="T4372" s="4"/>
      <c r="U4372" s="4"/>
      <c r="V4372" s="4"/>
      <c r="W4372" s="4"/>
      <c r="X4372" s="4"/>
    </row>
    <row r="4373" spans="17:24" x14ac:dyDescent="0.3">
      <c r="Q4373" s="4"/>
      <c r="R4373" s="4"/>
      <c r="S4373" s="4"/>
      <c r="T4373" s="4"/>
      <c r="U4373" s="4"/>
      <c r="V4373" s="4"/>
      <c r="W4373" s="4"/>
      <c r="X4373" s="4"/>
    </row>
    <row r="4374" spans="17:24" x14ac:dyDescent="0.3">
      <c r="Q4374" s="4"/>
      <c r="R4374" s="4"/>
      <c r="S4374" s="4"/>
      <c r="T4374" s="4"/>
      <c r="U4374" s="4"/>
      <c r="V4374" s="4"/>
      <c r="W4374" s="4"/>
      <c r="X4374" s="4"/>
    </row>
    <row r="4375" spans="17:24" x14ac:dyDescent="0.3">
      <c r="Q4375" s="4"/>
      <c r="R4375" s="4"/>
      <c r="S4375" s="4"/>
      <c r="T4375" s="4"/>
      <c r="U4375" s="4"/>
      <c r="V4375" s="4"/>
      <c r="W4375" s="4"/>
      <c r="X4375" s="4"/>
    </row>
    <row r="4376" spans="17:24" x14ac:dyDescent="0.3">
      <c r="Q4376" s="4"/>
      <c r="R4376" s="4"/>
      <c r="S4376" s="4"/>
      <c r="T4376" s="4"/>
      <c r="U4376" s="4"/>
      <c r="V4376" s="4"/>
      <c r="W4376" s="4"/>
      <c r="X4376" s="4"/>
    </row>
    <row r="4377" spans="17:24" x14ac:dyDescent="0.3">
      <c r="Q4377" s="4"/>
      <c r="R4377" s="4"/>
      <c r="S4377" s="4"/>
      <c r="T4377" s="4"/>
      <c r="U4377" s="4"/>
      <c r="V4377" s="4"/>
      <c r="W4377" s="4"/>
      <c r="X4377" s="4"/>
    </row>
    <row r="4378" spans="17:24" x14ac:dyDescent="0.3">
      <c r="Q4378" s="4"/>
      <c r="R4378" s="4"/>
      <c r="S4378" s="4"/>
      <c r="T4378" s="4"/>
      <c r="U4378" s="4"/>
      <c r="V4378" s="4"/>
      <c r="W4378" s="4"/>
      <c r="X4378" s="4"/>
    </row>
    <row r="4379" spans="17:24" x14ac:dyDescent="0.3">
      <c r="Q4379" s="4"/>
      <c r="R4379" s="4"/>
      <c r="S4379" s="4"/>
      <c r="T4379" s="4"/>
      <c r="U4379" s="4"/>
      <c r="V4379" s="4"/>
      <c r="W4379" s="4"/>
      <c r="X4379" s="4"/>
    </row>
    <row r="4380" spans="17:24" x14ac:dyDescent="0.3">
      <c r="Q4380" s="4"/>
      <c r="R4380" s="4"/>
      <c r="S4380" s="4"/>
      <c r="T4380" s="4"/>
      <c r="U4380" s="4"/>
      <c r="V4380" s="4"/>
      <c r="W4380" s="4"/>
      <c r="X4380" s="4"/>
    </row>
    <row r="4381" spans="17:24" x14ac:dyDescent="0.3">
      <c r="Q4381" s="4"/>
      <c r="R4381" s="4"/>
      <c r="S4381" s="4"/>
      <c r="T4381" s="4"/>
      <c r="U4381" s="4"/>
      <c r="V4381" s="4"/>
      <c r="W4381" s="4"/>
      <c r="X4381" s="4"/>
    </row>
    <row r="4382" spans="17:24" x14ac:dyDescent="0.3">
      <c r="Q4382" s="4"/>
      <c r="R4382" s="4"/>
      <c r="S4382" s="4"/>
      <c r="T4382" s="4"/>
      <c r="U4382" s="4"/>
      <c r="V4382" s="4"/>
      <c r="W4382" s="4"/>
      <c r="X4382" s="4"/>
    </row>
    <row r="4383" spans="17:24" x14ac:dyDescent="0.3">
      <c r="Q4383" s="4"/>
      <c r="R4383" s="4"/>
      <c r="S4383" s="4"/>
      <c r="T4383" s="4"/>
      <c r="U4383" s="4"/>
      <c r="V4383" s="4"/>
      <c r="W4383" s="4"/>
      <c r="X4383" s="4"/>
    </row>
    <row r="4384" spans="17:24" x14ac:dyDescent="0.3">
      <c r="Q4384" s="4"/>
      <c r="R4384" s="4"/>
      <c r="S4384" s="4"/>
      <c r="T4384" s="4"/>
      <c r="U4384" s="4"/>
      <c r="V4384" s="4"/>
      <c r="W4384" s="4"/>
      <c r="X4384" s="4"/>
    </row>
    <row r="4385" spans="17:24" x14ac:dyDescent="0.3">
      <c r="Q4385" s="4"/>
      <c r="R4385" s="4"/>
      <c r="S4385" s="4"/>
      <c r="T4385" s="4"/>
      <c r="U4385" s="4"/>
      <c r="V4385" s="4"/>
      <c r="W4385" s="4"/>
      <c r="X4385" s="4"/>
    </row>
    <row r="4386" spans="17:24" x14ac:dyDescent="0.3">
      <c r="Q4386" s="4"/>
      <c r="R4386" s="4"/>
      <c r="S4386" s="4"/>
      <c r="T4386" s="4"/>
      <c r="U4386" s="4"/>
      <c r="V4386" s="4"/>
      <c r="W4386" s="4"/>
      <c r="X4386" s="4"/>
    </row>
    <row r="4387" spans="17:24" x14ac:dyDescent="0.3">
      <c r="Q4387" s="4"/>
      <c r="R4387" s="4"/>
      <c r="S4387" s="4"/>
      <c r="T4387" s="4"/>
      <c r="U4387" s="4"/>
      <c r="V4387" s="4"/>
      <c r="W4387" s="4"/>
      <c r="X4387" s="4"/>
    </row>
    <row r="4388" spans="17:24" x14ac:dyDescent="0.3">
      <c r="Q4388" s="4"/>
      <c r="R4388" s="4"/>
      <c r="S4388" s="4"/>
      <c r="T4388" s="4"/>
      <c r="U4388" s="4"/>
      <c r="V4388" s="4"/>
      <c r="W4388" s="4"/>
      <c r="X4388" s="4"/>
    </row>
    <row r="4389" spans="17:24" x14ac:dyDescent="0.3">
      <c r="Q4389" s="4"/>
      <c r="R4389" s="4"/>
      <c r="S4389" s="4"/>
      <c r="T4389" s="4"/>
      <c r="U4389" s="4"/>
      <c r="V4389" s="4"/>
      <c r="W4389" s="4"/>
      <c r="X4389" s="4"/>
    </row>
    <row r="4390" spans="17:24" x14ac:dyDescent="0.3">
      <c r="Q4390" s="4"/>
      <c r="R4390" s="4"/>
      <c r="S4390" s="4"/>
      <c r="T4390" s="4"/>
      <c r="U4390" s="4"/>
      <c r="V4390" s="4"/>
      <c r="W4390" s="4"/>
      <c r="X4390" s="4"/>
    </row>
    <row r="4391" spans="17:24" x14ac:dyDescent="0.3">
      <c r="Q4391" s="4"/>
      <c r="R4391" s="4"/>
      <c r="S4391" s="4"/>
      <c r="T4391" s="4"/>
      <c r="U4391" s="4"/>
      <c r="V4391" s="4"/>
      <c r="W4391" s="4"/>
      <c r="X4391" s="4"/>
    </row>
    <row r="4392" spans="17:24" x14ac:dyDescent="0.3">
      <c r="Q4392" s="4"/>
      <c r="R4392" s="4"/>
      <c r="S4392" s="4"/>
      <c r="T4392" s="4"/>
      <c r="U4392" s="4"/>
      <c r="V4392" s="4"/>
      <c r="W4392" s="4"/>
      <c r="X4392" s="4"/>
    </row>
    <row r="4393" spans="17:24" x14ac:dyDescent="0.3">
      <c r="Q4393" s="4"/>
      <c r="R4393" s="4"/>
      <c r="S4393" s="4"/>
      <c r="T4393" s="4"/>
      <c r="U4393" s="4"/>
      <c r="V4393" s="4"/>
      <c r="W4393" s="4"/>
      <c r="X4393" s="4"/>
    </row>
    <row r="4394" spans="17:24" x14ac:dyDescent="0.3">
      <c r="Q4394" s="4"/>
      <c r="R4394" s="4"/>
      <c r="S4394" s="4"/>
      <c r="T4394" s="4"/>
      <c r="U4394" s="4"/>
      <c r="V4394" s="4"/>
      <c r="W4394" s="4"/>
      <c r="X4394" s="4"/>
    </row>
    <row r="4395" spans="17:24" x14ac:dyDescent="0.3">
      <c r="Q4395" s="4"/>
      <c r="R4395" s="4"/>
      <c r="S4395" s="4"/>
      <c r="T4395" s="4"/>
      <c r="U4395" s="4"/>
      <c r="V4395" s="4"/>
      <c r="W4395" s="4"/>
      <c r="X4395" s="4"/>
    </row>
    <row r="4396" spans="17:24" x14ac:dyDescent="0.3">
      <c r="Q4396" s="4"/>
      <c r="R4396" s="4"/>
      <c r="S4396" s="4"/>
      <c r="T4396" s="4"/>
      <c r="U4396" s="4"/>
      <c r="V4396" s="4"/>
      <c r="W4396" s="4"/>
      <c r="X4396" s="4"/>
    </row>
    <row r="4397" spans="17:24" x14ac:dyDescent="0.3">
      <c r="Q4397" s="4"/>
      <c r="R4397" s="4"/>
      <c r="S4397" s="4"/>
      <c r="T4397" s="4"/>
      <c r="U4397" s="4"/>
      <c r="V4397" s="4"/>
      <c r="W4397" s="4"/>
      <c r="X4397" s="4"/>
    </row>
    <row r="4398" spans="17:24" x14ac:dyDescent="0.3">
      <c r="Q4398" s="4"/>
      <c r="R4398" s="4"/>
      <c r="S4398" s="4"/>
      <c r="T4398" s="4"/>
      <c r="U4398" s="4"/>
      <c r="V4398" s="4"/>
      <c r="W4398" s="4"/>
      <c r="X4398" s="4"/>
    </row>
    <row r="4399" spans="17:24" x14ac:dyDescent="0.3">
      <c r="Q4399" s="4"/>
      <c r="R4399" s="4"/>
      <c r="S4399" s="4"/>
      <c r="T4399" s="4"/>
      <c r="U4399" s="4"/>
      <c r="V4399" s="4"/>
      <c r="W4399" s="4"/>
      <c r="X4399" s="4"/>
    </row>
    <row r="4400" spans="17:24" x14ac:dyDescent="0.3">
      <c r="Q4400" s="4"/>
      <c r="R4400" s="4"/>
      <c r="S4400" s="4"/>
      <c r="T4400" s="4"/>
      <c r="U4400" s="4"/>
      <c r="V4400" s="4"/>
      <c r="W4400" s="4"/>
      <c r="X4400" s="4"/>
    </row>
    <row r="4401" spans="17:24" x14ac:dyDescent="0.3">
      <c r="Q4401" s="4"/>
      <c r="R4401" s="4"/>
      <c r="S4401" s="4"/>
      <c r="T4401" s="4"/>
      <c r="U4401" s="4"/>
      <c r="V4401" s="4"/>
      <c r="W4401" s="4"/>
      <c r="X4401" s="4"/>
    </row>
    <row r="4402" spans="17:24" x14ac:dyDescent="0.3">
      <c r="Q4402" s="4"/>
      <c r="R4402" s="4"/>
      <c r="S4402" s="4"/>
      <c r="T4402" s="4"/>
      <c r="U4402" s="4"/>
      <c r="V4402" s="4"/>
      <c r="W4402" s="4"/>
      <c r="X4402" s="4"/>
    </row>
    <row r="4403" spans="17:24" x14ac:dyDescent="0.3">
      <c r="Q4403" s="4"/>
      <c r="R4403" s="4"/>
      <c r="S4403" s="4"/>
      <c r="T4403" s="4"/>
      <c r="U4403" s="4"/>
      <c r="V4403" s="4"/>
      <c r="W4403" s="4"/>
      <c r="X4403" s="4"/>
    </row>
    <row r="4404" spans="17:24" x14ac:dyDescent="0.3">
      <c r="Q4404" s="4"/>
      <c r="R4404" s="4"/>
      <c r="S4404" s="4"/>
      <c r="T4404" s="4"/>
      <c r="U4404" s="4"/>
      <c r="V4404" s="4"/>
      <c r="W4404" s="4"/>
      <c r="X4404" s="4"/>
    </row>
    <row r="4405" spans="17:24" x14ac:dyDescent="0.3">
      <c r="Q4405" s="4"/>
      <c r="R4405" s="4"/>
      <c r="S4405" s="4"/>
      <c r="T4405" s="4"/>
      <c r="U4405" s="4"/>
      <c r="V4405" s="4"/>
      <c r="W4405" s="4"/>
      <c r="X4405" s="4"/>
    </row>
    <row r="4406" spans="17:24" x14ac:dyDescent="0.3">
      <c r="Q4406" s="4"/>
      <c r="R4406" s="4"/>
      <c r="S4406" s="4"/>
      <c r="T4406" s="4"/>
      <c r="U4406" s="4"/>
      <c r="V4406" s="4"/>
      <c r="W4406" s="4"/>
      <c r="X4406" s="4"/>
    </row>
    <row r="4407" spans="17:24" x14ac:dyDescent="0.3">
      <c r="Q4407" s="4"/>
      <c r="R4407" s="4"/>
      <c r="S4407" s="4"/>
      <c r="T4407" s="4"/>
      <c r="U4407" s="4"/>
      <c r="V4407" s="4"/>
      <c r="W4407" s="4"/>
      <c r="X4407" s="4"/>
    </row>
    <row r="4408" spans="17:24" x14ac:dyDescent="0.3">
      <c r="Q4408" s="4"/>
      <c r="R4408" s="4"/>
      <c r="S4408" s="4"/>
      <c r="T4408" s="4"/>
      <c r="U4408" s="4"/>
      <c r="V4408" s="4"/>
      <c r="W4408" s="4"/>
      <c r="X4408" s="4"/>
    </row>
    <row r="4409" spans="17:24" x14ac:dyDescent="0.3">
      <c r="Q4409" s="4"/>
      <c r="R4409" s="4"/>
      <c r="S4409" s="4"/>
      <c r="T4409" s="4"/>
      <c r="U4409" s="4"/>
      <c r="V4409" s="4"/>
      <c r="W4409" s="4"/>
      <c r="X4409" s="4"/>
    </row>
    <row r="4410" spans="17:24" x14ac:dyDescent="0.3">
      <c r="Q4410" s="4"/>
      <c r="R4410" s="4"/>
      <c r="S4410" s="4"/>
      <c r="T4410" s="4"/>
      <c r="U4410" s="4"/>
      <c r="V4410" s="4"/>
      <c r="W4410" s="4"/>
      <c r="X4410" s="4"/>
    </row>
    <row r="4411" spans="17:24" x14ac:dyDescent="0.3">
      <c r="Q4411" s="4"/>
      <c r="R4411" s="4"/>
      <c r="S4411" s="4"/>
      <c r="T4411" s="4"/>
      <c r="U4411" s="4"/>
      <c r="V4411" s="4"/>
      <c r="W4411" s="4"/>
      <c r="X4411" s="4"/>
    </row>
    <row r="4412" spans="17:24" x14ac:dyDescent="0.3">
      <c r="Q4412" s="4"/>
      <c r="R4412" s="4"/>
      <c r="S4412" s="4"/>
      <c r="T4412" s="4"/>
      <c r="U4412" s="4"/>
      <c r="V4412" s="4"/>
      <c r="W4412" s="4"/>
      <c r="X4412" s="4"/>
    </row>
    <row r="4413" spans="17:24" x14ac:dyDescent="0.3">
      <c r="Q4413" s="4"/>
      <c r="R4413" s="4"/>
      <c r="S4413" s="4"/>
      <c r="T4413" s="4"/>
      <c r="U4413" s="4"/>
      <c r="V4413" s="4"/>
      <c r="W4413" s="4"/>
      <c r="X4413" s="4"/>
    </row>
    <row r="4414" spans="17:24" x14ac:dyDescent="0.3">
      <c r="Q4414" s="4"/>
      <c r="R4414" s="4"/>
      <c r="S4414" s="4"/>
      <c r="T4414" s="4"/>
      <c r="U4414" s="4"/>
      <c r="V4414" s="4"/>
      <c r="W4414" s="4"/>
      <c r="X4414" s="4"/>
    </row>
    <row r="4415" spans="17:24" x14ac:dyDescent="0.3">
      <c r="Q4415" s="4"/>
      <c r="R4415" s="4"/>
      <c r="S4415" s="4"/>
      <c r="T4415" s="4"/>
      <c r="U4415" s="4"/>
      <c r="V4415" s="4"/>
      <c r="W4415" s="4"/>
      <c r="X4415" s="4"/>
    </row>
    <row r="4416" spans="17:24" x14ac:dyDescent="0.3">
      <c r="Q4416" s="4"/>
      <c r="R4416" s="4"/>
      <c r="S4416" s="4"/>
      <c r="T4416" s="4"/>
      <c r="U4416" s="4"/>
      <c r="V4416" s="4"/>
      <c r="W4416" s="4"/>
      <c r="X4416" s="4"/>
    </row>
    <row r="4417" spans="17:24" x14ac:dyDescent="0.3">
      <c r="Q4417" s="4"/>
      <c r="R4417" s="4"/>
      <c r="S4417" s="4"/>
      <c r="T4417" s="4"/>
      <c r="U4417" s="4"/>
      <c r="V4417" s="4"/>
      <c r="W4417" s="4"/>
      <c r="X4417" s="4"/>
    </row>
    <row r="4418" spans="17:24" x14ac:dyDescent="0.3">
      <c r="Q4418" s="4"/>
      <c r="R4418" s="4"/>
      <c r="S4418" s="4"/>
      <c r="T4418" s="4"/>
      <c r="U4418" s="4"/>
      <c r="V4418" s="4"/>
      <c r="W4418" s="4"/>
      <c r="X4418" s="4"/>
    </row>
    <row r="4419" spans="17:24" x14ac:dyDescent="0.3">
      <c r="Q4419" s="4"/>
      <c r="R4419" s="4"/>
      <c r="S4419" s="4"/>
      <c r="T4419" s="4"/>
      <c r="U4419" s="4"/>
      <c r="V4419" s="4"/>
      <c r="W4419" s="4"/>
      <c r="X4419" s="4"/>
    </row>
    <row r="4420" spans="17:24" x14ac:dyDescent="0.3">
      <c r="Q4420" s="4"/>
      <c r="R4420" s="4"/>
      <c r="S4420" s="4"/>
      <c r="T4420" s="4"/>
      <c r="U4420" s="4"/>
      <c r="V4420" s="4"/>
      <c r="W4420" s="4"/>
      <c r="X4420" s="4"/>
    </row>
    <row r="4421" spans="17:24" x14ac:dyDescent="0.3">
      <c r="Q4421" s="4"/>
      <c r="R4421" s="4"/>
      <c r="S4421" s="4"/>
      <c r="T4421" s="4"/>
      <c r="U4421" s="4"/>
      <c r="V4421" s="4"/>
      <c r="W4421" s="4"/>
      <c r="X4421" s="4"/>
    </row>
    <row r="4422" spans="17:24" x14ac:dyDescent="0.3">
      <c r="Q4422" s="4"/>
      <c r="R4422" s="4"/>
      <c r="S4422" s="4"/>
      <c r="T4422" s="4"/>
      <c r="U4422" s="4"/>
      <c r="V4422" s="4"/>
      <c r="W4422" s="4"/>
      <c r="X4422" s="4"/>
    </row>
    <row r="4423" spans="17:24" x14ac:dyDescent="0.3">
      <c r="Q4423" s="4"/>
      <c r="R4423" s="4"/>
      <c r="S4423" s="4"/>
      <c r="T4423" s="4"/>
      <c r="U4423" s="4"/>
      <c r="V4423" s="4"/>
      <c r="W4423" s="4"/>
      <c r="X4423" s="4"/>
    </row>
    <row r="4424" spans="17:24" x14ac:dyDescent="0.3">
      <c r="Q4424" s="4"/>
      <c r="R4424" s="4"/>
      <c r="S4424" s="4"/>
      <c r="T4424" s="4"/>
      <c r="U4424" s="4"/>
      <c r="V4424" s="4"/>
      <c r="W4424" s="4"/>
      <c r="X4424" s="4"/>
    </row>
    <row r="4425" spans="17:24" x14ac:dyDescent="0.3">
      <c r="Q4425" s="4"/>
      <c r="R4425" s="4"/>
      <c r="S4425" s="4"/>
      <c r="T4425" s="4"/>
      <c r="U4425" s="4"/>
      <c r="V4425" s="4"/>
      <c r="W4425" s="4"/>
      <c r="X4425" s="4"/>
    </row>
    <row r="4426" spans="17:24" x14ac:dyDescent="0.3">
      <c r="Q4426" s="4"/>
      <c r="R4426" s="4"/>
      <c r="S4426" s="4"/>
      <c r="T4426" s="4"/>
      <c r="U4426" s="4"/>
      <c r="V4426" s="4"/>
      <c r="W4426" s="4"/>
      <c r="X4426" s="4"/>
    </row>
    <row r="4427" spans="17:24" x14ac:dyDescent="0.3">
      <c r="Q4427" s="4"/>
      <c r="R4427" s="4"/>
      <c r="S4427" s="4"/>
      <c r="T4427" s="4"/>
      <c r="U4427" s="4"/>
      <c r="V4427" s="4"/>
      <c r="W4427" s="4"/>
      <c r="X4427" s="4"/>
    </row>
    <row r="4428" spans="17:24" x14ac:dyDescent="0.3">
      <c r="Q4428" s="4"/>
      <c r="R4428" s="4"/>
      <c r="S4428" s="4"/>
      <c r="T4428" s="4"/>
      <c r="U4428" s="4"/>
      <c r="V4428" s="4"/>
      <c r="W4428" s="4"/>
      <c r="X4428" s="4"/>
    </row>
    <row r="4429" spans="17:24" x14ac:dyDescent="0.3">
      <c r="Q4429" s="4"/>
      <c r="R4429" s="4"/>
      <c r="S4429" s="4"/>
      <c r="T4429" s="4"/>
      <c r="U4429" s="4"/>
      <c r="V4429" s="4"/>
      <c r="W4429" s="4"/>
      <c r="X4429" s="4"/>
    </row>
    <row r="4430" spans="17:24" x14ac:dyDescent="0.3">
      <c r="Q4430" s="4"/>
      <c r="R4430" s="4"/>
      <c r="S4430" s="4"/>
      <c r="T4430" s="4"/>
      <c r="U4430" s="4"/>
      <c r="V4430" s="4"/>
      <c r="W4430" s="4"/>
      <c r="X4430" s="4"/>
    </row>
    <row r="4431" spans="17:24" x14ac:dyDescent="0.3">
      <c r="Q4431" s="4"/>
      <c r="R4431" s="4"/>
      <c r="S4431" s="4"/>
      <c r="T4431" s="4"/>
      <c r="U4431" s="4"/>
      <c r="V4431" s="4"/>
      <c r="W4431" s="4"/>
      <c r="X4431" s="4"/>
    </row>
    <row r="4432" spans="17:24" x14ac:dyDescent="0.3">
      <c r="Q4432" s="4"/>
      <c r="R4432" s="4"/>
      <c r="S4432" s="4"/>
      <c r="T4432" s="4"/>
      <c r="U4432" s="4"/>
      <c r="V4432" s="4"/>
      <c r="W4432" s="4"/>
      <c r="X4432" s="4"/>
    </row>
    <row r="4433" spans="17:24" x14ac:dyDescent="0.3">
      <c r="Q4433" s="4"/>
      <c r="R4433" s="4"/>
      <c r="S4433" s="4"/>
      <c r="T4433" s="4"/>
      <c r="U4433" s="4"/>
      <c r="V4433" s="4"/>
      <c r="W4433" s="4"/>
      <c r="X4433" s="4"/>
    </row>
    <row r="4434" spans="17:24" x14ac:dyDescent="0.3">
      <c r="Q4434" s="4"/>
      <c r="R4434" s="4"/>
      <c r="S4434" s="4"/>
      <c r="T4434" s="4"/>
      <c r="U4434" s="4"/>
      <c r="V4434" s="4"/>
      <c r="W4434" s="4"/>
      <c r="X4434" s="4"/>
    </row>
    <row r="4435" spans="17:24" x14ac:dyDescent="0.3">
      <c r="Q4435" s="4"/>
      <c r="R4435" s="4"/>
      <c r="S4435" s="4"/>
      <c r="T4435" s="4"/>
      <c r="U4435" s="4"/>
      <c r="V4435" s="4"/>
      <c r="W4435" s="4"/>
      <c r="X4435" s="4"/>
    </row>
    <row r="4436" spans="17:24" x14ac:dyDescent="0.3">
      <c r="Q4436" s="4"/>
      <c r="R4436" s="4"/>
      <c r="S4436" s="4"/>
      <c r="T4436" s="4"/>
      <c r="U4436" s="4"/>
      <c r="V4436" s="4"/>
      <c r="W4436" s="4"/>
      <c r="X4436" s="4"/>
    </row>
    <row r="4437" spans="17:24" x14ac:dyDescent="0.3">
      <c r="Q4437" s="4"/>
      <c r="R4437" s="4"/>
      <c r="S4437" s="4"/>
      <c r="T4437" s="4"/>
      <c r="U4437" s="4"/>
      <c r="V4437" s="4"/>
      <c r="W4437" s="4"/>
      <c r="X4437" s="4"/>
    </row>
    <row r="4438" spans="17:24" x14ac:dyDescent="0.3">
      <c r="Q4438" s="4"/>
      <c r="R4438" s="4"/>
      <c r="S4438" s="4"/>
      <c r="T4438" s="4"/>
      <c r="U4438" s="4"/>
      <c r="V4438" s="4"/>
      <c r="W4438" s="4"/>
      <c r="X4438" s="4"/>
    </row>
    <row r="4439" spans="17:24" x14ac:dyDescent="0.3">
      <c r="Q4439" s="4"/>
      <c r="R4439" s="4"/>
      <c r="S4439" s="4"/>
      <c r="T4439" s="4"/>
      <c r="U4439" s="4"/>
      <c r="V4439" s="4"/>
      <c r="W4439" s="4"/>
      <c r="X4439" s="4"/>
    </row>
    <row r="4440" spans="17:24" x14ac:dyDescent="0.3">
      <c r="Q4440" s="4"/>
      <c r="R4440" s="4"/>
      <c r="S4440" s="4"/>
      <c r="T4440" s="4"/>
      <c r="U4440" s="4"/>
      <c r="V4440" s="4"/>
      <c r="W4440" s="4"/>
      <c r="X4440" s="4"/>
    </row>
    <row r="4441" spans="17:24" x14ac:dyDescent="0.3">
      <c r="Q4441" s="4"/>
      <c r="R4441" s="4"/>
      <c r="S4441" s="4"/>
      <c r="T4441" s="4"/>
      <c r="U4441" s="4"/>
      <c r="V4441" s="4"/>
      <c r="W4441" s="4"/>
      <c r="X4441" s="4"/>
    </row>
    <row r="4442" spans="17:24" x14ac:dyDescent="0.3">
      <c r="Q4442" s="4"/>
      <c r="R4442" s="4"/>
      <c r="S4442" s="4"/>
      <c r="T4442" s="4"/>
      <c r="U4442" s="4"/>
      <c r="V4442" s="4"/>
      <c r="W4442" s="4"/>
      <c r="X4442" s="4"/>
    </row>
    <row r="4443" spans="17:24" x14ac:dyDescent="0.3">
      <c r="Q4443" s="4"/>
      <c r="R4443" s="4"/>
      <c r="S4443" s="4"/>
      <c r="T4443" s="4"/>
      <c r="U4443" s="4"/>
      <c r="V4443" s="4"/>
      <c r="W4443" s="4"/>
      <c r="X4443" s="4"/>
    </row>
    <row r="4444" spans="17:24" x14ac:dyDescent="0.3">
      <c r="Q4444" s="4"/>
      <c r="R4444" s="4"/>
      <c r="S4444" s="4"/>
      <c r="T4444" s="4"/>
      <c r="U4444" s="4"/>
      <c r="V4444" s="4"/>
      <c r="W4444" s="4"/>
      <c r="X4444" s="4"/>
    </row>
    <row r="4445" spans="17:24" x14ac:dyDescent="0.3">
      <c r="Q4445" s="4"/>
      <c r="R4445" s="4"/>
      <c r="S4445" s="4"/>
      <c r="T4445" s="4"/>
      <c r="U4445" s="4"/>
      <c r="V4445" s="4"/>
      <c r="W4445" s="4"/>
      <c r="X4445" s="4"/>
    </row>
    <row r="4446" spans="17:24" x14ac:dyDescent="0.3">
      <c r="Q4446" s="4"/>
      <c r="R4446" s="4"/>
      <c r="S4446" s="4"/>
      <c r="T4446" s="4"/>
      <c r="U4446" s="4"/>
      <c r="V4446" s="4"/>
      <c r="W4446" s="4"/>
      <c r="X4446" s="4"/>
    </row>
    <row r="4447" spans="17:24" x14ac:dyDescent="0.3">
      <c r="Q4447" s="4"/>
      <c r="R4447" s="4"/>
      <c r="S4447" s="4"/>
      <c r="T4447" s="4"/>
      <c r="U4447" s="4"/>
      <c r="V4447" s="4"/>
      <c r="W4447" s="4"/>
      <c r="X4447" s="4"/>
    </row>
    <row r="4448" spans="17:24" x14ac:dyDescent="0.3">
      <c r="Q4448" s="4"/>
      <c r="R4448" s="4"/>
      <c r="S4448" s="4"/>
      <c r="T4448" s="4"/>
      <c r="U4448" s="4"/>
      <c r="V4448" s="4"/>
      <c r="W4448" s="4"/>
      <c r="X4448" s="4"/>
    </row>
    <row r="4449" spans="17:24" x14ac:dyDescent="0.3">
      <c r="Q4449" s="4"/>
      <c r="R4449" s="4"/>
      <c r="S4449" s="4"/>
      <c r="T4449" s="4"/>
      <c r="U4449" s="4"/>
      <c r="V4449" s="4"/>
      <c r="W4449" s="4"/>
      <c r="X4449" s="4"/>
    </row>
    <row r="4450" spans="17:24" x14ac:dyDescent="0.3">
      <c r="Q4450" s="4"/>
      <c r="R4450" s="4"/>
      <c r="S4450" s="4"/>
      <c r="T4450" s="4"/>
      <c r="U4450" s="4"/>
      <c r="V4450" s="4"/>
      <c r="W4450" s="4"/>
      <c r="X4450" s="4"/>
    </row>
    <row r="4451" spans="17:24" x14ac:dyDescent="0.3">
      <c r="Q4451" s="4"/>
      <c r="R4451" s="4"/>
      <c r="S4451" s="4"/>
      <c r="T4451" s="4"/>
      <c r="U4451" s="4"/>
      <c r="V4451" s="4"/>
      <c r="W4451" s="4"/>
      <c r="X4451" s="4"/>
    </row>
    <row r="4452" spans="17:24" x14ac:dyDescent="0.3">
      <c r="Q4452" s="4"/>
      <c r="R4452" s="4"/>
      <c r="S4452" s="4"/>
      <c r="T4452" s="4"/>
      <c r="U4452" s="4"/>
      <c r="V4452" s="4"/>
      <c r="W4452" s="4"/>
      <c r="X4452" s="4"/>
    </row>
    <row r="4453" spans="17:24" x14ac:dyDescent="0.3">
      <c r="Q4453" s="4"/>
      <c r="R4453" s="4"/>
      <c r="S4453" s="4"/>
      <c r="T4453" s="4"/>
      <c r="U4453" s="4"/>
      <c r="V4453" s="4"/>
      <c r="W4453" s="4"/>
      <c r="X4453" s="4"/>
    </row>
    <row r="4454" spans="17:24" x14ac:dyDescent="0.3">
      <c r="Q4454" s="4"/>
      <c r="R4454" s="4"/>
      <c r="S4454" s="4"/>
      <c r="T4454" s="4"/>
      <c r="U4454" s="4"/>
      <c r="V4454" s="4"/>
      <c r="W4454" s="4"/>
      <c r="X4454" s="4"/>
    </row>
    <row r="4455" spans="17:24" x14ac:dyDescent="0.3">
      <c r="Q4455" s="4"/>
      <c r="R4455" s="4"/>
      <c r="S4455" s="4"/>
      <c r="T4455" s="4"/>
      <c r="U4455" s="4"/>
      <c r="V4455" s="4"/>
      <c r="W4455" s="4"/>
      <c r="X4455" s="4"/>
    </row>
    <row r="4456" spans="17:24" x14ac:dyDescent="0.3">
      <c r="Q4456" s="4"/>
      <c r="R4456" s="4"/>
      <c r="S4456" s="4"/>
      <c r="T4456" s="4"/>
      <c r="U4456" s="4"/>
      <c r="V4456" s="4"/>
      <c r="W4456" s="4"/>
      <c r="X4456" s="4"/>
    </row>
    <row r="4457" spans="17:24" x14ac:dyDescent="0.3">
      <c r="Q4457" s="4"/>
      <c r="R4457" s="4"/>
      <c r="S4457" s="4"/>
      <c r="T4457" s="4"/>
      <c r="U4457" s="4"/>
      <c r="V4457" s="4"/>
      <c r="W4457" s="4"/>
      <c r="X4457" s="4"/>
    </row>
    <row r="4458" spans="17:24" x14ac:dyDescent="0.3">
      <c r="Q4458" s="4"/>
      <c r="R4458" s="4"/>
      <c r="S4458" s="4"/>
      <c r="T4458" s="4"/>
      <c r="U4458" s="4"/>
      <c r="V4458" s="4"/>
      <c r="W4458" s="4"/>
      <c r="X4458" s="4"/>
    </row>
    <row r="4459" spans="17:24" x14ac:dyDescent="0.3">
      <c r="Q4459" s="4"/>
      <c r="R4459" s="4"/>
      <c r="S4459" s="4"/>
      <c r="T4459" s="4"/>
      <c r="U4459" s="4"/>
      <c r="V4459" s="4"/>
      <c r="W4459" s="4"/>
      <c r="X4459" s="4"/>
    </row>
    <row r="4460" spans="17:24" x14ac:dyDescent="0.3">
      <c r="Q4460" s="4"/>
      <c r="R4460" s="4"/>
      <c r="S4460" s="4"/>
      <c r="T4460" s="4"/>
      <c r="U4460" s="4"/>
      <c r="V4460" s="4"/>
      <c r="W4460" s="4"/>
      <c r="X4460" s="4"/>
    </row>
    <row r="4461" spans="17:24" x14ac:dyDescent="0.3">
      <c r="Q4461" s="4"/>
      <c r="R4461" s="4"/>
      <c r="S4461" s="4"/>
      <c r="T4461" s="4"/>
      <c r="U4461" s="4"/>
      <c r="V4461" s="4"/>
      <c r="W4461" s="4"/>
      <c r="X4461" s="4"/>
    </row>
    <row r="4462" spans="17:24" x14ac:dyDescent="0.3">
      <c r="Q4462" s="4"/>
      <c r="R4462" s="4"/>
      <c r="S4462" s="4"/>
      <c r="T4462" s="4"/>
      <c r="U4462" s="4"/>
      <c r="V4462" s="4"/>
      <c r="W4462" s="4"/>
      <c r="X4462" s="4"/>
    </row>
    <row r="4463" spans="17:24" x14ac:dyDescent="0.3">
      <c r="Q4463" s="4"/>
      <c r="R4463" s="4"/>
      <c r="S4463" s="4"/>
      <c r="T4463" s="4"/>
      <c r="U4463" s="4"/>
      <c r="V4463" s="4"/>
      <c r="W4463" s="4"/>
      <c r="X4463" s="4"/>
    </row>
    <row r="4464" spans="17:24" x14ac:dyDescent="0.3">
      <c r="Q4464" s="4"/>
      <c r="R4464" s="4"/>
      <c r="S4464" s="4"/>
      <c r="T4464" s="4"/>
      <c r="U4464" s="4"/>
      <c r="V4464" s="4"/>
      <c r="W4464" s="4"/>
      <c r="X4464" s="4"/>
    </row>
    <row r="4465" spans="17:24" x14ac:dyDescent="0.3">
      <c r="Q4465" s="4"/>
      <c r="R4465" s="4"/>
      <c r="S4465" s="4"/>
      <c r="T4465" s="4"/>
      <c r="U4465" s="4"/>
      <c r="V4465" s="4"/>
      <c r="W4465" s="4"/>
      <c r="X4465" s="4"/>
    </row>
    <row r="4466" spans="17:24" x14ac:dyDescent="0.3">
      <c r="Q4466" s="4"/>
      <c r="R4466" s="4"/>
      <c r="S4466" s="4"/>
      <c r="T4466" s="4"/>
      <c r="U4466" s="4"/>
      <c r="V4466" s="4"/>
      <c r="W4466" s="4"/>
      <c r="X4466" s="4"/>
    </row>
    <row r="4467" spans="17:24" x14ac:dyDescent="0.3">
      <c r="Q4467" s="4"/>
      <c r="R4467" s="4"/>
      <c r="S4467" s="4"/>
      <c r="T4467" s="4"/>
      <c r="U4467" s="4"/>
      <c r="V4467" s="4"/>
      <c r="W4467" s="4"/>
      <c r="X4467" s="4"/>
    </row>
    <row r="4468" spans="17:24" x14ac:dyDescent="0.3">
      <c r="Q4468" s="4"/>
      <c r="R4468" s="4"/>
      <c r="S4468" s="4"/>
      <c r="T4468" s="4"/>
      <c r="U4468" s="4"/>
      <c r="V4468" s="4"/>
      <c r="W4468" s="4"/>
      <c r="X4468" s="4"/>
    </row>
    <row r="4469" spans="17:24" x14ac:dyDescent="0.3">
      <c r="Q4469" s="4"/>
      <c r="R4469" s="4"/>
      <c r="S4469" s="4"/>
      <c r="T4469" s="4"/>
      <c r="U4469" s="4"/>
      <c r="V4469" s="4"/>
      <c r="W4469" s="4"/>
      <c r="X4469" s="4"/>
    </row>
    <row r="4470" spans="17:24" x14ac:dyDescent="0.3">
      <c r="Q4470" s="4"/>
      <c r="R4470" s="4"/>
      <c r="S4470" s="4"/>
      <c r="T4470" s="4"/>
      <c r="U4470" s="4"/>
      <c r="V4470" s="4"/>
      <c r="W4470" s="4"/>
      <c r="X4470" s="4"/>
    </row>
    <row r="4471" spans="17:24" x14ac:dyDescent="0.3">
      <c r="Q4471" s="4"/>
      <c r="R4471" s="4"/>
      <c r="S4471" s="4"/>
      <c r="T4471" s="4"/>
      <c r="U4471" s="4"/>
      <c r="V4471" s="4"/>
      <c r="W4471" s="4"/>
      <c r="X4471" s="4"/>
    </row>
    <row r="4472" spans="17:24" x14ac:dyDescent="0.3">
      <c r="Q4472" s="4"/>
      <c r="R4472" s="4"/>
      <c r="S4472" s="4"/>
      <c r="T4472" s="4"/>
      <c r="U4472" s="4"/>
      <c r="V4472" s="4"/>
      <c r="W4472" s="4"/>
      <c r="X4472" s="4"/>
    </row>
    <row r="4473" spans="17:24" x14ac:dyDescent="0.3">
      <c r="Q4473" s="4"/>
      <c r="R4473" s="4"/>
      <c r="S4473" s="4"/>
      <c r="T4473" s="4"/>
      <c r="U4473" s="4"/>
      <c r="V4473" s="4"/>
      <c r="W4473" s="4"/>
      <c r="X4473" s="4"/>
    </row>
    <row r="4474" spans="17:24" x14ac:dyDescent="0.3">
      <c r="Q4474" s="4"/>
      <c r="R4474" s="4"/>
      <c r="S4474" s="4"/>
      <c r="T4474" s="4"/>
      <c r="U4474" s="4"/>
      <c r="V4474" s="4"/>
      <c r="W4474" s="4"/>
      <c r="X4474" s="4"/>
    </row>
    <row r="4475" spans="17:24" x14ac:dyDescent="0.3">
      <c r="Q4475" s="4"/>
      <c r="R4475" s="4"/>
      <c r="S4475" s="4"/>
      <c r="T4475" s="4"/>
      <c r="U4475" s="4"/>
      <c r="V4475" s="4"/>
      <c r="W4475" s="4"/>
      <c r="X4475" s="4"/>
    </row>
    <row r="4476" spans="17:24" x14ac:dyDescent="0.3">
      <c r="Q4476" s="4"/>
      <c r="R4476" s="4"/>
      <c r="S4476" s="4"/>
      <c r="T4476" s="4"/>
      <c r="U4476" s="4"/>
      <c r="V4476" s="4"/>
      <c r="W4476" s="4"/>
      <c r="X4476" s="4"/>
    </row>
    <row r="4477" spans="17:24" x14ac:dyDescent="0.3">
      <c r="Q4477" s="4"/>
      <c r="R4477" s="4"/>
      <c r="S4477" s="4"/>
      <c r="T4477" s="4"/>
      <c r="U4477" s="4"/>
      <c r="V4477" s="4"/>
      <c r="W4477" s="4"/>
      <c r="X4477" s="4"/>
    </row>
    <row r="4478" spans="17:24" x14ac:dyDescent="0.3">
      <c r="Q4478" s="4"/>
      <c r="R4478" s="4"/>
      <c r="S4478" s="4"/>
      <c r="T4478" s="4"/>
      <c r="U4478" s="4"/>
      <c r="V4478" s="4"/>
      <c r="W4478" s="4"/>
      <c r="X4478" s="4"/>
    </row>
    <row r="4479" spans="17:24" x14ac:dyDescent="0.3">
      <c r="Q4479" s="4"/>
      <c r="R4479" s="4"/>
      <c r="S4479" s="4"/>
      <c r="T4479" s="4"/>
      <c r="U4479" s="4"/>
      <c r="V4479" s="4"/>
      <c r="W4479" s="4"/>
      <c r="X4479" s="4"/>
    </row>
    <row r="4480" spans="17:24" x14ac:dyDescent="0.3">
      <c r="Q4480" s="4"/>
      <c r="R4480" s="4"/>
      <c r="S4480" s="4"/>
      <c r="T4480" s="4"/>
      <c r="U4480" s="4"/>
      <c r="V4480" s="4"/>
      <c r="W4480" s="4"/>
      <c r="X4480" s="4"/>
    </row>
    <row r="4481" spans="17:24" x14ac:dyDescent="0.3">
      <c r="Q4481" s="4"/>
      <c r="R4481" s="4"/>
      <c r="S4481" s="4"/>
      <c r="T4481" s="4"/>
      <c r="U4481" s="4"/>
      <c r="V4481" s="4"/>
      <c r="W4481" s="4"/>
      <c r="X4481" s="4"/>
    </row>
    <row r="4482" spans="17:24" x14ac:dyDescent="0.3">
      <c r="Q4482" s="4"/>
      <c r="R4482" s="4"/>
      <c r="S4482" s="4"/>
      <c r="T4482" s="4"/>
      <c r="U4482" s="4"/>
      <c r="V4482" s="4"/>
      <c r="W4482" s="4"/>
      <c r="X4482" s="4"/>
    </row>
    <row r="4483" spans="17:24" x14ac:dyDescent="0.3">
      <c r="Q4483" s="4"/>
      <c r="R4483" s="4"/>
      <c r="S4483" s="4"/>
      <c r="T4483" s="4"/>
      <c r="U4483" s="4"/>
      <c r="V4483" s="4"/>
      <c r="W4483" s="4"/>
      <c r="X4483" s="4"/>
    </row>
    <row r="4484" spans="17:24" x14ac:dyDescent="0.3">
      <c r="Q4484" s="4"/>
      <c r="R4484" s="4"/>
      <c r="S4484" s="4"/>
      <c r="T4484" s="4"/>
      <c r="U4484" s="4"/>
      <c r="V4484" s="4"/>
      <c r="W4484" s="4"/>
      <c r="X4484" s="4"/>
    </row>
    <row r="4485" spans="17:24" x14ac:dyDescent="0.3">
      <c r="Q4485" s="4"/>
      <c r="R4485" s="4"/>
      <c r="S4485" s="4"/>
      <c r="T4485" s="4"/>
      <c r="U4485" s="4"/>
      <c r="V4485" s="4"/>
      <c r="W4485" s="4"/>
      <c r="X4485" s="4"/>
    </row>
    <row r="4486" spans="17:24" x14ac:dyDescent="0.3">
      <c r="Q4486" s="4"/>
      <c r="R4486" s="4"/>
      <c r="S4486" s="4"/>
      <c r="T4486" s="4"/>
      <c r="U4486" s="4"/>
      <c r="V4486" s="4"/>
      <c r="W4486" s="4"/>
      <c r="X4486" s="4"/>
    </row>
    <row r="4487" spans="17:24" x14ac:dyDescent="0.3">
      <c r="Q4487" s="4"/>
      <c r="R4487" s="4"/>
      <c r="S4487" s="4"/>
      <c r="T4487" s="4"/>
      <c r="U4487" s="4"/>
      <c r="V4487" s="4"/>
      <c r="W4487" s="4"/>
      <c r="X4487" s="4"/>
    </row>
    <row r="4488" spans="17:24" x14ac:dyDescent="0.3">
      <c r="Q4488" s="4"/>
      <c r="R4488" s="4"/>
      <c r="S4488" s="4"/>
      <c r="T4488" s="4"/>
      <c r="U4488" s="4"/>
      <c r="V4488" s="4"/>
      <c r="W4488" s="4"/>
      <c r="X4488" s="4"/>
    </row>
    <row r="4489" spans="17:24" x14ac:dyDescent="0.3">
      <c r="Q4489" s="4"/>
      <c r="R4489" s="4"/>
      <c r="S4489" s="4"/>
      <c r="T4489" s="4"/>
      <c r="U4489" s="4"/>
      <c r="V4489" s="4"/>
      <c r="W4489" s="4"/>
      <c r="X4489" s="4"/>
    </row>
    <row r="4490" spans="17:24" x14ac:dyDescent="0.3">
      <c r="Q4490" s="4"/>
      <c r="R4490" s="4"/>
      <c r="S4490" s="4"/>
      <c r="T4490" s="4"/>
      <c r="U4490" s="4"/>
      <c r="V4490" s="4"/>
      <c r="W4490" s="4"/>
      <c r="X4490" s="4"/>
    </row>
    <row r="4491" spans="17:24" x14ac:dyDescent="0.3">
      <c r="Q4491" s="4"/>
      <c r="R4491" s="4"/>
      <c r="S4491" s="4"/>
      <c r="T4491" s="4"/>
      <c r="U4491" s="4"/>
      <c r="V4491" s="4"/>
      <c r="W4491" s="4"/>
      <c r="X4491" s="4"/>
    </row>
    <row r="4492" spans="17:24" x14ac:dyDescent="0.3">
      <c r="Q4492" s="4"/>
      <c r="R4492" s="4"/>
      <c r="S4492" s="4"/>
      <c r="T4492" s="4"/>
      <c r="U4492" s="4"/>
      <c r="V4492" s="4"/>
      <c r="W4492" s="4"/>
      <c r="X4492" s="4"/>
    </row>
    <row r="4493" spans="17:24" x14ac:dyDescent="0.3">
      <c r="Q4493" s="4"/>
      <c r="R4493" s="4"/>
      <c r="S4493" s="4"/>
      <c r="T4493" s="4"/>
      <c r="U4493" s="4"/>
      <c r="V4493" s="4"/>
      <c r="W4493" s="4"/>
      <c r="X4493" s="4"/>
    </row>
    <row r="4494" spans="17:24" x14ac:dyDescent="0.3">
      <c r="Q4494" s="4"/>
      <c r="R4494" s="4"/>
      <c r="S4494" s="4"/>
      <c r="T4494" s="4"/>
      <c r="U4494" s="4"/>
      <c r="V4494" s="4"/>
      <c r="W4494" s="4"/>
      <c r="X4494" s="4"/>
    </row>
    <row r="4495" spans="17:24" x14ac:dyDescent="0.3">
      <c r="Q4495" s="4"/>
      <c r="R4495" s="4"/>
      <c r="S4495" s="4"/>
      <c r="T4495" s="4"/>
      <c r="U4495" s="4"/>
      <c r="V4495" s="4"/>
      <c r="W4495" s="4"/>
      <c r="X4495" s="4"/>
    </row>
    <row r="4496" spans="17:24" x14ac:dyDescent="0.3">
      <c r="Q4496" s="4"/>
      <c r="R4496" s="4"/>
      <c r="S4496" s="4"/>
      <c r="T4496" s="4"/>
      <c r="U4496" s="4"/>
      <c r="V4496" s="4"/>
      <c r="W4496" s="4"/>
      <c r="X4496" s="4"/>
    </row>
    <row r="4497" spans="17:24" x14ac:dyDescent="0.3">
      <c r="Q4497" s="4"/>
      <c r="R4497" s="4"/>
      <c r="S4497" s="4"/>
      <c r="T4497" s="4"/>
      <c r="U4497" s="4"/>
      <c r="V4497" s="4"/>
      <c r="W4497" s="4"/>
      <c r="X4497" s="4"/>
    </row>
    <row r="4498" spans="17:24" x14ac:dyDescent="0.3">
      <c r="Q4498" s="4"/>
      <c r="R4498" s="4"/>
      <c r="S4498" s="4"/>
      <c r="T4498" s="4"/>
      <c r="U4498" s="4"/>
      <c r="V4498" s="4"/>
      <c r="W4498" s="4"/>
      <c r="X4498" s="4"/>
    </row>
    <row r="4499" spans="17:24" x14ac:dyDescent="0.3">
      <c r="Q4499" s="4"/>
      <c r="R4499" s="4"/>
      <c r="S4499" s="4"/>
      <c r="T4499" s="4"/>
      <c r="U4499" s="4"/>
      <c r="V4499" s="4"/>
      <c r="W4499" s="4"/>
      <c r="X4499" s="4"/>
    </row>
    <row r="4500" spans="17:24" x14ac:dyDescent="0.3">
      <c r="Q4500" s="4"/>
      <c r="R4500" s="4"/>
      <c r="S4500" s="4"/>
      <c r="T4500" s="4"/>
      <c r="U4500" s="4"/>
      <c r="V4500" s="4"/>
      <c r="W4500" s="4"/>
      <c r="X4500" s="4"/>
    </row>
    <row r="4501" spans="17:24" x14ac:dyDescent="0.3">
      <c r="Q4501" s="4"/>
      <c r="R4501" s="4"/>
      <c r="S4501" s="4"/>
      <c r="T4501" s="4"/>
      <c r="U4501" s="4"/>
      <c r="V4501" s="4"/>
      <c r="W4501" s="4"/>
      <c r="X4501" s="4"/>
    </row>
    <row r="4502" spans="17:24" x14ac:dyDescent="0.3">
      <c r="Q4502" s="4"/>
      <c r="R4502" s="4"/>
      <c r="S4502" s="4"/>
      <c r="T4502" s="4"/>
      <c r="U4502" s="4"/>
      <c r="V4502" s="4"/>
      <c r="W4502" s="4"/>
      <c r="X4502" s="4"/>
    </row>
    <row r="4503" spans="17:24" x14ac:dyDescent="0.3">
      <c r="Q4503" s="4"/>
      <c r="R4503" s="4"/>
      <c r="S4503" s="4"/>
      <c r="T4503" s="4"/>
      <c r="U4503" s="4"/>
      <c r="V4503" s="4"/>
      <c r="W4503" s="4"/>
      <c r="X4503" s="4"/>
    </row>
    <row r="4504" spans="17:24" x14ac:dyDescent="0.3">
      <c r="Q4504" s="4"/>
      <c r="R4504" s="4"/>
      <c r="S4504" s="4"/>
      <c r="T4504" s="4"/>
      <c r="U4504" s="4"/>
      <c r="V4504" s="4"/>
      <c r="W4504" s="4"/>
      <c r="X4504" s="4"/>
    </row>
    <row r="4505" spans="17:24" x14ac:dyDescent="0.3">
      <c r="Q4505" s="4"/>
      <c r="R4505" s="4"/>
      <c r="S4505" s="4"/>
      <c r="T4505" s="4"/>
      <c r="U4505" s="4"/>
      <c r="V4505" s="4"/>
      <c r="W4505" s="4"/>
      <c r="X4505" s="4"/>
    </row>
    <row r="4506" spans="17:24" x14ac:dyDescent="0.3">
      <c r="Q4506" s="4"/>
      <c r="R4506" s="4"/>
      <c r="S4506" s="4"/>
      <c r="T4506" s="4"/>
      <c r="U4506" s="4"/>
      <c r="V4506" s="4"/>
      <c r="W4506" s="4"/>
      <c r="X4506" s="4"/>
    </row>
    <row r="4507" spans="17:24" x14ac:dyDescent="0.3">
      <c r="Q4507" s="4"/>
      <c r="R4507" s="4"/>
      <c r="S4507" s="4"/>
      <c r="T4507" s="4"/>
      <c r="U4507" s="4"/>
      <c r="V4507" s="4"/>
      <c r="W4507" s="4"/>
      <c r="X4507" s="4"/>
    </row>
    <row r="4508" spans="17:24" x14ac:dyDescent="0.3">
      <c r="Q4508" s="4"/>
      <c r="R4508" s="4"/>
      <c r="S4508" s="4"/>
      <c r="T4508" s="4"/>
      <c r="U4508" s="4"/>
      <c r="V4508" s="4"/>
      <c r="W4508" s="4"/>
      <c r="X4508" s="4"/>
    </row>
    <row r="4509" spans="17:24" x14ac:dyDescent="0.3">
      <c r="Q4509" s="4"/>
      <c r="R4509" s="4"/>
      <c r="S4509" s="4"/>
      <c r="T4509" s="4"/>
      <c r="U4509" s="4"/>
      <c r="V4509" s="4"/>
      <c r="W4509" s="4"/>
      <c r="X4509" s="4"/>
    </row>
    <row r="4510" spans="17:24" x14ac:dyDescent="0.3">
      <c r="Q4510" s="4"/>
      <c r="R4510" s="4"/>
      <c r="S4510" s="4"/>
      <c r="T4510" s="4"/>
      <c r="U4510" s="4"/>
      <c r="V4510" s="4"/>
      <c r="W4510" s="4"/>
      <c r="X4510" s="4"/>
    </row>
    <row r="4511" spans="17:24" x14ac:dyDescent="0.3">
      <c r="Q4511" s="4"/>
      <c r="R4511" s="4"/>
      <c r="S4511" s="4"/>
      <c r="T4511" s="4"/>
      <c r="U4511" s="4"/>
      <c r="V4511" s="4"/>
      <c r="W4511" s="4"/>
      <c r="X4511" s="4"/>
    </row>
    <row r="4512" spans="17:24" x14ac:dyDescent="0.3">
      <c r="Q4512" s="4"/>
      <c r="R4512" s="4"/>
      <c r="S4512" s="4"/>
      <c r="T4512" s="4"/>
      <c r="U4512" s="4"/>
      <c r="V4512" s="4"/>
      <c r="W4512" s="4"/>
      <c r="X4512" s="4"/>
    </row>
    <row r="4513" spans="17:24" x14ac:dyDescent="0.3">
      <c r="Q4513" s="4"/>
      <c r="R4513" s="4"/>
      <c r="S4513" s="4"/>
      <c r="T4513" s="4"/>
      <c r="U4513" s="4"/>
      <c r="V4513" s="4"/>
      <c r="W4513" s="4"/>
      <c r="X4513" s="4"/>
    </row>
    <row r="4514" spans="17:24" x14ac:dyDescent="0.3">
      <c r="Q4514" s="4"/>
      <c r="R4514" s="4"/>
      <c r="S4514" s="4"/>
      <c r="T4514" s="4"/>
      <c r="U4514" s="4"/>
      <c r="V4514" s="4"/>
      <c r="W4514" s="4"/>
      <c r="X4514" s="4"/>
    </row>
    <row r="4515" spans="17:24" x14ac:dyDescent="0.3">
      <c r="Q4515" s="4"/>
      <c r="R4515" s="4"/>
      <c r="S4515" s="4"/>
      <c r="T4515" s="4"/>
      <c r="U4515" s="4"/>
      <c r="V4515" s="4"/>
      <c r="W4515" s="4"/>
      <c r="X4515" s="4"/>
    </row>
    <row r="4516" spans="17:24" x14ac:dyDescent="0.3">
      <c r="Q4516" s="4"/>
      <c r="R4516" s="4"/>
      <c r="S4516" s="4"/>
      <c r="T4516" s="4"/>
      <c r="U4516" s="4"/>
      <c r="V4516" s="4"/>
      <c r="W4516" s="4"/>
      <c r="X4516" s="4"/>
    </row>
    <row r="4517" spans="17:24" x14ac:dyDescent="0.3">
      <c r="Q4517" s="4"/>
      <c r="R4517" s="4"/>
      <c r="S4517" s="4"/>
      <c r="T4517" s="4"/>
      <c r="U4517" s="4"/>
      <c r="V4517" s="4"/>
      <c r="W4517" s="4"/>
      <c r="X4517" s="4"/>
    </row>
    <row r="4518" spans="17:24" x14ac:dyDescent="0.3">
      <c r="Q4518" s="4"/>
      <c r="R4518" s="4"/>
      <c r="S4518" s="4"/>
      <c r="T4518" s="4"/>
      <c r="U4518" s="4"/>
      <c r="V4518" s="4"/>
      <c r="W4518" s="4"/>
      <c r="X4518" s="4"/>
    </row>
    <row r="4519" spans="17:24" x14ac:dyDescent="0.3">
      <c r="Q4519" s="4"/>
      <c r="R4519" s="4"/>
      <c r="S4519" s="4"/>
      <c r="T4519" s="4"/>
      <c r="U4519" s="4"/>
      <c r="V4519" s="4"/>
      <c r="W4519" s="4"/>
      <c r="X4519" s="4"/>
    </row>
    <row r="4520" spans="17:24" x14ac:dyDescent="0.3">
      <c r="Q4520" s="4"/>
      <c r="R4520" s="4"/>
      <c r="S4520" s="4"/>
      <c r="T4520" s="4"/>
      <c r="U4520" s="4"/>
      <c r="V4520" s="4"/>
      <c r="W4520" s="4"/>
      <c r="X4520" s="4"/>
    </row>
    <row r="4521" spans="17:24" x14ac:dyDescent="0.3">
      <c r="Q4521" s="4"/>
      <c r="R4521" s="4"/>
      <c r="S4521" s="4"/>
      <c r="T4521" s="4"/>
      <c r="U4521" s="4"/>
      <c r="V4521" s="4"/>
      <c r="W4521" s="4"/>
      <c r="X4521" s="4"/>
    </row>
    <row r="4522" spans="17:24" x14ac:dyDescent="0.3">
      <c r="Q4522" s="4"/>
      <c r="R4522" s="4"/>
      <c r="S4522" s="4"/>
      <c r="T4522" s="4"/>
      <c r="U4522" s="4"/>
      <c r="V4522" s="4"/>
      <c r="W4522" s="4"/>
      <c r="X4522" s="4"/>
    </row>
    <row r="4523" spans="17:24" x14ac:dyDescent="0.3">
      <c r="Q4523" s="4"/>
      <c r="R4523" s="4"/>
      <c r="S4523" s="4"/>
      <c r="T4523" s="4"/>
      <c r="U4523" s="4"/>
      <c r="V4523" s="4"/>
      <c r="W4523" s="4"/>
      <c r="X4523" s="4"/>
    </row>
    <row r="4524" spans="17:24" x14ac:dyDescent="0.3">
      <c r="Q4524" s="4"/>
      <c r="R4524" s="4"/>
      <c r="S4524" s="4"/>
      <c r="T4524" s="4"/>
      <c r="U4524" s="4"/>
      <c r="V4524" s="4"/>
      <c r="W4524" s="4"/>
      <c r="X4524" s="4"/>
    </row>
    <row r="4525" spans="17:24" x14ac:dyDescent="0.3">
      <c r="Q4525" s="4"/>
      <c r="R4525" s="4"/>
      <c r="S4525" s="4"/>
      <c r="T4525" s="4"/>
      <c r="U4525" s="4"/>
      <c r="V4525" s="4"/>
      <c r="W4525" s="4"/>
      <c r="X4525" s="4"/>
    </row>
    <row r="4526" spans="17:24" x14ac:dyDescent="0.3">
      <c r="Q4526" s="4"/>
      <c r="R4526" s="4"/>
      <c r="S4526" s="4"/>
      <c r="T4526" s="4"/>
      <c r="U4526" s="4"/>
      <c r="V4526" s="4"/>
      <c r="W4526" s="4"/>
      <c r="X4526" s="4"/>
    </row>
    <row r="4527" spans="17:24" x14ac:dyDescent="0.3">
      <c r="Q4527" s="4"/>
      <c r="R4527" s="4"/>
      <c r="S4527" s="4"/>
      <c r="T4527" s="4"/>
      <c r="U4527" s="4"/>
      <c r="V4527" s="4"/>
      <c r="W4527" s="4"/>
      <c r="X4527" s="4"/>
    </row>
    <row r="4528" spans="17:24" x14ac:dyDescent="0.3">
      <c r="Q4528" s="4"/>
      <c r="R4528" s="4"/>
      <c r="S4528" s="4"/>
      <c r="T4528" s="4"/>
      <c r="U4528" s="4"/>
      <c r="V4528" s="4"/>
      <c r="W4528" s="4"/>
      <c r="X4528" s="4"/>
    </row>
    <row r="4529" spans="17:24" x14ac:dyDescent="0.3">
      <c r="Q4529" s="4"/>
      <c r="R4529" s="4"/>
      <c r="S4529" s="4"/>
      <c r="T4529" s="4"/>
      <c r="U4529" s="4"/>
      <c r="V4529" s="4"/>
      <c r="W4529" s="4"/>
      <c r="X4529" s="4"/>
    </row>
    <row r="4530" spans="17:24" x14ac:dyDescent="0.3">
      <c r="Q4530" s="4"/>
      <c r="R4530" s="4"/>
      <c r="S4530" s="4"/>
      <c r="T4530" s="4"/>
      <c r="U4530" s="4"/>
      <c r="V4530" s="4"/>
      <c r="W4530" s="4"/>
      <c r="X4530" s="4"/>
    </row>
    <row r="4531" spans="17:24" x14ac:dyDescent="0.3">
      <c r="Q4531" s="4"/>
      <c r="R4531" s="4"/>
      <c r="S4531" s="4"/>
      <c r="T4531" s="4"/>
      <c r="U4531" s="4"/>
      <c r="V4531" s="4"/>
      <c r="W4531" s="4"/>
      <c r="X4531" s="4"/>
    </row>
    <row r="4532" spans="17:24" x14ac:dyDescent="0.3">
      <c r="Q4532" s="4"/>
      <c r="R4532" s="4"/>
      <c r="S4532" s="4"/>
      <c r="T4532" s="4"/>
      <c r="U4532" s="4"/>
      <c r="V4532" s="4"/>
      <c r="W4532" s="4"/>
      <c r="X4532" s="4"/>
    </row>
    <row r="4533" spans="17:24" x14ac:dyDescent="0.3">
      <c r="Q4533" s="4"/>
      <c r="R4533" s="4"/>
      <c r="S4533" s="4"/>
      <c r="T4533" s="4"/>
      <c r="U4533" s="4"/>
      <c r="V4533" s="4"/>
      <c r="W4533" s="4"/>
      <c r="X4533" s="4"/>
    </row>
    <row r="4534" spans="17:24" x14ac:dyDescent="0.3">
      <c r="Q4534" s="4"/>
      <c r="R4534" s="4"/>
      <c r="S4534" s="4"/>
      <c r="T4534" s="4"/>
      <c r="U4534" s="4"/>
      <c r="V4534" s="4"/>
      <c r="W4534" s="4"/>
      <c r="X4534" s="4"/>
    </row>
    <row r="4535" spans="17:24" x14ac:dyDescent="0.3">
      <c r="Q4535" s="4"/>
      <c r="R4535" s="4"/>
      <c r="S4535" s="4"/>
      <c r="T4535" s="4"/>
      <c r="U4535" s="4"/>
      <c r="V4535" s="4"/>
      <c r="W4535" s="4"/>
      <c r="X4535" s="4"/>
    </row>
    <row r="4536" spans="17:24" x14ac:dyDescent="0.3">
      <c r="Q4536" s="4"/>
      <c r="R4536" s="4"/>
      <c r="S4536" s="4"/>
      <c r="T4536" s="4"/>
      <c r="U4536" s="4"/>
      <c r="V4536" s="4"/>
      <c r="W4536" s="4"/>
      <c r="X4536" s="4"/>
    </row>
    <row r="4537" spans="17:24" x14ac:dyDescent="0.3">
      <c r="Q4537" s="4"/>
      <c r="R4537" s="4"/>
      <c r="S4537" s="4"/>
      <c r="T4537" s="4"/>
      <c r="U4537" s="4"/>
      <c r="V4537" s="4"/>
      <c r="W4537" s="4"/>
      <c r="X4537" s="4"/>
    </row>
    <row r="4538" spans="17:24" x14ac:dyDescent="0.3">
      <c r="Q4538" s="4"/>
      <c r="R4538" s="4"/>
      <c r="S4538" s="4"/>
      <c r="T4538" s="4"/>
      <c r="U4538" s="4"/>
      <c r="V4538" s="4"/>
      <c r="W4538" s="4"/>
      <c r="X4538" s="4"/>
    </row>
    <row r="4539" spans="17:24" x14ac:dyDescent="0.3">
      <c r="Q4539" s="4"/>
      <c r="R4539" s="4"/>
      <c r="S4539" s="4"/>
      <c r="T4539" s="4"/>
      <c r="U4539" s="4"/>
      <c r="V4539" s="4"/>
      <c r="W4539" s="4"/>
      <c r="X4539" s="4"/>
    </row>
    <row r="4540" spans="17:24" x14ac:dyDescent="0.3">
      <c r="Q4540" s="4"/>
      <c r="R4540" s="4"/>
      <c r="S4540" s="4"/>
      <c r="T4540" s="4"/>
      <c r="U4540" s="4"/>
      <c r="V4540" s="4"/>
      <c r="W4540" s="4"/>
      <c r="X4540" s="4"/>
    </row>
    <row r="4541" spans="17:24" x14ac:dyDescent="0.3">
      <c r="Q4541" s="4"/>
      <c r="R4541" s="4"/>
      <c r="S4541" s="4"/>
      <c r="T4541" s="4"/>
      <c r="U4541" s="4"/>
      <c r="V4541" s="4"/>
      <c r="W4541" s="4"/>
      <c r="X4541" s="4"/>
    </row>
    <row r="4542" spans="17:24" x14ac:dyDescent="0.3">
      <c r="Q4542" s="4"/>
      <c r="R4542" s="4"/>
      <c r="S4542" s="4"/>
      <c r="T4542" s="4"/>
      <c r="U4542" s="4"/>
      <c r="V4542" s="4"/>
      <c r="W4542" s="4"/>
      <c r="X4542" s="4"/>
    </row>
    <row r="4543" spans="17:24" x14ac:dyDescent="0.3">
      <c r="Q4543" s="4"/>
      <c r="R4543" s="4"/>
      <c r="S4543" s="4"/>
      <c r="T4543" s="4"/>
      <c r="U4543" s="4"/>
      <c r="V4543" s="4"/>
      <c r="W4543" s="4"/>
      <c r="X4543" s="4"/>
    </row>
    <row r="4544" spans="17:24" x14ac:dyDescent="0.3">
      <c r="Q4544" s="4"/>
      <c r="R4544" s="4"/>
      <c r="S4544" s="4"/>
      <c r="T4544" s="4"/>
      <c r="U4544" s="4"/>
      <c r="V4544" s="4"/>
      <c r="W4544" s="4"/>
      <c r="X4544" s="4"/>
    </row>
    <row r="4545" spans="17:24" x14ac:dyDescent="0.3">
      <c r="Q4545" s="4"/>
      <c r="R4545" s="4"/>
      <c r="S4545" s="4"/>
      <c r="T4545" s="4"/>
      <c r="U4545" s="4"/>
      <c r="V4545" s="4"/>
      <c r="W4545" s="4"/>
      <c r="X4545" s="4"/>
    </row>
    <row r="4546" spans="17:24" x14ac:dyDescent="0.3">
      <c r="Q4546" s="4"/>
      <c r="R4546" s="4"/>
      <c r="S4546" s="4"/>
      <c r="T4546" s="4"/>
      <c r="U4546" s="4"/>
      <c r="V4546" s="4"/>
      <c r="W4546" s="4"/>
      <c r="X4546" s="4"/>
    </row>
    <row r="4547" spans="17:24" x14ac:dyDescent="0.3">
      <c r="Q4547" s="4"/>
      <c r="R4547" s="4"/>
      <c r="S4547" s="4"/>
      <c r="T4547" s="4"/>
      <c r="U4547" s="4"/>
      <c r="V4547" s="4"/>
      <c r="W4547" s="4"/>
      <c r="X4547" s="4"/>
    </row>
    <row r="4548" spans="17:24" x14ac:dyDescent="0.3">
      <c r="Q4548" s="4"/>
      <c r="R4548" s="4"/>
      <c r="S4548" s="4"/>
      <c r="T4548" s="4"/>
      <c r="U4548" s="4"/>
      <c r="V4548" s="4"/>
      <c r="W4548" s="4"/>
      <c r="X4548" s="4"/>
    </row>
    <row r="4549" spans="17:24" x14ac:dyDescent="0.3">
      <c r="Q4549" s="4"/>
      <c r="R4549" s="4"/>
      <c r="S4549" s="4"/>
      <c r="T4549" s="4"/>
      <c r="U4549" s="4"/>
      <c r="V4549" s="4"/>
      <c r="W4549" s="4"/>
      <c r="X4549" s="4"/>
    </row>
    <row r="4550" spans="17:24" x14ac:dyDescent="0.3">
      <c r="Q4550" s="4"/>
      <c r="R4550" s="4"/>
      <c r="S4550" s="4"/>
      <c r="T4550" s="4"/>
      <c r="U4550" s="4"/>
      <c r="V4550" s="4"/>
      <c r="W4550" s="4"/>
      <c r="X4550" s="4"/>
    </row>
    <row r="4551" spans="17:24" x14ac:dyDescent="0.3">
      <c r="Q4551" s="4"/>
      <c r="R4551" s="4"/>
      <c r="S4551" s="4"/>
      <c r="T4551" s="4"/>
      <c r="U4551" s="4"/>
      <c r="V4551" s="4"/>
      <c r="W4551" s="4"/>
      <c r="X4551" s="4"/>
    </row>
    <row r="4552" spans="17:24" x14ac:dyDescent="0.3">
      <c r="Q4552" s="4"/>
      <c r="R4552" s="4"/>
      <c r="S4552" s="4"/>
      <c r="T4552" s="4"/>
      <c r="U4552" s="4"/>
      <c r="V4552" s="4"/>
      <c r="W4552" s="4"/>
      <c r="X4552" s="4"/>
    </row>
    <row r="4553" spans="17:24" x14ac:dyDescent="0.3">
      <c r="Q4553" s="4"/>
      <c r="R4553" s="4"/>
      <c r="S4553" s="4"/>
      <c r="T4553" s="4"/>
      <c r="U4553" s="4"/>
      <c r="V4553" s="4"/>
      <c r="W4553" s="4"/>
      <c r="X4553" s="4"/>
    </row>
    <row r="4554" spans="17:24" x14ac:dyDescent="0.3">
      <c r="Q4554" s="4"/>
      <c r="R4554" s="4"/>
      <c r="S4554" s="4"/>
      <c r="T4554" s="4"/>
      <c r="U4554" s="4"/>
      <c r="V4554" s="4"/>
      <c r="W4554" s="4"/>
      <c r="X4554" s="4"/>
    </row>
    <row r="4555" spans="17:24" x14ac:dyDescent="0.3">
      <c r="Q4555" s="4"/>
      <c r="R4555" s="4"/>
      <c r="S4555" s="4"/>
      <c r="T4555" s="4"/>
      <c r="U4555" s="4"/>
      <c r="V4555" s="4"/>
      <c r="W4555" s="4"/>
      <c r="X4555" s="4"/>
    </row>
    <row r="4556" spans="17:24" x14ac:dyDescent="0.3">
      <c r="Q4556" s="4"/>
      <c r="R4556" s="4"/>
      <c r="S4556" s="4"/>
      <c r="T4556" s="4"/>
      <c r="U4556" s="4"/>
      <c r="V4556" s="4"/>
      <c r="W4556" s="4"/>
      <c r="X4556" s="4"/>
    </row>
    <row r="4557" spans="17:24" x14ac:dyDescent="0.3">
      <c r="Q4557" s="4"/>
      <c r="R4557" s="4"/>
      <c r="S4557" s="4"/>
      <c r="T4557" s="4"/>
      <c r="U4557" s="4"/>
      <c r="V4557" s="4"/>
      <c r="W4557" s="4"/>
      <c r="X4557" s="4"/>
    </row>
    <row r="4558" spans="17:24" x14ac:dyDescent="0.3">
      <c r="Q4558" s="4"/>
      <c r="R4558" s="4"/>
      <c r="S4558" s="4"/>
      <c r="T4558" s="4"/>
      <c r="U4558" s="4"/>
      <c r="V4558" s="4"/>
      <c r="W4558" s="4"/>
      <c r="X4558" s="4"/>
    </row>
    <row r="4559" spans="17:24" x14ac:dyDescent="0.3">
      <c r="Q4559" s="4"/>
      <c r="R4559" s="4"/>
      <c r="S4559" s="4"/>
      <c r="T4559" s="4"/>
      <c r="U4559" s="4"/>
      <c r="V4559" s="4"/>
      <c r="W4559" s="4"/>
      <c r="X4559" s="4"/>
    </row>
    <row r="4560" spans="17:24" x14ac:dyDescent="0.3">
      <c r="Q4560" s="4"/>
      <c r="R4560" s="4"/>
      <c r="S4560" s="4"/>
      <c r="T4560" s="4"/>
      <c r="U4560" s="4"/>
      <c r="V4560" s="4"/>
      <c r="W4560" s="4"/>
      <c r="X4560" s="4"/>
    </row>
    <row r="4561" spans="17:24" x14ac:dyDescent="0.3">
      <c r="Q4561" s="4"/>
      <c r="R4561" s="4"/>
      <c r="S4561" s="4"/>
      <c r="T4561" s="4"/>
      <c r="U4561" s="4"/>
      <c r="V4561" s="4"/>
      <c r="W4561" s="4"/>
      <c r="X4561" s="4"/>
    </row>
    <row r="4562" spans="17:24" x14ac:dyDescent="0.3">
      <c r="Q4562" s="4"/>
      <c r="R4562" s="4"/>
      <c r="S4562" s="4"/>
      <c r="T4562" s="4"/>
      <c r="U4562" s="4"/>
      <c r="V4562" s="4"/>
      <c r="W4562" s="4"/>
      <c r="X4562" s="4"/>
    </row>
    <row r="4563" spans="17:24" x14ac:dyDescent="0.3">
      <c r="Q4563" s="4"/>
      <c r="R4563" s="4"/>
      <c r="S4563" s="4"/>
      <c r="T4563" s="4"/>
      <c r="U4563" s="4"/>
      <c r="V4563" s="4"/>
      <c r="W4563" s="4"/>
      <c r="X4563" s="4"/>
    </row>
    <row r="4564" spans="17:24" x14ac:dyDescent="0.3">
      <c r="Q4564" s="4"/>
      <c r="R4564" s="4"/>
      <c r="S4564" s="4"/>
      <c r="T4564" s="4"/>
      <c r="U4564" s="4"/>
      <c r="V4564" s="4"/>
      <c r="W4564" s="4"/>
      <c r="X4564" s="4"/>
    </row>
    <row r="4565" spans="17:24" x14ac:dyDescent="0.3">
      <c r="Q4565" s="4"/>
      <c r="R4565" s="4"/>
      <c r="S4565" s="4"/>
      <c r="T4565" s="4"/>
      <c r="U4565" s="4"/>
      <c r="V4565" s="4"/>
      <c r="W4565" s="4"/>
      <c r="X4565" s="4"/>
    </row>
    <row r="4566" spans="17:24" x14ac:dyDescent="0.3">
      <c r="Q4566" s="4"/>
      <c r="R4566" s="4"/>
      <c r="S4566" s="4"/>
      <c r="T4566" s="4"/>
      <c r="U4566" s="4"/>
      <c r="V4566" s="4"/>
      <c r="W4566" s="4"/>
      <c r="X4566" s="4"/>
    </row>
    <row r="4567" spans="17:24" x14ac:dyDescent="0.3">
      <c r="Q4567" s="4"/>
      <c r="R4567" s="4"/>
      <c r="S4567" s="4"/>
      <c r="T4567" s="4"/>
      <c r="U4567" s="4"/>
      <c r="V4567" s="4"/>
      <c r="W4567" s="4"/>
      <c r="X4567" s="4"/>
    </row>
    <row r="4568" spans="17:24" x14ac:dyDescent="0.3">
      <c r="Q4568" s="4"/>
      <c r="R4568" s="4"/>
      <c r="S4568" s="4"/>
      <c r="T4568" s="4"/>
      <c r="U4568" s="4"/>
      <c r="V4568" s="4"/>
      <c r="W4568" s="4"/>
      <c r="X4568" s="4"/>
    </row>
    <row r="4569" spans="17:24" x14ac:dyDescent="0.3">
      <c r="Q4569" s="4"/>
      <c r="R4569" s="4"/>
      <c r="S4569" s="4"/>
      <c r="T4569" s="4"/>
      <c r="U4569" s="4"/>
      <c r="V4569" s="4"/>
      <c r="W4569" s="4"/>
      <c r="X4569" s="4"/>
    </row>
    <row r="4570" spans="17:24" x14ac:dyDescent="0.3">
      <c r="Q4570" s="4"/>
      <c r="R4570" s="4"/>
      <c r="S4570" s="4"/>
      <c r="T4570" s="4"/>
      <c r="U4570" s="4"/>
      <c r="V4570" s="4"/>
      <c r="W4570" s="4"/>
      <c r="X4570" s="4"/>
    </row>
    <row r="4571" spans="17:24" x14ac:dyDescent="0.3">
      <c r="Q4571" s="4"/>
      <c r="R4571" s="4"/>
      <c r="S4571" s="4"/>
      <c r="T4571" s="4"/>
      <c r="U4571" s="4"/>
      <c r="V4571" s="4"/>
      <c r="W4571" s="4"/>
      <c r="X4571" s="4"/>
    </row>
    <row r="4572" spans="17:24" x14ac:dyDescent="0.3">
      <c r="Q4572" s="4"/>
      <c r="R4572" s="4"/>
      <c r="S4572" s="4"/>
      <c r="T4572" s="4"/>
      <c r="U4572" s="4"/>
      <c r="V4572" s="4"/>
      <c r="W4572" s="4"/>
      <c r="X4572" s="4"/>
    </row>
    <row r="4573" spans="17:24" x14ac:dyDescent="0.3">
      <c r="Q4573" s="4"/>
      <c r="R4573" s="4"/>
      <c r="S4573" s="4"/>
      <c r="T4573" s="4"/>
      <c r="U4573" s="4"/>
      <c r="V4573" s="4"/>
      <c r="W4573" s="4"/>
      <c r="X4573" s="4"/>
    </row>
    <row r="4574" spans="17:24" x14ac:dyDescent="0.3">
      <c r="Q4574" s="4"/>
      <c r="R4574" s="4"/>
      <c r="S4574" s="4"/>
      <c r="T4574" s="4"/>
      <c r="U4574" s="4"/>
      <c r="V4574" s="4"/>
      <c r="W4574" s="4"/>
      <c r="X4574" s="4"/>
    </row>
    <row r="4575" spans="17:24" x14ac:dyDescent="0.3">
      <c r="Q4575" s="4"/>
      <c r="R4575" s="4"/>
      <c r="S4575" s="4"/>
      <c r="T4575" s="4"/>
      <c r="U4575" s="4"/>
      <c r="V4575" s="4"/>
      <c r="W4575" s="4"/>
      <c r="X4575" s="4"/>
    </row>
    <row r="4576" spans="17:24" x14ac:dyDescent="0.3">
      <c r="Q4576" s="4"/>
      <c r="R4576" s="4"/>
      <c r="S4576" s="4"/>
      <c r="T4576" s="4"/>
      <c r="U4576" s="4"/>
      <c r="V4576" s="4"/>
      <c r="W4576" s="4"/>
      <c r="X4576" s="4"/>
    </row>
    <row r="4577" spans="17:24" x14ac:dyDescent="0.3">
      <c r="Q4577" s="4"/>
      <c r="R4577" s="4"/>
      <c r="S4577" s="4"/>
      <c r="T4577" s="4"/>
      <c r="U4577" s="4"/>
      <c r="V4577" s="4"/>
      <c r="W4577" s="4"/>
      <c r="X4577" s="4"/>
    </row>
    <row r="4578" spans="17:24" x14ac:dyDescent="0.3">
      <c r="Q4578" s="4"/>
      <c r="R4578" s="4"/>
      <c r="S4578" s="4"/>
      <c r="T4578" s="4"/>
      <c r="U4578" s="4"/>
      <c r="V4578" s="4"/>
      <c r="W4578" s="4"/>
      <c r="X4578" s="4"/>
    </row>
    <row r="4579" spans="17:24" x14ac:dyDescent="0.3">
      <c r="Q4579" s="4"/>
      <c r="R4579" s="4"/>
      <c r="S4579" s="4"/>
      <c r="T4579" s="4"/>
      <c r="U4579" s="4"/>
      <c r="V4579" s="4"/>
      <c r="W4579" s="4"/>
      <c r="X4579" s="4"/>
    </row>
    <row r="4580" spans="17:24" x14ac:dyDescent="0.3">
      <c r="Q4580" s="4"/>
      <c r="R4580" s="4"/>
      <c r="S4580" s="4"/>
      <c r="T4580" s="4"/>
      <c r="U4580" s="4"/>
      <c r="V4580" s="4"/>
      <c r="W4580" s="4"/>
      <c r="X4580" s="4"/>
    </row>
    <row r="4581" spans="17:24" x14ac:dyDescent="0.3">
      <c r="Q4581" s="4"/>
      <c r="R4581" s="4"/>
      <c r="S4581" s="4"/>
      <c r="T4581" s="4"/>
      <c r="U4581" s="4"/>
      <c r="V4581" s="4"/>
      <c r="W4581" s="4"/>
      <c r="X4581" s="4"/>
    </row>
    <row r="4582" spans="17:24" x14ac:dyDescent="0.3">
      <c r="Q4582" s="4"/>
      <c r="R4582" s="4"/>
      <c r="S4582" s="4"/>
      <c r="T4582" s="4"/>
      <c r="U4582" s="4"/>
      <c r="V4582" s="4"/>
      <c r="W4582" s="4"/>
      <c r="X4582" s="4"/>
    </row>
    <row r="4583" spans="17:24" x14ac:dyDescent="0.3">
      <c r="Q4583" s="4"/>
      <c r="R4583" s="4"/>
      <c r="S4583" s="4"/>
      <c r="T4583" s="4"/>
      <c r="U4583" s="4"/>
      <c r="V4583" s="4"/>
      <c r="W4583" s="4"/>
      <c r="X4583" s="4"/>
    </row>
    <row r="4584" spans="17:24" x14ac:dyDescent="0.3">
      <c r="Q4584" s="4"/>
      <c r="R4584" s="4"/>
      <c r="S4584" s="4"/>
      <c r="T4584" s="4"/>
      <c r="U4584" s="4"/>
      <c r="V4584" s="4"/>
      <c r="W4584" s="4"/>
      <c r="X4584" s="4"/>
    </row>
    <row r="4585" spans="17:24" x14ac:dyDescent="0.3">
      <c r="Q4585" s="4"/>
      <c r="R4585" s="4"/>
      <c r="S4585" s="4"/>
      <c r="T4585" s="4"/>
      <c r="U4585" s="4"/>
      <c r="V4585" s="4"/>
      <c r="W4585" s="4"/>
      <c r="X4585" s="4"/>
    </row>
    <row r="4586" spans="17:24" x14ac:dyDescent="0.3">
      <c r="Q4586" s="4"/>
      <c r="R4586" s="4"/>
      <c r="S4586" s="4"/>
      <c r="T4586" s="4"/>
      <c r="U4586" s="4"/>
      <c r="V4586" s="4"/>
      <c r="W4586" s="4"/>
      <c r="X4586" s="4"/>
    </row>
    <row r="4587" spans="17:24" x14ac:dyDescent="0.3">
      <c r="Q4587" s="4"/>
      <c r="R4587" s="4"/>
      <c r="S4587" s="4"/>
      <c r="T4587" s="4"/>
      <c r="U4587" s="4"/>
      <c r="V4587" s="4"/>
      <c r="W4587" s="4"/>
      <c r="X4587" s="4"/>
    </row>
    <row r="4588" spans="17:24" x14ac:dyDescent="0.3">
      <c r="Q4588" s="4"/>
      <c r="R4588" s="4"/>
      <c r="S4588" s="4"/>
      <c r="T4588" s="4"/>
      <c r="U4588" s="4"/>
      <c r="V4588" s="4"/>
      <c r="W4588" s="4"/>
      <c r="X4588" s="4"/>
    </row>
    <row r="4589" spans="17:24" x14ac:dyDescent="0.3">
      <c r="Q4589" s="4"/>
      <c r="R4589" s="4"/>
      <c r="S4589" s="4"/>
      <c r="T4589" s="4"/>
      <c r="U4589" s="4"/>
      <c r="V4589" s="4"/>
      <c r="W4589" s="4"/>
      <c r="X4589" s="4"/>
    </row>
    <row r="4590" spans="17:24" x14ac:dyDescent="0.3">
      <c r="Q4590" s="4"/>
      <c r="R4590" s="4"/>
      <c r="S4590" s="4"/>
      <c r="T4590" s="4"/>
      <c r="U4590" s="4"/>
      <c r="V4590" s="4"/>
      <c r="W4590" s="4"/>
      <c r="X4590" s="4"/>
    </row>
    <row r="4591" spans="17:24" x14ac:dyDescent="0.3">
      <c r="Q4591" s="4"/>
      <c r="R4591" s="4"/>
      <c r="S4591" s="4"/>
      <c r="T4591" s="4"/>
      <c r="U4591" s="4"/>
      <c r="V4591" s="4"/>
      <c r="W4591" s="4"/>
      <c r="X4591" s="4"/>
    </row>
    <row r="4592" spans="17:24" x14ac:dyDescent="0.3">
      <c r="Q4592" s="4"/>
      <c r="R4592" s="4"/>
      <c r="S4592" s="4"/>
      <c r="T4592" s="4"/>
      <c r="U4592" s="4"/>
      <c r="V4592" s="4"/>
      <c r="W4592" s="4"/>
      <c r="X4592" s="4"/>
    </row>
    <row r="4593" spans="17:24" x14ac:dyDescent="0.3">
      <c r="Q4593" s="4"/>
      <c r="R4593" s="4"/>
      <c r="S4593" s="4"/>
      <c r="T4593" s="4"/>
      <c r="U4593" s="4"/>
      <c r="V4593" s="4"/>
      <c r="W4593" s="4"/>
      <c r="X4593" s="4"/>
    </row>
    <row r="4594" spans="17:24" x14ac:dyDescent="0.3">
      <c r="Q4594" s="4"/>
      <c r="R4594" s="4"/>
      <c r="S4594" s="4"/>
      <c r="T4594" s="4"/>
      <c r="U4594" s="4"/>
      <c r="V4594" s="4"/>
      <c r="W4594" s="4"/>
      <c r="X4594" s="4"/>
    </row>
    <row r="4595" spans="17:24" x14ac:dyDescent="0.3">
      <c r="Q4595" s="4"/>
      <c r="R4595" s="4"/>
      <c r="S4595" s="4"/>
      <c r="T4595" s="4"/>
      <c r="U4595" s="4"/>
      <c r="V4595" s="4"/>
      <c r="W4595" s="4"/>
      <c r="X4595" s="4"/>
    </row>
    <row r="4596" spans="17:24" x14ac:dyDescent="0.3">
      <c r="Q4596" s="4"/>
      <c r="R4596" s="4"/>
      <c r="S4596" s="4"/>
      <c r="T4596" s="4"/>
      <c r="U4596" s="4"/>
      <c r="V4596" s="4"/>
      <c r="W4596" s="4"/>
      <c r="X4596" s="4"/>
    </row>
    <row r="4597" spans="17:24" x14ac:dyDescent="0.3">
      <c r="Q4597" s="4"/>
      <c r="R4597" s="4"/>
      <c r="S4597" s="4"/>
      <c r="T4597" s="4"/>
      <c r="U4597" s="4"/>
      <c r="V4597" s="4"/>
      <c r="W4597" s="4"/>
      <c r="X4597" s="4"/>
    </row>
    <row r="4598" spans="17:24" x14ac:dyDescent="0.3">
      <c r="Q4598" s="4"/>
      <c r="R4598" s="4"/>
      <c r="S4598" s="4"/>
      <c r="T4598" s="4"/>
      <c r="U4598" s="4"/>
      <c r="V4598" s="4"/>
      <c r="W4598" s="4"/>
      <c r="X4598" s="4"/>
    </row>
    <row r="4599" spans="17:24" x14ac:dyDescent="0.3">
      <c r="Q4599" s="4"/>
      <c r="R4599" s="4"/>
      <c r="S4599" s="4"/>
      <c r="T4599" s="4"/>
      <c r="U4599" s="4"/>
      <c r="V4599" s="4"/>
      <c r="W4599" s="4"/>
      <c r="X4599" s="4"/>
    </row>
    <row r="4600" spans="17:24" x14ac:dyDescent="0.3">
      <c r="Q4600" s="4"/>
      <c r="R4600" s="4"/>
      <c r="S4600" s="4"/>
      <c r="T4600" s="4"/>
      <c r="U4600" s="4"/>
      <c r="V4600" s="4"/>
      <c r="W4600" s="4"/>
      <c r="X4600" s="4"/>
    </row>
    <row r="4601" spans="17:24" x14ac:dyDescent="0.3">
      <c r="Q4601" s="4"/>
      <c r="R4601" s="4"/>
      <c r="S4601" s="4"/>
      <c r="T4601" s="4"/>
      <c r="U4601" s="4"/>
      <c r="V4601" s="4"/>
      <c r="W4601" s="4"/>
      <c r="X4601" s="4"/>
    </row>
    <row r="4602" spans="17:24" x14ac:dyDescent="0.3">
      <c r="Q4602" s="4"/>
      <c r="R4602" s="4"/>
      <c r="S4602" s="4"/>
      <c r="T4602" s="4"/>
      <c r="U4602" s="4"/>
      <c r="V4602" s="4"/>
      <c r="W4602" s="4"/>
      <c r="X4602" s="4"/>
    </row>
    <row r="4603" spans="17:24" x14ac:dyDescent="0.3">
      <c r="Q4603" s="4"/>
      <c r="R4603" s="4"/>
      <c r="S4603" s="4"/>
      <c r="T4603" s="4"/>
      <c r="U4603" s="4"/>
      <c r="V4603" s="4"/>
      <c r="W4603" s="4"/>
      <c r="X4603" s="4"/>
    </row>
    <row r="4604" spans="17:24" x14ac:dyDescent="0.3">
      <c r="Q4604" s="4"/>
      <c r="R4604" s="4"/>
      <c r="S4604" s="4"/>
      <c r="T4604" s="4"/>
      <c r="U4604" s="4"/>
      <c r="V4604" s="4"/>
      <c r="W4604" s="4"/>
      <c r="X4604" s="4"/>
    </row>
    <row r="4605" spans="17:24" x14ac:dyDescent="0.3">
      <c r="Q4605" s="4"/>
      <c r="R4605" s="4"/>
      <c r="S4605" s="4"/>
      <c r="T4605" s="4"/>
      <c r="U4605" s="4"/>
      <c r="V4605" s="4"/>
      <c r="W4605" s="4"/>
      <c r="X4605" s="4"/>
    </row>
    <row r="4606" spans="17:24" x14ac:dyDescent="0.3">
      <c r="Q4606" s="4"/>
      <c r="R4606" s="4"/>
      <c r="S4606" s="4"/>
      <c r="T4606" s="4"/>
      <c r="U4606" s="4"/>
      <c r="V4606" s="4"/>
      <c r="W4606" s="4"/>
      <c r="X4606" s="4"/>
    </row>
    <row r="4607" spans="17:24" x14ac:dyDescent="0.3">
      <c r="Q4607" s="4"/>
      <c r="R4607" s="4"/>
      <c r="S4607" s="4"/>
      <c r="T4607" s="4"/>
      <c r="U4607" s="4"/>
      <c r="V4607" s="4"/>
      <c r="W4607" s="4"/>
      <c r="X4607" s="4"/>
    </row>
    <row r="4608" spans="17:24" x14ac:dyDescent="0.3">
      <c r="Q4608" s="4"/>
      <c r="R4608" s="4"/>
      <c r="S4608" s="4"/>
      <c r="T4608" s="4"/>
      <c r="U4608" s="4"/>
      <c r="V4608" s="4"/>
      <c r="W4608" s="4"/>
      <c r="X4608" s="4"/>
    </row>
    <row r="4609" spans="17:24" x14ac:dyDescent="0.3">
      <c r="Q4609" s="4"/>
      <c r="R4609" s="4"/>
      <c r="S4609" s="4"/>
      <c r="T4609" s="4"/>
      <c r="U4609" s="4"/>
      <c r="V4609" s="4"/>
      <c r="W4609" s="4"/>
      <c r="X4609" s="4"/>
    </row>
    <row r="4610" spans="17:24" x14ac:dyDescent="0.3">
      <c r="Q4610" s="4"/>
      <c r="R4610" s="4"/>
      <c r="S4610" s="4"/>
      <c r="T4610" s="4"/>
      <c r="U4610" s="4"/>
      <c r="V4610" s="4"/>
      <c r="W4610" s="4"/>
      <c r="X4610" s="4"/>
    </row>
    <row r="4611" spans="17:24" x14ac:dyDescent="0.3">
      <c r="Q4611" s="4"/>
      <c r="R4611" s="4"/>
      <c r="S4611" s="4"/>
      <c r="T4611" s="4"/>
      <c r="U4611" s="4"/>
      <c r="V4611" s="4"/>
      <c r="W4611" s="4"/>
      <c r="X4611" s="4"/>
    </row>
    <row r="4612" spans="17:24" x14ac:dyDescent="0.3">
      <c r="Q4612" s="4"/>
      <c r="R4612" s="4"/>
      <c r="S4612" s="4"/>
      <c r="T4612" s="4"/>
      <c r="U4612" s="4"/>
      <c r="V4612" s="4"/>
      <c r="W4612" s="4"/>
      <c r="X4612" s="4"/>
    </row>
    <row r="4613" spans="17:24" x14ac:dyDescent="0.3">
      <c r="Q4613" s="4"/>
      <c r="R4613" s="4"/>
      <c r="S4613" s="4"/>
      <c r="T4613" s="4"/>
      <c r="U4613" s="4"/>
      <c r="V4613" s="4"/>
      <c r="W4613" s="4"/>
      <c r="X4613" s="4"/>
    </row>
    <row r="4614" spans="17:24" x14ac:dyDescent="0.3">
      <c r="Q4614" s="4"/>
      <c r="R4614" s="4"/>
      <c r="S4614" s="4"/>
      <c r="T4614" s="4"/>
      <c r="U4614" s="4"/>
      <c r="V4614" s="4"/>
      <c r="W4614" s="4"/>
      <c r="X4614" s="4"/>
    </row>
    <row r="4615" spans="17:24" x14ac:dyDescent="0.3">
      <c r="Q4615" s="4"/>
      <c r="R4615" s="4"/>
      <c r="S4615" s="4"/>
      <c r="T4615" s="4"/>
      <c r="U4615" s="4"/>
      <c r="V4615" s="4"/>
      <c r="W4615" s="4"/>
      <c r="X4615" s="4"/>
    </row>
    <row r="4616" spans="17:24" x14ac:dyDescent="0.3">
      <c r="Q4616" s="4"/>
      <c r="R4616" s="4"/>
      <c r="S4616" s="4"/>
      <c r="T4616" s="4"/>
      <c r="U4616" s="4"/>
      <c r="V4616" s="4"/>
      <c r="W4616" s="4"/>
      <c r="X4616" s="4"/>
    </row>
    <row r="4617" spans="17:24" x14ac:dyDescent="0.3">
      <c r="Q4617" s="4"/>
      <c r="R4617" s="4"/>
      <c r="S4617" s="4"/>
      <c r="T4617" s="4"/>
      <c r="U4617" s="4"/>
      <c r="V4617" s="4"/>
      <c r="W4617" s="4"/>
      <c r="X4617" s="4"/>
    </row>
    <row r="4618" spans="17:24" x14ac:dyDescent="0.3">
      <c r="Q4618" s="4"/>
      <c r="R4618" s="4"/>
      <c r="S4618" s="4"/>
      <c r="T4618" s="4"/>
      <c r="U4618" s="4"/>
      <c r="V4618" s="4"/>
      <c r="W4618" s="4"/>
      <c r="X4618" s="4"/>
    </row>
    <row r="4619" spans="17:24" x14ac:dyDescent="0.3">
      <c r="Q4619" s="4"/>
      <c r="R4619" s="4"/>
      <c r="S4619" s="4"/>
      <c r="T4619" s="4"/>
      <c r="U4619" s="4"/>
      <c r="V4619" s="4"/>
      <c r="W4619" s="4"/>
      <c r="X4619" s="4"/>
    </row>
    <row r="4620" spans="17:24" x14ac:dyDescent="0.3">
      <c r="Q4620" s="4"/>
      <c r="R4620" s="4"/>
      <c r="S4620" s="4"/>
      <c r="T4620" s="4"/>
      <c r="U4620" s="4"/>
      <c r="V4620" s="4"/>
      <c r="W4620" s="4"/>
      <c r="X4620" s="4"/>
    </row>
    <row r="4621" spans="17:24" x14ac:dyDescent="0.3">
      <c r="Q4621" s="4"/>
      <c r="R4621" s="4"/>
      <c r="S4621" s="4"/>
      <c r="T4621" s="4"/>
      <c r="U4621" s="4"/>
      <c r="V4621" s="4"/>
      <c r="W4621" s="4"/>
      <c r="X4621" s="4"/>
    </row>
    <row r="4622" spans="17:24" x14ac:dyDescent="0.3">
      <c r="Q4622" s="4"/>
      <c r="R4622" s="4"/>
      <c r="S4622" s="4"/>
      <c r="T4622" s="4"/>
      <c r="U4622" s="4"/>
      <c r="V4622" s="4"/>
      <c r="W4622" s="4"/>
      <c r="X4622" s="4"/>
    </row>
    <row r="4623" spans="17:24" x14ac:dyDescent="0.3">
      <c r="Q4623" s="4"/>
      <c r="R4623" s="4"/>
      <c r="S4623" s="4"/>
      <c r="T4623" s="4"/>
      <c r="U4623" s="4"/>
      <c r="V4623" s="4"/>
      <c r="W4623" s="4"/>
      <c r="X4623" s="4"/>
    </row>
    <row r="4624" spans="17:24" x14ac:dyDescent="0.3">
      <c r="Q4624" s="4"/>
      <c r="R4624" s="4"/>
      <c r="S4624" s="4"/>
      <c r="T4624" s="4"/>
      <c r="U4624" s="4"/>
      <c r="V4624" s="4"/>
      <c r="W4624" s="4"/>
      <c r="X4624" s="4"/>
    </row>
    <row r="4625" spans="17:24" x14ac:dyDescent="0.3">
      <c r="Q4625" s="4"/>
      <c r="R4625" s="4"/>
      <c r="S4625" s="4"/>
      <c r="T4625" s="4"/>
      <c r="U4625" s="4"/>
      <c r="V4625" s="4"/>
      <c r="W4625" s="4"/>
      <c r="X4625" s="4"/>
    </row>
    <row r="4626" spans="17:24" x14ac:dyDescent="0.3">
      <c r="Q4626" s="4"/>
      <c r="R4626" s="4"/>
      <c r="S4626" s="4"/>
      <c r="T4626" s="4"/>
      <c r="U4626" s="4"/>
      <c r="V4626" s="4"/>
      <c r="W4626" s="4"/>
      <c r="X4626" s="4"/>
    </row>
    <row r="4627" spans="17:24" x14ac:dyDescent="0.3">
      <c r="Q4627" s="4"/>
      <c r="R4627" s="4"/>
      <c r="S4627" s="4"/>
      <c r="T4627" s="4"/>
      <c r="U4627" s="4"/>
      <c r="V4627" s="4"/>
      <c r="W4627" s="4"/>
      <c r="X4627" s="4"/>
    </row>
    <row r="4628" spans="17:24" x14ac:dyDescent="0.3">
      <c r="Q4628" s="4"/>
      <c r="R4628" s="4"/>
      <c r="S4628" s="4"/>
      <c r="T4628" s="4"/>
      <c r="U4628" s="4"/>
      <c r="V4628" s="4"/>
      <c r="W4628" s="4"/>
      <c r="X4628" s="4"/>
    </row>
    <row r="4629" spans="17:24" x14ac:dyDescent="0.3">
      <c r="Q4629" s="4"/>
      <c r="R4629" s="4"/>
      <c r="S4629" s="4"/>
      <c r="T4629" s="4"/>
      <c r="U4629" s="4"/>
      <c r="V4629" s="4"/>
      <c r="W4629" s="4"/>
      <c r="X4629" s="4"/>
    </row>
    <row r="4630" spans="17:24" x14ac:dyDescent="0.3">
      <c r="Q4630" s="4"/>
      <c r="R4630" s="4"/>
      <c r="S4630" s="4"/>
      <c r="T4630" s="4"/>
      <c r="U4630" s="4"/>
      <c r="V4630" s="4"/>
      <c r="W4630" s="4"/>
      <c r="X4630" s="4"/>
    </row>
    <row r="4631" spans="17:24" x14ac:dyDescent="0.3">
      <c r="Q4631" s="4"/>
      <c r="R4631" s="4"/>
      <c r="S4631" s="4"/>
      <c r="T4631" s="4"/>
      <c r="U4631" s="4"/>
      <c r="V4631" s="4"/>
      <c r="W4631" s="4"/>
      <c r="X4631" s="4"/>
    </row>
    <row r="4632" spans="17:24" x14ac:dyDescent="0.3">
      <c r="Q4632" s="4"/>
      <c r="R4632" s="4"/>
      <c r="S4632" s="4"/>
      <c r="T4632" s="4"/>
      <c r="U4632" s="4"/>
      <c r="V4632" s="4"/>
      <c r="W4632" s="4"/>
      <c r="X4632" s="4"/>
    </row>
    <row r="4633" spans="17:24" x14ac:dyDescent="0.3">
      <c r="Q4633" s="4"/>
      <c r="R4633" s="4"/>
      <c r="S4633" s="4"/>
      <c r="T4633" s="4"/>
      <c r="U4633" s="4"/>
      <c r="V4633" s="4"/>
      <c r="W4633" s="4"/>
      <c r="X4633" s="4"/>
    </row>
    <row r="4634" spans="17:24" x14ac:dyDescent="0.3">
      <c r="Q4634" s="4"/>
      <c r="R4634" s="4"/>
      <c r="S4634" s="4"/>
      <c r="T4634" s="4"/>
      <c r="U4634" s="4"/>
      <c r="V4634" s="4"/>
      <c r="W4634" s="4"/>
      <c r="X4634" s="4"/>
    </row>
    <row r="4635" spans="17:24" x14ac:dyDescent="0.3">
      <c r="Q4635" s="4"/>
      <c r="R4635" s="4"/>
      <c r="S4635" s="4"/>
      <c r="T4635" s="4"/>
      <c r="U4635" s="4"/>
      <c r="V4635" s="4"/>
      <c r="W4635" s="4"/>
      <c r="X4635" s="4"/>
    </row>
    <row r="4636" spans="17:24" x14ac:dyDescent="0.3">
      <c r="Q4636" s="4"/>
      <c r="R4636" s="4"/>
      <c r="S4636" s="4"/>
      <c r="T4636" s="4"/>
      <c r="U4636" s="4"/>
      <c r="V4636" s="4"/>
      <c r="W4636" s="4"/>
      <c r="X4636" s="4"/>
    </row>
    <row r="4637" spans="17:24" x14ac:dyDescent="0.3">
      <c r="Q4637" s="4"/>
      <c r="R4637" s="4"/>
      <c r="S4637" s="4"/>
      <c r="T4637" s="4"/>
      <c r="U4637" s="4"/>
      <c r="V4637" s="4"/>
      <c r="W4637" s="4"/>
      <c r="X4637" s="4"/>
    </row>
    <row r="4638" spans="17:24" x14ac:dyDescent="0.3">
      <c r="Q4638" s="4"/>
      <c r="R4638" s="4"/>
      <c r="S4638" s="4"/>
      <c r="T4638" s="4"/>
      <c r="U4638" s="4"/>
      <c r="V4638" s="4"/>
      <c r="W4638" s="4"/>
      <c r="X4638" s="4"/>
    </row>
    <row r="4639" spans="17:24" x14ac:dyDescent="0.3">
      <c r="Q4639" s="4"/>
      <c r="R4639" s="4"/>
      <c r="S4639" s="4"/>
      <c r="T4639" s="4"/>
      <c r="U4639" s="4"/>
      <c r="V4639" s="4"/>
      <c r="W4639" s="4"/>
      <c r="X4639" s="4"/>
    </row>
    <row r="4640" spans="17:24" x14ac:dyDescent="0.3">
      <c r="Q4640" s="4"/>
      <c r="R4640" s="4"/>
      <c r="S4640" s="4"/>
      <c r="T4640" s="4"/>
      <c r="U4640" s="4"/>
      <c r="V4640" s="4"/>
      <c r="W4640" s="4"/>
      <c r="X4640" s="4"/>
    </row>
    <row r="4641" spans="17:24" x14ac:dyDescent="0.3">
      <c r="Q4641" s="4"/>
      <c r="R4641" s="4"/>
      <c r="S4641" s="4"/>
      <c r="T4641" s="4"/>
      <c r="U4641" s="4"/>
      <c r="V4641" s="4"/>
      <c r="W4641" s="4"/>
      <c r="X4641" s="4"/>
    </row>
    <row r="4642" spans="17:24" x14ac:dyDescent="0.3">
      <c r="Q4642" s="4"/>
      <c r="R4642" s="4"/>
      <c r="S4642" s="4"/>
      <c r="T4642" s="4"/>
      <c r="U4642" s="4"/>
      <c r="V4642" s="4"/>
      <c r="W4642" s="4"/>
      <c r="X4642" s="4"/>
    </row>
    <row r="4643" spans="17:24" x14ac:dyDescent="0.3">
      <c r="Q4643" s="4"/>
      <c r="R4643" s="4"/>
      <c r="S4643" s="4"/>
      <c r="T4643" s="4"/>
      <c r="U4643" s="4"/>
      <c r="V4643" s="4"/>
      <c r="W4643" s="4"/>
      <c r="X4643" s="4"/>
    </row>
    <row r="4644" spans="17:24" x14ac:dyDescent="0.3">
      <c r="Q4644" s="4"/>
      <c r="R4644" s="4"/>
      <c r="S4644" s="4"/>
      <c r="T4644" s="4"/>
      <c r="U4644" s="4"/>
      <c r="V4644" s="4"/>
      <c r="W4644" s="4"/>
      <c r="X4644" s="4"/>
    </row>
    <row r="4645" spans="17:24" x14ac:dyDescent="0.3">
      <c r="Q4645" s="4"/>
      <c r="R4645" s="4"/>
      <c r="S4645" s="4"/>
      <c r="T4645" s="4"/>
      <c r="U4645" s="4"/>
      <c r="V4645" s="4"/>
      <c r="W4645" s="4"/>
      <c r="X4645" s="4"/>
    </row>
    <row r="4646" spans="17:24" x14ac:dyDescent="0.3">
      <c r="Q4646" s="4"/>
      <c r="R4646" s="4"/>
      <c r="S4646" s="4"/>
      <c r="T4646" s="4"/>
      <c r="U4646" s="4"/>
      <c r="V4646" s="4"/>
      <c r="W4646" s="4"/>
      <c r="X4646" s="4"/>
    </row>
    <row r="4647" spans="17:24" x14ac:dyDescent="0.3">
      <c r="Q4647" s="4"/>
      <c r="R4647" s="4"/>
      <c r="S4647" s="4"/>
      <c r="T4647" s="4"/>
      <c r="U4647" s="4"/>
      <c r="V4647" s="4"/>
      <c r="W4647" s="4"/>
      <c r="X4647" s="4"/>
    </row>
    <row r="4648" spans="17:24" x14ac:dyDescent="0.3">
      <c r="Q4648" s="4"/>
      <c r="R4648" s="4"/>
      <c r="S4648" s="4"/>
      <c r="T4648" s="4"/>
      <c r="U4648" s="4"/>
      <c r="V4648" s="4"/>
      <c r="W4648" s="4"/>
      <c r="X4648" s="4"/>
    </row>
    <row r="4649" spans="17:24" x14ac:dyDescent="0.3">
      <c r="Q4649" s="4"/>
      <c r="R4649" s="4"/>
      <c r="S4649" s="4"/>
      <c r="T4649" s="4"/>
      <c r="U4649" s="4"/>
      <c r="V4649" s="4"/>
      <c r="W4649" s="4"/>
      <c r="X4649" s="4"/>
    </row>
    <row r="4650" spans="17:24" x14ac:dyDescent="0.3">
      <c r="Q4650" s="4"/>
      <c r="R4650" s="4"/>
      <c r="S4650" s="4"/>
      <c r="T4650" s="4"/>
      <c r="U4650" s="4"/>
      <c r="V4650" s="4"/>
      <c r="W4650" s="4"/>
      <c r="X4650" s="4"/>
    </row>
    <row r="4651" spans="17:24" x14ac:dyDescent="0.3">
      <c r="Q4651" s="4"/>
      <c r="R4651" s="4"/>
      <c r="S4651" s="4"/>
      <c r="T4651" s="4"/>
      <c r="U4651" s="4"/>
      <c r="V4651" s="4"/>
      <c r="W4651" s="4"/>
      <c r="X4651" s="4"/>
    </row>
    <row r="4652" spans="17:24" x14ac:dyDescent="0.3">
      <c r="Q4652" s="4"/>
      <c r="R4652" s="4"/>
      <c r="S4652" s="4"/>
      <c r="T4652" s="4"/>
      <c r="U4652" s="4"/>
      <c r="V4652" s="4"/>
      <c r="W4652" s="4"/>
      <c r="X4652" s="4"/>
    </row>
    <row r="4653" spans="17:24" x14ac:dyDescent="0.3">
      <c r="Q4653" s="4"/>
      <c r="R4653" s="4"/>
      <c r="S4653" s="4"/>
      <c r="T4653" s="4"/>
      <c r="U4653" s="4"/>
      <c r="V4653" s="4"/>
      <c r="W4653" s="4"/>
      <c r="X4653" s="4"/>
    </row>
    <row r="4654" spans="17:24" x14ac:dyDescent="0.3">
      <c r="Q4654" s="4"/>
      <c r="R4654" s="4"/>
      <c r="S4654" s="4"/>
      <c r="T4654" s="4"/>
      <c r="U4654" s="4"/>
      <c r="V4654" s="4"/>
      <c r="W4654" s="4"/>
      <c r="X4654" s="4"/>
    </row>
    <row r="4655" spans="17:24" x14ac:dyDescent="0.3">
      <c r="Q4655" s="4"/>
      <c r="R4655" s="4"/>
      <c r="S4655" s="4"/>
      <c r="T4655" s="4"/>
      <c r="U4655" s="4"/>
      <c r="V4655" s="4"/>
      <c r="W4655" s="4"/>
      <c r="X4655" s="4"/>
    </row>
    <row r="4656" spans="17:24" x14ac:dyDescent="0.3">
      <c r="Q4656" s="4"/>
      <c r="R4656" s="4"/>
      <c r="S4656" s="4"/>
      <c r="T4656" s="4"/>
      <c r="U4656" s="4"/>
      <c r="V4656" s="4"/>
      <c r="W4656" s="4"/>
      <c r="X4656" s="4"/>
    </row>
    <row r="4657" spans="17:24" x14ac:dyDescent="0.3">
      <c r="Q4657" s="4"/>
      <c r="R4657" s="4"/>
      <c r="S4657" s="4"/>
      <c r="T4657" s="4"/>
      <c r="U4657" s="4"/>
      <c r="V4657" s="4"/>
      <c r="W4657" s="4"/>
      <c r="X4657" s="4"/>
    </row>
    <row r="4658" spans="17:24" x14ac:dyDescent="0.3">
      <c r="Q4658" s="4"/>
      <c r="R4658" s="4"/>
      <c r="S4658" s="4"/>
      <c r="T4658" s="4"/>
      <c r="U4658" s="4"/>
      <c r="V4658" s="4"/>
      <c r="W4658" s="4"/>
      <c r="X4658" s="4"/>
    </row>
    <row r="4659" spans="17:24" x14ac:dyDescent="0.3">
      <c r="Q4659" s="4"/>
      <c r="R4659" s="4"/>
      <c r="S4659" s="4"/>
      <c r="T4659" s="4"/>
      <c r="U4659" s="4"/>
      <c r="V4659" s="4"/>
      <c r="W4659" s="4"/>
      <c r="X4659" s="4"/>
    </row>
    <row r="4660" spans="17:24" x14ac:dyDescent="0.3">
      <c r="Q4660" s="4"/>
      <c r="R4660" s="4"/>
      <c r="S4660" s="4"/>
      <c r="T4660" s="4"/>
      <c r="U4660" s="4"/>
      <c r="V4660" s="4"/>
      <c r="W4660" s="4"/>
      <c r="X4660" s="4"/>
    </row>
    <row r="4661" spans="17:24" x14ac:dyDescent="0.3">
      <c r="Q4661" s="4"/>
      <c r="R4661" s="4"/>
      <c r="S4661" s="4"/>
      <c r="T4661" s="4"/>
      <c r="U4661" s="4"/>
      <c r="V4661" s="4"/>
      <c r="W4661" s="4"/>
      <c r="X4661" s="4"/>
    </row>
    <row r="4662" spans="17:24" x14ac:dyDescent="0.3">
      <c r="Q4662" s="4"/>
      <c r="R4662" s="4"/>
      <c r="S4662" s="4"/>
      <c r="T4662" s="4"/>
      <c r="U4662" s="4"/>
      <c r="V4662" s="4"/>
      <c r="W4662" s="4"/>
      <c r="X4662" s="4"/>
    </row>
    <row r="4663" spans="17:24" x14ac:dyDescent="0.3">
      <c r="Q4663" s="4"/>
      <c r="R4663" s="4"/>
      <c r="S4663" s="4"/>
      <c r="T4663" s="4"/>
      <c r="U4663" s="4"/>
      <c r="V4663" s="4"/>
      <c r="W4663" s="4"/>
      <c r="X4663" s="4"/>
    </row>
    <row r="4664" spans="17:24" x14ac:dyDescent="0.3">
      <c r="Q4664" s="4"/>
      <c r="R4664" s="4"/>
      <c r="S4664" s="4"/>
      <c r="T4664" s="4"/>
      <c r="U4664" s="4"/>
      <c r="V4664" s="4"/>
      <c r="W4664" s="4"/>
      <c r="X4664" s="4"/>
    </row>
    <row r="4665" spans="17:24" x14ac:dyDescent="0.3">
      <c r="Q4665" s="4"/>
      <c r="R4665" s="4"/>
      <c r="S4665" s="4"/>
      <c r="T4665" s="4"/>
      <c r="U4665" s="4"/>
      <c r="V4665" s="4"/>
      <c r="W4665" s="4"/>
      <c r="X4665" s="4"/>
    </row>
    <row r="4666" spans="17:24" x14ac:dyDescent="0.3">
      <c r="Q4666" s="4"/>
      <c r="R4666" s="4"/>
      <c r="S4666" s="4"/>
      <c r="T4666" s="4"/>
      <c r="U4666" s="4"/>
      <c r="V4666" s="4"/>
      <c r="W4666" s="4"/>
      <c r="X4666" s="4"/>
    </row>
    <row r="4667" spans="17:24" x14ac:dyDescent="0.3">
      <c r="Q4667" s="4"/>
      <c r="R4667" s="4"/>
      <c r="S4667" s="4"/>
      <c r="T4667" s="4"/>
      <c r="U4667" s="4"/>
      <c r="V4667" s="4"/>
      <c r="W4667" s="4"/>
      <c r="X4667" s="4"/>
    </row>
    <row r="4668" spans="17:24" x14ac:dyDescent="0.3">
      <c r="Q4668" s="4"/>
      <c r="R4668" s="4"/>
      <c r="S4668" s="4"/>
      <c r="T4668" s="4"/>
      <c r="U4668" s="4"/>
      <c r="V4668" s="4"/>
      <c r="W4668" s="4"/>
      <c r="X4668" s="4"/>
    </row>
    <row r="4669" spans="17:24" x14ac:dyDescent="0.3">
      <c r="Q4669" s="4"/>
      <c r="R4669" s="4"/>
      <c r="S4669" s="4"/>
      <c r="T4669" s="4"/>
      <c r="U4669" s="4"/>
      <c r="V4669" s="4"/>
      <c r="W4669" s="4"/>
      <c r="X4669" s="4"/>
    </row>
    <row r="4670" spans="17:24" x14ac:dyDescent="0.3">
      <c r="Q4670" s="4"/>
      <c r="R4670" s="4"/>
      <c r="S4670" s="4"/>
      <c r="T4670" s="4"/>
      <c r="U4670" s="4"/>
      <c r="V4670" s="4"/>
      <c r="W4670" s="4"/>
      <c r="X4670" s="4"/>
    </row>
    <row r="4671" spans="17:24" x14ac:dyDescent="0.3">
      <c r="Q4671" s="4"/>
      <c r="R4671" s="4"/>
      <c r="S4671" s="4"/>
      <c r="T4671" s="4"/>
      <c r="U4671" s="4"/>
      <c r="V4671" s="4"/>
      <c r="W4671" s="4"/>
      <c r="X4671" s="4"/>
    </row>
    <row r="4672" spans="17:24" x14ac:dyDescent="0.3">
      <c r="Q4672" s="4"/>
      <c r="R4672" s="4"/>
      <c r="S4672" s="4"/>
      <c r="T4672" s="4"/>
      <c r="U4672" s="4"/>
      <c r="V4672" s="4"/>
      <c r="W4672" s="4"/>
      <c r="X4672" s="4"/>
    </row>
    <row r="4673" spans="17:24" x14ac:dyDescent="0.3">
      <c r="Q4673" s="4"/>
      <c r="R4673" s="4"/>
      <c r="S4673" s="4"/>
      <c r="T4673" s="4"/>
      <c r="U4673" s="4"/>
      <c r="V4673" s="4"/>
      <c r="W4673" s="4"/>
      <c r="X4673" s="4"/>
    </row>
    <row r="4674" spans="17:24" x14ac:dyDescent="0.3">
      <c r="Q4674" s="4"/>
      <c r="R4674" s="4"/>
      <c r="S4674" s="4"/>
      <c r="T4674" s="4"/>
      <c r="U4674" s="4"/>
      <c r="V4674" s="4"/>
      <c r="W4674" s="4"/>
      <c r="X4674" s="4"/>
    </row>
    <row r="4675" spans="17:24" x14ac:dyDescent="0.3">
      <c r="Q4675" s="4"/>
      <c r="R4675" s="4"/>
      <c r="S4675" s="4"/>
      <c r="T4675" s="4"/>
      <c r="U4675" s="4"/>
      <c r="V4675" s="4"/>
      <c r="W4675" s="4"/>
      <c r="X4675" s="4"/>
    </row>
    <row r="4676" spans="17:24" x14ac:dyDescent="0.3">
      <c r="Q4676" s="4"/>
      <c r="R4676" s="4"/>
      <c r="S4676" s="4"/>
      <c r="T4676" s="4"/>
      <c r="U4676" s="4"/>
      <c r="V4676" s="4"/>
      <c r="W4676" s="4"/>
      <c r="X4676" s="4"/>
    </row>
    <row r="4677" spans="17:24" x14ac:dyDescent="0.3">
      <c r="Q4677" s="4"/>
      <c r="R4677" s="4"/>
      <c r="S4677" s="4"/>
      <c r="T4677" s="4"/>
      <c r="U4677" s="4"/>
      <c r="V4677" s="4"/>
      <c r="W4677" s="4"/>
      <c r="X4677" s="4"/>
    </row>
    <row r="4678" spans="17:24" x14ac:dyDescent="0.3">
      <c r="Q4678" s="4"/>
      <c r="R4678" s="4"/>
      <c r="S4678" s="4"/>
      <c r="T4678" s="4"/>
      <c r="U4678" s="4"/>
      <c r="V4678" s="4"/>
      <c r="W4678" s="4"/>
      <c r="X4678" s="4"/>
    </row>
    <row r="4679" spans="17:24" x14ac:dyDescent="0.3">
      <c r="Q4679" s="4"/>
      <c r="R4679" s="4"/>
      <c r="S4679" s="4"/>
      <c r="T4679" s="4"/>
      <c r="U4679" s="4"/>
      <c r="V4679" s="4"/>
      <c r="W4679" s="4"/>
      <c r="X4679" s="4"/>
    </row>
    <row r="4680" spans="17:24" x14ac:dyDescent="0.3">
      <c r="Q4680" s="4"/>
      <c r="R4680" s="4"/>
      <c r="S4680" s="4"/>
      <c r="T4680" s="4"/>
      <c r="U4680" s="4"/>
      <c r="V4680" s="4"/>
      <c r="W4680" s="4"/>
      <c r="X4680" s="4"/>
    </row>
    <row r="4681" spans="17:24" x14ac:dyDescent="0.3">
      <c r="Q4681" s="4"/>
      <c r="R4681" s="4"/>
      <c r="S4681" s="4"/>
      <c r="T4681" s="4"/>
      <c r="U4681" s="4"/>
      <c r="V4681" s="4"/>
      <c r="W4681" s="4"/>
      <c r="X4681" s="4"/>
    </row>
    <row r="4682" spans="17:24" x14ac:dyDescent="0.3">
      <c r="Q4682" s="4"/>
      <c r="R4682" s="4"/>
      <c r="S4682" s="4"/>
      <c r="T4682" s="4"/>
      <c r="U4682" s="4"/>
      <c r="V4682" s="4"/>
      <c r="W4682" s="4"/>
      <c r="X4682" s="4"/>
    </row>
    <row r="4683" spans="17:24" x14ac:dyDescent="0.3">
      <c r="Q4683" s="4"/>
      <c r="R4683" s="4"/>
      <c r="S4683" s="4"/>
      <c r="T4683" s="4"/>
      <c r="U4683" s="4"/>
      <c r="V4683" s="4"/>
      <c r="W4683" s="4"/>
      <c r="X4683" s="4"/>
    </row>
    <row r="4684" spans="17:24" x14ac:dyDescent="0.3">
      <c r="Q4684" s="4"/>
      <c r="R4684" s="4"/>
      <c r="S4684" s="4"/>
      <c r="T4684" s="4"/>
      <c r="U4684" s="4"/>
      <c r="V4684" s="4"/>
      <c r="W4684" s="4"/>
      <c r="X4684" s="4"/>
    </row>
    <row r="4685" spans="17:24" x14ac:dyDescent="0.3">
      <c r="Q4685" s="4"/>
      <c r="R4685" s="4"/>
      <c r="S4685" s="4"/>
      <c r="T4685" s="4"/>
      <c r="U4685" s="4"/>
      <c r="V4685" s="4"/>
      <c r="W4685" s="4"/>
      <c r="X4685" s="4"/>
    </row>
    <row r="4686" spans="17:24" x14ac:dyDescent="0.3">
      <c r="Q4686" s="4"/>
      <c r="R4686" s="4"/>
      <c r="S4686" s="4"/>
      <c r="T4686" s="4"/>
      <c r="U4686" s="4"/>
      <c r="V4686" s="4"/>
      <c r="W4686" s="4"/>
      <c r="X4686" s="4"/>
    </row>
    <row r="4687" spans="17:24" x14ac:dyDescent="0.3">
      <c r="Q4687" s="4"/>
      <c r="R4687" s="4"/>
      <c r="S4687" s="4"/>
      <c r="T4687" s="4"/>
      <c r="U4687" s="4"/>
      <c r="V4687" s="4"/>
      <c r="W4687" s="4"/>
      <c r="X4687" s="4"/>
    </row>
    <row r="4688" spans="17:24" x14ac:dyDescent="0.3">
      <c r="Q4688" s="4"/>
      <c r="R4688" s="4"/>
      <c r="S4688" s="4"/>
      <c r="T4688" s="4"/>
      <c r="U4688" s="4"/>
      <c r="V4688" s="4"/>
      <c r="W4688" s="4"/>
      <c r="X4688" s="4"/>
    </row>
    <row r="4689" spans="17:24" x14ac:dyDescent="0.3">
      <c r="Q4689" s="4"/>
      <c r="R4689" s="4"/>
      <c r="S4689" s="4"/>
      <c r="T4689" s="4"/>
      <c r="U4689" s="4"/>
      <c r="V4689" s="4"/>
      <c r="W4689" s="4"/>
      <c r="X4689" s="4"/>
    </row>
    <row r="4690" spans="17:24" x14ac:dyDescent="0.3">
      <c r="Q4690" s="4"/>
      <c r="R4690" s="4"/>
      <c r="S4690" s="4"/>
      <c r="T4690" s="4"/>
      <c r="U4690" s="4"/>
      <c r="V4690" s="4"/>
      <c r="W4690" s="4"/>
      <c r="X4690" s="4"/>
    </row>
    <row r="4691" spans="17:24" x14ac:dyDescent="0.3">
      <c r="Q4691" s="4"/>
      <c r="R4691" s="4"/>
      <c r="S4691" s="4"/>
      <c r="T4691" s="4"/>
      <c r="U4691" s="4"/>
      <c r="V4691" s="4"/>
      <c r="W4691" s="4"/>
      <c r="X4691" s="4"/>
    </row>
    <row r="4692" spans="17:24" x14ac:dyDescent="0.3">
      <c r="Q4692" s="4"/>
      <c r="R4692" s="4"/>
      <c r="S4692" s="4"/>
      <c r="T4692" s="4"/>
      <c r="U4692" s="4"/>
      <c r="V4692" s="4"/>
      <c r="W4692" s="4"/>
      <c r="X4692" s="4"/>
    </row>
    <row r="4693" spans="17:24" x14ac:dyDescent="0.3">
      <c r="Q4693" s="4"/>
      <c r="R4693" s="4"/>
      <c r="S4693" s="4"/>
      <c r="T4693" s="4"/>
      <c r="U4693" s="4"/>
      <c r="V4693" s="4"/>
      <c r="W4693" s="4"/>
      <c r="X4693" s="4"/>
    </row>
    <row r="4694" spans="17:24" x14ac:dyDescent="0.3">
      <c r="Q4694" s="4"/>
      <c r="R4694" s="4"/>
      <c r="S4694" s="4"/>
      <c r="T4694" s="4"/>
      <c r="U4694" s="4"/>
      <c r="V4694" s="4"/>
      <c r="W4694" s="4"/>
      <c r="X4694" s="4"/>
    </row>
    <row r="4695" spans="17:24" x14ac:dyDescent="0.3">
      <c r="Q4695" s="4"/>
      <c r="R4695" s="4"/>
      <c r="S4695" s="4"/>
      <c r="T4695" s="4"/>
      <c r="U4695" s="4"/>
      <c r="V4695" s="4"/>
      <c r="W4695" s="4"/>
      <c r="X4695" s="4"/>
    </row>
    <row r="4696" spans="17:24" x14ac:dyDescent="0.3">
      <c r="Q4696" s="4"/>
      <c r="R4696" s="4"/>
      <c r="S4696" s="4"/>
      <c r="T4696" s="4"/>
      <c r="U4696" s="4"/>
      <c r="V4696" s="4"/>
      <c r="W4696" s="4"/>
      <c r="X4696" s="4"/>
    </row>
    <row r="4697" spans="17:24" x14ac:dyDescent="0.3">
      <c r="Q4697" s="4"/>
      <c r="R4697" s="4"/>
      <c r="S4697" s="4"/>
      <c r="T4697" s="4"/>
      <c r="U4697" s="4"/>
      <c r="V4697" s="4"/>
      <c r="W4697" s="4"/>
      <c r="X4697" s="4"/>
    </row>
    <row r="4698" spans="17:24" x14ac:dyDescent="0.3">
      <c r="Q4698" s="4"/>
      <c r="R4698" s="4"/>
      <c r="S4698" s="4"/>
      <c r="T4698" s="4"/>
      <c r="U4698" s="4"/>
      <c r="V4698" s="4"/>
      <c r="W4698" s="4"/>
      <c r="X4698" s="4"/>
    </row>
    <row r="4699" spans="17:24" x14ac:dyDescent="0.3">
      <c r="Q4699" s="4"/>
      <c r="R4699" s="4"/>
      <c r="S4699" s="4"/>
      <c r="T4699" s="4"/>
      <c r="U4699" s="4"/>
      <c r="V4699" s="4"/>
      <c r="W4699" s="4"/>
      <c r="X4699" s="4"/>
    </row>
    <row r="4700" spans="17:24" x14ac:dyDescent="0.3">
      <c r="Q4700" s="4"/>
      <c r="R4700" s="4"/>
      <c r="S4700" s="4"/>
      <c r="T4700" s="4"/>
      <c r="U4700" s="4"/>
      <c r="V4700" s="4"/>
      <c r="W4700" s="4"/>
      <c r="X4700" s="4"/>
    </row>
    <row r="4701" spans="17:24" x14ac:dyDescent="0.3">
      <c r="Q4701" s="4"/>
      <c r="R4701" s="4"/>
      <c r="S4701" s="4"/>
      <c r="T4701" s="4"/>
      <c r="U4701" s="4"/>
      <c r="V4701" s="4"/>
      <c r="W4701" s="4"/>
      <c r="X4701" s="4"/>
    </row>
    <row r="4702" spans="17:24" x14ac:dyDescent="0.3">
      <c r="Q4702" s="4"/>
      <c r="R4702" s="4"/>
      <c r="S4702" s="4"/>
      <c r="T4702" s="4"/>
      <c r="U4702" s="4"/>
      <c r="V4702" s="4"/>
      <c r="W4702" s="4"/>
      <c r="X4702" s="4"/>
    </row>
    <row r="4703" spans="17:24" x14ac:dyDescent="0.3">
      <c r="Q4703" s="4"/>
      <c r="R4703" s="4"/>
      <c r="S4703" s="4"/>
      <c r="T4703" s="4"/>
      <c r="U4703" s="4"/>
      <c r="V4703" s="4"/>
      <c r="W4703" s="4"/>
      <c r="X4703" s="4"/>
    </row>
    <row r="4704" spans="17:24" x14ac:dyDescent="0.3">
      <c r="Q4704" s="4"/>
      <c r="R4704" s="4"/>
      <c r="S4704" s="4"/>
      <c r="T4704" s="4"/>
      <c r="U4704" s="4"/>
      <c r="V4704" s="4"/>
      <c r="W4704" s="4"/>
      <c r="X4704" s="4"/>
    </row>
    <row r="4705" spans="17:24" x14ac:dyDescent="0.3">
      <c r="Q4705" s="4"/>
      <c r="R4705" s="4"/>
      <c r="S4705" s="4"/>
      <c r="T4705" s="4"/>
      <c r="U4705" s="4"/>
      <c r="V4705" s="4"/>
      <c r="W4705" s="4"/>
      <c r="X4705" s="4"/>
    </row>
    <row r="4706" spans="17:24" x14ac:dyDescent="0.3">
      <c r="Q4706" s="4"/>
      <c r="R4706" s="4"/>
      <c r="S4706" s="4"/>
      <c r="T4706" s="4"/>
      <c r="U4706" s="4"/>
      <c r="V4706" s="4"/>
      <c r="W4706" s="4"/>
      <c r="X4706" s="4"/>
    </row>
    <row r="4707" spans="17:24" x14ac:dyDescent="0.3">
      <c r="Q4707" s="4"/>
      <c r="R4707" s="4"/>
      <c r="S4707" s="4"/>
      <c r="T4707" s="4"/>
      <c r="U4707" s="4"/>
      <c r="V4707" s="4"/>
      <c r="W4707" s="4"/>
      <c r="X4707" s="4"/>
    </row>
    <row r="4708" spans="17:24" x14ac:dyDescent="0.3">
      <c r="Q4708" s="4"/>
      <c r="R4708" s="4"/>
      <c r="S4708" s="4"/>
      <c r="T4708" s="4"/>
      <c r="U4708" s="4"/>
      <c r="V4708" s="4"/>
      <c r="W4708" s="4"/>
      <c r="X4708" s="4"/>
    </row>
    <row r="4709" spans="17:24" x14ac:dyDescent="0.3">
      <c r="Q4709" s="4"/>
      <c r="R4709" s="4"/>
      <c r="S4709" s="4"/>
      <c r="T4709" s="4"/>
      <c r="U4709" s="4"/>
      <c r="V4709" s="4"/>
      <c r="W4709" s="4"/>
      <c r="X4709" s="4"/>
    </row>
    <row r="4710" spans="17:24" x14ac:dyDescent="0.3">
      <c r="Q4710" s="4"/>
      <c r="R4710" s="4"/>
      <c r="S4710" s="4"/>
      <c r="T4710" s="4"/>
      <c r="U4710" s="4"/>
      <c r="V4710" s="4"/>
      <c r="W4710" s="4"/>
      <c r="X4710" s="4"/>
    </row>
    <row r="4711" spans="17:24" x14ac:dyDescent="0.3">
      <c r="Q4711" s="4"/>
      <c r="R4711" s="4"/>
      <c r="S4711" s="4"/>
      <c r="T4711" s="4"/>
      <c r="U4711" s="4"/>
      <c r="V4711" s="4"/>
      <c r="W4711" s="4"/>
      <c r="X4711" s="4"/>
    </row>
    <row r="4712" spans="17:24" x14ac:dyDescent="0.3">
      <c r="Q4712" s="4"/>
      <c r="R4712" s="4"/>
      <c r="S4712" s="4"/>
      <c r="T4712" s="4"/>
      <c r="U4712" s="4"/>
      <c r="V4712" s="4"/>
      <c r="W4712" s="4"/>
      <c r="X4712" s="4"/>
    </row>
    <row r="4713" spans="17:24" x14ac:dyDescent="0.3">
      <c r="Q4713" s="4"/>
      <c r="R4713" s="4"/>
      <c r="S4713" s="4"/>
      <c r="T4713" s="4"/>
      <c r="U4713" s="4"/>
      <c r="V4713" s="4"/>
      <c r="W4713" s="4"/>
      <c r="X4713" s="4"/>
    </row>
    <row r="4714" spans="17:24" x14ac:dyDescent="0.3">
      <c r="Q4714" s="4"/>
      <c r="R4714" s="4"/>
      <c r="S4714" s="4"/>
      <c r="T4714" s="4"/>
      <c r="U4714" s="4"/>
      <c r="V4714" s="4"/>
      <c r="W4714" s="4"/>
      <c r="X4714" s="4"/>
    </row>
    <row r="4715" spans="17:24" x14ac:dyDescent="0.3">
      <c r="Q4715" s="4"/>
      <c r="R4715" s="4"/>
      <c r="S4715" s="4"/>
      <c r="T4715" s="4"/>
      <c r="U4715" s="4"/>
      <c r="V4715" s="4"/>
      <c r="W4715" s="4"/>
      <c r="X4715" s="4"/>
    </row>
    <row r="4716" spans="17:24" x14ac:dyDescent="0.3">
      <c r="Q4716" s="4"/>
      <c r="R4716" s="4"/>
      <c r="S4716" s="4"/>
      <c r="T4716" s="4"/>
      <c r="U4716" s="4"/>
      <c r="V4716" s="4"/>
      <c r="W4716" s="4"/>
      <c r="X4716" s="4"/>
    </row>
    <row r="4717" spans="17:24" x14ac:dyDescent="0.3">
      <c r="Q4717" s="4"/>
      <c r="R4717" s="4"/>
      <c r="S4717" s="4"/>
      <c r="T4717" s="4"/>
      <c r="U4717" s="4"/>
      <c r="V4717" s="4"/>
      <c r="W4717" s="4"/>
      <c r="X4717" s="4"/>
    </row>
    <row r="4718" spans="17:24" x14ac:dyDescent="0.3">
      <c r="Q4718" s="4"/>
      <c r="R4718" s="4"/>
      <c r="S4718" s="4"/>
      <c r="T4718" s="4"/>
      <c r="U4718" s="4"/>
      <c r="V4718" s="4"/>
      <c r="W4718" s="4"/>
      <c r="X4718" s="4"/>
    </row>
    <row r="4719" spans="17:24" x14ac:dyDescent="0.3">
      <c r="Q4719" s="4"/>
      <c r="R4719" s="4"/>
      <c r="S4719" s="4"/>
      <c r="T4719" s="4"/>
      <c r="U4719" s="4"/>
      <c r="V4719" s="4"/>
      <c r="W4719" s="4"/>
      <c r="X4719" s="4"/>
    </row>
    <row r="4720" spans="17:24" x14ac:dyDescent="0.3">
      <c r="Q4720" s="4"/>
      <c r="R4720" s="4"/>
      <c r="S4720" s="4"/>
      <c r="T4720" s="4"/>
      <c r="U4720" s="4"/>
      <c r="V4720" s="4"/>
      <c r="W4720" s="4"/>
      <c r="X4720" s="4"/>
    </row>
    <row r="4721" spans="17:24" x14ac:dyDescent="0.3">
      <c r="Q4721" s="4"/>
      <c r="R4721" s="4"/>
      <c r="S4721" s="4"/>
      <c r="T4721" s="4"/>
      <c r="U4721" s="4"/>
      <c r="V4721" s="4"/>
      <c r="W4721" s="4"/>
      <c r="X4721" s="4"/>
    </row>
    <row r="4722" spans="17:24" x14ac:dyDescent="0.3">
      <c r="Q4722" s="4"/>
      <c r="R4722" s="4"/>
      <c r="S4722" s="4"/>
      <c r="T4722" s="4"/>
      <c r="U4722" s="4"/>
      <c r="V4722" s="4"/>
      <c r="W4722" s="4"/>
      <c r="X4722" s="4"/>
    </row>
    <row r="4723" spans="17:24" x14ac:dyDescent="0.3">
      <c r="Q4723" s="4"/>
      <c r="R4723" s="4"/>
      <c r="S4723" s="4"/>
      <c r="T4723" s="4"/>
      <c r="U4723" s="4"/>
      <c r="V4723" s="4"/>
      <c r="W4723" s="4"/>
      <c r="X4723" s="4"/>
    </row>
    <row r="4724" spans="17:24" x14ac:dyDescent="0.3">
      <c r="Q4724" s="4"/>
      <c r="R4724" s="4"/>
      <c r="S4724" s="4"/>
      <c r="T4724" s="4"/>
      <c r="U4724" s="4"/>
      <c r="V4724" s="4"/>
      <c r="W4724" s="4"/>
      <c r="X4724" s="4"/>
    </row>
    <row r="4725" spans="17:24" x14ac:dyDescent="0.3">
      <c r="Q4725" s="4"/>
      <c r="R4725" s="4"/>
      <c r="S4725" s="4"/>
      <c r="T4725" s="4"/>
      <c r="U4725" s="4"/>
      <c r="V4725" s="4"/>
      <c r="W4725" s="4"/>
      <c r="X4725" s="4"/>
    </row>
    <row r="4726" spans="17:24" x14ac:dyDescent="0.3">
      <c r="Q4726" s="4"/>
      <c r="R4726" s="4"/>
      <c r="S4726" s="4"/>
      <c r="T4726" s="4"/>
      <c r="U4726" s="4"/>
      <c r="V4726" s="4"/>
      <c r="W4726" s="4"/>
      <c r="X4726" s="4"/>
    </row>
    <row r="4727" spans="17:24" x14ac:dyDescent="0.3">
      <c r="Q4727" s="4"/>
      <c r="R4727" s="4"/>
      <c r="S4727" s="4"/>
      <c r="T4727" s="4"/>
      <c r="U4727" s="4"/>
      <c r="V4727" s="4"/>
      <c r="W4727" s="4"/>
      <c r="X4727" s="4"/>
    </row>
    <row r="4728" spans="17:24" x14ac:dyDescent="0.3">
      <c r="Q4728" s="4"/>
      <c r="R4728" s="4"/>
      <c r="S4728" s="4"/>
      <c r="T4728" s="4"/>
      <c r="U4728" s="4"/>
      <c r="V4728" s="4"/>
      <c r="W4728" s="4"/>
      <c r="X4728" s="4"/>
    </row>
    <row r="4729" spans="17:24" x14ac:dyDescent="0.3">
      <c r="Q4729" s="4"/>
      <c r="R4729" s="4"/>
      <c r="S4729" s="4"/>
      <c r="T4729" s="4"/>
      <c r="U4729" s="4"/>
      <c r="V4729" s="4"/>
      <c r="W4729" s="4"/>
      <c r="X4729" s="4"/>
    </row>
    <row r="4730" spans="17:24" x14ac:dyDescent="0.3">
      <c r="Q4730" s="4"/>
      <c r="R4730" s="4"/>
      <c r="S4730" s="4"/>
      <c r="T4730" s="4"/>
      <c r="U4730" s="4"/>
      <c r="V4730" s="4"/>
      <c r="W4730" s="4"/>
      <c r="X4730" s="4"/>
    </row>
    <row r="4731" spans="17:24" x14ac:dyDescent="0.3">
      <c r="Q4731" s="4"/>
      <c r="R4731" s="4"/>
      <c r="S4731" s="4"/>
      <c r="T4731" s="4"/>
      <c r="U4731" s="4"/>
      <c r="V4731" s="4"/>
      <c r="W4731" s="4"/>
      <c r="X4731" s="4"/>
    </row>
    <row r="4732" spans="17:24" x14ac:dyDescent="0.3">
      <c r="Q4732" s="4"/>
      <c r="R4732" s="4"/>
      <c r="S4732" s="4"/>
      <c r="T4732" s="4"/>
      <c r="U4732" s="4"/>
      <c r="V4732" s="4"/>
      <c r="W4732" s="4"/>
      <c r="X4732" s="4"/>
    </row>
    <row r="4733" spans="17:24" x14ac:dyDescent="0.3">
      <c r="Q4733" s="4"/>
      <c r="R4733" s="4"/>
      <c r="S4733" s="4"/>
      <c r="T4733" s="4"/>
      <c r="U4733" s="4"/>
      <c r="V4733" s="4"/>
      <c r="W4733" s="4"/>
      <c r="X4733" s="4"/>
    </row>
    <row r="4734" spans="17:24" x14ac:dyDescent="0.3">
      <c r="Q4734" s="4"/>
      <c r="R4734" s="4"/>
      <c r="S4734" s="4"/>
      <c r="T4734" s="4"/>
      <c r="U4734" s="4"/>
      <c r="V4734" s="4"/>
      <c r="W4734" s="4"/>
      <c r="X4734" s="4"/>
    </row>
    <row r="4735" spans="17:24" x14ac:dyDescent="0.3">
      <c r="Q4735" s="4"/>
      <c r="R4735" s="4"/>
      <c r="S4735" s="4"/>
      <c r="T4735" s="4"/>
      <c r="U4735" s="4"/>
      <c r="V4735" s="4"/>
      <c r="W4735" s="4"/>
      <c r="X4735" s="4"/>
    </row>
    <row r="4736" spans="17:24" x14ac:dyDescent="0.3">
      <c r="Q4736" s="4"/>
      <c r="R4736" s="4"/>
      <c r="S4736" s="4"/>
      <c r="T4736" s="4"/>
      <c r="U4736" s="4"/>
      <c r="V4736" s="4"/>
      <c r="W4736" s="4"/>
      <c r="X4736" s="4"/>
    </row>
    <row r="4737" spans="17:24" x14ac:dyDescent="0.3">
      <c r="Q4737" s="4"/>
      <c r="R4737" s="4"/>
      <c r="S4737" s="4"/>
      <c r="T4737" s="4"/>
      <c r="U4737" s="4"/>
      <c r="V4737" s="4"/>
      <c r="W4737" s="4"/>
      <c r="X4737" s="4"/>
    </row>
    <row r="4738" spans="17:24" x14ac:dyDescent="0.3">
      <c r="Q4738" s="4"/>
      <c r="R4738" s="4"/>
      <c r="S4738" s="4"/>
      <c r="T4738" s="4"/>
      <c r="U4738" s="4"/>
      <c r="V4738" s="4"/>
      <c r="W4738" s="4"/>
      <c r="X4738" s="4"/>
    </row>
    <row r="4739" spans="17:24" x14ac:dyDescent="0.3">
      <c r="Q4739" s="4"/>
      <c r="R4739" s="4"/>
      <c r="S4739" s="4"/>
      <c r="T4739" s="4"/>
      <c r="U4739" s="4"/>
      <c r="V4739" s="4"/>
      <c r="W4739" s="4"/>
      <c r="X4739" s="4"/>
    </row>
    <row r="4740" spans="17:24" x14ac:dyDescent="0.3">
      <c r="Q4740" s="4"/>
      <c r="R4740" s="4"/>
      <c r="S4740" s="4"/>
      <c r="T4740" s="4"/>
      <c r="U4740" s="4"/>
      <c r="V4740" s="4"/>
      <c r="W4740" s="4"/>
      <c r="X4740" s="4"/>
    </row>
    <row r="4741" spans="17:24" x14ac:dyDescent="0.3">
      <c r="Q4741" s="4"/>
      <c r="R4741" s="4"/>
      <c r="S4741" s="4"/>
      <c r="T4741" s="4"/>
      <c r="U4741" s="4"/>
      <c r="V4741" s="4"/>
      <c r="W4741" s="4"/>
      <c r="X4741" s="4"/>
    </row>
    <row r="4742" spans="17:24" x14ac:dyDescent="0.3">
      <c r="Q4742" s="4"/>
      <c r="R4742" s="4"/>
      <c r="S4742" s="4"/>
      <c r="T4742" s="4"/>
      <c r="U4742" s="4"/>
      <c r="V4742" s="4"/>
      <c r="W4742" s="4"/>
      <c r="X4742" s="4"/>
    </row>
    <row r="4743" spans="17:24" x14ac:dyDescent="0.3">
      <c r="Q4743" s="4"/>
      <c r="R4743" s="4"/>
      <c r="S4743" s="4"/>
      <c r="T4743" s="4"/>
      <c r="U4743" s="4"/>
      <c r="V4743" s="4"/>
      <c r="W4743" s="4"/>
      <c r="X4743" s="4"/>
    </row>
    <row r="4744" spans="17:24" x14ac:dyDescent="0.3">
      <c r="Q4744" s="4"/>
      <c r="R4744" s="4"/>
      <c r="S4744" s="4"/>
      <c r="T4744" s="4"/>
      <c r="U4744" s="4"/>
      <c r="V4744" s="4"/>
      <c r="W4744" s="4"/>
      <c r="X4744" s="4"/>
    </row>
    <row r="4745" spans="17:24" x14ac:dyDescent="0.3">
      <c r="Q4745" s="4"/>
      <c r="R4745" s="4"/>
      <c r="S4745" s="4"/>
      <c r="T4745" s="4"/>
      <c r="U4745" s="4"/>
      <c r="V4745" s="4"/>
      <c r="W4745" s="4"/>
      <c r="X4745" s="4"/>
    </row>
    <row r="4746" spans="17:24" x14ac:dyDescent="0.3">
      <c r="Q4746" s="4"/>
      <c r="R4746" s="4"/>
      <c r="S4746" s="4"/>
      <c r="T4746" s="4"/>
      <c r="U4746" s="4"/>
      <c r="V4746" s="4"/>
      <c r="W4746" s="4"/>
      <c r="X4746" s="4"/>
    </row>
    <row r="4747" spans="17:24" x14ac:dyDescent="0.3">
      <c r="Q4747" s="4"/>
      <c r="R4747" s="4"/>
      <c r="S4747" s="4"/>
      <c r="T4747" s="4"/>
      <c r="U4747" s="4"/>
      <c r="V4747" s="4"/>
      <c r="W4747" s="4"/>
      <c r="X4747" s="4"/>
    </row>
    <row r="4748" spans="17:24" x14ac:dyDescent="0.3">
      <c r="Q4748" s="4"/>
      <c r="R4748" s="4"/>
      <c r="S4748" s="4"/>
      <c r="T4748" s="4"/>
      <c r="U4748" s="4"/>
      <c r="V4748" s="4"/>
      <c r="W4748" s="4"/>
      <c r="X4748" s="4"/>
    </row>
    <row r="4749" spans="17:24" x14ac:dyDescent="0.3">
      <c r="Q4749" s="4"/>
      <c r="R4749" s="4"/>
      <c r="S4749" s="4"/>
      <c r="T4749" s="4"/>
      <c r="U4749" s="4"/>
      <c r="V4749" s="4"/>
      <c r="W4749" s="4"/>
      <c r="X4749" s="4"/>
    </row>
    <row r="4750" spans="17:24" x14ac:dyDescent="0.3">
      <c r="Q4750" s="4"/>
      <c r="R4750" s="4"/>
      <c r="S4750" s="4"/>
      <c r="T4750" s="4"/>
      <c r="U4750" s="4"/>
      <c r="V4750" s="4"/>
      <c r="W4750" s="4"/>
      <c r="X4750" s="4"/>
    </row>
    <row r="4751" spans="17:24" x14ac:dyDescent="0.3">
      <c r="Q4751" s="4"/>
      <c r="R4751" s="4"/>
      <c r="S4751" s="4"/>
      <c r="T4751" s="4"/>
      <c r="U4751" s="4"/>
      <c r="V4751" s="4"/>
      <c r="W4751" s="4"/>
      <c r="X4751" s="4"/>
    </row>
    <row r="4752" spans="17:24" x14ac:dyDescent="0.3">
      <c r="Q4752" s="4"/>
      <c r="R4752" s="4"/>
      <c r="S4752" s="4"/>
      <c r="T4752" s="4"/>
      <c r="U4752" s="4"/>
      <c r="V4752" s="4"/>
      <c r="W4752" s="4"/>
      <c r="X4752" s="4"/>
    </row>
    <row r="4753" spans="17:24" x14ac:dyDescent="0.3">
      <c r="Q4753" s="4"/>
      <c r="R4753" s="4"/>
      <c r="S4753" s="4"/>
      <c r="T4753" s="4"/>
      <c r="U4753" s="4"/>
      <c r="V4753" s="4"/>
      <c r="W4753" s="4"/>
      <c r="X4753" s="4"/>
    </row>
    <row r="4754" spans="17:24" x14ac:dyDescent="0.3">
      <c r="Q4754" s="4"/>
      <c r="R4754" s="4"/>
      <c r="S4754" s="4"/>
      <c r="T4754" s="4"/>
      <c r="U4754" s="4"/>
      <c r="V4754" s="4"/>
      <c r="W4754" s="4"/>
      <c r="X4754" s="4"/>
    </row>
    <row r="4755" spans="17:24" x14ac:dyDescent="0.3">
      <c r="Q4755" s="4"/>
      <c r="R4755" s="4"/>
      <c r="S4755" s="4"/>
      <c r="T4755" s="4"/>
      <c r="U4755" s="4"/>
      <c r="V4755" s="4"/>
      <c r="W4755" s="4"/>
      <c r="X4755" s="4"/>
    </row>
    <row r="4756" spans="17:24" x14ac:dyDescent="0.3">
      <c r="Q4756" s="4"/>
      <c r="R4756" s="4"/>
      <c r="S4756" s="4"/>
      <c r="T4756" s="4"/>
      <c r="U4756" s="4"/>
      <c r="V4756" s="4"/>
      <c r="W4756" s="4"/>
      <c r="X4756" s="4"/>
    </row>
    <row r="4757" spans="17:24" x14ac:dyDescent="0.3">
      <c r="Q4757" s="4"/>
      <c r="R4757" s="4"/>
      <c r="S4757" s="4"/>
      <c r="T4757" s="4"/>
      <c r="U4757" s="4"/>
      <c r="V4757" s="4"/>
      <c r="W4757" s="4"/>
      <c r="X4757" s="4"/>
    </row>
    <row r="4758" spans="17:24" x14ac:dyDescent="0.3">
      <c r="Q4758" s="4"/>
      <c r="R4758" s="4"/>
      <c r="S4758" s="4"/>
      <c r="T4758" s="4"/>
      <c r="U4758" s="4"/>
      <c r="V4758" s="4"/>
      <c r="W4758" s="4"/>
      <c r="X4758" s="4"/>
    </row>
    <row r="4759" spans="17:24" x14ac:dyDescent="0.3">
      <c r="Q4759" s="4"/>
      <c r="R4759" s="4"/>
      <c r="S4759" s="4"/>
      <c r="T4759" s="4"/>
      <c r="U4759" s="4"/>
      <c r="V4759" s="4"/>
      <c r="W4759" s="4"/>
      <c r="X4759" s="4"/>
    </row>
    <row r="4760" spans="17:24" x14ac:dyDescent="0.3">
      <c r="Q4760" s="4"/>
      <c r="R4760" s="4"/>
      <c r="S4760" s="4"/>
      <c r="T4760" s="4"/>
      <c r="U4760" s="4"/>
      <c r="V4760" s="4"/>
      <c r="W4760" s="4"/>
      <c r="X4760" s="4"/>
    </row>
    <row r="4761" spans="17:24" x14ac:dyDescent="0.3">
      <c r="Q4761" s="4"/>
      <c r="R4761" s="4"/>
      <c r="S4761" s="4"/>
      <c r="T4761" s="4"/>
      <c r="U4761" s="4"/>
      <c r="V4761" s="4"/>
      <c r="W4761" s="4"/>
      <c r="X4761" s="4"/>
    </row>
    <row r="4762" spans="17:24" x14ac:dyDescent="0.3">
      <c r="Q4762" s="4"/>
      <c r="R4762" s="4"/>
      <c r="S4762" s="4"/>
      <c r="T4762" s="4"/>
      <c r="U4762" s="4"/>
      <c r="V4762" s="4"/>
      <c r="W4762" s="4"/>
      <c r="X4762" s="4"/>
    </row>
    <row r="4763" spans="17:24" x14ac:dyDescent="0.3">
      <c r="Q4763" s="4"/>
      <c r="R4763" s="4"/>
      <c r="S4763" s="4"/>
      <c r="T4763" s="4"/>
      <c r="U4763" s="4"/>
      <c r="V4763" s="4"/>
      <c r="W4763" s="4"/>
      <c r="X4763" s="4"/>
    </row>
    <row r="4764" spans="17:24" x14ac:dyDescent="0.3">
      <c r="Q4764" s="4"/>
      <c r="R4764" s="4"/>
      <c r="S4764" s="4"/>
      <c r="T4764" s="4"/>
      <c r="U4764" s="4"/>
      <c r="V4764" s="4"/>
      <c r="W4764" s="4"/>
      <c r="X4764" s="4"/>
    </row>
    <row r="4765" spans="17:24" x14ac:dyDescent="0.3">
      <c r="Q4765" s="4"/>
      <c r="R4765" s="4"/>
      <c r="S4765" s="4"/>
      <c r="T4765" s="4"/>
      <c r="U4765" s="4"/>
      <c r="V4765" s="4"/>
      <c r="W4765" s="4"/>
      <c r="X4765" s="4"/>
    </row>
    <row r="4766" spans="17:24" x14ac:dyDescent="0.3">
      <c r="Q4766" s="4"/>
      <c r="R4766" s="4"/>
      <c r="S4766" s="4"/>
      <c r="T4766" s="4"/>
      <c r="U4766" s="4"/>
      <c r="V4766" s="4"/>
      <c r="W4766" s="4"/>
      <c r="X4766" s="4"/>
    </row>
    <row r="4767" spans="17:24" x14ac:dyDescent="0.3">
      <c r="Q4767" s="4"/>
      <c r="R4767" s="4"/>
      <c r="S4767" s="4"/>
      <c r="T4767" s="4"/>
      <c r="U4767" s="4"/>
      <c r="V4767" s="4"/>
      <c r="W4767" s="4"/>
      <c r="X4767" s="4"/>
    </row>
    <row r="4768" spans="17:24" x14ac:dyDescent="0.3">
      <c r="Q4768" s="4"/>
      <c r="R4768" s="4"/>
      <c r="S4768" s="4"/>
      <c r="T4768" s="4"/>
      <c r="U4768" s="4"/>
      <c r="V4768" s="4"/>
      <c r="W4768" s="4"/>
      <c r="X4768" s="4"/>
    </row>
    <row r="4769" spans="17:24" x14ac:dyDescent="0.3">
      <c r="Q4769" s="4"/>
      <c r="R4769" s="4"/>
      <c r="S4769" s="4"/>
      <c r="T4769" s="4"/>
      <c r="U4769" s="4"/>
      <c r="V4769" s="4"/>
      <c r="W4769" s="4"/>
      <c r="X4769" s="4"/>
    </row>
    <row r="4770" spans="17:24" x14ac:dyDescent="0.3">
      <c r="Q4770" s="4"/>
      <c r="R4770" s="4"/>
      <c r="S4770" s="4"/>
      <c r="T4770" s="4"/>
      <c r="U4770" s="4"/>
      <c r="V4770" s="4"/>
      <c r="W4770" s="4"/>
      <c r="X4770" s="4"/>
    </row>
    <row r="4771" spans="17:24" x14ac:dyDescent="0.3">
      <c r="Q4771" s="4"/>
      <c r="R4771" s="4"/>
      <c r="S4771" s="4"/>
      <c r="T4771" s="4"/>
      <c r="U4771" s="4"/>
      <c r="V4771" s="4"/>
      <c r="W4771" s="4"/>
      <c r="X4771" s="4"/>
    </row>
    <row r="4772" spans="17:24" x14ac:dyDescent="0.3">
      <c r="Q4772" s="4"/>
      <c r="R4772" s="4"/>
      <c r="S4772" s="4"/>
      <c r="T4772" s="4"/>
      <c r="U4772" s="4"/>
      <c r="V4772" s="4"/>
      <c r="W4772" s="4"/>
      <c r="X4772" s="4"/>
    </row>
    <row r="4773" spans="17:24" x14ac:dyDescent="0.3">
      <c r="Q4773" s="4"/>
      <c r="R4773" s="4"/>
      <c r="S4773" s="4"/>
      <c r="T4773" s="4"/>
      <c r="U4773" s="4"/>
      <c r="V4773" s="4"/>
      <c r="W4773" s="4"/>
      <c r="X4773" s="4"/>
    </row>
    <row r="4774" spans="17:24" x14ac:dyDescent="0.3">
      <c r="Q4774" s="4"/>
      <c r="R4774" s="4"/>
      <c r="S4774" s="4"/>
      <c r="T4774" s="4"/>
      <c r="U4774" s="4"/>
      <c r="V4774" s="4"/>
      <c r="W4774" s="4"/>
      <c r="X4774" s="4"/>
    </row>
    <row r="4775" spans="17:24" x14ac:dyDescent="0.3">
      <c r="Q4775" s="4"/>
      <c r="R4775" s="4"/>
      <c r="S4775" s="4"/>
      <c r="T4775" s="4"/>
      <c r="U4775" s="4"/>
      <c r="V4775" s="4"/>
      <c r="W4775" s="4"/>
      <c r="X4775" s="4"/>
    </row>
    <row r="4776" spans="17:24" x14ac:dyDescent="0.3">
      <c r="Q4776" s="4"/>
      <c r="R4776" s="4"/>
      <c r="S4776" s="4"/>
      <c r="T4776" s="4"/>
      <c r="U4776" s="4"/>
      <c r="V4776" s="4"/>
      <c r="W4776" s="4"/>
      <c r="X4776" s="4"/>
    </row>
    <row r="4777" spans="17:24" x14ac:dyDescent="0.3">
      <c r="Q4777" s="4"/>
      <c r="R4777" s="4"/>
      <c r="S4777" s="4"/>
      <c r="T4777" s="4"/>
      <c r="U4777" s="4"/>
      <c r="V4777" s="4"/>
      <c r="W4777" s="4"/>
      <c r="X4777" s="4"/>
    </row>
    <row r="4778" spans="17:24" x14ac:dyDescent="0.3">
      <c r="Q4778" s="4"/>
      <c r="R4778" s="4"/>
      <c r="S4778" s="4"/>
      <c r="T4778" s="4"/>
      <c r="U4778" s="4"/>
      <c r="V4778" s="4"/>
      <c r="W4778" s="4"/>
      <c r="X4778" s="4"/>
    </row>
    <row r="4779" spans="17:24" x14ac:dyDescent="0.3">
      <c r="Q4779" s="4"/>
      <c r="R4779" s="4"/>
      <c r="S4779" s="4"/>
      <c r="T4779" s="4"/>
      <c r="U4779" s="4"/>
      <c r="V4779" s="4"/>
      <c r="W4779" s="4"/>
      <c r="X4779" s="4"/>
    </row>
    <row r="4780" spans="17:24" x14ac:dyDescent="0.3">
      <c r="Q4780" s="4"/>
      <c r="R4780" s="4"/>
      <c r="S4780" s="4"/>
      <c r="T4780" s="4"/>
      <c r="U4780" s="4"/>
      <c r="V4780" s="4"/>
      <c r="W4780" s="4"/>
      <c r="X4780" s="4"/>
    </row>
    <row r="4781" spans="17:24" x14ac:dyDescent="0.3">
      <c r="Q4781" s="4"/>
      <c r="R4781" s="4"/>
      <c r="S4781" s="4"/>
      <c r="T4781" s="4"/>
      <c r="U4781" s="4"/>
      <c r="V4781" s="4"/>
      <c r="W4781" s="4"/>
      <c r="X4781" s="4"/>
    </row>
    <row r="4782" spans="17:24" x14ac:dyDescent="0.3">
      <c r="Q4782" s="4"/>
      <c r="R4782" s="4"/>
      <c r="S4782" s="4"/>
      <c r="T4782" s="4"/>
      <c r="U4782" s="4"/>
      <c r="V4782" s="4"/>
      <c r="W4782" s="4"/>
      <c r="X4782" s="4"/>
    </row>
    <row r="4783" spans="17:24" x14ac:dyDescent="0.3">
      <c r="Q4783" s="4"/>
      <c r="R4783" s="4"/>
      <c r="S4783" s="4"/>
      <c r="T4783" s="4"/>
      <c r="U4783" s="4"/>
      <c r="V4783" s="4"/>
      <c r="W4783" s="4"/>
      <c r="X4783" s="4"/>
    </row>
    <row r="4784" spans="17:24" x14ac:dyDescent="0.3">
      <c r="Q4784" s="4"/>
      <c r="R4784" s="4"/>
      <c r="S4784" s="4"/>
      <c r="T4784" s="4"/>
      <c r="U4784" s="4"/>
      <c r="V4784" s="4"/>
      <c r="W4784" s="4"/>
      <c r="X4784" s="4"/>
    </row>
    <row r="4785" spans="17:24" x14ac:dyDescent="0.3">
      <c r="Q4785" s="4"/>
      <c r="R4785" s="4"/>
      <c r="S4785" s="4"/>
      <c r="T4785" s="4"/>
      <c r="U4785" s="4"/>
      <c r="V4785" s="4"/>
      <c r="W4785" s="4"/>
      <c r="X4785" s="4"/>
    </row>
    <row r="4786" spans="17:24" x14ac:dyDescent="0.3">
      <c r="Q4786" s="4"/>
      <c r="R4786" s="4"/>
      <c r="S4786" s="4"/>
      <c r="T4786" s="4"/>
      <c r="U4786" s="4"/>
      <c r="V4786" s="4"/>
      <c r="W4786" s="4"/>
      <c r="X4786" s="4"/>
    </row>
    <row r="4787" spans="17:24" x14ac:dyDescent="0.3">
      <c r="Q4787" s="4"/>
      <c r="R4787" s="4"/>
      <c r="S4787" s="4"/>
      <c r="T4787" s="4"/>
      <c r="U4787" s="4"/>
      <c r="V4787" s="4"/>
      <c r="W4787" s="4"/>
      <c r="X4787" s="4"/>
    </row>
    <row r="4788" spans="17:24" x14ac:dyDescent="0.3">
      <c r="Q4788" s="4"/>
      <c r="R4788" s="4"/>
      <c r="S4788" s="4"/>
      <c r="T4788" s="4"/>
      <c r="U4788" s="4"/>
      <c r="V4788" s="4"/>
      <c r="W4788" s="4"/>
      <c r="X4788" s="4"/>
    </row>
    <row r="4789" spans="17:24" x14ac:dyDescent="0.3">
      <c r="Q4789" s="4"/>
      <c r="R4789" s="4"/>
      <c r="S4789" s="4"/>
      <c r="T4789" s="4"/>
      <c r="U4789" s="4"/>
      <c r="V4789" s="4"/>
      <c r="W4789" s="4"/>
      <c r="X4789" s="4"/>
    </row>
    <row r="4790" spans="17:24" x14ac:dyDescent="0.3">
      <c r="Q4790" s="4"/>
      <c r="R4790" s="4"/>
      <c r="S4790" s="4"/>
      <c r="T4790" s="4"/>
      <c r="U4790" s="4"/>
      <c r="V4790" s="4"/>
      <c r="W4790" s="4"/>
      <c r="X4790" s="4"/>
    </row>
    <row r="4791" spans="17:24" x14ac:dyDescent="0.3">
      <c r="Q4791" s="4"/>
      <c r="R4791" s="4"/>
      <c r="S4791" s="4"/>
      <c r="T4791" s="4"/>
      <c r="U4791" s="4"/>
      <c r="V4791" s="4"/>
      <c r="W4791" s="4"/>
      <c r="X4791" s="4"/>
    </row>
    <row r="4792" spans="17:24" x14ac:dyDescent="0.3">
      <c r="Q4792" s="4"/>
      <c r="R4792" s="4"/>
      <c r="S4792" s="4"/>
      <c r="T4792" s="4"/>
      <c r="U4792" s="4"/>
      <c r="V4792" s="4"/>
      <c r="W4792" s="4"/>
      <c r="X4792" s="4"/>
    </row>
    <row r="4793" spans="17:24" x14ac:dyDescent="0.3">
      <c r="Q4793" s="4"/>
      <c r="R4793" s="4"/>
      <c r="S4793" s="4"/>
      <c r="T4793" s="4"/>
      <c r="U4793" s="4"/>
      <c r="V4793" s="4"/>
      <c r="W4793" s="4"/>
      <c r="X4793" s="4"/>
    </row>
    <row r="4794" spans="17:24" x14ac:dyDescent="0.3">
      <c r="Q4794" s="4"/>
      <c r="R4794" s="4"/>
      <c r="S4794" s="4"/>
      <c r="T4794" s="4"/>
      <c r="U4794" s="4"/>
      <c r="V4794" s="4"/>
      <c r="W4794" s="4"/>
      <c r="X4794" s="4"/>
    </row>
    <row r="4795" spans="17:24" x14ac:dyDescent="0.3">
      <c r="Q4795" s="4"/>
      <c r="R4795" s="4"/>
      <c r="S4795" s="4"/>
      <c r="T4795" s="4"/>
      <c r="U4795" s="4"/>
      <c r="V4795" s="4"/>
      <c r="W4795" s="4"/>
      <c r="X4795" s="4"/>
    </row>
    <row r="4796" spans="17:24" x14ac:dyDescent="0.3">
      <c r="Q4796" s="4"/>
      <c r="R4796" s="4"/>
      <c r="S4796" s="4"/>
      <c r="T4796" s="4"/>
      <c r="U4796" s="4"/>
      <c r="V4796" s="4"/>
      <c r="W4796" s="4"/>
      <c r="X4796" s="4"/>
    </row>
    <row r="4797" spans="17:24" x14ac:dyDescent="0.3">
      <c r="Q4797" s="4"/>
      <c r="R4797" s="4"/>
      <c r="S4797" s="4"/>
      <c r="T4797" s="4"/>
      <c r="U4797" s="4"/>
      <c r="V4797" s="4"/>
      <c r="W4797" s="4"/>
      <c r="X4797" s="4"/>
    </row>
    <row r="4798" spans="17:24" x14ac:dyDescent="0.3">
      <c r="Q4798" s="4"/>
      <c r="R4798" s="4"/>
      <c r="S4798" s="4"/>
      <c r="T4798" s="4"/>
      <c r="U4798" s="4"/>
      <c r="V4798" s="4"/>
      <c r="W4798" s="4"/>
      <c r="X4798" s="4"/>
    </row>
    <row r="4799" spans="17:24" x14ac:dyDescent="0.3">
      <c r="Q4799" s="4"/>
      <c r="R4799" s="4"/>
      <c r="S4799" s="4"/>
      <c r="T4799" s="4"/>
      <c r="U4799" s="4"/>
      <c r="V4799" s="4"/>
      <c r="W4799" s="4"/>
      <c r="X4799" s="4"/>
    </row>
    <row r="4800" spans="17:24" x14ac:dyDescent="0.3">
      <c r="Q4800" s="4"/>
      <c r="R4800" s="4"/>
      <c r="S4800" s="4"/>
      <c r="T4800" s="4"/>
      <c r="U4800" s="4"/>
      <c r="V4800" s="4"/>
      <c r="W4800" s="4"/>
      <c r="X4800" s="4"/>
    </row>
    <row r="4801" spans="17:24" x14ac:dyDescent="0.3">
      <c r="Q4801" s="4"/>
      <c r="R4801" s="4"/>
      <c r="S4801" s="4"/>
      <c r="T4801" s="4"/>
      <c r="U4801" s="4"/>
      <c r="V4801" s="4"/>
      <c r="W4801" s="4"/>
      <c r="X4801" s="4"/>
    </row>
    <row r="4802" spans="17:24" x14ac:dyDescent="0.3">
      <c r="Q4802" s="4"/>
      <c r="R4802" s="4"/>
      <c r="S4802" s="4"/>
      <c r="T4802" s="4"/>
      <c r="U4802" s="4"/>
      <c r="V4802" s="4"/>
      <c r="W4802" s="4"/>
      <c r="X4802" s="4"/>
    </row>
    <row r="4803" spans="17:24" x14ac:dyDescent="0.3">
      <c r="Q4803" s="4"/>
      <c r="R4803" s="4"/>
      <c r="S4803" s="4"/>
      <c r="T4803" s="4"/>
      <c r="U4803" s="4"/>
      <c r="V4803" s="4"/>
      <c r="W4803" s="4"/>
      <c r="X4803" s="4"/>
    </row>
    <row r="4804" spans="17:24" x14ac:dyDescent="0.3">
      <c r="Q4804" s="4"/>
      <c r="R4804" s="4"/>
      <c r="S4804" s="4"/>
      <c r="T4804" s="4"/>
      <c r="U4804" s="4"/>
      <c r="V4804" s="4"/>
      <c r="W4804" s="4"/>
      <c r="X4804" s="4"/>
    </row>
    <row r="4805" spans="17:24" x14ac:dyDescent="0.3">
      <c r="Q4805" s="4"/>
      <c r="R4805" s="4"/>
      <c r="S4805" s="4"/>
      <c r="T4805" s="4"/>
      <c r="U4805" s="4"/>
      <c r="V4805" s="4"/>
      <c r="W4805" s="4"/>
      <c r="X4805" s="4"/>
    </row>
    <row r="4806" spans="17:24" x14ac:dyDescent="0.3">
      <c r="Q4806" s="4"/>
      <c r="R4806" s="4"/>
      <c r="S4806" s="4"/>
      <c r="T4806" s="4"/>
      <c r="U4806" s="4"/>
      <c r="V4806" s="4"/>
      <c r="W4806" s="4"/>
      <c r="X4806" s="4"/>
    </row>
    <row r="4807" spans="17:24" x14ac:dyDescent="0.3">
      <c r="Q4807" s="4"/>
      <c r="R4807" s="4"/>
      <c r="S4807" s="4"/>
      <c r="T4807" s="4"/>
      <c r="U4807" s="4"/>
      <c r="V4807" s="4"/>
      <c r="W4807" s="4"/>
      <c r="X4807" s="4"/>
    </row>
    <row r="4808" spans="17:24" x14ac:dyDescent="0.3">
      <c r="Q4808" s="4"/>
      <c r="R4808" s="4"/>
      <c r="S4808" s="4"/>
      <c r="T4808" s="4"/>
      <c r="U4808" s="4"/>
      <c r="V4808" s="4"/>
      <c r="W4808" s="4"/>
      <c r="X4808" s="4"/>
    </row>
    <row r="4809" spans="17:24" x14ac:dyDescent="0.3">
      <c r="Q4809" s="4"/>
      <c r="R4809" s="4"/>
      <c r="S4809" s="4"/>
      <c r="T4809" s="4"/>
      <c r="U4809" s="4"/>
      <c r="V4809" s="4"/>
      <c r="W4809" s="4"/>
      <c r="X4809" s="4"/>
    </row>
    <row r="4810" spans="17:24" x14ac:dyDescent="0.3">
      <c r="Q4810" s="4"/>
      <c r="R4810" s="4"/>
      <c r="S4810" s="4"/>
      <c r="T4810" s="4"/>
      <c r="U4810" s="4"/>
      <c r="V4810" s="4"/>
      <c r="W4810" s="4"/>
      <c r="X4810" s="4"/>
    </row>
    <row r="4811" spans="17:24" x14ac:dyDescent="0.3">
      <c r="Q4811" s="4"/>
      <c r="R4811" s="4"/>
      <c r="S4811" s="4"/>
      <c r="T4811" s="4"/>
      <c r="U4811" s="4"/>
      <c r="V4811" s="4"/>
      <c r="W4811" s="4"/>
      <c r="X4811" s="4"/>
    </row>
    <row r="4812" spans="17:24" x14ac:dyDescent="0.3">
      <c r="Q4812" s="4"/>
      <c r="R4812" s="4"/>
      <c r="S4812" s="4"/>
      <c r="T4812" s="4"/>
      <c r="U4812" s="4"/>
      <c r="V4812" s="4"/>
      <c r="W4812" s="4"/>
      <c r="X4812" s="4"/>
    </row>
    <row r="4813" spans="17:24" x14ac:dyDescent="0.3">
      <c r="Q4813" s="4"/>
      <c r="R4813" s="4"/>
      <c r="S4813" s="4"/>
      <c r="T4813" s="4"/>
      <c r="U4813" s="4"/>
      <c r="V4813" s="4"/>
      <c r="W4813" s="4"/>
      <c r="X4813" s="4"/>
    </row>
    <row r="4814" spans="17:24" x14ac:dyDescent="0.3">
      <c r="Q4814" s="4"/>
      <c r="R4814" s="4"/>
      <c r="S4814" s="4"/>
      <c r="T4814" s="4"/>
      <c r="U4814" s="4"/>
      <c r="V4814" s="4"/>
      <c r="W4814" s="4"/>
      <c r="X4814" s="4"/>
    </row>
    <row r="4815" spans="17:24" x14ac:dyDescent="0.3">
      <c r="Q4815" s="4"/>
      <c r="R4815" s="4"/>
      <c r="S4815" s="4"/>
      <c r="T4815" s="4"/>
      <c r="U4815" s="4"/>
      <c r="V4815" s="4"/>
      <c r="W4815" s="4"/>
      <c r="X4815" s="4"/>
    </row>
    <row r="4816" spans="17:24" x14ac:dyDescent="0.3">
      <c r="Q4816" s="4"/>
      <c r="R4816" s="4"/>
      <c r="S4816" s="4"/>
      <c r="T4816" s="4"/>
      <c r="U4816" s="4"/>
      <c r="V4816" s="4"/>
      <c r="W4816" s="4"/>
      <c r="X4816" s="4"/>
    </row>
    <row r="4817" spans="17:24" x14ac:dyDescent="0.3">
      <c r="Q4817" s="4"/>
      <c r="R4817" s="4"/>
      <c r="S4817" s="4"/>
      <c r="T4817" s="4"/>
      <c r="U4817" s="4"/>
      <c r="V4817" s="4"/>
      <c r="W4817" s="4"/>
      <c r="X4817" s="4"/>
    </row>
    <row r="4818" spans="17:24" x14ac:dyDescent="0.3">
      <c r="Q4818" s="4"/>
      <c r="R4818" s="4"/>
      <c r="S4818" s="4"/>
      <c r="T4818" s="4"/>
      <c r="U4818" s="4"/>
      <c r="V4818" s="4"/>
      <c r="W4818" s="4"/>
      <c r="X4818" s="4"/>
    </row>
    <row r="4819" spans="17:24" x14ac:dyDescent="0.3">
      <c r="Q4819" s="4"/>
      <c r="R4819" s="4"/>
      <c r="S4819" s="4"/>
      <c r="T4819" s="4"/>
      <c r="U4819" s="4"/>
      <c r="V4819" s="4"/>
      <c r="W4819" s="4"/>
      <c r="X4819" s="4"/>
    </row>
    <row r="4820" spans="17:24" x14ac:dyDescent="0.3">
      <c r="Q4820" s="4"/>
      <c r="R4820" s="4"/>
      <c r="S4820" s="4"/>
      <c r="T4820" s="4"/>
      <c r="U4820" s="4"/>
      <c r="V4820" s="4"/>
      <c r="W4820" s="4"/>
      <c r="X4820" s="4"/>
    </row>
    <row r="4821" spans="17:24" x14ac:dyDescent="0.3">
      <c r="Q4821" s="4"/>
      <c r="R4821" s="4"/>
      <c r="S4821" s="4"/>
      <c r="T4821" s="4"/>
      <c r="U4821" s="4"/>
      <c r="V4821" s="4"/>
      <c r="W4821" s="4"/>
      <c r="X4821" s="4"/>
    </row>
    <row r="4822" spans="17:24" x14ac:dyDescent="0.3">
      <c r="Q4822" s="4"/>
      <c r="R4822" s="4"/>
      <c r="S4822" s="4"/>
      <c r="T4822" s="4"/>
      <c r="U4822" s="4"/>
      <c r="V4822" s="4"/>
      <c r="W4822" s="4"/>
      <c r="X4822" s="4"/>
    </row>
    <row r="4823" spans="17:24" x14ac:dyDescent="0.3">
      <c r="Q4823" s="4"/>
      <c r="R4823" s="4"/>
      <c r="S4823" s="4"/>
      <c r="T4823" s="4"/>
      <c r="U4823" s="4"/>
      <c r="V4823" s="4"/>
      <c r="W4823" s="4"/>
      <c r="X4823" s="4"/>
    </row>
    <row r="4824" spans="17:24" x14ac:dyDescent="0.3">
      <c r="Q4824" s="4"/>
      <c r="R4824" s="4"/>
      <c r="S4824" s="4"/>
      <c r="T4824" s="4"/>
      <c r="U4824" s="4"/>
      <c r="V4824" s="4"/>
      <c r="W4824" s="4"/>
      <c r="X4824" s="4"/>
    </row>
    <row r="4825" spans="17:24" x14ac:dyDescent="0.3">
      <c r="Q4825" s="4"/>
      <c r="R4825" s="4"/>
      <c r="S4825" s="4"/>
      <c r="T4825" s="4"/>
      <c r="U4825" s="4"/>
      <c r="V4825" s="4"/>
      <c r="W4825" s="4"/>
      <c r="X4825" s="4"/>
    </row>
    <row r="4826" spans="17:24" x14ac:dyDescent="0.3">
      <c r="Q4826" s="4"/>
      <c r="R4826" s="4"/>
      <c r="S4826" s="4"/>
      <c r="T4826" s="4"/>
      <c r="U4826" s="4"/>
      <c r="V4826" s="4"/>
      <c r="W4826" s="4"/>
      <c r="X4826" s="4"/>
    </row>
    <row r="4827" spans="17:24" x14ac:dyDescent="0.3">
      <c r="Q4827" s="4"/>
      <c r="R4827" s="4"/>
      <c r="S4827" s="4"/>
      <c r="T4827" s="4"/>
      <c r="U4827" s="4"/>
      <c r="V4827" s="4"/>
      <c r="W4827" s="4"/>
      <c r="X4827" s="4"/>
    </row>
    <row r="4828" spans="17:24" x14ac:dyDescent="0.3">
      <c r="Q4828" s="4"/>
      <c r="R4828" s="4"/>
      <c r="S4828" s="4"/>
      <c r="T4828" s="4"/>
      <c r="U4828" s="4"/>
      <c r="V4828" s="4"/>
      <c r="W4828" s="4"/>
      <c r="X4828" s="4"/>
    </row>
    <row r="4829" spans="17:24" x14ac:dyDescent="0.3">
      <c r="Q4829" s="4"/>
      <c r="R4829" s="4"/>
      <c r="S4829" s="4"/>
      <c r="T4829" s="4"/>
      <c r="U4829" s="4"/>
      <c r="V4829" s="4"/>
      <c r="W4829" s="4"/>
      <c r="X4829" s="4"/>
    </row>
    <row r="4830" spans="17:24" x14ac:dyDescent="0.3">
      <c r="Q4830" s="4"/>
      <c r="R4830" s="4"/>
      <c r="S4830" s="4"/>
      <c r="T4830" s="4"/>
      <c r="U4830" s="4"/>
      <c r="V4830" s="4"/>
      <c r="W4830" s="4"/>
      <c r="X4830" s="4"/>
    </row>
    <row r="4831" spans="17:24" x14ac:dyDescent="0.3">
      <c r="Q4831" s="4"/>
      <c r="R4831" s="4"/>
      <c r="S4831" s="4"/>
      <c r="T4831" s="4"/>
      <c r="U4831" s="4"/>
      <c r="V4831" s="4"/>
      <c r="W4831" s="4"/>
      <c r="X4831" s="4"/>
    </row>
    <row r="4832" spans="17:24" x14ac:dyDescent="0.3">
      <c r="Q4832" s="4"/>
      <c r="R4832" s="4"/>
      <c r="S4832" s="4"/>
      <c r="T4832" s="4"/>
      <c r="U4832" s="4"/>
      <c r="V4832" s="4"/>
      <c r="W4832" s="4"/>
      <c r="X4832" s="4"/>
    </row>
    <row r="4833" spans="17:24" x14ac:dyDescent="0.3">
      <c r="Q4833" s="4"/>
      <c r="R4833" s="4"/>
      <c r="S4833" s="4"/>
      <c r="T4833" s="4"/>
      <c r="U4833" s="4"/>
      <c r="V4833" s="4"/>
      <c r="W4833" s="4"/>
      <c r="X4833" s="4"/>
    </row>
    <row r="4834" spans="17:24" x14ac:dyDescent="0.3">
      <c r="Q4834" s="4"/>
      <c r="R4834" s="4"/>
      <c r="S4834" s="4"/>
      <c r="T4834" s="4"/>
      <c r="U4834" s="4"/>
      <c r="V4834" s="4"/>
      <c r="W4834" s="4"/>
      <c r="X4834" s="4"/>
    </row>
    <row r="4835" spans="17:24" x14ac:dyDescent="0.3">
      <c r="Q4835" s="4"/>
      <c r="R4835" s="4"/>
      <c r="S4835" s="4"/>
      <c r="T4835" s="4"/>
      <c r="U4835" s="4"/>
      <c r="V4835" s="4"/>
      <c r="W4835" s="4"/>
      <c r="X4835" s="4"/>
    </row>
    <row r="4836" spans="17:24" x14ac:dyDescent="0.3">
      <c r="Q4836" s="4"/>
      <c r="R4836" s="4"/>
      <c r="S4836" s="4"/>
      <c r="T4836" s="4"/>
      <c r="U4836" s="4"/>
      <c r="V4836" s="4"/>
      <c r="W4836" s="4"/>
      <c r="X4836" s="4"/>
    </row>
    <row r="4837" spans="17:24" x14ac:dyDescent="0.3">
      <c r="Q4837" s="4"/>
      <c r="R4837" s="4"/>
      <c r="S4837" s="4"/>
      <c r="T4837" s="4"/>
      <c r="U4837" s="4"/>
      <c r="V4837" s="4"/>
      <c r="W4837" s="4"/>
      <c r="X4837" s="4"/>
    </row>
    <row r="4838" spans="17:24" x14ac:dyDescent="0.3">
      <c r="Q4838" s="4"/>
      <c r="R4838" s="4"/>
      <c r="S4838" s="4"/>
      <c r="T4838" s="4"/>
      <c r="U4838" s="4"/>
      <c r="V4838" s="4"/>
      <c r="W4838" s="4"/>
      <c r="X4838" s="4"/>
    </row>
    <row r="4839" spans="17:24" x14ac:dyDescent="0.3">
      <c r="Q4839" s="4"/>
      <c r="R4839" s="4"/>
      <c r="S4839" s="4"/>
      <c r="T4839" s="4"/>
      <c r="U4839" s="4"/>
      <c r="V4839" s="4"/>
      <c r="W4839" s="4"/>
      <c r="X4839" s="4"/>
    </row>
    <row r="4840" spans="17:24" x14ac:dyDescent="0.3">
      <c r="Q4840" s="4"/>
      <c r="R4840" s="4"/>
      <c r="S4840" s="4"/>
      <c r="T4840" s="4"/>
      <c r="U4840" s="4"/>
      <c r="V4840" s="4"/>
      <c r="W4840" s="4"/>
      <c r="X4840" s="4"/>
    </row>
    <row r="4841" spans="17:24" x14ac:dyDescent="0.3">
      <c r="Q4841" s="4"/>
      <c r="R4841" s="4"/>
      <c r="S4841" s="4"/>
      <c r="T4841" s="4"/>
      <c r="U4841" s="4"/>
      <c r="V4841" s="4"/>
      <c r="W4841" s="4"/>
      <c r="X4841" s="4"/>
    </row>
    <row r="4842" spans="17:24" x14ac:dyDescent="0.3">
      <c r="Q4842" s="4"/>
      <c r="R4842" s="4"/>
      <c r="S4842" s="4"/>
      <c r="T4842" s="4"/>
      <c r="U4842" s="4"/>
      <c r="V4842" s="4"/>
      <c r="W4842" s="4"/>
      <c r="X4842" s="4"/>
    </row>
    <row r="4843" spans="17:24" x14ac:dyDescent="0.3">
      <c r="Q4843" s="4"/>
      <c r="R4843" s="4"/>
      <c r="S4843" s="4"/>
      <c r="T4843" s="4"/>
      <c r="U4843" s="4"/>
      <c r="V4843" s="4"/>
      <c r="W4843" s="4"/>
      <c r="X4843" s="4"/>
    </row>
    <row r="4844" spans="17:24" x14ac:dyDescent="0.3">
      <c r="Q4844" s="4"/>
      <c r="R4844" s="4"/>
      <c r="S4844" s="4"/>
      <c r="T4844" s="4"/>
      <c r="U4844" s="4"/>
      <c r="V4844" s="4"/>
      <c r="W4844" s="4"/>
      <c r="X4844" s="4"/>
    </row>
    <row r="4845" spans="17:24" x14ac:dyDescent="0.3">
      <c r="Q4845" s="4"/>
      <c r="R4845" s="4"/>
      <c r="S4845" s="4"/>
      <c r="T4845" s="4"/>
      <c r="U4845" s="4"/>
      <c r="V4845" s="4"/>
      <c r="W4845" s="4"/>
      <c r="X4845" s="4"/>
    </row>
    <row r="4846" spans="17:24" x14ac:dyDescent="0.3">
      <c r="Q4846" s="4"/>
      <c r="R4846" s="4"/>
      <c r="S4846" s="4"/>
      <c r="T4846" s="4"/>
      <c r="U4846" s="4"/>
      <c r="V4846" s="4"/>
      <c r="W4846" s="4"/>
      <c r="X4846" s="4"/>
    </row>
    <row r="4847" spans="17:24" x14ac:dyDescent="0.3">
      <c r="Q4847" s="4"/>
      <c r="R4847" s="4"/>
      <c r="S4847" s="4"/>
      <c r="T4847" s="4"/>
      <c r="U4847" s="4"/>
      <c r="V4847" s="4"/>
      <c r="W4847" s="4"/>
      <c r="X4847" s="4"/>
    </row>
    <row r="4848" spans="17:24" x14ac:dyDescent="0.3">
      <c r="Q4848" s="4"/>
      <c r="R4848" s="4"/>
      <c r="S4848" s="4"/>
      <c r="T4848" s="4"/>
      <c r="U4848" s="4"/>
      <c r="V4848" s="4"/>
      <c r="W4848" s="4"/>
      <c r="X4848" s="4"/>
    </row>
    <row r="4849" spans="17:24" x14ac:dyDescent="0.3">
      <c r="Q4849" s="4"/>
      <c r="R4849" s="4"/>
      <c r="S4849" s="4"/>
      <c r="T4849" s="4"/>
      <c r="U4849" s="4"/>
      <c r="V4849" s="4"/>
      <c r="W4849" s="4"/>
      <c r="X4849" s="4"/>
    </row>
    <row r="4850" spans="17:24" x14ac:dyDescent="0.3">
      <c r="Q4850" s="4"/>
      <c r="R4850" s="4"/>
      <c r="S4850" s="4"/>
      <c r="T4850" s="4"/>
      <c r="U4850" s="4"/>
      <c r="V4850" s="4"/>
      <c r="W4850" s="4"/>
      <c r="X4850" s="4"/>
    </row>
    <row r="4851" spans="17:24" x14ac:dyDescent="0.3">
      <c r="Q4851" s="4"/>
      <c r="R4851" s="4"/>
      <c r="S4851" s="4"/>
      <c r="T4851" s="4"/>
      <c r="U4851" s="4"/>
      <c r="V4851" s="4"/>
      <c r="W4851" s="4"/>
      <c r="X4851" s="4"/>
    </row>
    <row r="4852" spans="17:24" x14ac:dyDescent="0.3">
      <c r="Q4852" s="4"/>
      <c r="R4852" s="4"/>
      <c r="S4852" s="4"/>
      <c r="T4852" s="4"/>
      <c r="U4852" s="4"/>
      <c r="V4852" s="4"/>
      <c r="W4852" s="4"/>
      <c r="X4852" s="4"/>
    </row>
    <row r="4853" spans="17:24" x14ac:dyDescent="0.3">
      <c r="Q4853" s="4"/>
      <c r="R4853" s="4"/>
      <c r="S4853" s="4"/>
      <c r="T4853" s="4"/>
      <c r="U4853" s="4"/>
      <c r="V4853" s="4"/>
      <c r="W4853" s="4"/>
      <c r="X4853" s="4"/>
    </row>
    <row r="4854" spans="17:24" x14ac:dyDescent="0.3">
      <c r="Q4854" s="4"/>
      <c r="R4854" s="4"/>
      <c r="S4854" s="4"/>
      <c r="T4854" s="4"/>
      <c r="U4854" s="4"/>
      <c r="V4854" s="4"/>
      <c r="W4854" s="4"/>
      <c r="X4854" s="4"/>
    </row>
    <row r="4855" spans="17:24" x14ac:dyDescent="0.3">
      <c r="Q4855" s="4"/>
      <c r="R4855" s="4"/>
      <c r="S4855" s="4"/>
      <c r="T4855" s="4"/>
      <c r="U4855" s="4"/>
      <c r="V4855" s="4"/>
      <c r="W4855" s="4"/>
      <c r="X4855" s="4"/>
    </row>
    <row r="4856" spans="17:24" x14ac:dyDescent="0.3">
      <c r="Q4856" s="4"/>
      <c r="R4856" s="4"/>
      <c r="S4856" s="4"/>
      <c r="T4856" s="4"/>
      <c r="U4856" s="4"/>
      <c r="V4856" s="4"/>
      <c r="W4856" s="4"/>
      <c r="X4856" s="4"/>
    </row>
    <row r="4857" spans="17:24" x14ac:dyDescent="0.3">
      <c r="Q4857" s="4"/>
      <c r="R4857" s="4"/>
      <c r="S4857" s="4"/>
      <c r="T4857" s="4"/>
      <c r="U4857" s="4"/>
      <c r="V4857" s="4"/>
      <c r="W4857" s="4"/>
      <c r="X4857" s="4"/>
    </row>
    <row r="4858" spans="17:24" x14ac:dyDescent="0.3">
      <c r="Q4858" s="4"/>
      <c r="R4858" s="4"/>
      <c r="S4858" s="4"/>
      <c r="T4858" s="4"/>
      <c r="U4858" s="4"/>
      <c r="V4858" s="4"/>
      <c r="W4858" s="4"/>
      <c r="X4858" s="4"/>
    </row>
    <row r="4859" spans="17:24" x14ac:dyDescent="0.3">
      <c r="Q4859" s="4"/>
      <c r="R4859" s="4"/>
      <c r="S4859" s="4"/>
      <c r="T4859" s="4"/>
      <c r="U4859" s="4"/>
      <c r="V4859" s="4"/>
      <c r="W4859" s="4"/>
      <c r="X4859" s="4"/>
    </row>
    <row r="4860" spans="17:24" x14ac:dyDescent="0.3">
      <c r="Q4860" s="4"/>
      <c r="R4860" s="4"/>
      <c r="S4860" s="4"/>
      <c r="T4860" s="4"/>
      <c r="U4860" s="4"/>
      <c r="V4860" s="4"/>
      <c r="W4860" s="4"/>
      <c r="X4860" s="4"/>
    </row>
    <row r="4861" spans="17:24" x14ac:dyDescent="0.3">
      <c r="Q4861" s="4"/>
      <c r="R4861" s="4"/>
      <c r="S4861" s="4"/>
      <c r="T4861" s="4"/>
      <c r="U4861" s="4"/>
      <c r="V4861" s="4"/>
      <c r="W4861" s="4"/>
      <c r="X4861" s="4"/>
    </row>
    <row r="4862" spans="17:24" x14ac:dyDescent="0.3">
      <c r="Q4862" s="4"/>
      <c r="R4862" s="4"/>
      <c r="S4862" s="4"/>
      <c r="T4862" s="4"/>
      <c r="U4862" s="4"/>
      <c r="V4862" s="4"/>
      <c r="W4862" s="4"/>
      <c r="X4862" s="4"/>
    </row>
    <row r="4863" spans="17:24" x14ac:dyDescent="0.3">
      <c r="Q4863" s="4"/>
      <c r="R4863" s="4"/>
      <c r="S4863" s="4"/>
      <c r="T4863" s="4"/>
      <c r="U4863" s="4"/>
      <c r="V4863" s="4"/>
      <c r="W4863" s="4"/>
      <c r="X4863" s="4"/>
    </row>
    <row r="4864" spans="17:24" x14ac:dyDescent="0.3">
      <c r="Q4864" s="4"/>
      <c r="R4864" s="4"/>
      <c r="S4864" s="4"/>
      <c r="T4864" s="4"/>
      <c r="U4864" s="4"/>
      <c r="V4864" s="4"/>
      <c r="W4864" s="4"/>
      <c r="X4864" s="4"/>
    </row>
    <row r="4865" spans="17:24" x14ac:dyDescent="0.3">
      <c r="Q4865" s="4"/>
      <c r="R4865" s="4"/>
      <c r="S4865" s="4"/>
      <c r="T4865" s="4"/>
      <c r="U4865" s="4"/>
      <c r="V4865" s="4"/>
      <c r="W4865" s="4"/>
      <c r="X4865" s="4"/>
    </row>
    <row r="4866" spans="17:24" x14ac:dyDescent="0.3">
      <c r="Q4866" s="4"/>
      <c r="R4866" s="4"/>
      <c r="S4866" s="4"/>
      <c r="T4866" s="4"/>
      <c r="U4866" s="4"/>
      <c r="V4866" s="4"/>
      <c r="W4866" s="4"/>
      <c r="X4866" s="4"/>
    </row>
    <row r="4867" spans="17:24" x14ac:dyDescent="0.3">
      <c r="Q4867" s="4"/>
      <c r="R4867" s="4"/>
      <c r="S4867" s="4"/>
      <c r="T4867" s="4"/>
      <c r="U4867" s="4"/>
      <c r="V4867" s="4"/>
      <c r="W4867" s="4"/>
      <c r="X4867" s="4"/>
    </row>
    <row r="4868" spans="17:24" x14ac:dyDescent="0.3">
      <c r="Q4868" s="4"/>
      <c r="R4868" s="4"/>
      <c r="S4868" s="4"/>
      <c r="T4868" s="4"/>
      <c r="U4868" s="4"/>
      <c r="V4868" s="4"/>
      <c r="W4868" s="4"/>
      <c r="X4868" s="4"/>
    </row>
    <row r="4869" spans="17:24" x14ac:dyDescent="0.3">
      <c r="Q4869" s="4"/>
      <c r="R4869" s="4"/>
      <c r="S4869" s="4"/>
      <c r="T4869" s="4"/>
      <c r="U4869" s="4"/>
      <c r="V4869" s="4"/>
      <c r="W4869" s="4"/>
      <c r="X4869" s="4"/>
    </row>
    <row r="4870" spans="17:24" x14ac:dyDescent="0.3">
      <c r="Q4870" s="4"/>
      <c r="R4870" s="4"/>
      <c r="S4870" s="4"/>
      <c r="T4870" s="4"/>
      <c r="U4870" s="4"/>
      <c r="V4870" s="4"/>
      <c r="W4870" s="4"/>
      <c r="X4870" s="4"/>
    </row>
    <row r="4871" spans="17:24" x14ac:dyDescent="0.3">
      <c r="Q4871" s="4"/>
      <c r="R4871" s="4"/>
      <c r="S4871" s="4"/>
      <c r="T4871" s="4"/>
      <c r="U4871" s="4"/>
      <c r="V4871" s="4"/>
      <c r="W4871" s="4"/>
      <c r="X4871" s="4"/>
    </row>
    <row r="4872" spans="17:24" x14ac:dyDescent="0.3">
      <c r="Q4872" s="4"/>
      <c r="R4872" s="4"/>
      <c r="S4872" s="4"/>
      <c r="T4872" s="4"/>
      <c r="U4872" s="4"/>
      <c r="V4872" s="4"/>
      <c r="W4872" s="4"/>
      <c r="X4872" s="4"/>
    </row>
    <row r="4873" spans="17:24" x14ac:dyDescent="0.3">
      <c r="Q4873" s="4"/>
      <c r="R4873" s="4"/>
      <c r="S4873" s="4"/>
      <c r="T4873" s="4"/>
      <c r="U4873" s="4"/>
      <c r="V4873" s="4"/>
      <c r="W4873" s="4"/>
      <c r="X4873" s="4"/>
    </row>
    <row r="4874" spans="17:24" x14ac:dyDescent="0.3">
      <c r="Q4874" s="4"/>
      <c r="R4874" s="4"/>
      <c r="S4874" s="4"/>
      <c r="T4874" s="4"/>
      <c r="U4874" s="4"/>
      <c r="V4874" s="4"/>
      <c r="W4874" s="4"/>
      <c r="X4874" s="4"/>
    </row>
    <row r="4875" spans="17:24" x14ac:dyDescent="0.3">
      <c r="Q4875" s="4"/>
      <c r="R4875" s="4"/>
      <c r="S4875" s="4"/>
      <c r="T4875" s="4"/>
      <c r="U4875" s="4"/>
      <c r="V4875" s="4"/>
      <c r="W4875" s="4"/>
      <c r="X4875" s="4"/>
    </row>
    <row r="4876" spans="17:24" x14ac:dyDescent="0.3">
      <c r="Q4876" s="4"/>
      <c r="R4876" s="4"/>
      <c r="S4876" s="4"/>
      <c r="T4876" s="4"/>
      <c r="U4876" s="4"/>
      <c r="V4876" s="4"/>
      <c r="W4876" s="4"/>
      <c r="X4876" s="4"/>
    </row>
    <row r="4877" spans="17:24" x14ac:dyDescent="0.3">
      <c r="Q4877" s="4"/>
      <c r="R4877" s="4"/>
      <c r="S4877" s="4"/>
      <c r="T4877" s="4"/>
      <c r="U4877" s="4"/>
      <c r="V4877" s="4"/>
      <c r="W4877" s="4"/>
      <c r="X4877" s="4"/>
    </row>
    <row r="4878" spans="17:24" x14ac:dyDescent="0.3">
      <c r="Q4878" s="4"/>
      <c r="R4878" s="4"/>
      <c r="S4878" s="4"/>
      <c r="T4878" s="4"/>
      <c r="U4878" s="4"/>
      <c r="V4878" s="4"/>
      <c r="W4878" s="4"/>
      <c r="X4878" s="4"/>
    </row>
    <row r="4879" spans="17:24" x14ac:dyDescent="0.3">
      <c r="Q4879" s="4"/>
      <c r="R4879" s="4"/>
      <c r="S4879" s="4"/>
      <c r="T4879" s="4"/>
      <c r="U4879" s="4"/>
      <c r="V4879" s="4"/>
      <c r="W4879" s="4"/>
      <c r="X4879" s="4"/>
    </row>
    <row r="4880" spans="17:24" x14ac:dyDescent="0.3">
      <c r="Q4880" s="4"/>
      <c r="R4880" s="4"/>
      <c r="S4880" s="4"/>
      <c r="T4880" s="4"/>
      <c r="U4880" s="4"/>
      <c r="V4880" s="4"/>
      <c r="W4880" s="4"/>
      <c r="X4880" s="4"/>
    </row>
    <row r="4881" spans="17:24" x14ac:dyDescent="0.3">
      <c r="Q4881" s="4"/>
      <c r="R4881" s="4"/>
      <c r="S4881" s="4"/>
      <c r="T4881" s="4"/>
      <c r="U4881" s="4"/>
      <c r="V4881" s="4"/>
      <c r="W4881" s="4"/>
      <c r="X4881" s="4"/>
    </row>
    <row r="4882" spans="17:24" x14ac:dyDescent="0.3">
      <c r="Q4882" s="4"/>
      <c r="R4882" s="4"/>
      <c r="S4882" s="4"/>
      <c r="T4882" s="4"/>
      <c r="U4882" s="4"/>
      <c r="V4882" s="4"/>
      <c r="W4882" s="4"/>
      <c r="X4882" s="4"/>
    </row>
    <row r="4883" spans="17:24" x14ac:dyDescent="0.3">
      <c r="Q4883" s="4"/>
      <c r="R4883" s="4"/>
      <c r="S4883" s="4"/>
      <c r="T4883" s="4"/>
      <c r="U4883" s="4"/>
      <c r="V4883" s="4"/>
      <c r="W4883" s="4"/>
      <c r="X4883" s="4"/>
    </row>
    <row r="4884" spans="17:24" x14ac:dyDescent="0.3">
      <c r="Q4884" s="4"/>
      <c r="R4884" s="4"/>
      <c r="S4884" s="4"/>
      <c r="T4884" s="4"/>
      <c r="U4884" s="4"/>
      <c r="V4884" s="4"/>
      <c r="W4884" s="4"/>
      <c r="X4884" s="4"/>
    </row>
    <row r="4885" spans="17:24" x14ac:dyDescent="0.3">
      <c r="Q4885" s="4"/>
      <c r="R4885" s="4"/>
      <c r="S4885" s="4"/>
      <c r="T4885" s="4"/>
      <c r="U4885" s="4"/>
      <c r="V4885" s="4"/>
      <c r="W4885" s="4"/>
      <c r="X4885" s="4"/>
    </row>
    <row r="4886" spans="17:24" x14ac:dyDescent="0.3">
      <c r="Q4886" s="4"/>
      <c r="R4886" s="4"/>
      <c r="S4886" s="4"/>
      <c r="T4886" s="4"/>
      <c r="U4886" s="4"/>
      <c r="V4886" s="4"/>
      <c r="W4886" s="4"/>
      <c r="X4886" s="4"/>
    </row>
    <row r="4887" spans="17:24" x14ac:dyDescent="0.3">
      <c r="Q4887" s="4"/>
      <c r="R4887" s="4"/>
      <c r="S4887" s="4"/>
      <c r="T4887" s="4"/>
      <c r="U4887" s="4"/>
      <c r="V4887" s="4"/>
      <c r="W4887" s="4"/>
      <c r="X4887" s="4"/>
    </row>
    <row r="4888" spans="17:24" x14ac:dyDescent="0.3">
      <c r="Q4888" s="4"/>
      <c r="R4888" s="4"/>
      <c r="S4888" s="4"/>
      <c r="T4888" s="4"/>
      <c r="U4888" s="4"/>
      <c r="V4888" s="4"/>
      <c r="W4888" s="4"/>
      <c r="X4888" s="4"/>
    </row>
    <row r="4889" spans="17:24" x14ac:dyDescent="0.3">
      <c r="Q4889" s="4"/>
      <c r="R4889" s="4"/>
      <c r="S4889" s="4"/>
      <c r="T4889" s="4"/>
      <c r="U4889" s="4"/>
      <c r="V4889" s="4"/>
      <c r="W4889" s="4"/>
      <c r="X4889" s="4"/>
    </row>
    <row r="4890" spans="17:24" x14ac:dyDescent="0.3">
      <c r="Q4890" s="4"/>
      <c r="R4890" s="4"/>
      <c r="S4890" s="4"/>
      <c r="T4890" s="4"/>
      <c r="U4890" s="4"/>
      <c r="V4890" s="4"/>
      <c r="W4890" s="4"/>
      <c r="X4890" s="4"/>
    </row>
    <row r="4891" spans="17:24" x14ac:dyDescent="0.3">
      <c r="Q4891" s="4"/>
      <c r="R4891" s="4"/>
      <c r="S4891" s="4"/>
      <c r="T4891" s="4"/>
      <c r="U4891" s="4"/>
      <c r="V4891" s="4"/>
      <c r="W4891" s="4"/>
      <c r="X4891" s="4"/>
    </row>
    <row r="4892" spans="17:24" x14ac:dyDescent="0.3">
      <c r="Q4892" s="4"/>
      <c r="R4892" s="4"/>
      <c r="S4892" s="4"/>
      <c r="T4892" s="4"/>
      <c r="U4892" s="4"/>
      <c r="V4892" s="4"/>
      <c r="W4892" s="4"/>
      <c r="X4892" s="4"/>
    </row>
    <row r="4893" spans="17:24" x14ac:dyDescent="0.3">
      <c r="Q4893" s="4"/>
      <c r="R4893" s="4"/>
      <c r="S4893" s="4"/>
      <c r="T4893" s="4"/>
      <c r="U4893" s="4"/>
      <c r="V4893" s="4"/>
      <c r="W4893" s="4"/>
      <c r="X4893" s="4"/>
    </row>
    <row r="4894" spans="17:24" x14ac:dyDescent="0.3">
      <c r="Q4894" s="4"/>
      <c r="R4894" s="4"/>
      <c r="S4894" s="4"/>
      <c r="T4894" s="4"/>
      <c r="U4894" s="4"/>
      <c r="V4894" s="4"/>
      <c r="W4894" s="4"/>
      <c r="X4894" s="4"/>
    </row>
    <row r="4895" spans="17:24" x14ac:dyDescent="0.3">
      <c r="Q4895" s="4"/>
      <c r="R4895" s="4"/>
      <c r="S4895" s="4"/>
      <c r="T4895" s="4"/>
      <c r="U4895" s="4"/>
      <c r="V4895" s="4"/>
      <c r="W4895" s="4"/>
      <c r="X4895" s="4"/>
    </row>
    <row r="4896" spans="17:24" x14ac:dyDescent="0.3">
      <c r="Q4896" s="4"/>
      <c r="R4896" s="4"/>
      <c r="S4896" s="4"/>
      <c r="T4896" s="4"/>
      <c r="U4896" s="4"/>
      <c r="V4896" s="4"/>
      <c r="W4896" s="4"/>
      <c r="X4896" s="4"/>
    </row>
    <row r="4897" spans="17:24" x14ac:dyDescent="0.3">
      <c r="Q4897" s="4"/>
      <c r="R4897" s="4"/>
      <c r="S4897" s="4"/>
      <c r="T4897" s="4"/>
      <c r="U4897" s="4"/>
      <c r="V4897" s="4"/>
      <c r="W4897" s="4"/>
      <c r="X4897" s="4"/>
    </row>
    <row r="4898" spans="17:24" x14ac:dyDescent="0.3">
      <c r="Q4898" s="4"/>
      <c r="R4898" s="4"/>
      <c r="S4898" s="4"/>
      <c r="T4898" s="4"/>
      <c r="U4898" s="4"/>
      <c r="V4898" s="4"/>
      <c r="W4898" s="4"/>
      <c r="X4898" s="4"/>
    </row>
    <row r="4899" spans="17:24" x14ac:dyDescent="0.3">
      <c r="Q4899" s="4"/>
      <c r="R4899" s="4"/>
      <c r="S4899" s="4"/>
      <c r="T4899" s="4"/>
      <c r="U4899" s="4"/>
      <c r="V4899" s="4"/>
      <c r="W4899" s="4"/>
      <c r="X4899" s="4"/>
    </row>
    <row r="4900" spans="17:24" x14ac:dyDescent="0.3">
      <c r="Q4900" s="4"/>
      <c r="R4900" s="4"/>
      <c r="S4900" s="4"/>
      <c r="T4900" s="4"/>
      <c r="U4900" s="4"/>
      <c r="V4900" s="4"/>
      <c r="W4900" s="4"/>
      <c r="X4900" s="4"/>
    </row>
    <row r="4901" spans="17:24" x14ac:dyDescent="0.3">
      <c r="Q4901" s="4"/>
      <c r="R4901" s="4"/>
      <c r="S4901" s="4"/>
      <c r="T4901" s="4"/>
      <c r="U4901" s="4"/>
      <c r="V4901" s="4"/>
      <c r="W4901" s="4"/>
      <c r="X4901" s="4"/>
    </row>
    <row r="4902" spans="17:24" x14ac:dyDescent="0.3">
      <c r="Q4902" s="4"/>
      <c r="R4902" s="4"/>
      <c r="S4902" s="4"/>
      <c r="T4902" s="4"/>
      <c r="U4902" s="4"/>
      <c r="V4902" s="4"/>
      <c r="W4902" s="4"/>
      <c r="X4902" s="4"/>
    </row>
    <row r="4903" spans="17:24" x14ac:dyDescent="0.3">
      <c r="Q4903" s="4"/>
      <c r="R4903" s="4"/>
      <c r="S4903" s="4"/>
      <c r="T4903" s="4"/>
      <c r="U4903" s="4"/>
      <c r="V4903" s="4"/>
      <c r="W4903" s="4"/>
      <c r="X4903" s="4"/>
    </row>
    <row r="4904" spans="17:24" x14ac:dyDescent="0.3">
      <c r="Q4904" s="4"/>
      <c r="R4904" s="4"/>
      <c r="S4904" s="4"/>
      <c r="T4904" s="4"/>
      <c r="U4904" s="4"/>
      <c r="V4904" s="4"/>
      <c r="W4904" s="4"/>
      <c r="X4904" s="4"/>
    </row>
    <row r="4905" spans="17:24" x14ac:dyDescent="0.3">
      <c r="Q4905" s="4"/>
      <c r="R4905" s="4"/>
      <c r="S4905" s="4"/>
      <c r="T4905" s="4"/>
      <c r="U4905" s="4"/>
      <c r="V4905" s="4"/>
      <c r="W4905" s="4"/>
      <c r="X4905" s="4"/>
    </row>
    <row r="4906" spans="17:24" x14ac:dyDescent="0.3">
      <c r="Q4906" s="4"/>
      <c r="R4906" s="4"/>
      <c r="S4906" s="4"/>
      <c r="T4906" s="4"/>
      <c r="U4906" s="4"/>
      <c r="V4906" s="4"/>
      <c r="W4906" s="4"/>
      <c r="X4906" s="4"/>
    </row>
    <row r="4907" spans="17:24" x14ac:dyDescent="0.3">
      <c r="Q4907" s="4"/>
      <c r="R4907" s="4"/>
      <c r="S4907" s="4"/>
      <c r="T4907" s="4"/>
      <c r="U4907" s="4"/>
      <c r="V4907" s="4"/>
      <c r="W4907" s="4"/>
      <c r="X4907" s="4"/>
    </row>
    <row r="4908" spans="17:24" x14ac:dyDescent="0.3">
      <c r="Q4908" s="4"/>
      <c r="R4908" s="4"/>
      <c r="S4908" s="4"/>
      <c r="T4908" s="4"/>
      <c r="U4908" s="4"/>
      <c r="V4908" s="4"/>
      <c r="W4908" s="4"/>
      <c r="X4908" s="4"/>
    </row>
    <row r="4909" spans="17:24" x14ac:dyDescent="0.3">
      <c r="Q4909" s="4"/>
      <c r="R4909" s="4"/>
      <c r="S4909" s="4"/>
      <c r="T4909" s="4"/>
      <c r="U4909" s="4"/>
      <c r="V4909" s="4"/>
      <c r="W4909" s="4"/>
      <c r="X4909" s="4"/>
    </row>
    <row r="4910" spans="17:24" x14ac:dyDescent="0.3">
      <c r="Q4910" s="4"/>
      <c r="R4910" s="4"/>
      <c r="S4910" s="4"/>
      <c r="T4910" s="4"/>
      <c r="U4910" s="4"/>
      <c r="V4910" s="4"/>
      <c r="W4910" s="4"/>
      <c r="X4910" s="4"/>
    </row>
    <row r="4911" spans="17:24" x14ac:dyDescent="0.3">
      <c r="Q4911" s="4"/>
      <c r="R4911" s="4"/>
      <c r="S4911" s="4"/>
      <c r="T4911" s="4"/>
      <c r="U4911" s="4"/>
      <c r="V4911" s="4"/>
      <c r="W4911" s="4"/>
      <c r="X4911" s="4"/>
    </row>
    <row r="4912" spans="17:24" x14ac:dyDescent="0.3">
      <c r="Q4912" s="4"/>
      <c r="R4912" s="4"/>
      <c r="S4912" s="4"/>
      <c r="T4912" s="4"/>
      <c r="U4912" s="4"/>
      <c r="V4912" s="4"/>
      <c r="W4912" s="4"/>
      <c r="X4912" s="4"/>
    </row>
    <row r="4913" spans="17:24" x14ac:dyDescent="0.3">
      <c r="Q4913" s="4"/>
      <c r="R4913" s="4"/>
      <c r="S4913" s="4"/>
      <c r="T4913" s="4"/>
      <c r="U4913" s="4"/>
      <c r="V4913" s="4"/>
      <c r="W4913" s="4"/>
      <c r="X4913" s="4"/>
    </row>
    <row r="4914" spans="17:24" x14ac:dyDescent="0.3">
      <c r="Q4914" s="4"/>
      <c r="R4914" s="4"/>
      <c r="S4914" s="4"/>
      <c r="T4914" s="4"/>
      <c r="U4914" s="4"/>
      <c r="V4914" s="4"/>
      <c r="W4914" s="4"/>
      <c r="X4914" s="4"/>
    </row>
    <row r="4915" spans="17:24" x14ac:dyDescent="0.3">
      <c r="Q4915" s="4"/>
      <c r="R4915" s="4"/>
      <c r="S4915" s="4"/>
      <c r="T4915" s="4"/>
      <c r="U4915" s="4"/>
      <c r="V4915" s="4"/>
      <c r="W4915" s="4"/>
      <c r="X4915" s="4"/>
    </row>
    <row r="4916" spans="17:24" x14ac:dyDescent="0.3">
      <c r="Q4916" s="4"/>
      <c r="R4916" s="4"/>
      <c r="S4916" s="4"/>
      <c r="T4916" s="4"/>
      <c r="U4916" s="4"/>
      <c r="V4916" s="4"/>
      <c r="W4916" s="4"/>
      <c r="X4916" s="4"/>
    </row>
    <row r="4917" spans="17:24" x14ac:dyDescent="0.3">
      <c r="Q4917" s="4"/>
      <c r="R4917" s="4"/>
      <c r="S4917" s="4"/>
      <c r="T4917" s="4"/>
      <c r="U4917" s="4"/>
      <c r="V4917" s="4"/>
      <c r="W4917" s="4"/>
      <c r="X4917" s="4"/>
    </row>
    <row r="4918" spans="17:24" x14ac:dyDescent="0.3">
      <c r="Q4918" s="4"/>
      <c r="R4918" s="4"/>
      <c r="S4918" s="4"/>
      <c r="T4918" s="4"/>
      <c r="U4918" s="4"/>
      <c r="V4918" s="4"/>
      <c r="W4918" s="4"/>
      <c r="X4918" s="4"/>
    </row>
    <row r="4919" spans="17:24" x14ac:dyDescent="0.3">
      <c r="Q4919" s="4"/>
      <c r="R4919" s="4"/>
      <c r="S4919" s="4"/>
      <c r="T4919" s="4"/>
      <c r="U4919" s="4"/>
      <c r="V4919" s="4"/>
      <c r="W4919" s="4"/>
      <c r="X4919" s="4"/>
    </row>
    <row r="4920" spans="17:24" x14ac:dyDescent="0.3">
      <c r="Q4920" s="4"/>
      <c r="R4920" s="4"/>
      <c r="S4920" s="4"/>
      <c r="T4920" s="4"/>
      <c r="U4920" s="4"/>
      <c r="V4920" s="4"/>
      <c r="W4920" s="4"/>
      <c r="X4920" s="4"/>
    </row>
    <row r="4921" spans="17:24" x14ac:dyDescent="0.3">
      <c r="Q4921" s="4"/>
      <c r="R4921" s="4"/>
      <c r="S4921" s="4"/>
      <c r="T4921" s="4"/>
      <c r="U4921" s="4"/>
      <c r="V4921" s="4"/>
      <c r="W4921" s="4"/>
      <c r="X4921" s="4"/>
    </row>
    <row r="4922" spans="17:24" x14ac:dyDescent="0.3">
      <c r="Q4922" s="4"/>
      <c r="R4922" s="4"/>
      <c r="S4922" s="4"/>
      <c r="T4922" s="4"/>
      <c r="U4922" s="4"/>
      <c r="V4922" s="4"/>
      <c r="W4922" s="4"/>
      <c r="X4922" s="4"/>
    </row>
    <row r="4923" spans="17:24" x14ac:dyDescent="0.3">
      <c r="Q4923" s="4"/>
      <c r="R4923" s="4"/>
      <c r="S4923" s="4"/>
      <c r="T4923" s="4"/>
      <c r="U4923" s="4"/>
      <c r="V4923" s="4"/>
      <c r="W4923" s="4"/>
      <c r="X4923" s="4"/>
    </row>
    <row r="4924" spans="17:24" x14ac:dyDescent="0.3">
      <c r="Q4924" s="4"/>
      <c r="R4924" s="4"/>
      <c r="S4924" s="4"/>
      <c r="T4924" s="4"/>
      <c r="U4924" s="4"/>
      <c r="V4924" s="4"/>
      <c r="W4924" s="4"/>
      <c r="X4924" s="4"/>
    </row>
    <row r="4925" spans="17:24" x14ac:dyDescent="0.3">
      <c r="Q4925" s="4"/>
      <c r="R4925" s="4"/>
      <c r="S4925" s="4"/>
      <c r="T4925" s="4"/>
      <c r="U4925" s="4"/>
      <c r="V4925" s="4"/>
      <c r="W4925" s="4"/>
      <c r="X4925" s="4"/>
    </row>
    <row r="4926" spans="17:24" x14ac:dyDescent="0.3">
      <c r="Q4926" s="4"/>
      <c r="R4926" s="4"/>
      <c r="S4926" s="4"/>
      <c r="T4926" s="4"/>
      <c r="U4926" s="4"/>
      <c r="V4926" s="4"/>
      <c r="W4926" s="4"/>
      <c r="X4926" s="4"/>
    </row>
    <row r="4927" spans="17:24" x14ac:dyDescent="0.3">
      <c r="Q4927" s="4"/>
      <c r="R4927" s="4"/>
      <c r="S4927" s="4"/>
      <c r="T4927" s="4"/>
      <c r="U4927" s="4"/>
      <c r="V4927" s="4"/>
      <c r="W4927" s="4"/>
      <c r="X4927" s="4"/>
    </row>
    <row r="4928" spans="17:24" x14ac:dyDescent="0.3">
      <c r="Q4928" s="4"/>
      <c r="R4928" s="4"/>
      <c r="S4928" s="4"/>
      <c r="T4928" s="4"/>
      <c r="U4928" s="4"/>
      <c r="V4928" s="4"/>
      <c r="W4928" s="4"/>
      <c r="X4928" s="4"/>
    </row>
    <row r="4929" spans="17:24" x14ac:dyDescent="0.3">
      <c r="Q4929" s="4"/>
      <c r="R4929" s="4"/>
      <c r="S4929" s="4"/>
      <c r="T4929" s="4"/>
      <c r="U4929" s="4"/>
      <c r="V4929" s="4"/>
      <c r="W4929" s="4"/>
      <c r="X4929" s="4"/>
    </row>
    <row r="4930" spans="17:24" x14ac:dyDescent="0.3">
      <c r="Q4930" s="4"/>
      <c r="R4930" s="4"/>
      <c r="S4930" s="4"/>
      <c r="T4930" s="4"/>
      <c r="U4930" s="4"/>
      <c r="V4930" s="4"/>
      <c r="W4930" s="4"/>
      <c r="X4930" s="4"/>
    </row>
    <row r="4931" spans="17:24" x14ac:dyDescent="0.3">
      <c r="Q4931" s="4"/>
      <c r="R4931" s="4"/>
      <c r="S4931" s="4"/>
      <c r="T4931" s="4"/>
      <c r="U4931" s="4"/>
      <c r="V4931" s="4"/>
      <c r="W4931" s="4"/>
      <c r="X4931" s="4"/>
    </row>
    <row r="4932" spans="17:24" x14ac:dyDescent="0.3">
      <c r="Q4932" s="4"/>
      <c r="R4932" s="4"/>
      <c r="S4932" s="4"/>
      <c r="T4932" s="4"/>
      <c r="U4932" s="4"/>
      <c r="V4932" s="4"/>
      <c r="W4932" s="4"/>
      <c r="X4932" s="4"/>
    </row>
    <row r="4933" spans="17:24" x14ac:dyDescent="0.3">
      <c r="Q4933" s="4"/>
      <c r="R4933" s="4"/>
      <c r="S4933" s="4"/>
      <c r="T4933" s="4"/>
      <c r="U4933" s="4"/>
      <c r="V4933" s="4"/>
      <c r="W4933" s="4"/>
      <c r="X4933" s="4"/>
    </row>
    <row r="4934" spans="17:24" x14ac:dyDescent="0.3">
      <c r="Q4934" s="4"/>
      <c r="R4934" s="4"/>
      <c r="S4934" s="4"/>
      <c r="T4934" s="4"/>
      <c r="U4934" s="4"/>
      <c r="V4934" s="4"/>
      <c r="W4934" s="4"/>
      <c r="X4934" s="4"/>
    </row>
    <row r="4935" spans="17:24" x14ac:dyDescent="0.3">
      <c r="Q4935" s="4"/>
      <c r="R4935" s="4"/>
      <c r="S4935" s="4"/>
      <c r="T4935" s="4"/>
      <c r="U4935" s="4"/>
      <c r="V4935" s="4"/>
      <c r="W4935" s="4"/>
      <c r="X4935" s="4"/>
    </row>
    <row r="4936" spans="17:24" x14ac:dyDescent="0.3">
      <c r="Q4936" s="4"/>
      <c r="R4936" s="4"/>
      <c r="S4936" s="4"/>
      <c r="T4936" s="4"/>
      <c r="U4936" s="4"/>
      <c r="V4936" s="4"/>
      <c r="W4936" s="4"/>
      <c r="X4936" s="4"/>
    </row>
    <row r="4937" spans="17:24" x14ac:dyDescent="0.3">
      <c r="Q4937" s="4"/>
      <c r="R4937" s="4"/>
      <c r="S4937" s="4"/>
      <c r="T4937" s="4"/>
      <c r="U4937" s="4"/>
      <c r="V4937" s="4"/>
      <c r="W4937" s="4"/>
      <c r="X4937" s="4"/>
    </row>
    <row r="4938" spans="17:24" x14ac:dyDescent="0.3">
      <c r="Q4938" s="4"/>
      <c r="R4938" s="4"/>
      <c r="S4938" s="4"/>
      <c r="T4938" s="4"/>
      <c r="U4938" s="4"/>
      <c r="V4938" s="4"/>
      <c r="W4938" s="4"/>
      <c r="X4938" s="4"/>
    </row>
    <row r="4939" spans="17:24" x14ac:dyDescent="0.3">
      <c r="Q4939" s="4"/>
      <c r="R4939" s="4"/>
      <c r="S4939" s="4"/>
      <c r="T4939" s="4"/>
      <c r="U4939" s="4"/>
      <c r="V4939" s="4"/>
      <c r="W4939" s="4"/>
      <c r="X4939" s="4"/>
    </row>
    <row r="4940" spans="17:24" x14ac:dyDescent="0.3">
      <c r="Q4940" s="4"/>
      <c r="R4940" s="4"/>
      <c r="S4940" s="4"/>
      <c r="T4940" s="4"/>
      <c r="U4940" s="4"/>
      <c r="V4940" s="4"/>
      <c r="W4940" s="4"/>
      <c r="X4940" s="4"/>
    </row>
    <row r="4941" spans="17:24" x14ac:dyDescent="0.3">
      <c r="Q4941" s="4"/>
      <c r="R4941" s="4"/>
      <c r="S4941" s="4"/>
      <c r="T4941" s="4"/>
      <c r="U4941" s="4"/>
      <c r="V4941" s="4"/>
      <c r="W4941" s="4"/>
      <c r="X4941" s="4"/>
    </row>
    <row r="4942" spans="17:24" x14ac:dyDescent="0.3">
      <c r="Q4942" s="4"/>
      <c r="R4942" s="4"/>
      <c r="S4942" s="4"/>
      <c r="T4942" s="4"/>
      <c r="U4942" s="4"/>
      <c r="V4942" s="4"/>
      <c r="W4942" s="4"/>
      <c r="X4942" s="4"/>
    </row>
    <row r="4943" spans="17:24" x14ac:dyDescent="0.3">
      <c r="Q4943" s="4"/>
      <c r="R4943" s="4"/>
      <c r="S4943" s="4"/>
      <c r="T4943" s="4"/>
      <c r="U4943" s="4"/>
      <c r="V4943" s="4"/>
      <c r="W4943" s="4"/>
      <c r="X4943" s="4"/>
    </row>
    <row r="4944" spans="17:24" x14ac:dyDescent="0.3">
      <c r="Q4944" s="4"/>
      <c r="R4944" s="4"/>
      <c r="S4944" s="4"/>
      <c r="T4944" s="4"/>
      <c r="U4944" s="4"/>
      <c r="V4944" s="4"/>
      <c r="W4944" s="4"/>
      <c r="X4944" s="4"/>
    </row>
    <row r="4945" spans="17:24" x14ac:dyDescent="0.3">
      <c r="Q4945" s="4"/>
      <c r="R4945" s="4"/>
      <c r="S4945" s="4"/>
      <c r="T4945" s="4"/>
      <c r="U4945" s="4"/>
      <c r="V4945" s="4"/>
      <c r="W4945" s="4"/>
      <c r="X4945" s="4"/>
    </row>
    <row r="4946" spans="17:24" x14ac:dyDescent="0.3">
      <c r="Q4946" s="4"/>
      <c r="R4946" s="4"/>
      <c r="S4946" s="4"/>
      <c r="T4946" s="4"/>
      <c r="U4946" s="4"/>
      <c r="V4946" s="4"/>
      <c r="W4946" s="4"/>
      <c r="X4946" s="4"/>
    </row>
    <row r="4947" spans="17:24" x14ac:dyDescent="0.3">
      <c r="Q4947" s="4"/>
      <c r="R4947" s="4"/>
      <c r="S4947" s="4"/>
      <c r="T4947" s="4"/>
      <c r="U4947" s="4"/>
      <c r="V4947" s="4"/>
      <c r="W4947" s="4"/>
      <c r="X4947" s="4"/>
    </row>
    <row r="4948" spans="17:24" x14ac:dyDescent="0.3">
      <c r="Q4948" s="4"/>
      <c r="R4948" s="4"/>
      <c r="S4948" s="4"/>
      <c r="T4948" s="4"/>
      <c r="U4948" s="4"/>
      <c r="V4948" s="4"/>
      <c r="W4948" s="4"/>
      <c r="X4948" s="4"/>
    </row>
    <row r="4949" spans="17:24" x14ac:dyDescent="0.3">
      <c r="Q4949" s="4"/>
      <c r="R4949" s="4"/>
      <c r="S4949" s="4"/>
      <c r="T4949" s="4"/>
      <c r="U4949" s="4"/>
      <c r="V4949" s="4"/>
      <c r="W4949" s="4"/>
      <c r="X4949" s="4"/>
    </row>
    <row r="4950" spans="17:24" x14ac:dyDescent="0.3">
      <c r="Q4950" s="4"/>
      <c r="R4950" s="4"/>
      <c r="S4950" s="4"/>
      <c r="T4950" s="4"/>
      <c r="U4950" s="4"/>
      <c r="V4950" s="4"/>
      <c r="W4950" s="4"/>
      <c r="X4950" s="4"/>
    </row>
    <row r="4951" spans="17:24" x14ac:dyDescent="0.3">
      <c r="Q4951" s="4"/>
      <c r="R4951" s="4"/>
      <c r="S4951" s="4"/>
      <c r="T4951" s="4"/>
      <c r="U4951" s="4"/>
      <c r="V4951" s="4"/>
      <c r="W4951" s="4"/>
      <c r="X4951" s="4"/>
    </row>
    <row r="4952" spans="17:24" x14ac:dyDescent="0.3">
      <c r="Q4952" s="4"/>
      <c r="R4952" s="4"/>
      <c r="S4952" s="4"/>
      <c r="T4952" s="4"/>
      <c r="U4952" s="4"/>
      <c r="V4952" s="4"/>
      <c r="W4952" s="4"/>
      <c r="X4952" s="4"/>
    </row>
    <row r="4953" spans="17:24" x14ac:dyDescent="0.3">
      <c r="Q4953" s="4"/>
      <c r="R4953" s="4"/>
      <c r="S4953" s="4"/>
      <c r="T4953" s="4"/>
      <c r="U4953" s="4"/>
      <c r="V4953" s="4"/>
      <c r="W4953" s="4"/>
      <c r="X4953" s="4"/>
    </row>
    <row r="4954" spans="17:24" x14ac:dyDescent="0.3">
      <c r="Q4954" s="4"/>
      <c r="R4954" s="4"/>
      <c r="S4954" s="4"/>
      <c r="T4954" s="4"/>
      <c r="U4954" s="4"/>
      <c r="V4954" s="4"/>
      <c r="W4954" s="4"/>
      <c r="X4954" s="4"/>
    </row>
    <row r="4955" spans="17:24" x14ac:dyDescent="0.3">
      <c r="Q4955" s="4"/>
      <c r="R4955" s="4"/>
      <c r="S4955" s="4"/>
      <c r="T4955" s="4"/>
      <c r="U4955" s="4"/>
      <c r="V4955" s="4"/>
      <c r="W4955" s="4"/>
      <c r="X4955" s="4"/>
    </row>
    <row r="4956" spans="17:24" x14ac:dyDescent="0.3">
      <c r="Q4956" s="4"/>
      <c r="R4956" s="4"/>
      <c r="S4956" s="4"/>
      <c r="T4956" s="4"/>
      <c r="U4956" s="4"/>
      <c r="V4956" s="4"/>
      <c r="W4956" s="4"/>
      <c r="X4956" s="4"/>
    </row>
    <row r="4957" spans="17:24" x14ac:dyDescent="0.3">
      <c r="Q4957" s="4"/>
      <c r="R4957" s="4"/>
      <c r="S4957" s="4"/>
      <c r="T4957" s="4"/>
      <c r="U4957" s="4"/>
      <c r="V4957" s="4"/>
      <c r="W4957" s="4"/>
      <c r="X4957" s="4"/>
    </row>
    <row r="4958" spans="17:24" x14ac:dyDescent="0.3">
      <c r="Q4958" s="4"/>
      <c r="R4958" s="4"/>
      <c r="S4958" s="4"/>
      <c r="T4958" s="4"/>
      <c r="U4958" s="4"/>
      <c r="V4958" s="4"/>
      <c r="W4958" s="4"/>
      <c r="X4958" s="4"/>
    </row>
    <row r="4959" spans="17:24" x14ac:dyDescent="0.3">
      <c r="Q4959" s="4"/>
      <c r="R4959" s="4"/>
      <c r="S4959" s="4"/>
      <c r="T4959" s="4"/>
      <c r="U4959" s="4"/>
      <c r="V4959" s="4"/>
      <c r="W4959" s="4"/>
      <c r="X4959" s="4"/>
    </row>
    <row r="4960" spans="17:24" x14ac:dyDescent="0.3">
      <c r="Q4960" s="4"/>
      <c r="R4960" s="4"/>
      <c r="S4960" s="4"/>
      <c r="T4960" s="4"/>
      <c r="U4960" s="4"/>
      <c r="V4960" s="4"/>
      <c r="W4960" s="4"/>
      <c r="X4960" s="4"/>
    </row>
    <row r="4961" spans="17:24" x14ac:dyDescent="0.3">
      <c r="Q4961" s="4"/>
      <c r="R4961" s="4"/>
      <c r="S4961" s="4"/>
      <c r="T4961" s="4"/>
      <c r="U4961" s="4"/>
      <c r="V4961" s="4"/>
      <c r="W4961" s="4"/>
      <c r="X4961" s="4"/>
    </row>
    <row r="4962" spans="17:24" x14ac:dyDescent="0.3">
      <c r="Q4962" s="4"/>
      <c r="R4962" s="4"/>
      <c r="S4962" s="4"/>
      <c r="T4962" s="4"/>
      <c r="U4962" s="4"/>
      <c r="V4962" s="4"/>
      <c r="W4962" s="4"/>
      <c r="X4962" s="4"/>
    </row>
    <row r="4963" spans="17:24" x14ac:dyDescent="0.3">
      <c r="Q4963" s="4"/>
      <c r="R4963" s="4"/>
      <c r="S4963" s="4"/>
      <c r="T4963" s="4"/>
      <c r="U4963" s="4"/>
      <c r="V4963" s="4"/>
      <c r="W4963" s="4"/>
      <c r="X4963" s="4"/>
    </row>
    <row r="4964" spans="17:24" x14ac:dyDescent="0.3">
      <c r="Q4964" s="4"/>
      <c r="R4964" s="4"/>
      <c r="S4964" s="4"/>
      <c r="T4964" s="4"/>
      <c r="U4964" s="4"/>
      <c r="V4964" s="4"/>
      <c r="W4964" s="4"/>
      <c r="X4964" s="4"/>
    </row>
    <row r="4965" spans="17:24" x14ac:dyDescent="0.3">
      <c r="Q4965" s="4"/>
      <c r="R4965" s="4"/>
      <c r="S4965" s="4"/>
      <c r="T4965" s="4"/>
      <c r="U4965" s="4"/>
      <c r="V4965" s="4"/>
      <c r="W4965" s="4"/>
      <c r="X4965" s="4"/>
    </row>
    <row r="4966" spans="17:24" x14ac:dyDescent="0.3">
      <c r="Q4966" s="4"/>
      <c r="R4966" s="4"/>
      <c r="S4966" s="4"/>
      <c r="T4966" s="4"/>
      <c r="U4966" s="4"/>
      <c r="V4966" s="4"/>
      <c r="W4966" s="4"/>
      <c r="X4966" s="4"/>
    </row>
    <row r="4967" spans="17:24" x14ac:dyDescent="0.3">
      <c r="Q4967" s="4"/>
      <c r="R4967" s="4"/>
      <c r="S4967" s="4"/>
      <c r="T4967" s="4"/>
      <c r="U4967" s="4"/>
      <c r="V4967" s="4"/>
      <c r="W4967" s="4"/>
      <c r="X4967" s="4"/>
    </row>
    <row r="4968" spans="17:24" x14ac:dyDescent="0.3">
      <c r="Q4968" s="4"/>
      <c r="R4968" s="4"/>
      <c r="S4968" s="4"/>
      <c r="T4968" s="4"/>
      <c r="U4968" s="4"/>
      <c r="V4968" s="4"/>
      <c r="W4968" s="4"/>
      <c r="X4968" s="4"/>
    </row>
    <row r="4969" spans="17:24" x14ac:dyDescent="0.3">
      <c r="Q4969" s="4"/>
      <c r="R4969" s="4"/>
      <c r="S4969" s="4"/>
      <c r="T4969" s="4"/>
      <c r="U4969" s="4"/>
      <c r="V4969" s="4"/>
      <c r="W4969" s="4"/>
      <c r="X4969" s="4"/>
    </row>
    <row r="4970" spans="17:24" x14ac:dyDescent="0.3">
      <c r="Q4970" s="4"/>
      <c r="R4970" s="4"/>
      <c r="S4970" s="4"/>
      <c r="T4970" s="4"/>
      <c r="U4970" s="4"/>
      <c r="V4970" s="4"/>
      <c r="W4970" s="4"/>
      <c r="X4970" s="4"/>
    </row>
    <row r="4971" spans="17:24" x14ac:dyDescent="0.3">
      <c r="Q4971" s="4"/>
      <c r="R4971" s="4"/>
      <c r="S4971" s="4"/>
      <c r="T4971" s="4"/>
      <c r="U4971" s="4"/>
      <c r="V4971" s="4"/>
      <c r="W4971" s="4"/>
      <c r="X4971" s="4"/>
    </row>
    <row r="4972" spans="17:24" x14ac:dyDescent="0.3">
      <c r="Q4972" s="4"/>
      <c r="R4972" s="4"/>
      <c r="S4972" s="4"/>
      <c r="T4972" s="4"/>
      <c r="U4972" s="4"/>
      <c r="V4972" s="4"/>
      <c r="W4972" s="4"/>
      <c r="X4972" s="4"/>
    </row>
    <row r="4973" spans="17:24" x14ac:dyDescent="0.3">
      <c r="Q4973" s="4"/>
      <c r="R4973" s="4"/>
      <c r="S4973" s="4"/>
      <c r="T4973" s="4"/>
      <c r="U4973" s="4"/>
      <c r="V4973" s="4"/>
      <c r="W4973" s="4"/>
      <c r="X4973" s="4"/>
    </row>
    <row r="4974" spans="17:24" x14ac:dyDescent="0.3">
      <c r="Q4974" s="4"/>
      <c r="R4974" s="4"/>
      <c r="S4974" s="4"/>
      <c r="T4974" s="4"/>
      <c r="U4974" s="4"/>
      <c r="V4974" s="4"/>
      <c r="W4974" s="4"/>
      <c r="X4974" s="4"/>
    </row>
    <row r="4975" spans="17:24" x14ac:dyDescent="0.3">
      <c r="Q4975" s="4"/>
      <c r="R4975" s="4"/>
      <c r="S4975" s="4"/>
      <c r="T4975" s="4"/>
      <c r="U4975" s="4"/>
      <c r="V4975" s="4"/>
      <c r="W4975" s="4"/>
      <c r="X4975" s="4"/>
    </row>
    <row r="4976" spans="17:24" x14ac:dyDescent="0.3">
      <c r="Q4976" s="4"/>
      <c r="R4976" s="4"/>
      <c r="S4976" s="4"/>
      <c r="T4976" s="4"/>
      <c r="U4976" s="4"/>
      <c r="V4976" s="4"/>
      <c r="W4976" s="4"/>
      <c r="X4976" s="4"/>
    </row>
    <row r="4977" spans="17:24" x14ac:dyDescent="0.3">
      <c r="Q4977" s="4"/>
      <c r="R4977" s="4"/>
      <c r="S4977" s="4"/>
      <c r="T4977" s="4"/>
      <c r="U4977" s="4"/>
      <c r="V4977" s="4"/>
      <c r="W4977" s="4"/>
      <c r="X4977" s="4"/>
    </row>
    <row r="4978" spans="17:24" x14ac:dyDescent="0.3">
      <c r="Q4978" s="4"/>
      <c r="R4978" s="4"/>
      <c r="S4978" s="4"/>
      <c r="T4978" s="4"/>
      <c r="U4978" s="4"/>
      <c r="V4978" s="4"/>
      <c r="W4978" s="4"/>
      <c r="X4978" s="4"/>
    </row>
    <row r="4979" spans="17:24" x14ac:dyDescent="0.3">
      <c r="Q4979" s="4"/>
      <c r="R4979" s="4"/>
      <c r="S4979" s="4"/>
      <c r="T4979" s="4"/>
      <c r="U4979" s="4"/>
      <c r="V4979" s="4"/>
      <c r="W4979" s="4"/>
      <c r="X4979" s="4"/>
    </row>
    <row r="4980" spans="17:24" x14ac:dyDescent="0.3">
      <c r="Q4980" s="4"/>
      <c r="R4980" s="4"/>
      <c r="S4980" s="4"/>
      <c r="T4980" s="4"/>
      <c r="U4980" s="4"/>
      <c r="V4980" s="4"/>
      <c r="W4980" s="4"/>
      <c r="X4980" s="4"/>
    </row>
    <row r="4981" spans="17:24" x14ac:dyDescent="0.3">
      <c r="Q4981" s="4"/>
      <c r="R4981" s="4"/>
      <c r="S4981" s="4"/>
      <c r="T4981" s="4"/>
      <c r="U4981" s="4"/>
      <c r="V4981" s="4"/>
      <c r="W4981" s="4"/>
      <c r="X4981" s="4"/>
    </row>
    <row r="4982" spans="17:24" x14ac:dyDescent="0.3">
      <c r="Q4982" s="4"/>
      <c r="R4982" s="4"/>
      <c r="S4982" s="4"/>
      <c r="T4982" s="4"/>
      <c r="U4982" s="4"/>
      <c r="V4982" s="4"/>
      <c r="W4982" s="4"/>
      <c r="X4982" s="4"/>
    </row>
    <row r="4983" spans="17:24" x14ac:dyDescent="0.3">
      <c r="Q4983" s="4"/>
      <c r="R4983" s="4"/>
      <c r="S4983" s="4"/>
      <c r="T4983" s="4"/>
      <c r="U4983" s="4"/>
      <c r="V4983" s="4"/>
      <c r="W4983" s="4"/>
      <c r="X4983" s="4"/>
    </row>
    <row r="4984" spans="17:24" x14ac:dyDescent="0.3">
      <c r="Q4984" s="4"/>
      <c r="R4984" s="4"/>
      <c r="S4984" s="4"/>
      <c r="T4984" s="4"/>
      <c r="U4984" s="4"/>
      <c r="V4984" s="4"/>
      <c r="W4984" s="4"/>
      <c r="X4984" s="4"/>
    </row>
    <row r="4985" spans="17:24" x14ac:dyDescent="0.3">
      <c r="Q4985" s="4"/>
      <c r="R4985" s="4"/>
      <c r="S4985" s="4"/>
      <c r="T4985" s="4"/>
      <c r="U4985" s="4"/>
      <c r="V4985" s="4"/>
      <c r="W4985" s="4"/>
      <c r="X4985" s="4"/>
    </row>
    <row r="4986" spans="17:24" x14ac:dyDescent="0.3">
      <c r="Q4986" s="4"/>
      <c r="R4986" s="4"/>
      <c r="S4986" s="4"/>
      <c r="T4986" s="4"/>
      <c r="U4986" s="4"/>
      <c r="V4986" s="4"/>
      <c r="W4986" s="4"/>
      <c r="X4986" s="4"/>
    </row>
    <row r="4987" spans="17:24" x14ac:dyDescent="0.3">
      <c r="Q4987" s="4"/>
      <c r="R4987" s="4"/>
      <c r="S4987" s="4"/>
      <c r="T4987" s="4"/>
      <c r="U4987" s="4"/>
      <c r="V4987" s="4"/>
      <c r="W4987" s="4"/>
      <c r="X4987" s="4"/>
    </row>
    <row r="4988" spans="17:24" x14ac:dyDescent="0.3">
      <c r="Q4988" s="4"/>
      <c r="R4988" s="4"/>
      <c r="S4988" s="4"/>
      <c r="T4988" s="4"/>
      <c r="U4988" s="4"/>
      <c r="V4988" s="4"/>
      <c r="W4988" s="4"/>
      <c r="X4988" s="4"/>
    </row>
    <row r="4989" spans="17:24" x14ac:dyDescent="0.3">
      <c r="Q4989" s="4"/>
      <c r="R4989" s="4"/>
      <c r="S4989" s="4"/>
      <c r="T4989" s="4"/>
      <c r="U4989" s="4"/>
      <c r="V4989" s="4"/>
      <c r="W4989" s="4"/>
      <c r="X4989" s="4"/>
    </row>
    <row r="4990" spans="17:24" x14ac:dyDescent="0.3">
      <c r="Q4990" s="4"/>
      <c r="R4990" s="4"/>
      <c r="S4990" s="4"/>
      <c r="T4990" s="4"/>
      <c r="U4990" s="4"/>
      <c r="V4990" s="4"/>
      <c r="W4990" s="4"/>
      <c r="X4990" s="4"/>
    </row>
    <row r="4991" spans="17:24" x14ac:dyDescent="0.3">
      <c r="Q4991" s="4"/>
      <c r="R4991" s="4"/>
      <c r="S4991" s="4"/>
      <c r="T4991" s="4"/>
      <c r="U4991" s="4"/>
      <c r="V4991" s="4"/>
      <c r="W4991" s="4"/>
      <c r="X4991" s="4"/>
    </row>
    <row r="4992" spans="17:24" x14ac:dyDescent="0.3">
      <c r="Q4992" s="4"/>
      <c r="R4992" s="4"/>
      <c r="S4992" s="4"/>
      <c r="T4992" s="4"/>
      <c r="U4992" s="4"/>
      <c r="V4992" s="4"/>
      <c r="W4992" s="4"/>
      <c r="X4992" s="4"/>
    </row>
    <row r="4993" spans="17:24" x14ac:dyDescent="0.3">
      <c r="Q4993" s="4"/>
      <c r="R4993" s="4"/>
      <c r="S4993" s="4"/>
      <c r="T4993" s="4"/>
      <c r="U4993" s="4"/>
      <c r="V4993" s="4"/>
      <c r="W4993" s="4"/>
      <c r="X4993" s="4"/>
    </row>
    <row r="4994" spans="17:24" x14ac:dyDescent="0.3">
      <c r="Q4994" s="4"/>
      <c r="R4994" s="4"/>
      <c r="S4994" s="4"/>
      <c r="T4994" s="4"/>
      <c r="U4994" s="4"/>
      <c r="V4994" s="4"/>
      <c r="W4994" s="4"/>
      <c r="X4994" s="4"/>
    </row>
    <row r="4995" spans="17:24" x14ac:dyDescent="0.3">
      <c r="Q4995" s="4"/>
      <c r="R4995" s="4"/>
      <c r="S4995" s="4"/>
      <c r="T4995" s="4"/>
      <c r="U4995" s="4"/>
      <c r="V4995" s="4"/>
      <c r="W4995" s="4"/>
      <c r="X4995" s="4"/>
    </row>
    <row r="4996" spans="17:24" x14ac:dyDescent="0.3">
      <c r="Q4996" s="4"/>
      <c r="R4996" s="4"/>
      <c r="S4996" s="4"/>
      <c r="T4996" s="4"/>
      <c r="U4996" s="4"/>
      <c r="V4996" s="4"/>
      <c r="W4996" s="4"/>
      <c r="X4996" s="4"/>
    </row>
    <row r="4997" spans="17:24" x14ac:dyDescent="0.3">
      <c r="Q4997" s="4"/>
      <c r="R4997" s="4"/>
      <c r="S4997" s="4"/>
      <c r="T4997" s="4"/>
      <c r="U4997" s="4"/>
      <c r="V4997" s="4"/>
      <c r="W4997" s="4"/>
      <c r="X4997" s="4"/>
    </row>
    <row r="4998" spans="17:24" x14ac:dyDescent="0.3">
      <c r="Q4998" s="4"/>
      <c r="R4998" s="4"/>
      <c r="S4998" s="4"/>
      <c r="T4998" s="4"/>
      <c r="U4998" s="4"/>
      <c r="V4998" s="4"/>
      <c r="W4998" s="4"/>
      <c r="X4998" s="4"/>
    </row>
    <row r="4999" spans="17:24" x14ac:dyDescent="0.3">
      <c r="Q4999" s="4"/>
      <c r="R4999" s="4"/>
      <c r="S4999" s="4"/>
      <c r="T4999" s="4"/>
      <c r="U4999" s="4"/>
      <c r="V4999" s="4"/>
      <c r="W4999" s="4"/>
      <c r="X4999" s="4"/>
    </row>
    <row r="5000" spans="17:24" x14ac:dyDescent="0.3">
      <c r="Q5000" s="4"/>
      <c r="R5000" s="4"/>
      <c r="S5000" s="4"/>
      <c r="T5000" s="4"/>
      <c r="U5000" s="4"/>
      <c r="V5000" s="4"/>
      <c r="W5000" s="4"/>
      <c r="X5000" s="4"/>
    </row>
    <row r="5001" spans="17:24" x14ac:dyDescent="0.3">
      <c r="Q5001" s="4"/>
      <c r="R5001" s="4"/>
      <c r="S5001" s="4"/>
      <c r="T5001" s="4"/>
      <c r="U5001" s="4"/>
      <c r="V5001" s="4"/>
      <c r="W5001" s="4"/>
      <c r="X5001" s="4"/>
    </row>
    <row r="5002" spans="17:24" x14ac:dyDescent="0.3">
      <c r="Q5002" s="4"/>
      <c r="R5002" s="4"/>
      <c r="S5002" s="4"/>
      <c r="T5002" s="4"/>
      <c r="U5002" s="4"/>
      <c r="V5002" s="4"/>
      <c r="W5002" s="4"/>
      <c r="X5002" s="4"/>
    </row>
    <row r="5003" spans="17:24" x14ac:dyDescent="0.3">
      <c r="Q5003" s="4"/>
      <c r="R5003" s="4"/>
      <c r="S5003" s="4"/>
      <c r="T5003" s="4"/>
      <c r="U5003" s="4"/>
      <c r="V5003" s="4"/>
      <c r="W5003" s="4"/>
      <c r="X5003" s="4"/>
    </row>
    <row r="5004" spans="17:24" x14ac:dyDescent="0.3">
      <c r="Q5004" s="4"/>
      <c r="R5004" s="4"/>
      <c r="S5004" s="4"/>
      <c r="T5004" s="4"/>
      <c r="U5004" s="4"/>
      <c r="V5004" s="4"/>
      <c r="W5004" s="4"/>
      <c r="X5004" s="4"/>
    </row>
    <row r="5005" spans="17:24" x14ac:dyDescent="0.3">
      <c r="Q5005" s="4"/>
      <c r="R5005" s="4"/>
      <c r="S5005" s="4"/>
      <c r="T5005" s="4"/>
      <c r="U5005" s="4"/>
      <c r="V5005" s="4"/>
      <c r="W5005" s="4"/>
      <c r="X5005" s="4"/>
    </row>
    <row r="5006" spans="17:24" x14ac:dyDescent="0.3">
      <c r="Q5006" s="4"/>
      <c r="R5006" s="4"/>
      <c r="S5006" s="4"/>
      <c r="T5006" s="4"/>
      <c r="U5006" s="4"/>
      <c r="V5006" s="4"/>
      <c r="W5006" s="4"/>
      <c r="X5006" s="4"/>
    </row>
    <row r="5007" spans="17:24" x14ac:dyDescent="0.3">
      <c r="Q5007" s="4"/>
      <c r="R5007" s="4"/>
      <c r="S5007" s="4"/>
      <c r="T5007" s="4"/>
      <c r="U5007" s="4"/>
      <c r="V5007" s="4"/>
      <c r="W5007" s="4"/>
      <c r="X5007" s="4"/>
    </row>
    <row r="5008" spans="17:24" x14ac:dyDescent="0.3">
      <c r="Q5008" s="4"/>
      <c r="R5008" s="4"/>
      <c r="S5008" s="4"/>
      <c r="T5008" s="4"/>
      <c r="U5008" s="4"/>
      <c r="V5008" s="4"/>
      <c r="W5008" s="4"/>
      <c r="X5008" s="4"/>
    </row>
    <row r="5009" spans="17:24" x14ac:dyDescent="0.3">
      <c r="Q5009" s="4"/>
      <c r="R5009" s="4"/>
      <c r="S5009" s="4"/>
      <c r="T5009" s="4"/>
      <c r="U5009" s="4"/>
      <c r="V5009" s="4"/>
      <c r="W5009" s="4"/>
      <c r="X5009" s="4"/>
    </row>
    <row r="5010" spans="17:24" x14ac:dyDescent="0.3">
      <c r="Q5010" s="4"/>
      <c r="R5010" s="4"/>
      <c r="S5010" s="4"/>
      <c r="T5010" s="4"/>
      <c r="U5010" s="4"/>
      <c r="V5010" s="4"/>
      <c r="W5010" s="4"/>
      <c r="X5010" s="4"/>
    </row>
    <row r="5011" spans="17:24" x14ac:dyDescent="0.3">
      <c r="Q5011" s="4"/>
      <c r="R5011" s="4"/>
      <c r="S5011" s="4"/>
      <c r="T5011" s="4"/>
      <c r="U5011" s="4"/>
      <c r="V5011" s="4"/>
      <c r="W5011" s="4"/>
      <c r="X5011" s="4"/>
    </row>
    <row r="5012" spans="17:24" x14ac:dyDescent="0.3">
      <c r="Q5012" s="4"/>
      <c r="R5012" s="4"/>
      <c r="S5012" s="4"/>
      <c r="T5012" s="4"/>
      <c r="U5012" s="4"/>
      <c r="V5012" s="4"/>
      <c r="W5012" s="4"/>
      <c r="X5012" s="4"/>
    </row>
    <row r="5013" spans="17:24" x14ac:dyDescent="0.3">
      <c r="Q5013" s="4"/>
      <c r="R5013" s="4"/>
      <c r="S5013" s="4"/>
      <c r="T5013" s="4"/>
      <c r="U5013" s="4"/>
      <c r="V5013" s="4"/>
      <c r="W5013" s="4"/>
      <c r="X5013" s="4"/>
    </row>
    <row r="5014" spans="17:24" x14ac:dyDescent="0.3">
      <c r="Q5014" s="4"/>
      <c r="R5014" s="4"/>
      <c r="S5014" s="4"/>
      <c r="T5014" s="4"/>
      <c r="U5014" s="4"/>
      <c r="V5014" s="4"/>
      <c r="W5014" s="4"/>
      <c r="X5014" s="4"/>
    </row>
    <row r="5015" spans="17:24" x14ac:dyDescent="0.3">
      <c r="Q5015" s="4"/>
      <c r="R5015" s="4"/>
      <c r="S5015" s="4"/>
      <c r="T5015" s="4"/>
      <c r="U5015" s="4"/>
      <c r="V5015" s="4"/>
      <c r="W5015" s="4"/>
      <c r="X5015" s="4"/>
    </row>
    <row r="5016" spans="17:24" x14ac:dyDescent="0.3">
      <c r="Q5016" s="4"/>
      <c r="R5016" s="4"/>
      <c r="S5016" s="4"/>
      <c r="T5016" s="4"/>
      <c r="U5016" s="4"/>
      <c r="V5016" s="4"/>
      <c r="W5016" s="4"/>
      <c r="X5016" s="4"/>
    </row>
    <row r="5017" spans="17:24" x14ac:dyDescent="0.3">
      <c r="Q5017" s="4"/>
      <c r="R5017" s="4"/>
      <c r="S5017" s="4"/>
      <c r="T5017" s="4"/>
      <c r="U5017" s="4"/>
      <c r="V5017" s="4"/>
      <c r="W5017" s="4"/>
      <c r="X5017" s="4"/>
    </row>
    <row r="5018" spans="17:24" x14ac:dyDescent="0.3">
      <c r="Q5018" s="4"/>
      <c r="R5018" s="4"/>
      <c r="S5018" s="4"/>
      <c r="T5018" s="4"/>
      <c r="U5018" s="4"/>
      <c r="V5018" s="4"/>
      <c r="W5018" s="4"/>
      <c r="X5018" s="4"/>
    </row>
    <row r="5019" spans="17:24" x14ac:dyDescent="0.3">
      <c r="Q5019" s="4"/>
      <c r="R5019" s="4"/>
      <c r="S5019" s="4"/>
      <c r="T5019" s="4"/>
      <c r="U5019" s="4"/>
      <c r="V5019" s="4"/>
      <c r="W5019" s="4"/>
      <c r="X5019" s="4"/>
    </row>
    <row r="5020" spans="17:24" x14ac:dyDescent="0.3">
      <c r="Q5020" s="4"/>
      <c r="R5020" s="4"/>
      <c r="S5020" s="4"/>
      <c r="T5020" s="4"/>
      <c r="U5020" s="4"/>
      <c r="V5020" s="4"/>
      <c r="W5020" s="4"/>
      <c r="X5020" s="4"/>
    </row>
    <row r="5021" spans="17:24" x14ac:dyDescent="0.3">
      <c r="Q5021" s="4"/>
      <c r="R5021" s="4"/>
      <c r="S5021" s="4"/>
      <c r="T5021" s="4"/>
      <c r="U5021" s="4"/>
      <c r="V5021" s="4"/>
      <c r="W5021" s="4"/>
      <c r="X5021" s="4"/>
    </row>
    <row r="5022" spans="17:24" x14ac:dyDescent="0.3">
      <c r="Q5022" s="4"/>
      <c r="R5022" s="4"/>
      <c r="S5022" s="4"/>
      <c r="T5022" s="4"/>
      <c r="U5022" s="4"/>
      <c r="V5022" s="4"/>
      <c r="W5022" s="4"/>
      <c r="X5022" s="4"/>
    </row>
    <row r="5023" spans="17:24" x14ac:dyDescent="0.3">
      <c r="Q5023" s="4"/>
      <c r="R5023" s="4"/>
      <c r="S5023" s="4"/>
      <c r="T5023" s="4"/>
      <c r="U5023" s="4"/>
      <c r="V5023" s="4"/>
      <c r="W5023" s="4"/>
      <c r="X5023" s="4"/>
    </row>
    <row r="5024" spans="17:24" x14ac:dyDescent="0.3">
      <c r="Q5024" s="4"/>
      <c r="R5024" s="4"/>
      <c r="S5024" s="4"/>
      <c r="T5024" s="4"/>
      <c r="U5024" s="4"/>
      <c r="V5024" s="4"/>
      <c r="W5024" s="4"/>
      <c r="X5024" s="4"/>
    </row>
    <row r="5025" spans="17:24" x14ac:dyDescent="0.3">
      <c r="Q5025" s="4"/>
      <c r="R5025" s="4"/>
      <c r="S5025" s="4"/>
      <c r="T5025" s="4"/>
      <c r="U5025" s="4"/>
      <c r="V5025" s="4"/>
      <c r="W5025" s="4"/>
      <c r="X5025" s="4"/>
    </row>
    <row r="5026" spans="17:24" x14ac:dyDescent="0.3">
      <c r="Q5026" s="4"/>
      <c r="R5026" s="4"/>
      <c r="S5026" s="4"/>
      <c r="T5026" s="4"/>
      <c r="U5026" s="4"/>
      <c r="V5026" s="4"/>
      <c r="W5026" s="4"/>
      <c r="X5026" s="4"/>
    </row>
    <row r="5027" spans="17:24" x14ac:dyDescent="0.3">
      <c r="Q5027" s="4"/>
      <c r="R5027" s="4"/>
      <c r="S5027" s="4"/>
      <c r="T5027" s="4"/>
      <c r="U5027" s="4"/>
      <c r="V5027" s="4"/>
      <c r="W5027" s="4"/>
      <c r="X5027" s="4"/>
    </row>
    <row r="5028" spans="17:24" x14ac:dyDescent="0.3">
      <c r="Q5028" s="4"/>
      <c r="R5028" s="4"/>
      <c r="S5028" s="4"/>
      <c r="T5028" s="4"/>
      <c r="U5028" s="4"/>
      <c r="V5028" s="4"/>
      <c r="W5028" s="4"/>
      <c r="X5028" s="4"/>
    </row>
    <row r="5029" spans="17:24" x14ac:dyDescent="0.3">
      <c r="Q5029" s="4"/>
      <c r="R5029" s="4"/>
      <c r="S5029" s="4"/>
      <c r="T5029" s="4"/>
      <c r="U5029" s="4"/>
      <c r="V5029" s="4"/>
      <c r="W5029" s="4"/>
      <c r="X5029" s="4"/>
    </row>
    <row r="5030" spans="17:24" x14ac:dyDescent="0.3">
      <c r="Q5030" s="4"/>
      <c r="R5030" s="4"/>
      <c r="S5030" s="4"/>
      <c r="T5030" s="4"/>
      <c r="U5030" s="4"/>
      <c r="V5030" s="4"/>
      <c r="W5030" s="4"/>
      <c r="X5030" s="4"/>
    </row>
    <row r="5031" spans="17:24" x14ac:dyDescent="0.3">
      <c r="Q5031" s="4"/>
      <c r="R5031" s="4"/>
      <c r="S5031" s="4"/>
      <c r="T5031" s="4"/>
      <c r="U5031" s="4"/>
      <c r="V5031" s="4"/>
      <c r="W5031" s="4"/>
      <c r="X5031" s="4"/>
    </row>
    <row r="5032" spans="17:24" x14ac:dyDescent="0.3">
      <c r="Q5032" s="4"/>
      <c r="R5032" s="4"/>
      <c r="S5032" s="4"/>
      <c r="T5032" s="4"/>
      <c r="U5032" s="4"/>
      <c r="V5032" s="4"/>
      <c r="W5032" s="4"/>
      <c r="X5032" s="4"/>
    </row>
    <row r="5033" spans="17:24" x14ac:dyDescent="0.3">
      <c r="Q5033" s="4"/>
      <c r="R5033" s="4"/>
      <c r="S5033" s="4"/>
      <c r="T5033" s="4"/>
      <c r="U5033" s="4"/>
      <c r="V5033" s="4"/>
      <c r="W5033" s="4"/>
      <c r="X5033" s="4"/>
    </row>
    <row r="5034" spans="17:24" x14ac:dyDescent="0.3">
      <c r="Q5034" s="4"/>
      <c r="R5034" s="4"/>
      <c r="S5034" s="4"/>
      <c r="T5034" s="4"/>
      <c r="U5034" s="4"/>
      <c r="V5034" s="4"/>
      <c r="W5034" s="4"/>
      <c r="X5034" s="4"/>
    </row>
    <row r="5035" spans="17:24" x14ac:dyDescent="0.3">
      <c r="Q5035" s="4"/>
      <c r="R5035" s="4"/>
      <c r="S5035" s="4"/>
      <c r="T5035" s="4"/>
      <c r="U5035" s="4"/>
      <c r="V5035" s="4"/>
      <c r="W5035" s="4"/>
      <c r="X5035" s="4"/>
    </row>
    <row r="5036" spans="17:24" x14ac:dyDescent="0.3">
      <c r="Q5036" s="4"/>
      <c r="R5036" s="4"/>
      <c r="S5036" s="4"/>
      <c r="T5036" s="4"/>
      <c r="U5036" s="4"/>
      <c r="V5036" s="4"/>
      <c r="W5036" s="4"/>
      <c r="X5036" s="4"/>
    </row>
    <row r="5037" spans="17:24" x14ac:dyDescent="0.3">
      <c r="Q5037" s="4"/>
      <c r="R5037" s="4"/>
      <c r="S5037" s="4"/>
      <c r="T5037" s="4"/>
      <c r="U5037" s="4"/>
      <c r="V5037" s="4"/>
      <c r="W5037" s="4"/>
      <c r="X5037" s="4"/>
    </row>
    <row r="5038" spans="17:24" x14ac:dyDescent="0.3">
      <c r="Q5038" s="4"/>
      <c r="R5038" s="4"/>
      <c r="S5038" s="4"/>
      <c r="T5038" s="4"/>
      <c r="U5038" s="4"/>
      <c r="V5038" s="4"/>
      <c r="W5038" s="4"/>
      <c r="X5038" s="4"/>
    </row>
    <row r="5039" spans="17:24" x14ac:dyDescent="0.3">
      <c r="Q5039" s="4"/>
      <c r="R5039" s="4"/>
      <c r="S5039" s="4"/>
      <c r="T5039" s="4"/>
      <c r="U5039" s="4"/>
      <c r="V5039" s="4"/>
      <c r="W5039" s="4"/>
      <c r="X5039" s="4"/>
    </row>
    <row r="5040" spans="17:24" x14ac:dyDescent="0.3">
      <c r="Q5040" s="4"/>
      <c r="R5040" s="4"/>
      <c r="S5040" s="4"/>
      <c r="T5040" s="4"/>
      <c r="U5040" s="4"/>
      <c r="V5040" s="4"/>
      <c r="W5040" s="4"/>
      <c r="X5040" s="4"/>
    </row>
    <row r="5041" spans="17:24" x14ac:dyDescent="0.3">
      <c r="Q5041" s="4"/>
      <c r="R5041" s="4"/>
      <c r="S5041" s="4"/>
      <c r="T5041" s="4"/>
      <c r="U5041" s="4"/>
      <c r="V5041" s="4"/>
      <c r="W5041" s="4"/>
      <c r="X5041" s="4"/>
    </row>
    <row r="5042" spans="17:24" x14ac:dyDescent="0.3">
      <c r="Q5042" s="4"/>
      <c r="R5042" s="4"/>
      <c r="S5042" s="4"/>
      <c r="T5042" s="4"/>
      <c r="U5042" s="4"/>
      <c r="V5042" s="4"/>
      <c r="W5042" s="4"/>
      <c r="X5042" s="4"/>
    </row>
    <row r="5043" spans="17:24" x14ac:dyDescent="0.3">
      <c r="Q5043" s="4"/>
      <c r="R5043" s="4"/>
      <c r="S5043" s="4"/>
      <c r="T5043" s="4"/>
      <c r="U5043" s="4"/>
      <c r="V5043" s="4"/>
      <c r="W5043" s="4"/>
      <c r="X5043" s="4"/>
    </row>
    <row r="5044" spans="17:24" x14ac:dyDescent="0.3">
      <c r="Q5044" s="4"/>
      <c r="R5044" s="4"/>
      <c r="S5044" s="4"/>
      <c r="T5044" s="4"/>
      <c r="U5044" s="4"/>
      <c r="V5044" s="4"/>
      <c r="W5044" s="4"/>
      <c r="X5044" s="4"/>
    </row>
    <row r="5045" spans="17:24" x14ac:dyDescent="0.3">
      <c r="Q5045" s="4"/>
      <c r="R5045" s="4"/>
      <c r="S5045" s="4"/>
      <c r="T5045" s="4"/>
      <c r="U5045" s="4"/>
      <c r="V5045" s="4"/>
      <c r="W5045" s="4"/>
      <c r="X5045" s="4"/>
    </row>
    <row r="5046" spans="17:24" x14ac:dyDescent="0.3">
      <c r="Q5046" s="4"/>
      <c r="R5046" s="4"/>
      <c r="S5046" s="4"/>
      <c r="T5046" s="4"/>
      <c r="U5046" s="4"/>
      <c r="V5046" s="4"/>
      <c r="W5046" s="4"/>
      <c r="X5046" s="4"/>
    </row>
    <row r="5047" spans="17:24" x14ac:dyDescent="0.3">
      <c r="Q5047" s="4"/>
      <c r="R5047" s="4"/>
      <c r="S5047" s="4"/>
      <c r="T5047" s="4"/>
      <c r="U5047" s="4"/>
      <c r="V5047" s="4"/>
      <c r="W5047" s="4"/>
      <c r="X5047" s="4"/>
    </row>
    <row r="5048" spans="17:24" x14ac:dyDescent="0.3">
      <c r="Q5048" s="4"/>
      <c r="R5048" s="4"/>
      <c r="S5048" s="4"/>
      <c r="T5048" s="4"/>
      <c r="U5048" s="4"/>
      <c r="V5048" s="4"/>
      <c r="W5048" s="4"/>
      <c r="X5048" s="4"/>
    </row>
    <row r="5049" spans="17:24" x14ac:dyDescent="0.3">
      <c r="Q5049" s="4"/>
      <c r="R5049" s="4"/>
      <c r="S5049" s="4"/>
      <c r="T5049" s="4"/>
      <c r="U5049" s="4"/>
      <c r="V5049" s="4"/>
      <c r="W5049" s="4"/>
      <c r="X5049" s="4"/>
    </row>
    <row r="5050" spans="17:24" x14ac:dyDescent="0.3">
      <c r="Q5050" s="4"/>
      <c r="R5050" s="4"/>
      <c r="S5050" s="4"/>
      <c r="T5050" s="4"/>
      <c r="U5050" s="4"/>
      <c r="V5050" s="4"/>
      <c r="W5050" s="4"/>
      <c r="X5050" s="4"/>
    </row>
    <row r="5051" spans="17:24" x14ac:dyDescent="0.3">
      <c r="Q5051" s="4"/>
      <c r="R5051" s="4"/>
      <c r="S5051" s="4"/>
      <c r="T5051" s="4"/>
      <c r="U5051" s="4"/>
      <c r="V5051" s="4"/>
      <c r="W5051" s="4"/>
      <c r="X5051" s="4"/>
    </row>
    <row r="5052" spans="17:24" x14ac:dyDescent="0.3">
      <c r="Q5052" s="4"/>
      <c r="R5052" s="4"/>
      <c r="S5052" s="4"/>
      <c r="T5052" s="4"/>
      <c r="U5052" s="4"/>
      <c r="V5052" s="4"/>
      <c r="W5052" s="4"/>
      <c r="X5052" s="4"/>
    </row>
    <row r="5053" spans="17:24" x14ac:dyDescent="0.3">
      <c r="Q5053" s="4"/>
      <c r="R5053" s="4"/>
      <c r="S5053" s="4"/>
      <c r="T5053" s="4"/>
      <c r="U5053" s="4"/>
      <c r="V5053" s="4"/>
      <c r="W5053" s="4"/>
      <c r="X5053" s="4"/>
    </row>
    <row r="5054" spans="17:24" x14ac:dyDescent="0.3">
      <c r="Q5054" s="4"/>
      <c r="R5054" s="4"/>
      <c r="S5054" s="4"/>
      <c r="T5054" s="4"/>
      <c r="U5054" s="4"/>
      <c r="V5054" s="4"/>
      <c r="W5054" s="4"/>
      <c r="X5054" s="4"/>
    </row>
    <row r="5055" spans="17:24" x14ac:dyDescent="0.3">
      <c r="Q5055" s="4"/>
      <c r="R5055" s="4"/>
      <c r="S5055" s="4"/>
      <c r="T5055" s="4"/>
      <c r="U5055" s="4"/>
      <c r="V5055" s="4"/>
      <c r="W5055" s="4"/>
      <c r="X5055" s="4"/>
    </row>
    <row r="5056" spans="17:24" x14ac:dyDescent="0.3">
      <c r="Q5056" s="4"/>
      <c r="R5056" s="4"/>
      <c r="S5056" s="4"/>
      <c r="T5056" s="4"/>
      <c r="U5056" s="4"/>
      <c r="V5056" s="4"/>
      <c r="W5056" s="4"/>
      <c r="X5056" s="4"/>
    </row>
    <row r="5057" spans="17:24" x14ac:dyDescent="0.3">
      <c r="Q5057" s="4"/>
      <c r="R5057" s="4"/>
      <c r="S5057" s="4"/>
      <c r="T5057" s="4"/>
      <c r="U5057" s="4"/>
      <c r="V5057" s="4"/>
      <c r="W5057" s="4"/>
      <c r="X5057" s="4"/>
    </row>
    <row r="5058" spans="17:24" x14ac:dyDescent="0.3">
      <c r="Q5058" s="4"/>
      <c r="R5058" s="4"/>
      <c r="S5058" s="4"/>
      <c r="T5058" s="4"/>
      <c r="U5058" s="4"/>
      <c r="V5058" s="4"/>
      <c r="W5058" s="4"/>
      <c r="X5058" s="4"/>
    </row>
    <row r="5059" spans="17:24" x14ac:dyDescent="0.3">
      <c r="Q5059" s="4"/>
      <c r="R5059" s="4"/>
      <c r="S5059" s="4"/>
      <c r="T5059" s="4"/>
      <c r="U5059" s="4"/>
      <c r="V5059" s="4"/>
      <c r="W5059" s="4"/>
      <c r="X5059" s="4"/>
    </row>
    <row r="5060" spans="17:24" x14ac:dyDescent="0.3">
      <c r="Q5060" s="4"/>
      <c r="R5060" s="4"/>
      <c r="S5060" s="4"/>
      <c r="T5060" s="4"/>
      <c r="U5060" s="4"/>
      <c r="V5060" s="4"/>
      <c r="W5060" s="4"/>
      <c r="X5060" s="4"/>
    </row>
    <row r="5061" spans="17:24" x14ac:dyDescent="0.3">
      <c r="Q5061" s="4"/>
      <c r="R5061" s="4"/>
      <c r="S5061" s="4"/>
      <c r="T5061" s="4"/>
      <c r="U5061" s="4"/>
      <c r="V5061" s="4"/>
      <c r="W5061" s="4"/>
      <c r="X5061" s="4"/>
    </row>
    <row r="5062" spans="17:24" x14ac:dyDescent="0.3">
      <c r="Q5062" s="4"/>
      <c r="R5062" s="4"/>
      <c r="S5062" s="4"/>
      <c r="T5062" s="4"/>
      <c r="U5062" s="4"/>
      <c r="V5062" s="4"/>
      <c r="W5062" s="4"/>
      <c r="X5062" s="4"/>
    </row>
    <row r="5063" spans="17:24" x14ac:dyDescent="0.3">
      <c r="Q5063" s="4"/>
      <c r="R5063" s="4"/>
      <c r="S5063" s="4"/>
      <c r="T5063" s="4"/>
      <c r="U5063" s="4"/>
      <c r="V5063" s="4"/>
      <c r="W5063" s="4"/>
      <c r="X5063" s="4"/>
    </row>
    <row r="5064" spans="17:24" x14ac:dyDescent="0.3">
      <c r="Q5064" s="4"/>
      <c r="R5064" s="4"/>
      <c r="S5064" s="4"/>
      <c r="T5064" s="4"/>
      <c r="U5064" s="4"/>
      <c r="V5064" s="4"/>
      <c r="W5064" s="4"/>
      <c r="X5064" s="4"/>
    </row>
    <row r="5065" spans="17:24" x14ac:dyDescent="0.3">
      <c r="Q5065" s="4"/>
      <c r="R5065" s="4"/>
      <c r="S5065" s="4"/>
      <c r="T5065" s="4"/>
      <c r="U5065" s="4"/>
      <c r="V5065" s="4"/>
      <c r="W5065" s="4"/>
      <c r="X5065" s="4"/>
    </row>
    <row r="5066" spans="17:24" x14ac:dyDescent="0.3">
      <c r="Q5066" s="4"/>
      <c r="R5066" s="4"/>
      <c r="S5066" s="4"/>
      <c r="T5066" s="4"/>
      <c r="U5066" s="4"/>
      <c r="V5066" s="4"/>
      <c r="W5066" s="4"/>
      <c r="X5066" s="4"/>
    </row>
    <row r="5067" spans="17:24" x14ac:dyDescent="0.3">
      <c r="Q5067" s="4"/>
      <c r="R5067" s="4"/>
      <c r="S5067" s="4"/>
      <c r="T5067" s="4"/>
      <c r="U5067" s="4"/>
      <c r="V5067" s="4"/>
      <c r="W5067" s="4"/>
      <c r="X5067" s="4"/>
    </row>
    <row r="5068" spans="17:24" x14ac:dyDescent="0.3">
      <c r="Q5068" s="4"/>
      <c r="R5068" s="4"/>
      <c r="S5068" s="4"/>
      <c r="T5068" s="4"/>
      <c r="U5068" s="4"/>
      <c r="V5068" s="4"/>
      <c r="W5068" s="4"/>
      <c r="X5068" s="4"/>
    </row>
    <row r="5069" spans="17:24" x14ac:dyDescent="0.3">
      <c r="Q5069" s="4"/>
      <c r="R5069" s="4"/>
      <c r="S5069" s="4"/>
      <c r="T5069" s="4"/>
      <c r="U5069" s="4"/>
      <c r="V5069" s="4"/>
      <c r="W5069" s="4"/>
      <c r="X5069" s="4"/>
    </row>
    <row r="5070" spans="17:24" x14ac:dyDescent="0.3">
      <c r="Q5070" s="4"/>
      <c r="R5070" s="4"/>
      <c r="S5070" s="4"/>
      <c r="T5070" s="4"/>
      <c r="U5070" s="4"/>
      <c r="V5070" s="4"/>
      <c r="W5070" s="4"/>
      <c r="X5070" s="4"/>
    </row>
    <row r="5071" spans="17:24" x14ac:dyDescent="0.3">
      <c r="Q5071" s="4"/>
      <c r="R5071" s="4"/>
      <c r="S5071" s="4"/>
      <c r="T5071" s="4"/>
      <c r="U5071" s="4"/>
      <c r="V5071" s="4"/>
      <c r="W5071" s="4"/>
      <c r="X5071" s="4"/>
    </row>
    <row r="5072" spans="17:24" x14ac:dyDescent="0.3">
      <c r="Q5072" s="4"/>
      <c r="R5072" s="4"/>
      <c r="S5072" s="4"/>
      <c r="T5072" s="4"/>
      <c r="U5072" s="4"/>
      <c r="V5072" s="4"/>
      <c r="W5072" s="4"/>
      <c r="X5072" s="4"/>
    </row>
    <row r="5073" spans="17:24" x14ac:dyDescent="0.3">
      <c r="Q5073" s="4"/>
      <c r="R5073" s="4"/>
      <c r="S5073" s="4"/>
      <c r="T5073" s="4"/>
      <c r="U5073" s="4"/>
      <c r="V5073" s="4"/>
      <c r="W5073" s="4"/>
      <c r="X5073" s="4"/>
    </row>
    <row r="5074" spans="17:24" x14ac:dyDescent="0.3">
      <c r="Q5074" s="4"/>
      <c r="R5074" s="4"/>
      <c r="S5074" s="4"/>
      <c r="T5074" s="4"/>
      <c r="U5074" s="4"/>
      <c r="V5074" s="4"/>
      <c r="W5074" s="4"/>
      <c r="X5074" s="4"/>
    </row>
    <row r="5075" spans="17:24" x14ac:dyDescent="0.3">
      <c r="Q5075" s="4"/>
      <c r="R5075" s="4"/>
      <c r="S5075" s="4"/>
      <c r="T5075" s="4"/>
      <c r="U5075" s="4"/>
      <c r="V5075" s="4"/>
      <c r="W5075" s="4"/>
      <c r="X5075" s="4"/>
    </row>
    <row r="5076" spans="17:24" x14ac:dyDescent="0.3">
      <c r="Q5076" s="4"/>
      <c r="R5076" s="4"/>
      <c r="S5076" s="4"/>
      <c r="T5076" s="4"/>
      <c r="U5076" s="4"/>
      <c r="V5076" s="4"/>
      <c r="W5076" s="4"/>
      <c r="X5076" s="4"/>
    </row>
    <row r="5077" spans="17:24" x14ac:dyDescent="0.3">
      <c r="Q5077" s="4"/>
      <c r="R5077" s="4"/>
      <c r="S5077" s="4"/>
      <c r="T5077" s="4"/>
      <c r="U5077" s="4"/>
      <c r="V5077" s="4"/>
      <c r="W5077" s="4"/>
      <c r="X5077" s="4"/>
    </row>
    <row r="5078" spans="17:24" x14ac:dyDescent="0.3">
      <c r="Q5078" s="4"/>
      <c r="R5078" s="4"/>
      <c r="S5078" s="4"/>
      <c r="T5078" s="4"/>
      <c r="U5078" s="4"/>
      <c r="V5078" s="4"/>
      <c r="W5078" s="4"/>
      <c r="X5078" s="4"/>
    </row>
    <row r="5079" spans="17:24" x14ac:dyDescent="0.3">
      <c r="Q5079" s="4"/>
      <c r="R5079" s="4"/>
      <c r="S5079" s="4"/>
      <c r="T5079" s="4"/>
      <c r="U5079" s="4"/>
      <c r="V5079" s="4"/>
      <c r="W5079" s="4"/>
      <c r="X5079" s="4"/>
    </row>
    <row r="5080" spans="17:24" x14ac:dyDescent="0.3">
      <c r="Q5080" s="4"/>
      <c r="R5080" s="4"/>
      <c r="S5080" s="4"/>
      <c r="T5080" s="4"/>
      <c r="U5080" s="4"/>
      <c r="V5080" s="4"/>
      <c r="W5080" s="4"/>
      <c r="X5080" s="4"/>
    </row>
    <row r="5081" spans="17:24" x14ac:dyDescent="0.3">
      <c r="Q5081" s="4"/>
      <c r="R5081" s="4"/>
      <c r="S5081" s="4"/>
      <c r="T5081" s="4"/>
      <c r="U5081" s="4"/>
      <c r="V5081" s="4"/>
      <c r="W5081" s="4"/>
      <c r="X5081" s="4"/>
    </row>
    <row r="5082" spans="17:24" x14ac:dyDescent="0.3">
      <c r="Q5082" s="4"/>
      <c r="R5082" s="4"/>
      <c r="S5082" s="4"/>
      <c r="T5082" s="4"/>
      <c r="U5082" s="4"/>
      <c r="V5082" s="4"/>
      <c r="W5082" s="4"/>
      <c r="X5082" s="4"/>
    </row>
    <row r="5083" spans="17:24" x14ac:dyDescent="0.3">
      <c r="Q5083" s="4"/>
      <c r="R5083" s="4"/>
      <c r="S5083" s="4"/>
      <c r="T5083" s="4"/>
      <c r="U5083" s="4"/>
      <c r="V5083" s="4"/>
      <c r="W5083" s="4"/>
      <c r="X5083" s="4"/>
    </row>
    <row r="5084" spans="17:24" x14ac:dyDescent="0.3">
      <c r="Q5084" s="4"/>
      <c r="R5084" s="4"/>
      <c r="S5084" s="4"/>
      <c r="T5084" s="4"/>
      <c r="U5084" s="4"/>
      <c r="V5084" s="4"/>
      <c r="W5084" s="4"/>
      <c r="X5084" s="4"/>
    </row>
    <row r="5085" spans="17:24" x14ac:dyDescent="0.3">
      <c r="Q5085" s="4"/>
      <c r="R5085" s="4"/>
      <c r="S5085" s="4"/>
      <c r="T5085" s="4"/>
      <c r="U5085" s="4"/>
      <c r="V5085" s="4"/>
      <c r="W5085" s="4"/>
      <c r="X5085" s="4"/>
    </row>
    <row r="5086" spans="17:24" x14ac:dyDescent="0.3">
      <c r="Q5086" s="4"/>
      <c r="R5086" s="4"/>
      <c r="S5086" s="4"/>
      <c r="T5086" s="4"/>
      <c r="U5086" s="4"/>
      <c r="V5086" s="4"/>
      <c r="W5086" s="4"/>
      <c r="X5086" s="4"/>
    </row>
    <row r="5087" spans="17:24" x14ac:dyDescent="0.3">
      <c r="Q5087" s="4"/>
      <c r="R5087" s="4"/>
      <c r="S5087" s="4"/>
      <c r="T5087" s="4"/>
      <c r="U5087" s="4"/>
      <c r="V5087" s="4"/>
      <c r="W5087" s="4"/>
      <c r="X5087" s="4"/>
    </row>
    <row r="5088" spans="17:24" x14ac:dyDescent="0.3">
      <c r="Q5088" s="4"/>
      <c r="R5088" s="4"/>
      <c r="S5088" s="4"/>
      <c r="T5088" s="4"/>
      <c r="U5088" s="4"/>
      <c r="V5088" s="4"/>
      <c r="W5088" s="4"/>
      <c r="X5088" s="4"/>
    </row>
    <row r="5089" spans="17:24" x14ac:dyDescent="0.3">
      <c r="Q5089" s="4"/>
      <c r="R5089" s="4"/>
      <c r="S5089" s="4"/>
      <c r="T5089" s="4"/>
      <c r="U5089" s="4"/>
      <c r="V5089" s="4"/>
      <c r="W5089" s="4"/>
      <c r="X5089" s="4"/>
    </row>
    <row r="5090" spans="17:24" x14ac:dyDescent="0.3">
      <c r="Q5090" s="4"/>
      <c r="R5090" s="4"/>
      <c r="S5090" s="4"/>
      <c r="T5090" s="4"/>
      <c r="U5090" s="4"/>
      <c r="V5090" s="4"/>
      <c r="W5090" s="4"/>
      <c r="X5090" s="4"/>
    </row>
    <row r="5091" spans="17:24" x14ac:dyDescent="0.3">
      <c r="Q5091" s="4"/>
      <c r="R5091" s="4"/>
      <c r="S5091" s="4"/>
      <c r="T5091" s="4"/>
      <c r="U5091" s="4"/>
      <c r="V5091" s="4"/>
      <c r="W5091" s="4"/>
      <c r="X5091" s="4"/>
    </row>
    <row r="5092" spans="17:24" x14ac:dyDescent="0.3">
      <c r="Q5092" s="4"/>
      <c r="R5092" s="4"/>
      <c r="S5092" s="4"/>
      <c r="T5092" s="4"/>
      <c r="U5092" s="4"/>
      <c r="V5092" s="4"/>
      <c r="W5092" s="4"/>
      <c r="X5092" s="4"/>
    </row>
    <row r="5093" spans="17:24" x14ac:dyDescent="0.3">
      <c r="Q5093" s="4"/>
      <c r="R5093" s="4"/>
      <c r="S5093" s="4"/>
      <c r="T5093" s="4"/>
      <c r="U5093" s="4"/>
      <c r="V5093" s="4"/>
      <c r="W5093" s="4"/>
      <c r="X5093" s="4"/>
    </row>
    <row r="5094" spans="17:24" x14ac:dyDescent="0.3">
      <c r="Q5094" s="4"/>
      <c r="R5094" s="4"/>
      <c r="S5094" s="4"/>
      <c r="T5094" s="4"/>
      <c r="U5094" s="4"/>
      <c r="V5094" s="4"/>
      <c r="W5094" s="4"/>
      <c r="X5094" s="4"/>
    </row>
    <row r="5095" spans="17:24" x14ac:dyDescent="0.3">
      <c r="Q5095" s="4"/>
      <c r="R5095" s="4"/>
      <c r="S5095" s="4"/>
      <c r="T5095" s="4"/>
      <c r="U5095" s="4"/>
      <c r="V5095" s="4"/>
      <c r="W5095" s="4"/>
      <c r="X5095" s="4"/>
    </row>
    <row r="5096" spans="17:24" x14ac:dyDescent="0.3">
      <c r="Q5096" s="4"/>
      <c r="R5096" s="4"/>
      <c r="S5096" s="4"/>
      <c r="T5096" s="4"/>
      <c r="U5096" s="4"/>
      <c r="V5096" s="4"/>
      <c r="W5096" s="4"/>
      <c r="X5096" s="4"/>
    </row>
    <row r="5097" spans="17:24" x14ac:dyDescent="0.3">
      <c r="Q5097" s="4"/>
      <c r="R5097" s="4"/>
      <c r="S5097" s="4"/>
      <c r="T5097" s="4"/>
      <c r="U5097" s="4"/>
      <c r="V5097" s="4"/>
      <c r="W5097" s="4"/>
      <c r="X5097" s="4"/>
    </row>
    <row r="5098" spans="17:24" x14ac:dyDescent="0.3">
      <c r="Q5098" s="4"/>
      <c r="R5098" s="4"/>
      <c r="S5098" s="4"/>
      <c r="T5098" s="4"/>
      <c r="U5098" s="4"/>
      <c r="V5098" s="4"/>
      <c r="W5098" s="4"/>
      <c r="X5098" s="4"/>
    </row>
    <row r="5099" spans="17:24" x14ac:dyDescent="0.3">
      <c r="Q5099" s="4"/>
      <c r="R5099" s="4"/>
      <c r="S5099" s="4"/>
      <c r="T5099" s="4"/>
      <c r="U5099" s="4"/>
      <c r="V5099" s="4"/>
      <c r="W5099" s="4"/>
      <c r="X5099" s="4"/>
    </row>
    <row r="5100" spans="17:24" x14ac:dyDescent="0.3">
      <c r="Q5100" s="4"/>
      <c r="R5100" s="4"/>
      <c r="S5100" s="4"/>
      <c r="T5100" s="4"/>
      <c r="U5100" s="4"/>
      <c r="V5100" s="4"/>
      <c r="W5100" s="4"/>
      <c r="X5100" s="4"/>
    </row>
    <row r="5101" spans="17:24" x14ac:dyDescent="0.3">
      <c r="Q5101" s="4"/>
      <c r="R5101" s="4"/>
      <c r="S5101" s="4"/>
      <c r="T5101" s="4"/>
      <c r="U5101" s="4"/>
      <c r="V5101" s="4"/>
      <c r="W5101" s="4"/>
      <c r="X5101" s="4"/>
    </row>
    <row r="5102" spans="17:24" x14ac:dyDescent="0.3">
      <c r="Q5102" s="4"/>
      <c r="R5102" s="4"/>
      <c r="S5102" s="4"/>
      <c r="T5102" s="4"/>
      <c r="U5102" s="4"/>
      <c r="V5102" s="4"/>
      <c r="W5102" s="4"/>
      <c r="X5102" s="4"/>
    </row>
    <row r="5103" spans="17:24" x14ac:dyDescent="0.3">
      <c r="Q5103" s="4"/>
      <c r="R5103" s="4"/>
      <c r="S5103" s="4"/>
      <c r="T5103" s="4"/>
      <c r="U5103" s="4"/>
      <c r="V5103" s="4"/>
      <c r="W5103" s="4"/>
      <c r="X5103" s="4"/>
    </row>
    <row r="5104" spans="17:24" x14ac:dyDescent="0.3">
      <c r="Q5104" s="4"/>
      <c r="R5104" s="4"/>
      <c r="S5104" s="4"/>
      <c r="T5104" s="4"/>
      <c r="U5104" s="4"/>
      <c r="V5104" s="4"/>
      <c r="W5104" s="4"/>
      <c r="X5104" s="4"/>
    </row>
    <row r="5105" spans="17:24" x14ac:dyDescent="0.3">
      <c r="Q5105" s="4"/>
      <c r="R5105" s="4"/>
      <c r="S5105" s="4"/>
      <c r="T5105" s="4"/>
      <c r="U5105" s="4"/>
      <c r="V5105" s="4"/>
      <c r="W5105" s="4"/>
      <c r="X5105" s="4"/>
    </row>
    <row r="5106" spans="17:24" x14ac:dyDescent="0.3">
      <c r="Q5106" s="4"/>
      <c r="R5106" s="4"/>
      <c r="S5106" s="4"/>
      <c r="T5106" s="4"/>
      <c r="U5106" s="4"/>
      <c r="V5106" s="4"/>
      <c r="W5106" s="4"/>
      <c r="X5106" s="4"/>
    </row>
    <row r="5107" spans="17:24" x14ac:dyDescent="0.3">
      <c r="Q5107" s="4"/>
      <c r="R5107" s="4"/>
      <c r="S5107" s="4"/>
      <c r="T5107" s="4"/>
      <c r="U5107" s="4"/>
      <c r="V5107" s="4"/>
      <c r="W5107" s="4"/>
      <c r="X5107" s="4"/>
    </row>
    <row r="5108" spans="17:24" x14ac:dyDescent="0.3">
      <c r="Q5108" s="4"/>
      <c r="R5108" s="4"/>
      <c r="S5108" s="4"/>
      <c r="T5108" s="4"/>
      <c r="U5108" s="4"/>
      <c r="V5108" s="4"/>
      <c r="W5108" s="4"/>
      <c r="X5108" s="4"/>
    </row>
    <row r="5109" spans="17:24" x14ac:dyDescent="0.3">
      <c r="Q5109" s="4"/>
      <c r="R5109" s="4"/>
      <c r="S5109" s="4"/>
      <c r="T5109" s="4"/>
      <c r="U5109" s="4"/>
      <c r="V5109" s="4"/>
      <c r="W5109" s="4"/>
      <c r="X5109" s="4"/>
    </row>
    <row r="5110" spans="17:24" x14ac:dyDescent="0.3">
      <c r="Q5110" s="4"/>
      <c r="R5110" s="4"/>
      <c r="S5110" s="4"/>
      <c r="T5110" s="4"/>
      <c r="U5110" s="4"/>
      <c r="V5110" s="4"/>
      <c r="W5110" s="4"/>
      <c r="X5110" s="4"/>
    </row>
    <row r="5111" spans="17:24" x14ac:dyDescent="0.3">
      <c r="Q5111" s="4"/>
      <c r="R5111" s="4"/>
      <c r="S5111" s="4"/>
      <c r="T5111" s="4"/>
      <c r="U5111" s="4"/>
      <c r="V5111" s="4"/>
      <c r="W5111" s="4"/>
      <c r="X5111" s="4"/>
    </row>
    <row r="5112" spans="17:24" x14ac:dyDescent="0.3">
      <c r="Q5112" s="4"/>
      <c r="R5112" s="4"/>
      <c r="S5112" s="4"/>
      <c r="T5112" s="4"/>
      <c r="U5112" s="4"/>
      <c r="V5112" s="4"/>
      <c r="W5112" s="4"/>
      <c r="X5112" s="4"/>
    </row>
    <row r="5113" spans="17:24" x14ac:dyDescent="0.3">
      <c r="Q5113" s="4"/>
      <c r="R5113" s="4"/>
      <c r="S5113" s="4"/>
      <c r="T5113" s="4"/>
      <c r="U5113" s="4"/>
      <c r="V5113" s="4"/>
      <c r="W5113" s="4"/>
      <c r="X5113" s="4"/>
    </row>
    <row r="5114" spans="17:24" x14ac:dyDescent="0.3">
      <c r="Q5114" s="4"/>
      <c r="R5114" s="4"/>
      <c r="S5114" s="4"/>
      <c r="T5114" s="4"/>
      <c r="U5114" s="4"/>
      <c r="V5114" s="4"/>
      <c r="W5114" s="4"/>
      <c r="X5114" s="4"/>
    </row>
    <row r="5115" spans="17:24" x14ac:dyDescent="0.3">
      <c r="Q5115" s="4"/>
      <c r="R5115" s="4"/>
      <c r="S5115" s="4"/>
      <c r="T5115" s="4"/>
      <c r="U5115" s="4"/>
      <c r="V5115" s="4"/>
      <c r="W5115" s="4"/>
      <c r="X5115" s="4"/>
    </row>
    <row r="5116" spans="17:24" x14ac:dyDescent="0.3">
      <c r="Q5116" s="4"/>
      <c r="R5116" s="4"/>
      <c r="S5116" s="4"/>
      <c r="T5116" s="4"/>
      <c r="U5116" s="4"/>
      <c r="V5116" s="4"/>
      <c r="W5116" s="4"/>
      <c r="X5116" s="4"/>
    </row>
    <row r="5117" spans="17:24" x14ac:dyDescent="0.3">
      <c r="Q5117" s="4"/>
      <c r="R5117" s="4"/>
      <c r="S5117" s="4"/>
      <c r="T5117" s="4"/>
      <c r="U5117" s="4"/>
      <c r="V5117" s="4"/>
      <c r="W5117" s="4"/>
      <c r="X5117" s="4"/>
    </row>
    <row r="5118" spans="17:24" x14ac:dyDescent="0.3">
      <c r="Q5118" s="4"/>
      <c r="R5118" s="4"/>
      <c r="S5118" s="4"/>
      <c r="T5118" s="4"/>
      <c r="U5118" s="4"/>
      <c r="V5118" s="4"/>
      <c r="W5118" s="4"/>
      <c r="X5118" s="4"/>
    </row>
    <row r="5119" spans="17:24" x14ac:dyDescent="0.3">
      <c r="Q5119" s="4"/>
      <c r="R5119" s="4"/>
      <c r="S5119" s="4"/>
      <c r="T5119" s="4"/>
      <c r="U5119" s="4"/>
      <c r="V5119" s="4"/>
      <c r="W5119" s="4"/>
      <c r="X5119" s="4"/>
    </row>
    <row r="5120" spans="17:24" x14ac:dyDescent="0.3">
      <c r="Q5120" s="4"/>
      <c r="R5120" s="4"/>
      <c r="S5120" s="4"/>
      <c r="T5120" s="4"/>
      <c r="U5120" s="4"/>
      <c r="V5120" s="4"/>
      <c r="W5120" s="4"/>
      <c r="X5120" s="4"/>
    </row>
    <row r="5121" spans="17:24" x14ac:dyDescent="0.3">
      <c r="Q5121" s="4"/>
      <c r="R5121" s="4"/>
      <c r="S5121" s="4"/>
      <c r="T5121" s="4"/>
      <c r="U5121" s="4"/>
      <c r="V5121" s="4"/>
      <c r="W5121" s="4"/>
      <c r="X5121" s="4"/>
    </row>
    <row r="5122" spans="17:24" x14ac:dyDescent="0.3">
      <c r="Q5122" s="4"/>
      <c r="R5122" s="4"/>
      <c r="S5122" s="4"/>
      <c r="T5122" s="4"/>
      <c r="U5122" s="4"/>
      <c r="V5122" s="4"/>
      <c r="W5122" s="4"/>
      <c r="X5122" s="4"/>
    </row>
    <row r="5123" spans="17:24" x14ac:dyDescent="0.3">
      <c r="Q5123" s="4"/>
      <c r="R5123" s="4"/>
      <c r="S5123" s="4"/>
      <c r="T5123" s="4"/>
      <c r="U5123" s="4"/>
      <c r="V5123" s="4"/>
      <c r="W5123" s="4"/>
      <c r="X5123" s="4"/>
    </row>
    <row r="5124" spans="17:24" x14ac:dyDescent="0.3">
      <c r="Q5124" s="4"/>
      <c r="R5124" s="4"/>
      <c r="S5124" s="4"/>
      <c r="T5124" s="4"/>
      <c r="U5124" s="4"/>
      <c r="V5124" s="4"/>
      <c r="W5124" s="4"/>
      <c r="X5124" s="4"/>
    </row>
    <row r="5125" spans="17:24" x14ac:dyDescent="0.3">
      <c r="Q5125" s="4"/>
      <c r="R5125" s="4"/>
      <c r="S5125" s="4"/>
      <c r="T5125" s="4"/>
      <c r="U5125" s="4"/>
      <c r="V5125" s="4"/>
      <c r="W5125" s="4"/>
      <c r="X5125" s="4"/>
    </row>
    <row r="5126" spans="17:24" x14ac:dyDescent="0.3">
      <c r="Q5126" s="4"/>
      <c r="R5126" s="4"/>
      <c r="S5126" s="4"/>
      <c r="T5126" s="4"/>
      <c r="U5126" s="4"/>
      <c r="V5126" s="4"/>
      <c r="W5126" s="4"/>
      <c r="X5126" s="4"/>
    </row>
    <row r="5127" spans="17:24" x14ac:dyDescent="0.3">
      <c r="Q5127" s="4"/>
      <c r="R5127" s="4"/>
      <c r="S5127" s="4"/>
      <c r="T5127" s="4"/>
      <c r="U5127" s="4"/>
      <c r="V5127" s="4"/>
      <c r="W5127" s="4"/>
      <c r="X5127" s="4"/>
    </row>
    <row r="5128" spans="17:24" x14ac:dyDescent="0.3">
      <c r="Q5128" s="4"/>
      <c r="R5128" s="4"/>
      <c r="S5128" s="4"/>
      <c r="T5128" s="4"/>
      <c r="U5128" s="4"/>
      <c r="V5128" s="4"/>
      <c r="W5128" s="4"/>
      <c r="X5128" s="4"/>
    </row>
    <row r="5129" spans="17:24" x14ac:dyDescent="0.3">
      <c r="Q5129" s="4"/>
      <c r="R5129" s="4"/>
      <c r="S5129" s="4"/>
      <c r="T5129" s="4"/>
      <c r="U5129" s="4"/>
      <c r="V5129" s="4"/>
      <c r="W5129" s="4"/>
      <c r="X5129" s="4"/>
    </row>
    <row r="5130" spans="17:24" x14ac:dyDescent="0.3">
      <c r="Q5130" s="4"/>
      <c r="R5130" s="4"/>
      <c r="S5130" s="4"/>
      <c r="T5130" s="4"/>
      <c r="U5130" s="4"/>
      <c r="V5130" s="4"/>
      <c r="W5130" s="4"/>
      <c r="X5130" s="4"/>
    </row>
    <row r="5131" spans="17:24" x14ac:dyDescent="0.3">
      <c r="Q5131" s="4"/>
      <c r="R5131" s="4"/>
      <c r="S5131" s="4"/>
      <c r="T5131" s="4"/>
      <c r="U5131" s="4"/>
      <c r="V5131" s="4"/>
      <c r="W5131" s="4"/>
      <c r="X5131" s="4"/>
    </row>
    <row r="5132" spans="17:24" x14ac:dyDescent="0.3">
      <c r="Q5132" s="4"/>
      <c r="R5132" s="4"/>
      <c r="S5132" s="4"/>
      <c r="T5132" s="4"/>
      <c r="U5132" s="4"/>
      <c r="V5132" s="4"/>
      <c r="W5132" s="4"/>
      <c r="X5132" s="4"/>
    </row>
    <row r="5133" spans="17:24" x14ac:dyDescent="0.3">
      <c r="Q5133" s="4"/>
      <c r="R5133" s="4"/>
      <c r="S5133" s="4"/>
      <c r="T5133" s="4"/>
      <c r="U5133" s="4"/>
      <c r="V5133" s="4"/>
      <c r="W5133" s="4"/>
      <c r="X5133" s="4"/>
    </row>
    <row r="5134" spans="17:24" x14ac:dyDescent="0.3">
      <c r="Q5134" s="4"/>
      <c r="R5134" s="4"/>
      <c r="S5134" s="4"/>
      <c r="T5134" s="4"/>
      <c r="U5134" s="4"/>
      <c r="V5134" s="4"/>
      <c r="W5134" s="4"/>
      <c r="X5134" s="4"/>
    </row>
    <row r="5135" spans="17:24" x14ac:dyDescent="0.3">
      <c r="Q5135" s="4"/>
      <c r="R5135" s="4"/>
      <c r="S5135" s="4"/>
      <c r="T5135" s="4"/>
      <c r="U5135" s="4"/>
      <c r="V5135" s="4"/>
      <c r="W5135" s="4"/>
      <c r="X5135" s="4"/>
    </row>
    <row r="5136" spans="17:24" x14ac:dyDescent="0.3">
      <c r="Q5136" s="4"/>
      <c r="R5136" s="4"/>
      <c r="S5136" s="4"/>
      <c r="T5136" s="4"/>
      <c r="U5136" s="4"/>
      <c r="V5136" s="4"/>
      <c r="W5136" s="4"/>
      <c r="X5136" s="4"/>
    </row>
    <row r="5137" spans="17:24" x14ac:dyDescent="0.3">
      <c r="Q5137" s="4"/>
      <c r="R5137" s="4"/>
      <c r="S5137" s="4"/>
      <c r="T5137" s="4"/>
      <c r="U5137" s="4"/>
      <c r="V5137" s="4"/>
      <c r="W5137" s="4"/>
      <c r="X5137" s="4"/>
    </row>
    <row r="5138" spans="17:24" x14ac:dyDescent="0.3">
      <c r="Q5138" s="4"/>
      <c r="R5138" s="4"/>
      <c r="S5138" s="4"/>
      <c r="T5138" s="4"/>
      <c r="U5138" s="4"/>
      <c r="V5138" s="4"/>
      <c r="W5138" s="4"/>
      <c r="X5138" s="4"/>
    </row>
    <row r="5139" spans="17:24" x14ac:dyDescent="0.3">
      <c r="Q5139" s="4"/>
      <c r="R5139" s="4"/>
      <c r="S5139" s="4"/>
      <c r="T5139" s="4"/>
      <c r="U5139" s="4"/>
      <c r="V5139" s="4"/>
      <c r="W5139" s="4"/>
      <c r="X5139" s="4"/>
    </row>
    <row r="5140" spans="17:24" x14ac:dyDescent="0.3">
      <c r="Q5140" s="4"/>
      <c r="R5140" s="4"/>
      <c r="S5140" s="4"/>
      <c r="T5140" s="4"/>
      <c r="U5140" s="4"/>
      <c r="V5140" s="4"/>
      <c r="W5140" s="4"/>
      <c r="X5140" s="4"/>
    </row>
    <row r="5141" spans="17:24" x14ac:dyDescent="0.3">
      <c r="Q5141" s="4"/>
      <c r="R5141" s="4"/>
      <c r="S5141" s="4"/>
      <c r="T5141" s="4"/>
      <c r="U5141" s="4"/>
      <c r="V5141" s="4"/>
      <c r="W5141" s="4"/>
      <c r="X5141" s="4"/>
    </row>
    <row r="5142" spans="17:24" x14ac:dyDescent="0.3">
      <c r="Q5142" s="4"/>
      <c r="R5142" s="4"/>
      <c r="S5142" s="4"/>
      <c r="T5142" s="4"/>
      <c r="U5142" s="4"/>
      <c r="V5142" s="4"/>
      <c r="W5142" s="4"/>
      <c r="X5142" s="4"/>
    </row>
    <row r="5143" spans="17:24" x14ac:dyDescent="0.3">
      <c r="Q5143" s="4"/>
      <c r="R5143" s="4"/>
      <c r="S5143" s="4"/>
      <c r="T5143" s="4"/>
      <c r="U5143" s="4"/>
      <c r="V5143" s="4"/>
      <c r="W5143" s="4"/>
      <c r="X5143" s="4"/>
    </row>
    <row r="5144" spans="17:24" x14ac:dyDescent="0.3">
      <c r="Q5144" s="4"/>
      <c r="R5144" s="4"/>
      <c r="S5144" s="4"/>
      <c r="T5144" s="4"/>
      <c r="U5144" s="4"/>
      <c r="V5144" s="4"/>
      <c r="W5144" s="4"/>
      <c r="X5144" s="4"/>
    </row>
    <row r="5145" spans="17:24" x14ac:dyDescent="0.3">
      <c r="Q5145" s="4"/>
      <c r="R5145" s="4"/>
      <c r="S5145" s="4"/>
      <c r="T5145" s="4"/>
      <c r="U5145" s="4"/>
      <c r="V5145" s="4"/>
      <c r="W5145" s="4"/>
      <c r="X5145" s="4"/>
    </row>
    <row r="5146" spans="17:24" x14ac:dyDescent="0.3">
      <c r="Q5146" s="4"/>
      <c r="R5146" s="4"/>
      <c r="S5146" s="4"/>
      <c r="T5146" s="4"/>
      <c r="U5146" s="4"/>
      <c r="V5146" s="4"/>
      <c r="W5146" s="4"/>
      <c r="X5146" s="4"/>
    </row>
    <row r="5147" spans="17:24" x14ac:dyDescent="0.3">
      <c r="Q5147" s="4"/>
      <c r="R5147" s="4"/>
      <c r="S5147" s="4"/>
      <c r="T5147" s="4"/>
      <c r="U5147" s="4"/>
      <c r="V5147" s="4"/>
      <c r="W5147" s="4"/>
      <c r="X5147" s="4"/>
    </row>
    <row r="5148" spans="17:24" x14ac:dyDescent="0.3">
      <c r="Q5148" s="4"/>
      <c r="R5148" s="4"/>
      <c r="S5148" s="4"/>
      <c r="T5148" s="4"/>
      <c r="U5148" s="4"/>
      <c r="V5148" s="4"/>
      <c r="W5148" s="4"/>
      <c r="X5148" s="4"/>
    </row>
    <row r="5149" spans="17:24" x14ac:dyDescent="0.3">
      <c r="Q5149" s="4"/>
      <c r="R5149" s="4"/>
      <c r="S5149" s="4"/>
      <c r="T5149" s="4"/>
      <c r="U5149" s="4"/>
      <c r="V5149" s="4"/>
      <c r="W5149" s="4"/>
      <c r="X5149" s="4"/>
    </row>
    <row r="5150" spans="17:24" x14ac:dyDescent="0.3">
      <c r="Q5150" s="4"/>
      <c r="R5150" s="4"/>
      <c r="S5150" s="4"/>
      <c r="T5150" s="4"/>
      <c r="U5150" s="4"/>
      <c r="V5150" s="4"/>
      <c r="W5150" s="4"/>
      <c r="X5150" s="4"/>
    </row>
    <row r="5151" spans="17:24" x14ac:dyDescent="0.3">
      <c r="Q5151" s="4"/>
      <c r="R5151" s="4"/>
      <c r="S5151" s="4"/>
      <c r="T5151" s="4"/>
      <c r="U5151" s="4"/>
      <c r="V5151" s="4"/>
      <c r="W5151" s="4"/>
      <c r="X5151" s="4"/>
    </row>
    <row r="5152" spans="17:24" x14ac:dyDescent="0.3">
      <c r="Q5152" s="4"/>
      <c r="R5152" s="4"/>
      <c r="S5152" s="4"/>
      <c r="T5152" s="4"/>
      <c r="U5152" s="4"/>
      <c r="V5152" s="4"/>
      <c r="W5152" s="4"/>
      <c r="X5152" s="4"/>
    </row>
    <row r="5153" spans="17:24" x14ac:dyDescent="0.3">
      <c r="Q5153" s="4"/>
      <c r="R5153" s="4"/>
      <c r="S5153" s="4"/>
      <c r="T5153" s="4"/>
      <c r="U5153" s="4"/>
      <c r="V5153" s="4"/>
      <c r="W5153" s="4"/>
      <c r="X5153" s="4"/>
    </row>
    <row r="5154" spans="17:24" x14ac:dyDescent="0.3">
      <c r="Q5154" s="4"/>
      <c r="R5154" s="4"/>
      <c r="S5154" s="4"/>
      <c r="T5154" s="4"/>
      <c r="U5154" s="4"/>
      <c r="V5154" s="4"/>
      <c r="W5154" s="4"/>
      <c r="X5154" s="4"/>
    </row>
    <row r="5155" spans="17:24" x14ac:dyDescent="0.3">
      <c r="Q5155" s="4"/>
      <c r="R5155" s="4"/>
      <c r="S5155" s="4"/>
      <c r="T5155" s="4"/>
      <c r="U5155" s="4"/>
      <c r="V5155" s="4"/>
      <c r="W5155" s="4"/>
      <c r="X5155" s="4"/>
    </row>
    <row r="5156" spans="17:24" x14ac:dyDescent="0.3">
      <c r="Q5156" s="4"/>
      <c r="R5156" s="4"/>
      <c r="S5156" s="4"/>
      <c r="T5156" s="4"/>
      <c r="U5156" s="4"/>
      <c r="V5156" s="4"/>
      <c r="W5156" s="4"/>
      <c r="X5156" s="4"/>
    </row>
    <row r="5157" spans="17:24" x14ac:dyDescent="0.3">
      <c r="Q5157" s="4"/>
      <c r="R5157" s="4"/>
      <c r="S5157" s="4"/>
      <c r="T5157" s="4"/>
      <c r="U5157" s="4"/>
      <c r="V5157" s="4"/>
      <c r="W5157" s="4"/>
      <c r="X5157" s="4"/>
    </row>
    <row r="5158" spans="17:24" x14ac:dyDescent="0.3">
      <c r="Q5158" s="4"/>
      <c r="R5158" s="4"/>
      <c r="S5158" s="4"/>
      <c r="T5158" s="4"/>
      <c r="U5158" s="4"/>
      <c r="V5158" s="4"/>
      <c r="W5158" s="4"/>
      <c r="X5158" s="4"/>
    </row>
    <row r="5159" spans="17:24" x14ac:dyDescent="0.3">
      <c r="Q5159" s="4"/>
      <c r="R5159" s="4"/>
      <c r="S5159" s="4"/>
      <c r="T5159" s="4"/>
      <c r="U5159" s="4"/>
      <c r="V5159" s="4"/>
      <c r="W5159" s="4"/>
      <c r="X5159" s="4"/>
    </row>
    <row r="5160" spans="17:24" x14ac:dyDescent="0.3">
      <c r="Q5160" s="4"/>
      <c r="R5160" s="4"/>
      <c r="S5160" s="4"/>
      <c r="T5160" s="4"/>
      <c r="U5160" s="4"/>
      <c r="V5160" s="4"/>
      <c r="W5160" s="4"/>
      <c r="X5160" s="4"/>
    </row>
    <row r="5161" spans="17:24" x14ac:dyDescent="0.3">
      <c r="Q5161" s="4"/>
      <c r="R5161" s="4"/>
      <c r="S5161" s="4"/>
      <c r="T5161" s="4"/>
      <c r="U5161" s="4"/>
      <c r="V5161" s="4"/>
      <c r="W5161" s="4"/>
      <c r="X5161" s="4"/>
    </row>
    <row r="5162" spans="17:24" x14ac:dyDescent="0.3">
      <c r="Q5162" s="4"/>
      <c r="R5162" s="4"/>
      <c r="S5162" s="4"/>
      <c r="T5162" s="4"/>
      <c r="U5162" s="4"/>
      <c r="V5162" s="4"/>
      <c r="W5162" s="4"/>
      <c r="X5162" s="4"/>
    </row>
    <row r="5163" spans="17:24" x14ac:dyDescent="0.3">
      <c r="Q5163" s="4"/>
      <c r="R5163" s="4"/>
      <c r="S5163" s="4"/>
      <c r="T5163" s="4"/>
      <c r="U5163" s="4"/>
      <c r="V5163" s="4"/>
      <c r="W5163" s="4"/>
      <c r="X5163" s="4"/>
    </row>
    <row r="5164" spans="17:24" x14ac:dyDescent="0.3">
      <c r="Q5164" s="4"/>
      <c r="R5164" s="4"/>
      <c r="S5164" s="4"/>
      <c r="T5164" s="4"/>
      <c r="U5164" s="4"/>
      <c r="V5164" s="4"/>
      <c r="W5164" s="4"/>
      <c r="X5164" s="4"/>
    </row>
    <row r="5165" spans="17:24" x14ac:dyDescent="0.3">
      <c r="Q5165" s="4"/>
      <c r="R5165" s="4"/>
      <c r="S5165" s="4"/>
      <c r="T5165" s="4"/>
      <c r="U5165" s="4"/>
      <c r="V5165" s="4"/>
      <c r="W5165" s="4"/>
      <c r="X5165" s="4"/>
    </row>
    <row r="5166" spans="17:24" x14ac:dyDescent="0.3">
      <c r="Q5166" s="4"/>
      <c r="R5166" s="4"/>
      <c r="S5166" s="4"/>
      <c r="T5166" s="4"/>
      <c r="U5166" s="4"/>
      <c r="V5166" s="4"/>
      <c r="W5166" s="4"/>
      <c r="X5166" s="4"/>
    </row>
    <row r="5167" spans="17:24" x14ac:dyDescent="0.3">
      <c r="Q5167" s="4"/>
      <c r="R5167" s="4"/>
      <c r="S5167" s="4"/>
      <c r="T5167" s="4"/>
      <c r="U5167" s="4"/>
      <c r="V5167" s="4"/>
      <c r="W5167" s="4"/>
      <c r="X5167" s="4"/>
    </row>
    <row r="5168" spans="17:24" x14ac:dyDescent="0.3">
      <c r="Q5168" s="4"/>
      <c r="R5168" s="4"/>
      <c r="S5168" s="4"/>
      <c r="T5168" s="4"/>
      <c r="U5168" s="4"/>
      <c r="V5168" s="4"/>
      <c r="W5168" s="4"/>
      <c r="X5168" s="4"/>
    </row>
    <row r="5169" spans="17:24" x14ac:dyDescent="0.3">
      <c r="Q5169" s="4"/>
      <c r="R5169" s="4"/>
      <c r="S5169" s="4"/>
      <c r="T5169" s="4"/>
      <c r="U5169" s="4"/>
      <c r="V5169" s="4"/>
      <c r="W5169" s="4"/>
      <c r="X5169" s="4"/>
    </row>
    <row r="5170" spans="17:24" x14ac:dyDescent="0.3">
      <c r="Q5170" s="4"/>
      <c r="R5170" s="4"/>
      <c r="S5170" s="4"/>
      <c r="T5170" s="4"/>
      <c r="U5170" s="4"/>
      <c r="V5170" s="4"/>
      <c r="W5170" s="4"/>
      <c r="X5170" s="4"/>
    </row>
    <row r="5171" spans="17:24" x14ac:dyDescent="0.3">
      <c r="Q5171" s="4"/>
      <c r="R5171" s="4"/>
      <c r="S5171" s="4"/>
      <c r="T5171" s="4"/>
      <c r="U5171" s="4"/>
      <c r="V5171" s="4"/>
      <c r="W5171" s="4"/>
      <c r="X5171" s="4"/>
    </row>
    <row r="5172" spans="17:24" x14ac:dyDescent="0.3">
      <c r="Q5172" s="4"/>
      <c r="R5172" s="4"/>
      <c r="S5172" s="4"/>
      <c r="T5172" s="4"/>
      <c r="U5172" s="4"/>
      <c r="V5172" s="4"/>
      <c r="W5172" s="4"/>
      <c r="X5172" s="4"/>
    </row>
    <row r="5173" spans="17:24" x14ac:dyDescent="0.3">
      <c r="Q5173" s="4"/>
      <c r="R5173" s="4"/>
      <c r="S5173" s="4"/>
      <c r="T5173" s="4"/>
      <c r="U5173" s="4"/>
      <c r="V5173" s="4"/>
      <c r="W5173" s="4"/>
      <c r="X5173" s="4"/>
    </row>
    <row r="5174" spans="17:24" x14ac:dyDescent="0.3">
      <c r="Q5174" s="4"/>
      <c r="R5174" s="4"/>
      <c r="S5174" s="4"/>
      <c r="T5174" s="4"/>
      <c r="U5174" s="4"/>
      <c r="V5174" s="4"/>
      <c r="W5174" s="4"/>
      <c r="X5174" s="4"/>
    </row>
    <row r="5175" spans="17:24" x14ac:dyDescent="0.3">
      <c r="Q5175" s="4"/>
      <c r="R5175" s="4"/>
      <c r="S5175" s="4"/>
      <c r="T5175" s="4"/>
      <c r="U5175" s="4"/>
      <c r="V5175" s="4"/>
      <c r="W5175" s="4"/>
      <c r="X5175" s="4"/>
    </row>
    <row r="5176" spans="17:24" x14ac:dyDescent="0.3">
      <c r="Q5176" s="4"/>
      <c r="R5176" s="4"/>
      <c r="S5176" s="4"/>
      <c r="T5176" s="4"/>
      <c r="U5176" s="4"/>
      <c r="V5176" s="4"/>
      <c r="W5176" s="4"/>
      <c r="X5176" s="4"/>
    </row>
    <row r="5177" spans="17:24" x14ac:dyDescent="0.3">
      <c r="Q5177" s="4"/>
      <c r="R5177" s="4"/>
      <c r="S5177" s="4"/>
      <c r="T5177" s="4"/>
      <c r="U5177" s="4"/>
      <c r="V5177" s="4"/>
      <c r="W5177" s="4"/>
      <c r="X5177" s="4"/>
    </row>
    <row r="5178" spans="17:24" x14ac:dyDescent="0.3">
      <c r="Q5178" s="4"/>
      <c r="R5178" s="4"/>
      <c r="S5178" s="4"/>
      <c r="T5178" s="4"/>
      <c r="U5178" s="4"/>
      <c r="V5178" s="4"/>
      <c r="W5178" s="4"/>
      <c r="X5178" s="4"/>
    </row>
    <row r="5179" spans="17:24" x14ac:dyDescent="0.3">
      <c r="Q5179" s="4"/>
      <c r="R5179" s="4"/>
      <c r="S5179" s="4"/>
      <c r="T5179" s="4"/>
      <c r="U5179" s="4"/>
      <c r="V5179" s="4"/>
      <c r="W5179" s="4"/>
      <c r="X5179" s="4"/>
    </row>
    <row r="5180" spans="17:24" x14ac:dyDescent="0.3">
      <c r="Q5180" s="4"/>
      <c r="R5180" s="4"/>
      <c r="S5180" s="4"/>
      <c r="T5180" s="4"/>
      <c r="U5180" s="4"/>
      <c r="V5180" s="4"/>
      <c r="W5180" s="4"/>
      <c r="X5180" s="4"/>
    </row>
    <row r="5181" spans="17:24" x14ac:dyDescent="0.3">
      <c r="Q5181" s="4"/>
      <c r="R5181" s="4"/>
      <c r="S5181" s="4"/>
      <c r="T5181" s="4"/>
      <c r="U5181" s="4"/>
      <c r="V5181" s="4"/>
      <c r="W5181" s="4"/>
      <c r="X5181" s="4"/>
    </row>
    <row r="5182" spans="17:24" x14ac:dyDescent="0.3">
      <c r="Q5182" s="4"/>
      <c r="R5182" s="4"/>
      <c r="S5182" s="4"/>
      <c r="T5182" s="4"/>
      <c r="U5182" s="4"/>
      <c r="V5182" s="4"/>
      <c r="W5182" s="4"/>
      <c r="X5182" s="4"/>
    </row>
    <row r="5183" spans="17:24" x14ac:dyDescent="0.3">
      <c r="Q5183" s="4"/>
      <c r="R5183" s="4"/>
      <c r="S5183" s="4"/>
      <c r="T5183" s="4"/>
      <c r="U5183" s="4"/>
      <c r="V5183" s="4"/>
      <c r="W5183" s="4"/>
      <c r="X5183" s="4"/>
    </row>
    <row r="5184" spans="17:24" x14ac:dyDescent="0.3">
      <c r="Q5184" s="4"/>
      <c r="R5184" s="4"/>
      <c r="S5184" s="4"/>
      <c r="T5184" s="4"/>
      <c r="U5184" s="4"/>
      <c r="V5184" s="4"/>
      <c r="W5184" s="4"/>
      <c r="X5184" s="4"/>
    </row>
    <row r="5185" spans="17:24" x14ac:dyDescent="0.3">
      <c r="Q5185" s="4"/>
      <c r="R5185" s="4"/>
      <c r="S5185" s="4"/>
      <c r="T5185" s="4"/>
      <c r="U5185" s="4"/>
      <c r="V5185" s="4"/>
      <c r="W5185" s="4"/>
      <c r="X5185" s="4"/>
    </row>
    <row r="5186" spans="17:24" x14ac:dyDescent="0.3">
      <c r="Q5186" s="4"/>
      <c r="R5186" s="4"/>
      <c r="S5186" s="4"/>
      <c r="T5186" s="4"/>
      <c r="U5186" s="4"/>
      <c r="V5186" s="4"/>
      <c r="W5186" s="4"/>
      <c r="X5186" s="4"/>
    </row>
    <row r="5187" spans="17:24" x14ac:dyDescent="0.3">
      <c r="Q5187" s="4"/>
      <c r="R5187" s="4"/>
      <c r="S5187" s="4"/>
      <c r="T5187" s="4"/>
      <c r="U5187" s="4"/>
      <c r="V5187" s="4"/>
      <c r="W5187" s="4"/>
      <c r="X5187" s="4"/>
    </row>
    <row r="5188" spans="17:24" x14ac:dyDescent="0.3">
      <c r="Q5188" s="4"/>
      <c r="R5188" s="4"/>
      <c r="S5188" s="4"/>
      <c r="T5188" s="4"/>
      <c r="U5188" s="4"/>
      <c r="V5188" s="4"/>
      <c r="W5188" s="4"/>
      <c r="X5188" s="4"/>
    </row>
    <row r="5189" spans="17:24" x14ac:dyDescent="0.3">
      <c r="Q5189" s="4"/>
      <c r="R5189" s="4"/>
      <c r="S5189" s="4"/>
      <c r="T5189" s="4"/>
      <c r="U5189" s="4"/>
      <c r="V5189" s="4"/>
      <c r="W5189" s="4"/>
      <c r="X5189" s="4"/>
    </row>
    <row r="5190" spans="17:24" x14ac:dyDescent="0.3">
      <c r="Q5190" s="4"/>
      <c r="R5190" s="4"/>
      <c r="S5190" s="4"/>
      <c r="T5190" s="4"/>
      <c r="U5190" s="4"/>
      <c r="V5190" s="4"/>
      <c r="W5190" s="4"/>
      <c r="X5190" s="4"/>
    </row>
    <row r="5191" spans="17:24" x14ac:dyDescent="0.3">
      <c r="Q5191" s="4"/>
      <c r="R5191" s="4"/>
      <c r="S5191" s="4"/>
      <c r="T5191" s="4"/>
      <c r="U5191" s="4"/>
      <c r="V5191" s="4"/>
      <c r="W5191" s="4"/>
      <c r="X5191" s="4"/>
    </row>
    <row r="5192" spans="17:24" x14ac:dyDescent="0.3">
      <c r="Q5192" s="4"/>
      <c r="R5192" s="4"/>
      <c r="S5192" s="4"/>
      <c r="T5192" s="4"/>
      <c r="U5192" s="4"/>
      <c r="V5192" s="4"/>
      <c r="W5192" s="4"/>
      <c r="X5192" s="4"/>
    </row>
    <row r="5193" spans="17:24" x14ac:dyDescent="0.3">
      <c r="Q5193" s="4"/>
      <c r="R5193" s="4"/>
      <c r="S5193" s="4"/>
      <c r="T5193" s="4"/>
      <c r="U5193" s="4"/>
      <c r="V5193" s="4"/>
      <c r="W5193" s="4"/>
      <c r="X5193" s="4"/>
    </row>
    <row r="5194" spans="17:24" x14ac:dyDescent="0.3">
      <c r="Q5194" s="4"/>
      <c r="R5194" s="4"/>
      <c r="S5194" s="4"/>
      <c r="T5194" s="4"/>
      <c r="U5194" s="4"/>
      <c r="V5194" s="4"/>
      <c r="W5194" s="4"/>
      <c r="X5194" s="4"/>
    </row>
    <row r="5195" spans="17:24" x14ac:dyDescent="0.3">
      <c r="Q5195" s="4"/>
      <c r="R5195" s="4"/>
      <c r="S5195" s="4"/>
      <c r="T5195" s="4"/>
      <c r="U5195" s="4"/>
      <c r="V5195" s="4"/>
      <c r="W5195" s="4"/>
      <c r="X5195" s="4"/>
    </row>
    <row r="5196" spans="17:24" x14ac:dyDescent="0.3">
      <c r="Q5196" s="4"/>
      <c r="R5196" s="4"/>
      <c r="S5196" s="4"/>
      <c r="T5196" s="4"/>
      <c r="U5196" s="4"/>
      <c r="V5196" s="4"/>
      <c r="W5196" s="4"/>
      <c r="X5196" s="4"/>
    </row>
    <row r="5197" spans="17:24" x14ac:dyDescent="0.3">
      <c r="Q5197" s="4"/>
      <c r="R5197" s="4"/>
      <c r="S5197" s="4"/>
      <c r="T5197" s="4"/>
      <c r="U5197" s="4"/>
      <c r="V5197" s="4"/>
      <c r="W5197" s="4"/>
      <c r="X5197" s="4"/>
    </row>
    <row r="5198" spans="17:24" x14ac:dyDescent="0.3">
      <c r="Q5198" s="4"/>
      <c r="R5198" s="4"/>
      <c r="S5198" s="4"/>
      <c r="T5198" s="4"/>
      <c r="U5198" s="4"/>
      <c r="V5198" s="4"/>
      <c r="W5198" s="4"/>
      <c r="X5198" s="4"/>
    </row>
    <row r="5199" spans="17:24" x14ac:dyDescent="0.3">
      <c r="Q5199" s="4"/>
      <c r="R5199" s="4"/>
      <c r="S5199" s="4"/>
      <c r="T5199" s="4"/>
      <c r="U5199" s="4"/>
      <c r="V5199" s="4"/>
      <c r="W5199" s="4"/>
      <c r="X5199" s="4"/>
    </row>
    <row r="5200" spans="17:24" x14ac:dyDescent="0.3">
      <c r="Q5200" s="4"/>
      <c r="R5200" s="4"/>
      <c r="S5200" s="4"/>
      <c r="T5200" s="4"/>
      <c r="U5200" s="4"/>
      <c r="V5200" s="4"/>
      <c r="W5200" s="4"/>
      <c r="X5200" s="4"/>
    </row>
    <row r="5201" spans="17:24" x14ac:dyDescent="0.3">
      <c r="Q5201" s="4"/>
      <c r="R5201" s="4"/>
      <c r="S5201" s="4"/>
      <c r="T5201" s="4"/>
      <c r="U5201" s="4"/>
      <c r="V5201" s="4"/>
      <c r="W5201" s="4"/>
      <c r="X5201" s="4"/>
    </row>
    <row r="5202" spans="17:24" x14ac:dyDescent="0.3">
      <c r="Q5202" s="4"/>
      <c r="R5202" s="4"/>
      <c r="S5202" s="4"/>
      <c r="T5202" s="4"/>
      <c r="U5202" s="4"/>
      <c r="V5202" s="4"/>
      <c r="W5202" s="4"/>
      <c r="X5202" s="4"/>
    </row>
    <row r="5203" spans="17:24" x14ac:dyDescent="0.3">
      <c r="Q5203" s="4"/>
      <c r="R5203" s="4"/>
      <c r="S5203" s="4"/>
      <c r="T5203" s="4"/>
      <c r="U5203" s="4"/>
      <c r="V5203" s="4"/>
      <c r="W5203" s="4"/>
      <c r="X5203" s="4"/>
    </row>
    <row r="5204" spans="17:24" x14ac:dyDescent="0.3">
      <c r="Q5204" s="4"/>
      <c r="R5204" s="4"/>
      <c r="S5204" s="4"/>
      <c r="T5204" s="4"/>
      <c r="U5204" s="4"/>
      <c r="V5204" s="4"/>
      <c r="W5204" s="4"/>
      <c r="X5204" s="4"/>
    </row>
    <row r="5205" spans="17:24" x14ac:dyDescent="0.3">
      <c r="Q5205" s="4"/>
      <c r="R5205" s="4"/>
      <c r="S5205" s="4"/>
      <c r="T5205" s="4"/>
      <c r="U5205" s="4"/>
      <c r="V5205" s="4"/>
      <c r="W5205" s="4"/>
      <c r="X5205" s="4"/>
    </row>
    <row r="5206" spans="17:24" x14ac:dyDescent="0.3">
      <c r="Q5206" s="4"/>
      <c r="R5206" s="4"/>
      <c r="S5206" s="4"/>
      <c r="T5206" s="4"/>
      <c r="U5206" s="4"/>
      <c r="V5206" s="4"/>
      <c r="W5206" s="4"/>
      <c r="X5206" s="4"/>
    </row>
    <row r="5207" spans="17:24" x14ac:dyDescent="0.3">
      <c r="Q5207" s="4"/>
      <c r="R5207" s="4"/>
      <c r="S5207" s="4"/>
      <c r="T5207" s="4"/>
      <c r="U5207" s="4"/>
      <c r="V5207" s="4"/>
      <c r="W5207" s="4"/>
      <c r="X5207" s="4"/>
    </row>
    <row r="5208" spans="17:24" x14ac:dyDescent="0.3">
      <c r="Q5208" s="4"/>
      <c r="R5208" s="4"/>
      <c r="S5208" s="4"/>
      <c r="T5208" s="4"/>
      <c r="U5208" s="4"/>
      <c r="V5208" s="4"/>
      <c r="W5208" s="4"/>
      <c r="X5208" s="4"/>
    </row>
    <row r="5209" spans="17:24" x14ac:dyDescent="0.3">
      <c r="Q5209" s="4"/>
      <c r="R5209" s="4"/>
      <c r="S5209" s="4"/>
      <c r="T5209" s="4"/>
      <c r="U5209" s="4"/>
      <c r="V5209" s="4"/>
      <c r="W5209" s="4"/>
      <c r="X5209" s="4"/>
    </row>
    <row r="5210" spans="17:24" x14ac:dyDescent="0.3">
      <c r="Q5210" s="4"/>
      <c r="R5210" s="4"/>
      <c r="S5210" s="4"/>
      <c r="T5210" s="4"/>
      <c r="U5210" s="4"/>
      <c r="V5210" s="4"/>
      <c r="W5210" s="4"/>
      <c r="X5210" s="4"/>
    </row>
    <row r="5211" spans="17:24" x14ac:dyDescent="0.3">
      <c r="Q5211" s="4"/>
      <c r="R5211" s="4"/>
      <c r="S5211" s="4"/>
      <c r="T5211" s="4"/>
      <c r="U5211" s="4"/>
      <c r="V5211" s="4"/>
      <c r="W5211" s="4"/>
      <c r="X5211" s="4"/>
    </row>
    <row r="5212" spans="17:24" x14ac:dyDescent="0.3">
      <c r="Q5212" s="4"/>
      <c r="R5212" s="4"/>
      <c r="S5212" s="4"/>
      <c r="T5212" s="4"/>
      <c r="U5212" s="4"/>
      <c r="V5212" s="4"/>
      <c r="W5212" s="4"/>
      <c r="X5212" s="4"/>
    </row>
    <row r="5213" spans="17:24" x14ac:dyDescent="0.3">
      <c r="Q5213" s="4"/>
      <c r="R5213" s="4"/>
      <c r="S5213" s="4"/>
      <c r="T5213" s="4"/>
      <c r="U5213" s="4"/>
      <c r="V5213" s="4"/>
      <c r="W5213" s="4"/>
      <c r="X5213" s="4"/>
    </row>
    <row r="5214" spans="17:24" x14ac:dyDescent="0.3">
      <c r="Q5214" s="4"/>
      <c r="R5214" s="4"/>
      <c r="S5214" s="4"/>
      <c r="T5214" s="4"/>
      <c r="U5214" s="4"/>
      <c r="V5214" s="4"/>
      <c r="W5214" s="4"/>
      <c r="X5214" s="4"/>
    </row>
    <row r="5215" spans="17:24" x14ac:dyDescent="0.3">
      <c r="Q5215" s="4"/>
      <c r="R5215" s="4"/>
      <c r="S5215" s="4"/>
      <c r="T5215" s="4"/>
      <c r="U5215" s="4"/>
      <c r="V5215" s="4"/>
      <c r="W5215" s="4"/>
      <c r="X5215" s="4"/>
    </row>
    <row r="5216" spans="17:24" x14ac:dyDescent="0.3">
      <c r="Q5216" s="4"/>
      <c r="R5216" s="4"/>
      <c r="S5216" s="4"/>
      <c r="T5216" s="4"/>
      <c r="U5216" s="4"/>
      <c r="V5216" s="4"/>
      <c r="W5216" s="4"/>
      <c r="X5216" s="4"/>
    </row>
    <row r="5217" spans="17:24" x14ac:dyDescent="0.3">
      <c r="Q5217" s="4"/>
      <c r="R5217" s="4"/>
      <c r="S5217" s="4"/>
      <c r="T5217" s="4"/>
      <c r="U5217" s="4"/>
      <c r="V5217" s="4"/>
      <c r="W5217" s="4"/>
      <c r="X5217" s="4"/>
    </row>
    <row r="5218" spans="17:24" x14ac:dyDescent="0.3">
      <c r="Q5218" s="4"/>
      <c r="R5218" s="4"/>
      <c r="S5218" s="4"/>
      <c r="T5218" s="4"/>
      <c r="U5218" s="4"/>
      <c r="V5218" s="4"/>
      <c r="W5218" s="4"/>
      <c r="X5218" s="4"/>
    </row>
    <row r="5219" spans="17:24" x14ac:dyDescent="0.3">
      <c r="Q5219" s="4"/>
      <c r="R5219" s="4"/>
      <c r="S5219" s="4"/>
      <c r="T5219" s="4"/>
      <c r="U5219" s="4"/>
      <c r="V5219" s="4"/>
      <c r="W5219" s="4"/>
      <c r="X5219" s="4"/>
    </row>
    <row r="5220" spans="17:24" x14ac:dyDescent="0.3">
      <c r="Q5220" s="4"/>
      <c r="R5220" s="4"/>
      <c r="S5220" s="4"/>
      <c r="T5220" s="4"/>
      <c r="U5220" s="4"/>
      <c r="V5220" s="4"/>
      <c r="W5220" s="4"/>
      <c r="X5220" s="4"/>
    </row>
    <row r="5221" spans="17:24" x14ac:dyDescent="0.3">
      <c r="Q5221" s="4"/>
      <c r="R5221" s="4"/>
      <c r="S5221" s="4"/>
      <c r="T5221" s="4"/>
      <c r="U5221" s="4"/>
      <c r="V5221" s="4"/>
      <c r="W5221" s="4"/>
      <c r="X5221" s="4"/>
    </row>
    <row r="5222" spans="17:24" x14ac:dyDescent="0.3">
      <c r="Q5222" s="4"/>
      <c r="R5222" s="4"/>
      <c r="S5222" s="4"/>
      <c r="T5222" s="4"/>
      <c r="U5222" s="4"/>
      <c r="V5222" s="4"/>
      <c r="W5222" s="4"/>
      <c r="X5222" s="4"/>
    </row>
    <row r="5223" spans="17:24" x14ac:dyDescent="0.3">
      <c r="Q5223" s="4"/>
      <c r="R5223" s="4"/>
      <c r="S5223" s="4"/>
      <c r="T5223" s="4"/>
      <c r="U5223" s="4"/>
      <c r="V5223" s="4"/>
      <c r="W5223" s="4"/>
      <c r="X5223" s="4"/>
    </row>
    <row r="5224" spans="17:24" x14ac:dyDescent="0.3">
      <c r="Q5224" s="4"/>
      <c r="R5224" s="4"/>
      <c r="S5224" s="4"/>
      <c r="T5224" s="4"/>
      <c r="U5224" s="4"/>
      <c r="V5224" s="4"/>
      <c r="W5224" s="4"/>
      <c r="X5224" s="4"/>
    </row>
    <row r="5225" spans="17:24" x14ac:dyDescent="0.3">
      <c r="Q5225" s="4"/>
      <c r="R5225" s="4"/>
      <c r="S5225" s="4"/>
      <c r="T5225" s="4"/>
      <c r="U5225" s="4"/>
      <c r="V5225" s="4"/>
      <c r="W5225" s="4"/>
      <c r="X5225" s="4"/>
    </row>
    <row r="5226" spans="17:24" x14ac:dyDescent="0.3">
      <c r="Q5226" s="4"/>
      <c r="R5226" s="4"/>
      <c r="S5226" s="4"/>
      <c r="T5226" s="4"/>
      <c r="U5226" s="4"/>
      <c r="V5226" s="4"/>
      <c r="W5226" s="4"/>
      <c r="X5226" s="4"/>
    </row>
    <row r="5227" spans="17:24" x14ac:dyDescent="0.3">
      <c r="Q5227" s="4"/>
      <c r="R5227" s="4"/>
      <c r="S5227" s="4"/>
      <c r="T5227" s="4"/>
      <c r="U5227" s="4"/>
      <c r="V5227" s="4"/>
      <c r="W5227" s="4"/>
      <c r="X5227" s="4"/>
    </row>
    <row r="5228" spans="17:24" x14ac:dyDescent="0.3">
      <c r="Q5228" s="4"/>
      <c r="R5228" s="4"/>
      <c r="S5228" s="4"/>
      <c r="T5228" s="4"/>
      <c r="U5228" s="4"/>
      <c r="V5228" s="4"/>
      <c r="W5228" s="4"/>
      <c r="X5228" s="4"/>
    </row>
    <row r="5229" spans="17:24" x14ac:dyDescent="0.3">
      <c r="Q5229" s="4"/>
      <c r="R5229" s="4"/>
      <c r="S5229" s="4"/>
      <c r="T5229" s="4"/>
      <c r="U5229" s="4"/>
      <c r="V5229" s="4"/>
      <c r="W5229" s="4"/>
      <c r="X5229" s="4"/>
    </row>
    <row r="5230" spans="17:24" x14ac:dyDescent="0.3">
      <c r="Q5230" s="4"/>
      <c r="R5230" s="4"/>
      <c r="S5230" s="4"/>
      <c r="T5230" s="4"/>
      <c r="U5230" s="4"/>
      <c r="V5230" s="4"/>
      <c r="W5230" s="4"/>
      <c r="X5230" s="4"/>
    </row>
    <row r="5231" spans="17:24" x14ac:dyDescent="0.3">
      <c r="Q5231" s="4"/>
      <c r="R5231" s="4"/>
      <c r="S5231" s="4"/>
      <c r="T5231" s="4"/>
      <c r="U5231" s="4"/>
      <c r="V5231" s="4"/>
      <c r="W5231" s="4"/>
      <c r="X5231" s="4"/>
    </row>
    <row r="5232" spans="17:24" x14ac:dyDescent="0.3">
      <c r="Q5232" s="4"/>
      <c r="R5232" s="4"/>
      <c r="S5232" s="4"/>
      <c r="T5232" s="4"/>
      <c r="U5232" s="4"/>
      <c r="V5232" s="4"/>
      <c r="W5232" s="4"/>
      <c r="X5232" s="4"/>
    </row>
    <row r="5233" spans="17:24" x14ac:dyDescent="0.3">
      <c r="Q5233" s="4"/>
      <c r="R5233" s="4"/>
      <c r="S5233" s="4"/>
      <c r="T5233" s="4"/>
      <c r="U5233" s="4"/>
      <c r="V5233" s="4"/>
      <c r="W5233" s="4"/>
      <c r="X5233" s="4"/>
    </row>
    <row r="5234" spans="17:24" x14ac:dyDescent="0.3">
      <c r="Q5234" s="4"/>
      <c r="R5234" s="4"/>
      <c r="S5234" s="4"/>
      <c r="T5234" s="4"/>
      <c r="U5234" s="4"/>
      <c r="V5234" s="4"/>
      <c r="W5234" s="4"/>
      <c r="X5234" s="4"/>
    </row>
    <row r="5235" spans="17:24" x14ac:dyDescent="0.3">
      <c r="Q5235" s="4"/>
      <c r="R5235" s="4"/>
      <c r="S5235" s="4"/>
      <c r="T5235" s="4"/>
      <c r="U5235" s="4"/>
      <c r="V5235" s="4"/>
      <c r="W5235" s="4"/>
      <c r="X5235" s="4"/>
    </row>
    <row r="5236" spans="17:24" x14ac:dyDescent="0.3">
      <c r="Q5236" s="4"/>
      <c r="R5236" s="4"/>
      <c r="S5236" s="4"/>
      <c r="T5236" s="4"/>
      <c r="U5236" s="4"/>
      <c r="V5236" s="4"/>
      <c r="W5236" s="4"/>
      <c r="X5236" s="4"/>
    </row>
    <row r="5237" spans="17:24" x14ac:dyDescent="0.3">
      <c r="Q5237" s="4"/>
      <c r="R5237" s="4"/>
      <c r="S5237" s="4"/>
      <c r="T5237" s="4"/>
      <c r="U5237" s="4"/>
      <c r="V5237" s="4"/>
      <c r="W5237" s="4"/>
      <c r="X5237" s="4"/>
    </row>
    <row r="5238" spans="17:24" x14ac:dyDescent="0.3">
      <c r="Q5238" s="4"/>
      <c r="R5238" s="4"/>
      <c r="S5238" s="4"/>
      <c r="T5238" s="4"/>
      <c r="U5238" s="4"/>
      <c r="V5238" s="4"/>
      <c r="W5238" s="4"/>
      <c r="X5238" s="4"/>
    </row>
    <row r="5239" spans="17:24" x14ac:dyDescent="0.3">
      <c r="Q5239" s="4"/>
      <c r="R5239" s="4"/>
      <c r="S5239" s="4"/>
      <c r="T5239" s="4"/>
      <c r="U5239" s="4"/>
      <c r="V5239" s="4"/>
      <c r="W5239" s="4"/>
      <c r="X5239" s="4"/>
    </row>
    <row r="5240" spans="17:24" x14ac:dyDescent="0.3">
      <c r="Q5240" s="4"/>
      <c r="R5240" s="4"/>
      <c r="S5240" s="4"/>
      <c r="T5240" s="4"/>
      <c r="U5240" s="4"/>
      <c r="V5240" s="4"/>
      <c r="W5240" s="4"/>
      <c r="X5240" s="4"/>
    </row>
    <row r="5241" spans="17:24" x14ac:dyDescent="0.3">
      <c r="Q5241" s="4"/>
      <c r="R5241" s="4"/>
      <c r="S5241" s="4"/>
      <c r="T5241" s="4"/>
      <c r="U5241" s="4"/>
      <c r="V5241" s="4"/>
      <c r="W5241" s="4"/>
      <c r="X5241" s="4"/>
    </row>
    <row r="5242" spans="17:24" x14ac:dyDescent="0.3">
      <c r="Q5242" s="4"/>
      <c r="R5242" s="4"/>
      <c r="S5242" s="4"/>
      <c r="T5242" s="4"/>
      <c r="U5242" s="4"/>
      <c r="V5242" s="4"/>
      <c r="W5242" s="4"/>
      <c r="X5242" s="4"/>
    </row>
    <row r="5243" spans="17:24" x14ac:dyDescent="0.3">
      <c r="Q5243" s="4"/>
      <c r="R5243" s="4"/>
      <c r="S5243" s="4"/>
      <c r="T5243" s="4"/>
      <c r="U5243" s="4"/>
      <c r="V5243" s="4"/>
      <c r="W5243" s="4"/>
      <c r="X5243" s="4"/>
    </row>
    <row r="5244" spans="17:24" x14ac:dyDescent="0.3">
      <c r="Q5244" s="4"/>
      <c r="R5244" s="4"/>
      <c r="S5244" s="4"/>
      <c r="T5244" s="4"/>
      <c r="U5244" s="4"/>
      <c r="V5244" s="4"/>
      <c r="W5244" s="4"/>
      <c r="X5244" s="4"/>
    </row>
    <row r="5245" spans="17:24" x14ac:dyDescent="0.3">
      <c r="Q5245" s="4"/>
      <c r="R5245" s="4"/>
      <c r="S5245" s="4"/>
      <c r="T5245" s="4"/>
      <c r="U5245" s="4"/>
      <c r="V5245" s="4"/>
      <c r="W5245" s="4"/>
      <c r="X5245" s="4"/>
    </row>
    <row r="5246" spans="17:24" x14ac:dyDescent="0.3">
      <c r="Q5246" s="4"/>
      <c r="R5246" s="4"/>
      <c r="S5246" s="4"/>
      <c r="T5246" s="4"/>
      <c r="U5246" s="4"/>
      <c r="V5246" s="4"/>
      <c r="W5246" s="4"/>
      <c r="X5246" s="4"/>
    </row>
    <row r="5247" spans="17:24" x14ac:dyDescent="0.3">
      <c r="Q5247" s="4"/>
      <c r="R5247" s="4"/>
      <c r="S5247" s="4"/>
      <c r="T5247" s="4"/>
      <c r="U5247" s="4"/>
      <c r="V5247" s="4"/>
      <c r="W5247" s="4"/>
      <c r="X5247" s="4"/>
    </row>
    <row r="5248" spans="17:24" x14ac:dyDescent="0.3">
      <c r="Q5248" s="4"/>
      <c r="R5248" s="4"/>
      <c r="S5248" s="4"/>
      <c r="T5248" s="4"/>
      <c r="U5248" s="4"/>
      <c r="V5248" s="4"/>
      <c r="W5248" s="4"/>
      <c r="X5248" s="4"/>
    </row>
    <row r="5249" spans="17:24" x14ac:dyDescent="0.3">
      <c r="Q5249" s="4"/>
      <c r="R5249" s="4"/>
      <c r="S5249" s="4"/>
      <c r="T5249" s="4"/>
      <c r="U5249" s="4"/>
      <c r="V5249" s="4"/>
      <c r="W5249" s="4"/>
      <c r="X5249" s="4"/>
    </row>
    <row r="5250" spans="17:24" x14ac:dyDescent="0.3">
      <c r="Q5250" s="4"/>
      <c r="R5250" s="4"/>
      <c r="S5250" s="4"/>
      <c r="T5250" s="4"/>
      <c r="U5250" s="4"/>
      <c r="V5250" s="4"/>
      <c r="W5250" s="4"/>
      <c r="X5250" s="4"/>
    </row>
    <row r="5251" spans="17:24" x14ac:dyDescent="0.3">
      <c r="Q5251" s="4"/>
      <c r="R5251" s="4"/>
      <c r="S5251" s="4"/>
      <c r="T5251" s="4"/>
      <c r="U5251" s="4"/>
      <c r="V5251" s="4"/>
      <c r="W5251" s="4"/>
      <c r="X5251" s="4"/>
    </row>
    <row r="5252" spans="17:24" x14ac:dyDescent="0.3">
      <c r="Q5252" s="4"/>
      <c r="R5252" s="4"/>
      <c r="S5252" s="4"/>
      <c r="T5252" s="4"/>
      <c r="U5252" s="4"/>
      <c r="V5252" s="4"/>
      <c r="W5252" s="4"/>
      <c r="X5252" s="4"/>
    </row>
    <row r="5253" spans="17:24" x14ac:dyDescent="0.3">
      <c r="Q5253" s="4"/>
      <c r="R5253" s="4"/>
      <c r="S5253" s="4"/>
      <c r="T5253" s="4"/>
      <c r="U5253" s="4"/>
      <c r="V5253" s="4"/>
      <c r="W5253" s="4"/>
      <c r="X5253" s="4"/>
    </row>
    <row r="5254" spans="17:24" x14ac:dyDescent="0.3">
      <c r="Q5254" s="4"/>
      <c r="R5254" s="4"/>
      <c r="S5254" s="4"/>
      <c r="T5254" s="4"/>
      <c r="U5254" s="4"/>
      <c r="V5254" s="4"/>
      <c r="W5254" s="4"/>
      <c r="X5254" s="4"/>
    </row>
    <row r="5255" spans="17:24" x14ac:dyDescent="0.3">
      <c r="Q5255" s="4"/>
      <c r="R5255" s="4"/>
      <c r="S5255" s="4"/>
      <c r="T5255" s="4"/>
      <c r="U5255" s="4"/>
      <c r="V5255" s="4"/>
      <c r="W5255" s="4"/>
      <c r="X5255" s="4"/>
    </row>
    <row r="5256" spans="17:24" x14ac:dyDescent="0.3">
      <c r="Q5256" s="4"/>
      <c r="R5256" s="4"/>
      <c r="S5256" s="4"/>
      <c r="T5256" s="4"/>
      <c r="U5256" s="4"/>
      <c r="V5256" s="4"/>
      <c r="W5256" s="4"/>
      <c r="X5256" s="4"/>
    </row>
    <row r="5257" spans="17:24" x14ac:dyDescent="0.3">
      <c r="Q5257" s="4"/>
      <c r="R5257" s="4"/>
      <c r="S5257" s="4"/>
      <c r="T5257" s="4"/>
      <c r="U5257" s="4"/>
      <c r="V5257" s="4"/>
      <c r="W5257" s="4"/>
      <c r="X5257" s="4"/>
    </row>
    <row r="5258" spans="17:24" x14ac:dyDescent="0.3">
      <c r="Q5258" s="4"/>
      <c r="R5258" s="4"/>
      <c r="S5258" s="4"/>
      <c r="T5258" s="4"/>
      <c r="U5258" s="4"/>
      <c r="V5258" s="4"/>
      <c r="W5258" s="4"/>
      <c r="X5258" s="4"/>
    </row>
    <row r="5259" spans="17:24" x14ac:dyDescent="0.3">
      <c r="Q5259" s="4"/>
      <c r="R5259" s="4"/>
      <c r="S5259" s="4"/>
      <c r="T5259" s="4"/>
      <c r="U5259" s="4"/>
      <c r="V5259" s="4"/>
      <c r="W5259" s="4"/>
      <c r="X5259" s="4"/>
    </row>
    <row r="5260" spans="17:24" x14ac:dyDescent="0.3">
      <c r="Q5260" s="4"/>
      <c r="R5260" s="4"/>
      <c r="S5260" s="4"/>
      <c r="T5260" s="4"/>
      <c r="U5260" s="4"/>
      <c r="V5260" s="4"/>
      <c r="W5260" s="4"/>
      <c r="X5260" s="4"/>
    </row>
    <row r="5261" spans="17:24" x14ac:dyDescent="0.3">
      <c r="Q5261" s="4"/>
      <c r="R5261" s="4"/>
      <c r="S5261" s="4"/>
      <c r="T5261" s="4"/>
      <c r="U5261" s="4"/>
      <c r="V5261" s="4"/>
      <c r="W5261" s="4"/>
      <c r="X5261" s="4"/>
    </row>
    <row r="5262" spans="17:24" x14ac:dyDescent="0.3">
      <c r="Q5262" s="4"/>
      <c r="R5262" s="4"/>
      <c r="S5262" s="4"/>
      <c r="T5262" s="4"/>
      <c r="U5262" s="4"/>
      <c r="V5262" s="4"/>
      <c r="W5262" s="4"/>
      <c r="X5262" s="4"/>
    </row>
    <row r="5263" spans="17:24" x14ac:dyDescent="0.3">
      <c r="Q5263" s="4"/>
      <c r="R5263" s="4"/>
      <c r="S5263" s="4"/>
      <c r="T5263" s="4"/>
      <c r="U5263" s="4"/>
      <c r="V5263" s="4"/>
      <c r="W5263" s="4"/>
      <c r="X5263" s="4"/>
    </row>
    <row r="5264" spans="17:24" x14ac:dyDescent="0.3">
      <c r="Q5264" s="4"/>
      <c r="R5264" s="4"/>
      <c r="S5264" s="4"/>
      <c r="T5264" s="4"/>
      <c r="U5264" s="4"/>
      <c r="V5264" s="4"/>
      <c r="W5264" s="4"/>
      <c r="X5264" s="4"/>
    </row>
    <row r="5265" spans="17:24" x14ac:dyDescent="0.3">
      <c r="Q5265" s="4"/>
      <c r="R5265" s="4"/>
      <c r="S5265" s="4"/>
      <c r="T5265" s="4"/>
      <c r="U5265" s="4"/>
      <c r="V5265" s="4"/>
      <c r="W5265" s="4"/>
      <c r="X5265" s="4"/>
    </row>
    <row r="5266" spans="17:24" x14ac:dyDescent="0.3">
      <c r="Q5266" s="4"/>
      <c r="R5266" s="4"/>
      <c r="S5266" s="4"/>
      <c r="T5266" s="4"/>
      <c r="U5266" s="4"/>
      <c r="V5266" s="4"/>
      <c r="W5266" s="4"/>
      <c r="X5266" s="4"/>
    </row>
    <row r="5267" spans="17:24" x14ac:dyDescent="0.3">
      <c r="Q5267" s="4"/>
      <c r="R5267" s="4"/>
      <c r="S5267" s="4"/>
      <c r="T5267" s="4"/>
      <c r="U5267" s="4"/>
      <c r="V5267" s="4"/>
      <c r="W5267" s="4"/>
      <c r="X5267" s="4"/>
    </row>
    <row r="5268" spans="17:24" x14ac:dyDescent="0.3">
      <c r="Q5268" s="4"/>
      <c r="R5268" s="4"/>
      <c r="S5268" s="4"/>
      <c r="T5268" s="4"/>
      <c r="U5268" s="4"/>
      <c r="V5268" s="4"/>
      <c r="W5268" s="4"/>
      <c r="X5268" s="4"/>
    </row>
    <row r="5269" spans="17:24" x14ac:dyDescent="0.3">
      <c r="Q5269" s="4"/>
      <c r="R5269" s="4"/>
      <c r="S5269" s="4"/>
      <c r="T5269" s="4"/>
      <c r="U5269" s="4"/>
      <c r="V5269" s="4"/>
      <c r="W5269" s="4"/>
      <c r="X5269" s="4"/>
    </row>
    <row r="5270" spans="17:24" x14ac:dyDescent="0.3">
      <c r="Q5270" s="4"/>
      <c r="R5270" s="4"/>
      <c r="S5270" s="4"/>
      <c r="T5270" s="4"/>
      <c r="U5270" s="4"/>
      <c r="V5270" s="4"/>
      <c r="W5270" s="4"/>
      <c r="X5270" s="4"/>
    </row>
    <row r="5271" spans="17:24" x14ac:dyDescent="0.3">
      <c r="Q5271" s="4"/>
      <c r="R5271" s="4"/>
      <c r="S5271" s="4"/>
      <c r="T5271" s="4"/>
      <c r="U5271" s="4"/>
      <c r="V5271" s="4"/>
      <c r="W5271" s="4"/>
      <c r="X5271" s="4"/>
    </row>
    <row r="5272" spans="17:24" x14ac:dyDescent="0.3">
      <c r="Q5272" s="4"/>
      <c r="R5272" s="4"/>
      <c r="S5272" s="4"/>
      <c r="T5272" s="4"/>
      <c r="U5272" s="4"/>
      <c r="V5272" s="4"/>
      <c r="W5272" s="4"/>
      <c r="X5272" s="4"/>
    </row>
    <row r="5273" spans="17:24" x14ac:dyDescent="0.3">
      <c r="Q5273" s="4"/>
      <c r="R5273" s="4"/>
      <c r="S5273" s="4"/>
      <c r="T5273" s="4"/>
      <c r="U5273" s="4"/>
      <c r="V5273" s="4"/>
      <c r="W5273" s="4"/>
      <c r="X5273" s="4"/>
    </row>
    <row r="5274" spans="17:24" x14ac:dyDescent="0.3">
      <c r="Q5274" s="4"/>
      <c r="R5274" s="4"/>
      <c r="S5274" s="4"/>
      <c r="T5274" s="4"/>
      <c r="U5274" s="4"/>
      <c r="V5274" s="4"/>
      <c r="W5274" s="4"/>
      <c r="X5274" s="4"/>
    </row>
    <row r="5275" spans="17:24" x14ac:dyDescent="0.3">
      <c r="Q5275" s="4"/>
      <c r="R5275" s="4"/>
      <c r="S5275" s="4"/>
      <c r="T5275" s="4"/>
      <c r="U5275" s="4"/>
      <c r="V5275" s="4"/>
      <c r="W5275" s="4"/>
      <c r="X5275" s="4"/>
    </row>
    <row r="5276" spans="17:24" x14ac:dyDescent="0.3">
      <c r="Q5276" s="4"/>
      <c r="R5276" s="4"/>
      <c r="S5276" s="4"/>
      <c r="T5276" s="4"/>
      <c r="U5276" s="4"/>
      <c r="V5276" s="4"/>
      <c r="W5276" s="4"/>
      <c r="X5276" s="4"/>
    </row>
    <row r="5277" spans="17:24" x14ac:dyDescent="0.3">
      <c r="Q5277" s="4"/>
      <c r="R5277" s="4"/>
      <c r="S5277" s="4"/>
      <c r="T5277" s="4"/>
      <c r="U5277" s="4"/>
      <c r="V5277" s="4"/>
      <c r="W5277" s="4"/>
      <c r="X5277" s="4"/>
    </row>
    <row r="5278" spans="17:24" x14ac:dyDescent="0.3">
      <c r="Q5278" s="4"/>
      <c r="R5278" s="4"/>
      <c r="S5278" s="4"/>
      <c r="T5278" s="4"/>
      <c r="U5278" s="4"/>
      <c r="V5278" s="4"/>
      <c r="W5278" s="4"/>
      <c r="X5278" s="4"/>
    </row>
    <row r="5279" spans="17:24" x14ac:dyDescent="0.3">
      <c r="Q5279" s="4"/>
      <c r="R5279" s="4"/>
      <c r="S5279" s="4"/>
      <c r="T5279" s="4"/>
      <c r="U5279" s="4"/>
      <c r="V5279" s="4"/>
      <c r="W5279" s="4"/>
      <c r="X5279" s="4"/>
    </row>
    <row r="5280" spans="17:24" x14ac:dyDescent="0.3">
      <c r="Q5280" s="4"/>
      <c r="R5280" s="4"/>
      <c r="S5280" s="4"/>
      <c r="T5280" s="4"/>
      <c r="U5280" s="4"/>
      <c r="V5280" s="4"/>
      <c r="W5280" s="4"/>
      <c r="X5280" s="4"/>
    </row>
    <row r="5281" spans="17:24" x14ac:dyDescent="0.3">
      <c r="Q5281" s="4"/>
      <c r="R5281" s="4"/>
      <c r="S5281" s="4"/>
      <c r="T5281" s="4"/>
      <c r="U5281" s="4"/>
      <c r="V5281" s="4"/>
      <c r="W5281" s="4"/>
      <c r="X5281" s="4"/>
    </row>
    <row r="5282" spans="17:24" x14ac:dyDescent="0.3">
      <c r="Q5282" s="4"/>
      <c r="R5282" s="4"/>
      <c r="S5282" s="4"/>
      <c r="T5282" s="4"/>
      <c r="U5282" s="4"/>
      <c r="V5282" s="4"/>
      <c r="W5282" s="4"/>
      <c r="X5282" s="4"/>
    </row>
    <row r="5283" spans="17:24" x14ac:dyDescent="0.3">
      <c r="Q5283" s="4"/>
      <c r="R5283" s="4"/>
      <c r="S5283" s="4"/>
      <c r="T5283" s="4"/>
      <c r="U5283" s="4"/>
      <c r="V5283" s="4"/>
      <c r="W5283" s="4"/>
      <c r="X5283" s="4"/>
    </row>
    <row r="5284" spans="17:24" x14ac:dyDescent="0.3">
      <c r="Q5284" s="4"/>
      <c r="R5284" s="4"/>
      <c r="S5284" s="4"/>
      <c r="T5284" s="4"/>
      <c r="U5284" s="4"/>
      <c r="V5284" s="4"/>
      <c r="W5284" s="4"/>
      <c r="X5284" s="4"/>
    </row>
    <row r="5285" spans="17:24" x14ac:dyDescent="0.3">
      <c r="Q5285" s="4"/>
      <c r="R5285" s="4"/>
      <c r="S5285" s="4"/>
      <c r="T5285" s="4"/>
      <c r="U5285" s="4"/>
      <c r="V5285" s="4"/>
      <c r="W5285" s="4"/>
      <c r="X5285" s="4"/>
    </row>
    <row r="5286" spans="17:24" x14ac:dyDescent="0.3">
      <c r="Q5286" s="4"/>
      <c r="R5286" s="4"/>
      <c r="S5286" s="4"/>
      <c r="T5286" s="4"/>
      <c r="U5286" s="4"/>
      <c r="V5286" s="4"/>
      <c r="W5286" s="4"/>
      <c r="X5286" s="4"/>
    </row>
    <row r="5287" spans="17:24" x14ac:dyDescent="0.3">
      <c r="Q5287" s="4"/>
      <c r="R5287" s="4"/>
      <c r="S5287" s="4"/>
      <c r="T5287" s="4"/>
      <c r="U5287" s="4"/>
      <c r="V5287" s="4"/>
      <c r="W5287" s="4"/>
      <c r="X5287" s="4"/>
    </row>
    <row r="5288" spans="17:24" x14ac:dyDescent="0.3">
      <c r="Q5288" s="4"/>
      <c r="R5288" s="4"/>
      <c r="S5288" s="4"/>
      <c r="T5288" s="4"/>
      <c r="U5288" s="4"/>
      <c r="V5288" s="4"/>
      <c r="W5288" s="4"/>
      <c r="X5288" s="4"/>
    </row>
    <row r="5289" spans="17:24" x14ac:dyDescent="0.3">
      <c r="Q5289" s="4"/>
      <c r="R5289" s="4"/>
      <c r="S5289" s="4"/>
      <c r="T5289" s="4"/>
      <c r="U5289" s="4"/>
      <c r="V5289" s="4"/>
      <c r="W5289" s="4"/>
      <c r="X5289" s="4"/>
    </row>
    <row r="5290" spans="17:24" x14ac:dyDescent="0.3">
      <c r="Q5290" s="4"/>
      <c r="R5290" s="4"/>
      <c r="S5290" s="4"/>
      <c r="T5290" s="4"/>
      <c r="U5290" s="4"/>
      <c r="V5290" s="4"/>
      <c r="W5290" s="4"/>
      <c r="X5290" s="4"/>
    </row>
    <row r="5291" spans="17:24" x14ac:dyDescent="0.3">
      <c r="Q5291" s="4"/>
      <c r="R5291" s="4"/>
      <c r="S5291" s="4"/>
      <c r="T5291" s="4"/>
      <c r="U5291" s="4"/>
      <c r="V5291" s="4"/>
      <c r="W5291" s="4"/>
      <c r="X5291" s="4"/>
    </row>
    <row r="5292" spans="17:24" x14ac:dyDescent="0.3">
      <c r="Q5292" s="4"/>
      <c r="R5292" s="4"/>
      <c r="S5292" s="4"/>
      <c r="T5292" s="4"/>
      <c r="U5292" s="4"/>
      <c r="V5292" s="4"/>
      <c r="W5292" s="4"/>
      <c r="X5292" s="4"/>
    </row>
    <row r="5293" spans="17:24" x14ac:dyDescent="0.3">
      <c r="Q5293" s="4"/>
      <c r="R5293" s="4"/>
      <c r="S5293" s="4"/>
      <c r="T5293" s="4"/>
      <c r="U5293" s="4"/>
      <c r="V5293" s="4"/>
      <c r="W5293" s="4"/>
      <c r="X5293" s="4"/>
    </row>
    <row r="5294" spans="17:24" x14ac:dyDescent="0.3">
      <c r="Q5294" s="4"/>
      <c r="R5294" s="4"/>
      <c r="S5294" s="4"/>
      <c r="T5294" s="4"/>
      <c r="U5294" s="4"/>
      <c r="V5294" s="4"/>
      <c r="W5294" s="4"/>
      <c r="X5294" s="4"/>
    </row>
    <row r="5295" spans="17:24" x14ac:dyDescent="0.3">
      <c r="Q5295" s="4"/>
      <c r="R5295" s="4"/>
      <c r="S5295" s="4"/>
      <c r="T5295" s="4"/>
      <c r="U5295" s="4"/>
      <c r="V5295" s="4"/>
      <c r="W5295" s="4"/>
      <c r="X5295" s="4"/>
    </row>
    <row r="5296" spans="17:24" x14ac:dyDescent="0.3">
      <c r="Q5296" s="4"/>
      <c r="R5296" s="4"/>
      <c r="S5296" s="4"/>
      <c r="T5296" s="4"/>
      <c r="U5296" s="4"/>
      <c r="V5296" s="4"/>
      <c r="W5296" s="4"/>
      <c r="X5296" s="4"/>
    </row>
    <row r="5297" spans="17:24" x14ac:dyDescent="0.3">
      <c r="Q5297" s="4"/>
      <c r="R5297" s="4"/>
      <c r="S5297" s="4"/>
      <c r="T5297" s="4"/>
      <c r="U5297" s="4"/>
      <c r="V5297" s="4"/>
      <c r="W5297" s="4"/>
      <c r="X5297" s="4"/>
    </row>
    <row r="5298" spans="17:24" x14ac:dyDescent="0.3">
      <c r="Q5298" s="4"/>
      <c r="R5298" s="4"/>
      <c r="S5298" s="4"/>
      <c r="T5298" s="4"/>
      <c r="U5298" s="4"/>
      <c r="V5298" s="4"/>
      <c r="W5298" s="4"/>
      <c r="X5298" s="4"/>
    </row>
    <row r="5299" spans="17:24" x14ac:dyDescent="0.3">
      <c r="Q5299" s="4"/>
      <c r="R5299" s="4"/>
      <c r="S5299" s="4"/>
      <c r="T5299" s="4"/>
      <c r="U5299" s="4"/>
      <c r="V5299" s="4"/>
      <c r="W5299" s="4"/>
      <c r="X5299" s="4"/>
    </row>
    <row r="5300" spans="17:24" x14ac:dyDescent="0.3">
      <c r="Q5300" s="4"/>
      <c r="R5300" s="4"/>
      <c r="S5300" s="4"/>
      <c r="T5300" s="4"/>
      <c r="U5300" s="4"/>
      <c r="V5300" s="4"/>
      <c r="W5300" s="4"/>
      <c r="X5300" s="4"/>
    </row>
    <row r="5301" spans="17:24" x14ac:dyDescent="0.3">
      <c r="Q5301" s="4"/>
      <c r="R5301" s="4"/>
      <c r="S5301" s="4"/>
      <c r="T5301" s="4"/>
      <c r="U5301" s="4"/>
      <c r="V5301" s="4"/>
      <c r="W5301" s="4"/>
      <c r="X5301" s="4"/>
    </row>
    <row r="5302" spans="17:24" x14ac:dyDescent="0.3">
      <c r="Q5302" s="4"/>
      <c r="R5302" s="4"/>
      <c r="S5302" s="4"/>
      <c r="T5302" s="4"/>
      <c r="U5302" s="4"/>
      <c r="V5302" s="4"/>
      <c r="W5302" s="4"/>
      <c r="X5302" s="4"/>
    </row>
    <row r="5303" spans="17:24" x14ac:dyDescent="0.3">
      <c r="Q5303" s="4"/>
      <c r="R5303" s="4"/>
      <c r="S5303" s="4"/>
      <c r="T5303" s="4"/>
      <c r="U5303" s="4"/>
      <c r="V5303" s="4"/>
      <c r="W5303" s="4"/>
      <c r="X5303" s="4"/>
    </row>
    <row r="5304" spans="17:24" x14ac:dyDescent="0.3">
      <c r="Q5304" s="4"/>
      <c r="R5304" s="4"/>
      <c r="S5304" s="4"/>
      <c r="T5304" s="4"/>
      <c r="U5304" s="4"/>
      <c r="V5304" s="4"/>
      <c r="W5304" s="4"/>
      <c r="X5304" s="4"/>
    </row>
    <row r="5305" spans="17:24" x14ac:dyDescent="0.3">
      <c r="Q5305" s="4"/>
      <c r="R5305" s="4"/>
      <c r="S5305" s="4"/>
      <c r="T5305" s="4"/>
      <c r="U5305" s="4"/>
      <c r="V5305" s="4"/>
      <c r="W5305" s="4"/>
      <c r="X5305" s="4"/>
    </row>
    <row r="5306" spans="17:24" x14ac:dyDescent="0.3">
      <c r="Q5306" s="4"/>
      <c r="R5306" s="4"/>
      <c r="S5306" s="4"/>
      <c r="T5306" s="4"/>
      <c r="U5306" s="4"/>
      <c r="V5306" s="4"/>
      <c r="W5306" s="4"/>
      <c r="X5306" s="4"/>
    </row>
    <row r="5307" spans="17:24" x14ac:dyDescent="0.3">
      <c r="Q5307" s="4"/>
      <c r="R5307" s="4"/>
      <c r="S5307" s="4"/>
      <c r="T5307" s="4"/>
      <c r="U5307" s="4"/>
      <c r="V5307" s="4"/>
      <c r="W5307" s="4"/>
      <c r="X5307" s="4"/>
    </row>
    <row r="5308" spans="17:24" x14ac:dyDescent="0.3">
      <c r="Q5308" s="4"/>
      <c r="R5308" s="4"/>
      <c r="S5308" s="4"/>
      <c r="T5308" s="4"/>
      <c r="U5308" s="4"/>
      <c r="V5308" s="4"/>
      <c r="W5308" s="4"/>
      <c r="X5308" s="4"/>
    </row>
    <row r="5309" spans="17:24" x14ac:dyDescent="0.3">
      <c r="Q5309" s="4"/>
      <c r="R5309" s="4"/>
      <c r="S5309" s="4"/>
      <c r="T5309" s="4"/>
      <c r="U5309" s="4"/>
      <c r="V5309" s="4"/>
      <c r="W5309" s="4"/>
      <c r="X5309" s="4"/>
    </row>
    <row r="5310" spans="17:24" x14ac:dyDescent="0.3">
      <c r="Q5310" s="4"/>
      <c r="R5310" s="4"/>
      <c r="S5310" s="4"/>
      <c r="T5310" s="4"/>
      <c r="U5310" s="4"/>
      <c r="V5310" s="4"/>
      <c r="W5310" s="4"/>
      <c r="X5310" s="4"/>
    </row>
    <row r="5311" spans="17:24" x14ac:dyDescent="0.3">
      <c r="Q5311" s="4"/>
      <c r="R5311" s="4"/>
      <c r="S5311" s="4"/>
      <c r="T5311" s="4"/>
      <c r="U5311" s="4"/>
      <c r="V5311" s="4"/>
      <c r="W5311" s="4"/>
      <c r="X5311" s="4"/>
    </row>
    <row r="5312" spans="17:24" x14ac:dyDescent="0.3">
      <c r="Q5312" s="4"/>
      <c r="R5312" s="4"/>
      <c r="S5312" s="4"/>
      <c r="T5312" s="4"/>
      <c r="U5312" s="4"/>
      <c r="V5312" s="4"/>
      <c r="W5312" s="4"/>
      <c r="X5312" s="4"/>
    </row>
    <row r="5313" spans="17:24" x14ac:dyDescent="0.3">
      <c r="Q5313" s="4"/>
      <c r="R5313" s="4"/>
      <c r="S5313" s="4"/>
      <c r="T5313" s="4"/>
      <c r="U5313" s="4"/>
      <c r="V5313" s="4"/>
      <c r="W5313" s="4"/>
      <c r="X5313" s="4"/>
    </row>
    <row r="5314" spans="17:24" x14ac:dyDescent="0.3">
      <c r="Q5314" s="4"/>
      <c r="R5314" s="4"/>
      <c r="S5314" s="4"/>
      <c r="T5314" s="4"/>
      <c r="U5314" s="4"/>
      <c r="V5314" s="4"/>
      <c r="W5314" s="4"/>
      <c r="X5314" s="4"/>
    </row>
    <row r="5315" spans="17:24" x14ac:dyDescent="0.3">
      <c r="Q5315" s="4"/>
      <c r="R5315" s="4"/>
      <c r="S5315" s="4"/>
      <c r="T5315" s="4"/>
      <c r="U5315" s="4"/>
      <c r="V5315" s="4"/>
      <c r="W5315" s="4"/>
      <c r="X5315" s="4"/>
    </row>
    <row r="5316" spans="17:24" x14ac:dyDescent="0.3">
      <c r="Q5316" s="4"/>
      <c r="R5316" s="4"/>
      <c r="S5316" s="4"/>
      <c r="T5316" s="4"/>
      <c r="U5316" s="4"/>
      <c r="V5316" s="4"/>
      <c r="W5316" s="4"/>
      <c r="X5316" s="4"/>
    </row>
    <row r="5317" spans="17:24" x14ac:dyDescent="0.3">
      <c r="Q5317" s="4"/>
      <c r="R5317" s="4"/>
      <c r="S5317" s="4"/>
      <c r="T5317" s="4"/>
      <c r="U5317" s="4"/>
      <c r="V5317" s="4"/>
      <c r="W5317" s="4"/>
      <c r="X5317" s="4"/>
    </row>
    <row r="5318" spans="17:24" x14ac:dyDescent="0.3">
      <c r="Q5318" s="4"/>
      <c r="R5318" s="4"/>
      <c r="S5318" s="4"/>
      <c r="T5318" s="4"/>
      <c r="U5318" s="4"/>
      <c r="V5318" s="4"/>
      <c r="W5318" s="4"/>
      <c r="X5318" s="4"/>
    </row>
    <row r="5319" spans="17:24" x14ac:dyDescent="0.3">
      <c r="Q5319" s="4"/>
      <c r="R5319" s="4"/>
      <c r="S5319" s="4"/>
      <c r="T5319" s="4"/>
      <c r="U5319" s="4"/>
      <c r="V5319" s="4"/>
      <c r="W5319" s="4"/>
      <c r="X5319" s="4"/>
    </row>
    <row r="5320" spans="17:24" x14ac:dyDescent="0.3">
      <c r="Q5320" s="4"/>
      <c r="R5320" s="4"/>
      <c r="S5320" s="4"/>
      <c r="T5320" s="4"/>
      <c r="U5320" s="4"/>
      <c r="V5320" s="4"/>
      <c r="W5320" s="4"/>
      <c r="X5320" s="4"/>
    </row>
    <row r="5321" spans="17:24" x14ac:dyDescent="0.3">
      <c r="Q5321" s="4"/>
      <c r="R5321" s="4"/>
      <c r="S5321" s="4"/>
      <c r="T5321" s="4"/>
      <c r="U5321" s="4"/>
      <c r="V5321" s="4"/>
      <c r="W5321" s="4"/>
      <c r="X5321" s="4"/>
    </row>
    <row r="5322" spans="17:24" x14ac:dyDescent="0.3">
      <c r="Q5322" s="4"/>
      <c r="R5322" s="4"/>
      <c r="S5322" s="4"/>
      <c r="T5322" s="4"/>
      <c r="U5322" s="4"/>
      <c r="V5322" s="4"/>
      <c r="W5322" s="4"/>
      <c r="X5322" s="4"/>
    </row>
    <row r="5323" spans="17:24" x14ac:dyDescent="0.3">
      <c r="Q5323" s="4"/>
      <c r="R5323" s="4"/>
      <c r="S5323" s="4"/>
      <c r="T5323" s="4"/>
      <c r="U5323" s="4"/>
      <c r="V5323" s="4"/>
      <c r="W5323" s="4"/>
      <c r="X5323" s="4"/>
    </row>
    <row r="5324" spans="17:24" x14ac:dyDescent="0.3">
      <c r="Q5324" s="4"/>
      <c r="R5324" s="4"/>
      <c r="S5324" s="4"/>
      <c r="T5324" s="4"/>
      <c r="U5324" s="4"/>
      <c r="V5324" s="4"/>
      <c r="W5324" s="4"/>
      <c r="X5324" s="4"/>
    </row>
    <row r="5325" spans="17:24" x14ac:dyDescent="0.3">
      <c r="Q5325" s="4"/>
      <c r="R5325" s="4"/>
      <c r="S5325" s="4"/>
      <c r="T5325" s="4"/>
      <c r="U5325" s="4"/>
      <c r="V5325" s="4"/>
      <c r="W5325" s="4"/>
      <c r="X5325" s="4"/>
    </row>
    <row r="5326" spans="17:24" x14ac:dyDescent="0.3">
      <c r="Q5326" s="4"/>
      <c r="R5326" s="4"/>
      <c r="S5326" s="4"/>
      <c r="T5326" s="4"/>
      <c r="U5326" s="4"/>
      <c r="V5326" s="4"/>
      <c r="W5326" s="4"/>
      <c r="X5326" s="4"/>
    </row>
    <row r="5327" spans="17:24" x14ac:dyDescent="0.3">
      <c r="Q5327" s="4"/>
      <c r="R5327" s="4"/>
      <c r="S5327" s="4"/>
      <c r="T5327" s="4"/>
      <c r="U5327" s="4"/>
      <c r="V5327" s="4"/>
      <c r="W5327" s="4"/>
      <c r="X5327" s="4"/>
    </row>
    <row r="5328" spans="17:24" x14ac:dyDescent="0.3">
      <c r="Q5328" s="4"/>
      <c r="R5328" s="4"/>
      <c r="S5328" s="4"/>
      <c r="T5328" s="4"/>
      <c r="U5328" s="4"/>
      <c r="V5328" s="4"/>
      <c r="W5328" s="4"/>
      <c r="X5328" s="4"/>
    </row>
    <row r="5329" spans="17:24" x14ac:dyDescent="0.3">
      <c r="Q5329" s="4"/>
      <c r="R5329" s="4"/>
      <c r="S5329" s="4"/>
      <c r="T5329" s="4"/>
      <c r="U5329" s="4"/>
      <c r="V5329" s="4"/>
      <c r="W5329" s="4"/>
      <c r="X5329" s="4"/>
    </row>
    <row r="5330" spans="17:24" x14ac:dyDescent="0.3">
      <c r="Q5330" s="4"/>
      <c r="R5330" s="4"/>
      <c r="S5330" s="4"/>
      <c r="T5330" s="4"/>
      <c r="U5330" s="4"/>
      <c r="V5330" s="4"/>
      <c r="W5330" s="4"/>
      <c r="X5330" s="4"/>
    </row>
    <row r="5331" spans="17:24" x14ac:dyDescent="0.3">
      <c r="Q5331" s="4"/>
      <c r="R5331" s="4"/>
      <c r="S5331" s="4"/>
      <c r="T5331" s="4"/>
      <c r="U5331" s="4"/>
      <c r="V5331" s="4"/>
      <c r="W5331" s="4"/>
      <c r="X5331" s="4"/>
    </row>
    <row r="5332" spans="17:24" x14ac:dyDescent="0.3">
      <c r="Q5332" s="4"/>
      <c r="R5332" s="4"/>
      <c r="S5332" s="4"/>
      <c r="T5332" s="4"/>
      <c r="U5332" s="4"/>
      <c r="V5332" s="4"/>
      <c r="W5332" s="4"/>
      <c r="X5332" s="4"/>
    </row>
    <row r="5333" spans="17:24" x14ac:dyDescent="0.3">
      <c r="Q5333" s="4"/>
      <c r="R5333" s="4"/>
      <c r="S5333" s="4"/>
      <c r="T5333" s="4"/>
      <c r="U5333" s="4"/>
      <c r="V5333" s="4"/>
      <c r="W5333" s="4"/>
      <c r="X5333" s="4"/>
    </row>
    <row r="5334" spans="17:24" x14ac:dyDescent="0.3">
      <c r="Q5334" s="4"/>
      <c r="R5334" s="4"/>
      <c r="S5334" s="4"/>
      <c r="T5334" s="4"/>
      <c r="U5334" s="4"/>
      <c r="V5334" s="4"/>
      <c r="W5334" s="4"/>
      <c r="X5334" s="4"/>
    </row>
    <row r="5335" spans="17:24" x14ac:dyDescent="0.3">
      <c r="Q5335" s="4"/>
      <c r="R5335" s="4"/>
      <c r="S5335" s="4"/>
      <c r="T5335" s="4"/>
      <c r="U5335" s="4"/>
      <c r="V5335" s="4"/>
      <c r="W5335" s="4"/>
      <c r="X5335" s="4"/>
    </row>
    <row r="5336" spans="17:24" x14ac:dyDescent="0.3">
      <c r="Q5336" s="4"/>
      <c r="R5336" s="4"/>
      <c r="S5336" s="4"/>
      <c r="T5336" s="4"/>
      <c r="U5336" s="4"/>
      <c r="V5336" s="4"/>
      <c r="W5336" s="4"/>
      <c r="X5336" s="4"/>
    </row>
    <row r="5337" spans="17:24" x14ac:dyDescent="0.3">
      <c r="Q5337" s="4"/>
      <c r="R5337" s="4"/>
      <c r="S5337" s="4"/>
      <c r="T5337" s="4"/>
      <c r="U5337" s="4"/>
      <c r="V5337" s="4"/>
      <c r="W5337" s="4"/>
      <c r="X5337" s="4"/>
    </row>
    <row r="5338" spans="17:24" x14ac:dyDescent="0.3">
      <c r="Q5338" s="4"/>
      <c r="R5338" s="4"/>
      <c r="S5338" s="4"/>
      <c r="T5338" s="4"/>
      <c r="U5338" s="4"/>
      <c r="V5338" s="4"/>
      <c r="W5338" s="4"/>
      <c r="X5338" s="4"/>
    </row>
    <row r="5339" spans="17:24" x14ac:dyDescent="0.3">
      <c r="Q5339" s="4"/>
      <c r="R5339" s="4"/>
      <c r="S5339" s="4"/>
      <c r="T5339" s="4"/>
      <c r="U5339" s="4"/>
      <c r="V5339" s="4"/>
      <c r="W5339" s="4"/>
      <c r="X5339" s="4"/>
    </row>
    <row r="5340" spans="17:24" x14ac:dyDescent="0.3">
      <c r="Q5340" s="4"/>
      <c r="R5340" s="4"/>
      <c r="S5340" s="4"/>
      <c r="T5340" s="4"/>
      <c r="U5340" s="4"/>
      <c r="V5340" s="4"/>
      <c r="W5340" s="4"/>
      <c r="X5340" s="4"/>
    </row>
    <row r="5341" spans="17:24" x14ac:dyDescent="0.3">
      <c r="Q5341" s="4"/>
      <c r="R5341" s="4"/>
      <c r="S5341" s="4"/>
      <c r="T5341" s="4"/>
      <c r="U5341" s="4"/>
      <c r="V5341" s="4"/>
      <c r="W5341" s="4"/>
      <c r="X5341" s="4"/>
    </row>
    <row r="5342" spans="17:24" x14ac:dyDescent="0.3">
      <c r="Q5342" s="4"/>
      <c r="R5342" s="4"/>
      <c r="S5342" s="4"/>
      <c r="T5342" s="4"/>
      <c r="U5342" s="4"/>
      <c r="V5342" s="4"/>
      <c r="W5342" s="4"/>
      <c r="X5342" s="4"/>
    </row>
    <row r="5343" spans="17:24" x14ac:dyDescent="0.3">
      <c r="Q5343" s="4"/>
      <c r="R5343" s="4"/>
      <c r="S5343" s="4"/>
      <c r="T5343" s="4"/>
      <c r="U5343" s="4"/>
      <c r="V5343" s="4"/>
      <c r="W5343" s="4"/>
      <c r="X5343" s="4"/>
    </row>
    <row r="5344" spans="17:24" x14ac:dyDescent="0.3">
      <c r="Q5344" s="4"/>
      <c r="R5344" s="4"/>
      <c r="S5344" s="4"/>
      <c r="T5344" s="4"/>
      <c r="U5344" s="4"/>
      <c r="V5344" s="4"/>
      <c r="W5344" s="4"/>
      <c r="X5344" s="4"/>
    </row>
    <row r="5345" spans="17:24" x14ac:dyDescent="0.3">
      <c r="Q5345" s="4"/>
      <c r="R5345" s="4"/>
      <c r="S5345" s="4"/>
      <c r="T5345" s="4"/>
      <c r="U5345" s="4"/>
      <c r="V5345" s="4"/>
      <c r="W5345" s="4"/>
      <c r="X5345" s="4"/>
    </row>
    <row r="5346" spans="17:24" x14ac:dyDescent="0.3">
      <c r="Q5346" s="4"/>
      <c r="R5346" s="4"/>
      <c r="S5346" s="4"/>
      <c r="T5346" s="4"/>
      <c r="U5346" s="4"/>
      <c r="V5346" s="4"/>
      <c r="W5346" s="4"/>
      <c r="X5346" s="4"/>
    </row>
    <row r="5347" spans="17:24" x14ac:dyDescent="0.3">
      <c r="Q5347" s="4"/>
      <c r="R5347" s="4"/>
      <c r="S5347" s="4"/>
      <c r="T5347" s="4"/>
      <c r="U5347" s="4"/>
      <c r="V5347" s="4"/>
      <c r="W5347" s="4"/>
      <c r="X5347" s="4"/>
    </row>
    <row r="5348" spans="17:24" x14ac:dyDescent="0.3">
      <c r="Q5348" s="4"/>
      <c r="R5348" s="4"/>
      <c r="S5348" s="4"/>
      <c r="T5348" s="4"/>
      <c r="U5348" s="4"/>
      <c r="V5348" s="4"/>
      <c r="W5348" s="4"/>
      <c r="X5348" s="4"/>
    </row>
    <row r="5349" spans="17:24" x14ac:dyDescent="0.3">
      <c r="Q5349" s="4"/>
      <c r="R5349" s="4"/>
      <c r="S5349" s="4"/>
      <c r="T5349" s="4"/>
      <c r="U5349" s="4"/>
      <c r="V5349" s="4"/>
      <c r="W5349" s="4"/>
      <c r="X5349" s="4"/>
    </row>
    <row r="5350" spans="17:24" x14ac:dyDescent="0.3">
      <c r="Q5350" s="4"/>
      <c r="R5350" s="4"/>
      <c r="S5350" s="4"/>
      <c r="T5350" s="4"/>
      <c r="U5350" s="4"/>
      <c r="V5350" s="4"/>
      <c r="W5350" s="4"/>
      <c r="X5350" s="4"/>
    </row>
    <row r="5351" spans="17:24" x14ac:dyDescent="0.3">
      <c r="Q5351" s="4"/>
      <c r="R5351" s="4"/>
      <c r="S5351" s="4"/>
      <c r="T5351" s="4"/>
      <c r="U5351" s="4"/>
      <c r="V5351" s="4"/>
      <c r="W5351" s="4"/>
      <c r="X5351" s="4"/>
    </row>
    <row r="5352" spans="17:24" x14ac:dyDescent="0.3">
      <c r="Q5352" s="4"/>
      <c r="R5352" s="4"/>
      <c r="S5352" s="4"/>
      <c r="T5352" s="4"/>
      <c r="U5352" s="4"/>
      <c r="V5352" s="4"/>
      <c r="W5352" s="4"/>
      <c r="X5352" s="4"/>
    </row>
    <row r="5353" spans="17:24" x14ac:dyDescent="0.3">
      <c r="Q5353" s="4"/>
      <c r="R5353" s="4"/>
      <c r="S5353" s="4"/>
      <c r="T5353" s="4"/>
      <c r="U5353" s="4"/>
      <c r="V5353" s="4"/>
      <c r="W5353" s="4"/>
      <c r="X5353" s="4"/>
    </row>
    <row r="5354" spans="17:24" x14ac:dyDescent="0.3">
      <c r="Q5354" s="4"/>
      <c r="R5354" s="4"/>
      <c r="S5354" s="4"/>
      <c r="T5354" s="4"/>
      <c r="U5354" s="4"/>
      <c r="V5354" s="4"/>
      <c r="W5354" s="4"/>
      <c r="X5354" s="4"/>
    </row>
    <row r="5355" spans="17:24" x14ac:dyDescent="0.3">
      <c r="Q5355" s="4"/>
      <c r="R5355" s="4"/>
      <c r="S5355" s="4"/>
      <c r="T5355" s="4"/>
      <c r="U5355" s="4"/>
      <c r="V5355" s="4"/>
      <c r="W5355" s="4"/>
      <c r="X5355" s="4"/>
    </row>
    <row r="5356" spans="17:24" x14ac:dyDescent="0.3">
      <c r="Q5356" s="4"/>
      <c r="R5356" s="4"/>
      <c r="S5356" s="4"/>
      <c r="T5356" s="4"/>
      <c r="U5356" s="4"/>
      <c r="V5356" s="4"/>
      <c r="W5356" s="4"/>
      <c r="X5356" s="4"/>
    </row>
    <row r="5357" spans="17:24" x14ac:dyDescent="0.3">
      <c r="Q5357" s="4"/>
      <c r="R5357" s="4"/>
      <c r="S5357" s="4"/>
      <c r="T5357" s="4"/>
      <c r="U5357" s="4"/>
      <c r="V5357" s="4"/>
      <c r="W5357" s="4"/>
      <c r="X5357" s="4"/>
    </row>
    <row r="5358" spans="17:24" x14ac:dyDescent="0.3">
      <c r="Q5358" s="4"/>
      <c r="R5358" s="4"/>
      <c r="S5358" s="4"/>
      <c r="T5358" s="4"/>
      <c r="U5358" s="4"/>
      <c r="V5358" s="4"/>
      <c r="W5358" s="4"/>
      <c r="X5358" s="4"/>
    </row>
    <row r="5359" spans="17:24" x14ac:dyDescent="0.3">
      <c r="Q5359" s="4"/>
      <c r="R5359" s="4"/>
      <c r="S5359" s="4"/>
      <c r="T5359" s="4"/>
      <c r="U5359" s="4"/>
      <c r="V5359" s="4"/>
      <c r="W5359" s="4"/>
      <c r="X5359" s="4"/>
    </row>
    <row r="5360" spans="17:24" x14ac:dyDescent="0.3">
      <c r="Q5360" s="4"/>
      <c r="R5360" s="4"/>
      <c r="S5360" s="4"/>
      <c r="T5360" s="4"/>
      <c r="U5360" s="4"/>
      <c r="V5360" s="4"/>
      <c r="W5360" s="4"/>
      <c r="X5360" s="4"/>
    </row>
    <row r="5361" spans="17:24" x14ac:dyDescent="0.3">
      <c r="Q5361" s="4"/>
      <c r="R5361" s="4"/>
      <c r="S5361" s="4"/>
      <c r="T5361" s="4"/>
      <c r="U5361" s="4"/>
      <c r="V5361" s="4"/>
      <c r="W5361" s="4"/>
      <c r="X5361" s="4"/>
    </row>
    <row r="5362" spans="17:24" x14ac:dyDescent="0.3">
      <c r="Q5362" s="4"/>
      <c r="R5362" s="4"/>
      <c r="S5362" s="4"/>
      <c r="T5362" s="4"/>
      <c r="U5362" s="4"/>
      <c r="V5362" s="4"/>
      <c r="W5362" s="4"/>
      <c r="X5362" s="4"/>
    </row>
    <row r="5363" spans="17:24" x14ac:dyDescent="0.3">
      <c r="Q5363" s="4"/>
      <c r="R5363" s="4"/>
      <c r="S5363" s="4"/>
      <c r="T5363" s="4"/>
      <c r="U5363" s="4"/>
      <c r="V5363" s="4"/>
      <c r="W5363" s="4"/>
      <c r="X5363" s="4"/>
    </row>
    <row r="5364" spans="17:24" x14ac:dyDescent="0.3">
      <c r="Q5364" s="4"/>
      <c r="R5364" s="4"/>
      <c r="S5364" s="4"/>
      <c r="T5364" s="4"/>
      <c r="U5364" s="4"/>
      <c r="V5364" s="4"/>
      <c r="W5364" s="4"/>
      <c r="X5364" s="4"/>
    </row>
    <row r="5365" spans="17:24" x14ac:dyDescent="0.3">
      <c r="Q5365" s="4"/>
      <c r="R5365" s="4"/>
      <c r="S5365" s="4"/>
      <c r="T5365" s="4"/>
      <c r="U5365" s="4"/>
      <c r="V5365" s="4"/>
      <c r="W5365" s="4"/>
      <c r="X5365" s="4"/>
    </row>
    <row r="5366" spans="17:24" x14ac:dyDescent="0.3">
      <c r="Q5366" s="4"/>
      <c r="R5366" s="4"/>
      <c r="S5366" s="4"/>
      <c r="T5366" s="4"/>
      <c r="U5366" s="4"/>
      <c r="V5366" s="4"/>
      <c r="W5366" s="4"/>
      <c r="X5366" s="4"/>
    </row>
    <row r="5367" spans="17:24" x14ac:dyDescent="0.3">
      <c r="Q5367" s="4"/>
      <c r="R5367" s="4"/>
      <c r="S5367" s="4"/>
      <c r="T5367" s="4"/>
      <c r="U5367" s="4"/>
      <c r="V5367" s="4"/>
      <c r="W5367" s="4"/>
      <c r="X5367" s="4"/>
    </row>
    <row r="5368" spans="17:24" x14ac:dyDescent="0.3">
      <c r="Q5368" s="4"/>
      <c r="R5368" s="4"/>
      <c r="S5368" s="4"/>
      <c r="T5368" s="4"/>
      <c r="U5368" s="4"/>
      <c r="V5368" s="4"/>
      <c r="W5368" s="4"/>
      <c r="X5368" s="4"/>
    </row>
    <row r="5369" spans="17:24" x14ac:dyDescent="0.3">
      <c r="Q5369" s="4"/>
      <c r="R5369" s="4"/>
      <c r="S5369" s="4"/>
      <c r="T5369" s="4"/>
      <c r="U5369" s="4"/>
      <c r="V5369" s="4"/>
      <c r="W5369" s="4"/>
      <c r="X5369" s="4"/>
    </row>
    <row r="5370" spans="17:24" x14ac:dyDescent="0.3">
      <c r="Q5370" s="4"/>
      <c r="R5370" s="4"/>
      <c r="S5370" s="4"/>
      <c r="T5370" s="4"/>
      <c r="U5370" s="4"/>
      <c r="V5370" s="4"/>
      <c r="W5370" s="4"/>
      <c r="X5370" s="4"/>
    </row>
    <row r="5371" spans="17:24" x14ac:dyDescent="0.3">
      <c r="Q5371" s="4"/>
      <c r="R5371" s="4"/>
      <c r="S5371" s="4"/>
      <c r="T5371" s="4"/>
      <c r="U5371" s="4"/>
      <c r="V5371" s="4"/>
      <c r="W5371" s="4"/>
      <c r="X5371" s="4"/>
    </row>
    <row r="5372" spans="17:24" x14ac:dyDescent="0.3">
      <c r="Q5372" s="4"/>
      <c r="R5372" s="4"/>
      <c r="S5372" s="4"/>
      <c r="T5372" s="4"/>
      <c r="U5372" s="4"/>
      <c r="V5372" s="4"/>
      <c r="W5372" s="4"/>
      <c r="X5372" s="4"/>
    </row>
    <row r="5373" spans="17:24" x14ac:dyDescent="0.3">
      <c r="Q5373" s="4"/>
      <c r="R5373" s="4"/>
      <c r="S5373" s="4"/>
      <c r="T5373" s="4"/>
      <c r="U5373" s="4"/>
      <c r="V5373" s="4"/>
      <c r="W5373" s="4"/>
      <c r="X5373" s="4"/>
    </row>
    <row r="5374" spans="17:24" x14ac:dyDescent="0.3">
      <c r="Q5374" s="4"/>
      <c r="R5374" s="4"/>
      <c r="S5374" s="4"/>
      <c r="T5374" s="4"/>
      <c r="U5374" s="4"/>
      <c r="V5374" s="4"/>
      <c r="W5374" s="4"/>
      <c r="X5374" s="4"/>
    </row>
    <row r="5375" spans="17:24" x14ac:dyDescent="0.3">
      <c r="Q5375" s="4"/>
      <c r="R5375" s="4"/>
      <c r="S5375" s="4"/>
      <c r="T5375" s="4"/>
      <c r="U5375" s="4"/>
      <c r="V5375" s="4"/>
      <c r="W5375" s="4"/>
      <c r="X5375" s="4"/>
    </row>
    <row r="5376" spans="17:24" x14ac:dyDescent="0.3">
      <c r="Q5376" s="4"/>
      <c r="R5376" s="4"/>
      <c r="S5376" s="4"/>
      <c r="T5376" s="4"/>
      <c r="U5376" s="4"/>
      <c r="V5376" s="4"/>
      <c r="W5376" s="4"/>
      <c r="X5376" s="4"/>
    </row>
    <row r="5377" spans="17:24" x14ac:dyDescent="0.3">
      <c r="Q5377" s="4"/>
      <c r="R5377" s="4"/>
      <c r="S5377" s="4"/>
      <c r="T5377" s="4"/>
      <c r="U5377" s="4"/>
      <c r="V5377" s="4"/>
      <c r="W5377" s="4"/>
      <c r="X5377" s="4"/>
    </row>
    <row r="5378" spans="17:24" x14ac:dyDescent="0.3">
      <c r="Q5378" s="4"/>
      <c r="R5378" s="4"/>
      <c r="S5378" s="4"/>
      <c r="T5378" s="4"/>
      <c r="U5378" s="4"/>
      <c r="V5378" s="4"/>
      <c r="W5378" s="4"/>
      <c r="X5378" s="4"/>
    </row>
    <row r="5379" spans="17:24" x14ac:dyDescent="0.3">
      <c r="Q5379" s="4"/>
      <c r="R5379" s="4"/>
      <c r="S5379" s="4"/>
      <c r="T5379" s="4"/>
      <c r="U5379" s="4"/>
      <c r="V5379" s="4"/>
      <c r="W5379" s="4"/>
      <c r="X5379" s="4"/>
    </row>
    <row r="5380" spans="17:24" x14ac:dyDescent="0.3">
      <c r="Q5380" s="4"/>
      <c r="R5380" s="4"/>
      <c r="S5380" s="4"/>
      <c r="T5380" s="4"/>
      <c r="U5380" s="4"/>
      <c r="V5380" s="4"/>
      <c r="W5380" s="4"/>
      <c r="X5380" s="4"/>
    </row>
    <row r="5381" spans="17:24" x14ac:dyDescent="0.3">
      <c r="Q5381" s="4"/>
      <c r="R5381" s="4"/>
      <c r="S5381" s="4"/>
      <c r="T5381" s="4"/>
      <c r="U5381" s="4"/>
      <c r="V5381" s="4"/>
      <c r="W5381" s="4"/>
      <c r="X5381" s="4"/>
    </row>
    <row r="5382" spans="17:24" x14ac:dyDescent="0.3">
      <c r="Q5382" s="4"/>
      <c r="R5382" s="4"/>
      <c r="S5382" s="4"/>
      <c r="T5382" s="4"/>
      <c r="U5382" s="4"/>
      <c r="V5382" s="4"/>
      <c r="W5382" s="4"/>
      <c r="X5382" s="4"/>
    </row>
    <row r="5383" spans="17:24" x14ac:dyDescent="0.3">
      <c r="Q5383" s="4"/>
      <c r="R5383" s="4"/>
      <c r="S5383" s="4"/>
      <c r="T5383" s="4"/>
      <c r="U5383" s="4"/>
      <c r="V5383" s="4"/>
      <c r="W5383" s="4"/>
      <c r="X5383" s="4"/>
    </row>
    <row r="5384" spans="17:24" x14ac:dyDescent="0.3">
      <c r="Q5384" s="4"/>
      <c r="R5384" s="4"/>
      <c r="S5384" s="4"/>
      <c r="T5384" s="4"/>
      <c r="U5384" s="4"/>
      <c r="V5384" s="4"/>
      <c r="W5384" s="4"/>
      <c r="X5384" s="4"/>
    </row>
    <row r="5385" spans="17:24" x14ac:dyDescent="0.3">
      <c r="Q5385" s="4"/>
      <c r="R5385" s="4"/>
      <c r="S5385" s="4"/>
      <c r="T5385" s="4"/>
      <c r="U5385" s="4"/>
      <c r="V5385" s="4"/>
      <c r="W5385" s="4"/>
      <c r="X5385" s="4"/>
    </row>
    <row r="5386" spans="17:24" x14ac:dyDescent="0.3">
      <c r="Q5386" s="4"/>
      <c r="R5386" s="4"/>
      <c r="S5386" s="4"/>
      <c r="T5386" s="4"/>
      <c r="U5386" s="4"/>
      <c r="V5386" s="4"/>
      <c r="W5386" s="4"/>
      <c r="X5386" s="4"/>
    </row>
    <row r="5387" spans="17:24" x14ac:dyDescent="0.3">
      <c r="Q5387" s="4"/>
      <c r="R5387" s="4"/>
      <c r="S5387" s="4"/>
      <c r="T5387" s="4"/>
      <c r="U5387" s="4"/>
      <c r="V5387" s="4"/>
      <c r="W5387" s="4"/>
      <c r="X5387" s="4"/>
    </row>
    <row r="5388" spans="17:24" x14ac:dyDescent="0.3">
      <c r="Q5388" s="4"/>
      <c r="R5388" s="4"/>
      <c r="S5388" s="4"/>
      <c r="T5388" s="4"/>
      <c r="U5388" s="4"/>
      <c r="V5388" s="4"/>
      <c r="W5388" s="4"/>
      <c r="X5388" s="4"/>
    </row>
    <row r="5389" spans="17:24" x14ac:dyDescent="0.3">
      <c r="Q5389" s="4"/>
      <c r="R5389" s="4"/>
      <c r="S5389" s="4"/>
      <c r="T5389" s="4"/>
      <c r="U5389" s="4"/>
      <c r="V5389" s="4"/>
      <c r="W5389" s="4"/>
      <c r="X5389" s="4"/>
    </row>
    <row r="5390" spans="17:24" x14ac:dyDescent="0.3">
      <c r="Q5390" s="4"/>
      <c r="R5390" s="4"/>
      <c r="S5390" s="4"/>
      <c r="T5390" s="4"/>
      <c r="U5390" s="4"/>
      <c r="V5390" s="4"/>
      <c r="W5390" s="4"/>
      <c r="X5390" s="4"/>
    </row>
    <row r="5391" spans="17:24" x14ac:dyDescent="0.3">
      <c r="Q5391" s="4"/>
      <c r="R5391" s="4"/>
      <c r="S5391" s="4"/>
      <c r="T5391" s="4"/>
      <c r="U5391" s="4"/>
      <c r="V5391" s="4"/>
      <c r="W5391" s="4"/>
      <c r="X5391" s="4"/>
    </row>
    <row r="5392" spans="17:24" x14ac:dyDescent="0.3">
      <c r="Q5392" s="4"/>
      <c r="R5392" s="4"/>
      <c r="S5392" s="4"/>
      <c r="T5392" s="4"/>
      <c r="U5392" s="4"/>
      <c r="V5392" s="4"/>
      <c r="W5392" s="4"/>
      <c r="X5392" s="4"/>
    </row>
    <row r="5393" spans="17:24" x14ac:dyDescent="0.3">
      <c r="Q5393" s="4"/>
      <c r="R5393" s="4"/>
      <c r="S5393" s="4"/>
      <c r="T5393" s="4"/>
      <c r="U5393" s="4"/>
      <c r="V5393" s="4"/>
      <c r="W5393" s="4"/>
      <c r="X5393" s="4"/>
    </row>
    <row r="5394" spans="17:24" x14ac:dyDescent="0.3">
      <c r="Q5394" s="4"/>
      <c r="R5394" s="4"/>
      <c r="S5394" s="4"/>
      <c r="T5394" s="4"/>
      <c r="U5394" s="4"/>
      <c r="V5394" s="4"/>
      <c r="W5394" s="4"/>
      <c r="X5394" s="4"/>
    </row>
    <row r="5395" spans="17:24" x14ac:dyDescent="0.3">
      <c r="Q5395" s="4"/>
      <c r="R5395" s="4"/>
      <c r="S5395" s="4"/>
      <c r="T5395" s="4"/>
      <c r="U5395" s="4"/>
      <c r="V5395" s="4"/>
      <c r="W5395" s="4"/>
      <c r="X5395" s="4"/>
    </row>
    <row r="5396" spans="17:24" x14ac:dyDescent="0.3">
      <c r="Q5396" s="4"/>
      <c r="R5396" s="4"/>
      <c r="S5396" s="4"/>
      <c r="T5396" s="4"/>
      <c r="U5396" s="4"/>
      <c r="V5396" s="4"/>
      <c r="W5396" s="4"/>
      <c r="X5396" s="4"/>
    </row>
    <row r="5397" spans="17:24" x14ac:dyDescent="0.3">
      <c r="Q5397" s="4"/>
      <c r="R5397" s="4"/>
      <c r="S5397" s="4"/>
      <c r="T5397" s="4"/>
      <c r="U5397" s="4"/>
      <c r="V5397" s="4"/>
      <c r="W5397" s="4"/>
      <c r="X5397" s="4"/>
    </row>
    <row r="5398" spans="17:24" x14ac:dyDescent="0.3">
      <c r="Q5398" s="4"/>
      <c r="R5398" s="4"/>
      <c r="S5398" s="4"/>
      <c r="T5398" s="4"/>
      <c r="U5398" s="4"/>
      <c r="V5398" s="4"/>
      <c r="W5398" s="4"/>
      <c r="X5398" s="4"/>
    </row>
    <row r="5399" spans="17:24" x14ac:dyDescent="0.3">
      <c r="Q5399" s="4"/>
      <c r="R5399" s="4"/>
      <c r="S5399" s="4"/>
      <c r="T5399" s="4"/>
      <c r="U5399" s="4"/>
      <c r="V5399" s="4"/>
      <c r="W5399" s="4"/>
      <c r="X5399" s="4"/>
    </row>
    <row r="5400" spans="17:24" x14ac:dyDescent="0.3">
      <c r="Q5400" s="4"/>
      <c r="R5400" s="4"/>
      <c r="S5400" s="4"/>
      <c r="T5400" s="4"/>
      <c r="U5400" s="4"/>
      <c r="V5400" s="4"/>
      <c r="W5400" s="4"/>
      <c r="X5400" s="4"/>
    </row>
    <row r="5401" spans="17:24" x14ac:dyDescent="0.3">
      <c r="Q5401" s="4"/>
      <c r="R5401" s="4"/>
      <c r="S5401" s="4"/>
      <c r="T5401" s="4"/>
      <c r="U5401" s="4"/>
      <c r="V5401" s="4"/>
      <c r="W5401" s="4"/>
      <c r="X5401" s="4"/>
    </row>
    <row r="5402" spans="17:24" x14ac:dyDescent="0.3">
      <c r="Q5402" s="4"/>
      <c r="R5402" s="4"/>
      <c r="S5402" s="4"/>
      <c r="T5402" s="4"/>
      <c r="U5402" s="4"/>
      <c r="V5402" s="4"/>
      <c r="W5402" s="4"/>
      <c r="X5402" s="4"/>
    </row>
    <row r="5403" spans="17:24" x14ac:dyDescent="0.3">
      <c r="Q5403" s="4"/>
      <c r="R5403" s="4"/>
      <c r="S5403" s="4"/>
      <c r="T5403" s="4"/>
      <c r="U5403" s="4"/>
      <c r="V5403" s="4"/>
      <c r="W5403" s="4"/>
      <c r="X5403" s="4"/>
    </row>
    <row r="5404" spans="17:24" x14ac:dyDescent="0.3">
      <c r="Q5404" s="4"/>
      <c r="R5404" s="4"/>
      <c r="S5404" s="4"/>
      <c r="T5404" s="4"/>
      <c r="U5404" s="4"/>
      <c r="V5404" s="4"/>
      <c r="W5404" s="4"/>
      <c r="X5404" s="4"/>
    </row>
    <row r="5405" spans="17:24" x14ac:dyDescent="0.3">
      <c r="Q5405" s="4"/>
      <c r="R5405" s="4"/>
      <c r="S5405" s="4"/>
      <c r="T5405" s="4"/>
      <c r="U5405" s="4"/>
      <c r="V5405" s="4"/>
      <c r="W5405" s="4"/>
      <c r="X5405" s="4"/>
    </row>
    <row r="5406" spans="17:24" x14ac:dyDescent="0.3">
      <c r="Q5406" s="4"/>
      <c r="R5406" s="4"/>
      <c r="S5406" s="4"/>
      <c r="T5406" s="4"/>
      <c r="U5406" s="4"/>
      <c r="V5406" s="4"/>
      <c r="W5406" s="4"/>
      <c r="X5406" s="4"/>
    </row>
    <row r="5407" spans="17:24" x14ac:dyDescent="0.3">
      <c r="Q5407" s="4"/>
      <c r="R5407" s="4"/>
      <c r="S5407" s="4"/>
      <c r="T5407" s="4"/>
      <c r="U5407" s="4"/>
      <c r="V5407" s="4"/>
      <c r="W5407" s="4"/>
      <c r="X5407" s="4"/>
    </row>
    <row r="5408" spans="17:24" x14ac:dyDescent="0.3">
      <c r="Q5408" s="4"/>
      <c r="R5408" s="4"/>
      <c r="S5408" s="4"/>
      <c r="T5408" s="4"/>
      <c r="U5408" s="4"/>
      <c r="V5408" s="4"/>
      <c r="W5408" s="4"/>
      <c r="X5408" s="4"/>
    </row>
    <row r="5409" spans="17:24" x14ac:dyDescent="0.3">
      <c r="Q5409" s="4"/>
      <c r="R5409" s="4"/>
      <c r="S5409" s="4"/>
      <c r="T5409" s="4"/>
      <c r="U5409" s="4"/>
      <c r="V5409" s="4"/>
      <c r="W5409" s="4"/>
      <c r="X5409" s="4"/>
    </row>
    <row r="5410" spans="17:24" x14ac:dyDescent="0.3">
      <c r="Q5410" s="4"/>
      <c r="R5410" s="4"/>
      <c r="S5410" s="4"/>
      <c r="T5410" s="4"/>
      <c r="U5410" s="4"/>
      <c r="V5410" s="4"/>
      <c r="W5410" s="4"/>
      <c r="X5410" s="4"/>
    </row>
    <row r="5411" spans="17:24" x14ac:dyDescent="0.3">
      <c r="Q5411" s="4"/>
      <c r="R5411" s="4"/>
      <c r="S5411" s="4"/>
      <c r="T5411" s="4"/>
      <c r="U5411" s="4"/>
      <c r="V5411" s="4"/>
      <c r="W5411" s="4"/>
      <c r="X5411" s="4"/>
    </row>
    <row r="5412" spans="17:24" x14ac:dyDescent="0.3">
      <c r="Q5412" s="4"/>
      <c r="R5412" s="4"/>
      <c r="S5412" s="4"/>
      <c r="T5412" s="4"/>
      <c r="U5412" s="4"/>
      <c r="V5412" s="4"/>
      <c r="W5412" s="4"/>
      <c r="X5412" s="4"/>
    </row>
    <row r="5413" spans="17:24" x14ac:dyDescent="0.3">
      <c r="Q5413" s="4"/>
      <c r="R5413" s="4"/>
      <c r="S5413" s="4"/>
      <c r="T5413" s="4"/>
      <c r="U5413" s="4"/>
      <c r="V5413" s="4"/>
      <c r="W5413" s="4"/>
      <c r="X5413" s="4"/>
    </row>
    <row r="5414" spans="17:24" x14ac:dyDescent="0.3">
      <c r="Q5414" s="4"/>
      <c r="R5414" s="4"/>
      <c r="S5414" s="4"/>
      <c r="T5414" s="4"/>
      <c r="U5414" s="4"/>
      <c r="V5414" s="4"/>
      <c r="W5414" s="4"/>
      <c r="X5414" s="4"/>
    </row>
    <row r="5415" spans="17:24" x14ac:dyDescent="0.3">
      <c r="Q5415" s="4"/>
      <c r="R5415" s="4"/>
      <c r="S5415" s="4"/>
      <c r="T5415" s="4"/>
      <c r="U5415" s="4"/>
      <c r="V5415" s="4"/>
      <c r="W5415" s="4"/>
      <c r="X5415" s="4"/>
    </row>
    <row r="5416" spans="17:24" x14ac:dyDescent="0.3">
      <c r="Q5416" s="4"/>
      <c r="R5416" s="4"/>
      <c r="S5416" s="4"/>
      <c r="T5416" s="4"/>
      <c r="U5416" s="4"/>
      <c r="V5416" s="4"/>
      <c r="W5416" s="4"/>
      <c r="X5416" s="4"/>
    </row>
    <row r="5417" spans="17:24" x14ac:dyDescent="0.3">
      <c r="Q5417" s="4"/>
      <c r="R5417" s="4"/>
      <c r="S5417" s="4"/>
      <c r="T5417" s="4"/>
      <c r="U5417" s="4"/>
      <c r="V5417" s="4"/>
      <c r="W5417" s="4"/>
      <c r="X5417" s="4"/>
    </row>
    <row r="5418" spans="17:24" x14ac:dyDescent="0.3">
      <c r="Q5418" s="4"/>
      <c r="R5418" s="4"/>
      <c r="S5418" s="4"/>
      <c r="T5418" s="4"/>
      <c r="U5418" s="4"/>
      <c r="V5418" s="4"/>
      <c r="W5418" s="4"/>
      <c r="X5418" s="4"/>
    </row>
    <row r="5419" spans="17:24" x14ac:dyDescent="0.3">
      <c r="Q5419" s="4"/>
      <c r="R5419" s="4"/>
      <c r="S5419" s="4"/>
      <c r="T5419" s="4"/>
      <c r="U5419" s="4"/>
      <c r="V5419" s="4"/>
      <c r="W5419" s="4"/>
      <c r="X5419" s="4"/>
    </row>
    <row r="5420" spans="17:24" x14ac:dyDescent="0.3">
      <c r="Q5420" s="4"/>
      <c r="R5420" s="4"/>
      <c r="S5420" s="4"/>
      <c r="T5420" s="4"/>
      <c r="U5420" s="4"/>
      <c r="V5420" s="4"/>
      <c r="W5420" s="4"/>
      <c r="X5420" s="4"/>
    </row>
    <row r="5421" spans="17:24" x14ac:dyDescent="0.3">
      <c r="Q5421" s="4"/>
      <c r="R5421" s="4"/>
      <c r="S5421" s="4"/>
      <c r="T5421" s="4"/>
      <c r="U5421" s="4"/>
      <c r="V5421" s="4"/>
      <c r="W5421" s="4"/>
      <c r="X5421" s="4"/>
    </row>
    <row r="5422" spans="17:24" x14ac:dyDescent="0.3">
      <c r="Q5422" s="4"/>
      <c r="R5422" s="4"/>
      <c r="S5422" s="4"/>
      <c r="T5422" s="4"/>
      <c r="U5422" s="4"/>
      <c r="V5422" s="4"/>
      <c r="W5422" s="4"/>
      <c r="X5422" s="4"/>
    </row>
    <row r="5423" spans="17:24" x14ac:dyDescent="0.3">
      <c r="Q5423" s="4"/>
      <c r="R5423" s="4"/>
      <c r="S5423" s="4"/>
      <c r="T5423" s="4"/>
      <c r="U5423" s="4"/>
      <c r="V5423" s="4"/>
      <c r="W5423" s="4"/>
      <c r="X5423" s="4"/>
    </row>
    <row r="5424" spans="17:24" x14ac:dyDescent="0.3">
      <c r="Q5424" s="4"/>
      <c r="R5424" s="4"/>
      <c r="S5424" s="4"/>
      <c r="T5424" s="4"/>
      <c r="U5424" s="4"/>
      <c r="V5424" s="4"/>
      <c r="W5424" s="4"/>
      <c r="X5424" s="4"/>
    </row>
    <row r="5425" spans="17:24" x14ac:dyDescent="0.3">
      <c r="Q5425" s="4"/>
      <c r="R5425" s="4"/>
      <c r="S5425" s="4"/>
      <c r="T5425" s="4"/>
      <c r="U5425" s="4"/>
      <c r="V5425" s="4"/>
      <c r="W5425" s="4"/>
      <c r="X5425" s="4"/>
    </row>
    <row r="5426" spans="17:24" x14ac:dyDescent="0.3">
      <c r="Q5426" s="4"/>
      <c r="R5426" s="4"/>
      <c r="S5426" s="4"/>
      <c r="T5426" s="4"/>
      <c r="U5426" s="4"/>
      <c r="V5426" s="4"/>
      <c r="W5426" s="4"/>
      <c r="X5426" s="4"/>
    </row>
    <row r="5427" spans="17:24" x14ac:dyDescent="0.3">
      <c r="Q5427" s="4"/>
      <c r="R5427" s="4"/>
      <c r="S5427" s="4"/>
      <c r="T5427" s="4"/>
      <c r="U5427" s="4"/>
      <c r="V5427" s="4"/>
      <c r="W5427" s="4"/>
      <c r="X5427" s="4"/>
    </row>
    <row r="5428" spans="17:24" x14ac:dyDescent="0.3">
      <c r="Q5428" s="4"/>
      <c r="R5428" s="4"/>
      <c r="S5428" s="4"/>
      <c r="T5428" s="4"/>
      <c r="U5428" s="4"/>
      <c r="V5428" s="4"/>
      <c r="W5428" s="4"/>
      <c r="X5428" s="4"/>
    </row>
    <row r="5429" spans="17:24" x14ac:dyDescent="0.3">
      <c r="Q5429" s="4"/>
      <c r="R5429" s="4"/>
      <c r="S5429" s="4"/>
      <c r="T5429" s="4"/>
      <c r="U5429" s="4"/>
      <c r="V5429" s="4"/>
      <c r="W5429" s="4"/>
      <c r="X5429" s="4"/>
    </row>
    <row r="5430" spans="17:24" x14ac:dyDescent="0.3">
      <c r="Q5430" s="4"/>
      <c r="R5430" s="4"/>
      <c r="S5430" s="4"/>
      <c r="T5430" s="4"/>
      <c r="U5430" s="4"/>
      <c r="V5430" s="4"/>
      <c r="W5430" s="4"/>
      <c r="X5430" s="4"/>
    </row>
    <row r="5431" spans="17:24" x14ac:dyDescent="0.3">
      <c r="Q5431" s="4"/>
      <c r="R5431" s="4"/>
      <c r="S5431" s="4"/>
      <c r="T5431" s="4"/>
      <c r="U5431" s="4"/>
      <c r="V5431" s="4"/>
      <c r="W5431" s="4"/>
      <c r="X5431" s="4"/>
    </row>
    <row r="5432" spans="17:24" x14ac:dyDescent="0.3">
      <c r="Q5432" s="4"/>
      <c r="R5432" s="4"/>
      <c r="S5432" s="4"/>
      <c r="T5432" s="4"/>
      <c r="U5432" s="4"/>
      <c r="V5432" s="4"/>
      <c r="W5432" s="4"/>
      <c r="X5432" s="4"/>
    </row>
    <row r="5433" spans="17:24" x14ac:dyDescent="0.3">
      <c r="Q5433" s="4"/>
      <c r="R5433" s="4"/>
      <c r="S5433" s="4"/>
      <c r="T5433" s="4"/>
      <c r="U5433" s="4"/>
      <c r="V5433" s="4"/>
      <c r="W5433" s="4"/>
      <c r="X5433" s="4"/>
    </row>
    <row r="5434" spans="17:24" x14ac:dyDescent="0.3">
      <c r="Q5434" s="4"/>
      <c r="R5434" s="4"/>
      <c r="S5434" s="4"/>
      <c r="T5434" s="4"/>
      <c r="U5434" s="4"/>
      <c r="V5434" s="4"/>
      <c r="W5434" s="4"/>
      <c r="X5434" s="4"/>
    </row>
    <row r="5435" spans="17:24" x14ac:dyDescent="0.3">
      <c r="Q5435" s="4"/>
      <c r="R5435" s="4"/>
      <c r="S5435" s="4"/>
      <c r="T5435" s="4"/>
      <c r="U5435" s="4"/>
      <c r="V5435" s="4"/>
      <c r="W5435" s="4"/>
      <c r="X5435" s="4"/>
    </row>
    <row r="5436" spans="17:24" x14ac:dyDescent="0.3">
      <c r="Q5436" s="4"/>
      <c r="R5436" s="4"/>
      <c r="S5436" s="4"/>
      <c r="T5436" s="4"/>
      <c r="U5436" s="4"/>
      <c r="V5436" s="4"/>
      <c r="W5436" s="4"/>
      <c r="X5436" s="4"/>
    </row>
    <row r="5437" spans="17:24" x14ac:dyDescent="0.3">
      <c r="Q5437" s="4"/>
      <c r="R5437" s="4"/>
      <c r="S5437" s="4"/>
      <c r="T5437" s="4"/>
      <c r="U5437" s="4"/>
      <c r="V5437" s="4"/>
      <c r="W5437" s="4"/>
      <c r="X5437" s="4"/>
    </row>
    <row r="5438" spans="17:24" x14ac:dyDescent="0.3">
      <c r="Q5438" s="4"/>
      <c r="R5438" s="4"/>
      <c r="S5438" s="4"/>
      <c r="T5438" s="4"/>
      <c r="U5438" s="4"/>
      <c r="V5438" s="4"/>
      <c r="W5438" s="4"/>
      <c r="X5438" s="4"/>
    </row>
    <row r="5439" spans="17:24" x14ac:dyDescent="0.3">
      <c r="Q5439" s="4"/>
      <c r="R5439" s="4"/>
      <c r="S5439" s="4"/>
      <c r="T5439" s="4"/>
      <c r="U5439" s="4"/>
      <c r="V5439" s="4"/>
      <c r="W5439" s="4"/>
      <c r="X5439" s="4"/>
    </row>
    <row r="5440" spans="17:24" x14ac:dyDescent="0.3">
      <c r="Q5440" s="4"/>
      <c r="R5440" s="4"/>
      <c r="S5440" s="4"/>
      <c r="T5440" s="4"/>
      <c r="U5440" s="4"/>
      <c r="V5440" s="4"/>
      <c r="W5440" s="4"/>
      <c r="X5440" s="4"/>
    </row>
    <row r="5441" spans="17:24" x14ac:dyDescent="0.3">
      <c r="Q5441" s="4"/>
      <c r="R5441" s="4"/>
      <c r="S5441" s="4"/>
      <c r="T5441" s="4"/>
      <c r="U5441" s="4"/>
      <c r="V5441" s="4"/>
      <c r="W5441" s="4"/>
      <c r="X5441" s="4"/>
    </row>
    <row r="5442" spans="17:24" x14ac:dyDescent="0.3">
      <c r="Q5442" s="4"/>
      <c r="R5442" s="4"/>
      <c r="S5442" s="4"/>
      <c r="T5442" s="4"/>
      <c r="U5442" s="4"/>
      <c r="V5442" s="4"/>
      <c r="W5442" s="4"/>
      <c r="X5442" s="4"/>
    </row>
    <row r="5443" spans="17:24" x14ac:dyDescent="0.3">
      <c r="Q5443" s="4"/>
      <c r="R5443" s="4"/>
      <c r="S5443" s="4"/>
      <c r="T5443" s="4"/>
      <c r="U5443" s="4"/>
      <c r="V5443" s="4"/>
      <c r="W5443" s="4"/>
      <c r="X5443" s="4"/>
    </row>
    <row r="5444" spans="17:24" x14ac:dyDescent="0.3">
      <c r="Q5444" s="4"/>
      <c r="R5444" s="4"/>
      <c r="S5444" s="4"/>
      <c r="T5444" s="4"/>
      <c r="U5444" s="4"/>
      <c r="V5444" s="4"/>
      <c r="W5444" s="4"/>
      <c r="X5444" s="4"/>
    </row>
    <row r="5445" spans="17:24" x14ac:dyDescent="0.3">
      <c r="Q5445" s="4"/>
      <c r="R5445" s="4"/>
      <c r="S5445" s="4"/>
      <c r="T5445" s="4"/>
      <c r="U5445" s="4"/>
      <c r="V5445" s="4"/>
      <c r="W5445" s="4"/>
      <c r="X5445" s="4"/>
    </row>
    <row r="5446" spans="17:24" x14ac:dyDescent="0.3">
      <c r="Q5446" s="4"/>
      <c r="R5446" s="4"/>
      <c r="S5446" s="4"/>
      <c r="T5446" s="4"/>
      <c r="U5446" s="4"/>
      <c r="V5446" s="4"/>
      <c r="W5446" s="4"/>
      <c r="X5446" s="4"/>
    </row>
    <row r="5447" spans="17:24" x14ac:dyDescent="0.3">
      <c r="Q5447" s="4"/>
      <c r="R5447" s="4"/>
      <c r="S5447" s="4"/>
      <c r="T5447" s="4"/>
      <c r="U5447" s="4"/>
      <c r="V5447" s="4"/>
      <c r="W5447" s="4"/>
      <c r="X5447" s="4"/>
    </row>
    <row r="5448" spans="17:24" x14ac:dyDescent="0.3">
      <c r="Q5448" s="4"/>
      <c r="R5448" s="4"/>
      <c r="S5448" s="4"/>
      <c r="T5448" s="4"/>
      <c r="U5448" s="4"/>
      <c r="V5448" s="4"/>
      <c r="W5448" s="4"/>
      <c r="X5448" s="4"/>
    </row>
    <row r="5449" spans="17:24" x14ac:dyDescent="0.3">
      <c r="Q5449" s="4"/>
      <c r="R5449" s="4"/>
      <c r="S5449" s="4"/>
      <c r="T5449" s="4"/>
      <c r="U5449" s="4"/>
      <c r="V5449" s="4"/>
      <c r="W5449" s="4"/>
      <c r="X5449" s="4"/>
    </row>
    <row r="5450" spans="17:24" x14ac:dyDescent="0.3">
      <c r="Q5450" s="4"/>
      <c r="R5450" s="4"/>
      <c r="S5450" s="4"/>
      <c r="T5450" s="4"/>
      <c r="U5450" s="4"/>
      <c r="V5450" s="4"/>
      <c r="W5450" s="4"/>
      <c r="X5450" s="4"/>
    </row>
    <row r="5451" spans="17:24" x14ac:dyDescent="0.3">
      <c r="Q5451" s="4"/>
      <c r="R5451" s="4"/>
      <c r="S5451" s="4"/>
      <c r="T5451" s="4"/>
      <c r="U5451" s="4"/>
      <c r="V5451" s="4"/>
      <c r="W5451" s="4"/>
      <c r="X5451" s="4"/>
    </row>
    <row r="5452" spans="17:24" x14ac:dyDescent="0.3">
      <c r="Q5452" s="4"/>
      <c r="R5452" s="4"/>
      <c r="S5452" s="4"/>
      <c r="T5452" s="4"/>
      <c r="U5452" s="4"/>
      <c r="V5452" s="4"/>
      <c r="W5452" s="4"/>
      <c r="X5452" s="4"/>
    </row>
    <row r="5453" spans="17:24" x14ac:dyDescent="0.3">
      <c r="Q5453" s="4"/>
      <c r="R5453" s="4"/>
      <c r="S5453" s="4"/>
      <c r="T5453" s="4"/>
      <c r="U5453" s="4"/>
      <c r="V5453" s="4"/>
      <c r="W5453" s="4"/>
      <c r="X5453" s="4"/>
    </row>
    <row r="5454" spans="17:24" x14ac:dyDescent="0.3">
      <c r="Q5454" s="4"/>
      <c r="R5454" s="4"/>
      <c r="S5454" s="4"/>
      <c r="T5454" s="4"/>
      <c r="U5454" s="4"/>
      <c r="V5454" s="4"/>
      <c r="W5454" s="4"/>
      <c r="X5454" s="4"/>
    </row>
    <row r="5455" spans="17:24" x14ac:dyDescent="0.3">
      <c r="Q5455" s="4"/>
      <c r="R5455" s="4"/>
      <c r="S5455" s="4"/>
      <c r="T5455" s="4"/>
      <c r="U5455" s="4"/>
      <c r="V5455" s="4"/>
      <c r="W5455" s="4"/>
      <c r="X5455" s="4"/>
    </row>
    <row r="5456" spans="17:24" x14ac:dyDescent="0.3">
      <c r="Q5456" s="4"/>
      <c r="R5456" s="4"/>
      <c r="S5456" s="4"/>
      <c r="T5456" s="4"/>
      <c r="U5456" s="4"/>
      <c r="V5456" s="4"/>
      <c r="W5456" s="4"/>
      <c r="X5456" s="4"/>
    </row>
    <row r="5457" spans="17:24" x14ac:dyDescent="0.3">
      <c r="Q5457" s="4"/>
      <c r="R5457" s="4"/>
      <c r="S5457" s="4"/>
      <c r="T5457" s="4"/>
      <c r="U5457" s="4"/>
      <c r="V5457" s="4"/>
      <c r="W5457" s="4"/>
      <c r="X5457" s="4"/>
    </row>
    <row r="5458" spans="17:24" x14ac:dyDescent="0.3">
      <c r="Q5458" s="4"/>
      <c r="R5458" s="4"/>
      <c r="S5458" s="4"/>
      <c r="T5458" s="4"/>
      <c r="U5458" s="4"/>
      <c r="V5458" s="4"/>
      <c r="W5458" s="4"/>
      <c r="X5458" s="4"/>
    </row>
    <row r="5459" spans="17:24" x14ac:dyDescent="0.3">
      <c r="Q5459" s="4"/>
      <c r="R5459" s="4"/>
      <c r="S5459" s="4"/>
      <c r="T5459" s="4"/>
      <c r="U5459" s="4"/>
      <c r="V5459" s="4"/>
      <c r="W5459" s="4"/>
      <c r="X5459" s="4"/>
    </row>
    <row r="5460" spans="17:24" x14ac:dyDescent="0.3">
      <c r="Q5460" s="4"/>
      <c r="R5460" s="4"/>
      <c r="S5460" s="4"/>
      <c r="T5460" s="4"/>
      <c r="U5460" s="4"/>
      <c r="V5460" s="4"/>
      <c r="W5460" s="4"/>
      <c r="X5460" s="4"/>
    </row>
    <row r="5461" spans="17:24" x14ac:dyDescent="0.3">
      <c r="Q5461" s="4"/>
      <c r="R5461" s="4"/>
      <c r="S5461" s="4"/>
      <c r="T5461" s="4"/>
      <c r="U5461" s="4"/>
      <c r="V5461" s="4"/>
      <c r="W5461" s="4"/>
      <c r="X5461" s="4"/>
    </row>
    <row r="5462" spans="17:24" x14ac:dyDescent="0.3">
      <c r="Q5462" s="4"/>
      <c r="R5462" s="4"/>
      <c r="S5462" s="4"/>
      <c r="T5462" s="4"/>
      <c r="U5462" s="4"/>
      <c r="V5462" s="4"/>
      <c r="W5462" s="4"/>
      <c r="X5462" s="4"/>
    </row>
    <row r="5463" spans="17:24" x14ac:dyDescent="0.3">
      <c r="Q5463" s="4"/>
      <c r="R5463" s="4"/>
      <c r="S5463" s="4"/>
      <c r="T5463" s="4"/>
      <c r="U5463" s="4"/>
      <c r="V5463" s="4"/>
      <c r="W5463" s="4"/>
      <c r="X5463" s="4"/>
    </row>
    <row r="5464" spans="17:24" x14ac:dyDescent="0.3">
      <c r="Q5464" s="4"/>
      <c r="R5464" s="4"/>
      <c r="S5464" s="4"/>
      <c r="T5464" s="4"/>
      <c r="U5464" s="4"/>
      <c r="V5464" s="4"/>
      <c r="W5464" s="4"/>
      <c r="X5464" s="4"/>
    </row>
    <row r="5465" spans="17:24" x14ac:dyDescent="0.3">
      <c r="Q5465" s="4"/>
      <c r="R5465" s="4"/>
      <c r="S5465" s="4"/>
      <c r="T5465" s="4"/>
      <c r="U5465" s="4"/>
      <c r="V5465" s="4"/>
      <c r="W5465" s="4"/>
      <c r="X5465" s="4"/>
    </row>
    <row r="5466" spans="17:24" x14ac:dyDescent="0.3">
      <c r="Q5466" s="4"/>
      <c r="R5466" s="4"/>
      <c r="S5466" s="4"/>
      <c r="T5466" s="4"/>
      <c r="U5466" s="4"/>
      <c r="V5466" s="4"/>
      <c r="W5466" s="4"/>
      <c r="X5466" s="4"/>
    </row>
    <row r="5467" spans="17:24" x14ac:dyDescent="0.3">
      <c r="Q5467" s="4"/>
      <c r="R5467" s="4"/>
      <c r="S5467" s="4"/>
      <c r="T5467" s="4"/>
      <c r="U5467" s="4"/>
      <c r="V5467" s="4"/>
      <c r="W5467" s="4"/>
      <c r="X5467" s="4"/>
    </row>
    <row r="5468" spans="17:24" x14ac:dyDescent="0.3">
      <c r="Q5468" s="4"/>
      <c r="R5468" s="4"/>
      <c r="S5468" s="4"/>
      <c r="T5468" s="4"/>
      <c r="U5468" s="4"/>
      <c r="V5468" s="4"/>
      <c r="W5468" s="4"/>
      <c r="X5468" s="4"/>
    </row>
    <row r="5469" spans="17:24" x14ac:dyDescent="0.3">
      <c r="Q5469" s="4"/>
      <c r="R5469" s="4"/>
      <c r="S5469" s="4"/>
      <c r="T5469" s="4"/>
      <c r="U5469" s="4"/>
      <c r="V5469" s="4"/>
      <c r="W5469" s="4"/>
      <c r="X5469" s="4"/>
    </row>
    <row r="5470" spans="17:24" x14ac:dyDescent="0.3">
      <c r="Q5470" s="4"/>
      <c r="R5470" s="4"/>
      <c r="S5470" s="4"/>
      <c r="T5470" s="4"/>
      <c r="U5470" s="4"/>
      <c r="V5470" s="4"/>
      <c r="W5470" s="4"/>
      <c r="X5470" s="4"/>
    </row>
    <row r="5471" spans="17:24" x14ac:dyDescent="0.3">
      <c r="Q5471" s="4"/>
      <c r="R5471" s="4"/>
      <c r="S5471" s="4"/>
      <c r="T5471" s="4"/>
      <c r="U5471" s="4"/>
      <c r="V5471" s="4"/>
      <c r="W5471" s="4"/>
      <c r="X5471" s="4"/>
    </row>
    <row r="5472" spans="17:24" x14ac:dyDescent="0.3">
      <c r="Q5472" s="4"/>
      <c r="R5472" s="4"/>
      <c r="S5472" s="4"/>
      <c r="T5472" s="4"/>
      <c r="U5472" s="4"/>
      <c r="V5472" s="4"/>
      <c r="W5472" s="4"/>
      <c r="X5472" s="4"/>
    </row>
    <row r="5473" spans="17:24" x14ac:dyDescent="0.3">
      <c r="Q5473" s="4"/>
      <c r="R5473" s="4"/>
      <c r="S5473" s="4"/>
      <c r="T5473" s="4"/>
      <c r="U5473" s="4"/>
      <c r="V5473" s="4"/>
      <c r="W5473" s="4"/>
      <c r="X5473" s="4"/>
    </row>
    <row r="5474" spans="17:24" x14ac:dyDescent="0.3">
      <c r="Q5474" s="4"/>
      <c r="R5474" s="4"/>
      <c r="S5474" s="4"/>
      <c r="T5474" s="4"/>
      <c r="U5474" s="4"/>
      <c r="V5474" s="4"/>
      <c r="W5474" s="4"/>
      <c r="X5474" s="4"/>
    </row>
    <row r="5475" spans="17:24" x14ac:dyDescent="0.3">
      <c r="Q5475" s="4"/>
      <c r="R5475" s="4"/>
      <c r="S5475" s="4"/>
      <c r="T5475" s="4"/>
      <c r="U5475" s="4"/>
      <c r="V5475" s="4"/>
      <c r="W5475" s="4"/>
      <c r="X5475" s="4"/>
    </row>
    <row r="5476" spans="17:24" x14ac:dyDescent="0.3">
      <c r="Q5476" s="4"/>
      <c r="R5476" s="4"/>
      <c r="S5476" s="4"/>
      <c r="T5476" s="4"/>
      <c r="U5476" s="4"/>
      <c r="V5476" s="4"/>
      <c r="W5476" s="4"/>
      <c r="X5476" s="4"/>
    </row>
    <row r="5477" spans="17:24" x14ac:dyDescent="0.3">
      <c r="Q5477" s="4"/>
      <c r="R5477" s="4"/>
      <c r="S5477" s="4"/>
      <c r="T5477" s="4"/>
      <c r="U5477" s="4"/>
      <c r="V5477" s="4"/>
      <c r="W5477" s="4"/>
      <c r="X5477" s="4"/>
    </row>
    <row r="5478" spans="17:24" x14ac:dyDescent="0.3">
      <c r="Q5478" s="4"/>
      <c r="R5478" s="4"/>
      <c r="S5478" s="4"/>
      <c r="T5478" s="4"/>
      <c r="U5478" s="4"/>
      <c r="V5478" s="4"/>
      <c r="W5478" s="4"/>
      <c r="X5478" s="4"/>
    </row>
    <row r="5479" spans="17:24" x14ac:dyDescent="0.3">
      <c r="Q5479" s="4"/>
      <c r="R5479" s="4"/>
      <c r="S5479" s="4"/>
      <c r="T5479" s="4"/>
      <c r="U5479" s="4"/>
      <c r="V5479" s="4"/>
      <c r="W5479" s="4"/>
      <c r="X5479" s="4"/>
    </row>
    <row r="5480" spans="17:24" x14ac:dyDescent="0.3">
      <c r="Q5480" s="4"/>
      <c r="R5480" s="4"/>
      <c r="S5480" s="4"/>
      <c r="T5480" s="4"/>
      <c r="U5480" s="4"/>
      <c r="V5480" s="4"/>
      <c r="W5480" s="4"/>
      <c r="X5480" s="4"/>
    </row>
    <row r="5481" spans="17:24" x14ac:dyDescent="0.3">
      <c r="Q5481" s="4"/>
      <c r="R5481" s="4"/>
      <c r="S5481" s="4"/>
      <c r="T5481" s="4"/>
      <c r="U5481" s="4"/>
      <c r="V5481" s="4"/>
      <c r="W5481" s="4"/>
      <c r="X5481" s="4"/>
    </row>
    <row r="5482" spans="17:24" x14ac:dyDescent="0.3">
      <c r="Q5482" s="4"/>
      <c r="R5482" s="4"/>
      <c r="S5482" s="4"/>
      <c r="T5482" s="4"/>
      <c r="U5482" s="4"/>
      <c r="V5482" s="4"/>
      <c r="W5482" s="4"/>
      <c r="X5482" s="4"/>
    </row>
    <row r="5483" spans="17:24" x14ac:dyDescent="0.3">
      <c r="Q5483" s="4"/>
      <c r="R5483" s="4"/>
      <c r="S5483" s="4"/>
      <c r="T5483" s="4"/>
      <c r="U5483" s="4"/>
      <c r="V5483" s="4"/>
      <c r="W5483" s="4"/>
      <c r="X5483" s="4"/>
    </row>
    <row r="5484" spans="17:24" x14ac:dyDescent="0.3">
      <c r="Q5484" s="4"/>
      <c r="R5484" s="4"/>
      <c r="S5484" s="4"/>
      <c r="T5484" s="4"/>
      <c r="U5484" s="4"/>
      <c r="V5484" s="4"/>
      <c r="W5484" s="4"/>
      <c r="X5484" s="4"/>
    </row>
    <row r="5485" spans="17:24" x14ac:dyDescent="0.3">
      <c r="Q5485" s="4"/>
      <c r="R5485" s="4"/>
      <c r="S5485" s="4"/>
      <c r="T5485" s="4"/>
      <c r="U5485" s="4"/>
      <c r="V5485" s="4"/>
      <c r="W5485" s="4"/>
      <c r="X5485" s="4"/>
    </row>
    <row r="5486" spans="17:24" x14ac:dyDescent="0.3">
      <c r="Q5486" s="4"/>
      <c r="R5486" s="4"/>
      <c r="S5486" s="4"/>
      <c r="T5486" s="4"/>
      <c r="U5486" s="4"/>
      <c r="V5486" s="4"/>
      <c r="W5486" s="4"/>
      <c r="X5486" s="4"/>
    </row>
    <row r="5487" spans="17:24" x14ac:dyDescent="0.3">
      <c r="Q5487" s="4"/>
      <c r="R5487" s="4"/>
      <c r="S5487" s="4"/>
      <c r="T5487" s="4"/>
      <c r="U5487" s="4"/>
      <c r="V5487" s="4"/>
      <c r="W5487" s="4"/>
      <c r="X5487" s="4"/>
    </row>
    <row r="5488" spans="17:24" x14ac:dyDescent="0.3">
      <c r="Q5488" s="4"/>
      <c r="R5488" s="4"/>
      <c r="S5488" s="4"/>
      <c r="T5488" s="4"/>
      <c r="U5488" s="4"/>
      <c r="V5488" s="4"/>
      <c r="W5488" s="4"/>
      <c r="X5488" s="4"/>
    </row>
    <row r="5489" spans="17:24" x14ac:dyDescent="0.3">
      <c r="Q5489" s="4"/>
      <c r="R5489" s="4"/>
      <c r="S5489" s="4"/>
      <c r="T5489" s="4"/>
      <c r="U5489" s="4"/>
      <c r="V5489" s="4"/>
      <c r="W5489" s="4"/>
      <c r="X5489" s="4"/>
    </row>
    <row r="5490" spans="17:24" x14ac:dyDescent="0.3">
      <c r="Q5490" s="4"/>
      <c r="R5490" s="4"/>
      <c r="S5490" s="4"/>
      <c r="T5490" s="4"/>
      <c r="U5490" s="4"/>
      <c r="V5490" s="4"/>
      <c r="W5490" s="4"/>
      <c r="X5490" s="4"/>
    </row>
    <row r="5491" spans="17:24" x14ac:dyDescent="0.3">
      <c r="Q5491" s="4"/>
      <c r="R5491" s="4"/>
      <c r="S5491" s="4"/>
      <c r="T5491" s="4"/>
      <c r="U5491" s="4"/>
      <c r="V5491" s="4"/>
      <c r="W5491" s="4"/>
      <c r="X5491" s="4"/>
    </row>
    <row r="5492" spans="17:24" x14ac:dyDescent="0.3">
      <c r="Q5492" s="4"/>
      <c r="R5492" s="4"/>
      <c r="S5492" s="4"/>
      <c r="T5492" s="4"/>
      <c r="U5492" s="4"/>
      <c r="V5492" s="4"/>
      <c r="W5492" s="4"/>
      <c r="X5492" s="4"/>
    </row>
    <row r="5493" spans="17:24" x14ac:dyDescent="0.3">
      <c r="Q5493" s="4"/>
      <c r="R5493" s="4"/>
      <c r="S5493" s="4"/>
      <c r="T5493" s="4"/>
      <c r="U5493" s="4"/>
      <c r="V5493" s="4"/>
      <c r="W5493" s="4"/>
      <c r="X5493" s="4"/>
    </row>
    <row r="5494" spans="17:24" x14ac:dyDescent="0.3">
      <c r="Q5494" s="4"/>
      <c r="R5494" s="4"/>
      <c r="S5494" s="4"/>
      <c r="T5494" s="4"/>
      <c r="U5494" s="4"/>
      <c r="V5494" s="4"/>
      <c r="W5494" s="4"/>
      <c r="X5494" s="4"/>
    </row>
    <row r="5495" spans="17:24" x14ac:dyDescent="0.3">
      <c r="Q5495" s="4"/>
      <c r="R5495" s="4"/>
      <c r="S5495" s="4"/>
      <c r="T5495" s="4"/>
      <c r="U5495" s="4"/>
      <c r="V5495" s="4"/>
      <c r="W5495" s="4"/>
      <c r="X5495" s="4"/>
    </row>
    <row r="5496" spans="17:24" x14ac:dyDescent="0.3">
      <c r="Q5496" s="4"/>
      <c r="R5496" s="4"/>
      <c r="S5496" s="4"/>
      <c r="T5496" s="4"/>
      <c r="U5496" s="4"/>
      <c r="V5496" s="4"/>
      <c r="W5496" s="4"/>
      <c r="X5496" s="4"/>
    </row>
    <row r="5497" spans="17:24" x14ac:dyDescent="0.3">
      <c r="Q5497" s="4"/>
      <c r="R5497" s="4"/>
      <c r="S5497" s="4"/>
      <c r="T5497" s="4"/>
      <c r="U5497" s="4"/>
      <c r="V5497" s="4"/>
      <c r="W5497" s="4"/>
      <c r="X5497" s="4"/>
    </row>
    <row r="5498" spans="17:24" x14ac:dyDescent="0.3">
      <c r="Q5498" s="4"/>
      <c r="R5498" s="4"/>
      <c r="S5498" s="4"/>
      <c r="T5498" s="4"/>
      <c r="U5498" s="4"/>
      <c r="V5498" s="4"/>
      <c r="W5498" s="4"/>
      <c r="X5498" s="4"/>
    </row>
    <row r="5499" spans="17:24" x14ac:dyDescent="0.3">
      <c r="Q5499" s="4"/>
      <c r="R5499" s="4"/>
      <c r="S5499" s="4"/>
      <c r="T5499" s="4"/>
      <c r="U5499" s="4"/>
      <c r="V5499" s="4"/>
      <c r="W5499" s="4"/>
      <c r="X5499" s="4"/>
    </row>
    <row r="5500" spans="17:24" x14ac:dyDescent="0.3">
      <c r="Q5500" s="4"/>
      <c r="R5500" s="4"/>
      <c r="S5500" s="4"/>
      <c r="T5500" s="4"/>
      <c r="U5500" s="4"/>
      <c r="V5500" s="4"/>
      <c r="W5500" s="4"/>
      <c r="X5500" s="4"/>
    </row>
    <row r="5501" spans="17:24" x14ac:dyDescent="0.3">
      <c r="Q5501" s="4"/>
      <c r="R5501" s="4"/>
      <c r="S5501" s="4"/>
      <c r="T5501" s="4"/>
      <c r="U5501" s="4"/>
      <c r="V5501" s="4"/>
      <c r="W5501" s="4"/>
      <c r="X5501" s="4"/>
    </row>
    <row r="5502" spans="17:24" x14ac:dyDescent="0.3">
      <c r="Q5502" s="4"/>
      <c r="R5502" s="4"/>
      <c r="S5502" s="4"/>
      <c r="T5502" s="4"/>
      <c r="U5502" s="4"/>
      <c r="V5502" s="4"/>
      <c r="W5502" s="4"/>
      <c r="X5502" s="4"/>
    </row>
    <row r="5503" spans="17:24" x14ac:dyDescent="0.3">
      <c r="Q5503" s="4"/>
      <c r="R5503" s="4"/>
      <c r="S5503" s="4"/>
      <c r="T5503" s="4"/>
      <c r="U5503" s="4"/>
      <c r="V5503" s="4"/>
      <c r="W5503" s="4"/>
      <c r="X5503" s="4"/>
    </row>
    <row r="5504" spans="17:24" x14ac:dyDescent="0.3">
      <c r="Q5504" s="4"/>
      <c r="R5504" s="4"/>
      <c r="S5504" s="4"/>
      <c r="T5504" s="4"/>
      <c r="U5504" s="4"/>
      <c r="V5504" s="4"/>
      <c r="W5504" s="4"/>
      <c r="X5504" s="4"/>
    </row>
    <row r="5505" spans="17:24" x14ac:dyDescent="0.3">
      <c r="Q5505" s="4"/>
      <c r="R5505" s="4"/>
      <c r="S5505" s="4"/>
      <c r="T5505" s="4"/>
      <c r="U5505" s="4"/>
      <c r="V5505" s="4"/>
      <c r="W5505" s="4"/>
      <c r="X5505" s="4"/>
    </row>
    <row r="5506" spans="17:24" x14ac:dyDescent="0.3">
      <c r="Q5506" s="4"/>
      <c r="R5506" s="4"/>
      <c r="S5506" s="4"/>
      <c r="T5506" s="4"/>
      <c r="U5506" s="4"/>
      <c r="V5506" s="4"/>
      <c r="W5506" s="4"/>
      <c r="X5506" s="4"/>
    </row>
    <row r="5507" spans="17:24" x14ac:dyDescent="0.3">
      <c r="Q5507" s="4"/>
      <c r="R5507" s="4"/>
      <c r="S5507" s="4"/>
      <c r="T5507" s="4"/>
      <c r="U5507" s="4"/>
      <c r="V5507" s="4"/>
      <c r="W5507" s="4"/>
      <c r="X5507" s="4"/>
    </row>
    <row r="5508" spans="17:24" x14ac:dyDescent="0.3">
      <c r="Q5508" s="4"/>
      <c r="R5508" s="4"/>
      <c r="S5508" s="4"/>
      <c r="T5508" s="4"/>
      <c r="U5508" s="4"/>
      <c r="V5508" s="4"/>
      <c r="W5508" s="4"/>
      <c r="X5508" s="4"/>
    </row>
    <row r="5509" spans="17:24" x14ac:dyDescent="0.3">
      <c r="Q5509" s="4"/>
      <c r="R5509" s="4"/>
      <c r="S5509" s="4"/>
      <c r="T5509" s="4"/>
      <c r="U5509" s="4"/>
      <c r="V5509" s="4"/>
      <c r="W5509" s="4"/>
      <c r="X5509" s="4"/>
    </row>
    <row r="5510" spans="17:24" x14ac:dyDescent="0.3">
      <c r="Q5510" s="4"/>
      <c r="R5510" s="4"/>
      <c r="S5510" s="4"/>
      <c r="T5510" s="4"/>
      <c r="U5510" s="4"/>
      <c r="V5510" s="4"/>
      <c r="W5510" s="4"/>
      <c r="X5510" s="4"/>
    </row>
    <row r="5511" spans="17:24" x14ac:dyDescent="0.3">
      <c r="Q5511" s="4"/>
      <c r="R5511" s="4"/>
      <c r="S5511" s="4"/>
      <c r="T5511" s="4"/>
      <c r="U5511" s="4"/>
      <c r="V5511" s="4"/>
      <c r="W5511" s="4"/>
      <c r="X5511" s="4"/>
    </row>
    <row r="5512" spans="17:24" x14ac:dyDescent="0.3">
      <c r="Q5512" s="4"/>
      <c r="R5512" s="4"/>
      <c r="S5512" s="4"/>
      <c r="T5512" s="4"/>
      <c r="U5512" s="4"/>
      <c r="V5512" s="4"/>
      <c r="W5512" s="4"/>
      <c r="X5512" s="4"/>
    </row>
    <row r="5513" spans="17:24" x14ac:dyDescent="0.3">
      <c r="Q5513" s="4"/>
      <c r="R5513" s="4"/>
      <c r="S5513" s="4"/>
      <c r="T5513" s="4"/>
      <c r="U5513" s="4"/>
      <c r="V5513" s="4"/>
      <c r="W5513" s="4"/>
      <c r="X5513" s="4"/>
    </row>
    <row r="5514" spans="17:24" x14ac:dyDescent="0.3">
      <c r="Q5514" s="4"/>
      <c r="R5514" s="4"/>
      <c r="S5514" s="4"/>
      <c r="T5514" s="4"/>
      <c r="U5514" s="4"/>
      <c r="V5514" s="4"/>
      <c r="W5514" s="4"/>
      <c r="X5514" s="4"/>
    </row>
    <row r="5515" spans="17:24" x14ac:dyDescent="0.3">
      <c r="Q5515" s="4"/>
      <c r="R5515" s="4"/>
      <c r="S5515" s="4"/>
      <c r="T5515" s="4"/>
      <c r="U5515" s="4"/>
      <c r="V5515" s="4"/>
      <c r="W5515" s="4"/>
      <c r="X5515" s="4"/>
    </row>
    <row r="5516" spans="17:24" x14ac:dyDescent="0.3">
      <c r="Q5516" s="4"/>
      <c r="R5516" s="4"/>
      <c r="S5516" s="4"/>
      <c r="T5516" s="4"/>
      <c r="U5516" s="4"/>
      <c r="V5516" s="4"/>
      <c r="W5516" s="4"/>
      <c r="X5516" s="4"/>
    </row>
    <row r="5517" spans="17:24" x14ac:dyDescent="0.3">
      <c r="Q5517" s="4"/>
      <c r="R5517" s="4"/>
      <c r="S5517" s="4"/>
      <c r="T5517" s="4"/>
      <c r="U5517" s="4"/>
      <c r="V5517" s="4"/>
      <c r="W5517" s="4"/>
      <c r="X5517" s="4"/>
    </row>
    <row r="5518" spans="17:24" x14ac:dyDescent="0.3">
      <c r="Q5518" s="4"/>
      <c r="R5518" s="4"/>
      <c r="S5518" s="4"/>
      <c r="T5518" s="4"/>
      <c r="U5518" s="4"/>
      <c r="V5518" s="4"/>
      <c r="W5518" s="4"/>
      <c r="X5518" s="4"/>
    </row>
    <row r="5519" spans="17:24" x14ac:dyDescent="0.3">
      <c r="Q5519" s="4"/>
      <c r="R5519" s="4"/>
      <c r="S5519" s="4"/>
      <c r="T5519" s="4"/>
      <c r="U5519" s="4"/>
      <c r="V5519" s="4"/>
      <c r="W5519" s="4"/>
      <c r="X5519" s="4"/>
    </row>
    <row r="5520" spans="17:24" x14ac:dyDescent="0.3">
      <c r="Q5520" s="4"/>
      <c r="R5520" s="4"/>
      <c r="S5520" s="4"/>
      <c r="T5520" s="4"/>
      <c r="U5520" s="4"/>
      <c r="V5520" s="4"/>
      <c r="W5520" s="4"/>
      <c r="X5520" s="4"/>
    </row>
    <row r="5521" spans="17:24" x14ac:dyDescent="0.3">
      <c r="Q5521" s="4"/>
      <c r="R5521" s="4"/>
      <c r="S5521" s="4"/>
      <c r="T5521" s="4"/>
      <c r="U5521" s="4"/>
      <c r="V5521" s="4"/>
      <c r="W5521" s="4"/>
      <c r="X5521" s="4"/>
    </row>
    <row r="5522" spans="17:24" x14ac:dyDescent="0.3">
      <c r="Q5522" s="4"/>
      <c r="R5522" s="4"/>
      <c r="S5522" s="4"/>
      <c r="T5522" s="4"/>
      <c r="U5522" s="4"/>
      <c r="V5522" s="4"/>
      <c r="W5522" s="4"/>
      <c r="X5522" s="4"/>
    </row>
    <row r="5523" spans="17:24" x14ac:dyDescent="0.3">
      <c r="Q5523" s="4"/>
      <c r="R5523" s="4"/>
      <c r="S5523" s="4"/>
      <c r="T5523" s="4"/>
      <c r="U5523" s="4"/>
      <c r="V5523" s="4"/>
      <c r="W5523" s="4"/>
      <c r="X5523" s="4"/>
    </row>
    <row r="5524" spans="17:24" x14ac:dyDescent="0.3">
      <c r="Q5524" s="4"/>
      <c r="R5524" s="4"/>
      <c r="S5524" s="4"/>
      <c r="T5524" s="4"/>
      <c r="U5524" s="4"/>
      <c r="V5524" s="4"/>
      <c r="W5524" s="4"/>
      <c r="X5524" s="4"/>
    </row>
    <row r="5525" spans="17:24" x14ac:dyDescent="0.3">
      <c r="Q5525" s="4"/>
      <c r="R5525" s="4"/>
      <c r="S5525" s="4"/>
      <c r="T5525" s="4"/>
      <c r="U5525" s="4"/>
      <c r="V5525" s="4"/>
      <c r="W5525" s="4"/>
      <c r="X5525" s="4"/>
    </row>
    <row r="5526" spans="17:24" x14ac:dyDescent="0.3">
      <c r="Q5526" s="4"/>
      <c r="R5526" s="4"/>
      <c r="S5526" s="4"/>
      <c r="T5526" s="4"/>
      <c r="U5526" s="4"/>
      <c r="V5526" s="4"/>
      <c r="W5526" s="4"/>
      <c r="X5526" s="4"/>
    </row>
    <row r="5527" spans="17:24" x14ac:dyDescent="0.3">
      <c r="Q5527" s="4"/>
      <c r="R5527" s="4"/>
      <c r="S5527" s="4"/>
      <c r="T5527" s="4"/>
      <c r="U5527" s="4"/>
      <c r="V5527" s="4"/>
      <c r="W5527" s="4"/>
      <c r="X5527" s="4"/>
    </row>
    <row r="5528" spans="17:24" x14ac:dyDescent="0.3">
      <c r="Q5528" s="4"/>
      <c r="R5528" s="4"/>
      <c r="S5528" s="4"/>
      <c r="T5528" s="4"/>
      <c r="U5528" s="4"/>
      <c r="V5528" s="4"/>
      <c r="W5528" s="4"/>
      <c r="X5528" s="4"/>
    </row>
    <row r="5529" spans="17:24" x14ac:dyDescent="0.3">
      <c r="Q5529" s="4"/>
      <c r="R5529" s="4"/>
      <c r="S5529" s="4"/>
      <c r="T5529" s="4"/>
      <c r="U5529" s="4"/>
      <c r="V5529" s="4"/>
      <c r="W5529" s="4"/>
      <c r="X5529" s="4"/>
    </row>
    <row r="5530" spans="17:24" x14ac:dyDescent="0.3">
      <c r="Q5530" s="4"/>
      <c r="R5530" s="4"/>
      <c r="S5530" s="4"/>
      <c r="T5530" s="4"/>
      <c r="U5530" s="4"/>
      <c r="V5530" s="4"/>
      <c r="W5530" s="4"/>
      <c r="X5530" s="4"/>
    </row>
    <row r="5531" spans="17:24" x14ac:dyDescent="0.3">
      <c r="Q5531" s="4"/>
      <c r="R5531" s="4"/>
      <c r="S5531" s="4"/>
      <c r="T5531" s="4"/>
      <c r="U5531" s="4"/>
      <c r="V5531" s="4"/>
      <c r="W5531" s="4"/>
      <c r="X5531" s="4"/>
    </row>
    <row r="5532" spans="17:24" x14ac:dyDescent="0.3">
      <c r="Q5532" s="4"/>
      <c r="R5532" s="4"/>
      <c r="S5532" s="4"/>
      <c r="T5532" s="4"/>
      <c r="U5532" s="4"/>
      <c r="V5532" s="4"/>
      <c r="W5532" s="4"/>
      <c r="X5532" s="4"/>
    </row>
    <row r="5533" spans="17:24" x14ac:dyDescent="0.3">
      <c r="Q5533" s="4"/>
      <c r="R5533" s="4"/>
      <c r="S5533" s="4"/>
      <c r="T5533" s="4"/>
      <c r="U5533" s="4"/>
      <c r="V5533" s="4"/>
      <c r="W5533" s="4"/>
      <c r="X5533" s="4"/>
    </row>
    <row r="5534" spans="17:24" x14ac:dyDescent="0.3">
      <c r="Q5534" s="4"/>
      <c r="R5534" s="4"/>
      <c r="S5534" s="4"/>
      <c r="T5534" s="4"/>
      <c r="U5534" s="4"/>
      <c r="V5534" s="4"/>
      <c r="W5534" s="4"/>
      <c r="X5534" s="4"/>
    </row>
    <row r="5535" spans="17:24" x14ac:dyDescent="0.3">
      <c r="Q5535" s="4"/>
      <c r="R5535" s="4"/>
      <c r="S5535" s="4"/>
      <c r="T5535" s="4"/>
      <c r="U5535" s="4"/>
      <c r="V5535" s="4"/>
      <c r="W5535" s="4"/>
      <c r="X5535" s="4"/>
    </row>
    <row r="5536" spans="17:24" x14ac:dyDescent="0.3">
      <c r="Q5536" s="4"/>
      <c r="R5536" s="4"/>
      <c r="S5536" s="4"/>
      <c r="T5536" s="4"/>
      <c r="U5536" s="4"/>
      <c r="V5536" s="4"/>
      <c r="W5536" s="4"/>
      <c r="X5536" s="4"/>
    </row>
    <row r="5537" spans="17:24" x14ac:dyDescent="0.3">
      <c r="Q5537" s="4"/>
      <c r="R5537" s="4"/>
      <c r="S5537" s="4"/>
      <c r="T5537" s="4"/>
      <c r="U5537" s="4"/>
      <c r="V5537" s="4"/>
      <c r="W5537" s="4"/>
      <c r="X5537" s="4"/>
    </row>
    <row r="5538" spans="17:24" x14ac:dyDescent="0.3">
      <c r="Q5538" s="4"/>
      <c r="R5538" s="4"/>
      <c r="S5538" s="4"/>
      <c r="T5538" s="4"/>
      <c r="U5538" s="4"/>
      <c r="V5538" s="4"/>
      <c r="W5538" s="4"/>
      <c r="X5538" s="4"/>
    </row>
    <row r="5539" spans="17:24" x14ac:dyDescent="0.3">
      <c r="Q5539" s="4"/>
      <c r="R5539" s="4"/>
      <c r="S5539" s="4"/>
      <c r="T5539" s="4"/>
      <c r="U5539" s="4"/>
      <c r="V5539" s="4"/>
      <c r="W5539" s="4"/>
      <c r="X5539" s="4"/>
    </row>
    <row r="5540" spans="17:24" x14ac:dyDescent="0.3">
      <c r="Q5540" s="4"/>
      <c r="R5540" s="4"/>
      <c r="S5540" s="4"/>
      <c r="T5540" s="4"/>
      <c r="U5540" s="4"/>
      <c r="V5540" s="4"/>
      <c r="W5540" s="4"/>
      <c r="X5540" s="4"/>
    </row>
    <row r="5541" spans="17:24" x14ac:dyDescent="0.3">
      <c r="Q5541" s="4"/>
      <c r="R5541" s="4"/>
      <c r="S5541" s="4"/>
      <c r="T5541" s="4"/>
      <c r="U5541" s="4"/>
      <c r="V5541" s="4"/>
      <c r="W5541" s="4"/>
      <c r="X5541" s="4"/>
    </row>
    <row r="5542" spans="17:24" x14ac:dyDescent="0.3">
      <c r="Q5542" s="4"/>
      <c r="R5542" s="4"/>
      <c r="S5542" s="4"/>
      <c r="T5542" s="4"/>
      <c r="U5542" s="4"/>
      <c r="V5542" s="4"/>
      <c r="W5542" s="4"/>
      <c r="X5542" s="4"/>
    </row>
    <row r="5543" spans="17:24" x14ac:dyDescent="0.3">
      <c r="Q5543" s="4"/>
      <c r="R5543" s="4"/>
      <c r="S5543" s="4"/>
      <c r="T5543" s="4"/>
      <c r="U5543" s="4"/>
      <c r="V5543" s="4"/>
      <c r="W5543" s="4"/>
      <c r="X5543" s="4"/>
    </row>
    <row r="5544" spans="17:24" x14ac:dyDescent="0.3">
      <c r="Q5544" s="4"/>
      <c r="R5544" s="4"/>
      <c r="S5544" s="4"/>
      <c r="T5544" s="4"/>
      <c r="U5544" s="4"/>
      <c r="V5544" s="4"/>
      <c r="W5544" s="4"/>
      <c r="X5544" s="4"/>
    </row>
    <row r="5545" spans="17:24" x14ac:dyDescent="0.3">
      <c r="Q5545" s="4"/>
      <c r="R5545" s="4"/>
      <c r="S5545" s="4"/>
      <c r="T5545" s="4"/>
      <c r="U5545" s="4"/>
      <c r="V5545" s="4"/>
      <c r="W5545" s="4"/>
      <c r="X5545" s="4"/>
    </row>
    <row r="5546" spans="17:24" x14ac:dyDescent="0.3">
      <c r="Q5546" s="4"/>
      <c r="R5546" s="4"/>
      <c r="S5546" s="4"/>
      <c r="T5546" s="4"/>
      <c r="U5546" s="4"/>
      <c r="V5546" s="4"/>
      <c r="W5546" s="4"/>
      <c r="X5546" s="4"/>
    </row>
    <row r="5547" spans="17:24" x14ac:dyDescent="0.3">
      <c r="Q5547" s="4"/>
      <c r="R5547" s="4"/>
      <c r="S5547" s="4"/>
      <c r="T5547" s="4"/>
      <c r="U5547" s="4"/>
      <c r="V5547" s="4"/>
      <c r="W5547" s="4"/>
      <c r="X5547" s="4"/>
    </row>
    <row r="5548" spans="17:24" x14ac:dyDescent="0.3">
      <c r="Q5548" s="4"/>
      <c r="R5548" s="4"/>
      <c r="S5548" s="4"/>
      <c r="T5548" s="4"/>
      <c r="U5548" s="4"/>
      <c r="V5548" s="4"/>
      <c r="W5548" s="4"/>
      <c r="X5548" s="4"/>
    </row>
    <row r="5549" spans="17:24" x14ac:dyDescent="0.3">
      <c r="Q5549" s="4"/>
      <c r="R5549" s="4"/>
      <c r="S5549" s="4"/>
      <c r="T5549" s="4"/>
      <c r="U5549" s="4"/>
      <c r="V5549" s="4"/>
      <c r="W5549" s="4"/>
      <c r="X5549" s="4"/>
    </row>
    <row r="5550" spans="17:24" x14ac:dyDescent="0.3">
      <c r="Q5550" s="4"/>
      <c r="R5550" s="4"/>
      <c r="S5550" s="4"/>
      <c r="T5550" s="4"/>
      <c r="U5550" s="4"/>
      <c r="V5550" s="4"/>
      <c r="W5550" s="4"/>
      <c r="X5550" s="4"/>
    </row>
    <row r="5551" spans="17:24" x14ac:dyDescent="0.3">
      <c r="Q5551" s="4"/>
      <c r="R5551" s="4"/>
      <c r="S5551" s="4"/>
      <c r="T5551" s="4"/>
      <c r="U5551" s="4"/>
      <c r="V5551" s="4"/>
      <c r="W5551" s="4"/>
      <c r="X5551" s="4"/>
    </row>
    <row r="5552" spans="17:24" x14ac:dyDescent="0.3">
      <c r="Q5552" s="4"/>
      <c r="R5552" s="4"/>
      <c r="S5552" s="4"/>
      <c r="T5552" s="4"/>
      <c r="U5552" s="4"/>
      <c r="V5552" s="4"/>
      <c r="W5552" s="4"/>
      <c r="X5552" s="4"/>
    </row>
    <row r="5553" spans="17:24" x14ac:dyDescent="0.3">
      <c r="Q5553" s="4"/>
      <c r="R5553" s="4"/>
      <c r="S5553" s="4"/>
      <c r="T5553" s="4"/>
      <c r="U5553" s="4"/>
      <c r="V5553" s="4"/>
      <c r="W5553" s="4"/>
      <c r="X5553" s="4"/>
    </row>
    <row r="5554" spans="17:24" x14ac:dyDescent="0.3">
      <c r="Q5554" s="4"/>
      <c r="R5554" s="4"/>
      <c r="S5554" s="4"/>
      <c r="T5554" s="4"/>
      <c r="U5554" s="4"/>
      <c r="V5554" s="4"/>
      <c r="W5554" s="4"/>
      <c r="X5554" s="4"/>
    </row>
    <row r="5555" spans="17:24" x14ac:dyDescent="0.3">
      <c r="Q5555" s="4"/>
      <c r="R5555" s="4"/>
      <c r="S5555" s="4"/>
      <c r="T5555" s="4"/>
      <c r="U5555" s="4"/>
      <c r="V5555" s="4"/>
      <c r="W5555" s="4"/>
      <c r="X5555" s="4"/>
    </row>
    <row r="5556" spans="17:24" x14ac:dyDescent="0.3">
      <c r="Q5556" s="4"/>
      <c r="R5556" s="4"/>
      <c r="S5556" s="4"/>
      <c r="T5556" s="4"/>
      <c r="U5556" s="4"/>
      <c r="V5556" s="4"/>
      <c r="W5556" s="4"/>
      <c r="X5556" s="4"/>
    </row>
    <row r="5557" spans="17:24" x14ac:dyDescent="0.3">
      <c r="Q5557" s="4"/>
      <c r="R5557" s="4"/>
      <c r="S5557" s="4"/>
      <c r="T5557" s="4"/>
      <c r="U5557" s="4"/>
      <c r="V5557" s="4"/>
      <c r="W5557" s="4"/>
      <c r="X5557" s="4"/>
    </row>
    <row r="5558" spans="17:24" x14ac:dyDescent="0.3">
      <c r="Q5558" s="4"/>
      <c r="R5558" s="4"/>
      <c r="S5558" s="4"/>
      <c r="T5558" s="4"/>
      <c r="U5558" s="4"/>
      <c r="V5558" s="4"/>
      <c r="W5558" s="4"/>
      <c r="X5558" s="4"/>
    </row>
    <row r="5559" spans="17:24" x14ac:dyDescent="0.3">
      <c r="Q5559" s="4"/>
      <c r="R5559" s="4"/>
      <c r="S5559" s="4"/>
      <c r="T5559" s="4"/>
      <c r="U5559" s="4"/>
      <c r="V5559" s="4"/>
      <c r="W5559" s="4"/>
      <c r="X5559" s="4"/>
    </row>
    <row r="5560" spans="17:24" x14ac:dyDescent="0.3">
      <c r="Q5560" s="4"/>
      <c r="R5560" s="4"/>
      <c r="S5560" s="4"/>
      <c r="T5560" s="4"/>
      <c r="U5560" s="4"/>
      <c r="V5560" s="4"/>
      <c r="W5560" s="4"/>
      <c r="X5560" s="4"/>
    </row>
    <row r="5561" spans="17:24" x14ac:dyDescent="0.3">
      <c r="Q5561" s="4"/>
      <c r="R5561" s="4"/>
      <c r="S5561" s="4"/>
      <c r="T5561" s="4"/>
      <c r="U5561" s="4"/>
      <c r="V5561" s="4"/>
      <c r="W5561" s="4"/>
      <c r="X5561" s="4"/>
    </row>
    <row r="5562" spans="17:24" x14ac:dyDescent="0.3">
      <c r="Q5562" s="4"/>
      <c r="R5562" s="4"/>
      <c r="S5562" s="4"/>
      <c r="T5562" s="4"/>
      <c r="U5562" s="4"/>
      <c r="V5562" s="4"/>
      <c r="W5562" s="4"/>
      <c r="X5562" s="4"/>
    </row>
    <row r="5563" spans="17:24" x14ac:dyDescent="0.3">
      <c r="Q5563" s="4"/>
      <c r="R5563" s="4"/>
      <c r="S5563" s="4"/>
      <c r="T5563" s="4"/>
      <c r="U5563" s="4"/>
      <c r="V5563" s="4"/>
      <c r="W5563" s="4"/>
      <c r="X5563" s="4"/>
    </row>
    <row r="5564" spans="17:24" x14ac:dyDescent="0.3">
      <c r="Q5564" s="4"/>
      <c r="R5564" s="4"/>
      <c r="S5564" s="4"/>
      <c r="T5564" s="4"/>
      <c r="U5564" s="4"/>
      <c r="V5564" s="4"/>
      <c r="W5564" s="4"/>
      <c r="X5564" s="4"/>
    </row>
    <row r="5565" spans="17:24" x14ac:dyDescent="0.3">
      <c r="Q5565" s="4"/>
      <c r="R5565" s="4"/>
      <c r="S5565" s="4"/>
      <c r="T5565" s="4"/>
      <c r="U5565" s="4"/>
      <c r="V5565" s="4"/>
      <c r="W5565" s="4"/>
      <c r="X5565" s="4"/>
    </row>
    <row r="5566" spans="17:24" x14ac:dyDescent="0.3">
      <c r="Q5566" s="4"/>
      <c r="R5566" s="4"/>
      <c r="S5566" s="4"/>
      <c r="T5566" s="4"/>
      <c r="U5566" s="4"/>
      <c r="V5566" s="4"/>
      <c r="W5566" s="4"/>
      <c r="X5566" s="4"/>
    </row>
    <row r="5567" spans="17:24" x14ac:dyDescent="0.3">
      <c r="Q5567" s="4"/>
      <c r="R5567" s="4"/>
      <c r="S5567" s="4"/>
      <c r="T5567" s="4"/>
      <c r="U5567" s="4"/>
      <c r="V5567" s="4"/>
      <c r="W5567" s="4"/>
      <c r="X5567" s="4"/>
    </row>
    <row r="5568" spans="17:24" x14ac:dyDescent="0.3">
      <c r="Q5568" s="4"/>
      <c r="R5568" s="4"/>
      <c r="S5568" s="4"/>
      <c r="T5568" s="4"/>
      <c r="U5568" s="4"/>
      <c r="V5568" s="4"/>
      <c r="W5568" s="4"/>
      <c r="X5568" s="4"/>
    </row>
    <row r="5569" spans="17:24" x14ac:dyDescent="0.3">
      <c r="Q5569" s="4"/>
      <c r="R5569" s="4"/>
      <c r="S5569" s="4"/>
      <c r="T5569" s="4"/>
      <c r="U5569" s="4"/>
      <c r="V5569" s="4"/>
      <c r="W5569" s="4"/>
      <c r="X5569" s="4"/>
    </row>
    <row r="5570" spans="17:24" x14ac:dyDescent="0.3">
      <c r="Q5570" s="4"/>
      <c r="R5570" s="4"/>
      <c r="S5570" s="4"/>
      <c r="T5570" s="4"/>
      <c r="U5570" s="4"/>
      <c r="V5570" s="4"/>
      <c r="W5570" s="4"/>
      <c r="X5570" s="4"/>
    </row>
    <row r="5571" spans="17:24" x14ac:dyDescent="0.3">
      <c r="Q5571" s="4"/>
      <c r="R5571" s="4"/>
      <c r="S5571" s="4"/>
      <c r="T5571" s="4"/>
      <c r="U5571" s="4"/>
      <c r="V5571" s="4"/>
      <c r="W5571" s="4"/>
      <c r="X5571" s="4"/>
    </row>
    <row r="5572" spans="17:24" x14ac:dyDescent="0.3">
      <c r="Q5572" s="4"/>
      <c r="R5572" s="4"/>
      <c r="S5572" s="4"/>
      <c r="T5572" s="4"/>
      <c r="U5572" s="4"/>
      <c r="V5572" s="4"/>
      <c r="W5572" s="4"/>
      <c r="X5572" s="4"/>
    </row>
    <row r="5573" spans="17:24" x14ac:dyDescent="0.3">
      <c r="Q5573" s="4"/>
      <c r="R5573" s="4"/>
      <c r="S5573" s="4"/>
      <c r="T5573" s="4"/>
      <c r="U5573" s="4"/>
      <c r="V5573" s="4"/>
      <c r="W5573" s="4"/>
      <c r="X5573" s="4"/>
    </row>
    <row r="5574" spans="17:24" x14ac:dyDescent="0.3">
      <c r="Q5574" s="4"/>
      <c r="R5574" s="4"/>
      <c r="S5574" s="4"/>
      <c r="T5574" s="4"/>
      <c r="U5574" s="4"/>
      <c r="V5574" s="4"/>
      <c r="W5574" s="4"/>
      <c r="X5574" s="4"/>
    </row>
    <row r="5575" spans="17:24" x14ac:dyDescent="0.3">
      <c r="Q5575" s="4"/>
      <c r="R5575" s="4"/>
      <c r="S5575" s="4"/>
      <c r="T5575" s="4"/>
      <c r="U5575" s="4"/>
      <c r="V5575" s="4"/>
      <c r="W5575" s="4"/>
      <c r="X5575" s="4"/>
    </row>
    <row r="5576" spans="17:24" x14ac:dyDescent="0.3">
      <c r="Q5576" s="4"/>
      <c r="R5576" s="4"/>
      <c r="S5576" s="4"/>
      <c r="T5576" s="4"/>
      <c r="U5576" s="4"/>
      <c r="V5576" s="4"/>
      <c r="W5576" s="4"/>
      <c r="X5576" s="4"/>
    </row>
    <row r="5577" spans="17:24" x14ac:dyDescent="0.3">
      <c r="Q5577" s="4"/>
      <c r="R5577" s="4"/>
      <c r="S5577" s="4"/>
      <c r="T5577" s="4"/>
      <c r="U5577" s="4"/>
      <c r="V5577" s="4"/>
      <c r="W5577" s="4"/>
      <c r="X5577" s="4"/>
    </row>
    <row r="5578" spans="17:24" x14ac:dyDescent="0.3">
      <c r="Q5578" s="4"/>
      <c r="R5578" s="4"/>
      <c r="S5578" s="4"/>
      <c r="T5578" s="4"/>
      <c r="U5578" s="4"/>
      <c r="V5578" s="4"/>
      <c r="W5578" s="4"/>
      <c r="X5578" s="4"/>
    </row>
    <row r="5579" spans="17:24" x14ac:dyDescent="0.3">
      <c r="Q5579" s="4"/>
      <c r="R5579" s="4"/>
      <c r="S5579" s="4"/>
      <c r="T5579" s="4"/>
      <c r="U5579" s="4"/>
      <c r="V5579" s="4"/>
      <c r="W5579" s="4"/>
      <c r="X5579" s="4"/>
    </row>
    <row r="5580" spans="17:24" x14ac:dyDescent="0.3">
      <c r="Q5580" s="4"/>
      <c r="R5580" s="4"/>
      <c r="S5580" s="4"/>
      <c r="T5580" s="4"/>
      <c r="U5580" s="4"/>
      <c r="V5580" s="4"/>
      <c r="W5580" s="4"/>
      <c r="X5580" s="4"/>
    </row>
    <row r="5581" spans="17:24" x14ac:dyDescent="0.3">
      <c r="Q5581" s="4"/>
      <c r="R5581" s="4"/>
      <c r="S5581" s="4"/>
      <c r="T5581" s="4"/>
      <c r="U5581" s="4"/>
      <c r="V5581" s="4"/>
      <c r="W5581" s="4"/>
      <c r="X5581" s="4"/>
    </row>
    <row r="5582" spans="17:24" x14ac:dyDescent="0.3">
      <c r="Q5582" s="4"/>
      <c r="R5582" s="4"/>
      <c r="S5582" s="4"/>
      <c r="T5582" s="4"/>
      <c r="U5582" s="4"/>
      <c r="V5582" s="4"/>
      <c r="W5582" s="4"/>
      <c r="X5582" s="4"/>
    </row>
    <row r="5583" spans="17:24" x14ac:dyDescent="0.3">
      <c r="Q5583" s="4"/>
      <c r="R5583" s="4"/>
      <c r="S5583" s="4"/>
      <c r="T5583" s="4"/>
      <c r="U5583" s="4"/>
      <c r="V5583" s="4"/>
      <c r="W5583" s="4"/>
      <c r="X5583" s="4"/>
    </row>
    <row r="5584" spans="17:24" x14ac:dyDescent="0.3">
      <c r="Q5584" s="4"/>
      <c r="R5584" s="4"/>
      <c r="S5584" s="4"/>
      <c r="T5584" s="4"/>
      <c r="U5584" s="4"/>
      <c r="V5584" s="4"/>
      <c r="W5584" s="4"/>
      <c r="X5584" s="4"/>
    </row>
    <row r="5585" spans="17:24" x14ac:dyDescent="0.3">
      <c r="Q5585" s="4"/>
      <c r="R5585" s="4"/>
      <c r="S5585" s="4"/>
      <c r="T5585" s="4"/>
      <c r="U5585" s="4"/>
      <c r="V5585" s="4"/>
      <c r="W5585" s="4"/>
      <c r="X5585" s="4"/>
    </row>
    <row r="5586" spans="17:24" x14ac:dyDescent="0.3">
      <c r="Q5586" s="4"/>
      <c r="R5586" s="4"/>
      <c r="S5586" s="4"/>
      <c r="T5586" s="4"/>
      <c r="U5586" s="4"/>
      <c r="V5586" s="4"/>
      <c r="W5586" s="4"/>
      <c r="X5586" s="4"/>
    </row>
    <row r="5587" spans="17:24" x14ac:dyDescent="0.3">
      <c r="Q5587" s="4"/>
      <c r="R5587" s="4"/>
      <c r="S5587" s="4"/>
      <c r="T5587" s="4"/>
      <c r="U5587" s="4"/>
      <c r="V5587" s="4"/>
      <c r="W5587" s="4"/>
      <c r="X5587" s="4"/>
    </row>
    <row r="5588" spans="17:24" x14ac:dyDescent="0.3">
      <c r="Q5588" s="4"/>
      <c r="R5588" s="4"/>
      <c r="S5588" s="4"/>
      <c r="T5588" s="4"/>
      <c r="U5588" s="4"/>
      <c r="V5588" s="4"/>
      <c r="W5588" s="4"/>
      <c r="X5588" s="4"/>
    </row>
    <row r="5589" spans="17:24" x14ac:dyDescent="0.3">
      <c r="Q5589" s="4"/>
      <c r="R5589" s="4"/>
      <c r="S5589" s="4"/>
      <c r="T5589" s="4"/>
      <c r="U5589" s="4"/>
      <c r="V5589" s="4"/>
      <c r="W5589" s="4"/>
      <c r="X5589" s="4"/>
    </row>
    <row r="5590" spans="17:24" x14ac:dyDescent="0.3">
      <c r="Q5590" s="4"/>
      <c r="R5590" s="4"/>
      <c r="S5590" s="4"/>
      <c r="T5590" s="4"/>
      <c r="U5590" s="4"/>
      <c r="V5590" s="4"/>
      <c r="W5590" s="4"/>
      <c r="X5590" s="4"/>
    </row>
    <row r="5591" spans="17:24" x14ac:dyDescent="0.3">
      <c r="Q5591" s="4"/>
      <c r="R5591" s="4"/>
      <c r="S5591" s="4"/>
      <c r="T5591" s="4"/>
      <c r="U5591" s="4"/>
      <c r="V5591" s="4"/>
      <c r="W5591" s="4"/>
      <c r="X5591" s="4"/>
    </row>
    <row r="5592" spans="17:24" x14ac:dyDescent="0.3">
      <c r="Q5592" s="4"/>
      <c r="R5592" s="4"/>
      <c r="S5592" s="4"/>
      <c r="T5592" s="4"/>
      <c r="U5592" s="4"/>
      <c r="V5592" s="4"/>
      <c r="W5592" s="4"/>
      <c r="X5592" s="4"/>
    </row>
    <row r="5593" spans="17:24" x14ac:dyDescent="0.3">
      <c r="Q5593" s="4"/>
      <c r="R5593" s="4"/>
      <c r="S5593" s="4"/>
      <c r="T5593" s="4"/>
      <c r="U5593" s="4"/>
      <c r="V5593" s="4"/>
      <c r="W5593" s="4"/>
      <c r="X5593" s="4"/>
    </row>
    <row r="5594" spans="17:24" x14ac:dyDescent="0.3">
      <c r="Q5594" s="4"/>
      <c r="R5594" s="4"/>
      <c r="S5594" s="4"/>
      <c r="T5594" s="4"/>
      <c r="U5594" s="4"/>
      <c r="V5594" s="4"/>
      <c r="W5594" s="4"/>
      <c r="X5594" s="4"/>
    </row>
    <row r="5595" spans="17:24" x14ac:dyDescent="0.3">
      <c r="Q5595" s="4"/>
      <c r="R5595" s="4"/>
      <c r="S5595" s="4"/>
      <c r="T5595" s="4"/>
      <c r="U5595" s="4"/>
      <c r="V5595" s="4"/>
      <c r="W5595" s="4"/>
      <c r="X5595" s="4"/>
    </row>
    <row r="5596" spans="17:24" x14ac:dyDescent="0.3">
      <c r="Q5596" s="4"/>
      <c r="R5596" s="4"/>
      <c r="S5596" s="4"/>
      <c r="T5596" s="4"/>
      <c r="U5596" s="4"/>
      <c r="V5596" s="4"/>
      <c r="W5596" s="4"/>
      <c r="X5596" s="4"/>
    </row>
    <row r="5597" spans="17:24" x14ac:dyDescent="0.3">
      <c r="Q5597" s="4"/>
      <c r="R5597" s="4"/>
      <c r="S5597" s="4"/>
      <c r="T5597" s="4"/>
      <c r="U5597" s="4"/>
      <c r="V5597" s="4"/>
      <c r="W5597" s="4"/>
      <c r="X5597" s="4"/>
    </row>
    <row r="5598" spans="17:24" x14ac:dyDescent="0.3">
      <c r="Q5598" s="4"/>
      <c r="R5598" s="4"/>
      <c r="S5598" s="4"/>
      <c r="T5598" s="4"/>
      <c r="U5598" s="4"/>
      <c r="V5598" s="4"/>
      <c r="W5598" s="4"/>
      <c r="X5598" s="4"/>
    </row>
    <row r="5599" spans="17:24" x14ac:dyDescent="0.3">
      <c r="Q5599" s="4"/>
      <c r="R5599" s="4"/>
      <c r="S5599" s="4"/>
      <c r="T5599" s="4"/>
      <c r="U5599" s="4"/>
      <c r="V5599" s="4"/>
      <c r="W5599" s="4"/>
      <c r="X5599" s="4"/>
    </row>
    <row r="5600" spans="17:24" x14ac:dyDescent="0.3">
      <c r="Q5600" s="4"/>
      <c r="R5600" s="4"/>
      <c r="S5600" s="4"/>
      <c r="T5600" s="4"/>
      <c r="U5600" s="4"/>
      <c r="V5600" s="4"/>
      <c r="W5600" s="4"/>
      <c r="X5600" s="4"/>
    </row>
    <row r="5601" spans="17:24" x14ac:dyDescent="0.3">
      <c r="Q5601" s="4"/>
      <c r="R5601" s="4"/>
      <c r="S5601" s="4"/>
      <c r="T5601" s="4"/>
      <c r="U5601" s="4"/>
      <c r="V5601" s="4"/>
      <c r="W5601" s="4"/>
      <c r="X5601" s="4"/>
    </row>
    <row r="5602" spans="17:24" x14ac:dyDescent="0.3">
      <c r="Q5602" s="4"/>
      <c r="R5602" s="4"/>
      <c r="S5602" s="4"/>
      <c r="T5602" s="4"/>
      <c r="U5602" s="4"/>
      <c r="V5602" s="4"/>
      <c r="W5602" s="4"/>
      <c r="X5602" s="4"/>
    </row>
    <row r="5603" spans="17:24" x14ac:dyDescent="0.3">
      <c r="Q5603" s="4"/>
      <c r="R5603" s="4"/>
      <c r="S5603" s="4"/>
      <c r="T5603" s="4"/>
      <c r="U5603" s="4"/>
      <c r="V5603" s="4"/>
      <c r="W5603" s="4"/>
      <c r="X5603" s="4"/>
    </row>
    <row r="5604" spans="17:24" x14ac:dyDescent="0.3">
      <c r="Q5604" s="4"/>
      <c r="R5604" s="4"/>
      <c r="S5604" s="4"/>
      <c r="T5604" s="4"/>
      <c r="U5604" s="4"/>
      <c r="V5604" s="4"/>
      <c r="W5604" s="4"/>
      <c r="X5604" s="4"/>
    </row>
    <row r="5605" spans="17:24" x14ac:dyDescent="0.3">
      <c r="Q5605" s="4"/>
      <c r="R5605" s="4"/>
      <c r="S5605" s="4"/>
      <c r="T5605" s="4"/>
      <c r="U5605" s="4"/>
      <c r="V5605" s="4"/>
      <c r="W5605" s="4"/>
      <c r="X5605" s="4"/>
    </row>
    <row r="5606" spans="17:24" x14ac:dyDescent="0.3">
      <c r="Q5606" s="4"/>
      <c r="R5606" s="4"/>
      <c r="S5606" s="4"/>
      <c r="T5606" s="4"/>
      <c r="U5606" s="4"/>
      <c r="V5606" s="4"/>
      <c r="W5606" s="4"/>
      <c r="X5606" s="4"/>
    </row>
    <row r="5607" spans="17:24" x14ac:dyDescent="0.3">
      <c r="Q5607" s="4"/>
      <c r="R5607" s="4"/>
      <c r="S5607" s="4"/>
      <c r="T5607" s="4"/>
      <c r="U5607" s="4"/>
      <c r="V5607" s="4"/>
      <c r="W5607" s="4"/>
      <c r="X5607" s="4"/>
    </row>
    <row r="5608" spans="17:24" x14ac:dyDescent="0.3">
      <c r="Q5608" s="4"/>
      <c r="R5608" s="4"/>
      <c r="S5608" s="4"/>
      <c r="T5608" s="4"/>
      <c r="U5608" s="4"/>
      <c r="V5608" s="4"/>
      <c r="W5608" s="4"/>
      <c r="X5608" s="4"/>
    </row>
    <row r="5609" spans="17:24" x14ac:dyDescent="0.3">
      <c r="Q5609" s="4"/>
      <c r="R5609" s="4"/>
      <c r="S5609" s="4"/>
      <c r="T5609" s="4"/>
      <c r="U5609" s="4"/>
      <c r="V5609" s="4"/>
      <c r="W5609" s="4"/>
      <c r="X5609" s="4"/>
    </row>
    <row r="5610" spans="17:24" x14ac:dyDescent="0.3">
      <c r="Q5610" s="4"/>
      <c r="R5610" s="4"/>
      <c r="S5610" s="4"/>
      <c r="T5610" s="4"/>
      <c r="U5610" s="4"/>
      <c r="V5610" s="4"/>
      <c r="W5610" s="4"/>
      <c r="X5610" s="4"/>
    </row>
    <row r="5611" spans="17:24" x14ac:dyDescent="0.3">
      <c r="Q5611" s="4"/>
      <c r="R5611" s="4"/>
      <c r="S5611" s="4"/>
      <c r="T5611" s="4"/>
      <c r="U5611" s="4"/>
      <c r="V5611" s="4"/>
      <c r="W5611" s="4"/>
      <c r="X5611" s="4"/>
    </row>
    <row r="5612" spans="17:24" x14ac:dyDescent="0.3">
      <c r="Q5612" s="4"/>
      <c r="R5612" s="4"/>
      <c r="S5612" s="4"/>
      <c r="T5612" s="4"/>
      <c r="U5612" s="4"/>
      <c r="V5612" s="4"/>
      <c r="W5612" s="4"/>
      <c r="X5612" s="4"/>
    </row>
    <row r="5613" spans="17:24" x14ac:dyDescent="0.3">
      <c r="Q5613" s="4"/>
      <c r="R5613" s="4"/>
      <c r="S5613" s="4"/>
      <c r="T5613" s="4"/>
      <c r="U5613" s="4"/>
      <c r="V5613" s="4"/>
      <c r="W5613" s="4"/>
      <c r="X5613" s="4"/>
    </row>
    <row r="5614" spans="17:24" x14ac:dyDescent="0.3">
      <c r="Q5614" s="4"/>
      <c r="R5614" s="4"/>
      <c r="S5614" s="4"/>
      <c r="T5614" s="4"/>
      <c r="U5614" s="4"/>
      <c r="V5614" s="4"/>
      <c r="W5614" s="4"/>
      <c r="X5614" s="4"/>
    </row>
    <row r="5615" spans="17:24" x14ac:dyDescent="0.3">
      <c r="Q5615" s="4"/>
      <c r="R5615" s="4"/>
      <c r="S5615" s="4"/>
      <c r="T5615" s="4"/>
      <c r="U5615" s="4"/>
      <c r="V5615" s="4"/>
      <c r="W5615" s="4"/>
      <c r="X5615" s="4"/>
    </row>
    <row r="5616" spans="17:24" x14ac:dyDescent="0.3">
      <c r="Q5616" s="4"/>
      <c r="R5616" s="4"/>
      <c r="S5616" s="4"/>
      <c r="T5616" s="4"/>
      <c r="U5616" s="4"/>
      <c r="V5616" s="4"/>
      <c r="W5616" s="4"/>
      <c r="X5616" s="4"/>
    </row>
    <row r="5617" spans="17:24" x14ac:dyDescent="0.3">
      <c r="Q5617" s="4"/>
      <c r="R5617" s="4"/>
      <c r="S5617" s="4"/>
      <c r="T5617" s="4"/>
      <c r="U5617" s="4"/>
      <c r="V5617" s="4"/>
      <c r="W5617" s="4"/>
      <c r="X5617" s="4"/>
    </row>
    <row r="5618" spans="17:24" x14ac:dyDescent="0.3">
      <c r="Q5618" s="4"/>
      <c r="R5618" s="4"/>
      <c r="S5618" s="4"/>
      <c r="T5618" s="4"/>
      <c r="U5618" s="4"/>
      <c r="V5618" s="4"/>
      <c r="W5618" s="4"/>
      <c r="X5618" s="4"/>
    </row>
    <row r="5619" spans="17:24" x14ac:dyDescent="0.3">
      <c r="Q5619" s="4"/>
      <c r="R5619" s="4"/>
      <c r="S5619" s="4"/>
      <c r="T5619" s="4"/>
      <c r="U5619" s="4"/>
      <c r="V5619" s="4"/>
      <c r="W5619" s="4"/>
      <c r="X5619" s="4"/>
    </row>
    <row r="5620" spans="17:24" x14ac:dyDescent="0.3">
      <c r="Q5620" s="4"/>
      <c r="R5620" s="4"/>
      <c r="S5620" s="4"/>
      <c r="T5620" s="4"/>
      <c r="U5620" s="4"/>
      <c r="V5620" s="4"/>
      <c r="W5620" s="4"/>
      <c r="X5620" s="4"/>
    </row>
    <row r="5621" spans="17:24" x14ac:dyDescent="0.3">
      <c r="Q5621" s="4"/>
      <c r="R5621" s="4"/>
      <c r="S5621" s="4"/>
      <c r="T5621" s="4"/>
      <c r="U5621" s="4"/>
      <c r="V5621" s="4"/>
      <c r="W5621" s="4"/>
      <c r="X5621" s="4"/>
    </row>
    <row r="5622" spans="17:24" x14ac:dyDescent="0.3">
      <c r="Q5622" s="4"/>
      <c r="R5622" s="4"/>
      <c r="S5622" s="4"/>
      <c r="T5622" s="4"/>
      <c r="U5622" s="4"/>
      <c r="V5622" s="4"/>
      <c r="W5622" s="4"/>
      <c r="X5622" s="4"/>
    </row>
    <row r="5623" spans="17:24" x14ac:dyDescent="0.3">
      <c r="Q5623" s="4"/>
      <c r="R5623" s="4"/>
      <c r="S5623" s="4"/>
      <c r="T5623" s="4"/>
      <c r="U5623" s="4"/>
      <c r="V5623" s="4"/>
      <c r="W5623" s="4"/>
      <c r="X5623" s="4"/>
    </row>
    <row r="5624" spans="17:24" x14ac:dyDescent="0.3">
      <c r="Q5624" s="4"/>
      <c r="R5624" s="4"/>
      <c r="S5624" s="4"/>
      <c r="T5624" s="4"/>
      <c r="U5624" s="4"/>
      <c r="V5624" s="4"/>
      <c r="W5624" s="4"/>
      <c r="X5624" s="4"/>
    </row>
    <row r="5625" spans="17:24" x14ac:dyDescent="0.3">
      <c r="Q5625" s="4"/>
      <c r="R5625" s="4"/>
      <c r="S5625" s="4"/>
      <c r="T5625" s="4"/>
      <c r="U5625" s="4"/>
      <c r="V5625" s="4"/>
      <c r="W5625" s="4"/>
      <c r="X5625" s="4"/>
    </row>
    <row r="5626" spans="17:24" x14ac:dyDescent="0.3">
      <c r="Q5626" s="4"/>
      <c r="R5626" s="4"/>
      <c r="S5626" s="4"/>
      <c r="T5626" s="4"/>
      <c r="U5626" s="4"/>
      <c r="V5626" s="4"/>
      <c r="W5626" s="4"/>
      <c r="X5626" s="4"/>
    </row>
    <row r="5627" spans="17:24" x14ac:dyDescent="0.3">
      <c r="Q5627" s="4"/>
      <c r="R5627" s="4"/>
      <c r="S5627" s="4"/>
      <c r="T5627" s="4"/>
      <c r="U5627" s="4"/>
      <c r="V5627" s="4"/>
      <c r="W5627" s="4"/>
      <c r="X5627" s="4"/>
    </row>
    <row r="5628" spans="17:24" x14ac:dyDescent="0.3">
      <c r="Q5628" s="4"/>
      <c r="R5628" s="4"/>
      <c r="S5628" s="4"/>
      <c r="T5628" s="4"/>
      <c r="U5628" s="4"/>
      <c r="V5628" s="4"/>
      <c r="W5628" s="4"/>
      <c r="X5628" s="4"/>
    </row>
    <row r="5629" spans="17:24" x14ac:dyDescent="0.3">
      <c r="Q5629" s="4"/>
      <c r="R5629" s="4"/>
      <c r="S5629" s="4"/>
      <c r="T5629" s="4"/>
      <c r="U5629" s="4"/>
      <c r="V5629" s="4"/>
      <c r="W5629" s="4"/>
      <c r="X5629" s="4"/>
    </row>
    <row r="5630" spans="17:24" x14ac:dyDescent="0.3">
      <c r="Q5630" s="4"/>
      <c r="R5630" s="4"/>
      <c r="S5630" s="4"/>
      <c r="T5630" s="4"/>
      <c r="U5630" s="4"/>
      <c r="V5630" s="4"/>
      <c r="W5630" s="4"/>
      <c r="X5630" s="4"/>
    </row>
    <row r="5631" spans="17:24" x14ac:dyDescent="0.3">
      <c r="Q5631" s="4"/>
      <c r="R5631" s="4"/>
      <c r="S5631" s="4"/>
      <c r="T5631" s="4"/>
      <c r="U5631" s="4"/>
      <c r="V5631" s="4"/>
      <c r="W5631" s="4"/>
      <c r="X5631" s="4"/>
    </row>
    <row r="5632" spans="17:24" x14ac:dyDescent="0.3">
      <c r="Q5632" s="4"/>
      <c r="R5632" s="4"/>
      <c r="S5632" s="4"/>
      <c r="T5632" s="4"/>
      <c r="U5632" s="4"/>
      <c r="V5632" s="4"/>
      <c r="W5632" s="4"/>
      <c r="X5632" s="4"/>
    </row>
    <row r="5633" spans="17:24" x14ac:dyDescent="0.3">
      <c r="Q5633" s="4"/>
      <c r="R5633" s="4"/>
      <c r="S5633" s="4"/>
      <c r="T5633" s="4"/>
      <c r="U5633" s="4"/>
      <c r="V5633" s="4"/>
      <c r="W5633" s="4"/>
      <c r="X5633" s="4"/>
    </row>
    <row r="5634" spans="17:24" x14ac:dyDescent="0.3">
      <c r="Q5634" s="4"/>
      <c r="R5634" s="4"/>
      <c r="S5634" s="4"/>
      <c r="T5634" s="4"/>
      <c r="U5634" s="4"/>
      <c r="V5634" s="4"/>
      <c r="W5634" s="4"/>
      <c r="X5634" s="4"/>
    </row>
    <row r="5635" spans="17:24" x14ac:dyDescent="0.3">
      <c r="Q5635" s="4"/>
      <c r="R5635" s="4"/>
      <c r="S5635" s="4"/>
      <c r="T5635" s="4"/>
      <c r="U5635" s="4"/>
      <c r="V5635" s="4"/>
      <c r="W5635" s="4"/>
      <c r="X5635" s="4"/>
    </row>
    <row r="5636" spans="17:24" x14ac:dyDescent="0.3">
      <c r="Q5636" s="4"/>
      <c r="R5636" s="4"/>
      <c r="S5636" s="4"/>
      <c r="T5636" s="4"/>
      <c r="U5636" s="4"/>
      <c r="V5636" s="4"/>
      <c r="W5636" s="4"/>
      <c r="X5636" s="4"/>
    </row>
    <row r="5637" spans="17:24" x14ac:dyDescent="0.3">
      <c r="Q5637" s="4"/>
      <c r="R5637" s="4"/>
      <c r="S5637" s="4"/>
      <c r="T5637" s="4"/>
      <c r="U5637" s="4"/>
      <c r="V5637" s="4"/>
      <c r="W5637" s="4"/>
      <c r="X5637" s="4"/>
    </row>
    <row r="5638" spans="17:24" x14ac:dyDescent="0.3">
      <c r="Q5638" s="4"/>
      <c r="R5638" s="4"/>
      <c r="S5638" s="4"/>
      <c r="T5638" s="4"/>
      <c r="U5638" s="4"/>
      <c r="V5638" s="4"/>
      <c r="W5638" s="4"/>
      <c r="X5638" s="4"/>
    </row>
    <row r="5639" spans="17:24" x14ac:dyDescent="0.3">
      <c r="Q5639" s="4"/>
      <c r="R5639" s="4"/>
      <c r="S5639" s="4"/>
      <c r="T5639" s="4"/>
      <c r="U5639" s="4"/>
      <c r="V5639" s="4"/>
      <c r="W5639" s="4"/>
      <c r="X5639" s="4"/>
    </row>
    <row r="5640" spans="17:24" x14ac:dyDescent="0.3">
      <c r="Q5640" s="4"/>
      <c r="R5640" s="4"/>
      <c r="S5640" s="4"/>
      <c r="T5640" s="4"/>
      <c r="U5640" s="4"/>
      <c r="V5640" s="4"/>
      <c r="W5640" s="4"/>
      <c r="X5640" s="4"/>
    </row>
    <row r="5641" spans="17:24" x14ac:dyDescent="0.3">
      <c r="Q5641" s="4"/>
      <c r="R5641" s="4"/>
      <c r="S5641" s="4"/>
      <c r="T5641" s="4"/>
      <c r="U5641" s="4"/>
      <c r="V5641" s="4"/>
      <c r="W5641" s="4"/>
      <c r="X5641" s="4"/>
    </row>
    <row r="5642" spans="17:24" x14ac:dyDescent="0.3">
      <c r="Q5642" s="4"/>
      <c r="R5642" s="4"/>
      <c r="S5642" s="4"/>
      <c r="T5642" s="4"/>
      <c r="U5642" s="4"/>
      <c r="V5642" s="4"/>
      <c r="W5642" s="4"/>
      <c r="X5642" s="4"/>
    </row>
    <row r="5643" spans="17:24" x14ac:dyDescent="0.3">
      <c r="Q5643" s="4"/>
      <c r="R5643" s="4"/>
      <c r="S5643" s="4"/>
      <c r="T5643" s="4"/>
      <c r="U5643" s="4"/>
      <c r="V5643" s="4"/>
      <c r="W5643" s="4"/>
      <c r="X5643" s="4"/>
    </row>
    <row r="5644" spans="17:24" x14ac:dyDescent="0.3">
      <c r="Q5644" s="4"/>
      <c r="R5644" s="4"/>
      <c r="S5644" s="4"/>
      <c r="T5644" s="4"/>
      <c r="U5644" s="4"/>
      <c r="V5644" s="4"/>
      <c r="W5644" s="4"/>
      <c r="X5644" s="4"/>
    </row>
    <row r="5645" spans="17:24" x14ac:dyDescent="0.3">
      <c r="Q5645" s="4"/>
      <c r="R5645" s="4"/>
      <c r="S5645" s="4"/>
      <c r="T5645" s="4"/>
      <c r="U5645" s="4"/>
      <c r="V5645" s="4"/>
      <c r="W5645" s="4"/>
      <c r="X5645" s="4"/>
    </row>
    <row r="5646" spans="17:24" x14ac:dyDescent="0.3">
      <c r="Q5646" s="4"/>
      <c r="R5646" s="4"/>
      <c r="S5646" s="4"/>
      <c r="T5646" s="4"/>
      <c r="U5646" s="4"/>
      <c r="V5646" s="4"/>
      <c r="W5646" s="4"/>
      <c r="X5646" s="4"/>
    </row>
    <row r="5647" spans="17:24" x14ac:dyDescent="0.3">
      <c r="Q5647" s="4"/>
      <c r="R5647" s="4"/>
      <c r="S5647" s="4"/>
      <c r="T5647" s="4"/>
      <c r="U5647" s="4"/>
      <c r="V5647" s="4"/>
      <c r="W5647" s="4"/>
      <c r="X5647" s="4"/>
    </row>
    <row r="5648" spans="17:24" x14ac:dyDescent="0.3">
      <c r="Q5648" s="4"/>
      <c r="R5648" s="4"/>
      <c r="S5648" s="4"/>
      <c r="T5648" s="4"/>
      <c r="U5648" s="4"/>
      <c r="V5648" s="4"/>
      <c r="W5648" s="4"/>
      <c r="X5648" s="4"/>
    </row>
    <row r="5649" spans="17:24" x14ac:dyDescent="0.3">
      <c r="Q5649" s="4"/>
      <c r="R5649" s="4"/>
      <c r="S5649" s="4"/>
      <c r="T5649" s="4"/>
      <c r="U5649" s="4"/>
      <c r="V5649" s="4"/>
      <c r="W5649" s="4"/>
      <c r="X5649" s="4"/>
    </row>
    <row r="5650" spans="17:24" x14ac:dyDescent="0.3">
      <c r="Q5650" s="4"/>
      <c r="R5650" s="4"/>
      <c r="S5650" s="4"/>
      <c r="T5650" s="4"/>
      <c r="U5650" s="4"/>
      <c r="V5650" s="4"/>
      <c r="W5650" s="4"/>
      <c r="X5650" s="4"/>
    </row>
    <row r="5651" spans="17:24" x14ac:dyDescent="0.3">
      <c r="Q5651" s="4"/>
      <c r="R5651" s="4"/>
      <c r="S5651" s="4"/>
      <c r="T5651" s="4"/>
      <c r="U5651" s="4"/>
      <c r="V5651" s="4"/>
      <c r="W5651" s="4"/>
      <c r="X5651" s="4"/>
    </row>
    <row r="5652" spans="17:24" x14ac:dyDescent="0.3">
      <c r="Q5652" s="4"/>
      <c r="R5652" s="4"/>
      <c r="S5652" s="4"/>
      <c r="T5652" s="4"/>
      <c r="U5652" s="4"/>
      <c r="V5652" s="4"/>
      <c r="W5652" s="4"/>
      <c r="X5652" s="4"/>
    </row>
    <row r="5653" spans="17:24" x14ac:dyDescent="0.3">
      <c r="Q5653" s="4"/>
      <c r="R5653" s="4"/>
      <c r="S5653" s="4"/>
      <c r="T5653" s="4"/>
      <c r="U5653" s="4"/>
      <c r="V5653" s="4"/>
      <c r="W5653" s="4"/>
      <c r="X5653" s="4"/>
    </row>
    <row r="5654" spans="17:24" x14ac:dyDescent="0.3">
      <c r="Q5654" s="4"/>
      <c r="R5654" s="4"/>
      <c r="S5654" s="4"/>
      <c r="T5654" s="4"/>
      <c r="U5654" s="4"/>
      <c r="V5654" s="4"/>
      <c r="W5654" s="4"/>
      <c r="X5654" s="4"/>
    </row>
    <row r="5655" spans="17:24" x14ac:dyDescent="0.3">
      <c r="Q5655" s="4"/>
      <c r="R5655" s="4"/>
      <c r="S5655" s="4"/>
      <c r="T5655" s="4"/>
      <c r="U5655" s="4"/>
      <c r="V5655" s="4"/>
      <c r="W5655" s="4"/>
      <c r="X5655" s="4"/>
    </row>
    <row r="5656" spans="17:24" x14ac:dyDescent="0.3">
      <c r="Q5656" s="4"/>
      <c r="R5656" s="4"/>
      <c r="S5656" s="4"/>
      <c r="T5656" s="4"/>
      <c r="U5656" s="4"/>
      <c r="V5656" s="4"/>
      <c r="W5656" s="4"/>
      <c r="X5656" s="4"/>
    </row>
    <row r="5657" spans="17:24" x14ac:dyDescent="0.3">
      <c r="Q5657" s="4"/>
      <c r="R5657" s="4"/>
      <c r="S5657" s="4"/>
      <c r="T5657" s="4"/>
      <c r="U5657" s="4"/>
      <c r="V5657" s="4"/>
      <c r="W5657" s="4"/>
      <c r="X5657" s="4"/>
    </row>
    <row r="5658" spans="17:24" x14ac:dyDescent="0.3">
      <c r="Q5658" s="4"/>
      <c r="R5658" s="4"/>
      <c r="S5658" s="4"/>
      <c r="T5658" s="4"/>
      <c r="U5658" s="4"/>
      <c r="V5658" s="4"/>
      <c r="W5658" s="4"/>
      <c r="X5658" s="4"/>
    </row>
    <row r="5659" spans="17:24" x14ac:dyDescent="0.3">
      <c r="Q5659" s="4"/>
      <c r="R5659" s="4"/>
      <c r="S5659" s="4"/>
      <c r="T5659" s="4"/>
      <c r="U5659" s="4"/>
      <c r="V5659" s="4"/>
      <c r="W5659" s="4"/>
      <c r="X5659" s="4"/>
    </row>
    <row r="5660" spans="17:24" x14ac:dyDescent="0.3">
      <c r="Q5660" s="4"/>
      <c r="R5660" s="4"/>
      <c r="S5660" s="4"/>
      <c r="T5660" s="4"/>
      <c r="U5660" s="4"/>
      <c r="V5660" s="4"/>
      <c r="W5660" s="4"/>
      <c r="X5660" s="4"/>
    </row>
    <row r="5661" spans="17:24" x14ac:dyDescent="0.3">
      <c r="Q5661" s="4"/>
      <c r="R5661" s="4"/>
      <c r="S5661" s="4"/>
      <c r="T5661" s="4"/>
      <c r="U5661" s="4"/>
      <c r="V5661" s="4"/>
      <c r="W5661" s="4"/>
      <c r="X5661" s="4"/>
    </row>
    <row r="5662" spans="17:24" x14ac:dyDescent="0.3">
      <c r="Q5662" s="4"/>
      <c r="R5662" s="4"/>
      <c r="S5662" s="4"/>
      <c r="T5662" s="4"/>
      <c r="U5662" s="4"/>
      <c r="V5662" s="4"/>
      <c r="W5662" s="4"/>
      <c r="X5662" s="4"/>
    </row>
    <row r="5663" spans="17:24" x14ac:dyDescent="0.3">
      <c r="Q5663" s="4"/>
      <c r="R5663" s="4"/>
      <c r="S5663" s="4"/>
      <c r="T5663" s="4"/>
      <c r="U5663" s="4"/>
      <c r="V5663" s="4"/>
      <c r="W5663" s="4"/>
      <c r="X5663" s="4"/>
    </row>
    <row r="5664" spans="17:24" x14ac:dyDescent="0.3">
      <c r="Q5664" s="4"/>
      <c r="R5664" s="4"/>
      <c r="S5664" s="4"/>
      <c r="T5664" s="4"/>
      <c r="U5664" s="4"/>
      <c r="V5664" s="4"/>
      <c r="W5664" s="4"/>
      <c r="X5664" s="4"/>
    </row>
    <row r="5665" spans="17:24" x14ac:dyDescent="0.3">
      <c r="Q5665" s="4"/>
      <c r="R5665" s="4"/>
      <c r="S5665" s="4"/>
      <c r="T5665" s="4"/>
      <c r="U5665" s="4"/>
      <c r="V5665" s="4"/>
      <c r="W5665" s="4"/>
      <c r="X5665" s="4"/>
    </row>
    <row r="5666" spans="17:24" x14ac:dyDescent="0.3">
      <c r="Q5666" s="4"/>
      <c r="R5666" s="4"/>
      <c r="S5666" s="4"/>
      <c r="T5666" s="4"/>
      <c r="U5666" s="4"/>
      <c r="V5666" s="4"/>
      <c r="W5666" s="4"/>
      <c r="X5666" s="4"/>
    </row>
    <row r="5667" spans="17:24" x14ac:dyDescent="0.3">
      <c r="Q5667" s="4"/>
      <c r="R5667" s="4"/>
      <c r="S5667" s="4"/>
      <c r="T5667" s="4"/>
      <c r="U5667" s="4"/>
      <c r="V5667" s="4"/>
      <c r="W5667" s="4"/>
      <c r="X5667" s="4"/>
    </row>
    <row r="5668" spans="17:24" x14ac:dyDescent="0.3">
      <c r="Q5668" s="4"/>
      <c r="R5668" s="4"/>
      <c r="S5668" s="4"/>
      <c r="T5668" s="4"/>
      <c r="U5668" s="4"/>
      <c r="V5668" s="4"/>
      <c r="W5668" s="4"/>
      <c r="X5668" s="4"/>
    </row>
    <row r="5669" spans="17:24" x14ac:dyDescent="0.3">
      <c r="Q5669" s="4"/>
      <c r="R5669" s="4"/>
      <c r="S5669" s="4"/>
      <c r="T5669" s="4"/>
      <c r="U5669" s="4"/>
      <c r="V5669" s="4"/>
      <c r="W5669" s="4"/>
      <c r="X5669" s="4"/>
    </row>
    <row r="5670" spans="17:24" x14ac:dyDescent="0.3">
      <c r="Q5670" s="4"/>
      <c r="R5670" s="4"/>
      <c r="S5670" s="4"/>
      <c r="T5670" s="4"/>
      <c r="U5670" s="4"/>
      <c r="V5670" s="4"/>
      <c r="W5670" s="4"/>
      <c r="X5670" s="4"/>
    </row>
    <row r="5671" spans="17:24" x14ac:dyDescent="0.3">
      <c r="Q5671" s="4"/>
      <c r="R5671" s="4"/>
      <c r="S5671" s="4"/>
      <c r="T5671" s="4"/>
      <c r="U5671" s="4"/>
      <c r="V5671" s="4"/>
      <c r="W5671" s="4"/>
      <c r="X5671" s="4"/>
    </row>
    <row r="5672" spans="17:24" x14ac:dyDescent="0.3">
      <c r="Q5672" s="4"/>
      <c r="R5672" s="4"/>
      <c r="S5672" s="4"/>
      <c r="T5672" s="4"/>
      <c r="U5672" s="4"/>
      <c r="V5672" s="4"/>
      <c r="W5672" s="4"/>
      <c r="X5672" s="4"/>
    </row>
    <row r="5673" spans="17:24" x14ac:dyDescent="0.3">
      <c r="Q5673" s="4"/>
      <c r="R5673" s="4"/>
      <c r="S5673" s="4"/>
      <c r="T5673" s="4"/>
      <c r="U5673" s="4"/>
      <c r="V5673" s="4"/>
      <c r="W5673" s="4"/>
      <c r="X5673" s="4"/>
    </row>
    <row r="5674" spans="17:24" x14ac:dyDescent="0.3">
      <c r="Q5674" s="4"/>
      <c r="R5674" s="4"/>
      <c r="S5674" s="4"/>
      <c r="T5674" s="4"/>
      <c r="U5674" s="4"/>
      <c r="V5674" s="4"/>
      <c r="W5674" s="4"/>
      <c r="X5674" s="4"/>
    </row>
    <row r="5675" spans="17:24" x14ac:dyDescent="0.3">
      <c r="Q5675" s="4"/>
      <c r="R5675" s="4"/>
      <c r="S5675" s="4"/>
      <c r="T5675" s="4"/>
      <c r="U5675" s="4"/>
      <c r="V5675" s="4"/>
      <c r="W5675" s="4"/>
      <c r="X5675" s="4"/>
    </row>
    <row r="5676" spans="17:24" x14ac:dyDescent="0.3">
      <c r="Q5676" s="4"/>
      <c r="R5676" s="4"/>
      <c r="S5676" s="4"/>
      <c r="T5676" s="4"/>
      <c r="U5676" s="4"/>
      <c r="V5676" s="4"/>
      <c r="W5676" s="4"/>
      <c r="X5676" s="4"/>
    </row>
    <row r="5677" spans="17:24" x14ac:dyDescent="0.3">
      <c r="Q5677" s="4"/>
      <c r="R5677" s="4"/>
      <c r="S5677" s="4"/>
      <c r="T5677" s="4"/>
      <c r="U5677" s="4"/>
      <c r="V5677" s="4"/>
      <c r="W5677" s="4"/>
      <c r="X5677" s="4"/>
    </row>
    <row r="5678" spans="17:24" x14ac:dyDescent="0.3">
      <c r="Q5678" s="4"/>
      <c r="R5678" s="4"/>
      <c r="S5678" s="4"/>
      <c r="T5678" s="4"/>
      <c r="U5678" s="4"/>
      <c r="V5678" s="4"/>
      <c r="W5678" s="4"/>
      <c r="X5678" s="4"/>
    </row>
    <row r="5679" spans="17:24" x14ac:dyDescent="0.3">
      <c r="Q5679" s="4"/>
      <c r="R5679" s="4"/>
      <c r="S5679" s="4"/>
      <c r="T5679" s="4"/>
      <c r="U5679" s="4"/>
      <c r="V5679" s="4"/>
      <c r="W5679" s="4"/>
      <c r="X5679" s="4"/>
    </row>
    <row r="5680" spans="17:24" x14ac:dyDescent="0.3">
      <c r="Q5680" s="4"/>
      <c r="R5680" s="4"/>
      <c r="S5680" s="4"/>
      <c r="T5680" s="4"/>
      <c r="U5680" s="4"/>
      <c r="V5680" s="4"/>
      <c r="W5680" s="4"/>
      <c r="X5680" s="4"/>
    </row>
    <row r="5681" spans="17:24" x14ac:dyDescent="0.3">
      <c r="Q5681" s="4"/>
      <c r="R5681" s="4"/>
      <c r="S5681" s="4"/>
      <c r="T5681" s="4"/>
      <c r="U5681" s="4"/>
      <c r="V5681" s="4"/>
      <c r="W5681" s="4"/>
      <c r="X5681" s="4"/>
    </row>
    <row r="5682" spans="17:24" x14ac:dyDescent="0.3">
      <c r="Q5682" s="4"/>
      <c r="R5682" s="4"/>
      <c r="S5682" s="4"/>
      <c r="T5682" s="4"/>
      <c r="U5682" s="4"/>
      <c r="V5682" s="4"/>
      <c r="W5682" s="4"/>
      <c r="X5682" s="4"/>
    </row>
    <row r="5683" spans="17:24" x14ac:dyDescent="0.3">
      <c r="Q5683" s="4"/>
      <c r="R5683" s="4"/>
      <c r="S5683" s="4"/>
      <c r="T5683" s="4"/>
      <c r="U5683" s="4"/>
      <c r="V5683" s="4"/>
      <c r="W5683" s="4"/>
      <c r="X5683" s="4"/>
    </row>
    <row r="5684" spans="17:24" x14ac:dyDescent="0.3">
      <c r="Q5684" s="4"/>
      <c r="R5684" s="4"/>
      <c r="S5684" s="4"/>
      <c r="T5684" s="4"/>
      <c r="U5684" s="4"/>
      <c r="V5684" s="4"/>
      <c r="W5684" s="4"/>
      <c r="X5684" s="4"/>
    </row>
    <row r="5685" spans="17:24" x14ac:dyDescent="0.3">
      <c r="Q5685" s="4"/>
      <c r="R5685" s="4"/>
      <c r="S5685" s="4"/>
      <c r="T5685" s="4"/>
      <c r="U5685" s="4"/>
      <c r="V5685" s="4"/>
      <c r="W5685" s="4"/>
      <c r="X5685" s="4"/>
    </row>
    <row r="5686" spans="17:24" x14ac:dyDescent="0.3">
      <c r="Q5686" s="4"/>
      <c r="R5686" s="4"/>
      <c r="S5686" s="4"/>
      <c r="T5686" s="4"/>
      <c r="U5686" s="4"/>
      <c r="V5686" s="4"/>
      <c r="W5686" s="4"/>
      <c r="X5686" s="4"/>
    </row>
    <row r="5687" spans="17:24" x14ac:dyDescent="0.3">
      <c r="Q5687" s="4"/>
      <c r="R5687" s="4"/>
      <c r="S5687" s="4"/>
      <c r="T5687" s="4"/>
      <c r="U5687" s="4"/>
      <c r="V5687" s="4"/>
      <c r="W5687" s="4"/>
      <c r="X5687" s="4"/>
    </row>
    <row r="5688" spans="17:24" x14ac:dyDescent="0.3">
      <c r="Q5688" s="4"/>
      <c r="R5688" s="4"/>
      <c r="S5688" s="4"/>
      <c r="T5688" s="4"/>
      <c r="U5688" s="4"/>
      <c r="V5688" s="4"/>
      <c r="W5688" s="4"/>
      <c r="X5688" s="4"/>
    </row>
    <row r="5689" spans="17:24" x14ac:dyDescent="0.3">
      <c r="Q5689" s="4"/>
      <c r="R5689" s="4"/>
      <c r="S5689" s="4"/>
      <c r="T5689" s="4"/>
      <c r="U5689" s="4"/>
      <c r="V5689" s="4"/>
      <c r="W5689" s="4"/>
      <c r="X5689" s="4"/>
    </row>
    <row r="5690" spans="17:24" x14ac:dyDescent="0.3">
      <c r="Q5690" s="4"/>
      <c r="R5690" s="4"/>
      <c r="S5690" s="4"/>
      <c r="T5690" s="4"/>
      <c r="U5690" s="4"/>
      <c r="V5690" s="4"/>
      <c r="W5690" s="4"/>
      <c r="X5690" s="4"/>
    </row>
    <row r="5691" spans="17:24" x14ac:dyDescent="0.3">
      <c r="Q5691" s="4"/>
      <c r="R5691" s="4"/>
      <c r="S5691" s="4"/>
      <c r="T5691" s="4"/>
      <c r="U5691" s="4"/>
      <c r="V5691" s="4"/>
      <c r="W5691" s="4"/>
      <c r="X5691" s="4"/>
    </row>
    <row r="5692" spans="17:24" x14ac:dyDescent="0.3">
      <c r="Q5692" s="4"/>
      <c r="R5692" s="4"/>
      <c r="S5692" s="4"/>
      <c r="T5692" s="4"/>
      <c r="U5692" s="4"/>
      <c r="V5692" s="4"/>
      <c r="W5692" s="4"/>
      <c r="X5692" s="4"/>
    </row>
    <row r="5693" spans="17:24" x14ac:dyDescent="0.3">
      <c r="Q5693" s="4"/>
      <c r="R5693" s="4"/>
      <c r="S5693" s="4"/>
      <c r="T5693" s="4"/>
      <c r="U5693" s="4"/>
      <c r="V5693" s="4"/>
      <c r="W5693" s="4"/>
      <c r="X5693" s="4"/>
    </row>
    <row r="5694" spans="17:24" x14ac:dyDescent="0.3">
      <c r="Q5694" s="4"/>
      <c r="R5694" s="4"/>
      <c r="S5694" s="4"/>
      <c r="T5694" s="4"/>
      <c r="U5694" s="4"/>
      <c r="V5694" s="4"/>
      <c r="W5694" s="4"/>
      <c r="X5694" s="4"/>
    </row>
    <row r="5695" spans="17:24" x14ac:dyDescent="0.3">
      <c r="Q5695" s="4"/>
      <c r="R5695" s="4"/>
      <c r="S5695" s="4"/>
      <c r="T5695" s="4"/>
      <c r="U5695" s="4"/>
      <c r="V5695" s="4"/>
      <c r="W5695" s="4"/>
      <c r="X5695" s="4"/>
    </row>
    <row r="5696" spans="17:24" x14ac:dyDescent="0.3">
      <c r="Q5696" s="4"/>
      <c r="R5696" s="4"/>
      <c r="S5696" s="4"/>
      <c r="T5696" s="4"/>
      <c r="U5696" s="4"/>
      <c r="V5696" s="4"/>
      <c r="W5696" s="4"/>
      <c r="X5696" s="4"/>
    </row>
    <row r="5697" spans="17:24" x14ac:dyDescent="0.3">
      <c r="Q5697" s="4"/>
      <c r="R5697" s="4"/>
      <c r="S5697" s="4"/>
      <c r="T5697" s="4"/>
      <c r="U5697" s="4"/>
      <c r="V5697" s="4"/>
      <c r="W5697" s="4"/>
      <c r="X5697" s="4"/>
    </row>
    <row r="5698" spans="17:24" x14ac:dyDescent="0.3">
      <c r="Q5698" s="4"/>
      <c r="R5698" s="4"/>
      <c r="S5698" s="4"/>
      <c r="T5698" s="4"/>
      <c r="U5698" s="4"/>
      <c r="V5698" s="4"/>
      <c r="W5698" s="4"/>
      <c r="X5698" s="4"/>
    </row>
    <row r="5699" spans="17:24" x14ac:dyDescent="0.3">
      <c r="Q5699" s="4"/>
      <c r="R5699" s="4"/>
      <c r="S5699" s="4"/>
      <c r="T5699" s="4"/>
      <c r="U5699" s="4"/>
      <c r="V5699" s="4"/>
      <c r="W5699" s="4"/>
      <c r="X5699" s="4"/>
    </row>
    <row r="5700" spans="17:24" x14ac:dyDescent="0.3">
      <c r="Q5700" s="4"/>
      <c r="R5700" s="4"/>
      <c r="S5700" s="4"/>
      <c r="T5700" s="4"/>
      <c r="U5700" s="4"/>
      <c r="V5700" s="4"/>
      <c r="W5700" s="4"/>
      <c r="X5700" s="4"/>
    </row>
    <row r="5701" spans="17:24" x14ac:dyDescent="0.3">
      <c r="Q5701" s="4"/>
      <c r="R5701" s="4"/>
      <c r="S5701" s="4"/>
      <c r="T5701" s="4"/>
      <c r="U5701" s="4"/>
      <c r="V5701" s="4"/>
      <c r="W5701" s="4"/>
      <c r="X5701" s="4"/>
    </row>
    <row r="5702" spans="17:24" x14ac:dyDescent="0.3">
      <c r="Q5702" s="4"/>
      <c r="R5702" s="4"/>
      <c r="S5702" s="4"/>
      <c r="T5702" s="4"/>
      <c r="U5702" s="4"/>
      <c r="V5702" s="4"/>
      <c r="W5702" s="4"/>
      <c r="X5702" s="4"/>
    </row>
    <row r="5703" spans="17:24" x14ac:dyDescent="0.3">
      <c r="Q5703" s="4"/>
      <c r="R5703" s="4"/>
      <c r="S5703" s="4"/>
      <c r="T5703" s="4"/>
      <c r="U5703" s="4"/>
      <c r="V5703" s="4"/>
      <c r="W5703" s="4"/>
      <c r="X5703" s="4"/>
    </row>
    <row r="5704" spans="17:24" x14ac:dyDescent="0.3">
      <c r="Q5704" s="4"/>
      <c r="R5704" s="4"/>
      <c r="S5704" s="4"/>
      <c r="T5704" s="4"/>
      <c r="U5704" s="4"/>
      <c r="V5704" s="4"/>
      <c r="W5704" s="4"/>
      <c r="X5704" s="4"/>
    </row>
    <row r="5705" spans="17:24" x14ac:dyDescent="0.3">
      <c r="Q5705" s="4"/>
      <c r="R5705" s="4"/>
      <c r="S5705" s="4"/>
      <c r="T5705" s="4"/>
      <c r="U5705" s="4"/>
      <c r="V5705" s="4"/>
      <c r="W5705" s="4"/>
      <c r="X5705" s="4"/>
    </row>
    <row r="5706" spans="17:24" x14ac:dyDescent="0.3">
      <c r="Q5706" s="4"/>
      <c r="R5706" s="4"/>
      <c r="S5706" s="4"/>
      <c r="T5706" s="4"/>
      <c r="U5706" s="4"/>
      <c r="V5706" s="4"/>
      <c r="W5706" s="4"/>
      <c r="X5706" s="4"/>
    </row>
    <row r="5707" spans="17:24" x14ac:dyDescent="0.3">
      <c r="Q5707" s="4"/>
      <c r="R5707" s="4"/>
      <c r="S5707" s="4"/>
      <c r="T5707" s="4"/>
      <c r="U5707" s="4"/>
      <c r="V5707" s="4"/>
      <c r="W5707" s="4"/>
      <c r="X5707" s="4"/>
    </row>
    <row r="5708" spans="17:24" x14ac:dyDescent="0.3">
      <c r="Q5708" s="4"/>
      <c r="R5708" s="4"/>
      <c r="S5708" s="4"/>
      <c r="T5708" s="4"/>
      <c r="U5708" s="4"/>
      <c r="V5708" s="4"/>
      <c r="W5708" s="4"/>
      <c r="X5708" s="4"/>
    </row>
    <row r="5709" spans="17:24" x14ac:dyDescent="0.3">
      <c r="Q5709" s="4"/>
      <c r="R5709" s="4"/>
      <c r="S5709" s="4"/>
      <c r="T5709" s="4"/>
      <c r="U5709" s="4"/>
      <c r="V5709" s="4"/>
      <c r="W5709" s="4"/>
      <c r="X5709" s="4"/>
    </row>
    <row r="5710" spans="17:24" x14ac:dyDescent="0.3">
      <c r="Q5710" s="4"/>
      <c r="R5710" s="4"/>
      <c r="S5710" s="4"/>
      <c r="T5710" s="4"/>
      <c r="U5710" s="4"/>
      <c r="V5710" s="4"/>
      <c r="W5710" s="4"/>
      <c r="X5710" s="4"/>
    </row>
    <row r="5711" spans="17:24" x14ac:dyDescent="0.3">
      <c r="Q5711" s="4"/>
      <c r="R5711" s="4"/>
      <c r="S5711" s="4"/>
      <c r="T5711" s="4"/>
      <c r="U5711" s="4"/>
      <c r="V5711" s="4"/>
      <c r="W5711" s="4"/>
      <c r="X5711" s="4"/>
    </row>
    <row r="5712" spans="17:24" x14ac:dyDescent="0.3">
      <c r="Q5712" s="4"/>
      <c r="R5712" s="4"/>
      <c r="S5712" s="4"/>
      <c r="T5712" s="4"/>
      <c r="U5712" s="4"/>
      <c r="V5712" s="4"/>
      <c r="W5712" s="4"/>
      <c r="X5712" s="4"/>
    </row>
    <row r="5713" spans="17:24" x14ac:dyDescent="0.3">
      <c r="Q5713" s="4"/>
      <c r="R5713" s="4"/>
      <c r="S5713" s="4"/>
      <c r="T5713" s="4"/>
      <c r="U5713" s="4"/>
      <c r="V5713" s="4"/>
      <c r="W5713" s="4"/>
      <c r="X5713" s="4"/>
    </row>
    <row r="5714" spans="17:24" x14ac:dyDescent="0.3">
      <c r="Q5714" s="4"/>
      <c r="R5714" s="4"/>
      <c r="S5714" s="4"/>
      <c r="T5714" s="4"/>
      <c r="U5714" s="4"/>
      <c r="V5714" s="4"/>
      <c r="W5714" s="4"/>
      <c r="X5714" s="4"/>
    </row>
    <row r="5715" spans="17:24" x14ac:dyDescent="0.3">
      <c r="Q5715" s="4"/>
      <c r="R5715" s="4"/>
      <c r="S5715" s="4"/>
      <c r="T5715" s="4"/>
      <c r="U5715" s="4"/>
      <c r="V5715" s="4"/>
      <c r="W5715" s="4"/>
      <c r="X5715" s="4"/>
    </row>
    <row r="5716" spans="17:24" x14ac:dyDescent="0.3">
      <c r="Q5716" s="4"/>
      <c r="R5716" s="4"/>
      <c r="S5716" s="4"/>
      <c r="T5716" s="4"/>
      <c r="U5716" s="4"/>
      <c r="V5716" s="4"/>
      <c r="W5716" s="4"/>
      <c r="X5716" s="4"/>
    </row>
    <row r="5717" spans="17:24" x14ac:dyDescent="0.3">
      <c r="Q5717" s="4"/>
      <c r="R5717" s="4"/>
      <c r="S5717" s="4"/>
      <c r="T5717" s="4"/>
      <c r="U5717" s="4"/>
      <c r="V5717" s="4"/>
      <c r="W5717" s="4"/>
      <c r="X5717" s="4"/>
    </row>
    <row r="5718" spans="17:24" x14ac:dyDescent="0.3">
      <c r="Q5718" s="4"/>
      <c r="R5718" s="4"/>
      <c r="S5718" s="4"/>
      <c r="T5718" s="4"/>
      <c r="U5718" s="4"/>
      <c r="V5718" s="4"/>
      <c r="W5718" s="4"/>
      <c r="X5718" s="4"/>
    </row>
    <row r="5719" spans="17:24" x14ac:dyDescent="0.3">
      <c r="Q5719" s="4"/>
      <c r="R5719" s="4"/>
      <c r="S5719" s="4"/>
      <c r="T5719" s="4"/>
      <c r="U5719" s="4"/>
      <c r="V5719" s="4"/>
      <c r="W5719" s="4"/>
      <c r="X5719" s="4"/>
    </row>
    <row r="5720" spans="17:24" x14ac:dyDescent="0.3">
      <c r="Q5720" s="4"/>
      <c r="R5720" s="4"/>
      <c r="S5720" s="4"/>
      <c r="T5720" s="4"/>
      <c r="U5720" s="4"/>
      <c r="V5720" s="4"/>
      <c r="W5720" s="4"/>
      <c r="X5720" s="4"/>
    </row>
    <row r="5721" spans="17:24" x14ac:dyDescent="0.3">
      <c r="Q5721" s="4"/>
      <c r="R5721" s="4"/>
      <c r="S5721" s="4"/>
      <c r="T5721" s="4"/>
      <c r="U5721" s="4"/>
      <c r="V5721" s="4"/>
      <c r="W5721" s="4"/>
      <c r="X5721" s="4"/>
    </row>
    <row r="5722" spans="17:24" x14ac:dyDescent="0.3">
      <c r="Q5722" s="4"/>
      <c r="R5722" s="4"/>
      <c r="S5722" s="4"/>
      <c r="T5722" s="4"/>
      <c r="U5722" s="4"/>
      <c r="V5722" s="4"/>
      <c r="W5722" s="4"/>
      <c r="X5722" s="4"/>
    </row>
    <row r="5723" spans="17:24" x14ac:dyDescent="0.3">
      <c r="Q5723" s="4"/>
      <c r="R5723" s="4"/>
      <c r="S5723" s="4"/>
      <c r="T5723" s="4"/>
      <c r="U5723" s="4"/>
      <c r="V5723" s="4"/>
      <c r="W5723" s="4"/>
      <c r="X5723" s="4"/>
    </row>
    <row r="5724" spans="17:24" x14ac:dyDescent="0.3">
      <c r="Q5724" s="4"/>
      <c r="R5724" s="4"/>
      <c r="S5724" s="4"/>
      <c r="T5724" s="4"/>
      <c r="U5724" s="4"/>
      <c r="V5724" s="4"/>
      <c r="W5724" s="4"/>
      <c r="X5724" s="4"/>
    </row>
    <row r="5725" spans="17:24" x14ac:dyDescent="0.3">
      <c r="Q5725" s="4"/>
      <c r="R5725" s="4"/>
      <c r="S5725" s="4"/>
      <c r="T5725" s="4"/>
      <c r="U5725" s="4"/>
      <c r="V5725" s="4"/>
      <c r="W5725" s="4"/>
      <c r="X5725" s="4"/>
    </row>
    <row r="5726" spans="17:24" x14ac:dyDescent="0.3">
      <c r="Q5726" s="4"/>
      <c r="R5726" s="4"/>
      <c r="S5726" s="4"/>
      <c r="T5726" s="4"/>
      <c r="U5726" s="4"/>
      <c r="V5726" s="4"/>
      <c r="W5726" s="4"/>
      <c r="X5726" s="4"/>
    </row>
    <row r="5727" spans="17:24" x14ac:dyDescent="0.3">
      <c r="Q5727" s="4"/>
      <c r="R5727" s="4"/>
      <c r="S5727" s="4"/>
      <c r="T5727" s="4"/>
      <c r="U5727" s="4"/>
      <c r="V5727" s="4"/>
      <c r="W5727" s="4"/>
      <c r="X5727" s="4"/>
    </row>
    <row r="5728" spans="17:24" x14ac:dyDescent="0.3">
      <c r="Q5728" s="4"/>
      <c r="R5728" s="4"/>
      <c r="S5728" s="4"/>
      <c r="T5728" s="4"/>
      <c r="U5728" s="4"/>
      <c r="V5728" s="4"/>
      <c r="W5728" s="4"/>
      <c r="X5728" s="4"/>
    </row>
    <row r="5729" spans="17:24" x14ac:dyDescent="0.3">
      <c r="Q5729" s="4"/>
      <c r="R5729" s="4"/>
      <c r="S5729" s="4"/>
      <c r="T5729" s="4"/>
      <c r="U5729" s="4"/>
      <c r="V5729" s="4"/>
      <c r="W5729" s="4"/>
      <c r="X5729" s="4"/>
    </row>
    <row r="5730" spans="17:24" x14ac:dyDescent="0.3">
      <c r="Q5730" s="4"/>
      <c r="R5730" s="4"/>
      <c r="S5730" s="4"/>
      <c r="T5730" s="4"/>
      <c r="U5730" s="4"/>
      <c r="V5730" s="4"/>
      <c r="W5730" s="4"/>
      <c r="X5730" s="4"/>
    </row>
    <row r="5731" spans="17:24" x14ac:dyDescent="0.3">
      <c r="Q5731" s="4"/>
      <c r="R5731" s="4"/>
      <c r="S5731" s="4"/>
      <c r="T5731" s="4"/>
      <c r="U5731" s="4"/>
      <c r="V5731" s="4"/>
      <c r="W5731" s="4"/>
      <c r="X5731" s="4"/>
    </row>
    <row r="5732" spans="17:24" x14ac:dyDescent="0.3">
      <c r="Q5732" s="4"/>
      <c r="R5732" s="4"/>
      <c r="S5732" s="4"/>
      <c r="T5732" s="4"/>
      <c r="U5732" s="4"/>
      <c r="V5732" s="4"/>
      <c r="W5732" s="4"/>
      <c r="X5732" s="4"/>
    </row>
    <row r="5733" spans="17:24" x14ac:dyDescent="0.3">
      <c r="Q5733" s="4"/>
      <c r="R5733" s="4"/>
      <c r="S5733" s="4"/>
      <c r="T5733" s="4"/>
      <c r="U5733" s="4"/>
      <c r="V5733" s="4"/>
      <c r="W5733" s="4"/>
      <c r="X5733" s="4"/>
    </row>
    <row r="5734" spans="17:24" x14ac:dyDescent="0.3">
      <c r="Q5734" s="4"/>
      <c r="R5734" s="4"/>
      <c r="S5734" s="4"/>
      <c r="T5734" s="4"/>
      <c r="U5734" s="4"/>
      <c r="V5734" s="4"/>
      <c r="W5734" s="4"/>
      <c r="X5734" s="4"/>
    </row>
    <row r="5735" spans="17:24" x14ac:dyDescent="0.3">
      <c r="Q5735" s="4"/>
      <c r="R5735" s="4"/>
      <c r="S5735" s="4"/>
      <c r="T5735" s="4"/>
      <c r="U5735" s="4"/>
      <c r="V5735" s="4"/>
      <c r="W5735" s="4"/>
      <c r="X5735" s="4"/>
    </row>
    <row r="5736" spans="17:24" x14ac:dyDescent="0.3">
      <c r="Q5736" s="4"/>
      <c r="R5736" s="4"/>
      <c r="S5736" s="4"/>
      <c r="T5736" s="4"/>
      <c r="U5736" s="4"/>
      <c r="V5736" s="4"/>
      <c r="W5736" s="4"/>
      <c r="X5736" s="4"/>
    </row>
    <row r="5737" spans="17:24" x14ac:dyDescent="0.3">
      <c r="Q5737" s="4"/>
      <c r="R5737" s="4"/>
      <c r="S5737" s="4"/>
      <c r="T5737" s="4"/>
      <c r="U5737" s="4"/>
      <c r="V5737" s="4"/>
      <c r="W5737" s="4"/>
      <c r="X5737" s="4"/>
    </row>
    <row r="5738" spans="17:24" x14ac:dyDescent="0.3">
      <c r="Q5738" s="4"/>
      <c r="R5738" s="4"/>
      <c r="S5738" s="4"/>
      <c r="T5738" s="4"/>
      <c r="U5738" s="4"/>
      <c r="V5738" s="4"/>
      <c r="W5738" s="4"/>
      <c r="X5738" s="4"/>
    </row>
    <row r="5739" spans="17:24" x14ac:dyDescent="0.3">
      <c r="Q5739" s="4"/>
      <c r="R5739" s="4"/>
      <c r="S5739" s="4"/>
      <c r="T5739" s="4"/>
      <c r="U5739" s="4"/>
      <c r="V5739" s="4"/>
      <c r="W5739" s="4"/>
      <c r="X5739" s="4"/>
    </row>
    <row r="5740" spans="17:24" x14ac:dyDescent="0.3">
      <c r="Q5740" s="4"/>
      <c r="R5740" s="4"/>
      <c r="S5740" s="4"/>
      <c r="T5740" s="4"/>
      <c r="U5740" s="4"/>
      <c r="V5740" s="4"/>
      <c r="W5740" s="4"/>
      <c r="X5740" s="4"/>
    </row>
    <row r="5741" spans="17:24" x14ac:dyDescent="0.3">
      <c r="Q5741" s="4"/>
      <c r="R5741" s="4"/>
      <c r="S5741" s="4"/>
      <c r="T5741" s="4"/>
      <c r="U5741" s="4"/>
      <c r="V5741" s="4"/>
      <c r="W5741" s="4"/>
      <c r="X5741" s="4"/>
    </row>
    <row r="5742" spans="17:24" x14ac:dyDescent="0.3">
      <c r="Q5742" s="4"/>
      <c r="R5742" s="4"/>
      <c r="S5742" s="4"/>
      <c r="T5742" s="4"/>
      <c r="U5742" s="4"/>
      <c r="V5742" s="4"/>
      <c r="W5742" s="4"/>
      <c r="X5742" s="4"/>
    </row>
    <row r="5743" spans="17:24" x14ac:dyDescent="0.3">
      <c r="Q5743" s="4"/>
      <c r="R5743" s="4"/>
      <c r="S5743" s="4"/>
      <c r="T5743" s="4"/>
      <c r="U5743" s="4"/>
      <c r="V5743" s="4"/>
      <c r="W5743" s="4"/>
      <c r="X5743" s="4"/>
    </row>
    <row r="5744" spans="17:24" x14ac:dyDescent="0.3">
      <c r="Q5744" s="4"/>
      <c r="R5744" s="4"/>
      <c r="S5744" s="4"/>
      <c r="T5744" s="4"/>
      <c r="U5744" s="4"/>
      <c r="V5744" s="4"/>
      <c r="W5744" s="4"/>
      <c r="X5744" s="4"/>
    </row>
    <row r="5745" spans="17:24" x14ac:dyDescent="0.3">
      <c r="Q5745" s="4"/>
      <c r="R5745" s="4"/>
      <c r="S5745" s="4"/>
      <c r="T5745" s="4"/>
      <c r="U5745" s="4"/>
      <c r="V5745" s="4"/>
      <c r="W5745" s="4"/>
      <c r="X5745" s="4"/>
    </row>
    <row r="5746" spans="17:24" x14ac:dyDescent="0.3">
      <c r="Q5746" s="4"/>
      <c r="R5746" s="4"/>
      <c r="S5746" s="4"/>
      <c r="T5746" s="4"/>
      <c r="U5746" s="4"/>
      <c r="V5746" s="4"/>
      <c r="W5746" s="4"/>
      <c r="X5746" s="4"/>
    </row>
    <row r="5747" spans="17:24" x14ac:dyDescent="0.3">
      <c r="Q5747" s="4"/>
      <c r="R5747" s="4"/>
      <c r="S5747" s="4"/>
      <c r="T5747" s="4"/>
      <c r="U5747" s="4"/>
      <c r="V5747" s="4"/>
      <c r="W5747" s="4"/>
      <c r="X5747" s="4"/>
    </row>
    <row r="5748" spans="17:24" x14ac:dyDescent="0.3">
      <c r="Q5748" s="4"/>
      <c r="R5748" s="4"/>
      <c r="S5748" s="4"/>
      <c r="T5748" s="4"/>
      <c r="U5748" s="4"/>
      <c r="V5748" s="4"/>
      <c r="W5748" s="4"/>
      <c r="X5748" s="4"/>
    </row>
    <row r="5749" spans="17:24" x14ac:dyDescent="0.3">
      <c r="Q5749" s="4"/>
      <c r="R5749" s="4"/>
      <c r="S5749" s="4"/>
      <c r="T5749" s="4"/>
      <c r="U5749" s="4"/>
      <c r="V5749" s="4"/>
      <c r="W5749" s="4"/>
      <c r="X5749" s="4"/>
    </row>
    <row r="5750" spans="17:24" x14ac:dyDescent="0.3">
      <c r="Q5750" s="4"/>
      <c r="R5750" s="4"/>
      <c r="S5750" s="4"/>
      <c r="T5750" s="4"/>
      <c r="U5750" s="4"/>
      <c r="V5750" s="4"/>
      <c r="W5750" s="4"/>
      <c r="X5750" s="4"/>
    </row>
    <row r="5751" spans="17:24" x14ac:dyDescent="0.3">
      <c r="Q5751" s="4"/>
      <c r="R5751" s="4"/>
      <c r="S5751" s="4"/>
      <c r="T5751" s="4"/>
      <c r="U5751" s="4"/>
      <c r="V5751" s="4"/>
      <c r="W5751" s="4"/>
      <c r="X5751" s="4"/>
    </row>
    <row r="5752" spans="17:24" x14ac:dyDescent="0.3">
      <c r="Q5752" s="4"/>
      <c r="R5752" s="4"/>
      <c r="S5752" s="4"/>
      <c r="T5752" s="4"/>
      <c r="U5752" s="4"/>
      <c r="V5752" s="4"/>
      <c r="W5752" s="4"/>
      <c r="X5752" s="4"/>
    </row>
    <row r="5753" spans="17:24" x14ac:dyDescent="0.3">
      <c r="Q5753" s="4"/>
      <c r="R5753" s="4"/>
      <c r="S5753" s="4"/>
      <c r="T5753" s="4"/>
      <c r="U5753" s="4"/>
      <c r="V5753" s="4"/>
      <c r="W5753" s="4"/>
      <c r="X5753" s="4"/>
    </row>
    <row r="5754" spans="17:24" x14ac:dyDescent="0.3">
      <c r="Q5754" s="4"/>
      <c r="R5754" s="4"/>
      <c r="S5754" s="4"/>
      <c r="T5754" s="4"/>
      <c r="U5754" s="4"/>
      <c r="V5754" s="4"/>
      <c r="W5754" s="4"/>
      <c r="X5754" s="4"/>
    </row>
    <row r="5755" spans="17:24" x14ac:dyDescent="0.3">
      <c r="Q5755" s="4"/>
      <c r="R5755" s="4"/>
      <c r="S5755" s="4"/>
      <c r="T5755" s="4"/>
      <c r="U5755" s="4"/>
      <c r="V5755" s="4"/>
      <c r="W5755" s="4"/>
      <c r="X5755" s="4"/>
    </row>
    <row r="5756" spans="17:24" x14ac:dyDescent="0.3">
      <c r="Q5756" s="4"/>
      <c r="R5756" s="4"/>
      <c r="S5756" s="4"/>
      <c r="T5756" s="4"/>
      <c r="U5756" s="4"/>
      <c r="V5756" s="4"/>
      <c r="W5756" s="4"/>
      <c r="X5756" s="4"/>
    </row>
    <row r="5757" spans="17:24" x14ac:dyDescent="0.3">
      <c r="Q5757" s="4"/>
      <c r="R5757" s="4"/>
      <c r="S5757" s="4"/>
      <c r="T5757" s="4"/>
      <c r="U5757" s="4"/>
      <c r="V5757" s="4"/>
      <c r="W5757" s="4"/>
      <c r="X5757" s="4"/>
    </row>
    <row r="5758" spans="17:24" x14ac:dyDescent="0.3">
      <c r="Q5758" s="4"/>
      <c r="R5758" s="4"/>
      <c r="S5758" s="4"/>
      <c r="T5758" s="4"/>
      <c r="U5758" s="4"/>
      <c r="V5758" s="4"/>
      <c r="W5758" s="4"/>
      <c r="X5758" s="4"/>
    </row>
    <row r="5759" spans="17:24" x14ac:dyDescent="0.3">
      <c r="Q5759" s="4"/>
      <c r="R5759" s="4"/>
      <c r="S5759" s="4"/>
      <c r="T5759" s="4"/>
      <c r="U5759" s="4"/>
      <c r="V5759" s="4"/>
      <c r="W5759" s="4"/>
      <c r="X5759" s="4"/>
    </row>
    <row r="5760" spans="17:24" x14ac:dyDescent="0.3">
      <c r="Q5760" s="4"/>
      <c r="R5760" s="4"/>
      <c r="S5760" s="4"/>
      <c r="T5760" s="4"/>
      <c r="U5760" s="4"/>
      <c r="V5760" s="4"/>
      <c r="W5760" s="4"/>
      <c r="X5760" s="4"/>
    </row>
    <row r="5761" spans="17:24" x14ac:dyDescent="0.3">
      <c r="Q5761" s="4"/>
      <c r="R5761" s="4"/>
      <c r="S5761" s="4"/>
      <c r="T5761" s="4"/>
      <c r="U5761" s="4"/>
      <c r="V5761" s="4"/>
      <c r="W5761" s="4"/>
      <c r="X5761" s="4"/>
    </row>
    <row r="5762" spans="17:24" x14ac:dyDescent="0.3">
      <c r="Q5762" s="4"/>
      <c r="R5762" s="4"/>
      <c r="S5762" s="4"/>
      <c r="T5762" s="4"/>
      <c r="U5762" s="4"/>
      <c r="V5762" s="4"/>
      <c r="W5762" s="4"/>
      <c r="X5762" s="4"/>
    </row>
    <row r="5763" spans="17:24" x14ac:dyDescent="0.3">
      <c r="Q5763" s="4"/>
      <c r="R5763" s="4"/>
      <c r="S5763" s="4"/>
      <c r="T5763" s="4"/>
      <c r="U5763" s="4"/>
      <c r="V5763" s="4"/>
      <c r="W5763" s="4"/>
      <c r="X5763" s="4"/>
    </row>
    <row r="5764" spans="17:24" x14ac:dyDescent="0.3">
      <c r="Q5764" s="4"/>
      <c r="R5764" s="4"/>
      <c r="S5764" s="4"/>
      <c r="T5764" s="4"/>
      <c r="U5764" s="4"/>
      <c r="V5764" s="4"/>
      <c r="W5764" s="4"/>
      <c r="X5764" s="4"/>
    </row>
    <row r="5765" spans="17:24" x14ac:dyDescent="0.3">
      <c r="Q5765" s="4"/>
      <c r="R5765" s="4"/>
      <c r="S5765" s="4"/>
      <c r="T5765" s="4"/>
      <c r="U5765" s="4"/>
      <c r="V5765" s="4"/>
      <c r="W5765" s="4"/>
      <c r="X5765" s="4"/>
    </row>
    <row r="5766" spans="17:24" x14ac:dyDescent="0.3">
      <c r="Q5766" s="4"/>
      <c r="R5766" s="4"/>
      <c r="S5766" s="4"/>
      <c r="T5766" s="4"/>
      <c r="U5766" s="4"/>
      <c r="V5766" s="4"/>
      <c r="W5766" s="4"/>
      <c r="X5766" s="4"/>
    </row>
    <row r="5767" spans="17:24" x14ac:dyDescent="0.3">
      <c r="Q5767" s="4"/>
      <c r="R5767" s="4"/>
      <c r="S5767" s="4"/>
      <c r="T5767" s="4"/>
      <c r="U5767" s="4"/>
      <c r="V5767" s="4"/>
      <c r="W5767" s="4"/>
      <c r="X5767" s="4"/>
    </row>
    <row r="5768" spans="17:24" x14ac:dyDescent="0.3">
      <c r="Q5768" s="4"/>
      <c r="R5768" s="4"/>
      <c r="S5768" s="4"/>
      <c r="T5768" s="4"/>
      <c r="U5768" s="4"/>
      <c r="V5768" s="4"/>
      <c r="W5768" s="4"/>
      <c r="X5768" s="4"/>
    </row>
    <row r="5769" spans="17:24" x14ac:dyDescent="0.3">
      <c r="Q5769" s="4"/>
      <c r="R5769" s="4"/>
      <c r="S5769" s="4"/>
      <c r="T5769" s="4"/>
      <c r="U5769" s="4"/>
      <c r="V5769" s="4"/>
      <c r="W5769" s="4"/>
      <c r="X5769" s="4"/>
    </row>
    <row r="5770" spans="17:24" x14ac:dyDescent="0.3">
      <c r="Q5770" s="4"/>
      <c r="R5770" s="4"/>
      <c r="S5770" s="4"/>
      <c r="T5770" s="4"/>
      <c r="U5770" s="4"/>
      <c r="V5770" s="4"/>
      <c r="W5770" s="4"/>
      <c r="X5770" s="4"/>
    </row>
    <row r="5771" spans="17:24" x14ac:dyDescent="0.3">
      <c r="Q5771" s="4"/>
      <c r="R5771" s="4"/>
      <c r="S5771" s="4"/>
      <c r="T5771" s="4"/>
      <c r="U5771" s="4"/>
      <c r="V5771" s="4"/>
      <c r="W5771" s="4"/>
      <c r="X5771" s="4"/>
    </row>
    <row r="5772" spans="17:24" x14ac:dyDescent="0.3">
      <c r="Q5772" s="4"/>
      <c r="R5772" s="4"/>
      <c r="S5772" s="4"/>
      <c r="T5772" s="4"/>
      <c r="U5772" s="4"/>
      <c r="V5772" s="4"/>
      <c r="W5772" s="4"/>
      <c r="X5772" s="4"/>
    </row>
    <row r="5773" spans="17:24" x14ac:dyDescent="0.3">
      <c r="Q5773" s="4"/>
      <c r="R5773" s="4"/>
      <c r="S5773" s="4"/>
      <c r="T5773" s="4"/>
      <c r="U5773" s="4"/>
      <c r="V5773" s="4"/>
      <c r="W5773" s="4"/>
      <c r="X5773" s="4"/>
    </row>
    <row r="5774" spans="17:24" x14ac:dyDescent="0.3">
      <c r="Q5774" s="4"/>
      <c r="R5774" s="4"/>
      <c r="S5774" s="4"/>
      <c r="T5774" s="4"/>
      <c r="U5774" s="4"/>
      <c r="V5774" s="4"/>
      <c r="W5774" s="4"/>
      <c r="X5774" s="4"/>
    </row>
    <row r="5775" spans="17:24" x14ac:dyDescent="0.3">
      <c r="Q5775" s="4"/>
      <c r="R5775" s="4"/>
      <c r="S5775" s="4"/>
      <c r="T5775" s="4"/>
      <c r="U5775" s="4"/>
      <c r="V5775" s="4"/>
      <c r="W5775" s="4"/>
      <c r="X5775" s="4"/>
    </row>
    <row r="5776" spans="17:24" x14ac:dyDescent="0.3">
      <c r="Q5776" s="4"/>
      <c r="R5776" s="4"/>
      <c r="S5776" s="4"/>
      <c r="T5776" s="4"/>
      <c r="U5776" s="4"/>
      <c r="V5776" s="4"/>
      <c r="W5776" s="4"/>
      <c r="X5776" s="4"/>
    </row>
    <row r="5777" spans="17:24" x14ac:dyDescent="0.3">
      <c r="Q5777" s="4"/>
      <c r="R5777" s="4"/>
      <c r="S5777" s="4"/>
      <c r="T5777" s="4"/>
      <c r="U5777" s="4"/>
      <c r="V5777" s="4"/>
      <c r="W5777" s="4"/>
      <c r="X5777" s="4"/>
    </row>
    <row r="5778" spans="17:24" x14ac:dyDescent="0.3">
      <c r="Q5778" s="4"/>
      <c r="R5778" s="4"/>
      <c r="S5778" s="4"/>
      <c r="T5778" s="4"/>
      <c r="U5778" s="4"/>
      <c r="V5778" s="4"/>
      <c r="W5778" s="4"/>
      <c r="X5778" s="4"/>
    </row>
    <row r="5779" spans="17:24" x14ac:dyDescent="0.3">
      <c r="Q5779" s="4"/>
      <c r="R5779" s="4"/>
      <c r="S5779" s="4"/>
      <c r="T5779" s="4"/>
      <c r="U5779" s="4"/>
      <c r="V5779" s="4"/>
      <c r="W5779" s="4"/>
      <c r="X5779" s="4"/>
    </row>
    <row r="5780" spans="17:24" x14ac:dyDescent="0.3">
      <c r="Q5780" s="4"/>
      <c r="R5780" s="4"/>
      <c r="S5780" s="4"/>
      <c r="T5780" s="4"/>
      <c r="U5780" s="4"/>
      <c r="V5780" s="4"/>
      <c r="W5780" s="4"/>
      <c r="X5780" s="4"/>
    </row>
    <row r="5781" spans="17:24" x14ac:dyDescent="0.3">
      <c r="Q5781" s="4"/>
      <c r="R5781" s="4"/>
      <c r="S5781" s="4"/>
      <c r="T5781" s="4"/>
      <c r="U5781" s="4"/>
      <c r="V5781" s="4"/>
      <c r="W5781" s="4"/>
      <c r="X5781" s="4"/>
    </row>
    <row r="5782" spans="17:24" x14ac:dyDescent="0.3">
      <c r="Q5782" s="4"/>
      <c r="R5782" s="4"/>
      <c r="S5782" s="4"/>
      <c r="T5782" s="4"/>
      <c r="U5782" s="4"/>
      <c r="V5782" s="4"/>
      <c r="W5782" s="4"/>
      <c r="X5782" s="4"/>
    </row>
    <row r="5783" spans="17:24" x14ac:dyDescent="0.3">
      <c r="Q5783" s="4"/>
      <c r="R5783" s="4"/>
      <c r="S5783" s="4"/>
      <c r="T5783" s="4"/>
      <c r="U5783" s="4"/>
      <c r="V5783" s="4"/>
      <c r="W5783" s="4"/>
      <c r="X5783" s="4"/>
    </row>
    <row r="5784" spans="17:24" x14ac:dyDescent="0.3">
      <c r="Q5784" s="4"/>
      <c r="R5784" s="4"/>
      <c r="S5784" s="4"/>
      <c r="T5784" s="4"/>
      <c r="U5784" s="4"/>
      <c r="V5784" s="4"/>
      <c r="W5784" s="4"/>
      <c r="X5784" s="4"/>
    </row>
    <row r="5785" spans="17:24" x14ac:dyDescent="0.3">
      <c r="Q5785" s="4"/>
      <c r="R5785" s="4"/>
      <c r="S5785" s="4"/>
      <c r="T5785" s="4"/>
      <c r="U5785" s="4"/>
      <c r="V5785" s="4"/>
      <c r="W5785" s="4"/>
      <c r="X5785" s="4"/>
    </row>
    <row r="5786" spans="17:24" x14ac:dyDescent="0.3">
      <c r="Q5786" s="4"/>
      <c r="R5786" s="4"/>
      <c r="S5786" s="4"/>
      <c r="T5786" s="4"/>
      <c r="U5786" s="4"/>
      <c r="V5786" s="4"/>
      <c r="W5786" s="4"/>
      <c r="X5786" s="4"/>
    </row>
    <row r="5787" spans="17:24" x14ac:dyDescent="0.3">
      <c r="Q5787" s="4"/>
      <c r="R5787" s="4"/>
      <c r="S5787" s="4"/>
      <c r="T5787" s="4"/>
      <c r="U5787" s="4"/>
      <c r="V5787" s="4"/>
      <c r="W5787" s="4"/>
      <c r="X5787" s="4"/>
    </row>
    <row r="5788" spans="17:24" x14ac:dyDescent="0.3">
      <c r="Q5788" s="4"/>
      <c r="R5788" s="4"/>
      <c r="S5788" s="4"/>
      <c r="T5788" s="4"/>
      <c r="U5788" s="4"/>
      <c r="V5788" s="4"/>
      <c r="W5788" s="4"/>
      <c r="X5788" s="4"/>
    </row>
    <row r="5789" spans="17:24" x14ac:dyDescent="0.3">
      <c r="Q5789" s="4"/>
      <c r="R5789" s="4"/>
      <c r="S5789" s="4"/>
      <c r="T5789" s="4"/>
      <c r="U5789" s="4"/>
      <c r="V5789" s="4"/>
      <c r="W5789" s="4"/>
      <c r="X5789" s="4"/>
    </row>
    <row r="5790" spans="17:24" x14ac:dyDescent="0.3">
      <c r="Q5790" s="4"/>
      <c r="R5790" s="4"/>
      <c r="S5790" s="4"/>
      <c r="T5790" s="4"/>
      <c r="U5790" s="4"/>
      <c r="V5790" s="4"/>
      <c r="W5790" s="4"/>
      <c r="X5790" s="4"/>
    </row>
    <row r="5791" spans="17:24" x14ac:dyDescent="0.3">
      <c r="Q5791" s="4"/>
      <c r="R5791" s="4"/>
      <c r="S5791" s="4"/>
      <c r="T5791" s="4"/>
      <c r="U5791" s="4"/>
      <c r="V5791" s="4"/>
      <c r="W5791" s="4"/>
      <c r="X5791" s="4"/>
    </row>
    <row r="5792" spans="17:24" x14ac:dyDescent="0.3">
      <c r="Q5792" s="4"/>
      <c r="R5792" s="4"/>
      <c r="S5792" s="4"/>
      <c r="T5792" s="4"/>
      <c r="U5792" s="4"/>
      <c r="V5792" s="4"/>
      <c r="W5792" s="4"/>
      <c r="X5792" s="4"/>
    </row>
    <row r="5793" spans="17:24" x14ac:dyDescent="0.3">
      <c r="Q5793" s="4"/>
      <c r="R5793" s="4"/>
      <c r="S5793" s="4"/>
      <c r="T5793" s="4"/>
      <c r="U5793" s="4"/>
      <c r="V5793" s="4"/>
      <c r="W5793" s="4"/>
      <c r="X5793" s="4"/>
    </row>
    <row r="5794" spans="17:24" x14ac:dyDescent="0.3">
      <c r="Q5794" s="4"/>
      <c r="R5794" s="4"/>
      <c r="S5794" s="4"/>
      <c r="T5794" s="4"/>
      <c r="U5794" s="4"/>
      <c r="V5794" s="4"/>
      <c r="W5794" s="4"/>
      <c r="X5794" s="4"/>
    </row>
    <row r="5795" spans="17:24" x14ac:dyDescent="0.3">
      <c r="Q5795" s="4"/>
      <c r="R5795" s="4"/>
      <c r="S5795" s="4"/>
      <c r="T5795" s="4"/>
      <c r="U5795" s="4"/>
      <c r="V5795" s="4"/>
      <c r="W5795" s="4"/>
      <c r="X5795" s="4"/>
    </row>
    <row r="5796" spans="17:24" x14ac:dyDescent="0.3">
      <c r="Q5796" s="4"/>
      <c r="R5796" s="4"/>
      <c r="S5796" s="4"/>
      <c r="T5796" s="4"/>
      <c r="U5796" s="4"/>
      <c r="V5796" s="4"/>
      <c r="W5796" s="4"/>
      <c r="X5796" s="4"/>
    </row>
    <row r="5797" spans="17:24" x14ac:dyDescent="0.3">
      <c r="Q5797" s="4"/>
      <c r="R5797" s="4"/>
      <c r="S5797" s="4"/>
      <c r="T5797" s="4"/>
      <c r="U5797" s="4"/>
      <c r="V5797" s="4"/>
      <c r="W5797" s="4"/>
      <c r="X5797" s="4"/>
    </row>
    <row r="5798" spans="17:24" x14ac:dyDescent="0.3">
      <c r="Q5798" s="4"/>
      <c r="R5798" s="4"/>
      <c r="S5798" s="4"/>
      <c r="T5798" s="4"/>
      <c r="U5798" s="4"/>
      <c r="V5798" s="4"/>
      <c r="W5798" s="4"/>
      <c r="X5798" s="4"/>
    </row>
    <row r="5799" spans="17:24" x14ac:dyDescent="0.3">
      <c r="Q5799" s="4"/>
      <c r="R5799" s="4"/>
      <c r="S5799" s="4"/>
      <c r="T5799" s="4"/>
      <c r="U5799" s="4"/>
      <c r="V5799" s="4"/>
      <c r="W5799" s="4"/>
      <c r="X5799" s="4"/>
    </row>
    <row r="5800" spans="17:24" x14ac:dyDescent="0.3">
      <c r="Q5800" s="4"/>
      <c r="R5800" s="4"/>
      <c r="S5800" s="4"/>
      <c r="T5800" s="4"/>
      <c r="U5800" s="4"/>
      <c r="V5800" s="4"/>
      <c r="W5800" s="4"/>
      <c r="X5800" s="4"/>
    </row>
    <row r="5801" spans="17:24" x14ac:dyDescent="0.3">
      <c r="Q5801" s="4"/>
      <c r="R5801" s="4"/>
      <c r="S5801" s="4"/>
      <c r="T5801" s="4"/>
      <c r="U5801" s="4"/>
      <c r="V5801" s="4"/>
      <c r="W5801" s="4"/>
      <c r="X5801" s="4"/>
    </row>
    <row r="5802" spans="17:24" x14ac:dyDescent="0.3">
      <c r="Q5802" s="4"/>
      <c r="R5802" s="4"/>
      <c r="S5802" s="4"/>
      <c r="T5802" s="4"/>
      <c r="U5802" s="4"/>
      <c r="V5802" s="4"/>
      <c r="W5802" s="4"/>
      <c r="X5802" s="4"/>
    </row>
    <row r="5803" spans="17:24" x14ac:dyDescent="0.3">
      <c r="Q5803" s="4"/>
      <c r="R5803" s="4"/>
      <c r="S5803" s="4"/>
      <c r="T5803" s="4"/>
      <c r="U5803" s="4"/>
      <c r="V5803" s="4"/>
      <c r="W5803" s="4"/>
      <c r="X5803" s="4"/>
    </row>
    <row r="5804" spans="17:24" x14ac:dyDescent="0.3">
      <c r="Q5804" s="4"/>
      <c r="R5804" s="4"/>
      <c r="S5804" s="4"/>
      <c r="T5804" s="4"/>
      <c r="U5804" s="4"/>
      <c r="V5804" s="4"/>
      <c r="W5804" s="4"/>
      <c r="X5804" s="4"/>
    </row>
    <row r="5805" spans="17:24" x14ac:dyDescent="0.3">
      <c r="Q5805" s="4"/>
      <c r="R5805" s="4"/>
      <c r="S5805" s="4"/>
      <c r="T5805" s="4"/>
      <c r="U5805" s="4"/>
      <c r="V5805" s="4"/>
      <c r="W5805" s="4"/>
      <c r="X5805" s="4"/>
    </row>
    <row r="5806" spans="17:24" x14ac:dyDescent="0.3">
      <c r="Q5806" s="4"/>
      <c r="R5806" s="4"/>
      <c r="S5806" s="4"/>
      <c r="T5806" s="4"/>
      <c r="U5806" s="4"/>
      <c r="V5806" s="4"/>
      <c r="W5806" s="4"/>
      <c r="X5806" s="4"/>
    </row>
    <row r="5807" spans="17:24" x14ac:dyDescent="0.3">
      <c r="Q5807" s="4"/>
      <c r="R5807" s="4"/>
      <c r="S5807" s="4"/>
      <c r="T5807" s="4"/>
      <c r="U5807" s="4"/>
      <c r="V5807" s="4"/>
      <c r="W5807" s="4"/>
      <c r="X5807" s="4"/>
    </row>
    <row r="5808" spans="17:24" x14ac:dyDescent="0.3">
      <c r="Q5808" s="4"/>
      <c r="R5808" s="4"/>
      <c r="S5808" s="4"/>
      <c r="T5808" s="4"/>
      <c r="U5808" s="4"/>
      <c r="V5808" s="4"/>
      <c r="W5808" s="4"/>
      <c r="X5808" s="4"/>
    </row>
    <row r="5809" spans="17:24" x14ac:dyDescent="0.3">
      <c r="Q5809" s="4"/>
      <c r="R5809" s="4"/>
      <c r="S5809" s="4"/>
      <c r="T5809" s="4"/>
      <c r="U5809" s="4"/>
      <c r="V5809" s="4"/>
      <c r="W5809" s="4"/>
      <c r="X5809" s="4"/>
    </row>
    <row r="5810" spans="17:24" x14ac:dyDescent="0.3">
      <c r="Q5810" s="4"/>
      <c r="R5810" s="4"/>
      <c r="S5810" s="4"/>
      <c r="T5810" s="4"/>
      <c r="U5810" s="4"/>
      <c r="V5810" s="4"/>
      <c r="W5810" s="4"/>
      <c r="X5810" s="4"/>
    </row>
    <row r="5811" spans="17:24" x14ac:dyDescent="0.3">
      <c r="Q5811" s="4"/>
      <c r="R5811" s="4"/>
      <c r="S5811" s="4"/>
      <c r="T5811" s="4"/>
      <c r="U5811" s="4"/>
      <c r="V5811" s="4"/>
      <c r="W5811" s="4"/>
      <c r="X5811" s="4"/>
    </row>
    <row r="5812" spans="17:24" x14ac:dyDescent="0.3">
      <c r="Q5812" s="4"/>
      <c r="R5812" s="4"/>
      <c r="S5812" s="4"/>
      <c r="T5812" s="4"/>
      <c r="U5812" s="4"/>
      <c r="V5812" s="4"/>
      <c r="W5812" s="4"/>
      <c r="X5812" s="4"/>
    </row>
    <row r="5813" spans="17:24" x14ac:dyDescent="0.3">
      <c r="Q5813" s="4"/>
      <c r="R5813" s="4"/>
      <c r="S5813" s="4"/>
      <c r="T5813" s="4"/>
      <c r="U5813" s="4"/>
      <c r="V5813" s="4"/>
      <c r="W5813" s="4"/>
      <c r="X5813" s="4"/>
    </row>
    <row r="5814" spans="17:24" x14ac:dyDescent="0.3">
      <c r="Q5814" s="4"/>
      <c r="R5814" s="4"/>
      <c r="S5814" s="4"/>
      <c r="T5814" s="4"/>
      <c r="U5814" s="4"/>
      <c r="V5814" s="4"/>
      <c r="W5814" s="4"/>
      <c r="X5814" s="4"/>
    </row>
    <row r="5815" spans="17:24" x14ac:dyDescent="0.3">
      <c r="Q5815" s="4"/>
      <c r="R5815" s="4"/>
      <c r="S5815" s="4"/>
      <c r="T5815" s="4"/>
      <c r="U5815" s="4"/>
      <c r="V5815" s="4"/>
      <c r="W5815" s="4"/>
      <c r="X5815" s="4"/>
    </row>
    <row r="5816" spans="17:24" x14ac:dyDescent="0.3">
      <c r="Q5816" s="4"/>
      <c r="R5816" s="4"/>
      <c r="S5816" s="4"/>
      <c r="T5816" s="4"/>
      <c r="U5816" s="4"/>
      <c r="V5816" s="4"/>
      <c r="W5816" s="4"/>
      <c r="X5816" s="4"/>
    </row>
    <row r="5817" spans="17:24" x14ac:dyDescent="0.3">
      <c r="Q5817" s="4"/>
      <c r="R5817" s="4"/>
      <c r="S5817" s="4"/>
      <c r="T5817" s="4"/>
      <c r="U5817" s="4"/>
      <c r="V5817" s="4"/>
      <c r="W5817" s="4"/>
      <c r="X5817" s="4"/>
    </row>
    <row r="5818" spans="17:24" x14ac:dyDescent="0.3">
      <c r="Q5818" s="4"/>
      <c r="R5818" s="4"/>
      <c r="S5818" s="4"/>
      <c r="T5818" s="4"/>
      <c r="U5818" s="4"/>
      <c r="V5818" s="4"/>
      <c r="W5818" s="4"/>
      <c r="X5818" s="4"/>
    </row>
    <row r="5819" spans="17:24" x14ac:dyDescent="0.3">
      <c r="Q5819" s="4"/>
      <c r="R5819" s="4"/>
      <c r="S5819" s="4"/>
      <c r="T5819" s="4"/>
      <c r="U5819" s="4"/>
      <c r="V5819" s="4"/>
      <c r="W5819" s="4"/>
      <c r="X5819" s="4"/>
    </row>
    <row r="5820" spans="17:24" x14ac:dyDescent="0.3">
      <c r="Q5820" s="4"/>
      <c r="R5820" s="4"/>
      <c r="S5820" s="4"/>
      <c r="T5820" s="4"/>
      <c r="U5820" s="4"/>
      <c r="V5820" s="4"/>
      <c r="W5820" s="4"/>
      <c r="X5820" s="4"/>
    </row>
    <row r="5821" spans="17:24" x14ac:dyDescent="0.3">
      <c r="Q5821" s="4"/>
      <c r="R5821" s="4"/>
      <c r="S5821" s="4"/>
      <c r="T5821" s="4"/>
      <c r="U5821" s="4"/>
      <c r="V5821" s="4"/>
      <c r="W5821" s="4"/>
      <c r="X5821" s="4"/>
    </row>
    <row r="5822" spans="17:24" x14ac:dyDescent="0.3">
      <c r="Q5822" s="4"/>
      <c r="R5822" s="4"/>
      <c r="S5822" s="4"/>
      <c r="T5822" s="4"/>
      <c r="U5822" s="4"/>
      <c r="V5822" s="4"/>
      <c r="W5822" s="4"/>
      <c r="X5822" s="4"/>
    </row>
    <row r="5823" spans="17:24" x14ac:dyDescent="0.3">
      <c r="Q5823" s="4"/>
      <c r="R5823" s="4"/>
      <c r="S5823" s="4"/>
      <c r="T5823" s="4"/>
      <c r="U5823" s="4"/>
      <c r="V5823" s="4"/>
      <c r="W5823" s="4"/>
      <c r="X5823" s="4"/>
    </row>
    <row r="5824" spans="17:24" x14ac:dyDescent="0.3">
      <c r="Q5824" s="4"/>
      <c r="R5824" s="4"/>
      <c r="S5824" s="4"/>
      <c r="T5824" s="4"/>
      <c r="U5824" s="4"/>
      <c r="V5824" s="4"/>
      <c r="W5824" s="4"/>
      <c r="X5824" s="4"/>
    </row>
    <row r="5825" spans="17:24" x14ac:dyDescent="0.3">
      <c r="Q5825" s="4"/>
      <c r="R5825" s="4"/>
      <c r="S5825" s="4"/>
      <c r="T5825" s="4"/>
      <c r="U5825" s="4"/>
      <c r="V5825" s="4"/>
      <c r="W5825" s="4"/>
      <c r="X5825" s="4"/>
    </row>
    <row r="5826" spans="17:24" x14ac:dyDescent="0.3">
      <c r="Q5826" s="4"/>
      <c r="R5826" s="4"/>
      <c r="S5826" s="4"/>
      <c r="T5826" s="4"/>
      <c r="U5826" s="4"/>
      <c r="V5826" s="4"/>
      <c r="W5826" s="4"/>
      <c r="X5826" s="4"/>
    </row>
    <row r="5827" spans="17:24" x14ac:dyDescent="0.3">
      <c r="Q5827" s="4"/>
      <c r="R5827" s="4"/>
      <c r="S5827" s="4"/>
      <c r="T5827" s="4"/>
      <c r="U5827" s="4"/>
      <c r="V5827" s="4"/>
      <c r="W5827" s="4"/>
      <c r="X5827" s="4"/>
    </row>
    <row r="5828" spans="17:24" x14ac:dyDescent="0.3">
      <c r="Q5828" s="4"/>
      <c r="R5828" s="4"/>
      <c r="S5828" s="4"/>
      <c r="T5828" s="4"/>
      <c r="U5828" s="4"/>
      <c r="V5828" s="4"/>
      <c r="W5828" s="4"/>
      <c r="X5828" s="4"/>
    </row>
    <row r="5829" spans="17:24" x14ac:dyDescent="0.3">
      <c r="Q5829" s="4"/>
      <c r="R5829" s="4"/>
      <c r="S5829" s="4"/>
      <c r="T5829" s="4"/>
      <c r="U5829" s="4"/>
      <c r="V5829" s="4"/>
      <c r="W5829" s="4"/>
      <c r="X5829" s="4"/>
    </row>
    <row r="5830" spans="17:24" x14ac:dyDescent="0.3">
      <c r="Q5830" s="4"/>
      <c r="R5830" s="4"/>
      <c r="S5830" s="4"/>
      <c r="T5830" s="4"/>
      <c r="U5830" s="4"/>
      <c r="V5830" s="4"/>
      <c r="W5830" s="4"/>
      <c r="X5830" s="4"/>
    </row>
    <row r="5831" spans="17:24" x14ac:dyDescent="0.3">
      <c r="Q5831" s="4"/>
      <c r="R5831" s="4"/>
      <c r="S5831" s="4"/>
      <c r="T5831" s="4"/>
      <c r="U5831" s="4"/>
      <c r="V5831" s="4"/>
      <c r="W5831" s="4"/>
      <c r="X5831" s="4"/>
    </row>
    <row r="5832" spans="17:24" x14ac:dyDescent="0.3">
      <c r="Q5832" s="4"/>
      <c r="R5832" s="4"/>
      <c r="S5832" s="4"/>
      <c r="T5832" s="4"/>
      <c r="U5832" s="4"/>
      <c r="V5832" s="4"/>
      <c r="W5832" s="4"/>
      <c r="X5832" s="4"/>
    </row>
    <row r="5833" spans="17:24" x14ac:dyDescent="0.3">
      <c r="Q5833" s="4"/>
      <c r="R5833" s="4"/>
      <c r="S5833" s="4"/>
      <c r="T5833" s="4"/>
      <c r="U5833" s="4"/>
      <c r="V5833" s="4"/>
      <c r="W5833" s="4"/>
      <c r="X5833" s="4"/>
    </row>
    <row r="5834" spans="17:24" x14ac:dyDescent="0.3">
      <c r="Q5834" s="4"/>
      <c r="R5834" s="4"/>
      <c r="S5834" s="4"/>
      <c r="T5834" s="4"/>
      <c r="U5834" s="4"/>
      <c r="V5834" s="4"/>
      <c r="W5834" s="4"/>
      <c r="X5834" s="4"/>
    </row>
    <row r="5835" spans="17:24" x14ac:dyDescent="0.3">
      <c r="Q5835" s="4"/>
      <c r="R5835" s="4"/>
      <c r="S5835" s="4"/>
      <c r="T5835" s="4"/>
      <c r="U5835" s="4"/>
      <c r="V5835" s="4"/>
      <c r="W5835" s="4"/>
      <c r="X5835" s="4"/>
    </row>
    <row r="5836" spans="17:24" x14ac:dyDescent="0.3">
      <c r="Q5836" s="4"/>
      <c r="R5836" s="4"/>
      <c r="S5836" s="4"/>
      <c r="T5836" s="4"/>
      <c r="U5836" s="4"/>
      <c r="V5836" s="4"/>
      <c r="W5836" s="4"/>
      <c r="X5836" s="4"/>
    </row>
    <row r="5837" spans="17:24" x14ac:dyDescent="0.3">
      <c r="Q5837" s="4"/>
      <c r="R5837" s="4"/>
      <c r="S5837" s="4"/>
      <c r="T5837" s="4"/>
      <c r="U5837" s="4"/>
      <c r="V5837" s="4"/>
      <c r="W5837" s="4"/>
      <c r="X5837" s="4"/>
    </row>
    <row r="5838" spans="17:24" x14ac:dyDescent="0.3">
      <c r="Q5838" s="4"/>
      <c r="R5838" s="4"/>
      <c r="S5838" s="4"/>
      <c r="T5838" s="4"/>
      <c r="U5838" s="4"/>
      <c r="V5838" s="4"/>
      <c r="W5838" s="4"/>
      <c r="X5838" s="4"/>
    </row>
    <row r="5839" spans="17:24" x14ac:dyDescent="0.3">
      <c r="Q5839" s="4"/>
      <c r="R5839" s="4"/>
      <c r="S5839" s="4"/>
      <c r="T5839" s="4"/>
      <c r="U5839" s="4"/>
      <c r="V5839" s="4"/>
      <c r="W5839" s="4"/>
      <c r="X5839" s="4"/>
    </row>
    <row r="5840" spans="17:24" x14ac:dyDescent="0.3">
      <c r="Q5840" s="4"/>
      <c r="R5840" s="4"/>
      <c r="S5840" s="4"/>
      <c r="T5840" s="4"/>
      <c r="U5840" s="4"/>
      <c r="V5840" s="4"/>
      <c r="W5840" s="4"/>
      <c r="X5840" s="4"/>
    </row>
    <row r="5841" spans="17:24" x14ac:dyDescent="0.3">
      <c r="Q5841" s="4"/>
      <c r="R5841" s="4"/>
      <c r="S5841" s="4"/>
      <c r="T5841" s="4"/>
      <c r="U5841" s="4"/>
      <c r="V5841" s="4"/>
      <c r="W5841" s="4"/>
      <c r="X5841" s="4"/>
    </row>
    <row r="5842" spans="17:24" x14ac:dyDescent="0.3">
      <c r="Q5842" s="4"/>
      <c r="R5842" s="4"/>
      <c r="S5842" s="4"/>
      <c r="T5842" s="4"/>
      <c r="U5842" s="4"/>
      <c r="V5842" s="4"/>
      <c r="W5842" s="4"/>
      <c r="X5842" s="4"/>
    </row>
    <row r="5843" spans="17:24" x14ac:dyDescent="0.3">
      <c r="Q5843" s="4"/>
      <c r="R5843" s="4"/>
      <c r="S5843" s="4"/>
      <c r="T5843" s="4"/>
      <c r="U5843" s="4"/>
      <c r="V5843" s="4"/>
      <c r="W5843" s="4"/>
      <c r="X5843" s="4"/>
    </row>
    <row r="5844" spans="17:24" x14ac:dyDescent="0.3">
      <c r="Q5844" s="4"/>
      <c r="R5844" s="4"/>
      <c r="S5844" s="4"/>
      <c r="T5844" s="4"/>
      <c r="U5844" s="4"/>
      <c r="V5844" s="4"/>
      <c r="W5844" s="4"/>
      <c r="X5844" s="4"/>
    </row>
    <row r="5845" spans="17:24" x14ac:dyDescent="0.3">
      <c r="Q5845" s="4"/>
      <c r="R5845" s="4"/>
      <c r="S5845" s="4"/>
      <c r="T5845" s="4"/>
      <c r="U5845" s="4"/>
      <c r="V5845" s="4"/>
      <c r="W5845" s="4"/>
      <c r="X5845" s="4"/>
    </row>
    <row r="5846" spans="17:24" x14ac:dyDescent="0.3">
      <c r="Q5846" s="4"/>
      <c r="R5846" s="4"/>
      <c r="S5846" s="4"/>
      <c r="T5846" s="4"/>
      <c r="U5846" s="4"/>
      <c r="V5846" s="4"/>
      <c r="W5846" s="4"/>
      <c r="X5846" s="4"/>
    </row>
    <row r="5847" spans="17:24" x14ac:dyDescent="0.3">
      <c r="Q5847" s="4"/>
      <c r="R5847" s="4"/>
      <c r="S5847" s="4"/>
      <c r="T5847" s="4"/>
      <c r="U5847" s="4"/>
      <c r="V5847" s="4"/>
      <c r="W5847" s="4"/>
      <c r="X5847" s="4"/>
    </row>
    <row r="5848" spans="17:24" x14ac:dyDescent="0.3">
      <c r="Q5848" s="4"/>
      <c r="R5848" s="4"/>
      <c r="S5848" s="4"/>
      <c r="T5848" s="4"/>
      <c r="U5848" s="4"/>
      <c r="V5848" s="4"/>
      <c r="W5848" s="4"/>
      <c r="X5848" s="4"/>
    </row>
    <row r="5849" spans="17:24" x14ac:dyDescent="0.3">
      <c r="Q5849" s="4"/>
      <c r="R5849" s="4"/>
      <c r="S5849" s="4"/>
      <c r="T5849" s="4"/>
      <c r="U5849" s="4"/>
      <c r="V5849" s="4"/>
      <c r="W5849" s="4"/>
      <c r="X5849" s="4"/>
    </row>
    <row r="5850" spans="17:24" x14ac:dyDescent="0.3">
      <c r="Q5850" s="4"/>
      <c r="R5850" s="4"/>
      <c r="S5850" s="4"/>
      <c r="T5850" s="4"/>
      <c r="U5850" s="4"/>
      <c r="V5850" s="4"/>
      <c r="W5850" s="4"/>
      <c r="X5850" s="4"/>
    </row>
    <row r="5851" spans="17:24" x14ac:dyDescent="0.3">
      <c r="Q5851" s="4"/>
      <c r="R5851" s="4"/>
      <c r="S5851" s="4"/>
      <c r="T5851" s="4"/>
      <c r="U5851" s="4"/>
      <c r="V5851" s="4"/>
      <c r="W5851" s="4"/>
      <c r="X5851" s="4"/>
    </row>
    <row r="5852" spans="17:24" x14ac:dyDescent="0.3">
      <c r="Q5852" s="4"/>
      <c r="R5852" s="4"/>
      <c r="S5852" s="4"/>
      <c r="T5852" s="4"/>
      <c r="U5852" s="4"/>
      <c r="V5852" s="4"/>
      <c r="W5852" s="4"/>
      <c r="X5852" s="4"/>
    </row>
    <row r="5853" spans="17:24" x14ac:dyDescent="0.3">
      <c r="Q5853" s="4"/>
      <c r="R5853" s="4"/>
      <c r="S5853" s="4"/>
      <c r="T5853" s="4"/>
      <c r="U5853" s="4"/>
      <c r="V5853" s="4"/>
      <c r="W5853" s="4"/>
      <c r="X5853" s="4"/>
    </row>
    <row r="5854" spans="17:24" x14ac:dyDescent="0.3">
      <c r="Q5854" s="4"/>
      <c r="R5854" s="4"/>
      <c r="S5854" s="4"/>
      <c r="T5854" s="4"/>
      <c r="U5854" s="4"/>
      <c r="V5854" s="4"/>
      <c r="W5854" s="4"/>
      <c r="X5854" s="4"/>
    </row>
    <row r="5855" spans="17:24" x14ac:dyDescent="0.3">
      <c r="Q5855" s="4"/>
      <c r="R5855" s="4"/>
      <c r="S5855" s="4"/>
      <c r="T5855" s="4"/>
      <c r="U5855" s="4"/>
      <c r="V5855" s="4"/>
      <c r="W5855" s="4"/>
      <c r="X5855" s="4"/>
    </row>
    <row r="5856" spans="17:24" x14ac:dyDescent="0.3">
      <c r="Q5856" s="4"/>
      <c r="R5856" s="4"/>
      <c r="S5856" s="4"/>
      <c r="T5856" s="4"/>
      <c r="U5856" s="4"/>
      <c r="V5856" s="4"/>
      <c r="W5856" s="4"/>
      <c r="X5856" s="4"/>
    </row>
    <row r="5857" spans="17:24" x14ac:dyDescent="0.3">
      <c r="Q5857" s="4"/>
      <c r="R5857" s="4"/>
      <c r="S5857" s="4"/>
      <c r="T5857" s="4"/>
      <c r="U5857" s="4"/>
      <c r="V5857" s="4"/>
      <c r="W5857" s="4"/>
      <c r="X5857" s="4"/>
    </row>
    <row r="5858" spans="17:24" x14ac:dyDescent="0.3">
      <c r="Q5858" s="4"/>
      <c r="R5858" s="4"/>
      <c r="S5858" s="4"/>
      <c r="T5858" s="4"/>
      <c r="U5858" s="4"/>
      <c r="V5858" s="4"/>
      <c r="W5858" s="4"/>
      <c r="X5858" s="4"/>
    </row>
    <row r="5859" spans="17:24" x14ac:dyDescent="0.3">
      <c r="Q5859" s="4"/>
      <c r="R5859" s="4"/>
      <c r="S5859" s="4"/>
      <c r="T5859" s="4"/>
      <c r="U5859" s="4"/>
      <c r="V5859" s="4"/>
      <c r="W5859" s="4"/>
      <c r="X5859" s="4"/>
    </row>
    <row r="5860" spans="17:24" x14ac:dyDescent="0.3">
      <c r="Q5860" s="4"/>
      <c r="R5860" s="4"/>
      <c r="S5860" s="4"/>
      <c r="T5860" s="4"/>
      <c r="U5860" s="4"/>
      <c r="V5860" s="4"/>
      <c r="W5860" s="4"/>
      <c r="X5860" s="4"/>
    </row>
    <row r="5861" spans="17:24" x14ac:dyDescent="0.3">
      <c r="Q5861" s="4"/>
      <c r="R5861" s="4"/>
      <c r="S5861" s="4"/>
      <c r="T5861" s="4"/>
      <c r="U5861" s="4"/>
      <c r="V5861" s="4"/>
      <c r="W5861" s="4"/>
      <c r="X5861" s="4"/>
    </row>
    <row r="5862" spans="17:24" x14ac:dyDescent="0.3">
      <c r="Q5862" s="4"/>
      <c r="R5862" s="4"/>
      <c r="S5862" s="4"/>
      <c r="T5862" s="4"/>
      <c r="U5862" s="4"/>
      <c r="V5862" s="4"/>
      <c r="W5862" s="4"/>
      <c r="X5862" s="4"/>
    </row>
    <row r="5863" spans="17:24" x14ac:dyDescent="0.3">
      <c r="Q5863" s="4"/>
      <c r="R5863" s="4"/>
      <c r="S5863" s="4"/>
      <c r="T5863" s="4"/>
      <c r="U5863" s="4"/>
      <c r="V5863" s="4"/>
      <c r="W5863" s="4"/>
      <c r="X5863" s="4"/>
    </row>
    <row r="5864" spans="17:24" x14ac:dyDescent="0.3">
      <c r="Q5864" s="4"/>
      <c r="R5864" s="4"/>
      <c r="S5864" s="4"/>
      <c r="T5864" s="4"/>
      <c r="U5864" s="4"/>
      <c r="V5864" s="4"/>
      <c r="W5864" s="4"/>
      <c r="X5864" s="4"/>
    </row>
    <row r="5865" spans="17:24" x14ac:dyDescent="0.3">
      <c r="Q5865" s="4"/>
      <c r="R5865" s="4"/>
      <c r="S5865" s="4"/>
      <c r="T5865" s="4"/>
      <c r="U5865" s="4"/>
      <c r="V5865" s="4"/>
      <c r="W5865" s="4"/>
      <c r="X5865" s="4"/>
    </row>
    <row r="5866" spans="17:24" x14ac:dyDescent="0.3">
      <c r="Q5866" s="4"/>
      <c r="R5866" s="4"/>
      <c r="S5866" s="4"/>
      <c r="T5866" s="4"/>
      <c r="U5866" s="4"/>
      <c r="V5866" s="4"/>
      <c r="W5866" s="4"/>
      <c r="X5866" s="4"/>
    </row>
    <row r="5867" spans="17:24" x14ac:dyDescent="0.3">
      <c r="Q5867" s="4"/>
      <c r="R5867" s="4"/>
      <c r="S5867" s="4"/>
      <c r="T5867" s="4"/>
      <c r="U5867" s="4"/>
      <c r="V5867" s="4"/>
      <c r="W5867" s="4"/>
      <c r="X5867" s="4"/>
    </row>
    <row r="5868" spans="17:24" x14ac:dyDescent="0.3">
      <c r="Q5868" s="4"/>
      <c r="R5868" s="4"/>
      <c r="S5868" s="4"/>
      <c r="T5868" s="4"/>
      <c r="U5868" s="4"/>
      <c r="V5868" s="4"/>
      <c r="W5868" s="4"/>
      <c r="X5868" s="4"/>
    </row>
    <row r="5869" spans="17:24" x14ac:dyDescent="0.3">
      <c r="Q5869" s="4"/>
      <c r="R5869" s="4"/>
      <c r="S5869" s="4"/>
      <c r="T5869" s="4"/>
      <c r="U5869" s="4"/>
      <c r="V5869" s="4"/>
      <c r="W5869" s="4"/>
      <c r="X5869" s="4"/>
    </row>
    <row r="5870" spans="17:24" x14ac:dyDescent="0.3">
      <c r="Q5870" s="4"/>
      <c r="R5870" s="4"/>
      <c r="S5870" s="4"/>
      <c r="T5870" s="4"/>
      <c r="U5870" s="4"/>
      <c r="V5870" s="4"/>
      <c r="W5870" s="4"/>
      <c r="X5870" s="4"/>
    </row>
    <row r="5871" spans="17:24" x14ac:dyDescent="0.3">
      <c r="Q5871" s="4"/>
      <c r="R5871" s="4"/>
      <c r="S5871" s="4"/>
      <c r="T5871" s="4"/>
      <c r="U5871" s="4"/>
      <c r="V5871" s="4"/>
      <c r="W5871" s="4"/>
      <c r="X5871" s="4"/>
    </row>
    <row r="5872" spans="17:24" x14ac:dyDescent="0.3">
      <c r="Q5872" s="4"/>
      <c r="R5872" s="4"/>
      <c r="S5872" s="4"/>
      <c r="T5872" s="4"/>
      <c r="U5872" s="4"/>
      <c r="V5872" s="4"/>
      <c r="W5872" s="4"/>
      <c r="X5872" s="4"/>
    </row>
    <row r="5873" spans="17:24" x14ac:dyDescent="0.3">
      <c r="Q5873" s="4"/>
      <c r="R5873" s="4"/>
      <c r="S5873" s="4"/>
      <c r="T5873" s="4"/>
      <c r="U5873" s="4"/>
      <c r="V5873" s="4"/>
      <c r="W5873" s="4"/>
      <c r="X5873" s="4"/>
    </row>
    <row r="5874" spans="17:24" x14ac:dyDescent="0.3">
      <c r="Q5874" s="4"/>
      <c r="R5874" s="4"/>
      <c r="S5874" s="4"/>
      <c r="T5874" s="4"/>
      <c r="U5874" s="4"/>
      <c r="V5874" s="4"/>
      <c r="W5874" s="4"/>
      <c r="X5874" s="4"/>
    </row>
    <row r="5875" spans="17:24" x14ac:dyDescent="0.3">
      <c r="Q5875" s="4"/>
      <c r="R5875" s="4"/>
      <c r="S5875" s="4"/>
      <c r="T5875" s="4"/>
      <c r="U5875" s="4"/>
      <c r="V5875" s="4"/>
      <c r="W5875" s="4"/>
      <c r="X5875" s="4"/>
    </row>
    <row r="5876" spans="17:24" x14ac:dyDescent="0.3">
      <c r="Q5876" s="4"/>
      <c r="R5876" s="4"/>
      <c r="S5876" s="4"/>
      <c r="T5876" s="4"/>
      <c r="U5876" s="4"/>
      <c r="V5876" s="4"/>
      <c r="W5876" s="4"/>
      <c r="X5876" s="4"/>
    </row>
    <row r="5877" spans="17:24" x14ac:dyDescent="0.3">
      <c r="Q5877" s="4"/>
      <c r="R5877" s="4"/>
      <c r="S5877" s="4"/>
      <c r="T5877" s="4"/>
      <c r="U5877" s="4"/>
      <c r="V5877" s="4"/>
      <c r="W5877" s="4"/>
      <c r="X5877" s="4"/>
    </row>
    <row r="5878" spans="17:24" x14ac:dyDescent="0.3">
      <c r="Q5878" s="4"/>
      <c r="R5878" s="4"/>
      <c r="S5878" s="4"/>
      <c r="T5878" s="4"/>
      <c r="U5878" s="4"/>
      <c r="V5878" s="4"/>
      <c r="W5878" s="4"/>
      <c r="X5878" s="4"/>
    </row>
    <row r="5879" spans="17:24" x14ac:dyDescent="0.3">
      <c r="Q5879" s="4"/>
      <c r="R5879" s="4"/>
      <c r="S5879" s="4"/>
      <c r="T5879" s="4"/>
      <c r="U5879" s="4"/>
      <c r="V5879" s="4"/>
      <c r="W5879" s="4"/>
      <c r="X5879" s="4"/>
    </row>
    <row r="5880" spans="17:24" x14ac:dyDescent="0.3">
      <c r="Q5880" s="4"/>
      <c r="R5880" s="4"/>
      <c r="S5880" s="4"/>
      <c r="T5880" s="4"/>
      <c r="U5880" s="4"/>
      <c r="V5880" s="4"/>
      <c r="W5880" s="4"/>
      <c r="X5880" s="4"/>
    </row>
    <row r="5881" spans="17:24" x14ac:dyDescent="0.3">
      <c r="Q5881" s="4"/>
      <c r="R5881" s="4"/>
      <c r="S5881" s="4"/>
      <c r="T5881" s="4"/>
      <c r="U5881" s="4"/>
      <c r="V5881" s="4"/>
      <c r="W5881" s="4"/>
      <c r="X5881" s="4"/>
    </row>
    <row r="5882" spans="17:24" x14ac:dyDescent="0.3">
      <c r="Q5882" s="4"/>
      <c r="R5882" s="4"/>
      <c r="S5882" s="4"/>
      <c r="T5882" s="4"/>
      <c r="U5882" s="4"/>
      <c r="V5882" s="4"/>
      <c r="W5882" s="4"/>
      <c r="X5882" s="4"/>
    </row>
    <row r="5883" spans="17:24" x14ac:dyDescent="0.3">
      <c r="Q5883" s="4"/>
      <c r="R5883" s="4"/>
      <c r="S5883" s="4"/>
      <c r="T5883" s="4"/>
      <c r="U5883" s="4"/>
      <c r="V5883" s="4"/>
      <c r="W5883" s="4"/>
      <c r="X5883" s="4"/>
    </row>
    <row r="5884" spans="17:24" x14ac:dyDescent="0.3">
      <c r="Q5884" s="4"/>
      <c r="R5884" s="4"/>
      <c r="S5884" s="4"/>
      <c r="T5884" s="4"/>
      <c r="U5884" s="4"/>
      <c r="V5884" s="4"/>
      <c r="W5884" s="4"/>
      <c r="X5884" s="4"/>
    </row>
    <row r="5885" spans="17:24" x14ac:dyDescent="0.3">
      <c r="Q5885" s="4"/>
      <c r="R5885" s="4"/>
      <c r="S5885" s="4"/>
      <c r="T5885" s="4"/>
      <c r="U5885" s="4"/>
      <c r="V5885" s="4"/>
      <c r="W5885" s="4"/>
      <c r="X5885" s="4"/>
    </row>
    <row r="5886" spans="17:24" x14ac:dyDescent="0.3">
      <c r="Q5886" s="4"/>
      <c r="R5886" s="4"/>
      <c r="S5886" s="4"/>
      <c r="T5886" s="4"/>
      <c r="U5886" s="4"/>
      <c r="V5886" s="4"/>
      <c r="W5886" s="4"/>
      <c r="X5886" s="4"/>
    </row>
    <row r="5887" spans="17:24" x14ac:dyDescent="0.3">
      <c r="Q5887" s="4"/>
      <c r="R5887" s="4"/>
      <c r="S5887" s="4"/>
      <c r="T5887" s="4"/>
      <c r="U5887" s="4"/>
      <c r="V5887" s="4"/>
      <c r="W5887" s="4"/>
      <c r="X5887" s="4"/>
    </row>
    <row r="5888" spans="17:24" x14ac:dyDescent="0.3">
      <c r="Q5888" s="4"/>
      <c r="R5888" s="4"/>
      <c r="S5888" s="4"/>
      <c r="T5888" s="4"/>
      <c r="U5888" s="4"/>
      <c r="V5888" s="4"/>
      <c r="W5888" s="4"/>
      <c r="X5888" s="4"/>
    </row>
    <row r="5889" spans="17:24" x14ac:dyDescent="0.3">
      <c r="Q5889" s="4"/>
      <c r="R5889" s="4"/>
      <c r="S5889" s="4"/>
      <c r="T5889" s="4"/>
      <c r="U5889" s="4"/>
      <c r="V5889" s="4"/>
      <c r="W5889" s="4"/>
      <c r="X5889" s="4"/>
    </row>
    <row r="5890" spans="17:24" x14ac:dyDescent="0.3">
      <c r="Q5890" s="4"/>
      <c r="R5890" s="4"/>
      <c r="S5890" s="4"/>
      <c r="T5890" s="4"/>
      <c r="U5890" s="4"/>
      <c r="V5890" s="4"/>
      <c r="W5890" s="4"/>
      <c r="X5890" s="4"/>
    </row>
    <row r="5891" spans="17:24" x14ac:dyDescent="0.3">
      <c r="Q5891" s="4"/>
      <c r="R5891" s="4"/>
      <c r="S5891" s="4"/>
      <c r="T5891" s="4"/>
      <c r="U5891" s="4"/>
      <c r="V5891" s="4"/>
      <c r="W5891" s="4"/>
      <c r="X5891" s="4"/>
    </row>
    <row r="5892" spans="17:24" x14ac:dyDescent="0.3">
      <c r="Q5892" s="4"/>
      <c r="R5892" s="4"/>
      <c r="S5892" s="4"/>
      <c r="T5892" s="4"/>
      <c r="U5892" s="4"/>
      <c r="V5892" s="4"/>
      <c r="W5892" s="4"/>
      <c r="X5892" s="4"/>
    </row>
    <row r="5893" spans="17:24" x14ac:dyDescent="0.3">
      <c r="Q5893" s="4"/>
      <c r="R5893" s="4"/>
      <c r="S5893" s="4"/>
      <c r="T5893" s="4"/>
      <c r="U5893" s="4"/>
      <c r="V5893" s="4"/>
      <c r="W5893" s="4"/>
      <c r="X5893" s="4"/>
    </row>
    <row r="5894" spans="17:24" x14ac:dyDescent="0.3">
      <c r="Q5894" s="4"/>
      <c r="R5894" s="4"/>
      <c r="S5894" s="4"/>
      <c r="T5894" s="4"/>
      <c r="U5894" s="4"/>
      <c r="V5894" s="4"/>
      <c r="W5894" s="4"/>
      <c r="X5894" s="4"/>
    </row>
    <row r="5895" spans="17:24" x14ac:dyDescent="0.3">
      <c r="Q5895" s="4"/>
      <c r="R5895" s="4"/>
      <c r="S5895" s="4"/>
      <c r="T5895" s="4"/>
      <c r="U5895" s="4"/>
      <c r="V5895" s="4"/>
      <c r="W5895" s="4"/>
      <c r="X5895" s="4"/>
    </row>
    <row r="5896" spans="17:24" x14ac:dyDescent="0.3">
      <c r="Q5896" s="4"/>
      <c r="R5896" s="4"/>
      <c r="S5896" s="4"/>
      <c r="T5896" s="4"/>
      <c r="U5896" s="4"/>
      <c r="V5896" s="4"/>
      <c r="W5896" s="4"/>
      <c r="X5896" s="4"/>
    </row>
    <row r="5897" spans="17:24" x14ac:dyDescent="0.3">
      <c r="Q5897" s="4"/>
      <c r="R5897" s="4"/>
      <c r="S5897" s="4"/>
      <c r="T5897" s="4"/>
      <c r="U5897" s="4"/>
      <c r="V5897" s="4"/>
      <c r="W5897" s="4"/>
      <c r="X5897" s="4"/>
    </row>
    <row r="5898" spans="17:24" x14ac:dyDescent="0.3">
      <c r="Q5898" s="4"/>
      <c r="R5898" s="4"/>
      <c r="S5898" s="4"/>
      <c r="T5898" s="4"/>
      <c r="U5898" s="4"/>
      <c r="V5898" s="4"/>
      <c r="W5898" s="4"/>
      <c r="X5898" s="4"/>
    </row>
    <row r="5899" spans="17:24" x14ac:dyDescent="0.3">
      <c r="Q5899" s="4"/>
      <c r="R5899" s="4"/>
      <c r="S5899" s="4"/>
      <c r="T5899" s="4"/>
      <c r="U5899" s="4"/>
      <c r="V5899" s="4"/>
      <c r="W5899" s="4"/>
      <c r="X5899" s="4"/>
    </row>
    <row r="5900" spans="17:24" x14ac:dyDescent="0.3">
      <c r="Q5900" s="4"/>
      <c r="R5900" s="4"/>
      <c r="S5900" s="4"/>
      <c r="T5900" s="4"/>
      <c r="U5900" s="4"/>
      <c r="V5900" s="4"/>
      <c r="W5900" s="4"/>
      <c r="X5900" s="4"/>
    </row>
    <row r="5901" spans="17:24" x14ac:dyDescent="0.3">
      <c r="Q5901" s="4"/>
      <c r="R5901" s="4"/>
      <c r="S5901" s="4"/>
      <c r="T5901" s="4"/>
      <c r="U5901" s="4"/>
      <c r="V5901" s="4"/>
      <c r="W5901" s="4"/>
      <c r="X5901" s="4"/>
    </row>
    <row r="5902" spans="17:24" x14ac:dyDescent="0.3">
      <c r="Q5902" s="4"/>
      <c r="R5902" s="4"/>
      <c r="S5902" s="4"/>
      <c r="T5902" s="4"/>
      <c r="U5902" s="4"/>
      <c r="V5902" s="4"/>
      <c r="W5902" s="4"/>
      <c r="X5902" s="4"/>
    </row>
    <row r="5903" spans="17:24" x14ac:dyDescent="0.3">
      <c r="Q5903" s="4"/>
      <c r="R5903" s="4"/>
      <c r="S5903" s="4"/>
      <c r="T5903" s="4"/>
      <c r="U5903" s="4"/>
      <c r="V5903" s="4"/>
      <c r="W5903" s="4"/>
      <c r="X5903" s="4"/>
    </row>
    <row r="5904" spans="17:24" x14ac:dyDescent="0.3">
      <c r="Q5904" s="4"/>
      <c r="R5904" s="4"/>
      <c r="S5904" s="4"/>
      <c r="T5904" s="4"/>
      <c r="U5904" s="4"/>
      <c r="V5904" s="4"/>
      <c r="W5904" s="4"/>
      <c r="X5904" s="4"/>
    </row>
    <row r="5905" spans="17:24" x14ac:dyDescent="0.3">
      <c r="Q5905" s="4"/>
      <c r="R5905" s="4"/>
      <c r="S5905" s="4"/>
      <c r="T5905" s="4"/>
      <c r="U5905" s="4"/>
      <c r="V5905" s="4"/>
      <c r="W5905" s="4"/>
      <c r="X5905" s="4"/>
    </row>
    <row r="5906" spans="17:24" x14ac:dyDescent="0.3">
      <c r="Q5906" s="4"/>
      <c r="R5906" s="4"/>
      <c r="S5906" s="4"/>
      <c r="T5906" s="4"/>
      <c r="U5906" s="4"/>
      <c r="V5906" s="4"/>
      <c r="W5906" s="4"/>
      <c r="X5906" s="4"/>
    </row>
    <row r="5907" spans="17:24" x14ac:dyDescent="0.3">
      <c r="Q5907" s="4"/>
      <c r="R5907" s="4"/>
      <c r="S5907" s="4"/>
      <c r="T5907" s="4"/>
      <c r="U5907" s="4"/>
      <c r="V5907" s="4"/>
      <c r="W5907" s="4"/>
      <c r="X5907" s="4"/>
    </row>
    <row r="5908" spans="17:24" x14ac:dyDescent="0.3">
      <c r="Q5908" s="4"/>
      <c r="R5908" s="4"/>
      <c r="S5908" s="4"/>
      <c r="T5908" s="4"/>
      <c r="U5908" s="4"/>
      <c r="V5908" s="4"/>
      <c r="W5908" s="4"/>
      <c r="X5908" s="4"/>
    </row>
    <row r="5909" spans="17:24" x14ac:dyDescent="0.3">
      <c r="Q5909" s="4"/>
      <c r="R5909" s="4"/>
      <c r="S5909" s="4"/>
      <c r="T5909" s="4"/>
      <c r="U5909" s="4"/>
      <c r="V5909" s="4"/>
      <c r="W5909" s="4"/>
      <c r="X5909" s="4"/>
    </row>
    <row r="5910" spans="17:24" x14ac:dyDescent="0.3">
      <c r="Q5910" s="4"/>
      <c r="R5910" s="4"/>
      <c r="S5910" s="4"/>
      <c r="T5910" s="4"/>
      <c r="U5910" s="4"/>
      <c r="V5910" s="4"/>
      <c r="W5910" s="4"/>
      <c r="X5910" s="4"/>
    </row>
    <row r="5911" spans="17:24" x14ac:dyDescent="0.3">
      <c r="Q5911" s="4"/>
      <c r="R5911" s="4"/>
      <c r="S5911" s="4"/>
      <c r="T5911" s="4"/>
      <c r="U5911" s="4"/>
      <c r="V5911" s="4"/>
      <c r="W5911" s="4"/>
      <c r="X5911" s="4"/>
    </row>
    <row r="5912" spans="17:24" x14ac:dyDescent="0.3">
      <c r="Q5912" s="4"/>
      <c r="R5912" s="4"/>
      <c r="S5912" s="4"/>
      <c r="T5912" s="4"/>
      <c r="U5912" s="4"/>
      <c r="V5912" s="4"/>
      <c r="W5912" s="4"/>
      <c r="X5912" s="4"/>
    </row>
    <row r="5913" spans="17:24" x14ac:dyDescent="0.3">
      <c r="Q5913" s="4"/>
      <c r="R5913" s="4"/>
      <c r="S5913" s="4"/>
      <c r="T5913" s="4"/>
      <c r="U5913" s="4"/>
      <c r="V5913" s="4"/>
      <c r="W5913" s="4"/>
      <c r="X5913" s="4"/>
    </row>
    <row r="5914" spans="17:24" x14ac:dyDescent="0.3">
      <c r="Q5914" s="4"/>
      <c r="R5914" s="4"/>
      <c r="S5914" s="4"/>
      <c r="T5914" s="4"/>
      <c r="U5914" s="4"/>
      <c r="V5914" s="4"/>
      <c r="W5914" s="4"/>
      <c r="X5914" s="4"/>
    </row>
    <row r="5915" spans="17:24" x14ac:dyDescent="0.3">
      <c r="Q5915" s="4"/>
      <c r="R5915" s="4"/>
      <c r="S5915" s="4"/>
      <c r="T5915" s="4"/>
      <c r="U5915" s="4"/>
      <c r="V5915" s="4"/>
      <c r="W5915" s="4"/>
      <c r="X5915" s="4"/>
    </row>
    <row r="5916" spans="17:24" x14ac:dyDescent="0.3">
      <c r="Q5916" s="4"/>
      <c r="R5916" s="4"/>
      <c r="S5916" s="4"/>
      <c r="T5916" s="4"/>
      <c r="U5916" s="4"/>
      <c r="V5916" s="4"/>
      <c r="W5916" s="4"/>
      <c r="X5916" s="4"/>
    </row>
    <row r="5917" spans="17:24" x14ac:dyDescent="0.3">
      <c r="Q5917" s="4"/>
      <c r="R5917" s="4"/>
      <c r="S5917" s="4"/>
      <c r="T5917" s="4"/>
      <c r="U5917" s="4"/>
      <c r="V5917" s="4"/>
      <c r="W5917" s="4"/>
      <c r="X5917" s="4"/>
    </row>
    <row r="5918" spans="17:24" x14ac:dyDescent="0.3">
      <c r="Q5918" s="4"/>
      <c r="R5918" s="4"/>
      <c r="S5918" s="4"/>
      <c r="T5918" s="4"/>
      <c r="U5918" s="4"/>
      <c r="V5918" s="4"/>
      <c r="W5918" s="4"/>
      <c r="X5918" s="4"/>
    </row>
    <row r="5919" spans="17:24" x14ac:dyDescent="0.3">
      <c r="Q5919" s="4"/>
      <c r="R5919" s="4"/>
      <c r="S5919" s="4"/>
      <c r="T5919" s="4"/>
      <c r="U5919" s="4"/>
      <c r="V5919" s="4"/>
      <c r="W5919" s="4"/>
      <c r="X5919" s="4"/>
    </row>
    <row r="5920" spans="17:24" x14ac:dyDescent="0.3">
      <c r="Q5920" s="4"/>
      <c r="R5920" s="4"/>
      <c r="S5920" s="4"/>
      <c r="T5920" s="4"/>
      <c r="U5920" s="4"/>
      <c r="V5920" s="4"/>
      <c r="W5920" s="4"/>
      <c r="X5920" s="4"/>
    </row>
    <row r="5921" spans="17:24" x14ac:dyDescent="0.3">
      <c r="Q5921" s="4"/>
      <c r="R5921" s="4"/>
      <c r="S5921" s="4"/>
      <c r="T5921" s="4"/>
      <c r="U5921" s="4"/>
      <c r="V5921" s="4"/>
      <c r="W5921" s="4"/>
      <c r="X5921" s="4"/>
    </row>
    <row r="5922" spans="17:24" x14ac:dyDescent="0.3">
      <c r="Q5922" s="4"/>
      <c r="R5922" s="4"/>
      <c r="S5922" s="4"/>
      <c r="T5922" s="4"/>
      <c r="U5922" s="4"/>
      <c r="V5922" s="4"/>
      <c r="W5922" s="4"/>
      <c r="X5922" s="4"/>
    </row>
    <row r="5923" spans="17:24" x14ac:dyDescent="0.3">
      <c r="Q5923" s="4"/>
      <c r="R5923" s="4"/>
      <c r="S5923" s="4"/>
      <c r="T5923" s="4"/>
      <c r="U5923" s="4"/>
      <c r="V5923" s="4"/>
      <c r="W5923" s="4"/>
      <c r="X5923" s="4"/>
    </row>
    <row r="5924" spans="17:24" x14ac:dyDescent="0.3">
      <c r="Q5924" s="4"/>
      <c r="R5924" s="4"/>
      <c r="S5924" s="4"/>
      <c r="T5924" s="4"/>
      <c r="U5924" s="4"/>
      <c r="V5924" s="4"/>
      <c r="W5924" s="4"/>
      <c r="X5924" s="4"/>
    </row>
    <row r="5925" spans="17:24" x14ac:dyDescent="0.3">
      <c r="Q5925" s="4"/>
      <c r="R5925" s="4"/>
      <c r="S5925" s="4"/>
      <c r="T5925" s="4"/>
      <c r="U5925" s="4"/>
      <c r="V5925" s="4"/>
      <c r="W5925" s="4"/>
      <c r="X5925" s="4"/>
    </row>
    <row r="5926" spans="17:24" x14ac:dyDescent="0.3">
      <c r="Q5926" s="4"/>
      <c r="R5926" s="4"/>
      <c r="S5926" s="4"/>
      <c r="T5926" s="4"/>
      <c r="U5926" s="4"/>
      <c r="V5926" s="4"/>
      <c r="W5926" s="4"/>
      <c r="X5926" s="4"/>
    </row>
    <row r="5927" spans="17:24" x14ac:dyDescent="0.3">
      <c r="Q5927" s="4"/>
      <c r="R5927" s="4"/>
      <c r="S5927" s="4"/>
      <c r="T5927" s="4"/>
      <c r="U5927" s="4"/>
      <c r="V5927" s="4"/>
      <c r="W5927" s="4"/>
      <c r="X5927" s="4"/>
    </row>
    <row r="5928" spans="17:24" x14ac:dyDescent="0.3">
      <c r="Q5928" s="4"/>
      <c r="R5928" s="4"/>
      <c r="S5928" s="4"/>
      <c r="T5928" s="4"/>
      <c r="U5928" s="4"/>
      <c r="V5928" s="4"/>
      <c r="W5928" s="4"/>
      <c r="X5928" s="4"/>
    </row>
    <row r="5929" spans="17:24" x14ac:dyDescent="0.3">
      <c r="Q5929" s="4"/>
      <c r="R5929" s="4"/>
      <c r="S5929" s="4"/>
      <c r="T5929" s="4"/>
      <c r="U5929" s="4"/>
      <c r="V5929" s="4"/>
      <c r="W5929" s="4"/>
      <c r="X5929" s="4"/>
    </row>
    <row r="5930" spans="17:24" x14ac:dyDescent="0.3">
      <c r="Q5930" s="4"/>
      <c r="R5930" s="4"/>
      <c r="S5930" s="4"/>
      <c r="T5930" s="4"/>
      <c r="U5930" s="4"/>
      <c r="V5930" s="4"/>
      <c r="W5930" s="4"/>
      <c r="X5930" s="4"/>
    </row>
    <row r="5931" spans="17:24" x14ac:dyDescent="0.3">
      <c r="Q5931" s="4"/>
      <c r="R5931" s="4"/>
      <c r="S5931" s="4"/>
      <c r="T5931" s="4"/>
      <c r="U5931" s="4"/>
      <c r="V5931" s="4"/>
      <c r="W5931" s="4"/>
      <c r="X5931" s="4"/>
    </row>
    <row r="5932" spans="17:24" x14ac:dyDescent="0.3">
      <c r="Q5932" s="4"/>
      <c r="R5932" s="4"/>
      <c r="S5932" s="4"/>
      <c r="T5932" s="4"/>
      <c r="U5932" s="4"/>
      <c r="V5932" s="4"/>
      <c r="W5932" s="4"/>
      <c r="X5932" s="4"/>
    </row>
    <row r="5933" spans="17:24" x14ac:dyDescent="0.3">
      <c r="Q5933" s="4"/>
      <c r="R5933" s="4"/>
      <c r="S5933" s="4"/>
      <c r="T5933" s="4"/>
      <c r="U5933" s="4"/>
      <c r="V5933" s="4"/>
      <c r="W5933" s="4"/>
      <c r="X5933" s="4"/>
    </row>
    <row r="5934" spans="17:24" x14ac:dyDescent="0.3">
      <c r="Q5934" s="4"/>
      <c r="R5934" s="4"/>
      <c r="S5934" s="4"/>
      <c r="T5934" s="4"/>
      <c r="U5934" s="4"/>
      <c r="V5934" s="4"/>
      <c r="W5934" s="4"/>
      <c r="X5934" s="4"/>
    </row>
    <row r="5935" spans="17:24" x14ac:dyDescent="0.3">
      <c r="Q5935" s="4"/>
      <c r="R5935" s="4"/>
      <c r="S5935" s="4"/>
      <c r="T5935" s="4"/>
      <c r="U5935" s="4"/>
      <c r="V5935" s="4"/>
      <c r="W5935" s="4"/>
      <c r="X5935" s="4"/>
    </row>
    <row r="5936" spans="17:24" x14ac:dyDescent="0.3">
      <c r="Q5936" s="4"/>
      <c r="R5936" s="4"/>
      <c r="S5936" s="4"/>
      <c r="T5936" s="4"/>
      <c r="U5936" s="4"/>
      <c r="V5936" s="4"/>
      <c r="W5936" s="4"/>
      <c r="X5936" s="4"/>
    </row>
    <row r="5937" spans="17:24" x14ac:dyDescent="0.3">
      <c r="Q5937" s="4"/>
      <c r="R5937" s="4"/>
      <c r="S5937" s="4"/>
      <c r="T5937" s="4"/>
      <c r="U5937" s="4"/>
      <c r="V5937" s="4"/>
      <c r="W5937" s="4"/>
      <c r="X5937" s="4"/>
    </row>
    <row r="5938" spans="17:24" x14ac:dyDescent="0.3">
      <c r="Q5938" s="4"/>
      <c r="R5938" s="4"/>
      <c r="S5938" s="4"/>
      <c r="T5938" s="4"/>
      <c r="U5938" s="4"/>
      <c r="V5938" s="4"/>
      <c r="W5938" s="4"/>
      <c r="X5938" s="4"/>
    </row>
    <row r="5939" spans="17:24" x14ac:dyDescent="0.3">
      <c r="Q5939" s="4"/>
      <c r="R5939" s="4"/>
      <c r="S5939" s="4"/>
      <c r="T5939" s="4"/>
      <c r="U5939" s="4"/>
      <c r="V5939" s="4"/>
      <c r="W5939" s="4"/>
      <c r="X5939" s="4"/>
    </row>
    <row r="5940" spans="17:24" x14ac:dyDescent="0.3">
      <c r="Q5940" s="4"/>
      <c r="R5940" s="4"/>
      <c r="S5940" s="4"/>
      <c r="T5940" s="4"/>
      <c r="U5940" s="4"/>
      <c r="V5940" s="4"/>
      <c r="W5940" s="4"/>
      <c r="X5940" s="4"/>
    </row>
    <row r="5941" spans="17:24" x14ac:dyDescent="0.3">
      <c r="Q5941" s="4"/>
      <c r="R5941" s="4"/>
      <c r="S5941" s="4"/>
      <c r="T5941" s="4"/>
      <c r="U5941" s="4"/>
      <c r="V5941" s="4"/>
      <c r="W5941" s="4"/>
      <c r="X5941" s="4"/>
    </row>
    <row r="5942" spans="17:24" x14ac:dyDescent="0.3">
      <c r="Q5942" s="4"/>
      <c r="R5942" s="4"/>
      <c r="S5942" s="4"/>
      <c r="T5942" s="4"/>
      <c r="U5942" s="4"/>
      <c r="V5942" s="4"/>
      <c r="W5942" s="4"/>
      <c r="X5942" s="4"/>
    </row>
    <row r="5943" spans="17:24" x14ac:dyDescent="0.3">
      <c r="Q5943" s="4"/>
      <c r="R5943" s="4"/>
      <c r="S5943" s="4"/>
      <c r="T5943" s="4"/>
      <c r="U5943" s="4"/>
      <c r="V5943" s="4"/>
      <c r="W5943" s="4"/>
      <c r="X5943" s="4"/>
    </row>
    <row r="5944" spans="17:24" x14ac:dyDescent="0.3">
      <c r="Q5944" s="4"/>
      <c r="R5944" s="4"/>
      <c r="S5944" s="4"/>
      <c r="T5944" s="4"/>
      <c r="U5944" s="4"/>
      <c r="V5944" s="4"/>
      <c r="W5944" s="4"/>
      <c r="X5944" s="4"/>
    </row>
    <row r="5945" spans="17:24" x14ac:dyDescent="0.3">
      <c r="Q5945" s="4"/>
      <c r="R5945" s="4"/>
      <c r="S5945" s="4"/>
      <c r="T5945" s="4"/>
      <c r="U5945" s="4"/>
      <c r="V5945" s="4"/>
      <c r="W5945" s="4"/>
      <c r="X5945" s="4"/>
    </row>
    <row r="5946" spans="17:24" x14ac:dyDescent="0.3">
      <c r="Q5946" s="4"/>
      <c r="R5946" s="4"/>
      <c r="S5946" s="4"/>
      <c r="T5946" s="4"/>
      <c r="U5946" s="4"/>
      <c r="V5946" s="4"/>
      <c r="W5946" s="4"/>
      <c r="X5946" s="4"/>
    </row>
    <row r="5947" spans="17:24" x14ac:dyDescent="0.3">
      <c r="Q5947" s="4"/>
      <c r="R5947" s="4"/>
      <c r="S5947" s="4"/>
      <c r="T5947" s="4"/>
      <c r="U5947" s="4"/>
      <c r="V5947" s="4"/>
      <c r="W5947" s="4"/>
      <c r="X5947" s="4"/>
    </row>
    <row r="5948" spans="17:24" x14ac:dyDescent="0.3">
      <c r="Q5948" s="4"/>
      <c r="R5948" s="4"/>
      <c r="S5948" s="4"/>
      <c r="T5948" s="4"/>
      <c r="U5948" s="4"/>
      <c r="V5948" s="4"/>
      <c r="W5948" s="4"/>
      <c r="X5948" s="4"/>
    </row>
    <row r="5949" spans="17:24" x14ac:dyDescent="0.3">
      <c r="Q5949" s="4"/>
      <c r="R5949" s="4"/>
      <c r="S5949" s="4"/>
      <c r="T5949" s="4"/>
      <c r="U5949" s="4"/>
      <c r="V5949" s="4"/>
      <c r="W5949" s="4"/>
      <c r="X5949" s="4"/>
    </row>
    <row r="5950" spans="17:24" x14ac:dyDescent="0.3">
      <c r="Q5950" s="4"/>
      <c r="R5950" s="4"/>
      <c r="S5950" s="4"/>
      <c r="T5950" s="4"/>
      <c r="U5950" s="4"/>
      <c r="V5950" s="4"/>
      <c r="W5950" s="4"/>
      <c r="X5950" s="4"/>
    </row>
    <row r="5951" spans="17:24" x14ac:dyDescent="0.3">
      <c r="Q5951" s="4"/>
      <c r="R5951" s="4"/>
      <c r="S5951" s="4"/>
      <c r="T5951" s="4"/>
      <c r="U5951" s="4"/>
      <c r="V5951" s="4"/>
      <c r="W5951" s="4"/>
      <c r="X5951" s="4"/>
    </row>
    <row r="5952" spans="17:24" x14ac:dyDescent="0.3">
      <c r="Q5952" s="4"/>
      <c r="R5952" s="4"/>
      <c r="S5952" s="4"/>
      <c r="T5952" s="4"/>
      <c r="U5952" s="4"/>
      <c r="V5952" s="4"/>
      <c r="W5952" s="4"/>
      <c r="X5952" s="4"/>
    </row>
    <row r="5953" spans="17:24" x14ac:dyDescent="0.3">
      <c r="Q5953" s="4"/>
      <c r="R5953" s="4"/>
      <c r="S5953" s="4"/>
      <c r="T5953" s="4"/>
      <c r="U5953" s="4"/>
      <c r="V5953" s="4"/>
      <c r="W5953" s="4"/>
      <c r="X5953" s="4"/>
    </row>
    <row r="5954" spans="17:24" x14ac:dyDescent="0.3">
      <c r="Q5954" s="4"/>
      <c r="R5954" s="4"/>
      <c r="S5954" s="4"/>
      <c r="T5954" s="4"/>
      <c r="U5954" s="4"/>
      <c r="V5954" s="4"/>
      <c r="W5954" s="4"/>
      <c r="X5954" s="4"/>
    </row>
    <row r="5955" spans="17:24" x14ac:dyDescent="0.3">
      <c r="Q5955" s="4"/>
      <c r="R5955" s="4"/>
      <c r="S5955" s="4"/>
      <c r="T5955" s="4"/>
      <c r="U5955" s="4"/>
      <c r="V5955" s="4"/>
      <c r="W5955" s="4"/>
      <c r="X5955" s="4"/>
    </row>
    <row r="5956" spans="17:24" x14ac:dyDescent="0.3">
      <c r="Q5956" s="4"/>
      <c r="R5956" s="4"/>
      <c r="S5956" s="4"/>
      <c r="T5956" s="4"/>
      <c r="U5956" s="4"/>
      <c r="V5956" s="4"/>
      <c r="W5956" s="4"/>
      <c r="X5956" s="4"/>
    </row>
    <row r="5957" spans="17:24" x14ac:dyDescent="0.3">
      <c r="Q5957" s="4"/>
      <c r="R5957" s="4"/>
      <c r="S5957" s="4"/>
      <c r="T5957" s="4"/>
      <c r="U5957" s="4"/>
      <c r="V5957" s="4"/>
      <c r="W5957" s="4"/>
      <c r="X5957" s="4"/>
    </row>
    <row r="5958" spans="17:24" x14ac:dyDescent="0.3">
      <c r="Q5958" s="4"/>
      <c r="R5958" s="4"/>
      <c r="S5958" s="4"/>
      <c r="T5958" s="4"/>
      <c r="U5958" s="4"/>
      <c r="V5958" s="4"/>
      <c r="W5958" s="4"/>
      <c r="X5958" s="4"/>
    </row>
    <row r="5959" spans="17:24" x14ac:dyDescent="0.3">
      <c r="Q5959" s="4"/>
      <c r="R5959" s="4"/>
      <c r="S5959" s="4"/>
      <c r="T5959" s="4"/>
      <c r="U5959" s="4"/>
      <c r="V5959" s="4"/>
      <c r="W5959" s="4"/>
      <c r="X5959" s="4"/>
    </row>
    <row r="5960" spans="17:24" x14ac:dyDescent="0.3">
      <c r="Q5960" s="4"/>
      <c r="R5960" s="4"/>
      <c r="S5960" s="4"/>
      <c r="T5960" s="4"/>
      <c r="U5960" s="4"/>
      <c r="V5960" s="4"/>
      <c r="W5960" s="4"/>
      <c r="X5960" s="4"/>
    </row>
    <row r="5961" spans="17:24" x14ac:dyDescent="0.3">
      <c r="Q5961" s="4"/>
      <c r="R5961" s="4"/>
      <c r="S5961" s="4"/>
      <c r="T5961" s="4"/>
      <c r="U5961" s="4"/>
      <c r="V5961" s="4"/>
      <c r="W5961" s="4"/>
      <c r="X5961" s="4"/>
    </row>
    <row r="5962" spans="17:24" x14ac:dyDescent="0.3">
      <c r="Q5962" s="4"/>
      <c r="R5962" s="4"/>
      <c r="S5962" s="4"/>
      <c r="T5962" s="4"/>
      <c r="U5962" s="4"/>
      <c r="V5962" s="4"/>
      <c r="W5962" s="4"/>
      <c r="X5962" s="4"/>
    </row>
    <row r="5963" spans="17:24" x14ac:dyDescent="0.3">
      <c r="Q5963" s="4"/>
      <c r="R5963" s="4"/>
      <c r="S5963" s="4"/>
      <c r="T5963" s="4"/>
      <c r="U5963" s="4"/>
      <c r="V5963" s="4"/>
      <c r="W5963" s="4"/>
      <c r="X5963" s="4"/>
    </row>
    <row r="5964" spans="17:24" x14ac:dyDescent="0.3">
      <c r="Q5964" s="4"/>
      <c r="R5964" s="4"/>
      <c r="S5964" s="4"/>
      <c r="T5964" s="4"/>
      <c r="U5964" s="4"/>
      <c r="V5964" s="4"/>
      <c r="W5964" s="4"/>
      <c r="X5964" s="4"/>
    </row>
    <row r="5965" spans="17:24" x14ac:dyDescent="0.3">
      <c r="Q5965" s="4"/>
      <c r="R5965" s="4"/>
      <c r="S5965" s="4"/>
      <c r="T5965" s="4"/>
      <c r="U5965" s="4"/>
      <c r="V5965" s="4"/>
      <c r="W5965" s="4"/>
      <c r="X5965" s="4"/>
    </row>
    <row r="5966" spans="17:24" x14ac:dyDescent="0.3">
      <c r="Q5966" s="4"/>
      <c r="R5966" s="4"/>
      <c r="S5966" s="4"/>
      <c r="T5966" s="4"/>
      <c r="U5966" s="4"/>
      <c r="V5966" s="4"/>
      <c r="W5966" s="4"/>
      <c r="X5966" s="4"/>
    </row>
    <row r="5967" spans="17:24" x14ac:dyDescent="0.3">
      <c r="Q5967" s="4"/>
      <c r="R5967" s="4"/>
      <c r="S5967" s="4"/>
      <c r="T5967" s="4"/>
      <c r="U5967" s="4"/>
      <c r="V5967" s="4"/>
      <c r="W5967" s="4"/>
      <c r="X5967" s="4"/>
    </row>
    <row r="5968" spans="17:24" x14ac:dyDescent="0.3">
      <c r="Q5968" s="4"/>
      <c r="R5968" s="4"/>
      <c r="S5968" s="4"/>
      <c r="T5968" s="4"/>
      <c r="U5968" s="4"/>
      <c r="V5968" s="4"/>
      <c r="W5968" s="4"/>
      <c r="X5968" s="4"/>
    </row>
    <row r="5969" spans="17:24" x14ac:dyDescent="0.3">
      <c r="Q5969" s="4"/>
      <c r="R5969" s="4"/>
      <c r="S5969" s="4"/>
      <c r="T5969" s="4"/>
      <c r="U5969" s="4"/>
      <c r="V5969" s="4"/>
      <c r="W5969" s="4"/>
      <c r="X5969" s="4"/>
    </row>
    <row r="5970" spans="17:24" x14ac:dyDescent="0.3">
      <c r="Q5970" s="4"/>
      <c r="R5970" s="4"/>
      <c r="S5970" s="4"/>
      <c r="T5970" s="4"/>
      <c r="U5970" s="4"/>
      <c r="V5970" s="4"/>
      <c r="W5970" s="4"/>
      <c r="X5970" s="4"/>
    </row>
    <row r="5971" spans="17:24" x14ac:dyDescent="0.3">
      <c r="Q5971" s="4"/>
      <c r="R5971" s="4"/>
      <c r="S5971" s="4"/>
      <c r="T5971" s="4"/>
      <c r="U5971" s="4"/>
      <c r="V5971" s="4"/>
      <c r="W5971" s="4"/>
      <c r="X5971" s="4"/>
    </row>
    <row r="5972" spans="17:24" x14ac:dyDescent="0.3">
      <c r="Q5972" s="4"/>
      <c r="R5972" s="4"/>
      <c r="S5972" s="4"/>
      <c r="T5972" s="4"/>
      <c r="U5972" s="4"/>
      <c r="V5972" s="4"/>
      <c r="W5972" s="4"/>
      <c r="X5972" s="4"/>
    </row>
    <row r="5973" spans="17:24" x14ac:dyDescent="0.3">
      <c r="Q5973" s="4"/>
      <c r="R5973" s="4"/>
      <c r="S5973" s="4"/>
      <c r="T5973" s="4"/>
      <c r="U5973" s="4"/>
      <c r="V5973" s="4"/>
      <c r="W5973" s="4"/>
      <c r="X5973" s="4"/>
    </row>
    <row r="5974" spans="17:24" x14ac:dyDescent="0.3">
      <c r="Q5974" s="4"/>
      <c r="R5974" s="4"/>
      <c r="S5974" s="4"/>
      <c r="T5974" s="4"/>
      <c r="U5974" s="4"/>
      <c r="V5974" s="4"/>
      <c r="W5974" s="4"/>
      <c r="X5974" s="4"/>
    </row>
    <row r="5975" spans="17:24" x14ac:dyDescent="0.3">
      <c r="Q5975" s="4"/>
      <c r="R5975" s="4"/>
      <c r="S5975" s="4"/>
      <c r="T5975" s="4"/>
      <c r="U5975" s="4"/>
      <c r="V5975" s="4"/>
      <c r="W5975" s="4"/>
      <c r="X5975" s="4"/>
    </row>
    <row r="5976" spans="17:24" x14ac:dyDescent="0.3">
      <c r="Q5976" s="4"/>
      <c r="R5976" s="4"/>
      <c r="S5976" s="4"/>
      <c r="T5976" s="4"/>
      <c r="U5976" s="4"/>
      <c r="V5976" s="4"/>
      <c r="W5976" s="4"/>
      <c r="X5976" s="4"/>
    </row>
    <row r="5977" spans="17:24" x14ac:dyDescent="0.3">
      <c r="Q5977" s="4"/>
      <c r="R5977" s="4"/>
      <c r="S5977" s="4"/>
      <c r="T5977" s="4"/>
      <c r="U5977" s="4"/>
      <c r="V5977" s="4"/>
      <c r="W5977" s="4"/>
      <c r="X5977" s="4"/>
    </row>
    <row r="5978" spans="17:24" x14ac:dyDescent="0.3">
      <c r="Q5978" s="4"/>
      <c r="R5978" s="4"/>
      <c r="S5978" s="4"/>
      <c r="T5978" s="4"/>
      <c r="U5978" s="4"/>
      <c r="V5978" s="4"/>
      <c r="W5978" s="4"/>
      <c r="X5978" s="4"/>
    </row>
    <row r="5979" spans="17:24" x14ac:dyDescent="0.3">
      <c r="Q5979" s="4"/>
      <c r="R5979" s="4"/>
      <c r="S5979" s="4"/>
      <c r="T5979" s="4"/>
      <c r="U5979" s="4"/>
      <c r="V5979" s="4"/>
      <c r="W5979" s="4"/>
      <c r="X5979" s="4"/>
    </row>
    <row r="5980" spans="17:24" x14ac:dyDescent="0.3">
      <c r="Q5980" s="4"/>
      <c r="R5980" s="4"/>
      <c r="S5980" s="4"/>
      <c r="T5980" s="4"/>
      <c r="U5980" s="4"/>
      <c r="V5980" s="4"/>
      <c r="W5980" s="4"/>
      <c r="X5980" s="4"/>
    </row>
    <row r="5981" spans="17:24" x14ac:dyDescent="0.3">
      <c r="Q5981" s="4"/>
      <c r="R5981" s="4"/>
      <c r="S5981" s="4"/>
      <c r="T5981" s="4"/>
      <c r="U5981" s="4"/>
      <c r="V5981" s="4"/>
      <c r="W5981" s="4"/>
      <c r="X5981" s="4"/>
    </row>
    <row r="5982" spans="17:24" x14ac:dyDescent="0.3">
      <c r="Q5982" s="4"/>
      <c r="R5982" s="4"/>
      <c r="S5982" s="4"/>
      <c r="T5982" s="4"/>
      <c r="U5982" s="4"/>
      <c r="V5982" s="4"/>
      <c r="W5982" s="4"/>
      <c r="X5982" s="4"/>
    </row>
    <row r="5983" spans="17:24" x14ac:dyDescent="0.3">
      <c r="Q5983" s="4"/>
      <c r="R5983" s="4"/>
      <c r="S5983" s="4"/>
      <c r="T5983" s="4"/>
      <c r="U5983" s="4"/>
      <c r="V5983" s="4"/>
      <c r="W5983" s="4"/>
      <c r="X5983" s="4"/>
    </row>
    <row r="5984" spans="17:24" x14ac:dyDescent="0.3">
      <c r="Q5984" s="4"/>
      <c r="R5984" s="4"/>
      <c r="S5984" s="4"/>
      <c r="T5984" s="4"/>
      <c r="U5984" s="4"/>
      <c r="V5984" s="4"/>
      <c r="W5984" s="4"/>
      <c r="X5984" s="4"/>
    </row>
    <row r="5985" spans="17:24" x14ac:dyDescent="0.3">
      <c r="Q5985" s="4"/>
      <c r="R5985" s="4"/>
      <c r="S5985" s="4"/>
      <c r="T5985" s="4"/>
      <c r="U5985" s="4"/>
      <c r="V5985" s="4"/>
      <c r="W5985" s="4"/>
      <c r="X5985" s="4"/>
    </row>
    <row r="5986" spans="17:24" x14ac:dyDescent="0.3">
      <c r="Q5986" s="4"/>
      <c r="R5986" s="4"/>
      <c r="S5986" s="4"/>
      <c r="T5986" s="4"/>
      <c r="U5986" s="4"/>
      <c r="V5986" s="4"/>
      <c r="W5986" s="4"/>
      <c r="X5986" s="4"/>
    </row>
    <row r="5987" spans="17:24" x14ac:dyDescent="0.3">
      <c r="Q5987" s="4"/>
      <c r="R5987" s="4"/>
      <c r="S5987" s="4"/>
      <c r="T5987" s="4"/>
      <c r="U5987" s="4"/>
      <c r="V5987" s="4"/>
      <c r="W5987" s="4"/>
      <c r="X5987" s="4"/>
    </row>
    <row r="5988" spans="17:24" x14ac:dyDescent="0.3">
      <c r="Q5988" s="4"/>
      <c r="R5988" s="4"/>
      <c r="S5988" s="4"/>
      <c r="T5988" s="4"/>
      <c r="U5988" s="4"/>
      <c r="V5988" s="4"/>
      <c r="W5988" s="4"/>
      <c r="X5988" s="4"/>
    </row>
    <row r="5989" spans="17:24" x14ac:dyDescent="0.3">
      <c r="Q5989" s="4"/>
      <c r="R5989" s="4"/>
      <c r="S5989" s="4"/>
      <c r="T5989" s="4"/>
      <c r="U5989" s="4"/>
      <c r="V5989" s="4"/>
      <c r="W5989" s="4"/>
      <c r="X5989" s="4"/>
    </row>
    <row r="5990" spans="17:24" x14ac:dyDescent="0.3">
      <c r="Q5990" s="4"/>
      <c r="R5990" s="4"/>
      <c r="S5990" s="4"/>
      <c r="T5990" s="4"/>
      <c r="U5990" s="4"/>
      <c r="V5990" s="4"/>
      <c r="W5990" s="4"/>
      <c r="X5990" s="4"/>
    </row>
    <row r="5991" spans="17:24" x14ac:dyDescent="0.3">
      <c r="Q5991" s="4"/>
      <c r="R5991" s="4"/>
      <c r="S5991" s="4"/>
      <c r="T5991" s="4"/>
      <c r="U5991" s="4"/>
      <c r="V5991" s="4"/>
      <c r="W5991" s="4"/>
      <c r="X5991" s="4"/>
    </row>
    <row r="5992" spans="17:24" x14ac:dyDescent="0.3">
      <c r="Q5992" s="4"/>
      <c r="R5992" s="4"/>
      <c r="S5992" s="4"/>
      <c r="T5992" s="4"/>
      <c r="U5992" s="4"/>
      <c r="V5992" s="4"/>
      <c r="W5992" s="4"/>
      <c r="X5992" s="4"/>
    </row>
    <row r="5993" spans="17:24" x14ac:dyDescent="0.3">
      <c r="Q5993" s="4"/>
      <c r="R5993" s="4"/>
      <c r="S5993" s="4"/>
      <c r="T5993" s="4"/>
      <c r="U5993" s="4"/>
      <c r="V5993" s="4"/>
      <c r="W5993" s="4"/>
      <c r="X5993" s="4"/>
    </row>
    <row r="5994" spans="17:24" x14ac:dyDescent="0.3">
      <c r="Q5994" s="4"/>
      <c r="R5994" s="4"/>
      <c r="S5994" s="4"/>
      <c r="T5994" s="4"/>
      <c r="U5994" s="4"/>
      <c r="V5994" s="4"/>
      <c r="W5994" s="4"/>
      <c r="X5994" s="4"/>
    </row>
    <row r="5995" spans="17:24" x14ac:dyDescent="0.3">
      <c r="Q5995" s="4"/>
      <c r="R5995" s="4"/>
      <c r="S5995" s="4"/>
      <c r="T5995" s="4"/>
      <c r="U5995" s="4"/>
      <c r="V5995" s="4"/>
      <c r="W5995" s="4"/>
      <c r="X5995" s="4"/>
    </row>
    <row r="5996" spans="17:24" x14ac:dyDescent="0.3">
      <c r="Q5996" s="4"/>
      <c r="R5996" s="4"/>
      <c r="S5996" s="4"/>
      <c r="T5996" s="4"/>
      <c r="U5996" s="4"/>
      <c r="V5996" s="4"/>
      <c r="W5996" s="4"/>
      <c r="X5996" s="4"/>
    </row>
    <row r="5997" spans="17:24" x14ac:dyDescent="0.3">
      <c r="Q5997" s="4"/>
      <c r="R5997" s="4"/>
      <c r="S5997" s="4"/>
      <c r="T5997" s="4"/>
      <c r="U5997" s="4"/>
      <c r="V5997" s="4"/>
      <c r="W5997" s="4"/>
      <c r="X5997" s="4"/>
    </row>
    <row r="5998" spans="17:24" x14ac:dyDescent="0.3">
      <c r="Q5998" s="4"/>
      <c r="R5998" s="4"/>
      <c r="S5998" s="4"/>
      <c r="T5998" s="4"/>
      <c r="U5998" s="4"/>
      <c r="V5998" s="4"/>
      <c r="W5998" s="4"/>
      <c r="X5998" s="4"/>
    </row>
    <row r="5999" spans="17:24" x14ac:dyDescent="0.3">
      <c r="Q5999" s="4"/>
      <c r="R5999" s="4"/>
      <c r="S5999" s="4"/>
      <c r="T5999" s="4"/>
      <c r="U5999" s="4"/>
      <c r="V5999" s="4"/>
      <c r="W5999" s="4"/>
      <c r="X5999" s="4"/>
    </row>
    <row r="6000" spans="17:24" x14ac:dyDescent="0.3">
      <c r="Q6000" s="4"/>
      <c r="R6000" s="4"/>
      <c r="S6000" s="4"/>
      <c r="T6000" s="4"/>
      <c r="U6000" s="4"/>
      <c r="V6000" s="4"/>
      <c r="W6000" s="4"/>
      <c r="X6000" s="4"/>
    </row>
    <row r="6001" spans="17:24" x14ac:dyDescent="0.3">
      <c r="Q6001" s="4"/>
      <c r="R6001" s="4"/>
      <c r="S6001" s="4"/>
      <c r="T6001" s="4"/>
      <c r="U6001" s="4"/>
      <c r="V6001" s="4"/>
      <c r="W6001" s="4"/>
      <c r="X6001" s="4"/>
    </row>
    <row r="6002" spans="17:24" x14ac:dyDescent="0.3">
      <c r="Q6002" s="4"/>
      <c r="R6002" s="4"/>
      <c r="S6002" s="4"/>
      <c r="T6002" s="4"/>
      <c r="U6002" s="4"/>
      <c r="V6002" s="4"/>
      <c r="W6002" s="4"/>
      <c r="X6002" s="4"/>
    </row>
    <row r="6003" spans="17:24" x14ac:dyDescent="0.3">
      <c r="Q6003" s="4"/>
      <c r="R6003" s="4"/>
      <c r="S6003" s="4"/>
      <c r="T6003" s="4"/>
      <c r="U6003" s="4"/>
      <c r="V6003" s="4"/>
      <c r="W6003" s="4"/>
      <c r="X6003" s="4"/>
    </row>
    <row r="6004" spans="17:24" x14ac:dyDescent="0.3">
      <c r="Q6004" s="4"/>
      <c r="R6004" s="4"/>
      <c r="S6004" s="4"/>
      <c r="T6004" s="4"/>
      <c r="U6004" s="4"/>
      <c r="V6004" s="4"/>
      <c r="W6004" s="4"/>
      <c r="X6004" s="4"/>
    </row>
    <row r="6005" spans="17:24" x14ac:dyDescent="0.3">
      <c r="Q6005" s="4"/>
      <c r="R6005" s="4"/>
      <c r="S6005" s="4"/>
      <c r="T6005" s="4"/>
      <c r="U6005" s="4"/>
      <c r="V6005" s="4"/>
      <c r="W6005" s="4"/>
      <c r="X6005" s="4"/>
    </row>
    <row r="6006" spans="17:24" x14ac:dyDescent="0.3">
      <c r="Q6006" s="4"/>
      <c r="R6006" s="4"/>
      <c r="S6006" s="4"/>
      <c r="T6006" s="4"/>
      <c r="U6006" s="4"/>
      <c r="V6006" s="4"/>
      <c r="W6006" s="4"/>
      <c r="X6006" s="4"/>
    </row>
    <row r="6007" spans="17:24" x14ac:dyDescent="0.3">
      <c r="Q6007" s="4"/>
      <c r="R6007" s="4"/>
      <c r="S6007" s="4"/>
      <c r="T6007" s="4"/>
      <c r="U6007" s="4"/>
      <c r="V6007" s="4"/>
      <c r="W6007" s="4"/>
      <c r="X6007" s="4"/>
    </row>
    <row r="6008" spans="17:24" x14ac:dyDescent="0.3">
      <c r="Q6008" s="4"/>
      <c r="R6008" s="4"/>
      <c r="S6008" s="4"/>
      <c r="T6008" s="4"/>
      <c r="U6008" s="4"/>
      <c r="V6008" s="4"/>
      <c r="W6008" s="4"/>
      <c r="X6008" s="4"/>
    </row>
    <row r="6009" spans="17:24" x14ac:dyDescent="0.3">
      <c r="Q6009" s="4"/>
      <c r="R6009" s="4"/>
      <c r="S6009" s="4"/>
      <c r="T6009" s="4"/>
      <c r="U6009" s="4"/>
      <c r="V6009" s="4"/>
      <c r="W6009" s="4"/>
      <c r="X6009" s="4"/>
    </row>
    <row r="6010" spans="17:24" x14ac:dyDescent="0.3">
      <c r="Q6010" s="4"/>
      <c r="R6010" s="4"/>
      <c r="S6010" s="4"/>
      <c r="T6010" s="4"/>
      <c r="U6010" s="4"/>
      <c r="V6010" s="4"/>
      <c r="W6010" s="4"/>
      <c r="X6010" s="4"/>
    </row>
    <row r="6011" spans="17:24" x14ac:dyDescent="0.3">
      <c r="Q6011" s="4"/>
      <c r="R6011" s="4"/>
      <c r="S6011" s="4"/>
      <c r="T6011" s="4"/>
      <c r="U6011" s="4"/>
      <c r="V6011" s="4"/>
      <c r="W6011" s="4"/>
      <c r="X6011" s="4"/>
    </row>
    <row r="6012" spans="17:24" x14ac:dyDescent="0.3">
      <c r="Q6012" s="4"/>
      <c r="R6012" s="4"/>
      <c r="S6012" s="4"/>
      <c r="T6012" s="4"/>
      <c r="U6012" s="4"/>
      <c r="V6012" s="4"/>
      <c r="W6012" s="4"/>
      <c r="X6012" s="4"/>
    </row>
    <row r="6013" spans="17:24" x14ac:dyDescent="0.3">
      <c r="Q6013" s="4"/>
      <c r="R6013" s="4"/>
      <c r="S6013" s="4"/>
      <c r="T6013" s="4"/>
      <c r="U6013" s="4"/>
      <c r="V6013" s="4"/>
      <c r="W6013" s="4"/>
      <c r="X6013" s="4"/>
    </row>
    <row r="6014" spans="17:24" x14ac:dyDescent="0.3">
      <c r="Q6014" s="4"/>
      <c r="R6014" s="4"/>
      <c r="S6014" s="4"/>
      <c r="T6014" s="4"/>
      <c r="U6014" s="4"/>
      <c r="V6014" s="4"/>
      <c r="W6014" s="4"/>
      <c r="X6014" s="4"/>
    </row>
    <row r="6015" spans="17:24" x14ac:dyDescent="0.3">
      <c r="Q6015" s="4"/>
      <c r="R6015" s="4"/>
      <c r="S6015" s="4"/>
      <c r="T6015" s="4"/>
      <c r="U6015" s="4"/>
      <c r="V6015" s="4"/>
      <c r="W6015" s="4"/>
      <c r="X6015" s="4"/>
    </row>
    <row r="6016" spans="17:24" x14ac:dyDescent="0.3">
      <c r="Q6016" s="4"/>
      <c r="R6016" s="4"/>
      <c r="S6016" s="4"/>
      <c r="T6016" s="4"/>
      <c r="U6016" s="4"/>
      <c r="V6016" s="4"/>
      <c r="W6016" s="4"/>
      <c r="X6016" s="4"/>
    </row>
    <row r="6017" spans="17:24" x14ac:dyDescent="0.3">
      <c r="Q6017" s="4"/>
      <c r="R6017" s="4"/>
      <c r="S6017" s="4"/>
      <c r="T6017" s="4"/>
      <c r="U6017" s="4"/>
      <c r="V6017" s="4"/>
      <c r="W6017" s="4"/>
      <c r="X6017" s="4"/>
    </row>
    <row r="6018" spans="17:24" x14ac:dyDescent="0.3">
      <c r="Q6018" s="4"/>
      <c r="R6018" s="4"/>
      <c r="S6018" s="4"/>
      <c r="T6018" s="4"/>
      <c r="U6018" s="4"/>
      <c r="V6018" s="4"/>
      <c r="W6018" s="4"/>
      <c r="X6018" s="4"/>
    </row>
    <row r="6019" spans="17:24" x14ac:dyDescent="0.3">
      <c r="Q6019" s="4"/>
      <c r="R6019" s="4"/>
      <c r="S6019" s="4"/>
      <c r="T6019" s="4"/>
      <c r="U6019" s="4"/>
      <c r="V6019" s="4"/>
      <c r="W6019" s="4"/>
      <c r="X6019" s="4"/>
    </row>
    <row r="6020" spans="17:24" x14ac:dyDescent="0.3">
      <c r="Q6020" s="4"/>
      <c r="R6020" s="4"/>
      <c r="S6020" s="4"/>
      <c r="T6020" s="4"/>
      <c r="U6020" s="4"/>
      <c r="V6020" s="4"/>
      <c r="W6020" s="4"/>
      <c r="X6020" s="4"/>
    </row>
    <row r="6021" spans="17:24" x14ac:dyDescent="0.3">
      <c r="Q6021" s="4"/>
      <c r="R6021" s="4"/>
      <c r="S6021" s="4"/>
      <c r="T6021" s="4"/>
      <c r="U6021" s="4"/>
      <c r="V6021" s="4"/>
      <c r="W6021" s="4"/>
      <c r="X6021" s="4"/>
    </row>
    <row r="6022" spans="17:24" x14ac:dyDescent="0.3">
      <c r="Q6022" s="4"/>
      <c r="R6022" s="4"/>
      <c r="S6022" s="4"/>
      <c r="T6022" s="4"/>
      <c r="U6022" s="4"/>
      <c r="V6022" s="4"/>
      <c r="W6022" s="4"/>
      <c r="X6022" s="4"/>
    </row>
    <row r="6023" spans="17:24" x14ac:dyDescent="0.3">
      <c r="Q6023" s="4"/>
      <c r="R6023" s="4"/>
      <c r="S6023" s="4"/>
      <c r="T6023" s="4"/>
      <c r="U6023" s="4"/>
      <c r="V6023" s="4"/>
      <c r="W6023" s="4"/>
      <c r="X6023" s="4"/>
    </row>
    <row r="6024" spans="17:24" x14ac:dyDescent="0.3">
      <c r="Q6024" s="4"/>
      <c r="R6024" s="4"/>
      <c r="S6024" s="4"/>
      <c r="T6024" s="4"/>
      <c r="U6024" s="4"/>
      <c r="V6024" s="4"/>
      <c r="W6024" s="4"/>
      <c r="X6024" s="4"/>
    </row>
    <row r="6025" spans="17:24" x14ac:dyDescent="0.3">
      <c r="Q6025" s="4"/>
      <c r="R6025" s="4"/>
      <c r="S6025" s="4"/>
      <c r="T6025" s="4"/>
      <c r="U6025" s="4"/>
      <c r="V6025" s="4"/>
      <c r="W6025" s="4"/>
      <c r="X6025" s="4"/>
    </row>
    <row r="6026" spans="17:24" x14ac:dyDescent="0.3">
      <c r="Q6026" s="4"/>
      <c r="R6026" s="4"/>
      <c r="S6026" s="4"/>
      <c r="T6026" s="4"/>
      <c r="U6026" s="4"/>
      <c r="V6026" s="4"/>
      <c r="W6026" s="4"/>
      <c r="X6026" s="4"/>
    </row>
    <row r="6027" spans="17:24" x14ac:dyDescent="0.3">
      <c r="Q6027" s="4"/>
      <c r="R6027" s="4"/>
      <c r="S6027" s="4"/>
      <c r="T6027" s="4"/>
      <c r="U6027" s="4"/>
      <c r="V6027" s="4"/>
      <c r="W6027" s="4"/>
      <c r="X6027" s="4"/>
    </row>
    <row r="6028" spans="17:24" x14ac:dyDescent="0.3">
      <c r="Q6028" s="4"/>
      <c r="R6028" s="4"/>
      <c r="S6028" s="4"/>
      <c r="T6028" s="4"/>
      <c r="U6028" s="4"/>
      <c r="V6028" s="4"/>
      <c r="W6028" s="4"/>
      <c r="X6028" s="4"/>
    </row>
    <row r="6029" spans="17:24" x14ac:dyDescent="0.3">
      <c r="Q6029" s="4"/>
      <c r="R6029" s="4"/>
      <c r="S6029" s="4"/>
      <c r="T6029" s="4"/>
      <c r="U6029" s="4"/>
      <c r="V6029" s="4"/>
      <c r="W6029" s="4"/>
      <c r="X6029" s="4"/>
    </row>
    <row r="6030" spans="17:24" x14ac:dyDescent="0.3">
      <c r="Q6030" s="4"/>
      <c r="R6030" s="4"/>
      <c r="S6030" s="4"/>
      <c r="T6030" s="4"/>
      <c r="U6030" s="4"/>
      <c r="V6030" s="4"/>
      <c r="W6030" s="4"/>
      <c r="X6030" s="4"/>
    </row>
    <row r="6031" spans="17:24" x14ac:dyDescent="0.3">
      <c r="Q6031" s="4"/>
      <c r="R6031" s="4"/>
      <c r="S6031" s="4"/>
      <c r="T6031" s="4"/>
      <c r="U6031" s="4"/>
      <c r="V6031" s="4"/>
      <c r="W6031" s="4"/>
      <c r="X6031" s="4"/>
    </row>
    <row r="6032" spans="17:24" x14ac:dyDescent="0.3">
      <c r="Q6032" s="4"/>
      <c r="R6032" s="4"/>
      <c r="S6032" s="4"/>
      <c r="T6032" s="4"/>
      <c r="U6032" s="4"/>
      <c r="V6032" s="4"/>
      <c r="W6032" s="4"/>
      <c r="X6032" s="4"/>
    </row>
    <row r="6033" spans="17:24" x14ac:dyDescent="0.3">
      <c r="Q6033" s="4"/>
      <c r="R6033" s="4"/>
      <c r="S6033" s="4"/>
      <c r="T6033" s="4"/>
      <c r="U6033" s="4"/>
      <c r="V6033" s="4"/>
      <c r="W6033" s="4"/>
      <c r="X6033" s="4"/>
    </row>
    <row r="6034" spans="17:24" x14ac:dyDescent="0.3">
      <c r="Q6034" s="4"/>
      <c r="R6034" s="4"/>
      <c r="S6034" s="4"/>
      <c r="T6034" s="4"/>
      <c r="U6034" s="4"/>
      <c r="V6034" s="4"/>
      <c r="W6034" s="4"/>
      <c r="X6034" s="4"/>
    </row>
    <row r="6035" spans="17:24" x14ac:dyDescent="0.3">
      <c r="Q6035" s="4"/>
      <c r="R6035" s="4"/>
      <c r="S6035" s="4"/>
      <c r="T6035" s="4"/>
      <c r="U6035" s="4"/>
      <c r="V6035" s="4"/>
      <c r="W6035" s="4"/>
      <c r="X6035" s="4"/>
    </row>
    <row r="6036" spans="17:24" x14ac:dyDescent="0.3">
      <c r="Q6036" s="4"/>
      <c r="R6036" s="4"/>
      <c r="S6036" s="4"/>
      <c r="T6036" s="4"/>
      <c r="U6036" s="4"/>
      <c r="V6036" s="4"/>
      <c r="W6036" s="4"/>
      <c r="X6036" s="4"/>
    </row>
    <row r="6037" spans="17:24" x14ac:dyDescent="0.3">
      <c r="Q6037" s="4"/>
      <c r="R6037" s="4"/>
      <c r="S6037" s="4"/>
      <c r="T6037" s="4"/>
      <c r="U6037" s="4"/>
      <c r="V6037" s="4"/>
      <c r="W6037" s="4"/>
      <c r="X6037" s="4"/>
    </row>
    <row r="6038" spans="17:24" x14ac:dyDescent="0.3">
      <c r="Q6038" s="4"/>
      <c r="R6038" s="4"/>
      <c r="S6038" s="4"/>
      <c r="T6038" s="4"/>
      <c r="U6038" s="4"/>
      <c r="V6038" s="4"/>
      <c r="W6038" s="4"/>
      <c r="X6038" s="4"/>
    </row>
    <row r="6039" spans="17:24" x14ac:dyDescent="0.3">
      <c r="Q6039" s="4"/>
      <c r="R6039" s="4"/>
      <c r="S6039" s="4"/>
      <c r="T6039" s="4"/>
      <c r="U6039" s="4"/>
      <c r="V6039" s="4"/>
      <c r="W6039" s="4"/>
      <c r="X6039" s="4"/>
    </row>
    <row r="6040" spans="17:24" x14ac:dyDescent="0.3">
      <c r="Q6040" s="4"/>
      <c r="R6040" s="4"/>
      <c r="S6040" s="4"/>
      <c r="T6040" s="4"/>
      <c r="U6040" s="4"/>
      <c r="V6040" s="4"/>
      <c r="W6040" s="4"/>
      <c r="X6040" s="4"/>
    </row>
    <row r="6041" spans="17:24" x14ac:dyDescent="0.3">
      <c r="Q6041" s="4"/>
      <c r="R6041" s="4"/>
      <c r="S6041" s="4"/>
      <c r="T6041" s="4"/>
      <c r="U6041" s="4"/>
      <c r="V6041" s="4"/>
      <c r="W6041" s="4"/>
      <c r="X6041" s="4"/>
    </row>
    <row r="6042" spans="17:24" x14ac:dyDescent="0.3">
      <c r="Q6042" s="4"/>
      <c r="R6042" s="4"/>
      <c r="S6042" s="4"/>
      <c r="T6042" s="4"/>
      <c r="U6042" s="4"/>
      <c r="V6042" s="4"/>
      <c r="W6042" s="4"/>
      <c r="X6042" s="4"/>
    </row>
    <row r="6043" spans="17:24" x14ac:dyDescent="0.3">
      <c r="Q6043" s="4"/>
      <c r="R6043" s="4"/>
      <c r="S6043" s="4"/>
      <c r="T6043" s="4"/>
      <c r="U6043" s="4"/>
      <c r="V6043" s="4"/>
      <c r="W6043" s="4"/>
      <c r="X6043" s="4"/>
    </row>
    <row r="6044" spans="17:24" x14ac:dyDescent="0.3">
      <c r="Q6044" s="4"/>
      <c r="R6044" s="4"/>
      <c r="S6044" s="4"/>
      <c r="T6044" s="4"/>
      <c r="U6044" s="4"/>
      <c r="V6044" s="4"/>
      <c r="W6044" s="4"/>
      <c r="X6044" s="4"/>
    </row>
    <row r="6045" spans="17:24" x14ac:dyDescent="0.3">
      <c r="Q6045" s="4"/>
      <c r="R6045" s="4"/>
      <c r="S6045" s="4"/>
      <c r="T6045" s="4"/>
      <c r="U6045" s="4"/>
      <c r="V6045" s="4"/>
      <c r="W6045" s="4"/>
      <c r="X6045" s="4"/>
    </row>
    <row r="6046" spans="17:24" x14ac:dyDescent="0.3">
      <c r="Q6046" s="4"/>
      <c r="R6046" s="4"/>
      <c r="S6046" s="4"/>
      <c r="T6046" s="4"/>
      <c r="U6046" s="4"/>
      <c r="V6046" s="4"/>
      <c r="W6046" s="4"/>
      <c r="X6046" s="4"/>
    </row>
    <row r="6047" spans="17:24" x14ac:dyDescent="0.3">
      <c r="Q6047" s="4"/>
      <c r="R6047" s="4"/>
      <c r="S6047" s="4"/>
      <c r="T6047" s="4"/>
      <c r="U6047" s="4"/>
      <c r="V6047" s="4"/>
      <c r="W6047" s="4"/>
      <c r="X6047" s="4"/>
    </row>
    <row r="6048" spans="17:24" x14ac:dyDescent="0.3">
      <c r="Q6048" s="4"/>
      <c r="R6048" s="4"/>
      <c r="S6048" s="4"/>
      <c r="T6048" s="4"/>
      <c r="U6048" s="4"/>
      <c r="V6048" s="4"/>
      <c r="W6048" s="4"/>
      <c r="X6048" s="4"/>
    </row>
    <row r="6049" spans="17:24" x14ac:dyDescent="0.3">
      <c r="Q6049" s="4"/>
      <c r="R6049" s="4"/>
      <c r="S6049" s="4"/>
      <c r="T6049" s="4"/>
      <c r="U6049" s="4"/>
      <c r="V6049" s="4"/>
      <c r="W6049" s="4"/>
      <c r="X6049" s="4"/>
    </row>
    <row r="6050" spans="17:24" x14ac:dyDescent="0.3">
      <c r="Q6050" s="4"/>
      <c r="R6050" s="4"/>
      <c r="S6050" s="4"/>
      <c r="T6050" s="4"/>
      <c r="U6050" s="4"/>
      <c r="V6050" s="4"/>
      <c r="W6050" s="4"/>
      <c r="X6050" s="4"/>
    </row>
    <row r="6051" spans="17:24" x14ac:dyDescent="0.3">
      <c r="Q6051" s="4"/>
      <c r="R6051" s="4"/>
      <c r="S6051" s="4"/>
      <c r="T6051" s="4"/>
      <c r="U6051" s="4"/>
      <c r="V6051" s="4"/>
      <c r="W6051" s="4"/>
      <c r="X6051" s="4"/>
    </row>
    <row r="6052" spans="17:24" x14ac:dyDescent="0.3">
      <c r="Q6052" s="4"/>
      <c r="R6052" s="4"/>
      <c r="S6052" s="4"/>
      <c r="T6052" s="4"/>
      <c r="U6052" s="4"/>
      <c r="V6052" s="4"/>
      <c r="W6052" s="4"/>
      <c r="X6052" s="4"/>
    </row>
    <row r="6053" spans="17:24" x14ac:dyDescent="0.3">
      <c r="Q6053" s="4"/>
      <c r="R6053" s="4"/>
      <c r="S6053" s="4"/>
      <c r="T6053" s="4"/>
      <c r="U6053" s="4"/>
      <c r="V6053" s="4"/>
      <c r="W6053" s="4"/>
      <c r="X6053" s="4"/>
    </row>
    <row r="6054" spans="17:24" x14ac:dyDescent="0.3">
      <c r="Q6054" s="4"/>
      <c r="R6054" s="4"/>
      <c r="S6054" s="4"/>
      <c r="T6054" s="4"/>
      <c r="U6054" s="4"/>
      <c r="V6054" s="4"/>
      <c r="W6054" s="4"/>
      <c r="X6054" s="4"/>
    </row>
    <row r="6055" spans="17:24" x14ac:dyDescent="0.3">
      <c r="Q6055" s="4"/>
      <c r="R6055" s="4"/>
      <c r="S6055" s="4"/>
      <c r="T6055" s="4"/>
      <c r="U6055" s="4"/>
      <c r="V6055" s="4"/>
      <c r="W6055" s="4"/>
      <c r="X6055" s="4"/>
    </row>
    <row r="6056" spans="17:24" x14ac:dyDescent="0.3">
      <c r="Q6056" s="4"/>
      <c r="R6056" s="4"/>
      <c r="S6056" s="4"/>
      <c r="T6056" s="4"/>
      <c r="U6056" s="4"/>
      <c r="V6056" s="4"/>
      <c r="W6056" s="4"/>
      <c r="X6056" s="4"/>
    </row>
    <row r="6057" spans="17:24" x14ac:dyDescent="0.3">
      <c r="Q6057" s="4"/>
      <c r="R6057" s="4"/>
      <c r="S6057" s="4"/>
      <c r="T6057" s="4"/>
      <c r="U6057" s="4"/>
      <c r="V6057" s="4"/>
      <c r="W6057" s="4"/>
      <c r="X6057" s="4"/>
    </row>
    <row r="6058" spans="17:24" x14ac:dyDescent="0.3">
      <c r="Q6058" s="4"/>
      <c r="R6058" s="4"/>
      <c r="S6058" s="4"/>
      <c r="T6058" s="4"/>
      <c r="U6058" s="4"/>
      <c r="V6058" s="4"/>
      <c r="W6058" s="4"/>
      <c r="X6058" s="4"/>
    </row>
    <row r="6059" spans="17:24" x14ac:dyDescent="0.3">
      <c r="Q6059" s="4"/>
      <c r="R6059" s="4"/>
      <c r="S6059" s="4"/>
      <c r="T6059" s="4"/>
      <c r="U6059" s="4"/>
      <c r="V6059" s="4"/>
      <c r="W6059" s="4"/>
      <c r="X6059" s="4"/>
    </row>
    <row r="6060" spans="17:24" x14ac:dyDescent="0.3">
      <c r="Q6060" s="4"/>
      <c r="R6060" s="4"/>
      <c r="S6060" s="4"/>
      <c r="T6060" s="4"/>
      <c r="U6060" s="4"/>
      <c r="V6060" s="4"/>
      <c r="W6060" s="4"/>
      <c r="X6060" s="4"/>
    </row>
    <row r="6061" spans="17:24" x14ac:dyDescent="0.3">
      <c r="Q6061" s="4"/>
      <c r="R6061" s="4"/>
      <c r="S6061" s="4"/>
      <c r="T6061" s="4"/>
      <c r="U6061" s="4"/>
      <c r="V6061" s="4"/>
      <c r="W6061" s="4"/>
      <c r="X6061" s="4"/>
    </row>
    <row r="6062" spans="17:24" x14ac:dyDescent="0.3">
      <c r="Q6062" s="4"/>
      <c r="R6062" s="4"/>
      <c r="S6062" s="4"/>
      <c r="T6062" s="4"/>
      <c r="U6062" s="4"/>
      <c r="V6062" s="4"/>
      <c r="W6062" s="4"/>
      <c r="X6062" s="4"/>
    </row>
    <row r="6063" spans="17:24" x14ac:dyDescent="0.3">
      <c r="Q6063" s="4"/>
      <c r="R6063" s="4"/>
      <c r="S6063" s="4"/>
      <c r="T6063" s="4"/>
      <c r="U6063" s="4"/>
      <c r="V6063" s="4"/>
      <c r="W6063" s="4"/>
      <c r="X6063" s="4"/>
    </row>
    <row r="6064" spans="17:24" x14ac:dyDescent="0.3">
      <c r="Q6064" s="4"/>
      <c r="R6064" s="4"/>
      <c r="S6064" s="4"/>
      <c r="T6064" s="4"/>
      <c r="U6064" s="4"/>
      <c r="V6064" s="4"/>
      <c r="W6064" s="4"/>
      <c r="X6064" s="4"/>
    </row>
    <row r="6065" spans="17:24" x14ac:dyDescent="0.3">
      <c r="Q6065" s="4"/>
      <c r="R6065" s="4"/>
      <c r="S6065" s="4"/>
      <c r="T6065" s="4"/>
      <c r="U6065" s="4"/>
      <c r="V6065" s="4"/>
      <c r="W6065" s="4"/>
      <c r="X6065" s="4"/>
    </row>
    <row r="6066" spans="17:24" x14ac:dyDescent="0.3">
      <c r="Q6066" s="4"/>
      <c r="R6066" s="4"/>
      <c r="S6066" s="4"/>
      <c r="T6066" s="4"/>
      <c r="U6066" s="4"/>
      <c r="V6066" s="4"/>
      <c r="W6066" s="4"/>
      <c r="X6066" s="4"/>
    </row>
    <row r="6067" spans="17:24" x14ac:dyDescent="0.3">
      <c r="Q6067" s="4"/>
      <c r="R6067" s="4"/>
      <c r="S6067" s="4"/>
      <c r="T6067" s="4"/>
      <c r="U6067" s="4"/>
      <c r="V6067" s="4"/>
      <c r="W6067" s="4"/>
      <c r="X6067" s="4"/>
    </row>
    <row r="6068" spans="17:24" x14ac:dyDescent="0.3">
      <c r="Q6068" s="4"/>
      <c r="R6068" s="4"/>
      <c r="S6068" s="4"/>
      <c r="T6068" s="4"/>
      <c r="U6068" s="4"/>
      <c r="V6068" s="4"/>
      <c r="W6068" s="4"/>
      <c r="X6068" s="4"/>
    </row>
    <row r="6069" spans="17:24" x14ac:dyDescent="0.3">
      <c r="Q6069" s="4"/>
      <c r="R6069" s="4"/>
      <c r="S6069" s="4"/>
      <c r="T6069" s="4"/>
      <c r="U6069" s="4"/>
      <c r="V6069" s="4"/>
      <c r="W6069" s="4"/>
      <c r="X6069" s="4"/>
    </row>
    <row r="6070" spans="17:24" x14ac:dyDescent="0.3">
      <c r="Q6070" s="4"/>
      <c r="R6070" s="4"/>
      <c r="S6070" s="4"/>
      <c r="T6070" s="4"/>
      <c r="U6070" s="4"/>
      <c r="V6070" s="4"/>
      <c r="W6070" s="4"/>
      <c r="X6070" s="4"/>
    </row>
    <row r="6071" spans="17:24" x14ac:dyDescent="0.3">
      <c r="Q6071" s="4"/>
      <c r="R6071" s="4"/>
      <c r="S6071" s="4"/>
      <c r="T6071" s="4"/>
      <c r="U6071" s="4"/>
      <c r="V6071" s="4"/>
      <c r="W6071" s="4"/>
      <c r="X6071" s="4"/>
    </row>
    <row r="6072" spans="17:24" x14ac:dyDescent="0.3">
      <c r="Q6072" s="4"/>
      <c r="R6072" s="4"/>
      <c r="S6072" s="4"/>
      <c r="T6072" s="4"/>
      <c r="U6072" s="4"/>
      <c r="V6072" s="4"/>
      <c r="W6072" s="4"/>
      <c r="X6072" s="4"/>
    </row>
    <row r="6073" spans="17:24" x14ac:dyDescent="0.3">
      <c r="Q6073" s="4"/>
      <c r="R6073" s="4"/>
      <c r="S6073" s="4"/>
      <c r="T6073" s="4"/>
      <c r="U6073" s="4"/>
      <c r="V6073" s="4"/>
      <c r="W6073" s="4"/>
      <c r="X6073" s="4"/>
    </row>
    <row r="6074" spans="17:24" x14ac:dyDescent="0.3">
      <c r="Q6074" s="4"/>
      <c r="R6074" s="4"/>
      <c r="S6074" s="4"/>
      <c r="T6074" s="4"/>
      <c r="U6074" s="4"/>
      <c r="V6074" s="4"/>
      <c r="W6074" s="4"/>
      <c r="X6074" s="4"/>
    </row>
    <row r="6075" spans="17:24" x14ac:dyDescent="0.3">
      <c r="Q6075" s="4"/>
      <c r="R6075" s="4"/>
      <c r="S6075" s="4"/>
      <c r="T6075" s="4"/>
      <c r="U6075" s="4"/>
      <c r="V6075" s="4"/>
      <c r="W6075" s="4"/>
      <c r="X6075" s="4"/>
    </row>
    <row r="6076" spans="17:24" x14ac:dyDescent="0.3">
      <c r="Q6076" s="4"/>
      <c r="R6076" s="4"/>
      <c r="S6076" s="4"/>
      <c r="T6076" s="4"/>
      <c r="U6076" s="4"/>
      <c r="V6076" s="4"/>
      <c r="W6076" s="4"/>
      <c r="X6076" s="4"/>
    </row>
    <row r="6077" spans="17:24" x14ac:dyDescent="0.3">
      <c r="Q6077" s="4"/>
      <c r="R6077" s="4"/>
      <c r="S6077" s="4"/>
      <c r="T6077" s="4"/>
      <c r="U6077" s="4"/>
      <c r="V6077" s="4"/>
      <c r="W6077" s="4"/>
      <c r="X6077" s="4"/>
    </row>
    <row r="6078" spans="17:24" x14ac:dyDescent="0.3">
      <c r="Q6078" s="4"/>
      <c r="R6078" s="4"/>
      <c r="S6078" s="4"/>
      <c r="T6078" s="4"/>
      <c r="U6078" s="4"/>
      <c r="V6078" s="4"/>
      <c r="W6078" s="4"/>
      <c r="X6078" s="4"/>
    </row>
    <row r="6079" spans="17:24" x14ac:dyDescent="0.3">
      <c r="Q6079" s="4"/>
      <c r="R6079" s="4"/>
      <c r="S6079" s="4"/>
      <c r="T6079" s="4"/>
      <c r="U6079" s="4"/>
      <c r="V6079" s="4"/>
      <c r="W6079" s="4"/>
      <c r="X6079" s="4"/>
    </row>
    <row r="6080" spans="17:24" x14ac:dyDescent="0.3">
      <c r="Q6080" s="4"/>
      <c r="R6080" s="4"/>
      <c r="S6080" s="4"/>
      <c r="T6080" s="4"/>
      <c r="U6080" s="4"/>
      <c r="V6080" s="4"/>
      <c r="W6080" s="4"/>
      <c r="X6080" s="4"/>
    </row>
    <row r="6081" spans="17:24" x14ac:dyDescent="0.3">
      <c r="Q6081" s="4"/>
      <c r="R6081" s="4"/>
      <c r="S6081" s="4"/>
      <c r="T6081" s="4"/>
      <c r="U6081" s="4"/>
      <c r="V6081" s="4"/>
      <c r="W6081" s="4"/>
      <c r="X6081" s="4"/>
    </row>
    <row r="6082" spans="17:24" x14ac:dyDescent="0.3">
      <c r="Q6082" s="4"/>
      <c r="R6082" s="4"/>
      <c r="S6082" s="4"/>
      <c r="T6082" s="4"/>
      <c r="U6082" s="4"/>
      <c r="V6082" s="4"/>
      <c r="W6082" s="4"/>
      <c r="X6082" s="4"/>
    </row>
    <row r="6083" spans="17:24" x14ac:dyDescent="0.3">
      <c r="Q6083" s="4"/>
      <c r="R6083" s="4"/>
      <c r="S6083" s="4"/>
      <c r="T6083" s="4"/>
      <c r="U6083" s="4"/>
      <c r="V6083" s="4"/>
      <c r="W6083" s="4"/>
      <c r="X6083" s="4"/>
    </row>
    <row r="6084" spans="17:24" x14ac:dyDescent="0.3">
      <c r="Q6084" s="4"/>
      <c r="R6084" s="4"/>
      <c r="S6084" s="4"/>
      <c r="T6084" s="4"/>
      <c r="U6084" s="4"/>
      <c r="V6084" s="4"/>
      <c r="W6084" s="4"/>
      <c r="X6084" s="4"/>
    </row>
    <row r="6085" spans="17:24" x14ac:dyDescent="0.3">
      <c r="Q6085" s="4"/>
      <c r="R6085" s="4"/>
      <c r="S6085" s="4"/>
      <c r="T6085" s="4"/>
      <c r="U6085" s="4"/>
      <c r="V6085" s="4"/>
      <c r="W6085" s="4"/>
      <c r="X6085" s="4"/>
    </row>
    <row r="6086" spans="17:24" x14ac:dyDescent="0.3">
      <c r="Q6086" s="4"/>
      <c r="R6086" s="4"/>
      <c r="S6086" s="4"/>
      <c r="T6086" s="4"/>
      <c r="U6086" s="4"/>
      <c r="V6086" s="4"/>
      <c r="W6086" s="4"/>
      <c r="X6086" s="4"/>
    </row>
    <row r="6087" spans="17:24" x14ac:dyDescent="0.3">
      <c r="Q6087" s="4"/>
      <c r="R6087" s="4"/>
      <c r="S6087" s="4"/>
      <c r="T6087" s="4"/>
      <c r="U6087" s="4"/>
      <c r="V6087" s="4"/>
      <c r="W6087" s="4"/>
      <c r="X6087" s="4"/>
    </row>
    <row r="6088" spans="17:24" x14ac:dyDescent="0.3">
      <c r="Q6088" s="4"/>
      <c r="R6088" s="4"/>
      <c r="S6088" s="4"/>
      <c r="T6088" s="4"/>
      <c r="U6088" s="4"/>
      <c r="V6088" s="4"/>
      <c r="W6088" s="4"/>
      <c r="X6088" s="4"/>
    </row>
    <row r="6089" spans="17:24" x14ac:dyDescent="0.3">
      <c r="Q6089" s="4"/>
      <c r="R6089" s="4"/>
      <c r="S6089" s="4"/>
      <c r="T6089" s="4"/>
      <c r="U6089" s="4"/>
      <c r="V6089" s="4"/>
      <c r="W6089" s="4"/>
      <c r="X6089" s="4"/>
    </row>
    <row r="6090" spans="17:24" x14ac:dyDescent="0.3">
      <c r="Q6090" s="4"/>
      <c r="R6090" s="4"/>
      <c r="S6090" s="4"/>
      <c r="T6090" s="4"/>
      <c r="U6090" s="4"/>
      <c r="V6090" s="4"/>
      <c r="W6090" s="4"/>
      <c r="X6090" s="4"/>
    </row>
    <row r="6091" spans="17:24" x14ac:dyDescent="0.3">
      <c r="Q6091" s="4"/>
      <c r="R6091" s="4"/>
      <c r="S6091" s="4"/>
      <c r="T6091" s="4"/>
      <c r="U6091" s="4"/>
      <c r="V6091" s="4"/>
      <c r="W6091" s="4"/>
      <c r="X6091" s="4"/>
    </row>
    <row r="6092" spans="17:24" x14ac:dyDescent="0.3">
      <c r="Q6092" s="4"/>
      <c r="R6092" s="4"/>
      <c r="S6092" s="4"/>
      <c r="T6092" s="4"/>
      <c r="U6092" s="4"/>
      <c r="V6092" s="4"/>
      <c r="W6092" s="4"/>
      <c r="X6092" s="4"/>
    </row>
    <row r="6093" spans="17:24" x14ac:dyDescent="0.3">
      <c r="Q6093" s="4"/>
      <c r="R6093" s="4"/>
      <c r="S6093" s="4"/>
      <c r="T6093" s="4"/>
      <c r="U6093" s="4"/>
      <c r="V6093" s="4"/>
      <c r="W6093" s="4"/>
      <c r="X6093" s="4"/>
    </row>
    <row r="6094" spans="17:24" x14ac:dyDescent="0.3">
      <c r="Q6094" s="4"/>
      <c r="R6094" s="4"/>
      <c r="S6094" s="4"/>
      <c r="T6094" s="4"/>
      <c r="U6094" s="4"/>
      <c r="V6094" s="4"/>
      <c r="W6094" s="4"/>
      <c r="X6094" s="4"/>
    </row>
    <row r="6095" spans="17:24" x14ac:dyDescent="0.3">
      <c r="Q6095" s="4"/>
      <c r="R6095" s="4"/>
      <c r="S6095" s="4"/>
      <c r="T6095" s="4"/>
      <c r="U6095" s="4"/>
      <c r="V6095" s="4"/>
      <c r="W6095" s="4"/>
      <c r="X6095" s="4"/>
    </row>
    <row r="6096" spans="17:24" x14ac:dyDescent="0.3">
      <c r="Q6096" s="4"/>
      <c r="R6096" s="4"/>
      <c r="S6096" s="4"/>
      <c r="T6096" s="4"/>
      <c r="U6096" s="4"/>
      <c r="V6096" s="4"/>
      <c r="W6096" s="4"/>
      <c r="X6096" s="4"/>
    </row>
    <row r="6097" spans="17:24" x14ac:dyDescent="0.3">
      <c r="Q6097" s="4"/>
      <c r="R6097" s="4"/>
      <c r="S6097" s="4"/>
      <c r="T6097" s="4"/>
      <c r="U6097" s="4"/>
      <c r="V6097" s="4"/>
      <c r="W6097" s="4"/>
      <c r="X6097" s="4"/>
    </row>
    <row r="6098" spans="17:24" x14ac:dyDescent="0.3">
      <c r="Q6098" s="4"/>
      <c r="R6098" s="4"/>
      <c r="S6098" s="4"/>
      <c r="T6098" s="4"/>
      <c r="U6098" s="4"/>
      <c r="V6098" s="4"/>
      <c r="W6098" s="4"/>
      <c r="X6098" s="4"/>
    </row>
    <row r="6099" spans="17:24" x14ac:dyDescent="0.3">
      <c r="Q6099" s="4"/>
      <c r="R6099" s="4"/>
      <c r="S6099" s="4"/>
      <c r="T6099" s="4"/>
      <c r="U6099" s="4"/>
      <c r="V6099" s="4"/>
      <c r="W6099" s="4"/>
      <c r="X6099" s="4"/>
    </row>
    <row r="6100" spans="17:24" x14ac:dyDescent="0.3">
      <c r="Q6100" s="4"/>
      <c r="R6100" s="4"/>
      <c r="S6100" s="4"/>
      <c r="T6100" s="4"/>
      <c r="U6100" s="4"/>
      <c r="V6100" s="4"/>
      <c r="W6100" s="4"/>
      <c r="X6100" s="4"/>
    </row>
    <row r="6101" spans="17:24" x14ac:dyDescent="0.3">
      <c r="Q6101" s="4"/>
      <c r="R6101" s="4"/>
      <c r="S6101" s="4"/>
      <c r="T6101" s="4"/>
      <c r="U6101" s="4"/>
      <c r="V6101" s="4"/>
      <c r="W6101" s="4"/>
      <c r="X6101" s="4"/>
    </row>
    <row r="6102" spans="17:24" x14ac:dyDescent="0.3">
      <c r="Q6102" s="4"/>
      <c r="R6102" s="4"/>
      <c r="S6102" s="4"/>
      <c r="T6102" s="4"/>
      <c r="U6102" s="4"/>
      <c r="V6102" s="4"/>
      <c r="W6102" s="4"/>
      <c r="X6102" s="4"/>
    </row>
    <row r="6103" spans="17:24" x14ac:dyDescent="0.3">
      <c r="Q6103" s="4"/>
      <c r="R6103" s="4"/>
      <c r="S6103" s="4"/>
      <c r="T6103" s="4"/>
      <c r="U6103" s="4"/>
      <c r="V6103" s="4"/>
      <c r="W6103" s="4"/>
      <c r="X6103" s="4"/>
    </row>
    <row r="6104" spans="17:24" x14ac:dyDescent="0.3">
      <c r="Q6104" s="4"/>
      <c r="R6104" s="4"/>
      <c r="S6104" s="4"/>
      <c r="T6104" s="4"/>
      <c r="U6104" s="4"/>
      <c r="V6104" s="4"/>
      <c r="W6104" s="4"/>
      <c r="X6104" s="4"/>
    </row>
    <row r="6105" spans="17:24" x14ac:dyDescent="0.3">
      <c r="Q6105" s="4"/>
      <c r="R6105" s="4"/>
      <c r="S6105" s="4"/>
      <c r="T6105" s="4"/>
      <c r="U6105" s="4"/>
      <c r="V6105" s="4"/>
      <c r="W6105" s="4"/>
      <c r="X6105" s="4"/>
    </row>
    <row r="6106" spans="17:24" x14ac:dyDescent="0.3">
      <c r="Q6106" s="4"/>
      <c r="R6106" s="4"/>
      <c r="S6106" s="4"/>
      <c r="T6106" s="4"/>
      <c r="U6106" s="4"/>
      <c r="V6106" s="4"/>
      <c r="W6106" s="4"/>
      <c r="X6106" s="4"/>
    </row>
    <row r="6107" spans="17:24" x14ac:dyDescent="0.3">
      <c r="Q6107" s="4"/>
      <c r="R6107" s="4"/>
      <c r="S6107" s="4"/>
      <c r="T6107" s="4"/>
      <c r="U6107" s="4"/>
      <c r="V6107" s="4"/>
      <c r="W6107" s="4"/>
      <c r="X6107" s="4"/>
    </row>
    <row r="6108" spans="17:24" x14ac:dyDescent="0.3">
      <c r="Q6108" s="4"/>
      <c r="R6108" s="4"/>
      <c r="S6108" s="4"/>
      <c r="T6108" s="4"/>
      <c r="U6108" s="4"/>
      <c r="V6108" s="4"/>
      <c r="W6108" s="4"/>
      <c r="X6108" s="4"/>
    </row>
    <row r="6109" spans="17:24" x14ac:dyDescent="0.3">
      <c r="Q6109" s="4"/>
      <c r="R6109" s="4"/>
      <c r="S6109" s="4"/>
      <c r="T6109" s="4"/>
      <c r="U6109" s="4"/>
      <c r="V6109" s="4"/>
      <c r="W6109" s="4"/>
      <c r="X6109" s="4"/>
    </row>
    <row r="6110" spans="17:24" x14ac:dyDescent="0.3">
      <c r="Q6110" s="4"/>
      <c r="R6110" s="4"/>
      <c r="S6110" s="4"/>
      <c r="T6110" s="4"/>
      <c r="U6110" s="4"/>
      <c r="V6110" s="4"/>
      <c r="W6110" s="4"/>
      <c r="X6110" s="4"/>
    </row>
    <row r="6111" spans="17:24" x14ac:dyDescent="0.3">
      <c r="Q6111" s="4"/>
      <c r="R6111" s="4"/>
      <c r="S6111" s="4"/>
      <c r="T6111" s="4"/>
      <c r="U6111" s="4"/>
      <c r="V6111" s="4"/>
      <c r="W6111" s="4"/>
      <c r="X6111" s="4"/>
    </row>
    <row r="6112" spans="17:24" x14ac:dyDescent="0.3">
      <c r="Q6112" s="4"/>
      <c r="R6112" s="4"/>
      <c r="S6112" s="4"/>
      <c r="T6112" s="4"/>
      <c r="U6112" s="4"/>
      <c r="V6112" s="4"/>
      <c r="W6112" s="4"/>
      <c r="X6112" s="4"/>
    </row>
    <row r="6113" spans="17:24" x14ac:dyDescent="0.3">
      <c r="Q6113" s="4"/>
      <c r="R6113" s="4"/>
      <c r="S6113" s="4"/>
      <c r="T6113" s="4"/>
      <c r="U6113" s="4"/>
      <c r="V6113" s="4"/>
      <c r="W6113" s="4"/>
      <c r="X6113" s="4"/>
    </row>
    <row r="6114" spans="17:24" x14ac:dyDescent="0.3">
      <c r="Q6114" s="4"/>
      <c r="R6114" s="4"/>
      <c r="S6114" s="4"/>
      <c r="T6114" s="4"/>
      <c r="U6114" s="4"/>
      <c r="V6114" s="4"/>
      <c r="W6114" s="4"/>
      <c r="X6114" s="4"/>
    </row>
    <row r="6115" spans="17:24" x14ac:dyDescent="0.3">
      <c r="Q6115" s="4"/>
      <c r="R6115" s="4"/>
      <c r="S6115" s="4"/>
      <c r="T6115" s="4"/>
      <c r="U6115" s="4"/>
      <c r="V6115" s="4"/>
      <c r="W6115" s="4"/>
      <c r="X6115" s="4"/>
    </row>
    <row r="6116" spans="17:24" x14ac:dyDescent="0.3">
      <c r="Q6116" s="4"/>
      <c r="R6116" s="4"/>
      <c r="S6116" s="4"/>
      <c r="T6116" s="4"/>
      <c r="U6116" s="4"/>
      <c r="V6116" s="4"/>
      <c r="W6116" s="4"/>
      <c r="X6116" s="4"/>
    </row>
    <row r="6117" spans="17:24" x14ac:dyDescent="0.3">
      <c r="Q6117" s="4"/>
      <c r="R6117" s="4"/>
      <c r="S6117" s="4"/>
      <c r="T6117" s="4"/>
      <c r="U6117" s="4"/>
      <c r="V6117" s="4"/>
      <c r="W6117" s="4"/>
      <c r="X6117" s="4"/>
    </row>
    <row r="6118" spans="17:24" x14ac:dyDescent="0.3">
      <c r="Q6118" s="4"/>
      <c r="R6118" s="4"/>
      <c r="S6118" s="4"/>
      <c r="T6118" s="4"/>
      <c r="U6118" s="4"/>
      <c r="V6118" s="4"/>
      <c r="W6118" s="4"/>
      <c r="X6118" s="4"/>
    </row>
    <row r="6119" spans="17:24" x14ac:dyDescent="0.3">
      <c r="Q6119" s="4"/>
      <c r="R6119" s="4"/>
      <c r="S6119" s="4"/>
      <c r="T6119" s="4"/>
      <c r="U6119" s="4"/>
      <c r="V6119" s="4"/>
      <c r="W6119" s="4"/>
      <c r="X6119" s="4"/>
    </row>
    <row r="6120" spans="17:24" x14ac:dyDescent="0.3">
      <c r="Q6120" s="4"/>
      <c r="R6120" s="4"/>
      <c r="S6120" s="4"/>
      <c r="T6120" s="4"/>
      <c r="U6120" s="4"/>
      <c r="V6120" s="4"/>
      <c r="W6120" s="4"/>
      <c r="X6120" s="4"/>
    </row>
    <row r="6121" spans="17:24" x14ac:dyDescent="0.3">
      <c r="Q6121" s="4"/>
      <c r="R6121" s="4"/>
      <c r="S6121" s="4"/>
      <c r="T6121" s="4"/>
      <c r="U6121" s="4"/>
      <c r="V6121" s="4"/>
      <c r="W6121" s="4"/>
      <c r="X6121" s="4"/>
    </row>
    <row r="6122" spans="17:24" x14ac:dyDescent="0.3">
      <c r="Q6122" s="4"/>
      <c r="R6122" s="4"/>
      <c r="S6122" s="4"/>
      <c r="T6122" s="4"/>
      <c r="U6122" s="4"/>
      <c r="V6122" s="4"/>
      <c r="W6122" s="4"/>
      <c r="X6122" s="4"/>
    </row>
    <row r="6123" spans="17:24" x14ac:dyDescent="0.3">
      <c r="Q6123" s="4"/>
      <c r="R6123" s="4"/>
      <c r="S6123" s="4"/>
      <c r="T6123" s="4"/>
      <c r="U6123" s="4"/>
      <c r="V6123" s="4"/>
      <c r="W6123" s="4"/>
      <c r="X6123" s="4"/>
    </row>
    <row r="6124" spans="17:24" x14ac:dyDescent="0.3">
      <c r="Q6124" s="4"/>
      <c r="R6124" s="4"/>
      <c r="S6124" s="4"/>
      <c r="T6124" s="4"/>
      <c r="U6124" s="4"/>
      <c r="V6124" s="4"/>
      <c r="W6124" s="4"/>
      <c r="X6124" s="4"/>
    </row>
    <row r="6125" spans="17:24" x14ac:dyDescent="0.3">
      <c r="Q6125" s="4"/>
      <c r="R6125" s="4"/>
      <c r="S6125" s="4"/>
      <c r="T6125" s="4"/>
      <c r="U6125" s="4"/>
      <c r="V6125" s="4"/>
      <c r="W6125" s="4"/>
      <c r="X6125" s="4"/>
    </row>
    <row r="6126" spans="17:24" x14ac:dyDescent="0.3">
      <c r="Q6126" s="4"/>
      <c r="R6126" s="4"/>
      <c r="S6126" s="4"/>
      <c r="T6126" s="4"/>
      <c r="U6126" s="4"/>
      <c r="V6126" s="4"/>
      <c r="W6126" s="4"/>
      <c r="X6126" s="4"/>
    </row>
    <row r="6127" spans="17:24" x14ac:dyDescent="0.3">
      <c r="Q6127" s="4"/>
      <c r="R6127" s="4"/>
      <c r="S6127" s="4"/>
      <c r="T6127" s="4"/>
      <c r="U6127" s="4"/>
      <c r="V6127" s="4"/>
      <c r="W6127" s="4"/>
      <c r="X6127" s="4"/>
    </row>
    <row r="6128" spans="17:24" x14ac:dyDescent="0.3">
      <c r="Q6128" s="4"/>
      <c r="R6128" s="4"/>
      <c r="S6128" s="4"/>
      <c r="T6128" s="4"/>
      <c r="U6128" s="4"/>
      <c r="V6128" s="4"/>
      <c r="W6128" s="4"/>
      <c r="X6128" s="4"/>
    </row>
    <row r="6129" spans="17:24" x14ac:dyDescent="0.3">
      <c r="Q6129" s="4"/>
      <c r="R6129" s="4"/>
      <c r="S6129" s="4"/>
      <c r="T6129" s="4"/>
      <c r="U6129" s="4"/>
      <c r="V6129" s="4"/>
      <c r="W6129" s="4"/>
      <c r="X6129" s="4"/>
    </row>
    <row r="6130" spans="17:24" x14ac:dyDescent="0.3">
      <c r="Q6130" s="4"/>
      <c r="R6130" s="4"/>
      <c r="S6130" s="4"/>
      <c r="T6130" s="4"/>
      <c r="U6130" s="4"/>
      <c r="V6130" s="4"/>
      <c r="W6130" s="4"/>
      <c r="X6130" s="4"/>
    </row>
    <row r="6131" spans="17:24" x14ac:dyDescent="0.3">
      <c r="Q6131" s="4"/>
      <c r="R6131" s="4"/>
      <c r="S6131" s="4"/>
      <c r="T6131" s="4"/>
      <c r="U6131" s="4"/>
      <c r="V6131" s="4"/>
      <c r="W6131" s="4"/>
      <c r="X6131" s="4"/>
    </row>
    <row r="6132" spans="17:24" x14ac:dyDescent="0.3">
      <c r="Q6132" s="4"/>
      <c r="R6132" s="4"/>
      <c r="S6132" s="4"/>
      <c r="T6132" s="4"/>
      <c r="U6132" s="4"/>
      <c r="V6132" s="4"/>
      <c r="W6132" s="4"/>
      <c r="X6132" s="4"/>
    </row>
    <row r="6133" spans="17:24" x14ac:dyDescent="0.3">
      <c r="Q6133" s="4"/>
      <c r="R6133" s="4"/>
      <c r="S6133" s="4"/>
      <c r="T6133" s="4"/>
      <c r="U6133" s="4"/>
      <c r="V6133" s="4"/>
      <c r="W6133" s="4"/>
      <c r="X6133" s="4"/>
    </row>
    <row r="6134" spans="17:24" x14ac:dyDescent="0.3">
      <c r="Q6134" s="4"/>
      <c r="R6134" s="4"/>
      <c r="S6134" s="4"/>
      <c r="T6134" s="4"/>
      <c r="U6134" s="4"/>
      <c r="V6134" s="4"/>
      <c r="W6134" s="4"/>
      <c r="X6134" s="4"/>
    </row>
    <row r="6135" spans="17:24" x14ac:dyDescent="0.3">
      <c r="Q6135" s="4"/>
      <c r="R6135" s="4"/>
      <c r="S6135" s="4"/>
      <c r="T6135" s="4"/>
      <c r="U6135" s="4"/>
      <c r="V6135" s="4"/>
      <c r="W6135" s="4"/>
      <c r="X6135" s="4"/>
    </row>
    <row r="6136" spans="17:24" x14ac:dyDescent="0.3">
      <c r="Q6136" s="4"/>
      <c r="R6136" s="4"/>
      <c r="S6136" s="4"/>
      <c r="T6136" s="4"/>
      <c r="U6136" s="4"/>
      <c r="V6136" s="4"/>
      <c r="W6136" s="4"/>
      <c r="X6136" s="4"/>
    </row>
    <row r="6137" spans="17:24" x14ac:dyDescent="0.3">
      <c r="Q6137" s="4"/>
      <c r="R6137" s="4"/>
      <c r="S6137" s="4"/>
      <c r="T6137" s="4"/>
      <c r="U6137" s="4"/>
      <c r="V6137" s="4"/>
      <c r="W6137" s="4"/>
      <c r="X6137" s="4"/>
    </row>
    <row r="6138" spans="17:24" x14ac:dyDescent="0.3">
      <c r="Q6138" s="4"/>
      <c r="R6138" s="4"/>
      <c r="S6138" s="4"/>
      <c r="T6138" s="4"/>
      <c r="U6138" s="4"/>
      <c r="V6138" s="4"/>
      <c r="W6138" s="4"/>
      <c r="X6138" s="4"/>
    </row>
    <row r="6139" spans="17:24" x14ac:dyDescent="0.3">
      <c r="Q6139" s="4"/>
      <c r="R6139" s="4"/>
      <c r="S6139" s="4"/>
      <c r="T6139" s="4"/>
      <c r="U6139" s="4"/>
      <c r="V6139" s="4"/>
      <c r="W6139" s="4"/>
      <c r="X6139" s="4"/>
    </row>
    <row r="6140" spans="17:24" x14ac:dyDescent="0.3">
      <c r="Q6140" s="4"/>
      <c r="R6140" s="4"/>
      <c r="S6140" s="4"/>
      <c r="T6140" s="4"/>
      <c r="U6140" s="4"/>
      <c r="V6140" s="4"/>
      <c r="W6140" s="4"/>
      <c r="X6140" s="4"/>
    </row>
    <row r="6141" spans="17:24" x14ac:dyDescent="0.3">
      <c r="Q6141" s="4"/>
      <c r="R6141" s="4"/>
      <c r="S6141" s="4"/>
      <c r="T6141" s="4"/>
      <c r="U6141" s="4"/>
      <c r="V6141" s="4"/>
      <c r="W6141" s="4"/>
      <c r="X6141" s="4"/>
    </row>
    <row r="6142" spans="17:24" x14ac:dyDescent="0.3">
      <c r="Q6142" s="4"/>
      <c r="R6142" s="4"/>
      <c r="S6142" s="4"/>
      <c r="T6142" s="4"/>
      <c r="U6142" s="4"/>
      <c r="V6142" s="4"/>
      <c r="W6142" s="4"/>
      <c r="X6142" s="4"/>
    </row>
    <row r="6143" spans="17:24" x14ac:dyDescent="0.3">
      <c r="Q6143" s="4"/>
      <c r="R6143" s="4"/>
      <c r="S6143" s="4"/>
      <c r="T6143" s="4"/>
      <c r="U6143" s="4"/>
      <c r="V6143" s="4"/>
      <c r="W6143" s="4"/>
      <c r="X6143" s="4"/>
    </row>
    <row r="6144" spans="17:24" x14ac:dyDescent="0.3">
      <c r="Q6144" s="4"/>
      <c r="R6144" s="4"/>
      <c r="S6144" s="4"/>
      <c r="T6144" s="4"/>
      <c r="U6144" s="4"/>
      <c r="V6144" s="4"/>
      <c r="W6144" s="4"/>
      <c r="X6144" s="4"/>
    </row>
    <row r="6145" spans="17:24" x14ac:dyDescent="0.3">
      <c r="Q6145" s="4"/>
      <c r="R6145" s="4"/>
      <c r="S6145" s="4"/>
      <c r="T6145" s="4"/>
      <c r="U6145" s="4"/>
      <c r="V6145" s="4"/>
      <c r="W6145" s="4"/>
      <c r="X6145" s="4"/>
    </row>
    <row r="6146" spans="17:24" x14ac:dyDescent="0.3">
      <c r="Q6146" s="4"/>
      <c r="R6146" s="4"/>
      <c r="S6146" s="4"/>
      <c r="T6146" s="4"/>
      <c r="U6146" s="4"/>
      <c r="V6146" s="4"/>
      <c r="W6146" s="4"/>
      <c r="X6146" s="4"/>
    </row>
    <row r="6147" spans="17:24" x14ac:dyDescent="0.3">
      <c r="Q6147" s="4"/>
      <c r="R6147" s="4"/>
      <c r="S6147" s="4"/>
      <c r="T6147" s="4"/>
      <c r="U6147" s="4"/>
      <c r="V6147" s="4"/>
      <c r="W6147" s="4"/>
      <c r="X6147" s="4"/>
    </row>
    <row r="6148" spans="17:24" x14ac:dyDescent="0.3">
      <c r="Q6148" s="4"/>
      <c r="R6148" s="4"/>
      <c r="S6148" s="4"/>
      <c r="T6148" s="4"/>
      <c r="U6148" s="4"/>
      <c r="V6148" s="4"/>
      <c r="W6148" s="4"/>
      <c r="X6148" s="4"/>
    </row>
    <row r="6149" spans="17:24" x14ac:dyDescent="0.3">
      <c r="Q6149" s="4"/>
      <c r="R6149" s="4"/>
      <c r="S6149" s="4"/>
      <c r="T6149" s="4"/>
      <c r="U6149" s="4"/>
      <c r="V6149" s="4"/>
      <c r="W6149" s="4"/>
      <c r="X6149" s="4"/>
    </row>
    <row r="6150" spans="17:24" x14ac:dyDescent="0.3">
      <c r="Q6150" s="4"/>
      <c r="R6150" s="4"/>
      <c r="S6150" s="4"/>
      <c r="T6150" s="4"/>
      <c r="U6150" s="4"/>
      <c r="V6150" s="4"/>
      <c r="W6150" s="4"/>
      <c r="X6150" s="4"/>
    </row>
    <row r="6151" spans="17:24" x14ac:dyDescent="0.3">
      <c r="Q6151" s="4"/>
      <c r="R6151" s="4"/>
      <c r="S6151" s="4"/>
      <c r="T6151" s="4"/>
      <c r="U6151" s="4"/>
      <c r="V6151" s="4"/>
      <c r="W6151" s="4"/>
      <c r="X6151" s="4"/>
    </row>
    <row r="6152" spans="17:24" x14ac:dyDescent="0.3">
      <c r="Q6152" s="4"/>
      <c r="R6152" s="4"/>
      <c r="S6152" s="4"/>
      <c r="T6152" s="4"/>
      <c r="U6152" s="4"/>
      <c r="V6152" s="4"/>
      <c r="W6152" s="4"/>
      <c r="X6152" s="4"/>
    </row>
    <row r="6153" spans="17:24" x14ac:dyDescent="0.3">
      <c r="Q6153" s="4"/>
      <c r="R6153" s="4"/>
      <c r="S6153" s="4"/>
      <c r="T6153" s="4"/>
      <c r="U6153" s="4"/>
      <c r="V6153" s="4"/>
      <c r="W6153" s="4"/>
      <c r="X6153" s="4"/>
    </row>
    <row r="6154" spans="17:24" x14ac:dyDescent="0.3">
      <c r="Q6154" s="4"/>
      <c r="R6154" s="4"/>
      <c r="S6154" s="4"/>
      <c r="T6154" s="4"/>
      <c r="U6154" s="4"/>
      <c r="V6154" s="4"/>
      <c r="W6154" s="4"/>
      <c r="X6154" s="4"/>
    </row>
    <row r="6155" spans="17:24" x14ac:dyDescent="0.3">
      <c r="Q6155" s="4"/>
      <c r="R6155" s="4"/>
      <c r="S6155" s="4"/>
      <c r="T6155" s="4"/>
      <c r="U6155" s="4"/>
      <c r="V6155" s="4"/>
      <c r="W6155" s="4"/>
      <c r="X6155" s="4"/>
    </row>
    <row r="6156" spans="17:24" x14ac:dyDescent="0.3">
      <c r="Q6156" s="4"/>
      <c r="R6156" s="4"/>
      <c r="S6156" s="4"/>
      <c r="T6156" s="4"/>
      <c r="U6156" s="4"/>
      <c r="V6156" s="4"/>
      <c r="W6156" s="4"/>
      <c r="X6156" s="4"/>
    </row>
    <row r="6157" spans="17:24" x14ac:dyDescent="0.3">
      <c r="Q6157" s="4"/>
      <c r="R6157" s="4"/>
      <c r="S6157" s="4"/>
      <c r="T6157" s="4"/>
      <c r="U6157" s="4"/>
      <c r="V6157" s="4"/>
      <c r="W6157" s="4"/>
      <c r="X6157" s="4"/>
    </row>
    <row r="6158" spans="17:24" x14ac:dyDescent="0.3">
      <c r="Q6158" s="4"/>
      <c r="R6158" s="4"/>
      <c r="S6158" s="4"/>
      <c r="T6158" s="4"/>
      <c r="U6158" s="4"/>
      <c r="V6158" s="4"/>
      <c r="W6158" s="4"/>
      <c r="X6158" s="4"/>
    </row>
    <row r="6159" spans="17:24" x14ac:dyDescent="0.3">
      <c r="Q6159" s="4"/>
      <c r="R6159" s="4"/>
      <c r="S6159" s="4"/>
      <c r="T6159" s="4"/>
      <c r="U6159" s="4"/>
      <c r="V6159" s="4"/>
      <c r="W6159" s="4"/>
      <c r="X6159" s="4"/>
    </row>
    <row r="6160" spans="17:24" x14ac:dyDescent="0.3">
      <c r="Q6160" s="4"/>
      <c r="R6160" s="4"/>
      <c r="S6160" s="4"/>
      <c r="T6160" s="4"/>
      <c r="U6160" s="4"/>
      <c r="V6160" s="4"/>
      <c r="W6160" s="4"/>
      <c r="X6160" s="4"/>
    </row>
    <row r="6161" spans="17:24" x14ac:dyDescent="0.3">
      <c r="Q6161" s="4"/>
      <c r="R6161" s="4"/>
      <c r="S6161" s="4"/>
      <c r="T6161" s="4"/>
      <c r="U6161" s="4"/>
      <c r="V6161" s="4"/>
      <c r="W6161" s="4"/>
      <c r="X6161" s="4"/>
    </row>
    <row r="6162" spans="17:24" x14ac:dyDescent="0.3">
      <c r="Q6162" s="4"/>
      <c r="R6162" s="4"/>
      <c r="S6162" s="4"/>
      <c r="T6162" s="4"/>
      <c r="U6162" s="4"/>
      <c r="V6162" s="4"/>
      <c r="W6162" s="4"/>
      <c r="X6162" s="4"/>
    </row>
    <row r="6163" spans="17:24" x14ac:dyDescent="0.3">
      <c r="Q6163" s="4"/>
      <c r="R6163" s="4"/>
      <c r="S6163" s="4"/>
      <c r="T6163" s="4"/>
      <c r="U6163" s="4"/>
      <c r="V6163" s="4"/>
      <c r="W6163" s="4"/>
      <c r="X6163" s="4"/>
    </row>
    <row r="6164" spans="17:24" x14ac:dyDescent="0.3">
      <c r="Q6164" s="4"/>
      <c r="R6164" s="4"/>
      <c r="S6164" s="4"/>
      <c r="T6164" s="4"/>
      <c r="U6164" s="4"/>
      <c r="V6164" s="4"/>
      <c r="W6164" s="4"/>
      <c r="X6164" s="4"/>
    </row>
    <row r="6165" spans="17:24" x14ac:dyDescent="0.3">
      <c r="Q6165" s="4"/>
      <c r="R6165" s="4"/>
      <c r="S6165" s="4"/>
      <c r="T6165" s="4"/>
      <c r="U6165" s="4"/>
      <c r="V6165" s="4"/>
      <c r="W6165" s="4"/>
      <c r="X6165" s="4"/>
    </row>
    <row r="6166" spans="17:24" x14ac:dyDescent="0.3">
      <c r="Q6166" s="4"/>
      <c r="R6166" s="4"/>
      <c r="S6166" s="4"/>
      <c r="T6166" s="4"/>
      <c r="U6166" s="4"/>
      <c r="V6166" s="4"/>
      <c r="W6166" s="4"/>
      <c r="X6166" s="4"/>
    </row>
    <row r="6167" spans="17:24" x14ac:dyDescent="0.3">
      <c r="Q6167" s="4"/>
      <c r="R6167" s="4"/>
      <c r="S6167" s="4"/>
      <c r="T6167" s="4"/>
      <c r="U6167" s="4"/>
      <c r="V6167" s="4"/>
      <c r="W6167" s="4"/>
      <c r="X6167" s="4"/>
    </row>
    <row r="6168" spans="17:24" x14ac:dyDescent="0.3">
      <c r="Q6168" s="4"/>
      <c r="R6168" s="4"/>
      <c r="S6168" s="4"/>
      <c r="T6168" s="4"/>
      <c r="U6168" s="4"/>
      <c r="V6168" s="4"/>
      <c r="W6168" s="4"/>
      <c r="X6168" s="4"/>
    </row>
    <row r="6169" spans="17:24" x14ac:dyDescent="0.3">
      <c r="Q6169" s="4"/>
      <c r="R6169" s="4"/>
      <c r="S6169" s="4"/>
      <c r="T6169" s="4"/>
      <c r="U6169" s="4"/>
      <c r="V6169" s="4"/>
      <c r="W6169" s="4"/>
      <c r="X6169" s="4"/>
    </row>
    <row r="6170" spans="17:24" x14ac:dyDescent="0.3">
      <c r="Q6170" s="4"/>
      <c r="R6170" s="4"/>
      <c r="S6170" s="4"/>
      <c r="T6170" s="4"/>
      <c r="U6170" s="4"/>
      <c r="V6170" s="4"/>
      <c r="W6170" s="4"/>
      <c r="X6170" s="4"/>
    </row>
    <row r="6171" spans="17:24" x14ac:dyDescent="0.3">
      <c r="Q6171" s="4"/>
      <c r="R6171" s="4"/>
      <c r="S6171" s="4"/>
      <c r="T6171" s="4"/>
      <c r="U6171" s="4"/>
      <c r="V6171" s="4"/>
      <c r="W6171" s="4"/>
      <c r="X6171" s="4"/>
    </row>
    <row r="6172" spans="17:24" x14ac:dyDescent="0.3">
      <c r="Q6172" s="4"/>
      <c r="R6172" s="4"/>
      <c r="S6172" s="4"/>
      <c r="T6172" s="4"/>
      <c r="U6172" s="4"/>
      <c r="V6172" s="4"/>
      <c r="W6172" s="4"/>
      <c r="X6172" s="4"/>
    </row>
    <row r="6173" spans="17:24" x14ac:dyDescent="0.3">
      <c r="Q6173" s="4"/>
      <c r="R6173" s="4"/>
      <c r="S6173" s="4"/>
      <c r="T6173" s="4"/>
      <c r="U6173" s="4"/>
      <c r="V6173" s="4"/>
      <c r="W6173" s="4"/>
      <c r="X6173" s="4"/>
    </row>
    <row r="6174" spans="17:24" x14ac:dyDescent="0.3">
      <c r="Q6174" s="4"/>
      <c r="R6174" s="4"/>
      <c r="S6174" s="4"/>
      <c r="T6174" s="4"/>
      <c r="U6174" s="4"/>
      <c r="V6174" s="4"/>
      <c r="W6174" s="4"/>
      <c r="X6174" s="4"/>
    </row>
    <row r="6175" spans="17:24" x14ac:dyDescent="0.3">
      <c r="Q6175" s="4"/>
      <c r="R6175" s="4"/>
      <c r="S6175" s="4"/>
      <c r="T6175" s="4"/>
      <c r="U6175" s="4"/>
      <c r="V6175" s="4"/>
      <c r="W6175" s="4"/>
      <c r="X6175" s="4"/>
    </row>
    <row r="6176" spans="17:24" x14ac:dyDescent="0.3">
      <c r="Q6176" s="4"/>
      <c r="R6176" s="4"/>
      <c r="S6176" s="4"/>
      <c r="T6176" s="4"/>
      <c r="U6176" s="4"/>
      <c r="V6176" s="4"/>
      <c r="W6176" s="4"/>
      <c r="X6176" s="4"/>
    </row>
    <row r="6177" spans="17:24" x14ac:dyDescent="0.3">
      <c r="Q6177" s="4"/>
      <c r="R6177" s="4"/>
      <c r="S6177" s="4"/>
      <c r="T6177" s="4"/>
      <c r="U6177" s="4"/>
      <c r="V6177" s="4"/>
      <c r="W6177" s="4"/>
      <c r="X6177" s="4"/>
    </row>
    <row r="6178" spans="17:24" x14ac:dyDescent="0.3">
      <c r="Q6178" s="4"/>
      <c r="R6178" s="4"/>
      <c r="S6178" s="4"/>
      <c r="T6178" s="4"/>
      <c r="U6178" s="4"/>
      <c r="V6178" s="4"/>
      <c r="W6178" s="4"/>
      <c r="X6178" s="4"/>
    </row>
    <row r="6179" spans="17:24" x14ac:dyDescent="0.3">
      <c r="Q6179" s="4"/>
      <c r="R6179" s="4"/>
      <c r="S6179" s="4"/>
      <c r="T6179" s="4"/>
      <c r="U6179" s="4"/>
      <c r="V6179" s="4"/>
      <c r="W6179" s="4"/>
      <c r="X6179" s="4"/>
    </row>
    <row r="6180" spans="17:24" x14ac:dyDescent="0.3">
      <c r="Q6180" s="4"/>
      <c r="R6180" s="4"/>
      <c r="S6180" s="4"/>
      <c r="T6180" s="4"/>
      <c r="U6180" s="4"/>
      <c r="V6180" s="4"/>
      <c r="W6180" s="4"/>
      <c r="X6180" s="4"/>
    </row>
    <row r="6181" spans="17:24" x14ac:dyDescent="0.3">
      <c r="Q6181" s="4"/>
      <c r="R6181" s="4"/>
      <c r="S6181" s="4"/>
      <c r="T6181" s="4"/>
      <c r="U6181" s="4"/>
      <c r="V6181" s="4"/>
      <c r="W6181" s="4"/>
      <c r="X6181" s="4"/>
    </row>
    <row r="6182" spans="17:24" x14ac:dyDescent="0.3">
      <c r="Q6182" s="4"/>
      <c r="R6182" s="4"/>
      <c r="S6182" s="4"/>
      <c r="T6182" s="4"/>
      <c r="U6182" s="4"/>
      <c r="V6182" s="4"/>
      <c r="W6182" s="4"/>
      <c r="X6182" s="4"/>
    </row>
    <row r="6183" spans="17:24" x14ac:dyDescent="0.3">
      <c r="Q6183" s="4"/>
      <c r="R6183" s="4"/>
      <c r="S6183" s="4"/>
      <c r="T6183" s="4"/>
      <c r="U6183" s="4"/>
      <c r="V6183" s="4"/>
      <c r="W6183" s="4"/>
      <c r="X6183" s="4"/>
    </row>
    <row r="6184" spans="17:24" x14ac:dyDescent="0.3">
      <c r="Q6184" s="4"/>
      <c r="R6184" s="4"/>
      <c r="S6184" s="4"/>
      <c r="T6184" s="4"/>
      <c r="U6184" s="4"/>
      <c r="V6184" s="4"/>
      <c r="W6184" s="4"/>
      <c r="X6184" s="4"/>
    </row>
    <row r="6185" spans="17:24" x14ac:dyDescent="0.3">
      <c r="Q6185" s="4"/>
      <c r="R6185" s="4"/>
      <c r="S6185" s="4"/>
      <c r="T6185" s="4"/>
      <c r="U6185" s="4"/>
      <c r="V6185" s="4"/>
      <c r="W6185" s="4"/>
      <c r="X6185" s="4"/>
    </row>
    <row r="6186" spans="17:24" x14ac:dyDescent="0.3">
      <c r="Q6186" s="4"/>
      <c r="R6186" s="4"/>
      <c r="S6186" s="4"/>
      <c r="T6186" s="4"/>
      <c r="U6186" s="4"/>
      <c r="V6186" s="4"/>
      <c r="W6186" s="4"/>
      <c r="X6186" s="4"/>
    </row>
    <row r="6187" spans="17:24" x14ac:dyDescent="0.3">
      <c r="Q6187" s="4"/>
      <c r="R6187" s="4"/>
      <c r="S6187" s="4"/>
      <c r="T6187" s="4"/>
      <c r="U6187" s="4"/>
      <c r="V6187" s="4"/>
      <c r="W6187" s="4"/>
      <c r="X6187" s="4"/>
    </row>
    <row r="6188" spans="17:24" x14ac:dyDescent="0.3">
      <c r="Q6188" s="4"/>
      <c r="R6188" s="4"/>
      <c r="S6188" s="4"/>
      <c r="T6188" s="4"/>
      <c r="U6188" s="4"/>
      <c r="V6188" s="4"/>
      <c r="W6188" s="4"/>
      <c r="X6188" s="4"/>
    </row>
    <row r="6189" spans="17:24" x14ac:dyDescent="0.3">
      <c r="Q6189" s="4"/>
      <c r="R6189" s="4"/>
      <c r="S6189" s="4"/>
      <c r="T6189" s="4"/>
      <c r="U6189" s="4"/>
      <c r="V6189" s="4"/>
      <c r="W6189" s="4"/>
      <c r="X6189" s="4"/>
    </row>
    <row r="6190" spans="17:24" x14ac:dyDescent="0.3">
      <c r="Q6190" s="4"/>
      <c r="R6190" s="4"/>
      <c r="S6190" s="4"/>
      <c r="T6190" s="4"/>
      <c r="U6190" s="4"/>
      <c r="V6190" s="4"/>
      <c r="W6190" s="4"/>
      <c r="X6190" s="4"/>
    </row>
    <row r="6191" spans="17:24" x14ac:dyDescent="0.3">
      <c r="Q6191" s="4"/>
      <c r="R6191" s="4"/>
      <c r="S6191" s="4"/>
      <c r="T6191" s="4"/>
      <c r="U6191" s="4"/>
      <c r="V6191" s="4"/>
      <c r="W6191" s="4"/>
      <c r="X6191" s="4"/>
    </row>
    <row r="6192" spans="17:24" x14ac:dyDescent="0.3">
      <c r="Q6192" s="4"/>
      <c r="R6192" s="4"/>
      <c r="S6192" s="4"/>
      <c r="T6192" s="4"/>
      <c r="U6192" s="4"/>
      <c r="V6192" s="4"/>
      <c r="W6192" s="4"/>
      <c r="X6192" s="4"/>
    </row>
    <row r="6193" spans="17:24" x14ac:dyDescent="0.3">
      <c r="Q6193" s="4"/>
      <c r="R6193" s="4"/>
      <c r="S6193" s="4"/>
      <c r="T6193" s="4"/>
      <c r="U6193" s="4"/>
      <c r="V6193" s="4"/>
      <c r="W6193" s="4"/>
      <c r="X6193" s="4"/>
    </row>
    <row r="6194" spans="17:24" x14ac:dyDescent="0.3">
      <c r="Q6194" s="4"/>
      <c r="R6194" s="4"/>
      <c r="S6194" s="4"/>
      <c r="T6194" s="4"/>
      <c r="U6194" s="4"/>
      <c r="V6194" s="4"/>
      <c r="W6194" s="4"/>
      <c r="X6194" s="4"/>
    </row>
    <row r="6195" spans="17:24" x14ac:dyDescent="0.3">
      <c r="Q6195" s="4"/>
      <c r="R6195" s="4"/>
      <c r="S6195" s="4"/>
      <c r="T6195" s="4"/>
      <c r="U6195" s="4"/>
      <c r="V6195" s="4"/>
      <c r="W6195" s="4"/>
      <c r="X6195" s="4"/>
    </row>
    <row r="6196" spans="17:24" x14ac:dyDescent="0.3">
      <c r="Q6196" s="4"/>
      <c r="R6196" s="4"/>
      <c r="S6196" s="4"/>
      <c r="T6196" s="4"/>
      <c r="U6196" s="4"/>
      <c r="V6196" s="4"/>
      <c r="W6196" s="4"/>
      <c r="X6196" s="4"/>
    </row>
    <row r="6197" spans="17:24" x14ac:dyDescent="0.3">
      <c r="Q6197" s="4"/>
      <c r="R6197" s="4"/>
      <c r="S6197" s="4"/>
      <c r="T6197" s="4"/>
      <c r="U6197" s="4"/>
      <c r="V6197" s="4"/>
      <c r="W6197" s="4"/>
      <c r="X6197" s="4"/>
    </row>
    <row r="6198" spans="17:24" x14ac:dyDescent="0.3">
      <c r="Q6198" s="4"/>
      <c r="R6198" s="4"/>
      <c r="S6198" s="4"/>
      <c r="T6198" s="4"/>
      <c r="U6198" s="4"/>
      <c r="V6198" s="4"/>
      <c r="W6198" s="4"/>
      <c r="X6198" s="4"/>
    </row>
    <row r="6199" spans="17:24" x14ac:dyDescent="0.3">
      <c r="Q6199" s="4"/>
      <c r="R6199" s="4"/>
      <c r="S6199" s="4"/>
      <c r="T6199" s="4"/>
      <c r="U6199" s="4"/>
      <c r="V6199" s="4"/>
      <c r="W6199" s="4"/>
      <c r="X6199" s="4"/>
    </row>
    <row r="6200" spans="17:24" x14ac:dyDescent="0.3">
      <c r="Q6200" s="4"/>
      <c r="R6200" s="4"/>
      <c r="S6200" s="4"/>
      <c r="T6200" s="4"/>
      <c r="U6200" s="4"/>
      <c r="V6200" s="4"/>
      <c r="W6200" s="4"/>
      <c r="X6200" s="4"/>
    </row>
    <row r="6201" spans="17:24" x14ac:dyDescent="0.3">
      <c r="Q6201" s="4"/>
      <c r="R6201" s="4"/>
      <c r="S6201" s="4"/>
      <c r="T6201" s="4"/>
      <c r="U6201" s="4"/>
      <c r="V6201" s="4"/>
      <c r="W6201" s="4"/>
      <c r="X6201" s="4"/>
    </row>
    <row r="6202" spans="17:24" x14ac:dyDescent="0.3">
      <c r="Q6202" s="4"/>
      <c r="R6202" s="4"/>
      <c r="S6202" s="4"/>
      <c r="T6202" s="4"/>
      <c r="U6202" s="4"/>
      <c r="V6202" s="4"/>
      <c r="W6202" s="4"/>
      <c r="X6202" s="4"/>
    </row>
    <row r="6203" spans="17:24" x14ac:dyDescent="0.3">
      <c r="Q6203" s="4"/>
      <c r="R6203" s="4"/>
      <c r="S6203" s="4"/>
      <c r="T6203" s="4"/>
      <c r="U6203" s="4"/>
      <c r="V6203" s="4"/>
      <c r="W6203" s="4"/>
      <c r="X6203" s="4"/>
    </row>
    <row r="6204" spans="17:24" x14ac:dyDescent="0.3">
      <c r="Q6204" s="4"/>
      <c r="R6204" s="4"/>
      <c r="S6204" s="4"/>
      <c r="T6204" s="4"/>
      <c r="U6204" s="4"/>
      <c r="V6204" s="4"/>
      <c r="W6204" s="4"/>
      <c r="X6204" s="4"/>
    </row>
    <row r="6205" spans="17:24" x14ac:dyDescent="0.3">
      <c r="Q6205" s="4"/>
      <c r="R6205" s="4"/>
      <c r="S6205" s="4"/>
      <c r="T6205" s="4"/>
      <c r="U6205" s="4"/>
      <c r="V6205" s="4"/>
      <c r="W6205" s="4"/>
      <c r="X6205" s="4"/>
    </row>
    <row r="6206" spans="17:24" x14ac:dyDescent="0.3">
      <c r="Q6206" s="4"/>
      <c r="R6206" s="4"/>
      <c r="S6206" s="4"/>
      <c r="T6206" s="4"/>
      <c r="U6206" s="4"/>
      <c r="V6206" s="4"/>
      <c r="W6206" s="4"/>
      <c r="X6206" s="4"/>
    </row>
    <row r="6207" spans="17:24" x14ac:dyDescent="0.3">
      <c r="Q6207" s="4"/>
      <c r="R6207" s="4"/>
      <c r="S6207" s="4"/>
      <c r="T6207" s="4"/>
      <c r="U6207" s="4"/>
      <c r="V6207" s="4"/>
      <c r="W6207" s="4"/>
      <c r="X6207" s="4"/>
    </row>
    <row r="6208" spans="17:24" x14ac:dyDescent="0.3">
      <c r="Q6208" s="4"/>
      <c r="R6208" s="4"/>
      <c r="S6208" s="4"/>
      <c r="T6208" s="4"/>
      <c r="U6208" s="4"/>
      <c r="V6208" s="4"/>
      <c r="W6208" s="4"/>
      <c r="X6208" s="4"/>
    </row>
    <row r="6209" spans="17:24" x14ac:dyDescent="0.3">
      <c r="Q6209" s="4"/>
      <c r="R6209" s="4"/>
      <c r="S6209" s="4"/>
      <c r="T6209" s="4"/>
      <c r="U6209" s="4"/>
      <c r="V6209" s="4"/>
      <c r="W6209" s="4"/>
      <c r="X6209" s="4"/>
    </row>
    <row r="6210" spans="17:24" x14ac:dyDescent="0.3">
      <c r="Q6210" s="4"/>
      <c r="R6210" s="4"/>
      <c r="S6210" s="4"/>
      <c r="T6210" s="4"/>
      <c r="U6210" s="4"/>
      <c r="V6210" s="4"/>
      <c r="W6210" s="4"/>
      <c r="X6210" s="4"/>
    </row>
    <row r="6211" spans="17:24" x14ac:dyDescent="0.3">
      <c r="Q6211" s="4"/>
      <c r="R6211" s="4"/>
      <c r="S6211" s="4"/>
      <c r="T6211" s="4"/>
      <c r="U6211" s="4"/>
      <c r="V6211" s="4"/>
      <c r="W6211" s="4"/>
      <c r="X6211" s="4"/>
    </row>
    <row r="6212" spans="17:24" x14ac:dyDescent="0.3">
      <c r="Q6212" s="4"/>
      <c r="R6212" s="4"/>
      <c r="S6212" s="4"/>
      <c r="T6212" s="4"/>
      <c r="U6212" s="4"/>
      <c r="V6212" s="4"/>
      <c r="W6212" s="4"/>
      <c r="X6212" s="4"/>
    </row>
    <row r="6213" spans="17:24" x14ac:dyDescent="0.3">
      <c r="Q6213" s="4"/>
      <c r="R6213" s="4"/>
      <c r="S6213" s="4"/>
      <c r="T6213" s="4"/>
      <c r="U6213" s="4"/>
      <c r="V6213" s="4"/>
      <c r="W6213" s="4"/>
      <c r="X6213" s="4"/>
    </row>
    <row r="6214" spans="17:24" x14ac:dyDescent="0.3">
      <c r="Q6214" s="4"/>
      <c r="R6214" s="4"/>
      <c r="S6214" s="4"/>
      <c r="T6214" s="4"/>
      <c r="U6214" s="4"/>
      <c r="V6214" s="4"/>
      <c r="W6214" s="4"/>
      <c r="X6214" s="4"/>
    </row>
    <row r="6215" spans="17:24" x14ac:dyDescent="0.3">
      <c r="Q6215" s="4"/>
      <c r="R6215" s="4"/>
      <c r="S6215" s="4"/>
      <c r="T6215" s="4"/>
      <c r="U6215" s="4"/>
      <c r="V6215" s="4"/>
      <c r="W6215" s="4"/>
      <c r="X6215" s="4"/>
    </row>
    <row r="6216" spans="17:24" x14ac:dyDescent="0.3">
      <c r="Q6216" s="4"/>
      <c r="R6216" s="4"/>
      <c r="S6216" s="4"/>
      <c r="T6216" s="4"/>
      <c r="U6216" s="4"/>
      <c r="V6216" s="4"/>
      <c r="W6216" s="4"/>
      <c r="X6216" s="4"/>
    </row>
    <row r="6217" spans="17:24" x14ac:dyDescent="0.3">
      <c r="Q6217" s="4"/>
      <c r="R6217" s="4"/>
      <c r="S6217" s="4"/>
      <c r="T6217" s="4"/>
      <c r="U6217" s="4"/>
      <c r="V6217" s="4"/>
      <c r="W6217" s="4"/>
      <c r="X6217" s="4"/>
    </row>
    <row r="6218" spans="17:24" x14ac:dyDescent="0.3">
      <c r="Q6218" s="4"/>
      <c r="R6218" s="4"/>
      <c r="S6218" s="4"/>
      <c r="T6218" s="4"/>
      <c r="U6218" s="4"/>
      <c r="V6218" s="4"/>
      <c r="W6218" s="4"/>
      <c r="X6218" s="4"/>
    </row>
    <row r="6219" spans="17:24" x14ac:dyDescent="0.3">
      <c r="Q6219" s="4"/>
      <c r="R6219" s="4"/>
      <c r="S6219" s="4"/>
      <c r="T6219" s="4"/>
      <c r="U6219" s="4"/>
      <c r="V6219" s="4"/>
      <c r="W6219" s="4"/>
      <c r="X6219" s="4"/>
    </row>
    <row r="6220" spans="17:24" x14ac:dyDescent="0.3">
      <c r="Q6220" s="4"/>
      <c r="R6220" s="4"/>
      <c r="S6220" s="4"/>
      <c r="T6220" s="4"/>
      <c r="U6220" s="4"/>
      <c r="V6220" s="4"/>
      <c r="W6220" s="4"/>
      <c r="X6220" s="4"/>
    </row>
    <row r="6221" spans="17:24" x14ac:dyDescent="0.3">
      <c r="Q6221" s="4"/>
      <c r="R6221" s="4"/>
      <c r="S6221" s="4"/>
      <c r="T6221" s="4"/>
      <c r="U6221" s="4"/>
      <c r="V6221" s="4"/>
      <c r="W6221" s="4"/>
      <c r="X6221" s="4"/>
    </row>
    <row r="6222" spans="17:24" x14ac:dyDescent="0.3">
      <c r="Q6222" s="4"/>
      <c r="R6222" s="4"/>
      <c r="S6222" s="4"/>
      <c r="T6222" s="4"/>
      <c r="U6222" s="4"/>
      <c r="V6222" s="4"/>
      <c r="W6222" s="4"/>
      <c r="X6222" s="4"/>
    </row>
    <row r="6223" spans="17:24" x14ac:dyDescent="0.3">
      <c r="Q6223" s="4"/>
      <c r="R6223" s="4"/>
      <c r="S6223" s="4"/>
      <c r="T6223" s="4"/>
      <c r="U6223" s="4"/>
      <c r="V6223" s="4"/>
      <c r="W6223" s="4"/>
      <c r="X6223" s="4"/>
    </row>
    <row r="6224" spans="17:24" x14ac:dyDescent="0.3">
      <c r="Q6224" s="4"/>
      <c r="R6224" s="4"/>
      <c r="S6224" s="4"/>
      <c r="T6224" s="4"/>
      <c r="U6224" s="4"/>
      <c r="V6224" s="4"/>
      <c r="W6224" s="4"/>
      <c r="X6224" s="4"/>
    </row>
    <row r="6225" spans="17:24" x14ac:dyDescent="0.3">
      <c r="Q6225" s="4"/>
      <c r="R6225" s="4"/>
      <c r="S6225" s="4"/>
      <c r="T6225" s="4"/>
      <c r="U6225" s="4"/>
      <c r="V6225" s="4"/>
      <c r="W6225" s="4"/>
      <c r="X6225" s="4"/>
    </row>
    <row r="6226" spans="17:24" x14ac:dyDescent="0.3">
      <c r="Q6226" s="4"/>
      <c r="R6226" s="4"/>
      <c r="S6226" s="4"/>
      <c r="T6226" s="4"/>
      <c r="U6226" s="4"/>
      <c r="V6226" s="4"/>
      <c r="W6226" s="4"/>
      <c r="X6226" s="4"/>
    </row>
    <row r="6227" spans="17:24" x14ac:dyDescent="0.3">
      <c r="Q6227" s="4"/>
      <c r="R6227" s="4"/>
      <c r="S6227" s="4"/>
      <c r="T6227" s="4"/>
      <c r="U6227" s="4"/>
      <c r="V6227" s="4"/>
      <c r="W6227" s="4"/>
      <c r="X6227" s="4"/>
    </row>
    <row r="6228" spans="17:24" x14ac:dyDescent="0.3">
      <c r="Q6228" s="4"/>
      <c r="R6228" s="4"/>
      <c r="S6228" s="4"/>
      <c r="T6228" s="4"/>
      <c r="U6228" s="4"/>
      <c r="V6228" s="4"/>
      <c r="W6228" s="4"/>
      <c r="X6228" s="4"/>
    </row>
    <row r="6229" spans="17:24" x14ac:dyDescent="0.3">
      <c r="Q6229" s="4"/>
      <c r="R6229" s="4"/>
      <c r="S6229" s="4"/>
      <c r="T6229" s="4"/>
      <c r="U6229" s="4"/>
      <c r="V6229" s="4"/>
      <c r="W6229" s="4"/>
      <c r="X6229" s="4"/>
    </row>
    <row r="6230" spans="17:24" x14ac:dyDescent="0.3">
      <c r="Q6230" s="4"/>
      <c r="R6230" s="4"/>
      <c r="S6230" s="4"/>
      <c r="T6230" s="4"/>
      <c r="U6230" s="4"/>
      <c r="V6230" s="4"/>
      <c r="W6230" s="4"/>
      <c r="X6230" s="4"/>
    </row>
    <row r="6231" spans="17:24" x14ac:dyDescent="0.3">
      <c r="Q6231" s="4"/>
      <c r="R6231" s="4"/>
      <c r="S6231" s="4"/>
      <c r="T6231" s="4"/>
      <c r="U6231" s="4"/>
      <c r="V6231" s="4"/>
      <c r="W6231" s="4"/>
      <c r="X6231" s="4"/>
    </row>
    <row r="6232" spans="17:24" x14ac:dyDescent="0.3">
      <c r="Q6232" s="4"/>
      <c r="R6232" s="4"/>
      <c r="S6232" s="4"/>
      <c r="T6232" s="4"/>
      <c r="U6232" s="4"/>
      <c r="V6232" s="4"/>
      <c r="W6232" s="4"/>
      <c r="X6232" s="4"/>
    </row>
    <row r="6233" spans="17:24" x14ac:dyDescent="0.3">
      <c r="Q6233" s="4"/>
      <c r="R6233" s="4"/>
      <c r="S6233" s="4"/>
      <c r="T6233" s="4"/>
      <c r="U6233" s="4"/>
      <c r="V6233" s="4"/>
      <c r="W6233" s="4"/>
      <c r="X6233" s="4"/>
    </row>
    <row r="6234" spans="17:24" x14ac:dyDescent="0.3">
      <c r="Q6234" s="4"/>
      <c r="R6234" s="4"/>
      <c r="S6234" s="4"/>
      <c r="T6234" s="4"/>
      <c r="U6234" s="4"/>
      <c r="V6234" s="4"/>
      <c r="W6234" s="4"/>
      <c r="X6234" s="4"/>
    </row>
    <row r="6235" spans="17:24" x14ac:dyDescent="0.3">
      <c r="Q6235" s="4"/>
      <c r="R6235" s="4"/>
      <c r="S6235" s="4"/>
      <c r="T6235" s="4"/>
      <c r="U6235" s="4"/>
      <c r="V6235" s="4"/>
      <c r="W6235" s="4"/>
      <c r="X6235" s="4"/>
    </row>
    <row r="6236" spans="17:24" x14ac:dyDescent="0.3">
      <c r="Q6236" s="4"/>
      <c r="R6236" s="4"/>
      <c r="S6236" s="4"/>
      <c r="T6236" s="4"/>
      <c r="U6236" s="4"/>
      <c r="V6236" s="4"/>
      <c r="W6236" s="4"/>
      <c r="X6236" s="4"/>
    </row>
    <row r="6237" spans="17:24" x14ac:dyDescent="0.3">
      <c r="Q6237" s="4"/>
      <c r="R6237" s="4"/>
      <c r="S6237" s="4"/>
      <c r="T6237" s="4"/>
      <c r="U6237" s="4"/>
      <c r="V6237" s="4"/>
      <c r="W6237" s="4"/>
      <c r="X6237" s="4"/>
    </row>
    <row r="6238" spans="17:24" x14ac:dyDescent="0.3">
      <c r="Q6238" s="4"/>
      <c r="R6238" s="4"/>
      <c r="S6238" s="4"/>
      <c r="T6238" s="4"/>
      <c r="U6238" s="4"/>
      <c r="V6238" s="4"/>
      <c r="W6238" s="4"/>
      <c r="X6238" s="4"/>
    </row>
    <row r="6239" spans="17:24" x14ac:dyDescent="0.3">
      <c r="Q6239" s="4"/>
      <c r="R6239" s="4"/>
      <c r="S6239" s="4"/>
      <c r="T6239" s="4"/>
      <c r="U6239" s="4"/>
      <c r="V6239" s="4"/>
      <c r="W6239" s="4"/>
      <c r="X6239" s="4"/>
    </row>
    <row r="6240" spans="17:24" x14ac:dyDescent="0.3">
      <c r="Q6240" s="4"/>
      <c r="R6240" s="4"/>
      <c r="S6240" s="4"/>
      <c r="T6240" s="4"/>
      <c r="U6240" s="4"/>
      <c r="V6240" s="4"/>
      <c r="W6240" s="4"/>
      <c r="X6240" s="4"/>
    </row>
    <row r="6241" spans="17:24" x14ac:dyDescent="0.3">
      <c r="Q6241" s="4"/>
      <c r="R6241" s="4"/>
      <c r="S6241" s="4"/>
      <c r="T6241" s="4"/>
      <c r="U6241" s="4"/>
      <c r="V6241" s="4"/>
      <c r="W6241" s="4"/>
      <c r="X6241" s="4"/>
    </row>
    <row r="6242" spans="17:24" x14ac:dyDescent="0.3">
      <c r="Q6242" s="4"/>
      <c r="R6242" s="4"/>
      <c r="S6242" s="4"/>
      <c r="T6242" s="4"/>
      <c r="U6242" s="4"/>
      <c r="V6242" s="4"/>
      <c r="W6242" s="4"/>
      <c r="X6242" s="4"/>
    </row>
    <row r="6243" spans="17:24" x14ac:dyDescent="0.3">
      <c r="Q6243" s="4"/>
      <c r="R6243" s="4"/>
      <c r="S6243" s="4"/>
      <c r="T6243" s="4"/>
      <c r="U6243" s="4"/>
      <c r="V6243" s="4"/>
      <c r="W6243" s="4"/>
      <c r="X6243" s="4"/>
    </row>
    <row r="6244" spans="17:24" x14ac:dyDescent="0.3">
      <c r="Q6244" s="4"/>
      <c r="R6244" s="4"/>
      <c r="S6244" s="4"/>
      <c r="T6244" s="4"/>
      <c r="U6244" s="4"/>
      <c r="V6244" s="4"/>
      <c r="W6244" s="4"/>
      <c r="X6244" s="4"/>
    </row>
    <row r="6245" spans="17:24" x14ac:dyDescent="0.3">
      <c r="Q6245" s="4"/>
      <c r="R6245" s="4"/>
      <c r="S6245" s="4"/>
      <c r="T6245" s="4"/>
      <c r="U6245" s="4"/>
      <c r="V6245" s="4"/>
      <c r="W6245" s="4"/>
      <c r="X6245" s="4"/>
    </row>
    <row r="6246" spans="17:24" x14ac:dyDescent="0.3">
      <c r="Q6246" s="4"/>
      <c r="R6246" s="4"/>
      <c r="S6246" s="4"/>
      <c r="T6246" s="4"/>
      <c r="U6246" s="4"/>
      <c r="V6246" s="4"/>
      <c r="W6246" s="4"/>
      <c r="X6246" s="4"/>
    </row>
    <row r="6247" spans="17:24" x14ac:dyDescent="0.3">
      <c r="Q6247" s="4"/>
      <c r="R6247" s="4"/>
      <c r="S6247" s="4"/>
      <c r="T6247" s="4"/>
      <c r="U6247" s="4"/>
      <c r="V6247" s="4"/>
      <c r="W6247" s="4"/>
      <c r="X6247" s="4"/>
    </row>
    <row r="6248" spans="17:24" x14ac:dyDescent="0.3">
      <c r="Q6248" s="4"/>
      <c r="R6248" s="4"/>
      <c r="S6248" s="4"/>
      <c r="T6248" s="4"/>
      <c r="U6248" s="4"/>
      <c r="V6248" s="4"/>
      <c r="W6248" s="4"/>
      <c r="X6248" s="4"/>
    </row>
    <row r="6249" spans="17:24" x14ac:dyDescent="0.3">
      <c r="Q6249" s="4"/>
      <c r="R6249" s="4"/>
      <c r="S6249" s="4"/>
      <c r="T6249" s="4"/>
      <c r="U6249" s="4"/>
      <c r="V6249" s="4"/>
      <c r="W6249" s="4"/>
      <c r="X6249" s="4"/>
    </row>
    <row r="6250" spans="17:24" x14ac:dyDescent="0.3">
      <c r="Q6250" s="4"/>
      <c r="R6250" s="4"/>
      <c r="S6250" s="4"/>
      <c r="T6250" s="4"/>
      <c r="U6250" s="4"/>
      <c r="V6250" s="4"/>
      <c r="W6250" s="4"/>
      <c r="X6250" s="4"/>
    </row>
    <row r="6251" spans="17:24" x14ac:dyDescent="0.3">
      <c r="Q6251" s="4"/>
      <c r="R6251" s="4"/>
      <c r="S6251" s="4"/>
      <c r="T6251" s="4"/>
      <c r="U6251" s="4"/>
      <c r="V6251" s="4"/>
      <c r="W6251" s="4"/>
      <c r="X6251" s="4"/>
    </row>
    <row r="6252" spans="17:24" x14ac:dyDescent="0.3">
      <c r="Q6252" s="4"/>
      <c r="R6252" s="4"/>
      <c r="S6252" s="4"/>
      <c r="T6252" s="4"/>
      <c r="U6252" s="4"/>
      <c r="V6252" s="4"/>
      <c r="W6252" s="4"/>
      <c r="X6252" s="4"/>
    </row>
    <row r="6253" spans="17:24" x14ac:dyDescent="0.3">
      <c r="Q6253" s="4"/>
      <c r="R6253" s="4"/>
      <c r="S6253" s="4"/>
      <c r="T6253" s="4"/>
      <c r="U6253" s="4"/>
      <c r="V6253" s="4"/>
      <c r="W6253" s="4"/>
      <c r="X6253" s="4"/>
    </row>
    <row r="6254" spans="17:24" x14ac:dyDescent="0.3">
      <c r="Q6254" s="4"/>
      <c r="R6254" s="4"/>
      <c r="S6254" s="4"/>
      <c r="T6254" s="4"/>
      <c r="U6254" s="4"/>
      <c r="V6254" s="4"/>
      <c r="W6254" s="4"/>
      <c r="X6254" s="4"/>
    </row>
    <row r="6255" spans="17:24" x14ac:dyDescent="0.3">
      <c r="Q6255" s="4"/>
      <c r="R6255" s="4"/>
      <c r="S6255" s="4"/>
      <c r="T6255" s="4"/>
      <c r="U6255" s="4"/>
      <c r="V6255" s="4"/>
      <c r="W6255" s="4"/>
      <c r="X6255" s="4"/>
    </row>
    <row r="6256" spans="17:24" x14ac:dyDescent="0.3">
      <c r="Q6256" s="4"/>
      <c r="R6256" s="4"/>
      <c r="S6256" s="4"/>
      <c r="T6256" s="4"/>
      <c r="U6256" s="4"/>
      <c r="V6256" s="4"/>
      <c r="W6256" s="4"/>
      <c r="X6256" s="4"/>
    </row>
    <row r="6257" spans="17:24" x14ac:dyDescent="0.3">
      <c r="Q6257" s="4"/>
      <c r="R6257" s="4"/>
      <c r="S6257" s="4"/>
      <c r="T6257" s="4"/>
      <c r="U6257" s="4"/>
      <c r="V6257" s="4"/>
      <c r="W6257" s="4"/>
      <c r="X6257" s="4"/>
    </row>
    <row r="6258" spans="17:24" x14ac:dyDescent="0.3">
      <c r="Q6258" s="4"/>
      <c r="R6258" s="4"/>
      <c r="S6258" s="4"/>
      <c r="T6258" s="4"/>
      <c r="U6258" s="4"/>
      <c r="V6258" s="4"/>
      <c r="W6258" s="4"/>
      <c r="X6258" s="4"/>
    </row>
    <row r="6259" spans="17:24" x14ac:dyDescent="0.3">
      <c r="Q6259" s="4"/>
      <c r="R6259" s="4"/>
      <c r="S6259" s="4"/>
      <c r="T6259" s="4"/>
      <c r="U6259" s="4"/>
      <c r="V6259" s="4"/>
      <c r="W6259" s="4"/>
      <c r="X6259" s="4"/>
    </row>
    <row r="6260" spans="17:24" x14ac:dyDescent="0.3">
      <c r="Q6260" s="4"/>
      <c r="R6260" s="4"/>
      <c r="S6260" s="4"/>
      <c r="T6260" s="4"/>
      <c r="U6260" s="4"/>
      <c r="V6260" s="4"/>
      <c r="W6260" s="4"/>
      <c r="X6260" s="4"/>
    </row>
    <row r="6261" spans="17:24" x14ac:dyDescent="0.3">
      <c r="Q6261" s="4"/>
      <c r="R6261" s="4"/>
      <c r="S6261" s="4"/>
      <c r="T6261" s="4"/>
      <c r="U6261" s="4"/>
      <c r="V6261" s="4"/>
      <c r="W6261" s="4"/>
      <c r="X6261" s="4"/>
    </row>
    <row r="6262" spans="17:24" x14ac:dyDescent="0.3">
      <c r="Q6262" s="4"/>
      <c r="R6262" s="4"/>
      <c r="S6262" s="4"/>
      <c r="T6262" s="4"/>
      <c r="U6262" s="4"/>
      <c r="V6262" s="4"/>
      <c r="W6262" s="4"/>
      <c r="X6262" s="4"/>
    </row>
    <row r="6263" spans="17:24" x14ac:dyDescent="0.3">
      <c r="Q6263" s="4"/>
      <c r="R6263" s="4"/>
      <c r="S6263" s="4"/>
      <c r="T6263" s="4"/>
      <c r="U6263" s="4"/>
      <c r="V6263" s="4"/>
      <c r="W6263" s="4"/>
      <c r="X6263" s="4"/>
    </row>
    <row r="6264" spans="17:24" x14ac:dyDescent="0.3">
      <c r="Q6264" s="4"/>
      <c r="R6264" s="4"/>
      <c r="S6264" s="4"/>
      <c r="T6264" s="4"/>
      <c r="U6264" s="4"/>
      <c r="V6264" s="4"/>
      <c r="W6264" s="4"/>
      <c r="X6264" s="4"/>
    </row>
    <row r="6265" spans="17:24" x14ac:dyDescent="0.3">
      <c r="Q6265" s="4"/>
      <c r="R6265" s="4"/>
      <c r="S6265" s="4"/>
      <c r="T6265" s="4"/>
      <c r="U6265" s="4"/>
      <c r="V6265" s="4"/>
      <c r="W6265" s="4"/>
      <c r="X6265" s="4"/>
    </row>
    <row r="6266" spans="17:24" x14ac:dyDescent="0.3">
      <c r="Q6266" s="4"/>
      <c r="R6266" s="4"/>
      <c r="S6266" s="4"/>
      <c r="T6266" s="4"/>
      <c r="U6266" s="4"/>
      <c r="V6266" s="4"/>
      <c r="W6266" s="4"/>
      <c r="X6266" s="4"/>
    </row>
    <row r="6267" spans="17:24" x14ac:dyDescent="0.3">
      <c r="Q6267" s="4"/>
      <c r="R6267" s="4"/>
      <c r="S6267" s="4"/>
      <c r="T6267" s="4"/>
      <c r="U6267" s="4"/>
      <c r="V6267" s="4"/>
      <c r="W6267" s="4"/>
      <c r="X6267" s="4"/>
    </row>
    <row r="6268" spans="17:24" x14ac:dyDescent="0.3">
      <c r="Q6268" s="4"/>
      <c r="R6268" s="4"/>
      <c r="S6268" s="4"/>
      <c r="T6268" s="4"/>
      <c r="U6268" s="4"/>
      <c r="V6268" s="4"/>
      <c r="W6268" s="4"/>
      <c r="X6268" s="4"/>
    </row>
    <row r="6269" spans="17:24" x14ac:dyDescent="0.3">
      <c r="Q6269" s="4"/>
      <c r="R6269" s="4"/>
      <c r="S6269" s="4"/>
      <c r="T6269" s="4"/>
      <c r="U6269" s="4"/>
      <c r="V6269" s="4"/>
      <c r="W6269" s="4"/>
      <c r="X6269" s="4"/>
    </row>
    <row r="6270" spans="17:24" x14ac:dyDescent="0.3">
      <c r="Q6270" s="4"/>
      <c r="R6270" s="4"/>
      <c r="S6270" s="4"/>
      <c r="T6270" s="4"/>
      <c r="U6270" s="4"/>
      <c r="V6270" s="4"/>
      <c r="W6270" s="4"/>
      <c r="X6270" s="4"/>
    </row>
    <row r="6271" spans="17:24" x14ac:dyDescent="0.3">
      <c r="Q6271" s="4"/>
      <c r="R6271" s="4"/>
      <c r="S6271" s="4"/>
      <c r="T6271" s="4"/>
      <c r="U6271" s="4"/>
      <c r="V6271" s="4"/>
      <c r="W6271" s="4"/>
      <c r="X6271" s="4"/>
    </row>
    <row r="6272" spans="17:24" x14ac:dyDescent="0.3">
      <c r="Q6272" s="4"/>
      <c r="R6272" s="4"/>
      <c r="S6272" s="4"/>
      <c r="T6272" s="4"/>
      <c r="U6272" s="4"/>
      <c r="V6272" s="4"/>
      <c r="W6272" s="4"/>
      <c r="X6272" s="4"/>
    </row>
    <row r="6273" spans="17:24" x14ac:dyDescent="0.3">
      <c r="Q6273" s="4"/>
      <c r="R6273" s="4"/>
      <c r="S6273" s="4"/>
      <c r="T6273" s="4"/>
      <c r="U6273" s="4"/>
      <c r="V6273" s="4"/>
      <c r="W6273" s="4"/>
      <c r="X6273" s="4"/>
    </row>
    <row r="6274" spans="17:24" x14ac:dyDescent="0.3">
      <c r="Q6274" s="4"/>
      <c r="R6274" s="4"/>
      <c r="S6274" s="4"/>
      <c r="T6274" s="4"/>
      <c r="U6274" s="4"/>
      <c r="V6274" s="4"/>
      <c r="W6274" s="4"/>
      <c r="X6274" s="4"/>
    </row>
    <row r="6275" spans="17:24" x14ac:dyDescent="0.3">
      <c r="Q6275" s="4"/>
      <c r="R6275" s="4"/>
      <c r="S6275" s="4"/>
      <c r="T6275" s="4"/>
      <c r="U6275" s="4"/>
      <c r="V6275" s="4"/>
      <c r="W6275" s="4"/>
      <c r="X6275" s="4"/>
    </row>
    <row r="6276" spans="17:24" x14ac:dyDescent="0.3">
      <c r="Q6276" s="4"/>
      <c r="R6276" s="4"/>
      <c r="S6276" s="4"/>
      <c r="T6276" s="4"/>
      <c r="U6276" s="4"/>
      <c r="V6276" s="4"/>
      <c r="W6276" s="4"/>
      <c r="X6276" s="4"/>
    </row>
    <row r="6277" spans="17:24" x14ac:dyDescent="0.3">
      <c r="Q6277" s="4"/>
      <c r="R6277" s="4"/>
      <c r="S6277" s="4"/>
      <c r="T6277" s="4"/>
      <c r="U6277" s="4"/>
      <c r="V6277" s="4"/>
      <c r="W6277" s="4"/>
      <c r="X6277" s="4"/>
    </row>
    <row r="6278" spans="17:24" x14ac:dyDescent="0.3">
      <c r="Q6278" s="4"/>
      <c r="R6278" s="4"/>
      <c r="S6278" s="4"/>
      <c r="T6278" s="4"/>
      <c r="U6278" s="4"/>
      <c r="V6278" s="4"/>
      <c r="W6278" s="4"/>
      <c r="X6278" s="4"/>
    </row>
    <row r="6279" spans="17:24" x14ac:dyDescent="0.3">
      <c r="Q6279" s="4"/>
      <c r="R6279" s="4"/>
      <c r="S6279" s="4"/>
      <c r="T6279" s="4"/>
      <c r="U6279" s="4"/>
      <c r="V6279" s="4"/>
      <c r="W6279" s="4"/>
      <c r="X6279" s="4"/>
    </row>
    <row r="6280" spans="17:24" x14ac:dyDescent="0.3">
      <c r="Q6280" s="4"/>
      <c r="R6280" s="4"/>
      <c r="S6280" s="4"/>
      <c r="T6280" s="4"/>
      <c r="U6280" s="4"/>
      <c r="V6280" s="4"/>
      <c r="W6280" s="4"/>
      <c r="X6280" s="4"/>
    </row>
    <row r="6281" spans="17:24" x14ac:dyDescent="0.3">
      <c r="Q6281" s="4"/>
      <c r="R6281" s="4"/>
      <c r="S6281" s="4"/>
      <c r="T6281" s="4"/>
      <c r="U6281" s="4"/>
      <c r="V6281" s="4"/>
      <c r="W6281" s="4"/>
      <c r="X6281" s="4"/>
    </row>
    <row r="6282" spans="17:24" x14ac:dyDescent="0.3">
      <c r="Q6282" s="4"/>
      <c r="R6282" s="4"/>
      <c r="S6282" s="4"/>
      <c r="T6282" s="4"/>
      <c r="U6282" s="4"/>
      <c r="V6282" s="4"/>
      <c r="W6282" s="4"/>
      <c r="X6282" s="4"/>
    </row>
    <row r="6283" spans="17:24" x14ac:dyDescent="0.3">
      <c r="Q6283" s="4"/>
      <c r="R6283" s="4"/>
      <c r="S6283" s="4"/>
      <c r="T6283" s="4"/>
      <c r="U6283" s="4"/>
      <c r="V6283" s="4"/>
      <c r="W6283" s="4"/>
      <c r="X6283" s="4"/>
    </row>
    <row r="6284" spans="17:24" x14ac:dyDescent="0.3">
      <c r="Q6284" s="4"/>
      <c r="R6284" s="4"/>
      <c r="S6284" s="4"/>
      <c r="T6284" s="4"/>
      <c r="U6284" s="4"/>
      <c r="V6284" s="4"/>
      <c r="W6284" s="4"/>
      <c r="X6284" s="4"/>
    </row>
    <row r="6285" spans="17:24" x14ac:dyDescent="0.3">
      <c r="Q6285" s="4"/>
      <c r="R6285" s="4"/>
      <c r="S6285" s="4"/>
      <c r="T6285" s="4"/>
      <c r="U6285" s="4"/>
      <c r="V6285" s="4"/>
      <c r="W6285" s="4"/>
      <c r="X6285" s="4"/>
    </row>
    <row r="6286" spans="17:24" x14ac:dyDescent="0.3">
      <c r="Q6286" s="4"/>
      <c r="R6286" s="4"/>
      <c r="S6286" s="4"/>
      <c r="T6286" s="4"/>
      <c r="U6286" s="4"/>
      <c r="V6286" s="4"/>
      <c r="W6286" s="4"/>
      <c r="X6286" s="4"/>
    </row>
    <row r="6287" spans="17:24" x14ac:dyDescent="0.3">
      <c r="Q6287" s="4"/>
      <c r="R6287" s="4"/>
      <c r="S6287" s="4"/>
      <c r="T6287" s="4"/>
      <c r="U6287" s="4"/>
      <c r="V6287" s="4"/>
      <c r="W6287" s="4"/>
      <c r="X6287" s="4"/>
    </row>
    <row r="6288" spans="17:24" x14ac:dyDescent="0.3">
      <c r="Q6288" s="4"/>
      <c r="R6288" s="4"/>
      <c r="S6288" s="4"/>
      <c r="T6288" s="4"/>
      <c r="U6288" s="4"/>
      <c r="V6288" s="4"/>
      <c r="W6288" s="4"/>
      <c r="X6288" s="4"/>
    </row>
    <row r="6289" spans="17:24" x14ac:dyDescent="0.3">
      <c r="Q6289" s="4"/>
      <c r="R6289" s="4"/>
      <c r="S6289" s="4"/>
      <c r="T6289" s="4"/>
      <c r="U6289" s="4"/>
      <c r="V6289" s="4"/>
      <c r="W6289" s="4"/>
      <c r="X6289" s="4"/>
    </row>
    <row r="6290" spans="17:24" x14ac:dyDescent="0.3">
      <c r="Q6290" s="4"/>
      <c r="R6290" s="4"/>
      <c r="S6290" s="4"/>
      <c r="T6290" s="4"/>
      <c r="U6290" s="4"/>
      <c r="V6290" s="4"/>
      <c r="W6290" s="4"/>
      <c r="X6290" s="4"/>
    </row>
    <row r="6291" spans="17:24" x14ac:dyDescent="0.3">
      <c r="Q6291" s="4"/>
      <c r="R6291" s="4"/>
      <c r="S6291" s="4"/>
      <c r="T6291" s="4"/>
      <c r="U6291" s="4"/>
      <c r="V6291" s="4"/>
      <c r="W6291" s="4"/>
      <c r="X6291" s="4"/>
    </row>
    <row r="6292" spans="17:24" x14ac:dyDescent="0.3">
      <c r="Q6292" s="4"/>
      <c r="R6292" s="4"/>
      <c r="S6292" s="4"/>
      <c r="T6292" s="4"/>
      <c r="U6292" s="4"/>
      <c r="V6292" s="4"/>
      <c r="W6292" s="4"/>
      <c r="X6292" s="4"/>
    </row>
    <row r="6293" spans="17:24" x14ac:dyDescent="0.3">
      <c r="Q6293" s="4"/>
      <c r="R6293" s="4"/>
      <c r="S6293" s="4"/>
      <c r="T6293" s="4"/>
      <c r="U6293" s="4"/>
      <c r="V6293" s="4"/>
      <c r="W6293" s="4"/>
      <c r="X6293" s="4"/>
    </row>
    <row r="6294" spans="17:24" x14ac:dyDescent="0.3">
      <c r="Q6294" s="4"/>
      <c r="R6294" s="4"/>
      <c r="S6294" s="4"/>
      <c r="T6294" s="4"/>
      <c r="U6294" s="4"/>
      <c r="V6294" s="4"/>
      <c r="W6294" s="4"/>
      <c r="X6294" s="4"/>
    </row>
    <row r="6295" spans="17:24" x14ac:dyDescent="0.3">
      <c r="Q6295" s="4"/>
      <c r="R6295" s="4"/>
      <c r="S6295" s="4"/>
      <c r="T6295" s="4"/>
      <c r="U6295" s="4"/>
      <c r="V6295" s="4"/>
      <c r="W6295" s="4"/>
      <c r="X6295" s="4"/>
    </row>
    <row r="6296" spans="17:24" x14ac:dyDescent="0.3">
      <c r="Q6296" s="4"/>
      <c r="R6296" s="4"/>
      <c r="S6296" s="4"/>
      <c r="T6296" s="4"/>
      <c r="U6296" s="4"/>
      <c r="V6296" s="4"/>
      <c r="W6296" s="4"/>
      <c r="X6296" s="4"/>
    </row>
    <row r="6297" spans="17:24" x14ac:dyDescent="0.3">
      <c r="Q6297" s="4"/>
      <c r="R6297" s="4"/>
      <c r="S6297" s="4"/>
      <c r="T6297" s="4"/>
      <c r="U6297" s="4"/>
      <c r="V6297" s="4"/>
      <c r="W6297" s="4"/>
      <c r="X6297" s="4"/>
    </row>
    <row r="6298" spans="17:24" x14ac:dyDescent="0.3">
      <c r="Q6298" s="4"/>
      <c r="R6298" s="4"/>
      <c r="S6298" s="4"/>
      <c r="T6298" s="4"/>
      <c r="U6298" s="4"/>
      <c r="V6298" s="4"/>
      <c r="W6298" s="4"/>
      <c r="X6298" s="4"/>
    </row>
    <row r="6299" spans="17:24" x14ac:dyDescent="0.3">
      <c r="Q6299" s="4"/>
      <c r="R6299" s="4"/>
      <c r="S6299" s="4"/>
      <c r="T6299" s="4"/>
      <c r="U6299" s="4"/>
      <c r="V6299" s="4"/>
      <c r="W6299" s="4"/>
      <c r="X6299" s="4"/>
    </row>
    <row r="6300" spans="17:24" x14ac:dyDescent="0.3">
      <c r="Q6300" s="4"/>
      <c r="R6300" s="4"/>
      <c r="S6300" s="4"/>
      <c r="T6300" s="4"/>
      <c r="U6300" s="4"/>
      <c r="V6300" s="4"/>
      <c r="W6300" s="4"/>
      <c r="X6300" s="4"/>
    </row>
    <row r="6301" spans="17:24" x14ac:dyDescent="0.3">
      <c r="Q6301" s="4"/>
      <c r="R6301" s="4"/>
      <c r="S6301" s="4"/>
      <c r="T6301" s="4"/>
      <c r="U6301" s="4"/>
      <c r="V6301" s="4"/>
      <c r="W6301" s="4"/>
      <c r="X6301" s="4"/>
    </row>
    <row r="6302" spans="17:24" x14ac:dyDescent="0.3">
      <c r="Q6302" s="4"/>
      <c r="R6302" s="4"/>
      <c r="S6302" s="4"/>
      <c r="T6302" s="4"/>
      <c r="U6302" s="4"/>
      <c r="V6302" s="4"/>
      <c r="W6302" s="4"/>
      <c r="X6302" s="4"/>
    </row>
    <row r="6303" spans="17:24" x14ac:dyDescent="0.3">
      <c r="Q6303" s="4"/>
      <c r="R6303" s="4"/>
      <c r="S6303" s="4"/>
      <c r="T6303" s="4"/>
      <c r="U6303" s="4"/>
      <c r="V6303" s="4"/>
      <c r="W6303" s="4"/>
      <c r="X6303" s="4"/>
    </row>
    <row r="6304" spans="17:24" x14ac:dyDescent="0.3">
      <c r="Q6304" s="4"/>
      <c r="R6304" s="4"/>
      <c r="S6304" s="4"/>
      <c r="T6304" s="4"/>
      <c r="U6304" s="4"/>
      <c r="V6304" s="4"/>
      <c r="W6304" s="4"/>
      <c r="X6304" s="4"/>
    </row>
    <row r="6305" spans="17:24" x14ac:dyDescent="0.3">
      <c r="Q6305" s="4"/>
      <c r="R6305" s="4"/>
      <c r="S6305" s="4"/>
      <c r="T6305" s="4"/>
      <c r="U6305" s="4"/>
      <c r="V6305" s="4"/>
      <c r="W6305" s="4"/>
      <c r="X6305" s="4"/>
    </row>
    <row r="6306" spans="17:24" x14ac:dyDescent="0.3">
      <c r="Q6306" s="4"/>
      <c r="R6306" s="4"/>
      <c r="S6306" s="4"/>
      <c r="T6306" s="4"/>
      <c r="U6306" s="4"/>
      <c r="V6306" s="4"/>
      <c r="W6306" s="4"/>
      <c r="X6306" s="4"/>
    </row>
    <row r="6307" spans="17:24" x14ac:dyDescent="0.3">
      <c r="Q6307" s="4"/>
      <c r="R6307" s="4"/>
      <c r="S6307" s="4"/>
      <c r="T6307" s="4"/>
      <c r="U6307" s="4"/>
      <c r="V6307" s="4"/>
      <c r="W6307" s="4"/>
      <c r="X6307" s="4"/>
    </row>
    <row r="6308" spans="17:24" x14ac:dyDescent="0.3">
      <c r="Q6308" s="4"/>
      <c r="R6308" s="4"/>
      <c r="S6308" s="4"/>
      <c r="T6308" s="4"/>
      <c r="U6308" s="4"/>
      <c r="V6308" s="4"/>
      <c r="W6308" s="4"/>
      <c r="X6308" s="4"/>
    </row>
    <row r="6309" spans="17:24" x14ac:dyDescent="0.3">
      <c r="Q6309" s="4"/>
      <c r="R6309" s="4"/>
      <c r="S6309" s="4"/>
      <c r="T6309" s="4"/>
      <c r="U6309" s="4"/>
      <c r="V6309" s="4"/>
      <c r="W6309" s="4"/>
      <c r="X6309" s="4"/>
    </row>
    <row r="6310" spans="17:24" x14ac:dyDescent="0.3">
      <c r="Q6310" s="4"/>
      <c r="R6310" s="4"/>
      <c r="S6310" s="4"/>
      <c r="T6310" s="4"/>
      <c r="U6310" s="4"/>
      <c r="V6310" s="4"/>
      <c r="W6310" s="4"/>
      <c r="X6310" s="4"/>
    </row>
    <row r="6311" spans="17:24" x14ac:dyDescent="0.3">
      <c r="Q6311" s="4"/>
      <c r="R6311" s="4"/>
      <c r="S6311" s="4"/>
      <c r="T6311" s="4"/>
      <c r="U6311" s="4"/>
      <c r="V6311" s="4"/>
      <c r="W6311" s="4"/>
      <c r="X6311" s="4"/>
    </row>
    <row r="6312" spans="17:24" x14ac:dyDescent="0.3">
      <c r="Q6312" s="4"/>
      <c r="R6312" s="4"/>
      <c r="S6312" s="4"/>
      <c r="T6312" s="4"/>
      <c r="U6312" s="4"/>
      <c r="V6312" s="4"/>
      <c r="W6312" s="4"/>
      <c r="X6312" s="4"/>
    </row>
    <row r="6313" spans="17:24" x14ac:dyDescent="0.3">
      <c r="Q6313" s="4"/>
      <c r="R6313" s="4"/>
      <c r="S6313" s="4"/>
      <c r="T6313" s="4"/>
      <c r="U6313" s="4"/>
      <c r="V6313" s="4"/>
      <c r="W6313" s="4"/>
      <c r="X6313" s="4"/>
    </row>
    <row r="6314" spans="17:24" x14ac:dyDescent="0.3">
      <c r="Q6314" s="4"/>
      <c r="R6314" s="4"/>
      <c r="S6314" s="4"/>
      <c r="T6314" s="4"/>
      <c r="U6314" s="4"/>
      <c r="V6314" s="4"/>
      <c r="W6314" s="4"/>
      <c r="X6314" s="4"/>
    </row>
    <row r="6315" spans="17:24" x14ac:dyDescent="0.3">
      <c r="Q6315" s="4"/>
      <c r="R6315" s="4"/>
      <c r="S6315" s="4"/>
      <c r="T6315" s="4"/>
      <c r="U6315" s="4"/>
      <c r="V6315" s="4"/>
      <c r="W6315" s="4"/>
      <c r="X6315" s="4"/>
    </row>
    <row r="6316" spans="17:24" x14ac:dyDescent="0.3">
      <c r="Q6316" s="4"/>
      <c r="R6316" s="4"/>
      <c r="S6316" s="4"/>
      <c r="T6316" s="4"/>
      <c r="U6316" s="4"/>
      <c r="V6316" s="4"/>
      <c r="W6316" s="4"/>
      <c r="X6316" s="4"/>
    </row>
    <row r="6317" spans="17:24" x14ac:dyDescent="0.3">
      <c r="Q6317" s="4"/>
      <c r="R6317" s="4"/>
      <c r="S6317" s="4"/>
      <c r="T6317" s="4"/>
      <c r="U6317" s="4"/>
      <c r="V6317" s="4"/>
      <c r="W6317" s="4"/>
      <c r="X6317" s="4"/>
    </row>
    <row r="6318" spans="17:24" x14ac:dyDescent="0.3">
      <c r="Q6318" s="4"/>
      <c r="R6318" s="4"/>
      <c r="S6318" s="4"/>
      <c r="T6318" s="4"/>
      <c r="U6318" s="4"/>
      <c r="V6318" s="4"/>
      <c r="W6318" s="4"/>
      <c r="X6318" s="4"/>
    </row>
    <row r="6319" spans="17:24" x14ac:dyDescent="0.3">
      <c r="Q6319" s="4"/>
      <c r="R6319" s="4"/>
      <c r="S6319" s="4"/>
      <c r="T6319" s="4"/>
      <c r="U6319" s="4"/>
      <c r="V6319" s="4"/>
      <c r="W6319" s="4"/>
      <c r="X6319" s="4"/>
    </row>
    <row r="6320" spans="17:24" x14ac:dyDescent="0.3">
      <c r="Q6320" s="4"/>
      <c r="R6320" s="4"/>
      <c r="S6320" s="4"/>
      <c r="T6320" s="4"/>
      <c r="U6320" s="4"/>
      <c r="V6320" s="4"/>
      <c r="W6320" s="4"/>
      <c r="X6320" s="4"/>
    </row>
    <row r="6321" spans="17:24" x14ac:dyDescent="0.3">
      <c r="Q6321" s="4"/>
      <c r="R6321" s="4"/>
      <c r="S6321" s="4"/>
      <c r="T6321" s="4"/>
      <c r="U6321" s="4"/>
      <c r="V6321" s="4"/>
      <c r="W6321" s="4"/>
      <c r="X6321" s="4"/>
    </row>
    <row r="6322" spans="17:24" x14ac:dyDescent="0.3">
      <c r="Q6322" s="4"/>
      <c r="R6322" s="4"/>
      <c r="S6322" s="4"/>
      <c r="T6322" s="4"/>
      <c r="U6322" s="4"/>
      <c r="V6322" s="4"/>
      <c r="W6322" s="4"/>
      <c r="X6322" s="4"/>
    </row>
    <row r="6323" spans="17:24" x14ac:dyDescent="0.3">
      <c r="Q6323" s="4"/>
      <c r="R6323" s="4"/>
      <c r="S6323" s="4"/>
      <c r="T6323" s="4"/>
      <c r="U6323" s="4"/>
      <c r="V6323" s="4"/>
      <c r="W6323" s="4"/>
      <c r="X6323" s="4"/>
    </row>
    <row r="6324" spans="17:24" x14ac:dyDescent="0.3">
      <c r="Q6324" s="4"/>
      <c r="R6324" s="4"/>
      <c r="S6324" s="4"/>
      <c r="T6324" s="4"/>
      <c r="U6324" s="4"/>
      <c r="V6324" s="4"/>
      <c r="W6324" s="4"/>
      <c r="X6324" s="4"/>
    </row>
    <row r="6325" spans="17:24" x14ac:dyDescent="0.3">
      <c r="Q6325" s="4"/>
      <c r="R6325" s="4"/>
      <c r="S6325" s="4"/>
      <c r="T6325" s="4"/>
      <c r="U6325" s="4"/>
      <c r="V6325" s="4"/>
      <c r="W6325" s="4"/>
      <c r="X6325" s="4"/>
    </row>
    <row r="6326" spans="17:24" x14ac:dyDescent="0.3">
      <c r="Q6326" s="4"/>
      <c r="R6326" s="4"/>
      <c r="S6326" s="4"/>
      <c r="T6326" s="4"/>
      <c r="U6326" s="4"/>
      <c r="V6326" s="4"/>
      <c r="W6326" s="4"/>
      <c r="X6326" s="4"/>
    </row>
    <row r="6327" spans="17:24" x14ac:dyDescent="0.3">
      <c r="Q6327" s="4"/>
      <c r="R6327" s="4"/>
      <c r="S6327" s="4"/>
      <c r="T6327" s="4"/>
      <c r="U6327" s="4"/>
      <c r="V6327" s="4"/>
      <c r="W6327" s="4"/>
      <c r="X6327" s="4"/>
    </row>
    <row r="6328" spans="17:24" x14ac:dyDescent="0.3">
      <c r="Q6328" s="4"/>
      <c r="R6328" s="4"/>
      <c r="S6328" s="4"/>
      <c r="T6328" s="4"/>
      <c r="U6328" s="4"/>
      <c r="V6328" s="4"/>
      <c r="W6328" s="4"/>
      <c r="X6328" s="4"/>
    </row>
    <row r="6329" spans="17:24" x14ac:dyDescent="0.3">
      <c r="Q6329" s="4"/>
      <c r="R6329" s="4"/>
      <c r="S6329" s="4"/>
      <c r="T6329" s="4"/>
      <c r="U6329" s="4"/>
      <c r="V6329" s="4"/>
      <c r="W6329" s="4"/>
      <c r="X6329" s="4"/>
    </row>
    <row r="6330" spans="17:24" x14ac:dyDescent="0.3">
      <c r="Q6330" s="4"/>
      <c r="R6330" s="4"/>
      <c r="S6330" s="4"/>
      <c r="T6330" s="4"/>
      <c r="U6330" s="4"/>
      <c r="V6330" s="4"/>
      <c r="W6330" s="4"/>
      <c r="X6330" s="4"/>
    </row>
    <row r="6331" spans="17:24" x14ac:dyDescent="0.3">
      <c r="Q6331" s="4"/>
      <c r="R6331" s="4"/>
      <c r="S6331" s="4"/>
      <c r="T6331" s="4"/>
      <c r="U6331" s="4"/>
      <c r="V6331" s="4"/>
      <c r="W6331" s="4"/>
      <c r="X6331" s="4"/>
    </row>
    <row r="6332" spans="17:24" x14ac:dyDescent="0.3">
      <c r="Q6332" s="4"/>
      <c r="R6332" s="4"/>
      <c r="S6332" s="4"/>
      <c r="T6332" s="4"/>
      <c r="U6332" s="4"/>
      <c r="V6332" s="4"/>
      <c r="W6332" s="4"/>
      <c r="X6332" s="4"/>
    </row>
    <row r="6333" spans="17:24" x14ac:dyDescent="0.3">
      <c r="Q6333" s="4"/>
      <c r="R6333" s="4"/>
      <c r="S6333" s="4"/>
      <c r="T6333" s="4"/>
      <c r="U6333" s="4"/>
      <c r="V6333" s="4"/>
      <c r="W6333" s="4"/>
      <c r="X6333" s="4"/>
    </row>
    <row r="6334" spans="17:24" x14ac:dyDescent="0.3">
      <c r="Q6334" s="4"/>
      <c r="R6334" s="4"/>
      <c r="S6334" s="4"/>
      <c r="T6334" s="4"/>
      <c r="U6334" s="4"/>
      <c r="V6334" s="4"/>
      <c r="W6334" s="4"/>
      <c r="X6334" s="4"/>
    </row>
    <row r="6335" spans="17:24" x14ac:dyDescent="0.3">
      <c r="Q6335" s="4"/>
      <c r="R6335" s="4"/>
      <c r="S6335" s="4"/>
      <c r="T6335" s="4"/>
      <c r="U6335" s="4"/>
      <c r="V6335" s="4"/>
      <c r="W6335" s="4"/>
      <c r="X6335" s="4"/>
    </row>
    <row r="6336" spans="17:24" x14ac:dyDescent="0.3">
      <c r="Q6336" s="4"/>
      <c r="R6336" s="4"/>
      <c r="S6336" s="4"/>
      <c r="T6336" s="4"/>
      <c r="U6336" s="4"/>
      <c r="V6336" s="4"/>
      <c r="W6336" s="4"/>
      <c r="X6336" s="4"/>
    </row>
    <row r="6337" spans="17:24" x14ac:dyDescent="0.3">
      <c r="Q6337" s="4"/>
      <c r="R6337" s="4"/>
      <c r="S6337" s="4"/>
      <c r="T6337" s="4"/>
      <c r="U6337" s="4"/>
      <c r="V6337" s="4"/>
      <c r="W6337" s="4"/>
      <c r="X6337" s="4"/>
    </row>
    <row r="6338" spans="17:24" x14ac:dyDescent="0.3">
      <c r="Q6338" s="4"/>
      <c r="R6338" s="4"/>
      <c r="S6338" s="4"/>
      <c r="T6338" s="4"/>
      <c r="U6338" s="4"/>
      <c r="V6338" s="4"/>
      <c r="W6338" s="4"/>
      <c r="X6338" s="4"/>
    </row>
    <row r="6339" spans="17:24" x14ac:dyDescent="0.3">
      <c r="Q6339" s="4"/>
      <c r="R6339" s="4"/>
      <c r="S6339" s="4"/>
      <c r="T6339" s="4"/>
      <c r="U6339" s="4"/>
      <c r="V6339" s="4"/>
      <c r="W6339" s="4"/>
      <c r="X6339" s="4"/>
    </row>
    <row r="6340" spans="17:24" x14ac:dyDescent="0.3">
      <c r="Q6340" s="4"/>
      <c r="R6340" s="4"/>
      <c r="S6340" s="4"/>
      <c r="T6340" s="4"/>
      <c r="U6340" s="4"/>
      <c r="V6340" s="4"/>
      <c r="W6340" s="4"/>
      <c r="X6340" s="4"/>
    </row>
    <row r="6341" spans="17:24" x14ac:dyDescent="0.3">
      <c r="Q6341" s="4"/>
      <c r="R6341" s="4"/>
      <c r="S6341" s="4"/>
      <c r="T6341" s="4"/>
      <c r="U6341" s="4"/>
      <c r="V6341" s="4"/>
      <c r="W6341" s="4"/>
      <c r="X6341" s="4"/>
    </row>
    <row r="6342" spans="17:24" x14ac:dyDescent="0.3">
      <c r="Q6342" s="4"/>
      <c r="R6342" s="4"/>
      <c r="S6342" s="4"/>
      <c r="T6342" s="4"/>
      <c r="U6342" s="4"/>
      <c r="V6342" s="4"/>
      <c r="W6342" s="4"/>
      <c r="X6342" s="4"/>
    </row>
    <row r="6343" spans="17:24" x14ac:dyDescent="0.3">
      <c r="Q6343" s="4"/>
      <c r="R6343" s="4"/>
      <c r="S6343" s="4"/>
      <c r="T6343" s="4"/>
      <c r="U6343" s="4"/>
      <c r="V6343" s="4"/>
      <c r="W6343" s="4"/>
      <c r="X6343" s="4"/>
    </row>
    <row r="6344" spans="17:24" x14ac:dyDescent="0.3">
      <c r="Q6344" s="4"/>
      <c r="R6344" s="4"/>
      <c r="S6344" s="4"/>
      <c r="T6344" s="4"/>
      <c r="U6344" s="4"/>
      <c r="V6344" s="4"/>
      <c r="W6344" s="4"/>
      <c r="X6344" s="4"/>
    </row>
    <row r="6345" spans="17:24" x14ac:dyDescent="0.3">
      <c r="Q6345" s="4"/>
      <c r="R6345" s="4"/>
      <c r="S6345" s="4"/>
      <c r="T6345" s="4"/>
      <c r="U6345" s="4"/>
      <c r="V6345" s="4"/>
      <c r="W6345" s="4"/>
      <c r="X6345" s="4"/>
    </row>
    <row r="6346" spans="17:24" x14ac:dyDescent="0.3">
      <c r="Q6346" s="4"/>
      <c r="R6346" s="4"/>
      <c r="S6346" s="4"/>
      <c r="T6346" s="4"/>
      <c r="U6346" s="4"/>
      <c r="V6346" s="4"/>
      <c r="W6346" s="4"/>
      <c r="X6346" s="4"/>
    </row>
    <row r="6347" spans="17:24" x14ac:dyDescent="0.3">
      <c r="Q6347" s="4"/>
      <c r="R6347" s="4"/>
      <c r="S6347" s="4"/>
      <c r="T6347" s="4"/>
      <c r="U6347" s="4"/>
      <c r="V6347" s="4"/>
      <c r="W6347" s="4"/>
      <c r="X6347" s="4"/>
    </row>
    <row r="6348" spans="17:24" x14ac:dyDescent="0.3">
      <c r="Q6348" s="4"/>
      <c r="R6348" s="4"/>
      <c r="S6348" s="4"/>
      <c r="T6348" s="4"/>
      <c r="U6348" s="4"/>
      <c r="V6348" s="4"/>
      <c r="W6348" s="4"/>
      <c r="X6348" s="4"/>
    </row>
    <row r="6349" spans="17:24" x14ac:dyDescent="0.3">
      <c r="Q6349" s="4"/>
      <c r="R6349" s="4"/>
      <c r="S6349" s="4"/>
      <c r="T6349" s="4"/>
      <c r="U6349" s="4"/>
      <c r="V6349" s="4"/>
      <c r="W6349" s="4"/>
      <c r="X6349" s="4"/>
    </row>
    <row r="6350" spans="17:24" x14ac:dyDescent="0.3">
      <c r="Q6350" s="4"/>
      <c r="R6350" s="4"/>
      <c r="S6350" s="4"/>
      <c r="T6350" s="4"/>
      <c r="U6350" s="4"/>
      <c r="V6350" s="4"/>
      <c r="W6350" s="4"/>
      <c r="X6350" s="4"/>
    </row>
    <row r="6351" spans="17:24" x14ac:dyDescent="0.3">
      <c r="Q6351" s="4"/>
      <c r="R6351" s="4"/>
      <c r="S6351" s="4"/>
      <c r="T6351" s="4"/>
      <c r="U6351" s="4"/>
      <c r="V6351" s="4"/>
      <c r="W6351" s="4"/>
      <c r="X6351" s="4"/>
    </row>
    <row r="6352" spans="17:24" x14ac:dyDescent="0.3">
      <c r="Q6352" s="4"/>
      <c r="R6352" s="4"/>
      <c r="S6352" s="4"/>
      <c r="T6352" s="4"/>
      <c r="U6352" s="4"/>
      <c r="V6352" s="4"/>
      <c r="W6352" s="4"/>
      <c r="X6352" s="4"/>
    </row>
    <row r="6353" spans="17:24" x14ac:dyDescent="0.3">
      <c r="Q6353" s="4"/>
      <c r="R6353" s="4"/>
      <c r="S6353" s="4"/>
      <c r="T6353" s="4"/>
      <c r="U6353" s="4"/>
      <c r="V6353" s="4"/>
      <c r="W6353" s="4"/>
      <c r="X6353" s="4"/>
    </row>
    <row r="6354" spans="17:24" x14ac:dyDescent="0.3">
      <c r="Q6354" s="4"/>
      <c r="R6354" s="4"/>
      <c r="S6354" s="4"/>
      <c r="T6354" s="4"/>
      <c r="U6354" s="4"/>
      <c r="V6354" s="4"/>
      <c r="W6354" s="4"/>
      <c r="X6354" s="4"/>
    </row>
    <row r="6355" spans="17:24" x14ac:dyDescent="0.3">
      <c r="Q6355" s="4"/>
      <c r="R6355" s="4"/>
      <c r="S6355" s="4"/>
      <c r="T6355" s="4"/>
      <c r="U6355" s="4"/>
      <c r="V6355" s="4"/>
      <c r="W6355" s="4"/>
      <c r="X6355" s="4"/>
    </row>
    <row r="6356" spans="17:24" x14ac:dyDescent="0.3">
      <c r="Q6356" s="4"/>
      <c r="R6356" s="4"/>
      <c r="S6356" s="4"/>
      <c r="T6356" s="4"/>
      <c r="U6356" s="4"/>
      <c r="V6356" s="4"/>
      <c r="W6356" s="4"/>
      <c r="X6356" s="4"/>
    </row>
    <row r="6357" spans="17:24" x14ac:dyDescent="0.3">
      <c r="Q6357" s="4"/>
      <c r="R6357" s="4"/>
      <c r="S6357" s="4"/>
      <c r="T6357" s="4"/>
      <c r="U6357" s="4"/>
      <c r="V6357" s="4"/>
      <c r="W6357" s="4"/>
      <c r="X6357" s="4"/>
    </row>
    <row r="6358" spans="17:24" x14ac:dyDescent="0.3">
      <c r="Q6358" s="4"/>
      <c r="R6358" s="4"/>
      <c r="S6358" s="4"/>
      <c r="T6358" s="4"/>
      <c r="U6358" s="4"/>
      <c r="V6358" s="4"/>
      <c r="W6358" s="4"/>
      <c r="X6358" s="4"/>
    </row>
    <row r="6359" spans="17:24" x14ac:dyDescent="0.3">
      <c r="Q6359" s="4"/>
      <c r="R6359" s="4"/>
      <c r="S6359" s="4"/>
      <c r="T6359" s="4"/>
      <c r="U6359" s="4"/>
      <c r="V6359" s="4"/>
      <c r="W6359" s="4"/>
      <c r="X6359" s="4"/>
    </row>
    <row r="6360" spans="17:24" x14ac:dyDescent="0.3">
      <c r="Q6360" s="4"/>
      <c r="R6360" s="4"/>
      <c r="S6360" s="4"/>
      <c r="T6360" s="4"/>
      <c r="U6360" s="4"/>
      <c r="V6360" s="4"/>
      <c r="W6360" s="4"/>
      <c r="X6360" s="4"/>
    </row>
    <row r="6361" spans="17:24" x14ac:dyDescent="0.3">
      <c r="Q6361" s="4"/>
      <c r="R6361" s="4"/>
      <c r="S6361" s="4"/>
      <c r="T6361" s="4"/>
      <c r="U6361" s="4"/>
      <c r="V6361" s="4"/>
      <c r="W6361" s="4"/>
      <c r="X6361" s="4"/>
    </row>
    <row r="6362" spans="17:24" x14ac:dyDescent="0.3">
      <c r="Q6362" s="4"/>
      <c r="R6362" s="4"/>
      <c r="S6362" s="4"/>
      <c r="T6362" s="4"/>
      <c r="U6362" s="4"/>
      <c r="V6362" s="4"/>
      <c r="W6362" s="4"/>
      <c r="X6362" s="4"/>
    </row>
    <row r="6363" spans="17:24" x14ac:dyDescent="0.3">
      <c r="Q6363" s="4"/>
      <c r="R6363" s="4"/>
      <c r="S6363" s="4"/>
      <c r="T6363" s="4"/>
      <c r="U6363" s="4"/>
      <c r="V6363" s="4"/>
      <c r="W6363" s="4"/>
      <c r="X6363" s="4"/>
    </row>
    <row r="6364" spans="17:24" x14ac:dyDescent="0.3">
      <c r="Q6364" s="4"/>
      <c r="R6364" s="4"/>
      <c r="S6364" s="4"/>
      <c r="T6364" s="4"/>
      <c r="U6364" s="4"/>
      <c r="V6364" s="4"/>
      <c r="W6364" s="4"/>
      <c r="X6364" s="4"/>
    </row>
    <row r="6365" spans="17:24" x14ac:dyDescent="0.3">
      <c r="Q6365" s="4"/>
      <c r="R6365" s="4"/>
      <c r="S6365" s="4"/>
      <c r="T6365" s="4"/>
      <c r="U6365" s="4"/>
      <c r="V6365" s="4"/>
      <c r="W6365" s="4"/>
      <c r="X6365" s="4"/>
    </row>
    <row r="6366" spans="17:24" x14ac:dyDescent="0.3">
      <c r="Q6366" s="4"/>
      <c r="R6366" s="4"/>
      <c r="S6366" s="4"/>
      <c r="T6366" s="4"/>
      <c r="U6366" s="4"/>
      <c r="V6366" s="4"/>
      <c r="W6366" s="4"/>
      <c r="X6366" s="4"/>
    </row>
    <row r="6367" spans="17:24" x14ac:dyDescent="0.3">
      <c r="Q6367" s="4"/>
      <c r="R6367" s="4"/>
      <c r="S6367" s="4"/>
      <c r="T6367" s="4"/>
      <c r="U6367" s="4"/>
      <c r="V6367" s="4"/>
      <c r="W6367" s="4"/>
      <c r="X6367" s="4"/>
    </row>
    <row r="6368" spans="17:24" x14ac:dyDescent="0.3">
      <c r="Q6368" s="4"/>
      <c r="R6368" s="4"/>
      <c r="S6368" s="4"/>
      <c r="T6368" s="4"/>
      <c r="U6368" s="4"/>
      <c r="V6368" s="4"/>
      <c r="W6368" s="4"/>
      <c r="X6368" s="4"/>
    </row>
    <row r="6369" spans="17:24" x14ac:dyDescent="0.3">
      <c r="Q6369" s="4"/>
      <c r="R6369" s="4"/>
      <c r="S6369" s="4"/>
      <c r="T6369" s="4"/>
      <c r="U6369" s="4"/>
      <c r="V6369" s="4"/>
      <c r="W6369" s="4"/>
      <c r="X6369" s="4"/>
    </row>
    <row r="6370" spans="17:24" x14ac:dyDescent="0.3">
      <c r="Q6370" s="4"/>
      <c r="R6370" s="4"/>
      <c r="S6370" s="4"/>
      <c r="T6370" s="4"/>
      <c r="U6370" s="4"/>
      <c r="V6370" s="4"/>
      <c r="W6370" s="4"/>
      <c r="X6370" s="4"/>
    </row>
    <row r="6371" spans="17:24" x14ac:dyDescent="0.3">
      <c r="Q6371" s="4"/>
      <c r="R6371" s="4"/>
      <c r="S6371" s="4"/>
      <c r="T6371" s="4"/>
      <c r="U6371" s="4"/>
      <c r="V6371" s="4"/>
      <c r="W6371" s="4"/>
      <c r="X6371" s="4"/>
    </row>
    <row r="6372" spans="17:24" x14ac:dyDescent="0.3">
      <c r="Q6372" s="4"/>
      <c r="R6372" s="4"/>
      <c r="S6372" s="4"/>
      <c r="T6372" s="4"/>
      <c r="U6372" s="4"/>
      <c r="V6372" s="4"/>
      <c r="W6372" s="4"/>
      <c r="X6372" s="4"/>
    </row>
    <row r="6373" spans="17:24" x14ac:dyDescent="0.3">
      <c r="Q6373" s="4"/>
      <c r="R6373" s="4"/>
      <c r="S6373" s="4"/>
      <c r="T6373" s="4"/>
      <c r="U6373" s="4"/>
      <c r="V6373" s="4"/>
      <c r="W6373" s="4"/>
      <c r="X6373" s="4"/>
    </row>
    <row r="6374" spans="17:24" x14ac:dyDescent="0.3">
      <c r="Q6374" s="4"/>
      <c r="R6374" s="4"/>
      <c r="S6374" s="4"/>
      <c r="T6374" s="4"/>
      <c r="U6374" s="4"/>
      <c r="V6374" s="4"/>
      <c r="W6374" s="4"/>
      <c r="X6374" s="4"/>
    </row>
    <row r="6375" spans="17:24" x14ac:dyDescent="0.3">
      <c r="Q6375" s="4"/>
      <c r="R6375" s="4"/>
      <c r="S6375" s="4"/>
      <c r="T6375" s="4"/>
      <c r="U6375" s="4"/>
      <c r="V6375" s="4"/>
      <c r="W6375" s="4"/>
      <c r="X6375" s="4"/>
    </row>
    <row r="6376" spans="17:24" x14ac:dyDescent="0.3">
      <c r="Q6376" s="4"/>
      <c r="R6376" s="4"/>
      <c r="S6376" s="4"/>
      <c r="T6376" s="4"/>
      <c r="U6376" s="4"/>
      <c r="V6376" s="4"/>
      <c r="W6376" s="4"/>
      <c r="X6376" s="4"/>
    </row>
    <row r="6377" spans="17:24" x14ac:dyDescent="0.3">
      <c r="Q6377" s="4"/>
      <c r="R6377" s="4"/>
      <c r="S6377" s="4"/>
      <c r="T6377" s="4"/>
      <c r="U6377" s="4"/>
      <c r="V6377" s="4"/>
      <c r="W6377" s="4"/>
      <c r="X6377" s="4"/>
    </row>
    <row r="6378" spans="17:24" x14ac:dyDescent="0.3">
      <c r="Q6378" s="4"/>
      <c r="R6378" s="4"/>
      <c r="S6378" s="4"/>
      <c r="T6378" s="4"/>
      <c r="U6378" s="4"/>
      <c r="V6378" s="4"/>
      <c r="W6378" s="4"/>
      <c r="X6378" s="4"/>
    </row>
    <row r="6379" spans="17:24" x14ac:dyDescent="0.3">
      <c r="Q6379" s="4"/>
      <c r="R6379" s="4"/>
      <c r="S6379" s="4"/>
      <c r="T6379" s="4"/>
      <c r="U6379" s="4"/>
      <c r="V6379" s="4"/>
      <c r="W6379" s="4"/>
      <c r="X6379" s="4"/>
    </row>
    <row r="6380" spans="17:24" x14ac:dyDescent="0.3">
      <c r="Q6380" s="4"/>
      <c r="R6380" s="4"/>
      <c r="S6380" s="4"/>
      <c r="T6380" s="4"/>
      <c r="U6380" s="4"/>
      <c r="V6380" s="4"/>
      <c r="W6380" s="4"/>
      <c r="X6380" s="4"/>
    </row>
    <row r="6381" spans="17:24" x14ac:dyDescent="0.3">
      <c r="Q6381" s="4"/>
      <c r="R6381" s="4"/>
      <c r="S6381" s="4"/>
      <c r="T6381" s="4"/>
      <c r="U6381" s="4"/>
      <c r="V6381" s="4"/>
      <c r="W6381" s="4"/>
      <c r="X6381" s="4"/>
    </row>
    <row r="6382" spans="17:24" x14ac:dyDescent="0.3">
      <c r="Q6382" s="4"/>
      <c r="R6382" s="4"/>
      <c r="S6382" s="4"/>
      <c r="T6382" s="4"/>
      <c r="U6382" s="4"/>
      <c r="V6382" s="4"/>
      <c r="W6382" s="4"/>
      <c r="X6382" s="4"/>
    </row>
    <row r="6383" spans="17:24" x14ac:dyDescent="0.3">
      <c r="Q6383" s="4"/>
      <c r="R6383" s="4"/>
      <c r="S6383" s="4"/>
      <c r="T6383" s="4"/>
      <c r="U6383" s="4"/>
      <c r="V6383" s="4"/>
      <c r="W6383" s="4"/>
      <c r="X6383" s="4"/>
    </row>
    <row r="6384" spans="17:24" x14ac:dyDescent="0.3">
      <c r="Q6384" s="4"/>
      <c r="R6384" s="4"/>
      <c r="S6384" s="4"/>
      <c r="T6384" s="4"/>
      <c r="U6384" s="4"/>
      <c r="V6384" s="4"/>
      <c r="W6384" s="4"/>
      <c r="X6384" s="4"/>
    </row>
    <row r="6385" spans="17:24" x14ac:dyDescent="0.3">
      <c r="Q6385" s="4"/>
      <c r="R6385" s="4"/>
      <c r="S6385" s="4"/>
      <c r="T6385" s="4"/>
      <c r="U6385" s="4"/>
      <c r="V6385" s="4"/>
      <c r="W6385" s="4"/>
      <c r="X6385" s="4"/>
    </row>
    <row r="6386" spans="17:24" x14ac:dyDescent="0.3">
      <c r="Q6386" s="4"/>
      <c r="R6386" s="4"/>
      <c r="S6386" s="4"/>
      <c r="T6386" s="4"/>
      <c r="U6386" s="4"/>
      <c r="V6386" s="4"/>
      <c r="W6386" s="4"/>
      <c r="X6386" s="4"/>
    </row>
    <row r="6387" spans="17:24" x14ac:dyDescent="0.3">
      <c r="Q6387" s="4"/>
      <c r="R6387" s="4"/>
      <c r="S6387" s="4"/>
      <c r="T6387" s="4"/>
      <c r="U6387" s="4"/>
      <c r="V6387" s="4"/>
      <c r="W6387" s="4"/>
      <c r="X6387" s="4"/>
    </row>
    <row r="6388" spans="17:24" x14ac:dyDescent="0.3">
      <c r="Q6388" s="4"/>
      <c r="R6388" s="4"/>
      <c r="S6388" s="4"/>
      <c r="T6388" s="4"/>
      <c r="U6388" s="4"/>
      <c r="V6388" s="4"/>
      <c r="W6388" s="4"/>
      <c r="X6388" s="4"/>
    </row>
    <row r="6389" spans="17:24" x14ac:dyDescent="0.3">
      <c r="Q6389" s="4"/>
      <c r="R6389" s="4"/>
      <c r="S6389" s="4"/>
      <c r="T6389" s="4"/>
      <c r="U6389" s="4"/>
      <c r="V6389" s="4"/>
      <c r="W6389" s="4"/>
      <c r="X6389" s="4"/>
    </row>
    <row r="6390" spans="17:24" x14ac:dyDescent="0.3">
      <c r="Q6390" s="4"/>
      <c r="R6390" s="4"/>
      <c r="S6390" s="4"/>
      <c r="T6390" s="4"/>
      <c r="U6390" s="4"/>
      <c r="V6390" s="4"/>
      <c r="W6390" s="4"/>
      <c r="X6390" s="4"/>
    </row>
    <row r="6391" spans="17:24" x14ac:dyDescent="0.3">
      <c r="Q6391" s="4"/>
      <c r="R6391" s="4"/>
      <c r="S6391" s="4"/>
      <c r="T6391" s="4"/>
      <c r="U6391" s="4"/>
      <c r="V6391" s="4"/>
      <c r="W6391" s="4"/>
      <c r="X6391" s="4"/>
    </row>
    <row r="6392" spans="17:24" x14ac:dyDescent="0.3">
      <c r="Q6392" s="4"/>
      <c r="R6392" s="4"/>
      <c r="S6392" s="4"/>
      <c r="T6392" s="4"/>
      <c r="U6392" s="4"/>
      <c r="V6392" s="4"/>
      <c r="W6392" s="4"/>
      <c r="X6392" s="4"/>
    </row>
    <row r="6393" spans="17:24" x14ac:dyDescent="0.3">
      <c r="Q6393" s="4"/>
      <c r="R6393" s="4"/>
      <c r="S6393" s="4"/>
      <c r="T6393" s="4"/>
      <c r="U6393" s="4"/>
      <c r="V6393" s="4"/>
      <c r="W6393" s="4"/>
      <c r="X6393" s="4"/>
    </row>
    <row r="6394" spans="17:24" x14ac:dyDescent="0.3">
      <c r="Q6394" s="4"/>
      <c r="R6394" s="4"/>
      <c r="S6394" s="4"/>
      <c r="T6394" s="4"/>
      <c r="U6394" s="4"/>
      <c r="V6394" s="4"/>
      <c r="W6394" s="4"/>
      <c r="X6394" s="4"/>
    </row>
    <row r="6395" spans="17:24" x14ac:dyDescent="0.3">
      <c r="Q6395" s="4"/>
      <c r="R6395" s="4"/>
      <c r="S6395" s="4"/>
      <c r="T6395" s="4"/>
      <c r="U6395" s="4"/>
      <c r="V6395" s="4"/>
      <c r="W6395" s="4"/>
      <c r="X6395" s="4"/>
    </row>
    <row r="6396" spans="17:24" x14ac:dyDescent="0.3">
      <c r="Q6396" s="4"/>
      <c r="R6396" s="4"/>
      <c r="S6396" s="4"/>
      <c r="T6396" s="4"/>
      <c r="U6396" s="4"/>
      <c r="V6396" s="4"/>
      <c r="W6396" s="4"/>
      <c r="X6396" s="4"/>
    </row>
    <row r="6397" spans="17:24" x14ac:dyDescent="0.3">
      <c r="Q6397" s="4"/>
      <c r="R6397" s="4"/>
      <c r="S6397" s="4"/>
      <c r="T6397" s="4"/>
      <c r="U6397" s="4"/>
      <c r="V6397" s="4"/>
      <c r="W6397" s="4"/>
      <c r="X6397" s="4"/>
    </row>
    <row r="6398" spans="17:24" x14ac:dyDescent="0.3">
      <c r="Q6398" s="4"/>
      <c r="R6398" s="4"/>
      <c r="S6398" s="4"/>
      <c r="T6398" s="4"/>
      <c r="U6398" s="4"/>
      <c r="V6398" s="4"/>
      <c r="W6398" s="4"/>
      <c r="X6398" s="4"/>
    </row>
    <row r="6399" spans="17:24" x14ac:dyDescent="0.3">
      <c r="Q6399" s="4"/>
      <c r="R6399" s="4"/>
      <c r="S6399" s="4"/>
      <c r="T6399" s="4"/>
      <c r="U6399" s="4"/>
      <c r="V6399" s="4"/>
      <c r="W6399" s="4"/>
      <c r="X6399" s="4"/>
    </row>
    <row r="6400" spans="17:24" x14ac:dyDescent="0.3">
      <c r="Q6400" s="4"/>
      <c r="R6400" s="4"/>
      <c r="S6400" s="4"/>
      <c r="T6400" s="4"/>
      <c r="U6400" s="4"/>
      <c r="V6400" s="4"/>
      <c r="W6400" s="4"/>
      <c r="X6400" s="4"/>
    </row>
    <row r="6401" spans="17:24" x14ac:dyDescent="0.3">
      <c r="Q6401" s="4"/>
      <c r="R6401" s="4"/>
      <c r="S6401" s="4"/>
      <c r="T6401" s="4"/>
      <c r="U6401" s="4"/>
      <c r="V6401" s="4"/>
      <c r="W6401" s="4"/>
      <c r="X6401" s="4"/>
    </row>
    <row r="6402" spans="17:24" x14ac:dyDescent="0.3">
      <c r="Q6402" s="4"/>
      <c r="R6402" s="4"/>
      <c r="S6402" s="4"/>
      <c r="T6402" s="4"/>
      <c r="U6402" s="4"/>
      <c r="V6402" s="4"/>
      <c r="W6402" s="4"/>
      <c r="X6402" s="4"/>
    </row>
    <row r="6403" spans="17:24" x14ac:dyDescent="0.3">
      <c r="Q6403" s="4"/>
      <c r="R6403" s="4"/>
      <c r="S6403" s="4"/>
      <c r="T6403" s="4"/>
      <c r="U6403" s="4"/>
      <c r="V6403" s="4"/>
      <c r="W6403" s="4"/>
      <c r="X6403" s="4"/>
    </row>
    <row r="6404" spans="17:24" x14ac:dyDescent="0.3">
      <c r="Q6404" s="4"/>
      <c r="R6404" s="4"/>
      <c r="S6404" s="4"/>
      <c r="T6404" s="4"/>
      <c r="U6404" s="4"/>
      <c r="V6404" s="4"/>
      <c r="W6404" s="4"/>
      <c r="X6404" s="4"/>
    </row>
    <row r="6405" spans="17:24" x14ac:dyDescent="0.3">
      <c r="Q6405" s="4"/>
      <c r="R6405" s="4"/>
      <c r="S6405" s="4"/>
      <c r="T6405" s="4"/>
      <c r="U6405" s="4"/>
      <c r="V6405" s="4"/>
      <c r="W6405" s="4"/>
      <c r="X6405" s="4"/>
    </row>
    <row r="6406" spans="17:24" x14ac:dyDescent="0.3">
      <c r="Q6406" s="4"/>
      <c r="R6406" s="4"/>
      <c r="S6406" s="4"/>
      <c r="T6406" s="4"/>
      <c r="U6406" s="4"/>
      <c r="V6406" s="4"/>
      <c r="W6406" s="4"/>
      <c r="X6406" s="4"/>
    </row>
    <row r="6407" spans="17:24" x14ac:dyDescent="0.3">
      <c r="Q6407" s="4"/>
      <c r="R6407" s="4"/>
      <c r="S6407" s="4"/>
      <c r="T6407" s="4"/>
      <c r="U6407" s="4"/>
      <c r="V6407" s="4"/>
      <c r="W6407" s="4"/>
      <c r="X6407" s="4"/>
    </row>
    <row r="6408" spans="17:24" x14ac:dyDescent="0.3">
      <c r="Q6408" s="4"/>
      <c r="R6408" s="4"/>
      <c r="S6408" s="4"/>
      <c r="T6408" s="4"/>
      <c r="U6408" s="4"/>
      <c r="V6408" s="4"/>
      <c r="W6408" s="4"/>
      <c r="X6408" s="4"/>
    </row>
    <row r="6409" spans="17:24" x14ac:dyDescent="0.3">
      <c r="Q6409" s="4"/>
      <c r="R6409" s="4"/>
      <c r="S6409" s="4"/>
      <c r="T6409" s="4"/>
      <c r="U6409" s="4"/>
      <c r="V6409" s="4"/>
      <c r="W6409" s="4"/>
      <c r="X6409" s="4"/>
    </row>
    <row r="6410" spans="17:24" x14ac:dyDescent="0.3">
      <c r="Q6410" s="4"/>
      <c r="R6410" s="4"/>
      <c r="S6410" s="4"/>
      <c r="T6410" s="4"/>
      <c r="U6410" s="4"/>
      <c r="V6410" s="4"/>
      <c r="W6410" s="4"/>
      <c r="X6410" s="4"/>
    </row>
    <row r="6411" spans="17:24" x14ac:dyDescent="0.3">
      <c r="Q6411" s="4"/>
      <c r="R6411" s="4"/>
      <c r="S6411" s="4"/>
      <c r="T6411" s="4"/>
      <c r="U6411" s="4"/>
      <c r="V6411" s="4"/>
      <c r="W6411" s="4"/>
      <c r="X6411" s="4"/>
    </row>
    <row r="6412" spans="17:24" x14ac:dyDescent="0.3">
      <c r="Q6412" s="4"/>
      <c r="R6412" s="4"/>
      <c r="S6412" s="4"/>
      <c r="T6412" s="4"/>
      <c r="U6412" s="4"/>
      <c r="V6412" s="4"/>
      <c r="W6412" s="4"/>
      <c r="X6412" s="4"/>
    </row>
    <row r="6413" spans="17:24" x14ac:dyDescent="0.3">
      <c r="Q6413" s="4"/>
      <c r="R6413" s="4"/>
      <c r="S6413" s="4"/>
      <c r="T6413" s="4"/>
      <c r="U6413" s="4"/>
      <c r="V6413" s="4"/>
      <c r="W6413" s="4"/>
      <c r="X6413" s="4"/>
    </row>
    <row r="6414" spans="17:24" x14ac:dyDescent="0.3">
      <c r="Q6414" s="4"/>
      <c r="R6414" s="4"/>
      <c r="S6414" s="4"/>
      <c r="T6414" s="4"/>
      <c r="U6414" s="4"/>
      <c r="V6414" s="4"/>
      <c r="W6414" s="4"/>
      <c r="X6414" s="4"/>
    </row>
    <row r="6415" spans="17:24" x14ac:dyDescent="0.3">
      <c r="Q6415" s="4"/>
      <c r="R6415" s="4"/>
      <c r="S6415" s="4"/>
      <c r="T6415" s="4"/>
      <c r="U6415" s="4"/>
      <c r="V6415" s="4"/>
      <c r="W6415" s="4"/>
      <c r="X6415" s="4"/>
    </row>
    <row r="6416" spans="17:24" x14ac:dyDescent="0.3">
      <c r="Q6416" s="4"/>
      <c r="R6416" s="4"/>
      <c r="S6416" s="4"/>
      <c r="T6416" s="4"/>
      <c r="U6416" s="4"/>
      <c r="V6416" s="4"/>
      <c r="W6416" s="4"/>
      <c r="X6416" s="4"/>
    </row>
    <row r="6417" spans="17:24" x14ac:dyDescent="0.3">
      <c r="Q6417" s="4"/>
      <c r="R6417" s="4"/>
      <c r="S6417" s="4"/>
      <c r="T6417" s="4"/>
      <c r="U6417" s="4"/>
      <c r="V6417" s="4"/>
      <c r="W6417" s="4"/>
      <c r="X6417" s="4"/>
    </row>
    <row r="6418" spans="17:24" x14ac:dyDescent="0.3">
      <c r="Q6418" s="4"/>
      <c r="R6418" s="4"/>
      <c r="S6418" s="4"/>
      <c r="T6418" s="4"/>
      <c r="U6418" s="4"/>
      <c r="V6418" s="4"/>
      <c r="W6418" s="4"/>
      <c r="X6418" s="4"/>
    </row>
    <row r="6419" spans="17:24" x14ac:dyDescent="0.3">
      <c r="Q6419" s="4"/>
      <c r="R6419" s="4"/>
      <c r="S6419" s="4"/>
      <c r="T6419" s="4"/>
      <c r="U6419" s="4"/>
      <c r="V6419" s="4"/>
      <c r="W6419" s="4"/>
      <c r="X6419" s="4"/>
    </row>
    <row r="6420" spans="17:24" x14ac:dyDescent="0.3">
      <c r="Q6420" s="4"/>
      <c r="R6420" s="4"/>
      <c r="S6420" s="4"/>
      <c r="T6420" s="4"/>
      <c r="U6420" s="4"/>
      <c r="V6420" s="4"/>
      <c r="W6420" s="4"/>
      <c r="X6420" s="4"/>
    </row>
    <row r="6421" spans="17:24" x14ac:dyDescent="0.3">
      <c r="Q6421" s="4"/>
      <c r="R6421" s="4"/>
      <c r="S6421" s="4"/>
      <c r="T6421" s="4"/>
      <c r="U6421" s="4"/>
      <c r="V6421" s="4"/>
      <c r="W6421" s="4"/>
      <c r="X6421" s="4"/>
    </row>
    <row r="6422" spans="17:24" x14ac:dyDescent="0.3">
      <c r="Q6422" s="4"/>
      <c r="R6422" s="4"/>
      <c r="S6422" s="4"/>
      <c r="T6422" s="4"/>
      <c r="U6422" s="4"/>
      <c r="V6422" s="4"/>
      <c r="W6422" s="4"/>
      <c r="X6422" s="4"/>
    </row>
    <row r="6423" spans="17:24" x14ac:dyDescent="0.3">
      <c r="Q6423" s="4"/>
      <c r="R6423" s="4"/>
      <c r="S6423" s="4"/>
      <c r="T6423" s="4"/>
      <c r="U6423" s="4"/>
      <c r="V6423" s="4"/>
      <c r="W6423" s="4"/>
      <c r="X6423" s="4"/>
    </row>
    <row r="6424" spans="17:24" x14ac:dyDescent="0.3">
      <c r="Q6424" s="4"/>
      <c r="R6424" s="4"/>
      <c r="S6424" s="4"/>
      <c r="T6424" s="4"/>
      <c r="U6424" s="4"/>
      <c r="V6424" s="4"/>
      <c r="W6424" s="4"/>
      <c r="X6424" s="4"/>
    </row>
    <row r="6425" spans="17:24" x14ac:dyDescent="0.3">
      <c r="Q6425" s="4"/>
      <c r="R6425" s="4"/>
      <c r="S6425" s="4"/>
      <c r="T6425" s="4"/>
      <c r="U6425" s="4"/>
      <c r="V6425" s="4"/>
      <c r="W6425" s="4"/>
      <c r="X6425" s="4"/>
    </row>
    <row r="6426" spans="17:24" x14ac:dyDescent="0.3">
      <c r="Q6426" s="4"/>
      <c r="R6426" s="4"/>
      <c r="S6426" s="4"/>
      <c r="T6426" s="4"/>
      <c r="U6426" s="4"/>
      <c r="V6426" s="4"/>
      <c r="W6426" s="4"/>
      <c r="X6426" s="4"/>
    </row>
    <row r="6427" spans="17:24" x14ac:dyDescent="0.3">
      <c r="Q6427" s="4"/>
      <c r="R6427" s="4"/>
      <c r="S6427" s="4"/>
      <c r="T6427" s="4"/>
      <c r="U6427" s="4"/>
      <c r="V6427" s="4"/>
      <c r="W6427" s="4"/>
      <c r="X6427" s="4"/>
    </row>
    <row r="6428" spans="17:24" x14ac:dyDescent="0.3">
      <c r="Q6428" s="4"/>
      <c r="R6428" s="4"/>
      <c r="S6428" s="4"/>
      <c r="T6428" s="4"/>
      <c r="U6428" s="4"/>
      <c r="V6428" s="4"/>
      <c r="W6428" s="4"/>
      <c r="X6428" s="4"/>
    </row>
    <row r="6429" spans="17:24" x14ac:dyDescent="0.3">
      <c r="Q6429" s="4"/>
      <c r="R6429" s="4"/>
      <c r="S6429" s="4"/>
      <c r="T6429" s="4"/>
      <c r="U6429" s="4"/>
      <c r="V6429" s="4"/>
      <c r="W6429" s="4"/>
      <c r="X6429" s="4"/>
    </row>
    <row r="6430" spans="17:24" x14ac:dyDescent="0.3">
      <c r="Q6430" s="4"/>
      <c r="R6430" s="4"/>
      <c r="S6430" s="4"/>
      <c r="T6430" s="4"/>
      <c r="U6430" s="4"/>
      <c r="V6430" s="4"/>
      <c r="W6430" s="4"/>
      <c r="X6430" s="4"/>
    </row>
    <row r="6431" spans="17:24" x14ac:dyDescent="0.3">
      <c r="Q6431" s="4"/>
      <c r="R6431" s="4"/>
      <c r="S6431" s="4"/>
      <c r="T6431" s="4"/>
      <c r="U6431" s="4"/>
      <c r="V6431" s="4"/>
      <c r="W6431" s="4"/>
      <c r="X6431" s="4"/>
    </row>
    <row r="6432" spans="17:24" x14ac:dyDescent="0.3">
      <c r="Q6432" s="4"/>
      <c r="R6432" s="4"/>
      <c r="S6432" s="4"/>
      <c r="T6432" s="4"/>
      <c r="U6432" s="4"/>
      <c r="V6432" s="4"/>
      <c r="W6432" s="4"/>
      <c r="X6432" s="4"/>
    </row>
    <row r="6433" spans="17:24" x14ac:dyDescent="0.3">
      <c r="Q6433" s="4"/>
      <c r="R6433" s="4"/>
      <c r="S6433" s="4"/>
      <c r="T6433" s="4"/>
      <c r="U6433" s="4"/>
      <c r="V6433" s="4"/>
      <c r="W6433" s="4"/>
      <c r="X6433" s="4"/>
    </row>
    <row r="6434" spans="17:24" x14ac:dyDescent="0.3">
      <c r="Q6434" s="4"/>
      <c r="R6434" s="4"/>
      <c r="S6434" s="4"/>
      <c r="T6434" s="4"/>
      <c r="U6434" s="4"/>
      <c r="V6434" s="4"/>
      <c r="W6434" s="4"/>
      <c r="X6434" s="4"/>
    </row>
    <row r="6435" spans="17:24" x14ac:dyDescent="0.3">
      <c r="Q6435" s="4"/>
      <c r="R6435" s="4"/>
      <c r="S6435" s="4"/>
      <c r="T6435" s="4"/>
      <c r="U6435" s="4"/>
      <c r="V6435" s="4"/>
      <c r="W6435" s="4"/>
      <c r="X6435" s="4"/>
    </row>
    <row r="6436" spans="17:24" x14ac:dyDescent="0.3">
      <c r="Q6436" s="4"/>
      <c r="R6436" s="4"/>
      <c r="S6436" s="4"/>
      <c r="T6436" s="4"/>
      <c r="U6436" s="4"/>
      <c r="V6436" s="4"/>
      <c r="W6436" s="4"/>
      <c r="X6436" s="4"/>
    </row>
    <row r="6437" spans="17:24" x14ac:dyDescent="0.3">
      <c r="Q6437" s="4"/>
      <c r="R6437" s="4"/>
      <c r="S6437" s="4"/>
      <c r="T6437" s="4"/>
      <c r="U6437" s="4"/>
      <c r="V6437" s="4"/>
      <c r="W6437" s="4"/>
      <c r="X6437" s="4"/>
    </row>
    <row r="6438" spans="17:24" x14ac:dyDescent="0.3">
      <c r="Q6438" s="4"/>
      <c r="R6438" s="4"/>
      <c r="S6438" s="4"/>
      <c r="T6438" s="4"/>
      <c r="U6438" s="4"/>
      <c r="V6438" s="4"/>
      <c r="W6438" s="4"/>
      <c r="X6438" s="4"/>
    </row>
    <row r="6439" spans="17:24" x14ac:dyDescent="0.3">
      <c r="Q6439" s="4"/>
      <c r="R6439" s="4"/>
      <c r="S6439" s="4"/>
      <c r="T6439" s="4"/>
      <c r="U6439" s="4"/>
      <c r="V6439" s="4"/>
      <c r="W6439" s="4"/>
      <c r="X6439" s="4"/>
    </row>
    <row r="6440" spans="17:24" x14ac:dyDescent="0.3">
      <c r="Q6440" s="4"/>
      <c r="R6440" s="4"/>
      <c r="S6440" s="4"/>
      <c r="T6440" s="4"/>
      <c r="U6440" s="4"/>
      <c r="V6440" s="4"/>
      <c r="W6440" s="4"/>
      <c r="X6440" s="4"/>
    </row>
    <row r="6441" spans="17:24" x14ac:dyDescent="0.3">
      <c r="Q6441" s="4"/>
      <c r="R6441" s="4"/>
      <c r="S6441" s="4"/>
      <c r="T6441" s="4"/>
      <c r="U6441" s="4"/>
      <c r="V6441" s="4"/>
      <c r="W6441" s="4"/>
      <c r="X6441" s="4"/>
    </row>
    <row r="6442" spans="17:24" x14ac:dyDescent="0.3">
      <c r="Q6442" s="4"/>
      <c r="R6442" s="4"/>
      <c r="S6442" s="4"/>
      <c r="T6442" s="4"/>
      <c r="U6442" s="4"/>
      <c r="V6442" s="4"/>
      <c r="W6442" s="4"/>
      <c r="X6442" s="4"/>
    </row>
    <row r="6443" spans="17:24" x14ac:dyDescent="0.3">
      <c r="Q6443" s="4"/>
      <c r="R6443" s="4"/>
      <c r="S6443" s="4"/>
      <c r="T6443" s="4"/>
      <c r="U6443" s="4"/>
      <c r="V6443" s="4"/>
      <c r="W6443" s="4"/>
      <c r="X6443" s="4"/>
    </row>
    <row r="6444" spans="17:24" x14ac:dyDescent="0.3">
      <c r="Q6444" s="4"/>
      <c r="R6444" s="4"/>
      <c r="S6444" s="4"/>
      <c r="T6444" s="4"/>
      <c r="U6444" s="4"/>
      <c r="V6444" s="4"/>
      <c r="W6444" s="4"/>
      <c r="X6444" s="4"/>
    </row>
    <row r="6445" spans="17:24" x14ac:dyDescent="0.3">
      <c r="Q6445" s="4"/>
      <c r="R6445" s="4"/>
      <c r="S6445" s="4"/>
      <c r="T6445" s="4"/>
      <c r="U6445" s="4"/>
      <c r="V6445" s="4"/>
      <c r="W6445" s="4"/>
      <c r="X6445" s="4"/>
    </row>
    <row r="6446" spans="17:24" x14ac:dyDescent="0.3">
      <c r="Q6446" s="4"/>
      <c r="R6446" s="4"/>
      <c r="S6446" s="4"/>
      <c r="T6446" s="4"/>
      <c r="U6446" s="4"/>
      <c r="V6446" s="4"/>
      <c r="W6446" s="4"/>
      <c r="X6446" s="4"/>
    </row>
    <row r="6447" spans="17:24" x14ac:dyDescent="0.3">
      <c r="Q6447" s="4"/>
      <c r="R6447" s="4"/>
      <c r="S6447" s="4"/>
      <c r="T6447" s="4"/>
      <c r="U6447" s="4"/>
      <c r="V6447" s="4"/>
      <c r="W6447" s="4"/>
      <c r="X6447" s="4"/>
    </row>
    <row r="6448" spans="17:24" x14ac:dyDescent="0.3">
      <c r="Q6448" s="4"/>
      <c r="R6448" s="4"/>
      <c r="S6448" s="4"/>
      <c r="T6448" s="4"/>
      <c r="U6448" s="4"/>
      <c r="V6448" s="4"/>
      <c r="W6448" s="4"/>
      <c r="X6448" s="4"/>
    </row>
    <row r="6449" spans="17:24" x14ac:dyDescent="0.3">
      <c r="Q6449" s="4"/>
      <c r="R6449" s="4"/>
      <c r="S6449" s="4"/>
      <c r="T6449" s="4"/>
      <c r="U6449" s="4"/>
      <c r="V6449" s="4"/>
      <c r="W6449" s="4"/>
      <c r="X6449" s="4"/>
    </row>
    <row r="6450" spans="17:24" x14ac:dyDescent="0.3">
      <c r="Q6450" s="4"/>
      <c r="R6450" s="4"/>
      <c r="S6450" s="4"/>
      <c r="T6450" s="4"/>
      <c r="U6450" s="4"/>
      <c r="V6450" s="4"/>
      <c r="W6450" s="4"/>
      <c r="X6450" s="4"/>
    </row>
    <row r="6451" spans="17:24" x14ac:dyDescent="0.3">
      <c r="Q6451" s="4"/>
      <c r="R6451" s="4"/>
      <c r="S6451" s="4"/>
      <c r="T6451" s="4"/>
      <c r="U6451" s="4"/>
      <c r="V6451" s="4"/>
      <c r="W6451" s="4"/>
      <c r="X6451" s="4"/>
    </row>
    <row r="6452" spans="17:24" x14ac:dyDescent="0.3">
      <c r="Q6452" s="4"/>
      <c r="R6452" s="4"/>
      <c r="S6452" s="4"/>
      <c r="T6452" s="4"/>
      <c r="U6452" s="4"/>
      <c r="V6452" s="4"/>
      <c r="W6452" s="4"/>
      <c r="X6452" s="4"/>
    </row>
    <row r="6453" spans="17:24" x14ac:dyDescent="0.3">
      <c r="Q6453" s="4"/>
      <c r="R6453" s="4"/>
      <c r="S6453" s="4"/>
      <c r="T6453" s="4"/>
      <c r="U6453" s="4"/>
      <c r="V6453" s="4"/>
      <c r="W6453" s="4"/>
      <c r="X6453" s="4"/>
    </row>
    <row r="6454" spans="17:24" x14ac:dyDescent="0.3">
      <c r="Q6454" s="4"/>
      <c r="R6454" s="4"/>
      <c r="S6454" s="4"/>
      <c r="T6454" s="4"/>
      <c r="U6454" s="4"/>
      <c r="V6454" s="4"/>
      <c r="W6454" s="4"/>
      <c r="X6454" s="4"/>
    </row>
    <row r="6455" spans="17:24" x14ac:dyDescent="0.3">
      <c r="Q6455" s="4"/>
      <c r="R6455" s="4"/>
      <c r="S6455" s="4"/>
      <c r="T6455" s="4"/>
      <c r="U6455" s="4"/>
      <c r="V6455" s="4"/>
      <c r="W6455" s="4"/>
      <c r="X6455" s="4"/>
    </row>
    <row r="6456" spans="17:24" x14ac:dyDescent="0.3">
      <c r="Q6456" s="4"/>
      <c r="R6456" s="4"/>
      <c r="S6456" s="4"/>
      <c r="T6456" s="4"/>
      <c r="U6456" s="4"/>
      <c r="V6456" s="4"/>
      <c r="W6456" s="4"/>
      <c r="X6456" s="4"/>
    </row>
    <row r="6457" spans="17:24" x14ac:dyDescent="0.3">
      <c r="Q6457" s="4"/>
      <c r="R6457" s="4"/>
      <c r="S6457" s="4"/>
      <c r="T6457" s="4"/>
      <c r="U6457" s="4"/>
      <c r="V6457" s="4"/>
      <c r="W6457" s="4"/>
      <c r="X6457" s="4"/>
    </row>
    <row r="6458" spans="17:24" x14ac:dyDescent="0.3">
      <c r="Q6458" s="4"/>
      <c r="R6458" s="4"/>
      <c r="S6458" s="4"/>
      <c r="T6458" s="4"/>
      <c r="U6458" s="4"/>
      <c r="V6458" s="4"/>
      <c r="W6458" s="4"/>
      <c r="X6458" s="4"/>
    </row>
    <row r="6459" spans="17:24" x14ac:dyDescent="0.3">
      <c r="Q6459" s="4"/>
      <c r="R6459" s="4"/>
      <c r="S6459" s="4"/>
      <c r="T6459" s="4"/>
      <c r="U6459" s="4"/>
      <c r="V6459" s="4"/>
      <c r="W6459" s="4"/>
      <c r="X6459" s="4"/>
    </row>
    <row r="6460" spans="17:24" x14ac:dyDescent="0.3">
      <c r="Q6460" s="4"/>
      <c r="R6460" s="4"/>
      <c r="S6460" s="4"/>
      <c r="T6460" s="4"/>
      <c r="U6460" s="4"/>
      <c r="V6460" s="4"/>
      <c r="W6460" s="4"/>
      <c r="X6460" s="4"/>
    </row>
    <row r="6461" spans="17:24" x14ac:dyDescent="0.3">
      <c r="Q6461" s="4"/>
      <c r="R6461" s="4"/>
      <c r="S6461" s="4"/>
      <c r="T6461" s="4"/>
      <c r="U6461" s="4"/>
      <c r="V6461" s="4"/>
      <c r="W6461" s="4"/>
      <c r="X6461" s="4"/>
    </row>
    <row r="6462" spans="17:24" x14ac:dyDescent="0.3">
      <c r="Q6462" s="4"/>
      <c r="R6462" s="4"/>
      <c r="S6462" s="4"/>
      <c r="T6462" s="4"/>
      <c r="U6462" s="4"/>
      <c r="V6462" s="4"/>
      <c r="W6462" s="4"/>
      <c r="X6462" s="4"/>
    </row>
    <row r="6463" spans="17:24" x14ac:dyDescent="0.3">
      <c r="Q6463" s="4"/>
      <c r="R6463" s="4"/>
      <c r="S6463" s="4"/>
      <c r="T6463" s="4"/>
      <c r="U6463" s="4"/>
      <c r="V6463" s="4"/>
      <c r="W6463" s="4"/>
      <c r="X6463" s="4"/>
    </row>
    <row r="6464" spans="17:24" x14ac:dyDescent="0.3">
      <c r="Q6464" s="4"/>
      <c r="R6464" s="4"/>
      <c r="S6464" s="4"/>
      <c r="T6464" s="4"/>
      <c r="U6464" s="4"/>
      <c r="V6464" s="4"/>
      <c r="W6464" s="4"/>
      <c r="X6464" s="4"/>
    </row>
    <row r="6465" spans="17:24" x14ac:dyDescent="0.3">
      <c r="Q6465" s="4"/>
      <c r="R6465" s="4"/>
      <c r="S6465" s="4"/>
      <c r="T6465" s="4"/>
      <c r="U6465" s="4"/>
      <c r="V6465" s="4"/>
      <c r="W6465" s="4"/>
      <c r="X6465" s="4"/>
    </row>
    <row r="6466" spans="17:24" x14ac:dyDescent="0.3">
      <c r="Q6466" s="4"/>
      <c r="R6466" s="4"/>
      <c r="S6466" s="4"/>
      <c r="T6466" s="4"/>
      <c r="U6466" s="4"/>
      <c r="V6466" s="4"/>
      <c r="W6466" s="4"/>
      <c r="X6466" s="4"/>
    </row>
    <row r="6467" spans="17:24" x14ac:dyDescent="0.3">
      <c r="Q6467" s="4"/>
      <c r="R6467" s="4"/>
      <c r="S6467" s="4"/>
      <c r="T6467" s="4"/>
      <c r="U6467" s="4"/>
      <c r="V6467" s="4"/>
      <c r="W6467" s="4"/>
      <c r="X6467" s="4"/>
    </row>
    <row r="6468" spans="17:24" x14ac:dyDescent="0.3">
      <c r="Q6468" s="4"/>
      <c r="R6468" s="4"/>
      <c r="S6468" s="4"/>
      <c r="T6468" s="4"/>
      <c r="U6468" s="4"/>
      <c r="V6468" s="4"/>
      <c r="W6468" s="4"/>
      <c r="X6468" s="4"/>
    </row>
    <row r="6469" spans="17:24" x14ac:dyDescent="0.3">
      <c r="Q6469" s="4"/>
      <c r="R6469" s="4"/>
      <c r="S6469" s="4"/>
      <c r="T6469" s="4"/>
      <c r="U6469" s="4"/>
      <c r="V6469" s="4"/>
      <c r="W6469" s="4"/>
      <c r="X6469" s="4"/>
    </row>
    <row r="6470" spans="17:24" x14ac:dyDescent="0.3">
      <c r="Q6470" s="4"/>
      <c r="R6470" s="4"/>
      <c r="S6470" s="4"/>
      <c r="T6470" s="4"/>
      <c r="U6470" s="4"/>
      <c r="V6470" s="4"/>
      <c r="W6470" s="4"/>
      <c r="X6470" s="4"/>
    </row>
    <row r="6471" spans="17:24" x14ac:dyDescent="0.3">
      <c r="Q6471" s="4"/>
      <c r="R6471" s="4"/>
      <c r="S6471" s="4"/>
      <c r="T6471" s="4"/>
      <c r="U6471" s="4"/>
      <c r="V6471" s="4"/>
      <c r="W6471" s="4"/>
      <c r="X6471" s="4"/>
    </row>
    <row r="6472" spans="17:24" x14ac:dyDescent="0.3">
      <c r="Q6472" s="4"/>
      <c r="R6472" s="4"/>
      <c r="S6472" s="4"/>
      <c r="T6472" s="4"/>
      <c r="U6472" s="4"/>
      <c r="V6472" s="4"/>
      <c r="W6472" s="4"/>
      <c r="X6472" s="4"/>
    </row>
    <row r="6473" spans="17:24" x14ac:dyDescent="0.3">
      <c r="Q6473" s="4"/>
      <c r="R6473" s="4"/>
      <c r="S6473" s="4"/>
      <c r="T6473" s="4"/>
      <c r="U6473" s="4"/>
      <c r="V6473" s="4"/>
      <c r="W6473" s="4"/>
      <c r="X6473" s="4"/>
    </row>
    <row r="6474" spans="17:24" x14ac:dyDescent="0.3">
      <c r="Q6474" s="4"/>
      <c r="R6474" s="4"/>
      <c r="S6474" s="4"/>
      <c r="T6474" s="4"/>
      <c r="U6474" s="4"/>
      <c r="V6474" s="4"/>
      <c r="W6474" s="4"/>
      <c r="X6474" s="4"/>
    </row>
    <row r="6475" spans="17:24" x14ac:dyDescent="0.3">
      <c r="Q6475" s="4"/>
      <c r="R6475" s="4"/>
      <c r="S6475" s="4"/>
      <c r="T6475" s="4"/>
      <c r="U6475" s="4"/>
      <c r="V6475" s="4"/>
      <c r="W6475" s="4"/>
      <c r="X6475" s="4"/>
    </row>
    <row r="6476" spans="17:24" x14ac:dyDescent="0.3">
      <c r="Q6476" s="4"/>
      <c r="R6476" s="4"/>
      <c r="S6476" s="4"/>
      <c r="T6476" s="4"/>
      <c r="U6476" s="4"/>
      <c r="V6476" s="4"/>
      <c r="W6476" s="4"/>
      <c r="X6476" s="4"/>
    </row>
    <row r="6477" spans="17:24" x14ac:dyDescent="0.3">
      <c r="Q6477" s="4"/>
      <c r="R6477" s="4"/>
      <c r="S6477" s="4"/>
      <c r="T6477" s="4"/>
      <c r="U6477" s="4"/>
      <c r="V6477" s="4"/>
      <c r="W6477" s="4"/>
      <c r="X6477" s="4"/>
    </row>
    <row r="6478" spans="17:24" x14ac:dyDescent="0.3">
      <c r="Q6478" s="4"/>
      <c r="R6478" s="4"/>
      <c r="S6478" s="4"/>
      <c r="T6478" s="4"/>
      <c r="U6478" s="4"/>
      <c r="V6478" s="4"/>
      <c r="W6478" s="4"/>
      <c r="X6478" s="4"/>
    </row>
    <row r="6479" spans="17:24" x14ac:dyDescent="0.3">
      <c r="Q6479" s="4"/>
      <c r="R6479" s="4"/>
      <c r="S6479" s="4"/>
      <c r="T6479" s="4"/>
      <c r="U6479" s="4"/>
      <c r="V6479" s="4"/>
      <c r="W6479" s="4"/>
      <c r="X6479" s="4"/>
    </row>
    <row r="6480" spans="17:24" x14ac:dyDescent="0.3">
      <c r="Q6480" s="4"/>
      <c r="R6480" s="4"/>
      <c r="S6480" s="4"/>
      <c r="T6480" s="4"/>
      <c r="U6480" s="4"/>
      <c r="V6480" s="4"/>
      <c r="W6480" s="4"/>
      <c r="X6480" s="4"/>
    </row>
    <row r="6481" spans="17:24" x14ac:dyDescent="0.3">
      <c r="Q6481" s="4"/>
      <c r="R6481" s="4"/>
      <c r="S6481" s="4"/>
      <c r="T6481" s="4"/>
      <c r="U6481" s="4"/>
      <c r="V6481" s="4"/>
      <c r="W6481" s="4"/>
      <c r="X6481" s="4"/>
    </row>
    <row r="6482" spans="17:24" x14ac:dyDescent="0.3">
      <c r="Q6482" s="4"/>
      <c r="R6482" s="4"/>
      <c r="S6482" s="4"/>
      <c r="T6482" s="4"/>
      <c r="U6482" s="4"/>
      <c r="V6482" s="4"/>
      <c r="W6482" s="4"/>
      <c r="X6482" s="4"/>
    </row>
    <row r="6483" spans="17:24" x14ac:dyDescent="0.3">
      <c r="Q6483" s="4"/>
      <c r="R6483" s="4"/>
      <c r="S6483" s="4"/>
      <c r="T6483" s="4"/>
      <c r="U6483" s="4"/>
      <c r="V6483" s="4"/>
      <c r="W6483" s="4"/>
      <c r="X6483" s="4"/>
    </row>
    <row r="6484" spans="17:24" x14ac:dyDescent="0.3">
      <c r="Q6484" s="4"/>
      <c r="R6484" s="4"/>
      <c r="S6484" s="4"/>
      <c r="T6484" s="4"/>
      <c r="U6484" s="4"/>
      <c r="V6484" s="4"/>
      <c r="W6484" s="4"/>
      <c r="X6484" s="4"/>
    </row>
    <row r="6485" spans="17:24" x14ac:dyDescent="0.3">
      <c r="Q6485" s="4"/>
      <c r="R6485" s="4"/>
      <c r="S6485" s="4"/>
      <c r="T6485" s="4"/>
      <c r="U6485" s="4"/>
      <c r="V6485" s="4"/>
      <c r="W6485" s="4"/>
      <c r="X6485" s="4"/>
    </row>
    <row r="6486" spans="17:24" x14ac:dyDescent="0.3">
      <c r="Q6486" s="4"/>
      <c r="R6486" s="4"/>
      <c r="S6486" s="4"/>
      <c r="T6486" s="4"/>
      <c r="U6486" s="4"/>
      <c r="V6486" s="4"/>
      <c r="W6486" s="4"/>
      <c r="X6486" s="4"/>
    </row>
    <row r="6487" spans="17:24" x14ac:dyDescent="0.3">
      <c r="Q6487" s="4"/>
      <c r="R6487" s="4"/>
      <c r="S6487" s="4"/>
      <c r="T6487" s="4"/>
      <c r="U6487" s="4"/>
      <c r="V6487" s="4"/>
      <c r="W6487" s="4"/>
      <c r="X6487" s="4"/>
    </row>
    <row r="6488" spans="17:24" x14ac:dyDescent="0.3">
      <c r="Q6488" s="4"/>
      <c r="R6488" s="4"/>
      <c r="S6488" s="4"/>
      <c r="T6488" s="4"/>
      <c r="U6488" s="4"/>
      <c r="V6488" s="4"/>
      <c r="W6488" s="4"/>
      <c r="X6488" s="4"/>
    </row>
    <row r="6489" spans="17:24" x14ac:dyDescent="0.3">
      <c r="Q6489" s="4"/>
      <c r="R6489" s="4"/>
      <c r="S6489" s="4"/>
      <c r="T6489" s="4"/>
      <c r="U6489" s="4"/>
      <c r="V6489" s="4"/>
      <c r="W6489" s="4"/>
      <c r="X6489" s="4"/>
    </row>
    <row r="6490" spans="17:24" x14ac:dyDescent="0.3">
      <c r="Q6490" s="4"/>
      <c r="R6490" s="4"/>
      <c r="S6490" s="4"/>
      <c r="T6490" s="4"/>
      <c r="U6490" s="4"/>
      <c r="V6490" s="4"/>
      <c r="W6490" s="4"/>
      <c r="X6490" s="4"/>
    </row>
    <row r="6491" spans="17:24" x14ac:dyDescent="0.3">
      <c r="Q6491" s="4"/>
      <c r="R6491" s="4"/>
      <c r="S6491" s="4"/>
      <c r="T6491" s="4"/>
      <c r="U6491" s="4"/>
      <c r="V6491" s="4"/>
      <c r="W6491" s="4"/>
      <c r="X6491" s="4"/>
    </row>
    <row r="6492" spans="17:24" x14ac:dyDescent="0.3">
      <c r="Q6492" s="4"/>
      <c r="R6492" s="4"/>
      <c r="S6492" s="4"/>
      <c r="T6492" s="4"/>
      <c r="U6492" s="4"/>
      <c r="V6492" s="4"/>
      <c r="W6492" s="4"/>
      <c r="X6492" s="4"/>
    </row>
    <row r="6493" spans="17:24" x14ac:dyDescent="0.3">
      <c r="Q6493" s="4"/>
      <c r="R6493" s="4"/>
      <c r="S6493" s="4"/>
      <c r="T6493" s="4"/>
      <c r="U6493" s="4"/>
      <c r="V6493" s="4"/>
      <c r="W6493" s="4"/>
      <c r="X6493" s="4"/>
    </row>
    <row r="6494" spans="17:24" x14ac:dyDescent="0.3">
      <c r="Q6494" s="4"/>
      <c r="R6494" s="4"/>
      <c r="S6494" s="4"/>
      <c r="T6494" s="4"/>
      <c r="U6494" s="4"/>
      <c r="V6494" s="4"/>
      <c r="W6494" s="4"/>
      <c r="X6494" s="4"/>
    </row>
    <row r="6495" spans="17:24" x14ac:dyDescent="0.3">
      <c r="Q6495" s="4"/>
      <c r="R6495" s="4"/>
      <c r="S6495" s="4"/>
      <c r="T6495" s="4"/>
      <c r="U6495" s="4"/>
      <c r="V6495" s="4"/>
      <c r="W6495" s="4"/>
      <c r="X6495" s="4"/>
    </row>
    <row r="6496" spans="17:24" x14ac:dyDescent="0.3">
      <c r="Q6496" s="4"/>
      <c r="R6496" s="4"/>
      <c r="S6496" s="4"/>
      <c r="T6496" s="4"/>
      <c r="U6496" s="4"/>
      <c r="V6496" s="4"/>
      <c r="W6496" s="4"/>
      <c r="X6496" s="4"/>
    </row>
    <row r="6497" spans="17:24" x14ac:dyDescent="0.3">
      <c r="Q6497" s="4"/>
      <c r="R6497" s="4"/>
      <c r="S6497" s="4"/>
      <c r="T6497" s="4"/>
      <c r="U6497" s="4"/>
      <c r="V6497" s="4"/>
      <c r="W6497" s="4"/>
      <c r="X6497" s="4"/>
    </row>
    <row r="6498" spans="17:24" x14ac:dyDescent="0.3">
      <c r="Q6498" s="4"/>
      <c r="R6498" s="4"/>
      <c r="S6498" s="4"/>
      <c r="T6498" s="4"/>
      <c r="U6498" s="4"/>
      <c r="V6498" s="4"/>
      <c r="W6498" s="4"/>
      <c r="X6498" s="4"/>
    </row>
    <row r="6499" spans="17:24" x14ac:dyDescent="0.3">
      <c r="Q6499" s="4"/>
      <c r="R6499" s="4"/>
      <c r="S6499" s="4"/>
      <c r="T6499" s="4"/>
      <c r="U6499" s="4"/>
      <c r="V6499" s="4"/>
      <c r="W6499" s="4"/>
      <c r="X6499" s="4"/>
    </row>
    <row r="6500" spans="17:24" x14ac:dyDescent="0.3">
      <c r="Q6500" s="4"/>
      <c r="R6500" s="4"/>
      <c r="S6500" s="4"/>
      <c r="T6500" s="4"/>
      <c r="U6500" s="4"/>
      <c r="V6500" s="4"/>
      <c r="W6500" s="4"/>
      <c r="X6500" s="4"/>
    </row>
    <row r="6501" spans="17:24" x14ac:dyDescent="0.3">
      <c r="Q6501" s="4"/>
      <c r="R6501" s="4"/>
      <c r="S6501" s="4"/>
      <c r="T6501" s="4"/>
      <c r="U6501" s="4"/>
      <c r="V6501" s="4"/>
      <c r="W6501" s="4"/>
      <c r="X6501" s="4"/>
    </row>
    <row r="6502" spans="17:24" x14ac:dyDescent="0.3">
      <c r="Q6502" s="4"/>
      <c r="R6502" s="4"/>
      <c r="S6502" s="4"/>
      <c r="T6502" s="4"/>
      <c r="U6502" s="4"/>
      <c r="V6502" s="4"/>
      <c r="W6502" s="4"/>
      <c r="X6502" s="4"/>
    </row>
    <row r="6503" spans="17:24" x14ac:dyDescent="0.3">
      <c r="Q6503" s="4"/>
      <c r="R6503" s="4"/>
      <c r="S6503" s="4"/>
      <c r="T6503" s="4"/>
      <c r="U6503" s="4"/>
      <c r="V6503" s="4"/>
      <c r="W6503" s="4"/>
      <c r="X6503" s="4"/>
    </row>
    <row r="6504" spans="17:24" x14ac:dyDescent="0.3">
      <c r="Q6504" s="4"/>
      <c r="R6504" s="4"/>
      <c r="S6504" s="4"/>
      <c r="T6504" s="4"/>
      <c r="U6504" s="4"/>
      <c r="V6504" s="4"/>
      <c r="W6504" s="4"/>
      <c r="X6504" s="4"/>
    </row>
    <row r="6505" spans="17:24" x14ac:dyDescent="0.3">
      <c r="Q6505" s="4"/>
      <c r="R6505" s="4"/>
      <c r="S6505" s="4"/>
      <c r="T6505" s="4"/>
      <c r="U6505" s="4"/>
      <c r="V6505" s="4"/>
      <c r="W6505" s="4"/>
      <c r="X6505" s="4"/>
    </row>
    <row r="6506" spans="17:24" x14ac:dyDescent="0.3">
      <c r="Q6506" s="4"/>
      <c r="R6506" s="4"/>
      <c r="S6506" s="4"/>
      <c r="T6506" s="4"/>
      <c r="U6506" s="4"/>
      <c r="V6506" s="4"/>
      <c r="W6506" s="4"/>
      <c r="X6506" s="4"/>
    </row>
    <row r="6507" spans="17:24" x14ac:dyDescent="0.3">
      <c r="Q6507" s="4"/>
      <c r="R6507" s="4"/>
      <c r="S6507" s="4"/>
      <c r="T6507" s="4"/>
      <c r="U6507" s="4"/>
      <c r="V6507" s="4"/>
      <c r="W6507" s="4"/>
      <c r="X6507" s="4"/>
    </row>
    <row r="6508" spans="17:24" x14ac:dyDescent="0.3">
      <c r="Q6508" s="4"/>
      <c r="R6508" s="4"/>
      <c r="S6508" s="4"/>
      <c r="T6508" s="4"/>
      <c r="U6508" s="4"/>
      <c r="V6508" s="4"/>
      <c r="W6508" s="4"/>
      <c r="X6508" s="4"/>
    </row>
    <row r="6509" spans="17:24" x14ac:dyDescent="0.3">
      <c r="Q6509" s="4"/>
      <c r="R6509" s="4"/>
      <c r="S6509" s="4"/>
      <c r="T6509" s="4"/>
      <c r="U6509" s="4"/>
      <c r="V6509" s="4"/>
      <c r="W6509" s="4"/>
      <c r="X6509" s="4"/>
    </row>
    <row r="6510" spans="17:24" x14ac:dyDescent="0.3">
      <c r="Q6510" s="4"/>
      <c r="R6510" s="4"/>
      <c r="S6510" s="4"/>
      <c r="T6510" s="4"/>
      <c r="U6510" s="4"/>
      <c r="V6510" s="4"/>
      <c r="W6510" s="4"/>
      <c r="X6510" s="4"/>
    </row>
    <row r="6511" spans="17:24" x14ac:dyDescent="0.3">
      <c r="Q6511" s="4"/>
      <c r="R6511" s="4"/>
      <c r="S6511" s="4"/>
      <c r="T6511" s="4"/>
      <c r="U6511" s="4"/>
      <c r="V6511" s="4"/>
      <c r="W6511" s="4"/>
      <c r="X6511" s="4"/>
    </row>
    <row r="6512" spans="17:24" x14ac:dyDescent="0.3">
      <c r="Q6512" s="4"/>
      <c r="R6512" s="4"/>
      <c r="S6512" s="4"/>
      <c r="T6512" s="4"/>
      <c r="U6512" s="4"/>
      <c r="V6512" s="4"/>
      <c r="W6512" s="4"/>
      <c r="X6512" s="4"/>
    </row>
    <row r="6513" spans="17:24" x14ac:dyDescent="0.3">
      <c r="Q6513" s="4"/>
      <c r="R6513" s="4"/>
      <c r="S6513" s="4"/>
      <c r="T6513" s="4"/>
      <c r="U6513" s="4"/>
      <c r="V6513" s="4"/>
      <c r="W6513" s="4"/>
      <c r="X6513" s="4"/>
    </row>
    <row r="6514" spans="17:24" x14ac:dyDescent="0.3">
      <c r="Q6514" s="4"/>
      <c r="R6514" s="4"/>
      <c r="S6514" s="4"/>
      <c r="T6514" s="4"/>
      <c r="U6514" s="4"/>
      <c r="V6514" s="4"/>
      <c r="W6514" s="4"/>
      <c r="X6514" s="4"/>
    </row>
    <row r="6515" spans="17:24" x14ac:dyDescent="0.3">
      <c r="Q6515" s="4"/>
      <c r="R6515" s="4"/>
      <c r="S6515" s="4"/>
      <c r="T6515" s="4"/>
      <c r="U6515" s="4"/>
      <c r="V6515" s="4"/>
      <c r="W6515" s="4"/>
      <c r="X6515" s="4"/>
    </row>
    <row r="6516" spans="17:24" x14ac:dyDescent="0.3">
      <c r="Q6516" s="4"/>
      <c r="R6516" s="4"/>
      <c r="S6516" s="4"/>
      <c r="T6516" s="4"/>
      <c r="U6516" s="4"/>
      <c r="V6516" s="4"/>
      <c r="W6516" s="4"/>
      <c r="X6516" s="4"/>
    </row>
    <row r="6517" spans="17:24" x14ac:dyDescent="0.3">
      <c r="Q6517" s="4"/>
      <c r="R6517" s="4"/>
      <c r="S6517" s="4"/>
      <c r="T6517" s="4"/>
      <c r="U6517" s="4"/>
      <c r="V6517" s="4"/>
      <c r="W6517" s="4"/>
      <c r="X6517" s="4"/>
    </row>
    <row r="6518" spans="17:24" x14ac:dyDescent="0.3">
      <c r="Q6518" s="4"/>
      <c r="R6518" s="4"/>
      <c r="S6518" s="4"/>
      <c r="T6518" s="4"/>
      <c r="U6518" s="4"/>
      <c r="V6518" s="4"/>
      <c r="W6518" s="4"/>
      <c r="X6518" s="4"/>
    </row>
    <row r="6519" spans="17:24" x14ac:dyDescent="0.3">
      <c r="Q6519" s="4"/>
      <c r="R6519" s="4"/>
      <c r="S6519" s="4"/>
      <c r="T6519" s="4"/>
      <c r="U6519" s="4"/>
      <c r="V6519" s="4"/>
      <c r="W6519" s="4"/>
      <c r="X6519" s="4"/>
    </row>
    <row r="6520" spans="17:24" x14ac:dyDescent="0.3">
      <c r="Q6520" s="4"/>
      <c r="R6520" s="4"/>
      <c r="S6520" s="4"/>
      <c r="T6520" s="4"/>
      <c r="U6520" s="4"/>
      <c r="V6520" s="4"/>
      <c r="W6520" s="4"/>
      <c r="X6520" s="4"/>
    </row>
    <row r="6521" spans="17:24" x14ac:dyDescent="0.3">
      <c r="Q6521" s="4"/>
      <c r="R6521" s="4"/>
      <c r="S6521" s="4"/>
      <c r="T6521" s="4"/>
      <c r="U6521" s="4"/>
      <c r="V6521" s="4"/>
      <c r="W6521" s="4"/>
      <c r="X6521" s="4"/>
    </row>
    <row r="6522" spans="17:24" x14ac:dyDescent="0.3">
      <c r="Q6522" s="4"/>
      <c r="R6522" s="4"/>
      <c r="S6522" s="4"/>
      <c r="T6522" s="4"/>
      <c r="U6522" s="4"/>
      <c r="V6522" s="4"/>
      <c r="W6522" s="4"/>
      <c r="X6522" s="4"/>
    </row>
    <row r="6523" spans="17:24" x14ac:dyDescent="0.3">
      <c r="Q6523" s="4"/>
      <c r="R6523" s="4"/>
      <c r="S6523" s="4"/>
      <c r="T6523" s="4"/>
      <c r="U6523" s="4"/>
      <c r="V6523" s="4"/>
      <c r="W6523" s="4"/>
      <c r="X6523" s="4"/>
    </row>
    <row r="6524" spans="17:24" x14ac:dyDescent="0.3">
      <c r="Q6524" s="4"/>
      <c r="R6524" s="4"/>
      <c r="S6524" s="4"/>
      <c r="T6524" s="4"/>
      <c r="U6524" s="4"/>
      <c r="V6524" s="4"/>
      <c r="W6524" s="4"/>
      <c r="X6524" s="4"/>
    </row>
    <row r="6525" spans="17:24" x14ac:dyDescent="0.3">
      <c r="Q6525" s="4"/>
      <c r="R6525" s="4"/>
      <c r="S6525" s="4"/>
      <c r="T6525" s="4"/>
      <c r="U6525" s="4"/>
      <c r="V6525" s="4"/>
      <c r="W6525" s="4"/>
      <c r="X6525" s="4"/>
    </row>
    <row r="6526" spans="17:24" x14ac:dyDescent="0.3">
      <c r="Q6526" s="4"/>
      <c r="R6526" s="4"/>
      <c r="S6526" s="4"/>
      <c r="T6526" s="4"/>
      <c r="U6526" s="4"/>
      <c r="V6526" s="4"/>
      <c r="W6526" s="4"/>
      <c r="X6526" s="4"/>
    </row>
    <row r="6527" spans="17:24" x14ac:dyDescent="0.3">
      <c r="Q6527" s="4"/>
      <c r="R6527" s="4"/>
      <c r="S6527" s="4"/>
      <c r="T6527" s="4"/>
      <c r="U6527" s="4"/>
      <c r="V6527" s="4"/>
      <c r="W6527" s="4"/>
      <c r="X6527" s="4"/>
    </row>
    <row r="6528" spans="17:24" x14ac:dyDescent="0.3">
      <c r="Q6528" s="4"/>
      <c r="R6528" s="4"/>
      <c r="S6528" s="4"/>
      <c r="T6528" s="4"/>
      <c r="U6528" s="4"/>
      <c r="V6528" s="4"/>
      <c r="W6528" s="4"/>
      <c r="X6528" s="4"/>
    </row>
    <row r="6529" spans="17:24" x14ac:dyDescent="0.3">
      <c r="Q6529" s="4"/>
      <c r="R6529" s="4"/>
      <c r="S6529" s="4"/>
      <c r="T6529" s="4"/>
      <c r="U6529" s="4"/>
      <c r="V6529" s="4"/>
      <c r="W6529" s="4"/>
      <c r="X6529" s="4"/>
    </row>
    <row r="6530" spans="17:24" x14ac:dyDescent="0.3">
      <c r="Q6530" s="4"/>
      <c r="R6530" s="4"/>
      <c r="S6530" s="4"/>
      <c r="T6530" s="4"/>
      <c r="U6530" s="4"/>
      <c r="V6530" s="4"/>
      <c r="W6530" s="4"/>
      <c r="X6530" s="4"/>
    </row>
    <row r="6531" spans="17:24" x14ac:dyDescent="0.3">
      <c r="Q6531" s="4"/>
      <c r="R6531" s="4"/>
      <c r="S6531" s="4"/>
      <c r="T6531" s="4"/>
      <c r="U6531" s="4"/>
      <c r="V6531" s="4"/>
      <c r="W6531" s="4"/>
      <c r="X6531" s="4"/>
    </row>
    <row r="6532" spans="17:24" x14ac:dyDescent="0.3">
      <c r="Q6532" s="4"/>
      <c r="R6532" s="4"/>
      <c r="S6532" s="4"/>
      <c r="T6532" s="4"/>
      <c r="U6532" s="4"/>
      <c r="V6532" s="4"/>
      <c r="W6532" s="4"/>
      <c r="X6532" s="4"/>
    </row>
    <row r="6533" spans="17:24" x14ac:dyDescent="0.3">
      <c r="Q6533" s="4"/>
      <c r="R6533" s="4"/>
      <c r="S6533" s="4"/>
      <c r="T6533" s="4"/>
      <c r="U6533" s="4"/>
      <c r="V6533" s="4"/>
      <c r="W6533" s="4"/>
      <c r="X6533" s="4"/>
    </row>
    <row r="6534" spans="17:24" x14ac:dyDescent="0.3">
      <c r="Q6534" s="4"/>
      <c r="R6534" s="4"/>
      <c r="S6534" s="4"/>
      <c r="T6534" s="4"/>
      <c r="U6534" s="4"/>
      <c r="V6534" s="4"/>
      <c r="W6534" s="4"/>
      <c r="X6534" s="4"/>
    </row>
    <row r="6535" spans="17:24" x14ac:dyDescent="0.3">
      <c r="Q6535" s="4"/>
      <c r="R6535" s="4"/>
      <c r="S6535" s="4"/>
      <c r="T6535" s="4"/>
      <c r="U6535" s="4"/>
      <c r="V6535" s="4"/>
      <c r="W6535" s="4"/>
      <c r="X6535" s="4"/>
    </row>
    <row r="6536" spans="17:24" x14ac:dyDescent="0.3">
      <c r="Q6536" s="4"/>
      <c r="R6536" s="4"/>
      <c r="S6536" s="4"/>
      <c r="T6536" s="4"/>
      <c r="U6536" s="4"/>
      <c r="V6536" s="4"/>
      <c r="W6536" s="4"/>
      <c r="X6536" s="4"/>
    </row>
    <row r="6537" spans="17:24" x14ac:dyDescent="0.3">
      <c r="Q6537" s="4"/>
      <c r="R6537" s="4"/>
      <c r="S6537" s="4"/>
      <c r="T6537" s="4"/>
      <c r="U6537" s="4"/>
      <c r="V6537" s="4"/>
      <c r="W6537" s="4"/>
      <c r="X6537" s="4"/>
    </row>
    <row r="6538" spans="17:24" x14ac:dyDescent="0.3">
      <c r="Q6538" s="4"/>
      <c r="R6538" s="4"/>
      <c r="S6538" s="4"/>
      <c r="T6538" s="4"/>
      <c r="U6538" s="4"/>
      <c r="V6538" s="4"/>
      <c r="W6538" s="4"/>
      <c r="X6538" s="4"/>
    </row>
    <row r="6539" spans="17:24" x14ac:dyDescent="0.3">
      <c r="Q6539" s="4"/>
      <c r="R6539" s="4"/>
      <c r="S6539" s="4"/>
      <c r="T6539" s="4"/>
      <c r="U6539" s="4"/>
      <c r="V6539" s="4"/>
      <c r="W6539" s="4"/>
      <c r="X6539" s="4"/>
    </row>
    <row r="6540" spans="17:24" x14ac:dyDescent="0.3">
      <c r="Q6540" s="4"/>
      <c r="R6540" s="4"/>
      <c r="S6540" s="4"/>
      <c r="T6540" s="4"/>
      <c r="U6540" s="4"/>
      <c r="V6540" s="4"/>
      <c r="W6540" s="4"/>
      <c r="X6540" s="4"/>
    </row>
    <row r="6541" spans="17:24" x14ac:dyDescent="0.3">
      <c r="Q6541" s="4"/>
      <c r="R6541" s="4"/>
      <c r="S6541" s="4"/>
      <c r="T6541" s="4"/>
      <c r="U6541" s="4"/>
      <c r="V6541" s="4"/>
      <c r="W6541" s="4"/>
      <c r="X6541" s="4"/>
    </row>
    <row r="6542" spans="17:24" x14ac:dyDescent="0.3">
      <c r="Q6542" s="4"/>
      <c r="R6542" s="4"/>
      <c r="S6542" s="4"/>
      <c r="T6542" s="4"/>
      <c r="U6542" s="4"/>
      <c r="V6542" s="4"/>
      <c r="W6542" s="4"/>
      <c r="X6542" s="4"/>
    </row>
    <row r="6543" spans="17:24" x14ac:dyDescent="0.3">
      <c r="Q6543" s="4"/>
      <c r="R6543" s="4"/>
      <c r="S6543" s="4"/>
      <c r="T6543" s="4"/>
      <c r="U6543" s="4"/>
      <c r="V6543" s="4"/>
      <c r="W6543" s="4"/>
      <c r="X6543" s="4"/>
    </row>
    <row r="6544" spans="17:24" x14ac:dyDescent="0.3">
      <c r="Q6544" s="4"/>
      <c r="R6544" s="4"/>
      <c r="S6544" s="4"/>
      <c r="T6544" s="4"/>
      <c r="U6544" s="4"/>
      <c r="V6544" s="4"/>
      <c r="W6544" s="4"/>
      <c r="X6544" s="4"/>
    </row>
    <row r="6545" spans="17:24" x14ac:dyDescent="0.3">
      <c r="Q6545" s="4"/>
      <c r="R6545" s="4"/>
      <c r="S6545" s="4"/>
      <c r="T6545" s="4"/>
      <c r="U6545" s="4"/>
      <c r="V6545" s="4"/>
      <c r="W6545" s="4"/>
      <c r="X6545" s="4"/>
    </row>
    <row r="6546" spans="17:24" x14ac:dyDescent="0.3">
      <c r="Q6546" s="4"/>
      <c r="R6546" s="4"/>
      <c r="S6546" s="4"/>
      <c r="T6546" s="4"/>
      <c r="U6546" s="4"/>
      <c r="V6546" s="4"/>
      <c r="W6546" s="4"/>
      <c r="X6546" s="4"/>
    </row>
    <row r="6547" spans="17:24" x14ac:dyDescent="0.3">
      <c r="Q6547" s="4"/>
      <c r="R6547" s="4"/>
      <c r="S6547" s="4"/>
      <c r="T6547" s="4"/>
      <c r="U6547" s="4"/>
      <c r="V6547" s="4"/>
      <c r="W6547" s="4"/>
      <c r="X6547" s="4"/>
    </row>
    <row r="6548" spans="17:24" x14ac:dyDescent="0.3">
      <c r="Q6548" s="4"/>
      <c r="R6548" s="4"/>
      <c r="S6548" s="4"/>
      <c r="T6548" s="4"/>
      <c r="U6548" s="4"/>
      <c r="V6548" s="4"/>
      <c r="W6548" s="4"/>
      <c r="X6548" s="4"/>
    </row>
    <row r="6549" spans="17:24" x14ac:dyDescent="0.3">
      <c r="Q6549" s="4"/>
      <c r="R6549" s="4"/>
      <c r="S6549" s="4"/>
      <c r="T6549" s="4"/>
      <c r="U6549" s="4"/>
      <c r="V6549" s="4"/>
      <c r="W6549" s="4"/>
      <c r="X6549" s="4"/>
    </row>
    <row r="6550" spans="17:24" x14ac:dyDescent="0.3">
      <c r="Q6550" s="4"/>
      <c r="R6550" s="4"/>
      <c r="S6550" s="4"/>
      <c r="T6550" s="4"/>
      <c r="U6550" s="4"/>
      <c r="V6550" s="4"/>
      <c r="W6550" s="4"/>
      <c r="X6550" s="4"/>
    </row>
    <row r="6551" spans="17:24" x14ac:dyDescent="0.3">
      <c r="Q6551" s="4"/>
      <c r="R6551" s="4"/>
      <c r="S6551" s="4"/>
      <c r="T6551" s="4"/>
      <c r="U6551" s="4"/>
      <c r="V6551" s="4"/>
      <c r="W6551" s="4"/>
      <c r="X6551" s="4"/>
    </row>
    <row r="6552" spans="17:24" x14ac:dyDescent="0.3">
      <c r="Q6552" s="4"/>
      <c r="R6552" s="4"/>
      <c r="S6552" s="4"/>
      <c r="T6552" s="4"/>
      <c r="U6552" s="4"/>
      <c r="V6552" s="4"/>
      <c r="W6552" s="4"/>
      <c r="X6552" s="4"/>
    </row>
    <row r="6553" spans="17:24" x14ac:dyDescent="0.3">
      <c r="Q6553" s="4"/>
      <c r="R6553" s="4"/>
      <c r="S6553" s="4"/>
      <c r="T6553" s="4"/>
      <c r="U6553" s="4"/>
      <c r="V6553" s="4"/>
      <c r="W6553" s="4"/>
      <c r="X6553" s="4"/>
    </row>
    <row r="6554" spans="17:24" x14ac:dyDescent="0.3">
      <c r="Q6554" s="4"/>
      <c r="R6554" s="4"/>
      <c r="S6554" s="4"/>
      <c r="T6554" s="4"/>
      <c r="U6554" s="4"/>
      <c r="V6554" s="4"/>
      <c r="W6554" s="4"/>
      <c r="X6554" s="4"/>
    </row>
    <row r="6555" spans="17:24" x14ac:dyDescent="0.3">
      <c r="Q6555" s="4"/>
      <c r="R6555" s="4"/>
      <c r="S6555" s="4"/>
      <c r="T6555" s="4"/>
      <c r="U6555" s="4"/>
      <c r="V6555" s="4"/>
      <c r="W6555" s="4"/>
      <c r="X6555" s="4"/>
    </row>
    <row r="6556" spans="17:24" x14ac:dyDescent="0.3">
      <c r="Q6556" s="4"/>
      <c r="R6556" s="4"/>
      <c r="S6556" s="4"/>
      <c r="T6556" s="4"/>
      <c r="U6556" s="4"/>
      <c r="V6556" s="4"/>
      <c r="W6556" s="4"/>
      <c r="X6556" s="4"/>
    </row>
    <row r="6557" spans="17:24" x14ac:dyDescent="0.3">
      <c r="Q6557" s="4"/>
      <c r="R6557" s="4"/>
      <c r="S6557" s="4"/>
      <c r="T6557" s="4"/>
      <c r="U6557" s="4"/>
      <c r="V6557" s="4"/>
      <c r="W6557" s="4"/>
      <c r="X6557" s="4"/>
    </row>
    <row r="6558" spans="17:24" x14ac:dyDescent="0.3">
      <c r="Q6558" s="4"/>
      <c r="R6558" s="4"/>
      <c r="S6558" s="4"/>
      <c r="T6558" s="4"/>
      <c r="U6558" s="4"/>
      <c r="V6558" s="4"/>
      <c r="W6558" s="4"/>
      <c r="X6558" s="4"/>
    </row>
    <row r="6559" spans="17:24" x14ac:dyDescent="0.3">
      <c r="Q6559" s="4"/>
      <c r="R6559" s="4"/>
      <c r="S6559" s="4"/>
      <c r="T6559" s="4"/>
      <c r="U6559" s="4"/>
      <c r="V6559" s="4"/>
      <c r="W6559" s="4"/>
      <c r="X6559" s="4"/>
    </row>
    <row r="6560" spans="17:24" x14ac:dyDescent="0.3">
      <c r="Q6560" s="4"/>
      <c r="R6560" s="4"/>
      <c r="S6560" s="4"/>
      <c r="T6560" s="4"/>
      <c r="U6560" s="4"/>
      <c r="V6560" s="4"/>
      <c r="W6560" s="4"/>
      <c r="X6560" s="4"/>
    </row>
    <row r="6561" spans="17:24" x14ac:dyDescent="0.3">
      <c r="Q6561" s="4"/>
      <c r="R6561" s="4"/>
      <c r="S6561" s="4"/>
      <c r="T6561" s="4"/>
      <c r="U6561" s="4"/>
      <c r="V6561" s="4"/>
      <c r="W6561" s="4"/>
      <c r="X6561" s="4"/>
    </row>
    <row r="6562" spans="17:24" x14ac:dyDescent="0.3">
      <c r="Q6562" s="4"/>
      <c r="R6562" s="4"/>
      <c r="S6562" s="4"/>
      <c r="T6562" s="4"/>
      <c r="U6562" s="4"/>
      <c r="V6562" s="4"/>
      <c r="W6562" s="4"/>
      <c r="X6562" s="4"/>
    </row>
    <row r="6563" spans="17:24" x14ac:dyDescent="0.3">
      <c r="Q6563" s="4"/>
      <c r="R6563" s="4"/>
      <c r="S6563" s="4"/>
      <c r="T6563" s="4"/>
      <c r="U6563" s="4"/>
      <c r="V6563" s="4"/>
      <c r="W6563" s="4"/>
      <c r="X6563" s="4"/>
    </row>
    <row r="6564" spans="17:24" x14ac:dyDescent="0.3">
      <c r="Q6564" s="4"/>
      <c r="R6564" s="4"/>
      <c r="S6564" s="4"/>
      <c r="T6564" s="4"/>
      <c r="U6564" s="4"/>
      <c r="V6564" s="4"/>
      <c r="W6564" s="4"/>
      <c r="X6564" s="4"/>
    </row>
    <row r="6565" spans="17:24" x14ac:dyDescent="0.3">
      <c r="Q6565" s="4"/>
      <c r="R6565" s="4"/>
      <c r="S6565" s="4"/>
      <c r="T6565" s="4"/>
      <c r="U6565" s="4"/>
      <c r="V6565" s="4"/>
      <c r="W6565" s="4"/>
      <c r="X6565" s="4"/>
    </row>
    <row r="6566" spans="17:24" x14ac:dyDescent="0.3">
      <c r="Q6566" s="4"/>
      <c r="R6566" s="4"/>
      <c r="S6566" s="4"/>
      <c r="T6566" s="4"/>
      <c r="U6566" s="4"/>
      <c r="V6566" s="4"/>
      <c r="W6566" s="4"/>
      <c r="X6566" s="4"/>
    </row>
    <row r="6567" spans="17:24" x14ac:dyDescent="0.3">
      <c r="Q6567" s="4"/>
      <c r="R6567" s="4"/>
      <c r="S6567" s="4"/>
      <c r="T6567" s="4"/>
      <c r="U6567" s="4"/>
      <c r="V6567" s="4"/>
      <c r="W6567" s="4"/>
      <c r="X6567" s="4"/>
    </row>
    <row r="6568" spans="17:24" x14ac:dyDescent="0.3">
      <c r="Q6568" s="4"/>
      <c r="R6568" s="4"/>
      <c r="S6568" s="4"/>
      <c r="T6568" s="4"/>
      <c r="U6568" s="4"/>
      <c r="V6568" s="4"/>
      <c r="W6568" s="4"/>
      <c r="X6568" s="4"/>
    </row>
    <row r="6569" spans="17:24" x14ac:dyDescent="0.3">
      <c r="Q6569" s="4"/>
      <c r="R6569" s="4"/>
      <c r="S6569" s="4"/>
      <c r="T6569" s="4"/>
      <c r="U6569" s="4"/>
      <c r="V6569" s="4"/>
      <c r="W6569" s="4"/>
      <c r="X6569" s="4"/>
    </row>
    <row r="6570" spans="17:24" x14ac:dyDescent="0.3">
      <c r="Q6570" s="4"/>
      <c r="R6570" s="4"/>
      <c r="S6570" s="4"/>
      <c r="T6570" s="4"/>
      <c r="U6570" s="4"/>
      <c r="V6570" s="4"/>
      <c r="W6570" s="4"/>
      <c r="X6570" s="4"/>
    </row>
    <row r="6571" spans="17:24" x14ac:dyDescent="0.3">
      <c r="Q6571" s="4"/>
      <c r="R6571" s="4"/>
      <c r="S6571" s="4"/>
      <c r="T6571" s="4"/>
      <c r="U6571" s="4"/>
      <c r="V6571" s="4"/>
      <c r="W6571" s="4"/>
      <c r="X6571" s="4"/>
    </row>
    <row r="6572" spans="17:24" x14ac:dyDescent="0.3">
      <c r="Q6572" s="4"/>
      <c r="R6572" s="4"/>
      <c r="S6572" s="4"/>
      <c r="T6572" s="4"/>
      <c r="U6572" s="4"/>
      <c r="V6572" s="4"/>
      <c r="W6572" s="4"/>
      <c r="X6572" s="4"/>
    </row>
    <row r="6573" spans="17:24" x14ac:dyDescent="0.3">
      <c r="Q6573" s="4"/>
      <c r="R6573" s="4"/>
      <c r="S6573" s="4"/>
      <c r="T6573" s="4"/>
      <c r="U6573" s="4"/>
      <c r="V6573" s="4"/>
      <c r="W6573" s="4"/>
      <c r="X6573" s="4"/>
    </row>
    <row r="6574" spans="17:24" x14ac:dyDescent="0.3">
      <c r="Q6574" s="4"/>
      <c r="R6574" s="4"/>
      <c r="S6574" s="4"/>
      <c r="T6574" s="4"/>
      <c r="U6574" s="4"/>
      <c r="V6574" s="4"/>
      <c r="W6574" s="4"/>
      <c r="X6574" s="4"/>
    </row>
    <row r="6575" spans="17:24" x14ac:dyDescent="0.3">
      <c r="Q6575" s="4"/>
      <c r="R6575" s="4"/>
      <c r="S6575" s="4"/>
      <c r="T6575" s="4"/>
      <c r="U6575" s="4"/>
      <c r="V6575" s="4"/>
      <c r="W6575" s="4"/>
      <c r="X6575" s="4"/>
    </row>
    <row r="6576" spans="17:24" x14ac:dyDescent="0.3">
      <c r="Q6576" s="4"/>
      <c r="R6576" s="4"/>
      <c r="S6576" s="4"/>
      <c r="T6576" s="4"/>
      <c r="U6576" s="4"/>
      <c r="V6576" s="4"/>
      <c r="W6576" s="4"/>
      <c r="X6576" s="4"/>
    </row>
    <row r="6577" spans="17:24" x14ac:dyDescent="0.3">
      <c r="Q6577" s="4"/>
      <c r="R6577" s="4"/>
      <c r="S6577" s="4"/>
      <c r="T6577" s="4"/>
      <c r="U6577" s="4"/>
      <c r="V6577" s="4"/>
      <c r="W6577" s="4"/>
      <c r="X6577" s="4"/>
    </row>
    <row r="6578" spans="17:24" x14ac:dyDescent="0.3">
      <c r="Q6578" s="4"/>
      <c r="R6578" s="4"/>
      <c r="S6578" s="4"/>
      <c r="T6578" s="4"/>
      <c r="U6578" s="4"/>
      <c r="V6578" s="4"/>
      <c r="W6578" s="4"/>
      <c r="X6578" s="4"/>
    </row>
    <row r="6579" spans="17:24" x14ac:dyDescent="0.3">
      <c r="Q6579" s="4"/>
      <c r="R6579" s="4"/>
      <c r="S6579" s="4"/>
      <c r="T6579" s="4"/>
      <c r="U6579" s="4"/>
      <c r="V6579" s="4"/>
      <c r="W6579" s="4"/>
      <c r="X6579" s="4"/>
    </row>
    <row r="6580" spans="17:24" x14ac:dyDescent="0.3">
      <c r="Q6580" s="4"/>
      <c r="R6580" s="4"/>
      <c r="S6580" s="4"/>
      <c r="T6580" s="4"/>
      <c r="U6580" s="4"/>
      <c r="V6580" s="4"/>
      <c r="W6580" s="4"/>
      <c r="X6580" s="4"/>
    </row>
    <row r="6581" spans="17:24" x14ac:dyDescent="0.3">
      <c r="Q6581" s="4"/>
      <c r="R6581" s="4"/>
      <c r="S6581" s="4"/>
      <c r="T6581" s="4"/>
      <c r="U6581" s="4"/>
      <c r="V6581" s="4"/>
      <c r="W6581" s="4"/>
      <c r="X6581" s="4"/>
    </row>
    <row r="6582" spans="17:24" x14ac:dyDescent="0.3">
      <c r="Q6582" s="4"/>
      <c r="R6582" s="4"/>
      <c r="S6582" s="4"/>
      <c r="T6582" s="4"/>
      <c r="U6582" s="4"/>
      <c r="V6582" s="4"/>
      <c r="W6582" s="4"/>
      <c r="X6582" s="4"/>
    </row>
    <row r="6583" spans="17:24" x14ac:dyDescent="0.3">
      <c r="Q6583" s="4"/>
      <c r="R6583" s="4"/>
      <c r="S6583" s="4"/>
      <c r="T6583" s="4"/>
      <c r="U6583" s="4"/>
      <c r="V6583" s="4"/>
      <c r="W6583" s="4"/>
      <c r="X6583" s="4"/>
    </row>
    <row r="6584" spans="17:24" x14ac:dyDescent="0.3">
      <c r="Q6584" s="4"/>
      <c r="R6584" s="4"/>
      <c r="S6584" s="4"/>
      <c r="T6584" s="4"/>
      <c r="U6584" s="4"/>
      <c r="V6584" s="4"/>
      <c r="W6584" s="4"/>
      <c r="X6584" s="4"/>
    </row>
    <row r="6585" spans="17:24" x14ac:dyDescent="0.3">
      <c r="Q6585" s="4"/>
      <c r="R6585" s="4"/>
      <c r="S6585" s="4"/>
      <c r="T6585" s="4"/>
      <c r="U6585" s="4"/>
      <c r="V6585" s="4"/>
      <c r="W6585" s="4"/>
      <c r="X6585" s="4"/>
    </row>
    <row r="6586" spans="17:24" x14ac:dyDescent="0.3">
      <c r="Q6586" s="4"/>
      <c r="R6586" s="4"/>
      <c r="S6586" s="4"/>
      <c r="T6586" s="4"/>
      <c r="U6586" s="4"/>
      <c r="V6586" s="4"/>
      <c r="W6586" s="4"/>
      <c r="X6586" s="4"/>
    </row>
    <row r="6587" spans="17:24" x14ac:dyDescent="0.3">
      <c r="Q6587" s="4"/>
      <c r="R6587" s="4"/>
      <c r="S6587" s="4"/>
      <c r="T6587" s="4"/>
      <c r="U6587" s="4"/>
      <c r="V6587" s="4"/>
      <c r="W6587" s="4"/>
      <c r="X6587" s="4"/>
    </row>
    <row r="6588" spans="17:24" x14ac:dyDescent="0.3">
      <c r="Q6588" s="4"/>
      <c r="R6588" s="4"/>
      <c r="S6588" s="4"/>
      <c r="T6588" s="4"/>
      <c r="U6588" s="4"/>
      <c r="V6588" s="4"/>
      <c r="W6588" s="4"/>
      <c r="X6588" s="4"/>
    </row>
    <row r="6589" spans="17:24" x14ac:dyDescent="0.3">
      <c r="Q6589" s="4"/>
      <c r="R6589" s="4"/>
      <c r="S6589" s="4"/>
      <c r="T6589" s="4"/>
      <c r="U6589" s="4"/>
      <c r="V6589" s="4"/>
      <c r="W6589" s="4"/>
      <c r="X6589" s="4"/>
    </row>
    <row r="6590" spans="17:24" x14ac:dyDescent="0.3">
      <c r="Q6590" s="4"/>
      <c r="R6590" s="4"/>
      <c r="S6590" s="4"/>
      <c r="T6590" s="4"/>
      <c r="U6590" s="4"/>
      <c r="V6590" s="4"/>
      <c r="W6590" s="4"/>
      <c r="X6590" s="4"/>
    </row>
    <row r="6591" spans="17:24" x14ac:dyDescent="0.3">
      <c r="Q6591" s="4"/>
      <c r="R6591" s="4"/>
      <c r="S6591" s="4"/>
      <c r="T6591" s="4"/>
      <c r="U6591" s="4"/>
      <c r="V6591" s="4"/>
      <c r="W6591" s="4"/>
      <c r="X6591" s="4"/>
    </row>
    <row r="6592" spans="17:24" x14ac:dyDescent="0.3">
      <c r="Q6592" s="4"/>
      <c r="R6592" s="4"/>
      <c r="S6592" s="4"/>
      <c r="T6592" s="4"/>
      <c r="U6592" s="4"/>
      <c r="V6592" s="4"/>
      <c r="W6592" s="4"/>
      <c r="X6592" s="4"/>
    </row>
    <row r="6593" spans="17:24" x14ac:dyDescent="0.3">
      <c r="Q6593" s="4"/>
      <c r="R6593" s="4"/>
      <c r="S6593" s="4"/>
      <c r="T6593" s="4"/>
      <c r="U6593" s="4"/>
      <c r="V6593" s="4"/>
      <c r="W6593" s="4"/>
      <c r="X6593" s="4"/>
    </row>
    <row r="6594" spans="17:24" x14ac:dyDescent="0.3">
      <c r="Q6594" s="4"/>
      <c r="R6594" s="4"/>
      <c r="S6594" s="4"/>
      <c r="T6594" s="4"/>
      <c r="U6594" s="4"/>
      <c r="V6594" s="4"/>
      <c r="W6594" s="4"/>
      <c r="X6594" s="4"/>
    </row>
    <row r="6595" spans="17:24" x14ac:dyDescent="0.3">
      <c r="Q6595" s="4"/>
      <c r="R6595" s="4"/>
      <c r="S6595" s="4"/>
      <c r="T6595" s="4"/>
      <c r="U6595" s="4"/>
      <c r="V6595" s="4"/>
      <c r="W6595" s="4"/>
      <c r="X6595" s="4"/>
    </row>
    <row r="6596" spans="17:24" x14ac:dyDescent="0.3">
      <c r="Q6596" s="4"/>
      <c r="R6596" s="4"/>
      <c r="S6596" s="4"/>
      <c r="T6596" s="4"/>
      <c r="U6596" s="4"/>
      <c r="V6596" s="4"/>
      <c r="W6596" s="4"/>
      <c r="X6596" s="4"/>
    </row>
    <row r="6597" spans="17:24" x14ac:dyDescent="0.3">
      <c r="Q6597" s="4"/>
      <c r="R6597" s="4"/>
      <c r="S6597" s="4"/>
      <c r="T6597" s="4"/>
      <c r="U6597" s="4"/>
      <c r="V6597" s="4"/>
      <c r="W6597" s="4"/>
      <c r="X6597" s="4"/>
    </row>
    <row r="6598" spans="17:24" x14ac:dyDescent="0.3">
      <c r="Q6598" s="4"/>
      <c r="R6598" s="4"/>
      <c r="S6598" s="4"/>
      <c r="T6598" s="4"/>
      <c r="U6598" s="4"/>
      <c r="V6598" s="4"/>
      <c r="W6598" s="4"/>
      <c r="X6598" s="4"/>
    </row>
    <row r="6599" spans="17:24" x14ac:dyDescent="0.3">
      <c r="Q6599" s="4"/>
      <c r="R6599" s="4"/>
      <c r="S6599" s="4"/>
      <c r="T6599" s="4"/>
      <c r="U6599" s="4"/>
      <c r="V6599" s="4"/>
      <c r="W6599" s="4"/>
      <c r="X6599" s="4"/>
    </row>
    <row r="6600" spans="17:24" x14ac:dyDescent="0.3">
      <c r="Q6600" s="4"/>
      <c r="R6600" s="4"/>
      <c r="S6600" s="4"/>
      <c r="T6600" s="4"/>
      <c r="U6600" s="4"/>
      <c r="V6600" s="4"/>
      <c r="W6600" s="4"/>
      <c r="X6600" s="4"/>
    </row>
    <row r="6601" spans="17:24" x14ac:dyDescent="0.3">
      <c r="Q6601" s="4"/>
      <c r="R6601" s="4"/>
      <c r="S6601" s="4"/>
      <c r="T6601" s="4"/>
      <c r="U6601" s="4"/>
      <c r="V6601" s="4"/>
      <c r="W6601" s="4"/>
      <c r="X6601" s="4"/>
    </row>
    <row r="6602" spans="17:24" x14ac:dyDescent="0.3">
      <c r="Q6602" s="4"/>
      <c r="R6602" s="4"/>
      <c r="S6602" s="4"/>
      <c r="T6602" s="4"/>
      <c r="U6602" s="4"/>
      <c r="V6602" s="4"/>
      <c r="W6602" s="4"/>
      <c r="X6602" s="4"/>
    </row>
    <row r="6603" spans="17:24" x14ac:dyDescent="0.3">
      <c r="Q6603" s="4"/>
      <c r="R6603" s="4"/>
      <c r="S6603" s="4"/>
      <c r="T6603" s="4"/>
      <c r="U6603" s="4"/>
      <c r="V6603" s="4"/>
      <c r="W6603" s="4"/>
      <c r="X6603" s="4"/>
    </row>
    <row r="6604" spans="17:24" x14ac:dyDescent="0.3">
      <c r="Q6604" s="4"/>
      <c r="R6604" s="4"/>
      <c r="S6604" s="4"/>
      <c r="T6604" s="4"/>
      <c r="U6604" s="4"/>
      <c r="V6604" s="4"/>
      <c r="W6604" s="4"/>
      <c r="X6604" s="4"/>
    </row>
    <row r="6605" spans="17:24" x14ac:dyDescent="0.3">
      <c r="Q6605" s="4"/>
      <c r="R6605" s="4"/>
      <c r="S6605" s="4"/>
      <c r="T6605" s="4"/>
      <c r="U6605" s="4"/>
      <c r="V6605" s="4"/>
      <c r="W6605" s="4"/>
      <c r="X6605" s="4"/>
    </row>
    <row r="6606" spans="17:24" x14ac:dyDescent="0.3">
      <c r="Q6606" s="4"/>
      <c r="R6606" s="4"/>
      <c r="S6606" s="4"/>
      <c r="T6606" s="4"/>
      <c r="U6606" s="4"/>
      <c r="V6606" s="4"/>
      <c r="W6606" s="4"/>
      <c r="X6606" s="4"/>
    </row>
    <row r="6607" spans="17:24" x14ac:dyDescent="0.3">
      <c r="Q6607" s="4"/>
      <c r="R6607" s="4"/>
      <c r="S6607" s="4"/>
      <c r="T6607" s="4"/>
      <c r="U6607" s="4"/>
      <c r="V6607" s="4"/>
      <c r="W6607" s="4"/>
      <c r="X6607" s="4"/>
    </row>
    <row r="6608" spans="17:24" x14ac:dyDescent="0.3">
      <c r="Q6608" s="4"/>
      <c r="R6608" s="4"/>
      <c r="S6608" s="4"/>
      <c r="T6608" s="4"/>
      <c r="U6608" s="4"/>
      <c r="V6608" s="4"/>
      <c r="W6608" s="4"/>
      <c r="X6608" s="4"/>
    </row>
    <row r="6609" spans="17:24" x14ac:dyDescent="0.3">
      <c r="Q6609" s="4"/>
      <c r="R6609" s="4"/>
      <c r="S6609" s="4"/>
      <c r="T6609" s="4"/>
      <c r="U6609" s="4"/>
      <c r="V6609" s="4"/>
      <c r="W6609" s="4"/>
      <c r="X6609" s="4"/>
    </row>
    <row r="6610" spans="17:24" x14ac:dyDescent="0.3">
      <c r="Q6610" s="4"/>
      <c r="R6610" s="4"/>
      <c r="S6610" s="4"/>
      <c r="T6610" s="4"/>
      <c r="U6610" s="4"/>
      <c r="V6610" s="4"/>
      <c r="W6610" s="4"/>
      <c r="X6610" s="4"/>
    </row>
    <row r="6611" spans="17:24" x14ac:dyDescent="0.3">
      <c r="Q6611" s="4"/>
      <c r="R6611" s="4"/>
      <c r="S6611" s="4"/>
      <c r="T6611" s="4"/>
      <c r="U6611" s="4"/>
      <c r="V6611" s="4"/>
      <c r="W6611" s="4"/>
      <c r="X6611" s="4"/>
    </row>
    <row r="6612" spans="17:24" x14ac:dyDescent="0.3">
      <c r="Q6612" s="4"/>
      <c r="R6612" s="4"/>
      <c r="S6612" s="4"/>
      <c r="T6612" s="4"/>
      <c r="U6612" s="4"/>
      <c r="V6612" s="4"/>
      <c r="W6612" s="4"/>
      <c r="X6612" s="4"/>
    </row>
    <row r="6613" spans="17:24" x14ac:dyDescent="0.3">
      <c r="Q6613" s="4"/>
      <c r="R6613" s="4"/>
      <c r="S6613" s="4"/>
      <c r="T6613" s="4"/>
      <c r="U6613" s="4"/>
      <c r="V6613" s="4"/>
      <c r="W6613" s="4"/>
      <c r="X6613" s="4"/>
    </row>
    <row r="6614" spans="17:24" x14ac:dyDescent="0.3">
      <c r="Q6614" s="4"/>
      <c r="R6614" s="4"/>
      <c r="S6614" s="4"/>
      <c r="T6614" s="4"/>
      <c r="U6614" s="4"/>
      <c r="V6614" s="4"/>
      <c r="W6614" s="4"/>
      <c r="X6614" s="4"/>
    </row>
    <row r="6615" spans="17:24" x14ac:dyDescent="0.3">
      <c r="Q6615" s="4"/>
      <c r="R6615" s="4"/>
      <c r="S6615" s="4"/>
      <c r="T6615" s="4"/>
      <c r="U6615" s="4"/>
      <c r="V6615" s="4"/>
      <c r="W6615" s="4"/>
      <c r="X6615" s="4"/>
    </row>
    <row r="6616" spans="17:24" x14ac:dyDescent="0.3">
      <c r="Q6616" s="4"/>
      <c r="R6616" s="4"/>
      <c r="S6616" s="4"/>
      <c r="T6616" s="4"/>
      <c r="U6616" s="4"/>
      <c r="V6616" s="4"/>
      <c r="W6616" s="4"/>
      <c r="X6616" s="4"/>
    </row>
    <row r="6617" spans="17:24" x14ac:dyDescent="0.3">
      <c r="Q6617" s="4"/>
      <c r="R6617" s="4"/>
      <c r="S6617" s="4"/>
      <c r="T6617" s="4"/>
      <c r="U6617" s="4"/>
      <c r="V6617" s="4"/>
      <c r="W6617" s="4"/>
      <c r="X6617" s="4"/>
    </row>
    <row r="6618" spans="17:24" x14ac:dyDescent="0.3">
      <c r="Q6618" s="4"/>
      <c r="R6618" s="4"/>
      <c r="S6618" s="4"/>
      <c r="T6618" s="4"/>
      <c r="U6618" s="4"/>
      <c r="V6618" s="4"/>
      <c r="W6618" s="4"/>
      <c r="X6618" s="4"/>
    </row>
    <row r="6619" spans="17:24" x14ac:dyDescent="0.3">
      <c r="Q6619" s="4"/>
      <c r="R6619" s="4"/>
      <c r="S6619" s="4"/>
      <c r="T6619" s="4"/>
      <c r="U6619" s="4"/>
      <c r="V6619" s="4"/>
      <c r="W6619" s="4"/>
      <c r="X6619" s="4"/>
    </row>
    <row r="6620" spans="17:24" x14ac:dyDescent="0.3">
      <c r="Q6620" s="4"/>
      <c r="R6620" s="4"/>
      <c r="S6620" s="4"/>
      <c r="T6620" s="4"/>
      <c r="U6620" s="4"/>
      <c r="V6620" s="4"/>
      <c r="W6620" s="4"/>
      <c r="X6620" s="4"/>
    </row>
    <row r="6621" spans="17:24" x14ac:dyDescent="0.3">
      <c r="Q6621" s="4"/>
      <c r="R6621" s="4"/>
      <c r="S6621" s="4"/>
      <c r="T6621" s="4"/>
      <c r="U6621" s="4"/>
      <c r="V6621" s="4"/>
      <c r="W6621" s="4"/>
      <c r="X6621" s="4"/>
    </row>
    <row r="6622" spans="17:24" x14ac:dyDescent="0.3">
      <c r="Q6622" s="4"/>
      <c r="R6622" s="4"/>
      <c r="S6622" s="4"/>
      <c r="T6622" s="4"/>
      <c r="U6622" s="4"/>
      <c r="V6622" s="4"/>
      <c r="W6622" s="4"/>
      <c r="X6622" s="4"/>
    </row>
    <row r="6623" spans="17:24" x14ac:dyDescent="0.3">
      <c r="Q6623" s="4"/>
      <c r="R6623" s="4"/>
      <c r="S6623" s="4"/>
      <c r="T6623" s="4"/>
      <c r="U6623" s="4"/>
      <c r="V6623" s="4"/>
      <c r="W6623" s="4"/>
      <c r="X6623" s="4"/>
    </row>
    <row r="6624" spans="17:24" x14ac:dyDescent="0.3">
      <c r="Q6624" s="4"/>
      <c r="R6624" s="4"/>
      <c r="S6624" s="4"/>
      <c r="T6624" s="4"/>
      <c r="U6624" s="4"/>
      <c r="V6624" s="4"/>
      <c r="W6624" s="4"/>
      <c r="X6624" s="4"/>
    </row>
    <row r="6625" spans="17:24" x14ac:dyDescent="0.3">
      <c r="Q6625" s="4"/>
      <c r="R6625" s="4"/>
      <c r="S6625" s="4"/>
      <c r="T6625" s="4"/>
      <c r="U6625" s="4"/>
      <c r="V6625" s="4"/>
      <c r="W6625" s="4"/>
      <c r="X6625" s="4"/>
    </row>
    <row r="6626" spans="17:24" x14ac:dyDescent="0.3">
      <c r="Q6626" s="4"/>
      <c r="R6626" s="4"/>
      <c r="S6626" s="4"/>
      <c r="T6626" s="4"/>
      <c r="U6626" s="4"/>
      <c r="V6626" s="4"/>
      <c r="W6626" s="4"/>
      <c r="X6626" s="4"/>
    </row>
    <row r="6627" spans="17:24" x14ac:dyDescent="0.3">
      <c r="Q6627" s="4"/>
      <c r="R6627" s="4"/>
      <c r="S6627" s="4"/>
      <c r="T6627" s="4"/>
      <c r="U6627" s="4"/>
      <c r="V6627" s="4"/>
      <c r="W6627" s="4"/>
      <c r="X6627" s="4"/>
    </row>
    <row r="6628" spans="17:24" x14ac:dyDescent="0.3">
      <c r="Q6628" s="4"/>
      <c r="R6628" s="4"/>
      <c r="S6628" s="4"/>
      <c r="T6628" s="4"/>
      <c r="U6628" s="4"/>
      <c r="V6628" s="4"/>
      <c r="W6628" s="4"/>
      <c r="X6628" s="4"/>
    </row>
    <row r="6629" spans="17:24" x14ac:dyDescent="0.3">
      <c r="Q6629" s="4"/>
      <c r="R6629" s="4"/>
      <c r="S6629" s="4"/>
      <c r="T6629" s="4"/>
      <c r="U6629" s="4"/>
      <c r="V6629" s="4"/>
      <c r="W6629" s="4"/>
      <c r="X6629" s="4"/>
    </row>
    <row r="6630" spans="17:24" x14ac:dyDescent="0.3">
      <c r="Q6630" s="4"/>
      <c r="R6630" s="4"/>
      <c r="S6630" s="4"/>
      <c r="T6630" s="4"/>
      <c r="U6630" s="4"/>
      <c r="V6630" s="4"/>
      <c r="W6630" s="4"/>
      <c r="X6630" s="4"/>
    </row>
    <row r="6631" spans="17:24" x14ac:dyDescent="0.3">
      <c r="Q6631" s="4"/>
      <c r="R6631" s="4"/>
      <c r="S6631" s="4"/>
      <c r="T6631" s="4"/>
      <c r="U6631" s="4"/>
      <c r="V6631" s="4"/>
      <c r="W6631" s="4"/>
      <c r="X6631" s="4"/>
    </row>
    <row r="6632" spans="17:24" x14ac:dyDescent="0.3">
      <c r="Q6632" s="4"/>
      <c r="R6632" s="4"/>
      <c r="S6632" s="4"/>
      <c r="T6632" s="4"/>
      <c r="U6632" s="4"/>
      <c r="V6632" s="4"/>
      <c r="W6632" s="4"/>
      <c r="X6632" s="4"/>
    </row>
    <row r="6633" spans="17:24" x14ac:dyDescent="0.3">
      <c r="Q6633" s="4"/>
      <c r="R6633" s="4"/>
      <c r="S6633" s="4"/>
      <c r="T6633" s="4"/>
      <c r="U6633" s="4"/>
      <c r="V6633" s="4"/>
      <c r="W6633" s="4"/>
      <c r="X6633" s="4"/>
    </row>
    <row r="6634" spans="17:24" x14ac:dyDescent="0.3">
      <c r="Q6634" s="4"/>
      <c r="R6634" s="4"/>
      <c r="S6634" s="4"/>
      <c r="T6634" s="4"/>
      <c r="U6634" s="4"/>
      <c r="V6634" s="4"/>
      <c r="W6634" s="4"/>
      <c r="X6634" s="4"/>
    </row>
    <row r="6635" spans="17:24" x14ac:dyDescent="0.3">
      <c r="Q6635" s="4"/>
      <c r="R6635" s="4"/>
      <c r="S6635" s="4"/>
      <c r="T6635" s="4"/>
      <c r="U6635" s="4"/>
      <c r="V6635" s="4"/>
      <c r="W6635" s="4"/>
      <c r="X6635" s="4"/>
    </row>
    <row r="6636" spans="17:24" x14ac:dyDescent="0.3">
      <c r="Q6636" s="4"/>
      <c r="R6636" s="4"/>
      <c r="S6636" s="4"/>
      <c r="T6636" s="4"/>
      <c r="U6636" s="4"/>
      <c r="V6636" s="4"/>
      <c r="W6636" s="4"/>
      <c r="X6636" s="4"/>
    </row>
    <row r="6637" spans="17:24" x14ac:dyDescent="0.3">
      <c r="Q6637" s="4"/>
      <c r="R6637" s="4"/>
      <c r="S6637" s="4"/>
      <c r="T6637" s="4"/>
      <c r="U6637" s="4"/>
      <c r="V6637" s="4"/>
      <c r="W6637" s="4"/>
      <c r="X6637" s="4"/>
    </row>
    <row r="6638" spans="17:24" x14ac:dyDescent="0.3">
      <c r="Q6638" s="4"/>
      <c r="R6638" s="4"/>
      <c r="S6638" s="4"/>
      <c r="T6638" s="4"/>
      <c r="U6638" s="4"/>
      <c r="V6638" s="4"/>
      <c r="W6638" s="4"/>
      <c r="X6638" s="4"/>
    </row>
    <row r="6639" spans="17:24" x14ac:dyDescent="0.3">
      <c r="Q6639" s="4"/>
      <c r="R6639" s="4"/>
      <c r="S6639" s="4"/>
      <c r="T6639" s="4"/>
      <c r="U6639" s="4"/>
      <c r="V6639" s="4"/>
      <c r="W6639" s="4"/>
      <c r="X6639" s="4"/>
    </row>
    <row r="6640" spans="17:24" x14ac:dyDescent="0.3">
      <c r="Q6640" s="4"/>
      <c r="R6640" s="4"/>
      <c r="S6640" s="4"/>
      <c r="T6640" s="4"/>
      <c r="U6640" s="4"/>
      <c r="V6640" s="4"/>
      <c r="W6640" s="4"/>
      <c r="X6640" s="4"/>
    </row>
    <row r="6641" spans="17:24" x14ac:dyDescent="0.3">
      <c r="Q6641" s="4"/>
      <c r="R6641" s="4"/>
      <c r="S6641" s="4"/>
      <c r="T6641" s="4"/>
      <c r="U6641" s="4"/>
      <c r="V6641" s="4"/>
      <c r="W6641" s="4"/>
      <c r="X6641" s="4"/>
    </row>
    <row r="6642" spans="17:24" x14ac:dyDescent="0.3">
      <c r="Q6642" s="4"/>
      <c r="R6642" s="4"/>
      <c r="S6642" s="4"/>
      <c r="T6642" s="4"/>
      <c r="U6642" s="4"/>
      <c r="V6642" s="4"/>
      <c r="W6642" s="4"/>
      <c r="X6642" s="4"/>
    </row>
    <row r="6643" spans="17:24" x14ac:dyDescent="0.3">
      <c r="Q6643" s="4"/>
      <c r="R6643" s="4"/>
      <c r="S6643" s="4"/>
      <c r="T6643" s="4"/>
      <c r="U6643" s="4"/>
      <c r="V6643" s="4"/>
      <c r="W6643" s="4"/>
      <c r="X6643" s="4"/>
    </row>
    <row r="6644" spans="17:24" x14ac:dyDescent="0.3">
      <c r="Q6644" s="4"/>
      <c r="R6644" s="4"/>
      <c r="S6644" s="4"/>
      <c r="T6644" s="4"/>
      <c r="U6644" s="4"/>
      <c r="V6644" s="4"/>
      <c r="W6644" s="4"/>
      <c r="X6644" s="4"/>
    </row>
    <row r="6645" spans="17:24" x14ac:dyDescent="0.3">
      <c r="Q6645" s="4"/>
      <c r="R6645" s="4"/>
      <c r="S6645" s="4"/>
      <c r="T6645" s="4"/>
      <c r="U6645" s="4"/>
      <c r="V6645" s="4"/>
      <c r="W6645" s="4"/>
      <c r="X6645" s="4"/>
    </row>
    <row r="6646" spans="17:24" x14ac:dyDescent="0.3">
      <c r="Q6646" s="4"/>
      <c r="R6646" s="4"/>
      <c r="S6646" s="4"/>
      <c r="T6646" s="4"/>
      <c r="U6646" s="4"/>
      <c r="V6646" s="4"/>
      <c r="W6646" s="4"/>
      <c r="X6646" s="4"/>
    </row>
    <row r="6647" spans="17:24" x14ac:dyDescent="0.3">
      <c r="Q6647" s="4"/>
      <c r="R6647" s="4"/>
      <c r="S6647" s="4"/>
      <c r="T6647" s="4"/>
      <c r="U6647" s="4"/>
      <c r="V6647" s="4"/>
      <c r="W6647" s="4"/>
      <c r="X6647" s="4"/>
    </row>
    <row r="6648" spans="17:24" x14ac:dyDescent="0.3">
      <c r="Q6648" s="4"/>
      <c r="R6648" s="4"/>
      <c r="S6648" s="4"/>
      <c r="T6648" s="4"/>
      <c r="U6648" s="4"/>
      <c r="V6648" s="4"/>
      <c r="W6648" s="4"/>
      <c r="X6648" s="4"/>
    </row>
    <row r="6649" spans="17:24" x14ac:dyDescent="0.3">
      <c r="Q6649" s="4"/>
      <c r="R6649" s="4"/>
      <c r="S6649" s="4"/>
      <c r="T6649" s="4"/>
      <c r="U6649" s="4"/>
      <c r="V6649" s="4"/>
      <c r="W6649" s="4"/>
      <c r="X6649" s="4"/>
    </row>
    <row r="6650" spans="17:24" x14ac:dyDescent="0.3">
      <c r="Q6650" s="4"/>
      <c r="R6650" s="4"/>
      <c r="S6650" s="4"/>
      <c r="T6650" s="4"/>
      <c r="U6650" s="4"/>
      <c r="V6650" s="4"/>
      <c r="W6650" s="4"/>
      <c r="X6650" s="4"/>
    </row>
    <row r="6651" spans="17:24" x14ac:dyDescent="0.3">
      <c r="Q6651" s="4"/>
      <c r="R6651" s="4"/>
      <c r="S6651" s="4"/>
      <c r="T6651" s="4"/>
      <c r="U6651" s="4"/>
      <c r="V6651" s="4"/>
      <c r="W6651" s="4"/>
      <c r="X6651" s="4"/>
    </row>
    <row r="6652" spans="17:24" x14ac:dyDescent="0.3">
      <c r="Q6652" s="4"/>
      <c r="R6652" s="4"/>
      <c r="S6652" s="4"/>
      <c r="T6652" s="4"/>
      <c r="U6652" s="4"/>
      <c r="V6652" s="4"/>
      <c r="W6652" s="4"/>
      <c r="X6652" s="4"/>
    </row>
    <row r="6653" spans="17:24" x14ac:dyDescent="0.3">
      <c r="Q6653" s="4"/>
      <c r="R6653" s="4"/>
      <c r="S6653" s="4"/>
      <c r="T6653" s="4"/>
      <c r="U6653" s="4"/>
      <c r="V6653" s="4"/>
      <c r="W6653" s="4"/>
      <c r="X6653" s="4"/>
    </row>
    <row r="6654" spans="17:24" x14ac:dyDescent="0.3">
      <c r="Q6654" s="4"/>
      <c r="R6654" s="4"/>
      <c r="S6654" s="4"/>
      <c r="T6654" s="4"/>
      <c r="U6654" s="4"/>
      <c r="V6654" s="4"/>
      <c r="W6654" s="4"/>
      <c r="X6654" s="4"/>
    </row>
    <row r="6655" spans="17:24" x14ac:dyDescent="0.3">
      <c r="Q6655" s="4"/>
      <c r="R6655" s="4"/>
      <c r="S6655" s="4"/>
      <c r="T6655" s="4"/>
      <c r="U6655" s="4"/>
      <c r="V6655" s="4"/>
      <c r="W6655" s="4"/>
      <c r="X6655" s="4"/>
    </row>
    <row r="6656" spans="17:24" x14ac:dyDescent="0.3">
      <c r="Q6656" s="4"/>
      <c r="R6656" s="4"/>
      <c r="S6656" s="4"/>
      <c r="T6656" s="4"/>
      <c r="U6656" s="4"/>
      <c r="V6656" s="4"/>
      <c r="W6656" s="4"/>
      <c r="X6656" s="4"/>
    </row>
    <row r="6657" spans="17:24" x14ac:dyDescent="0.3">
      <c r="Q6657" s="4"/>
      <c r="R6657" s="4"/>
      <c r="S6657" s="4"/>
      <c r="T6657" s="4"/>
      <c r="U6657" s="4"/>
      <c r="V6657" s="4"/>
      <c r="W6657" s="4"/>
      <c r="X6657" s="4"/>
    </row>
    <row r="6658" spans="17:24" x14ac:dyDescent="0.3">
      <c r="Q6658" s="4"/>
      <c r="R6658" s="4"/>
      <c r="S6658" s="4"/>
      <c r="T6658" s="4"/>
      <c r="U6658" s="4"/>
      <c r="V6658" s="4"/>
      <c r="W6658" s="4"/>
      <c r="X6658" s="4"/>
    </row>
    <row r="6659" spans="17:24" x14ac:dyDescent="0.3">
      <c r="Q6659" s="4"/>
      <c r="R6659" s="4"/>
      <c r="S6659" s="4"/>
      <c r="T6659" s="4"/>
      <c r="U6659" s="4"/>
      <c r="V6659" s="4"/>
      <c r="W6659" s="4"/>
      <c r="X6659" s="4"/>
    </row>
    <row r="6660" spans="17:24" x14ac:dyDescent="0.3">
      <c r="Q6660" s="4"/>
      <c r="R6660" s="4"/>
      <c r="S6660" s="4"/>
      <c r="T6660" s="4"/>
      <c r="U6660" s="4"/>
      <c r="V6660" s="4"/>
      <c r="W6660" s="4"/>
      <c r="X6660" s="4"/>
    </row>
    <row r="6661" spans="17:24" x14ac:dyDescent="0.3">
      <c r="Q6661" s="4"/>
      <c r="R6661" s="4"/>
      <c r="S6661" s="4"/>
      <c r="T6661" s="4"/>
      <c r="U6661" s="4"/>
      <c r="V6661" s="4"/>
      <c r="W6661" s="4"/>
      <c r="X6661" s="4"/>
    </row>
    <row r="6662" spans="17:24" x14ac:dyDescent="0.3">
      <c r="Q6662" s="4"/>
      <c r="R6662" s="4"/>
      <c r="S6662" s="4"/>
      <c r="T6662" s="4"/>
      <c r="U6662" s="4"/>
      <c r="V6662" s="4"/>
      <c r="W6662" s="4"/>
      <c r="X6662" s="4"/>
    </row>
    <row r="6663" spans="17:24" x14ac:dyDescent="0.3">
      <c r="Q6663" s="4"/>
      <c r="R6663" s="4"/>
      <c r="S6663" s="4"/>
      <c r="T6663" s="4"/>
      <c r="U6663" s="4"/>
      <c r="V6663" s="4"/>
      <c r="W6663" s="4"/>
      <c r="X6663" s="4"/>
    </row>
    <row r="6664" spans="17:24" x14ac:dyDescent="0.3">
      <c r="Q6664" s="4"/>
      <c r="R6664" s="4"/>
      <c r="S6664" s="4"/>
      <c r="T6664" s="4"/>
      <c r="U6664" s="4"/>
      <c r="V6664" s="4"/>
      <c r="W6664" s="4"/>
      <c r="X6664" s="4"/>
    </row>
    <row r="6665" spans="17:24" x14ac:dyDescent="0.3">
      <c r="Q6665" s="4"/>
      <c r="R6665" s="4"/>
      <c r="S6665" s="4"/>
      <c r="T6665" s="4"/>
      <c r="U6665" s="4"/>
      <c r="V6665" s="4"/>
      <c r="W6665" s="4"/>
      <c r="X6665" s="4"/>
    </row>
    <row r="6666" spans="17:24" x14ac:dyDescent="0.3">
      <c r="Q6666" s="4"/>
      <c r="R6666" s="4"/>
      <c r="S6666" s="4"/>
      <c r="T6666" s="4"/>
      <c r="U6666" s="4"/>
      <c r="V6666" s="4"/>
      <c r="W6666" s="4"/>
      <c r="X6666" s="4"/>
    </row>
    <row r="6667" spans="17:24" x14ac:dyDescent="0.3">
      <c r="Q6667" s="4"/>
      <c r="R6667" s="4"/>
      <c r="S6667" s="4"/>
      <c r="T6667" s="4"/>
      <c r="U6667" s="4"/>
      <c r="V6667" s="4"/>
      <c r="W6667" s="4"/>
      <c r="X6667" s="4"/>
    </row>
    <row r="6668" spans="17:24" x14ac:dyDescent="0.3">
      <c r="Q6668" s="4"/>
      <c r="R6668" s="4"/>
      <c r="S6668" s="4"/>
      <c r="T6668" s="4"/>
      <c r="U6668" s="4"/>
      <c r="V6668" s="4"/>
      <c r="W6668" s="4"/>
      <c r="X6668" s="4"/>
    </row>
    <row r="6669" spans="17:24" x14ac:dyDescent="0.3">
      <c r="Q6669" s="4"/>
      <c r="R6669" s="4"/>
      <c r="S6669" s="4"/>
      <c r="T6669" s="4"/>
      <c r="U6669" s="4"/>
      <c r="V6669" s="4"/>
      <c r="W6669" s="4"/>
      <c r="X6669" s="4"/>
    </row>
    <row r="6670" spans="17:24" x14ac:dyDescent="0.3">
      <c r="Q6670" s="4"/>
      <c r="R6670" s="4"/>
      <c r="S6670" s="4"/>
      <c r="T6670" s="4"/>
      <c r="U6670" s="4"/>
      <c r="V6670" s="4"/>
      <c r="W6670" s="4"/>
      <c r="X6670" s="4"/>
    </row>
    <row r="6671" spans="17:24" x14ac:dyDescent="0.3">
      <c r="Q6671" s="4"/>
      <c r="R6671" s="4"/>
      <c r="S6671" s="4"/>
      <c r="T6671" s="4"/>
      <c r="U6671" s="4"/>
      <c r="V6671" s="4"/>
      <c r="W6671" s="4"/>
      <c r="X6671" s="4"/>
    </row>
    <row r="6672" spans="17:24" x14ac:dyDescent="0.3">
      <c r="Q6672" s="4"/>
      <c r="R6672" s="4"/>
      <c r="S6672" s="4"/>
      <c r="T6672" s="4"/>
      <c r="U6672" s="4"/>
      <c r="V6672" s="4"/>
      <c r="W6672" s="4"/>
      <c r="X6672" s="4"/>
    </row>
    <row r="6673" spans="17:24" x14ac:dyDescent="0.3">
      <c r="Q6673" s="4"/>
      <c r="R6673" s="4"/>
      <c r="S6673" s="4"/>
      <c r="T6673" s="4"/>
      <c r="U6673" s="4"/>
      <c r="V6673" s="4"/>
      <c r="W6673" s="4"/>
      <c r="X6673" s="4"/>
    </row>
    <row r="6674" spans="17:24" x14ac:dyDescent="0.3">
      <c r="Q6674" s="4"/>
      <c r="R6674" s="4"/>
      <c r="S6674" s="4"/>
      <c r="T6674" s="4"/>
      <c r="U6674" s="4"/>
      <c r="V6674" s="4"/>
      <c r="W6674" s="4"/>
      <c r="X6674" s="4"/>
    </row>
    <row r="6675" spans="17:24" x14ac:dyDescent="0.3">
      <c r="Q6675" s="4"/>
      <c r="R6675" s="4"/>
      <c r="S6675" s="4"/>
      <c r="T6675" s="4"/>
      <c r="U6675" s="4"/>
      <c r="V6675" s="4"/>
      <c r="W6675" s="4"/>
      <c r="X6675" s="4"/>
    </row>
    <row r="6676" spans="17:24" x14ac:dyDescent="0.3">
      <c r="Q6676" s="4"/>
      <c r="R6676" s="4"/>
      <c r="S6676" s="4"/>
      <c r="T6676" s="4"/>
      <c r="U6676" s="4"/>
      <c r="V6676" s="4"/>
      <c r="W6676" s="4"/>
      <c r="X6676" s="4"/>
    </row>
    <row r="6677" spans="17:24" x14ac:dyDescent="0.3">
      <c r="Q6677" s="4"/>
      <c r="R6677" s="4"/>
      <c r="S6677" s="4"/>
      <c r="T6677" s="4"/>
      <c r="U6677" s="4"/>
      <c r="V6677" s="4"/>
      <c r="W6677" s="4"/>
      <c r="X6677" s="4"/>
    </row>
    <row r="6678" spans="17:24" x14ac:dyDescent="0.3">
      <c r="Q6678" s="4"/>
      <c r="R6678" s="4"/>
      <c r="S6678" s="4"/>
      <c r="T6678" s="4"/>
      <c r="U6678" s="4"/>
      <c r="V6678" s="4"/>
      <c r="W6678" s="4"/>
      <c r="X6678" s="4"/>
    </row>
    <row r="6679" spans="17:24" x14ac:dyDescent="0.3">
      <c r="Q6679" s="4"/>
      <c r="R6679" s="4"/>
      <c r="S6679" s="4"/>
      <c r="T6679" s="4"/>
      <c r="U6679" s="4"/>
      <c r="V6679" s="4"/>
      <c r="W6679" s="4"/>
      <c r="X6679" s="4"/>
    </row>
    <row r="6680" spans="17:24" x14ac:dyDescent="0.3">
      <c r="Q6680" s="4"/>
      <c r="R6680" s="4"/>
      <c r="S6680" s="4"/>
      <c r="T6680" s="4"/>
      <c r="U6680" s="4"/>
      <c r="V6680" s="4"/>
      <c r="W6680" s="4"/>
      <c r="X6680" s="4"/>
    </row>
    <row r="6681" spans="17:24" x14ac:dyDescent="0.3">
      <c r="Q6681" s="4"/>
      <c r="R6681" s="4"/>
      <c r="S6681" s="4"/>
      <c r="T6681" s="4"/>
      <c r="U6681" s="4"/>
      <c r="V6681" s="4"/>
      <c r="W6681" s="4"/>
      <c r="X6681" s="4"/>
    </row>
    <row r="6682" spans="17:24" x14ac:dyDescent="0.3">
      <c r="Q6682" s="4"/>
      <c r="R6682" s="4"/>
      <c r="S6682" s="4"/>
      <c r="T6682" s="4"/>
      <c r="U6682" s="4"/>
      <c r="V6682" s="4"/>
      <c r="W6682" s="4"/>
      <c r="X6682" s="4"/>
    </row>
    <row r="6683" spans="17:24" x14ac:dyDescent="0.3">
      <c r="Q6683" s="4"/>
      <c r="R6683" s="4"/>
      <c r="S6683" s="4"/>
      <c r="T6683" s="4"/>
      <c r="U6683" s="4"/>
      <c r="V6683" s="4"/>
      <c r="W6683" s="4"/>
      <c r="X6683" s="4"/>
    </row>
    <row r="6684" spans="17:24" x14ac:dyDescent="0.3">
      <c r="Q6684" s="4"/>
      <c r="R6684" s="4"/>
      <c r="S6684" s="4"/>
      <c r="T6684" s="4"/>
      <c r="U6684" s="4"/>
      <c r="V6684" s="4"/>
      <c r="W6684" s="4"/>
      <c r="X6684" s="4"/>
    </row>
    <row r="6685" spans="17:24" x14ac:dyDescent="0.3">
      <c r="Q6685" s="4"/>
      <c r="R6685" s="4"/>
      <c r="S6685" s="4"/>
      <c r="T6685" s="4"/>
      <c r="U6685" s="4"/>
      <c r="V6685" s="4"/>
      <c r="W6685" s="4"/>
      <c r="X6685" s="4"/>
    </row>
    <row r="6686" spans="17:24" x14ac:dyDescent="0.3">
      <c r="Q6686" s="4"/>
      <c r="R6686" s="4"/>
      <c r="S6686" s="4"/>
      <c r="T6686" s="4"/>
      <c r="U6686" s="4"/>
      <c r="V6686" s="4"/>
      <c r="W6686" s="4"/>
      <c r="X6686" s="4"/>
    </row>
    <row r="6687" spans="17:24" x14ac:dyDescent="0.3">
      <c r="Q6687" s="4"/>
      <c r="R6687" s="4"/>
      <c r="S6687" s="4"/>
      <c r="T6687" s="4"/>
      <c r="U6687" s="4"/>
      <c r="V6687" s="4"/>
      <c r="W6687" s="4"/>
      <c r="X6687" s="4"/>
    </row>
    <row r="6688" spans="17:24" x14ac:dyDescent="0.3">
      <c r="Q6688" s="4"/>
      <c r="R6688" s="4"/>
      <c r="S6688" s="4"/>
      <c r="T6688" s="4"/>
      <c r="U6688" s="4"/>
      <c r="V6688" s="4"/>
      <c r="W6688" s="4"/>
      <c r="X6688" s="4"/>
    </row>
    <row r="6689" spans="17:24" x14ac:dyDescent="0.3">
      <c r="Q6689" s="4"/>
      <c r="R6689" s="4"/>
      <c r="S6689" s="4"/>
      <c r="T6689" s="4"/>
      <c r="U6689" s="4"/>
      <c r="V6689" s="4"/>
      <c r="W6689" s="4"/>
      <c r="X6689" s="4"/>
    </row>
    <row r="6690" spans="17:24" x14ac:dyDescent="0.3">
      <c r="Q6690" s="4"/>
      <c r="R6690" s="4"/>
      <c r="S6690" s="4"/>
      <c r="T6690" s="4"/>
      <c r="U6690" s="4"/>
      <c r="V6690" s="4"/>
      <c r="W6690" s="4"/>
      <c r="X6690" s="4"/>
    </row>
    <row r="6691" spans="17:24" x14ac:dyDescent="0.3">
      <c r="Q6691" s="4"/>
      <c r="R6691" s="4"/>
      <c r="S6691" s="4"/>
      <c r="T6691" s="4"/>
      <c r="U6691" s="4"/>
      <c r="V6691" s="4"/>
      <c r="W6691" s="4"/>
      <c r="X6691" s="4"/>
    </row>
    <row r="6692" spans="17:24" x14ac:dyDescent="0.3">
      <c r="Q6692" s="4"/>
      <c r="R6692" s="4"/>
      <c r="S6692" s="4"/>
      <c r="T6692" s="4"/>
      <c r="U6692" s="4"/>
      <c r="V6692" s="4"/>
      <c r="W6692" s="4"/>
      <c r="X6692" s="4"/>
    </row>
    <row r="6693" spans="17:24" x14ac:dyDescent="0.3">
      <c r="Q6693" s="4"/>
      <c r="R6693" s="4"/>
      <c r="S6693" s="4"/>
      <c r="T6693" s="4"/>
      <c r="U6693" s="4"/>
      <c r="V6693" s="4"/>
      <c r="W6693" s="4"/>
      <c r="X6693" s="4"/>
    </row>
    <row r="6694" spans="17:24" x14ac:dyDescent="0.3">
      <c r="Q6694" s="4"/>
      <c r="R6694" s="4"/>
      <c r="S6694" s="4"/>
      <c r="T6694" s="4"/>
      <c r="U6694" s="4"/>
      <c r="V6694" s="4"/>
      <c r="W6694" s="4"/>
      <c r="X6694" s="4"/>
    </row>
    <row r="6695" spans="17:24" x14ac:dyDescent="0.3">
      <c r="Q6695" s="4"/>
      <c r="R6695" s="4"/>
      <c r="S6695" s="4"/>
      <c r="T6695" s="4"/>
      <c r="U6695" s="4"/>
      <c r="V6695" s="4"/>
      <c r="W6695" s="4"/>
      <c r="X6695" s="4"/>
    </row>
    <row r="6696" spans="17:24" x14ac:dyDescent="0.3">
      <c r="Q6696" s="4"/>
      <c r="R6696" s="4"/>
      <c r="S6696" s="4"/>
      <c r="T6696" s="4"/>
      <c r="U6696" s="4"/>
      <c r="V6696" s="4"/>
      <c r="W6696" s="4"/>
      <c r="X6696" s="4"/>
    </row>
    <row r="6697" spans="17:24" x14ac:dyDescent="0.3">
      <c r="Q6697" s="4"/>
      <c r="R6697" s="4"/>
      <c r="S6697" s="4"/>
      <c r="T6697" s="4"/>
      <c r="U6697" s="4"/>
      <c r="V6697" s="4"/>
      <c r="W6697" s="4"/>
      <c r="X6697" s="4"/>
    </row>
    <row r="6698" spans="17:24" x14ac:dyDescent="0.3">
      <c r="Q6698" s="4"/>
      <c r="R6698" s="4"/>
      <c r="S6698" s="4"/>
      <c r="T6698" s="4"/>
      <c r="U6698" s="4"/>
      <c r="V6698" s="4"/>
      <c r="W6698" s="4"/>
      <c r="X6698" s="4"/>
    </row>
    <row r="6699" spans="17:24" x14ac:dyDescent="0.3">
      <c r="Q6699" s="4"/>
      <c r="R6699" s="4"/>
      <c r="S6699" s="4"/>
      <c r="T6699" s="4"/>
      <c r="U6699" s="4"/>
      <c r="V6699" s="4"/>
      <c r="W6699" s="4"/>
      <c r="X6699" s="4"/>
    </row>
    <row r="6700" spans="17:24" x14ac:dyDescent="0.3">
      <c r="Q6700" s="4"/>
      <c r="R6700" s="4"/>
      <c r="S6700" s="4"/>
      <c r="T6700" s="4"/>
      <c r="U6700" s="4"/>
      <c r="V6700" s="4"/>
      <c r="W6700" s="4"/>
      <c r="X6700" s="4"/>
    </row>
    <row r="6701" spans="17:24" x14ac:dyDescent="0.3">
      <c r="Q6701" s="4"/>
      <c r="R6701" s="4"/>
      <c r="S6701" s="4"/>
      <c r="T6701" s="4"/>
      <c r="U6701" s="4"/>
      <c r="V6701" s="4"/>
      <c r="W6701" s="4"/>
      <c r="X6701" s="4"/>
    </row>
    <row r="6702" spans="17:24" x14ac:dyDescent="0.3">
      <c r="Q6702" s="4"/>
      <c r="R6702" s="4"/>
      <c r="S6702" s="4"/>
      <c r="T6702" s="4"/>
      <c r="U6702" s="4"/>
      <c r="V6702" s="4"/>
      <c r="W6702" s="4"/>
      <c r="X6702" s="4"/>
    </row>
    <row r="6703" spans="17:24" x14ac:dyDescent="0.3">
      <c r="Q6703" s="4"/>
      <c r="R6703" s="4"/>
      <c r="S6703" s="4"/>
      <c r="T6703" s="4"/>
      <c r="U6703" s="4"/>
      <c r="V6703" s="4"/>
      <c r="W6703" s="4"/>
      <c r="X6703" s="4"/>
    </row>
    <row r="6704" spans="17:24" x14ac:dyDescent="0.3">
      <c r="Q6704" s="4"/>
      <c r="R6704" s="4"/>
      <c r="S6704" s="4"/>
      <c r="T6704" s="4"/>
      <c r="U6704" s="4"/>
      <c r="V6704" s="4"/>
      <c r="W6704" s="4"/>
      <c r="X6704" s="4"/>
    </row>
    <row r="6705" spans="17:24" x14ac:dyDescent="0.3">
      <c r="Q6705" s="4"/>
      <c r="R6705" s="4"/>
      <c r="S6705" s="4"/>
      <c r="T6705" s="4"/>
      <c r="U6705" s="4"/>
      <c r="V6705" s="4"/>
      <c r="W6705" s="4"/>
      <c r="X6705" s="4"/>
    </row>
    <row r="6706" spans="17:24" x14ac:dyDescent="0.3">
      <c r="Q6706" s="4"/>
      <c r="R6706" s="4"/>
      <c r="S6706" s="4"/>
      <c r="T6706" s="4"/>
      <c r="U6706" s="4"/>
      <c r="V6706" s="4"/>
      <c r="W6706" s="4"/>
      <c r="X6706" s="4"/>
    </row>
    <row r="6707" spans="17:24" x14ac:dyDescent="0.3">
      <c r="Q6707" s="4"/>
      <c r="R6707" s="4"/>
      <c r="S6707" s="4"/>
      <c r="T6707" s="4"/>
      <c r="U6707" s="4"/>
      <c r="V6707" s="4"/>
      <c r="W6707" s="4"/>
      <c r="X6707" s="4"/>
    </row>
    <row r="6708" spans="17:24" x14ac:dyDescent="0.3">
      <c r="Q6708" s="4"/>
      <c r="R6708" s="4"/>
      <c r="S6708" s="4"/>
      <c r="T6708" s="4"/>
      <c r="U6708" s="4"/>
      <c r="V6708" s="4"/>
      <c r="W6708" s="4"/>
      <c r="X6708" s="4"/>
    </row>
    <row r="6709" spans="17:24" x14ac:dyDescent="0.3">
      <c r="Q6709" s="4"/>
      <c r="R6709" s="4"/>
      <c r="S6709" s="4"/>
      <c r="T6709" s="4"/>
      <c r="U6709" s="4"/>
      <c r="V6709" s="4"/>
      <c r="W6709" s="4"/>
      <c r="X6709" s="4"/>
    </row>
    <row r="6710" spans="17:24" x14ac:dyDescent="0.3">
      <c r="Q6710" s="4"/>
      <c r="R6710" s="4"/>
      <c r="S6710" s="4"/>
      <c r="T6710" s="4"/>
      <c r="U6710" s="4"/>
      <c r="V6710" s="4"/>
      <c r="W6710" s="4"/>
      <c r="X6710" s="4"/>
    </row>
    <row r="6711" spans="17:24" x14ac:dyDescent="0.3">
      <c r="Q6711" s="4"/>
      <c r="R6711" s="4"/>
      <c r="S6711" s="4"/>
      <c r="T6711" s="4"/>
      <c r="U6711" s="4"/>
      <c r="V6711" s="4"/>
      <c r="W6711" s="4"/>
      <c r="X6711" s="4"/>
    </row>
    <row r="6712" spans="17:24" x14ac:dyDescent="0.3">
      <c r="Q6712" s="4"/>
      <c r="R6712" s="4"/>
      <c r="S6712" s="4"/>
      <c r="T6712" s="4"/>
      <c r="U6712" s="4"/>
      <c r="V6712" s="4"/>
      <c r="W6712" s="4"/>
      <c r="X6712" s="4"/>
    </row>
    <row r="6713" spans="17:24" x14ac:dyDescent="0.3">
      <c r="Q6713" s="4"/>
      <c r="R6713" s="4"/>
      <c r="S6713" s="4"/>
      <c r="T6713" s="4"/>
      <c r="U6713" s="4"/>
      <c r="V6713" s="4"/>
      <c r="W6713" s="4"/>
      <c r="X6713" s="4"/>
    </row>
    <row r="6714" spans="17:24" x14ac:dyDescent="0.3">
      <c r="Q6714" s="4"/>
      <c r="R6714" s="4"/>
      <c r="S6714" s="4"/>
      <c r="T6714" s="4"/>
      <c r="U6714" s="4"/>
      <c r="V6714" s="4"/>
      <c r="W6714" s="4"/>
      <c r="X6714" s="4"/>
    </row>
    <row r="6715" spans="17:24" x14ac:dyDescent="0.3">
      <c r="Q6715" s="4"/>
      <c r="R6715" s="4"/>
      <c r="S6715" s="4"/>
      <c r="T6715" s="4"/>
      <c r="U6715" s="4"/>
      <c r="V6715" s="4"/>
      <c r="W6715" s="4"/>
      <c r="X6715" s="4"/>
    </row>
    <row r="6716" spans="17:24" x14ac:dyDescent="0.3">
      <c r="Q6716" s="4"/>
      <c r="R6716" s="4"/>
      <c r="S6716" s="4"/>
      <c r="T6716" s="4"/>
      <c r="U6716" s="4"/>
      <c r="V6716" s="4"/>
      <c r="W6716" s="4"/>
      <c r="X6716" s="4"/>
    </row>
    <row r="6717" spans="17:24" x14ac:dyDescent="0.3">
      <c r="Q6717" s="4"/>
      <c r="R6717" s="4"/>
      <c r="S6717" s="4"/>
      <c r="T6717" s="4"/>
      <c r="U6717" s="4"/>
      <c r="V6717" s="4"/>
      <c r="W6717" s="4"/>
      <c r="X6717" s="4"/>
    </row>
    <row r="6718" spans="17:24" x14ac:dyDescent="0.3">
      <c r="Q6718" s="4"/>
      <c r="R6718" s="4"/>
      <c r="S6718" s="4"/>
      <c r="T6718" s="4"/>
      <c r="U6718" s="4"/>
      <c r="V6718" s="4"/>
      <c r="W6718" s="4"/>
      <c r="X6718" s="4"/>
    </row>
    <row r="6719" spans="17:24" x14ac:dyDescent="0.3">
      <c r="Q6719" s="4"/>
      <c r="R6719" s="4"/>
      <c r="S6719" s="4"/>
      <c r="T6719" s="4"/>
      <c r="U6719" s="4"/>
      <c r="V6719" s="4"/>
      <c r="W6719" s="4"/>
      <c r="X6719" s="4"/>
    </row>
    <row r="6720" spans="17:24" x14ac:dyDescent="0.3">
      <c r="Q6720" s="4"/>
      <c r="R6720" s="4"/>
      <c r="S6720" s="4"/>
      <c r="T6720" s="4"/>
      <c r="U6720" s="4"/>
      <c r="V6720" s="4"/>
      <c r="W6720" s="4"/>
      <c r="X6720" s="4"/>
    </row>
    <row r="6721" spans="17:24" x14ac:dyDescent="0.3">
      <c r="Q6721" s="4"/>
      <c r="R6721" s="4"/>
      <c r="S6721" s="4"/>
      <c r="T6721" s="4"/>
      <c r="U6721" s="4"/>
      <c r="V6721" s="4"/>
      <c r="W6721" s="4"/>
      <c r="X6721" s="4"/>
    </row>
    <row r="6722" spans="17:24" x14ac:dyDescent="0.3">
      <c r="Q6722" s="4"/>
      <c r="R6722" s="4"/>
      <c r="S6722" s="4"/>
      <c r="T6722" s="4"/>
      <c r="U6722" s="4"/>
      <c r="V6722" s="4"/>
      <c r="W6722" s="4"/>
      <c r="X6722" s="4"/>
    </row>
    <row r="6723" spans="17:24" x14ac:dyDescent="0.3">
      <c r="Q6723" s="4"/>
      <c r="R6723" s="4"/>
      <c r="S6723" s="4"/>
      <c r="T6723" s="4"/>
      <c r="U6723" s="4"/>
      <c r="V6723" s="4"/>
      <c r="W6723" s="4"/>
      <c r="X6723" s="4"/>
    </row>
    <row r="6724" spans="17:24" x14ac:dyDescent="0.3">
      <c r="Q6724" s="4"/>
      <c r="R6724" s="4"/>
      <c r="S6724" s="4"/>
      <c r="T6724" s="4"/>
      <c r="U6724" s="4"/>
      <c r="V6724" s="4"/>
      <c r="W6724" s="4"/>
      <c r="X6724" s="4"/>
    </row>
    <row r="6725" spans="17:24" x14ac:dyDescent="0.3">
      <c r="Q6725" s="4"/>
      <c r="R6725" s="4"/>
      <c r="S6725" s="4"/>
      <c r="T6725" s="4"/>
      <c r="U6725" s="4"/>
      <c r="V6725" s="4"/>
      <c r="W6725" s="4"/>
      <c r="X6725" s="4"/>
    </row>
    <row r="6726" spans="17:24" x14ac:dyDescent="0.3">
      <c r="Q6726" s="4"/>
      <c r="R6726" s="4"/>
      <c r="S6726" s="4"/>
      <c r="T6726" s="4"/>
      <c r="U6726" s="4"/>
      <c r="V6726" s="4"/>
      <c r="W6726" s="4"/>
      <c r="X6726" s="4"/>
    </row>
    <row r="6727" spans="17:24" x14ac:dyDescent="0.3">
      <c r="Q6727" s="4"/>
      <c r="R6727" s="4"/>
      <c r="S6727" s="4"/>
      <c r="T6727" s="4"/>
      <c r="U6727" s="4"/>
      <c r="V6727" s="4"/>
      <c r="W6727" s="4"/>
      <c r="X6727" s="4"/>
    </row>
    <row r="6728" spans="17:24" x14ac:dyDescent="0.3">
      <c r="Q6728" s="4"/>
      <c r="R6728" s="4"/>
      <c r="S6728" s="4"/>
      <c r="T6728" s="4"/>
      <c r="U6728" s="4"/>
      <c r="V6728" s="4"/>
      <c r="W6728" s="4"/>
      <c r="X6728" s="4"/>
    </row>
    <row r="6729" spans="17:24" x14ac:dyDescent="0.3">
      <c r="Q6729" s="4"/>
      <c r="R6729" s="4"/>
      <c r="S6729" s="4"/>
      <c r="T6729" s="4"/>
      <c r="U6729" s="4"/>
      <c r="V6729" s="4"/>
      <c r="W6729" s="4"/>
      <c r="X6729" s="4"/>
    </row>
    <row r="6730" spans="17:24" x14ac:dyDescent="0.3">
      <c r="Q6730" s="4"/>
      <c r="R6730" s="4"/>
      <c r="S6730" s="4"/>
      <c r="T6730" s="4"/>
      <c r="U6730" s="4"/>
      <c r="V6730" s="4"/>
      <c r="W6730" s="4"/>
      <c r="X6730" s="4"/>
    </row>
    <row r="6731" spans="17:24" x14ac:dyDescent="0.3">
      <c r="Q6731" s="4"/>
      <c r="R6731" s="4"/>
      <c r="S6731" s="4"/>
      <c r="T6731" s="4"/>
      <c r="U6731" s="4"/>
      <c r="V6731" s="4"/>
      <c r="W6731" s="4"/>
      <c r="X6731" s="4"/>
    </row>
    <row r="6732" spans="17:24" x14ac:dyDescent="0.3">
      <c r="Q6732" s="4"/>
      <c r="R6732" s="4"/>
      <c r="S6732" s="4"/>
      <c r="T6732" s="4"/>
      <c r="U6732" s="4"/>
      <c r="V6732" s="4"/>
      <c r="W6732" s="4"/>
      <c r="X6732" s="4"/>
    </row>
    <row r="6733" spans="17:24" x14ac:dyDescent="0.3">
      <c r="Q6733" s="4"/>
      <c r="R6733" s="4"/>
      <c r="S6733" s="4"/>
      <c r="T6733" s="4"/>
      <c r="U6733" s="4"/>
      <c r="V6733" s="4"/>
      <c r="W6733" s="4"/>
      <c r="X6733" s="4"/>
    </row>
    <row r="6734" spans="17:24" x14ac:dyDescent="0.3">
      <c r="Q6734" s="4"/>
      <c r="R6734" s="4"/>
      <c r="S6734" s="4"/>
      <c r="T6734" s="4"/>
      <c r="U6734" s="4"/>
      <c r="V6734" s="4"/>
      <c r="W6734" s="4"/>
      <c r="X6734" s="4"/>
    </row>
    <row r="6735" spans="17:24" x14ac:dyDescent="0.3">
      <c r="Q6735" s="4"/>
      <c r="R6735" s="4"/>
      <c r="S6735" s="4"/>
      <c r="T6735" s="4"/>
      <c r="U6735" s="4"/>
      <c r="V6735" s="4"/>
      <c r="W6735" s="4"/>
      <c r="X6735" s="4"/>
    </row>
    <row r="6736" spans="17:24" x14ac:dyDescent="0.3">
      <c r="Q6736" s="4"/>
      <c r="R6736" s="4"/>
      <c r="S6736" s="4"/>
      <c r="T6736" s="4"/>
      <c r="U6736" s="4"/>
      <c r="V6736" s="4"/>
      <c r="W6736" s="4"/>
      <c r="X6736" s="4"/>
    </row>
    <row r="6737" spans="17:24" x14ac:dyDescent="0.3">
      <c r="Q6737" s="4"/>
      <c r="R6737" s="4"/>
      <c r="S6737" s="4"/>
      <c r="T6737" s="4"/>
      <c r="U6737" s="4"/>
      <c r="V6737" s="4"/>
      <c r="W6737" s="4"/>
      <c r="X6737" s="4"/>
    </row>
    <row r="6738" spans="17:24" x14ac:dyDescent="0.3">
      <c r="Q6738" s="4"/>
      <c r="R6738" s="4"/>
      <c r="S6738" s="4"/>
      <c r="T6738" s="4"/>
      <c r="U6738" s="4"/>
      <c r="V6738" s="4"/>
      <c r="W6738" s="4"/>
      <c r="X6738" s="4"/>
    </row>
    <row r="6739" spans="17:24" x14ac:dyDescent="0.3">
      <c r="Q6739" s="4"/>
      <c r="R6739" s="4"/>
      <c r="S6739" s="4"/>
      <c r="T6739" s="4"/>
      <c r="U6739" s="4"/>
      <c r="V6739" s="4"/>
      <c r="W6739" s="4"/>
      <c r="X6739" s="4"/>
    </row>
    <row r="6740" spans="17:24" x14ac:dyDescent="0.3">
      <c r="Q6740" s="4"/>
      <c r="R6740" s="4"/>
      <c r="S6740" s="4"/>
      <c r="T6740" s="4"/>
      <c r="U6740" s="4"/>
      <c r="V6740" s="4"/>
      <c r="W6740" s="4"/>
      <c r="X6740" s="4"/>
    </row>
    <row r="6741" spans="17:24" x14ac:dyDescent="0.3">
      <c r="Q6741" s="4"/>
      <c r="R6741" s="4"/>
      <c r="S6741" s="4"/>
      <c r="T6741" s="4"/>
      <c r="U6741" s="4"/>
      <c r="V6741" s="4"/>
      <c r="W6741" s="4"/>
      <c r="X6741" s="4"/>
    </row>
    <row r="6742" spans="17:24" x14ac:dyDescent="0.3">
      <c r="Q6742" s="4"/>
      <c r="R6742" s="4"/>
      <c r="S6742" s="4"/>
      <c r="T6742" s="4"/>
      <c r="U6742" s="4"/>
      <c r="V6742" s="4"/>
      <c r="W6742" s="4"/>
      <c r="X6742" s="4"/>
    </row>
    <row r="6743" spans="17:24" x14ac:dyDescent="0.3">
      <c r="Q6743" s="4"/>
      <c r="R6743" s="4"/>
      <c r="S6743" s="4"/>
      <c r="T6743" s="4"/>
      <c r="U6743" s="4"/>
      <c r="V6743" s="4"/>
      <c r="W6743" s="4"/>
      <c r="X6743" s="4"/>
    </row>
    <row r="6744" spans="17:24" x14ac:dyDescent="0.3">
      <c r="Q6744" s="4"/>
      <c r="R6744" s="4"/>
      <c r="S6744" s="4"/>
      <c r="T6744" s="4"/>
      <c r="U6744" s="4"/>
      <c r="V6744" s="4"/>
      <c r="W6744" s="4"/>
      <c r="X6744" s="4"/>
    </row>
    <row r="6745" spans="17:24" x14ac:dyDescent="0.3">
      <c r="Q6745" s="4"/>
      <c r="R6745" s="4"/>
      <c r="S6745" s="4"/>
      <c r="T6745" s="4"/>
      <c r="U6745" s="4"/>
      <c r="V6745" s="4"/>
      <c r="W6745" s="4"/>
      <c r="X6745" s="4"/>
    </row>
    <row r="6746" spans="17:24" x14ac:dyDescent="0.3">
      <c r="Q6746" s="4"/>
      <c r="R6746" s="4"/>
      <c r="S6746" s="4"/>
      <c r="T6746" s="4"/>
      <c r="U6746" s="4"/>
      <c r="V6746" s="4"/>
      <c r="W6746" s="4"/>
      <c r="X6746" s="4"/>
    </row>
    <row r="6747" spans="17:24" x14ac:dyDescent="0.3">
      <c r="Q6747" s="4"/>
      <c r="R6747" s="4"/>
      <c r="S6747" s="4"/>
      <c r="T6747" s="4"/>
      <c r="U6747" s="4"/>
      <c r="V6747" s="4"/>
      <c r="W6747" s="4"/>
      <c r="X6747" s="4"/>
    </row>
    <row r="6748" spans="17:24" x14ac:dyDescent="0.3">
      <c r="Q6748" s="4"/>
      <c r="R6748" s="4"/>
      <c r="S6748" s="4"/>
      <c r="T6748" s="4"/>
      <c r="U6748" s="4"/>
      <c r="V6748" s="4"/>
      <c r="W6748" s="4"/>
      <c r="X6748" s="4"/>
    </row>
    <row r="6749" spans="17:24" x14ac:dyDescent="0.3">
      <c r="Q6749" s="4"/>
      <c r="R6749" s="4"/>
      <c r="S6749" s="4"/>
      <c r="T6749" s="4"/>
      <c r="U6749" s="4"/>
      <c r="V6749" s="4"/>
      <c r="W6749" s="4"/>
      <c r="X6749" s="4"/>
    </row>
    <row r="6750" spans="17:24" x14ac:dyDescent="0.3">
      <c r="Q6750" s="4"/>
      <c r="R6750" s="4"/>
      <c r="S6750" s="4"/>
      <c r="T6750" s="4"/>
      <c r="U6750" s="4"/>
      <c r="V6750" s="4"/>
      <c r="W6750" s="4"/>
      <c r="X6750" s="4"/>
    </row>
    <row r="6751" spans="17:24" x14ac:dyDescent="0.3">
      <c r="Q6751" s="4"/>
      <c r="R6751" s="4"/>
      <c r="S6751" s="4"/>
      <c r="T6751" s="4"/>
      <c r="U6751" s="4"/>
      <c r="V6751" s="4"/>
      <c r="W6751" s="4"/>
      <c r="X6751" s="4"/>
    </row>
    <row r="6752" spans="17:24" x14ac:dyDescent="0.3">
      <c r="Q6752" s="4"/>
      <c r="R6752" s="4"/>
      <c r="S6752" s="4"/>
      <c r="T6752" s="4"/>
      <c r="U6752" s="4"/>
      <c r="V6752" s="4"/>
      <c r="W6752" s="4"/>
      <c r="X6752" s="4"/>
    </row>
    <row r="6753" spans="17:24" x14ac:dyDescent="0.3">
      <c r="Q6753" s="4"/>
      <c r="R6753" s="4"/>
      <c r="S6753" s="4"/>
      <c r="T6753" s="4"/>
      <c r="U6753" s="4"/>
      <c r="V6753" s="4"/>
      <c r="W6753" s="4"/>
      <c r="X6753" s="4"/>
    </row>
    <row r="6754" spans="17:24" x14ac:dyDescent="0.3">
      <c r="Q6754" s="4"/>
      <c r="R6754" s="4"/>
      <c r="S6754" s="4"/>
      <c r="T6754" s="4"/>
      <c r="U6754" s="4"/>
      <c r="V6754" s="4"/>
      <c r="W6754" s="4"/>
      <c r="X6754" s="4"/>
    </row>
    <row r="6755" spans="17:24" x14ac:dyDescent="0.3">
      <c r="Q6755" s="4"/>
      <c r="R6755" s="4"/>
      <c r="S6755" s="4"/>
      <c r="T6755" s="4"/>
      <c r="U6755" s="4"/>
      <c r="V6755" s="4"/>
      <c r="W6755" s="4"/>
      <c r="X6755" s="4"/>
    </row>
    <row r="6756" spans="17:24" x14ac:dyDescent="0.3">
      <c r="Q6756" s="4"/>
      <c r="R6756" s="4"/>
      <c r="S6756" s="4"/>
      <c r="T6756" s="4"/>
      <c r="U6756" s="4"/>
      <c r="V6756" s="4"/>
      <c r="W6756" s="4"/>
      <c r="X6756" s="4"/>
    </row>
    <row r="6757" spans="17:24" x14ac:dyDescent="0.3">
      <c r="Q6757" s="4"/>
      <c r="R6757" s="4"/>
      <c r="S6757" s="4"/>
      <c r="T6757" s="4"/>
      <c r="U6757" s="4"/>
      <c r="V6757" s="4"/>
      <c r="W6757" s="4"/>
      <c r="X6757" s="4"/>
    </row>
    <row r="6758" spans="17:24" x14ac:dyDescent="0.3">
      <c r="Q6758" s="4"/>
      <c r="R6758" s="4"/>
      <c r="S6758" s="4"/>
      <c r="T6758" s="4"/>
      <c r="U6758" s="4"/>
      <c r="V6758" s="4"/>
      <c r="W6758" s="4"/>
      <c r="X6758" s="4"/>
    </row>
    <row r="6759" spans="17:24" x14ac:dyDescent="0.3">
      <c r="Q6759" s="4"/>
      <c r="R6759" s="4"/>
      <c r="S6759" s="4"/>
      <c r="T6759" s="4"/>
      <c r="U6759" s="4"/>
      <c r="V6759" s="4"/>
      <c r="W6759" s="4"/>
      <c r="X6759" s="4"/>
    </row>
    <row r="6760" spans="17:24" x14ac:dyDescent="0.3">
      <c r="Q6760" s="4"/>
      <c r="R6760" s="4"/>
      <c r="S6760" s="4"/>
      <c r="T6760" s="4"/>
      <c r="U6760" s="4"/>
      <c r="V6760" s="4"/>
      <c r="W6760" s="4"/>
      <c r="X6760" s="4"/>
    </row>
    <row r="6761" spans="17:24" x14ac:dyDescent="0.3">
      <c r="Q6761" s="4"/>
      <c r="R6761" s="4"/>
      <c r="S6761" s="4"/>
      <c r="T6761" s="4"/>
      <c r="U6761" s="4"/>
      <c r="V6761" s="4"/>
      <c r="W6761" s="4"/>
      <c r="X6761" s="4"/>
    </row>
    <row r="6762" spans="17:24" x14ac:dyDescent="0.3">
      <c r="Q6762" s="4"/>
      <c r="R6762" s="4"/>
      <c r="S6762" s="4"/>
      <c r="T6762" s="4"/>
      <c r="U6762" s="4"/>
      <c r="V6762" s="4"/>
      <c r="W6762" s="4"/>
      <c r="X6762" s="4"/>
    </row>
    <row r="6763" spans="17:24" x14ac:dyDescent="0.3">
      <c r="Q6763" s="4"/>
      <c r="R6763" s="4"/>
      <c r="S6763" s="4"/>
      <c r="T6763" s="4"/>
      <c r="U6763" s="4"/>
      <c r="V6763" s="4"/>
      <c r="W6763" s="4"/>
      <c r="X6763" s="4"/>
    </row>
    <row r="6764" spans="17:24" x14ac:dyDescent="0.3">
      <c r="Q6764" s="4"/>
      <c r="R6764" s="4"/>
      <c r="S6764" s="4"/>
      <c r="T6764" s="4"/>
      <c r="U6764" s="4"/>
      <c r="V6764" s="4"/>
      <c r="W6764" s="4"/>
      <c r="X6764" s="4"/>
    </row>
    <row r="6765" spans="17:24" x14ac:dyDescent="0.3">
      <c r="Q6765" s="4"/>
      <c r="R6765" s="4"/>
      <c r="S6765" s="4"/>
      <c r="T6765" s="4"/>
      <c r="U6765" s="4"/>
      <c r="V6765" s="4"/>
      <c r="W6765" s="4"/>
      <c r="X6765" s="4"/>
    </row>
    <row r="6766" spans="17:24" x14ac:dyDescent="0.3">
      <c r="Q6766" s="4"/>
      <c r="R6766" s="4"/>
      <c r="S6766" s="4"/>
      <c r="T6766" s="4"/>
      <c r="U6766" s="4"/>
      <c r="V6766" s="4"/>
      <c r="W6766" s="4"/>
      <c r="X6766" s="4"/>
    </row>
    <row r="6767" spans="17:24" x14ac:dyDescent="0.3">
      <c r="Q6767" s="4"/>
      <c r="R6767" s="4"/>
      <c r="S6767" s="4"/>
      <c r="T6767" s="4"/>
      <c r="U6767" s="4"/>
      <c r="V6767" s="4"/>
      <c r="W6767" s="4"/>
      <c r="X6767" s="4"/>
    </row>
    <row r="6768" spans="17:24" x14ac:dyDescent="0.3">
      <c r="Q6768" s="4"/>
      <c r="R6768" s="4"/>
      <c r="S6768" s="4"/>
      <c r="T6768" s="4"/>
      <c r="U6768" s="4"/>
      <c r="V6768" s="4"/>
      <c r="W6768" s="4"/>
      <c r="X6768" s="4"/>
    </row>
    <row r="6769" spans="17:24" x14ac:dyDescent="0.3">
      <c r="Q6769" s="4"/>
      <c r="R6769" s="4"/>
      <c r="S6769" s="4"/>
      <c r="T6769" s="4"/>
      <c r="U6769" s="4"/>
      <c r="V6769" s="4"/>
      <c r="W6769" s="4"/>
      <c r="X6769" s="4"/>
    </row>
    <row r="6770" spans="17:24" x14ac:dyDescent="0.3">
      <c r="Q6770" s="4"/>
      <c r="R6770" s="4"/>
      <c r="S6770" s="4"/>
      <c r="T6770" s="4"/>
      <c r="U6770" s="4"/>
      <c r="V6770" s="4"/>
      <c r="W6770" s="4"/>
      <c r="X6770" s="4"/>
    </row>
    <row r="6771" spans="17:24" x14ac:dyDescent="0.3">
      <c r="Q6771" s="4"/>
      <c r="R6771" s="4"/>
      <c r="S6771" s="4"/>
      <c r="T6771" s="4"/>
      <c r="U6771" s="4"/>
      <c r="V6771" s="4"/>
      <c r="W6771" s="4"/>
      <c r="X6771" s="4"/>
    </row>
    <row r="6772" spans="17:24" x14ac:dyDescent="0.3">
      <c r="Q6772" s="4"/>
      <c r="R6772" s="4"/>
      <c r="S6772" s="4"/>
      <c r="T6772" s="4"/>
      <c r="U6772" s="4"/>
      <c r="V6772" s="4"/>
      <c r="W6772" s="4"/>
      <c r="X6772" s="4"/>
    </row>
    <row r="6773" spans="17:24" x14ac:dyDescent="0.3">
      <c r="Q6773" s="4"/>
      <c r="R6773" s="4"/>
      <c r="S6773" s="4"/>
      <c r="T6773" s="4"/>
      <c r="U6773" s="4"/>
      <c r="V6773" s="4"/>
      <c r="W6773" s="4"/>
      <c r="X6773" s="4"/>
    </row>
    <row r="6774" spans="17:24" x14ac:dyDescent="0.3">
      <c r="Q6774" s="4"/>
      <c r="R6774" s="4"/>
      <c r="S6774" s="4"/>
      <c r="T6774" s="4"/>
      <c r="U6774" s="4"/>
      <c r="V6774" s="4"/>
      <c r="W6774" s="4"/>
      <c r="X6774" s="4"/>
    </row>
    <row r="6775" spans="17:24" x14ac:dyDescent="0.3">
      <c r="Q6775" s="4"/>
      <c r="R6775" s="4"/>
      <c r="S6775" s="4"/>
      <c r="T6775" s="4"/>
      <c r="U6775" s="4"/>
      <c r="V6775" s="4"/>
      <c r="W6775" s="4"/>
      <c r="X6775" s="4"/>
    </row>
    <row r="6776" spans="17:24" x14ac:dyDescent="0.3">
      <c r="Q6776" s="4"/>
      <c r="R6776" s="4"/>
      <c r="S6776" s="4"/>
      <c r="T6776" s="4"/>
      <c r="U6776" s="4"/>
      <c r="V6776" s="4"/>
      <c r="W6776" s="4"/>
      <c r="X6776" s="4"/>
    </row>
    <row r="6777" spans="17:24" x14ac:dyDescent="0.3">
      <c r="Q6777" s="4"/>
      <c r="R6777" s="4"/>
      <c r="S6777" s="4"/>
      <c r="T6777" s="4"/>
      <c r="U6777" s="4"/>
      <c r="V6777" s="4"/>
      <c r="W6777" s="4"/>
      <c r="X6777" s="4"/>
    </row>
    <row r="6778" spans="17:24" x14ac:dyDescent="0.3">
      <c r="Q6778" s="4"/>
      <c r="R6778" s="4"/>
      <c r="S6778" s="4"/>
      <c r="T6778" s="4"/>
      <c r="U6778" s="4"/>
      <c r="V6778" s="4"/>
      <c r="W6778" s="4"/>
      <c r="X6778" s="4"/>
    </row>
    <row r="6779" spans="17:24" x14ac:dyDescent="0.3">
      <c r="Q6779" s="4"/>
      <c r="R6779" s="4"/>
      <c r="S6779" s="4"/>
      <c r="T6779" s="4"/>
      <c r="U6779" s="4"/>
      <c r="V6779" s="4"/>
      <c r="W6779" s="4"/>
      <c r="X6779" s="4"/>
    </row>
    <row r="6780" spans="17:24" x14ac:dyDescent="0.3">
      <c r="Q6780" s="4"/>
      <c r="R6780" s="4"/>
      <c r="S6780" s="4"/>
      <c r="T6780" s="4"/>
      <c r="U6780" s="4"/>
      <c r="V6780" s="4"/>
      <c r="W6780" s="4"/>
      <c r="X6780" s="4"/>
    </row>
    <row r="6781" spans="17:24" x14ac:dyDescent="0.3">
      <c r="Q6781" s="4"/>
      <c r="R6781" s="4"/>
      <c r="S6781" s="4"/>
      <c r="T6781" s="4"/>
      <c r="U6781" s="4"/>
      <c r="V6781" s="4"/>
      <c r="W6781" s="4"/>
      <c r="X6781" s="4"/>
    </row>
    <row r="6782" spans="17:24" x14ac:dyDescent="0.3">
      <c r="Q6782" s="4"/>
      <c r="R6782" s="4"/>
      <c r="S6782" s="4"/>
      <c r="T6782" s="4"/>
      <c r="U6782" s="4"/>
      <c r="V6782" s="4"/>
      <c r="W6782" s="4"/>
      <c r="X6782" s="4"/>
    </row>
    <row r="6783" spans="17:24" x14ac:dyDescent="0.3">
      <c r="Q6783" s="4"/>
      <c r="R6783" s="4"/>
      <c r="S6783" s="4"/>
      <c r="T6783" s="4"/>
      <c r="U6783" s="4"/>
      <c r="V6783" s="4"/>
      <c r="W6783" s="4"/>
      <c r="X6783" s="4"/>
    </row>
    <row r="6784" spans="17:24" x14ac:dyDescent="0.3">
      <c r="Q6784" s="4"/>
      <c r="R6784" s="4"/>
      <c r="S6784" s="4"/>
      <c r="T6784" s="4"/>
      <c r="U6784" s="4"/>
      <c r="V6784" s="4"/>
      <c r="W6784" s="4"/>
      <c r="X6784" s="4"/>
    </row>
    <row r="6785" spans="17:24" x14ac:dyDescent="0.3">
      <c r="Q6785" s="4"/>
      <c r="R6785" s="4"/>
      <c r="S6785" s="4"/>
      <c r="T6785" s="4"/>
      <c r="U6785" s="4"/>
      <c r="V6785" s="4"/>
      <c r="W6785" s="4"/>
      <c r="X6785" s="4"/>
    </row>
    <row r="6786" spans="17:24" x14ac:dyDescent="0.3">
      <c r="Q6786" s="4"/>
      <c r="R6786" s="4"/>
      <c r="S6786" s="4"/>
      <c r="T6786" s="4"/>
      <c r="U6786" s="4"/>
      <c r="V6786" s="4"/>
      <c r="W6786" s="4"/>
      <c r="X6786" s="4"/>
    </row>
    <row r="6787" spans="17:24" x14ac:dyDescent="0.3">
      <c r="Q6787" s="4"/>
      <c r="R6787" s="4"/>
      <c r="S6787" s="4"/>
      <c r="T6787" s="4"/>
      <c r="U6787" s="4"/>
      <c r="V6787" s="4"/>
      <c r="W6787" s="4"/>
      <c r="X6787" s="4"/>
    </row>
    <row r="6788" spans="17:24" x14ac:dyDescent="0.3">
      <c r="Q6788" s="4"/>
      <c r="R6788" s="4"/>
      <c r="S6788" s="4"/>
      <c r="T6788" s="4"/>
      <c r="U6788" s="4"/>
      <c r="V6788" s="4"/>
      <c r="W6788" s="4"/>
      <c r="X6788" s="4"/>
    </row>
    <row r="6789" spans="17:24" x14ac:dyDescent="0.3">
      <c r="Q6789" s="4"/>
      <c r="R6789" s="4"/>
      <c r="S6789" s="4"/>
      <c r="T6789" s="4"/>
      <c r="U6789" s="4"/>
      <c r="V6789" s="4"/>
      <c r="W6789" s="4"/>
      <c r="X6789" s="4"/>
    </row>
    <row r="6790" spans="17:24" x14ac:dyDescent="0.3">
      <c r="Q6790" s="4"/>
      <c r="R6790" s="4"/>
      <c r="S6790" s="4"/>
      <c r="T6790" s="4"/>
      <c r="U6790" s="4"/>
      <c r="V6790" s="4"/>
      <c r="W6790" s="4"/>
      <c r="X6790" s="4"/>
    </row>
    <row r="6791" spans="17:24" x14ac:dyDescent="0.3">
      <c r="Q6791" s="4"/>
      <c r="R6791" s="4"/>
      <c r="S6791" s="4"/>
      <c r="T6791" s="4"/>
      <c r="U6791" s="4"/>
      <c r="V6791" s="4"/>
      <c r="W6791" s="4"/>
      <c r="X6791" s="4"/>
    </row>
    <row r="6792" spans="17:24" x14ac:dyDescent="0.3">
      <c r="Q6792" s="4"/>
      <c r="R6792" s="4"/>
      <c r="S6792" s="4"/>
      <c r="T6792" s="4"/>
      <c r="U6792" s="4"/>
      <c r="V6792" s="4"/>
      <c r="W6792" s="4"/>
      <c r="X6792" s="4"/>
    </row>
    <row r="6793" spans="17:24" x14ac:dyDescent="0.3">
      <c r="Q6793" s="4"/>
      <c r="R6793" s="4"/>
      <c r="S6793" s="4"/>
      <c r="T6793" s="4"/>
      <c r="U6793" s="4"/>
      <c r="V6793" s="4"/>
      <c r="W6793" s="4"/>
      <c r="X6793" s="4"/>
    </row>
    <row r="6794" spans="17:24" x14ac:dyDescent="0.3">
      <c r="Q6794" s="4"/>
      <c r="R6794" s="4"/>
      <c r="S6794" s="4"/>
      <c r="T6794" s="4"/>
      <c r="U6794" s="4"/>
      <c r="V6794" s="4"/>
      <c r="W6794" s="4"/>
      <c r="X6794" s="4"/>
    </row>
    <row r="6795" spans="17:24" x14ac:dyDescent="0.3">
      <c r="Q6795" s="4"/>
      <c r="R6795" s="4"/>
      <c r="S6795" s="4"/>
      <c r="T6795" s="4"/>
      <c r="U6795" s="4"/>
      <c r="V6795" s="4"/>
      <c r="W6795" s="4"/>
      <c r="X6795" s="4"/>
    </row>
    <row r="6796" spans="17:24" x14ac:dyDescent="0.3">
      <c r="Q6796" s="4"/>
      <c r="R6796" s="4"/>
      <c r="S6796" s="4"/>
      <c r="T6796" s="4"/>
      <c r="U6796" s="4"/>
      <c r="V6796" s="4"/>
      <c r="W6796" s="4"/>
      <c r="X6796" s="4"/>
    </row>
    <row r="6797" spans="17:24" x14ac:dyDescent="0.3">
      <c r="Q6797" s="4"/>
      <c r="R6797" s="4"/>
      <c r="S6797" s="4"/>
      <c r="T6797" s="4"/>
      <c r="U6797" s="4"/>
      <c r="V6797" s="4"/>
      <c r="W6797" s="4"/>
      <c r="X6797" s="4"/>
    </row>
    <row r="6798" spans="17:24" x14ac:dyDescent="0.3">
      <c r="Q6798" s="4"/>
      <c r="R6798" s="4"/>
      <c r="S6798" s="4"/>
      <c r="T6798" s="4"/>
      <c r="U6798" s="4"/>
      <c r="V6798" s="4"/>
      <c r="W6798" s="4"/>
      <c r="X6798" s="4"/>
    </row>
    <row r="6799" spans="17:24" x14ac:dyDescent="0.3">
      <c r="Q6799" s="4"/>
      <c r="R6799" s="4"/>
      <c r="S6799" s="4"/>
      <c r="T6799" s="4"/>
      <c r="U6799" s="4"/>
      <c r="V6799" s="4"/>
      <c r="W6799" s="4"/>
      <c r="X6799" s="4"/>
    </row>
    <row r="6800" spans="17:24" x14ac:dyDescent="0.3">
      <c r="Q6800" s="4"/>
      <c r="R6800" s="4"/>
      <c r="S6800" s="4"/>
      <c r="T6800" s="4"/>
      <c r="U6800" s="4"/>
      <c r="V6800" s="4"/>
      <c r="W6800" s="4"/>
      <c r="X6800" s="4"/>
    </row>
    <row r="6801" spans="17:24" x14ac:dyDescent="0.3">
      <c r="Q6801" s="4"/>
      <c r="R6801" s="4"/>
      <c r="S6801" s="4"/>
      <c r="T6801" s="4"/>
      <c r="U6801" s="4"/>
      <c r="V6801" s="4"/>
      <c r="W6801" s="4"/>
      <c r="X6801" s="4"/>
    </row>
    <row r="6802" spans="17:24" x14ac:dyDescent="0.3">
      <c r="Q6802" s="4"/>
      <c r="R6802" s="4"/>
      <c r="S6802" s="4"/>
      <c r="T6802" s="4"/>
      <c r="U6802" s="4"/>
      <c r="V6802" s="4"/>
      <c r="W6802" s="4"/>
      <c r="X6802" s="4"/>
    </row>
    <row r="6803" spans="17:24" x14ac:dyDescent="0.3">
      <c r="Q6803" s="4"/>
      <c r="R6803" s="4"/>
      <c r="S6803" s="4"/>
      <c r="T6803" s="4"/>
      <c r="U6803" s="4"/>
      <c r="V6803" s="4"/>
      <c r="W6803" s="4"/>
      <c r="X6803" s="4"/>
    </row>
    <row r="6804" spans="17:24" x14ac:dyDescent="0.3">
      <c r="Q6804" s="4"/>
      <c r="R6804" s="4"/>
      <c r="S6804" s="4"/>
      <c r="T6804" s="4"/>
      <c r="U6804" s="4"/>
      <c r="V6804" s="4"/>
      <c r="W6804" s="4"/>
      <c r="X6804" s="4"/>
    </row>
    <row r="6805" spans="17:24" x14ac:dyDescent="0.3">
      <c r="Q6805" s="4"/>
      <c r="R6805" s="4"/>
      <c r="S6805" s="4"/>
      <c r="T6805" s="4"/>
      <c r="U6805" s="4"/>
      <c r="V6805" s="4"/>
      <c r="W6805" s="4"/>
      <c r="X6805" s="4"/>
    </row>
    <row r="6806" spans="17:24" x14ac:dyDescent="0.3">
      <c r="Q6806" s="4"/>
      <c r="R6806" s="4"/>
      <c r="S6806" s="4"/>
      <c r="T6806" s="4"/>
      <c r="U6806" s="4"/>
      <c r="V6806" s="4"/>
      <c r="W6806" s="4"/>
      <c r="X6806" s="4"/>
    </row>
    <row r="6807" spans="17:24" x14ac:dyDescent="0.3">
      <c r="Q6807" s="4"/>
      <c r="R6807" s="4"/>
      <c r="S6807" s="4"/>
      <c r="T6807" s="4"/>
      <c r="U6807" s="4"/>
      <c r="V6807" s="4"/>
      <c r="W6807" s="4"/>
      <c r="X6807" s="4"/>
    </row>
    <row r="6808" spans="17:24" x14ac:dyDescent="0.3">
      <c r="Q6808" s="4"/>
      <c r="R6808" s="4"/>
      <c r="S6808" s="4"/>
      <c r="T6808" s="4"/>
      <c r="U6808" s="4"/>
      <c r="V6808" s="4"/>
      <c r="W6808" s="4"/>
      <c r="X6808" s="4"/>
    </row>
    <row r="6809" spans="17:24" x14ac:dyDescent="0.3">
      <c r="Q6809" s="4"/>
      <c r="R6809" s="4"/>
      <c r="S6809" s="4"/>
      <c r="T6809" s="4"/>
      <c r="U6809" s="4"/>
      <c r="V6809" s="4"/>
      <c r="W6809" s="4"/>
      <c r="X6809" s="4"/>
    </row>
    <row r="6810" spans="17:24" x14ac:dyDescent="0.3">
      <c r="Q6810" s="4"/>
      <c r="R6810" s="4"/>
      <c r="S6810" s="4"/>
      <c r="T6810" s="4"/>
      <c r="U6810" s="4"/>
      <c r="V6810" s="4"/>
      <c r="W6810" s="4"/>
      <c r="X6810" s="4"/>
    </row>
    <row r="6811" spans="17:24" x14ac:dyDescent="0.3">
      <c r="Q6811" s="4"/>
      <c r="R6811" s="4"/>
      <c r="S6811" s="4"/>
      <c r="T6811" s="4"/>
      <c r="U6811" s="4"/>
      <c r="V6811" s="4"/>
      <c r="W6811" s="4"/>
      <c r="X6811" s="4"/>
    </row>
    <row r="6812" spans="17:24" x14ac:dyDescent="0.3">
      <c r="Q6812" s="4"/>
      <c r="R6812" s="4"/>
      <c r="S6812" s="4"/>
      <c r="T6812" s="4"/>
      <c r="U6812" s="4"/>
      <c r="V6812" s="4"/>
      <c r="W6812" s="4"/>
      <c r="X6812" s="4"/>
    </row>
    <row r="6813" spans="17:24" x14ac:dyDescent="0.3">
      <c r="Q6813" s="4"/>
      <c r="R6813" s="4"/>
      <c r="S6813" s="4"/>
      <c r="T6813" s="4"/>
      <c r="U6813" s="4"/>
      <c r="V6813" s="4"/>
      <c r="W6813" s="4"/>
      <c r="X6813" s="4"/>
    </row>
    <row r="6814" spans="17:24" x14ac:dyDescent="0.3">
      <c r="Q6814" s="4"/>
      <c r="R6814" s="4"/>
      <c r="S6814" s="4"/>
      <c r="T6814" s="4"/>
      <c r="U6814" s="4"/>
      <c r="V6814" s="4"/>
      <c r="W6814" s="4"/>
      <c r="X6814" s="4"/>
    </row>
    <row r="6815" spans="17:24" x14ac:dyDescent="0.3">
      <c r="Q6815" s="4"/>
      <c r="R6815" s="4"/>
      <c r="S6815" s="4"/>
      <c r="T6815" s="4"/>
      <c r="U6815" s="4"/>
      <c r="V6815" s="4"/>
      <c r="W6815" s="4"/>
      <c r="X6815" s="4"/>
    </row>
    <row r="6816" spans="17:24" x14ac:dyDescent="0.3">
      <c r="Q6816" s="4"/>
      <c r="R6816" s="4"/>
      <c r="S6816" s="4"/>
      <c r="T6816" s="4"/>
      <c r="U6816" s="4"/>
      <c r="V6816" s="4"/>
      <c r="W6816" s="4"/>
      <c r="X6816" s="4"/>
    </row>
    <row r="6817" spans="17:24" x14ac:dyDescent="0.3">
      <c r="Q6817" s="4"/>
      <c r="R6817" s="4"/>
      <c r="S6817" s="4"/>
      <c r="T6817" s="4"/>
      <c r="U6817" s="4"/>
      <c r="V6817" s="4"/>
      <c r="W6817" s="4"/>
      <c r="X6817" s="4"/>
    </row>
    <row r="6818" spans="17:24" x14ac:dyDescent="0.3">
      <c r="Q6818" s="4"/>
      <c r="R6818" s="4"/>
      <c r="S6818" s="4"/>
      <c r="T6818" s="4"/>
      <c r="U6818" s="4"/>
      <c r="V6818" s="4"/>
      <c r="W6818" s="4"/>
      <c r="X6818" s="4"/>
    </row>
    <row r="6819" spans="17:24" x14ac:dyDescent="0.3">
      <c r="Q6819" s="4"/>
      <c r="R6819" s="4"/>
      <c r="S6819" s="4"/>
      <c r="T6819" s="4"/>
      <c r="U6819" s="4"/>
      <c r="V6819" s="4"/>
      <c r="W6819" s="4"/>
      <c r="X6819" s="4"/>
    </row>
    <row r="6820" spans="17:24" x14ac:dyDescent="0.3">
      <c r="Q6820" s="4"/>
      <c r="R6820" s="4"/>
      <c r="S6820" s="4"/>
      <c r="T6820" s="4"/>
      <c r="U6820" s="4"/>
      <c r="V6820" s="4"/>
      <c r="W6820" s="4"/>
      <c r="X6820" s="4"/>
    </row>
    <row r="6821" spans="17:24" x14ac:dyDescent="0.3">
      <c r="Q6821" s="4"/>
      <c r="R6821" s="4"/>
      <c r="S6821" s="4"/>
      <c r="T6821" s="4"/>
      <c r="U6821" s="4"/>
      <c r="V6821" s="4"/>
      <c r="W6821" s="4"/>
      <c r="X6821" s="4"/>
    </row>
    <row r="6822" spans="17:24" x14ac:dyDescent="0.3">
      <c r="Q6822" s="4"/>
      <c r="R6822" s="4"/>
      <c r="S6822" s="4"/>
      <c r="T6822" s="4"/>
      <c r="U6822" s="4"/>
      <c r="V6822" s="4"/>
      <c r="W6822" s="4"/>
      <c r="X6822" s="4"/>
    </row>
    <row r="6823" spans="17:24" x14ac:dyDescent="0.3">
      <c r="Q6823" s="4"/>
      <c r="R6823" s="4"/>
      <c r="S6823" s="4"/>
      <c r="T6823" s="4"/>
      <c r="U6823" s="4"/>
      <c r="V6823" s="4"/>
      <c r="W6823" s="4"/>
      <c r="X6823" s="4"/>
    </row>
    <row r="6824" spans="17:24" x14ac:dyDescent="0.3">
      <c r="Q6824" s="4"/>
      <c r="R6824" s="4"/>
      <c r="S6824" s="4"/>
      <c r="T6824" s="4"/>
      <c r="U6824" s="4"/>
      <c r="V6824" s="4"/>
      <c r="W6824" s="4"/>
      <c r="X6824" s="4"/>
    </row>
    <row r="6825" spans="17:24" x14ac:dyDescent="0.3">
      <c r="Q6825" s="4"/>
      <c r="R6825" s="4"/>
      <c r="S6825" s="4"/>
      <c r="T6825" s="4"/>
      <c r="U6825" s="4"/>
      <c r="V6825" s="4"/>
      <c r="W6825" s="4"/>
      <c r="X6825" s="4"/>
    </row>
    <row r="6826" spans="17:24" x14ac:dyDescent="0.3">
      <c r="Q6826" s="4"/>
      <c r="R6826" s="4"/>
      <c r="S6826" s="4"/>
      <c r="T6826" s="4"/>
      <c r="U6826" s="4"/>
      <c r="V6826" s="4"/>
      <c r="W6826" s="4"/>
      <c r="X6826" s="4"/>
    </row>
    <row r="6827" spans="17:24" x14ac:dyDescent="0.3">
      <c r="Q6827" s="4"/>
      <c r="R6827" s="4"/>
      <c r="S6827" s="4"/>
      <c r="T6827" s="4"/>
      <c r="U6827" s="4"/>
      <c r="V6827" s="4"/>
      <c r="W6827" s="4"/>
      <c r="X6827" s="4"/>
    </row>
    <row r="6828" spans="17:24" x14ac:dyDescent="0.3">
      <c r="Q6828" s="4"/>
      <c r="R6828" s="4"/>
      <c r="S6828" s="4"/>
      <c r="T6828" s="4"/>
      <c r="U6828" s="4"/>
      <c r="V6828" s="4"/>
      <c r="W6828" s="4"/>
      <c r="X6828" s="4"/>
    </row>
    <row r="6829" spans="17:24" x14ac:dyDescent="0.3">
      <c r="Q6829" s="4"/>
      <c r="R6829" s="4"/>
      <c r="S6829" s="4"/>
      <c r="T6829" s="4"/>
      <c r="U6829" s="4"/>
      <c r="V6829" s="4"/>
      <c r="W6829" s="4"/>
      <c r="X6829" s="4"/>
    </row>
    <row r="6830" spans="17:24" x14ac:dyDescent="0.3">
      <c r="Q6830" s="4"/>
      <c r="R6830" s="4"/>
      <c r="S6830" s="4"/>
      <c r="T6830" s="4"/>
      <c r="U6830" s="4"/>
      <c r="V6830" s="4"/>
      <c r="W6830" s="4"/>
      <c r="X6830" s="4"/>
    </row>
    <row r="6831" spans="17:24" x14ac:dyDescent="0.3">
      <c r="Q6831" s="4"/>
      <c r="R6831" s="4"/>
      <c r="S6831" s="4"/>
      <c r="T6831" s="4"/>
      <c r="U6831" s="4"/>
      <c r="V6831" s="4"/>
      <c r="W6831" s="4"/>
      <c r="X6831" s="4"/>
    </row>
    <row r="6832" spans="17:24" x14ac:dyDescent="0.3">
      <c r="Q6832" s="4"/>
      <c r="R6832" s="4"/>
      <c r="S6832" s="4"/>
      <c r="T6832" s="4"/>
      <c r="U6832" s="4"/>
      <c r="V6832" s="4"/>
      <c r="W6832" s="4"/>
      <c r="X6832" s="4"/>
    </row>
    <row r="6833" spans="17:24" x14ac:dyDescent="0.3">
      <c r="Q6833" s="4"/>
      <c r="R6833" s="4"/>
      <c r="S6833" s="4"/>
      <c r="T6833" s="4"/>
      <c r="U6833" s="4"/>
      <c r="V6833" s="4"/>
      <c r="W6833" s="4"/>
      <c r="X6833" s="4"/>
    </row>
    <row r="6834" spans="17:24" x14ac:dyDescent="0.3">
      <c r="Q6834" s="4"/>
      <c r="R6834" s="4"/>
      <c r="S6834" s="4"/>
      <c r="T6834" s="4"/>
      <c r="U6834" s="4"/>
      <c r="V6834" s="4"/>
      <c r="W6834" s="4"/>
      <c r="X6834" s="4"/>
    </row>
    <row r="6835" spans="17:24" x14ac:dyDescent="0.3">
      <c r="Q6835" s="4"/>
      <c r="R6835" s="4"/>
      <c r="S6835" s="4"/>
      <c r="T6835" s="4"/>
      <c r="U6835" s="4"/>
      <c r="V6835" s="4"/>
      <c r="W6835" s="4"/>
      <c r="X6835" s="4"/>
    </row>
    <row r="6836" spans="17:24" x14ac:dyDescent="0.3">
      <c r="Q6836" s="4"/>
      <c r="R6836" s="4"/>
      <c r="S6836" s="4"/>
      <c r="T6836" s="4"/>
      <c r="U6836" s="4"/>
      <c r="V6836" s="4"/>
      <c r="W6836" s="4"/>
      <c r="X6836" s="4"/>
    </row>
    <row r="6837" spans="17:24" x14ac:dyDescent="0.3">
      <c r="Q6837" s="4"/>
      <c r="R6837" s="4"/>
      <c r="S6837" s="4"/>
      <c r="T6837" s="4"/>
      <c r="U6837" s="4"/>
      <c r="V6837" s="4"/>
      <c r="W6837" s="4"/>
      <c r="X6837" s="4"/>
    </row>
    <row r="6838" spans="17:24" x14ac:dyDescent="0.3">
      <c r="Q6838" s="4"/>
      <c r="R6838" s="4"/>
      <c r="S6838" s="4"/>
      <c r="T6838" s="4"/>
      <c r="U6838" s="4"/>
      <c r="V6838" s="4"/>
      <c r="W6838" s="4"/>
      <c r="X6838" s="4"/>
    </row>
    <row r="6839" spans="17:24" x14ac:dyDescent="0.3">
      <c r="Q6839" s="4"/>
      <c r="R6839" s="4"/>
      <c r="S6839" s="4"/>
      <c r="T6839" s="4"/>
      <c r="U6839" s="4"/>
      <c r="V6839" s="4"/>
      <c r="W6839" s="4"/>
      <c r="X6839" s="4"/>
    </row>
    <row r="6840" spans="17:24" x14ac:dyDescent="0.3">
      <c r="Q6840" s="4"/>
      <c r="R6840" s="4"/>
      <c r="S6840" s="4"/>
      <c r="T6840" s="4"/>
      <c r="U6840" s="4"/>
      <c r="V6840" s="4"/>
      <c r="W6840" s="4"/>
      <c r="X6840" s="4"/>
    </row>
    <row r="6841" spans="17:24" x14ac:dyDescent="0.3">
      <c r="Q6841" s="4"/>
      <c r="R6841" s="4"/>
      <c r="S6841" s="4"/>
      <c r="T6841" s="4"/>
      <c r="U6841" s="4"/>
      <c r="V6841" s="4"/>
      <c r="W6841" s="4"/>
      <c r="X6841" s="4"/>
    </row>
    <row r="6842" spans="17:24" x14ac:dyDescent="0.3">
      <c r="Q6842" s="4"/>
      <c r="R6842" s="4"/>
      <c r="S6842" s="4"/>
      <c r="T6842" s="4"/>
      <c r="U6842" s="4"/>
      <c r="V6842" s="4"/>
      <c r="W6842" s="4"/>
      <c r="X6842" s="4"/>
    </row>
    <row r="6843" spans="17:24" x14ac:dyDescent="0.3">
      <c r="Q6843" s="4"/>
      <c r="R6843" s="4"/>
      <c r="S6843" s="4"/>
      <c r="T6843" s="4"/>
      <c r="U6843" s="4"/>
      <c r="V6843" s="4"/>
      <c r="W6843" s="4"/>
      <c r="X6843" s="4"/>
    </row>
    <row r="6844" spans="17:24" x14ac:dyDescent="0.3">
      <c r="Q6844" s="4"/>
      <c r="R6844" s="4"/>
      <c r="S6844" s="4"/>
      <c r="T6844" s="4"/>
      <c r="U6844" s="4"/>
      <c r="V6844" s="4"/>
      <c r="W6844" s="4"/>
      <c r="X6844" s="4"/>
    </row>
    <row r="6845" spans="17:24" x14ac:dyDescent="0.3">
      <c r="Q6845" s="4"/>
      <c r="R6845" s="4"/>
      <c r="S6845" s="4"/>
      <c r="T6845" s="4"/>
      <c r="U6845" s="4"/>
      <c r="V6845" s="4"/>
      <c r="W6845" s="4"/>
      <c r="X6845" s="4"/>
    </row>
    <row r="6846" spans="17:24" x14ac:dyDescent="0.3">
      <c r="Q6846" s="4"/>
      <c r="R6846" s="4"/>
      <c r="S6846" s="4"/>
      <c r="T6846" s="4"/>
      <c r="U6846" s="4"/>
      <c r="V6846" s="4"/>
      <c r="W6846" s="4"/>
      <c r="X6846" s="4"/>
    </row>
    <row r="6847" spans="17:24" x14ac:dyDescent="0.3">
      <c r="Q6847" s="4"/>
      <c r="R6847" s="4"/>
      <c r="S6847" s="4"/>
      <c r="T6847" s="4"/>
      <c r="U6847" s="4"/>
      <c r="V6847" s="4"/>
      <c r="W6847" s="4"/>
      <c r="X6847" s="4"/>
    </row>
    <row r="6848" spans="17:24" x14ac:dyDescent="0.3">
      <c r="Q6848" s="4"/>
      <c r="R6848" s="4"/>
      <c r="S6848" s="4"/>
      <c r="T6848" s="4"/>
      <c r="U6848" s="4"/>
      <c r="V6848" s="4"/>
      <c r="W6848" s="4"/>
      <c r="X6848" s="4"/>
    </row>
    <row r="6849" spans="17:24" x14ac:dyDescent="0.3">
      <c r="Q6849" s="4"/>
      <c r="R6849" s="4"/>
      <c r="S6849" s="4"/>
      <c r="T6849" s="4"/>
      <c r="U6849" s="4"/>
      <c r="V6849" s="4"/>
      <c r="W6849" s="4"/>
      <c r="X6849" s="4"/>
    </row>
    <row r="6850" spans="17:24" x14ac:dyDescent="0.3">
      <c r="Q6850" s="4"/>
      <c r="R6850" s="4"/>
      <c r="S6850" s="4"/>
      <c r="T6850" s="4"/>
      <c r="U6850" s="4"/>
      <c r="V6850" s="4"/>
      <c r="W6850" s="4"/>
      <c r="X6850" s="4"/>
    </row>
    <row r="6851" spans="17:24" x14ac:dyDescent="0.3">
      <c r="Q6851" s="4"/>
      <c r="R6851" s="4"/>
      <c r="S6851" s="4"/>
      <c r="T6851" s="4"/>
      <c r="U6851" s="4"/>
      <c r="V6851" s="4"/>
      <c r="W6851" s="4"/>
      <c r="X6851" s="4"/>
    </row>
    <row r="6852" spans="17:24" x14ac:dyDescent="0.3">
      <c r="Q6852" s="4"/>
      <c r="R6852" s="4"/>
      <c r="S6852" s="4"/>
      <c r="T6852" s="4"/>
      <c r="U6852" s="4"/>
      <c r="V6852" s="4"/>
      <c r="W6852" s="4"/>
      <c r="X6852" s="4"/>
    </row>
    <row r="6853" spans="17:24" x14ac:dyDescent="0.3">
      <c r="Q6853" s="4"/>
      <c r="R6853" s="4"/>
      <c r="S6853" s="4"/>
      <c r="T6853" s="4"/>
      <c r="U6853" s="4"/>
      <c r="V6853" s="4"/>
      <c r="W6853" s="4"/>
      <c r="X6853" s="4"/>
    </row>
    <row r="6854" spans="17:24" x14ac:dyDescent="0.3">
      <c r="Q6854" s="4"/>
      <c r="R6854" s="4"/>
      <c r="S6854" s="4"/>
      <c r="T6854" s="4"/>
      <c r="U6854" s="4"/>
      <c r="V6854" s="4"/>
      <c r="W6854" s="4"/>
      <c r="X6854" s="4"/>
    </row>
    <row r="6855" spans="17:24" x14ac:dyDescent="0.3">
      <c r="Q6855" s="4"/>
      <c r="R6855" s="4"/>
      <c r="S6855" s="4"/>
      <c r="T6855" s="4"/>
      <c r="U6855" s="4"/>
      <c r="V6855" s="4"/>
      <c r="W6855" s="4"/>
      <c r="X6855" s="4"/>
    </row>
    <row r="6856" spans="17:24" x14ac:dyDescent="0.3">
      <c r="Q6856" s="4"/>
      <c r="R6856" s="4"/>
      <c r="S6856" s="4"/>
      <c r="T6856" s="4"/>
      <c r="U6856" s="4"/>
      <c r="V6856" s="4"/>
      <c r="W6856" s="4"/>
      <c r="X6856" s="4"/>
    </row>
    <row r="6857" spans="17:24" x14ac:dyDescent="0.3">
      <c r="Q6857" s="4"/>
      <c r="R6857" s="4"/>
      <c r="S6857" s="4"/>
      <c r="T6857" s="4"/>
      <c r="U6857" s="4"/>
      <c r="V6857" s="4"/>
      <c r="W6857" s="4"/>
      <c r="X6857" s="4"/>
    </row>
    <row r="6858" spans="17:24" x14ac:dyDescent="0.3">
      <c r="Q6858" s="4"/>
      <c r="R6858" s="4"/>
      <c r="S6858" s="4"/>
      <c r="T6858" s="4"/>
      <c r="U6858" s="4"/>
      <c r="V6858" s="4"/>
      <c r="W6858" s="4"/>
      <c r="X6858" s="4"/>
    </row>
    <row r="6859" spans="17:24" x14ac:dyDescent="0.3">
      <c r="Q6859" s="4"/>
      <c r="R6859" s="4"/>
      <c r="S6859" s="4"/>
      <c r="T6859" s="4"/>
      <c r="U6859" s="4"/>
      <c r="V6859" s="4"/>
      <c r="W6859" s="4"/>
      <c r="X6859" s="4"/>
    </row>
    <row r="6860" spans="17:24" x14ac:dyDescent="0.3">
      <c r="Q6860" s="4"/>
      <c r="R6860" s="4"/>
      <c r="S6860" s="4"/>
      <c r="T6860" s="4"/>
      <c r="U6860" s="4"/>
      <c r="V6860" s="4"/>
      <c r="W6860" s="4"/>
      <c r="X6860" s="4"/>
    </row>
    <row r="6861" spans="17:24" x14ac:dyDescent="0.3">
      <c r="Q6861" s="4"/>
      <c r="R6861" s="4"/>
      <c r="S6861" s="4"/>
      <c r="T6861" s="4"/>
      <c r="U6861" s="4"/>
      <c r="V6861" s="4"/>
      <c r="W6861" s="4"/>
      <c r="X6861" s="4"/>
    </row>
    <row r="6862" spans="17:24" x14ac:dyDescent="0.3">
      <c r="Q6862" s="4"/>
      <c r="R6862" s="4"/>
      <c r="S6862" s="4"/>
      <c r="T6862" s="4"/>
      <c r="U6862" s="4"/>
      <c r="V6862" s="4"/>
      <c r="W6862" s="4"/>
      <c r="X6862" s="4"/>
    </row>
    <row r="6863" spans="17:24" x14ac:dyDescent="0.3">
      <c r="Q6863" s="4"/>
      <c r="R6863" s="4"/>
      <c r="S6863" s="4"/>
      <c r="T6863" s="4"/>
      <c r="U6863" s="4"/>
      <c r="V6863" s="4"/>
      <c r="W6863" s="4"/>
      <c r="X6863" s="4"/>
    </row>
    <row r="6864" spans="17:24" x14ac:dyDescent="0.3">
      <c r="Q6864" s="4"/>
      <c r="R6864" s="4"/>
      <c r="S6864" s="4"/>
      <c r="T6864" s="4"/>
      <c r="U6864" s="4"/>
      <c r="V6864" s="4"/>
      <c r="W6864" s="4"/>
      <c r="X6864" s="4"/>
    </row>
    <row r="6865" spans="17:24" x14ac:dyDescent="0.3">
      <c r="Q6865" s="4"/>
      <c r="R6865" s="4"/>
      <c r="S6865" s="4"/>
      <c r="T6865" s="4"/>
      <c r="U6865" s="4"/>
      <c r="V6865" s="4"/>
      <c r="W6865" s="4"/>
      <c r="X6865" s="4"/>
    </row>
    <row r="6866" spans="17:24" x14ac:dyDescent="0.3">
      <c r="Q6866" s="4"/>
      <c r="R6866" s="4"/>
      <c r="S6866" s="4"/>
      <c r="T6866" s="4"/>
      <c r="U6866" s="4"/>
      <c r="V6866" s="4"/>
      <c r="W6866" s="4"/>
      <c r="X6866" s="4"/>
    </row>
    <row r="6867" spans="17:24" x14ac:dyDescent="0.3">
      <c r="Q6867" s="4"/>
      <c r="R6867" s="4"/>
      <c r="S6867" s="4"/>
      <c r="T6867" s="4"/>
      <c r="U6867" s="4"/>
      <c r="V6867" s="4"/>
      <c r="W6867" s="4"/>
      <c r="X6867" s="4"/>
    </row>
    <row r="6868" spans="17:24" x14ac:dyDescent="0.3">
      <c r="Q6868" s="4"/>
      <c r="R6868" s="4"/>
      <c r="S6868" s="4"/>
      <c r="T6868" s="4"/>
      <c r="U6868" s="4"/>
      <c r="V6868" s="4"/>
      <c r="W6868" s="4"/>
      <c r="X6868" s="4"/>
    </row>
    <row r="6869" spans="17:24" x14ac:dyDescent="0.3">
      <c r="Q6869" s="4"/>
      <c r="R6869" s="4"/>
      <c r="S6869" s="4"/>
      <c r="T6869" s="4"/>
      <c r="U6869" s="4"/>
      <c r="V6869" s="4"/>
      <c r="W6869" s="4"/>
      <c r="X6869" s="4"/>
    </row>
    <row r="6870" spans="17:24" x14ac:dyDescent="0.3">
      <c r="Q6870" s="4"/>
      <c r="R6870" s="4"/>
      <c r="S6870" s="4"/>
      <c r="T6870" s="4"/>
      <c r="U6870" s="4"/>
      <c r="V6870" s="4"/>
      <c r="W6870" s="4"/>
      <c r="X6870" s="4"/>
    </row>
    <row r="6871" spans="17:24" x14ac:dyDescent="0.3">
      <c r="Q6871" s="4"/>
      <c r="R6871" s="4"/>
      <c r="S6871" s="4"/>
      <c r="T6871" s="4"/>
      <c r="U6871" s="4"/>
      <c r="V6871" s="4"/>
      <c r="W6871" s="4"/>
      <c r="X6871" s="4"/>
    </row>
    <row r="6872" spans="17:24" x14ac:dyDescent="0.3">
      <c r="Q6872" s="4"/>
      <c r="R6872" s="4"/>
      <c r="S6872" s="4"/>
      <c r="T6872" s="4"/>
      <c r="U6872" s="4"/>
      <c r="V6872" s="4"/>
      <c r="W6872" s="4"/>
      <c r="X6872" s="4"/>
    </row>
    <row r="6873" spans="17:24" x14ac:dyDescent="0.3">
      <c r="Q6873" s="4"/>
      <c r="R6873" s="4"/>
      <c r="S6873" s="4"/>
      <c r="T6873" s="4"/>
      <c r="U6873" s="4"/>
      <c r="V6873" s="4"/>
      <c r="W6873" s="4"/>
      <c r="X6873" s="4"/>
    </row>
    <row r="6874" spans="17:24" x14ac:dyDescent="0.3">
      <c r="Q6874" s="4"/>
      <c r="R6874" s="4"/>
      <c r="S6874" s="4"/>
      <c r="T6874" s="4"/>
      <c r="U6874" s="4"/>
      <c r="V6874" s="4"/>
      <c r="W6874" s="4"/>
      <c r="X6874" s="4"/>
    </row>
    <row r="6875" spans="17:24" x14ac:dyDescent="0.3">
      <c r="Q6875" s="4"/>
      <c r="R6875" s="4"/>
      <c r="S6875" s="4"/>
      <c r="T6875" s="4"/>
      <c r="U6875" s="4"/>
      <c r="V6875" s="4"/>
      <c r="W6875" s="4"/>
      <c r="X6875" s="4"/>
    </row>
    <row r="6876" spans="17:24" x14ac:dyDescent="0.3">
      <c r="Q6876" s="4"/>
      <c r="R6876" s="4"/>
      <c r="S6876" s="4"/>
      <c r="T6876" s="4"/>
      <c r="U6876" s="4"/>
      <c r="V6876" s="4"/>
      <c r="W6876" s="4"/>
      <c r="X6876" s="4"/>
    </row>
    <row r="6877" spans="17:24" x14ac:dyDescent="0.3">
      <c r="Q6877" s="4"/>
      <c r="R6877" s="4"/>
      <c r="S6877" s="4"/>
      <c r="T6877" s="4"/>
      <c r="U6877" s="4"/>
      <c r="V6877" s="4"/>
      <c r="W6877" s="4"/>
      <c r="X6877" s="4"/>
    </row>
    <row r="6878" spans="17:24" x14ac:dyDescent="0.3">
      <c r="Q6878" s="4"/>
      <c r="R6878" s="4"/>
      <c r="S6878" s="4"/>
      <c r="T6878" s="4"/>
      <c r="U6878" s="4"/>
      <c r="V6878" s="4"/>
      <c r="W6878" s="4"/>
      <c r="X6878" s="4"/>
    </row>
    <row r="6879" spans="17:24" x14ac:dyDescent="0.3">
      <c r="Q6879" s="4"/>
      <c r="R6879" s="4"/>
      <c r="S6879" s="4"/>
      <c r="T6879" s="4"/>
      <c r="U6879" s="4"/>
      <c r="V6879" s="4"/>
      <c r="W6879" s="4"/>
      <c r="X6879" s="4"/>
    </row>
    <row r="6880" spans="17:24" x14ac:dyDescent="0.3">
      <c r="Q6880" s="4"/>
      <c r="R6880" s="4"/>
      <c r="S6880" s="4"/>
      <c r="T6880" s="4"/>
      <c r="U6880" s="4"/>
      <c r="V6880" s="4"/>
      <c r="W6880" s="4"/>
      <c r="X6880" s="4"/>
    </row>
    <row r="6881" spans="17:24" x14ac:dyDescent="0.3">
      <c r="Q6881" s="4"/>
      <c r="R6881" s="4"/>
      <c r="S6881" s="4"/>
      <c r="T6881" s="4"/>
      <c r="U6881" s="4"/>
      <c r="V6881" s="4"/>
      <c r="W6881" s="4"/>
      <c r="X6881" s="4"/>
    </row>
    <row r="6882" spans="17:24" x14ac:dyDescent="0.3">
      <c r="Q6882" s="4"/>
      <c r="R6882" s="4"/>
      <c r="S6882" s="4"/>
      <c r="T6882" s="4"/>
      <c r="U6882" s="4"/>
      <c r="V6882" s="4"/>
      <c r="W6882" s="4"/>
      <c r="X6882" s="4"/>
    </row>
    <row r="6883" spans="17:24" x14ac:dyDescent="0.3">
      <c r="Q6883" s="4"/>
      <c r="R6883" s="4"/>
      <c r="S6883" s="4"/>
      <c r="T6883" s="4"/>
      <c r="U6883" s="4"/>
      <c r="V6883" s="4"/>
      <c r="W6883" s="4"/>
      <c r="X6883" s="4"/>
    </row>
    <row r="6884" spans="17:24" x14ac:dyDescent="0.3">
      <c r="Q6884" s="4"/>
      <c r="R6884" s="4"/>
      <c r="S6884" s="4"/>
      <c r="T6884" s="4"/>
      <c r="U6884" s="4"/>
      <c r="V6884" s="4"/>
      <c r="W6884" s="4"/>
      <c r="X6884" s="4"/>
    </row>
    <row r="6885" spans="17:24" x14ac:dyDescent="0.3">
      <c r="Q6885" s="4"/>
      <c r="R6885" s="4"/>
      <c r="S6885" s="4"/>
      <c r="T6885" s="4"/>
      <c r="U6885" s="4"/>
      <c r="V6885" s="4"/>
      <c r="W6885" s="4"/>
      <c r="X6885" s="4"/>
    </row>
    <row r="6886" spans="17:24" x14ac:dyDescent="0.3">
      <c r="Q6886" s="4"/>
      <c r="R6886" s="4"/>
      <c r="S6886" s="4"/>
      <c r="T6886" s="4"/>
      <c r="U6886" s="4"/>
      <c r="V6886" s="4"/>
      <c r="W6886" s="4"/>
      <c r="X6886" s="4"/>
    </row>
    <row r="6887" spans="17:24" x14ac:dyDescent="0.3">
      <c r="Q6887" s="4"/>
      <c r="R6887" s="4"/>
      <c r="S6887" s="4"/>
      <c r="T6887" s="4"/>
      <c r="U6887" s="4"/>
      <c r="V6887" s="4"/>
      <c r="W6887" s="4"/>
      <c r="X6887" s="4"/>
    </row>
    <row r="6888" spans="17:24" x14ac:dyDescent="0.3">
      <c r="Q6888" s="4"/>
      <c r="R6888" s="4"/>
      <c r="S6888" s="4"/>
      <c r="T6888" s="4"/>
      <c r="U6888" s="4"/>
      <c r="V6888" s="4"/>
      <c r="W6888" s="4"/>
      <c r="X6888" s="4"/>
    </row>
    <row r="6889" spans="17:24" x14ac:dyDescent="0.3">
      <c r="Q6889" s="4"/>
      <c r="R6889" s="4"/>
      <c r="S6889" s="4"/>
      <c r="T6889" s="4"/>
      <c r="U6889" s="4"/>
      <c r="V6889" s="4"/>
      <c r="W6889" s="4"/>
      <c r="X6889" s="4"/>
    </row>
    <row r="6890" spans="17:24" x14ac:dyDescent="0.3">
      <c r="Q6890" s="4"/>
      <c r="R6890" s="4"/>
      <c r="S6890" s="4"/>
      <c r="T6890" s="4"/>
      <c r="U6890" s="4"/>
      <c r="V6890" s="4"/>
      <c r="W6890" s="4"/>
      <c r="X6890" s="4"/>
    </row>
    <row r="6891" spans="17:24" x14ac:dyDescent="0.3">
      <c r="Q6891" s="4"/>
      <c r="R6891" s="4"/>
      <c r="S6891" s="4"/>
      <c r="T6891" s="4"/>
      <c r="U6891" s="4"/>
      <c r="V6891" s="4"/>
      <c r="W6891" s="4"/>
      <c r="X6891" s="4"/>
    </row>
    <row r="6892" spans="17:24" x14ac:dyDescent="0.3">
      <c r="Q6892" s="4"/>
      <c r="R6892" s="4"/>
      <c r="S6892" s="4"/>
      <c r="T6892" s="4"/>
      <c r="U6892" s="4"/>
      <c r="V6892" s="4"/>
      <c r="W6892" s="4"/>
      <c r="X6892" s="4"/>
    </row>
    <row r="6893" spans="17:24" x14ac:dyDescent="0.3">
      <c r="Q6893" s="4"/>
      <c r="R6893" s="4"/>
      <c r="S6893" s="4"/>
      <c r="T6893" s="4"/>
      <c r="U6893" s="4"/>
      <c r="V6893" s="4"/>
      <c r="W6893" s="4"/>
      <c r="X6893" s="4"/>
    </row>
    <row r="6894" spans="17:24" x14ac:dyDescent="0.3">
      <c r="Q6894" s="4"/>
      <c r="R6894" s="4"/>
      <c r="S6894" s="4"/>
      <c r="T6894" s="4"/>
      <c r="U6894" s="4"/>
      <c r="V6894" s="4"/>
      <c r="W6894" s="4"/>
      <c r="X6894" s="4"/>
    </row>
    <row r="6895" spans="17:24" x14ac:dyDescent="0.3">
      <c r="Q6895" s="4"/>
      <c r="R6895" s="4"/>
      <c r="S6895" s="4"/>
      <c r="T6895" s="4"/>
      <c r="U6895" s="4"/>
      <c r="V6895" s="4"/>
      <c r="W6895" s="4"/>
      <c r="X6895" s="4"/>
    </row>
    <row r="6896" spans="17:24" x14ac:dyDescent="0.3">
      <c r="Q6896" s="4"/>
      <c r="R6896" s="4"/>
      <c r="S6896" s="4"/>
      <c r="T6896" s="4"/>
      <c r="U6896" s="4"/>
      <c r="V6896" s="4"/>
      <c r="W6896" s="4"/>
      <c r="X6896" s="4"/>
    </row>
    <row r="6897" spans="17:24" x14ac:dyDescent="0.3">
      <c r="Q6897" s="4"/>
      <c r="R6897" s="4"/>
      <c r="S6897" s="4"/>
      <c r="T6897" s="4"/>
      <c r="U6897" s="4"/>
      <c r="V6897" s="4"/>
      <c r="W6897" s="4"/>
      <c r="X6897" s="4"/>
    </row>
    <row r="6898" spans="17:24" x14ac:dyDescent="0.3">
      <c r="Q6898" s="4"/>
      <c r="R6898" s="4"/>
      <c r="S6898" s="4"/>
      <c r="T6898" s="4"/>
      <c r="U6898" s="4"/>
      <c r="V6898" s="4"/>
      <c r="W6898" s="4"/>
      <c r="X6898" s="4"/>
    </row>
    <row r="6899" spans="17:24" x14ac:dyDescent="0.3">
      <c r="Q6899" s="4"/>
      <c r="R6899" s="4"/>
      <c r="S6899" s="4"/>
      <c r="T6899" s="4"/>
      <c r="U6899" s="4"/>
      <c r="V6899" s="4"/>
      <c r="W6899" s="4"/>
      <c r="X6899" s="4"/>
    </row>
    <row r="6900" spans="17:24" x14ac:dyDescent="0.3">
      <c r="Q6900" s="4"/>
      <c r="R6900" s="4"/>
      <c r="S6900" s="4"/>
      <c r="T6900" s="4"/>
      <c r="U6900" s="4"/>
      <c r="V6900" s="4"/>
      <c r="W6900" s="4"/>
      <c r="X6900" s="4"/>
    </row>
    <row r="6901" spans="17:24" x14ac:dyDescent="0.3">
      <c r="Q6901" s="4"/>
      <c r="R6901" s="4"/>
      <c r="S6901" s="4"/>
      <c r="T6901" s="4"/>
      <c r="U6901" s="4"/>
      <c r="V6901" s="4"/>
      <c r="W6901" s="4"/>
      <c r="X6901" s="4"/>
    </row>
    <row r="6902" spans="17:24" x14ac:dyDescent="0.3">
      <c r="Q6902" s="4"/>
      <c r="R6902" s="4"/>
      <c r="S6902" s="4"/>
      <c r="T6902" s="4"/>
      <c r="U6902" s="4"/>
      <c r="V6902" s="4"/>
      <c r="W6902" s="4"/>
      <c r="X6902" s="4"/>
    </row>
    <row r="6903" spans="17:24" x14ac:dyDescent="0.3">
      <c r="Q6903" s="4"/>
      <c r="R6903" s="4"/>
      <c r="S6903" s="4"/>
      <c r="T6903" s="4"/>
      <c r="U6903" s="4"/>
      <c r="V6903" s="4"/>
      <c r="W6903" s="4"/>
      <c r="X6903" s="4"/>
    </row>
    <row r="6904" spans="17:24" x14ac:dyDescent="0.3">
      <c r="Q6904" s="4"/>
      <c r="R6904" s="4"/>
      <c r="S6904" s="4"/>
      <c r="T6904" s="4"/>
      <c r="U6904" s="4"/>
      <c r="V6904" s="4"/>
      <c r="W6904" s="4"/>
      <c r="X6904" s="4"/>
    </row>
    <row r="6905" spans="17:24" x14ac:dyDescent="0.3">
      <c r="Q6905" s="4"/>
      <c r="R6905" s="4"/>
      <c r="S6905" s="4"/>
      <c r="T6905" s="4"/>
      <c r="U6905" s="4"/>
      <c r="V6905" s="4"/>
      <c r="W6905" s="4"/>
      <c r="X6905" s="4"/>
    </row>
    <row r="6906" spans="17:24" x14ac:dyDescent="0.3">
      <c r="Q6906" s="4"/>
      <c r="R6906" s="4"/>
      <c r="S6906" s="4"/>
      <c r="T6906" s="4"/>
      <c r="U6906" s="4"/>
      <c r="V6906" s="4"/>
      <c r="W6906" s="4"/>
      <c r="X6906" s="4"/>
    </row>
    <row r="6907" spans="17:24" x14ac:dyDescent="0.3">
      <c r="Q6907" s="4"/>
      <c r="R6907" s="4"/>
      <c r="S6907" s="4"/>
      <c r="T6907" s="4"/>
      <c r="U6907" s="4"/>
      <c r="V6907" s="4"/>
      <c r="W6907" s="4"/>
      <c r="X6907" s="4"/>
    </row>
    <row r="6908" spans="17:24" x14ac:dyDescent="0.3">
      <c r="Q6908" s="4"/>
      <c r="R6908" s="4"/>
      <c r="S6908" s="4"/>
      <c r="T6908" s="4"/>
      <c r="U6908" s="4"/>
      <c r="V6908" s="4"/>
      <c r="W6908" s="4"/>
      <c r="X6908" s="4"/>
    </row>
    <row r="6909" spans="17:24" x14ac:dyDescent="0.3">
      <c r="Q6909" s="4"/>
      <c r="R6909" s="4"/>
      <c r="S6909" s="4"/>
      <c r="T6909" s="4"/>
      <c r="U6909" s="4"/>
      <c r="V6909" s="4"/>
      <c r="W6909" s="4"/>
      <c r="X6909" s="4"/>
    </row>
    <row r="6910" spans="17:24" x14ac:dyDescent="0.3">
      <c r="Q6910" s="4"/>
      <c r="R6910" s="4"/>
      <c r="S6910" s="4"/>
      <c r="T6910" s="4"/>
      <c r="U6910" s="4"/>
      <c r="V6910" s="4"/>
      <c r="W6910" s="4"/>
      <c r="X6910" s="4"/>
    </row>
    <row r="6911" spans="17:24" x14ac:dyDescent="0.3">
      <c r="Q6911" s="4"/>
      <c r="R6911" s="4"/>
      <c r="S6911" s="4"/>
      <c r="T6911" s="4"/>
      <c r="U6911" s="4"/>
      <c r="V6911" s="4"/>
      <c r="W6911" s="4"/>
      <c r="X6911" s="4"/>
    </row>
    <row r="6912" spans="17:24" x14ac:dyDescent="0.3">
      <c r="Q6912" s="4"/>
      <c r="R6912" s="4"/>
      <c r="S6912" s="4"/>
      <c r="T6912" s="4"/>
      <c r="U6912" s="4"/>
      <c r="V6912" s="4"/>
      <c r="W6912" s="4"/>
      <c r="X6912" s="4"/>
    </row>
    <row r="6913" spans="17:24" x14ac:dyDescent="0.3">
      <c r="Q6913" s="4"/>
      <c r="R6913" s="4"/>
      <c r="S6913" s="4"/>
      <c r="T6913" s="4"/>
      <c r="U6913" s="4"/>
      <c r="V6913" s="4"/>
      <c r="W6913" s="4"/>
      <c r="X6913" s="4"/>
    </row>
    <row r="6914" spans="17:24" x14ac:dyDescent="0.3">
      <c r="Q6914" s="4"/>
      <c r="R6914" s="4"/>
      <c r="S6914" s="4"/>
      <c r="T6914" s="4"/>
      <c r="U6914" s="4"/>
      <c r="V6914" s="4"/>
      <c r="W6914" s="4"/>
      <c r="X6914" s="4"/>
    </row>
    <row r="6915" spans="17:24" x14ac:dyDescent="0.3">
      <c r="Q6915" s="4"/>
      <c r="R6915" s="4"/>
      <c r="S6915" s="4"/>
      <c r="T6915" s="4"/>
      <c r="U6915" s="4"/>
      <c r="V6915" s="4"/>
      <c r="W6915" s="4"/>
      <c r="X6915" s="4"/>
    </row>
    <row r="6916" spans="17:24" x14ac:dyDescent="0.3">
      <c r="Q6916" s="4"/>
      <c r="R6916" s="4"/>
      <c r="S6916" s="4"/>
      <c r="T6916" s="4"/>
      <c r="U6916" s="4"/>
      <c r="V6916" s="4"/>
      <c r="W6916" s="4"/>
      <c r="X6916" s="4"/>
    </row>
    <row r="6917" spans="17:24" x14ac:dyDescent="0.3">
      <c r="Q6917" s="4"/>
      <c r="R6917" s="4"/>
      <c r="S6917" s="4"/>
      <c r="T6917" s="4"/>
      <c r="U6917" s="4"/>
      <c r="V6917" s="4"/>
      <c r="W6917" s="4"/>
      <c r="X6917" s="4"/>
    </row>
    <row r="6918" spans="17:24" x14ac:dyDescent="0.3">
      <c r="Q6918" s="4"/>
      <c r="R6918" s="4"/>
      <c r="S6918" s="4"/>
      <c r="T6918" s="4"/>
      <c r="U6918" s="4"/>
      <c r="V6918" s="4"/>
      <c r="W6918" s="4"/>
      <c r="X6918" s="4"/>
    </row>
    <row r="6919" spans="17:24" x14ac:dyDescent="0.3">
      <c r="Q6919" s="4"/>
      <c r="R6919" s="4"/>
      <c r="S6919" s="4"/>
      <c r="T6919" s="4"/>
      <c r="U6919" s="4"/>
      <c r="V6919" s="4"/>
      <c r="W6919" s="4"/>
      <c r="X6919" s="4"/>
    </row>
    <row r="6920" spans="17:24" x14ac:dyDescent="0.3">
      <c r="Q6920" s="4"/>
      <c r="R6920" s="4"/>
      <c r="S6920" s="4"/>
      <c r="T6920" s="4"/>
      <c r="U6920" s="4"/>
      <c r="V6920" s="4"/>
      <c r="W6920" s="4"/>
      <c r="X6920" s="4"/>
    </row>
    <row r="6921" spans="17:24" x14ac:dyDescent="0.3">
      <c r="Q6921" s="4"/>
      <c r="R6921" s="4"/>
      <c r="S6921" s="4"/>
      <c r="T6921" s="4"/>
      <c r="U6921" s="4"/>
      <c r="V6921" s="4"/>
      <c r="W6921" s="4"/>
      <c r="X6921" s="4"/>
    </row>
    <row r="6922" spans="17:24" x14ac:dyDescent="0.3">
      <c r="Q6922" s="4"/>
      <c r="R6922" s="4"/>
      <c r="S6922" s="4"/>
      <c r="T6922" s="4"/>
      <c r="U6922" s="4"/>
      <c r="V6922" s="4"/>
      <c r="W6922" s="4"/>
      <c r="X6922" s="4"/>
    </row>
    <row r="6923" spans="17:24" x14ac:dyDescent="0.3">
      <c r="Q6923" s="4"/>
      <c r="R6923" s="4"/>
      <c r="S6923" s="4"/>
      <c r="T6923" s="4"/>
      <c r="U6923" s="4"/>
      <c r="V6923" s="4"/>
      <c r="W6923" s="4"/>
      <c r="X6923" s="4"/>
    </row>
    <row r="6924" spans="17:24" x14ac:dyDescent="0.3">
      <c r="Q6924" s="4"/>
      <c r="R6924" s="4"/>
      <c r="S6924" s="4"/>
      <c r="T6924" s="4"/>
      <c r="U6924" s="4"/>
      <c r="V6924" s="4"/>
      <c r="W6924" s="4"/>
      <c r="X6924" s="4"/>
    </row>
    <row r="6925" spans="17:24" x14ac:dyDescent="0.3">
      <c r="Q6925" s="4"/>
      <c r="R6925" s="4"/>
      <c r="S6925" s="4"/>
      <c r="T6925" s="4"/>
      <c r="U6925" s="4"/>
      <c r="V6925" s="4"/>
      <c r="W6925" s="4"/>
      <c r="X6925" s="4"/>
    </row>
    <row r="6926" spans="17:24" x14ac:dyDescent="0.3">
      <c r="Q6926" s="4"/>
      <c r="R6926" s="4"/>
      <c r="S6926" s="4"/>
      <c r="T6926" s="4"/>
      <c r="U6926" s="4"/>
      <c r="V6926" s="4"/>
      <c r="W6926" s="4"/>
      <c r="X6926" s="4"/>
    </row>
    <row r="6927" spans="17:24" x14ac:dyDescent="0.3">
      <c r="Q6927" s="4"/>
      <c r="R6927" s="4"/>
      <c r="S6927" s="4"/>
      <c r="T6927" s="4"/>
      <c r="U6927" s="4"/>
      <c r="V6927" s="4"/>
      <c r="W6927" s="4"/>
      <c r="X6927" s="4"/>
    </row>
    <row r="6928" spans="17:24" x14ac:dyDescent="0.3">
      <c r="Q6928" s="4"/>
      <c r="R6928" s="4"/>
      <c r="S6928" s="4"/>
      <c r="T6928" s="4"/>
      <c r="U6928" s="4"/>
      <c r="V6928" s="4"/>
      <c r="W6928" s="4"/>
      <c r="X6928" s="4"/>
    </row>
    <row r="6929" spans="17:24" x14ac:dyDescent="0.3">
      <c r="Q6929" s="4"/>
      <c r="R6929" s="4"/>
      <c r="S6929" s="4"/>
      <c r="T6929" s="4"/>
      <c r="U6929" s="4"/>
      <c r="V6929" s="4"/>
      <c r="W6929" s="4"/>
      <c r="X6929" s="4"/>
    </row>
    <row r="6930" spans="17:24" x14ac:dyDescent="0.3">
      <c r="Q6930" s="4"/>
      <c r="R6930" s="4"/>
      <c r="S6930" s="4"/>
      <c r="T6930" s="4"/>
      <c r="U6930" s="4"/>
      <c r="V6930" s="4"/>
      <c r="W6930" s="4"/>
      <c r="X6930" s="4"/>
    </row>
    <row r="6931" spans="17:24" x14ac:dyDescent="0.3">
      <c r="Q6931" s="4"/>
      <c r="R6931" s="4"/>
      <c r="S6931" s="4"/>
      <c r="T6931" s="4"/>
      <c r="U6931" s="4"/>
      <c r="V6931" s="4"/>
      <c r="W6931" s="4"/>
      <c r="X6931" s="4"/>
    </row>
    <row r="6932" spans="17:24" x14ac:dyDescent="0.3">
      <c r="Q6932" s="4"/>
      <c r="R6932" s="4"/>
      <c r="S6932" s="4"/>
      <c r="T6932" s="4"/>
      <c r="U6932" s="4"/>
      <c r="V6932" s="4"/>
      <c r="W6932" s="4"/>
      <c r="X6932" s="4"/>
    </row>
    <row r="6933" spans="17:24" x14ac:dyDescent="0.3">
      <c r="Q6933" s="4"/>
      <c r="R6933" s="4"/>
      <c r="S6933" s="4"/>
      <c r="T6933" s="4"/>
      <c r="U6933" s="4"/>
      <c r="V6933" s="4"/>
      <c r="W6933" s="4"/>
      <c r="X6933" s="4"/>
    </row>
    <row r="6934" spans="17:24" x14ac:dyDescent="0.3">
      <c r="Q6934" s="4"/>
      <c r="R6934" s="4"/>
      <c r="S6934" s="4"/>
      <c r="T6934" s="4"/>
      <c r="U6934" s="4"/>
      <c r="V6934" s="4"/>
      <c r="W6934" s="4"/>
      <c r="X6934" s="4"/>
    </row>
    <row r="6935" spans="17:24" x14ac:dyDescent="0.3">
      <c r="Q6935" s="4"/>
      <c r="R6935" s="4"/>
      <c r="S6935" s="4"/>
      <c r="T6935" s="4"/>
      <c r="U6935" s="4"/>
      <c r="V6935" s="4"/>
      <c r="W6935" s="4"/>
      <c r="X6935" s="4"/>
    </row>
    <row r="6936" spans="17:24" x14ac:dyDescent="0.3">
      <c r="Q6936" s="4"/>
      <c r="R6936" s="4"/>
      <c r="S6936" s="4"/>
      <c r="T6936" s="4"/>
      <c r="U6936" s="4"/>
      <c r="V6936" s="4"/>
      <c r="W6936" s="4"/>
      <c r="X6936" s="4"/>
    </row>
    <row r="6937" spans="17:24" x14ac:dyDescent="0.3">
      <c r="Q6937" s="4"/>
      <c r="R6937" s="4"/>
      <c r="S6937" s="4"/>
      <c r="T6937" s="4"/>
      <c r="U6937" s="4"/>
      <c r="V6937" s="4"/>
      <c r="W6937" s="4"/>
      <c r="X6937" s="4"/>
    </row>
    <row r="6938" spans="17:24" x14ac:dyDescent="0.3">
      <c r="Q6938" s="4"/>
      <c r="R6938" s="4"/>
      <c r="S6938" s="4"/>
      <c r="T6938" s="4"/>
      <c r="U6938" s="4"/>
      <c r="V6938" s="4"/>
      <c r="W6938" s="4"/>
      <c r="X6938" s="4"/>
    </row>
    <row r="6939" spans="17:24" x14ac:dyDescent="0.3">
      <c r="Q6939" s="4"/>
      <c r="R6939" s="4"/>
      <c r="S6939" s="4"/>
      <c r="T6939" s="4"/>
      <c r="U6939" s="4"/>
      <c r="V6939" s="4"/>
      <c r="W6939" s="4"/>
      <c r="X6939" s="4"/>
    </row>
    <row r="6940" spans="17:24" x14ac:dyDescent="0.3">
      <c r="Q6940" s="4"/>
      <c r="R6940" s="4"/>
      <c r="S6940" s="4"/>
      <c r="T6940" s="4"/>
      <c r="U6940" s="4"/>
      <c r="V6940" s="4"/>
      <c r="W6940" s="4"/>
      <c r="X6940" s="4"/>
    </row>
    <row r="6941" spans="17:24" x14ac:dyDescent="0.3">
      <c r="Q6941" s="4"/>
      <c r="R6941" s="4"/>
      <c r="S6941" s="4"/>
      <c r="T6941" s="4"/>
      <c r="U6941" s="4"/>
      <c r="V6941" s="4"/>
      <c r="W6941" s="4"/>
      <c r="X6941" s="4"/>
    </row>
    <row r="6942" spans="17:24" x14ac:dyDescent="0.3">
      <c r="Q6942" s="4"/>
      <c r="R6942" s="4"/>
      <c r="S6942" s="4"/>
      <c r="T6942" s="4"/>
      <c r="U6942" s="4"/>
      <c r="V6942" s="4"/>
      <c r="W6942" s="4"/>
      <c r="X6942" s="4"/>
    </row>
    <row r="6943" spans="17:24" x14ac:dyDescent="0.3">
      <c r="Q6943" s="4"/>
      <c r="R6943" s="4"/>
      <c r="S6943" s="4"/>
      <c r="T6943" s="4"/>
      <c r="U6943" s="4"/>
      <c r="V6943" s="4"/>
      <c r="W6943" s="4"/>
      <c r="X6943" s="4"/>
    </row>
    <row r="6944" spans="17:24" x14ac:dyDescent="0.3">
      <c r="Q6944" s="4"/>
      <c r="R6944" s="4"/>
      <c r="S6944" s="4"/>
      <c r="T6944" s="4"/>
      <c r="U6944" s="4"/>
      <c r="V6944" s="4"/>
      <c r="W6944" s="4"/>
      <c r="X6944" s="4"/>
    </row>
    <row r="6945" spans="17:24" x14ac:dyDescent="0.3">
      <c r="Q6945" s="4"/>
      <c r="R6945" s="4"/>
      <c r="S6945" s="4"/>
      <c r="T6945" s="4"/>
      <c r="U6945" s="4"/>
      <c r="V6945" s="4"/>
      <c r="W6945" s="4"/>
      <c r="X6945" s="4"/>
    </row>
    <row r="6946" spans="17:24" x14ac:dyDescent="0.3">
      <c r="Q6946" s="4"/>
      <c r="R6946" s="4"/>
      <c r="S6946" s="4"/>
      <c r="T6946" s="4"/>
      <c r="U6946" s="4"/>
      <c r="V6946" s="4"/>
      <c r="W6946" s="4"/>
      <c r="X6946" s="4"/>
    </row>
    <row r="6947" spans="17:24" x14ac:dyDescent="0.3">
      <c r="Q6947" s="4"/>
      <c r="R6947" s="4"/>
      <c r="S6947" s="4"/>
      <c r="T6947" s="4"/>
      <c r="U6947" s="4"/>
      <c r="V6947" s="4"/>
      <c r="W6947" s="4"/>
      <c r="X6947" s="4"/>
    </row>
    <row r="6948" spans="17:24" x14ac:dyDescent="0.3">
      <c r="Q6948" s="4"/>
      <c r="R6948" s="4"/>
      <c r="S6948" s="4"/>
      <c r="T6948" s="4"/>
      <c r="U6948" s="4"/>
      <c r="V6948" s="4"/>
      <c r="W6948" s="4"/>
      <c r="X6948" s="4"/>
    </row>
    <row r="6949" spans="17:24" x14ac:dyDescent="0.3">
      <c r="Q6949" s="4"/>
      <c r="R6949" s="4"/>
      <c r="S6949" s="4"/>
      <c r="T6949" s="4"/>
      <c r="U6949" s="4"/>
      <c r="V6949" s="4"/>
      <c r="W6949" s="4"/>
      <c r="X6949" s="4"/>
    </row>
    <row r="6950" spans="17:24" x14ac:dyDescent="0.3">
      <c r="Q6950" s="4"/>
      <c r="R6950" s="4"/>
      <c r="S6950" s="4"/>
      <c r="T6950" s="4"/>
      <c r="U6950" s="4"/>
      <c r="V6950" s="4"/>
      <c r="W6950" s="4"/>
      <c r="X6950" s="4"/>
    </row>
    <row r="6951" spans="17:24" x14ac:dyDescent="0.3">
      <c r="Q6951" s="4"/>
      <c r="R6951" s="4"/>
      <c r="S6951" s="4"/>
      <c r="T6951" s="4"/>
      <c r="U6951" s="4"/>
      <c r="V6951" s="4"/>
      <c r="W6951" s="4"/>
      <c r="X6951" s="4"/>
    </row>
    <row r="6952" spans="17:24" x14ac:dyDescent="0.3">
      <c r="Q6952" s="4"/>
      <c r="R6952" s="4"/>
      <c r="S6952" s="4"/>
      <c r="T6952" s="4"/>
      <c r="U6952" s="4"/>
      <c r="V6952" s="4"/>
      <c r="W6952" s="4"/>
      <c r="X6952" s="4"/>
    </row>
    <row r="6953" spans="17:24" x14ac:dyDescent="0.3">
      <c r="Q6953" s="4"/>
      <c r="R6953" s="4"/>
      <c r="S6953" s="4"/>
      <c r="T6953" s="4"/>
      <c r="U6953" s="4"/>
      <c r="V6953" s="4"/>
      <c r="W6953" s="4"/>
      <c r="X6953" s="4"/>
    </row>
    <row r="6954" spans="17:24" x14ac:dyDescent="0.3">
      <c r="Q6954" s="4"/>
      <c r="R6954" s="4"/>
      <c r="S6954" s="4"/>
      <c r="T6954" s="4"/>
      <c r="U6954" s="4"/>
      <c r="V6954" s="4"/>
      <c r="W6954" s="4"/>
      <c r="X6954" s="4"/>
    </row>
    <row r="6955" spans="17:24" x14ac:dyDescent="0.3">
      <c r="Q6955" s="4"/>
      <c r="R6955" s="4"/>
      <c r="S6955" s="4"/>
      <c r="T6955" s="4"/>
      <c r="U6955" s="4"/>
      <c r="V6955" s="4"/>
      <c r="W6955" s="4"/>
      <c r="X6955" s="4"/>
    </row>
    <row r="6956" spans="17:24" x14ac:dyDescent="0.3">
      <c r="Q6956" s="4"/>
      <c r="R6956" s="4"/>
      <c r="S6956" s="4"/>
      <c r="T6956" s="4"/>
      <c r="U6956" s="4"/>
      <c r="V6956" s="4"/>
      <c r="W6956" s="4"/>
      <c r="X6956" s="4"/>
    </row>
    <row r="6957" spans="17:24" x14ac:dyDescent="0.3">
      <c r="Q6957" s="4"/>
      <c r="R6957" s="4"/>
      <c r="S6957" s="4"/>
      <c r="T6957" s="4"/>
      <c r="U6957" s="4"/>
      <c r="V6957" s="4"/>
      <c r="W6957" s="4"/>
      <c r="X6957" s="4"/>
    </row>
    <row r="6958" spans="17:24" x14ac:dyDescent="0.3">
      <c r="Q6958" s="4"/>
      <c r="R6958" s="4"/>
      <c r="S6958" s="4"/>
      <c r="T6958" s="4"/>
      <c r="U6958" s="4"/>
      <c r="V6958" s="4"/>
      <c r="W6958" s="4"/>
      <c r="X6958" s="4"/>
    </row>
    <row r="6959" spans="17:24" x14ac:dyDescent="0.3">
      <c r="Q6959" s="4"/>
      <c r="R6959" s="4"/>
      <c r="S6959" s="4"/>
      <c r="T6959" s="4"/>
      <c r="U6959" s="4"/>
      <c r="V6959" s="4"/>
      <c r="W6959" s="4"/>
      <c r="X6959" s="4"/>
    </row>
    <row r="6960" spans="17:24" x14ac:dyDescent="0.3">
      <c r="Q6960" s="4"/>
      <c r="R6960" s="4"/>
      <c r="S6960" s="4"/>
      <c r="T6960" s="4"/>
      <c r="U6960" s="4"/>
      <c r="V6960" s="4"/>
      <c r="W6960" s="4"/>
      <c r="X6960" s="4"/>
    </row>
    <row r="6961" spans="17:24" x14ac:dyDescent="0.3">
      <c r="Q6961" s="4"/>
      <c r="R6961" s="4"/>
      <c r="S6961" s="4"/>
      <c r="T6961" s="4"/>
      <c r="U6961" s="4"/>
      <c r="V6961" s="4"/>
      <c r="W6961" s="4"/>
      <c r="X6961" s="4"/>
    </row>
    <row r="6962" spans="17:24" x14ac:dyDescent="0.3">
      <c r="Q6962" s="4"/>
      <c r="R6962" s="4"/>
      <c r="S6962" s="4"/>
      <c r="T6962" s="4"/>
      <c r="U6962" s="4"/>
      <c r="V6962" s="4"/>
      <c r="W6962" s="4"/>
      <c r="X6962" s="4"/>
    </row>
    <row r="6963" spans="17:24" x14ac:dyDescent="0.3">
      <c r="Q6963" s="4"/>
      <c r="R6963" s="4"/>
      <c r="S6963" s="4"/>
      <c r="T6963" s="4"/>
      <c r="U6963" s="4"/>
      <c r="V6963" s="4"/>
      <c r="W6963" s="4"/>
      <c r="X6963" s="4"/>
    </row>
    <row r="6964" spans="17:24" x14ac:dyDescent="0.3">
      <c r="Q6964" s="4"/>
      <c r="R6964" s="4"/>
      <c r="S6964" s="4"/>
      <c r="T6964" s="4"/>
      <c r="U6964" s="4"/>
      <c r="V6964" s="4"/>
      <c r="W6964" s="4"/>
      <c r="X6964" s="4"/>
    </row>
    <row r="6965" spans="17:24" x14ac:dyDescent="0.3">
      <c r="Q6965" s="4"/>
      <c r="R6965" s="4"/>
      <c r="S6965" s="4"/>
      <c r="T6965" s="4"/>
      <c r="U6965" s="4"/>
      <c r="V6965" s="4"/>
      <c r="W6965" s="4"/>
      <c r="X6965" s="4"/>
    </row>
    <row r="6966" spans="17:24" x14ac:dyDescent="0.3">
      <c r="Q6966" s="4"/>
      <c r="R6966" s="4"/>
      <c r="S6966" s="4"/>
      <c r="T6966" s="4"/>
      <c r="U6966" s="4"/>
      <c r="V6966" s="4"/>
      <c r="W6966" s="4"/>
      <c r="X6966" s="4"/>
    </row>
    <row r="6967" spans="17:24" x14ac:dyDescent="0.3">
      <c r="Q6967" s="4"/>
      <c r="R6967" s="4"/>
      <c r="S6967" s="4"/>
      <c r="T6967" s="4"/>
      <c r="U6967" s="4"/>
      <c r="V6967" s="4"/>
      <c r="W6967" s="4"/>
      <c r="X6967" s="4"/>
    </row>
    <row r="6968" spans="17:24" x14ac:dyDescent="0.3">
      <c r="Q6968" s="4"/>
      <c r="R6968" s="4"/>
      <c r="S6968" s="4"/>
      <c r="T6968" s="4"/>
      <c r="U6968" s="4"/>
      <c r="V6968" s="4"/>
      <c r="W6968" s="4"/>
      <c r="X6968" s="4"/>
    </row>
    <row r="6969" spans="17:24" x14ac:dyDescent="0.3">
      <c r="Q6969" s="4"/>
      <c r="R6969" s="4"/>
      <c r="S6969" s="4"/>
      <c r="T6969" s="4"/>
      <c r="U6969" s="4"/>
      <c r="V6969" s="4"/>
      <c r="W6969" s="4"/>
      <c r="X6969" s="4"/>
    </row>
    <row r="6970" spans="17:24" x14ac:dyDescent="0.3">
      <c r="Q6970" s="4"/>
      <c r="R6970" s="4"/>
      <c r="S6970" s="4"/>
      <c r="T6970" s="4"/>
      <c r="U6970" s="4"/>
      <c r="V6970" s="4"/>
      <c r="W6970" s="4"/>
      <c r="X6970" s="4"/>
    </row>
    <row r="6971" spans="17:24" x14ac:dyDescent="0.3">
      <c r="Q6971" s="4"/>
      <c r="R6971" s="4"/>
      <c r="S6971" s="4"/>
      <c r="T6971" s="4"/>
      <c r="U6971" s="4"/>
      <c r="V6971" s="4"/>
      <c r="W6971" s="4"/>
      <c r="X6971" s="4"/>
    </row>
    <row r="6972" spans="17:24" x14ac:dyDescent="0.3">
      <c r="Q6972" s="4"/>
      <c r="R6972" s="4"/>
      <c r="S6972" s="4"/>
      <c r="T6972" s="4"/>
      <c r="U6972" s="4"/>
      <c r="V6972" s="4"/>
      <c r="W6972" s="4"/>
      <c r="X6972" s="4"/>
    </row>
    <row r="6973" spans="17:24" x14ac:dyDescent="0.3">
      <c r="Q6973" s="4"/>
      <c r="R6973" s="4"/>
      <c r="S6973" s="4"/>
      <c r="T6973" s="4"/>
      <c r="U6973" s="4"/>
      <c r="V6973" s="4"/>
      <c r="W6973" s="4"/>
      <c r="X6973" s="4"/>
    </row>
    <row r="6974" spans="17:24" x14ac:dyDescent="0.3">
      <c r="Q6974" s="4"/>
      <c r="R6974" s="4"/>
      <c r="S6974" s="4"/>
      <c r="T6974" s="4"/>
      <c r="U6974" s="4"/>
      <c r="V6974" s="4"/>
      <c r="W6974" s="4"/>
      <c r="X6974" s="4"/>
    </row>
    <row r="6975" spans="17:24" x14ac:dyDescent="0.3">
      <c r="Q6975" s="4"/>
      <c r="R6975" s="4"/>
      <c r="S6975" s="4"/>
      <c r="T6975" s="4"/>
      <c r="U6975" s="4"/>
      <c r="V6975" s="4"/>
      <c r="W6975" s="4"/>
      <c r="X6975" s="4"/>
    </row>
    <row r="6976" spans="17:24" x14ac:dyDescent="0.3">
      <c r="Q6976" s="4"/>
      <c r="R6976" s="4"/>
      <c r="S6976" s="4"/>
      <c r="T6976" s="4"/>
      <c r="U6976" s="4"/>
      <c r="V6976" s="4"/>
      <c r="W6976" s="4"/>
      <c r="X6976" s="4"/>
    </row>
    <row r="6977" spans="17:24" x14ac:dyDescent="0.3">
      <c r="Q6977" s="4"/>
      <c r="R6977" s="4"/>
      <c r="S6977" s="4"/>
      <c r="T6977" s="4"/>
      <c r="U6977" s="4"/>
      <c r="V6977" s="4"/>
      <c r="W6977" s="4"/>
      <c r="X6977" s="4"/>
    </row>
    <row r="6978" spans="17:24" x14ac:dyDescent="0.3">
      <c r="Q6978" s="4"/>
      <c r="R6978" s="4"/>
      <c r="S6978" s="4"/>
      <c r="T6978" s="4"/>
      <c r="U6978" s="4"/>
      <c r="V6978" s="4"/>
      <c r="W6978" s="4"/>
      <c r="X6978" s="4"/>
    </row>
    <row r="6979" spans="17:24" x14ac:dyDescent="0.3">
      <c r="Q6979" s="4"/>
      <c r="R6979" s="4"/>
      <c r="S6979" s="4"/>
      <c r="T6979" s="4"/>
      <c r="U6979" s="4"/>
      <c r="V6979" s="4"/>
      <c r="W6979" s="4"/>
      <c r="X6979" s="4"/>
    </row>
    <row r="6980" spans="17:24" x14ac:dyDescent="0.3">
      <c r="Q6980" s="4"/>
      <c r="R6980" s="4"/>
      <c r="S6980" s="4"/>
      <c r="T6980" s="4"/>
      <c r="U6980" s="4"/>
      <c r="V6980" s="4"/>
      <c r="W6980" s="4"/>
      <c r="X6980" s="4"/>
    </row>
    <row r="6981" spans="17:24" x14ac:dyDescent="0.3">
      <c r="Q6981" s="4"/>
      <c r="R6981" s="4"/>
      <c r="S6981" s="4"/>
      <c r="T6981" s="4"/>
      <c r="U6981" s="4"/>
      <c r="V6981" s="4"/>
      <c r="W6981" s="4"/>
      <c r="X6981" s="4"/>
    </row>
    <row r="6982" spans="17:24" x14ac:dyDescent="0.3">
      <c r="Q6982" s="4"/>
      <c r="R6982" s="4"/>
      <c r="S6982" s="4"/>
      <c r="T6982" s="4"/>
      <c r="U6982" s="4"/>
      <c r="V6982" s="4"/>
      <c r="W6982" s="4"/>
      <c r="X6982" s="4"/>
    </row>
    <row r="6983" spans="17:24" x14ac:dyDescent="0.3">
      <c r="Q6983" s="4"/>
      <c r="R6983" s="4"/>
      <c r="S6983" s="4"/>
      <c r="T6983" s="4"/>
      <c r="U6983" s="4"/>
      <c r="V6983" s="4"/>
      <c r="W6983" s="4"/>
      <c r="X6983" s="4"/>
    </row>
    <row r="6984" spans="17:24" x14ac:dyDescent="0.3">
      <c r="Q6984" s="4"/>
      <c r="R6984" s="4"/>
      <c r="S6984" s="4"/>
      <c r="T6984" s="4"/>
      <c r="U6984" s="4"/>
      <c r="V6984" s="4"/>
      <c r="W6984" s="4"/>
      <c r="X6984" s="4"/>
    </row>
    <row r="6985" spans="17:24" x14ac:dyDescent="0.3">
      <c r="Q6985" s="4"/>
      <c r="R6985" s="4"/>
      <c r="S6985" s="4"/>
      <c r="T6985" s="4"/>
      <c r="U6985" s="4"/>
      <c r="V6985" s="4"/>
      <c r="W6985" s="4"/>
      <c r="X6985" s="4"/>
    </row>
    <row r="6986" spans="17:24" x14ac:dyDescent="0.3">
      <c r="Q6986" s="4"/>
      <c r="R6986" s="4"/>
      <c r="S6986" s="4"/>
      <c r="T6986" s="4"/>
      <c r="U6986" s="4"/>
      <c r="V6986" s="4"/>
      <c r="W6986" s="4"/>
      <c r="X6986" s="4"/>
    </row>
    <row r="6987" spans="17:24" x14ac:dyDescent="0.3">
      <c r="Q6987" s="4"/>
      <c r="R6987" s="4"/>
      <c r="S6987" s="4"/>
      <c r="T6987" s="4"/>
      <c r="U6987" s="4"/>
      <c r="V6987" s="4"/>
      <c r="W6987" s="4"/>
      <c r="X6987" s="4"/>
    </row>
    <row r="6988" spans="17:24" x14ac:dyDescent="0.3">
      <c r="Q6988" s="4"/>
      <c r="R6988" s="4"/>
      <c r="S6988" s="4"/>
      <c r="T6988" s="4"/>
      <c r="U6988" s="4"/>
      <c r="V6988" s="4"/>
      <c r="W6988" s="4"/>
      <c r="X6988" s="4"/>
    </row>
    <row r="6989" spans="17:24" x14ac:dyDescent="0.3">
      <c r="Q6989" s="4"/>
      <c r="R6989" s="4"/>
      <c r="S6989" s="4"/>
      <c r="T6989" s="4"/>
      <c r="U6989" s="4"/>
      <c r="V6989" s="4"/>
      <c r="W6989" s="4"/>
      <c r="X6989" s="4"/>
    </row>
    <row r="6990" spans="17:24" x14ac:dyDescent="0.3">
      <c r="Q6990" s="4"/>
      <c r="R6990" s="4"/>
      <c r="S6990" s="4"/>
      <c r="T6990" s="4"/>
      <c r="U6990" s="4"/>
      <c r="V6990" s="4"/>
      <c r="W6990" s="4"/>
      <c r="X6990" s="4"/>
    </row>
    <row r="6991" spans="17:24" x14ac:dyDescent="0.3">
      <c r="Q6991" s="4"/>
      <c r="R6991" s="4"/>
      <c r="S6991" s="4"/>
      <c r="T6991" s="4"/>
      <c r="U6991" s="4"/>
      <c r="V6991" s="4"/>
      <c r="W6991" s="4"/>
      <c r="X6991" s="4"/>
    </row>
    <row r="6992" spans="17:24" x14ac:dyDescent="0.3">
      <c r="Q6992" s="4"/>
      <c r="R6992" s="4"/>
      <c r="S6992" s="4"/>
      <c r="T6992" s="4"/>
      <c r="U6992" s="4"/>
      <c r="V6992" s="4"/>
      <c r="W6992" s="4"/>
      <c r="X6992" s="4"/>
    </row>
    <row r="6993" spans="17:24" x14ac:dyDescent="0.3">
      <c r="Q6993" s="4"/>
      <c r="R6993" s="4"/>
      <c r="S6993" s="4"/>
      <c r="T6993" s="4"/>
      <c r="U6993" s="4"/>
      <c r="V6993" s="4"/>
      <c r="W6993" s="4"/>
      <c r="X6993" s="4"/>
    </row>
    <row r="6994" spans="17:24" x14ac:dyDescent="0.3">
      <c r="Q6994" s="4"/>
      <c r="R6994" s="4"/>
      <c r="S6994" s="4"/>
      <c r="T6994" s="4"/>
      <c r="U6994" s="4"/>
      <c r="V6994" s="4"/>
      <c r="W6994" s="4"/>
      <c r="X6994" s="4"/>
    </row>
    <row r="6995" spans="17:24" x14ac:dyDescent="0.3">
      <c r="Q6995" s="4"/>
      <c r="R6995" s="4"/>
      <c r="S6995" s="4"/>
      <c r="T6995" s="4"/>
      <c r="U6995" s="4"/>
      <c r="V6995" s="4"/>
      <c r="W6995" s="4"/>
      <c r="X6995" s="4"/>
    </row>
    <row r="6996" spans="17:24" x14ac:dyDescent="0.3">
      <c r="Q6996" s="4"/>
      <c r="R6996" s="4"/>
      <c r="S6996" s="4"/>
      <c r="T6996" s="4"/>
      <c r="U6996" s="4"/>
      <c r="V6996" s="4"/>
      <c r="W6996" s="4"/>
      <c r="X6996" s="4"/>
    </row>
    <row r="6997" spans="17:24" x14ac:dyDescent="0.3">
      <c r="Q6997" s="4"/>
      <c r="R6997" s="4"/>
      <c r="S6997" s="4"/>
      <c r="T6997" s="4"/>
      <c r="U6997" s="4"/>
      <c r="V6997" s="4"/>
      <c r="W6997" s="4"/>
      <c r="X6997" s="4"/>
    </row>
    <row r="6998" spans="17:24" x14ac:dyDescent="0.3">
      <c r="Q6998" s="4"/>
      <c r="R6998" s="4"/>
      <c r="S6998" s="4"/>
      <c r="T6998" s="4"/>
      <c r="U6998" s="4"/>
      <c r="V6998" s="4"/>
      <c r="W6998" s="4"/>
      <c r="X6998" s="4"/>
    </row>
    <row r="6999" spans="17:24" x14ac:dyDescent="0.3">
      <c r="Q6999" s="4"/>
      <c r="R6999" s="4"/>
      <c r="S6999" s="4"/>
      <c r="T6999" s="4"/>
      <c r="U6999" s="4"/>
      <c r="V6999" s="4"/>
      <c r="W6999" s="4"/>
      <c r="X6999" s="4"/>
    </row>
    <row r="7000" spans="17:24" x14ac:dyDescent="0.3">
      <c r="Q7000" s="4"/>
      <c r="R7000" s="4"/>
      <c r="S7000" s="4"/>
      <c r="T7000" s="4"/>
      <c r="U7000" s="4"/>
      <c r="V7000" s="4"/>
      <c r="W7000" s="4"/>
      <c r="X7000" s="4"/>
    </row>
    <row r="7001" spans="17:24" x14ac:dyDescent="0.3">
      <c r="Q7001" s="4"/>
      <c r="R7001" s="4"/>
      <c r="S7001" s="4"/>
      <c r="T7001" s="4"/>
      <c r="U7001" s="4"/>
      <c r="V7001" s="4"/>
      <c r="W7001" s="4"/>
      <c r="X7001" s="4"/>
    </row>
    <row r="7002" spans="17:24" x14ac:dyDescent="0.3">
      <c r="Q7002" s="4"/>
      <c r="R7002" s="4"/>
      <c r="S7002" s="4"/>
      <c r="T7002" s="4"/>
      <c r="U7002" s="4"/>
      <c r="V7002" s="4"/>
      <c r="W7002" s="4"/>
      <c r="X7002" s="4"/>
    </row>
    <row r="7003" spans="17:24" x14ac:dyDescent="0.3">
      <c r="Q7003" s="4"/>
      <c r="R7003" s="4"/>
      <c r="S7003" s="4"/>
      <c r="T7003" s="4"/>
      <c r="U7003" s="4"/>
      <c r="V7003" s="4"/>
      <c r="W7003" s="4"/>
      <c r="X7003" s="4"/>
    </row>
    <row r="7004" spans="17:24" x14ac:dyDescent="0.3">
      <c r="Q7004" s="4"/>
      <c r="R7004" s="4"/>
      <c r="S7004" s="4"/>
      <c r="T7004" s="4"/>
      <c r="U7004" s="4"/>
      <c r="V7004" s="4"/>
      <c r="W7004" s="4"/>
      <c r="X7004" s="4"/>
    </row>
    <row r="7005" spans="17:24" x14ac:dyDescent="0.3">
      <c r="Q7005" s="4"/>
      <c r="R7005" s="4"/>
      <c r="S7005" s="4"/>
      <c r="T7005" s="4"/>
      <c r="U7005" s="4"/>
      <c r="V7005" s="4"/>
      <c r="W7005" s="4"/>
      <c r="X7005" s="4"/>
    </row>
    <row r="7006" spans="17:24" x14ac:dyDescent="0.3">
      <c r="Q7006" s="4"/>
      <c r="R7006" s="4"/>
      <c r="S7006" s="4"/>
      <c r="T7006" s="4"/>
      <c r="U7006" s="4"/>
      <c r="V7006" s="4"/>
      <c r="W7006" s="4"/>
      <c r="X7006" s="4"/>
    </row>
    <row r="7007" spans="17:24" x14ac:dyDescent="0.3">
      <c r="Q7007" s="4"/>
      <c r="R7007" s="4"/>
      <c r="S7007" s="4"/>
      <c r="T7007" s="4"/>
      <c r="U7007" s="4"/>
      <c r="V7007" s="4"/>
      <c r="W7007" s="4"/>
      <c r="X7007" s="4"/>
    </row>
    <row r="7008" spans="17:24" x14ac:dyDescent="0.3">
      <c r="Q7008" s="4"/>
      <c r="R7008" s="4"/>
      <c r="S7008" s="4"/>
      <c r="T7008" s="4"/>
      <c r="U7008" s="4"/>
      <c r="V7008" s="4"/>
      <c r="W7008" s="4"/>
      <c r="X7008" s="4"/>
    </row>
    <row r="7009" spans="17:24" x14ac:dyDescent="0.3">
      <c r="Q7009" s="4"/>
      <c r="R7009" s="4"/>
      <c r="S7009" s="4"/>
      <c r="T7009" s="4"/>
      <c r="U7009" s="4"/>
      <c r="V7009" s="4"/>
      <c r="W7009" s="4"/>
      <c r="X7009" s="4"/>
    </row>
    <row r="7010" spans="17:24" x14ac:dyDescent="0.3">
      <c r="Q7010" s="4"/>
      <c r="R7010" s="4"/>
      <c r="S7010" s="4"/>
      <c r="T7010" s="4"/>
      <c r="U7010" s="4"/>
      <c r="V7010" s="4"/>
      <c r="W7010" s="4"/>
      <c r="X7010" s="4"/>
    </row>
    <row r="7011" spans="17:24" x14ac:dyDescent="0.3">
      <c r="Q7011" s="4"/>
      <c r="R7011" s="4"/>
      <c r="S7011" s="4"/>
      <c r="T7011" s="4"/>
      <c r="U7011" s="4"/>
      <c r="V7011" s="4"/>
      <c r="W7011" s="4"/>
      <c r="X7011" s="4"/>
    </row>
    <row r="7012" spans="17:24" x14ac:dyDescent="0.3">
      <c r="Q7012" s="4"/>
      <c r="R7012" s="4"/>
      <c r="S7012" s="4"/>
      <c r="T7012" s="4"/>
      <c r="U7012" s="4"/>
      <c r="V7012" s="4"/>
      <c r="W7012" s="4"/>
      <c r="X7012" s="4"/>
    </row>
    <row r="7013" spans="17:24" x14ac:dyDescent="0.3">
      <c r="Q7013" s="4"/>
      <c r="R7013" s="4"/>
      <c r="S7013" s="4"/>
      <c r="T7013" s="4"/>
      <c r="U7013" s="4"/>
      <c r="V7013" s="4"/>
      <c r="W7013" s="4"/>
      <c r="X7013" s="4"/>
    </row>
    <row r="7014" spans="17:24" x14ac:dyDescent="0.3">
      <c r="Q7014" s="4"/>
      <c r="R7014" s="4"/>
      <c r="S7014" s="4"/>
      <c r="T7014" s="4"/>
      <c r="U7014" s="4"/>
      <c r="V7014" s="4"/>
      <c r="W7014" s="4"/>
      <c r="X7014" s="4"/>
    </row>
    <row r="7015" spans="17:24" x14ac:dyDescent="0.3">
      <c r="Q7015" s="4"/>
      <c r="R7015" s="4"/>
      <c r="S7015" s="4"/>
      <c r="T7015" s="4"/>
      <c r="U7015" s="4"/>
      <c r="V7015" s="4"/>
      <c r="W7015" s="4"/>
      <c r="X7015" s="4"/>
    </row>
    <row r="7016" spans="17:24" x14ac:dyDescent="0.3">
      <c r="Q7016" s="4"/>
      <c r="R7016" s="4"/>
      <c r="S7016" s="4"/>
      <c r="T7016" s="4"/>
      <c r="U7016" s="4"/>
      <c r="V7016" s="4"/>
      <c r="W7016" s="4"/>
      <c r="X7016" s="4"/>
    </row>
    <row r="7017" spans="17:24" x14ac:dyDescent="0.3">
      <c r="Q7017" s="4"/>
      <c r="R7017" s="4"/>
      <c r="S7017" s="4"/>
      <c r="T7017" s="4"/>
      <c r="U7017" s="4"/>
      <c r="V7017" s="4"/>
      <c r="W7017" s="4"/>
      <c r="X7017" s="4"/>
    </row>
    <row r="7018" spans="17:24" x14ac:dyDescent="0.3">
      <c r="Q7018" s="4"/>
      <c r="R7018" s="4"/>
      <c r="S7018" s="4"/>
      <c r="T7018" s="4"/>
      <c r="U7018" s="4"/>
      <c r="V7018" s="4"/>
      <c r="W7018" s="4"/>
      <c r="X7018" s="4"/>
    </row>
    <row r="7019" spans="17:24" x14ac:dyDescent="0.3">
      <c r="Q7019" s="4"/>
      <c r="R7019" s="4"/>
      <c r="S7019" s="4"/>
      <c r="T7019" s="4"/>
      <c r="U7019" s="4"/>
      <c r="V7019" s="4"/>
      <c r="W7019" s="4"/>
      <c r="X7019" s="4"/>
    </row>
    <row r="7020" spans="17:24" x14ac:dyDescent="0.3">
      <c r="Q7020" s="4"/>
      <c r="R7020" s="4"/>
      <c r="S7020" s="4"/>
      <c r="T7020" s="4"/>
      <c r="U7020" s="4"/>
      <c r="V7020" s="4"/>
      <c r="W7020" s="4"/>
      <c r="X7020" s="4"/>
    </row>
    <row r="7021" spans="17:24" x14ac:dyDescent="0.3">
      <c r="Q7021" s="4"/>
      <c r="R7021" s="4"/>
      <c r="S7021" s="4"/>
      <c r="T7021" s="4"/>
      <c r="U7021" s="4"/>
      <c r="V7021" s="4"/>
      <c r="W7021" s="4"/>
      <c r="X7021" s="4"/>
    </row>
    <row r="7022" spans="17:24" x14ac:dyDescent="0.3">
      <c r="Q7022" s="4"/>
      <c r="R7022" s="4"/>
      <c r="S7022" s="4"/>
      <c r="T7022" s="4"/>
      <c r="U7022" s="4"/>
      <c r="V7022" s="4"/>
      <c r="W7022" s="4"/>
      <c r="X7022" s="4"/>
    </row>
    <row r="7023" spans="17:24" x14ac:dyDescent="0.3">
      <c r="Q7023" s="4"/>
      <c r="R7023" s="4"/>
      <c r="S7023" s="4"/>
      <c r="T7023" s="4"/>
      <c r="U7023" s="4"/>
      <c r="V7023" s="4"/>
      <c r="W7023" s="4"/>
      <c r="X7023" s="4"/>
    </row>
    <row r="7024" spans="17:24" x14ac:dyDescent="0.3">
      <c r="Q7024" s="4"/>
      <c r="R7024" s="4"/>
      <c r="S7024" s="4"/>
      <c r="T7024" s="4"/>
      <c r="U7024" s="4"/>
      <c r="V7024" s="4"/>
      <c r="W7024" s="4"/>
      <c r="X7024" s="4"/>
    </row>
    <row r="7025" spans="17:24" x14ac:dyDescent="0.3">
      <c r="Q7025" s="4"/>
      <c r="R7025" s="4"/>
      <c r="S7025" s="4"/>
      <c r="T7025" s="4"/>
      <c r="U7025" s="4"/>
      <c r="V7025" s="4"/>
      <c r="W7025" s="4"/>
      <c r="X7025" s="4"/>
    </row>
    <row r="7026" spans="17:24" x14ac:dyDescent="0.3">
      <c r="Q7026" s="4"/>
      <c r="R7026" s="4"/>
      <c r="S7026" s="4"/>
      <c r="T7026" s="4"/>
      <c r="U7026" s="4"/>
      <c r="V7026" s="4"/>
      <c r="W7026" s="4"/>
      <c r="X7026" s="4"/>
    </row>
    <row r="7027" spans="17:24" x14ac:dyDescent="0.3">
      <c r="Q7027" s="4"/>
      <c r="R7027" s="4"/>
      <c r="S7027" s="4"/>
      <c r="T7027" s="4"/>
      <c r="U7027" s="4"/>
      <c r="V7027" s="4"/>
      <c r="W7027" s="4"/>
      <c r="X7027" s="4"/>
    </row>
    <row r="7028" spans="17:24" x14ac:dyDescent="0.3">
      <c r="Q7028" s="4"/>
      <c r="R7028" s="4"/>
      <c r="S7028" s="4"/>
      <c r="T7028" s="4"/>
      <c r="U7028" s="4"/>
      <c r="V7028" s="4"/>
      <c r="W7028" s="4"/>
      <c r="X7028" s="4"/>
    </row>
    <row r="7029" spans="17:24" x14ac:dyDescent="0.3">
      <c r="Q7029" s="4"/>
      <c r="R7029" s="4"/>
      <c r="S7029" s="4"/>
      <c r="T7029" s="4"/>
      <c r="U7029" s="4"/>
      <c r="V7029" s="4"/>
      <c r="W7029" s="4"/>
      <c r="X7029" s="4"/>
    </row>
    <row r="7030" spans="17:24" x14ac:dyDescent="0.3">
      <c r="Q7030" s="4"/>
      <c r="R7030" s="4"/>
      <c r="S7030" s="4"/>
      <c r="T7030" s="4"/>
      <c r="U7030" s="4"/>
      <c r="V7030" s="4"/>
      <c r="W7030" s="4"/>
      <c r="X7030" s="4"/>
    </row>
    <row r="7031" spans="17:24" x14ac:dyDescent="0.3">
      <c r="Q7031" s="4"/>
      <c r="R7031" s="4"/>
      <c r="S7031" s="4"/>
      <c r="T7031" s="4"/>
      <c r="U7031" s="4"/>
      <c r="V7031" s="4"/>
      <c r="W7031" s="4"/>
      <c r="X7031" s="4"/>
    </row>
    <row r="7032" spans="17:24" x14ac:dyDescent="0.3">
      <c r="Q7032" s="4"/>
      <c r="R7032" s="4"/>
      <c r="S7032" s="4"/>
      <c r="T7032" s="4"/>
      <c r="U7032" s="4"/>
      <c r="V7032" s="4"/>
      <c r="W7032" s="4"/>
      <c r="X7032" s="4"/>
    </row>
  </sheetData>
  <autoFilter ref="A3:BJ368" xr:uid="{3A8E6FFA-A486-44A6-BD1F-29D92F8EE696}">
    <filterColumn colId="50" showButton="0"/>
    <filterColumn colId="52" showButton="0"/>
    <filterColumn colId="54" showButton="0"/>
  </autoFilter>
  <mergeCells count="92">
    <mergeCell ref="A63:A93"/>
    <mergeCell ref="A94:A123"/>
    <mergeCell ref="A124:A154"/>
    <mergeCell ref="AU2:AV2"/>
    <mergeCell ref="AS2:AT2"/>
    <mergeCell ref="AK2:AL2"/>
    <mergeCell ref="AM2:AN2"/>
    <mergeCell ref="AO2:AP2"/>
    <mergeCell ref="Q2:R2"/>
    <mergeCell ref="Y2:Z2"/>
    <mergeCell ref="AA2:AB2"/>
    <mergeCell ref="AC2:AD2"/>
    <mergeCell ref="AE2:AF2"/>
    <mergeCell ref="AG2:AH2"/>
    <mergeCell ref="U2:V2"/>
    <mergeCell ref="S2:T2"/>
    <mergeCell ref="A308:A337"/>
    <mergeCell ref="A338:A368"/>
    <mergeCell ref="A155:A184"/>
    <mergeCell ref="A185:A215"/>
    <mergeCell ref="A216:A246"/>
    <mergeCell ref="A247:A276"/>
    <mergeCell ref="A277:A307"/>
    <mergeCell ref="AW2:AX2"/>
    <mergeCell ref="C1:AX1"/>
    <mergeCell ref="A4:A34"/>
    <mergeCell ref="A1:A3"/>
    <mergeCell ref="A35:A62"/>
    <mergeCell ref="O2:P2"/>
    <mergeCell ref="C2:C3"/>
    <mergeCell ref="D2:D3"/>
    <mergeCell ref="AQ2:AR2"/>
    <mergeCell ref="E2:F2"/>
    <mergeCell ref="G2:H2"/>
    <mergeCell ref="I2:J2"/>
    <mergeCell ref="K2:L2"/>
    <mergeCell ref="M2:N2"/>
    <mergeCell ref="AI2:AJ2"/>
    <mergeCell ref="W2:X2"/>
    <mergeCell ref="AY10:AZ11"/>
    <mergeCell ref="AY12:AZ13"/>
    <mergeCell ref="AY14:AZ15"/>
    <mergeCell ref="AY16:AZ17"/>
    <mergeCell ref="AY1:BD2"/>
    <mergeCell ref="BA4:BB5"/>
    <mergeCell ref="BA6:BB7"/>
    <mergeCell ref="BC4:BD5"/>
    <mergeCell ref="BC6:BD7"/>
    <mergeCell ref="AY4:AZ5"/>
    <mergeCell ref="AY6:AZ7"/>
    <mergeCell ref="BA3:BB3"/>
    <mergeCell ref="BC3:BD3"/>
    <mergeCell ref="AY3:AZ3"/>
    <mergeCell ref="BC24:BD25"/>
    <mergeCell ref="BC26:BD27"/>
    <mergeCell ref="BA18:BB19"/>
    <mergeCell ref="BA20:BB21"/>
    <mergeCell ref="BA22:BB23"/>
    <mergeCell ref="BA24:BB25"/>
    <mergeCell ref="BA26:BB27"/>
    <mergeCell ref="AY22:AZ23"/>
    <mergeCell ref="AY24:AZ25"/>
    <mergeCell ref="AY44:BB46"/>
    <mergeCell ref="BC44:BD46"/>
    <mergeCell ref="AY35:BB37"/>
    <mergeCell ref="BC35:BD37"/>
    <mergeCell ref="AY38:BB40"/>
    <mergeCell ref="BC38:BD40"/>
    <mergeCell ref="AY41:BB43"/>
    <mergeCell ref="BC41:BD43"/>
    <mergeCell ref="AY28:AZ29"/>
    <mergeCell ref="BA28:BB29"/>
    <mergeCell ref="BC28:BD29"/>
    <mergeCell ref="AY32:BD34"/>
    <mergeCell ref="AY26:AZ27"/>
    <mergeCell ref="BC22:BD23"/>
    <mergeCell ref="BE2:BJ2"/>
    <mergeCell ref="AY18:AZ19"/>
    <mergeCell ref="AY20:AZ21"/>
    <mergeCell ref="BC8:BD9"/>
    <mergeCell ref="BC10:BD11"/>
    <mergeCell ref="BC12:BD13"/>
    <mergeCell ref="BC14:BD15"/>
    <mergeCell ref="BC16:BD17"/>
    <mergeCell ref="BA8:BB9"/>
    <mergeCell ref="BA10:BB11"/>
    <mergeCell ref="BA12:BB13"/>
    <mergeCell ref="BA14:BB15"/>
    <mergeCell ref="BA16:BB17"/>
    <mergeCell ref="BC18:BD19"/>
    <mergeCell ref="BC20:BD21"/>
    <mergeCell ref="AY8:AZ9"/>
  </mergeCells>
  <phoneticPr fontId="1" type="noConversion"/>
  <conditionalFormatting sqref="A1:XFD1048576">
    <cfRule type="cellIs" dxfId="0" priority="2" operator="equal">
      <formula>48</formula>
    </cfRule>
  </conditionalFormatting>
  <conditionalFormatting sqref="E4:AX34 E35:AP35 AR35 AT35:AX36 E36:AR36 S185:T368 E319:X319 W321:X336 E337:X342 E37:AX318 Y319:AX342 E320:V336 E343:AX368">
    <cfRule type="cellIs" dxfId="94" priority="5" operator="equal">
      <formula>24</formula>
    </cfRule>
    <cfRule type="cellIs" dxfId="93" priority="15" operator="equal">
      <formula>20</formula>
    </cfRule>
    <cfRule type="cellIs" dxfId="92" priority="16" operator="equal">
      <formula>12</formula>
    </cfRule>
    <cfRule type="cellIs" dxfId="91" priority="17" operator="equal">
      <formula>12</formula>
    </cfRule>
    <cfRule type="cellIs" dxfId="90" priority="18" operator="equal">
      <formula>16</formula>
    </cfRule>
    <cfRule type="cellIs" dxfId="89" priority="19" operator="equal">
      <formula>8.5</formula>
    </cfRule>
  </conditionalFormatting>
  <conditionalFormatting sqref="E4:AX368">
    <cfRule type="cellIs" dxfId="88" priority="1" operator="equal">
      <formula>48</formula>
    </cfRule>
  </conditionalFormatting>
  <conditionalFormatting sqref="E4:AX34 E35:AP35 AR35 AT35:AX36 E36:AR36 S185:T368 E319:X319 W321:X336 E337:X342 E37:AX318 Y319:AX342 E320:V336 E343:AX368">
    <cfRule type="cellIs" dxfId="87" priority="20" operator="equal">
      <formula>10</formula>
    </cfRule>
  </conditionalFormatting>
  <conditionalFormatting sqref="O177">
    <cfRule type="cellIs" dxfId="86" priority="14" operator="equal">
      <formula>10</formula>
    </cfRule>
  </conditionalFormatting>
  <conditionalFormatting sqref="O219">
    <cfRule type="cellIs" dxfId="85" priority="13" operator="equal">
      <formula>10</formula>
    </cfRule>
  </conditionalFormatting>
  <conditionalFormatting sqref="O261">
    <cfRule type="cellIs" dxfId="84" priority="12" operator="equal">
      <formula>10</formula>
    </cfRule>
  </conditionalFormatting>
  <conditionalFormatting sqref="O302">
    <cfRule type="cellIs" dxfId="83" priority="11" operator="equal">
      <formula>10</formula>
    </cfRule>
  </conditionalFormatting>
  <conditionalFormatting sqref="O344:P344">
    <cfRule type="cellIs" dxfId="82" priority="9" operator="equal">
      <formula>10</formula>
    </cfRule>
  </conditionalFormatting>
  <conditionalFormatting sqref="Q177:Q178">
    <cfRule type="cellIs" dxfId="81" priority="8" operator="equal">
      <formula>10</formula>
    </cfRule>
  </conditionalFormatting>
  <conditionalFormatting sqref="Q189">
    <cfRule type="cellIs" dxfId="80" priority="7" operator="equal">
      <formula>10</formula>
    </cfRule>
  </conditionalFormatting>
  <conditionalFormatting sqref="R273">
    <cfRule type="cellIs" dxfId="79" priority="6" operator="equal">
      <formula>24</formula>
    </cfRule>
  </conditionalFormatting>
  <conditionalFormatting sqref="U187">
    <cfRule type="cellIs" dxfId="78" priority="4" operator="equal">
      <formula>10</formula>
    </cfRule>
  </conditionalFormatting>
  <conditionalFormatting sqref="W185">
    <cfRule type="cellIs" dxfId="77" priority="3" operator="equal">
      <formula>10</formula>
    </cfRule>
  </conditionalFormatting>
  <conditionalFormatting sqref="BH4:BH368">
    <cfRule type="containsText" dxfId="76" priority="21" operator="containsText" text="Ejecutado">
      <formula>NOT(ISERROR(SEARCH("Ejecutado",BH4)))</formula>
    </cfRule>
    <cfRule type="containsText" dxfId="75" priority="22" operator="containsText" text="Programado pendiente">
      <formula>NOT(ISERROR(SEARCH("Programado pendiente",BH4)))</formula>
    </cfRule>
    <cfRule type="containsText" dxfId="74" priority="23" operator="containsText" text="No aplica">
      <formula>NOT(ISERROR(SEARCH("No aplica",BH4)))</formula>
    </cfRule>
  </conditionalFormatting>
  <dataValidations count="1">
    <dataValidation type="list" allowBlank="1" showInputMessage="1" showErrorMessage="1" promptTitle="MTO ejecutado" prompt="Seleccione Sí cuando el mantenimiento haya sido ejecutado." sqref="BG4:BG368" xr:uid="{C326A599-BD03-44F3-88A4-54C545E1E71E}">
      <formula1>"Sí,No"</formula1>
    </dataValidation>
  </dataValidations>
  <pageMargins left="0.7" right="0.7" top="0.75" bottom="0.75" header="0.3" footer="0.3"/>
  <pageSetup scale="10" orientation="portrait" horizontalDpi="360" verticalDpi="360" r:id="rId1"/>
  <rowBreaks count="2" manualBreakCount="2">
    <brk id="184" max="16383" man="1"/>
    <brk id="337" max="16383" man="1"/>
  </rowBreaks>
  <colBreaks count="1" manualBreakCount="1">
    <brk id="50" max="367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25BA-F2E5-4F09-8EC2-E8C8DB3C8BAC}">
  <dimension ref="A1:CZ7033"/>
  <sheetViews>
    <sheetView zoomScale="10" zoomScaleNormal="10" zoomScaleSheetLayoutView="40" workbookViewId="0">
      <pane xSplit="4" ySplit="4" topLeftCell="W231" activePane="bottomRight" state="frozen"/>
      <selection pane="topRight" activeCell="E1" sqref="E1"/>
      <selection pane="bottomLeft" activeCell="A4" sqref="A4"/>
      <selection pane="bottomRight" activeCell="AD245" sqref="AD245"/>
    </sheetView>
  </sheetViews>
  <sheetFormatPr baseColWidth="10" defaultColWidth="11.44140625" defaultRowHeight="14.4" x14ac:dyDescent="0.3"/>
  <cols>
    <col min="1" max="1" width="9.33203125" style="2" customWidth="1"/>
    <col min="2" max="2" width="17.44140625" style="2" customWidth="1"/>
    <col min="3" max="3" width="33.44140625" style="2" customWidth="1"/>
    <col min="4" max="4" width="27.21875" style="2" customWidth="1"/>
    <col min="5" max="16" width="33.109375" style="2" customWidth="1"/>
    <col min="17" max="24" width="33.109375" style="3" customWidth="1"/>
    <col min="25" max="98" width="33.109375" style="2" customWidth="1"/>
    <col min="99" max="99" width="21" style="2" hidden="1" customWidth="1"/>
    <col min="100" max="100" width="39.5546875" style="2" hidden="1" customWidth="1"/>
    <col min="101" max="101" width="16.6640625" style="2" hidden="1" customWidth="1"/>
    <col min="102" max="102" width="24.109375" style="2" hidden="1" customWidth="1"/>
    <col min="103" max="103" width="17.5546875" style="2" hidden="1" customWidth="1"/>
    <col min="104" max="104" width="60.5546875" style="2" hidden="1" customWidth="1"/>
    <col min="105" max="16384" width="11.44140625" style="2"/>
  </cols>
  <sheetData>
    <row r="1" spans="1:104" ht="97.2" customHeight="1" thickBot="1" x14ac:dyDescent="0.35">
      <c r="A1" s="152"/>
      <c r="B1" s="41"/>
      <c r="C1" s="163" t="s">
        <v>0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/>
      <c r="CS1" s="164"/>
      <c r="CT1" s="164"/>
    </row>
    <row r="2" spans="1:104" ht="92.4" customHeight="1" thickBot="1" x14ac:dyDescent="0.35">
      <c r="A2" s="152"/>
      <c r="B2" s="41"/>
      <c r="C2" s="101"/>
      <c r="D2" s="102"/>
      <c r="E2" s="165" t="s">
        <v>152</v>
      </c>
      <c r="F2" s="166"/>
      <c r="G2" s="166"/>
      <c r="H2" s="166"/>
      <c r="I2" s="166"/>
      <c r="J2" s="166"/>
      <c r="K2" s="166"/>
      <c r="L2" s="167"/>
      <c r="M2" s="165" t="s">
        <v>157</v>
      </c>
      <c r="N2" s="166"/>
      <c r="O2" s="166"/>
      <c r="P2" s="166"/>
      <c r="Q2" s="166"/>
      <c r="R2" s="167"/>
      <c r="S2" s="165" t="s">
        <v>160</v>
      </c>
      <c r="T2" s="166"/>
      <c r="U2" s="166"/>
      <c r="V2" s="166"/>
      <c r="W2" s="166"/>
      <c r="X2" s="167"/>
      <c r="Y2" s="165" t="s">
        <v>164</v>
      </c>
      <c r="Z2" s="166"/>
      <c r="AA2" s="166"/>
      <c r="AB2" s="166"/>
      <c r="AC2" s="166"/>
      <c r="AD2" s="166"/>
      <c r="AE2" s="166"/>
      <c r="AF2" s="167"/>
      <c r="AG2" s="165" t="s">
        <v>169</v>
      </c>
      <c r="AH2" s="166"/>
      <c r="AI2" s="166"/>
      <c r="AJ2" s="166"/>
      <c r="AK2" s="166"/>
      <c r="AL2" s="166"/>
      <c r="AM2" s="165" t="s">
        <v>171</v>
      </c>
      <c r="AN2" s="166"/>
      <c r="AO2" s="166"/>
      <c r="AP2" s="166"/>
      <c r="AQ2" s="166"/>
      <c r="AR2" s="166"/>
      <c r="AS2" s="166"/>
      <c r="AT2" s="166"/>
      <c r="AU2" s="166"/>
      <c r="AV2" s="167"/>
      <c r="AW2" s="165" t="s">
        <v>178</v>
      </c>
      <c r="AX2" s="166"/>
      <c r="AY2" s="166"/>
      <c r="AZ2" s="166"/>
      <c r="BA2" s="166"/>
      <c r="BB2" s="166"/>
      <c r="BC2" s="166"/>
      <c r="BD2" s="166"/>
      <c r="BE2" s="166"/>
      <c r="BF2" s="167"/>
      <c r="BG2" s="165" t="s">
        <v>20</v>
      </c>
      <c r="BH2" s="166"/>
      <c r="BI2" s="166"/>
      <c r="BJ2" s="166"/>
      <c r="BK2" s="166"/>
      <c r="BL2" s="166"/>
      <c r="BM2" s="166"/>
      <c r="BN2" s="167"/>
      <c r="BO2" s="165" t="s">
        <v>182</v>
      </c>
      <c r="BP2" s="166"/>
      <c r="BQ2" s="166"/>
      <c r="BR2" s="166"/>
      <c r="BS2" s="166"/>
      <c r="BT2" s="166"/>
      <c r="BU2" s="166"/>
      <c r="BV2" s="167"/>
      <c r="BW2" s="165" t="s">
        <v>186</v>
      </c>
      <c r="BX2" s="166"/>
      <c r="BY2" s="166"/>
      <c r="BZ2" s="166"/>
      <c r="CA2" s="166"/>
      <c r="CB2" s="166"/>
      <c r="CC2" s="166"/>
      <c r="CD2" s="167"/>
      <c r="CE2" s="165" t="s">
        <v>23</v>
      </c>
      <c r="CF2" s="166"/>
      <c r="CG2" s="166"/>
      <c r="CH2" s="166"/>
      <c r="CI2" s="166"/>
      <c r="CJ2" s="166"/>
      <c r="CK2" s="166"/>
      <c r="CL2" s="167"/>
      <c r="CM2" s="165" t="s">
        <v>24</v>
      </c>
      <c r="CN2" s="166"/>
      <c r="CO2" s="166"/>
      <c r="CP2" s="166"/>
      <c r="CQ2" s="166"/>
      <c r="CR2" s="166"/>
      <c r="CS2" s="166"/>
      <c r="CT2" s="167"/>
    </row>
    <row r="3" spans="1:104" s="105" customFormat="1" ht="96" customHeight="1" thickBot="1" x14ac:dyDescent="0.35">
      <c r="A3" s="152"/>
      <c r="B3" s="104"/>
      <c r="C3" s="153" t="s">
        <v>150</v>
      </c>
      <c r="D3" s="155" t="s">
        <v>2</v>
      </c>
      <c r="E3" s="160" t="s">
        <v>153</v>
      </c>
      <c r="F3" s="161"/>
      <c r="G3" s="160" t="s">
        <v>154</v>
      </c>
      <c r="H3" s="161"/>
      <c r="I3" s="160" t="s">
        <v>155</v>
      </c>
      <c r="J3" s="161"/>
      <c r="K3" s="160" t="s">
        <v>156</v>
      </c>
      <c r="L3" s="161"/>
      <c r="M3" s="160" t="s">
        <v>158</v>
      </c>
      <c r="N3" s="161"/>
      <c r="O3" s="160" t="s">
        <v>159</v>
      </c>
      <c r="P3" s="161"/>
      <c r="Q3" s="160" t="s">
        <v>155</v>
      </c>
      <c r="R3" s="161"/>
      <c r="S3" s="160" t="s">
        <v>161</v>
      </c>
      <c r="T3" s="161"/>
      <c r="U3" s="160" t="s">
        <v>162</v>
      </c>
      <c r="V3" s="161"/>
      <c r="W3" s="160" t="s">
        <v>163</v>
      </c>
      <c r="X3" s="161"/>
      <c r="Y3" s="160" t="s">
        <v>165</v>
      </c>
      <c r="Z3" s="161"/>
      <c r="AA3" s="160" t="s">
        <v>166</v>
      </c>
      <c r="AB3" s="161"/>
      <c r="AC3" s="160" t="s">
        <v>167</v>
      </c>
      <c r="AD3" s="161"/>
      <c r="AE3" s="160" t="s">
        <v>168</v>
      </c>
      <c r="AF3" s="161"/>
      <c r="AG3" s="160" t="s">
        <v>158</v>
      </c>
      <c r="AH3" s="161"/>
      <c r="AI3" s="160" t="s">
        <v>159</v>
      </c>
      <c r="AJ3" s="161"/>
      <c r="AK3" s="160" t="s">
        <v>170</v>
      </c>
      <c r="AL3" s="161"/>
      <c r="AM3" s="160" t="s">
        <v>153</v>
      </c>
      <c r="AN3" s="161"/>
      <c r="AO3" s="160" t="s">
        <v>154</v>
      </c>
      <c r="AP3" s="162"/>
      <c r="AQ3" s="160" t="s">
        <v>172</v>
      </c>
      <c r="AR3" s="162"/>
      <c r="AS3" s="160" t="s">
        <v>173</v>
      </c>
      <c r="AT3" s="161"/>
      <c r="AU3" s="160" t="s">
        <v>174</v>
      </c>
      <c r="AV3" s="161"/>
      <c r="AW3" s="160" t="s">
        <v>161</v>
      </c>
      <c r="AX3" s="161"/>
      <c r="AY3" s="160" t="s">
        <v>162</v>
      </c>
      <c r="AZ3" s="161"/>
      <c r="BA3" s="160" t="s">
        <v>175</v>
      </c>
      <c r="BB3" s="161"/>
      <c r="BC3" s="160" t="s">
        <v>176</v>
      </c>
      <c r="BD3" s="161"/>
      <c r="BE3" s="160" t="s">
        <v>177</v>
      </c>
      <c r="BF3" s="161"/>
      <c r="BG3" s="160" t="s">
        <v>179</v>
      </c>
      <c r="BH3" s="161"/>
      <c r="BI3" s="160" t="s">
        <v>180</v>
      </c>
      <c r="BJ3" s="161"/>
      <c r="BK3" s="160" t="s">
        <v>176</v>
      </c>
      <c r="BL3" s="161"/>
      <c r="BM3" s="160" t="s">
        <v>181</v>
      </c>
      <c r="BN3" s="161"/>
      <c r="BO3" s="160" t="s">
        <v>183</v>
      </c>
      <c r="BP3" s="161"/>
      <c r="BQ3" s="160" t="s">
        <v>184</v>
      </c>
      <c r="BR3" s="161"/>
      <c r="BS3" s="160" t="s">
        <v>176</v>
      </c>
      <c r="BT3" s="161"/>
      <c r="BU3" s="160" t="s">
        <v>185</v>
      </c>
      <c r="BV3" s="161"/>
      <c r="BW3" s="160" t="s">
        <v>183</v>
      </c>
      <c r="BX3" s="161"/>
      <c r="BY3" s="160" t="s">
        <v>184</v>
      </c>
      <c r="BZ3" s="161"/>
      <c r="CA3" s="160" t="s">
        <v>176</v>
      </c>
      <c r="CB3" s="161"/>
      <c r="CC3" s="160" t="s">
        <v>185</v>
      </c>
      <c r="CD3" s="161"/>
      <c r="CE3" s="160" t="s">
        <v>188</v>
      </c>
      <c r="CF3" s="161"/>
      <c r="CG3" s="160" t="s">
        <v>189</v>
      </c>
      <c r="CH3" s="161"/>
      <c r="CI3" s="160" t="s">
        <v>176</v>
      </c>
      <c r="CJ3" s="161"/>
      <c r="CK3" s="160" t="s">
        <v>190</v>
      </c>
      <c r="CL3" s="161"/>
      <c r="CM3" s="160" t="s">
        <v>191</v>
      </c>
      <c r="CN3" s="161"/>
      <c r="CO3" s="160" t="s">
        <v>192</v>
      </c>
      <c r="CP3" s="161"/>
      <c r="CQ3" s="160" t="s">
        <v>176</v>
      </c>
      <c r="CR3" s="161"/>
      <c r="CS3" s="160" t="s">
        <v>193</v>
      </c>
      <c r="CT3" s="161"/>
      <c r="CU3" s="158" t="s">
        <v>11</v>
      </c>
      <c r="CV3" s="159"/>
      <c r="CW3" s="159"/>
      <c r="CX3" s="159"/>
      <c r="CY3" s="159"/>
      <c r="CZ3" s="159"/>
    </row>
    <row r="4" spans="1:104" s="1" customFormat="1" ht="62.4" customHeight="1" thickBot="1" x14ac:dyDescent="0.35">
      <c r="A4" s="152"/>
      <c r="B4" s="41" t="s">
        <v>12</v>
      </c>
      <c r="C4" s="154"/>
      <c r="D4" s="156"/>
      <c r="E4" s="5" t="str">
        <f>E3</f>
        <v xml:space="preserve">CELDA A6
</v>
      </c>
      <c r="F4" s="7" t="s">
        <v>13</v>
      </c>
      <c r="G4" s="5" t="str">
        <f>G3</f>
        <v>TABLERO M6</v>
      </c>
      <c r="H4" s="7" t="s">
        <v>13</v>
      </c>
      <c r="I4" s="5" t="str">
        <f>I3</f>
        <v>TABLERO AUXILIAR 1</v>
      </c>
      <c r="J4" s="7" t="s">
        <v>13</v>
      </c>
      <c r="K4" s="5" t="str">
        <f>K3</f>
        <v>TABLERO AUXILIAR 2</v>
      </c>
      <c r="L4" s="7" t="s">
        <v>13</v>
      </c>
      <c r="M4" s="5" t="str">
        <f>M3</f>
        <v xml:space="preserve">CELDA A5
</v>
      </c>
      <c r="N4" s="7" t="s">
        <v>13</v>
      </c>
      <c r="O4" s="5" t="str">
        <f>O3</f>
        <v>TABLERO M5</v>
      </c>
      <c r="P4" s="7" t="s">
        <v>13</v>
      </c>
      <c r="Q4" s="5" t="str">
        <f>Q3</f>
        <v>TABLERO AUXILIAR 1</v>
      </c>
      <c r="R4" s="7" t="s">
        <v>13</v>
      </c>
      <c r="S4" s="5" t="str">
        <f>S3</f>
        <v xml:space="preserve">CELDA A7
</v>
      </c>
      <c r="T4" s="7" t="s">
        <v>13</v>
      </c>
      <c r="U4" s="5" t="str">
        <f>U3</f>
        <v>TABLERO M7</v>
      </c>
      <c r="V4" s="7" t="s">
        <v>13</v>
      </c>
      <c r="W4" s="5" t="str">
        <f>W3</f>
        <v>TABLERO AUXILIAR 7</v>
      </c>
      <c r="X4" s="7" t="s">
        <v>13</v>
      </c>
      <c r="Y4" s="5" t="str">
        <f>Y3</f>
        <v xml:space="preserve">CELDA A4
</v>
      </c>
      <c r="Z4" s="7" t="s">
        <v>13</v>
      </c>
      <c r="AA4" s="5" t="str">
        <f>AA3</f>
        <v>TABLERO M4</v>
      </c>
      <c r="AB4" s="7" t="s">
        <v>13</v>
      </c>
      <c r="AC4" s="5" t="str">
        <f>AC3</f>
        <v>TABLERO S4</v>
      </c>
      <c r="AD4" s="7" t="s">
        <v>13</v>
      </c>
      <c r="AE4" s="5" t="str">
        <f>AE3</f>
        <v xml:space="preserve">TRANSFORMADOR T204 </v>
      </c>
      <c r="AF4" s="7" t="s">
        <v>13</v>
      </c>
      <c r="AG4" s="5" t="str">
        <f>AG3</f>
        <v xml:space="preserve">CELDA A5
</v>
      </c>
      <c r="AH4" s="7" t="s">
        <v>13</v>
      </c>
      <c r="AI4" s="5" t="str">
        <f>AI3</f>
        <v>TABLERO M5</v>
      </c>
      <c r="AJ4" s="7" t="s">
        <v>13</v>
      </c>
      <c r="AK4" s="5" t="str">
        <f>AK3</f>
        <v>TRANSFORMADOR T205</v>
      </c>
      <c r="AL4" s="7" t="s">
        <v>13</v>
      </c>
      <c r="AM4" s="5" t="str">
        <f>AM3</f>
        <v xml:space="preserve">CELDA A6
</v>
      </c>
      <c r="AN4" s="7" t="s">
        <v>13</v>
      </c>
      <c r="AO4" s="5" t="str">
        <f>AO3</f>
        <v>TABLERO M6</v>
      </c>
      <c r="AP4" s="6" t="s">
        <v>13</v>
      </c>
      <c r="AQ4" s="8" t="str">
        <f>AQ3</f>
        <v>CELDA S6</v>
      </c>
      <c r="AR4" s="9" t="s">
        <v>32</v>
      </c>
      <c r="AS4" s="74" t="str">
        <f>AS3</f>
        <v>TABLERO TEX 06</v>
      </c>
      <c r="AT4" s="77" t="s">
        <v>32</v>
      </c>
      <c r="AU4" s="74" t="str">
        <f>AU3</f>
        <v>TRANSFORMADOR T206</v>
      </c>
      <c r="AV4" s="77" t="s">
        <v>32</v>
      </c>
      <c r="AW4" s="103" t="str">
        <f>AW3</f>
        <v xml:space="preserve">CELDA A7
</v>
      </c>
      <c r="AX4" s="103" t="s">
        <v>32</v>
      </c>
      <c r="AY4" s="103" t="str">
        <f t="shared" ref="AY4:CA4" si="0">AY3</f>
        <v>TABLERO M7</v>
      </c>
      <c r="AZ4" s="103" t="s">
        <v>32</v>
      </c>
      <c r="BA4" s="103" t="str">
        <f t="shared" si="0"/>
        <v>CELDA S7</v>
      </c>
      <c r="BB4" s="103" t="s">
        <v>32</v>
      </c>
      <c r="BC4" s="103" t="str">
        <f t="shared" si="0"/>
        <v>TABLERO AUXILIAR</v>
      </c>
      <c r="BD4" s="103" t="s">
        <v>32</v>
      </c>
      <c r="BE4" s="103" t="str">
        <f t="shared" si="0"/>
        <v>TRANSFORMADOR T207</v>
      </c>
      <c r="BF4" s="103" t="s">
        <v>32</v>
      </c>
      <c r="BG4" s="103" t="str">
        <f t="shared" si="0"/>
        <v xml:space="preserve">CELDA A10
</v>
      </c>
      <c r="BH4" s="103" t="s">
        <v>32</v>
      </c>
      <c r="BI4" s="103" t="str">
        <f t="shared" si="0"/>
        <v>TABLERO S10</v>
      </c>
      <c r="BJ4" s="103" t="s">
        <v>32</v>
      </c>
      <c r="BK4" s="103" t="str">
        <f t="shared" si="0"/>
        <v>TABLERO AUXILIAR</v>
      </c>
      <c r="BL4" s="103" t="s">
        <v>32</v>
      </c>
      <c r="BM4" s="103" t="str">
        <f t="shared" si="0"/>
        <v>TRANSFORMADOR T210</v>
      </c>
      <c r="BN4" s="103" t="s">
        <v>32</v>
      </c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 t="str">
        <f t="shared" si="0"/>
        <v>TABLERO AUXILIAR</v>
      </c>
      <c r="CB4" s="103" t="s">
        <v>32</v>
      </c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" t="s">
        <v>39</v>
      </c>
      <c r="CV4" s="10" t="s">
        <v>40</v>
      </c>
      <c r="CW4" s="10" t="s">
        <v>41</v>
      </c>
      <c r="CX4" s="10" t="s">
        <v>42</v>
      </c>
      <c r="CY4" s="10" t="s">
        <v>43</v>
      </c>
      <c r="CZ4" s="10" t="s">
        <v>44</v>
      </c>
    </row>
    <row r="5" spans="1:104" ht="36" customHeight="1" x14ac:dyDescent="0.3">
      <c r="A5" s="148" t="s">
        <v>45</v>
      </c>
      <c r="B5" s="48" t="s">
        <v>46</v>
      </c>
      <c r="C5" s="16">
        <v>46023</v>
      </c>
      <c r="D5" s="18">
        <f t="shared" ref="D5:D68" si="1">+F5+H5+J5+L5+N5+P5+R5+Z5+AB5+AD5+AF5+AH5+AJ5+AL5+AN5+AP5</f>
        <v>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38"/>
      <c r="BP5" s="38"/>
      <c r="BQ5" s="38"/>
      <c r="BR5" s="38"/>
      <c r="BS5" s="38"/>
      <c r="BT5" s="38"/>
      <c r="BU5" s="38"/>
      <c r="BV5" s="38"/>
      <c r="BW5" s="18"/>
      <c r="BX5" s="18"/>
      <c r="BY5" s="18"/>
      <c r="BZ5" s="18"/>
      <c r="CA5" s="18"/>
      <c r="CB5" s="18"/>
      <c r="CC5" s="18"/>
      <c r="CD5" s="18"/>
      <c r="CE5" s="18">
        <v>10</v>
      </c>
      <c r="CF5" s="18">
        <v>20</v>
      </c>
      <c r="CG5" s="18">
        <v>10</v>
      </c>
      <c r="CH5" s="18">
        <v>20</v>
      </c>
      <c r="CI5" s="18">
        <v>10</v>
      </c>
      <c r="CJ5" s="18">
        <v>20</v>
      </c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4" t="e">
        <f>IF(SUM(E5,G5,I5,K5,M5,O5,Q5,S5,U5,W5,Y5,AA5,AC5,AE5,AG5,AI5,AK5,AM5,AO5,AQ5,#REF!)&gt;0,"Sí","No")</f>
        <v>#REF!</v>
      </c>
      <c r="CV5" s="107" t="e">
        <f>IF($CU5="Sí",_xlfn.TEXTJOIN(", ",TRUE,IF(N(E5)&gt;0,E$4,""),IF(N(G5)&gt;0,G$4,""),IF(N(I5)&gt;0,I$4,""),IF(N(K5)&gt;0,K$4,""),IF(N(M5)&gt;0,M$4,""),IF(N(O5)&gt;0,O$4,""),IF(N(Q5)&gt;0,Q$4,""),IF(N(S5)&gt;0,S$4,""),IF(N(U5)&gt;0,U$4,""),IF(N(W5)&gt;0,W$4,""),IF(N(Y5)&gt;0,Y$4,""),IF(N(AA5)&gt;0,AA$4,""),IF(N(AC5)&gt;0,AC$4,""),IF(N(AE5)&gt;0,AE$4,""),IF(N(AG5)&gt;0,AG$4,""),IF(N(AI5)&gt;0,AI$4,""),IF(N(AK5)&gt;0,AK$4,""),IF(N(AM5)&gt;0,AM$4,""),IF(N(AO5)&gt;0,AO$4,""),IF(N(AQ5)&gt;0,AQ$4,""),IF(N(#REF!)&gt;0,#REF!,"")),"")</f>
        <v>#REF!</v>
      </c>
      <c r="CW5" s="14"/>
      <c r="CX5" s="14" t="e">
        <f>IF($CU5="No","No aplica",IF($CW5="Sí","Ejecutado","Programado pendiente"))</f>
        <v>#REF!</v>
      </c>
      <c r="CY5" s="15">
        <v>46033</v>
      </c>
      <c r="CZ5" s="66"/>
    </row>
    <row r="6" spans="1:104" ht="18" customHeight="1" x14ac:dyDescent="0.3">
      <c r="A6" s="149"/>
      <c r="B6" s="78" t="s">
        <v>49</v>
      </c>
      <c r="C6" s="45">
        <v>46024</v>
      </c>
      <c r="D6" s="19">
        <f t="shared" si="1"/>
        <v>0</v>
      </c>
      <c r="E6" s="19" t="str">
        <f t="shared" ref="E6:E30" si="2">IF(MOD(A6-$C$30,42)=0,8,"")</f>
        <v/>
      </c>
      <c r="F6" s="19"/>
      <c r="G6" s="19" t="str">
        <f t="shared" ref="G6:G29" si="3">IF(MOD(C6-$C$30,42)=0,8,"")</f>
        <v/>
      </c>
      <c r="H6" s="19"/>
      <c r="I6" s="19"/>
      <c r="J6" s="19"/>
      <c r="K6" s="19"/>
      <c r="L6" s="19"/>
      <c r="M6" s="19" t="s">
        <v>71</v>
      </c>
      <c r="N6" s="19"/>
      <c r="O6" s="19" t="s">
        <v>71</v>
      </c>
      <c r="P6" s="19"/>
      <c r="Q6" s="19" t="s">
        <v>71</v>
      </c>
      <c r="R6" s="19"/>
      <c r="S6" s="19" t="s">
        <v>71</v>
      </c>
      <c r="T6" s="19"/>
      <c r="U6" s="19" t="s">
        <v>71</v>
      </c>
      <c r="V6" s="19"/>
      <c r="W6" s="19" t="s">
        <v>71</v>
      </c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39"/>
      <c r="BP6" s="39"/>
      <c r="BQ6" s="39"/>
      <c r="BR6" s="39"/>
      <c r="BS6" s="39"/>
      <c r="BT6" s="39"/>
      <c r="BU6" s="39"/>
      <c r="BV6" s="39"/>
      <c r="BW6" s="19"/>
      <c r="BX6" s="19"/>
      <c r="BY6" s="19"/>
      <c r="BZ6" s="19"/>
      <c r="CA6" s="19"/>
      <c r="CB6" s="19"/>
      <c r="CC6" s="19"/>
      <c r="CD6" s="19"/>
      <c r="CE6" s="19" t="s">
        <v>71</v>
      </c>
      <c r="CF6" s="19"/>
      <c r="CG6" s="19" t="s">
        <v>71</v>
      </c>
      <c r="CH6" s="19"/>
      <c r="CI6" s="19" t="s">
        <v>71</v>
      </c>
      <c r="CJ6" s="19"/>
      <c r="CK6" s="19"/>
      <c r="CL6" s="19"/>
      <c r="CM6" s="19">
        <v>10</v>
      </c>
      <c r="CN6" s="19">
        <v>20</v>
      </c>
      <c r="CO6" s="19">
        <v>10</v>
      </c>
      <c r="CP6" s="19">
        <v>20</v>
      </c>
      <c r="CQ6" s="19">
        <v>10</v>
      </c>
      <c r="CR6" s="19">
        <v>20</v>
      </c>
      <c r="CS6" s="19"/>
      <c r="CT6" s="19"/>
      <c r="CU6" s="11" t="e">
        <f>IF(SUM(E6,G6,I6,K6,M6,O6,Q6,S6,U6,W6,Y6,AA6,AC6,AE6,AG6,AI6,AK6,AM6,AO6,AQ6,#REF!)&gt;0,"Sí","No")</f>
        <v>#REF!</v>
      </c>
      <c r="CV6" s="92" t="e">
        <f>IF($CU6="Sí",_xlfn.TEXTJOIN(", ",TRUE,IF(N(E6)&gt;0,E$4,""),IF(N(G6)&gt;0,G$4,""),IF(N(I6)&gt;0,I$4,""),IF(N(K6)&gt;0,K$4,""),IF(N(M6)&gt;0,M$4,""),IF(N(O6)&gt;0,O$4,""),IF(N(Q6)&gt;0,Q$4,""),IF(N(S6)&gt;0,S$4,""),IF(N(U6)&gt;0,U$4,""),IF(N(W6)&gt;0,W$4,""),IF(N(Y6)&gt;0,Y$4,""),IF(N(AA6)&gt;0,AA$4,""),IF(N(AC6)&gt;0,AC$4,""),IF(N(AE6)&gt;0,AE$4,""),IF(N(AG6)&gt;0,AG$4,""),IF(N(AI6)&gt;0,AI$4,""),IF(N(AK6)&gt;0,AK$4,""),IF(N(AM6)&gt;0,AM$4,""),IF(N(AO6)&gt;0,AO$4,""),IF(N(AQ6)&gt;0,AQ$4,""),IF(N(#REF!)&gt;0,#REF!,"")),"")</f>
        <v>#REF!</v>
      </c>
      <c r="CW6" s="11"/>
      <c r="CX6" s="11" t="e">
        <f t="shared" ref="CX6:CX69" si="4">IF($CU6="No","No aplica",IF($CW6="Sí","Ejecutado","Programado pendiente"))</f>
        <v>#REF!</v>
      </c>
      <c r="CY6" s="12">
        <v>46024</v>
      </c>
      <c r="CZ6" s="68"/>
    </row>
    <row r="7" spans="1:104" ht="18" customHeight="1" x14ac:dyDescent="0.3">
      <c r="A7" s="150"/>
      <c r="B7" s="78" t="s">
        <v>50</v>
      </c>
      <c r="C7" s="17">
        <v>46025</v>
      </c>
      <c r="D7" s="19">
        <f t="shared" si="1"/>
        <v>0</v>
      </c>
      <c r="E7" s="19" t="str">
        <f t="shared" si="2"/>
        <v/>
      </c>
      <c r="F7" s="19"/>
      <c r="G7" s="19" t="str">
        <f t="shared" si="3"/>
        <v/>
      </c>
      <c r="H7" s="19"/>
      <c r="I7" s="19"/>
      <c r="J7" s="19"/>
      <c r="K7" s="19"/>
      <c r="L7" s="19"/>
      <c r="M7" s="19" t="s">
        <v>71</v>
      </c>
      <c r="N7" s="19"/>
      <c r="O7" s="19" t="s">
        <v>71</v>
      </c>
      <c r="P7" s="19"/>
      <c r="Q7" s="19" t="s">
        <v>71</v>
      </c>
      <c r="R7" s="19"/>
      <c r="S7" s="19" t="s">
        <v>71</v>
      </c>
      <c r="T7" s="19"/>
      <c r="U7" s="19" t="s">
        <v>71</v>
      </c>
      <c r="V7" s="19"/>
      <c r="W7" s="19" t="s">
        <v>71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39"/>
      <c r="BP7" s="39"/>
      <c r="BQ7" s="39"/>
      <c r="BR7" s="39"/>
      <c r="BS7" s="39"/>
      <c r="BT7" s="39"/>
      <c r="BU7" s="39"/>
      <c r="BV7" s="39"/>
      <c r="BW7" s="19"/>
      <c r="BX7" s="19"/>
      <c r="BY7" s="19"/>
      <c r="BZ7" s="19"/>
      <c r="CA7" s="19"/>
      <c r="CB7" s="19"/>
      <c r="CC7" s="19"/>
      <c r="CD7" s="19"/>
      <c r="CE7" s="19" t="s">
        <v>71</v>
      </c>
      <c r="CF7" s="19"/>
      <c r="CG7" s="19" t="s">
        <v>71</v>
      </c>
      <c r="CH7" s="19"/>
      <c r="CI7" s="19" t="s">
        <v>71</v>
      </c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1" t="e">
        <f>IF(SUM(E7,G7,I7,K7,M7,O7,Q7,S7,U7,W7,Y7,AA7,AC7,AE7,AG7,AI7,AK7,AM7,AO7,AQ7,#REF!)&gt;0,"Sí","No")</f>
        <v>#REF!</v>
      </c>
      <c r="CV7" s="92" t="e">
        <f>IF($CU7="Sí",_xlfn.TEXTJOIN(", ",TRUE,IF(N(E7)&gt;0,E$4,""),IF(N(G7)&gt;0,G$4,""),IF(N(I7)&gt;0,I$4,""),IF(N(K7)&gt;0,K$4,""),IF(N(M7)&gt;0,M$4,""),IF(N(O7)&gt;0,O$4,""),IF(N(Q7)&gt;0,Q$4,""),IF(N(S7)&gt;0,S$4,""),IF(N(U7)&gt;0,U$4,""),IF(N(W7)&gt;0,W$4,""),IF(N(Y7)&gt;0,Y$4,""),IF(N(AA7)&gt;0,AA$4,""),IF(N(AC7)&gt;0,AC$4,""),IF(N(AE7)&gt;0,AE$4,""),IF(N(AG7)&gt;0,AG$4,""),IF(N(AI7)&gt;0,AI$4,""),IF(N(AK7)&gt;0,AK$4,""),IF(N(AM7)&gt;0,AM$4,""),IF(N(AO7)&gt;0,AO$4,""),IF(N(AQ7)&gt;0,AQ$4,""),IF(N(#REF!)&gt;0,#REF!,"")),"")</f>
        <v>#REF!</v>
      </c>
      <c r="CW7" s="11"/>
      <c r="CX7" s="11" t="e">
        <f t="shared" si="4"/>
        <v>#REF!</v>
      </c>
      <c r="CY7" s="12">
        <v>46025</v>
      </c>
      <c r="CZ7" s="68"/>
    </row>
    <row r="8" spans="1:104" ht="18" customHeight="1" x14ac:dyDescent="0.3">
      <c r="A8" s="150"/>
      <c r="B8" s="78" t="s">
        <v>52</v>
      </c>
      <c r="C8" s="17">
        <v>46026</v>
      </c>
      <c r="D8" s="19">
        <f t="shared" si="1"/>
        <v>0</v>
      </c>
      <c r="E8" s="19" t="str">
        <f t="shared" si="2"/>
        <v/>
      </c>
      <c r="F8" s="19"/>
      <c r="G8" s="19" t="str">
        <f t="shared" si="3"/>
        <v/>
      </c>
      <c r="H8" s="19"/>
      <c r="I8" s="19"/>
      <c r="J8" s="19"/>
      <c r="K8" s="19"/>
      <c r="L8" s="19"/>
      <c r="M8" s="19" t="s">
        <v>71</v>
      </c>
      <c r="N8" s="19"/>
      <c r="O8" s="19" t="s">
        <v>71</v>
      </c>
      <c r="P8" s="19"/>
      <c r="Q8" s="19" t="s">
        <v>71</v>
      </c>
      <c r="R8" s="19"/>
      <c r="S8" s="19" t="s">
        <v>71</v>
      </c>
      <c r="T8" s="19"/>
      <c r="U8" s="19" t="s">
        <v>71</v>
      </c>
      <c r="V8" s="19"/>
      <c r="W8" s="19" t="s">
        <v>71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39"/>
      <c r="BP8" s="39"/>
      <c r="BQ8" s="39"/>
      <c r="BR8" s="39"/>
      <c r="BS8" s="39"/>
      <c r="BT8" s="39"/>
      <c r="BU8" s="39"/>
      <c r="BV8" s="39"/>
      <c r="BW8" s="19"/>
      <c r="BX8" s="19"/>
      <c r="BY8" s="19"/>
      <c r="BZ8" s="19"/>
      <c r="CA8" s="19"/>
      <c r="CB8" s="19"/>
      <c r="CC8" s="19"/>
      <c r="CD8" s="19"/>
      <c r="CE8" s="19" t="s">
        <v>71</v>
      </c>
      <c r="CF8" s="19"/>
      <c r="CG8" s="19" t="s">
        <v>71</v>
      </c>
      <c r="CH8" s="19"/>
      <c r="CI8" s="19" t="s">
        <v>71</v>
      </c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1" t="e">
        <f>IF(SUM(E8,G8,I8,K8,M8,O8,Q8,S8,U8,W8,Y8,AA8,AC8,AE8,AG8,AI8,AK8,AM8,AO8,AQ8,#REF!)&gt;0,"Sí","No")</f>
        <v>#REF!</v>
      </c>
      <c r="CV8" s="92" t="e">
        <f>IF($CU8="Sí",_xlfn.TEXTJOIN(", ",TRUE,IF(N(E8)&gt;0,E$4,""),IF(N(G8)&gt;0,G$4,""),IF(N(I8)&gt;0,I$4,""),IF(N(K8)&gt;0,K$4,""),IF(N(M8)&gt;0,M$4,""),IF(N(O8)&gt;0,O$4,""),IF(N(Q8)&gt;0,Q$4,""),IF(N(S8)&gt;0,S$4,""),IF(N(U8)&gt;0,U$4,""),IF(N(W8)&gt;0,W$4,""),IF(N(Y8)&gt;0,Y$4,""),IF(N(AA8)&gt;0,AA$4,""),IF(N(AC8)&gt;0,AC$4,""),IF(N(AE8)&gt;0,AE$4,""),IF(N(AG8)&gt;0,AG$4,""),IF(N(AI8)&gt;0,AI$4,""),IF(N(AK8)&gt;0,AK$4,""),IF(N(AM8)&gt;0,AM$4,""),IF(N(AO8)&gt;0,AO$4,""),IF(N(AQ8)&gt;0,AQ$4,""),IF(N(#REF!)&gt;0,#REF!,"")),"")</f>
        <v>#REF!</v>
      </c>
      <c r="CW8" s="11"/>
      <c r="CX8" s="11" t="e">
        <f t="shared" si="4"/>
        <v>#REF!</v>
      </c>
      <c r="CY8" s="12">
        <v>46026</v>
      </c>
      <c r="CZ8" s="68"/>
    </row>
    <row r="9" spans="1:104" ht="18" customHeight="1" x14ac:dyDescent="0.3">
      <c r="A9" s="150"/>
      <c r="B9" s="78" t="s">
        <v>54</v>
      </c>
      <c r="C9" s="17">
        <v>46027</v>
      </c>
      <c r="D9" s="19">
        <f t="shared" si="1"/>
        <v>0</v>
      </c>
      <c r="E9" s="19" t="str">
        <f t="shared" si="2"/>
        <v/>
      </c>
      <c r="F9" s="19"/>
      <c r="G9" s="19" t="str">
        <f t="shared" si="3"/>
        <v/>
      </c>
      <c r="H9" s="19"/>
      <c r="I9" s="19"/>
      <c r="J9" s="19"/>
      <c r="K9" s="19"/>
      <c r="L9" s="19"/>
      <c r="M9" s="19" t="s">
        <v>71</v>
      </c>
      <c r="N9" s="19"/>
      <c r="O9" s="19" t="s">
        <v>71</v>
      </c>
      <c r="P9" s="19"/>
      <c r="Q9" s="19" t="s">
        <v>71</v>
      </c>
      <c r="R9" s="19"/>
      <c r="S9" s="19" t="s">
        <v>71</v>
      </c>
      <c r="T9" s="19"/>
      <c r="U9" s="19" t="s">
        <v>71</v>
      </c>
      <c r="V9" s="19"/>
      <c r="W9" s="19" t="s">
        <v>71</v>
      </c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39"/>
      <c r="BP9" s="39"/>
      <c r="BQ9" s="39"/>
      <c r="BR9" s="39"/>
      <c r="BS9" s="39"/>
      <c r="BT9" s="39"/>
      <c r="BU9" s="39"/>
      <c r="BV9" s="39"/>
      <c r="BW9" s="19"/>
      <c r="BX9" s="19"/>
      <c r="BY9" s="19"/>
      <c r="BZ9" s="19"/>
      <c r="CA9" s="19"/>
      <c r="CB9" s="19"/>
      <c r="CC9" s="19"/>
      <c r="CD9" s="19"/>
      <c r="CE9" s="19" t="s">
        <v>71</v>
      </c>
      <c r="CF9" s="19"/>
      <c r="CG9" s="19" t="s">
        <v>71</v>
      </c>
      <c r="CH9" s="19"/>
      <c r="CI9" s="19" t="s">
        <v>71</v>
      </c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1" t="e">
        <f>IF(SUM(E9,G9,I9,K9,M9,O9,Q9,S9,U9,W9,Y9,AA9,AC9,AE9,AG9,AI9,AK9,AM9,AO9,AQ9,#REF!)&gt;0,"Sí","No")</f>
        <v>#REF!</v>
      </c>
      <c r="CV9" s="92" t="e">
        <f>IF($CU9="Sí",_xlfn.TEXTJOIN(", ",TRUE,IF(N(E9)&gt;0,E$4,""),IF(N(G9)&gt;0,G$4,""),IF(N(I9)&gt;0,I$4,""),IF(N(K9)&gt;0,K$4,""),IF(N(M9)&gt;0,M$4,""),IF(N(O9)&gt;0,O$4,""),IF(N(Q9)&gt;0,Q$4,""),IF(N(S9)&gt;0,S$4,""),IF(N(U9)&gt;0,U$4,""),IF(N(W9)&gt;0,W$4,""),IF(N(Y9)&gt;0,Y$4,""),IF(N(AA9)&gt;0,AA$4,""),IF(N(AC9)&gt;0,AC$4,""),IF(N(AE9)&gt;0,AE$4,""),IF(N(AG9)&gt;0,AG$4,""),IF(N(AI9)&gt;0,AI$4,""),IF(N(AK9)&gt;0,AK$4,""),IF(N(AM9)&gt;0,AM$4,""),IF(N(AO9)&gt;0,AO$4,""),IF(N(AQ9)&gt;0,AQ$4,""),IF(N(#REF!)&gt;0,#REF!,"")),"")</f>
        <v>#REF!</v>
      </c>
      <c r="CW9" s="11"/>
      <c r="CX9" s="11" t="e">
        <f t="shared" si="4"/>
        <v>#REF!</v>
      </c>
      <c r="CY9" s="12">
        <v>46027</v>
      </c>
      <c r="CZ9" s="68"/>
    </row>
    <row r="10" spans="1:104" ht="18" customHeight="1" x14ac:dyDescent="0.3">
      <c r="A10" s="150"/>
      <c r="B10" s="78" t="s">
        <v>56</v>
      </c>
      <c r="C10" s="17">
        <v>46028</v>
      </c>
      <c r="D10" s="19">
        <f t="shared" si="1"/>
        <v>0</v>
      </c>
      <c r="E10" s="19" t="str">
        <f t="shared" si="2"/>
        <v/>
      </c>
      <c r="F10" s="19"/>
      <c r="G10" s="19" t="str">
        <f t="shared" si="3"/>
        <v/>
      </c>
      <c r="H10" s="19"/>
      <c r="I10" s="19"/>
      <c r="J10" s="19"/>
      <c r="K10" s="19"/>
      <c r="L10" s="19"/>
      <c r="M10" s="19" t="s">
        <v>71</v>
      </c>
      <c r="N10" s="19"/>
      <c r="O10" s="19" t="s">
        <v>71</v>
      </c>
      <c r="P10" s="19"/>
      <c r="Q10" s="19" t="s">
        <v>71</v>
      </c>
      <c r="R10" s="19"/>
      <c r="S10" s="19" t="s">
        <v>71</v>
      </c>
      <c r="T10" s="19"/>
      <c r="U10" s="19" t="s">
        <v>71</v>
      </c>
      <c r="V10" s="19"/>
      <c r="W10" s="19" t="s">
        <v>71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39"/>
      <c r="BP10" s="39"/>
      <c r="BQ10" s="39"/>
      <c r="BR10" s="39"/>
      <c r="BS10" s="39"/>
      <c r="BT10" s="39"/>
      <c r="BU10" s="39"/>
      <c r="BV10" s="39"/>
      <c r="BW10" s="19"/>
      <c r="BX10" s="19"/>
      <c r="BY10" s="19"/>
      <c r="BZ10" s="19"/>
      <c r="CA10" s="19"/>
      <c r="CB10" s="19"/>
      <c r="CC10" s="19"/>
      <c r="CD10" s="19"/>
      <c r="CE10" s="19" t="s">
        <v>71</v>
      </c>
      <c r="CF10" s="19"/>
      <c r="CG10" s="19" t="s">
        <v>71</v>
      </c>
      <c r="CH10" s="19"/>
      <c r="CI10" s="19" t="s">
        <v>71</v>
      </c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1" t="e">
        <f>IF(SUM(E10,G10,I10,K10,M10,O10,Q10,S10,U10,W10,Y10,AA10,AC10,AE10,AG10,AI10,AK10,AM10,AO10,AQ10,#REF!)&gt;0,"Sí","No")</f>
        <v>#REF!</v>
      </c>
      <c r="CV10" s="92" t="e">
        <f>IF($CU10="Sí",_xlfn.TEXTJOIN(", ",TRUE,IF(N(E10)&gt;0,E$4,""),IF(N(G10)&gt;0,G$4,""),IF(N(I10)&gt;0,I$4,""),IF(N(K10)&gt;0,K$4,""),IF(N(M10)&gt;0,M$4,""),IF(N(O10)&gt;0,O$4,""),IF(N(Q10)&gt;0,Q$4,""),IF(N(S10)&gt;0,S$4,""),IF(N(U10)&gt;0,U$4,""),IF(N(W10)&gt;0,W$4,""),IF(N(Y10)&gt;0,Y$4,""),IF(N(AA10)&gt;0,AA$4,""),IF(N(AC10)&gt;0,AC$4,""),IF(N(AE10)&gt;0,AE$4,""),IF(N(AG10)&gt;0,AG$4,""),IF(N(AI10)&gt;0,AI$4,""),IF(N(AK10)&gt;0,AK$4,""),IF(N(AM10)&gt;0,AM$4,""),IF(N(AO10)&gt;0,AO$4,""),IF(N(AQ10)&gt;0,AQ$4,""),IF(N(#REF!)&gt;0,#REF!,"")),"")</f>
        <v>#REF!</v>
      </c>
      <c r="CW10" s="11"/>
      <c r="CX10" s="11" t="e">
        <f t="shared" si="4"/>
        <v>#REF!</v>
      </c>
      <c r="CY10" s="12">
        <f>+C10</f>
        <v>46028</v>
      </c>
      <c r="CZ10" s="68"/>
    </row>
    <row r="11" spans="1:104" ht="18" customHeight="1" x14ac:dyDescent="0.3">
      <c r="A11" s="150"/>
      <c r="B11" s="78" t="s">
        <v>57</v>
      </c>
      <c r="C11" s="17">
        <v>46029</v>
      </c>
      <c r="D11" s="19">
        <f t="shared" si="1"/>
        <v>0</v>
      </c>
      <c r="E11" s="19" t="str">
        <f t="shared" si="2"/>
        <v/>
      </c>
      <c r="F11" s="19"/>
      <c r="G11" s="19" t="str">
        <f t="shared" si="3"/>
        <v/>
      </c>
      <c r="H11" s="19"/>
      <c r="I11" s="19"/>
      <c r="J11" s="19"/>
      <c r="K11" s="19"/>
      <c r="L11" s="19"/>
      <c r="M11" s="19" t="s">
        <v>71</v>
      </c>
      <c r="N11" s="19"/>
      <c r="O11" s="19" t="s">
        <v>71</v>
      </c>
      <c r="P11" s="19"/>
      <c r="Q11" s="19" t="s">
        <v>71</v>
      </c>
      <c r="R11" s="19"/>
      <c r="S11" s="19" t="s">
        <v>71</v>
      </c>
      <c r="T11" s="19"/>
      <c r="U11" s="19" t="s">
        <v>71</v>
      </c>
      <c r="V11" s="19"/>
      <c r="W11" s="19" t="s">
        <v>71</v>
      </c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39"/>
      <c r="BP11" s="39"/>
      <c r="BQ11" s="39"/>
      <c r="BR11" s="39"/>
      <c r="BS11" s="39"/>
      <c r="BT11" s="39"/>
      <c r="BU11" s="39"/>
      <c r="BV11" s="39"/>
      <c r="BW11" s="19"/>
      <c r="BX11" s="19"/>
      <c r="BY11" s="19"/>
      <c r="BZ11" s="19"/>
      <c r="CA11" s="19"/>
      <c r="CB11" s="19"/>
      <c r="CC11" s="19"/>
      <c r="CD11" s="19"/>
      <c r="CE11" s="19" t="s">
        <v>71</v>
      </c>
      <c r="CF11" s="19"/>
      <c r="CG11" s="19" t="s">
        <v>71</v>
      </c>
      <c r="CH11" s="19"/>
      <c r="CI11" s="19" t="s">
        <v>71</v>
      </c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1" t="e">
        <f>IF(SUM(E11,G11,I11,K11,M11,O11,Q11,S11,U11,W11,Y11,AA11,AC11,AE11,AG11,AI11,AK11,AM11,AO11,AQ11,#REF!)&gt;0,"Sí","No")</f>
        <v>#REF!</v>
      </c>
      <c r="CV11" s="92" t="e">
        <f>IF($CU11="Sí",_xlfn.TEXTJOIN(", ",TRUE,IF(N(E11)&gt;0,E$4,""),IF(N(G11)&gt;0,G$4,""),IF(N(I11)&gt;0,I$4,""),IF(N(K11)&gt;0,K$4,""),IF(N(M11)&gt;0,M$4,""),IF(N(O11)&gt;0,O$4,""),IF(N(Q11)&gt;0,Q$4,""),IF(N(S11)&gt;0,S$4,""),IF(N(U11)&gt;0,U$4,""),IF(N(W11)&gt;0,W$4,""),IF(N(Y11)&gt;0,Y$4,""),IF(N(AA11)&gt;0,AA$4,""),IF(N(AC11)&gt;0,AC$4,""),IF(N(AE11)&gt;0,AE$4,""),IF(N(AG11)&gt;0,AG$4,""),IF(N(AI11)&gt;0,AI$4,""),IF(N(AK11)&gt;0,AK$4,""),IF(N(AM11)&gt;0,AM$4,""),IF(N(AO11)&gt;0,AO$4,""),IF(N(AQ11)&gt;0,AQ$4,""),IF(N(#REF!)&gt;0,#REF!,"")),"")</f>
        <v>#REF!</v>
      </c>
      <c r="CW11" s="11"/>
      <c r="CX11" s="11" t="e">
        <f t="shared" si="4"/>
        <v>#REF!</v>
      </c>
      <c r="CY11" s="12"/>
      <c r="CZ11" s="68"/>
    </row>
    <row r="12" spans="1:104" ht="27.6" customHeight="1" x14ac:dyDescent="0.3">
      <c r="A12" s="150"/>
      <c r="B12" s="78" t="s">
        <v>46</v>
      </c>
      <c r="C12" s="17">
        <v>46030</v>
      </c>
      <c r="D12" s="19">
        <f t="shared" si="1"/>
        <v>60</v>
      </c>
      <c r="E12" s="19" t="str">
        <f t="shared" si="2"/>
        <v/>
      </c>
      <c r="F12" s="19"/>
      <c r="G12" s="19" t="str">
        <f t="shared" si="3"/>
        <v/>
      </c>
      <c r="H12" s="19"/>
      <c r="I12" s="19"/>
      <c r="J12" s="19"/>
      <c r="K12" s="19"/>
      <c r="L12" s="19"/>
      <c r="M12" s="19">
        <v>10</v>
      </c>
      <c r="N12" s="19">
        <v>20</v>
      </c>
      <c r="O12" s="19">
        <v>10</v>
      </c>
      <c r="P12" s="19">
        <v>20</v>
      </c>
      <c r="Q12" s="19">
        <v>10</v>
      </c>
      <c r="R12" s="19">
        <v>20</v>
      </c>
      <c r="S12" s="19" t="s">
        <v>71</v>
      </c>
      <c r="T12" s="19"/>
      <c r="U12" s="19" t="s">
        <v>71</v>
      </c>
      <c r="V12" s="19"/>
      <c r="W12" s="19" t="s">
        <v>71</v>
      </c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39"/>
      <c r="BP12" s="39"/>
      <c r="BQ12" s="39"/>
      <c r="BR12" s="39"/>
      <c r="BS12" s="39"/>
      <c r="BT12" s="39"/>
      <c r="BU12" s="39"/>
      <c r="BV12" s="39"/>
      <c r="BW12" s="19"/>
      <c r="BX12" s="19"/>
      <c r="BY12" s="19"/>
      <c r="BZ12" s="19"/>
      <c r="CA12" s="19"/>
      <c r="CB12" s="19"/>
      <c r="CC12" s="19"/>
      <c r="CD12" s="19"/>
      <c r="CE12" s="19" t="s">
        <v>71</v>
      </c>
      <c r="CF12" s="19"/>
      <c r="CG12" s="19" t="s">
        <v>71</v>
      </c>
      <c r="CH12" s="19"/>
      <c r="CI12" s="19" t="s">
        <v>71</v>
      </c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1" t="e">
        <f>IF(SUM(E12,G12,I12,K12,M12,O12,Q12,S12,U12,W12,Y12,AA12,AC12,AE12,AG12,AI12,AK12,AM12,AO12,AQ12,#REF!)&gt;0,"Sí","No")</f>
        <v>#REF!</v>
      </c>
      <c r="CV12" s="109" t="e">
        <f>IF($CU12="Sí",_xlfn.TEXTJOIN(", ",TRUE,IF(N(E12)&gt;0,E$4,""),IF(N(G12)&gt;0,G$4,""),IF(N(I12)&gt;0,I$4,""),IF(N(K12)&gt;0,K$4,""),IF(N(M12)&gt;0,M$4,""),IF(N(O12)&gt;0,O$4,""),IF(N(Q12)&gt;0,Q$4,""),IF(N(S12)&gt;0,S$4,""),IF(N(U12)&gt;0,U$4,""),IF(N(W12)&gt;0,W$4,""),IF(N(Y12)&gt;0,Y$4,""),IF(N(AA12)&gt;0,AA$4,""),IF(N(AC12)&gt;0,AC$4,""),IF(N(AE12)&gt;0,AE$4,""),IF(N(AG12)&gt;0,AG$4,""),IF(N(AI12)&gt;0,AI$4,""),IF(N(AK12)&gt;0,AK$4,""),IF(N(AM12)&gt;0,AM$4,""),IF(N(AO12)&gt;0,AO$4,""),IF(N(AQ12)&gt;0,AQ$4,""),IF(N(#REF!)&gt;0,#REF!,"")),"")</f>
        <v>#REF!</v>
      </c>
      <c r="CW12" s="11"/>
      <c r="CX12" s="11" t="e">
        <f t="shared" si="4"/>
        <v>#REF!</v>
      </c>
      <c r="CY12" s="12">
        <v>46037</v>
      </c>
      <c r="CZ12" s="68"/>
    </row>
    <row r="13" spans="1:104" ht="18" customHeight="1" x14ac:dyDescent="0.3">
      <c r="A13" s="150"/>
      <c r="B13" s="78" t="s">
        <v>49</v>
      </c>
      <c r="C13" s="17">
        <v>46031</v>
      </c>
      <c r="D13" s="19">
        <f t="shared" si="1"/>
        <v>0</v>
      </c>
      <c r="E13" s="19" t="str">
        <f t="shared" si="2"/>
        <v/>
      </c>
      <c r="F13" s="19"/>
      <c r="G13" s="19" t="str">
        <f t="shared" si="3"/>
        <v/>
      </c>
      <c r="H13" s="19"/>
      <c r="I13" s="19"/>
      <c r="J13" s="19"/>
      <c r="K13" s="19"/>
      <c r="L13" s="19"/>
      <c r="M13" s="19" t="s">
        <v>71</v>
      </c>
      <c r="N13" s="19"/>
      <c r="O13" s="19" t="s">
        <v>71</v>
      </c>
      <c r="P13" s="19"/>
      <c r="Q13" s="19" t="s">
        <v>71</v>
      </c>
      <c r="R13" s="19"/>
      <c r="S13" s="19" t="s">
        <v>71</v>
      </c>
      <c r="T13" s="19"/>
      <c r="U13" s="19" t="s">
        <v>71</v>
      </c>
      <c r="V13" s="19"/>
      <c r="W13" s="19" t="s">
        <v>71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39"/>
      <c r="BP13" s="39"/>
      <c r="BQ13" s="39"/>
      <c r="BR13" s="39"/>
      <c r="BS13" s="39"/>
      <c r="BT13" s="39"/>
      <c r="BU13" s="39"/>
      <c r="BV13" s="39"/>
      <c r="BW13" s="19"/>
      <c r="BX13" s="19"/>
      <c r="BY13" s="19"/>
      <c r="BZ13" s="19"/>
      <c r="CA13" s="19"/>
      <c r="CB13" s="19"/>
      <c r="CC13" s="19"/>
      <c r="CD13" s="19"/>
      <c r="CE13" s="19" t="s">
        <v>71</v>
      </c>
      <c r="CF13" s="19"/>
      <c r="CG13" s="19" t="s">
        <v>71</v>
      </c>
      <c r="CH13" s="19"/>
      <c r="CI13" s="19" t="s">
        <v>71</v>
      </c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1" t="e">
        <f>IF(SUM(E13,G13,I13,K13,M13,O13,Q13,S13,U13,W13,Y13,AA13,AC13,AE13,AG13,AI13,AK13,AM13,AO13,AQ13,#REF!)&gt;0,"Sí","No")</f>
        <v>#REF!</v>
      </c>
      <c r="CV13" s="92" t="e">
        <f>IF($CU13="Sí",_xlfn.TEXTJOIN(", ",TRUE,IF(N(E13)&gt;0,E$4,""),IF(N(G13)&gt;0,G$4,""),IF(N(I13)&gt;0,I$4,""),IF(N(K13)&gt;0,K$4,""),IF(N(M13)&gt;0,M$4,""),IF(N(O13)&gt;0,O$4,""),IF(N(Q13)&gt;0,Q$4,""),IF(N(S13)&gt;0,S$4,""),IF(N(U13)&gt;0,U$4,""),IF(N(W13)&gt;0,W$4,""),IF(N(Y13)&gt;0,Y$4,""),IF(N(AA13)&gt;0,AA$4,""),IF(N(AC13)&gt;0,AC$4,""),IF(N(AE13)&gt;0,AE$4,""),IF(N(AG13)&gt;0,AG$4,""),IF(N(AI13)&gt;0,AI$4,""),IF(N(AK13)&gt;0,AK$4,""),IF(N(AM13)&gt;0,AM$4,""),IF(N(AO13)&gt;0,AO$4,""),IF(N(AQ13)&gt;0,AQ$4,""),IF(N(#REF!)&gt;0,#REF!,"")),"")</f>
        <v>#REF!</v>
      </c>
      <c r="CW13" s="11"/>
      <c r="CX13" s="11" t="e">
        <f t="shared" si="4"/>
        <v>#REF!</v>
      </c>
      <c r="CY13" s="12"/>
      <c r="CZ13" s="68"/>
    </row>
    <row r="14" spans="1:104" ht="18" customHeight="1" x14ac:dyDescent="0.3">
      <c r="A14" s="150"/>
      <c r="B14" s="78" t="s">
        <v>50</v>
      </c>
      <c r="C14" s="17">
        <v>46032</v>
      </c>
      <c r="D14" s="19">
        <f t="shared" si="1"/>
        <v>0</v>
      </c>
      <c r="E14" s="19" t="str">
        <f t="shared" si="2"/>
        <v/>
      </c>
      <c r="F14" s="19"/>
      <c r="G14" s="19" t="str">
        <f t="shared" si="3"/>
        <v/>
      </c>
      <c r="H14" s="19"/>
      <c r="I14" s="19"/>
      <c r="J14" s="19"/>
      <c r="K14" s="19"/>
      <c r="L14" s="19"/>
      <c r="M14" s="19" t="s">
        <v>71</v>
      </c>
      <c r="N14" s="19"/>
      <c r="O14" s="19" t="s">
        <v>71</v>
      </c>
      <c r="P14" s="19"/>
      <c r="Q14" s="19" t="s">
        <v>71</v>
      </c>
      <c r="R14" s="19"/>
      <c r="S14" s="19" t="s">
        <v>71</v>
      </c>
      <c r="T14" s="19"/>
      <c r="U14" s="19" t="s">
        <v>71</v>
      </c>
      <c r="V14" s="19"/>
      <c r="W14" s="19" t="s">
        <v>71</v>
      </c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39"/>
      <c r="BP14" s="39"/>
      <c r="BQ14" s="39"/>
      <c r="BR14" s="39"/>
      <c r="BS14" s="39"/>
      <c r="BT14" s="39"/>
      <c r="BU14" s="39"/>
      <c r="BV14" s="39"/>
      <c r="BW14" s="19"/>
      <c r="BX14" s="19"/>
      <c r="BY14" s="19"/>
      <c r="BZ14" s="19"/>
      <c r="CA14" s="19"/>
      <c r="CB14" s="19"/>
      <c r="CC14" s="19"/>
      <c r="CD14" s="19"/>
      <c r="CE14" s="19" t="s">
        <v>71</v>
      </c>
      <c r="CF14" s="19"/>
      <c r="CG14" s="19" t="s">
        <v>71</v>
      </c>
      <c r="CH14" s="19"/>
      <c r="CI14" s="19" t="s">
        <v>71</v>
      </c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1" t="e">
        <f>IF(SUM(E14,G14,I14,K14,M14,O14,Q14,S14,U14,W14,Y14,AA14,AC14,AE14,AG14,AI14,AK14,AM14,AO14,AQ14,#REF!)&gt;0,"Sí","No")</f>
        <v>#REF!</v>
      </c>
      <c r="CV14" s="92" t="e">
        <f>IF($CU14="Sí",_xlfn.TEXTJOIN(", ",TRUE,IF(N(E14)&gt;0,E$4,""),IF(N(G14)&gt;0,G$4,""),IF(N(I14)&gt;0,I$4,""),IF(N(K14)&gt;0,K$4,""),IF(N(M14)&gt;0,M$4,""),IF(N(O14)&gt;0,O$4,""),IF(N(Q14)&gt;0,Q$4,""),IF(N(S14)&gt;0,S$4,""),IF(N(U14)&gt;0,U$4,""),IF(N(W14)&gt;0,W$4,""),IF(N(Y14)&gt;0,Y$4,""),IF(N(AA14)&gt;0,AA$4,""),IF(N(AC14)&gt;0,AC$4,""),IF(N(AE14)&gt;0,AE$4,""),IF(N(AG14)&gt;0,AG$4,""),IF(N(AI14)&gt;0,AI$4,""),IF(N(AK14)&gt;0,AK$4,""),IF(N(AM14)&gt;0,AM$4,""),IF(N(AO14)&gt;0,AO$4,""),IF(N(AQ14)&gt;0,AQ$4,""),IF(N(#REF!)&gt;0,#REF!,"")),"")</f>
        <v>#REF!</v>
      </c>
      <c r="CW14" s="11"/>
      <c r="CX14" s="11" t="e">
        <f t="shared" si="4"/>
        <v>#REF!</v>
      </c>
      <c r="CY14" s="12"/>
      <c r="CZ14" s="68"/>
    </row>
    <row r="15" spans="1:104" ht="18" customHeight="1" x14ac:dyDescent="0.3">
      <c r="A15" s="150"/>
      <c r="B15" s="78" t="s">
        <v>52</v>
      </c>
      <c r="C15" s="17">
        <v>46033</v>
      </c>
      <c r="D15" s="19">
        <f t="shared" si="1"/>
        <v>0</v>
      </c>
      <c r="E15" s="19" t="str">
        <f t="shared" si="2"/>
        <v/>
      </c>
      <c r="F15" s="19"/>
      <c r="G15" s="19" t="str">
        <f t="shared" si="3"/>
        <v/>
      </c>
      <c r="H15" s="19"/>
      <c r="I15" s="19"/>
      <c r="J15" s="19"/>
      <c r="K15" s="19"/>
      <c r="L15" s="19"/>
      <c r="M15" s="19" t="s">
        <v>71</v>
      </c>
      <c r="N15" s="19"/>
      <c r="O15" s="19" t="s">
        <v>71</v>
      </c>
      <c r="P15" s="19"/>
      <c r="Q15" s="19" t="s">
        <v>71</v>
      </c>
      <c r="R15" s="19"/>
      <c r="S15" s="19" t="s">
        <v>71</v>
      </c>
      <c r="T15" s="19"/>
      <c r="U15" s="19" t="s">
        <v>71</v>
      </c>
      <c r="V15" s="19"/>
      <c r="W15" s="19" t="s">
        <v>71</v>
      </c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39"/>
      <c r="BP15" s="39"/>
      <c r="BQ15" s="39"/>
      <c r="BR15" s="39"/>
      <c r="BS15" s="39"/>
      <c r="BT15" s="39"/>
      <c r="BU15" s="39"/>
      <c r="BV15" s="39"/>
      <c r="BW15" s="19"/>
      <c r="BX15" s="19"/>
      <c r="BY15" s="19"/>
      <c r="BZ15" s="19"/>
      <c r="CA15" s="19"/>
      <c r="CB15" s="19"/>
      <c r="CC15" s="19"/>
      <c r="CD15" s="19"/>
      <c r="CE15" s="19" t="s">
        <v>71</v>
      </c>
      <c r="CF15" s="19"/>
      <c r="CG15" s="19" t="s">
        <v>71</v>
      </c>
      <c r="CH15" s="19"/>
      <c r="CI15" s="19" t="s">
        <v>71</v>
      </c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1" t="e">
        <f>IF(SUM(E15,G15,I15,K15,M15,O15,Q15,S15,U15,W15,Y15,AA15,AC15,AE15,AG15,AI15,AK15,AM15,AO15,AQ15,#REF!)&gt;0,"Sí","No")</f>
        <v>#REF!</v>
      </c>
      <c r="CV15" s="92" t="e">
        <f>IF($CU15="Sí",_xlfn.TEXTJOIN(", ",TRUE,IF(N(E15)&gt;0,E$4,""),IF(N(G15)&gt;0,G$4,""),IF(N(I15)&gt;0,I$4,""),IF(N(K15)&gt;0,K$4,""),IF(N(M15)&gt;0,M$4,""),IF(N(O15)&gt;0,O$4,""),IF(N(Q15)&gt;0,Q$4,""),IF(N(S15)&gt;0,S$4,""),IF(N(U15)&gt;0,U$4,""),IF(N(W15)&gt;0,W$4,""),IF(N(Y15)&gt;0,Y$4,""),IF(N(AA15)&gt;0,AA$4,""),IF(N(AC15)&gt;0,AC$4,""),IF(N(AE15)&gt;0,AE$4,""),IF(N(AG15)&gt;0,AG$4,""),IF(N(AI15)&gt;0,AI$4,""),IF(N(AK15)&gt;0,AK$4,""),IF(N(AM15)&gt;0,AM$4,""),IF(N(AO15)&gt;0,AO$4,""),IF(N(AQ15)&gt;0,AQ$4,""),IF(N(#REF!)&gt;0,#REF!,"")),"")</f>
        <v>#REF!</v>
      </c>
      <c r="CW15" s="11"/>
      <c r="CX15" s="11" t="e">
        <f t="shared" si="4"/>
        <v>#REF!</v>
      </c>
      <c r="CY15" s="12"/>
      <c r="CZ15" s="68"/>
    </row>
    <row r="16" spans="1:104" ht="18" customHeight="1" x14ac:dyDescent="0.3">
      <c r="A16" s="150"/>
      <c r="B16" s="78" t="s">
        <v>54</v>
      </c>
      <c r="C16" s="17">
        <v>46034</v>
      </c>
      <c r="D16" s="19">
        <f t="shared" si="1"/>
        <v>0</v>
      </c>
      <c r="E16" s="19" t="str">
        <f t="shared" si="2"/>
        <v/>
      </c>
      <c r="F16" s="19"/>
      <c r="G16" s="19" t="str">
        <f t="shared" si="3"/>
        <v/>
      </c>
      <c r="H16" s="19"/>
      <c r="I16" s="19"/>
      <c r="J16" s="19"/>
      <c r="K16" s="19"/>
      <c r="L16" s="19"/>
      <c r="M16" s="19" t="s">
        <v>71</v>
      </c>
      <c r="N16" s="19"/>
      <c r="O16" s="19" t="s">
        <v>71</v>
      </c>
      <c r="P16" s="19"/>
      <c r="Q16" s="19" t="s">
        <v>71</v>
      </c>
      <c r="R16" s="19"/>
      <c r="S16" s="19" t="s">
        <v>71</v>
      </c>
      <c r="T16" s="19"/>
      <c r="U16" s="19" t="s">
        <v>71</v>
      </c>
      <c r="V16" s="19"/>
      <c r="W16" s="19" t="s">
        <v>71</v>
      </c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39"/>
      <c r="BP16" s="39"/>
      <c r="BQ16" s="39"/>
      <c r="BR16" s="39"/>
      <c r="BS16" s="39"/>
      <c r="BT16" s="39"/>
      <c r="BU16" s="39"/>
      <c r="BV16" s="3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1" t="e">
        <f>IF(SUM(E16,G16,I16,K16,M16,O16,Q16,S16,U16,W16,Y16,AA16,AC16,AE16,AG16,AI16,AK16,AM16,AO16,AQ16,#REF!)&gt;0,"Sí","No")</f>
        <v>#REF!</v>
      </c>
      <c r="CV16" s="92" t="e">
        <f>IF($CU16="Sí",_xlfn.TEXTJOIN(", ",TRUE,IF(N(E16)&gt;0,E$4,""),IF(N(G16)&gt;0,G$4,""),IF(N(I16)&gt;0,I$4,""),IF(N(K16)&gt;0,K$4,""),IF(N(M16)&gt;0,M$4,""),IF(N(O16)&gt;0,O$4,""),IF(N(Q16)&gt;0,Q$4,""),IF(N(S16)&gt;0,S$4,""),IF(N(U16)&gt;0,U$4,""),IF(N(W16)&gt;0,W$4,""),IF(N(Y16)&gt;0,Y$4,""),IF(N(AA16)&gt;0,AA$4,""),IF(N(AC16)&gt;0,AC$4,""),IF(N(AE16)&gt;0,AE$4,""),IF(N(AG16)&gt;0,AG$4,""),IF(N(AI16)&gt;0,AI$4,""),IF(N(AK16)&gt;0,AK$4,""),IF(N(AM16)&gt;0,AM$4,""),IF(N(AO16)&gt;0,AO$4,""),IF(N(AQ16)&gt;0,AQ$4,""),IF(N(#REF!)&gt;0,#REF!,"")),"")</f>
        <v>#REF!</v>
      </c>
      <c r="CW16" s="11"/>
      <c r="CX16" s="11" t="e">
        <f t="shared" si="4"/>
        <v>#REF!</v>
      </c>
      <c r="CY16" s="12"/>
      <c r="CZ16" s="68"/>
    </row>
    <row r="17" spans="1:104" ht="18" customHeight="1" x14ac:dyDescent="0.3">
      <c r="A17" s="150"/>
      <c r="B17" s="78" t="s">
        <v>56</v>
      </c>
      <c r="C17" s="17">
        <v>46035</v>
      </c>
      <c r="D17" s="19">
        <f t="shared" si="1"/>
        <v>0</v>
      </c>
      <c r="E17" s="19" t="str">
        <f t="shared" si="2"/>
        <v/>
      </c>
      <c r="F17" s="19"/>
      <c r="G17" s="19" t="str">
        <f t="shared" si="3"/>
        <v/>
      </c>
      <c r="H17" s="19"/>
      <c r="I17" s="19"/>
      <c r="J17" s="19"/>
      <c r="K17" s="19"/>
      <c r="L17" s="19"/>
      <c r="M17" s="19" t="s">
        <v>71</v>
      </c>
      <c r="N17" s="19"/>
      <c r="O17" s="19" t="s">
        <v>71</v>
      </c>
      <c r="P17" s="19"/>
      <c r="Q17" s="19" t="s">
        <v>71</v>
      </c>
      <c r="R17" s="19"/>
      <c r="S17" s="19" t="s">
        <v>71</v>
      </c>
      <c r="T17" s="19"/>
      <c r="U17" s="19" t="s">
        <v>71</v>
      </c>
      <c r="V17" s="19"/>
      <c r="W17" s="19" t="s">
        <v>71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39"/>
      <c r="BP17" s="39"/>
      <c r="BQ17" s="39"/>
      <c r="BR17" s="39"/>
      <c r="BS17" s="39"/>
      <c r="BT17" s="39"/>
      <c r="BU17" s="39"/>
      <c r="BV17" s="3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1" t="e">
        <f>IF(SUM(E17,G17,I17,K17,M17,O17,Q17,S17,U17,W17,Y17,AA17,AC17,AE17,AG17,AI17,AK17,AM17,AO17,AQ17,#REF!)&gt;0,"Sí","No")</f>
        <v>#REF!</v>
      </c>
      <c r="CV17" s="92" t="e">
        <f>IF($CU17="Sí",_xlfn.TEXTJOIN(", ",TRUE,IF(N(E17)&gt;0,E$4,""),IF(N(G17)&gt;0,G$4,""),IF(N(I17)&gt;0,I$4,""),IF(N(K17)&gt;0,K$4,""),IF(N(M17)&gt;0,M$4,""),IF(N(O17)&gt;0,O$4,""),IF(N(Q17)&gt;0,Q$4,""),IF(N(S17)&gt;0,S$4,""),IF(N(U17)&gt;0,U$4,""),IF(N(W17)&gt;0,W$4,""),IF(N(Y17)&gt;0,Y$4,""),IF(N(AA17)&gt;0,AA$4,""),IF(N(AC17)&gt;0,AC$4,""),IF(N(AE17)&gt;0,AE$4,""),IF(N(AG17)&gt;0,AG$4,""),IF(N(AI17)&gt;0,AI$4,""),IF(N(AK17)&gt;0,AK$4,""),IF(N(AM17)&gt;0,AM$4,""),IF(N(AO17)&gt;0,AO$4,""),IF(N(AQ17)&gt;0,AQ$4,""),IF(N(#REF!)&gt;0,#REF!,"")),"")</f>
        <v>#REF!</v>
      </c>
      <c r="CW17" s="11"/>
      <c r="CX17" s="11" t="e">
        <f t="shared" si="4"/>
        <v>#REF!</v>
      </c>
      <c r="CY17" s="12"/>
      <c r="CZ17" s="68"/>
    </row>
    <row r="18" spans="1:104" ht="18" customHeight="1" x14ac:dyDescent="0.3">
      <c r="A18" s="150"/>
      <c r="B18" s="78" t="s">
        <v>57</v>
      </c>
      <c r="C18" s="17">
        <v>46036</v>
      </c>
      <c r="D18" s="19">
        <f t="shared" si="1"/>
        <v>0</v>
      </c>
      <c r="E18" s="19" t="str">
        <f t="shared" si="2"/>
        <v/>
      </c>
      <c r="F18" s="19"/>
      <c r="G18" s="19" t="str">
        <f t="shared" si="3"/>
        <v/>
      </c>
      <c r="H18" s="19"/>
      <c r="I18" s="19"/>
      <c r="J18" s="19"/>
      <c r="K18" s="19"/>
      <c r="L18" s="19"/>
      <c r="M18" s="19" t="s">
        <v>71</v>
      </c>
      <c r="N18" s="19"/>
      <c r="O18" s="19" t="s">
        <v>71</v>
      </c>
      <c r="P18" s="19"/>
      <c r="Q18" s="19" t="s">
        <v>71</v>
      </c>
      <c r="R18" s="19"/>
      <c r="S18" s="19" t="s">
        <v>71</v>
      </c>
      <c r="T18" s="19"/>
      <c r="U18" s="19" t="s">
        <v>71</v>
      </c>
      <c r="V18" s="19"/>
      <c r="W18" s="19" t="s">
        <v>71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39"/>
      <c r="BP18" s="39"/>
      <c r="BQ18" s="39"/>
      <c r="BR18" s="39"/>
      <c r="BS18" s="39"/>
      <c r="BT18" s="39"/>
      <c r="BU18" s="39"/>
      <c r="BV18" s="3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1" t="e">
        <f>IF(SUM(E18,G18,I18,K18,M18,O18,Q18,S18,U18,W18,Y18,AA18,AC18,AE18,AG18,AI18,AK18,AM18,AO18,AQ18,#REF!)&gt;0,"Sí","No")</f>
        <v>#REF!</v>
      </c>
      <c r="CV18" s="92" t="e">
        <f>IF($CU18="Sí",_xlfn.TEXTJOIN(", ",TRUE,IF(N(E18)&gt;0,E$4,""),IF(N(G18)&gt;0,G$4,""),IF(N(I18)&gt;0,I$4,""),IF(N(K18)&gt;0,K$4,""),IF(N(M18)&gt;0,M$4,""),IF(N(O18)&gt;0,O$4,""),IF(N(Q18)&gt;0,Q$4,""),IF(N(S18)&gt;0,S$4,""),IF(N(U18)&gt;0,U$4,""),IF(N(W18)&gt;0,W$4,""),IF(N(Y18)&gt;0,Y$4,""),IF(N(AA18)&gt;0,AA$4,""),IF(N(AC18)&gt;0,AC$4,""),IF(N(AE18)&gt;0,AE$4,""),IF(N(AG18)&gt;0,AG$4,""),IF(N(AI18)&gt;0,AI$4,""),IF(N(AK18)&gt;0,AK$4,""),IF(N(AM18)&gt;0,AM$4,""),IF(N(AO18)&gt;0,AO$4,""),IF(N(AQ18)&gt;0,AQ$4,""),IF(N(#REF!)&gt;0,#REF!,"")),"")</f>
        <v>#REF!</v>
      </c>
      <c r="CW18" s="11"/>
      <c r="CX18" s="11" t="e">
        <f t="shared" si="4"/>
        <v>#REF!</v>
      </c>
      <c r="CY18" s="12"/>
      <c r="CZ18" s="68"/>
    </row>
    <row r="19" spans="1:104" ht="18" customHeight="1" x14ac:dyDescent="0.3">
      <c r="A19" s="150"/>
      <c r="B19" s="78" t="s">
        <v>46</v>
      </c>
      <c r="C19" s="17">
        <v>46037</v>
      </c>
      <c r="D19" s="19">
        <f t="shared" si="1"/>
        <v>0</v>
      </c>
      <c r="E19" s="19" t="str">
        <f t="shared" si="2"/>
        <v/>
      </c>
      <c r="F19" s="19"/>
      <c r="G19" s="19" t="str">
        <f t="shared" si="3"/>
        <v/>
      </c>
      <c r="H19" s="19"/>
      <c r="I19" s="19"/>
      <c r="J19" s="19"/>
      <c r="K19" s="19"/>
      <c r="L19" s="19"/>
      <c r="M19" s="19" t="s">
        <v>71</v>
      </c>
      <c r="N19" s="19"/>
      <c r="O19" s="19" t="s">
        <v>71</v>
      </c>
      <c r="P19" s="19"/>
      <c r="Q19" s="19" t="s">
        <v>71</v>
      </c>
      <c r="R19" s="19"/>
      <c r="S19" s="19" t="s">
        <v>71</v>
      </c>
      <c r="T19" s="19"/>
      <c r="U19" s="19" t="s">
        <v>71</v>
      </c>
      <c r="V19" s="19"/>
      <c r="W19" s="19" t="s">
        <v>71</v>
      </c>
      <c r="X19" s="19"/>
      <c r="Y19" s="19"/>
      <c r="Z19" s="4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50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39"/>
      <c r="BP19" s="39"/>
      <c r="BQ19" s="39"/>
      <c r="BR19" s="39"/>
      <c r="BS19" s="39"/>
      <c r="BT19" s="39"/>
      <c r="BU19" s="39"/>
      <c r="BV19" s="3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1" t="e">
        <f>IF(SUM(E19,G19,I19,K19,M19,O19,Q19,S19,U19,W19,Y19,AA19,AC19,AE19,AG19,AI19,AK19,AM19,AO19,AQ19,#REF!)&gt;0,"Sí","No")</f>
        <v>#REF!</v>
      </c>
      <c r="CV19" s="92" t="e">
        <f>IF($CU19="Sí",_xlfn.TEXTJOIN(", ",TRUE,IF(N(E19)&gt;0,E$4,""),IF(N(G19)&gt;0,G$4,""),IF(N(I19)&gt;0,I$4,""),IF(N(K19)&gt;0,K$4,""),IF(N(M19)&gt;0,M$4,""),IF(N(O19)&gt;0,O$4,""),IF(N(Q19)&gt;0,Q$4,""),IF(N(S19)&gt;0,S$4,""),IF(N(U19)&gt;0,U$4,""),IF(N(W19)&gt;0,W$4,""),IF(N(Y19)&gt;0,Y$4,""),IF(N(AA19)&gt;0,AA$4,""),IF(N(AC19)&gt;0,AC$4,""),IF(N(AE19)&gt;0,AE$4,""),IF(N(AG19)&gt;0,AG$4,""),IF(N(AI19)&gt;0,AI$4,""),IF(N(AK19)&gt;0,AK$4,""),IF(N(AM19)&gt;0,AM$4,""),IF(N(AO19)&gt;0,AO$4,""),IF(N(AQ19)&gt;0,AQ$4,""),IF(N(#REF!)&gt;0,#REF!,"")),"")</f>
        <v>#REF!</v>
      </c>
      <c r="CW19" s="11"/>
      <c r="CX19" s="11" t="e">
        <f t="shared" si="4"/>
        <v>#REF!</v>
      </c>
      <c r="CY19" s="12"/>
      <c r="CZ19" s="68"/>
    </row>
    <row r="20" spans="1:104" ht="18" customHeight="1" x14ac:dyDescent="0.3">
      <c r="A20" s="150"/>
      <c r="B20" s="78" t="s">
        <v>49</v>
      </c>
      <c r="C20" s="17">
        <v>46038</v>
      </c>
      <c r="D20" s="19">
        <f t="shared" si="1"/>
        <v>0</v>
      </c>
      <c r="E20" s="19" t="str">
        <f t="shared" si="2"/>
        <v/>
      </c>
      <c r="F20" s="19"/>
      <c r="G20" s="19" t="str">
        <f t="shared" si="3"/>
        <v/>
      </c>
      <c r="H20" s="19"/>
      <c r="I20" s="19"/>
      <c r="J20" s="19"/>
      <c r="K20" s="19"/>
      <c r="L20" s="19"/>
      <c r="M20" s="19" t="s">
        <v>71</v>
      </c>
      <c r="N20" s="19"/>
      <c r="O20" s="19" t="s">
        <v>71</v>
      </c>
      <c r="P20" s="19"/>
      <c r="Q20" s="19" t="s">
        <v>71</v>
      </c>
      <c r="R20" s="19"/>
      <c r="S20" s="19" t="s">
        <v>71</v>
      </c>
      <c r="T20" s="19"/>
      <c r="U20" s="19" t="s">
        <v>71</v>
      </c>
      <c r="V20" s="19"/>
      <c r="W20" s="19" t="s">
        <v>71</v>
      </c>
      <c r="X20" s="19"/>
      <c r="Y20" s="19"/>
      <c r="Z20" s="19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39"/>
      <c r="BP20" s="39"/>
      <c r="BQ20" s="39"/>
      <c r="BR20" s="39"/>
      <c r="BS20" s="39"/>
      <c r="BT20" s="39"/>
      <c r="BU20" s="39"/>
      <c r="BV20" s="3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1" t="e">
        <f>IF(SUM(E20,G20,I20,K20,M20,O20,Q20,S20,U20,W20,Y20,AA20,AC20,AE20,AG20,AI20,AK20,AM20,AO20,AQ20,#REF!)&gt;0,"Sí","No")</f>
        <v>#REF!</v>
      </c>
      <c r="CV20" s="92" t="e">
        <f>IF($CU20="Sí",_xlfn.TEXTJOIN(", ",TRUE,IF(N(E20)&gt;0,E$4,""),IF(N(G20)&gt;0,G$4,""),IF(N(I20)&gt;0,I$4,""),IF(N(K20)&gt;0,K$4,""),IF(N(M20)&gt;0,M$4,""),IF(N(O20)&gt;0,O$4,""),IF(N(Q20)&gt;0,Q$4,""),IF(N(S20)&gt;0,S$4,""),IF(N(U20)&gt;0,U$4,""),IF(N(W20)&gt;0,W$4,""),IF(N(Y20)&gt;0,Y$4,""),IF(N(AA20)&gt;0,AA$4,""),IF(N(AC20)&gt;0,AC$4,""),IF(N(AE20)&gt;0,AE$4,""),IF(N(AG20)&gt;0,AG$4,""),IF(N(AI20)&gt;0,AI$4,""),IF(N(AK20)&gt;0,AK$4,""),IF(N(AM20)&gt;0,AM$4,""),IF(N(AO20)&gt;0,AO$4,""),IF(N(AQ20)&gt;0,AQ$4,""),IF(N(#REF!)&gt;0,#REF!,"")),"")</f>
        <v>#REF!</v>
      </c>
      <c r="CW20" s="11"/>
      <c r="CX20" s="11" t="e">
        <f t="shared" si="4"/>
        <v>#REF!</v>
      </c>
      <c r="CY20" s="12" t="s">
        <v>64</v>
      </c>
      <c r="CZ20" s="68"/>
    </row>
    <row r="21" spans="1:104" ht="18" customHeight="1" x14ac:dyDescent="0.3">
      <c r="A21" s="150"/>
      <c r="B21" s="78" t="s">
        <v>50</v>
      </c>
      <c r="C21" s="17">
        <v>46039</v>
      </c>
      <c r="D21" s="19">
        <f t="shared" si="1"/>
        <v>0</v>
      </c>
      <c r="E21" s="19" t="str">
        <f t="shared" si="2"/>
        <v/>
      </c>
      <c r="F21" s="19"/>
      <c r="G21" s="19" t="str">
        <f t="shared" si="3"/>
        <v/>
      </c>
      <c r="H21" s="19"/>
      <c r="I21" s="19"/>
      <c r="J21" s="19"/>
      <c r="K21" s="19"/>
      <c r="L21" s="19"/>
      <c r="M21" s="19" t="s">
        <v>71</v>
      </c>
      <c r="N21" s="19"/>
      <c r="O21" s="19" t="s">
        <v>71</v>
      </c>
      <c r="P21" s="19"/>
      <c r="Q21" s="19" t="s">
        <v>71</v>
      </c>
      <c r="R21" s="19"/>
      <c r="S21" s="19" t="s">
        <v>71</v>
      </c>
      <c r="T21" s="19"/>
      <c r="U21" s="19" t="s">
        <v>71</v>
      </c>
      <c r="V21" s="19"/>
      <c r="W21" s="19" t="s">
        <v>71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39"/>
      <c r="BP21" s="39"/>
      <c r="BQ21" s="39"/>
      <c r="BR21" s="39"/>
      <c r="BS21" s="39"/>
      <c r="BT21" s="39"/>
      <c r="BU21" s="39"/>
      <c r="BV21" s="3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1" t="e">
        <f>IF(SUM(E21,G21,I21,K21,M21,O21,Q21,S21,U21,W21,Y21,AA21,AC21,AE21,AG21,AI21,AK21,AM21,AO21,AQ21,#REF!)&gt;0,"Sí","No")</f>
        <v>#REF!</v>
      </c>
      <c r="CV21" s="92" t="e">
        <f>IF($CU21="Sí",_xlfn.TEXTJOIN(", ",TRUE,IF(N(E21)&gt;0,E$4,""),IF(N(G21)&gt;0,G$4,""),IF(N(I21)&gt;0,I$4,""),IF(N(K21)&gt;0,K$4,""),IF(N(M21)&gt;0,M$4,""),IF(N(O21)&gt;0,O$4,""),IF(N(Q21)&gt;0,Q$4,""),IF(N(S21)&gt;0,S$4,""),IF(N(U21)&gt;0,U$4,""),IF(N(W21)&gt;0,W$4,""),IF(N(Y21)&gt;0,Y$4,""),IF(N(AA21)&gt;0,AA$4,""),IF(N(AC21)&gt;0,AC$4,""),IF(N(AE21)&gt;0,AE$4,""),IF(N(AG21)&gt;0,AG$4,""),IF(N(AI21)&gt;0,AI$4,""),IF(N(AK21)&gt;0,AK$4,""),IF(N(AM21)&gt;0,AM$4,""),IF(N(AO21)&gt;0,AO$4,""),IF(N(AQ21)&gt;0,AQ$4,""),IF(N(#REF!)&gt;0,#REF!,"")),"")</f>
        <v>#REF!</v>
      </c>
      <c r="CW21" s="11"/>
      <c r="CX21" s="11" t="e">
        <f t="shared" si="4"/>
        <v>#REF!</v>
      </c>
      <c r="CY21" s="12">
        <v>46034</v>
      </c>
      <c r="CZ21" s="68"/>
    </row>
    <row r="22" spans="1:104" ht="18" customHeight="1" x14ac:dyDescent="0.3">
      <c r="A22" s="150"/>
      <c r="B22" s="78" t="s">
        <v>52</v>
      </c>
      <c r="C22" s="17">
        <v>46040</v>
      </c>
      <c r="D22" s="19">
        <f t="shared" si="1"/>
        <v>0</v>
      </c>
      <c r="E22" s="19" t="str">
        <f t="shared" si="2"/>
        <v/>
      </c>
      <c r="F22" s="19"/>
      <c r="G22" s="19" t="str">
        <f t="shared" si="3"/>
        <v/>
      </c>
      <c r="H22" s="19"/>
      <c r="I22" s="19"/>
      <c r="J22" s="19"/>
      <c r="K22" s="19"/>
      <c r="L22" s="19"/>
      <c r="M22" s="19" t="s">
        <v>71</v>
      </c>
      <c r="N22" s="19"/>
      <c r="O22" s="19" t="s">
        <v>71</v>
      </c>
      <c r="P22" s="19"/>
      <c r="Q22" s="19" t="s">
        <v>71</v>
      </c>
      <c r="R22" s="19"/>
      <c r="S22" s="19" t="s">
        <v>71</v>
      </c>
      <c r="T22" s="19"/>
      <c r="U22" s="19" t="s">
        <v>71</v>
      </c>
      <c r="V22" s="19"/>
      <c r="W22" s="19" t="s">
        <v>71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39"/>
      <c r="BP22" s="39"/>
      <c r="BQ22" s="39"/>
      <c r="BR22" s="39"/>
      <c r="BS22" s="39"/>
      <c r="BT22" s="39"/>
      <c r="BU22" s="39"/>
      <c r="BV22" s="3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1" t="e">
        <f>IF(SUM(E22,G22,I22,K22,M22,O22,Q22,S22,U22,W22,Y22,AA22,AC22,AE22,AG22,AI22,AK22,AM22,AO22,AQ22,#REF!)&gt;0,"Sí","No")</f>
        <v>#REF!</v>
      </c>
      <c r="CV22" s="92" t="e">
        <f>IF($CU22="Sí",_xlfn.TEXTJOIN(", ",TRUE,IF(N(E22)&gt;0,E$4,""),IF(N(G22)&gt;0,G$4,""),IF(N(I22)&gt;0,I$4,""),IF(N(K22)&gt;0,K$4,""),IF(N(M22)&gt;0,M$4,""),IF(N(O22)&gt;0,O$4,""),IF(N(Q22)&gt;0,Q$4,""),IF(N(S22)&gt;0,S$4,""),IF(N(U22)&gt;0,U$4,""),IF(N(W22)&gt;0,W$4,""),IF(N(Y22)&gt;0,Y$4,""),IF(N(AA22)&gt;0,AA$4,""),IF(N(AC22)&gt;0,AC$4,""),IF(N(AE22)&gt;0,AE$4,""),IF(N(AG22)&gt;0,AG$4,""),IF(N(AI22)&gt;0,AI$4,""),IF(N(AK22)&gt;0,AK$4,""),IF(N(AM22)&gt;0,AM$4,""),IF(N(AO22)&gt;0,AO$4,""),IF(N(AQ22)&gt;0,AQ$4,""),IF(N(#REF!)&gt;0,#REF!,"")),"")</f>
        <v>#REF!</v>
      </c>
      <c r="CW22" s="11"/>
      <c r="CX22" s="11" t="e">
        <f t="shared" si="4"/>
        <v>#REF!</v>
      </c>
      <c r="CY22" s="12">
        <v>46040</v>
      </c>
      <c r="CZ22" s="68"/>
    </row>
    <row r="23" spans="1:104" ht="18" customHeight="1" x14ac:dyDescent="0.3">
      <c r="A23" s="150"/>
      <c r="B23" s="78" t="s">
        <v>54</v>
      </c>
      <c r="C23" s="17">
        <v>46041</v>
      </c>
      <c r="D23" s="19">
        <f t="shared" si="1"/>
        <v>0</v>
      </c>
      <c r="E23" s="19" t="str">
        <f t="shared" si="2"/>
        <v/>
      </c>
      <c r="F23" s="19"/>
      <c r="G23" s="19" t="str">
        <f t="shared" si="3"/>
        <v/>
      </c>
      <c r="H23" s="19"/>
      <c r="I23" s="19"/>
      <c r="J23" s="19"/>
      <c r="K23" s="19"/>
      <c r="L23" s="19"/>
      <c r="M23" s="19" t="s">
        <v>71</v>
      </c>
      <c r="N23" s="19"/>
      <c r="O23" s="19" t="s">
        <v>71</v>
      </c>
      <c r="P23" s="19"/>
      <c r="Q23" s="19" t="s">
        <v>71</v>
      </c>
      <c r="R23" s="19"/>
      <c r="S23" s="19" t="s">
        <v>71</v>
      </c>
      <c r="T23" s="19"/>
      <c r="U23" s="19" t="s">
        <v>71</v>
      </c>
      <c r="V23" s="19"/>
      <c r="W23" s="19" t="s">
        <v>71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39"/>
      <c r="BP23" s="39"/>
      <c r="BQ23" s="39"/>
      <c r="BR23" s="39"/>
      <c r="BS23" s="39"/>
      <c r="BT23" s="39"/>
      <c r="BU23" s="39"/>
      <c r="BV23" s="3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1" t="e">
        <f>IF(SUM(E23,G23,I23,K23,M23,O23,Q23,S23,U23,W23,Y23,AA23,AC23,AE23,AG23,AI23,AK23,AM23,AO23,AQ23,#REF!)&gt;0,"Sí","No")</f>
        <v>#REF!</v>
      </c>
      <c r="CV23" s="92" t="e">
        <f>IF($CU23="Sí",_xlfn.TEXTJOIN(", ",TRUE,IF(N(E23)&gt;0,E$4,""),IF(N(G23)&gt;0,G$4,""),IF(N(I23)&gt;0,I$4,""),IF(N(K23)&gt;0,K$4,""),IF(N(M23)&gt;0,M$4,""),IF(N(O23)&gt;0,O$4,""),IF(N(Q23)&gt;0,Q$4,""),IF(N(S23)&gt;0,S$4,""),IF(N(U23)&gt;0,U$4,""),IF(N(W23)&gt;0,W$4,""),IF(N(Y23)&gt;0,Y$4,""),IF(N(AA23)&gt;0,AA$4,""),IF(N(AC23)&gt;0,AC$4,""),IF(N(AE23)&gt;0,AE$4,""),IF(N(AG23)&gt;0,AG$4,""),IF(N(AI23)&gt;0,AI$4,""),IF(N(AK23)&gt;0,AK$4,""),IF(N(AM23)&gt;0,AM$4,""),IF(N(AO23)&gt;0,AO$4,""),IF(N(AQ23)&gt;0,AQ$4,""),IF(N(#REF!)&gt;0,#REF!,"")),"")</f>
        <v>#REF!</v>
      </c>
      <c r="CW23" s="11"/>
      <c r="CX23" s="11" t="e">
        <f t="shared" si="4"/>
        <v>#REF!</v>
      </c>
      <c r="CY23" s="12">
        <v>46041</v>
      </c>
      <c r="CZ23" s="68"/>
    </row>
    <row r="24" spans="1:104" ht="36" customHeight="1" x14ac:dyDescent="0.3">
      <c r="A24" s="150"/>
      <c r="B24" s="78" t="s">
        <v>56</v>
      </c>
      <c r="C24" s="17">
        <v>46042</v>
      </c>
      <c r="D24" s="19">
        <f t="shared" si="1"/>
        <v>0</v>
      </c>
      <c r="E24" s="19" t="str">
        <f t="shared" si="2"/>
        <v/>
      </c>
      <c r="F24" s="19"/>
      <c r="G24" s="19" t="str">
        <f t="shared" si="3"/>
        <v/>
      </c>
      <c r="H24" s="19"/>
      <c r="I24" s="19"/>
      <c r="J24" s="19"/>
      <c r="K24" s="19"/>
      <c r="L24" s="19"/>
      <c r="M24" s="19" t="s">
        <v>71</v>
      </c>
      <c r="N24" s="19"/>
      <c r="O24" s="19" t="s">
        <v>71</v>
      </c>
      <c r="P24" s="19"/>
      <c r="Q24" s="19" t="s">
        <v>71</v>
      </c>
      <c r="R24" s="19"/>
      <c r="S24" s="19" t="s">
        <v>71</v>
      </c>
      <c r="T24" s="19"/>
      <c r="U24" s="19" t="s">
        <v>71</v>
      </c>
      <c r="V24" s="19"/>
      <c r="W24" s="19" t="s">
        <v>71</v>
      </c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39"/>
      <c r="BP24" s="39"/>
      <c r="BQ24" s="39"/>
      <c r="BR24" s="39"/>
      <c r="BS24" s="39"/>
      <c r="BT24" s="39"/>
      <c r="BU24" s="39"/>
      <c r="BV24" s="3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1" t="e">
        <f>IF(SUM(E24,G24,I24,K24,M24,O24,Q24,S24,U24,W24,Y24,AA24,AC24,AE24,AG24,AI24,AK24,AM24,AO24,AQ24,#REF!)&gt;0,"Sí","No")</f>
        <v>#REF!</v>
      </c>
      <c r="CV24" s="92" t="e">
        <f>IF($CU24="Sí",_xlfn.TEXTJOIN(", ",TRUE,IF(N(E24)&gt;0,E$4,""),IF(N(G24)&gt;0,G$4,""),IF(N(I24)&gt;0,I$4,""),IF(N(K24)&gt;0,K$4,""),IF(N(M24)&gt;0,M$4,""),IF(N(O24)&gt;0,O$4,""),IF(N(Q24)&gt;0,Q$4,""),IF(N(S24)&gt;0,S$4,""),IF(N(U24)&gt;0,U$4,""),IF(N(W24)&gt;0,W$4,""),IF(N(Y24)&gt;0,Y$4,""),IF(N(AA24)&gt;0,AA$4,""),IF(N(AC24)&gt;0,AC$4,""),IF(N(AE24)&gt;0,AE$4,""),IF(N(AG24)&gt;0,AG$4,""),IF(N(AI24)&gt;0,AI$4,""),IF(N(AK24)&gt;0,AK$4,""),IF(N(AM24)&gt;0,AM$4,""),IF(N(AO24)&gt;0,AO$4,""),IF(N(AQ24)&gt;0,AQ$4,""),IF(N(#REF!)&gt;0,#REF!,"")),"")</f>
        <v>#REF!</v>
      </c>
      <c r="CW24" s="11"/>
      <c r="CX24" s="11" t="e">
        <f t="shared" si="4"/>
        <v>#REF!</v>
      </c>
      <c r="CY24" s="12">
        <v>46042</v>
      </c>
      <c r="CZ24" s="68"/>
    </row>
    <row r="25" spans="1:104" ht="36" customHeight="1" x14ac:dyDescent="0.3">
      <c r="A25" s="150"/>
      <c r="B25" s="78" t="s">
        <v>57</v>
      </c>
      <c r="C25" s="17">
        <v>46043</v>
      </c>
      <c r="D25" s="19">
        <f t="shared" si="1"/>
        <v>0</v>
      </c>
      <c r="E25" s="19" t="str">
        <f t="shared" si="2"/>
        <v/>
      </c>
      <c r="F25" s="19"/>
      <c r="G25" s="19" t="str">
        <f t="shared" si="3"/>
        <v/>
      </c>
      <c r="H25" s="19"/>
      <c r="I25" s="19"/>
      <c r="J25" s="19"/>
      <c r="K25" s="19"/>
      <c r="L25" s="19"/>
      <c r="M25" s="19" t="s">
        <v>71</v>
      </c>
      <c r="N25" s="19"/>
      <c r="O25" s="19" t="s">
        <v>71</v>
      </c>
      <c r="P25" s="19"/>
      <c r="Q25" s="19" t="s">
        <v>71</v>
      </c>
      <c r="R25" s="19"/>
      <c r="S25" s="19" t="s">
        <v>71</v>
      </c>
      <c r="T25" s="19"/>
      <c r="U25" s="19" t="s">
        <v>71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39"/>
      <c r="BP25" s="39"/>
      <c r="BQ25" s="39"/>
      <c r="BR25" s="39"/>
      <c r="BS25" s="39"/>
      <c r="BT25" s="39"/>
      <c r="BU25" s="39"/>
      <c r="BV25" s="3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1" t="e">
        <f>IF(SUM(E25,G25,I25,K25,M25,O25,Q25,S25,U25,W25,Y25,AA25,AC25,AE25,AG25,AI25,AK25,AM25,AO25,AQ25,#REF!)&gt;0,"Sí","No")</f>
        <v>#REF!</v>
      </c>
      <c r="CV25" s="92" t="e">
        <f>IF($CU25="Sí",_xlfn.TEXTJOIN(", ",TRUE,IF(N(E25)&gt;0,E$4,""),IF(N(G25)&gt;0,G$4,""),IF(N(I25)&gt;0,I$4,""),IF(N(K25)&gt;0,K$4,""),IF(N(M25)&gt;0,M$4,""),IF(N(O25)&gt;0,O$4,""),IF(N(Q25)&gt;0,Q$4,""),IF(N(S25)&gt;0,S$4,""),IF(N(U25)&gt;0,U$4,""),IF(N(W25)&gt;0,W$4,""),IF(N(Y25)&gt;0,Y$4,""),IF(N(AA25)&gt;0,AA$4,""),IF(N(AC25)&gt;0,AC$4,""),IF(N(AE25)&gt;0,AE$4,""),IF(N(AG25)&gt;0,AG$4,""),IF(N(AI25)&gt;0,AI$4,""),IF(N(AK25)&gt;0,AK$4,""),IF(N(AM25)&gt;0,AM$4,""),IF(N(AO25)&gt;0,AO$4,""),IF(N(AQ25)&gt;0,AQ$4,""),IF(N(#REF!)&gt;0,#REF!,"")),"")</f>
        <v>#REF!</v>
      </c>
      <c r="CW25" s="11"/>
      <c r="CX25" s="11" t="e">
        <f t="shared" si="4"/>
        <v>#REF!</v>
      </c>
      <c r="CY25" s="12">
        <f>C25</f>
        <v>46043</v>
      </c>
      <c r="CZ25" s="68"/>
    </row>
    <row r="26" spans="1:104" ht="36" customHeight="1" x14ac:dyDescent="0.3">
      <c r="A26" s="150"/>
      <c r="B26" s="78" t="s">
        <v>46</v>
      </c>
      <c r="C26" s="17">
        <v>46044</v>
      </c>
      <c r="D26" s="19">
        <f t="shared" si="1"/>
        <v>0</v>
      </c>
      <c r="E26" s="19" t="str">
        <f t="shared" si="2"/>
        <v/>
      </c>
      <c r="F26" s="19"/>
      <c r="G26" s="19" t="str">
        <f t="shared" si="3"/>
        <v/>
      </c>
      <c r="H26" s="19"/>
      <c r="I26" s="19"/>
      <c r="J26" s="19"/>
      <c r="K26" s="19"/>
      <c r="L26" s="19"/>
      <c r="M26" s="19" t="s">
        <v>71</v>
      </c>
      <c r="N26" s="19"/>
      <c r="O26" s="19" t="s">
        <v>71</v>
      </c>
      <c r="P26" s="19"/>
      <c r="Q26" s="19" t="s">
        <v>71</v>
      </c>
      <c r="R26" s="19"/>
      <c r="S26" s="19" t="s">
        <v>71</v>
      </c>
      <c r="T26" s="19"/>
      <c r="U26" s="19" t="s">
        <v>71</v>
      </c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39"/>
      <c r="BP26" s="39"/>
      <c r="BQ26" s="39"/>
      <c r="BR26" s="39"/>
      <c r="BS26" s="39"/>
      <c r="BT26" s="39"/>
      <c r="BU26" s="39"/>
      <c r="BV26" s="3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1" t="e">
        <f>IF(SUM(E26,G26,I26,K26,M26,O26,Q26,S26,U26,W26,Y26,AA26,AC26,AE26,AG26,AI26,AK26,AM26,AO26,AQ26,#REF!)&gt;0,"Sí","No")</f>
        <v>#REF!</v>
      </c>
      <c r="CV26" s="92" t="e">
        <f>IF($CU26="Sí",_xlfn.TEXTJOIN(", ",TRUE,IF(N(E26)&gt;0,E$4,""),IF(N(G26)&gt;0,G$4,""),IF(N(I26)&gt;0,I$4,""),IF(N(K26)&gt;0,K$4,""),IF(N(M26)&gt;0,M$4,""),IF(N(O26)&gt;0,O$4,""),IF(N(Q26)&gt;0,Q$4,""),IF(N(S26)&gt;0,S$4,""),IF(N(U26)&gt;0,U$4,""),IF(N(W26)&gt;0,W$4,""),IF(N(Y26)&gt;0,Y$4,""),IF(N(AA26)&gt;0,AA$4,""),IF(N(AC26)&gt;0,AC$4,""),IF(N(AE26)&gt;0,AE$4,""),IF(N(AG26)&gt;0,AG$4,""),IF(N(AI26)&gt;0,AI$4,""),IF(N(AK26)&gt;0,AK$4,""),IF(N(AM26)&gt;0,AM$4,""),IF(N(AO26)&gt;0,AO$4,""),IF(N(AQ26)&gt;0,AQ$4,""),IF(N(#REF!)&gt;0,#REF!,"")),"")</f>
        <v>#REF!</v>
      </c>
      <c r="CW26" s="11"/>
      <c r="CX26" s="11" t="e">
        <f t="shared" si="4"/>
        <v>#REF!</v>
      </c>
      <c r="CY26" s="12">
        <v>46044</v>
      </c>
      <c r="CZ26" s="68"/>
    </row>
    <row r="27" spans="1:104" ht="36" customHeight="1" x14ac:dyDescent="0.3">
      <c r="A27" s="150"/>
      <c r="B27" s="78" t="s">
        <v>49</v>
      </c>
      <c r="C27" s="17">
        <v>46045</v>
      </c>
      <c r="D27" s="19">
        <f t="shared" si="1"/>
        <v>0</v>
      </c>
      <c r="E27" s="19" t="str">
        <f t="shared" si="2"/>
        <v/>
      </c>
      <c r="F27" s="19"/>
      <c r="G27" s="19" t="str">
        <f t="shared" si="3"/>
        <v/>
      </c>
      <c r="H27" s="19"/>
      <c r="I27" s="19"/>
      <c r="J27" s="19"/>
      <c r="K27" s="19"/>
      <c r="L27" s="19"/>
      <c r="M27" s="19" t="s">
        <v>71</v>
      </c>
      <c r="N27" s="19"/>
      <c r="O27" s="19" t="s">
        <v>71</v>
      </c>
      <c r="P27" s="19"/>
      <c r="Q27" s="19" t="s">
        <v>71</v>
      </c>
      <c r="R27" s="19"/>
      <c r="S27" s="19" t="s">
        <v>71</v>
      </c>
      <c r="T27" s="19"/>
      <c r="U27" s="19" t="s">
        <v>71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39"/>
      <c r="BP27" s="39"/>
      <c r="BQ27" s="39"/>
      <c r="BR27" s="39"/>
      <c r="BS27" s="39"/>
      <c r="BT27" s="39"/>
      <c r="BU27" s="39"/>
      <c r="BV27" s="3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1" t="e">
        <f>IF(SUM(E27,G27,I27,K27,M27,O27,Q27,S27,U27,W27,Y27,AA27,AC27,AE27,AG27,AI27,AK27,AM27,AO27,AQ27,#REF!)&gt;0,"Sí","No")</f>
        <v>#REF!</v>
      </c>
      <c r="CV27" s="92" t="e">
        <f>IF($CU27="Sí",_xlfn.TEXTJOIN(", ",TRUE,IF(N(E27)&gt;0,E$4,""),IF(N(G27)&gt;0,G$4,""),IF(N(I27)&gt;0,I$4,""),IF(N(K27)&gt;0,K$4,""),IF(N(M27)&gt;0,M$4,""),IF(N(O27)&gt;0,O$4,""),IF(N(Q27)&gt;0,Q$4,""),IF(N(S27)&gt;0,S$4,""),IF(N(U27)&gt;0,U$4,""),IF(N(W27)&gt;0,W$4,""),IF(N(Y27)&gt;0,Y$4,""),IF(N(AA27)&gt;0,AA$4,""),IF(N(AC27)&gt;0,AC$4,""),IF(N(AE27)&gt;0,AE$4,""),IF(N(AG27)&gt;0,AG$4,""),IF(N(AI27)&gt;0,AI$4,""),IF(N(AK27)&gt;0,AK$4,""),IF(N(AM27)&gt;0,AM$4,""),IF(N(AO27)&gt;0,AO$4,""),IF(N(AQ27)&gt;0,AQ$4,""),IF(N(#REF!)&gt;0,#REF!,"")),"")</f>
        <v>#REF!</v>
      </c>
      <c r="CW27" s="11"/>
      <c r="CX27" s="11" t="e">
        <f t="shared" si="4"/>
        <v>#REF!</v>
      </c>
      <c r="CY27" s="12">
        <v>46045</v>
      </c>
      <c r="CZ27" s="68"/>
    </row>
    <row r="28" spans="1:104" ht="18" customHeight="1" x14ac:dyDescent="0.3">
      <c r="A28" s="150"/>
      <c r="B28" s="78" t="s">
        <v>50</v>
      </c>
      <c r="C28" s="17">
        <v>46046</v>
      </c>
      <c r="D28" s="19">
        <f t="shared" si="1"/>
        <v>0</v>
      </c>
      <c r="E28" s="19" t="str">
        <f t="shared" si="2"/>
        <v/>
      </c>
      <c r="F28" s="19"/>
      <c r="G28" s="19" t="str">
        <f t="shared" si="3"/>
        <v/>
      </c>
      <c r="H28" s="19"/>
      <c r="I28" s="19"/>
      <c r="J28" s="19"/>
      <c r="K28" s="19"/>
      <c r="L28" s="19"/>
      <c r="M28" s="19" t="s">
        <v>71</v>
      </c>
      <c r="N28" s="19"/>
      <c r="O28" s="19" t="s">
        <v>71</v>
      </c>
      <c r="P28" s="19"/>
      <c r="Q28" s="19" t="s">
        <v>71</v>
      </c>
      <c r="R28" s="19"/>
      <c r="S28" s="19" t="s">
        <v>71</v>
      </c>
      <c r="T28" s="19"/>
      <c r="U28" s="19" t="s">
        <v>71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39"/>
      <c r="BP28" s="39"/>
      <c r="BQ28" s="39"/>
      <c r="BR28" s="39"/>
      <c r="BS28" s="39"/>
      <c r="BT28" s="39"/>
      <c r="BU28" s="39"/>
      <c r="BV28" s="3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1" t="e">
        <f>IF(SUM(E28,G28,I28,K28,M28,O28,Q28,S28,U28,W28,Y28,AA28,AC28,AE28,AG28,AI28,AK28,AM28,AO28,AQ28,#REF!)&gt;0,"Sí","No")</f>
        <v>#REF!</v>
      </c>
      <c r="CV28" s="92" t="e">
        <f>IF($CU28="Sí",_xlfn.TEXTJOIN(", ",TRUE,IF(N(E28)&gt;0,E$4,""),IF(N(G28)&gt;0,G$4,""),IF(N(I28)&gt;0,I$4,""),IF(N(K28)&gt;0,K$4,""),IF(N(M28)&gt;0,M$4,""),IF(N(O28)&gt;0,O$4,""),IF(N(Q28)&gt;0,Q$4,""),IF(N(S28)&gt;0,S$4,""),IF(N(U28)&gt;0,U$4,""),IF(N(W28)&gt;0,W$4,""),IF(N(Y28)&gt;0,Y$4,""),IF(N(AA28)&gt;0,AA$4,""),IF(N(AC28)&gt;0,AC$4,""),IF(N(AE28)&gt;0,AE$4,""),IF(N(AG28)&gt;0,AG$4,""),IF(N(AI28)&gt;0,AI$4,""),IF(N(AK28)&gt;0,AK$4,""),IF(N(AM28)&gt;0,AM$4,""),IF(N(AO28)&gt;0,AO$4,""),IF(N(AQ28)&gt;0,AQ$4,""),IF(N(#REF!)&gt;0,#REF!,"")),"")</f>
        <v>#REF!</v>
      </c>
      <c r="CW28" s="11"/>
      <c r="CX28" s="11" t="e">
        <f t="shared" si="4"/>
        <v>#REF!</v>
      </c>
      <c r="CY28" s="12">
        <v>46046</v>
      </c>
      <c r="CZ28" s="68"/>
    </row>
    <row r="29" spans="1:104" ht="72.599999999999994" customHeight="1" x14ac:dyDescent="0.3">
      <c r="A29" s="150"/>
      <c r="B29" s="78" t="s">
        <v>52</v>
      </c>
      <c r="C29" s="17">
        <v>46047</v>
      </c>
      <c r="D29" s="19">
        <f t="shared" si="1"/>
        <v>0</v>
      </c>
      <c r="E29" s="19" t="str">
        <f t="shared" si="2"/>
        <v/>
      </c>
      <c r="F29" s="19"/>
      <c r="G29" s="19" t="str">
        <f t="shared" si="3"/>
        <v/>
      </c>
      <c r="H29" s="19"/>
      <c r="I29" s="19"/>
      <c r="J29" s="19"/>
      <c r="K29" s="19"/>
      <c r="L29" s="19"/>
      <c r="M29" s="19" t="s">
        <v>71</v>
      </c>
      <c r="N29" s="19"/>
      <c r="O29" s="19" t="s">
        <v>71</v>
      </c>
      <c r="P29" s="19"/>
      <c r="Q29" s="19" t="s">
        <v>71</v>
      </c>
      <c r="R29" s="19"/>
      <c r="S29" s="19">
        <v>10</v>
      </c>
      <c r="T29" s="19">
        <v>20</v>
      </c>
      <c r="U29" s="19">
        <v>10</v>
      </c>
      <c r="V29" s="19">
        <v>20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39"/>
      <c r="BP29" s="39"/>
      <c r="BQ29" s="39"/>
      <c r="BR29" s="39"/>
      <c r="BS29" s="39"/>
      <c r="BT29" s="39"/>
      <c r="BU29" s="39"/>
      <c r="BV29" s="3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1" t="e">
        <f>IF(SUM(E29,G29,I29,K29,M29,O29,Q29,S29,U29,W29,Y29,AA29,AC29,AE29,AG29,AI29,AK29,AM29,AO29,AQ29,#REF!)&gt;0,"Sí","No")</f>
        <v>#REF!</v>
      </c>
      <c r="CV29" s="109" t="e">
        <f>IF($CU29="Sí",_xlfn.TEXTJOIN(", ",TRUE,IF(N(E29)&gt;0,E$4,""),IF(N(G29)&gt;0,G$4,""),IF(N(I29)&gt;0,I$4,""),IF(N(K29)&gt;0,K$4,""),IF(N(M29)&gt;0,M$4,""),IF(N(O29)&gt;0,O$4,""),IF(N(Q29)&gt;0,Q$4,""),IF(N(S29)&gt;0,S$4,""),IF(N(U29)&gt;0,U$4,""),IF(N(W29)&gt;0,W$4,""),IF(N(Y29)&gt;0,Y$4,""),IF(N(AA29)&gt;0,AA$4,""),IF(N(AC29)&gt;0,AC$4,""),IF(N(AE29)&gt;0,AE$4,""),IF(N(AG29)&gt;0,AG$4,""),IF(N(AI29)&gt;0,AI$4,""),IF(N(AK29)&gt;0,AK$4,""),IF(N(AM29)&gt;0,AM$4,""),IF(N(AO29)&gt;0,AO$4,""),IF(N(AQ29)&gt;0,AQ$4,""),IF(N(#REF!)&gt;0,#REF!,"")),"")</f>
        <v>#REF!</v>
      </c>
      <c r="CW29" s="11"/>
      <c r="CX29" s="11" t="e">
        <f t="shared" si="4"/>
        <v>#REF!</v>
      </c>
      <c r="CY29" s="12">
        <v>46063</v>
      </c>
      <c r="CZ29" s="68"/>
    </row>
    <row r="30" spans="1:104" ht="18" customHeight="1" x14ac:dyDescent="0.3">
      <c r="A30" s="150"/>
      <c r="B30" s="78" t="s">
        <v>54</v>
      </c>
      <c r="C30" s="17">
        <v>46048</v>
      </c>
      <c r="D30" s="19">
        <f t="shared" si="1"/>
        <v>0</v>
      </c>
      <c r="E30" s="19" t="str">
        <f t="shared" si="2"/>
        <v/>
      </c>
      <c r="F30" s="19"/>
      <c r="G30" s="19"/>
      <c r="H30" s="19"/>
      <c r="I30" s="19"/>
      <c r="J30" s="19"/>
      <c r="K30" s="19" t="str">
        <f t="shared" ref="K30" si="5">IF(MOD(G30-$C$30,42)=0,8,"")</f>
        <v/>
      </c>
      <c r="L30" s="19"/>
      <c r="M30" s="19" t="s">
        <v>71</v>
      </c>
      <c r="N30" s="19"/>
      <c r="O30" s="19" t="s">
        <v>71</v>
      </c>
      <c r="P30" s="19"/>
      <c r="Q30" s="19" t="s">
        <v>71</v>
      </c>
      <c r="R30" s="19"/>
      <c r="S30" s="19" t="s">
        <v>71</v>
      </c>
      <c r="T30" s="19"/>
      <c r="U30" s="19" t="s">
        <v>71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39"/>
      <c r="BP30" s="39"/>
      <c r="BQ30" s="39"/>
      <c r="BR30" s="39"/>
      <c r="BS30" s="39"/>
      <c r="BT30" s="39"/>
      <c r="BU30" s="39"/>
      <c r="BV30" s="39"/>
      <c r="BW30" s="19"/>
      <c r="BX30" s="19"/>
      <c r="BY30" s="19"/>
      <c r="BZ30" s="19"/>
      <c r="CA30" s="19"/>
      <c r="CB30" s="19"/>
      <c r="CC30" s="19"/>
      <c r="CD30" s="19"/>
      <c r="CE30" s="19" t="s">
        <v>71</v>
      </c>
      <c r="CF30" s="19"/>
      <c r="CG30" s="19" t="s">
        <v>71</v>
      </c>
      <c r="CH30" s="19"/>
      <c r="CI30" s="19" t="s">
        <v>71</v>
      </c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1" t="e">
        <f>IF(SUM(E30,G30,I30,K30,M30,O30,Q30,S30,U30,W30,Y30,AA30,AC30,AE30,AG30,AI30,AK30,AM30,AO30,AQ30,#REF!)&gt;0,"Sí","No")</f>
        <v>#REF!</v>
      </c>
      <c r="CV30" s="92" t="e">
        <f>IF($CU30="Sí",_xlfn.TEXTJOIN(", ",TRUE,IF(N(E30)&gt;0,E$4,""),IF(N(G30)&gt;0,G$4,""),IF(N(I30)&gt;0,I$4,""),IF(N(K30)&gt;0,K$4,""),IF(N(M30)&gt;0,M$4,""),IF(N(O30)&gt;0,O$4,""),IF(N(Q30)&gt;0,Q$4,""),IF(N(S30)&gt;0,S$4,""),IF(N(U30)&gt;0,U$4,""),IF(N(W30)&gt;0,W$4,""),IF(N(Y30)&gt;0,Y$4,""),IF(N(AA30)&gt;0,AA$4,""),IF(N(AC30)&gt;0,AC$4,""),IF(N(AE30)&gt;0,AE$4,""),IF(N(AG30)&gt;0,AG$4,""),IF(N(AI30)&gt;0,AI$4,""),IF(N(AK30)&gt;0,AK$4,""),IF(N(AM30)&gt;0,AM$4,""),IF(N(AO30)&gt;0,AO$4,""),IF(N(AQ30)&gt;0,AQ$4,""),IF(N(#REF!)&gt;0,#REF!,"")),"")</f>
        <v>#REF!</v>
      </c>
      <c r="CW30" s="11"/>
      <c r="CX30" s="11" t="e">
        <f t="shared" si="4"/>
        <v>#REF!</v>
      </c>
      <c r="CY30" s="12"/>
      <c r="CZ30" s="68"/>
    </row>
    <row r="31" spans="1:104" ht="75.599999999999994" customHeight="1" x14ac:dyDescent="0.3">
      <c r="A31" s="150"/>
      <c r="B31" s="78" t="s">
        <v>56</v>
      </c>
      <c r="C31" s="17">
        <v>46049</v>
      </c>
      <c r="D31" s="19">
        <f t="shared" si="1"/>
        <v>80</v>
      </c>
      <c r="E31" s="19">
        <v>10</v>
      </c>
      <c r="F31" s="19">
        <v>20</v>
      </c>
      <c r="G31" s="19">
        <v>10</v>
      </c>
      <c r="H31" s="19">
        <v>20</v>
      </c>
      <c r="I31" s="19">
        <v>10</v>
      </c>
      <c r="J31" s="19">
        <v>20</v>
      </c>
      <c r="K31" s="19">
        <v>10</v>
      </c>
      <c r="L31" s="19">
        <v>20</v>
      </c>
      <c r="M31" s="19" t="s">
        <v>71</v>
      </c>
      <c r="N31" s="19"/>
      <c r="O31" s="19" t="s">
        <v>71</v>
      </c>
      <c r="P31" s="19"/>
      <c r="Q31" s="19" t="s">
        <v>71</v>
      </c>
      <c r="R31" s="19"/>
      <c r="S31" s="19" t="s">
        <v>71</v>
      </c>
      <c r="T31" s="19"/>
      <c r="U31" s="19" t="s">
        <v>71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39"/>
      <c r="BP31" s="39"/>
      <c r="BQ31" s="39"/>
      <c r="BR31" s="39"/>
      <c r="BS31" s="39"/>
      <c r="BT31" s="39"/>
      <c r="BU31" s="39"/>
      <c r="BV31" s="3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1" t="e">
        <f>IF(SUM(E31,G31,I31,K31,M31,O31,Q31,S31,U31,W31,Y31,AA31,AC31,AE31,AG31,AI31,AK31,AM31,AO31,AQ31,#REF!)&gt;0,"Sí","No")</f>
        <v>#REF!</v>
      </c>
      <c r="CV31" s="109" t="e">
        <f>IF($CU31="Sí",_xlfn.TEXTJOIN(", ",TRUE,IF(N(E31)&gt;0,E$4,""),IF(N(G31)&gt;0,G$4,""),IF(N(I31)&gt;0,I$4,""),IF(N(K31)&gt;0,K$4,""),IF(N(M31)&gt;0,M$4,""),IF(N(O31)&gt;0,O$4,""),IF(N(Q31)&gt;0,Q$4,""),IF(N(S31)&gt;0,S$4,""),IF(N(U31)&gt;0,U$4,""),IF(N(W31)&gt;0,W$4,""),IF(N(Y31)&gt;0,Y$4,""),IF(N(AA31)&gt;0,AA$4,""),IF(N(AC31)&gt;0,AC$4,""),IF(N(AE31)&gt;0,AE$4,""),IF(N(AG31)&gt;0,AG$4,""),IF(N(AI31)&gt;0,AI$4,""),IF(N(AK31)&gt;0,AK$4,""),IF(N(AM31)&gt;0,AM$4,""),IF(N(AO31)&gt;0,AO$4,""),IF(N(AQ31)&gt;0,AQ$4,""),IF(N(#REF!)&gt;0,#REF!,"")),"")</f>
        <v>#REF!</v>
      </c>
      <c r="CW31" s="11"/>
      <c r="CX31" s="11" t="e">
        <f t="shared" si="4"/>
        <v>#REF!</v>
      </c>
      <c r="CY31" s="12">
        <v>46049</v>
      </c>
      <c r="CZ31" s="68"/>
    </row>
    <row r="32" spans="1:104" ht="18" customHeight="1" x14ac:dyDescent="0.3">
      <c r="A32" s="150"/>
      <c r="B32" s="78" t="s">
        <v>57</v>
      </c>
      <c r="C32" s="17">
        <v>46050</v>
      </c>
      <c r="D32" s="19">
        <f t="shared" si="1"/>
        <v>0</v>
      </c>
      <c r="E32" s="19" t="s">
        <v>71</v>
      </c>
      <c r="F32" s="19"/>
      <c r="G32" s="19" t="s">
        <v>71</v>
      </c>
      <c r="H32" s="19"/>
      <c r="I32" s="19" t="s">
        <v>71</v>
      </c>
      <c r="J32" s="19"/>
      <c r="K32" s="19" t="s">
        <v>71</v>
      </c>
      <c r="L32" s="19"/>
      <c r="M32" s="19" t="s">
        <v>71</v>
      </c>
      <c r="N32" s="19"/>
      <c r="O32" s="19" t="s">
        <v>71</v>
      </c>
      <c r="P32" s="19"/>
      <c r="Q32" s="19" t="s">
        <v>71</v>
      </c>
      <c r="R32" s="19"/>
      <c r="S32" s="19" t="s">
        <v>71</v>
      </c>
      <c r="T32" s="19"/>
      <c r="U32" s="19" t="s">
        <v>71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39"/>
      <c r="BP32" s="39"/>
      <c r="BQ32" s="39"/>
      <c r="BR32" s="39"/>
      <c r="BS32" s="39"/>
      <c r="BT32" s="39"/>
      <c r="BU32" s="39"/>
      <c r="BV32" s="3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1" t="e">
        <f>IF(SUM(E32,G32,I32,K32,M32,O32,Q32,S32,U32,W32,Y32,AA32,AC32,AE32,AG32,AI32,AK32,AM32,AO32,AQ32,#REF!)&gt;0,"Sí","No")</f>
        <v>#REF!</v>
      </c>
      <c r="CV32" s="92" t="e">
        <f>IF($CU32="Sí",_xlfn.TEXTJOIN(", ",TRUE,IF(N(E32)&gt;0,E$4,""),IF(N(G32)&gt;0,G$4,""),IF(N(I32)&gt;0,I$4,""),IF(N(K32)&gt;0,K$4,""),IF(N(M32)&gt;0,M$4,""),IF(N(O32)&gt;0,O$4,""),IF(N(Q32)&gt;0,Q$4,""),IF(N(S32)&gt;0,S$4,""),IF(N(U32)&gt;0,U$4,""),IF(N(W32)&gt;0,W$4,""),IF(N(Y32)&gt;0,Y$4,""),IF(N(AA32)&gt;0,AA$4,""),IF(N(AC32)&gt;0,AC$4,""),IF(N(AE32)&gt;0,AE$4,""),IF(N(AG32)&gt;0,AG$4,""),IF(N(AI32)&gt;0,AI$4,""),IF(N(AK32)&gt;0,AK$4,""),IF(N(AM32)&gt;0,AM$4,""),IF(N(AO32)&gt;0,AO$4,""),IF(N(AQ32)&gt;0,AQ$4,""),IF(N(#REF!)&gt;0,#REF!,"")),"")</f>
        <v>#REF!</v>
      </c>
      <c r="CW32" s="11"/>
      <c r="CX32" s="11" t="e">
        <f t="shared" si="4"/>
        <v>#REF!</v>
      </c>
      <c r="CY32" s="12"/>
      <c r="CZ32" s="68"/>
    </row>
    <row r="33" spans="1:104" ht="18" customHeight="1" x14ac:dyDescent="0.3">
      <c r="A33" s="150"/>
      <c r="B33" s="78" t="s">
        <v>46</v>
      </c>
      <c r="C33" s="17">
        <v>46051</v>
      </c>
      <c r="D33" s="19">
        <f t="shared" si="1"/>
        <v>0</v>
      </c>
      <c r="E33" s="19" t="s">
        <v>71</v>
      </c>
      <c r="F33" s="19"/>
      <c r="G33" s="19" t="s">
        <v>71</v>
      </c>
      <c r="H33" s="19"/>
      <c r="I33" s="19" t="s">
        <v>71</v>
      </c>
      <c r="J33" s="19"/>
      <c r="K33" s="19" t="s">
        <v>71</v>
      </c>
      <c r="L33" s="19"/>
      <c r="M33" s="19" t="s">
        <v>71</v>
      </c>
      <c r="N33" s="19"/>
      <c r="O33" s="19" t="s">
        <v>71</v>
      </c>
      <c r="P33" s="19"/>
      <c r="Q33" s="19" t="s">
        <v>71</v>
      </c>
      <c r="R33" s="19"/>
      <c r="S33" s="19" t="s">
        <v>71</v>
      </c>
      <c r="T33" s="19"/>
      <c r="U33" s="19" t="s">
        <v>71</v>
      </c>
      <c r="V33" s="19"/>
      <c r="W33" s="19"/>
      <c r="X33" s="19"/>
      <c r="Y33" s="19"/>
      <c r="Z33" s="1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39"/>
      <c r="BP33" s="39"/>
      <c r="BQ33" s="39"/>
      <c r="BR33" s="39"/>
      <c r="BS33" s="39"/>
      <c r="BT33" s="39"/>
      <c r="BU33" s="39"/>
      <c r="BV33" s="39"/>
      <c r="BW33" s="19"/>
      <c r="BX33" s="19"/>
      <c r="BY33" s="19"/>
      <c r="BZ33" s="19"/>
      <c r="CA33" s="19"/>
      <c r="CB33" s="19"/>
      <c r="CC33" s="19"/>
      <c r="CD33" s="1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11" t="e">
        <f>IF(SUM(E33,G33,I33,K33,M33,O33,Q33,S33,U33,W33,Y33,AA33,AC33,AE33,AG33,AI33,AK33,AM33,AO33,AQ33,#REF!)&gt;0,"Sí","No")</f>
        <v>#REF!</v>
      </c>
      <c r="CV33" s="92" t="e">
        <f>IF($CU33="Sí",_xlfn.TEXTJOIN(", ",TRUE,IF(N(E33)&gt;0,E$4,""),IF(N(G33)&gt;0,G$4,""),IF(N(I33)&gt;0,I$4,""),IF(N(K33)&gt;0,K$4,""),IF(N(M33)&gt;0,M$4,""),IF(N(O33)&gt;0,O$4,""),IF(N(Q33)&gt;0,Q$4,""),IF(N(S33)&gt;0,S$4,""),IF(N(U33)&gt;0,U$4,""),IF(N(W33)&gt;0,W$4,""),IF(N(Y33)&gt;0,Y$4,""),IF(N(AA33)&gt;0,AA$4,""),IF(N(AC33)&gt;0,AC$4,""),IF(N(AE33)&gt;0,AE$4,""),IF(N(AG33)&gt;0,AG$4,""),IF(N(AI33)&gt;0,AI$4,""),IF(N(AK33)&gt;0,AK$4,""),IF(N(AM33)&gt;0,AM$4,""),IF(N(AO33)&gt;0,AO$4,""),IF(N(AQ33)&gt;0,AQ$4,""),IF(N(#REF!)&gt;0,#REF!,"")),"")</f>
        <v>#REF!</v>
      </c>
      <c r="CW33" s="11"/>
      <c r="CX33" s="11" t="e">
        <f t="shared" si="4"/>
        <v>#REF!</v>
      </c>
      <c r="CY33" s="12"/>
      <c r="CZ33" s="68"/>
    </row>
    <row r="34" spans="1:104" ht="18" customHeight="1" x14ac:dyDescent="0.3">
      <c r="A34" s="150"/>
      <c r="B34" s="78" t="s">
        <v>49</v>
      </c>
      <c r="C34" s="17">
        <v>46052</v>
      </c>
      <c r="D34" s="19">
        <f t="shared" si="1"/>
        <v>0</v>
      </c>
      <c r="E34" s="19" t="s">
        <v>71</v>
      </c>
      <c r="F34" s="19"/>
      <c r="G34" s="19" t="s">
        <v>71</v>
      </c>
      <c r="H34" s="19"/>
      <c r="I34" s="19" t="s">
        <v>71</v>
      </c>
      <c r="J34" s="19"/>
      <c r="K34" s="19" t="s">
        <v>71</v>
      </c>
      <c r="L34" s="19"/>
      <c r="M34" s="19" t="s">
        <v>71</v>
      </c>
      <c r="N34" s="19"/>
      <c r="O34" s="19" t="s">
        <v>71</v>
      </c>
      <c r="P34" s="19"/>
      <c r="Q34" s="19" t="s">
        <v>71</v>
      </c>
      <c r="R34" s="19"/>
      <c r="S34" s="19" t="s">
        <v>71</v>
      </c>
      <c r="T34" s="19"/>
      <c r="U34" s="19" t="s">
        <v>71</v>
      </c>
      <c r="V34" s="19"/>
      <c r="W34" s="19"/>
      <c r="X34" s="19"/>
      <c r="Y34" s="19"/>
      <c r="Z34" s="49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39"/>
      <c r="BP34" s="39"/>
      <c r="BQ34" s="39"/>
      <c r="BR34" s="39"/>
      <c r="BS34" s="39"/>
      <c r="BT34" s="39"/>
      <c r="BU34" s="39"/>
      <c r="BV34" s="39"/>
      <c r="BW34" s="19"/>
      <c r="BX34" s="19"/>
      <c r="BY34" s="19"/>
      <c r="BZ34" s="19"/>
      <c r="CA34" s="19"/>
      <c r="CB34" s="19"/>
      <c r="CC34" s="19"/>
      <c r="CD34" s="19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11" t="e">
        <f>IF(SUM(E34,G34,I34,K34,M34,O34,Q34,S34,U34,W34,Y34,AA34,AC34,AE34,AG34,AI34,AK34,AM34,AO34,AQ34,#REF!)&gt;0,"Sí","No")</f>
        <v>#REF!</v>
      </c>
      <c r="CV34" s="92" t="e">
        <f>IF($CU34="Sí",_xlfn.TEXTJOIN(", ",TRUE,IF(N(E34)&gt;0,E$4,""),IF(N(G34)&gt;0,G$4,""),IF(N(I34)&gt;0,I$4,""),IF(N(K34)&gt;0,K$4,""),IF(N(M34)&gt;0,M$4,""),IF(N(O34)&gt;0,O$4,""),IF(N(Q34)&gt;0,Q$4,""),IF(N(S34)&gt;0,S$4,""),IF(N(U34)&gt;0,U$4,""),IF(N(W34)&gt;0,W$4,""),IF(N(Y34)&gt;0,Y$4,""),IF(N(AA34)&gt;0,AA$4,""),IF(N(AC34)&gt;0,AC$4,""),IF(N(AE34)&gt;0,AE$4,""),IF(N(AG34)&gt;0,AG$4,""),IF(N(AI34)&gt;0,AI$4,""),IF(N(AK34)&gt;0,AK$4,""),IF(N(AM34)&gt;0,AM$4,""),IF(N(AO34)&gt;0,AO$4,""),IF(N(AQ34)&gt;0,AQ$4,""),IF(N(#REF!)&gt;0,#REF!,"")),"")</f>
        <v>#REF!</v>
      </c>
      <c r="CW34" s="11"/>
      <c r="CX34" s="11" t="e">
        <f t="shared" si="4"/>
        <v>#REF!</v>
      </c>
      <c r="CY34" s="12"/>
      <c r="CZ34" s="68"/>
    </row>
    <row r="35" spans="1:104" ht="18" customHeight="1" thickBot="1" x14ac:dyDescent="0.35">
      <c r="A35" s="151"/>
      <c r="B35" s="53" t="s">
        <v>73</v>
      </c>
      <c r="C35" s="36">
        <v>46053</v>
      </c>
      <c r="D35" s="32">
        <f t="shared" si="1"/>
        <v>0</v>
      </c>
      <c r="E35" s="32" t="s">
        <v>71</v>
      </c>
      <c r="F35" s="32"/>
      <c r="G35" s="32" t="s">
        <v>71</v>
      </c>
      <c r="H35" s="32"/>
      <c r="I35" s="32" t="s">
        <v>71</v>
      </c>
      <c r="J35" s="32"/>
      <c r="K35" s="32" t="s">
        <v>71</v>
      </c>
      <c r="L35" s="32"/>
      <c r="M35" s="32" t="s">
        <v>71</v>
      </c>
      <c r="N35" s="32"/>
      <c r="O35" s="32" t="s">
        <v>71</v>
      </c>
      <c r="P35" s="32"/>
      <c r="Q35" s="32" t="s">
        <v>71</v>
      </c>
      <c r="R35" s="32"/>
      <c r="S35" s="32" t="s">
        <v>71</v>
      </c>
      <c r="T35" s="32"/>
      <c r="U35" s="32" t="s">
        <v>71</v>
      </c>
      <c r="V35" s="32"/>
      <c r="W35" s="32"/>
      <c r="X35" s="32"/>
      <c r="Y35" s="32"/>
      <c r="Z35" s="32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40"/>
      <c r="BP35" s="40"/>
      <c r="BQ35" s="40"/>
      <c r="BR35" s="40"/>
      <c r="BS35" s="40"/>
      <c r="BT35" s="40"/>
      <c r="BU35" s="40"/>
      <c r="BV35" s="40"/>
      <c r="BW35" s="32"/>
      <c r="BX35" s="32"/>
      <c r="BY35" s="32"/>
      <c r="BZ35" s="32"/>
      <c r="CA35" s="32"/>
      <c r="CB35" s="32"/>
      <c r="CC35" s="32"/>
      <c r="CD35" s="32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70" t="s">
        <v>74</v>
      </c>
      <c r="CV35" s="108" t="s">
        <v>23</v>
      </c>
      <c r="CW35" s="70"/>
      <c r="CX35" s="70" t="s">
        <v>75</v>
      </c>
      <c r="CY35" s="30">
        <v>46051</v>
      </c>
      <c r="CZ35" s="73"/>
    </row>
    <row r="36" spans="1:104" ht="18" customHeight="1" x14ac:dyDescent="0.3">
      <c r="A36" s="148" t="s">
        <v>76</v>
      </c>
      <c r="B36" s="48" t="s">
        <v>52</v>
      </c>
      <c r="C36" s="15">
        <v>46054</v>
      </c>
      <c r="D36" s="27" t="e">
        <f t="shared" si="1"/>
        <v>#VALUE!</v>
      </c>
      <c r="E36" s="27" t="s">
        <v>71</v>
      </c>
      <c r="F36" s="27"/>
      <c r="G36" s="27" t="s">
        <v>71</v>
      </c>
      <c r="H36" s="27"/>
      <c r="I36" s="27" t="s">
        <v>71</v>
      </c>
      <c r="J36" s="27"/>
      <c r="K36" s="27" t="s">
        <v>71</v>
      </c>
      <c r="L36" s="27"/>
      <c r="M36" s="18" t="s">
        <v>71</v>
      </c>
      <c r="N36" s="18"/>
      <c r="O36" s="18" t="s">
        <v>71</v>
      </c>
      <c r="P36" s="18"/>
      <c r="Q36" s="18" t="s">
        <v>71</v>
      </c>
      <c r="R36" s="18"/>
      <c r="S36" s="18" t="s">
        <v>71</v>
      </c>
      <c r="T36" s="18"/>
      <c r="U36" s="18" t="s">
        <v>71</v>
      </c>
      <c r="V36" s="18"/>
      <c r="W36" s="18"/>
      <c r="X36" s="18"/>
      <c r="Y36" s="106" t="s">
        <v>77</v>
      </c>
      <c r="Z36" s="106" t="s">
        <v>77</v>
      </c>
      <c r="AA36" s="106" t="s">
        <v>77</v>
      </c>
      <c r="AB36" s="106" t="s">
        <v>77</v>
      </c>
      <c r="AC36" s="106" t="s">
        <v>77</v>
      </c>
      <c r="AD36" s="106" t="s">
        <v>77</v>
      </c>
      <c r="AE36" s="106" t="s">
        <v>77</v>
      </c>
      <c r="AF36" s="106" t="s">
        <v>77</v>
      </c>
      <c r="AG36" s="106" t="s">
        <v>77</v>
      </c>
      <c r="AH36" s="106" t="s">
        <v>77</v>
      </c>
      <c r="AI36" s="106" t="s">
        <v>77</v>
      </c>
      <c r="AJ36" s="106" t="s">
        <v>77</v>
      </c>
      <c r="AK36" s="106" t="s">
        <v>77</v>
      </c>
      <c r="AL36" s="106" t="s">
        <v>77</v>
      </c>
      <c r="AM36" s="18"/>
      <c r="AN36" s="18"/>
      <c r="AO36" s="18"/>
      <c r="AP36" s="18"/>
      <c r="AQ36" s="97"/>
      <c r="AR36" s="98"/>
      <c r="AS36" s="97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38"/>
      <c r="BP36" s="38"/>
      <c r="BQ36" s="38"/>
      <c r="BR36" s="38"/>
      <c r="BS36" s="38"/>
      <c r="BT36" s="38"/>
      <c r="BU36" s="38"/>
      <c r="BV36" s="3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4" t="e">
        <f>IF(SUM(E36,G36,I36,K36,M36,O36,Q36,S36,U36,W36,Y36,AA36,AC36,AE36,AG36,AI36,AK36,AM36,AO36,AQ35,#REF!)&gt;0,"Sí","No")</f>
        <v>#REF!</v>
      </c>
      <c r="CV36" s="107" t="e">
        <f>IF($CU36="Sí",_xlfn.TEXTJOIN(", ",TRUE,IF(N(E36)&gt;0,E$4,""),IF(N(G36)&gt;0,G$4,""),IF(N(I36)&gt;0,I$4,""),IF(N(K36)&gt;0,K$4,""),IF(N(M36)&gt;0,M$4,""),IF(N(O36)&gt;0,O$4,""),IF(N(Q36)&gt;0,Q$4,""),IF(N(S36)&gt;0,S$4,""),IF(N(U36)&gt;0,U$4,""),IF(N(W36)&gt;0,W$4,""),IF(N(Y36)&gt;0,Y$4,""),IF(N(AA36)&gt;0,AA$4,""),IF(N(AC36)&gt;0,AC$4,""),IF(N(AE36)&gt;0,AE$4,""),IF(N(AG36)&gt;0,AG$4,""),IF(N(AI36)&gt;0,AI$4,""),IF(N(AK36)&gt;0,AK$4,""),IF(N(AM36)&gt;0,AM$4,""),IF(N(AO36)&gt;0,AO$4,""),IF(N(AQ35)&gt;0,AQ$4,""),IF(N(#REF!)&gt;0,#REF!,"")),"")</f>
        <v>#REF!</v>
      </c>
      <c r="CW36" s="14"/>
      <c r="CX36" s="14" t="e">
        <f t="shared" si="4"/>
        <v>#REF!</v>
      </c>
      <c r="CY36" s="15">
        <v>46054</v>
      </c>
      <c r="CZ36" s="66"/>
    </row>
    <row r="37" spans="1:104" ht="28.2" customHeight="1" x14ac:dyDescent="0.3">
      <c r="A37" s="150"/>
      <c r="B37" s="78" t="s">
        <v>54</v>
      </c>
      <c r="C37" s="12">
        <v>46055</v>
      </c>
      <c r="D37" s="20">
        <f t="shared" si="1"/>
        <v>0</v>
      </c>
      <c r="E37" s="20" t="s">
        <v>71</v>
      </c>
      <c r="F37" s="20"/>
      <c r="G37" s="20" t="s">
        <v>71</v>
      </c>
      <c r="H37" s="20"/>
      <c r="I37" s="20" t="s">
        <v>71</v>
      </c>
      <c r="J37" s="20"/>
      <c r="K37" s="20" t="s">
        <v>71</v>
      </c>
      <c r="L37" s="20"/>
      <c r="M37" s="19" t="s">
        <v>71</v>
      </c>
      <c r="N37" s="19"/>
      <c r="O37" s="19" t="s">
        <v>71</v>
      </c>
      <c r="P37" s="19"/>
      <c r="Q37" s="19" t="s">
        <v>71</v>
      </c>
      <c r="R37" s="19"/>
      <c r="S37" s="19" t="s">
        <v>71</v>
      </c>
      <c r="T37" s="19"/>
      <c r="U37" s="19" t="s">
        <v>71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 t="s">
        <v>71</v>
      </c>
      <c r="AH37" s="19"/>
      <c r="AI37" s="19" t="s">
        <v>71</v>
      </c>
      <c r="AJ37" s="19"/>
      <c r="AK37" s="19" t="s">
        <v>71</v>
      </c>
      <c r="AL37" s="19"/>
      <c r="AM37" s="19"/>
      <c r="AN37" s="19"/>
      <c r="AO37" s="19"/>
      <c r="AP37" s="19"/>
      <c r="AQ37" s="19"/>
      <c r="AR37" s="26"/>
      <c r="AS37" s="4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39"/>
      <c r="BP37" s="39"/>
      <c r="BQ37" s="39"/>
      <c r="BR37" s="39"/>
      <c r="BS37" s="39"/>
      <c r="BT37" s="39"/>
      <c r="BU37" s="39"/>
      <c r="BV37" s="39"/>
      <c r="BW37" s="19"/>
      <c r="BX37" s="19"/>
      <c r="BY37" s="19"/>
      <c r="BZ37" s="19"/>
      <c r="CA37" s="19"/>
      <c r="CB37" s="19"/>
      <c r="CC37" s="19"/>
      <c r="CD37" s="19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11" t="e">
        <f>IF(SUM(E37,G37,I37,K37,M37,O37,Q37,S37,U37,W37,Y37,AA37,AC37,AE37,AG37,AI37,AK37,AM37,AO37,AQ37,#REF!)&gt;0,"Sí","No")</f>
        <v>#REF!</v>
      </c>
      <c r="CV37" s="92" t="e">
        <f>IF($CU37="Sí",_xlfn.TEXTJOIN(", ",TRUE,IF(N(E37)&gt;0,E$4,""),IF(N(G37)&gt;0,G$4,""),IF(N(I37)&gt;0,I$4,""),IF(N(K37)&gt;0,K$4,""),IF(N(M37)&gt;0,M$4,""),IF(N(O37)&gt;0,O$4,""),IF(N(Q37)&gt;0,Q$4,""),IF(N(S37)&gt;0,S$4,""),IF(N(U37)&gt;0,U$4,""),IF(N(W37)&gt;0,W$4,""),IF(N(Y37)&gt;0,Y$4,""),IF(N(AA37)&gt;0,AA$4,""),IF(N(AC37)&gt;0,AC$4,""),IF(N(AE37)&gt;0,AE$4,""),IF(N(AG37)&gt;0,AG$4,""),IF(N(AI37)&gt;0,AI$4,""),IF(N(AK37)&gt;0,AK$4,""),IF(N(AM37)&gt;0,AM$4,""),IF(N(AO37)&gt;0,AO$4,""),IF(N(AQ37)&gt;0,AQ$4,""),IF(N(#REF!)&gt;0,#REF!,"")),"")</f>
        <v>#REF!</v>
      </c>
      <c r="CW37" s="11"/>
      <c r="CX37" s="11" t="e">
        <f t="shared" si="4"/>
        <v>#REF!</v>
      </c>
      <c r="CY37" s="12">
        <v>46055</v>
      </c>
      <c r="CZ37" s="68"/>
    </row>
    <row r="38" spans="1:104" ht="28.2" customHeight="1" x14ac:dyDescent="0.3">
      <c r="A38" s="150"/>
      <c r="B38" s="78" t="s">
        <v>56</v>
      </c>
      <c r="C38" s="12">
        <v>46056</v>
      </c>
      <c r="D38" s="20">
        <f t="shared" si="1"/>
        <v>0</v>
      </c>
      <c r="E38" s="20" t="s">
        <v>71</v>
      </c>
      <c r="F38" s="20"/>
      <c r="G38" s="20" t="s">
        <v>71</v>
      </c>
      <c r="H38" s="20"/>
      <c r="I38" s="20" t="s">
        <v>71</v>
      </c>
      <c r="J38" s="20"/>
      <c r="K38" s="20" t="s">
        <v>71</v>
      </c>
      <c r="L38" s="20"/>
      <c r="M38" s="19" t="s">
        <v>71</v>
      </c>
      <c r="N38" s="19"/>
      <c r="O38" s="19" t="s">
        <v>71</v>
      </c>
      <c r="P38" s="19"/>
      <c r="Q38" s="19" t="s">
        <v>71</v>
      </c>
      <c r="R38" s="19"/>
      <c r="S38" s="19" t="s">
        <v>71</v>
      </c>
      <c r="T38" s="19"/>
      <c r="U38" s="19" t="s">
        <v>71</v>
      </c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 t="s">
        <v>71</v>
      </c>
      <c r="AH38" s="19"/>
      <c r="AI38" s="19" t="s">
        <v>71</v>
      </c>
      <c r="AJ38" s="19"/>
      <c r="AK38" s="19" t="s">
        <v>71</v>
      </c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39"/>
      <c r="BP38" s="39"/>
      <c r="BQ38" s="39"/>
      <c r="BR38" s="39"/>
      <c r="BS38" s="39"/>
      <c r="BT38" s="39"/>
      <c r="BU38" s="39"/>
      <c r="BV38" s="3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1" t="e">
        <f>IF(SUM(E38,G38,I38,K38,M38,O38,Q38,S38,U38,W38,Y38,AA38,AC38,AE38,AG38,AI38,AK38,AM38,AO38,AQ38,#REF!)&gt;0,"Sí","No")</f>
        <v>#REF!</v>
      </c>
      <c r="CV38" s="92" t="e">
        <f>IF($CU38="Sí",_xlfn.TEXTJOIN(", ",TRUE,IF(N(E38)&gt;0,E$4,""),IF(N(G38)&gt;0,G$4,""),IF(N(I38)&gt;0,I$4,""),IF(N(K38)&gt;0,K$4,""),IF(N(M38)&gt;0,M$4,""),IF(N(O38)&gt;0,O$4,""),IF(N(Q38)&gt;0,Q$4,""),IF(N(S38)&gt;0,S$4,""),IF(N(U38)&gt;0,U$4,""),IF(N(W38)&gt;0,W$4,""),IF(N(Y38)&gt;0,Y$4,""),IF(N(AA38)&gt;0,AA$4,""),IF(N(AC38)&gt;0,AC$4,""),IF(N(AE38)&gt;0,AE$4,""),IF(N(AG38)&gt;0,AG$4,""),IF(N(AI38)&gt;0,AI$4,""),IF(N(AK38)&gt;0,AK$4,""),IF(N(AM38)&gt;0,AM$4,""),IF(N(AO38)&gt;0,AO$4,""),IF(N(AQ38)&gt;0,AQ$4,""),IF(N(#REF!)&gt;0,#REF!,"")),"")</f>
        <v>#REF!</v>
      </c>
      <c r="CW38" s="11"/>
      <c r="CX38" s="11" t="e">
        <f t="shared" si="4"/>
        <v>#REF!</v>
      </c>
      <c r="CY38" s="12"/>
      <c r="CZ38" s="68"/>
    </row>
    <row r="39" spans="1:104" ht="28.2" customHeight="1" x14ac:dyDescent="0.3">
      <c r="A39" s="150"/>
      <c r="B39" s="78" t="s">
        <v>57</v>
      </c>
      <c r="C39" s="12">
        <v>46057</v>
      </c>
      <c r="D39" s="20">
        <f t="shared" si="1"/>
        <v>0</v>
      </c>
      <c r="E39" s="20" t="s">
        <v>71</v>
      </c>
      <c r="F39" s="20"/>
      <c r="G39" s="20" t="s">
        <v>71</v>
      </c>
      <c r="H39" s="20"/>
      <c r="I39" s="20" t="s">
        <v>71</v>
      </c>
      <c r="J39" s="20"/>
      <c r="K39" s="20" t="s">
        <v>71</v>
      </c>
      <c r="L39" s="20"/>
      <c r="M39" s="19" t="s">
        <v>71</v>
      </c>
      <c r="N39" s="19"/>
      <c r="O39" s="19" t="s">
        <v>71</v>
      </c>
      <c r="P39" s="19"/>
      <c r="Q39" s="19" t="s">
        <v>71</v>
      </c>
      <c r="R39" s="19"/>
      <c r="S39" s="19" t="s">
        <v>71</v>
      </c>
      <c r="T39" s="19"/>
      <c r="U39" s="19" t="s">
        <v>71</v>
      </c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 t="s">
        <v>71</v>
      </c>
      <c r="AH39" s="19"/>
      <c r="AI39" s="19" t="s">
        <v>71</v>
      </c>
      <c r="AJ39" s="19"/>
      <c r="AK39" s="19" t="s">
        <v>71</v>
      </c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39"/>
      <c r="BP39" s="39"/>
      <c r="BQ39" s="39"/>
      <c r="BR39" s="39"/>
      <c r="BS39" s="39"/>
      <c r="BT39" s="39"/>
      <c r="BU39" s="39"/>
      <c r="BV39" s="3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1" t="e">
        <f>IF(SUM(E39,G39,I39,K39,M39,O39,Q39,S39,U39,W39,Y39,AA39,AC39,AE39,AG39,AI39,AK39,AM39,AO39,AQ39,#REF!)&gt;0,"Sí","No")</f>
        <v>#REF!</v>
      </c>
      <c r="CV39" s="92" t="e">
        <f>IF($CU39="Sí",_xlfn.TEXTJOIN(", ",TRUE,IF(N(E39)&gt;0,E$4,""),IF(N(G39)&gt;0,G$4,""),IF(N(I39)&gt;0,I$4,""),IF(N(K39)&gt;0,K$4,""),IF(N(M39)&gt;0,M$4,""),IF(N(O39)&gt;0,O$4,""),IF(N(Q39)&gt;0,Q$4,""),IF(N(S39)&gt;0,S$4,""),IF(N(U39)&gt;0,U$4,""),IF(N(W39)&gt;0,W$4,""),IF(N(Y39)&gt;0,Y$4,""),IF(N(AA39)&gt;0,AA$4,""),IF(N(AC39)&gt;0,AC$4,""),IF(N(AE39)&gt;0,AE$4,""),IF(N(AG39)&gt;0,AG$4,""),IF(N(AI39)&gt;0,AI$4,""),IF(N(AK39)&gt;0,AK$4,""),IF(N(AM39)&gt;0,AM$4,""),IF(N(AO39)&gt;0,AO$4,""),IF(N(AQ39)&gt;0,AQ$4,""),IF(N(#REF!)&gt;0,#REF!,"")),"")</f>
        <v>#REF!</v>
      </c>
      <c r="CW39" s="11"/>
      <c r="CX39" s="11" t="e">
        <f t="shared" si="4"/>
        <v>#REF!</v>
      </c>
      <c r="CY39" s="12"/>
      <c r="CZ39" s="68"/>
    </row>
    <row r="40" spans="1:104" ht="18" customHeight="1" x14ac:dyDescent="0.3">
      <c r="A40" s="150"/>
      <c r="B40" s="78" t="s">
        <v>46</v>
      </c>
      <c r="C40" s="12">
        <v>46058</v>
      </c>
      <c r="D40" s="20">
        <f t="shared" si="1"/>
        <v>0</v>
      </c>
      <c r="E40" s="20" t="s">
        <v>71</v>
      </c>
      <c r="F40" s="20"/>
      <c r="G40" s="20" t="s">
        <v>71</v>
      </c>
      <c r="H40" s="20"/>
      <c r="I40" s="20" t="s">
        <v>71</v>
      </c>
      <c r="J40" s="20"/>
      <c r="K40" s="20" t="s">
        <v>71</v>
      </c>
      <c r="L40" s="20"/>
      <c r="M40" s="19" t="s">
        <v>71</v>
      </c>
      <c r="N40" s="19"/>
      <c r="O40" s="19" t="s">
        <v>71</v>
      </c>
      <c r="P40" s="19"/>
      <c r="Q40" s="19" t="s">
        <v>71</v>
      </c>
      <c r="R40" s="19"/>
      <c r="S40" s="19" t="s">
        <v>71</v>
      </c>
      <c r="T40" s="19"/>
      <c r="U40" s="19" t="s">
        <v>71</v>
      </c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 t="s">
        <v>71</v>
      </c>
      <c r="AH40" s="19"/>
      <c r="AI40" s="19" t="s">
        <v>71</v>
      </c>
      <c r="AJ40" s="19"/>
      <c r="AK40" s="19" t="s">
        <v>71</v>
      </c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39"/>
      <c r="BP40" s="39"/>
      <c r="BQ40" s="39"/>
      <c r="BR40" s="39"/>
      <c r="BS40" s="39"/>
      <c r="BT40" s="39"/>
      <c r="BU40" s="39"/>
      <c r="BV40" s="3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1" t="e">
        <f>IF(SUM(E40,G40,I40,K40,M40,O40,Q40,S40,U40,W40,Y40,AA40,AC40,AE40,AG40,AI40,AK40,AM40,AO40,AQ40,#REF!)&gt;0,"Sí","No")</f>
        <v>#REF!</v>
      </c>
      <c r="CV40" s="92" t="e">
        <f>IF($CU40="Sí",_xlfn.TEXTJOIN(", ",TRUE,IF(N(E40)&gt;0,E$4,""),IF(N(G40)&gt;0,G$4,""),IF(N(I40)&gt;0,I$4,""),IF(N(K40)&gt;0,K$4,""),IF(N(M40)&gt;0,M$4,""),IF(N(O40)&gt;0,O$4,""),IF(N(Q40)&gt;0,Q$4,""),IF(N(S40)&gt;0,S$4,""),IF(N(U40)&gt;0,U$4,""),IF(N(W40)&gt;0,W$4,""),IF(N(Y40)&gt;0,Y$4,""),IF(N(AA40)&gt;0,AA$4,""),IF(N(AC40)&gt;0,AC$4,""),IF(N(AE40)&gt;0,AE$4,""),IF(N(AG40)&gt;0,AG$4,""),IF(N(AI40)&gt;0,AI$4,""),IF(N(AK40)&gt;0,AK$4,""),IF(N(AM40)&gt;0,AM$4,""),IF(N(AO40)&gt;0,AO$4,""),IF(N(AQ40)&gt;0,AQ$4,""),IF(N(#REF!)&gt;0,#REF!,"")),"")</f>
        <v>#REF!</v>
      </c>
      <c r="CW40" s="11"/>
      <c r="CX40" s="11" t="e">
        <f t="shared" si="4"/>
        <v>#REF!</v>
      </c>
      <c r="CY40" s="12">
        <f>C40</f>
        <v>46058</v>
      </c>
      <c r="CZ40" s="68"/>
    </row>
    <row r="41" spans="1:104" ht="22.2" customHeight="1" x14ac:dyDescent="0.3">
      <c r="A41" s="150"/>
      <c r="B41" s="78" t="s">
        <v>49</v>
      </c>
      <c r="C41" s="12">
        <v>46059</v>
      </c>
      <c r="D41" s="20">
        <f t="shared" si="1"/>
        <v>0</v>
      </c>
      <c r="E41" s="20" t="s">
        <v>71</v>
      </c>
      <c r="F41" s="20"/>
      <c r="G41" s="20" t="s">
        <v>71</v>
      </c>
      <c r="H41" s="20"/>
      <c r="I41" s="20" t="s">
        <v>71</v>
      </c>
      <c r="J41" s="20"/>
      <c r="K41" s="20" t="s">
        <v>71</v>
      </c>
      <c r="L41" s="20"/>
      <c r="M41" s="19" t="s">
        <v>71</v>
      </c>
      <c r="N41" s="19"/>
      <c r="O41" s="19" t="s">
        <v>71</v>
      </c>
      <c r="P41" s="19"/>
      <c r="Q41" s="19" t="s">
        <v>71</v>
      </c>
      <c r="R41" s="19"/>
      <c r="S41" s="19" t="s">
        <v>71</v>
      </c>
      <c r="T41" s="19"/>
      <c r="U41" s="19" t="s">
        <v>71</v>
      </c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 t="s">
        <v>71</v>
      </c>
      <c r="AH41" s="19"/>
      <c r="AI41" s="19" t="s">
        <v>71</v>
      </c>
      <c r="AJ41" s="19"/>
      <c r="AK41" s="19" t="s">
        <v>71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39"/>
      <c r="BP41" s="39"/>
      <c r="BQ41" s="39"/>
      <c r="BR41" s="39"/>
      <c r="BS41" s="39"/>
      <c r="BT41" s="39"/>
      <c r="BU41" s="39"/>
      <c r="BV41" s="3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1" t="e">
        <f>IF(SUM(E41,G41,I41,K41,M41,O41,Q41,S41,U41,W41,Y41,AA41,AC41,AE41,AG41,AI41,AK41,AM41,AO41,AQ41,#REF!)&gt;0,"Sí","No")</f>
        <v>#REF!</v>
      </c>
      <c r="CV41" s="92" t="e">
        <f>IF($CU41="Sí",_xlfn.TEXTJOIN(", ",TRUE,IF(N(E41)&gt;0,E$4,""),IF(N(G41)&gt;0,G$4,""),IF(N(I41)&gt;0,I$4,""),IF(N(K41)&gt;0,K$4,""),IF(N(M41)&gt;0,M$4,""),IF(N(O41)&gt;0,O$4,""),IF(N(Q41)&gt;0,Q$4,""),IF(N(S41)&gt;0,S$4,""),IF(N(U41)&gt;0,U$4,""),IF(N(W41)&gt;0,W$4,""),IF(N(Y41)&gt;0,Y$4,""),IF(N(AA41)&gt;0,AA$4,""),IF(N(AC41)&gt;0,AC$4,""),IF(N(AE41)&gt;0,AE$4,""),IF(N(AG41)&gt;0,AG$4,""),IF(N(AI41)&gt;0,AI$4,""),IF(N(AK41)&gt;0,AK$4,""),IF(N(AM41)&gt;0,AM$4,""),IF(N(AO41)&gt;0,AO$4,""),IF(N(AQ41)&gt;0,AQ$4,""),IF(N(#REF!)&gt;0,#REF!,"")),"")</f>
        <v>#REF!</v>
      </c>
      <c r="CW41" s="11"/>
      <c r="CX41" s="11" t="e">
        <f t="shared" si="4"/>
        <v>#REF!</v>
      </c>
      <c r="CY41" s="12"/>
      <c r="CZ41" s="68"/>
    </row>
    <row r="42" spans="1:104" ht="22.2" customHeight="1" x14ac:dyDescent="0.3">
      <c r="A42" s="150"/>
      <c r="B42" s="78" t="s">
        <v>50</v>
      </c>
      <c r="C42" s="12">
        <v>46060</v>
      </c>
      <c r="D42" s="20">
        <f t="shared" si="1"/>
        <v>0</v>
      </c>
      <c r="E42" s="20" t="s">
        <v>71</v>
      </c>
      <c r="F42" s="20"/>
      <c r="G42" s="20" t="s">
        <v>71</v>
      </c>
      <c r="H42" s="20"/>
      <c r="I42" s="20" t="s">
        <v>71</v>
      </c>
      <c r="J42" s="20"/>
      <c r="K42" s="20" t="s">
        <v>71</v>
      </c>
      <c r="L42" s="20"/>
      <c r="M42" s="19" t="s">
        <v>71</v>
      </c>
      <c r="N42" s="19"/>
      <c r="O42" s="19" t="s">
        <v>71</v>
      </c>
      <c r="P42" s="19"/>
      <c r="Q42" s="19" t="s">
        <v>71</v>
      </c>
      <c r="R42" s="19"/>
      <c r="S42" s="19" t="s">
        <v>71</v>
      </c>
      <c r="T42" s="19"/>
      <c r="U42" s="19" t="s">
        <v>71</v>
      </c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 t="s">
        <v>71</v>
      </c>
      <c r="AH42" s="19"/>
      <c r="AI42" s="19" t="s">
        <v>71</v>
      </c>
      <c r="AJ42" s="19"/>
      <c r="AK42" s="19" t="s">
        <v>71</v>
      </c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39"/>
      <c r="BP42" s="39"/>
      <c r="BQ42" s="39"/>
      <c r="BR42" s="39"/>
      <c r="BS42" s="39"/>
      <c r="BT42" s="39"/>
      <c r="BU42" s="39"/>
      <c r="BV42" s="3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1" t="e">
        <f>IF(SUM(E42,G42,I42,K42,M42,O42,Q42,S42,U42,W42,Y42,AA42,AC42,AE42,AG42,AI42,AK42,AM42,AO42,AQ42,#REF!)&gt;0,"Sí","No")</f>
        <v>#REF!</v>
      </c>
      <c r="CV42" s="92" t="e">
        <f>IF($CU42="Sí",_xlfn.TEXTJOIN(", ",TRUE,IF(N(E42)&gt;0,E$4,""),IF(N(G42)&gt;0,G$4,""),IF(N(I42)&gt;0,I$4,""),IF(N(K42)&gt;0,K$4,""),IF(N(M42)&gt;0,M$4,""),IF(N(O42)&gt;0,O$4,""),IF(N(Q42)&gt;0,Q$4,""),IF(N(S42)&gt;0,S$4,""),IF(N(U42)&gt;0,U$4,""),IF(N(W42)&gt;0,W$4,""),IF(N(Y42)&gt;0,Y$4,""),IF(N(AA42)&gt;0,AA$4,""),IF(N(AC42)&gt;0,AC$4,""),IF(N(AE42)&gt;0,AE$4,""),IF(N(AG42)&gt;0,AG$4,""),IF(N(AI42)&gt;0,AI$4,""),IF(N(AK42)&gt;0,AK$4,""),IF(N(AM42)&gt;0,AM$4,""),IF(N(AO42)&gt;0,AO$4,""),IF(N(AQ42)&gt;0,AQ$4,""),IF(N(#REF!)&gt;0,#REF!,"")),"")</f>
        <v>#REF!</v>
      </c>
      <c r="CW42" s="11"/>
      <c r="CX42" s="11" t="e">
        <f t="shared" si="4"/>
        <v>#REF!</v>
      </c>
      <c r="CY42" s="12"/>
      <c r="CZ42" s="68"/>
    </row>
    <row r="43" spans="1:104" ht="22.2" customHeight="1" x14ac:dyDescent="0.3">
      <c r="A43" s="150"/>
      <c r="B43" s="78" t="s">
        <v>52</v>
      </c>
      <c r="C43" s="12">
        <v>46061</v>
      </c>
      <c r="D43" s="20">
        <f t="shared" si="1"/>
        <v>0</v>
      </c>
      <c r="E43" s="20" t="s">
        <v>71</v>
      </c>
      <c r="F43" s="20"/>
      <c r="G43" s="20" t="s">
        <v>71</v>
      </c>
      <c r="H43" s="20"/>
      <c r="I43" s="20" t="s">
        <v>71</v>
      </c>
      <c r="J43" s="20"/>
      <c r="K43" s="20" t="s">
        <v>71</v>
      </c>
      <c r="L43" s="20"/>
      <c r="M43" s="19" t="s">
        <v>71</v>
      </c>
      <c r="N43" s="19"/>
      <c r="O43" s="19" t="s">
        <v>71</v>
      </c>
      <c r="P43" s="19"/>
      <c r="Q43" s="19" t="s">
        <v>71</v>
      </c>
      <c r="R43" s="19"/>
      <c r="S43" s="19" t="s">
        <v>71</v>
      </c>
      <c r="T43" s="19"/>
      <c r="U43" s="19" t="s">
        <v>71</v>
      </c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 t="s">
        <v>71</v>
      </c>
      <c r="AH43" s="19"/>
      <c r="AI43" s="19" t="s">
        <v>71</v>
      </c>
      <c r="AJ43" s="19"/>
      <c r="AK43" s="19" t="s">
        <v>71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39"/>
      <c r="BP43" s="39"/>
      <c r="BQ43" s="39"/>
      <c r="BR43" s="39"/>
      <c r="BS43" s="39"/>
      <c r="BT43" s="39"/>
      <c r="BU43" s="39"/>
      <c r="BV43" s="3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1" t="e">
        <f>IF(SUM(E43,G43,I43,K43,M43,O43,Q43,S43,U43,W43,Y43,AA43,AC43,AE43,AG43,AI43,AK43,AM43,AO43,AQ43,#REF!)&gt;0,"Sí","No")</f>
        <v>#REF!</v>
      </c>
      <c r="CV43" s="92" t="e">
        <f>IF($CU43="Sí",_xlfn.TEXTJOIN(", ",TRUE,IF(N(E43)&gt;0,E$4,""),IF(N(G43)&gt;0,G$4,""),IF(N(I43)&gt;0,I$4,""),IF(N(K43)&gt;0,K$4,""),IF(N(M43)&gt;0,M$4,""),IF(N(O43)&gt;0,O$4,""),IF(N(Q43)&gt;0,Q$4,""),IF(N(S43)&gt;0,S$4,""),IF(N(U43)&gt;0,U$4,""),IF(N(W43)&gt;0,W$4,""),IF(N(Y43)&gt;0,Y$4,""),IF(N(AA43)&gt;0,AA$4,""),IF(N(AC43)&gt;0,AC$4,""),IF(N(AE43)&gt;0,AE$4,""),IF(N(AG43)&gt;0,AG$4,""),IF(N(AI43)&gt;0,AI$4,""),IF(N(AK43)&gt;0,AK$4,""),IF(N(AM43)&gt;0,AM$4,""),IF(N(AO43)&gt;0,AO$4,""),IF(N(AQ43)&gt;0,AQ$4,""),IF(N(#REF!)&gt;0,#REF!,"")),"")</f>
        <v>#REF!</v>
      </c>
      <c r="CW43" s="11"/>
      <c r="CX43" s="11" t="e">
        <f t="shared" si="4"/>
        <v>#REF!</v>
      </c>
      <c r="CY43" s="12"/>
      <c r="CZ43" s="68"/>
    </row>
    <row r="44" spans="1:104" ht="22.2" customHeight="1" x14ac:dyDescent="0.3">
      <c r="A44" s="150"/>
      <c r="B44" s="78" t="s">
        <v>54</v>
      </c>
      <c r="C44" s="12">
        <v>46062</v>
      </c>
      <c r="D44" s="20">
        <f t="shared" si="1"/>
        <v>0</v>
      </c>
      <c r="E44" s="20" t="s">
        <v>71</v>
      </c>
      <c r="F44" s="20"/>
      <c r="G44" s="20" t="s">
        <v>71</v>
      </c>
      <c r="H44" s="20"/>
      <c r="I44" s="20" t="s">
        <v>71</v>
      </c>
      <c r="J44" s="20"/>
      <c r="K44" s="20" t="s">
        <v>71</v>
      </c>
      <c r="L44" s="20"/>
      <c r="M44" s="19" t="s">
        <v>71</v>
      </c>
      <c r="N44" s="19"/>
      <c r="O44" s="19" t="s">
        <v>71</v>
      </c>
      <c r="P44" s="19"/>
      <c r="Q44" s="19" t="s">
        <v>71</v>
      </c>
      <c r="R44" s="19"/>
      <c r="S44" s="19" t="s">
        <v>71</v>
      </c>
      <c r="T44" s="19"/>
      <c r="U44" s="19" t="s">
        <v>71</v>
      </c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 t="s">
        <v>71</v>
      </c>
      <c r="AH44" s="19"/>
      <c r="AI44" s="19" t="s">
        <v>71</v>
      </c>
      <c r="AJ44" s="19"/>
      <c r="AK44" s="19" t="s">
        <v>71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39"/>
      <c r="BP44" s="39"/>
      <c r="BQ44" s="39"/>
      <c r="BR44" s="39"/>
      <c r="BS44" s="39"/>
      <c r="BT44" s="39"/>
      <c r="BU44" s="39"/>
      <c r="BV44" s="39"/>
      <c r="BW44" s="19"/>
      <c r="BX44" s="19"/>
      <c r="BY44" s="19"/>
      <c r="BZ44" s="19"/>
      <c r="CA44" s="19"/>
      <c r="CB44" s="19"/>
      <c r="CC44" s="19"/>
      <c r="CD44" s="19"/>
      <c r="CE44" s="19" t="s">
        <v>71</v>
      </c>
      <c r="CF44" s="19"/>
      <c r="CG44" s="19" t="s">
        <v>71</v>
      </c>
      <c r="CH44" s="19"/>
      <c r="CI44" s="19" t="s">
        <v>71</v>
      </c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1" t="e">
        <f>IF(SUM(E44,G44,I44,K44,M44,O44,Q44,S44,U44,W44,Y44,AA44,AC44,AE44,AG44,AI44,AK44,AM44,AO44,AQ44,#REF!)&gt;0,"Sí","No")</f>
        <v>#REF!</v>
      </c>
      <c r="CV44" s="92" t="e">
        <f>IF($CU44="Sí",_xlfn.TEXTJOIN(", ",TRUE,IF(N(E44)&gt;0,E$4,""),IF(N(G44)&gt;0,G$4,""),IF(N(I44)&gt;0,I$4,""),IF(N(K44)&gt;0,K$4,""),IF(N(M44)&gt;0,M$4,""),IF(N(O44)&gt;0,O$4,""),IF(N(Q44)&gt;0,Q$4,""),IF(N(S44)&gt;0,S$4,""),IF(N(U44)&gt;0,U$4,""),IF(N(W44)&gt;0,W$4,""),IF(N(Y44)&gt;0,Y$4,""),IF(N(AA44)&gt;0,AA$4,""),IF(N(AC44)&gt;0,AC$4,""),IF(N(AE44)&gt;0,AE$4,""),IF(N(AG44)&gt;0,AG$4,""),IF(N(AI44)&gt;0,AI$4,""),IF(N(AK44)&gt;0,AK$4,""),IF(N(AM44)&gt;0,AM$4,""),IF(N(AO44)&gt;0,AO$4,""),IF(N(AQ44)&gt;0,AQ$4,""),IF(N(#REF!)&gt;0,#REF!,"")),"")</f>
        <v>#REF!</v>
      </c>
      <c r="CW44" s="11"/>
      <c r="CX44" s="11" t="e">
        <f t="shared" si="4"/>
        <v>#REF!</v>
      </c>
      <c r="CY44" s="12"/>
      <c r="CZ44" s="68"/>
    </row>
    <row r="45" spans="1:104" ht="18" customHeight="1" x14ac:dyDescent="0.3">
      <c r="A45" s="150"/>
      <c r="B45" s="78" t="s">
        <v>56</v>
      </c>
      <c r="C45" s="12">
        <v>46063</v>
      </c>
      <c r="D45" s="20">
        <f t="shared" si="1"/>
        <v>0</v>
      </c>
      <c r="E45" s="20" t="s">
        <v>71</v>
      </c>
      <c r="F45" s="20"/>
      <c r="G45" s="20" t="s">
        <v>71</v>
      </c>
      <c r="H45" s="20"/>
      <c r="I45" s="20" t="s">
        <v>71</v>
      </c>
      <c r="J45" s="20"/>
      <c r="K45" s="20" t="s">
        <v>71</v>
      </c>
      <c r="L45" s="20"/>
      <c r="M45" s="19"/>
      <c r="N45" s="19"/>
      <c r="O45" s="19"/>
      <c r="P45" s="19"/>
      <c r="Q45" s="19"/>
      <c r="R45" s="19"/>
      <c r="S45" s="19" t="s">
        <v>71</v>
      </c>
      <c r="T45" s="19"/>
      <c r="U45" s="19" t="s">
        <v>71</v>
      </c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 t="s">
        <v>71</v>
      </c>
      <c r="AH45" s="19"/>
      <c r="AI45" s="19" t="s">
        <v>71</v>
      </c>
      <c r="AJ45" s="19"/>
      <c r="AK45" s="19" t="s">
        <v>71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39"/>
      <c r="BP45" s="39"/>
      <c r="BQ45" s="39"/>
      <c r="BR45" s="39"/>
      <c r="BS45" s="39"/>
      <c r="BT45" s="39"/>
      <c r="BU45" s="39"/>
      <c r="BV45" s="39"/>
      <c r="BW45" s="19"/>
      <c r="BX45" s="19"/>
      <c r="BY45" s="19"/>
      <c r="BZ45" s="19"/>
      <c r="CA45" s="19"/>
      <c r="CB45" s="19"/>
      <c r="CC45" s="19"/>
      <c r="CD45" s="19"/>
      <c r="CE45" s="19" t="s">
        <v>71</v>
      </c>
      <c r="CF45" s="19"/>
      <c r="CG45" s="19" t="s">
        <v>71</v>
      </c>
      <c r="CH45" s="19"/>
      <c r="CI45" s="19" t="s">
        <v>71</v>
      </c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1" t="e">
        <f>IF(SUM(E45,G45,I45,K45,M45,O45,Q45,S45,U45,W45,Y45,AA45,AC45,AE45,AG45,AI45,AK45,AM45,AO45,AQ45,#REF!)&gt;0,"Sí","No")</f>
        <v>#REF!</v>
      </c>
      <c r="CV45" s="92" t="e">
        <f>IF($CU45="Sí",_xlfn.TEXTJOIN(", ",TRUE,IF(N(E45)&gt;0,E$4,""),IF(N(G45)&gt;0,G$4,""),IF(N(I45)&gt;0,I$4,""),IF(N(K45)&gt;0,K$4,""),IF(N(M45)&gt;0,M$4,""),IF(N(O45)&gt;0,O$4,""),IF(N(Q45)&gt;0,Q$4,""),IF(N(S45)&gt;0,S$4,""),IF(N(U45)&gt;0,U$4,""),IF(N(W45)&gt;0,W$4,""),IF(N(Y45)&gt;0,Y$4,""),IF(N(AA45)&gt;0,AA$4,""),IF(N(AC45)&gt;0,AC$4,""),IF(N(AE45)&gt;0,AE$4,""),IF(N(AG45)&gt;0,AG$4,""),IF(N(AI45)&gt;0,AI$4,""),IF(N(AK45)&gt;0,AK$4,""),IF(N(AM45)&gt;0,AM$4,""),IF(N(AO45)&gt;0,AO$4,""),IF(N(AQ45)&gt;0,AQ$4,""),IF(N(#REF!)&gt;0,#REF!,"")),"")</f>
        <v>#REF!</v>
      </c>
      <c r="CW45" s="11"/>
      <c r="CX45" s="11" t="e">
        <f t="shared" si="4"/>
        <v>#REF!</v>
      </c>
      <c r="CY45" s="12"/>
      <c r="CZ45" s="68"/>
    </row>
    <row r="46" spans="1:104" ht="18" customHeight="1" x14ac:dyDescent="0.3">
      <c r="A46" s="150"/>
      <c r="B46" s="78" t="s">
        <v>57</v>
      </c>
      <c r="C46" s="12">
        <v>46064</v>
      </c>
      <c r="D46" s="20">
        <f t="shared" si="1"/>
        <v>0</v>
      </c>
      <c r="E46" s="20" t="s">
        <v>71</v>
      </c>
      <c r="F46" s="20"/>
      <c r="G46" s="20" t="s">
        <v>71</v>
      </c>
      <c r="H46" s="20"/>
      <c r="I46" s="20" t="s">
        <v>71</v>
      </c>
      <c r="J46" s="20"/>
      <c r="K46" s="20" t="s">
        <v>71</v>
      </c>
      <c r="L46" s="20"/>
      <c r="M46" s="19"/>
      <c r="N46" s="19"/>
      <c r="O46" s="19"/>
      <c r="P46" s="19"/>
      <c r="Q46" s="19"/>
      <c r="R46" s="19"/>
      <c r="S46" s="19" t="s">
        <v>71</v>
      </c>
      <c r="T46" s="19"/>
      <c r="U46" s="19" t="s">
        <v>71</v>
      </c>
      <c r="V46" s="19"/>
      <c r="W46" s="19"/>
      <c r="X46" s="19"/>
      <c r="Y46" s="19"/>
      <c r="Z46" s="19"/>
      <c r="AA46" s="99"/>
      <c r="AB46" s="99"/>
      <c r="AC46" s="99"/>
      <c r="AD46" s="99"/>
      <c r="AE46" s="99"/>
      <c r="AF46" s="99"/>
      <c r="AG46" s="99" t="s">
        <v>71</v>
      </c>
      <c r="AH46" s="99"/>
      <c r="AI46" s="99" t="s">
        <v>71</v>
      </c>
      <c r="AJ46" s="99"/>
      <c r="AK46" s="99" t="s">
        <v>71</v>
      </c>
      <c r="AL46" s="99"/>
      <c r="AM46" s="99"/>
      <c r="AN46" s="99"/>
      <c r="AO46" s="99"/>
      <c r="AP46" s="9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39"/>
      <c r="BP46" s="39"/>
      <c r="BQ46" s="39"/>
      <c r="BR46" s="39"/>
      <c r="BS46" s="39"/>
      <c r="BT46" s="39"/>
      <c r="BU46" s="39"/>
      <c r="BV46" s="39"/>
      <c r="BW46" s="19"/>
      <c r="BX46" s="19"/>
      <c r="BY46" s="19"/>
      <c r="BZ46" s="19"/>
      <c r="CA46" s="19"/>
      <c r="CB46" s="19"/>
      <c r="CC46" s="19"/>
      <c r="CD46" s="19"/>
      <c r="CE46" s="19" t="s">
        <v>71</v>
      </c>
      <c r="CF46" s="19"/>
      <c r="CG46" s="19" t="s">
        <v>71</v>
      </c>
      <c r="CH46" s="19"/>
      <c r="CI46" s="19" t="s">
        <v>71</v>
      </c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1" t="e">
        <f>IF(SUM(E46,G46,I46,K46,M46,O46,Q46,S46,U46,W46,Y46,AA46,AC46,AE46,AG46,AI46,AK46,AM46,AO46,AQ46,#REF!)&gt;0,"Sí","No")</f>
        <v>#REF!</v>
      </c>
      <c r="CV46" s="92" t="e">
        <f>IF($CU46="Sí",_xlfn.TEXTJOIN(", ",TRUE,IF(N(E46)&gt;0,E$4,""),IF(N(G46)&gt;0,G$4,""),IF(N(I46)&gt;0,I$4,""),IF(N(K46)&gt;0,K$4,""),IF(N(M46)&gt;0,M$4,""),IF(N(O46)&gt;0,O$4,""),IF(N(Q46)&gt;0,Q$4,""),IF(N(S46)&gt;0,S$4,""),IF(N(U46)&gt;0,U$4,""),IF(N(W46)&gt;0,W$4,""),IF(N(Y46)&gt;0,Y$4,""),IF(N(AA46)&gt;0,AA$4,""),IF(N(AC46)&gt;0,AC$4,""),IF(N(AE46)&gt;0,AE$4,""),IF(N(AG46)&gt;0,AG$4,""),IF(N(AI46)&gt;0,AI$4,""),IF(N(AK46)&gt;0,AK$4,""),IF(N(AM46)&gt;0,AM$4,""),IF(N(AO46)&gt;0,AO$4,""),IF(N(AQ46)&gt;0,AQ$4,""),IF(N(#REF!)&gt;0,#REF!,"")),"")</f>
        <v>#REF!</v>
      </c>
      <c r="CW46" s="11"/>
      <c r="CX46" s="11" t="e">
        <f t="shared" si="4"/>
        <v>#REF!</v>
      </c>
      <c r="CY46" s="12"/>
      <c r="CZ46" s="68"/>
    </row>
    <row r="47" spans="1:104" ht="18" customHeight="1" x14ac:dyDescent="0.3">
      <c r="A47" s="150"/>
      <c r="B47" s="78" t="s">
        <v>46</v>
      </c>
      <c r="C47" s="12">
        <v>46065</v>
      </c>
      <c r="D47" s="20">
        <f t="shared" si="1"/>
        <v>0</v>
      </c>
      <c r="E47" s="20" t="s">
        <v>71</v>
      </c>
      <c r="F47" s="20"/>
      <c r="G47" s="20" t="s">
        <v>71</v>
      </c>
      <c r="H47" s="20"/>
      <c r="I47" s="20" t="s">
        <v>71</v>
      </c>
      <c r="J47" s="20"/>
      <c r="K47" s="20" t="s">
        <v>71</v>
      </c>
      <c r="L47" s="20"/>
      <c r="M47" s="19"/>
      <c r="N47" s="19"/>
      <c r="O47" s="19"/>
      <c r="P47" s="19"/>
      <c r="Q47" s="19"/>
      <c r="R47" s="19"/>
      <c r="S47" s="19" t="s">
        <v>71</v>
      </c>
      <c r="T47" s="19"/>
      <c r="U47" s="19" t="s">
        <v>71</v>
      </c>
      <c r="V47" s="19"/>
      <c r="W47" s="19"/>
      <c r="X47" s="19"/>
      <c r="Y47" s="19"/>
      <c r="Z47" s="49"/>
      <c r="AA47" s="84"/>
      <c r="AB47" s="84"/>
      <c r="AC47" s="84"/>
      <c r="AD47" s="84"/>
      <c r="AE47" s="84"/>
      <c r="AF47" s="84"/>
      <c r="AG47" s="84" t="s">
        <v>71</v>
      </c>
      <c r="AH47" s="84"/>
      <c r="AI47" s="84" t="s">
        <v>71</v>
      </c>
      <c r="AJ47" s="84"/>
      <c r="AK47" s="84" t="s">
        <v>71</v>
      </c>
      <c r="AL47" s="84"/>
      <c r="AM47" s="84"/>
      <c r="AN47" s="84"/>
      <c r="AO47" s="84"/>
      <c r="AP47" s="84"/>
      <c r="AQ47" s="50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39"/>
      <c r="BP47" s="39"/>
      <c r="BQ47" s="39"/>
      <c r="BR47" s="39"/>
      <c r="BS47" s="39"/>
      <c r="BT47" s="39"/>
      <c r="BU47" s="39"/>
      <c r="BV47" s="39"/>
      <c r="BW47" s="19"/>
      <c r="BX47" s="19"/>
      <c r="BY47" s="19"/>
      <c r="BZ47" s="19"/>
      <c r="CA47" s="19"/>
      <c r="CB47" s="19"/>
      <c r="CC47" s="19"/>
      <c r="CD47" s="19"/>
      <c r="CE47" s="19" t="s">
        <v>71</v>
      </c>
      <c r="CF47" s="19"/>
      <c r="CG47" s="19" t="s">
        <v>71</v>
      </c>
      <c r="CH47" s="19"/>
      <c r="CI47" s="19" t="s">
        <v>71</v>
      </c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1" t="e">
        <f>IF(SUM(E47,G47,I47,K47,M47,O47,Q47,S47,U47,W47,Y47,AA47,AC47,AE47,AG47,AI47,AK47,AM47,AO47,AQ47,#REF!)&gt;0,"Sí","No")</f>
        <v>#REF!</v>
      </c>
      <c r="CV47" s="92" t="e">
        <f>IF($CU47="Sí",_xlfn.TEXTJOIN(", ",TRUE,IF(N(E47)&gt;0,E$4,""),IF(N(G47)&gt;0,G$4,""),IF(N(I47)&gt;0,I$4,""),IF(N(K47)&gt;0,K$4,""),IF(N(M47)&gt;0,M$4,""),IF(N(O47)&gt;0,O$4,""),IF(N(Q47)&gt;0,Q$4,""),IF(N(S47)&gt;0,S$4,""),IF(N(U47)&gt;0,U$4,""),IF(N(W47)&gt;0,W$4,""),IF(N(Y47)&gt;0,Y$4,""),IF(N(AA47)&gt;0,AA$4,""),IF(N(AC47)&gt;0,AC$4,""),IF(N(AE47)&gt;0,AE$4,""),IF(N(AG47)&gt;0,AG$4,""),IF(N(AI47)&gt;0,AI$4,""),IF(N(AK47)&gt;0,AK$4,""),IF(N(AM47)&gt;0,AM$4,""),IF(N(AO47)&gt;0,AO$4,""),IF(N(AQ47)&gt;0,AQ$4,""),IF(N(#REF!)&gt;0,#REF!,"")),"")</f>
        <v>#REF!</v>
      </c>
      <c r="CW47" s="11"/>
      <c r="CX47" s="11" t="e">
        <f t="shared" si="4"/>
        <v>#REF!</v>
      </c>
      <c r="CY47" s="12">
        <v>46065</v>
      </c>
      <c r="CZ47" s="68"/>
    </row>
    <row r="48" spans="1:104" ht="18" customHeight="1" x14ac:dyDescent="0.3">
      <c r="A48" s="150"/>
      <c r="B48" s="78" t="s">
        <v>49</v>
      </c>
      <c r="C48" s="12">
        <v>46066</v>
      </c>
      <c r="D48" s="20">
        <f t="shared" si="1"/>
        <v>0</v>
      </c>
      <c r="E48" s="20" t="s">
        <v>71</v>
      </c>
      <c r="F48" s="20"/>
      <c r="G48" s="20" t="s">
        <v>71</v>
      </c>
      <c r="H48" s="20"/>
      <c r="I48" s="20" t="s">
        <v>71</v>
      </c>
      <c r="J48" s="20"/>
      <c r="K48" s="20" t="s">
        <v>71</v>
      </c>
      <c r="L48" s="20"/>
      <c r="M48" s="19"/>
      <c r="N48" s="19"/>
      <c r="O48" s="19"/>
      <c r="P48" s="19"/>
      <c r="Q48" s="19"/>
      <c r="R48" s="19"/>
      <c r="S48" s="19" t="s">
        <v>71</v>
      </c>
      <c r="T48" s="19"/>
      <c r="U48" s="19" t="s">
        <v>71</v>
      </c>
      <c r="V48" s="19"/>
      <c r="W48" s="19"/>
      <c r="X48" s="19"/>
      <c r="Y48" s="19"/>
      <c r="Z48" s="49"/>
      <c r="AA48" s="84"/>
      <c r="AB48" s="84"/>
      <c r="AC48" s="84"/>
      <c r="AD48" s="84"/>
      <c r="AE48" s="84"/>
      <c r="AF48" s="84"/>
      <c r="AG48" s="84" t="s">
        <v>71</v>
      </c>
      <c r="AH48" s="84"/>
      <c r="AI48" s="84" t="s">
        <v>71</v>
      </c>
      <c r="AJ48" s="84"/>
      <c r="AK48" s="84" t="s">
        <v>71</v>
      </c>
      <c r="AL48" s="84"/>
      <c r="AM48" s="84"/>
      <c r="AN48" s="84"/>
      <c r="AO48" s="84"/>
      <c r="AP48" s="84"/>
      <c r="AQ48" s="50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39"/>
      <c r="BP48" s="39"/>
      <c r="BQ48" s="39"/>
      <c r="BR48" s="39"/>
      <c r="BS48" s="39"/>
      <c r="BT48" s="39"/>
      <c r="BU48" s="39"/>
      <c r="BV48" s="39"/>
      <c r="BW48" s="19"/>
      <c r="BX48" s="19"/>
      <c r="BY48" s="19"/>
      <c r="BZ48" s="19"/>
      <c r="CA48" s="19"/>
      <c r="CB48" s="19"/>
      <c r="CC48" s="19"/>
      <c r="CD48" s="19"/>
      <c r="CE48" s="19" t="s">
        <v>71</v>
      </c>
      <c r="CF48" s="19"/>
      <c r="CG48" s="19" t="s">
        <v>71</v>
      </c>
      <c r="CH48" s="19"/>
      <c r="CI48" s="19" t="s">
        <v>71</v>
      </c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1" t="e">
        <f>IF(SUM(E48,G48,I48,K48,M48,O48,Q48,S48,U48,W48,Y48,AA48,AC48,AE48,AG48,AI48,AK48,AM48,AO48,AQ48,#REF!)&gt;0,"Sí","No")</f>
        <v>#REF!</v>
      </c>
      <c r="CV48" s="92" t="e">
        <f>IF($CU48="Sí",_xlfn.TEXTJOIN(", ",TRUE,IF(N(E48)&gt;0,E$4,""),IF(N(G48)&gt;0,G$4,""),IF(N(I48)&gt;0,I$4,""),IF(N(K48)&gt;0,K$4,""),IF(N(M48)&gt;0,M$4,""),IF(N(O48)&gt;0,O$4,""),IF(N(Q48)&gt;0,Q$4,""),IF(N(S48)&gt;0,S$4,""),IF(N(U48)&gt;0,U$4,""),IF(N(W48)&gt;0,W$4,""),IF(N(Y48)&gt;0,Y$4,""),IF(N(AA48)&gt;0,AA$4,""),IF(N(AC48)&gt;0,AC$4,""),IF(N(AE48)&gt;0,AE$4,""),IF(N(AG48)&gt;0,AG$4,""),IF(N(AI48)&gt;0,AI$4,""),IF(N(AK48)&gt;0,AK$4,""),IF(N(AM48)&gt;0,AM$4,""),IF(N(AO48)&gt;0,AO$4,""),IF(N(AQ48)&gt;0,AQ$4,""),IF(N(#REF!)&gt;0,#REF!,"")),"")</f>
        <v>#REF!</v>
      </c>
      <c r="CW48" s="11"/>
      <c r="CX48" s="11" t="e">
        <f t="shared" si="4"/>
        <v>#REF!</v>
      </c>
      <c r="CY48" s="12"/>
      <c r="CZ48" s="68"/>
    </row>
    <row r="49" spans="1:104" ht="18" customHeight="1" x14ac:dyDescent="0.3">
      <c r="A49" s="150"/>
      <c r="B49" s="78" t="s">
        <v>50</v>
      </c>
      <c r="C49" s="12">
        <v>46067</v>
      </c>
      <c r="D49" s="20">
        <f t="shared" si="1"/>
        <v>0</v>
      </c>
      <c r="E49" s="20" t="s">
        <v>71</v>
      </c>
      <c r="F49" s="20"/>
      <c r="G49" s="20" t="s">
        <v>71</v>
      </c>
      <c r="H49" s="20"/>
      <c r="I49" s="20" t="s">
        <v>71</v>
      </c>
      <c r="J49" s="20"/>
      <c r="K49" s="20" t="s">
        <v>71</v>
      </c>
      <c r="L49" s="20"/>
      <c r="M49" s="19"/>
      <c r="N49" s="19"/>
      <c r="O49" s="19"/>
      <c r="P49" s="19"/>
      <c r="Q49" s="19"/>
      <c r="R49" s="19"/>
      <c r="S49" s="19" t="s">
        <v>71</v>
      </c>
      <c r="T49" s="19"/>
      <c r="U49" s="19" t="s">
        <v>71</v>
      </c>
      <c r="V49" s="19"/>
      <c r="W49" s="19"/>
      <c r="X49" s="19"/>
      <c r="Y49" s="19"/>
      <c r="Z49" s="49"/>
      <c r="AA49" s="84"/>
      <c r="AB49" s="84"/>
      <c r="AC49" s="84"/>
      <c r="AD49" s="84"/>
      <c r="AE49" s="84"/>
      <c r="AF49" s="84"/>
      <c r="AG49" s="84" t="s">
        <v>71</v>
      </c>
      <c r="AH49" s="84"/>
      <c r="AI49" s="84" t="s">
        <v>71</v>
      </c>
      <c r="AJ49" s="84"/>
      <c r="AK49" s="84" t="s">
        <v>71</v>
      </c>
      <c r="AL49" s="84"/>
      <c r="AM49" s="84"/>
      <c r="AN49" s="84"/>
      <c r="AO49" s="84"/>
      <c r="AP49" s="84"/>
      <c r="AQ49" s="50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39"/>
      <c r="BP49" s="39"/>
      <c r="BQ49" s="39"/>
      <c r="BR49" s="39"/>
      <c r="BS49" s="39"/>
      <c r="BT49" s="39"/>
      <c r="BU49" s="39"/>
      <c r="BV49" s="39"/>
      <c r="BW49" s="19"/>
      <c r="BX49" s="19"/>
      <c r="BY49" s="19"/>
      <c r="BZ49" s="19"/>
      <c r="CA49" s="19"/>
      <c r="CB49" s="19"/>
      <c r="CC49" s="19"/>
      <c r="CD49" s="19"/>
      <c r="CE49" s="19" t="s">
        <v>71</v>
      </c>
      <c r="CF49" s="19"/>
      <c r="CG49" s="19" t="s">
        <v>71</v>
      </c>
      <c r="CH49" s="19"/>
      <c r="CI49" s="19" t="s">
        <v>71</v>
      </c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1" t="e">
        <f>IF(SUM(E49,G49,I49,K49,M49,O49,Q49,S49,U49,W49,Y49,AA49,AC49,AE49,AG49,AI49,AK49,AM49,AO49,AQ49,#REF!)&gt;0,"Sí","No")</f>
        <v>#REF!</v>
      </c>
      <c r="CV49" s="92" t="e">
        <f>IF($CU49="Sí",_xlfn.TEXTJOIN(", ",TRUE,IF(N(E49)&gt;0,E$4,""),IF(N(G49)&gt;0,G$4,""),IF(N(I49)&gt;0,I$4,""),IF(N(K49)&gt;0,K$4,""),IF(N(M49)&gt;0,M$4,""),IF(N(O49)&gt;0,O$4,""),IF(N(Q49)&gt;0,Q$4,""),IF(N(S49)&gt;0,S$4,""),IF(N(U49)&gt;0,U$4,""),IF(N(W49)&gt;0,W$4,""),IF(N(Y49)&gt;0,Y$4,""),IF(N(AA49)&gt;0,AA$4,""),IF(N(AC49)&gt;0,AC$4,""),IF(N(AE49)&gt;0,AE$4,""),IF(N(AG49)&gt;0,AG$4,""),IF(N(AI49)&gt;0,AI$4,""),IF(N(AK49)&gt;0,AK$4,""),IF(N(AM49)&gt;0,AM$4,""),IF(N(AO49)&gt;0,AO$4,""),IF(N(AQ49)&gt;0,AQ$4,""),IF(N(#REF!)&gt;0,#REF!,"")),"")</f>
        <v>#REF!</v>
      </c>
      <c r="CW49" s="11"/>
      <c r="CX49" s="11" t="e">
        <f t="shared" si="4"/>
        <v>#REF!</v>
      </c>
      <c r="CY49" s="12"/>
      <c r="CZ49" s="68"/>
    </row>
    <row r="50" spans="1:104" ht="35.4" customHeight="1" x14ac:dyDescent="0.3">
      <c r="A50" s="150"/>
      <c r="B50" s="78" t="s">
        <v>52</v>
      </c>
      <c r="C50" s="12">
        <v>46068</v>
      </c>
      <c r="D50" s="20">
        <f t="shared" si="1"/>
        <v>0</v>
      </c>
      <c r="E50" s="20" t="s">
        <v>71</v>
      </c>
      <c r="F50" s="20"/>
      <c r="G50" s="20" t="s">
        <v>71</v>
      </c>
      <c r="H50" s="20"/>
      <c r="I50" s="20" t="s">
        <v>71</v>
      </c>
      <c r="J50" s="20"/>
      <c r="K50" s="20" t="s">
        <v>71</v>
      </c>
      <c r="L50" s="20"/>
      <c r="M50" s="19"/>
      <c r="N50" s="19"/>
      <c r="O50" s="19"/>
      <c r="P50" s="19"/>
      <c r="Q50" s="19"/>
      <c r="R50" s="19"/>
      <c r="S50" s="19" t="s">
        <v>71</v>
      </c>
      <c r="T50" s="19"/>
      <c r="U50" s="19" t="s">
        <v>71</v>
      </c>
      <c r="V50" s="19"/>
      <c r="W50" s="19"/>
      <c r="X50" s="19"/>
      <c r="Y50" s="19"/>
      <c r="Z50" s="19"/>
      <c r="AA50" s="26"/>
      <c r="AB50" s="26"/>
      <c r="AC50" s="26"/>
      <c r="AD50" s="26"/>
      <c r="AE50" s="26"/>
      <c r="AF50" s="26"/>
      <c r="AG50" s="26" t="s">
        <v>71</v>
      </c>
      <c r="AH50" s="26"/>
      <c r="AI50" s="26" t="s">
        <v>71</v>
      </c>
      <c r="AJ50" s="26"/>
      <c r="AK50" s="26" t="s">
        <v>71</v>
      </c>
      <c r="AL50" s="26"/>
      <c r="AM50" s="26"/>
      <c r="AN50" s="26"/>
      <c r="AO50" s="26"/>
      <c r="AP50" s="26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39"/>
      <c r="BP50" s="39"/>
      <c r="BQ50" s="39"/>
      <c r="BR50" s="39"/>
      <c r="BS50" s="39"/>
      <c r="BT50" s="39"/>
      <c r="BU50" s="39"/>
      <c r="BV50" s="39"/>
      <c r="BW50" s="19"/>
      <c r="BX50" s="19"/>
      <c r="BY50" s="19"/>
      <c r="BZ50" s="19"/>
      <c r="CA50" s="19"/>
      <c r="CB50" s="19"/>
      <c r="CC50" s="19"/>
      <c r="CD50" s="19"/>
      <c r="CE50" s="19">
        <v>10</v>
      </c>
      <c r="CF50" s="19">
        <v>20</v>
      </c>
      <c r="CG50" s="19">
        <v>10</v>
      </c>
      <c r="CH50" s="19">
        <v>20</v>
      </c>
      <c r="CI50" s="19">
        <v>10</v>
      </c>
      <c r="CJ50" s="19">
        <v>20</v>
      </c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1" t="e">
        <f>IF(SUM(E50,G50,I50,K50,M50,O50,Q50,S50,U50,W50,Y50,AA50,AC50,AE50,AG50,AI50,AK50,AM50,AO50,AQ50,#REF!)&gt;0,"Sí","No")</f>
        <v>#REF!</v>
      </c>
      <c r="CV50" s="92" t="e">
        <f>IF($CU50="Sí",_xlfn.TEXTJOIN(", ",TRUE,IF(N(E50)&gt;0,E$4,""),IF(N(G50)&gt;0,G$4,""),IF(N(I50)&gt;0,I$4,""),IF(N(K50)&gt;0,K$4,""),IF(N(M50)&gt;0,M$4,""),IF(N(O50)&gt;0,O$4,""),IF(N(Q50)&gt;0,Q$4,""),IF(N(S50)&gt;0,S$4,""),IF(N(U50)&gt;0,U$4,""),IF(N(W50)&gt;0,W$4,""),IF(N(Y50)&gt;0,Y$4,""),IF(N(AA50)&gt;0,AA$4,""),IF(N(AC50)&gt;0,AC$4,""),IF(N(AE50)&gt;0,AE$4,""),IF(N(AG50)&gt;0,AG$4,""),IF(N(AI50)&gt;0,AI$4,""),IF(N(AK50)&gt;0,AK$4,""),IF(N(AM50)&gt;0,AM$4,""),IF(N(AO50)&gt;0,AO$4,""),IF(N(AQ50)&gt;0,AQ$4,""),IF(N(#REF!)&gt;0,#REF!,"")),"")</f>
        <v>#REF!</v>
      </c>
      <c r="CW50" s="11"/>
      <c r="CX50" s="11" t="e">
        <f t="shared" si="4"/>
        <v>#REF!</v>
      </c>
      <c r="CY50" s="12">
        <v>46068</v>
      </c>
      <c r="CZ50" s="68"/>
    </row>
    <row r="51" spans="1:104" ht="18" customHeight="1" x14ac:dyDescent="0.3">
      <c r="A51" s="150"/>
      <c r="B51" s="78" t="s">
        <v>54</v>
      </c>
      <c r="C51" s="12">
        <v>46069</v>
      </c>
      <c r="D51" s="20">
        <f t="shared" si="1"/>
        <v>0</v>
      </c>
      <c r="E51" s="20" t="s">
        <v>71</v>
      </c>
      <c r="F51" s="20"/>
      <c r="G51" s="20" t="s">
        <v>71</v>
      </c>
      <c r="H51" s="20"/>
      <c r="I51" s="20" t="s">
        <v>71</v>
      </c>
      <c r="J51" s="20"/>
      <c r="K51" s="20" t="s">
        <v>71</v>
      </c>
      <c r="L51" s="20"/>
      <c r="M51" s="19"/>
      <c r="N51" s="19"/>
      <c r="O51" s="19"/>
      <c r="P51" s="19"/>
      <c r="Q51" s="19"/>
      <c r="R51" s="19"/>
      <c r="S51" s="19" t="s">
        <v>71</v>
      </c>
      <c r="T51" s="19"/>
      <c r="U51" s="19" t="s">
        <v>71</v>
      </c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 t="s">
        <v>71</v>
      </c>
      <c r="AH51" s="19"/>
      <c r="AI51" s="19" t="s">
        <v>71</v>
      </c>
      <c r="AJ51" s="19"/>
      <c r="AK51" s="19" t="s">
        <v>71</v>
      </c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39"/>
      <c r="BP51" s="39"/>
      <c r="BQ51" s="39"/>
      <c r="BR51" s="39"/>
      <c r="BS51" s="39"/>
      <c r="BT51" s="39"/>
      <c r="BU51" s="39"/>
      <c r="BV51" s="39"/>
      <c r="BW51" s="19"/>
      <c r="BX51" s="19"/>
      <c r="BY51" s="19"/>
      <c r="BZ51" s="19"/>
      <c r="CA51" s="19"/>
      <c r="CB51" s="19"/>
      <c r="CC51" s="19"/>
      <c r="CD51" s="19"/>
      <c r="CE51" s="19" t="s">
        <v>71</v>
      </c>
      <c r="CF51" s="19"/>
      <c r="CG51" s="19" t="s">
        <v>71</v>
      </c>
      <c r="CH51" s="19"/>
      <c r="CI51" s="19" t="s">
        <v>71</v>
      </c>
      <c r="CJ51" s="19"/>
      <c r="CK51" s="19"/>
      <c r="CL51" s="19"/>
      <c r="CM51" s="19">
        <v>10</v>
      </c>
      <c r="CN51" s="19">
        <v>20</v>
      </c>
      <c r="CO51" s="19">
        <v>10</v>
      </c>
      <c r="CP51" s="19">
        <v>20</v>
      </c>
      <c r="CQ51" s="19">
        <v>10</v>
      </c>
      <c r="CR51" s="19">
        <v>20</v>
      </c>
      <c r="CS51" s="19"/>
      <c r="CT51" s="19"/>
      <c r="CU51" s="11" t="e">
        <f>IF(SUM(E51,G51,I51,K51,M51,O51,Q51,S51,U51,W51,Y51,AA51,AC51,AE51,AG51,AI51,AK51,AM51,AO51,AQ51,#REF!)&gt;0,"Sí","No")</f>
        <v>#REF!</v>
      </c>
      <c r="CV51" s="92" t="e">
        <f>IF($CU51="Sí",_xlfn.TEXTJOIN(", ",TRUE,IF(N(E51)&gt;0,E$4,""),IF(N(G51)&gt;0,G$4,""),IF(N(I51)&gt;0,I$4,""),IF(N(K51)&gt;0,K$4,""),IF(N(M51)&gt;0,M$4,""),IF(N(O51)&gt;0,O$4,""),IF(N(Q51)&gt;0,Q$4,""),IF(N(S51)&gt;0,S$4,""),IF(N(U51)&gt;0,U$4,""),IF(N(W51)&gt;0,W$4,""),IF(N(Y51)&gt;0,Y$4,""),IF(N(AA51)&gt;0,AA$4,""),IF(N(AC51)&gt;0,AC$4,""),IF(N(AE51)&gt;0,AE$4,""),IF(N(AG51)&gt;0,AG$4,""),IF(N(AI51)&gt;0,AI$4,""),IF(N(AK51)&gt;0,AK$4,""),IF(N(AM51)&gt;0,AM$4,""),IF(N(AO51)&gt;0,AO$4,""),IF(N(AQ51)&gt;0,AQ$4,""),IF(N(#REF!)&gt;0,#REF!,"")),"")</f>
        <v>#REF!</v>
      </c>
      <c r="CW51" s="11"/>
      <c r="CX51" s="11" t="e">
        <f t="shared" si="4"/>
        <v>#REF!</v>
      </c>
      <c r="CY51" s="12"/>
      <c r="CZ51" s="68"/>
    </row>
    <row r="52" spans="1:104" ht="18" customHeight="1" x14ac:dyDescent="0.3">
      <c r="A52" s="150"/>
      <c r="B52" s="78" t="s">
        <v>56</v>
      </c>
      <c r="C52" s="12">
        <v>46070</v>
      </c>
      <c r="D52" s="20">
        <f t="shared" si="1"/>
        <v>0</v>
      </c>
      <c r="E52" s="20" t="s">
        <v>71</v>
      </c>
      <c r="F52" s="20"/>
      <c r="G52" s="20" t="s">
        <v>71</v>
      </c>
      <c r="H52" s="20"/>
      <c r="I52" s="20" t="s">
        <v>71</v>
      </c>
      <c r="J52" s="20"/>
      <c r="K52" s="20" t="s">
        <v>71</v>
      </c>
      <c r="L52" s="20"/>
      <c r="M52" s="19"/>
      <c r="N52" s="19"/>
      <c r="O52" s="19"/>
      <c r="P52" s="19"/>
      <c r="Q52" s="19"/>
      <c r="R52" s="19"/>
      <c r="S52" s="19" t="s">
        <v>71</v>
      </c>
      <c r="T52" s="19"/>
      <c r="U52" s="19" t="s">
        <v>71</v>
      </c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 t="s">
        <v>71</v>
      </c>
      <c r="AH52" s="19"/>
      <c r="AI52" s="19" t="s">
        <v>71</v>
      </c>
      <c r="AJ52" s="19"/>
      <c r="AK52" s="19" t="s">
        <v>71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39"/>
      <c r="BP52" s="39"/>
      <c r="BQ52" s="39"/>
      <c r="BR52" s="39"/>
      <c r="BS52" s="39"/>
      <c r="BT52" s="39"/>
      <c r="BU52" s="39"/>
      <c r="BV52" s="39"/>
      <c r="BW52" s="19"/>
      <c r="BX52" s="19"/>
      <c r="BY52" s="19"/>
      <c r="BZ52" s="19"/>
      <c r="CA52" s="19"/>
      <c r="CB52" s="19"/>
      <c r="CC52" s="19"/>
      <c r="CD52" s="19"/>
      <c r="CE52" s="19" t="s">
        <v>71</v>
      </c>
      <c r="CF52" s="19"/>
      <c r="CG52" s="19" t="s">
        <v>71</v>
      </c>
      <c r="CH52" s="19"/>
      <c r="CI52" s="19" t="s">
        <v>71</v>
      </c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1" t="e">
        <f>IF(SUM(E52,G52,I52,K52,M52,O52,Q52,S52,U52,W52,Y52,AA52,AC52,AE52,AG52,AI52,AK52,AM52,AO52,AQ52,#REF!)&gt;0,"Sí","No")</f>
        <v>#REF!</v>
      </c>
      <c r="CV52" s="92" t="e">
        <f>IF($CU52="Sí",_xlfn.TEXTJOIN(", ",TRUE,IF(N(E52)&gt;0,E$4,""),IF(N(G52)&gt;0,G$4,""),IF(N(I52)&gt;0,I$4,""),IF(N(K52)&gt;0,K$4,""),IF(N(M52)&gt;0,M$4,""),IF(N(O52)&gt;0,O$4,""),IF(N(Q52)&gt;0,Q$4,""),IF(N(S52)&gt;0,S$4,""),IF(N(U52)&gt;0,U$4,""),IF(N(W52)&gt;0,W$4,""),IF(N(Y52)&gt;0,Y$4,""),IF(N(AA52)&gt;0,AA$4,""),IF(N(AC52)&gt;0,AC$4,""),IF(N(AE52)&gt;0,AE$4,""),IF(N(AG52)&gt;0,AG$4,""),IF(N(AI52)&gt;0,AI$4,""),IF(N(AK52)&gt;0,AK$4,""),IF(N(AM52)&gt;0,AM$4,""),IF(N(AO52)&gt;0,AO$4,""),IF(N(AQ52)&gt;0,AQ$4,""),IF(N(#REF!)&gt;0,#REF!,"")),"")</f>
        <v>#REF!</v>
      </c>
      <c r="CW52" s="11"/>
      <c r="CX52" s="11" t="e">
        <f t="shared" si="4"/>
        <v>#REF!</v>
      </c>
      <c r="CY52" s="12">
        <v>46070</v>
      </c>
      <c r="CZ52" s="68"/>
    </row>
    <row r="53" spans="1:104" ht="18" customHeight="1" x14ac:dyDescent="0.3">
      <c r="A53" s="150"/>
      <c r="B53" s="78" t="s">
        <v>57</v>
      </c>
      <c r="C53" s="12">
        <v>46071</v>
      </c>
      <c r="D53" s="20">
        <f t="shared" si="1"/>
        <v>0</v>
      </c>
      <c r="E53" s="20" t="s">
        <v>71</v>
      </c>
      <c r="F53" s="20"/>
      <c r="G53" s="20" t="s">
        <v>71</v>
      </c>
      <c r="H53" s="20"/>
      <c r="I53" s="20" t="s">
        <v>71</v>
      </c>
      <c r="J53" s="20"/>
      <c r="K53" s="20" t="s">
        <v>71</v>
      </c>
      <c r="L53" s="20"/>
      <c r="M53" s="19"/>
      <c r="N53" s="19"/>
      <c r="O53" s="19"/>
      <c r="P53" s="19"/>
      <c r="Q53" s="19"/>
      <c r="R53" s="19"/>
      <c r="S53" s="19" t="s">
        <v>71</v>
      </c>
      <c r="T53" s="19"/>
      <c r="U53" s="19" t="s">
        <v>71</v>
      </c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 t="s">
        <v>71</v>
      </c>
      <c r="AH53" s="19"/>
      <c r="AI53" s="19" t="s">
        <v>71</v>
      </c>
      <c r="AJ53" s="19"/>
      <c r="AK53" s="19" t="s">
        <v>71</v>
      </c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39"/>
      <c r="BP53" s="39"/>
      <c r="BQ53" s="39"/>
      <c r="BR53" s="39"/>
      <c r="BS53" s="39"/>
      <c r="BT53" s="39"/>
      <c r="BU53" s="39"/>
      <c r="BV53" s="39"/>
      <c r="BW53" s="19"/>
      <c r="BX53" s="19"/>
      <c r="BY53" s="19"/>
      <c r="BZ53" s="19"/>
      <c r="CA53" s="19"/>
      <c r="CB53" s="19"/>
      <c r="CC53" s="19"/>
      <c r="CD53" s="19"/>
      <c r="CE53" s="19" t="s">
        <v>71</v>
      </c>
      <c r="CF53" s="19"/>
      <c r="CG53" s="19" t="s">
        <v>71</v>
      </c>
      <c r="CH53" s="19"/>
      <c r="CI53" s="19" t="s">
        <v>71</v>
      </c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1" t="e">
        <f>IF(SUM(E53,G53,I53,K53,M53,O53,Q53,S53,U53,W53,Y53,AA53,AC53,AE53,AG53,AI53,AK53,AM53,AO53,AQ53,#REF!)&gt;0,"Sí","No")</f>
        <v>#REF!</v>
      </c>
      <c r="CV53" s="92" t="e">
        <f>IF($CU53="Sí",_xlfn.TEXTJOIN(", ",TRUE,IF(N(E53)&gt;0,E$4,""),IF(N(G53)&gt;0,G$4,""),IF(N(I53)&gt;0,I$4,""),IF(N(K53)&gt;0,K$4,""),IF(N(M53)&gt;0,M$4,""),IF(N(O53)&gt;0,O$4,""),IF(N(Q53)&gt;0,Q$4,""),IF(N(S53)&gt;0,S$4,""),IF(N(U53)&gt;0,U$4,""),IF(N(W53)&gt;0,W$4,""),IF(N(Y53)&gt;0,Y$4,""),IF(N(AA53)&gt;0,AA$4,""),IF(N(AC53)&gt;0,AC$4,""),IF(N(AE53)&gt;0,AE$4,""),IF(N(AG53)&gt;0,AG$4,""),IF(N(AI53)&gt;0,AI$4,""),IF(N(AK53)&gt;0,AK$4,""),IF(N(AM53)&gt;0,AM$4,""),IF(N(AO53)&gt;0,AO$4,""),IF(N(AQ53)&gt;0,AQ$4,""),IF(N(#REF!)&gt;0,#REF!,"")),"")</f>
        <v>#REF!</v>
      </c>
      <c r="CW53" s="11"/>
      <c r="CX53" s="11" t="e">
        <f t="shared" si="4"/>
        <v>#REF!</v>
      </c>
      <c r="CY53" s="12"/>
      <c r="CZ53" s="68"/>
    </row>
    <row r="54" spans="1:104" ht="18" customHeight="1" x14ac:dyDescent="0.3">
      <c r="A54" s="150"/>
      <c r="B54" s="78" t="s">
        <v>46</v>
      </c>
      <c r="C54" s="12">
        <v>46072</v>
      </c>
      <c r="D54" s="20">
        <f t="shared" si="1"/>
        <v>0</v>
      </c>
      <c r="E54" s="20" t="s">
        <v>71</v>
      </c>
      <c r="F54" s="20"/>
      <c r="G54" s="20" t="s">
        <v>71</v>
      </c>
      <c r="H54" s="20"/>
      <c r="I54" s="20" t="s">
        <v>71</v>
      </c>
      <c r="J54" s="20"/>
      <c r="K54" s="20" t="s">
        <v>71</v>
      </c>
      <c r="L54" s="20"/>
      <c r="M54" s="19"/>
      <c r="N54" s="19"/>
      <c r="O54" s="19"/>
      <c r="P54" s="19"/>
      <c r="Q54" s="19"/>
      <c r="R54" s="19"/>
      <c r="S54" s="19" t="s">
        <v>71</v>
      </c>
      <c r="T54" s="19"/>
      <c r="U54" s="19" t="s">
        <v>71</v>
      </c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 t="s">
        <v>71</v>
      </c>
      <c r="AH54" s="19"/>
      <c r="AI54" s="19" t="s">
        <v>71</v>
      </c>
      <c r="AJ54" s="19"/>
      <c r="AK54" s="19" t="s">
        <v>71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39"/>
      <c r="BP54" s="39"/>
      <c r="BQ54" s="39"/>
      <c r="BR54" s="39"/>
      <c r="BS54" s="39"/>
      <c r="BT54" s="39"/>
      <c r="BU54" s="39"/>
      <c r="BV54" s="39"/>
      <c r="BW54" s="19"/>
      <c r="BX54" s="19"/>
      <c r="BY54" s="19"/>
      <c r="BZ54" s="19"/>
      <c r="CA54" s="19"/>
      <c r="CB54" s="19"/>
      <c r="CC54" s="19"/>
      <c r="CD54" s="19"/>
      <c r="CE54" s="19" t="s">
        <v>71</v>
      </c>
      <c r="CF54" s="19"/>
      <c r="CG54" s="19" t="s">
        <v>71</v>
      </c>
      <c r="CH54" s="19"/>
      <c r="CI54" s="19" t="s">
        <v>71</v>
      </c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1" t="e">
        <f>IF(SUM(E54,G54,I54,K54,M54,O54,Q54,S54,U54,W54,Y54,AA54,AC54,AE54,AG54,AI54,AK54,AM54,AO54,AQ54,#REF!)&gt;0,"Sí","No")</f>
        <v>#REF!</v>
      </c>
      <c r="CV54" s="92" t="e">
        <f>IF($CU54="Sí",_xlfn.TEXTJOIN(", ",TRUE,IF(N(E54)&gt;0,E$4,""),IF(N(G54)&gt;0,G$4,""),IF(N(I54)&gt;0,I$4,""),IF(N(K54)&gt;0,K$4,""),IF(N(M54)&gt;0,M$4,""),IF(N(O54)&gt;0,O$4,""),IF(N(Q54)&gt;0,Q$4,""),IF(N(S54)&gt;0,S$4,""),IF(N(U54)&gt;0,U$4,""),IF(N(W54)&gt;0,W$4,""),IF(N(Y54)&gt;0,Y$4,""),IF(N(AA54)&gt;0,AA$4,""),IF(N(AC54)&gt;0,AC$4,""),IF(N(AE54)&gt;0,AE$4,""),IF(N(AG54)&gt;0,AG$4,""),IF(N(AI54)&gt;0,AI$4,""),IF(N(AK54)&gt;0,AK$4,""),IF(N(AM54)&gt;0,AM$4,""),IF(N(AO54)&gt;0,AO$4,""),IF(N(AQ54)&gt;0,AQ$4,""),IF(N(#REF!)&gt;0,#REF!,"")),"")</f>
        <v>#REF!</v>
      </c>
      <c r="CW54" s="11"/>
      <c r="CX54" s="11" t="e">
        <f t="shared" si="4"/>
        <v>#REF!</v>
      </c>
      <c r="CY54" s="12"/>
      <c r="CZ54" s="68"/>
    </row>
    <row r="55" spans="1:104" ht="18" customHeight="1" x14ac:dyDescent="0.3">
      <c r="A55" s="150"/>
      <c r="B55" s="78" t="s">
        <v>49</v>
      </c>
      <c r="C55" s="12">
        <v>46073</v>
      </c>
      <c r="D55" s="20">
        <f t="shared" si="1"/>
        <v>0</v>
      </c>
      <c r="E55" s="20" t="s">
        <v>71</v>
      </c>
      <c r="F55" s="20"/>
      <c r="G55" s="20" t="s">
        <v>71</v>
      </c>
      <c r="H55" s="20"/>
      <c r="I55" s="20" t="s">
        <v>71</v>
      </c>
      <c r="J55" s="20"/>
      <c r="K55" s="20" t="s">
        <v>71</v>
      </c>
      <c r="L55" s="20"/>
      <c r="M55" s="19" t="s">
        <v>71</v>
      </c>
      <c r="N55" s="19"/>
      <c r="O55" s="19" t="s">
        <v>71</v>
      </c>
      <c r="P55" s="19"/>
      <c r="Q55" s="19" t="s">
        <v>71</v>
      </c>
      <c r="R55" s="19"/>
      <c r="S55" s="19" t="s">
        <v>71</v>
      </c>
      <c r="T55" s="19"/>
      <c r="U55" s="19" t="s">
        <v>71</v>
      </c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 t="s">
        <v>71</v>
      </c>
      <c r="AH55" s="19"/>
      <c r="AI55" s="19" t="s">
        <v>71</v>
      </c>
      <c r="AJ55" s="19"/>
      <c r="AK55" s="19" t="s">
        <v>71</v>
      </c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39"/>
      <c r="BP55" s="39"/>
      <c r="BQ55" s="39"/>
      <c r="BR55" s="39"/>
      <c r="BS55" s="39"/>
      <c r="BT55" s="39"/>
      <c r="BU55" s="39"/>
      <c r="BV55" s="39"/>
      <c r="BW55" s="19"/>
      <c r="BX55" s="19"/>
      <c r="BY55" s="19"/>
      <c r="BZ55" s="19"/>
      <c r="CA55" s="19"/>
      <c r="CB55" s="19"/>
      <c r="CC55" s="19"/>
      <c r="CD55" s="19"/>
      <c r="CE55" s="19" t="s">
        <v>71</v>
      </c>
      <c r="CF55" s="19"/>
      <c r="CG55" s="19" t="s">
        <v>71</v>
      </c>
      <c r="CH55" s="19"/>
      <c r="CI55" s="19" t="s">
        <v>71</v>
      </c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1" t="e">
        <f>IF(SUM(E55,G55,I55,K55,M55,O55,Q55,S55,U55,W55,Y55,AA55,AC55,AE55,AG55,AI55,AK55,AM55,AO55,AQ55,#REF!)&gt;0,"Sí","No")</f>
        <v>#REF!</v>
      </c>
      <c r="CV55" s="92" t="e">
        <f>IF($CU55="Sí",_xlfn.TEXTJOIN(", ",TRUE,IF(N(E55)&gt;0,E$4,""),IF(N(G55)&gt;0,G$4,""),IF(N(I55)&gt;0,I$4,""),IF(N(K55)&gt;0,K$4,""),IF(N(M55)&gt;0,M$4,""),IF(N(O55)&gt;0,O$4,""),IF(N(Q55)&gt;0,Q$4,""),IF(N(S55)&gt;0,S$4,""),IF(N(U55)&gt;0,U$4,""),IF(N(W55)&gt;0,W$4,""),IF(N(Y55)&gt;0,Y$4,""),IF(N(AA55)&gt;0,AA$4,""),IF(N(AC55)&gt;0,AC$4,""),IF(N(AE55)&gt;0,AE$4,""),IF(N(AG55)&gt;0,AG$4,""),IF(N(AI55)&gt;0,AI$4,""),IF(N(AK55)&gt;0,AK$4,""),IF(N(AM55)&gt;0,AM$4,""),IF(N(AO55)&gt;0,AO$4,""),IF(N(AQ55)&gt;0,AQ$4,""),IF(N(#REF!)&gt;0,#REF!,"")),"")</f>
        <v>#REF!</v>
      </c>
      <c r="CW55" s="11"/>
      <c r="CX55" s="11" t="e">
        <f t="shared" si="4"/>
        <v>#REF!</v>
      </c>
      <c r="CY55" s="12">
        <f>C55</f>
        <v>46073</v>
      </c>
      <c r="CZ55" s="68"/>
    </row>
    <row r="56" spans="1:104" ht="18" customHeight="1" x14ac:dyDescent="0.3">
      <c r="A56" s="150"/>
      <c r="B56" s="78" t="s">
        <v>50</v>
      </c>
      <c r="C56" s="12">
        <v>46074</v>
      </c>
      <c r="D56" s="20">
        <f t="shared" si="1"/>
        <v>0</v>
      </c>
      <c r="E56" s="20" t="s">
        <v>71</v>
      </c>
      <c r="F56" s="20"/>
      <c r="G56" s="20" t="s">
        <v>71</v>
      </c>
      <c r="H56" s="20"/>
      <c r="I56" s="20" t="s">
        <v>71</v>
      </c>
      <c r="J56" s="20"/>
      <c r="K56" s="20" t="s">
        <v>71</v>
      </c>
      <c r="L56" s="20"/>
      <c r="M56" s="19" t="s">
        <v>71</v>
      </c>
      <c r="N56" s="19"/>
      <c r="O56" s="19" t="s">
        <v>71</v>
      </c>
      <c r="P56" s="19"/>
      <c r="Q56" s="19" t="s">
        <v>71</v>
      </c>
      <c r="R56" s="19"/>
      <c r="S56" s="19" t="s">
        <v>71</v>
      </c>
      <c r="T56" s="19"/>
      <c r="U56" s="19" t="s">
        <v>71</v>
      </c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 t="s">
        <v>71</v>
      </c>
      <c r="AH56" s="19"/>
      <c r="AI56" s="19" t="s">
        <v>71</v>
      </c>
      <c r="AJ56" s="19"/>
      <c r="AK56" s="19" t="s">
        <v>71</v>
      </c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39"/>
      <c r="BP56" s="39"/>
      <c r="BQ56" s="39"/>
      <c r="BR56" s="39"/>
      <c r="BS56" s="39"/>
      <c r="BT56" s="39"/>
      <c r="BU56" s="39"/>
      <c r="BV56" s="39"/>
      <c r="BW56" s="19"/>
      <c r="BX56" s="19"/>
      <c r="BY56" s="19"/>
      <c r="BZ56" s="19"/>
      <c r="CA56" s="19"/>
      <c r="CB56" s="19"/>
      <c r="CC56" s="19"/>
      <c r="CD56" s="19"/>
      <c r="CE56" s="19" t="s">
        <v>71</v>
      </c>
      <c r="CF56" s="19"/>
      <c r="CG56" s="19" t="s">
        <v>71</v>
      </c>
      <c r="CH56" s="19"/>
      <c r="CI56" s="19" t="s">
        <v>71</v>
      </c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1" t="e">
        <f>IF(SUM(E56,G56,I56,K56,M56,O56,Q56,S56,U56,W56,Y56,AA56,AC56,AE56,AG56,AI56,AK56,AM56,AO56,AQ56,#REF!)&gt;0,"Sí","No")</f>
        <v>#REF!</v>
      </c>
      <c r="CV56" s="92" t="e">
        <f>IF($CU56="Sí",_xlfn.TEXTJOIN(", ",TRUE,IF(N(E56)&gt;0,E$4,""),IF(N(G56)&gt;0,G$4,""),IF(N(I56)&gt;0,I$4,""),IF(N(K56)&gt;0,K$4,""),IF(N(M56)&gt;0,M$4,""),IF(N(O56)&gt;0,O$4,""),IF(N(Q56)&gt;0,Q$4,""),IF(N(S56)&gt;0,S$4,""),IF(N(U56)&gt;0,U$4,""),IF(N(W56)&gt;0,W$4,""),IF(N(Y56)&gt;0,Y$4,""),IF(N(AA56)&gt;0,AA$4,""),IF(N(AC56)&gt;0,AC$4,""),IF(N(AE56)&gt;0,AE$4,""),IF(N(AG56)&gt;0,AG$4,""),IF(N(AI56)&gt;0,AI$4,""),IF(N(AK56)&gt;0,AK$4,""),IF(N(AM56)&gt;0,AM$4,""),IF(N(AO56)&gt;0,AO$4,""),IF(N(AQ56)&gt;0,AQ$4,""),IF(N(#REF!)&gt;0,#REF!,"")),"")</f>
        <v>#REF!</v>
      </c>
      <c r="CW56" s="11"/>
      <c r="CX56" s="11" t="e">
        <f t="shared" si="4"/>
        <v>#REF!</v>
      </c>
      <c r="CY56" s="12"/>
      <c r="CZ56" s="68"/>
    </row>
    <row r="57" spans="1:104" ht="18" customHeight="1" x14ac:dyDescent="0.3">
      <c r="A57" s="150"/>
      <c r="B57" s="78" t="s">
        <v>52</v>
      </c>
      <c r="C57" s="12">
        <v>46075</v>
      </c>
      <c r="D57" s="20">
        <f t="shared" si="1"/>
        <v>0</v>
      </c>
      <c r="E57" s="20" t="s">
        <v>71</v>
      </c>
      <c r="F57" s="20"/>
      <c r="G57" s="20" t="s">
        <v>71</v>
      </c>
      <c r="H57" s="20"/>
      <c r="I57" s="20" t="s">
        <v>71</v>
      </c>
      <c r="J57" s="20"/>
      <c r="K57" s="20" t="s">
        <v>71</v>
      </c>
      <c r="L57" s="20"/>
      <c r="M57" s="19" t="s">
        <v>71</v>
      </c>
      <c r="N57" s="19"/>
      <c r="O57" s="19" t="s">
        <v>71</v>
      </c>
      <c r="P57" s="19"/>
      <c r="Q57" s="19" t="s">
        <v>71</v>
      </c>
      <c r="R57" s="19"/>
      <c r="S57" s="19" t="s">
        <v>71</v>
      </c>
      <c r="T57" s="19"/>
      <c r="U57" s="19" t="s">
        <v>71</v>
      </c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 t="s">
        <v>71</v>
      </c>
      <c r="AH57" s="19"/>
      <c r="AI57" s="19" t="s">
        <v>71</v>
      </c>
      <c r="AJ57" s="19"/>
      <c r="AK57" s="19" t="s">
        <v>71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39"/>
      <c r="BP57" s="39"/>
      <c r="BQ57" s="39"/>
      <c r="BR57" s="39"/>
      <c r="BS57" s="39"/>
      <c r="BT57" s="39"/>
      <c r="BU57" s="39"/>
      <c r="BV57" s="39"/>
      <c r="BW57" s="19"/>
      <c r="BX57" s="19"/>
      <c r="BY57" s="19"/>
      <c r="BZ57" s="19"/>
      <c r="CA57" s="19"/>
      <c r="CB57" s="19"/>
      <c r="CC57" s="19"/>
      <c r="CD57" s="19"/>
      <c r="CE57" s="19" t="s">
        <v>71</v>
      </c>
      <c r="CF57" s="19"/>
      <c r="CG57" s="19" t="s">
        <v>71</v>
      </c>
      <c r="CH57" s="19"/>
      <c r="CI57" s="19" t="s">
        <v>71</v>
      </c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1" t="e">
        <f>IF(SUM(E57,G57,I57,K57,M57,O57,Q57,S57,U57,W57,Y57,AA57,AC57,AE57,AG57,AI57,AK57,AM57,AO57,AQ57,#REF!)&gt;0,"Sí","No")</f>
        <v>#REF!</v>
      </c>
      <c r="CV57" s="92" t="e">
        <f>IF($CU57="Sí",_xlfn.TEXTJOIN(", ",TRUE,IF(N(E57)&gt;0,E$4,""),IF(N(G57)&gt;0,G$4,""),IF(N(I57)&gt;0,I$4,""),IF(N(K57)&gt;0,K$4,""),IF(N(M57)&gt;0,M$4,""),IF(N(O57)&gt;0,O$4,""),IF(N(Q57)&gt;0,Q$4,""),IF(N(S57)&gt;0,S$4,""),IF(N(U57)&gt;0,U$4,""),IF(N(W57)&gt;0,W$4,""),IF(N(Y57)&gt;0,Y$4,""),IF(N(AA57)&gt;0,AA$4,""),IF(N(AC57)&gt;0,AC$4,""),IF(N(AE57)&gt;0,AE$4,""),IF(N(AG57)&gt;0,AG$4,""),IF(N(AI57)&gt;0,AI$4,""),IF(N(AK57)&gt;0,AK$4,""),IF(N(AM57)&gt;0,AM$4,""),IF(N(AO57)&gt;0,AO$4,""),IF(N(AQ57)&gt;0,AQ$4,""),IF(N(#REF!)&gt;0,#REF!,"")),"")</f>
        <v>#REF!</v>
      </c>
      <c r="CW57" s="11"/>
      <c r="CX57" s="11" t="e">
        <f t="shared" si="4"/>
        <v>#REF!</v>
      </c>
      <c r="CY57" s="12"/>
      <c r="CZ57" s="68"/>
    </row>
    <row r="58" spans="1:104" ht="18" customHeight="1" x14ac:dyDescent="0.3">
      <c r="A58" s="150"/>
      <c r="B58" s="78" t="s">
        <v>54</v>
      </c>
      <c r="C58" s="12">
        <v>46076</v>
      </c>
      <c r="D58" s="20">
        <f t="shared" si="1"/>
        <v>0</v>
      </c>
      <c r="E58" s="20" t="s">
        <v>71</v>
      </c>
      <c r="F58" s="20"/>
      <c r="G58" s="20" t="s">
        <v>71</v>
      </c>
      <c r="H58" s="20"/>
      <c r="I58" s="20" t="s">
        <v>71</v>
      </c>
      <c r="J58" s="20"/>
      <c r="K58" s="20" t="s">
        <v>71</v>
      </c>
      <c r="L58" s="20"/>
      <c r="M58" s="19" t="s">
        <v>71</v>
      </c>
      <c r="N58" s="19"/>
      <c r="O58" s="19" t="s">
        <v>71</v>
      </c>
      <c r="P58" s="19"/>
      <c r="Q58" s="19" t="s">
        <v>71</v>
      </c>
      <c r="R58" s="19"/>
      <c r="S58" s="19" t="s">
        <v>71</v>
      </c>
      <c r="T58" s="19"/>
      <c r="U58" s="19" t="s">
        <v>71</v>
      </c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 t="s">
        <v>71</v>
      </c>
      <c r="AH58" s="19"/>
      <c r="AI58" s="19" t="s">
        <v>71</v>
      </c>
      <c r="AJ58" s="19"/>
      <c r="AK58" s="19" t="s">
        <v>71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39"/>
      <c r="BP58" s="39"/>
      <c r="BQ58" s="39"/>
      <c r="BR58" s="39"/>
      <c r="BS58" s="39"/>
      <c r="BT58" s="39"/>
      <c r="BU58" s="39"/>
      <c r="BV58" s="39"/>
      <c r="BW58" s="19"/>
      <c r="BX58" s="19"/>
      <c r="BY58" s="19"/>
      <c r="BZ58" s="19"/>
      <c r="CA58" s="19"/>
      <c r="CB58" s="19"/>
      <c r="CC58" s="19"/>
      <c r="CD58" s="19"/>
      <c r="CE58" s="19" t="s">
        <v>71</v>
      </c>
      <c r="CF58" s="19"/>
      <c r="CG58" s="19" t="s">
        <v>71</v>
      </c>
      <c r="CH58" s="19"/>
      <c r="CI58" s="19" t="s">
        <v>71</v>
      </c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1" t="e">
        <f>IF(SUM(E58,G58,I58,K58,M58,O58,Q58,S58,U58,W58,Y58,AA58,AC58,AE58,AG58,AI58,AK58,AM58,AO58,AQ58,#REF!)&gt;0,"Sí","No")</f>
        <v>#REF!</v>
      </c>
      <c r="CV58" s="92" t="e">
        <f>IF($CU58="Sí",_xlfn.TEXTJOIN(", ",TRUE,IF(N(E58)&gt;0,E$4,""),IF(N(G58)&gt;0,G$4,""),IF(N(I58)&gt;0,I$4,""),IF(N(K58)&gt;0,K$4,""),IF(N(M58)&gt;0,M$4,""),IF(N(O58)&gt;0,O$4,""),IF(N(Q58)&gt;0,Q$4,""),IF(N(S58)&gt;0,S$4,""),IF(N(U58)&gt;0,U$4,""),IF(N(W58)&gt;0,W$4,""),IF(N(Y58)&gt;0,Y$4,""),IF(N(AA58)&gt;0,AA$4,""),IF(N(AC58)&gt;0,AC$4,""),IF(N(AE58)&gt;0,AE$4,""),IF(N(AG58)&gt;0,AG$4,""),IF(N(AI58)&gt;0,AI$4,""),IF(N(AK58)&gt;0,AK$4,""),IF(N(AM58)&gt;0,AM$4,""),IF(N(AO58)&gt;0,AO$4,""),IF(N(AQ58)&gt;0,AQ$4,""),IF(N(#REF!)&gt;0,#REF!,"")),"")</f>
        <v>#REF!</v>
      </c>
      <c r="CW58" s="11"/>
      <c r="CX58" s="11" t="e">
        <f t="shared" si="4"/>
        <v>#REF!</v>
      </c>
      <c r="CY58" s="12"/>
      <c r="CZ58" s="68"/>
    </row>
    <row r="59" spans="1:104" ht="18" customHeight="1" x14ac:dyDescent="0.3">
      <c r="A59" s="150"/>
      <c r="B59" s="78" t="s">
        <v>56</v>
      </c>
      <c r="C59" s="12">
        <v>46077</v>
      </c>
      <c r="D59" s="20">
        <f t="shared" si="1"/>
        <v>0</v>
      </c>
      <c r="E59" s="20" t="s">
        <v>71</v>
      </c>
      <c r="F59" s="20"/>
      <c r="G59" s="20" t="s">
        <v>71</v>
      </c>
      <c r="H59" s="20"/>
      <c r="I59" s="20" t="s">
        <v>71</v>
      </c>
      <c r="J59" s="20"/>
      <c r="K59" s="20" t="s">
        <v>71</v>
      </c>
      <c r="L59" s="20"/>
      <c r="M59" s="19" t="s">
        <v>71</v>
      </c>
      <c r="N59" s="19"/>
      <c r="O59" s="19" t="s">
        <v>71</v>
      </c>
      <c r="P59" s="19"/>
      <c r="Q59" s="19" t="s">
        <v>71</v>
      </c>
      <c r="R59" s="19"/>
      <c r="S59" s="19" t="s">
        <v>71</v>
      </c>
      <c r="T59" s="19"/>
      <c r="U59" s="19" t="s">
        <v>71</v>
      </c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 t="s">
        <v>71</v>
      </c>
      <c r="AH59" s="19"/>
      <c r="AI59" s="19" t="s">
        <v>71</v>
      </c>
      <c r="AJ59" s="19"/>
      <c r="AK59" s="19" t="s">
        <v>71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39"/>
      <c r="BP59" s="39"/>
      <c r="BQ59" s="39"/>
      <c r="BR59" s="39"/>
      <c r="BS59" s="39"/>
      <c r="BT59" s="39"/>
      <c r="BU59" s="39"/>
      <c r="BV59" s="39"/>
      <c r="BW59" s="19"/>
      <c r="BX59" s="19"/>
      <c r="BY59" s="19"/>
      <c r="BZ59" s="19"/>
      <c r="CA59" s="19"/>
      <c r="CB59" s="19"/>
      <c r="CC59" s="19"/>
      <c r="CD59" s="19"/>
      <c r="CE59" s="19" t="s">
        <v>71</v>
      </c>
      <c r="CF59" s="19"/>
      <c r="CG59" s="19" t="s">
        <v>71</v>
      </c>
      <c r="CH59" s="19"/>
      <c r="CI59" s="19" t="s">
        <v>71</v>
      </c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1" t="e">
        <f>IF(SUM(E59,G59,I59,K59,M59,O59,Q59,S59,U59,W59,Y59,AA59,AC59,AE59,AG59,AI59,AK59,AM59,AO59,AQ59,#REF!)&gt;0,"Sí","No")</f>
        <v>#REF!</v>
      </c>
      <c r="CV59" s="92" t="e">
        <f>IF($CU59="Sí",_xlfn.TEXTJOIN(", ",TRUE,IF(N(E59)&gt;0,E$4,""),IF(N(G59)&gt;0,G$4,""),IF(N(I59)&gt;0,I$4,""),IF(N(K59)&gt;0,K$4,""),IF(N(M59)&gt;0,M$4,""),IF(N(O59)&gt;0,O$4,""),IF(N(Q59)&gt;0,Q$4,""),IF(N(S59)&gt;0,S$4,""),IF(N(U59)&gt;0,U$4,""),IF(N(W59)&gt;0,W$4,""),IF(N(Y59)&gt;0,Y$4,""),IF(N(AA59)&gt;0,AA$4,""),IF(N(AC59)&gt;0,AC$4,""),IF(N(AE59)&gt;0,AE$4,""),IF(N(AG59)&gt;0,AG$4,""),IF(N(AI59)&gt;0,AI$4,""),IF(N(AK59)&gt;0,AK$4,""),IF(N(AM59)&gt;0,AM$4,""),IF(N(AO59)&gt;0,AO$4,""),IF(N(AQ59)&gt;0,AQ$4,""),IF(N(#REF!)&gt;0,#REF!,"")),"")</f>
        <v>#REF!</v>
      </c>
      <c r="CW59" s="11"/>
      <c r="CX59" s="11" t="e">
        <f t="shared" si="4"/>
        <v>#REF!</v>
      </c>
      <c r="CY59" s="12"/>
      <c r="CZ59" s="68"/>
    </row>
    <row r="60" spans="1:104" ht="18" customHeight="1" x14ac:dyDescent="0.3">
      <c r="A60" s="150"/>
      <c r="B60" s="78" t="s">
        <v>57</v>
      </c>
      <c r="C60" s="12">
        <v>46078</v>
      </c>
      <c r="D60" s="20">
        <f t="shared" si="1"/>
        <v>0</v>
      </c>
      <c r="E60" s="20" t="s">
        <v>71</v>
      </c>
      <c r="F60" s="20"/>
      <c r="G60" s="20" t="s">
        <v>71</v>
      </c>
      <c r="H60" s="20"/>
      <c r="I60" s="20" t="s">
        <v>71</v>
      </c>
      <c r="J60" s="20"/>
      <c r="K60" s="20" t="s">
        <v>71</v>
      </c>
      <c r="L60" s="20"/>
      <c r="M60" s="19" t="s">
        <v>71</v>
      </c>
      <c r="N60" s="19"/>
      <c r="O60" s="19" t="s">
        <v>71</v>
      </c>
      <c r="P60" s="19"/>
      <c r="Q60" s="19" t="s">
        <v>71</v>
      </c>
      <c r="R60" s="19"/>
      <c r="S60" s="19" t="s">
        <v>71</v>
      </c>
      <c r="T60" s="19"/>
      <c r="U60" s="19" t="s">
        <v>71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 t="s">
        <v>71</v>
      </c>
      <c r="AH60" s="19"/>
      <c r="AI60" s="19" t="s">
        <v>71</v>
      </c>
      <c r="AJ60" s="19"/>
      <c r="AK60" s="19" t="s">
        <v>71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39"/>
      <c r="BP60" s="39"/>
      <c r="BQ60" s="39"/>
      <c r="BR60" s="39"/>
      <c r="BS60" s="39"/>
      <c r="BT60" s="39"/>
      <c r="BU60" s="39"/>
      <c r="BV60" s="39"/>
      <c r="BW60" s="19"/>
      <c r="BX60" s="19"/>
      <c r="BY60" s="19"/>
      <c r="BZ60" s="19"/>
      <c r="CA60" s="19"/>
      <c r="CB60" s="19"/>
      <c r="CC60" s="19"/>
      <c r="CD60" s="19"/>
      <c r="CE60" s="19" t="s">
        <v>71</v>
      </c>
      <c r="CF60" s="19"/>
      <c r="CG60" s="19" t="s">
        <v>71</v>
      </c>
      <c r="CH60" s="19"/>
      <c r="CI60" s="19" t="s">
        <v>71</v>
      </c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1" t="e">
        <f>IF(SUM(E60,G60,I60,K60,M60,O60,Q60,S60,U60,W60,Y60,AA60,AC60,AE60,AG60,AI60,AK60,AM60,AO60,AQ60,#REF!)&gt;0,"Sí","No")</f>
        <v>#REF!</v>
      </c>
      <c r="CV60" s="92" t="e">
        <f>IF($CU60="Sí",_xlfn.TEXTJOIN(", ",TRUE,IF(N(E60)&gt;0,E$4,""),IF(N(G60)&gt;0,G$4,""),IF(N(I60)&gt;0,I$4,""),IF(N(K60)&gt;0,K$4,""),IF(N(M60)&gt;0,M$4,""),IF(N(O60)&gt;0,O$4,""),IF(N(Q60)&gt;0,Q$4,""),IF(N(S60)&gt;0,S$4,""),IF(N(U60)&gt;0,U$4,""),IF(N(W60)&gt;0,W$4,""),IF(N(Y60)&gt;0,Y$4,""),IF(N(AA60)&gt;0,AA$4,""),IF(N(AC60)&gt;0,AC$4,""),IF(N(AE60)&gt;0,AE$4,""),IF(N(AG60)&gt;0,AG$4,""),IF(N(AI60)&gt;0,AI$4,""),IF(N(AK60)&gt;0,AK$4,""),IF(N(AM60)&gt;0,AM$4,""),IF(N(AO60)&gt;0,AO$4,""),IF(N(AQ60)&gt;0,AQ$4,""),IF(N(#REF!)&gt;0,#REF!,"")),"")</f>
        <v>#REF!</v>
      </c>
      <c r="CW60" s="11"/>
      <c r="CX60" s="11" t="e">
        <f t="shared" si="4"/>
        <v>#REF!</v>
      </c>
      <c r="CY60" s="12"/>
      <c r="CZ60" s="68"/>
    </row>
    <row r="61" spans="1:104" ht="18" customHeight="1" x14ac:dyDescent="0.3">
      <c r="A61" s="150"/>
      <c r="B61" s="78" t="s">
        <v>46</v>
      </c>
      <c r="C61" s="12">
        <v>46079</v>
      </c>
      <c r="D61" s="20">
        <f t="shared" si="1"/>
        <v>0</v>
      </c>
      <c r="E61" s="20" t="s">
        <v>71</v>
      </c>
      <c r="F61" s="20"/>
      <c r="G61" s="20" t="s">
        <v>71</v>
      </c>
      <c r="H61" s="20"/>
      <c r="I61" s="20" t="s">
        <v>71</v>
      </c>
      <c r="J61" s="20"/>
      <c r="K61" s="20" t="s">
        <v>71</v>
      </c>
      <c r="L61" s="20"/>
      <c r="M61" s="19" t="s">
        <v>71</v>
      </c>
      <c r="N61" s="19"/>
      <c r="O61" s="19" t="s">
        <v>71</v>
      </c>
      <c r="P61" s="19"/>
      <c r="Q61" s="19" t="s">
        <v>71</v>
      </c>
      <c r="R61" s="19"/>
      <c r="S61" s="19" t="s">
        <v>71</v>
      </c>
      <c r="T61" s="19"/>
      <c r="U61" s="19" t="s">
        <v>71</v>
      </c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 t="s">
        <v>71</v>
      </c>
      <c r="AH61" s="19"/>
      <c r="AI61" s="19" t="s">
        <v>71</v>
      </c>
      <c r="AJ61" s="19"/>
      <c r="AK61" s="19" t="s">
        <v>71</v>
      </c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39"/>
      <c r="BP61" s="39"/>
      <c r="BQ61" s="39"/>
      <c r="BR61" s="39"/>
      <c r="BS61" s="39"/>
      <c r="BT61" s="39"/>
      <c r="BU61" s="39"/>
      <c r="BV61" s="3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1" t="e">
        <f>IF(SUM(E61,G61,I61,K61,M61,O61,Q61,S61,U61,W61,Y61,AA61,AC61,AE61,AG61,AI61,AK61,AM61,AO61,AQ61,#REF!)&gt;0,"Sí","No")</f>
        <v>#REF!</v>
      </c>
      <c r="CV61" s="92" t="e">
        <f>IF($CU61="Sí",_xlfn.TEXTJOIN(", ",TRUE,IF(N(E61)&gt;0,E$4,""),IF(N(G61)&gt;0,G$4,""),IF(N(I61)&gt;0,I$4,""),IF(N(K61)&gt;0,K$4,""),IF(N(M61)&gt;0,M$4,""),IF(N(O61)&gt;0,O$4,""),IF(N(Q61)&gt;0,Q$4,""),IF(N(S61)&gt;0,S$4,""),IF(N(U61)&gt;0,U$4,""),IF(N(W61)&gt;0,W$4,""),IF(N(Y61)&gt;0,Y$4,""),IF(N(AA61)&gt;0,AA$4,""),IF(N(AC61)&gt;0,AC$4,""),IF(N(AE61)&gt;0,AE$4,""),IF(N(AG61)&gt;0,AG$4,""),IF(N(AI61)&gt;0,AI$4,""),IF(N(AK61)&gt;0,AK$4,""),IF(N(AM61)&gt;0,AM$4,""),IF(N(AO61)&gt;0,AO$4,""),IF(N(AQ61)&gt;0,AQ$4,""),IF(N(#REF!)&gt;0,#REF!,"")),"")</f>
        <v>#REF!</v>
      </c>
      <c r="CW61" s="11"/>
      <c r="CX61" s="11" t="e">
        <f t="shared" si="4"/>
        <v>#REF!</v>
      </c>
      <c r="CY61" s="12"/>
      <c r="CZ61" s="68"/>
    </row>
    <row r="62" spans="1:104" ht="18" customHeight="1" x14ac:dyDescent="0.3">
      <c r="A62" s="150"/>
      <c r="B62" s="78" t="s">
        <v>49</v>
      </c>
      <c r="C62" s="12">
        <v>46080</v>
      </c>
      <c r="D62" s="20">
        <f t="shared" si="1"/>
        <v>0</v>
      </c>
      <c r="E62" s="20" t="s">
        <v>71</v>
      </c>
      <c r="F62" s="20"/>
      <c r="G62" s="20" t="s">
        <v>71</v>
      </c>
      <c r="H62" s="20"/>
      <c r="I62" s="20" t="s">
        <v>71</v>
      </c>
      <c r="J62" s="20"/>
      <c r="K62" s="20" t="s">
        <v>71</v>
      </c>
      <c r="L62" s="20"/>
      <c r="M62" s="19" t="s">
        <v>71</v>
      </c>
      <c r="N62" s="19"/>
      <c r="O62" s="19" t="s">
        <v>71</v>
      </c>
      <c r="P62" s="19"/>
      <c r="Q62" s="19" t="s">
        <v>71</v>
      </c>
      <c r="R62" s="19"/>
      <c r="S62" s="19" t="s">
        <v>71</v>
      </c>
      <c r="T62" s="19"/>
      <c r="U62" s="19" t="s">
        <v>71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 t="s">
        <v>71</v>
      </c>
      <c r="AH62" s="19"/>
      <c r="AI62" s="19" t="s">
        <v>71</v>
      </c>
      <c r="AJ62" s="19"/>
      <c r="AK62" s="19" t="s">
        <v>71</v>
      </c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39"/>
      <c r="BP62" s="39"/>
      <c r="BQ62" s="39"/>
      <c r="BR62" s="39"/>
      <c r="BS62" s="39"/>
      <c r="BT62" s="39"/>
      <c r="BU62" s="39"/>
      <c r="BV62" s="3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1" t="e">
        <f>IF(SUM(E62,G62,I62,K62,M62,O62,Q62,S62,U62,W62,Y62,AA62,AC62,AE62,AG62,AI62,AK62,AM62,AO62,AQ62,#REF!)&gt;0,"Sí","No")</f>
        <v>#REF!</v>
      </c>
      <c r="CV62" s="92" t="e">
        <f>IF($CU62="Sí",_xlfn.TEXTJOIN(", ",TRUE,IF(N(E62)&gt;0,E$4,""),IF(N(G62)&gt;0,G$4,""),IF(N(I62)&gt;0,I$4,""),IF(N(K62)&gt;0,K$4,""),IF(N(M62)&gt;0,M$4,""),IF(N(O62)&gt;0,O$4,""),IF(N(Q62)&gt;0,Q$4,""),IF(N(S62)&gt;0,S$4,""),IF(N(U62)&gt;0,U$4,""),IF(N(W62)&gt;0,W$4,""),IF(N(Y62)&gt;0,Y$4,""),IF(N(AA62)&gt;0,AA$4,""),IF(N(AC62)&gt;0,AC$4,""),IF(N(AE62)&gt;0,AE$4,""),IF(N(AG62)&gt;0,AG$4,""),IF(N(AI62)&gt;0,AI$4,""),IF(N(AK62)&gt;0,AK$4,""),IF(N(AM62)&gt;0,AM$4,""),IF(N(AO62)&gt;0,AO$4,""),IF(N(AQ62)&gt;0,AQ$4,""),IF(N(#REF!)&gt;0,#REF!,"")),"")</f>
        <v>#REF!</v>
      </c>
      <c r="CW62" s="11"/>
      <c r="CX62" s="11" t="e">
        <f t="shared" si="4"/>
        <v>#REF!</v>
      </c>
      <c r="CY62" s="12"/>
      <c r="CZ62" s="68"/>
    </row>
    <row r="63" spans="1:104" ht="18" customHeight="1" thickBot="1" x14ac:dyDescent="0.35">
      <c r="A63" s="151"/>
      <c r="B63" s="53" t="s">
        <v>50</v>
      </c>
      <c r="C63" s="30">
        <v>46081</v>
      </c>
      <c r="D63" s="31">
        <f t="shared" si="1"/>
        <v>0</v>
      </c>
      <c r="E63" s="31" t="s">
        <v>71</v>
      </c>
      <c r="F63" s="31"/>
      <c r="G63" s="31" t="s">
        <v>71</v>
      </c>
      <c r="H63" s="31"/>
      <c r="I63" s="31" t="s">
        <v>71</v>
      </c>
      <c r="J63" s="31"/>
      <c r="K63" s="31" t="s">
        <v>71</v>
      </c>
      <c r="L63" s="31"/>
      <c r="M63" s="32" t="s">
        <v>71</v>
      </c>
      <c r="N63" s="32"/>
      <c r="O63" s="32" t="s">
        <v>71</v>
      </c>
      <c r="P63" s="32"/>
      <c r="Q63" s="32" t="s">
        <v>71</v>
      </c>
      <c r="R63" s="32"/>
      <c r="S63" s="32" t="s">
        <v>71</v>
      </c>
      <c r="T63" s="32"/>
      <c r="U63" s="32" t="s">
        <v>71</v>
      </c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 t="s">
        <v>71</v>
      </c>
      <c r="AH63" s="32"/>
      <c r="AI63" s="32" t="s">
        <v>71</v>
      </c>
      <c r="AJ63" s="32"/>
      <c r="AK63" s="32" t="s">
        <v>71</v>
      </c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40"/>
      <c r="BP63" s="40"/>
      <c r="BQ63" s="40"/>
      <c r="BR63" s="40"/>
      <c r="BS63" s="40"/>
      <c r="BT63" s="40"/>
      <c r="BU63" s="40"/>
      <c r="BV63" s="40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70" t="e">
        <f>IF(SUM(E63,G63,I63,K63,M63,O63,Q63,S63,U63,W63,Y63,AA63,AC63,AE63,AG63,AI63,AK63,AM63,AO63,AQ63,#REF!)&gt;0,"Sí","No")</f>
        <v>#REF!</v>
      </c>
      <c r="CV63" s="108" t="e">
        <f>IF($CU63="Sí",_xlfn.TEXTJOIN(", ",TRUE,IF(N(E63)&gt;0,E$4,""),IF(N(G63)&gt;0,G$4,""),IF(N(I63)&gt;0,I$4,""),IF(N(K63)&gt;0,K$4,""),IF(N(M63)&gt;0,M$4,""),IF(N(O63)&gt;0,O$4,""),IF(N(Q63)&gt;0,Q$4,""),IF(N(S63)&gt;0,S$4,""),IF(N(U63)&gt;0,U$4,""),IF(N(W63)&gt;0,W$4,""),IF(N(Y63)&gt;0,Y$4,""),IF(N(AA63)&gt;0,AA$4,""),IF(N(AC63)&gt;0,AC$4,""),IF(N(AE63)&gt;0,AE$4,""),IF(N(AG63)&gt;0,AG$4,""),IF(N(AI63)&gt;0,AI$4,""),IF(N(AK63)&gt;0,AK$4,""),IF(N(AM63)&gt;0,AM$4,""),IF(N(AO63)&gt;0,AO$4,""),IF(N(AQ63)&gt;0,AQ$4,""),IF(N(#REF!)&gt;0,#REF!,"")),"")</f>
        <v>#REF!</v>
      </c>
      <c r="CW63" s="70"/>
      <c r="CX63" s="70" t="e">
        <f t="shared" si="4"/>
        <v>#REF!</v>
      </c>
      <c r="CY63" s="30"/>
      <c r="CZ63" s="73"/>
    </row>
    <row r="64" spans="1:104" ht="18" customHeight="1" x14ac:dyDescent="0.3">
      <c r="A64" s="148" t="s">
        <v>55</v>
      </c>
      <c r="B64" s="48" t="s">
        <v>52</v>
      </c>
      <c r="C64" s="15">
        <v>46082</v>
      </c>
      <c r="D64" s="27">
        <f t="shared" si="1"/>
        <v>0</v>
      </c>
      <c r="E64" s="27" t="s">
        <v>71</v>
      </c>
      <c r="F64" s="27"/>
      <c r="G64" s="27" t="s">
        <v>71</v>
      </c>
      <c r="H64" s="27"/>
      <c r="I64" s="27" t="s">
        <v>71</v>
      </c>
      <c r="J64" s="27"/>
      <c r="K64" s="27" t="s">
        <v>71</v>
      </c>
      <c r="L64" s="27"/>
      <c r="M64" s="18" t="s">
        <v>71</v>
      </c>
      <c r="N64" s="18"/>
      <c r="O64" s="18" t="s">
        <v>71</v>
      </c>
      <c r="P64" s="18"/>
      <c r="Q64" s="18" t="s">
        <v>71</v>
      </c>
      <c r="R64" s="18"/>
      <c r="S64" s="18" t="s">
        <v>71</v>
      </c>
      <c r="T64" s="18"/>
      <c r="U64" s="18" t="s">
        <v>71</v>
      </c>
      <c r="V64" s="18"/>
      <c r="W64" s="18"/>
      <c r="X64" s="18"/>
      <c r="Y64" s="18"/>
      <c r="Z64" s="18"/>
      <c r="AA64" s="100"/>
      <c r="AB64" s="100"/>
      <c r="AC64" s="100"/>
      <c r="AD64" s="100"/>
      <c r="AE64" s="100"/>
      <c r="AF64" s="100"/>
      <c r="AG64" s="100" t="s">
        <v>71</v>
      </c>
      <c r="AH64" s="100"/>
      <c r="AI64" s="100" t="s">
        <v>71</v>
      </c>
      <c r="AJ64" s="100"/>
      <c r="AK64" s="100" t="s">
        <v>71</v>
      </c>
      <c r="AL64" s="100"/>
      <c r="AM64" s="100"/>
      <c r="AN64" s="100"/>
      <c r="AO64" s="100"/>
      <c r="AP64" s="100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38"/>
      <c r="BP64" s="38"/>
      <c r="BQ64" s="38"/>
      <c r="BR64" s="38"/>
      <c r="BS64" s="38"/>
      <c r="BT64" s="38"/>
      <c r="BU64" s="38"/>
      <c r="BV64" s="3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4" t="e">
        <f>IF(SUM(E64,G64,I64,K64,M64,O64,Q64,S64,U64,W64,Y64,AA64,AC64,AE64,AG64,AI64,AK64,AM64,AO64,AQ64,#REF!)&gt;0,"Sí","No")</f>
        <v>#REF!</v>
      </c>
      <c r="CV64" s="107" t="e">
        <f>IF($CU64="Sí",_xlfn.TEXTJOIN(", ",TRUE,IF(N(E64)&gt;0,E$4,""),IF(N(G64)&gt;0,G$4,""),IF(N(I64)&gt;0,I$4,""),IF(N(K64)&gt;0,K$4,""),IF(N(M64)&gt;0,M$4,""),IF(N(O64)&gt;0,O$4,""),IF(N(Q64)&gt;0,Q$4,""),IF(N(S64)&gt;0,S$4,""),IF(N(U64)&gt;0,U$4,""),IF(N(W64)&gt;0,W$4,""),IF(N(Y64)&gt;0,Y$4,""),IF(N(AA64)&gt;0,AA$4,""),IF(N(AC64)&gt;0,AC$4,""),IF(N(AE64)&gt;0,AE$4,""),IF(N(AG64)&gt;0,AG$4,""),IF(N(AI64)&gt;0,AI$4,""),IF(N(AK64)&gt;0,AK$4,""),IF(N(AM64)&gt;0,AM$4,""),IF(N(AO64)&gt;0,AO$4,""),IF(N(AQ64)&gt;0,AQ$4,""),IF(N(#REF!)&gt;0,#REF!,"")),"")</f>
        <v>#REF!</v>
      </c>
      <c r="CW64" s="14"/>
      <c r="CX64" s="14" t="e">
        <f t="shared" si="4"/>
        <v>#REF!</v>
      </c>
      <c r="CY64" s="15"/>
      <c r="CZ64" s="66"/>
    </row>
    <row r="65" spans="1:104" ht="31.2" customHeight="1" x14ac:dyDescent="0.3">
      <c r="A65" s="150"/>
      <c r="B65" s="78" t="s">
        <v>54</v>
      </c>
      <c r="C65" s="12">
        <v>46083</v>
      </c>
      <c r="D65" s="20">
        <f t="shared" si="1"/>
        <v>0</v>
      </c>
      <c r="E65" s="20" t="s">
        <v>71</v>
      </c>
      <c r="F65" s="20"/>
      <c r="G65" s="20" t="s">
        <v>71</v>
      </c>
      <c r="H65" s="20"/>
      <c r="I65" s="20" t="s">
        <v>71</v>
      </c>
      <c r="J65" s="20"/>
      <c r="K65" s="20" t="s">
        <v>71</v>
      </c>
      <c r="L65" s="20"/>
      <c r="M65" s="19" t="s">
        <v>71</v>
      </c>
      <c r="N65" s="19"/>
      <c r="O65" s="19" t="s">
        <v>71</v>
      </c>
      <c r="P65" s="19"/>
      <c r="Q65" s="19" t="s">
        <v>71</v>
      </c>
      <c r="R65" s="19"/>
      <c r="S65" s="19" t="s">
        <v>71</v>
      </c>
      <c r="T65" s="19"/>
      <c r="U65" s="19" t="s">
        <v>71</v>
      </c>
      <c r="V65" s="19"/>
      <c r="W65" s="19"/>
      <c r="X65" s="19"/>
      <c r="Y65" s="19"/>
      <c r="Z65" s="49"/>
      <c r="AA65" s="84"/>
      <c r="AB65" s="84"/>
      <c r="AC65" s="84"/>
      <c r="AD65" s="84"/>
      <c r="AE65" s="84"/>
      <c r="AF65" s="84"/>
      <c r="AG65" s="84" t="s">
        <v>71</v>
      </c>
      <c r="AH65" s="84"/>
      <c r="AI65" s="84" t="s">
        <v>71</v>
      </c>
      <c r="AJ65" s="84"/>
      <c r="AK65" s="84" t="s">
        <v>71</v>
      </c>
      <c r="AL65" s="84"/>
      <c r="AM65" s="84"/>
      <c r="AN65" s="84"/>
      <c r="AO65" s="84"/>
      <c r="AP65" s="84"/>
      <c r="AQ65" s="50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39"/>
      <c r="BP65" s="39"/>
      <c r="BQ65" s="39"/>
      <c r="BR65" s="39"/>
      <c r="BS65" s="39"/>
      <c r="BT65" s="39"/>
      <c r="BU65" s="39"/>
      <c r="BV65" s="3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1" t="e">
        <f>IF(SUM(E65,G65,I65,K65,M65,O65,Q65,S65,U65,W65,Y65,AA65,AC65,AE65,AG65,AI65,AK65,AM65,AO65,AQ65,#REF!)&gt;0,"Sí","No")</f>
        <v>#REF!</v>
      </c>
      <c r="CV65" s="92" t="e">
        <f>IF($CU65="Sí",_xlfn.TEXTJOIN(", ",TRUE,IF(N(E65)&gt;0,E$4,""),IF(N(G65)&gt;0,G$4,""),IF(N(I65)&gt;0,I$4,""),IF(N(K65)&gt;0,K$4,""),IF(N(M65)&gt;0,M$4,""),IF(N(O65)&gt;0,O$4,""),IF(N(Q65)&gt;0,Q$4,""),IF(N(S65)&gt;0,S$4,""),IF(N(U65)&gt;0,U$4,""),IF(N(W65)&gt;0,W$4,""),IF(N(Y65)&gt;0,Y$4,""),IF(N(AA65)&gt;0,AA$4,""),IF(N(AC65)&gt;0,AC$4,""),IF(N(AE65)&gt;0,AE$4,""),IF(N(AG65)&gt;0,AG$4,""),IF(N(AI65)&gt;0,AI$4,""),IF(N(AK65)&gt;0,AK$4,""),IF(N(AM65)&gt;0,AM$4,""),IF(N(AO65)&gt;0,AO$4,""),IF(N(AQ65)&gt;0,AQ$4,""),IF(N(#REF!)&gt;0,#REF!,"")),"")</f>
        <v>#REF!</v>
      </c>
      <c r="CW65" s="11"/>
      <c r="CX65" s="11" t="e">
        <f t="shared" si="4"/>
        <v>#REF!</v>
      </c>
      <c r="CY65" s="12">
        <v>46082</v>
      </c>
      <c r="CZ65" s="68"/>
    </row>
    <row r="66" spans="1:104" ht="18" customHeight="1" x14ac:dyDescent="0.3">
      <c r="A66" s="150"/>
      <c r="B66" s="78" t="s">
        <v>56</v>
      </c>
      <c r="C66" s="12">
        <v>46084</v>
      </c>
      <c r="D66" s="20">
        <f t="shared" si="1"/>
        <v>0</v>
      </c>
      <c r="E66" s="20" t="s">
        <v>71</v>
      </c>
      <c r="F66" s="20"/>
      <c r="G66" s="20" t="s">
        <v>71</v>
      </c>
      <c r="H66" s="20"/>
      <c r="I66" s="20" t="s">
        <v>71</v>
      </c>
      <c r="J66" s="20"/>
      <c r="K66" s="20" t="s">
        <v>71</v>
      </c>
      <c r="L66" s="20"/>
      <c r="M66" s="19" t="s">
        <v>71</v>
      </c>
      <c r="N66" s="19"/>
      <c r="O66" s="19" t="s">
        <v>71</v>
      </c>
      <c r="P66" s="19"/>
      <c r="Q66" s="19" t="s">
        <v>71</v>
      </c>
      <c r="R66" s="19"/>
      <c r="S66" s="19" t="s">
        <v>71</v>
      </c>
      <c r="T66" s="19"/>
      <c r="U66" s="19" t="s">
        <v>71</v>
      </c>
      <c r="V66" s="19"/>
      <c r="W66" s="19"/>
      <c r="X66" s="19"/>
      <c r="Y66" s="19"/>
      <c r="Z66" s="19"/>
      <c r="AA66" s="26"/>
      <c r="AB66" s="26"/>
      <c r="AC66" s="26"/>
      <c r="AD66" s="26"/>
      <c r="AE66" s="26"/>
      <c r="AF66" s="26"/>
      <c r="AG66" s="26" t="s">
        <v>71</v>
      </c>
      <c r="AH66" s="26"/>
      <c r="AI66" s="26" t="s">
        <v>71</v>
      </c>
      <c r="AJ66" s="26"/>
      <c r="AK66" s="26" t="s">
        <v>71</v>
      </c>
      <c r="AL66" s="26"/>
      <c r="AM66" s="26"/>
      <c r="AN66" s="26"/>
      <c r="AO66" s="26"/>
      <c r="AP66" s="26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39"/>
      <c r="BP66" s="39"/>
      <c r="BQ66" s="39"/>
      <c r="BR66" s="39"/>
      <c r="BS66" s="39"/>
      <c r="BT66" s="39"/>
      <c r="BU66" s="39"/>
      <c r="BV66" s="3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1" t="e">
        <f>IF(SUM(E66,G66,I66,K66,M66,O66,Q66,S66,U66,W66,Y66,AA66,AC66,AE66,AG66,AI66,AK66,AM66,AO66,AQ66,#REF!)&gt;0,"Sí","No")</f>
        <v>#REF!</v>
      </c>
      <c r="CV66" s="92" t="e">
        <f>IF($CU66="Sí",_xlfn.TEXTJOIN(", ",TRUE,IF(N(E66)&gt;0,E$4,""),IF(N(G66)&gt;0,G$4,""),IF(N(I66)&gt;0,I$4,""),IF(N(K66)&gt;0,K$4,""),IF(N(M66)&gt;0,M$4,""),IF(N(O66)&gt;0,O$4,""),IF(N(Q66)&gt;0,Q$4,""),IF(N(S66)&gt;0,S$4,""),IF(N(U66)&gt;0,U$4,""),IF(N(W66)&gt;0,W$4,""),IF(N(Y66)&gt;0,Y$4,""),IF(N(AA66)&gt;0,AA$4,""),IF(N(AC66)&gt;0,AC$4,""),IF(N(AE66)&gt;0,AE$4,""),IF(N(AG66)&gt;0,AG$4,""),IF(N(AI66)&gt;0,AI$4,""),IF(N(AK66)&gt;0,AK$4,""),IF(N(AM66)&gt;0,AM$4,""),IF(N(AO66)&gt;0,AO$4,""),IF(N(AQ66)&gt;0,AQ$4,""),IF(N(#REF!)&gt;0,#REF!,"")),"")</f>
        <v>#REF!</v>
      </c>
      <c r="CW66" s="11"/>
      <c r="CX66" s="11" t="e">
        <f t="shared" si="4"/>
        <v>#REF!</v>
      </c>
      <c r="CY66" s="12">
        <v>46084</v>
      </c>
      <c r="CZ66" s="68"/>
    </row>
    <row r="67" spans="1:104" ht="18" customHeight="1" x14ac:dyDescent="0.3">
      <c r="A67" s="150"/>
      <c r="B67" s="78" t="s">
        <v>57</v>
      </c>
      <c r="C67" s="12">
        <v>46085</v>
      </c>
      <c r="D67" s="20">
        <f t="shared" si="1"/>
        <v>0</v>
      </c>
      <c r="E67" s="20" t="s">
        <v>71</v>
      </c>
      <c r="F67" s="20"/>
      <c r="G67" s="20" t="s">
        <v>71</v>
      </c>
      <c r="H67" s="20"/>
      <c r="I67" s="20" t="s">
        <v>71</v>
      </c>
      <c r="J67" s="20"/>
      <c r="K67" s="20" t="s">
        <v>71</v>
      </c>
      <c r="L67" s="20"/>
      <c r="M67" s="19" t="s">
        <v>71</v>
      </c>
      <c r="N67" s="19"/>
      <c r="O67" s="19" t="s">
        <v>71</v>
      </c>
      <c r="P67" s="19"/>
      <c r="Q67" s="19" t="s">
        <v>71</v>
      </c>
      <c r="R67" s="19"/>
      <c r="S67" s="19" t="s">
        <v>71</v>
      </c>
      <c r="T67" s="19"/>
      <c r="U67" s="19" t="s">
        <v>71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 t="s">
        <v>71</v>
      </c>
      <c r="AH67" s="19"/>
      <c r="AI67" s="19" t="s">
        <v>71</v>
      </c>
      <c r="AJ67" s="19"/>
      <c r="AK67" s="19" t="s">
        <v>71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39"/>
      <c r="BP67" s="39"/>
      <c r="BQ67" s="39"/>
      <c r="BR67" s="39"/>
      <c r="BS67" s="39"/>
      <c r="BT67" s="39"/>
      <c r="BU67" s="39"/>
      <c r="BV67" s="3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1" t="e">
        <f>IF(SUM(E67,G67,I67,K67,M67,O67,Q67,S67,U67,W67,Y67,AA67,AC67,AE67,AG67,AI67,AK67,AM67,AO67,AQ67,#REF!)&gt;0,"Sí","No")</f>
        <v>#REF!</v>
      </c>
      <c r="CV67" s="92" t="e">
        <f>IF($CU67="Sí",_xlfn.TEXTJOIN(", ",TRUE,IF(N(E67)&gt;0,E$4,""),IF(N(G67)&gt;0,G$4,""),IF(N(I67)&gt;0,I$4,""),IF(N(K67)&gt;0,K$4,""),IF(N(M67)&gt;0,M$4,""),IF(N(O67)&gt;0,O$4,""),IF(N(Q67)&gt;0,Q$4,""),IF(N(S67)&gt;0,S$4,""),IF(N(U67)&gt;0,U$4,""),IF(N(W67)&gt;0,W$4,""),IF(N(Y67)&gt;0,Y$4,""),IF(N(AA67)&gt;0,AA$4,""),IF(N(AC67)&gt;0,AC$4,""),IF(N(AE67)&gt;0,AE$4,""),IF(N(AG67)&gt;0,AG$4,""),IF(N(AI67)&gt;0,AI$4,""),IF(N(AK67)&gt;0,AK$4,""),IF(N(AM67)&gt;0,AM$4,""),IF(N(AO67)&gt;0,AO$4,""),IF(N(AQ67)&gt;0,AQ$4,""),IF(N(#REF!)&gt;0,#REF!,"")),"")</f>
        <v>#REF!</v>
      </c>
      <c r="CW67" s="11"/>
      <c r="CX67" s="11" t="e">
        <f t="shared" si="4"/>
        <v>#REF!</v>
      </c>
      <c r="CY67" s="12">
        <v>46094</v>
      </c>
      <c r="CZ67" s="68"/>
    </row>
    <row r="68" spans="1:104" ht="18" customHeight="1" x14ac:dyDescent="0.3">
      <c r="A68" s="150"/>
      <c r="B68" s="78" t="s">
        <v>46</v>
      </c>
      <c r="C68" s="12">
        <v>46086</v>
      </c>
      <c r="D68" s="20">
        <f t="shared" si="1"/>
        <v>0</v>
      </c>
      <c r="E68" s="20" t="s">
        <v>71</v>
      </c>
      <c r="F68" s="20"/>
      <c r="G68" s="20" t="s">
        <v>71</v>
      </c>
      <c r="H68" s="20"/>
      <c r="I68" s="20" t="s">
        <v>71</v>
      </c>
      <c r="J68" s="20"/>
      <c r="K68" s="20" t="s">
        <v>71</v>
      </c>
      <c r="L68" s="20"/>
      <c r="M68" s="19" t="s">
        <v>71</v>
      </c>
      <c r="N68" s="19"/>
      <c r="O68" s="19" t="s">
        <v>71</v>
      </c>
      <c r="P68" s="19"/>
      <c r="Q68" s="19" t="s">
        <v>71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 t="s">
        <v>71</v>
      </c>
      <c r="AH68" s="19"/>
      <c r="AI68" s="19" t="s">
        <v>71</v>
      </c>
      <c r="AJ68" s="19"/>
      <c r="AK68" s="19" t="s">
        <v>71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39"/>
      <c r="BP68" s="39"/>
      <c r="BQ68" s="39"/>
      <c r="BR68" s="39"/>
      <c r="BS68" s="39"/>
      <c r="BT68" s="39"/>
      <c r="BU68" s="39"/>
      <c r="BV68" s="3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1" t="e">
        <f>IF(SUM(E68,G68,I68,K68,M68,O68,Q68,S68,U68,W68,Y68,AA68,AC68,AE68,AG68,AI68,AK68,AM68,AO68,AQ68,#REF!)&gt;0,"Sí","No")</f>
        <v>#REF!</v>
      </c>
      <c r="CV68" s="92" t="e">
        <f>IF($CU68="Sí",_xlfn.TEXTJOIN(", ",TRUE,IF(N(E68)&gt;0,E$4,""),IF(N(G68)&gt;0,G$4,""),IF(N(I68)&gt;0,I$4,""),IF(N(K68)&gt;0,K$4,""),IF(N(M68)&gt;0,M$4,""),IF(N(O68)&gt;0,O$4,""),IF(N(Q68)&gt;0,Q$4,""),IF(N(S68)&gt;0,S$4,""),IF(N(U68)&gt;0,U$4,""),IF(N(W68)&gt;0,W$4,""),IF(N(Y68)&gt;0,Y$4,""),IF(N(AA68)&gt;0,AA$4,""),IF(N(AC68)&gt;0,AC$4,""),IF(N(AE68)&gt;0,AE$4,""),IF(N(AG68)&gt;0,AG$4,""),IF(N(AI68)&gt;0,AI$4,""),IF(N(AK68)&gt;0,AK$4,""),IF(N(AM68)&gt;0,AM$4,""),IF(N(AO68)&gt;0,AO$4,""),IF(N(AQ68)&gt;0,AQ$4,""),IF(N(#REF!)&gt;0,#REF!,"")),"")</f>
        <v>#REF!</v>
      </c>
      <c r="CW68" s="11"/>
      <c r="CX68" s="11" t="e">
        <f t="shared" si="4"/>
        <v>#REF!</v>
      </c>
      <c r="CY68" s="12"/>
      <c r="CZ68" s="68"/>
    </row>
    <row r="69" spans="1:104" ht="18" customHeight="1" x14ac:dyDescent="0.3">
      <c r="A69" s="150"/>
      <c r="B69" s="78" t="s">
        <v>49</v>
      </c>
      <c r="C69" s="12">
        <v>46087</v>
      </c>
      <c r="D69" s="20">
        <f t="shared" ref="D69:D132" si="6">+F69+H69+J69+L69+N69+P69+R69+Z69+AB69+AD69+AF69+AH69+AJ69+AL69+AN69+AP69</f>
        <v>0</v>
      </c>
      <c r="E69" s="20" t="s">
        <v>71</v>
      </c>
      <c r="F69" s="20"/>
      <c r="G69" s="20" t="s">
        <v>71</v>
      </c>
      <c r="H69" s="20"/>
      <c r="I69" s="20" t="s">
        <v>71</v>
      </c>
      <c r="J69" s="20"/>
      <c r="K69" s="20" t="s">
        <v>71</v>
      </c>
      <c r="L69" s="20"/>
      <c r="M69" s="19" t="s">
        <v>71</v>
      </c>
      <c r="N69" s="19"/>
      <c r="O69" s="19" t="s">
        <v>71</v>
      </c>
      <c r="P69" s="19"/>
      <c r="Q69" s="19" t="s">
        <v>71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 t="s">
        <v>71</v>
      </c>
      <c r="AH69" s="19"/>
      <c r="AI69" s="19" t="s">
        <v>71</v>
      </c>
      <c r="AJ69" s="19"/>
      <c r="AK69" s="19" t="s">
        <v>71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39"/>
      <c r="BP69" s="39"/>
      <c r="BQ69" s="39"/>
      <c r="BR69" s="39"/>
      <c r="BS69" s="39"/>
      <c r="BT69" s="39"/>
      <c r="BU69" s="39"/>
      <c r="BV69" s="3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1" t="e">
        <f>IF(SUM(E69,G69,I69,K69,M69,O69,Q69,S69,U69,W69,Y69,AA69,AC69,AE69,AG69,AI69,AK69,AM69,AO69,AQ69,#REF!)&gt;0,"Sí","No")</f>
        <v>#REF!</v>
      </c>
      <c r="CV69" s="92" t="e">
        <f>IF($CU69="Sí",_xlfn.TEXTJOIN(", ",TRUE,IF(N(E69)&gt;0,E$4,""),IF(N(G69)&gt;0,G$4,""),IF(N(I69)&gt;0,I$4,""),IF(N(K69)&gt;0,K$4,""),IF(N(M69)&gt;0,M$4,""),IF(N(O69)&gt;0,O$4,""),IF(N(Q69)&gt;0,Q$4,""),IF(N(S69)&gt;0,S$4,""),IF(N(U69)&gt;0,U$4,""),IF(N(W69)&gt;0,W$4,""),IF(N(Y69)&gt;0,Y$4,""),IF(N(AA69)&gt;0,AA$4,""),IF(N(AC69)&gt;0,AC$4,""),IF(N(AE69)&gt;0,AE$4,""),IF(N(AG69)&gt;0,AG$4,""),IF(N(AI69)&gt;0,AI$4,""),IF(N(AK69)&gt;0,AK$4,""),IF(N(AM69)&gt;0,AM$4,""),IF(N(AO69)&gt;0,AO$4,""),IF(N(AQ69)&gt;0,AQ$4,""),IF(N(#REF!)&gt;0,#REF!,"")),"")</f>
        <v>#REF!</v>
      </c>
      <c r="CW69" s="11"/>
      <c r="CX69" s="11" t="e">
        <f t="shared" si="4"/>
        <v>#REF!</v>
      </c>
      <c r="CY69" s="12"/>
      <c r="CZ69" s="68"/>
    </row>
    <row r="70" spans="1:104" ht="18" customHeight="1" x14ac:dyDescent="0.3">
      <c r="A70" s="150"/>
      <c r="B70" s="78" t="s">
        <v>50</v>
      </c>
      <c r="C70" s="12">
        <v>46088</v>
      </c>
      <c r="D70" s="20">
        <f t="shared" si="6"/>
        <v>0</v>
      </c>
      <c r="E70" s="20" t="s">
        <v>71</v>
      </c>
      <c r="F70" s="20"/>
      <c r="G70" s="20" t="s">
        <v>71</v>
      </c>
      <c r="H70" s="20"/>
      <c r="I70" s="20" t="s">
        <v>71</v>
      </c>
      <c r="J70" s="20"/>
      <c r="K70" s="20" t="s">
        <v>71</v>
      </c>
      <c r="L70" s="20"/>
      <c r="M70" s="19" t="s">
        <v>71</v>
      </c>
      <c r="N70" s="19"/>
      <c r="O70" s="19" t="s">
        <v>71</v>
      </c>
      <c r="P70" s="19"/>
      <c r="Q70" s="19" t="s">
        <v>71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 t="s">
        <v>71</v>
      </c>
      <c r="AH70" s="19"/>
      <c r="AI70" s="19" t="s">
        <v>71</v>
      </c>
      <c r="AJ70" s="19"/>
      <c r="AK70" s="19" t="s">
        <v>71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39"/>
      <c r="BP70" s="39"/>
      <c r="BQ70" s="39"/>
      <c r="BR70" s="39"/>
      <c r="BS70" s="39"/>
      <c r="BT70" s="39"/>
      <c r="BU70" s="39"/>
      <c r="BV70" s="3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1" t="e">
        <f>IF(SUM(E70,G70,I70,K70,M70,O70,Q70,S70,U70,W70,Y70,AA70,AC70,AE70,AG70,AI70,AK70,AM70,AO70,AQ70,#REF!)&gt;0,"Sí","No")</f>
        <v>#REF!</v>
      </c>
      <c r="CV70" s="92" t="e">
        <f>IF($CU70="Sí",_xlfn.TEXTJOIN(", ",TRUE,IF(N(E70)&gt;0,E$4,""),IF(N(G70)&gt;0,G$4,""),IF(N(I70)&gt;0,I$4,""),IF(N(K70)&gt;0,K$4,""),IF(N(M70)&gt;0,M$4,""),IF(N(O70)&gt;0,O$4,""),IF(N(Q70)&gt;0,Q$4,""),IF(N(S70)&gt;0,S$4,""),IF(N(U70)&gt;0,U$4,""),IF(N(W70)&gt;0,W$4,""),IF(N(Y70)&gt;0,Y$4,""),IF(N(AA70)&gt;0,AA$4,""),IF(N(AC70)&gt;0,AC$4,""),IF(N(AE70)&gt;0,AE$4,""),IF(N(AG70)&gt;0,AG$4,""),IF(N(AI70)&gt;0,AI$4,""),IF(N(AK70)&gt;0,AK$4,""),IF(N(AM70)&gt;0,AM$4,""),IF(N(AO70)&gt;0,AO$4,""),IF(N(AQ70)&gt;0,AQ$4,""),IF(N(#REF!)&gt;0,#REF!,"")),"")</f>
        <v>#REF!</v>
      </c>
      <c r="CW70" s="11"/>
      <c r="CX70" s="11" t="e">
        <f t="shared" ref="CX70:CX133" si="7">IF($CU70="No","No aplica",IF($CW70="Sí","Ejecutado","Programado pendiente"))</f>
        <v>#REF!</v>
      </c>
      <c r="CY70" s="12">
        <f>C70</f>
        <v>46088</v>
      </c>
      <c r="CZ70" s="68"/>
    </row>
    <row r="71" spans="1:104" ht="30.6" customHeight="1" x14ac:dyDescent="0.3">
      <c r="A71" s="150"/>
      <c r="B71" s="78" t="s">
        <v>52</v>
      </c>
      <c r="C71" s="12">
        <v>46089</v>
      </c>
      <c r="D71" s="20">
        <f t="shared" si="6"/>
        <v>0</v>
      </c>
      <c r="E71" s="20" t="s">
        <v>71</v>
      </c>
      <c r="F71" s="20"/>
      <c r="G71" s="20" t="s">
        <v>71</v>
      </c>
      <c r="H71" s="20"/>
      <c r="I71" s="20" t="s">
        <v>71</v>
      </c>
      <c r="J71" s="20"/>
      <c r="K71" s="20" t="s">
        <v>71</v>
      </c>
      <c r="L71" s="20"/>
      <c r="M71" s="19" t="s">
        <v>71</v>
      </c>
      <c r="N71" s="19"/>
      <c r="O71" s="19" t="s">
        <v>71</v>
      </c>
      <c r="P71" s="19"/>
      <c r="Q71" s="19" t="s">
        <v>71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 t="s">
        <v>71</v>
      </c>
      <c r="AH71" s="19"/>
      <c r="AI71" s="19" t="s">
        <v>71</v>
      </c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39"/>
      <c r="BP71" s="39"/>
      <c r="BQ71" s="39"/>
      <c r="BR71" s="39"/>
      <c r="BS71" s="39"/>
      <c r="BT71" s="39"/>
      <c r="BU71" s="39"/>
      <c r="BV71" s="3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1" t="e">
        <f>IF(SUM(E71,G71,I71,K71,M71,O71,Q71,S71,U71,W71,Y71,AA71,AC71,AE71,AG71,AI71,AK71,AM71,AO71,AQ71,#REF!)&gt;0,"Sí","No")</f>
        <v>#REF!</v>
      </c>
      <c r="CV71" s="92" t="e">
        <f>IF($CU71="Sí",_xlfn.TEXTJOIN(", ",TRUE,IF(N(E71)&gt;0,E$4,""),IF(N(G71)&gt;0,G$4,""),IF(N(I71)&gt;0,I$4,""),IF(N(K71)&gt;0,K$4,""),IF(N(M71)&gt;0,M$4,""),IF(N(O71)&gt;0,O$4,""),IF(N(Q71)&gt;0,Q$4,""),IF(N(S71)&gt;0,S$4,""),IF(N(U71)&gt;0,U$4,""),IF(N(W71)&gt;0,W$4,""),IF(N(Y71)&gt;0,Y$4,""),IF(N(AA71)&gt;0,AA$4,""),IF(N(AC71)&gt;0,AC$4,""),IF(N(AE71)&gt;0,AE$4,""),IF(N(AG71)&gt;0,AG$4,""),IF(N(AI71)&gt;0,AI$4,""),IF(N(AK71)&gt;0,AK$4,""),IF(N(AM71)&gt;0,AM$4,""),IF(N(AO71)&gt;0,AO$4,""),IF(N(AQ71)&gt;0,AQ$4,""),IF(N(#REF!)&gt;0,#REF!,"")),"")</f>
        <v>#REF!</v>
      </c>
      <c r="CW71" s="11"/>
      <c r="CX71" s="11" t="e">
        <f t="shared" si="7"/>
        <v>#REF!</v>
      </c>
      <c r="CY71" s="12">
        <v>46105</v>
      </c>
      <c r="CZ71" s="68"/>
    </row>
    <row r="72" spans="1:104" ht="18" customHeight="1" x14ac:dyDescent="0.3">
      <c r="A72" s="150"/>
      <c r="B72" s="78" t="s">
        <v>54</v>
      </c>
      <c r="C72" s="12">
        <v>46090</v>
      </c>
      <c r="D72" s="20">
        <f t="shared" si="6"/>
        <v>0</v>
      </c>
      <c r="E72" s="20" t="s">
        <v>71</v>
      </c>
      <c r="F72" s="20"/>
      <c r="G72" s="20" t="s">
        <v>71</v>
      </c>
      <c r="H72" s="20"/>
      <c r="I72" s="20" t="s">
        <v>71</v>
      </c>
      <c r="J72" s="20"/>
      <c r="K72" s="20" t="s">
        <v>71</v>
      </c>
      <c r="L72" s="20"/>
      <c r="M72" s="19" t="s">
        <v>71</v>
      </c>
      <c r="N72" s="19"/>
      <c r="O72" s="19" t="s">
        <v>71</v>
      </c>
      <c r="P72" s="19"/>
      <c r="Q72" s="19" t="s">
        <v>71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 t="s">
        <v>71</v>
      </c>
      <c r="AH72" s="19"/>
      <c r="AI72" s="19" t="s">
        <v>71</v>
      </c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39"/>
      <c r="BP72" s="39"/>
      <c r="BQ72" s="39"/>
      <c r="BR72" s="39"/>
      <c r="BS72" s="39"/>
      <c r="BT72" s="39"/>
      <c r="BU72" s="39"/>
      <c r="BV72" s="3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1" t="e">
        <f>IF(SUM(E72,G72,I72,K72,M72,O72,Q72,S72,U72,W72,Y72,AA72,AC72,AE72,AG72,AI72,AK72,AM72,AO72,AQ72,#REF!)&gt;0,"Sí","No")</f>
        <v>#REF!</v>
      </c>
      <c r="CV72" s="92" t="e">
        <f>IF($CU72="Sí",_xlfn.TEXTJOIN(", ",TRUE,IF(N(E72)&gt;0,E$4,""),IF(N(G72)&gt;0,G$4,""),IF(N(I72)&gt;0,I$4,""),IF(N(K72)&gt;0,K$4,""),IF(N(M72)&gt;0,M$4,""),IF(N(O72)&gt;0,O$4,""),IF(N(Q72)&gt;0,Q$4,""),IF(N(S72)&gt;0,S$4,""),IF(N(U72)&gt;0,U$4,""),IF(N(W72)&gt;0,W$4,""),IF(N(Y72)&gt;0,Y$4,""),IF(N(AA72)&gt;0,AA$4,""),IF(N(AC72)&gt;0,AC$4,""),IF(N(AE72)&gt;0,AE$4,""),IF(N(AG72)&gt;0,AG$4,""),IF(N(AI72)&gt;0,AI$4,""),IF(N(AK72)&gt;0,AK$4,""),IF(N(AM72)&gt;0,AM$4,""),IF(N(AO72)&gt;0,AO$4,""),IF(N(AQ72)&gt;0,AQ$4,""),IF(N(#REF!)&gt;0,#REF!,"")),"")</f>
        <v>#REF!</v>
      </c>
      <c r="CW72" s="11"/>
      <c r="CX72" s="11" t="e">
        <f t="shared" si="7"/>
        <v>#REF!</v>
      </c>
      <c r="CY72" s="12"/>
      <c r="CZ72" s="68"/>
    </row>
    <row r="73" spans="1:104" ht="30" customHeight="1" x14ac:dyDescent="0.3">
      <c r="A73" s="150"/>
      <c r="B73" s="78" t="s">
        <v>56</v>
      </c>
      <c r="C73" s="12">
        <v>46091</v>
      </c>
      <c r="D73" s="20">
        <f t="shared" si="6"/>
        <v>0</v>
      </c>
      <c r="E73" s="20"/>
      <c r="F73" s="20"/>
      <c r="G73" s="20"/>
      <c r="H73" s="20"/>
      <c r="I73" s="20"/>
      <c r="J73" s="20"/>
      <c r="K73" s="20"/>
      <c r="L73" s="20"/>
      <c r="M73" s="19" t="s">
        <v>71</v>
      </c>
      <c r="N73" s="19"/>
      <c r="O73" s="19" t="s">
        <v>71</v>
      </c>
      <c r="P73" s="19"/>
      <c r="Q73" s="19" t="s">
        <v>71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 t="s">
        <v>71</v>
      </c>
      <c r="AH73" s="19"/>
      <c r="AI73" s="19" t="s">
        <v>71</v>
      </c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39"/>
      <c r="BP73" s="39"/>
      <c r="BQ73" s="39"/>
      <c r="BR73" s="39"/>
      <c r="BS73" s="39"/>
      <c r="BT73" s="39"/>
      <c r="BU73" s="39"/>
      <c r="BV73" s="3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1" t="e">
        <f>IF(SUM(E73,G73,I73,K73,M73,O73,Q73,S73,U73,W73,Y73,AA73,AC73,AE73,AG73,AI73,AK73,AM73,AO73,AQ73,#REF!)&gt;0,"Sí","No")</f>
        <v>#REF!</v>
      </c>
      <c r="CV73" s="109" t="e">
        <f>IF($CU73="Sí",_xlfn.TEXTJOIN(", ",TRUE,IF(N(E73)&gt;0,E$4,""),IF(N(G73)&gt;0,G$4,""),IF(N(I73)&gt;0,I$4,""),IF(N(K73)&gt;0,K$4,""),IF(N(M73)&gt;0,M$4,""),IF(N(O73)&gt;0,O$4,""),IF(N(Q73)&gt;0,Q$4,""),IF(N(S73)&gt;0,S$4,""),IF(N(U73)&gt;0,U$4,""),IF(N(W73)&gt;0,W$4,""),IF(N(Y73)&gt;0,Y$4,""),IF(N(AA73)&gt;0,AA$4,""),IF(N(AC73)&gt;0,AC$4,""),IF(N(AE73)&gt;0,AE$4,""),IF(N(AG73)&gt;0,AG$4,""),IF(N(AI73)&gt;0,AI$4,""),IF(N(AK73)&gt;0,AK$4,""),IF(N(AM73)&gt;0,AM$4,""),IF(N(AO73)&gt;0,AO$4,""),IF(N(AQ73)&gt;0,AQ$4,""),IF(N(#REF!)&gt;0,#REF!,"")),"")</f>
        <v>#REF!</v>
      </c>
      <c r="CW73" s="11"/>
      <c r="CX73" s="11" t="e">
        <f t="shared" si="7"/>
        <v>#REF!</v>
      </c>
      <c r="CY73" s="12">
        <v>46106</v>
      </c>
      <c r="CZ73" s="68"/>
    </row>
    <row r="74" spans="1:104" ht="18" customHeight="1" x14ac:dyDescent="0.3">
      <c r="A74" s="150"/>
      <c r="B74" s="78" t="s">
        <v>57</v>
      </c>
      <c r="C74" s="12">
        <v>46092</v>
      </c>
      <c r="D74" s="20">
        <f t="shared" si="6"/>
        <v>0</v>
      </c>
      <c r="E74" s="20"/>
      <c r="F74" s="20"/>
      <c r="G74" s="20"/>
      <c r="H74" s="20"/>
      <c r="I74" s="20"/>
      <c r="J74" s="20"/>
      <c r="K74" s="20"/>
      <c r="L74" s="20"/>
      <c r="M74" s="19" t="s">
        <v>71</v>
      </c>
      <c r="N74" s="19"/>
      <c r="O74" s="19" t="s">
        <v>71</v>
      </c>
      <c r="P74" s="19"/>
      <c r="Q74" s="19" t="s">
        <v>71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 t="s">
        <v>71</v>
      </c>
      <c r="AH74" s="19"/>
      <c r="AI74" s="19" t="s">
        <v>71</v>
      </c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39"/>
      <c r="BP74" s="39"/>
      <c r="BQ74" s="39"/>
      <c r="BR74" s="39"/>
      <c r="BS74" s="39"/>
      <c r="BT74" s="39"/>
      <c r="BU74" s="39"/>
      <c r="BV74" s="3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1" t="e">
        <f>IF(SUM(E74,G74,I74,K74,M74,O74,Q74,S74,U74,W74,Y74,AA74,AC74,AE74,AG74,AI74,AK74,AM74,AO74,AQ74,#REF!)&gt;0,"Sí","No")</f>
        <v>#REF!</v>
      </c>
      <c r="CV74" s="92" t="e">
        <f>IF($CU74="Sí",_xlfn.TEXTJOIN(", ",TRUE,IF(N(E74)&gt;0,E$4,""),IF(N(G74)&gt;0,G$4,""),IF(N(I74)&gt;0,I$4,""),IF(N(K74)&gt;0,K$4,""),IF(N(M74)&gt;0,M$4,""),IF(N(O74)&gt;0,O$4,""),IF(N(Q74)&gt;0,Q$4,""),IF(N(S74)&gt;0,S$4,""),IF(N(U74)&gt;0,U$4,""),IF(N(W74)&gt;0,W$4,""),IF(N(Y74)&gt;0,Y$4,""),IF(N(AA74)&gt;0,AA$4,""),IF(N(AC74)&gt;0,AC$4,""),IF(N(AE74)&gt;0,AE$4,""),IF(N(AG74)&gt;0,AG$4,""),IF(N(AI74)&gt;0,AI$4,""),IF(N(AK74)&gt;0,AK$4,""),IF(N(AM74)&gt;0,AM$4,""),IF(N(AO74)&gt;0,AO$4,""),IF(N(AQ74)&gt;0,AQ$4,""),IF(N(#REF!)&gt;0,#REF!,"")),"")</f>
        <v>#REF!</v>
      </c>
      <c r="CW74" s="11"/>
      <c r="CX74" s="11" t="e">
        <f t="shared" si="7"/>
        <v>#REF!</v>
      </c>
      <c r="CY74" s="12"/>
      <c r="CZ74" s="68"/>
    </row>
    <row r="75" spans="1:104" ht="18" customHeight="1" x14ac:dyDescent="0.3">
      <c r="A75" s="150"/>
      <c r="B75" s="78" t="s">
        <v>46</v>
      </c>
      <c r="C75" s="12">
        <v>46093</v>
      </c>
      <c r="D75" s="20">
        <f t="shared" si="6"/>
        <v>0</v>
      </c>
      <c r="E75" s="20"/>
      <c r="F75" s="20"/>
      <c r="G75" s="20"/>
      <c r="H75" s="20"/>
      <c r="I75" s="20"/>
      <c r="J75" s="20"/>
      <c r="K75" s="20"/>
      <c r="L75" s="20"/>
      <c r="M75" s="19" t="s">
        <v>71</v>
      </c>
      <c r="N75" s="19"/>
      <c r="O75" s="19" t="s">
        <v>71</v>
      </c>
      <c r="P75" s="19"/>
      <c r="Q75" s="19" t="s">
        <v>71</v>
      </c>
      <c r="R75" s="19"/>
      <c r="S75" s="19" t="s">
        <v>71</v>
      </c>
      <c r="T75" s="19"/>
      <c r="U75" s="19" t="s">
        <v>71</v>
      </c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 t="s">
        <v>71</v>
      </c>
      <c r="AH75" s="19"/>
      <c r="AI75" s="19" t="s">
        <v>71</v>
      </c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39"/>
      <c r="BP75" s="39"/>
      <c r="BQ75" s="39"/>
      <c r="BR75" s="39"/>
      <c r="BS75" s="39"/>
      <c r="BT75" s="39"/>
      <c r="BU75" s="39"/>
      <c r="BV75" s="3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1" t="e">
        <f>IF(SUM(E75,G75,I75,K75,M75,O75,Q75,S75,U75,W75,Y75,AA75,AC75,AE75,AG75,AI75,AK75,AM75,AO75,AQ75,#REF!)&gt;0,"Sí","No")</f>
        <v>#REF!</v>
      </c>
      <c r="CV75" s="92" t="e">
        <f>IF($CU75="Sí",_xlfn.TEXTJOIN(", ",TRUE,IF(N(E75)&gt;0,E$4,""),IF(N(G75)&gt;0,G$4,""),IF(N(I75)&gt;0,I$4,""),IF(N(K75)&gt;0,K$4,""),IF(N(M75)&gt;0,M$4,""),IF(N(O75)&gt;0,O$4,""),IF(N(Q75)&gt;0,Q$4,""),IF(N(S75)&gt;0,S$4,""),IF(N(U75)&gt;0,U$4,""),IF(N(W75)&gt;0,W$4,""),IF(N(Y75)&gt;0,Y$4,""),IF(N(AA75)&gt;0,AA$4,""),IF(N(AC75)&gt;0,AC$4,""),IF(N(AE75)&gt;0,AE$4,""),IF(N(AG75)&gt;0,AG$4,""),IF(N(AI75)&gt;0,AI$4,""),IF(N(AK75)&gt;0,AK$4,""),IF(N(AM75)&gt;0,AM$4,""),IF(N(AO75)&gt;0,AO$4,""),IF(N(AQ75)&gt;0,AQ$4,""),IF(N(#REF!)&gt;0,#REF!,"")),"")</f>
        <v>#REF!</v>
      </c>
      <c r="CW75" s="11"/>
      <c r="CX75" s="11" t="e">
        <f t="shared" si="7"/>
        <v>#REF!</v>
      </c>
      <c r="CY75" s="12"/>
      <c r="CZ75" s="68"/>
    </row>
    <row r="76" spans="1:104" ht="18" customHeight="1" x14ac:dyDescent="0.3">
      <c r="A76" s="150"/>
      <c r="B76" s="78" t="s">
        <v>49</v>
      </c>
      <c r="C76" s="12">
        <v>46094</v>
      </c>
      <c r="D76" s="20">
        <f t="shared" si="6"/>
        <v>0</v>
      </c>
      <c r="E76" s="20"/>
      <c r="F76" s="20"/>
      <c r="G76" s="20"/>
      <c r="H76" s="20"/>
      <c r="I76" s="20"/>
      <c r="J76" s="20"/>
      <c r="K76" s="20"/>
      <c r="L76" s="20"/>
      <c r="M76" s="19" t="s">
        <v>71</v>
      </c>
      <c r="N76" s="19"/>
      <c r="O76" s="19" t="s">
        <v>71</v>
      </c>
      <c r="P76" s="19"/>
      <c r="Q76" s="19" t="s">
        <v>71</v>
      </c>
      <c r="R76" s="19"/>
      <c r="S76" s="19" t="s">
        <v>71</v>
      </c>
      <c r="T76" s="19"/>
      <c r="U76" s="19" t="s">
        <v>71</v>
      </c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 t="s">
        <v>71</v>
      </c>
      <c r="AH76" s="19"/>
      <c r="AI76" s="19" t="s">
        <v>71</v>
      </c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39"/>
      <c r="BP76" s="39"/>
      <c r="BQ76" s="39"/>
      <c r="BR76" s="39"/>
      <c r="BS76" s="39"/>
      <c r="BT76" s="39"/>
      <c r="BU76" s="39"/>
      <c r="BV76" s="3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1" t="e">
        <f>IF(SUM(E76,G76,I76,K76,M76,O76,Q76,S76,U76,W76,Y76,AA76,AC76,AE76,AG76,AI76,AK76,AM76,AO76,AQ76,#REF!)&gt;0,"Sí","No")</f>
        <v>#REF!</v>
      </c>
      <c r="CV76" s="92" t="e">
        <f>IF($CU76="Sí",_xlfn.TEXTJOIN(", ",TRUE,IF(N(E76)&gt;0,E$4,""),IF(N(G76)&gt;0,G$4,""),IF(N(I76)&gt;0,I$4,""),IF(N(K76)&gt;0,K$4,""),IF(N(M76)&gt;0,M$4,""),IF(N(O76)&gt;0,O$4,""),IF(N(Q76)&gt;0,Q$4,""),IF(N(S76)&gt;0,S$4,""),IF(N(U76)&gt;0,U$4,""),IF(N(W76)&gt;0,W$4,""),IF(N(Y76)&gt;0,Y$4,""),IF(N(AA76)&gt;0,AA$4,""),IF(N(AC76)&gt;0,AC$4,""),IF(N(AE76)&gt;0,AE$4,""),IF(N(AG76)&gt;0,AG$4,""),IF(N(AI76)&gt;0,AI$4,""),IF(N(AK76)&gt;0,AK$4,""),IF(N(AM76)&gt;0,AM$4,""),IF(N(AO76)&gt;0,AO$4,""),IF(N(AQ76)&gt;0,AQ$4,""),IF(N(#REF!)&gt;0,#REF!,"")),"")</f>
        <v>#REF!</v>
      </c>
      <c r="CW76" s="11"/>
      <c r="CX76" s="11" t="e">
        <f t="shared" si="7"/>
        <v>#REF!</v>
      </c>
      <c r="CY76" s="12"/>
      <c r="CZ76" s="68"/>
    </row>
    <row r="77" spans="1:104" ht="27.6" customHeight="1" x14ac:dyDescent="0.3">
      <c r="A77" s="150"/>
      <c r="B77" s="78" t="s">
        <v>50</v>
      </c>
      <c r="C77" s="12">
        <v>46095</v>
      </c>
      <c r="D77" s="20">
        <f t="shared" si="6"/>
        <v>100</v>
      </c>
      <c r="E77" s="20"/>
      <c r="F77" s="20"/>
      <c r="G77" s="20"/>
      <c r="H77" s="20"/>
      <c r="I77" s="20"/>
      <c r="J77" s="20"/>
      <c r="K77" s="20"/>
      <c r="L77" s="20"/>
      <c r="M77" s="19" t="s">
        <v>71</v>
      </c>
      <c r="N77" s="19"/>
      <c r="O77" s="19" t="s">
        <v>71</v>
      </c>
      <c r="P77" s="19"/>
      <c r="Q77" s="19" t="s">
        <v>71</v>
      </c>
      <c r="R77" s="19"/>
      <c r="S77" s="19" t="s">
        <v>71</v>
      </c>
      <c r="T77" s="19"/>
      <c r="U77" s="19" t="s">
        <v>71</v>
      </c>
      <c r="V77" s="19"/>
      <c r="W77" s="19"/>
      <c r="X77" s="19"/>
      <c r="Y77" s="19">
        <v>10</v>
      </c>
      <c r="Z77" s="19">
        <v>20</v>
      </c>
      <c r="AA77" s="19">
        <v>10</v>
      </c>
      <c r="AB77" s="19">
        <v>20</v>
      </c>
      <c r="AC77" s="19">
        <v>10</v>
      </c>
      <c r="AD77" s="19">
        <v>20</v>
      </c>
      <c r="AE77" s="19"/>
      <c r="AF77" s="19"/>
      <c r="AG77" s="19">
        <v>10</v>
      </c>
      <c r="AH77" s="19">
        <v>20</v>
      </c>
      <c r="AI77" s="19">
        <v>10</v>
      </c>
      <c r="AJ77" s="19">
        <v>20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39"/>
      <c r="BP77" s="39"/>
      <c r="BQ77" s="39"/>
      <c r="BR77" s="39"/>
      <c r="BS77" s="39"/>
      <c r="BT77" s="39"/>
      <c r="BU77" s="39"/>
      <c r="BV77" s="3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1" t="e">
        <f>IF(SUM(E77,G77,I77,K77,M77,O77,Q77,S77,U77,W77,Y77,AA77,AC77,AE77,AG77,AI77,AK77,AM77,AO77,AQ77,#REF!)&gt;0,"Sí","No")</f>
        <v>#REF!</v>
      </c>
      <c r="CV77" s="109" t="e">
        <f>IF($CU77="Sí",_xlfn.TEXTJOIN(", ",TRUE,IF(N(E77)&gt;0,E$4,""),IF(N(G77)&gt;0,G$4,""),IF(N(I77)&gt;0,I$4,""),IF(N(K77)&gt;0,K$4,""),IF(N(M77)&gt;0,M$4,""),IF(N(O77)&gt;0,O$4,""),IF(N(Q77)&gt;0,Q$4,""),IF(N(S77)&gt;0,S$4,""),IF(N(U77)&gt;0,U$4,""),IF(N(W77)&gt;0,W$4,""),IF(N(Y77)&gt;0,Y$4,""),IF(N(AA77)&gt;0,AA$4,""),IF(N(AC77)&gt;0,AC$4,""),IF(N(AE77)&gt;0,AE$4,""),IF(N(AG77)&gt;0,AG$4,""),IF(N(AI77)&gt;0,AI$4,""),IF(N(AK77)&gt;0,AK$4,""),IF(N(AM77)&gt;0,AM$4,""),IF(N(AO77)&gt;0,AO$4,""),IF(N(AQ77)&gt;0,AQ$4,""),IF(N(#REF!)&gt;0,#REF!,"")),"")</f>
        <v>#REF!</v>
      </c>
      <c r="CW77" s="11"/>
      <c r="CX77" s="11" t="e">
        <f t="shared" si="7"/>
        <v>#REF!</v>
      </c>
      <c r="CY77" s="56" t="s">
        <v>89</v>
      </c>
      <c r="CZ77" s="68"/>
    </row>
    <row r="78" spans="1:104" ht="18" customHeight="1" x14ac:dyDescent="0.3">
      <c r="A78" s="150"/>
      <c r="B78" s="78" t="s">
        <v>52</v>
      </c>
      <c r="C78" s="12">
        <v>46096</v>
      </c>
      <c r="D78" s="20">
        <f t="shared" si="6"/>
        <v>0</v>
      </c>
      <c r="E78" s="20"/>
      <c r="F78" s="20"/>
      <c r="G78" s="20"/>
      <c r="H78" s="20"/>
      <c r="I78" s="20"/>
      <c r="J78" s="20"/>
      <c r="K78" s="20"/>
      <c r="L78" s="20"/>
      <c r="M78" s="19" t="s">
        <v>71</v>
      </c>
      <c r="N78" s="19"/>
      <c r="O78" s="19" t="s">
        <v>71</v>
      </c>
      <c r="P78" s="19"/>
      <c r="Q78" s="19" t="s">
        <v>71</v>
      </c>
      <c r="R78" s="19"/>
      <c r="S78" s="19" t="s">
        <v>71</v>
      </c>
      <c r="T78" s="19"/>
      <c r="U78" s="19" t="s">
        <v>71</v>
      </c>
      <c r="V78" s="19"/>
      <c r="W78" s="19"/>
      <c r="X78" s="19"/>
      <c r="Y78" s="19" t="s">
        <v>71</v>
      </c>
      <c r="Z78" s="19"/>
      <c r="AA78" s="19" t="s">
        <v>71</v>
      </c>
      <c r="AB78" s="19"/>
      <c r="AC78" s="19" t="s">
        <v>71</v>
      </c>
      <c r="AD78" s="19"/>
      <c r="AE78" s="19" t="s">
        <v>71</v>
      </c>
      <c r="AF78" s="19"/>
      <c r="AG78" s="19" t="s">
        <v>71</v>
      </c>
      <c r="AH78" s="19"/>
      <c r="AI78" s="19" t="s">
        <v>71</v>
      </c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39"/>
      <c r="BP78" s="39"/>
      <c r="BQ78" s="39"/>
      <c r="BR78" s="39"/>
      <c r="BS78" s="39"/>
      <c r="BT78" s="39"/>
      <c r="BU78" s="39"/>
      <c r="BV78" s="3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1" t="e">
        <f>IF(SUM(E78,G78,I78,K78,M78,O78,Q78,S78,U78,W78,Y78,AA78,AC78,AE78,AG78,AI78,AK78,AM78,AO78,AQ78,#REF!)&gt;0,"Sí","No")</f>
        <v>#REF!</v>
      </c>
      <c r="CV78" s="92" t="e">
        <f>IF($CU78="Sí",_xlfn.TEXTJOIN(", ",TRUE,IF(N(E78)&gt;0,E$4,""),IF(N(G78)&gt;0,G$4,""),IF(N(I78)&gt;0,I$4,""),IF(N(K78)&gt;0,K$4,""),IF(N(M78)&gt;0,M$4,""),IF(N(O78)&gt;0,O$4,""),IF(N(Q78)&gt;0,Q$4,""),IF(N(S78)&gt;0,S$4,""),IF(N(U78)&gt;0,U$4,""),IF(N(W78)&gt;0,W$4,""),IF(N(Y78)&gt;0,Y$4,""),IF(N(AA78)&gt;0,AA$4,""),IF(N(AC78)&gt;0,AC$4,""),IF(N(AE78)&gt;0,AE$4,""),IF(N(AG78)&gt;0,AG$4,""),IF(N(AI78)&gt;0,AI$4,""),IF(N(AK78)&gt;0,AK$4,""),IF(N(AM78)&gt;0,AM$4,""),IF(N(AO78)&gt;0,AO$4,""),IF(N(AQ78)&gt;0,AQ$4,""),IF(N(#REF!)&gt;0,#REF!,"")),"")</f>
        <v>#REF!</v>
      </c>
      <c r="CW78" s="11"/>
      <c r="CX78" s="11" t="e">
        <f t="shared" si="7"/>
        <v>#REF!</v>
      </c>
      <c r="CY78" s="12"/>
      <c r="CZ78" s="68"/>
    </row>
    <row r="79" spans="1:104" ht="12.6" customHeight="1" x14ac:dyDescent="0.3">
      <c r="A79" s="150"/>
      <c r="B79" s="78" t="s">
        <v>54</v>
      </c>
      <c r="C79" s="12">
        <v>46097</v>
      </c>
      <c r="D79" s="20">
        <f t="shared" si="6"/>
        <v>0</v>
      </c>
      <c r="E79" s="20"/>
      <c r="F79" s="20"/>
      <c r="G79" s="20"/>
      <c r="H79" s="20"/>
      <c r="I79" s="20"/>
      <c r="J79" s="20"/>
      <c r="K79" s="20"/>
      <c r="L79" s="20"/>
      <c r="M79" s="19" t="s">
        <v>71</v>
      </c>
      <c r="N79" s="19"/>
      <c r="O79" s="19" t="s">
        <v>71</v>
      </c>
      <c r="P79" s="19"/>
      <c r="Q79" s="19" t="s">
        <v>71</v>
      </c>
      <c r="R79" s="19"/>
      <c r="S79" s="19" t="s">
        <v>71</v>
      </c>
      <c r="T79" s="19"/>
      <c r="U79" s="19" t="s">
        <v>71</v>
      </c>
      <c r="V79" s="19"/>
      <c r="W79" s="19"/>
      <c r="X79" s="19"/>
      <c r="Y79" s="19" t="s">
        <v>71</v>
      </c>
      <c r="Z79" s="19"/>
      <c r="AA79" s="19" t="s">
        <v>71</v>
      </c>
      <c r="AB79" s="19"/>
      <c r="AC79" s="19" t="s">
        <v>71</v>
      </c>
      <c r="AD79" s="19"/>
      <c r="AE79" s="19" t="s">
        <v>71</v>
      </c>
      <c r="AF79" s="19"/>
      <c r="AG79" s="19" t="s">
        <v>71</v>
      </c>
      <c r="AH79" s="19"/>
      <c r="AI79" s="19" t="s">
        <v>71</v>
      </c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39"/>
      <c r="BP79" s="39"/>
      <c r="BQ79" s="39"/>
      <c r="BR79" s="39"/>
      <c r="BS79" s="39"/>
      <c r="BT79" s="39"/>
      <c r="BU79" s="39"/>
      <c r="BV79" s="3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1" t="e">
        <f>IF(SUM(E79,G79,I79,K79,M79,O79,Q79,S79,U79,W79,Y79,AA79,AC79,AE79,AG79,AI79,AK79,AM79,AO79,AQ79,#REF!)&gt;0,"Sí","No")</f>
        <v>#REF!</v>
      </c>
      <c r="CV79" s="92" t="e">
        <f>IF($CU79="Sí",_xlfn.TEXTJOIN(", ",TRUE,IF(N(E79)&gt;0,E$4,""),IF(N(G79)&gt;0,G$4,""),IF(N(I79)&gt;0,I$4,""),IF(N(K79)&gt;0,K$4,""),IF(N(M79)&gt;0,M$4,""),IF(N(O79)&gt;0,O$4,""),IF(N(Q79)&gt;0,Q$4,""),IF(N(S79)&gt;0,S$4,""),IF(N(U79)&gt;0,U$4,""),IF(N(W79)&gt;0,W$4,""),IF(N(Y79)&gt;0,Y$4,""),IF(N(AA79)&gt;0,AA$4,""),IF(N(AC79)&gt;0,AC$4,""),IF(N(AE79)&gt;0,AE$4,""),IF(N(AG79)&gt;0,AG$4,""),IF(N(AI79)&gt;0,AI$4,""),IF(N(AK79)&gt;0,AK$4,""),IF(N(AM79)&gt;0,AM$4,""),IF(N(AO79)&gt;0,AO$4,""),IF(N(AQ79)&gt;0,AQ$4,""),IF(N(#REF!)&gt;0,#REF!,"")),"")</f>
        <v>#REF!</v>
      </c>
      <c r="CW79" s="11"/>
      <c r="CX79" s="11" t="e">
        <f t="shared" si="7"/>
        <v>#REF!</v>
      </c>
      <c r="CY79" s="12"/>
      <c r="CZ79" s="68"/>
    </row>
    <row r="80" spans="1:104" ht="18" customHeight="1" x14ac:dyDescent="0.3">
      <c r="A80" s="150"/>
      <c r="B80" s="78" t="s">
        <v>56</v>
      </c>
      <c r="C80" s="12">
        <v>46098</v>
      </c>
      <c r="D80" s="20">
        <f t="shared" si="6"/>
        <v>0</v>
      </c>
      <c r="E80" s="20"/>
      <c r="F80" s="20"/>
      <c r="G80" s="20"/>
      <c r="H80" s="20"/>
      <c r="I80" s="20"/>
      <c r="J80" s="20"/>
      <c r="K80" s="20"/>
      <c r="L80" s="20"/>
      <c r="M80" s="19" t="s">
        <v>71</v>
      </c>
      <c r="N80" s="19"/>
      <c r="O80" s="19" t="s">
        <v>71</v>
      </c>
      <c r="P80" s="19"/>
      <c r="Q80" s="19" t="s">
        <v>71</v>
      </c>
      <c r="R80" s="19"/>
      <c r="S80" s="19" t="s">
        <v>71</v>
      </c>
      <c r="T80" s="19"/>
      <c r="U80" s="19" t="s">
        <v>71</v>
      </c>
      <c r="V80" s="19"/>
      <c r="W80" s="19"/>
      <c r="X80" s="19"/>
      <c r="Y80" s="19" t="s">
        <v>71</v>
      </c>
      <c r="Z80" s="19"/>
      <c r="AA80" s="26" t="s">
        <v>71</v>
      </c>
      <c r="AB80" s="26"/>
      <c r="AC80" s="26" t="s">
        <v>71</v>
      </c>
      <c r="AD80" s="26"/>
      <c r="AE80" s="26" t="s">
        <v>71</v>
      </c>
      <c r="AF80" s="26"/>
      <c r="AG80" s="26" t="s">
        <v>71</v>
      </c>
      <c r="AH80" s="26"/>
      <c r="AI80" s="26" t="s">
        <v>71</v>
      </c>
      <c r="AJ80" s="26"/>
      <c r="AK80" s="26"/>
      <c r="AL80" s="26"/>
      <c r="AM80" s="26"/>
      <c r="AN80" s="26"/>
      <c r="AO80" s="26"/>
      <c r="AP80" s="26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39"/>
      <c r="BP80" s="39"/>
      <c r="BQ80" s="39"/>
      <c r="BR80" s="39"/>
      <c r="BS80" s="39"/>
      <c r="BT80" s="39"/>
      <c r="BU80" s="39"/>
      <c r="BV80" s="3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1" t="e">
        <f>IF(SUM(E80,G80,I80,K80,M80,O80,Q80,S80,U80,W80,Y80,AA80,AC80,AE80,AG80,AI80,AK80,AM80,AO80,AQ80,#REF!)&gt;0,"Sí","No")</f>
        <v>#REF!</v>
      </c>
      <c r="CV80" s="92" t="e">
        <f>IF($CU80="Sí",_xlfn.TEXTJOIN(", ",TRUE,IF(N(E80)&gt;0,E$4,""),IF(N(G80)&gt;0,G$4,""),IF(N(I80)&gt;0,I$4,""),IF(N(K80)&gt;0,K$4,""),IF(N(M80)&gt;0,M$4,""),IF(N(O80)&gt;0,O$4,""),IF(N(Q80)&gt;0,Q$4,""),IF(N(S80)&gt;0,S$4,""),IF(N(U80)&gt;0,U$4,""),IF(N(W80)&gt;0,W$4,""),IF(N(Y80)&gt;0,Y$4,""),IF(N(AA80)&gt;0,AA$4,""),IF(N(AC80)&gt;0,AC$4,""),IF(N(AE80)&gt;0,AE$4,""),IF(N(AG80)&gt;0,AG$4,""),IF(N(AI80)&gt;0,AI$4,""),IF(N(AK80)&gt;0,AK$4,""),IF(N(AM80)&gt;0,AM$4,""),IF(N(AO80)&gt;0,AO$4,""),IF(N(AQ80)&gt;0,AQ$4,""),IF(N(#REF!)&gt;0,#REF!,"")),"")</f>
        <v>#REF!</v>
      </c>
      <c r="CW80" s="11"/>
      <c r="CX80" s="11" t="e">
        <f t="shared" si="7"/>
        <v>#REF!</v>
      </c>
      <c r="CY80" s="12">
        <v>46092</v>
      </c>
      <c r="CZ80" s="68"/>
    </row>
    <row r="81" spans="1:104" ht="18" customHeight="1" x14ac:dyDescent="0.3">
      <c r="A81" s="150"/>
      <c r="B81" s="78" t="s">
        <v>57</v>
      </c>
      <c r="C81" s="12">
        <v>46099</v>
      </c>
      <c r="D81" s="20">
        <f t="shared" si="6"/>
        <v>0</v>
      </c>
      <c r="E81" s="20"/>
      <c r="F81" s="20"/>
      <c r="G81" s="20"/>
      <c r="H81" s="20"/>
      <c r="I81" s="20"/>
      <c r="J81" s="20"/>
      <c r="K81" s="20"/>
      <c r="L81" s="20"/>
      <c r="M81" s="19" t="s">
        <v>71</v>
      </c>
      <c r="N81" s="19"/>
      <c r="O81" s="19" t="s">
        <v>71</v>
      </c>
      <c r="P81" s="19"/>
      <c r="Q81" s="19" t="s">
        <v>71</v>
      </c>
      <c r="R81" s="19"/>
      <c r="S81" s="19" t="s">
        <v>71</v>
      </c>
      <c r="T81" s="19"/>
      <c r="U81" s="19" t="s">
        <v>71</v>
      </c>
      <c r="V81" s="19"/>
      <c r="W81" s="19"/>
      <c r="X81" s="19"/>
      <c r="Y81" s="19" t="s">
        <v>71</v>
      </c>
      <c r="Z81" s="19"/>
      <c r="AA81" s="19" t="s">
        <v>71</v>
      </c>
      <c r="AB81" s="19"/>
      <c r="AC81" s="19" t="s">
        <v>71</v>
      </c>
      <c r="AD81" s="19"/>
      <c r="AE81" s="19" t="s">
        <v>71</v>
      </c>
      <c r="AF81" s="19"/>
      <c r="AG81" s="19" t="s">
        <v>71</v>
      </c>
      <c r="AH81" s="19"/>
      <c r="AI81" s="19" t="s">
        <v>71</v>
      </c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39"/>
      <c r="BP81" s="39"/>
      <c r="BQ81" s="39"/>
      <c r="BR81" s="39"/>
      <c r="BS81" s="39"/>
      <c r="BT81" s="39"/>
      <c r="BU81" s="39"/>
      <c r="BV81" s="3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1" t="e">
        <f>IF(SUM(E81,G81,I81,K81,M81,O81,Q81,S81,U81,W81,Y81,AA81,AC81,AE81,AG81,AI81,AK81,AM81,AO81,AQ81,#REF!)&gt;0,"Sí","No")</f>
        <v>#REF!</v>
      </c>
      <c r="CV81" s="92" t="e">
        <f>IF($CU81="Sí",_xlfn.TEXTJOIN(", ",TRUE,IF(N(E81)&gt;0,E$4,""),IF(N(G81)&gt;0,G$4,""),IF(N(I81)&gt;0,I$4,""),IF(N(K81)&gt;0,K$4,""),IF(N(M81)&gt;0,M$4,""),IF(N(O81)&gt;0,O$4,""),IF(N(Q81)&gt;0,Q$4,""),IF(N(S81)&gt;0,S$4,""),IF(N(U81)&gt;0,U$4,""),IF(N(W81)&gt;0,W$4,""),IF(N(Y81)&gt;0,Y$4,""),IF(N(AA81)&gt;0,AA$4,""),IF(N(AC81)&gt;0,AC$4,""),IF(N(AE81)&gt;0,AE$4,""),IF(N(AG81)&gt;0,AG$4,""),IF(N(AI81)&gt;0,AI$4,""),IF(N(AK81)&gt;0,AK$4,""),IF(N(AM81)&gt;0,AM$4,""),IF(N(AO81)&gt;0,AO$4,""),IF(N(AQ81)&gt;0,AQ$4,""),IF(N(#REF!)&gt;0,#REF!,"")),"")</f>
        <v>#REF!</v>
      </c>
      <c r="CW81" s="11"/>
      <c r="CX81" s="11" t="e">
        <f t="shared" si="7"/>
        <v>#REF!</v>
      </c>
      <c r="CY81" s="12">
        <v>46099</v>
      </c>
      <c r="CZ81" s="68"/>
    </row>
    <row r="82" spans="1:104" ht="18" customHeight="1" x14ac:dyDescent="0.3">
      <c r="A82" s="150"/>
      <c r="B82" s="78" t="s">
        <v>46</v>
      </c>
      <c r="C82" s="12">
        <v>46100</v>
      </c>
      <c r="D82" s="20">
        <f t="shared" si="6"/>
        <v>0</v>
      </c>
      <c r="E82" s="20"/>
      <c r="F82" s="20"/>
      <c r="G82" s="20"/>
      <c r="H82" s="20"/>
      <c r="I82" s="20"/>
      <c r="J82" s="20"/>
      <c r="K82" s="20"/>
      <c r="L82" s="20"/>
      <c r="M82" s="19" t="s">
        <v>71</v>
      </c>
      <c r="N82" s="19"/>
      <c r="O82" s="19" t="s">
        <v>71</v>
      </c>
      <c r="P82" s="19"/>
      <c r="Q82" s="19" t="s">
        <v>71</v>
      </c>
      <c r="R82" s="19"/>
      <c r="S82" s="19" t="s">
        <v>71</v>
      </c>
      <c r="T82" s="19"/>
      <c r="U82" s="19" t="s">
        <v>71</v>
      </c>
      <c r="V82" s="19"/>
      <c r="W82" s="19"/>
      <c r="X82" s="19"/>
      <c r="Y82" s="19" t="s">
        <v>71</v>
      </c>
      <c r="Z82" s="19"/>
      <c r="AA82" s="19" t="s">
        <v>71</v>
      </c>
      <c r="AB82" s="19"/>
      <c r="AC82" s="19" t="s">
        <v>71</v>
      </c>
      <c r="AD82" s="19"/>
      <c r="AE82" s="19" t="s">
        <v>71</v>
      </c>
      <c r="AF82" s="19"/>
      <c r="AG82" s="19" t="s">
        <v>71</v>
      </c>
      <c r="AH82" s="19"/>
      <c r="AI82" s="19" t="s">
        <v>71</v>
      </c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39"/>
      <c r="BP82" s="39"/>
      <c r="BQ82" s="39"/>
      <c r="BR82" s="39"/>
      <c r="BS82" s="39"/>
      <c r="BT82" s="39"/>
      <c r="BU82" s="39"/>
      <c r="BV82" s="3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1" t="e">
        <f>IF(SUM(E82,G82,I82,K82,M82,O82,Q82,S82,U82,W82,Y82,AA82,AC82,AE82,AG82,AI82,AK82,AM82,AO82,AQ82,#REF!)&gt;0,"Sí","No")</f>
        <v>#REF!</v>
      </c>
      <c r="CV82" s="92" t="e">
        <f>IF($CU82="Sí",_xlfn.TEXTJOIN(", ",TRUE,IF(N(E82)&gt;0,E$4,""),IF(N(G82)&gt;0,G$4,""),IF(N(I82)&gt;0,I$4,""),IF(N(K82)&gt;0,K$4,""),IF(N(M82)&gt;0,M$4,""),IF(N(O82)&gt;0,O$4,""),IF(N(Q82)&gt;0,Q$4,""),IF(N(S82)&gt;0,S$4,""),IF(N(U82)&gt;0,U$4,""),IF(N(W82)&gt;0,W$4,""),IF(N(Y82)&gt;0,Y$4,""),IF(N(AA82)&gt;0,AA$4,""),IF(N(AC82)&gt;0,AC$4,""),IF(N(AE82)&gt;0,AE$4,""),IF(N(AG82)&gt;0,AG$4,""),IF(N(AI82)&gt;0,AI$4,""),IF(N(AK82)&gt;0,AK$4,""),IF(N(AM82)&gt;0,AM$4,""),IF(N(AO82)&gt;0,AO$4,""),IF(N(AQ82)&gt;0,AQ$4,""),IF(N(#REF!)&gt;0,#REF!,"")),"")</f>
        <v>#REF!</v>
      </c>
      <c r="CW82" s="11"/>
      <c r="CX82" s="11" t="e">
        <f t="shared" si="7"/>
        <v>#REF!</v>
      </c>
      <c r="CY82" s="12"/>
      <c r="CZ82" s="68"/>
    </row>
    <row r="83" spans="1:104" ht="18" customHeight="1" x14ac:dyDescent="0.3">
      <c r="A83" s="150"/>
      <c r="B83" s="78" t="s">
        <v>49</v>
      </c>
      <c r="C83" s="12">
        <v>46101</v>
      </c>
      <c r="D83" s="20">
        <f t="shared" si="6"/>
        <v>0</v>
      </c>
      <c r="E83" s="20"/>
      <c r="F83" s="20"/>
      <c r="G83" s="20"/>
      <c r="H83" s="20"/>
      <c r="I83" s="20"/>
      <c r="J83" s="20"/>
      <c r="K83" s="20"/>
      <c r="L83" s="20"/>
      <c r="M83" s="19" t="s">
        <v>71</v>
      </c>
      <c r="N83" s="19"/>
      <c r="O83" s="19" t="s">
        <v>71</v>
      </c>
      <c r="P83" s="19"/>
      <c r="Q83" s="19" t="s">
        <v>71</v>
      </c>
      <c r="R83" s="19"/>
      <c r="S83" s="19" t="s">
        <v>71</v>
      </c>
      <c r="T83" s="19"/>
      <c r="U83" s="19" t="s">
        <v>71</v>
      </c>
      <c r="V83" s="19"/>
      <c r="W83" s="19"/>
      <c r="X83" s="19"/>
      <c r="Y83" s="19" t="s">
        <v>71</v>
      </c>
      <c r="Z83" s="19"/>
      <c r="AA83" s="19" t="s">
        <v>71</v>
      </c>
      <c r="AB83" s="19"/>
      <c r="AC83" s="19" t="s">
        <v>71</v>
      </c>
      <c r="AD83" s="19"/>
      <c r="AE83" s="19" t="s">
        <v>71</v>
      </c>
      <c r="AF83" s="19"/>
      <c r="AG83" s="19" t="s">
        <v>71</v>
      </c>
      <c r="AH83" s="19"/>
      <c r="AI83" s="19" t="s">
        <v>71</v>
      </c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10" t="s">
        <v>77</v>
      </c>
      <c r="BH83" s="110" t="s">
        <v>77</v>
      </c>
      <c r="BI83" s="110" t="s">
        <v>77</v>
      </c>
      <c r="BJ83" s="110" t="s">
        <v>77</v>
      </c>
      <c r="BK83" s="110" t="s">
        <v>77</v>
      </c>
      <c r="BL83" s="110" t="s">
        <v>77</v>
      </c>
      <c r="BM83" s="110" t="s">
        <v>77</v>
      </c>
      <c r="BN83" s="110" t="s">
        <v>77</v>
      </c>
      <c r="BO83" s="39"/>
      <c r="BP83" s="39"/>
      <c r="BQ83" s="39"/>
      <c r="BR83" s="39"/>
      <c r="BS83" s="39"/>
      <c r="BT83" s="39"/>
      <c r="BU83" s="39"/>
      <c r="BV83" s="3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1" t="e">
        <f>IF(SUM(E83,G83,I83,K83,M83,O83,Q83,S83,U83,W83,Y83,AA83,AC83,AE83,AG83,AI83,AK83,AM83,AO83,AQ83,#REF!)&gt;0,"Sí","No")</f>
        <v>#REF!</v>
      </c>
      <c r="CV83" s="92" t="e">
        <f>IF($CU83="Sí",_xlfn.TEXTJOIN(", ",TRUE,IF(N(E83)&gt;0,E$4,""),IF(N(G83)&gt;0,G$4,""),IF(N(I83)&gt;0,I$4,""),IF(N(K83)&gt;0,K$4,""),IF(N(M83)&gt;0,M$4,""),IF(N(O83)&gt;0,O$4,""),IF(N(Q83)&gt;0,Q$4,""),IF(N(S83)&gt;0,S$4,""),IF(N(U83)&gt;0,U$4,""),IF(N(W83)&gt;0,W$4,""),IF(N(Y83)&gt;0,Y$4,""),IF(N(AA83)&gt;0,AA$4,""),IF(N(AC83)&gt;0,AC$4,""),IF(N(AE83)&gt;0,AE$4,""),IF(N(AG83)&gt;0,AG$4,""),IF(N(AI83)&gt;0,AI$4,""),IF(N(AK83)&gt;0,AK$4,""),IF(N(AM83)&gt;0,AM$4,""),IF(N(AO83)&gt;0,AO$4,""),IF(N(AQ83)&gt;0,AQ$4,""),IF(N(#REF!)&gt;0,#REF!,"")),"")</f>
        <v>#REF!</v>
      </c>
      <c r="CW83" s="11"/>
      <c r="CX83" s="11" t="e">
        <f t="shared" si="7"/>
        <v>#REF!</v>
      </c>
      <c r="CY83" s="12"/>
      <c r="CZ83" s="68"/>
    </row>
    <row r="84" spans="1:104" ht="18" customHeight="1" x14ac:dyDescent="0.3">
      <c r="A84" s="150"/>
      <c r="B84" s="78" t="s">
        <v>50</v>
      </c>
      <c r="C84" s="12">
        <v>46102</v>
      </c>
      <c r="D84" s="20">
        <f t="shared" si="6"/>
        <v>0</v>
      </c>
      <c r="E84" s="20"/>
      <c r="F84" s="20"/>
      <c r="G84" s="20"/>
      <c r="H84" s="20"/>
      <c r="I84" s="20"/>
      <c r="J84" s="20"/>
      <c r="K84" s="20"/>
      <c r="L84" s="20"/>
      <c r="M84" s="19" t="s">
        <v>71</v>
      </c>
      <c r="N84" s="19"/>
      <c r="O84" s="19" t="s">
        <v>71</v>
      </c>
      <c r="P84" s="19"/>
      <c r="Q84" s="19" t="s">
        <v>71</v>
      </c>
      <c r="R84" s="19"/>
      <c r="S84" s="19" t="s">
        <v>71</v>
      </c>
      <c r="T84" s="19"/>
      <c r="U84" s="19" t="s">
        <v>71</v>
      </c>
      <c r="V84" s="19"/>
      <c r="W84" s="19"/>
      <c r="X84" s="19"/>
      <c r="Y84" s="19" t="s">
        <v>71</v>
      </c>
      <c r="Z84" s="19"/>
      <c r="AA84" s="19" t="s">
        <v>71</v>
      </c>
      <c r="AB84" s="19"/>
      <c r="AC84" s="19" t="s">
        <v>71</v>
      </c>
      <c r="AD84" s="19"/>
      <c r="AE84" s="19" t="s">
        <v>71</v>
      </c>
      <c r="AF84" s="19"/>
      <c r="AG84" s="19" t="s">
        <v>71</v>
      </c>
      <c r="AH84" s="19"/>
      <c r="AI84" s="19" t="s">
        <v>71</v>
      </c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39"/>
      <c r="BP84" s="39"/>
      <c r="BQ84" s="39"/>
      <c r="BR84" s="39"/>
      <c r="BS84" s="39"/>
      <c r="BT84" s="39"/>
      <c r="BU84" s="39"/>
      <c r="BV84" s="3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1" t="e">
        <f>IF(SUM(E84,G84,I84,K84,M84,O84,Q84,S84,U84,W84,Y84,AA84,AC84,AE84,AG84,AI84,AK84,AM84,AO84,AQ84,#REF!)&gt;0,"Sí","No")</f>
        <v>#REF!</v>
      </c>
      <c r="CV84" s="92" t="e">
        <f>IF($CU84="Sí",_xlfn.TEXTJOIN(", ",TRUE,IF(N(E84)&gt;0,E$4,""),IF(N(G84)&gt;0,G$4,""),IF(N(I84)&gt;0,I$4,""),IF(N(K84)&gt;0,K$4,""),IF(N(M84)&gt;0,M$4,""),IF(N(O84)&gt;0,O$4,""),IF(N(Q84)&gt;0,Q$4,""),IF(N(S84)&gt;0,S$4,""),IF(N(U84)&gt;0,U$4,""),IF(N(W84)&gt;0,W$4,""),IF(N(Y84)&gt;0,Y$4,""),IF(N(AA84)&gt;0,AA$4,""),IF(N(AC84)&gt;0,AC$4,""),IF(N(AE84)&gt;0,AE$4,""),IF(N(AG84)&gt;0,AG$4,""),IF(N(AI84)&gt;0,AI$4,""),IF(N(AK84)&gt;0,AK$4,""),IF(N(AM84)&gt;0,AM$4,""),IF(N(AO84)&gt;0,AO$4,""),IF(N(AQ84)&gt;0,AQ$4,""),IF(N(#REF!)&gt;0,#REF!,"")),"")</f>
        <v>#REF!</v>
      </c>
      <c r="CW84" s="11"/>
      <c r="CX84" s="11" t="e">
        <f t="shared" si="7"/>
        <v>#REF!</v>
      </c>
      <c r="CY84" s="12"/>
      <c r="CZ84" s="68"/>
    </row>
    <row r="85" spans="1:104" ht="18" customHeight="1" x14ac:dyDescent="0.3">
      <c r="A85" s="150"/>
      <c r="B85" s="78" t="s">
        <v>52</v>
      </c>
      <c r="C85" s="12">
        <v>46103</v>
      </c>
      <c r="D85" s="20">
        <f t="shared" si="6"/>
        <v>0</v>
      </c>
      <c r="E85" s="20"/>
      <c r="F85" s="20"/>
      <c r="G85" s="20"/>
      <c r="H85" s="20"/>
      <c r="I85" s="20"/>
      <c r="J85" s="20"/>
      <c r="K85" s="20"/>
      <c r="L85" s="20"/>
      <c r="M85" s="19" t="s">
        <v>71</v>
      </c>
      <c r="N85" s="19"/>
      <c r="O85" s="19" t="s">
        <v>71</v>
      </c>
      <c r="P85" s="19"/>
      <c r="Q85" s="19" t="s">
        <v>71</v>
      </c>
      <c r="R85" s="19"/>
      <c r="S85" s="19" t="s">
        <v>71</v>
      </c>
      <c r="T85" s="19"/>
      <c r="U85" s="19" t="s">
        <v>71</v>
      </c>
      <c r="V85" s="19"/>
      <c r="W85" s="19"/>
      <c r="X85" s="19"/>
      <c r="Y85" s="19" t="s">
        <v>71</v>
      </c>
      <c r="Z85" s="19"/>
      <c r="AA85" s="19" t="s">
        <v>71</v>
      </c>
      <c r="AB85" s="19"/>
      <c r="AC85" s="19" t="s">
        <v>71</v>
      </c>
      <c r="AD85" s="19"/>
      <c r="AE85" s="19" t="s">
        <v>71</v>
      </c>
      <c r="AF85" s="19"/>
      <c r="AG85" s="19" t="s">
        <v>71</v>
      </c>
      <c r="AH85" s="19"/>
      <c r="AI85" s="19" t="s">
        <v>71</v>
      </c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39"/>
      <c r="BP85" s="39"/>
      <c r="BQ85" s="39"/>
      <c r="BR85" s="39"/>
      <c r="BS85" s="39"/>
      <c r="BT85" s="39"/>
      <c r="BU85" s="39"/>
      <c r="BV85" s="3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1" t="e">
        <f>IF(SUM(E85,G85,I85,K85,M85,O85,Q85,S85,U85,W85,Y85,AA85,AC85,AE85,AG85,AI85,AK85,AM85,AO85,AQ85,#REF!)&gt;0,"Sí","No")</f>
        <v>#REF!</v>
      </c>
      <c r="CV85" s="92" t="e">
        <f>IF($CU85="Sí",_xlfn.TEXTJOIN(", ",TRUE,IF(N(E85)&gt;0,E$4,""),IF(N(G85)&gt;0,G$4,""),IF(N(I85)&gt;0,I$4,""),IF(N(K85)&gt;0,K$4,""),IF(N(M85)&gt;0,M$4,""),IF(N(O85)&gt;0,O$4,""),IF(N(Q85)&gt;0,Q$4,""),IF(N(S85)&gt;0,S$4,""),IF(N(U85)&gt;0,U$4,""),IF(N(W85)&gt;0,W$4,""),IF(N(Y85)&gt;0,Y$4,""),IF(N(AA85)&gt;0,AA$4,""),IF(N(AC85)&gt;0,AC$4,""),IF(N(AE85)&gt;0,AE$4,""),IF(N(AG85)&gt;0,AG$4,""),IF(N(AI85)&gt;0,AI$4,""),IF(N(AK85)&gt;0,AK$4,""),IF(N(AM85)&gt;0,AM$4,""),IF(N(AO85)&gt;0,AO$4,""),IF(N(AQ85)&gt;0,AQ$4,""),IF(N(#REF!)&gt;0,#REF!,"")),"")</f>
        <v>#REF!</v>
      </c>
      <c r="CW85" s="11"/>
      <c r="CX85" s="11" t="e">
        <f t="shared" si="7"/>
        <v>#REF!</v>
      </c>
      <c r="CY85" s="12">
        <f>C85</f>
        <v>46103</v>
      </c>
      <c r="CZ85" s="68"/>
    </row>
    <row r="86" spans="1:104" ht="18" customHeight="1" x14ac:dyDescent="0.3">
      <c r="A86" s="150"/>
      <c r="B86" s="78" t="s">
        <v>54</v>
      </c>
      <c r="C86" s="12">
        <v>46104</v>
      </c>
      <c r="D86" s="20">
        <f t="shared" si="6"/>
        <v>0</v>
      </c>
      <c r="E86" s="20"/>
      <c r="F86" s="20"/>
      <c r="G86" s="20"/>
      <c r="H86" s="20"/>
      <c r="I86" s="20"/>
      <c r="J86" s="20"/>
      <c r="K86" s="20"/>
      <c r="L86" s="20"/>
      <c r="M86" s="19" t="s">
        <v>71</v>
      </c>
      <c r="N86" s="19"/>
      <c r="O86" s="19" t="s">
        <v>71</v>
      </c>
      <c r="P86" s="19"/>
      <c r="Q86" s="19" t="s">
        <v>71</v>
      </c>
      <c r="R86" s="19"/>
      <c r="S86" s="19" t="s">
        <v>71</v>
      </c>
      <c r="T86" s="19"/>
      <c r="U86" s="19" t="s">
        <v>71</v>
      </c>
      <c r="V86" s="19"/>
      <c r="W86" s="19"/>
      <c r="X86" s="19"/>
      <c r="Y86" s="19" t="s">
        <v>71</v>
      </c>
      <c r="Z86" s="19"/>
      <c r="AA86" s="19" t="s">
        <v>71</v>
      </c>
      <c r="AB86" s="19"/>
      <c r="AC86" s="19" t="s">
        <v>71</v>
      </c>
      <c r="AD86" s="19"/>
      <c r="AE86" s="19" t="s">
        <v>71</v>
      </c>
      <c r="AF86" s="19"/>
      <c r="AG86" s="19" t="s">
        <v>71</v>
      </c>
      <c r="AH86" s="19"/>
      <c r="AI86" s="19" t="s">
        <v>71</v>
      </c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39"/>
      <c r="BP86" s="39"/>
      <c r="BQ86" s="39"/>
      <c r="BR86" s="39"/>
      <c r="BS86" s="39"/>
      <c r="BT86" s="39"/>
      <c r="BU86" s="39"/>
      <c r="BV86" s="3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1" t="e">
        <f>IF(SUM(E86,G86,I86,K86,M86,O86,Q86,S86,U86,W86,Y86,AA86,AC86,AE86,AG86,AI86,AK86,AM86,AO86,AQ86,#REF!)&gt;0,"Sí","No")</f>
        <v>#REF!</v>
      </c>
      <c r="CV86" s="92" t="e">
        <f>IF($CU86="Sí",_xlfn.TEXTJOIN(", ",TRUE,IF(N(E86)&gt;0,E$4,""),IF(N(G86)&gt;0,G$4,""),IF(N(I86)&gt;0,I$4,""),IF(N(K86)&gt;0,K$4,""),IF(N(M86)&gt;0,M$4,""),IF(N(O86)&gt;0,O$4,""),IF(N(Q86)&gt;0,Q$4,""),IF(N(S86)&gt;0,S$4,""),IF(N(U86)&gt;0,U$4,""),IF(N(W86)&gt;0,W$4,""),IF(N(Y86)&gt;0,Y$4,""),IF(N(AA86)&gt;0,AA$4,""),IF(N(AC86)&gt;0,AC$4,""),IF(N(AE86)&gt;0,AE$4,""),IF(N(AG86)&gt;0,AG$4,""),IF(N(AI86)&gt;0,AI$4,""),IF(N(AK86)&gt;0,AK$4,""),IF(N(AM86)&gt;0,AM$4,""),IF(N(AO86)&gt;0,AO$4,""),IF(N(AQ86)&gt;0,AQ$4,""),IF(N(#REF!)&gt;0,#REF!,"")),"")</f>
        <v>#REF!</v>
      </c>
      <c r="CW86" s="11"/>
      <c r="CX86" s="11" t="e">
        <f t="shared" si="7"/>
        <v>#REF!</v>
      </c>
      <c r="CY86" s="12"/>
      <c r="CZ86" s="68"/>
    </row>
    <row r="87" spans="1:104" ht="18" customHeight="1" x14ac:dyDescent="0.3">
      <c r="A87" s="150"/>
      <c r="B87" s="78" t="s">
        <v>56</v>
      </c>
      <c r="C87" s="12">
        <v>46105</v>
      </c>
      <c r="D87" s="20">
        <f t="shared" si="6"/>
        <v>0</v>
      </c>
      <c r="E87" s="20"/>
      <c r="F87" s="20"/>
      <c r="G87" s="20"/>
      <c r="H87" s="20"/>
      <c r="I87" s="20"/>
      <c r="J87" s="20"/>
      <c r="K87" s="20"/>
      <c r="L87" s="20"/>
      <c r="M87" s="19" t="s">
        <v>71</v>
      </c>
      <c r="N87" s="19"/>
      <c r="O87" s="19" t="s">
        <v>71</v>
      </c>
      <c r="P87" s="19"/>
      <c r="Q87" s="19" t="s">
        <v>71</v>
      </c>
      <c r="R87" s="19"/>
      <c r="S87" s="19" t="s">
        <v>71</v>
      </c>
      <c r="T87" s="19"/>
      <c r="U87" s="19" t="s">
        <v>71</v>
      </c>
      <c r="V87" s="19"/>
      <c r="W87" s="19"/>
      <c r="X87" s="19"/>
      <c r="Y87" s="19" t="s">
        <v>71</v>
      </c>
      <c r="Z87" s="19"/>
      <c r="AA87" s="19" t="s">
        <v>71</v>
      </c>
      <c r="AB87" s="19"/>
      <c r="AC87" s="19" t="s">
        <v>71</v>
      </c>
      <c r="AD87" s="19"/>
      <c r="AE87" s="19" t="s">
        <v>71</v>
      </c>
      <c r="AF87" s="19"/>
      <c r="AG87" s="19" t="s">
        <v>71</v>
      </c>
      <c r="AH87" s="19"/>
      <c r="AI87" s="19" t="s">
        <v>71</v>
      </c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39"/>
      <c r="BP87" s="39"/>
      <c r="BQ87" s="39"/>
      <c r="BR87" s="39"/>
      <c r="BS87" s="39"/>
      <c r="BT87" s="39"/>
      <c r="BU87" s="39"/>
      <c r="BV87" s="3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1" t="e">
        <f>IF(SUM(E87,G87,I87,K87,M87,O87,Q87,S87,U87,W87,Y87,AA87,AC87,AE87,AG87,AI87,AK87,AM87,AO87,AQ87,#REF!)&gt;0,"Sí","No")</f>
        <v>#REF!</v>
      </c>
      <c r="CV87" s="92" t="e">
        <f>IF($CU87="Sí",_xlfn.TEXTJOIN(", ",TRUE,IF(N(E87)&gt;0,E$4,""),IF(N(G87)&gt;0,G$4,""),IF(N(I87)&gt;0,I$4,""),IF(N(K87)&gt;0,K$4,""),IF(N(M87)&gt;0,M$4,""),IF(N(O87)&gt;0,O$4,""),IF(N(Q87)&gt;0,Q$4,""),IF(N(S87)&gt;0,S$4,""),IF(N(U87)&gt;0,U$4,""),IF(N(W87)&gt;0,W$4,""),IF(N(Y87)&gt;0,Y$4,""),IF(N(AA87)&gt;0,AA$4,""),IF(N(AC87)&gt;0,AC$4,""),IF(N(AE87)&gt;0,AE$4,""),IF(N(AG87)&gt;0,AG$4,""),IF(N(AI87)&gt;0,AI$4,""),IF(N(AK87)&gt;0,AK$4,""),IF(N(AM87)&gt;0,AM$4,""),IF(N(AO87)&gt;0,AO$4,""),IF(N(AQ87)&gt;0,AQ$4,""),IF(N(#REF!)&gt;0,#REF!,"")),"")</f>
        <v>#REF!</v>
      </c>
      <c r="CW87" s="11"/>
      <c r="CX87" s="11" t="e">
        <f t="shared" si="7"/>
        <v>#REF!</v>
      </c>
      <c r="CY87" s="12"/>
      <c r="CZ87" s="68"/>
    </row>
    <row r="88" spans="1:104" ht="18" customHeight="1" x14ac:dyDescent="0.3">
      <c r="A88" s="150"/>
      <c r="B88" s="78" t="s">
        <v>57</v>
      </c>
      <c r="C88" s="12">
        <v>46106</v>
      </c>
      <c r="D88" s="20">
        <f t="shared" si="6"/>
        <v>0</v>
      </c>
      <c r="E88" s="20"/>
      <c r="F88" s="20"/>
      <c r="G88" s="20"/>
      <c r="H88" s="20"/>
      <c r="I88" s="20"/>
      <c r="J88" s="20"/>
      <c r="K88" s="20"/>
      <c r="L88" s="20"/>
      <c r="M88" s="19" t="s">
        <v>71</v>
      </c>
      <c r="N88" s="19"/>
      <c r="O88" s="19" t="s">
        <v>71</v>
      </c>
      <c r="P88" s="19"/>
      <c r="Q88" s="19" t="s">
        <v>71</v>
      </c>
      <c r="R88" s="19"/>
      <c r="S88" s="19" t="s">
        <v>71</v>
      </c>
      <c r="T88" s="19"/>
      <c r="U88" s="19" t="s">
        <v>71</v>
      </c>
      <c r="V88" s="19"/>
      <c r="W88" s="19"/>
      <c r="X88" s="19"/>
      <c r="Y88" s="19" t="s">
        <v>71</v>
      </c>
      <c r="Z88" s="19"/>
      <c r="AA88" s="19" t="s">
        <v>71</v>
      </c>
      <c r="AB88" s="19"/>
      <c r="AC88" s="19" t="s">
        <v>71</v>
      </c>
      <c r="AD88" s="19"/>
      <c r="AE88" s="19" t="s">
        <v>71</v>
      </c>
      <c r="AF88" s="19"/>
      <c r="AG88" s="19" t="s">
        <v>71</v>
      </c>
      <c r="AH88" s="19"/>
      <c r="AI88" s="19" t="s">
        <v>71</v>
      </c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39"/>
      <c r="BP88" s="39"/>
      <c r="BQ88" s="39"/>
      <c r="BR88" s="39"/>
      <c r="BS88" s="39"/>
      <c r="BT88" s="39"/>
      <c r="BU88" s="39"/>
      <c r="BV88" s="3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1" t="e">
        <f>IF(SUM(E88,G88,I88,K88,M88,O88,Q88,S88,U88,W88,Y88,AA88,AC88,AE88,AG88,AI88,AK88,AM88,AO88,AQ88,#REF!)&gt;0,"Sí","No")</f>
        <v>#REF!</v>
      </c>
      <c r="CV88" s="92" t="e">
        <f>IF($CU88="Sí",_xlfn.TEXTJOIN(", ",TRUE,IF(N(E88)&gt;0,E$4,""),IF(N(G88)&gt;0,G$4,""),IF(N(I88)&gt;0,I$4,""),IF(N(K88)&gt;0,K$4,""),IF(N(M88)&gt;0,M$4,""),IF(N(O88)&gt;0,O$4,""),IF(N(Q88)&gt;0,Q$4,""),IF(N(S88)&gt;0,S$4,""),IF(N(U88)&gt;0,U$4,""),IF(N(W88)&gt;0,W$4,""),IF(N(Y88)&gt;0,Y$4,""),IF(N(AA88)&gt;0,AA$4,""),IF(N(AC88)&gt;0,AC$4,""),IF(N(AE88)&gt;0,AE$4,""),IF(N(AG88)&gt;0,AG$4,""),IF(N(AI88)&gt;0,AI$4,""),IF(N(AK88)&gt;0,AK$4,""),IF(N(AM88)&gt;0,AM$4,""),IF(N(AO88)&gt;0,AO$4,""),IF(N(AQ88)&gt;0,AQ$4,""),IF(N(#REF!)&gt;0,#REF!,"")),"")</f>
        <v>#REF!</v>
      </c>
      <c r="CW88" s="11"/>
      <c r="CX88" s="11" t="e">
        <f t="shared" si="7"/>
        <v>#REF!</v>
      </c>
      <c r="CY88" s="12"/>
      <c r="CZ88" s="68"/>
    </row>
    <row r="89" spans="1:104" ht="46.8" customHeight="1" x14ac:dyDescent="0.3">
      <c r="A89" s="150"/>
      <c r="B89" s="78" t="s">
        <v>46</v>
      </c>
      <c r="C89" s="12">
        <v>46107</v>
      </c>
      <c r="D89" s="20">
        <f t="shared" si="6"/>
        <v>60</v>
      </c>
      <c r="E89" s="20"/>
      <c r="F89" s="20"/>
      <c r="G89" s="20"/>
      <c r="H89" s="20"/>
      <c r="I89" s="20"/>
      <c r="J89" s="20"/>
      <c r="K89" s="20"/>
      <c r="L89" s="20"/>
      <c r="M89" s="19">
        <v>10</v>
      </c>
      <c r="N89" s="19">
        <v>20</v>
      </c>
      <c r="O89" s="19">
        <v>10</v>
      </c>
      <c r="P89" s="19">
        <v>20</v>
      </c>
      <c r="Q89" s="19">
        <v>10</v>
      </c>
      <c r="R89" s="19">
        <v>20</v>
      </c>
      <c r="S89" s="19" t="s">
        <v>71</v>
      </c>
      <c r="T89" s="19"/>
      <c r="U89" s="19" t="s">
        <v>71</v>
      </c>
      <c r="V89" s="19"/>
      <c r="W89" s="19"/>
      <c r="X89" s="19"/>
      <c r="Y89" s="19" t="s">
        <v>71</v>
      </c>
      <c r="Z89" s="19"/>
      <c r="AA89" s="19" t="s">
        <v>71</v>
      </c>
      <c r="AB89" s="19"/>
      <c r="AC89" s="19" t="s">
        <v>71</v>
      </c>
      <c r="AD89" s="19"/>
      <c r="AE89" s="19" t="s">
        <v>71</v>
      </c>
      <c r="AF89" s="19"/>
      <c r="AG89" s="19" t="s">
        <v>71</v>
      </c>
      <c r="AH89" s="19"/>
      <c r="AI89" s="19" t="s">
        <v>71</v>
      </c>
      <c r="AJ89" s="19"/>
      <c r="AK89" s="19" t="s">
        <v>71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39"/>
      <c r="BP89" s="39"/>
      <c r="BQ89" s="39"/>
      <c r="BR89" s="39"/>
      <c r="BS89" s="39"/>
      <c r="BT89" s="39"/>
      <c r="BU89" s="39"/>
      <c r="BV89" s="39"/>
      <c r="BW89" s="19"/>
      <c r="BX89" s="19"/>
      <c r="BY89" s="19"/>
      <c r="BZ89" s="19"/>
      <c r="CA89" s="19"/>
      <c r="CB89" s="19"/>
      <c r="CC89" s="19"/>
      <c r="CD89" s="19"/>
      <c r="CE89" s="19" t="s">
        <v>71</v>
      </c>
      <c r="CF89" s="19"/>
      <c r="CG89" s="19" t="s">
        <v>71</v>
      </c>
      <c r="CH89" s="19"/>
      <c r="CI89" s="19" t="s">
        <v>71</v>
      </c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1" t="e">
        <f>IF(SUM(E89,G89,I89,K89,M89,O89,Q89,S89,U89,W89,Y89,AA89,AC89,AE89,AG89,AI89,AK89,AM89,AO89,AQ89,#REF!)&gt;0,"Sí","No")</f>
        <v>#REF!</v>
      </c>
      <c r="CV89" s="109" t="e">
        <f>IF($CU89="Sí",_xlfn.TEXTJOIN(", ",TRUE,IF(N(E89)&gt;0,E$4,""),IF(N(G89)&gt;0,G$4,""),IF(N(I89)&gt;0,I$4,""),IF(N(K89)&gt;0,K$4,""),IF(N(M89)&gt;0,M$4,""),IF(N(O89)&gt;0,O$4,""),IF(N(Q89)&gt;0,Q$4,""),IF(N(S89)&gt;0,S$4,""),IF(N(U89)&gt;0,U$4,""),IF(N(W89)&gt;0,W$4,""),IF(N(Y89)&gt;0,Y$4,""),IF(N(AA89)&gt;0,AA$4,""),IF(N(AC89)&gt;0,AC$4,""),IF(N(AE89)&gt;0,AE$4,""),IF(N(AG89)&gt;0,AG$4,""),IF(N(AI89)&gt;0,AI$4,""),IF(N(AK89)&gt;0,AK$4,""),IF(N(AM89)&gt;0,AM$4,""),IF(N(AO89)&gt;0,AO$4,""),IF(N(AQ89)&gt;0,AQ$4,""),IF(N(#REF!)&gt;0,#REF!,"")),"")</f>
        <v>#REF!</v>
      </c>
      <c r="CW89" s="11"/>
      <c r="CX89" s="11" t="e">
        <f t="shared" si="7"/>
        <v>#REF!</v>
      </c>
      <c r="CY89" s="12">
        <v>46107</v>
      </c>
      <c r="CZ89" s="68"/>
    </row>
    <row r="90" spans="1:104" ht="18" customHeight="1" x14ac:dyDescent="0.3">
      <c r="A90" s="150"/>
      <c r="B90" s="78" t="s">
        <v>49</v>
      </c>
      <c r="C90" s="12">
        <v>46108</v>
      </c>
      <c r="D90" s="20">
        <f t="shared" si="6"/>
        <v>0</v>
      </c>
      <c r="E90" s="20"/>
      <c r="F90" s="20"/>
      <c r="G90" s="20"/>
      <c r="H90" s="20"/>
      <c r="I90" s="20"/>
      <c r="J90" s="20"/>
      <c r="K90" s="20"/>
      <c r="L90" s="20"/>
      <c r="M90" s="19" t="s">
        <v>71</v>
      </c>
      <c r="N90" s="19"/>
      <c r="O90" s="19" t="s">
        <v>71</v>
      </c>
      <c r="P90" s="19"/>
      <c r="Q90" s="19" t="s">
        <v>71</v>
      </c>
      <c r="R90" s="19"/>
      <c r="S90" s="19" t="s">
        <v>71</v>
      </c>
      <c r="T90" s="19"/>
      <c r="U90" s="19" t="s">
        <v>71</v>
      </c>
      <c r="V90" s="19"/>
      <c r="W90" s="19"/>
      <c r="X90" s="19"/>
      <c r="Y90" s="19" t="s">
        <v>71</v>
      </c>
      <c r="Z90" s="19"/>
      <c r="AA90" s="19" t="s">
        <v>71</v>
      </c>
      <c r="AB90" s="19"/>
      <c r="AC90" s="19" t="s">
        <v>71</v>
      </c>
      <c r="AD90" s="19"/>
      <c r="AE90" s="19" t="s">
        <v>71</v>
      </c>
      <c r="AF90" s="19"/>
      <c r="AG90" s="19" t="s">
        <v>71</v>
      </c>
      <c r="AH90" s="19"/>
      <c r="AI90" s="19" t="s">
        <v>71</v>
      </c>
      <c r="AJ90" s="19"/>
      <c r="AK90" s="19" t="s">
        <v>71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39"/>
      <c r="BP90" s="39"/>
      <c r="BQ90" s="39"/>
      <c r="BR90" s="39"/>
      <c r="BS90" s="39"/>
      <c r="BT90" s="39"/>
      <c r="BU90" s="39"/>
      <c r="BV90" s="39"/>
      <c r="BW90" s="19"/>
      <c r="BX90" s="19"/>
      <c r="BY90" s="19"/>
      <c r="BZ90" s="19"/>
      <c r="CA90" s="19"/>
      <c r="CB90" s="19"/>
      <c r="CC90" s="19"/>
      <c r="CD90" s="19"/>
      <c r="CE90" s="19" t="s">
        <v>71</v>
      </c>
      <c r="CF90" s="19"/>
      <c r="CG90" s="19" t="s">
        <v>71</v>
      </c>
      <c r="CH90" s="19"/>
      <c r="CI90" s="19" t="s">
        <v>71</v>
      </c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1" t="e">
        <f>IF(SUM(E90,G90,I90,K90,M90,O90,Q90,S90,U90,W90,Y90,AA90,AC90,AE90,AG90,AI90,AK90,AM90,AO90,AQ90,#REF!)&gt;0,"Sí","No")</f>
        <v>#REF!</v>
      </c>
      <c r="CV90" s="92" t="e">
        <f>IF($CU90="Sí",_xlfn.TEXTJOIN(", ",TRUE,IF(N(E90)&gt;0,E$4,""),IF(N(G90)&gt;0,G$4,""),IF(N(I90)&gt;0,I$4,""),IF(N(K90)&gt;0,K$4,""),IF(N(M90)&gt;0,M$4,""),IF(N(O90)&gt;0,O$4,""),IF(N(Q90)&gt;0,Q$4,""),IF(N(S90)&gt;0,S$4,""),IF(N(U90)&gt;0,U$4,""),IF(N(W90)&gt;0,W$4,""),IF(N(Y90)&gt;0,Y$4,""),IF(N(AA90)&gt;0,AA$4,""),IF(N(AC90)&gt;0,AC$4,""),IF(N(AE90)&gt;0,AE$4,""),IF(N(AG90)&gt;0,AG$4,""),IF(N(AI90)&gt;0,AI$4,""),IF(N(AK90)&gt;0,AK$4,""),IF(N(AM90)&gt;0,AM$4,""),IF(N(AO90)&gt;0,AO$4,""),IF(N(AQ90)&gt;0,AQ$4,""),IF(N(#REF!)&gt;0,#REF!,"")),"")</f>
        <v>#REF!</v>
      </c>
      <c r="CW90" s="11"/>
      <c r="CX90" s="11" t="e">
        <f t="shared" si="7"/>
        <v>#REF!</v>
      </c>
      <c r="CY90" s="12"/>
      <c r="CZ90" s="68"/>
    </row>
    <row r="91" spans="1:104" ht="18" customHeight="1" x14ac:dyDescent="0.3">
      <c r="A91" s="150"/>
      <c r="B91" s="78" t="s">
        <v>50</v>
      </c>
      <c r="C91" s="12">
        <v>46109</v>
      </c>
      <c r="D91" s="20">
        <f t="shared" si="6"/>
        <v>0</v>
      </c>
      <c r="E91" s="20"/>
      <c r="F91" s="20"/>
      <c r="G91" s="20"/>
      <c r="H91" s="20"/>
      <c r="I91" s="20"/>
      <c r="J91" s="20"/>
      <c r="K91" s="20"/>
      <c r="L91" s="20"/>
      <c r="M91" s="19" t="s">
        <v>71</v>
      </c>
      <c r="N91" s="19"/>
      <c r="O91" s="19" t="s">
        <v>71</v>
      </c>
      <c r="P91" s="19"/>
      <c r="Q91" s="19" t="s">
        <v>71</v>
      </c>
      <c r="R91" s="19"/>
      <c r="S91" s="19" t="s">
        <v>71</v>
      </c>
      <c r="T91" s="19"/>
      <c r="U91" s="19" t="s">
        <v>71</v>
      </c>
      <c r="V91" s="19"/>
      <c r="W91" s="19"/>
      <c r="X91" s="19"/>
      <c r="Y91" s="19" t="s">
        <v>71</v>
      </c>
      <c r="Z91" s="19"/>
      <c r="AA91" s="19" t="s">
        <v>71</v>
      </c>
      <c r="AB91" s="19"/>
      <c r="AC91" s="19" t="s">
        <v>71</v>
      </c>
      <c r="AD91" s="19"/>
      <c r="AE91" s="19" t="s">
        <v>71</v>
      </c>
      <c r="AF91" s="19"/>
      <c r="AG91" s="19" t="s">
        <v>71</v>
      </c>
      <c r="AH91" s="19"/>
      <c r="AI91" s="19" t="s">
        <v>71</v>
      </c>
      <c r="AJ91" s="19"/>
      <c r="AK91" s="19" t="s">
        <v>71</v>
      </c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39"/>
      <c r="BP91" s="39"/>
      <c r="BQ91" s="39"/>
      <c r="BR91" s="39"/>
      <c r="BS91" s="39"/>
      <c r="BT91" s="39"/>
      <c r="BU91" s="39"/>
      <c r="BV91" s="39"/>
      <c r="BW91" s="19"/>
      <c r="BX91" s="19"/>
      <c r="BY91" s="19"/>
      <c r="BZ91" s="19"/>
      <c r="CA91" s="19"/>
      <c r="CB91" s="19"/>
      <c r="CC91" s="19"/>
      <c r="CD91" s="19"/>
      <c r="CE91" s="19" t="s">
        <v>71</v>
      </c>
      <c r="CF91" s="19"/>
      <c r="CG91" s="19" t="s">
        <v>71</v>
      </c>
      <c r="CH91" s="19"/>
      <c r="CI91" s="19" t="s">
        <v>71</v>
      </c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1" t="e">
        <f>IF(SUM(E91,G91,I91,K91,M91,O91,Q91,S91,U91,W91,Y91,AA91,AC91,AE91,AG91,AI91,AK91,AM91,AO91,AQ91,#REF!)&gt;0,"Sí","No")</f>
        <v>#REF!</v>
      </c>
      <c r="CV91" s="92" t="e">
        <f>IF($CU91="Sí",_xlfn.TEXTJOIN(", ",TRUE,IF(N(E91)&gt;0,E$4,""),IF(N(G91)&gt;0,G$4,""),IF(N(I91)&gt;0,I$4,""),IF(N(K91)&gt;0,K$4,""),IF(N(M91)&gt;0,M$4,""),IF(N(O91)&gt;0,O$4,""),IF(N(Q91)&gt;0,Q$4,""),IF(N(S91)&gt;0,S$4,""),IF(N(U91)&gt;0,U$4,""),IF(N(W91)&gt;0,W$4,""),IF(N(Y91)&gt;0,Y$4,""),IF(N(AA91)&gt;0,AA$4,""),IF(N(AC91)&gt;0,AC$4,""),IF(N(AE91)&gt;0,AE$4,""),IF(N(AG91)&gt;0,AG$4,""),IF(N(AI91)&gt;0,AI$4,""),IF(N(AK91)&gt;0,AK$4,""),IF(N(AM91)&gt;0,AM$4,""),IF(N(AO91)&gt;0,AO$4,""),IF(N(AQ91)&gt;0,AQ$4,""),IF(N(#REF!)&gt;0,#REF!,"")),"")</f>
        <v>#REF!</v>
      </c>
      <c r="CW91" s="11"/>
      <c r="CX91" s="11" t="e">
        <f t="shared" si="7"/>
        <v>#REF!</v>
      </c>
      <c r="CY91" s="12"/>
      <c r="CZ91" s="68"/>
    </row>
    <row r="92" spans="1:104" ht="18" customHeight="1" x14ac:dyDescent="0.3">
      <c r="A92" s="150"/>
      <c r="B92" s="78" t="s">
        <v>52</v>
      </c>
      <c r="C92" s="12">
        <v>46110</v>
      </c>
      <c r="D92" s="20">
        <f t="shared" si="6"/>
        <v>0</v>
      </c>
      <c r="E92" s="20"/>
      <c r="F92" s="20"/>
      <c r="G92" s="20"/>
      <c r="H92" s="20"/>
      <c r="I92" s="20"/>
      <c r="J92" s="20"/>
      <c r="K92" s="20"/>
      <c r="L92" s="20"/>
      <c r="M92" s="19" t="s">
        <v>71</v>
      </c>
      <c r="N92" s="19"/>
      <c r="O92" s="19" t="s">
        <v>71</v>
      </c>
      <c r="P92" s="19"/>
      <c r="Q92" s="19" t="s">
        <v>71</v>
      </c>
      <c r="R92" s="19"/>
      <c r="S92" s="19" t="s">
        <v>71</v>
      </c>
      <c r="T92" s="19"/>
      <c r="U92" s="19" t="s">
        <v>71</v>
      </c>
      <c r="V92" s="19"/>
      <c r="W92" s="19"/>
      <c r="X92" s="19"/>
      <c r="Y92" s="19" t="s">
        <v>71</v>
      </c>
      <c r="Z92" s="19"/>
      <c r="AA92" s="19" t="s">
        <v>71</v>
      </c>
      <c r="AB92" s="19"/>
      <c r="AC92" s="19" t="s">
        <v>71</v>
      </c>
      <c r="AD92" s="19"/>
      <c r="AE92" s="19" t="s">
        <v>71</v>
      </c>
      <c r="AF92" s="19"/>
      <c r="AG92" s="19" t="s">
        <v>71</v>
      </c>
      <c r="AH92" s="19"/>
      <c r="AI92" s="19" t="s">
        <v>71</v>
      </c>
      <c r="AJ92" s="19"/>
      <c r="AK92" s="19" t="s">
        <v>71</v>
      </c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39"/>
      <c r="BP92" s="39"/>
      <c r="BQ92" s="39"/>
      <c r="BR92" s="39"/>
      <c r="BS92" s="39"/>
      <c r="BT92" s="39"/>
      <c r="BU92" s="39"/>
      <c r="BV92" s="39"/>
      <c r="BW92" s="19"/>
      <c r="BX92" s="19"/>
      <c r="BY92" s="19"/>
      <c r="BZ92" s="19"/>
      <c r="CA92" s="19"/>
      <c r="CB92" s="19"/>
      <c r="CC92" s="19"/>
      <c r="CD92" s="19"/>
      <c r="CE92" s="19" t="s">
        <v>71</v>
      </c>
      <c r="CF92" s="19"/>
      <c r="CG92" s="19" t="s">
        <v>71</v>
      </c>
      <c r="CH92" s="19"/>
      <c r="CI92" s="19" t="s">
        <v>71</v>
      </c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1" t="e">
        <f>IF(SUM(E92,G92,I92,K92,M92,O92,Q92,S92,U92,W92,Y92,AA92,AC92,AE92,AG92,AI92,AK92,AM92,AO92,AQ92,#REF!)&gt;0,"Sí","No")</f>
        <v>#REF!</v>
      </c>
      <c r="CV92" s="92" t="e">
        <f>IF($CU92="Sí",_xlfn.TEXTJOIN(", ",TRUE,IF(N(E92)&gt;0,E$4,""),IF(N(G92)&gt;0,G$4,""),IF(N(I92)&gt;0,I$4,""),IF(N(K92)&gt;0,K$4,""),IF(N(M92)&gt;0,M$4,""),IF(N(O92)&gt;0,O$4,""),IF(N(Q92)&gt;0,Q$4,""),IF(N(S92)&gt;0,S$4,""),IF(N(U92)&gt;0,U$4,""),IF(N(W92)&gt;0,W$4,""),IF(N(Y92)&gt;0,Y$4,""),IF(N(AA92)&gt;0,AA$4,""),IF(N(AC92)&gt;0,AC$4,""),IF(N(AE92)&gt;0,AE$4,""),IF(N(AG92)&gt;0,AG$4,""),IF(N(AI92)&gt;0,AI$4,""),IF(N(AK92)&gt;0,AK$4,""),IF(N(AM92)&gt;0,AM$4,""),IF(N(AO92)&gt;0,AO$4,""),IF(N(AQ92)&gt;0,AQ$4,""),IF(N(#REF!)&gt;0,#REF!,"")),"")</f>
        <v>#REF!</v>
      </c>
      <c r="CW92" s="11"/>
      <c r="CX92" s="11" t="e">
        <f t="shared" si="7"/>
        <v>#REF!</v>
      </c>
      <c r="CY92" s="12"/>
      <c r="CZ92" s="68"/>
    </row>
    <row r="93" spans="1:104" ht="18" customHeight="1" x14ac:dyDescent="0.3">
      <c r="A93" s="150"/>
      <c r="B93" s="78" t="s">
        <v>54</v>
      </c>
      <c r="C93" s="12">
        <v>46111</v>
      </c>
      <c r="D93" s="20">
        <f t="shared" si="6"/>
        <v>0</v>
      </c>
      <c r="E93" s="20"/>
      <c r="F93" s="20"/>
      <c r="G93" s="20"/>
      <c r="H93" s="20"/>
      <c r="I93" s="20"/>
      <c r="J93" s="20"/>
      <c r="K93" s="20"/>
      <c r="L93" s="20"/>
      <c r="M93" s="19" t="s">
        <v>71</v>
      </c>
      <c r="N93" s="19"/>
      <c r="O93" s="19" t="s">
        <v>71</v>
      </c>
      <c r="P93" s="19"/>
      <c r="Q93" s="19" t="s">
        <v>71</v>
      </c>
      <c r="R93" s="19"/>
      <c r="S93" s="19" t="s">
        <v>71</v>
      </c>
      <c r="T93" s="19"/>
      <c r="U93" s="19" t="s">
        <v>71</v>
      </c>
      <c r="V93" s="19"/>
      <c r="W93" s="19"/>
      <c r="X93" s="19"/>
      <c r="Y93" s="19" t="s">
        <v>71</v>
      </c>
      <c r="Z93" s="19"/>
      <c r="AA93" s="19" t="s">
        <v>71</v>
      </c>
      <c r="AB93" s="19"/>
      <c r="AC93" s="19" t="s">
        <v>71</v>
      </c>
      <c r="AD93" s="19"/>
      <c r="AE93" s="19" t="s">
        <v>71</v>
      </c>
      <c r="AF93" s="19"/>
      <c r="AG93" s="19" t="s">
        <v>71</v>
      </c>
      <c r="AH93" s="19"/>
      <c r="AI93" s="19" t="s">
        <v>71</v>
      </c>
      <c r="AJ93" s="19"/>
      <c r="AK93" s="19" t="s">
        <v>71</v>
      </c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39"/>
      <c r="BP93" s="39"/>
      <c r="BQ93" s="39"/>
      <c r="BR93" s="39"/>
      <c r="BS93" s="39"/>
      <c r="BT93" s="39"/>
      <c r="BU93" s="39"/>
      <c r="BV93" s="39"/>
      <c r="BW93" s="19"/>
      <c r="BX93" s="19"/>
      <c r="BY93" s="19"/>
      <c r="BZ93" s="19"/>
      <c r="CA93" s="19"/>
      <c r="CB93" s="19"/>
      <c r="CC93" s="19"/>
      <c r="CD93" s="19"/>
      <c r="CE93" s="19" t="s">
        <v>71</v>
      </c>
      <c r="CF93" s="19"/>
      <c r="CG93" s="19" t="s">
        <v>71</v>
      </c>
      <c r="CH93" s="19"/>
      <c r="CI93" s="19" t="s">
        <v>71</v>
      </c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1" t="e">
        <f>IF(SUM(E93,G93,I93,K93,M93,O93,Q93,S93,U93,W93,Y93,AA93,AC93,AE93,AG93,AI93,AK93,AM93,AO93,AQ93,#REF!)&gt;0,"Sí","No")</f>
        <v>#REF!</v>
      </c>
      <c r="CV93" s="92" t="e">
        <f>IF($CU93="Sí",_xlfn.TEXTJOIN(", ",TRUE,IF(N(E93)&gt;0,E$4,""),IF(N(G93)&gt;0,G$4,""),IF(N(I93)&gt;0,I$4,""),IF(N(K93)&gt;0,K$4,""),IF(N(M93)&gt;0,M$4,""),IF(N(O93)&gt;0,O$4,""),IF(N(Q93)&gt;0,Q$4,""),IF(N(S93)&gt;0,S$4,""),IF(N(U93)&gt;0,U$4,""),IF(N(W93)&gt;0,W$4,""),IF(N(Y93)&gt;0,Y$4,""),IF(N(AA93)&gt;0,AA$4,""),IF(N(AC93)&gt;0,AC$4,""),IF(N(AE93)&gt;0,AE$4,""),IF(N(AG93)&gt;0,AG$4,""),IF(N(AI93)&gt;0,AI$4,""),IF(N(AK93)&gt;0,AK$4,""),IF(N(AM93)&gt;0,AM$4,""),IF(N(AO93)&gt;0,AO$4,""),IF(N(AQ93)&gt;0,AQ$4,""),IF(N(#REF!)&gt;0,#REF!,"")),"")</f>
        <v>#REF!</v>
      </c>
      <c r="CW93" s="11"/>
      <c r="CX93" s="11" t="e">
        <f t="shared" si="7"/>
        <v>#REF!</v>
      </c>
      <c r="CY93" s="12"/>
      <c r="CZ93" s="68"/>
    </row>
    <row r="94" spans="1:104" ht="18" customHeight="1" thickBot="1" x14ac:dyDescent="0.35">
      <c r="A94" s="151"/>
      <c r="B94" s="53" t="s">
        <v>56</v>
      </c>
      <c r="C94" s="30">
        <v>46112</v>
      </c>
      <c r="D94" s="31">
        <f t="shared" si="6"/>
        <v>0</v>
      </c>
      <c r="E94" s="31"/>
      <c r="F94" s="31"/>
      <c r="G94" s="31"/>
      <c r="H94" s="31"/>
      <c r="I94" s="31"/>
      <c r="J94" s="31"/>
      <c r="K94" s="31"/>
      <c r="L94" s="31"/>
      <c r="M94" s="32" t="s">
        <v>71</v>
      </c>
      <c r="N94" s="32"/>
      <c r="O94" s="32" t="s">
        <v>71</v>
      </c>
      <c r="P94" s="32"/>
      <c r="Q94" s="32" t="s">
        <v>71</v>
      </c>
      <c r="R94" s="32"/>
      <c r="S94" s="32" t="s">
        <v>71</v>
      </c>
      <c r="T94" s="32"/>
      <c r="U94" s="32" t="s">
        <v>71</v>
      </c>
      <c r="V94" s="32"/>
      <c r="W94" s="32"/>
      <c r="X94" s="32"/>
      <c r="Y94" s="32" t="s">
        <v>71</v>
      </c>
      <c r="Z94" s="32"/>
      <c r="AA94" s="32" t="s">
        <v>71</v>
      </c>
      <c r="AB94" s="32"/>
      <c r="AC94" s="32" t="s">
        <v>71</v>
      </c>
      <c r="AD94" s="32"/>
      <c r="AE94" s="32" t="s">
        <v>71</v>
      </c>
      <c r="AF94" s="32"/>
      <c r="AG94" s="32" t="s">
        <v>71</v>
      </c>
      <c r="AH94" s="32"/>
      <c r="AI94" s="32" t="s">
        <v>71</v>
      </c>
      <c r="AJ94" s="32"/>
      <c r="AK94" s="32" t="s">
        <v>71</v>
      </c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40"/>
      <c r="BP94" s="40"/>
      <c r="BQ94" s="40"/>
      <c r="BR94" s="40"/>
      <c r="BS94" s="40"/>
      <c r="BT94" s="40"/>
      <c r="BU94" s="40"/>
      <c r="BV94" s="40"/>
      <c r="BW94" s="32"/>
      <c r="BX94" s="32"/>
      <c r="BY94" s="32"/>
      <c r="BZ94" s="32"/>
      <c r="CA94" s="32"/>
      <c r="CB94" s="32"/>
      <c r="CC94" s="32"/>
      <c r="CD94" s="32"/>
      <c r="CE94" s="32" t="s">
        <v>71</v>
      </c>
      <c r="CF94" s="32"/>
      <c r="CG94" s="32" t="s">
        <v>71</v>
      </c>
      <c r="CH94" s="32"/>
      <c r="CI94" s="32" t="s">
        <v>71</v>
      </c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70" t="e">
        <f>IF(SUM(E94,G94,I94,K94,M94,O94,Q94,S94,U94,W94,Y94,AA94,AC94,AE94,AG94,AI94,AK94,AM94,AO94,AQ94,#REF!)&gt;0,"Sí","No")</f>
        <v>#REF!</v>
      </c>
      <c r="CV94" s="108" t="e">
        <f>IF($CU94="Sí",_xlfn.TEXTJOIN(", ",TRUE,IF(N(E94)&gt;0,E$4,""),IF(N(G94)&gt;0,G$4,""),IF(N(I94)&gt;0,I$4,""),IF(N(K94)&gt;0,K$4,""),IF(N(M94)&gt;0,M$4,""),IF(N(O94)&gt;0,O$4,""),IF(N(Q94)&gt;0,Q$4,""),IF(N(S94)&gt;0,S$4,""),IF(N(U94)&gt;0,U$4,""),IF(N(W94)&gt;0,W$4,""),IF(N(Y94)&gt;0,Y$4,""),IF(N(AA94)&gt;0,AA$4,""),IF(N(AC94)&gt;0,AC$4,""),IF(N(AE94)&gt;0,AE$4,""),IF(N(AG94)&gt;0,AG$4,""),IF(N(AI94)&gt;0,AI$4,""),IF(N(AK94)&gt;0,AK$4,""),IF(N(AM94)&gt;0,AM$4,""),IF(N(AO94)&gt;0,AO$4,""),IF(N(AQ94)&gt;0,AQ$4,""),IF(N(#REF!)&gt;0,#REF!,"")),"")</f>
        <v>#REF!</v>
      </c>
      <c r="CW94" s="70"/>
      <c r="CX94" s="70" t="e">
        <f t="shared" si="7"/>
        <v>#REF!</v>
      </c>
      <c r="CY94" s="30"/>
      <c r="CZ94" s="73"/>
    </row>
    <row r="95" spans="1:104" ht="18" customHeight="1" x14ac:dyDescent="0.3">
      <c r="A95" s="148" t="s">
        <v>58</v>
      </c>
      <c r="B95" s="48" t="s">
        <v>93</v>
      </c>
      <c r="C95" s="15">
        <v>46113</v>
      </c>
      <c r="D95" s="27">
        <f t="shared" si="6"/>
        <v>0</v>
      </c>
      <c r="E95" s="27"/>
      <c r="F95" s="27"/>
      <c r="G95" s="27"/>
      <c r="H95" s="27"/>
      <c r="I95" s="27"/>
      <c r="J95" s="27"/>
      <c r="K95" s="27"/>
      <c r="L95" s="27"/>
      <c r="M95" s="18" t="s">
        <v>71</v>
      </c>
      <c r="N95" s="18"/>
      <c r="O95" s="18" t="s">
        <v>71</v>
      </c>
      <c r="P95" s="18"/>
      <c r="Q95" s="18" t="s">
        <v>71</v>
      </c>
      <c r="R95" s="18"/>
      <c r="S95" s="18" t="s">
        <v>71</v>
      </c>
      <c r="T95" s="18"/>
      <c r="U95" s="18" t="s">
        <v>71</v>
      </c>
      <c r="V95" s="18"/>
      <c r="W95" s="18"/>
      <c r="X95" s="18"/>
      <c r="Y95" s="18" t="s">
        <v>71</v>
      </c>
      <c r="Z95" s="18"/>
      <c r="AA95" s="18" t="s">
        <v>71</v>
      </c>
      <c r="AB95" s="18"/>
      <c r="AC95" s="18" t="s">
        <v>71</v>
      </c>
      <c r="AD95" s="18"/>
      <c r="AE95" s="18" t="s">
        <v>71</v>
      </c>
      <c r="AF95" s="18"/>
      <c r="AG95" s="18" t="s">
        <v>71</v>
      </c>
      <c r="AH95" s="18"/>
      <c r="AI95" s="18" t="s">
        <v>71</v>
      </c>
      <c r="AJ95" s="18"/>
      <c r="AK95" s="18" t="s">
        <v>71</v>
      </c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38"/>
      <c r="BP95" s="38"/>
      <c r="BQ95" s="38"/>
      <c r="BR95" s="38"/>
      <c r="BS95" s="38"/>
      <c r="BT95" s="38"/>
      <c r="BU95" s="38"/>
      <c r="BV95" s="38"/>
      <c r="BW95" s="18"/>
      <c r="BX95" s="18"/>
      <c r="BY95" s="18"/>
      <c r="BZ95" s="18"/>
      <c r="CA95" s="18"/>
      <c r="CB95" s="18"/>
      <c r="CC95" s="18"/>
      <c r="CD95" s="18"/>
      <c r="CE95" s="18">
        <v>10</v>
      </c>
      <c r="CF95" s="18">
        <v>20</v>
      </c>
      <c r="CG95" s="18">
        <v>10</v>
      </c>
      <c r="CH95" s="18">
        <v>20</v>
      </c>
      <c r="CI95" s="18">
        <v>10</v>
      </c>
      <c r="CJ95" s="18">
        <v>20</v>
      </c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4" t="e">
        <f>IF(SUM(E95,G95,I95,K95,M95,O95,Q95,S95,U95,W95,Y95,AA95,AC95,AE95,AG95,AI95,AK95,AM95,AO95,AQ95,#REF!)&gt;0,"Sí","No")</f>
        <v>#REF!</v>
      </c>
      <c r="CV95" s="107" t="e">
        <f>IF($CU95="Sí",_xlfn.TEXTJOIN(", ",TRUE,IF(N(E95)&gt;0,E$4,""),IF(N(G95)&gt;0,G$4,""),IF(N(I95)&gt;0,I$4,""),IF(N(K95)&gt;0,K$4,""),IF(N(M95)&gt;0,M$4,""),IF(N(O95)&gt;0,O$4,""),IF(N(Q95)&gt;0,Q$4,""),IF(N(S95)&gt;0,S$4,""),IF(N(U95)&gt;0,U$4,""),IF(N(W95)&gt;0,W$4,""),IF(N(Y95)&gt;0,Y$4,""),IF(N(AA95)&gt;0,AA$4,""),IF(N(AC95)&gt;0,AC$4,""),IF(N(AE95)&gt;0,AE$4,""),IF(N(AG95)&gt;0,AG$4,""),IF(N(AI95)&gt;0,AI$4,""),IF(N(AK95)&gt;0,AK$4,""),IF(N(AM95)&gt;0,AM$4,""),IF(N(AO95)&gt;0,AO$4,""),IF(N(AQ95)&gt;0,AQ$4,""),IF(N(#REF!)&gt;0,#REF!,"")),"")</f>
        <v>#REF!</v>
      </c>
      <c r="CW95" s="14"/>
      <c r="CX95" s="14" t="e">
        <f t="shared" si="7"/>
        <v>#REF!</v>
      </c>
      <c r="CY95" s="15">
        <v>46111</v>
      </c>
      <c r="CZ95" s="66"/>
    </row>
    <row r="96" spans="1:104" ht="18" customHeight="1" x14ac:dyDescent="0.3">
      <c r="A96" s="150"/>
      <c r="B96" s="78" t="s">
        <v>94</v>
      </c>
      <c r="C96" s="12">
        <v>46114</v>
      </c>
      <c r="D96" s="20">
        <f t="shared" si="6"/>
        <v>0</v>
      </c>
      <c r="E96" s="20"/>
      <c r="F96" s="20"/>
      <c r="G96" s="20"/>
      <c r="H96" s="20"/>
      <c r="I96" s="20"/>
      <c r="J96" s="20"/>
      <c r="K96" s="20"/>
      <c r="L96" s="20"/>
      <c r="M96" s="19" t="s">
        <v>71</v>
      </c>
      <c r="N96" s="19"/>
      <c r="O96" s="19" t="s">
        <v>71</v>
      </c>
      <c r="P96" s="19"/>
      <c r="Q96" s="19" t="s">
        <v>71</v>
      </c>
      <c r="R96" s="19"/>
      <c r="S96" s="19" t="s">
        <v>71</v>
      </c>
      <c r="T96" s="19"/>
      <c r="U96" s="19" t="s">
        <v>71</v>
      </c>
      <c r="V96" s="19"/>
      <c r="W96" s="19"/>
      <c r="X96" s="19"/>
      <c r="Y96" s="19" t="s">
        <v>71</v>
      </c>
      <c r="Z96" s="19"/>
      <c r="AA96" s="19" t="s">
        <v>71</v>
      </c>
      <c r="AB96" s="19"/>
      <c r="AC96" s="19" t="s">
        <v>71</v>
      </c>
      <c r="AD96" s="19"/>
      <c r="AE96" s="19" t="s">
        <v>71</v>
      </c>
      <c r="AF96" s="19"/>
      <c r="AG96" s="19" t="s">
        <v>71</v>
      </c>
      <c r="AH96" s="19"/>
      <c r="AI96" s="19" t="s">
        <v>71</v>
      </c>
      <c r="AJ96" s="19"/>
      <c r="AK96" s="19" t="s">
        <v>71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39"/>
      <c r="BP96" s="39"/>
      <c r="BQ96" s="39"/>
      <c r="BR96" s="39"/>
      <c r="BS96" s="39"/>
      <c r="BT96" s="39"/>
      <c r="BU96" s="39"/>
      <c r="BV96" s="39"/>
      <c r="BW96" s="19"/>
      <c r="BX96" s="19"/>
      <c r="BY96" s="19"/>
      <c r="BZ96" s="19"/>
      <c r="CA96" s="19"/>
      <c r="CB96" s="19"/>
      <c r="CC96" s="19"/>
      <c r="CD96" s="19"/>
      <c r="CE96" s="19" t="s">
        <v>71</v>
      </c>
      <c r="CF96" s="19"/>
      <c r="CG96" s="19" t="s">
        <v>71</v>
      </c>
      <c r="CH96" s="19"/>
      <c r="CI96" s="19" t="s">
        <v>71</v>
      </c>
      <c r="CJ96" s="19"/>
      <c r="CK96" s="19"/>
      <c r="CL96" s="19"/>
      <c r="CM96" s="19">
        <v>10</v>
      </c>
      <c r="CN96" s="19">
        <v>20</v>
      </c>
      <c r="CO96" s="19">
        <v>10</v>
      </c>
      <c r="CP96" s="19">
        <v>20</v>
      </c>
      <c r="CQ96" s="19">
        <v>10</v>
      </c>
      <c r="CR96" s="19">
        <v>20</v>
      </c>
      <c r="CS96" s="19"/>
      <c r="CT96" s="19"/>
      <c r="CU96" s="11" t="e">
        <f>IF(SUM(E96,G96,I96,K96,M96,O96,Q96,S96,U96,W96,Y96,AA96,AC96,AE96,AG96,AI96,AK96,AM96,AO96,AQ96,#REF!)&gt;0,"Sí","No")</f>
        <v>#REF!</v>
      </c>
      <c r="CV96" s="92" t="e">
        <f>IF($CU96="Sí",_xlfn.TEXTJOIN(", ",TRUE,IF(N(E96)&gt;0,E$4,""),IF(N(G96)&gt;0,G$4,""),IF(N(I96)&gt;0,I$4,""),IF(N(K96)&gt;0,K$4,""),IF(N(M96)&gt;0,M$4,""),IF(N(O96)&gt;0,O$4,""),IF(N(Q96)&gt;0,Q$4,""),IF(N(S96)&gt;0,S$4,""),IF(N(U96)&gt;0,U$4,""),IF(N(W96)&gt;0,W$4,""),IF(N(Y96)&gt;0,Y$4,""),IF(N(AA96)&gt;0,AA$4,""),IF(N(AC96)&gt;0,AC$4,""),IF(N(AE96)&gt;0,AE$4,""),IF(N(AG96)&gt;0,AG$4,""),IF(N(AI96)&gt;0,AI$4,""),IF(N(AK96)&gt;0,AK$4,""),IF(N(AM96)&gt;0,AM$4,""),IF(N(AO96)&gt;0,AO$4,""),IF(N(AQ96)&gt;0,AQ$4,""),IF(N(#REF!)&gt;0,#REF!,"")),"")</f>
        <v>#REF!</v>
      </c>
      <c r="CW96" s="11"/>
      <c r="CX96" s="11" t="e">
        <f t="shared" si="7"/>
        <v>#REF!</v>
      </c>
      <c r="CY96" s="12">
        <v>46113</v>
      </c>
      <c r="CZ96" s="68"/>
    </row>
    <row r="97" spans="1:104" ht="30.6" customHeight="1" x14ac:dyDescent="0.3">
      <c r="A97" s="150"/>
      <c r="B97" s="78" t="s">
        <v>95</v>
      </c>
      <c r="C97" s="12">
        <v>46115</v>
      </c>
      <c r="D97" s="20">
        <f t="shared" si="6"/>
        <v>0</v>
      </c>
      <c r="E97" s="20"/>
      <c r="F97" s="20"/>
      <c r="G97" s="20"/>
      <c r="H97" s="20"/>
      <c r="I97" s="20"/>
      <c r="J97" s="20"/>
      <c r="K97" s="20"/>
      <c r="L97" s="20"/>
      <c r="M97" s="19" t="s">
        <v>71</v>
      </c>
      <c r="N97" s="19"/>
      <c r="O97" s="19" t="s">
        <v>71</v>
      </c>
      <c r="P97" s="19"/>
      <c r="Q97" s="19" t="s">
        <v>71</v>
      </c>
      <c r="R97" s="19"/>
      <c r="S97" s="19" t="s">
        <v>71</v>
      </c>
      <c r="T97" s="19"/>
      <c r="U97" s="19" t="s">
        <v>71</v>
      </c>
      <c r="V97" s="19"/>
      <c r="W97" s="19"/>
      <c r="X97" s="19"/>
      <c r="Y97" s="19" t="s">
        <v>71</v>
      </c>
      <c r="Z97" s="19"/>
      <c r="AA97" s="19" t="s">
        <v>71</v>
      </c>
      <c r="AB97" s="19"/>
      <c r="AC97" s="19" t="s">
        <v>71</v>
      </c>
      <c r="AD97" s="19"/>
      <c r="AE97" s="19" t="s">
        <v>71</v>
      </c>
      <c r="AF97" s="19"/>
      <c r="AG97" s="19" t="s">
        <v>71</v>
      </c>
      <c r="AH97" s="19"/>
      <c r="AI97" s="19" t="s">
        <v>71</v>
      </c>
      <c r="AJ97" s="19"/>
      <c r="AK97" s="19" t="s">
        <v>71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>
        <v>10</v>
      </c>
      <c r="BH97" s="19">
        <v>20</v>
      </c>
      <c r="BI97" s="19">
        <v>10</v>
      </c>
      <c r="BJ97" s="19">
        <v>20</v>
      </c>
      <c r="BK97" s="19">
        <v>10</v>
      </c>
      <c r="BL97" s="19">
        <v>20</v>
      </c>
      <c r="BM97" s="19"/>
      <c r="BN97" s="19"/>
      <c r="BO97" s="39"/>
      <c r="BP97" s="39"/>
      <c r="BQ97" s="39"/>
      <c r="BR97" s="39"/>
      <c r="BS97" s="39"/>
      <c r="BT97" s="39"/>
      <c r="BU97" s="39"/>
      <c r="BV97" s="39"/>
      <c r="BW97" s="19"/>
      <c r="BX97" s="19"/>
      <c r="BY97" s="19"/>
      <c r="BZ97" s="19"/>
      <c r="CA97" s="19"/>
      <c r="CB97" s="19"/>
      <c r="CC97" s="19"/>
      <c r="CD97" s="19"/>
      <c r="CE97" s="19" t="s">
        <v>71</v>
      </c>
      <c r="CF97" s="19"/>
      <c r="CG97" s="19" t="s">
        <v>71</v>
      </c>
      <c r="CH97" s="19"/>
      <c r="CI97" s="19" t="s">
        <v>71</v>
      </c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1" t="e">
        <f>IF(SUM(E97,G97,I97,K97,M97,O97,Q97,S97,U97,W97,Y97,AA97,AC97,AE97,AG97,AI97,AK97,AM97,AO97,AQ97,#REF!)&gt;0,"Sí","No")</f>
        <v>#REF!</v>
      </c>
      <c r="CV97" s="92" t="e">
        <f>IF($CU97="Sí",_xlfn.TEXTJOIN(", ",TRUE,IF(N(E97)&gt;0,E$4,""),IF(N(G97)&gt;0,G$4,""),IF(N(I97)&gt;0,I$4,""),IF(N(K97)&gt;0,K$4,""),IF(N(M97)&gt;0,M$4,""),IF(N(O97)&gt;0,O$4,""),IF(N(Q97)&gt;0,Q$4,""),IF(N(S97)&gt;0,S$4,""),IF(N(U97)&gt;0,U$4,""),IF(N(W97)&gt;0,W$4,""),IF(N(Y97)&gt;0,Y$4,""),IF(N(AA97)&gt;0,AA$4,""),IF(N(AC97)&gt;0,AC$4,""),IF(N(AE97)&gt;0,AE$4,""),IF(N(AG97)&gt;0,AG$4,""),IF(N(AI97)&gt;0,AI$4,""),IF(N(AK97)&gt;0,AK$4,""),IF(N(AM97)&gt;0,AM$4,""),IF(N(AO97)&gt;0,AO$4,""),IF(N(AQ97)&gt;0,AQ$4,""),IF(N(#REF!)&gt;0,#REF!,"")),"")</f>
        <v>#REF!</v>
      </c>
      <c r="CW97" s="11"/>
      <c r="CX97" s="11" t="e">
        <f t="shared" si="7"/>
        <v>#REF!</v>
      </c>
      <c r="CY97" s="12">
        <v>46118</v>
      </c>
      <c r="CZ97" s="68"/>
    </row>
    <row r="98" spans="1:104" ht="18" customHeight="1" x14ac:dyDescent="0.3">
      <c r="A98" s="150"/>
      <c r="B98" s="78" t="s">
        <v>97</v>
      </c>
      <c r="C98" s="12">
        <v>46116</v>
      </c>
      <c r="D98" s="20">
        <f t="shared" si="6"/>
        <v>0</v>
      </c>
      <c r="E98" s="20"/>
      <c r="F98" s="20"/>
      <c r="G98" s="20"/>
      <c r="H98" s="20"/>
      <c r="I98" s="20"/>
      <c r="J98" s="20"/>
      <c r="K98" s="20"/>
      <c r="L98" s="20"/>
      <c r="M98" s="19" t="s">
        <v>71</v>
      </c>
      <c r="N98" s="19"/>
      <c r="O98" s="19" t="s">
        <v>71</v>
      </c>
      <c r="P98" s="19"/>
      <c r="Q98" s="19" t="s">
        <v>71</v>
      </c>
      <c r="R98" s="19"/>
      <c r="S98" s="19" t="s">
        <v>71</v>
      </c>
      <c r="T98" s="19"/>
      <c r="U98" s="19" t="s">
        <v>71</v>
      </c>
      <c r="V98" s="19"/>
      <c r="W98" s="19"/>
      <c r="X98" s="19"/>
      <c r="Y98" s="19" t="s">
        <v>71</v>
      </c>
      <c r="Z98" s="19"/>
      <c r="AA98" s="19" t="s">
        <v>71</v>
      </c>
      <c r="AB98" s="19"/>
      <c r="AC98" s="19" t="s">
        <v>71</v>
      </c>
      <c r="AD98" s="19"/>
      <c r="AE98" s="19" t="s">
        <v>71</v>
      </c>
      <c r="AF98" s="19"/>
      <c r="AG98" s="19" t="s">
        <v>71</v>
      </c>
      <c r="AH98" s="19"/>
      <c r="AI98" s="19" t="s">
        <v>71</v>
      </c>
      <c r="AJ98" s="19"/>
      <c r="AK98" s="19" t="s">
        <v>71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39"/>
      <c r="BP98" s="39"/>
      <c r="BQ98" s="39"/>
      <c r="BR98" s="39"/>
      <c r="BS98" s="39"/>
      <c r="BT98" s="39"/>
      <c r="BU98" s="39"/>
      <c r="BV98" s="39"/>
      <c r="BW98" s="19"/>
      <c r="BX98" s="19"/>
      <c r="BY98" s="19"/>
      <c r="BZ98" s="19"/>
      <c r="CA98" s="19"/>
      <c r="CB98" s="19"/>
      <c r="CC98" s="19"/>
      <c r="CD98" s="19"/>
      <c r="CE98" s="19" t="s">
        <v>71</v>
      </c>
      <c r="CF98" s="19"/>
      <c r="CG98" s="19" t="s">
        <v>71</v>
      </c>
      <c r="CH98" s="19"/>
      <c r="CI98" s="19" t="s">
        <v>71</v>
      </c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1" t="e">
        <f>IF(SUM(E98,G98,I98,K98,M98,O98,Q98,S98,U98,W98,Y98,AA98,AC98,AE98,AG98,AI98,AK98,AM98,AO98,AQ98,#REF!)&gt;0,"Sí","No")</f>
        <v>#REF!</v>
      </c>
      <c r="CV98" s="92" t="e">
        <f>IF($CU98="Sí",_xlfn.TEXTJOIN(", ",TRUE,IF(N(E98)&gt;0,E$4,""),IF(N(G98)&gt;0,G$4,""),IF(N(I98)&gt;0,I$4,""),IF(N(K98)&gt;0,K$4,""),IF(N(M98)&gt;0,M$4,""),IF(N(O98)&gt;0,O$4,""),IF(N(Q98)&gt;0,Q$4,""),IF(N(S98)&gt;0,S$4,""),IF(N(U98)&gt;0,U$4,""),IF(N(W98)&gt;0,W$4,""),IF(N(Y98)&gt;0,Y$4,""),IF(N(AA98)&gt;0,AA$4,""),IF(N(AC98)&gt;0,AC$4,""),IF(N(AE98)&gt;0,AE$4,""),IF(N(AG98)&gt;0,AG$4,""),IF(N(AI98)&gt;0,AI$4,""),IF(N(AK98)&gt;0,AK$4,""),IF(N(AM98)&gt;0,AM$4,""),IF(N(AO98)&gt;0,AO$4,""),IF(N(AQ98)&gt;0,AQ$4,""),IF(N(#REF!)&gt;0,#REF!,"")),"")</f>
        <v>#REF!</v>
      </c>
      <c r="CW98" s="11"/>
      <c r="CX98" s="11" t="e">
        <f t="shared" si="7"/>
        <v>#REF!</v>
      </c>
      <c r="CY98" s="12"/>
      <c r="CZ98" s="68"/>
    </row>
    <row r="99" spans="1:104" ht="18" customHeight="1" x14ac:dyDescent="0.3">
      <c r="A99" s="150"/>
      <c r="B99" s="78" t="s">
        <v>98</v>
      </c>
      <c r="C99" s="12">
        <v>46117</v>
      </c>
      <c r="D99" s="20">
        <f t="shared" si="6"/>
        <v>0</v>
      </c>
      <c r="E99" s="20"/>
      <c r="F99" s="20"/>
      <c r="G99" s="20"/>
      <c r="H99" s="20"/>
      <c r="I99" s="20"/>
      <c r="J99" s="20"/>
      <c r="K99" s="20"/>
      <c r="L99" s="20"/>
      <c r="M99" s="19" t="s">
        <v>71</v>
      </c>
      <c r="N99" s="19"/>
      <c r="O99" s="19" t="s">
        <v>71</v>
      </c>
      <c r="P99" s="19"/>
      <c r="Q99" s="19" t="s">
        <v>71</v>
      </c>
      <c r="R99" s="19"/>
      <c r="S99" s="19" t="s">
        <v>71</v>
      </c>
      <c r="T99" s="19"/>
      <c r="U99" s="19" t="s">
        <v>71</v>
      </c>
      <c r="V99" s="19"/>
      <c r="W99" s="19"/>
      <c r="X99" s="19"/>
      <c r="Y99" s="19" t="s">
        <v>71</v>
      </c>
      <c r="Z99" s="19"/>
      <c r="AA99" s="19" t="s">
        <v>71</v>
      </c>
      <c r="AB99" s="19"/>
      <c r="AC99" s="19" t="s">
        <v>71</v>
      </c>
      <c r="AD99" s="19"/>
      <c r="AE99" s="19" t="s">
        <v>71</v>
      </c>
      <c r="AF99" s="19"/>
      <c r="AG99" s="19" t="s">
        <v>71</v>
      </c>
      <c r="AH99" s="19"/>
      <c r="AI99" s="19" t="s">
        <v>71</v>
      </c>
      <c r="AJ99" s="19"/>
      <c r="AK99" s="19" t="s">
        <v>71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39"/>
      <c r="BP99" s="39"/>
      <c r="BQ99" s="39"/>
      <c r="BR99" s="39"/>
      <c r="BS99" s="39"/>
      <c r="BT99" s="39"/>
      <c r="BU99" s="39"/>
      <c r="BV99" s="39"/>
      <c r="BW99" s="19"/>
      <c r="BX99" s="19"/>
      <c r="BY99" s="19"/>
      <c r="BZ99" s="19"/>
      <c r="CA99" s="19"/>
      <c r="CB99" s="19"/>
      <c r="CC99" s="19"/>
      <c r="CD99" s="19"/>
      <c r="CE99" s="19" t="s">
        <v>71</v>
      </c>
      <c r="CF99" s="19"/>
      <c r="CG99" s="19" t="s">
        <v>71</v>
      </c>
      <c r="CH99" s="19"/>
      <c r="CI99" s="19" t="s">
        <v>71</v>
      </c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1" t="e">
        <f>IF(SUM(E99,G99,I99,K99,M99,O99,Q99,S99,U99,W99,Y99,AA99,AC99,AE99,AG99,AI99,AK99,AM99,AO99,AQ99,#REF!)&gt;0,"Sí","No")</f>
        <v>#REF!</v>
      </c>
      <c r="CV99" s="92" t="e">
        <f>IF($CU99="Sí",_xlfn.TEXTJOIN(", ",TRUE,IF(N(E99)&gt;0,E$4,""),IF(N(G99)&gt;0,G$4,""),IF(N(I99)&gt;0,I$4,""),IF(N(K99)&gt;0,K$4,""),IF(N(M99)&gt;0,M$4,""),IF(N(O99)&gt;0,O$4,""),IF(N(Q99)&gt;0,Q$4,""),IF(N(S99)&gt;0,S$4,""),IF(N(U99)&gt;0,U$4,""),IF(N(W99)&gt;0,W$4,""),IF(N(Y99)&gt;0,Y$4,""),IF(N(AA99)&gt;0,AA$4,""),IF(N(AC99)&gt;0,AC$4,""),IF(N(AE99)&gt;0,AE$4,""),IF(N(AG99)&gt;0,AG$4,""),IF(N(AI99)&gt;0,AI$4,""),IF(N(AK99)&gt;0,AK$4,""),IF(N(AM99)&gt;0,AM$4,""),IF(N(AO99)&gt;0,AO$4,""),IF(N(AQ99)&gt;0,AQ$4,""),IF(N(#REF!)&gt;0,#REF!,"")),"")</f>
        <v>#REF!</v>
      </c>
      <c r="CW99" s="11"/>
      <c r="CX99" s="11" t="e">
        <f t="shared" si="7"/>
        <v>#REF!</v>
      </c>
      <c r="CY99" s="12"/>
      <c r="CZ99" s="68"/>
    </row>
    <row r="100" spans="1:104" ht="18" customHeight="1" x14ac:dyDescent="0.3">
      <c r="A100" s="150"/>
      <c r="B100" s="78" t="s">
        <v>99</v>
      </c>
      <c r="C100" s="12">
        <v>46118</v>
      </c>
      <c r="D100" s="20">
        <f t="shared" si="6"/>
        <v>0</v>
      </c>
      <c r="E100" s="20"/>
      <c r="F100" s="20"/>
      <c r="G100" s="20"/>
      <c r="H100" s="20"/>
      <c r="I100" s="20"/>
      <c r="J100" s="20"/>
      <c r="K100" s="20"/>
      <c r="L100" s="20"/>
      <c r="M100" s="19" t="s">
        <v>71</v>
      </c>
      <c r="N100" s="19"/>
      <c r="O100" s="19" t="s">
        <v>71</v>
      </c>
      <c r="P100" s="19"/>
      <c r="Q100" s="19" t="s">
        <v>71</v>
      </c>
      <c r="R100" s="19"/>
      <c r="S100" s="19" t="s">
        <v>71</v>
      </c>
      <c r="T100" s="19"/>
      <c r="U100" s="19" t="s">
        <v>71</v>
      </c>
      <c r="V100" s="19"/>
      <c r="W100" s="19"/>
      <c r="X100" s="19"/>
      <c r="Y100" s="19" t="s">
        <v>71</v>
      </c>
      <c r="Z100" s="19"/>
      <c r="AA100" s="19" t="s">
        <v>71</v>
      </c>
      <c r="AB100" s="19"/>
      <c r="AC100" s="19" t="s">
        <v>71</v>
      </c>
      <c r="AD100" s="19"/>
      <c r="AE100" s="19" t="s">
        <v>71</v>
      </c>
      <c r="AF100" s="19"/>
      <c r="AG100" s="19" t="s">
        <v>71</v>
      </c>
      <c r="AH100" s="19"/>
      <c r="AI100" s="19" t="s">
        <v>71</v>
      </c>
      <c r="AJ100" s="19"/>
      <c r="AK100" s="19" t="s">
        <v>71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39"/>
      <c r="BP100" s="39"/>
      <c r="BQ100" s="39"/>
      <c r="BR100" s="39"/>
      <c r="BS100" s="39"/>
      <c r="BT100" s="39"/>
      <c r="BU100" s="39"/>
      <c r="BV100" s="39"/>
      <c r="BW100" s="19"/>
      <c r="BX100" s="19"/>
      <c r="BY100" s="19"/>
      <c r="BZ100" s="19"/>
      <c r="CA100" s="19"/>
      <c r="CB100" s="19"/>
      <c r="CC100" s="19"/>
      <c r="CD100" s="19"/>
      <c r="CE100" s="19" t="s">
        <v>71</v>
      </c>
      <c r="CF100" s="19"/>
      <c r="CG100" s="19" t="s">
        <v>71</v>
      </c>
      <c r="CH100" s="19"/>
      <c r="CI100" s="19" t="s">
        <v>71</v>
      </c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1" t="e">
        <f>IF(SUM(E100,G100,I100,K100,M100,O100,Q100,S100,U100,W100,Y100,AA100,AC100,AE100,AG100,AI100,AK100,AM100,AO100,AQ100,#REF!)&gt;0,"Sí","No")</f>
        <v>#REF!</v>
      </c>
      <c r="CV100" s="92" t="e">
        <f>IF($CU100="Sí",_xlfn.TEXTJOIN(", ",TRUE,IF(N(E100)&gt;0,E$4,""),IF(N(G100)&gt;0,G$4,""),IF(N(I100)&gt;0,I$4,""),IF(N(K100)&gt;0,K$4,""),IF(N(M100)&gt;0,M$4,""),IF(N(O100)&gt;0,O$4,""),IF(N(Q100)&gt;0,Q$4,""),IF(N(S100)&gt;0,S$4,""),IF(N(U100)&gt;0,U$4,""),IF(N(W100)&gt;0,W$4,""),IF(N(Y100)&gt;0,Y$4,""),IF(N(AA100)&gt;0,AA$4,""),IF(N(AC100)&gt;0,AC$4,""),IF(N(AE100)&gt;0,AE$4,""),IF(N(AG100)&gt;0,AG$4,""),IF(N(AI100)&gt;0,AI$4,""),IF(N(AK100)&gt;0,AK$4,""),IF(N(AM100)&gt;0,AM$4,""),IF(N(AO100)&gt;0,AO$4,""),IF(N(AQ100)&gt;0,AQ$4,""),IF(N(#REF!)&gt;0,#REF!,"")),"")</f>
        <v>#REF!</v>
      </c>
      <c r="CW100" s="11"/>
      <c r="CX100" s="11" t="e">
        <f t="shared" si="7"/>
        <v>#REF!</v>
      </c>
      <c r="CY100" s="12">
        <f>C100</f>
        <v>46118</v>
      </c>
      <c r="CZ100" s="68"/>
    </row>
    <row r="101" spans="1:104" ht="18" customHeight="1" x14ac:dyDescent="0.3">
      <c r="A101" s="150"/>
      <c r="B101" s="78" t="s">
        <v>100</v>
      </c>
      <c r="C101" s="12">
        <v>46119</v>
      </c>
      <c r="D101" s="20">
        <f t="shared" si="6"/>
        <v>0</v>
      </c>
      <c r="E101" s="20"/>
      <c r="F101" s="20"/>
      <c r="G101" s="20"/>
      <c r="H101" s="20"/>
      <c r="I101" s="20"/>
      <c r="J101" s="20"/>
      <c r="K101" s="20"/>
      <c r="L101" s="20"/>
      <c r="M101" s="19" t="s">
        <v>71</v>
      </c>
      <c r="N101" s="19"/>
      <c r="O101" s="19" t="s">
        <v>71</v>
      </c>
      <c r="P101" s="19"/>
      <c r="Q101" s="19" t="s">
        <v>71</v>
      </c>
      <c r="R101" s="19"/>
      <c r="S101" s="19" t="s">
        <v>71</v>
      </c>
      <c r="T101" s="19"/>
      <c r="U101" s="19" t="s">
        <v>71</v>
      </c>
      <c r="V101" s="19"/>
      <c r="W101" s="19"/>
      <c r="X101" s="19"/>
      <c r="Y101" s="19" t="s">
        <v>71</v>
      </c>
      <c r="Z101" s="19"/>
      <c r="AA101" s="19" t="s">
        <v>71</v>
      </c>
      <c r="AB101" s="19"/>
      <c r="AC101" s="19" t="s">
        <v>71</v>
      </c>
      <c r="AD101" s="19"/>
      <c r="AE101" s="19" t="s">
        <v>71</v>
      </c>
      <c r="AF101" s="19"/>
      <c r="AG101" s="19" t="s">
        <v>71</v>
      </c>
      <c r="AH101" s="19"/>
      <c r="AI101" s="19" t="s">
        <v>71</v>
      </c>
      <c r="AJ101" s="19"/>
      <c r="AK101" s="19" t="s">
        <v>71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39"/>
      <c r="BP101" s="39"/>
      <c r="BQ101" s="39"/>
      <c r="BR101" s="39"/>
      <c r="BS101" s="39"/>
      <c r="BT101" s="39"/>
      <c r="BU101" s="39"/>
      <c r="BV101" s="39"/>
      <c r="BW101" s="19"/>
      <c r="BX101" s="19"/>
      <c r="BY101" s="19"/>
      <c r="BZ101" s="19"/>
      <c r="CA101" s="19"/>
      <c r="CB101" s="19"/>
      <c r="CC101" s="19"/>
      <c r="CD101" s="19"/>
      <c r="CE101" s="19" t="s">
        <v>71</v>
      </c>
      <c r="CF101" s="19"/>
      <c r="CG101" s="19" t="s">
        <v>71</v>
      </c>
      <c r="CH101" s="19"/>
      <c r="CI101" s="19" t="s">
        <v>71</v>
      </c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1" t="e">
        <f>IF(SUM(E101,G101,I101,K101,M101,O101,Q101,S101,U101,W101,Y101,AA101,AC101,AE101,AG101,AI101,AK101,AM101,AO101,AQ101,#REF!)&gt;0,"Sí","No")</f>
        <v>#REF!</v>
      </c>
      <c r="CV101" s="92" t="e">
        <f>IF($CU101="Sí",_xlfn.TEXTJOIN(", ",TRUE,IF(N(E101)&gt;0,E$4,""),IF(N(G101)&gt;0,G$4,""),IF(N(I101)&gt;0,I$4,""),IF(N(K101)&gt;0,K$4,""),IF(N(M101)&gt;0,M$4,""),IF(N(O101)&gt;0,O$4,""),IF(N(Q101)&gt;0,Q$4,""),IF(N(S101)&gt;0,S$4,""),IF(N(U101)&gt;0,U$4,""),IF(N(W101)&gt;0,W$4,""),IF(N(Y101)&gt;0,Y$4,""),IF(N(AA101)&gt;0,AA$4,""),IF(N(AC101)&gt;0,AC$4,""),IF(N(AE101)&gt;0,AE$4,""),IF(N(AG101)&gt;0,AG$4,""),IF(N(AI101)&gt;0,AI$4,""),IF(N(AK101)&gt;0,AK$4,""),IF(N(AM101)&gt;0,AM$4,""),IF(N(AO101)&gt;0,AO$4,""),IF(N(AQ101)&gt;0,AQ$4,""),IF(N(#REF!)&gt;0,#REF!,"")),"")</f>
        <v>#REF!</v>
      </c>
      <c r="CW101" s="11"/>
      <c r="CX101" s="11" t="e">
        <f t="shared" si="7"/>
        <v>#REF!</v>
      </c>
      <c r="CY101" s="12"/>
      <c r="CZ101" s="68"/>
    </row>
    <row r="102" spans="1:104" ht="18" customHeight="1" x14ac:dyDescent="0.3">
      <c r="A102" s="150"/>
      <c r="B102" s="78" t="s">
        <v>101</v>
      </c>
      <c r="C102" s="12">
        <v>46120</v>
      </c>
      <c r="D102" s="20">
        <f t="shared" si="6"/>
        <v>0</v>
      </c>
      <c r="E102" s="20"/>
      <c r="F102" s="20"/>
      <c r="G102" s="20"/>
      <c r="H102" s="20"/>
      <c r="I102" s="20"/>
      <c r="J102" s="20"/>
      <c r="K102" s="20"/>
      <c r="L102" s="20"/>
      <c r="M102" s="19" t="s">
        <v>71</v>
      </c>
      <c r="N102" s="19"/>
      <c r="O102" s="19" t="s">
        <v>71</v>
      </c>
      <c r="P102" s="19"/>
      <c r="Q102" s="19" t="s">
        <v>71</v>
      </c>
      <c r="R102" s="19"/>
      <c r="S102" s="19" t="s">
        <v>71</v>
      </c>
      <c r="T102" s="19"/>
      <c r="U102" s="19" t="s">
        <v>71</v>
      </c>
      <c r="V102" s="19"/>
      <c r="W102" s="19"/>
      <c r="X102" s="19"/>
      <c r="Y102" s="19" t="s">
        <v>71</v>
      </c>
      <c r="Z102" s="19"/>
      <c r="AA102" s="19" t="s">
        <v>71</v>
      </c>
      <c r="AB102" s="19"/>
      <c r="AC102" s="19" t="s">
        <v>71</v>
      </c>
      <c r="AD102" s="19"/>
      <c r="AE102" s="19" t="s">
        <v>71</v>
      </c>
      <c r="AF102" s="19"/>
      <c r="AG102" s="19" t="s">
        <v>71</v>
      </c>
      <c r="AH102" s="19"/>
      <c r="AI102" s="19" t="s">
        <v>71</v>
      </c>
      <c r="AJ102" s="19"/>
      <c r="AK102" s="19" t="s">
        <v>71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39"/>
      <c r="BP102" s="39"/>
      <c r="BQ102" s="39"/>
      <c r="BR102" s="39"/>
      <c r="BS102" s="39"/>
      <c r="BT102" s="39"/>
      <c r="BU102" s="39"/>
      <c r="BV102" s="39"/>
      <c r="BW102" s="19"/>
      <c r="BX102" s="19"/>
      <c r="BY102" s="19"/>
      <c r="BZ102" s="19"/>
      <c r="CA102" s="19"/>
      <c r="CB102" s="19"/>
      <c r="CC102" s="19"/>
      <c r="CD102" s="19"/>
      <c r="CE102" s="19" t="s">
        <v>71</v>
      </c>
      <c r="CF102" s="19"/>
      <c r="CG102" s="19" t="s">
        <v>71</v>
      </c>
      <c r="CH102" s="19"/>
      <c r="CI102" s="19" t="s">
        <v>71</v>
      </c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1" t="e">
        <f>IF(SUM(E102,G102,I102,K102,M102,O102,Q102,S102,U102,W102,Y102,AA102,AC102,AE102,AG102,AI102,AK102,AM102,AO102,AQ102,#REF!)&gt;0,"Sí","No")</f>
        <v>#REF!</v>
      </c>
      <c r="CV102" s="92" t="e">
        <f>IF($CU102="Sí",_xlfn.TEXTJOIN(", ",TRUE,IF(N(E102)&gt;0,E$4,""),IF(N(G102)&gt;0,G$4,""),IF(N(I102)&gt;0,I$4,""),IF(N(K102)&gt;0,K$4,""),IF(N(M102)&gt;0,M$4,""),IF(N(O102)&gt;0,O$4,""),IF(N(Q102)&gt;0,Q$4,""),IF(N(S102)&gt;0,S$4,""),IF(N(U102)&gt;0,U$4,""),IF(N(W102)&gt;0,W$4,""),IF(N(Y102)&gt;0,Y$4,""),IF(N(AA102)&gt;0,AA$4,""),IF(N(AC102)&gt;0,AC$4,""),IF(N(AE102)&gt;0,AE$4,""),IF(N(AG102)&gt;0,AG$4,""),IF(N(AI102)&gt;0,AI$4,""),IF(N(AK102)&gt;0,AK$4,""),IF(N(AM102)&gt;0,AM$4,""),IF(N(AO102)&gt;0,AO$4,""),IF(N(AQ102)&gt;0,AQ$4,""),IF(N(#REF!)&gt;0,#REF!,"")),"")</f>
        <v>#REF!</v>
      </c>
      <c r="CW102" s="11"/>
      <c r="CX102" s="11" t="e">
        <f t="shared" si="7"/>
        <v>#REF!</v>
      </c>
      <c r="CY102" s="12"/>
      <c r="CZ102" s="68"/>
    </row>
    <row r="103" spans="1:104" ht="18" customHeight="1" x14ac:dyDescent="0.3">
      <c r="A103" s="150"/>
      <c r="B103" s="78" t="s">
        <v>94</v>
      </c>
      <c r="C103" s="12">
        <v>46121</v>
      </c>
      <c r="D103" s="20">
        <f t="shared" si="6"/>
        <v>0</v>
      </c>
      <c r="E103" s="20"/>
      <c r="F103" s="20"/>
      <c r="G103" s="20"/>
      <c r="H103" s="20"/>
      <c r="I103" s="20"/>
      <c r="J103" s="20"/>
      <c r="K103" s="20"/>
      <c r="L103" s="20"/>
      <c r="M103" s="19" t="s">
        <v>71</v>
      </c>
      <c r="N103" s="19"/>
      <c r="O103" s="19" t="s">
        <v>71</v>
      </c>
      <c r="P103" s="19"/>
      <c r="Q103" s="19" t="s">
        <v>71</v>
      </c>
      <c r="R103" s="19"/>
      <c r="S103" s="19" t="s">
        <v>71</v>
      </c>
      <c r="T103" s="19"/>
      <c r="U103" s="19" t="s">
        <v>71</v>
      </c>
      <c r="V103" s="19"/>
      <c r="W103" s="19"/>
      <c r="X103" s="19"/>
      <c r="Y103" s="19" t="s">
        <v>71</v>
      </c>
      <c r="Z103" s="19"/>
      <c r="AA103" s="19" t="s">
        <v>71</v>
      </c>
      <c r="AB103" s="19"/>
      <c r="AC103" s="19" t="s">
        <v>71</v>
      </c>
      <c r="AD103" s="19"/>
      <c r="AE103" s="19" t="s">
        <v>71</v>
      </c>
      <c r="AF103" s="19"/>
      <c r="AG103" s="19" t="s">
        <v>71</v>
      </c>
      <c r="AH103" s="19"/>
      <c r="AI103" s="19" t="s">
        <v>71</v>
      </c>
      <c r="AJ103" s="19"/>
      <c r="AK103" s="19" t="s">
        <v>71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39"/>
      <c r="BP103" s="39"/>
      <c r="BQ103" s="39"/>
      <c r="BR103" s="39"/>
      <c r="BS103" s="39"/>
      <c r="BT103" s="39"/>
      <c r="BU103" s="39"/>
      <c r="BV103" s="39"/>
      <c r="BW103" s="19"/>
      <c r="BX103" s="19"/>
      <c r="BY103" s="19"/>
      <c r="BZ103" s="19"/>
      <c r="CA103" s="19"/>
      <c r="CB103" s="19"/>
      <c r="CC103" s="19"/>
      <c r="CD103" s="19"/>
      <c r="CE103" s="19" t="s">
        <v>71</v>
      </c>
      <c r="CF103" s="19"/>
      <c r="CG103" s="19" t="s">
        <v>71</v>
      </c>
      <c r="CH103" s="19"/>
      <c r="CI103" s="19" t="s">
        <v>71</v>
      </c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1" t="e">
        <f>IF(SUM(E103,G103,I103,K103,M103,O103,Q103,S103,U103,W103,Y103,AA103,AC103,AE103,AG103,AI103,AK103,AM103,AO103,AQ103,#REF!)&gt;0,"Sí","No")</f>
        <v>#REF!</v>
      </c>
      <c r="CV103" s="92" t="e">
        <f>IF($CU103="Sí",_xlfn.TEXTJOIN(", ",TRUE,IF(N(E103)&gt;0,E$4,""),IF(N(G103)&gt;0,G$4,""),IF(N(I103)&gt;0,I$4,""),IF(N(K103)&gt;0,K$4,""),IF(N(M103)&gt;0,M$4,""),IF(N(O103)&gt;0,O$4,""),IF(N(Q103)&gt;0,Q$4,""),IF(N(S103)&gt;0,S$4,""),IF(N(U103)&gt;0,U$4,""),IF(N(W103)&gt;0,W$4,""),IF(N(Y103)&gt;0,Y$4,""),IF(N(AA103)&gt;0,AA$4,""),IF(N(AC103)&gt;0,AC$4,""),IF(N(AE103)&gt;0,AE$4,""),IF(N(AG103)&gt;0,AG$4,""),IF(N(AI103)&gt;0,AI$4,""),IF(N(AK103)&gt;0,AK$4,""),IF(N(AM103)&gt;0,AM$4,""),IF(N(AO103)&gt;0,AO$4,""),IF(N(AQ103)&gt;0,AQ$4,""),IF(N(#REF!)&gt;0,#REF!,"")),"")</f>
        <v>#REF!</v>
      </c>
      <c r="CW103" s="11"/>
      <c r="CX103" s="11" t="e">
        <f t="shared" si="7"/>
        <v>#REF!</v>
      </c>
      <c r="CY103" s="12"/>
      <c r="CZ103" s="68"/>
    </row>
    <row r="104" spans="1:104" ht="18" customHeight="1" x14ac:dyDescent="0.3">
      <c r="A104" s="150"/>
      <c r="B104" s="78" t="s">
        <v>95</v>
      </c>
      <c r="C104" s="12">
        <v>46122</v>
      </c>
      <c r="D104" s="20">
        <f t="shared" si="6"/>
        <v>0</v>
      </c>
      <c r="E104" s="20"/>
      <c r="F104" s="20"/>
      <c r="G104" s="20"/>
      <c r="H104" s="20"/>
      <c r="I104" s="20"/>
      <c r="J104" s="20"/>
      <c r="K104" s="20"/>
      <c r="L104" s="20"/>
      <c r="M104" s="19" t="s">
        <v>71</v>
      </c>
      <c r="N104" s="19"/>
      <c r="O104" s="19" t="s">
        <v>71</v>
      </c>
      <c r="P104" s="19"/>
      <c r="Q104" s="19" t="s">
        <v>71</v>
      </c>
      <c r="R104" s="19"/>
      <c r="S104" s="19" t="s">
        <v>71</v>
      </c>
      <c r="T104" s="19"/>
      <c r="U104" s="19" t="s">
        <v>71</v>
      </c>
      <c r="V104" s="19"/>
      <c r="W104" s="19"/>
      <c r="X104" s="19"/>
      <c r="Y104" s="19" t="s">
        <v>71</v>
      </c>
      <c r="Z104" s="19"/>
      <c r="AA104" s="19" t="s">
        <v>71</v>
      </c>
      <c r="AB104" s="19"/>
      <c r="AC104" s="19" t="s">
        <v>71</v>
      </c>
      <c r="AD104" s="19"/>
      <c r="AE104" s="19" t="s">
        <v>71</v>
      </c>
      <c r="AF104" s="19"/>
      <c r="AG104" s="19" t="s">
        <v>71</v>
      </c>
      <c r="AH104" s="19"/>
      <c r="AI104" s="19" t="s">
        <v>71</v>
      </c>
      <c r="AJ104" s="19"/>
      <c r="AK104" s="19" t="s">
        <v>71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39"/>
      <c r="BP104" s="39"/>
      <c r="BQ104" s="39"/>
      <c r="BR104" s="39"/>
      <c r="BS104" s="39"/>
      <c r="BT104" s="39"/>
      <c r="BU104" s="39"/>
      <c r="BV104" s="39"/>
      <c r="BW104" s="19"/>
      <c r="BX104" s="19"/>
      <c r="BY104" s="19"/>
      <c r="BZ104" s="19"/>
      <c r="CA104" s="19"/>
      <c r="CB104" s="19"/>
      <c r="CC104" s="19"/>
      <c r="CD104" s="19"/>
      <c r="CE104" s="19" t="s">
        <v>71</v>
      </c>
      <c r="CF104" s="19"/>
      <c r="CG104" s="19" t="s">
        <v>71</v>
      </c>
      <c r="CH104" s="19"/>
      <c r="CI104" s="19" t="s">
        <v>71</v>
      </c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1" t="e">
        <f>IF(SUM(E104,G104,I104,K104,M104,O104,Q104,S104,U104,W104,Y104,AA104,AC104,AE104,AG104,AI104,AK104,AM104,AO104,AQ104,#REF!)&gt;0,"Sí","No")</f>
        <v>#REF!</v>
      </c>
      <c r="CV104" s="92" t="e">
        <f>IF($CU104="Sí",_xlfn.TEXTJOIN(", ",TRUE,IF(N(E104)&gt;0,E$4,""),IF(N(G104)&gt;0,G$4,""),IF(N(I104)&gt;0,I$4,""),IF(N(K104)&gt;0,K$4,""),IF(N(M104)&gt;0,M$4,""),IF(N(O104)&gt;0,O$4,""),IF(N(Q104)&gt;0,Q$4,""),IF(N(S104)&gt;0,S$4,""),IF(N(U104)&gt;0,U$4,""),IF(N(W104)&gt;0,W$4,""),IF(N(Y104)&gt;0,Y$4,""),IF(N(AA104)&gt;0,AA$4,""),IF(N(AC104)&gt;0,AC$4,""),IF(N(AE104)&gt;0,AE$4,""),IF(N(AG104)&gt;0,AG$4,""),IF(N(AI104)&gt;0,AI$4,""),IF(N(AK104)&gt;0,AK$4,""),IF(N(AM104)&gt;0,AM$4,""),IF(N(AO104)&gt;0,AO$4,""),IF(N(AQ104)&gt;0,AQ$4,""),IF(N(#REF!)&gt;0,#REF!,"")),"")</f>
        <v>#REF!</v>
      </c>
      <c r="CW104" s="11"/>
      <c r="CX104" s="11" t="e">
        <f t="shared" si="7"/>
        <v>#REF!</v>
      </c>
      <c r="CY104" s="12"/>
      <c r="CZ104" s="68"/>
    </row>
    <row r="105" spans="1:104" ht="18" customHeight="1" x14ac:dyDescent="0.3">
      <c r="A105" s="150"/>
      <c r="B105" s="78" t="s">
        <v>97</v>
      </c>
      <c r="C105" s="12">
        <v>46123</v>
      </c>
      <c r="D105" s="20">
        <f t="shared" si="6"/>
        <v>0</v>
      </c>
      <c r="E105" s="20"/>
      <c r="F105" s="20"/>
      <c r="G105" s="20"/>
      <c r="H105" s="20"/>
      <c r="I105" s="20"/>
      <c r="J105" s="20"/>
      <c r="K105" s="20"/>
      <c r="L105" s="20"/>
      <c r="M105" s="19" t="s">
        <v>71</v>
      </c>
      <c r="N105" s="19"/>
      <c r="O105" s="19" t="s">
        <v>71</v>
      </c>
      <c r="P105" s="19"/>
      <c r="Q105" s="19" t="s">
        <v>71</v>
      </c>
      <c r="R105" s="19"/>
      <c r="S105" s="19" t="s">
        <v>71</v>
      </c>
      <c r="T105" s="19"/>
      <c r="U105" s="19" t="s">
        <v>71</v>
      </c>
      <c r="V105" s="19"/>
      <c r="W105" s="19"/>
      <c r="X105" s="19"/>
      <c r="Y105" s="19" t="s">
        <v>71</v>
      </c>
      <c r="Z105" s="19"/>
      <c r="AA105" s="19" t="s">
        <v>71</v>
      </c>
      <c r="AB105" s="19"/>
      <c r="AC105" s="19" t="s">
        <v>71</v>
      </c>
      <c r="AD105" s="19"/>
      <c r="AE105" s="19" t="s">
        <v>71</v>
      </c>
      <c r="AF105" s="19"/>
      <c r="AG105" s="19" t="s">
        <v>71</v>
      </c>
      <c r="AH105" s="19"/>
      <c r="AI105" s="19" t="s">
        <v>71</v>
      </c>
      <c r="AJ105" s="19"/>
      <c r="AK105" s="19" t="s">
        <v>71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39"/>
      <c r="BP105" s="39"/>
      <c r="BQ105" s="39"/>
      <c r="BR105" s="39"/>
      <c r="BS105" s="39"/>
      <c r="BT105" s="39"/>
      <c r="BU105" s="39"/>
      <c r="BV105" s="3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1" t="e">
        <f>IF(SUM(E105,G105,I105,K105,M105,O105,Q105,S105,U105,W105,Y105,AA105,AC105,AE105,AG105,AI105,AK105,AM105,AO105,AQ105,#REF!)&gt;0,"Sí","No")</f>
        <v>#REF!</v>
      </c>
      <c r="CV105" s="92" t="e">
        <f>IF($CU105="Sí",_xlfn.TEXTJOIN(", ",TRUE,IF(N(E105)&gt;0,E$4,""),IF(N(G105)&gt;0,G$4,""),IF(N(I105)&gt;0,I$4,""),IF(N(K105)&gt;0,K$4,""),IF(N(M105)&gt;0,M$4,""),IF(N(O105)&gt;0,O$4,""),IF(N(Q105)&gt;0,Q$4,""),IF(N(S105)&gt;0,S$4,""),IF(N(U105)&gt;0,U$4,""),IF(N(W105)&gt;0,W$4,""),IF(N(Y105)&gt;0,Y$4,""),IF(N(AA105)&gt;0,AA$4,""),IF(N(AC105)&gt;0,AC$4,""),IF(N(AE105)&gt;0,AE$4,""),IF(N(AG105)&gt;0,AG$4,""),IF(N(AI105)&gt;0,AI$4,""),IF(N(AK105)&gt;0,AK$4,""),IF(N(AM105)&gt;0,AM$4,""),IF(N(AO105)&gt;0,AO$4,""),IF(N(AQ105)&gt;0,AQ$4,""),IF(N(#REF!)&gt;0,#REF!,"")),"")</f>
        <v>#REF!</v>
      </c>
      <c r="CW105" s="11"/>
      <c r="CX105" s="11" t="e">
        <f t="shared" si="7"/>
        <v>#REF!</v>
      </c>
      <c r="CY105" s="12"/>
      <c r="CZ105" s="68"/>
    </row>
    <row r="106" spans="1:104" ht="18" customHeight="1" x14ac:dyDescent="0.3">
      <c r="A106" s="150"/>
      <c r="B106" s="78" t="s">
        <v>98</v>
      </c>
      <c r="C106" s="12">
        <v>46124</v>
      </c>
      <c r="D106" s="20">
        <f t="shared" si="6"/>
        <v>0</v>
      </c>
      <c r="E106" s="20"/>
      <c r="F106" s="20"/>
      <c r="G106" s="20"/>
      <c r="H106" s="20"/>
      <c r="I106" s="20"/>
      <c r="J106" s="20"/>
      <c r="K106" s="20"/>
      <c r="L106" s="20"/>
      <c r="M106" s="19" t="s">
        <v>71</v>
      </c>
      <c r="N106" s="19"/>
      <c r="O106" s="19" t="s">
        <v>71</v>
      </c>
      <c r="P106" s="19"/>
      <c r="Q106" s="19" t="s">
        <v>71</v>
      </c>
      <c r="R106" s="19"/>
      <c r="S106" s="19" t="s">
        <v>71</v>
      </c>
      <c r="T106" s="19"/>
      <c r="U106" s="19" t="s">
        <v>71</v>
      </c>
      <c r="V106" s="19"/>
      <c r="W106" s="19"/>
      <c r="X106" s="19"/>
      <c r="Y106" s="19" t="s">
        <v>71</v>
      </c>
      <c r="Z106" s="19"/>
      <c r="AA106" s="19" t="s">
        <v>71</v>
      </c>
      <c r="AB106" s="19"/>
      <c r="AC106" s="19" t="s">
        <v>71</v>
      </c>
      <c r="AD106" s="19"/>
      <c r="AE106" s="19" t="s">
        <v>71</v>
      </c>
      <c r="AF106" s="19"/>
      <c r="AG106" s="19" t="s">
        <v>71</v>
      </c>
      <c r="AH106" s="19"/>
      <c r="AI106" s="19" t="s">
        <v>71</v>
      </c>
      <c r="AJ106" s="19"/>
      <c r="AK106" s="19" t="s">
        <v>71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39"/>
      <c r="BP106" s="39"/>
      <c r="BQ106" s="39"/>
      <c r="BR106" s="39"/>
      <c r="BS106" s="39"/>
      <c r="BT106" s="39"/>
      <c r="BU106" s="39"/>
      <c r="BV106" s="3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1" t="e">
        <f>IF(SUM(E106,G106,I106,K106,M106,O106,Q106,S106,U106,W106,Y106,AA106,AC106,AE106,AG106,AI106,AK106,AM106,AO106,AQ106,#REF!)&gt;0,"Sí","No")</f>
        <v>#REF!</v>
      </c>
      <c r="CV106" s="92" t="e">
        <f>IF($CU106="Sí",_xlfn.TEXTJOIN(", ",TRUE,IF(N(E106)&gt;0,E$4,""),IF(N(G106)&gt;0,G$4,""),IF(N(I106)&gt;0,I$4,""),IF(N(K106)&gt;0,K$4,""),IF(N(M106)&gt;0,M$4,""),IF(N(O106)&gt;0,O$4,""),IF(N(Q106)&gt;0,Q$4,""),IF(N(S106)&gt;0,S$4,""),IF(N(U106)&gt;0,U$4,""),IF(N(W106)&gt;0,W$4,""),IF(N(Y106)&gt;0,Y$4,""),IF(N(AA106)&gt;0,AA$4,""),IF(N(AC106)&gt;0,AC$4,""),IF(N(AE106)&gt;0,AE$4,""),IF(N(AG106)&gt;0,AG$4,""),IF(N(AI106)&gt;0,AI$4,""),IF(N(AK106)&gt;0,AK$4,""),IF(N(AM106)&gt;0,AM$4,""),IF(N(AO106)&gt;0,AO$4,""),IF(N(AQ106)&gt;0,AQ$4,""),IF(N(#REF!)&gt;0,#REF!,"")),"")</f>
        <v>#REF!</v>
      </c>
      <c r="CW106" s="11"/>
      <c r="CX106" s="11" t="e">
        <f t="shared" si="7"/>
        <v>#REF!</v>
      </c>
      <c r="CY106" s="12"/>
      <c r="CZ106" s="68"/>
    </row>
    <row r="107" spans="1:104" ht="18" customHeight="1" x14ac:dyDescent="0.3">
      <c r="A107" s="150"/>
      <c r="B107" s="78" t="s">
        <v>99</v>
      </c>
      <c r="C107" s="12">
        <v>46125</v>
      </c>
      <c r="D107" s="20">
        <f t="shared" si="6"/>
        <v>0</v>
      </c>
      <c r="E107" s="20"/>
      <c r="F107" s="20"/>
      <c r="G107" s="20"/>
      <c r="H107" s="20"/>
      <c r="I107" s="20"/>
      <c r="J107" s="20"/>
      <c r="K107" s="20"/>
      <c r="L107" s="20"/>
      <c r="M107" s="19" t="s">
        <v>71</v>
      </c>
      <c r="N107" s="19"/>
      <c r="O107" s="19" t="s">
        <v>71</v>
      </c>
      <c r="P107" s="19"/>
      <c r="Q107" s="19" t="s">
        <v>71</v>
      </c>
      <c r="R107" s="19"/>
      <c r="S107" s="19" t="s">
        <v>71</v>
      </c>
      <c r="T107" s="19"/>
      <c r="U107" s="19" t="s">
        <v>71</v>
      </c>
      <c r="V107" s="19"/>
      <c r="W107" s="19"/>
      <c r="X107" s="19"/>
      <c r="Y107" s="19" t="s">
        <v>71</v>
      </c>
      <c r="Z107" s="19"/>
      <c r="AA107" s="19" t="s">
        <v>71</v>
      </c>
      <c r="AB107" s="19"/>
      <c r="AC107" s="19" t="s">
        <v>71</v>
      </c>
      <c r="AD107" s="19"/>
      <c r="AE107" s="19" t="s">
        <v>71</v>
      </c>
      <c r="AF107" s="19"/>
      <c r="AG107" s="19" t="s">
        <v>71</v>
      </c>
      <c r="AH107" s="19"/>
      <c r="AI107" s="19" t="s">
        <v>71</v>
      </c>
      <c r="AJ107" s="19"/>
      <c r="AK107" s="19" t="s">
        <v>71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39"/>
      <c r="BP107" s="39"/>
      <c r="BQ107" s="39"/>
      <c r="BR107" s="39"/>
      <c r="BS107" s="39"/>
      <c r="BT107" s="39"/>
      <c r="BU107" s="39"/>
      <c r="BV107" s="3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1" t="e">
        <f>IF(SUM(E107,G107,I107,K107,M107,O107,Q107,S107,U107,W107,Y107,AA107,AC107,AE107,AG107,AI107,AK107,AM107,AO107,AQ107,#REF!)&gt;0,"Sí","No")</f>
        <v>#REF!</v>
      </c>
      <c r="CV107" s="92" t="e">
        <f>IF($CU107="Sí",_xlfn.TEXTJOIN(", ",TRUE,IF(N(E107)&gt;0,E$4,""),IF(N(G107)&gt;0,G$4,""),IF(N(I107)&gt;0,I$4,""),IF(N(K107)&gt;0,K$4,""),IF(N(M107)&gt;0,M$4,""),IF(N(O107)&gt;0,O$4,""),IF(N(Q107)&gt;0,Q$4,""),IF(N(S107)&gt;0,S$4,""),IF(N(U107)&gt;0,U$4,""),IF(N(W107)&gt;0,W$4,""),IF(N(Y107)&gt;0,Y$4,""),IF(N(AA107)&gt;0,AA$4,""),IF(N(AC107)&gt;0,AC$4,""),IF(N(AE107)&gt;0,AE$4,""),IF(N(AG107)&gt;0,AG$4,""),IF(N(AI107)&gt;0,AI$4,""),IF(N(AK107)&gt;0,AK$4,""),IF(N(AM107)&gt;0,AM$4,""),IF(N(AO107)&gt;0,AO$4,""),IF(N(AQ107)&gt;0,AQ$4,""),IF(N(#REF!)&gt;0,#REF!,"")),"")</f>
        <v>#REF!</v>
      </c>
      <c r="CW107" s="11"/>
      <c r="CX107" s="11" t="e">
        <f t="shared" si="7"/>
        <v>#REF!</v>
      </c>
      <c r="CY107" s="12"/>
      <c r="CZ107" s="68"/>
    </row>
    <row r="108" spans="1:104" ht="18" customHeight="1" x14ac:dyDescent="0.3">
      <c r="A108" s="150"/>
      <c r="B108" s="78" t="s">
        <v>100</v>
      </c>
      <c r="C108" s="12">
        <v>46126</v>
      </c>
      <c r="D108" s="20">
        <f t="shared" si="6"/>
        <v>0</v>
      </c>
      <c r="E108" s="20"/>
      <c r="F108" s="20"/>
      <c r="G108" s="20"/>
      <c r="H108" s="20"/>
      <c r="I108" s="20"/>
      <c r="J108" s="20"/>
      <c r="K108" s="20"/>
      <c r="L108" s="20"/>
      <c r="M108" s="19" t="s">
        <v>71</v>
      </c>
      <c r="N108" s="19"/>
      <c r="O108" s="19" t="s">
        <v>71</v>
      </c>
      <c r="P108" s="19"/>
      <c r="Q108" s="19" t="s">
        <v>71</v>
      </c>
      <c r="R108" s="19"/>
      <c r="S108" s="19" t="s">
        <v>71</v>
      </c>
      <c r="T108" s="19"/>
      <c r="U108" s="19" t="s">
        <v>71</v>
      </c>
      <c r="V108" s="19"/>
      <c r="W108" s="19"/>
      <c r="X108" s="19"/>
      <c r="Y108" s="19" t="s">
        <v>71</v>
      </c>
      <c r="Z108" s="19"/>
      <c r="AA108" s="19" t="s">
        <v>71</v>
      </c>
      <c r="AB108" s="19"/>
      <c r="AC108" s="19" t="s">
        <v>71</v>
      </c>
      <c r="AD108" s="19"/>
      <c r="AE108" s="19" t="s">
        <v>71</v>
      </c>
      <c r="AF108" s="19"/>
      <c r="AG108" s="19" t="s">
        <v>71</v>
      </c>
      <c r="AH108" s="19"/>
      <c r="AI108" s="19" t="s">
        <v>71</v>
      </c>
      <c r="AJ108" s="19"/>
      <c r="AK108" s="19" t="s">
        <v>71</v>
      </c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39"/>
      <c r="BP108" s="39"/>
      <c r="BQ108" s="39"/>
      <c r="BR108" s="39"/>
      <c r="BS108" s="39"/>
      <c r="BT108" s="39"/>
      <c r="BU108" s="39"/>
      <c r="BV108" s="3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1" t="e">
        <f>IF(SUM(E108,G108,I108,K108,M108,O108,Q108,S108,U108,W108,Y108,AA108,AC108,AE108,AG108,AI108,AK108,AM108,AO108,AQ108,#REF!)&gt;0,"Sí","No")</f>
        <v>#REF!</v>
      </c>
      <c r="CV108" s="92" t="e">
        <f>IF($CU108="Sí",_xlfn.TEXTJOIN(", ",TRUE,IF(N(E108)&gt;0,E$4,""),IF(N(G108)&gt;0,G$4,""),IF(N(I108)&gt;0,I$4,""),IF(N(K108)&gt;0,K$4,""),IF(N(M108)&gt;0,M$4,""),IF(N(O108)&gt;0,O$4,""),IF(N(Q108)&gt;0,Q$4,""),IF(N(S108)&gt;0,S$4,""),IF(N(U108)&gt;0,U$4,""),IF(N(W108)&gt;0,W$4,""),IF(N(Y108)&gt;0,Y$4,""),IF(N(AA108)&gt;0,AA$4,""),IF(N(AC108)&gt;0,AC$4,""),IF(N(AE108)&gt;0,AE$4,""),IF(N(AG108)&gt;0,AG$4,""),IF(N(AI108)&gt;0,AI$4,""),IF(N(AK108)&gt;0,AK$4,""),IF(N(AM108)&gt;0,AM$4,""),IF(N(AO108)&gt;0,AO$4,""),IF(N(AQ108)&gt;0,AQ$4,""),IF(N(#REF!)&gt;0,#REF!,"")),"")</f>
        <v>#REF!</v>
      </c>
      <c r="CW108" s="11"/>
      <c r="CX108" s="11" t="e">
        <f t="shared" si="7"/>
        <v>#REF!</v>
      </c>
      <c r="CY108" s="12"/>
      <c r="CZ108" s="68"/>
    </row>
    <row r="109" spans="1:104" ht="18" customHeight="1" x14ac:dyDescent="0.3">
      <c r="A109" s="150"/>
      <c r="B109" s="78" t="s">
        <v>101</v>
      </c>
      <c r="C109" s="12">
        <v>46127</v>
      </c>
      <c r="D109" s="20">
        <f t="shared" si="6"/>
        <v>0</v>
      </c>
      <c r="E109" s="20"/>
      <c r="F109" s="20"/>
      <c r="G109" s="20"/>
      <c r="H109" s="20"/>
      <c r="I109" s="20"/>
      <c r="J109" s="20"/>
      <c r="K109" s="20"/>
      <c r="L109" s="20"/>
      <c r="M109" s="19" t="s">
        <v>71</v>
      </c>
      <c r="N109" s="19"/>
      <c r="O109" s="19" t="s">
        <v>71</v>
      </c>
      <c r="P109" s="19"/>
      <c r="Q109" s="19" t="s">
        <v>71</v>
      </c>
      <c r="R109" s="19"/>
      <c r="S109" s="19" t="s">
        <v>71</v>
      </c>
      <c r="T109" s="19"/>
      <c r="U109" s="19" t="s">
        <v>71</v>
      </c>
      <c r="V109" s="19"/>
      <c r="W109" s="19"/>
      <c r="X109" s="19"/>
      <c r="Y109" s="19" t="s">
        <v>71</v>
      </c>
      <c r="Z109" s="19"/>
      <c r="AA109" s="19" t="s">
        <v>71</v>
      </c>
      <c r="AB109" s="19"/>
      <c r="AC109" s="19" t="s">
        <v>71</v>
      </c>
      <c r="AD109" s="19"/>
      <c r="AE109" s="19" t="s">
        <v>71</v>
      </c>
      <c r="AF109" s="19"/>
      <c r="AG109" s="19" t="s">
        <v>71</v>
      </c>
      <c r="AH109" s="19"/>
      <c r="AI109" s="19" t="s">
        <v>71</v>
      </c>
      <c r="AJ109" s="19"/>
      <c r="AK109" s="19" t="s">
        <v>71</v>
      </c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39"/>
      <c r="BP109" s="39"/>
      <c r="BQ109" s="39"/>
      <c r="BR109" s="39"/>
      <c r="BS109" s="39"/>
      <c r="BT109" s="39"/>
      <c r="BU109" s="39"/>
      <c r="BV109" s="3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1" t="e">
        <f>IF(SUM(E109,G109,I109,K109,M109,O109,Q109,S109,U109,W109,Y109,AA109,AC109,AE109,AG109,AI109,AK109,AM109,AO109,AQ109,#REF!)&gt;0,"Sí","No")</f>
        <v>#REF!</v>
      </c>
      <c r="CV109" s="92" t="e">
        <f>IF($CU109="Sí",_xlfn.TEXTJOIN(", ",TRUE,IF(N(E109)&gt;0,E$4,""),IF(N(G109)&gt;0,G$4,""),IF(N(I109)&gt;0,I$4,""),IF(N(K109)&gt;0,K$4,""),IF(N(M109)&gt;0,M$4,""),IF(N(O109)&gt;0,O$4,""),IF(N(Q109)&gt;0,Q$4,""),IF(N(S109)&gt;0,S$4,""),IF(N(U109)&gt;0,U$4,""),IF(N(W109)&gt;0,W$4,""),IF(N(Y109)&gt;0,Y$4,""),IF(N(AA109)&gt;0,AA$4,""),IF(N(AC109)&gt;0,AC$4,""),IF(N(AE109)&gt;0,AE$4,""),IF(N(AG109)&gt;0,AG$4,""),IF(N(AI109)&gt;0,AI$4,""),IF(N(AK109)&gt;0,AK$4,""),IF(N(AM109)&gt;0,AM$4,""),IF(N(AO109)&gt;0,AO$4,""),IF(N(AQ109)&gt;0,AQ$4,""),IF(N(#REF!)&gt;0,#REF!,"")),"")</f>
        <v>#REF!</v>
      </c>
      <c r="CW109" s="11"/>
      <c r="CX109" s="11" t="e">
        <f t="shared" si="7"/>
        <v>#REF!</v>
      </c>
      <c r="CY109" s="12"/>
      <c r="CZ109" s="68"/>
    </row>
    <row r="110" spans="1:104" ht="18" customHeight="1" x14ac:dyDescent="0.3">
      <c r="A110" s="150"/>
      <c r="B110" s="78" t="s">
        <v>94</v>
      </c>
      <c r="C110" s="12">
        <v>46128</v>
      </c>
      <c r="D110" s="20">
        <f t="shared" si="6"/>
        <v>0</v>
      </c>
      <c r="E110" s="20"/>
      <c r="F110" s="20"/>
      <c r="G110" s="20"/>
      <c r="H110" s="20"/>
      <c r="I110" s="20"/>
      <c r="J110" s="20"/>
      <c r="K110" s="20"/>
      <c r="L110" s="20"/>
      <c r="M110" s="19" t="s">
        <v>71</v>
      </c>
      <c r="N110" s="19"/>
      <c r="O110" s="19" t="s">
        <v>71</v>
      </c>
      <c r="P110" s="19"/>
      <c r="Q110" s="19" t="s">
        <v>71</v>
      </c>
      <c r="R110" s="19"/>
      <c r="S110" s="19" t="s">
        <v>71</v>
      </c>
      <c r="T110" s="19"/>
      <c r="U110" s="19" t="s">
        <v>71</v>
      </c>
      <c r="V110" s="19"/>
      <c r="W110" s="19"/>
      <c r="X110" s="19"/>
      <c r="Y110" s="19" t="s">
        <v>71</v>
      </c>
      <c r="Z110" s="19"/>
      <c r="AA110" s="26" t="s">
        <v>71</v>
      </c>
      <c r="AB110" s="26"/>
      <c r="AC110" s="26" t="s">
        <v>71</v>
      </c>
      <c r="AD110" s="26"/>
      <c r="AE110" s="26" t="s">
        <v>71</v>
      </c>
      <c r="AF110" s="26"/>
      <c r="AG110" s="26" t="s">
        <v>71</v>
      </c>
      <c r="AH110" s="26"/>
      <c r="AI110" s="26" t="s">
        <v>71</v>
      </c>
      <c r="AJ110" s="26"/>
      <c r="AK110" s="26" t="s">
        <v>71</v>
      </c>
      <c r="AL110" s="26"/>
      <c r="AM110" s="26"/>
      <c r="AN110" s="26"/>
      <c r="AO110" s="26"/>
      <c r="AP110" s="26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39"/>
      <c r="BP110" s="39"/>
      <c r="BQ110" s="39"/>
      <c r="BR110" s="39"/>
      <c r="BS110" s="39"/>
      <c r="BT110" s="39"/>
      <c r="BU110" s="39"/>
      <c r="BV110" s="3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1" t="e">
        <f>IF(SUM(E110,G110,I110,K110,M110,O110,Q110,S110,U110,W110,Y110,AA110,AC110,AE110,AG110,AI110,AK110,AM110,AO110,AQ110,#REF!)&gt;0,"Sí","No")</f>
        <v>#REF!</v>
      </c>
      <c r="CV110" s="92" t="e">
        <f>IF($CU110="Sí",_xlfn.TEXTJOIN(", ",TRUE,IF(N(E110)&gt;0,E$4,""),IF(N(G110)&gt;0,G$4,""),IF(N(I110)&gt;0,I$4,""),IF(N(K110)&gt;0,K$4,""),IF(N(M110)&gt;0,M$4,""),IF(N(O110)&gt;0,O$4,""),IF(N(Q110)&gt;0,Q$4,""),IF(N(S110)&gt;0,S$4,""),IF(N(U110)&gt;0,U$4,""),IF(N(W110)&gt;0,W$4,""),IF(N(Y110)&gt;0,Y$4,""),IF(N(AA110)&gt;0,AA$4,""),IF(N(AC110)&gt;0,AC$4,""),IF(N(AE110)&gt;0,AE$4,""),IF(N(AG110)&gt;0,AG$4,""),IF(N(AI110)&gt;0,AI$4,""),IF(N(AK110)&gt;0,AK$4,""),IF(N(AM110)&gt;0,AM$4,""),IF(N(AO110)&gt;0,AO$4,""),IF(N(AQ110)&gt;0,AQ$4,""),IF(N(#REF!)&gt;0,#REF!,"")),"")</f>
        <v>#REF!</v>
      </c>
      <c r="CW110" s="11"/>
      <c r="CX110" s="11" t="e">
        <f t="shared" si="7"/>
        <v>#REF!</v>
      </c>
      <c r="CY110" s="12">
        <v>46132</v>
      </c>
      <c r="CZ110" s="68"/>
    </row>
    <row r="111" spans="1:104" ht="18" customHeight="1" x14ac:dyDescent="0.3">
      <c r="A111" s="150"/>
      <c r="B111" s="78" t="s">
        <v>95</v>
      </c>
      <c r="C111" s="12">
        <v>46129</v>
      </c>
      <c r="D111" s="20">
        <f t="shared" si="6"/>
        <v>0</v>
      </c>
      <c r="E111" s="20"/>
      <c r="F111" s="20"/>
      <c r="G111" s="20"/>
      <c r="H111" s="20"/>
      <c r="I111" s="20"/>
      <c r="J111" s="20"/>
      <c r="K111" s="20"/>
      <c r="L111" s="20"/>
      <c r="M111" s="19" t="s">
        <v>71</v>
      </c>
      <c r="N111" s="19"/>
      <c r="O111" s="19" t="s">
        <v>71</v>
      </c>
      <c r="P111" s="19"/>
      <c r="Q111" s="19" t="s">
        <v>71</v>
      </c>
      <c r="R111" s="19"/>
      <c r="S111" s="19" t="s">
        <v>71</v>
      </c>
      <c r="T111" s="19"/>
      <c r="U111" s="19" t="s">
        <v>71</v>
      </c>
      <c r="V111" s="19"/>
      <c r="W111" s="19"/>
      <c r="X111" s="19"/>
      <c r="Y111" s="19" t="s">
        <v>71</v>
      </c>
      <c r="Z111" s="19"/>
      <c r="AA111" s="19" t="s">
        <v>71</v>
      </c>
      <c r="AB111" s="19"/>
      <c r="AC111" s="19" t="s">
        <v>71</v>
      </c>
      <c r="AD111" s="19"/>
      <c r="AE111" s="19" t="s">
        <v>71</v>
      </c>
      <c r="AF111" s="19"/>
      <c r="AG111" s="19" t="s">
        <v>71</v>
      </c>
      <c r="AH111" s="19"/>
      <c r="AI111" s="19" t="s">
        <v>71</v>
      </c>
      <c r="AJ111" s="19"/>
      <c r="AK111" s="19" t="s">
        <v>71</v>
      </c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39"/>
      <c r="BP111" s="39"/>
      <c r="BQ111" s="39"/>
      <c r="BR111" s="39"/>
      <c r="BS111" s="39"/>
      <c r="BT111" s="39"/>
      <c r="BU111" s="39"/>
      <c r="BV111" s="3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1" t="e">
        <f>IF(SUM(E111,G111,I111,K111,M111,O111,Q111,S111,U111,W111,Y111,AA111,AC111,AE111,AG111,AI111,AK111,AM111,AO111,AQ111,#REF!)&gt;0,"Sí","No")</f>
        <v>#REF!</v>
      </c>
      <c r="CV111" s="92" t="e">
        <f>IF($CU111="Sí",_xlfn.TEXTJOIN(", ",TRUE,IF(N(E111)&gt;0,E$4,""),IF(N(G111)&gt;0,G$4,""),IF(N(I111)&gt;0,I$4,""),IF(N(K111)&gt;0,K$4,""),IF(N(M111)&gt;0,M$4,""),IF(N(O111)&gt;0,O$4,""),IF(N(Q111)&gt;0,Q$4,""),IF(N(S111)&gt;0,S$4,""),IF(N(U111)&gt;0,U$4,""),IF(N(W111)&gt;0,W$4,""),IF(N(Y111)&gt;0,Y$4,""),IF(N(AA111)&gt;0,AA$4,""),IF(N(AC111)&gt;0,AC$4,""),IF(N(AE111)&gt;0,AE$4,""),IF(N(AG111)&gt;0,AG$4,""),IF(N(AI111)&gt;0,AI$4,""),IF(N(AK111)&gt;0,AK$4,""),IF(N(AM111)&gt;0,AM$4,""),IF(N(AO111)&gt;0,AO$4,""),IF(N(AQ111)&gt;0,AQ$4,""),IF(N(#REF!)&gt;0,#REF!,"")),"")</f>
        <v>#REF!</v>
      </c>
      <c r="CW111" s="11"/>
      <c r="CX111" s="11" t="e">
        <f t="shared" si="7"/>
        <v>#REF!</v>
      </c>
      <c r="CY111" s="12">
        <v>46134</v>
      </c>
      <c r="CZ111" s="68"/>
    </row>
    <row r="112" spans="1:104" ht="18" customHeight="1" x14ac:dyDescent="0.3">
      <c r="A112" s="150"/>
      <c r="B112" s="78" t="s">
        <v>97</v>
      </c>
      <c r="C112" s="12">
        <v>46130</v>
      </c>
      <c r="D112" s="20">
        <f t="shared" si="6"/>
        <v>0</v>
      </c>
      <c r="E112" s="20"/>
      <c r="F112" s="20"/>
      <c r="G112" s="20"/>
      <c r="H112" s="20"/>
      <c r="I112" s="20"/>
      <c r="J112" s="20"/>
      <c r="K112" s="20"/>
      <c r="L112" s="20"/>
      <c r="M112" s="19" t="s">
        <v>71</v>
      </c>
      <c r="N112" s="19"/>
      <c r="O112" s="19" t="s">
        <v>71</v>
      </c>
      <c r="P112" s="19"/>
      <c r="Q112" s="19" t="s">
        <v>71</v>
      </c>
      <c r="R112" s="19"/>
      <c r="S112" s="19" t="s">
        <v>71</v>
      </c>
      <c r="T112" s="19"/>
      <c r="U112" s="19" t="s">
        <v>71</v>
      </c>
      <c r="V112" s="19"/>
      <c r="W112" s="19"/>
      <c r="X112" s="19"/>
      <c r="Y112" s="19" t="s">
        <v>71</v>
      </c>
      <c r="Z112" s="19"/>
      <c r="AA112" s="19" t="s">
        <v>71</v>
      </c>
      <c r="AB112" s="19"/>
      <c r="AC112" s="19" t="s">
        <v>71</v>
      </c>
      <c r="AD112" s="19"/>
      <c r="AE112" s="19" t="s">
        <v>71</v>
      </c>
      <c r="AF112" s="19"/>
      <c r="AG112" s="19" t="s">
        <v>71</v>
      </c>
      <c r="AH112" s="19"/>
      <c r="AI112" s="19" t="s">
        <v>71</v>
      </c>
      <c r="AJ112" s="19"/>
      <c r="AK112" s="19" t="s">
        <v>71</v>
      </c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>
        <v>10</v>
      </c>
      <c r="BH112" s="19">
        <v>20</v>
      </c>
      <c r="BI112" s="19">
        <v>10</v>
      </c>
      <c r="BJ112" s="19">
        <v>20</v>
      </c>
      <c r="BK112" s="19">
        <v>10</v>
      </c>
      <c r="BL112" s="19">
        <v>20</v>
      </c>
      <c r="BM112" s="19"/>
      <c r="BN112" s="19"/>
      <c r="BO112" s="39"/>
      <c r="BP112" s="39"/>
      <c r="BQ112" s="39"/>
      <c r="BR112" s="39"/>
      <c r="BS112" s="39"/>
      <c r="BT112" s="39"/>
      <c r="BU112" s="39"/>
      <c r="BV112" s="3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1" t="e">
        <f>IF(SUM(E112,G112,I112,K112,M112,O112,Q112,S112,U112,W112,Y112,AA112,AC112,AE112,AG112,AI112,AK112,AM112,AO112,AQ112,#REF!)&gt;0,"Sí","No")</f>
        <v>#REF!</v>
      </c>
      <c r="CV112" s="92" t="e">
        <f>IF($CU112="Sí",_xlfn.TEXTJOIN(", ",TRUE,IF(N(E112)&gt;0,E$4,""),IF(N(G112)&gt;0,G$4,""),IF(N(I112)&gt;0,I$4,""),IF(N(K112)&gt;0,K$4,""),IF(N(M112)&gt;0,M$4,""),IF(N(O112)&gt;0,O$4,""),IF(N(Q112)&gt;0,Q$4,""),IF(N(S112)&gt;0,S$4,""),IF(N(U112)&gt;0,U$4,""),IF(N(W112)&gt;0,W$4,""),IF(N(Y112)&gt;0,Y$4,""),IF(N(AA112)&gt;0,AA$4,""),IF(N(AC112)&gt;0,AC$4,""),IF(N(AE112)&gt;0,AE$4,""),IF(N(AG112)&gt;0,AG$4,""),IF(N(AI112)&gt;0,AI$4,""),IF(N(AK112)&gt;0,AK$4,""),IF(N(AM112)&gt;0,AM$4,""),IF(N(AO112)&gt;0,AO$4,""),IF(N(AQ112)&gt;0,AQ$4,""),IF(N(#REF!)&gt;0,#REF!,"")),"")</f>
        <v>#REF!</v>
      </c>
      <c r="CW112" s="11"/>
      <c r="CX112" s="11" t="e">
        <f t="shared" si="7"/>
        <v>#REF!</v>
      </c>
      <c r="CY112" s="12">
        <v>46130</v>
      </c>
      <c r="CZ112" s="68"/>
    </row>
    <row r="113" spans="1:104" ht="61.2" customHeight="1" x14ac:dyDescent="0.3">
      <c r="A113" s="150"/>
      <c r="B113" s="78" t="s">
        <v>98</v>
      </c>
      <c r="C113" s="12">
        <v>46131</v>
      </c>
      <c r="D113" s="20">
        <f t="shared" si="6"/>
        <v>0</v>
      </c>
      <c r="E113" s="20"/>
      <c r="F113" s="20"/>
      <c r="G113" s="20"/>
      <c r="H113" s="20"/>
      <c r="I113" s="20"/>
      <c r="J113" s="20"/>
      <c r="K113" s="20"/>
      <c r="L113" s="20"/>
      <c r="M113" s="19" t="s">
        <v>71</v>
      </c>
      <c r="N113" s="19"/>
      <c r="O113" s="19" t="s">
        <v>71</v>
      </c>
      <c r="P113" s="19"/>
      <c r="Q113" s="19" t="s">
        <v>71</v>
      </c>
      <c r="R113" s="19"/>
      <c r="S113" s="19">
        <v>10</v>
      </c>
      <c r="T113" s="19">
        <v>20</v>
      </c>
      <c r="U113" s="19">
        <v>10</v>
      </c>
      <c r="V113" s="19">
        <v>20</v>
      </c>
      <c r="W113" s="19"/>
      <c r="X113" s="19"/>
      <c r="Y113" s="19" t="s">
        <v>71</v>
      </c>
      <c r="Z113" s="19"/>
      <c r="AA113" s="19" t="s">
        <v>71</v>
      </c>
      <c r="AB113" s="19"/>
      <c r="AC113" s="19" t="s">
        <v>71</v>
      </c>
      <c r="AD113" s="19"/>
      <c r="AE113" s="19" t="s">
        <v>71</v>
      </c>
      <c r="AF113" s="19"/>
      <c r="AG113" s="19" t="s">
        <v>71</v>
      </c>
      <c r="AH113" s="19"/>
      <c r="AI113" s="19" t="s">
        <v>71</v>
      </c>
      <c r="AJ113" s="19"/>
      <c r="AK113" s="19" t="s">
        <v>71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39"/>
      <c r="BP113" s="39"/>
      <c r="BQ113" s="39"/>
      <c r="BR113" s="39"/>
      <c r="BS113" s="39"/>
      <c r="BT113" s="39"/>
      <c r="BU113" s="39"/>
      <c r="BV113" s="3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1" t="e">
        <f>IF(SUM(E113,G113,I113,K113,M113,O113,Q113,S113,U113,W113,Y113,AA113,AC113,AE113,AG113,AI113,AK113,AM113,AO113,AQ113,#REF!)&gt;0,"Sí","No")</f>
        <v>#REF!</v>
      </c>
      <c r="CV113" s="109" t="e">
        <f>IF($CU113="Sí",_xlfn.TEXTJOIN(", ",TRUE,IF(N(E113)&gt;0,E$4,""),IF(N(G113)&gt;0,G$4,""),IF(N(I113)&gt;0,I$4,""),IF(N(K113)&gt;0,K$4,""),IF(N(M113)&gt;0,M$4,""),IF(N(O113)&gt;0,O$4,""),IF(N(Q113)&gt;0,Q$4,""),IF(N(S113)&gt;0,S$4,""),IF(N(U113)&gt;0,U$4,""),IF(N(W113)&gt;0,W$4,""),IF(N(Y113)&gt;0,Y$4,""),IF(N(AA113)&gt;0,AA$4,""),IF(N(AC113)&gt;0,AC$4,""),IF(N(AE113)&gt;0,AE$4,""),IF(N(AG113)&gt;0,AG$4,""),IF(N(AI113)&gt;0,AI$4,""),IF(N(AK113)&gt;0,AK$4,""),IF(N(AM113)&gt;0,AM$4,""),IF(N(AO113)&gt;0,AO$4,""),IF(N(AQ113)&gt;0,AQ$4,""),IF(N(#REF!)&gt;0,#REF!,"")),"")</f>
        <v>#REF!</v>
      </c>
      <c r="CW113" s="11"/>
      <c r="CX113" s="11" t="e">
        <f t="shared" si="7"/>
        <v>#REF!</v>
      </c>
      <c r="CY113" s="12">
        <v>46131</v>
      </c>
      <c r="CZ113" s="68"/>
    </row>
    <row r="114" spans="1:104" ht="18" customHeight="1" x14ac:dyDescent="0.3">
      <c r="A114" s="150"/>
      <c r="B114" s="78" t="s">
        <v>99</v>
      </c>
      <c r="C114" s="12">
        <v>46132</v>
      </c>
      <c r="D114" s="20">
        <f t="shared" si="6"/>
        <v>0</v>
      </c>
      <c r="E114" s="20"/>
      <c r="F114" s="20"/>
      <c r="G114" s="20"/>
      <c r="H114" s="20"/>
      <c r="I114" s="20"/>
      <c r="J114" s="20"/>
      <c r="K114" s="20"/>
      <c r="L114" s="20"/>
      <c r="M114" s="19" t="s">
        <v>71</v>
      </c>
      <c r="N114" s="19"/>
      <c r="O114" s="19" t="s">
        <v>71</v>
      </c>
      <c r="P114" s="19"/>
      <c r="Q114" s="19" t="s">
        <v>71</v>
      </c>
      <c r="R114" s="19"/>
      <c r="S114" s="19" t="s">
        <v>71</v>
      </c>
      <c r="T114" s="19"/>
      <c r="U114" s="19" t="s">
        <v>71</v>
      </c>
      <c r="V114" s="19"/>
      <c r="W114" s="19"/>
      <c r="X114" s="19"/>
      <c r="Y114" s="19" t="s">
        <v>71</v>
      </c>
      <c r="Z114" s="19"/>
      <c r="AA114" s="19" t="s">
        <v>71</v>
      </c>
      <c r="AB114" s="19"/>
      <c r="AC114" s="19" t="s">
        <v>71</v>
      </c>
      <c r="AD114" s="19"/>
      <c r="AE114" s="19" t="s">
        <v>71</v>
      </c>
      <c r="AF114" s="19"/>
      <c r="AG114" s="19" t="s">
        <v>71</v>
      </c>
      <c r="AH114" s="19"/>
      <c r="AI114" s="19" t="s">
        <v>71</v>
      </c>
      <c r="AJ114" s="19"/>
      <c r="AK114" s="19" t="s">
        <v>71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39"/>
      <c r="BP114" s="39"/>
      <c r="BQ114" s="39"/>
      <c r="BR114" s="39"/>
      <c r="BS114" s="39"/>
      <c r="BT114" s="39"/>
      <c r="BU114" s="39"/>
      <c r="BV114" s="3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1" t="e">
        <f>IF(SUM(E114,G114,I114,K114,M114,O114,Q114,S114,U114,W114,Y114,AA114,AC114,AE114,AG114,AI114,AK114,AM114,AO114,AQ114,#REF!)&gt;0,"Sí","No")</f>
        <v>#REF!</v>
      </c>
      <c r="CV114" s="92" t="e">
        <f>IF($CU114="Sí",_xlfn.TEXTJOIN(", ",TRUE,IF(N(E114)&gt;0,E$4,""),IF(N(G114)&gt;0,G$4,""),IF(N(I114)&gt;0,I$4,""),IF(N(K114)&gt;0,K$4,""),IF(N(M114)&gt;0,M$4,""),IF(N(O114)&gt;0,O$4,""),IF(N(Q114)&gt;0,Q$4,""),IF(N(S114)&gt;0,S$4,""),IF(N(U114)&gt;0,U$4,""),IF(N(W114)&gt;0,W$4,""),IF(N(Y114)&gt;0,Y$4,""),IF(N(AA114)&gt;0,AA$4,""),IF(N(AC114)&gt;0,AC$4,""),IF(N(AE114)&gt;0,AE$4,""),IF(N(AG114)&gt;0,AG$4,""),IF(N(AI114)&gt;0,AI$4,""),IF(N(AK114)&gt;0,AK$4,""),IF(N(AM114)&gt;0,AM$4,""),IF(N(AO114)&gt;0,AO$4,""),IF(N(AQ114)&gt;0,AQ$4,""),IF(N(#REF!)&gt;0,#REF!,"")),"")</f>
        <v>#REF!</v>
      </c>
      <c r="CW114" s="11"/>
      <c r="CX114" s="11" t="e">
        <f t="shared" si="7"/>
        <v>#REF!</v>
      </c>
      <c r="CY114" s="12"/>
      <c r="CZ114" s="68"/>
    </row>
    <row r="115" spans="1:104" ht="18" customHeight="1" x14ac:dyDescent="0.3">
      <c r="A115" s="150"/>
      <c r="B115" s="78" t="s">
        <v>100</v>
      </c>
      <c r="C115" s="12">
        <v>46133</v>
      </c>
      <c r="D115" s="20">
        <f t="shared" si="6"/>
        <v>0</v>
      </c>
      <c r="E115" s="20"/>
      <c r="F115" s="20"/>
      <c r="G115" s="20"/>
      <c r="H115" s="20"/>
      <c r="I115" s="20"/>
      <c r="J115" s="20"/>
      <c r="K115" s="20"/>
      <c r="L115" s="20"/>
      <c r="M115" s="19" t="s">
        <v>71</v>
      </c>
      <c r="N115" s="19"/>
      <c r="O115" s="19" t="s">
        <v>71</v>
      </c>
      <c r="P115" s="19"/>
      <c r="Q115" s="19" t="s">
        <v>71</v>
      </c>
      <c r="R115" s="19"/>
      <c r="S115" s="19" t="s">
        <v>71</v>
      </c>
      <c r="T115" s="19"/>
      <c r="U115" s="19" t="s">
        <v>71</v>
      </c>
      <c r="V115" s="19"/>
      <c r="W115" s="19"/>
      <c r="X115" s="19"/>
      <c r="Y115" s="19" t="s">
        <v>71</v>
      </c>
      <c r="Z115" s="19"/>
      <c r="AA115" s="19" t="s">
        <v>71</v>
      </c>
      <c r="AB115" s="19"/>
      <c r="AC115" s="19" t="s">
        <v>71</v>
      </c>
      <c r="AD115" s="19"/>
      <c r="AE115" s="19" t="s">
        <v>71</v>
      </c>
      <c r="AF115" s="19"/>
      <c r="AG115" s="19" t="s">
        <v>71</v>
      </c>
      <c r="AH115" s="19"/>
      <c r="AI115" s="19" t="s">
        <v>71</v>
      </c>
      <c r="AJ115" s="19"/>
      <c r="AK115" s="19" t="s">
        <v>71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39"/>
      <c r="BP115" s="39"/>
      <c r="BQ115" s="39"/>
      <c r="BR115" s="39"/>
      <c r="BS115" s="39"/>
      <c r="BT115" s="39"/>
      <c r="BU115" s="39"/>
      <c r="BV115" s="3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1" t="e">
        <f>IF(SUM(E115,G115,I115,K115,M115,O115,Q115,S115,U115,W115,Y115,AA115,AC115,AE115,AG115,AI115,AK115,AM115,AO115,AQ115,#REF!)&gt;0,"Sí","No")</f>
        <v>#REF!</v>
      </c>
      <c r="CV115" s="92" t="e">
        <f>IF($CU115="Sí",_xlfn.TEXTJOIN(", ",TRUE,IF(N(E115)&gt;0,E$4,""),IF(N(G115)&gt;0,G$4,""),IF(N(I115)&gt;0,I$4,""),IF(N(K115)&gt;0,K$4,""),IF(N(M115)&gt;0,M$4,""),IF(N(O115)&gt;0,O$4,""),IF(N(Q115)&gt;0,Q$4,""),IF(N(S115)&gt;0,S$4,""),IF(N(U115)&gt;0,U$4,""),IF(N(W115)&gt;0,W$4,""),IF(N(Y115)&gt;0,Y$4,""),IF(N(AA115)&gt;0,AA$4,""),IF(N(AC115)&gt;0,AC$4,""),IF(N(AE115)&gt;0,AE$4,""),IF(N(AG115)&gt;0,AG$4,""),IF(N(AI115)&gt;0,AI$4,""),IF(N(AK115)&gt;0,AK$4,""),IF(N(AM115)&gt;0,AM$4,""),IF(N(AO115)&gt;0,AO$4,""),IF(N(AQ115)&gt;0,AQ$4,""),IF(N(#REF!)&gt;0,#REF!,"")),"")</f>
        <v>#REF!</v>
      </c>
      <c r="CW115" s="11"/>
      <c r="CX115" s="11" t="e">
        <f t="shared" si="7"/>
        <v>#REF!</v>
      </c>
      <c r="CY115" s="12">
        <v>46138</v>
      </c>
      <c r="CZ115" s="68"/>
    </row>
    <row r="116" spans="1:104" ht="18" customHeight="1" x14ac:dyDescent="0.3">
      <c r="A116" s="150"/>
      <c r="B116" s="78" t="s">
        <v>101</v>
      </c>
      <c r="C116" s="12">
        <v>46134</v>
      </c>
      <c r="D116" s="20">
        <f t="shared" si="6"/>
        <v>0</v>
      </c>
      <c r="E116" s="20"/>
      <c r="F116" s="20"/>
      <c r="G116" s="20"/>
      <c r="H116" s="20"/>
      <c r="I116" s="20"/>
      <c r="J116" s="20"/>
      <c r="K116" s="20"/>
      <c r="L116" s="20"/>
      <c r="M116" s="19" t="s">
        <v>71</v>
      </c>
      <c r="N116" s="19"/>
      <c r="O116" s="19" t="s">
        <v>71</v>
      </c>
      <c r="P116" s="19"/>
      <c r="Q116" s="19" t="s">
        <v>71</v>
      </c>
      <c r="R116" s="19"/>
      <c r="S116" s="19" t="s">
        <v>71</v>
      </c>
      <c r="T116" s="19"/>
      <c r="U116" s="19" t="s">
        <v>71</v>
      </c>
      <c r="V116" s="19"/>
      <c r="W116" s="19"/>
      <c r="X116" s="19"/>
      <c r="Y116" s="19" t="s">
        <v>71</v>
      </c>
      <c r="Z116" s="19"/>
      <c r="AA116" s="19" t="s">
        <v>71</v>
      </c>
      <c r="AB116" s="19"/>
      <c r="AC116" s="19" t="s">
        <v>71</v>
      </c>
      <c r="AD116" s="19"/>
      <c r="AE116" s="19" t="s">
        <v>71</v>
      </c>
      <c r="AF116" s="19"/>
      <c r="AG116" s="19" t="s">
        <v>71</v>
      </c>
      <c r="AH116" s="19"/>
      <c r="AI116" s="19" t="s">
        <v>71</v>
      </c>
      <c r="AJ116" s="19"/>
      <c r="AK116" s="19" t="s">
        <v>71</v>
      </c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39"/>
      <c r="BP116" s="39"/>
      <c r="BQ116" s="39"/>
      <c r="BR116" s="39"/>
      <c r="BS116" s="39"/>
      <c r="BT116" s="39"/>
      <c r="BU116" s="39"/>
      <c r="BV116" s="3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1" t="e">
        <f>IF(SUM(E116,G116,I116,K116,M116,O116,Q116,S116,U116,W116,Y116,AA116,AC116,AE116,AG116,AI116,AK116,AM116,AO116,AQ116,#REF!)&gt;0,"Sí","No")</f>
        <v>#REF!</v>
      </c>
      <c r="CV116" s="92" t="e">
        <f>IF($CU116="Sí",_xlfn.TEXTJOIN(", ",TRUE,IF(N(E116)&gt;0,E$4,""),IF(N(G116)&gt;0,G$4,""),IF(N(I116)&gt;0,I$4,""),IF(N(K116)&gt;0,K$4,""),IF(N(M116)&gt;0,M$4,""),IF(N(O116)&gt;0,O$4,""),IF(N(Q116)&gt;0,Q$4,""),IF(N(S116)&gt;0,S$4,""),IF(N(U116)&gt;0,U$4,""),IF(N(W116)&gt;0,W$4,""),IF(N(Y116)&gt;0,Y$4,""),IF(N(AA116)&gt;0,AA$4,""),IF(N(AC116)&gt;0,AC$4,""),IF(N(AE116)&gt;0,AE$4,""),IF(N(AG116)&gt;0,AG$4,""),IF(N(AI116)&gt;0,AI$4,""),IF(N(AK116)&gt;0,AK$4,""),IF(N(AM116)&gt;0,AM$4,""),IF(N(AO116)&gt;0,AO$4,""),IF(N(AQ116)&gt;0,AQ$4,""),IF(N(#REF!)&gt;0,#REF!,"")),"")</f>
        <v>#REF!</v>
      </c>
      <c r="CW116" s="11"/>
      <c r="CX116" s="11" t="e">
        <f t="shared" si="7"/>
        <v>#REF!</v>
      </c>
      <c r="CY116" s="12"/>
      <c r="CZ116" s="68"/>
    </row>
    <row r="117" spans="1:104" ht="18" customHeight="1" x14ac:dyDescent="0.3">
      <c r="A117" s="150"/>
      <c r="B117" s="78" t="s">
        <v>94</v>
      </c>
      <c r="C117" s="12">
        <v>46135</v>
      </c>
      <c r="D117" s="20">
        <f t="shared" si="6"/>
        <v>0</v>
      </c>
      <c r="E117" s="20"/>
      <c r="F117" s="20"/>
      <c r="G117" s="20"/>
      <c r="H117" s="20"/>
      <c r="I117" s="20"/>
      <c r="J117" s="20"/>
      <c r="K117" s="20"/>
      <c r="L117" s="20"/>
      <c r="M117" s="19" t="s">
        <v>71</v>
      </c>
      <c r="N117" s="19"/>
      <c r="O117" s="19" t="s">
        <v>71</v>
      </c>
      <c r="P117" s="19"/>
      <c r="Q117" s="19" t="s">
        <v>71</v>
      </c>
      <c r="R117" s="19"/>
      <c r="S117" s="19" t="s">
        <v>71</v>
      </c>
      <c r="T117" s="19"/>
      <c r="U117" s="19" t="s">
        <v>71</v>
      </c>
      <c r="V117" s="19"/>
      <c r="W117" s="19"/>
      <c r="X117" s="19"/>
      <c r="Y117" s="19" t="s">
        <v>71</v>
      </c>
      <c r="Z117" s="19"/>
      <c r="AA117" s="19" t="s">
        <v>71</v>
      </c>
      <c r="AB117" s="19"/>
      <c r="AC117" s="19" t="s">
        <v>71</v>
      </c>
      <c r="AD117" s="19"/>
      <c r="AE117" s="19" t="s">
        <v>71</v>
      </c>
      <c r="AF117" s="19"/>
      <c r="AG117" s="19" t="s">
        <v>71</v>
      </c>
      <c r="AH117" s="19"/>
      <c r="AI117" s="19" t="s">
        <v>71</v>
      </c>
      <c r="AJ117" s="19"/>
      <c r="AK117" s="19" t="s">
        <v>71</v>
      </c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39"/>
      <c r="BP117" s="39"/>
      <c r="BQ117" s="39"/>
      <c r="BR117" s="39"/>
      <c r="BS117" s="39"/>
      <c r="BT117" s="39"/>
      <c r="BU117" s="39"/>
      <c r="BV117" s="3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1" t="e">
        <f>IF(SUM(E117,G117,I117,K117,M117,O117,Q117,S117,U117,W117,Y117,AA117,AC117,AE117,AG117,AI117,AK117,AM117,AO117,AQ117,#REF!)&gt;0,"Sí","No")</f>
        <v>#REF!</v>
      </c>
      <c r="CV117" s="92" t="e">
        <f>IF($CU117="Sí",_xlfn.TEXTJOIN(", ",TRUE,IF(N(E117)&gt;0,E$4,""),IF(N(G117)&gt;0,G$4,""),IF(N(I117)&gt;0,I$4,""),IF(N(K117)&gt;0,K$4,""),IF(N(M117)&gt;0,M$4,""),IF(N(O117)&gt;0,O$4,""),IF(N(Q117)&gt;0,Q$4,""),IF(N(S117)&gt;0,S$4,""),IF(N(U117)&gt;0,U$4,""),IF(N(W117)&gt;0,W$4,""),IF(N(Y117)&gt;0,Y$4,""),IF(N(AA117)&gt;0,AA$4,""),IF(N(AC117)&gt;0,AC$4,""),IF(N(AE117)&gt;0,AE$4,""),IF(N(AG117)&gt;0,AG$4,""),IF(N(AI117)&gt;0,AI$4,""),IF(N(AK117)&gt;0,AK$4,""),IF(N(AM117)&gt;0,AM$4,""),IF(N(AO117)&gt;0,AO$4,""),IF(N(AQ117)&gt;0,AQ$4,""),IF(N(#REF!)&gt;0,#REF!,"")),"")</f>
        <v>#REF!</v>
      </c>
      <c r="CW117" s="11"/>
      <c r="CX117" s="11" t="e">
        <f t="shared" si="7"/>
        <v>#REF!</v>
      </c>
      <c r="CY117" s="12"/>
      <c r="CZ117" s="68"/>
    </row>
    <row r="118" spans="1:104" ht="18" customHeight="1" x14ac:dyDescent="0.3">
      <c r="A118" s="150"/>
      <c r="B118" s="78" t="s">
        <v>95</v>
      </c>
      <c r="C118" s="12">
        <v>46136</v>
      </c>
      <c r="D118" s="20">
        <f t="shared" si="6"/>
        <v>0</v>
      </c>
      <c r="E118" s="20"/>
      <c r="F118" s="20"/>
      <c r="G118" s="20"/>
      <c r="H118" s="20"/>
      <c r="I118" s="20"/>
      <c r="J118" s="20"/>
      <c r="K118" s="20"/>
      <c r="L118" s="20"/>
      <c r="M118" s="19" t="s">
        <v>71</v>
      </c>
      <c r="N118" s="19"/>
      <c r="O118" s="19" t="s">
        <v>71</v>
      </c>
      <c r="P118" s="19"/>
      <c r="Q118" s="19" t="s">
        <v>71</v>
      </c>
      <c r="R118" s="19"/>
      <c r="S118" s="19" t="s">
        <v>71</v>
      </c>
      <c r="T118" s="19"/>
      <c r="U118" s="19" t="s">
        <v>71</v>
      </c>
      <c r="V118" s="19"/>
      <c r="W118" s="19"/>
      <c r="X118" s="19"/>
      <c r="Y118" s="19" t="s">
        <v>71</v>
      </c>
      <c r="Z118" s="19"/>
      <c r="AA118" s="19" t="s">
        <v>71</v>
      </c>
      <c r="AB118" s="19"/>
      <c r="AC118" s="19" t="s">
        <v>71</v>
      </c>
      <c r="AD118" s="19"/>
      <c r="AE118" s="19" t="s">
        <v>71</v>
      </c>
      <c r="AF118" s="19"/>
      <c r="AG118" s="19" t="s">
        <v>71</v>
      </c>
      <c r="AH118" s="19"/>
      <c r="AI118" s="19" t="s">
        <v>71</v>
      </c>
      <c r="AJ118" s="19"/>
      <c r="AK118" s="19" t="s">
        <v>71</v>
      </c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39"/>
      <c r="BP118" s="39"/>
      <c r="BQ118" s="39"/>
      <c r="BR118" s="39"/>
      <c r="BS118" s="39"/>
      <c r="BT118" s="39"/>
      <c r="BU118" s="39"/>
      <c r="BV118" s="3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1" t="e">
        <f>IF(SUM(E118,G118,I118,K118,M118,O118,Q118,S118,U118,W118,Y118,AA118,AC118,AE118,AG118,AI118,AK118,AM118,AO118,AQ118,#REF!)&gt;0,"Sí","No")</f>
        <v>#REF!</v>
      </c>
      <c r="CV118" s="92" t="e">
        <f>IF($CU118="Sí",_xlfn.TEXTJOIN(", ",TRUE,IF(N(E118)&gt;0,E$4,""),IF(N(G118)&gt;0,G$4,""),IF(N(I118)&gt;0,I$4,""),IF(N(K118)&gt;0,K$4,""),IF(N(M118)&gt;0,M$4,""),IF(N(O118)&gt;0,O$4,""),IF(N(Q118)&gt;0,Q$4,""),IF(N(S118)&gt;0,S$4,""),IF(N(U118)&gt;0,U$4,""),IF(N(W118)&gt;0,W$4,""),IF(N(Y118)&gt;0,Y$4,""),IF(N(AA118)&gt;0,AA$4,""),IF(N(AC118)&gt;0,AC$4,""),IF(N(AE118)&gt;0,AE$4,""),IF(N(AG118)&gt;0,AG$4,""),IF(N(AI118)&gt;0,AI$4,""),IF(N(AK118)&gt;0,AK$4,""),IF(N(AM118)&gt;0,AM$4,""),IF(N(AO118)&gt;0,AO$4,""),IF(N(AQ118)&gt;0,AQ$4,""),IF(N(#REF!)&gt;0,#REF!,"")),"")</f>
        <v>#REF!</v>
      </c>
      <c r="CW118" s="11"/>
      <c r="CX118" s="11" t="e">
        <f t="shared" si="7"/>
        <v>#REF!</v>
      </c>
      <c r="CY118" s="12"/>
      <c r="CZ118" s="68"/>
    </row>
    <row r="119" spans="1:104" ht="60.6" customHeight="1" x14ac:dyDescent="0.3">
      <c r="A119" s="150"/>
      <c r="B119" s="78" t="s">
        <v>97</v>
      </c>
      <c r="C119" s="12">
        <v>46137</v>
      </c>
      <c r="D119" s="20">
        <f t="shared" si="6"/>
        <v>0</v>
      </c>
      <c r="E119" s="20"/>
      <c r="F119" s="20"/>
      <c r="G119" s="20"/>
      <c r="H119" s="20"/>
      <c r="I119" s="20"/>
      <c r="J119" s="20"/>
      <c r="K119" s="20"/>
      <c r="L119" s="20"/>
      <c r="M119" s="19" t="s">
        <v>71</v>
      </c>
      <c r="N119" s="19"/>
      <c r="O119" s="19" t="s">
        <v>71</v>
      </c>
      <c r="P119" s="19"/>
      <c r="Q119" s="19" t="s">
        <v>71</v>
      </c>
      <c r="R119" s="19"/>
      <c r="S119" s="19" t="s">
        <v>71</v>
      </c>
      <c r="T119" s="19"/>
      <c r="U119" s="19" t="s">
        <v>71</v>
      </c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39"/>
      <c r="BP119" s="39"/>
      <c r="BQ119" s="39"/>
      <c r="BR119" s="39"/>
      <c r="BS119" s="39"/>
      <c r="BT119" s="39"/>
      <c r="BU119" s="39"/>
      <c r="BV119" s="3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1" t="e">
        <f>IF(SUM(E119,G119,I119,K119,M119,O119,Q119,S119,U119,W119,Y119,AA119,AC119,AE119,AG119,AI119,AK119,AM119,AO119,AQ119,#REF!)&gt;0,"Sí","No")</f>
        <v>#REF!</v>
      </c>
      <c r="CV119" s="92" t="e">
        <f>IF($CU119="Sí",_xlfn.TEXTJOIN(", ",TRUE,IF(N(E119)&gt;0,E$4,""),IF(N(G119)&gt;0,G$4,""),IF(N(I119)&gt;0,I$4,""),IF(N(K119)&gt;0,K$4,""),IF(N(M119)&gt;0,M$4,""),IF(N(O119)&gt;0,O$4,""),IF(N(Q119)&gt;0,Q$4,""),IF(N(S119)&gt;0,S$4,""),IF(N(U119)&gt;0,U$4,""),IF(N(W119)&gt;0,W$4,""),IF(N(Y119)&gt;0,Y$4,""),IF(N(AA119)&gt;0,AA$4,""),IF(N(AC119)&gt;0,AC$4,""),IF(N(AE119)&gt;0,AE$4,""),IF(N(AG119)&gt;0,AG$4,""),IF(N(AI119)&gt;0,AI$4,""),IF(N(AK119)&gt;0,AK$4,""),IF(N(AM119)&gt;0,AM$4,""),IF(N(AO119)&gt;0,AO$4,""),IF(N(AQ119)&gt;0,AQ$4,""),IF(N(#REF!)&gt;0,#REF!,"")),"")</f>
        <v>#REF!</v>
      </c>
      <c r="CW119" s="11"/>
      <c r="CX119" s="11" t="e">
        <f t="shared" si="7"/>
        <v>#REF!</v>
      </c>
      <c r="CY119" s="56" t="s">
        <v>103</v>
      </c>
      <c r="CZ119" s="68"/>
    </row>
    <row r="120" spans="1:104" ht="18" customHeight="1" x14ac:dyDescent="0.3">
      <c r="A120" s="150"/>
      <c r="B120" s="78" t="s">
        <v>98</v>
      </c>
      <c r="C120" s="12">
        <v>46138</v>
      </c>
      <c r="D120" s="20">
        <f t="shared" si="6"/>
        <v>0</v>
      </c>
      <c r="E120" s="20"/>
      <c r="F120" s="20"/>
      <c r="G120" s="20"/>
      <c r="H120" s="20"/>
      <c r="I120" s="20"/>
      <c r="J120" s="20"/>
      <c r="K120" s="20"/>
      <c r="L120" s="20"/>
      <c r="M120" s="19" t="s">
        <v>71</v>
      </c>
      <c r="N120" s="19"/>
      <c r="O120" s="19" t="s">
        <v>71</v>
      </c>
      <c r="P120" s="19"/>
      <c r="Q120" s="19" t="s">
        <v>71</v>
      </c>
      <c r="R120" s="19"/>
      <c r="S120" s="19" t="s">
        <v>71</v>
      </c>
      <c r="T120" s="19"/>
      <c r="U120" s="19" t="s">
        <v>71</v>
      </c>
      <c r="V120" s="19"/>
      <c r="W120" s="19"/>
      <c r="X120" s="19"/>
      <c r="Y120" s="19" t="s">
        <v>71</v>
      </c>
      <c r="Z120" s="19"/>
      <c r="AA120" s="19" t="s">
        <v>71</v>
      </c>
      <c r="AB120" s="19"/>
      <c r="AC120" s="19" t="s">
        <v>71</v>
      </c>
      <c r="AD120" s="19"/>
      <c r="AE120" s="19" t="s">
        <v>71</v>
      </c>
      <c r="AF120" s="19"/>
      <c r="AG120" s="19" t="s">
        <v>71</v>
      </c>
      <c r="AH120" s="19"/>
      <c r="AI120" s="19" t="s">
        <v>71</v>
      </c>
      <c r="AJ120" s="19"/>
      <c r="AK120" s="19" t="s">
        <v>71</v>
      </c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39"/>
      <c r="BP120" s="39"/>
      <c r="BQ120" s="39"/>
      <c r="BR120" s="39"/>
      <c r="BS120" s="39"/>
      <c r="BT120" s="39"/>
      <c r="BU120" s="39"/>
      <c r="BV120" s="3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1" t="e">
        <f>IF(SUM(E120,G120,I120,K120,M120,O120,Q120,S120,U120,W120,Y120,AA120,AC120,AE120,AG120,AI120,AK120,AM120,AO120,AQ120,#REF!)&gt;0,"Sí","No")</f>
        <v>#REF!</v>
      </c>
      <c r="CV120" s="92" t="e">
        <f>IF($CU120="Sí",_xlfn.TEXTJOIN(", ",TRUE,IF(N(E120)&gt;0,E$4,""),IF(N(G120)&gt;0,G$4,""),IF(N(I120)&gt;0,I$4,""),IF(N(K120)&gt;0,K$4,""),IF(N(M120)&gt;0,M$4,""),IF(N(O120)&gt;0,O$4,""),IF(N(Q120)&gt;0,Q$4,""),IF(N(S120)&gt;0,S$4,""),IF(N(U120)&gt;0,U$4,""),IF(N(W120)&gt;0,W$4,""),IF(N(Y120)&gt;0,Y$4,""),IF(N(AA120)&gt;0,AA$4,""),IF(N(AC120)&gt;0,AC$4,""),IF(N(AE120)&gt;0,AE$4,""),IF(N(AG120)&gt;0,AG$4,""),IF(N(AI120)&gt;0,AI$4,""),IF(N(AK120)&gt;0,AK$4,""),IF(N(AM120)&gt;0,AM$4,""),IF(N(AO120)&gt;0,AO$4,""),IF(N(AQ120)&gt;0,AQ$4,""),IF(N(#REF!)&gt;0,#REF!,"")),"")</f>
        <v>#REF!</v>
      </c>
      <c r="CW120" s="11"/>
      <c r="CX120" s="11" t="e">
        <f t="shared" si="7"/>
        <v>#REF!</v>
      </c>
      <c r="CY120" s="12"/>
      <c r="CZ120" s="68"/>
    </row>
    <row r="121" spans="1:104" ht="18" customHeight="1" x14ac:dyDescent="0.3">
      <c r="A121" s="150"/>
      <c r="B121" s="78" t="s">
        <v>99</v>
      </c>
      <c r="C121" s="12">
        <v>46139</v>
      </c>
      <c r="D121" s="20">
        <f t="shared" si="6"/>
        <v>0</v>
      </c>
      <c r="E121" s="20"/>
      <c r="F121" s="20"/>
      <c r="G121" s="20"/>
      <c r="H121" s="20"/>
      <c r="I121" s="20"/>
      <c r="J121" s="20"/>
      <c r="K121" s="20"/>
      <c r="L121" s="20"/>
      <c r="M121" s="19" t="s">
        <v>71</v>
      </c>
      <c r="N121" s="19"/>
      <c r="O121" s="19" t="s">
        <v>71</v>
      </c>
      <c r="P121" s="19"/>
      <c r="Q121" s="19" t="s">
        <v>71</v>
      </c>
      <c r="R121" s="19"/>
      <c r="S121" s="19" t="s">
        <v>71</v>
      </c>
      <c r="T121" s="19"/>
      <c r="U121" s="19" t="s">
        <v>71</v>
      </c>
      <c r="V121" s="19"/>
      <c r="W121" s="19"/>
      <c r="X121" s="19"/>
      <c r="Y121" s="19" t="s">
        <v>71</v>
      </c>
      <c r="Z121" s="19"/>
      <c r="AA121" s="19" t="s">
        <v>71</v>
      </c>
      <c r="AB121" s="19"/>
      <c r="AC121" s="19" t="s">
        <v>71</v>
      </c>
      <c r="AD121" s="19"/>
      <c r="AE121" s="19" t="s">
        <v>71</v>
      </c>
      <c r="AF121" s="19"/>
      <c r="AG121" s="19" t="s">
        <v>71</v>
      </c>
      <c r="AH121" s="19"/>
      <c r="AI121" s="19" t="s">
        <v>71</v>
      </c>
      <c r="AJ121" s="19"/>
      <c r="AK121" s="19" t="s">
        <v>71</v>
      </c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39"/>
      <c r="BP121" s="39"/>
      <c r="BQ121" s="39"/>
      <c r="BR121" s="39"/>
      <c r="BS121" s="39"/>
      <c r="BT121" s="39"/>
      <c r="BU121" s="39"/>
      <c r="BV121" s="3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1" t="e">
        <f>IF(SUM(E121,G121,I121,K121,M121,O121,Q121,S121,U121,W121,Y121,AA121,AC121,AE121,AG121,AI121,AK121,AM121,AO121,AQ121,#REF!)&gt;0,"Sí","No")</f>
        <v>#REF!</v>
      </c>
      <c r="CV121" s="92" t="e">
        <f>IF($CU121="Sí",_xlfn.TEXTJOIN(", ",TRUE,IF(N(E121)&gt;0,E$4,""),IF(N(G121)&gt;0,G$4,""),IF(N(I121)&gt;0,I$4,""),IF(N(K121)&gt;0,K$4,""),IF(N(M121)&gt;0,M$4,""),IF(N(O121)&gt;0,O$4,""),IF(N(Q121)&gt;0,Q$4,""),IF(N(S121)&gt;0,S$4,""),IF(N(U121)&gt;0,U$4,""),IF(N(W121)&gt;0,W$4,""),IF(N(Y121)&gt;0,Y$4,""),IF(N(AA121)&gt;0,AA$4,""),IF(N(AC121)&gt;0,AC$4,""),IF(N(AE121)&gt;0,AE$4,""),IF(N(AG121)&gt;0,AG$4,""),IF(N(AI121)&gt;0,AI$4,""),IF(N(AK121)&gt;0,AK$4,""),IF(N(AM121)&gt;0,AM$4,""),IF(N(AO121)&gt;0,AO$4,""),IF(N(AQ121)&gt;0,AQ$4,""),IF(N(#REF!)&gt;0,#REF!,"")),"")</f>
        <v>#REF!</v>
      </c>
      <c r="CW121" s="11"/>
      <c r="CX121" s="11" t="e">
        <f t="shared" si="7"/>
        <v>#REF!</v>
      </c>
      <c r="CY121" s="12"/>
      <c r="CZ121" s="68"/>
    </row>
    <row r="122" spans="1:104" ht="18" customHeight="1" x14ac:dyDescent="0.3">
      <c r="A122" s="150"/>
      <c r="B122" s="78" t="s">
        <v>100</v>
      </c>
      <c r="C122" s="12">
        <v>46140</v>
      </c>
      <c r="D122" s="20">
        <f t="shared" si="6"/>
        <v>0</v>
      </c>
      <c r="E122" s="20"/>
      <c r="F122" s="20"/>
      <c r="G122" s="20"/>
      <c r="H122" s="20"/>
      <c r="I122" s="20"/>
      <c r="J122" s="20"/>
      <c r="K122" s="20"/>
      <c r="L122" s="20"/>
      <c r="M122" s="19" t="s">
        <v>71</v>
      </c>
      <c r="N122" s="19"/>
      <c r="O122" s="19" t="s">
        <v>71</v>
      </c>
      <c r="P122" s="19"/>
      <c r="Q122" s="19" t="s">
        <v>71</v>
      </c>
      <c r="R122" s="19"/>
      <c r="S122" s="19" t="s">
        <v>71</v>
      </c>
      <c r="T122" s="19"/>
      <c r="U122" s="19" t="s">
        <v>71</v>
      </c>
      <c r="V122" s="19"/>
      <c r="W122" s="19"/>
      <c r="X122" s="19"/>
      <c r="Y122" s="19" t="s">
        <v>71</v>
      </c>
      <c r="Z122" s="19"/>
      <c r="AA122" s="19" t="s">
        <v>71</v>
      </c>
      <c r="AB122" s="19"/>
      <c r="AC122" s="19" t="s">
        <v>71</v>
      </c>
      <c r="AD122" s="19"/>
      <c r="AE122" s="19" t="s">
        <v>71</v>
      </c>
      <c r="AF122" s="19"/>
      <c r="AG122" s="19" t="s">
        <v>71</v>
      </c>
      <c r="AH122" s="19"/>
      <c r="AI122" s="19" t="s">
        <v>71</v>
      </c>
      <c r="AJ122" s="19"/>
      <c r="AK122" s="19" t="s">
        <v>71</v>
      </c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39"/>
      <c r="BP122" s="39"/>
      <c r="BQ122" s="39"/>
      <c r="BR122" s="39"/>
      <c r="BS122" s="39"/>
      <c r="BT122" s="39"/>
      <c r="BU122" s="39"/>
      <c r="BV122" s="3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1" t="e">
        <f>IF(SUM(E122,G122,I122,K122,M122,O122,Q122,S122,U122,W122,Y122,AA122,AC122,AE122,AG122,AI122,AK122,AM122,AO122,AQ122,#REF!)&gt;0,"Sí","No")</f>
        <v>#REF!</v>
      </c>
      <c r="CV122" s="92" t="e">
        <f>IF($CU122="Sí",_xlfn.TEXTJOIN(", ",TRUE,IF(N(E122)&gt;0,E$4,""),IF(N(G122)&gt;0,G$4,""),IF(N(I122)&gt;0,I$4,""),IF(N(K122)&gt;0,K$4,""),IF(N(M122)&gt;0,M$4,""),IF(N(O122)&gt;0,O$4,""),IF(N(Q122)&gt;0,Q$4,""),IF(N(S122)&gt;0,S$4,""),IF(N(U122)&gt;0,U$4,""),IF(N(W122)&gt;0,W$4,""),IF(N(Y122)&gt;0,Y$4,""),IF(N(AA122)&gt;0,AA$4,""),IF(N(AC122)&gt;0,AC$4,""),IF(N(AE122)&gt;0,AE$4,""),IF(N(AG122)&gt;0,AG$4,""),IF(N(AI122)&gt;0,AI$4,""),IF(N(AK122)&gt;0,AK$4,""),IF(N(AM122)&gt;0,AM$4,""),IF(N(AO122)&gt;0,AO$4,""),IF(N(AQ122)&gt;0,AQ$4,""),IF(N(#REF!)&gt;0,#REF!,"")),"")</f>
        <v>#REF!</v>
      </c>
      <c r="CW122" s="11"/>
      <c r="CX122" s="11" t="e">
        <f t="shared" si="7"/>
        <v>#REF!</v>
      </c>
      <c r="CY122" s="12"/>
      <c r="CZ122" s="68"/>
    </row>
    <row r="123" spans="1:104" ht="18" customHeight="1" x14ac:dyDescent="0.3">
      <c r="A123" s="150"/>
      <c r="B123" s="78" t="s">
        <v>101</v>
      </c>
      <c r="C123" s="12">
        <v>46141</v>
      </c>
      <c r="D123" s="20">
        <f t="shared" si="6"/>
        <v>0</v>
      </c>
      <c r="E123" s="20"/>
      <c r="F123" s="20"/>
      <c r="G123" s="20"/>
      <c r="H123" s="20"/>
      <c r="I123" s="20"/>
      <c r="J123" s="20"/>
      <c r="K123" s="20"/>
      <c r="L123" s="20"/>
      <c r="M123" s="19" t="s">
        <v>71</v>
      </c>
      <c r="N123" s="19"/>
      <c r="O123" s="19" t="s">
        <v>71</v>
      </c>
      <c r="P123" s="19"/>
      <c r="Q123" s="19" t="s">
        <v>71</v>
      </c>
      <c r="R123" s="19"/>
      <c r="S123" s="19" t="s">
        <v>71</v>
      </c>
      <c r="T123" s="19"/>
      <c r="U123" s="19" t="s">
        <v>71</v>
      </c>
      <c r="V123" s="19"/>
      <c r="W123" s="19"/>
      <c r="X123" s="19"/>
      <c r="Y123" s="19" t="s">
        <v>71</v>
      </c>
      <c r="Z123" s="19"/>
      <c r="AA123" s="19" t="s">
        <v>71</v>
      </c>
      <c r="AB123" s="19"/>
      <c r="AC123" s="19" t="s">
        <v>71</v>
      </c>
      <c r="AD123" s="19"/>
      <c r="AE123" s="19" t="s">
        <v>71</v>
      </c>
      <c r="AF123" s="19"/>
      <c r="AG123" s="19" t="s">
        <v>71</v>
      </c>
      <c r="AH123" s="19"/>
      <c r="AI123" s="19" t="s">
        <v>71</v>
      </c>
      <c r="AJ123" s="19"/>
      <c r="AK123" s="19" t="s">
        <v>71</v>
      </c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39"/>
      <c r="BP123" s="39"/>
      <c r="BQ123" s="39"/>
      <c r="BR123" s="39"/>
      <c r="BS123" s="39"/>
      <c r="BT123" s="39"/>
      <c r="BU123" s="39"/>
      <c r="BV123" s="3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1" t="e">
        <f>IF(SUM(E123,G123,I123,K123,M123,O123,Q123,S123,U123,W123,Y123,AA123,AC123,AE123,AG123,AI123,AK123,AM123,AO123,AQ123,#REF!)&gt;0,"Sí","No")</f>
        <v>#REF!</v>
      </c>
      <c r="CV123" s="92" t="e">
        <f>IF($CU123="Sí",_xlfn.TEXTJOIN(", ",TRUE,IF(N(E123)&gt;0,E$4,""),IF(N(G123)&gt;0,G$4,""),IF(N(I123)&gt;0,I$4,""),IF(N(K123)&gt;0,K$4,""),IF(N(M123)&gt;0,M$4,""),IF(N(O123)&gt;0,O$4,""),IF(N(Q123)&gt;0,Q$4,""),IF(N(S123)&gt;0,S$4,""),IF(N(U123)&gt;0,U$4,""),IF(N(W123)&gt;0,W$4,""),IF(N(Y123)&gt;0,Y$4,""),IF(N(AA123)&gt;0,AA$4,""),IF(N(AC123)&gt;0,AC$4,""),IF(N(AE123)&gt;0,AE$4,""),IF(N(AG123)&gt;0,AG$4,""),IF(N(AI123)&gt;0,AI$4,""),IF(N(AK123)&gt;0,AK$4,""),IF(N(AM123)&gt;0,AM$4,""),IF(N(AO123)&gt;0,AO$4,""),IF(N(AQ123)&gt;0,AQ$4,""),IF(N(#REF!)&gt;0,#REF!,"")),"")</f>
        <v>#REF!</v>
      </c>
      <c r="CW123" s="11"/>
      <c r="CX123" s="11" t="e">
        <f t="shared" si="7"/>
        <v>#REF!</v>
      </c>
      <c r="CY123" s="12"/>
      <c r="CZ123" s="68"/>
    </row>
    <row r="124" spans="1:104" ht="18" customHeight="1" thickBot="1" x14ac:dyDescent="0.35">
      <c r="A124" s="151"/>
      <c r="B124" s="53" t="s">
        <v>94</v>
      </c>
      <c r="C124" s="30">
        <v>46142</v>
      </c>
      <c r="D124" s="31">
        <f t="shared" si="6"/>
        <v>0</v>
      </c>
      <c r="E124" s="31"/>
      <c r="F124" s="31"/>
      <c r="G124" s="31"/>
      <c r="H124" s="31"/>
      <c r="I124" s="31"/>
      <c r="J124" s="31"/>
      <c r="K124" s="31"/>
      <c r="L124" s="31"/>
      <c r="M124" s="32" t="s">
        <v>71</v>
      </c>
      <c r="N124" s="32"/>
      <c r="O124" s="32" t="s">
        <v>71</v>
      </c>
      <c r="P124" s="32"/>
      <c r="Q124" s="32" t="s">
        <v>71</v>
      </c>
      <c r="R124" s="32"/>
      <c r="S124" s="32" t="s">
        <v>71</v>
      </c>
      <c r="T124" s="32"/>
      <c r="U124" s="32" t="s">
        <v>71</v>
      </c>
      <c r="V124" s="32"/>
      <c r="W124" s="32"/>
      <c r="X124" s="32"/>
      <c r="Y124" s="32" t="s">
        <v>71</v>
      </c>
      <c r="Z124" s="32"/>
      <c r="AA124" s="32" t="s">
        <v>71</v>
      </c>
      <c r="AB124" s="32"/>
      <c r="AC124" s="32" t="s">
        <v>71</v>
      </c>
      <c r="AD124" s="32"/>
      <c r="AE124" s="32" t="s">
        <v>71</v>
      </c>
      <c r="AF124" s="32"/>
      <c r="AG124" s="32" t="s">
        <v>71</v>
      </c>
      <c r="AH124" s="32"/>
      <c r="AI124" s="32" t="s">
        <v>71</v>
      </c>
      <c r="AJ124" s="32"/>
      <c r="AK124" s="32" t="s">
        <v>71</v>
      </c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40"/>
      <c r="BP124" s="40"/>
      <c r="BQ124" s="40"/>
      <c r="BR124" s="40"/>
      <c r="BS124" s="40"/>
      <c r="BT124" s="40"/>
      <c r="BU124" s="40"/>
      <c r="BV124" s="40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70" t="e">
        <f>IF(SUM(E124,G124,I124,K124,M124,O124,Q124,S124,U124,W124,Y124,AA124,AC124,AE124,AG124,AI124,AK124,AM124,AO124,AQ124,#REF!)&gt;0,"Sí","No")</f>
        <v>#REF!</v>
      </c>
      <c r="CV124" s="108" t="e">
        <f>IF($CU124="Sí",_xlfn.TEXTJOIN(", ",TRUE,IF(N(E124)&gt;0,E$4,""),IF(N(G124)&gt;0,G$4,""),IF(N(I124)&gt;0,I$4,""),IF(N(K124)&gt;0,K$4,""),IF(N(M124)&gt;0,M$4,""),IF(N(O124)&gt;0,O$4,""),IF(N(Q124)&gt;0,Q$4,""),IF(N(S124)&gt;0,S$4,""),IF(N(U124)&gt;0,U$4,""),IF(N(W124)&gt;0,W$4,""),IF(N(Y124)&gt;0,Y$4,""),IF(N(AA124)&gt;0,AA$4,""),IF(N(AC124)&gt;0,AC$4,""),IF(N(AE124)&gt;0,AE$4,""),IF(N(AG124)&gt;0,AG$4,""),IF(N(AI124)&gt;0,AI$4,""),IF(N(AK124)&gt;0,AK$4,""),IF(N(AM124)&gt;0,AM$4,""),IF(N(AO124)&gt;0,AO$4,""),IF(N(AQ124)&gt;0,AQ$4,""),IF(N(#REF!)&gt;0,#REF!,"")),"")</f>
        <v>#REF!</v>
      </c>
      <c r="CW124" s="70"/>
      <c r="CX124" s="70" t="e">
        <f t="shared" si="7"/>
        <v>#REF!</v>
      </c>
      <c r="CY124" s="30"/>
      <c r="CZ124" s="73"/>
    </row>
    <row r="125" spans="1:104" ht="18" customHeight="1" x14ac:dyDescent="0.3">
      <c r="A125" s="148" t="s">
        <v>60</v>
      </c>
      <c r="B125" s="52" t="s">
        <v>95</v>
      </c>
      <c r="C125" s="15">
        <v>46143</v>
      </c>
      <c r="D125" s="27">
        <f t="shared" si="6"/>
        <v>0</v>
      </c>
      <c r="E125" s="27"/>
      <c r="F125" s="27"/>
      <c r="G125" s="27"/>
      <c r="H125" s="27"/>
      <c r="I125" s="27"/>
      <c r="J125" s="27"/>
      <c r="K125" s="27"/>
      <c r="L125" s="27"/>
      <c r="M125" s="18" t="s">
        <v>71</v>
      </c>
      <c r="N125" s="18"/>
      <c r="O125" s="18" t="s">
        <v>71</v>
      </c>
      <c r="P125" s="18"/>
      <c r="Q125" s="18" t="s">
        <v>71</v>
      </c>
      <c r="R125" s="18"/>
      <c r="S125" s="18" t="s">
        <v>71</v>
      </c>
      <c r="T125" s="18"/>
      <c r="U125" s="18" t="s">
        <v>71</v>
      </c>
      <c r="V125" s="18"/>
      <c r="W125" s="18"/>
      <c r="X125" s="18"/>
      <c r="Y125" s="18" t="s">
        <v>71</v>
      </c>
      <c r="Z125" s="18"/>
      <c r="AA125" s="18" t="s">
        <v>71</v>
      </c>
      <c r="AB125" s="18"/>
      <c r="AC125" s="18" t="s">
        <v>71</v>
      </c>
      <c r="AD125" s="18"/>
      <c r="AE125" s="18" t="s">
        <v>71</v>
      </c>
      <c r="AF125" s="18"/>
      <c r="AG125" s="18" t="s">
        <v>71</v>
      </c>
      <c r="AH125" s="18"/>
      <c r="AI125" s="18" t="s">
        <v>71</v>
      </c>
      <c r="AJ125" s="18"/>
      <c r="AK125" s="18" t="s">
        <v>71</v>
      </c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38"/>
      <c r="BP125" s="38"/>
      <c r="BQ125" s="38"/>
      <c r="BR125" s="38"/>
      <c r="BS125" s="38"/>
      <c r="BT125" s="38"/>
      <c r="BU125" s="38"/>
      <c r="BV125" s="3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4" t="e">
        <f>IF(SUM(E125,G125,I125,K125,M125,O125,Q125,S125,U125,W125,Y125,AA125,AC125,AE125,AG125,AI125,AK125,AM125,AO125,AQ125,#REF!)&gt;0,"Sí","No")</f>
        <v>#REF!</v>
      </c>
      <c r="CV125" s="107" t="e">
        <f>IF($CU125="Sí",_xlfn.TEXTJOIN(", ",TRUE,IF(N(E125)&gt;0,E$4,""),IF(N(G125)&gt;0,G$4,""),IF(N(I125)&gt;0,I$4,""),IF(N(K125)&gt;0,K$4,""),IF(N(M125)&gt;0,M$4,""),IF(N(O125)&gt;0,O$4,""),IF(N(Q125)&gt;0,Q$4,""),IF(N(S125)&gt;0,S$4,""),IF(N(U125)&gt;0,U$4,""),IF(N(W125)&gt;0,W$4,""),IF(N(Y125)&gt;0,Y$4,""),IF(N(AA125)&gt;0,AA$4,""),IF(N(AC125)&gt;0,AC$4,""),IF(N(AE125)&gt;0,AE$4,""),IF(N(AG125)&gt;0,AG$4,""),IF(N(AI125)&gt;0,AI$4,""),IF(N(AK125)&gt;0,AK$4,""),IF(N(AM125)&gt;0,AM$4,""),IF(N(AO125)&gt;0,AO$4,""),IF(N(AQ125)&gt;0,AQ$4,""),IF(N(#REF!)&gt;0,#REF!,"")),"")</f>
        <v>#REF!</v>
      </c>
      <c r="CW125" s="14"/>
      <c r="CX125" s="14" t="e">
        <f t="shared" si="7"/>
        <v>#REF!</v>
      </c>
      <c r="CY125" s="15">
        <v>46148</v>
      </c>
      <c r="CZ125" s="66"/>
    </row>
    <row r="126" spans="1:104" ht="18" customHeight="1" x14ac:dyDescent="0.3">
      <c r="A126" s="150"/>
      <c r="B126" s="78" t="s">
        <v>97</v>
      </c>
      <c r="C126" s="12">
        <v>46144</v>
      </c>
      <c r="D126" s="20">
        <f t="shared" si="6"/>
        <v>0</v>
      </c>
      <c r="E126" s="20"/>
      <c r="F126" s="20"/>
      <c r="G126" s="20"/>
      <c r="H126" s="20"/>
      <c r="I126" s="20"/>
      <c r="J126" s="20"/>
      <c r="K126" s="20"/>
      <c r="L126" s="20"/>
      <c r="M126" s="19" t="s">
        <v>71</v>
      </c>
      <c r="N126" s="19"/>
      <c r="O126" s="19" t="s">
        <v>71</v>
      </c>
      <c r="P126" s="19"/>
      <c r="Q126" s="19" t="s">
        <v>71</v>
      </c>
      <c r="R126" s="19"/>
      <c r="S126" s="19" t="s">
        <v>71</v>
      </c>
      <c r="T126" s="19"/>
      <c r="U126" s="19" t="s">
        <v>71</v>
      </c>
      <c r="V126" s="19"/>
      <c r="W126" s="19"/>
      <c r="X126" s="19"/>
      <c r="Y126" s="19" t="s">
        <v>71</v>
      </c>
      <c r="Z126" s="19"/>
      <c r="AA126" s="19" t="s">
        <v>71</v>
      </c>
      <c r="AB126" s="19"/>
      <c r="AC126" s="19" t="s">
        <v>71</v>
      </c>
      <c r="AD126" s="19"/>
      <c r="AE126" s="19" t="s">
        <v>71</v>
      </c>
      <c r="AF126" s="19"/>
      <c r="AG126" s="19" t="s">
        <v>71</v>
      </c>
      <c r="AH126" s="19"/>
      <c r="AI126" s="19" t="s">
        <v>71</v>
      </c>
      <c r="AJ126" s="19"/>
      <c r="AK126" s="19" t="s">
        <v>71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39"/>
      <c r="BP126" s="39"/>
      <c r="BQ126" s="39"/>
      <c r="BR126" s="39"/>
      <c r="BS126" s="39"/>
      <c r="BT126" s="39"/>
      <c r="BU126" s="39"/>
      <c r="BV126" s="3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1" t="e">
        <f>IF(SUM(E126,G126,I126,K126,M126,O126,Q126,S126,U126,W126,Y126,AA126,AC126,AE126,AG126,AI126,AK126,AM126,AO126,AQ126,#REF!)&gt;0,"Sí","No")</f>
        <v>#REF!</v>
      </c>
      <c r="CV126" s="92" t="e">
        <f>IF($CU126="Sí",_xlfn.TEXTJOIN(", ",TRUE,IF(N(E126)&gt;0,E$4,""),IF(N(G126)&gt;0,G$4,""),IF(N(I126)&gt;0,I$4,""),IF(N(K126)&gt;0,K$4,""),IF(N(M126)&gt;0,M$4,""),IF(N(O126)&gt;0,O$4,""),IF(N(Q126)&gt;0,Q$4,""),IF(N(S126)&gt;0,S$4,""),IF(N(U126)&gt;0,U$4,""),IF(N(W126)&gt;0,W$4,""),IF(N(Y126)&gt;0,Y$4,""),IF(N(AA126)&gt;0,AA$4,""),IF(N(AC126)&gt;0,AC$4,""),IF(N(AE126)&gt;0,AE$4,""),IF(N(AG126)&gt;0,AG$4,""),IF(N(AI126)&gt;0,AI$4,""),IF(N(AK126)&gt;0,AK$4,""),IF(N(AM126)&gt;0,AM$4,""),IF(N(AO126)&gt;0,AO$4,""),IF(N(AQ126)&gt;0,AQ$4,""),IF(N(#REF!)&gt;0,#REF!,"")),"")</f>
        <v>#REF!</v>
      </c>
      <c r="CW126" s="11"/>
      <c r="CX126" s="11" t="e">
        <f t="shared" si="7"/>
        <v>#REF!</v>
      </c>
      <c r="CY126" s="12">
        <v>46148</v>
      </c>
      <c r="CZ126" s="68"/>
    </row>
    <row r="127" spans="1:104" ht="18" customHeight="1" x14ac:dyDescent="0.3">
      <c r="A127" s="150"/>
      <c r="B127" s="78" t="s">
        <v>98</v>
      </c>
      <c r="C127" s="12">
        <v>46145</v>
      </c>
      <c r="D127" s="20">
        <f t="shared" si="6"/>
        <v>0</v>
      </c>
      <c r="E127" s="20"/>
      <c r="F127" s="20"/>
      <c r="G127" s="20"/>
      <c r="H127" s="20"/>
      <c r="I127" s="20"/>
      <c r="J127" s="20"/>
      <c r="K127" s="20"/>
      <c r="L127" s="20"/>
      <c r="M127" s="19" t="s">
        <v>71</v>
      </c>
      <c r="N127" s="19"/>
      <c r="O127" s="19" t="s">
        <v>71</v>
      </c>
      <c r="P127" s="19"/>
      <c r="Q127" s="19" t="s">
        <v>71</v>
      </c>
      <c r="R127" s="19"/>
      <c r="S127" s="19" t="s">
        <v>71</v>
      </c>
      <c r="T127" s="19"/>
      <c r="U127" s="19" t="s">
        <v>71</v>
      </c>
      <c r="V127" s="19"/>
      <c r="W127" s="19"/>
      <c r="X127" s="19"/>
      <c r="Y127" s="19" t="s">
        <v>71</v>
      </c>
      <c r="Z127" s="19"/>
      <c r="AA127" s="19" t="s">
        <v>71</v>
      </c>
      <c r="AB127" s="19"/>
      <c r="AC127" s="19" t="s">
        <v>71</v>
      </c>
      <c r="AD127" s="19"/>
      <c r="AE127" s="19" t="s">
        <v>71</v>
      </c>
      <c r="AF127" s="19"/>
      <c r="AG127" s="19" t="s">
        <v>71</v>
      </c>
      <c r="AH127" s="19"/>
      <c r="AI127" s="19" t="s">
        <v>71</v>
      </c>
      <c r="AJ127" s="19"/>
      <c r="AK127" s="19" t="s">
        <v>71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39"/>
      <c r="BP127" s="39"/>
      <c r="BQ127" s="39"/>
      <c r="BR127" s="39"/>
      <c r="BS127" s="39"/>
      <c r="BT127" s="39"/>
      <c r="BU127" s="39"/>
      <c r="BV127" s="3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1" t="e">
        <f>IF(SUM(E127,G127,I127,K127,M127,O127,Q127,S127,U127,W127,Y127,AA127,AC127,AE127,AG127,AI127,AK127,AM127,AO127,AQ127,#REF!)&gt;0,"Sí","No")</f>
        <v>#REF!</v>
      </c>
      <c r="CV127" s="92" t="e">
        <f>IF($CU127="Sí",_xlfn.TEXTJOIN(", ",TRUE,IF(N(E127)&gt;0,E$4,""),IF(N(G127)&gt;0,G$4,""),IF(N(I127)&gt;0,I$4,""),IF(N(K127)&gt;0,K$4,""),IF(N(M127)&gt;0,M$4,""),IF(N(O127)&gt;0,O$4,""),IF(N(Q127)&gt;0,Q$4,""),IF(N(S127)&gt;0,S$4,""),IF(N(U127)&gt;0,U$4,""),IF(N(W127)&gt;0,W$4,""),IF(N(Y127)&gt;0,Y$4,""),IF(N(AA127)&gt;0,AA$4,""),IF(N(AC127)&gt;0,AC$4,""),IF(N(AE127)&gt;0,AE$4,""),IF(N(AG127)&gt;0,AG$4,""),IF(N(AI127)&gt;0,AI$4,""),IF(N(AK127)&gt;0,AK$4,""),IF(N(AM127)&gt;0,AM$4,""),IF(N(AO127)&gt;0,AO$4,""),IF(N(AQ127)&gt;0,AQ$4,""),IF(N(#REF!)&gt;0,#REF!,"")),"")</f>
        <v>#REF!</v>
      </c>
      <c r="CW127" s="11"/>
      <c r="CX127" s="11" t="e">
        <f t="shared" si="7"/>
        <v>#REF!</v>
      </c>
      <c r="CY127" s="12">
        <v>46142</v>
      </c>
      <c r="CZ127" s="68"/>
    </row>
    <row r="128" spans="1:104" ht="18" customHeight="1" x14ac:dyDescent="0.3">
      <c r="A128" s="150"/>
      <c r="B128" s="78" t="s">
        <v>99</v>
      </c>
      <c r="C128" s="12">
        <v>46146</v>
      </c>
      <c r="D128" s="20">
        <f t="shared" si="6"/>
        <v>0</v>
      </c>
      <c r="E128" s="20"/>
      <c r="F128" s="20"/>
      <c r="G128" s="20"/>
      <c r="H128" s="20"/>
      <c r="I128" s="20"/>
      <c r="J128" s="20"/>
      <c r="K128" s="20"/>
      <c r="L128" s="20"/>
      <c r="M128" s="19" t="s">
        <v>71</v>
      </c>
      <c r="N128" s="19"/>
      <c r="O128" s="19" t="s">
        <v>71</v>
      </c>
      <c r="P128" s="19"/>
      <c r="Q128" s="19" t="s">
        <v>71</v>
      </c>
      <c r="R128" s="19"/>
      <c r="S128" s="19" t="s">
        <v>71</v>
      </c>
      <c r="T128" s="19"/>
      <c r="U128" s="19" t="s">
        <v>71</v>
      </c>
      <c r="V128" s="19"/>
      <c r="W128" s="19"/>
      <c r="X128" s="19"/>
      <c r="Y128" s="19" t="s">
        <v>71</v>
      </c>
      <c r="Z128" s="19"/>
      <c r="AA128" s="19" t="s">
        <v>71</v>
      </c>
      <c r="AB128" s="19"/>
      <c r="AC128" s="19" t="s">
        <v>71</v>
      </c>
      <c r="AD128" s="19"/>
      <c r="AE128" s="19" t="s">
        <v>71</v>
      </c>
      <c r="AF128" s="19"/>
      <c r="AG128" s="19" t="s">
        <v>71</v>
      </c>
      <c r="AH128" s="19"/>
      <c r="AI128" s="19" t="s">
        <v>71</v>
      </c>
      <c r="AJ128" s="19"/>
      <c r="AK128" s="19" t="s">
        <v>71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39"/>
      <c r="BP128" s="39"/>
      <c r="BQ128" s="39"/>
      <c r="BR128" s="39"/>
      <c r="BS128" s="39"/>
      <c r="BT128" s="39"/>
      <c r="BU128" s="39"/>
      <c r="BV128" s="3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1" t="e">
        <f>IF(SUM(E128,G128,I128,K128,M128,O128,Q128,S128,U128,W128,Y128,AA128,AC128,AE128,AG128,AI128,AK128,AM128,AO128,AQ128,#REF!)&gt;0,"Sí","No")</f>
        <v>#REF!</v>
      </c>
      <c r="CV128" s="92" t="e">
        <f>IF($CU128="Sí",_xlfn.TEXTJOIN(", ",TRUE,IF(N(E128)&gt;0,E$4,""),IF(N(G128)&gt;0,G$4,""),IF(N(I128)&gt;0,I$4,""),IF(N(K128)&gt;0,K$4,""),IF(N(M128)&gt;0,M$4,""),IF(N(O128)&gt;0,O$4,""),IF(N(Q128)&gt;0,Q$4,""),IF(N(S128)&gt;0,S$4,""),IF(N(U128)&gt;0,U$4,""),IF(N(W128)&gt;0,W$4,""),IF(N(Y128)&gt;0,Y$4,""),IF(N(AA128)&gt;0,AA$4,""),IF(N(AC128)&gt;0,AC$4,""),IF(N(AE128)&gt;0,AE$4,""),IF(N(AG128)&gt;0,AG$4,""),IF(N(AI128)&gt;0,AI$4,""),IF(N(AK128)&gt;0,AK$4,""),IF(N(AM128)&gt;0,AM$4,""),IF(N(AO128)&gt;0,AO$4,""),IF(N(AQ128)&gt;0,AQ$4,""),IF(N(#REF!)&gt;0,#REF!,"")),"")</f>
        <v>#REF!</v>
      </c>
      <c r="CW128" s="11"/>
      <c r="CX128" s="11" t="e">
        <f t="shared" si="7"/>
        <v>#REF!</v>
      </c>
      <c r="CY128" s="12"/>
      <c r="CZ128" s="68"/>
    </row>
    <row r="129" spans="1:104" ht="18" customHeight="1" x14ac:dyDescent="0.3">
      <c r="A129" s="150"/>
      <c r="B129" s="78" t="s">
        <v>100</v>
      </c>
      <c r="C129" s="12">
        <v>46147</v>
      </c>
      <c r="D129" s="20">
        <f t="shared" si="6"/>
        <v>0</v>
      </c>
      <c r="E129" s="20"/>
      <c r="F129" s="20"/>
      <c r="G129" s="20"/>
      <c r="H129" s="20"/>
      <c r="I129" s="20"/>
      <c r="J129" s="20"/>
      <c r="K129" s="20"/>
      <c r="L129" s="20"/>
      <c r="M129" s="19" t="s">
        <v>71</v>
      </c>
      <c r="N129" s="19"/>
      <c r="O129" s="19" t="s">
        <v>71</v>
      </c>
      <c r="P129" s="19"/>
      <c r="Q129" s="19" t="s">
        <v>71</v>
      </c>
      <c r="R129" s="19"/>
      <c r="S129" s="19" t="s">
        <v>71</v>
      </c>
      <c r="T129" s="19"/>
      <c r="U129" s="19" t="s">
        <v>71</v>
      </c>
      <c r="V129" s="19"/>
      <c r="W129" s="19"/>
      <c r="X129" s="19"/>
      <c r="Y129" s="19" t="s">
        <v>71</v>
      </c>
      <c r="Z129" s="19"/>
      <c r="AA129" s="19" t="s">
        <v>71</v>
      </c>
      <c r="AB129" s="19"/>
      <c r="AC129" s="19" t="s">
        <v>71</v>
      </c>
      <c r="AD129" s="19"/>
      <c r="AE129" s="19" t="s">
        <v>71</v>
      </c>
      <c r="AF129" s="19"/>
      <c r="AG129" s="19" t="s">
        <v>71</v>
      </c>
      <c r="AH129" s="19"/>
      <c r="AI129" s="19" t="s">
        <v>71</v>
      </c>
      <c r="AJ129" s="19"/>
      <c r="AK129" s="19" t="s">
        <v>71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39"/>
      <c r="BP129" s="39"/>
      <c r="BQ129" s="39"/>
      <c r="BR129" s="39"/>
      <c r="BS129" s="39"/>
      <c r="BT129" s="39"/>
      <c r="BU129" s="39"/>
      <c r="BV129" s="3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1" t="e">
        <f>IF(SUM(E129,G129,I129,K129,M129,O129,Q129,S129,U129,W129,Y129,AA129,AC129,AE129,AG129,AI129,AK129,AM129,AO129,AQ129,#REF!)&gt;0,"Sí","No")</f>
        <v>#REF!</v>
      </c>
      <c r="CV129" s="92" t="e">
        <f>IF($CU129="Sí",_xlfn.TEXTJOIN(", ",TRUE,IF(N(E129)&gt;0,E$4,""),IF(N(G129)&gt;0,G$4,""),IF(N(I129)&gt;0,I$4,""),IF(N(K129)&gt;0,K$4,""),IF(N(M129)&gt;0,M$4,""),IF(N(O129)&gt;0,O$4,""),IF(N(Q129)&gt;0,Q$4,""),IF(N(S129)&gt;0,S$4,""),IF(N(U129)&gt;0,U$4,""),IF(N(W129)&gt;0,W$4,""),IF(N(Y129)&gt;0,Y$4,""),IF(N(AA129)&gt;0,AA$4,""),IF(N(AC129)&gt;0,AC$4,""),IF(N(AE129)&gt;0,AE$4,""),IF(N(AG129)&gt;0,AG$4,""),IF(N(AI129)&gt;0,AI$4,""),IF(N(AK129)&gt;0,AK$4,""),IF(N(AM129)&gt;0,AM$4,""),IF(N(AO129)&gt;0,AO$4,""),IF(N(AQ129)&gt;0,AQ$4,""),IF(N(#REF!)&gt;0,#REF!,"")),"")</f>
        <v>#REF!</v>
      </c>
      <c r="CW129" s="11"/>
      <c r="CX129" s="11" t="e">
        <f t="shared" si="7"/>
        <v>#REF!</v>
      </c>
      <c r="CY129" s="12"/>
      <c r="CZ129" s="68"/>
    </row>
    <row r="130" spans="1:104" ht="18" customHeight="1" x14ac:dyDescent="0.3">
      <c r="A130" s="150"/>
      <c r="B130" s="78" t="s">
        <v>101</v>
      </c>
      <c r="C130" s="12">
        <v>46148</v>
      </c>
      <c r="D130" s="20">
        <f t="shared" si="6"/>
        <v>0</v>
      </c>
      <c r="E130" s="20"/>
      <c r="F130" s="20"/>
      <c r="G130" s="20"/>
      <c r="H130" s="20"/>
      <c r="I130" s="20"/>
      <c r="J130" s="20"/>
      <c r="K130" s="20"/>
      <c r="L130" s="20"/>
      <c r="M130" s="19"/>
      <c r="N130" s="19"/>
      <c r="O130" s="19"/>
      <c r="P130" s="19"/>
      <c r="Q130" s="19"/>
      <c r="R130" s="19"/>
      <c r="S130" s="19" t="s">
        <v>71</v>
      </c>
      <c r="T130" s="19"/>
      <c r="U130" s="19" t="s">
        <v>71</v>
      </c>
      <c r="V130" s="19"/>
      <c r="W130" s="19"/>
      <c r="X130" s="19"/>
      <c r="Y130" s="19" t="s">
        <v>71</v>
      </c>
      <c r="Z130" s="19"/>
      <c r="AA130" s="19" t="s">
        <v>71</v>
      </c>
      <c r="AB130" s="19"/>
      <c r="AC130" s="19" t="s">
        <v>71</v>
      </c>
      <c r="AD130" s="19"/>
      <c r="AE130" s="19" t="s">
        <v>71</v>
      </c>
      <c r="AF130" s="19"/>
      <c r="AG130" s="19" t="s">
        <v>71</v>
      </c>
      <c r="AH130" s="19"/>
      <c r="AI130" s="19" t="s">
        <v>71</v>
      </c>
      <c r="AJ130" s="19"/>
      <c r="AK130" s="19" t="s">
        <v>71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39"/>
      <c r="BP130" s="39"/>
      <c r="BQ130" s="39"/>
      <c r="BR130" s="39"/>
      <c r="BS130" s="39"/>
      <c r="BT130" s="39"/>
      <c r="BU130" s="39"/>
      <c r="BV130" s="3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1" t="e">
        <f>IF(SUM(E130,G130,I130,K130,M130,O130,Q130,S130,U130,W130,Y130,AA130,AC130,AE130,AG130,AI130,AK130,AM130,AO130,AQ130,#REF!)&gt;0,"Sí","No")</f>
        <v>#REF!</v>
      </c>
      <c r="CV130" s="92" t="e">
        <f>IF($CU130="Sí",_xlfn.TEXTJOIN(", ",TRUE,IF(N(E130)&gt;0,E$4,""),IF(N(G130)&gt;0,G$4,""),IF(N(I130)&gt;0,I$4,""),IF(N(K130)&gt;0,K$4,""),IF(N(M130)&gt;0,M$4,""),IF(N(O130)&gt;0,O$4,""),IF(N(Q130)&gt;0,Q$4,""),IF(N(S130)&gt;0,S$4,""),IF(N(U130)&gt;0,U$4,""),IF(N(W130)&gt;0,W$4,""),IF(N(Y130)&gt;0,Y$4,""),IF(N(AA130)&gt;0,AA$4,""),IF(N(AC130)&gt;0,AC$4,""),IF(N(AE130)&gt;0,AE$4,""),IF(N(AG130)&gt;0,AG$4,""),IF(N(AI130)&gt;0,AI$4,""),IF(N(AK130)&gt;0,AK$4,""),IF(N(AM130)&gt;0,AM$4,""),IF(N(AO130)&gt;0,AO$4,""),IF(N(AQ130)&gt;0,AQ$4,""),IF(N(#REF!)&gt;0,#REF!,"")),"")</f>
        <v>#REF!</v>
      </c>
      <c r="CW130" s="11"/>
      <c r="CX130" s="11" t="e">
        <f t="shared" si="7"/>
        <v>#REF!</v>
      </c>
      <c r="CY130" s="12">
        <f>C130</f>
        <v>46148</v>
      </c>
      <c r="CZ130" s="68"/>
    </row>
    <row r="131" spans="1:104" ht="38.4" customHeight="1" x14ac:dyDescent="0.3">
      <c r="A131" s="150"/>
      <c r="B131" s="78" t="s">
        <v>94</v>
      </c>
      <c r="C131" s="12">
        <v>46149</v>
      </c>
      <c r="D131" s="20">
        <f t="shared" si="6"/>
        <v>0</v>
      </c>
      <c r="E131" s="20"/>
      <c r="F131" s="20"/>
      <c r="G131" s="20"/>
      <c r="H131" s="20"/>
      <c r="I131" s="20"/>
      <c r="J131" s="20"/>
      <c r="K131" s="20"/>
      <c r="L131" s="20"/>
      <c r="M131" s="19"/>
      <c r="N131" s="19"/>
      <c r="O131" s="19"/>
      <c r="P131" s="19"/>
      <c r="Q131" s="19"/>
      <c r="R131" s="19"/>
      <c r="S131" s="19" t="s">
        <v>71</v>
      </c>
      <c r="T131" s="19"/>
      <c r="U131" s="19" t="s">
        <v>71</v>
      </c>
      <c r="V131" s="19"/>
      <c r="W131" s="19"/>
      <c r="X131" s="19"/>
      <c r="Y131" s="19" t="s">
        <v>71</v>
      </c>
      <c r="Z131" s="19"/>
      <c r="AA131" s="19" t="s">
        <v>71</v>
      </c>
      <c r="AB131" s="19"/>
      <c r="AC131" s="19" t="s">
        <v>71</v>
      </c>
      <c r="AD131" s="19"/>
      <c r="AE131" s="19" t="s">
        <v>71</v>
      </c>
      <c r="AF131" s="19"/>
      <c r="AG131" s="19" t="s">
        <v>71</v>
      </c>
      <c r="AH131" s="19"/>
      <c r="AI131" s="19" t="s">
        <v>71</v>
      </c>
      <c r="AJ131" s="19"/>
      <c r="AK131" s="19" t="s">
        <v>71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39"/>
      <c r="BP131" s="39"/>
      <c r="BQ131" s="39"/>
      <c r="BR131" s="39"/>
      <c r="BS131" s="39"/>
      <c r="BT131" s="39"/>
      <c r="BU131" s="39"/>
      <c r="BV131" s="3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1" t="e">
        <f>IF(SUM(E131,G131,I131,K131,M131,O131,Q131,S131,U131,W131,Y131,AA131,AC131,AE131,AG131,AI131,AK131,AM131,AO131,AQ131,#REF!)&gt;0,"Sí","No")</f>
        <v>#REF!</v>
      </c>
      <c r="CV131" s="92" t="e">
        <f>IF($CU131="Sí",_xlfn.TEXTJOIN(", ",TRUE,IF(N(E131)&gt;0,E$4,""),IF(N(G131)&gt;0,G$4,""),IF(N(I131)&gt;0,I$4,""),IF(N(K131)&gt;0,K$4,""),IF(N(M131)&gt;0,M$4,""),IF(N(O131)&gt;0,O$4,""),IF(N(Q131)&gt;0,Q$4,""),IF(N(S131)&gt;0,S$4,""),IF(N(U131)&gt;0,U$4,""),IF(N(W131)&gt;0,W$4,""),IF(N(Y131)&gt;0,Y$4,""),IF(N(AA131)&gt;0,AA$4,""),IF(N(AC131)&gt;0,AC$4,""),IF(N(AE131)&gt;0,AE$4,""),IF(N(AG131)&gt;0,AG$4,""),IF(N(AI131)&gt;0,AI$4,""),IF(N(AK131)&gt;0,AK$4,""),IF(N(AM131)&gt;0,AM$4,""),IF(N(AO131)&gt;0,AO$4,""),IF(N(AQ131)&gt;0,AQ$4,""),IF(N(#REF!)&gt;0,#REF!,"")),"")</f>
        <v>#REF!</v>
      </c>
      <c r="CW131" s="11"/>
      <c r="CX131" s="11" t="e">
        <f t="shared" si="7"/>
        <v>#REF!</v>
      </c>
      <c r="CY131" s="12">
        <v>46147</v>
      </c>
      <c r="CZ131" s="68"/>
    </row>
    <row r="132" spans="1:104" ht="18" customHeight="1" x14ac:dyDescent="0.3">
      <c r="A132" s="150"/>
      <c r="B132" s="78" t="s">
        <v>95</v>
      </c>
      <c r="C132" s="12">
        <v>46150</v>
      </c>
      <c r="D132" s="20">
        <f t="shared" si="6"/>
        <v>0</v>
      </c>
      <c r="E132" s="20"/>
      <c r="F132" s="20"/>
      <c r="G132" s="20"/>
      <c r="H132" s="20"/>
      <c r="I132" s="20"/>
      <c r="J132" s="20"/>
      <c r="K132" s="20"/>
      <c r="L132" s="20"/>
      <c r="M132" s="19"/>
      <c r="N132" s="19"/>
      <c r="O132" s="19"/>
      <c r="P132" s="19"/>
      <c r="Q132" s="19"/>
      <c r="R132" s="19"/>
      <c r="S132" s="19" t="s">
        <v>71</v>
      </c>
      <c r="T132" s="19"/>
      <c r="U132" s="19" t="s">
        <v>71</v>
      </c>
      <c r="V132" s="19"/>
      <c r="W132" s="19"/>
      <c r="X132" s="19"/>
      <c r="Y132" s="19" t="s">
        <v>71</v>
      </c>
      <c r="Z132" s="19"/>
      <c r="AA132" s="19" t="s">
        <v>71</v>
      </c>
      <c r="AB132" s="19"/>
      <c r="AC132" s="19" t="s">
        <v>71</v>
      </c>
      <c r="AD132" s="19"/>
      <c r="AE132" s="19" t="s">
        <v>71</v>
      </c>
      <c r="AF132" s="19"/>
      <c r="AG132" s="19" t="s">
        <v>71</v>
      </c>
      <c r="AH132" s="19"/>
      <c r="AI132" s="19" t="s">
        <v>71</v>
      </c>
      <c r="AJ132" s="19"/>
      <c r="AK132" s="19" t="s">
        <v>71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39"/>
      <c r="BP132" s="39"/>
      <c r="BQ132" s="39"/>
      <c r="BR132" s="39"/>
      <c r="BS132" s="39"/>
      <c r="BT132" s="39"/>
      <c r="BU132" s="39"/>
      <c r="BV132" s="39"/>
      <c r="BW132" s="19"/>
      <c r="BX132" s="19"/>
      <c r="BY132" s="19"/>
      <c r="BZ132" s="19"/>
      <c r="CA132" s="19"/>
      <c r="CB132" s="19"/>
      <c r="CC132" s="19"/>
      <c r="CD132" s="19"/>
      <c r="CE132" s="19" t="s">
        <v>71</v>
      </c>
      <c r="CF132" s="19"/>
      <c r="CG132" s="19" t="s">
        <v>71</v>
      </c>
      <c r="CH132" s="19"/>
      <c r="CI132" s="19" t="s">
        <v>71</v>
      </c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1" t="e">
        <f>IF(SUM(E132,G132,I132,K132,M132,O132,Q132,S132,U132,W132,Y132,AA132,AC132,AE132,AG132,AI132,AK132,AM132,AO132,AQ132,#REF!)&gt;0,"Sí","No")</f>
        <v>#REF!</v>
      </c>
      <c r="CV132" s="92" t="e">
        <f>IF($CU132="Sí",_xlfn.TEXTJOIN(", ",TRUE,IF(N(E132)&gt;0,E$4,""),IF(N(G132)&gt;0,G$4,""),IF(N(I132)&gt;0,I$4,""),IF(N(K132)&gt;0,K$4,""),IF(N(M132)&gt;0,M$4,""),IF(N(O132)&gt;0,O$4,""),IF(N(Q132)&gt;0,Q$4,""),IF(N(S132)&gt;0,S$4,""),IF(N(U132)&gt;0,U$4,""),IF(N(W132)&gt;0,W$4,""),IF(N(Y132)&gt;0,Y$4,""),IF(N(AA132)&gt;0,AA$4,""),IF(N(AC132)&gt;0,AC$4,""),IF(N(AE132)&gt;0,AE$4,""),IF(N(AG132)&gt;0,AG$4,""),IF(N(AI132)&gt;0,AI$4,""),IF(N(AK132)&gt;0,AK$4,""),IF(N(AM132)&gt;0,AM$4,""),IF(N(AO132)&gt;0,AO$4,""),IF(N(AQ132)&gt;0,AQ$4,""),IF(N(#REF!)&gt;0,#REF!,"")),"")</f>
        <v>#REF!</v>
      </c>
      <c r="CW132" s="11"/>
      <c r="CX132" s="11" t="e">
        <f t="shared" si="7"/>
        <v>#REF!</v>
      </c>
      <c r="CY132" s="12"/>
      <c r="CZ132" s="68"/>
    </row>
    <row r="133" spans="1:104" ht="18" customHeight="1" x14ac:dyDescent="0.3">
      <c r="A133" s="150"/>
      <c r="B133" s="78" t="s">
        <v>97</v>
      </c>
      <c r="C133" s="12">
        <v>46151</v>
      </c>
      <c r="D133" s="20">
        <f t="shared" ref="D133:D196" si="8">+F133+H133+J133+L133+N133+P133+R133+Z133+AB133+AD133+AF133+AH133+AJ133+AL133+AN133+AP133</f>
        <v>0</v>
      </c>
      <c r="E133" s="20"/>
      <c r="F133" s="20"/>
      <c r="G133" s="20"/>
      <c r="H133" s="20"/>
      <c r="I133" s="20"/>
      <c r="J133" s="20"/>
      <c r="K133" s="20"/>
      <c r="L133" s="20"/>
      <c r="M133" s="19" t="s">
        <v>71</v>
      </c>
      <c r="N133" s="19"/>
      <c r="O133" s="19" t="s">
        <v>71</v>
      </c>
      <c r="P133" s="19"/>
      <c r="Q133" s="19" t="s">
        <v>71</v>
      </c>
      <c r="R133" s="19"/>
      <c r="S133" s="19" t="s">
        <v>71</v>
      </c>
      <c r="T133" s="19"/>
      <c r="U133" s="19" t="s">
        <v>71</v>
      </c>
      <c r="V133" s="19"/>
      <c r="W133" s="19"/>
      <c r="X133" s="19"/>
      <c r="Y133" s="19" t="s">
        <v>71</v>
      </c>
      <c r="Z133" s="19"/>
      <c r="AA133" s="19" t="s">
        <v>71</v>
      </c>
      <c r="AB133" s="19"/>
      <c r="AC133" s="19" t="s">
        <v>71</v>
      </c>
      <c r="AD133" s="19"/>
      <c r="AE133" s="19" t="s">
        <v>71</v>
      </c>
      <c r="AF133" s="19"/>
      <c r="AG133" s="19" t="s">
        <v>71</v>
      </c>
      <c r="AH133" s="19"/>
      <c r="AI133" s="19" t="s">
        <v>71</v>
      </c>
      <c r="AJ133" s="19"/>
      <c r="AK133" s="19" t="s">
        <v>71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39"/>
      <c r="BP133" s="39"/>
      <c r="BQ133" s="39"/>
      <c r="BR133" s="39"/>
      <c r="BS133" s="39"/>
      <c r="BT133" s="39"/>
      <c r="BU133" s="39"/>
      <c r="BV133" s="39"/>
      <c r="BW133" s="19"/>
      <c r="BX133" s="19"/>
      <c r="BY133" s="19"/>
      <c r="BZ133" s="19"/>
      <c r="CA133" s="19"/>
      <c r="CB133" s="19"/>
      <c r="CC133" s="19"/>
      <c r="CD133" s="19"/>
      <c r="CE133" s="19" t="s">
        <v>71</v>
      </c>
      <c r="CF133" s="19"/>
      <c r="CG133" s="19" t="s">
        <v>71</v>
      </c>
      <c r="CH133" s="19"/>
      <c r="CI133" s="19" t="s">
        <v>71</v>
      </c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1" t="e">
        <f>IF(SUM(E133,G133,I133,K133,M133,O133,Q133,S133,U133,W133,Y133,AA133,AC133,AE133,AG133,AI133,AK133,AM133,AO133,AQ133,#REF!)&gt;0,"Sí","No")</f>
        <v>#REF!</v>
      </c>
      <c r="CV133" s="92" t="e">
        <f>IF($CU133="Sí",_xlfn.TEXTJOIN(", ",TRUE,IF(N(E133)&gt;0,E$4,""),IF(N(G133)&gt;0,G$4,""),IF(N(I133)&gt;0,I$4,""),IF(N(K133)&gt;0,K$4,""),IF(N(M133)&gt;0,M$4,""),IF(N(O133)&gt;0,O$4,""),IF(N(Q133)&gt;0,Q$4,""),IF(N(S133)&gt;0,S$4,""),IF(N(U133)&gt;0,U$4,""),IF(N(W133)&gt;0,W$4,""),IF(N(Y133)&gt;0,Y$4,""),IF(N(AA133)&gt;0,AA$4,""),IF(N(AC133)&gt;0,AC$4,""),IF(N(AE133)&gt;0,AE$4,""),IF(N(AG133)&gt;0,AG$4,""),IF(N(AI133)&gt;0,AI$4,""),IF(N(AK133)&gt;0,AK$4,""),IF(N(AM133)&gt;0,AM$4,""),IF(N(AO133)&gt;0,AO$4,""),IF(N(AQ133)&gt;0,AQ$4,""),IF(N(#REF!)&gt;0,#REF!,"")),"")</f>
        <v>#REF!</v>
      </c>
      <c r="CW133" s="11"/>
      <c r="CX133" s="11" t="e">
        <f t="shared" si="7"/>
        <v>#REF!</v>
      </c>
      <c r="CY133" s="12"/>
      <c r="CZ133" s="68"/>
    </row>
    <row r="134" spans="1:104" ht="18" customHeight="1" x14ac:dyDescent="0.3">
      <c r="A134" s="150"/>
      <c r="B134" s="78" t="s">
        <v>98</v>
      </c>
      <c r="C134" s="12">
        <v>46152</v>
      </c>
      <c r="D134" s="20">
        <f t="shared" si="8"/>
        <v>0</v>
      </c>
      <c r="E134" s="20"/>
      <c r="F134" s="20"/>
      <c r="G134" s="20"/>
      <c r="H134" s="20"/>
      <c r="I134" s="20"/>
      <c r="J134" s="20"/>
      <c r="K134" s="20"/>
      <c r="L134" s="20"/>
      <c r="M134" s="19" t="s">
        <v>71</v>
      </c>
      <c r="N134" s="19"/>
      <c r="O134" s="19" t="s">
        <v>71</v>
      </c>
      <c r="P134" s="19"/>
      <c r="Q134" s="19" t="s">
        <v>71</v>
      </c>
      <c r="R134" s="19"/>
      <c r="S134" s="19" t="s">
        <v>71</v>
      </c>
      <c r="T134" s="19"/>
      <c r="U134" s="19" t="s">
        <v>71</v>
      </c>
      <c r="V134" s="19"/>
      <c r="W134" s="19"/>
      <c r="X134" s="19"/>
      <c r="Y134" s="19" t="s">
        <v>71</v>
      </c>
      <c r="Z134" s="19"/>
      <c r="AA134" s="19" t="s">
        <v>71</v>
      </c>
      <c r="AB134" s="19"/>
      <c r="AC134" s="19" t="s">
        <v>71</v>
      </c>
      <c r="AD134" s="19"/>
      <c r="AE134" s="19" t="s">
        <v>71</v>
      </c>
      <c r="AF134" s="19"/>
      <c r="AG134" s="19" t="s">
        <v>71</v>
      </c>
      <c r="AH134" s="19"/>
      <c r="AI134" s="19" t="s">
        <v>71</v>
      </c>
      <c r="AJ134" s="19"/>
      <c r="AK134" s="19" t="s">
        <v>71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39"/>
      <c r="BP134" s="39"/>
      <c r="BQ134" s="39"/>
      <c r="BR134" s="39"/>
      <c r="BS134" s="39"/>
      <c r="BT134" s="39"/>
      <c r="BU134" s="39"/>
      <c r="BV134" s="39"/>
      <c r="BW134" s="19"/>
      <c r="BX134" s="19"/>
      <c r="BY134" s="19"/>
      <c r="BZ134" s="19"/>
      <c r="CA134" s="19"/>
      <c r="CB134" s="19"/>
      <c r="CC134" s="19"/>
      <c r="CD134" s="19"/>
      <c r="CE134" s="19" t="s">
        <v>71</v>
      </c>
      <c r="CF134" s="19"/>
      <c r="CG134" s="19" t="s">
        <v>71</v>
      </c>
      <c r="CH134" s="19"/>
      <c r="CI134" s="19" t="s">
        <v>71</v>
      </c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1" t="e">
        <f>IF(SUM(E134,G134,I134,K134,M134,O134,Q134,S134,U134,W134,Y134,AA134,AC134,AE134,AG134,AI134,AK134,AM134,AO134,AQ134,#REF!)&gt;0,"Sí","No")</f>
        <v>#REF!</v>
      </c>
      <c r="CV134" s="92" t="e">
        <f>IF($CU134="Sí",_xlfn.TEXTJOIN(", ",TRUE,IF(N(E134)&gt;0,E$4,""),IF(N(G134)&gt;0,G$4,""),IF(N(I134)&gt;0,I$4,""),IF(N(K134)&gt;0,K$4,""),IF(N(M134)&gt;0,M$4,""),IF(N(O134)&gt;0,O$4,""),IF(N(Q134)&gt;0,Q$4,""),IF(N(S134)&gt;0,S$4,""),IF(N(U134)&gt;0,U$4,""),IF(N(W134)&gt;0,W$4,""),IF(N(Y134)&gt;0,Y$4,""),IF(N(AA134)&gt;0,AA$4,""),IF(N(AC134)&gt;0,AC$4,""),IF(N(AE134)&gt;0,AE$4,""),IF(N(AG134)&gt;0,AG$4,""),IF(N(AI134)&gt;0,AI$4,""),IF(N(AK134)&gt;0,AK$4,""),IF(N(AM134)&gt;0,AM$4,""),IF(N(AO134)&gt;0,AO$4,""),IF(N(AQ134)&gt;0,AQ$4,""),IF(N(#REF!)&gt;0,#REF!,"")),"")</f>
        <v>#REF!</v>
      </c>
      <c r="CW134" s="11"/>
      <c r="CX134" s="11" t="e">
        <f t="shared" ref="CX134:CX197" si="9">IF($CU134="No","No aplica",IF($CW134="Sí","Ejecutado","Programado pendiente"))</f>
        <v>#REF!</v>
      </c>
      <c r="CY134" s="12"/>
      <c r="CZ134" s="68"/>
    </row>
    <row r="135" spans="1:104" ht="18" customHeight="1" x14ac:dyDescent="0.3">
      <c r="A135" s="150"/>
      <c r="B135" s="78" t="s">
        <v>99</v>
      </c>
      <c r="C135" s="12">
        <v>46153</v>
      </c>
      <c r="D135" s="20">
        <f t="shared" si="8"/>
        <v>0</v>
      </c>
      <c r="E135" s="20"/>
      <c r="F135" s="20"/>
      <c r="G135" s="20"/>
      <c r="H135" s="20"/>
      <c r="I135" s="20"/>
      <c r="J135" s="20"/>
      <c r="K135" s="20"/>
      <c r="L135" s="20"/>
      <c r="M135" s="19" t="s">
        <v>71</v>
      </c>
      <c r="N135" s="19"/>
      <c r="O135" s="19" t="s">
        <v>71</v>
      </c>
      <c r="P135" s="19"/>
      <c r="Q135" s="19" t="s">
        <v>71</v>
      </c>
      <c r="R135" s="19"/>
      <c r="S135" s="19" t="s">
        <v>71</v>
      </c>
      <c r="T135" s="19"/>
      <c r="U135" s="19" t="s">
        <v>71</v>
      </c>
      <c r="V135" s="19"/>
      <c r="W135" s="19"/>
      <c r="X135" s="19"/>
      <c r="Y135" s="19" t="s">
        <v>71</v>
      </c>
      <c r="Z135" s="19"/>
      <c r="AA135" s="19" t="s">
        <v>71</v>
      </c>
      <c r="AB135" s="19"/>
      <c r="AC135" s="19" t="s">
        <v>71</v>
      </c>
      <c r="AD135" s="19"/>
      <c r="AE135" s="19" t="s">
        <v>71</v>
      </c>
      <c r="AF135" s="19"/>
      <c r="AG135" s="19" t="s">
        <v>71</v>
      </c>
      <c r="AH135" s="19"/>
      <c r="AI135" s="19" t="s">
        <v>71</v>
      </c>
      <c r="AJ135" s="19"/>
      <c r="AK135" s="19" t="s">
        <v>71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39"/>
      <c r="BP135" s="39"/>
      <c r="BQ135" s="39"/>
      <c r="BR135" s="39"/>
      <c r="BS135" s="39"/>
      <c r="BT135" s="39"/>
      <c r="BU135" s="39"/>
      <c r="BV135" s="39"/>
      <c r="BW135" s="19"/>
      <c r="BX135" s="19"/>
      <c r="BY135" s="19"/>
      <c r="BZ135" s="19"/>
      <c r="CA135" s="19"/>
      <c r="CB135" s="19"/>
      <c r="CC135" s="19"/>
      <c r="CD135" s="19"/>
      <c r="CE135" s="19" t="s">
        <v>71</v>
      </c>
      <c r="CF135" s="19"/>
      <c r="CG135" s="19" t="s">
        <v>71</v>
      </c>
      <c r="CH135" s="19"/>
      <c r="CI135" s="19" t="s">
        <v>71</v>
      </c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1" t="e">
        <f>IF(SUM(E135,G135,I135,K135,M135,O135,Q135,S135,U135,W135,Y135,AA135,AC135,AE135,AG135,AI135,AK135,AM135,AO135,AQ135,#REF!)&gt;0,"Sí","No")</f>
        <v>#REF!</v>
      </c>
      <c r="CV135" s="92" t="e">
        <f>IF($CU135="Sí",_xlfn.TEXTJOIN(", ",TRUE,IF(N(E135)&gt;0,E$4,""),IF(N(G135)&gt;0,G$4,""),IF(N(I135)&gt;0,I$4,""),IF(N(K135)&gt;0,K$4,""),IF(N(M135)&gt;0,M$4,""),IF(N(O135)&gt;0,O$4,""),IF(N(Q135)&gt;0,Q$4,""),IF(N(S135)&gt;0,S$4,""),IF(N(U135)&gt;0,U$4,""),IF(N(W135)&gt;0,W$4,""),IF(N(Y135)&gt;0,Y$4,""),IF(N(AA135)&gt;0,AA$4,""),IF(N(AC135)&gt;0,AC$4,""),IF(N(AE135)&gt;0,AE$4,""),IF(N(AG135)&gt;0,AG$4,""),IF(N(AI135)&gt;0,AI$4,""),IF(N(AK135)&gt;0,AK$4,""),IF(N(AM135)&gt;0,AM$4,""),IF(N(AO135)&gt;0,AO$4,""),IF(N(AQ135)&gt;0,AQ$4,""),IF(N(#REF!)&gt;0,#REF!,"")),"")</f>
        <v>#REF!</v>
      </c>
      <c r="CW135" s="11"/>
      <c r="CX135" s="11" t="e">
        <f t="shared" si="9"/>
        <v>#REF!</v>
      </c>
      <c r="CY135" s="12"/>
      <c r="CZ135" s="68"/>
    </row>
    <row r="136" spans="1:104" ht="18" customHeight="1" x14ac:dyDescent="0.3">
      <c r="A136" s="150"/>
      <c r="B136" s="78" t="s">
        <v>100</v>
      </c>
      <c r="C136" s="12">
        <v>46154</v>
      </c>
      <c r="D136" s="20">
        <f t="shared" si="8"/>
        <v>0</v>
      </c>
      <c r="E136" s="20"/>
      <c r="F136" s="20"/>
      <c r="G136" s="20"/>
      <c r="H136" s="20"/>
      <c r="I136" s="20"/>
      <c r="J136" s="20"/>
      <c r="K136" s="20"/>
      <c r="L136" s="20"/>
      <c r="M136" s="19" t="s">
        <v>71</v>
      </c>
      <c r="N136" s="19"/>
      <c r="O136" s="19" t="s">
        <v>71</v>
      </c>
      <c r="P136" s="19"/>
      <c r="Q136" s="19" t="s">
        <v>71</v>
      </c>
      <c r="R136" s="19"/>
      <c r="S136" s="19" t="s">
        <v>71</v>
      </c>
      <c r="T136" s="19"/>
      <c r="U136" s="19" t="s">
        <v>71</v>
      </c>
      <c r="V136" s="19"/>
      <c r="W136" s="19"/>
      <c r="X136" s="19"/>
      <c r="Y136" s="19" t="s">
        <v>71</v>
      </c>
      <c r="Z136" s="19"/>
      <c r="AA136" s="19" t="s">
        <v>71</v>
      </c>
      <c r="AB136" s="19"/>
      <c r="AC136" s="19" t="s">
        <v>71</v>
      </c>
      <c r="AD136" s="19"/>
      <c r="AE136" s="19" t="s">
        <v>71</v>
      </c>
      <c r="AF136" s="19"/>
      <c r="AG136" s="19" t="s">
        <v>71</v>
      </c>
      <c r="AH136" s="19"/>
      <c r="AI136" s="19" t="s">
        <v>71</v>
      </c>
      <c r="AJ136" s="19"/>
      <c r="AK136" s="19" t="s">
        <v>71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39"/>
      <c r="BP136" s="39"/>
      <c r="BQ136" s="39"/>
      <c r="BR136" s="39"/>
      <c r="BS136" s="39"/>
      <c r="BT136" s="39"/>
      <c r="BU136" s="39"/>
      <c r="BV136" s="39"/>
      <c r="BW136" s="19"/>
      <c r="BX136" s="19"/>
      <c r="BY136" s="19"/>
      <c r="BZ136" s="19"/>
      <c r="CA136" s="19"/>
      <c r="CB136" s="19"/>
      <c r="CC136" s="19"/>
      <c r="CD136" s="19"/>
      <c r="CE136" s="19" t="s">
        <v>71</v>
      </c>
      <c r="CF136" s="19"/>
      <c r="CG136" s="19" t="s">
        <v>71</v>
      </c>
      <c r="CH136" s="19"/>
      <c r="CI136" s="19" t="s">
        <v>71</v>
      </c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1" t="e">
        <f>IF(SUM(E136,G136,I136,K136,M136,O136,Q136,S136,U136,W136,Y136,AA136,AC136,AE136,AG136,AI136,AK136,AM136,AO136,AQ136,#REF!)&gt;0,"Sí","No")</f>
        <v>#REF!</v>
      </c>
      <c r="CV136" s="92" t="e">
        <f>IF($CU136="Sí",_xlfn.TEXTJOIN(", ",TRUE,IF(N(E136)&gt;0,E$4,""),IF(N(G136)&gt;0,G$4,""),IF(N(I136)&gt;0,I$4,""),IF(N(K136)&gt;0,K$4,""),IF(N(M136)&gt;0,M$4,""),IF(N(O136)&gt;0,O$4,""),IF(N(Q136)&gt;0,Q$4,""),IF(N(S136)&gt;0,S$4,""),IF(N(U136)&gt;0,U$4,""),IF(N(W136)&gt;0,W$4,""),IF(N(Y136)&gt;0,Y$4,""),IF(N(AA136)&gt;0,AA$4,""),IF(N(AC136)&gt;0,AC$4,""),IF(N(AE136)&gt;0,AE$4,""),IF(N(AG136)&gt;0,AG$4,""),IF(N(AI136)&gt;0,AI$4,""),IF(N(AK136)&gt;0,AK$4,""),IF(N(AM136)&gt;0,AM$4,""),IF(N(AO136)&gt;0,AO$4,""),IF(N(AQ136)&gt;0,AQ$4,""),IF(N(#REF!)&gt;0,#REF!,"")),"")</f>
        <v>#REF!</v>
      </c>
      <c r="CW136" s="11"/>
      <c r="CX136" s="11" t="e">
        <f t="shared" si="9"/>
        <v>#REF!</v>
      </c>
      <c r="CY136" s="12"/>
      <c r="CZ136" s="68"/>
    </row>
    <row r="137" spans="1:104" ht="18" customHeight="1" x14ac:dyDescent="0.3">
      <c r="A137" s="150"/>
      <c r="B137" s="78" t="s">
        <v>101</v>
      </c>
      <c r="C137" s="12">
        <v>46155</v>
      </c>
      <c r="D137" s="20" t="e">
        <f t="shared" si="8"/>
        <v>#VALUE!</v>
      </c>
      <c r="E137" s="20"/>
      <c r="F137" s="20"/>
      <c r="G137" s="20"/>
      <c r="H137" s="20"/>
      <c r="I137" s="20"/>
      <c r="J137" s="20"/>
      <c r="K137" s="20"/>
      <c r="L137" s="20"/>
      <c r="M137" s="19" t="s">
        <v>71</v>
      </c>
      <c r="N137" s="19"/>
      <c r="O137" s="19" t="s">
        <v>71</v>
      </c>
      <c r="P137" s="19"/>
      <c r="Q137" s="19" t="s">
        <v>71</v>
      </c>
      <c r="R137" s="19"/>
      <c r="S137" s="19" t="s">
        <v>71</v>
      </c>
      <c r="T137" s="19"/>
      <c r="U137" s="19" t="s">
        <v>71</v>
      </c>
      <c r="V137" s="19"/>
      <c r="W137" s="19"/>
      <c r="X137" s="19"/>
      <c r="Y137" s="19" t="s">
        <v>71</v>
      </c>
      <c r="Z137" s="19"/>
      <c r="AA137" s="19" t="s">
        <v>71</v>
      </c>
      <c r="AB137" s="19"/>
      <c r="AC137" s="19" t="s">
        <v>71</v>
      </c>
      <c r="AD137" s="19"/>
      <c r="AE137" s="19" t="s">
        <v>71</v>
      </c>
      <c r="AF137" s="19"/>
      <c r="AG137" s="19" t="s">
        <v>71</v>
      </c>
      <c r="AH137" s="19"/>
      <c r="AI137" s="19" t="s">
        <v>71</v>
      </c>
      <c r="AJ137" s="19"/>
      <c r="AK137" s="19" t="s">
        <v>71</v>
      </c>
      <c r="AL137" s="19"/>
      <c r="AM137" s="110" t="s">
        <v>77</v>
      </c>
      <c r="AN137" s="110" t="s">
        <v>77</v>
      </c>
      <c r="AO137" s="110" t="s">
        <v>77</v>
      </c>
      <c r="AP137" s="110" t="s">
        <v>77</v>
      </c>
      <c r="AQ137" s="110" t="s">
        <v>77</v>
      </c>
      <c r="AR137" s="110" t="s">
        <v>77</v>
      </c>
      <c r="AS137" s="110" t="s">
        <v>77</v>
      </c>
      <c r="AT137" s="110" t="s">
        <v>77</v>
      </c>
      <c r="AU137" s="110" t="s">
        <v>77</v>
      </c>
      <c r="AV137" s="110" t="s">
        <v>77</v>
      </c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39"/>
      <c r="BP137" s="39"/>
      <c r="BQ137" s="39"/>
      <c r="BR137" s="39"/>
      <c r="BS137" s="39"/>
      <c r="BT137" s="39"/>
      <c r="BU137" s="39"/>
      <c r="BV137" s="39"/>
      <c r="BW137" s="19"/>
      <c r="BX137" s="19"/>
      <c r="BY137" s="19"/>
      <c r="BZ137" s="19"/>
      <c r="CA137" s="19"/>
      <c r="CB137" s="19"/>
      <c r="CC137" s="19"/>
      <c r="CD137" s="19"/>
      <c r="CE137" s="19" t="s">
        <v>71</v>
      </c>
      <c r="CF137" s="19"/>
      <c r="CG137" s="19" t="s">
        <v>71</v>
      </c>
      <c r="CH137" s="19"/>
      <c r="CI137" s="19" t="s">
        <v>71</v>
      </c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1" t="e">
        <f>IF(SUM(E137,G137,I137,K137,M137,O137,Q137,S137,U137,W137,Y137,AA137,AC137,AE137,AG137,AI137,AK137,AM137,AO137,AQ137,#REF!)&gt;0,"Sí","No")</f>
        <v>#REF!</v>
      </c>
      <c r="CV137" s="92" t="e">
        <f>IF($CU137="Sí",_xlfn.TEXTJOIN(", ",TRUE,IF(N(E137)&gt;0,E$4,""),IF(N(G137)&gt;0,G$4,""),IF(N(I137)&gt;0,I$4,""),IF(N(K137)&gt;0,K$4,""),IF(N(M137)&gt;0,M$4,""),IF(N(O137)&gt;0,O$4,""),IF(N(Q137)&gt;0,Q$4,""),IF(N(S137)&gt;0,S$4,""),IF(N(U137)&gt;0,U$4,""),IF(N(W137)&gt;0,W$4,""),IF(N(Y137)&gt;0,Y$4,""),IF(N(AA137)&gt;0,AA$4,""),IF(N(AC137)&gt;0,AC$4,""),IF(N(AE137)&gt;0,AE$4,""),IF(N(AG137)&gt;0,AG$4,""),IF(N(AI137)&gt;0,AI$4,""),IF(N(AK137)&gt;0,AK$4,""),IF(N(AM137)&gt;0,AM$4,""),IF(N(AO137)&gt;0,AO$4,""),IF(N(AQ137)&gt;0,AQ$4,""),IF(N(#REF!)&gt;0,#REF!,"")),"")</f>
        <v>#REF!</v>
      </c>
      <c r="CW137" s="11"/>
      <c r="CX137" s="11" t="e">
        <f t="shared" si="9"/>
        <v>#REF!</v>
      </c>
      <c r="CY137" s="12"/>
      <c r="CZ137" s="68"/>
    </row>
    <row r="138" spans="1:104" ht="18" customHeight="1" x14ac:dyDescent="0.3">
      <c r="A138" s="150"/>
      <c r="B138" s="78" t="s">
        <v>94</v>
      </c>
      <c r="C138" s="12">
        <v>46156</v>
      </c>
      <c r="D138" s="20">
        <f t="shared" si="8"/>
        <v>0</v>
      </c>
      <c r="E138" s="20"/>
      <c r="F138" s="20"/>
      <c r="G138" s="20"/>
      <c r="H138" s="20"/>
      <c r="I138" s="20"/>
      <c r="J138" s="20"/>
      <c r="K138" s="20"/>
      <c r="L138" s="20"/>
      <c r="M138" s="19" t="s">
        <v>71</v>
      </c>
      <c r="N138" s="19"/>
      <c r="O138" s="19" t="s">
        <v>71</v>
      </c>
      <c r="P138" s="19"/>
      <c r="Q138" s="19" t="s">
        <v>71</v>
      </c>
      <c r="R138" s="19"/>
      <c r="S138" s="19" t="s">
        <v>71</v>
      </c>
      <c r="T138" s="19"/>
      <c r="U138" s="19" t="s">
        <v>71</v>
      </c>
      <c r="V138" s="19"/>
      <c r="W138" s="19"/>
      <c r="X138" s="19"/>
      <c r="Y138" s="19" t="s">
        <v>71</v>
      </c>
      <c r="Z138" s="19"/>
      <c r="AA138" s="19" t="s">
        <v>71</v>
      </c>
      <c r="AB138" s="19"/>
      <c r="AC138" s="19" t="s">
        <v>71</v>
      </c>
      <c r="AD138" s="19"/>
      <c r="AE138" s="19" t="s">
        <v>71</v>
      </c>
      <c r="AF138" s="19"/>
      <c r="AG138" s="19" t="s">
        <v>71</v>
      </c>
      <c r="AH138" s="19"/>
      <c r="AI138" s="19" t="s">
        <v>71</v>
      </c>
      <c r="AJ138" s="19"/>
      <c r="AK138" s="19" t="s">
        <v>71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39"/>
      <c r="BP138" s="39"/>
      <c r="BQ138" s="39"/>
      <c r="BR138" s="39"/>
      <c r="BS138" s="39"/>
      <c r="BT138" s="39"/>
      <c r="BU138" s="39"/>
      <c r="BV138" s="39"/>
      <c r="BW138" s="19"/>
      <c r="BX138" s="19"/>
      <c r="BY138" s="19"/>
      <c r="BZ138" s="19"/>
      <c r="CA138" s="19"/>
      <c r="CB138" s="19"/>
      <c r="CC138" s="19"/>
      <c r="CD138" s="19"/>
      <c r="CE138" s="19" t="s">
        <v>71</v>
      </c>
      <c r="CF138" s="19"/>
      <c r="CG138" s="19" t="s">
        <v>71</v>
      </c>
      <c r="CH138" s="19"/>
      <c r="CI138" s="19" t="s">
        <v>71</v>
      </c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1" t="e">
        <f>IF(SUM(E138,G138,I138,K138,M138,O138,Q138,S138,U138,W138,Y138,AA138,AC138,AE138,AG138,AI138,AK138,AM138,AO138,AQ138,#REF!)&gt;0,"Sí","No")</f>
        <v>#REF!</v>
      </c>
      <c r="CV138" s="92" t="e">
        <f>IF($CU138="Sí",_xlfn.TEXTJOIN(", ",TRUE,IF(N(E138)&gt;0,E$4,""),IF(N(G138)&gt;0,G$4,""),IF(N(I138)&gt;0,I$4,""),IF(N(K138)&gt;0,K$4,""),IF(N(M138)&gt;0,M$4,""),IF(N(O138)&gt;0,O$4,""),IF(N(Q138)&gt;0,Q$4,""),IF(N(S138)&gt;0,S$4,""),IF(N(U138)&gt;0,U$4,""),IF(N(W138)&gt;0,W$4,""),IF(N(Y138)&gt;0,Y$4,""),IF(N(AA138)&gt;0,AA$4,""),IF(N(AC138)&gt;0,AC$4,""),IF(N(AE138)&gt;0,AE$4,""),IF(N(AG138)&gt;0,AG$4,""),IF(N(AI138)&gt;0,AI$4,""),IF(N(AK138)&gt;0,AK$4,""),IF(N(AM138)&gt;0,AM$4,""),IF(N(AO138)&gt;0,AO$4,""),IF(N(AQ138)&gt;0,AQ$4,""),IF(N(#REF!)&gt;0,#REF!,"")),"")</f>
        <v>#REF!</v>
      </c>
      <c r="CW138" s="11"/>
      <c r="CX138" s="11" t="e">
        <f t="shared" si="9"/>
        <v>#REF!</v>
      </c>
      <c r="CY138" s="12"/>
      <c r="CZ138" s="68"/>
    </row>
    <row r="139" spans="1:104" ht="18" customHeight="1" x14ac:dyDescent="0.3">
      <c r="A139" s="150"/>
      <c r="B139" s="78" t="s">
        <v>95</v>
      </c>
      <c r="C139" s="12">
        <v>46157</v>
      </c>
      <c r="D139" s="20">
        <f t="shared" si="8"/>
        <v>0</v>
      </c>
      <c r="E139" s="20"/>
      <c r="F139" s="20"/>
      <c r="G139" s="20"/>
      <c r="H139" s="20"/>
      <c r="I139" s="20"/>
      <c r="J139" s="20"/>
      <c r="K139" s="20"/>
      <c r="L139" s="20"/>
      <c r="M139" s="19" t="s">
        <v>71</v>
      </c>
      <c r="N139" s="19"/>
      <c r="O139" s="19" t="s">
        <v>71</v>
      </c>
      <c r="P139" s="19"/>
      <c r="Q139" s="19" t="s">
        <v>71</v>
      </c>
      <c r="R139" s="19"/>
      <c r="S139" s="19" t="s">
        <v>71</v>
      </c>
      <c r="T139" s="19"/>
      <c r="U139" s="19" t="s">
        <v>71</v>
      </c>
      <c r="V139" s="19"/>
      <c r="W139" s="19"/>
      <c r="X139" s="19"/>
      <c r="Y139" s="19" t="s">
        <v>71</v>
      </c>
      <c r="Z139" s="19"/>
      <c r="AA139" s="19" t="s">
        <v>71</v>
      </c>
      <c r="AB139" s="19"/>
      <c r="AC139" s="19" t="s">
        <v>71</v>
      </c>
      <c r="AD139" s="19"/>
      <c r="AE139" s="19" t="s">
        <v>71</v>
      </c>
      <c r="AF139" s="19"/>
      <c r="AG139" s="19" t="s">
        <v>71</v>
      </c>
      <c r="AH139" s="19"/>
      <c r="AI139" s="19" t="s">
        <v>71</v>
      </c>
      <c r="AJ139" s="19"/>
      <c r="AK139" s="19" t="s">
        <v>71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39"/>
      <c r="BP139" s="39"/>
      <c r="BQ139" s="39"/>
      <c r="BR139" s="39"/>
      <c r="BS139" s="39"/>
      <c r="BT139" s="39"/>
      <c r="BU139" s="39"/>
      <c r="BV139" s="39"/>
      <c r="BW139" s="19"/>
      <c r="BX139" s="19"/>
      <c r="BY139" s="19"/>
      <c r="BZ139" s="19"/>
      <c r="CA139" s="19"/>
      <c r="CB139" s="19"/>
      <c r="CC139" s="19"/>
      <c r="CD139" s="19"/>
      <c r="CE139" s="19" t="s">
        <v>71</v>
      </c>
      <c r="CF139" s="19"/>
      <c r="CG139" s="19" t="s">
        <v>71</v>
      </c>
      <c r="CH139" s="19"/>
      <c r="CI139" s="19" t="s">
        <v>71</v>
      </c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1" t="e">
        <f>IF(SUM(E139,G139,I139,K139,M139,O139,Q139,S139,U139,W139,Y139,AA139,AC139,AE139,AG139,AI139,AK139,AM139,AO139,AQ139,#REF!)&gt;0,"Sí","No")</f>
        <v>#REF!</v>
      </c>
      <c r="CV139" s="92" t="e">
        <f>IF($CU139="Sí",_xlfn.TEXTJOIN(", ",TRUE,IF(N(E139)&gt;0,E$4,""),IF(N(G139)&gt;0,G$4,""),IF(N(I139)&gt;0,I$4,""),IF(N(K139)&gt;0,K$4,""),IF(N(M139)&gt;0,M$4,""),IF(N(O139)&gt;0,O$4,""),IF(N(Q139)&gt;0,Q$4,""),IF(N(S139)&gt;0,S$4,""),IF(N(U139)&gt;0,U$4,""),IF(N(W139)&gt;0,W$4,""),IF(N(Y139)&gt;0,Y$4,""),IF(N(AA139)&gt;0,AA$4,""),IF(N(AC139)&gt;0,AC$4,""),IF(N(AE139)&gt;0,AE$4,""),IF(N(AG139)&gt;0,AG$4,""),IF(N(AI139)&gt;0,AI$4,""),IF(N(AK139)&gt;0,AK$4,""),IF(N(AM139)&gt;0,AM$4,""),IF(N(AO139)&gt;0,AO$4,""),IF(N(AQ139)&gt;0,AQ$4,""),IF(N(#REF!)&gt;0,#REF!,"")),"")</f>
        <v>#REF!</v>
      </c>
      <c r="CW139" s="11"/>
      <c r="CX139" s="11" t="e">
        <f t="shared" si="9"/>
        <v>#REF!</v>
      </c>
      <c r="CY139" s="12"/>
      <c r="CZ139" s="68"/>
    </row>
    <row r="140" spans="1:104" ht="18" customHeight="1" x14ac:dyDescent="0.3">
      <c r="A140" s="150"/>
      <c r="B140" s="78" t="s">
        <v>97</v>
      </c>
      <c r="C140" s="12">
        <v>46158</v>
      </c>
      <c r="D140" s="20">
        <f t="shared" si="8"/>
        <v>0</v>
      </c>
      <c r="E140" s="20"/>
      <c r="F140" s="20"/>
      <c r="G140" s="20"/>
      <c r="H140" s="20"/>
      <c r="I140" s="20"/>
      <c r="J140" s="20"/>
      <c r="K140" s="20"/>
      <c r="L140" s="20"/>
      <c r="M140" s="19" t="s">
        <v>71</v>
      </c>
      <c r="N140" s="19"/>
      <c r="O140" s="19" t="s">
        <v>71</v>
      </c>
      <c r="P140" s="19"/>
      <c r="Q140" s="19" t="s">
        <v>71</v>
      </c>
      <c r="R140" s="19"/>
      <c r="S140" s="19" t="s">
        <v>71</v>
      </c>
      <c r="T140" s="19"/>
      <c r="U140" s="19" t="s">
        <v>71</v>
      </c>
      <c r="V140" s="19"/>
      <c r="W140" s="19"/>
      <c r="X140" s="19"/>
      <c r="Y140" s="19" t="s">
        <v>71</v>
      </c>
      <c r="Z140" s="19"/>
      <c r="AA140" s="26" t="s">
        <v>71</v>
      </c>
      <c r="AB140" s="26"/>
      <c r="AC140" s="26" t="s">
        <v>71</v>
      </c>
      <c r="AD140" s="26"/>
      <c r="AE140" s="26" t="s">
        <v>71</v>
      </c>
      <c r="AF140" s="26"/>
      <c r="AG140" s="26" t="s">
        <v>71</v>
      </c>
      <c r="AH140" s="26"/>
      <c r="AI140" s="26" t="s">
        <v>71</v>
      </c>
      <c r="AJ140" s="26"/>
      <c r="AK140" s="26" t="s">
        <v>71</v>
      </c>
      <c r="AL140" s="26"/>
      <c r="AM140" s="26"/>
      <c r="AN140" s="26"/>
      <c r="AO140" s="26"/>
      <c r="AP140" s="26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39"/>
      <c r="BP140" s="39"/>
      <c r="BQ140" s="39"/>
      <c r="BR140" s="39"/>
      <c r="BS140" s="39"/>
      <c r="BT140" s="39"/>
      <c r="BU140" s="39"/>
      <c r="BV140" s="39"/>
      <c r="BW140" s="19"/>
      <c r="BX140" s="19"/>
      <c r="BY140" s="19"/>
      <c r="BZ140" s="19"/>
      <c r="CA140" s="19"/>
      <c r="CB140" s="19"/>
      <c r="CC140" s="19"/>
      <c r="CD140" s="19"/>
      <c r="CE140" s="19">
        <v>10</v>
      </c>
      <c r="CF140" s="19">
        <v>20</v>
      </c>
      <c r="CG140" s="19">
        <v>10</v>
      </c>
      <c r="CH140" s="19">
        <v>20</v>
      </c>
      <c r="CI140" s="19">
        <v>10</v>
      </c>
      <c r="CJ140" s="19">
        <v>20</v>
      </c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1" t="e">
        <f>IF(SUM(E140,G140,I140,K140,M140,O140,Q140,S140,U140,W140,Y140,AA140,AC140,AE140,AG140,AI140,AK140,AM140,AO140,AQ140,#REF!)&gt;0,"Sí","No")</f>
        <v>#REF!</v>
      </c>
      <c r="CV140" s="92" t="e">
        <f>IF($CU140="Sí",_xlfn.TEXTJOIN(", ",TRUE,IF(N(E140)&gt;0,E$4,""),IF(N(G140)&gt;0,G$4,""),IF(N(I140)&gt;0,I$4,""),IF(N(K140)&gt;0,K$4,""),IF(N(M140)&gt;0,M$4,""),IF(N(O140)&gt;0,O$4,""),IF(N(Q140)&gt;0,Q$4,""),IF(N(S140)&gt;0,S$4,""),IF(N(U140)&gt;0,U$4,""),IF(N(W140)&gt;0,W$4,""),IF(N(Y140)&gt;0,Y$4,""),IF(N(AA140)&gt;0,AA$4,""),IF(N(AC140)&gt;0,AC$4,""),IF(N(AE140)&gt;0,AE$4,""),IF(N(AG140)&gt;0,AG$4,""),IF(N(AI140)&gt;0,AI$4,""),IF(N(AK140)&gt;0,AK$4,""),IF(N(AM140)&gt;0,AM$4,""),IF(N(AO140)&gt;0,AO$4,""),IF(N(AQ140)&gt;0,AQ$4,""),IF(N(#REF!)&gt;0,#REF!,"")),"")</f>
        <v>#REF!</v>
      </c>
      <c r="CW140" s="11"/>
      <c r="CX140" s="11" t="e">
        <f t="shared" si="9"/>
        <v>#REF!</v>
      </c>
      <c r="CY140" s="12">
        <v>46158</v>
      </c>
      <c r="CZ140" s="68"/>
    </row>
    <row r="141" spans="1:104" ht="18" customHeight="1" x14ac:dyDescent="0.3">
      <c r="A141" s="150"/>
      <c r="B141" s="78" t="s">
        <v>98</v>
      </c>
      <c r="C141" s="12">
        <v>46159</v>
      </c>
      <c r="D141" s="20">
        <f t="shared" si="8"/>
        <v>0</v>
      </c>
      <c r="E141" s="20"/>
      <c r="F141" s="20"/>
      <c r="G141" s="20"/>
      <c r="H141" s="20"/>
      <c r="I141" s="20"/>
      <c r="J141" s="20"/>
      <c r="K141" s="20"/>
      <c r="L141" s="20"/>
      <c r="M141" s="19" t="s">
        <v>71</v>
      </c>
      <c r="N141" s="19"/>
      <c r="O141" s="19" t="s">
        <v>71</v>
      </c>
      <c r="P141" s="19"/>
      <c r="Q141" s="19" t="s">
        <v>71</v>
      </c>
      <c r="R141" s="19"/>
      <c r="S141" s="19" t="s">
        <v>71</v>
      </c>
      <c r="T141" s="19"/>
      <c r="U141" s="19" t="s">
        <v>71</v>
      </c>
      <c r="V141" s="19"/>
      <c r="W141" s="19"/>
      <c r="X141" s="19"/>
      <c r="Y141" s="19" t="s">
        <v>71</v>
      </c>
      <c r="Z141" s="19"/>
      <c r="AA141" s="19" t="s">
        <v>71</v>
      </c>
      <c r="AB141" s="19"/>
      <c r="AC141" s="19" t="s">
        <v>71</v>
      </c>
      <c r="AD141" s="19"/>
      <c r="AE141" s="19" t="s">
        <v>71</v>
      </c>
      <c r="AF141" s="19"/>
      <c r="AG141" s="19" t="s">
        <v>71</v>
      </c>
      <c r="AH141" s="19"/>
      <c r="AI141" s="19" t="s">
        <v>71</v>
      </c>
      <c r="AJ141" s="19"/>
      <c r="AK141" s="19" t="s">
        <v>71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39"/>
      <c r="BP141" s="39"/>
      <c r="BQ141" s="39"/>
      <c r="BR141" s="39"/>
      <c r="BS141" s="39"/>
      <c r="BT141" s="39"/>
      <c r="BU141" s="39"/>
      <c r="BV141" s="39"/>
      <c r="BW141" s="19"/>
      <c r="BX141" s="19"/>
      <c r="BY141" s="19"/>
      <c r="BZ141" s="19"/>
      <c r="CA141" s="19"/>
      <c r="CB141" s="19"/>
      <c r="CC141" s="19"/>
      <c r="CD141" s="19"/>
      <c r="CE141" s="19" t="s">
        <v>71</v>
      </c>
      <c r="CF141" s="19"/>
      <c r="CG141" s="19" t="s">
        <v>71</v>
      </c>
      <c r="CH141" s="19"/>
      <c r="CI141" s="19" t="s">
        <v>71</v>
      </c>
      <c r="CJ141" s="19"/>
      <c r="CK141" s="19"/>
      <c r="CL141" s="19"/>
      <c r="CM141" s="19">
        <v>10</v>
      </c>
      <c r="CN141" s="19">
        <v>20</v>
      </c>
      <c r="CO141" s="19">
        <v>10</v>
      </c>
      <c r="CP141" s="19">
        <v>20</v>
      </c>
      <c r="CQ141" s="19">
        <v>10</v>
      </c>
      <c r="CR141" s="19">
        <v>20</v>
      </c>
      <c r="CS141" s="19"/>
      <c r="CT141" s="19"/>
      <c r="CU141" s="11" t="e">
        <f>IF(SUM(E141,G141,I141,K141,M141,O141,Q141,S141,U141,W141,Y141,AA141,AC141,AE141,AG141,AI141,AK141,AM141,AO141,AQ141,#REF!)&gt;0,"Sí","No")</f>
        <v>#REF!</v>
      </c>
      <c r="CV141" s="92" t="e">
        <f>IF($CU141="Sí",_xlfn.TEXTJOIN(", ",TRUE,IF(N(E141)&gt;0,E$4,""),IF(N(G141)&gt;0,G$4,""),IF(N(I141)&gt;0,I$4,""),IF(N(K141)&gt;0,K$4,""),IF(N(M141)&gt;0,M$4,""),IF(N(O141)&gt;0,O$4,""),IF(N(Q141)&gt;0,Q$4,""),IF(N(S141)&gt;0,S$4,""),IF(N(U141)&gt;0,U$4,""),IF(N(W141)&gt;0,W$4,""),IF(N(Y141)&gt;0,Y$4,""),IF(N(AA141)&gt;0,AA$4,""),IF(N(AC141)&gt;0,AC$4,""),IF(N(AE141)&gt;0,AE$4,""),IF(N(AG141)&gt;0,AG$4,""),IF(N(AI141)&gt;0,AI$4,""),IF(N(AK141)&gt;0,AK$4,""),IF(N(AM141)&gt;0,AM$4,""),IF(N(AO141)&gt;0,AO$4,""),IF(N(AQ141)&gt;0,AQ$4,""),IF(N(#REF!)&gt;0,#REF!,"")),"")</f>
        <v>#REF!</v>
      </c>
      <c r="CW141" s="11"/>
      <c r="CX141" s="11" t="e">
        <f t="shared" si="9"/>
        <v>#REF!</v>
      </c>
      <c r="CY141" s="12">
        <v>46169</v>
      </c>
      <c r="CZ141" s="68"/>
    </row>
    <row r="142" spans="1:104" ht="18" customHeight="1" x14ac:dyDescent="0.3">
      <c r="A142" s="150"/>
      <c r="B142" s="78" t="s">
        <v>99</v>
      </c>
      <c r="C142" s="12">
        <v>46160</v>
      </c>
      <c r="D142" s="20">
        <f t="shared" si="8"/>
        <v>0</v>
      </c>
      <c r="E142" s="20"/>
      <c r="F142" s="20"/>
      <c r="G142" s="20"/>
      <c r="H142" s="20"/>
      <c r="I142" s="20"/>
      <c r="J142" s="20"/>
      <c r="K142" s="20"/>
      <c r="L142" s="20"/>
      <c r="M142" s="19" t="s">
        <v>71</v>
      </c>
      <c r="N142" s="19"/>
      <c r="O142" s="19" t="s">
        <v>71</v>
      </c>
      <c r="P142" s="19"/>
      <c r="Q142" s="19" t="s">
        <v>71</v>
      </c>
      <c r="R142" s="19"/>
      <c r="S142" s="19" t="s">
        <v>71</v>
      </c>
      <c r="T142" s="19"/>
      <c r="U142" s="19" t="s">
        <v>71</v>
      </c>
      <c r="V142" s="19"/>
      <c r="W142" s="19"/>
      <c r="X142" s="19"/>
      <c r="Y142" s="19" t="s">
        <v>71</v>
      </c>
      <c r="Z142" s="19"/>
      <c r="AA142" s="19" t="s">
        <v>71</v>
      </c>
      <c r="AB142" s="19"/>
      <c r="AC142" s="19" t="s">
        <v>71</v>
      </c>
      <c r="AD142" s="19"/>
      <c r="AE142" s="19" t="s">
        <v>71</v>
      </c>
      <c r="AF142" s="19"/>
      <c r="AG142" s="19" t="s">
        <v>71</v>
      </c>
      <c r="AH142" s="19"/>
      <c r="AI142" s="19" t="s">
        <v>71</v>
      </c>
      <c r="AJ142" s="19"/>
      <c r="AK142" s="19" t="s">
        <v>71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39"/>
      <c r="BP142" s="39"/>
      <c r="BQ142" s="39"/>
      <c r="BR142" s="39"/>
      <c r="BS142" s="39"/>
      <c r="BT142" s="39"/>
      <c r="BU142" s="39"/>
      <c r="BV142" s="39"/>
      <c r="BW142" s="19"/>
      <c r="BX142" s="19"/>
      <c r="BY142" s="19"/>
      <c r="BZ142" s="19"/>
      <c r="CA142" s="19"/>
      <c r="CB142" s="19"/>
      <c r="CC142" s="19"/>
      <c r="CD142" s="19"/>
      <c r="CE142" s="19" t="s">
        <v>71</v>
      </c>
      <c r="CF142" s="19"/>
      <c r="CG142" s="19" t="s">
        <v>71</v>
      </c>
      <c r="CH142" s="19"/>
      <c r="CI142" s="19" t="s">
        <v>71</v>
      </c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1" t="e">
        <f>IF(SUM(E142,G142,I142,K142,M142,O142,Q142,S142,U142,W142,Y142,AA142,AC142,AE142,AG142,AI142,AK142,AM142,AO142,AQ142,#REF!)&gt;0,"Sí","No")</f>
        <v>#REF!</v>
      </c>
      <c r="CV142" s="92" t="e">
        <f>IF($CU142="Sí",_xlfn.TEXTJOIN(", ",TRUE,IF(N(E142)&gt;0,E$4,""),IF(N(G142)&gt;0,G$4,""),IF(N(I142)&gt;0,I$4,""),IF(N(K142)&gt;0,K$4,""),IF(N(M142)&gt;0,M$4,""),IF(N(O142)&gt;0,O$4,""),IF(N(Q142)&gt;0,Q$4,""),IF(N(S142)&gt;0,S$4,""),IF(N(U142)&gt;0,U$4,""),IF(N(W142)&gt;0,W$4,""),IF(N(Y142)&gt;0,Y$4,""),IF(N(AA142)&gt;0,AA$4,""),IF(N(AC142)&gt;0,AC$4,""),IF(N(AE142)&gt;0,AE$4,""),IF(N(AG142)&gt;0,AG$4,""),IF(N(AI142)&gt;0,AI$4,""),IF(N(AK142)&gt;0,AK$4,""),IF(N(AM142)&gt;0,AM$4,""),IF(N(AO142)&gt;0,AO$4,""),IF(N(AQ142)&gt;0,AQ$4,""),IF(N(#REF!)&gt;0,#REF!,"")),"")</f>
        <v>#REF!</v>
      </c>
      <c r="CW142" s="11"/>
      <c r="CX142" s="11" t="e">
        <f t="shared" si="9"/>
        <v>#REF!</v>
      </c>
      <c r="CY142" s="12">
        <v>46167</v>
      </c>
      <c r="CZ142" s="68"/>
    </row>
    <row r="143" spans="1:104" ht="18" customHeight="1" x14ac:dyDescent="0.3">
      <c r="A143" s="150"/>
      <c r="B143" s="78" t="s">
        <v>100</v>
      </c>
      <c r="C143" s="12">
        <v>46161</v>
      </c>
      <c r="D143" s="20">
        <f t="shared" si="8"/>
        <v>0</v>
      </c>
      <c r="E143" s="20"/>
      <c r="F143" s="20"/>
      <c r="G143" s="20"/>
      <c r="H143" s="20"/>
      <c r="I143" s="20"/>
      <c r="J143" s="20"/>
      <c r="K143" s="20"/>
      <c r="L143" s="20"/>
      <c r="M143" s="19" t="s">
        <v>71</v>
      </c>
      <c r="N143" s="19"/>
      <c r="O143" s="19" t="s">
        <v>71</v>
      </c>
      <c r="P143" s="19"/>
      <c r="Q143" s="19" t="s">
        <v>71</v>
      </c>
      <c r="R143" s="19"/>
      <c r="S143" s="19" t="s">
        <v>71</v>
      </c>
      <c r="T143" s="19"/>
      <c r="U143" s="19" t="s">
        <v>71</v>
      </c>
      <c r="V143" s="19"/>
      <c r="W143" s="19"/>
      <c r="X143" s="19"/>
      <c r="Y143" s="19" t="s">
        <v>71</v>
      </c>
      <c r="Z143" s="19"/>
      <c r="AA143" s="19" t="s">
        <v>71</v>
      </c>
      <c r="AB143" s="19"/>
      <c r="AC143" s="19" t="s">
        <v>71</v>
      </c>
      <c r="AD143" s="19"/>
      <c r="AE143" s="19" t="s">
        <v>71</v>
      </c>
      <c r="AF143" s="19"/>
      <c r="AG143" s="19" t="s">
        <v>71</v>
      </c>
      <c r="AH143" s="19"/>
      <c r="AI143" s="19" t="s">
        <v>71</v>
      </c>
      <c r="AJ143" s="19"/>
      <c r="AK143" s="19" t="s">
        <v>71</v>
      </c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39"/>
      <c r="BP143" s="39"/>
      <c r="BQ143" s="39"/>
      <c r="BR143" s="39"/>
      <c r="BS143" s="39"/>
      <c r="BT143" s="39"/>
      <c r="BU143" s="39"/>
      <c r="BV143" s="39"/>
      <c r="BW143" s="19"/>
      <c r="BX143" s="19"/>
      <c r="BY143" s="19"/>
      <c r="BZ143" s="19"/>
      <c r="CA143" s="19"/>
      <c r="CB143" s="19"/>
      <c r="CC143" s="19"/>
      <c r="CD143" s="19"/>
      <c r="CE143" s="19" t="s">
        <v>71</v>
      </c>
      <c r="CF143" s="19"/>
      <c r="CG143" s="19" t="s">
        <v>71</v>
      </c>
      <c r="CH143" s="19"/>
      <c r="CI143" s="19" t="s">
        <v>71</v>
      </c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1" t="e">
        <f>IF(SUM(E143,G143,I143,K143,M143,O143,Q143,S143,U143,W143,Y143,AA143,AC143,AE143,AG143,AI143,AK143,AM143,AO143,AQ143,#REF!)&gt;0,"Sí","No")</f>
        <v>#REF!</v>
      </c>
      <c r="CV143" s="92" t="e">
        <f>IF($CU143="Sí",_xlfn.TEXTJOIN(", ",TRUE,IF(N(E143)&gt;0,E$4,""),IF(N(G143)&gt;0,G$4,""),IF(N(I143)&gt;0,I$4,""),IF(N(K143)&gt;0,K$4,""),IF(N(M143)&gt;0,M$4,""),IF(N(O143)&gt;0,O$4,""),IF(N(Q143)&gt;0,Q$4,""),IF(N(S143)&gt;0,S$4,""),IF(N(U143)&gt;0,U$4,""),IF(N(W143)&gt;0,W$4,""),IF(N(Y143)&gt;0,Y$4,""),IF(N(AA143)&gt;0,AA$4,""),IF(N(AC143)&gt;0,AC$4,""),IF(N(AE143)&gt;0,AE$4,""),IF(N(AG143)&gt;0,AG$4,""),IF(N(AI143)&gt;0,AI$4,""),IF(N(AK143)&gt;0,AK$4,""),IF(N(AM143)&gt;0,AM$4,""),IF(N(AO143)&gt;0,AO$4,""),IF(N(AQ143)&gt;0,AQ$4,""),IF(N(#REF!)&gt;0,#REF!,"")),"")</f>
        <v>#REF!</v>
      </c>
      <c r="CW143" s="11"/>
      <c r="CX143" s="11" t="e">
        <f t="shared" si="9"/>
        <v>#REF!</v>
      </c>
      <c r="CY143" s="12"/>
      <c r="CZ143" s="68"/>
    </row>
    <row r="144" spans="1:104" ht="18" customHeight="1" x14ac:dyDescent="0.3">
      <c r="A144" s="150"/>
      <c r="B144" s="78" t="s">
        <v>101</v>
      </c>
      <c r="C144" s="12">
        <v>46162</v>
      </c>
      <c r="D144" s="20">
        <f t="shared" si="8"/>
        <v>0</v>
      </c>
      <c r="E144" s="20"/>
      <c r="F144" s="20"/>
      <c r="G144" s="20"/>
      <c r="H144" s="20"/>
      <c r="I144" s="20"/>
      <c r="J144" s="20"/>
      <c r="K144" s="20"/>
      <c r="L144" s="20"/>
      <c r="M144" s="19" t="s">
        <v>71</v>
      </c>
      <c r="N144" s="19"/>
      <c r="O144" s="19" t="s">
        <v>71</v>
      </c>
      <c r="P144" s="19"/>
      <c r="Q144" s="19" t="s">
        <v>71</v>
      </c>
      <c r="R144" s="19"/>
      <c r="S144" s="19" t="s">
        <v>71</v>
      </c>
      <c r="T144" s="19"/>
      <c r="U144" s="19" t="s">
        <v>71</v>
      </c>
      <c r="V144" s="19"/>
      <c r="W144" s="19"/>
      <c r="X144" s="19"/>
      <c r="Y144" s="19" t="s">
        <v>71</v>
      </c>
      <c r="Z144" s="19"/>
      <c r="AA144" s="19" t="s">
        <v>71</v>
      </c>
      <c r="AB144" s="19"/>
      <c r="AC144" s="19" t="s">
        <v>71</v>
      </c>
      <c r="AD144" s="19"/>
      <c r="AE144" s="19" t="s">
        <v>71</v>
      </c>
      <c r="AF144" s="19"/>
      <c r="AG144" s="19" t="s">
        <v>71</v>
      </c>
      <c r="AH144" s="19"/>
      <c r="AI144" s="19" t="s">
        <v>71</v>
      </c>
      <c r="AJ144" s="19"/>
      <c r="AK144" s="19" t="s">
        <v>71</v>
      </c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39"/>
      <c r="BP144" s="39"/>
      <c r="BQ144" s="39"/>
      <c r="BR144" s="39"/>
      <c r="BS144" s="39"/>
      <c r="BT144" s="39"/>
      <c r="BU144" s="39"/>
      <c r="BV144" s="39"/>
      <c r="BW144" s="19"/>
      <c r="BX144" s="19"/>
      <c r="BY144" s="19"/>
      <c r="BZ144" s="19"/>
      <c r="CA144" s="19"/>
      <c r="CB144" s="19"/>
      <c r="CC144" s="19"/>
      <c r="CD144" s="19"/>
      <c r="CE144" s="19" t="s">
        <v>71</v>
      </c>
      <c r="CF144" s="19"/>
      <c r="CG144" s="19" t="s">
        <v>71</v>
      </c>
      <c r="CH144" s="19"/>
      <c r="CI144" s="19" t="s">
        <v>71</v>
      </c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1" t="e">
        <f>IF(SUM(E144,G144,I144,K144,M144,O144,Q144,S144,U144,W144,Y144,AA144,AC144,AE144,AG144,AI144,AK144,AM144,AO144,AQ144,#REF!)&gt;0,"Sí","No")</f>
        <v>#REF!</v>
      </c>
      <c r="CV144" s="92" t="e">
        <f>IF($CU144="Sí",_xlfn.TEXTJOIN(", ",TRUE,IF(N(E144)&gt;0,E$4,""),IF(N(G144)&gt;0,G$4,""),IF(N(I144)&gt;0,I$4,""),IF(N(K144)&gt;0,K$4,""),IF(N(M144)&gt;0,M$4,""),IF(N(O144)&gt;0,O$4,""),IF(N(Q144)&gt;0,Q$4,""),IF(N(S144)&gt;0,S$4,""),IF(N(U144)&gt;0,U$4,""),IF(N(W144)&gt;0,W$4,""),IF(N(Y144)&gt;0,Y$4,""),IF(N(AA144)&gt;0,AA$4,""),IF(N(AC144)&gt;0,AC$4,""),IF(N(AE144)&gt;0,AE$4,""),IF(N(AG144)&gt;0,AG$4,""),IF(N(AI144)&gt;0,AI$4,""),IF(N(AK144)&gt;0,AK$4,""),IF(N(AM144)&gt;0,AM$4,""),IF(N(AO144)&gt;0,AO$4,""),IF(N(AQ144)&gt;0,AQ$4,""),IF(N(#REF!)&gt;0,#REF!,"")),"")</f>
        <v>#REF!</v>
      </c>
      <c r="CW144" s="11"/>
      <c r="CX144" s="11" t="e">
        <f t="shared" si="9"/>
        <v>#REF!</v>
      </c>
      <c r="CY144" s="12">
        <v>46162</v>
      </c>
      <c r="CZ144" s="68"/>
    </row>
    <row r="145" spans="1:104" ht="18" customHeight="1" x14ac:dyDescent="0.3">
      <c r="A145" s="150"/>
      <c r="B145" s="78" t="s">
        <v>94</v>
      </c>
      <c r="C145" s="12">
        <v>46163</v>
      </c>
      <c r="D145" s="20">
        <f t="shared" si="8"/>
        <v>0</v>
      </c>
      <c r="E145" s="20"/>
      <c r="F145" s="20"/>
      <c r="G145" s="20"/>
      <c r="H145" s="20"/>
      <c r="I145" s="20"/>
      <c r="J145" s="20"/>
      <c r="K145" s="20"/>
      <c r="L145" s="20"/>
      <c r="M145" s="19" t="s">
        <v>71</v>
      </c>
      <c r="N145" s="19"/>
      <c r="O145" s="19" t="s">
        <v>71</v>
      </c>
      <c r="P145" s="19"/>
      <c r="Q145" s="19" t="s">
        <v>71</v>
      </c>
      <c r="R145" s="19"/>
      <c r="S145" s="19" t="s">
        <v>71</v>
      </c>
      <c r="T145" s="19"/>
      <c r="U145" s="19" t="s">
        <v>71</v>
      </c>
      <c r="V145" s="19"/>
      <c r="W145" s="19"/>
      <c r="X145" s="19"/>
      <c r="Y145" s="19" t="s">
        <v>71</v>
      </c>
      <c r="Z145" s="19"/>
      <c r="AA145" s="19" t="s">
        <v>71</v>
      </c>
      <c r="AB145" s="19"/>
      <c r="AC145" s="19" t="s">
        <v>71</v>
      </c>
      <c r="AD145" s="19"/>
      <c r="AE145" s="19" t="s">
        <v>71</v>
      </c>
      <c r="AF145" s="19"/>
      <c r="AG145" s="19" t="s">
        <v>71</v>
      </c>
      <c r="AH145" s="19"/>
      <c r="AI145" s="19" t="s">
        <v>71</v>
      </c>
      <c r="AJ145" s="19"/>
      <c r="AK145" s="19" t="s">
        <v>71</v>
      </c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39"/>
      <c r="BP145" s="39"/>
      <c r="BQ145" s="39"/>
      <c r="BR145" s="39"/>
      <c r="BS145" s="39"/>
      <c r="BT145" s="39"/>
      <c r="BU145" s="39"/>
      <c r="BV145" s="39"/>
      <c r="BW145" s="19"/>
      <c r="BX145" s="19"/>
      <c r="BY145" s="19"/>
      <c r="BZ145" s="19"/>
      <c r="CA145" s="19"/>
      <c r="CB145" s="19"/>
      <c r="CC145" s="19"/>
      <c r="CD145" s="19"/>
      <c r="CE145" s="19" t="s">
        <v>71</v>
      </c>
      <c r="CF145" s="19"/>
      <c r="CG145" s="19" t="s">
        <v>71</v>
      </c>
      <c r="CH145" s="19"/>
      <c r="CI145" s="19" t="s">
        <v>71</v>
      </c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1" t="e">
        <f>IF(SUM(E145,G145,I145,K145,M145,O145,Q145,S145,U145,W145,Y145,AA145,AC145,AE145,AG145,AI145,AK145,AM145,AO145,AQ145,#REF!)&gt;0,"Sí","No")</f>
        <v>#REF!</v>
      </c>
      <c r="CV145" s="92" t="e">
        <f>IF($CU145="Sí",_xlfn.TEXTJOIN(", ",TRUE,IF(N(E145)&gt;0,E$4,""),IF(N(G145)&gt;0,G$4,""),IF(N(I145)&gt;0,I$4,""),IF(N(K145)&gt;0,K$4,""),IF(N(M145)&gt;0,M$4,""),IF(N(O145)&gt;0,O$4,""),IF(N(Q145)&gt;0,Q$4,""),IF(N(S145)&gt;0,S$4,""),IF(N(U145)&gt;0,U$4,""),IF(N(W145)&gt;0,W$4,""),IF(N(Y145)&gt;0,Y$4,""),IF(N(AA145)&gt;0,AA$4,""),IF(N(AC145)&gt;0,AC$4,""),IF(N(AE145)&gt;0,AE$4,""),IF(N(AG145)&gt;0,AG$4,""),IF(N(AI145)&gt;0,AI$4,""),IF(N(AK145)&gt;0,AK$4,""),IF(N(AM145)&gt;0,AM$4,""),IF(N(AO145)&gt;0,AO$4,""),IF(N(AQ145)&gt;0,AQ$4,""),IF(N(#REF!)&gt;0,#REF!,"")),"")</f>
        <v>#REF!</v>
      </c>
      <c r="CW145" s="11"/>
      <c r="CX145" s="11" t="e">
        <f t="shared" si="9"/>
        <v>#REF!</v>
      </c>
      <c r="CY145" s="12"/>
      <c r="CZ145" s="68"/>
    </row>
    <row r="146" spans="1:104" ht="18" customHeight="1" x14ac:dyDescent="0.3">
      <c r="A146" s="150"/>
      <c r="B146" s="78" t="s">
        <v>95</v>
      </c>
      <c r="C146" s="12">
        <v>46164</v>
      </c>
      <c r="D146" s="20">
        <f t="shared" si="8"/>
        <v>0</v>
      </c>
      <c r="E146" s="20"/>
      <c r="F146" s="20"/>
      <c r="G146" s="20"/>
      <c r="H146" s="20"/>
      <c r="I146" s="20"/>
      <c r="J146" s="20"/>
      <c r="K146" s="20"/>
      <c r="L146" s="20"/>
      <c r="M146" s="19" t="s">
        <v>71</v>
      </c>
      <c r="N146" s="19"/>
      <c r="O146" s="19" t="s">
        <v>71</v>
      </c>
      <c r="P146" s="19"/>
      <c r="Q146" s="19" t="s">
        <v>71</v>
      </c>
      <c r="R146" s="19"/>
      <c r="S146" s="19" t="s">
        <v>71</v>
      </c>
      <c r="T146" s="19"/>
      <c r="U146" s="19" t="s">
        <v>71</v>
      </c>
      <c r="V146" s="19"/>
      <c r="W146" s="19"/>
      <c r="X146" s="19"/>
      <c r="Y146" s="19" t="s">
        <v>71</v>
      </c>
      <c r="Z146" s="19"/>
      <c r="AA146" s="19" t="s">
        <v>71</v>
      </c>
      <c r="AB146" s="19"/>
      <c r="AC146" s="19" t="s">
        <v>71</v>
      </c>
      <c r="AD146" s="19"/>
      <c r="AE146" s="19" t="s">
        <v>71</v>
      </c>
      <c r="AF146" s="19"/>
      <c r="AG146" s="19" t="s">
        <v>71</v>
      </c>
      <c r="AH146" s="19"/>
      <c r="AI146" s="19" t="s">
        <v>71</v>
      </c>
      <c r="AJ146" s="19"/>
      <c r="AK146" s="19" t="s">
        <v>71</v>
      </c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39"/>
      <c r="BP146" s="39"/>
      <c r="BQ146" s="39"/>
      <c r="BR146" s="39"/>
      <c r="BS146" s="39"/>
      <c r="BT146" s="39"/>
      <c r="BU146" s="39"/>
      <c r="BV146" s="39"/>
      <c r="BW146" s="19"/>
      <c r="BX146" s="19"/>
      <c r="BY146" s="19"/>
      <c r="BZ146" s="19"/>
      <c r="CA146" s="19"/>
      <c r="CB146" s="19"/>
      <c r="CC146" s="19"/>
      <c r="CD146" s="19"/>
      <c r="CE146" s="19" t="s">
        <v>71</v>
      </c>
      <c r="CF146" s="19"/>
      <c r="CG146" s="19" t="s">
        <v>71</v>
      </c>
      <c r="CH146" s="19"/>
      <c r="CI146" s="19" t="s">
        <v>71</v>
      </c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1" t="e">
        <f>IF(SUM(E146,G146,I146,K146,M146,O146,Q146,S146,U146,W146,Y146,AA146,AC146,AE146,AG146,AI146,AK146,AM146,AO146,AQ146,#REF!)&gt;0,"Sí","No")</f>
        <v>#REF!</v>
      </c>
      <c r="CV146" s="92" t="e">
        <f>IF($CU146="Sí",_xlfn.TEXTJOIN(", ",TRUE,IF(N(E146)&gt;0,E$4,""),IF(N(G146)&gt;0,G$4,""),IF(N(I146)&gt;0,I$4,""),IF(N(K146)&gt;0,K$4,""),IF(N(M146)&gt;0,M$4,""),IF(N(O146)&gt;0,O$4,""),IF(N(Q146)&gt;0,Q$4,""),IF(N(S146)&gt;0,S$4,""),IF(N(U146)&gt;0,U$4,""),IF(N(W146)&gt;0,W$4,""),IF(N(Y146)&gt;0,Y$4,""),IF(N(AA146)&gt;0,AA$4,""),IF(N(AC146)&gt;0,AC$4,""),IF(N(AE146)&gt;0,AE$4,""),IF(N(AG146)&gt;0,AG$4,""),IF(N(AI146)&gt;0,AI$4,""),IF(N(AK146)&gt;0,AK$4,""),IF(N(AM146)&gt;0,AM$4,""),IF(N(AO146)&gt;0,AO$4,""),IF(N(AQ146)&gt;0,AQ$4,""),IF(N(#REF!)&gt;0,#REF!,"")),"")</f>
        <v>#REF!</v>
      </c>
      <c r="CW146" s="11"/>
      <c r="CX146" s="11" t="e">
        <f t="shared" si="9"/>
        <v>#REF!</v>
      </c>
      <c r="CY146" s="12"/>
      <c r="CZ146" s="68"/>
    </row>
    <row r="147" spans="1:104" ht="18" customHeight="1" x14ac:dyDescent="0.3">
      <c r="A147" s="150"/>
      <c r="B147" s="78" t="s">
        <v>97</v>
      </c>
      <c r="C147" s="12">
        <v>46165</v>
      </c>
      <c r="D147" s="20">
        <f t="shared" si="8"/>
        <v>0</v>
      </c>
      <c r="E147" s="20"/>
      <c r="F147" s="20"/>
      <c r="G147" s="20"/>
      <c r="H147" s="20"/>
      <c r="I147" s="20"/>
      <c r="J147" s="20"/>
      <c r="K147" s="20"/>
      <c r="L147" s="20"/>
      <c r="M147" s="19" t="s">
        <v>71</v>
      </c>
      <c r="N147" s="19"/>
      <c r="O147" s="19" t="s">
        <v>71</v>
      </c>
      <c r="P147" s="19"/>
      <c r="Q147" s="19" t="s">
        <v>71</v>
      </c>
      <c r="R147" s="19"/>
      <c r="S147" s="19" t="s">
        <v>71</v>
      </c>
      <c r="T147" s="19"/>
      <c r="U147" s="19" t="s">
        <v>71</v>
      </c>
      <c r="V147" s="19"/>
      <c r="W147" s="19"/>
      <c r="X147" s="19"/>
      <c r="Y147" s="19" t="s">
        <v>71</v>
      </c>
      <c r="Z147" s="19"/>
      <c r="AA147" s="19" t="s">
        <v>71</v>
      </c>
      <c r="AB147" s="19"/>
      <c r="AC147" s="19" t="s">
        <v>71</v>
      </c>
      <c r="AD147" s="19"/>
      <c r="AE147" s="19" t="s">
        <v>71</v>
      </c>
      <c r="AF147" s="19"/>
      <c r="AG147" s="19" t="s">
        <v>71</v>
      </c>
      <c r="AH147" s="19"/>
      <c r="AI147" s="19" t="s">
        <v>71</v>
      </c>
      <c r="AJ147" s="19"/>
      <c r="AK147" s="19" t="s">
        <v>71</v>
      </c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39"/>
      <c r="BP147" s="39"/>
      <c r="BQ147" s="39"/>
      <c r="BR147" s="39"/>
      <c r="BS147" s="39"/>
      <c r="BT147" s="39"/>
      <c r="BU147" s="39"/>
      <c r="BV147" s="39"/>
      <c r="BW147" s="19"/>
      <c r="BX147" s="19"/>
      <c r="BY147" s="19"/>
      <c r="BZ147" s="19"/>
      <c r="CA147" s="19"/>
      <c r="CB147" s="19"/>
      <c r="CC147" s="19"/>
      <c r="CD147" s="19"/>
      <c r="CE147" s="19" t="s">
        <v>71</v>
      </c>
      <c r="CF147" s="19"/>
      <c r="CG147" s="19" t="s">
        <v>71</v>
      </c>
      <c r="CH147" s="19"/>
      <c r="CI147" s="19" t="s">
        <v>71</v>
      </c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1" t="e">
        <f>IF(SUM(E147,G147,I147,K147,M147,O147,Q147,S147,U147,W147,Y147,AA147,AC147,AE147,AG147,AI147,AK147,AM147,AO147,AQ147,#REF!)&gt;0,"Sí","No")</f>
        <v>#REF!</v>
      </c>
      <c r="CV147" s="92" t="e">
        <f>IF($CU147="Sí",_xlfn.TEXTJOIN(", ",TRUE,IF(N(E147)&gt;0,E$4,""),IF(N(G147)&gt;0,G$4,""),IF(N(I147)&gt;0,I$4,""),IF(N(K147)&gt;0,K$4,""),IF(N(M147)&gt;0,M$4,""),IF(N(O147)&gt;0,O$4,""),IF(N(Q147)&gt;0,Q$4,""),IF(N(S147)&gt;0,S$4,""),IF(N(U147)&gt;0,U$4,""),IF(N(W147)&gt;0,W$4,""),IF(N(Y147)&gt;0,Y$4,""),IF(N(AA147)&gt;0,AA$4,""),IF(N(AC147)&gt;0,AC$4,""),IF(N(AE147)&gt;0,AE$4,""),IF(N(AG147)&gt;0,AG$4,""),IF(N(AI147)&gt;0,AI$4,""),IF(N(AK147)&gt;0,AK$4,""),IF(N(AM147)&gt;0,AM$4,""),IF(N(AO147)&gt;0,AO$4,""),IF(N(AQ147)&gt;0,AQ$4,""),IF(N(#REF!)&gt;0,#REF!,"")),"")</f>
        <v>#REF!</v>
      </c>
      <c r="CW147" s="11"/>
      <c r="CX147" s="11" t="e">
        <f t="shared" si="9"/>
        <v>#REF!</v>
      </c>
      <c r="CY147" s="12"/>
      <c r="CZ147" s="68"/>
    </row>
    <row r="148" spans="1:104" ht="18" customHeight="1" x14ac:dyDescent="0.3">
      <c r="A148" s="150"/>
      <c r="B148" s="78" t="s">
        <v>98</v>
      </c>
      <c r="C148" s="12">
        <v>46166</v>
      </c>
      <c r="D148" s="20">
        <f t="shared" si="8"/>
        <v>0</v>
      </c>
      <c r="E148" s="20"/>
      <c r="F148" s="20"/>
      <c r="G148" s="20"/>
      <c r="H148" s="20"/>
      <c r="I148" s="20"/>
      <c r="J148" s="20"/>
      <c r="K148" s="20"/>
      <c r="L148" s="20"/>
      <c r="M148" s="19" t="s">
        <v>71</v>
      </c>
      <c r="N148" s="19"/>
      <c r="O148" s="19" t="s">
        <v>71</v>
      </c>
      <c r="P148" s="19"/>
      <c r="Q148" s="19" t="s">
        <v>71</v>
      </c>
      <c r="R148" s="19"/>
      <c r="S148" s="19" t="s">
        <v>71</v>
      </c>
      <c r="T148" s="19"/>
      <c r="U148" s="19" t="s">
        <v>71</v>
      </c>
      <c r="V148" s="19"/>
      <c r="W148" s="19"/>
      <c r="X148" s="19"/>
      <c r="Y148" s="19" t="s">
        <v>71</v>
      </c>
      <c r="Z148" s="19"/>
      <c r="AA148" s="19" t="s">
        <v>71</v>
      </c>
      <c r="AB148" s="19"/>
      <c r="AC148" s="19" t="s">
        <v>71</v>
      </c>
      <c r="AD148" s="19"/>
      <c r="AE148" s="19" t="s">
        <v>71</v>
      </c>
      <c r="AF148" s="19"/>
      <c r="AG148" s="19" t="s">
        <v>71</v>
      </c>
      <c r="AH148" s="19"/>
      <c r="AI148" s="19" t="s">
        <v>71</v>
      </c>
      <c r="AJ148" s="19"/>
      <c r="AK148" s="19" t="s">
        <v>71</v>
      </c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39"/>
      <c r="BP148" s="39"/>
      <c r="BQ148" s="39"/>
      <c r="BR148" s="39"/>
      <c r="BS148" s="39"/>
      <c r="BT148" s="39"/>
      <c r="BU148" s="39"/>
      <c r="BV148" s="39"/>
      <c r="BW148" s="19"/>
      <c r="BX148" s="19"/>
      <c r="BY148" s="19"/>
      <c r="BZ148" s="19"/>
      <c r="CA148" s="19"/>
      <c r="CB148" s="19"/>
      <c r="CC148" s="19"/>
      <c r="CD148" s="19"/>
      <c r="CE148" s="19" t="s">
        <v>71</v>
      </c>
      <c r="CF148" s="19"/>
      <c r="CG148" s="19" t="s">
        <v>71</v>
      </c>
      <c r="CH148" s="19"/>
      <c r="CI148" s="19" t="s">
        <v>71</v>
      </c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1" t="e">
        <f>IF(SUM(E148,G148,I148,K148,M148,O148,Q148,S148,U148,W148,Y148,AA148,AC148,AE148,AG148,AI148,AK148,AM148,AO148,AQ148,#REF!)&gt;0,"Sí","No")</f>
        <v>#REF!</v>
      </c>
      <c r="CV148" s="92" t="e">
        <f>IF($CU148="Sí",_xlfn.TEXTJOIN(", ",TRUE,IF(N(E148)&gt;0,E$4,""),IF(N(G148)&gt;0,G$4,""),IF(N(I148)&gt;0,I$4,""),IF(N(K148)&gt;0,K$4,""),IF(N(M148)&gt;0,M$4,""),IF(N(O148)&gt;0,O$4,""),IF(N(Q148)&gt;0,Q$4,""),IF(N(S148)&gt;0,S$4,""),IF(N(U148)&gt;0,U$4,""),IF(N(W148)&gt;0,W$4,""),IF(N(Y148)&gt;0,Y$4,""),IF(N(AA148)&gt;0,AA$4,""),IF(N(AC148)&gt;0,AC$4,""),IF(N(AE148)&gt;0,AE$4,""),IF(N(AG148)&gt;0,AG$4,""),IF(N(AI148)&gt;0,AI$4,""),IF(N(AK148)&gt;0,AK$4,""),IF(N(AM148)&gt;0,AM$4,""),IF(N(AO148)&gt;0,AO$4,""),IF(N(AQ148)&gt;0,AQ$4,""),IF(N(#REF!)&gt;0,#REF!,"")),"")</f>
        <v>#REF!</v>
      </c>
      <c r="CW148" s="11"/>
      <c r="CX148" s="11" t="e">
        <f t="shared" si="9"/>
        <v>#REF!</v>
      </c>
      <c r="CY148" s="12"/>
      <c r="CZ148" s="68"/>
    </row>
    <row r="149" spans="1:104" ht="18" customHeight="1" x14ac:dyDescent="0.3">
      <c r="A149" s="150"/>
      <c r="B149" s="78" t="s">
        <v>99</v>
      </c>
      <c r="C149" s="12">
        <v>46167</v>
      </c>
      <c r="D149" s="20">
        <f t="shared" si="8"/>
        <v>0</v>
      </c>
      <c r="E149" s="20"/>
      <c r="F149" s="20"/>
      <c r="G149" s="20"/>
      <c r="H149" s="20"/>
      <c r="I149" s="20"/>
      <c r="J149" s="20"/>
      <c r="K149" s="20"/>
      <c r="L149" s="20"/>
      <c r="M149" s="19" t="s">
        <v>71</v>
      </c>
      <c r="N149" s="19"/>
      <c r="O149" s="19" t="s">
        <v>71</v>
      </c>
      <c r="P149" s="19"/>
      <c r="Q149" s="19" t="s">
        <v>71</v>
      </c>
      <c r="R149" s="19"/>
      <c r="S149" s="19"/>
      <c r="T149" s="19"/>
      <c r="U149" s="19"/>
      <c r="V149" s="19"/>
      <c r="W149" s="19"/>
      <c r="X149" s="19"/>
      <c r="Y149" s="19" t="s">
        <v>71</v>
      </c>
      <c r="Z149" s="19"/>
      <c r="AA149" s="19" t="s">
        <v>71</v>
      </c>
      <c r="AB149" s="19"/>
      <c r="AC149" s="19" t="s">
        <v>71</v>
      </c>
      <c r="AD149" s="19"/>
      <c r="AE149" s="19" t="s">
        <v>71</v>
      </c>
      <c r="AF149" s="19"/>
      <c r="AG149" s="19" t="s">
        <v>71</v>
      </c>
      <c r="AH149" s="19"/>
      <c r="AI149" s="19" t="s">
        <v>71</v>
      </c>
      <c r="AJ149" s="19"/>
      <c r="AK149" s="19" t="s">
        <v>71</v>
      </c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10" t="s">
        <v>77</v>
      </c>
      <c r="AX149" s="110" t="s">
        <v>77</v>
      </c>
      <c r="AY149" s="110" t="s">
        <v>77</v>
      </c>
      <c r="AZ149" s="110" t="s">
        <v>77</v>
      </c>
      <c r="BA149" s="110" t="s">
        <v>77</v>
      </c>
      <c r="BB149" s="110" t="s">
        <v>77</v>
      </c>
      <c r="BC149" s="110" t="s">
        <v>77</v>
      </c>
      <c r="BD149" s="110" t="s">
        <v>77</v>
      </c>
      <c r="BE149" s="110" t="s">
        <v>77</v>
      </c>
      <c r="BF149" s="110" t="s">
        <v>77</v>
      </c>
      <c r="BG149" s="19"/>
      <c r="BH149" s="19"/>
      <c r="BI149" s="19"/>
      <c r="BJ149" s="19"/>
      <c r="BK149" s="19"/>
      <c r="BL149" s="19"/>
      <c r="BM149" s="19"/>
      <c r="BN149" s="19"/>
      <c r="BO149" s="39"/>
      <c r="BP149" s="39"/>
      <c r="BQ149" s="39"/>
      <c r="BR149" s="39"/>
      <c r="BS149" s="39"/>
      <c r="BT149" s="39"/>
      <c r="BU149" s="39"/>
      <c r="BV149" s="39"/>
      <c r="BW149" s="19"/>
      <c r="BX149" s="19"/>
      <c r="BY149" s="19"/>
      <c r="BZ149" s="19"/>
      <c r="CA149" s="19"/>
      <c r="CB149" s="19"/>
      <c r="CC149" s="19"/>
      <c r="CD149" s="19"/>
      <c r="CE149" s="19" t="s">
        <v>71</v>
      </c>
      <c r="CF149" s="19"/>
      <c r="CG149" s="19" t="s">
        <v>71</v>
      </c>
      <c r="CH149" s="19"/>
      <c r="CI149" s="19" t="s">
        <v>71</v>
      </c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1" t="e">
        <f>IF(SUM(E149,G149,I149,K149,M149,O149,Q149,S149,U149,W149,Y149,AA149,AC149,AE149,AG149,AI149,AK149,AM149,AO149,AQ149,#REF!)&gt;0,"Sí","No")</f>
        <v>#REF!</v>
      </c>
      <c r="CV149" s="92" t="e">
        <f>IF($CU149="Sí",_xlfn.TEXTJOIN(", ",TRUE,IF(N(E149)&gt;0,E$4,""),IF(N(G149)&gt;0,G$4,""),IF(N(I149)&gt;0,I$4,""),IF(N(K149)&gt;0,K$4,""),IF(N(M149)&gt;0,M$4,""),IF(N(O149)&gt;0,O$4,""),IF(N(Q149)&gt;0,Q$4,""),IF(N(S149)&gt;0,S$4,""),IF(N(U149)&gt;0,U$4,""),IF(N(W149)&gt;0,W$4,""),IF(N(Y149)&gt;0,Y$4,""),IF(N(AA149)&gt;0,AA$4,""),IF(N(AC149)&gt;0,AC$4,""),IF(N(AE149)&gt;0,AE$4,""),IF(N(AG149)&gt;0,AG$4,""),IF(N(AI149)&gt;0,AI$4,""),IF(N(AK149)&gt;0,AK$4,""),IF(N(AM149)&gt;0,AM$4,""),IF(N(AO149)&gt;0,AO$4,""),IF(N(AQ149)&gt;0,AQ$4,""),IF(N(#REF!)&gt;0,#REF!,"")),"")</f>
        <v>#REF!</v>
      </c>
      <c r="CW149" s="11"/>
      <c r="CX149" s="11" t="e">
        <f t="shared" si="9"/>
        <v>#REF!</v>
      </c>
      <c r="CY149" s="12"/>
      <c r="CZ149" s="68"/>
    </row>
    <row r="150" spans="1:104" ht="18" customHeight="1" x14ac:dyDescent="0.3">
      <c r="A150" s="150"/>
      <c r="B150" s="78" t="s">
        <v>100</v>
      </c>
      <c r="C150" s="12">
        <v>46168</v>
      </c>
      <c r="D150" s="20">
        <f t="shared" si="8"/>
        <v>0</v>
      </c>
      <c r="E150" s="20"/>
      <c r="F150" s="20"/>
      <c r="G150" s="20"/>
      <c r="H150" s="20"/>
      <c r="I150" s="20"/>
      <c r="J150" s="20"/>
      <c r="K150" s="20"/>
      <c r="L150" s="20"/>
      <c r="M150" s="19" t="s">
        <v>71</v>
      </c>
      <c r="N150" s="19"/>
      <c r="O150" s="19" t="s">
        <v>71</v>
      </c>
      <c r="P150" s="19"/>
      <c r="Q150" s="19" t="s">
        <v>71</v>
      </c>
      <c r="R150" s="19"/>
      <c r="S150" s="19"/>
      <c r="T150" s="19"/>
      <c r="U150" s="19"/>
      <c r="V150" s="19"/>
      <c r="W150" s="19"/>
      <c r="X150" s="19"/>
      <c r="Y150" s="19" t="s">
        <v>71</v>
      </c>
      <c r="Z150" s="19"/>
      <c r="AA150" s="19" t="s">
        <v>71</v>
      </c>
      <c r="AB150" s="19"/>
      <c r="AC150" s="19" t="s">
        <v>71</v>
      </c>
      <c r="AD150" s="19"/>
      <c r="AE150" s="19" t="s">
        <v>71</v>
      </c>
      <c r="AF150" s="19"/>
      <c r="AG150" s="19" t="s">
        <v>71</v>
      </c>
      <c r="AH150" s="19"/>
      <c r="AI150" s="19" t="s">
        <v>71</v>
      </c>
      <c r="AJ150" s="19"/>
      <c r="AK150" s="19" t="s">
        <v>71</v>
      </c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39"/>
      <c r="BP150" s="39"/>
      <c r="BQ150" s="39"/>
      <c r="BR150" s="39"/>
      <c r="BS150" s="39"/>
      <c r="BT150" s="39"/>
      <c r="BU150" s="39"/>
      <c r="BV150" s="39"/>
      <c r="BW150" s="19"/>
      <c r="BX150" s="19"/>
      <c r="BY150" s="19"/>
      <c r="BZ150" s="19"/>
      <c r="CA150" s="19"/>
      <c r="CB150" s="19"/>
      <c r="CC150" s="19"/>
      <c r="CD150" s="19"/>
      <c r="CE150" s="19" t="s">
        <v>71</v>
      </c>
      <c r="CF150" s="19"/>
      <c r="CG150" s="19" t="s">
        <v>71</v>
      </c>
      <c r="CH150" s="19"/>
      <c r="CI150" s="19" t="s">
        <v>71</v>
      </c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1" t="e">
        <f>IF(SUM(E150,G150,I150,K150,M150,O150,Q150,S150,U150,W150,Y150,AA150,AC150,AE150,AG150,AI150,AK150,AM150,AO150,AQ150,#REF!)&gt;0,"Sí","No")</f>
        <v>#REF!</v>
      </c>
      <c r="CV150" s="92" t="e">
        <f>IF($CU150="Sí",_xlfn.TEXTJOIN(", ",TRUE,IF(N(E150)&gt;0,E$4,""),IF(N(G150)&gt;0,G$4,""),IF(N(I150)&gt;0,I$4,""),IF(N(K150)&gt;0,K$4,""),IF(N(M150)&gt;0,M$4,""),IF(N(O150)&gt;0,O$4,""),IF(N(Q150)&gt;0,Q$4,""),IF(N(S150)&gt;0,S$4,""),IF(N(U150)&gt;0,U$4,""),IF(N(W150)&gt;0,W$4,""),IF(N(Y150)&gt;0,Y$4,""),IF(N(AA150)&gt;0,AA$4,""),IF(N(AC150)&gt;0,AC$4,""),IF(N(AE150)&gt;0,AE$4,""),IF(N(AG150)&gt;0,AG$4,""),IF(N(AI150)&gt;0,AI$4,""),IF(N(AK150)&gt;0,AK$4,""),IF(N(AM150)&gt;0,AM$4,""),IF(N(AO150)&gt;0,AO$4,""),IF(N(AQ150)&gt;0,AQ$4,""),IF(N(#REF!)&gt;0,#REF!,"")),"")</f>
        <v>#REF!</v>
      </c>
      <c r="CW150" s="11"/>
      <c r="CX150" s="11" t="e">
        <f t="shared" si="9"/>
        <v>#REF!</v>
      </c>
      <c r="CY150" s="12"/>
      <c r="CZ150" s="68"/>
    </row>
    <row r="151" spans="1:104" ht="18" customHeight="1" x14ac:dyDescent="0.3">
      <c r="A151" s="150"/>
      <c r="B151" s="78" t="s">
        <v>101</v>
      </c>
      <c r="C151" s="12">
        <v>46169</v>
      </c>
      <c r="D151" s="20">
        <f t="shared" si="8"/>
        <v>0</v>
      </c>
      <c r="E151" s="20"/>
      <c r="F151" s="20"/>
      <c r="G151" s="20"/>
      <c r="H151" s="20"/>
      <c r="I151" s="20"/>
      <c r="J151" s="20"/>
      <c r="K151" s="20"/>
      <c r="L151" s="20"/>
      <c r="M151" s="19" t="s">
        <v>71</v>
      </c>
      <c r="N151" s="19"/>
      <c r="O151" s="19" t="s">
        <v>71</v>
      </c>
      <c r="P151" s="19"/>
      <c r="Q151" s="19" t="s">
        <v>71</v>
      </c>
      <c r="R151" s="19"/>
      <c r="S151" s="19"/>
      <c r="T151" s="19"/>
      <c r="U151" s="19"/>
      <c r="V151" s="19"/>
      <c r="W151" s="19"/>
      <c r="X151" s="19"/>
      <c r="Y151" s="19" t="s">
        <v>71</v>
      </c>
      <c r="Z151" s="19"/>
      <c r="AA151" s="19" t="s">
        <v>71</v>
      </c>
      <c r="AB151" s="19"/>
      <c r="AC151" s="19" t="s">
        <v>71</v>
      </c>
      <c r="AD151" s="19"/>
      <c r="AE151" s="19" t="s">
        <v>71</v>
      </c>
      <c r="AF151" s="19"/>
      <c r="AG151" s="19" t="s">
        <v>71</v>
      </c>
      <c r="AH151" s="19"/>
      <c r="AI151" s="19" t="s">
        <v>71</v>
      </c>
      <c r="AJ151" s="19"/>
      <c r="AK151" s="19" t="s">
        <v>71</v>
      </c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39"/>
      <c r="BP151" s="39"/>
      <c r="BQ151" s="39"/>
      <c r="BR151" s="39"/>
      <c r="BS151" s="39"/>
      <c r="BT151" s="39"/>
      <c r="BU151" s="39"/>
      <c r="BV151" s="39"/>
      <c r="BW151" s="19"/>
      <c r="BX151" s="19"/>
      <c r="BY151" s="19"/>
      <c r="BZ151" s="19"/>
      <c r="CA151" s="19"/>
      <c r="CB151" s="19"/>
      <c r="CC151" s="19"/>
      <c r="CD151" s="19"/>
      <c r="CE151" s="19" t="s">
        <v>71</v>
      </c>
      <c r="CF151" s="19"/>
      <c r="CG151" s="19" t="s">
        <v>71</v>
      </c>
      <c r="CH151" s="19"/>
      <c r="CI151" s="19" t="s">
        <v>71</v>
      </c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1" t="e">
        <f>IF(SUM(E151,G151,I151,K151,M151,O151,Q151,S151,U151,W151,Y151,AA151,AC151,AE151,AG151,AI151,AK151,AM151,AO151,AQ151,#REF!)&gt;0,"Sí","No")</f>
        <v>#REF!</v>
      </c>
      <c r="CV151" s="92" t="e">
        <f>IF($CU151="Sí",_xlfn.TEXTJOIN(", ",TRUE,IF(N(E151)&gt;0,E$4,""),IF(N(G151)&gt;0,G$4,""),IF(N(I151)&gt;0,I$4,""),IF(N(K151)&gt;0,K$4,""),IF(N(M151)&gt;0,M$4,""),IF(N(O151)&gt;0,O$4,""),IF(N(Q151)&gt;0,Q$4,""),IF(N(S151)&gt;0,S$4,""),IF(N(U151)&gt;0,U$4,""),IF(N(W151)&gt;0,W$4,""),IF(N(Y151)&gt;0,Y$4,""),IF(N(AA151)&gt;0,AA$4,""),IF(N(AC151)&gt;0,AC$4,""),IF(N(AE151)&gt;0,AE$4,""),IF(N(AG151)&gt;0,AG$4,""),IF(N(AI151)&gt;0,AI$4,""),IF(N(AK151)&gt;0,AK$4,""),IF(N(AM151)&gt;0,AM$4,""),IF(N(AO151)&gt;0,AO$4,""),IF(N(AQ151)&gt;0,AQ$4,""),IF(N(#REF!)&gt;0,#REF!,"")),"")</f>
        <v>#REF!</v>
      </c>
      <c r="CW151" s="11"/>
      <c r="CX151" s="11" t="e">
        <f t="shared" si="9"/>
        <v>#REF!</v>
      </c>
      <c r="CY151" s="12"/>
      <c r="CZ151" s="68"/>
    </row>
    <row r="152" spans="1:104" ht="18" customHeight="1" x14ac:dyDescent="0.3">
      <c r="A152" s="150"/>
      <c r="B152" s="78" t="s">
        <v>94</v>
      </c>
      <c r="C152" s="12">
        <v>46170</v>
      </c>
      <c r="D152" s="20">
        <f t="shared" si="8"/>
        <v>0</v>
      </c>
      <c r="E152" s="20"/>
      <c r="F152" s="20"/>
      <c r="G152" s="20"/>
      <c r="H152" s="20"/>
      <c r="I152" s="20"/>
      <c r="J152" s="20"/>
      <c r="K152" s="20"/>
      <c r="L152" s="20"/>
      <c r="M152" s="19" t="s">
        <v>71</v>
      </c>
      <c r="N152" s="19"/>
      <c r="O152" s="19" t="s">
        <v>71</v>
      </c>
      <c r="P152" s="19"/>
      <c r="Q152" s="19" t="s">
        <v>71</v>
      </c>
      <c r="R152" s="19"/>
      <c r="S152" s="19"/>
      <c r="T152" s="19"/>
      <c r="U152" s="19"/>
      <c r="V152" s="19"/>
      <c r="W152" s="19"/>
      <c r="X152" s="19"/>
      <c r="Y152" s="19" t="s">
        <v>71</v>
      </c>
      <c r="Z152" s="19"/>
      <c r="AA152" s="19" t="s">
        <v>71</v>
      </c>
      <c r="AB152" s="19"/>
      <c r="AC152" s="19" t="s">
        <v>71</v>
      </c>
      <c r="AD152" s="19"/>
      <c r="AE152" s="19" t="s">
        <v>71</v>
      </c>
      <c r="AF152" s="19"/>
      <c r="AG152" s="19" t="s">
        <v>71</v>
      </c>
      <c r="AH152" s="19"/>
      <c r="AI152" s="19" t="s">
        <v>71</v>
      </c>
      <c r="AJ152" s="19"/>
      <c r="AK152" s="19" t="s">
        <v>71</v>
      </c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39"/>
      <c r="BP152" s="39"/>
      <c r="BQ152" s="39"/>
      <c r="BR152" s="39"/>
      <c r="BS152" s="39"/>
      <c r="BT152" s="39"/>
      <c r="BU152" s="39"/>
      <c r="BV152" s="3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1" t="e">
        <f>IF(SUM(E152,G152,I152,K152,M152,O152,Q152,S152,U152,W152,Y152,AA152,AC152,AE152,AG152,AI152,AK152,AM152,AO152,AQ152,#REF!)&gt;0,"Sí","No")</f>
        <v>#REF!</v>
      </c>
      <c r="CV152" s="92" t="e">
        <f>IF($CU152="Sí",_xlfn.TEXTJOIN(", ",TRUE,IF(N(E152)&gt;0,E$4,""),IF(N(G152)&gt;0,G$4,""),IF(N(I152)&gt;0,I$4,""),IF(N(K152)&gt;0,K$4,""),IF(N(M152)&gt;0,M$4,""),IF(N(O152)&gt;0,O$4,""),IF(N(Q152)&gt;0,Q$4,""),IF(N(S152)&gt;0,S$4,""),IF(N(U152)&gt;0,U$4,""),IF(N(W152)&gt;0,W$4,""),IF(N(Y152)&gt;0,Y$4,""),IF(N(AA152)&gt;0,AA$4,""),IF(N(AC152)&gt;0,AC$4,""),IF(N(AE152)&gt;0,AE$4,""),IF(N(AG152)&gt;0,AG$4,""),IF(N(AI152)&gt;0,AI$4,""),IF(N(AK152)&gt;0,AK$4,""),IF(N(AM152)&gt;0,AM$4,""),IF(N(AO152)&gt;0,AO$4,""),IF(N(AQ152)&gt;0,AQ$4,""),IF(N(#REF!)&gt;0,#REF!,"")),"")</f>
        <v>#REF!</v>
      </c>
      <c r="CW152" s="11"/>
      <c r="CX152" s="11" t="e">
        <f t="shared" si="9"/>
        <v>#REF!</v>
      </c>
      <c r="CY152" s="12"/>
      <c r="CZ152" s="68"/>
    </row>
    <row r="153" spans="1:104" ht="18" customHeight="1" x14ac:dyDescent="0.3">
      <c r="A153" s="150"/>
      <c r="B153" s="78" t="s">
        <v>95</v>
      </c>
      <c r="C153" s="12">
        <v>46171</v>
      </c>
      <c r="D153" s="20">
        <f t="shared" si="8"/>
        <v>0</v>
      </c>
      <c r="E153" s="20"/>
      <c r="F153" s="20"/>
      <c r="G153" s="20"/>
      <c r="H153" s="20"/>
      <c r="I153" s="20"/>
      <c r="J153" s="20"/>
      <c r="K153" s="20"/>
      <c r="L153" s="20"/>
      <c r="M153" s="19" t="s">
        <v>71</v>
      </c>
      <c r="N153" s="19"/>
      <c r="O153" s="19" t="s">
        <v>71</v>
      </c>
      <c r="P153" s="19"/>
      <c r="Q153" s="19" t="s">
        <v>71</v>
      </c>
      <c r="R153" s="19"/>
      <c r="S153" s="19"/>
      <c r="T153" s="19"/>
      <c r="U153" s="19"/>
      <c r="V153" s="19"/>
      <c r="W153" s="19"/>
      <c r="X153" s="19"/>
      <c r="Y153" s="19" t="s">
        <v>71</v>
      </c>
      <c r="Z153" s="19"/>
      <c r="AA153" s="19" t="s">
        <v>71</v>
      </c>
      <c r="AB153" s="19"/>
      <c r="AC153" s="19" t="s">
        <v>71</v>
      </c>
      <c r="AD153" s="19"/>
      <c r="AE153" s="19" t="s">
        <v>71</v>
      </c>
      <c r="AF153" s="19"/>
      <c r="AG153" s="19" t="s">
        <v>71</v>
      </c>
      <c r="AH153" s="19"/>
      <c r="AI153" s="19" t="s">
        <v>71</v>
      </c>
      <c r="AJ153" s="19"/>
      <c r="AK153" s="19" t="s">
        <v>71</v>
      </c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39"/>
      <c r="BP153" s="39"/>
      <c r="BQ153" s="39"/>
      <c r="BR153" s="39"/>
      <c r="BS153" s="39"/>
      <c r="BT153" s="39"/>
      <c r="BU153" s="39"/>
      <c r="BV153" s="3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1" t="e">
        <f>IF(SUM(E153,G153,I153,K153,M153,O153,Q153,S153,U153,W153,Y153,AA153,AC153,AE153,AG153,AI153,AK153,AM153,AO153,AQ153,#REF!)&gt;0,"Sí","No")</f>
        <v>#REF!</v>
      </c>
      <c r="CV153" s="92" t="e">
        <f>IF($CU153="Sí",_xlfn.TEXTJOIN(", ",TRUE,IF(N(E153)&gt;0,E$4,""),IF(N(G153)&gt;0,G$4,""),IF(N(I153)&gt;0,I$4,""),IF(N(K153)&gt;0,K$4,""),IF(N(M153)&gt;0,M$4,""),IF(N(O153)&gt;0,O$4,""),IF(N(Q153)&gt;0,Q$4,""),IF(N(S153)&gt;0,S$4,""),IF(N(U153)&gt;0,U$4,""),IF(N(W153)&gt;0,W$4,""),IF(N(Y153)&gt;0,Y$4,""),IF(N(AA153)&gt;0,AA$4,""),IF(N(AC153)&gt;0,AC$4,""),IF(N(AE153)&gt;0,AE$4,""),IF(N(AG153)&gt;0,AG$4,""),IF(N(AI153)&gt;0,AI$4,""),IF(N(AK153)&gt;0,AK$4,""),IF(N(AM153)&gt;0,AM$4,""),IF(N(AO153)&gt;0,AO$4,""),IF(N(AQ153)&gt;0,AQ$4,""),IF(N(#REF!)&gt;0,#REF!,"")),"")</f>
        <v>#REF!</v>
      </c>
      <c r="CW153" s="11"/>
      <c r="CX153" s="11" t="e">
        <f t="shared" si="9"/>
        <v>#REF!</v>
      </c>
      <c r="CY153" s="12"/>
      <c r="CZ153" s="68"/>
    </row>
    <row r="154" spans="1:104" ht="18" customHeight="1" x14ac:dyDescent="0.3">
      <c r="A154" s="150"/>
      <c r="B154" s="78" t="s">
        <v>97</v>
      </c>
      <c r="C154" s="12">
        <v>46172</v>
      </c>
      <c r="D154" s="20">
        <f t="shared" si="8"/>
        <v>0</v>
      </c>
      <c r="E154" s="20"/>
      <c r="F154" s="20"/>
      <c r="G154" s="20"/>
      <c r="H154" s="20"/>
      <c r="I154" s="20"/>
      <c r="J154" s="20"/>
      <c r="K154" s="20"/>
      <c r="L154" s="20"/>
      <c r="M154" s="19" t="s">
        <v>71</v>
      </c>
      <c r="N154" s="19"/>
      <c r="O154" s="19" t="s">
        <v>71</v>
      </c>
      <c r="P154" s="19"/>
      <c r="Q154" s="19" t="s">
        <v>71</v>
      </c>
      <c r="R154" s="19"/>
      <c r="S154" s="19"/>
      <c r="T154" s="19"/>
      <c r="U154" s="19"/>
      <c r="V154" s="19"/>
      <c r="W154" s="19"/>
      <c r="X154" s="19"/>
      <c r="Y154" s="19" t="s">
        <v>71</v>
      </c>
      <c r="Z154" s="19"/>
      <c r="AA154" s="19" t="s">
        <v>71</v>
      </c>
      <c r="AB154" s="19"/>
      <c r="AC154" s="19" t="s">
        <v>71</v>
      </c>
      <c r="AD154" s="19"/>
      <c r="AE154" s="19" t="s">
        <v>71</v>
      </c>
      <c r="AF154" s="19"/>
      <c r="AG154" s="19" t="s">
        <v>71</v>
      </c>
      <c r="AH154" s="19"/>
      <c r="AI154" s="19" t="s">
        <v>71</v>
      </c>
      <c r="AJ154" s="19"/>
      <c r="AK154" s="19" t="s">
        <v>71</v>
      </c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39"/>
      <c r="BP154" s="39"/>
      <c r="BQ154" s="39"/>
      <c r="BR154" s="39"/>
      <c r="BS154" s="39"/>
      <c r="BT154" s="39"/>
      <c r="BU154" s="39"/>
      <c r="BV154" s="3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1" t="e">
        <f>IF(SUM(E154,G154,I154,K154,M154,O154,Q154,S154,U154,W154,Y154,AA154,AC154,AE154,AG154,AI154,AK154,AM154,AO154,AQ154,#REF!)&gt;0,"Sí","No")</f>
        <v>#REF!</v>
      </c>
      <c r="CV154" s="92" t="e">
        <f>IF($CU154="Sí",_xlfn.TEXTJOIN(", ",TRUE,IF(N(E154)&gt;0,E$4,""),IF(N(G154)&gt;0,G$4,""),IF(N(I154)&gt;0,I$4,""),IF(N(K154)&gt;0,K$4,""),IF(N(M154)&gt;0,M$4,""),IF(N(O154)&gt;0,O$4,""),IF(N(Q154)&gt;0,Q$4,""),IF(N(S154)&gt;0,S$4,""),IF(N(U154)&gt;0,U$4,""),IF(N(W154)&gt;0,W$4,""),IF(N(Y154)&gt;0,Y$4,""),IF(N(AA154)&gt;0,AA$4,""),IF(N(AC154)&gt;0,AC$4,""),IF(N(AE154)&gt;0,AE$4,""),IF(N(AG154)&gt;0,AG$4,""),IF(N(AI154)&gt;0,AI$4,""),IF(N(AK154)&gt;0,AK$4,""),IF(N(AM154)&gt;0,AM$4,""),IF(N(AO154)&gt;0,AO$4,""),IF(N(AQ154)&gt;0,AQ$4,""),IF(N(#REF!)&gt;0,#REF!,"")),"")</f>
        <v>#REF!</v>
      </c>
      <c r="CW154" s="11"/>
      <c r="CX154" s="11" t="e">
        <f t="shared" si="9"/>
        <v>#REF!</v>
      </c>
      <c r="CY154" s="12"/>
      <c r="CZ154" s="68"/>
    </row>
    <row r="155" spans="1:104" ht="30.6" customHeight="1" thickBot="1" x14ac:dyDescent="0.35">
      <c r="A155" s="151"/>
      <c r="B155" s="53" t="s">
        <v>98</v>
      </c>
      <c r="C155" s="30">
        <v>46173</v>
      </c>
      <c r="D155" s="31">
        <f t="shared" si="8"/>
        <v>0</v>
      </c>
      <c r="E155" s="31"/>
      <c r="F155" s="31"/>
      <c r="G155" s="31"/>
      <c r="H155" s="31"/>
      <c r="I155" s="31"/>
      <c r="J155" s="31"/>
      <c r="K155" s="31"/>
      <c r="L155" s="31"/>
      <c r="M155" s="32" t="s">
        <v>71</v>
      </c>
      <c r="N155" s="32"/>
      <c r="O155" s="32" t="s">
        <v>71</v>
      </c>
      <c r="P155" s="32"/>
      <c r="Q155" s="32" t="s">
        <v>71</v>
      </c>
      <c r="R155" s="32"/>
      <c r="S155" s="32"/>
      <c r="T155" s="32"/>
      <c r="U155" s="32"/>
      <c r="V155" s="32"/>
      <c r="W155" s="32"/>
      <c r="X155" s="32"/>
      <c r="Y155" s="32" t="s">
        <v>71</v>
      </c>
      <c r="Z155" s="32"/>
      <c r="AA155" s="54" t="s">
        <v>71</v>
      </c>
      <c r="AB155" s="54"/>
      <c r="AC155" s="54" t="s">
        <v>71</v>
      </c>
      <c r="AD155" s="54"/>
      <c r="AE155" s="54" t="s">
        <v>71</v>
      </c>
      <c r="AF155" s="54"/>
      <c r="AG155" s="54" t="s">
        <v>71</v>
      </c>
      <c r="AH155" s="54"/>
      <c r="AI155" s="54" t="s">
        <v>71</v>
      </c>
      <c r="AJ155" s="54"/>
      <c r="AK155" s="54" t="s">
        <v>71</v>
      </c>
      <c r="AL155" s="54"/>
      <c r="AM155" s="54"/>
      <c r="AN155" s="54"/>
      <c r="AO155" s="54"/>
      <c r="AP155" s="54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40"/>
      <c r="BP155" s="40"/>
      <c r="BQ155" s="40"/>
      <c r="BR155" s="40"/>
      <c r="BS155" s="40"/>
      <c r="BT155" s="40"/>
      <c r="BU155" s="40"/>
      <c r="BV155" s="40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70" t="e">
        <f>IF(SUM(E155,G155,I155,K155,M155,O155,Q155,S155,U155,W155,Y155,AA155,AC155,AE155,AG155,AI155,AK155,AM155,AO155,AQ155,#REF!)&gt;0,"Sí","No")</f>
        <v>#REF!</v>
      </c>
      <c r="CV155" s="108" t="e">
        <f>IF($CU155="Sí",_xlfn.TEXTJOIN(", ",TRUE,IF(N(E155)&gt;0,E$4,""),IF(N(G155)&gt;0,G$4,""),IF(N(I155)&gt;0,I$4,""),IF(N(K155)&gt;0,K$4,""),IF(N(M155)&gt;0,M$4,""),IF(N(O155)&gt;0,O$4,""),IF(N(Q155)&gt;0,Q$4,""),IF(N(S155)&gt;0,S$4,""),IF(N(U155)&gt;0,U$4,""),IF(N(W155)&gt;0,W$4,""),IF(N(Y155)&gt;0,Y$4,""),IF(N(AA155)&gt;0,AA$4,""),IF(N(AC155)&gt;0,AC$4,""),IF(N(AE155)&gt;0,AE$4,""),IF(N(AG155)&gt;0,AG$4,""),IF(N(AI155)&gt;0,AI$4,""),IF(N(AK155)&gt;0,AK$4,""),IF(N(AM155)&gt;0,AM$4,""),IF(N(AO155)&gt;0,AO$4,""),IF(N(AQ155)&gt;0,AQ$4,""),IF(N(#REF!)&gt;0,#REF!,"")),"")</f>
        <v>#REF!</v>
      </c>
      <c r="CW155" s="70"/>
      <c r="CX155" s="70" t="e">
        <f t="shared" si="9"/>
        <v>#REF!</v>
      </c>
      <c r="CY155" s="30">
        <v>46181</v>
      </c>
      <c r="CZ155" s="73"/>
    </row>
    <row r="156" spans="1:104" ht="18" customHeight="1" x14ac:dyDescent="0.3">
      <c r="A156" s="148" t="s">
        <v>61</v>
      </c>
      <c r="B156" s="42"/>
      <c r="C156" s="15">
        <v>46174</v>
      </c>
      <c r="D156" s="27">
        <f t="shared" si="8"/>
        <v>0</v>
      </c>
      <c r="E156" s="27"/>
      <c r="F156" s="27"/>
      <c r="G156" s="27"/>
      <c r="H156" s="27"/>
      <c r="I156" s="27"/>
      <c r="J156" s="27"/>
      <c r="K156" s="27"/>
      <c r="L156" s="27"/>
      <c r="M156" s="18" t="s">
        <v>71</v>
      </c>
      <c r="N156" s="18"/>
      <c r="O156" s="18" t="s">
        <v>71</v>
      </c>
      <c r="P156" s="18"/>
      <c r="Q156" s="18" t="s">
        <v>71</v>
      </c>
      <c r="R156" s="18"/>
      <c r="S156" s="18"/>
      <c r="T156" s="18"/>
      <c r="U156" s="18"/>
      <c r="V156" s="18"/>
      <c r="W156" s="18"/>
      <c r="X156" s="18"/>
      <c r="Y156" s="18" t="s">
        <v>71</v>
      </c>
      <c r="Z156" s="18"/>
      <c r="AA156" s="18" t="s">
        <v>71</v>
      </c>
      <c r="AB156" s="18"/>
      <c r="AC156" s="18" t="s">
        <v>71</v>
      </c>
      <c r="AD156" s="18"/>
      <c r="AE156" s="18" t="s">
        <v>71</v>
      </c>
      <c r="AF156" s="18"/>
      <c r="AG156" s="18" t="s">
        <v>71</v>
      </c>
      <c r="AH156" s="18"/>
      <c r="AI156" s="18" t="s">
        <v>71</v>
      </c>
      <c r="AJ156" s="18"/>
      <c r="AK156" s="18" t="s">
        <v>71</v>
      </c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38"/>
      <c r="BP156" s="38"/>
      <c r="BQ156" s="38"/>
      <c r="BR156" s="38"/>
      <c r="BS156" s="38"/>
      <c r="BT156" s="38"/>
      <c r="BU156" s="38"/>
      <c r="BV156" s="3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4" t="e">
        <f>IF(SUM(E156,G156,I156,K156,M156,O156,Q156,S156,U156,W156,Y156,AA156,AC156,AE156,AG156,AI156,AK156,AM156,AO156,AQ156,#REF!)&gt;0,"Sí","No")</f>
        <v>#REF!</v>
      </c>
      <c r="CV156" s="107" t="e">
        <f>IF($CU156="Sí",_xlfn.TEXTJOIN(", ",TRUE,IF(N(E156)&gt;0,E$4,""),IF(N(G156)&gt;0,G$4,""),IF(N(I156)&gt;0,I$4,""),IF(N(K156)&gt;0,K$4,""),IF(N(M156)&gt;0,M$4,""),IF(N(O156)&gt;0,O$4,""),IF(N(Q156)&gt;0,Q$4,""),IF(N(S156)&gt;0,S$4,""),IF(N(U156)&gt;0,U$4,""),IF(N(W156)&gt;0,W$4,""),IF(N(Y156)&gt;0,Y$4,""),IF(N(AA156)&gt;0,AA$4,""),IF(N(AC156)&gt;0,AC$4,""),IF(N(AE156)&gt;0,AE$4,""),IF(N(AG156)&gt;0,AG$4,""),IF(N(AI156)&gt;0,AI$4,""),IF(N(AK156)&gt;0,AK$4,""),IF(N(AM156)&gt;0,AM$4,""),IF(N(AO156)&gt;0,AO$4,""),IF(N(AQ156)&gt;0,AQ$4,""),IF(N(#REF!)&gt;0,#REF!,"")),"")</f>
        <v>#REF!</v>
      </c>
      <c r="CW156" s="14"/>
      <c r="CX156" s="14" t="e">
        <f t="shared" si="9"/>
        <v>#REF!</v>
      </c>
      <c r="CY156" s="15"/>
      <c r="CZ156" s="66"/>
    </row>
    <row r="157" spans="1:104" ht="35.4" customHeight="1" x14ac:dyDescent="0.3">
      <c r="A157" s="150"/>
      <c r="B157" s="43"/>
      <c r="C157" s="12">
        <v>46175</v>
      </c>
      <c r="D157" s="20">
        <f t="shared" si="8"/>
        <v>96</v>
      </c>
      <c r="E157" s="20">
        <v>12</v>
      </c>
      <c r="F157" s="20">
        <v>24</v>
      </c>
      <c r="G157" s="20">
        <v>12</v>
      </c>
      <c r="H157" s="20">
        <v>24</v>
      </c>
      <c r="I157" s="20">
        <v>12</v>
      </c>
      <c r="J157" s="20">
        <v>24</v>
      </c>
      <c r="K157" s="20">
        <v>12</v>
      </c>
      <c r="L157" s="20">
        <v>24</v>
      </c>
      <c r="M157" s="19" t="s">
        <v>71</v>
      </c>
      <c r="N157" s="19"/>
      <c r="O157" s="19" t="s">
        <v>71</v>
      </c>
      <c r="P157" s="19"/>
      <c r="Q157" s="19" t="s">
        <v>71</v>
      </c>
      <c r="R157" s="19"/>
      <c r="S157" s="19"/>
      <c r="T157" s="19"/>
      <c r="U157" s="19"/>
      <c r="V157" s="19"/>
      <c r="W157" s="19"/>
      <c r="X157" s="19"/>
      <c r="Y157" s="19" t="s">
        <v>71</v>
      </c>
      <c r="Z157" s="19"/>
      <c r="AA157" s="19" t="s">
        <v>71</v>
      </c>
      <c r="AB157" s="19"/>
      <c r="AC157" s="19" t="s">
        <v>71</v>
      </c>
      <c r="AD157" s="19"/>
      <c r="AE157" s="19" t="s">
        <v>71</v>
      </c>
      <c r="AF157" s="19"/>
      <c r="AG157" s="19" t="s">
        <v>71</v>
      </c>
      <c r="AH157" s="19"/>
      <c r="AI157" s="19" t="s">
        <v>71</v>
      </c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>
        <v>10</v>
      </c>
      <c r="BH157" s="19">
        <v>20</v>
      </c>
      <c r="BI157" s="19">
        <v>10</v>
      </c>
      <c r="BJ157" s="19">
        <v>20</v>
      </c>
      <c r="BK157" s="19">
        <v>10</v>
      </c>
      <c r="BL157" s="19">
        <v>20</v>
      </c>
      <c r="BM157" s="19"/>
      <c r="BN157" s="19"/>
      <c r="BO157" s="39"/>
      <c r="BP157" s="39"/>
      <c r="BQ157" s="39"/>
      <c r="BR157" s="39"/>
      <c r="BS157" s="39"/>
      <c r="BT157" s="39"/>
      <c r="BU157" s="39"/>
      <c r="BV157" s="3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1" t="e">
        <f>IF(SUM(E157,G157,I157,K157,M157,O157,Q157,S157,U157,W157,Y157,AA157,AC157,AE157,AG157,AI157,AK157,AM157,AO157,AQ157,#REF!)&gt;0,"Sí","No")</f>
        <v>#REF!</v>
      </c>
      <c r="CV157" s="109" t="e">
        <f>IF($CU157="Sí",_xlfn.TEXTJOIN(", ",TRUE,IF(N(E157)&gt;0,E$4,""),IF(N(G157)&gt;0,G$4,""),IF(N(I157)&gt;0,I$4,""),IF(N(K157)&gt;0,K$4,""),IF(N(M157)&gt;0,M$4,""),IF(N(O157)&gt;0,O$4,""),IF(N(Q157)&gt;0,Q$4,""),IF(N(S157)&gt;0,S$4,""),IF(N(U157)&gt;0,U$4,""),IF(N(W157)&gt;0,W$4,""),IF(N(Y157)&gt;0,Y$4,""),IF(N(AA157)&gt;0,AA$4,""),IF(N(AC157)&gt;0,AC$4,""),IF(N(AE157)&gt;0,AE$4,""),IF(N(AG157)&gt;0,AG$4,""),IF(N(AI157)&gt;0,AI$4,""),IF(N(AK157)&gt;0,AK$4,""),IF(N(AM157)&gt;0,AM$4,""),IF(N(AO157)&gt;0,AO$4,""),IF(N(AQ157)&gt;0,AQ$4,""),IF(N(#REF!)&gt;0,#REF!,"")),"")</f>
        <v>#REF!</v>
      </c>
      <c r="CW157" s="11"/>
      <c r="CX157" s="11" t="e">
        <f t="shared" si="9"/>
        <v>#REF!</v>
      </c>
      <c r="CY157" s="56" t="s">
        <v>111</v>
      </c>
      <c r="CZ157" s="68"/>
    </row>
    <row r="158" spans="1:104" ht="18" customHeight="1" x14ac:dyDescent="0.3">
      <c r="A158" s="150"/>
      <c r="B158" s="43"/>
      <c r="C158" s="12">
        <v>46176</v>
      </c>
      <c r="D158" s="20">
        <f t="shared" si="8"/>
        <v>0</v>
      </c>
      <c r="E158" s="20" t="str">
        <f>IF(MOD(A158-$C$30,42)=0,8,"")</f>
        <v/>
      </c>
      <c r="F158" s="20"/>
      <c r="G158" s="20" t="str">
        <f>IF(MOD(C158-$C$30,42)=0,8,"")</f>
        <v/>
      </c>
      <c r="H158" s="20"/>
      <c r="I158" s="20"/>
      <c r="J158" s="20"/>
      <c r="K158" s="20"/>
      <c r="L158" s="20"/>
      <c r="M158" s="19" t="s">
        <v>71</v>
      </c>
      <c r="N158" s="19"/>
      <c r="O158" s="19" t="s">
        <v>71</v>
      </c>
      <c r="P158" s="19"/>
      <c r="Q158" s="19" t="s">
        <v>71</v>
      </c>
      <c r="R158" s="19"/>
      <c r="S158" s="19"/>
      <c r="T158" s="19"/>
      <c r="U158" s="19"/>
      <c r="V158" s="19"/>
      <c r="W158" s="19"/>
      <c r="X158" s="19"/>
      <c r="Y158" s="19" t="s">
        <v>71</v>
      </c>
      <c r="Z158" s="19"/>
      <c r="AA158" s="19" t="s">
        <v>71</v>
      </c>
      <c r="AB158" s="19"/>
      <c r="AC158" s="19" t="s">
        <v>71</v>
      </c>
      <c r="AD158" s="19"/>
      <c r="AE158" s="19" t="s">
        <v>71</v>
      </c>
      <c r="AF158" s="19"/>
      <c r="AG158" s="19" t="s">
        <v>71</v>
      </c>
      <c r="AH158" s="19"/>
      <c r="AI158" s="19" t="s">
        <v>71</v>
      </c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39"/>
      <c r="BP158" s="39"/>
      <c r="BQ158" s="39"/>
      <c r="BR158" s="39"/>
      <c r="BS158" s="39"/>
      <c r="BT158" s="39"/>
      <c r="BU158" s="39"/>
      <c r="BV158" s="3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1" t="e">
        <f>IF(SUM(E158,G158,I158,K158,M158,O158,Q158,S158,U158,W158,Y158,AA158,AC158,AE158,AG158,AI158,AK158,AM158,AO158,AQ158,#REF!)&gt;0,"Sí","No")</f>
        <v>#REF!</v>
      </c>
      <c r="CV158" s="92" t="e">
        <f>IF($CU158="Sí",_xlfn.TEXTJOIN(", ",TRUE,IF(N(E158)&gt;0,E$4,""),IF(N(G158)&gt;0,G$4,""),IF(N(I158)&gt;0,I$4,""),IF(N(K158)&gt;0,K$4,""),IF(N(M158)&gt;0,M$4,""),IF(N(O158)&gt;0,O$4,""),IF(N(Q158)&gt;0,Q$4,""),IF(N(S158)&gt;0,S$4,""),IF(N(U158)&gt;0,U$4,""),IF(N(W158)&gt;0,W$4,""),IF(N(Y158)&gt;0,Y$4,""),IF(N(AA158)&gt;0,AA$4,""),IF(N(AC158)&gt;0,AC$4,""),IF(N(AE158)&gt;0,AE$4,""),IF(N(AG158)&gt;0,AG$4,""),IF(N(AI158)&gt;0,AI$4,""),IF(N(AK158)&gt;0,AK$4,""),IF(N(AM158)&gt;0,AM$4,""),IF(N(AO158)&gt;0,AO$4,""),IF(N(AQ158)&gt;0,AQ$4,""),IF(N(#REF!)&gt;0,#REF!,"")),"")</f>
        <v>#REF!</v>
      </c>
      <c r="CW158" s="11"/>
      <c r="CX158" s="11" t="e">
        <f t="shared" si="9"/>
        <v>#REF!</v>
      </c>
      <c r="CY158" s="12"/>
      <c r="CZ158" s="68"/>
    </row>
    <row r="159" spans="1:104" ht="18" customHeight="1" x14ac:dyDescent="0.3">
      <c r="A159" s="150"/>
      <c r="B159" s="43"/>
      <c r="C159" s="12">
        <v>46177</v>
      </c>
      <c r="D159" s="20">
        <f t="shared" si="8"/>
        <v>0</v>
      </c>
      <c r="E159" s="20" t="str">
        <f>IF(MOD(A159-$C$30,42)=0,8,"")</f>
        <v/>
      </c>
      <c r="F159" s="20"/>
      <c r="G159" s="20" t="str">
        <f>IF(MOD(C159-$C$30,42)=0,8,"")</f>
        <v/>
      </c>
      <c r="H159" s="20"/>
      <c r="I159" s="20"/>
      <c r="J159" s="20"/>
      <c r="K159" s="20"/>
      <c r="L159" s="20"/>
      <c r="M159" s="19" t="s">
        <v>71</v>
      </c>
      <c r="N159" s="19"/>
      <c r="O159" s="19" t="s">
        <v>71</v>
      </c>
      <c r="P159" s="19"/>
      <c r="Q159" s="19" t="s">
        <v>71</v>
      </c>
      <c r="R159" s="19"/>
      <c r="S159" s="19"/>
      <c r="T159" s="19"/>
      <c r="U159" s="19"/>
      <c r="V159" s="19"/>
      <c r="W159" s="19"/>
      <c r="X159" s="19"/>
      <c r="Y159" s="19" t="s">
        <v>71</v>
      </c>
      <c r="Z159" s="19"/>
      <c r="AA159" s="19" t="s">
        <v>71</v>
      </c>
      <c r="AB159" s="19"/>
      <c r="AC159" s="19" t="s">
        <v>71</v>
      </c>
      <c r="AD159" s="19"/>
      <c r="AE159" s="19" t="s">
        <v>71</v>
      </c>
      <c r="AF159" s="19"/>
      <c r="AG159" s="19" t="s">
        <v>71</v>
      </c>
      <c r="AH159" s="19"/>
      <c r="AI159" s="19" t="s">
        <v>71</v>
      </c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39"/>
      <c r="BP159" s="39"/>
      <c r="BQ159" s="39"/>
      <c r="BR159" s="39"/>
      <c r="BS159" s="39"/>
      <c r="BT159" s="39"/>
      <c r="BU159" s="39"/>
      <c r="BV159" s="3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1" t="e">
        <f>IF(SUM(E159,G159,I159,K159,M159,O159,Q159,S159,U159,W159,Y159,AA159,AC159,AE159,AG159,AI159,AK159,AM159,AO159,AQ159,#REF!)&gt;0,"Sí","No")</f>
        <v>#REF!</v>
      </c>
      <c r="CV159" s="92" t="e">
        <f>IF($CU159="Sí",_xlfn.TEXTJOIN(", ",TRUE,IF(N(E159)&gt;0,E$4,""),IF(N(G159)&gt;0,G$4,""),IF(N(I159)&gt;0,I$4,""),IF(N(K159)&gt;0,K$4,""),IF(N(M159)&gt;0,M$4,""),IF(N(O159)&gt;0,O$4,""),IF(N(Q159)&gt;0,Q$4,""),IF(N(S159)&gt;0,S$4,""),IF(N(U159)&gt;0,U$4,""),IF(N(W159)&gt;0,W$4,""),IF(N(Y159)&gt;0,Y$4,""),IF(N(AA159)&gt;0,AA$4,""),IF(N(AC159)&gt;0,AC$4,""),IF(N(AE159)&gt;0,AE$4,""),IF(N(AG159)&gt;0,AG$4,""),IF(N(AI159)&gt;0,AI$4,""),IF(N(AK159)&gt;0,AK$4,""),IF(N(AM159)&gt;0,AM$4,""),IF(N(AO159)&gt;0,AO$4,""),IF(N(AQ159)&gt;0,AQ$4,""),IF(N(#REF!)&gt;0,#REF!,"")),"")</f>
        <v>#REF!</v>
      </c>
      <c r="CW159" s="11"/>
      <c r="CX159" s="11" t="e">
        <f t="shared" si="9"/>
        <v>#REF!</v>
      </c>
      <c r="CY159" s="12"/>
      <c r="CZ159" s="68"/>
    </row>
    <row r="160" spans="1:104" ht="18" customHeight="1" x14ac:dyDescent="0.3">
      <c r="A160" s="150"/>
      <c r="B160" s="43"/>
      <c r="C160" s="12">
        <v>46178</v>
      </c>
      <c r="D160" s="20">
        <f t="shared" si="8"/>
        <v>0</v>
      </c>
      <c r="E160" s="20" t="str">
        <f t="shared" ref="E160:E223" si="10">IF(MOD(A160-$C$30,42)=0,8,"")</f>
        <v/>
      </c>
      <c r="F160" s="20"/>
      <c r="G160" s="20" t="str">
        <f t="shared" ref="G160:G223" si="11">IF(MOD(C160-$C$30,42)=0,8,"")</f>
        <v/>
      </c>
      <c r="H160" s="20"/>
      <c r="I160" s="20"/>
      <c r="J160" s="20"/>
      <c r="K160" s="20"/>
      <c r="L160" s="20"/>
      <c r="M160" s="19" t="s">
        <v>71</v>
      </c>
      <c r="N160" s="19"/>
      <c r="O160" s="19" t="s">
        <v>71</v>
      </c>
      <c r="P160" s="19"/>
      <c r="Q160" s="19" t="s">
        <v>71</v>
      </c>
      <c r="R160" s="19"/>
      <c r="S160" s="19" t="s">
        <v>71</v>
      </c>
      <c r="T160" s="19"/>
      <c r="U160" s="19" t="s">
        <v>71</v>
      </c>
      <c r="V160" s="19"/>
      <c r="W160" s="19"/>
      <c r="X160" s="19"/>
      <c r="Y160" s="19" t="s">
        <v>71</v>
      </c>
      <c r="Z160" s="19"/>
      <c r="AA160" s="19" t="s">
        <v>71</v>
      </c>
      <c r="AB160" s="19"/>
      <c r="AC160" s="19" t="s">
        <v>71</v>
      </c>
      <c r="AD160" s="19"/>
      <c r="AE160" s="19"/>
      <c r="AF160" s="19"/>
      <c r="AG160" s="19" t="s">
        <v>71</v>
      </c>
      <c r="AH160" s="19"/>
      <c r="AI160" s="19" t="s">
        <v>71</v>
      </c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39"/>
      <c r="BP160" s="39"/>
      <c r="BQ160" s="39"/>
      <c r="BR160" s="39"/>
      <c r="BS160" s="39"/>
      <c r="BT160" s="39"/>
      <c r="BU160" s="39"/>
      <c r="BV160" s="3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1" t="e">
        <f>IF(SUM(E160,G160,I160,K160,M160,O160,Q160,S160,U160,W160,Y160,AA160,AC160,AE160,AG160,AI160,AK160,AM160,AO160,AQ160,#REF!)&gt;0,"Sí","No")</f>
        <v>#REF!</v>
      </c>
      <c r="CV160" s="92" t="e">
        <f>IF($CU160="Sí",_xlfn.TEXTJOIN(", ",TRUE,IF(N(E160)&gt;0,E$4,""),IF(N(G160)&gt;0,G$4,""),IF(N(I160)&gt;0,I$4,""),IF(N(K160)&gt;0,K$4,""),IF(N(M160)&gt;0,M$4,""),IF(N(O160)&gt;0,O$4,""),IF(N(Q160)&gt;0,Q$4,""),IF(N(S160)&gt;0,S$4,""),IF(N(U160)&gt;0,U$4,""),IF(N(W160)&gt;0,W$4,""),IF(N(Y160)&gt;0,Y$4,""),IF(N(AA160)&gt;0,AA$4,""),IF(N(AC160)&gt;0,AC$4,""),IF(N(AE160)&gt;0,AE$4,""),IF(N(AG160)&gt;0,AG$4,""),IF(N(AI160)&gt;0,AI$4,""),IF(N(AK160)&gt;0,AK$4,""),IF(N(AM160)&gt;0,AM$4,""),IF(N(AO160)&gt;0,AO$4,""),IF(N(AQ160)&gt;0,AQ$4,""),IF(N(#REF!)&gt;0,#REF!,"")),"")</f>
        <v>#REF!</v>
      </c>
      <c r="CW160" s="11"/>
      <c r="CX160" s="11" t="e">
        <f t="shared" si="9"/>
        <v>#REF!</v>
      </c>
      <c r="CY160" s="12"/>
      <c r="CZ160" s="68"/>
    </row>
    <row r="161" spans="1:104" ht="24" customHeight="1" x14ac:dyDescent="0.3">
      <c r="A161" s="150"/>
      <c r="B161" s="43"/>
      <c r="C161" s="12">
        <v>46179</v>
      </c>
      <c r="D161" s="20">
        <f t="shared" si="8"/>
        <v>100</v>
      </c>
      <c r="E161" s="20" t="str">
        <f t="shared" si="10"/>
        <v/>
      </c>
      <c r="F161" s="20"/>
      <c r="G161" s="20" t="str">
        <f t="shared" si="11"/>
        <v/>
      </c>
      <c r="H161" s="20"/>
      <c r="I161" s="20"/>
      <c r="J161" s="20"/>
      <c r="K161" s="20"/>
      <c r="L161" s="20"/>
      <c r="M161" s="19" t="s">
        <v>71</v>
      </c>
      <c r="N161" s="19"/>
      <c r="O161" s="19" t="s">
        <v>71</v>
      </c>
      <c r="P161" s="19"/>
      <c r="Q161" s="19" t="s">
        <v>71</v>
      </c>
      <c r="R161" s="19"/>
      <c r="S161" s="19" t="s">
        <v>71</v>
      </c>
      <c r="T161" s="19"/>
      <c r="U161" s="19" t="s">
        <v>71</v>
      </c>
      <c r="V161" s="19"/>
      <c r="W161" s="19"/>
      <c r="X161" s="19"/>
      <c r="Y161" s="19">
        <v>10</v>
      </c>
      <c r="Z161" s="19">
        <v>20</v>
      </c>
      <c r="AA161" s="19">
        <v>10</v>
      </c>
      <c r="AB161" s="19">
        <v>20</v>
      </c>
      <c r="AC161" s="19">
        <v>10</v>
      </c>
      <c r="AD161" s="19">
        <v>20</v>
      </c>
      <c r="AE161" s="19"/>
      <c r="AF161" s="19"/>
      <c r="AG161" s="19">
        <v>10</v>
      </c>
      <c r="AH161" s="19">
        <v>20</v>
      </c>
      <c r="AI161" s="19">
        <v>10</v>
      </c>
      <c r="AJ161" s="19">
        <v>20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39"/>
      <c r="BP161" s="39"/>
      <c r="BQ161" s="39"/>
      <c r="BR161" s="39"/>
      <c r="BS161" s="39"/>
      <c r="BT161" s="39"/>
      <c r="BU161" s="39"/>
      <c r="BV161" s="3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1" t="e">
        <f>IF(SUM(E161,G161,I161,K161,M161,O161,Q161,S161,U161,W161,Y161,AA161,AC161,AE161,AG161,AI161,AK161,AM161,AO161,AQ161,#REF!)&gt;0,"Sí","No")</f>
        <v>#REF!</v>
      </c>
      <c r="CV161" s="109" t="e">
        <f>IF($CU161="Sí",_xlfn.TEXTJOIN(", ",TRUE,IF(N(E161)&gt;0,E$4,""),IF(N(G161)&gt;0,G$4,""),IF(N(I161)&gt;0,I$4,""),IF(N(K161)&gt;0,K$4,""),IF(N(M161)&gt;0,M$4,""),IF(N(O161)&gt;0,O$4,""),IF(N(Q161)&gt;0,Q$4,""),IF(N(S161)&gt;0,S$4,""),IF(N(U161)&gt;0,U$4,""),IF(N(W161)&gt;0,W$4,""),IF(N(Y161)&gt;0,Y$4,""),IF(N(AA161)&gt;0,AA$4,""),IF(N(AC161)&gt;0,AC$4,""),IF(N(AE161)&gt;0,AE$4,""),IF(N(AG161)&gt;0,AG$4,""),IF(N(AI161)&gt;0,AI$4,""),IF(N(AK161)&gt;0,AK$4,""),IF(N(AM161)&gt;0,AM$4,""),IF(N(AO161)&gt;0,AO$4,""),IF(N(AQ161)&gt;0,AQ$4,""),IF(N(#REF!)&gt;0,#REF!,"")),"")</f>
        <v>#REF!</v>
      </c>
      <c r="CW161" s="11"/>
      <c r="CX161" s="11" t="e">
        <f t="shared" si="9"/>
        <v>#REF!</v>
      </c>
      <c r="CY161" s="56" t="s">
        <v>113</v>
      </c>
      <c r="CZ161" s="68"/>
    </row>
    <row r="162" spans="1:104" ht="18" customHeight="1" x14ac:dyDescent="0.3">
      <c r="A162" s="150"/>
      <c r="B162" s="43"/>
      <c r="C162" s="12">
        <v>46180</v>
      </c>
      <c r="D162" s="20">
        <f t="shared" si="8"/>
        <v>0</v>
      </c>
      <c r="E162" s="20" t="str">
        <f t="shared" si="10"/>
        <v/>
      </c>
      <c r="F162" s="20"/>
      <c r="G162" s="20" t="str">
        <f t="shared" si="11"/>
        <v/>
      </c>
      <c r="H162" s="20"/>
      <c r="I162" s="20"/>
      <c r="J162" s="20"/>
      <c r="K162" s="20"/>
      <c r="L162" s="20"/>
      <c r="M162" s="19" t="s">
        <v>71</v>
      </c>
      <c r="N162" s="19"/>
      <c r="O162" s="19" t="s">
        <v>71</v>
      </c>
      <c r="P162" s="19"/>
      <c r="Q162" s="19" t="s">
        <v>71</v>
      </c>
      <c r="R162" s="19"/>
      <c r="S162" s="19" t="s">
        <v>71</v>
      </c>
      <c r="T162" s="19"/>
      <c r="U162" s="19" t="s">
        <v>71</v>
      </c>
      <c r="V162" s="19"/>
      <c r="W162" s="19"/>
      <c r="X162" s="19"/>
      <c r="Y162" s="19" t="s">
        <v>71</v>
      </c>
      <c r="Z162" s="19"/>
      <c r="AA162" s="19" t="s">
        <v>71</v>
      </c>
      <c r="AB162" s="19"/>
      <c r="AC162" s="19" t="s">
        <v>71</v>
      </c>
      <c r="AD162" s="19"/>
      <c r="AE162" s="19" t="s">
        <v>71</v>
      </c>
      <c r="AF162" s="19"/>
      <c r="AG162" s="19" t="s">
        <v>71</v>
      </c>
      <c r="AH162" s="19"/>
      <c r="AI162" s="19" t="s">
        <v>71</v>
      </c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39"/>
      <c r="BP162" s="39"/>
      <c r="BQ162" s="39"/>
      <c r="BR162" s="39"/>
      <c r="BS162" s="39"/>
      <c r="BT162" s="39"/>
      <c r="BU162" s="39"/>
      <c r="BV162" s="3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1" t="e">
        <f>IF(SUM(E162,G162,I162,K162,M162,O162,Q162,S162,U162,W162,Y162,AA162,AC162,AE162,AG162,AI162,AK162,AM162,AO162,AQ162,#REF!)&gt;0,"Sí","No")</f>
        <v>#REF!</v>
      </c>
      <c r="CV162" s="92" t="e">
        <f>IF($CU162="Sí",_xlfn.TEXTJOIN(", ",TRUE,IF(N(E162)&gt;0,E$4,""),IF(N(G162)&gt;0,G$4,""),IF(N(I162)&gt;0,I$4,""),IF(N(K162)&gt;0,K$4,""),IF(N(M162)&gt;0,M$4,""),IF(N(O162)&gt;0,O$4,""),IF(N(Q162)&gt;0,Q$4,""),IF(N(S162)&gt;0,S$4,""),IF(N(U162)&gt;0,U$4,""),IF(N(W162)&gt;0,W$4,""),IF(N(Y162)&gt;0,Y$4,""),IF(N(AA162)&gt;0,AA$4,""),IF(N(AC162)&gt;0,AC$4,""),IF(N(AE162)&gt;0,AE$4,""),IF(N(AG162)&gt;0,AG$4,""),IF(N(AI162)&gt;0,AI$4,""),IF(N(AK162)&gt;0,AK$4,""),IF(N(AM162)&gt;0,AM$4,""),IF(N(AO162)&gt;0,AO$4,""),IF(N(AQ162)&gt;0,AQ$4,""),IF(N(#REF!)&gt;0,#REF!,"")),"")</f>
        <v>#REF!</v>
      </c>
      <c r="CW162" s="11"/>
      <c r="CX162" s="11" t="e">
        <f t="shared" si="9"/>
        <v>#REF!</v>
      </c>
      <c r="CY162" s="12"/>
      <c r="CZ162" s="68"/>
    </row>
    <row r="163" spans="1:104" ht="18" customHeight="1" x14ac:dyDescent="0.3">
      <c r="A163" s="150"/>
      <c r="B163" s="43"/>
      <c r="C163" s="12">
        <v>46181</v>
      </c>
      <c r="D163" s="20">
        <f t="shared" si="8"/>
        <v>0</v>
      </c>
      <c r="E163" s="20" t="str">
        <f t="shared" si="10"/>
        <v/>
      </c>
      <c r="F163" s="20"/>
      <c r="G163" s="20" t="str">
        <f t="shared" si="11"/>
        <v/>
      </c>
      <c r="H163" s="20"/>
      <c r="I163" s="20"/>
      <c r="J163" s="20"/>
      <c r="K163" s="20"/>
      <c r="L163" s="20"/>
      <c r="M163" s="19" t="s">
        <v>71</v>
      </c>
      <c r="N163" s="19"/>
      <c r="O163" s="19" t="s">
        <v>71</v>
      </c>
      <c r="P163" s="19"/>
      <c r="Q163" s="19" t="s">
        <v>71</v>
      </c>
      <c r="R163" s="19"/>
      <c r="S163" s="19" t="s">
        <v>71</v>
      </c>
      <c r="T163" s="19"/>
      <c r="U163" s="19" t="s">
        <v>71</v>
      </c>
      <c r="V163" s="19"/>
      <c r="W163" s="19"/>
      <c r="X163" s="19"/>
      <c r="Y163" s="19" t="s">
        <v>71</v>
      </c>
      <c r="Z163" s="19"/>
      <c r="AA163" s="19" t="s">
        <v>71</v>
      </c>
      <c r="AB163" s="19"/>
      <c r="AC163" s="19" t="s">
        <v>71</v>
      </c>
      <c r="AD163" s="19"/>
      <c r="AE163" s="19" t="s">
        <v>71</v>
      </c>
      <c r="AF163" s="19"/>
      <c r="AG163" s="19" t="s">
        <v>71</v>
      </c>
      <c r="AH163" s="19"/>
      <c r="AI163" s="19" t="s">
        <v>71</v>
      </c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39"/>
      <c r="BP163" s="39"/>
      <c r="BQ163" s="39"/>
      <c r="BR163" s="39"/>
      <c r="BS163" s="39"/>
      <c r="BT163" s="39"/>
      <c r="BU163" s="39"/>
      <c r="BV163" s="3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1" t="e">
        <f>IF(SUM(E163,G163,I163,K163,M163,O163,Q163,S163,U163,W163,Y163,AA163,AC163,AE163,AG163,AI163,AK163,AM163,AO163,AQ163,#REF!)&gt;0,"Sí","No")</f>
        <v>#REF!</v>
      </c>
      <c r="CV163" s="92" t="e">
        <f>IF($CU163="Sí",_xlfn.TEXTJOIN(", ",TRUE,IF(N(E163)&gt;0,E$4,""),IF(N(G163)&gt;0,G$4,""),IF(N(I163)&gt;0,I$4,""),IF(N(K163)&gt;0,K$4,""),IF(N(M163)&gt;0,M$4,""),IF(N(O163)&gt;0,O$4,""),IF(N(Q163)&gt;0,Q$4,""),IF(N(S163)&gt;0,S$4,""),IF(N(U163)&gt;0,U$4,""),IF(N(W163)&gt;0,W$4,""),IF(N(Y163)&gt;0,Y$4,""),IF(N(AA163)&gt;0,AA$4,""),IF(N(AC163)&gt;0,AC$4,""),IF(N(AE163)&gt;0,AE$4,""),IF(N(AG163)&gt;0,AG$4,""),IF(N(AI163)&gt;0,AI$4,""),IF(N(AK163)&gt;0,AK$4,""),IF(N(AM163)&gt;0,AM$4,""),IF(N(AO163)&gt;0,AO$4,""),IF(N(AQ163)&gt;0,AQ$4,""),IF(N(#REF!)&gt;0,#REF!,"")),"")</f>
        <v>#REF!</v>
      </c>
      <c r="CW163" s="11"/>
      <c r="CX163" s="11" t="e">
        <f t="shared" si="9"/>
        <v>#REF!</v>
      </c>
      <c r="CY163" s="12"/>
      <c r="CZ163" s="68"/>
    </row>
    <row r="164" spans="1:104" ht="18" customHeight="1" x14ac:dyDescent="0.3">
      <c r="A164" s="150"/>
      <c r="B164" s="43"/>
      <c r="C164" s="12">
        <v>46182</v>
      </c>
      <c r="D164" s="20">
        <f t="shared" si="8"/>
        <v>0</v>
      </c>
      <c r="E164" s="20" t="str">
        <f t="shared" si="10"/>
        <v/>
      </c>
      <c r="F164" s="20"/>
      <c r="G164" s="20" t="str">
        <f t="shared" si="11"/>
        <v/>
      </c>
      <c r="H164" s="20"/>
      <c r="I164" s="20"/>
      <c r="J164" s="20"/>
      <c r="K164" s="20"/>
      <c r="L164" s="20"/>
      <c r="M164" s="19" t="s">
        <v>71</v>
      </c>
      <c r="N164" s="19"/>
      <c r="O164" s="19" t="s">
        <v>71</v>
      </c>
      <c r="P164" s="19"/>
      <c r="Q164" s="19" t="s">
        <v>71</v>
      </c>
      <c r="R164" s="19"/>
      <c r="S164" s="19" t="s">
        <v>71</v>
      </c>
      <c r="T164" s="19"/>
      <c r="U164" s="19" t="s">
        <v>71</v>
      </c>
      <c r="V164" s="19"/>
      <c r="W164" s="19"/>
      <c r="X164" s="19"/>
      <c r="Y164" s="19" t="s">
        <v>71</v>
      </c>
      <c r="Z164" s="19"/>
      <c r="AA164" s="19" t="s">
        <v>71</v>
      </c>
      <c r="AB164" s="19"/>
      <c r="AC164" s="19" t="s">
        <v>71</v>
      </c>
      <c r="AD164" s="19"/>
      <c r="AE164" s="19" t="s">
        <v>71</v>
      </c>
      <c r="AF164" s="19"/>
      <c r="AG164" s="19" t="s">
        <v>71</v>
      </c>
      <c r="AH164" s="19"/>
      <c r="AI164" s="19" t="s">
        <v>71</v>
      </c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39"/>
      <c r="BP164" s="39"/>
      <c r="BQ164" s="39"/>
      <c r="BR164" s="39"/>
      <c r="BS164" s="39"/>
      <c r="BT164" s="39"/>
      <c r="BU164" s="39"/>
      <c r="BV164" s="3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1" t="e">
        <f>IF(SUM(E164,G164,I164,K164,M164,O164,Q164,S164,U164,W164,Y164,AA164,AC164,AE164,AG164,AI164,AK164,AM164,AO164,AQ164,#REF!)&gt;0,"Sí","No")</f>
        <v>#REF!</v>
      </c>
      <c r="CV164" s="92" t="e">
        <f>IF($CU164="Sí",_xlfn.TEXTJOIN(", ",TRUE,IF(N(E164)&gt;0,E$4,""),IF(N(G164)&gt;0,G$4,""),IF(N(I164)&gt;0,I$4,""),IF(N(K164)&gt;0,K$4,""),IF(N(M164)&gt;0,M$4,""),IF(N(O164)&gt;0,O$4,""),IF(N(Q164)&gt;0,Q$4,""),IF(N(S164)&gt;0,S$4,""),IF(N(U164)&gt;0,U$4,""),IF(N(W164)&gt;0,W$4,""),IF(N(Y164)&gt;0,Y$4,""),IF(N(AA164)&gt;0,AA$4,""),IF(N(AC164)&gt;0,AC$4,""),IF(N(AE164)&gt;0,AE$4,""),IF(N(AG164)&gt;0,AG$4,""),IF(N(AI164)&gt;0,AI$4,""),IF(N(AK164)&gt;0,AK$4,""),IF(N(AM164)&gt;0,AM$4,""),IF(N(AO164)&gt;0,AO$4,""),IF(N(AQ164)&gt;0,AQ$4,""),IF(N(#REF!)&gt;0,#REF!,"")),"")</f>
        <v>#REF!</v>
      </c>
      <c r="CW164" s="11"/>
      <c r="CX164" s="11" t="e">
        <f t="shared" si="9"/>
        <v>#REF!</v>
      </c>
      <c r="CY164" s="12"/>
      <c r="CZ164" s="68"/>
    </row>
    <row r="165" spans="1:104" ht="18" customHeight="1" x14ac:dyDescent="0.3">
      <c r="A165" s="150"/>
      <c r="B165" s="43"/>
      <c r="C165" s="12">
        <v>46183</v>
      </c>
      <c r="D165" s="20">
        <f t="shared" si="8"/>
        <v>0</v>
      </c>
      <c r="E165" s="20" t="str">
        <f t="shared" si="10"/>
        <v/>
      </c>
      <c r="F165" s="20"/>
      <c r="G165" s="20" t="str">
        <f t="shared" si="11"/>
        <v/>
      </c>
      <c r="H165" s="20"/>
      <c r="I165" s="20"/>
      <c r="J165" s="20"/>
      <c r="K165" s="20"/>
      <c r="L165" s="20"/>
      <c r="M165" s="19" t="s">
        <v>71</v>
      </c>
      <c r="N165" s="19"/>
      <c r="O165" s="19" t="s">
        <v>71</v>
      </c>
      <c r="P165" s="19"/>
      <c r="Q165" s="19" t="s">
        <v>71</v>
      </c>
      <c r="R165" s="19"/>
      <c r="S165" s="19" t="s">
        <v>71</v>
      </c>
      <c r="T165" s="19"/>
      <c r="U165" s="19" t="s">
        <v>71</v>
      </c>
      <c r="V165" s="19"/>
      <c r="W165" s="19"/>
      <c r="X165" s="19"/>
      <c r="Y165" s="19" t="s">
        <v>71</v>
      </c>
      <c r="Z165" s="19"/>
      <c r="AA165" s="19" t="s">
        <v>71</v>
      </c>
      <c r="AB165" s="19"/>
      <c r="AC165" s="19" t="s">
        <v>71</v>
      </c>
      <c r="AD165" s="19"/>
      <c r="AE165" s="19" t="s">
        <v>71</v>
      </c>
      <c r="AF165" s="19"/>
      <c r="AG165" s="19" t="s">
        <v>71</v>
      </c>
      <c r="AH165" s="19"/>
      <c r="AI165" s="19" t="s">
        <v>71</v>
      </c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39"/>
      <c r="BP165" s="39"/>
      <c r="BQ165" s="39"/>
      <c r="BR165" s="39"/>
      <c r="BS165" s="39"/>
      <c r="BT165" s="39"/>
      <c r="BU165" s="39"/>
      <c r="BV165" s="3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1" t="e">
        <f>IF(SUM(E165,G165,I165,K165,M165,O165,Q165,S165,U165,W165,Y165,AA165,AC165,AE165,AG165,AI165,AK165,AM165,AO165,AQ165,#REF!)&gt;0,"Sí","No")</f>
        <v>#REF!</v>
      </c>
      <c r="CV165" s="92" t="e">
        <f>IF($CU165="Sí",_xlfn.TEXTJOIN(", ",TRUE,IF(N(E165)&gt;0,E$4,""),IF(N(G165)&gt;0,G$4,""),IF(N(I165)&gt;0,I$4,""),IF(N(K165)&gt;0,K$4,""),IF(N(M165)&gt;0,M$4,""),IF(N(O165)&gt;0,O$4,""),IF(N(Q165)&gt;0,Q$4,""),IF(N(S165)&gt;0,S$4,""),IF(N(U165)&gt;0,U$4,""),IF(N(W165)&gt;0,W$4,""),IF(N(Y165)&gt;0,Y$4,""),IF(N(AA165)&gt;0,AA$4,""),IF(N(AC165)&gt;0,AC$4,""),IF(N(AE165)&gt;0,AE$4,""),IF(N(AG165)&gt;0,AG$4,""),IF(N(AI165)&gt;0,AI$4,""),IF(N(AK165)&gt;0,AK$4,""),IF(N(AM165)&gt;0,AM$4,""),IF(N(AO165)&gt;0,AO$4,""),IF(N(AQ165)&gt;0,AQ$4,""),IF(N(#REF!)&gt;0,#REF!,"")),"")</f>
        <v>#REF!</v>
      </c>
      <c r="CW165" s="11"/>
      <c r="CX165" s="11" t="e">
        <f t="shared" si="9"/>
        <v>#REF!</v>
      </c>
      <c r="CY165" s="12"/>
      <c r="CZ165" s="68"/>
    </row>
    <row r="166" spans="1:104" ht="18" customHeight="1" x14ac:dyDescent="0.3">
      <c r="A166" s="150"/>
      <c r="B166" s="43"/>
      <c r="C166" s="12">
        <v>46184</v>
      </c>
      <c r="D166" s="20">
        <f t="shared" si="8"/>
        <v>0</v>
      </c>
      <c r="E166" s="20" t="str">
        <f t="shared" si="10"/>
        <v/>
      </c>
      <c r="F166" s="20"/>
      <c r="G166" s="20" t="str">
        <f t="shared" si="11"/>
        <v/>
      </c>
      <c r="H166" s="20"/>
      <c r="I166" s="20"/>
      <c r="J166" s="20"/>
      <c r="K166" s="20"/>
      <c r="L166" s="20"/>
      <c r="M166" s="19" t="s">
        <v>71</v>
      </c>
      <c r="N166" s="19"/>
      <c r="O166" s="19" t="s">
        <v>71</v>
      </c>
      <c r="P166" s="19"/>
      <c r="Q166" s="19" t="s">
        <v>71</v>
      </c>
      <c r="R166" s="19"/>
      <c r="S166" s="19" t="s">
        <v>71</v>
      </c>
      <c r="T166" s="19"/>
      <c r="U166" s="19" t="s">
        <v>71</v>
      </c>
      <c r="V166" s="19"/>
      <c r="W166" s="19"/>
      <c r="X166" s="19"/>
      <c r="Y166" s="19" t="s">
        <v>71</v>
      </c>
      <c r="Z166" s="19"/>
      <c r="AA166" s="19" t="s">
        <v>71</v>
      </c>
      <c r="AB166" s="19"/>
      <c r="AC166" s="19" t="s">
        <v>71</v>
      </c>
      <c r="AD166" s="19"/>
      <c r="AE166" s="19" t="s">
        <v>71</v>
      </c>
      <c r="AF166" s="19"/>
      <c r="AG166" s="19" t="s">
        <v>71</v>
      </c>
      <c r="AH166" s="19"/>
      <c r="AI166" s="19" t="s">
        <v>71</v>
      </c>
      <c r="AJ166" s="19"/>
      <c r="AK166" s="19" t="s">
        <v>71</v>
      </c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23" t="s">
        <v>77</v>
      </c>
      <c r="BP166" s="23" t="s">
        <v>77</v>
      </c>
      <c r="BQ166" s="23" t="s">
        <v>77</v>
      </c>
      <c r="BR166" s="23" t="s">
        <v>77</v>
      </c>
      <c r="BS166" s="23" t="s">
        <v>77</v>
      </c>
      <c r="BT166" s="23" t="s">
        <v>77</v>
      </c>
      <c r="BU166" s="23" t="s">
        <v>77</v>
      </c>
      <c r="BV166" s="23" t="s">
        <v>77</v>
      </c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1" t="e">
        <f>IF(SUM(E166,G166,I166,K166,M166,O166,Q166,S166,U166,W166,Y166,AA166,AC166,AE166,AG166,AI166,AK166,AM166,AO166,AQ166,#REF!)&gt;0,"Sí","No")</f>
        <v>#REF!</v>
      </c>
      <c r="CV166" s="92" t="e">
        <f>IF($CU166="Sí",_xlfn.TEXTJOIN(", ",TRUE,IF(N(E166)&gt;0,E$4,""),IF(N(G166)&gt;0,G$4,""),IF(N(I166)&gt;0,I$4,""),IF(N(K166)&gt;0,K$4,""),IF(N(M166)&gt;0,M$4,""),IF(N(O166)&gt;0,O$4,""),IF(N(Q166)&gt;0,Q$4,""),IF(N(S166)&gt;0,S$4,""),IF(N(U166)&gt;0,U$4,""),IF(N(W166)&gt;0,W$4,""),IF(N(Y166)&gt;0,Y$4,""),IF(N(AA166)&gt;0,AA$4,""),IF(N(AC166)&gt;0,AC$4,""),IF(N(AE166)&gt;0,AE$4,""),IF(N(AG166)&gt;0,AG$4,""),IF(N(AI166)&gt;0,AI$4,""),IF(N(AK166)&gt;0,AK$4,""),IF(N(AM166)&gt;0,AM$4,""),IF(N(AO166)&gt;0,AO$4,""),IF(N(AQ166)&gt;0,AQ$4,""),IF(N(#REF!)&gt;0,#REF!,"")),"")</f>
        <v>#REF!</v>
      </c>
      <c r="CW166" s="11"/>
      <c r="CX166" s="11" t="e">
        <f t="shared" si="9"/>
        <v>#REF!</v>
      </c>
      <c r="CY166" s="12"/>
      <c r="CZ166" s="68"/>
    </row>
    <row r="167" spans="1:104" ht="18" customHeight="1" x14ac:dyDescent="0.3">
      <c r="A167" s="150"/>
      <c r="B167" s="43"/>
      <c r="C167" s="12">
        <v>46185</v>
      </c>
      <c r="D167" s="20">
        <f t="shared" si="8"/>
        <v>0</v>
      </c>
      <c r="E167" s="20" t="str">
        <f t="shared" si="10"/>
        <v/>
      </c>
      <c r="F167" s="20"/>
      <c r="G167" s="20" t="str">
        <f t="shared" si="11"/>
        <v/>
      </c>
      <c r="H167" s="20"/>
      <c r="I167" s="20"/>
      <c r="J167" s="20"/>
      <c r="K167" s="20"/>
      <c r="L167" s="20"/>
      <c r="M167" s="19" t="s">
        <v>71</v>
      </c>
      <c r="N167" s="19"/>
      <c r="O167" s="19" t="s">
        <v>71</v>
      </c>
      <c r="P167" s="19"/>
      <c r="Q167" s="19" t="s">
        <v>71</v>
      </c>
      <c r="R167" s="19"/>
      <c r="S167" s="19" t="s">
        <v>71</v>
      </c>
      <c r="T167" s="19"/>
      <c r="U167" s="19" t="s">
        <v>71</v>
      </c>
      <c r="V167" s="19"/>
      <c r="W167" s="19"/>
      <c r="X167" s="19"/>
      <c r="Y167" s="19" t="s">
        <v>71</v>
      </c>
      <c r="Z167" s="19"/>
      <c r="AA167" s="19" t="s">
        <v>71</v>
      </c>
      <c r="AB167" s="19"/>
      <c r="AC167" s="19" t="s">
        <v>71</v>
      </c>
      <c r="AD167" s="19"/>
      <c r="AE167" s="19" t="s">
        <v>71</v>
      </c>
      <c r="AF167" s="19"/>
      <c r="AG167" s="19" t="s">
        <v>71</v>
      </c>
      <c r="AH167" s="19"/>
      <c r="AI167" s="19" t="s">
        <v>71</v>
      </c>
      <c r="AJ167" s="19"/>
      <c r="AK167" s="19" t="s">
        <v>71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23" t="s">
        <v>77</v>
      </c>
      <c r="BX167" s="23" t="s">
        <v>77</v>
      </c>
      <c r="BY167" s="23" t="s">
        <v>77</v>
      </c>
      <c r="BZ167" s="23" t="s">
        <v>77</v>
      </c>
      <c r="CA167" s="23" t="s">
        <v>77</v>
      </c>
      <c r="CB167" s="23" t="s">
        <v>77</v>
      </c>
      <c r="CC167" s="23" t="s">
        <v>77</v>
      </c>
      <c r="CD167" s="23" t="s">
        <v>77</v>
      </c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1" t="e">
        <f>IF(SUM(E167,G167,I167,K167,M167,O167,Q167,S167,U167,W167,Y167,AA167,AC167,AE167,AG167,AI167,AK167,AM167,AO167,AQ167,#REF!)&gt;0,"Sí","No")</f>
        <v>#REF!</v>
      </c>
      <c r="CV167" s="92" t="e">
        <f>IF($CU167="Sí",_xlfn.TEXTJOIN(", ",TRUE,IF(N(E167)&gt;0,E$4,""),IF(N(G167)&gt;0,G$4,""),IF(N(I167)&gt;0,I$4,""),IF(N(K167)&gt;0,K$4,""),IF(N(M167)&gt;0,M$4,""),IF(N(O167)&gt;0,O$4,""),IF(N(Q167)&gt;0,Q$4,""),IF(N(S167)&gt;0,S$4,""),IF(N(U167)&gt;0,U$4,""),IF(N(W167)&gt;0,W$4,""),IF(N(Y167)&gt;0,Y$4,""),IF(N(AA167)&gt;0,AA$4,""),IF(N(AC167)&gt;0,AC$4,""),IF(N(AE167)&gt;0,AE$4,""),IF(N(AG167)&gt;0,AG$4,""),IF(N(AI167)&gt;0,AI$4,""),IF(N(AK167)&gt;0,AK$4,""),IF(N(AM167)&gt;0,AM$4,""),IF(N(AO167)&gt;0,AO$4,""),IF(N(AQ167)&gt;0,AQ$4,""),IF(N(#REF!)&gt;0,#REF!,"")),"")</f>
        <v>#REF!</v>
      </c>
      <c r="CW167" s="11"/>
      <c r="CX167" s="11" t="e">
        <f t="shared" si="9"/>
        <v>#REF!</v>
      </c>
      <c r="CY167" s="12"/>
      <c r="CZ167" s="68"/>
    </row>
    <row r="168" spans="1:104" ht="18" customHeight="1" x14ac:dyDescent="0.3">
      <c r="A168" s="150"/>
      <c r="B168" s="43"/>
      <c r="C168" s="12">
        <v>46186</v>
      </c>
      <c r="D168" s="20">
        <f t="shared" si="8"/>
        <v>0</v>
      </c>
      <c r="E168" s="20" t="str">
        <f t="shared" si="10"/>
        <v/>
      </c>
      <c r="F168" s="20"/>
      <c r="G168" s="20" t="str">
        <f t="shared" si="11"/>
        <v/>
      </c>
      <c r="H168" s="20"/>
      <c r="I168" s="20"/>
      <c r="J168" s="20"/>
      <c r="K168" s="20"/>
      <c r="L168" s="20"/>
      <c r="M168" s="19" t="s">
        <v>71</v>
      </c>
      <c r="N168" s="19"/>
      <c r="O168" s="19" t="s">
        <v>71</v>
      </c>
      <c r="P168" s="19"/>
      <c r="Q168" s="19" t="s">
        <v>71</v>
      </c>
      <c r="R168" s="19"/>
      <c r="S168" s="19" t="s">
        <v>71</v>
      </c>
      <c r="T168" s="19"/>
      <c r="U168" s="19" t="s">
        <v>71</v>
      </c>
      <c r="V168" s="19"/>
      <c r="W168" s="19"/>
      <c r="X168" s="19"/>
      <c r="Y168" s="19" t="s">
        <v>71</v>
      </c>
      <c r="Z168" s="19"/>
      <c r="AA168" s="19" t="s">
        <v>71</v>
      </c>
      <c r="AB168" s="19"/>
      <c r="AC168" s="19" t="s">
        <v>71</v>
      </c>
      <c r="AD168" s="19"/>
      <c r="AE168" s="19" t="s">
        <v>71</v>
      </c>
      <c r="AF168" s="19"/>
      <c r="AG168" s="19" t="s">
        <v>71</v>
      </c>
      <c r="AH168" s="19"/>
      <c r="AI168" s="19" t="s">
        <v>71</v>
      </c>
      <c r="AJ168" s="19"/>
      <c r="AK168" s="19" t="s">
        <v>71</v>
      </c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1" t="e">
        <f>IF(SUM(E168,G168,I168,K168,M168,O168,Q168,S168,U168,W168,Y168,AA168,AC168,AE168,AG168,AI168,AK168,AM168,AO168,AQ168,#REF!)&gt;0,"Sí","No")</f>
        <v>#REF!</v>
      </c>
      <c r="CV168" s="92" t="e">
        <f>IF($CU168="Sí",_xlfn.TEXTJOIN(", ",TRUE,IF(N(E168)&gt;0,E$4,""),IF(N(G168)&gt;0,G$4,""),IF(N(I168)&gt;0,I$4,""),IF(N(K168)&gt;0,K$4,""),IF(N(M168)&gt;0,M$4,""),IF(N(O168)&gt;0,O$4,""),IF(N(Q168)&gt;0,Q$4,""),IF(N(S168)&gt;0,S$4,""),IF(N(U168)&gt;0,U$4,""),IF(N(W168)&gt;0,W$4,""),IF(N(Y168)&gt;0,Y$4,""),IF(N(AA168)&gt;0,AA$4,""),IF(N(AC168)&gt;0,AC$4,""),IF(N(AE168)&gt;0,AE$4,""),IF(N(AG168)&gt;0,AG$4,""),IF(N(AI168)&gt;0,AI$4,""),IF(N(AK168)&gt;0,AK$4,""),IF(N(AM168)&gt;0,AM$4,""),IF(N(AO168)&gt;0,AO$4,""),IF(N(AQ168)&gt;0,AQ$4,""),IF(N(#REF!)&gt;0,#REF!,"")),"")</f>
        <v>#REF!</v>
      </c>
      <c r="CW168" s="11"/>
      <c r="CX168" s="11" t="e">
        <f t="shared" si="9"/>
        <v>#REF!</v>
      </c>
      <c r="CY168" s="12"/>
      <c r="CZ168" s="68"/>
    </row>
    <row r="169" spans="1:104" ht="18" customHeight="1" x14ac:dyDescent="0.3">
      <c r="A169" s="150"/>
      <c r="B169" s="43"/>
      <c r="C169" s="12">
        <v>46187</v>
      </c>
      <c r="D169" s="20">
        <f t="shared" si="8"/>
        <v>0</v>
      </c>
      <c r="E169" s="20" t="str">
        <f t="shared" si="10"/>
        <v/>
      </c>
      <c r="F169" s="20"/>
      <c r="G169" s="20" t="str">
        <f t="shared" si="11"/>
        <v/>
      </c>
      <c r="H169" s="20"/>
      <c r="I169" s="20"/>
      <c r="J169" s="20"/>
      <c r="K169" s="20"/>
      <c r="L169" s="20"/>
      <c r="M169" s="19" t="s">
        <v>71</v>
      </c>
      <c r="N169" s="19"/>
      <c r="O169" s="19" t="s">
        <v>71</v>
      </c>
      <c r="P169" s="19"/>
      <c r="Q169" s="19" t="s">
        <v>71</v>
      </c>
      <c r="R169" s="19"/>
      <c r="S169" s="19" t="s">
        <v>71</v>
      </c>
      <c r="T169" s="19"/>
      <c r="U169" s="19" t="s">
        <v>71</v>
      </c>
      <c r="V169" s="19"/>
      <c r="W169" s="19"/>
      <c r="X169" s="19"/>
      <c r="Y169" s="19" t="s">
        <v>71</v>
      </c>
      <c r="Z169" s="19"/>
      <c r="AA169" s="19" t="s">
        <v>71</v>
      </c>
      <c r="AB169" s="19"/>
      <c r="AC169" s="19" t="s">
        <v>71</v>
      </c>
      <c r="AD169" s="19"/>
      <c r="AE169" s="19" t="s">
        <v>71</v>
      </c>
      <c r="AF169" s="19"/>
      <c r="AG169" s="19" t="s">
        <v>71</v>
      </c>
      <c r="AH169" s="19"/>
      <c r="AI169" s="19" t="s">
        <v>71</v>
      </c>
      <c r="AJ169" s="19"/>
      <c r="AK169" s="19" t="s">
        <v>71</v>
      </c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1" t="e">
        <f>IF(SUM(E169,G169,I169,K169,M169,O169,Q169,S169,U169,W169,Y169,AA169,AC169,AE169,AG169,AI169,AK169,AM169,AO169,AQ169,#REF!)&gt;0,"Sí","No")</f>
        <v>#REF!</v>
      </c>
      <c r="CV169" s="92" t="e">
        <f>IF($CU169="Sí",_xlfn.TEXTJOIN(", ",TRUE,IF(N(E169)&gt;0,E$4,""),IF(N(G169)&gt;0,G$4,""),IF(N(I169)&gt;0,I$4,""),IF(N(K169)&gt;0,K$4,""),IF(N(M169)&gt;0,M$4,""),IF(N(O169)&gt;0,O$4,""),IF(N(Q169)&gt;0,Q$4,""),IF(N(S169)&gt;0,S$4,""),IF(N(U169)&gt;0,U$4,""),IF(N(W169)&gt;0,W$4,""),IF(N(Y169)&gt;0,Y$4,""),IF(N(AA169)&gt;0,AA$4,""),IF(N(AC169)&gt;0,AC$4,""),IF(N(AE169)&gt;0,AE$4,""),IF(N(AG169)&gt;0,AG$4,""),IF(N(AI169)&gt;0,AI$4,""),IF(N(AK169)&gt;0,AK$4,""),IF(N(AM169)&gt;0,AM$4,""),IF(N(AO169)&gt;0,AO$4,""),IF(N(AQ169)&gt;0,AQ$4,""),IF(N(#REF!)&gt;0,#REF!,"")),"")</f>
        <v>#REF!</v>
      </c>
      <c r="CW169" s="11"/>
      <c r="CX169" s="11" t="e">
        <f t="shared" si="9"/>
        <v>#REF!</v>
      </c>
      <c r="CY169" s="12"/>
      <c r="CZ169" s="68"/>
    </row>
    <row r="170" spans="1:104" ht="18" customHeight="1" x14ac:dyDescent="0.3">
      <c r="A170" s="150"/>
      <c r="B170" s="43"/>
      <c r="C170" s="12">
        <v>46188</v>
      </c>
      <c r="D170" s="20">
        <f t="shared" si="8"/>
        <v>0</v>
      </c>
      <c r="E170" s="20" t="str">
        <f t="shared" si="10"/>
        <v/>
      </c>
      <c r="F170" s="20"/>
      <c r="G170" s="20" t="str">
        <f t="shared" si="11"/>
        <v/>
      </c>
      <c r="H170" s="20"/>
      <c r="I170" s="20"/>
      <c r="J170" s="20"/>
      <c r="K170" s="20"/>
      <c r="L170" s="20"/>
      <c r="M170" s="19" t="s">
        <v>71</v>
      </c>
      <c r="N170" s="19"/>
      <c r="O170" s="19" t="s">
        <v>71</v>
      </c>
      <c r="P170" s="19"/>
      <c r="Q170" s="19" t="s">
        <v>71</v>
      </c>
      <c r="R170" s="19"/>
      <c r="S170" s="19" t="s">
        <v>71</v>
      </c>
      <c r="T170" s="19"/>
      <c r="U170" s="19" t="s">
        <v>71</v>
      </c>
      <c r="V170" s="19"/>
      <c r="W170" s="19"/>
      <c r="X170" s="19"/>
      <c r="Y170" s="19" t="s">
        <v>71</v>
      </c>
      <c r="Z170" s="19"/>
      <c r="AA170" s="26" t="s">
        <v>71</v>
      </c>
      <c r="AB170" s="26"/>
      <c r="AC170" s="26" t="s">
        <v>71</v>
      </c>
      <c r="AD170" s="26"/>
      <c r="AE170" s="26" t="s">
        <v>71</v>
      </c>
      <c r="AF170" s="26"/>
      <c r="AG170" s="26" t="s">
        <v>71</v>
      </c>
      <c r="AH170" s="26"/>
      <c r="AI170" s="26" t="s">
        <v>71</v>
      </c>
      <c r="AJ170" s="26"/>
      <c r="AK170" s="26" t="s">
        <v>71</v>
      </c>
      <c r="AL170" s="26"/>
      <c r="AM170" s="26"/>
      <c r="AN170" s="26"/>
      <c r="AO170" s="26"/>
      <c r="AP170" s="26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1" t="e">
        <f>IF(SUM(E170,G170,I170,K170,M170,O170,Q170,S170,U170,W170,Y170,AA170,AC170,AE170,AG170,AI170,AK170,AM170,AO170,AQ170,#REF!)&gt;0,"Sí","No")</f>
        <v>#REF!</v>
      </c>
      <c r="CV170" s="92" t="e">
        <f>IF($CU170="Sí",_xlfn.TEXTJOIN(", ",TRUE,IF(N(E170)&gt;0,E$4,""),IF(N(G170)&gt;0,G$4,""),IF(N(I170)&gt;0,I$4,""),IF(N(K170)&gt;0,K$4,""),IF(N(M170)&gt;0,M$4,""),IF(N(O170)&gt;0,O$4,""),IF(N(Q170)&gt;0,Q$4,""),IF(N(S170)&gt;0,S$4,""),IF(N(U170)&gt;0,U$4,""),IF(N(W170)&gt;0,W$4,""),IF(N(Y170)&gt;0,Y$4,""),IF(N(AA170)&gt;0,AA$4,""),IF(N(AC170)&gt;0,AC$4,""),IF(N(AE170)&gt;0,AE$4,""),IF(N(AG170)&gt;0,AG$4,""),IF(N(AI170)&gt;0,AI$4,""),IF(N(AK170)&gt;0,AK$4,""),IF(N(AM170)&gt;0,AM$4,""),IF(N(AO170)&gt;0,AO$4,""),IF(N(AQ170)&gt;0,AQ$4,""),IF(N(#REF!)&gt;0,#REF!,"")),"")</f>
        <v>#REF!</v>
      </c>
      <c r="CW170" s="11"/>
      <c r="CX170" s="11" t="e">
        <f t="shared" si="9"/>
        <v>#REF!</v>
      </c>
      <c r="CY170" s="12">
        <v>46176</v>
      </c>
      <c r="CZ170" s="68"/>
    </row>
    <row r="171" spans="1:104" ht="18" customHeight="1" x14ac:dyDescent="0.3">
      <c r="A171" s="150"/>
      <c r="B171" s="43"/>
      <c r="C171" s="12">
        <v>46189</v>
      </c>
      <c r="D171" s="20">
        <f t="shared" si="8"/>
        <v>0</v>
      </c>
      <c r="E171" s="20" t="str">
        <f t="shared" si="10"/>
        <v/>
      </c>
      <c r="F171" s="20"/>
      <c r="G171" s="20" t="str">
        <f t="shared" si="11"/>
        <v/>
      </c>
      <c r="H171" s="20"/>
      <c r="I171" s="20"/>
      <c r="J171" s="20"/>
      <c r="K171" s="20"/>
      <c r="L171" s="20"/>
      <c r="M171" s="19" t="s">
        <v>71</v>
      </c>
      <c r="N171" s="19"/>
      <c r="O171" s="19" t="s">
        <v>71</v>
      </c>
      <c r="P171" s="19"/>
      <c r="Q171" s="19" t="s">
        <v>71</v>
      </c>
      <c r="R171" s="19"/>
      <c r="S171" s="19" t="s">
        <v>71</v>
      </c>
      <c r="T171" s="19"/>
      <c r="U171" s="19" t="s">
        <v>71</v>
      </c>
      <c r="V171" s="19"/>
      <c r="W171" s="19"/>
      <c r="X171" s="19"/>
      <c r="Y171" s="19" t="s">
        <v>71</v>
      </c>
      <c r="Z171" s="19"/>
      <c r="AA171" s="19" t="s">
        <v>71</v>
      </c>
      <c r="AB171" s="19"/>
      <c r="AC171" s="19" t="s">
        <v>71</v>
      </c>
      <c r="AD171" s="19"/>
      <c r="AE171" s="19" t="s">
        <v>71</v>
      </c>
      <c r="AF171" s="19"/>
      <c r="AG171" s="19" t="s">
        <v>71</v>
      </c>
      <c r="AH171" s="19"/>
      <c r="AI171" s="19" t="s">
        <v>71</v>
      </c>
      <c r="AJ171" s="19"/>
      <c r="AK171" s="19" t="s">
        <v>71</v>
      </c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1" t="e">
        <f>IF(SUM(E171,G171,I171,K171,M171,O171,Q171,S171,U171,W171,Y171,AA171,AC171,AE171,AG171,AI171,AK171,AM171,AO171,AQ171,#REF!)&gt;0,"Sí","No")</f>
        <v>#REF!</v>
      </c>
      <c r="CV171" s="92" t="e">
        <f>IF($CU171="Sí",_xlfn.TEXTJOIN(", ",TRUE,IF(N(E171)&gt;0,E$4,""),IF(N(G171)&gt;0,G$4,""),IF(N(I171)&gt;0,I$4,""),IF(N(K171)&gt;0,K$4,""),IF(N(M171)&gt;0,M$4,""),IF(N(O171)&gt;0,O$4,""),IF(N(Q171)&gt;0,Q$4,""),IF(N(S171)&gt;0,S$4,""),IF(N(U171)&gt;0,U$4,""),IF(N(W171)&gt;0,W$4,""),IF(N(Y171)&gt;0,Y$4,""),IF(N(AA171)&gt;0,AA$4,""),IF(N(AC171)&gt;0,AC$4,""),IF(N(AE171)&gt;0,AE$4,""),IF(N(AG171)&gt;0,AG$4,""),IF(N(AI171)&gt;0,AI$4,""),IF(N(AK171)&gt;0,AK$4,""),IF(N(AM171)&gt;0,AM$4,""),IF(N(AO171)&gt;0,AO$4,""),IF(N(AQ171)&gt;0,AQ$4,""),IF(N(#REF!)&gt;0,#REF!,"")),"")</f>
        <v>#REF!</v>
      </c>
      <c r="CW171" s="11"/>
      <c r="CX171" s="11" t="e">
        <f t="shared" si="9"/>
        <v>#REF!</v>
      </c>
      <c r="CY171" s="12">
        <v>46183</v>
      </c>
      <c r="CZ171" s="68"/>
    </row>
    <row r="172" spans="1:104" ht="18" customHeight="1" x14ac:dyDescent="0.3">
      <c r="A172" s="150"/>
      <c r="B172" s="43"/>
      <c r="C172" s="12">
        <v>46190</v>
      </c>
      <c r="D172" s="20">
        <f t="shared" si="8"/>
        <v>0</v>
      </c>
      <c r="E172" s="20" t="str">
        <f t="shared" si="10"/>
        <v/>
      </c>
      <c r="F172" s="20"/>
      <c r="G172" s="20" t="str">
        <f t="shared" si="11"/>
        <v/>
      </c>
      <c r="H172" s="20"/>
      <c r="I172" s="20"/>
      <c r="J172" s="20"/>
      <c r="K172" s="20"/>
      <c r="L172" s="20"/>
      <c r="M172" s="19" t="s">
        <v>71</v>
      </c>
      <c r="N172" s="19"/>
      <c r="O172" s="19" t="s">
        <v>71</v>
      </c>
      <c r="P172" s="19"/>
      <c r="Q172" s="19" t="s">
        <v>71</v>
      </c>
      <c r="R172" s="19"/>
      <c r="S172" s="19" t="s">
        <v>71</v>
      </c>
      <c r="T172" s="19"/>
      <c r="U172" s="19" t="s">
        <v>71</v>
      </c>
      <c r="V172" s="19"/>
      <c r="W172" s="19"/>
      <c r="X172" s="19"/>
      <c r="Y172" s="19" t="s">
        <v>71</v>
      </c>
      <c r="Z172" s="19"/>
      <c r="AA172" s="19" t="s">
        <v>71</v>
      </c>
      <c r="AB172" s="19"/>
      <c r="AC172" s="19" t="s">
        <v>71</v>
      </c>
      <c r="AD172" s="19"/>
      <c r="AE172" s="19" t="s">
        <v>71</v>
      </c>
      <c r="AF172" s="19"/>
      <c r="AG172" s="19" t="s">
        <v>71</v>
      </c>
      <c r="AH172" s="19"/>
      <c r="AI172" s="19" t="s">
        <v>71</v>
      </c>
      <c r="AJ172" s="19"/>
      <c r="AK172" s="19" t="s">
        <v>71</v>
      </c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1" t="e">
        <f>IF(SUM(E172,G172,I172,K172,M172,O172,Q172,S172,U172,W172,Y172,AA172,AC172,AE172,AG172,AI172,AK172,AM172,AO172,AQ172,#REF!)&gt;0,"Sí","No")</f>
        <v>#REF!</v>
      </c>
      <c r="CV172" s="92" t="e">
        <f>IF($CU172="Sí",_xlfn.TEXTJOIN(", ",TRUE,IF(N(E172)&gt;0,E$4,""),IF(N(G172)&gt;0,G$4,""),IF(N(I172)&gt;0,I$4,""),IF(N(K172)&gt;0,K$4,""),IF(N(M172)&gt;0,M$4,""),IF(N(O172)&gt;0,O$4,""),IF(N(Q172)&gt;0,Q$4,""),IF(N(S172)&gt;0,S$4,""),IF(N(U172)&gt;0,U$4,""),IF(N(W172)&gt;0,W$4,""),IF(N(Y172)&gt;0,Y$4,""),IF(N(AA172)&gt;0,AA$4,""),IF(N(AC172)&gt;0,AC$4,""),IF(N(AE172)&gt;0,AE$4,""),IF(N(AG172)&gt;0,AG$4,""),IF(N(AI172)&gt;0,AI$4,""),IF(N(AK172)&gt;0,AK$4,""),IF(N(AM172)&gt;0,AM$4,""),IF(N(AO172)&gt;0,AO$4,""),IF(N(AQ172)&gt;0,AQ$4,""),IF(N(#REF!)&gt;0,#REF!,"")),"")</f>
        <v>#REF!</v>
      </c>
      <c r="CW172" s="11"/>
      <c r="CX172" s="11" t="e">
        <f t="shared" si="9"/>
        <v>#REF!</v>
      </c>
      <c r="CY172" s="12">
        <v>46197</v>
      </c>
      <c r="CZ172" s="68"/>
    </row>
    <row r="173" spans="1:104" ht="59.4" customHeight="1" x14ac:dyDescent="0.3">
      <c r="A173" s="150"/>
      <c r="B173" s="43"/>
      <c r="C173" s="12">
        <v>46191</v>
      </c>
      <c r="D173" s="20">
        <f t="shared" si="8"/>
        <v>72</v>
      </c>
      <c r="E173" s="20" t="str">
        <f t="shared" si="10"/>
        <v/>
      </c>
      <c r="F173" s="20"/>
      <c r="G173" s="20" t="str">
        <f t="shared" si="11"/>
        <v/>
      </c>
      <c r="H173" s="20"/>
      <c r="I173" s="20"/>
      <c r="J173" s="20"/>
      <c r="K173" s="20"/>
      <c r="L173" s="20"/>
      <c r="M173" s="19">
        <v>12</v>
      </c>
      <c r="N173" s="19">
        <v>24</v>
      </c>
      <c r="O173" s="19">
        <v>12</v>
      </c>
      <c r="P173" s="19">
        <v>24</v>
      </c>
      <c r="Q173" s="19">
        <v>12</v>
      </c>
      <c r="R173" s="19">
        <v>24</v>
      </c>
      <c r="S173" s="19" t="s">
        <v>71</v>
      </c>
      <c r="T173" s="19"/>
      <c r="U173" s="19" t="s">
        <v>71</v>
      </c>
      <c r="V173" s="19"/>
      <c r="W173" s="19"/>
      <c r="X173" s="19"/>
      <c r="Y173" s="19" t="s">
        <v>71</v>
      </c>
      <c r="Z173" s="19"/>
      <c r="AA173" s="19" t="s">
        <v>71</v>
      </c>
      <c r="AB173" s="19"/>
      <c r="AC173" s="19" t="s">
        <v>71</v>
      </c>
      <c r="AD173" s="19"/>
      <c r="AE173" s="19" t="s">
        <v>71</v>
      </c>
      <c r="AF173" s="19"/>
      <c r="AG173" s="19" t="s">
        <v>71</v>
      </c>
      <c r="AH173" s="19"/>
      <c r="AI173" s="19" t="s">
        <v>71</v>
      </c>
      <c r="AJ173" s="19"/>
      <c r="AK173" s="19" t="s">
        <v>71</v>
      </c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1" t="e">
        <f>IF(SUM(E173,G173,I173,K173,M173,O173,Q173,S173,U173,W173,Y173,AA173,AC173,AE173,AG173,AI173,AK173,AM173,AO173,AQ173,#REF!)&gt;0,"Sí","No")</f>
        <v>#REF!</v>
      </c>
      <c r="CV173" s="109" t="e">
        <f>IF($CU173="Sí",_xlfn.TEXTJOIN(", ",TRUE,IF(N(E173)&gt;0,E$4,""),IF(N(G173)&gt;0,G$4,""),IF(N(I173)&gt;0,I$4,""),IF(N(K173)&gt;0,K$4,""),IF(N(M173)&gt;0,M$4,""),IF(N(O173)&gt;0,O$4,""),IF(N(Q173)&gt;0,Q$4,""),IF(N(S173)&gt;0,S$4,""),IF(N(U173)&gt;0,U$4,""),IF(N(W173)&gt;0,W$4,""),IF(N(Y173)&gt;0,Y$4,""),IF(N(AA173)&gt;0,AA$4,""),IF(N(AC173)&gt;0,AC$4,""),IF(N(AE173)&gt;0,AE$4,""),IF(N(AG173)&gt;0,AG$4,""),IF(N(AI173)&gt;0,AI$4,""),IF(N(AK173)&gt;0,AK$4,""),IF(N(AM173)&gt;0,AM$4,""),IF(N(AO173)&gt;0,AO$4,""),IF(N(AQ173)&gt;0,AQ$4,""),IF(N(#REF!)&gt;0,#REF!,"")),"")</f>
        <v>#REF!</v>
      </c>
      <c r="CW173" s="11"/>
      <c r="CX173" s="11" t="e">
        <f t="shared" si="9"/>
        <v>#REF!</v>
      </c>
      <c r="CY173" s="12">
        <v>46189</v>
      </c>
      <c r="CZ173" s="68"/>
    </row>
    <row r="174" spans="1:104" ht="18" customHeight="1" x14ac:dyDescent="0.3">
      <c r="A174" s="150"/>
      <c r="B174" s="43"/>
      <c r="C174" s="12">
        <v>46192</v>
      </c>
      <c r="D174" s="20">
        <f t="shared" si="8"/>
        <v>0</v>
      </c>
      <c r="E174" s="20" t="str">
        <f t="shared" si="10"/>
        <v/>
      </c>
      <c r="F174" s="20"/>
      <c r="G174" s="20" t="str">
        <f t="shared" si="11"/>
        <v/>
      </c>
      <c r="H174" s="20"/>
      <c r="I174" s="20"/>
      <c r="J174" s="20"/>
      <c r="K174" s="20"/>
      <c r="L174" s="20"/>
      <c r="M174" s="19" t="s">
        <v>71</v>
      </c>
      <c r="N174" s="19"/>
      <c r="O174" s="19" t="s">
        <v>71</v>
      </c>
      <c r="P174" s="19"/>
      <c r="Q174" s="19" t="s">
        <v>71</v>
      </c>
      <c r="R174" s="19"/>
      <c r="S174" s="19" t="s">
        <v>71</v>
      </c>
      <c r="T174" s="19"/>
      <c r="U174" s="19" t="s">
        <v>71</v>
      </c>
      <c r="V174" s="19"/>
      <c r="W174" s="19"/>
      <c r="X174" s="19"/>
      <c r="Y174" s="19" t="s">
        <v>71</v>
      </c>
      <c r="Z174" s="19"/>
      <c r="AA174" s="19" t="s">
        <v>71</v>
      </c>
      <c r="AB174" s="19"/>
      <c r="AC174" s="19" t="s">
        <v>71</v>
      </c>
      <c r="AD174" s="19"/>
      <c r="AE174" s="19" t="s">
        <v>71</v>
      </c>
      <c r="AF174" s="19"/>
      <c r="AG174" s="19" t="s">
        <v>71</v>
      </c>
      <c r="AH174" s="19"/>
      <c r="AI174" s="19" t="s">
        <v>71</v>
      </c>
      <c r="AJ174" s="19"/>
      <c r="AK174" s="19" t="s">
        <v>71</v>
      </c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 t="s">
        <v>71</v>
      </c>
      <c r="CF174" s="19"/>
      <c r="CG174" s="19" t="s">
        <v>71</v>
      </c>
      <c r="CH174" s="19"/>
      <c r="CI174" s="19" t="s">
        <v>71</v>
      </c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1" t="e">
        <f>IF(SUM(E174,G174,I174,K174,M174,O174,Q174,S174,U174,W174,Y174,AA174,AC174,AE174,AG174,AI174,AK174,AM174,AO174,AQ174,#REF!)&gt;0,"Sí","No")</f>
        <v>#REF!</v>
      </c>
      <c r="CV174" s="92" t="e">
        <f>IF($CU174="Sí",_xlfn.TEXTJOIN(", ",TRUE,IF(N(E174)&gt;0,E$4,""),IF(N(G174)&gt;0,G$4,""),IF(N(I174)&gt;0,I$4,""),IF(N(K174)&gt;0,K$4,""),IF(N(M174)&gt;0,M$4,""),IF(N(O174)&gt;0,O$4,""),IF(N(Q174)&gt;0,Q$4,""),IF(N(S174)&gt;0,S$4,""),IF(N(U174)&gt;0,U$4,""),IF(N(W174)&gt;0,W$4,""),IF(N(Y174)&gt;0,Y$4,""),IF(N(AA174)&gt;0,AA$4,""),IF(N(AC174)&gt;0,AC$4,""),IF(N(AE174)&gt;0,AE$4,""),IF(N(AG174)&gt;0,AG$4,""),IF(N(AI174)&gt;0,AI$4,""),IF(N(AK174)&gt;0,AK$4,""),IF(N(AM174)&gt;0,AM$4,""),IF(N(AO174)&gt;0,AO$4,""),IF(N(AQ174)&gt;0,AQ$4,""),IF(N(#REF!)&gt;0,#REF!,"")),"")</f>
        <v>#REF!</v>
      </c>
      <c r="CW174" s="11"/>
      <c r="CX174" s="11" t="e">
        <f t="shared" si="9"/>
        <v>#REF!</v>
      </c>
      <c r="CY174" s="12"/>
      <c r="CZ174" s="68"/>
    </row>
    <row r="175" spans="1:104" ht="18" customHeight="1" x14ac:dyDescent="0.3">
      <c r="A175" s="150"/>
      <c r="B175" s="43"/>
      <c r="C175" s="12">
        <v>46193</v>
      </c>
      <c r="D175" s="20">
        <f t="shared" si="8"/>
        <v>0</v>
      </c>
      <c r="E175" s="20" t="str">
        <f t="shared" si="10"/>
        <v/>
      </c>
      <c r="F175" s="20"/>
      <c r="G175" s="20" t="str">
        <f t="shared" si="11"/>
        <v/>
      </c>
      <c r="H175" s="20"/>
      <c r="I175" s="20"/>
      <c r="J175" s="20"/>
      <c r="K175" s="20"/>
      <c r="L175" s="20"/>
      <c r="M175" s="19" t="s">
        <v>71</v>
      </c>
      <c r="N175" s="19"/>
      <c r="O175" s="19" t="s">
        <v>71</v>
      </c>
      <c r="P175" s="19"/>
      <c r="Q175" s="19" t="s">
        <v>71</v>
      </c>
      <c r="R175" s="19"/>
      <c r="S175" s="19" t="s">
        <v>71</v>
      </c>
      <c r="T175" s="19"/>
      <c r="U175" s="19" t="s">
        <v>71</v>
      </c>
      <c r="V175" s="19"/>
      <c r="W175" s="19"/>
      <c r="X175" s="19"/>
      <c r="Y175" s="19" t="s">
        <v>71</v>
      </c>
      <c r="Z175" s="19"/>
      <c r="AA175" s="19" t="s">
        <v>71</v>
      </c>
      <c r="AB175" s="19"/>
      <c r="AC175" s="19" t="s">
        <v>71</v>
      </c>
      <c r="AD175" s="19"/>
      <c r="AE175" s="19" t="s">
        <v>71</v>
      </c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 t="s">
        <v>71</v>
      </c>
      <c r="CF175" s="19"/>
      <c r="CG175" s="19" t="s">
        <v>71</v>
      </c>
      <c r="CH175" s="19"/>
      <c r="CI175" s="19" t="s">
        <v>71</v>
      </c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1" t="e">
        <f>IF(SUM(E175,G175,I175,K175,M175,O175,Q175,S175,U175,W175,Y175,AA175,AC175,AE175,AG175,AI175,AK175,AM175,AO175,AQ175,#REF!)&gt;0,"Sí","No")</f>
        <v>#REF!</v>
      </c>
      <c r="CV175" s="92" t="e">
        <f>IF($CU175="Sí",_xlfn.TEXTJOIN(", ",TRUE,IF(N(E175)&gt;0,E$4,""),IF(N(G175)&gt;0,G$4,""),IF(N(I175)&gt;0,I$4,""),IF(N(K175)&gt;0,K$4,""),IF(N(M175)&gt;0,M$4,""),IF(N(O175)&gt;0,O$4,""),IF(N(Q175)&gt;0,Q$4,""),IF(N(S175)&gt;0,S$4,""),IF(N(U175)&gt;0,U$4,""),IF(N(W175)&gt;0,W$4,""),IF(N(Y175)&gt;0,Y$4,""),IF(N(AA175)&gt;0,AA$4,""),IF(N(AC175)&gt;0,AC$4,""),IF(N(AE175)&gt;0,AE$4,""),IF(N(AG175)&gt;0,AG$4,""),IF(N(AI175)&gt;0,AI$4,""),IF(N(AK175)&gt;0,AK$4,""),IF(N(AM175)&gt;0,AM$4,""),IF(N(AO175)&gt;0,AO$4,""),IF(N(AQ175)&gt;0,AQ$4,""),IF(N(#REF!)&gt;0,#REF!,"")),"")</f>
        <v>#REF!</v>
      </c>
      <c r="CW175" s="11"/>
      <c r="CX175" s="11" t="e">
        <f t="shared" si="9"/>
        <v>#REF!</v>
      </c>
      <c r="CY175" s="12"/>
      <c r="CZ175" s="68"/>
    </row>
    <row r="176" spans="1:104" ht="18" customHeight="1" x14ac:dyDescent="0.3">
      <c r="A176" s="150"/>
      <c r="B176" s="43"/>
      <c r="C176" s="12">
        <v>46194</v>
      </c>
      <c r="D176" s="20">
        <f t="shared" si="8"/>
        <v>0</v>
      </c>
      <c r="E176" s="20" t="str">
        <f t="shared" si="10"/>
        <v/>
      </c>
      <c r="F176" s="20"/>
      <c r="G176" s="20" t="str">
        <f t="shared" si="11"/>
        <v/>
      </c>
      <c r="H176" s="20"/>
      <c r="I176" s="20"/>
      <c r="J176" s="20"/>
      <c r="K176" s="20"/>
      <c r="L176" s="20"/>
      <c r="M176" s="19" t="s">
        <v>71</v>
      </c>
      <c r="N176" s="19"/>
      <c r="O176" s="19" t="s">
        <v>71</v>
      </c>
      <c r="P176" s="19"/>
      <c r="Q176" s="19" t="s">
        <v>71</v>
      </c>
      <c r="R176" s="19"/>
      <c r="S176" s="19" t="s">
        <v>71</v>
      </c>
      <c r="T176" s="19"/>
      <c r="U176" s="19" t="s">
        <v>71</v>
      </c>
      <c r="V176" s="19"/>
      <c r="W176" s="19"/>
      <c r="X176" s="19"/>
      <c r="Y176" s="19" t="s">
        <v>71</v>
      </c>
      <c r="Z176" s="19"/>
      <c r="AA176" s="19" t="s">
        <v>71</v>
      </c>
      <c r="AB176" s="19"/>
      <c r="AC176" s="19" t="s">
        <v>71</v>
      </c>
      <c r="AD176" s="19"/>
      <c r="AE176" s="19" t="s">
        <v>71</v>
      </c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 t="s">
        <v>71</v>
      </c>
      <c r="CF176" s="19"/>
      <c r="CG176" s="19" t="s">
        <v>71</v>
      </c>
      <c r="CH176" s="19"/>
      <c r="CI176" s="19" t="s">
        <v>71</v>
      </c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1" t="e">
        <f>IF(SUM(E176,G176,I176,K176,M176,O176,Q176,S176,U176,W176,Y176,AA176,AC176,AE176,AG176,AI176,AK176,AM176,AO176,AQ176,#REF!)&gt;0,"Sí","No")</f>
        <v>#REF!</v>
      </c>
      <c r="CV176" s="92" t="e">
        <f>IF($CU176="Sí",_xlfn.TEXTJOIN(", ",TRUE,IF(N(E176)&gt;0,E$4,""),IF(N(G176)&gt;0,G$4,""),IF(N(I176)&gt;0,I$4,""),IF(N(K176)&gt;0,K$4,""),IF(N(M176)&gt;0,M$4,""),IF(N(O176)&gt;0,O$4,""),IF(N(Q176)&gt;0,Q$4,""),IF(N(S176)&gt;0,S$4,""),IF(N(U176)&gt;0,U$4,""),IF(N(W176)&gt;0,W$4,""),IF(N(Y176)&gt;0,Y$4,""),IF(N(AA176)&gt;0,AA$4,""),IF(N(AC176)&gt;0,AC$4,""),IF(N(AE176)&gt;0,AE$4,""),IF(N(AG176)&gt;0,AG$4,""),IF(N(AI176)&gt;0,AI$4,""),IF(N(AK176)&gt;0,AK$4,""),IF(N(AM176)&gt;0,AM$4,""),IF(N(AO176)&gt;0,AO$4,""),IF(N(AQ176)&gt;0,AQ$4,""),IF(N(#REF!)&gt;0,#REF!,"")),"")</f>
        <v>#REF!</v>
      </c>
      <c r="CW176" s="11"/>
      <c r="CX176" s="11" t="e">
        <f t="shared" si="9"/>
        <v>#REF!</v>
      </c>
      <c r="CY176" s="12"/>
      <c r="CZ176" s="68"/>
    </row>
    <row r="177" spans="1:104" ht="18" customHeight="1" x14ac:dyDescent="0.3">
      <c r="A177" s="150"/>
      <c r="B177" s="43"/>
      <c r="C177" s="12">
        <v>46195</v>
      </c>
      <c r="D177" s="20">
        <f t="shared" si="8"/>
        <v>0</v>
      </c>
      <c r="E177" s="20" t="str">
        <f t="shared" si="10"/>
        <v/>
      </c>
      <c r="F177" s="20"/>
      <c r="G177" s="20" t="str">
        <f t="shared" si="11"/>
        <v/>
      </c>
      <c r="H177" s="20"/>
      <c r="I177" s="20"/>
      <c r="J177" s="20"/>
      <c r="K177" s="20"/>
      <c r="L177" s="20"/>
      <c r="M177" s="19" t="s">
        <v>71</v>
      </c>
      <c r="N177" s="19"/>
      <c r="O177" s="19" t="s">
        <v>71</v>
      </c>
      <c r="P177" s="19"/>
      <c r="Q177" s="19" t="s">
        <v>71</v>
      </c>
      <c r="R177" s="19"/>
      <c r="S177" s="19" t="s">
        <v>71</v>
      </c>
      <c r="T177" s="19"/>
      <c r="U177" s="19" t="s">
        <v>71</v>
      </c>
      <c r="V177" s="19"/>
      <c r="W177" s="19"/>
      <c r="X177" s="19"/>
      <c r="Y177" s="19" t="s">
        <v>71</v>
      </c>
      <c r="Z177" s="19"/>
      <c r="AA177" s="19" t="s">
        <v>71</v>
      </c>
      <c r="AB177" s="19"/>
      <c r="AC177" s="19" t="s">
        <v>71</v>
      </c>
      <c r="AD177" s="19"/>
      <c r="AE177" s="19" t="s">
        <v>71</v>
      </c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 t="s">
        <v>71</v>
      </c>
      <c r="CF177" s="19"/>
      <c r="CG177" s="19" t="s">
        <v>71</v>
      </c>
      <c r="CH177" s="19"/>
      <c r="CI177" s="19" t="s">
        <v>71</v>
      </c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1" t="e">
        <f>IF(SUM(E177,G177,I177,K177,M177,O177,Q177,S177,U177,W177,Y177,AA177,AC177,AE177,AG177,AI177,AK177,AM177,AO177,AQ177,#REF!)&gt;0,"Sí","No")</f>
        <v>#REF!</v>
      </c>
      <c r="CV177" s="92" t="e">
        <f>IF($CU177="Sí",_xlfn.TEXTJOIN(", ",TRUE,IF(N(E177)&gt;0,E$4,""),IF(N(G177)&gt;0,G$4,""),IF(N(I177)&gt;0,I$4,""),IF(N(K177)&gt;0,K$4,""),IF(N(M177)&gt;0,M$4,""),IF(N(O177)&gt;0,O$4,""),IF(N(Q177)&gt;0,Q$4,""),IF(N(S177)&gt;0,S$4,""),IF(N(U177)&gt;0,U$4,""),IF(N(W177)&gt;0,W$4,""),IF(N(Y177)&gt;0,Y$4,""),IF(N(AA177)&gt;0,AA$4,""),IF(N(AC177)&gt;0,AC$4,""),IF(N(AE177)&gt;0,AE$4,""),IF(N(AG177)&gt;0,AG$4,""),IF(N(AI177)&gt;0,AI$4,""),IF(N(AK177)&gt;0,AK$4,""),IF(N(AM177)&gt;0,AM$4,""),IF(N(AO177)&gt;0,AO$4,""),IF(N(AQ177)&gt;0,AQ$4,""),IF(N(#REF!)&gt;0,#REF!,"")),"")</f>
        <v>#REF!</v>
      </c>
      <c r="CW177" s="11"/>
      <c r="CX177" s="11" t="e">
        <f t="shared" si="9"/>
        <v>#REF!</v>
      </c>
      <c r="CY177" s="12">
        <v>46195</v>
      </c>
      <c r="CZ177" s="68"/>
    </row>
    <row r="178" spans="1:104" ht="18" customHeight="1" x14ac:dyDescent="0.3">
      <c r="A178" s="150"/>
      <c r="B178" s="43"/>
      <c r="C178" s="12">
        <v>46196</v>
      </c>
      <c r="D178" s="20">
        <f t="shared" si="8"/>
        <v>48</v>
      </c>
      <c r="E178" s="20" t="str">
        <f t="shared" si="10"/>
        <v/>
      </c>
      <c r="F178" s="20"/>
      <c r="G178" s="20" t="str">
        <f t="shared" si="11"/>
        <v/>
      </c>
      <c r="H178" s="20"/>
      <c r="I178" s="20"/>
      <c r="J178" s="20"/>
      <c r="K178" s="20"/>
      <c r="L178" s="20"/>
      <c r="M178" s="19" t="s">
        <v>71</v>
      </c>
      <c r="N178" s="19"/>
      <c r="O178" s="19" t="s">
        <v>71</v>
      </c>
      <c r="P178" s="19"/>
      <c r="Q178" s="19" t="s">
        <v>71</v>
      </c>
      <c r="R178" s="19"/>
      <c r="S178" s="19" t="s">
        <v>71</v>
      </c>
      <c r="T178" s="19"/>
      <c r="U178" s="19" t="s">
        <v>71</v>
      </c>
      <c r="V178" s="19"/>
      <c r="W178" s="19"/>
      <c r="X178" s="19"/>
      <c r="Y178" s="19" t="s">
        <v>71</v>
      </c>
      <c r="Z178" s="19"/>
      <c r="AA178" s="19" t="s">
        <v>71</v>
      </c>
      <c r="AB178" s="19"/>
      <c r="AC178" s="19" t="s">
        <v>71</v>
      </c>
      <c r="AD178" s="19"/>
      <c r="AE178" s="19" t="s">
        <v>71</v>
      </c>
      <c r="AF178" s="19"/>
      <c r="AG178" s="19"/>
      <c r="AH178" s="19"/>
      <c r="AI178" s="19"/>
      <c r="AJ178" s="19"/>
      <c r="AK178" s="19"/>
      <c r="AL178" s="19"/>
      <c r="AM178" s="19">
        <v>12</v>
      </c>
      <c r="AN178" s="19">
        <v>24</v>
      </c>
      <c r="AO178" s="19">
        <v>12</v>
      </c>
      <c r="AP178" s="19">
        <v>24</v>
      </c>
      <c r="AQ178" s="19">
        <v>12</v>
      </c>
      <c r="AR178" s="19">
        <v>24</v>
      </c>
      <c r="AS178" s="19">
        <v>12</v>
      </c>
      <c r="AT178" s="19">
        <v>24</v>
      </c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 t="s">
        <v>71</v>
      </c>
      <c r="CF178" s="19"/>
      <c r="CG178" s="19" t="s">
        <v>71</v>
      </c>
      <c r="CH178" s="19"/>
      <c r="CI178" s="19" t="s">
        <v>71</v>
      </c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1" t="e">
        <f>IF(SUM(E178,G178,I178,K178,M178,O178,Q178,S178,U178,W178,Y178,AA178,AC178,AE178,AG178,AI178,AK178,AM178,AO178,AQ178,#REF!)&gt;0,"Sí","No")</f>
        <v>#REF!</v>
      </c>
      <c r="CV178" s="92" t="e">
        <f>IF($CU178="Sí",_xlfn.TEXTJOIN(", ",TRUE,IF(N(E178)&gt;0,E$4,""),IF(N(G178)&gt;0,G$4,""),IF(N(I178)&gt;0,I$4,""),IF(N(K178)&gt;0,K$4,""),IF(N(M178)&gt;0,M$4,""),IF(N(O178)&gt;0,O$4,""),IF(N(Q178)&gt;0,Q$4,""),IF(N(S178)&gt;0,S$4,""),IF(N(U178)&gt;0,U$4,""),IF(N(W178)&gt;0,W$4,""),IF(N(Y178)&gt;0,Y$4,""),IF(N(AA178)&gt;0,AA$4,""),IF(N(AC178)&gt;0,AC$4,""),IF(N(AE178)&gt;0,AE$4,""),IF(N(AG178)&gt;0,AG$4,""),IF(N(AI178)&gt;0,AI$4,""),IF(N(AK178)&gt;0,AK$4,""),IF(N(AM178)&gt;0,AM$4,""),IF(N(AO178)&gt;0,AO$4,""),IF(N(AQ178)&gt;0,AQ$4,""),IF(N(#REF!)&gt;0,#REF!,"")),"")</f>
        <v>#REF!</v>
      </c>
      <c r="CW178" s="11"/>
      <c r="CX178" s="11" t="e">
        <f t="shared" si="9"/>
        <v>#REF!</v>
      </c>
      <c r="CY178" s="12"/>
      <c r="CZ178" s="68"/>
    </row>
    <row r="179" spans="1:104" ht="18" customHeight="1" x14ac:dyDescent="0.3">
      <c r="A179" s="150"/>
      <c r="B179" s="43"/>
      <c r="C179" s="12">
        <v>46197</v>
      </c>
      <c r="D179" s="20">
        <f t="shared" si="8"/>
        <v>0</v>
      </c>
      <c r="E179" s="20" t="str">
        <f t="shared" si="10"/>
        <v/>
      </c>
      <c r="F179" s="20"/>
      <c r="G179" s="20" t="str">
        <f t="shared" si="11"/>
        <v/>
      </c>
      <c r="H179" s="20"/>
      <c r="I179" s="20"/>
      <c r="J179" s="20"/>
      <c r="K179" s="20"/>
      <c r="L179" s="20"/>
      <c r="M179" s="19" t="s">
        <v>71</v>
      </c>
      <c r="N179" s="19"/>
      <c r="O179" s="19" t="s">
        <v>71</v>
      </c>
      <c r="P179" s="19"/>
      <c r="Q179" s="19" t="s">
        <v>71</v>
      </c>
      <c r="R179" s="19"/>
      <c r="S179" s="19" t="s">
        <v>71</v>
      </c>
      <c r="T179" s="19"/>
      <c r="U179" s="19" t="s">
        <v>71</v>
      </c>
      <c r="V179" s="19"/>
      <c r="W179" s="19"/>
      <c r="X179" s="19"/>
      <c r="Y179" s="19" t="s">
        <v>71</v>
      </c>
      <c r="Z179" s="19"/>
      <c r="AA179" s="19" t="s">
        <v>71</v>
      </c>
      <c r="AB179" s="19"/>
      <c r="AC179" s="19" t="s">
        <v>71</v>
      </c>
      <c r="AD179" s="19"/>
      <c r="AE179" s="19" t="s">
        <v>71</v>
      </c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>
        <v>12</v>
      </c>
      <c r="AX179" s="19">
        <v>20</v>
      </c>
      <c r="AY179" s="19">
        <v>12</v>
      </c>
      <c r="AZ179" s="19">
        <v>20</v>
      </c>
      <c r="BA179" s="19">
        <v>12</v>
      </c>
      <c r="BB179" s="19">
        <v>20</v>
      </c>
      <c r="BC179" s="19">
        <v>12</v>
      </c>
      <c r="BD179" s="19">
        <v>20</v>
      </c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 t="s">
        <v>71</v>
      </c>
      <c r="CF179" s="19"/>
      <c r="CG179" s="19" t="s">
        <v>71</v>
      </c>
      <c r="CH179" s="19"/>
      <c r="CI179" s="19" t="s">
        <v>71</v>
      </c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1" t="e">
        <f>IF(SUM(E179,G179,I179,K179,M179,O179,Q179,S179,U179,W179,Y179,AA179,AC179,AE179,AG179,AI179,AK179,AM179,AO179,AQ179,#REF!)&gt;0,"Sí","No")</f>
        <v>#REF!</v>
      </c>
      <c r="CV179" s="92" t="e">
        <f>IF($CU179="Sí",_xlfn.TEXTJOIN(", ",TRUE,IF(N(E179)&gt;0,E$4,""),IF(N(G179)&gt;0,G$4,""),IF(N(I179)&gt;0,I$4,""),IF(N(K179)&gt;0,K$4,""),IF(N(M179)&gt;0,M$4,""),IF(N(O179)&gt;0,O$4,""),IF(N(Q179)&gt;0,Q$4,""),IF(N(S179)&gt;0,S$4,""),IF(N(U179)&gt;0,U$4,""),IF(N(W179)&gt;0,W$4,""),IF(N(Y179)&gt;0,Y$4,""),IF(N(AA179)&gt;0,AA$4,""),IF(N(AC179)&gt;0,AC$4,""),IF(N(AE179)&gt;0,AE$4,""),IF(N(AG179)&gt;0,AG$4,""),IF(N(AI179)&gt;0,AI$4,""),IF(N(AK179)&gt;0,AK$4,""),IF(N(AM179)&gt;0,AM$4,""),IF(N(AO179)&gt;0,AO$4,""),IF(N(AQ179)&gt;0,AQ$4,""),IF(N(#REF!)&gt;0,#REF!,"")),"")</f>
        <v>#REF!</v>
      </c>
      <c r="CW179" s="11"/>
      <c r="CX179" s="11" t="e">
        <f t="shared" si="9"/>
        <v>#REF!</v>
      </c>
      <c r="CY179" s="12">
        <v>46196</v>
      </c>
      <c r="CZ179" s="68"/>
    </row>
    <row r="180" spans="1:104" ht="18" customHeight="1" x14ac:dyDescent="0.3">
      <c r="A180" s="150"/>
      <c r="B180" s="43"/>
      <c r="C180" s="12">
        <v>46198</v>
      </c>
      <c r="D180" s="20">
        <f t="shared" si="8"/>
        <v>0</v>
      </c>
      <c r="E180" s="20" t="str">
        <f t="shared" si="10"/>
        <v/>
      </c>
      <c r="F180" s="20"/>
      <c r="G180" s="20" t="str">
        <f t="shared" si="11"/>
        <v/>
      </c>
      <c r="H180" s="20"/>
      <c r="I180" s="20"/>
      <c r="J180" s="20"/>
      <c r="K180" s="20"/>
      <c r="L180" s="20"/>
      <c r="M180" s="19" t="s">
        <v>71</v>
      </c>
      <c r="N180" s="19"/>
      <c r="O180" s="19" t="s">
        <v>71</v>
      </c>
      <c r="P180" s="19"/>
      <c r="Q180" s="19" t="s">
        <v>71</v>
      </c>
      <c r="R180" s="19"/>
      <c r="S180" s="19" t="s">
        <v>71</v>
      </c>
      <c r="T180" s="19"/>
      <c r="U180" s="19" t="s">
        <v>71</v>
      </c>
      <c r="V180" s="19"/>
      <c r="W180" s="19"/>
      <c r="X180" s="19"/>
      <c r="Y180" s="19" t="s">
        <v>71</v>
      </c>
      <c r="Z180" s="19"/>
      <c r="AA180" s="19" t="s">
        <v>71</v>
      </c>
      <c r="AB180" s="19"/>
      <c r="AC180" s="19" t="s">
        <v>71</v>
      </c>
      <c r="AD180" s="19"/>
      <c r="AE180" s="19" t="s">
        <v>71</v>
      </c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 t="s">
        <v>71</v>
      </c>
      <c r="CF180" s="19"/>
      <c r="CG180" s="19" t="s">
        <v>71</v>
      </c>
      <c r="CH180" s="19"/>
      <c r="CI180" s="19" t="s">
        <v>71</v>
      </c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1" t="e">
        <f>IF(SUM(E180,G180,I180,K180,M180,O180,Q180,S180,U180,W180,Y180,AA180,AC180,AE180,AG180,AI180,AK180,AM180,AO180,AQ180,#REF!)&gt;0,"Sí","No")</f>
        <v>#REF!</v>
      </c>
      <c r="CV180" s="92" t="e">
        <f>IF($CU180="Sí",_xlfn.TEXTJOIN(", ",TRUE,IF(N(E180)&gt;0,E$4,""),IF(N(G180)&gt;0,G$4,""),IF(N(I180)&gt;0,I$4,""),IF(N(K180)&gt;0,K$4,""),IF(N(M180)&gt;0,M$4,""),IF(N(O180)&gt;0,O$4,""),IF(N(Q180)&gt;0,Q$4,""),IF(N(S180)&gt;0,S$4,""),IF(N(U180)&gt;0,U$4,""),IF(N(W180)&gt;0,W$4,""),IF(N(Y180)&gt;0,Y$4,""),IF(N(AA180)&gt;0,AA$4,""),IF(N(AC180)&gt;0,AC$4,""),IF(N(AE180)&gt;0,AE$4,""),IF(N(AG180)&gt;0,AG$4,""),IF(N(AI180)&gt;0,AI$4,""),IF(N(AK180)&gt;0,AK$4,""),IF(N(AM180)&gt;0,AM$4,""),IF(N(AO180)&gt;0,AO$4,""),IF(N(AQ180)&gt;0,AQ$4,""),IF(N(#REF!)&gt;0,#REF!,"")),"")</f>
        <v>#REF!</v>
      </c>
      <c r="CW180" s="11"/>
      <c r="CX180" s="11" t="e">
        <f t="shared" si="9"/>
        <v>#REF!</v>
      </c>
      <c r="CY180" s="12"/>
      <c r="CZ180" s="68"/>
    </row>
    <row r="181" spans="1:104" ht="18" customHeight="1" x14ac:dyDescent="0.3">
      <c r="A181" s="150"/>
      <c r="B181" s="43"/>
      <c r="C181" s="12">
        <v>46199</v>
      </c>
      <c r="D181" s="20">
        <f t="shared" si="8"/>
        <v>0</v>
      </c>
      <c r="E181" s="20" t="str">
        <f t="shared" si="10"/>
        <v/>
      </c>
      <c r="F181" s="20"/>
      <c r="G181" s="20" t="str">
        <f t="shared" si="11"/>
        <v/>
      </c>
      <c r="H181" s="20"/>
      <c r="I181" s="20"/>
      <c r="J181" s="20"/>
      <c r="K181" s="20"/>
      <c r="L181" s="20"/>
      <c r="M181" s="19" t="s">
        <v>71</v>
      </c>
      <c r="N181" s="19"/>
      <c r="O181" s="19" t="s">
        <v>71</v>
      </c>
      <c r="P181" s="19"/>
      <c r="Q181" s="19" t="s">
        <v>71</v>
      </c>
      <c r="R181" s="19"/>
      <c r="S181" s="19" t="s">
        <v>71</v>
      </c>
      <c r="T181" s="19"/>
      <c r="U181" s="19" t="s">
        <v>71</v>
      </c>
      <c r="V181" s="19"/>
      <c r="W181" s="19"/>
      <c r="X181" s="19"/>
      <c r="Y181" s="19" t="s">
        <v>71</v>
      </c>
      <c r="Z181" s="19"/>
      <c r="AA181" s="19" t="s">
        <v>71</v>
      </c>
      <c r="AB181" s="19"/>
      <c r="AC181" s="19" t="s">
        <v>71</v>
      </c>
      <c r="AD181" s="19"/>
      <c r="AE181" s="19" t="s">
        <v>71</v>
      </c>
      <c r="AF181" s="19"/>
      <c r="AG181" s="19" t="s">
        <v>71</v>
      </c>
      <c r="AH181" s="19"/>
      <c r="AI181" s="19" t="s">
        <v>71</v>
      </c>
      <c r="AJ181" s="19"/>
      <c r="AK181" s="19" t="s">
        <v>71</v>
      </c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 t="s">
        <v>71</v>
      </c>
      <c r="CF181" s="19"/>
      <c r="CG181" s="19" t="s">
        <v>71</v>
      </c>
      <c r="CH181" s="19"/>
      <c r="CI181" s="19" t="s">
        <v>71</v>
      </c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1" t="e">
        <f>IF(SUM(E181,G181,I181,K181,M181,O181,Q181,S181,U181,W181,Y181,AA181,AC181,AE181,AG181,AI181,AK181,AM181,AO181,AQ181,#REF!)&gt;0,"Sí","No")</f>
        <v>#REF!</v>
      </c>
      <c r="CV181" s="92" t="e">
        <f>IF($CU181="Sí",_xlfn.TEXTJOIN(", ",TRUE,IF(N(E181)&gt;0,E$4,""),IF(N(G181)&gt;0,G$4,""),IF(N(I181)&gt;0,I$4,""),IF(N(K181)&gt;0,K$4,""),IF(N(M181)&gt;0,M$4,""),IF(N(O181)&gt;0,O$4,""),IF(N(Q181)&gt;0,Q$4,""),IF(N(S181)&gt;0,S$4,""),IF(N(U181)&gt;0,U$4,""),IF(N(W181)&gt;0,W$4,""),IF(N(Y181)&gt;0,Y$4,""),IF(N(AA181)&gt;0,AA$4,""),IF(N(AC181)&gt;0,AC$4,""),IF(N(AE181)&gt;0,AE$4,""),IF(N(AG181)&gt;0,AG$4,""),IF(N(AI181)&gt;0,AI$4,""),IF(N(AK181)&gt;0,AK$4,""),IF(N(AM181)&gt;0,AM$4,""),IF(N(AO181)&gt;0,AO$4,""),IF(N(AQ181)&gt;0,AQ$4,""),IF(N(#REF!)&gt;0,#REF!,"")),"")</f>
        <v>#REF!</v>
      </c>
      <c r="CW181" s="11"/>
      <c r="CX181" s="11" t="e">
        <f t="shared" si="9"/>
        <v>#REF!</v>
      </c>
      <c r="CY181" s="12"/>
      <c r="CZ181" s="68"/>
    </row>
    <row r="182" spans="1:104" ht="18" customHeight="1" x14ac:dyDescent="0.3">
      <c r="A182" s="150"/>
      <c r="B182" s="43"/>
      <c r="C182" s="12">
        <v>46200</v>
      </c>
      <c r="D182" s="20">
        <f t="shared" si="8"/>
        <v>0</v>
      </c>
      <c r="E182" s="20" t="str">
        <f t="shared" si="10"/>
        <v/>
      </c>
      <c r="F182" s="20"/>
      <c r="G182" s="20" t="str">
        <f t="shared" si="11"/>
        <v/>
      </c>
      <c r="H182" s="20"/>
      <c r="I182" s="20"/>
      <c r="J182" s="20"/>
      <c r="K182" s="20"/>
      <c r="L182" s="20"/>
      <c r="M182" s="19" t="s">
        <v>71</v>
      </c>
      <c r="N182" s="19"/>
      <c r="O182" s="19" t="s">
        <v>71</v>
      </c>
      <c r="P182" s="19"/>
      <c r="Q182" s="19" t="s">
        <v>71</v>
      </c>
      <c r="R182" s="19"/>
      <c r="S182" s="19" t="s">
        <v>71</v>
      </c>
      <c r="T182" s="19"/>
      <c r="U182" s="19" t="s">
        <v>71</v>
      </c>
      <c r="V182" s="19"/>
      <c r="W182" s="19"/>
      <c r="X182" s="19"/>
      <c r="Y182" s="19" t="s">
        <v>71</v>
      </c>
      <c r="Z182" s="19"/>
      <c r="AA182" s="19" t="s">
        <v>71</v>
      </c>
      <c r="AB182" s="19"/>
      <c r="AC182" s="19" t="s">
        <v>71</v>
      </c>
      <c r="AD182" s="19"/>
      <c r="AE182" s="19" t="s">
        <v>71</v>
      </c>
      <c r="AF182" s="19"/>
      <c r="AG182" s="19" t="s">
        <v>71</v>
      </c>
      <c r="AH182" s="19"/>
      <c r="AI182" s="19" t="s">
        <v>71</v>
      </c>
      <c r="AJ182" s="19"/>
      <c r="AK182" s="19" t="s">
        <v>71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 t="s">
        <v>71</v>
      </c>
      <c r="CF182" s="19"/>
      <c r="CG182" s="19" t="s">
        <v>71</v>
      </c>
      <c r="CH182" s="19"/>
      <c r="CI182" s="19" t="s">
        <v>71</v>
      </c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1" t="e">
        <f>IF(SUM(E182,G182,I182,K182,M182,O182,Q182,S182,U182,W182,Y182,AA182,AC182,AE182,AG182,AI182,AK182,AM182,AO182,AQ182,#REF!)&gt;0,"Sí","No")</f>
        <v>#REF!</v>
      </c>
      <c r="CV182" s="92" t="e">
        <f>IF($CU182="Sí",_xlfn.TEXTJOIN(", ",TRUE,IF(N(E182)&gt;0,E$4,""),IF(N(G182)&gt;0,G$4,""),IF(N(I182)&gt;0,I$4,""),IF(N(K182)&gt;0,K$4,""),IF(N(M182)&gt;0,M$4,""),IF(N(O182)&gt;0,O$4,""),IF(N(Q182)&gt;0,Q$4,""),IF(N(S182)&gt;0,S$4,""),IF(N(U182)&gt;0,U$4,""),IF(N(W182)&gt;0,W$4,""),IF(N(Y182)&gt;0,Y$4,""),IF(N(AA182)&gt;0,AA$4,""),IF(N(AC182)&gt;0,AC$4,""),IF(N(AE182)&gt;0,AE$4,""),IF(N(AG182)&gt;0,AG$4,""),IF(N(AI182)&gt;0,AI$4,""),IF(N(AK182)&gt;0,AK$4,""),IF(N(AM182)&gt;0,AM$4,""),IF(N(AO182)&gt;0,AO$4,""),IF(N(AQ182)&gt;0,AQ$4,""),IF(N(#REF!)&gt;0,#REF!,"")),"")</f>
        <v>#REF!</v>
      </c>
      <c r="CW182" s="11"/>
      <c r="CX182" s="11" t="e">
        <f t="shared" si="9"/>
        <v>#REF!</v>
      </c>
      <c r="CY182" s="12"/>
      <c r="CZ182" s="68"/>
    </row>
    <row r="183" spans="1:104" ht="18" customHeight="1" x14ac:dyDescent="0.3">
      <c r="A183" s="150"/>
      <c r="B183" s="43"/>
      <c r="C183" s="12">
        <v>46201</v>
      </c>
      <c r="D183" s="20">
        <f t="shared" si="8"/>
        <v>0</v>
      </c>
      <c r="E183" s="20" t="str">
        <f t="shared" si="10"/>
        <v/>
      </c>
      <c r="F183" s="20"/>
      <c r="G183" s="20" t="str">
        <f t="shared" si="11"/>
        <v/>
      </c>
      <c r="H183" s="20"/>
      <c r="I183" s="20"/>
      <c r="J183" s="20"/>
      <c r="K183" s="20"/>
      <c r="L183" s="20"/>
      <c r="M183" s="19" t="s">
        <v>71</v>
      </c>
      <c r="N183" s="19"/>
      <c r="O183" s="19" t="s">
        <v>71</v>
      </c>
      <c r="P183" s="19"/>
      <c r="Q183" s="19" t="s">
        <v>71</v>
      </c>
      <c r="R183" s="19"/>
      <c r="S183" s="19" t="s">
        <v>71</v>
      </c>
      <c r="T183" s="19"/>
      <c r="U183" s="19" t="s">
        <v>71</v>
      </c>
      <c r="V183" s="19"/>
      <c r="W183" s="19"/>
      <c r="X183" s="19"/>
      <c r="Y183" s="19" t="s">
        <v>71</v>
      </c>
      <c r="Z183" s="19"/>
      <c r="AA183" s="19" t="s">
        <v>71</v>
      </c>
      <c r="AB183" s="19"/>
      <c r="AC183" s="19" t="s">
        <v>71</v>
      </c>
      <c r="AD183" s="19"/>
      <c r="AE183" s="19" t="s">
        <v>71</v>
      </c>
      <c r="AF183" s="19"/>
      <c r="AG183" s="19" t="s">
        <v>71</v>
      </c>
      <c r="AH183" s="19"/>
      <c r="AI183" s="19" t="s">
        <v>71</v>
      </c>
      <c r="AJ183" s="19"/>
      <c r="AK183" s="19" t="s">
        <v>71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 t="s">
        <v>71</v>
      </c>
      <c r="CF183" s="19"/>
      <c r="CG183" s="19" t="s">
        <v>71</v>
      </c>
      <c r="CH183" s="19"/>
      <c r="CI183" s="19" t="s">
        <v>71</v>
      </c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1" t="e">
        <f>IF(SUM(E183,G183,I183,K183,M183,O183,Q183,S183,U183,W183,Y183,AA183,AC183,AE183,AG183,AI183,AK183,AM183,AO183,AQ183,#REF!)&gt;0,"Sí","No")</f>
        <v>#REF!</v>
      </c>
      <c r="CV183" s="92" t="e">
        <f>IF($CU183="Sí",_xlfn.TEXTJOIN(", ",TRUE,IF(N(E183)&gt;0,E$4,""),IF(N(G183)&gt;0,G$4,""),IF(N(I183)&gt;0,I$4,""),IF(N(K183)&gt;0,K$4,""),IF(N(M183)&gt;0,M$4,""),IF(N(O183)&gt;0,O$4,""),IF(N(Q183)&gt;0,Q$4,""),IF(N(S183)&gt;0,S$4,""),IF(N(U183)&gt;0,U$4,""),IF(N(W183)&gt;0,W$4,""),IF(N(Y183)&gt;0,Y$4,""),IF(N(AA183)&gt;0,AA$4,""),IF(N(AC183)&gt;0,AC$4,""),IF(N(AE183)&gt;0,AE$4,""),IF(N(AG183)&gt;0,AG$4,""),IF(N(AI183)&gt;0,AI$4,""),IF(N(AK183)&gt;0,AK$4,""),IF(N(AM183)&gt;0,AM$4,""),IF(N(AO183)&gt;0,AO$4,""),IF(N(AQ183)&gt;0,AQ$4,""),IF(N(#REF!)&gt;0,#REF!,"")),"")</f>
        <v>#REF!</v>
      </c>
      <c r="CW183" s="11"/>
      <c r="CX183" s="11" t="e">
        <f t="shared" si="9"/>
        <v>#REF!</v>
      </c>
      <c r="CY183" s="12"/>
      <c r="CZ183" s="68"/>
    </row>
    <row r="184" spans="1:104" ht="18" customHeight="1" x14ac:dyDescent="0.3">
      <c r="A184" s="150"/>
      <c r="B184" s="43"/>
      <c r="C184" s="12">
        <v>46202</v>
      </c>
      <c r="D184" s="20">
        <f t="shared" si="8"/>
        <v>0</v>
      </c>
      <c r="E184" s="20" t="str">
        <f t="shared" si="10"/>
        <v/>
      </c>
      <c r="F184" s="20"/>
      <c r="G184" s="20" t="str">
        <f t="shared" si="11"/>
        <v/>
      </c>
      <c r="H184" s="20"/>
      <c r="I184" s="20"/>
      <c r="J184" s="20"/>
      <c r="K184" s="20"/>
      <c r="L184" s="20"/>
      <c r="M184" s="19" t="s">
        <v>71</v>
      </c>
      <c r="N184" s="19"/>
      <c r="O184" s="19" t="s">
        <v>71</v>
      </c>
      <c r="P184" s="19"/>
      <c r="Q184" s="19" t="s">
        <v>71</v>
      </c>
      <c r="R184" s="19"/>
      <c r="S184" s="19" t="s">
        <v>71</v>
      </c>
      <c r="T184" s="19"/>
      <c r="U184" s="19" t="s">
        <v>71</v>
      </c>
      <c r="V184" s="19"/>
      <c r="W184" s="19"/>
      <c r="X184" s="19"/>
      <c r="Y184" s="19" t="s">
        <v>71</v>
      </c>
      <c r="Z184" s="19"/>
      <c r="AA184" s="19" t="s">
        <v>71</v>
      </c>
      <c r="AB184" s="19"/>
      <c r="AC184" s="19" t="s">
        <v>71</v>
      </c>
      <c r="AD184" s="19"/>
      <c r="AE184" s="19" t="s">
        <v>71</v>
      </c>
      <c r="AF184" s="19"/>
      <c r="AG184" s="19" t="s">
        <v>71</v>
      </c>
      <c r="AH184" s="19"/>
      <c r="AI184" s="19" t="s">
        <v>71</v>
      </c>
      <c r="AJ184" s="19"/>
      <c r="AK184" s="19" t="s">
        <v>71</v>
      </c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 t="s">
        <v>71</v>
      </c>
      <c r="CF184" s="19"/>
      <c r="CG184" s="19" t="s">
        <v>71</v>
      </c>
      <c r="CH184" s="19"/>
      <c r="CI184" s="19" t="s">
        <v>71</v>
      </c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1" t="e">
        <f>IF(SUM(E184,G184,I184,K184,M184,O184,Q184,S184,U184,W184,Y184,AA184,AC184,AE184,AG184,AI184,AK184,AM184,AO184,AQ184,#REF!)&gt;0,"Sí","No")</f>
        <v>#REF!</v>
      </c>
      <c r="CV184" s="92" t="e">
        <f>IF($CU184="Sí",_xlfn.TEXTJOIN(", ",TRUE,IF(N(E184)&gt;0,E$4,""),IF(N(G184)&gt;0,G$4,""),IF(N(I184)&gt;0,I$4,""),IF(N(K184)&gt;0,K$4,""),IF(N(M184)&gt;0,M$4,""),IF(N(O184)&gt;0,O$4,""),IF(N(Q184)&gt;0,Q$4,""),IF(N(S184)&gt;0,S$4,""),IF(N(U184)&gt;0,U$4,""),IF(N(W184)&gt;0,W$4,""),IF(N(Y184)&gt;0,Y$4,""),IF(N(AA184)&gt;0,AA$4,""),IF(N(AC184)&gt;0,AC$4,""),IF(N(AE184)&gt;0,AE$4,""),IF(N(AG184)&gt;0,AG$4,""),IF(N(AI184)&gt;0,AI$4,""),IF(N(AK184)&gt;0,AK$4,""),IF(N(AM184)&gt;0,AM$4,""),IF(N(AO184)&gt;0,AO$4,""),IF(N(AQ184)&gt;0,AQ$4,""),IF(N(#REF!)&gt;0,#REF!,"")),"")</f>
        <v>#REF!</v>
      </c>
      <c r="CW184" s="11"/>
      <c r="CX184" s="11" t="e">
        <f t="shared" si="9"/>
        <v>#REF!</v>
      </c>
      <c r="CY184" s="12"/>
      <c r="CZ184" s="68"/>
    </row>
    <row r="185" spans="1:104" ht="18" customHeight="1" thickBot="1" x14ac:dyDescent="0.35">
      <c r="A185" s="151"/>
      <c r="B185" s="44"/>
      <c r="C185" s="30">
        <v>46203</v>
      </c>
      <c r="D185" s="31">
        <f t="shared" si="8"/>
        <v>0</v>
      </c>
      <c r="E185" s="31" t="str">
        <f t="shared" si="10"/>
        <v/>
      </c>
      <c r="F185" s="31"/>
      <c r="G185" s="31" t="str">
        <f t="shared" si="11"/>
        <v/>
      </c>
      <c r="H185" s="31"/>
      <c r="I185" s="31"/>
      <c r="J185" s="31"/>
      <c r="K185" s="31"/>
      <c r="L185" s="31"/>
      <c r="M185" s="32" t="s">
        <v>71</v>
      </c>
      <c r="N185" s="32"/>
      <c r="O185" s="32" t="s">
        <v>71</v>
      </c>
      <c r="P185" s="32"/>
      <c r="Q185" s="32" t="s">
        <v>71</v>
      </c>
      <c r="R185" s="32"/>
      <c r="S185" s="32" t="s">
        <v>71</v>
      </c>
      <c r="T185" s="32"/>
      <c r="U185" s="32" t="s">
        <v>71</v>
      </c>
      <c r="V185" s="32"/>
      <c r="W185" s="32"/>
      <c r="X185" s="32"/>
      <c r="Y185" s="32" t="s">
        <v>71</v>
      </c>
      <c r="Z185" s="32"/>
      <c r="AA185" s="54" t="s">
        <v>71</v>
      </c>
      <c r="AB185" s="54"/>
      <c r="AC185" s="54" t="s">
        <v>71</v>
      </c>
      <c r="AD185" s="54"/>
      <c r="AE185" s="54" t="s">
        <v>71</v>
      </c>
      <c r="AF185" s="54"/>
      <c r="AG185" s="54" t="s">
        <v>71</v>
      </c>
      <c r="AH185" s="54"/>
      <c r="AI185" s="54" t="s">
        <v>71</v>
      </c>
      <c r="AJ185" s="54"/>
      <c r="AK185" s="54" t="s">
        <v>71</v>
      </c>
      <c r="AL185" s="54"/>
      <c r="AM185" s="54"/>
      <c r="AN185" s="54"/>
      <c r="AO185" s="54"/>
      <c r="AP185" s="54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>
        <v>10</v>
      </c>
      <c r="CF185" s="32">
        <v>20</v>
      </c>
      <c r="CG185" s="32">
        <v>10</v>
      </c>
      <c r="CH185" s="32">
        <v>20</v>
      </c>
      <c r="CI185" s="32">
        <v>10</v>
      </c>
      <c r="CJ185" s="32">
        <v>20</v>
      </c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70" t="e">
        <f>IF(SUM(E185,G185,I185,K185,M185,O185,Q185,S185,U185,W185,Y185,AA185,AC185,AE185,AG185,AI185,AK185,AM185,AO185,AQ185,#REF!)&gt;0,"Sí","No")</f>
        <v>#REF!</v>
      </c>
      <c r="CV185" s="108" t="e">
        <f>IF($CU185="Sí",_xlfn.TEXTJOIN(", ",TRUE,IF(N(E185)&gt;0,E$4,""),IF(N(G185)&gt;0,G$4,""),IF(N(I185)&gt;0,I$4,""),IF(N(K185)&gt;0,K$4,""),IF(N(M185)&gt;0,M$4,""),IF(N(O185)&gt;0,O$4,""),IF(N(Q185)&gt;0,Q$4,""),IF(N(S185)&gt;0,S$4,""),IF(N(U185)&gt;0,U$4,""),IF(N(W185)&gt;0,W$4,""),IF(N(Y185)&gt;0,Y$4,""),IF(N(AA185)&gt;0,AA$4,""),IF(N(AC185)&gt;0,AC$4,""),IF(N(AE185)&gt;0,AE$4,""),IF(N(AG185)&gt;0,AG$4,""),IF(N(AI185)&gt;0,AI$4,""),IF(N(AK185)&gt;0,AK$4,""),IF(N(AM185)&gt;0,AM$4,""),IF(N(AO185)&gt;0,AO$4,""),IF(N(AQ185)&gt;0,AQ$4,""),IF(N(#REF!)&gt;0,#REF!,"")),"")</f>
        <v>#REF!</v>
      </c>
      <c r="CW185" s="70"/>
      <c r="CX185" s="70" t="e">
        <f t="shared" si="9"/>
        <v>#REF!</v>
      </c>
      <c r="CY185" s="30">
        <v>46190</v>
      </c>
      <c r="CZ185" s="73"/>
    </row>
    <row r="186" spans="1:104" ht="64.2" customHeight="1" x14ac:dyDescent="0.3">
      <c r="A186" s="148" t="s">
        <v>62</v>
      </c>
      <c r="B186" s="42"/>
      <c r="C186" s="15">
        <v>46204</v>
      </c>
      <c r="D186" s="27">
        <f t="shared" si="8"/>
        <v>0</v>
      </c>
      <c r="E186" s="27"/>
      <c r="F186" s="27"/>
      <c r="G186" s="27"/>
      <c r="H186" s="27"/>
      <c r="I186" s="27"/>
      <c r="J186" s="27"/>
      <c r="K186" s="27"/>
      <c r="L186" s="27"/>
      <c r="M186" s="18" t="s">
        <v>71</v>
      </c>
      <c r="N186" s="18"/>
      <c r="O186" s="18" t="s">
        <v>71</v>
      </c>
      <c r="P186" s="18"/>
      <c r="Q186" s="18" t="s">
        <v>71</v>
      </c>
      <c r="R186" s="18"/>
      <c r="S186" s="18" t="s">
        <v>71</v>
      </c>
      <c r="T186" s="18"/>
      <c r="U186" s="18" t="s">
        <v>71</v>
      </c>
      <c r="V186" s="18"/>
      <c r="W186" s="18"/>
      <c r="X186" s="18"/>
      <c r="Y186" s="18" t="s">
        <v>71</v>
      </c>
      <c r="Z186" s="18"/>
      <c r="AA186" s="18" t="s">
        <v>71</v>
      </c>
      <c r="AB186" s="18"/>
      <c r="AC186" s="18" t="s">
        <v>71</v>
      </c>
      <c r="AD186" s="18"/>
      <c r="AE186" s="18" t="s">
        <v>71</v>
      </c>
      <c r="AF186" s="18"/>
      <c r="AG186" s="18" t="s">
        <v>71</v>
      </c>
      <c r="AH186" s="18"/>
      <c r="AI186" s="18" t="s">
        <v>71</v>
      </c>
      <c r="AJ186" s="18"/>
      <c r="AK186" s="18" t="s">
        <v>71</v>
      </c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 t="s">
        <v>71</v>
      </c>
      <c r="CF186" s="18"/>
      <c r="CG186" s="18" t="s">
        <v>71</v>
      </c>
      <c r="CH186" s="18"/>
      <c r="CI186" s="18" t="s">
        <v>71</v>
      </c>
      <c r="CJ186" s="18"/>
      <c r="CK186" s="18"/>
      <c r="CL186" s="18"/>
      <c r="CM186" s="18">
        <v>10</v>
      </c>
      <c r="CN186" s="18">
        <v>20</v>
      </c>
      <c r="CO186" s="18">
        <v>10</v>
      </c>
      <c r="CP186" s="18">
        <v>20</v>
      </c>
      <c r="CQ186" s="18">
        <v>10</v>
      </c>
      <c r="CR186" s="18">
        <v>20</v>
      </c>
      <c r="CS186" s="18"/>
      <c r="CT186" s="18"/>
      <c r="CU186" s="14" t="e">
        <f>IF(SUM(E186,G186,I186,K186,M186,O186,Q186,S186,U186,W186,Y186,AA186,AC186,AE186,AG186,AI186,AK186,AM186,AO186,AQ186,#REF!)&gt;0,"Sí","No")</f>
        <v>#REF!</v>
      </c>
      <c r="CV186" s="107" t="e">
        <f>IF($CU186="Sí",_xlfn.TEXTJOIN(", ",TRUE,IF(N(E186)&gt;0,E$4,""),IF(N(G186)&gt;0,G$4,""),IF(N(I186)&gt;0,I$4,""),IF(N(K186)&gt;0,K$4,""),IF(N(M186)&gt;0,M$4,""),IF(N(O186)&gt;0,O$4,""),IF(N(Q186)&gt;0,Q$4,""),IF(N(S186)&gt;0,S$4,""),IF(N(U186)&gt;0,U$4,""),IF(N(W186)&gt;0,W$4,""),IF(N(Y186)&gt;0,Y$4,""),IF(N(AA186)&gt;0,AA$4,""),IF(N(AC186)&gt;0,AC$4,""),IF(N(AE186)&gt;0,AE$4,""),IF(N(AG186)&gt;0,AG$4,""),IF(N(AI186)&gt;0,AI$4,""),IF(N(AK186)&gt;0,AK$4,""),IF(N(AM186)&gt;0,AM$4,""),IF(N(AO186)&gt;0,AO$4,""),IF(N(AQ186)&gt;0,AQ$4,""),IF(N(#REF!)&gt;0,#REF!,"")),"")</f>
        <v>#REF!</v>
      </c>
      <c r="CW186" s="14"/>
      <c r="CX186" s="14" t="e">
        <f t="shared" si="9"/>
        <v>#REF!</v>
      </c>
      <c r="CY186" s="75" t="s">
        <v>119</v>
      </c>
      <c r="CZ186" s="66"/>
    </row>
    <row r="187" spans="1:104" ht="38.4" customHeight="1" x14ac:dyDescent="0.3">
      <c r="A187" s="150"/>
      <c r="B187" s="43"/>
      <c r="C187" s="12">
        <v>46205</v>
      </c>
      <c r="D187" s="20">
        <f t="shared" si="8"/>
        <v>0</v>
      </c>
      <c r="E187" s="20"/>
      <c r="F187" s="20"/>
      <c r="G187" s="20"/>
      <c r="H187" s="20"/>
      <c r="I187" s="20"/>
      <c r="J187" s="20"/>
      <c r="K187" s="20"/>
      <c r="L187" s="20"/>
      <c r="M187" s="19" t="s">
        <v>71</v>
      </c>
      <c r="N187" s="19"/>
      <c r="O187" s="19" t="s">
        <v>71</v>
      </c>
      <c r="P187" s="19"/>
      <c r="Q187" s="19" t="s">
        <v>71</v>
      </c>
      <c r="R187" s="19"/>
      <c r="S187" s="19" t="s">
        <v>71</v>
      </c>
      <c r="T187" s="19"/>
      <c r="U187" s="19" t="s">
        <v>71</v>
      </c>
      <c r="V187" s="19"/>
      <c r="W187" s="19"/>
      <c r="X187" s="19"/>
      <c r="Y187" s="19" t="s">
        <v>71</v>
      </c>
      <c r="Z187" s="19"/>
      <c r="AA187" s="19" t="s">
        <v>71</v>
      </c>
      <c r="AB187" s="19"/>
      <c r="AC187" s="19" t="s">
        <v>71</v>
      </c>
      <c r="AD187" s="19"/>
      <c r="AE187" s="19" t="s">
        <v>71</v>
      </c>
      <c r="AF187" s="19"/>
      <c r="AG187" s="19" t="s">
        <v>71</v>
      </c>
      <c r="AH187" s="19"/>
      <c r="AI187" s="19" t="s">
        <v>71</v>
      </c>
      <c r="AJ187" s="19"/>
      <c r="AK187" s="19" t="s">
        <v>71</v>
      </c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 t="s">
        <v>71</v>
      </c>
      <c r="CF187" s="19"/>
      <c r="CG187" s="19" t="s">
        <v>71</v>
      </c>
      <c r="CH187" s="19"/>
      <c r="CI187" s="19" t="s">
        <v>71</v>
      </c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1" t="e">
        <f>IF(SUM(E187,G187,I187,K187,M187,O187,Q187,S187,U187,W187,Y187,AA187,AC187,AE187,AG187,AI187,AK187,AM187,AO187,AQ187,#REF!)&gt;0,"Sí","No")</f>
        <v>#REF!</v>
      </c>
      <c r="CV187" s="92" t="e">
        <f>IF($CU187="Sí",_xlfn.TEXTJOIN(", ",TRUE,IF(N(E187)&gt;0,E$4,""),IF(N(G187)&gt;0,G$4,""),IF(N(I187)&gt;0,I$4,""),IF(N(K187)&gt;0,K$4,""),IF(N(M187)&gt;0,M$4,""),IF(N(O187)&gt;0,O$4,""),IF(N(Q187)&gt;0,Q$4,""),IF(N(S187)&gt;0,S$4,""),IF(N(U187)&gt;0,U$4,""),IF(N(W187)&gt;0,W$4,""),IF(N(Y187)&gt;0,Y$4,""),IF(N(AA187)&gt;0,AA$4,""),IF(N(AC187)&gt;0,AC$4,""),IF(N(AE187)&gt;0,AE$4,""),IF(N(AG187)&gt;0,AG$4,""),IF(N(AI187)&gt;0,AI$4,""),IF(N(AK187)&gt;0,AK$4,""),IF(N(AM187)&gt;0,AM$4,""),IF(N(AO187)&gt;0,AO$4,""),IF(N(AQ187)&gt;0,AQ$4,""),IF(N(#REF!)&gt;0,#REF!,"")),"")</f>
        <v>#REF!</v>
      </c>
      <c r="CW187" s="11"/>
      <c r="CX187" s="11" t="e">
        <f t="shared" si="9"/>
        <v>#REF!</v>
      </c>
      <c r="CY187" s="12"/>
      <c r="CZ187" s="68"/>
    </row>
    <row r="188" spans="1:104" ht="37.799999999999997" customHeight="1" x14ac:dyDescent="0.3">
      <c r="A188" s="150"/>
      <c r="B188" s="43"/>
      <c r="C188" s="12">
        <v>46206</v>
      </c>
      <c r="D188" s="20">
        <f t="shared" si="8"/>
        <v>0</v>
      </c>
      <c r="E188" s="20"/>
      <c r="F188" s="20"/>
      <c r="G188" s="20"/>
      <c r="H188" s="20"/>
      <c r="I188" s="20"/>
      <c r="J188" s="20"/>
      <c r="K188" s="20"/>
      <c r="L188" s="20"/>
      <c r="M188" s="19" t="s">
        <v>71</v>
      </c>
      <c r="N188" s="19"/>
      <c r="O188" s="19" t="s">
        <v>71</v>
      </c>
      <c r="P188" s="19"/>
      <c r="Q188" s="19" t="s">
        <v>71</v>
      </c>
      <c r="R188" s="19"/>
      <c r="S188" s="19" t="s">
        <v>71</v>
      </c>
      <c r="T188" s="19"/>
      <c r="U188" s="19" t="s">
        <v>71</v>
      </c>
      <c r="V188" s="19"/>
      <c r="W188" s="19"/>
      <c r="X188" s="19"/>
      <c r="Y188" s="19" t="s">
        <v>71</v>
      </c>
      <c r="Z188" s="19"/>
      <c r="AA188" s="19" t="s">
        <v>71</v>
      </c>
      <c r="AB188" s="19"/>
      <c r="AC188" s="19" t="s">
        <v>71</v>
      </c>
      <c r="AD188" s="19"/>
      <c r="AE188" s="19" t="s">
        <v>71</v>
      </c>
      <c r="AF188" s="19"/>
      <c r="AG188" s="19" t="s">
        <v>71</v>
      </c>
      <c r="AH188" s="19"/>
      <c r="AI188" s="19" t="s">
        <v>71</v>
      </c>
      <c r="AJ188" s="19"/>
      <c r="AK188" s="19" t="s">
        <v>71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>
        <v>12</v>
      </c>
      <c r="BP188" s="19">
        <v>20</v>
      </c>
      <c r="BQ188" s="19">
        <v>12</v>
      </c>
      <c r="BR188" s="19">
        <v>20</v>
      </c>
      <c r="BS188" s="19">
        <v>12</v>
      </c>
      <c r="BT188" s="19">
        <v>20</v>
      </c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 t="s">
        <v>71</v>
      </c>
      <c r="CF188" s="19"/>
      <c r="CG188" s="19" t="s">
        <v>71</v>
      </c>
      <c r="CH188" s="19"/>
      <c r="CI188" s="19" t="s">
        <v>71</v>
      </c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1" t="e">
        <f>IF(SUM(E188,G188,I188,K188,M188,O188,Q188,S188,U188,W188,Y188,AA188,AC188,AE188,AG188,AI188,AK188,AM188,AO188,AQ188,#REF!)&gt;0,"Sí","No")</f>
        <v>#REF!</v>
      </c>
      <c r="CV188" s="92" t="e">
        <f>IF($CU188="Sí",_xlfn.TEXTJOIN(", ",TRUE,IF(N(E188)&gt;0,E$4,""),IF(N(G188)&gt;0,G$4,""),IF(N(I188)&gt;0,I$4,""),IF(N(K188)&gt;0,K$4,""),IF(N(M188)&gt;0,M$4,""),IF(N(O188)&gt;0,O$4,""),IF(N(Q188)&gt;0,Q$4,""),IF(N(S188)&gt;0,S$4,""),IF(N(U188)&gt;0,U$4,""),IF(N(W188)&gt;0,W$4,""),IF(N(Y188)&gt;0,Y$4,""),IF(N(AA188)&gt;0,AA$4,""),IF(N(AC188)&gt;0,AC$4,""),IF(N(AE188)&gt;0,AE$4,""),IF(N(AG188)&gt;0,AG$4,""),IF(N(AI188)&gt;0,AI$4,""),IF(N(AK188)&gt;0,AK$4,""),IF(N(AM188)&gt;0,AM$4,""),IF(N(AO188)&gt;0,AO$4,""),IF(N(AQ188)&gt;0,AQ$4,""),IF(N(#REF!)&gt;0,#REF!,"")),"")</f>
        <v>#REF!</v>
      </c>
      <c r="CW188" s="11"/>
      <c r="CX188" s="11" t="e">
        <f t="shared" si="9"/>
        <v>#REF!</v>
      </c>
      <c r="CY188" s="12">
        <v>46205</v>
      </c>
      <c r="CZ188" s="76"/>
    </row>
    <row r="189" spans="1:104" ht="18" customHeight="1" x14ac:dyDescent="0.3">
      <c r="A189" s="150"/>
      <c r="B189" s="43"/>
      <c r="C189" s="12">
        <v>46207</v>
      </c>
      <c r="D189" s="20">
        <f t="shared" si="8"/>
        <v>0</v>
      </c>
      <c r="E189" s="19"/>
      <c r="F189" s="19"/>
      <c r="G189" s="19"/>
      <c r="H189" s="19"/>
      <c r="I189" s="19"/>
      <c r="J189" s="19"/>
      <c r="K189" s="19"/>
      <c r="L189" s="20"/>
      <c r="M189" s="19" t="s">
        <v>71</v>
      </c>
      <c r="N189" s="19"/>
      <c r="O189" s="19" t="s">
        <v>71</v>
      </c>
      <c r="P189" s="19"/>
      <c r="Q189" s="19" t="s">
        <v>71</v>
      </c>
      <c r="R189" s="19"/>
      <c r="S189" s="19" t="s">
        <v>71</v>
      </c>
      <c r="T189" s="19"/>
      <c r="U189" s="19" t="s">
        <v>71</v>
      </c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 t="s">
        <v>71</v>
      </c>
      <c r="AH189" s="19"/>
      <c r="AI189" s="19" t="s">
        <v>71</v>
      </c>
      <c r="AJ189" s="19"/>
      <c r="AK189" s="19" t="s">
        <v>71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 t="s">
        <v>71</v>
      </c>
      <c r="CF189" s="19"/>
      <c r="CG189" s="19" t="s">
        <v>71</v>
      </c>
      <c r="CH189" s="19"/>
      <c r="CI189" s="19" t="s">
        <v>71</v>
      </c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1" t="e">
        <f>IF(SUM(E189,G189,I189,K189,M189,O189,Q189,S189,U189,W189,Y189,AA189,AC189,AE189,AG189,AI189,AK189,AM189,AO189,AQ189,#REF!)&gt;0,"Sí","No")</f>
        <v>#REF!</v>
      </c>
      <c r="CV189" s="92" t="e">
        <f>IF($CU189="Sí",_xlfn.TEXTJOIN(", ",TRUE,IF(N(E189)&gt;0,E$4,""),IF(N(G189)&gt;0,G$4,""),IF(N(I189)&gt;0,I$4,""),IF(N(K189)&gt;0,K$4,""),IF(N(M189)&gt;0,M$4,""),IF(N(O189)&gt;0,O$4,""),IF(N(Q189)&gt;0,Q$4,""),IF(N(S189)&gt;0,S$4,""),IF(N(U189)&gt;0,U$4,""),IF(N(W189)&gt;0,W$4,""),IF(N(Y189)&gt;0,Y$4,""),IF(N(AA189)&gt;0,AA$4,""),IF(N(AC189)&gt;0,AC$4,""),IF(N(AE189)&gt;0,AE$4,""),IF(N(AG189)&gt;0,AG$4,""),IF(N(AI189)&gt;0,AI$4,""),IF(N(AK189)&gt;0,AK$4,""),IF(N(AM189)&gt;0,AM$4,""),IF(N(AO189)&gt;0,AO$4,""),IF(N(AQ189)&gt;0,AQ$4,""),IF(N(#REF!)&gt;0,#REF!,"")),"")</f>
        <v>#REF!</v>
      </c>
      <c r="CW189" s="11"/>
      <c r="CX189" s="11" t="e">
        <f t="shared" si="9"/>
        <v>#REF!</v>
      </c>
      <c r="CY189" s="12"/>
      <c r="CZ189" s="68"/>
    </row>
    <row r="190" spans="1:104" ht="18" customHeight="1" x14ac:dyDescent="0.3">
      <c r="A190" s="150"/>
      <c r="B190" s="43"/>
      <c r="C190" s="12">
        <v>46208</v>
      </c>
      <c r="D190" s="20">
        <f t="shared" si="8"/>
        <v>0</v>
      </c>
      <c r="E190" s="19"/>
      <c r="F190" s="19"/>
      <c r="G190" s="19"/>
      <c r="H190" s="19"/>
      <c r="I190" s="19"/>
      <c r="J190" s="19"/>
      <c r="K190" s="19"/>
      <c r="L190" s="20"/>
      <c r="M190" s="19" t="s">
        <v>71</v>
      </c>
      <c r="N190" s="19"/>
      <c r="O190" s="19" t="s">
        <v>71</v>
      </c>
      <c r="P190" s="19"/>
      <c r="Q190" s="19" t="s">
        <v>71</v>
      </c>
      <c r="R190" s="19"/>
      <c r="S190" s="19" t="s">
        <v>71</v>
      </c>
      <c r="T190" s="19"/>
      <c r="U190" s="19" t="s">
        <v>71</v>
      </c>
      <c r="V190" s="19"/>
      <c r="W190" s="19"/>
      <c r="X190" s="19"/>
      <c r="Y190" s="19" t="s">
        <v>71</v>
      </c>
      <c r="Z190" s="19"/>
      <c r="AA190" s="19" t="s">
        <v>71</v>
      </c>
      <c r="AB190" s="19"/>
      <c r="AC190" s="19" t="s">
        <v>71</v>
      </c>
      <c r="AD190" s="19"/>
      <c r="AE190" s="19" t="s">
        <v>71</v>
      </c>
      <c r="AF190" s="19"/>
      <c r="AG190" s="19" t="s">
        <v>71</v>
      </c>
      <c r="AH190" s="19"/>
      <c r="AI190" s="19" t="s">
        <v>71</v>
      </c>
      <c r="AJ190" s="19"/>
      <c r="AK190" s="19" t="s">
        <v>71</v>
      </c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 t="s">
        <v>71</v>
      </c>
      <c r="CF190" s="19"/>
      <c r="CG190" s="19" t="s">
        <v>71</v>
      </c>
      <c r="CH190" s="19"/>
      <c r="CI190" s="19" t="s">
        <v>71</v>
      </c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1" t="e">
        <f>IF(SUM(E190,G190,I190,K190,M190,O190,Q190,S190,U190,W190,Y190,AA190,AC190,AE190,AG190,AI190,AK190,AM190,AO190,AQ190,#REF!)&gt;0,"Sí","No")</f>
        <v>#REF!</v>
      </c>
      <c r="CV190" s="92" t="e">
        <f>IF($CU190="Sí",_xlfn.TEXTJOIN(", ",TRUE,IF(N(E190)&gt;0,E$4,""),IF(N(G190)&gt;0,G$4,""),IF(N(I190)&gt;0,I$4,""),IF(N(K190)&gt;0,K$4,""),IF(N(M190)&gt;0,M$4,""),IF(N(O190)&gt;0,O$4,""),IF(N(Q190)&gt;0,Q$4,""),IF(N(S190)&gt;0,S$4,""),IF(N(U190)&gt;0,U$4,""),IF(N(W190)&gt;0,W$4,""),IF(N(Y190)&gt;0,Y$4,""),IF(N(AA190)&gt;0,AA$4,""),IF(N(AC190)&gt;0,AC$4,""),IF(N(AE190)&gt;0,AE$4,""),IF(N(AG190)&gt;0,AG$4,""),IF(N(AI190)&gt;0,AI$4,""),IF(N(AK190)&gt;0,AK$4,""),IF(N(AM190)&gt;0,AM$4,""),IF(N(AO190)&gt;0,AO$4,""),IF(N(AQ190)&gt;0,AQ$4,""),IF(N(#REF!)&gt;0,#REF!,"")),"")</f>
        <v>#REF!</v>
      </c>
      <c r="CW190" s="11"/>
      <c r="CX190" s="11" t="e">
        <f t="shared" si="9"/>
        <v>#REF!</v>
      </c>
      <c r="CY190" s="12"/>
      <c r="CZ190" s="68"/>
    </row>
    <row r="191" spans="1:104" ht="18" customHeight="1" x14ac:dyDescent="0.3">
      <c r="A191" s="150"/>
      <c r="B191" s="43"/>
      <c r="C191" s="12">
        <v>46209</v>
      </c>
      <c r="D191" s="20">
        <f t="shared" si="8"/>
        <v>0</v>
      </c>
      <c r="E191" s="19"/>
      <c r="F191" s="19"/>
      <c r="G191" s="19"/>
      <c r="H191" s="19"/>
      <c r="I191" s="19"/>
      <c r="J191" s="19"/>
      <c r="K191" s="19"/>
      <c r="L191" s="20"/>
      <c r="M191" s="19" t="s">
        <v>71</v>
      </c>
      <c r="N191" s="19"/>
      <c r="O191" s="19" t="s">
        <v>71</v>
      </c>
      <c r="P191" s="19"/>
      <c r="Q191" s="19" t="s">
        <v>71</v>
      </c>
      <c r="R191" s="19"/>
      <c r="S191" s="19" t="s">
        <v>71</v>
      </c>
      <c r="T191" s="19"/>
      <c r="U191" s="19" t="s">
        <v>71</v>
      </c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 t="s">
        <v>71</v>
      </c>
      <c r="AH191" s="19"/>
      <c r="AI191" s="19" t="s">
        <v>71</v>
      </c>
      <c r="AJ191" s="19"/>
      <c r="AK191" s="19" t="s">
        <v>71</v>
      </c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 t="s">
        <v>71</v>
      </c>
      <c r="CF191" s="19"/>
      <c r="CG191" s="19" t="s">
        <v>71</v>
      </c>
      <c r="CH191" s="19"/>
      <c r="CI191" s="19" t="s">
        <v>71</v>
      </c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1" t="e">
        <f>IF(SUM(E191,G191,I191,K191,M191,O191,Q191,S191,U191,W191,Y191,AA191,AC191,AE191,AG191,AI191,AK191,AM191,AO191,AQ191,#REF!)&gt;0,"Sí","No")</f>
        <v>#REF!</v>
      </c>
      <c r="CV191" s="92" t="e">
        <f>IF($CU191="Sí",_xlfn.TEXTJOIN(", ",TRUE,IF(N(E191)&gt;0,E$4,""),IF(N(G191)&gt;0,G$4,""),IF(N(I191)&gt;0,I$4,""),IF(N(K191)&gt;0,K$4,""),IF(N(M191)&gt;0,M$4,""),IF(N(O191)&gt;0,O$4,""),IF(N(Q191)&gt;0,Q$4,""),IF(N(S191)&gt;0,S$4,""),IF(N(U191)&gt;0,U$4,""),IF(N(W191)&gt;0,W$4,""),IF(N(Y191)&gt;0,Y$4,""),IF(N(AA191)&gt;0,AA$4,""),IF(N(AC191)&gt;0,AC$4,""),IF(N(AE191)&gt;0,AE$4,""),IF(N(AG191)&gt;0,AG$4,""),IF(N(AI191)&gt;0,AI$4,""),IF(N(AK191)&gt;0,AK$4,""),IF(N(AM191)&gt;0,AM$4,""),IF(N(AO191)&gt;0,AO$4,""),IF(N(AQ191)&gt;0,AQ$4,""),IF(N(#REF!)&gt;0,#REF!,"")),"")</f>
        <v>#REF!</v>
      </c>
      <c r="CW191" s="11"/>
      <c r="CX191" s="11" t="e">
        <f t="shared" si="9"/>
        <v>#REF!</v>
      </c>
      <c r="CY191" s="12">
        <v>46209</v>
      </c>
      <c r="CZ191" s="68"/>
    </row>
    <row r="192" spans="1:104" ht="18" customHeight="1" x14ac:dyDescent="0.3">
      <c r="A192" s="150"/>
      <c r="B192" s="43"/>
      <c r="C192" s="12">
        <v>46210</v>
      </c>
      <c r="D192" s="20">
        <f t="shared" si="8"/>
        <v>0</v>
      </c>
      <c r="E192" s="19"/>
      <c r="F192" s="19"/>
      <c r="G192" s="19"/>
      <c r="H192" s="19"/>
      <c r="I192" s="19"/>
      <c r="J192" s="19"/>
      <c r="K192" s="19"/>
      <c r="L192" s="20"/>
      <c r="M192" s="19" t="s">
        <v>71</v>
      </c>
      <c r="N192" s="19"/>
      <c r="O192" s="19" t="s">
        <v>71</v>
      </c>
      <c r="P192" s="19"/>
      <c r="Q192" s="19" t="s">
        <v>71</v>
      </c>
      <c r="R192" s="19"/>
      <c r="S192" s="19" t="s">
        <v>71</v>
      </c>
      <c r="T192" s="19"/>
      <c r="U192" s="19" t="s">
        <v>71</v>
      </c>
      <c r="V192" s="19"/>
      <c r="W192" s="19"/>
      <c r="X192" s="19"/>
      <c r="Y192" s="19" t="s">
        <v>71</v>
      </c>
      <c r="Z192" s="19"/>
      <c r="AA192" s="19" t="s">
        <v>71</v>
      </c>
      <c r="AB192" s="19"/>
      <c r="AC192" s="19" t="s">
        <v>71</v>
      </c>
      <c r="AD192" s="19"/>
      <c r="AE192" s="19" t="s">
        <v>71</v>
      </c>
      <c r="AF192" s="19"/>
      <c r="AG192" s="19" t="s">
        <v>71</v>
      </c>
      <c r="AH192" s="19"/>
      <c r="AI192" s="19" t="s">
        <v>71</v>
      </c>
      <c r="AJ192" s="19"/>
      <c r="AK192" s="19" t="s">
        <v>71</v>
      </c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 t="s">
        <v>71</v>
      </c>
      <c r="CF192" s="19"/>
      <c r="CG192" s="19" t="s">
        <v>71</v>
      </c>
      <c r="CH192" s="19"/>
      <c r="CI192" s="19" t="s">
        <v>71</v>
      </c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1" t="e">
        <f>IF(SUM(E192,G192,I192,K192,M192,O192,Q192,S192,U192,W192,Y192,AA192,AC192,AE192,AG192,AI192,AK192,AM192,AO192,AQ192,#REF!)&gt;0,"Sí","No")</f>
        <v>#REF!</v>
      </c>
      <c r="CV192" s="92" t="e">
        <f>IF($CU192="Sí",_xlfn.TEXTJOIN(", ",TRUE,IF(N(E192)&gt;0,E$4,""),IF(N(G192)&gt;0,G$4,""),IF(N(I192)&gt;0,I$4,""),IF(N(K192)&gt;0,K$4,""),IF(N(M192)&gt;0,M$4,""),IF(N(O192)&gt;0,O$4,""),IF(N(Q192)&gt;0,Q$4,""),IF(N(S192)&gt;0,S$4,""),IF(N(U192)&gt;0,U$4,""),IF(N(W192)&gt;0,W$4,""),IF(N(Y192)&gt;0,Y$4,""),IF(N(AA192)&gt;0,AA$4,""),IF(N(AC192)&gt;0,AC$4,""),IF(N(AE192)&gt;0,AE$4,""),IF(N(AG192)&gt;0,AG$4,""),IF(N(AI192)&gt;0,AI$4,""),IF(N(AK192)&gt;0,AK$4,""),IF(N(AM192)&gt;0,AM$4,""),IF(N(AO192)&gt;0,AO$4,""),IF(N(AQ192)&gt;0,AQ$4,""),IF(N(#REF!)&gt;0,#REF!,"")),"")</f>
        <v>#REF!</v>
      </c>
      <c r="CW192" s="11"/>
      <c r="CX192" s="11" t="e">
        <f t="shared" si="9"/>
        <v>#REF!</v>
      </c>
      <c r="CY192" s="12">
        <v>46210</v>
      </c>
      <c r="CZ192" s="68"/>
    </row>
    <row r="193" spans="1:104" ht="18" customHeight="1" x14ac:dyDescent="0.3">
      <c r="A193" s="150"/>
      <c r="B193" s="43"/>
      <c r="C193" s="12">
        <v>46211</v>
      </c>
      <c r="D193" s="20">
        <f t="shared" si="8"/>
        <v>0</v>
      </c>
      <c r="E193" s="19"/>
      <c r="F193" s="19"/>
      <c r="G193" s="19"/>
      <c r="H193" s="19"/>
      <c r="I193" s="19"/>
      <c r="J193" s="19"/>
      <c r="K193" s="19"/>
      <c r="L193" s="20"/>
      <c r="M193" s="19"/>
      <c r="N193" s="19"/>
      <c r="O193" s="19"/>
      <c r="P193" s="19"/>
      <c r="Q193" s="19"/>
      <c r="R193" s="19"/>
      <c r="S193" s="19" t="s">
        <v>71</v>
      </c>
      <c r="T193" s="19"/>
      <c r="U193" s="19" t="s">
        <v>71</v>
      </c>
      <c r="V193" s="19"/>
      <c r="W193" s="19"/>
      <c r="X193" s="19"/>
      <c r="Y193" s="19" t="s">
        <v>71</v>
      </c>
      <c r="Z193" s="19"/>
      <c r="AA193" s="19" t="s">
        <v>71</v>
      </c>
      <c r="AB193" s="19"/>
      <c r="AC193" s="19" t="s">
        <v>71</v>
      </c>
      <c r="AD193" s="19"/>
      <c r="AE193" s="19" t="s">
        <v>71</v>
      </c>
      <c r="AF193" s="19"/>
      <c r="AG193" s="19" t="s">
        <v>71</v>
      </c>
      <c r="AH193" s="19"/>
      <c r="AI193" s="19" t="s">
        <v>71</v>
      </c>
      <c r="AJ193" s="19"/>
      <c r="AK193" s="19" t="s">
        <v>71</v>
      </c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 t="s">
        <v>71</v>
      </c>
      <c r="CF193" s="19"/>
      <c r="CG193" s="19" t="s">
        <v>71</v>
      </c>
      <c r="CH193" s="19"/>
      <c r="CI193" s="19" t="s">
        <v>71</v>
      </c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1" t="e">
        <f>IF(SUM(E193,G193,I193,K193,M193,O193,Q193,S193,U193,W193,Y193,AA193,AC193,AE193,AG193,AI193,AK193,AM193,AO193,AQ193,#REF!)&gt;0,"Sí","No")</f>
        <v>#REF!</v>
      </c>
      <c r="CV193" s="92" t="e">
        <f>IF($CU193="Sí",_xlfn.TEXTJOIN(", ",TRUE,IF(N(E193)&gt;0,E$4,""),IF(N(G193)&gt;0,G$4,""),IF(N(I193)&gt;0,I$4,""),IF(N(K193)&gt;0,K$4,""),IF(N(M193)&gt;0,M$4,""),IF(N(O193)&gt;0,O$4,""),IF(N(Q193)&gt;0,Q$4,""),IF(N(S193)&gt;0,S$4,""),IF(N(U193)&gt;0,U$4,""),IF(N(W193)&gt;0,W$4,""),IF(N(Y193)&gt;0,Y$4,""),IF(N(AA193)&gt;0,AA$4,""),IF(N(AC193)&gt;0,AC$4,""),IF(N(AE193)&gt;0,AE$4,""),IF(N(AG193)&gt;0,AG$4,""),IF(N(AI193)&gt;0,AI$4,""),IF(N(AK193)&gt;0,AK$4,""),IF(N(AM193)&gt;0,AM$4,""),IF(N(AO193)&gt;0,AO$4,""),IF(N(AQ193)&gt;0,AQ$4,""),IF(N(#REF!)&gt;0,#REF!,"")),"")</f>
        <v>#REF!</v>
      </c>
      <c r="CW193" s="11"/>
      <c r="CX193" s="11" t="e">
        <f t="shared" si="9"/>
        <v>#REF!</v>
      </c>
      <c r="CY193" s="12">
        <v>46211</v>
      </c>
      <c r="CZ193" s="68"/>
    </row>
    <row r="194" spans="1:104" ht="18" customHeight="1" x14ac:dyDescent="0.3">
      <c r="A194" s="150"/>
      <c r="B194" s="43"/>
      <c r="C194" s="12">
        <v>46212</v>
      </c>
      <c r="D194" s="20">
        <f t="shared" si="8"/>
        <v>0</v>
      </c>
      <c r="E194" s="19"/>
      <c r="F194" s="19"/>
      <c r="G194" s="19"/>
      <c r="H194" s="19"/>
      <c r="I194" s="19"/>
      <c r="J194" s="19"/>
      <c r="K194" s="19"/>
      <c r="L194" s="20"/>
      <c r="M194" s="19"/>
      <c r="N194" s="19"/>
      <c r="O194" s="19"/>
      <c r="P194" s="19"/>
      <c r="Q194" s="19"/>
      <c r="R194" s="19"/>
      <c r="S194" s="19" t="s">
        <v>71</v>
      </c>
      <c r="T194" s="19"/>
      <c r="U194" s="19" t="s">
        <v>71</v>
      </c>
      <c r="V194" s="19"/>
      <c r="W194" s="19"/>
      <c r="X194" s="19"/>
      <c r="Y194" s="19" t="s">
        <v>71</v>
      </c>
      <c r="Z194" s="19"/>
      <c r="AA194" s="19" t="s">
        <v>71</v>
      </c>
      <c r="AB194" s="19"/>
      <c r="AC194" s="19" t="s">
        <v>71</v>
      </c>
      <c r="AD194" s="19"/>
      <c r="AE194" s="19" t="s">
        <v>71</v>
      </c>
      <c r="AF194" s="19"/>
      <c r="AG194" s="19" t="s">
        <v>71</v>
      </c>
      <c r="AH194" s="19"/>
      <c r="AI194" s="19" t="s">
        <v>71</v>
      </c>
      <c r="AJ194" s="19"/>
      <c r="AK194" s="19" t="s">
        <v>71</v>
      </c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 t="s">
        <v>71</v>
      </c>
      <c r="CF194" s="19"/>
      <c r="CG194" s="19" t="s">
        <v>71</v>
      </c>
      <c r="CH194" s="19"/>
      <c r="CI194" s="19" t="s">
        <v>71</v>
      </c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1" t="e">
        <f>IF(SUM(E194,G194,I194,K194,M194,O194,Q194,S194,U194,W194,Y194,AA194,AC194,AE194,AG194,AI194,AK194,AM194,AO194,AQ194,#REF!)&gt;0,"Sí","No")</f>
        <v>#REF!</v>
      </c>
      <c r="CV194" s="92" t="e">
        <f>IF($CU194="Sí",_xlfn.TEXTJOIN(", ",TRUE,IF(N(E194)&gt;0,E$4,""),IF(N(G194)&gt;0,G$4,""),IF(N(I194)&gt;0,I$4,""),IF(N(K194)&gt;0,K$4,""),IF(N(M194)&gt;0,M$4,""),IF(N(O194)&gt;0,O$4,""),IF(N(Q194)&gt;0,Q$4,""),IF(N(S194)&gt;0,S$4,""),IF(N(U194)&gt;0,U$4,""),IF(N(W194)&gt;0,W$4,""),IF(N(Y194)&gt;0,Y$4,""),IF(N(AA194)&gt;0,AA$4,""),IF(N(AC194)&gt;0,AC$4,""),IF(N(AE194)&gt;0,AE$4,""),IF(N(AG194)&gt;0,AG$4,""),IF(N(AI194)&gt;0,AI$4,""),IF(N(AK194)&gt;0,AK$4,""),IF(N(AM194)&gt;0,AM$4,""),IF(N(AO194)&gt;0,AO$4,""),IF(N(AQ194)&gt;0,AQ$4,""),IF(N(#REF!)&gt;0,#REF!,"")),"")</f>
        <v>#REF!</v>
      </c>
      <c r="CW194" s="11"/>
      <c r="CX194" s="11" t="e">
        <f t="shared" si="9"/>
        <v>#REF!</v>
      </c>
      <c r="CY194" s="12"/>
      <c r="CZ194" s="68"/>
    </row>
    <row r="195" spans="1:104" ht="18" customHeight="1" x14ac:dyDescent="0.3">
      <c r="A195" s="150"/>
      <c r="B195" s="43"/>
      <c r="C195" s="12">
        <v>46213</v>
      </c>
      <c r="D195" s="20">
        <f t="shared" si="8"/>
        <v>0</v>
      </c>
      <c r="E195" s="19"/>
      <c r="F195" s="19"/>
      <c r="G195" s="19"/>
      <c r="H195" s="19"/>
      <c r="I195" s="19"/>
      <c r="J195" s="19"/>
      <c r="K195" s="19"/>
      <c r="L195" s="20"/>
      <c r="M195" s="19"/>
      <c r="N195" s="19"/>
      <c r="O195" s="19"/>
      <c r="P195" s="19"/>
      <c r="Q195" s="19"/>
      <c r="R195" s="19"/>
      <c r="S195" s="19" t="s">
        <v>71</v>
      </c>
      <c r="T195" s="19"/>
      <c r="U195" s="19" t="s">
        <v>71</v>
      </c>
      <c r="V195" s="19"/>
      <c r="W195" s="19"/>
      <c r="X195" s="19"/>
      <c r="Y195" s="19" t="s">
        <v>71</v>
      </c>
      <c r="Z195" s="19"/>
      <c r="AA195" s="19" t="s">
        <v>71</v>
      </c>
      <c r="AB195" s="19"/>
      <c r="AC195" s="19" t="s">
        <v>71</v>
      </c>
      <c r="AD195" s="19"/>
      <c r="AE195" s="19" t="s">
        <v>71</v>
      </c>
      <c r="AF195" s="19"/>
      <c r="AG195" s="19" t="s">
        <v>71</v>
      </c>
      <c r="AH195" s="19"/>
      <c r="AI195" s="19" t="s">
        <v>71</v>
      </c>
      <c r="AJ195" s="19"/>
      <c r="AK195" s="19" t="s">
        <v>71</v>
      </c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 t="s">
        <v>71</v>
      </c>
      <c r="CF195" s="19"/>
      <c r="CG195" s="19" t="s">
        <v>71</v>
      </c>
      <c r="CH195" s="19"/>
      <c r="CI195" s="19" t="s">
        <v>71</v>
      </c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1" t="e">
        <f>IF(SUM(E195,G195,I195,K195,M195,O195,Q195,S195,U195,W195,Y195,AA195,AC195,AE195,AG195,AI195,AK195,AM195,AO195,AQ195,#REF!)&gt;0,"Sí","No")</f>
        <v>#REF!</v>
      </c>
      <c r="CV195" s="92" t="e">
        <f>IF($CU195="Sí",_xlfn.TEXTJOIN(", ",TRUE,IF(N(E195)&gt;0,E$4,""),IF(N(G195)&gt;0,G$4,""),IF(N(I195)&gt;0,I$4,""),IF(N(K195)&gt;0,K$4,""),IF(N(M195)&gt;0,M$4,""),IF(N(O195)&gt;0,O$4,""),IF(N(Q195)&gt;0,Q$4,""),IF(N(S195)&gt;0,S$4,""),IF(N(U195)&gt;0,U$4,""),IF(N(W195)&gt;0,W$4,""),IF(N(Y195)&gt;0,Y$4,""),IF(N(AA195)&gt;0,AA$4,""),IF(N(AC195)&gt;0,AC$4,""),IF(N(AE195)&gt;0,AE$4,""),IF(N(AG195)&gt;0,AG$4,""),IF(N(AI195)&gt;0,AI$4,""),IF(N(AK195)&gt;0,AK$4,""),IF(N(AM195)&gt;0,AM$4,""),IF(N(AO195)&gt;0,AO$4,""),IF(N(AQ195)&gt;0,AQ$4,""),IF(N(#REF!)&gt;0,#REF!,"")),"")</f>
        <v>#REF!</v>
      </c>
      <c r="CW195" s="11"/>
      <c r="CX195" s="11" t="e">
        <f t="shared" si="9"/>
        <v>#REF!</v>
      </c>
      <c r="CY195" s="12">
        <v>46213</v>
      </c>
      <c r="CZ195" s="68"/>
    </row>
    <row r="196" spans="1:104" ht="18" customHeight="1" x14ac:dyDescent="0.3">
      <c r="A196" s="150"/>
      <c r="B196" s="43"/>
      <c r="C196" s="12">
        <v>46214</v>
      </c>
      <c r="D196" s="20">
        <f t="shared" si="8"/>
        <v>0</v>
      </c>
      <c r="E196" s="19"/>
      <c r="F196" s="19"/>
      <c r="G196" s="19"/>
      <c r="H196" s="19"/>
      <c r="I196" s="19"/>
      <c r="J196" s="19"/>
      <c r="K196" s="19"/>
      <c r="L196" s="20"/>
      <c r="M196" s="19"/>
      <c r="N196" s="19"/>
      <c r="O196" s="19"/>
      <c r="P196" s="19"/>
      <c r="Q196" s="19"/>
      <c r="R196" s="19"/>
      <c r="S196" s="19" t="s">
        <v>71</v>
      </c>
      <c r="T196" s="19"/>
      <c r="U196" s="19" t="s">
        <v>71</v>
      </c>
      <c r="V196" s="19"/>
      <c r="W196" s="19"/>
      <c r="X196" s="19"/>
      <c r="Y196" s="19" t="s">
        <v>71</v>
      </c>
      <c r="Z196" s="19"/>
      <c r="AA196" s="19" t="s">
        <v>71</v>
      </c>
      <c r="AB196" s="19"/>
      <c r="AC196" s="19" t="s">
        <v>71</v>
      </c>
      <c r="AD196" s="19"/>
      <c r="AE196" s="19" t="s">
        <v>71</v>
      </c>
      <c r="AF196" s="19"/>
      <c r="AG196" s="19" t="s">
        <v>71</v>
      </c>
      <c r="AH196" s="19"/>
      <c r="AI196" s="19" t="s">
        <v>71</v>
      </c>
      <c r="AJ196" s="19"/>
      <c r="AK196" s="19" t="s">
        <v>71</v>
      </c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 t="s">
        <v>71</v>
      </c>
      <c r="CF196" s="19"/>
      <c r="CG196" s="19" t="s">
        <v>71</v>
      </c>
      <c r="CH196" s="19"/>
      <c r="CI196" s="19" t="s">
        <v>71</v>
      </c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1" t="e">
        <f>IF(SUM(E196,G196,I196,K196,M196,O196,Q196,S196,U196,W196,Y196,AA196,AC196,AE196,AG196,AI196,AK196,AM196,AO196,AQ196,#REF!)&gt;0,"Sí","No")</f>
        <v>#REF!</v>
      </c>
      <c r="CV196" s="92" t="e">
        <f>IF($CU196="Sí",_xlfn.TEXTJOIN(", ",TRUE,IF(N(E196)&gt;0,E$4,""),IF(N(G196)&gt;0,G$4,""),IF(N(I196)&gt;0,I$4,""),IF(N(K196)&gt;0,K$4,""),IF(N(M196)&gt;0,M$4,""),IF(N(O196)&gt;0,O$4,""),IF(N(Q196)&gt;0,Q$4,""),IF(N(S196)&gt;0,S$4,""),IF(N(U196)&gt;0,U$4,""),IF(N(W196)&gt;0,W$4,""),IF(N(Y196)&gt;0,Y$4,""),IF(N(AA196)&gt;0,AA$4,""),IF(N(AC196)&gt;0,AC$4,""),IF(N(AE196)&gt;0,AE$4,""),IF(N(AG196)&gt;0,AG$4,""),IF(N(AI196)&gt;0,AI$4,""),IF(N(AK196)&gt;0,AK$4,""),IF(N(AM196)&gt;0,AM$4,""),IF(N(AO196)&gt;0,AO$4,""),IF(N(AQ196)&gt;0,AQ$4,""),IF(N(#REF!)&gt;0,#REF!,"")),"")</f>
        <v>#REF!</v>
      </c>
      <c r="CW196" s="11"/>
      <c r="CX196" s="11" t="e">
        <f t="shared" si="9"/>
        <v>#REF!</v>
      </c>
      <c r="CY196" s="12">
        <v>46214</v>
      </c>
      <c r="CZ196" s="68"/>
    </row>
    <row r="197" spans="1:104" ht="18" customHeight="1" x14ac:dyDescent="0.3">
      <c r="A197" s="150"/>
      <c r="B197" s="43"/>
      <c r="C197" s="12">
        <v>46215</v>
      </c>
      <c r="D197" s="20">
        <f t="shared" ref="D197:D260" si="12">+F197+H197+J197+L197+N197+P197+R197+Z197+AB197+AD197+AF197+AH197+AJ197+AL197+AN197+AP197</f>
        <v>0</v>
      </c>
      <c r="E197" s="19"/>
      <c r="F197" s="19"/>
      <c r="G197" s="19"/>
      <c r="H197" s="19"/>
      <c r="I197" s="19"/>
      <c r="J197" s="19"/>
      <c r="K197" s="19"/>
      <c r="L197" s="20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71</v>
      </c>
      <c r="Z197" s="19"/>
      <c r="AA197" s="19" t="s">
        <v>71</v>
      </c>
      <c r="AB197" s="19"/>
      <c r="AC197" s="19" t="s">
        <v>71</v>
      </c>
      <c r="AD197" s="19"/>
      <c r="AE197" s="19" t="s">
        <v>71</v>
      </c>
      <c r="AF197" s="19"/>
      <c r="AG197" s="19" t="s">
        <v>71</v>
      </c>
      <c r="AH197" s="19"/>
      <c r="AI197" s="19" t="s">
        <v>71</v>
      </c>
      <c r="AJ197" s="19"/>
      <c r="AK197" s="19" t="s">
        <v>71</v>
      </c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 t="s">
        <v>71</v>
      </c>
      <c r="CF197" s="19"/>
      <c r="CG197" s="19" t="s">
        <v>71</v>
      </c>
      <c r="CH197" s="19"/>
      <c r="CI197" s="19" t="s">
        <v>71</v>
      </c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1" t="e">
        <f>IF(SUM(E197,G197,I197,K197,M197,O197,Q197,S197,U197,W197,Y197,AA197,AC197,AE197,AG197,AI197,AK197,AM197,AO197,AQ197,#REF!)&gt;0,"Sí","No")</f>
        <v>#REF!</v>
      </c>
      <c r="CV197" s="92" t="e">
        <f>IF($CU197="Sí",_xlfn.TEXTJOIN(", ",TRUE,IF(N(E197)&gt;0,E$4,""),IF(N(G197)&gt;0,G$4,""),IF(N(I197)&gt;0,I$4,""),IF(N(K197)&gt;0,K$4,""),IF(N(M197)&gt;0,M$4,""),IF(N(O197)&gt;0,O$4,""),IF(N(Q197)&gt;0,Q$4,""),IF(N(S197)&gt;0,S$4,""),IF(N(U197)&gt;0,U$4,""),IF(N(W197)&gt;0,W$4,""),IF(N(Y197)&gt;0,Y$4,""),IF(N(AA197)&gt;0,AA$4,""),IF(N(AC197)&gt;0,AC$4,""),IF(N(AE197)&gt;0,AE$4,""),IF(N(AG197)&gt;0,AG$4,""),IF(N(AI197)&gt;0,AI$4,""),IF(N(AK197)&gt;0,AK$4,""),IF(N(AM197)&gt;0,AM$4,""),IF(N(AO197)&gt;0,AO$4,""),IF(N(AQ197)&gt;0,AQ$4,""),IF(N(#REF!)&gt;0,#REF!,"")),"")</f>
        <v>#REF!</v>
      </c>
      <c r="CW197" s="11"/>
      <c r="CX197" s="11" t="e">
        <f t="shared" si="9"/>
        <v>#REF!</v>
      </c>
      <c r="CY197" s="12">
        <v>46216</v>
      </c>
      <c r="CZ197" s="68"/>
    </row>
    <row r="198" spans="1:104" ht="27.6" customHeight="1" x14ac:dyDescent="0.3">
      <c r="A198" s="150"/>
      <c r="B198" s="43"/>
      <c r="C198" s="12">
        <v>46216</v>
      </c>
      <c r="D198" s="20">
        <f t="shared" si="12"/>
        <v>0</v>
      </c>
      <c r="E198" s="19"/>
      <c r="F198" s="19"/>
      <c r="G198" s="19"/>
      <c r="H198" s="19"/>
      <c r="I198" s="19"/>
      <c r="J198" s="19"/>
      <c r="K198" s="19"/>
      <c r="L198" s="20"/>
      <c r="M198" s="19" t="s">
        <v>71</v>
      </c>
      <c r="N198" s="19"/>
      <c r="O198" s="19" t="s">
        <v>71</v>
      </c>
      <c r="P198" s="19"/>
      <c r="Q198" s="19" t="s">
        <v>71</v>
      </c>
      <c r="R198" s="19"/>
      <c r="S198" s="19">
        <v>24</v>
      </c>
      <c r="T198" s="19">
        <v>48</v>
      </c>
      <c r="U198" s="19">
        <v>24</v>
      </c>
      <c r="V198" s="19">
        <v>48</v>
      </c>
      <c r="W198" s="19"/>
      <c r="X198" s="19"/>
      <c r="Y198" s="19" t="s">
        <v>71</v>
      </c>
      <c r="Z198" s="19"/>
      <c r="AA198" s="19" t="s">
        <v>71</v>
      </c>
      <c r="AB198" s="19"/>
      <c r="AC198" s="19" t="s">
        <v>71</v>
      </c>
      <c r="AD198" s="19"/>
      <c r="AE198" s="19" t="s">
        <v>71</v>
      </c>
      <c r="AF198" s="19"/>
      <c r="AG198" s="19" t="s">
        <v>71</v>
      </c>
      <c r="AH198" s="19"/>
      <c r="AI198" s="19" t="s">
        <v>71</v>
      </c>
      <c r="AJ198" s="19"/>
      <c r="AK198" s="19" t="s">
        <v>71</v>
      </c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 t="s">
        <v>71</v>
      </c>
      <c r="CF198" s="19"/>
      <c r="CG198" s="19" t="s">
        <v>71</v>
      </c>
      <c r="CH198" s="19"/>
      <c r="CI198" s="19" t="s">
        <v>71</v>
      </c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1" t="e">
        <f>IF(SUM(E198,G198,I198,K198,M198,O198,Q198,S198,U198,W198,Y198,AA198,AC198,AE198,AG198,AI198,AK198,AM198,AO198,AQ198,#REF!)&gt;0,"Sí","No")</f>
        <v>#REF!</v>
      </c>
      <c r="CV198" s="109" t="e">
        <f>IF($CU198="Sí",_xlfn.TEXTJOIN(", ",TRUE,IF(N(E198)&gt;0,E$4,""),IF(N(G198)&gt;0,G$4,""),IF(N(I198)&gt;0,I$4,""),IF(N(K198)&gt;0,K$4,""),IF(N(M198)&gt;0,M$4,""),IF(N(O198)&gt;0,O$4,""),IF(N(Q198)&gt;0,Q$4,""),IF(N(S198)&gt;0,S$4,""),IF(N(U198)&gt;0,U$4,""),IF(N(W198)&gt;0,W$4,""),IF(N(Y198)&gt;0,Y$4,""),IF(N(AA198)&gt;0,AA$4,""),IF(N(AC198)&gt;0,AC$4,""),IF(N(AE198)&gt;0,AE$4,""),IF(N(AG198)&gt;0,AG$4,""),IF(N(AI198)&gt;0,AI$4,""),IF(N(AK198)&gt;0,AK$4,""),IF(N(AM198)&gt;0,AM$4,""),IF(N(AO198)&gt;0,AO$4,""),IF(N(AQ198)&gt;0,AQ$4,""),IF(N(#REF!)&gt;0,#REF!,"")),"")</f>
        <v>#REF!</v>
      </c>
      <c r="CW198" s="11"/>
      <c r="CX198" s="11" t="e">
        <f t="shared" ref="CX198:CX261" si="13">IF($CU198="No","No aplica",IF($CW198="Sí","Ejecutado","Programado pendiente"))</f>
        <v>#REF!</v>
      </c>
      <c r="CY198" s="12">
        <v>46216</v>
      </c>
      <c r="CZ198" s="68"/>
    </row>
    <row r="199" spans="1:104" ht="33" customHeight="1" x14ac:dyDescent="0.3">
      <c r="A199" s="150"/>
      <c r="B199" s="43"/>
      <c r="C199" s="12">
        <v>46217</v>
      </c>
      <c r="D199" s="20">
        <f t="shared" si="12"/>
        <v>0</v>
      </c>
      <c r="E199" s="20"/>
      <c r="F199" s="20"/>
      <c r="G199" s="20"/>
      <c r="H199" s="20"/>
      <c r="I199" s="20"/>
      <c r="J199" s="20"/>
      <c r="K199" s="20"/>
      <c r="L199" s="20"/>
      <c r="M199" s="19" t="s">
        <v>71</v>
      </c>
      <c r="N199" s="19"/>
      <c r="O199" s="19" t="s">
        <v>71</v>
      </c>
      <c r="P199" s="19"/>
      <c r="Q199" s="19" t="s">
        <v>71</v>
      </c>
      <c r="R199" s="19"/>
      <c r="S199" s="19"/>
      <c r="T199" s="19"/>
      <c r="U199" s="19"/>
      <c r="V199" s="19"/>
      <c r="W199" s="19"/>
      <c r="X199" s="19"/>
      <c r="Y199" s="19" t="s">
        <v>71</v>
      </c>
      <c r="Z199" s="19"/>
      <c r="AA199" s="19" t="s">
        <v>71</v>
      </c>
      <c r="AB199" s="19"/>
      <c r="AC199" s="19" t="s">
        <v>71</v>
      </c>
      <c r="AD199" s="19"/>
      <c r="AE199" s="19" t="s">
        <v>71</v>
      </c>
      <c r="AF199" s="19"/>
      <c r="AG199" s="19" t="s">
        <v>71</v>
      </c>
      <c r="AH199" s="19"/>
      <c r="AI199" s="19" t="s">
        <v>71</v>
      </c>
      <c r="AJ199" s="19"/>
      <c r="AK199" s="19" t="s">
        <v>71</v>
      </c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1" t="e">
        <f>IF(SUM(E199,G199,I199,K199,M199,O199,Q199,S199,U199,W199,Y199,AA199,AC199,AE199,AG199,AI199,AK199,AM199,AO199,AQ199,#REF!)&gt;0,"Sí","No")</f>
        <v>#REF!</v>
      </c>
      <c r="CV199" s="92" t="e">
        <f>IF($CU199="Sí",_xlfn.TEXTJOIN(", ",TRUE,IF(N(E199)&gt;0,E$4,""),IF(N(G199)&gt;0,G$4,""),IF(N(I199)&gt;0,I$4,""),IF(N(K199)&gt;0,K$4,""),IF(N(M199)&gt;0,M$4,""),IF(N(O199)&gt;0,O$4,""),IF(N(Q199)&gt;0,Q$4,""),IF(N(S199)&gt;0,S$4,""),IF(N(U199)&gt;0,U$4,""),IF(N(W199)&gt;0,W$4,""),IF(N(Y199)&gt;0,Y$4,""),IF(N(AA199)&gt;0,AA$4,""),IF(N(AC199)&gt;0,AC$4,""),IF(N(AE199)&gt;0,AE$4,""),IF(N(AG199)&gt;0,AG$4,""),IF(N(AI199)&gt;0,AI$4,""),IF(N(AK199)&gt;0,AK$4,""),IF(N(AM199)&gt;0,AM$4,""),IF(N(AO199)&gt;0,AO$4,""),IF(N(AQ199)&gt;0,AQ$4,""),IF(N(#REF!)&gt;0,#REF!,"")),"")</f>
        <v>#REF!</v>
      </c>
      <c r="CW199" s="11"/>
      <c r="CX199" s="11" t="e">
        <f t="shared" si="13"/>
        <v>#REF!</v>
      </c>
      <c r="CY199" s="12">
        <v>46217</v>
      </c>
      <c r="CZ199" s="68"/>
    </row>
    <row r="200" spans="1:104" ht="18" customHeight="1" x14ac:dyDescent="0.3">
      <c r="A200" s="150"/>
      <c r="B200" s="43"/>
      <c r="C200" s="12">
        <v>46218</v>
      </c>
      <c r="D200" s="20">
        <f t="shared" si="12"/>
        <v>0</v>
      </c>
      <c r="E200" s="20"/>
      <c r="F200" s="20"/>
      <c r="G200" s="20"/>
      <c r="H200" s="20"/>
      <c r="I200" s="20"/>
      <c r="J200" s="20"/>
      <c r="K200" s="20"/>
      <c r="L200" s="20"/>
      <c r="M200" s="19" t="s">
        <v>71</v>
      </c>
      <c r="N200" s="19"/>
      <c r="O200" s="19" t="s">
        <v>71</v>
      </c>
      <c r="P200" s="19"/>
      <c r="Q200" s="19" t="s">
        <v>71</v>
      </c>
      <c r="R200" s="19"/>
      <c r="S200" s="26"/>
      <c r="T200" s="26"/>
      <c r="U200" s="19"/>
      <c r="V200" s="19"/>
      <c r="W200" s="19"/>
      <c r="X200" s="19"/>
      <c r="Y200" s="19" t="s">
        <v>71</v>
      </c>
      <c r="Z200" s="19"/>
      <c r="AA200" s="26" t="s">
        <v>71</v>
      </c>
      <c r="AB200" s="26"/>
      <c r="AC200" s="26" t="s">
        <v>71</v>
      </c>
      <c r="AD200" s="26"/>
      <c r="AE200" s="26" t="s">
        <v>71</v>
      </c>
      <c r="AF200" s="26"/>
      <c r="AG200" s="26" t="s">
        <v>71</v>
      </c>
      <c r="AH200" s="26"/>
      <c r="AI200" s="26" t="s">
        <v>71</v>
      </c>
      <c r="AJ200" s="26"/>
      <c r="AK200" s="26" t="s">
        <v>71</v>
      </c>
      <c r="AL200" s="26"/>
      <c r="AM200" s="26"/>
      <c r="AN200" s="26"/>
      <c r="AO200" s="26"/>
      <c r="AP200" s="26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1" t="e">
        <f>IF(SUM(E200,G200,I200,K200,M200,O200,Q200,S200,U200,W200,Y200,AA200,AC200,AE200,AG200,AI200,AK200,AM200,AO200,AQ200,#REF!)&gt;0,"Sí","No")</f>
        <v>#REF!</v>
      </c>
      <c r="CV200" s="92" t="e">
        <f>IF($CU200="Sí",_xlfn.TEXTJOIN(", ",TRUE,IF(N(E200)&gt;0,E$4,""),IF(N(G200)&gt;0,G$4,""),IF(N(I200)&gt;0,I$4,""),IF(N(K200)&gt;0,K$4,""),IF(N(M200)&gt;0,M$4,""),IF(N(O200)&gt;0,O$4,""),IF(N(Q200)&gt;0,Q$4,""),IF(N(S200)&gt;0,S$4,""),IF(N(U200)&gt;0,U$4,""),IF(N(W200)&gt;0,W$4,""),IF(N(Y200)&gt;0,Y$4,""),IF(N(AA200)&gt;0,AA$4,""),IF(N(AC200)&gt;0,AC$4,""),IF(N(AE200)&gt;0,AE$4,""),IF(N(AG200)&gt;0,AG$4,""),IF(N(AI200)&gt;0,AI$4,""),IF(N(AK200)&gt;0,AK$4,""),IF(N(AM200)&gt;0,AM$4,""),IF(N(AO200)&gt;0,AO$4,""),IF(N(AQ200)&gt;0,AQ$4,""),IF(N(#REF!)&gt;0,#REF!,"")),"")</f>
        <v>#REF!</v>
      </c>
      <c r="CW200" s="11"/>
      <c r="CX200" s="11" t="e">
        <f t="shared" si="13"/>
        <v>#REF!</v>
      </c>
      <c r="CY200" s="12">
        <v>46206</v>
      </c>
      <c r="CZ200" s="68"/>
    </row>
    <row r="201" spans="1:104" ht="46.2" customHeight="1" x14ac:dyDescent="0.3">
      <c r="A201" s="150"/>
      <c r="B201" s="43"/>
      <c r="C201" s="12">
        <v>46219</v>
      </c>
      <c r="D201" s="20">
        <f t="shared" si="12"/>
        <v>0</v>
      </c>
      <c r="E201" s="20"/>
      <c r="F201" s="20"/>
      <c r="G201" s="20"/>
      <c r="H201" s="20"/>
      <c r="I201" s="20"/>
      <c r="J201" s="20"/>
      <c r="K201" s="20"/>
      <c r="L201" s="20"/>
      <c r="M201" s="19" t="s">
        <v>71</v>
      </c>
      <c r="N201" s="19"/>
      <c r="O201" s="19" t="s">
        <v>71</v>
      </c>
      <c r="P201" s="19"/>
      <c r="Q201" s="19" t="s">
        <v>71</v>
      </c>
      <c r="R201" s="19"/>
      <c r="S201" s="19"/>
      <c r="T201" s="19"/>
      <c r="U201" s="19"/>
      <c r="V201" s="19"/>
      <c r="W201" s="19"/>
      <c r="X201" s="19"/>
      <c r="Y201" s="19" t="s">
        <v>71</v>
      </c>
      <c r="Z201" s="19"/>
      <c r="AA201" s="19" t="s">
        <v>71</v>
      </c>
      <c r="AB201" s="19"/>
      <c r="AC201" s="19" t="s">
        <v>71</v>
      </c>
      <c r="AD201" s="19"/>
      <c r="AE201" s="19" t="s">
        <v>71</v>
      </c>
      <c r="AF201" s="19"/>
      <c r="AG201" s="19" t="s">
        <v>71</v>
      </c>
      <c r="AH201" s="19"/>
      <c r="AI201" s="19" t="s">
        <v>71</v>
      </c>
      <c r="AJ201" s="19"/>
      <c r="AK201" s="19" t="s">
        <v>71</v>
      </c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1" t="e">
        <f>IF(SUM(E201,G201,I201,K201,M201,O201,Q201,S201,U201,W201,Y201,AA201,AC201,AE201,AG201,AI201,AK201,AM201,AO201,AQ201,#REF!)&gt;0,"Sí","No")</f>
        <v>#REF!</v>
      </c>
      <c r="CV201" s="92" t="e">
        <f>IF($CU201="Sí",_xlfn.TEXTJOIN(", ",TRUE,IF(N(E201)&gt;0,E$4,""),IF(N(G201)&gt;0,G$4,""),IF(N(I201)&gt;0,I$4,""),IF(N(K201)&gt;0,K$4,""),IF(N(M201)&gt;0,M$4,""),IF(N(O201)&gt;0,O$4,""),IF(N(Q201)&gt;0,Q$4,""),IF(N(S201)&gt;0,S$4,""),IF(N(U201)&gt;0,U$4,""),IF(N(W201)&gt;0,W$4,""),IF(N(Y201)&gt;0,Y$4,""),IF(N(AA201)&gt;0,AA$4,""),IF(N(AC201)&gt;0,AC$4,""),IF(N(AE201)&gt;0,AE$4,""),IF(N(AG201)&gt;0,AG$4,""),IF(N(AI201)&gt;0,AI$4,""),IF(N(AK201)&gt;0,AK$4,""),IF(N(AM201)&gt;0,AM$4,""),IF(N(AO201)&gt;0,AO$4,""),IF(N(AQ201)&gt;0,AQ$4,""),IF(N(#REF!)&gt;0,#REF!,"")),"")</f>
        <v>#REF!</v>
      </c>
      <c r="CW201" s="11"/>
      <c r="CX201" s="11" t="e">
        <f t="shared" si="13"/>
        <v>#REF!</v>
      </c>
      <c r="CY201" s="12">
        <v>46224</v>
      </c>
      <c r="CZ201" s="68"/>
    </row>
    <row r="202" spans="1:104" ht="18" customHeight="1" x14ac:dyDescent="0.3">
      <c r="A202" s="150"/>
      <c r="B202" s="43"/>
      <c r="C202" s="12">
        <v>46220</v>
      </c>
      <c r="D202" s="20">
        <f t="shared" si="12"/>
        <v>0</v>
      </c>
      <c r="E202" s="20"/>
      <c r="F202" s="20"/>
      <c r="G202" s="20"/>
      <c r="H202" s="20"/>
      <c r="I202" s="20"/>
      <c r="J202" s="20"/>
      <c r="K202" s="20"/>
      <c r="L202" s="20"/>
      <c r="M202" s="19" t="s">
        <v>71</v>
      </c>
      <c r="N202" s="19"/>
      <c r="O202" s="19" t="s">
        <v>71</v>
      </c>
      <c r="P202" s="19"/>
      <c r="Q202" s="19" t="s">
        <v>71</v>
      </c>
      <c r="R202" s="19"/>
      <c r="S202" s="19" t="s">
        <v>71</v>
      </c>
      <c r="T202" s="19"/>
      <c r="U202" s="19" t="s">
        <v>71</v>
      </c>
      <c r="V202" s="19"/>
      <c r="W202" s="19"/>
      <c r="X202" s="19"/>
      <c r="Y202" s="19" t="s">
        <v>71</v>
      </c>
      <c r="Z202" s="19"/>
      <c r="AA202" s="19" t="s">
        <v>71</v>
      </c>
      <c r="AB202" s="19"/>
      <c r="AC202" s="19" t="s">
        <v>71</v>
      </c>
      <c r="AD202" s="19"/>
      <c r="AE202" s="19" t="s">
        <v>71</v>
      </c>
      <c r="AF202" s="19"/>
      <c r="AG202" s="19" t="s">
        <v>71</v>
      </c>
      <c r="AH202" s="19"/>
      <c r="AI202" s="19" t="s">
        <v>71</v>
      </c>
      <c r="AJ202" s="19"/>
      <c r="AK202" s="19" t="s">
        <v>71</v>
      </c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>
        <v>10</v>
      </c>
      <c r="BH202" s="19">
        <v>20</v>
      </c>
      <c r="BI202" s="19">
        <v>10</v>
      </c>
      <c r="BJ202" s="19">
        <v>20</v>
      </c>
      <c r="BK202" s="19">
        <v>10</v>
      </c>
      <c r="BL202" s="19">
        <v>20</v>
      </c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1" t="e">
        <f>IF(SUM(E202,G202,I202,K202,M202,O202,Q202,S202,U202,W202,Y202,AA202,AC202,AE202,AG202,AI202,AK202,AM202,AO202,AQ202,#REF!)&gt;0,"Sí","No")</f>
        <v>#REF!</v>
      </c>
      <c r="CV202" s="92" t="e">
        <f>IF($CU202="Sí",_xlfn.TEXTJOIN(", ",TRUE,IF(N(E202)&gt;0,E$4,""),IF(N(G202)&gt;0,G$4,""),IF(N(I202)&gt;0,I$4,""),IF(N(K202)&gt;0,K$4,""),IF(N(M202)&gt;0,M$4,""),IF(N(O202)&gt;0,O$4,""),IF(N(Q202)&gt;0,Q$4,""),IF(N(S202)&gt;0,S$4,""),IF(N(U202)&gt;0,U$4,""),IF(N(W202)&gt;0,W$4,""),IF(N(Y202)&gt;0,Y$4,""),IF(N(AA202)&gt;0,AA$4,""),IF(N(AC202)&gt;0,AC$4,""),IF(N(AE202)&gt;0,AE$4,""),IF(N(AG202)&gt;0,AG$4,""),IF(N(AI202)&gt;0,AI$4,""),IF(N(AK202)&gt;0,AK$4,""),IF(N(AM202)&gt;0,AM$4,""),IF(N(AO202)&gt;0,AO$4,""),IF(N(AQ202)&gt;0,AQ$4,""),IF(N(#REF!)&gt;0,#REF!,"")),"")</f>
        <v>#REF!</v>
      </c>
      <c r="CW202" s="11"/>
      <c r="CX202" s="11" t="e">
        <f t="shared" si="13"/>
        <v>#REF!</v>
      </c>
      <c r="CY202" s="12">
        <v>46218</v>
      </c>
      <c r="CZ202" s="68"/>
    </row>
    <row r="203" spans="1:104" ht="18" customHeight="1" x14ac:dyDescent="0.3">
      <c r="A203" s="150"/>
      <c r="B203" s="43"/>
      <c r="C203" s="12">
        <v>46221</v>
      </c>
      <c r="D203" s="20">
        <f t="shared" si="12"/>
        <v>0</v>
      </c>
      <c r="E203" s="20"/>
      <c r="F203" s="20"/>
      <c r="G203" s="20"/>
      <c r="H203" s="20"/>
      <c r="I203" s="20"/>
      <c r="J203" s="20"/>
      <c r="K203" s="20"/>
      <c r="L203" s="20"/>
      <c r="M203" s="19" t="s">
        <v>71</v>
      </c>
      <c r="N203" s="19"/>
      <c r="O203" s="19" t="s">
        <v>71</v>
      </c>
      <c r="P203" s="19"/>
      <c r="Q203" s="19" t="s">
        <v>71</v>
      </c>
      <c r="R203" s="19"/>
      <c r="S203" s="19" t="s">
        <v>71</v>
      </c>
      <c r="T203" s="19"/>
      <c r="U203" s="19" t="s">
        <v>71</v>
      </c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1" t="e">
        <f>IF(SUM(E203,G203,I203,K203,M203,O203,Q203,S203,U203,W203,Y203,AA203,AC203,AE203,AG203,AI203,AK203,AM203,AO203,AQ203,#REF!)&gt;0,"Sí","No")</f>
        <v>#REF!</v>
      </c>
      <c r="CV203" s="92" t="e">
        <f>IF($CU203="Sí",_xlfn.TEXTJOIN(", ",TRUE,IF(N(E203)&gt;0,E$4,""),IF(N(G203)&gt;0,G$4,""),IF(N(I203)&gt;0,I$4,""),IF(N(K203)&gt;0,K$4,""),IF(N(M203)&gt;0,M$4,""),IF(N(O203)&gt;0,O$4,""),IF(N(Q203)&gt;0,Q$4,""),IF(N(S203)&gt;0,S$4,""),IF(N(U203)&gt;0,U$4,""),IF(N(W203)&gt;0,W$4,""),IF(N(Y203)&gt;0,Y$4,""),IF(N(AA203)&gt;0,AA$4,""),IF(N(AC203)&gt;0,AC$4,""),IF(N(AE203)&gt;0,AE$4,""),IF(N(AG203)&gt;0,AG$4,""),IF(N(AI203)&gt;0,AI$4,""),IF(N(AK203)&gt;0,AK$4,""),IF(N(AM203)&gt;0,AM$4,""),IF(N(AO203)&gt;0,AO$4,""),IF(N(AQ203)&gt;0,AQ$4,""),IF(N(#REF!)&gt;0,#REF!,"")),"")</f>
        <v>#REF!</v>
      </c>
      <c r="CW203" s="11"/>
      <c r="CX203" s="11" t="e">
        <f t="shared" si="13"/>
        <v>#REF!</v>
      </c>
      <c r="CY203" s="12"/>
      <c r="CZ203" s="68"/>
    </row>
    <row r="204" spans="1:104" ht="18" customHeight="1" x14ac:dyDescent="0.3">
      <c r="A204" s="150"/>
      <c r="B204" s="43"/>
      <c r="C204" s="12">
        <v>46222</v>
      </c>
      <c r="D204" s="20">
        <f t="shared" si="12"/>
        <v>0</v>
      </c>
      <c r="E204" s="20"/>
      <c r="F204" s="20"/>
      <c r="G204" s="20"/>
      <c r="H204" s="20"/>
      <c r="I204" s="20"/>
      <c r="J204" s="20"/>
      <c r="K204" s="20"/>
      <c r="L204" s="20"/>
      <c r="M204" s="19" t="s">
        <v>71</v>
      </c>
      <c r="N204" s="19"/>
      <c r="O204" s="19" t="s">
        <v>71</v>
      </c>
      <c r="P204" s="19"/>
      <c r="Q204" s="19" t="s">
        <v>71</v>
      </c>
      <c r="R204" s="19"/>
      <c r="S204" s="19" t="s">
        <v>71</v>
      </c>
      <c r="T204" s="19"/>
      <c r="U204" s="19" t="s">
        <v>71</v>
      </c>
      <c r="V204" s="19"/>
      <c r="W204" s="19"/>
      <c r="X204" s="19"/>
      <c r="Y204" s="19" t="s">
        <v>71</v>
      </c>
      <c r="Z204" s="19"/>
      <c r="AA204" s="19" t="s">
        <v>71</v>
      </c>
      <c r="AB204" s="19"/>
      <c r="AC204" s="19" t="s">
        <v>71</v>
      </c>
      <c r="AD204" s="19"/>
      <c r="AE204" s="19" t="s">
        <v>71</v>
      </c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1" t="e">
        <f>IF(SUM(E204,G204,I204,K204,M204,O204,Q204,S204,U204,W204,Y204,AA204,AC204,AE204,AG204,AI204,AK204,AM204,AO204,AQ204,#REF!)&gt;0,"Sí","No")</f>
        <v>#REF!</v>
      </c>
      <c r="CV204" s="92" t="e">
        <f>IF($CU204="Sí",_xlfn.TEXTJOIN(", ",TRUE,IF(N(E204)&gt;0,E$4,""),IF(N(G204)&gt;0,G$4,""),IF(N(I204)&gt;0,I$4,""),IF(N(K204)&gt;0,K$4,""),IF(N(M204)&gt;0,M$4,""),IF(N(O204)&gt;0,O$4,""),IF(N(Q204)&gt;0,Q$4,""),IF(N(S204)&gt;0,S$4,""),IF(N(U204)&gt;0,U$4,""),IF(N(W204)&gt;0,W$4,""),IF(N(Y204)&gt;0,Y$4,""),IF(N(AA204)&gt;0,AA$4,""),IF(N(AC204)&gt;0,AC$4,""),IF(N(AE204)&gt;0,AE$4,""),IF(N(AG204)&gt;0,AG$4,""),IF(N(AI204)&gt;0,AI$4,""),IF(N(AK204)&gt;0,AK$4,""),IF(N(AM204)&gt;0,AM$4,""),IF(N(AO204)&gt;0,AO$4,""),IF(N(AQ204)&gt;0,AQ$4,""),IF(N(#REF!)&gt;0,#REF!,"")),"")</f>
        <v>#REF!</v>
      </c>
      <c r="CW204" s="11"/>
      <c r="CX204" s="11" t="e">
        <f t="shared" si="13"/>
        <v>#REF!</v>
      </c>
      <c r="CY204" s="12"/>
      <c r="CZ204" s="68"/>
    </row>
    <row r="205" spans="1:104" ht="18" customHeight="1" x14ac:dyDescent="0.3">
      <c r="A205" s="150"/>
      <c r="B205" s="43"/>
      <c r="C205" s="12">
        <v>46223</v>
      </c>
      <c r="D205" s="20">
        <f t="shared" si="12"/>
        <v>0</v>
      </c>
      <c r="E205" s="20"/>
      <c r="F205" s="20"/>
      <c r="G205" s="20"/>
      <c r="H205" s="20"/>
      <c r="I205" s="20"/>
      <c r="J205" s="20"/>
      <c r="K205" s="20"/>
      <c r="L205" s="20"/>
      <c r="M205" s="19" t="s">
        <v>71</v>
      </c>
      <c r="N205" s="19"/>
      <c r="O205" s="19" t="s">
        <v>71</v>
      </c>
      <c r="P205" s="19"/>
      <c r="Q205" s="19" t="s">
        <v>71</v>
      </c>
      <c r="R205" s="19"/>
      <c r="S205" s="19" t="s">
        <v>71</v>
      </c>
      <c r="T205" s="19"/>
      <c r="U205" s="19" t="s">
        <v>71</v>
      </c>
      <c r="V205" s="19"/>
      <c r="W205" s="19"/>
      <c r="X205" s="19"/>
      <c r="Y205" s="19" t="s">
        <v>71</v>
      </c>
      <c r="Z205" s="19"/>
      <c r="AA205" s="19" t="s">
        <v>71</v>
      </c>
      <c r="AB205" s="19"/>
      <c r="AC205" s="19" t="s">
        <v>71</v>
      </c>
      <c r="AD205" s="19"/>
      <c r="AE205" s="19" t="s">
        <v>71</v>
      </c>
      <c r="AF205" s="19"/>
      <c r="AG205" s="19" t="s">
        <v>71</v>
      </c>
      <c r="AH205" s="19"/>
      <c r="AI205" s="19" t="s">
        <v>71</v>
      </c>
      <c r="AJ205" s="19"/>
      <c r="AK205" s="19" t="s">
        <v>71</v>
      </c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1" t="e">
        <f>IF(SUM(E205,G205,I205,K205,M205,O205,Q205,S205,U205,W205,Y205,AA205,AC205,AE205,AG205,AI205,AK205,AM205,AO205,AQ205,#REF!)&gt;0,"Sí","No")</f>
        <v>#REF!</v>
      </c>
      <c r="CV205" s="92" t="e">
        <f>IF($CU205="Sí",_xlfn.TEXTJOIN(", ",TRUE,IF(N(E205)&gt;0,E$4,""),IF(N(G205)&gt;0,G$4,""),IF(N(I205)&gt;0,I$4,""),IF(N(K205)&gt;0,K$4,""),IF(N(M205)&gt;0,M$4,""),IF(N(O205)&gt;0,O$4,""),IF(N(Q205)&gt;0,Q$4,""),IF(N(S205)&gt;0,S$4,""),IF(N(U205)&gt;0,U$4,""),IF(N(W205)&gt;0,W$4,""),IF(N(Y205)&gt;0,Y$4,""),IF(N(AA205)&gt;0,AA$4,""),IF(N(AC205)&gt;0,AC$4,""),IF(N(AE205)&gt;0,AE$4,""),IF(N(AG205)&gt;0,AG$4,""),IF(N(AI205)&gt;0,AI$4,""),IF(N(AK205)&gt;0,AK$4,""),IF(N(AM205)&gt;0,AM$4,""),IF(N(AO205)&gt;0,AO$4,""),IF(N(AQ205)&gt;0,AQ$4,""),IF(N(#REF!)&gt;0,#REF!,"")),"")</f>
        <v>#REF!</v>
      </c>
      <c r="CW205" s="11"/>
      <c r="CX205" s="11" t="e">
        <f t="shared" si="13"/>
        <v>#REF!</v>
      </c>
      <c r="CY205" s="12"/>
      <c r="CZ205" s="68"/>
    </row>
    <row r="206" spans="1:104" ht="18" customHeight="1" x14ac:dyDescent="0.3">
      <c r="A206" s="150"/>
      <c r="B206" s="43"/>
      <c r="C206" s="12">
        <v>46224</v>
      </c>
      <c r="D206" s="20">
        <f t="shared" si="12"/>
        <v>0</v>
      </c>
      <c r="E206" s="20"/>
      <c r="F206" s="20"/>
      <c r="G206" s="20"/>
      <c r="H206" s="20"/>
      <c r="I206" s="20"/>
      <c r="J206" s="20"/>
      <c r="K206" s="20"/>
      <c r="L206" s="20"/>
      <c r="M206" s="19" t="s">
        <v>71</v>
      </c>
      <c r="N206" s="19"/>
      <c r="O206" s="19" t="s">
        <v>71</v>
      </c>
      <c r="P206" s="19"/>
      <c r="Q206" s="19" t="s">
        <v>71</v>
      </c>
      <c r="R206" s="19"/>
      <c r="S206" s="19" t="s">
        <v>71</v>
      </c>
      <c r="T206" s="19"/>
      <c r="U206" s="19" t="s">
        <v>71</v>
      </c>
      <c r="V206" s="19"/>
      <c r="W206" s="19"/>
      <c r="X206" s="19"/>
      <c r="Y206" s="19" t="s">
        <v>71</v>
      </c>
      <c r="Z206" s="19"/>
      <c r="AA206" s="19" t="s">
        <v>71</v>
      </c>
      <c r="AB206" s="19"/>
      <c r="AC206" s="19" t="s">
        <v>71</v>
      </c>
      <c r="AD206" s="19"/>
      <c r="AE206" s="19" t="s">
        <v>71</v>
      </c>
      <c r="AF206" s="19"/>
      <c r="AG206" s="19" t="s">
        <v>71</v>
      </c>
      <c r="AH206" s="19"/>
      <c r="AI206" s="19" t="s">
        <v>71</v>
      </c>
      <c r="AJ206" s="19"/>
      <c r="AK206" s="19" t="s">
        <v>71</v>
      </c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1" t="e">
        <f>IF(SUM(E206,G206,I206,K206,M206,O206,Q206,S206,U206,W206,Y206,AA206,AC206,AE206,AG206,AI206,AK206,AM206,AO206,AQ206,#REF!)&gt;0,"Sí","No")</f>
        <v>#REF!</v>
      </c>
      <c r="CV206" s="92" t="e">
        <f>IF($CU206="Sí",_xlfn.TEXTJOIN(", ",TRUE,IF(N(E206)&gt;0,E$4,""),IF(N(G206)&gt;0,G$4,""),IF(N(I206)&gt;0,I$4,""),IF(N(K206)&gt;0,K$4,""),IF(N(M206)&gt;0,M$4,""),IF(N(O206)&gt;0,O$4,""),IF(N(Q206)&gt;0,Q$4,""),IF(N(S206)&gt;0,S$4,""),IF(N(U206)&gt;0,U$4,""),IF(N(W206)&gt;0,W$4,""),IF(N(Y206)&gt;0,Y$4,""),IF(N(AA206)&gt;0,AA$4,""),IF(N(AC206)&gt;0,AC$4,""),IF(N(AE206)&gt;0,AE$4,""),IF(N(AG206)&gt;0,AG$4,""),IF(N(AI206)&gt;0,AI$4,""),IF(N(AK206)&gt;0,AK$4,""),IF(N(AM206)&gt;0,AM$4,""),IF(N(AO206)&gt;0,AO$4,""),IF(N(AQ206)&gt;0,AQ$4,""),IF(N(#REF!)&gt;0,#REF!,"")),"")</f>
        <v>#REF!</v>
      </c>
      <c r="CW206" s="11"/>
      <c r="CX206" s="11" t="e">
        <f t="shared" si="13"/>
        <v>#REF!</v>
      </c>
      <c r="CY206" s="12">
        <v>46316</v>
      </c>
      <c r="CZ206" s="68"/>
    </row>
    <row r="207" spans="1:104" ht="18" customHeight="1" x14ac:dyDescent="0.3">
      <c r="A207" s="150"/>
      <c r="B207" s="43"/>
      <c r="C207" s="12">
        <v>46225</v>
      </c>
      <c r="D207" s="20">
        <f t="shared" si="12"/>
        <v>0</v>
      </c>
      <c r="E207" s="20"/>
      <c r="F207" s="20"/>
      <c r="G207" s="20"/>
      <c r="H207" s="20"/>
      <c r="I207" s="20"/>
      <c r="J207" s="20"/>
      <c r="K207" s="20"/>
      <c r="L207" s="20"/>
      <c r="M207" s="19" t="s">
        <v>71</v>
      </c>
      <c r="N207" s="19"/>
      <c r="O207" s="19" t="s">
        <v>71</v>
      </c>
      <c r="P207" s="19"/>
      <c r="Q207" s="19" t="s">
        <v>71</v>
      </c>
      <c r="R207" s="19"/>
      <c r="S207" s="19" t="s">
        <v>71</v>
      </c>
      <c r="T207" s="19"/>
      <c r="U207" s="19" t="s">
        <v>71</v>
      </c>
      <c r="V207" s="19"/>
      <c r="W207" s="19"/>
      <c r="X207" s="19"/>
      <c r="Y207" s="19" t="s">
        <v>71</v>
      </c>
      <c r="Z207" s="19"/>
      <c r="AA207" s="19" t="s">
        <v>71</v>
      </c>
      <c r="AB207" s="19"/>
      <c r="AC207" s="19" t="s">
        <v>71</v>
      </c>
      <c r="AD207" s="19"/>
      <c r="AE207" s="19" t="s">
        <v>71</v>
      </c>
      <c r="AF207" s="19"/>
      <c r="AG207" s="19" t="s">
        <v>71</v>
      </c>
      <c r="AH207" s="19"/>
      <c r="AI207" s="19" t="s">
        <v>71</v>
      </c>
      <c r="AJ207" s="19"/>
      <c r="AK207" s="19" t="s">
        <v>71</v>
      </c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1" t="e">
        <f>IF(SUM(E207,G207,I207,K207,M207,O207,Q207,S207,U207,W207,Y207,AA207,AC207,AE207,AG207,AI207,AK207,AM207,AO207,AQ207,#REF!)&gt;0,"Sí","No")</f>
        <v>#REF!</v>
      </c>
      <c r="CV207" s="92" t="e">
        <f>IF($CU207="Sí",_xlfn.TEXTJOIN(", ",TRUE,IF(N(E207)&gt;0,E$4,""),IF(N(G207)&gt;0,G$4,""),IF(N(I207)&gt;0,I$4,""),IF(N(K207)&gt;0,K$4,""),IF(N(M207)&gt;0,M$4,""),IF(N(O207)&gt;0,O$4,""),IF(N(Q207)&gt;0,Q$4,""),IF(N(S207)&gt;0,S$4,""),IF(N(U207)&gt;0,U$4,""),IF(N(W207)&gt;0,W$4,""),IF(N(Y207)&gt;0,Y$4,""),IF(N(AA207)&gt;0,AA$4,""),IF(N(AC207)&gt;0,AC$4,""),IF(N(AE207)&gt;0,AE$4,""),IF(N(AG207)&gt;0,AG$4,""),IF(N(AI207)&gt;0,AI$4,""),IF(N(AK207)&gt;0,AK$4,""),IF(N(AM207)&gt;0,AM$4,""),IF(N(AO207)&gt;0,AO$4,""),IF(N(AQ207)&gt;0,AQ$4,""),IF(N(#REF!)&gt;0,#REF!,"")),"")</f>
        <v>#REF!</v>
      </c>
      <c r="CW207" s="11"/>
      <c r="CX207" s="11" t="e">
        <f t="shared" si="13"/>
        <v>#REF!</v>
      </c>
      <c r="CY207" s="12">
        <v>46225</v>
      </c>
      <c r="CZ207" s="68"/>
    </row>
    <row r="208" spans="1:104" ht="18" customHeight="1" x14ac:dyDescent="0.3">
      <c r="A208" s="150"/>
      <c r="B208" s="43"/>
      <c r="C208" s="12">
        <v>46226</v>
      </c>
      <c r="D208" s="20">
        <f t="shared" si="12"/>
        <v>0</v>
      </c>
      <c r="E208" s="20"/>
      <c r="F208" s="20"/>
      <c r="G208" s="20"/>
      <c r="H208" s="20"/>
      <c r="I208" s="20"/>
      <c r="J208" s="20"/>
      <c r="K208" s="20"/>
      <c r="L208" s="20"/>
      <c r="M208" s="19" t="s">
        <v>71</v>
      </c>
      <c r="N208" s="19"/>
      <c r="O208" s="19" t="s">
        <v>71</v>
      </c>
      <c r="P208" s="19"/>
      <c r="Q208" s="19" t="s">
        <v>71</v>
      </c>
      <c r="R208" s="19"/>
      <c r="S208" s="19" t="s">
        <v>71</v>
      </c>
      <c r="T208" s="19"/>
      <c r="U208" s="19" t="s">
        <v>71</v>
      </c>
      <c r="V208" s="19"/>
      <c r="W208" s="19"/>
      <c r="X208" s="19"/>
      <c r="Y208" s="19" t="s">
        <v>71</v>
      </c>
      <c r="Z208" s="19"/>
      <c r="AA208" s="19" t="s">
        <v>71</v>
      </c>
      <c r="AB208" s="19"/>
      <c r="AC208" s="19" t="s">
        <v>71</v>
      </c>
      <c r="AD208" s="19"/>
      <c r="AE208" s="19" t="s">
        <v>71</v>
      </c>
      <c r="AF208" s="19"/>
      <c r="AG208" s="19" t="s">
        <v>71</v>
      </c>
      <c r="AH208" s="19"/>
      <c r="AI208" s="19" t="s">
        <v>71</v>
      </c>
      <c r="AJ208" s="19"/>
      <c r="AK208" s="19" t="s">
        <v>71</v>
      </c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1" t="e">
        <f>IF(SUM(E208,G208,I208,K208,M208,O208,Q208,S208,U208,W208,Y208,AA208,AC208,AE208,AG208,AI208,AK208,AM208,AO208,AQ208,#REF!)&gt;0,"Sí","No")</f>
        <v>#REF!</v>
      </c>
      <c r="CV208" s="92" t="e">
        <f>IF($CU208="Sí",_xlfn.TEXTJOIN(", ",TRUE,IF(N(E208)&gt;0,E$4,""),IF(N(G208)&gt;0,G$4,""),IF(N(I208)&gt;0,I$4,""),IF(N(K208)&gt;0,K$4,""),IF(N(M208)&gt;0,M$4,""),IF(N(O208)&gt;0,O$4,""),IF(N(Q208)&gt;0,Q$4,""),IF(N(S208)&gt;0,S$4,""),IF(N(U208)&gt;0,U$4,""),IF(N(W208)&gt;0,W$4,""),IF(N(Y208)&gt;0,Y$4,""),IF(N(AA208)&gt;0,AA$4,""),IF(N(AC208)&gt;0,AC$4,""),IF(N(AE208)&gt;0,AE$4,""),IF(N(AG208)&gt;0,AG$4,""),IF(N(AI208)&gt;0,AI$4,""),IF(N(AK208)&gt;0,AK$4,""),IF(N(AM208)&gt;0,AM$4,""),IF(N(AO208)&gt;0,AO$4,""),IF(N(AQ208)&gt;0,AQ$4,""),IF(N(#REF!)&gt;0,#REF!,"")),"")</f>
        <v>#REF!</v>
      </c>
      <c r="CW208" s="11"/>
      <c r="CX208" s="11" t="e">
        <f t="shared" si="13"/>
        <v>#REF!</v>
      </c>
      <c r="CY208" s="12"/>
      <c r="CZ208" s="68"/>
    </row>
    <row r="209" spans="1:104" ht="18" customHeight="1" x14ac:dyDescent="0.3">
      <c r="A209" s="150"/>
      <c r="B209" s="43"/>
      <c r="C209" s="12">
        <v>46227</v>
      </c>
      <c r="D209" s="20">
        <f t="shared" si="12"/>
        <v>0</v>
      </c>
      <c r="E209" s="20"/>
      <c r="F209" s="20"/>
      <c r="G209" s="20"/>
      <c r="H209" s="20"/>
      <c r="I209" s="20"/>
      <c r="J209" s="20"/>
      <c r="K209" s="20"/>
      <c r="L209" s="20"/>
      <c r="M209" s="19" t="s">
        <v>71</v>
      </c>
      <c r="N209" s="19"/>
      <c r="O209" s="19" t="s">
        <v>71</v>
      </c>
      <c r="P209" s="19"/>
      <c r="Q209" s="19" t="s">
        <v>71</v>
      </c>
      <c r="R209" s="19"/>
      <c r="S209" s="19" t="s">
        <v>71</v>
      </c>
      <c r="T209" s="19"/>
      <c r="U209" s="19" t="s">
        <v>71</v>
      </c>
      <c r="V209" s="19"/>
      <c r="W209" s="19"/>
      <c r="X209" s="19"/>
      <c r="Y209" s="19" t="s">
        <v>71</v>
      </c>
      <c r="Z209" s="19"/>
      <c r="AA209" s="19" t="s">
        <v>71</v>
      </c>
      <c r="AB209" s="19"/>
      <c r="AC209" s="19" t="s">
        <v>71</v>
      </c>
      <c r="AD209" s="19"/>
      <c r="AE209" s="19" t="s">
        <v>71</v>
      </c>
      <c r="AF209" s="19"/>
      <c r="AG209" s="19" t="s">
        <v>71</v>
      </c>
      <c r="AH209" s="19"/>
      <c r="AI209" s="19" t="s">
        <v>71</v>
      </c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1" t="e">
        <f>IF(SUM(E209,G209,I209,K209,M209,O209,Q209,S209,U209,W209,Y209,AA209,AC209,AE209,AG209,AI209,AK209,AM209,AO209,AQ209,#REF!)&gt;0,"Sí","No")</f>
        <v>#REF!</v>
      </c>
      <c r="CV209" s="92" t="e">
        <f>IF($CU209="Sí",_xlfn.TEXTJOIN(", ",TRUE,IF(N(E209)&gt;0,E$4,""),IF(N(G209)&gt;0,G$4,""),IF(N(I209)&gt;0,I$4,""),IF(N(K209)&gt;0,K$4,""),IF(N(M209)&gt;0,M$4,""),IF(N(O209)&gt;0,O$4,""),IF(N(Q209)&gt;0,Q$4,""),IF(N(S209)&gt;0,S$4,""),IF(N(U209)&gt;0,U$4,""),IF(N(W209)&gt;0,W$4,""),IF(N(Y209)&gt;0,Y$4,""),IF(N(AA209)&gt;0,AA$4,""),IF(N(AC209)&gt;0,AC$4,""),IF(N(AE209)&gt;0,AE$4,""),IF(N(AG209)&gt;0,AG$4,""),IF(N(AI209)&gt;0,AI$4,""),IF(N(AK209)&gt;0,AK$4,""),IF(N(AM209)&gt;0,AM$4,""),IF(N(AO209)&gt;0,AO$4,""),IF(N(AQ209)&gt;0,AQ$4,""),IF(N(#REF!)&gt;0,#REF!,"")),"")</f>
        <v>#REF!</v>
      </c>
      <c r="CW209" s="11"/>
      <c r="CX209" s="11" t="e">
        <f t="shared" si="13"/>
        <v>#REF!</v>
      </c>
      <c r="CY209" s="12"/>
      <c r="CZ209" s="68"/>
    </row>
    <row r="210" spans="1:104" ht="18" customHeight="1" x14ac:dyDescent="0.3">
      <c r="A210" s="150"/>
      <c r="B210" s="43"/>
      <c r="C210" s="12">
        <v>46228</v>
      </c>
      <c r="D210" s="20">
        <f t="shared" si="12"/>
        <v>0</v>
      </c>
      <c r="E210" s="20"/>
      <c r="F210" s="20"/>
      <c r="G210" s="20"/>
      <c r="H210" s="20"/>
      <c r="I210" s="20"/>
      <c r="J210" s="20"/>
      <c r="K210" s="20"/>
      <c r="L210" s="20"/>
      <c r="M210" s="19" t="s">
        <v>71</v>
      </c>
      <c r="N210" s="19"/>
      <c r="O210" s="19" t="s">
        <v>71</v>
      </c>
      <c r="P210" s="19"/>
      <c r="Q210" s="19" t="s">
        <v>71</v>
      </c>
      <c r="R210" s="19"/>
      <c r="S210" s="19" t="s">
        <v>71</v>
      </c>
      <c r="T210" s="19"/>
      <c r="U210" s="19" t="s">
        <v>71</v>
      </c>
      <c r="V210" s="19"/>
      <c r="W210" s="19"/>
      <c r="X210" s="19"/>
      <c r="Y210" s="19" t="s">
        <v>71</v>
      </c>
      <c r="Z210" s="19"/>
      <c r="AA210" s="19" t="s">
        <v>71</v>
      </c>
      <c r="AB210" s="19"/>
      <c r="AC210" s="19" t="s">
        <v>71</v>
      </c>
      <c r="AD210" s="19"/>
      <c r="AE210" s="19" t="s">
        <v>71</v>
      </c>
      <c r="AF210" s="19"/>
      <c r="AG210" s="19" t="s">
        <v>71</v>
      </c>
      <c r="AH210" s="19"/>
      <c r="AI210" s="19" t="s">
        <v>71</v>
      </c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1" t="e">
        <f>IF(SUM(E210,G210,I210,K210,M210,O210,Q210,S210,U210,W210,Y210,AA210,AC210,AE210,AG210,AI210,AK210,AM210,AO210,AQ210,#REF!)&gt;0,"Sí","No")</f>
        <v>#REF!</v>
      </c>
      <c r="CV210" s="92" t="e">
        <f>IF($CU210="Sí",_xlfn.TEXTJOIN(", ",TRUE,IF(N(E210)&gt;0,E$4,""),IF(N(G210)&gt;0,G$4,""),IF(N(I210)&gt;0,I$4,""),IF(N(K210)&gt;0,K$4,""),IF(N(M210)&gt;0,M$4,""),IF(N(O210)&gt;0,O$4,""),IF(N(Q210)&gt;0,Q$4,""),IF(N(S210)&gt;0,S$4,""),IF(N(U210)&gt;0,U$4,""),IF(N(W210)&gt;0,W$4,""),IF(N(Y210)&gt;0,Y$4,""),IF(N(AA210)&gt;0,AA$4,""),IF(N(AC210)&gt;0,AC$4,""),IF(N(AE210)&gt;0,AE$4,""),IF(N(AG210)&gt;0,AG$4,""),IF(N(AI210)&gt;0,AI$4,""),IF(N(AK210)&gt;0,AK$4,""),IF(N(AM210)&gt;0,AM$4,""),IF(N(AO210)&gt;0,AO$4,""),IF(N(AQ210)&gt;0,AQ$4,""),IF(N(#REF!)&gt;0,#REF!,"")),"")</f>
        <v>#REF!</v>
      </c>
      <c r="CW210" s="11"/>
      <c r="CX210" s="11" t="e">
        <f t="shared" si="13"/>
        <v>#REF!</v>
      </c>
      <c r="CY210" s="12"/>
      <c r="CZ210" s="68"/>
    </row>
    <row r="211" spans="1:104" ht="18" customHeight="1" x14ac:dyDescent="0.3">
      <c r="A211" s="150"/>
      <c r="B211" s="43"/>
      <c r="C211" s="12">
        <v>46229</v>
      </c>
      <c r="D211" s="20">
        <f t="shared" si="12"/>
        <v>0</v>
      </c>
      <c r="E211" s="20"/>
      <c r="F211" s="20"/>
      <c r="G211" s="20"/>
      <c r="H211" s="20"/>
      <c r="I211" s="20"/>
      <c r="J211" s="20"/>
      <c r="K211" s="20"/>
      <c r="L211" s="20"/>
      <c r="M211" s="19" t="s">
        <v>71</v>
      </c>
      <c r="N211" s="19"/>
      <c r="O211" s="19" t="s">
        <v>71</v>
      </c>
      <c r="P211" s="19"/>
      <c r="Q211" s="19" t="s">
        <v>71</v>
      </c>
      <c r="R211" s="19"/>
      <c r="S211" s="19" t="s">
        <v>71</v>
      </c>
      <c r="T211" s="19"/>
      <c r="U211" s="19" t="s">
        <v>71</v>
      </c>
      <c r="V211" s="19"/>
      <c r="W211" s="19"/>
      <c r="X211" s="19"/>
      <c r="Y211" s="19" t="s">
        <v>71</v>
      </c>
      <c r="Z211" s="19"/>
      <c r="AA211" s="19" t="s">
        <v>71</v>
      </c>
      <c r="AB211" s="19"/>
      <c r="AC211" s="19" t="s">
        <v>71</v>
      </c>
      <c r="AD211" s="19"/>
      <c r="AE211" s="19" t="s">
        <v>71</v>
      </c>
      <c r="AF211" s="19"/>
      <c r="AG211" s="19" t="s">
        <v>71</v>
      </c>
      <c r="AH211" s="19"/>
      <c r="AI211" s="19" t="s">
        <v>71</v>
      </c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1" t="e">
        <f>IF(SUM(E211,G211,I211,K211,M211,O211,Q211,S211,U211,W211,Y211,AA211,AC211,AE211,AG211,AI211,AK211,AM211,AO211,AQ211,#REF!)&gt;0,"Sí","No")</f>
        <v>#REF!</v>
      </c>
      <c r="CV211" s="92" t="e">
        <f>IF($CU211="Sí",_xlfn.TEXTJOIN(", ",TRUE,IF(N(E211)&gt;0,E$4,""),IF(N(G211)&gt;0,G$4,""),IF(N(I211)&gt;0,I$4,""),IF(N(K211)&gt;0,K$4,""),IF(N(M211)&gt;0,M$4,""),IF(N(O211)&gt;0,O$4,""),IF(N(Q211)&gt;0,Q$4,""),IF(N(S211)&gt;0,S$4,""),IF(N(U211)&gt;0,U$4,""),IF(N(W211)&gt;0,W$4,""),IF(N(Y211)&gt;0,Y$4,""),IF(N(AA211)&gt;0,AA$4,""),IF(N(AC211)&gt;0,AC$4,""),IF(N(AE211)&gt;0,AE$4,""),IF(N(AG211)&gt;0,AG$4,""),IF(N(AI211)&gt;0,AI$4,""),IF(N(AK211)&gt;0,AK$4,""),IF(N(AM211)&gt;0,AM$4,""),IF(N(AO211)&gt;0,AO$4,""),IF(N(AQ211)&gt;0,AQ$4,""),IF(N(#REF!)&gt;0,#REF!,"")),"")</f>
        <v>#REF!</v>
      </c>
      <c r="CW211" s="11"/>
      <c r="CX211" s="11" t="e">
        <f t="shared" si="13"/>
        <v>#REF!</v>
      </c>
      <c r="CY211" s="12"/>
      <c r="CZ211" s="68"/>
    </row>
    <row r="212" spans="1:104" ht="18" customHeight="1" x14ac:dyDescent="0.3">
      <c r="A212" s="150"/>
      <c r="B212" s="43"/>
      <c r="C212" s="12">
        <v>46230</v>
      </c>
      <c r="D212" s="20">
        <f t="shared" si="12"/>
        <v>0</v>
      </c>
      <c r="E212" s="20"/>
      <c r="F212" s="20"/>
      <c r="G212" s="20"/>
      <c r="H212" s="20"/>
      <c r="I212" s="20"/>
      <c r="J212" s="20"/>
      <c r="K212" s="20"/>
      <c r="L212" s="20"/>
      <c r="M212" s="19" t="s">
        <v>71</v>
      </c>
      <c r="N212" s="19"/>
      <c r="O212" s="19" t="s">
        <v>71</v>
      </c>
      <c r="P212" s="19"/>
      <c r="Q212" s="19" t="s">
        <v>71</v>
      </c>
      <c r="R212" s="19"/>
      <c r="S212" s="19" t="s">
        <v>71</v>
      </c>
      <c r="T212" s="19"/>
      <c r="U212" s="19" t="s">
        <v>71</v>
      </c>
      <c r="V212" s="19"/>
      <c r="W212" s="19"/>
      <c r="X212" s="19"/>
      <c r="Y212" s="19" t="s">
        <v>71</v>
      </c>
      <c r="Z212" s="19"/>
      <c r="AA212" s="19" t="s">
        <v>71</v>
      </c>
      <c r="AB212" s="19"/>
      <c r="AC212" s="19" t="s">
        <v>71</v>
      </c>
      <c r="AD212" s="19"/>
      <c r="AE212" s="19" t="s">
        <v>71</v>
      </c>
      <c r="AF212" s="19"/>
      <c r="AG212" s="19" t="s">
        <v>71</v>
      </c>
      <c r="AH212" s="19"/>
      <c r="AI212" s="19" t="s">
        <v>71</v>
      </c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20">
        <v>10</v>
      </c>
      <c r="BX212" s="20">
        <v>20</v>
      </c>
      <c r="BY212" s="20">
        <v>10</v>
      </c>
      <c r="BZ212" s="20">
        <v>20</v>
      </c>
      <c r="CA212" s="20">
        <v>10</v>
      </c>
      <c r="CB212" s="20">
        <v>20</v>
      </c>
      <c r="CC212" s="20"/>
      <c r="CD212" s="20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1" t="e">
        <f>IF(SUM(E212,G212,I212,K212,M212,O212,Q212,S212,U212,W212,Y212,AA212,AC212,AE212,AG212,AI212,AK212,AM212,AO212,AQ212,#REF!)&gt;0,"Sí","No")</f>
        <v>#REF!</v>
      </c>
      <c r="CV212" s="92" t="e">
        <f>IF($CU212="Sí",_xlfn.TEXTJOIN(", ",TRUE,IF(N(E212)&gt;0,E$4,""),IF(N(G212)&gt;0,G$4,""),IF(N(I212)&gt;0,I$4,""),IF(N(K212)&gt;0,K$4,""),IF(N(M212)&gt;0,M$4,""),IF(N(O212)&gt;0,O$4,""),IF(N(Q212)&gt;0,Q$4,""),IF(N(S212)&gt;0,S$4,""),IF(N(U212)&gt;0,U$4,""),IF(N(W212)&gt;0,W$4,""),IF(N(Y212)&gt;0,Y$4,""),IF(N(AA212)&gt;0,AA$4,""),IF(N(AC212)&gt;0,AC$4,""),IF(N(AE212)&gt;0,AE$4,""),IF(N(AG212)&gt;0,AG$4,""),IF(N(AI212)&gt;0,AI$4,""),IF(N(AK212)&gt;0,AK$4,""),IF(N(AM212)&gt;0,AM$4,""),IF(N(AO212)&gt;0,AO$4,""),IF(N(AQ212)&gt;0,AQ$4,""),IF(N(#REF!)&gt;0,#REF!,"")),"")</f>
        <v>#REF!</v>
      </c>
      <c r="CW212" s="11"/>
      <c r="CX212" s="11" t="e">
        <f t="shared" si="13"/>
        <v>#REF!</v>
      </c>
      <c r="CY212" s="12">
        <v>46230</v>
      </c>
      <c r="CZ212" s="68"/>
    </row>
    <row r="213" spans="1:104" ht="18" customHeight="1" x14ac:dyDescent="0.3">
      <c r="A213" s="150"/>
      <c r="B213" s="43"/>
      <c r="C213" s="12">
        <v>46231</v>
      </c>
      <c r="D213" s="20">
        <f t="shared" si="12"/>
        <v>0</v>
      </c>
      <c r="E213" s="20"/>
      <c r="F213" s="20"/>
      <c r="G213" s="20"/>
      <c r="H213" s="20"/>
      <c r="I213" s="20"/>
      <c r="J213" s="20"/>
      <c r="K213" s="20"/>
      <c r="L213" s="20"/>
      <c r="M213" s="19" t="s">
        <v>71</v>
      </c>
      <c r="N213" s="19"/>
      <c r="O213" s="19" t="s">
        <v>71</v>
      </c>
      <c r="P213" s="19"/>
      <c r="Q213" s="19" t="s">
        <v>71</v>
      </c>
      <c r="R213" s="19"/>
      <c r="S213" s="19" t="s">
        <v>71</v>
      </c>
      <c r="T213" s="19"/>
      <c r="U213" s="19" t="s">
        <v>71</v>
      </c>
      <c r="V213" s="19"/>
      <c r="W213" s="19"/>
      <c r="X213" s="19"/>
      <c r="Y213" s="19" t="s">
        <v>71</v>
      </c>
      <c r="Z213" s="19"/>
      <c r="AA213" s="19" t="s">
        <v>71</v>
      </c>
      <c r="AB213" s="19"/>
      <c r="AC213" s="19" t="s">
        <v>71</v>
      </c>
      <c r="AD213" s="19"/>
      <c r="AE213" s="19" t="s">
        <v>71</v>
      </c>
      <c r="AF213" s="19"/>
      <c r="AG213" s="19" t="s">
        <v>71</v>
      </c>
      <c r="AH213" s="19"/>
      <c r="AI213" s="19" t="s">
        <v>71</v>
      </c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1" t="e">
        <f>IF(SUM(E213,G213,I213,K213,M213,O213,Q213,S213,U213,W213,Y213,AA213,AC213,AE213,AG213,AI213,AK213,AM213,AO213,AQ213,#REF!)&gt;0,"Sí","No")</f>
        <v>#REF!</v>
      </c>
      <c r="CV213" s="92" t="e">
        <f>IF($CU213="Sí",_xlfn.TEXTJOIN(", ",TRUE,IF(N(E213)&gt;0,E$4,""),IF(N(G213)&gt;0,G$4,""),IF(N(I213)&gt;0,I$4,""),IF(N(K213)&gt;0,K$4,""),IF(N(M213)&gt;0,M$4,""),IF(N(O213)&gt;0,O$4,""),IF(N(Q213)&gt;0,Q$4,""),IF(N(S213)&gt;0,S$4,""),IF(N(U213)&gt;0,U$4,""),IF(N(W213)&gt;0,W$4,""),IF(N(Y213)&gt;0,Y$4,""),IF(N(AA213)&gt;0,AA$4,""),IF(N(AC213)&gt;0,AC$4,""),IF(N(AE213)&gt;0,AE$4,""),IF(N(AG213)&gt;0,AG$4,""),IF(N(AI213)&gt;0,AI$4,""),IF(N(AK213)&gt;0,AK$4,""),IF(N(AM213)&gt;0,AM$4,""),IF(N(AO213)&gt;0,AO$4,""),IF(N(AQ213)&gt;0,AQ$4,""),IF(N(#REF!)&gt;0,#REF!,"")),"")</f>
        <v>#REF!</v>
      </c>
      <c r="CW213" s="11"/>
      <c r="CX213" s="11" t="e">
        <f t="shared" si="13"/>
        <v>#REF!</v>
      </c>
      <c r="CY213" s="12"/>
      <c r="CZ213" s="68"/>
    </row>
    <row r="214" spans="1:104" ht="18" customHeight="1" x14ac:dyDescent="0.3">
      <c r="A214" s="150"/>
      <c r="B214" s="43"/>
      <c r="C214" s="12">
        <v>46232</v>
      </c>
      <c r="D214" s="20">
        <f t="shared" si="12"/>
        <v>0</v>
      </c>
      <c r="E214" s="20"/>
      <c r="F214" s="20"/>
      <c r="G214" s="20"/>
      <c r="H214" s="20"/>
      <c r="I214" s="20"/>
      <c r="J214" s="20"/>
      <c r="K214" s="20"/>
      <c r="L214" s="20"/>
      <c r="M214" s="19" t="s">
        <v>71</v>
      </c>
      <c r="N214" s="19"/>
      <c r="O214" s="19" t="s">
        <v>71</v>
      </c>
      <c r="P214" s="19"/>
      <c r="Q214" s="19" t="s">
        <v>71</v>
      </c>
      <c r="R214" s="19"/>
      <c r="S214" s="19" t="s">
        <v>71</v>
      </c>
      <c r="T214" s="19"/>
      <c r="U214" s="19" t="s">
        <v>71</v>
      </c>
      <c r="V214" s="19"/>
      <c r="W214" s="19"/>
      <c r="X214" s="19"/>
      <c r="Y214" s="19" t="s">
        <v>71</v>
      </c>
      <c r="Z214" s="19"/>
      <c r="AA214" s="19" t="s">
        <v>71</v>
      </c>
      <c r="AB214" s="19"/>
      <c r="AC214" s="19" t="s">
        <v>71</v>
      </c>
      <c r="AD214" s="19"/>
      <c r="AE214" s="19" t="s">
        <v>71</v>
      </c>
      <c r="AF214" s="19"/>
      <c r="AG214" s="19" t="s">
        <v>71</v>
      </c>
      <c r="AH214" s="19"/>
      <c r="AI214" s="19" t="s">
        <v>71</v>
      </c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1" t="e">
        <f>IF(SUM(E214,G214,I214,K214,M214,O214,Q214,S214,U214,W214,Y214,AA214,AC214,AE214,AG214,AI214,AK214,AM214,AO214,AQ214,#REF!)&gt;0,"Sí","No")</f>
        <v>#REF!</v>
      </c>
      <c r="CV214" s="92" t="e">
        <f>IF($CU214="Sí",_xlfn.TEXTJOIN(", ",TRUE,IF(N(E214)&gt;0,E$4,""),IF(N(G214)&gt;0,G$4,""),IF(N(I214)&gt;0,I$4,""),IF(N(K214)&gt;0,K$4,""),IF(N(M214)&gt;0,M$4,""),IF(N(O214)&gt;0,O$4,""),IF(N(Q214)&gt;0,Q$4,""),IF(N(S214)&gt;0,S$4,""),IF(N(U214)&gt;0,U$4,""),IF(N(W214)&gt;0,W$4,""),IF(N(Y214)&gt;0,Y$4,""),IF(N(AA214)&gt;0,AA$4,""),IF(N(AC214)&gt;0,AC$4,""),IF(N(AE214)&gt;0,AE$4,""),IF(N(AG214)&gt;0,AG$4,""),IF(N(AI214)&gt;0,AI$4,""),IF(N(AK214)&gt;0,AK$4,""),IF(N(AM214)&gt;0,AM$4,""),IF(N(AO214)&gt;0,AO$4,""),IF(N(AQ214)&gt;0,AQ$4,""),IF(N(#REF!)&gt;0,#REF!,"")),"")</f>
        <v>#REF!</v>
      </c>
      <c r="CW214" s="11"/>
      <c r="CX214" s="11" t="e">
        <f t="shared" si="13"/>
        <v>#REF!</v>
      </c>
      <c r="CY214" s="12"/>
      <c r="CZ214" s="68"/>
    </row>
    <row r="215" spans="1:104" ht="42" customHeight="1" x14ac:dyDescent="0.3">
      <c r="A215" s="150"/>
      <c r="B215" s="43"/>
      <c r="C215" s="12">
        <v>46233</v>
      </c>
      <c r="D215" s="20">
        <f t="shared" si="12"/>
        <v>40</v>
      </c>
      <c r="E215" s="20"/>
      <c r="F215" s="20"/>
      <c r="G215" s="20"/>
      <c r="H215" s="20"/>
      <c r="I215" s="20"/>
      <c r="J215" s="20"/>
      <c r="K215" s="20"/>
      <c r="L215" s="20"/>
      <c r="M215" s="19"/>
      <c r="N215" s="19"/>
      <c r="O215" s="19"/>
      <c r="P215" s="19"/>
      <c r="Q215" s="19"/>
      <c r="R215" s="19"/>
      <c r="S215" s="26" t="s">
        <v>71</v>
      </c>
      <c r="T215" s="26"/>
      <c r="U215" s="19" t="s">
        <v>71</v>
      </c>
      <c r="V215" s="19"/>
      <c r="W215" s="19"/>
      <c r="X215" s="19"/>
      <c r="Y215" s="19" t="s">
        <v>71</v>
      </c>
      <c r="Z215" s="19"/>
      <c r="AA215" s="26" t="s">
        <v>71</v>
      </c>
      <c r="AB215" s="26"/>
      <c r="AC215" s="26" t="s">
        <v>71</v>
      </c>
      <c r="AD215" s="26"/>
      <c r="AE215" s="26" t="s">
        <v>71</v>
      </c>
      <c r="AF215" s="26"/>
      <c r="AG215" s="26">
        <v>10</v>
      </c>
      <c r="AH215" s="26">
        <v>20</v>
      </c>
      <c r="AI215" s="26">
        <v>10</v>
      </c>
      <c r="AJ215" s="26">
        <v>20</v>
      </c>
      <c r="AK215" s="26"/>
      <c r="AL215" s="26"/>
      <c r="AM215" s="26"/>
      <c r="AN215" s="26"/>
      <c r="AO215" s="26"/>
      <c r="AP215" s="26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1" t="e">
        <f>IF(SUM(E215,G215,I215,K215,M215,O215,Q215,S215,U215,W215,Y215,AA215,AC215,AE215,AG215,AI215,AK215,AM215,AO215,AQ215,#REF!)&gt;0,"Sí","No")</f>
        <v>#REF!</v>
      </c>
      <c r="CV215" s="92" t="e">
        <f>IF($CU215="Sí",_xlfn.TEXTJOIN(", ",TRUE,IF(N(E215)&gt;0,E$4,""),IF(N(G215)&gt;0,G$4,""),IF(N(I215)&gt;0,I$4,""),IF(N(K215)&gt;0,K$4,""),IF(N(M215)&gt;0,M$4,""),IF(N(O215)&gt;0,O$4,""),IF(N(Q215)&gt;0,Q$4,""),IF(N(S215)&gt;0,S$4,""),IF(N(U215)&gt;0,U$4,""),IF(N(W215)&gt;0,W$4,""),IF(N(Y215)&gt;0,Y$4,""),IF(N(AA215)&gt;0,AA$4,""),IF(N(AC215)&gt;0,AC$4,""),IF(N(AE215)&gt;0,AE$4,""),IF(N(AG215)&gt;0,AG$4,""),IF(N(AI215)&gt;0,AI$4,""),IF(N(AK215)&gt;0,AK$4,""),IF(N(AM215)&gt;0,AM$4,""),IF(N(AO215)&gt;0,AO$4,""),IF(N(AQ215)&gt;0,AQ$4,""),IF(N(#REF!)&gt;0,#REF!,"")),"")</f>
        <v>#REF!</v>
      </c>
      <c r="CW215" s="11"/>
      <c r="CX215" s="11" t="e">
        <f t="shared" si="13"/>
        <v>#REF!</v>
      </c>
      <c r="CY215" s="56">
        <v>46233</v>
      </c>
      <c r="CZ215" s="76"/>
    </row>
    <row r="216" spans="1:104" ht="27.6" customHeight="1" thickBot="1" x14ac:dyDescent="0.35">
      <c r="A216" s="151"/>
      <c r="B216" s="44"/>
      <c r="C216" s="30">
        <v>46234</v>
      </c>
      <c r="D216" s="31">
        <f t="shared" si="12"/>
        <v>0</v>
      </c>
      <c r="E216" s="31"/>
      <c r="F216" s="31"/>
      <c r="G216" s="31"/>
      <c r="H216" s="31"/>
      <c r="I216" s="31"/>
      <c r="J216" s="31"/>
      <c r="K216" s="31"/>
      <c r="L216" s="31"/>
      <c r="M216" s="32" t="s">
        <v>71</v>
      </c>
      <c r="N216" s="32"/>
      <c r="O216" s="32" t="s">
        <v>71</v>
      </c>
      <c r="P216" s="32"/>
      <c r="Q216" s="32" t="s">
        <v>71</v>
      </c>
      <c r="R216" s="32"/>
      <c r="S216" s="32" t="s">
        <v>71</v>
      </c>
      <c r="T216" s="32"/>
      <c r="U216" s="32" t="s">
        <v>71</v>
      </c>
      <c r="V216" s="32"/>
      <c r="W216" s="32"/>
      <c r="X216" s="32"/>
      <c r="Y216" s="32" t="s">
        <v>71</v>
      </c>
      <c r="Z216" s="32"/>
      <c r="AA216" s="32" t="s">
        <v>71</v>
      </c>
      <c r="AB216" s="32"/>
      <c r="AC216" s="32" t="s">
        <v>71</v>
      </c>
      <c r="AD216" s="32"/>
      <c r="AE216" s="32" t="s">
        <v>71</v>
      </c>
      <c r="AF216" s="32"/>
      <c r="AG216" s="32" t="s">
        <v>71</v>
      </c>
      <c r="AH216" s="32"/>
      <c r="AI216" s="32" t="s">
        <v>71</v>
      </c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70" t="e">
        <f>IF(SUM(E216,G216,I216,K216,M216,O216,Q216,S216,U216,W216,Y216,AA216,AC216,AE216,AG216,AI216,AK216,AM216,AO216,AQ216,#REF!)&gt;0,"Sí","No")</f>
        <v>#REF!</v>
      </c>
      <c r="CV216" s="108" t="e">
        <f>IF($CU216="Sí",_xlfn.TEXTJOIN(", ",TRUE,IF(N(E216)&gt;0,E$4,""),IF(N(G216)&gt;0,G$4,""),IF(N(I216)&gt;0,I$4,""),IF(N(K216)&gt;0,K$4,""),IF(N(M216)&gt;0,M$4,""),IF(N(O216)&gt;0,O$4,""),IF(N(Q216)&gt;0,Q$4,""),IF(N(S216)&gt;0,S$4,""),IF(N(U216)&gt;0,U$4,""),IF(N(W216)&gt;0,W$4,""),IF(N(Y216)&gt;0,Y$4,""),IF(N(AA216)&gt;0,AA$4,""),IF(N(AC216)&gt;0,AC$4,""),IF(N(AE216)&gt;0,AE$4,""),IF(N(AG216)&gt;0,AG$4,""),IF(N(AI216)&gt;0,AI$4,""),IF(N(AK216)&gt;0,AK$4,""),IF(N(AM216)&gt;0,AM$4,""),IF(N(AO216)&gt;0,AO$4,""),IF(N(AQ216)&gt;0,AQ$4,""),IF(N(#REF!)&gt;0,#REF!,"")),"")</f>
        <v>#REF!</v>
      </c>
      <c r="CW216" s="70"/>
      <c r="CX216" s="70" t="e">
        <f t="shared" si="13"/>
        <v>#REF!</v>
      </c>
      <c r="CY216" s="30">
        <v>46234</v>
      </c>
      <c r="CZ216" s="73"/>
    </row>
    <row r="217" spans="1:104" ht="18" customHeight="1" x14ac:dyDescent="0.3">
      <c r="A217" s="148" t="s">
        <v>125</v>
      </c>
      <c r="B217" s="42"/>
      <c r="C217" s="15">
        <v>46235</v>
      </c>
      <c r="D217" s="27">
        <f t="shared" si="12"/>
        <v>0</v>
      </c>
      <c r="E217" s="27"/>
      <c r="F217" s="27"/>
      <c r="G217" s="27"/>
      <c r="H217" s="27"/>
      <c r="I217" s="27"/>
      <c r="J217" s="27"/>
      <c r="K217" s="27"/>
      <c r="L217" s="27"/>
      <c r="M217" s="18" t="s">
        <v>71</v>
      </c>
      <c r="N217" s="18"/>
      <c r="O217" s="18" t="s">
        <v>71</v>
      </c>
      <c r="P217" s="18"/>
      <c r="Q217" s="18" t="s">
        <v>71</v>
      </c>
      <c r="R217" s="18"/>
      <c r="S217" s="18" t="s">
        <v>71</v>
      </c>
      <c r="T217" s="18"/>
      <c r="U217" s="18" t="s">
        <v>71</v>
      </c>
      <c r="V217" s="18"/>
      <c r="W217" s="18"/>
      <c r="X217" s="18"/>
      <c r="Y217" s="18" t="s">
        <v>71</v>
      </c>
      <c r="Z217" s="18"/>
      <c r="AA217" s="18" t="s">
        <v>71</v>
      </c>
      <c r="AB217" s="18"/>
      <c r="AC217" s="18" t="s">
        <v>71</v>
      </c>
      <c r="AD217" s="18"/>
      <c r="AE217" s="18" t="s">
        <v>71</v>
      </c>
      <c r="AF217" s="18"/>
      <c r="AG217" s="18" t="s">
        <v>71</v>
      </c>
      <c r="AH217" s="18"/>
      <c r="AI217" s="18" t="s">
        <v>71</v>
      </c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4" t="e">
        <f>IF(SUM(E217,G217,I217,K217,M217,O217,Q217,S217,U217,W217,Y217,AA217,AC217,AE217,AG217,AI217,AK217,AM217,AO217,AQ217,#REF!)&gt;0,"Sí","No")</f>
        <v>#REF!</v>
      </c>
      <c r="CV217" s="107" t="e">
        <f>IF($CU217="Sí",_xlfn.TEXTJOIN(", ",TRUE,IF(N(E217)&gt;0,E$4,""),IF(N(G217)&gt;0,G$4,""),IF(N(I217)&gt;0,I$4,""),IF(N(K217)&gt;0,K$4,""),IF(N(M217)&gt;0,M$4,""),IF(N(O217)&gt;0,O$4,""),IF(N(Q217)&gt;0,Q$4,""),IF(N(S217)&gt;0,S$4,""),IF(N(U217)&gt;0,U$4,""),IF(N(W217)&gt;0,W$4,""),IF(N(Y217)&gt;0,Y$4,""),IF(N(AA217)&gt;0,AA$4,""),IF(N(AC217)&gt;0,AC$4,""),IF(N(AE217)&gt;0,AE$4,""),IF(N(AG217)&gt;0,AG$4,""),IF(N(AI217)&gt;0,AI$4,""),IF(N(AK217)&gt;0,AK$4,""),IF(N(AM217)&gt;0,AM$4,""),IF(N(AO217)&gt;0,AO$4,""),IF(N(AQ217)&gt;0,AQ$4,""),IF(N(#REF!)&gt;0,#REF!,"")),"")</f>
        <v>#REF!</v>
      </c>
      <c r="CW217" s="14"/>
      <c r="CX217" s="14" t="e">
        <f t="shared" si="13"/>
        <v>#REF!</v>
      </c>
      <c r="CY217" s="15"/>
      <c r="CZ217" s="66"/>
    </row>
    <row r="218" spans="1:104" ht="18" customHeight="1" x14ac:dyDescent="0.3">
      <c r="A218" s="150"/>
      <c r="B218" s="43"/>
      <c r="C218" s="12">
        <v>46236</v>
      </c>
      <c r="D218" s="20">
        <f t="shared" si="12"/>
        <v>0</v>
      </c>
      <c r="E218" s="20"/>
      <c r="F218" s="20"/>
      <c r="G218" s="20"/>
      <c r="H218" s="20"/>
      <c r="I218" s="20"/>
      <c r="J218" s="20"/>
      <c r="K218" s="20"/>
      <c r="L218" s="20"/>
      <c r="M218" s="19" t="s">
        <v>71</v>
      </c>
      <c r="N218" s="19"/>
      <c r="O218" s="19" t="s">
        <v>71</v>
      </c>
      <c r="P218" s="19"/>
      <c r="Q218" s="19" t="s">
        <v>71</v>
      </c>
      <c r="R218" s="19"/>
      <c r="S218" s="19" t="s">
        <v>71</v>
      </c>
      <c r="T218" s="19"/>
      <c r="U218" s="19" t="s">
        <v>71</v>
      </c>
      <c r="V218" s="19"/>
      <c r="W218" s="19"/>
      <c r="X218" s="19"/>
      <c r="Y218" s="19" t="s">
        <v>71</v>
      </c>
      <c r="Z218" s="19"/>
      <c r="AA218" s="19" t="s">
        <v>71</v>
      </c>
      <c r="AB218" s="19"/>
      <c r="AC218" s="19" t="s">
        <v>71</v>
      </c>
      <c r="AD218" s="19"/>
      <c r="AE218" s="19" t="s">
        <v>71</v>
      </c>
      <c r="AF218" s="19"/>
      <c r="AG218" s="19" t="s">
        <v>71</v>
      </c>
      <c r="AH218" s="19"/>
      <c r="AI218" s="19" t="s">
        <v>71</v>
      </c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1" t="e">
        <f>IF(SUM(E218,G218,I218,K218,M218,O218,Q218,S218,U218,W218,Y218,AA218,AC218,AE218,AG218,AI218,AK218,AM218,AO218,AQ218,#REF!)&gt;0,"Sí","No")</f>
        <v>#REF!</v>
      </c>
      <c r="CV218" s="92" t="e">
        <f>IF($CU218="Sí",_xlfn.TEXTJOIN(", ",TRUE,IF(N(E218)&gt;0,E$4,""),IF(N(G218)&gt;0,G$4,""),IF(N(I218)&gt;0,I$4,""),IF(N(K218)&gt;0,K$4,""),IF(N(M218)&gt;0,M$4,""),IF(N(O218)&gt;0,O$4,""),IF(N(Q218)&gt;0,Q$4,""),IF(N(S218)&gt;0,S$4,""),IF(N(U218)&gt;0,U$4,""),IF(N(W218)&gt;0,W$4,""),IF(N(Y218)&gt;0,Y$4,""),IF(N(AA218)&gt;0,AA$4,""),IF(N(AC218)&gt;0,AC$4,""),IF(N(AE218)&gt;0,AE$4,""),IF(N(AG218)&gt;0,AG$4,""),IF(N(AI218)&gt;0,AI$4,""),IF(N(AK218)&gt;0,AK$4,""),IF(N(AM218)&gt;0,AM$4,""),IF(N(AO218)&gt;0,AO$4,""),IF(N(AQ218)&gt;0,AQ$4,""),IF(N(#REF!)&gt;0,#REF!,"")),"")</f>
        <v>#REF!</v>
      </c>
      <c r="CW218" s="11"/>
      <c r="CX218" s="11" t="e">
        <f t="shared" si="13"/>
        <v>#REF!</v>
      </c>
      <c r="CY218" s="12"/>
      <c r="CZ218" s="68"/>
    </row>
    <row r="219" spans="1:104" ht="18" customHeight="1" x14ac:dyDescent="0.3">
      <c r="A219" s="150"/>
      <c r="B219" s="43"/>
      <c r="C219" s="12">
        <v>46237</v>
      </c>
      <c r="D219" s="20">
        <f t="shared" si="12"/>
        <v>0</v>
      </c>
      <c r="E219" s="20"/>
      <c r="F219" s="20"/>
      <c r="G219" s="20"/>
      <c r="H219" s="20"/>
      <c r="I219" s="20"/>
      <c r="J219" s="20"/>
      <c r="K219" s="20"/>
      <c r="L219" s="20"/>
      <c r="M219" s="19" t="s">
        <v>71</v>
      </c>
      <c r="N219" s="19"/>
      <c r="O219" s="19" t="s">
        <v>71</v>
      </c>
      <c r="P219" s="19"/>
      <c r="Q219" s="19" t="s">
        <v>71</v>
      </c>
      <c r="R219" s="19"/>
      <c r="S219" s="19"/>
      <c r="T219" s="19"/>
      <c r="U219" s="19"/>
      <c r="V219" s="19"/>
      <c r="W219" s="19"/>
      <c r="X219" s="19"/>
      <c r="Y219" s="19" t="s">
        <v>71</v>
      </c>
      <c r="Z219" s="19"/>
      <c r="AA219" s="19" t="s">
        <v>71</v>
      </c>
      <c r="AB219" s="19"/>
      <c r="AC219" s="19" t="s">
        <v>71</v>
      </c>
      <c r="AD219" s="19"/>
      <c r="AE219" s="19" t="s">
        <v>71</v>
      </c>
      <c r="AF219" s="19"/>
      <c r="AG219" s="19" t="s">
        <v>71</v>
      </c>
      <c r="AH219" s="19"/>
      <c r="AI219" s="19" t="s">
        <v>71</v>
      </c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1" t="e">
        <f>IF(SUM(E219,G219,I219,K219,M219,O219,Q219,S219,U219,W219,Y219,AA219,AC219,AE219,AG219,AI219,AK219,AM219,AO219,AQ219,#REF!)&gt;0,"Sí","No")</f>
        <v>#REF!</v>
      </c>
      <c r="CV219" s="92" t="e">
        <f>IF($CU219="Sí",_xlfn.TEXTJOIN(", ",TRUE,IF(N(E219)&gt;0,E$4,""),IF(N(G219)&gt;0,G$4,""),IF(N(I219)&gt;0,I$4,""),IF(N(K219)&gt;0,K$4,""),IF(N(M219)&gt;0,M$4,""),IF(N(O219)&gt;0,O$4,""),IF(N(Q219)&gt;0,Q$4,""),IF(N(S219)&gt;0,S$4,""),IF(N(U219)&gt;0,U$4,""),IF(N(W219)&gt;0,W$4,""),IF(N(Y219)&gt;0,Y$4,""),IF(N(AA219)&gt;0,AA$4,""),IF(N(AC219)&gt;0,AC$4,""),IF(N(AE219)&gt;0,AE$4,""),IF(N(AG219)&gt;0,AG$4,""),IF(N(AI219)&gt;0,AI$4,""),IF(N(AK219)&gt;0,AK$4,""),IF(N(AM219)&gt;0,AM$4,""),IF(N(AO219)&gt;0,AO$4,""),IF(N(AQ219)&gt;0,AQ$4,""),IF(N(#REF!)&gt;0,#REF!,"")),"")</f>
        <v>#REF!</v>
      </c>
      <c r="CW219" s="11"/>
      <c r="CX219" s="11" t="e">
        <f t="shared" si="13"/>
        <v>#REF!</v>
      </c>
      <c r="CY219" s="12">
        <v>46237</v>
      </c>
      <c r="CZ219" s="68"/>
    </row>
    <row r="220" spans="1:104" ht="28.8" customHeight="1" x14ac:dyDescent="0.3">
      <c r="A220" s="150"/>
      <c r="B220" s="43"/>
      <c r="C220" s="12">
        <v>46238</v>
      </c>
      <c r="D220" s="20">
        <f t="shared" si="12"/>
        <v>0</v>
      </c>
      <c r="E220" s="20" t="str">
        <f t="shared" si="10"/>
        <v/>
      </c>
      <c r="F220" s="20"/>
      <c r="G220" s="20" t="str">
        <f t="shared" si="11"/>
        <v/>
      </c>
      <c r="H220" s="20"/>
      <c r="I220" s="20"/>
      <c r="J220" s="20"/>
      <c r="K220" s="20"/>
      <c r="L220" s="20"/>
      <c r="M220" s="19" t="s">
        <v>71</v>
      </c>
      <c r="N220" s="19"/>
      <c r="O220" s="19" t="s">
        <v>71</v>
      </c>
      <c r="P220" s="19"/>
      <c r="Q220" s="19" t="s">
        <v>71</v>
      </c>
      <c r="R220" s="19"/>
      <c r="S220" s="19"/>
      <c r="T220" s="19"/>
      <c r="U220" s="19"/>
      <c r="V220" s="19"/>
      <c r="W220" s="19"/>
      <c r="X220" s="19"/>
      <c r="Y220" s="19" t="s">
        <v>71</v>
      </c>
      <c r="Z220" s="19"/>
      <c r="AA220" s="19" t="s">
        <v>71</v>
      </c>
      <c r="AB220" s="19"/>
      <c r="AC220" s="19" t="s">
        <v>71</v>
      </c>
      <c r="AD220" s="19"/>
      <c r="AE220" s="19" t="s">
        <v>71</v>
      </c>
      <c r="AF220" s="19"/>
      <c r="AG220" s="19" t="s">
        <v>71</v>
      </c>
      <c r="AH220" s="19"/>
      <c r="AI220" s="19" t="s">
        <v>71</v>
      </c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 t="s">
        <v>71</v>
      </c>
      <c r="CF220" s="19"/>
      <c r="CG220" s="19" t="s">
        <v>71</v>
      </c>
      <c r="CH220" s="19"/>
      <c r="CI220" s="19" t="s">
        <v>71</v>
      </c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1" t="e">
        <f>IF(SUM(E220,G220,I220,K220,M220,O220,Q220,S220,U220,W220,Y220,AA220,AC220,AE220,AG220,AI220,AK220,AM220,AO220,AQ220,#REF!)&gt;0,"Sí","No")</f>
        <v>#REF!</v>
      </c>
      <c r="CV220" s="92" t="e">
        <f>IF($CU220="Sí",_xlfn.TEXTJOIN(", ",TRUE,IF(N(E220)&gt;0,E$4,""),IF(N(G220)&gt;0,G$4,""),IF(N(I220)&gt;0,I$4,""),IF(N(K220)&gt;0,K$4,""),IF(N(M220)&gt;0,M$4,""),IF(N(O220)&gt;0,O$4,""),IF(N(Q220)&gt;0,Q$4,""),IF(N(S220)&gt;0,S$4,""),IF(N(U220)&gt;0,U$4,""),IF(N(W220)&gt;0,W$4,""),IF(N(Y220)&gt;0,Y$4,""),IF(N(AA220)&gt;0,AA$4,""),IF(N(AC220)&gt;0,AC$4,""),IF(N(AE220)&gt;0,AE$4,""),IF(N(AG220)&gt;0,AG$4,""),IF(N(AI220)&gt;0,AI$4,""),IF(N(AK220)&gt;0,AK$4,""),IF(N(AM220)&gt;0,AM$4,""),IF(N(AO220)&gt;0,AO$4,""),IF(N(AQ220)&gt;0,AQ$4,""),IF(N(#REF!)&gt;0,#REF!,"")),"")</f>
        <v>#REF!</v>
      </c>
      <c r="CW220" s="11"/>
      <c r="CX220" s="11" t="e">
        <f t="shared" si="13"/>
        <v>#REF!</v>
      </c>
      <c r="CY220" s="12">
        <v>46241</v>
      </c>
      <c r="CZ220" s="68"/>
    </row>
    <row r="221" spans="1:104" ht="36.6" customHeight="1" x14ac:dyDescent="0.3">
      <c r="A221" s="150"/>
      <c r="B221" s="43"/>
      <c r="C221" s="12">
        <v>46239</v>
      </c>
      <c r="D221" s="20">
        <f t="shared" si="12"/>
        <v>0</v>
      </c>
      <c r="E221" s="20" t="str">
        <f t="shared" si="10"/>
        <v/>
      </c>
      <c r="F221" s="20"/>
      <c r="G221" s="20" t="str">
        <f t="shared" si="11"/>
        <v/>
      </c>
      <c r="H221" s="20"/>
      <c r="I221" s="20"/>
      <c r="J221" s="20"/>
      <c r="K221" s="20"/>
      <c r="L221" s="20"/>
      <c r="M221" s="19" t="s">
        <v>71</v>
      </c>
      <c r="N221" s="19"/>
      <c r="O221" s="19" t="s">
        <v>71</v>
      </c>
      <c r="P221" s="19"/>
      <c r="Q221" s="19" t="s">
        <v>71</v>
      </c>
      <c r="R221" s="19"/>
      <c r="S221" s="19"/>
      <c r="T221" s="19"/>
      <c r="U221" s="19"/>
      <c r="V221" s="19"/>
      <c r="W221" s="19"/>
      <c r="X221" s="19"/>
      <c r="Y221" s="19" t="s">
        <v>71</v>
      </c>
      <c r="Z221" s="19"/>
      <c r="AA221" s="19" t="s">
        <v>71</v>
      </c>
      <c r="AB221" s="19"/>
      <c r="AC221" s="19" t="s">
        <v>71</v>
      </c>
      <c r="AD221" s="19"/>
      <c r="AE221" s="19" t="s">
        <v>71</v>
      </c>
      <c r="AF221" s="19"/>
      <c r="AG221" s="19" t="s">
        <v>71</v>
      </c>
      <c r="AH221" s="19"/>
      <c r="AI221" s="19" t="s">
        <v>71</v>
      </c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 t="s">
        <v>71</v>
      </c>
      <c r="CF221" s="19"/>
      <c r="CG221" s="19" t="s">
        <v>71</v>
      </c>
      <c r="CH221" s="19"/>
      <c r="CI221" s="19" t="s">
        <v>71</v>
      </c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1" t="e">
        <f>IF(SUM(E221,G221,I221,K221,M221,O221,Q221,S221,U221,W221,Y221,AA221,AC221,AE221,AG221,AI221,AK221,AM221,AO221,AQ221,#REF!)&gt;0,"Sí","No")</f>
        <v>#REF!</v>
      </c>
      <c r="CV221" s="92" t="e">
        <f>IF($CU221="Sí",_xlfn.TEXTJOIN(", ",TRUE,IF(N(E221)&gt;0,E$4,""),IF(N(G221)&gt;0,G$4,""),IF(N(I221)&gt;0,I$4,""),IF(N(K221)&gt;0,K$4,""),IF(N(M221)&gt;0,M$4,""),IF(N(O221)&gt;0,O$4,""),IF(N(Q221)&gt;0,Q$4,""),IF(N(S221)&gt;0,S$4,""),IF(N(U221)&gt;0,U$4,""),IF(N(W221)&gt;0,W$4,""),IF(N(Y221)&gt;0,Y$4,""),IF(N(AA221)&gt;0,AA$4,""),IF(N(AC221)&gt;0,AC$4,""),IF(N(AE221)&gt;0,AE$4,""),IF(N(AG221)&gt;0,AG$4,""),IF(N(AI221)&gt;0,AI$4,""),IF(N(AK221)&gt;0,AK$4,""),IF(N(AM221)&gt;0,AM$4,""),IF(N(AO221)&gt;0,AO$4,""),IF(N(AQ221)&gt;0,AQ$4,""),IF(N(#REF!)&gt;0,#REF!,"")),"")</f>
        <v>#REF!</v>
      </c>
      <c r="CW221" s="11"/>
      <c r="CX221" s="11" t="e">
        <f t="shared" si="13"/>
        <v>#REF!</v>
      </c>
      <c r="CY221" s="12"/>
      <c r="CZ221" s="68"/>
    </row>
    <row r="222" spans="1:104" ht="18" customHeight="1" x14ac:dyDescent="0.3">
      <c r="A222" s="150"/>
      <c r="B222" s="43"/>
      <c r="C222" s="12">
        <v>46240</v>
      </c>
      <c r="D222" s="20">
        <f t="shared" si="12"/>
        <v>0</v>
      </c>
      <c r="E222" s="20" t="str">
        <f t="shared" si="10"/>
        <v/>
      </c>
      <c r="F222" s="20"/>
      <c r="G222" s="20" t="str">
        <f t="shared" si="11"/>
        <v/>
      </c>
      <c r="H222" s="20"/>
      <c r="I222" s="20"/>
      <c r="J222" s="20"/>
      <c r="K222" s="20"/>
      <c r="L222" s="20"/>
      <c r="M222" s="19" t="s">
        <v>71</v>
      </c>
      <c r="N222" s="19"/>
      <c r="O222" s="19" t="s">
        <v>71</v>
      </c>
      <c r="P222" s="19"/>
      <c r="Q222" s="19" t="s">
        <v>71</v>
      </c>
      <c r="R222" s="19"/>
      <c r="S222" s="19"/>
      <c r="T222" s="19"/>
      <c r="U222" s="19"/>
      <c r="V222" s="19"/>
      <c r="W222" s="19"/>
      <c r="X222" s="19"/>
      <c r="Y222" s="19" t="s">
        <v>71</v>
      </c>
      <c r="Z222" s="19"/>
      <c r="AA222" s="19" t="s">
        <v>71</v>
      </c>
      <c r="AB222" s="19"/>
      <c r="AC222" s="19" t="s">
        <v>71</v>
      </c>
      <c r="AD222" s="19"/>
      <c r="AE222" s="19" t="s">
        <v>71</v>
      </c>
      <c r="AF222" s="19"/>
      <c r="AG222" s="19" t="s">
        <v>71</v>
      </c>
      <c r="AH222" s="19"/>
      <c r="AI222" s="19" t="s">
        <v>71</v>
      </c>
      <c r="AJ222" s="19"/>
      <c r="AK222" s="19" t="s">
        <v>71</v>
      </c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 t="s">
        <v>71</v>
      </c>
      <c r="CF222" s="19"/>
      <c r="CG222" s="19" t="s">
        <v>71</v>
      </c>
      <c r="CH222" s="19"/>
      <c r="CI222" s="19" t="s">
        <v>71</v>
      </c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1" t="e">
        <f>IF(SUM(E222,G222,I222,K222,M222,O222,Q222,S222,U222,W222,Y222,AA222,AC222,AE222,AG222,AI222,AK222,AM222,AO222,AQ222,#REF!)&gt;0,"Sí","No")</f>
        <v>#REF!</v>
      </c>
      <c r="CV222" s="92" t="e">
        <f>IF($CU222="Sí",_xlfn.TEXTJOIN(", ",TRUE,IF(N(E222)&gt;0,E$4,""),IF(N(G222)&gt;0,G$4,""),IF(N(I222)&gt;0,I$4,""),IF(N(K222)&gt;0,K$4,""),IF(N(M222)&gt;0,M$4,""),IF(N(O222)&gt;0,O$4,""),IF(N(Q222)&gt;0,Q$4,""),IF(N(S222)&gt;0,S$4,""),IF(N(U222)&gt;0,U$4,""),IF(N(W222)&gt;0,W$4,""),IF(N(Y222)&gt;0,Y$4,""),IF(N(AA222)&gt;0,AA$4,""),IF(N(AC222)&gt;0,AC$4,""),IF(N(AE222)&gt;0,AE$4,""),IF(N(AG222)&gt;0,AG$4,""),IF(N(AI222)&gt;0,AI$4,""),IF(N(AK222)&gt;0,AK$4,""),IF(N(AM222)&gt;0,AM$4,""),IF(N(AO222)&gt;0,AO$4,""),IF(N(AQ222)&gt;0,AQ$4,""),IF(N(#REF!)&gt;0,#REF!,"")),"")</f>
        <v>#REF!</v>
      </c>
      <c r="CW222" s="11"/>
      <c r="CX222" s="11" t="e">
        <f t="shared" si="13"/>
        <v>#REF!</v>
      </c>
      <c r="CY222" s="12">
        <v>46240</v>
      </c>
      <c r="CZ222" s="68"/>
    </row>
    <row r="223" spans="1:104" ht="18" customHeight="1" x14ac:dyDescent="0.3">
      <c r="A223" s="150"/>
      <c r="B223" s="43"/>
      <c r="C223" s="12">
        <v>46241</v>
      </c>
      <c r="D223" s="20">
        <f t="shared" si="12"/>
        <v>0</v>
      </c>
      <c r="E223" s="20" t="str">
        <f t="shared" si="10"/>
        <v/>
      </c>
      <c r="F223" s="20"/>
      <c r="G223" s="20" t="str">
        <f t="shared" si="11"/>
        <v/>
      </c>
      <c r="H223" s="20"/>
      <c r="I223" s="20"/>
      <c r="J223" s="20"/>
      <c r="K223" s="20"/>
      <c r="L223" s="20"/>
      <c r="M223" s="19" t="s">
        <v>71</v>
      </c>
      <c r="N223" s="19"/>
      <c r="O223" s="19" t="s">
        <v>71</v>
      </c>
      <c r="P223" s="19"/>
      <c r="Q223" s="19" t="s">
        <v>71</v>
      </c>
      <c r="R223" s="19"/>
      <c r="S223" s="19"/>
      <c r="T223" s="19"/>
      <c r="U223" s="19"/>
      <c r="V223" s="19"/>
      <c r="W223" s="19"/>
      <c r="X223" s="19"/>
      <c r="Y223" s="19" t="s">
        <v>71</v>
      </c>
      <c r="Z223" s="19"/>
      <c r="AA223" s="19" t="s">
        <v>71</v>
      </c>
      <c r="AB223" s="19"/>
      <c r="AC223" s="19" t="s">
        <v>71</v>
      </c>
      <c r="AD223" s="19"/>
      <c r="AE223" s="19" t="s">
        <v>71</v>
      </c>
      <c r="AF223" s="19"/>
      <c r="AG223" s="19" t="s">
        <v>71</v>
      </c>
      <c r="AH223" s="19"/>
      <c r="AI223" s="19" t="s">
        <v>71</v>
      </c>
      <c r="AJ223" s="19"/>
      <c r="AK223" s="19" t="s">
        <v>71</v>
      </c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 t="s">
        <v>71</v>
      </c>
      <c r="CF223" s="19"/>
      <c r="CG223" s="19" t="s">
        <v>71</v>
      </c>
      <c r="CH223" s="19"/>
      <c r="CI223" s="19" t="s">
        <v>71</v>
      </c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1" t="e">
        <f>IF(SUM(E223,G223,I223,K223,M223,O223,Q223,S223,U223,W223,Y223,AA223,AC223,AE223,AG223,AI223,AK223,AM223,AO223,AQ223,#REF!)&gt;0,"Sí","No")</f>
        <v>#REF!</v>
      </c>
      <c r="CV223" s="92" t="e">
        <f>IF($CU223="Sí",_xlfn.TEXTJOIN(", ",TRUE,IF(N(E223)&gt;0,E$4,""),IF(N(G223)&gt;0,G$4,""),IF(N(I223)&gt;0,I$4,""),IF(N(K223)&gt;0,K$4,""),IF(N(M223)&gt;0,M$4,""),IF(N(O223)&gt;0,O$4,""),IF(N(Q223)&gt;0,Q$4,""),IF(N(S223)&gt;0,S$4,""),IF(N(U223)&gt;0,U$4,""),IF(N(W223)&gt;0,W$4,""),IF(N(Y223)&gt;0,Y$4,""),IF(N(AA223)&gt;0,AA$4,""),IF(N(AC223)&gt;0,AC$4,""),IF(N(AE223)&gt;0,AE$4,""),IF(N(AG223)&gt;0,AG$4,""),IF(N(AI223)&gt;0,AI$4,""),IF(N(AK223)&gt;0,AK$4,""),IF(N(AM223)&gt;0,AM$4,""),IF(N(AO223)&gt;0,AO$4,""),IF(N(AQ223)&gt;0,AQ$4,""),IF(N(#REF!)&gt;0,#REF!,"")),"")</f>
        <v>#REF!</v>
      </c>
      <c r="CW223" s="11"/>
      <c r="CX223" s="11" t="e">
        <f t="shared" si="13"/>
        <v>#REF!</v>
      </c>
      <c r="CY223" s="12">
        <v>46241</v>
      </c>
      <c r="CZ223" s="68"/>
    </row>
    <row r="224" spans="1:104" ht="18" customHeight="1" x14ac:dyDescent="0.3">
      <c r="A224" s="150"/>
      <c r="B224" s="43"/>
      <c r="C224" s="12">
        <v>46242</v>
      </c>
      <c r="D224" s="20">
        <f t="shared" si="12"/>
        <v>0</v>
      </c>
      <c r="E224" s="20" t="str">
        <f t="shared" ref="E224:E287" si="14">IF(MOD(A224-$C$30,42)=0,8,"")</f>
        <v/>
      </c>
      <c r="F224" s="20"/>
      <c r="G224" s="20" t="str">
        <f t="shared" ref="G224:G287" si="15">IF(MOD(C224-$C$30,42)=0,8,"")</f>
        <v/>
      </c>
      <c r="H224" s="20"/>
      <c r="I224" s="20"/>
      <c r="J224" s="20"/>
      <c r="K224" s="20"/>
      <c r="L224" s="20"/>
      <c r="M224" s="19" t="s">
        <v>71</v>
      </c>
      <c r="N224" s="19"/>
      <c r="O224" s="19" t="s">
        <v>71</v>
      </c>
      <c r="P224" s="19"/>
      <c r="Q224" s="19" t="s">
        <v>71</v>
      </c>
      <c r="R224" s="19"/>
      <c r="S224" s="19"/>
      <c r="T224" s="19"/>
      <c r="U224" s="19"/>
      <c r="V224" s="19"/>
      <c r="W224" s="19"/>
      <c r="X224" s="19"/>
      <c r="Y224" s="19" t="s">
        <v>71</v>
      </c>
      <c r="Z224" s="19"/>
      <c r="AA224" s="19" t="s">
        <v>71</v>
      </c>
      <c r="AB224" s="19"/>
      <c r="AC224" s="19" t="s">
        <v>71</v>
      </c>
      <c r="AD224" s="19"/>
      <c r="AE224" s="19" t="s">
        <v>71</v>
      </c>
      <c r="AF224" s="19"/>
      <c r="AG224" s="19" t="s">
        <v>71</v>
      </c>
      <c r="AH224" s="19"/>
      <c r="AI224" s="19" t="s">
        <v>71</v>
      </c>
      <c r="AJ224" s="19"/>
      <c r="AK224" s="19" t="s">
        <v>71</v>
      </c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 t="s">
        <v>71</v>
      </c>
      <c r="CF224" s="19"/>
      <c r="CG224" s="19" t="s">
        <v>71</v>
      </c>
      <c r="CH224" s="19"/>
      <c r="CI224" s="19" t="s">
        <v>71</v>
      </c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1" t="e">
        <f>IF(SUM(E224,G224,I224,K224,M224,O224,Q224,S224,U224,W224,Y224,AA224,AC224,AE224,AG224,AI224,AK224,AM224,AO224,AQ224,#REF!)&gt;0,"Sí","No")</f>
        <v>#REF!</v>
      </c>
      <c r="CV224" s="92" t="e">
        <f>IF($CU224="Sí",_xlfn.TEXTJOIN(", ",TRUE,IF(N(E224)&gt;0,E$4,""),IF(N(G224)&gt;0,G$4,""),IF(N(I224)&gt;0,I$4,""),IF(N(K224)&gt;0,K$4,""),IF(N(M224)&gt;0,M$4,""),IF(N(O224)&gt;0,O$4,""),IF(N(Q224)&gt;0,Q$4,""),IF(N(S224)&gt;0,S$4,""),IF(N(U224)&gt;0,U$4,""),IF(N(W224)&gt;0,W$4,""),IF(N(Y224)&gt;0,Y$4,""),IF(N(AA224)&gt;0,AA$4,""),IF(N(AC224)&gt;0,AC$4,""),IF(N(AE224)&gt;0,AE$4,""),IF(N(AG224)&gt;0,AG$4,""),IF(N(AI224)&gt;0,AI$4,""),IF(N(AK224)&gt;0,AK$4,""),IF(N(AM224)&gt;0,AM$4,""),IF(N(AO224)&gt;0,AO$4,""),IF(N(AQ224)&gt;0,AQ$4,""),IF(N(#REF!)&gt;0,#REF!,"")),"")</f>
        <v>#REF!</v>
      </c>
      <c r="CW224" s="11"/>
      <c r="CX224" s="11" t="e">
        <f t="shared" si="13"/>
        <v>#REF!</v>
      </c>
      <c r="CY224" s="12"/>
      <c r="CZ224" s="68"/>
    </row>
    <row r="225" spans="1:104" ht="18" customHeight="1" x14ac:dyDescent="0.3">
      <c r="A225" s="150"/>
      <c r="B225" s="43"/>
      <c r="C225" s="12">
        <v>46243</v>
      </c>
      <c r="D225" s="20">
        <f t="shared" si="12"/>
        <v>0</v>
      </c>
      <c r="E225" s="20" t="str">
        <f t="shared" si="14"/>
        <v/>
      </c>
      <c r="F225" s="20"/>
      <c r="G225" s="20" t="str">
        <f t="shared" si="15"/>
        <v/>
      </c>
      <c r="H225" s="20"/>
      <c r="I225" s="20"/>
      <c r="J225" s="20"/>
      <c r="K225" s="20"/>
      <c r="L225" s="20"/>
      <c r="M225" s="19" t="s">
        <v>71</v>
      </c>
      <c r="N225" s="19"/>
      <c r="O225" s="19" t="s">
        <v>71</v>
      </c>
      <c r="P225" s="19"/>
      <c r="Q225" s="19" t="s">
        <v>71</v>
      </c>
      <c r="R225" s="19"/>
      <c r="S225" s="19"/>
      <c r="T225" s="19"/>
      <c r="U225" s="19"/>
      <c r="V225" s="19"/>
      <c r="W225" s="19"/>
      <c r="X225" s="19"/>
      <c r="Y225" s="19" t="s">
        <v>71</v>
      </c>
      <c r="Z225" s="19"/>
      <c r="AA225" s="19" t="s">
        <v>71</v>
      </c>
      <c r="AB225" s="19"/>
      <c r="AC225" s="19" t="s">
        <v>71</v>
      </c>
      <c r="AD225" s="19"/>
      <c r="AE225" s="19" t="s">
        <v>71</v>
      </c>
      <c r="AF225" s="19"/>
      <c r="AG225" s="19" t="s">
        <v>71</v>
      </c>
      <c r="AH225" s="19"/>
      <c r="AI225" s="19" t="s">
        <v>71</v>
      </c>
      <c r="AJ225" s="19"/>
      <c r="AK225" s="19" t="s">
        <v>71</v>
      </c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 t="s">
        <v>71</v>
      </c>
      <c r="CF225" s="19"/>
      <c r="CG225" s="19" t="s">
        <v>71</v>
      </c>
      <c r="CH225" s="19"/>
      <c r="CI225" s="19" t="s">
        <v>71</v>
      </c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1" t="e">
        <f>IF(SUM(E225,G225,I225,K225,M225,O225,Q225,S225,U225,W225,Y225,AA225,AC225,AE225,AG225,AI225,AK225,AM225,AO225,AQ225,#REF!)&gt;0,"Sí","No")</f>
        <v>#REF!</v>
      </c>
      <c r="CV225" s="92" t="e">
        <f>IF($CU225="Sí",_xlfn.TEXTJOIN(", ",TRUE,IF(N(E225)&gt;0,E$4,""),IF(N(G225)&gt;0,G$4,""),IF(N(I225)&gt;0,I$4,""),IF(N(K225)&gt;0,K$4,""),IF(N(M225)&gt;0,M$4,""),IF(N(O225)&gt;0,O$4,""),IF(N(Q225)&gt;0,Q$4,""),IF(N(S225)&gt;0,S$4,""),IF(N(U225)&gt;0,U$4,""),IF(N(W225)&gt;0,W$4,""),IF(N(Y225)&gt;0,Y$4,""),IF(N(AA225)&gt;0,AA$4,""),IF(N(AC225)&gt;0,AC$4,""),IF(N(AE225)&gt;0,AE$4,""),IF(N(AG225)&gt;0,AG$4,""),IF(N(AI225)&gt;0,AI$4,""),IF(N(AK225)&gt;0,AK$4,""),IF(N(AM225)&gt;0,AM$4,""),IF(N(AO225)&gt;0,AO$4,""),IF(N(AQ225)&gt;0,AQ$4,""),IF(N(#REF!)&gt;0,#REF!,"")),"")</f>
        <v>#REF!</v>
      </c>
      <c r="CW225" s="11"/>
      <c r="CX225" s="11" t="e">
        <f t="shared" si="13"/>
        <v>#REF!</v>
      </c>
      <c r="CY225" s="12"/>
      <c r="CZ225" s="68"/>
    </row>
    <row r="226" spans="1:104" ht="18" customHeight="1" x14ac:dyDescent="0.3">
      <c r="A226" s="150"/>
      <c r="B226" s="43"/>
      <c r="C226" s="12">
        <v>46244</v>
      </c>
      <c r="D226" s="20">
        <f t="shared" si="12"/>
        <v>0</v>
      </c>
      <c r="E226" s="20" t="str">
        <f t="shared" si="14"/>
        <v/>
      </c>
      <c r="F226" s="20"/>
      <c r="G226" s="20" t="str">
        <f t="shared" si="15"/>
        <v/>
      </c>
      <c r="H226" s="20"/>
      <c r="I226" s="20"/>
      <c r="J226" s="20"/>
      <c r="K226" s="20"/>
      <c r="L226" s="20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 t="s">
        <v>71</v>
      </c>
      <c r="Z226" s="19"/>
      <c r="AA226" s="19" t="s">
        <v>71</v>
      </c>
      <c r="AB226" s="19"/>
      <c r="AC226" s="19" t="s">
        <v>71</v>
      </c>
      <c r="AD226" s="19"/>
      <c r="AE226" s="19" t="s">
        <v>71</v>
      </c>
      <c r="AF226" s="19"/>
      <c r="AG226" s="19" t="s">
        <v>71</v>
      </c>
      <c r="AH226" s="19"/>
      <c r="AI226" s="19" t="s">
        <v>71</v>
      </c>
      <c r="AJ226" s="19"/>
      <c r="AK226" s="19" t="s">
        <v>71</v>
      </c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 t="s">
        <v>71</v>
      </c>
      <c r="CF226" s="19"/>
      <c r="CG226" s="19" t="s">
        <v>71</v>
      </c>
      <c r="CH226" s="19"/>
      <c r="CI226" s="19" t="s">
        <v>71</v>
      </c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1" t="e">
        <f>IF(SUM(E226,G226,I226,K226,M226,O226,Q226,S226,U226,W226,Y226,AA226,AC226,AE226,AG226,AI226,AK226,AM226,AO226,AQ226,#REF!)&gt;0,"Sí","No")</f>
        <v>#REF!</v>
      </c>
      <c r="CV226" s="92" t="e">
        <f>IF($CU226="Sí",_xlfn.TEXTJOIN(", ",TRUE,IF(N(E226)&gt;0,E$4,""),IF(N(G226)&gt;0,G$4,""),IF(N(I226)&gt;0,I$4,""),IF(N(K226)&gt;0,K$4,""),IF(N(M226)&gt;0,M$4,""),IF(N(O226)&gt;0,O$4,""),IF(N(Q226)&gt;0,Q$4,""),IF(N(S226)&gt;0,S$4,""),IF(N(U226)&gt;0,U$4,""),IF(N(W226)&gt;0,W$4,""),IF(N(Y226)&gt;0,Y$4,""),IF(N(AA226)&gt;0,AA$4,""),IF(N(AC226)&gt;0,AC$4,""),IF(N(AE226)&gt;0,AE$4,""),IF(N(AG226)&gt;0,AG$4,""),IF(N(AI226)&gt;0,AI$4,""),IF(N(AK226)&gt;0,AK$4,""),IF(N(AM226)&gt;0,AM$4,""),IF(N(AO226)&gt;0,AO$4,""),IF(N(AQ226)&gt;0,AQ$4,""),IF(N(#REF!)&gt;0,#REF!,"")),"")</f>
        <v>#REF!</v>
      </c>
      <c r="CW226" s="11"/>
      <c r="CX226" s="11" t="e">
        <f t="shared" si="13"/>
        <v>#REF!</v>
      </c>
      <c r="CY226" s="12"/>
      <c r="CZ226" s="68"/>
    </row>
    <row r="227" spans="1:104" ht="18" customHeight="1" x14ac:dyDescent="0.3">
      <c r="A227" s="150"/>
      <c r="B227" s="43"/>
      <c r="C227" s="12">
        <v>46245</v>
      </c>
      <c r="D227" s="20">
        <f t="shared" si="12"/>
        <v>0</v>
      </c>
      <c r="E227" s="20" t="str">
        <f t="shared" si="14"/>
        <v/>
      </c>
      <c r="F227" s="20"/>
      <c r="G227" s="20" t="str">
        <f t="shared" si="15"/>
        <v/>
      </c>
      <c r="H227" s="20"/>
      <c r="I227" s="20"/>
      <c r="J227" s="20"/>
      <c r="K227" s="20"/>
      <c r="L227" s="20"/>
      <c r="M227" s="19" t="s">
        <v>71</v>
      </c>
      <c r="N227" s="19"/>
      <c r="O227" s="19" t="s">
        <v>71</v>
      </c>
      <c r="P227" s="19"/>
      <c r="Q227" s="19" t="s">
        <v>71</v>
      </c>
      <c r="R227" s="19"/>
      <c r="S227" s="19"/>
      <c r="T227" s="19"/>
      <c r="U227" s="19"/>
      <c r="V227" s="19"/>
      <c r="W227" s="19"/>
      <c r="X227" s="19"/>
      <c r="Y227" s="19" t="s">
        <v>71</v>
      </c>
      <c r="Z227" s="19"/>
      <c r="AA227" s="19" t="s">
        <v>71</v>
      </c>
      <c r="AB227" s="19"/>
      <c r="AC227" s="19" t="s">
        <v>71</v>
      </c>
      <c r="AD227" s="19"/>
      <c r="AE227" s="19" t="s">
        <v>71</v>
      </c>
      <c r="AF227" s="19"/>
      <c r="AG227" s="19" t="s">
        <v>71</v>
      </c>
      <c r="AH227" s="19"/>
      <c r="AI227" s="19" t="s">
        <v>71</v>
      </c>
      <c r="AJ227" s="19"/>
      <c r="AK227" s="19" t="s">
        <v>71</v>
      </c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 t="s">
        <v>71</v>
      </c>
      <c r="CF227" s="19"/>
      <c r="CG227" s="19" t="s">
        <v>71</v>
      </c>
      <c r="CH227" s="19"/>
      <c r="CI227" s="19" t="s">
        <v>71</v>
      </c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1" t="e">
        <f>IF(SUM(E227,G227,I227,K227,M227,O227,Q227,S227,U227,W227,Y227,AA227,AC227,AE227,AG227,AI227,AK227,AM227,AO227,AQ227,#REF!)&gt;0,"Sí","No")</f>
        <v>#REF!</v>
      </c>
      <c r="CV227" s="92" t="e">
        <f>IF($CU227="Sí",_xlfn.TEXTJOIN(", ",TRUE,IF(N(E227)&gt;0,E$4,""),IF(N(G227)&gt;0,G$4,""),IF(N(I227)&gt;0,I$4,""),IF(N(K227)&gt;0,K$4,""),IF(N(M227)&gt;0,M$4,""),IF(N(O227)&gt;0,O$4,""),IF(N(Q227)&gt;0,Q$4,""),IF(N(S227)&gt;0,S$4,""),IF(N(U227)&gt;0,U$4,""),IF(N(W227)&gt;0,W$4,""),IF(N(Y227)&gt;0,Y$4,""),IF(N(AA227)&gt;0,AA$4,""),IF(N(AC227)&gt;0,AC$4,""),IF(N(AE227)&gt;0,AE$4,""),IF(N(AG227)&gt;0,AG$4,""),IF(N(AI227)&gt;0,AI$4,""),IF(N(AK227)&gt;0,AK$4,""),IF(N(AM227)&gt;0,AM$4,""),IF(N(AO227)&gt;0,AO$4,""),IF(N(AQ227)&gt;0,AQ$4,""),IF(N(#REF!)&gt;0,#REF!,"")),"")</f>
        <v>#REF!</v>
      </c>
      <c r="CW227" s="11"/>
      <c r="CX227" s="11" t="e">
        <f t="shared" si="13"/>
        <v>#REF!</v>
      </c>
      <c r="CY227" s="12"/>
      <c r="CZ227" s="68"/>
    </row>
    <row r="228" spans="1:104" ht="18" customHeight="1" x14ac:dyDescent="0.3">
      <c r="A228" s="150"/>
      <c r="B228" s="43"/>
      <c r="C228" s="12">
        <v>46246</v>
      </c>
      <c r="D228" s="20">
        <f t="shared" si="12"/>
        <v>0</v>
      </c>
      <c r="E228" s="20" t="str">
        <f t="shared" si="14"/>
        <v/>
      </c>
      <c r="F228" s="20"/>
      <c r="G228" s="20" t="str">
        <f t="shared" si="15"/>
        <v/>
      </c>
      <c r="H228" s="20"/>
      <c r="I228" s="20"/>
      <c r="J228" s="20"/>
      <c r="K228" s="20"/>
      <c r="L228" s="20"/>
      <c r="M228" s="19" t="s">
        <v>71</v>
      </c>
      <c r="N228" s="19"/>
      <c r="O228" s="19" t="s">
        <v>71</v>
      </c>
      <c r="P228" s="19"/>
      <c r="Q228" s="19" t="s">
        <v>71</v>
      </c>
      <c r="R228" s="19"/>
      <c r="S228" s="19"/>
      <c r="T228" s="19"/>
      <c r="U228" s="19"/>
      <c r="V228" s="19"/>
      <c r="W228" s="19"/>
      <c r="X228" s="19"/>
      <c r="Y228" s="19" t="s">
        <v>71</v>
      </c>
      <c r="Z228" s="19"/>
      <c r="AA228" s="19" t="s">
        <v>71</v>
      </c>
      <c r="AB228" s="19"/>
      <c r="AC228" s="19" t="s">
        <v>71</v>
      </c>
      <c r="AD228" s="19"/>
      <c r="AE228" s="19" t="s">
        <v>71</v>
      </c>
      <c r="AF228" s="19"/>
      <c r="AG228" s="19" t="s">
        <v>71</v>
      </c>
      <c r="AH228" s="19"/>
      <c r="AI228" s="19" t="s">
        <v>71</v>
      </c>
      <c r="AJ228" s="19"/>
      <c r="AK228" s="19" t="s">
        <v>71</v>
      </c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 t="s">
        <v>71</v>
      </c>
      <c r="CF228" s="19"/>
      <c r="CG228" s="19" t="s">
        <v>71</v>
      </c>
      <c r="CH228" s="19"/>
      <c r="CI228" s="19" t="s">
        <v>71</v>
      </c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1" t="e">
        <f>IF(SUM(E228,G228,I228,K228,M228,O228,Q228,S228,U228,W228,Y228,AA228,AC228,AE228,AG228,AI228,AK228,AM228,AO228,AQ228,#REF!)&gt;0,"Sí","No")</f>
        <v>#REF!</v>
      </c>
      <c r="CV228" s="92" t="e">
        <f>IF($CU228="Sí",_xlfn.TEXTJOIN(", ",TRUE,IF(N(E228)&gt;0,E$4,""),IF(N(G228)&gt;0,G$4,""),IF(N(I228)&gt;0,I$4,""),IF(N(K228)&gt;0,K$4,""),IF(N(M228)&gt;0,M$4,""),IF(N(O228)&gt;0,O$4,""),IF(N(Q228)&gt;0,Q$4,""),IF(N(S228)&gt;0,S$4,""),IF(N(U228)&gt;0,U$4,""),IF(N(W228)&gt;0,W$4,""),IF(N(Y228)&gt;0,Y$4,""),IF(N(AA228)&gt;0,AA$4,""),IF(N(AC228)&gt;0,AC$4,""),IF(N(AE228)&gt;0,AE$4,""),IF(N(AG228)&gt;0,AG$4,""),IF(N(AI228)&gt;0,AI$4,""),IF(N(AK228)&gt;0,AK$4,""),IF(N(AM228)&gt;0,AM$4,""),IF(N(AO228)&gt;0,AO$4,""),IF(N(AQ228)&gt;0,AQ$4,""),IF(N(#REF!)&gt;0,#REF!,"")),"")</f>
        <v>#REF!</v>
      </c>
      <c r="CW228" s="11"/>
      <c r="CX228" s="11" t="e">
        <f t="shared" si="13"/>
        <v>#REF!</v>
      </c>
      <c r="CY228" s="12"/>
      <c r="CZ228" s="68"/>
    </row>
    <row r="229" spans="1:104" ht="18" customHeight="1" x14ac:dyDescent="0.3">
      <c r="A229" s="150"/>
      <c r="B229" s="43"/>
      <c r="C229" s="12">
        <v>46247</v>
      </c>
      <c r="D229" s="20">
        <f t="shared" si="12"/>
        <v>0</v>
      </c>
      <c r="E229" s="20" t="str">
        <f t="shared" si="14"/>
        <v/>
      </c>
      <c r="F229" s="20"/>
      <c r="G229" s="20" t="str">
        <f t="shared" si="15"/>
        <v/>
      </c>
      <c r="H229" s="20"/>
      <c r="I229" s="20"/>
      <c r="J229" s="20"/>
      <c r="K229" s="20"/>
      <c r="L229" s="20"/>
      <c r="M229" s="19" t="s">
        <v>71</v>
      </c>
      <c r="N229" s="19"/>
      <c r="O229" s="19" t="s">
        <v>71</v>
      </c>
      <c r="P229" s="19"/>
      <c r="Q229" s="19" t="s">
        <v>71</v>
      </c>
      <c r="R229" s="19"/>
      <c r="S229" s="19"/>
      <c r="T229" s="19"/>
      <c r="U229" s="19"/>
      <c r="V229" s="19"/>
      <c r="W229" s="19"/>
      <c r="X229" s="19"/>
      <c r="Y229" s="19" t="s">
        <v>71</v>
      </c>
      <c r="Z229" s="19"/>
      <c r="AA229" s="19" t="s">
        <v>71</v>
      </c>
      <c r="AB229" s="19"/>
      <c r="AC229" s="19" t="s">
        <v>71</v>
      </c>
      <c r="AD229" s="19"/>
      <c r="AE229" s="19" t="s">
        <v>71</v>
      </c>
      <c r="AF229" s="19"/>
      <c r="AG229" s="19" t="s">
        <v>71</v>
      </c>
      <c r="AH229" s="19"/>
      <c r="AI229" s="19" t="s">
        <v>71</v>
      </c>
      <c r="AJ229" s="19"/>
      <c r="AK229" s="19" t="s">
        <v>71</v>
      </c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 t="s">
        <v>71</v>
      </c>
      <c r="CF229" s="19"/>
      <c r="CG229" s="19" t="s">
        <v>71</v>
      </c>
      <c r="CH229" s="19"/>
      <c r="CI229" s="19" t="s">
        <v>71</v>
      </c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1" t="e">
        <f>IF(SUM(E229,G229,I229,K229,M229,O229,Q229,S229,U229,W229,Y229,AA229,AC229,AE229,AG229,AI229,AK229,AM229,AO229,AQ229,#REF!)&gt;0,"Sí","No")</f>
        <v>#REF!</v>
      </c>
      <c r="CV229" s="92" t="e">
        <f>IF($CU229="Sí",_xlfn.TEXTJOIN(", ",TRUE,IF(N(E229)&gt;0,E$4,""),IF(N(G229)&gt;0,G$4,""),IF(N(I229)&gt;0,I$4,""),IF(N(K229)&gt;0,K$4,""),IF(N(M229)&gt;0,M$4,""),IF(N(O229)&gt;0,O$4,""),IF(N(Q229)&gt;0,Q$4,""),IF(N(S229)&gt;0,S$4,""),IF(N(U229)&gt;0,U$4,""),IF(N(W229)&gt;0,W$4,""),IF(N(Y229)&gt;0,Y$4,""),IF(N(AA229)&gt;0,AA$4,""),IF(N(AC229)&gt;0,AC$4,""),IF(N(AE229)&gt;0,AE$4,""),IF(N(AG229)&gt;0,AG$4,""),IF(N(AI229)&gt;0,AI$4,""),IF(N(AK229)&gt;0,AK$4,""),IF(N(AM229)&gt;0,AM$4,""),IF(N(AO229)&gt;0,AO$4,""),IF(N(AQ229)&gt;0,AQ$4,""),IF(N(#REF!)&gt;0,#REF!,"")),"")</f>
        <v>#REF!</v>
      </c>
      <c r="CW229" s="11"/>
      <c r="CX229" s="11" t="e">
        <f t="shared" si="13"/>
        <v>#REF!</v>
      </c>
      <c r="CY229" s="12"/>
      <c r="CZ229" s="68"/>
    </row>
    <row r="230" spans="1:104" ht="18" customHeight="1" x14ac:dyDescent="0.3">
      <c r="A230" s="150"/>
      <c r="B230" s="43"/>
      <c r="C230" s="12">
        <v>46248</v>
      </c>
      <c r="D230" s="20">
        <f t="shared" si="12"/>
        <v>0</v>
      </c>
      <c r="E230" s="20" t="str">
        <f t="shared" si="14"/>
        <v/>
      </c>
      <c r="F230" s="20"/>
      <c r="G230" s="20" t="str">
        <f t="shared" si="15"/>
        <v/>
      </c>
      <c r="H230" s="20"/>
      <c r="I230" s="20"/>
      <c r="J230" s="20"/>
      <c r="K230" s="20"/>
      <c r="L230" s="20"/>
      <c r="M230" s="19" t="s">
        <v>71</v>
      </c>
      <c r="N230" s="19"/>
      <c r="O230" s="19" t="s">
        <v>71</v>
      </c>
      <c r="P230" s="19"/>
      <c r="Q230" s="19" t="s">
        <v>71</v>
      </c>
      <c r="R230" s="19"/>
      <c r="S230" s="26"/>
      <c r="T230" s="26"/>
      <c r="U230" s="19"/>
      <c r="V230" s="19"/>
      <c r="W230" s="19"/>
      <c r="X230" s="19"/>
      <c r="Y230" s="19" t="s">
        <v>71</v>
      </c>
      <c r="Z230" s="19"/>
      <c r="AA230" s="26" t="s">
        <v>71</v>
      </c>
      <c r="AB230" s="26"/>
      <c r="AC230" s="26" t="s">
        <v>71</v>
      </c>
      <c r="AD230" s="26"/>
      <c r="AE230" s="26" t="s">
        <v>71</v>
      </c>
      <c r="AF230" s="26"/>
      <c r="AG230" s="26" t="s">
        <v>71</v>
      </c>
      <c r="AH230" s="26"/>
      <c r="AI230" s="26" t="s">
        <v>71</v>
      </c>
      <c r="AJ230" s="26"/>
      <c r="AK230" s="26" t="s">
        <v>71</v>
      </c>
      <c r="AL230" s="26"/>
      <c r="AM230" s="26"/>
      <c r="AN230" s="26"/>
      <c r="AO230" s="26"/>
      <c r="AP230" s="26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>
        <v>10</v>
      </c>
      <c r="CF230" s="19">
        <v>20</v>
      </c>
      <c r="CG230" s="19">
        <v>10</v>
      </c>
      <c r="CH230" s="19">
        <v>20</v>
      </c>
      <c r="CI230" s="19">
        <v>10</v>
      </c>
      <c r="CJ230" s="19">
        <v>20</v>
      </c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1" t="e">
        <f>IF(SUM(E230,G230,I230,K230,M230,O230,Q230,S230,U230,W230,Y230,AA230,AC230,AE230,AG230,AI230,AK230,AM230,AO230,AQ230,#REF!)&gt;0,"Sí","No")</f>
        <v>#REF!</v>
      </c>
      <c r="CV230" s="92" t="e">
        <f>IF($CU230="Sí",_xlfn.TEXTJOIN(", ",TRUE,IF(N(E230)&gt;0,E$4,""),IF(N(G230)&gt;0,G$4,""),IF(N(I230)&gt;0,I$4,""),IF(N(K230)&gt;0,K$4,""),IF(N(M230)&gt;0,M$4,""),IF(N(O230)&gt;0,O$4,""),IF(N(Q230)&gt;0,Q$4,""),IF(N(S230)&gt;0,S$4,""),IF(N(U230)&gt;0,U$4,""),IF(N(W230)&gt;0,W$4,""),IF(N(Y230)&gt;0,Y$4,""),IF(N(AA230)&gt;0,AA$4,""),IF(N(AC230)&gt;0,AC$4,""),IF(N(AE230)&gt;0,AE$4,""),IF(N(AG230)&gt;0,AG$4,""),IF(N(AI230)&gt;0,AI$4,""),IF(N(AK230)&gt;0,AK$4,""),IF(N(AM230)&gt;0,AM$4,""),IF(N(AO230)&gt;0,AO$4,""),IF(N(AQ230)&gt;0,AQ$4,""),IF(N(#REF!)&gt;0,#REF!,"")),"")</f>
        <v>#REF!</v>
      </c>
      <c r="CW230" s="11"/>
      <c r="CX230" s="11" t="e">
        <f t="shared" si="13"/>
        <v>#REF!</v>
      </c>
      <c r="CY230" s="12"/>
      <c r="CZ230" s="68"/>
    </row>
    <row r="231" spans="1:104" ht="18" customHeight="1" x14ac:dyDescent="0.3">
      <c r="A231" s="150"/>
      <c r="B231" s="43"/>
      <c r="C231" s="12">
        <v>46249</v>
      </c>
      <c r="D231" s="20">
        <f t="shared" si="12"/>
        <v>0</v>
      </c>
      <c r="E231" s="20" t="str">
        <f t="shared" si="14"/>
        <v/>
      </c>
      <c r="F231" s="20"/>
      <c r="G231" s="20" t="str">
        <f t="shared" si="15"/>
        <v/>
      </c>
      <c r="H231" s="20"/>
      <c r="I231" s="20"/>
      <c r="J231" s="20"/>
      <c r="K231" s="20"/>
      <c r="L231" s="20"/>
      <c r="M231" s="19" t="s">
        <v>71</v>
      </c>
      <c r="N231" s="19"/>
      <c r="O231" s="19" t="s">
        <v>71</v>
      </c>
      <c r="P231" s="19"/>
      <c r="Q231" s="19" t="s">
        <v>71</v>
      </c>
      <c r="R231" s="19"/>
      <c r="S231" s="19"/>
      <c r="T231" s="19"/>
      <c r="U231" s="19"/>
      <c r="V231" s="19"/>
      <c r="W231" s="19"/>
      <c r="X231" s="19"/>
      <c r="Y231" s="19" t="s">
        <v>71</v>
      </c>
      <c r="Z231" s="19"/>
      <c r="AA231" s="19" t="s">
        <v>71</v>
      </c>
      <c r="AB231" s="19"/>
      <c r="AC231" s="19" t="s">
        <v>71</v>
      </c>
      <c r="AD231" s="19"/>
      <c r="AE231" s="19" t="s">
        <v>71</v>
      </c>
      <c r="AF231" s="19"/>
      <c r="AG231" s="19" t="s">
        <v>71</v>
      </c>
      <c r="AH231" s="19"/>
      <c r="AI231" s="19" t="s">
        <v>71</v>
      </c>
      <c r="AJ231" s="19"/>
      <c r="AK231" s="19" t="s">
        <v>71</v>
      </c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 t="s">
        <v>71</v>
      </c>
      <c r="CF231" s="19"/>
      <c r="CG231" s="19" t="s">
        <v>71</v>
      </c>
      <c r="CH231" s="19"/>
      <c r="CI231" s="19" t="s">
        <v>71</v>
      </c>
      <c r="CJ231" s="19"/>
      <c r="CK231" s="19"/>
      <c r="CL231" s="19"/>
      <c r="CM231" s="19">
        <v>10</v>
      </c>
      <c r="CN231" s="19">
        <v>20</v>
      </c>
      <c r="CO231" s="19">
        <v>10</v>
      </c>
      <c r="CP231" s="19">
        <v>20</v>
      </c>
      <c r="CQ231" s="19">
        <v>10</v>
      </c>
      <c r="CR231" s="19">
        <v>20</v>
      </c>
      <c r="CS231" s="19"/>
      <c r="CT231" s="19"/>
      <c r="CU231" s="11" t="e">
        <f>IF(SUM(E231,G231,I231,K231,M231,O231,Q231,S231,U231,W231,Y231,AA231,AC231,AE231,AG231,AI231,AK231,AM231,AO231,AQ231,#REF!)&gt;0,"Sí","No")</f>
        <v>#REF!</v>
      </c>
      <c r="CV231" s="92" t="e">
        <f>IF($CU231="Sí",_xlfn.TEXTJOIN(", ",TRUE,IF(N(E231)&gt;0,E$4,""),IF(N(G231)&gt;0,G$4,""),IF(N(I231)&gt;0,I$4,""),IF(N(K231)&gt;0,K$4,""),IF(N(M231)&gt;0,M$4,""),IF(N(O231)&gt;0,O$4,""),IF(N(Q231)&gt;0,Q$4,""),IF(N(S231)&gt;0,S$4,""),IF(N(U231)&gt;0,U$4,""),IF(N(W231)&gt;0,W$4,""),IF(N(Y231)&gt;0,Y$4,""),IF(N(AA231)&gt;0,AA$4,""),IF(N(AC231)&gt;0,AC$4,""),IF(N(AE231)&gt;0,AE$4,""),IF(N(AG231)&gt;0,AG$4,""),IF(N(AI231)&gt;0,AI$4,""),IF(N(AK231)&gt;0,AK$4,""),IF(N(AM231)&gt;0,AM$4,""),IF(N(AO231)&gt;0,AO$4,""),IF(N(AQ231)&gt;0,AQ$4,""),IF(N(#REF!)&gt;0,#REF!,"")),"")</f>
        <v>#REF!</v>
      </c>
      <c r="CW231" s="11"/>
      <c r="CX231" s="11" t="e">
        <f t="shared" si="13"/>
        <v>#REF!</v>
      </c>
      <c r="CY231" s="12"/>
      <c r="CZ231" s="68"/>
    </row>
    <row r="232" spans="1:104" ht="18" customHeight="1" x14ac:dyDescent="0.3">
      <c r="A232" s="150"/>
      <c r="B232" s="43"/>
      <c r="C232" s="12">
        <v>46250</v>
      </c>
      <c r="D232" s="20">
        <f t="shared" si="12"/>
        <v>0</v>
      </c>
      <c r="E232" s="20" t="str">
        <f t="shared" si="14"/>
        <v/>
      </c>
      <c r="F232" s="20"/>
      <c r="G232" s="20" t="str">
        <f t="shared" si="15"/>
        <v/>
      </c>
      <c r="H232" s="20"/>
      <c r="I232" s="20"/>
      <c r="J232" s="20"/>
      <c r="K232" s="20"/>
      <c r="L232" s="20"/>
      <c r="M232" s="19" t="s">
        <v>71</v>
      </c>
      <c r="N232" s="19"/>
      <c r="O232" s="19" t="s">
        <v>71</v>
      </c>
      <c r="P232" s="19"/>
      <c r="Q232" s="19" t="s">
        <v>71</v>
      </c>
      <c r="R232" s="19"/>
      <c r="S232" s="19"/>
      <c r="T232" s="19"/>
      <c r="U232" s="19"/>
      <c r="V232" s="19"/>
      <c r="W232" s="19"/>
      <c r="X232" s="19"/>
      <c r="Y232" s="19" t="s">
        <v>71</v>
      </c>
      <c r="Z232" s="19"/>
      <c r="AA232" s="19" t="s">
        <v>71</v>
      </c>
      <c r="AB232" s="19"/>
      <c r="AC232" s="19" t="s">
        <v>71</v>
      </c>
      <c r="AD232" s="19"/>
      <c r="AE232" s="19" t="s">
        <v>71</v>
      </c>
      <c r="AF232" s="19"/>
      <c r="AG232" s="19" t="s">
        <v>71</v>
      </c>
      <c r="AH232" s="19"/>
      <c r="AI232" s="19" t="s">
        <v>71</v>
      </c>
      <c r="AJ232" s="19"/>
      <c r="AK232" s="19" t="s">
        <v>71</v>
      </c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 t="s">
        <v>71</v>
      </c>
      <c r="CF232" s="19"/>
      <c r="CG232" s="19" t="s">
        <v>71</v>
      </c>
      <c r="CH232" s="19"/>
      <c r="CI232" s="19" t="s">
        <v>71</v>
      </c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1" t="e">
        <f>IF(SUM(E232,G232,I232,K232,M232,O232,Q232,S232,U232,W232,Y232,AA232,AC232,AE232,AG232,AI232,AK232,AM232,AO232,AQ232,#REF!)&gt;0,"Sí","No")</f>
        <v>#REF!</v>
      </c>
      <c r="CV232" s="92" t="e">
        <f>IF($CU232="Sí",_xlfn.TEXTJOIN(", ",TRUE,IF(N(E232)&gt;0,E$4,""),IF(N(G232)&gt;0,G$4,""),IF(N(I232)&gt;0,I$4,""),IF(N(K232)&gt;0,K$4,""),IF(N(M232)&gt;0,M$4,""),IF(N(O232)&gt;0,O$4,""),IF(N(Q232)&gt;0,Q$4,""),IF(N(S232)&gt;0,S$4,""),IF(N(U232)&gt;0,U$4,""),IF(N(W232)&gt;0,W$4,""),IF(N(Y232)&gt;0,Y$4,""),IF(N(AA232)&gt;0,AA$4,""),IF(N(AC232)&gt;0,AC$4,""),IF(N(AE232)&gt;0,AE$4,""),IF(N(AG232)&gt;0,AG$4,""),IF(N(AI232)&gt;0,AI$4,""),IF(N(AK232)&gt;0,AK$4,""),IF(N(AM232)&gt;0,AM$4,""),IF(N(AO232)&gt;0,AO$4,""),IF(N(AQ232)&gt;0,AQ$4,""),IF(N(#REF!)&gt;0,#REF!,"")),"")</f>
        <v>#REF!</v>
      </c>
      <c r="CW232" s="11"/>
      <c r="CX232" s="11" t="e">
        <f t="shared" si="13"/>
        <v>#REF!</v>
      </c>
      <c r="CY232" s="12"/>
      <c r="CZ232" s="68"/>
    </row>
    <row r="233" spans="1:104" ht="18" customHeight="1" x14ac:dyDescent="0.3">
      <c r="A233" s="150"/>
      <c r="B233" s="43"/>
      <c r="C233" s="12">
        <v>46251</v>
      </c>
      <c r="D233" s="20">
        <f t="shared" si="12"/>
        <v>0</v>
      </c>
      <c r="E233" s="20" t="str">
        <f t="shared" si="14"/>
        <v/>
      </c>
      <c r="F233" s="20"/>
      <c r="G233" s="20" t="str">
        <f t="shared" si="15"/>
        <v/>
      </c>
      <c r="H233" s="20"/>
      <c r="I233" s="20"/>
      <c r="J233" s="20"/>
      <c r="K233" s="20"/>
      <c r="L233" s="20"/>
      <c r="M233" s="19" t="s">
        <v>71</v>
      </c>
      <c r="N233" s="19"/>
      <c r="O233" s="19" t="s">
        <v>71</v>
      </c>
      <c r="P233" s="19"/>
      <c r="Q233" s="19" t="s">
        <v>71</v>
      </c>
      <c r="R233" s="19"/>
      <c r="S233" s="19"/>
      <c r="T233" s="19"/>
      <c r="U233" s="19"/>
      <c r="V233" s="19"/>
      <c r="W233" s="19"/>
      <c r="X233" s="19"/>
      <c r="Y233" s="19" t="s">
        <v>71</v>
      </c>
      <c r="Z233" s="19"/>
      <c r="AA233" s="19" t="s">
        <v>71</v>
      </c>
      <c r="AB233" s="19"/>
      <c r="AC233" s="19" t="s">
        <v>71</v>
      </c>
      <c r="AD233" s="19"/>
      <c r="AE233" s="19" t="s">
        <v>71</v>
      </c>
      <c r="AF233" s="19"/>
      <c r="AG233" s="19" t="s">
        <v>71</v>
      </c>
      <c r="AH233" s="19"/>
      <c r="AI233" s="19" t="s">
        <v>71</v>
      </c>
      <c r="AJ233" s="19"/>
      <c r="AK233" s="19" t="s">
        <v>71</v>
      </c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 t="s">
        <v>71</v>
      </c>
      <c r="CF233" s="19"/>
      <c r="CG233" s="19" t="s">
        <v>71</v>
      </c>
      <c r="CH233" s="19"/>
      <c r="CI233" s="19" t="s">
        <v>71</v>
      </c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1" t="e">
        <f>IF(SUM(E233,G233,I233,K233,M233,O233,Q233,S233,U233,W233,Y233,AA233,AC233,AE233,AG233,AI233,AK233,AM233,AO233,AQ233,#REF!)&gt;0,"Sí","No")</f>
        <v>#REF!</v>
      </c>
      <c r="CV233" s="92" t="e">
        <f>IF($CU233="Sí",_xlfn.TEXTJOIN(", ",TRUE,IF(N(E233)&gt;0,E$4,""),IF(N(G233)&gt;0,G$4,""),IF(N(I233)&gt;0,I$4,""),IF(N(K233)&gt;0,K$4,""),IF(N(M233)&gt;0,M$4,""),IF(N(O233)&gt;0,O$4,""),IF(N(Q233)&gt;0,Q$4,""),IF(N(S233)&gt;0,S$4,""),IF(N(U233)&gt;0,U$4,""),IF(N(W233)&gt;0,W$4,""),IF(N(Y233)&gt;0,Y$4,""),IF(N(AA233)&gt;0,AA$4,""),IF(N(AC233)&gt;0,AC$4,""),IF(N(AE233)&gt;0,AE$4,""),IF(N(AG233)&gt;0,AG$4,""),IF(N(AI233)&gt;0,AI$4,""),IF(N(AK233)&gt;0,AK$4,""),IF(N(AM233)&gt;0,AM$4,""),IF(N(AO233)&gt;0,AO$4,""),IF(N(AQ233)&gt;0,AQ$4,""),IF(N(#REF!)&gt;0,#REF!,"")),"")</f>
        <v>#REF!</v>
      </c>
      <c r="CW233" s="11"/>
      <c r="CX233" s="11" t="e">
        <f t="shared" si="13"/>
        <v>#REF!</v>
      </c>
      <c r="CY233" s="12"/>
      <c r="CZ233" s="68"/>
    </row>
    <row r="234" spans="1:104" ht="18" customHeight="1" x14ac:dyDescent="0.3">
      <c r="A234" s="150"/>
      <c r="B234" s="43"/>
      <c r="C234" s="12">
        <v>46252</v>
      </c>
      <c r="D234" s="20">
        <f t="shared" si="12"/>
        <v>0</v>
      </c>
      <c r="E234" s="20" t="str">
        <f t="shared" si="14"/>
        <v/>
      </c>
      <c r="F234" s="20"/>
      <c r="G234" s="20" t="str">
        <f t="shared" si="15"/>
        <v/>
      </c>
      <c r="H234" s="20"/>
      <c r="I234" s="20"/>
      <c r="J234" s="20"/>
      <c r="K234" s="20"/>
      <c r="L234" s="20"/>
      <c r="M234" s="19" t="s">
        <v>71</v>
      </c>
      <c r="N234" s="19"/>
      <c r="O234" s="19" t="s">
        <v>71</v>
      </c>
      <c r="P234" s="19"/>
      <c r="Q234" s="19" t="s">
        <v>71</v>
      </c>
      <c r="R234" s="19"/>
      <c r="S234" s="19"/>
      <c r="T234" s="19"/>
      <c r="U234" s="19"/>
      <c r="V234" s="19"/>
      <c r="W234" s="19"/>
      <c r="X234" s="19"/>
      <c r="Y234" s="19" t="s">
        <v>71</v>
      </c>
      <c r="Z234" s="19"/>
      <c r="AA234" s="19" t="s">
        <v>71</v>
      </c>
      <c r="AB234" s="19"/>
      <c r="AC234" s="19" t="s">
        <v>71</v>
      </c>
      <c r="AD234" s="19"/>
      <c r="AE234" s="19" t="s">
        <v>71</v>
      </c>
      <c r="AF234" s="19"/>
      <c r="AG234" s="19" t="s">
        <v>71</v>
      </c>
      <c r="AH234" s="19"/>
      <c r="AI234" s="19" t="s">
        <v>71</v>
      </c>
      <c r="AJ234" s="19"/>
      <c r="AK234" s="19" t="s">
        <v>71</v>
      </c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 t="s">
        <v>71</v>
      </c>
      <c r="CF234" s="19"/>
      <c r="CG234" s="19" t="s">
        <v>71</v>
      </c>
      <c r="CH234" s="19"/>
      <c r="CI234" s="19" t="s">
        <v>71</v>
      </c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1" t="e">
        <f>IF(SUM(E234,G234,I234,K234,M234,O234,Q234,S234,U234,W234,Y234,AA234,AC234,AE234,AG234,AI234,AK234,AM234,AO234,AQ234,#REF!)&gt;0,"Sí","No")</f>
        <v>#REF!</v>
      </c>
      <c r="CV234" s="92" t="e">
        <f>IF($CU234="Sí",_xlfn.TEXTJOIN(", ",TRUE,IF(N(E234)&gt;0,E$4,""),IF(N(G234)&gt;0,G$4,""),IF(N(I234)&gt;0,I$4,""),IF(N(K234)&gt;0,K$4,""),IF(N(M234)&gt;0,M$4,""),IF(N(O234)&gt;0,O$4,""),IF(N(Q234)&gt;0,Q$4,""),IF(N(S234)&gt;0,S$4,""),IF(N(U234)&gt;0,U$4,""),IF(N(W234)&gt;0,W$4,""),IF(N(Y234)&gt;0,Y$4,""),IF(N(AA234)&gt;0,AA$4,""),IF(N(AC234)&gt;0,AC$4,""),IF(N(AE234)&gt;0,AE$4,""),IF(N(AG234)&gt;0,AG$4,""),IF(N(AI234)&gt;0,AI$4,""),IF(N(AK234)&gt;0,AK$4,""),IF(N(AM234)&gt;0,AM$4,""),IF(N(AO234)&gt;0,AO$4,""),IF(N(AQ234)&gt;0,AQ$4,""),IF(N(#REF!)&gt;0,#REF!,"")),"")</f>
        <v>#REF!</v>
      </c>
      <c r="CW234" s="11"/>
      <c r="CX234" s="11" t="e">
        <f t="shared" si="13"/>
        <v>#REF!</v>
      </c>
      <c r="CY234" s="12"/>
      <c r="CZ234" s="68"/>
    </row>
    <row r="235" spans="1:104" ht="18" customHeight="1" x14ac:dyDescent="0.3">
      <c r="A235" s="150"/>
      <c r="B235" s="43"/>
      <c r="C235" s="12">
        <v>46253</v>
      </c>
      <c r="D235" s="20">
        <f t="shared" si="12"/>
        <v>0</v>
      </c>
      <c r="E235" s="20" t="str">
        <f t="shared" si="14"/>
        <v/>
      </c>
      <c r="F235" s="20"/>
      <c r="G235" s="20" t="str">
        <f t="shared" si="15"/>
        <v/>
      </c>
      <c r="H235" s="20"/>
      <c r="I235" s="20"/>
      <c r="J235" s="20"/>
      <c r="K235" s="20"/>
      <c r="L235" s="20"/>
      <c r="M235" s="19" t="s">
        <v>71</v>
      </c>
      <c r="N235" s="19"/>
      <c r="O235" s="19" t="s">
        <v>71</v>
      </c>
      <c r="P235" s="19"/>
      <c r="Q235" s="19" t="s">
        <v>71</v>
      </c>
      <c r="R235" s="19"/>
      <c r="S235" s="19"/>
      <c r="T235" s="19"/>
      <c r="U235" s="19"/>
      <c r="V235" s="19"/>
      <c r="W235" s="19"/>
      <c r="X235" s="19"/>
      <c r="Y235" s="19" t="s">
        <v>71</v>
      </c>
      <c r="Z235" s="19"/>
      <c r="AA235" s="19" t="s">
        <v>71</v>
      </c>
      <c r="AB235" s="19"/>
      <c r="AC235" s="19" t="s">
        <v>71</v>
      </c>
      <c r="AD235" s="19"/>
      <c r="AE235" s="19" t="s">
        <v>71</v>
      </c>
      <c r="AF235" s="19"/>
      <c r="AG235" s="19" t="s">
        <v>71</v>
      </c>
      <c r="AH235" s="19"/>
      <c r="AI235" s="19" t="s">
        <v>71</v>
      </c>
      <c r="AJ235" s="19"/>
      <c r="AK235" s="19" t="s">
        <v>71</v>
      </c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 t="s">
        <v>71</v>
      </c>
      <c r="CF235" s="19"/>
      <c r="CG235" s="19" t="s">
        <v>71</v>
      </c>
      <c r="CH235" s="19"/>
      <c r="CI235" s="19" t="s">
        <v>71</v>
      </c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1" t="e">
        <f>IF(SUM(E235,G235,I235,K235,M235,O235,Q235,S235,U235,W235,Y235,AA235,AC235,AE235,AG235,AI235,AK235,AM235,AO235,AQ235,#REF!)&gt;0,"Sí","No")</f>
        <v>#REF!</v>
      </c>
      <c r="CV235" s="92" t="e">
        <f>IF($CU235="Sí",_xlfn.TEXTJOIN(", ",TRUE,IF(N(E235)&gt;0,E$4,""),IF(N(G235)&gt;0,G$4,""),IF(N(I235)&gt;0,I$4,""),IF(N(K235)&gt;0,K$4,""),IF(N(M235)&gt;0,M$4,""),IF(N(O235)&gt;0,O$4,""),IF(N(Q235)&gt;0,Q$4,""),IF(N(S235)&gt;0,S$4,""),IF(N(U235)&gt;0,U$4,""),IF(N(W235)&gt;0,W$4,""),IF(N(Y235)&gt;0,Y$4,""),IF(N(AA235)&gt;0,AA$4,""),IF(N(AC235)&gt;0,AC$4,""),IF(N(AE235)&gt;0,AE$4,""),IF(N(AG235)&gt;0,AG$4,""),IF(N(AI235)&gt;0,AI$4,""),IF(N(AK235)&gt;0,AK$4,""),IF(N(AM235)&gt;0,AM$4,""),IF(N(AO235)&gt;0,AO$4,""),IF(N(AQ235)&gt;0,AQ$4,""),IF(N(#REF!)&gt;0,#REF!,"")),"")</f>
        <v>#REF!</v>
      </c>
      <c r="CW235" s="11"/>
      <c r="CX235" s="11" t="e">
        <f t="shared" si="13"/>
        <v>#REF!</v>
      </c>
      <c r="CY235" s="12"/>
      <c r="CZ235" s="68"/>
    </row>
    <row r="236" spans="1:104" ht="18" customHeight="1" x14ac:dyDescent="0.3">
      <c r="A236" s="150"/>
      <c r="B236" s="43"/>
      <c r="C236" s="12">
        <v>46254</v>
      </c>
      <c r="D236" s="20">
        <f t="shared" si="12"/>
        <v>0</v>
      </c>
      <c r="E236" s="20" t="str">
        <f t="shared" si="14"/>
        <v/>
      </c>
      <c r="F236" s="20"/>
      <c r="G236" s="20" t="str">
        <f t="shared" si="15"/>
        <v/>
      </c>
      <c r="H236" s="20"/>
      <c r="I236" s="20"/>
      <c r="J236" s="20"/>
      <c r="K236" s="20"/>
      <c r="L236" s="20"/>
      <c r="M236" s="19" t="s">
        <v>71</v>
      </c>
      <c r="N236" s="19"/>
      <c r="O236" s="19" t="s">
        <v>71</v>
      </c>
      <c r="P236" s="19"/>
      <c r="Q236" s="19" t="s">
        <v>71</v>
      </c>
      <c r="R236" s="19"/>
      <c r="S236" s="19"/>
      <c r="T236" s="19"/>
      <c r="U236" s="19"/>
      <c r="V236" s="19"/>
      <c r="W236" s="19"/>
      <c r="X236" s="19"/>
      <c r="Y236" s="19" t="s">
        <v>71</v>
      </c>
      <c r="Z236" s="19"/>
      <c r="AA236" s="19" t="s">
        <v>71</v>
      </c>
      <c r="AB236" s="19"/>
      <c r="AC236" s="19" t="s">
        <v>71</v>
      </c>
      <c r="AD236" s="19"/>
      <c r="AE236" s="19" t="s">
        <v>71</v>
      </c>
      <c r="AF236" s="19"/>
      <c r="AG236" s="19" t="s">
        <v>71</v>
      </c>
      <c r="AH236" s="19"/>
      <c r="AI236" s="19" t="s">
        <v>71</v>
      </c>
      <c r="AJ236" s="19"/>
      <c r="AK236" s="19" t="s">
        <v>71</v>
      </c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 t="s">
        <v>71</v>
      </c>
      <c r="CF236" s="19"/>
      <c r="CG236" s="19" t="s">
        <v>71</v>
      </c>
      <c r="CH236" s="19"/>
      <c r="CI236" s="19" t="s">
        <v>71</v>
      </c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1" t="e">
        <f>IF(SUM(E236,G236,I236,K236,M236,O236,Q236,S236,U236,W236,Y236,AA236,AC236,AE236,AG236,AI236,AK236,AM236,AO236,AQ236,#REF!)&gt;0,"Sí","No")</f>
        <v>#REF!</v>
      </c>
      <c r="CV236" s="92" t="e">
        <f>IF($CU236="Sí",_xlfn.TEXTJOIN(", ",TRUE,IF(N(E236)&gt;0,E$4,""),IF(N(G236)&gt;0,G$4,""),IF(N(I236)&gt;0,I$4,""),IF(N(K236)&gt;0,K$4,""),IF(N(M236)&gt;0,M$4,""),IF(N(O236)&gt;0,O$4,""),IF(N(Q236)&gt;0,Q$4,""),IF(N(S236)&gt;0,S$4,""),IF(N(U236)&gt;0,U$4,""),IF(N(W236)&gt;0,W$4,""),IF(N(Y236)&gt;0,Y$4,""),IF(N(AA236)&gt;0,AA$4,""),IF(N(AC236)&gt;0,AC$4,""),IF(N(AE236)&gt;0,AE$4,""),IF(N(AG236)&gt;0,AG$4,""),IF(N(AI236)&gt;0,AI$4,""),IF(N(AK236)&gt;0,AK$4,""),IF(N(AM236)&gt;0,AM$4,""),IF(N(AO236)&gt;0,AO$4,""),IF(N(AQ236)&gt;0,AQ$4,""),IF(N(#REF!)&gt;0,#REF!,"")),"")</f>
        <v>#REF!</v>
      </c>
      <c r="CW236" s="11"/>
      <c r="CX236" s="11" t="e">
        <f t="shared" si="13"/>
        <v>#REF!</v>
      </c>
      <c r="CY236" s="12"/>
      <c r="CZ236" s="68"/>
    </row>
    <row r="237" spans="1:104" ht="18" customHeight="1" x14ac:dyDescent="0.3">
      <c r="A237" s="150"/>
      <c r="B237" s="43"/>
      <c r="C237" s="12">
        <v>46255</v>
      </c>
      <c r="D237" s="20">
        <f t="shared" si="12"/>
        <v>0</v>
      </c>
      <c r="E237" s="20" t="str">
        <f t="shared" si="14"/>
        <v/>
      </c>
      <c r="F237" s="20"/>
      <c r="G237" s="20" t="str">
        <f t="shared" si="15"/>
        <v/>
      </c>
      <c r="H237" s="20"/>
      <c r="I237" s="20"/>
      <c r="J237" s="20"/>
      <c r="K237" s="20"/>
      <c r="L237" s="20"/>
      <c r="M237" s="19" t="s">
        <v>71</v>
      </c>
      <c r="N237" s="19"/>
      <c r="O237" s="19" t="s">
        <v>71</v>
      </c>
      <c r="P237" s="19"/>
      <c r="Q237" s="19" t="s">
        <v>71</v>
      </c>
      <c r="R237" s="19"/>
      <c r="S237" s="19"/>
      <c r="T237" s="19"/>
      <c r="U237" s="19"/>
      <c r="V237" s="19"/>
      <c r="W237" s="19"/>
      <c r="X237" s="19"/>
      <c r="Y237" s="19" t="s">
        <v>71</v>
      </c>
      <c r="Z237" s="19"/>
      <c r="AA237" s="19" t="s">
        <v>71</v>
      </c>
      <c r="AB237" s="19"/>
      <c r="AC237" s="19" t="s">
        <v>71</v>
      </c>
      <c r="AD237" s="19"/>
      <c r="AE237" s="19" t="s">
        <v>71</v>
      </c>
      <c r="AF237" s="19"/>
      <c r="AG237" s="19" t="s">
        <v>71</v>
      </c>
      <c r="AH237" s="19"/>
      <c r="AI237" s="19" t="s">
        <v>71</v>
      </c>
      <c r="AJ237" s="19"/>
      <c r="AK237" s="19" t="s">
        <v>71</v>
      </c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 t="s">
        <v>71</v>
      </c>
      <c r="CF237" s="19"/>
      <c r="CG237" s="19" t="s">
        <v>71</v>
      </c>
      <c r="CH237" s="19"/>
      <c r="CI237" s="19" t="s">
        <v>71</v>
      </c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1" t="e">
        <f>IF(SUM(E237,G237,I237,K237,M237,O237,Q237,S237,U237,W237,Y237,AA237,AC237,AE237,AG237,AI237,AK237,AM237,AO237,AQ237,#REF!)&gt;0,"Sí","No")</f>
        <v>#REF!</v>
      </c>
      <c r="CV237" s="92" t="e">
        <f>IF($CU237="Sí",_xlfn.TEXTJOIN(", ",TRUE,IF(N(E237)&gt;0,E$4,""),IF(N(G237)&gt;0,G$4,""),IF(N(I237)&gt;0,I$4,""),IF(N(K237)&gt;0,K$4,""),IF(N(M237)&gt;0,M$4,""),IF(N(O237)&gt;0,O$4,""),IF(N(Q237)&gt;0,Q$4,""),IF(N(S237)&gt;0,S$4,""),IF(N(U237)&gt;0,U$4,""),IF(N(W237)&gt;0,W$4,""),IF(N(Y237)&gt;0,Y$4,""),IF(N(AA237)&gt;0,AA$4,""),IF(N(AC237)&gt;0,AC$4,""),IF(N(AE237)&gt;0,AE$4,""),IF(N(AG237)&gt;0,AG$4,""),IF(N(AI237)&gt;0,AI$4,""),IF(N(AK237)&gt;0,AK$4,""),IF(N(AM237)&gt;0,AM$4,""),IF(N(AO237)&gt;0,AO$4,""),IF(N(AQ237)&gt;0,AQ$4,""),IF(N(#REF!)&gt;0,#REF!,"")),"")</f>
        <v>#REF!</v>
      </c>
      <c r="CW237" s="11"/>
      <c r="CX237" s="11" t="e">
        <f t="shared" si="13"/>
        <v>#REF!</v>
      </c>
      <c r="CY237" s="12"/>
      <c r="CZ237" s="68"/>
    </row>
    <row r="238" spans="1:104" ht="18" customHeight="1" x14ac:dyDescent="0.3">
      <c r="A238" s="150"/>
      <c r="B238" s="43"/>
      <c r="C238" s="12">
        <v>46256</v>
      </c>
      <c r="D238" s="20">
        <f t="shared" si="12"/>
        <v>0</v>
      </c>
      <c r="E238" s="20" t="str">
        <f t="shared" si="14"/>
        <v/>
      </c>
      <c r="F238" s="20"/>
      <c r="G238" s="20" t="str">
        <f t="shared" si="15"/>
        <v/>
      </c>
      <c r="H238" s="20"/>
      <c r="I238" s="20"/>
      <c r="J238" s="20"/>
      <c r="K238" s="20"/>
      <c r="L238" s="20"/>
      <c r="M238" s="19" t="s">
        <v>71</v>
      </c>
      <c r="N238" s="19"/>
      <c r="O238" s="19" t="s">
        <v>71</v>
      </c>
      <c r="P238" s="19"/>
      <c r="Q238" s="19" t="s">
        <v>71</v>
      </c>
      <c r="R238" s="19"/>
      <c r="S238" s="19"/>
      <c r="T238" s="19"/>
      <c r="U238" s="19"/>
      <c r="V238" s="19"/>
      <c r="W238" s="19"/>
      <c r="X238" s="19"/>
      <c r="Y238" s="19" t="s">
        <v>71</v>
      </c>
      <c r="Z238" s="19"/>
      <c r="AA238" s="19" t="s">
        <v>71</v>
      </c>
      <c r="AB238" s="19"/>
      <c r="AC238" s="19" t="s">
        <v>71</v>
      </c>
      <c r="AD238" s="19"/>
      <c r="AE238" s="19" t="s">
        <v>71</v>
      </c>
      <c r="AF238" s="19"/>
      <c r="AG238" s="19" t="s">
        <v>71</v>
      </c>
      <c r="AH238" s="19"/>
      <c r="AI238" s="19" t="s">
        <v>71</v>
      </c>
      <c r="AJ238" s="19"/>
      <c r="AK238" s="19" t="s">
        <v>71</v>
      </c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 t="s">
        <v>71</v>
      </c>
      <c r="CF238" s="19"/>
      <c r="CG238" s="19" t="s">
        <v>71</v>
      </c>
      <c r="CH238" s="19"/>
      <c r="CI238" s="19" t="s">
        <v>71</v>
      </c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1" t="e">
        <f>IF(SUM(E238,G238,I238,K238,M238,O238,Q238,S238,U238,W238,Y238,AA238,AC238,AE238,AG238,AI238,AK238,AM238,AO238,AQ238,#REF!)&gt;0,"Sí","No")</f>
        <v>#REF!</v>
      </c>
      <c r="CV238" s="92" t="e">
        <f>IF($CU238="Sí",_xlfn.TEXTJOIN(", ",TRUE,IF(N(E238)&gt;0,E$4,""),IF(N(G238)&gt;0,G$4,""),IF(N(I238)&gt;0,I$4,""),IF(N(K238)&gt;0,K$4,""),IF(N(M238)&gt;0,M$4,""),IF(N(O238)&gt;0,O$4,""),IF(N(Q238)&gt;0,Q$4,""),IF(N(S238)&gt;0,S$4,""),IF(N(U238)&gt;0,U$4,""),IF(N(W238)&gt;0,W$4,""),IF(N(Y238)&gt;0,Y$4,""),IF(N(AA238)&gt;0,AA$4,""),IF(N(AC238)&gt;0,AC$4,""),IF(N(AE238)&gt;0,AE$4,""),IF(N(AG238)&gt;0,AG$4,""),IF(N(AI238)&gt;0,AI$4,""),IF(N(AK238)&gt;0,AK$4,""),IF(N(AM238)&gt;0,AM$4,""),IF(N(AO238)&gt;0,AO$4,""),IF(N(AQ238)&gt;0,AQ$4,""),IF(N(#REF!)&gt;0,#REF!,"")),"")</f>
        <v>#REF!</v>
      </c>
      <c r="CW238" s="11"/>
      <c r="CX238" s="11" t="e">
        <f t="shared" si="13"/>
        <v>#REF!</v>
      </c>
      <c r="CY238" s="12"/>
      <c r="CZ238" s="68"/>
    </row>
    <row r="239" spans="1:104" ht="18" customHeight="1" x14ac:dyDescent="0.3">
      <c r="A239" s="150"/>
      <c r="B239" s="43"/>
      <c r="C239" s="12">
        <v>46257</v>
      </c>
      <c r="D239" s="20">
        <f t="shared" si="12"/>
        <v>0</v>
      </c>
      <c r="E239" s="20" t="str">
        <f t="shared" si="14"/>
        <v/>
      </c>
      <c r="F239" s="20"/>
      <c r="G239" s="20" t="str">
        <f t="shared" si="15"/>
        <v/>
      </c>
      <c r="H239" s="20"/>
      <c r="I239" s="20"/>
      <c r="J239" s="20"/>
      <c r="K239" s="20"/>
      <c r="L239" s="20"/>
      <c r="M239" s="19" t="s">
        <v>71</v>
      </c>
      <c r="N239" s="19"/>
      <c r="O239" s="19" t="s">
        <v>71</v>
      </c>
      <c r="P239" s="19"/>
      <c r="Q239" s="19" t="s">
        <v>71</v>
      </c>
      <c r="R239" s="19"/>
      <c r="S239" s="19"/>
      <c r="T239" s="19"/>
      <c r="U239" s="19"/>
      <c r="V239" s="19"/>
      <c r="W239" s="19"/>
      <c r="X239" s="19"/>
      <c r="Y239" s="19" t="s">
        <v>71</v>
      </c>
      <c r="Z239" s="19"/>
      <c r="AA239" s="19" t="s">
        <v>71</v>
      </c>
      <c r="AB239" s="19"/>
      <c r="AC239" s="19" t="s">
        <v>71</v>
      </c>
      <c r="AD239" s="19"/>
      <c r="AE239" s="19" t="s">
        <v>71</v>
      </c>
      <c r="AF239" s="19"/>
      <c r="AG239" s="19" t="s">
        <v>71</v>
      </c>
      <c r="AH239" s="19"/>
      <c r="AI239" s="19" t="s">
        <v>71</v>
      </c>
      <c r="AJ239" s="19"/>
      <c r="AK239" s="19" t="s">
        <v>71</v>
      </c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>
        <v>12</v>
      </c>
      <c r="BP239" s="19">
        <v>20</v>
      </c>
      <c r="BQ239" s="19">
        <v>12</v>
      </c>
      <c r="BR239" s="19">
        <v>20</v>
      </c>
      <c r="BS239" s="19">
        <v>12</v>
      </c>
      <c r="BT239" s="19">
        <v>20</v>
      </c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 t="s">
        <v>71</v>
      </c>
      <c r="CF239" s="19"/>
      <c r="CG239" s="19" t="s">
        <v>71</v>
      </c>
      <c r="CH239" s="19"/>
      <c r="CI239" s="19" t="s">
        <v>71</v>
      </c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1" t="e">
        <f>IF(SUM(E239,G239,I239,K239,M239,O239,Q239,S239,U239,W239,Y239,AA239,AC239,AE239,AG239,AI239,AK239,AM239,AO239,AQ239,#REF!)&gt;0,"Sí","No")</f>
        <v>#REF!</v>
      </c>
      <c r="CV239" s="92" t="e">
        <f>IF($CU239="Sí",_xlfn.TEXTJOIN(", ",TRUE,IF(N(E239)&gt;0,E$4,""),IF(N(G239)&gt;0,G$4,""),IF(N(I239)&gt;0,I$4,""),IF(N(K239)&gt;0,K$4,""),IF(N(M239)&gt;0,M$4,""),IF(N(O239)&gt;0,O$4,""),IF(N(Q239)&gt;0,Q$4,""),IF(N(S239)&gt;0,S$4,""),IF(N(U239)&gt;0,U$4,""),IF(N(W239)&gt;0,W$4,""),IF(N(Y239)&gt;0,Y$4,""),IF(N(AA239)&gt;0,AA$4,""),IF(N(AC239)&gt;0,AC$4,""),IF(N(AE239)&gt;0,AE$4,""),IF(N(AG239)&gt;0,AG$4,""),IF(N(AI239)&gt;0,AI$4,""),IF(N(AK239)&gt;0,AK$4,""),IF(N(AM239)&gt;0,AM$4,""),IF(N(AO239)&gt;0,AO$4,""),IF(N(AQ239)&gt;0,AQ$4,""),IF(N(#REF!)&gt;0,#REF!,"")),"")</f>
        <v>#REF!</v>
      </c>
      <c r="CW239" s="11"/>
      <c r="CX239" s="11" t="e">
        <f t="shared" si="13"/>
        <v>#REF!</v>
      </c>
      <c r="CY239" s="12"/>
      <c r="CZ239" s="68"/>
    </row>
    <row r="240" spans="1:104" ht="18" customHeight="1" x14ac:dyDescent="0.3">
      <c r="A240" s="150"/>
      <c r="B240" s="43"/>
      <c r="C240" s="12">
        <v>46258</v>
      </c>
      <c r="D240" s="20">
        <f t="shared" si="12"/>
        <v>0</v>
      </c>
      <c r="E240" s="20" t="str">
        <f t="shared" si="14"/>
        <v/>
      </c>
      <c r="F240" s="20"/>
      <c r="G240" s="20"/>
      <c r="H240" s="20"/>
      <c r="I240" s="20"/>
      <c r="J240" s="20"/>
      <c r="K240" s="20"/>
      <c r="L240" s="20"/>
      <c r="M240" s="19" t="s">
        <v>71</v>
      </c>
      <c r="N240" s="19"/>
      <c r="O240" s="19" t="s">
        <v>71</v>
      </c>
      <c r="P240" s="19"/>
      <c r="Q240" s="19" t="s">
        <v>71</v>
      </c>
      <c r="R240" s="19"/>
      <c r="S240" s="19"/>
      <c r="T240" s="19"/>
      <c r="U240" s="19"/>
      <c r="V240" s="19"/>
      <c r="W240" s="19"/>
      <c r="X240" s="19"/>
      <c r="Y240" s="19" t="s">
        <v>71</v>
      </c>
      <c r="Z240" s="19"/>
      <c r="AA240" s="19" t="s">
        <v>71</v>
      </c>
      <c r="AB240" s="19"/>
      <c r="AC240" s="19" t="s">
        <v>71</v>
      </c>
      <c r="AD240" s="19"/>
      <c r="AE240" s="19" t="s">
        <v>71</v>
      </c>
      <c r="AF240" s="19"/>
      <c r="AG240" s="19" t="s">
        <v>71</v>
      </c>
      <c r="AH240" s="19"/>
      <c r="AI240" s="19" t="s">
        <v>71</v>
      </c>
      <c r="AJ240" s="19"/>
      <c r="AK240" s="19" t="s">
        <v>71</v>
      </c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 t="s">
        <v>71</v>
      </c>
      <c r="CF240" s="19"/>
      <c r="CG240" s="19" t="s">
        <v>71</v>
      </c>
      <c r="CH240" s="19"/>
      <c r="CI240" s="19" t="s">
        <v>71</v>
      </c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1" t="e">
        <f>IF(SUM(E240,G240,I240,K240,M240,O240,Q240,S240,U240,W240,Y240,AA240,AC240,AE240,AG240,AI240,AK240,AM240,AO240,AQ240,#REF!)&gt;0,"Sí","No")</f>
        <v>#REF!</v>
      </c>
      <c r="CV240" s="92" t="e">
        <f>IF($CU240="Sí",_xlfn.TEXTJOIN(", ",TRUE,IF(N(E240)&gt;0,E$4,""),IF(N(G240)&gt;0,G$4,""),IF(N(I240)&gt;0,I$4,""),IF(N(K240)&gt;0,K$4,""),IF(N(M240)&gt;0,M$4,""),IF(N(O240)&gt;0,O$4,""),IF(N(Q240)&gt;0,Q$4,""),IF(N(S240)&gt;0,S$4,""),IF(N(U240)&gt;0,U$4,""),IF(N(W240)&gt;0,W$4,""),IF(N(Y240)&gt;0,Y$4,""),IF(N(AA240)&gt;0,AA$4,""),IF(N(AC240)&gt;0,AC$4,""),IF(N(AE240)&gt;0,AE$4,""),IF(N(AG240)&gt;0,AG$4,""),IF(N(AI240)&gt;0,AI$4,""),IF(N(AK240)&gt;0,AK$4,""),IF(N(AM240)&gt;0,AM$4,""),IF(N(AO240)&gt;0,AO$4,""),IF(N(AQ240)&gt;0,AQ$4,""),IF(N(#REF!)&gt;0,#REF!,"")),"")</f>
        <v>#REF!</v>
      </c>
      <c r="CW240" s="11"/>
      <c r="CX240" s="11" t="e">
        <f t="shared" si="13"/>
        <v>#REF!</v>
      </c>
      <c r="CY240" s="12"/>
      <c r="CZ240" s="68"/>
    </row>
    <row r="241" spans="1:104" ht="66" customHeight="1" x14ac:dyDescent="0.3">
      <c r="A241" s="150"/>
      <c r="B241" s="43"/>
      <c r="C241" s="12">
        <v>46259</v>
      </c>
      <c r="D241" s="20">
        <f t="shared" si="12"/>
        <v>80</v>
      </c>
      <c r="E241" s="20">
        <v>10</v>
      </c>
      <c r="F241" s="20">
        <v>20</v>
      </c>
      <c r="G241" s="20">
        <v>10</v>
      </c>
      <c r="H241" s="20">
        <v>20</v>
      </c>
      <c r="I241" s="20">
        <v>10</v>
      </c>
      <c r="J241" s="20">
        <v>20</v>
      </c>
      <c r="K241" s="20">
        <v>10</v>
      </c>
      <c r="L241" s="20">
        <v>20</v>
      </c>
      <c r="M241" s="19" t="s">
        <v>71</v>
      </c>
      <c r="N241" s="19"/>
      <c r="O241" s="19" t="s">
        <v>71</v>
      </c>
      <c r="P241" s="19"/>
      <c r="Q241" s="19" t="s">
        <v>71</v>
      </c>
      <c r="R241" s="19"/>
      <c r="S241" s="19"/>
      <c r="T241" s="19"/>
      <c r="U241" s="19"/>
      <c r="V241" s="19"/>
      <c r="W241" s="19"/>
      <c r="X241" s="19"/>
      <c r="Y241" s="19" t="s">
        <v>71</v>
      </c>
      <c r="Z241" s="19"/>
      <c r="AA241" s="19" t="s">
        <v>71</v>
      </c>
      <c r="AB241" s="19"/>
      <c r="AC241" s="19" t="s">
        <v>71</v>
      </c>
      <c r="AD241" s="19"/>
      <c r="AE241" s="19" t="s">
        <v>71</v>
      </c>
      <c r="AF241" s="19"/>
      <c r="AG241" s="19" t="s">
        <v>71</v>
      </c>
      <c r="AH241" s="19"/>
      <c r="AI241" s="19" t="s">
        <v>71</v>
      </c>
      <c r="AJ241" s="19"/>
      <c r="AK241" s="19" t="s">
        <v>71</v>
      </c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 t="s">
        <v>71</v>
      </c>
      <c r="CF241" s="19"/>
      <c r="CG241" s="19" t="s">
        <v>71</v>
      </c>
      <c r="CH241" s="19"/>
      <c r="CI241" s="19" t="s">
        <v>71</v>
      </c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1" t="e">
        <f>IF(SUM(E241,G241,I241,K241,M241,O241,Q241,S241,U241,W241,Y241,AA241,AC241,AE241,AG241,AI241,AK241,AM241,AO241,AQ241,#REF!)&gt;0,"Sí","No")</f>
        <v>#REF!</v>
      </c>
      <c r="CV241" s="109" t="e">
        <f>IF($CU241="Sí",_xlfn.TEXTJOIN(", ",TRUE,IF(N(E241)&gt;0,E$4,""),IF(N(G241)&gt;0,G$4,""),IF(N(I241)&gt;0,I$4,""),IF(N(K241)&gt;0,K$4,""),IF(N(M241)&gt;0,M$4,""),IF(N(O241)&gt;0,O$4,""),IF(N(Q241)&gt;0,Q$4,""),IF(N(S241)&gt;0,S$4,""),IF(N(U241)&gt;0,U$4,""),IF(N(W241)&gt;0,W$4,""),IF(N(Y241)&gt;0,Y$4,""),IF(N(AA241)&gt;0,AA$4,""),IF(N(AC241)&gt;0,AC$4,""),IF(N(AE241)&gt;0,AE$4,""),IF(N(AG241)&gt;0,AG$4,""),IF(N(AI241)&gt;0,AI$4,""),IF(N(AK241)&gt;0,AK$4,""),IF(N(AM241)&gt;0,AM$4,""),IF(N(AO241)&gt;0,AO$4,""),IF(N(AQ241)&gt;0,AQ$4,""),IF(N(#REF!)&gt;0,#REF!,"")),"")</f>
        <v>#REF!</v>
      </c>
      <c r="CW241" s="11"/>
      <c r="CX241" s="11" t="e">
        <f t="shared" si="13"/>
        <v>#REF!</v>
      </c>
      <c r="CY241" s="12"/>
      <c r="CZ241" s="68"/>
    </row>
    <row r="242" spans="1:104" ht="18" customHeight="1" x14ac:dyDescent="0.3">
      <c r="A242" s="150"/>
      <c r="B242" s="43"/>
      <c r="C242" s="12">
        <v>46260</v>
      </c>
      <c r="D242" s="20">
        <f t="shared" si="12"/>
        <v>0</v>
      </c>
      <c r="E242" s="20" t="str">
        <f t="shared" si="14"/>
        <v/>
      </c>
      <c r="F242" s="20"/>
      <c r="G242" s="20" t="str">
        <f t="shared" si="15"/>
        <v/>
      </c>
      <c r="H242" s="20"/>
      <c r="I242" s="20"/>
      <c r="J242" s="20"/>
      <c r="K242" s="20"/>
      <c r="L242" s="20"/>
      <c r="M242" s="19" t="s">
        <v>71</v>
      </c>
      <c r="N242" s="19"/>
      <c r="O242" s="19" t="s">
        <v>71</v>
      </c>
      <c r="P242" s="19"/>
      <c r="Q242" s="19" t="s">
        <v>71</v>
      </c>
      <c r="R242" s="19"/>
      <c r="S242" s="19"/>
      <c r="T242" s="19"/>
      <c r="U242" s="19"/>
      <c r="V242" s="19"/>
      <c r="W242" s="19"/>
      <c r="X242" s="19"/>
      <c r="Y242" s="19" t="s">
        <v>71</v>
      </c>
      <c r="Z242" s="19"/>
      <c r="AA242" s="19" t="s">
        <v>71</v>
      </c>
      <c r="AB242" s="19"/>
      <c r="AC242" s="19" t="s">
        <v>71</v>
      </c>
      <c r="AD242" s="19"/>
      <c r="AE242" s="19" t="s">
        <v>71</v>
      </c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 t="s">
        <v>71</v>
      </c>
      <c r="CF242" s="19"/>
      <c r="CG242" s="19" t="s">
        <v>71</v>
      </c>
      <c r="CH242" s="19"/>
      <c r="CI242" s="19" t="s">
        <v>71</v>
      </c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1" t="e">
        <f>IF(SUM(E242,G242,I242,K242,M242,O242,Q242,S242,U242,W242,Y242,AA242,AC242,AE242,AG242,AI242,AK242,AM242,AO242,AQ242,#REF!)&gt;0,"Sí","No")</f>
        <v>#REF!</v>
      </c>
      <c r="CV242" s="92" t="e">
        <f>IF($CU242="Sí",_xlfn.TEXTJOIN(", ",TRUE,IF(N(E242)&gt;0,E$4,""),IF(N(G242)&gt;0,G$4,""),IF(N(I242)&gt;0,I$4,""),IF(N(K242)&gt;0,K$4,""),IF(N(M242)&gt;0,M$4,""),IF(N(O242)&gt;0,O$4,""),IF(N(Q242)&gt;0,Q$4,""),IF(N(S242)&gt;0,S$4,""),IF(N(U242)&gt;0,U$4,""),IF(N(W242)&gt;0,W$4,""),IF(N(Y242)&gt;0,Y$4,""),IF(N(AA242)&gt;0,AA$4,""),IF(N(AC242)&gt;0,AC$4,""),IF(N(AE242)&gt;0,AE$4,""),IF(N(AG242)&gt;0,AG$4,""),IF(N(AI242)&gt;0,AI$4,""),IF(N(AK242)&gt;0,AK$4,""),IF(N(AM242)&gt;0,AM$4,""),IF(N(AO242)&gt;0,AO$4,""),IF(N(AQ242)&gt;0,AQ$4,""),IF(N(#REF!)&gt;0,#REF!,"")),"")</f>
        <v>#REF!</v>
      </c>
      <c r="CW242" s="11"/>
      <c r="CX242" s="11" t="e">
        <f t="shared" si="13"/>
        <v>#REF!</v>
      </c>
      <c r="CY242" s="12"/>
      <c r="CZ242" s="68"/>
    </row>
    <row r="243" spans="1:104" ht="18" customHeight="1" x14ac:dyDescent="0.3">
      <c r="A243" s="150"/>
      <c r="B243" s="43"/>
      <c r="C243" s="12">
        <v>46261</v>
      </c>
      <c r="D243" s="20">
        <f t="shared" si="12"/>
        <v>0</v>
      </c>
      <c r="E243" s="20" t="str">
        <f t="shared" si="14"/>
        <v/>
      </c>
      <c r="F243" s="20"/>
      <c r="G243" s="20" t="str">
        <f t="shared" si="15"/>
        <v/>
      </c>
      <c r="H243" s="20"/>
      <c r="I243" s="20"/>
      <c r="J243" s="20"/>
      <c r="K243" s="20"/>
      <c r="L243" s="20"/>
      <c r="M243" s="19" t="s">
        <v>71</v>
      </c>
      <c r="N243" s="19"/>
      <c r="O243" s="19" t="s">
        <v>71</v>
      </c>
      <c r="P243" s="19"/>
      <c r="Q243" s="19" t="s">
        <v>71</v>
      </c>
      <c r="R243" s="19"/>
      <c r="S243" s="19"/>
      <c r="T243" s="19"/>
      <c r="U243" s="19"/>
      <c r="V243" s="19"/>
      <c r="W243" s="19"/>
      <c r="X243" s="19"/>
      <c r="Y243" s="19" t="s">
        <v>71</v>
      </c>
      <c r="Z243" s="19"/>
      <c r="AA243" s="19" t="s">
        <v>71</v>
      </c>
      <c r="AB243" s="19"/>
      <c r="AC243" s="19" t="s">
        <v>71</v>
      </c>
      <c r="AD243" s="19"/>
      <c r="AE243" s="19" t="s">
        <v>71</v>
      </c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 t="s">
        <v>71</v>
      </c>
      <c r="CF243" s="19"/>
      <c r="CG243" s="19" t="s">
        <v>71</v>
      </c>
      <c r="CH243" s="19"/>
      <c r="CI243" s="19" t="s">
        <v>71</v>
      </c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1" t="e">
        <f>IF(SUM(E243,G243,I243,K243,M243,O243,Q243,S243,U243,W243,Y243,AA243,AC243,AE243,AG243,AI243,AK243,AM243,AO243,AQ243,#REF!)&gt;0,"Sí","No")</f>
        <v>#REF!</v>
      </c>
      <c r="CV243" s="92" t="e">
        <f>IF($CU243="Sí",_xlfn.TEXTJOIN(", ",TRUE,IF(N(E243)&gt;0,E$4,""),IF(N(G243)&gt;0,G$4,""),IF(N(I243)&gt;0,I$4,""),IF(N(K243)&gt;0,K$4,""),IF(N(M243)&gt;0,M$4,""),IF(N(O243)&gt;0,O$4,""),IF(N(Q243)&gt;0,Q$4,""),IF(N(S243)&gt;0,S$4,""),IF(N(U243)&gt;0,U$4,""),IF(N(W243)&gt;0,W$4,""),IF(N(Y243)&gt;0,Y$4,""),IF(N(AA243)&gt;0,AA$4,""),IF(N(AC243)&gt;0,AC$4,""),IF(N(AE243)&gt;0,AE$4,""),IF(N(AG243)&gt;0,AG$4,""),IF(N(AI243)&gt;0,AI$4,""),IF(N(AK243)&gt;0,AK$4,""),IF(N(AM243)&gt;0,AM$4,""),IF(N(AO243)&gt;0,AO$4,""),IF(N(AQ243)&gt;0,AQ$4,""),IF(N(#REF!)&gt;0,#REF!,"")),"")</f>
        <v>#REF!</v>
      </c>
      <c r="CW243" s="11"/>
      <c r="CX243" s="11" t="e">
        <f t="shared" si="13"/>
        <v>#REF!</v>
      </c>
      <c r="CY243" s="12"/>
      <c r="CZ243" s="68"/>
    </row>
    <row r="244" spans="1:104" ht="18" customHeight="1" x14ac:dyDescent="0.3">
      <c r="A244" s="150"/>
      <c r="B244" s="43"/>
      <c r="C244" s="12">
        <v>46262</v>
      </c>
      <c r="D244" s="20">
        <f t="shared" si="12"/>
        <v>0</v>
      </c>
      <c r="E244" s="20" t="str">
        <f t="shared" si="14"/>
        <v/>
      </c>
      <c r="F244" s="20"/>
      <c r="G244" s="20" t="str">
        <f t="shared" si="15"/>
        <v/>
      </c>
      <c r="H244" s="20"/>
      <c r="I244" s="20"/>
      <c r="J244" s="20"/>
      <c r="K244" s="20"/>
      <c r="L244" s="20"/>
      <c r="M244" s="19" t="s">
        <v>71</v>
      </c>
      <c r="N244" s="19"/>
      <c r="O244" s="19" t="s">
        <v>71</v>
      </c>
      <c r="P244" s="19"/>
      <c r="Q244" s="19" t="s">
        <v>71</v>
      </c>
      <c r="R244" s="19"/>
      <c r="S244" s="19" t="s">
        <v>71</v>
      </c>
      <c r="T244" s="19"/>
      <c r="U244" s="19" t="s">
        <v>71</v>
      </c>
      <c r="V244" s="19"/>
      <c r="W244" s="19"/>
      <c r="X244" s="19"/>
      <c r="Y244" s="19" t="s">
        <v>71</v>
      </c>
      <c r="Z244" s="19"/>
      <c r="AA244" s="19" t="s">
        <v>71</v>
      </c>
      <c r="AB244" s="19"/>
      <c r="AC244" s="19" t="s">
        <v>71</v>
      </c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 t="s">
        <v>71</v>
      </c>
      <c r="CF244" s="19"/>
      <c r="CG244" s="19" t="s">
        <v>71</v>
      </c>
      <c r="CH244" s="19"/>
      <c r="CI244" s="19" t="s">
        <v>71</v>
      </c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1" t="e">
        <f>IF(SUM(E244,G244,I244,K244,M244,O244,Q244,S244,U244,W244,Y244,AA244,AC244,AE244,AG244,AI244,AK244,AM244,AO244,AQ244,#REF!)&gt;0,"Sí","No")</f>
        <v>#REF!</v>
      </c>
      <c r="CV244" s="92" t="e">
        <f>IF($CU244="Sí",_xlfn.TEXTJOIN(", ",TRUE,IF(N(E244)&gt;0,E$4,""),IF(N(G244)&gt;0,G$4,""),IF(N(I244)&gt;0,I$4,""),IF(N(K244)&gt;0,K$4,""),IF(N(M244)&gt;0,M$4,""),IF(N(O244)&gt;0,O$4,""),IF(N(Q244)&gt;0,Q$4,""),IF(N(S244)&gt;0,S$4,""),IF(N(U244)&gt;0,U$4,""),IF(N(W244)&gt;0,W$4,""),IF(N(Y244)&gt;0,Y$4,""),IF(N(AA244)&gt;0,AA$4,""),IF(N(AC244)&gt;0,AC$4,""),IF(N(AE244)&gt;0,AE$4,""),IF(N(AG244)&gt;0,AG$4,""),IF(N(AI244)&gt;0,AI$4,""),IF(N(AK244)&gt;0,AK$4,""),IF(N(AM244)&gt;0,AM$4,""),IF(N(AO244)&gt;0,AO$4,""),IF(N(AQ244)&gt;0,AQ$4,""),IF(N(#REF!)&gt;0,#REF!,"")),"")</f>
        <v>#REF!</v>
      </c>
      <c r="CW244" s="11"/>
      <c r="CX244" s="11" t="e">
        <f t="shared" si="13"/>
        <v>#REF!</v>
      </c>
      <c r="CY244" s="12"/>
      <c r="CZ244" s="68"/>
    </row>
    <row r="245" spans="1:104" ht="18" customHeight="1" x14ac:dyDescent="0.3">
      <c r="A245" s="150"/>
      <c r="B245" s="43"/>
      <c r="C245" s="12">
        <v>46263</v>
      </c>
      <c r="D245" s="20">
        <f t="shared" si="12"/>
        <v>60</v>
      </c>
      <c r="E245" s="20" t="str">
        <f t="shared" si="14"/>
        <v/>
      </c>
      <c r="F245" s="20"/>
      <c r="G245" s="20" t="str">
        <f t="shared" si="15"/>
        <v/>
      </c>
      <c r="H245" s="20"/>
      <c r="I245" s="20"/>
      <c r="J245" s="20"/>
      <c r="K245" s="20"/>
      <c r="L245" s="20"/>
      <c r="M245" s="19" t="s">
        <v>71</v>
      </c>
      <c r="N245" s="19"/>
      <c r="O245" s="19" t="s">
        <v>71</v>
      </c>
      <c r="P245" s="19"/>
      <c r="Q245" s="19" t="s">
        <v>71</v>
      </c>
      <c r="R245" s="19"/>
      <c r="S245" s="26" t="s">
        <v>71</v>
      </c>
      <c r="T245" s="26"/>
      <c r="U245" s="19" t="s">
        <v>71</v>
      </c>
      <c r="V245" s="19"/>
      <c r="W245" s="19"/>
      <c r="X245" s="19"/>
      <c r="Y245" s="19">
        <v>10</v>
      </c>
      <c r="Z245" s="19">
        <v>20</v>
      </c>
      <c r="AA245" s="26">
        <v>10</v>
      </c>
      <c r="AB245" s="26">
        <v>20</v>
      </c>
      <c r="AC245" s="26">
        <v>10</v>
      </c>
      <c r="AD245" s="26">
        <v>20</v>
      </c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1" t="e">
        <f>IF(SUM(E245,G245,I245,K245,M245,O245,Q245,S245,U245,W245,Y245,AA245,AC245,AE245,AG245,AI245,AK245,AM245,AO245,AQ245,#REF!)&gt;0,"Sí","No")</f>
        <v>#REF!</v>
      </c>
      <c r="CV245" s="92" t="e">
        <f>IF($CU245="Sí",_xlfn.TEXTJOIN(", ",TRUE,IF(N(E245)&gt;0,E$4,""),IF(N(G245)&gt;0,G$4,""),IF(N(I245)&gt;0,I$4,""),IF(N(K245)&gt;0,K$4,""),IF(N(M245)&gt;0,M$4,""),IF(N(O245)&gt;0,O$4,""),IF(N(Q245)&gt;0,Q$4,""),IF(N(S245)&gt;0,S$4,""),IF(N(U245)&gt;0,U$4,""),IF(N(W245)&gt;0,W$4,""),IF(N(Y245)&gt;0,Y$4,""),IF(N(AA245)&gt;0,AA$4,""),IF(N(AC245)&gt;0,AC$4,""),IF(N(AE245)&gt;0,AE$4,""),IF(N(AG245)&gt;0,AG$4,""),IF(N(AI245)&gt;0,AI$4,""),IF(N(AK245)&gt;0,AK$4,""),IF(N(AM245)&gt;0,AM$4,""),IF(N(AO245)&gt;0,AO$4,""),IF(N(AQ245)&gt;0,AQ$4,""),IF(N(#REF!)&gt;0,#REF!,"")),"")</f>
        <v>#REF!</v>
      </c>
      <c r="CW245" s="11"/>
      <c r="CX245" s="11" t="e">
        <f t="shared" si="13"/>
        <v>#REF!</v>
      </c>
      <c r="CY245" s="12"/>
      <c r="CZ245" s="68"/>
    </row>
    <row r="246" spans="1:104" ht="18" customHeight="1" x14ac:dyDescent="0.3">
      <c r="A246" s="150"/>
      <c r="B246" s="43"/>
      <c r="C246" s="12">
        <v>46264</v>
      </c>
      <c r="D246" s="20">
        <f t="shared" si="12"/>
        <v>0</v>
      </c>
      <c r="E246" s="20" t="str">
        <f t="shared" si="14"/>
        <v/>
      </c>
      <c r="F246" s="20"/>
      <c r="G246" s="20" t="str">
        <f t="shared" si="15"/>
        <v/>
      </c>
      <c r="H246" s="20"/>
      <c r="I246" s="20"/>
      <c r="J246" s="20"/>
      <c r="K246" s="20"/>
      <c r="L246" s="20"/>
      <c r="M246" s="19" t="s">
        <v>71</v>
      </c>
      <c r="N246" s="19"/>
      <c r="O246" s="19" t="s">
        <v>71</v>
      </c>
      <c r="P246" s="19"/>
      <c r="Q246" s="19" t="s">
        <v>71</v>
      </c>
      <c r="R246" s="19"/>
      <c r="S246" s="19" t="s">
        <v>71</v>
      </c>
      <c r="T246" s="19"/>
      <c r="U246" s="19" t="s">
        <v>71</v>
      </c>
      <c r="V246" s="19"/>
      <c r="W246" s="19"/>
      <c r="X246" s="19"/>
      <c r="Y246" s="19" t="s">
        <v>71</v>
      </c>
      <c r="Z246" s="19"/>
      <c r="AA246" s="19" t="s">
        <v>71</v>
      </c>
      <c r="AB246" s="19"/>
      <c r="AC246" s="19" t="s">
        <v>71</v>
      </c>
      <c r="AD246" s="19"/>
      <c r="AE246" s="19" t="s">
        <v>71</v>
      </c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1" t="e">
        <f>IF(SUM(E246,G246,I246,K246,M246,O246,Q246,S246,U246,W246,Y246,AA246,AC246,AE246,AG246,AI246,AK246,AM246,AO246,AQ246,#REF!)&gt;0,"Sí","No")</f>
        <v>#REF!</v>
      </c>
      <c r="CV246" s="92" t="e">
        <f>IF($CU246="Sí",_xlfn.TEXTJOIN(", ",TRUE,IF(N(E246)&gt;0,E$4,""),IF(N(G246)&gt;0,G$4,""),IF(N(I246)&gt;0,I$4,""),IF(N(K246)&gt;0,K$4,""),IF(N(M246)&gt;0,M$4,""),IF(N(O246)&gt;0,O$4,""),IF(N(Q246)&gt;0,Q$4,""),IF(N(S246)&gt;0,S$4,""),IF(N(U246)&gt;0,U$4,""),IF(N(W246)&gt;0,W$4,""),IF(N(Y246)&gt;0,Y$4,""),IF(N(AA246)&gt;0,AA$4,""),IF(N(AC246)&gt;0,AC$4,""),IF(N(AE246)&gt;0,AE$4,""),IF(N(AG246)&gt;0,AG$4,""),IF(N(AI246)&gt;0,AI$4,""),IF(N(AK246)&gt;0,AK$4,""),IF(N(AM246)&gt;0,AM$4,""),IF(N(AO246)&gt;0,AO$4,""),IF(N(AQ246)&gt;0,AQ$4,""),IF(N(#REF!)&gt;0,#REF!,"")),"")</f>
        <v>#REF!</v>
      </c>
      <c r="CW246" s="11"/>
      <c r="CX246" s="11" t="e">
        <f t="shared" si="13"/>
        <v>#REF!</v>
      </c>
      <c r="CY246" s="12"/>
      <c r="CZ246" s="68"/>
    </row>
    <row r="247" spans="1:104" ht="18" customHeight="1" thickBot="1" x14ac:dyDescent="0.35">
      <c r="A247" s="151"/>
      <c r="B247" s="44"/>
      <c r="C247" s="30">
        <v>46265</v>
      </c>
      <c r="D247" s="31">
        <f t="shared" si="12"/>
        <v>0</v>
      </c>
      <c r="E247" s="31" t="str">
        <f t="shared" si="14"/>
        <v/>
      </c>
      <c r="F247" s="31"/>
      <c r="G247" s="31" t="str">
        <f t="shared" si="15"/>
        <v/>
      </c>
      <c r="H247" s="31"/>
      <c r="I247" s="31"/>
      <c r="J247" s="31"/>
      <c r="K247" s="31"/>
      <c r="L247" s="31"/>
      <c r="M247" s="32" t="s">
        <v>71</v>
      </c>
      <c r="N247" s="32"/>
      <c r="O247" s="32" t="s">
        <v>71</v>
      </c>
      <c r="P247" s="32"/>
      <c r="Q247" s="32" t="s">
        <v>71</v>
      </c>
      <c r="R247" s="32"/>
      <c r="S247" s="32" t="s">
        <v>71</v>
      </c>
      <c r="T247" s="32"/>
      <c r="U247" s="32" t="s">
        <v>71</v>
      </c>
      <c r="V247" s="32"/>
      <c r="W247" s="32"/>
      <c r="X247" s="32"/>
      <c r="Y247" s="32" t="s">
        <v>71</v>
      </c>
      <c r="Z247" s="32"/>
      <c r="AA247" s="32" t="s">
        <v>71</v>
      </c>
      <c r="AB247" s="32"/>
      <c r="AC247" s="32" t="s">
        <v>71</v>
      </c>
      <c r="AD247" s="32"/>
      <c r="AE247" s="32" t="s">
        <v>71</v>
      </c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70" t="e">
        <f>IF(SUM(E247,G247,I247,K247,M247,O247,Q247,S247,U247,W247,Y247,AA247,AC247,AE247,AG247,AI247,AK247,AM247,AO247,AQ247,#REF!)&gt;0,"Sí","No")</f>
        <v>#REF!</v>
      </c>
      <c r="CV247" s="108" t="e">
        <f>IF($CU247="Sí",_xlfn.TEXTJOIN(", ",TRUE,IF(N(E247)&gt;0,E$4,""),IF(N(G247)&gt;0,G$4,""),IF(N(I247)&gt;0,I$4,""),IF(N(K247)&gt;0,K$4,""),IF(N(M247)&gt;0,M$4,""),IF(N(O247)&gt;0,O$4,""),IF(N(Q247)&gt;0,Q$4,""),IF(N(S247)&gt;0,S$4,""),IF(N(U247)&gt;0,U$4,""),IF(N(W247)&gt;0,W$4,""),IF(N(Y247)&gt;0,Y$4,""),IF(N(AA247)&gt;0,AA$4,""),IF(N(AC247)&gt;0,AC$4,""),IF(N(AE247)&gt;0,AE$4,""),IF(N(AG247)&gt;0,AG$4,""),IF(N(AI247)&gt;0,AI$4,""),IF(N(AK247)&gt;0,AK$4,""),IF(N(AM247)&gt;0,AM$4,""),IF(N(AO247)&gt;0,AO$4,""),IF(N(AQ247)&gt;0,AQ$4,""),IF(N(#REF!)&gt;0,#REF!,"")),"")</f>
        <v>#REF!</v>
      </c>
      <c r="CW247" s="70"/>
      <c r="CX247" s="70" t="e">
        <f t="shared" si="13"/>
        <v>#REF!</v>
      </c>
      <c r="CY247" s="30"/>
      <c r="CZ247" s="73"/>
    </row>
    <row r="248" spans="1:104" ht="18" customHeight="1" x14ac:dyDescent="0.3">
      <c r="A248" s="148" t="s">
        <v>65</v>
      </c>
      <c r="B248" s="42"/>
      <c r="C248" s="15">
        <v>46266</v>
      </c>
      <c r="D248" s="27">
        <f t="shared" si="12"/>
        <v>0</v>
      </c>
      <c r="E248" s="27"/>
      <c r="F248" s="27"/>
      <c r="G248" s="27" t="str">
        <f t="shared" si="15"/>
        <v/>
      </c>
      <c r="H248" s="27"/>
      <c r="I248" s="27"/>
      <c r="J248" s="27"/>
      <c r="K248" s="27"/>
      <c r="L248" s="27"/>
      <c r="M248" s="18" t="s">
        <v>71</v>
      </c>
      <c r="N248" s="18"/>
      <c r="O248" s="18" t="s">
        <v>71</v>
      </c>
      <c r="P248" s="18"/>
      <c r="Q248" s="18" t="s">
        <v>71</v>
      </c>
      <c r="R248" s="18"/>
      <c r="S248" s="18" t="s">
        <v>71</v>
      </c>
      <c r="T248" s="18"/>
      <c r="U248" s="18" t="s">
        <v>71</v>
      </c>
      <c r="V248" s="18"/>
      <c r="W248" s="18"/>
      <c r="X248" s="18"/>
      <c r="Y248" s="18" t="s">
        <v>71</v>
      </c>
      <c r="Z248" s="18"/>
      <c r="AA248" s="18" t="s">
        <v>71</v>
      </c>
      <c r="AB248" s="18"/>
      <c r="AC248" s="18" t="s">
        <v>71</v>
      </c>
      <c r="AD248" s="18"/>
      <c r="AE248" s="18" t="s">
        <v>71</v>
      </c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4" t="e">
        <f>IF(SUM(E248,G248,I248,K248,M248,O248,Q248,S248,U248,W248,Y248,AA248,AC248,AE248,AG248,AI248,AK248,AM248,AO248,AQ248,#REF!)&gt;0,"Sí","No")</f>
        <v>#REF!</v>
      </c>
      <c r="CV248" s="107" t="e">
        <f>IF($CU248="Sí",_xlfn.TEXTJOIN(", ",TRUE,IF(N(E248)&gt;0,E$4,""),IF(N(G248)&gt;0,G$4,""),IF(N(I248)&gt;0,I$4,""),IF(N(K248)&gt;0,K$4,""),IF(N(M248)&gt;0,M$4,""),IF(N(O248)&gt;0,O$4,""),IF(N(Q248)&gt;0,Q$4,""),IF(N(S248)&gt;0,S$4,""),IF(N(U248)&gt;0,U$4,""),IF(N(W248)&gt;0,W$4,""),IF(N(Y248)&gt;0,Y$4,""),IF(N(AA248)&gt;0,AA$4,""),IF(N(AC248)&gt;0,AC$4,""),IF(N(AE248)&gt;0,AE$4,""),IF(N(AG248)&gt;0,AG$4,""),IF(N(AI248)&gt;0,AI$4,""),IF(N(AK248)&gt;0,AK$4,""),IF(N(AM248)&gt;0,AM$4,""),IF(N(AO248)&gt;0,AO$4,""),IF(N(AQ248)&gt;0,AQ$4,""),IF(N(#REF!)&gt;0,#REF!,"")),"")</f>
        <v>#REF!</v>
      </c>
      <c r="CW248" s="14"/>
      <c r="CX248" s="14" t="e">
        <f t="shared" si="13"/>
        <v>#REF!</v>
      </c>
      <c r="CY248" s="15"/>
      <c r="CZ248" s="66"/>
    </row>
    <row r="249" spans="1:104" ht="18" customHeight="1" x14ac:dyDescent="0.3">
      <c r="A249" s="150"/>
      <c r="B249" s="43"/>
      <c r="C249" s="12">
        <v>46267</v>
      </c>
      <c r="D249" s="20">
        <f t="shared" si="12"/>
        <v>0</v>
      </c>
      <c r="E249" s="20" t="str">
        <f t="shared" si="14"/>
        <v/>
      </c>
      <c r="F249" s="20"/>
      <c r="G249" s="20" t="str">
        <f t="shared" si="15"/>
        <v/>
      </c>
      <c r="H249" s="20"/>
      <c r="I249" s="20"/>
      <c r="J249" s="20"/>
      <c r="K249" s="20"/>
      <c r="L249" s="20"/>
      <c r="M249" s="19" t="s">
        <v>71</v>
      </c>
      <c r="N249" s="19"/>
      <c r="O249" s="19" t="s">
        <v>71</v>
      </c>
      <c r="P249" s="19"/>
      <c r="Q249" s="19" t="s">
        <v>71</v>
      </c>
      <c r="R249" s="19"/>
      <c r="S249" s="19" t="s">
        <v>71</v>
      </c>
      <c r="T249" s="19"/>
      <c r="U249" s="19" t="s">
        <v>71</v>
      </c>
      <c r="V249" s="19"/>
      <c r="W249" s="19"/>
      <c r="X249" s="19"/>
      <c r="Y249" s="19" t="s">
        <v>71</v>
      </c>
      <c r="Z249" s="19"/>
      <c r="AA249" s="19" t="s">
        <v>71</v>
      </c>
      <c r="AB249" s="19"/>
      <c r="AC249" s="19" t="s">
        <v>71</v>
      </c>
      <c r="AD249" s="19"/>
      <c r="AE249" s="19" t="s">
        <v>71</v>
      </c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1" t="e">
        <f>IF(SUM(E249,G249,I249,K249,M249,O249,Q249,S249,U249,W249,Y249,AA249,AC249,AE249,AG249,AI249,AK249,AM249,AO249,AQ249,#REF!)&gt;0,"Sí","No")</f>
        <v>#REF!</v>
      </c>
      <c r="CV249" s="92" t="e">
        <f>IF($CU249="Sí",_xlfn.TEXTJOIN(", ",TRUE,IF(N(E249)&gt;0,E$4,""),IF(N(G249)&gt;0,G$4,""),IF(N(I249)&gt;0,I$4,""),IF(N(K249)&gt;0,K$4,""),IF(N(M249)&gt;0,M$4,""),IF(N(O249)&gt;0,O$4,""),IF(N(Q249)&gt;0,Q$4,""),IF(N(S249)&gt;0,S$4,""),IF(N(U249)&gt;0,U$4,""),IF(N(W249)&gt;0,W$4,""),IF(N(Y249)&gt;0,Y$4,""),IF(N(AA249)&gt;0,AA$4,""),IF(N(AC249)&gt;0,AC$4,""),IF(N(AE249)&gt;0,AE$4,""),IF(N(AG249)&gt;0,AG$4,""),IF(N(AI249)&gt;0,AI$4,""),IF(N(AK249)&gt;0,AK$4,""),IF(N(AM249)&gt;0,AM$4,""),IF(N(AO249)&gt;0,AO$4,""),IF(N(AQ249)&gt;0,AQ$4,""),IF(N(#REF!)&gt;0,#REF!,"")),"")</f>
        <v>#REF!</v>
      </c>
      <c r="CW249" s="11"/>
      <c r="CX249" s="11" t="e">
        <f t="shared" si="13"/>
        <v>#REF!</v>
      </c>
      <c r="CY249" s="12"/>
      <c r="CZ249" s="68"/>
    </row>
    <row r="250" spans="1:104" ht="18" customHeight="1" x14ac:dyDescent="0.3">
      <c r="A250" s="150"/>
      <c r="B250" s="43"/>
      <c r="C250" s="12">
        <v>46268</v>
      </c>
      <c r="D250" s="20">
        <f t="shared" si="12"/>
        <v>0</v>
      </c>
      <c r="E250" s="20" t="str">
        <f t="shared" si="14"/>
        <v/>
      </c>
      <c r="F250" s="20"/>
      <c r="G250" s="20" t="str">
        <f t="shared" si="15"/>
        <v/>
      </c>
      <c r="H250" s="20"/>
      <c r="I250" s="20"/>
      <c r="J250" s="20"/>
      <c r="K250" s="20"/>
      <c r="L250" s="20"/>
      <c r="M250" s="19" t="s">
        <v>71</v>
      </c>
      <c r="N250" s="19"/>
      <c r="O250" s="19" t="s">
        <v>71</v>
      </c>
      <c r="P250" s="19"/>
      <c r="Q250" s="19" t="s">
        <v>71</v>
      </c>
      <c r="R250" s="19"/>
      <c r="S250" s="19" t="s">
        <v>71</v>
      </c>
      <c r="T250" s="19"/>
      <c r="U250" s="19" t="s">
        <v>71</v>
      </c>
      <c r="V250" s="19"/>
      <c r="W250" s="19"/>
      <c r="X250" s="19"/>
      <c r="Y250" s="19" t="s">
        <v>71</v>
      </c>
      <c r="Z250" s="19"/>
      <c r="AA250" s="19" t="s">
        <v>71</v>
      </c>
      <c r="AB250" s="19"/>
      <c r="AC250" s="19" t="s">
        <v>71</v>
      </c>
      <c r="AD250" s="19"/>
      <c r="AE250" s="19" t="s">
        <v>71</v>
      </c>
      <c r="AF250" s="19"/>
      <c r="AG250" s="19" t="s">
        <v>71</v>
      </c>
      <c r="AH250" s="19"/>
      <c r="AI250" s="19" t="s">
        <v>71</v>
      </c>
      <c r="AJ250" s="19"/>
      <c r="AK250" s="19" t="s">
        <v>71</v>
      </c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1" t="e">
        <f>IF(SUM(E250,G250,I250,K250,M250,O250,Q250,S250,U250,W250,Y250,AA250,AC250,AE250,AG250,AI250,AK250,AM250,AO250,AQ250,#REF!)&gt;0,"Sí","No")</f>
        <v>#REF!</v>
      </c>
      <c r="CV250" s="92" t="e">
        <f>IF($CU250="Sí",_xlfn.TEXTJOIN(", ",TRUE,IF(N(E250)&gt;0,E$4,""),IF(N(G250)&gt;0,G$4,""),IF(N(I250)&gt;0,I$4,""),IF(N(K250)&gt;0,K$4,""),IF(N(M250)&gt;0,M$4,""),IF(N(O250)&gt;0,O$4,""),IF(N(Q250)&gt;0,Q$4,""),IF(N(S250)&gt;0,S$4,""),IF(N(U250)&gt;0,U$4,""),IF(N(W250)&gt;0,W$4,""),IF(N(Y250)&gt;0,Y$4,""),IF(N(AA250)&gt;0,AA$4,""),IF(N(AC250)&gt;0,AC$4,""),IF(N(AE250)&gt;0,AE$4,""),IF(N(AG250)&gt;0,AG$4,""),IF(N(AI250)&gt;0,AI$4,""),IF(N(AK250)&gt;0,AK$4,""),IF(N(AM250)&gt;0,AM$4,""),IF(N(AO250)&gt;0,AO$4,""),IF(N(AQ250)&gt;0,AQ$4,""),IF(N(#REF!)&gt;0,#REF!,"")),"")</f>
        <v>#REF!</v>
      </c>
      <c r="CW250" s="11"/>
      <c r="CX250" s="11" t="e">
        <f t="shared" si="13"/>
        <v>#REF!</v>
      </c>
      <c r="CY250" s="12"/>
      <c r="CZ250" s="68"/>
    </row>
    <row r="251" spans="1:104" ht="18" customHeight="1" x14ac:dyDescent="0.3">
      <c r="A251" s="150"/>
      <c r="B251" s="43"/>
      <c r="C251" s="12">
        <v>46269</v>
      </c>
      <c r="D251" s="20">
        <f t="shared" si="12"/>
        <v>0</v>
      </c>
      <c r="E251" s="20" t="str">
        <f t="shared" si="14"/>
        <v/>
      </c>
      <c r="F251" s="20"/>
      <c r="G251" s="20" t="str">
        <f t="shared" si="15"/>
        <v/>
      </c>
      <c r="H251" s="20"/>
      <c r="I251" s="20"/>
      <c r="J251" s="20"/>
      <c r="K251" s="20"/>
      <c r="L251" s="20"/>
      <c r="M251" s="19" t="s">
        <v>71</v>
      </c>
      <c r="N251" s="19"/>
      <c r="O251" s="19" t="s">
        <v>71</v>
      </c>
      <c r="P251" s="19"/>
      <c r="Q251" s="19" t="s">
        <v>71</v>
      </c>
      <c r="R251" s="19"/>
      <c r="S251" s="19" t="s">
        <v>71</v>
      </c>
      <c r="T251" s="19"/>
      <c r="U251" s="19" t="s">
        <v>71</v>
      </c>
      <c r="V251" s="19"/>
      <c r="W251" s="19"/>
      <c r="X251" s="19"/>
      <c r="Y251" s="19" t="s">
        <v>71</v>
      </c>
      <c r="Z251" s="19"/>
      <c r="AA251" s="19" t="s">
        <v>71</v>
      </c>
      <c r="AB251" s="19"/>
      <c r="AC251" s="19" t="s">
        <v>71</v>
      </c>
      <c r="AD251" s="19"/>
      <c r="AE251" s="19" t="s">
        <v>71</v>
      </c>
      <c r="AF251" s="19"/>
      <c r="AG251" s="19" t="s">
        <v>71</v>
      </c>
      <c r="AH251" s="19"/>
      <c r="AI251" s="19" t="s">
        <v>71</v>
      </c>
      <c r="AJ251" s="19"/>
      <c r="AK251" s="19" t="s">
        <v>71</v>
      </c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1" t="e">
        <f>IF(SUM(E251,G251,I251,K251,M251,O251,Q251,S251,U251,W251,Y251,AA251,AC251,AE251,AG251,AI251,AK251,AM251,AO251,AQ251,#REF!)&gt;0,"Sí","No")</f>
        <v>#REF!</v>
      </c>
      <c r="CV251" s="92" t="e">
        <f>IF($CU251="Sí",_xlfn.TEXTJOIN(", ",TRUE,IF(N(E251)&gt;0,E$4,""),IF(N(G251)&gt;0,G$4,""),IF(N(I251)&gt;0,I$4,""),IF(N(K251)&gt;0,K$4,""),IF(N(M251)&gt;0,M$4,""),IF(N(O251)&gt;0,O$4,""),IF(N(Q251)&gt;0,Q$4,""),IF(N(S251)&gt;0,S$4,""),IF(N(U251)&gt;0,U$4,""),IF(N(W251)&gt;0,W$4,""),IF(N(Y251)&gt;0,Y$4,""),IF(N(AA251)&gt;0,AA$4,""),IF(N(AC251)&gt;0,AC$4,""),IF(N(AE251)&gt;0,AE$4,""),IF(N(AG251)&gt;0,AG$4,""),IF(N(AI251)&gt;0,AI$4,""),IF(N(AK251)&gt;0,AK$4,""),IF(N(AM251)&gt;0,AM$4,""),IF(N(AO251)&gt;0,AO$4,""),IF(N(AQ251)&gt;0,AQ$4,""),IF(N(#REF!)&gt;0,#REF!,"")),"")</f>
        <v>#REF!</v>
      </c>
      <c r="CW251" s="11"/>
      <c r="CX251" s="11" t="e">
        <f t="shared" si="13"/>
        <v>#REF!</v>
      </c>
      <c r="CY251" s="12"/>
      <c r="CZ251" s="68"/>
    </row>
    <row r="252" spans="1:104" ht="18" customHeight="1" x14ac:dyDescent="0.3">
      <c r="A252" s="150"/>
      <c r="B252" s="43"/>
      <c r="C252" s="12">
        <v>46270</v>
      </c>
      <c r="D252" s="20">
        <f t="shared" si="12"/>
        <v>0</v>
      </c>
      <c r="E252" s="20" t="str">
        <f t="shared" si="14"/>
        <v/>
      </c>
      <c r="F252" s="20"/>
      <c r="G252" s="20" t="str">
        <f t="shared" si="15"/>
        <v/>
      </c>
      <c r="H252" s="20"/>
      <c r="I252" s="20"/>
      <c r="J252" s="20"/>
      <c r="K252" s="20"/>
      <c r="L252" s="20"/>
      <c r="M252" s="19" t="s">
        <v>71</v>
      </c>
      <c r="N252" s="19"/>
      <c r="O252" s="19" t="s">
        <v>71</v>
      </c>
      <c r="P252" s="19"/>
      <c r="Q252" s="19" t="s">
        <v>71</v>
      </c>
      <c r="R252" s="19"/>
      <c r="S252" s="19" t="s">
        <v>71</v>
      </c>
      <c r="T252" s="19"/>
      <c r="U252" s="19" t="s">
        <v>71</v>
      </c>
      <c r="V252" s="19"/>
      <c r="W252" s="19"/>
      <c r="X252" s="19"/>
      <c r="Y252" s="19" t="s">
        <v>71</v>
      </c>
      <c r="Z252" s="19"/>
      <c r="AA252" s="19" t="s">
        <v>71</v>
      </c>
      <c r="AB252" s="19"/>
      <c r="AC252" s="19" t="s">
        <v>71</v>
      </c>
      <c r="AD252" s="19"/>
      <c r="AE252" s="19" t="s">
        <v>71</v>
      </c>
      <c r="AF252" s="19"/>
      <c r="AG252" s="19" t="s">
        <v>71</v>
      </c>
      <c r="AH252" s="19"/>
      <c r="AI252" s="19" t="s">
        <v>71</v>
      </c>
      <c r="AJ252" s="19"/>
      <c r="AK252" s="19" t="s">
        <v>71</v>
      </c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1" t="e">
        <f>IF(SUM(E252,G252,I252,K252,M252,O252,Q252,S252,U252,W252,Y252,AA252,AC252,AE252,AG252,AI252,AK252,AM252,AO252,AQ252,#REF!)&gt;0,"Sí","No")</f>
        <v>#REF!</v>
      </c>
      <c r="CV252" s="92" t="e">
        <f>IF($CU252="Sí",_xlfn.TEXTJOIN(", ",TRUE,IF(N(E252)&gt;0,E$4,""),IF(N(G252)&gt;0,G$4,""),IF(N(I252)&gt;0,I$4,""),IF(N(K252)&gt;0,K$4,""),IF(N(M252)&gt;0,M$4,""),IF(N(O252)&gt;0,O$4,""),IF(N(Q252)&gt;0,Q$4,""),IF(N(S252)&gt;0,S$4,""),IF(N(U252)&gt;0,U$4,""),IF(N(W252)&gt;0,W$4,""),IF(N(Y252)&gt;0,Y$4,""),IF(N(AA252)&gt;0,AA$4,""),IF(N(AC252)&gt;0,AC$4,""),IF(N(AE252)&gt;0,AE$4,""),IF(N(AG252)&gt;0,AG$4,""),IF(N(AI252)&gt;0,AI$4,""),IF(N(AK252)&gt;0,AK$4,""),IF(N(AM252)&gt;0,AM$4,""),IF(N(AO252)&gt;0,AO$4,""),IF(N(AQ252)&gt;0,AQ$4,""),IF(N(#REF!)&gt;0,#REF!,"")),"")</f>
        <v>#REF!</v>
      </c>
      <c r="CW252" s="11"/>
      <c r="CX252" s="11" t="e">
        <f t="shared" si="13"/>
        <v>#REF!</v>
      </c>
      <c r="CY252" s="12"/>
      <c r="CZ252" s="68"/>
    </row>
    <row r="253" spans="1:104" ht="18" customHeight="1" x14ac:dyDescent="0.3">
      <c r="A253" s="150"/>
      <c r="B253" s="43"/>
      <c r="C253" s="12">
        <v>46271</v>
      </c>
      <c r="D253" s="20">
        <f t="shared" si="12"/>
        <v>0</v>
      </c>
      <c r="E253" s="20" t="str">
        <f t="shared" si="14"/>
        <v/>
      </c>
      <c r="F253" s="20"/>
      <c r="G253" s="20" t="str">
        <f t="shared" si="15"/>
        <v/>
      </c>
      <c r="H253" s="20"/>
      <c r="I253" s="20"/>
      <c r="J253" s="20"/>
      <c r="K253" s="20"/>
      <c r="L253" s="20"/>
      <c r="M253" s="19" t="s">
        <v>71</v>
      </c>
      <c r="N253" s="19"/>
      <c r="O253" s="19" t="s">
        <v>71</v>
      </c>
      <c r="P253" s="19"/>
      <c r="Q253" s="19" t="s">
        <v>71</v>
      </c>
      <c r="R253" s="19"/>
      <c r="S253" s="19" t="s">
        <v>71</v>
      </c>
      <c r="T253" s="19"/>
      <c r="U253" s="19" t="s">
        <v>71</v>
      </c>
      <c r="V253" s="19"/>
      <c r="W253" s="19"/>
      <c r="X253" s="19"/>
      <c r="Y253" s="19" t="s">
        <v>71</v>
      </c>
      <c r="Z253" s="19"/>
      <c r="AA253" s="19" t="s">
        <v>71</v>
      </c>
      <c r="AB253" s="19"/>
      <c r="AC253" s="19" t="s">
        <v>71</v>
      </c>
      <c r="AD253" s="19"/>
      <c r="AE253" s="19" t="s">
        <v>71</v>
      </c>
      <c r="AF253" s="19"/>
      <c r="AG253" s="19" t="s">
        <v>71</v>
      </c>
      <c r="AH253" s="19"/>
      <c r="AI253" s="19" t="s">
        <v>71</v>
      </c>
      <c r="AJ253" s="19"/>
      <c r="AK253" s="19" t="s">
        <v>71</v>
      </c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1" t="e">
        <f>IF(SUM(E253,G253,I253,K253,M253,O253,Q253,S253,U253,W253,Y253,AA253,AC253,AE253,AG253,AI253,AK253,AM253,AO253,AQ253,#REF!)&gt;0,"Sí","No")</f>
        <v>#REF!</v>
      </c>
      <c r="CV253" s="92" t="e">
        <f>IF($CU253="Sí",_xlfn.TEXTJOIN(", ",TRUE,IF(N(E253)&gt;0,E$4,""),IF(N(G253)&gt;0,G$4,""),IF(N(I253)&gt;0,I$4,""),IF(N(K253)&gt;0,K$4,""),IF(N(M253)&gt;0,M$4,""),IF(N(O253)&gt;0,O$4,""),IF(N(Q253)&gt;0,Q$4,""),IF(N(S253)&gt;0,S$4,""),IF(N(U253)&gt;0,U$4,""),IF(N(W253)&gt;0,W$4,""),IF(N(Y253)&gt;0,Y$4,""),IF(N(AA253)&gt;0,AA$4,""),IF(N(AC253)&gt;0,AC$4,""),IF(N(AE253)&gt;0,AE$4,""),IF(N(AG253)&gt;0,AG$4,""),IF(N(AI253)&gt;0,AI$4,""),IF(N(AK253)&gt;0,AK$4,""),IF(N(AM253)&gt;0,AM$4,""),IF(N(AO253)&gt;0,AO$4,""),IF(N(AQ253)&gt;0,AQ$4,""),IF(N(#REF!)&gt;0,#REF!,"")),"")</f>
        <v>#REF!</v>
      </c>
      <c r="CW253" s="11"/>
      <c r="CX253" s="11" t="e">
        <f t="shared" si="13"/>
        <v>#REF!</v>
      </c>
      <c r="CY253" s="12"/>
      <c r="CZ253" s="68"/>
    </row>
    <row r="254" spans="1:104" ht="18" customHeight="1" x14ac:dyDescent="0.3">
      <c r="A254" s="150"/>
      <c r="B254" s="43"/>
      <c r="C254" s="12">
        <v>46272</v>
      </c>
      <c r="D254" s="20">
        <f t="shared" si="12"/>
        <v>0</v>
      </c>
      <c r="E254" s="20" t="str">
        <f t="shared" si="14"/>
        <v/>
      </c>
      <c r="F254" s="20"/>
      <c r="G254" s="20" t="str">
        <f t="shared" si="15"/>
        <v/>
      </c>
      <c r="H254" s="20"/>
      <c r="I254" s="20"/>
      <c r="J254" s="20"/>
      <c r="K254" s="20"/>
      <c r="L254" s="20"/>
      <c r="M254" s="19" t="s">
        <v>71</v>
      </c>
      <c r="N254" s="19"/>
      <c r="O254" s="19" t="s">
        <v>71</v>
      </c>
      <c r="P254" s="19"/>
      <c r="Q254" s="19" t="s">
        <v>71</v>
      </c>
      <c r="R254" s="19"/>
      <c r="S254" s="19" t="s">
        <v>71</v>
      </c>
      <c r="T254" s="19"/>
      <c r="U254" s="19" t="s">
        <v>71</v>
      </c>
      <c r="V254" s="19"/>
      <c r="W254" s="19"/>
      <c r="X254" s="19"/>
      <c r="Y254" s="19" t="s">
        <v>71</v>
      </c>
      <c r="Z254" s="19"/>
      <c r="AA254" s="19" t="s">
        <v>71</v>
      </c>
      <c r="AB254" s="19"/>
      <c r="AC254" s="19" t="s">
        <v>71</v>
      </c>
      <c r="AD254" s="19"/>
      <c r="AE254" s="19" t="s">
        <v>71</v>
      </c>
      <c r="AF254" s="19"/>
      <c r="AG254" s="19" t="s">
        <v>71</v>
      </c>
      <c r="AH254" s="19"/>
      <c r="AI254" s="19" t="s">
        <v>71</v>
      </c>
      <c r="AJ254" s="19"/>
      <c r="AK254" s="19" t="s">
        <v>71</v>
      </c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1" t="e">
        <f>IF(SUM(E254,G254,I254,K254,M254,O254,Q254,S254,U254,W254,Y254,AA254,AC254,AE254,AG254,AI254,AK254,AM254,AO254,AQ254,#REF!)&gt;0,"Sí","No")</f>
        <v>#REF!</v>
      </c>
      <c r="CV254" s="92" t="e">
        <f>IF($CU254="Sí",_xlfn.TEXTJOIN(", ",TRUE,IF(N(E254)&gt;0,E$4,""),IF(N(G254)&gt;0,G$4,""),IF(N(I254)&gt;0,I$4,""),IF(N(K254)&gt;0,K$4,""),IF(N(M254)&gt;0,M$4,""),IF(N(O254)&gt;0,O$4,""),IF(N(Q254)&gt;0,Q$4,""),IF(N(S254)&gt;0,S$4,""),IF(N(U254)&gt;0,U$4,""),IF(N(W254)&gt;0,W$4,""),IF(N(Y254)&gt;0,Y$4,""),IF(N(AA254)&gt;0,AA$4,""),IF(N(AC254)&gt;0,AC$4,""),IF(N(AE254)&gt;0,AE$4,""),IF(N(AG254)&gt;0,AG$4,""),IF(N(AI254)&gt;0,AI$4,""),IF(N(AK254)&gt;0,AK$4,""),IF(N(AM254)&gt;0,AM$4,""),IF(N(AO254)&gt;0,AO$4,""),IF(N(AQ254)&gt;0,AQ$4,""),IF(N(#REF!)&gt;0,#REF!,"")),"")</f>
        <v>#REF!</v>
      </c>
      <c r="CW254" s="11"/>
      <c r="CX254" s="11" t="e">
        <f t="shared" si="13"/>
        <v>#REF!</v>
      </c>
      <c r="CY254" s="12"/>
      <c r="CZ254" s="68"/>
    </row>
    <row r="255" spans="1:104" ht="18" customHeight="1" x14ac:dyDescent="0.3">
      <c r="A255" s="150"/>
      <c r="B255" s="43"/>
      <c r="C255" s="12">
        <v>46273</v>
      </c>
      <c r="D255" s="20">
        <f t="shared" si="12"/>
        <v>0</v>
      </c>
      <c r="E255" s="20" t="str">
        <f t="shared" si="14"/>
        <v/>
      </c>
      <c r="F255" s="20"/>
      <c r="G255" s="20" t="str">
        <f t="shared" si="15"/>
        <v/>
      </c>
      <c r="H255" s="20"/>
      <c r="I255" s="20"/>
      <c r="J255" s="20"/>
      <c r="K255" s="20"/>
      <c r="L255" s="20"/>
      <c r="M255" s="19" t="s">
        <v>71</v>
      </c>
      <c r="N255" s="19"/>
      <c r="O255" s="19" t="s">
        <v>71</v>
      </c>
      <c r="P255" s="19"/>
      <c r="Q255" s="19" t="s">
        <v>71</v>
      </c>
      <c r="R255" s="19"/>
      <c r="S255" s="19" t="s">
        <v>71</v>
      </c>
      <c r="T255" s="19"/>
      <c r="U255" s="19" t="s">
        <v>71</v>
      </c>
      <c r="V255" s="19"/>
      <c r="W255" s="19"/>
      <c r="X255" s="19"/>
      <c r="Y255" s="19" t="s">
        <v>71</v>
      </c>
      <c r="Z255" s="19"/>
      <c r="AA255" s="19" t="s">
        <v>71</v>
      </c>
      <c r="AB255" s="19"/>
      <c r="AC255" s="19" t="s">
        <v>71</v>
      </c>
      <c r="AD255" s="19"/>
      <c r="AE255" s="19" t="s">
        <v>71</v>
      </c>
      <c r="AF255" s="19"/>
      <c r="AG255" s="19" t="s">
        <v>71</v>
      </c>
      <c r="AH255" s="19"/>
      <c r="AI255" s="19" t="s">
        <v>71</v>
      </c>
      <c r="AJ255" s="19"/>
      <c r="AK255" s="19" t="s">
        <v>71</v>
      </c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1" t="e">
        <f>IF(SUM(E255,G255,I255,K255,M255,O255,Q255,S255,U255,W255,Y255,AA255,AC255,AE255,AG255,AI255,AK255,AM255,AO255,AQ255,#REF!)&gt;0,"Sí","No")</f>
        <v>#REF!</v>
      </c>
      <c r="CV255" s="92" t="e">
        <f>IF($CU255="Sí",_xlfn.TEXTJOIN(", ",TRUE,IF(N(E255)&gt;0,E$4,""),IF(N(G255)&gt;0,G$4,""),IF(N(I255)&gt;0,I$4,""),IF(N(K255)&gt;0,K$4,""),IF(N(M255)&gt;0,M$4,""),IF(N(O255)&gt;0,O$4,""),IF(N(Q255)&gt;0,Q$4,""),IF(N(S255)&gt;0,S$4,""),IF(N(U255)&gt;0,U$4,""),IF(N(W255)&gt;0,W$4,""),IF(N(Y255)&gt;0,Y$4,""),IF(N(AA255)&gt;0,AA$4,""),IF(N(AC255)&gt;0,AC$4,""),IF(N(AE255)&gt;0,AE$4,""),IF(N(AG255)&gt;0,AG$4,""),IF(N(AI255)&gt;0,AI$4,""),IF(N(AK255)&gt;0,AK$4,""),IF(N(AM255)&gt;0,AM$4,""),IF(N(AO255)&gt;0,AO$4,""),IF(N(AQ255)&gt;0,AQ$4,""),IF(N(#REF!)&gt;0,#REF!,"")),"")</f>
        <v>#REF!</v>
      </c>
      <c r="CW255" s="11"/>
      <c r="CX255" s="11" t="e">
        <f t="shared" si="13"/>
        <v>#REF!</v>
      </c>
      <c r="CY255" s="12"/>
      <c r="CZ255" s="68"/>
    </row>
    <row r="256" spans="1:104" ht="18" customHeight="1" x14ac:dyDescent="0.3">
      <c r="A256" s="150"/>
      <c r="B256" s="43"/>
      <c r="C256" s="12">
        <v>46274</v>
      </c>
      <c r="D256" s="20">
        <f t="shared" si="12"/>
        <v>0</v>
      </c>
      <c r="E256" s="20" t="str">
        <f t="shared" si="14"/>
        <v/>
      </c>
      <c r="F256" s="20"/>
      <c r="G256" s="20" t="str">
        <f t="shared" si="15"/>
        <v/>
      </c>
      <c r="H256" s="20"/>
      <c r="I256" s="20"/>
      <c r="J256" s="20"/>
      <c r="K256" s="20"/>
      <c r="L256" s="20"/>
      <c r="M256" s="19" t="s">
        <v>71</v>
      </c>
      <c r="N256" s="19"/>
      <c r="O256" s="19" t="s">
        <v>71</v>
      </c>
      <c r="P256" s="19"/>
      <c r="Q256" s="19" t="s">
        <v>71</v>
      </c>
      <c r="R256" s="19"/>
      <c r="S256" s="19" t="s">
        <v>71</v>
      </c>
      <c r="T256" s="19"/>
      <c r="U256" s="19" t="s">
        <v>71</v>
      </c>
      <c r="V256" s="19"/>
      <c r="W256" s="19"/>
      <c r="X256" s="19"/>
      <c r="Y256" s="19" t="s">
        <v>71</v>
      </c>
      <c r="Z256" s="19"/>
      <c r="AA256" s="19" t="s">
        <v>71</v>
      </c>
      <c r="AB256" s="19"/>
      <c r="AC256" s="19" t="s">
        <v>71</v>
      </c>
      <c r="AD256" s="19"/>
      <c r="AE256" s="19" t="s">
        <v>71</v>
      </c>
      <c r="AF256" s="19"/>
      <c r="AG256" s="19" t="s">
        <v>71</v>
      </c>
      <c r="AH256" s="19"/>
      <c r="AI256" s="19" t="s">
        <v>71</v>
      </c>
      <c r="AJ256" s="19"/>
      <c r="AK256" s="19" t="s">
        <v>71</v>
      </c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1" t="e">
        <f>IF(SUM(E256,G256,I256,K256,M256,O256,Q256,S256,U256,W256,Y256,AA256,AC256,AE256,AG256,AI256,AK256,AM256,AO256,AQ256,#REF!)&gt;0,"Sí","No")</f>
        <v>#REF!</v>
      </c>
      <c r="CV256" s="92" t="e">
        <f>IF($CU256="Sí",_xlfn.TEXTJOIN(", ",TRUE,IF(N(E256)&gt;0,E$4,""),IF(N(G256)&gt;0,G$4,""),IF(N(I256)&gt;0,I$4,""),IF(N(K256)&gt;0,K$4,""),IF(N(M256)&gt;0,M$4,""),IF(N(O256)&gt;0,O$4,""),IF(N(Q256)&gt;0,Q$4,""),IF(N(S256)&gt;0,S$4,""),IF(N(U256)&gt;0,U$4,""),IF(N(W256)&gt;0,W$4,""),IF(N(Y256)&gt;0,Y$4,""),IF(N(AA256)&gt;0,AA$4,""),IF(N(AC256)&gt;0,AC$4,""),IF(N(AE256)&gt;0,AE$4,""),IF(N(AG256)&gt;0,AG$4,""),IF(N(AI256)&gt;0,AI$4,""),IF(N(AK256)&gt;0,AK$4,""),IF(N(AM256)&gt;0,AM$4,""),IF(N(AO256)&gt;0,AO$4,""),IF(N(AQ256)&gt;0,AQ$4,""),IF(N(#REF!)&gt;0,#REF!,"")),"")</f>
        <v>#REF!</v>
      </c>
      <c r="CW256" s="11"/>
      <c r="CX256" s="11" t="e">
        <f t="shared" si="13"/>
        <v>#REF!</v>
      </c>
      <c r="CY256" s="12"/>
      <c r="CZ256" s="68"/>
    </row>
    <row r="257" spans="1:104" ht="39.6" customHeight="1" x14ac:dyDescent="0.3">
      <c r="A257" s="150"/>
      <c r="B257" s="43"/>
      <c r="C257" s="12">
        <v>46275</v>
      </c>
      <c r="D257" s="20">
        <f t="shared" si="12"/>
        <v>60</v>
      </c>
      <c r="E257" s="20" t="str">
        <f t="shared" si="14"/>
        <v/>
      </c>
      <c r="F257" s="20"/>
      <c r="G257" s="20" t="str">
        <f t="shared" si="15"/>
        <v/>
      </c>
      <c r="H257" s="20"/>
      <c r="I257" s="20"/>
      <c r="J257" s="20"/>
      <c r="K257" s="20"/>
      <c r="L257" s="20"/>
      <c r="M257" s="19">
        <v>10</v>
      </c>
      <c r="N257" s="19">
        <v>20</v>
      </c>
      <c r="O257" s="19">
        <v>10</v>
      </c>
      <c r="P257" s="19">
        <v>20</v>
      </c>
      <c r="Q257" s="19">
        <v>10</v>
      </c>
      <c r="R257" s="19">
        <v>20</v>
      </c>
      <c r="S257" s="19" t="s">
        <v>71</v>
      </c>
      <c r="T257" s="19"/>
      <c r="U257" s="19" t="s">
        <v>71</v>
      </c>
      <c r="V257" s="19"/>
      <c r="W257" s="19"/>
      <c r="X257" s="19"/>
      <c r="Y257" s="19" t="s">
        <v>71</v>
      </c>
      <c r="Z257" s="19"/>
      <c r="AA257" s="19" t="s">
        <v>71</v>
      </c>
      <c r="AB257" s="19"/>
      <c r="AC257" s="19" t="s">
        <v>71</v>
      </c>
      <c r="AD257" s="19"/>
      <c r="AE257" s="19" t="s">
        <v>71</v>
      </c>
      <c r="AF257" s="19"/>
      <c r="AG257" s="19" t="s">
        <v>71</v>
      </c>
      <c r="AH257" s="19"/>
      <c r="AI257" s="19" t="s">
        <v>71</v>
      </c>
      <c r="AJ257" s="19"/>
      <c r="AK257" s="19" t="s">
        <v>71</v>
      </c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1" t="e">
        <f>IF(SUM(E257,G257,I257,K257,M257,O257,Q257,S257,U257,W257,Y257,AA257,AC257,AE257,AG257,AI257,AK257,AM257,AO257,AQ257,#REF!)&gt;0,"Sí","No")</f>
        <v>#REF!</v>
      </c>
      <c r="CV257" s="109" t="e">
        <f>IF($CU257="Sí",_xlfn.TEXTJOIN(", ",TRUE,IF(N(E257)&gt;0,E$4,""),IF(N(G257)&gt;0,G$4,""),IF(N(I257)&gt;0,I$4,""),IF(N(K257)&gt;0,K$4,""),IF(N(M257)&gt;0,M$4,""),IF(N(O257)&gt;0,O$4,""),IF(N(Q257)&gt;0,Q$4,""),IF(N(S257)&gt;0,S$4,""),IF(N(U257)&gt;0,U$4,""),IF(N(W257)&gt;0,W$4,""),IF(N(Y257)&gt;0,Y$4,""),IF(N(AA257)&gt;0,AA$4,""),IF(N(AC257)&gt;0,AC$4,""),IF(N(AE257)&gt;0,AE$4,""),IF(N(AG257)&gt;0,AG$4,""),IF(N(AI257)&gt;0,AI$4,""),IF(N(AK257)&gt;0,AK$4,""),IF(N(AM257)&gt;0,AM$4,""),IF(N(AO257)&gt;0,AO$4,""),IF(N(AQ257)&gt;0,AQ$4,""),IF(N(#REF!)&gt;0,#REF!,"")),"")</f>
        <v>#REF!</v>
      </c>
      <c r="CW257" s="11"/>
      <c r="CX257" s="11" t="e">
        <f t="shared" si="13"/>
        <v>#REF!</v>
      </c>
      <c r="CY257" s="12"/>
      <c r="CZ257" s="68"/>
    </row>
    <row r="258" spans="1:104" ht="18" customHeight="1" x14ac:dyDescent="0.3">
      <c r="A258" s="150"/>
      <c r="B258" s="43"/>
      <c r="C258" s="12">
        <v>46276</v>
      </c>
      <c r="D258" s="20">
        <f t="shared" si="12"/>
        <v>0</v>
      </c>
      <c r="E258" s="20" t="str">
        <f t="shared" si="14"/>
        <v/>
      </c>
      <c r="F258" s="20"/>
      <c r="G258" s="20" t="str">
        <f t="shared" si="15"/>
        <v/>
      </c>
      <c r="H258" s="20"/>
      <c r="I258" s="20"/>
      <c r="J258" s="20"/>
      <c r="K258" s="20"/>
      <c r="L258" s="20"/>
      <c r="M258" s="19" t="s">
        <v>71</v>
      </c>
      <c r="N258" s="19"/>
      <c r="O258" s="19" t="s">
        <v>71</v>
      </c>
      <c r="P258" s="19"/>
      <c r="Q258" s="19" t="s">
        <v>71</v>
      </c>
      <c r="R258" s="19"/>
      <c r="S258" s="19" t="s">
        <v>71</v>
      </c>
      <c r="T258" s="19"/>
      <c r="U258" s="19" t="s">
        <v>71</v>
      </c>
      <c r="V258" s="19"/>
      <c r="W258" s="19"/>
      <c r="X258" s="19"/>
      <c r="Y258" s="19" t="s">
        <v>71</v>
      </c>
      <c r="Z258" s="19"/>
      <c r="AA258" s="19" t="s">
        <v>71</v>
      </c>
      <c r="AB258" s="19"/>
      <c r="AC258" s="19" t="s">
        <v>71</v>
      </c>
      <c r="AD258" s="19"/>
      <c r="AE258" s="19" t="s">
        <v>71</v>
      </c>
      <c r="AF258" s="19"/>
      <c r="AG258" s="19" t="s">
        <v>71</v>
      </c>
      <c r="AH258" s="19"/>
      <c r="AI258" s="19" t="s">
        <v>71</v>
      </c>
      <c r="AJ258" s="19"/>
      <c r="AK258" s="19" t="s">
        <v>71</v>
      </c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1" t="e">
        <f>IF(SUM(E258,G258,I258,K258,M258,O258,Q258,S258,U258,W258,Y258,AA258,AC258,AE258,AG258,AI258,AK258,AM258,AO258,AQ258,#REF!)&gt;0,"Sí","No")</f>
        <v>#REF!</v>
      </c>
      <c r="CV258" s="92" t="e">
        <f>IF($CU258="Sí",_xlfn.TEXTJOIN(", ",TRUE,IF(N(E258)&gt;0,E$4,""),IF(N(G258)&gt;0,G$4,""),IF(N(I258)&gt;0,I$4,""),IF(N(K258)&gt;0,K$4,""),IF(N(M258)&gt;0,M$4,""),IF(N(O258)&gt;0,O$4,""),IF(N(Q258)&gt;0,Q$4,""),IF(N(S258)&gt;0,S$4,""),IF(N(U258)&gt;0,U$4,""),IF(N(W258)&gt;0,W$4,""),IF(N(Y258)&gt;0,Y$4,""),IF(N(AA258)&gt;0,AA$4,""),IF(N(AC258)&gt;0,AC$4,""),IF(N(AE258)&gt;0,AE$4,""),IF(N(AG258)&gt;0,AG$4,""),IF(N(AI258)&gt;0,AI$4,""),IF(N(AK258)&gt;0,AK$4,""),IF(N(AM258)&gt;0,AM$4,""),IF(N(AO258)&gt;0,AO$4,""),IF(N(AQ258)&gt;0,AQ$4,""),IF(N(#REF!)&gt;0,#REF!,"")),"")</f>
        <v>#REF!</v>
      </c>
      <c r="CW258" s="11"/>
      <c r="CX258" s="11" t="e">
        <f t="shared" si="13"/>
        <v>#REF!</v>
      </c>
      <c r="CY258" s="12"/>
      <c r="CZ258" s="68"/>
    </row>
    <row r="259" spans="1:104" ht="18" customHeight="1" x14ac:dyDescent="0.3">
      <c r="A259" s="150"/>
      <c r="B259" s="43"/>
      <c r="C259" s="12">
        <v>46277</v>
      </c>
      <c r="D259" s="20">
        <f t="shared" si="12"/>
        <v>0</v>
      </c>
      <c r="E259" s="20" t="str">
        <f t="shared" si="14"/>
        <v/>
      </c>
      <c r="F259" s="20"/>
      <c r="G259" s="20" t="str">
        <f t="shared" si="15"/>
        <v/>
      </c>
      <c r="H259" s="20"/>
      <c r="I259" s="20"/>
      <c r="J259" s="20"/>
      <c r="K259" s="20"/>
      <c r="L259" s="20"/>
      <c r="M259" s="19" t="s">
        <v>71</v>
      </c>
      <c r="N259" s="19"/>
      <c r="O259" s="19" t="s">
        <v>71</v>
      </c>
      <c r="P259" s="19"/>
      <c r="Q259" s="19" t="s">
        <v>71</v>
      </c>
      <c r="R259" s="19"/>
      <c r="S259" s="19" t="s">
        <v>71</v>
      </c>
      <c r="T259" s="19"/>
      <c r="U259" s="19" t="s">
        <v>71</v>
      </c>
      <c r="V259" s="19"/>
      <c r="W259" s="19"/>
      <c r="X259" s="19"/>
      <c r="Y259" s="19" t="s">
        <v>71</v>
      </c>
      <c r="Z259" s="19"/>
      <c r="AA259" s="19" t="s">
        <v>71</v>
      </c>
      <c r="AB259" s="19"/>
      <c r="AC259" s="19" t="s">
        <v>71</v>
      </c>
      <c r="AD259" s="19"/>
      <c r="AE259" s="19" t="s">
        <v>71</v>
      </c>
      <c r="AF259" s="19"/>
      <c r="AG259" s="19" t="s">
        <v>71</v>
      </c>
      <c r="AH259" s="19"/>
      <c r="AI259" s="19" t="s">
        <v>71</v>
      </c>
      <c r="AJ259" s="19"/>
      <c r="AK259" s="19" t="s">
        <v>71</v>
      </c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1" t="e">
        <f>IF(SUM(E259,G259,I259,K259,M259,O259,Q259,S259,U259,W259,Y259,AA259,AC259,AE259,AG259,AI259,AK259,AM259,AO259,AQ259,#REF!)&gt;0,"Sí","No")</f>
        <v>#REF!</v>
      </c>
      <c r="CV259" s="92" t="e">
        <f>IF($CU259="Sí",_xlfn.TEXTJOIN(", ",TRUE,IF(N(E259)&gt;0,E$4,""),IF(N(G259)&gt;0,G$4,""),IF(N(I259)&gt;0,I$4,""),IF(N(K259)&gt;0,K$4,""),IF(N(M259)&gt;0,M$4,""),IF(N(O259)&gt;0,O$4,""),IF(N(Q259)&gt;0,Q$4,""),IF(N(S259)&gt;0,S$4,""),IF(N(U259)&gt;0,U$4,""),IF(N(W259)&gt;0,W$4,""),IF(N(Y259)&gt;0,Y$4,""),IF(N(AA259)&gt;0,AA$4,""),IF(N(AC259)&gt;0,AC$4,""),IF(N(AE259)&gt;0,AE$4,""),IF(N(AG259)&gt;0,AG$4,""),IF(N(AI259)&gt;0,AI$4,""),IF(N(AK259)&gt;0,AK$4,""),IF(N(AM259)&gt;0,AM$4,""),IF(N(AO259)&gt;0,AO$4,""),IF(N(AQ259)&gt;0,AQ$4,""),IF(N(#REF!)&gt;0,#REF!,"")),"")</f>
        <v>#REF!</v>
      </c>
      <c r="CW259" s="11"/>
      <c r="CX259" s="11" t="e">
        <f t="shared" si="13"/>
        <v>#REF!</v>
      </c>
      <c r="CY259" s="12"/>
      <c r="CZ259" s="68"/>
    </row>
    <row r="260" spans="1:104" ht="18" customHeight="1" x14ac:dyDescent="0.3">
      <c r="A260" s="150"/>
      <c r="B260" s="43"/>
      <c r="C260" s="12">
        <v>46278</v>
      </c>
      <c r="D260" s="20">
        <f t="shared" si="12"/>
        <v>0</v>
      </c>
      <c r="E260" s="20" t="str">
        <f t="shared" si="14"/>
        <v/>
      </c>
      <c r="F260" s="20"/>
      <c r="G260" s="20" t="str">
        <f t="shared" si="15"/>
        <v/>
      </c>
      <c r="H260" s="20"/>
      <c r="I260" s="20"/>
      <c r="J260" s="20"/>
      <c r="K260" s="20"/>
      <c r="L260" s="20"/>
      <c r="M260" s="19" t="s">
        <v>71</v>
      </c>
      <c r="N260" s="19"/>
      <c r="O260" s="19" t="s">
        <v>71</v>
      </c>
      <c r="P260" s="19"/>
      <c r="Q260" s="19" t="s">
        <v>71</v>
      </c>
      <c r="R260" s="19"/>
      <c r="S260" s="26" t="s">
        <v>71</v>
      </c>
      <c r="T260" s="26"/>
      <c r="U260" s="19" t="s">
        <v>71</v>
      </c>
      <c r="V260" s="19"/>
      <c r="W260" s="19"/>
      <c r="X260" s="19"/>
      <c r="Y260" s="19" t="s">
        <v>71</v>
      </c>
      <c r="Z260" s="19"/>
      <c r="AA260" s="26" t="s">
        <v>71</v>
      </c>
      <c r="AB260" s="26"/>
      <c r="AC260" s="26" t="s">
        <v>71</v>
      </c>
      <c r="AD260" s="26"/>
      <c r="AE260" s="26" t="s">
        <v>71</v>
      </c>
      <c r="AF260" s="26"/>
      <c r="AG260" s="26" t="s">
        <v>71</v>
      </c>
      <c r="AH260" s="26"/>
      <c r="AI260" s="26" t="s">
        <v>71</v>
      </c>
      <c r="AJ260" s="26"/>
      <c r="AK260" s="26" t="s">
        <v>71</v>
      </c>
      <c r="AL260" s="26"/>
      <c r="AM260" s="26"/>
      <c r="AN260" s="26"/>
      <c r="AO260" s="26"/>
      <c r="AP260" s="26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1" t="e">
        <f>IF(SUM(E260,G260,I260,K260,M260,O260,Q260,S260,U260,W260,Y260,AA260,AC260,AE260,AG260,AI260,AK260,AM260,AO260,AQ260,#REF!)&gt;0,"Sí","No")</f>
        <v>#REF!</v>
      </c>
      <c r="CV260" s="92" t="e">
        <f>IF($CU260="Sí",_xlfn.TEXTJOIN(", ",TRUE,IF(N(E260)&gt;0,E$4,""),IF(N(G260)&gt;0,G$4,""),IF(N(I260)&gt;0,I$4,""),IF(N(K260)&gt;0,K$4,""),IF(N(M260)&gt;0,M$4,""),IF(N(O260)&gt;0,O$4,""),IF(N(Q260)&gt;0,Q$4,""),IF(N(S260)&gt;0,S$4,""),IF(N(U260)&gt;0,U$4,""),IF(N(W260)&gt;0,W$4,""),IF(N(Y260)&gt;0,Y$4,""),IF(N(AA260)&gt;0,AA$4,""),IF(N(AC260)&gt;0,AC$4,""),IF(N(AE260)&gt;0,AE$4,""),IF(N(AG260)&gt;0,AG$4,""),IF(N(AI260)&gt;0,AI$4,""),IF(N(AK260)&gt;0,AK$4,""),IF(N(AM260)&gt;0,AM$4,""),IF(N(AO260)&gt;0,AO$4,""),IF(N(AQ260)&gt;0,AQ$4,""),IF(N(#REF!)&gt;0,#REF!,"")),"")</f>
        <v>#REF!</v>
      </c>
      <c r="CW260" s="11"/>
      <c r="CX260" s="11" t="e">
        <f t="shared" si="13"/>
        <v>#REF!</v>
      </c>
      <c r="CY260" s="12"/>
      <c r="CZ260" s="68"/>
    </row>
    <row r="261" spans="1:104" ht="18" customHeight="1" x14ac:dyDescent="0.3">
      <c r="A261" s="150"/>
      <c r="B261" s="43"/>
      <c r="C261" s="12">
        <v>46279</v>
      </c>
      <c r="D261" s="20">
        <f t="shared" ref="D261:D324" si="16">+F261+H261+J261+L261+N261+P261+R261+Z261+AB261+AD261+AF261+AH261+AJ261+AL261+AN261+AP261</f>
        <v>0</v>
      </c>
      <c r="E261" s="20" t="str">
        <f t="shared" si="14"/>
        <v/>
      </c>
      <c r="F261" s="20"/>
      <c r="G261" s="20" t="str">
        <f t="shared" si="15"/>
        <v/>
      </c>
      <c r="H261" s="20"/>
      <c r="I261" s="20"/>
      <c r="J261" s="20"/>
      <c r="K261" s="20"/>
      <c r="L261" s="20"/>
      <c r="M261" s="19" t="s">
        <v>71</v>
      </c>
      <c r="N261" s="19"/>
      <c r="O261" s="19" t="s">
        <v>71</v>
      </c>
      <c r="P261" s="19"/>
      <c r="Q261" s="19" t="s">
        <v>71</v>
      </c>
      <c r="R261" s="19"/>
      <c r="S261" s="19" t="s">
        <v>71</v>
      </c>
      <c r="T261" s="19"/>
      <c r="U261" s="19" t="s">
        <v>71</v>
      </c>
      <c r="V261" s="19"/>
      <c r="W261" s="19"/>
      <c r="X261" s="19"/>
      <c r="Y261" s="19" t="s">
        <v>71</v>
      </c>
      <c r="Z261" s="19"/>
      <c r="AA261" s="19" t="s">
        <v>71</v>
      </c>
      <c r="AB261" s="19"/>
      <c r="AC261" s="19" t="s">
        <v>71</v>
      </c>
      <c r="AD261" s="19"/>
      <c r="AE261" s="19" t="s">
        <v>71</v>
      </c>
      <c r="AF261" s="19"/>
      <c r="AG261" s="19" t="s">
        <v>71</v>
      </c>
      <c r="AH261" s="19"/>
      <c r="AI261" s="19" t="s">
        <v>71</v>
      </c>
      <c r="AJ261" s="19"/>
      <c r="AK261" s="19" t="s">
        <v>71</v>
      </c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>
        <v>12</v>
      </c>
      <c r="BX261" s="19">
        <v>20</v>
      </c>
      <c r="BY261" s="19">
        <v>12</v>
      </c>
      <c r="BZ261" s="19">
        <v>20</v>
      </c>
      <c r="CA261" s="19">
        <v>12</v>
      </c>
      <c r="CB261" s="19">
        <v>20</v>
      </c>
      <c r="CC261" s="19"/>
      <c r="CD261" s="19"/>
      <c r="CE261" s="19" t="s">
        <v>71</v>
      </c>
      <c r="CF261" s="19"/>
      <c r="CG261" s="19" t="s">
        <v>71</v>
      </c>
      <c r="CH261" s="19"/>
      <c r="CI261" s="19" t="s">
        <v>71</v>
      </c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1" t="e">
        <f>IF(SUM(E261,G261,I261,K261,M261,O261,Q261,S261,U261,W261,Y261,AA261,AC261,AE261,AG261,AI261,AK261,AM261,AO261,AQ261,#REF!)&gt;0,"Sí","No")</f>
        <v>#REF!</v>
      </c>
      <c r="CV261" s="92" t="e">
        <f>IF($CU261="Sí",_xlfn.TEXTJOIN(", ",TRUE,IF(N(E261)&gt;0,E$4,""),IF(N(G261)&gt;0,G$4,""),IF(N(I261)&gt;0,I$4,""),IF(N(K261)&gt;0,K$4,""),IF(N(M261)&gt;0,M$4,""),IF(N(O261)&gt;0,O$4,""),IF(N(Q261)&gt;0,Q$4,""),IF(N(S261)&gt;0,S$4,""),IF(N(U261)&gt;0,U$4,""),IF(N(W261)&gt;0,W$4,""),IF(N(Y261)&gt;0,Y$4,""),IF(N(AA261)&gt;0,AA$4,""),IF(N(AC261)&gt;0,AC$4,""),IF(N(AE261)&gt;0,AE$4,""),IF(N(AG261)&gt;0,AG$4,""),IF(N(AI261)&gt;0,AI$4,""),IF(N(AK261)&gt;0,AK$4,""),IF(N(AM261)&gt;0,AM$4,""),IF(N(AO261)&gt;0,AO$4,""),IF(N(AQ261)&gt;0,AQ$4,""),IF(N(#REF!)&gt;0,#REF!,"")),"")</f>
        <v>#REF!</v>
      </c>
      <c r="CW261" s="11"/>
      <c r="CX261" s="11" t="e">
        <f t="shared" si="13"/>
        <v>#REF!</v>
      </c>
      <c r="CY261" s="12"/>
      <c r="CZ261" s="68"/>
    </row>
    <row r="262" spans="1:104" ht="18" customHeight="1" x14ac:dyDescent="0.3">
      <c r="A262" s="150"/>
      <c r="B262" s="43"/>
      <c r="C262" s="12">
        <v>46280</v>
      </c>
      <c r="D262" s="20">
        <f t="shared" si="16"/>
        <v>48</v>
      </c>
      <c r="E262" s="20" t="str">
        <f t="shared" si="14"/>
        <v/>
      </c>
      <c r="F262" s="20"/>
      <c r="G262" s="20" t="str">
        <f t="shared" si="15"/>
        <v/>
      </c>
      <c r="H262" s="20"/>
      <c r="I262" s="20"/>
      <c r="J262" s="20"/>
      <c r="K262" s="20"/>
      <c r="L262" s="20"/>
      <c r="M262" s="19" t="s">
        <v>71</v>
      </c>
      <c r="N262" s="19"/>
      <c r="O262" s="19" t="s">
        <v>71</v>
      </c>
      <c r="P262" s="19"/>
      <c r="Q262" s="19" t="s">
        <v>71</v>
      </c>
      <c r="R262" s="19"/>
      <c r="S262" s="19" t="s">
        <v>71</v>
      </c>
      <c r="T262" s="19"/>
      <c r="U262" s="19" t="s">
        <v>71</v>
      </c>
      <c r="V262" s="19"/>
      <c r="W262" s="19"/>
      <c r="X262" s="19"/>
      <c r="Y262" s="19" t="s">
        <v>71</v>
      </c>
      <c r="Z262" s="19"/>
      <c r="AA262" s="19" t="s">
        <v>71</v>
      </c>
      <c r="AB262" s="19"/>
      <c r="AC262" s="19" t="s">
        <v>71</v>
      </c>
      <c r="AD262" s="19"/>
      <c r="AE262" s="19" t="s">
        <v>71</v>
      </c>
      <c r="AF262" s="19"/>
      <c r="AG262" s="19" t="s">
        <v>71</v>
      </c>
      <c r="AH262" s="19"/>
      <c r="AI262" s="19" t="s">
        <v>71</v>
      </c>
      <c r="AJ262" s="19"/>
      <c r="AK262" s="19" t="s">
        <v>71</v>
      </c>
      <c r="AL262" s="19"/>
      <c r="AM262" s="19">
        <v>12</v>
      </c>
      <c r="AN262" s="19">
        <v>24</v>
      </c>
      <c r="AO262" s="19">
        <v>12</v>
      </c>
      <c r="AP262" s="19">
        <v>24</v>
      </c>
      <c r="AQ262" s="19">
        <v>12</v>
      </c>
      <c r="AR262" s="19">
        <v>24</v>
      </c>
      <c r="AS262" s="19">
        <v>12</v>
      </c>
      <c r="AT262" s="19">
        <v>24</v>
      </c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>
        <v>10</v>
      </c>
      <c r="BH262" s="19">
        <v>20</v>
      </c>
      <c r="BI262" s="19">
        <v>10</v>
      </c>
      <c r="BJ262" s="19">
        <v>20</v>
      </c>
      <c r="BK262" s="19">
        <v>10</v>
      </c>
      <c r="BL262" s="19">
        <v>20</v>
      </c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 t="s">
        <v>71</v>
      </c>
      <c r="CF262" s="19"/>
      <c r="CG262" s="19" t="s">
        <v>71</v>
      </c>
      <c r="CH262" s="19"/>
      <c r="CI262" s="19" t="s">
        <v>71</v>
      </c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1" t="e">
        <f>IF(SUM(E262,G262,I262,K262,M262,O262,Q262,S262,U262,W262,Y262,AA262,AC262,AE262,AG262,AI262,AK262,AM262,AO262,AQ262,#REF!)&gt;0,"Sí","No")</f>
        <v>#REF!</v>
      </c>
      <c r="CV262" s="92" t="e">
        <f>IF($CU262="Sí",_xlfn.TEXTJOIN(", ",TRUE,IF(N(E262)&gt;0,E$4,""),IF(N(G262)&gt;0,G$4,""),IF(N(I262)&gt;0,I$4,""),IF(N(K262)&gt;0,K$4,""),IF(N(M262)&gt;0,M$4,""),IF(N(O262)&gt;0,O$4,""),IF(N(Q262)&gt;0,Q$4,""),IF(N(S262)&gt;0,S$4,""),IF(N(U262)&gt;0,U$4,""),IF(N(W262)&gt;0,W$4,""),IF(N(Y262)&gt;0,Y$4,""),IF(N(AA262)&gt;0,AA$4,""),IF(N(AC262)&gt;0,AC$4,""),IF(N(AE262)&gt;0,AE$4,""),IF(N(AG262)&gt;0,AG$4,""),IF(N(AI262)&gt;0,AI$4,""),IF(N(AK262)&gt;0,AK$4,""),IF(N(AM262)&gt;0,AM$4,""),IF(N(AO262)&gt;0,AO$4,""),IF(N(AQ262)&gt;0,AQ$4,""),IF(N(#REF!)&gt;0,#REF!,"")),"")</f>
        <v>#REF!</v>
      </c>
      <c r="CW262" s="11"/>
      <c r="CX262" s="11" t="e">
        <f t="shared" ref="CX262:CX325" si="17">IF($CU262="No","No aplica",IF($CW262="Sí","Ejecutado","Programado pendiente"))</f>
        <v>#REF!</v>
      </c>
      <c r="CY262" s="12"/>
      <c r="CZ262" s="68"/>
    </row>
    <row r="263" spans="1:104" ht="18" customHeight="1" x14ac:dyDescent="0.3">
      <c r="A263" s="150"/>
      <c r="B263" s="43"/>
      <c r="C263" s="12">
        <v>46281</v>
      </c>
      <c r="D263" s="20">
        <f t="shared" si="16"/>
        <v>0</v>
      </c>
      <c r="E263" s="20" t="str">
        <f t="shared" si="14"/>
        <v/>
      </c>
      <c r="F263" s="20"/>
      <c r="G263" s="20" t="str">
        <f t="shared" si="15"/>
        <v/>
      </c>
      <c r="H263" s="20"/>
      <c r="I263" s="20"/>
      <c r="J263" s="20"/>
      <c r="K263" s="20"/>
      <c r="L263" s="20"/>
      <c r="M263" s="19" t="s">
        <v>71</v>
      </c>
      <c r="N263" s="19"/>
      <c r="O263" s="19" t="s">
        <v>71</v>
      </c>
      <c r="P263" s="19"/>
      <c r="Q263" s="19" t="s">
        <v>71</v>
      </c>
      <c r="R263" s="19"/>
      <c r="S263" s="19" t="s">
        <v>71</v>
      </c>
      <c r="T263" s="19"/>
      <c r="U263" s="19" t="s">
        <v>71</v>
      </c>
      <c r="V263" s="19"/>
      <c r="W263" s="19"/>
      <c r="X263" s="19"/>
      <c r="Y263" s="19" t="s">
        <v>71</v>
      </c>
      <c r="Z263" s="19"/>
      <c r="AA263" s="19" t="s">
        <v>71</v>
      </c>
      <c r="AB263" s="19"/>
      <c r="AC263" s="19" t="s">
        <v>71</v>
      </c>
      <c r="AD263" s="19"/>
      <c r="AE263" s="19" t="s">
        <v>71</v>
      </c>
      <c r="AF263" s="19"/>
      <c r="AG263" s="19" t="s">
        <v>71</v>
      </c>
      <c r="AH263" s="19"/>
      <c r="AI263" s="19" t="s">
        <v>71</v>
      </c>
      <c r="AJ263" s="19"/>
      <c r="AK263" s="19" t="s">
        <v>71</v>
      </c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 t="s">
        <v>71</v>
      </c>
      <c r="CF263" s="19"/>
      <c r="CG263" s="19" t="s">
        <v>71</v>
      </c>
      <c r="CH263" s="19"/>
      <c r="CI263" s="19" t="s">
        <v>71</v>
      </c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1" t="e">
        <f>IF(SUM(E263,G263,I263,K263,M263,O263,Q263,S263,U263,W263,Y263,AA263,AC263,AE263,AG263,AI263,AK263,AM263,AO263,AQ263,#REF!)&gt;0,"Sí","No")</f>
        <v>#REF!</v>
      </c>
      <c r="CV263" s="92" t="e">
        <f>IF($CU263="Sí",_xlfn.TEXTJOIN(", ",TRUE,IF(N(E263)&gt;0,E$4,""),IF(N(G263)&gt;0,G$4,""),IF(N(I263)&gt;0,I$4,""),IF(N(K263)&gt;0,K$4,""),IF(N(M263)&gt;0,M$4,""),IF(N(O263)&gt;0,O$4,""),IF(N(Q263)&gt;0,Q$4,""),IF(N(S263)&gt;0,S$4,""),IF(N(U263)&gt;0,U$4,""),IF(N(W263)&gt;0,W$4,""),IF(N(Y263)&gt;0,Y$4,""),IF(N(AA263)&gt;0,AA$4,""),IF(N(AC263)&gt;0,AC$4,""),IF(N(AE263)&gt;0,AE$4,""),IF(N(AG263)&gt;0,AG$4,""),IF(N(AI263)&gt;0,AI$4,""),IF(N(AK263)&gt;0,AK$4,""),IF(N(AM263)&gt;0,AM$4,""),IF(N(AO263)&gt;0,AO$4,""),IF(N(AQ263)&gt;0,AQ$4,""),IF(N(#REF!)&gt;0,#REF!,"")),"")</f>
        <v>#REF!</v>
      </c>
      <c r="CW263" s="11"/>
      <c r="CX263" s="11" t="e">
        <f t="shared" si="17"/>
        <v>#REF!</v>
      </c>
      <c r="CY263" s="12"/>
      <c r="CZ263" s="68"/>
    </row>
    <row r="264" spans="1:104" ht="18" customHeight="1" x14ac:dyDescent="0.3">
      <c r="A264" s="150"/>
      <c r="B264" s="43"/>
      <c r="C264" s="12">
        <v>46282</v>
      </c>
      <c r="D264" s="20">
        <f t="shared" si="16"/>
        <v>0</v>
      </c>
      <c r="E264" s="20" t="str">
        <f t="shared" si="14"/>
        <v/>
      </c>
      <c r="F264" s="20"/>
      <c r="G264" s="20" t="str">
        <f t="shared" si="15"/>
        <v/>
      </c>
      <c r="H264" s="20"/>
      <c r="I264" s="20"/>
      <c r="J264" s="20"/>
      <c r="K264" s="20"/>
      <c r="L264" s="20"/>
      <c r="M264" s="19" t="s">
        <v>71</v>
      </c>
      <c r="N264" s="19"/>
      <c r="O264" s="19" t="s">
        <v>71</v>
      </c>
      <c r="P264" s="19"/>
      <c r="Q264" s="19" t="s">
        <v>71</v>
      </c>
      <c r="R264" s="19"/>
      <c r="S264" s="19" t="s">
        <v>71</v>
      </c>
      <c r="T264" s="19"/>
      <c r="U264" s="19" t="s">
        <v>71</v>
      </c>
      <c r="V264" s="19"/>
      <c r="W264" s="19"/>
      <c r="X264" s="19"/>
      <c r="Y264" s="19" t="s">
        <v>71</v>
      </c>
      <c r="Z264" s="19"/>
      <c r="AA264" s="19" t="s">
        <v>71</v>
      </c>
      <c r="AB264" s="19"/>
      <c r="AC264" s="19" t="s">
        <v>71</v>
      </c>
      <c r="AD264" s="19"/>
      <c r="AE264" s="19" t="s">
        <v>71</v>
      </c>
      <c r="AF264" s="19"/>
      <c r="AG264" s="19" t="s">
        <v>71</v>
      </c>
      <c r="AH264" s="19"/>
      <c r="AI264" s="19" t="s">
        <v>71</v>
      </c>
      <c r="AJ264" s="19"/>
      <c r="AK264" s="19" t="s">
        <v>71</v>
      </c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 t="s">
        <v>71</v>
      </c>
      <c r="CF264" s="19"/>
      <c r="CG264" s="19" t="s">
        <v>71</v>
      </c>
      <c r="CH264" s="19"/>
      <c r="CI264" s="19" t="s">
        <v>71</v>
      </c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1" t="e">
        <f>IF(SUM(E264,G264,I264,K264,M264,O264,Q264,S264,U264,W264,Y264,AA264,AC264,AE264,AG264,AI264,AK264,AM264,AO264,AQ264,#REF!)&gt;0,"Sí","No")</f>
        <v>#REF!</v>
      </c>
      <c r="CV264" s="92" t="e">
        <f>IF($CU264="Sí",_xlfn.TEXTJOIN(", ",TRUE,IF(N(E264)&gt;0,E$4,""),IF(N(G264)&gt;0,G$4,""),IF(N(I264)&gt;0,I$4,""),IF(N(K264)&gt;0,K$4,""),IF(N(M264)&gt;0,M$4,""),IF(N(O264)&gt;0,O$4,""),IF(N(Q264)&gt;0,Q$4,""),IF(N(S264)&gt;0,S$4,""),IF(N(U264)&gt;0,U$4,""),IF(N(W264)&gt;0,W$4,""),IF(N(Y264)&gt;0,Y$4,""),IF(N(AA264)&gt;0,AA$4,""),IF(N(AC264)&gt;0,AC$4,""),IF(N(AE264)&gt;0,AE$4,""),IF(N(AG264)&gt;0,AG$4,""),IF(N(AI264)&gt;0,AI$4,""),IF(N(AK264)&gt;0,AK$4,""),IF(N(AM264)&gt;0,AM$4,""),IF(N(AO264)&gt;0,AO$4,""),IF(N(AQ264)&gt;0,AQ$4,""),IF(N(#REF!)&gt;0,#REF!,"")),"")</f>
        <v>#REF!</v>
      </c>
      <c r="CW264" s="11"/>
      <c r="CX264" s="11" t="e">
        <f t="shared" si="17"/>
        <v>#REF!</v>
      </c>
      <c r="CY264" s="12"/>
      <c r="CZ264" s="68"/>
    </row>
    <row r="265" spans="1:104" ht="18" customHeight="1" x14ac:dyDescent="0.3">
      <c r="A265" s="150"/>
      <c r="B265" s="43"/>
      <c r="C265" s="12">
        <v>46283</v>
      </c>
      <c r="D265" s="20">
        <f t="shared" si="16"/>
        <v>0</v>
      </c>
      <c r="E265" s="20" t="str">
        <f t="shared" si="14"/>
        <v/>
      </c>
      <c r="F265" s="20"/>
      <c r="G265" s="20" t="str">
        <f t="shared" si="15"/>
        <v/>
      </c>
      <c r="H265" s="20"/>
      <c r="I265" s="20"/>
      <c r="J265" s="20"/>
      <c r="K265" s="20"/>
      <c r="L265" s="20"/>
      <c r="M265" s="19" t="s">
        <v>71</v>
      </c>
      <c r="N265" s="19"/>
      <c r="O265" s="19" t="s">
        <v>71</v>
      </c>
      <c r="P265" s="19"/>
      <c r="Q265" s="19" t="s">
        <v>71</v>
      </c>
      <c r="R265" s="19"/>
      <c r="S265" s="19" t="s">
        <v>71</v>
      </c>
      <c r="T265" s="19"/>
      <c r="U265" s="19" t="s">
        <v>71</v>
      </c>
      <c r="V265" s="19"/>
      <c r="W265" s="19"/>
      <c r="X265" s="19"/>
      <c r="Y265" s="19" t="s">
        <v>71</v>
      </c>
      <c r="Z265" s="19"/>
      <c r="AA265" s="19" t="s">
        <v>71</v>
      </c>
      <c r="AB265" s="19"/>
      <c r="AC265" s="19" t="s">
        <v>71</v>
      </c>
      <c r="AD265" s="19"/>
      <c r="AE265" s="19" t="s">
        <v>71</v>
      </c>
      <c r="AF265" s="19"/>
      <c r="AG265" s="19" t="s">
        <v>71</v>
      </c>
      <c r="AH265" s="19"/>
      <c r="AI265" s="19" t="s">
        <v>71</v>
      </c>
      <c r="AJ265" s="19"/>
      <c r="AK265" s="19" t="s">
        <v>71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 t="s">
        <v>71</v>
      </c>
      <c r="CF265" s="19"/>
      <c r="CG265" s="19" t="s">
        <v>71</v>
      </c>
      <c r="CH265" s="19"/>
      <c r="CI265" s="19" t="s">
        <v>71</v>
      </c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1" t="e">
        <f>IF(SUM(E265,G265,I265,K265,M265,O265,Q265,S265,U265,W265,Y265,AA265,AC265,AE265,AG265,AI265,AK265,AM265,AO265,AQ265,#REF!)&gt;0,"Sí","No")</f>
        <v>#REF!</v>
      </c>
      <c r="CV265" s="92" t="e">
        <f>IF($CU265="Sí",_xlfn.TEXTJOIN(", ",TRUE,IF(N(E265)&gt;0,E$4,""),IF(N(G265)&gt;0,G$4,""),IF(N(I265)&gt;0,I$4,""),IF(N(K265)&gt;0,K$4,""),IF(N(M265)&gt;0,M$4,""),IF(N(O265)&gt;0,O$4,""),IF(N(Q265)&gt;0,Q$4,""),IF(N(S265)&gt;0,S$4,""),IF(N(U265)&gt;0,U$4,""),IF(N(W265)&gt;0,W$4,""),IF(N(Y265)&gt;0,Y$4,""),IF(N(AA265)&gt;0,AA$4,""),IF(N(AC265)&gt;0,AC$4,""),IF(N(AE265)&gt;0,AE$4,""),IF(N(AG265)&gt;0,AG$4,""),IF(N(AI265)&gt;0,AI$4,""),IF(N(AK265)&gt;0,AK$4,""),IF(N(AM265)&gt;0,AM$4,""),IF(N(AO265)&gt;0,AO$4,""),IF(N(AQ265)&gt;0,AQ$4,""),IF(N(#REF!)&gt;0,#REF!,"")),"")</f>
        <v>#REF!</v>
      </c>
      <c r="CW265" s="11"/>
      <c r="CX265" s="11" t="e">
        <f t="shared" si="17"/>
        <v>#REF!</v>
      </c>
      <c r="CY265" s="12"/>
      <c r="CZ265" s="68"/>
    </row>
    <row r="266" spans="1:104" ht="18" customHeight="1" x14ac:dyDescent="0.3">
      <c r="A266" s="150"/>
      <c r="B266" s="43"/>
      <c r="C266" s="12">
        <v>46284</v>
      </c>
      <c r="D266" s="20">
        <f t="shared" si="16"/>
        <v>0</v>
      </c>
      <c r="E266" s="20" t="str">
        <f t="shared" si="14"/>
        <v/>
      </c>
      <c r="F266" s="20"/>
      <c r="G266" s="20" t="str">
        <f t="shared" si="15"/>
        <v/>
      </c>
      <c r="H266" s="20"/>
      <c r="I266" s="20"/>
      <c r="J266" s="20"/>
      <c r="K266" s="20"/>
      <c r="L266" s="20"/>
      <c r="M266" s="19" t="s">
        <v>71</v>
      </c>
      <c r="N266" s="19"/>
      <c r="O266" s="19" t="s">
        <v>71</v>
      </c>
      <c r="P266" s="19"/>
      <c r="Q266" s="19" t="s">
        <v>71</v>
      </c>
      <c r="R266" s="19"/>
      <c r="S266" s="19" t="s">
        <v>71</v>
      </c>
      <c r="T266" s="19"/>
      <c r="U266" s="19" t="s">
        <v>71</v>
      </c>
      <c r="V266" s="19"/>
      <c r="W266" s="19"/>
      <c r="X266" s="19"/>
      <c r="Y266" s="19" t="s">
        <v>71</v>
      </c>
      <c r="Z266" s="19"/>
      <c r="AA266" s="19" t="s">
        <v>71</v>
      </c>
      <c r="AB266" s="19"/>
      <c r="AC266" s="19" t="s">
        <v>71</v>
      </c>
      <c r="AD266" s="19"/>
      <c r="AE266" s="19" t="s">
        <v>71</v>
      </c>
      <c r="AF266" s="19"/>
      <c r="AG266" s="19" t="s">
        <v>71</v>
      </c>
      <c r="AH266" s="19"/>
      <c r="AI266" s="19" t="s">
        <v>71</v>
      </c>
      <c r="AJ266" s="19"/>
      <c r="AK266" s="19" t="s">
        <v>71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 t="s">
        <v>71</v>
      </c>
      <c r="CF266" s="19"/>
      <c r="CG266" s="19" t="s">
        <v>71</v>
      </c>
      <c r="CH266" s="19"/>
      <c r="CI266" s="19" t="s">
        <v>71</v>
      </c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1" t="e">
        <f>IF(SUM(E266,G266,I266,K266,M266,O266,Q266,S266,U266,W266,Y266,AA266,AC266,AE266,AG266,AI266,AK266,AM266,AO266,AQ266,#REF!)&gt;0,"Sí","No")</f>
        <v>#REF!</v>
      </c>
      <c r="CV266" s="92" t="e">
        <f>IF($CU266="Sí",_xlfn.TEXTJOIN(", ",TRUE,IF(N(E266)&gt;0,E$4,""),IF(N(G266)&gt;0,G$4,""),IF(N(I266)&gt;0,I$4,""),IF(N(K266)&gt;0,K$4,""),IF(N(M266)&gt;0,M$4,""),IF(N(O266)&gt;0,O$4,""),IF(N(Q266)&gt;0,Q$4,""),IF(N(S266)&gt;0,S$4,""),IF(N(U266)&gt;0,U$4,""),IF(N(W266)&gt;0,W$4,""),IF(N(Y266)&gt;0,Y$4,""),IF(N(AA266)&gt;0,AA$4,""),IF(N(AC266)&gt;0,AC$4,""),IF(N(AE266)&gt;0,AE$4,""),IF(N(AG266)&gt;0,AG$4,""),IF(N(AI266)&gt;0,AI$4,""),IF(N(AK266)&gt;0,AK$4,""),IF(N(AM266)&gt;0,AM$4,""),IF(N(AO266)&gt;0,AO$4,""),IF(N(AQ266)&gt;0,AQ$4,""),IF(N(#REF!)&gt;0,#REF!,"")),"")</f>
        <v>#REF!</v>
      </c>
      <c r="CW266" s="11"/>
      <c r="CX266" s="11" t="e">
        <f t="shared" si="17"/>
        <v>#REF!</v>
      </c>
      <c r="CY266" s="12"/>
      <c r="CZ266" s="68"/>
    </row>
    <row r="267" spans="1:104" ht="18" customHeight="1" x14ac:dyDescent="0.3">
      <c r="A267" s="150"/>
      <c r="B267" s="43"/>
      <c r="C267" s="12">
        <v>46285</v>
      </c>
      <c r="D267" s="20">
        <f t="shared" si="16"/>
        <v>0</v>
      </c>
      <c r="E267" s="20" t="str">
        <f t="shared" si="14"/>
        <v/>
      </c>
      <c r="F267" s="20"/>
      <c r="G267" s="20" t="str">
        <f t="shared" si="15"/>
        <v/>
      </c>
      <c r="H267" s="20"/>
      <c r="I267" s="20"/>
      <c r="J267" s="20"/>
      <c r="K267" s="20"/>
      <c r="L267" s="20"/>
      <c r="M267" s="19" t="s">
        <v>71</v>
      </c>
      <c r="N267" s="19"/>
      <c r="O267" s="19" t="s">
        <v>71</v>
      </c>
      <c r="P267" s="19"/>
      <c r="Q267" s="19" t="s">
        <v>71</v>
      </c>
      <c r="R267" s="19"/>
      <c r="S267" s="19" t="s">
        <v>71</v>
      </c>
      <c r="T267" s="19"/>
      <c r="U267" s="19" t="s">
        <v>71</v>
      </c>
      <c r="V267" s="19"/>
      <c r="W267" s="19"/>
      <c r="X267" s="19"/>
      <c r="Y267" s="19" t="s">
        <v>71</v>
      </c>
      <c r="Z267" s="19"/>
      <c r="AA267" s="19" t="s">
        <v>71</v>
      </c>
      <c r="AB267" s="19"/>
      <c r="AC267" s="19" t="s">
        <v>71</v>
      </c>
      <c r="AD267" s="19"/>
      <c r="AE267" s="19" t="s">
        <v>71</v>
      </c>
      <c r="AF267" s="19"/>
      <c r="AG267" s="19" t="s">
        <v>71</v>
      </c>
      <c r="AH267" s="19"/>
      <c r="AI267" s="19" t="s">
        <v>71</v>
      </c>
      <c r="AJ267" s="19"/>
      <c r="AK267" s="19" t="s">
        <v>71</v>
      </c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 t="s">
        <v>71</v>
      </c>
      <c r="CF267" s="19"/>
      <c r="CG267" s="19" t="s">
        <v>71</v>
      </c>
      <c r="CH267" s="19"/>
      <c r="CI267" s="19" t="s">
        <v>71</v>
      </c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1" t="e">
        <f>IF(SUM(E267,G267,I267,K267,M267,O267,Q267,S267,U267,W267,Y267,AA267,AC267,AE267,AG267,AI267,AK267,AM267,AO267,AQ267,#REF!)&gt;0,"Sí","No")</f>
        <v>#REF!</v>
      </c>
      <c r="CV267" s="92" t="e">
        <f>IF($CU267="Sí",_xlfn.TEXTJOIN(", ",TRUE,IF(N(E267)&gt;0,E$4,""),IF(N(G267)&gt;0,G$4,""),IF(N(I267)&gt;0,I$4,""),IF(N(K267)&gt;0,K$4,""),IF(N(M267)&gt;0,M$4,""),IF(N(O267)&gt;0,O$4,""),IF(N(Q267)&gt;0,Q$4,""),IF(N(S267)&gt;0,S$4,""),IF(N(U267)&gt;0,U$4,""),IF(N(W267)&gt;0,W$4,""),IF(N(Y267)&gt;0,Y$4,""),IF(N(AA267)&gt;0,AA$4,""),IF(N(AC267)&gt;0,AC$4,""),IF(N(AE267)&gt;0,AE$4,""),IF(N(AG267)&gt;0,AG$4,""),IF(N(AI267)&gt;0,AI$4,""),IF(N(AK267)&gt;0,AK$4,""),IF(N(AM267)&gt;0,AM$4,""),IF(N(AO267)&gt;0,AO$4,""),IF(N(AQ267)&gt;0,AQ$4,""),IF(N(#REF!)&gt;0,#REF!,"")),"")</f>
        <v>#REF!</v>
      </c>
      <c r="CW267" s="11"/>
      <c r="CX267" s="11" t="e">
        <f t="shared" si="17"/>
        <v>#REF!</v>
      </c>
      <c r="CY267" s="12"/>
      <c r="CZ267" s="68"/>
    </row>
    <row r="268" spans="1:104" ht="18" customHeight="1" x14ac:dyDescent="0.3">
      <c r="A268" s="150"/>
      <c r="B268" s="43"/>
      <c r="C268" s="12">
        <v>46286</v>
      </c>
      <c r="D268" s="20">
        <f t="shared" si="16"/>
        <v>0</v>
      </c>
      <c r="E268" s="20" t="str">
        <f t="shared" si="14"/>
        <v/>
      </c>
      <c r="F268" s="20"/>
      <c r="G268" s="20" t="str">
        <f t="shared" si="15"/>
        <v/>
      </c>
      <c r="H268" s="20"/>
      <c r="I268" s="20"/>
      <c r="J268" s="20"/>
      <c r="K268" s="20"/>
      <c r="L268" s="20"/>
      <c r="M268" s="19" t="s">
        <v>71</v>
      </c>
      <c r="N268" s="19"/>
      <c r="O268" s="19" t="s">
        <v>71</v>
      </c>
      <c r="P268" s="19"/>
      <c r="Q268" s="19" t="s">
        <v>71</v>
      </c>
      <c r="R268" s="19"/>
      <c r="S268" s="19" t="s">
        <v>71</v>
      </c>
      <c r="T268" s="19"/>
      <c r="U268" s="19" t="s">
        <v>71</v>
      </c>
      <c r="V268" s="19"/>
      <c r="W268" s="19"/>
      <c r="X268" s="19"/>
      <c r="Y268" s="19" t="s">
        <v>71</v>
      </c>
      <c r="Z268" s="19"/>
      <c r="AA268" s="19" t="s">
        <v>71</v>
      </c>
      <c r="AB268" s="19"/>
      <c r="AC268" s="19" t="s">
        <v>71</v>
      </c>
      <c r="AD268" s="19"/>
      <c r="AE268" s="19" t="s">
        <v>71</v>
      </c>
      <c r="AF268" s="19"/>
      <c r="AG268" s="19" t="s">
        <v>71</v>
      </c>
      <c r="AH268" s="19"/>
      <c r="AI268" s="19" t="s">
        <v>71</v>
      </c>
      <c r="AJ268" s="19"/>
      <c r="AK268" s="19" t="s">
        <v>71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 t="s">
        <v>71</v>
      </c>
      <c r="CF268" s="19"/>
      <c r="CG268" s="19" t="s">
        <v>71</v>
      </c>
      <c r="CH268" s="19"/>
      <c r="CI268" s="19" t="s">
        <v>71</v>
      </c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1" t="e">
        <f>IF(SUM(E268,G268,I268,K268,M268,O268,Q268,S268,U268,W268,Y268,AA268,AC268,AE268,AG268,AI268,AK268,AM268,AO268,AQ268,#REF!)&gt;0,"Sí","No")</f>
        <v>#REF!</v>
      </c>
      <c r="CV268" s="92" t="e">
        <f>IF($CU268="Sí",_xlfn.TEXTJOIN(", ",TRUE,IF(N(E268)&gt;0,E$4,""),IF(N(G268)&gt;0,G$4,""),IF(N(I268)&gt;0,I$4,""),IF(N(K268)&gt;0,K$4,""),IF(N(M268)&gt;0,M$4,""),IF(N(O268)&gt;0,O$4,""),IF(N(Q268)&gt;0,Q$4,""),IF(N(S268)&gt;0,S$4,""),IF(N(U268)&gt;0,U$4,""),IF(N(W268)&gt;0,W$4,""),IF(N(Y268)&gt;0,Y$4,""),IF(N(AA268)&gt;0,AA$4,""),IF(N(AC268)&gt;0,AC$4,""),IF(N(AE268)&gt;0,AE$4,""),IF(N(AG268)&gt;0,AG$4,""),IF(N(AI268)&gt;0,AI$4,""),IF(N(AK268)&gt;0,AK$4,""),IF(N(AM268)&gt;0,AM$4,""),IF(N(AO268)&gt;0,AO$4,""),IF(N(AQ268)&gt;0,AQ$4,""),IF(N(#REF!)&gt;0,#REF!,"")),"")</f>
        <v>#REF!</v>
      </c>
      <c r="CW268" s="11"/>
      <c r="CX268" s="11" t="e">
        <f t="shared" si="17"/>
        <v>#REF!</v>
      </c>
      <c r="CY268" s="12"/>
      <c r="CZ268" s="68"/>
    </row>
    <row r="269" spans="1:104" ht="18" customHeight="1" x14ac:dyDescent="0.3">
      <c r="A269" s="150"/>
      <c r="B269" s="43"/>
      <c r="C269" s="12">
        <v>46287</v>
      </c>
      <c r="D269" s="20">
        <f t="shared" si="16"/>
        <v>0</v>
      </c>
      <c r="E269" s="20" t="str">
        <f t="shared" si="14"/>
        <v/>
      </c>
      <c r="F269" s="20"/>
      <c r="G269" s="20" t="str">
        <f t="shared" si="15"/>
        <v/>
      </c>
      <c r="H269" s="20"/>
      <c r="I269" s="20"/>
      <c r="J269" s="20"/>
      <c r="K269" s="20"/>
      <c r="L269" s="20"/>
      <c r="M269" s="19" t="s">
        <v>71</v>
      </c>
      <c r="N269" s="19"/>
      <c r="O269" s="19" t="s">
        <v>71</v>
      </c>
      <c r="P269" s="19"/>
      <c r="Q269" s="19" t="s">
        <v>71</v>
      </c>
      <c r="R269" s="19"/>
      <c r="S269" s="19" t="s">
        <v>71</v>
      </c>
      <c r="T269" s="19"/>
      <c r="U269" s="19" t="s">
        <v>71</v>
      </c>
      <c r="V269" s="19"/>
      <c r="W269" s="19"/>
      <c r="X269" s="19"/>
      <c r="Y269" s="19" t="s">
        <v>71</v>
      </c>
      <c r="Z269" s="19"/>
      <c r="AA269" s="19" t="s">
        <v>71</v>
      </c>
      <c r="AB269" s="19"/>
      <c r="AC269" s="19" t="s">
        <v>71</v>
      </c>
      <c r="AD269" s="19"/>
      <c r="AE269" s="19" t="s">
        <v>71</v>
      </c>
      <c r="AF269" s="19"/>
      <c r="AG269" s="19" t="s">
        <v>71</v>
      </c>
      <c r="AH269" s="19"/>
      <c r="AI269" s="19" t="s">
        <v>71</v>
      </c>
      <c r="AJ269" s="19"/>
      <c r="AK269" s="19" t="s">
        <v>71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 t="s">
        <v>71</v>
      </c>
      <c r="CF269" s="19"/>
      <c r="CG269" s="19" t="s">
        <v>71</v>
      </c>
      <c r="CH269" s="19"/>
      <c r="CI269" s="19" t="s">
        <v>71</v>
      </c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1" t="e">
        <f>IF(SUM(E269,G269,I269,K269,M269,O269,Q269,S269,U269,W269,Y269,AA269,AC269,AE269,AG269,AI269,AK269,AM269,AO269,AQ269,#REF!)&gt;0,"Sí","No")</f>
        <v>#REF!</v>
      </c>
      <c r="CV269" s="92" t="e">
        <f>IF($CU269="Sí",_xlfn.TEXTJOIN(", ",TRUE,IF(N(E269)&gt;0,E$4,""),IF(N(G269)&gt;0,G$4,""),IF(N(I269)&gt;0,I$4,""),IF(N(K269)&gt;0,K$4,""),IF(N(M269)&gt;0,M$4,""),IF(N(O269)&gt;0,O$4,""),IF(N(Q269)&gt;0,Q$4,""),IF(N(S269)&gt;0,S$4,""),IF(N(U269)&gt;0,U$4,""),IF(N(W269)&gt;0,W$4,""),IF(N(Y269)&gt;0,Y$4,""),IF(N(AA269)&gt;0,AA$4,""),IF(N(AC269)&gt;0,AC$4,""),IF(N(AE269)&gt;0,AE$4,""),IF(N(AG269)&gt;0,AG$4,""),IF(N(AI269)&gt;0,AI$4,""),IF(N(AK269)&gt;0,AK$4,""),IF(N(AM269)&gt;0,AM$4,""),IF(N(AO269)&gt;0,AO$4,""),IF(N(AQ269)&gt;0,AQ$4,""),IF(N(#REF!)&gt;0,#REF!,"")),"")</f>
        <v>#REF!</v>
      </c>
      <c r="CW269" s="11"/>
      <c r="CX269" s="11" t="e">
        <f t="shared" si="17"/>
        <v>#REF!</v>
      </c>
      <c r="CY269" s="12"/>
      <c r="CZ269" s="68"/>
    </row>
    <row r="270" spans="1:104" ht="18" customHeight="1" x14ac:dyDescent="0.3">
      <c r="A270" s="150"/>
      <c r="B270" s="43"/>
      <c r="C270" s="12">
        <v>46288</v>
      </c>
      <c r="D270" s="20">
        <f t="shared" si="16"/>
        <v>0</v>
      </c>
      <c r="E270" s="20" t="str">
        <f t="shared" si="14"/>
        <v/>
      </c>
      <c r="F270" s="20"/>
      <c r="G270" s="20" t="str">
        <f t="shared" si="15"/>
        <v/>
      </c>
      <c r="H270" s="20"/>
      <c r="I270" s="20"/>
      <c r="J270" s="20"/>
      <c r="K270" s="20"/>
      <c r="L270" s="20"/>
      <c r="M270" s="19" t="s">
        <v>71</v>
      </c>
      <c r="N270" s="19"/>
      <c r="O270" s="19" t="s">
        <v>71</v>
      </c>
      <c r="P270" s="19"/>
      <c r="Q270" s="19" t="s">
        <v>71</v>
      </c>
      <c r="R270" s="19"/>
      <c r="S270" s="19" t="s">
        <v>71</v>
      </c>
      <c r="T270" s="19"/>
      <c r="U270" s="19" t="s">
        <v>71</v>
      </c>
      <c r="V270" s="19"/>
      <c r="W270" s="19"/>
      <c r="X270" s="19"/>
      <c r="Y270" s="19" t="s">
        <v>71</v>
      </c>
      <c r="Z270" s="19"/>
      <c r="AA270" s="19" t="s">
        <v>71</v>
      </c>
      <c r="AB270" s="19"/>
      <c r="AC270" s="19" t="s">
        <v>71</v>
      </c>
      <c r="AD270" s="19"/>
      <c r="AE270" s="19" t="s">
        <v>71</v>
      </c>
      <c r="AF270" s="19"/>
      <c r="AG270" s="19" t="s">
        <v>71</v>
      </c>
      <c r="AH270" s="19"/>
      <c r="AI270" s="19" t="s">
        <v>71</v>
      </c>
      <c r="AJ270" s="19"/>
      <c r="AK270" s="19" t="s">
        <v>71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 t="s">
        <v>71</v>
      </c>
      <c r="CF270" s="19"/>
      <c r="CG270" s="19" t="s">
        <v>71</v>
      </c>
      <c r="CH270" s="19"/>
      <c r="CI270" s="19" t="s">
        <v>71</v>
      </c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1" t="e">
        <f>IF(SUM(E270,G270,I270,K270,M270,O270,Q270,S270,U270,W270,Y270,AA270,AC270,AE270,AG270,AI270,AK270,AM270,AO270,AQ270,#REF!)&gt;0,"Sí","No")</f>
        <v>#REF!</v>
      </c>
      <c r="CV270" s="92" t="e">
        <f>IF($CU270="Sí",_xlfn.TEXTJOIN(", ",TRUE,IF(N(E270)&gt;0,E$4,""),IF(N(G270)&gt;0,G$4,""),IF(N(I270)&gt;0,I$4,""),IF(N(K270)&gt;0,K$4,""),IF(N(M270)&gt;0,M$4,""),IF(N(O270)&gt;0,O$4,""),IF(N(Q270)&gt;0,Q$4,""),IF(N(S270)&gt;0,S$4,""),IF(N(U270)&gt;0,U$4,""),IF(N(W270)&gt;0,W$4,""),IF(N(Y270)&gt;0,Y$4,""),IF(N(AA270)&gt;0,AA$4,""),IF(N(AC270)&gt;0,AC$4,""),IF(N(AE270)&gt;0,AE$4,""),IF(N(AG270)&gt;0,AG$4,""),IF(N(AI270)&gt;0,AI$4,""),IF(N(AK270)&gt;0,AK$4,""),IF(N(AM270)&gt;0,AM$4,""),IF(N(AO270)&gt;0,AO$4,""),IF(N(AQ270)&gt;0,AQ$4,""),IF(N(#REF!)&gt;0,#REF!,"")),"")</f>
        <v>#REF!</v>
      </c>
      <c r="CW270" s="11"/>
      <c r="CX270" s="11" t="e">
        <f t="shared" si="17"/>
        <v>#REF!</v>
      </c>
      <c r="CY270" s="12"/>
      <c r="CZ270" s="68"/>
    </row>
    <row r="271" spans="1:104" ht="18" customHeight="1" x14ac:dyDescent="0.3">
      <c r="A271" s="150"/>
      <c r="B271" s="43"/>
      <c r="C271" s="12">
        <v>46289</v>
      </c>
      <c r="D271" s="20">
        <f t="shared" si="16"/>
        <v>0</v>
      </c>
      <c r="E271" s="20" t="str">
        <f t="shared" si="14"/>
        <v/>
      </c>
      <c r="F271" s="20"/>
      <c r="G271" s="20" t="str">
        <f t="shared" si="15"/>
        <v/>
      </c>
      <c r="H271" s="20"/>
      <c r="I271" s="20"/>
      <c r="J271" s="20"/>
      <c r="K271" s="20"/>
      <c r="L271" s="20"/>
      <c r="M271" s="19" t="s">
        <v>71</v>
      </c>
      <c r="N271" s="19"/>
      <c r="O271" s="19" t="s">
        <v>71</v>
      </c>
      <c r="P271" s="19"/>
      <c r="Q271" s="19" t="s">
        <v>71</v>
      </c>
      <c r="R271" s="19"/>
      <c r="S271" s="19" t="s">
        <v>71</v>
      </c>
      <c r="T271" s="19"/>
      <c r="U271" s="19" t="s">
        <v>71</v>
      </c>
      <c r="V271" s="19"/>
      <c r="W271" s="19"/>
      <c r="X271" s="19"/>
      <c r="Y271" s="19" t="s">
        <v>71</v>
      </c>
      <c r="Z271" s="19"/>
      <c r="AA271" s="19" t="s">
        <v>71</v>
      </c>
      <c r="AB271" s="19"/>
      <c r="AC271" s="19" t="s">
        <v>71</v>
      </c>
      <c r="AD271" s="19"/>
      <c r="AE271" s="19" t="s">
        <v>71</v>
      </c>
      <c r="AF271" s="19"/>
      <c r="AG271" s="19" t="s">
        <v>71</v>
      </c>
      <c r="AH271" s="19"/>
      <c r="AI271" s="19" t="s">
        <v>71</v>
      </c>
      <c r="AJ271" s="19"/>
      <c r="AK271" s="19" t="s">
        <v>71</v>
      </c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 t="s">
        <v>71</v>
      </c>
      <c r="CF271" s="19"/>
      <c r="CG271" s="19" t="s">
        <v>71</v>
      </c>
      <c r="CH271" s="19"/>
      <c r="CI271" s="19" t="s">
        <v>71</v>
      </c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1" t="e">
        <f>IF(SUM(E271,G271,I271,K271,M271,O271,Q271,S271,U271,W271,Y271,AA271,AC271,AE271,AG271,AI271,AK271,AM271,AO271,AQ271,#REF!)&gt;0,"Sí","No")</f>
        <v>#REF!</v>
      </c>
      <c r="CV271" s="92" t="e">
        <f>IF($CU271="Sí",_xlfn.TEXTJOIN(", ",TRUE,IF(N(E271)&gt;0,E$4,""),IF(N(G271)&gt;0,G$4,""),IF(N(I271)&gt;0,I$4,""),IF(N(K271)&gt;0,K$4,""),IF(N(M271)&gt;0,M$4,""),IF(N(O271)&gt;0,O$4,""),IF(N(Q271)&gt;0,Q$4,""),IF(N(S271)&gt;0,S$4,""),IF(N(U271)&gt;0,U$4,""),IF(N(W271)&gt;0,W$4,""),IF(N(Y271)&gt;0,Y$4,""),IF(N(AA271)&gt;0,AA$4,""),IF(N(AC271)&gt;0,AC$4,""),IF(N(AE271)&gt;0,AE$4,""),IF(N(AG271)&gt;0,AG$4,""),IF(N(AI271)&gt;0,AI$4,""),IF(N(AK271)&gt;0,AK$4,""),IF(N(AM271)&gt;0,AM$4,""),IF(N(AO271)&gt;0,AO$4,""),IF(N(AQ271)&gt;0,AQ$4,""),IF(N(#REF!)&gt;0,#REF!,"")),"")</f>
        <v>#REF!</v>
      </c>
      <c r="CW271" s="11"/>
      <c r="CX271" s="11" t="e">
        <f t="shared" si="17"/>
        <v>#REF!</v>
      </c>
      <c r="CY271" s="12"/>
      <c r="CZ271" s="68"/>
    </row>
    <row r="272" spans="1:104" ht="18" customHeight="1" x14ac:dyDescent="0.3">
      <c r="A272" s="150"/>
      <c r="B272" s="43"/>
      <c r="C272" s="12">
        <v>46290</v>
      </c>
      <c r="D272" s="20">
        <f t="shared" si="16"/>
        <v>0</v>
      </c>
      <c r="E272" s="20" t="str">
        <f t="shared" si="14"/>
        <v/>
      </c>
      <c r="F272" s="20"/>
      <c r="G272" s="20" t="str">
        <f t="shared" si="15"/>
        <v/>
      </c>
      <c r="H272" s="20"/>
      <c r="I272" s="20"/>
      <c r="J272" s="20"/>
      <c r="K272" s="20"/>
      <c r="L272" s="20"/>
      <c r="M272" s="19" t="s">
        <v>71</v>
      </c>
      <c r="N272" s="19"/>
      <c r="O272" s="19" t="s">
        <v>71</v>
      </c>
      <c r="P272" s="19"/>
      <c r="Q272" s="19" t="s">
        <v>71</v>
      </c>
      <c r="R272" s="19"/>
      <c r="S272" s="19" t="s">
        <v>71</v>
      </c>
      <c r="T272" s="19"/>
      <c r="U272" s="19" t="s">
        <v>71</v>
      </c>
      <c r="V272" s="19"/>
      <c r="W272" s="19"/>
      <c r="X272" s="19"/>
      <c r="Y272" s="19" t="s">
        <v>71</v>
      </c>
      <c r="Z272" s="19"/>
      <c r="AA272" s="19" t="s">
        <v>71</v>
      </c>
      <c r="AB272" s="19"/>
      <c r="AC272" s="19" t="s">
        <v>71</v>
      </c>
      <c r="AD272" s="19"/>
      <c r="AE272" s="19" t="s">
        <v>71</v>
      </c>
      <c r="AF272" s="19"/>
      <c r="AG272" s="19" t="s">
        <v>71</v>
      </c>
      <c r="AH272" s="19"/>
      <c r="AI272" s="19" t="s">
        <v>71</v>
      </c>
      <c r="AJ272" s="19"/>
      <c r="AK272" s="19" t="s">
        <v>71</v>
      </c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 t="s">
        <v>71</v>
      </c>
      <c r="CF272" s="19"/>
      <c r="CG272" s="19" t="s">
        <v>71</v>
      </c>
      <c r="CH272" s="19"/>
      <c r="CI272" s="19" t="s">
        <v>71</v>
      </c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1" t="e">
        <f>IF(SUM(E272,G272,I272,K272,M272,O272,Q272,S272,U272,W272,Y272,AA272,AC272,AE272,AG272,AI272,AK272,AM272,AO272,AQ272,#REF!)&gt;0,"Sí","No")</f>
        <v>#REF!</v>
      </c>
      <c r="CV272" s="92" t="e">
        <f>IF($CU272="Sí",_xlfn.TEXTJOIN(", ",TRUE,IF(N(E272)&gt;0,E$4,""),IF(N(G272)&gt;0,G$4,""),IF(N(I272)&gt;0,I$4,""),IF(N(K272)&gt;0,K$4,""),IF(N(M272)&gt;0,M$4,""),IF(N(O272)&gt;0,O$4,""),IF(N(Q272)&gt;0,Q$4,""),IF(N(S272)&gt;0,S$4,""),IF(N(U272)&gt;0,U$4,""),IF(N(W272)&gt;0,W$4,""),IF(N(Y272)&gt;0,Y$4,""),IF(N(AA272)&gt;0,AA$4,""),IF(N(AC272)&gt;0,AC$4,""),IF(N(AE272)&gt;0,AE$4,""),IF(N(AG272)&gt;0,AG$4,""),IF(N(AI272)&gt;0,AI$4,""),IF(N(AK272)&gt;0,AK$4,""),IF(N(AM272)&gt;0,AM$4,""),IF(N(AO272)&gt;0,AO$4,""),IF(N(AQ272)&gt;0,AQ$4,""),IF(N(#REF!)&gt;0,#REF!,"")),"")</f>
        <v>#REF!</v>
      </c>
      <c r="CW272" s="11"/>
      <c r="CX272" s="11" t="e">
        <f t="shared" si="17"/>
        <v>#REF!</v>
      </c>
      <c r="CY272" s="12"/>
      <c r="CZ272" s="68"/>
    </row>
    <row r="273" spans="1:104" ht="18" customHeight="1" x14ac:dyDescent="0.3">
      <c r="A273" s="150"/>
      <c r="B273" s="43"/>
      <c r="C273" s="12">
        <v>46291</v>
      </c>
      <c r="D273" s="20">
        <f t="shared" si="16"/>
        <v>0</v>
      </c>
      <c r="E273" s="20" t="str">
        <f t="shared" si="14"/>
        <v/>
      </c>
      <c r="F273" s="20"/>
      <c r="G273" s="20" t="str">
        <f t="shared" si="15"/>
        <v/>
      </c>
      <c r="H273" s="20"/>
      <c r="I273" s="20"/>
      <c r="J273" s="20"/>
      <c r="K273" s="20"/>
      <c r="L273" s="20"/>
      <c r="M273" s="19" t="s">
        <v>71</v>
      </c>
      <c r="N273" s="19"/>
      <c r="O273" s="19" t="s">
        <v>71</v>
      </c>
      <c r="P273" s="19"/>
      <c r="Q273" s="19" t="s">
        <v>71</v>
      </c>
      <c r="R273" s="19"/>
      <c r="S273" s="19" t="s">
        <v>71</v>
      </c>
      <c r="T273" s="19"/>
      <c r="U273" s="19" t="s">
        <v>71</v>
      </c>
      <c r="V273" s="19"/>
      <c r="W273" s="19"/>
      <c r="X273" s="19"/>
      <c r="Y273" s="19" t="s">
        <v>71</v>
      </c>
      <c r="Z273" s="19"/>
      <c r="AA273" s="19" t="s">
        <v>71</v>
      </c>
      <c r="AB273" s="19"/>
      <c r="AC273" s="19" t="s">
        <v>71</v>
      </c>
      <c r="AD273" s="19"/>
      <c r="AE273" s="19" t="s">
        <v>71</v>
      </c>
      <c r="AF273" s="19"/>
      <c r="AG273" s="19" t="s">
        <v>71</v>
      </c>
      <c r="AH273" s="19"/>
      <c r="AI273" s="19" t="s">
        <v>71</v>
      </c>
      <c r="AJ273" s="19"/>
      <c r="AK273" s="19" t="s">
        <v>71</v>
      </c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 t="s">
        <v>71</v>
      </c>
      <c r="CF273" s="19"/>
      <c r="CG273" s="19" t="s">
        <v>71</v>
      </c>
      <c r="CH273" s="19"/>
      <c r="CI273" s="19" t="s">
        <v>71</v>
      </c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1" t="e">
        <f>IF(SUM(E273,G273,I273,K273,M273,O273,Q273,S273,U273,W273,Y273,AA273,AC273,AE273,AG273,AI273,AK273,AM273,AO273,AQ273,#REF!)&gt;0,"Sí","No")</f>
        <v>#REF!</v>
      </c>
      <c r="CV273" s="92" t="e">
        <f>IF($CU273="Sí",_xlfn.TEXTJOIN(", ",TRUE,IF(N(E273)&gt;0,E$4,""),IF(N(G273)&gt;0,G$4,""),IF(N(I273)&gt;0,I$4,""),IF(N(K273)&gt;0,K$4,""),IF(N(M273)&gt;0,M$4,""),IF(N(O273)&gt;0,O$4,""),IF(N(Q273)&gt;0,Q$4,""),IF(N(S273)&gt;0,S$4,""),IF(N(U273)&gt;0,U$4,""),IF(N(W273)&gt;0,W$4,""),IF(N(Y273)&gt;0,Y$4,""),IF(N(AA273)&gt;0,AA$4,""),IF(N(AC273)&gt;0,AC$4,""),IF(N(AE273)&gt;0,AE$4,""),IF(N(AG273)&gt;0,AG$4,""),IF(N(AI273)&gt;0,AI$4,""),IF(N(AK273)&gt;0,AK$4,""),IF(N(AM273)&gt;0,AM$4,""),IF(N(AO273)&gt;0,AO$4,""),IF(N(AQ273)&gt;0,AQ$4,""),IF(N(#REF!)&gt;0,#REF!,"")),"")</f>
        <v>#REF!</v>
      </c>
      <c r="CW273" s="11"/>
      <c r="CX273" s="11" t="e">
        <f t="shared" si="17"/>
        <v>#REF!</v>
      </c>
      <c r="CY273" s="12"/>
      <c r="CZ273" s="68"/>
    </row>
    <row r="274" spans="1:104" ht="18" customHeight="1" x14ac:dyDescent="0.3">
      <c r="A274" s="150"/>
      <c r="B274" s="43"/>
      <c r="C274" s="12">
        <v>46292</v>
      </c>
      <c r="D274" s="20">
        <f t="shared" si="16"/>
        <v>0</v>
      </c>
      <c r="E274" s="20" t="str">
        <f t="shared" si="14"/>
        <v/>
      </c>
      <c r="F274" s="20"/>
      <c r="G274" s="20" t="str">
        <f t="shared" si="15"/>
        <v/>
      </c>
      <c r="H274" s="20"/>
      <c r="I274" s="20"/>
      <c r="J274" s="20"/>
      <c r="K274" s="20"/>
      <c r="L274" s="20"/>
      <c r="M274" s="19" t="s">
        <v>71</v>
      </c>
      <c r="N274" s="19"/>
      <c r="O274" s="19" t="s">
        <v>71</v>
      </c>
      <c r="P274" s="19"/>
      <c r="Q274" s="19" t="s">
        <v>71</v>
      </c>
      <c r="R274" s="19"/>
      <c r="S274" s="19" t="s">
        <v>71</v>
      </c>
      <c r="T274" s="19"/>
      <c r="U274" s="19" t="s">
        <v>71</v>
      </c>
      <c r="V274" s="19"/>
      <c r="W274" s="19"/>
      <c r="X274" s="19"/>
      <c r="Y274" s="19" t="s">
        <v>71</v>
      </c>
      <c r="Z274" s="19"/>
      <c r="AA274" s="19" t="s">
        <v>71</v>
      </c>
      <c r="AB274" s="19"/>
      <c r="AC274" s="19" t="s">
        <v>71</v>
      </c>
      <c r="AD274" s="19"/>
      <c r="AE274" s="19" t="s">
        <v>71</v>
      </c>
      <c r="AF274" s="19"/>
      <c r="AG274" s="19" t="s">
        <v>71</v>
      </c>
      <c r="AH274" s="19"/>
      <c r="AI274" s="19" t="s">
        <v>71</v>
      </c>
      <c r="AJ274" s="19"/>
      <c r="AK274" s="19" t="s">
        <v>71</v>
      </c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>
        <v>12</v>
      </c>
      <c r="AX274" s="19">
        <v>24</v>
      </c>
      <c r="AY274" s="19">
        <v>12</v>
      </c>
      <c r="AZ274" s="19">
        <v>24</v>
      </c>
      <c r="BA274" s="19">
        <v>12</v>
      </c>
      <c r="BB274" s="19">
        <v>24</v>
      </c>
      <c r="BC274" s="19">
        <v>12</v>
      </c>
      <c r="BD274" s="19">
        <v>24</v>
      </c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 t="s">
        <v>71</v>
      </c>
      <c r="CF274" s="19"/>
      <c r="CG274" s="19" t="s">
        <v>71</v>
      </c>
      <c r="CH274" s="19"/>
      <c r="CI274" s="19" t="s">
        <v>71</v>
      </c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1" t="e">
        <f>IF(SUM(E274,G274,I274,K274,M274,O274,Q274,S274,U274,W274,Y274,AA274,AC274,AE274,AG274,AI274,AK274,AM274,AO274,AQ274,#REF!)&gt;0,"Sí","No")</f>
        <v>#REF!</v>
      </c>
      <c r="CV274" s="92" t="e">
        <f>IF($CU274="Sí",_xlfn.TEXTJOIN(", ",TRUE,IF(N(E274)&gt;0,E$4,""),IF(N(G274)&gt;0,G$4,""),IF(N(I274)&gt;0,I$4,""),IF(N(K274)&gt;0,K$4,""),IF(N(M274)&gt;0,M$4,""),IF(N(O274)&gt;0,O$4,""),IF(N(Q274)&gt;0,Q$4,""),IF(N(S274)&gt;0,S$4,""),IF(N(U274)&gt;0,U$4,""),IF(N(W274)&gt;0,W$4,""),IF(N(Y274)&gt;0,Y$4,""),IF(N(AA274)&gt;0,AA$4,""),IF(N(AC274)&gt;0,AC$4,""),IF(N(AE274)&gt;0,AE$4,""),IF(N(AG274)&gt;0,AG$4,""),IF(N(AI274)&gt;0,AI$4,""),IF(N(AK274)&gt;0,AK$4,""),IF(N(AM274)&gt;0,AM$4,""),IF(N(AO274)&gt;0,AO$4,""),IF(N(AQ274)&gt;0,AQ$4,""),IF(N(#REF!)&gt;0,#REF!,"")),"")</f>
        <v>#REF!</v>
      </c>
      <c r="CW274" s="11"/>
      <c r="CX274" s="11" t="e">
        <f t="shared" si="17"/>
        <v>#REF!</v>
      </c>
      <c r="CY274" s="12"/>
      <c r="CZ274" s="68"/>
    </row>
    <row r="275" spans="1:104" ht="18" customHeight="1" x14ac:dyDescent="0.3">
      <c r="A275" s="150"/>
      <c r="B275" s="43"/>
      <c r="C275" s="12">
        <v>46293</v>
      </c>
      <c r="D275" s="20">
        <f t="shared" si="16"/>
        <v>0</v>
      </c>
      <c r="E275" s="20" t="str">
        <f t="shared" si="14"/>
        <v/>
      </c>
      <c r="F275" s="20"/>
      <c r="G275" s="20" t="str">
        <f t="shared" si="15"/>
        <v/>
      </c>
      <c r="H275" s="20"/>
      <c r="I275" s="20"/>
      <c r="J275" s="20"/>
      <c r="K275" s="20"/>
      <c r="L275" s="20"/>
      <c r="M275" s="19" t="s">
        <v>71</v>
      </c>
      <c r="N275" s="19"/>
      <c r="O275" s="19" t="s">
        <v>71</v>
      </c>
      <c r="P275" s="19"/>
      <c r="Q275" s="19" t="s">
        <v>71</v>
      </c>
      <c r="R275" s="19"/>
      <c r="S275" s="26" t="s">
        <v>71</v>
      </c>
      <c r="T275" s="26"/>
      <c r="U275" s="19" t="s">
        <v>71</v>
      </c>
      <c r="V275" s="19"/>
      <c r="W275" s="19"/>
      <c r="X275" s="19"/>
      <c r="Y275" s="19" t="s">
        <v>71</v>
      </c>
      <c r="Z275" s="19"/>
      <c r="AA275" s="26" t="s">
        <v>71</v>
      </c>
      <c r="AB275" s="26"/>
      <c r="AC275" s="26" t="s">
        <v>71</v>
      </c>
      <c r="AD275" s="26"/>
      <c r="AE275" s="26" t="s">
        <v>71</v>
      </c>
      <c r="AF275" s="26"/>
      <c r="AG275" s="26" t="s">
        <v>71</v>
      </c>
      <c r="AH275" s="26"/>
      <c r="AI275" s="26" t="s">
        <v>71</v>
      </c>
      <c r="AJ275" s="26"/>
      <c r="AK275" s="26" t="s">
        <v>71</v>
      </c>
      <c r="AL275" s="26"/>
      <c r="AM275" s="26"/>
      <c r="AN275" s="26"/>
      <c r="AO275" s="26"/>
      <c r="AP275" s="26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>
        <v>10</v>
      </c>
      <c r="CF275" s="19">
        <v>20</v>
      </c>
      <c r="CG275" s="19">
        <v>10</v>
      </c>
      <c r="CH275" s="19">
        <v>20</v>
      </c>
      <c r="CI275" s="19">
        <v>10</v>
      </c>
      <c r="CJ275" s="19">
        <v>20</v>
      </c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1" t="e">
        <f>IF(SUM(E275,G275,I275,K275,M275,O275,Q275,S275,U275,W275,Y275,AA275,AC275,AE275,AG275,AI275,AK275,AM275,AO275,AQ275,#REF!)&gt;0,"Sí","No")</f>
        <v>#REF!</v>
      </c>
      <c r="CV275" s="92" t="e">
        <f>IF($CU275="Sí",_xlfn.TEXTJOIN(", ",TRUE,IF(N(E275)&gt;0,E$4,""),IF(N(G275)&gt;0,G$4,""),IF(N(I275)&gt;0,I$4,""),IF(N(K275)&gt;0,K$4,""),IF(N(M275)&gt;0,M$4,""),IF(N(O275)&gt;0,O$4,""),IF(N(Q275)&gt;0,Q$4,""),IF(N(S275)&gt;0,S$4,""),IF(N(U275)&gt;0,U$4,""),IF(N(W275)&gt;0,W$4,""),IF(N(Y275)&gt;0,Y$4,""),IF(N(AA275)&gt;0,AA$4,""),IF(N(AC275)&gt;0,AC$4,""),IF(N(AE275)&gt;0,AE$4,""),IF(N(AG275)&gt;0,AG$4,""),IF(N(AI275)&gt;0,AI$4,""),IF(N(AK275)&gt;0,AK$4,""),IF(N(AM275)&gt;0,AM$4,""),IF(N(AO275)&gt;0,AO$4,""),IF(N(AQ275)&gt;0,AQ$4,""),IF(N(#REF!)&gt;0,#REF!,"")),"")</f>
        <v>#REF!</v>
      </c>
      <c r="CW275" s="11"/>
      <c r="CX275" s="11" t="e">
        <f t="shared" si="17"/>
        <v>#REF!</v>
      </c>
      <c r="CY275" s="12"/>
      <c r="CZ275" s="68"/>
    </row>
    <row r="276" spans="1:104" ht="18" customHeight="1" x14ac:dyDescent="0.3">
      <c r="A276" s="150"/>
      <c r="B276" s="43"/>
      <c r="C276" s="12">
        <v>46294</v>
      </c>
      <c r="D276" s="20">
        <f t="shared" si="16"/>
        <v>0</v>
      </c>
      <c r="E276" s="20" t="str">
        <f t="shared" si="14"/>
        <v/>
      </c>
      <c r="F276" s="20"/>
      <c r="G276" s="20" t="str">
        <f t="shared" si="15"/>
        <v/>
      </c>
      <c r="H276" s="20"/>
      <c r="I276" s="20"/>
      <c r="J276" s="20"/>
      <c r="K276" s="20"/>
      <c r="L276" s="20"/>
      <c r="M276" s="19" t="s">
        <v>71</v>
      </c>
      <c r="N276" s="19"/>
      <c r="O276" s="19" t="s">
        <v>71</v>
      </c>
      <c r="P276" s="19"/>
      <c r="Q276" s="19" t="s">
        <v>71</v>
      </c>
      <c r="R276" s="19"/>
      <c r="S276" s="19" t="s">
        <v>71</v>
      </c>
      <c r="T276" s="19"/>
      <c r="U276" s="19" t="s">
        <v>71</v>
      </c>
      <c r="V276" s="19"/>
      <c r="W276" s="19"/>
      <c r="X276" s="19"/>
      <c r="Y276" s="19" t="s">
        <v>71</v>
      </c>
      <c r="Z276" s="19"/>
      <c r="AA276" s="19" t="s">
        <v>71</v>
      </c>
      <c r="AB276" s="19"/>
      <c r="AC276" s="19" t="s">
        <v>71</v>
      </c>
      <c r="AD276" s="19"/>
      <c r="AE276" s="19" t="s">
        <v>71</v>
      </c>
      <c r="AF276" s="19"/>
      <c r="AG276" s="19" t="s">
        <v>71</v>
      </c>
      <c r="AH276" s="19"/>
      <c r="AI276" s="19" t="s">
        <v>71</v>
      </c>
      <c r="AJ276" s="19"/>
      <c r="AK276" s="19" t="s">
        <v>71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 t="s">
        <v>71</v>
      </c>
      <c r="CF276" s="19"/>
      <c r="CG276" s="19" t="s">
        <v>71</v>
      </c>
      <c r="CH276" s="19"/>
      <c r="CI276" s="19" t="s">
        <v>71</v>
      </c>
      <c r="CJ276" s="19"/>
      <c r="CK276" s="19"/>
      <c r="CL276" s="19"/>
      <c r="CM276" s="19">
        <v>10</v>
      </c>
      <c r="CN276" s="19">
        <v>20</v>
      </c>
      <c r="CO276" s="19">
        <v>10</v>
      </c>
      <c r="CP276" s="19">
        <v>20</v>
      </c>
      <c r="CQ276" s="19">
        <v>10</v>
      </c>
      <c r="CR276" s="19">
        <v>20</v>
      </c>
      <c r="CS276" s="19"/>
      <c r="CT276" s="19"/>
      <c r="CU276" s="11" t="e">
        <f>IF(SUM(E276,G276,I276,K276,M276,O276,Q276,S276,U276,W276,Y276,AA276,AC276,AE276,AG276,AI276,AK276,AM276,AO276,AQ276,#REF!)&gt;0,"Sí","No")</f>
        <v>#REF!</v>
      </c>
      <c r="CV276" s="92" t="e">
        <f>IF($CU276="Sí",_xlfn.TEXTJOIN(", ",TRUE,IF(N(E276)&gt;0,E$4,""),IF(N(G276)&gt;0,G$4,""),IF(N(I276)&gt;0,I$4,""),IF(N(K276)&gt;0,K$4,""),IF(N(M276)&gt;0,M$4,""),IF(N(O276)&gt;0,O$4,""),IF(N(Q276)&gt;0,Q$4,""),IF(N(S276)&gt;0,S$4,""),IF(N(U276)&gt;0,U$4,""),IF(N(W276)&gt;0,W$4,""),IF(N(Y276)&gt;0,Y$4,""),IF(N(AA276)&gt;0,AA$4,""),IF(N(AC276)&gt;0,AC$4,""),IF(N(AE276)&gt;0,AE$4,""),IF(N(AG276)&gt;0,AG$4,""),IF(N(AI276)&gt;0,AI$4,""),IF(N(AK276)&gt;0,AK$4,""),IF(N(AM276)&gt;0,AM$4,""),IF(N(AO276)&gt;0,AO$4,""),IF(N(AQ276)&gt;0,AQ$4,""),IF(N(#REF!)&gt;0,#REF!,"")),"")</f>
        <v>#REF!</v>
      </c>
      <c r="CW276" s="11"/>
      <c r="CX276" s="11" t="e">
        <f t="shared" si="17"/>
        <v>#REF!</v>
      </c>
      <c r="CY276" s="12"/>
      <c r="CZ276" s="68"/>
    </row>
    <row r="277" spans="1:104" ht="18" customHeight="1" thickBot="1" x14ac:dyDescent="0.35">
      <c r="A277" s="151"/>
      <c r="B277" s="44"/>
      <c r="C277" s="30">
        <v>46295</v>
      </c>
      <c r="D277" s="31">
        <f t="shared" si="16"/>
        <v>0</v>
      </c>
      <c r="E277" s="31" t="str">
        <f t="shared" si="14"/>
        <v/>
      </c>
      <c r="F277" s="31"/>
      <c r="G277" s="31" t="str">
        <f t="shared" si="15"/>
        <v/>
      </c>
      <c r="H277" s="31"/>
      <c r="I277" s="31"/>
      <c r="J277" s="31"/>
      <c r="K277" s="31"/>
      <c r="L277" s="31"/>
      <c r="M277" s="32" t="s">
        <v>71</v>
      </c>
      <c r="N277" s="32"/>
      <c r="O277" s="32" t="s">
        <v>71</v>
      </c>
      <c r="P277" s="32"/>
      <c r="Q277" s="32" t="s">
        <v>71</v>
      </c>
      <c r="R277" s="32"/>
      <c r="S277" s="32" t="s">
        <v>71</v>
      </c>
      <c r="T277" s="32"/>
      <c r="U277" s="32" t="s">
        <v>71</v>
      </c>
      <c r="V277" s="32"/>
      <c r="W277" s="32"/>
      <c r="X277" s="32"/>
      <c r="Y277" s="32" t="s">
        <v>71</v>
      </c>
      <c r="Z277" s="32"/>
      <c r="AA277" s="32" t="s">
        <v>71</v>
      </c>
      <c r="AB277" s="32"/>
      <c r="AC277" s="32" t="s">
        <v>71</v>
      </c>
      <c r="AD277" s="32"/>
      <c r="AE277" s="32" t="s">
        <v>71</v>
      </c>
      <c r="AF277" s="32"/>
      <c r="AG277" s="32" t="s">
        <v>71</v>
      </c>
      <c r="AH277" s="32"/>
      <c r="AI277" s="32" t="s">
        <v>71</v>
      </c>
      <c r="AJ277" s="32"/>
      <c r="AK277" s="32" t="s">
        <v>71</v>
      </c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 t="s">
        <v>71</v>
      </c>
      <c r="CF277" s="32"/>
      <c r="CG277" s="32" t="s">
        <v>71</v>
      </c>
      <c r="CH277" s="32"/>
      <c r="CI277" s="32" t="s">
        <v>71</v>
      </c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70" t="e">
        <f>IF(SUM(E277,G277,I277,K277,M277,O277,Q277,S277,U277,W277,Y277,AA277,AC277,AE277,AG277,AI277,AK277,AM277,AO277,AQ277,#REF!)&gt;0,"Sí","No")</f>
        <v>#REF!</v>
      </c>
      <c r="CV277" s="108" t="e">
        <f>IF($CU277="Sí",_xlfn.TEXTJOIN(", ",TRUE,IF(N(E277)&gt;0,E$4,""),IF(N(G277)&gt;0,G$4,""),IF(N(I277)&gt;0,I$4,""),IF(N(K277)&gt;0,K$4,""),IF(N(M277)&gt;0,M$4,""),IF(N(O277)&gt;0,O$4,""),IF(N(Q277)&gt;0,Q$4,""),IF(N(S277)&gt;0,S$4,""),IF(N(U277)&gt;0,U$4,""),IF(N(W277)&gt;0,W$4,""),IF(N(Y277)&gt;0,Y$4,""),IF(N(AA277)&gt;0,AA$4,""),IF(N(AC277)&gt;0,AC$4,""),IF(N(AE277)&gt;0,AE$4,""),IF(N(AG277)&gt;0,AG$4,""),IF(N(AI277)&gt;0,AI$4,""),IF(N(AK277)&gt;0,AK$4,""),IF(N(AM277)&gt;0,AM$4,""),IF(N(AO277)&gt;0,AO$4,""),IF(N(AQ277)&gt;0,AQ$4,""),IF(N(#REF!)&gt;0,#REF!,"")),"")</f>
        <v>#REF!</v>
      </c>
      <c r="CW277" s="70"/>
      <c r="CX277" s="70" t="e">
        <f t="shared" si="17"/>
        <v>#REF!</v>
      </c>
      <c r="CY277" s="30"/>
      <c r="CZ277" s="73"/>
    </row>
    <row r="278" spans="1:104" ht="18" customHeight="1" x14ac:dyDescent="0.3">
      <c r="A278" s="148" t="s">
        <v>66</v>
      </c>
      <c r="B278" s="42"/>
      <c r="C278" s="15">
        <v>46296</v>
      </c>
      <c r="D278" s="27">
        <f t="shared" si="16"/>
        <v>0</v>
      </c>
      <c r="E278" s="27"/>
      <c r="F278" s="27"/>
      <c r="G278" s="27" t="str">
        <f t="shared" si="15"/>
        <v/>
      </c>
      <c r="H278" s="27"/>
      <c r="I278" s="27"/>
      <c r="J278" s="27"/>
      <c r="K278" s="27"/>
      <c r="L278" s="27"/>
      <c r="M278" s="18" t="s">
        <v>71</v>
      </c>
      <c r="N278" s="18"/>
      <c r="O278" s="18" t="s">
        <v>71</v>
      </c>
      <c r="P278" s="18"/>
      <c r="Q278" s="18" t="s">
        <v>71</v>
      </c>
      <c r="R278" s="18"/>
      <c r="S278" s="18" t="s">
        <v>71</v>
      </c>
      <c r="T278" s="18"/>
      <c r="U278" s="18" t="s">
        <v>71</v>
      </c>
      <c r="V278" s="18"/>
      <c r="W278" s="18"/>
      <c r="X278" s="18"/>
      <c r="Y278" s="18" t="s">
        <v>71</v>
      </c>
      <c r="Z278" s="18"/>
      <c r="AA278" s="18" t="s">
        <v>71</v>
      </c>
      <c r="AB278" s="18"/>
      <c r="AC278" s="18" t="s">
        <v>71</v>
      </c>
      <c r="AD278" s="18"/>
      <c r="AE278" s="18" t="s">
        <v>71</v>
      </c>
      <c r="AF278" s="18"/>
      <c r="AG278" s="18" t="s">
        <v>71</v>
      </c>
      <c r="AH278" s="18"/>
      <c r="AI278" s="18" t="s">
        <v>71</v>
      </c>
      <c r="AJ278" s="18"/>
      <c r="AK278" s="18" t="s">
        <v>71</v>
      </c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 t="s">
        <v>71</v>
      </c>
      <c r="CF278" s="18"/>
      <c r="CG278" s="18" t="s">
        <v>71</v>
      </c>
      <c r="CH278" s="18"/>
      <c r="CI278" s="18" t="s">
        <v>71</v>
      </c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4" t="e">
        <f>IF(SUM(E278,G278,I278,K278,M278,O278,Q278,S278,U278,W278,Y278,AA278,AC278,AE278,AG278,AI278,AK278,AM278,AO278,AQ278,#REF!)&gt;0,"Sí","No")</f>
        <v>#REF!</v>
      </c>
      <c r="CV278" s="107" t="e">
        <f>IF($CU278="Sí",_xlfn.TEXTJOIN(", ",TRUE,IF(N(E278)&gt;0,E$4,""),IF(N(G278)&gt;0,G$4,""),IF(N(I278)&gt;0,I$4,""),IF(N(K278)&gt;0,K$4,""),IF(N(M278)&gt;0,M$4,""),IF(N(O278)&gt;0,O$4,""),IF(N(Q278)&gt;0,Q$4,""),IF(N(S278)&gt;0,S$4,""),IF(N(U278)&gt;0,U$4,""),IF(N(W278)&gt;0,W$4,""),IF(N(Y278)&gt;0,Y$4,""),IF(N(AA278)&gt;0,AA$4,""),IF(N(AC278)&gt;0,AC$4,""),IF(N(AE278)&gt;0,AE$4,""),IF(N(AG278)&gt;0,AG$4,""),IF(N(AI278)&gt;0,AI$4,""),IF(N(AK278)&gt;0,AK$4,""),IF(N(AM278)&gt;0,AM$4,""),IF(N(AO278)&gt;0,AO$4,""),IF(N(AQ278)&gt;0,AQ$4,""),IF(N(#REF!)&gt;0,#REF!,"")),"")</f>
        <v>#REF!</v>
      </c>
      <c r="CW278" s="14"/>
      <c r="CX278" s="14" t="e">
        <f t="shared" si="17"/>
        <v>#REF!</v>
      </c>
      <c r="CY278" s="15"/>
      <c r="CZ278" s="66"/>
    </row>
    <row r="279" spans="1:104" ht="18" customHeight="1" x14ac:dyDescent="0.3">
      <c r="A279" s="150"/>
      <c r="B279" s="43"/>
      <c r="C279" s="12">
        <v>46297</v>
      </c>
      <c r="D279" s="20">
        <f t="shared" si="16"/>
        <v>0</v>
      </c>
      <c r="E279" s="20" t="str">
        <f t="shared" si="14"/>
        <v/>
      </c>
      <c r="F279" s="20"/>
      <c r="G279" s="20" t="str">
        <f t="shared" si="15"/>
        <v/>
      </c>
      <c r="H279" s="20"/>
      <c r="I279" s="20"/>
      <c r="J279" s="20"/>
      <c r="K279" s="20"/>
      <c r="L279" s="20"/>
      <c r="M279" s="19" t="s">
        <v>71</v>
      </c>
      <c r="N279" s="19"/>
      <c r="O279" s="19" t="s">
        <v>71</v>
      </c>
      <c r="P279" s="19"/>
      <c r="Q279" s="19" t="s">
        <v>71</v>
      </c>
      <c r="R279" s="19"/>
      <c r="S279" s="19" t="s">
        <v>71</v>
      </c>
      <c r="T279" s="19"/>
      <c r="U279" s="19" t="s">
        <v>71</v>
      </c>
      <c r="V279" s="19"/>
      <c r="W279" s="19"/>
      <c r="X279" s="19"/>
      <c r="Y279" s="19" t="s">
        <v>71</v>
      </c>
      <c r="Z279" s="19"/>
      <c r="AA279" s="19" t="s">
        <v>71</v>
      </c>
      <c r="AB279" s="19"/>
      <c r="AC279" s="19" t="s">
        <v>71</v>
      </c>
      <c r="AD279" s="19"/>
      <c r="AE279" s="19" t="s">
        <v>71</v>
      </c>
      <c r="AF279" s="19"/>
      <c r="AG279" s="19" t="s">
        <v>71</v>
      </c>
      <c r="AH279" s="19"/>
      <c r="AI279" s="19" t="s">
        <v>71</v>
      </c>
      <c r="AJ279" s="19"/>
      <c r="AK279" s="19" t="s">
        <v>71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 t="s">
        <v>71</v>
      </c>
      <c r="CF279" s="19"/>
      <c r="CG279" s="19" t="s">
        <v>71</v>
      </c>
      <c r="CH279" s="19"/>
      <c r="CI279" s="19" t="s">
        <v>71</v>
      </c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1" t="e">
        <f>IF(SUM(E279,G279,I279,K279,M279,O279,Q279,S279,U279,W279,Y279,AA279,AC279,AE279,AG279,AI279,AK279,AM279,AO279,AQ279,#REF!)&gt;0,"Sí","No")</f>
        <v>#REF!</v>
      </c>
      <c r="CV279" s="92" t="e">
        <f>IF($CU279="Sí",_xlfn.TEXTJOIN(", ",TRUE,IF(N(E279)&gt;0,E$4,""),IF(N(G279)&gt;0,G$4,""),IF(N(I279)&gt;0,I$4,""),IF(N(K279)&gt;0,K$4,""),IF(N(M279)&gt;0,M$4,""),IF(N(O279)&gt;0,O$4,""),IF(N(Q279)&gt;0,Q$4,""),IF(N(S279)&gt;0,S$4,""),IF(N(U279)&gt;0,U$4,""),IF(N(W279)&gt;0,W$4,""),IF(N(Y279)&gt;0,Y$4,""),IF(N(AA279)&gt;0,AA$4,""),IF(N(AC279)&gt;0,AC$4,""),IF(N(AE279)&gt;0,AE$4,""),IF(N(AG279)&gt;0,AG$4,""),IF(N(AI279)&gt;0,AI$4,""),IF(N(AK279)&gt;0,AK$4,""),IF(N(AM279)&gt;0,AM$4,""),IF(N(AO279)&gt;0,AO$4,""),IF(N(AQ279)&gt;0,AQ$4,""),IF(N(#REF!)&gt;0,#REF!,"")),"")</f>
        <v>#REF!</v>
      </c>
      <c r="CW279" s="11"/>
      <c r="CX279" s="11" t="e">
        <f t="shared" si="17"/>
        <v>#REF!</v>
      </c>
      <c r="CY279" s="12"/>
      <c r="CZ279" s="68"/>
    </row>
    <row r="280" spans="1:104" ht="18" customHeight="1" x14ac:dyDescent="0.3">
      <c r="A280" s="150"/>
      <c r="B280" s="43"/>
      <c r="C280" s="12">
        <v>46298</v>
      </c>
      <c r="D280" s="20">
        <f t="shared" si="16"/>
        <v>0</v>
      </c>
      <c r="E280" s="20" t="str">
        <f t="shared" si="14"/>
        <v/>
      </c>
      <c r="F280" s="20"/>
      <c r="G280" s="20" t="str">
        <f t="shared" si="15"/>
        <v/>
      </c>
      <c r="H280" s="20"/>
      <c r="I280" s="20"/>
      <c r="J280" s="20"/>
      <c r="K280" s="20"/>
      <c r="L280" s="20"/>
      <c r="M280" s="19" t="s">
        <v>71</v>
      </c>
      <c r="N280" s="19"/>
      <c r="O280" s="19" t="s">
        <v>71</v>
      </c>
      <c r="P280" s="19"/>
      <c r="Q280" s="19" t="s">
        <v>71</v>
      </c>
      <c r="R280" s="19"/>
      <c r="S280" s="19" t="s">
        <v>71</v>
      </c>
      <c r="T280" s="19"/>
      <c r="U280" s="19" t="s">
        <v>71</v>
      </c>
      <c r="V280" s="19"/>
      <c r="W280" s="19"/>
      <c r="X280" s="19"/>
      <c r="Y280" s="19" t="s">
        <v>71</v>
      </c>
      <c r="Z280" s="19"/>
      <c r="AA280" s="19" t="s">
        <v>71</v>
      </c>
      <c r="AB280" s="19"/>
      <c r="AC280" s="19" t="s">
        <v>71</v>
      </c>
      <c r="AD280" s="19"/>
      <c r="AE280" s="19" t="s">
        <v>71</v>
      </c>
      <c r="AF280" s="19"/>
      <c r="AG280" s="19" t="s">
        <v>71</v>
      </c>
      <c r="AH280" s="19"/>
      <c r="AI280" s="19" t="s">
        <v>71</v>
      </c>
      <c r="AJ280" s="19"/>
      <c r="AK280" s="19" t="s">
        <v>71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 t="s">
        <v>71</v>
      </c>
      <c r="CF280" s="19"/>
      <c r="CG280" s="19" t="s">
        <v>71</v>
      </c>
      <c r="CH280" s="19"/>
      <c r="CI280" s="19" t="s">
        <v>71</v>
      </c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1" t="e">
        <f>IF(SUM(E280,G280,I280,K280,M280,O280,Q280,S280,U280,W280,Y280,AA280,AC280,AE280,AG280,AI280,AK280,AM280,AO280,AQ280,#REF!)&gt;0,"Sí","No")</f>
        <v>#REF!</v>
      </c>
      <c r="CV280" s="92" t="e">
        <f>IF($CU280="Sí",_xlfn.TEXTJOIN(", ",TRUE,IF(N(E280)&gt;0,E$4,""),IF(N(G280)&gt;0,G$4,""),IF(N(I280)&gt;0,I$4,""),IF(N(K280)&gt;0,K$4,""),IF(N(M280)&gt;0,M$4,""),IF(N(O280)&gt;0,O$4,""),IF(N(Q280)&gt;0,Q$4,""),IF(N(S280)&gt;0,S$4,""),IF(N(U280)&gt;0,U$4,""),IF(N(W280)&gt;0,W$4,""),IF(N(Y280)&gt;0,Y$4,""),IF(N(AA280)&gt;0,AA$4,""),IF(N(AC280)&gt;0,AC$4,""),IF(N(AE280)&gt;0,AE$4,""),IF(N(AG280)&gt;0,AG$4,""),IF(N(AI280)&gt;0,AI$4,""),IF(N(AK280)&gt;0,AK$4,""),IF(N(AM280)&gt;0,AM$4,""),IF(N(AO280)&gt;0,AO$4,""),IF(N(AQ280)&gt;0,AQ$4,""),IF(N(#REF!)&gt;0,#REF!,"")),"")</f>
        <v>#REF!</v>
      </c>
      <c r="CW280" s="11"/>
      <c r="CX280" s="11" t="e">
        <f t="shared" si="17"/>
        <v>#REF!</v>
      </c>
      <c r="CY280" s="12"/>
      <c r="CZ280" s="68"/>
    </row>
    <row r="281" spans="1:104" ht="18" customHeight="1" x14ac:dyDescent="0.3">
      <c r="A281" s="150"/>
      <c r="B281" s="43"/>
      <c r="C281" s="12">
        <v>46299</v>
      </c>
      <c r="D281" s="20">
        <f t="shared" si="16"/>
        <v>0</v>
      </c>
      <c r="E281" s="20" t="str">
        <f t="shared" si="14"/>
        <v/>
      </c>
      <c r="F281" s="20"/>
      <c r="G281" s="20" t="str">
        <f t="shared" si="15"/>
        <v/>
      </c>
      <c r="H281" s="20"/>
      <c r="I281" s="20"/>
      <c r="J281" s="20"/>
      <c r="K281" s="20"/>
      <c r="L281" s="20"/>
      <c r="M281" s="19" t="s">
        <v>71</v>
      </c>
      <c r="N281" s="19"/>
      <c r="O281" s="19" t="s">
        <v>71</v>
      </c>
      <c r="P281" s="19"/>
      <c r="Q281" s="19" t="s">
        <v>71</v>
      </c>
      <c r="R281" s="19"/>
      <c r="S281" s="19"/>
      <c r="T281" s="19"/>
      <c r="U281" s="19"/>
      <c r="V281" s="19"/>
      <c r="W281" s="19"/>
      <c r="X281" s="19"/>
      <c r="Y281" s="19" t="s">
        <v>71</v>
      </c>
      <c r="Z281" s="19"/>
      <c r="AA281" s="19" t="s">
        <v>71</v>
      </c>
      <c r="AB281" s="19"/>
      <c r="AC281" s="19" t="s">
        <v>71</v>
      </c>
      <c r="AD281" s="19"/>
      <c r="AE281" s="19" t="s">
        <v>71</v>
      </c>
      <c r="AF281" s="19"/>
      <c r="AG281" s="19" t="s">
        <v>71</v>
      </c>
      <c r="AH281" s="19"/>
      <c r="AI281" s="19" t="s">
        <v>71</v>
      </c>
      <c r="AJ281" s="19"/>
      <c r="AK281" s="19" t="s">
        <v>71</v>
      </c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 t="s">
        <v>71</v>
      </c>
      <c r="CF281" s="19"/>
      <c r="CG281" s="19" t="s">
        <v>71</v>
      </c>
      <c r="CH281" s="19"/>
      <c r="CI281" s="19" t="s">
        <v>71</v>
      </c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1" t="e">
        <f>IF(SUM(E281,G281,I281,K281,M281,O281,Q281,S281,U281,W281,Y281,AA281,AC281,AE281,AG281,AI281,AK281,AM281,AO281,AQ281,#REF!)&gt;0,"Sí","No")</f>
        <v>#REF!</v>
      </c>
      <c r="CV281" s="92" t="e">
        <f>IF($CU281="Sí",_xlfn.TEXTJOIN(", ",TRUE,IF(N(E281)&gt;0,E$4,""),IF(N(G281)&gt;0,G$4,""),IF(N(I281)&gt;0,I$4,""),IF(N(K281)&gt;0,K$4,""),IF(N(M281)&gt;0,M$4,""),IF(N(O281)&gt;0,O$4,""),IF(N(Q281)&gt;0,Q$4,""),IF(N(S281)&gt;0,S$4,""),IF(N(U281)&gt;0,U$4,""),IF(N(W281)&gt;0,W$4,""),IF(N(Y281)&gt;0,Y$4,""),IF(N(AA281)&gt;0,AA$4,""),IF(N(AC281)&gt;0,AC$4,""),IF(N(AE281)&gt;0,AE$4,""),IF(N(AG281)&gt;0,AG$4,""),IF(N(AI281)&gt;0,AI$4,""),IF(N(AK281)&gt;0,AK$4,""),IF(N(AM281)&gt;0,AM$4,""),IF(N(AO281)&gt;0,AO$4,""),IF(N(AQ281)&gt;0,AQ$4,""),IF(N(#REF!)&gt;0,#REF!,"")),"")</f>
        <v>#REF!</v>
      </c>
      <c r="CW281" s="11"/>
      <c r="CX281" s="11" t="e">
        <f t="shared" si="17"/>
        <v>#REF!</v>
      </c>
      <c r="CY281" s="12"/>
      <c r="CZ281" s="68"/>
    </row>
    <row r="282" spans="1:104" ht="18" customHeight="1" x14ac:dyDescent="0.3">
      <c r="A282" s="150"/>
      <c r="B282" s="43"/>
      <c r="C282" s="12">
        <v>46300</v>
      </c>
      <c r="D282" s="20">
        <f t="shared" si="16"/>
        <v>0</v>
      </c>
      <c r="E282" s="20" t="str">
        <f t="shared" si="14"/>
        <v/>
      </c>
      <c r="F282" s="20"/>
      <c r="G282" s="20">
        <f t="shared" si="15"/>
        <v>8</v>
      </c>
      <c r="H282" s="20"/>
      <c r="I282" s="20"/>
      <c r="J282" s="20"/>
      <c r="K282" s="20"/>
      <c r="L282" s="20"/>
      <c r="M282" s="19" t="s">
        <v>71</v>
      </c>
      <c r="N282" s="19"/>
      <c r="O282" s="19" t="s">
        <v>71</v>
      </c>
      <c r="P282" s="19"/>
      <c r="Q282" s="19" t="s">
        <v>71</v>
      </c>
      <c r="R282" s="19"/>
      <c r="S282" s="19" t="s">
        <v>71</v>
      </c>
      <c r="T282" s="19"/>
      <c r="U282" s="19" t="s">
        <v>71</v>
      </c>
      <c r="V282" s="19"/>
      <c r="W282" s="19"/>
      <c r="X282" s="19"/>
      <c r="Y282" s="19" t="s">
        <v>71</v>
      </c>
      <c r="Z282" s="19"/>
      <c r="AA282" s="19" t="s">
        <v>71</v>
      </c>
      <c r="AB282" s="19"/>
      <c r="AC282" s="19" t="s">
        <v>71</v>
      </c>
      <c r="AD282" s="19"/>
      <c r="AE282" s="19" t="s">
        <v>71</v>
      </c>
      <c r="AF282" s="19"/>
      <c r="AG282" s="19" t="s">
        <v>71</v>
      </c>
      <c r="AH282" s="19"/>
      <c r="AI282" s="19" t="s">
        <v>71</v>
      </c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 t="s">
        <v>71</v>
      </c>
      <c r="CF282" s="19"/>
      <c r="CG282" s="19" t="s">
        <v>71</v>
      </c>
      <c r="CH282" s="19"/>
      <c r="CI282" s="19" t="s">
        <v>71</v>
      </c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1" t="e">
        <f>IF(SUM(E282,G282,I282,K282,M282,O282,Q282,S282,U282,W282,Y282,AA282,AC282,AE282,AG282,AI282,AK282,AM282,AO282,AQ282,#REF!)&gt;0,"Sí","No")</f>
        <v>#REF!</v>
      </c>
      <c r="CV282" s="92" t="e">
        <f>IF($CU282="Sí",_xlfn.TEXTJOIN(", ",TRUE,IF(N(E282)&gt;0,E$4,""),IF(N(G282)&gt;0,G$4,""),IF(N(I282)&gt;0,I$4,""),IF(N(K282)&gt;0,K$4,""),IF(N(M282)&gt;0,M$4,""),IF(N(O282)&gt;0,O$4,""),IF(N(Q282)&gt;0,Q$4,""),IF(N(S282)&gt;0,S$4,""),IF(N(U282)&gt;0,U$4,""),IF(N(W282)&gt;0,W$4,""),IF(N(Y282)&gt;0,Y$4,""),IF(N(AA282)&gt;0,AA$4,""),IF(N(AC282)&gt;0,AC$4,""),IF(N(AE282)&gt;0,AE$4,""),IF(N(AG282)&gt;0,AG$4,""),IF(N(AI282)&gt;0,AI$4,""),IF(N(AK282)&gt;0,AK$4,""),IF(N(AM282)&gt;0,AM$4,""),IF(N(AO282)&gt;0,AO$4,""),IF(N(AQ282)&gt;0,AQ$4,""),IF(N(#REF!)&gt;0,#REF!,"")),"")</f>
        <v>#REF!</v>
      </c>
      <c r="CW282" s="11"/>
      <c r="CX282" s="11" t="e">
        <f t="shared" si="17"/>
        <v>#REF!</v>
      </c>
      <c r="CY282" s="12"/>
      <c r="CZ282" s="68"/>
    </row>
    <row r="283" spans="1:104" ht="18" customHeight="1" x14ac:dyDescent="0.3">
      <c r="A283" s="150"/>
      <c r="B283" s="43"/>
      <c r="C283" s="12">
        <v>46301</v>
      </c>
      <c r="D283" s="20">
        <f t="shared" si="16"/>
        <v>0</v>
      </c>
      <c r="E283" s="20"/>
      <c r="F283" s="20"/>
      <c r="G283" s="20"/>
      <c r="H283" s="20"/>
      <c r="I283" s="20"/>
      <c r="J283" s="20"/>
      <c r="K283" s="20"/>
      <c r="L283" s="20"/>
      <c r="M283" s="19" t="s">
        <v>71</v>
      </c>
      <c r="N283" s="19"/>
      <c r="O283" s="19" t="s">
        <v>71</v>
      </c>
      <c r="P283" s="19"/>
      <c r="Q283" s="19" t="s">
        <v>71</v>
      </c>
      <c r="R283" s="19"/>
      <c r="S283" s="19" t="s">
        <v>71</v>
      </c>
      <c r="T283" s="19"/>
      <c r="U283" s="19" t="s">
        <v>71</v>
      </c>
      <c r="V283" s="19"/>
      <c r="W283" s="19"/>
      <c r="X283" s="19"/>
      <c r="Y283" s="19" t="s">
        <v>71</v>
      </c>
      <c r="Z283" s="19"/>
      <c r="AA283" s="19" t="s">
        <v>71</v>
      </c>
      <c r="AB283" s="19"/>
      <c r="AC283" s="19" t="s">
        <v>71</v>
      </c>
      <c r="AD283" s="19"/>
      <c r="AE283" s="19" t="s">
        <v>71</v>
      </c>
      <c r="AF283" s="19"/>
      <c r="AG283" s="19" t="s">
        <v>71</v>
      </c>
      <c r="AH283" s="19"/>
      <c r="AI283" s="19" t="s">
        <v>71</v>
      </c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 t="s">
        <v>71</v>
      </c>
      <c r="CF283" s="19"/>
      <c r="CG283" s="19" t="s">
        <v>71</v>
      </c>
      <c r="CH283" s="19"/>
      <c r="CI283" s="19" t="s">
        <v>71</v>
      </c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1" t="e">
        <f>IF(SUM(E283,G283,I283,K283,M283,O283,Q283,S283,U283,W283,Y283,AA283,AC283,AE283,AG283,AI283,AK283,AM283,AO283,AQ283,#REF!)&gt;0,"Sí","No")</f>
        <v>#REF!</v>
      </c>
      <c r="CV283" s="92" t="e">
        <f>IF($CU283="Sí",_xlfn.TEXTJOIN(", ",TRUE,IF(N(E283)&gt;0,E$4,""),IF(N(G283)&gt;0,G$4,""),IF(N(I283)&gt;0,I$4,""),IF(N(K283)&gt;0,K$4,""),IF(N(M283)&gt;0,M$4,""),IF(N(O283)&gt;0,O$4,""),IF(N(Q283)&gt;0,Q$4,""),IF(N(S283)&gt;0,S$4,""),IF(N(U283)&gt;0,U$4,""),IF(N(W283)&gt;0,W$4,""),IF(N(Y283)&gt;0,Y$4,""),IF(N(AA283)&gt;0,AA$4,""),IF(N(AC283)&gt;0,AC$4,""),IF(N(AE283)&gt;0,AE$4,""),IF(N(AG283)&gt;0,AG$4,""),IF(N(AI283)&gt;0,AI$4,""),IF(N(AK283)&gt;0,AK$4,""),IF(N(AM283)&gt;0,AM$4,""),IF(N(AO283)&gt;0,AO$4,""),IF(N(AQ283)&gt;0,AQ$4,""),IF(N(#REF!)&gt;0,#REF!,"")),"")</f>
        <v>#REF!</v>
      </c>
      <c r="CW283" s="11"/>
      <c r="CX283" s="11" t="e">
        <f t="shared" si="17"/>
        <v>#REF!</v>
      </c>
      <c r="CY283" s="12"/>
      <c r="CZ283" s="68"/>
    </row>
    <row r="284" spans="1:104" ht="39.6" customHeight="1" x14ac:dyDescent="0.3">
      <c r="A284" s="150"/>
      <c r="B284" s="43"/>
      <c r="C284" s="12">
        <v>46302</v>
      </c>
      <c r="D284" s="20">
        <f t="shared" si="16"/>
        <v>0</v>
      </c>
      <c r="E284" s="20"/>
      <c r="F284" s="20"/>
      <c r="G284" s="20"/>
      <c r="H284" s="20"/>
      <c r="I284" s="20"/>
      <c r="J284" s="20"/>
      <c r="K284" s="20"/>
      <c r="L284" s="20"/>
      <c r="M284" s="19" t="s">
        <v>71</v>
      </c>
      <c r="N284" s="19"/>
      <c r="O284" s="19" t="s">
        <v>71</v>
      </c>
      <c r="P284" s="19"/>
      <c r="Q284" s="19" t="s">
        <v>71</v>
      </c>
      <c r="R284" s="19"/>
      <c r="S284" s="19">
        <v>10</v>
      </c>
      <c r="T284" s="19">
        <v>20</v>
      </c>
      <c r="U284" s="19">
        <v>10</v>
      </c>
      <c r="V284" s="19">
        <v>20</v>
      </c>
      <c r="W284" s="19"/>
      <c r="X284" s="19"/>
      <c r="Y284" s="19" t="s">
        <v>71</v>
      </c>
      <c r="Z284" s="19"/>
      <c r="AA284" s="19" t="s">
        <v>71</v>
      </c>
      <c r="AB284" s="19"/>
      <c r="AC284" s="19" t="s">
        <v>71</v>
      </c>
      <c r="AD284" s="19"/>
      <c r="AE284" s="19" t="s">
        <v>71</v>
      </c>
      <c r="AF284" s="19"/>
      <c r="AG284" s="19" t="s">
        <v>71</v>
      </c>
      <c r="AH284" s="19"/>
      <c r="AI284" s="19" t="s">
        <v>71</v>
      </c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 t="s">
        <v>71</v>
      </c>
      <c r="CF284" s="19"/>
      <c r="CG284" s="19" t="s">
        <v>71</v>
      </c>
      <c r="CH284" s="19"/>
      <c r="CI284" s="19" t="s">
        <v>71</v>
      </c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1" t="e">
        <f>IF(SUM(E284,G284,I284,K284,M284,O284,Q284,S284,U284,W284,Y284,AA284,AC284,AE284,AG284,AI284,AK284,AM284,AO284,AQ284,#REF!)&gt;0,"Sí","No")</f>
        <v>#REF!</v>
      </c>
      <c r="CV284" s="109" t="e">
        <f>IF($CU284="Sí",_xlfn.TEXTJOIN(", ",TRUE,IF(N(E284)&gt;0,E$4,""),IF(N(G284)&gt;0,G$4,""),IF(N(I284)&gt;0,I$4,""),IF(N(K284)&gt;0,K$4,""),IF(N(M284)&gt;0,M$4,""),IF(N(O284)&gt;0,O$4,""),IF(N(Q284)&gt;0,Q$4,""),IF(N(S284)&gt;0,S$4,""),IF(N(U284)&gt;0,U$4,""),IF(N(W284)&gt;0,W$4,""),IF(N(Y284)&gt;0,Y$4,""),IF(N(AA284)&gt;0,AA$4,""),IF(N(AC284)&gt;0,AC$4,""),IF(N(AE284)&gt;0,AE$4,""),IF(N(AG284)&gt;0,AG$4,""),IF(N(AI284)&gt;0,AI$4,""),IF(N(AK284)&gt;0,AK$4,""),IF(N(AM284)&gt;0,AM$4,""),IF(N(AO284)&gt;0,AO$4,""),IF(N(AQ284)&gt;0,AQ$4,""),IF(N(#REF!)&gt;0,#REF!,"")),"")</f>
        <v>#REF!</v>
      </c>
      <c r="CW284" s="11"/>
      <c r="CX284" s="11" t="e">
        <f t="shared" si="17"/>
        <v>#REF!</v>
      </c>
      <c r="CY284" s="12"/>
      <c r="CZ284" s="68"/>
    </row>
    <row r="285" spans="1:104" ht="18" customHeight="1" x14ac:dyDescent="0.3">
      <c r="A285" s="150"/>
      <c r="B285" s="43"/>
      <c r="C285" s="12">
        <v>46303</v>
      </c>
      <c r="D285" s="20">
        <f t="shared" si="16"/>
        <v>0</v>
      </c>
      <c r="E285" s="20" t="str">
        <f t="shared" si="14"/>
        <v/>
      </c>
      <c r="F285" s="20"/>
      <c r="G285" s="20" t="str">
        <f t="shared" si="15"/>
        <v/>
      </c>
      <c r="H285" s="20"/>
      <c r="I285" s="20"/>
      <c r="J285" s="20"/>
      <c r="K285" s="20"/>
      <c r="L285" s="20"/>
      <c r="M285" s="19" t="s">
        <v>71</v>
      </c>
      <c r="N285" s="19"/>
      <c r="O285" s="19" t="s">
        <v>71</v>
      </c>
      <c r="P285" s="19"/>
      <c r="Q285" s="19" t="s">
        <v>71</v>
      </c>
      <c r="R285" s="19"/>
      <c r="S285" s="19"/>
      <c r="T285" s="19"/>
      <c r="U285" s="19"/>
      <c r="V285" s="19"/>
      <c r="W285" s="19"/>
      <c r="X285" s="19"/>
      <c r="Y285" s="19" t="s">
        <v>71</v>
      </c>
      <c r="Z285" s="19"/>
      <c r="AA285" s="19" t="s">
        <v>71</v>
      </c>
      <c r="AB285" s="19"/>
      <c r="AC285" s="19" t="s">
        <v>71</v>
      </c>
      <c r="AD285" s="19"/>
      <c r="AE285" s="19" t="s">
        <v>71</v>
      </c>
      <c r="AF285" s="19"/>
      <c r="AG285" s="19" t="s">
        <v>71</v>
      </c>
      <c r="AH285" s="19"/>
      <c r="AI285" s="19" t="s">
        <v>71</v>
      </c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 t="s">
        <v>71</v>
      </c>
      <c r="CF285" s="19"/>
      <c r="CG285" s="19" t="s">
        <v>71</v>
      </c>
      <c r="CH285" s="19"/>
      <c r="CI285" s="19" t="s">
        <v>71</v>
      </c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1" t="e">
        <f>IF(SUM(E285,G285,I285,K285,M285,O285,Q285,S285,U285,W285,Y285,AA285,AC285,AE285,AG285,AI285,AK285,AM285,AO285,AQ285,#REF!)&gt;0,"Sí","No")</f>
        <v>#REF!</v>
      </c>
      <c r="CV285" s="92" t="e">
        <f>IF($CU285="Sí",_xlfn.TEXTJOIN(", ",TRUE,IF(N(E285)&gt;0,E$4,""),IF(N(G285)&gt;0,G$4,""),IF(N(I285)&gt;0,I$4,""),IF(N(K285)&gt;0,K$4,""),IF(N(M285)&gt;0,M$4,""),IF(N(O285)&gt;0,O$4,""),IF(N(Q285)&gt;0,Q$4,""),IF(N(S285)&gt;0,S$4,""),IF(N(U285)&gt;0,U$4,""),IF(N(W285)&gt;0,W$4,""),IF(N(Y285)&gt;0,Y$4,""),IF(N(AA285)&gt;0,AA$4,""),IF(N(AC285)&gt;0,AC$4,""),IF(N(AE285)&gt;0,AE$4,""),IF(N(AG285)&gt;0,AG$4,""),IF(N(AI285)&gt;0,AI$4,""),IF(N(AK285)&gt;0,AK$4,""),IF(N(AM285)&gt;0,AM$4,""),IF(N(AO285)&gt;0,AO$4,""),IF(N(AQ285)&gt;0,AQ$4,""),IF(N(#REF!)&gt;0,#REF!,"")),"")</f>
        <v>#REF!</v>
      </c>
      <c r="CW285" s="11"/>
      <c r="CX285" s="11" t="e">
        <f t="shared" si="17"/>
        <v>#REF!</v>
      </c>
      <c r="CY285" s="12"/>
      <c r="CZ285" s="68"/>
    </row>
    <row r="286" spans="1:104" ht="18" customHeight="1" x14ac:dyDescent="0.3">
      <c r="A286" s="150"/>
      <c r="B286" s="43"/>
      <c r="C286" s="12">
        <v>46304</v>
      </c>
      <c r="D286" s="20">
        <f t="shared" si="16"/>
        <v>0</v>
      </c>
      <c r="E286" s="20" t="str">
        <f t="shared" si="14"/>
        <v/>
      </c>
      <c r="F286" s="20"/>
      <c r="G286" s="20" t="str">
        <f t="shared" si="15"/>
        <v/>
      </c>
      <c r="H286" s="20"/>
      <c r="I286" s="20"/>
      <c r="J286" s="20"/>
      <c r="K286" s="20"/>
      <c r="L286" s="20"/>
      <c r="M286" s="19" t="s">
        <v>71</v>
      </c>
      <c r="N286" s="19"/>
      <c r="O286" s="19" t="s">
        <v>71</v>
      </c>
      <c r="P286" s="19"/>
      <c r="Q286" s="19" t="s">
        <v>71</v>
      </c>
      <c r="R286" s="19"/>
      <c r="S286" s="19"/>
      <c r="T286" s="19"/>
      <c r="U286" s="19"/>
      <c r="V286" s="19"/>
      <c r="W286" s="19"/>
      <c r="X286" s="19"/>
      <c r="Y286" s="19" t="s">
        <v>71</v>
      </c>
      <c r="Z286" s="19"/>
      <c r="AA286" s="19" t="s">
        <v>71</v>
      </c>
      <c r="AB286" s="19"/>
      <c r="AC286" s="19" t="s">
        <v>71</v>
      </c>
      <c r="AD286" s="19"/>
      <c r="AE286" s="19" t="s">
        <v>71</v>
      </c>
      <c r="AF286" s="19"/>
      <c r="AG286" s="19" t="s">
        <v>71</v>
      </c>
      <c r="AH286" s="19"/>
      <c r="AI286" s="19" t="s">
        <v>71</v>
      </c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 t="s">
        <v>71</v>
      </c>
      <c r="CF286" s="19"/>
      <c r="CG286" s="19" t="s">
        <v>71</v>
      </c>
      <c r="CH286" s="19"/>
      <c r="CI286" s="19" t="s">
        <v>71</v>
      </c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1" t="e">
        <f>IF(SUM(E286,G286,I286,K286,M286,O286,Q286,S286,U286,W286,Y286,AA286,AC286,AE286,AG286,AI286,AK286,AM286,AO286,AQ286,#REF!)&gt;0,"Sí","No")</f>
        <v>#REF!</v>
      </c>
      <c r="CV286" s="92" t="e">
        <f>IF($CU286="Sí",_xlfn.TEXTJOIN(", ",TRUE,IF(N(E286)&gt;0,E$4,""),IF(N(G286)&gt;0,G$4,""),IF(N(I286)&gt;0,I$4,""),IF(N(K286)&gt;0,K$4,""),IF(N(M286)&gt;0,M$4,""),IF(N(O286)&gt;0,O$4,""),IF(N(Q286)&gt;0,Q$4,""),IF(N(S286)&gt;0,S$4,""),IF(N(U286)&gt;0,U$4,""),IF(N(W286)&gt;0,W$4,""),IF(N(Y286)&gt;0,Y$4,""),IF(N(AA286)&gt;0,AA$4,""),IF(N(AC286)&gt;0,AC$4,""),IF(N(AE286)&gt;0,AE$4,""),IF(N(AG286)&gt;0,AG$4,""),IF(N(AI286)&gt;0,AI$4,""),IF(N(AK286)&gt;0,AK$4,""),IF(N(AM286)&gt;0,AM$4,""),IF(N(AO286)&gt;0,AO$4,""),IF(N(AQ286)&gt;0,AQ$4,""),IF(N(#REF!)&gt;0,#REF!,"")),"")</f>
        <v>#REF!</v>
      </c>
      <c r="CW286" s="11"/>
      <c r="CX286" s="11" t="e">
        <f t="shared" si="17"/>
        <v>#REF!</v>
      </c>
      <c r="CY286" s="12"/>
      <c r="CZ286" s="68"/>
    </row>
    <row r="287" spans="1:104" ht="46.8" customHeight="1" x14ac:dyDescent="0.3">
      <c r="A287" s="150"/>
      <c r="B287" s="43"/>
      <c r="C287" s="12">
        <v>46305</v>
      </c>
      <c r="D287" s="20">
        <f t="shared" si="16"/>
        <v>60</v>
      </c>
      <c r="E287" s="20" t="str">
        <f t="shared" si="14"/>
        <v/>
      </c>
      <c r="F287" s="20"/>
      <c r="G287" s="20" t="str">
        <f t="shared" si="15"/>
        <v/>
      </c>
      <c r="H287" s="20"/>
      <c r="I287" s="20"/>
      <c r="J287" s="20"/>
      <c r="K287" s="20"/>
      <c r="L287" s="20"/>
      <c r="M287" s="19" t="s">
        <v>71</v>
      </c>
      <c r="N287" s="19"/>
      <c r="O287" s="19" t="s">
        <v>71</v>
      </c>
      <c r="P287" s="19"/>
      <c r="Q287" s="19" t="s">
        <v>71</v>
      </c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>
        <v>10</v>
      </c>
      <c r="AH287" s="19">
        <v>20</v>
      </c>
      <c r="AI287" s="19">
        <v>10</v>
      </c>
      <c r="AJ287" s="19">
        <v>20</v>
      </c>
      <c r="AK287" s="19">
        <v>10</v>
      </c>
      <c r="AL287" s="19">
        <v>20</v>
      </c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 t="s">
        <v>71</v>
      </c>
      <c r="CF287" s="19"/>
      <c r="CG287" s="19" t="s">
        <v>71</v>
      </c>
      <c r="CH287" s="19"/>
      <c r="CI287" s="19" t="s">
        <v>71</v>
      </c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1" t="e">
        <f>IF(SUM(E287,G287,I287,K287,M287,O287,Q287,S287,U287,W287,Y287,AA287,AC287,AE287,AG287,AI287,AK287,AM287,AO287,AQ287,#REF!)&gt;0,"Sí","No")</f>
        <v>#REF!</v>
      </c>
      <c r="CV287" s="109" t="e">
        <f>IF($CU287="Sí",_xlfn.TEXTJOIN(", ",TRUE,IF(N(E287)&gt;0,E$4,""),IF(N(G287)&gt;0,G$4,""),IF(N(I287)&gt;0,I$4,""),IF(N(K287)&gt;0,K$4,""),IF(N(M287)&gt;0,M$4,""),IF(N(O287)&gt;0,O$4,""),IF(N(Q287)&gt;0,Q$4,""),IF(N(S287)&gt;0,S$4,""),IF(N(U287)&gt;0,U$4,""),IF(N(W287)&gt;0,W$4,""),IF(N(Y287)&gt;0,Y$4,""),IF(N(AA287)&gt;0,AA$4,""),IF(N(AC287)&gt;0,AC$4,""),IF(N(AE287)&gt;0,AE$4,""),IF(N(AG287)&gt;0,AG$4,""),IF(N(AI287)&gt;0,AI$4,""),IF(N(AK287)&gt;0,AK$4,""),IF(N(AM287)&gt;0,AM$4,""),IF(N(AO287)&gt;0,AO$4,""),IF(N(AQ287)&gt;0,AQ$4,""),IF(N(#REF!)&gt;0,#REF!,"")),"")</f>
        <v>#REF!</v>
      </c>
      <c r="CW287" s="11"/>
      <c r="CX287" s="11" t="e">
        <f t="shared" si="17"/>
        <v>#REF!</v>
      </c>
      <c r="CY287" s="12"/>
      <c r="CZ287" s="68"/>
    </row>
    <row r="288" spans="1:104" ht="18" customHeight="1" x14ac:dyDescent="0.3">
      <c r="A288" s="150"/>
      <c r="B288" s="43"/>
      <c r="C288" s="12">
        <v>46306</v>
      </c>
      <c r="D288" s="20">
        <f t="shared" si="16"/>
        <v>0</v>
      </c>
      <c r="E288" s="20" t="str">
        <f t="shared" ref="E288:E351" si="18">IF(MOD(A288-$C$30,42)=0,8,"")</f>
        <v/>
      </c>
      <c r="F288" s="20"/>
      <c r="G288" s="20" t="str">
        <f t="shared" ref="G288:G351" si="19">IF(MOD(C288-$C$30,42)=0,8,"")</f>
        <v/>
      </c>
      <c r="H288" s="20"/>
      <c r="I288" s="20"/>
      <c r="J288" s="20"/>
      <c r="K288" s="20"/>
      <c r="L288" s="20"/>
      <c r="M288" s="19" t="s">
        <v>71</v>
      </c>
      <c r="N288" s="19"/>
      <c r="O288" s="19" t="s">
        <v>71</v>
      </c>
      <c r="P288" s="19"/>
      <c r="Q288" s="19" t="s">
        <v>71</v>
      </c>
      <c r="R288" s="19"/>
      <c r="S288" s="19"/>
      <c r="T288" s="19"/>
      <c r="U288" s="19"/>
      <c r="V288" s="19"/>
      <c r="W288" s="19"/>
      <c r="X288" s="19"/>
      <c r="Y288" s="19" t="s">
        <v>71</v>
      </c>
      <c r="Z288" s="19"/>
      <c r="AA288" s="19" t="s">
        <v>71</v>
      </c>
      <c r="AB288" s="19"/>
      <c r="AC288" s="19" t="s">
        <v>71</v>
      </c>
      <c r="AD288" s="19"/>
      <c r="AE288" s="19" t="s">
        <v>71</v>
      </c>
      <c r="AF288" s="19"/>
      <c r="AG288" s="19" t="s">
        <v>71</v>
      </c>
      <c r="AH288" s="19"/>
      <c r="AI288" s="19" t="s">
        <v>71</v>
      </c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 t="s">
        <v>71</v>
      </c>
      <c r="CF288" s="19"/>
      <c r="CG288" s="19" t="s">
        <v>71</v>
      </c>
      <c r="CH288" s="19"/>
      <c r="CI288" s="19" t="s">
        <v>71</v>
      </c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1" t="e">
        <f>IF(SUM(E288,G288,I288,K288,M288,O288,Q288,S288,U288,W288,Y288,AA288,AC288,AE288,AG288,AI288,AK288,AM288,AO288,AQ288,#REF!)&gt;0,"Sí","No")</f>
        <v>#REF!</v>
      </c>
      <c r="CV288" s="92" t="e">
        <f>IF($CU288="Sí",_xlfn.TEXTJOIN(", ",TRUE,IF(N(E288)&gt;0,E$4,""),IF(N(G288)&gt;0,G$4,""),IF(N(I288)&gt;0,I$4,""),IF(N(K288)&gt;0,K$4,""),IF(N(M288)&gt;0,M$4,""),IF(N(O288)&gt;0,O$4,""),IF(N(Q288)&gt;0,Q$4,""),IF(N(S288)&gt;0,S$4,""),IF(N(U288)&gt;0,U$4,""),IF(N(W288)&gt;0,W$4,""),IF(N(Y288)&gt;0,Y$4,""),IF(N(AA288)&gt;0,AA$4,""),IF(N(AC288)&gt;0,AC$4,""),IF(N(AE288)&gt;0,AE$4,""),IF(N(AG288)&gt;0,AG$4,""),IF(N(AI288)&gt;0,AI$4,""),IF(N(AK288)&gt;0,AK$4,""),IF(N(AM288)&gt;0,AM$4,""),IF(N(AO288)&gt;0,AO$4,""),IF(N(AQ288)&gt;0,AQ$4,""),IF(N(#REF!)&gt;0,#REF!,"")),"")</f>
        <v>#REF!</v>
      </c>
      <c r="CW288" s="11"/>
      <c r="CX288" s="11" t="e">
        <f t="shared" si="17"/>
        <v>#REF!</v>
      </c>
      <c r="CY288" s="12"/>
      <c r="CZ288" s="68"/>
    </row>
    <row r="289" spans="1:104" ht="18" customHeight="1" x14ac:dyDescent="0.3">
      <c r="A289" s="150"/>
      <c r="B289" s="43"/>
      <c r="C289" s="12">
        <v>46307</v>
      </c>
      <c r="D289" s="20">
        <f t="shared" si="16"/>
        <v>0</v>
      </c>
      <c r="E289" s="20" t="str">
        <f t="shared" si="18"/>
        <v/>
      </c>
      <c r="F289" s="20"/>
      <c r="G289" s="20" t="str">
        <f t="shared" si="19"/>
        <v/>
      </c>
      <c r="H289" s="20"/>
      <c r="I289" s="20"/>
      <c r="J289" s="20"/>
      <c r="K289" s="20"/>
      <c r="L289" s="20"/>
      <c r="M289" s="19" t="s">
        <v>71</v>
      </c>
      <c r="N289" s="19"/>
      <c r="O289" s="19" t="s">
        <v>71</v>
      </c>
      <c r="P289" s="19"/>
      <c r="Q289" s="19" t="s">
        <v>71</v>
      </c>
      <c r="R289" s="19"/>
      <c r="S289" s="19" t="s">
        <v>71</v>
      </c>
      <c r="T289" s="19"/>
      <c r="U289" s="19" t="s">
        <v>71</v>
      </c>
      <c r="V289" s="19"/>
      <c r="W289" s="19"/>
      <c r="X289" s="19"/>
      <c r="Y289" s="19" t="s">
        <v>71</v>
      </c>
      <c r="Z289" s="19"/>
      <c r="AA289" s="19" t="s">
        <v>71</v>
      </c>
      <c r="AB289" s="19"/>
      <c r="AC289" s="19" t="s">
        <v>71</v>
      </c>
      <c r="AD289" s="19"/>
      <c r="AE289" s="19" t="s">
        <v>71</v>
      </c>
      <c r="AF289" s="19"/>
      <c r="AG289" s="19" t="s">
        <v>71</v>
      </c>
      <c r="AH289" s="19"/>
      <c r="AI289" s="19" t="s">
        <v>71</v>
      </c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1" t="e">
        <f>IF(SUM(E289,G289,I289,K289,M289,O289,Q289,S289,U289,W289,Y289,AA289,AC289,AE289,AG289,AI289,AK289,AM289,AO289,AQ289,#REF!)&gt;0,"Sí","No")</f>
        <v>#REF!</v>
      </c>
      <c r="CV289" s="92" t="e">
        <f>IF($CU289="Sí",_xlfn.TEXTJOIN(", ",TRUE,IF(N(E289)&gt;0,E$4,""),IF(N(G289)&gt;0,G$4,""),IF(N(I289)&gt;0,I$4,""),IF(N(K289)&gt;0,K$4,""),IF(N(M289)&gt;0,M$4,""),IF(N(O289)&gt;0,O$4,""),IF(N(Q289)&gt;0,Q$4,""),IF(N(S289)&gt;0,S$4,""),IF(N(U289)&gt;0,U$4,""),IF(N(W289)&gt;0,W$4,""),IF(N(Y289)&gt;0,Y$4,""),IF(N(AA289)&gt;0,AA$4,""),IF(N(AC289)&gt;0,AC$4,""),IF(N(AE289)&gt;0,AE$4,""),IF(N(AG289)&gt;0,AG$4,""),IF(N(AI289)&gt;0,AI$4,""),IF(N(AK289)&gt;0,AK$4,""),IF(N(AM289)&gt;0,AM$4,""),IF(N(AO289)&gt;0,AO$4,""),IF(N(AQ289)&gt;0,AQ$4,""),IF(N(#REF!)&gt;0,#REF!,"")),"")</f>
        <v>#REF!</v>
      </c>
      <c r="CW289" s="11"/>
      <c r="CX289" s="11" t="e">
        <f t="shared" si="17"/>
        <v>#REF!</v>
      </c>
      <c r="CY289" s="12"/>
      <c r="CZ289" s="68"/>
    </row>
    <row r="290" spans="1:104" ht="18" customHeight="1" x14ac:dyDescent="0.3">
      <c r="A290" s="150"/>
      <c r="B290" s="43"/>
      <c r="C290" s="12">
        <v>46308</v>
      </c>
      <c r="D290" s="20">
        <f t="shared" si="16"/>
        <v>0</v>
      </c>
      <c r="E290" s="20" t="str">
        <f t="shared" si="18"/>
        <v/>
      </c>
      <c r="F290" s="20"/>
      <c r="G290" s="20" t="str">
        <f t="shared" si="19"/>
        <v/>
      </c>
      <c r="H290" s="20"/>
      <c r="I290" s="20"/>
      <c r="J290" s="20"/>
      <c r="K290" s="20"/>
      <c r="L290" s="20"/>
      <c r="M290" s="19" t="s">
        <v>71</v>
      </c>
      <c r="N290" s="19"/>
      <c r="O290" s="19" t="s">
        <v>71</v>
      </c>
      <c r="P290" s="19"/>
      <c r="Q290" s="19" t="s">
        <v>71</v>
      </c>
      <c r="R290" s="19"/>
      <c r="S290" s="26" t="s">
        <v>71</v>
      </c>
      <c r="T290" s="26"/>
      <c r="U290" s="19" t="s">
        <v>71</v>
      </c>
      <c r="V290" s="19"/>
      <c r="W290" s="19"/>
      <c r="X290" s="19"/>
      <c r="Y290" s="19" t="s">
        <v>71</v>
      </c>
      <c r="Z290" s="19"/>
      <c r="AA290" s="26" t="s">
        <v>71</v>
      </c>
      <c r="AB290" s="26"/>
      <c r="AC290" s="26" t="s">
        <v>71</v>
      </c>
      <c r="AD290" s="26"/>
      <c r="AE290" s="26" t="s">
        <v>71</v>
      </c>
      <c r="AF290" s="26"/>
      <c r="AG290" s="26" t="s">
        <v>71</v>
      </c>
      <c r="AH290" s="26"/>
      <c r="AI290" s="26" t="s">
        <v>71</v>
      </c>
      <c r="AJ290" s="26"/>
      <c r="AK290" s="26"/>
      <c r="AL290" s="26"/>
      <c r="AM290" s="26"/>
      <c r="AN290" s="26"/>
      <c r="AO290" s="26"/>
      <c r="AP290" s="26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>
        <v>12</v>
      </c>
      <c r="BP290" s="19">
        <v>20</v>
      </c>
      <c r="BQ290" s="19">
        <v>12</v>
      </c>
      <c r="BR290" s="19">
        <v>20</v>
      </c>
      <c r="BS290" s="19">
        <v>12</v>
      </c>
      <c r="BT290" s="19">
        <v>20</v>
      </c>
      <c r="BU290" s="19">
        <v>12</v>
      </c>
      <c r="BV290" s="19">
        <v>20</v>
      </c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1" t="e">
        <f>IF(SUM(E290,G290,I290,K290,M290,O290,Q290,S290,U290,W290,Y290,AA290,AC290,AE290,AG290,AI290,AK290,AM290,AO290,AQ290,#REF!)&gt;0,"Sí","No")</f>
        <v>#REF!</v>
      </c>
      <c r="CV290" s="92" t="e">
        <f>IF($CU290="Sí",_xlfn.TEXTJOIN(", ",TRUE,IF(N(E290)&gt;0,E$4,""),IF(N(G290)&gt;0,G$4,""),IF(N(I290)&gt;0,I$4,""),IF(N(K290)&gt;0,K$4,""),IF(N(M290)&gt;0,M$4,""),IF(N(O290)&gt;0,O$4,""),IF(N(Q290)&gt;0,Q$4,""),IF(N(S290)&gt;0,S$4,""),IF(N(U290)&gt;0,U$4,""),IF(N(W290)&gt;0,W$4,""),IF(N(Y290)&gt;0,Y$4,""),IF(N(AA290)&gt;0,AA$4,""),IF(N(AC290)&gt;0,AC$4,""),IF(N(AE290)&gt;0,AE$4,""),IF(N(AG290)&gt;0,AG$4,""),IF(N(AI290)&gt;0,AI$4,""),IF(N(AK290)&gt;0,AK$4,""),IF(N(AM290)&gt;0,AM$4,""),IF(N(AO290)&gt;0,AO$4,""),IF(N(AQ290)&gt;0,AQ$4,""),IF(N(#REF!)&gt;0,#REF!,"")),"")</f>
        <v>#REF!</v>
      </c>
      <c r="CW290" s="11"/>
      <c r="CX290" s="11" t="e">
        <f t="shared" si="17"/>
        <v>#REF!</v>
      </c>
      <c r="CY290" s="12"/>
      <c r="CZ290" s="68"/>
    </row>
    <row r="291" spans="1:104" ht="18" customHeight="1" x14ac:dyDescent="0.3">
      <c r="A291" s="150"/>
      <c r="B291" s="43"/>
      <c r="C291" s="12">
        <v>46309</v>
      </c>
      <c r="D291" s="20">
        <f t="shared" si="16"/>
        <v>0</v>
      </c>
      <c r="E291" s="20" t="str">
        <f t="shared" si="18"/>
        <v/>
      </c>
      <c r="F291" s="20"/>
      <c r="G291" s="20" t="str">
        <f t="shared" si="19"/>
        <v/>
      </c>
      <c r="H291" s="20"/>
      <c r="I291" s="20"/>
      <c r="J291" s="20"/>
      <c r="K291" s="20"/>
      <c r="L291" s="20"/>
      <c r="M291" s="19" t="s">
        <v>71</v>
      </c>
      <c r="N291" s="19"/>
      <c r="O291" s="19" t="s">
        <v>71</v>
      </c>
      <c r="P291" s="19"/>
      <c r="Q291" s="19" t="s">
        <v>71</v>
      </c>
      <c r="R291" s="19"/>
      <c r="S291" s="19" t="s">
        <v>71</v>
      </c>
      <c r="T291" s="19"/>
      <c r="U291" s="19" t="s">
        <v>71</v>
      </c>
      <c r="V291" s="19"/>
      <c r="W291" s="19"/>
      <c r="X291" s="19"/>
      <c r="Y291" s="19" t="s">
        <v>71</v>
      </c>
      <c r="Z291" s="19"/>
      <c r="AA291" s="19" t="s">
        <v>71</v>
      </c>
      <c r="AB291" s="19"/>
      <c r="AC291" s="19" t="s">
        <v>71</v>
      </c>
      <c r="AD291" s="19"/>
      <c r="AE291" s="19" t="s">
        <v>71</v>
      </c>
      <c r="AF291" s="19"/>
      <c r="AG291" s="19" t="s">
        <v>71</v>
      </c>
      <c r="AH291" s="19"/>
      <c r="AI291" s="19" t="s">
        <v>71</v>
      </c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1" t="e">
        <f>IF(SUM(E291,G291,I291,K291,M291,O291,Q291,S291,U291,W291,Y291,AA291,AC291,AE291,AG291,AI291,AK291,AM291,AO291,AQ291,#REF!)&gt;0,"Sí","No")</f>
        <v>#REF!</v>
      </c>
      <c r="CV291" s="92" t="e">
        <f>IF($CU291="Sí",_xlfn.TEXTJOIN(", ",TRUE,IF(N(E291)&gt;0,E$4,""),IF(N(G291)&gt;0,G$4,""),IF(N(I291)&gt;0,I$4,""),IF(N(K291)&gt;0,K$4,""),IF(N(M291)&gt;0,M$4,""),IF(N(O291)&gt;0,O$4,""),IF(N(Q291)&gt;0,Q$4,""),IF(N(S291)&gt;0,S$4,""),IF(N(U291)&gt;0,U$4,""),IF(N(W291)&gt;0,W$4,""),IF(N(Y291)&gt;0,Y$4,""),IF(N(AA291)&gt;0,AA$4,""),IF(N(AC291)&gt;0,AC$4,""),IF(N(AE291)&gt;0,AE$4,""),IF(N(AG291)&gt;0,AG$4,""),IF(N(AI291)&gt;0,AI$4,""),IF(N(AK291)&gt;0,AK$4,""),IF(N(AM291)&gt;0,AM$4,""),IF(N(AO291)&gt;0,AO$4,""),IF(N(AQ291)&gt;0,AQ$4,""),IF(N(#REF!)&gt;0,#REF!,"")),"")</f>
        <v>#REF!</v>
      </c>
      <c r="CW291" s="11"/>
      <c r="CX291" s="11" t="e">
        <f t="shared" si="17"/>
        <v>#REF!</v>
      </c>
      <c r="CY291" s="12"/>
      <c r="CZ291" s="68"/>
    </row>
    <row r="292" spans="1:104" ht="18" customHeight="1" x14ac:dyDescent="0.3">
      <c r="A292" s="150"/>
      <c r="B292" s="43"/>
      <c r="C292" s="12">
        <v>46310</v>
      </c>
      <c r="D292" s="20">
        <f t="shared" si="16"/>
        <v>0</v>
      </c>
      <c r="E292" s="20" t="str">
        <f t="shared" si="18"/>
        <v/>
      </c>
      <c r="F292" s="20"/>
      <c r="G292" s="20" t="str">
        <f t="shared" si="19"/>
        <v/>
      </c>
      <c r="H292" s="20"/>
      <c r="I292" s="20"/>
      <c r="J292" s="20"/>
      <c r="K292" s="20"/>
      <c r="L292" s="20"/>
      <c r="M292" s="19" t="s">
        <v>71</v>
      </c>
      <c r="N292" s="19"/>
      <c r="O292" s="19" t="s">
        <v>71</v>
      </c>
      <c r="P292" s="19"/>
      <c r="Q292" s="19" t="s">
        <v>71</v>
      </c>
      <c r="R292" s="19"/>
      <c r="S292" s="19" t="s">
        <v>71</v>
      </c>
      <c r="T292" s="19"/>
      <c r="U292" s="19" t="s">
        <v>71</v>
      </c>
      <c r="V292" s="19"/>
      <c r="W292" s="19"/>
      <c r="X292" s="19"/>
      <c r="Y292" s="19" t="s">
        <v>71</v>
      </c>
      <c r="Z292" s="19"/>
      <c r="AA292" s="19" t="s">
        <v>71</v>
      </c>
      <c r="AB292" s="19"/>
      <c r="AC292" s="19" t="s">
        <v>71</v>
      </c>
      <c r="AD292" s="19"/>
      <c r="AE292" s="19" t="s">
        <v>71</v>
      </c>
      <c r="AF292" s="19"/>
      <c r="AG292" s="19" t="s">
        <v>71</v>
      </c>
      <c r="AH292" s="19"/>
      <c r="AI292" s="19" t="s">
        <v>71</v>
      </c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1" t="e">
        <f>IF(SUM(E292,G292,I292,K292,M292,O292,Q292,S292,U292,W292,Y292,AA292,AC292,AE292,AG292,AI292,AK292,AM292,AO292,AQ292,#REF!)&gt;0,"Sí","No")</f>
        <v>#REF!</v>
      </c>
      <c r="CV292" s="92" t="e">
        <f>IF($CU292="Sí",_xlfn.TEXTJOIN(", ",TRUE,IF(N(E292)&gt;0,E$4,""),IF(N(G292)&gt;0,G$4,""),IF(N(I292)&gt;0,I$4,""),IF(N(K292)&gt;0,K$4,""),IF(N(M292)&gt;0,M$4,""),IF(N(O292)&gt;0,O$4,""),IF(N(Q292)&gt;0,Q$4,""),IF(N(S292)&gt;0,S$4,""),IF(N(U292)&gt;0,U$4,""),IF(N(W292)&gt;0,W$4,""),IF(N(Y292)&gt;0,Y$4,""),IF(N(AA292)&gt;0,AA$4,""),IF(N(AC292)&gt;0,AC$4,""),IF(N(AE292)&gt;0,AE$4,""),IF(N(AG292)&gt;0,AG$4,""),IF(N(AI292)&gt;0,AI$4,""),IF(N(AK292)&gt;0,AK$4,""),IF(N(AM292)&gt;0,AM$4,""),IF(N(AO292)&gt;0,AO$4,""),IF(N(AQ292)&gt;0,AQ$4,""),IF(N(#REF!)&gt;0,#REF!,"")),"")</f>
        <v>#REF!</v>
      </c>
      <c r="CW292" s="11"/>
      <c r="CX292" s="11" t="e">
        <f t="shared" si="17"/>
        <v>#REF!</v>
      </c>
      <c r="CY292" s="12"/>
      <c r="CZ292" s="68"/>
    </row>
    <row r="293" spans="1:104" ht="18" customHeight="1" x14ac:dyDescent="0.3">
      <c r="A293" s="150"/>
      <c r="B293" s="43"/>
      <c r="C293" s="12">
        <v>46311</v>
      </c>
      <c r="D293" s="20">
        <f t="shared" si="16"/>
        <v>0</v>
      </c>
      <c r="E293" s="20" t="str">
        <f t="shared" si="18"/>
        <v/>
      </c>
      <c r="F293" s="20"/>
      <c r="G293" s="20" t="str">
        <f t="shared" si="19"/>
        <v/>
      </c>
      <c r="H293" s="20"/>
      <c r="I293" s="20"/>
      <c r="J293" s="20"/>
      <c r="K293" s="20"/>
      <c r="L293" s="20"/>
      <c r="M293" s="19" t="s">
        <v>71</v>
      </c>
      <c r="N293" s="19"/>
      <c r="O293" s="19" t="s">
        <v>71</v>
      </c>
      <c r="P293" s="19"/>
      <c r="Q293" s="19" t="s">
        <v>71</v>
      </c>
      <c r="R293" s="19"/>
      <c r="S293" s="19" t="s">
        <v>71</v>
      </c>
      <c r="T293" s="19"/>
      <c r="U293" s="19" t="s">
        <v>71</v>
      </c>
      <c r="V293" s="19"/>
      <c r="W293" s="19"/>
      <c r="X293" s="19"/>
      <c r="Y293" s="19" t="s">
        <v>71</v>
      </c>
      <c r="Z293" s="19"/>
      <c r="AA293" s="19" t="s">
        <v>71</v>
      </c>
      <c r="AB293" s="19"/>
      <c r="AC293" s="19" t="s">
        <v>71</v>
      </c>
      <c r="AD293" s="19"/>
      <c r="AE293" s="19" t="s">
        <v>71</v>
      </c>
      <c r="AF293" s="19"/>
      <c r="AG293" s="19" t="s">
        <v>71</v>
      </c>
      <c r="AH293" s="19"/>
      <c r="AI293" s="19" t="s">
        <v>71</v>
      </c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1" t="e">
        <f>IF(SUM(E293,G293,I293,K293,M293,O293,Q293,S293,U293,W293,Y293,AA293,AC293,AE293,AG293,AI293,AK293,AM293,AO293,AQ293,#REF!)&gt;0,"Sí","No")</f>
        <v>#REF!</v>
      </c>
      <c r="CV293" s="92" t="e">
        <f>IF($CU293="Sí",_xlfn.TEXTJOIN(", ",TRUE,IF(N(E293)&gt;0,E$4,""),IF(N(G293)&gt;0,G$4,""),IF(N(I293)&gt;0,I$4,""),IF(N(K293)&gt;0,K$4,""),IF(N(M293)&gt;0,M$4,""),IF(N(O293)&gt;0,O$4,""),IF(N(Q293)&gt;0,Q$4,""),IF(N(S293)&gt;0,S$4,""),IF(N(U293)&gt;0,U$4,""),IF(N(W293)&gt;0,W$4,""),IF(N(Y293)&gt;0,Y$4,""),IF(N(AA293)&gt;0,AA$4,""),IF(N(AC293)&gt;0,AC$4,""),IF(N(AE293)&gt;0,AE$4,""),IF(N(AG293)&gt;0,AG$4,""),IF(N(AI293)&gt;0,AI$4,""),IF(N(AK293)&gt;0,AK$4,""),IF(N(AM293)&gt;0,AM$4,""),IF(N(AO293)&gt;0,AO$4,""),IF(N(AQ293)&gt;0,AQ$4,""),IF(N(#REF!)&gt;0,#REF!,"")),"")</f>
        <v>#REF!</v>
      </c>
      <c r="CW293" s="11"/>
      <c r="CX293" s="11" t="e">
        <f t="shared" si="17"/>
        <v>#REF!</v>
      </c>
      <c r="CY293" s="12"/>
      <c r="CZ293" s="68"/>
    </row>
    <row r="294" spans="1:104" ht="18" customHeight="1" x14ac:dyDescent="0.3">
      <c r="A294" s="150"/>
      <c r="B294" s="43"/>
      <c r="C294" s="12">
        <v>46312</v>
      </c>
      <c r="D294" s="20">
        <f t="shared" si="16"/>
        <v>0</v>
      </c>
      <c r="E294" s="20" t="str">
        <f t="shared" si="18"/>
        <v/>
      </c>
      <c r="F294" s="20"/>
      <c r="G294" s="20" t="str">
        <f t="shared" si="19"/>
        <v/>
      </c>
      <c r="H294" s="20"/>
      <c r="I294" s="20"/>
      <c r="J294" s="20"/>
      <c r="K294" s="20"/>
      <c r="L294" s="20"/>
      <c r="M294" s="19" t="s">
        <v>71</v>
      </c>
      <c r="N294" s="19"/>
      <c r="O294" s="19" t="s">
        <v>71</v>
      </c>
      <c r="P294" s="19"/>
      <c r="Q294" s="19" t="s">
        <v>71</v>
      </c>
      <c r="R294" s="19"/>
      <c r="S294" s="19" t="s">
        <v>71</v>
      </c>
      <c r="T294" s="19"/>
      <c r="U294" s="19" t="s">
        <v>71</v>
      </c>
      <c r="V294" s="19"/>
      <c r="W294" s="19"/>
      <c r="X294" s="19"/>
      <c r="Y294" s="19" t="s">
        <v>71</v>
      </c>
      <c r="Z294" s="19"/>
      <c r="AA294" s="19" t="s">
        <v>71</v>
      </c>
      <c r="AB294" s="19"/>
      <c r="AC294" s="19" t="s">
        <v>71</v>
      </c>
      <c r="AD294" s="19"/>
      <c r="AE294" s="19" t="s">
        <v>71</v>
      </c>
      <c r="AF294" s="19"/>
      <c r="AG294" s="19" t="s">
        <v>71</v>
      </c>
      <c r="AH294" s="19"/>
      <c r="AI294" s="19" t="s">
        <v>71</v>
      </c>
      <c r="AJ294" s="19"/>
      <c r="AK294" s="19" t="s">
        <v>71</v>
      </c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1" t="e">
        <f>IF(SUM(E294,G294,I294,K294,M294,O294,Q294,S294,U294,W294,Y294,AA294,AC294,AE294,AG294,AI294,AK294,AM294,AO294,AQ294,#REF!)&gt;0,"Sí","No")</f>
        <v>#REF!</v>
      </c>
      <c r="CV294" s="92" t="e">
        <f>IF($CU294="Sí",_xlfn.TEXTJOIN(", ",TRUE,IF(N(E294)&gt;0,E$4,""),IF(N(G294)&gt;0,G$4,""),IF(N(I294)&gt;0,I$4,""),IF(N(K294)&gt;0,K$4,""),IF(N(M294)&gt;0,M$4,""),IF(N(O294)&gt;0,O$4,""),IF(N(Q294)&gt;0,Q$4,""),IF(N(S294)&gt;0,S$4,""),IF(N(U294)&gt;0,U$4,""),IF(N(W294)&gt;0,W$4,""),IF(N(Y294)&gt;0,Y$4,""),IF(N(AA294)&gt;0,AA$4,""),IF(N(AC294)&gt;0,AC$4,""),IF(N(AE294)&gt;0,AE$4,""),IF(N(AG294)&gt;0,AG$4,""),IF(N(AI294)&gt;0,AI$4,""),IF(N(AK294)&gt;0,AK$4,""),IF(N(AM294)&gt;0,AM$4,""),IF(N(AO294)&gt;0,AO$4,""),IF(N(AQ294)&gt;0,AQ$4,""),IF(N(#REF!)&gt;0,#REF!,"")),"")</f>
        <v>#REF!</v>
      </c>
      <c r="CW294" s="11"/>
      <c r="CX294" s="11" t="e">
        <f t="shared" si="17"/>
        <v>#REF!</v>
      </c>
      <c r="CY294" s="12"/>
      <c r="CZ294" s="68"/>
    </row>
    <row r="295" spans="1:104" ht="18" customHeight="1" x14ac:dyDescent="0.3">
      <c r="A295" s="150"/>
      <c r="B295" s="43"/>
      <c r="C295" s="12">
        <v>46313</v>
      </c>
      <c r="D295" s="20">
        <f t="shared" si="16"/>
        <v>0</v>
      </c>
      <c r="E295" s="20" t="str">
        <f t="shared" si="18"/>
        <v/>
      </c>
      <c r="F295" s="20"/>
      <c r="G295" s="20" t="str">
        <f t="shared" si="19"/>
        <v/>
      </c>
      <c r="H295" s="20"/>
      <c r="I295" s="20"/>
      <c r="J295" s="20"/>
      <c r="K295" s="20"/>
      <c r="L295" s="20"/>
      <c r="M295" s="19" t="s">
        <v>71</v>
      </c>
      <c r="N295" s="19"/>
      <c r="O295" s="19" t="s">
        <v>71</v>
      </c>
      <c r="P295" s="19"/>
      <c r="Q295" s="19" t="s">
        <v>71</v>
      </c>
      <c r="R295" s="19"/>
      <c r="S295" s="19" t="s">
        <v>71</v>
      </c>
      <c r="T295" s="19"/>
      <c r="U295" s="19" t="s">
        <v>71</v>
      </c>
      <c r="V295" s="19"/>
      <c r="W295" s="19"/>
      <c r="X295" s="19"/>
      <c r="Y295" s="19" t="s">
        <v>71</v>
      </c>
      <c r="Z295" s="19"/>
      <c r="AA295" s="19" t="s">
        <v>71</v>
      </c>
      <c r="AB295" s="19"/>
      <c r="AC295" s="19" t="s">
        <v>71</v>
      </c>
      <c r="AD295" s="19"/>
      <c r="AE295" s="19" t="s">
        <v>71</v>
      </c>
      <c r="AF295" s="19"/>
      <c r="AG295" s="19" t="s">
        <v>71</v>
      </c>
      <c r="AH295" s="19"/>
      <c r="AI295" s="19" t="s">
        <v>71</v>
      </c>
      <c r="AJ295" s="19"/>
      <c r="AK295" s="19" t="s">
        <v>71</v>
      </c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1" t="e">
        <f>IF(SUM(E295,G295,I295,K295,M295,O295,Q295,S295,U295,W295,Y295,AA295,AC295,AE295,AG295,AI295,AK295,AM295,AO295,AQ295,#REF!)&gt;0,"Sí","No")</f>
        <v>#REF!</v>
      </c>
      <c r="CV295" s="92" t="e">
        <f>IF($CU295="Sí",_xlfn.TEXTJOIN(", ",TRUE,IF(N(E295)&gt;0,E$4,""),IF(N(G295)&gt;0,G$4,""),IF(N(I295)&gt;0,I$4,""),IF(N(K295)&gt;0,K$4,""),IF(N(M295)&gt;0,M$4,""),IF(N(O295)&gt;0,O$4,""),IF(N(Q295)&gt;0,Q$4,""),IF(N(S295)&gt;0,S$4,""),IF(N(U295)&gt;0,U$4,""),IF(N(W295)&gt;0,W$4,""),IF(N(Y295)&gt;0,Y$4,""),IF(N(AA295)&gt;0,AA$4,""),IF(N(AC295)&gt;0,AC$4,""),IF(N(AE295)&gt;0,AE$4,""),IF(N(AG295)&gt;0,AG$4,""),IF(N(AI295)&gt;0,AI$4,""),IF(N(AK295)&gt;0,AK$4,""),IF(N(AM295)&gt;0,AM$4,""),IF(N(AO295)&gt;0,AO$4,""),IF(N(AQ295)&gt;0,AQ$4,""),IF(N(#REF!)&gt;0,#REF!,"")),"")</f>
        <v>#REF!</v>
      </c>
      <c r="CW295" s="11"/>
      <c r="CX295" s="11" t="e">
        <f t="shared" si="17"/>
        <v>#REF!</v>
      </c>
      <c r="CY295" s="12"/>
      <c r="CZ295" s="68"/>
    </row>
    <row r="296" spans="1:104" ht="18" customHeight="1" x14ac:dyDescent="0.3">
      <c r="A296" s="150"/>
      <c r="B296" s="43"/>
      <c r="C296" s="12">
        <v>46314</v>
      </c>
      <c r="D296" s="20">
        <f t="shared" si="16"/>
        <v>0</v>
      </c>
      <c r="E296" s="20" t="str">
        <f t="shared" si="18"/>
        <v/>
      </c>
      <c r="F296" s="20"/>
      <c r="G296" s="20" t="str">
        <f t="shared" si="19"/>
        <v/>
      </c>
      <c r="H296" s="20"/>
      <c r="I296" s="20"/>
      <c r="J296" s="20"/>
      <c r="K296" s="20"/>
      <c r="L296" s="20"/>
      <c r="M296" s="19" t="s">
        <v>71</v>
      </c>
      <c r="N296" s="19"/>
      <c r="O296" s="19" t="s">
        <v>71</v>
      </c>
      <c r="P296" s="19"/>
      <c r="Q296" s="19" t="s">
        <v>71</v>
      </c>
      <c r="R296" s="19"/>
      <c r="S296" s="19" t="s">
        <v>71</v>
      </c>
      <c r="T296" s="19"/>
      <c r="U296" s="19" t="s">
        <v>71</v>
      </c>
      <c r="V296" s="19"/>
      <c r="W296" s="19"/>
      <c r="X296" s="19"/>
      <c r="Y296" s="19" t="s">
        <v>71</v>
      </c>
      <c r="Z296" s="19"/>
      <c r="AA296" s="19" t="s">
        <v>71</v>
      </c>
      <c r="AB296" s="19"/>
      <c r="AC296" s="19" t="s">
        <v>71</v>
      </c>
      <c r="AD296" s="19"/>
      <c r="AE296" s="19" t="s">
        <v>71</v>
      </c>
      <c r="AF296" s="19"/>
      <c r="AG296" s="19" t="s">
        <v>71</v>
      </c>
      <c r="AH296" s="19"/>
      <c r="AI296" s="19" t="s">
        <v>71</v>
      </c>
      <c r="AJ296" s="19"/>
      <c r="AK296" s="19" t="s">
        <v>71</v>
      </c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1" t="e">
        <f>IF(SUM(E296,G296,I296,K296,M296,O296,Q296,S296,U296,W296,Y296,AA296,AC296,AE296,AG296,AI296,AK296,AM296,AO296,AQ296,#REF!)&gt;0,"Sí","No")</f>
        <v>#REF!</v>
      </c>
      <c r="CV296" s="92" t="e">
        <f>IF($CU296="Sí",_xlfn.TEXTJOIN(", ",TRUE,IF(N(E296)&gt;0,E$4,""),IF(N(G296)&gt;0,G$4,""),IF(N(I296)&gt;0,I$4,""),IF(N(K296)&gt;0,K$4,""),IF(N(M296)&gt;0,M$4,""),IF(N(O296)&gt;0,O$4,""),IF(N(Q296)&gt;0,Q$4,""),IF(N(S296)&gt;0,S$4,""),IF(N(U296)&gt;0,U$4,""),IF(N(W296)&gt;0,W$4,""),IF(N(Y296)&gt;0,Y$4,""),IF(N(AA296)&gt;0,AA$4,""),IF(N(AC296)&gt;0,AC$4,""),IF(N(AE296)&gt;0,AE$4,""),IF(N(AG296)&gt;0,AG$4,""),IF(N(AI296)&gt;0,AI$4,""),IF(N(AK296)&gt;0,AK$4,""),IF(N(AM296)&gt;0,AM$4,""),IF(N(AO296)&gt;0,AO$4,""),IF(N(AQ296)&gt;0,AQ$4,""),IF(N(#REF!)&gt;0,#REF!,"")),"")</f>
        <v>#REF!</v>
      </c>
      <c r="CW296" s="11"/>
      <c r="CX296" s="11" t="e">
        <f t="shared" si="17"/>
        <v>#REF!</v>
      </c>
      <c r="CY296" s="12"/>
      <c r="CZ296" s="68"/>
    </row>
    <row r="297" spans="1:104" ht="18" customHeight="1" x14ac:dyDescent="0.3">
      <c r="A297" s="150"/>
      <c r="B297" s="43"/>
      <c r="C297" s="12">
        <v>46315</v>
      </c>
      <c r="D297" s="20">
        <f t="shared" si="16"/>
        <v>0</v>
      </c>
      <c r="E297" s="20" t="str">
        <f t="shared" si="18"/>
        <v/>
      </c>
      <c r="F297" s="20"/>
      <c r="G297" s="20" t="str">
        <f t="shared" si="19"/>
        <v/>
      </c>
      <c r="H297" s="20"/>
      <c r="I297" s="20"/>
      <c r="J297" s="20"/>
      <c r="K297" s="20"/>
      <c r="L297" s="20"/>
      <c r="M297" s="19" t="s">
        <v>71</v>
      </c>
      <c r="N297" s="19"/>
      <c r="O297" s="19" t="s">
        <v>71</v>
      </c>
      <c r="P297" s="19"/>
      <c r="Q297" s="19" t="s">
        <v>71</v>
      </c>
      <c r="R297" s="19"/>
      <c r="S297" s="19" t="s">
        <v>71</v>
      </c>
      <c r="T297" s="19"/>
      <c r="U297" s="19" t="s">
        <v>71</v>
      </c>
      <c r="V297" s="19"/>
      <c r="W297" s="19"/>
      <c r="X297" s="19"/>
      <c r="Y297" s="19" t="s">
        <v>71</v>
      </c>
      <c r="Z297" s="19"/>
      <c r="AA297" s="19" t="s">
        <v>71</v>
      </c>
      <c r="AB297" s="19"/>
      <c r="AC297" s="19" t="s">
        <v>71</v>
      </c>
      <c r="AD297" s="19"/>
      <c r="AE297" s="19" t="s">
        <v>71</v>
      </c>
      <c r="AF297" s="19"/>
      <c r="AG297" s="19" t="s">
        <v>71</v>
      </c>
      <c r="AH297" s="19"/>
      <c r="AI297" s="19" t="s">
        <v>71</v>
      </c>
      <c r="AJ297" s="19"/>
      <c r="AK297" s="19" t="s">
        <v>71</v>
      </c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1" t="e">
        <f>IF(SUM(E297,G297,I297,K297,M297,O297,Q297,S297,U297,W297,Y297,AA297,AC297,AE297,AG297,AI297,AK297,AM297,AO297,AQ297,#REF!)&gt;0,"Sí","No")</f>
        <v>#REF!</v>
      </c>
      <c r="CV297" s="92" t="e">
        <f>IF($CU297="Sí",_xlfn.TEXTJOIN(", ",TRUE,IF(N(E297)&gt;0,E$4,""),IF(N(G297)&gt;0,G$4,""),IF(N(I297)&gt;0,I$4,""),IF(N(K297)&gt;0,K$4,""),IF(N(M297)&gt;0,M$4,""),IF(N(O297)&gt;0,O$4,""),IF(N(Q297)&gt;0,Q$4,""),IF(N(S297)&gt;0,S$4,""),IF(N(U297)&gt;0,U$4,""),IF(N(W297)&gt;0,W$4,""),IF(N(Y297)&gt;0,Y$4,""),IF(N(AA297)&gt;0,AA$4,""),IF(N(AC297)&gt;0,AC$4,""),IF(N(AE297)&gt;0,AE$4,""),IF(N(AG297)&gt;0,AG$4,""),IF(N(AI297)&gt;0,AI$4,""),IF(N(AK297)&gt;0,AK$4,""),IF(N(AM297)&gt;0,AM$4,""),IF(N(AO297)&gt;0,AO$4,""),IF(N(AQ297)&gt;0,AQ$4,""),IF(N(#REF!)&gt;0,#REF!,"")),"")</f>
        <v>#REF!</v>
      </c>
      <c r="CW297" s="11"/>
      <c r="CX297" s="11" t="e">
        <f t="shared" si="17"/>
        <v>#REF!</v>
      </c>
      <c r="CY297" s="12"/>
      <c r="CZ297" s="68"/>
    </row>
    <row r="298" spans="1:104" ht="18" customHeight="1" x14ac:dyDescent="0.3">
      <c r="A298" s="150"/>
      <c r="B298" s="43"/>
      <c r="C298" s="12">
        <v>46316</v>
      </c>
      <c r="D298" s="20">
        <f t="shared" si="16"/>
        <v>0</v>
      </c>
      <c r="E298" s="20" t="str">
        <f t="shared" si="18"/>
        <v/>
      </c>
      <c r="F298" s="20"/>
      <c r="G298" s="20" t="str">
        <f t="shared" si="19"/>
        <v/>
      </c>
      <c r="H298" s="20"/>
      <c r="I298" s="20"/>
      <c r="J298" s="20"/>
      <c r="K298" s="20"/>
      <c r="L298" s="20"/>
      <c r="M298" s="19" t="s">
        <v>71</v>
      </c>
      <c r="N298" s="19"/>
      <c r="O298" s="19" t="s">
        <v>71</v>
      </c>
      <c r="P298" s="19"/>
      <c r="Q298" s="19" t="s">
        <v>71</v>
      </c>
      <c r="R298" s="19"/>
      <c r="S298" s="19" t="s">
        <v>71</v>
      </c>
      <c r="T298" s="19"/>
      <c r="U298" s="19" t="s">
        <v>71</v>
      </c>
      <c r="V298" s="19"/>
      <c r="W298" s="19"/>
      <c r="X298" s="19"/>
      <c r="Y298" s="19" t="s">
        <v>71</v>
      </c>
      <c r="Z298" s="19"/>
      <c r="AA298" s="19" t="s">
        <v>71</v>
      </c>
      <c r="AB298" s="19"/>
      <c r="AC298" s="19" t="s">
        <v>71</v>
      </c>
      <c r="AD298" s="19"/>
      <c r="AE298" s="19" t="s">
        <v>71</v>
      </c>
      <c r="AF298" s="19"/>
      <c r="AG298" s="19" t="s">
        <v>71</v>
      </c>
      <c r="AH298" s="19"/>
      <c r="AI298" s="19" t="s">
        <v>71</v>
      </c>
      <c r="AJ298" s="19"/>
      <c r="AK298" s="19" t="s">
        <v>71</v>
      </c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1" t="e">
        <f>IF(SUM(E298,G298,I298,K298,M298,O298,Q298,S298,U298,W298,Y298,AA298,AC298,AE298,AG298,AI298,AK298,AM298,AO298,AQ298,#REF!)&gt;0,"Sí","No")</f>
        <v>#REF!</v>
      </c>
      <c r="CV298" s="92" t="e">
        <f>IF($CU298="Sí",_xlfn.TEXTJOIN(", ",TRUE,IF(N(E298)&gt;0,E$4,""),IF(N(G298)&gt;0,G$4,""),IF(N(I298)&gt;0,I$4,""),IF(N(K298)&gt;0,K$4,""),IF(N(M298)&gt;0,M$4,""),IF(N(O298)&gt;0,O$4,""),IF(N(Q298)&gt;0,Q$4,""),IF(N(S298)&gt;0,S$4,""),IF(N(U298)&gt;0,U$4,""),IF(N(W298)&gt;0,W$4,""),IF(N(Y298)&gt;0,Y$4,""),IF(N(AA298)&gt;0,AA$4,""),IF(N(AC298)&gt;0,AC$4,""),IF(N(AE298)&gt;0,AE$4,""),IF(N(AG298)&gt;0,AG$4,""),IF(N(AI298)&gt;0,AI$4,""),IF(N(AK298)&gt;0,AK$4,""),IF(N(AM298)&gt;0,AM$4,""),IF(N(AO298)&gt;0,AO$4,""),IF(N(AQ298)&gt;0,AQ$4,""),IF(N(#REF!)&gt;0,#REF!,"")),"")</f>
        <v>#REF!</v>
      </c>
      <c r="CW298" s="11"/>
      <c r="CX298" s="11" t="e">
        <f t="shared" si="17"/>
        <v>#REF!</v>
      </c>
      <c r="CY298" s="12"/>
      <c r="CZ298" s="68"/>
    </row>
    <row r="299" spans="1:104" ht="18" customHeight="1" x14ac:dyDescent="0.3">
      <c r="A299" s="150"/>
      <c r="B299" s="43"/>
      <c r="C299" s="12">
        <v>46317</v>
      </c>
      <c r="D299" s="20">
        <f t="shared" si="16"/>
        <v>0</v>
      </c>
      <c r="E299" s="20" t="str">
        <f t="shared" si="18"/>
        <v/>
      </c>
      <c r="F299" s="20"/>
      <c r="G299" s="20" t="str">
        <f t="shared" si="19"/>
        <v/>
      </c>
      <c r="H299" s="20"/>
      <c r="I299" s="20"/>
      <c r="J299" s="20"/>
      <c r="K299" s="20"/>
      <c r="L299" s="20"/>
      <c r="M299" s="19"/>
      <c r="N299" s="19"/>
      <c r="O299" s="19"/>
      <c r="P299" s="19"/>
      <c r="Q299" s="19"/>
      <c r="R299" s="19"/>
      <c r="S299" s="19" t="s">
        <v>71</v>
      </c>
      <c r="T299" s="19"/>
      <c r="U299" s="19" t="s">
        <v>71</v>
      </c>
      <c r="V299" s="19"/>
      <c r="W299" s="19"/>
      <c r="X299" s="19"/>
      <c r="Y299" s="19" t="s">
        <v>71</v>
      </c>
      <c r="Z299" s="19"/>
      <c r="AA299" s="19" t="s">
        <v>71</v>
      </c>
      <c r="AB299" s="19"/>
      <c r="AC299" s="19" t="s">
        <v>71</v>
      </c>
      <c r="AD299" s="19"/>
      <c r="AE299" s="19" t="s">
        <v>71</v>
      </c>
      <c r="AF299" s="19"/>
      <c r="AG299" s="19" t="s">
        <v>71</v>
      </c>
      <c r="AH299" s="19"/>
      <c r="AI299" s="19" t="s">
        <v>71</v>
      </c>
      <c r="AJ299" s="19"/>
      <c r="AK299" s="19" t="s">
        <v>71</v>
      </c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1" t="e">
        <f>IF(SUM(E299,G299,I299,K299,M299,O299,Q299,S299,U299,W299,Y299,AA299,AC299,AE299,AG299,AI299,AK299,AM299,AO299,AQ299,#REF!)&gt;0,"Sí","No")</f>
        <v>#REF!</v>
      </c>
      <c r="CV299" s="92" t="e">
        <f>IF($CU299="Sí",_xlfn.TEXTJOIN(", ",TRUE,IF(N(E299)&gt;0,E$4,""),IF(N(G299)&gt;0,G$4,""),IF(N(I299)&gt;0,I$4,""),IF(N(K299)&gt;0,K$4,""),IF(N(M299)&gt;0,M$4,""),IF(N(O299)&gt;0,O$4,""),IF(N(Q299)&gt;0,Q$4,""),IF(N(S299)&gt;0,S$4,""),IF(N(U299)&gt;0,U$4,""),IF(N(W299)&gt;0,W$4,""),IF(N(Y299)&gt;0,Y$4,""),IF(N(AA299)&gt;0,AA$4,""),IF(N(AC299)&gt;0,AC$4,""),IF(N(AE299)&gt;0,AE$4,""),IF(N(AG299)&gt;0,AG$4,""),IF(N(AI299)&gt;0,AI$4,""),IF(N(AK299)&gt;0,AK$4,""),IF(N(AM299)&gt;0,AM$4,""),IF(N(AO299)&gt;0,AO$4,""),IF(N(AQ299)&gt;0,AQ$4,""),IF(N(#REF!)&gt;0,#REF!,"")),"")</f>
        <v>#REF!</v>
      </c>
      <c r="CW299" s="11"/>
      <c r="CX299" s="11" t="e">
        <f t="shared" si="17"/>
        <v>#REF!</v>
      </c>
      <c r="CY299" s="12"/>
      <c r="CZ299" s="68"/>
    </row>
    <row r="300" spans="1:104" ht="18" customHeight="1" x14ac:dyDescent="0.3">
      <c r="A300" s="150"/>
      <c r="B300" s="43"/>
      <c r="C300" s="12">
        <v>46318</v>
      </c>
      <c r="D300" s="20">
        <f t="shared" si="16"/>
        <v>0</v>
      </c>
      <c r="E300" s="20" t="str">
        <f t="shared" si="18"/>
        <v/>
      </c>
      <c r="F300" s="20"/>
      <c r="G300" s="20" t="str">
        <f t="shared" si="19"/>
        <v/>
      </c>
      <c r="H300" s="20"/>
      <c r="I300" s="20"/>
      <c r="J300" s="20"/>
      <c r="K300" s="20"/>
      <c r="L300" s="20"/>
      <c r="M300" s="19" t="s">
        <v>71</v>
      </c>
      <c r="N300" s="19"/>
      <c r="O300" s="19" t="s">
        <v>71</v>
      </c>
      <c r="P300" s="19"/>
      <c r="Q300" s="19" t="s">
        <v>71</v>
      </c>
      <c r="R300" s="19"/>
      <c r="S300" s="19" t="s">
        <v>71</v>
      </c>
      <c r="T300" s="19"/>
      <c r="U300" s="19" t="s">
        <v>71</v>
      </c>
      <c r="V300" s="19"/>
      <c r="W300" s="19"/>
      <c r="X300" s="19"/>
      <c r="Y300" s="19" t="s">
        <v>71</v>
      </c>
      <c r="Z300" s="19"/>
      <c r="AA300" s="19" t="s">
        <v>71</v>
      </c>
      <c r="AB300" s="19"/>
      <c r="AC300" s="19" t="s">
        <v>71</v>
      </c>
      <c r="AD300" s="19"/>
      <c r="AE300" s="19" t="s">
        <v>71</v>
      </c>
      <c r="AF300" s="19"/>
      <c r="AG300" s="19" t="s">
        <v>71</v>
      </c>
      <c r="AH300" s="19"/>
      <c r="AI300" s="19" t="s">
        <v>71</v>
      </c>
      <c r="AJ300" s="19"/>
      <c r="AK300" s="19" t="s">
        <v>71</v>
      </c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1" t="e">
        <f>IF(SUM(E300,G300,I300,K300,M300,O300,Q300,S300,U300,W300,Y300,AA300,AC300,AE300,AG300,AI300,AK300,AM300,AO300,AQ300,#REF!)&gt;0,"Sí","No")</f>
        <v>#REF!</v>
      </c>
      <c r="CV300" s="92" t="e">
        <f>IF($CU300="Sí",_xlfn.TEXTJOIN(", ",TRUE,IF(N(E300)&gt;0,E$4,""),IF(N(G300)&gt;0,G$4,""),IF(N(I300)&gt;0,I$4,""),IF(N(K300)&gt;0,K$4,""),IF(N(M300)&gt;0,M$4,""),IF(N(O300)&gt;0,O$4,""),IF(N(Q300)&gt;0,Q$4,""),IF(N(S300)&gt;0,S$4,""),IF(N(U300)&gt;0,U$4,""),IF(N(W300)&gt;0,W$4,""),IF(N(Y300)&gt;0,Y$4,""),IF(N(AA300)&gt;0,AA$4,""),IF(N(AC300)&gt;0,AC$4,""),IF(N(AE300)&gt;0,AE$4,""),IF(N(AG300)&gt;0,AG$4,""),IF(N(AI300)&gt;0,AI$4,""),IF(N(AK300)&gt;0,AK$4,""),IF(N(AM300)&gt;0,AM$4,""),IF(N(AO300)&gt;0,AO$4,""),IF(N(AQ300)&gt;0,AQ$4,""),IF(N(#REF!)&gt;0,#REF!,"")),"")</f>
        <v>#REF!</v>
      </c>
      <c r="CW300" s="11"/>
      <c r="CX300" s="11" t="e">
        <f t="shared" si="17"/>
        <v>#REF!</v>
      </c>
      <c r="CY300" s="12"/>
      <c r="CZ300" s="68"/>
    </row>
    <row r="301" spans="1:104" ht="18" customHeight="1" x14ac:dyDescent="0.3">
      <c r="A301" s="150"/>
      <c r="B301" s="43"/>
      <c r="C301" s="12">
        <v>46319</v>
      </c>
      <c r="D301" s="20">
        <f t="shared" si="16"/>
        <v>0</v>
      </c>
      <c r="E301" s="20" t="str">
        <f t="shared" si="18"/>
        <v/>
      </c>
      <c r="F301" s="20"/>
      <c r="G301" s="20" t="str">
        <f t="shared" si="19"/>
        <v/>
      </c>
      <c r="H301" s="20"/>
      <c r="I301" s="20"/>
      <c r="J301" s="20"/>
      <c r="K301" s="20"/>
      <c r="L301" s="20"/>
      <c r="M301" s="19" t="s">
        <v>71</v>
      </c>
      <c r="N301" s="19"/>
      <c r="O301" s="19" t="s">
        <v>71</v>
      </c>
      <c r="P301" s="19"/>
      <c r="Q301" s="19" t="s">
        <v>71</v>
      </c>
      <c r="R301" s="19"/>
      <c r="S301" s="19" t="s">
        <v>71</v>
      </c>
      <c r="T301" s="19"/>
      <c r="U301" s="19" t="s">
        <v>71</v>
      </c>
      <c r="V301" s="19"/>
      <c r="W301" s="19"/>
      <c r="X301" s="19"/>
      <c r="Y301" s="19" t="s">
        <v>71</v>
      </c>
      <c r="Z301" s="19"/>
      <c r="AA301" s="19" t="s">
        <v>71</v>
      </c>
      <c r="AB301" s="19"/>
      <c r="AC301" s="19" t="s">
        <v>71</v>
      </c>
      <c r="AD301" s="19"/>
      <c r="AE301" s="19" t="s">
        <v>71</v>
      </c>
      <c r="AF301" s="19"/>
      <c r="AG301" s="19" t="s">
        <v>71</v>
      </c>
      <c r="AH301" s="19"/>
      <c r="AI301" s="19" t="s">
        <v>71</v>
      </c>
      <c r="AJ301" s="19"/>
      <c r="AK301" s="19" t="s">
        <v>71</v>
      </c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1" t="e">
        <f>IF(SUM(E301,G301,I301,K301,M301,O301,Q301,S301,U301,W301,Y301,AA301,AC301,AE301,AG301,AI301,AK301,AM301,AO301,AQ301,#REF!)&gt;0,"Sí","No")</f>
        <v>#REF!</v>
      </c>
      <c r="CV301" s="92" t="e">
        <f>IF($CU301="Sí",_xlfn.TEXTJOIN(", ",TRUE,IF(N(E301)&gt;0,E$4,""),IF(N(G301)&gt;0,G$4,""),IF(N(I301)&gt;0,I$4,""),IF(N(K301)&gt;0,K$4,""),IF(N(M301)&gt;0,M$4,""),IF(N(O301)&gt;0,O$4,""),IF(N(Q301)&gt;0,Q$4,""),IF(N(S301)&gt;0,S$4,""),IF(N(U301)&gt;0,U$4,""),IF(N(W301)&gt;0,W$4,""),IF(N(Y301)&gt;0,Y$4,""),IF(N(AA301)&gt;0,AA$4,""),IF(N(AC301)&gt;0,AC$4,""),IF(N(AE301)&gt;0,AE$4,""),IF(N(AG301)&gt;0,AG$4,""),IF(N(AI301)&gt;0,AI$4,""),IF(N(AK301)&gt;0,AK$4,""),IF(N(AM301)&gt;0,AM$4,""),IF(N(AO301)&gt;0,AO$4,""),IF(N(AQ301)&gt;0,AQ$4,""),IF(N(#REF!)&gt;0,#REF!,"")),"")</f>
        <v>#REF!</v>
      </c>
      <c r="CW301" s="11"/>
      <c r="CX301" s="11" t="e">
        <f t="shared" si="17"/>
        <v>#REF!</v>
      </c>
      <c r="CY301" s="12"/>
      <c r="CZ301" s="68"/>
    </row>
    <row r="302" spans="1:104" ht="18" customHeight="1" x14ac:dyDescent="0.3">
      <c r="A302" s="150"/>
      <c r="B302" s="43"/>
      <c r="C302" s="12">
        <v>46320</v>
      </c>
      <c r="D302" s="20">
        <f t="shared" si="16"/>
        <v>0</v>
      </c>
      <c r="E302" s="20" t="str">
        <f t="shared" si="18"/>
        <v/>
      </c>
      <c r="F302" s="20"/>
      <c r="G302" s="20" t="str">
        <f t="shared" si="19"/>
        <v/>
      </c>
      <c r="H302" s="20"/>
      <c r="I302" s="20"/>
      <c r="J302" s="20"/>
      <c r="K302" s="20"/>
      <c r="L302" s="20"/>
      <c r="M302" s="19" t="s">
        <v>71</v>
      </c>
      <c r="N302" s="19"/>
      <c r="O302" s="19" t="s">
        <v>71</v>
      </c>
      <c r="P302" s="19"/>
      <c r="Q302" s="19" t="s">
        <v>71</v>
      </c>
      <c r="R302" s="19"/>
      <c r="S302" s="19" t="s">
        <v>71</v>
      </c>
      <c r="T302" s="19"/>
      <c r="U302" s="19" t="s">
        <v>71</v>
      </c>
      <c r="V302" s="19"/>
      <c r="W302" s="19"/>
      <c r="X302" s="19"/>
      <c r="Y302" s="19" t="s">
        <v>71</v>
      </c>
      <c r="Z302" s="19"/>
      <c r="AA302" s="19" t="s">
        <v>71</v>
      </c>
      <c r="AB302" s="19"/>
      <c r="AC302" s="19" t="s">
        <v>71</v>
      </c>
      <c r="AD302" s="19"/>
      <c r="AE302" s="19" t="s">
        <v>71</v>
      </c>
      <c r="AF302" s="19"/>
      <c r="AG302" s="19" t="s">
        <v>71</v>
      </c>
      <c r="AH302" s="19"/>
      <c r="AI302" s="19" t="s">
        <v>71</v>
      </c>
      <c r="AJ302" s="19"/>
      <c r="AK302" s="19" t="s">
        <v>71</v>
      </c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1" t="e">
        <f>IF(SUM(E302,G302,I302,K302,M302,O302,Q302,S302,U302,W302,Y302,AA302,AC302,AE302,AG302,AI302,AK302,AM302,AO302,AQ302,#REF!)&gt;0,"Sí","No")</f>
        <v>#REF!</v>
      </c>
      <c r="CV302" s="92" t="e">
        <f>IF($CU302="Sí",_xlfn.TEXTJOIN(", ",TRUE,IF(N(E302)&gt;0,E$4,""),IF(N(G302)&gt;0,G$4,""),IF(N(I302)&gt;0,I$4,""),IF(N(K302)&gt;0,K$4,""),IF(N(M302)&gt;0,M$4,""),IF(N(O302)&gt;0,O$4,""),IF(N(Q302)&gt;0,Q$4,""),IF(N(S302)&gt;0,S$4,""),IF(N(U302)&gt;0,U$4,""),IF(N(W302)&gt;0,W$4,""),IF(N(Y302)&gt;0,Y$4,""),IF(N(AA302)&gt;0,AA$4,""),IF(N(AC302)&gt;0,AC$4,""),IF(N(AE302)&gt;0,AE$4,""),IF(N(AG302)&gt;0,AG$4,""),IF(N(AI302)&gt;0,AI$4,""),IF(N(AK302)&gt;0,AK$4,""),IF(N(AM302)&gt;0,AM$4,""),IF(N(AO302)&gt;0,AO$4,""),IF(N(AQ302)&gt;0,AQ$4,""),IF(N(#REF!)&gt;0,#REF!,"")),"")</f>
        <v>#REF!</v>
      </c>
      <c r="CW302" s="11"/>
      <c r="CX302" s="11" t="e">
        <f t="shared" si="17"/>
        <v>#REF!</v>
      </c>
      <c r="CY302" s="12"/>
      <c r="CZ302" s="68"/>
    </row>
    <row r="303" spans="1:104" ht="18" customHeight="1" x14ac:dyDescent="0.3">
      <c r="A303" s="150"/>
      <c r="B303" s="43"/>
      <c r="C303" s="12">
        <v>46321</v>
      </c>
      <c r="D303" s="20">
        <f t="shared" si="16"/>
        <v>0</v>
      </c>
      <c r="E303" s="20" t="str">
        <f t="shared" si="18"/>
        <v/>
      </c>
      <c r="F303" s="20"/>
      <c r="G303" s="20" t="str">
        <f t="shared" si="19"/>
        <v/>
      </c>
      <c r="H303" s="20"/>
      <c r="I303" s="20"/>
      <c r="J303" s="20"/>
      <c r="K303" s="20"/>
      <c r="L303" s="20"/>
      <c r="M303" s="19" t="s">
        <v>71</v>
      </c>
      <c r="N303" s="19"/>
      <c r="O303" s="19" t="s">
        <v>71</v>
      </c>
      <c r="P303" s="19"/>
      <c r="Q303" s="19" t="s">
        <v>71</v>
      </c>
      <c r="R303" s="19"/>
      <c r="S303" s="19" t="s">
        <v>71</v>
      </c>
      <c r="T303" s="19"/>
      <c r="U303" s="19" t="s">
        <v>71</v>
      </c>
      <c r="V303" s="19"/>
      <c r="W303" s="19"/>
      <c r="X303" s="19"/>
      <c r="Y303" s="19" t="s">
        <v>71</v>
      </c>
      <c r="Z303" s="19"/>
      <c r="AA303" s="19" t="s">
        <v>71</v>
      </c>
      <c r="AB303" s="19"/>
      <c r="AC303" s="19" t="s">
        <v>71</v>
      </c>
      <c r="AD303" s="19"/>
      <c r="AE303" s="19" t="s">
        <v>71</v>
      </c>
      <c r="AF303" s="19"/>
      <c r="AG303" s="19" t="s">
        <v>71</v>
      </c>
      <c r="AH303" s="19"/>
      <c r="AI303" s="19" t="s">
        <v>71</v>
      </c>
      <c r="AJ303" s="19"/>
      <c r="AK303" s="19" t="s">
        <v>71</v>
      </c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1" t="e">
        <f>IF(SUM(E303,G303,I303,K303,M303,O303,Q303,S303,U303,W303,Y303,AA303,AC303,AE303,AG303,AI303,AK303,AM303,AO303,AQ303,#REF!)&gt;0,"Sí","No")</f>
        <v>#REF!</v>
      </c>
      <c r="CV303" s="92" t="e">
        <f>IF($CU303="Sí",_xlfn.TEXTJOIN(", ",TRUE,IF(N(E303)&gt;0,E$4,""),IF(N(G303)&gt;0,G$4,""),IF(N(I303)&gt;0,I$4,""),IF(N(K303)&gt;0,K$4,""),IF(N(M303)&gt;0,M$4,""),IF(N(O303)&gt;0,O$4,""),IF(N(Q303)&gt;0,Q$4,""),IF(N(S303)&gt;0,S$4,""),IF(N(U303)&gt;0,U$4,""),IF(N(W303)&gt;0,W$4,""),IF(N(Y303)&gt;0,Y$4,""),IF(N(AA303)&gt;0,AA$4,""),IF(N(AC303)&gt;0,AC$4,""),IF(N(AE303)&gt;0,AE$4,""),IF(N(AG303)&gt;0,AG$4,""),IF(N(AI303)&gt;0,AI$4,""),IF(N(AK303)&gt;0,AK$4,""),IF(N(AM303)&gt;0,AM$4,""),IF(N(AO303)&gt;0,AO$4,""),IF(N(AQ303)&gt;0,AQ$4,""),IF(N(#REF!)&gt;0,#REF!,"")),"")</f>
        <v>#REF!</v>
      </c>
      <c r="CW303" s="11"/>
      <c r="CX303" s="11" t="e">
        <f t="shared" si="17"/>
        <v>#REF!</v>
      </c>
      <c r="CY303" s="12"/>
      <c r="CZ303" s="68"/>
    </row>
    <row r="304" spans="1:104" ht="18" customHeight="1" x14ac:dyDescent="0.3">
      <c r="A304" s="150"/>
      <c r="B304" s="43"/>
      <c r="C304" s="12">
        <v>46322</v>
      </c>
      <c r="D304" s="20">
        <f t="shared" si="16"/>
        <v>0</v>
      </c>
      <c r="E304" s="20" t="str">
        <f t="shared" si="18"/>
        <v/>
      </c>
      <c r="F304" s="20"/>
      <c r="G304" s="20" t="str">
        <f t="shared" si="19"/>
        <v/>
      </c>
      <c r="H304" s="20"/>
      <c r="I304" s="20"/>
      <c r="J304" s="20"/>
      <c r="K304" s="20"/>
      <c r="L304" s="20"/>
      <c r="M304" s="19" t="s">
        <v>71</v>
      </c>
      <c r="N304" s="19"/>
      <c r="O304" s="19" t="s">
        <v>71</v>
      </c>
      <c r="P304" s="19"/>
      <c r="Q304" s="19" t="s">
        <v>71</v>
      </c>
      <c r="R304" s="19"/>
      <c r="S304" s="19" t="s">
        <v>71</v>
      </c>
      <c r="T304" s="19"/>
      <c r="U304" s="19" t="s">
        <v>71</v>
      </c>
      <c r="V304" s="19"/>
      <c r="W304" s="19"/>
      <c r="X304" s="19"/>
      <c r="Y304" s="19" t="s">
        <v>71</v>
      </c>
      <c r="Z304" s="19"/>
      <c r="AA304" s="19" t="s">
        <v>71</v>
      </c>
      <c r="AB304" s="19"/>
      <c r="AC304" s="19" t="s">
        <v>71</v>
      </c>
      <c r="AD304" s="19"/>
      <c r="AE304" s="19" t="s">
        <v>71</v>
      </c>
      <c r="AF304" s="19"/>
      <c r="AG304" s="19" t="s">
        <v>71</v>
      </c>
      <c r="AH304" s="19"/>
      <c r="AI304" s="19" t="s">
        <v>71</v>
      </c>
      <c r="AJ304" s="19"/>
      <c r="AK304" s="19" t="s">
        <v>71</v>
      </c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1" t="e">
        <f>IF(SUM(E304,G304,I304,K304,M304,O304,Q304,S304,U304,W304,Y304,AA304,AC304,AE304,AG304,AI304,AK304,AM304,AO304,AQ304,#REF!)&gt;0,"Sí","No")</f>
        <v>#REF!</v>
      </c>
      <c r="CV304" s="92" t="e">
        <f>IF($CU304="Sí",_xlfn.TEXTJOIN(", ",TRUE,IF(N(E304)&gt;0,E$4,""),IF(N(G304)&gt;0,G$4,""),IF(N(I304)&gt;0,I$4,""),IF(N(K304)&gt;0,K$4,""),IF(N(M304)&gt;0,M$4,""),IF(N(O304)&gt;0,O$4,""),IF(N(Q304)&gt;0,Q$4,""),IF(N(S304)&gt;0,S$4,""),IF(N(U304)&gt;0,U$4,""),IF(N(W304)&gt;0,W$4,""),IF(N(Y304)&gt;0,Y$4,""),IF(N(AA304)&gt;0,AA$4,""),IF(N(AC304)&gt;0,AC$4,""),IF(N(AE304)&gt;0,AE$4,""),IF(N(AG304)&gt;0,AG$4,""),IF(N(AI304)&gt;0,AI$4,""),IF(N(AK304)&gt;0,AK$4,""),IF(N(AM304)&gt;0,AM$4,""),IF(N(AO304)&gt;0,AO$4,""),IF(N(AQ304)&gt;0,AQ$4,""),IF(N(#REF!)&gt;0,#REF!,"")),"")</f>
        <v>#REF!</v>
      </c>
      <c r="CW304" s="11"/>
      <c r="CX304" s="11" t="e">
        <f t="shared" si="17"/>
        <v>#REF!</v>
      </c>
      <c r="CY304" s="12"/>
      <c r="CZ304" s="68"/>
    </row>
    <row r="305" spans="1:104" ht="18" customHeight="1" x14ac:dyDescent="0.3">
      <c r="A305" s="150"/>
      <c r="B305" s="43"/>
      <c r="C305" s="12">
        <v>46323</v>
      </c>
      <c r="D305" s="20">
        <f t="shared" si="16"/>
        <v>0</v>
      </c>
      <c r="E305" s="20" t="str">
        <f t="shared" si="18"/>
        <v/>
      </c>
      <c r="F305" s="20"/>
      <c r="G305" s="20" t="str">
        <f t="shared" si="19"/>
        <v/>
      </c>
      <c r="H305" s="20"/>
      <c r="I305" s="20"/>
      <c r="J305" s="20"/>
      <c r="K305" s="20"/>
      <c r="L305" s="20"/>
      <c r="M305" s="19" t="s">
        <v>71</v>
      </c>
      <c r="N305" s="19"/>
      <c r="O305" s="19" t="s">
        <v>71</v>
      </c>
      <c r="P305" s="19"/>
      <c r="Q305" s="19" t="s">
        <v>71</v>
      </c>
      <c r="R305" s="19"/>
      <c r="S305" s="26" t="s">
        <v>71</v>
      </c>
      <c r="T305" s="26"/>
      <c r="U305" s="19" t="s">
        <v>71</v>
      </c>
      <c r="V305" s="19"/>
      <c r="W305" s="19"/>
      <c r="X305" s="19"/>
      <c r="Y305" s="19" t="s">
        <v>71</v>
      </c>
      <c r="Z305" s="19"/>
      <c r="AA305" s="26" t="s">
        <v>71</v>
      </c>
      <c r="AB305" s="26"/>
      <c r="AC305" s="26" t="s">
        <v>71</v>
      </c>
      <c r="AD305" s="26"/>
      <c r="AE305" s="26" t="s">
        <v>71</v>
      </c>
      <c r="AF305" s="26"/>
      <c r="AG305" s="26" t="s">
        <v>71</v>
      </c>
      <c r="AH305" s="26"/>
      <c r="AI305" s="26" t="s">
        <v>71</v>
      </c>
      <c r="AJ305" s="26"/>
      <c r="AK305" s="26" t="s">
        <v>71</v>
      </c>
      <c r="AL305" s="26"/>
      <c r="AM305" s="26"/>
      <c r="AN305" s="26"/>
      <c r="AO305" s="26"/>
      <c r="AP305" s="26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1" t="e">
        <f>IF(SUM(E305,G305,I305,K305,M305,O305,Q305,S305,U305,W305,Y305,AA305,AC305,AE305,AG305,AI305,AK305,AM305,AO305,AQ305,#REF!)&gt;0,"Sí","No")</f>
        <v>#REF!</v>
      </c>
      <c r="CV305" s="92" t="e">
        <f>IF($CU305="Sí",_xlfn.TEXTJOIN(", ",TRUE,IF(N(E305)&gt;0,E$4,""),IF(N(G305)&gt;0,G$4,""),IF(N(I305)&gt;0,I$4,""),IF(N(K305)&gt;0,K$4,""),IF(N(M305)&gt;0,M$4,""),IF(N(O305)&gt;0,O$4,""),IF(N(Q305)&gt;0,Q$4,""),IF(N(S305)&gt;0,S$4,""),IF(N(U305)&gt;0,U$4,""),IF(N(W305)&gt;0,W$4,""),IF(N(Y305)&gt;0,Y$4,""),IF(N(AA305)&gt;0,AA$4,""),IF(N(AC305)&gt;0,AC$4,""),IF(N(AE305)&gt;0,AE$4,""),IF(N(AG305)&gt;0,AG$4,""),IF(N(AI305)&gt;0,AI$4,""),IF(N(AK305)&gt;0,AK$4,""),IF(N(AM305)&gt;0,AM$4,""),IF(N(AO305)&gt;0,AO$4,""),IF(N(AQ305)&gt;0,AQ$4,""),IF(N(#REF!)&gt;0,#REF!,"")),"")</f>
        <v>#REF!</v>
      </c>
      <c r="CW305" s="11"/>
      <c r="CX305" s="11" t="e">
        <f t="shared" si="17"/>
        <v>#REF!</v>
      </c>
      <c r="CY305" s="12"/>
      <c r="CZ305" s="68"/>
    </row>
    <row r="306" spans="1:104" ht="18" customHeight="1" x14ac:dyDescent="0.3">
      <c r="A306" s="150"/>
      <c r="B306" s="43"/>
      <c r="C306" s="12">
        <v>46324</v>
      </c>
      <c r="D306" s="20">
        <f t="shared" si="16"/>
        <v>0</v>
      </c>
      <c r="E306" s="20" t="str">
        <f t="shared" si="18"/>
        <v/>
      </c>
      <c r="F306" s="20"/>
      <c r="G306" s="20" t="str">
        <f t="shared" si="19"/>
        <v/>
      </c>
      <c r="H306" s="20"/>
      <c r="I306" s="20"/>
      <c r="J306" s="20"/>
      <c r="K306" s="20"/>
      <c r="L306" s="20"/>
      <c r="M306" s="19" t="s">
        <v>71</v>
      </c>
      <c r="N306" s="19"/>
      <c r="O306" s="19" t="s">
        <v>71</v>
      </c>
      <c r="P306" s="19"/>
      <c r="Q306" s="19" t="s">
        <v>71</v>
      </c>
      <c r="R306" s="19"/>
      <c r="S306" s="19" t="s">
        <v>71</v>
      </c>
      <c r="T306" s="19"/>
      <c r="U306" s="19" t="s">
        <v>71</v>
      </c>
      <c r="V306" s="19"/>
      <c r="W306" s="19"/>
      <c r="X306" s="19"/>
      <c r="Y306" s="19" t="s">
        <v>71</v>
      </c>
      <c r="Z306" s="19"/>
      <c r="AA306" s="19" t="s">
        <v>71</v>
      </c>
      <c r="AB306" s="19"/>
      <c r="AC306" s="19" t="s">
        <v>71</v>
      </c>
      <c r="AD306" s="19"/>
      <c r="AE306" s="19" t="s">
        <v>71</v>
      </c>
      <c r="AF306" s="19"/>
      <c r="AG306" s="19" t="s">
        <v>71</v>
      </c>
      <c r="AH306" s="19"/>
      <c r="AI306" s="19" t="s">
        <v>71</v>
      </c>
      <c r="AJ306" s="19"/>
      <c r="AK306" s="19" t="s">
        <v>71</v>
      </c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 t="s">
        <v>71</v>
      </c>
      <c r="CF306" s="19"/>
      <c r="CG306" s="19" t="s">
        <v>71</v>
      </c>
      <c r="CH306" s="19"/>
      <c r="CI306" s="19" t="s">
        <v>71</v>
      </c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1" t="e">
        <f>IF(SUM(E306,G306,I306,K306,M306,O306,Q306,S306,U306,W306,Y306,AA306,AC306,AE306,AG306,AI306,AK306,AM306,AO306,AQ306,#REF!)&gt;0,"Sí","No")</f>
        <v>#REF!</v>
      </c>
      <c r="CV306" s="92" t="e">
        <f>IF($CU306="Sí",_xlfn.TEXTJOIN(", ",TRUE,IF(N(E306)&gt;0,E$4,""),IF(N(G306)&gt;0,G$4,""),IF(N(I306)&gt;0,I$4,""),IF(N(K306)&gt;0,K$4,""),IF(N(M306)&gt;0,M$4,""),IF(N(O306)&gt;0,O$4,""),IF(N(Q306)&gt;0,Q$4,""),IF(N(S306)&gt;0,S$4,""),IF(N(U306)&gt;0,U$4,""),IF(N(W306)&gt;0,W$4,""),IF(N(Y306)&gt;0,Y$4,""),IF(N(AA306)&gt;0,AA$4,""),IF(N(AC306)&gt;0,AC$4,""),IF(N(AE306)&gt;0,AE$4,""),IF(N(AG306)&gt;0,AG$4,""),IF(N(AI306)&gt;0,AI$4,""),IF(N(AK306)&gt;0,AK$4,""),IF(N(AM306)&gt;0,AM$4,""),IF(N(AO306)&gt;0,AO$4,""),IF(N(AQ306)&gt;0,AQ$4,""),IF(N(#REF!)&gt;0,#REF!,"")),"")</f>
        <v>#REF!</v>
      </c>
      <c r="CW306" s="11"/>
      <c r="CX306" s="11" t="e">
        <f t="shared" si="17"/>
        <v>#REF!</v>
      </c>
      <c r="CY306" s="12"/>
      <c r="CZ306" s="68"/>
    </row>
    <row r="307" spans="1:104" ht="18" customHeight="1" x14ac:dyDescent="0.3">
      <c r="A307" s="150"/>
      <c r="B307" s="43"/>
      <c r="C307" s="12">
        <v>46325</v>
      </c>
      <c r="D307" s="20">
        <f t="shared" si="16"/>
        <v>0</v>
      </c>
      <c r="E307" s="20" t="str">
        <f t="shared" si="18"/>
        <v/>
      </c>
      <c r="F307" s="20"/>
      <c r="G307" s="20" t="str">
        <f t="shared" si="19"/>
        <v/>
      </c>
      <c r="H307" s="20"/>
      <c r="I307" s="20"/>
      <c r="J307" s="20"/>
      <c r="K307" s="20"/>
      <c r="L307" s="20"/>
      <c r="M307" s="19" t="s">
        <v>71</v>
      </c>
      <c r="N307" s="19"/>
      <c r="O307" s="19" t="s">
        <v>71</v>
      </c>
      <c r="P307" s="19"/>
      <c r="Q307" s="19" t="s">
        <v>71</v>
      </c>
      <c r="R307" s="19"/>
      <c r="S307" s="19" t="s">
        <v>71</v>
      </c>
      <c r="T307" s="19"/>
      <c r="U307" s="19" t="s">
        <v>71</v>
      </c>
      <c r="V307" s="19"/>
      <c r="W307" s="19"/>
      <c r="X307" s="19"/>
      <c r="Y307" s="19" t="s">
        <v>71</v>
      </c>
      <c r="Z307" s="19"/>
      <c r="AA307" s="19" t="s">
        <v>71</v>
      </c>
      <c r="AB307" s="19"/>
      <c r="AC307" s="19" t="s">
        <v>71</v>
      </c>
      <c r="AD307" s="19"/>
      <c r="AE307" s="19" t="s">
        <v>71</v>
      </c>
      <c r="AF307" s="19"/>
      <c r="AG307" s="19" t="s">
        <v>71</v>
      </c>
      <c r="AH307" s="19"/>
      <c r="AI307" s="19" t="s">
        <v>71</v>
      </c>
      <c r="AJ307" s="19"/>
      <c r="AK307" s="19" t="s">
        <v>71</v>
      </c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 t="s">
        <v>71</v>
      </c>
      <c r="CF307" s="19"/>
      <c r="CG307" s="19" t="s">
        <v>71</v>
      </c>
      <c r="CH307" s="19"/>
      <c r="CI307" s="19" t="s">
        <v>71</v>
      </c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1" t="e">
        <f>IF(SUM(E307,G307,I307,K307,M307,O307,Q307,S307,U307,W307,Y307,AA307,AC307,AE307,AG307,AI307,AK307,AM307,AO307,AQ307,#REF!)&gt;0,"Sí","No")</f>
        <v>#REF!</v>
      </c>
      <c r="CV307" s="92" t="e">
        <f>IF($CU307="Sí",_xlfn.TEXTJOIN(", ",TRUE,IF(N(E307)&gt;0,E$4,""),IF(N(G307)&gt;0,G$4,""),IF(N(I307)&gt;0,I$4,""),IF(N(K307)&gt;0,K$4,""),IF(N(M307)&gt;0,M$4,""),IF(N(O307)&gt;0,O$4,""),IF(N(Q307)&gt;0,Q$4,""),IF(N(S307)&gt;0,S$4,""),IF(N(U307)&gt;0,U$4,""),IF(N(W307)&gt;0,W$4,""),IF(N(Y307)&gt;0,Y$4,""),IF(N(AA307)&gt;0,AA$4,""),IF(N(AC307)&gt;0,AC$4,""),IF(N(AE307)&gt;0,AE$4,""),IF(N(AG307)&gt;0,AG$4,""),IF(N(AI307)&gt;0,AI$4,""),IF(N(AK307)&gt;0,AK$4,""),IF(N(AM307)&gt;0,AM$4,""),IF(N(AO307)&gt;0,AO$4,""),IF(N(AQ307)&gt;0,AQ$4,""),IF(N(#REF!)&gt;0,#REF!,"")),"")</f>
        <v>#REF!</v>
      </c>
      <c r="CW307" s="11"/>
      <c r="CX307" s="11" t="e">
        <f t="shared" si="17"/>
        <v>#REF!</v>
      </c>
      <c r="CY307" s="12"/>
      <c r="CZ307" s="68"/>
    </row>
    <row r="308" spans="1:104" ht="18" customHeight="1" thickBot="1" x14ac:dyDescent="0.35">
      <c r="A308" s="151"/>
      <c r="B308" s="44"/>
      <c r="C308" s="30">
        <v>46326</v>
      </c>
      <c r="D308" s="31">
        <f t="shared" si="16"/>
        <v>0</v>
      </c>
      <c r="E308" s="31" t="str">
        <f t="shared" si="18"/>
        <v/>
      </c>
      <c r="F308" s="31"/>
      <c r="G308" s="31" t="str">
        <f t="shared" si="19"/>
        <v/>
      </c>
      <c r="H308" s="31"/>
      <c r="I308" s="31"/>
      <c r="J308" s="31"/>
      <c r="K308" s="31"/>
      <c r="L308" s="31"/>
      <c r="M308" s="32" t="s">
        <v>71</v>
      </c>
      <c r="N308" s="32"/>
      <c r="O308" s="32" t="s">
        <v>71</v>
      </c>
      <c r="P308" s="32"/>
      <c r="Q308" s="32" t="s">
        <v>71</v>
      </c>
      <c r="R308" s="32"/>
      <c r="S308" s="32" t="s">
        <v>71</v>
      </c>
      <c r="T308" s="32"/>
      <c r="U308" s="32" t="s">
        <v>71</v>
      </c>
      <c r="V308" s="32"/>
      <c r="W308" s="32"/>
      <c r="X308" s="32"/>
      <c r="Y308" s="32" t="s">
        <v>71</v>
      </c>
      <c r="Z308" s="32"/>
      <c r="AA308" s="32" t="s">
        <v>71</v>
      </c>
      <c r="AB308" s="32"/>
      <c r="AC308" s="32" t="s">
        <v>71</v>
      </c>
      <c r="AD308" s="32"/>
      <c r="AE308" s="32" t="s">
        <v>71</v>
      </c>
      <c r="AF308" s="32"/>
      <c r="AG308" s="32" t="s">
        <v>71</v>
      </c>
      <c r="AH308" s="32"/>
      <c r="AI308" s="32" t="s">
        <v>71</v>
      </c>
      <c r="AJ308" s="32"/>
      <c r="AK308" s="32" t="s">
        <v>71</v>
      </c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 t="s">
        <v>71</v>
      </c>
      <c r="CF308" s="32"/>
      <c r="CG308" s="32" t="s">
        <v>71</v>
      </c>
      <c r="CH308" s="32"/>
      <c r="CI308" s="32" t="s">
        <v>71</v>
      </c>
      <c r="CJ308" s="32"/>
      <c r="CK308" s="32" t="s">
        <v>71</v>
      </c>
      <c r="CL308" s="32"/>
      <c r="CM308" s="32"/>
      <c r="CN308" s="32"/>
      <c r="CO308" s="32"/>
      <c r="CP308" s="32"/>
      <c r="CQ308" s="32"/>
      <c r="CR308" s="32"/>
      <c r="CS308" s="32"/>
      <c r="CT308" s="32"/>
      <c r="CU308" s="70" t="e">
        <f>IF(SUM(E308,G308,I308,K308,M308,O308,Q308,S308,U308,W308,Y308,AA308,AC308,AE308,AG308,AI308,AK308,AM308,AO308,AQ308,#REF!)&gt;0,"Sí","No")</f>
        <v>#REF!</v>
      </c>
      <c r="CV308" s="108" t="e">
        <f>IF($CU308="Sí",_xlfn.TEXTJOIN(", ",TRUE,IF(N(E308)&gt;0,E$4,""),IF(N(G308)&gt;0,G$4,""),IF(N(I308)&gt;0,I$4,""),IF(N(K308)&gt;0,K$4,""),IF(N(M308)&gt;0,M$4,""),IF(N(O308)&gt;0,O$4,""),IF(N(Q308)&gt;0,Q$4,""),IF(N(S308)&gt;0,S$4,""),IF(N(U308)&gt;0,U$4,""),IF(N(W308)&gt;0,W$4,""),IF(N(Y308)&gt;0,Y$4,""),IF(N(AA308)&gt;0,AA$4,""),IF(N(AC308)&gt;0,AC$4,""),IF(N(AE308)&gt;0,AE$4,""),IF(N(AG308)&gt;0,AG$4,""),IF(N(AI308)&gt;0,AI$4,""),IF(N(AK308)&gt;0,AK$4,""),IF(N(AM308)&gt;0,AM$4,""),IF(N(AO308)&gt;0,AO$4,""),IF(N(AQ308)&gt;0,AQ$4,""),IF(N(#REF!)&gt;0,#REF!,"")),"")</f>
        <v>#REF!</v>
      </c>
      <c r="CW308" s="70"/>
      <c r="CX308" s="70" t="e">
        <f t="shared" si="17"/>
        <v>#REF!</v>
      </c>
      <c r="CY308" s="30"/>
      <c r="CZ308" s="73"/>
    </row>
    <row r="309" spans="1:104" ht="18" customHeight="1" x14ac:dyDescent="0.3">
      <c r="A309" s="148" t="s">
        <v>67</v>
      </c>
      <c r="B309" s="42"/>
      <c r="C309" s="15">
        <v>46327</v>
      </c>
      <c r="D309" s="27">
        <f t="shared" si="16"/>
        <v>0</v>
      </c>
      <c r="E309" s="27"/>
      <c r="F309" s="27"/>
      <c r="G309" s="27" t="str">
        <f t="shared" si="19"/>
        <v/>
      </c>
      <c r="H309" s="27"/>
      <c r="I309" s="27"/>
      <c r="J309" s="27"/>
      <c r="K309" s="27"/>
      <c r="L309" s="27"/>
      <c r="M309" s="18" t="s">
        <v>71</v>
      </c>
      <c r="N309" s="18"/>
      <c r="O309" s="18" t="s">
        <v>71</v>
      </c>
      <c r="P309" s="18"/>
      <c r="Q309" s="18" t="s">
        <v>71</v>
      </c>
      <c r="R309" s="18"/>
      <c r="S309" s="18" t="s">
        <v>71</v>
      </c>
      <c r="T309" s="18"/>
      <c r="U309" s="18" t="s">
        <v>71</v>
      </c>
      <c r="V309" s="18"/>
      <c r="W309" s="18"/>
      <c r="X309" s="18"/>
      <c r="Y309" s="18" t="s">
        <v>71</v>
      </c>
      <c r="Z309" s="18"/>
      <c r="AA309" s="18" t="s">
        <v>71</v>
      </c>
      <c r="AB309" s="18"/>
      <c r="AC309" s="18" t="s">
        <v>71</v>
      </c>
      <c r="AD309" s="18"/>
      <c r="AE309" s="18" t="s">
        <v>71</v>
      </c>
      <c r="AF309" s="18"/>
      <c r="AG309" s="18" t="s">
        <v>71</v>
      </c>
      <c r="AH309" s="18"/>
      <c r="AI309" s="18" t="s">
        <v>71</v>
      </c>
      <c r="AJ309" s="18"/>
      <c r="AK309" s="18" t="s">
        <v>71</v>
      </c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 t="s">
        <v>71</v>
      </c>
      <c r="CF309" s="18"/>
      <c r="CG309" s="18" t="s">
        <v>71</v>
      </c>
      <c r="CH309" s="18"/>
      <c r="CI309" s="18" t="s">
        <v>71</v>
      </c>
      <c r="CJ309" s="18"/>
      <c r="CK309" s="18" t="s">
        <v>71</v>
      </c>
      <c r="CL309" s="18"/>
      <c r="CM309" s="18"/>
      <c r="CN309" s="18"/>
      <c r="CO309" s="18"/>
      <c r="CP309" s="18"/>
      <c r="CQ309" s="18"/>
      <c r="CR309" s="18"/>
      <c r="CS309" s="18"/>
      <c r="CT309" s="18"/>
      <c r="CU309" s="14" t="e">
        <f>IF(SUM(E309,G309,I309,K309,M309,O309,Q309,S309,U309,W309,Y309,AA309,AC309,AE309,AG309,AI309,AK309,AM309,AO309,AQ309,#REF!)&gt;0,"Sí","No")</f>
        <v>#REF!</v>
      </c>
      <c r="CV309" s="107" t="e">
        <f>IF($CU309="Sí",_xlfn.TEXTJOIN(", ",TRUE,IF(N(E309)&gt;0,E$4,""),IF(N(G309)&gt;0,G$4,""),IF(N(I309)&gt;0,I$4,""),IF(N(K309)&gt;0,K$4,""),IF(N(M309)&gt;0,M$4,""),IF(N(O309)&gt;0,O$4,""),IF(N(Q309)&gt;0,Q$4,""),IF(N(S309)&gt;0,S$4,""),IF(N(U309)&gt;0,U$4,""),IF(N(W309)&gt;0,W$4,""),IF(N(Y309)&gt;0,Y$4,""),IF(N(AA309)&gt;0,AA$4,""),IF(N(AC309)&gt;0,AC$4,""),IF(N(AE309)&gt;0,AE$4,""),IF(N(AG309)&gt;0,AG$4,""),IF(N(AI309)&gt;0,AI$4,""),IF(N(AK309)&gt;0,AK$4,""),IF(N(AM309)&gt;0,AM$4,""),IF(N(AO309)&gt;0,AO$4,""),IF(N(AQ309)&gt;0,AQ$4,""),IF(N(#REF!)&gt;0,#REF!,"")),"")</f>
        <v>#REF!</v>
      </c>
      <c r="CW309" s="14"/>
      <c r="CX309" s="14" t="e">
        <f t="shared" si="17"/>
        <v>#REF!</v>
      </c>
      <c r="CY309" s="15"/>
      <c r="CZ309" s="66"/>
    </row>
    <row r="310" spans="1:104" ht="18" customHeight="1" x14ac:dyDescent="0.3">
      <c r="A310" s="150"/>
      <c r="B310" s="43"/>
      <c r="C310" s="12">
        <v>46328</v>
      </c>
      <c r="D310" s="20">
        <f t="shared" si="16"/>
        <v>0</v>
      </c>
      <c r="E310" s="20" t="str">
        <f t="shared" si="18"/>
        <v/>
      </c>
      <c r="F310" s="20"/>
      <c r="G310" s="20" t="str">
        <f t="shared" si="19"/>
        <v/>
      </c>
      <c r="H310" s="20"/>
      <c r="I310" s="20"/>
      <c r="J310" s="20"/>
      <c r="K310" s="20"/>
      <c r="L310" s="20"/>
      <c r="M310" s="19" t="s">
        <v>71</v>
      </c>
      <c r="N310" s="19"/>
      <c r="O310" s="19" t="s">
        <v>71</v>
      </c>
      <c r="P310" s="19"/>
      <c r="Q310" s="19" t="s">
        <v>71</v>
      </c>
      <c r="R310" s="19"/>
      <c r="S310" s="19" t="s">
        <v>71</v>
      </c>
      <c r="T310" s="19"/>
      <c r="U310" s="19" t="s">
        <v>71</v>
      </c>
      <c r="V310" s="19"/>
      <c r="W310" s="19"/>
      <c r="X310" s="19"/>
      <c r="Y310" s="19" t="s">
        <v>71</v>
      </c>
      <c r="Z310" s="19"/>
      <c r="AA310" s="19" t="s">
        <v>71</v>
      </c>
      <c r="AB310" s="19"/>
      <c r="AC310" s="19" t="s">
        <v>71</v>
      </c>
      <c r="AD310" s="19"/>
      <c r="AE310" s="19" t="s">
        <v>71</v>
      </c>
      <c r="AF310" s="19"/>
      <c r="AG310" s="19" t="s">
        <v>71</v>
      </c>
      <c r="AH310" s="19"/>
      <c r="AI310" s="19" t="s">
        <v>71</v>
      </c>
      <c r="AJ310" s="19"/>
      <c r="AK310" s="19" t="s">
        <v>71</v>
      </c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 t="s">
        <v>71</v>
      </c>
      <c r="CF310" s="19"/>
      <c r="CG310" s="19" t="s">
        <v>71</v>
      </c>
      <c r="CH310" s="19"/>
      <c r="CI310" s="19" t="s">
        <v>71</v>
      </c>
      <c r="CJ310" s="19"/>
      <c r="CK310" s="19" t="s">
        <v>71</v>
      </c>
      <c r="CL310" s="19"/>
      <c r="CM310" s="19"/>
      <c r="CN310" s="19"/>
      <c r="CO310" s="19"/>
      <c r="CP310" s="19"/>
      <c r="CQ310" s="19"/>
      <c r="CR310" s="19"/>
      <c r="CS310" s="19"/>
      <c r="CT310" s="19"/>
      <c r="CU310" s="11" t="e">
        <f>IF(SUM(E310,G310,I310,K310,M310,O310,Q310,S310,U310,W310,Y310,AA310,AC310,AE310,AG310,AI310,AK310,AM310,AO310,AQ310,#REF!)&gt;0,"Sí","No")</f>
        <v>#REF!</v>
      </c>
      <c r="CV310" s="92" t="e">
        <f>IF($CU310="Sí",_xlfn.TEXTJOIN(", ",TRUE,IF(N(E310)&gt;0,E$4,""),IF(N(G310)&gt;0,G$4,""),IF(N(I310)&gt;0,I$4,""),IF(N(K310)&gt;0,K$4,""),IF(N(M310)&gt;0,M$4,""),IF(N(O310)&gt;0,O$4,""),IF(N(Q310)&gt;0,Q$4,""),IF(N(S310)&gt;0,S$4,""),IF(N(U310)&gt;0,U$4,""),IF(N(W310)&gt;0,W$4,""),IF(N(Y310)&gt;0,Y$4,""),IF(N(AA310)&gt;0,AA$4,""),IF(N(AC310)&gt;0,AC$4,""),IF(N(AE310)&gt;0,AE$4,""),IF(N(AG310)&gt;0,AG$4,""),IF(N(AI310)&gt;0,AI$4,""),IF(N(AK310)&gt;0,AK$4,""),IF(N(AM310)&gt;0,AM$4,""),IF(N(AO310)&gt;0,AO$4,""),IF(N(AQ310)&gt;0,AQ$4,""),IF(N(#REF!)&gt;0,#REF!,"")),"")</f>
        <v>#REF!</v>
      </c>
      <c r="CW310" s="11"/>
      <c r="CX310" s="11" t="e">
        <f t="shared" si="17"/>
        <v>#REF!</v>
      </c>
      <c r="CY310" s="12"/>
      <c r="CZ310" s="68"/>
    </row>
    <row r="311" spans="1:104" ht="18" customHeight="1" x14ac:dyDescent="0.3">
      <c r="A311" s="150"/>
      <c r="B311" s="43"/>
      <c r="C311" s="12">
        <v>46329</v>
      </c>
      <c r="D311" s="20">
        <f t="shared" si="16"/>
        <v>0</v>
      </c>
      <c r="E311" s="20" t="str">
        <f t="shared" si="18"/>
        <v/>
      </c>
      <c r="F311" s="20"/>
      <c r="G311" s="20" t="str">
        <f t="shared" si="19"/>
        <v/>
      </c>
      <c r="H311" s="20"/>
      <c r="I311" s="20"/>
      <c r="J311" s="20"/>
      <c r="K311" s="20"/>
      <c r="L311" s="20"/>
      <c r="M311" s="19" t="s">
        <v>71</v>
      </c>
      <c r="N311" s="19"/>
      <c r="O311" s="19" t="s">
        <v>71</v>
      </c>
      <c r="P311" s="19"/>
      <c r="Q311" s="19" t="s">
        <v>71</v>
      </c>
      <c r="R311" s="19"/>
      <c r="S311" s="19" t="s">
        <v>71</v>
      </c>
      <c r="T311" s="19"/>
      <c r="U311" s="19" t="s">
        <v>71</v>
      </c>
      <c r="V311" s="19"/>
      <c r="W311" s="19"/>
      <c r="X311" s="19"/>
      <c r="Y311" s="19" t="s">
        <v>71</v>
      </c>
      <c r="Z311" s="19"/>
      <c r="AA311" s="19" t="s">
        <v>71</v>
      </c>
      <c r="AB311" s="19"/>
      <c r="AC311" s="19" t="s">
        <v>71</v>
      </c>
      <c r="AD311" s="19"/>
      <c r="AE311" s="19" t="s">
        <v>71</v>
      </c>
      <c r="AF311" s="19"/>
      <c r="AG311" s="19" t="s">
        <v>71</v>
      </c>
      <c r="AH311" s="19"/>
      <c r="AI311" s="19" t="s">
        <v>71</v>
      </c>
      <c r="AJ311" s="19"/>
      <c r="AK311" s="19" t="s">
        <v>71</v>
      </c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 t="s">
        <v>71</v>
      </c>
      <c r="CF311" s="19"/>
      <c r="CG311" s="19" t="s">
        <v>71</v>
      </c>
      <c r="CH311" s="19"/>
      <c r="CI311" s="19" t="s">
        <v>71</v>
      </c>
      <c r="CJ311" s="19"/>
      <c r="CK311" s="19" t="s">
        <v>71</v>
      </c>
      <c r="CL311" s="19"/>
      <c r="CM311" s="19"/>
      <c r="CN311" s="19"/>
      <c r="CO311" s="19"/>
      <c r="CP311" s="19"/>
      <c r="CQ311" s="19"/>
      <c r="CR311" s="19"/>
      <c r="CS311" s="19"/>
      <c r="CT311" s="19"/>
      <c r="CU311" s="11" t="e">
        <f>IF(SUM(E311,G311,I311,K311,M311,O311,Q311,S311,U311,W311,Y311,AA311,AC311,AE311,AG311,AI311,AK311,AM311,AO311,AQ311,#REF!)&gt;0,"Sí","No")</f>
        <v>#REF!</v>
      </c>
      <c r="CV311" s="92" t="e">
        <f>IF($CU311="Sí",_xlfn.TEXTJOIN(", ",TRUE,IF(N(E311)&gt;0,E$4,""),IF(N(G311)&gt;0,G$4,""),IF(N(I311)&gt;0,I$4,""),IF(N(K311)&gt;0,K$4,""),IF(N(M311)&gt;0,M$4,""),IF(N(O311)&gt;0,O$4,""),IF(N(Q311)&gt;0,Q$4,""),IF(N(S311)&gt;0,S$4,""),IF(N(U311)&gt;0,U$4,""),IF(N(W311)&gt;0,W$4,""),IF(N(Y311)&gt;0,Y$4,""),IF(N(AA311)&gt;0,AA$4,""),IF(N(AC311)&gt;0,AC$4,""),IF(N(AE311)&gt;0,AE$4,""),IF(N(AG311)&gt;0,AG$4,""),IF(N(AI311)&gt;0,AI$4,""),IF(N(AK311)&gt;0,AK$4,""),IF(N(AM311)&gt;0,AM$4,""),IF(N(AO311)&gt;0,AO$4,""),IF(N(AQ311)&gt;0,AQ$4,""),IF(N(#REF!)&gt;0,#REF!,"")),"")</f>
        <v>#REF!</v>
      </c>
      <c r="CW311" s="11"/>
      <c r="CX311" s="11" t="e">
        <f t="shared" si="17"/>
        <v>#REF!</v>
      </c>
      <c r="CY311" s="12"/>
      <c r="CZ311" s="68"/>
    </row>
    <row r="312" spans="1:104" ht="18" customHeight="1" x14ac:dyDescent="0.3">
      <c r="A312" s="150"/>
      <c r="B312" s="43"/>
      <c r="C312" s="12">
        <v>46330</v>
      </c>
      <c r="D312" s="20">
        <f t="shared" si="16"/>
        <v>0</v>
      </c>
      <c r="E312" s="20" t="str">
        <f t="shared" si="18"/>
        <v/>
      </c>
      <c r="F312" s="20"/>
      <c r="G312" s="20" t="str">
        <f t="shared" si="19"/>
        <v/>
      </c>
      <c r="H312" s="20"/>
      <c r="I312" s="20"/>
      <c r="J312" s="20"/>
      <c r="K312" s="20"/>
      <c r="L312" s="20"/>
      <c r="M312" s="19" t="s">
        <v>71</v>
      </c>
      <c r="N312" s="19"/>
      <c r="O312" s="19" t="s">
        <v>71</v>
      </c>
      <c r="P312" s="19"/>
      <c r="Q312" s="19" t="s">
        <v>71</v>
      </c>
      <c r="R312" s="19"/>
      <c r="S312" s="19" t="s">
        <v>71</v>
      </c>
      <c r="T312" s="19"/>
      <c r="U312" s="19" t="s">
        <v>71</v>
      </c>
      <c r="V312" s="19"/>
      <c r="W312" s="19"/>
      <c r="X312" s="19"/>
      <c r="Y312" s="19" t="s">
        <v>71</v>
      </c>
      <c r="Z312" s="19"/>
      <c r="AA312" s="19" t="s">
        <v>71</v>
      </c>
      <c r="AB312" s="19"/>
      <c r="AC312" s="19" t="s">
        <v>71</v>
      </c>
      <c r="AD312" s="19"/>
      <c r="AE312" s="19" t="s">
        <v>71</v>
      </c>
      <c r="AF312" s="19"/>
      <c r="AG312" s="19" t="s">
        <v>71</v>
      </c>
      <c r="AH312" s="19"/>
      <c r="AI312" s="19" t="s">
        <v>71</v>
      </c>
      <c r="AJ312" s="19"/>
      <c r="AK312" s="19" t="s">
        <v>71</v>
      </c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 t="s">
        <v>71</v>
      </c>
      <c r="CF312" s="19"/>
      <c r="CG312" s="19" t="s">
        <v>71</v>
      </c>
      <c r="CH312" s="19"/>
      <c r="CI312" s="19" t="s">
        <v>71</v>
      </c>
      <c r="CJ312" s="19"/>
      <c r="CK312" s="19" t="s">
        <v>71</v>
      </c>
      <c r="CL312" s="19"/>
      <c r="CM312" s="19"/>
      <c r="CN312" s="19"/>
      <c r="CO312" s="19"/>
      <c r="CP312" s="19"/>
      <c r="CQ312" s="19"/>
      <c r="CR312" s="19"/>
      <c r="CS312" s="19"/>
      <c r="CT312" s="19"/>
      <c r="CU312" s="11" t="e">
        <f>IF(SUM(E312,G312,I312,K312,M312,O312,Q312,S312,U312,W312,Y312,AA312,AC312,AE312,AG312,AI312,AK312,AM312,AO312,AQ312,#REF!)&gt;0,"Sí","No")</f>
        <v>#REF!</v>
      </c>
      <c r="CV312" s="92" t="e">
        <f>IF($CU312="Sí",_xlfn.TEXTJOIN(", ",TRUE,IF(N(E312)&gt;0,E$4,""),IF(N(G312)&gt;0,G$4,""),IF(N(I312)&gt;0,I$4,""),IF(N(K312)&gt;0,K$4,""),IF(N(M312)&gt;0,M$4,""),IF(N(O312)&gt;0,O$4,""),IF(N(Q312)&gt;0,Q$4,""),IF(N(S312)&gt;0,S$4,""),IF(N(U312)&gt;0,U$4,""),IF(N(W312)&gt;0,W$4,""),IF(N(Y312)&gt;0,Y$4,""),IF(N(AA312)&gt;0,AA$4,""),IF(N(AC312)&gt;0,AC$4,""),IF(N(AE312)&gt;0,AE$4,""),IF(N(AG312)&gt;0,AG$4,""),IF(N(AI312)&gt;0,AI$4,""),IF(N(AK312)&gt;0,AK$4,""),IF(N(AM312)&gt;0,AM$4,""),IF(N(AO312)&gt;0,AO$4,""),IF(N(AQ312)&gt;0,AQ$4,""),IF(N(#REF!)&gt;0,#REF!,"")),"")</f>
        <v>#REF!</v>
      </c>
      <c r="CW312" s="11"/>
      <c r="CX312" s="11" t="e">
        <f t="shared" si="17"/>
        <v>#REF!</v>
      </c>
      <c r="CY312" s="12"/>
      <c r="CZ312" s="68"/>
    </row>
    <row r="313" spans="1:104" ht="18" customHeight="1" x14ac:dyDescent="0.3">
      <c r="A313" s="150"/>
      <c r="B313" s="43"/>
      <c r="C313" s="12">
        <v>46331</v>
      </c>
      <c r="D313" s="20">
        <f t="shared" si="16"/>
        <v>0</v>
      </c>
      <c r="E313" s="20" t="str">
        <f t="shared" si="18"/>
        <v/>
      </c>
      <c r="F313" s="20"/>
      <c r="G313" s="20" t="str">
        <f t="shared" si="19"/>
        <v/>
      </c>
      <c r="H313" s="20"/>
      <c r="I313" s="20"/>
      <c r="J313" s="20"/>
      <c r="K313" s="20"/>
      <c r="L313" s="20"/>
      <c r="M313" s="19" t="s">
        <v>71</v>
      </c>
      <c r="N313" s="19"/>
      <c r="O313" s="19" t="s">
        <v>71</v>
      </c>
      <c r="P313" s="19"/>
      <c r="Q313" s="19" t="s">
        <v>71</v>
      </c>
      <c r="R313" s="19"/>
      <c r="S313" s="19" t="s">
        <v>71</v>
      </c>
      <c r="T313" s="19"/>
      <c r="U313" s="19" t="s">
        <v>71</v>
      </c>
      <c r="V313" s="19"/>
      <c r="W313" s="19"/>
      <c r="X313" s="19"/>
      <c r="Y313" s="19" t="s">
        <v>71</v>
      </c>
      <c r="Z313" s="19"/>
      <c r="AA313" s="19" t="s">
        <v>71</v>
      </c>
      <c r="AB313" s="19"/>
      <c r="AC313" s="19" t="s">
        <v>71</v>
      </c>
      <c r="AD313" s="19"/>
      <c r="AE313" s="19" t="s">
        <v>71</v>
      </c>
      <c r="AF313" s="19"/>
      <c r="AG313" s="19" t="s">
        <v>71</v>
      </c>
      <c r="AH313" s="19"/>
      <c r="AI313" s="19" t="s">
        <v>71</v>
      </c>
      <c r="AJ313" s="19"/>
      <c r="AK313" s="19" t="s">
        <v>71</v>
      </c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 t="s">
        <v>71</v>
      </c>
      <c r="CF313" s="19"/>
      <c r="CG313" s="19" t="s">
        <v>71</v>
      </c>
      <c r="CH313" s="19"/>
      <c r="CI313" s="19" t="s">
        <v>71</v>
      </c>
      <c r="CJ313" s="19"/>
      <c r="CK313" s="19" t="s">
        <v>71</v>
      </c>
      <c r="CL313" s="19"/>
      <c r="CM313" s="19"/>
      <c r="CN313" s="19"/>
      <c r="CO313" s="19"/>
      <c r="CP313" s="19"/>
      <c r="CQ313" s="19"/>
      <c r="CR313" s="19"/>
      <c r="CS313" s="19"/>
      <c r="CT313" s="19"/>
      <c r="CU313" s="11" t="e">
        <f>IF(SUM(E313,G313,I313,K313,M313,O313,Q313,S313,U313,W313,Y313,AA313,AC313,AE313,AG313,AI313,AK313,AM313,AO313,AQ313,#REF!)&gt;0,"Sí","No")</f>
        <v>#REF!</v>
      </c>
      <c r="CV313" s="92" t="e">
        <f>IF($CU313="Sí",_xlfn.TEXTJOIN(", ",TRUE,IF(N(E313)&gt;0,E$4,""),IF(N(G313)&gt;0,G$4,""),IF(N(I313)&gt;0,I$4,""),IF(N(K313)&gt;0,K$4,""),IF(N(M313)&gt;0,M$4,""),IF(N(O313)&gt;0,O$4,""),IF(N(Q313)&gt;0,Q$4,""),IF(N(S313)&gt;0,S$4,""),IF(N(U313)&gt;0,U$4,""),IF(N(W313)&gt;0,W$4,""),IF(N(Y313)&gt;0,Y$4,""),IF(N(AA313)&gt;0,AA$4,""),IF(N(AC313)&gt;0,AC$4,""),IF(N(AE313)&gt;0,AE$4,""),IF(N(AG313)&gt;0,AG$4,""),IF(N(AI313)&gt;0,AI$4,""),IF(N(AK313)&gt;0,AK$4,""),IF(N(AM313)&gt;0,AM$4,""),IF(N(AO313)&gt;0,AO$4,""),IF(N(AQ313)&gt;0,AQ$4,""),IF(N(#REF!)&gt;0,#REF!,"")),"")</f>
        <v>#REF!</v>
      </c>
      <c r="CW313" s="11"/>
      <c r="CX313" s="11" t="e">
        <f t="shared" si="17"/>
        <v>#REF!</v>
      </c>
      <c r="CY313" s="12"/>
      <c r="CZ313" s="68"/>
    </row>
    <row r="314" spans="1:104" ht="18" customHeight="1" x14ac:dyDescent="0.3">
      <c r="A314" s="150"/>
      <c r="B314" s="43"/>
      <c r="C314" s="12">
        <v>46332</v>
      </c>
      <c r="D314" s="20">
        <f t="shared" si="16"/>
        <v>0</v>
      </c>
      <c r="E314" s="20" t="str">
        <f t="shared" si="18"/>
        <v/>
      </c>
      <c r="F314" s="20"/>
      <c r="G314" s="20" t="str">
        <f t="shared" si="19"/>
        <v/>
      </c>
      <c r="H314" s="20"/>
      <c r="I314" s="20"/>
      <c r="J314" s="20"/>
      <c r="K314" s="20"/>
      <c r="L314" s="20"/>
      <c r="M314" s="19" t="s">
        <v>71</v>
      </c>
      <c r="N314" s="19"/>
      <c r="O314" s="19" t="s">
        <v>71</v>
      </c>
      <c r="P314" s="19"/>
      <c r="Q314" s="19" t="s">
        <v>71</v>
      </c>
      <c r="R314" s="19"/>
      <c r="S314" s="19" t="s">
        <v>71</v>
      </c>
      <c r="T314" s="19"/>
      <c r="U314" s="19" t="s">
        <v>71</v>
      </c>
      <c r="V314" s="19"/>
      <c r="W314" s="19"/>
      <c r="X314" s="19"/>
      <c r="Y314" s="19" t="s">
        <v>71</v>
      </c>
      <c r="Z314" s="19"/>
      <c r="AA314" s="19" t="s">
        <v>71</v>
      </c>
      <c r="AB314" s="19"/>
      <c r="AC314" s="19" t="s">
        <v>71</v>
      </c>
      <c r="AD314" s="19"/>
      <c r="AE314" s="19" t="s">
        <v>71</v>
      </c>
      <c r="AF314" s="19"/>
      <c r="AG314" s="19" t="s">
        <v>71</v>
      </c>
      <c r="AH314" s="19"/>
      <c r="AI314" s="19" t="s">
        <v>71</v>
      </c>
      <c r="AJ314" s="19"/>
      <c r="AK314" s="19" t="s">
        <v>71</v>
      </c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 t="s">
        <v>71</v>
      </c>
      <c r="CF314" s="19"/>
      <c r="CG314" s="19" t="s">
        <v>71</v>
      </c>
      <c r="CH314" s="19"/>
      <c r="CI314" s="19" t="s">
        <v>71</v>
      </c>
      <c r="CJ314" s="19"/>
      <c r="CK314" s="19" t="s">
        <v>71</v>
      </c>
      <c r="CL314" s="19"/>
      <c r="CM314" s="19"/>
      <c r="CN314" s="19"/>
      <c r="CO314" s="19"/>
      <c r="CP314" s="19"/>
      <c r="CQ314" s="19"/>
      <c r="CR314" s="19"/>
      <c r="CS314" s="19"/>
      <c r="CT314" s="19"/>
      <c r="CU314" s="11" t="e">
        <f>IF(SUM(E314,G314,I314,K314,M314,O314,Q314,S314,U314,W314,Y314,AA314,AC314,AE314,AG314,AI314,AK314,AM314,AO314,AQ314,#REF!)&gt;0,"Sí","No")</f>
        <v>#REF!</v>
      </c>
      <c r="CV314" s="92" t="e">
        <f>IF($CU314="Sí",_xlfn.TEXTJOIN(", ",TRUE,IF(N(E314)&gt;0,E$4,""),IF(N(G314)&gt;0,G$4,""),IF(N(I314)&gt;0,I$4,""),IF(N(K314)&gt;0,K$4,""),IF(N(M314)&gt;0,M$4,""),IF(N(O314)&gt;0,O$4,""),IF(N(Q314)&gt;0,Q$4,""),IF(N(S314)&gt;0,S$4,""),IF(N(U314)&gt;0,U$4,""),IF(N(W314)&gt;0,W$4,""),IF(N(Y314)&gt;0,Y$4,""),IF(N(AA314)&gt;0,AA$4,""),IF(N(AC314)&gt;0,AC$4,""),IF(N(AE314)&gt;0,AE$4,""),IF(N(AG314)&gt;0,AG$4,""),IF(N(AI314)&gt;0,AI$4,""),IF(N(AK314)&gt;0,AK$4,""),IF(N(AM314)&gt;0,AM$4,""),IF(N(AO314)&gt;0,AO$4,""),IF(N(AQ314)&gt;0,AQ$4,""),IF(N(#REF!)&gt;0,#REF!,"")),"")</f>
        <v>#REF!</v>
      </c>
      <c r="CW314" s="11"/>
      <c r="CX314" s="11" t="e">
        <f t="shared" si="17"/>
        <v>#REF!</v>
      </c>
      <c r="CY314" s="12"/>
      <c r="CZ314" s="68"/>
    </row>
    <row r="315" spans="1:104" ht="18" customHeight="1" x14ac:dyDescent="0.3">
      <c r="A315" s="150"/>
      <c r="B315" s="43"/>
      <c r="C315" s="12">
        <v>46333</v>
      </c>
      <c r="D315" s="20">
        <f t="shared" si="16"/>
        <v>0</v>
      </c>
      <c r="E315" s="20" t="str">
        <f t="shared" si="18"/>
        <v/>
      </c>
      <c r="F315" s="20"/>
      <c r="G315" s="20" t="str">
        <f t="shared" si="19"/>
        <v/>
      </c>
      <c r="H315" s="20"/>
      <c r="I315" s="20"/>
      <c r="J315" s="20"/>
      <c r="K315" s="20"/>
      <c r="L315" s="20"/>
      <c r="M315" s="19" t="s">
        <v>71</v>
      </c>
      <c r="N315" s="19"/>
      <c r="O315" s="19" t="s">
        <v>71</v>
      </c>
      <c r="P315" s="19"/>
      <c r="Q315" s="19" t="s">
        <v>71</v>
      </c>
      <c r="R315" s="19"/>
      <c r="S315" s="19" t="s">
        <v>71</v>
      </c>
      <c r="T315" s="19"/>
      <c r="U315" s="19" t="s">
        <v>71</v>
      </c>
      <c r="V315" s="19"/>
      <c r="W315" s="19"/>
      <c r="X315" s="19"/>
      <c r="Y315" s="19" t="s">
        <v>71</v>
      </c>
      <c r="Z315" s="19"/>
      <c r="AA315" s="19" t="s">
        <v>71</v>
      </c>
      <c r="AB315" s="19"/>
      <c r="AC315" s="19" t="s">
        <v>71</v>
      </c>
      <c r="AD315" s="19"/>
      <c r="AE315" s="19" t="s">
        <v>71</v>
      </c>
      <c r="AF315" s="19"/>
      <c r="AG315" s="19" t="s">
        <v>71</v>
      </c>
      <c r="AH315" s="19"/>
      <c r="AI315" s="19" t="s">
        <v>71</v>
      </c>
      <c r="AJ315" s="19"/>
      <c r="AK315" s="19" t="s">
        <v>71</v>
      </c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 t="s">
        <v>71</v>
      </c>
      <c r="CF315" s="19"/>
      <c r="CG315" s="19" t="s">
        <v>71</v>
      </c>
      <c r="CH315" s="19"/>
      <c r="CI315" s="19" t="s">
        <v>71</v>
      </c>
      <c r="CJ315" s="19"/>
      <c r="CK315" s="19" t="s">
        <v>71</v>
      </c>
      <c r="CL315" s="19"/>
      <c r="CM315" s="19"/>
      <c r="CN315" s="19"/>
      <c r="CO315" s="19"/>
      <c r="CP315" s="19"/>
      <c r="CQ315" s="19"/>
      <c r="CR315" s="19"/>
      <c r="CS315" s="19"/>
      <c r="CT315" s="19"/>
      <c r="CU315" s="11" t="e">
        <f>IF(SUM(E315,G315,I315,K315,M315,O315,Q315,S315,U315,W315,Y315,AA315,AC315,AE315,AG315,AI315,AK315,AM315,AO315,AQ315,#REF!)&gt;0,"Sí","No")</f>
        <v>#REF!</v>
      </c>
      <c r="CV315" s="92" t="e">
        <f>IF($CU315="Sí",_xlfn.TEXTJOIN(", ",TRUE,IF(N(E315)&gt;0,E$4,""),IF(N(G315)&gt;0,G$4,""),IF(N(I315)&gt;0,I$4,""),IF(N(K315)&gt;0,K$4,""),IF(N(M315)&gt;0,M$4,""),IF(N(O315)&gt;0,O$4,""),IF(N(Q315)&gt;0,Q$4,""),IF(N(S315)&gt;0,S$4,""),IF(N(U315)&gt;0,U$4,""),IF(N(W315)&gt;0,W$4,""),IF(N(Y315)&gt;0,Y$4,""),IF(N(AA315)&gt;0,AA$4,""),IF(N(AC315)&gt;0,AC$4,""),IF(N(AE315)&gt;0,AE$4,""),IF(N(AG315)&gt;0,AG$4,""),IF(N(AI315)&gt;0,AI$4,""),IF(N(AK315)&gt;0,AK$4,""),IF(N(AM315)&gt;0,AM$4,""),IF(N(AO315)&gt;0,AO$4,""),IF(N(AQ315)&gt;0,AQ$4,""),IF(N(#REF!)&gt;0,#REF!,"")),"")</f>
        <v>#REF!</v>
      </c>
      <c r="CW315" s="11"/>
      <c r="CX315" s="11" t="e">
        <f t="shared" si="17"/>
        <v>#REF!</v>
      </c>
      <c r="CY315" s="12"/>
      <c r="CZ315" s="68"/>
    </row>
    <row r="316" spans="1:104" ht="18" customHeight="1" x14ac:dyDescent="0.3">
      <c r="A316" s="150"/>
      <c r="B316" s="43"/>
      <c r="C316" s="12">
        <v>46334</v>
      </c>
      <c r="D316" s="20">
        <f t="shared" si="16"/>
        <v>0</v>
      </c>
      <c r="E316" s="20" t="str">
        <f t="shared" si="18"/>
        <v/>
      </c>
      <c r="F316" s="20"/>
      <c r="G316" s="20" t="str">
        <f t="shared" si="19"/>
        <v/>
      </c>
      <c r="H316" s="20"/>
      <c r="I316" s="20"/>
      <c r="J316" s="20"/>
      <c r="K316" s="20"/>
      <c r="L316" s="20"/>
      <c r="M316" s="19" t="s">
        <v>71</v>
      </c>
      <c r="N316" s="19"/>
      <c r="O316" s="19" t="s">
        <v>71</v>
      </c>
      <c r="P316" s="19"/>
      <c r="Q316" s="19" t="s">
        <v>71</v>
      </c>
      <c r="R316" s="19"/>
      <c r="S316" s="19" t="s">
        <v>71</v>
      </c>
      <c r="T316" s="19"/>
      <c r="U316" s="19" t="s">
        <v>71</v>
      </c>
      <c r="V316" s="19"/>
      <c r="W316" s="19"/>
      <c r="X316" s="19"/>
      <c r="Y316" s="19" t="s">
        <v>71</v>
      </c>
      <c r="Z316" s="19"/>
      <c r="AA316" s="19" t="s">
        <v>71</v>
      </c>
      <c r="AB316" s="19"/>
      <c r="AC316" s="19" t="s">
        <v>71</v>
      </c>
      <c r="AD316" s="19"/>
      <c r="AE316" s="19" t="s">
        <v>71</v>
      </c>
      <c r="AF316" s="19"/>
      <c r="AG316" s="19" t="s">
        <v>71</v>
      </c>
      <c r="AH316" s="19"/>
      <c r="AI316" s="19" t="s">
        <v>71</v>
      </c>
      <c r="AJ316" s="19"/>
      <c r="AK316" s="19" t="s">
        <v>71</v>
      </c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 t="s">
        <v>71</v>
      </c>
      <c r="CF316" s="19"/>
      <c r="CG316" s="19" t="s">
        <v>71</v>
      </c>
      <c r="CH316" s="19"/>
      <c r="CI316" s="19" t="s">
        <v>71</v>
      </c>
      <c r="CJ316" s="19"/>
      <c r="CK316" s="19" t="s">
        <v>71</v>
      </c>
      <c r="CL316" s="19"/>
      <c r="CM316" s="19"/>
      <c r="CN316" s="19"/>
      <c r="CO316" s="19"/>
      <c r="CP316" s="19"/>
      <c r="CQ316" s="19"/>
      <c r="CR316" s="19"/>
      <c r="CS316" s="19"/>
      <c r="CT316" s="19"/>
      <c r="CU316" s="11" t="e">
        <f>IF(SUM(E316,G316,I316,K316,M316,O316,Q316,S316,U316,W316,Y316,AA316,AC316,AE316,AG316,AI316,AK316,AM316,AO316,AQ316,#REF!)&gt;0,"Sí","No")</f>
        <v>#REF!</v>
      </c>
      <c r="CV316" s="92" t="e">
        <f>IF($CU316="Sí",_xlfn.TEXTJOIN(", ",TRUE,IF(N(E316)&gt;0,E$4,""),IF(N(G316)&gt;0,G$4,""),IF(N(I316)&gt;0,I$4,""),IF(N(K316)&gt;0,K$4,""),IF(N(M316)&gt;0,M$4,""),IF(N(O316)&gt;0,O$4,""),IF(N(Q316)&gt;0,Q$4,""),IF(N(S316)&gt;0,S$4,""),IF(N(U316)&gt;0,U$4,""),IF(N(W316)&gt;0,W$4,""),IF(N(Y316)&gt;0,Y$4,""),IF(N(AA316)&gt;0,AA$4,""),IF(N(AC316)&gt;0,AC$4,""),IF(N(AE316)&gt;0,AE$4,""),IF(N(AG316)&gt;0,AG$4,""),IF(N(AI316)&gt;0,AI$4,""),IF(N(AK316)&gt;0,AK$4,""),IF(N(AM316)&gt;0,AM$4,""),IF(N(AO316)&gt;0,AO$4,""),IF(N(AQ316)&gt;0,AQ$4,""),IF(N(#REF!)&gt;0,#REF!,"")),"")</f>
        <v>#REF!</v>
      </c>
      <c r="CW316" s="11"/>
      <c r="CX316" s="11" t="e">
        <f t="shared" si="17"/>
        <v>#REF!</v>
      </c>
      <c r="CY316" s="12"/>
      <c r="CZ316" s="68"/>
    </row>
    <row r="317" spans="1:104" ht="18" customHeight="1" x14ac:dyDescent="0.3">
      <c r="A317" s="150"/>
      <c r="B317" s="43"/>
      <c r="C317" s="12">
        <v>46335</v>
      </c>
      <c r="D317" s="20">
        <f t="shared" si="16"/>
        <v>0</v>
      </c>
      <c r="E317" s="20" t="str">
        <f t="shared" si="18"/>
        <v/>
      </c>
      <c r="F317" s="20"/>
      <c r="G317" s="20" t="str">
        <f t="shared" si="19"/>
        <v/>
      </c>
      <c r="H317" s="20"/>
      <c r="I317" s="20"/>
      <c r="J317" s="20"/>
      <c r="K317" s="20"/>
      <c r="L317" s="20"/>
      <c r="M317" s="19" t="s">
        <v>71</v>
      </c>
      <c r="N317" s="19"/>
      <c r="O317" s="19" t="s">
        <v>71</v>
      </c>
      <c r="P317" s="19"/>
      <c r="Q317" s="19" t="s">
        <v>71</v>
      </c>
      <c r="R317" s="19"/>
      <c r="S317" s="19"/>
      <c r="T317" s="19"/>
      <c r="U317" s="19"/>
      <c r="V317" s="19"/>
      <c r="W317" s="19"/>
      <c r="X317" s="19"/>
      <c r="Y317" s="19" t="s">
        <v>71</v>
      </c>
      <c r="Z317" s="19"/>
      <c r="AA317" s="19" t="s">
        <v>71</v>
      </c>
      <c r="AB317" s="19"/>
      <c r="AC317" s="19" t="s">
        <v>71</v>
      </c>
      <c r="AD317" s="19"/>
      <c r="AE317" s="19" t="s">
        <v>71</v>
      </c>
      <c r="AF317" s="19"/>
      <c r="AG317" s="19" t="s">
        <v>71</v>
      </c>
      <c r="AH317" s="19"/>
      <c r="AI317" s="19" t="s">
        <v>71</v>
      </c>
      <c r="AJ317" s="19"/>
      <c r="AK317" s="19" t="s">
        <v>71</v>
      </c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 t="s">
        <v>71</v>
      </c>
      <c r="CF317" s="19"/>
      <c r="CG317" s="19" t="s">
        <v>71</v>
      </c>
      <c r="CH317" s="19"/>
      <c r="CI317" s="19" t="s">
        <v>71</v>
      </c>
      <c r="CJ317" s="19"/>
      <c r="CK317" s="19" t="s">
        <v>71</v>
      </c>
      <c r="CL317" s="19"/>
      <c r="CM317" s="19"/>
      <c r="CN317" s="19"/>
      <c r="CO317" s="19"/>
      <c r="CP317" s="19"/>
      <c r="CQ317" s="19"/>
      <c r="CR317" s="19"/>
      <c r="CS317" s="19"/>
      <c r="CT317" s="19"/>
      <c r="CU317" s="11" t="e">
        <f>IF(SUM(E317,G317,I317,K317,M317,O317,Q317,S317,U317,W317,Y317,AA317,AC317,AE317,AG317,AI317,AK317,AM317,AO317,AQ317,#REF!)&gt;0,"Sí","No")</f>
        <v>#REF!</v>
      </c>
      <c r="CV317" s="92" t="e">
        <f>IF($CU317="Sí",_xlfn.TEXTJOIN(", ",TRUE,IF(N(E317)&gt;0,E$4,""),IF(N(G317)&gt;0,G$4,""),IF(N(I317)&gt;0,I$4,""),IF(N(K317)&gt;0,K$4,""),IF(N(M317)&gt;0,M$4,""),IF(N(O317)&gt;0,O$4,""),IF(N(Q317)&gt;0,Q$4,""),IF(N(S317)&gt;0,S$4,""),IF(N(U317)&gt;0,U$4,""),IF(N(W317)&gt;0,W$4,""),IF(N(Y317)&gt;0,Y$4,""),IF(N(AA317)&gt;0,AA$4,""),IF(N(AC317)&gt;0,AC$4,""),IF(N(AE317)&gt;0,AE$4,""),IF(N(AG317)&gt;0,AG$4,""),IF(N(AI317)&gt;0,AI$4,""),IF(N(AK317)&gt;0,AK$4,""),IF(N(AM317)&gt;0,AM$4,""),IF(N(AO317)&gt;0,AO$4,""),IF(N(AQ317)&gt;0,AQ$4,""),IF(N(#REF!)&gt;0,#REF!,"")),"")</f>
        <v>#REF!</v>
      </c>
      <c r="CW317" s="11"/>
      <c r="CX317" s="11" t="e">
        <f t="shared" si="17"/>
        <v>#REF!</v>
      </c>
      <c r="CY317" s="12"/>
      <c r="CZ317" s="68"/>
    </row>
    <row r="318" spans="1:104" ht="18" customHeight="1" x14ac:dyDescent="0.3">
      <c r="A318" s="150"/>
      <c r="B318" s="43"/>
      <c r="C318" s="12">
        <v>46336</v>
      </c>
      <c r="D318" s="20">
        <f t="shared" si="16"/>
        <v>0</v>
      </c>
      <c r="E318" s="20" t="str">
        <f t="shared" si="18"/>
        <v/>
      </c>
      <c r="F318" s="20"/>
      <c r="G318" s="20" t="str">
        <f t="shared" si="19"/>
        <v/>
      </c>
      <c r="H318" s="20"/>
      <c r="I318" s="20"/>
      <c r="J318" s="20"/>
      <c r="K318" s="20"/>
      <c r="L318" s="20"/>
      <c r="M318" s="19" t="s">
        <v>71</v>
      </c>
      <c r="N318" s="19"/>
      <c r="O318" s="19" t="s">
        <v>71</v>
      </c>
      <c r="P318" s="19"/>
      <c r="Q318" s="19" t="s">
        <v>71</v>
      </c>
      <c r="R318" s="19"/>
      <c r="S318" s="19"/>
      <c r="T318" s="19"/>
      <c r="U318" s="19"/>
      <c r="V318" s="19"/>
      <c r="W318" s="19"/>
      <c r="X318" s="19"/>
      <c r="Y318" s="19" t="s">
        <v>71</v>
      </c>
      <c r="Z318" s="19"/>
      <c r="AA318" s="19" t="s">
        <v>71</v>
      </c>
      <c r="AB318" s="19"/>
      <c r="AC318" s="19" t="s">
        <v>71</v>
      </c>
      <c r="AD318" s="19"/>
      <c r="AE318" s="19" t="s">
        <v>71</v>
      </c>
      <c r="AF318" s="19"/>
      <c r="AG318" s="19" t="s">
        <v>71</v>
      </c>
      <c r="AH318" s="19"/>
      <c r="AI318" s="19" t="s">
        <v>71</v>
      </c>
      <c r="AJ318" s="19"/>
      <c r="AK318" s="19" t="s">
        <v>71</v>
      </c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 t="s">
        <v>71</v>
      </c>
      <c r="CF318" s="19"/>
      <c r="CG318" s="19" t="s">
        <v>71</v>
      </c>
      <c r="CH318" s="19"/>
      <c r="CI318" s="19" t="s">
        <v>71</v>
      </c>
      <c r="CJ318" s="19"/>
      <c r="CK318" s="19" t="s">
        <v>71</v>
      </c>
      <c r="CL318" s="19"/>
      <c r="CM318" s="19"/>
      <c r="CN318" s="19"/>
      <c r="CO318" s="19"/>
      <c r="CP318" s="19"/>
      <c r="CQ318" s="19"/>
      <c r="CR318" s="19"/>
      <c r="CS318" s="19"/>
      <c r="CT318" s="19"/>
      <c r="CU318" s="11" t="e">
        <f>IF(SUM(E318,G318,I318,K318,M318,O318,Q318,S318,U318,W318,Y318,AA318,AC318,AE318,AG318,AI318,AK318,AM318,AO318,AQ318,#REF!)&gt;0,"Sí","No")</f>
        <v>#REF!</v>
      </c>
      <c r="CV318" s="92" t="e">
        <f>IF($CU318="Sí",_xlfn.TEXTJOIN(", ",TRUE,IF(N(E318)&gt;0,E$4,""),IF(N(G318)&gt;0,G$4,""),IF(N(I318)&gt;0,I$4,""),IF(N(K318)&gt;0,K$4,""),IF(N(M318)&gt;0,M$4,""),IF(N(O318)&gt;0,O$4,""),IF(N(Q318)&gt;0,Q$4,""),IF(N(S318)&gt;0,S$4,""),IF(N(U318)&gt;0,U$4,""),IF(N(W318)&gt;0,W$4,""),IF(N(Y318)&gt;0,Y$4,""),IF(N(AA318)&gt;0,AA$4,""),IF(N(AC318)&gt;0,AC$4,""),IF(N(AE318)&gt;0,AE$4,""),IF(N(AG318)&gt;0,AG$4,""),IF(N(AI318)&gt;0,AI$4,""),IF(N(AK318)&gt;0,AK$4,""),IF(N(AM318)&gt;0,AM$4,""),IF(N(AO318)&gt;0,AO$4,""),IF(N(AQ318)&gt;0,AQ$4,""),IF(N(#REF!)&gt;0,#REF!,"")),"")</f>
        <v>#REF!</v>
      </c>
      <c r="CW318" s="11"/>
      <c r="CX318" s="11" t="e">
        <f t="shared" si="17"/>
        <v>#REF!</v>
      </c>
      <c r="CY318" s="12"/>
      <c r="CZ318" s="68"/>
    </row>
    <row r="319" spans="1:104" ht="18" customHeight="1" x14ac:dyDescent="0.3">
      <c r="A319" s="150"/>
      <c r="B319" s="43"/>
      <c r="C319" s="12">
        <v>46337</v>
      </c>
      <c r="D319" s="20">
        <f t="shared" si="16"/>
        <v>0</v>
      </c>
      <c r="E319" s="20" t="str">
        <f t="shared" si="18"/>
        <v/>
      </c>
      <c r="F319" s="20"/>
      <c r="G319" s="20" t="str">
        <f t="shared" si="19"/>
        <v/>
      </c>
      <c r="H319" s="20"/>
      <c r="I319" s="20"/>
      <c r="J319" s="20"/>
      <c r="K319" s="20"/>
      <c r="L319" s="20"/>
      <c r="M319" s="19" t="s">
        <v>71</v>
      </c>
      <c r="N319" s="19"/>
      <c r="O319" s="19" t="s">
        <v>71</v>
      </c>
      <c r="P319" s="19"/>
      <c r="Q319" s="19" t="s">
        <v>71</v>
      </c>
      <c r="R319" s="19"/>
      <c r="S319" s="19"/>
      <c r="T319" s="19"/>
      <c r="U319" s="19"/>
      <c r="V319" s="19"/>
      <c r="W319" s="19"/>
      <c r="X319" s="19"/>
      <c r="Y319" s="19" t="s">
        <v>71</v>
      </c>
      <c r="Z319" s="19"/>
      <c r="AA319" s="19" t="s">
        <v>71</v>
      </c>
      <c r="AB319" s="19"/>
      <c r="AC319" s="19" t="s">
        <v>71</v>
      </c>
      <c r="AD319" s="19"/>
      <c r="AE319" s="19" t="s">
        <v>71</v>
      </c>
      <c r="AF319" s="19"/>
      <c r="AG319" s="19" t="s">
        <v>71</v>
      </c>
      <c r="AH319" s="19"/>
      <c r="AI319" s="19" t="s">
        <v>71</v>
      </c>
      <c r="AJ319" s="19"/>
      <c r="AK319" s="19" t="s">
        <v>71</v>
      </c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 t="s">
        <v>71</v>
      </c>
      <c r="CF319" s="19"/>
      <c r="CG319" s="19" t="s">
        <v>71</v>
      </c>
      <c r="CH319" s="19"/>
      <c r="CI319" s="19" t="s">
        <v>71</v>
      </c>
      <c r="CJ319" s="19"/>
      <c r="CK319" s="19" t="s">
        <v>71</v>
      </c>
      <c r="CL319" s="19"/>
      <c r="CM319" s="19"/>
      <c r="CN319" s="19"/>
      <c r="CO319" s="19"/>
      <c r="CP319" s="19"/>
      <c r="CQ319" s="19"/>
      <c r="CR319" s="19"/>
      <c r="CS319" s="19"/>
      <c r="CT319" s="19"/>
      <c r="CU319" s="11" t="e">
        <f>IF(SUM(E319,G319,I319,K319,M319,O319,Q319,S319,U319,W319,Y319,AA319,AC319,AE319,AG319,AI319,AK319,AM319,AO319,AQ319,#REF!)&gt;0,"Sí","No")</f>
        <v>#REF!</v>
      </c>
      <c r="CV319" s="92" t="e">
        <f>IF($CU319="Sí",_xlfn.TEXTJOIN(", ",TRUE,IF(N(E319)&gt;0,E$4,""),IF(N(G319)&gt;0,G$4,""),IF(N(I319)&gt;0,I$4,""),IF(N(K319)&gt;0,K$4,""),IF(N(M319)&gt;0,M$4,""),IF(N(O319)&gt;0,O$4,""),IF(N(Q319)&gt;0,Q$4,""),IF(N(S319)&gt;0,S$4,""),IF(N(U319)&gt;0,U$4,""),IF(N(W319)&gt;0,W$4,""),IF(N(Y319)&gt;0,Y$4,""),IF(N(AA319)&gt;0,AA$4,""),IF(N(AC319)&gt;0,AC$4,""),IF(N(AE319)&gt;0,AE$4,""),IF(N(AG319)&gt;0,AG$4,""),IF(N(AI319)&gt;0,AI$4,""),IF(N(AK319)&gt;0,AK$4,""),IF(N(AM319)&gt;0,AM$4,""),IF(N(AO319)&gt;0,AO$4,""),IF(N(AQ319)&gt;0,AQ$4,""),IF(N(#REF!)&gt;0,#REF!,"")),"")</f>
        <v>#REF!</v>
      </c>
      <c r="CW319" s="11"/>
      <c r="CX319" s="11" t="e">
        <f t="shared" si="17"/>
        <v>#REF!</v>
      </c>
      <c r="CY319" s="12"/>
      <c r="CZ319" s="68"/>
    </row>
    <row r="320" spans="1:104" ht="18" customHeight="1" x14ac:dyDescent="0.3">
      <c r="A320" s="150"/>
      <c r="B320" s="43"/>
      <c r="C320" s="12">
        <v>46338</v>
      </c>
      <c r="D320" s="20">
        <f t="shared" si="16"/>
        <v>0</v>
      </c>
      <c r="E320" s="20" t="str">
        <f t="shared" si="18"/>
        <v/>
      </c>
      <c r="F320" s="20"/>
      <c r="G320" s="20" t="str">
        <f t="shared" si="19"/>
        <v/>
      </c>
      <c r="H320" s="20"/>
      <c r="I320" s="20"/>
      <c r="J320" s="20"/>
      <c r="K320" s="20"/>
      <c r="L320" s="20"/>
      <c r="M320" s="19" t="s">
        <v>71</v>
      </c>
      <c r="N320" s="19"/>
      <c r="O320" s="19" t="s">
        <v>71</v>
      </c>
      <c r="P320" s="19"/>
      <c r="Q320" s="19" t="s">
        <v>71</v>
      </c>
      <c r="R320" s="19"/>
      <c r="S320" s="26"/>
      <c r="T320" s="26"/>
      <c r="U320" s="19"/>
      <c r="V320" s="19"/>
      <c r="W320" s="19"/>
      <c r="X320" s="19"/>
      <c r="Y320" s="19" t="s">
        <v>71</v>
      </c>
      <c r="Z320" s="19"/>
      <c r="AA320" s="26" t="s">
        <v>71</v>
      </c>
      <c r="AB320" s="26"/>
      <c r="AC320" s="26" t="s">
        <v>71</v>
      </c>
      <c r="AD320" s="26"/>
      <c r="AE320" s="26" t="s">
        <v>71</v>
      </c>
      <c r="AF320" s="26"/>
      <c r="AG320" s="26" t="s">
        <v>71</v>
      </c>
      <c r="AH320" s="26"/>
      <c r="AI320" s="26" t="s">
        <v>71</v>
      </c>
      <c r="AJ320" s="26"/>
      <c r="AK320" s="26" t="s">
        <v>71</v>
      </c>
      <c r="AL320" s="26"/>
      <c r="AM320" s="26"/>
      <c r="AN320" s="26"/>
      <c r="AO320" s="26"/>
      <c r="AP320" s="26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>
        <v>10</v>
      </c>
      <c r="CF320" s="19">
        <v>20</v>
      </c>
      <c r="CG320" s="19">
        <v>10</v>
      </c>
      <c r="CH320" s="19">
        <v>20</v>
      </c>
      <c r="CI320" s="19">
        <v>10</v>
      </c>
      <c r="CJ320" s="19">
        <v>20</v>
      </c>
      <c r="CK320" s="19">
        <v>10</v>
      </c>
      <c r="CL320" s="19">
        <v>20</v>
      </c>
      <c r="CM320" s="19"/>
      <c r="CN320" s="19"/>
      <c r="CO320" s="19"/>
      <c r="CP320" s="19"/>
      <c r="CQ320" s="19"/>
      <c r="CR320" s="19"/>
      <c r="CS320" s="19"/>
      <c r="CT320" s="19"/>
      <c r="CU320" s="11" t="e">
        <f>IF(SUM(E320,G320,I320,K320,M320,O320,Q320,S320,U320,W320,Y320,AA320,AC320,AE320,AG320,AI320,AK320,AM320,AO320,AQ320,#REF!)&gt;0,"Sí","No")</f>
        <v>#REF!</v>
      </c>
      <c r="CV320" s="92" t="e">
        <f>IF($CU320="Sí",_xlfn.TEXTJOIN(", ",TRUE,IF(N(E320)&gt;0,E$4,""),IF(N(G320)&gt;0,G$4,""),IF(N(I320)&gt;0,I$4,""),IF(N(K320)&gt;0,K$4,""),IF(N(M320)&gt;0,M$4,""),IF(N(O320)&gt;0,O$4,""),IF(N(Q320)&gt;0,Q$4,""),IF(N(S320)&gt;0,S$4,""),IF(N(U320)&gt;0,U$4,""),IF(N(W320)&gt;0,W$4,""),IF(N(Y320)&gt;0,Y$4,""),IF(N(AA320)&gt;0,AA$4,""),IF(N(AC320)&gt;0,AC$4,""),IF(N(AE320)&gt;0,AE$4,""),IF(N(AG320)&gt;0,AG$4,""),IF(N(AI320)&gt;0,AI$4,""),IF(N(AK320)&gt;0,AK$4,""),IF(N(AM320)&gt;0,AM$4,""),IF(N(AO320)&gt;0,AO$4,""),IF(N(AQ320)&gt;0,AQ$4,""),IF(N(#REF!)&gt;0,#REF!,"")),"")</f>
        <v>#REF!</v>
      </c>
      <c r="CW320" s="11"/>
      <c r="CX320" s="11" t="e">
        <f t="shared" si="17"/>
        <v>#REF!</v>
      </c>
      <c r="CY320" s="12"/>
      <c r="CZ320" s="68"/>
    </row>
    <row r="321" spans="1:104" ht="18" customHeight="1" x14ac:dyDescent="0.3">
      <c r="A321" s="150"/>
      <c r="B321" s="43"/>
      <c r="C321" s="12">
        <v>46339</v>
      </c>
      <c r="D321" s="20">
        <f t="shared" si="16"/>
        <v>0</v>
      </c>
      <c r="E321" s="20" t="str">
        <f t="shared" si="18"/>
        <v/>
      </c>
      <c r="F321" s="20"/>
      <c r="G321" s="20" t="str">
        <f t="shared" si="19"/>
        <v/>
      </c>
      <c r="H321" s="20"/>
      <c r="I321" s="20"/>
      <c r="J321" s="20"/>
      <c r="K321" s="20"/>
      <c r="L321" s="20"/>
      <c r="M321" s="19" t="s">
        <v>71</v>
      </c>
      <c r="N321" s="19"/>
      <c r="O321" s="19" t="s">
        <v>71</v>
      </c>
      <c r="P321" s="19"/>
      <c r="Q321" s="19" t="s">
        <v>71</v>
      </c>
      <c r="R321" s="19"/>
      <c r="S321" s="19"/>
      <c r="T321" s="19"/>
      <c r="U321" s="19"/>
      <c r="V321" s="19"/>
      <c r="W321" s="4"/>
      <c r="X321" s="4"/>
      <c r="Y321" s="19" t="s">
        <v>71</v>
      </c>
      <c r="Z321" s="19"/>
      <c r="AA321" s="19" t="s">
        <v>71</v>
      </c>
      <c r="AB321" s="19"/>
      <c r="AC321" s="19" t="s">
        <v>71</v>
      </c>
      <c r="AD321" s="19"/>
      <c r="AE321" s="19" t="s">
        <v>71</v>
      </c>
      <c r="AF321" s="19"/>
      <c r="AG321" s="19" t="s">
        <v>71</v>
      </c>
      <c r="AH321" s="19"/>
      <c r="AI321" s="19" t="s">
        <v>71</v>
      </c>
      <c r="AJ321" s="19"/>
      <c r="AK321" s="19" t="s">
        <v>71</v>
      </c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4"/>
      <c r="BX321" s="4"/>
      <c r="BY321" s="4"/>
      <c r="BZ321" s="4"/>
      <c r="CA321" s="4"/>
      <c r="CB321" s="4"/>
      <c r="CC321" s="4"/>
      <c r="CD321" s="4"/>
      <c r="CE321" s="19" t="s">
        <v>71</v>
      </c>
      <c r="CF321" s="19"/>
      <c r="CG321" s="19" t="s">
        <v>71</v>
      </c>
      <c r="CH321" s="19"/>
      <c r="CI321" s="19" t="s">
        <v>71</v>
      </c>
      <c r="CJ321" s="19"/>
      <c r="CK321" s="19" t="s">
        <v>71</v>
      </c>
      <c r="CL321" s="19"/>
      <c r="CM321" s="19">
        <v>10</v>
      </c>
      <c r="CN321" s="19">
        <v>20</v>
      </c>
      <c r="CO321" s="19">
        <v>10</v>
      </c>
      <c r="CP321" s="19">
        <v>20</v>
      </c>
      <c r="CQ321" s="19">
        <v>10</v>
      </c>
      <c r="CR321" s="19">
        <v>20</v>
      </c>
      <c r="CS321" s="19"/>
      <c r="CT321" s="19"/>
      <c r="CU321" s="11" t="e">
        <f>IF(SUM(E321,G321,I321,K321,M321,O321,Q321,S321,U321,W322,Y321,AA321,AC321,AE321,AG321,AI321,AK321,AM321,AO321,AQ321,#REF!)&gt;0,"Sí","No")</f>
        <v>#REF!</v>
      </c>
      <c r="CV321" s="92" t="e">
        <f>IF($CU321="Sí",_xlfn.TEXTJOIN(", ",TRUE,IF(N(E321)&gt;0,E$4,""),IF(N(G321)&gt;0,G$4,""),IF(N(I321)&gt;0,I$4,""),IF(N(K321)&gt;0,K$4,""),IF(N(M321)&gt;0,M$4,""),IF(N(O321)&gt;0,O$4,""),IF(N(Q321)&gt;0,Q$4,""),IF(N(S321)&gt;0,S$4,""),IF(N(U321)&gt;0,U$4,""),IF(N(W322)&gt;0,W$4,""),IF(N(Y321)&gt;0,Y$4,""),IF(N(AA321)&gt;0,AA$4,""),IF(N(AC321)&gt;0,AC$4,""),IF(N(AE321)&gt;0,AE$4,""),IF(N(AG321)&gt;0,AG$4,""),IF(N(AI321)&gt;0,AI$4,""),IF(N(AK321)&gt;0,AK$4,""),IF(N(AM321)&gt;0,AM$4,""),IF(N(AO321)&gt;0,AO$4,""),IF(N(AQ321)&gt;0,AQ$4,""),IF(N(#REF!)&gt;0,#REF!,"")),"")</f>
        <v>#REF!</v>
      </c>
      <c r="CW321" s="11"/>
      <c r="CX321" s="11" t="e">
        <f t="shared" si="17"/>
        <v>#REF!</v>
      </c>
      <c r="CY321" s="12"/>
      <c r="CZ321" s="68"/>
    </row>
    <row r="322" spans="1:104" ht="18" customHeight="1" x14ac:dyDescent="0.3">
      <c r="A322" s="150"/>
      <c r="B322" s="43"/>
      <c r="C322" s="12">
        <v>46340</v>
      </c>
      <c r="D322" s="20">
        <f t="shared" si="16"/>
        <v>0</v>
      </c>
      <c r="E322" s="20" t="str">
        <f t="shared" si="18"/>
        <v/>
      </c>
      <c r="F322" s="20"/>
      <c r="G322" s="20" t="str">
        <f t="shared" si="19"/>
        <v/>
      </c>
      <c r="H322" s="20"/>
      <c r="I322" s="20"/>
      <c r="J322" s="20"/>
      <c r="K322" s="20"/>
      <c r="L322" s="20"/>
      <c r="M322" s="19" t="s">
        <v>71</v>
      </c>
      <c r="N322" s="19"/>
      <c r="O322" s="19" t="s">
        <v>71</v>
      </c>
      <c r="P322" s="19"/>
      <c r="Q322" s="19" t="s">
        <v>71</v>
      </c>
      <c r="R322" s="19"/>
      <c r="S322" s="19"/>
      <c r="T322" s="19"/>
      <c r="U322" s="19"/>
      <c r="V322" s="19"/>
      <c r="W322" s="19"/>
      <c r="X322" s="19"/>
      <c r="Y322" s="19" t="s">
        <v>71</v>
      </c>
      <c r="Z322" s="19"/>
      <c r="AA322" s="19" t="s">
        <v>71</v>
      </c>
      <c r="AB322" s="19"/>
      <c r="AC322" s="19" t="s">
        <v>71</v>
      </c>
      <c r="AD322" s="19"/>
      <c r="AE322" s="19" t="s">
        <v>71</v>
      </c>
      <c r="AF322" s="19"/>
      <c r="AG322" s="19" t="s">
        <v>71</v>
      </c>
      <c r="AH322" s="19"/>
      <c r="AI322" s="19" t="s">
        <v>71</v>
      </c>
      <c r="AJ322" s="19"/>
      <c r="AK322" s="19" t="s">
        <v>71</v>
      </c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>
        <v>12</v>
      </c>
      <c r="BX322" s="19">
        <v>20</v>
      </c>
      <c r="BY322" s="19">
        <v>12</v>
      </c>
      <c r="BZ322" s="19">
        <v>20</v>
      </c>
      <c r="CA322" s="19">
        <v>12</v>
      </c>
      <c r="CB322" s="19">
        <v>20</v>
      </c>
      <c r="CC322" s="19">
        <v>12</v>
      </c>
      <c r="CD322" s="19">
        <v>20</v>
      </c>
      <c r="CE322" s="19" t="s">
        <v>71</v>
      </c>
      <c r="CF322" s="19"/>
      <c r="CG322" s="19" t="s">
        <v>71</v>
      </c>
      <c r="CH322" s="19"/>
      <c r="CI322" s="19" t="s">
        <v>71</v>
      </c>
      <c r="CJ322" s="19"/>
      <c r="CK322" s="19" t="s">
        <v>71</v>
      </c>
      <c r="CL322" s="19"/>
      <c r="CM322" s="19"/>
      <c r="CN322" s="19"/>
      <c r="CO322" s="19"/>
      <c r="CP322" s="19"/>
      <c r="CQ322" s="19"/>
      <c r="CR322" s="19"/>
      <c r="CS322" s="19"/>
      <c r="CT322" s="19"/>
      <c r="CU322" s="11" t="e">
        <f>IF(SUM(E322,G322,I322,K322,M322,O322,Q322,S322,U322,W323,Y322,AA322,AC322,AE322,AG322,AI322,AK322,AM322,AO322,AQ322,#REF!)&gt;0,"Sí","No")</f>
        <v>#REF!</v>
      </c>
      <c r="CV322" s="92" t="e">
        <f>IF($CU322="Sí",_xlfn.TEXTJOIN(", ",TRUE,IF(N(E322)&gt;0,E$4,""),IF(N(G322)&gt;0,G$4,""),IF(N(I322)&gt;0,I$4,""),IF(N(K322)&gt;0,K$4,""),IF(N(M322)&gt;0,M$4,""),IF(N(O322)&gt;0,O$4,""),IF(N(Q322)&gt;0,Q$4,""),IF(N(S322)&gt;0,S$4,""),IF(N(U322)&gt;0,U$4,""),IF(N(W323)&gt;0,W$4,""),IF(N(Y322)&gt;0,Y$4,""),IF(N(AA322)&gt;0,AA$4,""),IF(N(AC322)&gt;0,AC$4,""),IF(N(AE322)&gt;0,AE$4,""),IF(N(AG322)&gt;0,AG$4,""),IF(N(AI322)&gt;0,AI$4,""),IF(N(AK322)&gt;0,AK$4,""),IF(N(AM322)&gt;0,AM$4,""),IF(N(AO322)&gt;0,AO$4,""),IF(N(AQ322)&gt;0,AQ$4,""),IF(N(#REF!)&gt;0,#REF!,"")),"")</f>
        <v>#REF!</v>
      </c>
      <c r="CW322" s="11"/>
      <c r="CX322" s="11" t="e">
        <f t="shared" si="17"/>
        <v>#REF!</v>
      </c>
      <c r="CY322" s="12"/>
      <c r="CZ322" s="68"/>
    </row>
    <row r="323" spans="1:104" ht="18" customHeight="1" x14ac:dyDescent="0.3">
      <c r="A323" s="150"/>
      <c r="B323" s="43"/>
      <c r="C323" s="12">
        <v>46341</v>
      </c>
      <c r="D323" s="20">
        <f t="shared" si="16"/>
        <v>0</v>
      </c>
      <c r="E323" s="20" t="str">
        <f t="shared" si="18"/>
        <v/>
      </c>
      <c r="F323" s="20"/>
      <c r="G323" s="20" t="str">
        <f t="shared" si="19"/>
        <v/>
      </c>
      <c r="H323" s="20"/>
      <c r="I323" s="20"/>
      <c r="J323" s="20"/>
      <c r="K323" s="20"/>
      <c r="L323" s="20"/>
      <c r="M323" s="19" t="s">
        <v>71</v>
      </c>
      <c r="N323" s="19"/>
      <c r="O323" s="19" t="s">
        <v>71</v>
      </c>
      <c r="P323" s="19"/>
      <c r="Q323" s="19" t="s">
        <v>71</v>
      </c>
      <c r="R323" s="19"/>
      <c r="S323" s="19"/>
      <c r="T323" s="19"/>
      <c r="U323" s="19"/>
      <c r="V323" s="19"/>
      <c r="W323" s="19"/>
      <c r="X323" s="19"/>
      <c r="Y323" s="19" t="s">
        <v>71</v>
      </c>
      <c r="Z323" s="19"/>
      <c r="AA323" s="19" t="s">
        <v>71</v>
      </c>
      <c r="AB323" s="19"/>
      <c r="AC323" s="19" t="s">
        <v>71</v>
      </c>
      <c r="AD323" s="19"/>
      <c r="AE323" s="19" t="s">
        <v>71</v>
      </c>
      <c r="AF323" s="19"/>
      <c r="AG323" s="19" t="s">
        <v>71</v>
      </c>
      <c r="AH323" s="19"/>
      <c r="AI323" s="19" t="s">
        <v>71</v>
      </c>
      <c r="AJ323" s="19"/>
      <c r="AK323" s="19" t="s">
        <v>71</v>
      </c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 t="s">
        <v>71</v>
      </c>
      <c r="CF323" s="19"/>
      <c r="CG323" s="19" t="s">
        <v>71</v>
      </c>
      <c r="CH323" s="19"/>
      <c r="CI323" s="19" t="s">
        <v>71</v>
      </c>
      <c r="CJ323" s="19"/>
      <c r="CK323" s="19" t="s">
        <v>71</v>
      </c>
      <c r="CL323" s="19"/>
      <c r="CM323" s="19"/>
      <c r="CN323" s="19"/>
      <c r="CO323" s="19"/>
      <c r="CP323" s="19"/>
      <c r="CQ323" s="19"/>
      <c r="CR323" s="19"/>
      <c r="CS323" s="19"/>
      <c r="CT323" s="19"/>
      <c r="CU323" s="11" t="e">
        <f>IF(SUM(E323,G323,I323,K323,M323,O323,Q323,S323,U323,W324,Y323,AA323,AC323,AE323,AG323,AI323,AK323,AM323,AO323,AQ323,#REF!)&gt;0,"Sí","No")</f>
        <v>#REF!</v>
      </c>
      <c r="CV323" s="92" t="e">
        <f>IF($CU323="Sí",_xlfn.TEXTJOIN(", ",TRUE,IF(N(E323)&gt;0,E$4,""),IF(N(G323)&gt;0,G$4,""),IF(N(I323)&gt;0,I$4,""),IF(N(K323)&gt;0,K$4,""),IF(N(M323)&gt;0,M$4,""),IF(N(O323)&gt;0,O$4,""),IF(N(Q323)&gt;0,Q$4,""),IF(N(S323)&gt;0,S$4,""),IF(N(U323)&gt;0,U$4,""),IF(N(W324)&gt;0,W$4,""),IF(N(Y323)&gt;0,Y$4,""),IF(N(AA323)&gt;0,AA$4,""),IF(N(AC323)&gt;0,AC$4,""),IF(N(AE323)&gt;0,AE$4,""),IF(N(AG323)&gt;0,AG$4,""),IF(N(AI323)&gt;0,AI$4,""),IF(N(AK323)&gt;0,AK$4,""),IF(N(AM323)&gt;0,AM$4,""),IF(N(AO323)&gt;0,AO$4,""),IF(N(AQ323)&gt;0,AQ$4,""),IF(N(#REF!)&gt;0,#REF!,"")),"")</f>
        <v>#REF!</v>
      </c>
      <c r="CW323" s="11"/>
      <c r="CX323" s="11" t="e">
        <f t="shared" si="17"/>
        <v>#REF!</v>
      </c>
      <c r="CY323" s="12"/>
      <c r="CZ323" s="68"/>
    </row>
    <row r="324" spans="1:104" ht="18" customHeight="1" x14ac:dyDescent="0.3">
      <c r="A324" s="150"/>
      <c r="B324" s="43"/>
      <c r="C324" s="12">
        <v>46342</v>
      </c>
      <c r="D324" s="20">
        <f t="shared" si="16"/>
        <v>0</v>
      </c>
      <c r="E324" s="20" t="str">
        <f t="shared" si="18"/>
        <v/>
      </c>
      <c r="F324" s="20"/>
      <c r="G324" s="20"/>
      <c r="H324" s="20"/>
      <c r="I324" s="20"/>
      <c r="J324" s="20"/>
      <c r="K324" s="20" t="str">
        <f t="shared" ref="K324" si="20">IF(MOD(G324-$C$30,42)=0,8,"")</f>
        <v/>
      </c>
      <c r="L324" s="20"/>
      <c r="M324" s="19" t="s">
        <v>71</v>
      </c>
      <c r="N324" s="19"/>
      <c r="O324" s="19" t="s">
        <v>71</v>
      </c>
      <c r="P324" s="19"/>
      <c r="Q324" s="19" t="s">
        <v>71</v>
      </c>
      <c r="R324" s="19"/>
      <c r="S324" s="19"/>
      <c r="T324" s="19"/>
      <c r="U324" s="19"/>
      <c r="V324" s="19"/>
      <c r="W324" s="19"/>
      <c r="X324" s="19"/>
      <c r="Y324" s="19" t="s">
        <v>71</v>
      </c>
      <c r="Z324" s="19"/>
      <c r="AA324" s="19" t="s">
        <v>71</v>
      </c>
      <c r="AB324" s="19"/>
      <c r="AC324" s="19" t="s">
        <v>71</v>
      </c>
      <c r="AD324" s="19"/>
      <c r="AE324" s="19" t="s">
        <v>71</v>
      </c>
      <c r="AF324" s="19"/>
      <c r="AG324" s="19" t="s">
        <v>71</v>
      </c>
      <c r="AH324" s="19"/>
      <c r="AI324" s="19" t="s">
        <v>71</v>
      </c>
      <c r="AJ324" s="19"/>
      <c r="AK324" s="19" t="s">
        <v>71</v>
      </c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 t="s">
        <v>71</v>
      </c>
      <c r="CF324" s="19"/>
      <c r="CG324" s="19" t="s">
        <v>71</v>
      </c>
      <c r="CH324" s="19"/>
      <c r="CI324" s="19" t="s">
        <v>71</v>
      </c>
      <c r="CJ324" s="19"/>
      <c r="CK324" s="19" t="s">
        <v>71</v>
      </c>
      <c r="CL324" s="19"/>
      <c r="CM324" s="19"/>
      <c r="CN324" s="19"/>
      <c r="CO324" s="19"/>
      <c r="CP324" s="19"/>
      <c r="CQ324" s="19"/>
      <c r="CR324" s="19"/>
      <c r="CS324" s="19"/>
      <c r="CT324" s="19"/>
      <c r="CU324" s="11" t="e">
        <f>IF(SUM(E324,G324,I324,K324,M324,O324,Q324,S324,U324,W325,Y324,AA324,AC324,AE324,AG324,AI324,AK324,AM324,AO324,AQ324,#REF!)&gt;0,"Sí","No")</f>
        <v>#REF!</v>
      </c>
      <c r="CV324" s="92" t="e">
        <f>IF($CU324="Sí",_xlfn.TEXTJOIN(", ",TRUE,IF(N(E324)&gt;0,E$4,""),IF(N(G324)&gt;0,G$4,""),IF(N(I324)&gt;0,I$4,""),IF(N(K324)&gt;0,K$4,""),IF(N(M324)&gt;0,M$4,""),IF(N(O324)&gt;0,O$4,""),IF(N(Q324)&gt;0,Q$4,""),IF(N(S324)&gt;0,S$4,""),IF(N(U324)&gt;0,U$4,""),IF(N(W325)&gt;0,W$4,""),IF(N(Y324)&gt;0,Y$4,""),IF(N(AA324)&gt;0,AA$4,""),IF(N(AC324)&gt;0,AC$4,""),IF(N(AE324)&gt;0,AE$4,""),IF(N(AG324)&gt;0,AG$4,""),IF(N(AI324)&gt;0,AI$4,""),IF(N(AK324)&gt;0,AK$4,""),IF(N(AM324)&gt;0,AM$4,""),IF(N(AO324)&gt;0,AO$4,""),IF(N(AQ324)&gt;0,AQ$4,""),IF(N(#REF!)&gt;0,#REF!,"")),"")</f>
        <v>#REF!</v>
      </c>
      <c r="CW324" s="11"/>
      <c r="CX324" s="11" t="e">
        <f t="shared" si="17"/>
        <v>#REF!</v>
      </c>
      <c r="CY324" s="12"/>
      <c r="CZ324" s="68"/>
    </row>
    <row r="325" spans="1:104" ht="78" customHeight="1" x14ac:dyDescent="0.3">
      <c r="A325" s="150"/>
      <c r="B325" s="43"/>
      <c r="C325" s="12">
        <v>46343</v>
      </c>
      <c r="D325" s="20">
        <f t="shared" ref="D325:D369" si="21">+F325+H325+J325+L325+N325+P325+R325+Z325+AB325+AD325+AF325+AH325+AJ325+AL325+AN325+AP325</f>
        <v>80</v>
      </c>
      <c r="E325" s="20">
        <v>10</v>
      </c>
      <c r="F325" s="20">
        <v>20</v>
      </c>
      <c r="G325" s="20">
        <v>10</v>
      </c>
      <c r="H325" s="20">
        <v>20</v>
      </c>
      <c r="I325" s="20">
        <v>10</v>
      </c>
      <c r="J325" s="20">
        <v>20</v>
      </c>
      <c r="K325" s="20">
        <v>10</v>
      </c>
      <c r="L325" s="20">
        <v>20</v>
      </c>
      <c r="M325" s="19" t="s">
        <v>71</v>
      </c>
      <c r="N325" s="19"/>
      <c r="O325" s="19" t="s">
        <v>71</v>
      </c>
      <c r="P325" s="19"/>
      <c r="Q325" s="19" t="s">
        <v>71</v>
      </c>
      <c r="R325" s="19"/>
      <c r="S325" s="19"/>
      <c r="T325" s="19"/>
      <c r="U325" s="19"/>
      <c r="V325" s="19"/>
      <c r="W325" s="19"/>
      <c r="X325" s="19"/>
      <c r="Y325" s="19" t="s">
        <v>71</v>
      </c>
      <c r="Z325" s="19"/>
      <c r="AA325" s="19" t="s">
        <v>71</v>
      </c>
      <c r="AB325" s="19"/>
      <c r="AC325" s="19" t="s">
        <v>71</v>
      </c>
      <c r="AD325" s="19"/>
      <c r="AE325" s="19" t="s">
        <v>71</v>
      </c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 t="s">
        <v>71</v>
      </c>
      <c r="CF325" s="19"/>
      <c r="CG325" s="19" t="s">
        <v>71</v>
      </c>
      <c r="CH325" s="19"/>
      <c r="CI325" s="19" t="s">
        <v>71</v>
      </c>
      <c r="CJ325" s="19"/>
      <c r="CK325" s="19" t="s">
        <v>71</v>
      </c>
      <c r="CL325" s="19"/>
      <c r="CM325" s="19"/>
      <c r="CN325" s="19"/>
      <c r="CO325" s="19"/>
      <c r="CP325" s="19"/>
      <c r="CQ325" s="19"/>
      <c r="CR325" s="19"/>
      <c r="CS325" s="19"/>
      <c r="CT325" s="19"/>
      <c r="CU325" s="11" t="e">
        <f>IF(SUM(E325,G325,I325,K325,M325,O325,Q325,S325,U325,W326,Y325,AA325,AC325,AE325,AG325,AI325,AK325,AM325,AO325,AQ325,#REF!)&gt;0,"Sí","No")</f>
        <v>#REF!</v>
      </c>
      <c r="CV325" s="109" t="e">
        <f>IF($CU325="Sí",_xlfn.TEXTJOIN(", ",TRUE,IF(N(E325)&gt;0,E$4,""),IF(N(G325)&gt;0,G$4,""),IF(N(I325)&gt;0,I$4,""),IF(N(K325)&gt;0,K$4,""),IF(N(M325)&gt;0,M$4,""),IF(N(O325)&gt;0,O$4,""),IF(N(Q325)&gt;0,Q$4,""),IF(N(S325)&gt;0,S$4,""),IF(N(U325)&gt;0,U$4,""),IF(N(W326)&gt;0,W$4,""),IF(N(Y325)&gt;0,Y$4,""),IF(N(AA325)&gt;0,AA$4,""),IF(N(AC325)&gt;0,AC$4,""),IF(N(AE325)&gt;0,AE$4,""),IF(N(AG325)&gt;0,AG$4,""),IF(N(AI325)&gt;0,AI$4,""),IF(N(AK325)&gt;0,AK$4,""),IF(N(AM325)&gt;0,AM$4,""),IF(N(AO325)&gt;0,AO$4,""),IF(N(AQ325)&gt;0,AQ$4,""),IF(N(#REF!)&gt;0,#REF!,"")),"")</f>
        <v>#REF!</v>
      </c>
      <c r="CW325" s="11"/>
      <c r="CX325" s="11" t="e">
        <f t="shared" si="17"/>
        <v>#REF!</v>
      </c>
      <c r="CY325" s="12"/>
      <c r="CZ325" s="68"/>
    </row>
    <row r="326" spans="1:104" ht="18" customHeight="1" x14ac:dyDescent="0.3">
      <c r="A326" s="150"/>
      <c r="B326" s="43"/>
      <c r="C326" s="12">
        <v>46344</v>
      </c>
      <c r="D326" s="20">
        <f t="shared" si="21"/>
        <v>0</v>
      </c>
      <c r="E326" s="20" t="str">
        <f t="shared" si="18"/>
        <v/>
      </c>
      <c r="F326" s="20"/>
      <c r="G326" s="20" t="str">
        <f t="shared" si="19"/>
        <v/>
      </c>
      <c r="H326" s="20"/>
      <c r="I326" s="20"/>
      <c r="J326" s="20"/>
      <c r="K326" s="20"/>
      <c r="L326" s="20"/>
      <c r="M326" s="19" t="s">
        <v>71</v>
      </c>
      <c r="N326" s="19"/>
      <c r="O326" s="19" t="s">
        <v>71</v>
      </c>
      <c r="P326" s="19"/>
      <c r="Q326" s="19" t="s">
        <v>71</v>
      </c>
      <c r="R326" s="19"/>
      <c r="S326" s="19"/>
      <c r="T326" s="19"/>
      <c r="U326" s="19"/>
      <c r="V326" s="19"/>
      <c r="W326" s="19"/>
      <c r="X326" s="19"/>
      <c r="Y326" s="19" t="s">
        <v>71</v>
      </c>
      <c r="Z326" s="19"/>
      <c r="AA326" s="19" t="s">
        <v>71</v>
      </c>
      <c r="AB326" s="19"/>
      <c r="AC326" s="19" t="s">
        <v>71</v>
      </c>
      <c r="AD326" s="19"/>
      <c r="AE326" s="19" t="s">
        <v>71</v>
      </c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 t="s">
        <v>71</v>
      </c>
      <c r="CF326" s="19"/>
      <c r="CG326" s="19" t="s">
        <v>71</v>
      </c>
      <c r="CH326" s="19"/>
      <c r="CI326" s="19" t="s">
        <v>71</v>
      </c>
      <c r="CJ326" s="19"/>
      <c r="CK326" s="19" t="s">
        <v>71</v>
      </c>
      <c r="CL326" s="19"/>
      <c r="CM326" s="19"/>
      <c r="CN326" s="19"/>
      <c r="CO326" s="19"/>
      <c r="CP326" s="19"/>
      <c r="CQ326" s="19"/>
      <c r="CR326" s="19"/>
      <c r="CS326" s="19"/>
      <c r="CT326" s="19"/>
      <c r="CU326" s="11" t="e">
        <f>IF(SUM(E326,G326,I326,K326,M326,O326,Q326,S326,U326,W327,Y326,AA326,AC326,AE326,AG326,AI326,AK326,AM326,AO326,AQ326,#REF!)&gt;0,"Sí","No")</f>
        <v>#REF!</v>
      </c>
      <c r="CV326" s="92" t="e">
        <f>IF($CU326="Sí",_xlfn.TEXTJOIN(", ",TRUE,IF(N(E326)&gt;0,E$4,""),IF(N(G326)&gt;0,G$4,""),IF(N(I326)&gt;0,I$4,""),IF(N(K326)&gt;0,K$4,""),IF(N(M326)&gt;0,M$4,""),IF(N(O326)&gt;0,O$4,""),IF(N(Q326)&gt;0,Q$4,""),IF(N(S326)&gt;0,S$4,""),IF(N(U326)&gt;0,U$4,""),IF(N(W327)&gt;0,W$4,""),IF(N(Y326)&gt;0,Y$4,""),IF(N(AA326)&gt;0,AA$4,""),IF(N(AC326)&gt;0,AC$4,""),IF(N(AE326)&gt;0,AE$4,""),IF(N(AG326)&gt;0,AG$4,""),IF(N(AI326)&gt;0,AI$4,""),IF(N(AK326)&gt;0,AK$4,""),IF(N(AM326)&gt;0,AM$4,""),IF(N(AO326)&gt;0,AO$4,""),IF(N(AQ326)&gt;0,AQ$4,""),IF(N(#REF!)&gt;0,#REF!,"")),"")</f>
        <v>#REF!</v>
      </c>
      <c r="CW326" s="11"/>
      <c r="CX326" s="11" t="e">
        <f t="shared" ref="CX326:CX369" si="22">IF($CU326="No","No aplica",IF($CW326="Sí","Ejecutado","Programado pendiente"))</f>
        <v>#REF!</v>
      </c>
      <c r="CY326" s="12"/>
      <c r="CZ326" s="68"/>
    </row>
    <row r="327" spans="1:104" ht="18" customHeight="1" x14ac:dyDescent="0.3">
      <c r="A327" s="150"/>
      <c r="B327" s="43"/>
      <c r="C327" s="12">
        <v>46345</v>
      </c>
      <c r="D327" s="20">
        <f t="shared" si="21"/>
        <v>0</v>
      </c>
      <c r="E327" s="20" t="str">
        <f t="shared" si="18"/>
        <v/>
      </c>
      <c r="F327" s="20"/>
      <c r="G327" s="20" t="str">
        <f t="shared" si="19"/>
        <v/>
      </c>
      <c r="H327" s="20"/>
      <c r="I327" s="20"/>
      <c r="J327" s="20"/>
      <c r="K327" s="20"/>
      <c r="L327" s="20"/>
      <c r="M327" s="19" t="s">
        <v>71</v>
      </c>
      <c r="N327" s="19"/>
      <c r="O327" s="19" t="s">
        <v>71</v>
      </c>
      <c r="P327" s="19"/>
      <c r="Q327" s="19" t="s">
        <v>71</v>
      </c>
      <c r="R327" s="19"/>
      <c r="S327" s="19"/>
      <c r="T327" s="19"/>
      <c r="U327" s="19"/>
      <c r="V327" s="19"/>
      <c r="W327" s="19"/>
      <c r="X327" s="19"/>
      <c r="Y327" s="19" t="s">
        <v>71</v>
      </c>
      <c r="Z327" s="19"/>
      <c r="AA327" s="19" t="s">
        <v>71</v>
      </c>
      <c r="AB327" s="19"/>
      <c r="AC327" s="19" t="s">
        <v>71</v>
      </c>
      <c r="AD327" s="19"/>
      <c r="AE327" s="19" t="s">
        <v>71</v>
      </c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 t="s">
        <v>71</v>
      </c>
      <c r="CF327" s="19"/>
      <c r="CG327" s="19" t="s">
        <v>71</v>
      </c>
      <c r="CH327" s="19"/>
      <c r="CI327" s="19" t="s">
        <v>71</v>
      </c>
      <c r="CJ327" s="19"/>
      <c r="CK327" s="19" t="s">
        <v>71</v>
      </c>
      <c r="CL327" s="19"/>
      <c r="CM327" s="19"/>
      <c r="CN327" s="19"/>
      <c r="CO327" s="19"/>
      <c r="CP327" s="19"/>
      <c r="CQ327" s="19"/>
      <c r="CR327" s="19"/>
      <c r="CS327" s="19"/>
      <c r="CT327" s="19"/>
      <c r="CU327" s="11" t="e">
        <f>IF(SUM(E327,G327,I327,K327,M327,O327,Q327,S327,U327,W328,Y327,AA327,AC327,AE327,AG327,AI327,AK327,AM327,AO327,AQ327,#REF!)&gt;0,"Sí","No")</f>
        <v>#REF!</v>
      </c>
      <c r="CV327" s="92" t="e">
        <f>IF($CU327="Sí",_xlfn.TEXTJOIN(", ",TRUE,IF(N(E327)&gt;0,E$4,""),IF(N(G327)&gt;0,G$4,""),IF(N(I327)&gt;0,I$4,""),IF(N(K327)&gt;0,K$4,""),IF(N(M327)&gt;0,M$4,""),IF(N(O327)&gt;0,O$4,""),IF(N(Q327)&gt;0,Q$4,""),IF(N(S327)&gt;0,S$4,""),IF(N(U327)&gt;0,U$4,""),IF(N(W328)&gt;0,W$4,""),IF(N(Y327)&gt;0,Y$4,""),IF(N(AA327)&gt;0,AA$4,""),IF(N(AC327)&gt;0,AC$4,""),IF(N(AE327)&gt;0,AE$4,""),IF(N(AG327)&gt;0,AG$4,""),IF(N(AI327)&gt;0,AI$4,""),IF(N(AK327)&gt;0,AK$4,""),IF(N(AM327)&gt;0,AM$4,""),IF(N(AO327)&gt;0,AO$4,""),IF(N(AQ327)&gt;0,AQ$4,""),IF(N(#REF!)&gt;0,#REF!,"")),"")</f>
        <v>#REF!</v>
      </c>
      <c r="CW327" s="11"/>
      <c r="CX327" s="11" t="e">
        <f t="shared" si="22"/>
        <v>#REF!</v>
      </c>
      <c r="CY327" s="12"/>
      <c r="CZ327" s="68"/>
    </row>
    <row r="328" spans="1:104" ht="18" customHeight="1" x14ac:dyDescent="0.3">
      <c r="A328" s="150"/>
      <c r="B328" s="43"/>
      <c r="C328" s="12">
        <v>46346</v>
      </c>
      <c r="D328" s="20">
        <f t="shared" si="21"/>
        <v>0</v>
      </c>
      <c r="E328" s="20" t="str">
        <f t="shared" si="18"/>
        <v/>
      </c>
      <c r="F328" s="20"/>
      <c r="G328" s="20" t="str">
        <f t="shared" si="19"/>
        <v/>
      </c>
      <c r="H328" s="20"/>
      <c r="I328" s="20"/>
      <c r="J328" s="20"/>
      <c r="K328" s="20"/>
      <c r="L328" s="20"/>
      <c r="M328" s="19" t="s">
        <v>71</v>
      </c>
      <c r="N328" s="19"/>
      <c r="O328" s="19" t="s">
        <v>71</v>
      </c>
      <c r="P328" s="19"/>
      <c r="Q328" s="19" t="s">
        <v>71</v>
      </c>
      <c r="R328" s="19"/>
      <c r="S328" s="19"/>
      <c r="T328" s="19"/>
      <c r="U328" s="19"/>
      <c r="V328" s="19"/>
      <c r="W328" s="19"/>
      <c r="X328" s="19"/>
      <c r="Y328" s="19" t="s">
        <v>71</v>
      </c>
      <c r="Z328" s="19"/>
      <c r="AA328" s="19" t="s">
        <v>71</v>
      </c>
      <c r="AB328" s="19"/>
      <c r="AC328" s="19" t="s">
        <v>71</v>
      </c>
      <c r="AD328" s="19"/>
      <c r="AE328" s="19" t="s">
        <v>71</v>
      </c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 t="s">
        <v>71</v>
      </c>
      <c r="CF328" s="19"/>
      <c r="CG328" s="19" t="s">
        <v>71</v>
      </c>
      <c r="CH328" s="19"/>
      <c r="CI328" s="19" t="s">
        <v>71</v>
      </c>
      <c r="CJ328" s="19"/>
      <c r="CK328" s="19" t="s">
        <v>71</v>
      </c>
      <c r="CL328" s="19"/>
      <c r="CM328" s="19"/>
      <c r="CN328" s="19"/>
      <c r="CO328" s="19"/>
      <c r="CP328" s="19"/>
      <c r="CQ328" s="19"/>
      <c r="CR328" s="19"/>
      <c r="CS328" s="19"/>
      <c r="CT328" s="19"/>
      <c r="CU328" s="11" t="e">
        <f>IF(SUM(E328,G328,I328,K328,M328,O328,Q328,S328,U328,W329,Y328,AA328,AC328,AE328,AG328,AI328,AK328,AM328,AO328,AQ328,#REF!)&gt;0,"Sí","No")</f>
        <v>#REF!</v>
      </c>
      <c r="CV328" s="92" t="e">
        <f>IF($CU328="Sí",_xlfn.TEXTJOIN(", ",TRUE,IF(N(E328)&gt;0,E$4,""),IF(N(G328)&gt;0,G$4,""),IF(N(I328)&gt;0,I$4,""),IF(N(K328)&gt;0,K$4,""),IF(N(M328)&gt;0,M$4,""),IF(N(O328)&gt;0,O$4,""),IF(N(Q328)&gt;0,Q$4,""),IF(N(S328)&gt;0,S$4,""),IF(N(U328)&gt;0,U$4,""),IF(N(W329)&gt;0,W$4,""),IF(N(Y328)&gt;0,Y$4,""),IF(N(AA328)&gt;0,AA$4,""),IF(N(AC328)&gt;0,AC$4,""),IF(N(AE328)&gt;0,AE$4,""),IF(N(AG328)&gt;0,AG$4,""),IF(N(AI328)&gt;0,AI$4,""),IF(N(AK328)&gt;0,AK$4,""),IF(N(AM328)&gt;0,AM$4,""),IF(N(AO328)&gt;0,AO$4,""),IF(N(AQ328)&gt;0,AQ$4,""),IF(N(#REF!)&gt;0,#REF!,"")),"")</f>
        <v>#REF!</v>
      </c>
      <c r="CW328" s="11"/>
      <c r="CX328" s="11" t="e">
        <f t="shared" si="22"/>
        <v>#REF!</v>
      </c>
      <c r="CY328" s="12"/>
      <c r="CZ328" s="68"/>
    </row>
    <row r="329" spans="1:104" ht="42" customHeight="1" x14ac:dyDescent="0.3">
      <c r="A329" s="150"/>
      <c r="B329" s="43"/>
      <c r="C329" s="12">
        <v>46347</v>
      </c>
      <c r="D329" s="20">
        <f t="shared" si="21"/>
        <v>80</v>
      </c>
      <c r="E329" s="20" t="str">
        <f t="shared" si="18"/>
        <v/>
      </c>
      <c r="F329" s="20"/>
      <c r="G329" s="20" t="str">
        <f t="shared" si="19"/>
        <v/>
      </c>
      <c r="H329" s="20"/>
      <c r="I329" s="20"/>
      <c r="J329" s="20"/>
      <c r="K329" s="20"/>
      <c r="L329" s="20"/>
      <c r="M329" s="19" t="s">
        <v>71</v>
      </c>
      <c r="N329" s="19"/>
      <c r="O329" s="19" t="s">
        <v>71</v>
      </c>
      <c r="P329" s="19"/>
      <c r="Q329" s="19" t="s">
        <v>71</v>
      </c>
      <c r="R329" s="19"/>
      <c r="S329" s="19"/>
      <c r="T329" s="19"/>
      <c r="U329" s="19"/>
      <c r="V329" s="19"/>
      <c r="W329" s="19"/>
      <c r="X329" s="19"/>
      <c r="Y329" s="19">
        <v>10</v>
      </c>
      <c r="Z329" s="19">
        <v>20</v>
      </c>
      <c r="AA329" s="19">
        <v>10</v>
      </c>
      <c r="AB329" s="19">
        <v>20</v>
      </c>
      <c r="AC329" s="19">
        <v>10</v>
      </c>
      <c r="AD329" s="19">
        <v>20</v>
      </c>
      <c r="AE329" s="19">
        <v>10</v>
      </c>
      <c r="AF329" s="19">
        <v>20</v>
      </c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 t="s">
        <v>71</v>
      </c>
      <c r="CF329" s="19"/>
      <c r="CG329" s="19" t="s">
        <v>71</v>
      </c>
      <c r="CH329" s="19"/>
      <c r="CI329" s="19" t="s">
        <v>71</v>
      </c>
      <c r="CJ329" s="19"/>
      <c r="CK329" s="19" t="s">
        <v>71</v>
      </c>
      <c r="CL329" s="19"/>
      <c r="CM329" s="19"/>
      <c r="CN329" s="19"/>
      <c r="CO329" s="19"/>
      <c r="CP329" s="19"/>
      <c r="CQ329" s="19"/>
      <c r="CR329" s="19"/>
      <c r="CS329" s="19"/>
      <c r="CT329" s="19"/>
      <c r="CU329" s="11" t="e">
        <f>IF(SUM(E329,G329,I329,K329,M329,O329,Q329,S329,U329,W330,Y329,AA329,AC329,AE329,AG329,AI329,AK329,AM329,AO329,AQ329,#REF!)&gt;0,"Sí","No")</f>
        <v>#REF!</v>
      </c>
      <c r="CV329" s="109" t="e">
        <f>IF($CU329="Sí",_xlfn.TEXTJOIN(", ",TRUE,IF(N(E329)&gt;0,E$4,""),IF(N(G329)&gt;0,G$4,""),IF(N(I329)&gt;0,I$4,""),IF(N(K329)&gt;0,K$4,""),IF(N(M329)&gt;0,M$4,""),IF(N(O329)&gt;0,O$4,""),IF(N(Q329)&gt;0,Q$4,""),IF(N(S329)&gt;0,S$4,""),IF(N(U329)&gt;0,U$4,""),IF(N(W330)&gt;0,W$4,""),IF(N(Y329)&gt;0,Y$4,""),IF(N(AA329)&gt;0,AA$4,""),IF(N(AC329)&gt;0,AC$4,""),IF(N(AE329)&gt;0,AE$4,""),IF(N(AG329)&gt;0,AG$4,""),IF(N(AI329)&gt;0,AI$4,""),IF(N(AK329)&gt;0,AK$4,""),IF(N(AM329)&gt;0,AM$4,""),IF(N(AO329)&gt;0,AO$4,""),IF(N(AQ329)&gt;0,AQ$4,""),IF(N(#REF!)&gt;0,#REF!,"")),"")</f>
        <v>#REF!</v>
      </c>
      <c r="CW329" s="11"/>
      <c r="CX329" s="11" t="e">
        <f t="shared" si="22"/>
        <v>#REF!</v>
      </c>
      <c r="CY329" s="12"/>
      <c r="CZ329" s="68"/>
    </row>
    <row r="330" spans="1:104" ht="18" customHeight="1" x14ac:dyDescent="0.3">
      <c r="A330" s="150"/>
      <c r="B330" s="43"/>
      <c r="C330" s="12">
        <v>46348</v>
      </c>
      <c r="D330" s="20">
        <f t="shared" si="21"/>
        <v>0</v>
      </c>
      <c r="E330" s="20" t="str">
        <f t="shared" si="18"/>
        <v/>
      </c>
      <c r="F330" s="20"/>
      <c r="G330" s="20" t="str">
        <f t="shared" si="19"/>
        <v/>
      </c>
      <c r="H330" s="20"/>
      <c r="I330" s="20"/>
      <c r="J330" s="20"/>
      <c r="K330" s="20"/>
      <c r="L330" s="20"/>
      <c r="M330" s="19" t="s">
        <v>71</v>
      </c>
      <c r="N330" s="19"/>
      <c r="O330" s="19" t="s">
        <v>71</v>
      </c>
      <c r="P330" s="19"/>
      <c r="Q330" s="19" t="s">
        <v>71</v>
      </c>
      <c r="R330" s="19"/>
      <c r="S330" s="19" t="s">
        <v>71</v>
      </c>
      <c r="T330" s="19"/>
      <c r="U330" s="19" t="s">
        <v>71</v>
      </c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1" t="e">
        <f>IF(SUM(E330,G330,I330,K330,M330,O330,Q330,S330,U330,W331,Y330,AA330,AC330,AE330,AG330,AI330,AK330,AM330,AO330,AQ330,#REF!)&gt;0,"Sí","No")</f>
        <v>#REF!</v>
      </c>
      <c r="CV330" s="92" t="e">
        <f>IF($CU330="Sí",_xlfn.TEXTJOIN(", ",TRUE,IF(N(E330)&gt;0,E$4,""),IF(N(G330)&gt;0,G$4,""),IF(N(I330)&gt;0,I$4,""),IF(N(K330)&gt;0,K$4,""),IF(N(M330)&gt;0,M$4,""),IF(N(O330)&gt;0,O$4,""),IF(N(Q330)&gt;0,Q$4,""),IF(N(S330)&gt;0,S$4,""),IF(N(U330)&gt;0,U$4,""),IF(N(W331)&gt;0,W$4,""),IF(N(Y330)&gt;0,Y$4,""),IF(N(AA330)&gt;0,AA$4,""),IF(N(AC330)&gt;0,AC$4,""),IF(N(AE330)&gt;0,AE$4,""),IF(N(AG330)&gt;0,AG$4,""),IF(N(AI330)&gt;0,AI$4,""),IF(N(AK330)&gt;0,AK$4,""),IF(N(AM330)&gt;0,AM$4,""),IF(N(AO330)&gt;0,AO$4,""),IF(N(AQ330)&gt;0,AQ$4,""),IF(N(#REF!)&gt;0,#REF!,"")),"")</f>
        <v>#REF!</v>
      </c>
      <c r="CW330" s="11"/>
      <c r="CX330" s="11" t="e">
        <f t="shared" si="22"/>
        <v>#REF!</v>
      </c>
      <c r="CY330" s="12"/>
      <c r="CZ330" s="68"/>
    </row>
    <row r="331" spans="1:104" ht="18" customHeight="1" x14ac:dyDescent="0.3">
      <c r="A331" s="150"/>
      <c r="B331" s="43"/>
      <c r="C331" s="12">
        <v>46349</v>
      </c>
      <c r="D331" s="20">
        <f t="shared" si="21"/>
        <v>0</v>
      </c>
      <c r="E331" s="20" t="str">
        <f t="shared" si="18"/>
        <v/>
      </c>
      <c r="F331" s="20"/>
      <c r="G331" s="20" t="str">
        <f t="shared" si="19"/>
        <v/>
      </c>
      <c r="H331" s="20"/>
      <c r="I331" s="20"/>
      <c r="J331" s="20"/>
      <c r="K331" s="20"/>
      <c r="L331" s="20"/>
      <c r="M331" s="19" t="s">
        <v>71</v>
      </c>
      <c r="N331" s="19"/>
      <c r="O331" s="19" t="s">
        <v>71</v>
      </c>
      <c r="P331" s="19"/>
      <c r="Q331" s="19" t="s">
        <v>71</v>
      </c>
      <c r="R331" s="19"/>
      <c r="S331" s="19" t="s">
        <v>71</v>
      </c>
      <c r="T331" s="19"/>
      <c r="U331" s="19" t="s">
        <v>71</v>
      </c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1" t="e">
        <f>IF(SUM(E331,G331,I331,K331,M331,O331,Q331,S331,U331,W332,Y331,AA331,AC331,AE331,AG331,AI331,AK331,AM331,AO331,AQ331,#REF!)&gt;0,"Sí","No")</f>
        <v>#REF!</v>
      </c>
      <c r="CV331" s="92" t="e">
        <f>IF($CU331="Sí",_xlfn.TEXTJOIN(", ",TRUE,IF(N(E331)&gt;0,E$4,""),IF(N(G331)&gt;0,G$4,""),IF(N(I331)&gt;0,I$4,""),IF(N(K331)&gt;0,K$4,""),IF(N(M331)&gt;0,M$4,""),IF(N(O331)&gt;0,O$4,""),IF(N(Q331)&gt;0,Q$4,""),IF(N(S331)&gt;0,S$4,""),IF(N(U331)&gt;0,U$4,""),IF(N(W332)&gt;0,W$4,""),IF(N(Y331)&gt;0,Y$4,""),IF(N(AA331)&gt;0,AA$4,""),IF(N(AC331)&gt;0,AC$4,""),IF(N(AE331)&gt;0,AE$4,""),IF(N(AG331)&gt;0,AG$4,""),IF(N(AI331)&gt;0,AI$4,""),IF(N(AK331)&gt;0,AK$4,""),IF(N(AM331)&gt;0,AM$4,""),IF(N(AO331)&gt;0,AO$4,""),IF(N(AQ331)&gt;0,AQ$4,""),IF(N(#REF!)&gt;0,#REF!,"")),"")</f>
        <v>#REF!</v>
      </c>
      <c r="CW331" s="11"/>
      <c r="CX331" s="11" t="e">
        <f t="shared" si="22"/>
        <v>#REF!</v>
      </c>
      <c r="CY331" s="12"/>
      <c r="CZ331" s="68"/>
    </row>
    <row r="332" spans="1:104" ht="18" customHeight="1" x14ac:dyDescent="0.3">
      <c r="A332" s="150"/>
      <c r="B332" s="43"/>
      <c r="C332" s="12">
        <v>46350</v>
      </c>
      <c r="D332" s="20">
        <f t="shared" si="21"/>
        <v>0</v>
      </c>
      <c r="E332" s="20" t="str">
        <f t="shared" si="18"/>
        <v/>
      </c>
      <c r="F332" s="20"/>
      <c r="G332" s="20" t="str">
        <f t="shared" si="19"/>
        <v/>
      </c>
      <c r="H332" s="20"/>
      <c r="I332" s="20"/>
      <c r="J332" s="20"/>
      <c r="K332" s="20"/>
      <c r="L332" s="20"/>
      <c r="M332" s="19" t="s">
        <v>71</v>
      </c>
      <c r="N332" s="19"/>
      <c r="O332" s="19" t="s">
        <v>71</v>
      </c>
      <c r="P332" s="19"/>
      <c r="Q332" s="19" t="s">
        <v>71</v>
      </c>
      <c r="R332" s="19"/>
      <c r="S332" s="19" t="s">
        <v>71</v>
      </c>
      <c r="T332" s="19"/>
      <c r="U332" s="19" t="s">
        <v>71</v>
      </c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1" t="e">
        <f>IF(SUM(E332,G332,I332,K332,M332,O332,Q332,S332,U332,W333,Y332,AA332,AC332,AE332,AG332,AI332,AK332,AM332,AO332,AQ332,#REF!)&gt;0,"Sí","No")</f>
        <v>#REF!</v>
      </c>
      <c r="CV332" s="92" t="e">
        <f>IF($CU332="Sí",_xlfn.TEXTJOIN(", ",TRUE,IF(N(E332)&gt;0,E$4,""),IF(N(G332)&gt;0,G$4,""),IF(N(I332)&gt;0,I$4,""),IF(N(K332)&gt;0,K$4,""),IF(N(M332)&gt;0,M$4,""),IF(N(O332)&gt;0,O$4,""),IF(N(Q332)&gt;0,Q$4,""),IF(N(S332)&gt;0,S$4,""),IF(N(U332)&gt;0,U$4,""),IF(N(W333)&gt;0,W$4,""),IF(N(Y332)&gt;0,Y$4,""),IF(N(AA332)&gt;0,AA$4,""),IF(N(AC332)&gt;0,AC$4,""),IF(N(AE332)&gt;0,AE$4,""),IF(N(AG332)&gt;0,AG$4,""),IF(N(AI332)&gt;0,AI$4,""),IF(N(AK332)&gt;0,AK$4,""),IF(N(AM332)&gt;0,AM$4,""),IF(N(AO332)&gt;0,AO$4,""),IF(N(AQ332)&gt;0,AQ$4,""),IF(N(#REF!)&gt;0,#REF!,"")),"")</f>
        <v>#REF!</v>
      </c>
      <c r="CW332" s="11"/>
      <c r="CX332" s="11" t="e">
        <f t="shared" si="22"/>
        <v>#REF!</v>
      </c>
      <c r="CY332" s="12"/>
      <c r="CZ332" s="68"/>
    </row>
    <row r="333" spans="1:104" ht="18" customHeight="1" x14ac:dyDescent="0.3">
      <c r="A333" s="150"/>
      <c r="B333" s="43"/>
      <c r="C333" s="12">
        <v>46351</v>
      </c>
      <c r="D333" s="20">
        <f t="shared" si="21"/>
        <v>0</v>
      </c>
      <c r="E333" s="20" t="str">
        <f t="shared" si="18"/>
        <v/>
      </c>
      <c r="F333" s="20"/>
      <c r="G333" s="20" t="str">
        <f t="shared" si="19"/>
        <v/>
      </c>
      <c r="H333" s="20"/>
      <c r="I333" s="20"/>
      <c r="J333" s="20"/>
      <c r="K333" s="20"/>
      <c r="L333" s="20"/>
      <c r="M333" s="19" t="s">
        <v>71</v>
      </c>
      <c r="N333" s="19"/>
      <c r="O333" s="19" t="s">
        <v>71</v>
      </c>
      <c r="P333" s="19"/>
      <c r="Q333" s="19" t="s">
        <v>71</v>
      </c>
      <c r="R333" s="19"/>
      <c r="S333" s="19" t="s">
        <v>71</v>
      </c>
      <c r="T333" s="19"/>
      <c r="U333" s="19" t="s">
        <v>71</v>
      </c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1" t="e">
        <f>IF(SUM(E333,G333,I333,K333,M333,O333,Q333,S333,U333,W334,Y333,AA333,AC333,AE333,AG333,AI333,AK333,AM333,AO333,AQ333,#REF!)&gt;0,"Sí","No")</f>
        <v>#REF!</v>
      </c>
      <c r="CV333" s="92" t="e">
        <f>IF($CU333="Sí",_xlfn.TEXTJOIN(", ",TRUE,IF(N(E333)&gt;0,E$4,""),IF(N(G333)&gt;0,G$4,""),IF(N(I333)&gt;0,I$4,""),IF(N(K333)&gt;0,K$4,""),IF(N(M333)&gt;0,M$4,""),IF(N(O333)&gt;0,O$4,""),IF(N(Q333)&gt;0,Q$4,""),IF(N(S333)&gt;0,S$4,""),IF(N(U333)&gt;0,U$4,""),IF(N(W334)&gt;0,W$4,""),IF(N(Y333)&gt;0,Y$4,""),IF(N(AA333)&gt;0,AA$4,""),IF(N(AC333)&gt;0,AC$4,""),IF(N(AE333)&gt;0,AE$4,""),IF(N(AG333)&gt;0,AG$4,""),IF(N(AI333)&gt;0,AI$4,""),IF(N(AK333)&gt;0,AK$4,""),IF(N(AM333)&gt;0,AM$4,""),IF(N(AO333)&gt;0,AO$4,""),IF(N(AQ333)&gt;0,AQ$4,""),IF(N(#REF!)&gt;0,#REF!,"")),"")</f>
        <v>#REF!</v>
      </c>
      <c r="CW333" s="11"/>
      <c r="CX333" s="11" t="e">
        <f t="shared" si="22"/>
        <v>#REF!</v>
      </c>
      <c r="CY333" s="12"/>
      <c r="CZ333" s="68"/>
    </row>
    <row r="334" spans="1:104" ht="18" customHeight="1" x14ac:dyDescent="0.3">
      <c r="A334" s="150"/>
      <c r="B334" s="43"/>
      <c r="C334" s="12">
        <v>46352</v>
      </c>
      <c r="D334" s="20">
        <f t="shared" si="21"/>
        <v>0</v>
      </c>
      <c r="E334" s="20" t="str">
        <f t="shared" si="18"/>
        <v/>
      </c>
      <c r="F334" s="20"/>
      <c r="G334" s="20" t="str">
        <f t="shared" si="19"/>
        <v/>
      </c>
      <c r="H334" s="20"/>
      <c r="I334" s="20"/>
      <c r="J334" s="20"/>
      <c r="K334" s="20"/>
      <c r="L334" s="20"/>
      <c r="M334" s="19" t="s">
        <v>71</v>
      </c>
      <c r="N334" s="19"/>
      <c r="O334" s="19" t="s">
        <v>71</v>
      </c>
      <c r="P334" s="19"/>
      <c r="Q334" s="19" t="s">
        <v>71</v>
      </c>
      <c r="R334" s="19"/>
      <c r="S334" s="19" t="s">
        <v>71</v>
      </c>
      <c r="T334" s="19"/>
      <c r="U334" s="19" t="s">
        <v>71</v>
      </c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 t="s">
        <v>71</v>
      </c>
      <c r="AH334" s="19"/>
      <c r="AI334" s="19" t="s">
        <v>71</v>
      </c>
      <c r="AJ334" s="19"/>
      <c r="AK334" s="19" t="s">
        <v>71</v>
      </c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1" t="e">
        <f>IF(SUM(E334,G334,I334,K334,M334,O334,Q334,S334,U334,W335,Y334,AA334,AC334,AE334,AG334,AI334,AK334,AM334,AO334,AQ334,#REF!)&gt;0,"Sí","No")</f>
        <v>#REF!</v>
      </c>
      <c r="CV334" s="92" t="e">
        <f>IF($CU334="Sí",_xlfn.TEXTJOIN(", ",TRUE,IF(N(E334)&gt;0,E$4,""),IF(N(G334)&gt;0,G$4,""),IF(N(I334)&gt;0,I$4,""),IF(N(K334)&gt;0,K$4,""),IF(N(M334)&gt;0,M$4,""),IF(N(O334)&gt;0,O$4,""),IF(N(Q334)&gt;0,Q$4,""),IF(N(S334)&gt;0,S$4,""),IF(N(U334)&gt;0,U$4,""),IF(N(W335)&gt;0,W$4,""),IF(N(Y334)&gt;0,Y$4,""),IF(N(AA334)&gt;0,AA$4,""),IF(N(AC334)&gt;0,AC$4,""),IF(N(AE334)&gt;0,AE$4,""),IF(N(AG334)&gt;0,AG$4,""),IF(N(AI334)&gt;0,AI$4,""),IF(N(AK334)&gt;0,AK$4,""),IF(N(AM334)&gt;0,AM$4,""),IF(N(AO334)&gt;0,AO$4,""),IF(N(AQ334)&gt;0,AQ$4,""),IF(N(#REF!)&gt;0,#REF!,"")),"")</f>
        <v>#REF!</v>
      </c>
      <c r="CW334" s="11"/>
      <c r="CX334" s="11" t="e">
        <f t="shared" si="22"/>
        <v>#REF!</v>
      </c>
      <c r="CY334" s="12"/>
      <c r="CZ334" s="68"/>
    </row>
    <row r="335" spans="1:104" ht="18" customHeight="1" x14ac:dyDescent="0.3">
      <c r="A335" s="150"/>
      <c r="B335" s="43"/>
      <c r="C335" s="12">
        <v>46353</v>
      </c>
      <c r="D335" s="20">
        <f t="shared" si="21"/>
        <v>0</v>
      </c>
      <c r="E335" s="20" t="str">
        <f t="shared" si="18"/>
        <v/>
      </c>
      <c r="F335" s="20"/>
      <c r="G335" s="20" t="str">
        <f t="shared" si="19"/>
        <v/>
      </c>
      <c r="H335" s="20"/>
      <c r="I335" s="20"/>
      <c r="J335" s="20"/>
      <c r="K335" s="20"/>
      <c r="L335" s="20"/>
      <c r="M335" s="19" t="s">
        <v>71</v>
      </c>
      <c r="N335" s="19"/>
      <c r="O335" s="19" t="s">
        <v>71</v>
      </c>
      <c r="P335" s="19"/>
      <c r="Q335" s="19" t="s">
        <v>71</v>
      </c>
      <c r="R335" s="19"/>
      <c r="S335" s="26" t="s">
        <v>71</v>
      </c>
      <c r="T335" s="26"/>
      <c r="U335" s="19" t="s">
        <v>71</v>
      </c>
      <c r="V335" s="19"/>
      <c r="W335" s="19"/>
      <c r="X335" s="19"/>
      <c r="Y335" s="19"/>
      <c r="Z335" s="19"/>
      <c r="AA335" s="26"/>
      <c r="AB335" s="26"/>
      <c r="AC335" s="26"/>
      <c r="AD335" s="26"/>
      <c r="AE335" s="26"/>
      <c r="AF335" s="26"/>
      <c r="AG335" s="26" t="s">
        <v>71</v>
      </c>
      <c r="AH335" s="26"/>
      <c r="AI335" s="26" t="s">
        <v>71</v>
      </c>
      <c r="AJ335" s="26"/>
      <c r="AK335" s="26" t="s">
        <v>71</v>
      </c>
      <c r="AL335" s="26"/>
      <c r="AM335" s="26"/>
      <c r="AN335" s="26"/>
      <c r="AO335" s="26"/>
      <c r="AP335" s="26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1" t="e">
        <f>IF(SUM(E335,G335,I335,K335,M335,O335,Q335,S335,U335,W336,Y335,AA335,AC335,AE335,AG335,AI335,AK335,AM335,AO335,AQ335,#REF!)&gt;0,"Sí","No")</f>
        <v>#REF!</v>
      </c>
      <c r="CV335" s="92" t="e">
        <f>IF($CU335="Sí",_xlfn.TEXTJOIN(", ",TRUE,IF(N(E335)&gt;0,E$4,""),IF(N(G335)&gt;0,G$4,""),IF(N(I335)&gt;0,I$4,""),IF(N(K335)&gt;0,K$4,""),IF(N(M335)&gt;0,M$4,""),IF(N(O335)&gt;0,O$4,""),IF(N(Q335)&gt;0,Q$4,""),IF(N(S335)&gt;0,S$4,""),IF(N(U335)&gt;0,U$4,""),IF(N(W336)&gt;0,W$4,""),IF(N(Y335)&gt;0,Y$4,""),IF(N(AA335)&gt;0,AA$4,""),IF(N(AC335)&gt;0,AC$4,""),IF(N(AE335)&gt;0,AE$4,""),IF(N(AG335)&gt;0,AG$4,""),IF(N(AI335)&gt;0,AI$4,""),IF(N(AK335)&gt;0,AK$4,""),IF(N(AM335)&gt;0,AM$4,""),IF(N(AO335)&gt;0,AO$4,""),IF(N(AQ335)&gt;0,AQ$4,""),IF(N(#REF!)&gt;0,#REF!,"")),"")</f>
        <v>#REF!</v>
      </c>
      <c r="CW335" s="11"/>
      <c r="CX335" s="11" t="e">
        <f t="shared" si="22"/>
        <v>#REF!</v>
      </c>
      <c r="CY335" s="12"/>
      <c r="CZ335" s="68"/>
    </row>
    <row r="336" spans="1:104" ht="18" customHeight="1" x14ac:dyDescent="0.3">
      <c r="A336" s="150"/>
      <c r="B336" s="43"/>
      <c r="C336" s="12">
        <v>46354</v>
      </c>
      <c r="D336" s="20">
        <f t="shared" si="21"/>
        <v>0</v>
      </c>
      <c r="E336" s="20" t="str">
        <f t="shared" si="18"/>
        <v/>
      </c>
      <c r="F336" s="20"/>
      <c r="G336" s="20" t="str">
        <f t="shared" si="19"/>
        <v/>
      </c>
      <c r="H336" s="20"/>
      <c r="I336" s="20"/>
      <c r="J336" s="20"/>
      <c r="K336" s="20"/>
      <c r="L336" s="20"/>
      <c r="M336" s="19" t="s">
        <v>71</v>
      </c>
      <c r="N336" s="19"/>
      <c r="O336" s="19" t="s">
        <v>71</v>
      </c>
      <c r="P336" s="19"/>
      <c r="Q336" s="19" t="s">
        <v>71</v>
      </c>
      <c r="R336" s="19"/>
      <c r="S336" s="19" t="s">
        <v>71</v>
      </c>
      <c r="T336" s="19"/>
      <c r="U336" s="19" t="s">
        <v>71</v>
      </c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 t="s">
        <v>71</v>
      </c>
      <c r="AH336" s="19"/>
      <c r="AI336" s="19" t="s">
        <v>71</v>
      </c>
      <c r="AJ336" s="19"/>
      <c r="AK336" s="19" t="s">
        <v>71</v>
      </c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1" t="e">
        <f>IF(SUM(E336,G336,I336,K336,M336,O336,Q336,S336,U336,W337,Y336,AA336,AC336,AE336,AG336,AI336,AK336,AM336,AO336,AQ336,#REF!)&gt;0,"Sí","No")</f>
        <v>#REF!</v>
      </c>
      <c r="CV336" s="92" t="e">
        <f>IF($CU336="Sí",_xlfn.TEXTJOIN(", ",TRUE,IF(N(E336)&gt;0,E$4,""),IF(N(G336)&gt;0,G$4,""),IF(N(I336)&gt;0,I$4,""),IF(N(K336)&gt;0,K$4,""),IF(N(M336)&gt;0,M$4,""),IF(N(O336)&gt;0,O$4,""),IF(N(Q336)&gt;0,Q$4,""),IF(N(S336)&gt;0,S$4,""),IF(N(U336)&gt;0,U$4,""),IF(N(W337)&gt;0,W$4,""),IF(N(Y336)&gt;0,Y$4,""),IF(N(AA336)&gt;0,AA$4,""),IF(N(AC336)&gt;0,AC$4,""),IF(N(AE336)&gt;0,AE$4,""),IF(N(AG336)&gt;0,AG$4,""),IF(N(AI336)&gt;0,AI$4,""),IF(N(AK336)&gt;0,AK$4,""),IF(N(AM336)&gt;0,AM$4,""),IF(N(AO336)&gt;0,AO$4,""),IF(N(AQ336)&gt;0,AQ$4,""),IF(N(#REF!)&gt;0,#REF!,"")),"")</f>
        <v>#REF!</v>
      </c>
      <c r="CW336" s="11"/>
      <c r="CX336" s="11" t="e">
        <f t="shared" si="22"/>
        <v>#REF!</v>
      </c>
      <c r="CY336" s="12"/>
      <c r="CZ336" s="68"/>
    </row>
    <row r="337" spans="1:104" ht="18" customHeight="1" x14ac:dyDescent="0.3">
      <c r="A337" s="150"/>
      <c r="B337" s="43"/>
      <c r="C337" s="12">
        <v>46355</v>
      </c>
      <c r="D337" s="20">
        <f t="shared" si="21"/>
        <v>0</v>
      </c>
      <c r="E337" s="20" t="str">
        <f t="shared" si="18"/>
        <v/>
      </c>
      <c r="F337" s="20"/>
      <c r="G337" s="20" t="str">
        <f t="shared" si="19"/>
        <v/>
      </c>
      <c r="H337" s="20"/>
      <c r="I337" s="20"/>
      <c r="J337" s="20"/>
      <c r="K337" s="20"/>
      <c r="L337" s="20"/>
      <c r="M337" s="19" t="s">
        <v>71</v>
      </c>
      <c r="N337" s="19"/>
      <c r="O337" s="19" t="s">
        <v>71</v>
      </c>
      <c r="P337" s="19"/>
      <c r="Q337" s="19" t="s">
        <v>71</v>
      </c>
      <c r="R337" s="19"/>
      <c r="S337" s="19" t="s">
        <v>71</v>
      </c>
      <c r="T337" s="19"/>
      <c r="U337" s="19" t="s">
        <v>71</v>
      </c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 t="s">
        <v>71</v>
      </c>
      <c r="AH337" s="19"/>
      <c r="AI337" s="19" t="s">
        <v>71</v>
      </c>
      <c r="AJ337" s="19"/>
      <c r="AK337" s="19" t="s">
        <v>71</v>
      </c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>
        <v>10</v>
      </c>
      <c r="BH337" s="19">
        <v>20</v>
      </c>
      <c r="BI337" s="19">
        <v>10</v>
      </c>
      <c r="BJ337" s="19">
        <v>20</v>
      </c>
      <c r="BK337" s="19">
        <v>10</v>
      </c>
      <c r="BL337" s="19">
        <v>20</v>
      </c>
      <c r="BM337" s="19">
        <v>10</v>
      </c>
      <c r="BN337" s="19">
        <v>20</v>
      </c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1" t="e">
        <f>IF(SUM(E337,G337,I337,K337,M337,O337,Q337,S337,U337,#REF!,Y337,AA337,AC337,AE337,AG337,AI337,AK337,AM337,AO337,AQ337,#REF!)&gt;0,"Sí","No")</f>
        <v>#REF!</v>
      </c>
      <c r="CV337" s="92" t="e">
        <f>IF($CU337="Sí",_xlfn.TEXTJOIN(", ",TRUE,IF(N(E337)&gt;0,E$4,""),IF(N(G337)&gt;0,G$4,""),IF(N(I337)&gt;0,I$4,""),IF(N(K337)&gt;0,K$4,""),IF(N(M337)&gt;0,M$4,""),IF(N(O337)&gt;0,O$4,""),IF(N(Q337)&gt;0,Q$4,""),IF(N(S337)&gt;0,S$4,""),IF(N(U337)&gt;0,U$4,""),IF(N(#REF!)&gt;0,W$4,""),IF(N(Y337)&gt;0,Y$4,""),IF(N(AA337)&gt;0,AA$4,""),IF(N(AC337)&gt;0,AC$4,""),IF(N(AE337)&gt;0,AE$4,""),IF(N(AG337)&gt;0,AG$4,""),IF(N(AI337)&gt;0,AI$4,""),IF(N(AK337)&gt;0,AK$4,""),IF(N(AM337)&gt;0,AM$4,""),IF(N(AO337)&gt;0,AO$4,""),IF(N(AQ337)&gt;0,AQ$4,""),IF(N(#REF!)&gt;0,#REF!,"")),"")</f>
        <v>#REF!</v>
      </c>
      <c r="CW337" s="11"/>
      <c r="CX337" s="11" t="e">
        <f t="shared" si="22"/>
        <v>#REF!</v>
      </c>
      <c r="CY337" s="12"/>
      <c r="CZ337" s="68"/>
    </row>
    <row r="338" spans="1:104" ht="18" customHeight="1" thickBot="1" x14ac:dyDescent="0.35">
      <c r="A338" s="151"/>
      <c r="B338" s="44"/>
      <c r="C338" s="30">
        <v>46356</v>
      </c>
      <c r="D338" s="31">
        <f t="shared" si="21"/>
        <v>0</v>
      </c>
      <c r="E338" s="31" t="str">
        <f t="shared" si="18"/>
        <v/>
      </c>
      <c r="F338" s="31"/>
      <c r="G338" s="31" t="str">
        <f t="shared" si="19"/>
        <v/>
      </c>
      <c r="H338" s="31"/>
      <c r="I338" s="31"/>
      <c r="J338" s="31"/>
      <c r="K338" s="31"/>
      <c r="L338" s="31"/>
      <c r="M338" s="32" t="s">
        <v>71</v>
      </c>
      <c r="N338" s="32"/>
      <c r="O338" s="32" t="s">
        <v>71</v>
      </c>
      <c r="P338" s="32"/>
      <c r="Q338" s="32" t="s">
        <v>71</v>
      </c>
      <c r="R338" s="32"/>
      <c r="S338" s="32" t="s">
        <v>71</v>
      </c>
      <c r="T338" s="32"/>
      <c r="U338" s="32" t="s">
        <v>71</v>
      </c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 t="s">
        <v>71</v>
      </c>
      <c r="AH338" s="32"/>
      <c r="AI338" s="32" t="s">
        <v>71</v>
      </c>
      <c r="AJ338" s="32"/>
      <c r="AK338" s="32" t="s">
        <v>71</v>
      </c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70" t="e">
        <f>IF(SUM(E338,G338,I338,K338,M338,O338,Q338,S338,U338,W338,Y338,AA338,AC338,AE338,AG338,AI338,AK338,AM338,AO338,AQ338,#REF!)&gt;0,"Sí","No")</f>
        <v>#REF!</v>
      </c>
      <c r="CV338" s="108" t="e">
        <f>IF($CU338="Sí",_xlfn.TEXTJOIN(", ",TRUE,IF(N(E338)&gt;0,E$4,""),IF(N(G338)&gt;0,G$4,""),IF(N(I338)&gt;0,I$4,""),IF(N(K338)&gt;0,K$4,""),IF(N(M338)&gt;0,M$4,""),IF(N(O338)&gt;0,O$4,""),IF(N(Q338)&gt;0,Q$4,""),IF(N(S338)&gt;0,S$4,""),IF(N(U338)&gt;0,U$4,""),IF(N(W338)&gt;0,W$4,""),IF(N(Y338)&gt;0,Y$4,""),IF(N(AA338)&gt;0,AA$4,""),IF(N(AC338)&gt;0,AC$4,""),IF(N(AE338)&gt;0,AE$4,""),IF(N(AG338)&gt;0,AG$4,""),IF(N(AI338)&gt;0,AI$4,""),IF(N(AK338)&gt;0,AK$4,""),IF(N(AM338)&gt;0,AM$4,""),IF(N(AO338)&gt;0,AO$4,""),IF(N(AQ338)&gt;0,AQ$4,""),IF(N(#REF!)&gt;0,#REF!,"")),"")</f>
        <v>#REF!</v>
      </c>
      <c r="CW338" s="70"/>
      <c r="CX338" s="70" t="e">
        <f t="shared" si="22"/>
        <v>#REF!</v>
      </c>
      <c r="CY338" s="30"/>
      <c r="CZ338" s="73"/>
    </row>
    <row r="339" spans="1:104" ht="18" customHeight="1" x14ac:dyDescent="0.3">
      <c r="A339" s="148" t="s">
        <v>68</v>
      </c>
      <c r="B339" s="42"/>
      <c r="C339" s="15">
        <v>46357</v>
      </c>
      <c r="D339" s="27">
        <f t="shared" si="21"/>
        <v>0</v>
      </c>
      <c r="E339" s="27"/>
      <c r="F339" s="27"/>
      <c r="G339" s="27" t="str">
        <f t="shared" si="19"/>
        <v/>
      </c>
      <c r="H339" s="27"/>
      <c r="I339" s="27"/>
      <c r="J339" s="27"/>
      <c r="K339" s="27"/>
      <c r="L339" s="27"/>
      <c r="M339" s="18" t="s">
        <v>71</v>
      </c>
      <c r="N339" s="18"/>
      <c r="O339" s="18" t="s">
        <v>71</v>
      </c>
      <c r="P339" s="18"/>
      <c r="Q339" s="18" t="s">
        <v>71</v>
      </c>
      <c r="R339" s="18"/>
      <c r="S339" s="18" t="s">
        <v>71</v>
      </c>
      <c r="T339" s="18"/>
      <c r="U339" s="18" t="s">
        <v>71</v>
      </c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 t="s">
        <v>71</v>
      </c>
      <c r="AH339" s="18"/>
      <c r="AI339" s="18" t="s">
        <v>71</v>
      </c>
      <c r="AJ339" s="18"/>
      <c r="AK339" s="18" t="s">
        <v>71</v>
      </c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4" t="e">
        <f>IF(SUM(E339,G339,I339,K339,M339,O339,Q339,S339,U339,W339,Y339,AA339,AC339,AE339,AG339,AI339,AK339,AM339,AO339,AQ339,#REF!)&gt;0,"Sí","No")</f>
        <v>#REF!</v>
      </c>
      <c r="CV339" s="107" t="e">
        <f>IF($CU339="Sí",_xlfn.TEXTJOIN(", ",TRUE,IF(N(E339)&gt;0,E$4,""),IF(N(G339)&gt;0,G$4,""),IF(N(I339)&gt;0,I$4,""),IF(N(K339)&gt;0,K$4,""),IF(N(M339)&gt;0,M$4,""),IF(N(O339)&gt;0,O$4,""),IF(N(Q339)&gt;0,Q$4,""),IF(N(S339)&gt;0,S$4,""),IF(N(U339)&gt;0,U$4,""),IF(N(W339)&gt;0,W$4,""),IF(N(Y339)&gt;0,Y$4,""),IF(N(AA339)&gt;0,AA$4,""),IF(N(AC339)&gt;0,AC$4,""),IF(N(AE339)&gt;0,AE$4,""),IF(N(AG339)&gt;0,AG$4,""),IF(N(AI339)&gt;0,AI$4,""),IF(N(AK339)&gt;0,AK$4,""),IF(N(AM339)&gt;0,AM$4,""),IF(N(AO339)&gt;0,AO$4,""),IF(N(AQ339)&gt;0,AQ$4,""),IF(N(#REF!)&gt;0,#REF!,"")),"")</f>
        <v>#REF!</v>
      </c>
      <c r="CW339" s="14"/>
      <c r="CX339" s="14" t="e">
        <f t="shared" si="22"/>
        <v>#REF!</v>
      </c>
      <c r="CY339" s="15"/>
      <c r="CZ339" s="66"/>
    </row>
    <row r="340" spans="1:104" ht="18" customHeight="1" x14ac:dyDescent="0.3">
      <c r="A340" s="150"/>
      <c r="B340" s="43"/>
      <c r="C340" s="12">
        <v>46358</v>
      </c>
      <c r="D340" s="20">
        <f t="shared" si="21"/>
        <v>0</v>
      </c>
      <c r="E340" s="20" t="str">
        <f t="shared" si="18"/>
        <v/>
      </c>
      <c r="F340" s="20"/>
      <c r="G340" s="20" t="str">
        <f t="shared" si="19"/>
        <v/>
      </c>
      <c r="H340" s="20"/>
      <c r="I340" s="20"/>
      <c r="J340" s="20"/>
      <c r="K340" s="20"/>
      <c r="L340" s="20"/>
      <c r="M340" s="19" t="s">
        <v>71</v>
      </c>
      <c r="N340" s="19"/>
      <c r="O340" s="19" t="s">
        <v>71</v>
      </c>
      <c r="P340" s="19"/>
      <c r="Q340" s="19" t="s">
        <v>71</v>
      </c>
      <c r="R340" s="19"/>
      <c r="S340" s="19" t="s">
        <v>71</v>
      </c>
      <c r="T340" s="19"/>
      <c r="U340" s="19" t="s">
        <v>71</v>
      </c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 t="s">
        <v>71</v>
      </c>
      <c r="AH340" s="19"/>
      <c r="AI340" s="19" t="s">
        <v>71</v>
      </c>
      <c r="AJ340" s="19"/>
      <c r="AK340" s="19" t="s">
        <v>71</v>
      </c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1" t="e">
        <f>IF(SUM(E340,G340,I340,K340,M340,O340,Q340,S340,U340,W340,Y340,AA340,AC340,AE340,AG340,AI340,AK340,AM340,AO340,AQ340,#REF!)&gt;0,"Sí","No")</f>
        <v>#REF!</v>
      </c>
      <c r="CV340" s="92" t="e">
        <f>IF($CU340="Sí",_xlfn.TEXTJOIN(", ",TRUE,IF(N(E340)&gt;0,E$4,""),IF(N(G340)&gt;0,G$4,""),IF(N(I340)&gt;0,I$4,""),IF(N(K340)&gt;0,K$4,""),IF(N(M340)&gt;0,M$4,""),IF(N(O340)&gt;0,O$4,""),IF(N(Q340)&gt;0,Q$4,""),IF(N(S340)&gt;0,S$4,""),IF(N(U340)&gt;0,U$4,""),IF(N(W340)&gt;0,W$4,""),IF(N(Y340)&gt;0,Y$4,""),IF(N(AA340)&gt;0,AA$4,""),IF(N(AC340)&gt;0,AC$4,""),IF(N(AE340)&gt;0,AE$4,""),IF(N(AG340)&gt;0,AG$4,""),IF(N(AI340)&gt;0,AI$4,""),IF(N(AK340)&gt;0,AK$4,""),IF(N(AM340)&gt;0,AM$4,""),IF(N(AO340)&gt;0,AO$4,""),IF(N(AQ340)&gt;0,AQ$4,""),IF(N(#REF!)&gt;0,#REF!,"")),"")</f>
        <v>#REF!</v>
      </c>
      <c r="CW340" s="11"/>
      <c r="CX340" s="11" t="e">
        <f t="shared" si="22"/>
        <v>#REF!</v>
      </c>
      <c r="CY340" s="12"/>
      <c r="CZ340" s="68"/>
    </row>
    <row r="341" spans="1:104" ht="48.6" customHeight="1" x14ac:dyDescent="0.3">
      <c r="A341" s="150"/>
      <c r="B341" s="43"/>
      <c r="C341" s="12">
        <v>46359</v>
      </c>
      <c r="D341" s="20">
        <f t="shared" si="21"/>
        <v>60</v>
      </c>
      <c r="E341" s="20" t="str">
        <f t="shared" si="18"/>
        <v/>
      </c>
      <c r="F341" s="20"/>
      <c r="G341" s="20" t="str">
        <f t="shared" si="19"/>
        <v/>
      </c>
      <c r="H341" s="20"/>
      <c r="I341" s="20"/>
      <c r="J341" s="20"/>
      <c r="K341" s="20"/>
      <c r="L341" s="20"/>
      <c r="M341" s="19">
        <v>10</v>
      </c>
      <c r="N341" s="19">
        <v>20</v>
      </c>
      <c r="O341" s="19">
        <v>10</v>
      </c>
      <c r="P341" s="19">
        <v>20</v>
      </c>
      <c r="Q341" s="19">
        <v>10</v>
      </c>
      <c r="R341" s="19">
        <v>20</v>
      </c>
      <c r="S341" s="19" t="s">
        <v>71</v>
      </c>
      <c r="T341" s="19"/>
      <c r="U341" s="19" t="s">
        <v>71</v>
      </c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 t="s">
        <v>71</v>
      </c>
      <c r="AH341" s="19"/>
      <c r="AI341" s="19" t="s">
        <v>71</v>
      </c>
      <c r="AJ341" s="19"/>
      <c r="AK341" s="19" t="s">
        <v>71</v>
      </c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>
        <v>12</v>
      </c>
      <c r="BP341" s="19">
        <v>20</v>
      </c>
      <c r="BQ341" s="19">
        <v>12</v>
      </c>
      <c r="BR341" s="19">
        <v>20</v>
      </c>
      <c r="BS341" s="19">
        <v>12</v>
      </c>
      <c r="BT341" s="19">
        <v>20</v>
      </c>
      <c r="BU341" s="19">
        <v>12</v>
      </c>
      <c r="BV341" s="19">
        <v>20</v>
      </c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1" t="e">
        <f>IF(SUM(E341,G341,I341,K341,M341,O341,Q341,S341,U341,W341,Y341,AA341,AC341,AE341,AG341,AI341,AK341,AM341,AO341,AQ341,#REF!)&gt;0,"Sí","No")</f>
        <v>#REF!</v>
      </c>
      <c r="CV341" s="109" t="e">
        <f>IF($CU341="Sí",_xlfn.TEXTJOIN(", ",TRUE,IF(N(E341)&gt;0,E$4,""),IF(N(G341)&gt;0,G$4,""),IF(N(I341)&gt;0,I$4,""),IF(N(K341)&gt;0,K$4,""),IF(N(M341)&gt;0,M$4,""),IF(N(O341)&gt;0,O$4,""),IF(N(Q341)&gt;0,Q$4,""),IF(N(S341)&gt;0,S$4,""),IF(N(U341)&gt;0,U$4,""),IF(N(W341)&gt;0,W$4,""),IF(N(Y341)&gt;0,Y$4,""),IF(N(AA341)&gt;0,AA$4,""),IF(N(AC341)&gt;0,AC$4,""),IF(N(AE341)&gt;0,AE$4,""),IF(N(AG341)&gt;0,AG$4,""),IF(N(AI341)&gt;0,AI$4,""),IF(N(AK341)&gt;0,AK$4,""),IF(N(AM341)&gt;0,AM$4,""),IF(N(AO341)&gt;0,AO$4,""),IF(N(AQ341)&gt;0,AQ$4,""),IF(N(#REF!)&gt;0,#REF!,"")),"")</f>
        <v>#REF!</v>
      </c>
      <c r="CW341" s="11"/>
      <c r="CX341" s="11" t="e">
        <f t="shared" si="22"/>
        <v>#REF!</v>
      </c>
      <c r="CY341" s="12"/>
      <c r="CZ341" s="68"/>
    </row>
    <row r="342" spans="1:104" ht="18" customHeight="1" x14ac:dyDescent="0.3">
      <c r="A342" s="150"/>
      <c r="B342" s="43"/>
      <c r="C342" s="12">
        <v>46360</v>
      </c>
      <c r="D342" s="20">
        <f t="shared" si="21"/>
        <v>0</v>
      </c>
      <c r="E342" s="20" t="str">
        <f t="shared" si="18"/>
        <v/>
      </c>
      <c r="F342" s="20"/>
      <c r="G342" s="20" t="str">
        <f t="shared" si="19"/>
        <v/>
      </c>
      <c r="H342" s="20"/>
      <c r="I342" s="20"/>
      <c r="J342" s="20"/>
      <c r="K342" s="20"/>
      <c r="L342" s="20"/>
      <c r="M342" s="19" t="s">
        <v>71</v>
      </c>
      <c r="N342" s="19"/>
      <c r="O342" s="19" t="s">
        <v>71</v>
      </c>
      <c r="P342" s="19"/>
      <c r="Q342" s="19" t="s">
        <v>71</v>
      </c>
      <c r="R342" s="19"/>
      <c r="S342" s="19" t="s">
        <v>71</v>
      </c>
      <c r="T342" s="19"/>
      <c r="U342" s="19" t="s">
        <v>71</v>
      </c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 t="s">
        <v>71</v>
      </c>
      <c r="AH342" s="19"/>
      <c r="AI342" s="19" t="s">
        <v>71</v>
      </c>
      <c r="AJ342" s="19"/>
      <c r="AK342" s="19" t="s">
        <v>71</v>
      </c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1" t="e">
        <f>IF(SUM(E342,G342,I342,K342,M342,O342,Q342,S342,U342,W342,Y342,AA342,AC342,AE342,AG342,AI342,AK342,AM342,AO342,AQ342,#REF!)&gt;0,"Sí","No")</f>
        <v>#REF!</v>
      </c>
      <c r="CV342" s="92" t="e">
        <f>IF($CU342="Sí",_xlfn.TEXTJOIN(", ",TRUE,IF(N(E342)&gt;0,E$4,""),IF(N(G342)&gt;0,G$4,""),IF(N(I342)&gt;0,I$4,""),IF(N(K342)&gt;0,K$4,""),IF(N(M342)&gt;0,M$4,""),IF(N(O342)&gt;0,O$4,""),IF(N(Q342)&gt;0,Q$4,""),IF(N(S342)&gt;0,S$4,""),IF(N(U342)&gt;0,U$4,""),IF(N(W342)&gt;0,W$4,""),IF(N(Y342)&gt;0,Y$4,""),IF(N(AA342)&gt;0,AA$4,""),IF(N(AC342)&gt;0,AC$4,""),IF(N(AE342)&gt;0,AE$4,""),IF(N(AG342)&gt;0,AG$4,""),IF(N(AI342)&gt;0,AI$4,""),IF(N(AK342)&gt;0,AK$4,""),IF(N(AM342)&gt;0,AM$4,""),IF(N(AO342)&gt;0,AO$4,""),IF(N(AQ342)&gt;0,AQ$4,""),IF(N(#REF!)&gt;0,#REF!,"")),"")</f>
        <v>#REF!</v>
      </c>
      <c r="CW342" s="11"/>
      <c r="CX342" s="11" t="e">
        <f t="shared" si="22"/>
        <v>#REF!</v>
      </c>
      <c r="CY342" s="12"/>
      <c r="CZ342" s="68"/>
    </row>
    <row r="343" spans="1:104" ht="18" customHeight="1" x14ac:dyDescent="0.3">
      <c r="A343" s="150"/>
      <c r="B343" s="43"/>
      <c r="C343" s="12">
        <v>46361</v>
      </c>
      <c r="D343" s="20">
        <f t="shared" si="21"/>
        <v>0</v>
      </c>
      <c r="E343" s="20" t="str">
        <f t="shared" si="18"/>
        <v/>
      </c>
      <c r="F343" s="20"/>
      <c r="G343" s="20" t="str">
        <f t="shared" si="19"/>
        <v/>
      </c>
      <c r="H343" s="20"/>
      <c r="I343" s="20"/>
      <c r="J343" s="20"/>
      <c r="K343" s="20"/>
      <c r="L343" s="20"/>
      <c r="M343" s="19" t="s">
        <v>71</v>
      </c>
      <c r="N343" s="19"/>
      <c r="O343" s="19" t="s">
        <v>71</v>
      </c>
      <c r="P343" s="19"/>
      <c r="Q343" s="19" t="s">
        <v>71</v>
      </c>
      <c r="R343" s="19"/>
      <c r="S343" s="19" t="s">
        <v>71</v>
      </c>
      <c r="T343" s="19"/>
      <c r="U343" s="19" t="s">
        <v>71</v>
      </c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 t="s">
        <v>71</v>
      </c>
      <c r="AH343" s="19"/>
      <c r="AI343" s="19" t="s">
        <v>71</v>
      </c>
      <c r="AJ343" s="19"/>
      <c r="AK343" s="19" t="s">
        <v>71</v>
      </c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1" t="e">
        <f>IF(SUM(E343,G343,I343,K343,M343,O343,Q343,S343,U343,W343,Y343,AA343,AC343,AE343,AG343,AI343,AK343,AM343,AO343,AQ343,#REF!)&gt;0,"Sí","No")</f>
        <v>#REF!</v>
      </c>
      <c r="CV343" s="92" t="e">
        <f>IF($CU343="Sí",_xlfn.TEXTJOIN(", ",TRUE,IF(N(E343)&gt;0,E$4,""),IF(N(G343)&gt;0,G$4,""),IF(N(I343)&gt;0,I$4,""),IF(N(K343)&gt;0,K$4,""),IF(N(M343)&gt;0,M$4,""),IF(N(O343)&gt;0,O$4,""),IF(N(Q343)&gt;0,Q$4,""),IF(N(S343)&gt;0,S$4,""),IF(N(U343)&gt;0,U$4,""),IF(N(W343)&gt;0,W$4,""),IF(N(Y343)&gt;0,Y$4,""),IF(N(AA343)&gt;0,AA$4,""),IF(N(AC343)&gt;0,AC$4,""),IF(N(AE343)&gt;0,AE$4,""),IF(N(AG343)&gt;0,AG$4,""),IF(N(AI343)&gt;0,AI$4,""),IF(N(AK343)&gt;0,AK$4,""),IF(N(AM343)&gt;0,AM$4,""),IF(N(AO343)&gt;0,AO$4,""),IF(N(AQ343)&gt;0,AQ$4,""),IF(N(#REF!)&gt;0,#REF!,"")),"")</f>
        <v>#REF!</v>
      </c>
      <c r="CW343" s="11"/>
      <c r="CX343" s="11" t="e">
        <f t="shared" si="22"/>
        <v>#REF!</v>
      </c>
      <c r="CY343" s="12"/>
      <c r="CZ343" s="68"/>
    </row>
    <row r="344" spans="1:104" ht="18" customHeight="1" x14ac:dyDescent="0.3">
      <c r="A344" s="150"/>
      <c r="B344" s="43"/>
      <c r="C344" s="12">
        <v>46362</v>
      </c>
      <c r="D344" s="20">
        <f t="shared" si="21"/>
        <v>0</v>
      </c>
      <c r="E344" s="20" t="str">
        <f t="shared" si="18"/>
        <v/>
      </c>
      <c r="F344" s="20"/>
      <c r="G344" s="20" t="str">
        <f t="shared" si="19"/>
        <v/>
      </c>
      <c r="H344" s="20"/>
      <c r="I344" s="20"/>
      <c r="J344" s="20"/>
      <c r="K344" s="20"/>
      <c r="L344" s="20"/>
      <c r="M344" s="19" t="s">
        <v>71</v>
      </c>
      <c r="N344" s="19"/>
      <c r="O344" s="19" t="s">
        <v>71</v>
      </c>
      <c r="P344" s="19"/>
      <c r="Q344" s="19" t="s">
        <v>71</v>
      </c>
      <c r="R344" s="19"/>
      <c r="S344" s="19" t="s">
        <v>71</v>
      </c>
      <c r="T344" s="19"/>
      <c r="U344" s="19" t="s">
        <v>71</v>
      </c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 t="s">
        <v>71</v>
      </c>
      <c r="AH344" s="19"/>
      <c r="AI344" s="19" t="s">
        <v>71</v>
      </c>
      <c r="AJ344" s="19"/>
      <c r="AK344" s="19" t="s">
        <v>71</v>
      </c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1" t="e">
        <f>IF(SUM(E344,G344,I344,K344,M344,O344,Q344,S344,U344,W344,Y344,AA344,AC344,AE344,AG344,AI344,AK344,AM344,AO344,AQ344,#REF!)&gt;0,"Sí","No")</f>
        <v>#REF!</v>
      </c>
      <c r="CV344" s="92" t="e">
        <f>IF($CU344="Sí",_xlfn.TEXTJOIN(", ",TRUE,IF(N(E344)&gt;0,E$4,""),IF(N(G344)&gt;0,G$4,""),IF(N(I344)&gt;0,I$4,""),IF(N(K344)&gt;0,K$4,""),IF(N(M344)&gt;0,M$4,""),IF(N(O344)&gt;0,O$4,""),IF(N(Q344)&gt;0,Q$4,""),IF(N(S344)&gt;0,S$4,""),IF(N(U344)&gt;0,U$4,""),IF(N(W344)&gt;0,W$4,""),IF(N(Y344)&gt;0,Y$4,""),IF(N(AA344)&gt;0,AA$4,""),IF(N(AC344)&gt;0,AC$4,""),IF(N(AE344)&gt;0,AE$4,""),IF(N(AG344)&gt;0,AG$4,""),IF(N(AI344)&gt;0,AI$4,""),IF(N(AK344)&gt;0,AK$4,""),IF(N(AM344)&gt;0,AM$4,""),IF(N(AO344)&gt;0,AO$4,""),IF(N(AQ344)&gt;0,AQ$4,""),IF(N(#REF!)&gt;0,#REF!,"")),"")</f>
        <v>#REF!</v>
      </c>
      <c r="CW344" s="11"/>
      <c r="CX344" s="11" t="e">
        <f t="shared" si="22"/>
        <v>#REF!</v>
      </c>
      <c r="CY344" s="12"/>
      <c r="CZ344" s="68"/>
    </row>
    <row r="345" spans="1:104" ht="18" customHeight="1" x14ac:dyDescent="0.3">
      <c r="A345" s="150"/>
      <c r="B345" s="43"/>
      <c r="C345" s="12">
        <v>46363</v>
      </c>
      <c r="D345" s="20">
        <f t="shared" si="21"/>
        <v>48</v>
      </c>
      <c r="E345" s="20" t="str">
        <f t="shared" si="18"/>
        <v/>
      </c>
      <c r="F345" s="20"/>
      <c r="G345" s="20" t="str">
        <f t="shared" si="19"/>
        <v/>
      </c>
      <c r="H345" s="20"/>
      <c r="I345" s="20"/>
      <c r="J345" s="20"/>
      <c r="K345" s="20"/>
      <c r="L345" s="20"/>
      <c r="M345" s="19" t="s">
        <v>71</v>
      </c>
      <c r="N345" s="19"/>
      <c r="O345" s="19" t="s">
        <v>71</v>
      </c>
      <c r="P345" s="19"/>
      <c r="Q345" s="19" t="s">
        <v>71</v>
      </c>
      <c r="R345" s="19"/>
      <c r="S345" s="19" t="s">
        <v>71</v>
      </c>
      <c r="T345" s="19"/>
      <c r="U345" s="19" t="s">
        <v>71</v>
      </c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 t="s">
        <v>71</v>
      </c>
      <c r="AH345" s="19"/>
      <c r="AI345" s="19" t="s">
        <v>71</v>
      </c>
      <c r="AJ345" s="19"/>
      <c r="AK345" s="19" t="s">
        <v>71</v>
      </c>
      <c r="AL345" s="19"/>
      <c r="AM345" s="19">
        <v>12</v>
      </c>
      <c r="AN345" s="19">
        <v>24</v>
      </c>
      <c r="AO345" s="19">
        <v>12</v>
      </c>
      <c r="AP345" s="19">
        <v>24</v>
      </c>
      <c r="AQ345" s="19">
        <v>12</v>
      </c>
      <c r="AR345" s="19">
        <v>24</v>
      </c>
      <c r="AS345" s="19">
        <v>12</v>
      </c>
      <c r="AT345" s="19">
        <v>24</v>
      </c>
      <c r="AU345" s="19">
        <v>12</v>
      </c>
      <c r="AV345" s="19">
        <v>24</v>
      </c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1" t="e">
        <f>IF(SUM(E345,G345,I345,K345,M345,O345,Q345,S345,U345,W345,Y345,AA345,AC345,AE345,AG345,AI345,AK345,AM345,AO345,AQ345,#REF!)&gt;0,"Sí","No")</f>
        <v>#REF!</v>
      </c>
      <c r="CV345" s="92" t="e">
        <f>IF($CU345="Sí",_xlfn.TEXTJOIN(", ",TRUE,IF(N(E345)&gt;0,E$4,""),IF(N(G345)&gt;0,G$4,""),IF(N(I345)&gt;0,I$4,""),IF(N(K345)&gt;0,K$4,""),IF(N(M345)&gt;0,M$4,""),IF(N(O345)&gt;0,O$4,""),IF(N(Q345)&gt;0,Q$4,""),IF(N(S345)&gt;0,S$4,""),IF(N(U345)&gt;0,U$4,""),IF(N(W345)&gt;0,W$4,""),IF(N(Y345)&gt;0,Y$4,""),IF(N(AA345)&gt;0,AA$4,""),IF(N(AC345)&gt;0,AC$4,""),IF(N(AE345)&gt;0,AE$4,""),IF(N(AG345)&gt;0,AG$4,""),IF(N(AI345)&gt;0,AI$4,""),IF(N(AK345)&gt;0,AK$4,""),IF(N(AM345)&gt;0,AM$4,""),IF(N(AO345)&gt;0,AO$4,""),IF(N(AQ345)&gt;0,AQ$4,""),IF(N(#REF!)&gt;0,#REF!,"")),"")</f>
        <v>#REF!</v>
      </c>
      <c r="CW345" s="11"/>
      <c r="CX345" s="11" t="e">
        <f t="shared" si="22"/>
        <v>#REF!</v>
      </c>
      <c r="CY345" s="12"/>
      <c r="CZ345" s="68"/>
    </row>
    <row r="346" spans="1:104" ht="18" customHeight="1" x14ac:dyDescent="0.3">
      <c r="A346" s="150"/>
      <c r="B346" s="43"/>
      <c r="C346" s="12">
        <v>46364</v>
      </c>
      <c r="D346" s="20">
        <f t="shared" si="21"/>
        <v>0</v>
      </c>
      <c r="E346" s="20" t="str">
        <f t="shared" si="18"/>
        <v/>
      </c>
      <c r="F346" s="20"/>
      <c r="G346" s="20" t="str">
        <f t="shared" si="19"/>
        <v/>
      </c>
      <c r="H346" s="20"/>
      <c r="I346" s="20"/>
      <c r="J346" s="20"/>
      <c r="K346" s="20"/>
      <c r="L346" s="20"/>
      <c r="M346" s="19" t="s">
        <v>71</v>
      </c>
      <c r="N346" s="19"/>
      <c r="O346" s="19" t="s">
        <v>71</v>
      </c>
      <c r="P346" s="19"/>
      <c r="Q346" s="19" t="s">
        <v>71</v>
      </c>
      <c r="R346" s="19"/>
      <c r="S346" s="19" t="s">
        <v>71</v>
      </c>
      <c r="T346" s="19"/>
      <c r="U346" s="19" t="s">
        <v>71</v>
      </c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 t="s">
        <v>71</v>
      </c>
      <c r="AH346" s="19"/>
      <c r="AI346" s="19" t="s">
        <v>71</v>
      </c>
      <c r="AJ346" s="19"/>
      <c r="AK346" s="19" t="s">
        <v>71</v>
      </c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1" t="e">
        <f>IF(SUM(E346,G346,I346,K346,M346,O346,Q346,S346,U346,W346,Y346,AA346,AC346,AE346,AG346,AI346,AK346,AM346,AO346,AQ346,#REF!)&gt;0,"Sí","No")</f>
        <v>#REF!</v>
      </c>
      <c r="CV346" s="92" t="e">
        <f>IF($CU346="Sí",_xlfn.TEXTJOIN(", ",TRUE,IF(N(E346)&gt;0,E$4,""),IF(N(G346)&gt;0,G$4,""),IF(N(I346)&gt;0,I$4,""),IF(N(K346)&gt;0,K$4,""),IF(N(M346)&gt;0,M$4,""),IF(N(O346)&gt;0,O$4,""),IF(N(Q346)&gt;0,Q$4,""),IF(N(S346)&gt;0,S$4,""),IF(N(U346)&gt;0,U$4,""),IF(N(W346)&gt;0,W$4,""),IF(N(Y346)&gt;0,Y$4,""),IF(N(AA346)&gt;0,AA$4,""),IF(N(AC346)&gt;0,AC$4,""),IF(N(AE346)&gt;0,AE$4,""),IF(N(AG346)&gt;0,AG$4,""),IF(N(AI346)&gt;0,AI$4,""),IF(N(AK346)&gt;0,AK$4,""),IF(N(AM346)&gt;0,AM$4,""),IF(N(AO346)&gt;0,AO$4,""),IF(N(AQ346)&gt;0,AQ$4,""),IF(N(#REF!)&gt;0,#REF!,"")),"")</f>
        <v>#REF!</v>
      </c>
      <c r="CW346" s="11"/>
      <c r="CX346" s="11" t="e">
        <f t="shared" si="22"/>
        <v>#REF!</v>
      </c>
      <c r="CY346" s="12"/>
      <c r="CZ346" s="68"/>
    </row>
    <row r="347" spans="1:104" ht="18" customHeight="1" x14ac:dyDescent="0.3">
      <c r="A347" s="150"/>
      <c r="B347" s="43"/>
      <c r="C347" s="12">
        <v>46365</v>
      </c>
      <c r="D347" s="20">
        <f t="shared" si="21"/>
        <v>0</v>
      </c>
      <c r="E347" s="20" t="str">
        <f t="shared" si="18"/>
        <v/>
      </c>
      <c r="F347" s="20"/>
      <c r="G347" s="20" t="str">
        <f t="shared" si="19"/>
        <v/>
      </c>
      <c r="H347" s="20"/>
      <c r="I347" s="20"/>
      <c r="J347" s="20"/>
      <c r="K347" s="20"/>
      <c r="L347" s="20"/>
      <c r="M347" s="19" t="s">
        <v>71</v>
      </c>
      <c r="N347" s="19"/>
      <c r="O347" s="19" t="s">
        <v>71</v>
      </c>
      <c r="P347" s="19"/>
      <c r="Q347" s="19" t="s">
        <v>71</v>
      </c>
      <c r="R347" s="19"/>
      <c r="S347" s="19" t="s">
        <v>71</v>
      </c>
      <c r="T347" s="19"/>
      <c r="U347" s="19" t="s">
        <v>71</v>
      </c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 t="s">
        <v>71</v>
      </c>
      <c r="AH347" s="19"/>
      <c r="AI347" s="19" t="s">
        <v>71</v>
      </c>
      <c r="AJ347" s="19"/>
      <c r="AK347" s="19" t="s">
        <v>71</v>
      </c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1" t="e">
        <f>IF(SUM(E347,G347,I347,K347,M347,O347,Q347,S347,U347,W347,Y347,AA347,AC347,AE347,AG347,AI347,AK347,AM347,AO347,AQ347,#REF!)&gt;0,"Sí","No")</f>
        <v>#REF!</v>
      </c>
      <c r="CV347" s="92" t="e">
        <f>IF($CU347="Sí",_xlfn.TEXTJOIN(", ",TRUE,IF(N(E347)&gt;0,E$4,""),IF(N(G347)&gt;0,G$4,""),IF(N(I347)&gt;0,I$4,""),IF(N(K347)&gt;0,K$4,""),IF(N(M347)&gt;0,M$4,""),IF(N(O347)&gt;0,O$4,""),IF(N(Q347)&gt;0,Q$4,""),IF(N(S347)&gt;0,S$4,""),IF(N(U347)&gt;0,U$4,""),IF(N(W347)&gt;0,W$4,""),IF(N(Y347)&gt;0,Y$4,""),IF(N(AA347)&gt;0,AA$4,""),IF(N(AC347)&gt;0,AC$4,""),IF(N(AE347)&gt;0,AE$4,""),IF(N(AG347)&gt;0,AG$4,""),IF(N(AI347)&gt;0,AI$4,""),IF(N(AK347)&gt;0,AK$4,""),IF(N(AM347)&gt;0,AM$4,""),IF(N(AO347)&gt;0,AO$4,""),IF(N(AQ347)&gt;0,AQ$4,""),IF(N(#REF!)&gt;0,#REF!,"")),"")</f>
        <v>#REF!</v>
      </c>
      <c r="CW347" s="11"/>
      <c r="CX347" s="11" t="e">
        <f t="shared" si="22"/>
        <v>#REF!</v>
      </c>
      <c r="CY347" s="12"/>
      <c r="CZ347" s="68"/>
    </row>
    <row r="348" spans="1:104" ht="18" customHeight="1" x14ac:dyDescent="0.3">
      <c r="A348" s="150"/>
      <c r="B348" s="43"/>
      <c r="C348" s="12">
        <v>46366</v>
      </c>
      <c r="D348" s="20">
        <f t="shared" si="21"/>
        <v>0</v>
      </c>
      <c r="E348" s="20" t="str">
        <f t="shared" si="18"/>
        <v/>
      </c>
      <c r="F348" s="20"/>
      <c r="G348" s="20" t="str">
        <f t="shared" si="19"/>
        <v/>
      </c>
      <c r="H348" s="20"/>
      <c r="I348" s="20"/>
      <c r="J348" s="20"/>
      <c r="K348" s="20"/>
      <c r="L348" s="20"/>
      <c r="M348" s="19" t="s">
        <v>71</v>
      </c>
      <c r="N348" s="19"/>
      <c r="O348" s="19" t="s">
        <v>71</v>
      </c>
      <c r="P348" s="19"/>
      <c r="Q348" s="19" t="s">
        <v>71</v>
      </c>
      <c r="R348" s="19"/>
      <c r="S348" s="19" t="s">
        <v>71</v>
      </c>
      <c r="T348" s="19"/>
      <c r="U348" s="19" t="s">
        <v>71</v>
      </c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 t="s">
        <v>71</v>
      </c>
      <c r="AH348" s="19"/>
      <c r="AI348" s="19" t="s">
        <v>71</v>
      </c>
      <c r="AJ348" s="19"/>
      <c r="AK348" s="19" t="s">
        <v>71</v>
      </c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1" t="e">
        <f>IF(SUM(E348,G348,I348,K348,M348,O348,Q348,S348,U348,W348,Y348,AA348,AC348,AE348,AG348,AI348,AK348,AM348,AO348,AQ348,#REF!)&gt;0,"Sí","No")</f>
        <v>#REF!</v>
      </c>
      <c r="CV348" s="92" t="e">
        <f>IF($CU348="Sí",_xlfn.TEXTJOIN(", ",TRUE,IF(N(E348)&gt;0,E$4,""),IF(N(G348)&gt;0,G$4,""),IF(N(I348)&gt;0,I$4,""),IF(N(K348)&gt;0,K$4,""),IF(N(M348)&gt;0,M$4,""),IF(N(O348)&gt;0,O$4,""),IF(N(Q348)&gt;0,Q$4,""),IF(N(S348)&gt;0,S$4,""),IF(N(U348)&gt;0,U$4,""),IF(N(W348)&gt;0,W$4,""),IF(N(Y348)&gt;0,Y$4,""),IF(N(AA348)&gt;0,AA$4,""),IF(N(AC348)&gt;0,AC$4,""),IF(N(AE348)&gt;0,AE$4,""),IF(N(AG348)&gt;0,AG$4,""),IF(N(AI348)&gt;0,AI$4,""),IF(N(AK348)&gt;0,AK$4,""),IF(N(AM348)&gt;0,AM$4,""),IF(N(AO348)&gt;0,AO$4,""),IF(N(AQ348)&gt;0,AQ$4,""),IF(N(#REF!)&gt;0,#REF!,"")),"")</f>
        <v>#REF!</v>
      </c>
      <c r="CW348" s="11"/>
      <c r="CX348" s="11" t="e">
        <f t="shared" si="22"/>
        <v>#REF!</v>
      </c>
      <c r="CY348" s="12"/>
      <c r="CZ348" s="68"/>
    </row>
    <row r="349" spans="1:104" ht="18" customHeight="1" x14ac:dyDescent="0.3">
      <c r="A349" s="150"/>
      <c r="B349" s="43"/>
      <c r="C349" s="12">
        <v>46367</v>
      </c>
      <c r="D349" s="20">
        <f t="shared" si="21"/>
        <v>0</v>
      </c>
      <c r="E349" s="20" t="str">
        <f t="shared" si="18"/>
        <v/>
      </c>
      <c r="F349" s="20"/>
      <c r="G349" s="20" t="str">
        <f t="shared" si="19"/>
        <v/>
      </c>
      <c r="H349" s="20"/>
      <c r="I349" s="20"/>
      <c r="J349" s="20"/>
      <c r="K349" s="20"/>
      <c r="L349" s="20"/>
      <c r="M349" s="19" t="s">
        <v>71</v>
      </c>
      <c r="N349" s="19"/>
      <c r="O349" s="19" t="s">
        <v>71</v>
      </c>
      <c r="P349" s="19"/>
      <c r="Q349" s="19" t="s">
        <v>71</v>
      </c>
      <c r="R349" s="19"/>
      <c r="S349" s="19" t="s">
        <v>71</v>
      </c>
      <c r="T349" s="19"/>
      <c r="U349" s="19" t="s">
        <v>71</v>
      </c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 t="s">
        <v>71</v>
      </c>
      <c r="AH349" s="19"/>
      <c r="AI349" s="19" t="s">
        <v>71</v>
      </c>
      <c r="AJ349" s="19"/>
      <c r="AK349" s="19" t="s">
        <v>71</v>
      </c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1" t="e">
        <f>IF(SUM(E349,G349,I349,K349,M349,O349,Q349,S349,U349,W349,Y349,AA349,AC349,AE349,AG349,AI349,AK349,AM349,AO349,AQ349,#REF!)&gt;0,"Sí","No")</f>
        <v>#REF!</v>
      </c>
      <c r="CV349" s="92" t="e">
        <f>IF($CU349="Sí",_xlfn.TEXTJOIN(", ",TRUE,IF(N(E349)&gt;0,E$4,""),IF(N(G349)&gt;0,G$4,""),IF(N(I349)&gt;0,I$4,""),IF(N(K349)&gt;0,K$4,""),IF(N(M349)&gt;0,M$4,""),IF(N(O349)&gt;0,O$4,""),IF(N(Q349)&gt;0,Q$4,""),IF(N(S349)&gt;0,S$4,""),IF(N(U349)&gt;0,U$4,""),IF(N(W349)&gt;0,W$4,""),IF(N(Y349)&gt;0,Y$4,""),IF(N(AA349)&gt;0,AA$4,""),IF(N(AC349)&gt;0,AC$4,""),IF(N(AE349)&gt;0,AE$4,""),IF(N(AG349)&gt;0,AG$4,""),IF(N(AI349)&gt;0,AI$4,""),IF(N(AK349)&gt;0,AK$4,""),IF(N(AM349)&gt;0,AM$4,""),IF(N(AO349)&gt;0,AO$4,""),IF(N(AQ349)&gt;0,AQ$4,""),IF(N(#REF!)&gt;0,#REF!,"")),"")</f>
        <v>#REF!</v>
      </c>
      <c r="CW349" s="11"/>
      <c r="CX349" s="11" t="e">
        <f t="shared" si="22"/>
        <v>#REF!</v>
      </c>
      <c r="CY349" s="12"/>
      <c r="CZ349" s="68"/>
    </row>
    <row r="350" spans="1:104" ht="18" customHeight="1" x14ac:dyDescent="0.3">
      <c r="A350" s="150"/>
      <c r="B350" s="43"/>
      <c r="C350" s="12">
        <v>46368</v>
      </c>
      <c r="D350" s="20">
        <f t="shared" si="21"/>
        <v>0</v>
      </c>
      <c r="E350" s="20" t="str">
        <f t="shared" si="18"/>
        <v/>
      </c>
      <c r="F350" s="20"/>
      <c r="G350" s="20" t="str">
        <f t="shared" si="19"/>
        <v/>
      </c>
      <c r="H350" s="20"/>
      <c r="I350" s="20"/>
      <c r="J350" s="20"/>
      <c r="K350" s="20"/>
      <c r="L350" s="20"/>
      <c r="M350" s="19" t="s">
        <v>71</v>
      </c>
      <c r="N350" s="19"/>
      <c r="O350" s="19" t="s">
        <v>71</v>
      </c>
      <c r="P350" s="19"/>
      <c r="Q350" s="19" t="s">
        <v>71</v>
      </c>
      <c r="R350" s="19"/>
      <c r="S350" s="26" t="s">
        <v>71</v>
      </c>
      <c r="T350" s="26"/>
      <c r="U350" s="19" t="s">
        <v>71</v>
      </c>
      <c r="V350" s="19"/>
      <c r="W350" s="19"/>
      <c r="X350" s="19"/>
      <c r="Y350" s="19"/>
      <c r="Z350" s="19"/>
      <c r="AA350" s="26"/>
      <c r="AB350" s="26"/>
      <c r="AC350" s="26"/>
      <c r="AD350" s="26"/>
      <c r="AE350" s="26"/>
      <c r="AF350" s="26"/>
      <c r="AG350" s="26" t="s">
        <v>71</v>
      </c>
      <c r="AH350" s="26"/>
      <c r="AI350" s="26" t="s">
        <v>71</v>
      </c>
      <c r="AJ350" s="26"/>
      <c r="AK350" s="26" t="s">
        <v>71</v>
      </c>
      <c r="AL350" s="26"/>
      <c r="AM350" s="26"/>
      <c r="AN350" s="26"/>
      <c r="AO350" s="26"/>
      <c r="AP350" s="26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1" t="e">
        <f>IF(SUM(E350,G350,I350,K350,M350,O350,Q350,S350,U350,W350,Y350,AA350,AC350,AE350,AG350,AI350,AK350,AM350,AO350,AQ350,#REF!)&gt;0,"Sí","No")</f>
        <v>#REF!</v>
      </c>
      <c r="CV350" s="92" t="e">
        <f>IF($CU350="Sí",_xlfn.TEXTJOIN(", ",TRUE,IF(N(E350)&gt;0,E$4,""),IF(N(G350)&gt;0,G$4,""),IF(N(I350)&gt;0,I$4,""),IF(N(K350)&gt;0,K$4,""),IF(N(M350)&gt;0,M$4,""),IF(N(O350)&gt;0,O$4,""),IF(N(Q350)&gt;0,Q$4,""),IF(N(S350)&gt;0,S$4,""),IF(N(U350)&gt;0,U$4,""),IF(N(W350)&gt;0,W$4,""),IF(N(Y350)&gt;0,Y$4,""),IF(N(AA350)&gt;0,AA$4,""),IF(N(AC350)&gt;0,AC$4,""),IF(N(AE350)&gt;0,AE$4,""),IF(N(AG350)&gt;0,AG$4,""),IF(N(AI350)&gt;0,AI$4,""),IF(N(AK350)&gt;0,AK$4,""),IF(N(AM350)&gt;0,AM$4,""),IF(N(AO350)&gt;0,AO$4,""),IF(N(AQ350)&gt;0,AQ$4,""),IF(N(#REF!)&gt;0,#REF!,"")),"")</f>
        <v>#REF!</v>
      </c>
      <c r="CW350" s="11"/>
      <c r="CX350" s="11" t="e">
        <f t="shared" si="22"/>
        <v>#REF!</v>
      </c>
      <c r="CY350" s="12"/>
      <c r="CZ350" s="68"/>
    </row>
    <row r="351" spans="1:104" ht="18" customHeight="1" x14ac:dyDescent="0.3">
      <c r="A351" s="150"/>
      <c r="B351" s="43"/>
      <c r="C351" s="12">
        <v>46369</v>
      </c>
      <c r="D351" s="20">
        <f t="shared" si="21"/>
        <v>0</v>
      </c>
      <c r="E351" s="20" t="str">
        <f t="shared" si="18"/>
        <v/>
      </c>
      <c r="F351" s="20"/>
      <c r="G351" s="20" t="str">
        <f t="shared" si="19"/>
        <v/>
      </c>
      <c r="H351" s="20"/>
      <c r="I351" s="20"/>
      <c r="J351" s="20"/>
      <c r="K351" s="20"/>
      <c r="L351" s="20"/>
      <c r="M351" s="19" t="s">
        <v>71</v>
      </c>
      <c r="N351" s="19"/>
      <c r="O351" s="19" t="s">
        <v>71</v>
      </c>
      <c r="P351" s="19"/>
      <c r="Q351" s="19" t="s">
        <v>71</v>
      </c>
      <c r="R351" s="19"/>
      <c r="S351" s="19" t="s">
        <v>71</v>
      </c>
      <c r="T351" s="19"/>
      <c r="U351" s="19" t="s">
        <v>71</v>
      </c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 t="s">
        <v>71</v>
      </c>
      <c r="AH351" s="19"/>
      <c r="AI351" s="19" t="s">
        <v>71</v>
      </c>
      <c r="AJ351" s="19"/>
      <c r="AK351" s="19" t="s">
        <v>71</v>
      </c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1" t="e">
        <f>IF(SUM(E351,G351,I351,K351,M351,O351,Q351,S351,U351,W351,Y351,AA351,AC351,AE351,AG351,AI351,AK351,AM351,AO351,AQ351,#REF!)&gt;0,"Sí","No")</f>
        <v>#REF!</v>
      </c>
      <c r="CV351" s="92" t="e">
        <f>IF($CU351="Sí",_xlfn.TEXTJOIN(", ",TRUE,IF(N(E351)&gt;0,E$4,""),IF(N(G351)&gt;0,G$4,""),IF(N(I351)&gt;0,I$4,""),IF(N(K351)&gt;0,K$4,""),IF(N(M351)&gt;0,M$4,""),IF(N(O351)&gt;0,O$4,""),IF(N(Q351)&gt;0,Q$4,""),IF(N(S351)&gt;0,S$4,""),IF(N(U351)&gt;0,U$4,""),IF(N(W351)&gt;0,W$4,""),IF(N(Y351)&gt;0,Y$4,""),IF(N(AA351)&gt;0,AA$4,""),IF(N(AC351)&gt;0,AC$4,""),IF(N(AE351)&gt;0,AE$4,""),IF(N(AG351)&gt;0,AG$4,""),IF(N(AI351)&gt;0,AI$4,""),IF(N(AK351)&gt;0,AK$4,""),IF(N(AM351)&gt;0,AM$4,""),IF(N(AO351)&gt;0,AO$4,""),IF(N(AQ351)&gt;0,AQ$4,""),IF(N(#REF!)&gt;0,#REF!,"")),"")</f>
        <v>#REF!</v>
      </c>
      <c r="CW351" s="11"/>
      <c r="CX351" s="11" t="e">
        <f t="shared" si="22"/>
        <v>#REF!</v>
      </c>
      <c r="CY351" s="12"/>
      <c r="CZ351" s="68"/>
    </row>
    <row r="352" spans="1:104" ht="18" customHeight="1" x14ac:dyDescent="0.3">
      <c r="A352" s="150"/>
      <c r="B352" s="43"/>
      <c r="C352" s="12">
        <v>46370</v>
      </c>
      <c r="D352" s="20">
        <f t="shared" si="21"/>
        <v>0</v>
      </c>
      <c r="E352" s="20" t="str">
        <f t="shared" ref="E352:E359" si="23">IF(MOD(A352-$C$30,42)=0,8,"")</f>
        <v/>
      </c>
      <c r="F352" s="20"/>
      <c r="G352" s="20" t="str">
        <f t="shared" ref="G352:G359" si="24">IF(MOD(C352-$C$30,42)=0,8,"")</f>
        <v/>
      </c>
      <c r="H352" s="20"/>
      <c r="I352" s="20"/>
      <c r="J352" s="20"/>
      <c r="K352" s="20"/>
      <c r="L352" s="20"/>
      <c r="M352" s="19" t="s">
        <v>71</v>
      </c>
      <c r="N352" s="19"/>
      <c r="O352" s="19" t="s">
        <v>71</v>
      </c>
      <c r="P352" s="19"/>
      <c r="Q352" s="19" t="s">
        <v>71</v>
      </c>
      <c r="R352" s="19"/>
      <c r="S352" s="19" t="s">
        <v>71</v>
      </c>
      <c r="T352" s="19"/>
      <c r="U352" s="19" t="s">
        <v>71</v>
      </c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 t="s">
        <v>71</v>
      </c>
      <c r="AH352" s="19"/>
      <c r="AI352" s="19" t="s">
        <v>71</v>
      </c>
      <c r="AJ352" s="19"/>
      <c r="AK352" s="19" t="s">
        <v>71</v>
      </c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1" t="e">
        <f>IF(SUM(E352,G352,I352,K352,M352,O352,Q352,S352,U352,W352,Y352,AA352,AC352,AE352,AG352,AI352,AK352,AM352,AO352,AQ352,#REF!)&gt;0,"Sí","No")</f>
        <v>#REF!</v>
      </c>
      <c r="CV352" s="92" t="e">
        <f>IF($CU352="Sí",_xlfn.TEXTJOIN(", ",TRUE,IF(N(E352)&gt;0,E$4,""),IF(N(G352)&gt;0,G$4,""),IF(N(I352)&gt;0,I$4,""),IF(N(K352)&gt;0,K$4,""),IF(N(M352)&gt;0,M$4,""),IF(N(O352)&gt;0,O$4,""),IF(N(Q352)&gt;0,Q$4,""),IF(N(S352)&gt;0,S$4,""),IF(N(U352)&gt;0,U$4,""),IF(N(W352)&gt;0,W$4,""),IF(N(Y352)&gt;0,Y$4,""),IF(N(AA352)&gt;0,AA$4,""),IF(N(AC352)&gt;0,AC$4,""),IF(N(AE352)&gt;0,AE$4,""),IF(N(AG352)&gt;0,AG$4,""),IF(N(AI352)&gt;0,AI$4,""),IF(N(AK352)&gt;0,AK$4,""),IF(N(AM352)&gt;0,AM$4,""),IF(N(AO352)&gt;0,AO$4,""),IF(N(AQ352)&gt;0,AQ$4,""),IF(N(#REF!)&gt;0,#REF!,"")),"")</f>
        <v>#REF!</v>
      </c>
      <c r="CW352" s="11"/>
      <c r="CX352" s="11" t="e">
        <f t="shared" si="22"/>
        <v>#REF!</v>
      </c>
      <c r="CY352" s="12"/>
      <c r="CZ352" s="68"/>
    </row>
    <row r="353" spans="1:104" ht="18" customHeight="1" x14ac:dyDescent="0.3">
      <c r="A353" s="150"/>
      <c r="B353" s="43"/>
      <c r="C353" s="12">
        <v>46371</v>
      </c>
      <c r="D353" s="20">
        <f t="shared" si="21"/>
        <v>0</v>
      </c>
      <c r="E353" s="20" t="str">
        <f t="shared" si="23"/>
        <v/>
      </c>
      <c r="F353" s="20"/>
      <c r="G353" s="20" t="str">
        <f t="shared" si="24"/>
        <v/>
      </c>
      <c r="H353" s="20"/>
      <c r="I353" s="20"/>
      <c r="J353" s="20"/>
      <c r="K353" s="20"/>
      <c r="L353" s="20"/>
      <c r="M353" s="19" t="s">
        <v>71</v>
      </c>
      <c r="N353" s="19"/>
      <c r="O353" s="19" t="s">
        <v>71</v>
      </c>
      <c r="P353" s="19"/>
      <c r="Q353" s="19" t="s">
        <v>71</v>
      </c>
      <c r="R353" s="19"/>
      <c r="S353" s="19" t="s">
        <v>71</v>
      </c>
      <c r="T353" s="19"/>
      <c r="U353" s="19" t="s">
        <v>71</v>
      </c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 t="s">
        <v>71</v>
      </c>
      <c r="AH353" s="19"/>
      <c r="AI353" s="19" t="s">
        <v>71</v>
      </c>
      <c r="AJ353" s="19"/>
      <c r="AK353" s="19" t="s">
        <v>71</v>
      </c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1" t="e">
        <f>IF(SUM(E353,G353,I353,K353,M353,O353,Q353,S353,U353,W353,Y353,AA353,AC353,AE353,AG353,AI353,AK353,AM353,AO353,AQ353,#REF!)&gt;0,"Sí","No")</f>
        <v>#REF!</v>
      </c>
      <c r="CV353" s="92" t="e">
        <f>IF($CU353="Sí",_xlfn.TEXTJOIN(", ",TRUE,IF(N(E353)&gt;0,E$4,""),IF(N(G353)&gt;0,G$4,""),IF(N(I353)&gt;0,I$4,""),IF(N(K353)&gt;0,K$4,""),IF(N(M353)&gt;0,M$4,""),IF(N(O353)&gt;0,O$4,""),IF(N(Q353)&gt;0,Q$4,""),IF(N(S353)&gt;0,S$4,""),IF(N(U353)&gt;0,U$4,""),IF(N(W353)&gt;0,W$4,""),IF(N(Y353)&gt;0,Y$4,""),IF(N(AA353)&gt;0,AA$4,""),IF(N(AC353)&gt;0,AC$4,""),IF(N(AE353)&gt;0,AE$4,""),IF(N(AG353)&gt;0,AG$4,""),IF(N(AI353)&gt;0,AI$4,""),IF(N(AK353)&gt;0,AK$4,""),IF(N(AM353)&gt;0,AM$4,""),IF(N(AO353)&gt;0,AO$4,""),IF(N(AQ353)&gt;0,AQ$4,""),IF(N(#REF!)&gt;0,#REF!,"")),"")</f>
        <v>#REF!</v>
      </c>
      <c r="CW353" s="11"/>
      <c r="CX353" s="11" t="e">
        <f t="shared" si="22"/>
        <v>#REF!</v>
      </c>
      <c r="CY353" s="12"/>
      <c r="CZ353" s="68"/>
    </row>
    <row r="354" spans="1:104" ht="18" customHeight="1" x14ac:dyDescent="0.3">
      <c r="A354" s="150"/>
      <c r="B354" s="43"/>
      <c r="C354" s="12">
        <v>46372</v>
      </c>
      <c r="D354" s="20">
        <f t="shared" si="21"/>
        <v>0</v>
      </c>
      <c r="E354" s="20" t="str">
        <f t="shared" si="23"/>
        <v/>
      </c>
      <c r="F354" s="20"/>
      <c r="G354" s="20" t="str">
        <f t="shared" si="24"/>
        <v/>
      </c>
      <c r="H354" s="20"/>
      <c r="I354" s="20"/>
      <c r="J354" s="20"/>
      <c r="K354" s="20"/>
      <c r="L354" s="20"/>
      <c r="M354" s="19" t="s">
        <v>71</v>
      </c>
      <c r="N354" s="19"/>
      <c r="O354" s="19" t="s">
        <v>71</v>
      </c>
      <c r="P354" s="19"/>
      <c r="Q354" s="19" t="s">
        <v>71</v>
      </c>
      <c r="R354" s="19"/>
      <c r="S354" s="19" t="s">
        <v>71</v>
      </c>
      <c r="T354" s="19"/>
      <c r="U354" s="19" t="s">
        <v>71</v>
      </c>
      <c r="V354" s="19"/>
      <c r="W354" s="19" t="s">
        <v>71</v>
      </c>
      <c r="X354" s="19"/>
      <c r="Y354" s="19"/>
      <c r="Z354" s="19"/>
      <c r="AA354" s="19"/>
      <c r="AB354" s="19"/>
      <c r="AC354" s="19"/>
      <c r="AD354" s="19"/>
      <c r="AE354" s="19"/>
      <c r="AF354" s="19"/>
      <c r="AG354" s="19" t="s">
        <v>71</v>
      </c>
      <c r="AH354" s="19"/>
      <c r="AI354" s="19" t="s">
        <v>71</v>
      </c>
      <c r="AJ354" s="19"/>
      <c r="AK354" s="19" t="s">
        <v>71</v>
      </c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1" t="e">
        <f>IF(SUM(E354,G354,I354,K354,M354,O354,Q354,S354,U354,W354,Y354,AA354,AC354,AE354,AG354,AI354,AK354,AM354,AO354,AQ354,#REF!)&gt;0,"Sí","No")</f>
        <v>#REF!</v>
      </c>
      <c r="CV354" s="92" t="e">
        <f>IF($CU354="Sí",_xlfn.TEXTJOIN(", ",TRUE,IF(N(E354)&gt;0,E$4,""),IF(N(G354)&gt;0,G$4,""),IF(N(I354)&gt;0,I$4,""),IF(N(K354)&gt;0,K$4,""),IF(N(M354)&gt;0,M$4,""),IF(N(O354)&gt;0,O$4,""),IF(N(Q354)&gt;0,Q$4,""),IF(N(S354)&gt;0,S$4,""),IF(N(U354)&gt;0,U$4,""),IF(N(W354)&gt;0,W$4,""),IF(N(Y354)&gt;0,Y$4,""),IF(N(AA354)&gt;0,AA$4,""),IF(N(AC354)&gt;0,AC$4,""),IF(N(AE354)&gt;0,AE$4,""),IF(N(AG354)&gt;0,AG$4,""),IF(N(AI354)&gt;0,AI$4,""),IF(N(AK354)&gt;0,AK$4,""),IF(N(AM354)&gt;0,AM$4,""),IF(N(AO354)&gt;0,AO$4,""),IF(N(AQ354)&gt;0,AQ$4,""),IF(N(#REF!)&gt;0,#REF!,"")),"")</f>
        <v>#REF!</v>
      </c>
      <c r="CW354" s="11"/>
      <c r="CX354" s="11" t="e">
        <f t="shared" si="22"/>
        <v>#REF!</v>
      </c>
      <c r="CY354" s="12"/>
      <c r="CZ354" s="68"/>
    </row>
    <row r="355" spans="1:104" ht="18" customHeight="1" x14ac:dyDescent="0.3">
      <c r="A355" s="150"/>
      <c r="B355" s="43"/>
      <c r="C355" s="12">
        <v>46373</v>
      </c>
      <c r="D355" s="20">
        <f t="shared" si="21"/>
        <v>0</v>
      </c>
      <c r="E355" s="20" t="str">
        <f t="shared" si="23"/>
        <v/>
      </c>
      <c r="F355" s="20"/>
      <c r="G355" s="20" t="str">
        <f t="shared" si="24"/>
        <v/>
      </c>
      <c r="H355" s="20"/>
      <c r="I355" s="20"/>
      <c r="J355" s="20"/>
      <c r="K355" s="20"/>
      <c r="L355" s="20"/>
      <c r="M355" s="19" t="s">
        <v>71</v>
      </c>
      <c r="N355" s="19"/>
      <c r="O355" s="19" t="s">
        <v>71</v>
      </c>
      <c r="P355" s="19"/>
      <c r="Q355" s="19" t="s">
        <v>71</v>
      </c>
      <c r="R355" s="19"/>
      <c r="S355" s="19" t="s">
        <v>71</v>
      </c>
      <c r="T355" s="19"/>
      <c r="U355" s="19" t="s">
        <v>71</v>
      </c>
      <c r="V355" s="19"/>
      <c r="W355" s="19" t="s">
        <v>71</v>
      </c>
      <c r="X355" s="19"/>
      <c r="Y355" s="19"/>
      <c r="Z355" s="19"/>
      <c r="AA355" s="19"/>
      <c r="AB355" s="19"/>
      <c r="AC355" s="19"/>
      <c r="AD355" s="19"/>
      <c r="AE355" s="19"/>
      <c r="AF355" s="19"/>
      <c r="AG355" s="19" t="s">
        <v>71</v>
      </c>
      <c r="AH355" s="19"/>
      <c r="AI355" s="19" t="s">
        <v>71</v>
      </c>
      <c r="AJ355" s="19"/>
      <c r="AK355" s="19" t="s">
        <v>71</v>
      </c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 t="s">
        <v>71</v>
      </c>
      <c r="CF355" s="19"/>
      <c r="CG355" s="19" t="s">
        <v>71</v>
      </c>
      <c r="CH355" s="19"/>
      <c r="CI355" s="19" t="s">
        <v>71</v>
      </c>
      <c r="CJ355" s="19"/>
      <c r="CK355" s="19" t="s">
        <v>71</v>
      </c>
      <c r="CL355" s="19"/>
      <c r="CM355" s="19"/>
      <c r="CN355" s="19"/>
      <c r="CO355" s="19"/>
      <c r="CP355" s="19"/>
      <c r="CQ355" s="19"/>
      <c r="CR355" s="19"/>
      <c r="CS355" s="19"/>
      <c r="CT355" s="19"/>
      <c r="CU355" s="11" t="e">
        <f>IF(SUM(E355,G355,I355,K355,M355,O355,Q355,S355,U355,W355,Y355,AA355,AC355,AE355,AG355,AI355,AK355,AM355,AO355,AQ355,#REF!)&gt;0,"Sí","No")</f>
        <v>#REF!</v>
      </c>
      <c r="CV355" s="92" t="e">
        <f>IF($CU355="Sí",_xlfn.TEXTJOIN(", ",TRUE,IF(N(E355)&gt;0,E$4,""),IF(N(G355)&gt;0,G$4,""),IF(N(I355)&gt;0,I$4,""),IF(N(K355)&gt;0,K$4,""),IF(N(M355)&gt;0,M$4,""),IF(N(O355)&gt;0,O$4,""),IF(N(Q355)&gt;0,Q$4,""),IF(N(S355)&gt;0,S$4,""),IF(N(U355)&gt;0,U$4,""),IF(N(W355)&gt;0,W$4,""),IF(N(Y355)&gt;0,Y$4,""),IF(N(AA355)&gt;0,AA$4,""),IF(N(AC355)&gt;0,AC$4,""),IF(N(AE355)&gt;0,AE$4,""),IF(N(AG355)&gt;0,AG$4,""),IF(N(AI355)&gt;0,AI$4,""),IF(N(AK355)&gt;0,AK$4,""),IF(N(AM355)&gt;0,AM$4,""),IF(N(AO355)&gt;0,AO$4,""),IF(N(AQ355)&gt;0,AQ$4,""),IF(N(#REF!)&gt;0,#REF!,"")),"")</f>
        <v>#REF!</v>
      </c>
      <c r="CW355" s="11"/>
      <c r="CX355" s="11" t="e">
        <f t="shared" si="22"/>
        <v>#REF!</v>
      </c>
      <c r="CY355" s="12"/>
      <c r="CZ355" s="68"/>
    </row>
    <row r="356" spans="1:104" ht="18" customHeight="1" x14ac:dyDescent="0.3">
      <c r="A356" s="150"/>
      <c r="B356" s="43"/>
      <c r="C356" s="12">
        <v>46374</v>
      </c>
      <c r="D356" s="20">
        <f t="shared" si="21"/>
        <v>0</v>
      </c>
      <c r="E356" s="20" t="str">
        <f t="shared" si="23"/>
        <v/>
      </c>
      <c r="F356" s="20"/>
      <c r="G356" s="20" t="str">
        <f t="shared" si="24"/>
        <v/>
      </c>
      <c r="H356" s="20"/>
      <c r="I356" s="20"/>
      <c r="J356" s="20"/>
      <c r="K356" s="20"/>
      <c r="L356" s="20"/>
      <c r="M356" s="19" t="s">
        <v>71</v>
      </c>
      <c r="N356" s="19"/>
      <c r="O356" s="19" t="s">
        <v>71</v>
      </c>
      <c r="P356" s="19"/>
      <c r="Q356" s="19" t="s">
        <v>71</v>
      </c>
      <c r="R356" s="19"/>
      <c r="S356" s="19" t="s">
        <v>71</v>
      </c>
      <c r="T356" s="19"/>
      <c r="U356" s="19" t="s">
        <v>71</v>
      </c>
      <c r="V356" s="19"/>
      <c r="W356" s="19" t="s">
        <v>71</v>
      </c>
      <c r="X356" s="19"/>
      <c r="Y356" s="19"/>
      <c r="Z356" s="19"/>
      <c r="AA356" s="19"/>
      <c r="AB356" s="19"/>
      <c r="AC356" s="19"/>
      <c r="AD356" s="19"/>
      <c r="AE356" s="19"/>
      <c r="AF356" s="19"/>
      <c r="AG356" s="19" t="s">
        <v>71</v>
      </c>
      <c r="AH356" s="19"/>
      <c r="AI356" s="19" t="s">
        <v>71</v>
      </c>
      <c r="AJ356" s="19"/>
      <c r="AK356" s="19" t="s">
        <v>71</v>
      </c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>
        <v>12</v>
      </c>
      <c r="AX356" s="19">
        <v>24</v>
      </c>
      <c r="AY356" s="19">
        <v>12</v>
      </c>
      <c r="AZ356" s="19">
        <v>24</v>
      </c>
      <c r="BA356" s="19">
        <v>12</v>
      </c>
      <c r="BB356" s="19">
        <v>24</v>
      </c>
      <c r="BC356" s="19">
        <v>12</v>
      </c>
      <c r="BD356" s="19">
        <v>24</v>
      </c>
      <c r="BE356" s="19">
        <v>12</v>
      </c>
      <c r="BF356" s="19">
        <v>24</v>
      </c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 t="s">
        <v>71</v>
      </c>
      <c r="CF356" s="19"/>
      <c r="CG356" s="19" t="s">
        <v>71</v>
      </c>
      <c r="CH356" s="19"/>
      <c r="CI356" s="19" t="s">
        <v>71</v>
      </c>
      <c r="CJ356" s="19"/>
      <c r="CK356" s="19" t="s">
        <v>71</v>
      </c>
      <c r="CL356" s="19"/>
      <c r="CM356" s="19"/>
      <c r="CN356" s="19"/>
      <c r="CO356" s="19"/>
      <c r="CP356" s="19"/>
      <c r="CQ356" s="19"/>
      <c r="CR356" s="19"/>
      <c r="CS356" s="19"/>
      <c r="CT356" s="19"/>
      <c r="CU356" s="11" t="e">
        <f>IF(SUM(E356,G356,I356,K356,M356,O356,Q356,S356,U356,W356,Y356,AA356,AC356,AE356,AG356,AI356,AK356,AM356,AO356,AQ356,#REF!)&gt;0,"Sí","No")</f>
        <v>#REF!</v>
      </c>
      <c r="CV356" s="92" t="e">
        <f>IF($CU356="Sí",_xlfn.TEXTJOIN(", ",TRUE,IF(N(E356)&gt;0,E$4,""),IF(N(G356)&gt;0,G$4,""),IF(N(I356)&gt;0,I$4,""),IF(N(K356)&gt;0,K$4,""),IF(N(M356)&gt;0,M$4,""),IF(N(O356)&gt;0,O$4,""),IF(N(Q356)&gt;0,Q$4,""),IF(N(S356)&gt;0,S$4,""),IF(N(U356)&gt;0,U$4,""),IF(N(W356)&gt;0,W$4,""),IF(N(Y356)&gt;0,Y$4,""),IF(N(AA356)&gt;0,AA$4,""),IF(N(AC356)&gt;0,AC$4,""),IF(N(AE356)&gt;0,AE$4,""),IF(N(AG356)&gt;0,AG$4,""),IF(N(AI356)&gt;0,AI$4,""),IF(N(AK356)&gt;0,AK$4,""),IF(N(AM356)&gt;0,AM$4,""),IF(N(AO356)&gt;0,AO$4,""),IF(N(AQ356)&gt;0,AQ$4,""),IF(N(#REF!)&gt;0,#REF!,"")),"")</f>
        <v>#REF!</v>
      </c>
      <c r="CW356" s="11"/>
      <c r="CX356" s="11" t="e">
        <f t="shared" si="22"/>
        <v>#REF!</v>
      </c>
      <c r="CY356" s="12"/>
      <c r="CZ356" s="68"/>
    </row>
    <row r="357" spans="1:104" ht="18" customHeight="1" x14ac:dyDescent="0.3">
      <c r="A357" s="150"/>
      <c r="B357" s="43"/>
      <c r="C357" s="12">
        <v>46375</v>
      </c>
      <c r="D357" s="20">
        <f t="shared" si="21"/>
        <v>0</v>
      </c>
      <c r="E357" s="20" t="str">
        <f t="shared" si="23"/>
        <v/>
      </c>
      <c r="F357" s="20"/>
      <c r="G357" s="20" t="str">
        <f t="shared" si="24"/>
        <v/>
      </c>
      <c r="H357" s="20"/>
      <c r="I357" s="20"/>
      <c r="J357" s="20"/>
      <c r="K357" s="20"/>
      <c r="L357" s="20"/>
      <c r="M357" s="19" t="s">
        <v>71</v>
      </c>
      <c r="N357" s="19"/>
      <c r="O357" s="19" t="s">
        <v>71</v>
      </c>
      <c r="P357" s="19"/>
      <c r="Q357" s="19" t="s">
        <v>71</v>
      </c>
      <c r="R357" s="19"/>
      <c r="S357" s="19" t="s">
        <v>71</v>
      </c>
      <c r="T357" s="19"/>
      <c r="U357" s="19" t="s">
        <v>71</v>
      </c>
      <c r="V357" s="19"/>
      <c r="W357" s="19" t="s">
        <v>71</v>
      </c>
      <c r="X357" s="19"/>
      <c r="Y357" s="19"/>
      <c r="Z357" s="19"/>
      <c r="AA357" s="19"/>
      <c r="AB357" s="19"/>
      <c r="AC357" s="19"/>
      <c r="AD357" s="19"/>
      <c r="AE357" s="19"/>
      <c r="AF357" s="19"/>
      <c r="AG357" s="19" t="s">
        <v>71</v>
      </c>
      <c r="AH357" s="19"/>
      <c r="AI357" s="19" t="s">
        <v>71</v>
      </c>
      <c r="AJ357" s="19"/>
      <c r="AK357" s="19" t="s">
        <v>71</v>
      </c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 t="s">
        <v>71</v>
      </c>
      <c r="CF357" s="19"/>
      <c r="CG357" s="19" t="s">
        <v>71</v>
      </c>
      <c r="CH357" s="19"/>
      <c r="CI357" s="19" t="s">
        <v>71</v>
      </c>
      <c r="CJ357" s="19"/>
      <c r="CK357" s="19" t="s">
        <v>71</v>
      </c>
      <c r="CL357" s="19"/>
      <c r="CM357" s="19"/>
      <c r="CN357" s="19"/>
      <c r="CO357" s="19"/>
      <c r="CP357" s="19"/>
      <c r="CQ357" s="19"/>
      <c r="CR357" s="19"/>
      <c r="CS357" s="19"/>
      <c r="CT357" s="19"/>
      <c r="CU357" s="11" t="e">
        <f>IF(SUM(E357,G357,I357,K357,M357,O357,Q357,S357,U357,W357,Y357,AA357,AC357,AE357,AG357,AI357,AK357,AM357,AO357,AQ357,#REF!)&gt;0,"Sí","No")</f>
        <v>#REF!</v>
      </c>
      <c r="CV357" s="92" t="e">
        <f>IF($CU357="Sí",_xlfn.TEXTJOIN(", ",TRUE,IF(N(E357)&gt;0,E$4,""),IF(N(G357)&gt;0,G$4,""),IF(N(I357)&gt;0,I$4,""),IF(N(K357)&gt;0,K$4,""),IF(N(M357)&gt;0,M$4,""),IF(N(O357)&gt;0,O$4,""),IF(N(Q357)&gt;0,Q$4,""),IF(N(S357)&gt;0,S$4,""),IF(N(U357)&gt;0,U$4,""),IF(N(W357)&gt;0,W$4,""),IF(N(Y357)&gt;0,Y$4,""),IF(N(AA357)&gt;0,AA$4,""),IF(N(AC357)&gt;0,AC$4,""),IF(N(AE357)&gt;0,AE$4,""),IF(N(AG357)&gt;0,AG$4,""),IF(N(AI357)&gt;0,AI$4,""),IF(N(AK357)&gt;0,AK$4,""),IF(N(AM357)&gt;0,AM$4,""),IF(N(AO357)&gt;0,AO$4,""),IF(N(AQ357)&gt;0,AQ$4,""),IF(N(#REF!)&gt;0,#REF!,"")),"")</f>
        <v>#REF!</v>
      </c>
      <c r="CW357" s="11"/>
      <c r="CX357" s="11" t="e">
        <f t="shared" si="22"/>
        <v>#REF!</v>
      </c>
      <c r="CY357" s="12"/>
      <c r="CZ357" s="68"/>
    </row>
    <row r="358" spans="1:104" ht="18" customHeight="1" x14ac:dyDescent="0.3">
      <c r="A358" s="150"/>
      <c r="B358" s="43"/>
      <c r="C358" s="12">
        <v>46376</v>
      </c>
      <c r="D358" s="20">
        <f t="shared" si="21"/>
        <v>0</v>
      </c>
      <c r="E358" s="20" t="str">
        <f t="shared" si="23"/>
        <v/>
      </c>
      <c r="F358" s="20"/>
      <c r="G358" s="20" t="str">
        <f t="shared" si="24"/>
        <v/>
      </c>
      <c r="H358" s="20"/>
      <c r="I358" s="20"/>
      <c r="J358" s="20"/>
      <c r="K358" s="20"/>
      <c r="L358" s="20"/>
      <c r="M358" s="19" t="s">
        <v>71</v>
      </c>
      <c r="N358" s="19"/>
      <c r="O358" s="19" t="s">
        <v>71</v>
      </c>
      <c r="P358" s="19"/>
      <c r="Q358" s="19" t="s">
        <v>71</v>
      </c>
      <c r="R358" s="19"/>
      <c r="S358" s="19" t="s">
        <v>71</v>
      </c>
      <c r="T358" s="19"/>
      <c r="U358" s="19" t="s">
        <v>71</v>
      </c>
      <c r="V358" s="19"/>
      <c r="W358" s="19" t="s">
        <v>71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 t="s">
        <v>71</v>
      </c>
      <c r="AH358" s="19"/>
      <c r="AI358" s="19" t="s">
        <v>71</v>
      </c>
      <c r="AJ358" s="19"/>
      <c r="AK358" s="19" t="s">
        <v>71</v>
      </c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 t="s">
        <v>71</v>
      </c>
      <c r="CF358" s="19"/>
      <c r="CG358" s="19" t="s">
        <v>71</v>
      </c>
      <c r="CH358" s="19"/>
      <c r="CI358" s="19" t="s">
        <v>71</v>
      </c>
      <c r="CJ358" s="19"/>
      <c r="CK358" s="19" t="s">
        <v>71</v>
      </c>
      <c r="CL358" s="19"/>
      <c r="CM358" s="19"/>
      <c r="CN358" s="19"/>
      <c r="CO358" s="19"/>
      <c r="CP358" s="19"/>
      <c r="CQ358" s="19"/>
      <c r="CR358" s="19"/>
      <c r="CS358" s="19"/>
      <c r="CT358" s="19"/>
      <c r="CU358" s="11" t="e">
        <f>IF(SUM(E358,G358,I358,K358,M358,O358,Q358,S358,U358,W358,Y358,AA358,AC358,AE358,AG358,AI358,AK358,AM358,AO358,AQ358,#REF!)&gt;0,"Sí","No")</f>
        <v>#REF!</v>
      </c>
      <c r="CV358" s="92" t="e">
        <f>IF($CU358="Sí",_xlfn.TEXTJOIN(", ",TRUE,IF(N(E358)&gt;0,E$4,""),IF(N(G358)&gt;0,G$4,""),IF(N(I358)&gt;0,I$4,""),IF(N(K358)&gt;0,K$4,""),IF(N(M358)&gt;0,M$4,""),IF(N(O358)&gt;0,O$4,""),IF(N(Q358)&gt;0,Q$4,""),IF(N(S358)&gt;0,S$4,""),IF(N(U358)&gt;0,U$4,""),IF(N(W358)&gt;0,W$4,""),IF(N(Y358)&gt;0,Y$4,""),IF(N(AA358)&gt;0,AA$4,""),IF(N(AC358)&gt;0,AC$4,""),IF(N(AE358)&gt;0,AE$4,""),IF(N(AG358)&gt;0,AG$4,""),IF(N(AI358)&gt;0,AI$4,""),IF(N(AK358)&gt;0,AK$4,""),IF(N(AM358)&gt;0,AM$4,""),IF(N(AO358)&gt;0,AO$4,""),IF(N(AQ358)&gt;0,AQ$4,""),IF(N(#REF!)&gt;0,#REF!,"")),"")</f>
        <v>#REF!</v>
      </c>
      <c r="CW358" s="11"/>
      <c r="CX358" s="11" t="e">
        <f t="shared" si="22"/>
        <v>#REF!</v>
      </c>
      <c r="CY358" s="12"/>
      <c r="CZ358" s="68"/>
    </row>
    <row r="359" spans="1:104" ht="18" customHeight="1" x14ac:dyDescent="0.3">
      <c r="A359" s="150"/>
      <c r="B359" s="43"/>
      <c r="C359" s="12">
        <v>46377</v>
      </c>
      <c r="D359" s="20">
        <f t="shared" si="21"/>
        <v>0</v>
      </c>
      <c r="E359" s="20" t="str">
        <f t="shared" si="23"/>
        <v/>
      </c>
      <c r="F359" s="20"/>
      <c r="G359" s="20" t="str">
        <f t="shared" si="24"/>
        <v/>
      </c>
      <c r="H359" s="20"/>
      <c r="I359" s="20"/>
      <c r="J359" s="20"/>
      <c r="K359" s="20"/>
      <c r="L359" s="20"/>
      <c r="M359" s="19" t="s">
        <v>71</v>
      </c>
      <c r="N359" s="19"/>
      <c r="O359" s="19" t="s">
        <v>71</v>
      </c>
      <c r="P359" s="19"/>
      <c r="Q359" s="19" t="s">
        <v>71</v>
      </c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 t="s">
        <v>71</v>
      </c>
      <c r="AH359" s="19"/>
      <c r="AI359" s="19" t="s">
        <v>71</v>
      </c>
      <c r="AJ359" s="19"/>
      <c r="AK359" s="19" t="s">
        <v>71</v>
      </c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 t="s">
        <v>71</v>
      </c>
      <c r="CF359" s="19"/>
      <c r="CG359" s="19" t="s">
        <v>71</v>
      </c>
      <c r="CH359" s="19"/>
      <c r="CI359" s="19" t="s">
        <v>71</v>
      </c>
      <c r="CJ359" s="19"/>
      <c r="CK359" s="19" t="s">
        <v>71</v>
      </c>
      <c r="CL359" s="19"/>
      <c r="CM359" s="19"/>
      <c r="CN359" s="19"/>
      <c r="CO359" s="19"/>
      <c r="CP359" s="19"/>
      <c r="CQ359" s="19"/>
      <c r="CR359" s="19"/>
      <c r="CS359" s="19"/>
      <c r="CT359" s="19"/>
      <c r="CU359" s="11" t="e">
        <f>IF(SUM(E359,G359,I359,K359,M359,O359,Q359,S359,U359,W359,Y359,AA359,AC359,AE359,AG359,AI359,AK359,AM359,AO359,AQ359,#REF!)&gt;0,"Sí","No")</f>
        <v>#REF!</v>
      </c>
      <c r="CV359" s="92" t="e">
        <f>IF($CU359="Sí",_xlfn.TEXTJOIN(", ",TRUE,IF(N(E359)&gt;0,E$4,""),IF(N(G359)&gt;0,G$4,""),IF(N(I359)&gt;0,I$4,""),IF(N(K359)&gt;0,K$4,""),IF(N(M359)&gt;0,M$4,""),IF(N(O359)&gt;0,O$4,""),IF(N(Q359)&gt;0,Q$4,""),IF(N(S359)&gt;0,S$4,""),IF(N(U359)&gt;0,U$4,""),IF(N(W359)&gt;0,W$4,""),IF(N(Y359)&gt;0,Y$4,""),IF(N(AA359)&gt;0,AA$4,""),IF(N(AC359)&gt;0,AC$4,""),IF(N(AE359)&gt;0,AE$4,""),IF(N(AG359)&gt;0,AG$4,""),IF(N(AI359)&gt;0,AI$4,""),IF(N(AK359)&gt;0,AK$4,""),IF(N(AM359)&gt;0,AM$4,""),IF(N(AO359)&gt;0,AO$4,""),IF(N(AQ359)&gt;0,AQ$4,""),IF(N(#REF!)&gt;0,#REF!,"")),"")</f>
        <v>#REF!</v>
      </c>
      <c r="CW359" s="11"/>
      <c r="CX359" s="11" t="e">
        <f t="shared" si="22"/>
        <v>#REF!</v>
      </c>
      <c r="CY359" s="12"/>
      <c r="CZ359" s="68"/>
    </row>
    <row r="360" spans="1:104" ht="18" customHeight="1" x14ac:dyDescent="0.3">
      <c r="A360" s="150"/>
      <c r="B360" s="43"/>
      <c r="C360" s="12">
        <v>46378</v>
      </c>
      <c r="D360" s="20">
        <f t="shared" si="21"/>
        <v>0</v>
      </c>
      <c r="E360" s="20"/>
      <c r="F360" s="20"/>
      <c r="G360" s="20"/>
      <c r="H360" s="20"/>
      <c r="I360" s="20"/>
      <c r="J360" s="20"/>
      <c r="K360" s="20"/>
      <c r="L360" s="20"/>
      <c r="M360" s="19" t="s">
        <v>71</v>
      </c>
      <c r="N360" s="19"/>
      <c r="O360" s="19" t="s">
        <v>71</v>
      </c>
      <c r="P360" s="19"/>
      <c r="Q360" s="19" t="s">
        <v>71</v>
      </c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 t="s">
        <v>71</v>
      </c>
      <c r="AH360" s="19"/>
      <c r="AI360" s="19" t="s">
        <v>71</v>
      </c>
      <c r="AJ360" s="19"/>
      <c r="AK360" s="19" t="s">
        <v>71</v>
      </c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 t="s">
        <v>71</v>
      </c>
      <c r="CF360" s="19"/>
      <c r="CG360" s="19" t="s">
        <v>71</v>
      </c>
      <c r="CH360" s="19"/>
      <c r="CI360" s="19" t="s">
        <v>71</v>
      </c>
      <c r="CJ360" s="19"/>
      <c r="CK360" s="19" t="s">
        <v>71</v>
      </c>
      <c r="CL360" s="19"/>
      <c r="CM360" s="19"/>
      <c r="CN360" s="19"/>
      <c r="CO360" s="19"/>
      <c r="CP360" s="19"/>
      <c r="CQ360" s="19"/>
      <c r="CR360" s="19"/>
      <c r="CS360" s="19"/>
      <c r="CT360" s="19"/>
      <c r="CU360" s="11" t="e">
        <f>IF(SUM(E360,G360,I360,K360,M360,O360,Q360,S360,U360,W360,Y360,AA360,AC360,AE360,AG360,AI360,AK360,AM360,AO360,AQ360,#REF!)&gt;0,"Sí","No")</f>
        <v>#REF!</v>
      </c>
      <c r="CV360" s="92" t="e">
        <f>IF($CU360="Sí",_xlfn.TEXTJOIN(", ",TRUE,IF(N(E360)&gt;0,E$4,""),IF(N(G360)&gt;0,G$4,""),IF(N(I360)&gt;0,I$4,""),IF(N(K360)&gt;0,K$4,""),IF(N(M360)&gt;0,M$4,""),IF(N(O360)&gt;0,O$4,""),IF(N(Q360)&gt;0,Q$4,""),IF(N(S360)&gt;0,S$4,""),IF(N(U360)&gt;0,U$4,""),IF(N(W360)&gt;0,W$4,""),IF(N(Y360)&gt;0,Y$4,""),IF(N(AA360)&gt;0,AA$4,""),IF(N(AC360)&gt;0,AC$4,""),IF(N(AE360)&gt;0,AE$4,""),IF(N(AG360)&gt;0,AG$4,""),IF(N(AI360)&gt;0,AI$4,""),IF(N(AK360)&gt;0,AK$4,""),IF(N(AM360)&gt;0,AM$4,""),IF(N(AO360)&gt;0,AO$4,""),IF(N(AQ360)&gt;0,AQ$4,""),IF(N(#REF!)&gt;0,#REF!,"")),"")</f>
        <v>#REF!</v>
      </c>
      <c r="CW360" s="11"/>
      <c r="CX360" s="11" t="e">
        <f t="shared" si="22"/>
        <v>#REF!</v>
      </c>
      <c r="CY360" s="12"/>
      <c r="CZ360" s="68"/>
    </row>
    <row r="361" spans="1:104" ht="18" customHeight="1" x14ac:dyDescent="0.3">
      <c r="A361" s="150"/>
      <c r="B361" s="43"/>
      <c r="C361" s="12">
        <v>46379</v>
      </c>
      <c r="D361" s="20">
        <f t="shared" si="21"/>
        <v>0</v>
      </c>
      <c r="E361" s="20"/>
      <c r="F361" s="20"/>
      <c r="G361" s="20"/>
      <c r="H361" s="20"/>
      <c r="I361" s="20"/>
      <c r="J361" s="20"/>
      <c r="K361" s="20"/>
      <c r="L361" s="20"/>
      <c r="M361" s="19" t="s">
        <v>71</v>
      </c>
      <c r="N361" s="19"/>
      <c r="O361" s="19" t="s">
        <v>71</v>
      </c>
      <c r="P361" s="19"/>
      <c r="Q361" s="19" t="s">
        <v>71</v>
      </c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 t="s">
        <v>71</v>
      </c>
      <c r="AH361" s="19"/>
      <c r="AI361" s="19" t="s">
        <v>71</v>
      </c>
      <c r="AJ361" s="19"/>
      <c r="AK361" s="19" t="s">
        <v>71</v>
      </c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 t="s">
        <v>71</v>
      </c>
      <c r="CF361" s="19"/>
      <c r="CG361" s="19" t="s">
        <v>71</v>
      </c>
      <c r="CH361" s="19"/>
      <c r="CI361" s="19" t="s">
        <v>71</v>
      </c>
      <c r="CJ361" s="19"/>
      <c r="CK361" s="19" t="s">
        <v>71</v>
      </c>
      <c r="CL361" s="19"/>
      <c r="CM361" s="19"/>
      <c r="CN361" s="19"/>
      <c r="CO361" s="19"/>
      <c r="CP361" s="19"/>
      <c r="CQ361" s="19"/>
      <c r="CR361" s="19"/>
      <c r="CS361" s="19"/>
      <c r="CT361" s="19"/>
      <c r="CU361" s="11" t="e">
        <f>IF(SUM(E361,G361,I361,K361,M361,O361,Q361,S361,U361,W361,Y361,AA361,AC361,AE361,AG361,AI361,AK361,AM361,AO361,AQ361,#REF!)&gt;0,"Sí","No")</f>
        <v>#REF!</v>
      </c>
      <c r="CV361" s="92" t="e">
        <f>IF($CU361="Sí",_xlfn.TEXTJOIN(", ",TRUE,IF(N(E361)&gt;0,E$4,""),IF(N(G361)&gt;0,G$4,""),IF(N(I361)&gt;0,I$4,""),IF(N(K361)&gt;0,K$4,""),IF(N(M361)&gt;0,M$4,""),IF(N(O361)&gt;0,O$4,""),IF(N(Q361)&gt;0,Q$4,""),IF(N(S361)&gt;0,S$4,""),IF(N(U361)&gt;0,U$4,""),IF(N(W361)&gt;0,W$4,""),IF(N(Y361)&gt;0,Y$4,""),IF(N(AA361)&gt;0,AA$4,""),IF(N(AC361)&gt;0,AC$4,""),IF(N(AE361)&gt;0,AE$4,""),IF(N(AG361)&gt;0,AG$4,""),IF(N(AI361)&gt;0,AI$4,""),IF(N(AK361)&gt;0,AK$4,""),IF(N(AM361)&gt;0,AM$4,""),IF(N(AO361)&gt;0,AO$4,""),IF(N(AQ361)&gt;0,AQ$4,""),IF(N(#REF!)&gt;0,#REF!,"")),"")</f>
        <v>#REF!</v>
      </c>
      <c r="CW361" s="11"/>
      <c r="CX361" s="11" t="e">
        <f t="shared" si="22"/>
        <v>#REF!</v>
      </c>
      <c r="CY361" s="12"/>
      <c r="CZ361" s="68"/>
    </row>
    <row r="362" spans="1:104" ht="18" customHeight="1" x14ac:dyDescent="0.3">
      <c r="A362" s="150"/>
      <c r="B362" s="43"/>
      <c r="C362" s="12">
        <v>46380</v>
      </c>
      <c r="D362" s="20">
        <f t="shared" si="21"/>
        <v>0</v>
      </c>
      <c r="E362" s="20"/>
      <c r="F362" s="20"/>
      <c r="G362" s="20"/>
      <c r="H362" s="20"/>
      <c r="I362" s="20"/>
      <c r="J362" s="20"/>
      <c r="K362" s="20"/>
      <c r="L362" s="20"/>
      <c r="M362" s="19" t="s">
        <v>71</v>
      </c>
      <c r="N362" s="19"/>
      <c r="O362" s="19" t="s">
        <v>71</v>
      </c>
      <c r="P362" s="19"/>
      <c r="Q362" s="19" t="s">
        <v>71</v>
      </c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 t="s">
        <v>71</v>
      </c>
      <c r="AH362" s="19"/>
      <c r="AI362" s="19" t="s">
        <v>71</v>
      </c>
      <c r="AJ362" s="19"/>
      <c r="AK362" s="19" t="s">
        <v>71</v>
      </c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 t="s">
        <v>71</v>
      </c>
      <c r="CF362" s="19"/>
      <c r="CG362" s="19" t="s">
        <v>71</v>
      </c>
      <c r="CH362" s="19"/>
      <c r="CI362" s="19" t="s">
        <v>71</v>
      </c>
      <c r="CJ362" s="19"/>
      <c r="CK362" s="19" t="s">
        <v>71</v>
      </c>
      <c r="CL362" s="19"/>
      <c r="CM362" s="19"/>
      <c r="CN362" s="19"/>
      <c r="CO362" s="19"/>
      <c r="CP362" s="19"/>
      <c r="CQ362" s="19"/>
      <c r="CR362" s="19"/>
      <c r="CS362" s="19"/>
      <c r="CT362" s="19"/>
      <c r="CU362" s="11" t="e">
        <f>IF(SUM(E362,G362,I362,K362,M362,O362,Q362,S362,U362,W362,Y362,AA362,AC362,AE362,AG362,AI362,AK362,AM362,AO362,AQ362,#REF!)&gt;0,"Sí","No")</f>
        <v>#REF!</v>
      </c>
      <c r="CV362" s="92" t="e">
        <f>IF($CU362="Sí",_xlfn.TEXTJOIN(", ",TRUE,IF(N(E362)&gt;0,E$4,""),IF(N(G362)&gt;0,G$4,""),IF(N(I362)&gt;0,I$4,""),IF(N(K362)&gt;0,K$4,""),IF(N(M362)&gt;0,M$4,""),IF(N(O362)&gt;0,O$4,""),IF(N(Q362)&gt;0,Q$4,""),IF(N(S362)&gt;0,S$4,""),IF(N(U362)&gt;0,U$4,""),IF(N(W362)&gt;0,W$4,""),IF(N(Y362)&gt;0,Y$4,""),IF(N(AA362)&gt;0,AA$4,""),IF(N(AC362)&gt;0,AC$4,""),IF(N(AE362)&gt;0,AE$4,""),IF(N(AG362)&gt;0,AG$4,""),IF(N(AI362)&gt;0,AI$4,""),IF(N(AK362)&gt;0,AK$4,""),IF(N(AM362)&gt;0,AM$4,""),IF(N(AO362)&gt;0,AO$4,""),IF(N(AQ362)&gt;0,AQ$4,""),IF(N(#REF!)&gt;0,#REF!,"")),"")</f>
        <v>#REF!</v>
      </c>
      <c r="CW362" s="11"/>
      <c r="CX362" s="11" t="e">
        <f t="shared" si="22"/>
        <v>#REF!</v>
      </c>
      <c r="CY362" s="12"/>
      <c r="CZ362" s="68"/>
    </row>
    <row r="363" spans="1:104" ht="46.8" customHeight="1" x14ac:dyDescent="0.3">
      <c r="A363" s="150"/>
      <c r="B363" s="43"/>
      <c r="C363" s="12">
        <v>46381</v>
      </c>
      <c r="D363" s="20">
        <f t="shared" si="21"/>
        <v>0</v>
      </c>
      <c r="E363" s="20"/>
      <c r="F363" s="20"/>
      <c r="G363" s="20"/>
      <c r="H363" s="20"/>
      <c r="I363" s="20"/>
      <c r="J363" s="20"/>
      <c r="K363" s="20"/>
      <c r="L363" s="20"/>
      <c r="M363" s="19" t="s">
        <v>71</v>
      </c>
      <c r="N363" s="19"/>
      <c r="O363" s="19" t="s">
        <v>71</v>
      </c>
      <c r="P363" s="19"/>
      <c r="Q363" s="19" t="s">
        <v>71</v>
      </c>
      <c r="R363" s="19"/>
      <c r="S363" s="19">
        <v>10</v>
      </c>
      <c r="T363" s="19">
        <v>20</v>
      </c>
      <c r="U363" s="19">
        <v>10</v>
      </c>
      <c r="V363" s="19">
        <v>20</v>
      </c>
      <c r="W363" s="19">
        <v>10</v>
      </c>
      <c r="X363" s="19">
        <v>20</v>
      </c>
      <c r="Y363" s="19"/>
      <c r="Z363" s="19"/>
      <c r="AA363" s="19"/>
      <c r="AB363" s="19"/>
      <c r="AC363" s="19"/>
      <c r="AD363" s="19"/>
      <c r="AE363" s="19"/>
      <c r="AF363" s="19"/>
      <c r="AG363" s="19" t="s">
        <v>71</v>
      </c>
      <c r="AH363" s="19"/>
      <c r="AI363" s="19" t="s">
        <v>71</v>
      </c>
      <c r="AJ363" s="19"/>
      <c r="AK363" s="19" t="s">
        <v>71</v>
      </c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 t="s">
        <v>71</v>
      </c>
      <c r="CF363" s="19"/>
      <c r="CG363" s="19" t="s">
        <v>71</v>
      </c>
      <c r="CH363" s="19"/>
      <c r="CI363" s="19" t="s">
        <v>71</v>
      </c>
      <c r="CJ363" s="19"/>
      <c r="CK363" s="19" t="s">
        <v>71</v>
      </c>
      <c r="CL363" s="19"/>
      <c r="CM363" s="19"/>
      <c r="CN363" s="19"/>
      <c r="CO363" s="19"/>
      <c r="CP363" s="19"/>
      <c r="CQ363" s="19"/>
      <c r="CR363" s="19"/>
      <c r="CS363" s="19"/>
      <c r="CT363" s="19"/>
      <c r="CU363" s="11" t="e">
        <f>IF(SUM(E363,G363,I363,K363,M363,O363,Q363,S363,U363,W363,Y363,AA363,AC363,AE363,AG363,AI363,AK363,AM363,AO363,AQ363,#REF!)&gt;0,"Sí","No")</f>
        <v>#REF!</v>
      </c>
      <c r="CV363" s="109" t="e">
        <f>IF($CU363="Sí",_xlfn.TEXTJOIN(", ",TRUE,IF(N(E363)&gt;0,E$4,""),IF(N(G363)&gt;0,G$4,""),IF(N(I363)&gt;0,I$4,""),IF(N(K363)&gt;0,K$4,""),IF(N(M363)&gt;0,M$4,""),IF(N(O363)&gt;0,O$4,""),IF(N(Q363)&gt;0,Q$4,""),IF(N(S363)&gt;0,S$4,""),IF(N(U363)&gt;0,U$4,""),IF(N(W363)&gt;0,W$4,""),IF(N(Y363)&gt;0,Y$4,""),IF(N(AA363)&gt;0,AA$4,""),IF(N(AC363)&gt;0,AC$4,""),IF(N(AE363)&gt;0,AE$4,""),IF(N(AG363)&gt;0,AG$4,""),IF(N(AI363)&gt;0,AI$4,""),IF(N(AK363)&gt;0,AK$4,""),IF(N(AM363)&gt;0,AM$4,""),IF(N(AO363)&gt;0,AO$4,""),IF(N(AQ363)&gt;0,AQ$4,""),IF(N(#REF!)&gt;0,#REF!,"")),"")</f>
        <v>#REF!</v>
      </c>
      <c r="CW363" s="11"/>
      <c r="CX363" s="11" t="e">
        <f t="shared" si="22"/>
        <v>#REF!</v>
      </c>
      <c r="CY363" s="12"/>
      <c r="CZ363" s="68"/>
    </row>
    <row r="364" spans="1:104" ht="18" customHeight="1" x14ac:dyDescent="0.3">
      <c r="A364" s="150"/>
      <c r="B364" s="43"/>
      <c r="C364" s="12">
        <v>46382</v>
      </c>
      <c r="D364" s="20">
        <f t="shared" si="21"/>
        <v>0</v>
      </c>
      <c r="E364" s="20"/>
      <c r="F364" s="20"/>
      <c r="G364" s="20"/>
      <c r="H364" s="20"/>
      <c r="I364" s="20"/>
      <c r="J364" s="20"/>
      <c r="K364" s="20"/>
      <c r="L364" s="20"/>
      <c r="M364" s="19" t="s">
        <v>71</v>
      </c>
      <c r="N364" s="19"/>
      <c r="O364" s="19" t="s">
        <v>71</v>
      </c>
      <c r="P364" s="19"/>
      <c r="Q364" s="19" t="s">
        <v>71</v>
      </c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 t="s">
        <v>71</v>
      </c>
      <c r="AH364" s="19"/>
      <c r="AI364" s="19" t="s">
        <v>71</v>
      </c>
      <c r="AJ364" s="19"/>
      <c r="AK364" s="19" t="s">
        <v>71</v>
      </c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 t="s">
        <v>71</v>
      </c>
      <c r="CF364" s="19"/>
      <c r="CG364" s="19" t="s">
        <v>71</v>
      </c>
      <c r="CH364" s="19"/>
      <c r="CI364" s="19" t="s">
        <v>71</v>
      </c>
      <c r="CJ364" s="19"/>
      <c r="CK364" s="19" t="s">
        <v>71</v>
      </c>
      <c r="CL364" s="19"/>
      <c r="CM364" s="19"/>
      <c r="CN364" s="19"/>
      <c r="CO364" s="19"/>
      <c r="CP364" s="19"/>
      <c r="CQ364" s="19"/>
      <c r="CR364" s="19"/>
      <c r="CS364" s="19"/>
      <c r="CT364" s="19"/>
      <c r="CU364" s="11" t="e">
        <f>IF(SUM(E364,G364,I364,K364,M364,O364,Q364,S364,U364,W364,Y364,AA364,AC364,AE364,AG364,AI364,AK364,AM364,AO364,AQ364,#REF!)&gt;0,"Sí","No")</f>
        <v>#REF!</v>
      </c>
      <c r="CV364" s="92" t="e">
        <f>IF($CU364="Sí",_xlfn.TEXTJOIN(", ",TRUE,IF(N(E364)&gt;0,E$4,""),IF(N(G364)&gt;0,G$4,""),IF(N(I364)&gt;0,I$4,""),IF(N(K364)&gt;0,K$4,""),IF(N(M364)&gt;0,M$4,""),IF(N(O364)&gt;0,O$4,""),IF(N(Q364)&gt;0,Q$4,""),IF(N(S364)&gt;0,S$4,""),IF(N(U364)&gt;0,U$4,""),IF(N(W364)&gt;0,W$4,""),IF(N(Y364)&gt;0,Y$4,""),IF(N(AA364)&gt;0,AA$4,""),IF(N(AC364)&gt;0,AC$4,""),IF(N(AE364)&gt;0,AE$4,""),IF(N(AG364)&gt;0,AG$4,""),IF(N(AI364)&gt;0,AI$4,""),IF(N(AK364)&gt;0,AK$4,""),IF(N(AM364)&gt;0,AM$4,""),IF(N(AO364)&gt;0,AO$4,""),IF(N(AQ364)&gt;0,AQ$4,""),IF(N(#REF!)&gt;0,#REF!,"")),"")</f>
        <v>#REF!</v>
      </c>
      <c r="CW364" s="11"/>
      <c r="CX364" s="11" t="e">
        <f t="shared" si="22"/>
        <v>#REF!</v>
      </c>
      <c r="CY364" s="12"/>
      <c r="CZ364" s="68"/>
    </row>
    <row r="365" spans="1:104" ht="18" customHeight="1" x14ac:dyDescent="0.3">
      <c r="A365" s="150"/>
      <c r="B365" s="43"/>
      <c r="C365" s="12">
        <v>46383</v>
      </c>
      <c r="D365" s="20">
        <f t="shared" si="21"/>
        <v>0</v>
      </c>
      <c r="E365" s="20"/>
      <c r="F365" s="20"/>
      <c r="G365" s="20"/>
      <c r="H365" s="20"/>
      <c r="I365" s="20"/>
      <c r="J365" s="20"/>
      <c r="K365" s="20"/>
      <c r="L365" s="20"/>
      <c r="M365" s="19" t="s">
        <v>71</v>
      </c>
      <c r="N365" s="19"/>
      <c r="O365" s="19" t="s">
        <v>71</v>
      </c>
      <c r="P365" s="19"/>
      <c r="Q365" s="19" t="s">
        <v>71</v>
      </c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 t="s">
        <v>71</v>
      </c>
      <c r="AH365" s="19"/>
      <c r="AI365" s="19" t="s">
        <v>71</v>
      </c>
      <c r="AJ365" s="19"/>
      <c r="AK365" s="19" t="s">
        <v>71</v>
      </c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>
        <v>10</v>
      </c>
      <c r="CF365" s="19">
        <v>20</v>
      </c>
      <c r="CG365" s="19">
        <v>10</v>
      </c>
      <c r="CH365" s="19">
        <v>20</v>
      </c>
      <c r="CI365" s="19">
        <v>10</v>
      </c>
      <c r="CJ365" s="19">
        <v>20</v>
      </c>
      <c r="CK365" s="19">
        <v>10</v>
      </c>
      <c r="CL365" s="19">
        <v>20</v>
      </c>
      <c r="CM365" s="19"/>
      <c r="CN365" s="19"/>
      <c r="CO365" s="19"/>
      <c r="CP365" s="19"/>
      <c r="CQ365" s="19"/>
      <c r="CR365" s="19"/>
      <c r="CS365" s="19"/>
      <c r="CT365" s="19"/>
      <c r="CU365" s="11" t="e">
        <f>IF(SUM(E365,G365,I365,K365,M365,O365,Q365,S365,U365,W365,Y365,AA365,AC365,AE365,AG365,AI365,AK365,AM365,AO365,AQ365,#REF!)&gt;0,"Sí","No")</f>
        <v>#REF!</v>
      </c>
      <c r="CV365" s="92" t="e">
        <f>IF($CU365="Sí",_xlfn.TEXTJOIN(", ",TRUE,IF(N(E365)&gt;0,E$4,""),IF(N(G365)&gt;0,G$4,""),IF(N(I365)&gt;0,I$4,""),IF(N(K365)&gt;0,K$4,""),IF(N(M365)&gt;0,M$4,""),IF(N(O365)&gt;0,O$4,""),IF(N(Q365)&gt;0,Q$4,""),IF(N(S365)&gt;0,S$4,""),IF(N(U365)&gt;0,U$4,""),IF(N(W365)&gt;0,W$4,""),IF(N(Y365)&gt;0,Y$4,""),IF(N(AA365)&gt;0,AA$4,""),IF(N(AC365)&gt;0,AC$4,""),IF(N(AE365)&gt;0,AE$4,""),IF(N(AG365)&gt;0,AG$4,""),IF(N(AI365)&gt;0,AI$4,""),IF(N(AK365)&gt;0,AK$4,""),IF(N(AM365)&gt;0,AM$4,""),IF(N(AO365)&gt;0,AO$4,""),IF(N(AQ365)&gt;0,AQ$4,""),IF(N(#REF!)&gt;0,#REF!,"")),"")</f>
        <v>#REF!</v>
      </c>
      <c r="CW365" s="11"/>
      <c r="CX365" s="11" t="e">
        <f t="shared" si="22"/>
        <v>#REF!</v>
      </c>
      <c r="CY365" s="12"/>
      <c r="CZ365" s="68"/>
    </row>
    <row r="366" spans="1:104" ht="18" customHeight="1" x14ac:dyDescent="0.3">
      <c r="A366" s="150"/>
      <c r="B366" s="43"/>
      <c r="C366" s="12">
        <v>46384</v>
      </c>
      <c r="D366" s="20">
        <f t="shared" si="21"/>
        <v>0</v>
      </c>
      <c r="E366" s="20"/>
      <c r="F366" s="20"/>
      <c r="G366" s="20"/>
      <c r="H366" s="20"/>
      <c r="I366" s="20"/>
      <c r="J366" s="20"/>
      <c r="K366" s="20"/>
      <c r="L366" s="20"/>
      <c r="M366" s="19" t="s">
        <v>71</v>
      </c>
      <c r="N366" s="19"/>
      <c r="O366" s="19" t="s">
        <v>71</v>
      </c>
      <c r="P366" s="19"/>
      <c r="Q366" s="19" t="s">
        <v>71</v>
      </c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 t="s">
        <v>71</v>
      </c>
      <c r="AH366" s="19"/>
      <c r="AI366" s="19" t="s">
        <v>71</v>
      </c>
      <c r="AJ366" s="19"/>
      <c r="AK366" s="19" t="s">
        <v>71</v>
      </c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 t="s">
        <v>71</v>
      </c>
      <c r="CF366" s="19"/>
      <c r="CG366" s="19" t="s">
        <v>71</v>
      </c>
      <c r="CH366" s="19"/>
      <c r="CI366" s="19" t="s">
        <v>71</v>
      </c>
      <c r="CJ366" s="19"/>
      <c r="CK366" s="19" t="s">
        <v>71</v>
      </c>
      <c r="CL366" s="19"/>
      <c r="CM366" s="19">
        <v>10</v>
      </c>
      <c r="CN366" s="19">
        <v>20</v>
      </c>
      <c r="CO366" s="19">
        <v>10</v>
      </c>
      <c r="CP366" s="19">
        <v>20</v>
      </c>
      <c r="CQ366" s="19">
        <v>10</v>
      </c>
      <c r="CR366" s="19">
        <v>20</v>
      </c>
      <c r="CS366" s="19">
        <v>10</v>
      </c>
      <c r="CT366" s="19">
        <v>20</v>
      </c>
      <c r="CU366" s="11" t="e">
        <f>IF(SUM(E366,G366,I366,K366,M366,O366,Q366,S366,U366,W366,Y366,AA366,AC366,AE366,AG366,AI366,AK366,AM366,AO366,AQ366,#REF!)&gt;0,"Sí","No")</f>
        <v>#REF!</v>
      </c>
      <c r="CV366" s="92" t="e">
        <f>IF($CU366="Sí",_xlfn.TEXTJOIN(", ",TRUE,IF(N(E366)&gt;0,E$4,""),IF(N(G366)&gt;0,G$4,""),IF(N(I366)&gt;0,I$4,""),IF(N(K366)&gt;0,K$4,""),IF(N(M366)&gt;0,M$4,""),IF(N(O366)&gt;0,O$4,""),IF(N(Q366)&gt;0,Q$4,""),IF(N(S366)&gt;0,S$4,""),IF(N(U366)&gt;0,U$4,""),IF(N(W366)&gt;0,W$4,""),IF(N(Y366)&gt;0,Y$4,""),IF(N(AA366)&gt;0,AA$4,""),IF(N(AC366)&gt;0,AC$4,""),IF(N(AE366)&gt;0,AE$4,""),IF(N(AG366)&gt;0,AG$4,""),IF(N(AI366)&gt;0,AI$4,""),IF(N(AK366)&gt;0,AK$4,""),IF(N(AM366)&gt;0,AM$4,""),IF(N(AO366)&gt;0,AO$4,""),IF(N(AQ366)&gt;0,AQ$4,""),IF(N(#REF!)&gt;0,#REF!,"")),"")</f>
        <v>#REF!</v>
      </c>
      <c r="CW366" s="11"/>
      <c r="CX366" s="11" t="e">
        <f t="shared" si="22"/>
        <v>#REF!</v>
      </c>
      <c r="CY366" s="12"/>
      <c r="CZ366" s="68"/>
    </row>
    <row r="367" spans="1:104" ht="18" customHeight="1" x14ac:dyDescent="0.3">
      <c r="A367" s="150"/>
      <c r="B367" s="43"/>
      <c r="C367" s="12">
        <v>46385</v>
      </c>
      <c r="D367" s="20">
        <f t="shared" si="21"/>
        <v>0</v>
      </c>
      <c r="E367" s="20"/>
      <c r="F367" s="20"/>
      <c r="G367" s="20"/>
      <c r="H367" s="20"/>
      <c r="I367" s="20"/>
      <c r="J367" s="20"/>
      <c r="K367" s="20"/>
      <c r="L367" s="20"/>
      <c r="M367" s="19" t="s">
        <v>71</v>
      </c>
      <c r="N367" s="19"/>
      <c r="O367" s="19" t="s">
        <v>71</v>
      </c>
      <c r="P367" s="19"/>
      <c r="Q367" s="19" t="s">
        <v>71</v>
      </c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 t="s">
        <v>71</v>
      </c>
      <c r="AH367" s="19"/>
      <c r="AI367" s="19" t="s">
        <v>71</v>
      </c>
      <c r="AJ367" s="19"/>
      <c r="AK367" s="19" t="s">
        <v>71</v>
      </c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>
        <v>12</v>
      </c>
      <c r="BX367" s="19">
        <v>24</v>
      </c>
      <c r="BY367" s="19">
        <v>12</v>
      </c>
      <c r="BZ367" s="19">
        <v>24</v>
      </c>
      <c r="CA367" s="19">
        <v>12</v>
      </c>
      <c r="CB367" s="19">
        <v>24</v>
      </c>
      <c r="CC367" s="19">
        <v>12</v>
      </c>
      <c r="CD367" s="19">
        <v>24</v>
      </c>
      <c r="CE367" s="19" t="s">
        <v>71</v>
      </c>
      <c r="CF367" s="19"/>
      <c r="CG367" s="19" t="s">
        <v>71</v>
      </c>
      <c r="CH367" s="19"/>
      <c r="CI367" s="19" t="s">
        <v>71</v>
      </c>
      <c r="CJ367" s="19"/>
      <c r="CK367" s="19" t="s">
        <v>71</v>
      </c>
      <c r="CL367" s="19"/>
      <c r="CM367" s="19"/>
      <c r="CN367" s="19"/>
      <c r="CO367" s="19"/>
      <c r="CP367" s="19"/>
      <c r="CQ367" s="19"/>
      <c r="CR367" s="19"/>
      <c r="CS367" s="19"/>
      <c r="CT367" s="19"/>
      <c r="CU367" s="11" t="e">
        <f>IF(SUM(E367,G367,I367,K367,M367,O367,Q367,S367,U367,W367,Y367,AA367,AC367,AE367,AG367,AI367,AK367,AM367,AO367,AQ367,#REF!)&gt;0,"Sí","No")</f>
        <v>#REF!</v>
      </c>
      <c r="CV367" s="92" t="e">
        <f>IF($CU367="Sí",_xlfn.TEXTJOIN(", ",TRUE,IF(N(E367)&gt;0,E$4,""),IF(N(G367)&gt;0,G$4,""),IF(N(I367)&gt;0,I$4,""),IF(N(K367)&gt;0,K$4,""),IF(N(M367)&gt;0,M$4,""),IF(N(O367)&gt;0,O$4,""),IF(N(Q367)&gt;0,Q$4,""),IF(N(S367)&gt;0,S$4,""),IF(N(U367)&gt;0,U$4,""),IF(N(W367)&gt;0,W$4,""),IF(N(Y367)&gt;0,Y$4,""),IF(N(AA367)&gt;0,AA$4,""),IF(N(AC367)&gt;0,AC$4,""),IF(N(AE367)&gt;0,AE$4,""),IF(N(AG367)&gt;0,AG$4,""),IF(N(AI367)&gt;0,AI$4,""),IF(N(AK367)&gt;0,AK$4,""),IF(N(AM367)&gt;0,AM$4,""),IF(N(AO367)&gt;0,AO$4,""),IF(N(AQ367)&gt;0,AQ$4,""),IF(N(#REF!)&gt;0,#REF!,"")),"")</f>
        <v>#REF!</v>
      </c>
      <c r="CW367" s="11"/>
      <c r="CX367" s="11" t="e">
        <f t="shared" si="22"/>
        <v>#REF!</v>
      </c>
      <c r="CY367" s="12"/>
      <c r="CZ367" s="68"/>
    </row>
    <row r="368" spans="1:104" ht="18" customHeight="1" x14ac:dyDescent="0.3">
      <c r="A368" s="150"/>
      <c r="B368" s="43"/>
      <c r="C368" s="12">
        <v>46386</v>
      </c>
      <c r="D368" s="20">
        <f t="shared" si="21"/>
        <v>0</v>
      </c>
      <c r="E368" s="20"/>
      <c r="F368" s="20"/>
      <c r="G368" s="20"/>
      <c r="H368" s="20"/>
      <c r="I368" s="20"/>
      <c r="J368" s="20"/>
      <c r="K368" s="20"/>
      <c r="L368" s="20"/>
      <c r="M368" s="19" t="s">
        <v>71</v>
      </c>
      <c r="N368" s="19"/>
      <c r="O368" s="19" t="s">
        <v>71</v>
      </c>
      <c r="P368" s="19"/>
      <c r="Q368" s="19" t="s">
        <v>71</v>
      </c>
      <c r="R368" s="19"/>
      <c r="S368" s="19" t="s">
        <v>71</v>
      </c>
      <c r="T368" s="19"/>
      <c r="U368" s="19" t="s">
        <v>71</v>
      </c>
      <c r="V368" s="19"/>
      <c r="W368" s="19" t="s">
        <v>71</v>
      </c>
      <c r="X368" s="19"/>
      <c r="Y368" s="19"/>
      <c r="Z368" s="19"/>
      <c r="AA368" s="19"/>
      <c r="AB368" s="19"/>
      <c r="AC368" s="19"/>
      <c r="AD368" s="19"/>
      <c r="AE368" s="19"/>
      <c r="AF368" s="19"/>
      <c r="AG368" s="19" t="s">
        <v>71</v>
      </c>
      <c r="AH368" s="19"/>
      <c r="AI368" s="19" t="s">
        <v>71</v>
      </c>
      <c r="AJ368" s="19"/>
      <c r="AK368" s="19" t="s">
        <v>71</v>
      </c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 t="s">
        <v>71</v>
      </c>
      <c r="CF368" s="19"/>
      <c r="CG368" s="19" t="s">
        <v>71</v>
      </c>
      <c r="CH368" s="19"/>
      <c r="CI368" s="19" t="s">
        <v>71</v>
      </c>
      <c r="CJ368" s="19"/>
      <c r="CK368" s="19" t="s">
        <v>71</v>
      </c>
      <c r="CL368" s="19"/>
      <c r="CM368" s="19"/>
      <c r="CN368" s="19"/>
      <c r="CO368" s="19"/>
      <c r="CP368" s="19"/>
      <c r="CQ368" s="19"/>
      <c r="CR368" s="19"/>
      <c r="CS368" s="19"/>
      <c r="CT368" s="19"/>
      <c r="CU368" s="11" t="e">
        <f>IF(SUM(E368,G368,I368,K368,M368,O368,Q368,S368,U368,W368,Y368,AA368,AC368,AE368,AG368,AI368,AK368,AM368,AO368,AQ368,#REF!)&gt;0,"Sí","No")</f>
        <v>#REF!</v>
      </c>
      <c r="CV368" s="22" t="e">
        <f>IF($CU368="Sí",_xlfn.TEXTJOIN(", ",TRUE,IF(N(E368)&gt;0,E$4,""),IF(N(G368)&gt;0,G$4,""),IF(N(I368)&gt;0,I$4,""),IF(N(K368)&gt;0,K$4,""),IF(N(M368)&gt;0,M$4,""),IF(N(O368)&gt;0,O$4,""),IF(N(Q368)&gt;0,Q$4,""),IF(N(S368)&gt;0,S$4,""),IF(N(U368)&gt;0,U$4,""),IF(N(W368)&gt;0,W$4,""),IF(N(Y368)&gt;0,Y$4,""),IF(N(AA368)&gt;0,AA$4,""),IF(N(AC368)&gt;0,AC$4,""),IF(N(AE368)&gt;0,AE$4,""),IF(N(AG368)&gt;0,AG$4,""),IF(N(AI368)&gt;0,AI$4,""),IF(N(AK368)&gt;0,AK$4,""),IF(N(AM368)&gt;0,AM$4,""),IF(N(AO368)&gt;0,AO$4,""),IF(N(AQ368)&gt;0,AQ$4,""),IF(N(#REF!)&gt;0,#REF!,"")),"")</f>
        <v>#REF!</v>
      </c>
      <c r="CW368" s="11"/>
      <c r="CX368" s="11" t="e">
        <f t="shared" si="22"/>
        <v>#REF!</v>
      </c>
      <c r="CY368" s="12"/>
      <c r="CZ368" s="68"/>
    </row>
    <row r="369" spans="1:104" ht="18" customHeight="1" thickBot="1" x14ac:dyDescent="0.35">
      <c r="A369" s="151"/>
      <c r="B369" s="44"/>
      <c r="C369" s="30">
        <v>46387</v>
      </c>
      <c r="D369" s="31">
        <f t="shared" si="21"/>
        <v>0</v>
      </c>
      <c r="E369" s="31"/>
      <c r="F369" s="31"/>
      <c r="G369" s="31"/>
      <c r="H369" s="31"/>
      <c r="I369" s="31"/>
      <c r="J369" s="31"/>
      <c r="K369" s="31"/>
      <c r="L369" s="31"/>
      <c r="M369" s="32" t="s">
        <v>71</v>
      </c>
      <c r="N369" s="32"/>
      <c r="O369" s="32" t="s">
        <v>71</v>
      </c>
      <c r="P369" s="32"/>
      <c r="Q369" s="32" t="s">
        <v>71</v>
      </c>
      <c r="R369" s="32"/>
      <c r="S369" s="32" t="s">
        <v>71</v>
      </c>
      <c r="T369" s="32"/>
      <c r="U369" s="32" t="s">
        <v>71</v>
      </c>
      <c r="V369" s="32"/>
      <c r="W369" s="32" t="s">
        <v>71</v>
      </c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 t="s">
        <v>71</v>
      </c>
      <c r="CF369" s="32"/>
      <c r="CG369" s="32" t="s">
        <v>71</v>
      </c>
      <c r="CH369" s="32"/>
      <c r="CI369" s="32" t="s">
        <v>71</v>
      </c>
      <c r="CJ369" s="32"/>
      <c r="CK369" s="32" t="s">
        <v>71</v>
      </c>
      <c r="CL369" s="32"/>
      <c r="CM369" s="32"/>
      <c r="CN369" s="32"/>
      <c r="CO369" s="32"/>
      <c r="CP369" s="32"/>
      <c r="CQ369" s="32"/>
      <c r="CR369" s="32"/>
      <c r="CS369" s="32"/>
      <c r="CT369" s="32"/>
      <c r="CU369" s="70" t="e">
        <f>IF(SUM(E369,G369,I369,K369,M369,O369,Q369,S369,U369,W369,Y369,AA369,AC369,AE369,AG369,AI369,AK369,AM369,AO369,AQ369,#REF!)&gt;0,"Sí","No")</f>
        <v>#REF!</v>
      </c>
      <c r="CV369" s="72" t="e">
        <f>IF($CU369="Sí",_xlfn.TEXTJOIN(", ",TRUE,IF(N(E369)&gt;0,E$4,""),IF(N(G369)&gt;0,G$4,""),IF(N(I369)&gt;0,I$4,""),IF(N(K369)&gt;0,K$4,""),IF(N(M369)&gt;0,M$4,""),IF(N(O369)&gt;0,O$4,""),IF(N(Q369)&gt;0,Q$4,""),IF(N(S369)&gt;0,S$4,""),IF(N(U369)&gt;0,U$4,""),IF(N(W369)&gt;0,W$4,""),IF(N(Y369)&gt;0,Y$4,""),IF(N(AA369)&gt;0,AA$4,""),IF(N(AC369)&gt;0,AC$4,""),IF(N(AE369)&gt;0,AE$4,""),IF(N(AG369)&gt;0,AG$4,""),IF(N(AI369)&gt;0,AI$4,""),IF(N(AK369)&gt;0,AK$4,""),IF(N(AM369)&gt;0,AM$4,""),IF(N(AO369)&gt;0,AO$4,""),IF(N(AQ369)&gt;0,AQ$4,""),IF(N(#REF!)&gt;0,#REF!,"")),"")</f>
        <v>#REF!</v>
      </c>
      <c r="CW369" s="70"/>
      <c r="CX369" s="70" t="e">
        <f t="shared" si="22"/>
        <v>#REF!</v>
      </c>
      <c r="CY369" s="30"/>
      <c r="CZ369" s="73"/>
    </row>
    <row r="370" spans="1:104" x14ac:dyDescent="0.3">
      <c r="Q370" s="4"/>
      <c r="R370" s="4"/>
      <c r="S370" s="4"/>
      <c r="T370" s="4"/>
      <c r="U370" s="4"/>
      <c r="V370" s="4"/>
      <c r="W370" s="4"/>
      <c r="X370" s="4"/>
    </row>
    <row r="371" spans="1:104" x14ac:dyDescent="0.3">
      <c r="Q371" s="4"/>
      <c r="R371" s="4"/>
      <c r="S371" s="4"/>
      <c r="T371" s="4"/>
      <c r="U371" s="4"/>
      <c r="V371" s="4"/>
      <c r="W371" s="4"/>
      <c r="X371" s="4"/>
    </row>
    <row r="372" spans="1:104" x14ac:dyDescent="0.3">
      <c r="Q372" s="4"/>
      <c r="R372" s="4"/>
      <c r="S372" s="4"/>
      <c r="T372" s="4"/>
      <c r="U372" s="4"/>
      <c r="V372" s="4"/>
      <c r="W372" s="4"/>
      <c r="X372" s="4"/>
    </row>
    <row r="373" spans="1:104" x14ac:dyDescent="0.3">
      <c r="Q373" s="4"/>
      <c r="R373" s="4"/>
      <c r="S373" s="4"/>
      <c r="T373" s="4"/>
      <c r="U373" s="4"/>
      <c r="V373" s="4"/>
      <c r="W373" s="4"/>
      <c r="X373" s="4"/>
    </row>
    <row r="374" spans="1:104" x14ac:dyDescent="0.3">
      <c r="Q374" s="4"/>
      <c r="R374" s="4"/>
      <c r="S374" s="4"/>
      <c r="T374" s="4"/>
      <c r="U374" s="4"/>
      <c r="V374" s="4"/>
      <c r="W374" s="4"/>
      <c r="X374" s="4"/>
    </row>
    <row r="375" spans="1:104" x14ac:dyDescent="0.3">
      <c r="Q375" s="4"/>
      <c r="R375" s="4"/>
      <c r="S375" s="4"/>
      <c r="T375" s="4"/>
      <c r="U375" s="4"/>
      <c r="V375" s="4"/>
      <c r="W375" s="4"/>
      <c r="X375" s="4"/>
    </row>
    <row r="376" spans="1:104" x14ac:dyDescent="0.3">
      <c r="Q376" s="4"/>
      <c r="R376" s="4"/>
      <c r="S376" s="4"/>
      <c r="T376" s="4"/>
      <c r="U376" s="4"/>
      <c r="V376" s="4"/>
      <c r="W376" s="4"/>
      <c r="X376" s="4"/>
    </row>
    <row r="377" spans="1:104" x14ac:dyDescent="0.3">
      <c r="Q377" s="4"/>
      <c r="R377" s="4"/>
      <c r="S377" s="4"/>
      <c r="T377" s="4"/>
      <c r="U377" s="4"/>
      <c r="V377" s="4"/>
      <c r="W377" s="4"/>
      <c r="X377" s="4"/>
    </row>
    <row r="378" spans="1:104" x14ac:dyDescent="0.3">
      <c r="Q378" s="4"/>
      <c r="R378" s="4"/>
      <c r="S378" s="4"/>
      <c r="T378" s="4"/>
      <c r="U378" s="4"/>
      <c r="V378" s="4"/>
      <c r="W378" s="4"/>
      <c r="X378" s="4"/>
    </row>
    <row r="379" spans="1:104" x14ac:dyDescent="0.3">
      <c r="Q379" s="4"/>
      <c r="R379" s="4"/>
      <c r="S379" s="4"/>
      <c r="T379" s="4"/>
      <c r="U379" s="4"/>
      <c r="V379" s="4"/>
      <c r="W379" s="4"/>
      <c r="X379" s="4"/>
    </row>
    <row r="380" spans="1:104" x14ac:dyDescent="0.3">
      <c r="Q380" s="4"/>
      <c r="R380" s="4"/>
      <c r="S380" s="4"/>
      <c r="T380" s="4"/>
      <c r="U380" s="4"/>
      <c r="V380" s="4"/>
      <c r="W380" s="4"/>
      <c r="X380" s="4"/>
    </row>
    <row r="381" spans="1:104" x14ac:dyDescent="0.3">
      <c r="Q381" s="4"/>
      <c r="R381" s="4"/>
      <c r="S381" s="4"/>
      <c r="T381" s="4"/>
      <c r="U381" s="4"/>
      <c r="V381" s="4"/>
      <c r="W381" s="4"/>
      <c r="X381" s="4"/>
    </row>
    <row r="382" spans="1:104" x14ac:dyDescent="0.3">
      <c r="Q382" s="4"/>
      <c r="R382" s="4"/>
      <c r="S382" s="4"/>
      <c r="T382" s="4"/>
      <c r="U382" s="4"/>
      <c r="V382" s="4"/>
      <c r="W382" s="4"/>
      <c r="X382" s="4"/>
    </row>
    <row r="383" spans="1:104" x14ac:dyDescent="0.3">
      <c r="Q383" s="4"/>
      <c r="R383" s="4"/>
      <c r="S383" s="4"/>
      <c r="T383" s="4"/>
      <c r="U383" s="4"/>
      <c r="V383" s="4"/>
      <c r="W383" s="4"/>
      <c r="X383" s="4"/>
    </row>
    <row r="384" spans="1:104" x14ac:dyDescent="0.3">
      <c r="Q384" s="4"/>
      <c r="R384" s="4"/>
      <c r="S384" s="4"/>
      <c r="T384" s="4"/>
      <c r="U384" s="4"/>
      <c r="V384" s="4"/>
      <c r="W384" s="4"/>
      <c r="X384" s="4"/>
    </row>
    <row r="385" spans="17:24" x14ac:dyDescent="0.3">
      <c r="Q385" s="4"/>
      <c r="R385" s="4"/>
      <c r="S385" s="4"/>
      <c r="T385" s="4"/>
      <c r="U385" s="4"/>
      <c r="V385" s="4"/>
      <c r="W385" s="4"/>
      <c r="X385" s="4"/>
    </row>
    <row r="386" spans="17:24" x14ac:dyDescent="0.3">
      <c r="Q386" s="4"/>
      <c r="R386" s="4"/>
      <c r="S386" s="4"/>
      <c r="T386" s="4"/>
      <c r="U386" s="4"/>
      <c r="V386" s="4"/>
      <c r="W386" s="4"/>
      <c r="X386" s="4"/>
    </row>
    <row r="387" spans="17:24" x14ac:dyDescent="0.3">
      <c r="Q387" s="4"/>
      <c r="R387" s="4"/>
      <c r="S387" s="4"/>
      <c r="T387" s="4"/>
      <c r="U387" s="4"/>
      <c r="V387" s="4"/>
      <c r="W387" s="4"/>
      <c r="X387" s="4"/>
    </row>
    <row r="388" spans="17:24" x14ac:dyDescent="0.3">
      <c r="Q388" s="4"/>
      <c r="R388" s="4"/>
      <c r="S388" s="4"/>
      <c r="T388" s="4"/>
      <c r="U388" s="4"/>
      <c r="V388" s="4"/>
      <c r="W388" s="4"/>
      <c r="X388" s="4"/>
    </row>
    <row r="389" spans="17:24" x14ac:dyDescent="0.3">
      <c r="Q389" s="4"/>
      <c r="R389" s="4"/>
      <c r="S389" s="4"/>
      <c r="T389" s="4"/>
      <c r="U389" s="4"/>
      <c r="V389" s="4"/>
      <c r="W389" s="4"/>
      <c r="X389" s="4"/>
    </row>
    <row r="390" spans="17:24" x14ac:dyDescent="0.3">
      <c r="Q390" s="4"/>
      <c r="R390" s="4"/>
      <c r="S390" s="4"/>
      <c r="T390" s="4"/>
      <c r="U390" s="4"/>
      <c r="V390" s="4"/>
      <c r="W390" s="4"/>
      <c r="X390" s="4"/>
    </row>
    <row r="391" spans="17:24" x14ac:dyDescent="0.3">
      <c r="Q391" s="4"/>
      <c r="R391" s="4"/>
      <c r="S391" s="4"/>
      <c r="T391" s="4"/>
      <c r="U391" s="4"/>
      <c r="V391" s="4"/>
      <c r="W391" s="4"/>
      <c r="X391" s="4"/>
    </row>
    <row r="392" spans="17:24" x14ac:dyDescent="0.3">
      <c r="Q392" s="4"/>
      <c r="R392" s="4"/>
      <c r="S392" s="4"/>
      <c r="T392" s="4"/>
      <c r="U392" s="4"/>
      <c r="V392" s="4"/>
      <c r="W392" s="4"/>
      <c r="X392" s="4"/>
    </row>
    <row r="393" spans="17:24" x14ac:dyDescent="0.3">
      <c r="Q393" s="4"/>
      <c r="R393" s="4"/>
      <c r="S393" s="4"/>
      <c r="T393" s="4"/>
      <c r="U393" s="4"/>
      <c r="V393" s="4"/>
      <c r="W393" s="4"/>
      <c r="X393" s="4"/>
    </row>
    <row r="394" spans="17:24" x14ac:dyDescent="0.3">
      <c r="Q394" s="4"/>
      <c r="R394" s="4"/>
      <c r="S394" s="4"/>
      <c r="T394" s="4"/>
      <c r="U394" s="4"/>
      <c r="V394" s="4"/>
      <c r="W394" s="4"/>
      <c r="X394" s="4"/>
    </row>
    <row r="395" spans="17:24" x14ac:dyDescent="0.3">
      <c r="Q395" s="4"/>
      <c r="R395" s="4"/>
      <c r="S395" s="4"/>
      <c r="T395" s="4"/>
      <c r="U395" s="4"/>
      <c r="V395" s="4"/>
      <c r="W395" s="4"/>
      <c r="X395" s="4"/>
    </row>
    <row r="396" spans="17:24" x14ac:dyDescent="0.3">
      <c r="Q396" s="4"/>
      <c r="R396" s="4"/>
      <c r="S396" s="4"/>
      <c r="T396" s="4"/>
      <c r="U396" s="4"/>
      <c r="V396" s="4"/>
      <c r="W396" s="4"/>
      <c r="X396" s="4"/>
    </row>
    <row r="397" spans="17:24" x14ac:dyDescent="0.3">
      <c r="Q397" s="4"/>
      <c r="R397" s="4"/>
      <c r="S397" s="4"/>
      <c r="T397" s="4"/>
      <c r="U397" s="4"/>
      <c r="V397" s="4"/>
      <c r="W397" s="4"/>
      <c r="X397" s="4"/>
    </row>
    <row r="398" spans="17:24" x14ac:dyDescent="0.3">
      <c r="Q398" s="4"/>
      <c r="R398" s="4"/>
      <c r="S398" s="4"/>
      <c r="T398" s="4"/>
      <c r="U398" s="4"/>
      <c r="V398" s="4"/>
      <c r="W398" s="4"/>
      <c r="X398" s="4"/>
    </row>
    <row r="399" spans="17:24" x14ac:dyDescent="0.3">
      <c r="Q399" s="4"/>
      <c r="R399" s="4"/>
      <c r="S399" s="4"/>
      <c r="T399" s="4"/>
      <c r="U399" s="4"/>
      <c r="V399" s="4"/>
      <c r="W399" s="4"/>
      <c r="X399" s="4"/>
    </row>
    <row r="400" spans="17:24" x14ac:dyDescent="0.3">
      <c r="Q400" s="4"/>
      <c r="R400" s="4"/>
      <c r="S400" s="4"/>
      <c r="T400" s="4"/>
      <c r="U400" s="4"/>
      <c r="V400" s="4"/>
      <c r="W400" s="4"/>
      <c r="X400" s="4"/>
    </row>
    <row r="401" spans="17:24" x14ac:dyDescent="0.3">
      <c r="Q401" s="4"/>
      <c r="R401" s="4"/>
      <c r="S401" s="4"/>
      <c r="T401" s="4"/>
      <c r="U401" s="4"/>
      <c r="V401" s="4"/>
      <c r="W401" s="4"/>
      <c r="X401" s="4"/>
    </row>
    <row r="402" spans="17:24" x14ac:dyDescent="0.3">
      <c r="Q402" s="4"/>
      <c r="R402" s="4"/>
      <c r="S402" s="4"/>
      <c r="T402" s="4"/>
      <c r="U402" s="4"/>
      <c r="V402" s="4"/>
      <c r="W402" s="4"/>
      <c r="X402" s="4"/>
    </row>
    <row r="403" spans="17:24" x14ac:dyDescent="0.3">
      <c r="Q403" s="4"/>
      <c r="R403" s="4"/>
      <c r="S403" s="4"/>
      <c r="T403" s="4"/>
      <c r="U403" s="4"/>
      <c r="V403" s="4"/>
      <c r="W403" s="4"/>
      <c r="X403" s="4"/>
    </row>
    <row r="404" spans="17:24" x14ac:dyDescent="0.3">
      <c r="Q404" s="4"/>
      <c r="R404" s="4"/>
      <c r="S404" s="4"/>
      <c r="T404" s="4"/>
      <c r="U404" s="4"/>
      <c r="V404" s="4"/>
      <c r="W404" s="4"/>
      <c r="X404" s="4"/>
    </row>
    <row r="405" spans="17:24" x14ac:dyDescent="0.3">
      <c r="Q405" s="4"/>
      <c r="R405" s="4"/>
      <c r="S405" s="4"/>
      <c r="T405" s="4"/>
      <c r="U405" s="4"/>
      <c r="V405" s="4"/>
      <c r="W405" s="4"/>
      <c r="X405" s="4"/>
    </row>
    <row r="406" spans="17:24" x14ac:dyDescent="0.3">
      <c r="Q406" s="4"/>
      <c r="R406" s="4"/>
      <c r="S406" s="4"/>
      <c r="T406" s="4"/>
      <c r="U406" s="4"/>
      <c r="V406" s="4"/>
      <c r="W406" s="4"/>
      <c r="X406" s="4"/>
    </row>
    <row r="407" spans="17:24" x14ac:dyDescent="0.3">
      <c r="Q407" s="4"/>
      <c r="R407" s="4"/>
      <c r="S407" s="4"/>
      <c r="T407" s="4"/>
      <c r="U407" s="4"/>
      <c r="V407" s="4"/>
      <c r="W407" s="4"/>
      <c r="X407" s="4"/>
    </row>
    <row r="408" spans="17:24" x14ac:dyDescent="0.3">
      <c r="Q408" s="4"/>
      <c r="R408" s="4"/>
      <c r="S408" s="4"/>
      <c r="T408" s="4"/>
      <c r="U408" s="4"/>
      <c r="V408" s="4"/>
      <c r="W408" s="4"/>
      <c r="X408" s="4"/>
    </row>
    <row r="409" spans="17:24" x14ac:dyDescent="0.3">
      <c r="Q409" s="4"/>
      <c r="R409" s="4"/>
      <c r="S409" s="4"/>
      <c r="T409" s="4"/>
      <c r="U409" s="4"/>
      <c r="V409" s="4"/>
      <c r="W409" s="4"/>
      <c r="X409" s="4"/>
    </row>
    <row r="410" spans="17:24" x14ac:dyDescent="0.3">
      <c r="Q410" s="4"/>
      <c r="R410" s="4"/>
      <c r="S410" s="4"/>
      <c r="T410" s="4"/>
      <c r="U410" s="4"/>
      <c r="V410" s="4"/>
      <c r="W410" s="4"/>
      <c r="X410" s="4"/>
    </row>
    <row r="411" spans="17:24" x14ac:dyDescent="0.3">
      <c r="Q411" s="4"/>
      <c r="R411" s="4"/>
      <c r="S411" s="4"/>
      <c r="T411" s="4"/>
      <c r="U411" s="4"/>
      <c r="V411" s="4"/>
      <c r="W411" s="4"/>
      <c r="X411" s="4"/>
    </row>
    <row r="412" spans="17:24" x14ac:dyDescent="0.3">
      <c r="Q412" s="4"/>
      <c r="R412" s="4"/>
      <c r="S412" s="4"/>
      <c r="T412" s="4"/>
      <c r="U412" s="4"/>
      <c r="V412" s="4"/>
      <c r="W412" s="4"/>
      <c r="X412" s="4"/>
    </row>
    <row r="413" spans="17:24" x14ac:dyDescent="0.3">
      <c r="Q413" s="4"/>
      <c r="R413" s="4"/>
      <c r="S413" s="4"/>
      <c r="T413" s="4"/>
      <c r="U413" s="4"/>
      <c r="V413" s="4"/>
      <c r="W413" s="4"/>
      <c r="X413" s="4"/>
    </row>
    <row r="414" spans="17:24" x14ac:dyDescent="0.3">
      <c r="Q414" s="4"/>
      <c r="R414" s="4"/>
      <c r="S414" s="4"/>
      <c r="T414" s="4"/>
      <c r="U414" s="4"/>
      <c r="V414" s="4"/>
      <c r="W414" s="4"/>
      <c r="X414" s="4"/>
    </row>
    <row r="415" spans="17:24" x14ac:dyDescent="0.3">
      <c r="Q415" s="4"/>
      <c r="R415" s="4"/>
      <c r="S415" s="4"/>
      <c r="T415" s="4"/>
      <c r="U415" s="4"/>
      <c r="V415" s="4"/>
      <c r="W415" s="4"/>
      <c r="X415" s="4"/>
    </row>
    <row r="416" spans="17:24" x14ac:dyDescent="0.3">
      <c r="Q416" s="4"/>
      <c r="R416" s="4"/>
      <c r="S416" s="4"/>
      <c r="T416" s="4"/>
      <c r="U416" s="4"/>
      <c r="V416" s="4"/>
      <c r="W416" s="4"/>
      <c r="X416" s="4"/>
    </row>
    <row r="417" spans="17:24" x14ac:dyDescent="0.3">
      <c r="Q417" s="4"/>
      <c r="R417" s="4"/>
      <c r="S417" s="4"/>
      <c r="T417" s="4"/>
      <c r="U417" s="4"/>
      <c r="V417" s="4"/>
      <c r="W417" s="4"/>
      <c r="X417" s="4"/>
    </row>
    <row r="418" spans="17:24" x14ac:dyDescent="0.3">
      <c r="Q418" s="4"/>
      <c r="R418" s="4"/>
      <c r="S418" s="4"/>
      <c r="T418" s="4"/>
      <c r="U418" s="4"/>
      <c r="V418" s="4"/>
      <c r="W418" s="4"/>
      <c r="X418" s="4"/>
    </row>
    <row r="419" spans="17:24" x14ac:dyDescent="0.3">
      <c r="Q419" s="4"/>
      <c r="R419" s="4"/>
      <c r="S419" s="4"/>
      <c r="T419" s="4"/>
      <c r="U419" s="4"/>
      <c r="V419" s="4"/>
      <c r="W419" s="4"/>
      <c r="X419" s="4"/>
    </row>
    <row r="420" spans="17:24" x14ac:dyDescent="0.3">
      <c r="Q420" s="4"/>
      <c r="R420" s="4"/>
      <c r="S420" s="4"/>
      <c r="T420" s="4"/>
      <c r="U420" s="4"/>
      <c r="V420" s="4"/>
      <c r="W420" s="4"/>
      <c r="X420" s="4"/>
    </row>
    <row r="421" spans="17:24" x14ac:dyDescent="0.3">
      <c r="Q421" s="4"/>
      <c r="R421" s="4"/>
      <c r="S421" s="4"/>
      <c r="T421" s="4"/>
      <c r="U421" s="4"/>
      <c r="V421" s="4"/>
      <c r="W421" s="4"/>
      <c r="X421" s="4"/>
    </row>
    <row r="422" spans="17:24" x14ac:dyDescent="0.3">
      <c r="Q422" s="4"/>
      <c r="R422" s="4"/>
      <c r="S422" s="4"/>
      <c r="T422" s="4"/>
      <c r="U422" s="4"/>
      <c r="V422" s="4"/>
      <c r="W422" s="4"/>
      <c r="X422" s="4"/>
    </row>
    <row r="423" spans="17:24" x14ac:dyDescent="0.3">
      <c r="Q423" s="4"/>
      <c r="R423" s="4"/>
      <c r="S423" s="4"/>
      <c r="T423" s="4"/>
      <c r="U423" s="4"/>
      <c r="V423" s="4"/>
      <c r="W423" s="4"/>
      <c r="X423" s="4"/>
    </row>
    <row r="424" spans="17:24" x14ac:dyDescent="0.3">
      <c r="Q424" s="4"/>
      <c r="R424" s="4"/>
      <c r="S424" s="4"/>
      <c r="T424" s="4"/>
      <c r="U424" s="4"/>
      <c r="V424" s="4"/>
      <c r="W424" s="4"/>
      <c r="X424" s="4"/>
    </row>
    <row r="425" spans="17:24" x14ac:dyDescent="0.3">
      <c r="Q425" s="4"/>
      <c r="R425" s="4"/>
      <c r="S425" s="4"/>
      <c r="T425" s="4"/>
      <c r="U425" s="4"/>
      <c r="V425" s="4"/>
      <c r="W425" s="4"/>
      <c r="X425" s="4"/>
    </row>
    <row r="426" spans="17:24" x14ac:dyDescent="0.3">
      <c r="Q426" s="4"/>
      <c r="R426" s="4"/>
      <c r="S426" s="4"/>
      <c r="T426" s="4"/>
      <c r="U426" s="4"/>
      <c r="V426" s="4"/>
      <c r="W426" s="4"/>
      <c r="X426" s="4"/>
    </row>
    <row r="427" spans="17:24" x14ac:dyDescent="0.3">
      <c r="Q427" s="4"/>
      <c r="R427" s="4"/>
      <c r="S427" s="4"/>
      <c r="T427" s="4"/>
      <c r="U427" s="4"/>
      <c r="V427" s="4"/>
      <c r="W427" s="4"/>
      <c r="X427" s="4"/>
    </row>
    <row r="428" spans="17:24" x14ac:dyDescent="0.3">
      <c r="Q428" s="4"/>
      <c r="R428" s="4"/>
      <c r="S428" s="4"/>
      <c r="T428" s="4"/>
      <c r="U428" s="4"/>
      <c r="V428" s="4"/>
      <c r="W428" s="4"/>
      <c r="X428" s="4"/>
    </row>
    <row r="429" spans="17:24" x14ac:dyDescent="0.3">
      <c r="Q429" s="4"/>
      <c r="R429" s="4"/>
      <c r="S429" s="4"/>
      <c r="T429" s="4"/>
      <c r="U429" s="4"/>
      <c r="V429" s="4"/>
      <c r="W429" s="4"/>
      <c r="X429" s="4"/>
    </row>
    <row r="430" spans="17:24" x14ac:dyDescent="0.3">
      <c r="Q430" s="4"/>
      <c r="R430" s="4"/>
      <c r="S430" s="4"/>
      <c r="T430" s="4"/>
      <c r="U430" s="4"/>
      <c r="V430" s="4"/>
      <c r="W430" s="4"/>
      <c r="X430" s="4"/>
    </row>
    <row r="431" spans="17:24" x14ac:dyDescent="0.3">
      <c r="Q431" s="4"/>
      <c r="R431" s="4"/>
      <c r="S431" s="4"/>
      <c r="T431" s="4"/>
      <c r="U431" s="4"/>
      <c r="V431" s="4"/>
      <c r="W431" s="4"/>
      <c r="X431" s="4"/>
    </row>
    <row r="432" spans="17:24" x14ac:dyDescent="0.3">
      <c r="Q432" s="4"/>
      <c r="R432" s="4"/>
      <c r="S432" s="4"/>
      <c r="T432" s="4"/>
      <c r="U432" s="4"/>
      <c r="V432" s="4"/>
      <c r="W432" s="4"/>
      <c r="X432" s="4"/>
    </row>
    <row r="433" spans="17:24" x14ac:dyDescent="0.3">
      <c r="Q433" s="4"/>
      <c r="R433" s="4"/>
      <c r="S433" s="4"/>
      <c r="T433" s="4"/>
      <c r="U433" s="4"/>
      <c r="V433" s="4"/>
      <c r="W433" s="4"/>
      <c r="X433" s="4"/>
    </row>
    <row r="434" spans="17:24" x14ac:dyDescent="0.3">
      <c r="Q434" s="4"/>
      <c r="R434" s="4"/>
      <c r="S434" s="4"/>
      <c r="T434" s="4"/>
      <c r="U434" s="4"/>
      <c r="V434" s="4"/>
      <c r="W434" s="4"/>
      <c r="X434" s="4"/>
    </row>
    <row r="435" spans="17:24" x14ac:dyDescent="0.3">
      <c r="Q435" s="4"/>
      <c r="R435" s="4"/>
      <c r="S435" s="4"/>
      <c r="T435" s="4"/>
      <c r="U435" s="4"/>
      <c r="V435" s="4"/>
      <c r="W435" s="4"/>
      <c r="X435" s="4"/>
    </row>
    <row r="436" spans="17:24" x14ac:dyDescent="0.3">
      <c r="Q436" s="4"/>
      <c r="R436" s="4"/>
      <c r="S436" s="4"/>
      <c r="T436" s="4"/>
      <c r="U436" s="4"/>
      <c r="V436" s="4"/>
      <c r="W436" s="4"/>
      <c r="X436" s="4"/>
    </row>
    <row r="437" spans="17:24" x14ac:dyDescent="0.3">
      <c r="Q437" s="4"/>
      <c r="R437" s="4"/>
      <c r="S437" s="4"/>
      <c r="T437" s="4"/>
      <c r="U437" s="4"/>
      <c r="V437" s="4"/>
      <c r="W437" s="4"/>
      <c r="X437" s="4"/>
    </row>
    <row r="438" spans="17:24" x14ac:dyDescent="0.3">
      <c r="Q438" s="4"/>
      <c r="R438" s="4"/>
      <c r="S438" s="4"/>
      <c r="T438" s="4"/>
      <c r="U438" s="4"/>
      <c r="V438" s="4"/>
      <c r="W438" s="4"/>
      <c r="X438" s="4"/>
    </row>
    <row r="439" spans="17:24" x14ac:dyDescent="0.3">
      <c r="Q439" s="4"/>
      <c r="R439" s="4"/>
      <c r="S439" s="4"/>
      <c r="T439" s="4"/>
      <c r="U439" s="4"/>
      <c r="V439" s="4"/>
      <c r="W439" s="4"/>
      <c r="X439" s="4"/>
    </row>
    <row r="440" spans="17:24" x14ac:dyDescent="0.3">
      <c r="Q440" s="4"/>
      <c r="R440" s="4"/>
      <c r="S440" s="4"/>
      <c r="T440" s="4"/>
      <c r="U440" s="4"/>
      <c r="V440" s="4"/>
      <c r="W440" s="4"/>
      <c r="X440" s="4"/>
    </row>
    <row r="441" spans="17:24" x14ac:dyDescent="0.3">
      <c r="Q441" s="4"/>
      <c r="R441" s="4"/>
      <c r="S441" s="4"/>
      <c r="T441" s="4"/>
      <c r="U441" s="4"/>
      <c r="V441" s="4"/>
      <c r="W441" s="4"/>
      <c r="X441" s="4"/>
    </row>
    <row r="442" spans="17:24" x14ac:dyDescent="0.3">
      <c r="Q442" s="4"/>
      <c r="R442" s="4"/>
      <c r="S442" s="4"/>
      <c r="T442" s="4"/>
      <c r="U442" s="4"/>
      <c r="V442" s="4"/>
      <c r="W442" s="4"/>
      <c r="X442" s="4"/>
    </row>
    <row r="443" spans="17:24" x14ac:dyDescent="0.3">
      <c r="Q443" s="4"/>
      <c r="R443" s="4"/>
      <c r="S443" s="4"/>
      <c r="T443" s="4"/>
      <c r="U443" s="4"/>
      <c r="V443" s="4"/>
      <c r="W443" s="4"/>
      <c r="X443" s="4"/>
    </row>
    <row r="444" spans="17:24" x14ac:dyDescent="0.3">
      <c r="Q444" s="4"/>
      <c r="R444" s="4"/>
      <c r="S444" s="4"/>
      <c r="T444" s="4"/>
      <c r="U444" s="4"/>
      <c r="V444" s="4"/>
      <c r="W444" s="4"/>
      <c r="X444" s="4"/>
    </row>
    <row r="445" spans="17:24" x14ac:dyDescent="0.3">
      <c r="Q445" s="4"/>
      <c r="R445" s="4"/>
      <c r="S445" s="4"/>
      <c r="T445" s="4"/>
      <c r="U445" s="4"/>
      <c r="V445" s="4"/>
      <c r="W445" s="4"/>
      <c r="X445" s="4"/>
    </row>
    <row r="446" spans="17:24" x14ac:dyDescent="0.3">
      <c r="Q446" s="4"/>
      <c r="R446" s="4"/>
      <c r="S446" s="4"/>
      <c r="T446" s="4"/>
      <c r="U446" s="4"/>
      <c r="V446" s="4"/>
      <c r="W446" s="4"/>
      <c r="X446" s="4"/>
    </row>
    <row r="447" spans="17:24" x14ac:dyDescent="0.3">
      <c r="Q447" s="4"/>
      <c r="R447" s="4"/>
      <c r="S447" s="4"/>
      <c r="T447" s="4"/>
      <c r="U447" s="4"/>
      <c r="V447" s="4"/>
      <c r="W447" s="4"/>
      <c r="X447" s="4"/>
    </row>
    <row r="448" spans="17:24" x14ac:dyDescent="0.3">
      <c r="Q448" s="4"/>
      <c r="R448" s="4"/>
      <c r="S448" s="4"/>
      <c r="T448" s="4"/>
      <c r="U448" s="4"/>
      <c r="V448" s="4"/>
      <c r="W448" s="4"/>
      <c r="X448" s="4"/>
    </row>
    <row r="449" spans="17:24" x14ac:dyDescent="0.3">
      <c r="Q449" s="4"/>
      <c r="R449" s="4"/>
      <c r="S449" s="4"/>
      <c r="T449" s="4"/>
      <c r="U449" s="4"/>
      <c r="V449" s="4"/>
      <c r="W449" s="4"/>
      <c r="X449" s="4"/>
    </row>
    <row r="450" spans="17:24" x14ac:dyDescent="0.3">
      <c r="Q450" s="4"/>
      <c r="R450" s="4"/>
      <c r="S450" s="4"/>
      <c r="T450" s="4"/>
      <c r="U450" s="4"/>
      <c r="V450" s="4"/>
      <c r="W450" s="4"/>
      <c r="X450" s="4"/>
    </row>
    <row r="451" spans="17:24" x14ac:dyDescent="0.3">
      <c r="Q451" s="4"/>
      <c r="R451" s="4"/>
      <c r="S451" s="4"/>
      <c r="T451" s="4"/>
      <c r="U451" s="4"/>
      <c r="V451" s="4"/>
      <c r="W451" s="4"/>
      <c r="X451" s="4"/>
    </row>
    <row r="452" spans="17:24" x14ac:dyDescent="0.3">
      <c r="Q452" s="4"/>
      <c r="R452" s="4"/>
      <c r="S452" s="4"/>
      <c r="T452" s="4"/>
      <c r="U452" s="4"/>
      <c r="V452" s="4"/>
      <c r="W452" s="4"/>
      <c r="X452" s="4"/>
    </row>
    <row r="453" spans="17:24" x14ac:dyDescent="0.3">
      <c r="Q453" s="4"/>
      <c r="R453" s="4"/>
      <c r="S453" s="4"/>
      <c r="T453" s="4"/>
      <c r="U453" s="4"/>
      <c r="V453" s="4"/>
      <c r="W453" s="4"/>
      <c r="X453" s="4"/>
    </row>
    <row r="454" spans="17:24" x14ac:dyDescent="0.3">
      <c r="Q454" s="4"/>
      <c r="R454" s="4"/>
      <c r="S454" s="4"/>
      <c r="T454" s="4"/>
      <c r="U454" s="4"/>
      <c r="V454" s="4"/>
      <c r="W454" s="4"/>
      <c r="X454" s="4"/>
    </row>
    <row r="455" spans="17:24" x14ac:dyDescent="0.3">
      <c r="Q455" s="4"/>
      <c r="R455" s="4"/>
      <c r="S455" s="4"/>
      <c r="T455" s="4"/>
      <c r="U455" s="4"/>
      <c r="V455" s="4"/>
      <c r="W455" s="4"/>
      <c r="X455" s="4"/>
    </row>
    <row r="456" spans="17:24" x14ac:dyDescent="0.3">
      <c r="Q456" s="4"/>
      <c r="R456" s="4"/>
      <c r="S456" s="4"/>
      <c r="T456" s="4"/>
      <c r="U456" s="4"/>
      <c r="V456" s="4"/>
      <c r="W456" s="4"/>
      <c r="X456" s="4"/>
    </row>
    <row r="457" spans="17:24" x14ac:dyDescent="0.3">
      <c r="Q457" s="4"/>
      <c r="R457" s="4"/>
      <c r="S457" s="4"/>
      <c r="T457" s="4"/>
      <c r="U457" s="4"/>
      <c r="V457" s="4"/>
      <c r="W457" s="4"/>
      <c r="X457" s="4"/>
    </row>
    <row r="458" spans="17:24" x14ac:dyDescent="0.3">
      <c r="Q458" s="4"/>
      <c r="R458" s="4"/>
      <c r="S458" s="4"/>
      <c r="T458" s="4"/>
      <c r="U458" s="4"/>
      <c r="V458" s="4"/>
      <c r="W458" s="4"/>
      <c r="X458" s="4"/>
    </row>
    <row r="459" spans="17:24" x14ac:dyDescent="0.3">
      <c r="Q459" s="4"/>
      <c r="R459" s="4"/>
      <c r="S459" s="4"/>
      <c r="T459" s="4"/>
      <c r="U459" s="4"/>
      <c r="V459" s="4"/>
      <c r="W459" s="4"/>
      <c r="X459" s="4"/>
    </row>
    <row r="460" spans="17:24" x14ac:dyDescent="0.3">
      <c r="Q460" s="4"/>
      <c r="R460" s="4"/>
      <c r="S460" s="4"/>
      <c r="T460" s="4"/>
      <c r="U460" s="4"/>
      <c r="V460" s="4"/>
      <c r="W460" s="4"/>
      <c r="X460" s="4"/>
    </row>
    <row r="461" spans="17:24" x14ac:dyDescent="0.3">
      <c r="Q461" s="4"/>
      <c r="R461" s="4"/>
      <c r="S461" s="4"/>
      <c r="T461" s="4"/>
      <c r="U461" s="4"/>
      <c r="V461" s="4"/>
      <c r="W461" s="4"/>
      <c r="X461" s="4"/>
    </row>
    <row r="462" spans="17:24" x14ac:dyDescent="0.3">
      <c r="Q462" s="4"/>
      <c r="R462" s="4"/>
      <c r="S462" s="4"/>
      <c r="T462" s="4"/>
      <c r="U462" s="4"/>
      <c r="V462" s="4"/>
      <c r="W462" s="4"/>
      <c r="X462" s="4"/>
    </row>
    <row r="463" spans="17:24" x14ac:dyDescent="0.3">
      <c r="Q463" s="4"/>
      <c r="R463" s="4"/>
      <c r="S463" s="4"/>
      <c r="T463" s="4"/>
      <c r="U463" s="4"/>
      <c r="V463" s="4"/>
      <c r="W463" s="4"/>
      <c r="X463" s="4"/>
    </row>
    <row r="464" spans="17:24" x14ac:dyDescent="0.3">
      <c r="Q464" s="4"/>
      <c r="R464" s="4"/>
      <c r="S464" s="4"/>
      <c r="T464" s="4"/>
      <c r="U464" s="4"/>
      <c r="V464" s="4"/>
      <c r="W464" s="4"/>
      <c r="X464" s="4"/>
    </row>
    <row r="465" spans="17:24" x14ac:dyDescent="0.3">
      <c r="Q465" s="4"/>
      <c r="R465" s="4"/>
      <c r="S465" s="4"/>
      <c r="T465" s="4"/>
      <c r="U465" s="4"/>
      <c r="V465" s="4"/>
      <c r="W465" s="4"/>
      <c r="X465" s="4"/>
    </row>
    <row r="466" spans="17:24" x14ac:dyDescent="0.3">
      <c r="Q466" s="4"/>
      <c r="R466" s="4"/>
      <c r="S466" s="4"/>
      <c r="T466" s="4"/>
      <c r="U466" s="4"/>
      <c r="V466" s="4"/>
      <c r="W466" s="4"/>
      <c r="X466" s="4"/>
    </row>
    <row r="467" spans="17:24" x14ac:dyDescent="0.3">
      <c r="Q467" s="4"/>
      <c r="R467" s="4"/>
      <c r="S467" s="4"/>
      <c r="T467" s="4"/>
      <c r="U467" s="4"/>
      <c r="V467" s="4"/>
      <c r="W467" s="4"/>
      <c r="X467" s="4"/>
    </row>
    <row r="468" spans="17:24" x14ac:dyDescent="0.3">
      <c r="Q468" s="4"/>
      <c r="R468" s="4"/>
      <c r="S468" s="4"/>
      <c r="T468" s="4"/>
      <c r="U468" s="4"/>
      <c r="V468" s="4"/>
      <c r="W468" s="4"/>
      <c r="X468" s="4"/>
    </row>
    <row r="469" spans="17:24" x14ac:dyDescent="0.3">
      <c r="Q469" s="4"/>
      <c r="R469" s="4"/>
      <c r="S469" s="4"/>
      <c r="T469" s="4"/>
      <c r="U469" s="4"/>
      <c r="V469" s="4"/>
      <c r="W469" s="4"/>
      <c r="X469" s="4"/>
    </row>
    <row r="470" spans="17:24" x14ac:dyDescent="0.3">
      <c r="Q470" s="4"/>
      <c r="R470" s="4"/>
      <c r="S470" s="4"/>
      <c r="T470" s="4"/>
      <c r="U470" s="4"/>
      <c r="V470" s="4"/>
      <c r="W470" s="4"/>
      <c r="X470" s="4"/>
    </row>
    <row r="471" spans="17:24" x14ac:dyDescent="0.3">
      <c r="Q471" s="4"/>
      <c r="R471" s="4"/>
      <c r="S471" s="4"/>
      <c r="T471" s="4"/>
      <c r="U471" s="4"/>
      <c r="V471" s="4"/>
      <c r="W471" s="4"/>
      <c r="X471" s="4"/>
    </row>
    <row r="472" spans="17:24" x14ac:dyDescent="0.3">
      <c r="Q472" s="4"/>
      <c r="R472" s="4"/>
      <c r="S472" s="4"/>
      <c r="T472" s="4"/>
      <c r="U472" s="4"/>
      <c r="V472" s="4"/>
      <c r="W472" s="4"/>
      <c r="X472" s="4"/>
    </row>
    <row r="473" spans="17:24" x14ac:dyDescent="0.3">
      <c r="Q473" s="4"/>
      <c r="R473" s="4"/>
      <c r="S473" s="4"/>
      <c r="T473" s="4"/>
      <c r="U473" s="4"/>
      <c r="V473" s="4"/>
      <c r="W473" s="4"/>
      <c r="X473" s="4"/>
    </row>
    <row r="474" spans="17:24" x14ac:dyDescent="0.3">
      <c r="Q474" s="4"/>
      <c r="R474" s="4"/>
      <c r="S474" s="4"/>
      <c r="T474" s="4"/>
      <c r="U474" s="4"/>
      <c r="V474" s="4"/>
      <c r="W474" s="4"/>
      <c r="X474" s="4"/>
    </row>
    <row r="475" spans="17:24" x14ac:dyDescent="0.3">
      <c r="Q475" s="4"/>
      <c r="R475" s="4"/>
      <c r="S475" s="4"/>
      <c r="T475" s="4"/>
      <c r="U475" s="4"/>
      <c r="V475" s="4"/>
      <c r="W475" s="4"/>
      <c r="X475" s="4"/>
    </row>
    <row r="476" spans="17:24" x14ac:dyDescent="0.3">
      <c r="Q476" s="4"/>
      <c r="R476" s="4"/>
      <c r="S476" s="4"/>
      <c r="T476" s="4"/>
      <c r="U476" s="4"/>
      <c r="V476" s="4"/>
      <c r="W476" s="4"/>
      <c r="X476" s="4"/>
    </row>
    <row r="477" spans="17:24" x14ac:dyDescent="0.3">
      <c r="Q477" s="4"/>
      <c r="R477" s="4"/>
      <c r="S477" s="4"/>
      <c r="T477" s="4"/>
      <c r="U477" s="4"/>
      <c r="V477" s="4"/>
      <c r="W477" s="4"/>
      <c r="X477" s="4"/>
    </row>
    <row r="478" spans="17:24" x14ac:dyDescent="0.3">
      <c r="Q478" s="4"/>
      <c r="R478" s="4"/>
      <c r="S478" s="4"/>
      <c r="T478" s="4"/>
      <c r="U478" s="4"/>
      <c r="V478" s="4"/>
      <c r="W478" s="4"/>
      <c r="X478" s="4"/>
    </row>
    <row r="479" spans="17:24" x14ac:dyDescent="0.3">
      <c r="Q479" s="4"/>
      <c r="R479" s="4"/>
      <c r="S479" s="4"/>
      <c r="T479" s="4"/>
      <c r="U479" s="4"/>
      <c r="V479" s="4"/>
      <c r="W479" s="4"/>
      <c r="X479" s="4"/>
    </row>
    <row r="480" spans="17:24" x14ac:dyDescent="0.3">
      <c r="Q480" s="4"/>
      <c r="R480" s="4"/>
      <c r="S480" s="4"/>
      <c r="T480" s="4"/>
      <c r="U480" s="4"/>
      <c r="V480" s="4"/>
      <c r="W480" s="4"/>
      <c r="X480" s="4"/>
    </row>
    <row r="481" spans="17:24" x14ac:dyDescent="0.3">
      <c r="Q481" s="4"/>
      <c r="R481" s="4"/>
      <c r="S481" s="4"/>
      <c r="T481" s="4"/>
      <c r="U481" s="4"/>
      <c r="V481" s="4"/>
      <c r="W481" s="4"/>
      <c r="X481" s="4"/>
    </row>
    <row r="482" spans="17:24" x14ac:dyDescent="0.3">
      <c r="Q482" s="4"/>
      <c r="R482" s="4"/>
      <c r="S482" s="4"/>
      <c r="T482" s="4"/>
      <c r="U482" s="4"/>
      <c r="V482" s="4"/>
      <c r="W482" s="4"/>
      <c r="X482" s="4"/>
    </row>
    <row r="483" spans="17:24" x14ac:dyDescent="0.3">
      <c r="Q483" s="4"/>
      <c r="R483" s="4"/>
      <c r="S483" s="4"/>
      <c r="T483" s="4"/>
      <c r="U483" s="4"/>
      <c r="V483" s="4"/>
      <c r="W483" s="4"/>
      <c r="X483" s="4"/>
    </row>
    <row r="484" spans="17:24" x14ac:dyDescent="0.3">
      <c r="Q484" s="4"/>
      <c r="R484" s="4"/>
      <c r="S484" s="4"/>
      <c r="T484" s="4"/>
      <c r="U484" s="4"/>
      <c r="V484" s="4"/>
      <c r="W484" s="4"/>
      <c r="X484" s="4"/>
    </row>
    <row r="485" spans="17:24" x14ac:dyDescent="0.3">
      <c r="Q485" s="4"/>
      <c r="R485" s="4"/>
      <c r="S485" s="4"/>
      <c r="T485" s="4"/>
      <c r="U485" s="4"/>
      <c r="V485" s="4"/>
      <c r="W485" s="4"/>
      <c r="X485" s="4"/>
    </row>
    <row r="486" spans="17:24" x14ac:dyDescent="0.3">
      <c r="Q486" s="4"/>
      <c r="R486" s="4"/>
      <c r="S486" s="4"/>
      <c r="T486" s="4"/>
      <c r="U486" s="4"/>
      <c r="V486" s="4"/>
      <c r="W486" s="4"/>
      <c r="X486" s="4"/>
    </row>
    <row r="487" spans="17:24" x14ac:dyDescent="0.3">
      <c r="Q487" s="4"/>
      <c r="R487" s="4"/>
      <c r="S487" s="4"/>
      <c r="T487" s="4"/>
      <c r="U487" s="4"/>
      <c r="V487" s="4"/>
      <c r="W487" s="4"/>
      <c r="X487" s="4"/>
    </row>
    <row r="488" spans="17:24" x14ac:dyDescent="0.3">
      <c r="Q488" s="4"/>
      <c r="R488" s="4"/>
      <c r="S488" s="4"/>
      <c r="T488" s="4"/>
      <c r="U488" s="4"/>
      <c r="V488" s="4"/>
      <c r="W488" s="4"/>
      <c r="X488" s="4"/>
    </row>
    <row r="489" spans="17:24" x14ac:dyDescent="0.3">
      <c r="Q489" s="4"/>
      <c r="R489" s="4"/>
      <c r="S489" s="4"/>
      <c r="T489" s="4"/>
      <c r="U489" s="4"/>
      <c r="V489" s="4"/>
      <c r="W489" s="4"/>
      <c r="X489" s="4"/>
    </row>
    <row r="490" spans="17:24" x14ac:dyDescent="0.3">
      <c r="Q490" s="4"/>
      <c r="R490" s="4"/>
      <c r="S490" s="4"/>
      <c r="T490" s="4"/>
      <c r="U490" s="4"/>
      <c r="V490" s="4"/>
      <c r="W490" s="4"/>
      <c r="X490" s="4"/>
    </row>
    <row r="491" spans="17:24" x14ac:dyDescent="0.3">
      <c r="Q491" s="4"/>
      <c r="R491" s="4"/>
      <c r="S491" s="4"/>
      <c r="T491" s="4"/>
      <c r="U491" s="4"/>
      <c r="V491" s="4"/>
      <c r="W491" s="4"/>
      <c r="X491" s="4"/>
    </row>
    <row r="492" spans="17:24" x14ac:dyDescent="0.3">
      <c r="Q492" s="4"/>
      <c r="R492" s="4"/>
      <c r="S492" s="4"/>
      <c r="T492" s="4"/>
      <c r="U492" s="4"/>
      <c r="V492" s="4"/>
      <c r="W492" s="4"/>
      <c r="X492" s="4"/>
    </row>
    <row r="493" spans="17:24" x14ac:dyDescent="0.3">
      <c r="Q493" s="4"/>
      <c r="R493" s="4"/>
      <c r="S493" s="4"/>
      <c r="T493" s="4"/>
      <c r="U493" s="4"/>
      <c r="V493" s="4"/>
      <c r="W493" s="4"/>
      <c r="X493" s="4"/>
    </row>
    <row r="494" spans="17:24" x14ac:dyDescent="0.3">
      <c r="Q494" s="4"/>
      <c r="R494" s="4"/>
      <c r="S494" s="4"/>
      <c r="T494" s="4"/>
      <c r="U494" s="4"/>
      <c r="V494" s="4"/>
      <c r="W494" s="4"/>
      <c r="X494" s="4"/>
    </row>
    <row r="495" spans="17:24" x14ac:dyDescent="0.3">
      <c r="Q495" s="4"/>
      <c r="R495" s="4"/>
      <c r="S495" s="4"/>
      <c r="T495" s="4"/>
      <c r="U495" s="4"/>
      <c r="V495" s="4"/>
      <c r="W495" s="4"/>
      <c r="X495" s="4"/>
    </row>
    <row r="496" spans="17:24" x14ac:dyDescent="0.3">
      <c r="Q496" s="4"/>
      <c r="R496" s="4"/>
      <c r="S496" s="4"/>
      <c r="T496" s="4"/>
      <c r="U496" s="4"/>
      <c r="V496" s="4"/>
      <c r="W496" s="4"/>
      <c r="X496" s="4"/>
    </row>
    <row r="497" spans="17:24" x14ac:dyDescent="0.3">
      <c r="Q497" s="4"/>
      <c r="R497" s="4"/>
      <c r="S497" s="4"/>
      <c r="T497" s="4"/>
      <c r="U497" s="4"/>
      <c r="V497" s="4"/>
      <c r="W497" s="4"/>
      <c r="X497" s="4"/>
    </row>
    <row r="498" spans="17:24" x14ac:dyDescent="0.3">
      <c r="Q498" s="4"/>
      <c r="R498" s="4"/>
      <c r="S498" s="4"/>
      <c r="T498" s="4"/>
      <c r="U498" s="4"/>
      <c r="V498" s="4"/>
      <c r="W498" s="4"/>
      <c r="X498" s="4"/>
    </row>
    <row r="499" spans="17:24" x14ac:dyDescent="0.3">
      <c r="Q499" s="4"/>
      <c r="R499" s="4"/>
      <c r="S499" s="4"/>
      <c r="T499" s="4"/>
      <c r="U499" s="4"/>
      <c r="V499" s="4"/>
      <c r="W499" s="4"/>
      <c r="X499" s="4"/>
    </row>
    <row r="500" spans="17:24" x14ac:dyDescent="0.3">
      <c r="Q500" s="4"/>
      <c r="R500" s="4"/>
      <c r="S500" s="4"/>
      <c r="T500" s="4"/>
      <c r="U500" s="4"/>
      <c r="V500" s="4"/>
      <c r="W500" s="4"/>
      <c r="X500" s="4"/>
    </row>
    <row r="501" spans="17:24" x14ac:dyDescent="0.3">
      <c r="Q501" s="4"/>
      <c r="R501" s="4"/>
      <c r="S501" s="4"/>
      <c r="T501" s="4"/>
      <c r="U501" s="4"/>
      <c r="V501" s="4"/>
      <c r="W501" s="4"/>
      <c r="X501" s="4"/>
    </row>
    <row r="502" spans="17:24" x14ac:dyDescent="0.3">
      <c r="Q502" s="4"/>
      <c r="R502" s="4"/>
      <c r="S502" s="4"/>
      <c r="T502" s="4"/>
      <c r="U502" s="4"/>
      <c r="V502" s="4"/>
      <c r="W502" s="4"/>
      <c r="X502" s="4"/>
    </row>
    <row r="503" spans="17:24" x14ac:dyDescent="0.3">
      <c r="Q503" s="4"/>
      <c r="R503" s="4"/>
      <c r="S503" s="4"/>
      <c r="T503" s="4"/>
      <c r="U503" s="4"/>
      <c r="V503" s="4"/>
      <c r="W503" s="4"/>
      <c r="X503" s="4"/>
    </row>
    <row r="504" spans="17:24" x14ac:dyDescent="0.3">
      <c r="Q504" s="4"/>
      <c r="R504" s="4"/>
      <c r="S504" s="4"/>
      <c r="T504" s="4"/>
      <c r="U504" s="4"/>
      <c r="V504" s="4"/>
      <c r="W504" s="4"/>
      <c r="X504" s="4"/>
    </row>
    <row r="505" spans="17:24" x14ac:dyDescent="0.3">
      <c r="Q505" s="4"/>
      <c r="R505" s="4"/>
      <c r="S505" s="4"/>
      <c r="T505" s="4"/>
      <c r="U505" s="4"/>
      <c r="V505" s="4"/>
      <c r="W505" s="4"/>
      <c r="X505" s="4"/>
    </row>
    <row r="506" spans="17:24" x14ac:dyDescent="0.3">
      <c r="Q506" s="4"/>
      <c r="R506" s="4"/>
      <c r="S506" s="4"/>
      <c r="T506" s="4"/>
      <c r="U506" s="4"/>
      <c r="V506" s="4"/>
      <c r="W506" s="4"/>
      <c r="X506" s="4"/>
    </row>
    <row r="507" spans="17:24" x14ac:dyDescent="0.3">
      <c r="Q507" s="4"/>
      <c r="R507" s="4"/>
      <c r="S507" s="4"/>
      <c r="T507" s="4"/>
      <c r="U507" s="4"/>
      <c r="V507" s="4"/>
      <c r="W507" s="4"/>
      <c r="X507" s="4"/>
    </row>
    <row r="508" spans="17:24" x14ac:dyDescent="0.3">
      <c r="Q508" s="4"/>
      <c r="R508" s="4"/>
      <c r="S508" s="4"/>
      <c r="T508" s="4"/>
      <c r="U508" s="4"/>
      <c r="V508" s="4"/>
      <c r="W508" s="4"/>
      <c r="X508" s="4"/>
    </row>
    <row r="509" spans="17:24" x14ac:dyDescent="0.3">
      <c r="Q509" s="4"/>
      <c r="R509" s="4"/>
      <c r="S509" s="4"/>
      <c r="T509" s="4"/>
      <c r="U509" s="4"/>
      <c r="V509" s="4"/>
      <c r="W509" s="4"/>
      <c r="X509" s="4"/>
    </row>
    <row r="510" spans="17:24" x14ac:dyDescent="0.3">
      <c r="Q510" s="4"/>
      <c r="R510" s="4"/>
      <c r="S510" s="4"/>
      <c r="T510" s="4"/>
      <c r="U510" s="4"/>
      <c r="V510" s="4"/>
      <c r="W510" s="4"/>
      <c r="X510" s="4"/>
    </row>
    <row r="511" spans="17:24" x14ac:dyDescent="0.3">
      <c r="Q511" s="4"/>
      <c r="R511" s="4"/>
      <c r="S511" s="4"/>
      <c r="T511" s="4"/>
      <c r="U511" s="4"/>
      <c r="V511" s="4"/>
      <c r="W511" s="4"/>
      <c r="X511" s="4"/>
    </row>
    <row r="512" spans="17:24" x14ac:dyDescent="0.3">
      <c r="Q512" s="4"/>
      <c r="R512" s="4"/>
      <c r="S512" s="4"/>
      <c r="T512" s="4"/>
      <c r="U512" s="4"/>
      <c r="V512" s="4"/>
      <c r="W512" s="4"/>
      <c r="X512" s="4"/>
    </row>
    <row r="513" spans="17:24" x14ac:dyDescent="0.3">
      <c r="Q513" s="4"/>
      <c r="R513" s="4"/>
      <c r="S513" s="4"/>
      <c r="T513" s="4"/>
      <c r="U513" s="4"/>
      <c r="V513" s="4"/>
      <c r="W513" s="4"/>
      <c r="X513" s="4"/>
    </row>
    <row r="514" spans="17:24" x14ac:dyDescent="0.3">
      <c r="Q514" s="4"/>
      <c r="R514" s="4"/>
      <c r="S514" s="4"/>
      <c r="T514" s="4"/>
      <c r="U514" s="4"/>
      <c r="V514" s="4"/>
      <c r="W514" s="4"/>
      <c r="X514" s="4"/>
    </row>
    <row r="515" spans="17:24" x14ac:dyDescent="0.3">
      <c r="Q515" s="4"/>
      <c r="R515" s="4"/>
      <c r="S515" s="4"/>
      <c r="T515" s="4"/>
      <c r="U515" s="4"/>
      <c r="V515" s="4"/>
      <c r="W515" s="4"/>
      <c r="X515" s="4"/>
    </row>
    <row r="516" spans="17:24" x14ac:dyDescent="0.3">
      <c r="Q516" s="4"/>
      <c r="R516" s="4"/>
      <c r="S516" s="4"/>
      <c r="T516" s="4"/>
      <c r="U516" s="4"/>
      <c r="V516" s="4"/>
      <c r="W516" s="4"/>
      <c r="X516" s="4"/>
    </row>
    <row r="517" spans="17:24" x14ac:dyDescent="0.3">
      <c r="Q517" s="4"/>
      <c r="R517" s="4"/>
      <c r="S517" s="4"/>
      <c r="T517" s="4"/>
      <c r="U517" s="4"/>
      <c r="V517" s="4"/>
      <c r="W517" s="4"/>
      <c r="X517" s="4"/>
    </row>
    <row r="518" spans="17:24" x14ac:dyDescent="0.3">
      <c r="Q518" s="4"/>
      <c r="R518" s="4"/>
      <c r="S518" s="4"/>
      <c r="T518" s="4"/>
      <c r="U518" s="4"/>
      <c r="V518" s="4"/>
      <c r="W518" s="4"/>
      <c r="X518" s="4"/>
    </row>
    <row r="519" spans="17:24" x14ac:dyDescent="0.3">
      <c r="Q519" s="4"/>
      <c r="R519" s="4"/>
      <c r="S519" s="4"/>
      <c r="T519" s="4"/>
      <c r="U519" s="4"/>
      <c r="V519" s="4"/>
      <c r="W519" s="4"/>
      <c r="X519" s="4"/>
    </row>
    <row r="520" spans="17:24" x14ac:dyDescent="0.3">
      <c r="Q520" s="4"/>
      <c r="R520" s="4"/>
      <c r="S520" s="4"/>
      <c r="T520" s="4"/>
      <c r="U520" s="4"/>
      <c r="V520" s="4"/>
      <c r="W520" s="4"/>
      <c r="X520" s="4"/>
    </row>
    <row r="521" spans="17:24" x14ac:dyDescent="0.3">
      <c r="Q521" s="4"/>
      <c r="R521" s="4"/>
      <c r="S521" s="4"/>
      <c r="T521" s="4"/>
      <c r="U521" s="4"/>
      <c r="V521" s="4"/>
      <c r="W521" s="4"/>
      <c r="X521" s="4"/>
    </row>
    <row r="522" spans="17:24" x14ac:dyDescent="0.3">
      <c r="Q522" s="4"/>
      <c r="R522" s="4"/>
      <c r="S522" s="4"/>
      <c r="T522" s="4"/>
      <c r="U522" s="4"/>
      <c r="V522" s="4"/>
      <c r="W522" s="4"/>
      <c r="X522" s="4"/>
    </row>
    <row r="523" spans="17:24" x14ac:dyDescent="0.3">
      <c r="Q523" s="4"/>
      <c r="R523" s="4"/>
      <c r="S523" s="4"/>
      <c r="T523" s="4"/>
      <c r="U523" s="4"/>
      <c r="V523" s="4"/>
      <c r="W523" s="4"/>
      <c r="X523" s="4"/>
    </row>
    <row r="524" spans="17:24" x14ac:dyDescent="0.3">
      <c r="Q524" s="4"/>
      <c r="R524" s="4"/>
      <c r="S524" s="4"/>
      <c r="T524" s="4"/>
      <c r="U524" s="4"/>
      <c r="V524" s="4"/>
      <c r="W524" s="4"/>
      <c r="X524" s="4"/>
    </row>
    <row r="525" spans="17:24" x14ac:dyDescent="0.3">
      <c r="Q525" s="4"/>
      <c r="R525" s="4"/>
      <c r="S525" s="4"/>
      <c r="T525" s="4"/>
      <c r="U525" s="4"/>
      <c r="V525" s="4"/>
      <c r="W525" s="4"/>
      <c r="X525" s="4"/>
    </row>
    <row r="526" spans="17:24" x14ac:dyDescent="0.3">
      <c r="Q526" s="4"/>
      <c r="R526" s="4"/>
      <c r="S526" s="4"/>
      <c r="T526" s="4"/>
      <c r="U526" s="4"/>
      <c r="V526" s="4"/>
      <c r="W526" s="4"/>
      <c r="X526" s="4"/>
    </row>
    <row r="527" spans="17:24" x14ac:dyDescent="0.3">
      <c r="Q527" s="4"/>
      <c r="R527" s="4"/>
      <c r="S527" s="4"/>
      <c r="T527" s="4"/>
      <c r="U527" s="4"/>
      <c r="V527" s="4"/>
      <c r="W527" s="4"/>
      <c r="X527" s="4"/>
    </row>
    <row r="528" spans="17:24" x14ac:dyDescent="0.3">
      <c r="Q528" s="4"/>
      <c r="R528" s="4"/>
      <c r="S528" s="4"/>
      <c r="T528" s="4"/>
      <c r="U528" s="4"/>
      <c r="V528" s="4"/>
      <c r="W528" s="4"/>
      <c r="X528" s="4"/>
    </row>
    <row r="529" spans="17:24" x14ac:dyDescent="0.3">
      <c r="Q529" s="4"/>
      <c r="R529" s="4"/>
      <c r="S529" s="4"/>
      <c r="T529" s="4"/>
      <c r="U529" s="4"/>
      <c r="V529" s="4"/>
      <c r="W529" s="4"/>
      <c r="X529" s="4"/>
    </row>
    <row r="530" spans="17:24" x14ac:dyDescent="0.3">
      <c r="Q530" s="4"/>
      <c r="R530" s="4"/>
      <c r="S530" s="4"/>
      <c r="T530" s="4"/>
      <c r="U530" s="4"/>
      <c r="V530" s="4"/>
      <c r="W530" s="4"/>
      <c r="X530" s="4"/>
    </row>
    <row r="531" spans="17:24" x14ac:dyDescent="0.3">
      <c r="Q531" s="4"/>
      <c r="R531" s="4"/>
      <c r="S531" s="4"/>
      <c r="T531" s="4"/>
      <c r="U531" s="4"/>
      <c r="V531" s="4"/>
      <c r="W531" s="4"/>
      <c r="X531" s="4"/>
    </row>
    <row r="532" spans="17:24" x14ac:dyDescent="0.3">
      <c r="Q532" s="4"/>
      <c r="R532" s="4"/>
      <c r="S532" s="4"/>
      <c r="T532" s="4"/>
      <c r="U532" s="4"/>
      <c r="V532" s="4"/>
      <c r="W532" s="4"/>
      <c r="X532" s="4"/>
    </row>
    <row r="533" spans="17:24" x14ac:dyDescent="0.3">
      <c r="Q533" s="4"/>
      <c r="R533" s="4"/>
      <c r="S533" s="4"/>
      <c r="T533" s="4"/>
      <c r="U533" s="4"/>
      <c r="V533" s="4"/>
      <c r="W533" s="4"/>
      <c r="X533" s="4"/>
    </row>
    <row r="534" spans="17:24" x14ac:dyDescent="0.3">
      <c r="Q534" s="4"/>
      <c r="R534" s="4"/>
      <c r="S534" s="4"/>
      <c r="T534" s="4"/>
      <c r="U534" s="4"/>
      <c r="V534" s="4"/>
      <c r="W534" s="4"/>
      <c r="X534" s="4"/>
    </row>
    <row r="535" spans="17:24" x14ac:dyDescent="0.3">
      <c r="Q535" s="4"/>
      <c r="R535" s="4"/>
      <c r="S535" s="4"/>
      <c r="T535" s="4"/>
      <c r="U535" s="4"/>
      <c r="V535" s="4"/>
      <c r="W535" s="4"/>
      <c r="X535" s="4"/>
    </row>
    <row r="536" spans="17:24" x14ac:dyDescent="0.3">
      <c r="Q536" s="4"/>
      <c r="R536" s="4"/>
      <c r="S536" s="4"/>
      <c r="T536" s="4"/>
      <c r="U536" s="4"/>
      <c r="V536" s="4"/>
      <c r="W536" s="4"/>
      <c r="X536" s="4"/>
    </row>
    <row r="537" spans="17:24" x14ac:dyDescent="0.3">
      <c r="Q537" s="4"/>
      <c r="R537" s="4"/>
      <c r="S537" s="4"/>
      <c r="T537" s="4"/>
      <c r="U537" s="4"/>
      <c r="V537" s="4"/>
      <c r="W537" s="4"/>
      <c r="X537" s="4"/>
    </row>
    <row r="538" spans="17:24" x14ac:dyDescent="0.3">
      <c r="Q538" s="4"/>
      <c r="R538" s="4"/>
      <c r="S538" s="4"/>
      <c r="T538" s="4"/>
      <c r="U538" s="4"/>
      <c r="V538" s="4"/>
      <c r="W538" s="4"/>
      <c r="X538" s="4"/>
    </row>
    <row r="539" spans="17:24" x14ac:dyDescent="0.3">
      <c r="Q539" s="4"/>
      <c r="R539" s="4"/>
      <c r="S539" s="4"/>
      <c r="T539" s="4"/>
      <c r="U539" s="4"/>
      <c r="V539" s="4"/>
      <c r="W539" s="4"/>
      <c r="X539" s="4"/>
    </row>
    <row r="540" spans="17:24" x14ac:dyDescent="0.3">
      <c r="Q540" s="4"/>
      <c r="R540" s="4"/>
      <c r="S540" s="4"/>
      <c r="T540" s="4"/>
      <c r="U540" s="4"/>
      <c r="V540" s="4"/>
      <c r="W540" s="4"/>
      <c r="X540" s="4"/>
    </row>
    <row r="541" spans="17:24" x14ac:dyDescent="0.3">
      <c r="Q541" s="4"/>
      <c r="R541" s="4"/>
      <c r="S541" s="4"/>
      <c r="T541" s="4"/>
      <c r="U541" s="4"/>
      <c r="V541" s="4"/>
      <c r="W541" s="4"/>
      <c r="X541" s="4"/>
    </row>
    <row r="542" spans="17:24" x14ac:dyDescent="0.3">
      <c r="Q542" s="4"/>
      <c r="R542" s="4"/>
      <c r="S542" s="4"/>
      <c r="T542" s="4"/>
      <c r="U542" s="4"/>
      <c r="V542" s="4"/>
      <c r="W542" s="4"/>
      <c r="X542" s="4"/>
    </row>
    <row r="543" spans="17:24" x14ac:dyDescent="0.3">
      <c r="Q543" s="4"/>
      <c r="R543" s="4"/>
      <c r="S543" s="4"/>
      <c r="T543" s="4"/>
      <c r="U543" s="4"/>
      <c r="V543" s="4"/>
      <c r="W543" s="4"/>
      <c r="X543" s="4"/>
    </row>
    <row r="544" spans="17:24" x14ac:dyDescent="0.3">
      <c r="Q544" s="4"/>
      <c r="R544" s="4"/>
      <c r="S544" s="4"/>
      <c r="T544" s="4"/>
      <c r="U544" s="4"/>
      <c r="V544" s="4"/>
      <c r="W544" s="4"/>
      <c r="X544" s="4"/>
    </row>
    <row r="545" spans="17:24" x14ac:dyDescent="0.3">
      <c r="Q545" s="4"/>
      <c r="R545" s="4"/>
      <c r="S545" s="4"/>
      <c r="T545" s="4"/>
      <c r="U545" s="4"/>
      <c r="V545" s="4"/>
      <c r="W545" s="4"/>
      <c r="X545" s="4"/>
    </row>
    <row r="546" spans="17:24" x14ac:dyDescent="0.3">
      <c r="Q546" s="4"/>
      <c r="R546" s="4"/>
      <c r="S546" s="4"/>
      <c r="T546" s="4"/>
      <c r="U546" s="4"/>
      <c r="V546" s="4"/>
      <c r="W546" s="4"/>
      <c r="X546" s="4"/>
    </row>
    <row r="547" spans="17:24" x14ac:dyDescent="0.3">
      <c r="Q547" s="4"/>
      <c r="R547" s="4"/>
      <c r="S547" s="4"/>
      <c r="T547" s="4"/>
      <c r="U547" s="4"/>
      <c r="V547" s="4"/>
      <c r="W547" s="4"/>
      <c r="X547" s="4"/>
    </row>
    <row r="548" spans="17:24" x14ac:dyDescent="0.3">
      <c r="Q548" s="4"/>
      <c r="R548" s="4"/>
      <c r="S548" s="4"/>
      <c r="T548" s="4"/>
      <c r="U548" s="4"/>
      <c r="V548" s="4"/>
      <c r="W548" s="4"/>
      <c r="X548" s="4"/>
    </row>
    <row r="549" spans="17:24" x14ac:dyDescent="0.3">
      <c r="Q549" s="4"/>
      <c r="R549" s="4"/>
      <c r="S549" s="4"/>
      <c r="T549" s="4"/>
      <c r="U549" s="4"/>
      <c r="V549" s="4"/>
      <c r="W549" s="4"/>
      <c r="X549" s="4"/>
    </row>
    <row r="550" spans="17:24" x14ac:dyDescent="0.3">
      <c r="Q550" s="4"/>
      <c r="R550" s="4"/>
      <c r="S550" s="4"/>
      <c r="T550" s="4"/>
      <c r="U550" s="4"/>
      <c r="V550" s="4"/>
      <c r="W550" s="4"/>
      <c r="X550" s="4"/>
    </row>
    <row r="551" spans="17:24" x14ac:dyDescent="0.3">
      <c r="Q551" s="4"/>
      <c r="R551" s="4"/>
      <c r="S551" s="4"/>
      <c r="T551" s="4"/>
      <c r="U551" s="4"/>
      <c r="V551" s="4"/>
      <c r="W551" s="4"/>
      <c r="X551" s="4"/>
    </row>
    <row r="552" spans="17:24" x14ac:dyDescent="0.3">
      <c r="Q552" s="4"/>
      <c r="R552" s="4"/>
      <c r="S552" s="4"/>
      <c r="T552" s="4"/>
      <c r="U552" s="4"/>
      <c r="V552" s="4"/>
      <c r="W552" s="4"/>
      <c r="X552" s="4"/>
    </row>
    <row r="553" spans="17:24" x14ac:dyDescent="0.3">
      <c r="Q553" s="4"/>
      <c r="R553" s="4"/>
      <c r="S553" s="4"/>
      <c r="T553" s="4"/>
      <c r="U553" s="4"/>
      <c r="V553" s="4"/>
      <c r="W553" s="4"/>
      <c r="X553" s="4"/>
    </row>
    <row r="554" spans="17:24" x14ac:dyDescent="0.3">
      <c r="Q554" s="4"/>
      <c r="R554" s="4"/>
      <c r="S554" s="4"/>
      <c r="T554" s="4"/>
      <c r="U554" s="4"/>
      <c r="V554" s="4"/>
      <c r="W554" s="4"/>
      <c r="X554" s="4"/>
    </row>
    <row r="555" spans="17:24" x14ac:dyDescent="0.3">
      <c r="Q555" s="4"/>
      <c r="R555" s="4"/>
      <c r="S555" s="4"/>
      <c r="T555" s="4"/>
      <c r="U555" s="4"/>
      <c r="V555" s="4"/>
      <c r="W555" s="4"/>
      <c r="X555" s="4"/>
    </row>
    <row r="556" spans="17:24" x14ac:dyDescent="0.3">
      <c r="Q556" s="4"/>
      <c r="R556" s="4"/>
      <c r="S556" s="4"/>
      <c r="T556" s="4"/>
      <c r="U556" s="4"/>
      <c r="V556" s="4"/>
      <c r="W556" s="4"/>
      <c r="X556" s="4"/>
    </row>
    <row r="557" spans="17:24" x14ac:dyDescent="0.3">
      <c r="Q557" s="4"/>
      <c r="R557" s="4"/>
      <c r="S557" s="4"/>
      <c r="T557" s="4"/>
      <c r="U557" s="4"/>
      <c r="V557" s="4"/>
      <c r="W557" s="4"/>
      <c r="X557" s="4"/>
    </row>
    <row r="558" spans="17:24" x14ac:dyDescent="0.3">
      <c r="Q558" s="4"/>
      <c r="R558" s="4"/>
      <c r="S558" s="4"/>
      <c r="T558" s="4"/>
      <c r="U558" s="4"/>
      <c r="V558" s="4"/>
      <c r="W558" s="4"/>
      <c r="X558" s="4"/>
    </row>
    <row r="559" spans="17:24" x14ac:dyDescent="0.3">
      <c r="Q559" s="4"/>
      <c r="R559" s="4"/>
      <c r="S559" s="4"/>
      <c r="T559" s="4"/>
      <c r="U559" s="4"/>
      <c r="V559" s="4"/>
      <c r="W559" s="4"/>
      <c r="X559" s="4"/>
    </row>
    <row r="560" spans="17:24" x14ac:dyDescent="0.3">
      <c r="Q560" s="4"/>
      <c r="R560" s="4"/>
      <c r="S560" s="4"/>
      <c r="T560" s="4"/>
      <c r="U560" s="4"/>
      <c r="V560" s="4"/>
      <c r="W560" s="4"/>
      <c r="X560" s="4"/>
    </row>
    <row r="561" spans="17:24" x14ac:dyDescent="0.3">
      <c r="Q561" s="4"/>
      <c r="R561" s="4"/>
      <c r="S561" s="4"/>
      <c r="T561" s="4"/>
      <c r="U561" s="4"/>
      <c r="V561" s="4"/>
      <c r="W561" s="4"/>
      <c r="X561" s="4"/>
    </row>
    <row r="562" spans="17:24" x14ac:dyDescent="0.3">
      <c r="Q562" s="4"/>
      <c r="R562" s="4"/>
      <c r="S562" s="4"/>
      <c r="T562" s="4"/>
      <c r="U562" s="4"/>
      <c r="V562" s="4"/>
      <c r="W562" s="4"/>
      <c r="X562" s="4"/>
    </row>
    <row r="563" spans="17:24" x14ac:dyDescent="0.3">
      <c r="Q563" s="4"/>
      <c r="R563" s="4"/>
      <c r="S563" s="4"/>
      <c r="T563" s="4"/>
      <c r="U563" s="4"/>
      <c r="V563" s="4"/>
      <c r="W563" s="4"/>
      <c r="X563" s="4"/>
    </row>
    <row r="564" spans="17:24" x14ac:dyDescent="0.3">
      <c r="Q564" s="4"/>
      <c r="R564" s="4"/>
      <c r="S564" s="4"/>
      <c r="T564" s="4"/>
      <c r="U564" s="4"/>
      <c r="V564" s="4"/>
      <c r="W564" s="4"/>
      <c r="X564" s="4"/>
    </row>
    <row r="565" spans="17:24" x14ac:dyDescent="0.3">
      <c r="Q565" s="4"/>
      <c r="R565" s="4"/>
      <c r="S565" s="4"/>
      <c r="T565" s="4"/>
      <c r="U565" s="4"/>
      <c r="V565" s="4"/>
      <c r="W565" s="4"/>
      <c r="X565" s="4"/>
    </row>
    <row r="566" spans="17:24" x14ac:dyDescent="0.3">
      <c r="Q566" s="4"/>
      <c r="R566" s="4"/>
      <c r="S566" s="4"/>
      <c r="T566" s="4"/>
      <c r="U566" s="4"/>
      <c r="V566" s="4"/>
      <c r="W566" s="4"/>
      <c r="X566" s="4"/>
    </row>
    <row r="567" spans="17:24" x14ac:dyDescent="0.3">
      <c r="Q567" s="4"/>
      <c r="R567" s="4"/>
      <c r="S567" s="4"/>
      <c r="T567" s="4"/>
      <c r="U567" s="4"/>
      <c r="V567" s="4"/>
      <c r="W567" s="4"/>
      <c r="X567" s="4"/>
    </row>
    <row r="568" spans="17:24" x14ac:dyDescent="0.3">
      <c r="Q568" s="4"/>
      <c r="R568" s="4"/>
      <c r="S568" s="4"/>
      <c r="T568" s="4"/>
      <c r="U568" s="4"/>
      <c r="V568" s="4"/>
      <c r="W568" s="4"/>
      <c r="X568" s="4"/>
    </row>
    <row r="569" spans="17:24" x14ac:dyDescent="0.3">
      <c r="Q569" s="4"/>
      <c r="R569" s="4"/>
      <c r="S569" s="4"/>
      <c r="T569" s="4"/>
      <c r="U569" s="4"/>
      <c r="V569" s="4"/>
      <c r="W569" s="4"/>
      <c r="X569" s="4"/>
    </row>
    <row r="570" spans="17:24" x14ac:dyDescent="0.3">
      <c r="Q570" s="4"/>
      <c r="R570" s="4"/>
      <c r="S570" s="4"/>
      <c r="T570" s="4"/>
      <c r="U570" s="4"/>
      <c r="V570" s="4"/>
      <c r="W570" s="4"/>
      <c r="X570" s="4"/>
    </row>
    <row r="571" spans="17:24" x14ac:dyDescent="0.3">
      <c r="Q571" s="4"/>
      <c r="R571" s="4"/>
      <c r="S571" s="4"/>
      <c r="T571" s="4"/>
      <c r="U571" s="4"/>
      <c r="V571" s="4"/>
      <c r="W571" s="4"/>
      <c r="X571" s="4"/>
    </row>
    <row r="572" spans="17:24" x14ac:dyDescent="0.3">
      <c r="Q572" s="4"/>
      <c r="R572" s="4"/>
      <c r="S572" s="4"/>
      <c r="T572" s="4"/>
      <c r="U572" s="4"/>
      <c r="V572" s="4"/>
      <c r="W572" s="4"/>
      <c r="X572" s="4"/>
    </row>
    <row r="573" spans="17:24" x14ac:dyDescent="0.3">
      <c r="Q573" s="4"/>
      <c r="R573" s="4"/>
      <c r="S573" s="4"/>
      <c r="T573" s="4"/>
      <c r="U573" s="4"/>
      <c r="V573" s="4"/>
      <c r="W573" s="4"/>
      <c r="X573" s="4"/>
    </row>
    <row r="574" spans="17:24" x14ac:dyDescent="0.3">
      <c r="Q574" s="4"/>
      <c r="R574" s="4"/>
      <c r="S574" s="4"/>
      <c r="T574" s="4"/>
      <c r="U574" s="4"/>
      <c r="V574" s="4"/>
      <c r="W574" s="4"/>
      <c r="X574" s="4"/>
    </row>
    <row r="575" spans="17:24" x14ac:dyDescent="0.3">
      <c r="Q575" s="4"/>
      <c r="R575" s="4"/>
      <c r="S575" s="4"/>
      <c r="T575" s="4"/>
      <c r="U575" s="4"/>
      <c r="V575" s="4"/>
      <c r="W575" s="4"/>
      <c r="X575" s="4"/>
    </row>
    <row r="576" spans="17:24" x14ac:dyDescent="0.3">
      <c r="Q576" s="4"/>
      <c r="R576" s="4"/>
      <c r="S576" s="4"/>
      <c r="T576" s="4"/>
      <c r="U576" s="4"/>
      <c r="V576" s="4"/>
      <c r="W576" s="4"/>
      <c r="X576" s="4"/>
    </row>
    <row r="577" spans="17:24" x14ac:dyDescent="0.3">
      <c r="Q577" s="4"/>
      <c r="R577" s="4"/>
      <c r="S577" s="4"/>
      <c r="T577" s="4"/>
      <c r="U577" s="4"/>
      <c r="V577" s="4"/>
      <c r="W577" s="4"/>
      <c r="X577" s="4"/>
    </row>
    <row r="578" spans="17:24" x14ac:dyDescent="0.3">
      <c r="Q578" s="4"/>
      <c r="R578" s="4"/>
      <c r="S578" s="4"/>
      <c r="T578" s="4"/>
      <c r="U578" s="4"/>
      <c r="V578" s="4"/>
      <c r="W578" s="4"/>
      <c r="X578" s="4"/>
    </row>
    <row r="579" spans="17:24" x14ac:dyDescent="0.3">
      <c r="Q579" s="4"/>
      <c r="R579" s="4"/>
      <c r="S579" s="4"/>
      <c r="T579" s="4"/>
      <c r="U579" s="4"/>
      <c r="V579" s="4"/>
      <c r="W579" s="4"/>
      <c r="X579" s="4"/>
    </row>
    <row r="580" spans="17:24" x14ac:dyDescent="0.3">
      <c r="Q580" s="4"/>
      <c r="R580" s="4"/>
      <c r="S580" s="4"/>
      <c r="T580" s="4"/>
      <c r="U580" s="4"/>
      <c r="V580" s="4"/>
      <c r="W580" s="4"/>
      <c r="X580" s="4"/>
    </row>
    <row r="581" spans="17:24" x14ac:dyDescent="0.3">
      <c r="Q581" s="4"/>
      <c r="R581" s="4"/>
      <c r="S581" s="4"/>
      <c r="T581" s="4"/>
      <c r="U581" s="4"/>
      <c r="V581" s="4"/>
      <c r="W581" s="4"/>
      <c r="X581" s="4"/>
    </row>
    <row r="582" spans="17:24" x14ac:dyDescent="0.3">
      <c r="Q582" s="4"/>
      <c r="R582" s="4"/>
      <c r="S582" s="4"/>
      <c r="T582" s="4"/>
      <c r="U582" s="4"/>
      <c r="V582" s="4"/>
      <c r="W582" s="4"/>
      <c r="X582" s="4"/>
    </row>
    <row r="583" spans="17:24" x14ac:dyDescent="0.3">
      <c r="Q583" s="4"/>
      <c r="R583" s="4"/>
      <c r="S583" s="4"/>
      <c r="T583" s="4"/>
      <c r="U583" s="4"/>
      <c r="V583" s="4"/>
      <c r="W583" s="4"/>
      <c r="X583" s="4"/>
    </row>
    <row r="584" spans="17:24" x14ac:dyDescent="0.3">
      <c r="Q584" s="4"/>
      <c r="R584" s="4"/>
      <c r="S584" s="4"/>
      <c r="T584" s="4"/>
      <c r="U584" s="4"/>
      <c r="V584" s="4"/>
      <c r="W584" s="4"/>
      <c r="X584" s="4"/>
    </row>
    <row r="585" spans="17:24" x14ac:dyDescent="0.3">
      <c r="Q585" s="4"/>
      <c r="R585" s="4"/>
      <c r="S585" s="4"/>
      <c r="T585" s="4"/>
      <c r="U585" s="4"/>
      <c r="V585" s="4"/>
      <c r="W585" s="4"/>
      <c r="X585" s="4"/>
    </row>
    <row r="586" spans="17:24" x14ac:dyDescent="0.3">
      <c r="Q586" s="4"/>
      <c r="R586" s="4"/>
      <c r="S586" s="4"/>
      <c r="T586" s="4"/>
      <c r="U586" s="4"/>
      <c r="V586" s="4"/>
      <c r="W586" s="4"/>
      <c r="X586" s="4"/>
    </row>
    <row r="587" spans="17:24" x14ac:dyDescent="0.3">
      <c r="Q587" s="4"/>
      <c r="R587" s="4"/>
      <c r="S587" s="4"/>
      <c r="T587" s="4"/>
      <c r="U587" s="4"/>
      <c r="V587" s="4"/>
      <c r="W587" s="4"/>
      <c r="X587" s="4"/>
    </row>
    <row r="588" spans="17:24" x14ac:dyDescent="0.3">
      <c r="Q588" s="4"/>
      <c r="R588" s="4"/>
      <c r="S588" s="4"/>
      <c r="T588" s="4"/>
      <c r="U588" s="4"/>
      <c r="V588" s="4"/>
      <c r="W588" s="4"/>
      <c r="X588" s="4"/>
    </row>
    <row r="589" spans="17:24" x14ac:dyDescent="0.3">
      <c r="Q589" s="4"/>
      <c r="R589" s="4"/>
      <c r="S589" s="4"/>
      <c r="T589" s="4"/>
      <c r="U589" s="4"/>
      <c r="V589" s="4"/>
      <c r="W589" s="4"/>
      <c r="X589" s="4"/>
    </row>
    <row r="590" spans="17:24" x14ac:dyDescent="0.3">
      <c r="Q590" s="4"/>
      <c r="R590" s="4"/>
      <c r="S590" s="4"/>
      <c r="T590" s="4"/>
      <c r="U590" s="4"/>
      <c r="V590" s="4"/>
      <c r="W590" s="4"/>
      <c r="X590" s="4"/>
    </row>
    <row r="591" spans="17:24" x14ac:dyDescent="0.3">
      <c r="Q591" s="4"/>
      <c r="R591" s="4"/>
      <c r="S591" s="4"/>
      <c r="T591" s="4"/>
      <c r="U591" s="4"/>
      <c r="V591" s="4"/>
      <c r="W591" s="4"/>
      <c r="X591" s="4"/>
    </row>
    <row r="592" spans="17:24" x14ac:dyDescent="0.3">
      <c r="Q592" s="4"/>
      <c r="R592" s="4"/>
      <c r="S592" s="4"/>
      <c r="T592" s="4"/>
      <c r="U592" s="4"/>
      <c r="V592" s="4"/>
      <c r="W592" s="4"/>
      <c r="X592" s="4"/>
    </row>
    <row r="593" spans="17:24" x14ac:dyDescent="0.3">
      <c r="Q593" s="4"/>
      <c r="R593" s="4"/>
      <c r="S593" s="4"/>
      <c r="T593" s="4"/>
      <c r="U593" s="4"/>
      <c r="V593" s="4"/>
      <c r="W593" s="4"/>
      <c r="X593" s="4"/>
    </row>
    <row r="594" spans="17:24" x14ac:dyDescent="0.3">
      <c r="Q594" s="4"/>
      <c r="R594" s="4"/>
      <c r="S594" s="4"/>
      <c r="T594" s="4"/>
      <c r="U594" s="4"/>
      <c r="V594" s="4"/>
      <c r="W594" s="4"/>
      <c r="X594" s="4"/>
    </row>
    <row r="595" spans="17:24" x14ac:dyDescent="0.3">
      <c r="Q595" s="4"/>
      <c r="R595" s="4"/>
      <c r="S595" s="4"/>
      <c r="T595" s="4"/>
      <c r="U595" s="4"/>
      <c r="V595" s="4"/>
      <c r="W595" s="4"/>
      <c r="X595" s="4"/>
    </row>
    <row r="596" spans="17:24" x14ac:dyDescent="0.3">
      <c r="Q596" s="4"/>
      <c r="R596" s="4"/>
      <c r="S596" s="4"/>
      <c r="T596" s="4"/>
      <c r="U596" s="4"/>
      <c r="V596" s="4"/>
      <c r="W596" s="4"/>
      <c r="X596" s="4"/>
    </row>
    <row r="597" spans="17:24" x14ac:dyDescent="0.3">
      <c r="Q597" s="4"/>
      <c r="R597" s="4"/>
      <c r="S597" s="4"/>
      <c r="T597" s="4"/>
      <c r="U597" s="4"/>
      <c r="V597" s="4"/>
      <c r="W597" s="4"/>
      <c r="X597" s="4"/>
    </row>
    <row r="598" spans="17:24" x14ac:dyDescent="0.3">
      <c r="Q598" s="4"/>
      <c r="R598" s="4"/>
      <c r="S598" s="4"/>
      <c r="T598" s="4"/>
      <c r="U598" s="4"/>
      <c r="V598" s="4"/>
      <c r="W598" s="4"/>
      <c r="X598" s="4"/>
    </row>
    <row r="599" spans="17:24" x14ac:dyDescent="0.3">
      <c r="Q599" s="4"/>
      <c r="R599" s="4"/>
      <c r="S599" s="4"/>
      <c r="T599" s="4"/>
      <c r="U599" s="4"/>
      <c r="V599" s="4"/>
      <c r="W599" s="4"/>
      <c r="X599" s="4"/>
    </row>
    <row r="600" spans="17:24" x14ac:dyDescent="0.3">
      <c r="Q600" s="4"/>
      <c r="R600" s="4"/>
      <c r="S600" s="4"/>
      <c r="T600" s="4"/>
      <c r="U600" s="4"/>
      <c r="V600" s="4"/>
      <c r="W600" s="4"/>
      <c r="X600" s="4"/>
    </row>
    <row r="601" spans="17:24" x14ac:dyDescent="0.3">
      <c r="Q601" s="4"/>
      <c r="R601" s="4"/>
      <c r="S601" s="4"/>
      <c r="T601" s="4"/>
      <c r="U601" s="4"/>
      <c r="V601" s="4"/>
      <c r="W601" s="4"/>
      <c r="X601" s="4"/>
    </row>
    <row r="602" spans="17:24" x14ac:dyDescent="0.3">
      <c r="Q602" s="4"/>
      <c r="R602" s="4"/>
      <c r="S602" s="4"/>
      <c r="T602" s="4"/>
      <c r="U602" s="4"/>
      <c r="V602" s="4"/>
      <c r="W602" s="4"/>
      <c r="X602" s="4"/>
    </row>
    <row r="603" spans="17:24" x14ac:dyDescent="0.3">
      <c r="Q603" s="4"/>
      <c r="R603" s="4"/>
      <c r="S603" s="4"/>
      <c r="T603" s="4"/>
      <c r="U603" s="4"/>
      <c r="V603" s="4"/>
      <c r="W603" s="4"/>
      <c r="X603" s="4"/>
    </row>
    <row r="604" spans="17:24" x14ac:dyDescent="0.3">
      <c r="Q604" s="4"/>
      <c r="R604" s="4"/>
      <c r="S604" s="4"/>
      <c r="T604" s="4"/>
      <c r="U604" s="4"/>
      <c r="V604" s="4"/>
      <c r="W604" s="4"/>
      <c r="X604" s="4"/>
    </row>
    <row r="605" spans="17:24" x14ac:dyDescent="0.3">
      <c r="Q605" s="4"/>
      <c r="R605" s="4"/>
      <c r="S605" s="4"/>
      <c r="T605" s="4"/>
      <c r="U605" s="4"/>
      <c r="V605" s="4"/>
      <c r="W605" s="4"/>
      <c r="X605" s="4"/>
    </row>
    <row r="606" spans="17:24" x14ac:dyDescent="0.3">
      <c r="Q606" s="4"/>
      <c r="R606" s="4"/>
      <c r="S606" s="4"/>
      <c r="T606" s="4"/>
      <c r="U606" s="4"/>
      <c r="V606" s="4"/>
      <c r="W606" s="4"/>
      <c r="X606" s="4"/>
    </row>
    <row r="607" spans="17:24" x14ac:dyDescent="0.3">
      <c r="Q607" s="4"/>
      <c r="R607" s="4"/>
      <c r="S607" s="4"/>
      <c r="T607" s="4"/>
      <c r="U607" s="4"/>
      <c r="V607" s="4"/>
      <c r="W607" s="4"/>
      <c r="X607" s="4"/>
    </row>
    <row r="608" spans="17:24" x14ac:dyDescent="0.3">
      <c r="Q608" s="4"/>
      <c r="R608" s="4"/>
      <c r="S608" s="4"/>
      <c r="T608" s="4"/>
      <c r="U608" s="4"/>
      <c r="V608" s="4"/>
      <c r="W608" s="4"/>
      <c r="X608" s="4"/>
    </row>
    <row r="609" spans="17:24" x14ac:dyDescent="0.3">
      <c r="Q609" s="4"/>
      <c r="R609" s="4"/>
      <c r="S609" s="4"/>
      <c r="T609" s="4"/>
      <c r="U609" s="4"/>
      <c r="V609" s="4"/>
      <c r="W609" s="4"/>
      <c r="X609" s="4"/>
    </row>
    <row r="610" spans="17:24" x14ac:dyDescent="0.3">
      <c r="Q610" s="4"/>
      <c r="R610" s="4"/>
      <c r="S610" s="4"/>
      <c r="T610" s="4"/>
      <c r="U610" s="4"/>
      <c r="V610" s="4"/>
      <c r="W610" s="4"/>
      <c r="X610" s="4"/>
    </row>
    <row r="611" spans="17:24" x14ac:dyDescent="0.3">
      <c r="Q611" s="4"/>
      <c r="R611" s="4"/>
      <c r="S611" s="4"/>
      <c r="T611" s="4"/>
      <c r="U611" s="4"/>
      <c r="V611" s="4"/>
      <c r="W611" s="4"/>
      <c r="X611" s="4"/>
    </row>
    <row r="612" spans="17:24" x14ac:dyDescent="0.3">
      <c r="Q612" s="4"/>
      <c r="R612" s="4"/>
      <c r="S612" s="4"/>
      <c r="T612" s="4"/>
      <c r="U612" s="4"/>
      <c r="V612" s="4"/>
      <c r="W612" s="4"/>
      <c r="X612" s="4"/>
    </row>
    <row r="613" spans="17:24" x14ac:dyDescent="0.3">
      <c r="Q613" s="4"/>
      <c r="R613" s="4"/>
      <c r="S613" s="4"/>
      <c r="T613" s="4"/>
      <c r="U613" s="4"/>
      <c r="V613" s="4"/>
      <c r="W613" s="4"/>
      <c r="X613" s="4"/>
    </row>
    <row r="614" spans="17:24" x14ac:dyDescent="0.3">
      <c r="Q614" s="4"/>
      <c r="R614" s="4"/>
      <c r="S614" s="4"/>
      <c r="T614" s="4"/>
      <c r="U614" s="4"/>
      <c r="V614" s="4"/>
      <c r="W614" s="4"/>
      <c r="X614" s="4"/>
    </row>
    <row r="615" spans="17:24" x14ac:dyDescent="0.3">
      <c r="Q615" s="4"/>
      <c r="R615" s="4"/>
      <c r="S615" s="4"/>
      <c r="T615" s="4"/>
      <c r="U615" s="4"/>
      <c r="V615" s="4"/>
      <c r="W615" s="4"/>
      <c r="X615" s="4"/>
    </row>
    <row r="616" spans="17:24" x14ac:dyDescent="0.3">
      <c r="Q616" s="4"/>
      <c r="R616" s="4"/>
      <c r="S616" s="4"/>
      <c r="T616" s="4"/>
      <c r="U616" s="4"/>
      <c r="V616" s="4"/>
      <c r="W616" s="4"/>
      <c r="X616" s="4"/>
    </row>
    <row r="617" spans="17:24" x14ac:dyDescent="0.3">
      <c r="Q617" s="4"/>
      <c r="R617" s="4"/>
      <c r="S617" s="4"/>
      <c r="T617" s="4"/>
      <c r="U617" s="4"/>
      <c r="V617" s="4"/>
      <c r="W617" s="4"/>
      <c r="X617" s="4"/>
    </row>
    <row r="618" spans="17:24" x14ac:dyDescent="0.3">
      <c r="Q618" s="4"/>
      <c r="R618" s="4"/>
      <c r="S618" s="4"/>
      <c r="T618" s="4"/>
      <c r="U618" s="4"/>
      <c r="V618" s="4"/>
      <c r="W618" s="4"/>
      <c r="X618" s="4"/>
    </row>
    <row r="619" spans="17:24" x14ac:dyDescent="0.3">
      <c r="Q619" s="4"/>
      <c r="R619" s="4"/>
      <c r="S619" s="4"/>
      <c r="T619" s="4"/>
      <c r="U619" s="4"/>
      <c r="V619" s="4"/>
      <c r="W619" s="4"/>
      <c r="X619" s="4"/>
    </row>
    <row r="620" spans="17:24" x14ac:dyDescent="0.3">
      <c r="Q620" s="4"/>
      <c r="R620" s="4"/>
      <c r="S620" s="4"/>
      <c r="T620" s="4"/>
      <c r="U620" s="4"/>
      <c r="V620" s="4"/>
      <c r="W620" s="4"/>
      <c r="X620" s="4"/>
    </row>
    <row r="621" spans="17:24" x14ac:dyDescent="0.3">
      <c r="Q621" s="4"/>
      <c r="R621" s="4"/>
      <c r="S621" s="4"/>
      <c r="T621" s="4"/>
      <c r="U621" s="4"/>
      <c r="V621" s="4"/>
      <c r="W621" s="4"/>
      <c r="X621" s="4"/>
    </row>
    <row r="622" spans="17:24" x14ac:dyDescent="0.3">
      <c r="Q622" s="4"/>
      <c r="R622" s="4"/>
      <c r="S622" s="4"/>
      <c r="T622" s="4"/>
      <c r="U622" s="4"/>
      <c r="V622" s="4"/>
      <c r="W622" s="4"/>
      <c r="X622" s="4"/>
    </row>
    <row r="623" spans="17:24" x14ac:dyDescent="0.3">
      <c r="Q623" s="4"/>
      <c r="R623" s="4"/>
      <c r="S623" s="4"/>
      <c r="T623" s="4"/>
      <c r="U623" s="4"/>
      <c r="V623" s="4"/>
      <c r="W623" s="4"/>
      <c r="X623" s="4"/>
    </row>
    <row r="624" spans="17:24" x14ac:dyDescent="0.3">
      <c r="Q624" s="4"/>
      <c r="R624" s="4"/>
      <c r="S624" s="4"/>
      <c r="T624" s="4"/>
      <c r="U624" s="4"/>
      <c r="V624" s="4"/>
      <c r="W624" s="4"/>
      <c r="X624" s="4"/>
    </row>
    <row r="625" spans="17:24" x14ac:dyDescent="0.3">
      <c r="Q625" s="4"/>
      <c r="R625" s="4"/>
      <c r="S625" s="4"/>
      <c r="T625" s="4"/>
      <c r="U625" s="4"/>
      <c r="V625" s="4"/>
      <c r="W625" s="4"/>
      <c r="X625" s="4"/>
    </row>
    <row r="626" spans="17:24" x14ac:dyDescent="0.3">
      <c r="Q626" s="4"/>
      <c r="R626" s="4"/>
      <c r="S626" s="4"/>
      <c r="T626" s="4"/>
      <c r="U626" s="4"/>
      <c r="V626" s="4"/>
      <c r="W626" s="4"/>
      <c r="X626" s="4"/>
    </row>
    <row r="627" spans="17:24" x14ac:dyDescent="0.3">
      <c r="Q627" s="4"/>
      <c r="R627" s="4"/>
      <c r="S627" s="4"/>
      <c r="T627" s="4"/>
      <c r="U627" s="4"/>
      <c r="V627" s="4"/>
      <c r="W627" s="4"/>
      <c r="X627" s="4"/>
    </row>
    <row r="628" spans="17:24" x14ac:dyDescent="0.3">
      <c r="Q628" s="4"/>
      <c r="R628" s="4"/>
      <c r="S628" s="4"/>
      <c r="T628" s="4"/>
      <c r="U628" s="4"/>
      <c r="V628" s="4"/>
      <c r="W628" s="4"/>
      <c r="X628" s="4"/>
    </row>
    <row r="629" spans="17:24" x14ac:dyDescent="0.3">
      <c r="Q629" s="4"/>
      <c r="R629" s="4"/>
      <c r="S629" s="4"/>
      <c r="T629" s="4"/>
      <c r="U629" s="4"/>
      <c r="V629" s="4"/>
      <c r="W629" s="4"/>
      <c r="X629" s="4"/>
    </row>
    <row r="630" spans="17:24" x14ac:dyDescent="0.3">
      <c r="Q630" s="4"/>
      <c r="R630" s="4"/>
      <c r="S630" s="4"/>
      <c r="T630" s="4"/>
      <c r="U630" s="4"/>
      <c r="V630" s="4"/>
      <c r="W630" s="4"/>
      <c r="X630" s="4"/>
    </row>
    <row r="631" spans="17:24" x14ac:dyDescent="0.3">
      <c r="Q631" s="4"/>
      <c r="R631" s="4"/>
      <c r="S631" s="4"/>
      <c r="T631" s="4"/>
      <c r="U631" s="4"/>
      <c r="V631" s="4"/>
      <c r="W631" s="4"/>
      <c r="X631" s="4"/>
    </row>
    <row r="632" spans="17:24" x14ac:dyDescent="0.3">
      <c r="Q632" s="4"/>
      <c r="R632" s="4"/>
      <c r="S632" s="4"/>
      <c r="T632" s="4"/>
      <c r="U632" s="4"/>
      <c r="V632" s="4"/>
      <c r="W632" s="4"/>
      <c r="X632" s="4"/>
    </row>
    <row r="633" spans="17:24" x14ac:dyDescent="0.3">
      <c r="Q633" s="4"/>
      <c r="R633" s="4"/>
      <c r="S633" s="4"/>
      <c r="T633" s="4"/>
      <c r="U633" s="4"/>
      <c r="V633" s="4"/>
      <c r="W633" s="4"/>
      <c r="X633" s="4"/>
    </row>
    <row r="634" spans="17:24" x14ac:dyDescent="0.3">
      <c r="Q634" s="4"/>
      <c r="R634" s="4"/>
      <c r="S634" s="4"/>
      <c r="T634" s="4"/>
      <c r="U634" s="4"/>
      <c r="V634" s="4"/>
      <c r="W634" s="4"/>
      <c r="X634" s="4"/>
    </row>
    <row r="635" spans="17:24" x14ac:dyDescent="0.3">
      <c r="Q635" s="4"/>
      <c r="R635" s="4"/>
      <c r="S635" s="4"/>
      <c r="T635" s="4"/>
      <c r="U635" s="4"/>
      <c r="V635" s="4"/>
      <c r="W635" s="4"/>
      <c r="X635" s="4"/>
    </row>
    <row r="636" spans="17:24" x14ac:dyDescent="0.3">
      <c r="Q636" s="4"/>
      <c r="R636" s="4"/>
      <c r="S636" s="4"/>
      <c r="T636" s="4"/>
      <c r="U636" s="4"/>
      <c r="V636" s="4"/>
      <c r="W636" s="4"/>
      <c r="X636" s="4"/>
    </row>
    <row r="637" spans="17:24" x14ac:dyDescent="0.3">
      <c r="Q637" s="4"/>
      <c r="R637" s="4"/>
      <c r="S637" s="4"/>
      <c r="T637" s="4"/>
      <c r="U637" s="4"/>
      <c r="V637" s="4"/>
      <c r="W637" s="4"/>
      <c r="X637" s="4"/>
    </row>
    <row r="638" spans="17:24" x14ac:dyDescent="0.3">
      <c r="Q638" s="4"/>
      <c r="R638" s="4"/>
      <c r="S638" s="4"/>
      <c r="T638" s="4"/>
      <c r="U638" s="4"/>
      <c r="V638" s="4"/>
      <c r="W638" s="4"/>
      <c r="X638" s="4"/>
    </row>
    <row r="639" spans="17:24" x14ac:dyDescent="0.3">
      <c r="Q639" s="4"/>
      <c r="R639" s="4"/>
      <c r="S639" s="4"/>
      <c r="T639" s="4"/>
      <c r="U639" s="4"/>
      <c r="V639" s="4"/>
      <c r="W639" s="4"/>
      <c r="X639" s="4"/>
    </row>
    <row r="640" spans="17:24" x14ac:dyDescent="0.3">
      <c r="Q640" s="4"/>
      <c r="R640" s="4"/>
      <c r="S640" s="4"/>
      <c r="T640" s="4"/>
      <c r="U640" s="4"/>
      <c r="V640" s="4"/>
      <c r="W640" s="4"/>
      <c r="X640" s="4"/>
    </row>
    <row r="641" spans="17:24" x14ac:dyDescent="0.3">
      <c r="Q641" s="4"/>
      <c r="R641" s="4"/>
      <c r="S641" s="4"/>
      <c r="T641" s="4"/>
      <c r="U641" s="4"/>
      <c r="V641" s="4"/>
      <c r="W641" s="4"/>
      <c r="X641" s="4"/>
    </row>
    <row r="642" spans="17:24" x14ac:dyDescent="0.3">
      <c r="Q642" s="4"/>
      <c r="R642" s="4"/>
      <c r="S642" s="4"/>
      <c r="T642" s="4"/>
      <c r="U642" s="4"/>
      <c r="V642" s="4"/>
      <c r="W642" s="4"/>
      <c r="X642" s="4"/>
    </row>
    <row r="643" spans="17:24" x14ac:dyDescent="0.3">
      <c r="Q643" s="4"/>
      <c r="R643" s="4"/>
      <c r="S643" s="4"/>
      <c r="T643" s="4"/>
      <c r="U643" s="4"/>
      <c r="V643" s="4"/>
      <c r="W643" s="4"/>
      <c r="X643" s="4"/>
    </row>
    <row r="644" spans="17:24" x14ac:dyDescent="0.3">
      <c r="Q644" s="4"/>
      <c r="R644" s="4"/>
      <c r="S644" s="4"/>
      <c r="T644" s="4"/>
      <c r="U644" s="4"/>
      <c r="V644" s="4"/>
      <c r="W644" s="4"/>
      <c r="X644" s="4"/>
    </row>
    <row r="645" spans="17:24" x14ac:dyDescent="0.3">
      <c r="Q645" s="4"/>
      <c r="R645" s="4"/>
      <c r="S645" s="4"/>
      <c r="T645" s="4"/>
      <c r="U645" s="4"/>
      <c r="V645" s="4"/>
      <c r="W645" s="4"/>
      <c r="X645" s="4"/>
    </row>
    <row r="646" spans="17:24" x14ac:dyDescent="0.3">
      <c r="Q646" s="4"/>
      <c r="R646" s="4"/>
      <c r="S646" s="4"/>
      <c r="T646" s="4"/>
      <c r="U646" s="4"/>
      <c r="V646" s="4"/>
      <c r="W646" s="4"/>
      <c r="X646" s="4"/>
    </row>
    <row r="647" spans="17:24" x14ac:dyDescent="0.3">
      <c r="Q647" s="4"/>
      <c r="R647" s="4"/>
      <c r="S647" s="4"/>
      <c r="T647" s="4"/>
      <c r="U647" s="4"/>
      <c r="V647" s="4"/>
      <c r="W647" s="4"/>
      <c r="X647" s="4"/>
    </row>
    <row r="648" spans="17:24" x14ac:dyDescent="0.3">
      <c r="Q648" s="4"/>
      <c r="R648" s="4"/>
      <c r="S648" s="4"/>
      <c r="T648" s="4"/>
      <c r="U648" s="4"/>
      <c r="V648" s="4"/>
      <c r="W648" s="4"/>
      <c r="X648" s="4"/>
    </row>
    <row r="649" spans="17:24" x14ac:dyDescent="0.3">
      <c r="Q649" s="4"/>
      <c r="R649" s="4"/>
      <c r="S649" s="4"/>
      <c r="T649" s="4"/>
      <c r="U649" s="4"/>
      <c r="V649" s="4"/>
      <c r="W649" s="4"/>
      <c r="X649" s="4"/>
    </row>
    <row r="650" spans="17:24" x14ac:dyDescent="0.3">
      <c r="Q650" s="4"/>
      <c r="R650" s="4"/>
      <c r="S650" s="4"/>
      <c r="T650" s="4"/>
      <c r="U650" s="4"/>
      <c r="V650" s="4"/>
      <c r="W650" s="4"/>
      <c r="X650" s="4"/>
    </row>
    <row r="651" spans="17:24" x14ac:dyDescent="0.3">
      <c r="Q651" s="4"/>
      <c r="R651" s="4"/>
      <c r="S651" s="4"/>
      <c r="T651" s="4"/>
      <c r="U651" s="4"/>
      <c r="V651" s="4"/>
      <c r="W651" s="4"/>
      <c r="X651" s="4"/>
    </row>
    <row r="652" spans="17:24" x14ac:dyDescent="0.3">
      <c r="Q652" s="4"/>
      <c r="R652" s="4"/>
      <c r="S652" s="4"/>
      <c r="T652" s="4"/>
      <c r="U652" s="4"/>
      <c r="V652" s="4"/>
      <c r="W652" s="4"/>
      <c r="X652" s="4"/>
    </row>
    <row r="653" spans="17:24" x14ac:dyDescent="0.3">
      <c r="Q653" s="4"/>
      <c r="R653" s="4"/>
      <c r="S653" s="4"/>
      <c r="T653" s="4"/>
      <c r="U653" s="4"/>
      <c r="V653" s="4"/>
      <c r="W653" s="4"/>
      <c r="X653" s="4"/>
    </row>
    <row r="654" spans="17:24" x14ac:dyDescent="0.3">
      <c r="Q654" s="4"/>
      <c r="R654" s="4"/>
      <c r="S654" s="4"/>
      <c r="T654" s="4"/>
      <c r="U654" s="4"/>
      <c r="V654" s="4"/>
      <c r="W654" s="4"/>
      <c r="X654" s="4"/>
    </row>
    <row r="655" spans="17:24" x14ac:dyDescent="0.3">
      <c r="Q655" s="4"/>
      <c r="R655" s="4"/>
      <c r="S655" s="4"/>
      <c r="T655" s="4"/>
      <c r="U655" s="4"/>
      <c r="V655" s="4"/>
      <c r="W655" s="4"/>
      <c r="X655" s="4"/>
    </row>
    <row r="656" spans="17:24" x14ac:dyDescent="0.3">
      <c r="Q656" s="4"/>
      <c r="R656" s="4"/>
      <c r="S656" s="4"/>
      <c r="T656" s="4"/>
      <c r="U656" s="4"/>
      <c r="V656" s="4"/>
      <c r="W656" s="4"/>
      <c r="X656" s="4"/>
    </row>
    <row r="657" spans="17:24" x14ac:dyDescent="0.3">
      <c r="Q657" s="4"/>
      <c r="R657" s="4"/>
      <c r="S657" s="4"/>
      <c r="T657" s="4"/>
      <c r="U657" s="4"/>
      <c r="V657" s="4"/>
      <c r="W657" s="4"/>
      <c r="X657" s="4"/>
    </row>
    <row r="658" spans="17:24" x14ac:dyDescent="0.3">
      <c r="Q658" s="4"/>
      <c r="R658" s="4"/>
      <c r="S658" s="4"/>
      <c r="T658" s="4"/>
      <c r="U658" s="4"/>
      <c r="V658" s="4"/>
      <c r="W658" s="4"/>
      <c r="X658" s="4"/>
    </row>
    <row r="659" spans="17:24" x14ac:dyDescent="0.3">
      <c r="Q659" s="4"/>
      <c r="R659" s="4"/>
      <c r="S659" s="4"/>
      <c r="T659" s="4"/>
      <c r="U659" s="4"/>
      <c r="V659" s="4"/>
      <c r="W659" s="4"/>
      <c r="X659" s="4"/>
    </row>
    <row r="660" spans="17:24" x14ac:dyDescent="0.3">
      <c r="Q660" s="4"/>
      <c r="R660" s="4"/>
      <c r="S660" s="4"/>
      <c r="T660" s="4"/>
      <c r="U660" s="4"/>
      <c r="V660" s="4"/>
      <c r="W660" s="4"/>
      <c r="X660" s="4"/>
    </row>
    <row r="661" spans="17:24" x14ac:dyDescent="0.3">
      <c r="Q661" s="4"/>
      <c r="R661" s="4"/>
      <c r="S661" s="4"/>
      <c r="T661" s="4"/>
      <c r="U661" s="4"/>
      <c r="V661" s="4"/>
      <c r="W661" s="4"/>
      <c r="X661" s="4"/>
    </row>
    <row r="662" spans="17:24" x14ac:dyDescent="0.3">
      <c r="Q662" s="4"/>
      <c r="R662" s="4"/>
      <c r="S662" s="4"/>
      <c r="T662" s="4"/>
      <c r="U662" s="4"/>
      <c r="V662" s="4"/>
      <c r="W662" s="4"/>
      <c r="X662" s="4"/>
    </row>
    <row r="663" spans="17:24" x14ac:dyDescent="0.3">
      <c r="Q663" s="4"/>
      <c r="R663" s="4"/>
      <c r="S663" s="4"/>
      <c r="T663" s="4"/>
      <c r="U663" s="4"/>
      <c r="V663" s="4"/>
      <c r="W663" s="4"/>
      <c r="X663" s="4"/>
    </row>
    <row r="664" spans="17:24" x14ac:dyDescent="0.3">
      <c r="Q664" s="4"/>
      <c r="R664" s="4"/>
      <c r="S664" s="4"/>
      <c r="T664" s="4"/>
      <c r="U664" s="4"/>
      <c r="V664" s="4"/>
      <c r="W664" s="4"/>
      <c r="X664" s="4"/>
    </row>
    <row r="665" spans="17:24" x14ac:dyDescent="0.3">
      <c r="Q665" s="4"/>
      <c r="R665" s="4"/>
      <c r="S665" s="4"/>
      <c r="T665" s="4"/>
      <c r="U665" s="4"/>
      <c r="V665" s="4"/>
      <c r="W665" s="4"/>
      <c r="X665" s="4"/>
    </row>
    <row r="666" spans="17:24" x14ac:dyDescent="0.3">
      <c r="Q666" s="4"/>
      <c r="R666" s="4"/>
      <c r="S666" s="4"/>
      <c r="T666" s="4"/>
      <c r="U666" s="4"/>
      <c r="V666" s="4"/>
      <c r="W666" s="4"/>
      <c r="X666" s="4"/>
    </row>
    <row r="667" spans="17:24" x14ac:dyDescent="0.3">
      <c r="Q667" s="4"/>
      <c r="R667" s="4"/>
      <c r="S667" s="4"/>
      <c r="T667" s="4"/>
      <c r="U667" s="4"/>
      <c r="V667" s="4"/>
      <c r="W667" s="4"/>
      <c r="X667" s="4"/>
    </row>
    <row r="668" spans="17:24" x14ac:dyDescent="0.3">
      <c r="Q668" s="4"/>
      <c r="R668" s="4"/>
      <c r="S668" s="4"/>
      <c r="T668" s="4"/>
      <c r="U668" s="4"/>
      <c r="V668" s="4"/>
      <c r="W668" s="4"/>
      <c r="X668" s="4"/>
    </row>
    <row r="669" spans="17:24" x14ac:dyDescent="0.3">
      <c r="Q669" s="4"/>
      <c r="R669" s="4"/>
      <c r="S669" s="4"/>
      <c r="T669" s="4"/>
      <c r="U669" s="4"/>
      <c r="V669" s="4"/>
      <c r="W669" s="4"/>
      <c r="X669" s="4"/>
    </row>
    <row r="670" spans="17:24" x14ac:dyDescent="0.3">
      <c r="Q670" s="4"/>
      <c r="R670" s="4"/>
      <c r="S670" s="4"/>
      <c r="T670" s="4"/>
      <c r="U670" s="4"/>
      <c r="V670" s="4"/>
      <c r="W670" s="4"/>
      <c r="X670" s="4"/>
    </row>
    <row r="671" spans="17:24" x14ac:dyDescent="0.3">
      <c r="Q671" s="4"/>
      <c r="R671" s="4"/>
      <c r="S671" s="4"/>
      <c r="T671" s="4"/>
      <c r="U671" s="4"/>
      <c r="V671" s="4"/>
      <c r="W671" s="4"/>
      <c r="X671" s="4"/>
    </row>
    <row r="672" spans="17:24" x14ac:dyDescent="0.3">
      <c r="Q672" s="4"/>
      <c r="R672" s="4"/>
      <c r="S672" s="4"/>
      <c r="T672" s="4"/>
      <c r="U672" s="4"/>
      <c r="V672" s="4"/>
      <c r="W672" s="4"/>
      <c r="X672" s="4"/>
    </row>
    <row r="673" spans="17:24" x14ac:dyDescent="0.3">
      <c r="Q673" s="4"/>
      <c r="R673" s="4"/>
      <c r="S673" s="4"/>
      <c r="T673" s="4"/>
      <c r="U673" s="4"/>
      <c r="V673" s="4"/>
      <c r="W673" s="4"/>
      <c r="X673" s="4"/>
    </row>
    <row r="674" spans="17:24" x14ac:dyDescent="0.3">
      <c r="Q674" s="4"/>
      <c r="R674" s="4"/>
      <c r="S674" s="4"/>
      <c r="T674" s="4"/>
      <c r="U674" s="4"/>
      <c r="V674" s="4"/>
      <c r="W674" s="4"/>
      <c r="X674" s="4"/>
    </row>
    <row r="675" spans="17:24" x14ac:dyDescent="0.3">
      <c r="Q675" s="4"/>
      <c r="R675" s="4"/>
      <c r="S675" s="4"/>
      <c r="T675" s="4"/>
      <c r="U675" s="4"/>
      <c r="V675" s="4"/>
      <c r="W675" s="4"/>
      <c r="X675" s="4"/>
    </row>
    <row r="676" spans="17:24" x14ac:dyDescent="0.3">
      <c r="Q676" s="4"/>
      <c r="R676" s="4"/>
      <c r="S676" s="4"/>
      <c r="T676" s="4"/>
      <c r="U676" s="4"/>
      <c r="V676" s="4"/>
      <c r="W676" s="4"/>
      <c r="X676" s="4"/>
    </row>
    <row r="677" spans="17:24" x14ac:dyDescent="0.3">
      <c r="Q677" s="4"/>
      <c r="R677" s="4"/>
      <c r="S677" s="4"/>
      <c r="T677" s="4"/>
      <c r="U677" s="4"/>
      <c r="V677" s="4"/>
      <c r="W677" s="4"/>
      <c r="X677" s="4"/>
    </row>
    <row r="678" spans="17:24" x14ac:dyDescent="0.3">
      <c r="Q678" s="4"/>
      <c r="R678" s="4"/>
      <c r="S678" s="4"/>
      <c r="T678" s="4"/>
      <c r="U678" s="4"/>
      <c r="V678" s="4"/>
      <c r="W678" s="4"/>
      <c r="X678" s="4"/>
    </row>
    <row r="679" spans="17:24" x14ac:dyDescent="0.3">
      <c r="Q679" s="4"/>
      <c r="R679" s="4"/>
      <c r="S679" s="4"/>
      <c r="T679" s="4"/>
      <c r="U679" s="4"/>
      <c r="V679" s="4"/>
      <c r="W679" s="4"/>
      <c r="X679" s="4"/>
    </row>
    <row r="680" spans="17:24" x14ac:dyDescent="0.3">
      <c r="Q680" s="4"/>
      <c r="R680" s="4"/>
      <c r="S680" s="4"/>
      <c r="T680" s="4"/>
      <c r="U680" s="4"/>
      <c r="V680" s="4"/>
      <c r="W680" s="4"/>
      <c r="X680" s="4"/>
    </row>
    <row r="681" spans="17:24" x14ac:dyDescent="0.3">
      <c r="Q681" s="4"/>
      <c r="R681" s="4"/>
      <c r="S681" s="4"/>
      <c r="T681" s="4"/>
      <c r="U681" s="4"/>
      <c r="V681" s="4"/>
      <c r="W681" s="4"/>
      <c r="X681" s="4"/>
    </row>
    <row r="682" spans="17:24" x14ac:dyDescent="0.3">
      <c r="Q682" s="4"/>
      <c r="R682" s="4"/>
      <c r="S682" s="4"/>
      <c r="T682" s="4"/>
      <c r="U682" s="4"/>
      <c r="V682" s="4"/>
      <c r="W682" s="4"/>
      <c r="X682" s="4"/>
    </row>
    <row r="683" spans="17:24" x14ac:dyDescent="0.3">
      <c r="Q683" s="4"/>
      <c r="R683" s="4"/>
      <c r="S683" s="4"/>
      <c r="T683" s="4"/>
      <c r="U683" s="4"/>
      <c r="V683" s="4"/>
      <c r="W683" s="4"/>
      <c r="X683" s="4"/>
    </row>
    <row r="684" spans="17:24" x14ac:dyDescent="0.3">
      <c r="Q684" s="4"/>
      <c r="R684" s="4"/>
      <c r="S684" s="4"/>
      <c r="T684" s="4"/>
      <c r="U684" s="4"/>
      <c r="V684" s="4"/>
      <c r="W684" s="4"/>
      <c r="X684" s="4"/>
    </row>
    <row r="685" spans="17:24" x14ac:dyDescent="0.3">
      <c r="Q685" s="4"/>
      <c r="R685" s="4"/>
      <c r="S685" s="4"/>
      <c r="T685" s="4"/>
      <c r="U685" s="4"/>
      <c r="V685" s="4"/>
      <c r="W685" s="4"/>
      <c r="X685" s="4"/>
    </row>
    <row r="686" spans="17:24" x14ac:dyDescent="0.3">
      <c r="Q686" s="4"/>
      <c r="R686" s="4"/>
      <c r="S686" s="4"/>
      <c r="T686" s="4"/>
      <c r="U686" s="4"/>
      <c r="V686" s="4"/>
      <c r="W686" s="4"/>
      <c r="X686" s="4"/>
    </row>
    <row r="687" spans="17:24" x14ac:dyDescent="0.3">
      <c r="Q687" s="4"/>
      <c r="R687" s="4"/>
      <c r="S687" s="4"/>
      <c r="T687" s="4"/>
      <c r="U687" s="4"/>
      <c r="V687" s="4"/>
      <c r="W687" s="4"/>
      <c r="X687" s="4"/>
    </row>
    <row r="688" spans="17:24" x14ac:dyDescent="0.3">
      <c r="Q688" s="4"/>
      <c r="R688" s="4"/>
      <c r="S688" s="4"/>
      <c r="T688" s="4"/>
      <c r="U688" s="4"/>
      <c r="V688" s="4"/>
      <c r="W688" s="4"/>
      <c r="X688" s="4"/>
    </row>
    <row r="689" spans="17:24" x14ac:dyDescent="0.3">
      <c r="Q689" s="4"/>
      <c r="R689" s="4"/>
      <c r="S689" s="4"/>
      <c r="T689" s="4"/>
      <c r="U689" s="4"/>
      <c r="V689" s="4"/>
      <c r="W689" s="4"/>
      <c r="X689" s="4"/>
    </row>
    <row r="690" spans="17:24" x14ac:dyDescent="0.3">
      <c r="Q690" s="4"/>
      <c r="R690" s="4"/>
      <c r="S690" s="4"/>
      <c r="T690" s="4"/>
      <c r="U690" s="4"/>
      <c r="V690" s="4"/>
      <c r="W690" s="4"/>
      <c r="X690" s="4"/>
    </row>
    <row r="691" spans="17:24" x14ac:dyDescent="0.3">
      <c r="Q691" s="4"/>
      <c r="R691" s="4"/>
      <c r="S691" s="4"/>
      <c r="T691" s="4"/>
      <c r="U691" s="4"/>
      <c r="V691" s="4"/>
      <c r="W691" s="4"/>
      <c r="X691" s="4"/>
    </row>
    <row r="692" spans="17:24" x14ac:dyDescent="0.3">
      <c r="Q692" s="4"/>
      <c r="R692" s="4"/>
      <c r="S692" s="4"/>
      <c r="T692" s="4"/>
      <c r="U692" s="4"/>
      <c r="V692" s="4"/>
      <c r="W692" s="4"/>
      <c r="X692" s="4"/>
    </row>
    <row r="693" spans="17:24" x14ac:dyDescent="0.3">
      <c r="Q693" s="4"/>
      <c r="R693" s="4"/>
      <c r="S693" s="4"/>
      <c r="T693" s="4"/>
      <c r="U693" s="4"/>
      <c r="V693" s="4"/>
      <c r="W693" s="4"/>
      <c r="X693" s="4"/>
    </row>
    <row r="694" spans="17:24" x14ac:dyDescent="0.3">
      <c r="Q694" s="4"/>
      <c r="R694" s="4"/>
      <c r="S694" s="4"/>
      <c r="T694" s="4"/>
      <c r="U694" s="4"/>
      <c r="V694" s="4"/>
      <c r="W694" s="4"/>
      <c r="X694" s="4"/>
    </row>
    <row r="695" spans="17:24" x14ac:dyDescent="0.3">
      <c r="Q695" s="4"/>
      <c r="R695" s="4"/>
      <c r="S695" s="4"/>
      <c r="T695" s="4"/>
      <c r="U695" s="4"/>
      <c r="V695" s="4"/>
      <c r="W695" s="4"/>
      <c r="X695" s="4"/>
    </row>
    <row r="696" spans="17:24" x14ac:dyDescent="0.3">
      <c r="Q696" s="4"/>
      <c r="R696" s="4"/>
      <c r="S696" s="4"/>
      <c r="T696" s="4"/>
      <c r="U696" s="4"/>
      <c r="V696" s="4"/>
      <c r="W696" s="4"/>
      <c r="X696" s="4"/>
    </row>
    <row r="697" spans="17:24" x14ac:dyDescent="0.3">
      <c r="Q697" s="4"/>
      <c r="R697" s="4"/>
      <c r="S697" s="4"/>
      <c r="T697" s="4"/>
      <c r="U697" s="4"/>
      <c r="V697" s="4"/>
      <c r="W697" s="4"/>
      <c r="X697" s="4"/>
    </row>
    <row r="698" spans="17:24" x14ac:dyDescent="0.3">
      <c r="Q698" s="4"/>
      <c r="R698" s="4"/>
      <c r="S698" s="4"/>
      <c r="T698" s="4"/>
      <c r="U698" s="4"/>
      <c r="V698" s="4"/>
      <c r="W698" s="4"/>
      <c r="X698" s="4"/>
    </row>
    <row r="699" spans="17:24" x14ac:dyDescent="0.3">
      <c r="Q699" s="4"/>
      <c r="R699" s="4"/>
      <c r="S699" s="4"/>
      <c r="T699" s="4"/>
      <c r="U699" s="4"/>
      <c r="V699" s="4"/>
      <c r="W699" s="4"/>
      <c r="X699" s="4"/>
    </row>
    <row r="700" spans="17:24" x14ac:dyDescent="0.3">
      <c r="Q700" s="4"/>
      <c r="R700" s="4"/>
      <c r="S700" s="4"/>
      <c r="T700" s="4"/>
      <c r="U700" s="4"/>
      <c r="V700" s="4"/>
      <c r="W700" s="4"/>
      <c r="X700" s="4"/>
    </row>
    <row r="701" spans="17:24" x14ac:dyDescent="0.3">
      <c r="Q701" s="4"/>
      <c r="R701" s="4"/>
      <c r="S701" s="4"/>
      <c r="T701" s="4"/>
      <c r="U701" s="4"/>
      <c r="V701" s="4"/>
      <c r="W701" s="4"/>
      <c r="X701" s="4"/>
    </row>
    <row r="702" spans="17:24" x14ac:dyDescent="0.3">
      <c r="Q702" s="4"/>
      <c r="R702" s="4"/>
      <c r="S702" s="4"/>
      <c r="T702" s="4"/>
      <c r="U702" s="4"/>
      <c r="V702" s="4"/>
      <c r="W702" s="4"/>
      <c r="X702" s="4"/>
    </row>
    <row r="703" spans="17:24" x14ac:dyDescent="0.3">
      <c r="Q703" s="4"/>
      <c r="R703" s="4"/>
      <c r="S703" s="4"/>
      <c r="T703" s="4"/>
      <c r="U703" s="4"/>
      <c r="V703" s="4"/>
      <c r="W703" s="4"/>
      <c r="X703" s="4"/>
    </row>
    <row r="704" spans="17:24" x14ac:dyDescent="0.3">
      <c r="Q704" s="4"/>
      <c r="R704" s="4"/>
      <c r="S704" s="4"/>
      <c r="T704" s="4"/>
      <c r="U704" s="4"/>
      <c r="V704" s="4"/>
      <c r="W704" s="4"/>
      <c r="X704" s="4"/>
    </row>
    <row r="705" spans="17:24" x14ac:dyDescent="0.3">
      <c r="Q705" s="4"/>
      <c r="R705" s="4"/>
      <c r="S705" s="4"/>
      <c r="T705" s="4"/>
      <c r="U705" s="4"/>
      <c r="V705" s="4"/>
      <c r="W705" s="4"/>
      <c r="X705" s="4"/>
    </row>
    <row r="706" spans="17:24" x14ac:dyDescent="0.3">
      <c r="Q706" s="4"/>
      <c r="R706" s="4"/>
      <c r="S706" s="4"/>
      <c r="T706" s="4"/>
      <c r="U706" s="4"/>
      <c r="V706" s="4"/>
      <c r="W706" s="4"/>
      <c r="X706" s="4"/>
    </row>
    <row r="707" spans="17:24" x14ac:dyDescent="0.3">
      <c r="Q707" s="4"/>
      <c r="R707" s="4"/>
      <c r="S707" s="4"/>
      <c r="T707" s="4"/>
      <c r="U707" s="4"/>
      <c r="V707" s="4"/>
      <c r="W707" s="4"/>
      <c r="X707" s="4"/>
    </row>
    <row r="708" spans="17:24" x14ac:dyDescent="0.3">
      <c r="Q708" s="4"/>
      <c r="R708" s="4"/>
      <c r="S708" s="4"/>
      <c r="T708" s="4"/>
      <c r="U708" s="4"/>
      <c r="V708" s="4"/>
      <c r="W708" s="4"/>
      <c r="X708" s="4"/>
    </row>
    <row r="709" spans="17:24" x14ac:dyDescent="0.3">
      <c r="Q709" s="4"/>
      <c r="R709" s="4"/>
      <c r="S709" s="4"/>
      <c r="T709" s="4"/>
      <c r="U709" s="4"/>
      <c r="V709" s="4"/>
      <c r="W709" s="4"/>
      <c r="X709" s="4"/>
    </row>
    <row r="710" spans="17:24" x14ac:dyDescent="0.3">
      <c r="Q710" s="4"/>
      <c r="R710" s="4"/>
      <c r="S710" s="4"/>
      <c r="T710" s="4"/>
      <c r="U710" s="4"/>
      <c r="V710" s="4"/>
      <c r="W710" s="4"/>
      <c r="X710" s="4"/>
    </row>
    <row r="711" spans="17:24" x14ac:dyDescent="0.3">
      <c r="Q711" s="4"/>
      <c r="R711" s="4"/>
      <c r="S711" s="4"/>
      <c r="T711" s="4"/>
      <c r="U711" s="4"/>
      <c r="V711" s="4"/>
      <c r="W711" s="4"/>
      <c r="X711" s="4"/>
    </row>
    <row r="712" spans="17:24" x14ac:dyDescent="0.3">
      <c r="Q712" s="4"/>
      <c r="R712" s="4"/>
      <c r="S712" s="4"/>
      <c r="T712" s="4"/>
      <c r="U712" s="4"/>
      <c r="V712" s="4"/>
      <c r="W712" s="4"/>
      <c r="X712" s="4"/>
    </row>
    <row r="713" spans="17:24" x14ac:dyDescent="0.3">
      <c r="Q713" s="4"/>
      <c r="R713" s="4"/>
      <c r="S713" s="4"/>
      <c r="T713" s="4"/>
      <c r="U713" s="4"/>
      <c r="V713" s="4"/>
      <c r="W713" s="4"/>
      <c r="X713" s="4"/>
    </row>
    <row r="714" spans="17:24" x14ac:dyDescent="0.3">
      <c r="Q714" s="4"/>
      <c r="R714" s="4"/>
      <c r="S714" s="4"/>
      <c r="T714" s="4"/>
      <c r="U714" s="4"/>
      <c r="V714" s="4"/>
      <c r="W714" s="4"/>
      <c r="X714" s="4"/>
    </row>
    <row r="715" spans="17:24" x14ac:dyDescent="0.3">
      <c r="Q715" s="4"/>
      <c r="R715" s="4"/>
      <c r="S715" s="4"/>
      <c r="T715" s="4"/>
      <c r="U715" s="4"/>
      <c r="V715" s="4"/>
      <c r="W715" s="4"/>
      <c r="X715" s="4"/>
    </row>
    <row r="716" spans="17:24" x14ac:dyDescent="0.3">
      <c r="Q716" s="4"/>
      <c r="R716" s="4"/>
      <c r="S716" s="4"/>
      <c r="T716" s="4"/>
      <c r="U716" s="4"/>
      <c r="V716" s="4"/>
      <c r="W716" s="4"/>
      <c r="X716" s="4"/>
    </row>
    <row r="717" spans="17:24" x14ac:dyDescent="0.3">
      <c r="Q717" s="4"/>
      <c r="R717" s="4"/>
      <c r="S717" s="4"/>
      <c r="T717" s="4"/>
      <c r="U717" s="4"/>
      <c r="V717" s="4"/>
      <c r="W717" s="4"/>
      <c r="X717" s="4"/>
    </row>
    <row r="718" spans="17:24" x14ac:dyDescent="0.3">
      <c r="Q718" s="4"/>
      <c r="R718" s="4"/>
      <c r="S718" s="4"/>
      <c r="T718" s="4"/>
      <c r="U718" s="4"/>
      <c r="V718" s="4"/>
      <c r="W718" s="4"/>
      <c r="X718" s="4"/>
    </row>
    <row r="719" spans="17:24" x14ac:dyDescent="0.3">
      <c r="Q719" s="4"/>
      <c r="R719" s="4"/>
      <c r="S719" s="4"/>
      <c r="T719" s="4"/>
      <c r="U719" s="4"/>
      <c r="V719" s="4"/>
      <c r="W719" s="4"/>
      <c r="X719" s="4"/>
    </row>
    <row r="720" spans="17:24" x14ac:dyDescent="0.3">
      <c r="Q720" s="4"/>
      <c r="R720" s="4"/>
      <c r="S720" s="4"/>
      <c r="T720" s="4"/>
      <c r="U720" s="4"/>
      <c r="V720" s="4"/>
      <c r="W720" s="4"/>
      <c r="X720" s="4"/>
    </row>
    <row r="721" spans="17:24" x14ac:dyDescent="0.3">
      <c r="Q721" s="4"/>
      <c r="R721" s="4"/>
      <c r="S721" s="4"/>
      <c r="T721" s="4"/>
      <c r="U721" s="4"/>
      <c r="V721" s="4"/>
      <c r="W721" s="4"/>
      <c r="X721" s="4"/>
    </row>
    <row r="722" spans="17:24" x14ac:dyDescent="0.3">
      <c r="Q722" s="4"/>
      <c r="R722" s="4"/>
      <c r="S722" s="4"/>
      <c r="T722" s="4"/>
      <c r="U722" s="4"/>
      <c r="V722" s="4"/>
      <c r="W722" s="4"/>
      <c r="X722" s="4"/>
    </row>
    <row r="723" spans="17:24" x14ac:dyDescent="0.3">
      <c r="Q723" s="4"/>
      <c r="R723" s="4"/>
      <c r="S723" s="4"/>
      <c r="T723" s="4"/>
      <c r="U723" s="4"/>
      <c r="V723" s="4"/>
      <c r="W723" s="4"/>
      <c r="X723" s="4"/>
    </row>
    <row r="724" spans="17:24" x14ac:dyDescent="0.3">
      <c r="Q724" s="4"/>
      <c r="R724" s="4"/>
      <c r="S724" s="4"/>
      <c r="T724" s="4"/>
      <c r="U724" s="4"/>
      <c r="V724" s="4"/>
      <c r="W724" s="4"/>
      <c r="X724" s="4"/>
    </row>
    <row r="725" spans="17:24" x14ac:dyDescent="0.3">
      <c r="Q725" s="4"/>
      <c r="R725" s="4"/>
      <c r="S725" s="4"/>
      <c r="T725" s="4"/>
      <c r="U725" s="4"/>
      <c r="V725" s="4"/>
      <c r="W725" s="4"/>
      <c r="X725" s="4"/>
    </row>
    <row r="726" spans="17:24" x14ac:dyDescent="0.3">
      <c r="Q726" s="4"/>
      <c r="R726" s="4"/>
      <c r="S726" s="4"/>
      <c r="T726" s="4"/>
      <c r="U726" s="4"/>
      <c r="V726" s="4"/>
      <c r="W726" s="4"/>
      <c r="X726" s="4"/>
    </row>
    <row r="727" spans="17:24" x14ac:dyDescent="0.3">
      <c r="Q727" s="4"/>
      <c r="R727" s="4"/>
      <c r="S727" s="4"/>
      <c r="T727" s="4"/>
      <c r="U727" s="4"/>
      <c r="V727" s="4"/>
      <c r="W727" s="4"/>
      <c r="X727" s="4"/>
    </row>
    <row r="728" spans="17:24" x14ac:dyDescent="0.3">
      <c r="Q728" s="4"/>
      <c r="R728" s="4"/>
      <c r="S728" s="4"/>
      <c r="T728" s="4"/>
      <c r="U728" s="4"/>
      <c r="V728" s="4"/>
      <c r="W728" s="4"/>
      <c r="X728" s="4"/>
    </row>
    <row r="729" spans="17:24" x14ac:dyDescent="0.3">
      <c r="Q729" s="4"/>
      <c r="R729" s="4"/>
      <c r="S729" s="4"/>
      <c r="T729" s="4"/>
      <c r="U729" s="4"/>
      <c r="V729" s="4"/>
      <c r="W729" s="4"/>
      <c r="X729" s="4"/>
    </row>
    <row r="730" spans="17:24" x14ac:dyDescent="0.3">
      <c r="Q730" s="4"/>
      <c r="R730" s="4"/>
      <c r="S730" s="4"/>
      <c r="T730" s="4"/>
      <c r="U730" s="4"/>
      <c r="V730" s="4"/>
      <c r="W730" s="4"/>
      <c r="X730" s="4"/>
    </row>
    <row r="731" spans="17:24" x14ac:dyDescent="0.3">
      <c r="Q731" s="4"/>
      <c r="R731" s="4"/>
      <c r="S731" s="4"/>
      <c r="T731" s="4"/>
      <c r="U731" s="4"/>
      <c r="V731" s="4"/>
      <c r="W731" s="4"/>
      <c r="X731" s="4"/>
    </row>
    <row r="732" spans="17:24" x14ac:dyDescent="0.3">
      <c r="Q732" s="4"/>
      <c r="R732" s="4"/>
      <c r="S732" s="4"/>
      <c r="T732" s="4"/>
      <c r="U732" s="4"/>
      <c r="V732" s="4"/>
      <c r="W732" s="4"/>
      <c r="X732" s="4"/>
    </row>
    <row r="733" spans="17:24" x14ac:dyDescent="0.3">
      <c r="Q733" s="4"/>
      <c r="R733" s="4"/>
      <c r="S733" s="4"/>
      <c r="T733" s="4"/>
      <c r="U733" s="4"/>
      <c r="V733" s="4"/>
      <c r="W733" s="4"/>
      <c r="X733" s="4"/>
    </row>
    <row r="734" spans="17:24" x14ac:dyDescent="0.3">
      <c r="Q734" s="4"/>
      <c r="R734" s="4"/>
      <c r="S734" s="4"/>
      <c r="T734" s="4"/>
      <c r="U734" s="4"/>
      <c r="V734" s="4"/>
      <c r="W734" s="4"/>
      <c r="X734" s="4"/>
    </row>
    <row r="735" spans="17:24" x14ac:dyDescent="0.3">
      <c r="Q735" s="4"/>
      <c r="R735" s="4"/>
      <c r="S735" s="4"/>
      <c r="T735" s="4"/>
      <c r="U735" s="4"/>
      <c r="V735" s="4"/>
      <c r="W735" s="4"/>
      <c r="X735" s="4"/>
    </row>
    <row r="736" spans="17:24" x14ac:dyDescent="0.3">
      <c r="Q736" s="4"/>
      <c r="R736" s="4"/>
      <c r="S736" s="4"/>
      <c r="T736" s="4"/>
      <c r="U736" s="4"/>
      <c r="V736" s="4"/>
      <c r="W736" s="4"/>
      <c r="X736" s="4"/>
    </row>
    <row r="737" spans="17:24" x14ac:dyDescent="0.3">
      <c r="Q737" s="4"/>
      <c r="R737" s="4"/>
      <c r="S737" s="4"/>
      <c r="T737" s="4"/>
      <c r="U737" s="4"/>
      <c r="V737" s="4"/>
      <c r="W737" s="4"/>
      <c r="X737" s="4"/>
    </row>
    <row r="738" spans="17:24" x14ac:dyDescent="0.3">
      <c r="Q738" s="4"/>
      <c r="R738" s="4"/>
      <c r="S738" s="4"/>
      <c r="T738" s="4"/>
      <c r="U738" s="4"/>
      <c r="V738" s="4"/>
      <c r="W738" s="4"/>
      <c r="X738" s="4"/>
    </row>
    <row r="739" spans="17:24" x14ac:dyDescent="0.3">
      <c r="Q739" s="4"/>
      <c r="R739" s="4"/>
      <c r="S739" s="4"/>
      <c r="T739" s="4"/>
      <c r="U739" s="4"/>
      <c r="V739" s="4"/>
      <c r="W739" s="4"/>
      <c r="X739" s="4"/>
    </row>
    <row r="740" spans="17:24" x14ac:dyDescent="0.3">
      <c r="Q740" s="4"/>
      <c r="R740" s="4"/>
      <c r="S740" s="4"/>
      <c r="T740" s="4"/>
      <c r="U740" s="4"/>
      <c r="V740" s="4"/>
      <c r="W740" s="4"/>
      <c r="X740" s="4"/>
    </row>
    <row r="741" spans="17:24" x14ac:dyDescent="0.3">
      <c r="Q741" s="4"/>
      <c r="R741" s="4"/>
      <c r="S741" s="4"/>
      <c r="T741" s="4"/>
      <c r="U741" s="4"/>
      <c r="V741" s="4"/>
      <c r="W741" s="4"/>
      <c r="X741" s="4"/>
    </row>
    <row r="742" spans="17:24" x14ac:dyDescent="0.3">
      <c r="Q742" s="4"/>
      <c r="R742" s="4"/>
      <c r="S742" s="4"/>
      <c r="T742" s="4"/>
      <c r="U742" s="4"/>
      <c r="V742" s="4"/>
      <c r="W742" s="4"/>
      <c r="X742" s="4"/>
    </row>
    <row r="743" spans="17:24" x14ac:dyDescent="0.3">
      <c r="Q743" s="4"/>
      <c r="R743" s="4"/>
      <c r="S743" s="4"/>
      <c r="T743" s="4"/>
      <c r="U743" s="4"/>
      <c r="V743" s="4"/>
      <c r="W743" s="4"/>
      <c r="X743" s="4"/>
    </row>
    <row r="744" spans="17:24" x14ac:dyDescent="0.3">
      <c r="Q744" s="4"/>
      <c r="R744" s="4"/>
      <c r="S744" s="4"/>
      <c r="T744" s="4"/>
      <c r="U744" s="4"/>
      <c r="V744" s="4"/>
      <c r="W744" s="4"/>
      <c r="X744" s="4"/>
    </row>
    <row r="745" spans="17:24" x14ac:dyDescent="0.3">
      <c r="Q745" s="4"/>
      <c r="R745" s="4"/>
      <c r="S745" s="4"/>
      <c r="T745" s="4"/>
      <c r="U745" s="4"/>
      <c r="V745" s="4"/>
      <c r="W745" s="4"/>
      <c r="X745" s="4"/>
    </row>
    <row r="746" spans="17:24" x14ac:dyDescent="0.3">
      <c r="Q746" s="4"/>
      <c r="R746" s="4"/>
      <c r="S746" s="4"/>
      <c r="T746" s="4"/>
      <c r="U746" s="4"/>
      <c r="V746" s="4"/>
      <c r="W746" s="4"/>
      <c r="X746" s="4"/>
    </row>
    <row r="747" spans="17:24" x14ac:dyDescent="0.3">
      <c r="Q747" s="4"/>
      <c r="R747" s="4"/>
      <c r="S747" s="4"/>
      <c r="T747" s="4"/>
      <c r="U747" s="4"/>
      <c r="V747" s="4"/>
      <c r="W747" s="4"/>
      <c r="X747" s="4"/>
    </row>
    <row r="748" spans="17:24" x14ac:dyDescent="0.3">
      <c r="Q748" s="4"/>
      <c r="R748" s="4"/>
      <c r="S748" s="4"/>
      <c r="T748" s="4"/>
      <c r="U748" s="4"/>
      <c r="V748" s="4"/>
      <c r="W748" s="4"/>
      <c r="X748" s="4"/>
    </row>
    <row r="749" spans="17:24" x14ac:dyDescent="0.3">
      <c r="Q749" s="4"/>
      <c r="R749" s="4"/>
      <c r="S749" s="4"/>
      <c r="T749" s="4"/>
      <c r="U749" s="4"/>
      <c r="V749" s="4"/>
      <c r="W749" s="4"/>
      <c r="X749" s="4"/>
    </row>
    <row r="750" spans="17:24" x14ac:dyDescent="0.3">
      <c r="Q750" s="4"/>
      <c r="R750" s="4"/>
      <c r="S750" s="4"/>
      <c r="T750" s="4"/>
      <c r="U750" s="4"/>
      <c r="V750" s="4"/>
      <c r="W750" s="4"/>
      <c r="X750" s="4"/>
    </row>
    <row r="751" spans="17:24" x14ac:dyDescent="0.3">
      <c r="Q751" s="4"/>
      <c r="R751" s="4"/>
      <c r="S751" s="4"/>
      <c r="T751" s="4"/>
      <c r="U751" s="4"/>
      <c r="V751" s="4"/>
      <c r="W751" s="4"/>
      <c r="X751" s="4"/>
    </row>
    <row r="752" spans="17:24" x14ac:dyDescent="0.3">
      <c r="Q752" s="4"/>
      <c r="R752" s="4"/>
      <c r="S752" s="4"/>
      <c r="T752" s="4"/>
      <c r="U752" s="4"/>
      <c r="V752" s="4"/>
      <c r="W752" s="4"/>
      <c r="X752" s="4"/>
    </row>
    <row r="753" spans="17:24" x14ac:dyDescent="0.3">
      <c r="Q753" s="4"/>
      <c r="R753" s="4"/>
      <c r="S753" s="4"/>
      <c r="T753" s="4"/>
      <c r="U753" s="4"/>
      <c r="V753" s="4"/>
      <c r="W753" s="4"/>
      <c r="X753" s="4"/>
    </row>
    <row r="754" spans="17:24" x14ac:dyDescent="0.3">
      <c r="Q754" s="4"/>
      <c r="R754" s="4"/>
      <c r="S754" s="4"/>
      <c r="T754" s="4"/>
      <c r="U754" s="4"/>
      <c r="V754" s="4"/>
      <c r="W754" s="4"/>
      <c r="X754" s="4"/>
    </row>
    <row r="755" spans="17:24" x14ac:dyDescent="0.3">
      <c r="Q755" s="4"/>
      <c r="R755" s="4"/>
      <c r="S755" s="4"/>
      <c r="T755" s="4"/>
      <c r="U755" s="4"/>
      <c r="V755" s="4"/>
      <c r="W755" s="4"/>
      <c r="X755" s="4"/>
    </row>
    <row r="756" spans="17:24" x14ac:dyDescent="0.3">
      <c r="Q756" s="4"/>
      <c r="R756" s="4"/>
      <c r="S756" s="4"/>
      <c r="T756" s="4"/>
      <c r="U756" s="4"/>
      <c r="V756" s="4"/>
      <c r="W756" s="4"/>
      <c r="X756" s="4"/>
    </row>
    <row r="757" spans="17:24" x14ac:dyDescent="0.3">
      <c r="Q757" s="4"/>
      <c r="R757" s="4"/>
      <c r="S757" s="4"/>
      <c r="T757" s="4"/>
      <c r="U757" s="4"/>
      <c r="V757" s="4"/>
      <c r="W757" s="4"/>
      <c r="X757" s="4"/>
    </row>
    <row r="758" spans="17:24" x14ac:dyDescent="0.3">
      <c r="Q758" s="4"/>
      <c r="R758" s="4"/>
      <c r="S758" s="4"/>
      <c r="T758" s="4"/>
      <c r="U758" s="4"/>
      <c r="V758" s="4"/>
      <c r="W758" s="4"/>
      <c r="X758" s="4"/>
    </row>
    <row r="759" spans="17:24" x14ac:dyDescent="0.3">
      <c r="Q759" s="4"/>
      <c r="R759" s="4"/>
      <c r="S759" s="4"/>
      <c r="T759" s="4"/>
      <c r="U759" s="4"/>
      <c r="V759" s="4"/>
      <c r="W759" s="4"/>
      <c r="X759" s="4"/>
    </row>
    <row r="760" spans="17:24" x14ac:dyDescent="0.3">
      <c r="Q760" s="4"/>
      <c r="R760" s="4"/>
      <c r="S760" s="4"/>
      <c r="T760" s="4"/>
      <c r="U760" s="4"/>
      <c r="V760" s="4"/>
      <c r="W760" s="4"/>
      <c r="X760" s="4"/>
    </row>
    <row r="761" spans="17:24" x14ac:dyDescent="0.3">
      <c r="Q761" s="4"/>
      <c r="R761" s="4"/>
      <c r="S761" s="4"/>
      <c r="T761" s="4"/>
      <c r="U761" s="4"/>
      <c r="V761" s="4"/>
      <c r="W761" s="4"/>
      <c r="X761" s="4"/>
    </row>
    <row r="762" spans="17:24" x14ac:dyDescent="0.3">
      <c r="Q762" s="4"/>
      <c r="R762" s="4"/>
      <c r="S762" s="4"/>
      <c r="T762" s="4"/>
      <c r="U762" s="4"/>
      <c r="V762" s="4"/>
      <c r="W762" s="4"/>
      <c r="X762" s="4"/>
    </row>
    <row r="763" spans="17:24" x14ac:dyDescent="0.3">
      <c r="Q763" s="4"/>
      <c r="R763" s="4"/>
      <c r="S763" s="4"/>
      <c r="T763" s="4"/>
      <c r="U763" s="4"/>
      <c r="V763" s="4"/>
      <c r="W763" s="4"/>
      <c r="X763" s="4"/>
    </row>
    <row r="764" spans="17:24" x14ac:dyDescent="0.3">
      <c r="Q764" s="4"/>
      <c r="R764" s="4"/>
      <c r="S764" s="4"/>
      <c r="T764" s="4"/>
      <c r="U764" s="4"/>
      <c r="V764" s="4"/>
      <c r="W764" s="4"/>
      <c r="X764" s="4"/>
    </row>
    <row r="765" spans="17:24" x14ac:dyDescent="0.3">
      <c r="Q765" s="4"/>
      <c r="R765" s="4"/>
      <c r="S765" s="4"/>
      <c r="T765" s="4"/>
      <c r="U765" s="4"/>
      <c r="V765" s="4"/>
      <c r="W765" s="4"/>
      <c r="X765" s="4"/>
    </row>
    <row r="766" spans="17:24" x14ac:dyDescent="0.3">
      <c r="Q766" s="4"/>
      <c r="R766" s="4"/>
      <c r="S766" s="4"/>
      <c r="T766" s="4"/>
      <c r="U766" s="4"/>
      <c r="V766" s="4"/>
      <c r="W766" s="4"/>
      <c r="X766" s="4"/>
    </row>
    <row r="767" spans="17:24" x14ac:dyDescent="0.3">
      <c r="Q767" s="4"/>
      <c r="R767" s="4"/>
      <c r="S767" s="4"/>
      <c r="T767" s="4"/>
      <c r="U767" s="4"/>
      <c r="V767" s="4"/>
      <c r="W767" s="4"/>
      <c r="X767" s="4"/>
    </row>
    <row r="768" spans="17:24" x14ac:dyDescent="0.3">
      <c r="Q768" s="4"/>
      <c r="R768" s="4"/>
      <c r="S768" s="4"/>
      <c r="T768" s="4"/>
      <c r="U768" s="4"/>
      <c r="V768" s="4"/>
      <c r="W768" s="4"/>
      <c r="X768" s="4"/>
    </row>
    <row r="769" spans="17:24" x14ac:dyDescent="0.3">
      <c r="Q769" s="4"/>
      <c r="R769" s="4"/>
      <c r="S769" s="4"/>
      <c r="T769" s="4"/>
      <c r="U769" s="4"/>
      <c r="V769" s="4"/>
      <c r="W769" s="4"/>
      <c r="X769" s="4"/>
    </row>
    <row r="770" spans="17:24" x14ac:dyDescent="0.3">
      <c r="Q770" s="4"/>
      <c r="R770" s="4"/>
      <c r="S770" s="4"/>
      <c r="T770" s="4"/>
      <c r="U770" s="4"/>
      <c r="V770" s="4"/>
      <c r="W770" s="4"/>
      <c r="X770" s="4"/>
    </row>
    <row r="771" spans="17:24" x14ac:dyDescent="0.3">
      <c r="Q771" s="4"/>
      <c r="R771" s="4"/>
      <c r="S771" s="4"/>
      <c r="T771" s="4"/>
      <c r="U771" s="4"/>
      <c r="V771" s="4"/>
      <c r="W771" s="4"/>
      <c r="X771" s="4"/>
    </row>
    <row r="772" spans="17:24" x14ac:dyDescent="0.3">
      <c r="Q772" s="4"/>
      <c r="R772" s="4"/>
      <c r="S772" s="4"/>
      <c r="T772" s="4"/>
      <c r="U772" s="4"/>
      <c r="V772" s="4"/>
      <c r="W772" s="4"/>
      <c r="X772" s="4"/>
    </row>
    <row r="773" spans="17:24" x14ac:dyDescent="0.3">
      <c r="Q773" s="4"/>
      <c r="R773" s="4"/>
      <c r="S773" s="4"/>
      <c r="T773" s="4"/>
      <c r="U773" s="4"/>
      <c r="V773" s="4"/>
      <c r="W773" s="4"/>
      <c r="X773" s="4"/>
    </row>
    <row r="774" spans="17:24" x14ac:dyDescent="0.3">
      <c r="Q774" s="4"/>
      <c r="R774" s="4"/>
      <c r="S774" s="4"/>
      <c r="T774" s="4"/>
      <c r="U774" s="4"/>
      <c r="V774" s="4"/>
      <c r="W774" s="4"/>
      <c r="X774" s="4"/>
    </row>
    <row r="775" spans="17:24" x14ac:dyDescent="0.3">
      <c r="Q775" s="4"/>
      <c r="R775" s="4"/>
      <c r="S775" s="4"/>
      <c r="T775" s="4"/>
      <c r="U775" s="4"/>
      <c r="V775" s="4"/>
      <c r="W775" s="4"/>
      <c r="X775" s="4"/>
    </row>
    <row r="776" spans="17:24" x14ac:dyDescent="0.3">
      <c r="Q776" s="4"/>
      <c r="R776" s="4"/>
      <c r="S776" s="4"/>
      <c r="T776" s="4"/>
      <c r="U776" s="4"/>
      <c r="V776" s="4"/>
      <c r="W776" s="4"/>
      <c r="X776" s="4"/>
    </row>
    <row r="777" spans="17:24" x14ac:dyDescent="0.3">
      <c r="Q777" s="4"/>
      <c r="R777" s="4"/>
      <c r="S777" s="4"/>
      <c r="T777" s="4"/>
      <c r="U777" s="4"/>
      <c r="V777" s="4"/>
      <c r="W777" s="4"/>
      <c r="X777" s="4"/>
    </row>
    <row r="778" spans="17:24" x14ac:dyDescent="0.3">
      <c r="Q778" s="4"/>
      <c r="R778" s="4"/>
      <c r="S778" s="4"/>
      <c r="T778" s="4"/>
      <c r="U778" s="4"/>
      <c r="V778" s="4"/>
      <c r="W778" s="4"/>
      <c r="X778" s="4"/>
    </row>
    <row r="779" spans="17:24" x14ac:dyDescent="0.3">
      <c r="Q779" s="4"/>
      <c r="R779" s="4"/>
      <c r="S779" s="4"/>
      <c r="T779" s="4"/>
      <c r="U779" s="4"/>
      <c r="V779" s="4"/>
      <c r="W779" s="4"/>
      <c r="X779" s="4"/>
    </row>
    <row r="780" spans="17:24" x14ac:dyDescent="0.3">
      <c r="Q780" s="4"/>
      <c r="R780" s="4"/>
      <c r="S780" s="4"/>
      <c r="T780" s="4"/>
      <c r="U780" s="4"/>
      <c r="V780" s="4"/>
      <c r="W780" s="4"/>
      <c r="X780" s="4"/>
    </row>
    <row r="781" spans="17:24" x14ac:dyDescent="0.3">
      <c r="Q781" s="4"/>
      <c r="R781" s="4"/>
      <c r="S781" s="4"/>
      <c r="T781" s="4"/>
      <c r="U781" s="4"/>
      <c r="V781" s="4"/>
      <c r="W781" s="4"/>
      <c r="X781" s="4"/>
    </row>
    <row r="782" spans="17:24" x14ac:dyDescent="0.3">
      <c r="Q782" s="4"/>
      <c r="R782" s="4"/>
      <c r="S782" s="4"/>
      <c r="T782" s="4"/>
      <c r="U782" s="4"/>
      <c r="V782" s="4"/>
      <c r="W782" s="4"/>
      <c r="X782" s="4"/>
    </row>
    <row r="783" spans="17:24" x14ac:dyDescent="0.3">
      <c r="Q783" s="4"/>
      <c r="R783" s="4"/>
      <c r="S783" s="4"/>
      <c r="T783" s="4"/>
      <c r="U783" s="4"/>
      <c r="V783" s="4"/>
      <c r="W783" s="4"/>
      <c r="X783" s="4"/>
    </row>
    <row r="784" spans="17:24" x14ac:dyDescent="0.3">
      <c r="Q784" s="4"/>
      <c r="R784" s="4"/>
      <c r="S784" s="4"/>
      <c r="T784" s="4"/>
      <c r="U784" s="4"/>
      <c r="V784" s="4"/>
      <c r="W784" s="4"/>
      <c r="X784" s="4"/>
    </row>
    <row r="785" spans="17:24" x14ac:dyDescent="0.3">
      <c r="Q785" s="4"/>
      <c r="R785" s="4"/>
      <c r="S785" s="4"/>
      <c r="T785" s="4"/>
      <c r="U785" s="4"/>
      <c r="V785" s="4"/>
      <c r="W785" s="4"/>
      <c r="X785" s="4"/>
    </row>
    <row r="786" spans="17:24" x14ac:dyDescent="0.3">
      <c r="Q786" s="4"/>
      <c r="R786" s="4"/>
      <c r="S786" s="4"/>
      <c r="T786" s="4"/>
      <c r="U786" s="4"/>
      <c r="V786" s="4"/>
      <c r="W786" s="4"/>
      <c r="X786" s="4"/>
    </row>
    <row r="787" spans="17:24" x14ac:dyDescent="0.3">
      <c r="Q787" s="4"/>
      <c r="R787" s="4"/>
      <c r="S787" s="4"/>
      <c r="T787" s="4"/>
      <c r="U787" s="4"/>
      <c r="V787" s="4"/>
      <c r="W787" s="4"/>
      <c r="X787" s="4"/>
    </row>
    <row r="788" spans="17:24" x14ac:dyDescent="0.3">
      <c r="Q788" s="4"/>
      <c r="R788" s="4"/>
      <c r="S788" s="4"/>
      <c r="T788" s="4"/>
      <c r="U788" s="4"/>
      <c r="V788" s="4"/>
      <c r="W788" s="4"/>
      <c r="X788" s="4"/>
    </row>
    <row r="789" spans="17:24" x14ac:dyDescent="0.3">
      <c r="Q789" s="4"/>
      <c r="R789" s="4"/>
      <c r="S789" s="4"/>
      <c r="T789" s="4"/>
      <c r="U789" s="4"/>
      <c r="V789" s="4"/>
      <c r="W789" s="4"/>
      <c r="X789" s="4"/>
    </row>
    <row r="790" spans="17:24" x14ac:dyDescent="0.3">
      <c r="Q790" s="4"/>
      <c r="R790" s="4"/>
      <c r="S790" s="4"/>
      <c r="T790" s="4"/>
      <c r="U790" s="4"/>
      <c r="V790" s="4"/>
      <c r="W790" s="4"/>
      <c r="X790" s="4"/>
    </row>
    <row r="791" spans="17:24" x14ac:dyDescent="0.3">
      <c r="Q791" s="4"/>
      <c r="R791" s="4"/>
      <c r="S791" s="4"/>
      <c r="T791" s="4"/>
      <c r="U791" s="4"/>
      <c r="V791" s="4"/>
      <c r="W791" s="4"/>
      <c r="X791" s="4"/>
    </row>
    <row r="792" spans="17:24" x14ac:dyDescent="0.3">
      <c r="Q792" s="4"/>
      <c r="R792" s="4"/>
      <c r="S792" s="4"/>
      <c r="T792" s="4"/>
      <c r="U792" s="4"/>
      <c r="V792" s="4"/>
      <c r="W792" s="4"/>
      <c r="X792" s="4"/>
    </row>
    <row r="793" spans="17:24" x14ac:dyDescent="0.3">
      <c r="Q793" s="4"/>
      <c r="R793" s="4"/>
      <c r="S793" s="4"/>
      <c r="T793" s="4"/>
      <c r="U793" s="4"/>
      <c r="V793" s="4"/>
      <c r="W793" s="4"/>
      <c r="X793" s="4"/>
    </row>
    <row r="794" spans="17:24" x14ac:dyDescent="0.3">
      <c r="Q794" s="4"/>
      <c r="R794" s="4"/>
      <c r="S794" s="4"/>
      <c r="T794" s="4"/>
      <c r="U794" s="4"/>
      <c r="V794" s="4"/>
      <c r="W794" s="4"/>
      <c r="X794" s="4"/>
    </row>
    <row r="795" spans="17:24" x14ac:dyDescent="0.3">
      <c r="Q795" s="4"/>
      <c r="R795" s="4"/>
      <c r="S795" s="4"/>
      <c r="T795" s="4"/>
      <c r="U795" s="4"/>
      <c r="V795" s="4"/>
      <c r="W795" s="4"/>
      <c r="X795" s="4"/>
    </row>
    <row r="796" spans="17:24" x14ac:dyDescent="0.3">
      <c r="Q796" s="4"/>
      <c r="R796" s="4"/>
      <c r="S796" s="4"/>
      <c r="T796" s="4"/>
      <c r="U796" s="4"/>
      <c r="V796" s="4"/>
      <c r="W796" s="4"/>
      <c r="X796" s="4"/>
    </row>
    <row r="797" spans="17:24" x14ac:dyDescent="0.3">
      <c r="Q797" s="4"/>
      <c r="R797" s="4"/>
      <c r="S797" s="4"/>
      <c r="T797" s="4"/>
      <c r="U797" s="4"/>
      <c r="V797" s="4"/>
      <c r="W797" s="4"/>
      <c r="X797" s="4"/>
    </row>
    <row r="798" spans="17:24" x14ac:dyDescent="0.3">
      <c r="Q798" s="4"/>
      <c r="R798" s="4"/>
      <c r="S798" s="4"/>
      <c r="T798" s="4"/>
      <c r="U798" s="4"/>
      <c r="V798" s="4"/>
      <c r="W798" s="4"/>
      <c r="X798" s="4"/>
    </row>
    <row r="799" spans="17:24" x14ac:dyDescent="0.3">
      <c r="Q799" s="4"/>
      <c r="R799" s="4"/>
      <c r="S799" s="4"/>
      <c r="T799" s="4"/>
      <c r="U799" s="4"/>
      <c r="V799" s="4"/>
      <c r="W799" s="4"/>
      <c r="X799" s="4"/>
    </row>
    <row r="800" spans="17:24" x14ac:dyDescent="0.3">
      <c r="Q800" s="4"/>
      <c r="R800" s="4"/>
      <c r="S800" s="4"/>
      <c r="T800" s="4"/>
      <c r="U800" s="4"/>
      <c r="V800" s="4"/>
      <c r="W800" s="4"/>
      <c r="X800" s="4"/>
    </row>
    <row r="801" spans="17:24" x14ac:dyDescent="0.3">
      <c r="Q801" s="4"/>
      <c r="R801" s="4"/>
      <c r="S801" s="4"/>
      <c r="T801" s="4"/>
      <c r="U801" s="4"/>
      <c r="V801" s="4"/>
      <c r="W801" s="4"/>
      <c r="X801" s="4"/>
    </row>
    <row r="802" spans="17:24" x14ac:dyDescent="0.3">
      <c r="Q802" s="4"/>
      <c r="R802" s="4"/>
      <c r="S802" s="4"/>
      <c r="T802" s="4"/>
      <c r="U802" s="4"/>
      <c r="V802" s="4"/>
      <c r="W802" s="4"/>
      <c r="X802" s="4"/>
    </row>
    <row r="803" spans="17:24" x14ac:dyDescent="0.3">
      <c r="Q803" s="4"/>
      <c r="R803" s="4"/>
      <c r="S803" s="4"/>
      <c r="T803" s="4"/>
      <c r="U803" s="4"/>
      <c r="V803" s="4"/>
      <c r="W803" s="4"/>
      <c r="X803" s="4"/>
    </row>
    <row r="804" spans="17:24" x14ac:dyDescent="0.3">
      <c r="Q804" s="4"/>
      <c r="R804" s="4"/>
      <c r="S804" s="4"/>
      <c r="T804" s="4"/>
      <c r="U804" s="4"/>
      <c r="V804" s="4"/>
      <c r="W804" s="4"/>
      <c r="X804" s="4"/>
    </row>
    <row r="805" spans="17:24" x14ac:dyDescent="0.3">
      <c r="Q805" s="4"/>
      <c r="R805" s="4"/>
      <c r="S805" s="4"/>
      <c r="T805" s="4"/>
      <c r="U805" s="4"/>
      <c r="V805" s="4"/>
      <c r="W805" s="4"/>
      <c r="X805" s="4"/>
    </row>
    <row r="806" spans="17:24" x14ac:dyDescent="0.3">
      <c r="Q806" s="4"/>
      <c r="R806" s="4"/>
      <c r="S806" s="4"/>
      <c r="T806" s="4"/>
      <c r="U806" s="4"/>
      <c r="V806" s="4"/>
      <c r="W806" s="4"/>
      <c r="X806" s="4"/>
    </row>
    <row r="807" spans="17:24" x14ac:dyDescent="0.3">
      <c r="Q807" s="4"/>
      <c r="R807" s="4"/>
      <c r="S807" s="4"/>
      <c r="T807" s="4"/>
      <c r="U807" s="4"/>
      <c r="V807" s="4"/>
      <c r="W807" s="4"/>
      <c r="X807" s="4"/>
    </row>
    <row r="808" spans="17:24" x14ac:dyDescent="0.3">
      <c r="Q808" s="4"/>
      <c r="R808" s="4"/>
      <c r="S808" s="4"/>
      <c r="T808" s="4"/>
      <c r="U808" s="4"/>
      <c r="V808" s="4"/>
      <c r="W808" s="4"/>
      <c r="X808" s="4"/>
    </row>
    <row r="809" spans="17:24" x14ac:dyDescent="0.3">
      <c r="Q809" s="4"/>
      <c r="R809" s="4"/>
      <c r="S809" s="4"/>
      <c r="T809" s="4"/>
      <c r="U809" s="4"/>
      <c r="V809" s="4"/>
      <c r="W809" s="4"/>
      <c r="X809" s="4"/>
    </row>
    <row r="810" spans="17:24" x14ac:dyDescent="0.3">
      <c r="Q810" s="4"/>
      <c r="R810" s="4"/>
      <c r="S810" s="4"/>
      <c r="T810" s="4"/>
      <c r="U810" s="4"/>
      <c r="V810" s="4"/>
      <c r="W810" s="4"/>
      <c r="X810" s="4"/>
    </row>
    <row r="811" spans="17:24" x14ac:dyDescent="0.3">
      <c r="Q811" s="4"/>
      <c r="R811" s="4"/>
      <c r="S811" s="4"/>
      <c r="T811" s="4"/>
      <c r="U811" s="4"/>
      <c r="V811" s="4"/>
      <c r="W811" s="4"/>
      <c r="X811" s="4"/>
    </row>
    <row r="812" spans="17:24" x14ac:dyDescent="0.3">
      <c r="Q812" s="4"/>
      <c r="R812" s="4"/>
      <c r="S812" s="4"/>
      <c r="T812" s="4"/>
      <c r="U812" s="4"/>
      <c r="V812" s="4"/>
      <c r="W812" s="4"/>
      <c r="X812" s="4"/>
    </row>
    <row r="813" spans="17:24" x14ac:dyDescent="0.3">
      <c r="Q813" s="4"/>
      <c r="R813" s="4"/>
      <c r="S813" s="4"/>
      <c r="T813" s="4"/>
      <c r="U813" s="4"/>
      <c r="V813" s="4"/>
      <c r="W813" s="4"/>
      <c r="X813" s="4"/>
    </row>
    <row r="814" spans="17:24" x14ac:dyDescent="0.3">
      <c r="Q814" s="4"/>
      <c r="R814" s="4"/>
      <c r="S814" s="4"/>
      <c r="T814" s="4"/>
      <c r="U814" s="4"/>
      <c r="V814" s="4"/>
      <c r="W814" s="4"/>
      <c r="X814" s="4"/>
    </row>
    <row r="815" spans="17:24" x14ac:dyDescent="0.3">
      <c r="Q815" s="4"/>
      <c r="R815" s="4"/>
      <c r="S815" s="4"/>
      <c r="T815" s="4"/>
      <c r="U815" s="4"/>
      <c r="V815" s="4"/>
      <c r="W815" s="4"/>
      <c r="X815" s="4"/>
    </row>
    <row r="816" spans="17:24" x14ac:dyDescent="0.3">
      <c r="Q816" s="4"/>
      <c r="R816" s="4"/>
      <c r="S816" s="4"/>
      <c r="T816" s="4"/>
      <c r="U816" s="4"/>
      <c r="V816" s="4"/>
      <c r="W816" s="4"/>
      <c r="X816" s="4"/>
    </row>
    <row r="817" spans="17:24" x14ac:dyDescent="0.3">
      <c r="Q817" s="4"/>
      <c r="R817" s="4"/>
      <c r="S817" s="4"/>
      <c r="T817" s="4"/>
      <c r="U817" s="4"/>
      <c r="V817" s="4"/>
      <c r="W817" s="4"/>
      <c r="X817" s="4"/>
    </row>
    <row r="818" spans="17:24" x14ac:dyDescent="0.3">
      <c r="Q818" s="4"/>
      <c r="R818" s="4"/>
      <c r="S818" s="4"/>
      <c r="T818" s="4"/>
      <c r="U818" s="4"/>
      <c r="V818" s="4"/>
      <c r="W818" s="4"/>
      <c r="X818" s="4"/>
    </row>
    <row r="819" spans="17:24" x14ac:dyDescent="0.3">
      <c r="Q819" s="4"/>
      <c r="R819" s="4"/>
      <c r="S819" s="4"/>
      <c r="T819" s="4"/>
      <c r="U819" s="4"/>
      <c r="V819" s="4"/>
      <c r="W819" s="4"/>
      <c r="X819" s="4"/>
    </row>
    <row r="820" spans="17:24" x14ac:dyDescent="0.3">
      <c r="Q820" s="4"/>
      <c r="R820" s="4"/>
      <c r="S820" s="4"/>
      <c r="T820" s="4"/>
      <c r="U820" s="4"/>
      <c r="V820" s="4"/>
      <c r="W820" s="4"/>
      <c r="X820" s="4"/>
    </row>
    <row r="821" spans="17:24" x14ac:dyDescent="0.3">
      <c r="Q821" s="4"/>
      <c r="R821" s="4"/>
      <c r="S821" s="4"/>
      <c r="T821" s="4"/>
      <c r="U821" s="4"/>
      <c r="V821" s="4"/>
      <c r="W821" s="4"/>
      <c r="X821" s="4"/>
    </row>
    <row r="822" spans="17:24" x14ac:dyDescent="0.3">
      <c r="Q822" s="4"/>
      <c r="R822" s="4"/>
      <c r="S822" s="4"/>
      <c r="T822" s="4"/>
      <c r="U822" s="4"/>
      <c r="V822" s="4"/>
      <c r="W822" s="4"/>
      <c r="X822" s="4"/>
    </row>
    <row r="823" spans="17:24" x14ac:dyDescent="0.3">
      <c r="Q823" s="4"/>
      <c r="R823" s="4"/>
      <c r="S823" s="4"/>
      <c r="T823" s="4"/>
      <c r="U823" s="4"/>
      <c r="V823" s="4"/>
      <c r="W823" s="4"/>
      <c r="X823" s="4"/>
    </row>
    <row r="824" spans="17:24" x14ac:dyDescent="0.3">
      <c r="Q824" s="4"/>
      <c r="R824" s="4"/>
      <c r="S824" s="4"/>
      <c r="T824" s="4"/>
      <c r="U824" s="4"/>
      <c r="V824" s="4"/>
      <c r="W824" s="4"/>
      <c r="X824" s="4"/>
    </row>
    <row r="825" spans="17:24" x14ac:dyDescent="0.3">
      <c r="Q825" s="4"/>
      <c r="R825" s="4"/>
      <c r="S825" s="4"/>
      <c r="T825" s="4"/>
      <c r="U825" s="4"/>
      <c r="V825" s="4"/>
      <c r="W825" s="4"/>
      <c r="X825" s="4"/>
    </row>
    <row r="826" spans="17:24" x14ac:dyDescent="0.3">
      <c r="Q826" s="4"/>
      <c r="R826" s="4"/>
      <c r="S826" s="4"/>
      <c r="T826" s="4"/>
      <c r="U826" s="4"/>
      <c r="V826" s="4"/>
      <c r="W826" s="4"/>
      <c r="X826" s="4"/>
    </row>
    <row r="827" spans="17:24" x14ac:dyDescent="0.3">
      <c r="Q827" s="4"/>
      <c r="R827" s="4"/>
      <c r="S827" s="4"/>
      <c r="T827" s="4"/>
      <c r="U827" s="4"/>
      <c r="V827" s="4"/>
      <c r="W827" s="4"/>
      <c r="X827" s="4"/>
    </row>
    <row r="828" spans="17:24" x14ac:dyDescent="0.3">
      <c r="Q828" s="4"/>
      <c r="R828" s="4"/>
      <c r="S828" s="4"/>
      <c r="T828" s="4"/>
      <c r="U828" s="4"/>
      <c r="V828" s="4"/>
      <c r="W828" s="4"/>
      <c r="X828" s="4"/>
    </row>
    <row r="829" spans="17:24" x14ac:dyDescent="0.3">
      <c r="Q829" s="4"/>
      <c r="R829" s="4"/>
      <c r="S829" s="4"/>
      <c r="T829" s="4"/>
      <c r="U829" s="4"/>
      <c r="V829" s="4"/>
      <c r="W829" s="4"/>
      <c r="X829" s="4"/>
    </row>
    <row r="830" spans="17:24" x14ac:dyDescent="0.3">
      <c r="Q830" s="4"/>
      <c r="R830" s="4"/>
      <c r="S830" s="4"/>
      <c r="T830" s="4"/>
      <c r="U830" s="4"/>
      <c r="V830" s="4"/>
      <c r="W830" s="4"/>
      <c r="X830" s="4"/>
    </row>
    <row r="831" spans="17:24" x14ac:dyDescent="0.3">
      <c r="Q831" s="4"/>
      <c r="R831" s="4"/>
      <c r="S831" s="4"/>
      <c r="T831" s="4"/>
      <c r="U831" s="4"/>
      <c r="V831" s="4"/>
      <c r="W831" s="4"/>
      <c r="X831" s="4"/>
    </row>
    <row r="832" spans="17:24" x14ac:dyDescent="0.3">
      <c r="Q832" s="4"/>
      <c r="R832" s="4"/>
      <c r="S832" s="4"/>
      <c r="T832" s="4"/>
      <c r="U832" s="4"/>
      <c r="V832" s="4"/>
      <c r="W832" s="4"/>
      <c r="X832" s="4"/>
    </row>
    <row r="833" spans="17:24" x14ac:dyDescent="0.3">
      <c r="Q833" s="4"/>
      <c r="R833" s="4"/>
      <c r="S833" s="4"/>
      <c r="T833" s="4"/>
      <c r="U833" s="4"/>
      <c r="V833" s="4"/>
      <c r="W833" s="4"/>
      <c r="X833" s="4"/>
    </row>
    <row r="834" spans="17:24" x14ac:dyDescent="0.3">
      <c r="Q834" s="4"/>
      <c r="R834" s="4"/>
      <c r="S834" s="4"/>
      <c r="T834" s="4"/>
      <c r="U834" s="4"/>
      <c r="V834" s="4"/>
      <c r="W834" s="4"/>
      <c r="X834" s="4"/>
    </row>
    <row r="835" spans="17:24" x14ac:dyDescent="0.3">
      <c r="Q835" s="4"/>
      <c r="R835" s="4"/>
      <c r="S835" s="4"/>
      <c r="T835" s="4"/>
      <c r="U835" s="4"/>
      <c r="V835" s="4"/>
      <c r="W835" s="4"/>
      <c r="X835" s="4"/>
    </row>
    <row r="836" spans="17:24" x14ac:dyDescent="0.3">
      <c r="Q836" s="4"/>
      <c r="R836" s="4"/>
      <c r="S836" s="4"/>
      <c r="T836" s="4"/>
      <c r="U836" s="4"/>
      <c r="V836" s="4"/>
      <c r="W836" s="4"/>
      <c r="X836" s="4"/>
    </row>
    <row r="837" spans="17:24" x14ac:dyDescent="0.3">
      <c r="Q837" s="4"/>
      <c r="R837" s="4"/>
      <c r="S837" s="4"/>
      <c r="T837" s="4"/>
      <c r="U837" s="4"/>
      <c r="V837" s="4"/>
      <c r="W837" s="4"/>
      <c r="X837" s="4"/>
    </row>
    <row r="838" spans="17:24" x14ac:dyDescent="0.3">
      <c r="Q838" s="4"/>
      <c r="R838" s="4"/>
      <c r="S838" s="4"/>
      <c r="T838" s="4"/>
      <c r="U838" s="4"/>
      <c r="V838" s="4"/>
      <c r="W838" s="4"/>
      <c r="X838" s="4"/>
    </row>
    <row r="839" spans="17:24" x14ac:dyDescent="0.3">
      <c r="Q839" s="4"/>
      <c r="R839" s="4"/>
      <c r="S839" s="4"/>
      <c r="T839" s="4"/>
      <c r="U839" s="4"/>
      <c r="V839" s="4"/>
      <c r="W839" s="4"/>
      <c r="X839" s="4"/>
    </row>
    <row r="840" spans="17:24" x14ac:dyDescent="0.3">
      <c r="Q840" s="4"/>
      <c r="R840" s="4"/>
      <c r="S840" s="4"/>
      <c r="T840" s="4"/>
      <c r="U840" s="4"/>
      <c r="V840" s="4"/>
      <c r="W840" s="4"/>
      <c r="X840" s="4"/>
    </row>
    <row r="841" spans="17:24" x14ac:dyDescent="0.3">
      <c r="Q841" s="4"/>
      <c r="R841" s="4"/>
      <c r="S841" s="4"/>
      <c r="T841" s="4"/>
      <c r="U841" s="4"/>
      <c r="V841" s="4"/>
      <c r="W841" s="4"/>
      <c r="X841" s="4"/>
    </row>
    <row r="842" spans="17:24" x14ac:dyDescent="0.3">
      <c r="Q842" s="4"/>
      <c r="R842" s="4"/>
      <c r="S842" s="4"/>
      <c r="T842" s="4"/>
      <c r="U842" s="4"/>
      <c r="V842" s="4"/>
      <c r="W842" s="4"/>
      <c r="X842" s="4"/>
    </row>
    <row r="843" spans="17:24" x14ac:dyDescent="0.3">
      <c r="Q843" s="4"/>
      <c r="R843" s="4"/>
      <c r="S843" s="4"/>
      <c r="T843" s="4"/>
      <c r="U843" s="4"/>
      <c r="V843" s="4"/>
      <c r="W843" s="4"/>
      <c r="X843" s="4"/>
    </row>
    <row r="844" spans="17:24" x14ac:dyDescent="0.3">
      <c r="Q844" s="4"/>
      <c r="R844" s="4"/>
      <c r="S844" s="4"/>
      <c r="T844" s="4"/>
      <c r="U844" s="4"/>
      <c r="V844" s="4"/>
      <c r="W844" s="4"/>
      <c r="X844" s="4"/>
    </row>
    <row r="845" spans="17:24" x14ac:dyDescent="0.3">
      <c r="Q845" s="4"/>
      <c r="R845" s="4"/>
      <c r="S845" s="4"/>
      <c r="T845" s="4"/>
      <c r="U845" s="4"/>
      <c r="V845" s="4"/>
      <c r="W845" s="4"/>
      <c r="X845" s="4"/>
    </row>
    <row r="846" spans="17:24" x14ac:dyDescent="0.3">
      <c r="Q846" s="4"/>
      <c r="R846" s="4"/>
      <c r="S846" s="4"/>
      <c r="T846" s="4"/>
      <c r="U846" s="4"/>
      <c r="V846" s="4"/>
      <c r="W846" s="4"/>
      <c r="X846" s="4"/>
    </row>
    <row r="847" spans="17:24" x14ac:dyDescent="0.3">
      <c r="Q847" s="4"/>
      <c r="R847" s="4"/>
      <c r="S847" s="4"/>
      <c r="T847" s="4"/>
      <c r="U847" s="4"/>
      <c r="V847" s="4"/>
      <c r="W847" s="4"/>
      <c r="X847" s="4"/>
    </row>
    <row r="848" spans="17:24" x14ac:dyDescent="0.3">
      <c r="Q848" s="4"/>
      <c r="R848" s="4"/>
      <c r="S848" s="4"/>
      <c r="T848" s="4"/>
      <c r="U848" s="4"/>
      <c r="V848" s="4"/>
      <c r="W848" s="4"/>
      <c r="X848" s="4"/>
    </row>
    <row r="849" spans="17:24" x14ac:dyDescent="0.3">
      <c r="Q849" s="4"/>
      <c r="R849" s="4"/>
      <c r="S849" s="4"/>
      <c r="T849" s="4"/>
      <c r="U849" s="4"/>
      <c r="V849" s="4"/>
      <c r="W849" s="4"/>
      <c r="X849" s="4"/>
    </row>
    <row r="850" spans="17:24" x14ac:dyDescent="0.3">
      <c r="Q850" s="4"/>
      <c r="R850" s="4"/>
      <c r="S850" s="4"/>
      <c r="T850" s="4"/>
      <c r="U850" s="4"/>
      <c r="V850" s="4"/>
      <c r="W850" s="4"/>
      <c r="X850" s="4"/>
    </row>
    <row r="851" spans="17:24" x14ac:dyDescent="0.3">
      <c r="Q851" s="4"/>
      <c r="R851" s="4"/>
      <c r="S851" s="4"/>
      <c r="T851" s="4"/>
      <c r="U851" s="4"/>
      <c r="V851" s="4"/>
      <c r="W851" s="4"/>
      <c r="X851" s="4"/>
    </row>
    <row r="852" spans="17:24" x14ac:dyDescent="0.3">
      <c r="Q852" s="4"/>
      <c r="R852" s="4"/>
      <c r="S852" s="4"/>
      <c r="T852" s="4"/>
      <c r="U852" s="4"/>
      <c r="V852" s="4"/>
      <c r="W852" s="4"/>
      <c r="X852" s="4"/>
    </row>
    <row r="853" spans="17:24" x14ac:dyDescent="0.3">
      <c r="Q853" s="4"/>
      <c r="R853" s="4"/>
      <c r="S853" s="4"/>
      <c r="T853" s="4"/>
      <c r="U853" s="4"/>
      <c r="V853" s="4"/>
      <c r="W853" s="4"/>
      <c r="X853" s="4"/>
    </row>
    <row r="854" spans="17:24" x14ac:dyDescent="0.3">
      <c r="Q854" s="4"/>
      <c r="R854" s="4"/>
      <c r="S854" s="4"/>
      <c r="T854" s="4"/>
      <c r="U854" s="4"/>
      <c r="V854" s="4"/>
      <c r="W854" s="4"/>
      <c r="X854" s="4"/>
    </row>
    <row r="855" spans="17:24" x14ac:dyDescent="0.3">
      <c r="Q855" s="4"/>
      <c r="R855" s="4"/>
      <c r="S855" s="4"/>
      <c r="T855" s="4"/>
      <c r="U855" s="4"/>
      <c r="V855" s="4"/>
      <c r="W855" s="4"/>
      <c r="X855" s="4"/>
    </row>
    <row r="856" spans="17:24" x14ac:dyDescent="0.3">
      <c r="Q856" s="4"/>
      <c r="R856" s="4"/>
      <c r="S856" s="4"/>
      <c r="T856" s="4"/>
      <c r="U856" s="4"/>
      <c r="V856" s="4"/>
      <c r="W856" s="4"/>
      <c r="X856" s="4"/>
    </row>
    <row r="857" spans="17:24" x14ac:dyDescent="0.3">
      <c r="Q857" s="4"/>
      <c r="R857" s="4"/>
      <c r="S857" s="4"/>
      <c r="T857" s="4"/>
      <c r="U857" s="4"/>
      <c r="V857" s="4"/>
      <c r="W857" s="4"/>
      <c r="X857" s="4"/>
    </row>
    <row r="858" spans="17:24" x14ac:dyDescent="0.3">
      <c r="Q858" s="4"/>
      <c r="R858" s="4"/>
      <c r="S858" s="4"/>
      <c r="T858" s="4"/>
      <c r="U858" s="4"/>
      <c r="V858" s="4"/>
      <c r="W858" s="4"/>
      <c r="X858" s="4"/>
    </row>
    <row r="859" spans="17:24" x14ac:dyDescent="0.3">
      <c r="Q859" s="4"/>
      <c r="R859" s="4"/>
      <c r="S859" s="4"/>
      <c r="T859" s="4"/>
      <c r="U859" s="4"/>
      <c r="V859" s="4"/>
      <c r="W859" s="4"/>
      <c r="X859" s="4"/>
    </row>
    <row r="860" spans="17:24" x14ac:dyDescent="0.3">
      <c r="Q860" s="4"/>
      <c r="R860" s="4"/>
      <c r="S860" s="4"/>
      <c r="T860" s="4"/>
      <c r="U860" s="4"/>
      <c r="V860" s="4"/>
      <c r="W860" s="4"/>
      <c r="X860" s="4"/>
    </row>
    <row r="861" spans="17:24" x14ac:dyDescent="0.3">
      <c r="Q861" s="4"/>
      <c r="R861" s="4"/>
      <c r="S861" s="4"/>
      <c r="T861" s="4"/>
      <c r="U861" s="4"/>
      <c r="V861" s="4"/>
      <c r="W861" s="4"/>
      <c r="X861" s="4"/>
    </row>
    <row r="862" spans="17:24" x14ac:dyDescent="0.3">
      <c r="Q862" s="4"/>
      <c r="R862" s="4"/>
      <c r="S862" s="4"/>
      <c r="T862" s="4"/>
      <c r="U862" s="4"/>
      <c r="V862" s="4"/>
      <c r="W862" s="4"/>
      <c r="X862" s="4"/>
    </row>
    <row r="863" spans="17:24" x14ac:dyDescent="0.3">
      <c r="Q863" s="4"/>
      <c r="R863" s="4"/>
      <c r="S863" s="4"/>
      <c r="T863" s="4"/>
      <c r="U863" s="4"/>
      <c r="V863" s="4"/>
      <c r="W863" s="4"/>
      <c r="X863" s="4"/>
    </row>
    <row r="864" spans="17:24" x14ac:dyDescent="0.3">
      <c r="Q864" s="4"/>
      <c r="R864" s="4"/>
      <c r="S864" s="4"/>
      <c r="T864" s="4"/>
      <c r="U864" s="4"/>
      <c r="V864" s="4"/>
      <c r="W864" s="4"/>
      <c r="X864" s="4"/>
    </row>
    <row r="865" spans="17:24" x14ac:dyDescent="0.3">
      <c r="Q865" s="4"/>
      <c r="R865" s="4"/>
      <c r="S865" s="4"/>
      <c r="T865" s="4"/>
      <c r="U865" s="4"/>
      <c r="V865" s="4"/>
      <c r="W865" s="4"/>
      <c r="X865" s="4"/>
    </row>
    <row r="866" spans="17:24" x14ac:dyDescent="0.3">
      <c r="Q866" s="4"/>
      <c r="R866" s="4"/>
      <c r="S866" s="4"/>
      <c r="T866" s="4"/>
      <c r="U866" s="4"/>
      <c r="V866" s="4"/>
      <c r="W866" s="4"/>
      <c r="X866" s="4"/>
    </row>
    <row r="867" spans="17:24" x14ac:dyDescent="0.3">
      <c r="Q867" s="4"/>
      <c r="R867" s="4"/>
      <c r="S867" s="4"/>
      <c r="T867" s="4"/>
      <c r="U867" s="4"/>
      <c r="V867" s="4"/>
      <c r="W867" s="4"/>
      <c r="X867" s="4"/>
    </row>
    <row r="868" spans="17:24" x14ac:dyDescent="0.3">
      <c r="Q868" s="4"/>
      <c r="R868" s="4"/>
      <c r="S868" s="4"/>
      <c r="T868" s="4"/>
      <c r="U868" s="4"/>
      <c r="V868" s="4"/>
      <c r="W868" s="4"/>
      <c r="X868" s="4"/>
    </row>
    <row r="869" spans="17:24" x14ac:dyDescent="0.3">
      <c r="Q869" s="4"/>
      <c r="R869" s="4"/>
      <c r="S869" s="4"/>
      <c r="T869" s="4"/>
      <c r="U869" s="4"/>
      <c r="V869" s="4"/>
      <c r="W869" s="4"/>
      <c r="X869" s="4"/>
    </row>
    <row r="870" spans="17:24" x14ac:dyDescent="0.3">
      <c r="Q870" s="4"/>
      <c r="R870" s="4"/>
      <c r="S870" s="4"/>
      <c r="T870" s="4"/>
      <c r="U870" s="4"/>
      <c r="V870" s="4"/>
      <c r="W870" s="4"/>
      <c r="X870" s="4"/>
    </row>
    <row r="871" spans="17:24" x14ac:dyDescent="0.3">
      <c r="Q871" s="4"/>
      <c r="R871" s="4"/>
      <c r="S871" s="4"/>
      <c r="T871" s="4"/>
      <c r="U871" s="4"/>
      <c r="V871" s="4"/>
      <c r="W871" s="4"/>
      <c r="X871" s="4"/>
    </row>
    <row r="872" spans="17:24" x14ac:dyDescent="0.3">
      <c r="Q872" s="4"/>
      <c r="R872" s="4"/>
      <c r="S872" s="4"/>
      <c r="T872" s="4"/>
      <c r="U872" s="4"/>
      <c r="V872" s="4"/>
      <c r="W872" s="4"/>
      <c r="X872" s="4"/>
    </row>
    <row r="873" spans="17:24" x14ac:dyDescent="0.3">
      <c r="Q873" s="4"/>
      <c r="R873" s="4"/>
      <c r="S873" s="4"/>
      <c r="T873" s="4"/>
      <c r="U873" s="4"/>
      <c r="V873" s="4"/>
      <c r="W873" s="4"/>
      <c r="X873" s="4"/>
    </row>
    <row r="874" spans="17:24" x14ac:dyDescent="0.3">
      <c r="Q874" s="4"/>
      <c r="R874" s="4"/>
      <c r="S874" s="4"/>
      <c r="T874" s="4"/>
      <c r="U874" s="4"/>
      <c r="V874" s="4"/>
      <c r="W874" s="4"/>
      <c r="X874" s="4"/>
    </row>
    <row r="875" spans="17:24" x14ac:dyDescent="0.3">
      <c r="Q875" s="4"/>
      <c r="R875" s="4"/>
      <c r="S875" s="4"/>
      <c r="T875" s="4"/>
      <c r="U875" s="4"/>
      <c r="V875" s="4"/>
      <c r="W875" s="4"/>
      <c r="X875" s="4"/>
    </row>
    <row r="876" spans="17:24" x14ac:dyDescent="0.3">
      <c r="Q876" s="4"/>
      <c r="R876" s="4"/>
      <c r="S876" s="4"/>
      <c r="T876" s="4"/>
      <c r="U876" s="4"/>
      <c r="V876" s="4"/>
      <c r="W876" s="4"/>
      <c r="X876" s="4"/>
    </row>
    <row r="877" spans="17:24" x14ac:dyDescent="0.3">
      <c r="Q877" s="4"/>
      <c r="R877" s="4"/>
      <c r="S877" s="4"/>
      <c r="T877" s="4"/>
      <c r="U877" s="4"/>
      <c r="V877" s="4"/>
      <c r="W877" s="4"/>
      <c r="X877" s="4"/>
    </row>
    <row r="878" spans="17:24" x14ac:dyDescent="0.3">
      <c r="Q878" s="4"/>
      <c r="R878" s="4"/>
      <c r="S878" s="4"/>
      <c r="T878" s="4"/>
      <c r="U878" s="4"/>
      <c r="V878" s="4"/>
      <c r="W878" s="4"/>
      <c r="X878" s="4"/>
    </row>
    <row r="879" spans="17:24" x14ac:dyDescent="0.3">
      <c r="Q879" s="4"/>
      <c r="R879" s="4"/>
      <c r="S879" s="4"/>
      <c r="T879" s="4"/>
      <c r="U879" s="4"/>
      <c r="V879" s="4"/>
      <c r="W879" s="4"/>
      <c r="X879" s="4"/>
    </row>
    <row r="880" spans="17:24" x14ac:dyDescent="0.3">
      <c r="Q880" s="4"/>
      <c r="R880" s="4"/>
      <c r="S880" s="4"/>
      <c r="T880" s="4"/>
      <c r="U880" s="4"/>
      <c r="V880" s="4"/>
      <c r="W880" s="4"/>
      <c r="X880" s="4"/>
    </row>
    <row r="881" spans="17:24" x14ac:dyDescent="0.3">
      <c r="Q881" s="4"/>
      <c r="R881" s="4"/>
      <c r="S881" s="4"/>
      <c r="T881" s="4"/>
      <c r="U881" s="4"/>
      <c r="V881" s="4"/>
      <c r="W881" s="4"/>
      <c r="X881" s="4"/>
    </row>
    <row r="882" spans="17:24" x14ac:dyDescent="0.3">
      <c r="Q882" s="4"/>
      <c r="R882" s="4"/>
      <c r="S882" s="4"/>
      <c r="T882" s="4"/>
      <c r="U882" s="4"/>
      <c r="V882" s="4"/>
      <c r="W882" s="4"/>
      <c r="X882" s="4"/>
    </row>
    <row r="883" spans="17:24" x14ac:dyDescent="0.3">
      <c r="Q883" s="4"/>
      <c r="R883" s="4"/>
      <c r="S883" s="4"/>
      <c r="T883" s="4"/>
      <c r="U883" s="4"/>
      <c r="V883" s="4"/>
      <c r="W883" s="4"/>
      <c r="X883" s="4"/>
    </row>
    <row r="884" spans="17:24" x14ac:dyDescent="0.3">
      <c r="Q884" s="4"/>
      <c r="R884" s="4"/>
      <c r="S884" s="4"/>
      <c r="T884" s="4"/>
      <c r="U884" s="4"/>
      <c r="V884" s="4"/>
      <c r="W884" s="4"/>
      <c r="X884" s="4"/>
    </row>
    <row r="885" spans="17:24" x14ac:dyDescent="0.3">
      <c r="Q885" s="4"/>
      <c r="R885" s="4"/>
      <c r="S885" s="4"/>
      <c r="T885" s="4"/>
      <c r="U885" s="4"/>
      <c r="V885" s="4"/>
      <c r="W885" s="4"/>
      <c r="X885" s="4"/>
    </row>
    <row r="886" spans="17:24" x14ac:dyDescent="0.3">
      <c r="Q886" s="4"/>
      <c r="R886" s="4"/>
      <c r="S886" s="4"/>
      <c r="T886" s="4"/>
      <c r="U886" s="4"/>
      <c r="V886" s="4"/>
      <c r="W886" s="4"/>
      <c r="X886" s="4"/>
    </row>
    <row r="887" spans="17:24" x14ac:dyDescent="0.3">
      <c r="Q887" s="4"/>
      <c r="R887" s="4"/>
      <c r="S887" s="4"/>
      <c r="T887" s="4"/>
      <c r="U887" s="4"/>
      <c r="V887" s="4"/>
      <c r="W887" s="4"/>
      <c r="X887" s="4"/>
    </row>
    <row r="888" spans="17:24" x14ac:dyDescent="0.3">
      <c r="Q888" s="4"/>
      <c r="R888" s="4"/>
      <c r="S888" s="4"/>
      <c r="T888" s="4"/>
      <c r="U888" s="4"/>
      <c r="V888" s="4"/>
      <c r="W888" s="4"/>
      <c r="X888" s="4"/>
    </row>
    <row r="889" spans="17:24" x14ac:dyDescent="0.3">
      <c r="Q889" s="4"/>
      <c r="R889" s="4"/>
      <c r="S889" s="4"/>
      <c r="T889" s="4"/>
      <c r="U889" s="4"/>
      <c r="V889" s="4"/>
      <c r="W889" s="4"/>
      <c r="X889" s="4"/>
    </row>
    <row r="890" spans="17:24" x14ac:dyDescent="0.3">
      <c r="Q890" s="4"/>
      <c r="R890" s="4"/>
      <c r="S890" s="4"/>
      <c r="T890" s="4"/>
      <c r="U890" s="4"/>
      <c r="V890" s="4"/>
      <c r="W890" s="4"/>
      <c r="X890" s="4"/>
    </row>
    <row r="891" spans="17:24" x14ac:dyDescent="0.3">
      <c r="Q891" s="4"/>
      <c r="R891" s="4"/>
      <c r="S891" s="4"/>
      <c r="T891" s="4"/>
      <c r="U891" s="4"/>
      <c r="V891" s="4"/>
      <c r="W891" s="4"/>
      <c r="X891" s="4"/>
    </row>
    <row r="892" spans="17:24" x14ac:dyDescent="0.3">
      <c r="Q892" s="4"/>
      <c r="R892" s="4"/>
      <c r="S892" s="4"/>
      <c r="T892" s="4"/>
      <c r="U892" s="4"/>
      <c r="V892" s="4"/>
      <c r="W892" s="4"/>
      <c r="X892" s="4"/>
    </row>
    <row r="893" spans="17:24" x14ac:dyDescent="0.3">
      <c r="Q893" s="4"/>
      <c r="R893" s="4"/>
      <c r="S893" s="4"/>
      <c r="T893" s="4"/>
      <c r="U893" s="4"/>
      <c r="V893" s="4"/>
      <c r="W893" s="4"/>
      <c r="X893" s="4"/>
    </row>
    <row r="894" spans="17:24" x14ac:dyDescent="0.3">
      <c r="Q894" s="4"/>
      <c r="R894" s="4"/>
      <c r="S894" s="4"/>
      <c r="T894" s="4"/>
      <c r="U894" s="4"/>
      <c r="V894" s="4"/>
      <c r="W894" s="4"/>
      <c r="X894" s="4"/>
    </row>
    <row r="895" spans="17:24" x14ac:dyDescent="0.3">
      <c r="Q895" s="4"/>
      <c r="R895" s="4"/>
      <c r="S895" s="4"/>
      <c r="T895" s="4"/>
      <c r="U895" s="4"/>
      <c r="V895" s="4"/>
      <c r="W895" s="4"/>
      <c r="X895" s="4"/>
    </row>
    <row r="896" spans="17:24" x14ac:dyDescent="0.3">
      <c r="Q896" s="4"/>
      <c r="R896" s="4"/>
      <c r="S896" s="4"/>
      <c r="T896" s="4"/>
      <c r="U896" s="4"/>
      <c r="V896" s="4"/>
      <c r="W896" s="4"/>
      <c r="X896" s="4"/>
    </row>
    <row r="897" spans="17:24" x14ac:dyDescent="0.3">
      <c r="Q897" s="4"/>
      <c r="R897" s="4"/>
      <c r="S897" s="4"/>
      <c r="T897" s="4"/>
      <c r="U897" s="4"/>
      <c r="V897" s="4"/>
      <c r="W897" s="4"/>
      <c r="X897" s="4"/>
    </row>
    <row r="898" spans="17:24" x14ac:dyDescent="0.3">
      <c r="Q898" s="4"/>
      <c r="R898" s="4"/>
      <c r="S898" s="4"/>
      <c r="T898" s="4"/>
      <c r="U898" s="4"/>
      <c r="V898" s="4"/>
      <c r="W898" s="4"/>
      <c r="X898" s="4"/>
    </row>
    <row r="899" spans="17:24" x14ac:dyDescent="0.3">
      <c r="Q899" s="4"/>
      <c r="R899" s="4"/>
      <c r="S899" s="4"/>
      <c r="T899" s="4"/>
      <c r="U899" s="4"/>
      <c r="V899" s="4"/>
      <c r="W899" s="4"/>
      <c r="X899" s="4"/>
    </row>
    <row r="900" spans="17:24" x14ac:dyDescent="0.3">
      <c r="Q900" s="4"/>
      <c r="R900" s="4"/>
      <c r="S900" s="4"/>
      <c r="T900" s="4"/>
      <c r="U900" s="4"/>
      <c r="V900" s="4"/>
      <c r="W900" s="4"/>
      <c r="X900" s="4"/>
    </row>
    <row r="901" spans="17:24" x14ac:dyDescent="0.3">
      <c r="Q901" s="4"/>
      <c r="R901" s="4"/>
      <c r="S901" s="4"/>
      <c r="T901" s="4"/>
      <c r="U901" s="4"/>
      <c r="V901" s="4"/>
      <c r="W901" s="4"/>
      <c r="X901" s="4"/>
    </row>
    <row r="902" spans="17:24" x14ac:dyDescent="0.3">
      <c r="Q902" s="4"/>
      <c r="R902" s="4"/>
      <c r="S902" s="4"/>
      <c r="T902" s="4"/>
      <c r="U902" s="4"/>
      <c r="V902" s="4"/>
      <c r="W902" s="4"/>
      <c r="X902" s="4"/>
    </row>
    <row r="903" spans="17:24" x14ac:dyDescent="0.3">
      <c r="Q903" s="4"/>
      <c r="R903" s="4"/>
      <c r="S903" s="4"/>
      <c r="T903" s="4"/>
      <c r="U903" s="4"/>
      <c r="V903" s="4"/>
      <c r="W903" s="4"/>
      <c r="X903" s="4"/>
    </row>
    <row r="904" spans="17:24" x14ac:dyDescent="0.3">
      <c r="Q904" s="4"/>
      <c r="R904" s="4"/>
      <c r="S904" s="4"/>
      <c r="T904" s="4"/>
      <c r="U904" s="4"/>
      <c r="V904" s="4"/>
      <c r="W904" s="4"/>
      <c r="X904" s="4"/>
    </row>
    <row r="905" spans="17:24" x14ac:dyDescent="0.3">
      <c r="Q905" s="4"/>
      <c r="R905" s="4"/>
      <c r="S905" s="4"/>
      <c r="T905" s="4"/>
      <c r="U905" s="4"/>
      <c r="V905" s="4"/>
      <c r="W905" s="4"/>
      <c r="X905" s="4"/>
    </row>
    <row r="906" spans="17:24" x14ac:dyDescent="0.3">
      <c r="Q906" s="4"/>
      <c r="R906" s="4"/>
      <c r="S906" s="4"/>
      <c r="T906" s="4"/>
      <c r="U906" s="4"/>
      <c r="V906" s="4"/>
      <c r="W906" s="4"/>
      <c r="X906" s="4"/>
    </row>
    <row r="907" spans="17:24" x14ac:dyDescent="0.3">
      <c r="Q907" s="4"/>
      <c r="R907" s="4"/>
      <c r="S907" s="4"/>
      <c r="T907" s="4"/>
      <c r="U907" s="4"/>
      <c r="V907" s="4"/>
      <c r="W907" s="4"/>
      <c r="X907" s="4"/>
    </row>
    <row r="908" spans="17:24" x14ac:dyDescent="0.3">
      <c r="Q908" s="4"/>
      <c r="R908" s="4"/>
      <c r="S908" s="4"/>
      <c r="T908" s="4"/>
      <c r="U908" s="4"/>
      <c r="V908" s="4"/>
      <c r="W908" s="4"/>
      <c r="X908" s="4"/>
    </row>
    <row r="909" spans="17:24" x14ac:dyDescent="0.3">
      <c r="Q909" s="4"/>
      <c r="R909" s="4"/>
      <c r="S909" s="4"/>
      <c r="T909" s="4"/>
      <c r="U909" s="4"/>
      <c r="V909" s="4"/>
      <c r="W909" s="4"/>
      <c r="X909" s="4"/>
    </row>
    <row r="910" spans="17:24" x14ac:dyDescent="0.3">
      <c r="Q910" s="4"/>
      <c r="R910" s="4"/>
      <c r="S910" s="4"/>
      <c r="T910" s="4"/>
      <c r="U910" s="4"/>
      <c r="V910" s="4"/>
      <c r="W910" s="4"/>
      <c r="X910" s="4"/>
    </row>
    <row r="911" spans="17:24" x14ac:dyDescent="0.3">
      <c r="Q911" s="4"/>
      <c r="R911" s="4"/>
      <c r="S911" s="4"/>
      <c r="T911" s="4"/>
      <c r="U911" s="4"/>
      <c r="V911" s="4"/>
      <c r="W911" s="4"/>
      <c r="X911" s="4"/>
    </row>
    <row r="912" spans="17:24" x14ac:dyDescent="0.3">
      <c r="Q912" s="4"/>
      <c r="R912" s="4"/>
      <c r="S912" s="4"/>
      <c r="T912" s="4"/>
      <c r="U912" s="4"/>
      <c r="V912" s="4"/>
      <c r="W912" s="4"/>
      <c r="X912" s="4"/>
    </row>
    <row r="913" spans="17:24" x14ac:dyDescent="0.3">
      <c r="Q913" s="4"/>
      <c r="R913" s="4"/>
      <c r="S913" s="4"/>
      <c r="T913" s="4"/>
      <c r="U913" s="4"/>
      <c r="V913" s="4"/>
      <c r="W913" s="4"/>
      <c r="X913" s="4"/>
    </row>
    <row r="914" spans="17:24" x14ac:dyDescent="0.3">
      <c r="Q914" s="4"/>
      <c r="R914" s="4"/>
      <c r="S914" s="4"/>
      <c r="T914" s="4"/>
      <c r="U914" s="4"/>
      <c r="V914" s="4"/>
      <c r="W914" s="4"/>
      <c r="X914" s="4"/>
    </row>
    <row r="915" spans="17:24" x14ac:dyDescent="0.3">
      <c r="Q915" s="4"/>
      <c r="R915" s="4"/>
      <c r="S915" s="4"/>
      <c r="T915" s="4"/>
      <c r="U915" s="4"/>
      <c r="V915" s="4"/>
      <c r="W915" s="4"/>
      <c r="X915" s="4"/>
    </row>
    <row r="916" spans="17:24" x14ac:dyDescent="0.3">
      <c r="Q916" s="4"/>
      <c r="R916" s="4"/>
      <c r="S916" s="4"/>
      <c r="T916" s="4"/>
      <c r="U916" s="4"/>
      <c r="V916" s="4"/>
      <c r="W916" s="4"/>
      <c r="X916" s="4"/>
    </row>
    <row r="917" spans="17:24" x14ac:dyDescent="0.3">
      <c r="Q917" s="4"/>
      <c r="R917" s="4"/>
      <c r="S917" s="4"/>
      <c r="T917" s="4"/>
      <c r="U917" s="4"/>
      <c r="V917" s="4"/>
      <c r="W917" s="4"/>
      <c r="X917" s="4"/>
    </row>
    <row r="918" spans="17:24" x14ac:dyDescent="0.3">
      <c r="Q918" s="4"/>
      <c r="R918" s="4"/>
      <c r="S918" s="4"/>
      <c r="T918" s="4"/>
      <c r="U918" s="4"/>
      <c r="V918" s="4"/>
      <c r="W918" s="4"/>
      <c r="X918" s="4"/>
    </row>
    <row r="919" spans="17:24" x14ac:dyDescent="0.3">
      <c r="Q919" s="4"/>
      <c r="R919" s="4"/>
      <c r="S919" s="4"/>
      <c r="T919" s="4"/>
      <c r="U919" s="4"/>
      <c r="V919" s="4"/>
      <c r="W919" s="4"/>
      <c r="X919" s="4"/>
    </row>
    <row r="920" spans="17:24" x14ac:dyDescent="0.3">
      <c r="Q920" s="4"/>
      <c r="R920" s="4"/>
      <c r="S920" s="4"/>
      <c r="T920" s="4"/>
      <c r="U920" s="4"/>
      <c r="V920" s="4"/>
      <c r="W920" s="4"/>
      <c r="X920" s="4"/>
    </row>
    <row r="921" spans="17:24" x14ac:dyDescent="0.3">
      <c r="Q921" s="4"/>
      <c r="R921" s="4"/>
      <c r="S921" s="4"/>
      <c r="T921" s="4"/>
      <c r="U921" s="4"/>
      <c r="V921" s="4"/>
      <c r="W921" s="4"/>
      <c r="X921" s="4"/>
    </row>
    <row r="922" spans="17:24" x14ac:dyDescent="0.3">
      <c r="Q922" s="4"/>
      <c r="R922" s="4"/>
      <c r="S922" s="4"/>
      <c r="T922" s="4"/>
      <c r="U922" s="4"/>
      <c r="V922" s="4"/>
      <c r="W922" s="4"/>
      <c r="X922" s="4"/>
    </row>
    <row r="923" spans="17:24" x14ac:dyDescent="0.3">
      <c r="Q923" s="4"/>
      <c r="R923" s="4"/>
      <c r="S923" s="4"/>
      <c r="T923" s="4"/>
      <c r="U923" s="4"/>
      <c r="V923" s="4"/>
      <c r="W923" s="4"/>
      <c r="X923" s="4"/>
    </row>
    <row r="924" spans="17:24" x14ac:dyDescent="0.3">
      <c r="Q924" s="4"/>
      <c r="R924" s="4"/>
      <c r="S924" s="4"/>
      <c r="T924" s="4"/>
      <c r="U924" s="4"/>
      <c r="V924" s="4"/>
      <c r="W924" s="4"/>
      <c r="X924" s="4"/>
    </row>
    <row r="925" spans="17:24" x14ac:dyDescent="0.3">
      <c r="Q925" s="4"/>
      <c r="R925" s="4"/>
      <c r="S925" s="4"/>
      <c r="T925" s="4"/>
      <c r="U925" s="4"/>
      <c r="V925" s="4"/>
      <c r="W925" s="4"/>
      <c r="X925" s="4"/>
    </row>
    <row r="926" spans="17:24" x14ac:dyDescent="0.3">
      <c r="Q926" s="4"/>
      <c r="R926" s="4"/>
      <c r="S926" s="4"/>
      <c r="T926" s="4"/>
      <c r="U926" s="4"/>
      <c r="V926" s="4"/>
      <c r="W926" s="4"/>
      <c r="X926" s="4"/>
    </row>
    <row r="927" spans="17:24" x14ac:dyDescent="0.3">
      <c r="Q927" s="4"/>
      <c r="R927" s="4"/>
      <c r="S927" s="4"/>
      <c r="T927" s="4"/>
      <c r="U927" s="4"/>
      <c r="V927" s="4"/>
      <c r="W927" s="4"/>
      <c r="X927" s="4"/>
    </row>
    <row r="928" spans="17:24" x14ac:dyDescent="0.3">
      <c r="Q928" s="4"/>
      <c r="R928" s="4"/>
      <c r="S928" s="4"/>
      <c r="T928" s="4"/>
      <c r="U928" s="4"/>
      <c r="V928" s="4"/>
      <c r="W928" s="4"/>
      <c r="X928" s="4"/>
    </row>
    <row r="929" spans="17:24" x14ac:dyDescent="0.3">
      <c r="Q929" s="4"/>
      <c r="R929" s="4"/>
      <c r="S929" s="4"/>
      <c r="T929" s="4"/>
      <c r="U929" s="4"/>
      <c r="V929" s="4"/>
      <c r="W929" s="4"/>
      <c r="X929" s="4"/>
    </row>
    <row r="930" spans="17:24" x14ac:dyDescent="0.3">
      <c r="Q930" s="4"/>
      <c r="R930" s="4"/>
      <c r="S930" s="4"/>
      <c r="T930" s="4"/>
      <c r="U930" s="4"/>
      <c r="V930" s="4"/>
      <c r="W930" s="4"/>
      <c r="X930" s="4"/>
    </row>
    <row r="931" spans="17:24" x14ac:dyDescent="0.3">
      <c r="Q931" s="4"/>
      <c r="R931" s="4"/>
      <c r="S931" s="4"/>
      <c r="T931" s="4"/>
      <c r="U931" s="4"/>
      <c r="V931" s="4"/>
      <c r="W931" s="4"/>
      <c r="X931" s="4"/>
    </row>
    <row r="932" spans="17:24" x14ac:dyDescent="0.3">
      <c r="Q932" s="4"/>
      <c r="R932" s="4"/>
      <c r="S932" s="4"/>
      <c r="T932" s="4"/>
      <c r="U932" s="4"/>
      <c r="V932" s="4"/>
      <c r="W932" s="4"/>
      <c r="X932" s="4"/>
    </row>
    <row r="933" spans="17:24" x14ac:dyDescent="0.3">
      <c r="Q933" s="4"/>
      <c r="R933" s="4"/>
      <c r="S933" s="4"/>
      <c r="T933" s="4"/>
      <c r="U933" s="4"/>
      <c r="V933" s="4"/>
      <c r="W933" s="4"/>
      <c r="X933" s="4"/>
    </row>
    <row r="934" spans="17:24" x14ac:dyDescent="0.3">
      <c r="Q934" s="4"/>
      <c r="R934" s="4"/>
      <c r="S934" s="4"/>
      <c r="T934" s="4"/>
      <c r="U934" s="4"/>
      <c r="V934" s="4"/>
      <c r="W934" s="4"/>
      <c r="X934" s="4"/>
    </row>
    <row r="935" spans="17:24" x14ac:dyDescent="0.3">
      <c r="Q935" s="4"/>
      <c r="R935" s="4"/>
      <c r="S935" s="4"/>
      <c r="T935" s="4"/>
      <c r="U935" s="4"/>
      <c r="V935" s="4"/>
      <c r="W935" s="4"/>
      <c r="X935" s="4"/>
    </row>
    <row r="936" spans="17:24" x14ac:dyDescent="0.3">
      <c r="Q936" s="4"/>
      <c r="R936" s="4"/>
      <c r="S936" s="4"/>
      <c r="T936" s="4"/>
      <c r="U936" s="4"/>
      <c r="V936" s="4"/>
      <c r="W936" s="4"/>
      <c r="X936" s="4"/>
    </row>
    <row r="937" spans="17:24" x14ac:dyDescent="0.3">
      <c r="Q937" s="4"/>
      <c r="R937" s="4"/>
      <c r="S937" s="4"/>
      <c r="T937" s="4"/>
      <c r="U937" s="4"/>
      <c r="V937" s="4"/>
      <c r="W937" s="4"/>
      <c r="X937" s="4"/>
    </row>
    <row r="938" spans="17:24" x14ac:dyDescent="0.3">
      <c r="Q938" s="4"/>
      <c r="R938" s="4"/>
      <c r="S938" s="4"/>
      <c r="T938" s="4"/>
      <c r="U938" s="4"/>
      <c r="V938" s="4"/>
      <c r="W938" s="4"/>
      <c r="X938" s="4"/>
    </row>
    <row r="939" spans="17:24" x14ac:dyDescent="0.3">
      <c r="Q939" s="4"/>
      <c r="R939" s="4"/>
      <c r="S939" s="4"/>
      <c r="T939" s="4"/>
      <c r="U939" s="4"/>
      <c r="V939" s="4"/>
      <c r="W939" s="4"/>
      <c r="X939" s="4"/>
    </row>
    <row r="940" spans="17:24" x14ac:dyDescent="0.3">
      <c r="Q940" s="4"/>
      <c r="R940" s="4"/>
      <c r="S940" s="4"/>
      <c r="T940" s="4"/>
      <c r="U940" s="4"/>
      <c r="V940" s="4"/>
      <c r="W940" s="4"/>
      <c r="X940" s="4"/>
    </row>
    <row r="941" spans="17:24" x14ac:dyDescent="0.3">
      <c r="Q941" s="4"/>
      <c r="R941" s="4"/>
      <c r="S941" s="4"/>
      <c r="T941" s="4"/>
      <c r="U941" s="4"/>
      <c r="V941" s="4"/>
      <c r="W941" s="4"/>
      <c r="X941" s="4"/>
    </row>
    <row r="942" spans="17:24" x14ac:dyDescent="0.3">
      <c r="Q942" s="4"/>
      <c r="R942" s="4"/>
      <c r="S942" s="4"/>
      <c r="T942" s="4"/>
      <c r="U942" s="4"/>
      <c r="V942" s="4"/>
      <c r="W942" s="4"/>
      <c r="X942" s="4"/>
    </row>
    <row r="943" spans="17:24" x14ac:dyDescent="0.3">
      <c r="Q943" s="4"/>
      <c r="R943" s="4"/>
      <c r="S943" s="4"/>
      <c r="T943" s="4"/>
      <c r="U943" s="4"/>
      <c r="V943" s="4"/>
      <c r="W943" s="4"/>
      <c r="X943" s="4"/>
    </row>
    <row r="944" spans="17:24" x14ac:dyDescent="0.3">
      <c r="Q944" s="4"/>
      <c r="R944" s="4"/>
      <c r="S944" s="4"/>
      <c r="T944" s="4"/>
      <c r="U944" s="4"/>
      <c r="V944" s="4"/>
      <c r="W944" s="4"/>
      <c r="X944" s="4"/>
    </row>
    <row r="945" spans="17:24" x14ac:dyDescent="0.3">
      <c r="Q945" s="4"/>
      <c r="R945" s="4"/>
      <c r="S945" s="4"/>
      <c r="T945" s="4"/>
      <c r="U945" s="4"/>
      <c r="V945" s="4"/>
      <c r="W945" s="4"/>
      <c r="X945" s="4"/>
    </row>
    <row r="946" spans="17:24" x14ac:dyDescent="0.3">
      <c r="Q946" s="4"/>
      <c r="R946" s="4"/>
      <c r="S946" s="4"/>
      <c r="T946" s="4"/>
      <c r="U946" s="4"/>
      <c r="V946" s="4"/>
      <c r="W946" s="4"/>
      <c r="X946" s="4"/>
    </row>
    <row r="947" spans="17:24" x14ac:dyDescent="0.3">
      <c r="Q947" s="4"/>
      <c r="R947" s="4"/>
      <c r="S947" s="4"/>
      <c r="T947" s="4"/>
      <c r="U947" s="4"/>
      <c r="V947" s="4"/>
      <c r="W947" s="4"/>
      <c r="X947" s="4"/>
    </row>
    <row r="948" spans="17:24" x14ac:dyDescent="0.3">
      <c r="Q948" s="4"/>
      <c r="R948" s="4"/>
      <c r="S948" s="4"/>
      <c r="T948" s="4"/>
      <c r="U948" s="4"/>
      <c r="V948" s="4"/>
      <c r="W948" s="4"/>
      <c r="X948" s="4"/>
    </row>
    <row r="949" spans="17:24" x14ac:dyDescent="0.3">
      <c r="Q949" s="4"/>
      <c r="R949" s="4"/>
      <c r="S949" s="4"/>
      <c r="T949" s="4"/>
      <c r="U949" s="4"/>
      <c r="V949" s="4"/>
      <c r="W949" s="4"/>
      <c r="X949" s="4"/>
    </row>
    <row r="950" spans="17:24" x14ac:dyDescent="0.3">
      <c r="Q950" s="4"/>
      <c r="R950" s="4"/>
      <c r="S950" s="4"/>
      <c r="T950" s="4"/>
      <c r="U950" s="4"/>
      <c r="V950" s="4"/>
      <c r="W950" s="4"/>
      <c r="X950" s="4"/>
    </row>
    <row r="951" spans="17:24" x14ac:dyDescent="0.3">
      <c r="Q951" s="4"/>
      <c r="R951" s="4"/>
      <c r="S951" s="4"/>
      <c r="T951" s="4"/>
      <c r="U951" s="4"/>
      <c r="V951" s="4"/>
      <c r="W951" s="4"/>
      <c r="X951" s="4"/>
    </row>
    <row r="952" spans="17:24" x14ac:dyDescent="0.3">
      <c r="Q952" s="4"/>
      <c r="R952" s="4"/>
      <c r="S952" s="4"/>
      <c r="T952" s="4"/>
      <c r="U952" s="4"/>
      <c r="V952" s="4"/>
      <c r="W952" s="4"/>
      <c r="X952" s="4"/>
    </row>
    <row r="953" spans="17:24" x14ac:dyDescent="0.3">
      <c r="Q953" s="4"/>
      <c r="R953" s="4"/>
      <c r="S953" s="4"/>
      <c r="T953" s="4"/>
      <c r="U953" s="4"/>
      <c r="V953" s="4"/>
      <c r="W953" s="4"/>
      <c r="X953" s="4"/>
    </row>
    <row r="954" spans="17:24" x14ac:dyDescent="0.3">
      <c r="Q954" s="4"/>
      <c r="R954" s="4"/>
      <c r="S954" s="4"/>
      <c r="T954" s="4"/>
      <c r="U954" s="4"/>
      <c r="V954" s="4"/>
      <c r="W954" s="4"/>
      <c r="X954" s="4"/>
    </row>
    <row r="955" spans="17:24" x14ac:dyDescent="0.3">
      <c r="Q955" s="4"/>
      <c r="R955" s="4"/>
      <c r="S955" s="4"/>
      <c r="T955" s="4"/>
      <c r="U955" s="4"/>
      <c r="V955" s="4"/>
      <c r="W955" s="4"/>
      <c r="X955" s="4"/>
    </row>
    <row r="956" spans="17:24" x14ac:dyDescent="0.3">
      <c r="Q956" s="4"/>
      <c r="R956" s="4"/>
      <c r="S956" s="4"/>
      <c r="T956" s="4"/>
      <c r="U956" s="4"/>
      <c r="V956" s="4"/>
      <c r="W956" s="4"/>
      <c r="X956" s="4"/>
    </row>
    <row r="957" spans="17:24" x14ac:dyDescent="0.3">
      <c r="Q957" s="4"/>
      <c r="R957" s="4"/>
      <c r="S957" s="4"/>
      <c r="T957" s="4"/>
      <c r="U957" s="4"/>
      <c r="V957" s="4"/>
      <c r="W957" s="4"/>
      <c r="X957" s="4"/>
    </row>
    <row r="958" spans="17:24" x14ac:dyDescent="0.3">
      <c r="Q958" s="4"/>
      <c r="R958" s="4"/>
      <c r="S958" s="4"/>
      <c r="T958" s="4"/>
      <c r="U958" s="4"/>
      <c r="V958" s="4"/>
      <c r="W958" s="4"/>
      <c r="X958" s="4"/>
    </row>
    <row r="959" spans="17:24" x14ac:dyDescent="0.3">
      <c r="Q959" s="4"/>
      <c r="R959" s="4"/>
      <c r="S959" s="4"/>
      <c r="T959" s="4"/>
      <c r="U959" s="4"/>
      <c r="V959" s="4"/>
      <c r="W959" s="4"/>
      <c r="X959" s="4"/>
    </row>
    <row r="960" spans="17:24" x14ac:dyDescent="0.3">
      <c r="Q960" s="4"/>
      <c r="R960" s="4"/>
      <c r="S960" s="4"/>
      <c r="T960" s="4"/>
      <c r="U960" s="4"/>
      <c r="V960" s="4"/>
      <c r="W960" s="4"/>
      <c r="X960" s="4"/>
    </row>
    <row r="961" spans="17:24" x14ac:dyDescent="0.3">
      <c r="Q961" s="4"/>
      <c r="R961" s="4"/>
      <c r="S961" s="4"/>
      <c r="T961" s="4"/>
      <c r="U961" s="4"/>
      <c r="V961" s="4"/>
      <c r="W961" s="4"/>
      <c r="X961" s="4"/>
    </row>
    <row r="962" spans="17:24" x14ac:dyDescent="0.3">
      <c r="Q962" s="4"/>
      <c r="R962" s="4"/>
      <c r="S962" s="4"/>
      <c r="T962" s="4"/>
      <c r="U962" s="4"/>
      <c r="V962" s="4"/>
      <c r="W962" s="4"/>
      <c r="X962" s="4"/>
    </row>
    <row r="963" spans="17:24" x14ac:dyDescent="0.3">
      <c r="Q963" s="4"/>
      <c r="R963" s="4"/>
      <c r="S963" s="4"/>
      <c r="T963" s="4"/>
      <c r="U963" s="4"/>
      <c r="V963" s="4"/>
      <c r="W963" s="4"/>
      <c r="X963" s="4"/>
    </row>
    <row r="964" spans="17:24" x14ac:dyDescent="0.3">
      <c r="Q964" s="4"/>
      <c r="R964" s="4"/>
      <c r="S964" s="4"/>
      <c r="T964" s="4"/>
      <c r="U964" s="4"/>
      <c r="V964" s="4"/>
      <c r="W964" s="4"/>
      <c r="X964" s="4"/>
    </row>
    <row r="965" spans="17:24" x14ac:dyDescent="0.3">
      <c r="Q965" s="4"/>
      <c r="R965" s="4"/>
      <c r="S965" s="4"/>
      <c r="T965" s="4"/>
      <c r="U965" s="4"/>
      <c r="V965" s="4"/>
      <c r="W965" s="4"/>
      <c r="X965" s="4"/>
    </row>
    <row r="966" spans="17:24" x14ac:dyDescent="0.3">
      <c r="Q966" s="4"/>
      <c r="R966" s="4"/>
      <c r="S966" s="4"/>
      <c r="T966" s="4"/>
      <c r="U966" s="4"/>
      <c r="V966" s="4"/>
      <c r="W966" s="4"/>
      <c r="X966" s="4"/>
    </row>
    <row r="967" spans="17:24" x14ac:dyDescent="0.3">
      <c r="Q967" s="4"/>
      <c r="R967" s="4"/>
      <c r="S967" s="4"/>
      <c r="T967" s="4"/>
      <c r="U967" s="4"/>
      <c r="V967" s="4"/>
      <c r="W967" s="4"/>
      <c r="X967" s="4"/>
    </row>
    <row r="968" spans="17:24" x14ac:dyDescent="0.3">
      <c r="Q968" s="4"/>
      <c r="R968" s="4"/>
      <c r="S968" s="4"/>
      <c r="T968" s="4"/>
      <c r="U968" s="4"/>
      <c r="V968" s="4"/>
      <c r="W968" s="4"/>
      <c r="X968" s="4"/>
    </row>
    <row r="969" spans="17:24" x14ac:dyDescent="0.3">
      <c r="Q969" s="4"/>
      <c r="R969" s="4"/>
      <c r="S969" s="4"/>
      <c r="T969" s="4"/>
      <c r="U969" s="4"/>
      <c r="V969" s="4"/>
      <c r="W969" s="4"/>
      <c r="X969" s="4"/>
    </row>
    <row r="970" spans="17:24" x14ac:dyDescent="0.3">
      <c r="Q970" s="4"/>
      <c r="R970" s="4"/>
      <c r="S970" s="4"/>
      <c r="T970" s="4"/>
      <c r="U970" s="4"/>
      <c r="V970" s="4"/>
      <c r="W970" s="4"/>
      <c r="X970" s="4"/>
    </row>
    <row r="971" spans="17:24" x14ac:dyDescent="0.3">
      <c r="Q971" s="4"/>
      <c r="R971" s="4"/>
      <c r="S971" s="4"/>
      <c r="T971" s="4"/>
      <c r="U971" s="4"/>
      <c r="V971" s="4"/>
      <c r="W971" s="4"/>
      <c r="X971" s="4"/>
    </row>
    <row r="972" spans="17:24" x14ac:dyDescent="0.3">
      <c r="Q972" s="4"/>
      <c r="R972" s="4"/>
      <c r="S972" s="4"/>
      <c r="T972" s="4"/>
      <c r="U972" s="4"/>
      <c r="V972" s="4"/>
      <c r="W972" s="4"/>
      <c r="X972" s="4"/>
    </row>
    <row r="973" spans="17:24" x14ac:dyDescent="0.3">
      <c r="Q973" s="4"/>
      <c r="R973" s="4"/>
      <c r="S973" s="4"/>
      <c r="T973" s="4"/>
      <c r="U973" s="4"/>
      <c r="V973" s="4"/>
      <c r="W973" s="4"/>
      <c r="X973" s="4"/>
    </row>
    <row r="974" spans="17:24" x14ac:dyDescent="0.3">
      <c r="Q974" s="4"/>
      <c r="R974" s="4"/>
      <c r="S974" s="4"/>
      <c r="T974" s="4"/>
      <c r="U974" s="4"/>
      <c r="V974" s="4"/>
      <c r="W974" s="4"/>
      <c r="X974" s="4"/>
    </row>
    <row r="975" spans="17:24" x14ac:dyDescent="0.3">
      <c r="Q975" s="4"/>
      <c r="R975" s="4"/>
      <c r="S975" s="4"/>
      <c r="T975" s="4"/>
      <c r="U975" s="4"/>
      <c r="V975" s="4"/>
      <c r="W975" s="4"/>
      <c r="X975" s="4"/>
    </row>
    <row r="976" spans="17:24" x14ac:dyDescent="0.3">
      <c r="Q976" s="4"/>
      <c r="R976" s="4"/>
      <c r="S976" s="4"/>
      <c r="T976" s="4"/>
      <c r="U976" s="4"/>
      <c r="V976" s="4"/>
      <c r="W976" s="4"/>
      <c r="X976" s="4"/>
    </row>
    <row r="977" spans="17:24" x14ac:dyDescent="0.3">
      <c r="Q977" s="4"/>
      <c r="R977" s="4"/>
      <c r="S977" s="4"/>
      <c r="T977" s="4"/>
      <c r="U977" s="4"/>
      <c r="V977" s="4"/>
      <c r="W977" s="4"/>
      <c r="X977" s="4"/>
    </row>
    <row r="978" spans="17:24" x14ac:dyDescent="0.3">
      <c r="Q978" s="4"/>
      <c r="R978" s="4"/>
      <c r="S978" s="4"/>
      <c r="T978" s="4"/>
      <c r="U978" s="4"/>
      <c r="V978" s="4"/>
      <c r="W978" s="4"/>
      <c r="X978" s="4"/>
    </row>
    <row r="979" spans="17:24" x14ac:dyDescent="0.3">
      <c r="Q979" s="4"/>
      <c r="R979" s="4"/>
      <c r="S979" s="4"/>
      <c r="T979" s="4"/>
      <c r="U979" s="4"/>
      <c r="V979" s="4"/>
      <c r="W979" s="4"/>
      <c r="X979" s="4"/>
    </row>
    <row r="980" spans="17:24" x14ac:dyDescent="0.3">
      <c r="Q980" s="4"/>
      <c r="R980" s="4"/>
      <c r="S980" s="4"/>
      <c r="T980" s="4"/>
      <c r="U980" s="4"/>
      <c r="V980" s="4"/>
      <c r="W980" s="4"/>
      <c r="X980" s="4"/>
    </row>
    <row r="981" spans="17:24" x14ac:dyDescent="0.3">
      <c r="Q981" s="4"/>
      <c r="R981" s="4"/>
      <c r="S981" s="4"/>
      <c r="T981" s="4"/>
      <c r="U981" s="4"/>
      <c r="V981" s="4"/>
      <c r="W981" s="4"/>
      <c r="X981" s="4"/>
    </row>
    <row r="982" spans="17:24" x14ac:dyDescent="0.3">
      <c r="Q982" s="4"/>
      <c r="R982" s="4"/>
      <c r="S982" s="4"/>
      <c r="T982" s="4"/>
      <c r="U982" s="4"/>
      <c r="V982" s="4"/>
      <c r="W982" s="4"/>
      <c r="X982" s="4"/>
    </row>
    <row r="983" spans="17:24" x14ac:dyDescent="0.3">
      <c r="Q983" s="4"/>
      <c r="R983" s="4"/>
      <c r="S983" s="4"/>
      <c r="T983" s="4"/>
      <c r="U983" s="4"/>
      <c r="V983" s="4"/>
      <c r="W983" s="4"/>
      <c r="X983" s="4"/>
    </row>
    <row r="984" spans="17:24" x14ac:dyDescent="0.3">
      <c r="Q984" s="4"/>
      <c r="R984" s="4"/>
      <c r="S984" s="4"/>
      <c r="T984" s="4"/>
      <c r="U984" s="4"/>
      <c r="V984" s="4"/>
      <c r="W984" s="4"/>
      <c r="X984" s="4"/>
    </row>
    <row r="985" spans="17:24" x14ac:dyDescent="0.3">
      <c r="Q985" s="4"/>
      <c r="R985" s="4"/>
      <c r="S985" s="4"/>
      <c r="T985" s="4"/>
      <c r="U985" s="4"/>
      <c r="V985" s="4"/>
      <c r="W985" s="4"/>
      <c r="X985" s="4"/>
    </row>
    <row r="986" spans="17:24" x14ac:dyDescent="0.3">
      <c r="Q986" s="4"/>
      <c r="R986" s="4"/>
      <c r="S986" s="4"/>
      <c r="T986" s="4"/>
      <c r="U986" s="4"/>
      <c r="V986" s="4"/>
      <c r="W986" s="4"/>
      <c r="X986" s="4"/>
    </row>
    <row r="987" spans="17:24" x14ac:dyDescent="0.3">
      <c r="Q987" s="4"/>
      <c r="R987" s="4"/>
      <c r="S987" s="4"/>
      <c r="T987" s="4"/>
      <c r="U987" s="4"/>
      <c r="V987" s="4"/>
      <c r="W987" s="4"/>
      <c r="X987" s="4"/>
    </row>
    <row r="988" spans="17:24" x14ac:dyDescent="0.3">
      <c r="Q988" s="4"/>
      <c r="R988" s="4"/>
      <c r="S988" s="4"/>
      <c r="T988" s="4"/>
      <c r="U988" s="4"/>
      <c r="V988" s="4"/>
      <c r="W988" s="4"/>
      <c r="X988" s="4"/>
    </row>
    <row r="989" spans="17:24" x14ac:dyDescent="0.3">
      <c r="Q989" s="4"/>
      <c r="R989" s="4"/>
      <c r="S989" s="4"/>
      <c r="T989" s="4"/>
      <c r="U989" s="4"/>
      <c r="V989" s="4"/>
      <c r="W989" s="4"/>
      <c r="X989" s="4"/>
    </row>
    <row r="990" spans="17:24" x14ac:dyDescent="0.3">
      <c r="Q990" s="4"/>
      <c r="R990" s="4"/>
      <c r="S990" s="4"/>
      <c r="T990" s="4"/>
      <c r="U990" s="4"/>
      <c r="V990" s="4"/>
      <c r="W990" s="4"/>
      <c r="X990" s="4"/>
    </row>
    <row r="991" spans="17:24" x14ac:dyDescent="0.3">
      <c r="Q991" s="4"/>
      <c r="R991" s="4"/>
      <c r="S991" s="4"/>
      <c r="T991" s="4"/>
      <c r="U991" s="4"/>
      <c r="V991" s="4"/>
      <c r="W991" s="4"/>
      <c r="X991" s="4"/>
    </row>
    <row r="992" spans="17:24" x14ac:dyDescent="0.3">
      <c r="Q992" s="4"/>
      <c r="R992" s="4"/>
      <c r="S992" s="4"/>
      <c r="T992" s="4"/>
      <c r="U992" s="4"/>
      <c r="V992" s="4"/>
      <c r="W992" s="4"/>
      <c r="X992" s="4"/>
    </row>
    <row r="993" spans="17:24" x14ac:dyDescent="0.3">
      <c r="Q993" s="4"/>
      <c r="R993" s="4"/>
      <c r="S993" s="4"/>
      <c r="T993" s="4"/>
      <c r="U993" s="4"/>
      <c r="V993" s="4"/>
      <c r="W993" s="4"/>
      <c r="X993" s="4"/>
    </row>
    <row r="994" spans="17:24" x14ac:dyDescent="0.3">
      <c r="Q994" s="4"/>
      <c r="R994" s="4"/>
      <c r="S994" s="4"/>
      <c r="T994" s="4"/>
      <c r="U994" s="4"/>
      <c r="V994" s="4"/>
      <c r="W994" s="4"/>
      <c r="X994" s="4"/>
    </row>
    <row r="995" spans="17:24" x14ac:dyDescent="0.3">
      <c r="Q995" s="4"/>
      <c r="R995" s="4"/>
      <c r="S995" s="4"/>
      <c r="T995" s="4"/>
      <c r="U995" s="4"/>
      <c r="V995" s="4"/>
      <c r="W995" s="4"/>
      <c r="X995" s="4"/>
    </row>
    <row r="996" spans="17:24" x14ac:dyDescent="0.3">
      <c r="Q996" s="4"/>
      <c r="R996" s="4"/>
      <c r="S996" s="4"/>
      <c r="T996" s="4"/>
      <c r="U996" s="4"/>
      <c r="V996" s="4"/>
      <c r="W996" s="4"/>
      <c r="X996" s="4"/>
    </row>
    <row r="997" spans="17:24" x14ac:dyDescent="0.3">
      <c r="Q997" s="4"/>
      <c r="R997" s="4"/>
      <c r="S997" s="4"/>
      <c r="T997" s="4"/>
      <c r="U997" s="4"/>
      <c r="V997" s="4"/>
      <c r="W997" s="4"/>
      <c r="X997" s="4"/>
    </row>
    <row r="998" spans="17:24" x14ac:dyDescent="0.3">
      <c r="Q998" s="4"/>
      <c r="R998" s="4"/>
      <c r="S998" s="4"/>
      <c r="T998" s="4"/>
      <c r="U998" s="4"/>
      <c r="V998" s="4"/>
      <c r="W998" s="4"/>
      <c r="X998" s="4"/>
    </row>
    <row r="999" spans="17:24" x14ac:dyDescent="0.3">
      <c r="Q999" s="4"/>
      <c r="R999" s="4"/>
      <c r="S999" s="4"/>
      <c r="T999" s="4"/>
      <c r="U999" s="4"/>
      <c r="V999" s="4"/>
      <c r="W999" s="4"/>
      <c r="X999" s="4"/>
    </row>
    <row r="1000" spans="17:24" x14ac:dyDescent="0.3">
      <c r="Q1000" s="4"/>
      <c r="R1000" s="4"/>
      <c r="S1000" s="4"/>
      <c r="T1000" s="4"/>
      <c r="U1000" s="4"/>
      <c r="V1000" s="4"/>
      <c r="W1000" s="4"/>
      <c r="X1000" s="4"/>
    </row>
    <row r="1001" spans="17:24" x14ac:dyDescent="0.3">
      <c r="Q1001" s="4"/>
      <c r="R1001" s="4"/>
      <c r="S1001" s="4"/>
      <c r="T1001" s="4"/>
      <c r="U1001" s="4"/>
      <c r="V1001" s="4"/>
      <c r="W1001" s="4"/>
      <c r="X1001" s="4"/>
    </row>
    <row r="1002" spans="17:24" x14ac:dyDescent="0.3">
      <c r="Q1002" s="4"/>
      <c r="R1002" s="4"/>
      <c r="S1002" s="4"/>
      <c r="T1002" s="4"/>
      <c r="U1002" s="4"/>
      <c r="V1002" s="4"/>
      <c r="W1002" s="4"/>
      <c r="X1002" s="4"/>
    </row>
    <row r="1003" spans="17:24" x14ac:dyDescent="0.3">
      <c r="Q1003" s="4"/>
      <c r="R1003" s="4"/>
      <c r="S1003" s="4"/>
      <c r="T1003" s="4"/>
      <c r="U1003" s="4"/>
      <c r="V1003" s="4"/>
      <c r="W1003" s="4"/>
      <c r="X1003" s="4"/>
    </row>
    <row r="1004" spans="17:24" x14ac:dyDescent="0.3">
      <c r="Q1004" s="4"/>
      <c r="R1004" s="4"/>
      <c r="S1004" s="4"/>
      <c r="T1004" s="4"/>
      <c r="U1004" s="4"/>
      <c r="V1004" s="4"/>
      <c r="W1004" s="4"/>
      <c r="X1004" s="4"/>
    </row>
    <row r="1005" spans="17:24" x14ac:dyDescent="0.3">
      <c r="Q1005" s="4"/>
      <c r="R1005" s="4"/>
      <c r="S1005" s="4"/>
      <c r="T1005" s="4"/>
      <c r="U1005" s="4"/>
      <c r="V1005" s="4"/>
      <c r="W1005" s="4"/>
      <c r="X1005" s="4"/>
    </row>
    <row r="1006" spans="17:24" x14ac:dyDescent="0.3">
      <c r="Q1006" s="4"/>
      <c r="R1006" s="4"/>
      <c r="S1006" s="4"/>
      <c r="T1006" s="4"/>
      <c r="U1006" s="4"/>
      <c r="V1006" s="4"/>
      <c r="W1006" s="4"/>
      <c r="X1006" s="4"/>
    </row>
    <row r="1007" spans="17:24" x14ac:dyDescent="0.3">
      <c r="Q1007" s="4"/>
      <c r="R1007" s="4"/>
      <c r="S1007" s="4"/>
      <c r="T1007" s="4"/>
      <c r="U1007" s="4"/>
      <c r="V1007" s="4"/>
      <c r="W1007" s="4"/>
      <c r="X1007" s="4"/>
    </row>
    <row r="1008" spans="17:24" x14ac:dyDescent="0.3">
      <c r="Q1008" s="4"/>
      <c r="R1008" s="4"/>
      <c r="S1008" s="4"/>
      <c r="T1008" s="4"/>
      <c r="U1008" s="4"/>
      <c r="V1008" s="4"/>
      <c r="W1008" s="4"/>
      <c r="X1008" s="4"/>
    </row>
    <row r="1009" spans="17:24" x14ac:dyDescent="0.3">
      <c r="Q1009" s="4"/>
      <c r="R1009" s="4"/>
      <c r="S1009" s="4"/>
      <c r="T1009" s="4"/>
      <c r="U1009" s="4"/>
      <c r="V1009" s="4"/>
      <c r="W1009" s="4"/>
      <c r="X1009" s="4"/>
    </row>
    <row r="1010" spans="17:24" x14ac:dyDescent="0.3">
      <c r="Q1010" s="4"/>
      <c r="R1010" s="4"/>
      <c r="S1010" s="4"/>
      <c r="T1010" s="4"/>
      <c r="U1010" s="4"/>
      <c r="V1010" s="4"/>
      <c r="W1010" s="4"/>
      <c r="X1010" s="4"/>
    </row>
    <row r="1011" spans="17:24" x14ac:dyDescent="0.3">
      <c r="Q1011" s="4"/>
      <c r="R1011" s="4"/>
      <c r="S1011" s="4"/>
      <c r="T1011" s="4"/>
      <c r="U1011" s="4"/>
      <c r="V1011" s="4"/>
      <c r="W1011" s="4"/>
      <c r="X1011" s="4"/>
    </row>
    <row r="1012" spans="17:24" x14ac:dyDescent="0.3">
      <c r="Q1012" s="4"/>
      <c r="R1012" s="4"/>
      <c r="S1012" s="4"/>
      <c r="T1012" s="4"/>
      <c r="U1012" s="4"/>
      <c r="V1012" s="4"/>
      <c r="W1012" s="4"/>
      <c r="X1012" s="4"/>
    </row>
    <row r="1013" spans="17:24" x14ac:dyDescent="0.3">
      <c r="Q1013" s="4"/>
      <c r="R1013" s="4"/>
      <c r="S1013" s="4"/>
      <c r="T1013" s="4"/>
      <c r="U1013" s="4"/>
      <c r="V1013" s="4"/>
      <c r="W1013" s="4"/>
      <c r="X1013" s="4"/>
    </row>
    <row r="1014" spans="17:24" x14ac:dyDescent="0.3">
      <c r="Q1014" s="4"/>
      <c r="R1014" s="4"/>
      <c r="S1014" s="4"/>
      <c r="T1014" s="4"/>
      <c r="U1014" s="4"/>
      <c r="V1014" s="4"/>
      <c r="W1014" s="4"/>
      <c r="X1014" s="4"/>
    </row>
    <row r="1015" spans="17:24" x14ac:dyDescent="0.3">
      <c r="Q1015" s="4"/>
      <c r="R1015" s="4"/>
      <c r="S1015" s="4"/>
      <c r="T1015" s="4"/>
      <c r="U1015" s="4"/>
      <c r="V1015" s="4"/>
      <c r="W1015" s="4"/>
      <c r="X1015" s="4"/>
    </row>
    <row r="1016" spans="17:24" x14ac:dyDescent="0.3">
      <c r="Q1016" s="4"/>
      <c r="R1016" s="4"/>
      <c r="S1016" s="4"/>
      <c r="T1016" s="4"/>
      <c r="U1016" s="4"/>
      <c r="V1016" s="4"/>
      <c r="W1016" s="4"/>
      <c r="X1016" s="4"/>
    </row>
    <row r="1017" spans="17:24" x14ac:dyDescent="0.3">
      <c r="Q1017" s="4"/>
      <c r="R1017" s="4"/>
      <c r="S1017" s="4"/>
      <c r="T1017" s="4"/>
      <c r="U1017" s="4"/>
      <c r="V1017" s="4"/>
      <c r="W1017" s="4"/>
      <c r="X1017" s="4"/>
    </row>
    <row r="1018" spans="17:24" x14ac:dyDescent="0.3">
      <c r="Q1018" s="4"/>
      <c r="R1018" s="4"/>
      <c r="S1018" s="4"/>
      <c r="T1018" s="4"/>
      <c r="U1018" s="4"/>
      <c r="V1018" s="4"/>
      <c r="W1018" s="4"/>
      <c r="X1018" s="4"/>
    </row>
    <row r="1019" spans="17:24" x14ac:dyDescent="0.3">
      <c r="Q1019" s="4"/>
      <c r="R1019" s="4"/>
      <c r="S1019" s="4"/>
      <c r="T1019" s="4"/>
      <c r="U1019" s="4"/>
      <c r="V1019" s="4"/>
      <c r="W1019" s="4"/>
      <c r="X1019" s="4"/>
    </row>
    <row r="1020" spans="17:24" x14ac:dyDescent="0.3">
      <c r="Q1020" s="4"/>
      <c r="R1020" s="4"/>
      <c r="S1020" s="4"/>
      <c r="T1020" s="4"/>
      <c r="U1020" s="4"/>
      <c r="V1020" s="4"/>
      <c r="W1020" s="4"/>
      <c r="X1020" s="4"/>
    </row>
    <row r="1021" spans="17:24" x14ac:dyDescent="0.3">
      <c r="Q1021" s="4"/>
      <c r="R1021" s="4"/>
      <c r="S1021" s="4"/>
      <c r="T1021" s="4"/>
      <c r="U1021" s="4"/>
      <c r="V1021" s="4"/>
      <c r="W1021" s="4"/>
      <c r="X1021" s="4"/>
    </row>
    <row r="1022" spans="17:24" x14ac:dyDescent="0.3">
      <c r="Q1022" s="4"/>
      <c r="R1022" s="4"/>
      <c r="S1022" s="4"/>
      <c r="T1022" s="4"/>
      <c r="U1022" s="4"/>
      <c r="V1022" s="4"/>
      <c r="W1022" s="4"/>
      <c r="X1022" s="4"/>
    </row>
    <row r="1023" spans="17:24" x14ac:dyDescent="0.3">
      <c r="Q1023" s="4"/>
      <c r="R1023" s="4"/>
      <c r="S1023" s="4"/>
      <c r="T1023" s="4"/>
      <c r="U1023" s="4"/>
      <c r="V1023" s="4"/>
      <c r="W1023" s="4"/>
      <c r="X1023" s="4"/>
    </row>
    <row r="1024" spans="17:24" x14ac:dyDescent="0.3">
      <c r="Q1024" s="4"/>
      <c r="R1024" s="4"/>
      <c r="S1024" s="4"/>
      <c r="T1024" s="4"/>
      <c r="U1024" s="4"/>
      <c r="V1024" s="4"/>
      <c r="W1024" s="4"/>
      <c r="X1024" s="4"/>
    </row>
    <row r="1025" spans="17:24" x14ac:dyDescent="0.3">
      <c r="Q1025" s="4"/>
      <c r="R1025" s="4"/>
      <c r="S1025" s="4"/>
      <c r="T1025" s="4"/>
      <c r="U1025" s="4"/>
      <c r="V1025" s="4"/>
      <c r="W1025" s="4"/>
      <c r="X1025" s="4"/>
    </row>
    <row r="1026" spans="17:24" x14ac:dyDescent="0.3">
      <c r="Q1026" s="4"/>
      <c r="R1026" s="4"/>
      <c r="S1026" s="4"/>
      <c r="T1026" s="4"/>
      <c r="U1026" s="4"/>
      <c r="V1026" s="4"/>
      <c r="W1026" s="4"/>
      <c r="X1026" s="4"/>
    </row>
    <row r="1027" spans="17:24" x14ac:dyDescent="0.3">
      <c r="Q1027" s="4"/>
      <c r="R1027" s="4"/>
      <c r="S1027" s="4"/>
      <c r="T1027" s="4"/>
      <c r="U1027" s="4"/>
      <c r="V1027" s="4"/>
      <c r="W1027" s="4"/>
      <c r="X1027" s="4"/>
    </row>
    <row r="1028" spans="17:24" x14ac:dyDescent="0.3">
      <c r="Q1028" s="4"/>
      <c r="R1028" s="4"/>
      <c r="S1028" s="4"/>
      <c r="T1028" s="4"/>
      <c r="U1028" s="4"/>
      <c r="V1028" s="4"/>
      <c r="W1028" s="4"/>
      <c r="X1028" s="4"/>
    </row>
    <row r="1029" spans="17:24" x14ac:dyDescent="0.3">
      <c r="Q1029" s="4"/>
      <c r="R1029" s="4"/>
      <c r="S1029" s="4"/>
      <c r="T1029" s="4"/>
      <c r="U1029" s="4"/>
      <c r="V1029" s="4"/>
      <c r="W1029" s="4"/>
      <c r="X1029" s="4"/>
    </row>
    <row r="1030" spans="17:24" x14ac:dyDescent="0.3">
      <c r="Q1030" s="4"/>
      <c r="R1030" s="4"/>
      <c r="S1030" s="4"/>
      <c r="T1030" s="4"/>
      <c r="U1030" s="4"/>
      <c r="V1030" s="4"/>
      <c r="W1030" s="4"/>
      <c r="X1030" s="4"/>
    </row>
    <row r="1031" spans="17:24" x14ac:dyDescent="0.3">
      <c r="Q1031" s="4"/>
      <c r="R1031" s="4"/>
      <c r="S1031" s="4"/>
      <c r="T1031" s="4"/>
      <c r="U1031" s="4"/>
      <c r="V1031" s="4"/>
      <c r="W1031" s="4"/>
      <c r="X1031" s="4"/>
    </row>
    <row r="1032" spans="17:24" x14ac:dyDescent="0.3">
      <c r="Q1032" s="4"/>
      <c r="R1032" s="4"/>
      <c r="S1032" s="4"/>
      <c r="T1032" s="4"/>
      <c r="U1032" s="4"/>
      <c r="V1032" s="4"/>
      <c r="W1032" s="4"/>
      <c r="X1032" s="4"/>
    </row>
    <row r="1033" spans="17:24" x14ac:dyDescent="0.3">
      <c r="Q1033" s="4"/>
      <c r="R1033" s="4"/>
      <c r="S1033" s="4"/>
      <c r="T1033" s="4"/>
      <c r="U1033" s="4"/>
      <c r="V1033" s="4"/>
      <c r="W1033" s="4"/>
      <c r="X1033" s="4"/>
    </row>
    <row r="1034" spans="17:24" x14ac:dyDescent="0.3">
      <c r="Q1034" s="4"/>
      <c r="R1034" s="4"/>
      <c r="S1034" s="4"/>
      <c r="T1034" s="4"/>
      <c r="U1034" s="4"/>
      <c r="V1034" s="4"/>
      <c r="W1034" s="4"/>
      <c r="X1034" s="4"/>
    </row>
    <row r="1035" spans="17:24" x14ac:dyDescent="0.3">
      <c r="Q1035" s="4"/>
      <c r="R1035" s="4"/>
      <c r="S1035" s="4"/>
      <c r="T1035" s="4"/>
      <c r="U1035" s="4"/>
      <c r="V1035" s="4"/>
      <c r="W1035" s="4"/>
      <c r="X1035" s="4"/>
    </row>
    <row r="1036" spans="17:24" x14ac:dyDescent="0.3">
      <c r="Q1036" s="4"/>
      <c r="R1036" s="4"/>
      <c r="S1036" s="4"/>
      <c r="T1036" s="4"/>
      <c r="U1036" s="4"/>
      <c r="V1036" s="4"/>
      <c r="W1036" s="4"/>
      <c r="X1036" s="4"/>
    </row>
    <row r="1037" spans="17:24" x14ac:dyDescent="0.3">
      <c r="Q1037" s="4"/>
      <c r="R1037" s="4"/>
      <c r="S1037" s="4"/>
      <c r="T1037" s="4"/>
      <c r="U1037" s="4"/>
      <c r="V1037" s="4"/>
      <c r="W1037" s="4"/>
      <c r="X1037" s="4"/>
    </row>
    <row r="1038" spans="17:24" x14ac:dyDescent="0.3">
      <c r="Q1038" s="4"/>
      <c r="R1038" s="4"/>
      <c r="S1038" s="4"/>
      <c r="T1038" s="4"/>
      <c r="U1038" s="4"/>
      <c r="V1038" s="4"/>
      <c r="W1038" s="4"/>
      <c r="X1038" s="4"/>
    </row>
    <row r="1039" spans="17:24" x14ac:dyDescent="0.3">
      <c r="Q1039" s="4"/>
      <c r="R1039" s="4"/>
      <c r="S1039" s="4"/>
      <c r="T1039" s="4"/>
      <c r="U1039" s="4"/>
      <c r="V1039" s="4"/>
      <c r="W1039" s="4"/>
      <c r="X1039" s="4"/>
    </row>
    <row r="1040" spans="17:24" x14ac:dyDescent="0.3">
      <c r="Q1040" s="4"/>
      <c r="R1040" s="4"/>
      <c r="S1040" s="4"/>
      <c r="T1040" s="4"/>
      <c r="U1040" s="4"/>
      <c r="V1040" s="4"/>
      <c r="W1040" s="4"/>
      <c r="X1040" s="4"/>
    </row>
    <row r="1041" spans="17:24" x14ac:dyDescent="0.3">
      <c r="Q1041" s="4"/>
      <c r="R1041" s="4"/>
      <c r="S1041" s="4"/>
      <c r="T1041" s="4"/>
      <c r="U1041" s="4"/>
      <c r="V1041" s="4"/>
      <c r="W1041" s="4"/>
      <c r="X1041" s="4"/>
    </row>
    <row r="1042" spans="17:24" x14ac:dyDescent="0.3">
      <c r="Q1042" s="4"/>
      <c r="R1042" s="4"/>
      <c r="S1042" s="4"/>
      <c r="T1042" s="4"/>
      <c r="U1042" s="4"/>
      <c r="V1042" s="4"/>
      <c r="W1042" s="4"/>
      <c r="X1042" s="4"/>
    </row>
    <row r="1043" spans="17:24" x14ac:dyDescent="0.3">
      <c r="Q1043" s="4"/>
      <c r="R1043" s="4"/>
      <c r="S1043" s="4"/>
      <c r="T1043" s="4"/>
      <c r="U1043" s="4"/>
      <c r="V1043" s="4"/>
      <c r="W1043" s="4"/>
      <c r="X1043" s="4"/>
    </row>
    <row r="1044" spans="17:24" x14ac:dyDescent="0.3">
      <c r="Q1044" s="4"/>
      <c r="R1044" s="4"/>
      <c r="S1044" s="4"/>
      <c r="T1044" s="4"/>
      <c r="U1044" s="4"/>
      <c r="V1044" s="4"/>
      <c r="W1044" s="4"/>
      <c r="X1044" s="4"/>
    </row>
    <row r="1045" spans="17:24" x14ac:dyDescent="0.3">
      <c r="Q1045" s="4"/>
      <c r="R1045" s="4"/>
      <c r="S1045" s="4"/>
      <c r="T1045" s="4"/>
      <c r="U1045" s="4"/>
      <c r="V1045" s="4"/>
      <c r="W1045" s="4"/>
      <c r="X1045" s="4"/>
    </row>
    <row r="1046" spans="17:24" x14ac:dyDescent="0.3">
      <c r="Q1046" s="4"/>
      <c r="R1046" s="4"/>
      <c r="S1046" s="4"/>
      <c r="T1046" s="4"/>
      <c r="U1046" s="4"/>
      <c r="V1046" s="4"/>
      <c r="W1046" s="4"/>
      <c r="X1046" s="4"/>
    </row>
    <row r="1047" spans="17:24" x14ac:dyDescent="0.3">
      <c r="Q1047" s="4"/>
      <c r="R1047" s="4"/>
      <c r="S1047" s="4"/>
      <c r="T1047" s="4"/>
      <c r="U1047" s="4"/>
      <c r="V1047" s="4"/>
      <c r="W1047" s="4"/>
      <c r="X1047" s="4"/>
    </row>
    <row r="1048" spans="17:24" x14ac:dyDescent="0.3">
      <c r="Q1048" s="4"/>
      <c r="R1048" s="4"/>
      <c r="S1048" s="4"/>
      <c r="T1048" s="4"/>
      <c r="U1048" s="4"/>
      <c r="V1048" s="4"/>
      <c r="W1048" s="4"/>
      <c r="X1048" s="4"/>
    </row>
    <row r="1049" spans="17:24" x14ac:dyDescent="0.3">
      <c r="Q1049" s="4"/>
      <c r="R1049" s="4"/>
      <c r="S1049" s="4"/>
      <c r="T1049" s="4"/>
      <c r="U1049" s="4"/>
      <c r="V1049" s="4"/>
      <c r="W1049" s="4"/>
      <c r="X1049" s="4"/>
    </row>
    <row r="1050" spans="17:24" x14ac:dyDescent="0.3">
      <c r="Q1050" s="4"/>
      <c r="R1050" s="4"/>
      <c r="S1050" s="4"/>
      <c r="T1050" s="4"/>
      <c r="U1050" s="4"/>
      <c r="V1050" s="4"/>
      <c r="W1050" s="4"/>
      <c r="X1050" s="4"/>
    </row>
    <row r="1051" spans="17:24" x14ac:dyDescent="0.3">
      <c r="Q1051" s="4"/>
      <c r="R1051" s="4"/>
      <c r="S1051" s="4"/>
      <c r="T1051" s="4"/>
      <c r="U1051" s="4"/>
      <c r="V1051" s="4"/>
      <c r="W1051" s="4"/>
      <c r="X1051" s="4"/>
    </row>
    <row r="1052" spans="17:24" x14ac:dyDescent="0.3">
      <c r="Q1052" s="4"/>
      <c r="R1052" s="4"/>
      <c r="S1052" s="4"/>
      <c r="T1052" s="4"/>
      <c r="U1052" s="4"/>
      <c r="V1052" s="4"/>
      <c r="W1052" s="4"/>
      <c r="X1052" s="4"/>
    </row>
    <row r="1053" spans="17:24" x14ac:dyDescent="0.3">
      <c r="Q1053" s="4"/>
      <c r="R1053" s="4"/>
      <c r="S1053" s="4"/>
      <c r="T1053" s="4"/>
      <c r="U1053" s="4"/>
      <c r="V1053" s="4"/>
      <c r="W1053" s="4"/>
      <c r="X1053" s="4"/>
    </row>
    <row r="1054" spans="17:24" x14ac:dyDescent="0.3">
      <c r="Q1054" s="4"/>
      <c r="R1054" s="4"/>
      <c r="S1054" s="4"/>
      <c r="T1054" s="4"/>
      <c r="U1054" s="4"/>
      <c r="V1054" s="4"/>
      <c r="W1054" s="4"/>
      <c r="X1054" s="4"/>
    </row>
    <row r="1055" spans="17:24" x14ac:dyDescent="0.3">
      <c r="Q1055" s="4"/>
      <c r="R1055" s="4"/>
      <c r="S1055" s="4"/>
      <c r="T1055" s="4"/>
      <c r="U1055" s="4"/>
      <c r="V1055" s="4"/>
      <c r="W1055" s="4"/>
      <c r="X1055" s="4"/>
    </row>
    <row r="1056" spans="17:24" x14ac:dyDescent="0.3">
      <c r="Q1056" s="4"/>
      <c r="R1056" s="4"/>
      <c r="S1056" s="4"/>
      <c r="T1056" s="4"/>
      <c r="U1056" s="4"/>
      <c r="V1056" s="4"/>
      <c r="W1056" s="4"/>
      <c r="X1056" s="4"/>
    </row>
    <row r="1057" spans="17:24" x14ac:dyDescent="0.3">
      <c r="Q1057" s="4"/>
      <c r="R1057" s="4"/>
      <c r="S1057" s="4"/>
      <c r="T1057" s="4"/>
      <c r="U1057" s="4"/>
      <c r="V1057" s="4"/>
      <c r="W1057" s="4"/>
      <c r="X1057" s="4"/>
    </row>
    <row r="1058" spans="17:24" x14ac:dyDescent="0.3">
      <c r="Q1058" s="4"/>
      <c r="R1058" s="4"/>
      <c r="S1058" s="4"/>
      <c r="T1058" s="4"/>
      <c r="U1058" s="4"/>
      <c r="V1058" s="4"/>
      <c r="W1058" s="4"/>
      <c r="X1058" s="4"/>
    </row>
    <row r="1059" spans="17:24" x14ac:dyDescent="0.3">
      <c r="Q1059" s="4"/>
      <c r="R1059" s="4"/>
      <c r="S1059" s="4"/>
      <c r="T1059" s="4"/>
      <c r="U1059" s="4"/>
      <c r="V1059" s="4"/>
      <c r="W1059" s="4"/>
      <c r="X1059" s="4"/>
    </row>
    <row r="1060" spans="17:24" x14ac:dyDescent="0.3">
      <c r="Q1060" s="4"/>
      <c r="R1060" s="4"/>
      <c r="S1060" s="4"/>
      <c r="T1060" s="4"/>
      <c r="U1060" s="4"/>
      <c r="V1060" s="4"/>
      <c r="W1060" s="4"/>
      <c r="X1060" s="4"/>
    </row>
    <row r="1061" spans="17:24" x14ac:dyDescent="0.3">
      <c r="Q1061" s="4"/>
      <c r="R1061" s="4"/>
      <c r="S1061" s="4"/>
      <c r="T1061" s="4"/>
      <c r="U1061" s="4"/>
      <c r="V1061" s="4"/>
      <c r="W1061" s="4"/>
      <c r="X1061" s="4"/>
    </row>
    <row r="1062" spans="17:24" x14ac:dyDescent="0.3">
      <c r="Q1062" s="4"/>
      <c r="R1062" s="4"/>
      <c r="S1062" s="4"/>
      <c r="T1062" s="4"/>
      <c r="U1062" s="4"/>
      <c r="V1062" s="4"/>
      <c r="W1062" s="4"/>
      <c r="X1062" s="4"/>
    </row>
    <row r="1063" spans="17:24" x14ac:dyDescent="0.3">
      <c r="Q1063" s="4"/>
      <c r="R1063" s="4"/>
      <c r="S1063" s="4"/>
      <c r="T1063" s="4"/>
      <c r="U1063" s="4"/>
      <c r="V1063" s="4"/>
      <c r="W1063" s="4"/>
      <c r="X1063" s="4"/>
    </row>
    <row r="1064" spans="17:24" x14ac:dyDescent="0.3">
      <c r="Q1064" s="4"/>
      <c r="R1064" s="4"/>
      <c r="S1064" s="4"/>
      <c r="T1064" s="4"/>
      <c r="U1064" s="4"/>
      <c r="V1064" s="4"/>
      <c r="W1064" s="4"/>
      <c r="X1064" s="4"/>
    </row>
    <row r="1065" spans="17:24" x14ac:dyDescent="0.3">
      <c r="Q1065" s="4"/>
      <c r="R1065" s="4"/>
      <c r="S1065" s="4"/>
      <c r="T1065" s="4"/>
      <c r="U1065" s="4"/>
      <c r="V1065" s="4"/>
      <c r="W1065" s="4"/>
      <c r="X1065" s="4"/>
    </row>
    <row r="1066" spans="17:24" x14ac:dyDescent="0.3">
      <c r="Q1066" s="4"/>
      <c r="R1066" s="4"/>
      <c r="S1066" s="4"/>
      <c r="T1066" s="4"/>
      <c r="U1066" s="4"/>
      <c r="V1066" s="4"/>
      <c r="W1066" s="4"/>
      <c r="X1066" s="4"/>
    </row>
    <row r="1067" spans="17:24" x14ac:dyDescent="0.3">
      <c r="Q1067" s="4"/>
      <c r="R1067" s="4"/>
      <c r="S1067" s="4"/>
      <c r="T1067" s="4"/>
      <c r="U1067" s="4"/>
      <c r="V1067" s="4"/>
      <c r="W1067" s="4"/>
      <c r="X1067" s="4"/>
    </row>
    <row r="1068" spans="17:24" x14ac:dyDescent="0.3">
      <c r="Q1068" s="4"/>
      <c r="R1068" s="4"/>
      <c r="S1068" s="4"/>
      <c r="T1068" s="4"/>
      <c r="U1068" s="4"/>
      <c r="V1068" s="4"/>
      <c r="W1068" s="4"/>
      <c r="X1068" s="4"/>
    </row>
    <row r="1069" spans="17:24" x14ac:dyDescent="0.3">
      <c r="Q1069" s="4"/>
      <c r="R1069" s="4"/>
      <c r="S1069" s="4"/>
      <c r="T1069" s="4"/>
      <c r="U1069" s="4"/>
      <c r="V1069" s="4"/>
      <c r="W1069" s="4"/>
      <c r="X1069" s="4"/>
    </row>
    <row r="1070" spans="17:24" x14ac:dyDescent="0.3">
      <c r="Q1070" s="4"/>
      <c r="R1070" s="4"/>
      <c r="S1070" s="4"/>
      <c r="T1070" s="4"/>
      <c r="U1070" s="4"/>
      <c r="V1070" s="4"/>
      <c r="W1070" s="4"/>
      <c r="X1070" s="4"/>
    </row>
    <row r="1071" spans="17:24" x14ac:dyDescent="0.3">
      <c r="Q1071" s="4"/>
      <c r="R1071" s="4"/>
      <c r="S1071" s="4"/>
      <c r="T1071" s="4"/>
      <c r="U1071" s="4"/>
      <c r="V1071" s="4"/>
      <c r="W1071" s="4"/>
      <c r="X1071" s="4"/>
    </row>
    <row r="1072" spans="17:24" x14ac:dyDescent="0.3">
      <c r="Q1072" s="4"/>
      <c r="R1072" s="4"/>
      <c r="S1072" s="4"/>
      <c r="T1072" s="4"/>
      <c r="U1072" s="4"/>
      <c r="V1072" s="4"/>
      <c r="W1072" s="4"/>
      <c r="X1072" s="4"/>
    </row>
    <row r="1073" spans="17:24" x14ac:dyDescent="0.3">
      <c r="Q1073" s="4"/>
      <c r="R1073" s="4"/>
      <c r="S1073" s="4"/>
      <c r="T1073" s="4"/>
      <c r="U1073" s="4"/>
      <c r="V1073" s="4"/>
      <c r="W1073" s="4"/>
      <c r="X1073" s="4"/>
    </row>
    <row r="1074" spans="17:24" x14ac:dyDescent="0.3">
      <c r="Q1074" s="4"/>
      <c r="R1074" s="4"/>
      <c r="S1074" s="4"/>
      <c r="T1074" s="4"/>
      <c r="U1074" s="4"/>
      <c r="V1074" s="4"/>
      <c r="W1074" s="4"/>
      <c r="X1074" s="4"/>
    </row>
    <row r="1075" spans="17:24" x14ac:dyDescent="0.3">
      <c r="Q1075" s="4"/>
      <c r="R1075" s="4"/>
      <c r="S1075" s="4"/>
      <c r="T1075" s="4"/>
      <c r="U1075" s="4"/>
      <c r="V1075" s="4"/>
      <c r="W1075" s="4"/>
      <c r="X1075" s="4"/>
    </row>
    <row r="1076" spans="17:24" x14ac:dyDescent="0.3">
      <c r="Q1076" s="4"/>
      <c r="R1076" s="4"/>
      <c r="S1076" s="4"/>
      <c r="T1076" s="4"/>
      <c r="U1076" s="4"/>
      <c r="V1076" s="4"/>
      <c r="W1076" s="4"/>
      <c r="X1076" s="4"/>
    </row>
    <row r="1077" spans="17:24" x14ac:dyDescent="0.3">
      <c r="Q1077" s="4"/>
      <c r="R1077" s="4"/>
      <c r="S1077" s="4"/>
      <c r="T1077" s="4"/>
      <c r="U1077" s="4"/>
      <c r="V1077" s="4"/>
      <c r="W1077" s="4"/>
      <c r="X1077" s="4"/>
    </row>
    <row r="1078" spans="17:24" x14ac:dyDescent="0.3">
      <c r="Q1078" s="4"/>
      <c r="R1078" s="4"/>
      <c r="S1078" s="4"/>
      <c r="T1078" s="4"/>
      <c r="U1078" s="4"/>
      <c r="V1078" s="4"/>
      <c r="W1078" s="4"/>
      <c r="X1078" s="4"/>
    </row>
    <row r="1079" spans="17:24" x14ac:dyDescent="0.3">
      <c r="Q1079" s="4"/>
      <c r="R1079" s="4"/>
      <c r="S1079" s="4"/>
      <c r="T1079" s="4"/>
      <c r="U1079" s="4"/>
      <c r="V1079" s="4"/>
      <c r="W1079" s="4"/>
      <c r="X1079" s="4"/>
    </row>
    <row r="1080" spans="17:24" x14ac:dyDescent="0.3">
      <c r="Q1080" s="4"/>
      <c r="R1080" s="4"/>
      <c r="S1080" s="4"/>
      <c r="T1080" s="4"/>
      <c r="U1080" s="4"/>
      <c r="V1080" s="4"/>
      <c r="W1080" s="4"/>
      <c r="X1080" s="4"/>
    </row>
    <row r="1081" spans="17:24" x14ac:dyDescent="0.3">
      <c r="Q1081" s="4"/>
      <c r="R1081" s="4"/>
      <c r="S1081" s="4"/>
      <c r="T1081" s="4"/>
      <c r="U1081" s="4"/>
      <c r="V1081" s="4"/>
      <c r="W1081" s="4"/>
      <c r="X1081" s="4"/>
    </row>
    <row r="1082" spans="17:24" x14ac:dyDescent="0.3">
      <c r="Q1082" s="4"/>
      <c r="R1082" s="4"/>
      <c r="S1082" s="4"/>
      <c r="T1082" s="4"/>
      <c r="U1082" s="4"/>
      <c r="V1082" s="4"/>
      <c r="W1082" s="4"/>
      <c r="X1082" s="4"/>
    </row>
    <row r="1083" spans="17:24" x14ac:dyDescent="0.3">
      <c r="Q1083" s="4"/>
      <c r="R1083" s="4"/>
      <c r="S1083" s="4"/>
      <c r="T1083" s="4"/>
      <c r="U1083" s="4"/>
      <c r="V1083" s="4"/>
      <c r="W1083" s="4"/>
      <c r="X1083" s="4"/>
    </row>
    <row r="1084" spans="17:24" x14ac:dyDescent="0.3">
      <c r="Q1084" s="4"/>
      <c r="R1084" s="4"/>
      <c r="S1084" s="4"/>
      <c r="T1084" s="4"/>
      <c r="U1084" s="4"/>
      <c r="V1084" s="4"/>
      <c r="W1084" s="4"/>
      <c r="X1084" s="4"/>
    </row>
    <row r="1085" spans="17:24" x14ac:dyDescent="0.3">
      <c r="Q1085" s="4"/>
      <c r="R1085" s="4"/>
      <c r="S1085" s="4"/>
      <c r="T1085" s="4"/>
      <c r="U1085" s="4"/>
      <c r="V1085" s="4"/>
      <c r="W1085" s="4"/>
      <c r="X1085" s="4"/>
    </row>
    <row r="1086" spans="17:24" x14ac:dyDescent="0.3">
      <c r="Q1086" s="4"/>
      <c r="R1086" s="4"/>
      <c r="S1086" s="4"/>
      <c r="T1086" s="4"/>
      <c r="U1086" s="4"/>
      <c r="V1086" s="4"/>
      <c r="W1086" s="4"/>
      <c r="X1086" s="4"/>
    </row>
    <row r="1087" spans="17:24" x14ac:dyDescent="0.3">
      <c r="Q1087" s="4"/>
      <c r="R1087" s="4"/>
      <c r="S1087" s="4"/>
      <c r="T1087" s="4"/>
      <c r="U1087" s="4"/>
      <c r="V1087" s="4"/>
      <c r="W1087" s="4"/>
      <c r="X1087" s="4"/>
    </row>
    <row r="1088" spans="17:24" x14ac:dyDescent="0.3">
      <c r="Q1088" s="4"/>
      <c r="R1088" s="4"/>
      <c r="S1088" s="4"/>
      <c r="T1088" s="4"/>
      <c r="U1088" s="4"/>
      <c r="V1088" s="4"/>
      <c r="W1088" s="4"/>
      <c r="X1088" s="4"/>
    </row>
    <row r="1089" spans="17:24" x14ac:dyDescent="0.3">
      <c r="Q1089" s="4"/>
      <c r="R1089" s="4"/>
      <c r="S1089" s="4"/>
      <c r="T1089" s="4"/>
      <c r="U1089" s="4"/>
      <c r="V1089" s="4"/>
      <c r="W1089" s="4"/>
      <c r="X1089" s="4"/>
    </row>
    <row r="1090" spans="17:24" x14ac:dyDescent="0.3">
      <c r="Q1090" s="4"/>
      <c r="R1090" s="4"/>
      <c r="S1090" s="4"/>
      <c r="T1090" s="4"/>
      <c r="U1090" s="4"/>
      <c r="V1090" s="4"/>
      <c r="W1090" s="4"/>
      <c r="X1090" s="4"/>
    </row>
    <row r="1091" spans="17:24" x14ac:dyDescent="0.3">
      <c r="Q1091" s="4"/>
      <c r="R1091" s="4"/>
      <c r="S1091" s="4"/>
      <c r="T1091" s="4"/>
      <c r="U1091" s="4"/>
      <c r="V1091" s="4"/>
      <c r="W1091" s="4"/>
      <c r="X1091" s="4"/>
    </row>
    <row r="1092" spans="17:24" x14ac:dyDescent="0.3">
      <c r="Q1092" s="4"/>
      <c r="R1092" s="4"/>
      <c r="S1092" s="4"/>
      <c r="T1092" s="4"/>
      <c r="U1092" s="4"/>
      <c r="V1092" s="4"/>
      <c r="W1092" s="4"/>
      <c r="X1092" s="4"/>
    </row>
    <row r="1093" spans="17:24" x14ac:dyDescent="0.3">
      <c r="Q1093" s="4"/>
      <c r="R1093" s="4"/>
      <c r="S1093" s="4"/>
      <c r="T1093" s="4"/>
      <c r="U1093" s="4"/>
      <c r="V1093" s="4"/>
      <c r="W1093" s="4"/>
      <c r="X1093" s="4"/>
    </row>
    <row r="1094" spans="17:24" x14ac:dyDescent="0.3">
      <c r="Q1094" s="4"/>
      <c r="R1094" s="4"/>
      <c r="S1094" s="4"/>
      <c r="T1094" s="4"/>
      <c r="U1094" s="4"/>
      <c r="V1094" s="4"/>
      <c r="W1094" s="4"/>
      <c r="X1094" s="4"/>
    </row>
    <row r="1095" spans="17:24" x14ac:dyDescent="0.3">
      <c r="Q1095" s="4"/>
      <c r="R1095" s="4"/>
      <c r="S1095" s="4"/>
      <c r="T1095" s="4"/>
      <c r="U1095" s="4"/>
      <c r="V1095" s="4"/>
      <c r="W1095" s="4"/>
      <c r="X1095" s="4"/>
    </row>
    <row r="1096" spans="17:24" x14ac:dyDescent="0.3">
      <c r="Q1096" s="4"/>
      <c r="R1096" s="4"/>
      <c r="S1096" s="4"/>
      <c r="T1096" s="4"/>
      <c r="U1096" s="4"/>
      <c r="V1096" s="4"/>
      <c r="W1096" s="4"/>
      <c r="X1096" s="4"/>
    </row>
    <row r="1097" spans="17:24" x14ac:dyDescent="0.3">
      <c r="Q1097" s="4"/>
      <c r="R1097" s="4"/>
      <c r="S1097" s="4"/>
      <c r="T1097" s="4"/>
      <c r="U1097" s="4"/>
      <c r="V1097" s="4"/>
      <c r="W1097" s="4"/>
      <c r="X1097" s="4"/>
    </row>
    <row r="1098" spans="17:24" x14ac:dyDescent="0.3">
      <c r="Q1098" s="4"/>
      <c r="R1098" s="4"/>
      <c r="S1098" s="4"/>
      <c r="T1098" s="4"/>
      <c r="U1098" s="4"/>
      <c r="V1098" s="4"/>
      <c r="W1098" s="4"/>
      <c r="X1098" s="4"/>
    </row>
    <row r="1099" spans="17:24" x14ac:dyDescent="0.3">
      <c r="Q1099" s="4"/>
      <c r="R1099" s="4"/>
      <c r="S1099" s="4"/>
      <c r="T1099" s="4"/>
      <c r="U1099" s="4"/>
      <c r="V1099" s="4"/>
      <c r="W1099" s="4"/>
      <c r="X1099" s="4"/>
    </row>
    <row r="1100" spans="17:24" x14ac:dyDescent="0.3">
      <c r="Q1100" s="4"/>
      <c r="R1100" s="4"/>
      <c r="S1100" s="4"/>
      <c r="T1100" s="4"/>
      <c r="U1100" s="4"/>
      <c r="V1100" s="4"/>
      <c r="W1100" s="4"/>
      <c r="X1100" s="4"/>
    </row>
    <row r="1101" spans="17:24" x14ac:dyDescent="0.3">
      <c r="Q1101" s="4"/>
      <c r="R1101" s="4"/>
      <c r="S1101" s="4"/>
      <c r="T1101" s="4"/>
      <c r="U1101" s="4"/>
      <c r="V1101" s="4"/>
      <c r="W1101" s="4"/>
      <c r="X1101" s="4"/>
    </row>
    <row r="1102" spans="17:24" x14ac:dyDescent="0.3">
      <c r="Q1102" s="4"/>
      <c r="R1102" s="4"/>
      <c r="S1102" s="4"/>
      <c r="T1102" s="4"/>
      <c r="U1102" s="4"/>
      <c r="V1102" s="4"/>
      <c r="W1102" s="4"/>
      <c r="X1102" s="4"/>
    </row>
    <row r="1103" spans="17:24" x14ac:dyDescent="0.3">
      <c r="Q1103" s="4"/>
      <c r="R1103" s="4"/>
      <c r="S1103" s="4"/>
      <c r="T1103" s="4"/>
      <c r="U1103" s="4"/>
      <c r="V1103" s="4"/>
      <c r="W1103" s="4"/>
      <c r="X1103" s="4"/>
    </row>
    <row r="1104" spans="17:24" x14ac:dyDescent="0.3">
      <c r="Q1104" s="4"/>
      <c r="R1104" s="4"/>
      <c r="S1104" s="4"/>
      <c r="T1104" s="4"/>
      <c r="U1104" s="4"/>
      <c r="V1104" s="4"/>
      <c r="W1104" s="4"/>
      <c r="X1104" s="4"/>
    </row>
    <row r="1105" spans="17:24" x14ac:dyDescent="0.3">
      <c r="Q1105" s="4"/>
      <c r="R1105" s="4"/>
      <c r="S1105" s="4"/>
      <c r="T1105" s="4"/>
      <c r="U1105" s="4"/>
      <c r="V1105" s="4"/>
      <c r="W1105" s="4"/>
      <c r="X1105" s="4"/>
    </row>
    <row r="1106" spans="17:24" x14ac:dyDescent="0.3">
      <c r="Q1106" s="4"/>
      <c r="R1106" s="4"/>
      <c r="S1106" s="4"/>
      <c r="T1106" s="4"/>
      <c r="U1106" s="4"/>
      <c r="V1106" s="4"/>
      <c r="W1106" s="4"/>
      <c r="X1106" s="4"/>
    </row>
    <row r="1107" spans="17:24" x14ac:dyDescent="0.3">
      <c r="Q1107" s="4"/>
      <c r="R1107" s="4"/>
      <c r="S1107" s="4"/>
      <c r="T1107" s="4"/>
      <c r="U1107" s="4"/>
      <c r="V1107" s="4"/>
      <c r="W1107" s="4"/>
      <c r="X1107" s="4"/>
    </row>
    <row r="1108" spans="17:24" x14ac:dyDescent="0.3">
      <c r="Q1108" s="4"/>
      <c r="R1108" s="4"/>
      <c r="S1108" s="4"/>
      <c r="T1108" s="4"/>
      <c r="U1108" s="4"/>
      <c r="V1108" s="4"/>
      <c r="W1108" s="4"/>
      <c r="X1108" s="4"/>
    </row>
    <row r="1109" spans="17:24" x14ac:dyDescent="0.3">
      <c r="Q1109" s="4"/>
      <c r="R1109" s="4"/>
      <c r="S1109" s="4"/>
      <c r="T1109" s="4"/>
      <c r="U1109" s="4"/>
      <c r="V1109" s="4"/>
      <c r="W1109" s="4"/>
      <c r="X1109" s="4"/>
    </row>
    <row r="1110" spans="17:24" x14ac:dyDescent="0.3">
      <c r="Q1110" s="4"/>
      <c r="R1110" s="4"/>
      <c r="S1110" s="4"/>
      <c r="T1110" s="4"/>
      <c r="U1110" s="4"/>
      <c r="V1110" s="4"/>
      <c r="W1110" s="4"/>
      <c r="X1110" s="4"/>
    </row>
    <row r="1111" spans="17:24" x14ac:dyDescent="0.3">
      <c r="Q1111" s="4"/>
      <c r="R1111" s="4"/>
      <c r="S1111" s="4"/>
      <c r="T1111" s="4"/>
      <c r="U1111" s="4"/>
      <c r="V1111" s="4"/>
      <c r="W1111" s="4"/>
      <c r="X1111" s="4"/>
    </row>
    <row r="1112" spans="17:24" x14ac:dyDescent="0.3">
      <c r="Q1112" s="4"/>
      <c r="R1112" s="4"/>
      <c r="S1112" s="4"/>
      <c r="T1112" s="4"/>
      <c r="U1112" s="4"/>
      <c r="V1112" s="4"/>
      <c r="W1112" s="4"/>
      <c r="X1112" s="4"/>
    </row>
    <row r="1113" spans="17:24" x14ac:dyDescent="0.3">
      <c r="Q1113" s="4"/>
      <c r="R1113" s="4"/>
      <c r="S1113" s="4"/>
      <c r="T1113" s="4"/>
      <c r="U1113" s="4"/>
      <c r="V1113" s="4"/>
      <c r="W1113" s="4"/>
      <c r="X1113" s="4"/>
    </row>
    <row r="1114" spans="17:24" x14ac:dyDescent="0.3">
      <c r="Q1114" s="4"/>
      <c r="R1114" s="4"/>
      <c r="S1114" s="4"/>
      <c r="T1114" s="4"/>
      <c r="U1114" s="4"/>
      <c r="V1114" s="4"/>
      <c r="W1114" s="4"/>
      <c r="X1114" s="4"/>
    </row>
    <row r="1115" spans="17:24" x14ac:dyDescent="0.3">
      <c r="Q1115" s="4"/>
      <c r="R1115" s="4"/>
      <c r="S1115" s="4"/>
      <c r="T1115" s="4"/>
      <c r="U1115" s="4"/>
      <c r="V1115" s="4"/>
      <c r="W1115" s="4"/>
      <c r="X1115" s="4"/>
    </row>
    <row r="1116" spans="17:24" x14ac:dyDescent="0.3">
      <c r="Q1116" s="4"/>
      <c r="R1116" s="4"/>
      <c r="S1116" s="4"/>
      <c r="T1116" s="4"/>
      <c r="U1116" s="4"/>
      <c r="V1116" s="4"/>
      <c r="W1116" s="4"/>
      <c r="X1116" s="4"/>
    </row>
    <row r="1117" spans="17:24" x14ac:dyDescent="0.3">
      <c r="Q1117" s="4"/>
      <c r="R1117" s="4"/>
      <c r="S1117" s="4"/>
      <c r="T1117" s="4"/>
      <c r="U1117" s="4"/>
      <c r="V1117" s="4"/>
      <c r="W1117" s="4"/>
      <c r="X1117" s="4"/>
    </row>
    <row r="1118" spans="17:24" x14ac:dyDescent="0.3">
      <c r="Q1118" s="4"/>
      <c r="R1118" s="4"/>
      <c r="S1118" s="4"/>
      <c r="T1118" s="4"/>
      <c r="U1118" s="4"/>
      <c r="V1118" s="4"/>
      <c r="W1118" s="4"/>
      <c r="X1118" s="4"/>
    </row>
    <row r="1119" spans="17:24" x14ac:dyDescent="0.3">
      <c r="Q1119" s="4"/>
      <c r="R1119" s="4"/>
      <c r="S1119" s="4"/>
      <c r="T1119" s="4"/>
      <c r="U1119" s="4"/>
      <c r="V1119" s="4"/>
      <c r="W1119" s="4"/>
      <c r="X1119" s="4"/>
    </row>
    <row r="1120" spans="17:24" x14ac:dyDescent="0.3">
      <c r="Q1120" s="4"/>
      <c r="R1120" s="4"/>
      <c r="S1120" s="4"/>
      <c r="T1120" s="4"/>
      <c r="U1120" s="4"/>
      <c r="V1120" s="4"/>
      <c r="W1120" s="4"/>
      <c r="X1120" s="4"/>
    </row>
    <row r="1121" spans="17:24" x14ac:dyDescent="0.3">
      <c r="Q1121" s="4"/>
      <c r="R1121" s="4"/>
      <c r="S1121" s="4"/>
      <c r="T1121" s="4"/>
      <c r="U1121" s="4"/>
      <c r="V1121" s="4"/>
      <c r="W1121" s="4"/>
      <c r="X1121" s="4"/>
    </row>
    <row r="1122" spans="17:24" x14ac:dyDescent="0.3">
      <c r="Q1122" s="4"/>
      <c r="R1122" s="4"/>
      <c r="S1122" s="4"/>
      <c r="T1122" s="4"/>
      <c r="U1122" s="4"/>
      <c r="V1122" s="4"/>
      <c r="W1122" s="4"/>
      <c r="X1122" s="4"/>
    </row>
    <row r="1123" spans="17:24" x14ac:dyDescent="0.3">
      <c r="Q1123" s="4"/>
      <c r="R1123" s="4"/>
      <c r="S1123" s="4"/>
      <c r="T1123" s="4"/>
      <c r="U1123" s="4"/>
      <c r="V1123" s="4"/>
      <c r="W1123" s="4"/>
      <c r="X1123" s="4"/>
    </row>
    <row r="1124" spans="17:24" x14ac:dyDescent="0.3">
      <c r="Q1124" s="4"/>
      <c r="R1124" s="4"/>
      <c r="S1124" s="4"/>
      <c r="T1124" s="4"/>
      <c r="U1124" s="4"/>
      <c r="V1124" s="4"/>
      <c r="W1124" s="4"/>
      <c r="X1124" s="4"/>
    </row>
    <row r="1125" spans="17:24" x14ac:dyDescent="0.3">
      <c r="Q1125" s="4"/>
      <c r="R1125" s="4"/>
      <c r="S1125" s="4"/>
      <c r="T1125" s="4"/>
      <c r="U1125" s="4"/>
      <c r="V1125" s="4"/>
      <c r="W1125" s="4"/>
      <c r="X1125" s="4"/>
    </row>
    <row r="1126" spans="17:24" x14ac:dyDescent="0.3">
      <c r="Q1126" s="4"/>
      <c r="R1126" s="4"/>
      <c r="S1126" s="4"/>
      <c r="T1126" s="4"/>
      <c r="U1126" s="4"/>
      <c r="V1126" s="4"/>
      <c r="W1126" s="4"/>
      <c r="X1126" s="4"/>
    </row>
    <row r="1127" spans="17:24" x14ac:dyDescent="0.3">
      <c r="Q1127" s="4"/>
      <c r="R1127" s="4"/>
      <c r="S1127" s="4"/>
      <c r="T1127" s="4"/>
      <c r="U1127" s="4"/>
      <c r="V1127" s="4"/>
      <c r="W1127" s="4"/>
      <c r="X1127" s="4"/>
    </row>
    <row r="1128" spans="17:24" x14ac:dyDescent="0.3">
      <c r="Q1128" s="4"/>
      <c r="R1128" s="4"/>
      <c r="S1128" s="4"/>
      <c r="T1128" s="4"/>
      <c r="U1128" s="4"/>
      <c r="V1128" s="4"/>
      <c r="W1128" s="4"/>
      <c r="X1128" s="4"/>
    </row>
    <row r="1129" spans="17:24" x14ac:dyDescent="0.3">
      <c r="Q1129" s="4"/>
      <c r="R1129" s="4"/>
      <c r="S1129" s="4"/>
      <c r="T1129" s="4"/>
      <c r="U1129" s="4"/>
      <c r="V1129" s="4"/>
      <c r="W1129" s="4"/>
      <c r="X1129" s="4"/>
    </row>
    <row r="1130" spans="17:24" x14ac:dyDescent="0.3">
      <c r="Q1130" s="4"/>
      <c r="R1130" s="4"/>
      <c r="S1130" s="4"/>
      <c r="T1130" s="4"/>
      <c r="U1130" s="4"/>
      <c r="V1130" s="4"/>
      <c r="W1130" s="4"/>
      <c r="X1130" s="4"/>
    </row>
    <row r="1131" spans="17:24" x14ac:dyDescent="0.3">
      <c r="Q1131" s="4"/>
      <c r="R1131" s="4"/>
      <c r="S1131" s="4"/>
      <c r="T1131" s="4"/>
      <c r="U1131" s="4"/>
      <c r="V1131" s="4"/>
      <c r="W1131" s="4"/>
      <c r="X1131" s="4"/>
    </row>
    <row r="1132" spans="17:24" x14ac:dyDescent="0.3">
      <c r="Q1132" s="4"/>
      <c r="R1132" s="4"/>
      <c r="S1132" s="4"/>
      <c r="T1132" s="4"/>
      <c r="U1132" s="4"/>
      <c r="V1132" s="4"/>
      <c r="W1132" s="4"/>
      <c r="X1132" s="4"/>
    </row>
    <row r="1133" spans="17:24" x14ac:dyDescent="0.3">
      <c r="Q1133" s="4"/>
      <c r="R1133" s="4"/>
      <c r="S1133" s="4"/>
      <c r="T1133" s="4"/>
      <c r="U1133" s="4"/>
      <c r="V1133" s="4"/>
      <c r="W1133" s="4"/>
      <c r="X1133" s="4"/>
    </row>
    <row r="1134" spans="17:24" x14ac:dyDescent="0.3">
      <c r="Q1134" s="4"/>
      <c r="R1134" s="4"/>
      <c r="S1134" s="4"/>
      <c r="T1134" s="4"/>
      <c r="U1134" s="4"/>
      <c r="V1134" s="4"/>
      <c r="W1134" s="4"/>
      <c r="X1134" s="4"/>
    </row>
    <row r="1135" spans="17:24" x14ac:dyDescent="0.3">
      <c r="Q1135" s="4"/>
      <c r="R1135" s="4"/>
      <c r="S1135" s="4"/>
      <c r="T1135" s="4"/>
      <c r="U1135" s="4"/>
      <c r="V1135" s="4"/>
      <c r="W1135" s="4"/>
      <c r="X1135" s="4"/>
    </row>
    <row r="1136" spans="17:24" x14ac:dyDescent="0.3">
      <c r="Q1136" s="4"/>
      <c r="R1136" s="4"/>
      <c r="S1136" s="4"/>
      <c r="T1136" s="4"/>
      <c r="U1136" s="4"/>
      <c r="V1136" s="4"/>
      <c r="W1136" s="4"/>
      <c r="X1136" s="4"/>
    </row>
    <row r="1137" spans="17:24" x14ac:dyDescent="0.3">
      <c r="Q1137" s="4"/>
      <c r="R1137" s="4"/>
      <c r="S1137" s="4"/>
      <c r="T1137" s="4"/>
      <c r="U1137" s="4"/>
      <c r="V1137" s="4"/>
      <c r="W1137" s="4"/>
      <c r="X1137" s="4"/>
    </row>
    <row r="1138" spans="17:24" x14ac:dyDescent="0.3">
      <c r="Q1138" s="4"/>
      <c r="R1138" s="4"/>
      <c r="S1138" s="4"/>
      <c r="T1138" s="4"/>
      <c r="U1138" s="4"/>
      <c r="V1138" s="4"/>
      <c r="W1138" s="4"/>
      <c r="X1138" s="4"/>
    </row>
    <row r="1139" spans="17:24" x14ac:dyDescent="0.3">
      <c r="Q1139" s="4"/>
      <c r="R1139" s="4"/>
      <c r="S1139" s="4"/>
      <c r="T1139" s="4"/>
      <c r="U1139" s="4"/>
      <c r="V1139" s="4"/>
      <c r="W1139" s="4"/>
      <c r="X1139" s="4"/>
    </row>
    <row r="1140" spans="17:24" x14ac:dyDescent="0.3">
      <c r="Q1140" s="4"/>
      <c r="R1140" s="4"/>
      <c r="S1140" s="4"/>
      <c r="T1140" s="4"/>
      <c r="U1140" s="4"/>
      <c r="V1140" s="4"/>
      <c r="W1140" s="4"/>
      <c r="X1140" s="4"/>
    </row>
    <row r="1141" spans="17:24" x14ac:dyDescent="0.3">
      <c r="Q1141" s="4"/>
      <c r="R1141" s="4"/>
      <c r="S1141" s="4"/>
      <c r="T1141" s="4"/>
      <c r="U1141" s="4"/>
      <c r="V1141" s="4"/>
      <c r="W1141" s="4"/>
      <c r="X1141" s="4"/>
    </row>
    <row r="1142" spans="17:24" x14ac:dyDescent="0.3">
      <c r="Q1142" s="4"/>
      <c r="R1142" s="4"/>
      <c r="S1142" s="4"/>
      <c r="T1142" s="4"/>
      <c r="U1142" s="4"/>
      <c r="V1142" s="4"/>
      <c r="W1142" s="4"/>
      <c r="X1142" s="4"/>
    </row>
    <row r="1143" spans="17:24" x14ac:dyDescent="0.3">
      <c r="Q1143" s="4"/>
      <c r="R1143" s="4"/>
      <c r="S1143" s="4"/>
      <c r="T1143" s="4"/>
      <c r="U1143" s="4"/>
      <c r="V1143" s="4"/>
      <c r="W1143" s="4"/>
      <c r="X1143" s="4"/>
    </row>
    <row r="1144" spans="17:24" x14ac:dyDescent="0.3">
      <c r="Q1144" s="4"/>
      <c r="R1144" s="4"/>
      <c r="S1144" s="4"/>
      <c r="T1144" s="4"/>
      <c r="U1144" s="4"/>
      <c r="V1144" s="4"/>
      <c r="W1144" s="4"/>
      <c r="X1144" s="4"/>
    </row>
    <row r="1145" spans="17:24" x14ac:dyDescent="0.3">
      <c r="Q1145" s="4"/>
      <c r="R1145" s="4"/>
      <c r="S1145" s="4"/>
      <c r="T1145" s="4"/>
      <c r="U1145" s="4"/>
      <c r="V1145" s="4"/>
      <c r="W1145" s="4"/>
      <c r="X1145" s="4"/>
    </row>
    <row r="1146" spans="17:24" x14ac:dyDescent="0.3">
      <c r="Q1146" s="4"/>
      <c r="R1146" s="4"/>
      <c r="S1146" s="4"/>
      <c r="T1146" s="4"/>
      <c r="U1146" s="4"/>
      <c r="V1146" s="4"/>
      <c r="W1146" s="4"/>
      <c r="X1146" s="4"/>
    </row>
    <row r="1147" spans="17:24" x14ac:dyDescent="0.3">
      <c r="Q1147" s="4"/>
      <c r="R1147" s="4"/>
      <c r="S1147" s="4"/>
      <c r="T1147" s="4"/>
      <c r="U1147" s="4"/>
      <c r="V1147" s="4"/>
      <c r="W1147" s="4"/>
      <c r="X1147" s="4"/>
    </row>
    <row r="1148" spans="17:24" x14ac:dyDescent="0.3">
      <c r="Q1148" s="4"/>
      <c r="R1148" s="4"/>
      <c r="S1148" s="4"/>
      <c r="T1148" s="4"/>
      <c r="U1148" s="4"/>
      <c r="V1148" s="4"/>
      <c r="W1148" s="4"/>
      <c r="X1148" s="4"/>
    </row>
    <row r="1149" spans="17:24" x14ac:dyDescent="0.3">
      <c r="Q1149" s="4"/>
      <c r="R1149" s="4"/>
      <c r="S1149" s="4"/>
      <c r="T1149" s="4"/>
      <c r="U1149" s="4"/>
      <c r="V1149" s="4"/>
      <c r="W1149" s="4"/>
      <c r="X1149" s="4"/>
    </row>
    <row r="1150" spans="17:24" x14ac:dyDescent="0.3">
      <c r="Q1150" s="4"/>
      <c r="R1150" s="4"/>
      <c r="S1150" s="4"/>
      <c r="T1150" s="4"/>
      <c r="U1150" s="4"/>
      <c r="V1150" s="4"/>
      <c r="W1150" s="4"/>
      <c r="X1150" s="4"/>
    </row>
    <row r="1151" spans="17:24" x14ac:dyDescent="0.3">
      <c r="Q1151" s="4"/>
      <c r="R1151" s="4"/>
      <c r="S1151" s="4"/>
      <c r="T1151" s="4"/>
      <c r="U1151" s="4"/>
      <c r="V1151" s="4"/>
      <c r="W1151" s="4"/>
      <c r="X1151" s="4"/>
    </row>
    <row r="1152" spans="17:24" x14ac:dyDescent="0.3">
      <c r="Q1152" s="4"/>
      <c r="R1152" s="4"/>
      <c r="S1152" s="4"/>
      <c r="T1152" s="4"/>
      <c r="U1152" s="4"/>
      <c r="V1152" s="4"/>
      <c r="W1152" s="4"/>
      <c r="X1152" s="4"/>
    </row>
    <row r="1153" spans="17:24" x14ac:dyDescent="0.3">
      <c r="Q1153" s="4"/>
      <c r="R1153" s="4"/>
      <c r="S1153" s="4"/>
      <c r="T1153" s="4"/>
      <c r="U1153" s="4"/>
      <c r="V1153" s="4"/>
      <c r="W1153" s="4"/>
      <c r="X1153" s="4"/>
    </row>
    <row r="1154" spans="17:24" x14ac:dyDescent="0.3">
      <c r="Q1154" s="4"/>
      <c r="R1154" s="4"/>
      <c r="S1154" s="4"/>
      <c r="T1154" s="4"/>
      <c r="U1154" s="4"/>
      <c r="V1154" s="4"/>
      <c r="W1154" s="4"/>
      <c r="X1154" s="4"/>
    </row>
    <row r="1155" spans="17:24" x14ac:dyDescent="0.3">
      <c r="Q1155" s="4"/>
      <c r="R1155" s="4"/>
      <c r="S1155" s="4"/>
      <c r="T1155" s="4"/>
      <c r="U1155" s="4"/>
      <c r="V1155" s="4"/>
      <c r="W1155" s="4"/>
      <c r="X1155" s="4"/>
    </row>
    <row r="1156" spans="17:24" x14ac:dyDescent="0.3">
      <c r="Q1156" s="4"/>
      <c r="R1156" s="4"/>
      <c r="S1156" s="4"/>
      <c r="T1156" s="4"/>
      <c r="U1156" s="4"/>
      <c r="V1156" s="4"/>
      <c r="W1156" s="4"/>
      <c r="X1156" s="4"/>
    </row>
    <row r="1157" spans="17:24" x14ac:dyDescent="0.3">
      <c r="Q1157" s="4"/>
      <c r="R1157" s="4"/>
      <c r="S1157" s="4"/>
      <c r="T1157" s="4"/>
      <c r="U1157" s="4"/>
      <c r="V1157" s="4"/>
      <c r="W1157" s="4"/>
      <c r="X1157" s="4"/>
    </row>
    <row r="1158" spans="17:24" x14ac:dyDescent="0.3">
      <c r="Q1158" s="4"/>
      <c r="R1158" s="4"/>
      <c r="S1158" s="4"/>
      <c r="T1158" s="4"/>
      <c r="U1158" s="4"/>
      <c r="V1158" s="4"/>
      <c r="W1158" s="4"/>
      <c r="X1158" s="4"/>
    </row>
    <row r="1159" spans="17:24" x14ac:dyDescent="0.3">
      <c r="Q1159" s="4"/>
      <c r="R1159" s="4"/>
      <c r="S1159" s="4"/>
      <c r="T1159" s="4"/>
      <c r="U1159" s="4"/>
      <c r="V1159" s="4"/>
      <c r="W1159" s="4"/>
      <c r="X1159" s="4"/>
    </row>
    <row r="1160" spans="17:24" x14ac:dyDescent="0.3">
      <c r="Q1160" s="4"/>
      <c r="R1160" s="4"/>
      <c r="S1160" s="4"/>
      <c r="T1160" s="4"/>
      <c r="U1160" s="4"/>
      <c r="V1160" s="4"/>
      <c r="W1160" s="4"/>
      <c r="X1160" s="4"/>
    </row>
    <row r="1161" spans="17:24" x14ac:dyDescent="0.3">
      <c r="Q1161" s="4"/>
      <c r="R1161" s="4"/>
      <c r="S1161" s="4"/>
      <c r="T1161" s="4"/>
      <c r="U1161" s="4"/>
      <c r="V1161" s="4"/>
      <c r="W1161" s="4"/>
      <c r="X1161" s="4"/>
    </row>
    <row r="1162" spans="17:24" x14ac:dyDescent="0.3">
      <c r="Q1162" s="4"/>
      <c r="R1162" s="4"/>
      <c r="S1162" s="4"/>
      <c r="T1162" s="4"/>
      <c r="U1162" s="4"/>
      <c r="V1162" s="4"/>
      <c r="W1162" s="4"/>
      <c r="X1162" s="4"/>
    </row>
    <row r="1163" spans="17:24" x14ac:dyDescent="0.3">
      <c r="Q1163" s="4"/>
      <c r="R1163" s="4"/>
      <c r="S1163" s="4"/>
      <c r="T1163" s="4"/>
      <c r="U1163" s="4"/>
      <c r="V1163" s="4"/>
      <c r="W1163" s="4"/>
      <c r="X1163" s="4"/>
    </row>
    <row r="1164" spans="17:24" x14ac:dyDescent="0.3">
      <c r="Q1164" s="4"/>
      <c r="R1164" s="4"/>
      <c r="S1164" s="4"/>
      <c r="T1164" s="4"/>
      <c r="U1164" s="4"/>
      <c r="V1164" s="4"/>
      <c r="W1164" s="4"/>
      <c r="X1164" s="4"/>
    </row>
    <row r="1165" spans="17:24" x14ac:dyDescent="0.3">
      <c r="Q1165" s="4"/>
      <c r="R1165" s="4"/>
      <c r="S1165" s="4"/>
      <c r="T1165" s="4"/>
      <c r="U1165" s="4"/>
      <c r="V1165" s="4"/>
      <c r="W1165" s="4"/>
      <c r="X1165" s="4"/>
    </row>
    <row r="1166" spans="17:24" x14ac:dyDescent="0.3">
      <c r="Q1166" s="4"/>
      <c r="R1166" s="4"/>
      <c r="S1166" s="4"/>
      <c r="T1166" s="4"/>
      <c r="U1166" s="4"/>
      <c r="V1166" s="4"/>
      <c r="W1166" s="4"/>
      <c r="X1166" s="4"/>
    </row>
    <row r="1167" spans="17:24" x14ac:dyDescent="0.3">
      <c r="Q1167" s="4"/>
      <c r="R1167" s="4"/>
      <c r="S1167" s="4"/>
      <c r="T1167" s="4"/>
      <c r="U1167" s="4"/>
      <c r="V1167" s="4"/>
      <c r="W1167" s="4"/>
      <c r="X1167" s="4"/>
    </row>
    <row r="1168" spans="17:24" x14ac:dyDescent="0.3">
      <c r="Q1168" s="4"/>
      <c r="R1168" s="4"/>
      <c r="S1168" s="4"/>
      <c r="T1168" s="4"/>
      <c r="U1168" s="4"/>
      <c r="V1168" s="4"/>
      <c r="W1168" s="4"/>
      <c r="X1168" s="4"/>
    </row>
    <row r="1169" spans="17:24" x14ac:dyDescent="0.3">
      <c r="Q1169" s="4"/>
      <c r="R1169" s="4"/>
      <c r="S1169" s="4"/>
      <c r="T1169" s="4"/>
      <c r="U1169" s="4"/>
      <c r="V1169" s="4"/>
      <c r="W1169" s="4"/>
      <c r="X1169" s="4"/>
    </row>
    <row r="1170" spans="17:24" x14ac:dyDescent="0.3">
      <c r="Q1170" s="4"/>
      <c r="R1170" s="4"/>
      <c r="S1170" s="4"/>
      <c r="T1170" s="4"/>
      <c r="U1170" s="4"/>
      <c r="V1170" s="4"/>
      <c r="W1170" s="4"/>
      <c r="X1170" s="4"/>
    </row>
    <row r="1171" spans="17:24" x14ac:dyDescent="0.3">
      <c r="Q1171" s="4"/>
      <c r="R1171" s="4"/>
      <c r="S1171" s="4"/>
      <c r="T1171" s="4"/>
      <c r="U1171" s="4"/>
      <c r="V1171" s="4"/>
      <c r="W1171" s="4"/>
      <c r="X1171" s="4"/>
    </row>
    <row r="1172" spans="17:24" x14ac:dyDescent="0.3">
      <c r="Q1172" s="4"/>
      <c r="R1172" s="4"/>
      <c r="S1172" s="4"/>
      <c r="T1172" s="4"/>
      <c r="U1172" s="4"/>
      <c r="V1172" s="4"/>
      <c r="W1172" s="4"/>
      <c r="X1172" s="4"/>
    </row>
    <row r="1173" spans="17:24" x14ac:dyDescent="0.3">
      <c r="Q1173" s="4"/>
      <c r="R1173" s="4"/>
      <c r="S1173" s="4"/>
      <c r="T1173" s="4"/>
      <c r="U1173" s="4"/>
      <c r="V1173" s="4"/>
      <c r="W1173" s="4"/>
      <c r="X1173" s="4"/>
    </row>
    <row r="1174" spans="17:24" x14ac:dyDescent="0.3">
      <c r="Q1174" s="4"/>
      <c r="R1174" s="4"/>
      <c r="S1174" s="4"/>
      <c r="T1174" s="4"/>
      <c r="U1174" s="4"/>
      <c r="V1174" s="4"/>
      <c r="W1174" s="4"/>
      <c r="X1174" s="4"/>
    </row>
    <row r="1175" spans="17:24" x14ac:dyDescent="0.3">
      <c r="Q1175" s="4"/>
      <c r="R1175" s="4"/>
      <c r="S1175" s="4"/>
      <c r="T1175" s="4"/>
      <c r="U1175" s="4"/>
      <c r="V1175" s="4"/>
      <c r="W1175" s="4"/>
      <c r="X1175" s="4"/>
    </row>
    <row r="1176" spans="17:24" x14ac:dyDescent="0.3">
      <c r="Q1176" s="4"/>
      <c r="R1176" s="4"/>
      <c r="S1176" s="4"/>
      <c r="T1176" s="4"/>
      <c r="U1176" s="4"/>
      <c r="V1176" s="4"/>
      <c r="W1176" s="4"/>
      <c r="X1176" s="4"/>
    </row>
    <row r="1177" spans="17:24" x14ac:dyDescent="0.3">
      <c r="Q1177" s="4"/>
      <c r="R1177" s="4"/>
      <c r="S1177" s="4"/>
      <c r="T1177" s="4"/>
      <c r="U1177" s="4"/>
      <c r="V1177" s="4"/>
      <c r="W1177" s="4"/>
      <c r="X1177" s="4"/>
    </row>
    <row r="1178" spans="17:24" x14ac:dyDescent="0.3">
      <c r="Q1178" s="4"/>
      <c r="R1178" s="4"/>
      <c r="S1178" s="4"/>
      <c r="T1178" s="4"/>
      <c r="U1178" s="4"/>
      <c r="V1178" s="4"/>
      <c r="W1178" s="4"/>
      <c r="X1178" s="4"/>
    </row>
    <row r="1179" spans="17:24" x14ac:dyDescent="0.3">
      <c r="Q1179" s="4"/>
      <c r="R1179" s="4"/>
      <c r="S1179" s="4"/>
      <c r="T1179" s="4"/>
      <c r="U1179" s="4"/>
      <c r="V1179" s="4"/>
      <c r="W1179" s="4"/>
      <c r="X1179" s="4"/>
    </row>
    <row r="1180" spans="17:24" x14ac:dyDescent="0.3">
      <c r="Q1180" s="4"/>
      <c r="R1180" s="4"/>
      <c r="S1180" s="4"/>
      <c r="T1180" s="4"/>
      <c r="U1180" s="4"/>
      <c r="V1180" s="4"/>
      <c r="W1180" s="4"/>
      <c r="X1180" s="4"/>
    </row>
    <row r="1181" spans="17:24" x14ac:dyDescent="0.3">
      <c r="Q1181" s="4"/>
      <c r="R1181" s="4"/>
      <c r="S1181" s="4"/>
      <c r="T1181" s="4"/>
      <c r="U1181" s="4"/>
      <c r="V1181" s="4"/>
      <c r="W1181" s="4"/>
      <c r="X1181" s="4"/>
    </row>
    <row r="1182" spans="17:24" x14ac:dyDescent="0.3">
      <c r="Q1182" s="4"/>
      <c r="R1182" s="4"/>
      <c r="S1182" s="4"/>
      <c r="T1182" s="4"/>
      <c r="U1182" s="4"/>
      <c r="V1182" s="4"/>
      <c r="W1182" s="4"/>
      <c r="X1182" s="4"/>
    </row>
    <row r="1183" spans="17:24" x14ac:dyDescent="0.3">
      <c r="Q1183" s="4"/>
      <c r="R1183" s="4"/>
      <c r="S1183" s="4"/>
      <c r="T1183" s="4"/>
      <c r="U1183" s="4"/>
      <c r="V1183" s="4"/>
      <c r="W1183" s="4"/>
      <c r="X1183" s="4"/>
    </row>
    <row r="1184" spans="17:24" x14ac:dyDescent="0.3">
      <c r="Q1184" s="4"/>
      <c r="R1184" s="4"/>
      <c r="S1184" s="4"/>
      <c r="T1184" s="4"/>
      <c r="U1184" s="4"/>
      <c r="V1184" s="4"/>
      <c r="W1184" s="4"/>
      <c r="X1184" s="4"/>
    </row>
    <row r="1185" spans="17:24" x14ac:dyDescent="0.3">
      <c r="Q1185" s="4"/>
      <c r="R1185" s="4"/>
      <c r="S1185" s="4"/>
      <c r="T1185" s="4"/>
      <c r="U1185" s="4"/>
      <c r="V1185" s="4"/>
      <c r="W1185" s="4"/>
      <c r="X1185" s="4"/>
    </row>
    <row r="1186" spans="17:24" x14ac:dyDescent="0.3">
      <c r="Q1186" s="4"/>
      <c r="R1186" s="4"/>
      <c r="S1186" s="4"/>
      <c r="T1186" s="4"/>
      <c r="U1186" s="4"/>
      <c r="V1186" s="4"/>
      <c r="W1186" s="4"/>
      <c r="X1186" s="4"/>
    </row>
    <row r="1187" spans="17:24" x14ac:dyDescent="0.3">
      <c r="Q1187" s="4"/>
      <c r="R1187" s="4"/>
      <c r="S1187" s="4"/>
      <c r="T1187" s="4"/>
      <c r="U1187" s="4"/>
      <c r="V1187" s="4"/>
      <c r="W1187" s="4"/>
      <c r="X1187" s="4"/>
    </row>
    <row r="1188" spans="17:24" x14ac:dyDescent="0.3">
      <c r="Q1188" s="4"/>
      <c r="R1188" s="4"/>
      <c r="S1188" s="4"/>
      <c r="T1188" s="4"/>
      <c r="U1188" s="4"/>
      <c r="V1188" s="4"/>
      <c r="W1188" s="4"/>
      <c r="X1188" s="4"/>
    </row>
    <row r="1189" spans="17:24" x14ac:dyDescent="0.3">
      <c r="Q1189" s="4"/>
      <c r="R1189" s="4"/>
      <c r="S1189" s="4"/>
      <c r="T1189" s="4"/>
      <c r="U1189" s="4"/>
      <c r="V1189" s="4"/>
      <c r="W1189" s="4"/>
      <c r="X1189" s="4"/>
    </row>
    <row r="1190" spans="17:24" x14ac:dyDescent="0.3">
      <c r="Q1190" s="4"/>
      <c r="R1190" s="4"/>
      <c r="S1190" s="4"/>
      <c r="T1190" s="4"/>
      <c r="U1190" s="4"/>
      <c r="V1190" s="4"/>
      <c r="W1190" s="4"/>
      <c r="X1190" s="4"/>
    </row>
    <row r="1191" spans="17:24" x14ac:dyDescent="0.3">
      <c r="Q1191" s="4"/>
      <c r="R1191" s="4"/>
      <c r="S1191" s="4"/>
      <c r="T1191" s="4"/>
      <c r="U1191" s="4"/>
      <c r="V1191" s="4"/>
      <c r="W1191" s="4"/>
      <c r="X1191" s="4"/>
    </row>
    <row r="1192" spans="17:24" x14ac:dyDescent="0.3">
      <c r="Q1192" s="4"/>
      <c r="R1192" s="4"/>
      <c r="S1192" s="4"/>
      <c r="T1192" s="4"/>
      <c r="U1192" s="4"/>
      <c r="V1192" s="4"/>
      <c r="W1192" s="4"/>
      <c r="X1192" s="4"/>
    </row>
    <row r="1193" spans="17:24" x14ac:dyDescent="0.3">
      <c r="Q1193" s="4"/>
      <c r="R1193" s="4"/>
      <c r="S1193" s="4"/>
      <c r="T1193" s="4"/>
      <c r="U1193" s="4"/>
      <c r="V1193" s="4"/>
      <c r="W1193" s="4"/>
      <c r="X1193" s="4"/>
    </row>
    <row r="1194" spans="17:24" x14ac:dyDescent="0.3">
      <c r="Q1194" s="4"/>
      <c r="R1194" s="4"/>
      <c r="S1194" s="4"/>
      <c r="T1194" s="4"/>
      <c r="U1194" s="4"/>
      <c r="V1194" s="4"/>
      <c r="W1194" s="4"/>
      <c r="X1194" s="4"/>
    </row>
    <row r="1195" spans="17:24" x14ac:dyDescent="0.3">
      <c r="Q1195" s="4"/>
      <c r="R1195" s="4"/>
      <c r="S1195" s="4"/>
      <c r="T1195" s="4"/>
      <c r="U1195" s="4"/>
      <c r="V1195" s="4"/>
      <c r="W1195" s="4"/>
      <c r="X1195" s="4"/>
    </row>
    <row r="1196" spans="17:24" x14ac:dyDescent="0.3">
      <c r="Q1196" s="4"/>
      <c r="R1196" s="4"/>
      <c r="S1196" s="4"/>
      <c r="T1196" s="4"/>
      <c r="U1196" s="4"/>
      <c r="V1196" s="4"/>
      <c r="W1196" s="4"/>
      <c r="X1196" s="4"/>
    </row>
    <row r="1197" spans="17:24" x14ac:dyDescent="0.3">
      <c r="Q1197" s="4"/>
      <c r="R1197" s="4"/>
      <c r="S1197" s="4"/>
      <c r="T1197" s="4"/>
      <c r="U1197" s="4"/>
      <c r="V1197" s="4"/>
      <c r="W1197" s="4"/>
      <c r="X1197" s="4"/>
    </row>
    <row r="1198" spans="17:24" x14ac:dyDescent="0.3">
      <c r="Q1198" s="4"/>
      <c r="R1198" s="4"/>
      <c r="S1198" s="4"/>
      <c r="T1198" s="4"/>
      <c r="U1198" s="4"/>
      <c r="V1198" s="4"/>
      <c r="W1198" s="4"/>
      <c r="X1198" s="4"/>
    </row>
    <row r="1199" spans="17:24" x14ac:dyDescent="0.3">
      <c r="Q1199" s="4"/>
      <c r="R1199" s="4"/>
      <c r="S1199" s="4"/>
      <c r="T1199" s="4"/>
      <c r="U1199" s="4"/>
      <c r="V1199" s="4"/>
      <c r="W1199" s="4"/>
      <c r="X1199" s="4"/>
    </row>
    <row r="1200" spans="17:24" x14ac:dyDescent="0.3">
      <c r="Q1200" s="4"/>
      <c r="R1200" s="4"/>
      <c r="S1200" s="4"/>
      <c r="T1200" s="4"/>
      <c r="U1200" s="4"/>
      <c r="V1200" s="4"/>
      <c r="W1200" s="4"/>
      <c r="X1200" s="4"/>
    </row>
    <row r="1201" spans="17:24" x14ac:dyDescent="0.3">
      <c r="Q1201" s="4"/>
      <c r="R1201" s="4"/>
      <c r="S1201" s="4"/>
      <c r="T1201" s="4"/>
      <c r="U1201" s="4"/>
      <c r="V1201" s="4"/>
      <c r="W1201" s="4"/>
      <c r="X1201" s="4"/>
    </row>
    <row r="1202" spans="17:24" x14ac:dyDescent="0.3">
      <c r="Q1202" s="4"/>
      <c r="R1202" s="4"/>
      <c r="S1202" s="4"/>
      <c r="T1202" s="4"/>
      <c r="U1202" s="4"/>
      <c r="V1202" s="4"/>
      <c r="W1202" s="4"/>
      <c r="X1202" s="4"/>
    </row>
    <row r="1203" spans="17:24" x14ac:dyDescent="0.3">
      <c r="Q1203" s="4"/>
      <c r="R1203" s="4"/>
      <c r="S1203" s="4"/>
      <c r="T1203" s="4"/>
      <c r="U1203" s="4"/>
      <c r="V1203" s="4"/>
      <c r="W1203" s="4"/>
      <c r="X1203" s="4"/>
    </row>
    <row r="1204" spans="17:24" x14ac:dyDescent="0.3">
      <c r="Q1204" s="4"/>
      <c r="R1204" s="4"/>
      <c r="S1204" s="4"/>
      <c r="T1204" s="4"/>
      <c r="U1204" s="4"/>
      <c r="V1204" s="4"/>
      <c r="W1204" s="4"/>
      <c r="X1204" s="4"/>
    </row>
    <row r="1205" spans="17:24" x14ac:dyDescent="0.3">
      <c r="Q1205" s="4"/>
      <c r="R1205" s="4"/>
      <c r="S1205" s="4"/>
      <c r="T1205" s="4"/>
      <c r="U1205" s="4"/>
      <c r="V1205" s="4"/>
      <c r="W1205" s="4"/>
      <c r="X1205" s="4"/>
    </row>
    <row r="1206" spans="17:24" x14ac:dyDescent="0.3">
      <c r="Q1206" s="4"/>
      <c r="R1206" s="4"/>
      <c r="S1206" s="4"/>
      <c r="T1206" s="4"/>
      <c r="U1206" s="4"/>
      <c r="V1206" s="4"/>
      <c r="W1206" s="4"/>
      <c r="X1206" s="4"/>
    </row>
    <row r="1207" spans="17:24" x14ac:dyDescent="0.3">
      <c r="Q1207" s="4"/>
      <c r="R1207" s="4"/>
      <c r="S1207" s="4"/>
      <c r="T1207" s="4"/>
      <c r="U1207" s="4"/>
      <c r="V1207" s="4"/>
      <c r="W1207" s="4"/>
      <c r="X1207" s="4"/>
    </row>
    <row r="1208" spans="17:24" x14ac:dyDescent="0.3">
      <c r="Q1208" s="4"/>
      <c r="R1208" s="4"/>
      <c r="S1208" s="4"/>
      <c r="T1208" s="4"/>
      <c r="U1208" s="4"/>
      <c r="V1208" s="4"/>
      <c r="W1208" s="4"/>
      <c r="X1208" s="4"/>
    </row>
    <row r="1209" spans="17:24" x14ac:dyDescent="0.3">
      <c r="Q1209" s="4"/>
      <c r="R1209" s="4"/>
      <c r="S1209" s="4"/>
      <c r="T1209" s="4"/>
      <c r="U1209" s="4"/>
      <c r="V1209" s="4"/>
      <c r="W1209" s="4"/>
      <c r="X1209" s="4"/>
    </row>
    <row r="1210" spans="17:24" x14ac:dyDescent="0.3">
      <c r="Q1210" s="4"/>
      <c r="R1210" s="4"/>
      <c r="S1210" s="4"/>
      <c r="T1210" s="4"/>
      <c r="U1210" s="4"/>
      <c r="V1210" s="4"/>
      <c r="W1210" s="4"/>
      <c r="X1210" s="4"/>
    </row>
    <row r="1211" spans="17:24" x14ac:dyDescent="0.3">
      <c r="Q1211" s="4"/>
      <c r="R1211" s="4"/>
      <c r="S1211" s="4"/>
      <c r="T1211" s="4"/>
      <c r="U1211" s="4"/>
      <c r="V1211" s="4"/>
      <c r="W1211" s="4"/>
      <c r="X1211" s="4"/>
    </row>
    <row r="1212" spans="17:24" x14ac:dyDescent="0.3">
      <c r="Q1212" s="4"/>
      <c r="R1212" s="4"/>
      <c r="S1212" s="4"/>
      <c r="T1212" s="4"/>
      <c r="U1212" s="4"/>
      <c r="V1212" s="4"/>
      <c r="W1212" s="4"/>
      <c r="X1212" s="4"/>
    </row>
    <row r="1213" spans="17:24" x14ac:dyDescent="0.3">
      <c r="Q1213" s="4"/>
      <c r="R1213" s="4"/>
      <c r="S1213" s="4"/>
      <c r="T1213" s="4"/>
      <c r="U1213" s="4"/>
      <c r="V1213" s="4"/>
      <c r="W1213" s="4"/>
      <c r="X1213" s="4"/>
    </row>
    <row r="1214" spans="17:24" x14ac:dyDescent="0.3">
      <c r="Q1214" s="4"/>
      <c r="R1214" s="4"/>
      <c r="S1214" s="4"/>
      <c r="T1214" s="4"/>
      <c r="U1214" s="4"/>
      <c r="V1214" s="4"/>
      <c r="W1214" s="4"/>
      <c r="X1214" s="4"/>
    </row>
    <row r="1215" spans="17:24" x14ac:dyDescent="0.3">
      <c r="Q1215" s="4"/>
      <c r="R1215" s="4"/>
      <c r="S1215" s="4"/>
      <c r="T1215" s="4"/>
      <c r="U1215" s="4"/>
      <c r="V1215" s="4"/>
      <c r="W1215" s="4"/>
      <c r="X1215" s="4"/>
    </row>
    <row r="1216" spans="17:24" x14ac:dyDescent="0.3">
      <c r="Q1216" s="4"/>
      <c r="R1216" s="4"/>
      <c r="S1216" s="4"/>
      <c r="T1216" s="4"/>
      <c r="U1216" s="4"/>
      <c r="V1216" s="4"/>
      <c r="W1216" s="4"/>
      <c r="X1216" s="4"/>
    </row>
    <row r="1217" spans="17:24" x14ac:dyDescent="0.3">
      <c r="Q1217" s="4"/>
      <c r="R1217" s="4"/>
      <c r="S1217" s="4"/>
      <c r="T1217" s="4"/>
      <c r="U1217" s="4"/>
      <c r="V1217" s="4"/>
      <c r="W1217" s="4"/>
      <c r="X1217" s="4"/>
    </row>
    <row r="1218" spans="17:24" x14ac:dyDescent="0.3">
      <c r="Q1218" s="4"/>
      <c r="R1218" s="4"/>
      <c r="S1218" s="4"/>
      <c r="T1218" s="4"/>
      <c r="U1218" s="4"/>
      <c r="V1218" s="4"/>
      <c r="W1218" s="4"/>
      <c r="X1218" s="4"/>
    </row>
    <row r="1219" spans="17:24" x14ac:dyDescent="0.3">
      <c r="Q1219" s="4"/>
      <c r="R1219" s="4"/>
      <c r="S1219" s="4"/>
      <c r="T1219" s="4"/>
      <c r="U1219" s="4"/>
      <c r="V1219" s="4"/>
      <c r="W1219" s="4"/>
      <c r="X1219" s="4"/>
    </row>
    <row r="1220" spans="17:24" x14ac:dyDescent="0.3">
      <c r="Q1220" s="4"/>
      <c r="R1220" s="4"/>
      <c r="S1220" s="4"/>
      <c r="T1220" s="4"/>
      <c r="U1220" s="4"/>
      <c r="V1220" s="4"/>
      <c r="W1220" s="4"/>
      <c r="X1220" s="4"/>
    </row>
    <row r="1221" spans="17:24" x14ac:dyDescent="0.3">
      <c r="Q1221" s="4"/>
      <c r="R1221" s="4"/>
      <c r="S1221" s="4"/>
      <c r="T1221" s="4"/>
      <c r="U1221" s="4"/>
      <c r="V1221" s="4"/>
      <c r="W1221" s="4"/>
      <c r="X1221" s="4"/>
    </row>
    <row r="1222" spans="17:24" x14ac:dyDescent="0.3">
      <c r="Q1222" s="4"/>
      <c r="R1222" s="4"/>
      <c r="S1222" s="4"/>
      <c r="T1222" s="4"/>
      <c r="U1222" s="4"/>
      <c r="V1222" s="4"/>
      <c r="W1222" s="4"/>
      <c r="X1222" s="4"/>
    </row>
    <row r="1223" spans="17:24" x14ac:dyDescent="0.3">
      <c r="Q1223" s="4"/>
      <c r="R1223" s="4"/>
      <c r="S1223" s="4"/>
      <c r="T1223" s="4"/>
      <c r="U1223" s="4"/>
      <c r="V1223" s="4"/>
      <c r="W1223" s="4"/>
      <c r="X1223" s="4"/>
    </row>
    <row r="1224" spans="17:24" x14ac:dyDescent="0.3">
      <c r="Q1224" s="4"/>
      <c r="R1224" s="4"/>
      <c r="S1224" s="4"/>
      <c r="T1224" s="4"/>
      <c r="U1224" s="4"/>
      <c r="V1224" s="4"/>
      <c r="W1224" s="4"/>
      <c r="X1224" s="4"/>
    </row>
    <row r="1225" spans="17:24" x14ac:dyDescent="0.3">
      <c r="Q1225" s="4"/>
      <c r="R1225" s="4"/>
      <c r="S1225" s="4"/>
      <c r="T1225" s="4"/>
      <c r="U1225" s="4"/>
      <c r="V1225" s="4"/>
      <c r="W1225" s="4"/>
      <c r="X1225" s="4"/>
    </row>
    <row r="1226" spans="17:24" x14ac:dyDescent="0.3">
      <c r="Q1226" s="4"/>
      <c r="R1226" s="4"/>
      <c r="S1226" s="4"/>
      <c r="T1226" s="4"/>
      <c r="U1226" s="4"/>
      <c r="V1226" s="4"/>
      <c r="W1226" s="4"/>
      <c r="X1226" s="4"/>
    </row>
    <row r="1227" spans="17:24" x14ac:dyDescent="0.3">
      <c r="Q1227" s="4"/>
      <c r="R1227" s="4"/>
      <c r="S1227" s="4"/>
      <c r="T1227" s="4"/>
      <c r="U1227" s="4"/>
      <c r="V1227" s="4"/>
      <c r="W1227" s="4"/>
      <c r="X1227" s="4"/>
    </row>
    <row r="1228" spans="17:24" x14ac:dyDescent="0.3">
      <c r="Q1228" s="4"/>
      <c r="R1228" s="4"/>
      <c r="S1228" s="4"/>
      <c r="T1228" s="4"/>
      <c r="U1228" s="4"/>
      <c r="V1228" s="4"/>
      <c r="W1228" s="4"/>
      <c r="X1228" s="4"/>
    </row>
    <row r="1229" spans="17:24" x14ac:dyDescent="0.3">
      <c r="Q1229" s="4"/>
      <c r="R1229" s="4"/>
      <c r="S1229" s="4"/>
      <c r="T1229" s="4"/>
      <c r="U1229" s="4"/>
      <c r="V1229" s="4"/>
      <c r="W1229" s="4"/>
      <c r="X1229" s="4"/>
    </row>
    <row r="1230" spans="17:24" x14ac:dyDescent="0.3">
      <c r="Q1230" s="4"/>
      <c r="R1230" s="4"/>
      <c r="S1230" s="4"/>
      <c r="T1230" s="4"/>
      <c r="U1230" s="4"/>
      <c r="V1230" s="4"/>
      <c r="W1230" s="4"/>
      <c r="X1230" s="4"/>
    </row>
    <row r="1231" spans="17:24" x14ac:dyDescent="0.3">
      <c r="Q1231" s="4"/>
      <c r="R1231" s="4"/>
      <c r="S1231" s="4"/>
      <c r="T1231" s="4"/>
      <c r="U1231" s="4"/>
      <c r="V1231" s="4"/>
      <c r="W1231" s="4"/>
      <c r="X1231" s="4"/>
    </row>
    <row r="1232" spans="17:24" x14ac:dyDescent="0.3">
      <c r="Q1232" s="4"/>
      <c r="R1232" s="4"/>
      <c r="S1232" s="4"/>
      <c r="T1232" s="4"/>
      <c r="U1232" s="4"/>
      <c r="V1232" s="4"/>
      <c r="W1232" s="4"/>
      <c r="X1232" s="4"/>
    </row>
    <row r="1233" spans="17:24" x14ac:dyDescent="0.3">
      <c r="Q1233" s="4"/>
      <c r="R1233" s="4"/>
      <c r="S1233" s="4"/>
      <c r="T1233" s="4"/>
      <c r="U1233" s="4"/>
      <c r="V1233" s="4"/>
      <c r="W1233" s="4"/>
      <c r="X1233" s="4"/>
    </row>
    <row r="1234" spans="17:24" x14ac:dyDescent="0.3">
      <c r="Q1234" s="4"/>
      <c r="R1234" s="4"/>
      <c r="S1234" s="4"/>
      <c r="T1234" s="4"/>
      <c r="U1234" s="4"/>
      <c r="V1234" s="4"/>
      <c r="W1234" s="4"/>
      <c r="X1234" s="4"/>
    </row>
    <row r="1235" spans="17:24" x14ac:dyDescent="0.3">
      <c r="Q1235" s="4"/>
      <c r="R1235" s="4"/>
      <c r="S1235" s="4"/>
      <c r="T1235" s="4"/>
      <c r="U1235" s="4"/>
      <c r="V1235" s="4"/>
      <c r="W1235" s="4"/>
      <c r="X1235" s="4"/>
    </row>
    <row r="1236" spans="17:24" x14ac:dyDescent="0.3">
      <c r="Q1236" s="4"/>
      <c r="R1236" s="4"/>
      <c r="S1236" s="4"/>
      <c r="T1236" s="4"/>
      <c r="U1236" s="4"/>
      <c r="V1236" s="4"/>
      <c r="W1236" s="4"/>
      <c r="X1236" s="4"/>
    </row>
    <row r="1237" spans="17:24" x14ac:dyDescent="0.3">
      <c r="Q1237" s="4"/>
      <c r="R1237" s="4"/>
      <c r="S1237" s="4"/>
      <c r="T1237" s="4"/>
      <c r="U1237" s="4"/>
      <c r="V1237" s="4"/>
      <c r="W1237" s="4"/>
      <c r="X1237" s="4"/>
    </row>
    <row r="1238" spans="17:24" x14ac:dyDescent="0.3">
      <c r="Q1238" s="4"/>
      <c r="R1238" s="4"/>
      <c r="S1238" s="4"/>
      <c r="T1238" s="4"/>
      <c r="U1238" s="4"/>
      <c r="V1238" s="4"/>
      <c r="W1238" s="4"/>
      <c r="X1238" s="4"/>
    </row>
    <row r="1239" spans="17:24" x14ac:dyDescent="0.3">
      <c r="Q1239" s="4"/>
      <c r="R1239" s="4"/>
      <c r="S1239" s="4"/>
      <c r="T1239" s="4"/>
      <c r="U1239" s="4"/>
      <c r="V1239" s="4"/>
      <c r="W1239" s="4"/>
      <c r="X1239" s="4"/>
    </row>
    <row r="1240" spans="17:24" x14ac:dyDescent="0.3">
      <c r="Q1240" s="4"/>
      <c r="R1240" s="4"/>
      <c r="S1240" s="4"/>
      <c r="T1240" s="4"/>
      <c r="U1240" s="4"/>
      <c r="V1240" s="4"/>
      <c r="W1240" s="4"/>
      <c r="X1240" s="4"/>
    </row>
    <row r="1241" spans="17:24" x14ac:dyDescent="0.3">
      <c r="Q1241" s="4"/>
      <c r="R1241" s="4"/>
      <c r="S1241" s="4"/>
      <c r="T1241" s="4"/>
      <c r="U1241" s="4"/>
      <c r="V1241" s="4"/>
      <c r="W1241" s="4"/>
      <c r="X1241" s="4"/>
    </row>
    <row r="1242" spans="17:24" x14ac:dyDescent="0.3">
      <c r="Q1242" s="4"/>
      <c r="R1242" s="4"/>
      <c r="S1242" s="4"/>
      <c r="T1242" s="4"/>
      <c r="U1242" s="4"/>
      <c r="V1242" s="4"/>
      <c r="W1242" s="4"/>
      <c r="X1242" s="4"/>
    </row>
    <row r="1243" spans="17:24" x14ac:dyDescent="0.3">
      <c r="Q1243" s="4"/>
      <c r="R1243" s="4"/>
      <c r="S1243" s="4"/>
      <c r="T1243" s="4"/>
      <c r="U1243" s="4"/>
      <c r="V1243" s="4"/>
      <c r="W1243" s="4"/>
      <c r="X1243" s="4"/>
    </row>
    <row r="1244" spans="17:24" x14ac:dyDescent="0.3">
      <c r="Q1244" s="4"/>
      <c r="R1244" s="4"/>
      <c r="S1244" s="4"/>
      <c r="T1244" s="4"/>
      <c r="U1244" s="4"/>
      <c r="V1244" s="4"/>
      <c r="W1244" s="4"/>
      <c r="X1244" s="4"/>
    </row>
    <row r="1245" spans="17:24" x14ac:dyDescent="0.3">
      <c r="Q1245" s="4"/>
      <c r="R1245" s="4"/>
      <c r="S1245" s="4"/>
      <c r="T1245" s="4"/>
      <c r="U1245" s="4"/>
      <c r="V1245" s="4"/>
      <c r="W1245" s="4"/>
      <c r="X1245" s="4"/>
    </row>
    <row r="1246" spans="17:24" x14ac:dyDescent="0.3">
      <c r="Q1246" s="4"/>
      <c r="R1246" s="4"/>
      <c r="S1246" s="4"/>
      <c r="T1246" s="4"/>
      <c r="U1246" s="4"/>
      <c r="V1246" s="4"/>
      <c r="W1246" s="4"/>
      <c r="X1246" s="4"/>
    </row>
    <row r="1247" spans="17:24" x14ac:dyDescent="0.3">
      <c r="Q1247" s="4"/>
      <c r="R1247" s="4"/>
      <c r="S1247" s="4"/>
      <c r="T1247" s="4"/>
      <c r="U1247" s="4"/>
      <c r="V1247" s="4"/>
      <c r="W1247" s="4"/>
      <c r="X1247" s="4"/>
    </row>
    <row r="1248" spans="17:24" x14ac:dyDescent="0.3">
      <c r="Q1248" s="4"/>
      <c r="R1248" s="4"/>
      <c r="S1248" s="4"/>
      <c r="T1248" s="4"/>
      <c r="U1248" s="4"/>
      <c r="V1248" s="4"/>
      <c r="W1248" s="4"/>
      <c r="X1248" s="4"/>
    </row>
    <row r="1249" spans="17:24" x14ac:dyDescent="0.3">
      <c r="Q1249" s="4"/>
      <c r="R1249" s="4"/>
      <c r="S1249" s="4"/>
      <c r="T1249" s="4"/>
      <c r="U1249" s="4"/>
      <c r="V1249" s="4"/>
      <c r="W1249" s="4"/>
      <c r="X1249" s="4"/>
    </row>
    <row r="1250" spans="17:24" x14ac:dyDescent="0.3">
      <c r="Q1250" s="4"/>
      <c r="R1250" s="4"/>
      <c r="S1250" s="4"/>
      <c r="T1250" s="4"/>
      <c r="U1250" s="4"/>
      <c r="V1250" s="4"/>
      <c r="W1250" s="4"/>
      <c r="X1250" s="4"/>
    </row>
    <row r="1251" spans="17:24" x14ac:dyDescent="0.3">
      <c r="Q1251" s="4"/>
      <c r="R1251" s="4"/>
      <c r="S1251" s="4"/>
      <c r="T1251" s="4"/>
      <c r="U1251" s="4"/>
      <c r="V1251" s="4"/>
      <c r="W1251" s="4"/>
      <c r="X1251" s="4"/>
    </row>
    <row r="1252" spans="17:24" x14ac:dyDescent="0.3">
      <c r="Q1252" s="4"/>
      <c r="R1252" s="4"/>
      <c r="S1252" s="4"/>
      <c r="T1252" s="4"/>
      <c r="U1252" s="4"/>
      <c r="V1252" s="4"/>
      <c r="W1252" s="4"/>
      <c r="X1252" s="4"/>
    </row>
    <row r="1253" spans="17:24" x14ac:dyDescent="0.3">
      <c r="Q1253" s="4"/>
      <c r="R1253" s="4"/>
      <c r="S1253" s="4"/>
      <c r="T1253" s="4"/>
      <c r="U1253" s="4"/>
      <c r="V1253" s="4"/>
      <c r="W1253" s="4"/>
      <c r="X1253" s="4"/>
    </row>
    <row r="1254" spans="17:24" x14ac:dyDescent="0.3">
      <c r="Q1254" s="4"/>
      <c r="R1254" s="4"/>
      <c r="S1254" s="4"/>
      <c r="T1254" s="4"/>
      <c r="U1254" s="4"/>
      <c r="V1254" s="4"/>
      <c r="W1254" s="4"/>
      <c r="X1254" s="4"/>
    </row>
    <row r="1255" spans="17:24" x14ac:dyDescent="0.3">
      <c r="Q1255" s="4"/>
      <c r="R1255" s="4"/>
      <c r="S1255" s="4"/>
      <c r="T1255" s="4"/>
      <c r="U1255" s="4"/>
      <c r="V1255" s="4"/>
      <c r="W1255" s="4"/>
      <c r="X1255" s="4"/>
    </row>
    <row r="1256" spans="17:24" x14ac:dyDescent="0.3">
      <c r="Q1256" s="4"/>
      <c r="R1256" s="4"/>
      <c r="S1256" s="4"/>
      <c r="T1256" s="4"/>
      <c r="U1256" s="4"/>
      <c r="V1256" s="4"/>
      <c r="W1256" s="4"/>
      <c r="X1256" s="4"/>
    </row>
    <row r="1257" spans="17:24" x14ac:dyDescent="0.3">
      <c r="Q1257" s="4"/>
      <c r="R1257" s="4"/>
      <c r="S1257" s="4"/>
      <c r="T1257" s="4"/>
      <c r="U1257" s="4"/>
      <c r="V1257" s="4"/>
      <c r="W1257" s="4"/>
      <c r="X1257" s="4"/>
    </row>
    <row r="1258" spans="17:24" x14ac:dyDescent="0.3">
      <c r="Q1258" s="4"/>
      <c r="R1258" s="4"/>
      <c r="S1258" s="4"/>
      <c r="T1258" s="4"/>
      <c r="U1258" s="4"/>
      <c r="V1258" s="4"/>
      <c r="W1258" s="4"/>
      <c r="X1258" s="4"/>
    </row>
    <row r="1259" spans="17:24" x14ac:dyDescent="0.3">
      <c r="Q1259" s="4"/>
      <c r="R1259" s="4"/>
      <c r="S1259" s="4"/>
      <c r="T1259" s="4"/>
      <c r="U1259" s="4"/>
      <c r="V1259" s="4"/>
      <c r="W1259" s="4"/>
      <c r="X1259" s="4"/>
    </row>
    <row r="1260" spans="17:24" x14ac:dyDescent="0.3">
      <c r="Q1260" s="4"/>
      <c r="R1260" s="4"/>
      <c r="S1260" s="4"/>
      <c r="T1260" s="4"/>
      <c r="U1260" s="4"/>
      <c r="V1260" s="4"/>
      <c r="W1260" s="4"/>
      <c r="X1260" s="4"/>
    </row>
    <row r="1261" spans="17:24" x14ac:dyDescent="0.3">
      <c r="Q1261" s="4"/>
      <c r="R1261" s="4"/>
      <c r="S1261" s="4"/>
      <c r="T1261" s="4"/>
      <c r="U1261" s="4"/>
      <c r="V1261" s="4"/>
      <c r="W1261" s="4"/>
      <c r="X1261" s="4"/>
    </row>
    <row r="1262" spans="17:24" x14ac:dyDescent="0.3">
      <c r="Q1262" s="4"/>
      <c r="R1262" s="4"/>
      <c r="S1262" s="4"/>
      <c r="T1262" s="4"/>
      <c r="U1262" s="4"/>
      <c r="V1262" s="4"/>
      <c r="W1262" s="4"/>
      <c r="X1262" s="4"/>
    </row>
    <row r="1263" spans="17:24" x14ac:dyDescent="0.3">
      <c r="Q1263" s="4"/>
      <c r="R1263" s="4"/>
      <c r="S1263" s="4"/>
      <c r="T1263" s="4"/>
      <c r="U1263" s="4"/>
      <c r="V1263" s="4"/>
      <c r="W1263" s="4"/>
      <c r="X1263" s="4"/>
    </row>
    <row r="1264" spans="17:24" x14ac:dyDescent="0.3">
      <c r="Q1264" s="4"/>
      <c r="R1264" s="4"/>
      <c r="S1264" s="4"/>
      <c r="T1264" s="4"/>
      <c r="U1264" s="4"/>
      <c r="V1264" s="4"/>
      <c r="W1264" s="4"/>
      <c r="X1264" s="4"/>
    </row>
    <row r="1265" spans="17:24" x14ac:dyDescent="0.3">
      <c r="Q1265" s="4"/>
      <c r="R1265" s="4"/>
      <c r="S1265" s="4"/>
      <c r="T1265" s="4"/>
      <c r="U1265" s="4"/>
      <c r="V1265" s="4"/>
      <c r="W1265" s="4"/>
      <c r="X1265" s="4"/>
    </row>
    <row r="1266" spans="17:24" x14ac:dyDescent="0.3">
      <c r="Q1266" s="4"/>
      <c r="R1266" s="4"/>
      <c r="S1266" s="4"/>
      <c r="T1266" s="4"/>
      <c r="U1266" s="4"/>
      <c r="V1266" s="4"/>
      <c r="W1266" s="4"/>
      <c r="X1266" s="4"/>
    </row>
    <row r="1267" spans="17:24" x14ac:dyDescent="0.3">
      <c r="Q1267" s="4"/>
      <c r="R1267" s="4"/>
      <c r="S1267" s="4"/>
      <c r="T1267" s="4"/>
      <c r="U1267" s="4"/>
      <c r="V1267" s="4"/>
      <c r="W1267" s="4"/>
      <c r="X1267" s="4"/>
    </row>
    <row r="1268" spans="17:24" x14ac:dyDescent="0.3">
      <c r="Q1268" s="4"/>
      <c r="R1268" s="4"/>
      <c r="S1268" s="4"/>
      <c r="T1268" s="4"/>
      <c r="U1268" s="4"/>
      <c r="V1268" s="4"/>
      <c r="W1268" s="4"/>
      <c r="X1268" s="4"/>
    </row>
    <row r="1269" spans="17:24" x14ac:dyDescent="0.3">
      <c r="Q1269" s="4"/>
      <c r="R1269" s="4"/>
      <c r="S1269" s="4"/>
      <c r="T1269" s="4"/>
      <c r="U1269" s="4"/>
      <c r="V1269" s="4"/>
      <c r="W1269" s="4"/>
      <c r="X1269" s="4"/>
    </row>
    <row r="1270" spans="17:24" x14ac:dyDescent="0.3">
      <c r="Q1270" s="4"/>
      <c r="R1270" s="4"/>
      <c r="S1270" s="4"/>
      <c r="T1270" s="4"/>
      <c r="U1270" s="4"/>
      <c r="V1270" s="4"/>
      <c r="W1270" s="4"/>
      <c r="X1270" s="4"/>
    </row>
    <row r="1271" spans="17:24" x14ac:dyDescent="0.3">
      <c r="Q1271" s="4"/>
      <c r="R1271" s="4"/>
      <c r="S1271" s="4"/>
      <c r="T1271" s="4"/>
      <c r="U1271" s="4"/>
      <c r="V1271" s="4"/>
      <c r="W1271" s="4"/>
      <c r="X1271" s="4"/>
    </row>
    <row r="1272" spans="17:24" x14ac:dyDescent="0.3">
      <c r="Q1272" s="4"/>
      <c r="R1272" s="4"/>
      <c r="S1272" s="4"/>
      <c r="T1272" s="4"/>
      <c r="U1272" s="4"/>
      <c r="V1272" s="4"/>
      <c r="W1272" s="4"/>
      <c r="X1272" s="4"/>
    </row>
    <row r="1273" spans="17:24" x14ac:dyDescent="0.3">
      <c r="Q1273" s="4"/>
      <c r="R1273" s="4"/>
      <c r="S1273" s="4"/>
      <c r="T1273" s="4"/>
      <c r="U1273" s="4"/>
      <c r="V1273" s="4"/>
      <c r="W1273" s="4"/>
      <c r="X1273" s="4"/>
    </row>
    <row r="1274" spans="17:24" x14ac:dyDescent="0.3">
      <c r="Q1274" s="4"/>
      <c r="R1274" s="4"/>
      <c r="S1274" s="4"/>
      <c r="T1274" s="4"/>
      <c r="U1274" s="4"/>
      <c r="V1274" s="4"/>
      <c r="W1274" s="4"/>
      <c r="X1274" s="4"/>
    </row>
    <row r="1275" spans="17:24" x14ac:dyDescent="0.3">
      <c r="Q1275" s="4"/>
      <c r="R1275" s="4"/>
      <c r="S1275" s="4"/>
      <c r="T1275" s="4"/>
      <c r="U1275" s="4"/>
      <c r="V1275" s="4"/>
      <c r="W1275" s="4"/>
      <c r="X1275" s="4"/>
    </row>
    <row r="1276" spans="17:24" x14ac:dyDescent="0.3">
      <c r="Q1276" s="4"/>
      <c r="R1276" s="4"/>
      <c r="S1276" s="4"/>
      <c r="T1276" s="4"/>
      <c r="U1276" s="4"/>
      <c r="V1276" s="4"/>
      <c r="W1276" s="4"/>
      <c r="X1276" s="4"/>
    </row>
    <row r="1277" spans="17:24" x14ac:dyDescent="0.3">
      <c r="Q1277" s="4"/>
      <c r="R1277" s="4"/>
      <c r="S1277" s="4"/>
      <c r="T1277" s="4"/>
      <c r="U1277" s="4"/>
      <c r="V1277" s="4"/>
      <c r="W1277" s="4"/>
      <c r="X1277" s="4"/>
    </row>
    <row r="1278" spans="17:24" x14ac:dyDescent="0.3">
      <c r="Q1278" s="4"/>
      <c r="R1278" s="4"/>
      <c r="S1278" s="4"/>
      <c r="T1278" s="4"/>
      <c r="U1278" s="4"/>
      <c r="V1278" s="4"/>
      <c r="W1278" s="4"/>
      <c r="X1278" s="4"/>
    </row>
    <row r="1279" spans="17:24" x14ac:dyDescent="0.3">
      <c r="Q1279" s="4"/>
      <c r="R1279" s="4"/>
      <c r="S1279" s="4"/>
      <c r="T1279" s="4"/>
      <c r="U1279" s="4"/>
      <c r="V1279" s="4"/>
      <c r="W1279" s="4"/>
      <c r="X1279" s="4"/>
    </row>
    <row r="1280" spans="17:24" x14ac:dyDescent="0.3">
      <c r="Q1280" s="4"/>
      <c r="R1280" s="4"/>
      <c r="S1280" s="4"/>
      <c r="T1280" s="4"/>
      <c r="U1280" s="4"/>
      <c r="V1280" s="4"/>
      <c r="W1280" s="4"/>
      <c r="X1280" s="4"/>
    </row>
    <row r="1281" spans="17:24" x14ac:dyDescent="0.3">
      <c r="Q1281" s="4"/>
      <c r="R1281" s="4"/>
      <c r="S1281" s="4"/>
      <c r="T1281" s="4"/>
      <c r="U1281" s="4"/>
      <c r="V1281" s="4"/>
      <c r="W1281" s="4"/>
      <c r="X1281" s="4"/>
    </row>
    <row r="1282" spans="17:24" x14ac:dyDescent="0.3">
      <c r="Q1282" s="4"/>
      <c r="R1282" s="4"/>
      <c r="S1282" s="4"/>
      <c r="T1282" s="4"/>
      <c r="U1282" s="4"/>
      <c r="V1282" s="4"/>
      <c r="W1282" s="4"/>
      <c r="X1282" s="4"/>
    </row>
    <row r="1283" spans="17:24" x14ac:dyDescent="0.3">
      <c r="Q1283" s="4"/>
      <c r="R1283" s="4"/>
      <c r="S1283" s="4"/>
      <c r="T1283" s="4"/>
      <c r="U1283" s="4"/>
      <c r="V1283" s="4"/>
      <c r="W1283" s="4"/>
      <c r="X1283" s="4"/>
    </row>
    <row r="1284" spans="17:24" x14ac:dyDescent="0.3">
      <c r="Q1284" s="4"/>
      <c r="R1284" s="4"/>
      <c r="S1284" s="4"/>
      <c r="T1284" s="4"/>
      <c r="U1284" s="4"/>
      <c r="V1284" s="4"/>
      <c r="W1284" s="4"/>
      <c r="X1284" s="4"/>
    </row>
    <row r="1285" spans="17:24" x14ac:dyDescent="0.3">
      <c r="Q1285" s="4"/>
      <c r="R1285" s="4"/>
      <c r="S1285" s="4"/>
      <c r="T1285" s="4"/>
      <c r="U1285" s="4"/>
      <c r="V1285" s="4"/>
      <c r="W1285" s="4"/>
      <c r="X1285" s="4"/>
    </row>
    <row r="1286" spans="17:24" x14ac:dyDescent="0.3">
      <c r="Q1286" s="4"/>
      <c r="R1286" s="4"/>
      <c r="S1286" s="4"/>
      <c r="T1286" s="4"/>
      <c r="U1286" s="4"/>
      <c r="V1286" s="4"/>
      <c r="W1286" s="4"/>
      <c r="X1286" s="4"/>
    </row>
    <row r="1287" spans="17:24" x14ac:dyDescent="0.3">
      <c r="Q1287" s="4"/>
      <c r="R1287" s="4"/>
      <c r="S1287" s="4"/>
      <c r="T1287" s="4"/>
      <c r="U1287" s="4"/>
      <c r="V1287" s="4"/>
      <c r="W1287" s="4"/>
      <c r="X1287" s="4"/>
    </row>
    <row r="1288" spans="17:24" x14ac:dyDescent="0.3">
      <c r="Q1288" s="4"/>
      <c r="R1288" s="4"/>
      <c r="S1288" s="4"/>
      <c r="T1288" s="4"/>
      <c r="U1288" s="4"/>
      <c r="V1288" s="4"/>
      <c r="W1288" s="4"/>
      <c r="X1288" s="4"/>
    </row>
    <row r="1289" spans="17:24" x14ac:dyDescent="0.3">
      <c r="Q1289" s="4"/>
      <c r="R1289" s="4"/>
      <c r="S1289" s="4"/>
      <c r="T1289" s="4"/>
      <c r="U1289" s="4"/>
      <c r="V1289" s="4"/>
      <c r="W1289" s="4"/>
      <c r="X1289" s="4"/>
    </row>
    <row r="1290" spans="17:24" x14ac:dyDescent="0.3">
      <c r="Q1290" s="4"/>
      <c r="R1290" s="4"/>
      <c r="S1290" s="4"/>
      <c r="T1290" s="4"/>
      <c r="U1290" s="4"/>
      <c r="V1290" s="4"/>
      <c r="W1290" s="4"/>
      <c r="X1290" s="4"/>
    </row>
    <row r="1291" spans="17:24" x14ac:dyDescent="0.3">
      <c r="Q1291" s="4"/>
      <c r="R1291" s="4"/>
      <c r="S1291" s="4"/>
      <c r="T1291" s="4"/>
      <c r="U1291" s="4"/>
      <c r="V1291" s="4"/>
      <c r="W1291" s="4"/>
      <c r="X1291" s="4"/>
    </row>
    <row r="1292" spans="17:24" x14ac:dyDescent="0.3">
      <c r="Q1292" s="4"/>
      <c r="R1292" s="4"/>
      <c r="S1292" s="4"/>
      <c r="T1292" s="4"/>
      <c r="U1292" s="4"/>
      <c r="V1292" s="4"/>
      <c r="W1292" s="4"/>
      <c r="X1292" s="4"/>
    </row>
    <row r="1293" spans="17:24" x14ac:dyDescent="0.3">
      <c r="Q1293" s="4"/>
      <c r="R1293" s="4"/>
      <c r="S1293" s="4"/>
      <c r="T1293" s="4"/>
      <c r="U1293" s="4"/>
      <c r="V1293" s="4"/>
      <c r="W1293" s="4"/>
      <c r="X1293" s="4"/>
    </row>
    <row r="1294" spans="17:24" x14ac:dyDescent="0.3">
      <c r="Q1294" s="4"/>
      <c r="R1294" s="4"/>
      <c r="S1294" s="4"/>
      <c r="T1294" s="4"/>
      <c r="U1294" s="4"/>
      <c r="V1294" s="4"/>
      <c r="W1294" s="4"/>
      <c r="X1294" s="4"/>
    </row>
    <row r="1295" spans="17:24" x14ac:dyDescent="0.3">
      <c r="Q1295" s="4"/>
      <c r="R1295" s="4"/>
      <c r="S1295" s="4"/>
      <c r="T1295" s="4"/>
      <c r="U1295" s="4"/>
      <c r="V1295" s="4"/>
      <c r="W1295" s="4"/>
      <c r="X1295" s="4"/>
    </row>
    <row r="1296" spans="17:24" x14ac:dyDescent="0.3">
      <c r="Q1296" s="4"/>
      <c r="R1296" s="4"/>
      <c r="S1296" s="4"/>
      <c r="T1296" s="4"/>
      <c r="U1296" s="4"/>
      <c r="V1296" s="4"/>
      <c r="W1296" s="4"/>
      <c r="X1296" s="4"/>
    </row>
    <row r="1297" spans="17:24" x14ac:dyDescent="0.3">
      <c r="Q1297" s="4"/>
      <c r="R1297" s="4"/>
      <c r="S1297" s="4"/>
      <c r="T1297" s="4"/>
      <c r="U1297" s="4"/>
      <c r="V1297" s="4"/>
      <c r="W1297" s="4"/>
      <c r="X1297" s="4"/>
    </row>
    <row r="1298" spans="17:24" x14ac:dyDescent="0.3">
      <c r="Q1298" s="4"/>
      <c r="R1298" s="4"/>
      <c r="S1298" s="4"/>
      <c r="T1298" s="4"/>
      <c r="U1298" s="4"/>
      <c r="V1298" s="4"/>
      <c r="W1298" s="4"/>
      <c r="X1298" s="4"/>
    </row>
    <row r="1299" spans="17:24" x14ac:dyDescent="0.3">
      <c r="Q1299" s="4"/>
      <c r="R1299" s="4"/>
      <c r="S1299" s="4"/>
      <c r="T1299" s="4"/>
      <c r="U1299" s="4"/>
      <c r="V1299" s="4"/>
      <c r="W1299" s="4"/>
      <c r="X1299" s="4"/>
    </row>
    <row r="1300" spans="17:24" x14ac:dyDescent="0.3">
      <c r="Q1300" s="4"/>
      <c r="R1300" s="4"/>
      <c r="S1300" s="4"/>
      <c r="T1300" s="4"/>
      <c r="U1300" s="4"/>
      <c r="V1300" s="4"/>
      <c r="W1300" s="4"/>
      <c r="X1300" s="4"/>
    </row>
    <row r="1301" spans="17:24" x14ac:dyDescent="0.3">
      <c r="Q1301" s="4"/>
      <c r="R1301" s="4"/>
      <c r="S1301" s="4"/>
      <c r="T1301" s="4"/>
      <c r="U1301" s="4"/>
      <c r="V1301" s="4"/>
      <c r="W1301" s="4"/>
      <c r="X1301" s="4"/>
    </row>
    <row r="1302" spans="17:24" x14ac:dyDescent="0.3">
      <c r="Q1302" s="4"/>
      <c r="R1302" s="4"/>
      <c r="S1302" s="4"/>
      <c r="T1302" s="4"/>
      <c r="U1302" s="4"/>
      <c r="V1302" s="4"/>
      <c r="W1302" s="4"/>
      <c r="X1302" s="4"/>
    </row>
    <row r="1303" spans="17:24" x14ac:dyDescent="0.3">
      <c r="Q1303" s="4"/>
      <c r="R1303" s="4"/>
      <c r="S1303" s="4"/>
      <c r="T1303" s="4"/>
      <c r="U1303" s="4"/>
      <c r="V1303" s="4"/>
      <c r="W1303" s="4"/>
      <c r="X1303" s="4"/>
    </row>
    <row r="1304" spans="17:24" x14ac:dyDescent="0.3">
      <c r="Q1304" s="4"/>
      <c r="R1304" s="4"/>
      <c r="S1304" s="4"/>
      <c r="T1304" s="4"/>
      <c r="U1304" s="4"/>
      <c r="V1304" s="4"/>
      <c r="W1304" s="4"/>
      <c r="X1304" s="4"/>
    </row>
    <row r="1305" spans="17:24" x14ac:dyDescent="0.3">
      <c r="Q1305" s="4"/>
      <c r="R1305" s="4"/>
      <c r="S1305" s="4"/>
      <c r="T1305" s="4"/>
      <c r="U1305" s="4"/>
      <c r="V1305" s="4"/>
      <c r="W1305" s="4"/>
      <c r="X1305" s="4"/>
    </row>
    <row r="1306" spans="17:24" x14ac:dyDescent="0.3">
      <c r="Q1306" s="4"/>
      <c r="R1306" s="4"/>
      <c r="S1306" s="4"/>
      <c r="T1306" s="4"/>
      <c r="U1306" s="4"/>
      <c r="V1306" s="4"/>
      <c r="W1306" s="4"/>
      <c r="X1306" s="4"/>
    </row>
    <row r="1307" spans="17:24" x14ac:dyDescent="0.3">
      <c r="Q1307" s="4"/>
      <c r="R1307" s="4"/>
      <c r="S1307" s="4"/>
      <c r="T1307" s="4"/>
      <c r="U1307" s="4"/>
      <c r="V1307" s="4"/>
      <c r="W1307" s="4"/>
      <c r="X1307" s="4"/>
    </row>
    <row r="1308" spans="17:24" x14ac:dyDescent="0.3">
      <c r="Q1308" s="4"/>
      <c r="R1308" s="4"/>
      <c r="S1308" s="4"/>
      <c r="T1308" s="4"/>
      <c r="U1308" s="4"/>
      <c r="V1308" s="4"/>
      <c r="W1308" s="4"/>
      <c r="X1308" s="4"/>
    </row>
    <row r="1309" spans="17:24" x14ac:dyDescent="0.3">
      <c r="Q1309" s="4"/>
      <c r="R1309" s="4"/>
      <c r="S1309" s="4"/>
      <c r="T1309" s="4"/>
      <c r="U1309" s="4"/>
      <c r="V1309" s="4"/>
      <c r="W1309" s="4"/>
      <c r="X1309" s="4"/>
    </row>
    <row r="1310" spans="17:24" x14ac:dyDescent="0.3">
      <c r="Q1310" s="4"/>
      <c r="R1310" s="4"/>
      <c r="S1310" s="4"/>
      <c r="T1310" s="4"/>
      <c r="U1310" s="4"/>
      <c r="V1310" s="4"/>
      <c r="W1310" s="4"/>
      <c r="X1310" s="4"/>
    </row>
    <row r="1311" spans="17:24" x14ac:dyDescent="0.3">
      <c r="Q1311" s="4"/>
      <c r="R1311" s="4"/>
      <c r="S1311" s="4"/>
      <c r="T1311" s="4"/>
      <c r="U1311" s="4"/>
      <c r="V1311" s="4"/>
      <c r="W1311" s="4"/>
      <c r="X1311" s="4"/>
    </row>
    <row r="1312" spans="17:24" x14ac:dyDescent="0.3">
      <c r="Q1312" s="4"/>
      <c r="R1312" s="4"/>
      <c r="S1312" s="4"/>
      <c r="T1312" s="4"/>
      <c r="U1312" s="4"/>
      <c r="V1312" s="4"/>
      <c r="W1312" s="4"/>
      <c r="X1312" s="4"/>
    </row>
    <row r="1313" spans="17:24" x14ac:dyDescent="0.3">
      <c r="Q1313" s="4"/>
      <c r="R1313" s="4"/>
      <c r="S1313" s="4"/>
      <c r="T1313" s="4"/>
      <c r="U1313" s="4"/>
      <c r="V1313" s="4"/>
      <c r="W1313" s="4"/>
      <c r="X1313" s="4"/>
    </row>
    <row r="1314" spans="17:24" x14ac:dyDescent="0.3">
      <c r="Q1314" s="4"/>
      <c r="R1314" s="4"/>
      <c r="S1314" s="4"/>
      <c r="T1314" s="4"/>
      <c r="U1314" s="4"/>
      <c r="V1314" s="4"/>
      <c r="W1314" s="4"/>
      <c r="X1314" s="4"/>
    </row>
    <row r="1315" spans="17:24" x14ac:dyDescent="0.3">
      <c r="Q1315" s="4"/>
      <c r="R1315" s="4"/>
      <c r="S1315" s="4"/>
      <c r="T1315" s="4"/>
      <c r="U1315" s="4"/>
      <c r="V1315" s="4"/>
      <c r="W1315" s="4"/>
      <c r="X1315" s="4"/>
    </row>
    <row r="1316" spans="17:24" x14ac:dyDescent="0.3">
      <c r="Q1316" s="4"/>
      <c r="R1316" s="4"/>
      <c r="S1316" s="4"/>
      <c r="T1316" s="4"/>
      <c r="U1316" s="4"/>
      <c r="V1316" s="4"/>
      <c r="W1316" s="4"/>
      <c r="X1316" s="4"/>
    </row>
    <row r="1317" spans="17:24" x14ac:dyDescent="0.3">
      <c r="Q1317" s="4"/>
      <c r="R1317" s="4"/>
      <c r="S1317" s="4"/>
      <c r="T1317" s="4"/>
      <c r="U1317" s="4"/>
      <c r="V1317" s="4"/>
      <c r="W1317" s="4"/>
      <c r="X1317" s="4"/>
    </row>
    <row r="1318" spans="17:24" x14ac:dyDescent="0.3">
      <c r="Q1318" s="4"/>
      <c r="R1318" s="4"/>
      <c r="S1318" s="4"/>
      <c r="T1318" s="4"/>
      <c r="U1318" s="4"/>
      <c r="V1318" s="4"/>
      <c r="W1318" s="4"/>
      <c r="X1318" s="4"/>
    </row>
    <row r="1319" spans="17:24" x14ac:dyDescent="0.3">
      <c r="Q1319" s="4"/>
      <c r="R1319" s="4"/>
      <c r="S1319" s="4"/>
      <c r="T1319" s="4"/>
      <c r="U1319" s="4"/>
      <c r="V1319" s="4"/>
      <c r="W1319" s="4"/>
      <c r="X1319" s="4"/>
    </row>
    <row r="1320" spans="17:24" x14ac:dyDescent="0.3">
      <c r="Q1320" s="4"/>
      <c r="R1320" s="4"/>
      <c r="S1320" s="4"/>
      <c r="T1320" s="4"/>
      <c r="U1320" s="4"/>
      <c r="V1320" s="4"/>
      <c r="W1320" s="4"/>
      <c r="X1320" s="4"/>
    </row>
    <row r="1321" spans="17:24" x14ac:dyDescent="0.3">
      <c r="Q1321" s="4"/>
      <c r="R1321" s="4"/>
      <c r="S1321" s="4"/>
      <c r="T1321" s="4"/>
      <c r="U1321" s="4"/>
      <c r="V1321" s="4"/>
      <c r="W1321" s="4"/>
      <c r="X1321" s="4"/>
    </row>
    <row r="1322" spans="17:24" x14ac:dyDescent="0.3">
      <c r="Q1322" s="4"/>
      <c r="R1322" s="4"/>
      <c r="S1322" s="4"/>
      <c r="T1322" s="4"/>
      <c r="U1322" s="4"/>
      <c r="V1322" s="4"/>
      <c r="W1322" s="4"/>
      <c r="X1322" s="4"/>
    </row>
    <row r="1323" spans="17:24" x14ac:dyDescent="0.3">
      <c r="Q1323" s="4"/>
      <c r="R1323" s="4"/>
      <c r="S1323" s="4"/>
      <c r="T1323" s="4"/>
      <c r="U1323" s="4"/>
      <c r="V1323" s="4"/>
      <c r="W1323" s="4"/>
      <c r="X1323" s="4"/>
    </row>
    <row r="1324" spans="17:24" x14ac:dyDescent="0.3">
      <c r="Q1324" s="4"/>
      <c r="R1324" s="4"/>
      <c r="S1324" s="4"/>
      <c r="T1324" s="4"/>
      <c r="U1324" s="4"/>
      <c r="V1324" s="4"/>
      <c r="W1324" s="4"/>
      <c r="X1324" s="4"/>
    </row>
    <row r="1325" spans="17:24" x14ac:dyDescent="0.3">
      <c r="Q1325" s="4"/>
      <c r="R1325" s="4"/>
      <c r="S1325" s="4"/>
      <c r="T1325" s="4"/>
      <c r="U1325" s="4"/>
      <c r="V1325" s="4"/>
      <c r="W1325" s="4"/>
      <c r="X1325" s="4"/>
    </row>
    <row r="1326" spans="17:24" x14ac:dyDescent="0.3">
      <c r="Q1326" s="4"/>
      <c r="R1326" s="4"/>
      <c r="S1326" s="4"/>
      <c r="T1326" s="4"/>
      <c r="U1326" s="4"/>
      <c r="V1326" s="4"/>
      <c r="W1326" s="4"/>
      <c r="X1326" s="4"/>
    </row>
    <row r="1327" spans="17:24" x14ac:dyDescent="0.3">
      <c r="Q1327" s="4"/>
      <c r="R1327" s="4"/>
      <c r="S1327" s="4"/>
      <c r="T1327" s="4"/>
      <c r="U1327" s="4"/>
      <c r="V1327" s="4"/>
      <c r="W1327" s="4"/>
      <c r="X1327" s="4"/>
    </row>
    <row r="1328" spans="17:24" x14ac:dyDescent="0.3">
      <c r="Q1328" s="4"/>
      <c r="R1328" s="4"/>
      <c r="S1328" s="4"/>
      <c r="T1328" s="4"/>
      <c r="U1328" s="4"/>
      <c r="V1328" s="4"/>
      <c r="W1328" s="4"/>
      <c r="X1328" s="4"/>
    </row>
    <row r="1329" spans="17:24" x14ac:dyDescent="0.3">
      <c r="Q1329" s="4"/>
      <c r="R1329" s="4"/>
      <c r="S1329" s="4"/>
      <c r="T1329" s="4"/>
      <c r="U1329" s="4"/>
      <c r="V1329" s="4"/>
      <c r="W1329" s="4"/>
      <c r="X1329" s="4"/>
    </row>
    <row r="1330" spans="17:24" x14ac:dyDescent="0.3">
      <c r="Q1330" s="4"/>
      <c r="R1330" s="4"/>
      <c r="S1330" s="4"/>
      <c r="T1330" s="4"/>
      <c r="U1330" s="4"/>
      <c r="V1330" s="4"/>
      <c r="W1330" s="4"/>
      <c r="X1330" s="4"/>
    </row>
    <row r="1331" spans="17:24" x14ac:dyDescent="0.3">
      <c r="Q1331" s="4"/>
      <c r="R1331" s="4"/>
      <c r="S1331" s="4"/>
      <c r="T1331" s="4"/>
      <c r="U1331" s="4"/>
      <c r="V1331" s="4"/>
      <c r="W1331" s="4"/>
      <c r="X1331" s="4"/>
    </row>
    <row r="1332" spans="17:24" x14ac:dyDescent="0.3">
      <c r="Q1332" s="4"/>
      <c r="R1332" s="4"/>
      <c r="S1332" s="4"/>
      <c r="T1332" s="4"/>
      <c r="U1332" s="4"/>
      <c r="V1332" s="4"/>
      <c r="W1332" s="4"/>
      <c r="X1332" s="4"/>
    </row>
    <row r="1333" spans="17:24" x14ac:dyDescent="0.3">
      <c r="Q1333" s="4"/>
      <c r="R1333" s="4"/>
      <c r="S1333" s="4"/>
      <c r="T1333" s="4"/>
      <c r="U1333" s="4"/>
      <c r="V1333" s="4"/>
      <c r="W1333" s="4"/>
      <c r="X1333" s="4"/>
    </row>
    <row r="1334" spans="17:24" x14ac:dyDescent="0.3">
      <c r="Q1334" s="4"/>
      <c r="R1334" s="4"/>
      <c r="S1334" s="4"/>
      <c r="T1334" s="4"/>
      <c r="U1334" s="4"/>
      <c r="V1334" s="4"/>
      <c r="W1334" s="4"/>
      <c r="X1334" s="4"/>
    </row>
    <row r="1335" spans="17:24" x14ac:dyDescent="0.3">
      <c r="Q1335" s="4"/>
      <c r="R1335" s="4"/>
      <c r="S1335" s="4"/>
      <c r="T1335" s="4"/>
      <c r="U1335" s="4"/>
      <c r="V1335" s="4"/>
      <c r="W1335" s="4"/>
      <c r="X1335" s="4"/>
    </row>
    <row r="1336" spans="17:24" x14ac:dyDescent="0.3">
      <c r="Q1336" s="4"/>
      <c r="R1336" s="4"/>
      <c r="S1336" s="4"/>
      <c r="T1336" s="4"/>
      <c r="U1336" s="4"/>
      <c r="V1336" s="4"/>
      <c r="W1336" s="4"/>
      <c r="X1336" s="4"/>
    </row>
    <row r="1337" spans="17:24" x14ac:dyDescent="0.3">
      <c r="Q1337" s="4"/>
      <c r="R1337" s="4"/>
      <c r="S1337" s="4"/>
      <c r="T1337" s="4"/>
      <c r="U1337" s="4"/>
      <c r="V1337" s="4"/>
      <c r="W1337" s="4"/>
      <c r="X1337" s="4"/>
    </row>
    <row r="1338" spans="17:24" x14ac:dyDescent="0.3">
      <c r="Q1338" s="4"/>
      <c r="R1338" s="4"/>
      <c r="S1338" s="4"/>
      <c r="T1338" s="4"/>
      <c r="U1338" s="4"/>
      <c r="V1338" s="4"/>
      <c r="W1338" s="4"/>
      <c r="X1338" s="4"/>
    </row>
    <row r="1339" spans="17:24" x14ac:dyDescent="0.3">
      <c r="Q1339" s="4"/>
      <c r="R1339" s="4"/>
      <c r="S1339" s="4"/>
      <c r="T1339" s="4"/>
      <c r="U1339" s="4"/>
      <c r="V1339" s="4"/>
      <c r="W1339" s="4"/>
      <c r="X1339" s="4"/>
    </row>
    <row r="1340" spans="17:24" x14ac:dyDescent="0.3">
      <c r="Q1340" s="4"/>
      <c r="R1340" s="4"/>
      <c r="S1340" s="4"/>
      <c r="T1340" s="4"/>
      <c r="U1340" s="4"/>
      <c r="V1340" s="4"/>
      <c r="W1340" s="4"/>
      <c r="X1340" s="4"/>
    </row>
    <row r="1341" spans="17:24" x14ac:dyDescent="0.3">
      <c r="Q1341" s="4"/>
      <c r="R1341" s="4"/>
      <c r="S1341" s="4"/>
      <c r="T1341" s="4"/>
      <c r="U1341" s="4"/>
      <c r="V1341" s="4"/>
      <c r="W1341" s="4"/>
      <c r="X1341" s="4"/>
    </row>
    <row r="1342" spans="17:24" x14ac:dyDescent="0.3">
      <c r="Q1342" s="4"/>
      <c r="R1342" s="4"/>
      <c r="S1342" s="4"/>
      <c r="T1342" s="4"/>
      <c r="U1342" s="4"/>
      <c r="V1342" s="4"/>
      <c r="W1342" s="4"/>
      <c r="X1342" s="4"/>
    </row>
    <row r="1343" spans="17:24" x14ac:dyDescent="0.3">
      <c r="Q1343" s="4"/>
      <c r="R1343" s="4"/>
      <c r="S1343" s="4"/>
      <c r="T1343" s="4"/>
      <c r="U1343" s="4"/>
      <c r="V1343" s="4"/>
      <c r="W1343" s="4"/>
      <c r="X1343" s="4"/>
    </row>
    <row r="1344" spans="17:24" x14ac:dyDescent="0.3">
      <c r="Q1344" s="4"/>
      <c r="R1344" s="4"/>
      <c r="S1344" s="4"/>
      <c r="T1344" s="4"/>
      <c r="U1344" s="4"/>
      <c r="V1344" s="4"/>
      <c r="W1344" s="4"/>
      <c r="X1344" s="4"/>
    </row>
    <row r="1345" spans="17:24" x14ac:dyDescent="0.3">
      <c r="Q1345" s="4"/>
      <c r="R1345" s="4"/>
      <c r="S1345" s="4"/>
      <c r="T1345" s="4"/>
      <c r="U1345" s="4"/>
      <c r="V1345" s="4"/>
      <c r="W1345" s="4"/>
      <c r="X1345" s="4"/>
    </row>
    <row r="1346" spans="17:24" x14ac:dyDescent="0.3">
      <c r="Q1346" s="4"/>
      <c r="R1346" s="4"/>
      <c r="S1346" s="4"/>
      <c r="T1346" s="4"/>
      <c r="U1346" s="4"/>
      <c r="V1346" s="4"/>
      <c r="W1346" s="4"/>
      <c r="X1346" s="4"/>
    </row>
    <row r="1347" spans="17:24" x14ac:dyDescent="0.3">
      <c r="Q1347" s="4"/>
      <c r="R1347" s="4"/>
      <c r="S1347" s="4"/>
      <c r="T1347" s="4"/>
      <c r="U1347" s="4"/>
      <c r="V1347" s="4"/>
      <c r="W1347" s="4"/>
      <c r="X1347" s="4"/>
    </row>
    <row r="1348" spans="17:24" x14ac:dyDescent="0.3">
      <c r="Q1348" s="4"/>
      <c r="R1348" s="4"/>
      <c r="S1348" s="4"/>
      <c r="T1348" s="4"/>
      <c r="U1348" s="4"/>
      <c r="V1348" s="4"/>
      <c r="W1348" s="4"/>
      <c r="X1348" s="4"/>
    </row>
    <row r="1349" spans="17:24" x14ac:dyDescent="0.3">
      <c r="Q1349" s="4"/>
      <c r="R1349" s="4"/>
      <c r="S1349" s="4"/>
      <c r="T1349" s="4"/>
      <c r="U1349" s="4"/>
      <c r="V1349" s="4"/>
      <c r="W1349" s="4"/>
      <c r="X1349" s="4"/>
    </row>
    <row r="1350" spans="17:24" x14ac:dyDescent="0.3">
      <c r="Q1350" s="4"/>
      <c r="R1350" s="4"/>
      <c r="S1350" s="4"/>
      <c r="T1350" s="4"/>
      <c r="U1350" s="4"/>
      <c r="V1350" s="4"/>
      <c r="W1350" s="4"/>
      <c r="X1350" s="4"/>
    </row>
    <row r="1351" spans="17:24" x14ac:dyDescent="0.3">
      <c r="Q1351" s="4"/>
      <c r="R1351" s="4"/>
      <c r="S1351" s="4"/>
      <c r="T1351" s="4"/>
      <c r="U1351" s="4"/>
      <c r="V1351" s="4"/>
      <c r="W1351" s="4"/>
      <c r="X1351" s="4"/>
    </row>
    <row r="1352" spans="17:24" x14ac:dyDescent="0.3">
      <c r="Q1352" s="4"/>
      <c r="R1352" s="4"/>
      <c r="S1352" s="4"/>
      <c r="T1352" s="4"/>
      <c r="U1352" s="4"/>
      <c r="V1352" s="4"/>
      <c r="W1352" s="4"/>
      <c r="X1352" s="4"/>
    </row>
    <row r="1353" spans="17:24" x14ac:dyDescent="0.3">
      <c r="Q1353" s="4"/>
      <c r="R1353" s="4"/>
      <c r="S1353" s="4"/>
      <c r="T1353" s="4"/>
      <c r="U1353" s="4"/>
      <c r="V1353" s="4"/>
      <c r="W1353" s="4"/>
      <c r="X1353" s="4"/>
    </row>
    <row r="1354" spans="17:24" x14ac:dyDescent="0.3">
      <c r="Q1354" s="4"/>
      <c r="R1354" s="4"/>
      <c r="S1354" s="4"/>
      <c r="T1354" s="4"/>
      <c r="U1354" s="4"/>
      <c r="V1354" s="4"/>
      <c r="W1354" s="4"/>
      <c r="X1354" s="4"/>
    </row>
    <row r="1355" spans="17:24" x14ac:dyDescent="0.3">
      <c r="Q1355" s="4"/>
      <c r="R1355" s="4"/>
      <c r="S1355" s="4"/>
      <c r="T1355" s="4"/>
      <c r="U1355" s="4"/>
      <c r="V1355" s="4"/>
      <c r="W1355" s="4"/>
      <c r="X1355" s="4"/>
    </row>
    <row r="1356" spans="17:24" x14ac:dyDescent="0.3">
      <c r="Q1356" s="4"/>
      <c r="R1356" s="4"/>
      <c r="S1356" s="4"/>
      <c r="T1356" s="4"/>
      <c r="U1356" s="4"/>
      <c r="V1356" s="4"/>
      <c r="W1356" s="4"/>
      <c r="X1356" s="4"/>
    </row>
    <row r="1357" spans="17:24" x14ac:dyDescent="0.3">
      <c r="Q1357" s="4"/>
      <c r="R1357" s="4"/>
      <c r="S1357" s="4"/>
      <c r="T1357" s="4"/>
      <c r="U1357" s="4"/>
      <c r="V1357" s="4"/>
      <c r="W1357" s="4"/>
      <c r="X1357" s="4"/>
    </row>
    <row r="1358" spans="17:24" x14ac:dyDescent="0.3">
      <c r="Q1358" s="4"/>
      <c r="R1358" s="4"/>
      <c r="S1358" s="4"/>
      <c r="T1358" s="4"/>
      <c r="U1358" s="4"/>
      <c r="V1358" s="4"/>
      <c r="W1358" s="4"/>
      <c r="X1358" s="4"/>
    </row>
    <row r="1359" spans="17:24" x14ac:dyDescent="0.3">
      <c r="Q1359" s="4"/>
      <c r="R1359" s="4"/>
      <c r="S1359" s="4"/>
      <c r="T1359" s="4"/>
      <c r="U1359" s="4"/>
      <c r="V1359" s="4"/>
      <c r="W1359" s="4"/>
      <c r="X1359" s="4"/>
    </row>
    <row r="1360" spans="17:24" x14ac:dyDescent="0.3">
      <c r="Q1360" s="4"/>
      <c r="R1360" s="4"/>
      <c r="S1360" s="4"/>
      <c r="T1360" s="4"/>
      <c r="U1360" s="4"/>
      <c r="V1360" s="4"/>
      <c r="W1360" s="4"/>
      <c r="X1360" s="4"/>
    </row>
    <row r="1361" spans="17:24" x14ac:dyDescent="0.3">
      <c r="Q1361" s="4"/>
      <c r="R1361" s="4"/>
      <c r="S1361" s="4"/>
      <c r="T1361" s="4"/>
      <c r="U1361" s="4"/>
      <c r="V1361" s="4"/>
      <c r="W1361" s="4"/>
      <c r="X1361" s="4"/>
    </row>
    <row r="1362" spans="17:24" x14ac:dyDescent="0.3">
      <c r="Q1362" s="4"/>
      <c r="R1362" s="4"/>
      <c r="S1362" s="4"/>
      <c r="T1362" s="4"/>
      <c r="U1362" s="4"/>
      <c r="V1362" s="4"/>
      <c r="W1362" s="4"/>
      <c r="X1362" s="4"/>
    </row>
    <row r="1363" spans="17:24" x14ac:dyDescent="0.3">
      <c r="Q1363" s="4"/>
      <c r="R1363" s="4"/>
      <c r="S1363" s="4"/>
      <c r="T1363" s="4"/>
      <c r="U1363" s="4"/>
      <c r="V1363" s="4"/>
      <c r="W1363" s="4"/>
      <c r="X1363" s="4"/>
    </row>
    <row r="1364" spans="17:24" x14ac:dyDescent="0.3">
      <c r="Q1364" s="4"/>
      <c r="R1364" s="4"/>
      <c r="S1364" s="4"/>
      <c r="T1364" s="4"/>
      <c r="U1364" s="4"/>
      <c r="V1364" s="4"/>
      <c r="W1364" s="4"/>
      <c r="X1364" s="4"/>
    </row>
    <row r="1365" spans="17:24" x14ac:dyDescent="0.3">
      <c r="Q1365" s="4"/>
      <c r="R1365" s="4"/>
      <c r="S1365" s="4"/>
      <c r="T1365" s="4"/>
      <c r="U1365" s="4"/>
      <c r="V1365" s="4"/>
      <c r="W1365" s="4"/>
      <c r="X1365" s="4"/>
    </row>
    <row r="1366" spans="17:24" x14ac:dyDescent="0.3">
      <c r="Q1366" s="4"/>
      <c r="R1366" s="4"/>
      <c r="S1366" s="4"/>
      <c r="T1366" s="4"/>
      <c r="U1366" s="4"/>
      <c r="V1366" s="4"/>
      <c r="W1366" s="4"/>
      <c r="X1366" s="4"/>
    </row>
    <row r="1367" spans="17:24" x14ac:dyDescent="0.3">
      <c r="Q1367" s="4"/>
      <c r="R1367" s="4"/>
      <c r="S1367" s="4"/>
      <c r="T1367" s="4"/>
      <c r="U1367" s="4"/>
      <c r="V1367" s="4"/>
      <c r="W1367" s="4"/>
      <c r="X1367" s="4"/>
    </row>
    <row r="1368" spans="17:24" x14ac:dyDescent="0.3">
      <c r="Q1368" s="4"/>
      <c r="R1368" s="4"/>
      <c r="S1368" s="4"/>
      <c r="T1368" s="4"/>
      <c r="U1368" s="4"/>
      <c r="V1368" s="4"/>
      <c r="W1368" s="4"/>
      <c r="X1368" s="4"/>
    </row>
    <row r="1369" spans="17:24" x14ac:dyDescent="0.3">
      <c r="Q1369" s="4"/>
      <c r="R1369" s="4"/>
      <c r="S1369" s="4"/>
      <c r="T1369" s="4"/>
      <c r="U1369" s="4"/>
      <c r="V1369" s="4"/>
      <c r="W1369" s="4"/>
      <c r="X1369" s="4"/>
    </row>
    <row r="1370" spans="17:24" x14ac:dyDescent="0.3">
      <c r="Q1370" s="4"/>
      <c r="R1370" s="4"/>
      <c r="S1370" s="4"/>
      <c r="T1370" s="4"/>
      <c r="U1370" s="4"/>
      <c r="V1370" s="4"/>
      <c r="W1370" s="4"/>
      <c r="X1370" s="4"/>
    </row>
    <row r="1371" spans="17:24" x14ac:dyDescent="0.3">
      <c r="Q1371" s="4"/>
      <c r="R1371" s="4"/>
      <c r="S1371" s="4"/>
      <c r="T1371" s="4"/>
      <c r="U1371" s="4"/>
      <c r="V1371" s="4"/>
      <c r="W1371" s="4"/>
      <c r="X1371" s="4"/>
    </row>
    <row r="1372" spans="17:24" x14ac:dyDescent="0.3">
      <c r="Q1372" s="4"/>
      <c r="R1372" s="4"/>
      <c r="S1372" s="4"/>
      <c r="T1372" s="4"/>
      <c r="U1372" s="4"/>
      <c r="V1372" s="4"/>
      <c r="W1372" s="4"/>
      <c r="X1372" s="4"/>
    </row>
    <row r="1373" spans="17:24" x14ac:dyDescent="0.3">
      <c r="Q1373" s="4"/>
      <c r="R1373" s="4"/>
      <c r="S1373" s="4"/>
      <c r="T1373" s="4"/>
      <c r="U1373" s="4"/>
      <c r="V1373" s="4"/>
      <c r="W1373" s="4"/>
      <c r="X1373" s="4"/>
    </row>
    <row r="1374" spans="17:24" x14ac:dyDescent="0.3">
      <c r="Q1374" s="4"/>
      <c r="R1374" s="4"/>
      <c r="S1374" s="4"/>
      <c r="T1374" s="4"/>
      <c r="U1374" s="4"/>
      <c r="V1374" s="4"/>
      <c r="W1374" s="4"/>
      <c r="X1374" s="4"/>
    </row>
    <row r="1375" spans="17:24" x14ac:dyDescent="0.3">
      <c r="Q1375" s="4"/>
      <c r="R1375" s="4"/>
      <c r="S1375" s="4"/>
      <c r="T1375" s="4"/>
      <c r="U1375" s="4"/>
      <c r="V1375" s="4"/>
      <c r="W1375" s="4"/>
      <c r="X1375" s="4"/>
    </row>
    <row r="1376" spans="17:24" x14ac:dyDescent="0.3">
      <c r="Q1376" s="4"/>
      <c r="R1376" s="4"/>
      <c r="S1376" s="4"/>
      <c r="T1376" s="4"/>
      <c r="U1376" s="4"/>
      <c r="V1376" s="4"/>
      <c r="W1376" s="4"/>
      <c r="X1376" s="4"/>
    </row>
    <row r="1377" spans="17:24" x14ac:dyDescent="0.3">
      <c r="Q1377" s="4"/>
      <c r="R1377" s="4"/>
      <c r="S1377" s="4"/>
      <c r="T1377" s="4"/>
      <c r="U1377" s="4"/>
      <c r="V1377" s="4"/>
      <c r="W1377" s="4"/>
      <c r="X1377" s="4"/>
    </row>
    <row r="1378" spans="17:24" x14ac:dyDescent="0.3">
      <c r="Q1378" s="4"/>
      <c r="R1378" s="4"/>
      <c r="S1378" s="4"/>
      <c r="T1378" s="4"/>
      <c r="U1378" s="4"/>
      <c r="V1378" s="4"/>
      <c r="W1378" s="4"/>
      <c r="X1378" s="4"/>
    </row>
    <row r="1379" spans="17:24" x14ac:dyDescent="0.3">
      <c r="Q1379" s="4"/>
      <c r="R1379" s="4"/>
      <c r="S1379" s="4"/>
      <c r="T1379" s="4"/>
      <c r="U1379" s="4"/>
      <c r="V1379" s="4"/>
      <c r="W1379" s="4"/>
      <c r="X1379" s="4"/>
    </row>
    <row r="1380" spans="17:24" x14ac:dyDescent="0.3">
      <c r="Q1380" s="4"/>
      <c r="R1380" s="4"/>
      <c r="S1380" s="4"/>
      <c r="T1380" s="4"/>
      <c r="U1380" s="4"/>
      <c r="V1380" s="4"/>
      <c r="W1380" s="4"/>
      <c r="X1380" s="4"/>
    </row>
    <row r="1381" spans="17:24" x14ac:dyDescent="0.3">
      <c r="Q1381" s="4"/>
      <c r="R1381" s="4"/>
      <c r="S1381" s="4"/>
      <c r="T1381" s="4"/>
      <c r="U1381" s="4"/>
      <c r="V1381" s="4"/>
      <c r="W1381" s="4"/>
      <c r="X1381" s="4"/>
    </row>
    <row r="1382" spans="17:24" x14ac:dyDescent="0.3">
      <c r="Q1382" s="4"/>
      <c r="R1382" s="4"/>
      <c r="S1382" s="4"/>
      <c r="T1382" s="4"/>
      <c r="U1382" s="4"/>
      <c r="V1382" s="4"/>
      <c r="W1382" s="4"/>
      <c r="X1382" s="4"/>
    </row>
    <row r="1383" spans="17:24" x14ac:dyDescent="0.3">
      <c r="Q1383" s="4"/>
      <c r="R1383" s="4"/>
      <c r="S1383" s="4"/>
      <c r="T1383" s="4"/>
      <c r="U1383" s="4"/>
      <c r="V1383" s="4"/>
      <c r="W1383" s="4"/>
      <c r="X1383" s="4"/>
    </row>
    <row r="1384" spans="17:24" x14ac:dyDescent="0.3">
      <c r="Q1384" s="4"/>
      <c r="R1384" s="4"/>
      <c r="S1384" s="4"/>
      <c r="T1384" s="4"/>
      <c r="U1384" s="4"/>
      <c r="V1384" s="4"/>
      <c r="W1384" s="4"/>
      <c r="X1384" s="4"/>
    </row>
    <row r="1385" spans="17:24" x14ac:dyDescent="0.3">
      <c r="Q1385" s="4"/>
      <c r="R1385" s="4"/>
      <c r="S1385" s="4"/>
      <c r="T1385" s="4"/>
      <c r="U1385" s="4"/>
      <c r="V1385" s="4"/>
      <c r="W1385" s="4"/>
      <c r="X1385" s="4"/>
    </row>
    <row r="1386" spans="17:24" x14ac:dyDescent="0.3">
      <c r="Q1386" s="4"/>
      <c r="R1386" s="4"/>
      <c r="S1386" s="4"/>
      <c r="T1386" s="4"/>
      <c r="U1386" s="4"/>
      <c r="V1386" s="4"/>
      <c r="W1386" s="4"/>
      <c r="X1386" s="4"/>
    </row>
    <row r="1387" spans="17:24" x14ac:dyDescent="0.3">
      <c r="Q1387" s="4"/>
      <c r="R1387" s="4"/>
      <c r="S1387" s="4"/>
      <c r="T1387" s="4"/>
      <c r="U1387" s="4"/>
      <c r="V1387" s="4"/>
      <c r="W1387" s="4"/>
      <c r="X1387" s="4"/>
    </row>
    <row r="1388" spans="17:24" x14ac:dyDescent="0.3">
      <c r="Q1388" s="4"/>
      <c r="R1388" s="4"/>
      <c r="S1388" s="4"/>
      <c r="T1388" s="4"/>
      <c r="U1388" s="4"/>
      <c r="V1388" s="4"/>
      <c r="W1388" s="4"/>
      <c r="X1388" s="4"/>
    </row>
    <row r="1389" spans="17:24" x14ac:dyDescent="0.3">
      <c r="Q1389" s="4"/>
      <c r="R1389" s="4"/>
      <c r="S1389" s="4"/>
      <c r="T1389" s="4"/>
      <c r="U1389" s="4"/>
      <c r="V1389" s="4"/>
      <c r="W1389" s="4"/>
      <c r="X1389" s="4"/>
    </row>
    <row r="1390" spans="17:24" x14ac:dyDescent="0.3">
      <c r="Q1390" s="4"/>
      <c r="R1390" s="4"/>
      <c r="S1390" s="4"/>
      <c r="T1390" s="4"/>
      <c r="U1390" s="4"/>
      <c r="V1390" s="4"/>
      <c r="W1390" s="4"/>
      <c r="X1390" s="4"/>
    </row>
    <row r="1391" spans="17:24" x14ac:dyDescent="0.3">
      <c r="Q1391" s="4"/>
      <c r="R1391" s="4"/>
      <c r="S1391" s="4"/>
      <c r="T1391" s="4"/>
      <c r="U1391" s="4"/>
      <c r="V1391" s="4"/>
      <c r="W1391" s="4"/>
      <c r="X1391" s="4"/>
    </row>
    <row r="1392" spans="17:24" x14ac:dyDescent="0.3">
      <c r="Q1392" s="4"/>
      <c r="R1392" s="4"/>
      <c r="S1392" s="4"/>
      <c r="T1392" s="4"/>
      <c r="U1392" s="4"/>
      <c r="V1392" s="4"/>
      <c r="W1392" s="4"/>
      <c r="X1392" s="4"/>
    </row>
    <row r="1393" spans="17:24" x14ac:dyDescent="0.3">
      <c r="Q1393" s="4"/>
      <c r="R1393" s="4"/>
      <c r="S1393" s="4"/>
      <c r="T1393" s="4"/>
      <c r="U1393" s="4"/>
      <c r="V1393" s="4"/>
      <c r="W1393" s="4"/>
      <c r="X1393" s="4"/>
    </row>
    <row r="1394" spans="17:24" x14ac:dyDescent="0.3">
      <c r="Q1394" s="4"/>
      <c r="R1394" s="4"/>
      <c r="S1394" s="4"/>
      <c r="T1394" s="4"/>
      <c r="U1394" s="4"/>
      <c r="V1394" s="4"/>
      <c r="W1394" s="4"/>
      <c r="X1394" s="4"/>
    </row>
    <row r="1395" spans="17:24" x14ac:dyDescent="0.3">
      <c r="Q1395" s="4"/>
      <c r="R1395" s="4"/>
      <c r="S1395" s="4"/>
      <c r="T1395" s="4"/>
      <c r="U1395" s="4"/>
      <c r="V1395" s="4"/>
      <c r="W1395" s="4"/>
      <c r="X1395" s="4"/>
    </row>
    <row r="1396" spans="17:24" x14ac:dyDescent="0.3">
      <c r="Q1396" s="4"/>
      <c r="R1396" s="4"/>
      <c r="S1396" s="4"/>
      <c r="T1396" s="4"/>
      <c r="U1396" s="4"/>
      <c r="V1396" s="4"/>
      <c r="W1396" s="4"/>
      <c r="X1396" s="4"/>
    </row>
    <row r="1397" spans="17:24" x14ac:dyDescent="0.3">
      <c r="Q1397" s="4"/>
      <c r="R1397" s="4"/>
      <c r="S1397" s="4"/>
      <c r="T1397" s="4"/>
      <c r="U1397" s="4"/>
      <c r="V1397" s="4"/>
      <c r="W1397" s="4"/>
      <c r="X1397" s="4"/>
    </row>
    <row r="1398" spans="17:24" x14ac:dyDescent="0.3">
      <c r="Q1398" s="4"/>
      <c r="R1398" s="4"/>
      <c r="S1398" s="4"/>
      <c r="T1398" s="4"/>
      <c r="U1398" s="4"/>
      <c r="V1398" s="4"/>
      <c r="W1398" s="4"/>
      <c r="X1398" s="4"/>
    </row>
    <row r="1399" spans="17:24" x14ac:dyDescent="0.3">
      <c r="Q1399" s="4"/>
      <c r="R1399" s="4"/>
      <c r="S1399" s="4"/>
      <c r="T1399" s="4"/>
      <c r="U1399" s="4"/>
      <c r="V1399" s="4"/>
      <c r="W1399" s="4"/>
      <c r="X1399" s="4"/>
    </row>
    <row r="1400" spans="17:24" x14ac:dyDescent="0.3">
      <c r="Q1400" s="4"/>
      <c r="R1400" s="4"/>
      <c r="S1400" s="4"/>
      <c r="T1400" s="4"/>
      <c r="U1400" s="4"/>
      <c r="V1400" s="4"/>
      <c r="W1400" s="4"/>
      <c r="X1400" s="4"/>
    </row>
    <row r="1401" spans="17:24" x14ac:dyDescent="0.3">
      <c r="Q1401" s="4"/>
      <c r="R1401" s="4"/>
      <c r="S1401" s="4"/>
      <c r="T1401" s="4"/>
      <c r="U1401" s="4"/>
      <c r="V1401" s="4"/>
      <c r="W1401" s="4"/>
      <c r="X1401" s="4"/>
    </row>
    <row r="1402" spans="17:24" x14ac:dyDescent="0.3">
      <c r="Q1402" s="4"/>
      <c r="R1402" s="4"/>
      <c r="S1402" s="4"/>
      <c r="T1402" s="4"/>
      <c r="U1402" s="4"/>
      <c r="V1402" s="4"/>
      <c r="W1402" s="4"/>
      <c r="X1402" s="4"/>
    </row>
    <row r="1403" spans="17:24" x14ac:dyDescent="0.3">
      <c r="Q1403" s="4"/>
      <c r="R1403" s="4"/>
      <c r="S1403" s="4"/>
      <c r="T1403" s="4"/>
      <c r="U1403" s="4"/>
      <c r="V1403" s="4"/>
      <c r="W1403" s="4"/>
      <c r="X1403" s="4"/>
    </row>
    <row r="1404" spans="17:24" x14ac:dyDescent="0.3">
      <c r="Q1404" s="4"/>
      <c r="R1404" s="4"/>
      <c r="S1404" s="4"/>
      <c r="T1404" s="4"/>
      <c r="U1404" s="4"/>
      <c r="V1404" s="4"/>
      <c r="W1404" s="4"/>
      <c r="X1404" s="4"/>
    </row>
    <row r="1405" spans="17:24" x14ac:dyDescent="0.3">
      <c r="Q1405" s="4"/>
      <c r="R1405" s="4"/>
      <c r="S1405" s="4"/>
      <c r="T1405" s="4"/>
      <c r="U1405" s="4"/>
      <c r="V1405" s="4"/>
      <c r="W1405" s="4"/>
      <c r="X1405" s="4"/>
    </row>
    <row r="1406" spans="17:24" x14ac:dyDescent="0.3">
      <c r="Q1406" s="4"/>
      <c r="R1406" s="4"/>
      <c r="S1406" s="4"/>
      <c r="T1406" s="4"/>
      <c r="U1406" s="4"/>
      <c r="V1406" s="4"/>
      <c r="W1406" s="4"/>
      <c r="X1406" s="4"/>
    </row>
    <row r="1407" spans="17:24" x14ac:dyDescent="0.3">
      <c r="Q1407" s="4"/>
      <c r="R1407" s="4"/>
      <c r="S1407" s="4"/>
      <c r="T1407" s="4"/>
      <c r="U1407" s="4"/>
      <c r="V1407" s="4"/>
      <c r="W1407" s="4"/>
      <c r="X1407" s="4"/>
    </row>
    <row r="1408" spans="17:24" x14ac:dyDescent="0.3">
      <c r="Q1408" s="4"/>
      <c r="R1408" s="4"/>
      <c r="S1408" s="4"/>
      <c r="T1408" s="4"/>
      <c r="U1408" s="4"/>
      <c r="V1408" s="4"/>
      <c r="W1408" s="4"/>
      <c r="X1408" s="4"/>
    </row>
    <row r="1409" spans="17:24" x14ac:dyDescent="0.3">
      <c r="Q1409" s="4"/>
      <c r="R1409" s="4"/>
      <c r="S1409" s="4"/>
      <c r="T1409" s="4"/>
      <c r="U1409" s="4"/>
      <c r="V1409" s="4"/>
      <c r="W1409" s="4"/>
      <c r="X1409" s="4"/>
    </row>
    <row r="1410" spans="17:24" x14ac:dyDescent="0.3">
      <c r="Q1410" s="4"/>
      <c r="R1410" s="4"/>
      <c r="S1410" s="4"/>
      <c r="T1410" s="4"/>
      <c r="U1410" s="4"/>
      <c r="V1410" s="4"/>
      <c r="W1410" s="4"/>
      <c r="X1410" s="4"/>
    </row>
    <row r="1411" spans="17:24" x14ac:dyDescent="0.3">
      <c r="Q1411" s="4"/>
      <c r="R1411" s="4"/>
      <c r="S1411" s="4"/>
      <c r="T1411" s="4"/>
      <c r="U1411" s="4"/>
      <c r="V1411" s="4"/>
      <c r="W1411" s="4"/>
      <c r="X1411" s="4"/>
    </row>
    <row r="1412" spans="17:24" x14ac:dyDescent="0.3">
      <c r="Q1412" s="4"/>
      <c r="R1412" s="4"/>
      <c r="S1412" s="4"/>
      <c r="T1412" s="4"/>
      <c r="U1412" s="4"/>
      <c r="V1412" s="4"/>
      <c r="W1412" s="4"/>
      <c r="X1412" s="4"/>
    </row>
    <row r="1413" spans="17:24" x14ac:dyDescent="0.3">
      <c r="Q1413" s="4"/>
      <c r="R1413" s="4"/>
      <c r="S1413" s="4"/>
      <c r="T1413" s="4"/>
      <c r="U1413" s="4"/>
      <c r="V1413" s="4"/>
      <c r="W1413" s="4"/>
      <c r="X1413" s="4"/>
    </row>
    <row r="1414" spans="17:24" x14ac:dyDescent="0.3">
      <c r="Q1414" s="4"/>
      <c r="R1414" s="4"/>
      <c r="S1414" s="4"/>
      <c r="T1414" s="4"/>
      <c r="U1414" s="4"/>
      <c r="V1414" s="4"/>
      <c r="W1414" s="4"/>
      <c r="X1414" s="4"/>
    </row>
    <row r="1415" spans="17:24" x14ac:dyDescent="0.3">
      <c r="Q1415" s="4"/>
      <c r="R1415" s="4"/>
      <c r="S1415" s="4"/>
      <c r="T1415" s="4"/>
      <c r="U1415" s="4"/>
      <c r="V1415" s="4"/>
      <c r="W1415" s="4"/>
      <c r="X1415" s="4"/>
    </row>
    <row r="1416" spans="17:24" x14ac:dyDescent="0.3">
      <c r="Q1416" s="4"/>
      <c r="R1416" s="4"/>
      <c r="S1416" s="4"/>
      <c r="T1416" s="4"/>
      <c r="U1416" s="4"/>
      <c r="V1416" s="4"/>
      <c r="W1416" s="4"/>
      <c r="X1416" s="4"/>
    </row>
    <row r="1417" spans="17:24" x14ac:dyDescent="0.3">
      <c r="Q1417" s="4"/>
      <c r="R1417" s="4"/>
      <c r="S1417" s="4"/>
      <c r="T1417" s="4"/>
      <c r="U1417" s="4"/>
      <c r="V1417" s="4"/>
      <c r="W1417" s="4"/>
      <c r="X1417" s="4"/>
    </row>
    <row r="1418" spans="17:24" x14ac:dyDescent="0.3">
      <c r="Q1418" s="4"/>
      <c r="R1418" s="4"/>
      <c r="S1418" s="4"/>
      <c r="T1418" s="4"/>
      <c r="U1418" s="4"/>
      <c r="V1418" s="4"/>
      <c r="W1418" s="4"/>
      <c r="X1418" s="4"/>
    </row>
    <row r="1419" spans="17:24" x14ac:dyDescent="0.3">
      <c r="Q1419" s="4"/>
      <c r="R1419" s="4"/>
      <c r="S1419" s="4"/>
      <c r="T1419" s="4"/>
      <c r="U1419" s="4"/>
      <c r="V1419" s="4"/>
      <c r="W1419" s="4"/>
      <c r="X1419" s="4"/>
    </row>
    <row r="1420" spans="17:24" x14ac:dyDescent="0.3">
      <c r="Q1420" s="4"/>
      <c r="R1420" s="4"/>
      <c r="S1420" s="4"/>
      <c r="T1420" s="4"/>
      <c r="U1420" s="4"/>
      <c r="V1420" s="4"/>
      <c r="W1420" s="4"/>
      <c r="X1420" s="4"/>
    </row>
    <row r="1421" spans="17:24" x14ac:dyDescent="0.3">
      <c r="Q1421" s="4"/>
      <c r="R1421" s="4"/>
      <c r="S1421" s="4"/>
      <c r="T1421" s="4"/>
      <c r="U1421" s="4"/>
      <c r="V1421" s="4"/>
      <c r="W1421" s="4"/>
      <c r="X1421" s="4"/>
    </row>
    <row r="1422" spans="17:24" x14ac:dyDescent="0.3">
      <c r="Q1422" s="4"/>
      <c r="R1422" s="4"/>
      <c r="S1422" s="4"/>
      <c r="T1422" s="4"/>
      <c r="U1422" s="4"/>
      <c r="V1422" s="4"/>
      <c r="W1422" s="4"/>
      <c r="X1422" s="4"/>
    </row>
    <row r="1423" spans="17:24" x14ac:dyDescent="0.3">
      <c r="Q1423" s="4"/>
      <c r="R1423" s="4"/>
      <c r="S1423" s="4"/>
      <c r="T1423" s="4"/>
      <c r="U1423" s="4"/>
      <c r="V1423" s="4"/>
      <c r="W1423" s="4"/>
      <c r="X1423" s="4"/>
    </row>
    <row r="1424" spans="17:24" x14ac:dyDescent="0.3">
      <c r="Q1424" s="4"/>
      <c r="R1424" s="4"/>
      <c r="S1424" s="4"/>
      <c r="T1424" s="4"/>
      <c r="U1424" s="4"/>
      <c r="V1424" s="4"/>
      <c r="W1424" s="4"/>
      <c r="X1424" s="4"/>
    </row>
    <row r="1425" spans="17:24" x14ac:dyDescent="0.3">
      <c r="Q1425" s="4"/>
      <c r="R1425" s="4"/>
      <c r="S1425" s="4"/>
      <c r="T1425" s="4"/>
      <c r="U1425" s="4"/>
      <c r="V1425" s="4"/>
      <c r="W1425" s="4"/>
      <c r="X1425" s="4"/>
    </row>
    <row r="1426" spans="17:24" x14ac:dyDescent="0.3">
      <c r="Q1426" s="4"/>
      <c r="R1426" s="4"/>
      <c r="S1426" s="4"/>
      <c r="T1426" s="4"/>
      <c r="U1426" s="4"/>
      <c r="V1426" s="4"/>
      <c r="W1426" s="4"/>
      <c r="X1426" s="4"/>
    </row>
    <row r="1427" spans="17:24" x14ac:dyDescent="0.3">
      <c r="Q1427" s="4"/>
      <c r="R1427" s="4"/>
      <c r="S1427" s="4"/>
      <c r="T1427" s="4"/>
      <c r="U1427" s="4"/>
      <c r="V1427" s="4"/>
      <c r="W1427" s="4"/>
      <c r="X1427" s="4"/>
    </row>
    <row r="1428" spans="17:24" x14ac:dyDescent="0.3">
      <c r="Q1428" s="4"/>
      <c r="R1428" s="4"/>
      <c r="S1428" s="4"/>
      <c r="T1428" s="4"/>
      <c r="U1428" s="4"/>
      <c r="V1428" s="4"/>
      <c r="W1428" s="4"/>
      <c r="X1428" s="4"/>
    </row>
    <row r="1429" spans="17:24" x14ac:dyDescent="0.3">
      <c r="Q1429" s="4"/>
      <c r="R1429" s="4"/>
      <c r="S1429" s="4"/>
      <c r="T1429" s="4"/>
      <c r="U1429" s="4"/>
      <c r="V1429" s="4"/>
      <c r="W1429" s="4"/>
      <c r="X1429" s="4"/>
    </row>
    <row r="1430" spans="17:24" x14ac:dyDescent="0.3">
      <c r="Q1430" s="4"/>
      <c r="R1430" s="4"/>
      <c r="S1430" s="4"/>
      <c r="T1430" s="4"/>
      <c r="U1430" s="4"/>
      <c r="V1430" s="4"/>
      <c r="W1430" s="4"/>
      <c r="X1430" s="4"/>
    </row>
    <row r="1431" spans="17:24" x14ac:dyDescent="0.3">
      <c r="Q1431" s="4"/>
      <c r="R1431" s="4"/>
      <c r="S1431" s="4"/>
      <c r="T1431" s="4"/>
      <c r="U1431" s="4"/>
      <c r="V1431" s="4"/>
      <c r="W1431" s="4"/>
      <c r="X1431" s="4"/>
    </row>
    <row r="1432" spans="17:24" x14ac:dyDescent="0.3">
      <c r="Q1432" s="4"/>
      <c r="R1432" s="4"/>
      <c r="S1432" s="4"/>
      <c r="T1432" s="4"/>
      <c r="U1432" s="4"/>
      <c r="V1432" s="4"/>
      <c r="W1432" s="4"/>
      <c r="X1432" s="4"/>
    </row>
    <row r="1433" spans="17:24" x14ac:dyDescent="0.3">
      <c r="Q1433" s="4"/>
      <c r="R1433" s="4"/>
      <c r="S1433" s="4"/>
      <c r="T1433" s="4"/>
      <c r="U1433" s="4"/>
      <c r="V1433" s="4"/>
      <c r="W1433" s="4"/>
      <c r="X1433" s="4"/>
    </row>
    <row r="1434" spans="17:24" x14ac:dyDescent="0.3">
      <c r="Q1434" s="4"/>
      <c r="R1434" s="4"/>
      <c r="S1434" s="4"/>
      <c r="T1434" s="4"/>
      <c r="U1434" s="4"/>
      <c r="V1434" s="4"/>
      <c r="W1434" s="4"/>
      <c r="X1434" s="4"/>
    </row>
    <row r="1435" spans="17:24" x14ac:dyDescent="0.3">
      <c r="Q1435" s="4"/>
      <c r="R1435" s="4"/>
      <c r="S1435" s="4"/>
      <c r="T1435" s="4"/>
      <c r="U1435" s="4"/>
      <c r="V1435" s="4"/>
      <c r="W1435" s="4"/>
      <c r="X1435" s="4"/>
    </row>
    <row r="1436" spans="17:24" x14ac:dyDescent="0.3">
      <c r="Q1436" s="4"/>
      <c r="R1436" s="4"/>
      <c r="S1436" s="4"/>
      <c r="T1436" s="4"/>
      <c r="U1436" s="4"/>
      <c r="V1436" s="4"/>
      <c r="W1436" s="4"/>
      <c r="X1436" s="4"/>
    </row>
    <row r="1437" spans="17:24" x14ac:dyDescent="0.3">
      <c r="Q1437" s="4"/>
      <c r="R1437" s="4"/>
      <c r="S1437" s="4"/>
      <c r="T1437" s="4"/>
      <c r="U1437" s="4"/>
      <c r="V1437" s="4"/>
      <c r="W1437" s="4"/>
      <c r="X1437" s="4"/>
    </row>
    <row r="1438" spans="17:24" x14ac:dyDescent="0.3">
      <c r="Q1438" s="4"/>
      <c r="R1438" s="4"/>
      <c r="S1438" s="4"/>
      <c r="T1438" s="4"/>
      <c r="U1438" s="4"/>
      <c r="V1438" s="4"/>
      <c r="W1438" s="4"/>
      <c r="X1438" s="4"/>
    </row>
    <row r="1439" spans="17:24" x14ac:dyDescent="0.3">
      <c r="Q1439" s="4"/>
      <c r="R1439" s="4"/>
      <c r="S1439" s="4"/>
      <c r="T1439" s="4"/>
      <c r="U1439" s="4"/>
      <c r="V1439" s="4"/>
      <c r="W1439" s="4"/>
      <c r="X1439" s="4"/>
    </row>
    <row r="1440" spans="17:24" x14ac:dyDescent="0.3">
      <c r="Q1440" s="4"/>
      <c r="R1440" s="4"/>
      <c r="S1440" s="4"/>
      <c r="T1440" s="4"/>
      <c r="U1440" s="4"/>
      <c r="V1440" s="4"/>
      <c r="W1440" s="4"/>
      <c r="X1440" s="4"/>
    </row>
    <row r="1441" spans="17:24" x14ac:dyDescent="0.3">
      <c r="Q1441" s="4"/>
      <c r="R1441" s="4"/>
      <c r="S1441" s="4"/>
      <c r="T1441" s="4"/>
      <c r="U1441" s="4"/>
      <c r="V1441" s="4"/>
      <c r="W1441" s="4"/>
      <c r="X1441" s="4"/>
    </row>
    <row r="1442" spans="17:24" x14ac:dyDescent="0.3">
      <c r="Q1442" s="4"/>
      <c r="R1442" s="4"/>
      <c r="S1442" s="4"/>
      <c r="T1442" s="4"/>
      <c r="U1442" s="4"/>
      <c r="V1442" s="4"/>
      <c r="W1442" s="4"/>
      <c r="X1442" s="4"/>
    </row>
    <row r="1443" spans="17:24" x14ac:dyDescent="0.3">
      <c r="Q1443" s="4"/>
      <c r="R1443" s="4"/>
      <c r="S1443" s="4"/>
      <c r="T1443" s="4"/>
      <c r="U1443" s="4"/>
      <c r="V1443" s="4"/>
      <c r="W1443" s="4"/>
      <c r="X1443" s="4"/>
    </row>
    <row r="1444" spans="17:24" x14ac:dyDescent="0.3">
      <c r="Q1444" s="4"/>
      <c r="R1444" s="4"/>
      <c r="S1444" s="4"/>
      <c r="T1444" s="4"/>
      <c r="U1444" s="4"/>
      <c r="V1444" s="4"/>
      <c r="W1444" s="4"/>
      <c r="X1444" s="4"/>
    </row>
    <row r="1445" spans="17:24" x14ac:dyDescent="0.3">
      <c r="Q1445" s="4"/>
      <c r="R1445" s="4"/>
      <c r="S1445" s="4"/>
      <c r="T1445" s="4"/>
      <c r="U1445" s="4"/>
      <c r="V1445" s="4"/>
      <c r="W1445" s="4"/>
      <c r="X1445" s="4"/>
    </row>
    <row r="1446" spans="17:24" x14ac:dyDescent="0.3">
      <c r="Q1446" s="4"/>
      <c r="R1446" s="4"/>
      <c r="S1446" s="4"/>
      <c r="T1446" s="4"/>
      <c r="U1446" s="4"/>
      <c r="V1446" s="4"/>
      <c r="W1446" s="4"/>
      <c r="X1446" s="4"/>
    </row>
    <row r="1447" spans="17:24" x14ac:dyDescent="0.3">
      <c r="Q1447" s="4"/>
      <c r="R1447" s="4"/>
      <c r="S1447" s="4"/>
      <c r="T1447" s="4"/>
      <c r="U1447" s="4"/>
      <c r="V1447" s="4"/>
      <c r="W1447" s="4"/>
      <c r="X1447" s="4"/>
    </row>
    <row r="1448" spans="17:24" x14ac:dyDescent="0.3">
      <c r="Q1448" s="4"/>
      <c r="R1448" s="4"/>
      <c r="S1448" s="4"/>
      <c r="T1448" s="4"/>
      <c r="U1448" s="4"/>
      <c r="V1448" s="4"/>
      <c r="W1448" s="4"/>
      <c r="X1448" s="4"/>
    </row>
    <row r="1449" spans="17:24" x14ac:dyDescent="0.3">
      <c r="Q1449" s="4"/>
      <c r="R1449" s="4"/>
      <c r="S1449" s="4"/>
      <c r="T1449" s="4"/>
      <c r="U1449" s="4"/>
      <c r="V1449" s="4"/>
      <c r="W1449" s="4"/>
      <c r="X1449" s="4"/>
    </row>
    <row r="1450" spans="17:24" x14ac:dyDescent="0.3">
      <c r="Q1450" s="4"/>
      <c r="R1450" s="4"/>
      <c r="S1450" s="4"/>
      <c r="T1450" s="4"/>
      <c r="U1450" s="4"/>
      <c r="V1450" s="4"/>
      <c r="W1450" s="4"/>
      <c r="X1450" s="4"/>
    </row>
    <row r="1451" spans="17:24" x14ac:dyDescent="0.3">
      <c r="Q1451" s="4"/>
      <c r="R1451" s="4"/>
      <c r="S1451" s="4"/>
      <c r="T1451" s="4"/>
      <c r="U1451" s="4"/>
      <c r="V1451" s="4"/>
      <c r="W1451" s="4"/>
      <c r="X1451" s="4"/>
    </row>
    <row r="1452" spans="17:24" x14ac:dyDescent="0.3">
      <c r="Q1452" s="4"/>
      <c r="R1452" s="4"/>
      <c r="S1452" s="4"/>
      <c r="T1452" s="4"/>
      <c r="U1452" s="4"/>
      <c r="V1452" s="4"/>
      <c r="W1452" s="4"/>
      <c r="X1452" s="4"/>
    </row>
    <row r="1453" spans="17:24" x14ac:dyDescent="0.3">
      <c r="Q1453" s="4"/>
      <c r="R1453" s="4"/>
      <c r="S1453" s="4"/>
      <c r="T1453" s="4"/>
      <c r="U1453" s="4"/>
      <c r="V1453" s="4"/>
      <c r="W1453" s="4"/>
      <c r="X1453" s="4"/>
    </row>
    <row r="1454" spans="17:24" x14ac:dyDescent="0.3">
      <c r="Q1454" s="4"/>
      <c r="R1454" s="4"/>
      <c r="S1454" s="4"/>
      <c r="T1454" s="4"/>
      <c r="U1454" s="4"/>
      <c r="V1454" s="4"/>
      <c r="W1454" s="4"/>
      <c r="X1454" s="4"/>
    </row>
    <row r="1455" spans="17:24" x14ac:dyDescent="0.3">
      <c r="Q1455" s="4"/>
      <c r="R1455" s="4"/>
      <c r="S1455" s="4"/>
      <c r="T1455" s="4"/>
      <c r="U1455" s="4"/>
      <c r="V1455" s="4"/>
      <c r="W1455" s="4"/>
      <c r="X1455" s="4"/>
    </row>
    <row r="1456" spans="17:24" x14ac:dyDescent="0.3">
      <c r="Q1456" s="4"/>
      <c r="R1456" s="4"/>
      <c r="S1456" s="4"/>
      <c r="T1456" s="4"/>
      <c r="U1456" s="4"/>
      <c r="V1456" s="4"/>
      <c r="W1456" s="4"/>
      <c r="X1456" s="4"/>
    </row>
    <row r="1457" spans="17:24" x14ac:dyDescent="0.3">
      <c r="Q1457" s="4"/>
      <c r="R1457" s="4"/>
      <c r="S1457" s="4"/>
      <c r="T1457" s="4"/>
      <c r="U1457" s="4"/>
      <c r="V1457" s="4"/>
      <c r="W1457" s="4"/>
      <c r="X1457" s="4"/>
    </row>
    <row r="1458" spans="17:24" x14ac:dyDescent="0.3">
      <c r="Q1458" s="4"/>
      <c r="R1458" s="4"/>
      <c r="S1458" s="4"/>
      <c r="T1458" s="4"/>
      <c r="U1458" s="4"/>
      <c r="V1458" s="4"/>
      <c r="W1458" s="4"/>
      <c r="X1458" s="4"/>
    </row>
    <row r="1459" spans="17:24" x14ac:dyDescent="0.3">
      <c r="Q1459" s="4"/>
      <c r="R1459" s="4"/>
      <c r="S1459" s="4"/>
      <c r="T1459" s="4"/>
      <c r="U1459" s="4"/>
      <c r="V1459" s="4"/>
      <c r="W1459" s="4"/>
      <c r="X1459" s="4"/>
    </row>
    <row r="1460" spans="17:24" x14ac:dyDescent="0.3">
      <c r="Q1460" s="4"/>
      <c r="R1460" s="4"/>
      <c r="S1460" s="4"/>
      <c r="T1460" s="4"/>
      <c r="U1460" s="4"/>
      <c r="V1460" s="4"/>
      <c r="W1460" s="4"/>
      <c r="X1460" s="4"/>
    </row>
    <row r="1461" spans="17:24" x14ac:dyDescent="0.3">
      <c r="Q1461" s="4"/>
      <c r="R1461" s="4"/>
      <c r="S1461" s="4"/>
      <c r="T1461" s="4"/>
      <c r="U1461" s="4"/>
      <c r="V1461" s="4"/>
      <c r="W1461" s="4"/>
      <c r="X1461" s="4"/>
    </row>
    <row r="1462" spans="17:24" x14ac:dyDescent="0.3">
      <c r="Q1462" s="4"/>
      <c r="R1462" s="4"/>
      <c r="S1462" s="4"/>
      <c r="T1462" s="4"/>
      <c r="U1462" s="4"/>
      <c r="V1462" s="4"/>
      <c r="W1462" s="4"/>
      <c r="X1462" s="4"/>
    </row>
    <row r="1463" spans="17:24" x14ac:dyDescent="0.3">
      <c r="Q1463" s="4"/>
      <c r="R1463" s="4"/>
      <c r="S1463" s="4"/>
      <c r="T1463" s="4"/>
      <c r="U1463" s="4"/>
      <c r="V1463" s="4"/>
      <c r="W1463" s="4"/>
      <c r="X1463" s="4"/>
    </row>
    <row r="1464" spans="17:24" x14ac:dyDescent="0.3">
      <c r="Q1464" s="4"/>
      <c r="R1464" s="4"/>
      <c r="S1464" s="4"/>
      <c r="T1464" s="4"/>
      <c r="U1464" s="4"/>
      <c r="V1464" s="4"/>
      <c r="W1464" s="4"/>
      <c r="X1464" s="4"/>
    </row>
    <row r="1465" spans="17:24" x14ac:dyDescent="0.3">
      <c r="Q1465" s="4"/>
      <c r="R1465" s="4"/>
      <c r="S1465" s="4"/>
      <c r="T1465" s="4"/>
      <c r="U1465" s="4"/>
      <c r="V1465" s="4"/>
      <c r="W1465" s="4"/>
      <c r="X1465" s="4"/>
    </row>
    <row r="1466" spans="17:24" x14ac:dyDescent="0.3">
      <c r="Q1466" s="4"/>
      <c r="R1466" s="4"/>
      <c r="S1466" s="4"/>
      <c r="T1466" s="4"/>
      <c r="U1466" s="4"/>
      <c r="V1466" s="4"/>
      <c r="W1466" s="4"/>
      <c r="X1466" s="4"/>
    </row>
    <row r="1467" spans="17:24" x14ac:dyDescent="0.3">
      <c r="Q1467" s="4"/>
      <c r="R1467" s="4"/>
      <c r="S1467" s="4"/>
      <c r="T1467" s="4"/>
      <c r="U1467" s="4"/>
      <c r="V1467" s="4"/>
      <c r="W1467" s="4"/>
      <c r="X1467" s="4"/>
    </row>
    <row r="1468" spans="17:24" x14ac:dyDescent="0.3">
      <c r="Q1468" s="4"/>
      <c r="R1468" s="4"/>
      <c r="S1468" s="4"/>
      <c r="T1468" s="4"/>
      <c r="U1468" s="4"/>
      <c r="V1468" s="4"/>
      <c r="W1468" s="4"/>
      <c r="X1468" s="4"/>
    </row>
    <row r="1469" spans="17:24" x14ac:dyDescent="0.3">
      <c r="Q1469" s="4"/>
      <c r="R1469" s="4"/>
      <c r="S1469" s="4"/>
      <c r="T1469" s="4"/>
      <c r="U1469" s="4"/>
      <c r="V1469" s="4"/>
      <c r="W1469" s="4"/>
      <c r="X1469" s="4"/>
    </row>
    <row r="1470" spans="17:24" x14ac:dyDescent="0.3">
      <c r="Q1470" s="4"/>
      <c r="R1470" s="4"/>
      <c r="S1470" s="4"/>
      <c r="T1470" s="4"/>
      <c r="U1470" s="4"/>
      <c r="V1470" s="4"/>
      <c r="W1470" s="4"/>
      <c r="X1470" s="4"/>
    </row>
    <row r="1471" spans="17:24" x14ac:dyDescent="0.3">
      <c r="Q1471" s="4"/>
      <c r="R1471" s="4"/>
      <c r="S1471" s="4"/>
      <c r="T1471" s="4"/>
      <c r="U1471" s="4"/>
      <c r="V1471" s="4"/>
      <c r="W1471" s="4"/>
      <c r="X1471" s="4"/>
    </row>
    <row r="1472" spans="17:24" x14ac:dyDescent="0.3">
      <c r="Q1472" s="4"/>
      <c r="R1472" s="4"/>
      <c r="S1472" s="4"/>
      <c r="T1472" s="4"/>
      <c r="U1472" s="4"/>
      <c r="V1472" s="4"/>
      <c r="W1472" s="4"/>
      <c r="X1472" s="4"/>
    </row>
    <row r="1473" spans="17:24" x14ac:dyDescent="0.3">
      <c r="Q1473" s="4"/>
      <c r="R1473" s="4"/>
      <c r="S1473" s="4"/>
      <c r="T1473" s="4"/>
      <c r="U1473" s="4"/>
      <c r="V1473" s="4"/>
      <c r="W1473" s="4"/>
      <c r="X1473" s="4"/>
    </row>
    <row r="1474" spans="17:24" x14ac:dyDescent="0.3">
      <c r="Q1474" s="4"/>
      <c r="R1474" s="4"/>
      <c r="S1474" s="4"/>
      <c r="T1474" s="4"/>
      <c r="U1474" s="4"/>
      <c r="V1474" s="4"/>
      <c r="W1474" s="4"/>
      <c r="X1474" s="4"/>
    </row>
    <row r="1475" spans="17:24" x14ac:dyDescent="0.3">
      <c r="Q1475" s="4"/>
      <c r="R1475" s="4"/>
      <c r="S1475" s="4"/>
      <c r="T1475" s="4"/>
      <c r="U1475" s="4"/>
      <c r="V1475" s="4"/>
      <c r="W1475" s="4"/>
      <c r="X1475" s="4"/>
    </row>
    <row r="1476" spans="17:24" x14ac:dyDescent="0.3">
      <c r="Q1476" s="4"/>
      <c r="R1476" s="4"/>
      <c r="S1476" s="4"/>
      <c r="T1476" s="4"/>
      <c r="U1476" s="4"/>
      <c r="V1476" s="4"/>
      <c r="W1476" s="4"/>
      <c r="X1476" s="4"/>
    </row>
    <row r="1477" spans="17:24" x14ac:dyDescent="0.3">
      <c r="Q1477" s="4"/>
      <c r="R1477" s="4"/>
      <c r="S1477" s="4"/>
      <c r="T1477" s="4"/>
      <c r="U1477" s="4"/>
      <c r="V1477" s="4"/>
      <c r="W1477" s="4"/>
      <c r="X1477" s="4"/>
    </row>
    <row r="1478" spans="17:24" x14ac:dyDescent="0.3">
      <c r="Q1478" s="4"/>
      <c r="R1478" s="4"/>
      <c r="S1478" s="4"/>
      <c r="T1478" s="4"/>
      <c r="U1478" s="4"/>
      <c r="V1478" s="4"/>
      <c r="W1478" s="4"/>
      <c r="X1478" s="4"/>
    </row>
    <row r="1479" spans="17:24" x14ac:dyDescent="0.3">
      <c r="Q1479" s="4"/>
      <c r="R1479" s="4"/>
      <c r="S1479" s="4"/>
      <c r="T1479" s="4"/>
      <c r="U1479" s="4"/>
      <c r="V1479" s="4"/>
      <c r="W1479" s="4"/>
      <c r="X1479" s="4"/>
    </row>
    <row r="1480" spans="17:24" x14ac:dyDescent="0.3">
      <c r="Q1480" s="4"/>
      <c r="R1480" s="4"/>
      <c r="S1480" s="4"/>
      <c r="T1480" s="4"/>
      <c r="U1480" s="4"/>
      <c r="V1480" s="4"/>
      <c r="W1480" s="4"/>
      <c r="X1480" s="4"/>
    </row>
    <row r="1481" spans="17:24" x14ac:dyDescent="0.3">
      <c r="Q1481" s="4"/>
      <c r="R1481" s="4"/>
      <c r="S1481" s="4"/>
      <c r="T1481" s="4"/>
      <c r="U1481" s="4"/>
      <c r="V1481" s="4"/>
      <c r="W1481" s="4"/>
      <c r="X1481" s="4"/>
    </row>
    <row r="1482" spans="17:24" x14ac:dyDescent="0.3">
      <c r="Q1482" s="4"/>
      <c r="R1482" s="4"/>
      <c r="S1482" s="4"/>
      <c r="T1482" s="4"/>
      <c r="U1482" s="4"/>
      <c r="V1482" s="4"/>
      <c r="W1482" s="4"/>
      <c r="X1482" s="4"/>
    </row>
    <row r="1483" spans="17:24" x14ac:dyDescent="0.3">
      <c r="Q1483" s="4"/>
      <c r="R1483" s="4"/>
      <c r="S1483" s="4"/>
      <c r="T1483" s="4"/>
      <c r="U1483" s="4"/>
      <c r="V1483" s="4"/>
      <c r="W1483" s="4"/>
      <c r="X1483" s="4"/>
    </row>
    <row r="1484" spans="17:24" x14ac:dyDescent="0.3">
      <c r="Q1484" s="4"/>
      <c r="R1484" s="4"/>
      <c r="S1484" s="4"/>
      <c r="T1484" s="4"/>
      <c r="U1484" s="4"/>
      <c r="V1484" s="4"/>
      <c r="W1484" s="4"/>
      <c r="X1484" s="4"/>
    </row>
    <row r="1485" spans="17:24" x14ac:dyDescent="0.3">
      <c r="Q1485" s="4"/>
      <c r="R1485" s="4"/>
      <c r="S1485" s="4"/>
      <c r="T1485" s="4"/>
      <c r="U1485" s="4"/>
      <c r="V1485" s="4"/>
      <c r="W1485" s="4"/>
      <c r="X1485" s="4"/>
    </row>
    <row r="1486" spans="17:24" x14ac:dyDescent="0.3">
      <c r="Q1486" s="4"/>
      <c r="R1486" s="4"/>
      <c r="S1486" s="4"/>
      <c r="T1486" s="4"/>
      <c r="U1486" s="4"/>
      <c r="V1486" s="4"/>
      <c r="W1486" s="4"/>
      <c r="X1486" s="4"/>
    </row>
    <row r="1487" spans="17:24" x14ac:dyDescent="0.3">
      <c r="Q1487" s="4"/>
      <c r="R1487" s="4"/>
      <c r="S1487" s="4"/>
      <c r="T1487" s="4"/>
      <c r="U1487" s="4"/>
      <c r="V1487" s="4"/>
      <c r="W1487" s="4"/>
      <c r="X1487" s="4"/>
    </row>
    <row r="1488" spans="17:24" x14ac:dyDescent="0.3">
      <c r="Q1488" s="4"/>
      <c r="R1488" s="4"/>
      <c r="S1488" s="4"/>
      <c r="T1488" s="4"/>
      <c r="U1488" s="4"/>
      <c r="V1488" s="4"/>
      <c r="W1488" s="4"/>
      <c r="X1488" s="4"/>
    </row>
    <row r="1489" spans="17:24" x14ac:dyDescent="0.3">
      <c r="Q1489" s="4"/>
      <c r="R1489" s="4"/>
      <c r="S1489" s="4"/>
      <c r="T1489" s="4"/>
      <c r="U1489" s="4"/>
      <c r="V1489" s="4"/>
      <c r="W1489" s="4"/>
      <c r="X1489" s="4"/>
    </row>
    <row r="1490" spans="17:24" x14ac:dyDescent="0.3">
      <c r="Q1490" s="4"/>
      <c r="R1490" s="4"/>
      <c r="S1490" s="4"/>
      <c r="T1490" s="4"/>
      <c r="U1490" s="4"/>
      <c r="V1490" s="4"/>
      <c r="W1490" s="4"/>
      <c r="X1490" s="4"/>
    </row>
    <row r="1491" spans="17:24" x14ac:dyDescent="0.3">
      <c r="Q1491" s="4"/>
      <c r="R1491" s="4"/>
      <c r="S1491" s="4"/>
      <c r="T1491" s="4"/>
      <c r="U1491" s="4"/>
      <c r="V1491" s="4"/>
      <c r="W1491" s="4"/>
      <c r="X1491" s="4"/>
    </row>
    <row r="1492" spans="17:24" x14ac:dyDescent="0.3">
      <c r="Q1492" s="4"/>
      <c r="R1492" s="4"/>
      <c r="S1492" s="4"/>
      <c r="T1492" s="4"/>
      <c r="U1492" s="4"/>
      <c r="V1492" s="4"/>
      <c r="W1492" s="4"/>
      <c r="X1492" s="4"/>
    </row>
    <row r="1493" spans="17:24" x14ac:dyDescent="0.3">
      <c r="Q1493" s="4"/>
      <c r="R1493" s="4"/>
      <c r="S1493" s="4"/>
      <c r="T1493" s="4"/>
      <c r="U1493" s="4"/>
      <c r="V1493" s="4"/>
      <c r="W1493" s="4"/>
      <c r="X1493" s="4"/>
    </row>
    <row r="1494" spans="17:24" x14ac:dyDescent="0.3">
      <c r="Q1494" s="4"/>
      <c r="R1494" s="4"/>
      <c r="S1494" s="4"/>
      <c r="T1494" s="4"/>
      <c r="U1494" s="4"/>
      <c r="V1494" s="4"/>
      <c r="W1494" s="4"/>
      <c r="X1494" s="4"/>
    </row>
    <row r="1495" spans="17:24" x14ac:dyDescent="0.3">
      <c r="Q1495" s="4"/>
      <c r="R1495" s="4"/>
      <c r="S1495" s="4"/>
      <c r="T1495" s="4"/>
      <c r="U1495" s="4"/>
      <c r="V1495" s="4"/>
      <c r="W1495" s="4"/>
      <c r="X1495" s="4"/>
    </row>
    <row r="1496" spans="17:24" x14ac:dyDescent="0.3">
      <c r="Q1496" s="4"/>
      <c r="R1496" s="4"/>
      <c r="S1496" s="4"/>
      <c r="T1496" s="4"/>
      <c r="U1496" s="4"/>
      <c r="V1496" s="4"/>
      <c r="W1496" s="4"/>
      <c r="X1496" s="4"/>
    </row>
    <row r="1497" spans="17:24" x14ac:dyDescent="0.3">
      <c r="Q1497" s="4"/>
      <c r="R1497" s="4"/>
      <c r="S1497" s="4"/>
      <c r="T1497" s="4"/>
      <c r="U1497" s="4"/>
      <c r="V1497" s="4"/>
      <c r="W1497" s="4"/>
      <c r="X1497" s="4"/>
    </row>
    <row r="1498" spans="17:24" x14ac:dyDescent="0.3">
      <c r="Q1498" s="4"/>
      <c r="R1498" s="4"/>
      <c r="S1498" s="4"/>
      <c r="T1498" s="4"/>
      <c r="U1498" s="4"/>
      <c r="V1498" s="4"/>
      <c r="W1498" s="4"/>
      <c r="X1498" s="4"/>
    </row>
    <row r="1499" spans="17:24" x14ac:dyDescent="0.3">
      <c r="Q1499" s="4"/>
      <c r="R1499" s="4"/>
      <c r="S1499" s="4"/>
      <c r="T1499" s="4"/>
      <c r="U1499" s="4"/>
      <c r="V1499" s="4"/>
      <c r="W1499" s="4"/>
      <c r="X1499" s="4"/>
    </row>
    <row r="1500" spans="17:24" x14ac:dyDescent="0.3">
      <c r="Q1500" s="4"/>
      <c r="R1500" s="4"/>
      <c r="S1500" s="4"/>
      <c r="T1500" s="4"/>
      <c r="U1500" s="4"/>
      <c r="V1500" s="4"/>
      <c r="W1500" s="4"/>
      <c r="X1500" s="4"/>
    </row>
    <row r="1501" spans="17:24" x14ac:dyDescent="0.3">
      <c r="Q1501" s="4"/>
      <c r="R1501" s="4"/>
      <c r="S1501" s="4"/>
      <c r="T1501" s="4"/>
      <c r="U1501" s="4"/>
      <c r="V1501" s="4"/>
      <c r="W1501" s="4"/>
      <c r="X1501" s="4"/>
    </row>
    <row r="1502" spans="17:24" x14ac:dyDescent="0.3">
      <c r="Q1502" s="4"/>
      <c r="R1502" s="4"/>
      <c r="S1502" s="4"/>
      <c r="T1502" s="4"/>
      <c r="U1502" s="4"/>
      <c r="V1502" s="4"/>
      <c r="W1502" s="4"/>
      <c r="X1502" s="4"/>
    </row>
    <row r="1503" spans="17:24" x14ac:dyDescent="0.3">
      <c r="Q1503" s="4"/>
      <c r="R1503" s="4"/>
      <c r="S1503" s="4"/>
      <c r="T1503" s="4"/>
      <c r="U1503" s="4"/>
      <c r="V1503" s="4"/>
      <c r="W1503" s="4"/>
      <c r="X1503" s="4"/>
    </row>
    <row r="1504" spans="17:24" x14ac:dyDescent="0.3">
      <c r="Q1504" s="4"/>
      <c r="R1504" s="4"/>
      <c r="S1504" s="4"/>
      <c r="T1504" s="4"/>
      <c r="U1504" s="4"/>
      <c r="V1504" s="4"/>
      <c r="W1504" s="4"/>
      <c r="X1504" s="4"/>
    </row>
    <row r="1505" spans="17:24" x14ac:dyDescent="0.3">
      <c r="Q1505" s="4"/>
      <c r="R1505" s="4"/>
      <c r="S1505" s="4"/>
      <c r="T1505" s="4"/>
      <c r="U1505" s="4"/>
      <c r="V1505" s="4"/>
      <c r="W1505" s="4"/>
      <c r="X1505" s="4"/>
    </row>
    <row r="1506" spans="17:24" x14ac:dyDescent="0.3">
      <c r="Q1506" s="4"/>
      <c r="R1506" s="4"/>
      <c r="S1506" s="4"/>
      <c r="T1506" s="4"/>
      <c r="U1506" s="4"/>
      <c r="V1506" s="4"/>
      <c r="W1506" s="4"/>
      <c r="X1506" s="4"/>
    </row>
    <row r="1507" spans="17:24" x14ac:dyDescent="0.3">
      <c r="Q1507" s="4"/>
      <c r="R1507" s="4"/>
      <c r="S1507" s="4"/>
      <c r="T1507" s="4"/>
      <c r="U1507" s="4"/>
      <c r="V1507" s="4"/>
      <c r="W1507" s="4"/>
      <c r="X1507" s="4"/>
    </row>
    <row r="1508" spans="17:24" x14ac:dyDescent="0.3">
      <c r="Q1508" s="4"/>
      <c r="R1508" s="4"/>
      <c r="S1508" s="4"/>
      <c r="T1508" s="4"/>
      <c r="U1508" s="4"/>
      <c r="V1508" s="4"/>
      <c r="W1508" s="4"/>
      <c r="X1508" s="4"/>
    </row>
    <row r="1509" spans="17:24" x14ac:dyDescent="0.3">
      <c r="Q1509" s="4"/>
      <c r="R1509" s="4"/>
      <c r="S1509" s="4"/>
      <c r="T1509" s="4"/>
      <c r="U1509" s="4"/>
      <c r="V1509" s="4"/>
      <c r="W1509" s="4"/>
      <c r="X1509" s="4"/>
    </row>
    <row r="1510" spans="17:24" x14ac:dyDescent="0.3">
      <c r="Q1510" s="4"/>
      <c r="R1510" s="4"/>
      <c r="S1510" s="4"/>
      <c r="T1510" s="4"/>
      <c r="U1510" s="4"/>
      <c r="V1510" s="4"/>
      <c r="W1510" s="4"/>
      <c r="X1510" s="4"/>
    </row>
    <row r="1511" spans="17:24" x14ac:dyDescent="0.3">
      <c r="Q1511" s="4"/>
      <c r="R1511" s="4"/>
      <c r="S1511" s="4"/>
      <c r="T1511" s="4"/>
      <c r="U1511" s="4"/>
      <c r="V1511" s="4"/>
      <c r="W1511" s="4"/>
      <c r="X1511" s="4"/>
    </row>
    <row r="1512" spans="17:24" x14ac:dyDescent="0.3">
      <c r="Q1512" s="4"/>
      <c r="R1512" s="4"/>
      <c r="S1512" s="4"/>
      <c r="T1512" s="4"/>
      <c r="U1512" s="4"/>
      <c r="V1512" s="4"/>
      <c r="W1512" s="4"/>
      <c r="X1512" s="4"/>
    </row>
    <row r="1513" spans="17:24" x14ac:dyDescent="0.3">
      <c r="Q1513" s="4"/>
      <c r="R1513" s="4"/>
      <c r="S1513" s="4"/>
      <c r="T1513" s="4"/>
      <c r="U1513" s="4"/>
      <c r="V1513" s="4"/>
      <c r="W1513" s="4"/>
      <c r="X1513" s="4"/>
    </row>
    <row r="1514" spans="17:24" x14ac:dyDescent="0.3">
      <c r="Q1514" s="4"/>
      <c r="R1514" s="4"/>
      <c r="S1514" s="4"/>
      <c r="T1514" s="4"/>
      <c r="U1514" s="4"/>
      <c r="V1514" s="4"/>
      <c r="W1514" s="4"/>
      <c r="X1514" s="4"/>
    </row>
    <row r="1515" spans="17:24" x14ac:dyDescent="0.3">
      <c r="Q1515" s="4"/>
      <c r="R1515" s="4"/>
      <c r="S1515" s="4"/>
      <c r="T1515" s="4"/>
      <c r="U1515" s="4"/>
      <c r="V1515" s="4"/>
      <c r="W1515" s="4"/>
      <c r="X1515" s="4"/>
    </row>
    <row r="1516" spans="17:24" x14ac:dyDescent="0.3">
      <c r="Q1516" s="4"/>
      <c r="R1516" s="4"/>
      <c r="S1516" s="4"/>
      <c r="T1516" s="4"/>
      <c r="U1516" s="4"/>
      <c r="V1516" s="4"/>
      <c r="W1516" s="4"/>
      <c r="X1516" s="4"/>
    </row>
    <row r="1517" spans="17:24" x14ac:dyDescent="0.3">
      <c r="Q1517" s="4"/>
      <c r="R1517" s="4"/>
      <c r="S1517" s="4"/>
      <c r="T1517" s="4"/>
      <c r="U1517" s="4"/>
      <c r="V1517" s="4"/>
      <c r="W1517" s="4"/>
      <c r="X1517" s="4"/>
    </row>
    <row r="1518" spans="17:24" x14ac:dyDescent="0.3">
      <c r="Q1518" s="4"/>
      <c r="R1518" s="4"/>
      <c r="S1518" s="4"/>
      <c r="T1518" s="4"/>
      <c r="U1518" s="4"/>
      <c r="V1518" s="4"/>
      <c r="W1518" s="4"/>
      <c r="X1518" s="4"/>
    </row>
    <row r="1519" spans="17:24" x14ac:dyDescent="0.3">
      <c r="Q1519" s="4"/>
      <c r="R1519" s="4"/>
      <c r="S1519" s="4"/>
      <c r="T1519" s="4"/>
      <c r="U1519" s="4"/>
      <c r="V1519" s="4"/>
      <c r="W1519" s="4"/>
      <c r="X1519" s="4"/>
    </row>
    <row r="1520" spans="17:24" x14ac:dyDescent="0.3">
      <c r="Q1520" s="4"/>
      <c r="R1520" s="4"/>
      <c r="S1520" s="4"/>
      <c r="T1520" s="4"/>
      <c r="U1520" s="4"/>
      <c r="V1520" s="4"/>
      <c r="W1520" s="4"/>
      <c r="X1520" s="4"/>
    </row>
    <row r="1521" spans="17:24" x14ac:dyDescent="0.3">
      <c r="Q1521" s="4"/>
      <c r="R1521" s="4"/>
      <c r="S1521" s="4"/>
      <c r="T1521" s="4"/>
      <c r="U1521" s="4"/>
      <c r="V1521" s="4"/>
      <c r="W1521" s="4"/>
      <c r="X1521" s="4"/>
    </row>
    <row r="1522" spans="17:24" x14ac:dyDescent="0.3">
      <c r="Q1522" s="4"/>
      <c r="R1522" s="4"/>
      <c r="S1522" s="4"/>
      <c r="T1522" s="4"/>
      <c r="U1522" s="4"/>
      <c r="V1522" s="4"/>
      <c r="W1522" s="4"/>
      <c r="X1522" s="4"/>
    </row>
    <row r="1523" spans="17:24" x14ac:dyDescent="0.3">
      <c r="Q1523" s="4"/>
      <c r="R1523" s="4"/>
      <c r="S1523" s="4"/>
      <c r="T1523" s="4"/>
      <c r="U1523" s="4"/>
      <c r="V1523" s="4"/>
      <c r="W1523" s="4"/>
      <c r="X1523" s="4"/>
    </row>
    <row r="1524" spans="17:24" x14ac:dyDescent="0.3">
      <c r="Q1524" s="4"/>
      <c r="R1524" s="4"/>
      <c r="S1524" s="4"/>
      <c r="T1524" s="4"/>
      <c r="U1524" s="4"/>
      <c r="V1524" s="4"/>
      <c r="W1524" s="4"/>
      <c r="X1524" s="4"/>
    </row>
    <row r="1525" spans="17:24" x14ac:dyDescent="0.3">
      <c r="Q1525" s="4"/>
      <c r="R1525" s="4"/>
      <c r="S1525" s="4"/>
      <c r="T1525" s="4"/>
      <c r="U1525" s="4"/>
      <c r="V1525" s="4"/>
      <c r="W1525" s="4"/>
      <c r="X1525" s="4"/>
    </row>
    <row r="1526" spans="17:24" x14ac:dyDescent="0.3">
      <c r="Q1526" s="4"/>
      <c r="R1526" s="4"/>
      <c r="S1526" s="4"/>
      <c r="T1526" s="4"/>
      <c r="U1526" s="4"/>
      <c r="V1526" s="4"/>
      <c r="W1526" s="4"/>
      <c r="X1526" s="4"/>
    </row>
    <row r="1527" spans="17:24" x14ac:dyDescent="0.3">
      <c r="Q1527" s="4"/>
      <c r="R1527" s="4"/>
      <c r="S1527" s="4"/>
      <c r="T1527" s="4"/>
      <c r="U1527" s="4"/>
      <c r="V1527" s="4"/>
      <c r="W1527" s="4"/>
      <c r="X1527" s="4"/>
    </row>
    <row r="1528" spans="17:24" x14ac:dyDescent="0.3">
      <c r="Q1528" s="4"/>
      <c r="R1528" s="4"/>
      <c r="S1528" s="4"/>
      <c r="T1528" s="4"/>
      <c r="U1528" s="4"/>
      <c r="V1528" s="4"/>
      <c r="W1528" s="4"/>
      <c r="X1528" s="4"/>
    </row>
    <row r="1529" spans="17:24" x14ac:dyDescent="0.3">
      <c r="Q1529" s="4"/>
      <c r="R1529" s="4"/>
      <c r="S1529" s="4"/>
      <c r="T1529" s="4"/>
      <c r="U1529" s="4"/>
      <c r="V1529" s="4"/>
      <c r="W1529" s="4"/>
      <c r="X1529" s="4"/>
    </row>
    <row r="1530" spans="17:24" x14ac:dyDescent="0.3">
      <c r="Q1530" s="4"/>
      <c r="R1530" s="4"/>
      <c r="S1530" s="4"/>
      <c r="T1530" s="4"/>
      <c r="U1530" s="4"/>
      <c r="V1530" s="4"/>
      <c r="W1530" s="4"/>
      <c r="X1530" s="4"/>
    </row>
    <row r="1531" spans="17:24" x14ac:dyDescent="0.3">
      <c r="Q1531" s="4"/>
      <c r="R1531" s="4"/>
      <c r="S1531" s="4"/>
      <c r="T1531" s="4"/>
      <c r="U1531" s="4"/>
      <c r="V1531" s="4"/>
      <c r="W1531" s="4"/>
      <c r="X1531" s="4"/>
    </row>
    <row r="1532" spans="17:24" x14ac:dyDescent="0.3">
      <c r="Q1532" s="4"/>
      <c r="R1532" s="4"/>
      <c r="S1532" s="4"/>
      <c r="T1532" s="4"/>
      <c r="U1532" s="4"/>
      <c r="V1532" s="4"/>
      <c r="W1532" s="4"/>
      <c r="X1532" s="4"/>
    </row>
    <row r="1533" spans="17:24" x14ac:dyDescent="0.3">
      <c r="Q1533" s="4"/>
      <c r="R1533" s="4"/>
      <c r="S1533" s="4"/>
      <c r="T1533" s="4"/>
      <c r="U1533" s="4"/>
      <c r="V1533" s="4"/>
      <c r="W1533" s="4"/>
      <c r="X1533" s="4"/>
    </row>
    <row r="1534" spans="17:24" x14ac:dyDescent="0.3">
      <c r="Q1534" s="4"/>
      <c r="R1534" s="4"/>
      <c r="S1534" s="4"/>
      <c r="T1534" s="4"/>
      <c r="U1534" s="4"/>
      <c r="V1534" s="4"/>
      <c r="W1534" s="4"/>
      <c r="X1534" s="4"/>
    </row>
    <row r="1535" spans="17:24" x14ac:dyDescent="0.3">
      <c r="Q1535" s="4"/>
      <c r="R1535" s="4"/>
      <c r="S1535" s="4"/>
      <c r="T1535" s="4"/>
      <c r="U1535" s="4"/>
      <c r="V1535" s="4"/>
      <c r="W1535" s="4"/>
      <c r="X1535" s="4"/>
    </row>
    <row r="1536" spans="17:24" x14ac:dyDescent="0.3">
      <c r="Q1536" s="4"/>
      <c r="R1536" s="4"/>
      <c r="S1536" s="4"/>
      <c r="T1536" s="4"/>
      <c r="U1536" s="4"/>
      <c r="V1536" s="4"/>
      <c r="W1536" s="4"/>
      <c r="X1536" s="4"/>
    </row>
    <row r="1537" spans="17:24" x14ac:dyDescent="0.3">
      <c r="Q1537" s="4"/>
      <c r="R1537" s="4"/>
      <c r="S1537" s="4"/>
      <c r="T1537" s="4"/>
      <c r="U1537" s="4"/>
      <c r="V1537" s="4"/>
      <c r="W1537" s="4"/>
      <c r="X1537" s="4"/>
    </row>
    <row r="1538" spans="17:24" x14ac:dyDescent="0.3">
      <c r="Q1538" s="4"/>
      <c r="R1538" s="4"/>
      <c r="S1538" s="4"/>
      <c r="T1538" s="4"/>
      <c r="U1538" s="4"/>
      <c r="V1538" s="4"/>
      <c r="W1538" s="4"/>
      <c r="X1538" s="4"/>
    </row>
    <row r="1539" spans="17:24" x14ac:dyDescent="0.3">
      <c r="Q1539" s="4"/>
      <c r="R1539" s="4"/>
      <c r="S1539" s="4"/>
      <c r="T1539" s="4"/>
      <c r="U1539" s="4"/>
      <c r="V1539" s="4"/>
      <c r="W1539" s="4"/>
      <c r="X1539" s="4"/>
    </row>
    <row r="1540" spans="17:24" x14ac:dyDescent="0.3">
      <c r="Q1540" s="4"/>
      <c r="R1540" s="4"/>
      <c r="S1540" s="4"/>
      <c r="T1540" s="4"/>
      <c r="U1540" s="4"/>
      <c r="V1540" s="4"/>
      <c r="W1540" s="4"/>
      <c r="X1540" s="4"/>
    </row>
    <row r="1541" spans="17:24" x14ac:dyDescent="0.3">
      <c r="Q1541" s="4"/>
      <c r="R1541" s="4"/>
      <c r="S1541" s="4"/>
      <c r="T1541" s="4"/>
      <c r="U1541" s="4"/>
      <c r="V1541" s="4"/>
      <c r="W1541" s="4"/>
      <c r="X1541" s="4"/>
    </row>
    <row r="1542" spans="17:24" x14ac:dyDescent="0.3">
      <c r="Q1542" s="4"/>
      <c r="R1542" s="4"/>
      <c r="S1542" s="4"/>
      <c r="T1542" s="4"/>
      <c r="U1542" s="4"/>
      <c r="V1542" s="4"/>
      <c r="W1542" s="4"/>
      <c r="X1542" s="4"/>
    </row>
    <row r="1543" spans="17:24" x14ac:dyDescent="0.3">
      <c r="Q1543" s="4"/>
      <c r="R1543" s="4"/>
      <c r="S1543" s="4"/>
      <c r="T1543" s="4"/>
      <c r="U1543" s="4"/>
      <c r="V1543" s="4"/>
      <c r="W1543" s="4"/>
      <c r="X1543" s="4"/>
    </row>
    <row r="1544" spans="17:24" x14ac:dyDescent="0.3">
      <c r="Q1544" s="4"/>
      <c r="R1544" s="4"/>
      <c r="S1544" s="4"/>
      <c r="T1544" s="4"/>
      <c r="U1544" s="4"/>
      <c r="V1544" s="4"/>
      <c r="W1544" s="4"/>
      <c r="X1544" s="4"/>
    </row>
    <row r="1545" spans="17:24" x14ac:dyDescent="0.3">
      <c r="Q1545" s="4"/>
      <c r="R1545" s="4"/>
      <c r="S1545" s="4"/>
      <c r="T1545" s="4"/>
      <c r="U1545" s="4"/>
      <c r="V1545" s="4"/>
      <c r="W1545" s="4"/>
      <c r="X1545" s="4"/>
    </row>
    <row r="1546" spans="17:24" x14ac:dyDescent="0.3">
      <c r="Q1546" s="4"/>
      <c r="R1546" s="4"/>
      <c r="S1546" s="4"/>
      <c r="T1546" s="4"/>
      <c r="U1546" s="4"/>
      <c r="V1546" s="4"/>
      <c r="W1546" s="4"/>
      <c r="X1546" s="4"/>
    </row>
    <row r="1547" spans="17:24" x14ac:dyDescent="0.3">
      <c r="Q1547" s="4"/>
      <c r="R1547" s="4"/>
      <c r="S1547" s="4"/>
      <c r="T1547" s="4"/>
      <c r="U1547" s="4"/>
      <c r="V1547" s="4"/>
      <c r="W1547" s="4"/>
      <c r="X1547" s="4"/>
    </row>
    <row r="1548" spans="17:24" x14ac:dyDescent="0.3">
      <c r="Q1548" s="4"/>
      <c r="R1548" s="4"/>
      <c r="S1548" s="4"/>
      <c r="T1548" s="4"/>
      <c r="U1548" s="4"/>
      <c r="V1548" s="4"/>
      <c r="W1548" s="4"/>
      <c r="X1548" s="4"/>
    </row>
    <row r="1549" spans="17:24" x14ac:dyDescent="0.3">
      <c r="Q1549" s="4"/>
      <c r="R1549" s="4"/>
      <c r="S1549" s="4"/>
      <c r="T1549" s="4"/>
      <c r="U1549" s="4"/>
      <c r="V1549" s="4"/>
      <c r="W1549" s="4"/>
      <c r="X1549" s="4"/>
    </row>
    <row r="1550" spans="17:24" x14ac:dyDescent="0.3">
      <c r="Q1550" s="4"/>
      <c r="R1550" s="4"/>
      <c r="S1550" s="4"/>
      <c r="T1550" s="4"/>
      <c r="U1550" s="4"/>
      <c r="V1550" s="4"/>
      <c r="W1550" s="4"/>
      <c r="X1550" s="4"/>
    </row>
    <row r="1551" spans="17:24" x14ac:dyDescent="0.3">
      <c r="Q1551" s="4"/>
      <c r="R1551" s="4"/>
      <c r="S1551" s="4"/>
      <c r="T1551" s="4"/>
      <c r="U1551" s="4"/>
      <c r="V1551" s="4"/>
      <c r="W1551" s="4"/>
      <c r="X1551" s="4"/>
    </row>
    <row r="1552" spans="17:24" x14ac:dyDescent="0.3">
      <c r="Q1552" s="4"/>
      <c r="R1552" s="4"/>
      <c r="S1552" s="4"/>
      <c r="T1552" s="4"/>
      <c r="U1552" s="4"/>
      <c r="V1552" s="4"/>
      <c r="W1552" s="4"/>
      <c r="X1552" s="4"/>
    </row>
    <row r="1553" spans="17:24" x14ac:dyDescent="0.3">
      <c r="Q1553" s="4"/>
      <c r="R1553" s="4"/>
      <c r="S1553" s="4"/>
      <c r="T1553" s="4"/>
      <c r="U1553" s="4"/>
      <c r="V1553" s="4"/>
      <c r="W1553" s="4"/>
      <c r="X1553" s="4"/>
    </row>
    <row r="1554" spans="17:24" x14ac:dyDescent="0.3">
      <c r="Q1554" s="4"/>
      <c r="R1554" s="4"/>
      <c r="S1554" s="4"/>
      <c r="T1554" s="4"/>
      <c r="U1554" s="4"/>
      <c r="V1554" s="4"/>
      <c r="W1554" s="4"/>
      <c r="X1554" s="4"/>
    </row>
    <row r="1555" spans="17:24" x14ac:dyDescent="0.3">
      <c r="Q1555" s="4"/>
      <c r="R1555" s="4"/>
      <c r="S1555" s="4"/>
      <c r="T1555" s="4"/>
      <c r="U1555" s="4"/>
      <c r="V1555" s="4"/>
      <c r="W1555" s="4"/>
      <c r="X1555" s="4"/>
    </row>
    <row r="1556" spans="17:24" x14ac:dyDescent="0.3">
      <c r="Q1556" s="4"/>
      <c r="R1556" s="4"/>
      <c r="S1556" s="4"/>
      <c r="T1556" s="4"/>
      <c r="U1556" s="4"/>
      <c r="V1556" s="4"/>
      <c r="W1556" s="4"/>
      <c r="X1556" s="4"/>
    </row>
    <row r="1557" spans="17:24" x14ac:dyDescent="0.3">
      <c r="Q1557" s="4"/>
      <c r="R1557" s="4"/>
      <c r="S1557" s="4"/>
      <c r="T1557" s="4"/>
      <c r="U1557" s="4"/>
      <c r="V1557" s="4"/>
      <c r="W1557" s="4"/>
      <c r="X1557" s="4"/>
    </row>
    <row r="1558" spans="17:24" x14ac:dyDescent="0.3">
      <c r="Q1558" s="4"/>
      <c r="R1558" s="4"/>
      <c r="S1558" s="4"/>
      <c r="T1558" s="4"/>
      <c r="U1558" s="4"/>
      <c r="V1558" s="4"/>
      <c r="W1558" s="4"/>
      <c r="X1558" s="4"/>
    </row>
    <row r="1559" spans="17:24" x14ac:dyDescent="0.3">
      <c r="Q1559" s="4"/>
      <c r="R1559" s="4"/>
      <c r="S1559" s="4"/>
      <c r="T1559" s="4"/>
      <c r="U1559" s="4"/>
      <c r="V1559" s="4"/>
      <c r="W1559" s="4"/>
      <c r="X1559" s="4"/>
    </row>
    <row r="1560" spans="17:24" x14ac:dyDescent="0.3">
      <c r="Q1560" s="4"/>
      <c r="R1560" s="4"/>
      <c r="S1560" s="4"/>
      <c r="T1560" s="4"/>
      <c r="U1560" s="4"/>
      <c r="V1560" s="4"/>
      <c r="W1560" s="4"/>
      <c r="X1560" s="4"/>
    </row>
    <row r="1561" spans="17:24" x14ac:dyDescent="0.3">
      <c r="Q1561" s="4"/>
      <c r="R1561" s="4"/>
      <c r="S1561" s="4"/>
      <c r="T1561" s="4"/>
      <c r="U1561" s="4"/>
      <c r="V1561" s="4"/>
      <c r="W1561" s="4"/>
      <c r="X1561" s="4"/>
    </row>
    <row r="1562" spans="17:24" x14ac:dyDescent="0.3">
      <c r="Q1562" s="4"/>
      <c r="R1562" s="4"/>
      <c r="S1562" s="4"/>
      <c r="T1562" s="4"/>
      <c r="U1562" s="4"/>
      <c r="V1562" s="4"/>
      <c r="W1562" s="4"/>
      <c r="X1562" s="4"/>
    </row>
    <row r="1563" spans="17:24" x14ac:dyDescent="0.3">
      <c r="Q1563" s="4"/>
      <c r="R1563" s="4"/>
      <c r="S1563" s="4"/>
      <c r="T1563" s="4"/>
      <c r="U1563" s="4"/>
      <c r="V1563" s="4"/>
      <c r="W1563" s="4"/>
      <c r="X1563" s="4"/>
    </row>
    <row r="1564" spans="17:24" x14ac:dyDescent="0.3">
      <c r="Q1564" s="4"/>
      <c r="R1564" s="4"/>
      <c r="S1564" s="4"/>
      <c r="T1564" s="4"/>
      <c r="U1564" s="4"/>
      <c r="V1564" s="4"/>
      <c r="W1564" s="4"/>
      <c r="X1564" s="4"/>
    </row>
    <row r="1565" spans="17:24" x14ac:dyDescent="0.3">
      <c r="Q1565" s="4"/>
      <c r="R1565" s="4"/>
      <c r="S1565" s="4"/>
      <c r="T1565" s="4"/>
      <c r="U1565" s="4"/>
      <c r="V1565" s="4"/>
      <c r="W1565" s="4"/>
      <c r="X1565" s="4"/>
    </row>
    <row r="1566" spans="17:24" x14ac:dyDescent="0.3">
      <c r="Q1566" s="4"/>
      <c r="R1566" s="4"/>
      <c r="S1566" s="4"/>
      <c r="T1566" s="4"/>
      <c r="U1566" s="4"/>
      <c r="V1566" s="4"/>
      <c r="W1566" s="4"/>
      <c r="X1566" s="4"/>
    </row>
    <row r="1567" spans="17:24" x14ac:dyDescent="0.3">
      <c r="Q1567" s="4"/>
      <c r="R1567" s="4"/>
      <c r="S1567" s="4"/>
      <c r="T1567" s="4"/>
      <c r="U1567" s="4"/>
      <c r="V1567" s="4"/>
      <c r="W1567" s="4"/>
      <c r="X1567" s="4"/>
    </row>
    <row r="1568" spans="17:24" x14ac:dyDescent="0.3">
      <c r="Q1568" s="4"/>
      <c r="R1568" s="4"/>
      <c r="S1568" s="4"/>
      <c r="T1568" s="4"/>
      <c r="U1568" s="4"/>
      <c r="V1568" s="4"/>
      <c r="W1568" s="4"/>
      <c r="X1568" s="4"/>
    </row>
    <row r="1569" spans="17:24" x14ac:dyDescent="0.3">
      <c r="Q1569" s="4"/>
      <c r="R1569" s="4"/>
      <c r="S1569" s="4"/>
      <c r="T1569" s="4"/>
      <c r="U1569" s="4"/>
      <c r="V1569" s="4"/>
      <c r="W1569" s="4"/>
      <c r="X1569" s="4"/>
    </row>
    <row r="1570" spans="17:24" x14ac:dyDescent="0.3">
      <c r="Q1570" s="4"/>
      <c r="R1570" s="4"/>
      <c r="S1570" s="4"/>
      <c r="T1570" s="4"/>
      <c r="U1570" s="4"/>
      <c r="V1570" s="4"/>
      <c r="W1570" s="4"/>
      <c r="X1570" s="4"/>
    </row>
    <row r="1571" spans="17:24" x14ac:dyDescent="0.3">
      <c r="Q1571" s="4"/>
      <c r="R1571" s="4"/>
      <c r="S1571" s="4"/>
      <c r="T1571" s="4"/>
      <c r="U1571" s="4"/>
      <c r="V1571" s="4"/>
      <c r="W1571" s="4"/>
      <c r="X1571" s="4"/>
    </row>
    <row r="1572" spans="17:24" x14ac:dyDescent="0.3">
      <c r="Q1572" s="4"/>
      <c r="R1572" s="4"/>
      <c r="S1572" s="4"/>
      <c r="T1572" s="4"/>
      <c r="U1572" s="4"/>
      <c r="V1572" s="4"/>
      <c r="W1572" s="4"/>
      <c r="X1572" s="4"/>
    </row>
    <row r="1573" spans="17:24" x14ac:dyDescent="0.3">
      <c r="Q1573" s="4"/>
      <c r="R1573" s="4"/>
      <c r="S1573" s="4"/>
      <c r="T1573" s="4"/>
      <c r="U1573" s="4"/>
      <c r="V1573" s="4"/>
      <c r="W1573" s="4"/>
      <c r="X1573" s="4"/>
    </row>
    <row r="1574" spans="17:24" x14ac:dyDescent="0.3">
      <c r="Q1574" s="4"/>
      <c r="R1574" s="4"/>
      <c r="S1574" s="4"/>
      <c r="T1574" s="4"/>
      <c r="U1574" s="4"/>
      <c r="V1574" s="4"/>
      <c r="W1574" s="4"/>
      <c r="X1574" s="4"/>
    </row>
    <row r="1575" spans="17:24" x14ac:dyDescent="0.3">
      <c r="Q1575" s="4"/>
      <c r="R1575" s="4"/>
      <c r="S1575" s="4"/>
      <c r="T1575" s="4"/>
      <c r="U1575" s="4"/>
      <c r="V1575" s="4"/>
      <c r="W1575" s="4"/>
      <c r="X1575" s="4"/>
    </row>
    <row r="1576" spans="17:24" x14ac:dyDescent="0.3">
      <c r="Q1576" s="4"/>
      <c r="R1576" s="4"/>
      <c r="S1576" s="4"/>
      <c r="T1576" s="4"/>
      <c r="U1576" s="4"/>
      <c r="V1576" s="4"/>
      <c r="W1576" s="4"/>
      <c r="X1576" s="4"/>
    </row>
    <row r="1577" spans="17:24" x14ac:dyDescent="0.3">
      <c r="Q1577" s="4"/>
      <c r="R1577" s="4"/>
      <c r="S1577" s="4"/>
      <c r="T1577" s="4"/>
      <c r="U1577" s="4"/>
      <c r="V1577" s="4"/>
      <c r="W1577" s="4"/>
      <c r="X1577" s="4"/>
    </row>
    <row r="1578" spans="17:24" x14ac:dyDescent="0.3">
      <c r="Q1578" s="4"/>
      <c r="R1578" s="4"/>
      <c r="S1578" s="4"/>
      <c r="T1578" s="4"/>
      <c r="U1578" s="4"/>
      <c r="V1578" s="4"/>
      <c r="W1578" s="4"/>
      <c r="X1578" s="4"/>
    </row>
    <row r="1579" spans="17:24" x14ac:dyDescent="0.3">
      <c r="Q1579" s="4"/>
      <c r="R1579" s="4"/>
      <c r="S1579" s="4"/>
      <c r="T1579" s="4"/>
      <c r="U1579" s="4"/>
      <c r="V1579" s="4"/>
      <c r="W1579" s="4"/>
      <c r="X1579" s="4"/>
    </row>
    <row r="1580" spans="17:24" x14ac:dyDescent="0.3">
      <c r="Q1580" s="4"/>
      <c r="R1580" s="4"/>
      <c r="S1580" s="4"/>
      <c r="T1580" s="4"/>
      <c r="U1580" s="4"/>
      <c r="V1580" s="4"/>
      <c r="W1580" s="4"/>
      <c r="X1580" s="4"/>
    </row>
    <row r="1581" spans="17:24" x14ac:dyDescent="0.3">
      <c r="Q1581" s="4"/>
      <c r="R1581" s="4"/>
      <c r="S1581" s="4"/>
      <c r="T1581" s="4"/>
      <c r="U1581" s="4"/>
      <c r="V1581" s="4"/>
      <c r="W1581" s="4"/>
      <c r="X1581" s="4"/>
    </row>
    <row r="1582" spans="17:24" x14ac:dyDescent="0.3">
      <c r="Q1582" s="4"/>
      <c r="R1582" s="4"/>
      <c r="S1582" s="4"/>
      <c r="T1582" s="4"/>
      <c r="U1582" s="4"/>
      <c r="V1582" s="4"/>
      <c r="W1582" s="4"/>
      <c r="X1582" s="4"/>
    </row>
    <row r="1583" spans="17:24" x14ac:dyDescent="0.3">
      <c r="Q1583" s="4"/>
      <c r="R1583" s="4"/>
      <c r="S1583" s="4"/>
      <c r="T1583" s="4"/>
      <c r="U1583" s="4"/>
      <c r="V1583" s="4"/>
      <c r="W1583" s="4"/>
      <c r="X1583" s="4"/>
    </row>
    <row r="1584" spans="17:24" x14ac:dyDescent="0.3">
      <c r="Q1584" s="4"/>
      <c r="R1584" s="4"/>
      <c r="S1584" s="4"/>
      <c r="T1584" s="4"/>
      <c r="U1584" s="4"/>
      <c r="V1584" s="4"/>
      <c r="W1584" s="4"/>
      <c r="X1584" s="4"/>
    </row>
    <row r="1585" spans="17:24" x14ac:dyDescent="0.3">
      <c r="Q1585" s="4"/>
      <c r="R1585" s="4"/>
      <c r="S1585" s="4"/>
      <c r="T1585" s="4"/>
      <c r="U1585" s="4"/>
      <c r="V1585" s="4"/>
      <c r="W1585" s="4"/>
      <c r="X1585" s="4"/>
    </row>
    <row r="1586" spans="17:24" x14ac:dyDescent="0.3">
      <c r="Q1586" s="4"/>
      <c r="R1586" s="4"/>
      <c r="S1586" s="4"/>
      <c r="T1586" s="4"/>
      <c r="U1586" s="4"/>
      <c r="V1586" s="4"/>
      <c r="W1586" s="4"/>
      <c r="X1586" s="4"/>
    </row>
    <row r="1587" spans="17:24" x14ac:dyDescent="0.3">
      <c r="Q1587" s="4"/>
      <c r="R1587" s="4"/>
      <c r="S1587" s="4"/>
      <c r="T1587" s="4"/>
      <c r="U1587" s="4"/>
      <c r="V1587" s="4"/>
      <c r="W1587" s="4"/>
      <c r="X1587" s="4"/>
    </row>
    <row r="1588" spans="17:24" x14ac:dyDescent="0.3">
      <c r="Q1588" s="4"/>
      <c r="R1588" s="4"/>
      <c r="S1588" s="4"/>
      <c r="T1588" s="4"/>
      <c r="U1588" s="4"/>
      <c r="V1588" s="4"/>
      <c r="W1588" s="4"/>
      <c r="X1588" s="4"/>
    </row>
    <row r="1589" spans="17:24" x14ac:dyDescent="0.3">
      <c r="Q1589" s="4"/>
      <c r="R1589" s="4"/>
      <c r="S1589" s="4"/>
      <c r="T1589" s="4"/>
      <c r="U1589" s="4"/>
      <c r="V1589" s="4"/>
      <c r="W1589" s="4"/>
      <c r="X1589" s="4"/>
    </row>
    <row r="1590" spans="17:24" x14ac:dyDescent="0.3">
      <c r="Q1590" s="4"/>
      <c r="R1590" s="4"/>
      <c r="S1590" s="4"/>
      <c r="T1590" s="4"/>
      <c r="U1590" s="4"/>
      <c r="V1590" s="4"/>
      <c r="W1590" s="4"/>
      <c r="X1590" s="4"/>
    </row>
    <row r="1591" spans="17:24" x14ac:dyDescent="0.3">
      <c r="Q1591" s="4"/>
      <c r="R1591" s="4"/>
      <c r="S1591" s="4"/>
      <c r="T1591" s="4"/>
      <c r="U1591" s="4"/>
      <c r="V1591" s="4"/>
      <c r="W1591" s="4"/>
      <c r="X1591" s="4"/>
    </row>
    <row r="1592" spans="17:24" x14ac:dyDescent="0.3">
      <c r="Q1592" s="4"/>
      <c r="R1592" s="4"/>
      <c r="S1592" s="4"/>
      <c r="T1592" s="4"/>
      <c r="U1592" s="4"/>
      <c r="V1592" s="4"/>
      <c r="W1592" s="4"/>
      <c r="X1592" s="4"/>
    </row>
    <row r="1593" spans="17:24" x14ac:dyDescent="0.3">
      <c r="Q1593" s="4"/>
      <c r="R1593" s="4"/>
      <c r="S1593" s="4"/>
      <c r="T1593" s="4"/>
      <c r="U1593" s="4"/>
      <c r="V1593" s="4"/>
      <c r="W1593" s="4"/>
      <c r="X1593" s="4"/>
    </row>
    <row r="1594" spans="17:24" x14ac:dyDescent="0.3">
      <c r="Q1594" s="4"/>
      <c r="R1594" s="4"/>
      <c r="S1594" s="4"/>
      <c r="T1594" s="4"/>
      <c r="U1594" s="4"/>
      <c r="V1594" s="4"/>
      <c r="W1594" s="4"/>
      <c r="X1594" s="4"/>
    </row>
    <row r="1595" spans="17:24" x14ac:dyDescent="0.3">
      <c r="Q1595" s="4"/>
      <c r="R1595" s="4"/>
      <c r="S1595" s="4"/>
      <c r="T1595" s="4"/>
      <c r="U1595" s="4"/>
      <c r="V1595" s="4"/>
      <c r="W1595" s="4"/>
      <c r="X1595" s="4"/>
    </row>
    <row r="1596" spans="17:24" x14ac:dyDescent="0.3">
      <c r="Q1596" s="4"/>
      <c r="R1596" s="4"/>
      <c r="S1596" s="4"/>
      <c r="T1596" s="4"/>
      <c r="U1596" s="4"/>
      <c r="V1596" s="4"/>
      <c r="W1596" s="4"/>
      <c r="X1596" s="4"/>
    </row>
    <row r="1597" spans="17:24" x14ac:dyDescent="0.3">
      <c r="Q1597" s="4"/>
      <c r="R1597" s="4"/>
      <c r="S1597" s="4"/>
      <c r="T1597" s="4"/>
      <c r="U1597" s="4"/>
      <c r="V1597" s="4"/>
      <c r="W1597" s="4"/>
      <c r="X1597" s="4"/>
    </row>
    <row r="1598" spans="17:24" x14ac:dyDescent="0.3">
      <c r="Q1598" s="4"/>
      <c r="R1598" s="4"/>
      <c r="S1598" s="4"/>
      <c r="T1598" s="4"/>
      <c r="U1598" s="4"/>
      <c r="V1598" s="4"/>
      <c r="W1598" s="4"/>
      <c r="X1598" s="4"/>
    </row>
    <row r="1599" spans="17:24" x14ac:dyDescent="0.3">
      <c r="Q1599" s="4"/>
      <c r="R1599" s="4"/>
      <c r="S1599" s="4"/>
      <c r="T1599" s="4"/>
      <c r="U1599" s="4"/>
      <c r="V1599" s="4"/>
      <c r="W1599" s="4"/>
      <c r="X1599" s="4"/>
    </row>
    <row r="1600" spans="17:24" x14ac:dyDescent="0.3">
      <c r="Q1600" s="4"/>
      <c r="R1600" s="4"/>
      <c r="S1600" s="4"/>
      <c r="T1600" s="4"/>
      <c r="U1600" s="4"/>
      <c r="V1600" s="4"/>
      <c r="W1600" s="4"/>
      <c r="X1600" s="4"/>
    </row>
    <row r="1601" spans="17:24" x14ac:dyDescent="0.3">
      <c r="Q1601" s="4"/>
      <c r="R1601" s="4"/>
      <c r="S1601" s="4"/>
      <c r="T1601" s="4"/>
      <c r="U1601" s="4"/>
      <c r="V1601" s="4"/>
      <c r="W1601" s="4"/>
      <c r="X1601" s="4"/>
    </row>
    <row r="1602" spans="17:24" x14ac:dyDescent="0.3">
      <c r="Q1602" s="4"/>
      <c r="R1602" s="4"/>
      <c r="S1602" s="4"/>
      <c r="T1602" s="4"/>
      <c r="U1602" s="4"/>
      <c r="V1602" s="4"/>
      <c r="W1602" s="4"/>
      <c r="X1602" s="4"/>
    </row>
    <row r="1603" spans="17:24" x14ac:dyDescent="0.3">
      <c r="Q1603" s="4"/>
      <c r="R1603" s="4"/>
      <c r="S1603" s="4"/>
      <c r="T1603" s="4"/>
      <c r="U1603" s="4"/>
      <c r="V1603" s="4"/>
      <c r="W1603" s="4"/>
      <c r="X1603" s="4"/>
    </row>
    <row r="1604" spans="17:24" x14ac:dyDescent="0.3">
      <c r="Q1604" s="4"/>
      <c r="R1604" s="4"/>
      <c r="S1604" s="4"/>
      <c r="T1604" s="4"/>
      <c r="U1604" s="4"/>
      <c r="V1604" s="4"/>
      <c r="W1604" s="4"/>
      <c r="X1604" s="4"/>
    </row>
    <row r="1605" spans="17:24" x14ac:dyDescent="0.3">
      <c r="Q1605" s="4"/>
      <c r="R1605" s="4"/>
      <c r="S1605" s="4"/>
      <c r="T1605" s="4"/>
      <c r="U1605" s="4"/>
      <c r="V1605" s="4"/>
      <c r="W1605" s="4"/>
      <c r="X1605" s="4"/>
    </row>
    <row r="1606" spans="17:24" x14ac:dyDescent="0.3">
      <c r="Q1606" s="4"/>
      <c r="R1606" s="4"/>
      <c r="S1606" s="4"/>
      <c r="T1606" s="4"/>
      <c r="U1606" s="4"/>
      <c r="V1606" s="4"/>
      <c r="W1606" s="4"/>
      <c r="X1606" s="4"/>
    </row>
    <row r="1607" spans="17:24" x14ac:dyDescent="0.3">
      <c r="Q1607" s="4"/>
      <c r="R1607" s="4"/>
      <c r="S1607" s="4"/>
      <c r="T1607" s="4"/>
      <c r="U1607" s="4"/>
      <c r="V1607" s="4"/>
      <c r="W1607" s="4"/>
      <c r="X1607" s="4"/>
    </row>
    <row r="1608" spans="17:24" x14ac:dyDescent="0.3">
      <c r="Q1608" s="4"/>
      <c r="R1608" s="4"/>
      <c r="S1608" s="4"/>
      <c r="T1608" s="4"/>
      <c r="U1608" s="4"/>
      <c r="V1608" s="4"/>
      <c r="W1608" s="4"/>
      <c r="X1608" s="4"/>
    </row>
    <row r="1609" spans="17:24" x14ac:dyDescent="0.3">
      <c r="Q1609" s="4"/>
      <c r="R1609" s="4"/>
      <c r="S1609" s="4"/>
      <c r="T1609" s="4"/>
      <c r="U1609" s="4"/>
      <c r="V1609" s="4"/>
      <c r="W1609" s="4"/>
      <c r="X1609" s="4"/>
    </row>
    <row r="1610" spans="17:24" x14ac:dyDescent="0.3">
      <c r="Q1610" s="4"/>
      <c r="R1610" s="4"/>
      <c r="S1610" s="4"/>
      <c r="T1610" s="4"/>
      <c r="U1610" s="4"/>
      <c r="V1610" s="4"/>
      <c r="W1610" s="4"/>
      <c r="X1610" s="4"/>
    </row>
    <row r="1611" spans="17:24" x14ac:dyDescent="0.3">
      <c r="Q1611" s="4"/>
      <c r="R1611" s="4"/>
      <c r="S1611" s="4"/>
      <c r="T1611" s="4"/>
      <c r="U1611" s="4"/>
      <c r="V1611" s="4"/>
      <c r="W1611" s="4"/>
      <c r="X1611" s="4"/>
    </row>
    <row r="1612" spans="17:24" x14ac:dyDescent="0.3">
      <c r="Q1612" s="4"/>
      <c r="R1612" s="4"/>
      <c r="S1612" s="4"/>
      <c r="T1612" s="4"/>
      <c r="U1612" s="4"/>
      <c r="V1612" s="4"/>
      <c r="W1612" s="4"/>
      <c r="X1612" s="4"/>
    </row>
    <row r="1613" spans="17:24" x14ac:dyDescent="0.3">
      <c r="Q1613" s="4"/>
      <c r="R1613" s="4"/>
      <c r="S1613" s="4"/>
      <c r="T1613" s="4"/>
      <c r="U1613" s="4"/>
      <c r="V1613" s="4"/>
      <c r="W1613" s="4"/>
      <c r="X1613" s="4"/>
    </row>
    <row r="1614" spans="17:24" x14ac:dyDescent="0.3">
      <c r="Q1614" s="4"/>
      <c r="R1614" s="4"/>
      <c r="S1614" s="4"/>
      <c r="T1614" s="4"/>
      <c r="U1614" s="4"/>
      <c r="V1614" s="4"/>
      <c r="W1614" s="4"/>
      <c r="X1614" s="4"/>
    </row>
    <row r="1615" spans="17:24" x14ac:dyDescent="0.3">
      <c r="Q1615" s="4"/>
      <c r="R1615" s="4"/>
      <c r="S1615" s="4"/>
      <c r="T1615" s="4"/>
      <c r="U1615" s="4"/>
      <c r="V1615" s="4"/>
      <c r="W1615" s="4"/>
      <c r="X1615" s="4"/>
    </row>
    <row r="1616" spans="17:24" x14ac:dyDescent="0.3">
      <c r="Q1616" s="4"/>
      <c r="R1616" s="4"/>
      <c r="S1616" s="4"/>
      <c r="T1616" s="4"/>
      <c r="U1616" s="4"/>
      <c r="V1616" s="4"/>
      <c r="W1616" s="4"/>
      <c r="X1616" s="4"/>
    </row>
    <row r="1617" spans="17:24" x14ac:dyDescent="0.3">
      <c r="Q1617" s="4"/>
      <c r="R1617" s="4"/>
      <c r="S1617" s="4"/>
      <c r="T1617" s="4"/>
      <c r="U1617" s="4"/>
      <c r="V1617" s="4"/>
      <c r="W1617" s="4"/>
      <c r="X1617" s="4"/>
    </row>
    <row r="1618" spans="17:24" x14ac:dyDescent="0.3">
      <c r="Q1618" s="4"/>
      <c r="R1618" s="4"/>
      <c r="S1618" s="4"/>
      <c r="T1618" s="4"/>
      <c r="U1618" s="4"/>
      <c r="V1618" s="4"/>
      <c r="W1618" s="4"/>
      <c r="X1618" s="4"/>
    </row>
    <row r="1619" spans="17:24" x14ac:dyDescent="0.3">
      <c r="Q1619" s="4"/>
      <c r="R1619" s="4"/>
      <c r="S1619" s="4"/>
      <c r="T1619" s="4"/>
      <c r="U1619" s="4"/>
      <c r="V1619" s="4"/>
      <c r="W1619" s="4"/>
      <c r="X1619" s="4"/>
    </row>
    <row r="1620" spans="17:24" x14ac:dyDescent="0.3">
      <c r="Q1620" s="4"/>
      <c r="R1620" s="4"/>
      <c r="S1620" s="4"/>
      <c r="T1620" s="4"/>
      <c r="U1620" s="4"/>
      <c r="V1620" s="4"/>
      <c r="W1620" s="4"/>
      <c r="X1620" s="4"/>
    </row>
    <row r="1621" spans="17:24" x14ac:dyDescent="0.3">
      <c r="Q1621" s="4"/>
      <c r="R1621" s="4"/>
      <c r="S1621" s="4"/>
      <c r="T1621" s="4"/>
      <c r="U1621" s="4"/>
      <c r="V1621" s="4"/>
      <c r="W1621" s="4"/>
      <c r="X1621" s="4"/>
    </row>
    <row r="1622" spans="17:24" x14ac:dyDescent="0.3">
      <c r="Q1622" s="4"/>
      <c r="R1622" s="4"/>
      <c r="S1622" s="4"/>
      <c r="T1622" s="4"/>
      <c r="U1622" s="4"/>
      <c r="V1622" s="4"/>
      <c r="W1622" s="4"/>
      <c r="X1622" s="4"/>
    </row>
    <row r="1623" spans="17:24" x14ac:dyDescent="0.3">
      <c r="Q1623" s="4"/>
      <c r="R1623" s="4"/>
      <c r="S1623" s="4"/>
      <c r="T1623" s="4"/>
      <c r="U1623" s="4"/>
      <c r="V1623" s="4"/>
      <c r="W1623" s="4"/>
      <c r="X1623" s="4"/>
    </row>
    <row r="1624" spans="17:24" x14ac:dyDescent="0.3">
      <c r="Q1624" s="4"/>
      <c r="R1624" s="4"/>
      <c r="S1624" s="4"/>
      <c r="T1624" s="4"/>
      <c r="U1624" s="4"/>
      <c r="V1624" s="4"/>
      <c r="W1624" s="4"/>
      <c r="X1624" s="4"/>
    </row>
    <row r="1625" spans="17:24" x14ac:dyDescent="0.3">
      <c r="Q1625" s="4"/>
      <c r="R1625" s="4"/>
      <c r="S1625" s="4"/>
      <c r="T1625" s="4"/>
      <c r="U1625" s="4"/>
      <c r="V1625" s="4"/>
      <c r="W1625" s="4"/>
      <c r="X1625" s="4"/>
    </row>
    <row r="1626" spans="17:24" x14ac:dyDescent="0.3">
      <c r="Q1626" s="4"/>
      <c r="R1626" s="4"/>
      <c r="S1626" s="4"/>
      <c r="T1626" s="4"/>
      <c r="U1626" s="4"/>
      <c r="V1626" s="4"/>
      <c r="W1626" s="4"/>
      <c r="X1626" s="4"/>
    </row>
    <row r="1627" spans="17:24" x14ac:dyDescent="0.3">
      <c r="Q1627" s="4"/>
      <c r="R1627" s="4"/>
      <c r="S1627" s="4"/>
      <c r="T1627" s="4"/>
      <c r="U1627" s="4"/>
      <c r="V1627" s="4"/>
      <c r="W1627" s="4"/>
      <c r="X1627" s="4"/>
    </row>
    <row r="1628" spans="17:24" x14ac:dyDescent="0.3">
      <c r="Q1628" s="4"/>
      <c r="R1628" s="4"/>
      <c r="S1628" s="4"/>
      <c r="T1628" s="4"/>
      <c r="U1628" s="4"/>
      <c r="V1628" s="4"/>
      <c r="W1628" s="4"/>
      <c r="X1628" s="4"/>
    </row>
    <row r="1629" spans="17:24" x14ac:dyDescent="0.3">
      <c r="Q1629" s="4"/>
      <c r="R1629" s="4"/>
      <c r="S1629" s="4"/>
      <c r="T1629" s="4"/>
      <c r="U1629" s="4"/>
      <c r="V1629" s="4"/>
      <c r="W1629" s="4"/>
      <c r="X1629" s="4"/>
    </row>
    <row r="1630" spans="17:24" x14ac:dyDescent="0.3">
      <c r="Q1630" s="4"/>
      <c r="R1630" s="4"/>
      <c r="S1630" s="4"/>
      <c r="T1630" s="4"/>
      <c r="U1630" s="4"/>
      <c r="V1630" s="4"/>
      <c r="W1630" s="4"/>
      <c r="X1630" s="4"/>
    </row>
    <row r="1631" spans="17:24" x14ac:dyDescent="0.3">
      <c r="Q1631" s="4"/>
      <c r="R1631" s="4"/>
      <c r="S1631" s="4"/>
      <c r="T1631" s="4"/>
      <c r="U1631" s="4"/>
      <c r="V1631" s="4"/>
      <c r="W1631" s="4"/>
      <c r="X1631" s="4"/>
    </row>
    <row r="1632" spans="17:24" x14ac:dyDescent="0.3">
      <c r="Q1632" s="4"/>
      <c r="R1632" s="4"/>
      <c r="S1632" s="4"/>
      <c r="T1632" s="4"/>
      <c r="U1632" s="4"/>
      <c r="V1632" s="4"/>
      <c r="W1632" s="4"/>
      <c r="X1632" s="4"/>
    </row>
    <row r="1633" spans="17:24" x14ac:dyDescent="0.3">
      <c r="Q1633" s="4"/>
      <c r="R1633" s="4"/>
      <c r="S1633" s="4"/>
      <c r="T1633" s="4"/>
      <c r="U1633" s="4"/>
      <c r="V1633" s="4"/>
      <c r="W1633" s="4"/>
      <c r="X1633" s="4"/>
    </row>
    <row r="1634" spans="17:24" x14ac:dyDescent="0.3">
      <c r="Q1634" s="4"/>
      <c r="R1634" s="4"/>
      <c r="S1634" s="4"/>
      <c r="T1634" s="4"/>
      <c r="U1634" s="4"/>
      <c r="V1634" s="4"/>
      <c r="W1634" s="4"/>
      <c r="X1634" s="4"/>
    </row>
    <row r="1635" spans="17:24" x14ac:dyDescent="0.3">
      <c r="Q1635" s="4"/>
      <c r="R1635" s="4"/>
      <c r="S1635" s="4"/>
      <c r="T1635" s="4"/>
      <c r="U1635" s="4"/>
      <c r="V1635" s="4"/>
      <c r="W1635" s="4"/>
      <c r="X1635" s="4"/>
    </row>
    <row r="1636" spans="17:24" x14ac:dyDescent="0.3">
      <c r="Q1636" s="4"/>
      <c r="R1636" s="4"/>
      <c r="S1636" s="4"/>
      <c r="T1636" s="4"/>
      <c r="U1636" s="4"/>
      <c r="V1636" s="4"/>
      <c r="W1636" s="4"/>
      <c r="X1636" s="4"/>
    </row>
    <row r="1637" spans="17:24" x14ac:dyDescent="0.3">
      <c r="Q1637" s="4"/>
      <c r="R1637" s="4"/>
      <c r="S1637" s="4"/>
      <c r="T1637" s="4"/>
      <c r="U1637" s="4"/>
      <c r="V1637" s="4"/>
      <c r="W1637" s="4"/>
      <c r="X1637" s="4"/>
    </row>
    <row r="1638" spans="17:24" x14ac:dyDescent="0.3">
      <c r="Q1638" s="4"/>
      <c r="R1638" s="4"/>
      <c r="S1638" s="4"/>
      <c r="T1638" s="4"/>
      <c r="U1638" s="4"/>
      <c r="V1638" s="4"/>
      <c r="W1638" s="4"/>
      <c r="X1638" s="4"/>
    </row>
    <row r="1639" spans="17:24" x14ac:dyDescent="0.3">
      <c r="Q1639" s="4"/>
      <c r="R1639" s="4"/>
      <c r="S1639" s="4"/>
      <c r="T1639" s="4"/>
      <c r="U1639" s="4"/>
      <c r="V1639" s="4"/>
      <c r="W1639" s="4"/>
      <c r="X1639" s="4"/>
    </row>
    <row r="1640" spans="17:24" x14ac:dyDescent="0.3">
      <c r="Q1640" s="4"/>
      <c r="R1640" s="4"/>
      <c r="S1640" s="4"/>
      <c r="T1640" s="4"/>
      <c r="U1640" s="4"/>
      <c r="V1640" s="4"/>
      <c r="W1640" s="4"/>
      <c r="X1640" s="4"/>
    </row>
    <row r="1641" spans="17:24" x14ac:dyDescent="0.3">
      <c r="Q1641" s="4"/>
      <c r="R1641" s="4"/>
      <c r="S1641" s="4"/>
      <c r="T1641" s="4"/>
      <c r="U1641" s="4"/>
      <c r="V1641" s="4"/>
      <c r="W1641" s="4"/>
      <c r="X1641" s="4"/>
    </row>
    <row r="1642" spans="17:24" x14ac:dyDescent="0.3">
      <c r="Q1642" s="4"/>
      <c r="R1642" s="4"/>
      <c r="S1642" s="4"/>
      <c r="T1642" s="4"/>
      <c r="U1642" s="4"/>
      <c r="V1642" s="4"/>
      <c r="W1642" s="4"/>
      <c r="X1642" s="4"/>
    </row>
    <row r="1643" spans="17:24" x14ac:dyDescent="0.3">
      <c r="Q1643" s="4"/>
      <c r="R1643" s="4"/>
      <c r="S1643" s="4"/>
      <c r="T1643" s="4"/>
      <c r="U1643" s="4"/>
      <c r="V1643" s="4"/>
      <c r="W1643" s="4"/>
      <c r="X1643" s="4"/>
    </row>
    <row r="1644" spans="17:24" x14ac:dyDescent="0.3">
      <c r="Q1644" s="4"/>
      <c r="R1644" s="4"/>
      <c r="S1644" s="4"/>
      <c r="T1644" s="4"/>
      <c r="U1644" s="4"/>
      <c r="V1644" s="4"/>
      <c r="W1644" s="4"/>
      <c r="X1644" s="4"/>
    </row>
    <row r="1645" spans="17:24" x14ac:dyDescent="0.3">
      <c r="Q1645" s="4"/>
      <c r="R1645" s="4"/>
      <c r="S1645" s="4"/>
      <c r="T1645" s="4"/>
      <c r="U1645" s="4"/>
      <c r="V1645" s="4"/>
      <c r="W1645" s="4"/>
      <c r="X1645" s="4"/>
    </row>
    <row r="1646" spans="17:24" x14ac:dyDescent="0.3">
      <c r="Q1646" s="4"/>
      <c r="R1646" s="4"/>
      <c r="S1646" s="4"/>
      <c r="T1646" s="4"/>
      <c r="U1646" s="4"/>
      <c r="V1646" s="4"/>
      <c r="W1646" s="4"/>
      <c r="X1646" s="4"/>
    </row>
    <row r="1647" spans="17:24" x14ac:dyDescent="0.3">
      <c r="Q1647" s="4"/>
      <c r="R1647" s="4"/>
      <c r="S1647" s="4"/>
      <c r="T1647" s="4"/>
      <c r="U1647" s="4"/>
      <c r="V1647" s="4"/>
      <c r="W1647" s="4"/>
      <c r="X1647" s="4"/>
    </row>
    <row r="1648" spans="17:24" x14ac:dyDescent="0.3">
      <c r="Q1648" s="4"/>
      <c r="R1648" s="4"/>
      <c r="S1648" s="4"/>
      <c r="T1648" s="4"/>
      <c r="U1648" s="4"/>
      <c r="V1648" s="4"/>
      <c r="W1648" s="4"/>
      <c r="X1648" s="4"/>
    </row>
    <row r="1649" spans="17:24" x14ac:dyDescent="0.3">
      <c r="Q1649" s="4"/>
      <c r="R1649" s="4"/>
      <c r="S1649" s="4"/>
      <c r="T1649" s="4"/>
      <c r="U1649" s="4"/>
      <c r="V1649" s="4"/>
      <c r="W1649" s="4"/>
      <c r="X1649" s="4"/>
    </row>
    <row r="1650" spans="17:24" x14ac:dyDescent="0.3">
      <c r="Q1650" s="4"/>
      <c r="R1650" s="4"/>
      <c r="S1650" s="4"/>
      <c r="T1650" s="4"/>
      <c r="U1650" s="4"/>
      <c r="V1650" s="4"/>
      <c r="W1650" s="4"/>
      <c r="X1650" s="4"/>
    </row>
    <row r="1651" spans="17:24" x14ac:dyDescent="0.3">
      <c r="Q1651" s="4"/>
      <c r="R1651" s="4"/>
      <c r="S1651" s="4"/>
      <c r="T1651" s="4"/>
      <c r="U1651" s="4"/>
      <c r="V1651" s="4"/>
      <c r="W1651" s="4"/>
      <c r="X1651" s="4"/>
    </row>
    <row r="1652" spans="17:24" x14ac:dyDescent="0.3">
      <c r="Q1652" s="4"/>
      <c r="R1652" s="4"/>
      <c r="S1652" s="4"/>
      <c r="T1652" s="4"/>
      <c r="U1652" s="4"/>
      <c r="V1652" s="4"/>
      <c r="W1652" s="4"/>
      <c r="X1652" s="4"/>
    </row>
    <row r="1653" spans="17:24" x14ac:dyDescent="0.3">
      <c r="Q1653" s="4"/>
      <c r="R1653" s="4"/>
      <c r="S1653" s="4"/>
      <c r="T1653" s="4"/>
      <c r="U1653" s="4"/>
      <c r="V1653" s="4"/>
      <c r="W1653" s="4"/>
      <c r="X1653" s="4"/>
    </row>
    <row r="1654" spans="17:24" x14ac:dyDescent="0.3">
      <c r="Q1654" s="4"/>
      <c r="R1654" s="4"/>
      <c r="S1654" s="4"/>
      <c r="T1654" s="4"/>
      <c r="U1654" s="4"/>
      <c r="V1654" s="4"/>
      <c r="W1654" s="4"/>
      <c r="X1654" s="4"/>
    </row>
    <row r="1655" spans="17:24" x14ac:dyDescent="0.3">
      <c r="Q1655" s="4"/>
      <c r="R1655" s="4"/>
      <c r="S1655" s="4"/>
      <c r="T1655" s="4"/>
      <c r="U1655" s="4"/>
      <c r="V1655" s="4"/>
      <c r="W1655" s="4"/>
      <c r="X1655" s="4"/>
    </row>
    <row r="1656" spans="17:24" x14ac:dyDescent="0.3">
      <c r="Q1656" s="4"/>
      <c r="R1656" s="4"/>
      <c r="S1656" s="4"/>
      <c r="T1656" s="4"/>
      <c r="U1656" s="4"/>
      <c r="V1656" s="4"/>
      <c r="W1656" s="4"/>
      <c r="X1656" s="4"/>
    </row>
    <row r="1657" spans="17:24" x14ac:dyDescent="0.3">
      <c r="Q1657" s="4"/>
      <c r="R1657" s="4"/>
      <c r="S1657" s="4"/>
      <c r="T1657" s="4"/>
      <c r="U1657" s="4"/>
      <c r="V1657" s="4"/>
      <c r="W1657" s="4"/>
      <c r="X1657" s="4"/>
    </row>
    <row r="1658" spans="17:24" x14ac:dyDescent="0.3">
      <c r="Q1658" s="4"/>
      <c r="R1658" s="4"/>
      <c r="S1658" s="4"/>
      <c r="T1658" s="4"/>
      <c r="U1658" s="4"/>
      <c r="V1658" s="4"/>
      <c r="W1658" s="4"/>
      <c r="X1658" s="4"/>
    </row>
    <row r="1659" spans="17:24" x14ac:dyDescent="0.3">
      <c r="Q1659" s="4"/>
      <c r="R1659" s="4"/>
      <c r="S1659" s="4"/>
      <c r="T1659" s="4"/>
      <c r="U1659" s="4"/>
      <c r="V1659" s="4"/>
      <c r="W1659" s="4"/>
      <c r="X1659" s="4"/>
    </row>
    <row r="1660" spans="17:24" x14ac:dyDescent="0.3">
      <c r="Q1660" s="4"/>
      <c r="R1660" s="4"/>
      <c r="S1660" s="4"/>
      <c r="T1660" s="4"/>
      <c r="U1660" s="4"/>
      <c r="V1660" s="4"/>
      <c r="W1660" s="4"/>
      <c r="X1660" s="4"/>
    </row>
    <row r="1661" spans="17:24" x14ac:dyDescent="0.3">
      <c r="Q1661" s="4"/>
      <c r="R1661" s="4"/>
      <c r="S1661" s="4"/>
      <c r="T1661" s="4"/>
      <c r="U1661" s="4"/>
      <c r="V1661" s="4"/>
      <c r="W1661" s="4"/>
      <c r="X1661" s="4"/>
    </row>
    <row r="1662" spans="17:24" x14ac:dyDescent="0.3">
      <c r="Q1662" s="4"/>
      <c r="R1662" s="4"/>
      <c r="S1662" s="4"/>
      <c r="T1662" s="4"/>
      <c r="U1662" s="4"/>
      <c r="V1662" s="4"/>
      <c r="W1662" s="4"/>
      <c r="X1662" s="4"/>
    </row>
    <row r="1663" spans="17:24" x14ac:dyDescent="0.3">
      <c r="Q1663" s="4"/>
      <c r="R1663" s="4"/>
      <c r="S1663" s="4"/>
      <c r="T1663" s="4"/>
      <c r="U1663" s="4"/>
      <c r="V1663" s="4"/>
      <c r="W1663" s="4"/>
      <c r="X1663" s="4"/>
    </row>
    <row r="1664" spans="17:24" x14ac:dyDescent="0.3">
      <c r="Q1664" s="4"/>
      <c r="R1664" s="4"/>
      <c r="S1664" s="4"/>
      <c r="T1664" s="4"/>
      <c r="U1664" s="4"/>
      <c r="V1664" s="4"/>
      <c r="W1664" s="4"/>
      <c r="X1664" s="4"/>
    </row>
    <row r="1665" spans="17:24" x14ac:dyDescent="0.3">
      <c r="Q1665" s="4"/>
      <c r="R1665" s="4"/>
      <c r="S1665" s="4"/>
      <c r="T1665" s="4"/>
      <c r="U1665" s="4"/>
      <c r="V1665" s="4"/>
      <c r="W1665" s="4"/>
      <c r="X1665" s="4"/>
    </row>
    <row r="1666" spans="17:24" x14ac:dyDescent="0.3">
      <c r="Q1666" s="4"/>
      <c r="R1666" s="4"/>
      <c r="S1666" s="4"/>
      <c r="T1666" s="4"/>
      <c r="U1666" s="4"/>
      <c r="V1666" s="4"/>
      <c r="W1666" s="4"/>
      <c r="X1666" s="4"/>
    </row>
    <row r="1667" spans="17:24" x14ac:dyDescent="0.3">
      <c r="Q1667" s="4"/>
      <c r="R1667" s="4"/>
      <c r="S1667" s="4"/>
      <c r="T1667" s="4"/>
      <c r="U1667" s="4"/>
      <c r="V1667" s="4"/>
      <c r="W1667" s="4"/>
      <c r="X1667" s="4"/>
    </row>
    <row r="1668" spans="17:24" x14ac:dyDescent="0.3">
      <c r="Q1668" s="4"/>
      <c r="R1668" s="4"/>
      <c r="S1668" s="4"/>
      <c r="T1668" s="4"/>
      <c r="U1668" s="4"/>
      <c r="V1668" s="4"/>
      <c r="W1668" s="4"/>
      <c r="X1668" s="4"/>
    </row>
    <row r="1669" spans="17:24" x14ac:dyDescent="0.3">
      <c r="Q1669" s="4"/>
      <c r="R1669" s="4"/>
      <c r="S1669" s="4"/>
      <c r="T1669" s="4"/>
      <c r="U1669" s="4"/>
      <c r="V1669" s="4"/>
      <c r="W1669" s="4"/>
      <c r="X1669" s="4"/>
    </row>
    <row r="1670" spans="17:24" x14ac:dyDescent="0.3">
      <c r="Q1670" s="4"/>
      <c r="R1670" s="4"/>
      <c r="S1670" s="4"/>
      <c r="T1670" s="4"/>
      <c r="U1670" s="4"/>
      <c r="V1670" s="4"/>
      <c r="W1670" s="4"/>
      <c r="X1670" s="4"/>
    </row>
    <row r="1671" spans="17:24" x14ac:dyDescent="0.3">
      <c r="Q1671" s="4"/>
      <c r="R1671" s="4"/>
      <c r="S1671" s="4"/>
      <c r="T1671" s="4"/>
      <c r="U1671" s="4"/>
      <c r="V1671" s="4"/>
      <c r="W1671" s="4"/>
      <c r="X1671" s="4"/>
    </row>
    <row r="1672" spans="17:24" x14ac:dyDescent="0.3">
      <c r="Q1672" s="4"/>
      <c r="R1672" s="4"/>
      <c r="S1672" s="4"/>
      <c r="T1672" s="4"/>
      <c r="U1672" s="4"/>
      <c r="V1672" s="4"/>
      <c r="W1672" s="4"/>
      <c r="X1672" s="4"/>
    </row>
    <row r="1673" spans="17:24" x14ac:dyDescent="0.3">
      <c r="Q1673" s="4"/>
      <c r="R1673" s="4"/>
      <c r="S1673" s="4"/>
      <c r="T1673" s="4"/>
      <c r="U1673" s="4"/>
      <c r="V1673" s="4"/>
      <c r="W1673" s="4"/>
      <c r="X1673" s="4"/>
    </row>
    <row r="1674" spans="17:24" x14ac:dyDescent="0.3">
      <c r="Q1674" s="4"/>
      <c r="R1674" s="4"/>
      <c r="S1674" s="4"/>
      <c r="T1674" s="4"/>
      <c r="U1674" s="4"/>
      <c r="V1674" s="4"/>
      <c r="W1674" s="4"/>
      <c r="X1674" s="4"/>
    </row>
    <row r="1675" spans="17:24" x14ac:dyDescent="0.3">
      <c r="Q1675" s="4"/>
      <c r="R1675" s="4"/>
      <c r="S1675" s="4"/>
      <c r="T1675" s="4"/>
      <c r="U1675" s="4"/>
      <c r="V1675" s="4"/>
      <c r="W1675" s="4"/>
      <c r="X1675" s="4"/>
    </row>
    <row r="1676" spans="17:24" x14ac:dyDescent="0.3">
      <c r="Q1676" s="4"/>
      <c r="R1676" s="4"/>
      <c r="S1676" s="4"/>
      <c r="T1676" s="4"/>
      <c r="U1676" s="4"/>
      <c r="V1676" s="4"/>
      <c r="W1676" s="4"/>
      <c r="X1676" s="4"/>
    </row>
    <row r="1677" spans="17:24" x14ac:dyDescent="0.3">
      <c r="Q1677" s="4"/>
      <c r="R1677" s="4"/>
      <c r="S1677" s="4"/>
      <c r="T1677" s="4"/>
      <c r="U1677" s="4"/>
      <c r="V1677" s="4"/>
      <c r="W1677" s="4"/>
      <c r="X1677" s="4"/>
    </row>
    <row r="1678" spans="17:24" x14ac:dyDescent="0.3">
      <c r="Q1678" s="4"/>
      <c r="R1678" s="4"/>
      <c r="S1678" s="4"/>
      <c r="T1678" s="4"/>
      <c r="U1678" s="4"/>
      <c r="V1678" s="4"/>
      <c r="W1678" s="4"/>
      <c r="X1678" s="4"/>
    </row>
    <row r="1679" spans="17:24" x14ac:dyDescent="0.3">
      <c r="Q1679" s="4"/>
      <c r="R1679" s="4"/>
      <c r="S1679" s="4"/>
      <c r="T1679" s="4"/>
      <c r="U1679" s="4"/>
      <c r="V1679" s="4"/>
      <c r="W1679" s="4"/>
      <c r="X1679" s="4"/>
    </row>
    <row r="1680" spans="17:24" x14ac:dyDescent="0.3">
      <c r="Q1680" s="4"/>
      <c r="R1680" s="4"/>
      <c r="S1680" s="4"/>
      <c r="T1680" s="4"/>
      <c r="U1680" s="4"/>
      <c r="V1680" s="4"/>
      <c r="W1680" s="4"/>
      <c r="X1680" s="4"/>
    </row>
    <row r="1681" spans="17:24" x14ac:dyDescent="0.3">
      <c r="Q1681" s="4"/>
      <c r="R1681" s="4"/>
      <c r="S1681" s="4"/>
      <c r="T1681" s="4"/>
      <c r="U1681" s="4"/>
      <c r="V1681" s="4"/>
      <c r="W1681" s="4"/>
      <c r="X1681" s="4"/>
    </row>
    <row r="1682" spans="17:24" x14ac:dyDescent="0.3">
      <c r="Q1682" s="4"/>
      <c r="R1682" s="4"/>
      <c r="S1682" s="4"/>
      <c r="T1682" s="4"/>
      <c r="U1682" s="4"/>
      <c r="V1682" s="4"/>
      <c r="W1682" s="4"/>
      <c r="X1682" s="4"/>
    </row>
    <row r="1683" spans="17:24" x14ac:dyDescent="0.3">
      <c r="Q1683" s="4"/>
      <c r="R1683" s="4"/>
      <c r="S1683" s="4"/>
      <c r="T1683" s="4"/>
      <c r="U1683" s="4"/>
      <c r="V1683" s="4"/>
      <c r="W1683" s="4"/>
      <c r="X1683" s="4"/>
    </row>
    <row r="1684" spans="17:24" x14ac:dyDescent="0.3">
      <c r="Q1684" s="4"/>
      <c r="R1684" s="4"/>
      <c r="S1684" s="4"/>
      <c r="T1684" s="4"/>
      <c r="U1684" s="4"/>
      <c r="V1684" s="4"/>
      <c r="W1684" s="4"/>
      <c r="X1684" s="4"/>
    </row>
    <row r="1685" spans="17:24" x14ac:dyDescent="0.3">
      <c r="Q1685" s="4"/>
      <c r="R1685" s="4"/>
      <c r="S1685" s="4"/>
      <c r="T1685" s="4"/>
      <c r="U1685" s="4"/>
      <c r="V1685" s="4"/>
      <c r="W1685" s="4"/>
      <c r="X1685" s="4"/>
    </row>
    <row r="1686" spans="17:24" x14ac:dyDescent="0.3">
      <c r="Q1686" s="4"/>
      <c r="R1686" s="4"/>
      <c r="S1686" s="4"/>
      <c r="T1686" s="4"/>
      <c r="U1686" s="4"/>
      <c r="V1686" s="4"/>
      <c r="W1686" s="4"/>
      <c r="X1686" s="4"/>
    </row>
    <row r="1687" spans="17:24" x14ac:dyDescent="0.3">
      <c r="Q1687" s="4"/>
      <c r="R1687" s="4"/>
      <c r="S1687" s="4"/>
      <c r="T1687" s="4"/>
      <c r="U1687" s="4"/>
      <c r="V1687" s="4"/>
      <c r="W1687" s="4"/>
      <c r="X1687" s="4"/>
    </row>
    <row r="1688" spans="17:24" x14ac:dyDescent="0.3">
      <c r="Q1688" s="4"/>
      <c r="R1688" s="4"/>
      <c r="S1688" s="4"/>
      <c r="T1688" s="4"/>
      <c r="U1688" s="4"/>
      <c r="V1688" s="4"/>
      <c r="W1688" s="4"/>
      <c r="X1688" s="4"/>
    </row>
    <row r="1689" spans="17:24" x14ac:dyDescent="0.3">
      <c r="Q1689" s="4"/>
      <c r="R1689" s="4"/>
      <c r="S1689" s="4"/>
      <c r="T1689" s="4"/>
      <c r="U1689" s="4"/>
      <c r="V1689" s="4"/>
      <c r="W1689" s="4"/>
      <c r="X1689" s="4"/>
    </row>
    <row r="1690" spans="17:24" x14ac:dyDescent="0.3">
      <c r="Q1690" s="4"/>
      <c r="R1690" s="4"/>
      <c r="S1690" s="4"/>
      <c r="T1690" s="4"/>
      <c r="U1690" s="4"/>
      <c r="V1690" s="4"/>
      <c r="W1690" s="4"/>
      <c r="X1690" s="4"/>
    </row>
    <row r="1691" spans="17:24" x14ac:dyDescent="0.3">
      <c r="Q1691" s="4"/>
      <c r="R1691" s="4"/>
      <c r="S1691" s="4"/>
      <c r="T1691" s="4"/>
      <c r="U1691" s="4"/>
      <c r="V1691" s="4"/>
      <c r="W1691" s="4"/>
      <c r="X1691" s="4"/>
    </row>
    <row r="1692" spans="17:24" x14ac:dyDescent="0.3">
      <c r="Q1692" s="4"/>
      <c r="R1692" s="4"/>
      <c r="S1692" s="4"/>
      <c r="T1692" s="4"/>
      <c r="U1692" s="4"/>
      <c r="V1692" s="4"/>
      <c r="W1692" s="4"/>
      <c r="X1692" s="4"/>
    </row>
    <row r="1693" spans="17:24" x14ac:dyDescent="0.3">
      <c r="Q1693" s="4"/>
      <c r="R1693" s="4"/>
      <c r="S1693" s="4"/>
      <c r="T1693" s="4"/>
      <c r="U1693" s="4"/>
      <c r="V1693" s="4"/>
      <c r="W1693" s="4"/>
      <c r="X1693" s="4"/>
    </row>
    <row r="1694" spans="17:24" x14ac:dyDescent="0.3">
      <c r="Q1694" s="4"/>
      <c r="R1694" s="4"/>
      <c r="S1694" s="4"/>
      <c r="T1694" s="4"/>
      <c r="U1694" s="4"/>
      <c r="V1694" s="4"/>
      <c r="W1694" s="4"/>
      <c r="X1694" s="4"/>
    </row>
    <row r="1695" spans="17:24" x14ac:dyDescent="0.3">
      <c r="Q1695" s="4"/>
      <c r="R1695" s="4"/>
      <c r="S1695" s="4"/>
      <c r="T1695" s="4"/>
      <c r="U1695" s="4"/>
      <c r="V1695" s="4"/>
      <c r="W1695" s="4"/>
      <c r="X1695" s="4"/>
    </row>
    <row r="1696" spans="17:24" x14ac:dyDescent="0.3">
      <c r="Q1696" s="4"/>
      <c r="R1696" s="4"/>
      <c r="S1696" s="4"/>
      <c r="T1696" s="4"/>
      <c r="U1696" s="4"/>
      <c r="V1696" s="4"/>
      <c r="W1696" s="4"/>
      <c r="X1696" s="4"/>
    </row>
    <row r="1697" spans="17:24" x14ac:dyDescent="0.3">
      <c r="Q1697" s="4"/>
      <c r="R1697" s="4"/>
      <c r="S1697" s="4"/>
      <c r="T1697" s="4"/>
      <c r="U1697" s="4"/>
      <c r="V1697" s="4"/>
      <c r="W1697" s="4"/>
      <c r="X1697" s="4"/>
    </row>
    <row r="1698" spans="17:24" x14ac:dyDescent="0.3">
      <c r="Q1698" s="4"/>
      <c r="R1698" s="4"/>
      <c r="S1698" s="4"/>
      <c r="T1698" s="4"/>
      <c r="U1698" s="4"/>
      <c r="V1698" s="4"/>
      <c r="W1698" s="4"/>
      <c r="X1698" s="4"/>
    </row>
    <row r="1699" spans="17:24" x14ac:dyDescent="0.3">
      <c r="Q1699" s="4"/>
      <c r="R1699" s="4"/>
      <c r="S1699" s="4"/>
      <c r="T1699" s="4"/>
      <c r="U1699" s="4"/>
      <c r="V1699" s="4"/>
      <c r="W1699" s="4"/>
      <c r="X1699" s="4"/>
    </row>
    <row r="1700" spans="17:24" x14ac:dyDescent="0.3">
      <c r="Q1700" s="4"/>
      <c r="R1700" s="4"/>
      <c r="S1700" s="4"/>
      <c r="T1700" s="4"/>
      <c r="U1700" s="4"/>
      <c r="V1700" s="4"/>
      <c r="W1700" s="4"/>
      <c r="X1700" s="4"/>
    </row>
    <row r="1701" spans="17:24" x14ac:dyDescent="0.3">
      <c r="Q1701" s="4"/>
      <c r="R1701" s="4"/>
      <c r="S1701" s="4"/>
      <c r="T1701" s="4"/>
      <c r="U1701" s="4"/>
      <c r="V1701" s="4"/>
      <c r="W1701" s="4"/>
      <c r="X1701" s="4"/>
    </row>
    <row r="1702" spans="17:24" x14ac:dyDescent="0.3">
      <c r="Q1702" s="4"/>
      <c r="R1702" s="4"/>
      <c r="S1702" s="4"/>
      <c r="T1702" s="4"/>
      <c r="U1702" s="4"/>
      <c r="V1702" s="4"/>
      <c r="W1702" s="4"/>
      <c r="X1702" s="4"/>
    </row>
    <row r="1703" spans="17:24" x14ac:dyDescent="0.3">
      <c r="Q1703" s="4"/>
      <c r="R1703" s="4"/>
      <c r="S1703" s="4"/>
      <c r="T1703" s="4"/>
      <c r="U1703" s="4"/>
      <c r="V1703" s="4"/>
      <c r="W1703" s="4"/>
      <c r="X1703" s="4"/>
    </row>
    <row r="1704" spans="17:24" x14ac:dyDescent="0.3">
      <c r="Q1704" s="4"/>
      <c r="R1704" s="4"/>
      <c r="S1704" s="4"/>
      <c r="T1704" s="4"/>
      <c r="U1704" s="4"/>
      <c r="V1704" s="4"/>
      <c r="W1704" s="4"/>
      <c r="X1704" s="4"/>
    </row>
    <row r="1705" spans="17:24" x14ac:dyDescent="0.3">
      <c r="Q1705" s="4"/>
      <c r="R1705" s="4"/>
      <c r="S1705" s="4"/>
      <c r="T1705" s="4"/>
      <c r="U1705" s="4"/>
      <c r="V1705" s="4"/>
      <c r="W1705" s="4"/>
      <c r="X1705" s="4"/>
    </row>
    <row r="1706" spans="17:24" x14ac:dyDescent="0.3">
      <c r="Q1706" s="4"/>
      <c r="R1706" s="4"/>
      <c r="S1706" s="4"/>
      <c r="T1706" s="4"/>
      <c r="U1706" s="4"/>
      <c r="V1706" s="4"/>
      <c r="W1706" s="4"/>
      <c r="X1706" s="4"/>
    </row>
    <row r="1707" spans="17:24" x14ac:dyDescent="0.3">
      <c r="Q1707" s="4"/>
      <c r="R1707" s="4"/>
      <c r="S1707" s="4"/>
      <c r="T1707" s="4"/>
      <c r="U1707" s="4"/>
      <c r="V1707" s="4"/>
      <c r="W1707" s="4"/>
      <c r="X1707" s="4"/>
    </row>
    <row r="1708" spans="17:24" x14ac:dyDescent="0.3">
      <c r="Q1708" s="4"/>
      <c r="R1708" s="4"/>
      <c r="S1708" s="4"/>
      <c r="T1708" s="4"/>
      <c r="U1708" s="4"/>
      <c r="V1708" s="4"/>
      <c r="W1708" s="4"/>
      <c r="X1708" s="4"/>
    </row>
    <row r="1709" spans="17:24" x14ac:dyDescent="0.3">
      <c r="Q1709" s="4"/>
      <c r="R1709" s="4"/>
      <c r="S1709" s="4"/>
      <c r="T1709" s="4"/>
      <c r="U1709" s="4"/>
      <c r="V1709" s="4"/>
      <c r="W1709" s="4"/>
      <c r="X1709" s="4"/>
    </row>
    <row r="1710" spans="17:24" x14ac:dyDescent="0.3">
      <c r="Q1710" s="4"/>
      <c r="R1710" s="4"/>
      <c r="S1710" s="4"/>
      <c r="T1710" s="4"/>
      <c r="U1710" s="4"/>
      <c r="V1710" s="4"/>
      <c r="W1710" s="4"/>
      <c r="X1710" s="4"/>
    </row>
    <row r="1711" spans="17:24" x14ac:dyDescent="0.3">
      <c r="Q1711" s="4"/>
      <c r="R1711" s="4"/>
      <c r="S1711" s="4"/>
      <c r="T1711" s="4"/>
      <c r="U1711" s="4"/>
      <c r="V1711" s="4"/>
      <c r="W1711" s="4"/>
      <c r="X1711" s="4"/>
    </row>
    <row r="1712" spans="17:24" x14ac:dyDescent="0.3">
      <c r="Q1712" s="4"/>
      <c r="R1712" s="4"/>
      <c r="S1712" s="4"/>
      <c r="T1712" s="4"/>
      <c r="U1712" s="4"/>
      <c r="V1712" s="4"/>
      <c r="W1712" s="4"/>
      <c r="X1712" s="4"/>
    </row>
    <row r="1713" spans="17:24" x14ac:dyDescent="0.3">
      <c r="Q1713" s="4"/>
      <c r="R1713" s="4"/>
      <c r="S1713" s="4"/>
      <c r="T1713" s="4"/>
      <c r="U1713" s="4"/>
      <c r="V1713" s="4"/>
      <c r="W1713" s="4"/>
      <c r="X1713" s="4"/>
    </row>
    <row r="1714" spans="17:24" x14ac:dyDescent="0.3">
      <c r="Q1714" s="4"/>
      <c r="R1714" s="4"/>
      <c r="S1714" s="4"/>
      <c r="T1714" s="4"/>
      <c r="U1714" s="4"/>
      <c r="V1714" s="4"/>
      <c r="W1714" s="4"/>
      <c r="X1714" s="4"/>
    </row>
    <row r="1715" spans="17:24" x14ac:dyDescent="0.3">
      <c r="Q1715" s="4"/>
      <c r="R1715" s="4"/>
      <c r="S1715" s="4"/>
      <c r="T1715" s="4"/>
      <c r="U1715" s="4"/>
      <c r="V1715" s="4"/>
      <c r="W1715" s="4"/>
      <c r="X1715" s="4"/>
    </row>
    <row r="1716" spans="17:24" x14ac:dyDescent="0.3">
      <c r="Q1716" s="4"/>
      <c r="R1716" s="4"/>
      <c r="S1716" s="4"/>
      <c r="T1716" s="4"/>
      <c r="U1716" s="4"/>
      <c r="V1716" s="4"/>
      <c r="W1716" s="4"/>
      <c r="X1716" s="4"/>
    </row>
    <row r="1717" spans="17:24" x14ac:dyDescent="0.3">
      <c r="Q1717" s="4"/>
      <c r="R1717" s="4"/>
      <c r="S1717" s="4"/>
      <c r="T1717" s="4"/>
      <c r="U1717" s="4"/>
      <c r="V1717" s="4"/>
      <c r="W1717" s="4"/>
      <c r="X1717" s="4"/>
    </row>
    <row r="1718" spans="17:24" x14ac:dyDescent="0.3">
      <c r="Q1718" s="4"/>
      <c r="R1718" s="4"/>
      <c r="S1718" s="4"/>
      <c r="T1718" s="4"/>
      <c r="U1718" s="4"/>
      <c r="V1718" s="4"/>
      <c r="W1718" s="4"/>
      <c r="X1718" s="4"/>
    </row>
    <row r="1719" spans="17:24" x14ac:dyDescent="0.3">
      <c r="Q1719" s="4"/>
      <c r="R1719" s="4"/>
      <c r="S1719" s="4"/>
      <c r="T1719" s="4"/>
      <c r="U1719" s="4"/>
      <c r="V1719" s="4"/>
      <c r="W1719" s="4"/>
      <c r="X1719" s="4"/>
    </row>
    <row r="1720" spans="17:24" x14ac:dyDescent="0.3">
      <c r="Q1720" s="4"/>
      <c r="R1720" s="4"/>
      <c r="S1720" s="4"/>
      <c r="T1720" s="4"/>
      <c r="U1720" s="4"/>
      <c r="V1720" s="4"/>
      <c r="W1720" s="4"/>
      <c r="X1720" s="4"/>
    </row>
    <row r="1721" spans="17:24" x14ac:dyDescent="0.3">
      <c r="Q1721" s="4"/>
      <c r="R1721" s="4"/>
      <c r="S1721" s="4"/>
      <c r="T1721" s="4"/>
      <c r="U1721" s="4"/>
      <c r="V1721" s="4"/>
      <c r="W1721" s="4"/>
      <c r="X1721" s="4"/>
    </row>
    <row r="1722" spans="17:24" x14ac:dyDescent="0.3">
      <c r="Q1722" s="4"/>
      <c r="R1722" s="4"/>
      <c r="S1722" s="4"/>
      <c r="T1722" s="4"/>
      <c r="U1722" s="4"/>
      <c r="V1722" s="4"/>
      <c r="W1722" s="4"/>
      <c r="X1722" s="4"/>
    </row>
    <row r="1723" spans="17:24" x14ac:dyDescent="0.3">
      <c r="Q1723" s="4"/>
      <c r="R1723" s="4"/>
      <c r="S1723" s="4"/>
      <c r="T1723" s="4"/>
      <c r="U1723" s="4"/>
      <c r="V1723" s="4"/>
      <c r="W1723" s="4"/>
      <c r="X1723" s="4"/>
    </row>
    <row r="1724" spans="17:24" x14ac:dyDescent="0.3">
      <c r="Q1724" s="4"/>
      <c r="R1724" s="4"/>
      <c r="S1724" s="4"/>
      <c r="T1724" s="4"/>
      <c r="U1724" s="4"/>
      <c r="V1724" s="4"/>
      <c r="W1724" s="4"/>
      <c r="X1724" s="4"/>
    </row>
    <row r="1725" spans="17:24" x14ac:dyDescent="0.3">
      <c r="Q1725" s="4"/>
      <c r="R1725" s="4"/>
      <c r="S1725" s="4"/>
      <c r="T1725" s="4"/>
      <c r="U1725" s="4"/>
      <c r="V1725" s="4"/>
      <c r="W1725" s="4"/>
      <c r="X1725" s="4"/>
    </row>
    <row r="1726" spans="17:24" x14ac:dyDescent="0.3">
      <c r="Q1726" s="4"/>
      <c r="R1726" s="4"/>
      <c r="S1726" s="4"/>
      <c r="T1726" s="4"/>
      <c r="U1726" s="4"/>
      <c r="V1726" s="4"/>
      <c r="W1726" s="4"/>
      <c r="X1726" s="4"/>
    </row>
    <row r="1727" spans="17:24" x14ac:dyDescent="0.3">
      <c r="Q1727" s="4"/>
      <c r="R1727" s="4"/>
      <c r="S1727" s="4"/>
      <c r="T1727" s="4"/>
      <c r="U1727" s="4"/>
      <c r="V1727" s="4"/>
      <c r="W1727" s="4"/>
      <c r="X1727" s="4"/>
    </row>
    <row r="1728" spans="17:24" x14ac:dyDescent="0.3">
      <c r="Q1728" s="4"/>
      <c r="R1728" s="4"/>
      <c r="S1728" s="4"/>
      <c r="T1728" s="4"/>
      <c r="U1728" s="4"/>
      <c r="V1728" s="4"/>
      <c r="W1728" s="4"/>
      <c r="X1728" s="4"/>
    </row>
    <row r="1729" spans="17:24" x14ac:dyDescent="0.3">
      <c r="Q1729" s="4"/>
      <c r="R1729" s="4"/>
      <c r="S1729" s="4"/>
      <c r="T1729" s="4"/>
      <c r="U1729" s="4"/>
      <c r="V1729" s="4"/>
      <c r="W1729" s="4"/>
      <c r="X1729" s="4"/>
    </row>
    <row r="1730" spans="17:24" x14ac:dyDescent="0.3">
      <c r="Q1730" s="4"/>
      <c r="R1730" s="4"/>
      <c r="S1730" s="4"/>
      <c r="T1730" s="4"/>
      <c r="U1730" s="4"/>
      <c r="V1730" s="4"/>
      <c r="W1730" s="4"/>
      <c r="X1730" s="4"/>
    </row>
    <row r="1731" spans="17:24" x14ac:dyDescent="0.3">
      <c r="Q1731" s="4"/>
      <c r="R1731" s="4"/>
      <c r="S1731" s="4"/>
      <c r="T1731" s="4"/>
      <c r="U1731" s="4"/>
      <c r="V1731" s="4"/>
      <c r="W1731" s="4"/>
      <c r="X1731" s="4"/>
    </row>
    <row r="1732" spans="17:24" x14ac:dyDescent="0.3">
      <c r="Q1732" s="4"/>
      <c r="R1732" s="4"/>
      <c r="S1732" s="4"/>
      <c r="T1732" s="4"/>
      <c r="U1732" s="4"/>
      <c r="V1732" s="4"/>
      <c r="W1732" s="4"/>
      <c r="X1732" s="4"/>
    </row>
    <row r="1733" spans="17:24" x14ac:dyDescent="0.3">
      <c r="Q1733" s="4"/>
      <c r="R1733" s="4"/>
      <c r="S1733" s="4"/>
      <c r="T1733" s="4"/>
      <c r="U1733" s="4"/>
      <c r="V1733" s="4"/>
      <c r="W1733" s="4"/>
      <c r="X1733" s="4"/>
    </row>
    <row r="1734" spans="17:24" x14ac:dyDescent="0.3">
      <c r="Q1734" s="4"/>
      <c r="R1734" s="4"/>
      <c r="S1734" s="4"/>
      <c r="T1734" s="4"/>
      <c r="U1734" s="4"/>
      <c r="V1734" s="4"/>
      <c r="W1734" s="4"/>
      <c r="X1734" s="4"/>
    </row>
    <row r="1735" spans="17:24" x14ac:dyDescent="0.3">
      <c r="Q1735" s="4"/>
      <c r="R1735" s="4"/>
      <c r="S1735" s="4"/>
      <c r="T1735" s="4"/>
      <c r="U1735" s="4"/>
      <c r="V1735" s="4"/>
      <c r="W1735" s="4"/>
      <c r="X1735" s="4"/>
    </row>
    <row r="1736" spans="17:24" x14ac:dyDescent="0.3">
      <c r="Q1736" s="4"/>
      <c r="R1736" s="4"/>
      <c r="S1736" s="4"/>
      <c r="T1736" s="4"/>
      <c r="U1736" s="4"/>
      <c r="V1736" s="4"/>
      <c r="W1736" s="4"/>
      <c r="X1736" s="4"/>
    </row>
    <row r="1737" spans="17:24" x14ac:dyDescent="0.3">
      <c r="Q1737" s="4"/>
      <c r="R1737" s="4"/>
      <c r="S1737" s="4"/>
      <c r="T1737" s="4"/>
      <c r="U1737" s="4"/>
      <c r="V1737" s="4"/>
      <c r="W1737" s="4"/>
      <c r="X1737" s="4"/>
    </row>
    <row r="1738" spans="17:24" x14ac:dyDescent="0.3">
      <c r="Q1738" s="4"/>
      <c r="R1738" s="4"/>
      <c r="S1738" s="4"/>
      <c r="T1738" s="4"/>
      <c r="U1738" s="4"/>
      <c r="V1738" s="4"/>
      <c r="W1738" s="4"/>
      <c r="X1738" s="4"/>
    </row>
    <row r="1739" spans="17:24" x14ac:dyDescent="0.3">
      <c r="Q1739" s="4"/>
      <c r="R1739" s="4"/>
      <c r="S1739" s="4"/>
      <c r="T1739" s="4"/>
      <c r="U1739" s="4"/>
      <c r="V1739" s="4"/>
      <c r="W1739" s="4"/>
      <c r="X1739" s="4"/>
    </row>
    <row r="1740" spans="17:24" x14ac:dyDescent="0.3">
      <c r="Q1740" s="4"/>
      <c r="R1740" s="4"/>
      <c r="S1740" s="4"/>
      <c r="T1740" s="4"/>
      <c r="U1740" s="4"/>
      <c r="V1740" s="4"/>
      <c r="W1740" s="4"/>
      <c r="X1740" s="4"/>
    </row>
    <row r="1741" spans="17:24" x14ac:dyDescent="0.3">
      <c r="Q1741" s="4"/>
      <c r="R1741" s="4"/>
      <c r="S1741" s="4"/>
      <c r="T1741" s="4"/>
      <c r="U1741" s="4"/>
      <c r="V1741" s="4"/>
      <c r="W1741" s="4"/>
      <c r="X1741" s="4"/>
    </row>
    <row r="1742" spans="17:24" x14ac:dyDescent="0.3">
      <c r="Q1742" s="4"/>
      <c r="R1742" s="4"/>
      <c r="S1742" s="4"/>
      <c r="T1742" s="4"/>
      <c r="U1742" s="4"/>
      <c r="V1742" s="4"/>
      <c r="W1742" s="4"/>
      <c r="X1742" s="4"/>
    </row>
    <row r="1743" spans="17:24" x14ac:dyDescent="0.3">
      <c r="Q1743" s="4"/>
      <c r="R1743" s="4"/>
      <c r="S1743" s="4"/>
      <c r="T1743" s="4"/>
      <c r="U1743" s="4"/>
      <c r="V1743" s="4"/>
      <c r="W1743" s="4"/>
      <c r="X1743" s="4"/>
    </row>
    <row r="1744" spans="17:24" x14ac:dyDescent="0.3">
      <c r="Q1744" s="4"/>
      <c r="R1744" s="4"/>
      <c r="S1744" s="4"/>
      <c r="T1744" s="4"/>
      <c r="U1744" s="4"/>
      <c r="V1744" s="4"/>
      <c r="W1744" s="4"/>
      <c r="X1744" s="4"/>
    </row>
    <row r="1745" spans="17:24" x14ac:dyDescent="0.3">
      <c r="Q1745" s="4"/>
      <c r="R1745" s="4"/>
      <c r="S1745" s="4"/>
      <c r="T1745" s="4"/>
      <c r="U1745" s="4"/>
      <c r="V1745" s="4"/>
      <c r="W1745" s="4"/>
      <c r="X1745" s="4"/>
    </row>
    <row r="1746" spans="17:24" x14ac:dyDescent="0.3">
      <c r="Q1746" s="4"/>
      <c r="R1746" s="4"/>
      <c r="S1746" s="4"/>
      <c r="T1746" s="4"/>
      <c r="U1746" s="4"/>
      <c r="V1746" s="4"/>
      <c r="W1746" s="4"/>
      <c r="X1746" s="4"/>
    </row>
    <row r="1747" spans="17:24" x14ac:dyDescent="0.3">
      <c r="Q1747" s="4"/>
      <c r="R1747" s="4"/>
      <c r="S1747" s="4"/>
      <c r="T1747" s="4"/>
      <c r="U1747" s="4"/>
      <c r="V1747" s="4"/>
      <c r="W1747" s="4"/>
      <c r="X1747" s="4"/>
    </row>
    <row r="1748" spans="17:24" x14ac:dyDescent="0.3">
      <c r="Q1748" s="4"/>
      <c r="R1748" s="4"/>
      <c r="S1748" s="4"/>
      <c r="T1748" s="4"/>
      <c r="U1748" s="4"/>
      <c r="V1748" s="4"/>
      <c r="W1748" s="4"/>
      <c r="X1748" s="4"/>
    </row>
    <row r="1749" spans="17:24" x14ac:dyDescent="0.3">
      <c r="Q1749" s="4"/>
      <c r="R1749" s="4"/>
      <c r="S1749" s="4"/>
      <c r="T1749" s="4"/>
      <c r="U1749" s="4"/>
      <c r="V1749" s="4"/>
      <c r="W1749" s="4"/>
      <c r="X1749" s="4"/>
    </row>
    <row r="1750" spans="17:24" x14ac:dyDescent="0.3">
      <c r="Q1750" s="4"/>
      <c r="R1750" s="4"/>
      <c r="S1750" s="4"/>
      <c r="T1750" s="4"/>
      <c r="U1750" s="4"/>
      <c r="V1750" s="4"/>
      <c r="W1750" s="4"/>
      <c r="X1750" s="4"/>
    </row>
    <row r="1751" spans="17:24" x14ac:dyDescent="0.3">
      <c r="Q1751" s="4"/>
      <c r="R1751" s="4"/>
      <c r="S1751" s="4"/>
      <c r="T1751" s="4"/>
      <c r="U1751" s="4"/>
      <c r="V1751" s="4"/>
      <c r="W1751" s="4"/>
      <c r="X1751" s="4"/>
    </row>
    <row r="1752" spans="17:24" x14ac:dyDescent="0.3">
      <c r="Q1752" s="4"/>
      <c r="R1752" s="4"/>
      <c r="S1752" s="4"/>
      <c r="T1752" s="4"/>
      <c r="U1752" s="4"/>
      <c r="V1752" s="4"/>
      <c r="W1752" s="4"/>
      <c r="X1752" s="4"/>
    </row>
    <row r="1753" spans="17:24" x14ac:dyDescent="0.3">
      <c r="Q1753" s="4"/>
      <c r="R1753" s="4"/>
      <c r="S1753" s="4"/>
      <c r="T1753" s="4"/>
      <c r="U1753" s="4"/>
      <c r="V1753" s="4"/>
      <c r="W1753" s="4"/>
      <c r="X1753" s="4"/>
    </row>
    <row r="1754" spans="17:24" x14ac:dyDescent="0.3">
      <c r="Q1754" s="4"/>
      <c r="R1754" s="4"/>
      <c r="S1754" s="4"/>
      <c r="T1754" s="4"/>
      <c r="U1754" s="4"/>
      <c r="V1754" s="4"/>
      <c r="W1754" s="4"/>
      <c r="X1754" s="4"/>
    </row>
    <row r="1755" spans="17:24" x14ac:dyDescent="0.3">
      <c r="Q1755" s="4"/>
      <c r="R1755" s="4"/>
      <c r="S1755" s="4"/>
      <c r="T1755" s="4"/>
      <c r="U1755" s="4"/>
      <c r="V1755" s="4"/>
      <c r="W1755" s="4"/>
      <c r="X1755" s="4"/>
    </row>
    <row r="1756" spans="17:24" x14ac:dyDescent="0.3">
      <c r="Q1756" s="4"/>
      <c r="R1756" s="4"/>
      <c r="S1756" s="4"/>
      <c r="T1756" s="4"/>
      <c r="U1756" s="4"/>
      <c r="V1756" s="4"/>
      <c r="W1756" s="4"/>
      <c r="X1756" s="4"/>
    </row>
    <row r="1757" spans="17:24" x14ac:dyDescent="0.3">
      <c r="Q1757" s="4"/>
      <c r="R1757" s="4"/>
      <c r="S1757" s="4"/>
      <c r="T1757" s="4"/>
      <c r="U1757" s="4"/>
      <c r="V1757" s="4"/>
      <c r="W1757" s="4"/>
      <c r="X1757" s="4"/>
    </row>
    <row r="1758" spans="17:24" x14ac:dyDescent="0.3">
      <c r="Q1758" s="4"/>
      <c r="R1758" s="4"/>
      <c r="S1758" s="4"/>
      <c r="T1758" s="4"/>
      <c r="U1758" s="4"/>
      <c r="V1758" s="4"/>
      <c r="W1758" s="4"/>
      <c r="X1758" s="4"/>
    </row>
    <row r="1759" spans="17:24" x14ac:dyDescent="0.3">
      <c r="Q1759" s="4"/>
      <c r="R1759" s="4"/>
      <c r="S1759" s="4"/>
      <c r="T1759" s="4"/>
      <c r="U1759" s="4"/>
      <c r="V1759" s="4"/>
      <c r="W1759" s="4"/>
      <c r="X1759" s="4"/>
    </row>
    <row r="1760" spans="17:24" x14ac:dyDescent="0.3">
      <c r="Q1760" s="4"/>
      <c r="R1760" s="4"/>
      <c r="S1760" s="4"/>
      <c r="T1760" s="4"/>
      <c r="U1760" s="4"/>
      <c r="V1760" s="4"/>
      <c r="W1760" s="4"/>
      <c r="X1760" s="4"/>
    </row>
    <row r="1761" spans="17:24" x14ac:dyDescent="0.3">
      <c r="Q1761" s="4"/>
      <c r="R1761" s="4"/>
      <c r="S1761" s="4"/>
      <c r="T1761" s="4"/>
      <c r="U1761" s="4"/>
      <c r="V1761" s="4"/>
      <c r="W1761" s="4"/>
      <c r="X1761" s="4"/>
    </row>
    <row r="1762" spans="17:24" x14ac:dyDescent="0.3">
      <c r="Q1762" s="4"/>
      <c r="R1762" s="4"/>
      <c r="S1762" s="4"/>
      <c r="T1762" s="4"/>
      <c r="U1762" s="4"/>
      <c r="V1762" s="4"/>
      <c r="W1762" s="4"/>
      <c r="X1762" s="4"/>
    </row>
    <row r="1763" spans="17:24" x14ac:dyDescent="0.3">
      <c r="Q1763" s="4"/>
      <c r="R1763" s="4"/>
      <c r="S1763" s="4"/>
      <c r="T1763" s="4"/>
      <c r="U1763" s="4"/>
      <c r="V1763" s="4"/>
      <c r="W1763" s="4"/>
      <c r="X1763" s="4"/>
    </row>
    <row r="1764" spans="17:24" x14ac:dyDescent="0.3">
      <c r="Q1764" s="4"/>
      <c r="R1764" s="4"/>
      <c r="S1764" s="4"/>
      <c r="T1764" s="4"/>
      <c r="U1764" s="4"/>
      <c r="V1764" s="4"/>
      <c r="W1764" s="4"/>
      <c r="X1764" s="4"/>
    </row>
    <row r="1765" spans="17:24" x14ac:dyDescent="0.3">
      <c r="Q1765" s="4"/>
      <c r="R1765" s="4"/>
      <c r="S1765" s="4"/>
      <c r="T1765" s="4"/>
      <c r="U1765" s="4"/>
      <c r="V1765" s="4"/>
      <c r="W1765" s="4"/>
      <c r="X1765" s="4"/>
    </row>
    <row r="1766" spans="17:24" x14ac:dyDescent="0.3">
      <c r="Q1766" s="4"/>
      <c r="R1766" s="4"/>
      <c r="S1766" s="4"/>
      <c r="T1766" s="4"/>
      <c r="U1766" s="4"/>
      <c r="V1766" s="4"/>
      <c r="W1766" s="4"/>
      <c r="X1766" s="4"/>
    </row>
    <row r="1767" spans="17:24" x14ac:dyDescent="0.3">
      <c r="Q1767" s="4"/>
      <c r="R1767" s="4"/>
      <c r="S1767" s="4"/>
      <c r="T1767" s="4"/>
      <c r="U1767" s="4"/>
      <c r="V1767" s="4"/>
      <c r="W1767" s="4"/>
      <c r="X1767" s="4"/>
    </row>
    <row r="1768" spans="17:24" x14ac:dyDescent="0.3">
      <c r="Q1768" s="4"/>
      <c r="R1768" s="4"/>
      <c r="S1768" s="4"/>
      <c r="T1768" s="4"/>
      <c r="U1768" s="4"/>
      <c r="V1768" s="4"/>
      <c r="W1768" s="4"/>
      <c r="X1768" s="4"/>
    </row>
    <row r="1769" spans="17:24" x14ac:dyDescent="0.3">
      <c r="Q1769" s="4"/>
      <c r="R1769" s="4"/>
      <c r="S1769" s="4"/>
      <c r="T1769" s="4"/>
      <c r="U1769" s="4"/>
      <c r="V1769" s="4"/>
      <c r="W1769" s="4"/>
      <c r="X1769" s="4"/>
    </row>
    <row r="1770" spans="17:24" x14ac:dyDescent="0.3">
      <c r="Q1770" s="4"/>
      <c r="R1770" s="4"/>
      <c r="S1770" s="4"/>
      <c r="T1770" s="4"/>
      <c r="U1770" s="4"/>
      <c r="V1770" s="4"/>
      <c r="W1770" s="4"/>
      <c r="X1770" s="4"/>
    </row>
    <row r="1771" spans="17:24" x14ac:dyDescent="0.3">
      <c r="Q1771" s="4"/>
      <c r="R1771" s="4"/>
      <c r="S1771" s="4"/>
      <c r="T1771" s="4"/>
      <c r="U1771" s="4"/>
      <c r="V1771" s="4"/>
      <c r="W1771" s="4"/>
      <c r="X1771" s="4"/>
    </row>
    <row r="1772" spans="17:24" x14ac:dyDescent="0.3">
      <c r="Q1772" s="4"/>
      <c r="R1772" s="4"/>
      <c r="S1772" s="4"/>
      <c r="T1772" s="4"/>
      <c r="U1772" s="4"/>
      <c r="V1772" s="4"/>
      <c r="W1772" s="4"/>
      <c r="X1772" s="4"/>
    </row>
    <row r="1773" spans="17:24" x14ac:dyDescent="0.3">
      <c r="Q1773" s="4"/>
      <c r="R1773" s="4"/>
      <c r="S1773" s="4"/>
      <c r="T1773" s="4"/>
      <c r="U1773" s="4"/>
      <c r="V1773" s="4"/>
      <c r="W1773" s="4"/>
      <c r="X1773" s="4"/>
    </row>
    <row r="1774" spans="17:24" x14ac:dyDescent="0.3">
      <c r="Q1774" s="4"/>
      <c r="R1774" s="4"/>
      <c r="S1774" s="4"/>
      <c r="T1774" s="4"/>
      <c r="U1774" s="4"/>
      <c r="V1774" s="4"/>
      <c r="W1774" s="4"/>
      <c r="X1774" s="4"/>
    </row>
    <row r="1775" spans="17:24" x14ac:dyDescent="0.3">
      <c r="Q1775" s="4"/>
      <c r="R1775" s="4"/>
      <c r="S1775" s="4"/>
      <c r="T1775" s="4"/>
      <c r="U1775" s="4"/>
      <c r="V1775" s="4"/>
      <c r="W1775" s="4"/>
      <c r="X1775" s="4"/>
    </row>
    <row r="1776" spans="17:24" x14ac:dyDescent="0.3">
      <c r="Q1776" s="4"/>
      <c r="R1776" s="4"/>
      <c r="S1776" s="4"/>
      <c r="T1776" s="4"/>
      <c r="U1776" s="4"/>
      <c r="V1776" s="4"/>
      <c r="W1776" s="4"/>
      <c r="X1776" s="4"/>
    </row>
    <row r="1777" spans="17:24" x14ac:dyDescent="0.3">
      <c r="Q1777" s="4"/>
      <c r="R1777" s="4"/>
      <c r="S1777" s="4"/>
      <c r="T1777" s="4"/>
      <c r="U1777" s="4"/>
      <c r="V1777" s="4"/>
      <c r="W1777" s="4"/>
      <c r="X1777" s="4"/>
    </row>
    <row r="1778" spans="17:24" x14ac:dyDescent="0.3">
      <c r="Q1778" s="4"/>
      <c r="R1778" s="4"/>
      <c r="S1778" s="4"/>
      <c r="T1778" s="4"/>
      <c r="U1778" s="4"/>
      <c r="V1778" s="4"/>
      <c r="W1778" s="4"/>
      <c r="X1778" s="4"/>
    </row>
    <row r="1779" spans="17:24" x14ac:dyDescent="0.3">
      <c r="Q1779" s="4"/>
      <c r="R1779" s="4"/>
      <c r="S1779" s="4"/>
      <c r="T1779" s="4"/>
      <c r="U1779" s="4"/>
      <c r="V1779" s="4"/>
      <c r="W1779" s="4"/>
      <c r="X1779" s="4"/>
    </row>
    <row r="1780" spans="17:24" x14ac:dyDescent="0.3">
      <c r="Q1780" s="4"/>
      <c r="R1780" s="4"/>
      <c r="S1780" s="4"/>
      <c r="T1780" s="4"/>
      <c r="U1780" s="4"/>
      <c r="V1780" s="4"/>
      <c r="W1780" s="4"/>
      <c r="X1780" s="4"/>
    </row>
    <row r="1781" spans="17:24" x14ac:dyDescent="0.3">
      <c r="Q1781" s="4"/>
      <c r="R1781" s="4"/>
      <c r="S1781" s="4"/>
      <c r="T1781" s="4"/>
      <c r="U1781" s="4"/>
      <c r="V1781" s="4"/>
      <c r="W1781" s="4"/>
      <c r="X1781" s="4"/>
    </row>
    <row r="1782" spans="17:24" x14ac:dyDescent="0.3">
      <c r="Q1782" s="4"/>
      <c r="R1782" s="4"/>
      <c r="S1782" s="4"/>
      <c r="T1782" s="4"/>
      <c r="U1782" s="4"/>
      <c r="V1782" s="4"/>
      <c r="W1782" s="4"/>
      <c r="X1782" s="4"/>
    </row>
    <row r="1783" spans="17:24" x14ac:dyDescent="0.3">
      <c r="Q1783" s="4"/>
      <c r="R1783" s="4"/>
      <c r="S1783" s="4"/>
      <c r="T1783" s="4"/>
      <c r="U1783" s="4"/>
      <c r="V1783" s="4"/>
      <c r="W1783" s="4"/>
      <c r="X1783" s="4"/>
    </row>
    <row r="1784" spans="17:24" x14ac:dyDescent="0.3">
      <c r="Q1784" s="4"/>
      <c r="R1784" s="4"/>
      <c r="S1784" s="4"/>
      <c r="T1784" s="4"/>
      <c r="U1784" s="4"/>
      <c r="V1784" s="4"/>
      <c r="W1784" s="4"/>
      <c r="X1784" s="4"/>
    </row>
    <row r="1785" spans="17:24" x14ac:dyDescent="0.3">
      <c r="Q1785" s="4"/>
      <c r="R1785" s="4"/>
      <c r="S1785" s="4"/>
      <c r="T1785" s="4"/>
      <c r="U1785" s="4"/>
      <c r="V1785" s="4"/>
      <c r="W1785" s="4"/>
      <c r="X1785" s="4"/>
    </row>
    <row r="1786" spans="17:24" x14ac:dyDescent="0.3">
      <c r="Q1786" s="4"/>
      <c r="R1786" s="4"/>
      <c r="S1786" s="4"/>
      <c r="T1786" s="4"/>
      <c r="U1786" s="4"/>
      <c r="V1786" s="4"/>
      <c r="W1786" s="4"/>
      <c r="X1786" s="4"/>
    </row>
    <row r="1787" spans="17:24" x14ac:dyDescent="0.3">
      <c r="Q1787" s="4"/>
      <c r="R1787" s="4"/>
      <c r="S1787" s="4"/>
      <c r="T1787" s="4"/>
      <c r="U1787" s="4"/>
      <c r="V1787" s="4"/>
      <c r="W1787" s="4"/>
      <c r="X1787" s="4"/>
    </row>
    <row r="1788" spans="17:24" x14ac:dyDescent="0.3">
      <c r="Q1788" s="4"/>
      <c r="R1788" s="4"/>
      <c r="S1788" s="4"/>
      <c r="T1788" s="4"/>
      <c r="U1788" s="4"/>
      <c r="V1788" s="4"/>
      <c r="W1788" s="4"/>
      <c r="X1788" s="4"/>
    </row>
    <row r="1789" spans="17:24" x14ac:dyDescent="0.3">
      <c r="Q1789" s="4"/>
      <c r="R1789" s="4"/>
      <c r="S1789" s="4"/>
      <c r="T1789" s="4"/>
      <c r="U1789" s="4"/>
      <c r="V1789" s="4"/>
      <c r="W1789" s="4"/>
      <c r="X1789" s="4"/>
    </row>
    <row r="1790" spans="17:24" x14ac:dyDescent="0.3">
      <c r="Q1790" s="4"/>
      <c r="R1790" s="4"/>
      <c r="S1790" s="4"/>
      <c r="T1790" s="4"/>
      <c r="U1790" s="4"/>
      <c r="V1790" s="4"/>
      <c r="W1790" s="4"/>
      <c r="X1790" s="4"/>
    </row>
    <row r="1791" spans="17:24" x14ac:dyDescent="0.3">
      <c r="Q1791" s="4"/>
      <c r="R1791" s="4"/>
      <c r="S1791" s="4"/>
      <c r="T1791" s="4"/>
      <c r="U1791" s="4"/>
      <c r="V1791" s="4"/>
      <c r="W1791" s="4"/>
      <c r="X1791" s="4"/>
    </row>
    <row r="1792" spans="17:24" x14ac:dyDescent="0.3">
      <c r="Q1792" s="4"/>
      <c r="R1792" s="4"/>
      <c r="S1792" s="4"/>
      <c r="T1792" s="4"/>
      <c r="U1792" s="4"/>
      <c r="V1792" s="4"/>
      <c r="W1792" s="4"/>
      <c r="X1792" s="4"/>
    </row>
    <row r="1793" spans="17:24" x14ac:dyDescent="0.3">
      <c r="Q1793" s="4"/>
      <c r="R1793" s="4"/>
      <c r="S1793" s="4"/>
      <c r="T1793" s="4"/>
      <c r="U1793" s="4"/>
      <c r="V1793" s="4"/>
      <c r="W1793" s="4"/>
      <c r="X1793" s="4"/>
    </row>
    <row r="1794" spans="17:24" x14ac:dyDescent="0.3">
      <c r="Q1794" s="4"/>
      <c r="R1794" s="4"/>
      <c r="S1794" s="4"/>
      <c r="T1794" s="4"/>
      <c r="U1794" s="4"/>
      <c r="V1794" s="4"/>
      <c r="W1794" s="4"/>
      <c r="X1794" s="4"/>
    </row>
    <row r="1795" spans="17:24" x14ac:dyDescent="0.3">
      <c r="Q1795" s="4"/>
      <c r="R1795" s="4"/>
      <c r="S1795" s="4"/>
      <c r="T1795" s="4"/>
      <c r="U1795" s="4"/>
      <c r="V1795" s="4"/>
      <c r="W1795" s="4"/>
      <c r="X1795" s="4"/>
    </row>
    <row r="1796" spans="17:24" x14ac:dyDescent="0.3">
      <c r="Q1796" s="4"/>
      <c r="R1796" s="4"/>
      <c r="S1796" s="4"/>
      <c r="T1796" s="4"/>
      <c r="U1796" s="4"/>
      <c r="V1796" s="4"/>
      <c r="W1796" s="4"/>
      <c r="X1796" s="4"/>
    </row>
    <row r="1797" spans="17:24" x14ac:dyDescent="0.3">
      <c r="Q1797" s="4"/>
      <c r="R1797" s="4"/>
      <c r="S1797" s="4"/>
      <c r="T1797" s="4"/>
      <c r="U1797" s="4"/>
      <c r="V1797" s="4"/>
      <c r="W1797" s="4"/>
      <c r="X1797" s="4"/>
    </row>
    <row r="1798" spans="17:24" x14ac:dyDescent="0.3">
      <c r="Q1798" s="4"/>
      <c r="R1798" s="4"/>
      <c r="S1798" s="4"/>
      <c r="T1798" s="4"/>
      <c r="U1798" s="4"/>
      <c r="V1798" s="4"/>
      <c r="W1798" s="4"/>
      <c r="X1798" s="4"/>
    </row>
    <row r="1799" spans="17:24" x14ac:dyDescent="0.3">
      <c r="Q1799" s="4"/>
      <c r="R1799" s="4"/>
      <c r="S1799" s="4"/>
      <c r="T1799" s="4"/>
      <c r="U1799" s="4"/>
      <c r="V1799" s="4"/>
      <c r="W1799" s="4"/>
      <c r="X1799" s="4"/>
    </row>
    <row r="1800" spans="17:24" x14ac:dyDescent="0.3">
      <c r="Q1800" s="4"/>
      <c r="R1800" s="4"/>
      <c r="S1800" s="4"/>
      <c r="T1800" s="4"/>
      <c r="U1800" s="4"/>
      <c r="V1800" s="4"/>
      <c r="W1800" s="4"/>
      <c r="X1800" s="4"/>
    </row>
    <row r="1801" spans="17:24" x14ac:dyDescent="0.3">
      <c r="Q1801" s="4"/>
      <c r="R1801" s="4"/>
      <c r="S1801" s="4"/>
      <c r="T1801" s="4"/>
      <c r="U1801" s="4"/>
      <c r="V1801" s="4"/>
      <c r="W1801" s="4"/>
      <c r="X1801" s="4"/>
    </row>
    <row r="1802" spans="17:24" x14ac:dyDescent="0.3">
      <c r="Q1802" s="4"/>
      <c r="R1802" s="4"/>
      <c r="S1802" s="4"/>
      <c r="T1802" s="4"/>
      <c r="U1802" s="4"/>
      <c r="V1802" s="4"/>
      <c r="W1802" s="4"/>
      <c r="X1802" s="4"/>
    </row>
    <row r="1803" spans="17:24" x14ac:dyDescent="0.3">
      <c r="Q1803" s="4"/>
      <c r="R1803" s="4"/>
      <c r="S1803" s="4"/>
      <c r="T1803" s="4"/>
      <c r="U1803" s="4"/>
      <c r="V1803" s="4"/>
      <c r="W1803" s="4"/>
      <c r="X1803" s="4"/>
    </row>
    <row r="1804" spans="17:24" x14ac:dyDescent="0.3">
      <c r="Q1804" s="4"/>
      <c r="R1804" s="4"/>
      <c r="S1804" s="4"/>
      <c r="T1804" s="4"/>
      <c r="U1804" s="4"/>
      <c r="V1804" s="4"/>
      <c r="W1804" s="4"/>
      <c r="X1804" s="4"/>
    </row>
    <row r="1805" spans="17:24" x14ac:dyDescent="0.3">
      <c r="Q1805" s="4"/>
      <c r="R1805" s="4"/>
      <c r="S1805" s="4"/>
      <c r="T1805" s="4"/>
      <c r="U1805" s="4"/>
      <c r="V1805" s="4"/>
      <c r="W1805" s="4"/>
      <c r="X1805" s="4"/>
    </row>
    <row r="1806" spans="17:24" x14ac:dyDescent="0.3">
      <c r="Q1806" s="4"/>
      <c r="R1806" s="4"/>
      <c r="S1806" s="4"/>
      <c r="T1806" s="4"/>
      <c r="U1806" s="4"/>
      <c r="V1806" s="4"/>
      <c r="W1806" s="4"/>
      <c r="X1806" s="4"/>
    </row>
    <row r="1807" spans="17:24" x14ac:dyDescent="0.3">
      <c r="Q1807" s="4"/>
      <c r="R1807" s="4"/>
      <c r="S1807" s="4"/>
      <c r="T1807" s="4"/>
      <c r="U1807" s="4"/>
      <c r="V1807" s="4"/>
      <c r="W1807" s="4"/>
      <c r="X1807" s="4"/>
    </row>
    <row r="1808" spans="17:24" x14ac:dyDescent="0.3">
      <c r="Q1808" s="4"/>
      <c r="R1808" s="4"/>
      <c r="S1808" s="4"/>
      <c r="T1808" s="4"/>
      <c r="U1808" s="4"/>
      <c r="V1808" s="4"/>
      <c r="W1808" s="4"/>
      <c r="X1808" s="4"/>
    </row>
    <row r="1809" spans="17:24" x14ac:dyDescent="0.3">
      <c r="Q1809" s="4"/>
      <c r="R1809" s="4"/>
      <c r="S1809" s="4"/>
      <c r="T1809" s="4"/>
      <c r="U1809" s="4"/>
      <c r="V1809" s="4"/>
      <c r="W1809" s="4"/>
      <c r="X1809" s="4"/>
    </row>
    <row r="1810" spans="17:24" x14ac:dyDescent="0.3">
      <c r="Q1810" s="4"/>
      <c r="R1810" s="4"/>
      <c r="S1810" s="4"/>
      <c r="T1810" s="4"/>
      <c r="U1810" s="4"/>
      <c r="V1810" s="4"/>
      <c r="W1810" s="4"/>
      <c r="X1810" s="4"/>
    </row>
    <row r="1811" spans="17:24" x14ac:dyDescent="0.3">
      <c r="Q1811" s="4"/>
      <c r="R1811" s="4"/>
      <c r="S1811" s="4"/>
      <c r="T1811" s="4"/>
      <c r="U1811" s="4"/>
      <c r="V1811" s="4"/>
      <c r="W1811" s="4"/>
      <c r="X1811" s="4"/>
    </row>
    <row r="1812" spans="17:24" x14ac:dyDescent="0.3">
      <c r="Q1812" s="4"/>
      <c r="R1812" s="4"/>
      <c r="S1812" s="4"/>
      <c r="T1812" s="4"/>
      <c r="U1812" s="4"/>
      <c r="V1812" s="4"/>
      <c r="W1812" s="4"/>
      <c r="X1812" s="4"/>
    </row>
    <row r="1813" spans="17:24" x14ac:dyDescent="0.3">
      <c r="Q1813" s="4"/>
      <c r="R1813" s="4"/>
      <c r="S1813" s="4"/>
      <c r="T1813" s="4"/>
      <c r="U1813" s="4"/>
      <c r="V1813" s="4"/>
      <c r="W1813" s="4"/>
      <c r="X1813" s="4"/>
    </row>
    <row r="1814" spans="17:24" x14ac:dyDescent="0.3">
      <c r="Q1814" s="4"/>
      <c r="R1814" s="4"/>
      <c r="S1814" s="4"/>
      <c r="T1814" s="4"/>
      <c r="U1814" s="4"/>
      <c r="V1814" s="4"/>
      <c r="W1814" s="4"/>
      <c r="X1814" s="4"/>
    </row>
    <row r="1815" spans="17:24" x14ac:dyDescent="0.3">
      <c r="Q1815" s="4"/>
      <c r="R1815" s="4"/>
      <c r="S1815" s="4"/>
      <c r="T1815" s="4"/>
      <c r="U1815" s="4"/>
      <c r="V1815" s="4"/>
      <c r="W1815" s="4"/>
      <c r="X1815" s="4"/>
    </row>
    <row r="1816" spans="17:24" x14ac:dyDescent="0.3">
      <c r="Q1816" s="4"/>
      <c r="R1816" s="4"/>
      <c r="S1816" s="4"/>
      <c r="T1816" s="4"/>
      <c r="U1816" s="4"/>
      <c r="V1816" s="4"/>
      <c r="W1816" s="4"/>
      <c r="X1816" s="4"/>
    </row>
    <row r="1817" spans="17:24" x14ac:dyDescent="0.3">
      <c r="Q1817" s="4"/>
      <c r="R1817" s="4"/>
      <c r="S1817" s="4"/>
      <c r="T1817" s="4"/>
      <c r="U1817" s="4"/>
      <c r="V1817" s="4"/>
      <c r="W1817" s="4"/>
      <c r="X1817" s="4"/>
    </row>
    <row r="1818" spans="17:24" x14ac:dyDescent="0.3">
      <c r="Q1818" s="4"/>
      <c r="R1818" s="4"/>
      <c r="S1818" s="4"/>
      <c r="T1818" s="4"/>
      <c r="U1818" s="4"/>
      <c r="V1818" s="4"/>
      <c r="W1818" s="4"/>
      <c r="X1818" s="4"/>
    </row>
    <row r="1819" spans="17:24" x14ac:dyDescent="0.3">
      <c r="Q1819" s="4"/>
      <c r="R1819" s="4"/>
      <c r="S1819" s="4"/>
      <c r="T1819" s="4"/>
      <c r="U1819" s="4"/>
      <c r="V1819" s="4"/>
      <c r="W1819" s="4"/>
      <c r="X1819" s="4"/>
    </row>
    <row r="1820" spans="17:24" x14ac:dyDescent="0.3">
      <c r="Q1820" s="4"/>
      <c r="R1820" s="4"/>
      <c r="S1820" s="4"/>
      <c r="T1820" s="4"/>
      <c r="U1820" s="4"/>
      <c r="V1820" s="4"/>
      <c r="W1820" s="4"/>
      <c r="X1820" s="4"/>
    </row>
    <row r="1821" spans="17:24" x14ac:dyDescent="0.3">
      <c r="Q1821" s="4"/>
      <c r="R1821" s="4"/>
      <c r="S1821" s="4"/>
      <c r="T1821" s="4"/>
      <c r="U1821" s="4"/>
      <c r="V1821" s="4"/>
      <c r="W1821" s="4"/>
      <c r="X1821" s="4"/>
    </row>
    <row r="1822" spans="17:24" x14ac:dyDescent="0.3">
      <c r="Q1822" s="4"/>
      <c r="R1822" s="4"/>
      <c r="S1822" s="4"/>
      <c r="T1822" s="4"/>
      <c r="U1822" s="4"/>
      <c r="V1822" s="4"/>
      <c r="W1822" s="4"/>
      <c r="X1822" s="4"/>
    </row>
    <row r="1823" spans="17:24" x14ac:dyDescent="0.3">
      <c r="Q1823" s="4"/>
      <c r="R1823" s="4"/>
      <c r="S1823" s="4"/>
      <c r="T1823" s="4"/>
      <c r="U1823" s="4"/>
      <c r="V1823" s="4"/>
      <c r="W1823" s="4"/>
      <c r="X1823" s="4"/>
    </row>
    <row r="1824" spans="17:24" x14ac:dyDescent="0.3">
      <c r="Q1824" s="4"/>
      <c r="R1824" s="4"/>
      <c r="S1824" s="4"/>
      <c r="T1824" s="4"/>
      <c r="U1824" s="4"/>
      <c r="V1824" s="4"/>
      <c r="W1824" s="4"/>
      <c r="X1824" s="4"/>
    </row>
    <row r="1825" spans="17:24" x14ac:dyDescent="0.3">
      <c r="Q1825" s="4"/>
      <c r="R1825" s="4"/>
      <c r="S1825" s="4"/>
      <c r="T1825" s="4"/>
      <c r="U1825" s="4"/>
      <c r="V1825" s="4"/>
      <c r="W1825" s="4"/>
      <c r="X1825" s="4"/>
    </row>
    <row r="1826" spans="17:24" x14ac:dyDescent="0.3">
      <c r="Q1826" s="4"/>
      <c r="R1826" s="4"/>
      <c r="S1826" s="4"/>
      <c r="T1826" s="4"/>
      <c r="U1826" s="4"/>
      <c r="V1826" s="4"/>
      <c r="W1826" s="4"/>
      <c r="X1826" s="4"/>
    </row>
    <row r="1827" spans="17:24" x14ac:dyDescent="0.3">
      <c r="Q1827" s="4"/>
      <c r="R1827" s="4"/>
      <c r="S1827" s="4"/>
      <c r="T1827" s="4"/>
      <c r="U1827" s="4"/>
      <c r="V1827" s="4"/>
      <c r="W1827" s="4"/>
      <c r="X1827" s="4"/>
    </row>
    <row r="1828" spans="17:24" x14ac:dyDescent="0.3">
      <c r="Q1828" s="4"/>
      <c r="R1828" s="4"/>
      <c r="S1828" s="4"/>
      <c r="T1828" s="4"/>
      <c r="U1828" s="4"/>
      <c r="V1828" s="4"/>
      <c r="W1828" s="4"/>
      <c r="X1828" s="4"/>
    </row>
    <row r="1829" spans="17:24" x14ac:dyDescent="0.3">
      <c r="Q1829" s="4"/>
      <c r="R1829" s="4"/>
      <c r="S1829" s="4"/>
      <c r="T1829" s="4"/>
      <c r="U1829" s="4"/>
      <c r="V1829" s="4"/>
      <c r="W1829" s="4"/>
      <c r="X1829" s="4"/>
    </row>
    <row r="1830" spans="17:24" x14ac:dyDescent="0.3">
      <c r="Q1830" s="4"/>
      <c r="R1830" s="4"/>
      <c r="S1830" s="4"/>
      <c r="T1830" s="4"/>
      <c r="U1830" s="4"/>
      <c r="V1830" s="4"/>
      <c r="W1830" s="4"/>
      <c r="X1830" s="4"/>
    </row>
    <row r="1831" spans="17:24" x14ac:dyDescent="0.3">
      <c r="Q1831" s="4"/>
      <c r="R1831" s="4"/>
      <c r="S1831" s="4"/>
      <c r="T1831" s="4"/>
      <c r="U1831" s="4"/>
      <c r="V1831" s="4"/>
      <c r="W1831" s="4"/>
      <c r="X1831" s="4"/>
    </row>
    <row r="1832" spans="17:24" x14ac:dyDescent="0.3">
      <c r="Q1832" s="4"/>
      <c r="R1832" s="4"/>
      <c r="S1832" s="4"/>
      <c r="T1832" s="4"/>
      <c r="U1832" s="4"/>
      <c r="V1832" s="4"/>
      <c r="W1832" s="4"/>
      <c r="X1832" s="4"/>
    </row>
    <row r="1833" spans="17:24" x14ac:dyDescent="0.3">
      <c r="Q1833" s="4"/>
      <c r="R1833" s="4"/>
      <c r="S1833" s="4"/>
      <c r="T1833" s="4"/>
      <c r="U1833" s="4"/>
      <c r="V1833" s="4"/>
      <c r="W1833" s="4"/>
      <c r="X1833" s="4"/>
    </row>
    <row r="1834" spans="17:24" x14ac:dyDescent="0.3">
      <c r="Q1834" s="4"/>
      <c r="R1834" s="4"/>
      <c r="S1834" s="4"/>
      <c r="T1834" s="4"/>
      <c r="U1834" s="4"/>
      <c r="V1834" s="4"/>
      <c r="W1834" s="4"/>
      <c r="X1834" s="4"/>
    </row>
    <row r="1835" spans="17:24" x14ac:dyDescent="0.3">
      <c r="Q1835" s="4"/>
      <c r="R1835" s="4"/>
      <c r="S1835" s="4"/>
      <c r="T1835" s="4"/>
      <c r="U1835" s="4"/>
      <c r="V1835" s="4"/>
      <c r="W1835" s="4"/>
      <c r="X1835" s="4"/>
    </row>
    <row r="1836" spans="17:24" x14ac:dyDescent="0.3">
      <c r="Q1836" s="4"/>
      <c r="R1836" s="4"/>
      <c r="S1836" s="4"/>
      <c r="T1836" s="4"/>
      <c r="U1836" s="4"/>
      <c r="V1836" s="4"/>
      <c r="W1836" s="4"/>
      <c r="X1836" s="4"/>
    </row>
    <row r="1837" spans="17:24" x14ac:dyDescent="0.3">
      <c r="Q1837" s="4"/>
      <c r="R1837" s="4"/>
      <c r="S1837" s="4"/>
      <c r="T1837" s="4"/>
      <c r="U1837" s="4"/>
      <c r="V1837" s="4"/>
      <c r="W1837" s="4"/>
      <c r="X1837" s="4"/>
    </row>
    <row r="1838" spans="17:24" x14ac:dyDescent="0.3">
      <c r="Q1838" s="4"/>
      <c r="R1838" s="4"/>
      <c r="S1838" s="4"/>
      <c r="T1838" s="4"/>
      <c r="U1838" s="4"/>
      <c r="V1838" s="4"/>
      <c r="W1838" s="4"/>
      <c r="X1838" s="4"/>
    </row>
    <row r="1839" spans="17:24" x14ac:dyDescent="0.3">
      <c r="Q1839" s="4"/>
      <c r="R1839" s="4"/>
      <c r="S1839" s="4"/>
      <c r="T1839" s="4"/>
      <c r="U1839" s="4"/>
      <c r="V1839" s="4"/>
      <c r="W1839" s="4"/>
      <c r="X1839" s="4"/>
    </row>
    <row r="1840" spans="17:24" x14ac:dyDescent="0.3">
      <c r="Q1840" s="4"/>
      <c r="R1840" s="4"/>
      <c r="S1840" s="4"/>
      <c r="T1840" s="4"/>
      <c r="U1840" s="4"/>
      <c r="V1840" s="4"/>
      <c r="W1840" s="4"/>
      <c r="X1840" s="4"/>
    </row>
    <row r="1841" spans="17:24" x14ac:dyDescent="0.3">
      <c r="Q1841" s="4"/>
      <c r="R1841" s="4"/>
      <c r="S1841" s="4"/>
      <c r="T1841" s="4"/>
      <c r="U1841" s="4"/>
      <c r="V1841" s="4"/>
      <c r="W1841" s="4"/>
      <c r="X1841" s="4"/>
    </row>
    <row r="1842" spans="17:24" x14ac:dyDescent="0.3">
      <c r="Q1842" s="4"/>
      <c r="R1842" s="4"/>
      <c r="S1842" s="4"/>
      <c r="T1842" s="4"/>
      <c r="U1842" s="4"/>
      <c r="V1842" s="4"/>
      <c r="W1842" s="4"/>
      <c r="X1842" s="4"/>
    </row>
    <row r="1843" spans="17:24" x14ac:dyDescent="0.3">
      <c r="Q1843" s="4"/>
      <c r="R1843" s="4"/>
      <c r="S1843" s="4"/>
      <c r="T1843" s="4"/>
      <c r="U1843" s="4"/>
      <c r="V1843" s="4"/>
      <c r="W1843" s="4"/>
      <c r="X1843" s="4"/>
    </row>
    <row r="1844" spans="17:24" x14ac:dyDescent="0.3">
      <c r="Q1844" s="4"/>
      <c r="R1844" s="4"/>
      <c r="S1844" s="4"/>
      <c r="T1844" s="4"/>
      <c r="U1844" s="4"/>
      <c r="V1844" s="4"/>
      <c r="W1844" s="4"/>
      <c r="X1844" s="4"/>
    </row>
    <row r="1845" spans="17:24" x14ac:dyDescent="0.3">
      <c r="Q1845" s="4"/>
      <c r="R1845" s="4"/>
      <c r="S1845" s="4"/>
      <c r="T1845" s="4"/>
      <c r="U1845" s="4"/>
      <c r="V1845" s="4"/>
      <c r="W1845" s="4"/>
      <c r="X1845" s="4"/>
    </row>
    <row r="1846" spans="17:24" x14ac:dyDescent="0.3">
      <c r="Q1846" s="4"/>
      <c r="R1846" s="4"/>
      <c r="S1846" s="4"/>
      <c r="T1846" s="4"/>
      <c r="U1846" s="4"/>
      <c r="V1846" s="4"/>
      <c r="W1846" s="4"/>
      <c r="X1846" s="4"/>
    </row>
    <row r="1847" spans="17:24" x14ac:dyDescent="0.3">
      <c r="Q1847" s="4"/>
      <c r="R1847" s="4"/>
      <c r="S1847" s="4"/>
      <c r="T1847" s="4"/>
      <c r="U1847" s="4"/>
      <c r="V1847" s="4"/>
      <c r="W1847" s="4"/>
      <c r="X1847" s="4"/>
    </row>
    <row r="1848" spans="17:24" x14ac:dyDescent="0.3">
      <c r="Q1848" s="4"/>
      <c r="R1848" s="4"/>
      <c r="S1848" s="4"/>
      <c r="T1848" s="4"/>
      <c r="U1848" s="4"/>
      <c r="V1848" s="4"/>
      <c r="W1848" s="4"/>
      <c r="X1848" s="4"/>
    </row>
    <row r="1849" spans="17:24" x14ac:dyDescent="0.3">
      <c r="Q1849" s="4"/>
      <c r="R1849" s="4"/>
      <c r="S1849" s="4"/>
      <c r="T1849" s="4"/>
      <c r="U1849" s="4"/>
      <c r="V1849" s="4"/>
      <c r="W1849" s="4"/>
      <c r="X1849" s="4"/>
    </row>
    <row r="1850" spans="17:24" x14ac:dyDescent="0.3">
      <c r="Q1850" s="4"/>
      <c r="R1850" s="4"/>
      <c r="S1850" s="4"/>
      <c r="T1850" s="4"/>
      <c r="U1850" s="4"/>
      <c r="V1850" s="4"/>
      <c r="W1850" s="4"/>
      <c r="X1850" s="4"/>
    </row>
    <row r="1851" spans="17:24" x14ac:dyDescent="0.3">
      <c r="Q1851" s="4"/>
      <c r="R1851" s="4"/>
      <c r="S1851" s="4"/>
      <c r="T1851" s="4"/>
      <c r="U1851" s="4"/>
      <c r="V1851" s="4"/>
      <c r="W1851" s="4"/>
      <c r="X1851" s="4"/>
    </row>
    <row r="1852" spans="17:24" x14ac:dyDescent="0.3">
      <c r="Q1852" s="4"/>
      <c r="R1852" s="4"/>
      <c r="S1852" s="4"/>
      <c r="T1852" s="4"/>
      <c r="U1852" s="4"/>
      <c r="V1852" s="4"/>
      <c r="W1852" s="4"/>
      <c r="X1852" s="4"/>
    </row>
    <row r="1853" spans="17:24" x14ac:dyDescent="0.3">
      <c r="Q1853" s="4"/>
      <c r="R1853" s="4"/>
      <c r="S1853" s="4"/>
      <c r="T1853" s="4"/>
      <c r="U1853" s="4"/>
      <c r="V1853" s="4"/>
      <c r="W1853" s="4"/>
      <c r="X1853" s="4"/>
    </row>
    <row r="1854" spans="17:24" x14ac:dyDescent="0.3">
      <c r="Q1854" s="4"/>
      <c r="R1854" s="4"/>
      <c r="S1854" s="4"/>
      <c r="T1854" s="4"/>
      <c r="U1854" s="4"/>
      <c r="V1854" s="4"/>
      <c r="W1854" s="4"/>
      <c r="X1854" s="4"/>
    </row>
    <row r="1855" spans="17:24" x14ac:dyDescent="0.3">
      <c r="Q1855" s="4"/>
      <c r="R1855" s="4"/>
      <c r="S1855" s="4"/>
      <c r="T1855" s="4"/>
      <c r="U1855" s="4"/>
      <c r="V1855" s="4"/>
      <c r="W1855" s="4"/>
      <c r="X1855" s="4"/>
    </row>
    <row r="1856" spans="17:24" x14ac:dyDescent="0.3">
      <c r="Q1856" s="4"/>
      <c r="R1856" s="4"/>
      <c r="S1856" s="4"/>
      <c r="T1856" s="4"/>
      <c r="U1856" s="4"/>
      <c r="V1856" s="4"/>
      <c r="W1856" s="4"/>
      <c r="X1856" s="4"/>
    </row>
    <row r="1857" spans="17:24" x14ac:dyDescent="0.3">
      <c r="Q1857" s="4"/>
      <c r="R1857" s="4"/>
      <c r="S1857" s="4"/>
      <c r="T1857" s="4"/>
      <c r="U1857" s="4"/>
      <c r="V1857" s="4"/>
      <c r="W1857" s="4"/>
      <c r="X1857" s="4"/>
    </row>
    <row r="1858" spans="17:24" x14ac:dyDescent="0.3">
      <c r="Q1858" s="4"/>
      <c r="R1858" s="4"/>
      <c r="S1858" s="4"/>
      <c r="T1858" s="4"/>
      <c r="U1858" s="4"/>
      <c r="V1858" s="4"/>
      <c r="W1858" s="4"/>
      <c r="X1858" s="4"/>
    </row>
    <row r="1859" spans="17:24" x14ac:dyDescent="0.3">
      <c r="Q1859" s="4"/>
      <c r="R1859" s="4"/>
      <c r="S1859" s="4"/>
      <c r="T1859" s="4"/>
      <c r="U1859" s="4"/>
      <c r="V1859" s="4"/>
      <c r="W1859" s="4"/>
      <c r="X1859" s="4"/>
    </row>
    <row r="1860" spans="17:24" x14ac:dyDescent="0.3">
      <c r="Q1860" s="4"/>
      <c r="R1860" s="4"/>
      <c r="S1860" s="4"/>
      <c r="T1860" s="4"/>
      <c r="U1860" s="4"/>
      <c r="V1860" s="4"/>
      <c r="W1860" s="4"/>
      <c r="X1860" s="4"/>
    </row>
    <row r="1861" spans="17:24" x14ac:dyDescent="0.3">
      <c r="Q1861" s="4"/>
      <c r="R1861" s="4"/>
      <c r="S1861" s="4"/>
      <c r="T1861" s="4"/>
      <c r="U1861" s="4"/>
      <c r="V1861" s="4"/>
      <c r="W1861" s="4"/>
      <c r="X1861" s="4"/>
    </row>
    <row r="1862" spans="17:24" x14ac:dyDescent="0.3">
      <c r="Q1862" s="4"/>
      <c r="R1862" s="4"/>
      <c r="S1862" s="4"/>
      <c r="T1862" s="4"/>
      <c r="U1862" s="4"/>
      <c r="V1862" s="4"/>
      <c r="W1862" s="4"/>
      <c r="X1862" s="4"/>
    </row>
    <row r="1863" spans="17:24" x14ac:dyDescent="0.3">
      <c r="Q1863" s="4"/>
      <c r="R1863" s="4"/>
      <c r="S1863" s="4"/>
      <c r="T1863" s="4"/>
      <c r="U1863" s="4"/>
      <c r="V1863" s="4"/>
      <c r="W1863" s="4"/>
      <c r="X1863" s="4"/>
    </row>
    <row r="1864" spans="17:24" x14ac:dyDescent="0.3">
      <c r="Q1864" s="4"/>
      <c r="R1864" s="4"/>
      <c r="S1864" s="4"/>
      <c r="T1864" s="4"/>
      <c r="U1864" s="4"/>
      <c r="V1864" s="4"/>
      <c r="W1864" s="4"/>
      <c r="X1864" s="4"/>
    </row>
    <row r="1865" spans="17:24" x14ac:dyDescent="0.3">
      <c r="Q1865" s="4"/>
      <c r="R1865" s="4"/>
      <c r="S1865" s="4"/>
      <c r="T1865" s="4"/>
      <c r="U1865" s="4"/>
      <c r="V1865" s="4"/>
      <c r="W1865" s="4"/>
      <c r="X1865" s="4"/>
    </row>
    <row r="1866" spans="17:24" x14ac:dyDescent="0.3">
      <c r="Q1866" s="4"/>
      <c r="R1866" s="4"/>
      <c r="S1866" s="4"/>
      <c r="T1866" s="4"/>
      <c r="U1866" s="4"/>
      <c r="V1866" s="4"/>
      <c r="W1866" s="4"/>
      <c r="X1866" s="4"/>
    </row>
    <row r="1867" spans="17:24" x14ac:dyDescent="0.3">
      <c r="Q1867" s="4"/>
      <c r="R1867" s="4"/>
      <c r="S1867" s="4"/>
      <c r="T1867" s="4"/>
      <c r="U1867" s="4"/>
      <c r="V1867" s="4"/>
      <c r="W1867" s="4"/>
      <c r="X1867" s="4"/>
    </row>
    <row r="1868" spans="17:24" x14ac:dyDescent="0.3">
      <c r="Q1868" s="4"/>
      <c r="R1868" s="4"/>
      <c r="S1868" s="4"/>
      <c r="T1868" s="4"/>
      <c r="U1868" s="4"/>
      <c r="V1868" s="4"/>
      <c r="W1868" s="4"/>
      <c r="X1868" s="4"/>
    </row>
    <row r="1869" spans="17:24" x14ac:dyDescent="0.3">
      <c r="Q1869" s="4"/>
      <c r="R1869" s="4"/>
      <c r="S1869" s="4"/>
      <c r="T1869" s="4"/>
      <c r="U1869" s="4"/>
      <c r="V1869" s="4"/>
      <c r="W1869" s="4"/>
      <c r="X1869" s="4"/>
    </row>
    <row r="1870" spans="17:24" x14ac:dyDescent="0.3">
      <c r="Q1870" s="4"/>
      <c r="R1870" s="4"/>
      <c r="S1870" s="4"/>
      <c r="T1870" s="4"/>
      <c r="U1870" s="4"/>
      <c r="V1870" s="4"/>
      <c r="W1870" s="4"/>
      <c r="X1870" s="4"/>
    </row>
    <row r="1871" spans="17:24" x14ac:dyDescent="0.3">
      <c r="Q1871" s="4"/>
      <c r="R1871" s="4"/>
      <c r="S1871" s="4"/>
      <c r="T1871" s="4"/>
      <c r="U1871" s="4"/>
      <c r="V1871" s="4"/>
      <c r="W1871" s="4"/>
      <c r="X1871" s="4"/>
    </row>
    <row r="1872" spans="17:24" x14ac:dyDescent="0.3">
      <c r="Q1872" s="4"/>
      <c r="R1872" s="4"/>
      <c r="S1872" s="4"/>
      <c r="T1872" s="4"/>
      <c r="U1872" s="4"/>
      <c r="V1872" s="4"/>
      <c r="W1872" s="4"/>
      <c r="X1872" s="4"/>
    </row>
    <row r="1873" spans="17:24" x14ac:dyDescent="0.3">
      <c r="Q1873" s="4"/>
      <c r="R1873" s="4"/>
      <c r="S1873" s="4"/>
      <c r="T1873" s="4"/>
      <c r="U1873" s="4"/>
      <c r="V1873" s="4"/>
      <c r="W1873" s="4"/>
      <c r="X1873" s="4"/>
    </row>
    <row r="1874" spans="17:24" x14ac:dyDescent="0.3">
      <c r="Q1874" s="4"/>
      <c r="R1874" s="4"/>
      <c r="S1874" s="4"/>
      <c r="T1874" s="4"/>
      <c r="U1874" s="4"/>
      <c r="V1874" s="4"/>
      <c r="W1874" s="4"/>
      <c r="X1874" s="4"/>
    </row>
    <row r="1875" spans="17:24" x14ac:dyDescent="0.3">
      <c r="Q1875" s="4"/>
      <c r="R1875" s="4"/>
      <c r="S1875" s="4"/>
      <c r="T1875" s="4"/>
      <c r="U1875" s="4"/>
      <c r="V1875" s="4"/>
      <c r="W1875" s="4"/>
      <c r="X1875" s="4"/>
    </row>
    <row r="1876" spans="17:24" x14ac:dyDescent="0.3">
      <c r="Q1876" s="4"/>
      <c r="R1876" s="4"/>
      <c r="S1876" s="4"/>
      <c r="T1876" s="4"/>
      <c r="U1876" s="4"/>
      <c r="V1876" s="4"/>
      <c r="W1876" s="4"/>
      <c r="X1876" s="4"/>
    </row>
    <row r="1877" spans="17:24" x14ac:dyDescent="0.3">
      <c r="Q1877" s="4"/>
      <c r="R1877" s="4"/>
      <c r="S1877" s="4"/>
      <c r="T1877" s="4"/>
      <c r="U1877" s="4"/>
      <c r="V1877" s="4"/>
      <c r="W1877" s="4"/>
      <c r="X1877" s="4"/>
    </row>
    <row r="1878" spans="17:24" x14ac:dyDescent="0.3">
      <c r="Q1878" s="4"/>
      <c r="R1878" s="4"/>
      <c r="S1878" s="4"/>
      <c r="T1878" s="4"/>
      <c r="U1878" s="4"/>
      <c r="V1878" s="4"/>
      <c r="W1878" s="4"/>
      <c r="X1878" s="4"/>
    </row>
    <row r="1879" spans="17:24" x14ac:dyDescent="0.3">
      <c r="Q1879" s="4"/>
      <c r="R1879" s="4"/>
      <c r="S1879" s="4"/>
      <c r="T1879" s="4"/>
      <c r="U1879" s="4"/>
      <c r="V1879" s="4"/>
      <c r="W1879" s="4"/>
      <c r="X1879" s="4"/>
    </row>
    <row r="1880" spans="17:24" x14ac:dyDescent="0.3">
      <c r="Q1880" s="4"/>
      <c r="R1880" s="4"/>
      <c r="S1880" s="4"/>
      <c r="T1880" s="4"/>
      <c r="U1880" s="4"/>
      <c r="V1880" s="4"/>
      <c r="W1880" s="4"/>
      <c r="X1880" s="4"/>
    </row>
    <row r="1881" spans="17:24" x14ac:dyDescent="0.3">
      <c r="Q1881" s="4"/>
      <c r="R1881" s="4"/>
      <c r="S1881" s="4"/>
      <c r="T1881" s="4"/>
      <c r="U1881" s="4"/>
      <c r="V1881" s="4"/>
      <c r="W1881" s="4"/>
      <c r="X1881" s="4"/>
    </row>
    <row r="1882" spans="17:24" x14ac:dyDescent="0.3">
      <c r="Q1882" s="4"/>
      <c r="R1882" s="4"/>
      <c r="S1882" s="4"/>
      <c r="T1882" s="4"/>
      <c r="U1882" s="4"/>
      <c r="V1882" s="4"/>
      <c r="W1882" s="4"/>
      <c r="X1882" s="4"/>
    </row>
    <row r="1883" spans="17:24" x14ac:dyDescent="0.3">
      <c r="Q1883" s="4"/>
      <c r="R1883" s="4"/>
      <c r="S1883" s="4"/>
      <c r="T1883" s="4"/>
      <c r="U1883" s="4"/>
      <c r="V1883" s="4"/>
      <c r="W1883" s="4"/>
      <c r="X1883" s="4"/>
    </row>
    <row r="1884" spans="17:24" x14ac:dyDescent="0.3">
      <c r="Q1884" s="4"/>
      <c r="R1884" s="4"/>
      <c r="S1884" s="4"/>
      <c r="T1884" s="4"/>
      <c r="U1884" s="4"/>
      <c r="V1884" s="4"/>
      <c r="W1884" s="4"/>
      <c r="X1884" s="4"/>
    </row>
    <row r="1885" spans="17:24" x14ac:dyDescent="0.3">
      <c r="Q1885" s="4"/>
      <c r="R1885" s="4"/>
      <c r="S1885" s="4"/>
      <c r="T1885" s="4"/>
      <c r="U1885" s="4"/>
      <c r="V1885" s="4"/>
      <c r="W1885" s="4"/>
      <c r="X1885" s="4"/>
    </row>
    <row r="1886" spans="17:24" x14ac:dyDescent="0.3">
      <c r="Q1886" s="4"/>
      <c r="R1886" s="4"/>
      <c r="S1886" s="4"/>
      <c r="T1886" s="4"/>
      <c r="U1886" s="4"/>
      <c r="V1886" s="4"/>
      <c r="W1886" s="4"/>
      <c r="X1886" s="4"/>
    </row>
    <row r="1887" spans="17:24" x14ac:dyDescent="0.3">
      <c r="Q1887" s="4"/>
      <c r="R1887" s="4"/>
      <c r="S1887" s="4"/>
      <c r="T1887" s="4"/>
      <c r="U1887" s="4"/>
      <c r="V1887" s="4"/>
      <c r="W1887" s="4"/>
      <c r="X1887" s="4"/>
    </row>
    <row r="1888" spans="17:24" x14ac:dyDescent="0.3">
      <c r="Q1888" s="4"/>
      <c r="R1888" s="4"/>
      <c r="S1888" s="4"/>
      <c r="T1888" s="4"/>
      <c r="U1888" s="4"/>
      <c r="V1888" s="4"/>
      <c r="W1888" s="4"/>
      <c r="X1888" s="4"/>
    </row>
    <row r="1889" spans="17:24" x14ac:dyDescent="0.3">
      <c r="Q1889" s="4"/>
      <c r="R1889" s="4"/>
      <c r="S1889" s="4"/>
      <c r="T1889" s="4"/>
      <c r="U1889" s="4"/>
      <c r="V1889" s="4"/>
      <c r="W1889" s="4"/>
      <c r="X1889" s="4"/>
    </row>
    <row r="1890" spans="17:24" x14ac:dyDescent="0.3">
      <c r="Q1890" s="4"/>
      <c r="R1890" s="4"/>
      <c r="S1890" s="4"/>
      <c r="T1890" s="4"/>
      <c r="U1890" s="4"/>
      <c r="V1890" s="4"/>
      <c r="W1890" s="4"/>
      <c r="X1890" s="4"/>
    </row>
    <row r="1891" spans="17:24" x14ac:dyDescent="0.3">
      <c r="Q1891" s="4"/>
      <c r="R1891" s="4"/>
      <c r="S1891" s="4"/>
      <c r="T1891" s="4"/>
      <c r="U1891" s="4"/>
      <c r="V1891" s="4"/>
      <c r="W1891" s="4"/>
      <c r="X1891" s="4"/>
    </row>
    <row r="1892" spans="17:24" x14ac:dyDescent="0.3">
      <c r="Q1892" s="4"/>
      <c r="R1892" s="4"/>
      <c r="S1892" s="4"/>
      <c r="T1892" s="4"/>
      <c r="U1892" s="4"/>
      <c r="V1892" s="4"/>
      <c r="W1892" s="4"/>
      <c r="X1892" s="4"/>
    </row>
    <row r="1893" spans="17:24" x14ac:dyDescent="0.3">
      <c r="Q1893" s="4"/>
      <c r="R1893" s="4"/>
      <c r="S1893" s="4"/>
      <c r="T1893" s="4"/>
      <c r="U1893" s="4"/>
      <c r="V1893" s="4"/>
      <c r="W1893" s="4"/>
      <c r="X1893" s="4"/>
    </row>
    <row r="1894" spans="17:24" x14ac:dyDescent="0.3">
      <c r="Q1894" s="4"/>
      <c r="R1894" s="4"/>
      <c r="S1894" s="4"/>
      <c r="T1894" s="4"/>
      <c r="U1894" s="4"/>
      <c r="V1894" s="4"/>
      <c r="W1894" s="4"/>
      <c r="X1894" s="4"/>
    </row>
    <row r="1895" spans="17:24" x14ac:dyDescent="0.3">
      <c r="Q1895" s="4"/>
      <c r="R1895" s="4"/>
      <c r="S1895" s="4"/>
      <c r="T1895" s="4"/>
      <c r="U1895" s="4"/>
      <c r="V1895" s="4"/>
      <c r="W1895" s="4"/>
      <c r="X1895" s="4"/>
    </row>
    <row r="1896" spans="17:24" x14ac:dyDescent="0.3">
      <c r="Q1896" s="4"/>
      <c r="R1896" s="4"/>
      <c r="S1896" s="4"/>
      <c r="T1896" s="4"/>
      <c r="U1896" s="4"/>
      <c r="V1896" s="4"/>
      <c r="W1896" s="4"/>
      <c r="X1896" s="4"/>
    </row>
    <row r="1897" spans="17:24" x14ac:dyDescent="0.3">
      <c r="Q1897" s="4"/>
      <c r="R1897" s="4"/>
      <c r="S1897" s="4"/>
      <c r="T1897" s="4"/>
      <c r="U1897" s="4"/>
      <c r="V1897" s="4"/>
      <c r="W1897" s="4"/>
      <c r="X1897" s="4"/>
    </row>
    <row r="1898" spans="17:24" x14ac:dyDescent="0.3">
      <c r="Q1898" s="4"/>
      <c r="R1898" s="4"/>
      <c r="S1898" s="4"/>
      <c r="T1898" s="4"/>
      <c r="U1898" s="4"/>
      <c r="V1898" s="4"/>
      <c r="W1898" s="4"/>
      <c r="X1898" s="4"/>
    </row>
    <row r="1899" spans="17:24" x14ac:dyDescent="0.3">
      <c r="Q1899" s="4"/>
      <c r="R1899" s="4"/>
      <c r="S1899" s="4"/>
      <c r="T1899" s="4"/>
      <c r="U1899" s="4"/>
      <c r="V1899" s="4"/>
      <c r="W1899" s="4"/>
      <c r="X1899" s="4"/>
    </row>
    <row r="1900" spans="17:24" x14ac:dyDescent="0.3">
      <c r="Q1900" s="4"/>
      <c r="R1900" s="4"/>
      <c r="S1900" s="4"/>
      <c r="T1900" s="4"/>
      <c r="U1900" s="4"/>
      <c r="V1900" s="4"/>
      <c r="W1900" s="4"/>
      <c r="X1900" s="4"/>
    </row>
    <row r="1901" spans="17:24" x14ac:dyDescent="0.3">
      <c r="Q1901" s="4"/>
      <c r="R1901" s="4"/>
      <c r="S1901" s="4"/>
      <c r="T1901" s="4"/>
      <c r="U1901" s="4"/>
      <c r="V1901" s="4"/>
      <c r="W1901" s="4"/>
      <c r="X1901" s="4"/>
    </row>
    <row r="1902" spans="17:24" x14ac:dyDescent="0.3">
      <c r="Q1902" s="4"/>
      <c r="R1902" s="4"/>
      <c r="S1902" s="4"/>
      <c r="T1902" s="4"/>
      <c r="U1902" s="4"/>
      <c r="V1902" s="4"/>
      <c r="W1902" s="4"/>
      <c r="X1902" s="4"/>
    </row>
    <row r="1903" spans="17:24" x14ac:dyDescent="0.3">
      <c r="Q1903" s="4"/>
      <c r="R1903" s="4"/>
      <c r="S1903" s="4"/>
      <c r="T1903" s="4"/>
      <c r="U1903" s="4"/>
      <c r="V1903" s="4"/>
      <c r="W1903" s="4"/>
      <c r="X1903" s="4"/>
    </row>
    <row r="1904" spans="17:24" x14ac:dyDescent="0.3">
      <c r="Q1904" s="4"/>
      <c r="R1904" s="4"/>
      <c r="S1904" s="4"/>
      <c r="T1904" s="4"/>
      <c r="U1904" s="4"/>
      <c r="V1904" s="4"/>
      <c r="W1904" s="4"/>
      <c r="X1904" s="4"/>
    </row>
    <row r="1905" spans="17:24" x14ac:dyDescent="0.3">
      <c r="Q1905" s="4"/>
      <c r="R1905" s="4"/>
      <c r="S1905" s="4"/>
      <c r="T1905" s="4"/>
      <c r="U1905" s="4"/>
      <c r="V1905" s="4"/>
      <c r="W1905" s="4"/>
      <c r="X1905" s="4"/>
    </row>
    <row r="1906" spans="17:24" x14ac:dyDescent="0.3">
      <c r="Q1906" s="4"/>
      <c r="R1906" s="4"/>
      <c r="S1906" s="4"/>
      <c r="T1906" s="4"/>
      <c r="U1906" s="4"/>
      <c r="V1906" s="4"/>
      <c r="W1906" s="4"/>
      <c r="X1906" s="4"/>
    </row>
    <row r="1907" spans="17:24" x14ac:dyDescent="0.3">
      <c r="Q1907" s="4"/>
      <c r="R1907" s="4"/>
      <c r="S1907" s="4"/>
      <c r="T1907" s="4"/>
      <c r="U1907" s="4"/>
      <c r="V1907" s="4"/>
      <c r="W1907" s="4"/>
      <c r="X1907" s="4"/>
    </row>
    <row r="1908" spans="17:24" x14ac:dyDescent="0.3">
      <c r="Q1908" s="4"/>
      <c r="R1908" s="4"/>
      <c r="S1908" s="4"/>
      <c r="T1908" s="4"/>
      <c r="U1908" s="4"/>
      <c r="V1908" s="4"/>
      <c r="W1908" s="4"/>
      <c r="X1908" s="4"/>
    </row>
    <row r="1909" spans="17:24" x14ac:dyDescent="0.3">
      <c r="Q1909" s="4"/>
      <c r="R1909" s="4"/>
      <c r="S1909" s="4"/>
      <c r="T1909" s="4"/>
      <c r="U1909" s="4"/>
      <c r="V1909" s="4"/>
      <c r="W1909" s="4"/>
      <c r="X1909" s="4"/>
    </row>
    <row r="1910" spans="17:24" x14ac:dyDescent="0.3">
      <c r="Q1910" s="4"/>
      <c r="R1910" s="4"/>
      <c r="S1910" s="4"/>
      <c r="T1910" s="4"/>
      <c r="U1910" s="4"/>
      <c r="V1910" s="4"/>
      <c r="W1910" s="4"/>
      <c r="X1910" s="4"/>
    </row>
    <row r="1911" spans="17:24" x14ac:dyDescent="0.3">
      <c r="Q1911" s="4"/>
      <c r="R1911" s="4"/>
      <c r="S1911" s="4"/>
      <c r="T1911" s="4"/>
      <c r="U1911" s="4"/>
      <c r="V1911" s="4"/>
      <c r="W1911" s="4"/>
      <c r="X1911" s="4"/>
    </row>
    <row r="1912" spans="17:24" x14ac:dyDescent="0.3">
      <c r="Q1912" s="4"/>
      <c r="R1912" s="4"/>
      <c r="S1912" s="4"/>
      <c r="T1912" s="4"/>
      <c r="U1912" s="4"/>
      <c r="V1912" s="4"/>
      <c r="W1912" s="4"/>
      <c r="X1912" s="4"/>
    </row>
    <row r="1913" spans="17:24" x14ac:dyDescent="0.3">
      <c r="Q1913" s="4"/>
      <c r="R1913" s="4"/>
      <c r="S1913" s="4"/>
      <c r="T1913" s="4"/>
      <c r="U1913" s="4"/>
      <c r="V1913" s="4"/>
      <c r="W1913" s="4"/>
      <c r="X1913" s="4"/>
    </row>
    <row r="1914" spans="17:24" x14ac:dyDescent="0.3">
      <c r="Q1914" s="4"/>
      <c r="R1914" s="4"/>
      <c r="S1914" s="4"/>
      <c r="T1914" s="4"/>
      <c r="U1914" s="4"/>
      <c r="V1914" s="4"/>
      <c r="W1914" s="4"/>
      <c r="X1914" s="4"/>
    </row>
    <row r="1915" spans="17:24" x14ac:dyDescent="0.3">
      <c r="Q1915" s="4"/>
      <c r="R1915" s="4"/>
      <c r="S1915" s="4"/>
      <c r="T1915" s="4"/>
      <c r="U1915" s="4"/>
      <c r="V1915" s="4"/>
      <c r="W1915" s="4"/>
      <c r="X1915" s="4"/>
    </row>
    <row r="1916" spans="17:24" x14ac:dyDescent="0.3">
      <c r="Q1916" s="4"/>
      <c r="R1916" s="4"/>
      <c r="S1916" s="4"/>
      <c r="T1916" s="4"/>
      <c r="U1916" s="4"/>
      <c r="V1916" s="4"/>
      <c r="W1916" s="4"/>
      <c r="X1916" s="4"/>
    </row>
    <row r="1917" spans="17:24" x14ac:dyDescent="0.3">
      <c r="Q1917" s="4"/>
      <c r="R1917" s="4"/>
      <c r="S1917" s="4"/>
      <c r="T1917" s="4"/>
      <c r="U1917" s="4"/>
      <c r="V1917" s="4"/>
      <c r="W1917" s="4"/>
      <c r="X1917" s="4"/>
    </row>
    <row r="1918" spans="17:24" x14ac:dyDescent="0.3">
      <c r="Q1918" s="4"/>
      <c r="R1918" s="4"/>
      <c r="S1918" s="4"/>
      <c r="T1918" s="4"/>
      <c r="U1918" s="4"/>
      <c r="V1918" s="4"/>
      <c r="W1918" s="4"/>
      <c r="X1918" s="4"/>
    </row>
    <row r="1919" spans="17:24" x14ac:dyDescent="0.3">
      <c r="Q1919" s="4"/>
      <c r="R1919" s="4"/>
      <c r="S1919" s="4"/>
      <c r="T1919" s="4"/>
      <c r="U1919" s="4"/>
      <c r="V1919" s="4"/>
      <c r="W1919" s="4"/>
      <c r="X1919" s="4"/>
    </row>
    <row r="1920" spans="17:24" x14ac:dyDescent="0.3">
      <c r="Q1920" s="4"/>
      <c r="R1920" s="4"/>
      <c r="S1920" s="4"/>
      <c r="T1920" s="4"/>
      <c r="U1920" s="4"/>
      <c r="V1920" s="4"/>
      <c r="W1920" s="4"/>
      <c r="X1920" s="4"/>
    </row>
    <row r="1921" spans="17:24" x14ac:dyDescent="0.3">
      <c r="Q1921" s="4"/>
      <c r="R1921" s="4"/>
      <c r="S1921" s="4"/>
      <c r="T1921" s="4"/>
      <c r="U1921" s="4"/>
      <c r="V1921" s="4"/>
      <c r="W1921" s="4"/>
      <c r="X1921" s="4"/>
    </row>
    <row r="1922" spans="17:24" x14ac:dyDescent="0.3">
      <c r="Q1922" s="4"/>
      <c r="R1922" s="4"/>
      <c r="S1922" s="4"/>
      <c r="T1922" s="4"/>
      <c r="U1922" s="4"/>
      <c r="V1922" s="4"/>
      <c r="W1922" s="4"/>
      <c r="X1922" s="4"/>
    </row>
    <row r="1923" spans="17:24" x14ac:dyDescent="0.3">
      <c r="Q1923" s="4"/>
      <c r="R1923" s="4"/>
      <c r="S1923" s="4"/>
      <c r="T1923" s="4"/>
      <c r="U1923" s="4"/>
      <c r="V1923" s="4"/>
      <c r="W1923" s="4"/>
      <c r="X1923" s="4"/>
    </row>
    <row r="1924" spans="17:24" x14ac:dyDescent="0.3">
      <c r="Q1924" s="4"/>
      <c r="R1924" s="4"/>
      <c r="S1924" s="4"/>
      <c r="T1924" s="4"/>
      <c r="U1924" s="4"/>
      <c r="V1924" s="4"/>
      <c r="W1924" s="4"/>
      <c r="X1924" s="4"/>
    </row>
    <row r="1925" spans="17:24" x14ac:dyDescent="0.3">
      <c r="Q1925" s="4"/>
      <c r="R1925" s="4"/>
      <c r="S1925" s="4"/>
      <c r="T1925" s="4"/>
      <c r="U1925" s="4"/>
      <c r="V1925" s="4"/>
      <c r="W1925" s="4"/>
      <c r="X1925" s="4"/>
    </row>
    <row r="1926" spans="17:24" x14ac:dyDescent="0.3">
      <c r="Q1926" s="4"/>
      <c r="R1926" s="4"/>
      <c r="S1926" s="4"/>
      <c r="T1926" s="4"/>
      <c r="U1926" s="4"/>
      <c r="V1926" s="4"/>
      <c r="W1926" s="4"/>
      <c r="X1926" s="4"/>
    </row>
    <row r="1927" spans="17:24" x14ac:dyDescent="0.3">
      <c r="Q1927" s="4"/>
      <c r="R1927" s="4"/>
      <c r="S1927" s="4"/>
      <c r="T1927" s="4"/>
      <c r="U1927" s="4"/>
      <c r="V1927" s="4"/>
      <c r="W1927" s="4"/>
      <c r="X1927" s="4"/>
    </row>
    <row r="1928" spans="17:24" x14ac:dyDescent="0.3">
      <c r="Q1928" s="4"/>
      <c r="R1928" s="4"/>
      <c r="S1928" s="4"/>
      <c r="T1928" s="4"/>
      <c r="U1928" s="4"/>
      <c r="V1928" s="4"/>
      <c r="W1928" s="4"/>
      <c r="X1928" s="4"/>
    </row>
    <row r="1929" spans="17:24" x14ac:dyDescent="0.3">
      <c r="Q1929" s="4"/>
      <c r="R1929" s="4"/>
      <c r="S1929" s="4"/>
      <c r="T1929" s="4"/>
      <c r="U1929" s="4"/>
      <c r="V1929" s="4"/>
      <c r="W1929" s="4"/>
      <c r="X1929" s="4"/>
    </row>
    <row r="1930" spans="17:24" x14ac:dyDescent="0.3">
      <c r="Q1930" s="4"/>
      <c r="R1930" s="4"/>
      <c r="S1930" s="4"/>
      <c r="T1930" s="4"/>
      <c r="U1930" s="4"/>
      <c r="V1930" s="4"/>
      <c r="W1930" s="4"/>
      <c r="X1930" s="4"/>
    </row>
    <row r="1931" spans="17:24" x14ac:dyDescent="0.3">
      <c r="Q1931" s="4"/>
      <c r="R1931" s="4"/>
      <c r="S1931" s="4"/>
      <c r="T1931" s="4"/>
      <c r="U1931" s="4"/>
      <c r="V1931" s="4"/>
      <c r="W1931" s="4"/>
      <c r="X1931" s="4"/>
    </row>
    <row r="1932" spans="17:24" x14ac:dyDescent="0.3">
      <c r="Q1932" s="4"/>
      <c r="R1932" s="4"/>
      <c r="S1932" s="4"/>
      <c r="T1932" s="4"/>
      <c r="U1932" s="4"/>
      <c r="V1932" s="4"/>
      <c r="W1932" s="4"/>
      <c r="X1932" s="4"/>
    </row>
    <row r="1933" spans="17:24" x14ac:dyDescent="0.3">
      <c r="Q1933" s="4"/>
      <c r="R1933" s="4"/>
      <c r="S1933" s="4"/>
      <c r="T1933" s="4"/>
      <c r="U1933" s="4"/>
      <c r="V1933" s="4"/>
      <c r="W1933" s="4"/>
      <c r="X1933" s="4"/>
    </row>
    <row r="1934" spans="17:24" x14ac:dyDescent="0.3">
      <c r="Q1934" s="4"/>
      <c r="R1934" s="4"/>
      <c r="S1934" s="4"/>
      <c r="T1934" s="4"/>
      <c r="U1934" s="4"/>
      <c r="V1934" s="4"/>
      <c r="W1934" s="4"/>
      <c r="X1934" s="4"/>
    </row>
    <row r="1935" spans="17:24" x14ac:dyDescent="0.3">
      <c r="Q1935" s="4"/>
      <c r="R1935" s="4"/>
      <c r="S1935" s="4"/>
      <c r="T1935" s="4"/>
      <c r="U1935" s="4"/>
      <c r="V1935" s="4"/>
      <c r="W1935" s="4"/>
      <c r="X1935" s="4"/>
    </row>
    <row r="1936" spans="17:24" x14ac:dyDescent="0.3">
      <c r="Q1936" s="4"/>
      <c r="R1936" s="4"/>
      <c r="S1936" s="4"/>
      <c r="T1936" s="4"/>
      <c r="U1936" s="4"/>
      <c r="V1936" s="4"/>
      <c r="W1936" s="4"/>
      <c r="X1936" s="4"/>
    </row>
    <row r="1937" spans="17:24" x14ac:dyDescent="0.3">
      <c r="Q1937" s="4"/>
      <c r="R1937" s="4"/>
      <c r="S1937" s="4"/>
      <c r="T1937" s="4"/>
      <c r="U1937" s="4"/>
      <c r="V1937" s="4"/>
      <c r="W1937" s="4"/>
      <c r="X1937" s="4"/>
    </row>
    <row r="1938" spans="17:24" x14ac:dyDescent="0.3">
      <c r="Q1938" s="4"/>
      <c r="R1938" s="4"/>
      <c r="S1938" s="4"/>
      <c r="T1938" s="4"/>
      <c r="U1938" s="4"/>
      <c r="V1938" s="4"/>
      <c r="W1938" s="4"/>
      <c r="X1938" s="4"/>
    </row>
    <row r="1939" spans="17:24" x14ac:dyDescent="0.3">
      <c r="Q1939" s="4"/>
      <c r="R1939" s="4"/>
      <c r="S1939" s="4"/>
      <c r="T1939" s="4"/>
      <c r="U1939" s="4"/>
      <c r="V1939" s="4"/>
      <c r="W1939" s="4"/>
      <c r="X1939" s="4"/>
    </row>
    <row r="1940" spans="17:24" x14ac:dyDescent="0.3">
      <c r="Q1940" s="4"/>
      <c r="R1940" s="4"/>
      <c r="S1940" s="4"/>
      <c r="T1940" s="4"/>
      <c r="U1940" s="4"/>
      <c r="V1940" s="4"/>
      <c r="W1940" s="4"/>
      <c r="X1940" s="4"/>
    </row>
    <row r="1941" spans="17:24" x14ac:dyDescent="0.3">
      <c r="Q1941" s="4"/>
      <c r="R1941" s="4"/>
      <c r="S1941" s="4"/>
      <c r="T1941" s="4"/>
      <c r="U1941" s="4"/>
      <c r="V1941" s="4"/>
      <c r="W1941" s="4"/>
      <c r="X1941" s="4"/>
    </row>
    <row r="1942" spans="17:24" x14ac:dyDescent="0.3">
      <c r="Q1942" s="4"/>
      <c r="R1942" s="4"/>
      <c r="S1942" s="4"/>
      <c r="T1942" s="4"/>
      <c r="U1942" s="4"/>
      <c r="V1942" s="4"/>
      <c r="W1942" s="4"/>
      <c r="X1942" s="4"/>
    </row>
    <row r="1943" spans="17:24" x14ac:dyDescent="0.3">
      <c r="Q1943" s="4"/>
      <c r="R1943" s="4"/>
      <c r="S1943" s="4"/>
      <c r="T1943" s="4"/>
      <c r="U1943" s="4"/>
      <c r="V1943" s="4"/>
      <c r="W1943" s="4"/>
      <c r="X1943" s="4"/>
    </row>
    <row r="1944" spans="17:24" x14ac:dyDescent="0.3">
      <c r="Q1944" s="4"/>
      <c r="R1944" s="4"/>
      <c r="S1944" s="4"/>
      <c r="T1944" s="4"/>
      <c r="U1944" s="4"/>
      <c r="V1944" s="4"/>
      <c r="W1944" s="4"/>
      <c r="X1944" s="4"/>
    </row>
    <row r="1945" spans="17:24" x14ac:dyDescent="0.3">
      <c r="Q1945" s="4"/>
      <c r="R1945" s="4"/>
      <c r="S1945" s="4"/>
      <c r="T1945" s="4"/>
      <c r="U1945" s="4"/>
      <c r="V1945" s="4"/>
      <c r="W1945" s="4"/>
      <c r="X1945" s="4"/>
    </row>
    <row r="1946" spans="17:24" x14ac:dyDescent="0.3">
      <c r="Q1946" s="4"/>
      <c r="R1946" s="4"/>
      <c r="S1946" s="4"/>
      <c r="T1946" s="4"/>
      <c r="U1946" s="4"/>
      <c r="V1946" s="4"/>
      <c r="W1946" s="4"/>
      <c r="X1946" s="4"/>
    </row>
    <row r="1947" spans="17:24" x14ac:dyDescent="0.3">
      <c r="Q1947" s="4"/>
      <c r="R1947" s="4"/>
      <c r="S1947" s="4"/>
      <c r="T1947" s="4"/>
      <c r="U1947" s="4"/>
      <c r="V1947" s="4"/>
      <c r="W1947" s="4"/>
      <c r="X1947" s="4"/>
    </row>
    <row r="1948" spans="17:24" x14ac:dyDescent="0.3">
      <c r="Q1948" s="4"/>
      <c r="R1948" s="4"/>
      <c r="S1948" s="4"/>
      <c r="T1948" s="4"/>
      <c r="U1948" s="4"/>
      <c r="V1948" s="4"/>
      <c r="W1948" s="4"/>
      <c r="X1948" s="4"/>
    </row>
    <row r="1949" spans="17:24" x14ac:dyDescent="0.3">
      <c r="Q1949" s="4"/>
      <c r="R1949" s="4"/>
      <c r="S1949" s="4"/>
      <c r="T1949" s="4"/>
      <c r="U1949" s="4"/>
      <c r="V1949" s="4"/>
      <c r="W1949" s="4"/>
      <c r="X1949" s="4"/>
    </row>
    <row r="1950" spans="17:24" x14ac:dyDescent="0.3">
      <c r="Q1950" s="4"/>
      <c r="R1950" s="4"/>
      <c r="S1950" s="4"/>
      <c r="T1950" s="4"/>
      <c r="U1950" s="4"/>
      <c r="V1950" s="4"/>
      <c r="W1950" s="4"/>
      <c r="X1950" s="4"/>
    </row>
    <row r="1951" spans="17:24" x14ac:dyDescent="0.3">
      <c r="Q1951" s="4"/>
      <c r="R1951" s="4"/>
      <c r="S1951" s="4"/>
      <c r="T1951" s="4"/>
      <c r="U1951" s="4"/>
      <c r="V1951" s="4"/>
      <c r="W1951" s="4"/>
      <c r="X1951" s="4"/>
    </row>
    <row r="1952" spans="17:24" x14ac:dyDescent="0.3">
      <c r="Q1952" s="4"/>
      <c r="R1952" s="4"/>
      <c r="S1952" s="4"/>
      <c r="T1952" s="4"/>
      <c r="U1952" s="4"/>
      <c r="V1952" s="4"/>
      <c r="W1952" s="4"/>
      <c r="X1952" s="4"/>
    </row>
    <row r="1953" spans="17:24" x14ac:dyDescent="0.3">
      <c r="Q1953" s="4"/>
      <c r="R1953" s="4"/>
      <c r="S1953" s="4"/>
      <c r="T1953" s="4"/>
      <c r="U1953" s="4"/>
      <c r="V1953" s="4"/>
      <c r="W1953" s="4"/>
      <c r="X1953" s="4"/>
    </row>
    <row r="1954" spans="17:24" x14ac:dyDescent="0.3">
      <c r="Q1954" s="4"/>
      <c r="R1954" s="4"/>
      <c r="S1954" s="4"/>
      <c r="T1954" s="4"/>
      <c r="U1954" s="4"/>
      <c r="V1954" s="4"/>
      <c r="W1954" s="4"/>
      <c r="X1954" s="4"/>
    </row>
    <row r="1955" spans="17:24" x14ac:dyDescent="0.3">
      <c r="Q1955" s="4"/>
      <c r="R1955" s="4"/>
      <c r="S1955" s="4"/>
      <c r="T1955" s="4"/>
      <c r="U1955" s="4"/>
      <c r="V1955" s="4"/>
      <c r="W1955" s="4"/>
      <c r="X1955" s="4"/>
    </row>
    <row r="1956" spans="17:24" x14ac:dyDescent="0.3">
      <c r="Q1956" s="4"/>
      <c r="R1956" s="4"/>
      <c r="S1956" s="4"/>
      <c r="T1956" s="4"/>
      <c r="U1956" s="4"/>
      <c r="V1956" s="4"/>
      <c r="W1956" s="4"/>
      <c r="X1956" s="4"/>
    </row>
    <row r="1957" spans="17:24" x14ac:dyDescent="0.3">
      <c r="Q1957" s="4"/>
      <c r="R1957" s="4"/>
      <c r="S1957" s="4"/>
      <c r="T1957" s="4"/>
      <c r="U1957" s="4"/>
      <c r="V1957" s="4"/>
      <c r="W1957" s="4"/>
      <c r="X1957" s="4"/>
    </row>
    <row r="1958" spans="17:24" x14ac:dyDescent="0.3">
      <c r="Q1958" s="4"/>
      <c r="R1958" s="4"/>
      <c r="S1958" s="4"/>
      <c r="T1958" s="4"/>
      <c r="U1958" s="4"/>
      <c r="V1958" s="4"/>
      <c r="W1958" s="4"/>
      <c r="X1958" s="4"/>
    </row>
    <row r="1959" spans="17:24" x14ac:dyDescent="0.3">
      <c r="Q1959" s="4"/>
      <c r="R1959" s="4"/>
      <c r="S1959" s="4"/>
      <c r="T1959" s="4"/>
      <c r="U1959" s="4"/>
      <c r="V1959" s="4"/>
      <c r="W1959" s="4"/>
      <c r="X1959" s="4"/>
    </row>
    <row r="1960" spans="17:24" x14ac:dyDescent="0.3">
      <c r="Q1960" s="4"/>
      <c r="R1960" s="4"/>
      <c r="S1960" s="4"/>
      <c r="T1960" s="4"/>
      <c r="U1960" s="4"/>
      <c r="V1960" s="4"/>
      <c r="W1960" s="4"/>
      <c r="X1960" s="4"/>
    </row>
    <row r="1961" spans="17:24" x14ac:dyDescent="0.3">
      <c r="Q1961" s="4"/>
      <c r="R1961" s="4"/>
      <c r="S1961" s="4"/>
      <c r="T1961" s="4"/>
      <c r="U1961" s="4"/>
      <c r="V1961" s="4"/>
      <c r="W1961" s="4"/>
      <c r="X1961" s="4"/>
    </row>
    <row r="1962" spans="17:24" x14ac:dyDescent="0.3">
      <c r="Q1962" s="4"/>
      <c r="R1962" s="4"/>
      <c r="S1962" s="4"/>
      <c r="T1962" s="4"/>
      <c r="U1962" s="4"/>
      <c r="V1962" s="4"/>
      <c r="W1962" s="4"/>
      <c r="X1962" s="4"/>
    </row>
    <row r="1963" spans="17:24" x14ac:dyDescent="0.3">
      <c r="Q1963" s="4"/>
      <c r="R1963" s="4"/>
      <c r="S1963" s="4"/>
      <c r="T1963" s="4"/>
      <c r="U1963" s="4"/>
      <c r="V1963" s="4"/>
      <c r="W1963" s="4"/>
      <c r="X1963" s="4"/>
    </row>
    <row r="1964" spans="17:24" x14ac:dyDescent="0.3">
      <c r="Q1964" s="4"/>
      <c r="R1964" s="4"/>
      <c r="S1964" s="4"/>
      <c r="T1964" s="4"/>
      <c r="U1964" s="4"/>
      <c r="V1964" s="4"/>
      <c r="W1964" s="4"/>
      <c r="X1964" s="4"/>
    </row>
    <row r="1965" spans="17:24" x14ac:dyDescent="0.3">
      <c r="Q1965" s="4"/>
      <c r="R1965" s="4"/>
      <c r="S1965" s="4"/>
      <c r="T1965" s="4"/>
      <c r="U1965" s="4"/>
      <c r="V1965" s="4"/>
      <c r="W1965" s="4"/>
      <c r="X1965" s="4"/>
    </row>
    <row r="1966" spans="17:24" x14ac:dyDescent="0.3">
      <c r="Q1966" s="4"/>
      <c r="R1966" s="4"/>
      <c r="S1966" s="4"/>
      <c r="T1966" s="4"/>
      <c r="U1966" s="4"/>
      <c r="V1966" s="4"/>
      <c r="W1966" s="4"/>
      <c r="X1966" s="4"/>
    </row>
    <row r="1967" spans="17:24" x14ac:dyDescent="0.3">
      <c r="Q1967" s="4"/>
      <c r="R1967" s="4"/>
      <c r="S1967" s="4"/>
      <c r="T1967" s="4"/>
      <c r="U1967" s="4"/>
      <c r="V1967" s="4"/>
      <c r="W1967" s="4"/>
      <c r="X1967" s="4"/>
    </row>
    <row r="1968" spans="17:24" x14ac:dyDescent="0.3">
      <c r="Q1968" s="4"/>
      <c r="R1968" s="4"/>
      <c r="S1968" s="4"/>
      <c r="T1968" s="4"/>
      <c r="U1968" s="4"/>
      <c r="V1968" s="4"/>
      <c r="W1968" s="4"/>
      <c r="X1968" s="4"/>
    </row>
    <row r="1969" spans="17:24" x14ac:dyDescent="0.3">
      <c r="Q1969" s="4"/>
      <c r="R1969" s="4"/>
      <c r="S1969" s="4"/>
      <c r="T1969" s="4"/>
      <c r="U1969" s="4"/>
      <c r="V1969" s="4"/>
      <c r="W1969" s="4"/>
      <c r="X1969" s="4"/>
    </row>
    <row r="1970" spans="17:24" x14ac:dyDescent="0.3">
      <c r="Q1970" s="4"/>
      <c r="R1970" s="4"/>
      <c r="S1970" s="4"/>
      <c r="T1970" s="4"/>
      <c r="U1970" s="4"/>
      <c r="V1970" s="4"/>
      <c r="W1970" s="4"/>
      <c r="X1970" s="4"/>
    </row>
    <row r="1971" spans="17:24" x14ac:dyDescent="0.3">
      <c r="Q1971" s="4"/>
      <c r="R1971" s="4"/>
      <c r="S1971" s="4"/>
      <c r="T1971" s="4"/>
      <c r="U1971" s="4"/>
      <c r="V1971" s="4"/>
      <c r="W1971" s="4"/>
      <c r="X1971" s="4"/>
    </row>
    <row r="1972" spans="17:24" x14ac:dyDescent="0.3">
      <c r="Q1972" s="4"/>
      <c r="R1972" s="4"/>
      <c r="S1972" s="4"/>
      <c r="T1972" s="4"/>
      <c r="U1972" s="4"/>
      <c r="V1972" s="4"/>
      <c r="W1972" s="4"/>
      <c r="X1972" s="4"/>
    </row>
    <row r="1973" spans="17:24" x14ac:dyDescent="0.3">
      <c r="Q1973" s="4"/>
      <c r="R1973" s="4"/>
      <c r="S1973" s="4"/>
      <c r="T1973" s="4"/>
      <c r="U1973" s="4"/>
      <c r="V1973" s="4"/>
      <c r="W1973" s="4"/>
      <c r="X1973" s="4"/>
    </row>
    <row r="1974" spans="17:24" x14ac:dyDescent="0.3">
      <c r="Q1974" s="4"/>
      <c r="R1974" s="4"/>
      <c r="S1974" s="4"/>
      <c r="T1974" s="4"/>
      <c r="U1974" s="4"/>
      <c r="V1974" s="4"/>
      <c r="W1974" s="4"/>
      <c r="X1974" s="4"/>
    </row>
    <row r="1975" spans="17:24" x14ac:dyDescent="0.3">
      <c r="Q1975" s="4"/>
      <c r="R1975" s="4"/>
      <c r="S1975" s="4"/>
      <c r="T1975" s="4"/>
      <c r="U1975" s="4"/>
      <c r="V1975" s="4"/>
      <c r="W1975" s="4"/>
      <c r="X1975" s="4"/>
    </row>
    <row r="1976" spans="17:24" x14ac:dyDescent="0.3">
      <c r="Q1976" s="4"/>
      <c r="R1976" s="4"/>
      <c r="S1976" s="4"/>
      <c r="T1976" s="4"/>
      <c r="U1976" s="4"/>
      <c r="V1976" s="4"/>
      <c r="W1976" s="4"/>
      <c r="X1976" s="4"/>
    </row>
    <row r="1977" spans="17:24" x14ac:dyDescent="0.3">
      <c r="Q1977" s="4"/>
      <c r="R1977" s="4"/>
      <c r="S1977" s="4"/>
      <c r="T1977" s="4"/>
      <c r="U1977" s="4"/>
      <c r="V1977" s="4"/>
      <c r="W1977" s="4"/>
      <c r="X1977" s="4"/>
    </row>
    <row r="1978" spans="17:24" x14ac:dyDescent="0.3">
      <c r="Q1978" s="4"/>
      <c r="R1978" s="4"/>
      <c r="S1978" s="4"/>
      <c r="T1978" s="4"/>
      <c r="U1978" s="4"/>
      <c r="V1978" s="4"/>
      <c r="W1978" s="4"/>
      <c r="X1978" s="4"/>
    </row>
    <row r="1979" spans="17:24" x14ac:dyDescent="0.3">
      <c r="Q1979" s="4"/>
      <c r="R1979" s="4"/>
      <c r="S1979" s="4"/>
      <c r="T1979" s="4"/>
      <c r="U1979" s="4"/>
      <c r="V1979" s="4"/>
      <c r="W1979" s="4"/>
      <c r="X1979" s="4"/>
    </row>
    <row r="1980" spans="17:24" x14ac:dyDescent="0.3">
      <c r="Q1980" s="4"/>
      <c r="R1980" s="4"/>
      <c r="S1980" s="4"/>
      <c r="T1980" s="4"/>
      <c r="U1980" s="4"/>
      <c r="V1980" s="4"/>
      <c r="W1980" s="4"/>
      <c r="X1980" s="4"/>
    </row>
    <row r="1981" spans="17:24" x14ac:dyDescent="0.3">
      <c r="Q1981" s="4"/>
      <c r="R1981" s="4"/>
      <c r="S1981" s="4"/>
      <c r="T1981" s="4"/>
      <c r="U1981" s="4"/>
      <c r="V1981" s="4"/>
      <c r="W1981" s="4"/>
      <c r="X1981" s="4"/>
    </row>
    <row r="1982" spans="17:24" x14ac:dyDescent="0.3">
      <c r="Q1982" s="4"/>
      <c r="R1982" s="4"/>
      <c r="S1982" s="4"/>
      <c r="T1982" s="4"/>
      <c r="U1982" s="4"/>
      <c r="V1982" s="4"/>
      <c r="W1982" s="4"/>
      <c r="X1982" s="4"/>
    </row>
    <row r="1983" spans="17:24" x14ac:dyDescent="0.3">
      <c r="Q1983" s="4"/>
      <c r="R1983" s="4"/>
      <c r="S1983" s="4"/>
      <c r="T1983" s="4"/>
      <c r="U1983" s="4"/>
      <c r="V1983" s="4"/>
      <c r="W1983" s="4"/>
      <c r="X1983" s="4"/>
    </row>
    <row r="1984" spans="17:24" x14ac:dyDescent="0.3">
      <c r="Q1984" s="4"/>
      <c r="R1984" s="4"/>
      <c r="S1984" s="4"/>
      <c r="T1984" s="4"/>
      <c r="U1984" s="4"/>
      <c r="V1984" s="4"/>
      <c r="W1984" s="4"/>
      <c r="X1984" s="4"/>
    </row>
    <row r="1985" spans="17:24" x14ac:dyDescent="0.3">
      <c r="Q1985" s="4"/>
      <c r="R1985" s="4"/>
      <c r="S1985" s="4"/>
      <c r="T1985" s="4"/>
      <c r="U1985" s="4"/>
      <c r="V1985" s="4"/>
      <c r="W1985" s="4"/>
      <c r="X1985" s="4"/>
    </row>
    <row r="1986" spans="17:24" x14ac:dyDescent="0.3">
      <c r="Q1986" s="4"/>
      <c r="R1986" s="4"/>
      <c r="S1986" s="4"/>
      <c r="T1986" s="4"/>
      <c r="U1986" s="4"/>
      <c r="V1986" s="4"/>
      <c r="W1986" s="4"/>
      <c r="X1986" s="4"/>
    </row>
    <row r="1987" spans="17:24" x14ac:dyDescent="0.3">
      <c r="Q1987" s="4"/>
      <c r="R1987" s="4"/>
      <c r="S1987" s="4"/>
      <c r="T1987" s="4"/>
      <c r="U1987" s="4"/>
      <c r="V1987" s="4"/>
      <c r="W1987" s="4"/>
      <c r="X1987" s="4"/>
    </row>
    <row r="1988" spans="17:24" x14ac:dyDescent="0.3">
      <c r="Q1988" s="4"/>
      <c r="R1988" s="4"/>
      <c r="S1988" s="4"/>
      <c r="T1988" s="4"/>
      <c r="U1988" s="4"/>
      <c r="V1988" s="4"/>
      <c r="W1988" s="4"/>
      <c r="X1988" s="4"/>
    </row>
    <row r="1989" spans="17:24" x14ac:dyDescent="0.3">
      <c r="Q1989" s="4"/>
      <c r="R1989" s="4"/>
      <c r="S1989" s="4"/>
      <c r="T1989" s="4"/>
      <c r="U1989" s="4"/>
      <c r="V1989" s="4"/>
      <c r="W1989" s="4"/>
      <c r="X1989" s="4"/>
    </row>
    <row r="1990" spans="17:24" x14ac:dyDescent="0.3">
      <c r="Q1990" s="4"/>
      <c r="R1990" s="4"/>
      <c r="S1990" s="4"/>
      <c r="T1990" s="4"/>
      <c r="U1990" s="4"/>
      <c r="V1990" s="4"/>
      <c r="W1990" s="4"/>
      <c r="X1990" s="4"/>
    </row>
    <row r="1991" spans="17:24" x14ac:dyDescent="0.3">
      <c r="Q1991" s="4"/>
      <c r="R1991" s="4"/>
      <c r="S1991" s="4"/>
      <c r="T1991" s="4"/>
      <c r="U1991" s="4"/>
      <c r="V1991" s="4"/>
      <c r="W1991" s="4"/>
      <c r="X1991" s="4"/>
    </row>
    <row r="1992" spans="17:24" x14ac:dyDescent="0.3">
      <c r="Q1992" s="4"/>
      <c r="R1992" s="4"/>
      <c r="S1992" s="4"/>
      <c r="T1992" s="4"/>
      <c r="U1992" s="4"/>
      <c r="V1992" s="4"/>
      <c r="W1992" s="4"/>
      <c r="X1992" s="4"/>
    </row>
    <row r="1993" spans="17:24" x14ac:dyDescent="0.3">
      <c r="Q1993" s="4"/>
      <c r="R1993" s="4"/>
      <c r="S1993" s="4"/>
      <c r="T1993" s="4"/>
      <c r="U1993" s="4"/>
      <c r="V1993" s="4"/>
      <c r="W1993" s="4"/>
      <c r="X1993" s="4"/>
    </row>
    <row r="1994" spans="17:24" x14ac:dyDescent="0.3">
      <c r="Q1994" s="4"/>
      <c r="R1994" s="4"/>
      <c r="S1994" s="4"/>
      <c r="T1994" s="4"/>
      <c r="U1994" s="4"/>
      <c r="V1994" s="4"/>
      <c r="W1994" s="4"/>
      <c r="X1994" s="4"/>
    </row>
    <row r="1995" spans="17:24" x14ac:dyDescent="0.3">
      <c r="Q1995" s="4"/>
      <c r="R1995" s="4"/>
      <c r="S1995" s="4"/>
      <c r="T1995" s="4"/>
      <c r="U1995" s="4"/>
      <c r="V1995" s="4"/>
      <c r="W1995" s="4"/>
      <c r="X1995" s="4"/>
    </row>
    <row r="1996" spans="17:24" x14ac:dyDescent="0.3">
      <c r="Q1996" s="4"/>
      <c r="R1996" s="4"/>
      <c r="S1996" s="4"/>
      <c r="T1996" s="4"/>
      <c r="U1996" s="4"/>
      <c r="V1996" s="4"/>
      <c r="W1996" s="4"/>
      <c r="X1996" s="4"/>
    </row>
    <row r="1997" spans="17:24" x14ac:dyDescent="0.3">
      <c r="Q1997" s="4"/>
      <c r="R1997" s="4"/>
      <c r="S1997" s="4"/>
      <c r="T1997" s="4"/>
      <c r="U1997" s="4"/>
      <c r="V1997" s="4"/>
      <c r="W1997" s="4"/>
      <c r="X1997" s="4"/>
    </row>
    <row r="1998" spans="17:24" x14ac:dyDescent="0.3">
      <c r="Q1998" s="4"/>
      <c r="R1998" s="4"/>
      <c r="S1998" s="4"/>
      <c r="T1998" s="4"/>
      <c r="U1998" s="4"/>
      <c r="V1998" s="4"/>
      <c r="W1998" s="4"/>
      <c r="X1998" s="4"/>
    </row>
    <row r="1999" spans="17:24" x14ac:dyDescent="0.3">
      <c r="Q1999" s="4"/>
      <c r="R1999" s="4"/>
      <c r="S1999" s="4"/>
      <c r="T1999" s="4"/>
      <c r="U1999" s="4"/>
      <c r="V1999" s="4"/>
      <c r="W1999" s="4"/>
      <c r="X1999" s="4"/>
    </row>
    <row r="2000" spans="17:24" x14ac:dyDescent="0.3">
      <c r="Q2000" s="4"/>
      <c r="R2000" s="4"/>
      <c r="S2000" s="4"/>
      <c r="T2000" s="4"/>
      <c r="U2000" s="4"/>
      <c r="V2000" s="4"/>
      <c r="W2000" s="4"/>
      <c r="X2000" s="4"/>
    </row>
    <row r="2001" spans="17:24" x14ac:dyDescent="0.3">
      <c r="Q2001" s="4"/>
      <c r="R2001" s="4"/>
      <c r="S2001" s="4"/>
      <c r="T2001" s="4"/>
      <c r="U2001" s="4"/>
      <c r="V2001" s="4"/>
      <c r="W2001" s="4"/>
      <c r="X2001" s="4"/>
    </row>
    <row r="2002" spans="17:24" x14ac:dyDescent="0.3">
      <c r="Q2002" s="4"/>
      <c r="R2002" s="4"/>
      <c r="S2002" s="4"/>
      <c r="T2002" s="4"/>
      <c r="U2002" s="4"/>
      <c r="V2002" s="4"/>
      <c r="W2002" s="4"/>
      <c r="X2002" s="4"/>
    </row>
    <row r="2003" spans="17:24" x14ac:dyDescent="0.3">
      <c r="Q2003" s="4"/>
      <c r="R2003" s="4"/>
      <c r="S2003" s="4"/>
      <c r="T2003" s="4"/>
      <c r="U2003" s="4"/>
      <c r="V2003" s="4"/>
      <c r="W2003" s="4"/>
      <c r="X2003" s="4"/>
    </row>
    <row r="2004" spans="17:24" x14ac:dyDescent="0.3">
      <c r="Q2004" s="4"/>
      <c r="R2004" s="4"/>
      <c r="S2004" s="4"/>
      <c r="T2004" s="4"/>
      <c r="U2004" s="4"/>
      <c r="V2004" s="4"/>
      <c r="W2004" s="4"/>
      <c r="X2004" s="4"/>
    </row>
    <row r="2005" spans="17:24" x14ac:dyDescent="0.3">
      <c r="Q2005" s="4"/>
      <c r="R2005" s="4"/>
      <c r="S2005" s="4"/>
      <c r="T2005" s="4"/>
      <c r="U2005" s="4"/>
      <c r="V2005" s="4"/>
      <c r="W2005" s="4"/>
      <c r="X2005" s="4"/>
    </row>
    <row r="2006" spans="17:24" x14ac:dyDescent="0.3">
      <c r="Q2006" s="4"/>
      <c r="R2006" s="4"/>
      <c r="S2006" s="4"/>
      <c r="T2006" s="4"/>
      <c r="U2006" s="4"/>
      <c r="V2006" s="4"/>
      <c r="W2006" s="4"/>
      <c r="X2006" s="4"/>
    </row>
    <row r="2007" spans="17:24" x14ac:dyDescent="0.3">
      <c r="Q2007" s="4"/>
      <c r="R2007" s="4"/>
      <c r="S2007" s="4"/>
      <c r="T2007" s="4"/>
      <c r="U2007" s="4"/>
      <c r="V2007" s="4"/>
      <c r="W2007" s="4"/>
      <c r="X2007" s="4"/>
    </row>
    <row r="2008" spans="17:24" x14ac:dyDescent="0.3">
      <c r="Q2008" s="4"/>
      <c r="R2008" s="4"/>
      <c r="S2008" s="4"/>
      <c r="T2008" s="4"/>
      <c r="U2008" s="4"/>
      <c r="V2008" s="4"/>
      <c r="W2008" s="4"/>
      <c r="X2008" s="4"/>
    </row>
    <row r="2009" spans="17:24" x14ac:dyDescent="0.3">
      <c r="Q2009" s="4"/>
      <c r="R2009" s="4"/>
      <c r="S2009" s="4"/>
      <c r="T2009" s="4"/>
      <c r="U2009" s="4"/>
      <c r="V2009" s="4"/>
      <c r="W2009" s="4"/>
      <c r="X2009" s="4"/>
    </row>
    <row r="2010" spans="17:24" x14ac:dyDescent="0.3">
      <c r="Q2010" s="4"/>
      <c r="R2010" s="4"/>
      <c r="S2010" s="4"/>
      <c r="T2010" s="4"/>
      <c r="U2010" s="4"/>
      <c r="V2010" s="4"/>
      <c r="W2010" s="4"/>
      <c r="X2010" s="4"/>
    </row>
    <row r="2011" spans="17:24" x14ac:dyDescent="0.3">
      <c r="Q2011" s="4"/>
      <c r="R2011" s="4"/>
      <c r="S2011" s="4"/>
      <c r="T2011" s="4"/>
      <c r="U2011" s="4"/>
      <c r="V2011" s="4"/>
      <c r="W2011" s="4"/>
      <c r="X2011" s="4"/>
    </row>
    <row r="2012" spans="17:24" x14ac:dyDescent="0.3">
      <c r="Q2012" s="4"/>
      <c r="R2012" s="4"/>
      <c r="S2012" s="4"/>
      <c r="T2012" s="4"/>
      <c r="U2012" s="4"/>
      <c r="V2012" s="4"/>
      <c r="W2012" s="4"/>
      <c r="X2012" s="4"/>
    </row>
    <row r="2013" spans="17:24" x14ac:dyDescent="0.3">
      <c r="Q2013" s="4"/>
      <c r="R2013" s="4"/>
      <c r="S2013" s="4"/>
      <c r="T2013" s="4"/>
      <c r="U2013" s="4"/>
      <c r="V2013" s="4"/>
      <c r="W2013" s="4"/>
      <c r="X2013" s="4"/>
    </row>
    <row r="2014" spans="17:24" x14ac:dyDescent="0.3">
      <c r="Q2014" s="4"/>
      <c r="R2014" s="4"/>
      <c r="S2014" s="4"/>
      <c r="T2014" s="4"/>
      <c r="U2014" s="4"/>
      <c r="V2014" s="4"/>
      <c r="W2014" s="4"/>
      <c r="X2014" s="4"/>
    </row>
    <row r="2015" spans="17:24" x14ac:dyDescent="0.3">
      <c r="Q2015" s="4"/>
      <c r="R2015" s="4"/>
      <c r="S2015" s="4"/>
      <c r="T2015" s="4"/>
      <c r="U2015" s="4"/>
      <c r="V2015" s="4"/>
      <c r="W2015" s="4"/>
      <c r="X2015" s="4"/>
    </row>
    <row r="2016" spans="17:24" x14ac:dyDescent="0.3">
      <c r="Q2016" s="4"/>
      <c r="R2016" s="4"/>
      <c r="S2016" s="4"/>
      <c r="T2016" s="4"/>
      <c r="U2016" s="4"/>
      <c r="V2016" s="4"/>
      <c r="W2016" s="4"/>
      <c r="X2016" s="4"/>
    </row>
    <row r="2017" spans="17:24" x14ac:dyDescent="0.3">
      <c r="Q2017" s="4"/>
      <c r="R2017" s="4"/>
      <c r="S2017" s="4"/>
      <c r="T2017" s="4"/>
      <c r="U2017" s="4"/>
      <c r="V2017" s="4"/>
      <c r="W2017" s="4"/>
      <c r="X2017" s="4"/>
    </row>
    <row r="2018" spans="17:24" x14ac:dyDescent="0.3">
      <c r="Q2018" s="4"/>
      <c r="R2018" s="4"/>
      <c r="S2018" s="4"/>
      <c r="T2018" s="4"/>
      <c r="U2018" s="4"/>
      <c r="V2018" s="4"/>
      <c r="W2018" s="4"/>
      <c r="X2018" s="4"/>
    </row>
    <row r="2019" spans="17:24" x14ac:dyDescent="0.3">
      <c r="Q2019" s="4"/>
      <c r="R2019" s="4"/>
      <c r="S2019" s="4"/>
      <c r="T2019" s="4"/>
      <c r="U2019" s="4"/>
      <c r="V2019" s="4"/>
      <c r="W2019" s="4"/>
      <c r="X2019" s="4"/>
    </row>
    <row r="2020" spans="17:24" x14ac:dyDescent="0.3">
      <c r="Q2020" s="4"/>
      <c r="R2020" s="4"/>
      <c r="S2020" s="4"/>
      <c r="T2020" s="4"/>
      <c r="U2020" s="4"/>
      <c r="V2020" s="4"/>
      <c r="W2020" s="4"/>
      <c r="X2020" s="4"/>
    </row>
    <row r="2021" spans="17:24" x14ac:dyDescent="0.3">
      <c r="Q2021" s="4"/>
      <c r="R2021" s="4"/>
      <c r="S2021" s="4"/>
      <c r="T2021" s="4"/>
      <c r="U2021" s="4"/>
      <c r="V2021" s="4"/>
      <c r="W2021" s="4"/>
      <c r="X2021" s="4"/>
    </row>
    <row r="2022" spans="17:24" x14ac:dyDescent="0.3">
      <c r="Q2022" s="4"/>
      <c r="R2022" s="4"/>
      <c r="S2022" s="4"/>
      <c r="T2022" s="4"/>
      <c r="U2022" s="4"/>
      <c r="V2022" s="4"/>
      <c r="W2022" s="4"/>
      <c r="X2022" s="4"/>
    </row>
    <row r="2023" spans="17:24" x14ac:dyDescent="0.3">
      <c r="Q2023" s="4"/>
      <c r="R2023" s="4"/>
      <c r="S2023" s="4"/>
      <c r="T2023" s="4"/>
      <c r="U2023" s="4"/>
      <c r="V2023" s="4"/>
      <c r="W2023" s="4"/>
      <c r="X2023" s="4"/>
    </row>
    <row r="2024" spans="17:24" x14ac:dyDescent="0.3">
      <c r="Q2024" s="4"/>
      <c r="R2024" s="4"/>
      <c r="S2024" s="4"/>
      <c r="T2024" s="4"/>
      <c r="U2024" s="4"/>
      <c r="V2024" s="4"/>
      <c r="W2024" s="4"/>
      <c r="X2024" s="4"/>
    </row>
    <row r="2025" spans="17:24" x14ac:dyDescent="0.3">
      <c r="Q2025" s="4"/>
      <c r="R2025" s="4"/>
      <c r="S2025" s="4"/>
      <c r="T2025" s="4"/>
      <c r="U2025" s="4"/>
      <c r="V2025" s="4"/>
      <c r="W2025" s="4"/>
      <c r="X2025" s="4"/>
    </row>
    <row r="2026" spans="17:24" x14ac:dyDescent="0.3">
      <c r="Q2026" s="4"/>
      <c r="R2026" s="4"/>
      <c r="S2026" s="4"/>
      <c r="T2026" s="4"/>
      <c r="U2026" s="4"/>
      <c r="V2026" s="4"/>
      <c r="W2026" s="4"/>
      <c r="X2026" s="4"/>
    </row>
    <row r="2027" spans="17:24" x14ac:dyDescent="0.3">
      <c r="Q2027" s="4"/>
      <c r="R2027" s="4"/>
      <c r="S2027" s="4"/>
      <c r="T2027" s="4"/>
      <c r="U2027" s="4"/>
      <c r="V2027" s="4"/>
      <c r="W2027" s="4"/>
      <c r="X2027" s="4"/>
    </row>
    <row r="2028" spans="17:24" x14ac:dyDescent="0.3">
      <c r="Q2028" s="4"/>
      <c r="R2028" s="4"/>
      <c r="S2028" s="4"/>
      <c r="T2028" s="4"/>
      <c r="U2028" s="4"/>
      <c r="V2028" s="4"/>
      <c r="W2028" s="4"/>
      <c r="X2028" s="4"/>
    </row>
    <row r="2029" spans="17:24" x14ac:dyDescent="0.3">
      <c r="Q2029" s="4"/>
      <c r="R2029" s="4"/>
      <c r="S2029" s="4"/>
      <c r="T2029" s="4"/>
      <c r="U2029" s="4"/>
      <c r="V2029" s="4"/>
      <c r="W2029" s="4"/>
      <c r="X2029" s="4"/>
    </row>
    <row r="2030" spans="17:24" x14ac:dyDescent="0.3">
      <c r="Q2030" s="4"/>
      <c r="R2030" s="4"/>
      <c r="S2030" s="4"/>
      <c r="T2030" s="4"/>
      <c r="U2030" s="4"/>
      <c r="V2030" s="4"/>
      <c r="W2030" s="4"/>
      <c r="X2030" s="4"/>
    </row>
    <row r="2031" spans="17:24" x14ac:dyDescent="0.3">
      <c r="Q2031" s="4"/>
      <c r="R2031" s="4"/>
      <c r="S2031" s="4"/>
      <c r="T2031" s="4"/>
      <c r="U2031" s="4"/>
      <c r="V2031" s="4"/>
      <c r="W2031" s="4"/>
      <c r="X2031" s="4"/>
    </row>
    <row r="2032" spans="17:24" x14ac:dyDescent="0.3">
      <c r="Q2032" s="4"/>
      <c r="R2032" s="4"/>
      <c r="S2032" s="4"/>
      <c r="T2032" s="4"/>
      <c r="U2032" s="4"/>
      <c r="V2032" s="4"/>
      <c r="W2032" s="4"/>
      <c r="X2032" s="4"/>
    </row>
    <row r="2033" spans="17:24" x14ac:dyDescent="0.3">
      <c r="Q2033" s="4"/>
      <c r="R2033" s="4"/>
      <c r="S2033" s="4"/>
      <c r="T2033" s="4"/>
      <c r="U2033" s="4"/>
      <c r="V2033" s="4"/>
      <c r="W2033" s="4"/>
      <c r="X2033" s="4"/>
    </row>
    <row r="2034" spans="17:24" x14ac:dyDescent="0.3">
      <c r="Q2034" s="4"/>
      <c r="R2034" s="4"/>
      <c r="S2034" s="4"/>
      <c r="T2034" s="4"/>
      <c r="U2034" s="4"/>
      <c r="V2034" s="4"/>
      <c r="W2034" s="4"/>
      <c r="X2034" s="4"/>
    </row>
    <row r="2035" spans="17:24" x14ac:dyDescent="0.3">
      <c r="Q2035" s="4"/>
      <c r="R2035" s="4"/>
      <c r="S2035" s="4"/>
      <c r="T2035" s="4"/>
      <c r="U2035" s="4"/>
      <c r="V2035" s="4"/>
      <c r="W2035" s="4"/>
      <c r="X2035" s="4"/>
    </row>
    <row r="2036" spans="17:24" x14ac:dyDescent="0.3">
      <c r="Q2036" s="4"/>
      <c r="R2036" s="4"/>
      <c r="S2036" s="4"/>
      <c r="T2036" s="4"/>
      <c r="U2036" s="4"/>
      <c r="V2036" s="4"/>
      <c r="W2036" s="4"/>
      <c r="X2036" s="4"/>
    </row>
    <row r="2037" spans="17:24" x14ac:dyDescent="0.3">
      <c r="Q2037" s="4"/>
      <c r="R2037" s="4"/>
      <c r="S2037" s="4"/>
      <c r="T2037" s="4"/>
      <c r="U2037" s="4"/>
      <c r="V2037" s="4"/>
      <c r="W2037" s="4"/>
      <c r="X2037" s="4"/>
    </row>
    <row r="2038" spans="17:24" x14ac:dyDescent="0.3">
      <c r="Q2038" s="4"/>
      <c r="R2038" s="4"/>
      <c r="S2038" s="4"/>
      <c r="T2038" s="4"/>
      <c r="U2038" s="4"/>
      <c r="V2038" s="4"/>
      <c r="W2038" s="4"/>
      <c r="X2038" s="4"/>
    </row>
    <row r="2039" spans="17:24" x14ac:dyDescent="0.3">
      <c r="Q2039" s="4"/>
      <c r="R2039" s="4"/>
      <c r="S2039" s="4"/>
      <c r="T2039" s="4"/>
      <c r="U2039" s="4"/>
      <c r="V2039" s="4"/>
      <c r="W2039" s="4"/>
      <c r="X2039" s="4"/>
    </row>
    <row r="2040" spans="17:24" x14ac:dyDescent="0.3">
      <c r="Q2040" s="4"/>
      <c r="R2040" s="4"/>
      <c r="S2040" s="4"/>
      <c r="T2040" s="4"/>
      <c r="U2040" s="4"/>
      <c r="V2040" s="4"/>
      <c r="W2040" s="4"/>
      <c r="X2040" s="4"/>
    </row>
    <row r="2041" spans="17:24" x14ac:dyDescent="0.3">
      <c r="Q2041" s="4"/>
      <c r="R2041" s="4"/>
      <c r="S2041" s="4"/>
      <c r="T2041" s="4"/>
      <c r="U2041" s="4"/>
      <c r="V2041" s="4"/>
      <c r="W2041" s="4"/>
      <c r="X2041" s="4"/>
    </row>
    <row r="2042" spans="17:24" x14ac:dyDescent="0.3">
      <c r="Q2042" s="4"/>
      <c r="R2042" s="4"/>
      <c r="S2042" s="4"/>
      <c r="T2042" s="4"/>
      <c r="U2042" s="4"/>
      <c r="V2042" s="4"/>
      <c r="W2042" s="4"/>
      <c r="X2042" s="4"/>
    </row>
    <row r="2043" spans="17:24" x14ac:dyDescent="0.3">
      <c r="Q2043" s="4"/>
      <c r="R2043" s="4"/>
      <c r="S2043" s="4"/>
      <c r="T2043" s="4"/>
      <c r="U2043" s="4"/>
      <c r="V2043" s="4"/>
      <c r="W2043" s="4"/>
      <c r="X2043" s="4"/>
    </row>
    <row r="2044" spans="17:24" x14ac:dyDescent="0.3">
      <c r="Q2044" s="4"/>
      <c r="R2044" s="4"/>
      <c r="S2044" s="4"/>
      <c r="T2044" s="4"/>
      <c r="U2044" s="4"/>
      <c r="V2044" s="4"/>
      <c r="W2044" s="4"/>
      <c r="X2044" s="4"/>
    </row>
    <row r="2045" spans="17:24" x14ac:dyDescent="0.3">
      <c r="Q2045" s="4"/>
      <c r="R2045" s="4"/>
      <c r="S2045" s="4"/>
      <c r="T2045" s="4"/>
      <c r="U2045" s="4"/>
      <c r="V2045" s="4"/>
      <c r="W2045" s="4"/>
      <c r="X2045" s="4"/>
    </row>
    <row r="2046" spans="17:24" x14ac:dyDescent="0.3">
      <c r="Q2046" s="4"/>
      <c r="R2046" s="4"/>
      <c r="S2046" s="4"/>
      <c r="T2046" s="4"/>
      <c r="U2046" s="4"/>
      <c r="V2046" s="4"/>
      <c r="W2046" s="4"/>
      <c r="X2046" s="4"/>
    </row>
    <row r="2047" spans="17:24" x14ac:dyDescent="0.3">
      <c r="Q2047" s="4"/>
      <c r="R2047" s="4"/>
      <c r="S2047" s="4"/>
      <c r="T2047" s="4"/>
      <c r="U2047" s="4"/>
      <c r="V2047" s="4"/>
      <c r="W2047" s="4"/>
      <c r="X2047" s="4"/>
    </row>
    <row r="2048" spans="17:24" x14ac:dyDescent="0.3">
      <c r="Q2048" s="4"/>
      <c r="R2048" s="4"/>
      <c r="S2048" s="4"/>
      <c r="T2048" s="4"/>
      <c r="U2048" s="4"/>
      <c r="V2048" s="4"/>
      <c r="W2048" s="4"/>
      <c r="X2048" s="4"/>
    </row>
    <row r="2049" spans="17:24" x14ac:dyDescent="0.3">
      <c r="Q2049" s="4"/>
      <c r="R2049" s="4"/>
      <c r="S2049" s="4"/>
      <c r="T2049" s="4"/>
      <c r="U2049" s="4"/>
      <c r="V2049" s="4"/>
      <c r="W2049" s="4"/>
      <c r="X2049" s="4"/>
    </row>
    <row r="2050" spans="17:24" x14ac:dyDescent="0.3">
      <c r="Q2050" s="4"/>
      <c r="R2050" s="4"/>
      <c r="S2050" s="4"/>
      <c r="T2050" s="4"/>
      <c r="U2050" s="4"/>
      <c r="V2050" s="4"/>
      <c r="W2050" s="4"/>
      <c r="X2050" s="4"/>
    </row>
    <row r="2051" spans="17:24" x14ac:dyDescent="0.3">
      <c r="Q2051" s="4"/>
      <c r="R2051" s="4"/>
      <c r="S2051" s="4"/>
      <c r="T2051" s="4"/>
      <c r="U2051" s="4"/>
      <c r="V2051" s="4"/>
      <c r="W2051" s="4"/>
      <c r="X2051" s="4"/>
    </row>
    <row r="2052" spans="17:24" x14ac:dyDescent="0.3">
      <c r="Q2052" s="4"/>
      <c r="R2052" s="4"/>
      <c r="S2052" s="4"/>
      <c r="T2052" s="4"/>
      <c r="U2052" s="4"/>
      <c r="V2052" s="4"/>
      <c r="W2052" s="4"/>
      <c r="X2052" s="4"/>
    </row>
    <row r="2053" spans="17:24" x14ac:dyDescent="0.3">
      <c r="Q2053" s="4"/>
      <c r="R2053" s="4"/>
      <c r="S2053" s="4"/>
      <c r="T2053" s="4"/>
      <c r="U2053" s="4"/>
      <c r="V2053" s="4"/>
      <c r="W2053" s="4"/>
      <c r="X2053" s="4"/>
    </row>
    <row r="2054" spans="17:24" x14ac:dyDescent="0.3">
      <c r="Q2054" s="4"/>
      <c r="R2054" s="4"/>
      <c r="S2054" s="4"/>
      <c r="T2054" s="4"/>
      <c r="U2054" s="4"/>
      <c r="V2054" s="4"/>
      <c r="W2054" s="4"/>
      <c r="X2054" s="4"/>
    </row>
    <row r="2055" spans="17:24" x14ac:dyDescent="0.3">
      <c r="Q2055" s="4"/>
      <c r="R2055" s="4"/>
      <c r="S2055" s="4"/>
      <c r="T2055" s="4"/>
      <c r="U2055" s="4"/>
      <c r="V2055" s="4"/>
      <c r="W2055" s="4"/>
      <c r="X2055" s="4"/>
    </row>
    <row r="2056" spans="17:24" x14ac:dyDescent="0.3">
      <c r="Q2056" s="4"/>
      <c r="R2056" s="4"/>
      <c r="S2056" s="4"/>
      <c r="T2056" s="4"/>
      <c r="U2056" s="4"/>
      <c r="V2056" s="4"/>
      <c r="W2056" s="4"/>
      <c r="X2056" s="4"/>
    </row>
    <row r="2057" spans="17:24" x14ac:dyDescent="0.3">
      <c r="Q2057" s="4"/>
      <c r="R2057" s="4"/>
      <c r="S2057" s="4"/>
      <c r="T2057" s="4"/>
      <c r="U2057" s="4"/>
      <c r="V2057" s="4"/>
      <c r="W2057" s="4"/>
      <c r="X2057" s="4"/>
    </row>
    <row r="2058" spans="17:24" x14ac:dyDescent="0.3">
      <c r="Q2058" s="4"/>
      <c r="R2058" s="4"/>
      <c r="S2058" s="4"/>
      <c r="T2058" s="4"/>
      <c r="U2058" s="4"/>
      <c r="V2058" s="4"/>
      <c r="W2058" s="4"/>
      <c r="X2058" s="4"/>
    </row>
    <row r="2059" spans="17:24" x14ac:dyDescent="0.3">
      <c r="Q2059" s="4"/>
      <c r="R2059" s="4"/>
      <c r="S2059" s="4"/>
      <c r="T2059" s="4"/>
      <c r="U2059" s="4"/>
      <c r="V2059" s="4"/>
      <c r="W2059" s="4"/>
      <c r="X2059" s="4"/>
    </row>
    <row r="2060" spans="17:24" x14ac:dyDescent="0.3">
      <c r="Q2060" s="4"/>
      <c r="R2060" s="4"/>
      <c r="S2060" s="4"/>
      <c r="T2060" s="4"/>
      <c r="U2060" s="4"/>
      <c r="V2060" s="4"/>
      <c r="W2060" s="4"/>
      <c r="X2060" s="4"/>
    </row>
    <row r="2061" spans="17:24" x14ac:dyDescent="0.3">
      <c r="Q2061" s="4"/>
      <c r="R2061" s="4"/>
      <c r="S2061" s="4"/>
      <c r="T2061" s="4"/>
      <c r="U2061" s="4"/>
      <c r="V2061" s="4"/>
      <c r="W2061" s="4"/>
      <c r="X2061" s="4"/>
    </row>
    <row r="2062" spans="17:24" x14ac:dyDescent="0.3">
      <c r="Q2062" s="4"/>
      <c r="R2062" s="4"/>
      <c r="S2062" s="4"/>
      <c r="T2062" s="4"/>
      <c r="U2062" s="4"/>
      <c r="V2062" s="4"/>
      <c r="W2062" s="4"/>
      <c r="X2062" s="4"/>
    </row>
    <row r="2063" spans="17:24" x14ac:dyDescent="0.3">
      <c r="Q2063" s="4"/>
      <c r="R2063" s="4"/>
      <c r="S2063" s="4"/>
      <c r="T2063" s="4"/>
      <c r="U2063" s="4"/>
      <c r="V2063" s="4"/>
      <c r="W2063" s="4"/>
      <c r="X2063" s="4"/>
    </row>
    <row r="2064" spans="17:24" x14ac:dyDescent="0.3">
      <c r="Q2064" s="4"/>
      <c r="R2064" s="4"/>
      <c r="S2064" s="4"/>
      <c r="T2064" s="4"/>
      <c r="U2064" s="4"/>
      <c r="V2064" s="4"/>
      <c r="W2064" s="4"/>
      <c r="X2064" s="4"/>
    </row>
    <row r="2065" spans="17:24" x14ac:dyDescent="0.3">
      <c r="Q2065" s="4"/>
      <c r="R2065" s="4"/>
      <c r="S2065" s="4"/>
      <c r="T2065" s="4"/>
      <c r="U2065" s="4"/>
      <c r="V2065" s="4"/>
      <c r="W2065" s="4"/>
      <c r="X2065" s="4"/>
    </row>
    <row r="2066" spans="17:24" x14ac:dyDescent="0.3">
      <c r="Q2066" s="4"/>
      <c r="R2066" s="4"/>
      <c r="S2066" s="4"/>
      <c r="T2066" s="4"/>
      <c r="U2066" s="4"/>
      <c r="V2066" s="4"/>
      <c r="W2066" s="4"/>
      <c r="X2066" s="4"/>
    </row>
    <row r="2067" spans="17:24" x14ac:dyDescent="0.3">
      <c r="Q2067" s="4"/>
      <c r="R2067" s="4"/>
      <c r="S2067" s="4"/>
      <c r="T2067" s="4"/>
      <c r="U2067" s="4"/>
      <c r="V2067" s="4"/>
      <c r="W2067" s="4"/>
      <c r="X2067" s="4"/>
    </row>
    <row r="2068" spans="17:24" x14ac:dyDescent="0.3">
      <c r="Q2068" s="4"/>
      <c r="R2068" s="4"/>
      <c r="S2068" s="4"/>
      <c r="T2068" s="4"/>
      <c r="U2068" s="4"/>
      <c r="V2068" s="4"/>
      <c r="W2068" s="4"/>
      <c r="X2068" s="4"/>
    </row>
    <row r="2069" spans="17:24" x14ac:dyDescent="0.3">
      <c r="Q2069" s="4"/>
      <c r="R2069" s="4"/>
      <c r="S2069" s="4"/>
      <c r="T2069" s="4"/>
      <c r="U2069" s="4"/>
      <c r="V2069" s="4"/>
      <c r="W2069" s="4"/>
      <c r="X2069" s="4"/>
    </row>
    <row r="2070" spans="17:24" x14ac:dyDescent="0.3">
      <c r="Q2070" s="4"/>
      <c r="R2070" s="4"/>
      <c r="S2070" s="4"/>
      <c r="T2070" s="4"/>
      <c r="U2070" s="4"/>
      <c r="V2070" s="4"/>
      <c r="W2070" s="4"/>
      <c r="X2070" s="4"/>
    </row>
    <row r="2071" spans="17:24" x14ac:dyDescent="0.3">
      <c r="Q2071" s="4"/>
      <c r="R2071" s="4"/>
      <c r="S2071" s="4"/>
      <c r="T2071" s="4"/>
      <c r="U2071" s="4"/>
      <c r="V2071" s="4"/>
      <c r="W2071" s="4"/>
      <c r="X2071" s="4"/>
    </row>
    <row r="2072" spans="17:24" x14ac:dyDescent="0.3">
      <c r="Q2072" s="4"/>
      <c r="R2072" s="4"/>
      <c r="S2072" s="4"/>
      <c r="T2072" s="4"/>
      <c r="U2072" s="4"/>
      <c r="V2072" s="4"/>
      <c r="W2072" s="4"/>
      <c r="X2072" s="4"/>
    </row>
    <row r="2073" spans="17:24" x14ac:dyDescent="0.3">
      <c r="Q2073" s="4"/>
      <c r="R2073" s="4"/>
      <c r="S2073" s="4"/>
      <c r="T2073" s="4"/>
      <c r="U2073" s="4"/>
      <c r="V2073" s="4"/>
      <c r="W2073" s="4"/>
      <c r="X2073" s="4"/>
    </row>
    <row r="2074" spans="17:24" x14ac:dyDescent="0.3">
      <c r="Q2074" s="4"/>
      <c r="R2074" s="4"/>
      <c r="S2074" s="4"/>
      <c r="T2074" s="4"/>
      <c r="U2074" s="4"/>
      <c r="V2074" s="4"/>
      <c r="W2074" s="4"/>
      <c r="X2074" s="4"/>
    </row>
    <row r="2075" spans="17:24" x14ac:dyDescent="0.3">
      <c r="Q2075" s="4"/>
      <c r="R2075" s="4"/>
      <c r="S2075" s="4"/>
      <c r="T2075" s="4"/>
      <c r="U2075" s="4"/>
      <c r="V2075" s="4"/>
      <c r="W2075" s="4"/>
      <c r="X2075" s="4"/>
    </row>
    <row r="2076" spans="17:24" x14ac:dyDescent="0.3">
      <c r="Q2076" s="4"/>
      <c r="R2076" s="4"/>
      <c r="S2076" s="4"/>
      <c r="T2076" s="4"/>
      <c r="U2076" s="4"/>
      <c r="V2076" s="4"/>
      <c r="W2076" s="4"/>
      <c r="X2076" s="4"/>
    </row>
    <row r="2077" spans="17:24" x14ac:dyDescent="0.3">
      <c r="Q2077" s="4"/>
      <c r="R2077" s="4"/>
      <c r="S2077" s="4"/>
      <c r="T2077" s="4"/>
      <c r="U2077" s="4"/>
      <c r="V2077" s="4"/>
      <c r="W2077" s="4"/>
      <c r="X2077" s="4"/>
    </row>
    <row r="2078" spans="17:24" x14ac:dyDescent="0.3">
      <c r="Q2078" s="4"/>
      <c r="R2078" s="4"/>
      <c r="S2078" s="4"/>
      <c r="T2078" s="4"/>
      <c r="U2078" s="4"/>
      <c r="V2078" s="4"/>
      <c r="W2078" s="4"/>
      <c r="X2078" s="4"/>
    </row>
    <row r="2079" spans="17:24" x14ac:dyDescent="0.3">
      <c r="Q2079" s="4"/>
      <c r="R2079" s="4"/>
      <c r="S2079" s="4"/>
      <c r="T2079" s="4"/>
      <c r="U2079" s="4"/>
      <c r="V2079" s="4"/>
      <c r="W2079" s="4"/>
      <c r="X2079" s="4"/>
    </row>
    <row r="2080" spans="17:24" x14ac:dyDescent="0.3">
      <c r="Q2080" s="4"/>
      <c r="R2080" s="4"/>
      <c r="S2080" s="4"/>
      <c r="T2080" s="4"/>
      <c r="U2080" s="4"/>
      <c r="V2080" s="4"/>
      <c r="W2080" s="4"/>
      <c r="X2080" s="4"/>
    </row>
    <row r="2081" spans="17:24" x14ac:dyDescent="0.3">
      <c r="Q2081" s="4"/>
      <c r="R2081" s="4"/>
      <c r="S2081" s="4"/>
      <c r="T2081" s="4"/>
      <c r="U2081" s="4"/>
      <c r="V2081" s="4"/>
      <c r="W2081" s="4"/>
      <c r="X2081" s="4"/>
    </row>
    <row r="2082" spans="17:24" x14ac:dyDescent="0.3">
      <c r="Q2082" s="4"/>
      <c r="R2082" s="4"/>
      <c r="S2082" s="4"/>
      <c r="T2082" s="4"/>
      <c r="U2082" s="4"/>
      <c r="V2082" s="4"/>
      <c r="W2082" s="4"/>
      <c r="X2082" s="4"/>
    </row>
    <row r="2083" spans="17:24" x14ac:dyDescent="0.3">
      <c r="Q2083" s="4"/>
      <c r="R2083" s="4"/>
      <c r="S2083" s="4"/>
      <c r="T2083" s="4"/>
      <c r="U2083" s="4"/>
      <c r="V2083" s="4"/>
      <c r="W2083" s="4"/>
      <c r="X2083" s="4"/>
    </row>
    <row r="2084" spans="17:24" x14ac:dyDescent="0.3">
      <c r="Q2084" s="4"/>
      <c r="R2084" s="4"/>
      <c r="S2084" s="4"/>
      <c r="T2084" s="4"/>
      <c r="U2084" s="4"/>
      <c r="V2084" s="4"/>
      <c r="W2084" s="4"/>
      <c r="X2084" s="4"/>
    </row>
    <row r="2085" spans="17:24" x14ac:dyDescent="0.3">
      <c r="Q2085" s="4"/>
      <c r="R2085" s="4"/>
      <c r="S2085" s="4"/>
      <c r="T2085" s="4"/>
      <c r="U2085" s="4"/>
      <c r="V2085" s="4"/>
      <c r="W2085" s="4"/>
      <c r="X2085" s="4"/>
    </row>
    <row r="2086" spans="17:24" x14ac:dyDescent="0.3">
      <c r="Q2086" s="4"/>
      <c r="R2086" s="4"/>
      <c r="S2086" s="4"/>
      <c r="T2086" s="4"/>
      <c r="U2086" s="4"/>
      <c r="V2086" s="4"/>
      <c r="W2086" s="4"/>
      <c r="X2086" s="4"/>
    </row>
    <row r="2087" spans="17:24" x14ac:dyDescent="0.3">
      <c r="Q2087" s="4"/>
      <c r="R2087" s="4"/>
      <c r="S2087" s="4"/>
      <c r="T2087" s="4"/>
      <c r="U2087" s="4"/>
      <c r="V2087" s="4"/>
      <c r="W2087" s="4"/>
      <c r="X2087" s="4"/>
    </row>
    <row r="2088" spans="17:24" x14ac:dyDescent="0.3">
      <c r="Q2088" s="4"/>
      <c r="R2088" s="4"/>
      <c r="S2088" s="4"/>
      <c r="T2088" s="4"/>
      <c r="U2088" s="4"/>
      <c r="V2088" s="4"/>
      <c r="W2088" s="4"/>
      <c r="X2088" s="4"/>
    </row>
    <row r="2089" spans="17:24" x14ac:dyDescent="0.3">
      <c r="Q2089" s="4"/>
      <c r="R2089" s="4"/>
      <c r="S2089" s="4"/>
      <c r="T2089" s="4"/>
      <c r="U2089" s="4"/>
      <c r="V2089" s="4"/>
      <c r="W2089" s="4"/>
      <c r="X2089" s="4"/>
    </row>
    <row r="2090" spans="17:24" x14ac:dyDescent="0.3">
      <c r="Q2090" s="4"/>
      <c r="R2090" s="4"/>
      <c r="S2090" s="4"/>
      <c r="T2090" s="4"/>
      <c r="U2090" s="4"/>
      <c r="V2090" s="4"/>
      <c r="W2090" s="4"/>
      <c r="X2090" s="4"/>
    </row>
    <row r="2091" spans="17:24" x14ac:dyDescent="0.3">
      <c r="Q2091" s="4"/>
      <c r="R2091" s="4"/>
      <c r="S2091" s="4"/>
      <c r="T2091" s="4"/>
      <c r="U2091" s="4"/>
      <c r="V2091" s="4"/>
      <c r="W2091" s="4"/>
      <c r="X2091" s="4"/>
    </row>
    <row r="2092" spans="17:24" x14ac:dyDescent="0.3">
      <c r="Q2092" s="4"/>
      <c r="R2092" s="4"/>
      <c r="S2092" s="4"/>
      <c r="T2092" s="4"/>
      <c r="U2092" s="4"/>
      <c r="V2092" s="4"/>
      <c r="W2092" s="4"/>
      <c r="X2092" s="4"/>
    </row>
    <row r="2093" spans="17:24" x14ac:dyDescent="0.3">
      <c r="Q2093" s="4"/>
      <c r="R2093" s="4"/>
      <c r="S2093" s="4"/>
      <c r="T2093" s="4"/>
      <c r="U2093" s="4"/>
      <c r="V2093" s="4"/>
      <c r="W2093" s="4"/>
      <c r="X2093" s="4"/>
    </row>
    <row r="2094" spans="17:24" x14ac:dyDescent="0.3">
      <c r="Q2094" s="4"/>
      <c r="R2094" s="4"/>
      <c r="S2094" s="4"/>
      <c r="T2094" s="4"/>
      <c r="U2094" s="4"/>
      <c r="V2094" s="4"/>
      <c r="W2094" s="4"/>
      <c r="X2094" s="4"/>
    </row>
    <row r="2095" spans="17:24" x14ac:dyDescent="0.3">
      <c r="Q2095" s="4"/>
      <c r="R2095" s="4"/>
      <c r="S2095" s="4"/>
      <c r="T2095" s="4"/>
      <c r="U2095" s="4"/>
      <c r="V2095" s="4"/>
      <c r="W2095" s="4"/>
      <c r="X2095" s="4"/>
    </row>
    <row r="2096" spans="17:24" x14ac:dyDescent="0.3">
      <c r="Q2096" s="4"/>
      <c r="R2096" s="4"/>
      <c r="S2096" s="4"/>
      <c r="T2096" s="4"/>
      <c r="U2096" s="4"/>
      <c r="V2096" s="4"/>
      <c r="W2096" s="4"/>
      <c r="X2096" s="4"/>
    </row>
    <row r="2097" spans="17:24" x14ac:dyDescent="0.3">
      <c r="Q2097" s="4"/>
      <c r="R2097" s="4"/>
      <c r="S2097" s="4"/>
      <c r="T2097" s="4"/>
      <c r="U2097" s="4"/>
      <c r="V2097" s="4"/>
      <c r="W2097" s="4"/>
      <c r="X2097" s="4"/>
    </row>
    <row r="2098" spans="17:24" x14ac:dyDescent="0.3">
      <c r="Q2098" s="4"/>
      <c r="R2098" s="4"/>
      <c r="S2098" s="4"/>
      <c r="T2098" s="4"/>
      <c r="U2098" s="4"/>
      <c r="V2098" s="4"/>
      <c r="W2098" s="4"/>
      <c r="X2098" s="4"/>
    </row>
    <row r="2099" spans="17:24" x14ac:dyDescent="0.3">
      <c r="Q2099" s="4"/>
      <c r="R2099" s="4"/>
      <c r="S2099" s="4"/>
      <c r="T2099" s="4"/>
      <c r="U2099" s="4"/>
      <c r="V2099" s="4"/>
      <c r="W2099" s="4"/>
      <c r="X2099" s="4"/>
    </row>
    <row r="2100" spans="17:24" x14ac:dyDescent="0.3">
      <c r="Q2100" s="4"/>
      <c r="R2100" s="4"/>
      <c r="S2100" s="4"/>
      <c r="T2100" s="4"/>
      <c r="U2100" s="4"/>
      <c r="V2100" s="4"/>
      <c r="W2100" s="4"/>
      <c r="X2100" s="4"/>
    </row>
    <row r="2101" spans="17:24" x14ac:dyDescent="0.3">
      <c r="Q2101" s="4"/>
      <c r="R2101" s="4"/>
      <c r="S2101" s="4"/>
      <c r="T2101" s="4"/>
      <c r="U2101" s="4"/>
      <c r="V2101" s="4"/>
      <c r="W2101" s="4"/>
      <c r="X2101" s="4"/>
    </row>
    <row r="2102" spans="17:24" x14ac:dyDescent="0.3">
      <c r="Q2102" s="4"/>
      <c r="R2102" s="4"/>
      <c r="S2102" s="4"/>
      <c r="T2102" s="4"/>
      <c r="U2102" s="4"/>
      <c r="V2102" s="4"/>
      <c r="W2102" s="4"/>
      <c r="X2102" s="4"/>
    </row>
    <row r="2103" spans="17:24" x14ac:dyDescent="0.3">
      <c r="Q2103" s="4"/>
      <c r="R2103" s="4"/>
      <c r="S2103" s="4"/>
      <c r="T2103" s="4"/>
      <c r="U2103" s="4"/>
      <c r="V2103" s="4"/>
      <c r="W2103" s="4"/>
      <c r="X2103" s="4"/>
    </row>
    <row r="2104" spans="17:24" x14ac:dyDescent="0.3">
      <c r="Q2104" s="4"/>
      <c r="R2104" s="4"/>
      <c r="S2104" s="4"/>
      <c r="T2104" s="4"/>
      <c r="U2104" s="4"/>
      <c r="V2104" s="4"/>
      <c r="W2104" s="4"/>
      <c r="X2104" s="4"/>
    </row>
    <row r="2105" spans="17:24" x14ac:dyDescent="0.3">
      <c r="Q2105" s="4"/>
      <c r="R2105" s="4"/>
      <c r="S2105" s="4"/>
      <c r="T2105" s="4"/>
      <c r="U2105" s="4"/>
      <c r="V2105" s="4"/>
      <c r="W2105" s="4"/>
      <c r="X2105" s="4"/>
    </row>
    <row r="2106" spans="17:24" x14ac:dyDescent="0.3">
      <c r="Q2106" s="4"/>
      <c r="R2106" s="4"/>
      <c r="S2106" s="4"/>
      <c r="T2106" s="4"/>
      <c r="U2106" s="4"/>
      <c r="V2106" s="4"/>
      <c r="W2106" s="4"/>
      <c r="X2106" s="4"/>
    </row>
    <row r="2107" spans="17:24" x14ac:dyDescent="0.3">
      <c r="Q2107" s="4"/>
      <c r="R2107" s="4"/>
      <c r="S2107" s="4"/>
      <c r="T2107" s="4"/>
      <c r="U2107" s="4"/>
      <c r="V2107" s="4"/>
      <c r="W2107" s="4"/>
      <c r="X2107" s="4"/>
    </row>
    <row r="2108" spans="17:24" x14ac:dyDescent="0.3">
      <c r="Q2108" s="4"/>
      <c r="R2108" s="4"/>
      <c r="S2108" s="4"/>
      <c r="T2108" s="4"/>
      <c r="U2108" s="4"/>
      <c r="V2108" s="4"/>
      <c r="W2108" s="4"/>
      <c r="X2108" s="4"/>
    </row>
    <row r="2109" spans="17:24" x14ac:dyDescent="0.3">
      <c r="Q2109" s="4"/>
      <c r="R2109" s="4"/>
      <c r="S2109" s="4"/>
      <c r="T2109" s="4"/>
      <c r="U2109" s="4"/>
      <c r="V2109" s="4"/>
      <c r="W2109" s="4"/>
      <c r="X2109" s="4"/>
    </row>
    <row r="2110" spans="17:24" x14ac:dyDescent="0.3">
      <c r="Q2110" s="4"/>
      <c r="R2110" s="4"/>
      <c r="S2110" s="4"/>
      <c r="T2110" s="4"/>
      <c r="U2110" s="4"/>
      <c r="V2110" s="4"/>
      <c r="W2110" s="4"/>
      <c r="X2110" s="4"/>
    </row>
    <row r="2111" spans="17:24" x14ac:dyDescent="0.3">
      <c r="Q2111" s="4"/>
      <c r="R2111" s="4"/>
      <c r="S2111" s="4"/>
      <c r="T2111" s="4"/>
      <c r="U2111" s="4"/>
      <c r="V2111" s="4"/>
      <c r="W2111" s="4"/>
      <c r="X2111" s="4"/>
    </row>
    <row r="2112" spans="17:24" x14ac:dyDescent="0.3">
      <c r="Q2112" s="4"/>
      <c r="R2112" s="4"/>
      <c r="S2112" s="4"/>
      <c r="T2112" s="4"/>
      <c r="U2112" s="4"/>
      <c r="V2112" s="4"/>
      <c r="W2112" s="4"/>
      <c r="X2112" s="4"/>
    </row>
    <row r="2113" spans="17:24" x14ac:dyDescent="0.3">
      <c r="Q2113" s="4"/>
      <c r="R2113" s="4"/>
      <c r="S2113" s="4"/>
      <c r="T2113" s="4"/>
      <c r="U2113" s="4"/>
      <c r="V2113" s="4"/>
      <c r="W2113" s="4"/>
      <c r="X2113" s="4"/>
    </row>
    <row r="2114" spans="17:24" x14ac:dyDescent="0.3">
      <c r="Q2114" s="4"/>
      <c r="R2114" s="4"/>
      <c r="S2114" s="4"/>
      <c r="T2114" s="4"/>
      <c r="U2114" s="4"/>
      <c r="V2114" s="4"/>
      <c r="W2114" s="4"/>
      <c r="X2114" s="4"/>
    </row>
    <row r="2115" spans="17:24" x14ac:dyDescent="0.3">
      <c r="Q2115" s="4"/>
      <c r="R2115" s="4"/>
      <c r="S2115" s="4"/>
      <c r="T2115" s="4"/>
      <c r="U2115" s="4"/>
      <c r="V2115" s="4"/>
      <c r="W2115" s="4"/>
      <c r="X2115" s="4"/>
    </row>
    <row r="2116" spans="17:24" x14ac:dyDescent="0.3">
      <c r="Q2116" s="4"/>
      <c r="R2116" s="4"/>
      <c r="S2116" s="4"/>
      <c r="T2116" s="4"/>
      <c r="U2116" s="4"/>
      <c r="V2116" s="4"/>
      <c r="W2116" s="4"/>
      <c r="X2116" s="4"/>
    </row>
    <row r="2117" spans="17:24" x14ac:dyDescent="0.3">
      <c r="Q2117" s="4"/>
      <c r="R2117" s="4"/>
      <c r="S2117" s="4"/>
      <c r="T2117" s="4"/>
      <c r="U2117" s="4"/>
      <c r="V2117" s="4"/>
      <c r="W2117" s="4"/>
      <c r="X2117" s="4"/>
    </row>
    <row r="2118" spans="17:24" x14ac:dyDescent="0.3">
      <c r="Q2118" s="4"/>
      <c r="R2118" s="4"/>
      <c r="S2118" s="4"/>
      <c r="T2118" s="4"/>
      <c r="U2118" s="4"/>
      <c r="V2118" s="4"/>
      <c r="W2118" s="4"/>
      <c r="X2118" s="4"/>
    </row>
    <row r="2119" spans="17:24" x14ac:dyDescent="0.3">
      <c r="Q2119" s="4"/>
      <c r="R2119" s="4"/>
      <c r="S2119" s="4"/>
      <c r="T2119" s="4"/>
      <c r="U2119" s="4"/>
      <c r="V2119" s="4"/>
      <c r="W2119" s="4"/>
      <c r="X2119" s="4"/>
    </row>
    <row r="2120" spans="17:24" x14ac:dyDescent="0.3">
      <c r="Q2120" s="4"/>
      <c r="R2120" s="4"/>
      <c r="S2120" s="4"/>
      <c r="T2120" s="4"/>
      <c r="U2120" s="4"/>
      <c r="V2120" s="4"/>
      <c r="W2120" s="4"/>
      <c r="X2120" s="4"/>
    </row>
    <row r="2121" spans="17:24" x14ac:dyDescent="0.3">
      <c r="Q2121" s="4"/>
      <c r="R2121" s="4"/>
      <c r="S2121" s="4"/>
      <c r="T2121" s="4"/>
      <c r="U2121" s="4"/>
      <c r="V2121" s="4"/>
      <c r="W2121" s="4"/>
      <c r="X2121" s="4"/>
    </row>
    <row r="2122" spans="17:24" x14ac:dyDescent="0.3">
      <c r="Q2122" s="4"/>
      <c r="R2122" s="4"/>
      <c r="S2122" s="4"/>
      <c r="T2122" s="4"/>
      <c r="U2122" s="4"/>
      <c r="V2122" s="4"/>
      <c r="W2122" s="4"/>
      <c r="X2122" s="4"/>
    </row>
    <row r="2123" spans="17:24" x14ac:dyDescent="0.3">
      <c r="Q2123" s="4"/>
      <c r="R2123" s="4"/>
      <c r="S2123" s="4"/>
      <c r="T2123" s="4"/>
      <c r="U2123" s="4"/>
      <c r="V2123" s="4"/>
      <c r="W2123" s="4"/>
      <c r="X2123" s="4"/>
    </row>
    <row r="2124" spans="17:24" x14ac:dyDescent="0.3">
      <c r="Q2124" s="4"/>
      <c r="R2124" s="4"/>
      <c r="S2124" s="4"/>
      <c r="T2124" s="4"/>
      <c r="U2124" s="4"/>
      <c r="V2124" s="4"/>
      <c r="W2124" s="4"/>
      <c r="X2124" s="4"/>
    </row>
    <row r="2125" spans="17:24" x14ac:dyDescent="0.3">
      <c r="Q2125" s="4"/>
      <c r="R2125" s="4"/>
      <c r="S2125" s="4"/>
      <c r="T2125" s="4"/>
      <c r="U2125" s="4"/>
      <c r="V2125" s="4"/>
      <c r="W2125" s="4"/>
      <c r="X2125" s="4"/>
    </row>
    <row r="2126" spans="17:24" x14ac:dyDescent="0.3">
      <c r="Q2126" s="4"/>
      <c r="R2126" s="4"/>
      <c r="S2126" s="4"/>
      <c r="T2126" s="4"/>
      <c r="U2126" s="4"/>
      <c r="V2126" s="4"/>
      <c r="W2126" s="4"/>
      <c r="X2126" s="4"/>
    </row>
    <row r="2127" spans="17:24" x14ac:dyDescent="0.3">
      <c r="Q2127" s="4"/>
      <c r="R2127" s="4"/>
      <c r="S2127" s="4"/>
      <c r="T2127" s="4"/>
      <c r="U2127" s="4"/>
      <c r="V2127" s="4"/>
      <c r="W2127" s="4"/>
      <c r="X2127" s="4"/>
    </row>
    <row r="2128" spans="17:24" x14ac:dyDescent="0.3">
      <c r="Q2128" s="4"/>
      <c r="R2128" s="4"/>
      <c r="S2128" s="4"/>
      <c r="T2128" s="4"/>
      <c r="U2128" s="4"/>
      <c r="V2128" s="4"/>
      <c r="W2128" s="4"/>
      <c r="X2128" s="4"/>
    </row>
    <row r="2129" spans="17:24" x14ac:dyDescent="0.3">
      <c r="Q2129" s="4"/>
      <c r="R2129" s="4"/>
      <c r="S2129" s="4"/>
      <c r="T2129" s="4"/>
      <c r="U2129" s="4"/>
      <c r="V2129" s="4"/>
      <c r="W2129" s="4"/>
      <c r="X2129" s="4"/>
    </row>
    <row r="2130" spans="17:24" x14ac:dyDescent="0.3">
      <c r="Q2130" s="4"/>
      <c r="R2130" s="4"/>
      <c r="S2130" s="4"/>
      <c r="T2130" s="4"/>
      <c r="U2130" s="4"/>
      <c r="V2130" s="4"/>
      <c r="W2130" s="4"/>
      <c r="X2130" s="4"/>
    </row>
    <row r="2131" spans="17:24" x14ac:dyDescent="0.3">
      <c r="Q2131" s="4"/>
      <c r="R2131" s="4"/>
      <c r="S2131" s="4"/>
      <c r="T2131" s="4"/>
      <c r="U2131" s="4"/>
      <c r="V2131" s="4"/>
      <c r="W2131" s="4"/>
      <c r="X2131" s="4"/>
    </row>
    <row r="2132" spans="17:24" x14ac:dyDescent="0.3">
      <c r="Q2132" s="4"/>
      <c r="R2132" s="4"/>
      <c r="S2132" s="4"/>
      <c r="T2132" s="4"/>
      <c r="U2132" s="4"/>
      <c r="V2132" s="4"/>
      <c r="W2132" s="4"/>
      <c r="X2132" s="4"/>
    </row>
    <row r="2133" spans="17:24" x14ac:dyDescent="0.3">
      <c r="Q2133" s="4"/>
      <c r="R2133" s="4"/>
      <c r="S2133" s="4"/>
      <c r="T2133" s="4"/>
      <c r="U2133" s="4"/>
      <c r="V2133" s="4"/>
      <c r="W2133" s="4"/>
      <c r="X2133" s="4"/>
    </row>
    <row r="2134" spans="17:24" x14ac:dyDescent="0.3">
      <c r="Q2134" s="4"/>
      <c r="R2134" s="4"/>
      <c r="S2134" s="4"/>
      <c r="T2134" s="4"/>
      <c r="U2134" s="4"/>
      <c r="V2134" s="4"/>
      <c r="W2134" s="4"/>
      <c r="X2134" s="4"/>
    </row>
    <row r="2135" spans="17:24" x14ac:dyDescent="0.3">
      <c r="Q2135" s="4"/>
      <c r="R2135" s="4"/>
      <c r="S2135" s="4"/>
      <c r="T2135" s="4"/>
      <c r="U2135" s="4"/>
      <c r="V2135" s="4"/>
      <c r="W2135" s="4"/>
      <c r="X2135" s="4"/>
    </row>
    <row r="2136" spans="17:24" x14ac:dyDescent="0.3">
      <c r="Q2136" s="4"/>
      <c r="R2136" s="4"/>
      <c r="S2136" s="4"/>
      <c r="T2136" s="4"/>
      <c r="U2136" s="4"/>
      <c r="V2136" s="4"/>
      <c r="W2136" s="4"/>
      <c r="X2136" s="4"/>
    </row>
    <row r="2137" spans="17:24" x14ac:dyDescent="0.3">
      <c r="Q2137" s="4"/>
      <c r="R2137" s="4"/>
      <c r="S2137" s="4"/>
      <c r="T2137" s="4"/>
      <c r="U2137" s="4"/>
      <c r="V2137" s="4"/>
      <c r="W2137" s="4"/>
      <c r="X2137" s="4"/>
    </row>
    <row r="2138" spans="17:24" x14ac:dyDescent="0.3">
      <c r="Q2138" s="4"/>
      <c r="R2138" s="4"/>
      <c r="S2138" s="4"/>
      <c r="T2138" s="4"/>
      <c r="U2138" s="4"/>
      <c r="V2138" s="4"/>
      <c r="W2138" s="4"/>
      <c r="X2138" s="4"/>
    </row>
    <row r="2139" spans="17:24" x14ac:dyDescent="0.3">
      <c r="Q2139" s="4"/>
      <c r="R2139" s="4"/>
      <c r="S2139" s="4"/>
      <c r="T2139" s="4"/>
      <c r="U2139" s="4"/>
      <c r="V2139" s="4"/>
      <c r="W2139" s="4"/>
      <c r="X2139" s="4"/>
    </row>
    <row r="2140" spans="17:24" x14ac:dyDescent="0.3">
      <c r="Q2140" s="4"/>
      <c r="R2140" s="4"/>
      <c r="S2140" s="4"/>
      <c r="T2140" s="4"/>
      <c r="U2140" s="4"/>
      <c r="V2140" s="4"/>
      <c r="W2140" s="4"/>
      <c r="X2140" s="4"/>
    </row>
    <row r="2141" spans="17:24" x14ac:dyDescent="0.3">
      <c r="Q2141" s="4"/>
      <c r="R2141" s="4"/>
      <c r="S2141" s="4"/>
      <c r="T2141" s="4"/>
      <c r="U2141" s="4"/>
      <c r="V2141" s="4"/>
      <c r="W2141" s="4"/>
      <c r="X2141" s="4"/>
    </row>
    <row r="2142" spans="17:24" x14ac:dyDescent="0.3">
      <c r="Q2142" s="4"/>
      <c r="R2142" s="4"/>
      <c r="S2142" s="4"/>
      <c r="T2142" s="4"/>
      <c r="U2142" s="4"/>
      <c r="V2142" s="4"/>
      <c r="W2142" s="4"/>
      <c r="X2142" s="4"/>
    </row>
    <row r="2143" spans="17:24" x14ac:dyDescent="0.3">
      <c r="Q2143" s="4"/>
      <c r="R2143" s="4"/>
      <c r="S2143" s="4"/>
      <c r="T2143" s="4"/>
      <c r="U2143" s="4"/>
      <c r="V2143" s="4"/>
      <c r="W2143" s="4"/>
      <c r="X2143" s="4"/>
    </row>
    <row r="2144" spans="17:24" x14ac:dyDescent="0.3">
      <c r="Q2144" s="4"/>
      <c r="R2144" s="4"/>
      <c r="S2144" s="4"/>
      <c r="T2144" s="4"/>
      <c r="U2144" s="4"/>
      <c r="V2144" s="4"/>
      <c r="W2144" s="4"/>
      <c r="X2144" s="4"/>
    </row>
    <row r="2145" spans="17:24" x14ac:dyDescent="0.3">
      <c r="Q2145" s="4"/>
      <c r="R2145" s="4"/>
      <c r="S2145" s="4"/>
      <c r="T2145" s="4"/>
      <c r="U2145" s="4"/>
      <c r="V2145" s="4"/>
      <c r="W2145" s="4"/>
      <c r="X2145" s="4"/>
    </row>
    <row r="2146" spans="17:24" x14ac:dyDescent="0.3">
      <c r="Q2146" s="4"/>
      <c r="R2146" s="4"/>
      <c r="S2146" s="4"/>
      <c r="T2146" s="4"/>
      <c r="U2146" s="4"/>
      <c r="V2146" s="4"/>
      <c r="W2146" s="4"/>
      <c r="X2146" s="4"/>
    </row>
    <row r="2147" spans="17:24" x14ac:dyDescent="0.3">
      <c r="Q2147" s="4"/>
      <c r="R2147" s="4"/>
      <c r="S2147" s="4"/>
      <c r="T2147" s="4"/>
      <c r="U2147" s="4"/>
      <c r="V2147" s="4"/>
      <c r="W2147" s="4"/>
      <c r="X2147" s="4"/>
    </row>
    <row r="2148" spans="17:24" x14ac:dyDescent="0.3">
      <c r="Q2148" s="4"/>
      <c r="R2148" s="4"/>
      <c r="S2148" s="4"/>
      <c r="T2148" s="4"/>
      <c r="U2148" s="4"/>
      <c r="V2148" s="4"/>
      <c r="W2148" s="4"/>
      <c r="X2148" s="4"/>
    </row>
    <row r="2149" spans="17:24" x14ac:dyDescent="0.3">
      <c r="Q2149" s="4"/>
      <c r="R2149" s="4"/>
      <c r="S2149" s="4"/>
      <c r="T2149" s="4"/>
      <c r="U2149" s="4"/>
      <c r="V2149" s="4"/>
      <c r="W2149" s="4"/>
      <c r="X2149" s="4"/>
    </row>
    <row r="2150" spans="17:24" x14ac:dyDescent="0.3">
      <c r="Q2150" s="4"/>
      <c r="R2150" s="4"/>
      <c r="S2150" s="4"/>
      <c r="T2150" s="4"/>
      <c r="U2150" s="4"/>
      <c r="V2150" s="4"/>
      <c r="W2150" s="4"/>
      <c r="X2150" s="4"/>
    </row>
    <row r="2151" spans="17:24" x14ac:dyDescent="0.3">
      <c r="Q2151" s="4"/>
      <c r="R2151" s="4"/>
      <c r="S2151" s="4"/>
      <c r="T2151" s="4"/>
      <c r="U2151" s="4"/>
      <c r="V2151" s="4"/>
      <c r="W2151" s="4"/>
      <c r="X2151" s="4"/>
    </row>
    <row r="2152" spans="17:24" x14ac:dyDescent="0.3">
      <c r="Q2152" s="4"/>
      <c r="R2152" s="4"/>
      <c r="S2152" s="4"/>
      <c r="T2152" s="4"/>
      <c r="U2152" s="4"/>
      <c r="V2152" s="4"/>
      <c r="W2152" s="4"/>
      <c r="X2152" s="4"/>
    </row>
    <row r="2153" spans="17:24" x14ac:dyDescent="0.3">
      <c r="Q2153" s="4"/>
      <c r="R2153" s="4"/>
      <c r="S2153" s="4"/>
      <c r="T2153" s="4"/>
      <c r="U2153" s="4"/>
      <c r="V2153" s="4"/>
      <c r="W2153" s="4"/>
      <c r="X2153" s="4"/>
    </row>
    <row r="2154" spans="17:24" x14ac:dyDescent="0.3">
      <c r="Q2154" s="4"/>
      <c r="R2154" s="4"/>
      <c r="S2154" s="4"/>
      <c r="T2154" s="4"/>
      <c r="U2154" s="4"/>
      <c r="V2154" s="4"/>
      <c r="W2154" s="4"/>
      <c r="X2154" s="4"/>
    </row>
    <row r="2155" spans="17:24" x14ac:dyDescent="0.3">
      <c r="Q2155" s="4"/>
      <c r="R2155" s="4"/>
      <c r="S2155" s="4"/>
      <c r="T2155" s="4"/>
      <c r="U2155" s="4"/>
      <c r="V2155" s="4"/>
      <c r="W2155" s="4"/>
      <c r="X2155" s="4"/>
    </row>
    <row r="2156" spans="17:24" x14ac:dyDescent="0.3">
      <c r="Q2156" s="4"/>
      <c r="R2156" s="4"/>
      <c r="S2156" s="4"/>
      <c r="T2156" s="4"/>
      <c r="U2156" s="4"/>
      <c r="V2156" s="4"/>
      <c r="W2156" s="4"/>
      <c r="X2156" s="4"/>
    </row>
    <row r="2157" spans="17:24" x14ac:dyDescent="0.3">
      <c r="Q2157" s="4"/>
      <c r="R2157" s="4"/>
      <c r="S2157" s="4"/>
      <c r="T2157" s="4"/>
      <c r="U2157" s="4"/>
      <c r="V2157" s="4"/>
      <c r="W2157" s="4"/>
      <c r="X2157" s="4"/>
    </row>
    <row r="2158" spans="17:24" x14ac:dyDescent="0.3">
      <c r="Q2158" s="4"/>
      <c r="R2158" s="4"/>
      <c r="S2158" s="4"/>
      <c r="T2158" s="4"/>
      <c r="U2158" s="4"/>
      <c r="V2158" s="4"/>
      <c r="W2158" s="4"/>
      <c r="X2158" s="4"/>
    </row>
    <row r="2159" spans="17:24" x14ac:dyDescent="0.3">
      <c r="Q2159" s="4"/>
      <c r="R2159" s="4"/>
      <c r="S2159" s="4"/>
      <c r="T2159" s="4"/>
      <c r="U2159" s="4"/>
      <c r="V2159" s="4"/>
      <c r="W2159" s="4"/>
      <c r="X2159" s="4"/>
    </row>
    <row r="2160" spans="17:24" x14ac:dyDescent="0.3">
      <c r="Q2160" s="4"/>
      <c r="R2160" s="4"/>
      <c r="S2160" s="4"/>
      <c r="T2160" s="4"/>
      <c r="U2160" s="4"/>
      <c r="V2160" s="4"/>
      <c r="W2160" s="4"/>
      <c r="X2160" s="4"/>
    </row>
    <row r="2161" spans="17:24" x14ac:dyDescent="0.3">
      <c r="Q2161" s="4"/>
      <c r="R2161" s="4"/>
      <c r="S2161" s="4"/>
      <c r="T2161" s="4"/>
      <c r="U2161" s="4"/>
      <c r="V2161" s="4"/>
      <c r="W2161" s="4"/>
      <c r="X2161" s="4"/>
    </row>
    <row r="2162" spans="17:24" x14ac:dyDescent="0.3">
      <c r="Q2162" s="4"/>
      <c r="R2162" s="4"/>
      <c r="S2162" s="4"/>
      <c r="T2162" s="4"/>
      <c r="U2162" s="4"/>
      <c r="V2162" s="4"/>
      <c r="W2162" s="4"/>
      <c r="X2162" s="4"/>
    </row>
    <row r="2163" spans="17:24" x14ac:dyDescent="0.3">
      <c r="Q2163" s="4"/>
      <c r="R2163" s="4"/>
      <c r="S2163" s="4"/>
      <c r="T2163" s="4"/>
      <c r="U2163" s="4"/>
      <c r="V2163" s="4"/>
      <c r="W2163" s="4"/>
      <c r="X2163" s="4"/>
    </row>
    <row r="2164" spans="17:24" x14ac:dyDescent="0.3">
      <c r="Q2164" s="4"/>
      <c r="R2164" s="4"/>
      <c r="S2164" s="4"/>
      <c r="T2164" s="4"/>
      <c r="U2164" s="4"/>
      <c r="V2164" s="4"/>
      <c r="W2164" s="4"/>
      <c r="X2164" s="4"/>
    </row>
    <row r="2165" spans="17:24" x14ac:dyDescent="0.3">
      <c r="Q2165" s="4"/>
      <c r="R2165" s="4"/>
      <c r="S2165" s="4"/>
      <c r="T2165" s="4"/>
      <c r="U2165" s="4"/>
      <c r="V2165" s="4"/>
      <c r="W2165" s="4"/>
      <c r="X2165" s="4"/>
    </row>
    <row r="2166" spans="17:24" x14ac:dyDescent="0.3">
      <c r="Q2166" s="4"/>
      <c r="R2166" s="4"/>
      <c r="S2166" s="4"/>
      <c r="T2166" s="4"/>
      <c r="U2166" s="4"/>
      <c r="V2166" s="4"/>
      <c r="W2166" s="4"/>
      <c r="X2166" s="4"/>
    </row>
    <row r="2167" spans="17:24" x14ac:dyDescent="0.3">
      <c r="Q2167" s="4"/>
      <c r="R2167" s="4"/>
      <c r="S2167" s="4"/>
      <c r="T2167" s="4"/>
      <c r="U2167" s="4"/>
      <c r="V2167" s="4"/>
      <c r="W2167" s="4"/>
      <c r="X2167" s="4"/>
    </row>
    <row r="2168" spans="17:24" x14ac:dyDescent="0.3">
      <c r="Q2168" s="4"/>
      <c r="R2168" s="4"/>
      <c r="S2168" s="4"/>
      <c r="T2168" s="4"/>
      <c r="U2168" s="4"/>
      <c r="V2168" s="4"/>
      <c r="W2168" s="4"/>
      <c r="X2168" s="4"/>
    </row>
    <row r="2169" spans="17:24" x14ac:dyDescent="0.3">
      <c r="Q2169" s="4"/>
      <c r="R2169" s="4"/>
      <c r="S2169" s="4"/>
      <c r="T2169" s="4"/>
      <c r="U2169" s="4"/>
      <c r="V2169" s="4"/>
      <c r="W2169" s="4"/>
      <c r="X2169" s="4"/>
    </row>
    <row r="2170" spans="17:24" x14ac:dyDescent="0.3">
      <c r="Q2170" s="4"/>
      <c r="R2170" s="4"/>
      <c r="S2170" s="4"/>
      <c r="T2170" s="4"/>
      <c r="U2170" s="4"/>
      <c r="V2170" s="4"/>
      <c r="W2170" s="4"/>
      <c r="X2170" s="4"/>
    </row>
    <row r="2171" spans="17:24" x14ac:dyDescent="0.3">
      <c r="Q2171" s="4"/>
      <c r="R2171" s="4"/>
      <c r="S2171" s="4"/>
      <c r="T2171" s="4"/>
      <c r="U2171" s="4"/>
      <c r="V2171" s="4"/>
      <c r="W2171" s="4"/>
      <c r="X2171" s="4"/>
    </row>
    <row r="2172" spans="17:24" x14ac:dyDescent="0.3">
      <c r="Q2172" s="4"/>
      <c r="R2172" s="4"/>
      <c r="S2172" s="4"/>
      <c r="T2172" s="4"/>
      <c r="U2172" s="4"/>
      <c r="V2172" s="4"/>
      <c r="W2172" s="4"/>
      <c r="X2172" s="4"/>
    </row>
    <row r="2173" spans="17:24" x14ac:dyDescent="0.3">
      <c r="Q2173" s="4"/>
      <c r="R2173" s="4"/>
      <c r="S2173" s="4"/>
      <c r="T2173" s="4"/>
      <c r="U2173" s="4"/>
      <c r="V2173" s="4"/>
      <c r="W2173" s="4"/>
      <c r="X2173" s="4"/>
    </row>
    <row r="2174" spans="17:24" x14ac:dyDescent="0.3">
      <c r="Q2174" s="4"/>
      <c r="R2174" s="4"/>
      <c r="S2174" s="4"/>
      <c r="T2174" s="4"/>
      <c r="U2174" s="4"/>
      <c r="V2174" s="4"/>
      <c r="W2174" s="4"/>
      <c r="X2174" s="4"/>
    </row>
    <row r="2175" spans="17:24" x14ac:dyDescent="0.3">
      <c r="Q2175" s="4"/>
      <c r="R2175" s="4"/>
      <c r="S2175" s="4"/>
      <c r="T2175" s="4"/>
      <c r="U2175" s="4"/>
      <c r="V2175" s="4"/>
      <c r="W2175" s="4"/>
      <c r="X2175" s="4"/>
    </row>
    <row r="2176" spans="17:24" x14ac:dyDescent="0.3">
      <c r="Q2176" s="4"/>
      <c r="R2176" s="4"/>
      <c r="S2176" s="4"/>
      <c r="T2176" s="4"/>
      <c r="U2176" s="4"/>
      <c r="V2176" s="4"/>
      <c r="W2176" s="4"/>
      <c r="X2176" s="4"/>
    </row>
    <row r="2177" spans="17:24" x14ac:dyDescent="0.3">
      <c r="Q2177" s="4"/>
      <c r="R2177" s="4"/>
      <c r="S2177" s="4"/>
      <c r="T2177" s="4"/>
      <c r="U2177" s="4"/>
      <c r="V2177" s="4"/>
      <c r="W2177" s="4"/>
      <c r="X2177" s="4"/>
    </row>
    <row r="2178" spans="17:24" x14ac:dyDescent="0.3">
      <c r="Q2178" s="4"/>
      <c r="R2178" s="4"/>
      <c r="S2178" s="4"/>
      <c r="T2178" s="4"/>
      <c r="U2178" s="4"/>
      <c r="V2178" s="4"/>
      <c r="W2178" s="4"/>
      <c r="X2178" s="4"/>
    </row>
    <row r="2179" spans="17:24" x14ac:dyDescent="0.3">
      <c r="Q2179" s="4"/>
      <c r="R2179" s="4"/>
      <c r="S2179" s="4"/>
      <c r="T2179" s="4"/>
      <c r="U2179" s="4"/>
      <c r="V2179" s="4"/>
      <c r="W2179" s="4"/>
      <c r="X2179" s="4"/>
    </row>
    <row r="2180" spans="17:24" x14ac:dyDescent="0.3">
      <c r="Q2180" s="4"/>
      <c r="R2180" s="4"/>
      <c r="S2180" s="4"/>
      <c r="T2180" s="4"/>
      <c r="U2180" s="4"/>
      <c r="V2180" s="4"/>
      <c r="W2180" s="4"/>
      <c r="X2180" s="4"/>
    </row>
    <row r="2181" spans="17:24" x14ac:dyDescent="0.3">
      <c r="Q2181" s="4"/>
      <c r="R2181" s="4"/>
      <c r="S2181" s="4"/>
      <c r="T2181" s="4"/>
      <c r="U2181" s="4"/>
      <c r="V2181" s="4"/>
      <c r="W2181" s="4"/>
      <c r="X2181" s="4"/>
    </row>
    <row r="2182" spans="17:24" x14ac:dyDescent="0.3">
      <c r="Q2182" s="4"/>
      <c r="R2182" s="4"/>
      <c r="S2182" s="4"/>
      <c r="T2182" s="4"/>
      <c r="U2182" s="4"/>
      <c r="V2182" s="4"/>
      <c r="W2182" s="4"/>
      <c r="X2182" s="4"/>
    </row>
    <row r="2183" spans="17:24" x14ac:dyDescent="0.3">
      <c r="Q2183" s="4"/>
      <c r="R2183" s="4"/>
      <c r="S2183" s="4"/>
      <c r="T2183" s="4"/>
      <c r="U2183" s="4"/>
      <c r="V2183" s="4"/>
      <c r="W2183" s="4"/>
      <c r="X2183" s="4"/>
    </row>
    <row r="2184" spans="17:24" x14ac:dyDescent="0.3">
      <c r="Q2184" s="4"/>
      <c r="R2184" s="4"/>
      <c r="S2184" s="4"/>
      <c r="T2184" s="4"/>
      <c r="U2184" s="4"/>
      <c r="V2184" s="4"/>
      <c r="W2184" s="4"/>
      <c r="X2184" s="4"/>
    </row>
    <row r="2185" spans="17:24" x14ac:dyDescent="0.3">
      <c r="Q2185" s="4"/>
      <c r="R2185" s="4"/>
      <c r="S2185" s="4"/>
      <c r="T2185" s="4"/>
      <c r="U2185" s="4"/>
      <c r="V2185" s="4"/>
      <c r="W2185" s="4"/>
      <c r="X2185" s="4"/>
    </row>
    <row r="2186" spans="17:24" x14ac:dyDescent="0.3">
      <c r="Q2186" s="4"/>
      <c r="R2186" s="4"/>
      <c r="S2186" s="4"/>
      <c r="T2186" s="4"/>
      <c r="U2186" s="4"/>
      <c r="V2186" s="4"/>
      <c r="W2186" s="4"/>
      <c r="X2186" s="4"/>
    </row>
    <row r="2187" spans="17:24" x14ac:dyDescent="0.3">
      <c r="Q2187" s="4"/>
      <c r="R2187" s="4"/>
      <c r="S2187" s="4"/>
      <c r="T2187" s="4"/>
      <c r="U2187" s="4"/>
      <c r="V2187" s="4"/>
      <c r="W2187" s="4"/>
      <c r="X2187" s="4"/>
    </row>
    <row r="2188" spans="17:24" x14ac:dyDescent="0.3">
      <c r="Q2188" s="4"/>
      <c r="R2188" s="4"/>
      <c r="S2188" s="4"/>
      <c r="T2188" s="4"/>
      <c r="U2188" s="4"/>
      <c r="V2188" s="4"/>
      <c r="W2188" s="4"/>
      <c r="X2188" s="4"/>
    </row>
    <row r="2189" spans="17:24" x14ac:dyDescent="0.3">
      <c r="Q2189" s="4"/>
      <c r="R2189" s="4"/>
      <c r="S2189" s="4"/>
      <c r="T2189" s="4"/>
      <c r="U2189" s="4"/>
      <c r="V2189" s="4"/>
      <c r="W2189" s="4"/>
      <c r="X2189" s="4"/>
    </row>
    <row r="2190" spans="17:24" x14ac:dyDescent="0.3">
      <c r="Q2190" s="4"/>
      <c r="R2190" s="4"/>
      <c r="S2190" s="4"/>
      <c r="T2190" s="4"/>
      <c r="U2190" s="4"/>
      <c r="V2190" s="4"/>
      <c r="W2190" s="4"/>
      <c r="X2190" s="4"/>
    </row>
    <row r="2191" spans="17:24" x14ac:dyDescent="0.3">
      <c r="Q2191" s="4"/>
      <c r="R2191" s="4"/>
      <c r="S2191" s="4"/>
      <c r="T2191" s="4"/>
      <c r="U2191" s="4"/>
      <c r="V2191" s="4"/>
      <c r="W2191" s="4"/>
      <c r="X2191" s="4"/>
    </row>
    <row r="2192" spans="17:24" x14ac:dyDescent="0.3">
      <c r="Q2192" s="4"/>
      <c r="R2192" s="4"/>
      <c r="S2192" s="4"/>
      <c r="T2192" s="4"/>
      <c r="U2192" s="4"/>
      <c r="V2192" s="4"/>
      <c r="W2192" s="4"/>
      <c r="X2192" s="4"/>
    </row>
    <row r="2193" spans="17:24" x14ac:dyDescent="0.3">
      <c r="Q2193" s="4"/>
      <c r="R2193" s="4"/>
      <c r="S2193" s="4"/>
      <c r="T2193" s="4"/>
      <c r="U2193" s="4"/>
      <c r="V2193" s="4"/>
      <c r="W2193" s="4"/>
      <c r="X2193" s="4"/>
    </row>
    <row r="2194" spans="17:24" x14ac:dyDescent="0.3">
      <c r="Q2194" s="4"/>
      <c r="R2194" s="4"/>
      <c r="S2194" s="4"/>
      <c r="T2194" s="4"/>
      <c r="U2194" s="4"/>
      <c r="V2194" s="4"/>
      <c r="W2194" s="4"/>
      <c r="X2194" s="4"/>
    </row>
    <row r="2195" spans="17:24" x14ac:dyDescent="0.3">
      <c r="Q2195" s="4"/>
      <c r="R2195" s="4"/>
      <c r="S2195" s="4"/>
      <c r="T2195" s="4"/>
      <c r="U2195" s="4"/>
      <c r="V2195" s="4"/>
      <c r="W2195" s="4"/>
      <c r="X2195" s="4"/>
    </row>
    <row r="2196" spans="17:24" x14ac:dyDescent="0.3">
      <c r="Q2196" s="4"/>
      <c r="R2196" s="4"/>
      <c r="S2196" s="4"/>
      <c r="T2196" s="4"/>
      <c r="U2196" s="4"/>
      <c r="V2196" s="4"/>
      <c r="W2196" s="4"/>
      <c r="X2196" s="4"/>
    </row>
    <row r="2197" spans="17:24" x14ac:dyDescent="0.3">
      <c r="Q2197" s="4"/>
      <c r="R2197" s="4"/>
      <c r="S2197" s="4"/>
      <c r="T2197" s="4"/>
      <c r="U2197" s="4"/>
      <c r="V2197" s="4"/>
      <c r="W2197" s="4"/>
      <c r="X2197" s="4"/>
    </row>
    <row r="2198" spans="17:24" x14ac:dyDescent="0.3">
      <c r="Q2198" s="4"/>
      <c r="R2198" s="4"/>
      <c r="S2198" s="4"/>
      <c r="T2198" s="4"/>
      <c r="U2198" s="4"/>
      <c r="V2198" s="4"/>
      <c r="W2198" s="4"/>
      <c r="X2198" s="4"/>
    </row>
    <row r="2199" spans="17:24" x14ac:dyDescent="0.3">
      <c r="Q2199" s="4"/>
      <c r="R2199" s="4"/>
      <c r="S2199" s="4"/>
      <c r="T2199" s="4"/>
      <c r="U2199" s="4"/>
      <c r="V2199" s="4"/>
      <c r="W2199" s="4"/>
      <c r="X2199" s="4"/>
    </row>
    <row r="2200" spans="17:24" x14ac:dyDescent="0.3">
      <c r="Q2200" s="4"/>
      <c r="R2200" s="4"/>
      <c r="S2200" s="4"/>
      <c r="T2200" s="4"/>
      <c r="U2200" s="4"/>
      <c r="V2200" s="4"/>
      <c r="W2200" s="4"/>
      <c r="X2200" s="4"/>
    </row>
    <row r="2201" spans="17:24" x14ac:dyDescent="0.3">
      <c r="Q2201" s="4"/>
      <c r="R2201" s="4"/>
      <c r="S2201" s="4"/>
      <c r="T2201" s="4"/>
      <c r="U2201" s="4"/>
      <c r="V2201" s="4"/>
      <c r="W2201" s="4"/>
      <c r="X2201" s="4"/>
    </row>
    <row r="2202" spans="17:24" x14ac:dyDescent="0.3">
      <c r="Q2202" s="4"/>
      <c r="R2202" s="4"/>
      <c r="S2202" s="4"/>
      <c r="T2202" s="4"/>
      <c r="U2202" s="4"/>
      <c r="V2202" s="4"/>
      <c r="W2202" s="4"/>
      <c r="X2202" s="4"/>
    </row>
    <row r="2203" spans="17:24" x14ac:dyDescent="0.3">
      <c r="Q2203" s="4"/>
      <c r="R2203" s="4"/>
      <c r="S2203" s="4"/>
      <c r="T2203" s="4"/>
      <c r="U2203" s="4"/>
      <c r="V2203" s="4"/>
      <c r="W2203" s="4"/>
      <c r="X2203" s="4"/>
    </row>
    <row r="2204" spans="17:24" x14ac:dyDescent="0.3">
      <c r="Q2204" s="4"/>
      <c r="R2204" s="4"/>
      <c r="S2204" s="4"/>
      <c r="T2204" s="4"/>
      <c r="U2204" s="4"/>
      <c r="V2204" s="4"/>
      <c r="W2204" s="4"/>
      <c r="X2204" s="4"/>
    </row>
    <row r="2205" spans="17:24" x14ac:dyDescent="0.3">
      <c r="Q2205" s="4"/>
      <c r="R2205" s="4"/>
      <c r="S2205" s="4"/>
      <c r="T2205" s="4"/>
      <c r="U2205" s="4"/>
      <c r="V2205" s="4"/>
      <c r="W2205" s="4"/>
      <c r="X2205" s="4"/>
    </row>
    <row r="2206" spans="17:24" x14ac:dyDescent="0.3">
      <c r="Q2206" s="4"/>
      <c r="R2206" s="4"/>
      <c r="S2206" s="4"/>
      <c r="T2206" s="4"/>
      <c r="U2206" s="4"/>
      <c r="V2206" s="4"/>
      <c r="W2206" s="4"/>
      <c r="X2206" s="4"/>
    </row>
    <row r="2207" spans="17:24" x14ac:dyDescent="0.3">
      <c r="Q2207" s="4"/>
      <c r="R2207" s="4"/>
      <c r="S2207" s="4"/>
      <c r="T2207" s="4"/>
      <c r="U2207" s="4"/>
      <c r="V2207" s="4"/>
      <c r="W2207" s="4"/>
      <c r="X2207" s="4"/>
    </row>
    <row r="2208" spans="17:24" x14ac:dyDescent="0.3">
      <c r="Q2208" s="4"/>
      <c r="R2208" s="4"/>
      <c r="S2208" s="4"/>
      <c r="T2208" s="4"/>
      <c r="U2208" s="4"/>
      <c r="V2208" s="4"/>
      <c r="W2208" s="4"/>
      <c r="X2208" s="4"/>
    </row>
    <row r="2209" spans="17:24" x14ac:dyDescent="0.3">
      <c r="Q2209" s="4"/>
      <c r="R2209" s="4"/>
      <c r="S2209" s="4"/>
      <c r="T2209" s="4"/>
      <c r="U2209" s="4"/>
      <c r="V2209" s="4"/>
      <c r="W2209" s="4"/>
      <c r="X2209" s="4"/>
    </row>
    <row r="2210" spans="17:24" x14ac:dyDescent="0.3">
      <c r="Q2210" s="4"/>
      <c r="R2210" s="4"/>
      <c r="S2210" s="4"/>
      <c r="T2210" s="4"/>
      <c r="U2210" s="4"/>
      <c r="V2210" s="4"/>
      <c r="W2210" s="4"/>
      <c r="X2210" s="4"/>
    </row>
    <row r="2211" spans="17:24" x14ac:dyDescent="0.3">
      <c r="Q2211" s="4"/>
      <c r="R2211" s="4"/>
      <c r="S2211" s="4"/>
      <c r="T2211" s="4"/>
      <c r="U2211" s="4"/>
      <c r="V2211" s="4"/>
      <c r="W2211" s="4"/>
      <c r="X2211" s="4"/>
    </row>
    <row r="2212" spans="17:24" x14ac:dyDescent="0.3">
      <c r="Q2212" s="4"/>
      <c r="R2212" s="4"/>
      <c r="S2212" s="4"/>
      <c r="T2212" s="4"/>
      <c r="U2212" s="4"/>
      <c r="V2212" s="4"/>
      <c r="W2212" s="4"/>
      <c r="X2212" s="4"/>
    </row>
    <row r="2213" spans="17:24" x14ac:dyDescent="0.3">
      <c r="Q2213" s="4"/>
      <c r="R2213" s="4"/>
      <c r="S2213" s="4"/>
      <c r="T2213" s="4"/>
      <c r="U2213" s="4"/>
      <c r="V2213" s="4"/>
      <c r="W2213" s="4"/>
      <c r="X2213" s="4"/>
    </row>
    <row r="2214" spans="17:24" x14ac:dyDescent="0.3">
      <c r="Q2214" s="4"/>
      <c r="R2214" s="4"/>
      <c r="S2214" s="4"/>
      <c r="T2214" s="4"/>
      <c r="U2214" s="4"/>
      <c r="V2214" s="4"/>
      <c r="W2214" s="4"/>
      <c r="X2214" s="4"/>
    </row>
    <row r="2215" spans="17:24" x14ac:dyDescent="0.3">
      <c r="Q2215" s="4"/>
      <c r="R2215" s="4"/>
      <c r="S2215" s="4"/>
      <c r="T2215" s="4"/>
      <c r="U2215" s="4"/>
      <c r="V2215" s="4"/>
      <c r="W2215" s="4"/>
      <c r="X2215" s="4"/>
    </row>
    <row r="2216" spans="17:24" x14ac:dyDescent="0.3">
      <c r="Q2216" s="4"/>
      <c r="R2216" s="4"/>
      <c r="S2216" s="4"/>
      <c r="T2216" s="4"/>
      <c r="U2216" s="4"/>
      <c r="V2216" s="4"/>
      <c r="W2216" s="4"/>
      <c r="X2216" s="4"/>
    </row>
    <row r="2217" spans="17:24" x14ac:dyDescent="0.3">
      <c r="Q2217" s="4"/>
      <c r="R2217" s="4"/>
      <c r="S2217" s="4"/>
      <c r="T2217" s="4"/>
      <c r="U2217" s="4"/>
      <c r="V2217" s="4"/>
      <c r="W2217" s="4"/>
      <c r="X2217" s="4"/>
    </row>
    <row r="2218" spans="17:24" x14ac:dyDescent="0.3">
      <c r="Q2218" s="4"/>
      <c r="R2218" s="4"/>
      <c r="S2218" s="4"/>
      <c r="T2218" s="4"/>
      <c r="U2218" s="4"/>
      <c r="V2218" s="4"/>
      <c r="W2218" s="4"/>
      <c r="X2218" s="4"/>
    </row>
    <row r="2219" spans="17:24" x14ac:dyDescent="0.3">
      <c r="Q2219" s="4"/>
      <c r="R2219" s="4"/>
      <c r="S2219" s="4"/>
      <c r="T2219" s="4"/>
      <c r="U2219" s="4"/>
      <c r="V2219" s="4"/>
      <c r="W2219" s="4"/>
      <c r="X2219" s="4"/>
    </row>
    <row r="2220" spans="17:24" x14ac:dyDescent="0.3">
      <c r="Q2220" s="4"/>
      <c r="R2220" s="4"/>
      <c r="S2220" s="4"/>
      <c r="T2220" s="4"/>
      <c r="U2220" s="4"/>
      <c r="V2220" s="4"/>
      <c r="W2220" s="4"/>
      <c r="X2220" s="4"/>
    </row>
    <row r="2221" spans="17:24" x14ac:dyDescent="0.3">
      <c r="Q2221" s="4"/>
      <c r="R2221" s="4"/>
      <c r="S2221" s="4"/>
      <c r="T2221" s="4"/>
      <c r="U2221" s="4"/>
      <c r="V2221" s="4"/>
      <c r="W2221" s="4"/>
      <c r="X2221" s="4"/>
    </row>
    <row r="2222" spans="17:24" x14ac:dyDescent="0.3">
      <c r="Q2222" s="4"/>
      <c r="R2222" s="4"/>
      <c r="S2222" s="4"/>
      <c r="T2222" s="4"/>
      <c r="U2222" s="4"/>
      <c r="V2222" s="4"/>
      <c r="W2222" s="4"/>
      <c r="X2222" s="4"/>
    </row>
    <row r="2223" spans="17:24" x14ac:dyDescent="0.3">
      <c r="Q2223" s="4"/>
      <c r="R2223" s="4"/>
      <c r="S2223" s="4"/>
      <c r="T2223" s="4"/>
      <c r="U2223" s="4"/>
      <c r="V2223" s="4"/>
      <c r="W2223" s="4"/>
      <c r="X2223" s="4"/>
    </row>
    <row r="2224" spans="17:24" x14ac:dyDescent="0.3">
      <c r="Q2224" s="4"/>
      <c r="R2224" s="4"/>
      <c r="S2224" s="4"/>
      <c r="T2224" s="4"/>
      <c r="U2224" s="4"/>
      <c r="V2224" s="4"/>
      <c r="W2224" s="4"/>
      <c r="X2224" s="4"/>
    </row>
    <row r="2225" spans="17:24" x14ac:dyDescent="0.3">
      <c r="Q2225" s="4"/>
      <c r="R2225" s="4"/>
      <c r="S2225" s="4"/>
      <c r="T2225" s="4"/>
      <c r="U2225" s="4"/>
      <c r="V2225" s="4"/>
      <c r="W2225" s="4"/>
      <c r="X2225" s="4"/>
    </row>
    <row r="2226" spans="17:24" x14ac:dyDescent="0.3">
      <c r="Q2226" s="4"/>
      <c r="R2226" s="4"/>
      <c r="S2226" s="4"/>
      <c r="T2226" s="4"/>
      <c r="U2226" s="4"/>
      <c r="V2226" s="4"/>
      <c r="W2226" s="4"/>
      <c r="X2226" s="4"/>
    </row>
    <row r="2227" spans="17:24" x14ac:dyDescent="0.3">
      <c r="Q2227" s="4"/>
      <c r="R2227" s="4"/>
      <c r="S2227" s="4"/>
      <c r="T2227" s="4"/>
      <c r="U2227" s="4"/>
      <c r="V2227" s="4"/>
      <c r="W2227" s="4"/>
      <c r="X2227" s="4"/>
    </row>
    <row r="2228" spans="17:24" x14ac:dyDescent="0.3">
      <c r="Q2228" s="4"/>
      <c r="R2228" s="4"/>
      <c r="S2228" s="4"/>
      <c r="T2228" s="4"/>
      <c r="U2228" s="4"/>
      <c r="V2228" s="4"/>
      <c r="W2228" s="4"/>
      <c r="X2228" s="4"/>
    </row>
    <row r="2229" spans="17:24" x14ac:dyDescent="0.3">
      <c r="Q2229" s="4"/>
      <c r="R2229" s="4"/>
      <c r="S2229" s="4"/>
      <c r="T2229" s="4"/>
      <c r="U2229" s="4"/>
      <c r="V2229" s="4"/>
      <c r="W2229" s="4"/>
      <c r="X2229" s="4"/>
    </row>
    <row r="2230" spans="17:24" x14ac:dyDescent="0.3">
      <c r="Q2230" s="4"/>
      <c r="R2230" s="4"/>
      <c r="S2230" s="4"/>
      <c r="T2230" s="4"/>
      <c r="U2230" s="4"/>
      <c r="V2230" s="4"/>
      <c r="W2230" s="4"/>
      <c r="X2230" s="4"/>
    </row>
    <row r="2231" spans="17:24" x14ac:dyDescent="0.3">
      <c r="Q2231" s="4"/>
      <c r="R2231" s="4"/>
      <c r="S2231" s="4"/>
      <c r="T2231" s="4"/>
      <c r="U2231" s="4"/>
      <c r="V2231" s="4"/>
      <c r="W2231" s="4"/>
      <c r="X2231" s="4"/>
    </row>
    <row r="2232" spans="17:24" x14ac:dyDescent="0.3">
      <c r="Q2232" s="4"/>
      <c r="R2232" s="4"/>
      <c r="S2232" s="4"/>
      <c r="T2232" s="4"/>
      <c r="U2232" s="4"/>
      <c r="V2232" s="4"/>
      <c r="W2232" s="4"/>
      <c r="X2232" s="4"/>
    </row>
    <row r="2233" spans="17:24" x14ac:dyDescent="0.3">
      <c r="Q2233" s="4"/>
      <c r="R2233" s="4"/>
      <c r="S2233" s="4"/>
      <c r="T2233" s="4"/>
      <c r="U2233" s="4"/>
      <c r="V2233" s="4"/>
      <c r="W2233" s="4"/>
      <c r="X2233" s="4"/>
    </row>
    <row r="2234" spans="17:24" x14ac:dyDescent="0.3">
      <c r="Q2234" s="4"/>
      <c r="R2234" s="4"/>
      <c r="S2234" s="4"/>
      <c r="T2234" s="4"/>
      <c r="U2234" s="4"/>
      <c r="V2234" s="4"/>
      <c r="W2234" s="4"/>
      <c r="X2234" s="4"/>
    </row>
    <row r="2235" spans="17:24" x14ac:dyDescent="0.3">
      <c r="Q2235" s="4"/>
      <c r="R2235" s="4"/>
      <c r="S2235" s="4"/>
      <c r="T2235" s="4"/>
      <c r="U2235" s="4"/>
      <c r="V2235" s="4"/>
      <c r="W2235" s="4"/>
      <c r="X2235" s="4"/>
    </row>
    <row r="2236" spans="17:24" x14ac:dyDescent="0.3">
      <c r="Q2236" s="4"/>
      <c r="R2236" s="4"/>
      <c r="S2236" s="4"/>
      <c r="T2236" s="4"/>
      <c r="U2236" s="4"/>
      <c r="V2236" s="4"/>
      <c r="W2236" s="4"/>
      <c r="X2236" s="4"/>
    </row>
    <row r="2237" spans="17:24" x14ac:dyDescent="0.3">
      <c r="Q2237" s="4"/>
      <c r="R2237" s="4"/>
      <c r="S2237" s="4"/>
      <c r="T2237" s="4"/>
      <c r="U2237" s="4"/>
      <c r="V2237" s="4"/>
      <c r="W2237" s="4"/>
      <c r="X2237" s="4"/>
    </row>
    <row r="2238" spans="17:24" x14ac:dyDescent="0.3">
      <c r="Q2238" s="4"/>
      <c r="R2238" s="4"/>
      <c r="S2238" s="4"/>
      <c r="T2238" s="4"/>
      <c r="U2238" s="4"/>
      <c r="V2238" s="4"/>
      <c r="W2238" s="4"/>
      <c r="X2238" s="4"/>
    </row>
    <row r="2239" spans="17:24" x14ac:dyDescent="0.3">
      <c r="Q2239" s="4"/>
      <c r="R2239" s="4"/>
      <c r="S2239" s="4"/>
      <c r="T2239" s="4"/>
      <c r="U2239" s="4"/>
      <c r="V2239" s="4"/>
      <c r="W2239" s="4"/>
      <c r="X2239" s="4"/>
    </row>
    <row r="2240" spans="17:24" x14ac:dyDescent="0.3">
      <c r="Q2240" s="4"/>
      <c r="R2240" s="4"/>
      <c r="S2240" s="4"/>
      <c r="T2240" s="4"/>
      <c r="U2240" s="4"/>
      <c r="V2240" s="4"/>
      <c r="W2240" s="4"/>
      <c r="X2240" s="4"/>
    </row>
    <row r="2241" spans="17:24" x14ac:dyDescent="0.3">
      <c r="Q2241" s="4"/>
      <c r="R2241" s="4"/>
      <c r="S2241" s="4"/>
      <c r="T2241" s="4"/>
      <c r="U2241" s="4"/>
      <c r="V2241" s="4"/>
      <c r="W2241" s="4"/>
      <c r="X2241" s="4"/>
    </row>
    <row r="2242" spans="17:24" x14ac:dyDescent="0.3">
      <c r="Q2242" s="4"/>
      <c r="R2242" s="4"/>
      <c r="S2242" s="4"/>
      <c r="T2242" s="4"/>
      <c r="U2242" s="4"/>
      <c r="V2242" s="4"/>
      <c r="W2242" s="4"/>
      <c r="X2242" s="4"/>
    </row>
    <row r="2243" spans="17:24" x14ac:dyDescent="0.3">
      <c r="Q2243" s="4"/>
      <c r="R2243" s="4"/>
      <c r="S2243" s="4"/>
      <c r="T2243" s="4"/>
      <c r="U2243" s="4"/>
      <c r="V2243" s="4"/>
      <c r="W2243" s="4"/>
      <c r="X2243" s="4"/>
    </row>
    <row r="2244" spans="17:24" x14ac:dyDescent="0.3">
      <c r="Q2244" s="4"/>
      <c r="R2244" s="4"/>
      <c r="S2244" s="4"/>
      <c r="T2244" s="4"/>
      <c r="U2244" s="4"/>
      <c r="V2244" s="4"/>
      <c r="W2244" s="4"/>
      <c r="X2244" s="4"/>
    </row>
    <row r="2245" spans="17:24" x14ac:dyDescent="0.3">
      <c r="Q2245" s="4"/>
      <c r="R2245" s="4"/>
      <c r="S2245" s="4"/>
      <c r="T2245" s="4"/>
      <c r="U2245" s="4"/>
      <c r="V2245" s="4"/>
      <c r="W2245" s="4"/>
      <c r="X2245" s="4"/>
    </row>
    <row r="2246" spans="17:24" x14ac:dyDescent="0.3">
      <c r="Q2246" s="4"/>
      <c r="R2246" s="4"/>
      <c r="S2246" s="4"/>
      <c r="T2246" s="4"/>
      <c r="U2246" s="4"/>
      <c r="V2246" s="4"/>
      <c r="W2246" s="4"/>
      <c r="X2246" s="4"/>
    </row>
    <row r="2247" spans="17:24" x14ac:dyDescent="0.3">
      <c r="Q2247" s="4"/>
      <c r="R2247" s="4"/>
      <c r="S2247" s="4"/>
      <c r="T2247" s="4"/>
      <c r="U2247" s="4"/>
      <c r="V2247" s="4"/>
      <c r="W2247" s="4"/>
      <c r="X2247" s="4"/>
    </row>
    <row r="2248" spans="17:24" x14ac:dyDescent="0.3">
      <c r="Q2248" s="4"/>
      <c r="R2248" s="4"/>
      <c r="S2248" s="4"/>
      <c r="T2248" s="4"/>
      <c r="U2248" s="4"/>
      <c r="V2248" s="4"/>
      <c r="W2248" s="4"/>
      <c r="X2248" s="4"/>
    </row>
    <row r="2249" spans="17:24" x14ac:dyDescent="0.3">
      <c r="Q2249" s="4"/>
      <c r="R2249" s="4"/>
      <c r="S2249" s="4"/>
      <c r="T2249" s="4"/>
      <c r="U2249" s="4"/>
      <c r="V2249" s="4"/>
      <c r="W2249" s="4"/>
      <c r="X2249" s="4"/>
    </row>
    <row r="2250" spans="17:24" x14ac:dyDescent="0.3">
      <c r="Q2250" s="4"/>
      <c r="R2250" s="4"/>
      <c r="S2250" s="4"/>
      <c r="T2250" s="4"/>
      <c r="U2250" s="4"/>
      <c r="V2250" s="4"/>
      <c r="W2250" s="4"/>
      <c r="X2250" s="4"/>
    </row>
    <row r="2251" spans="17:24" x14ac:dyDescent="0.3">
      <c r="Q2251" s="4"/>
      <c r="R2251" s="4"/>
      <c r="S2251" s="4"/>
      <c r="T2251" s="4"/>
      <c r="U2251" s="4"/>
      <c r="V2251" s="4"/>
      <c r="W2251" s="4"/>
      <c r="X2251" s="4"/>
    </row>
    <row r="2252" spans="17:24" x14ac:dyDescent="0.3">
      <c r="Q2252" s="4"/>
      <c r="R2252" s="4"/>
      <c r="S2252" s="4"/>
      <c r="T2252" s="4"/>
      <c r="U2252" s="4"/>
      <c r="V2252" s="4"/>
      <c r="W2252" s="4"/>
      <c r="X2252" s="4"/>
    </row>
    <row r="2253" spans="17:24" x14ac:dyDescent="0.3">
      <c r="Q2253" s="4"/>
      <c r="R2253" s="4"/>
      <c r="S2253" s="4"/>
      <c r="T2253" s="4"/>
      <c r="U2253" s="4"/>
      <c r="V2253" s="4"/>
      <c r="W2253" s="4"/>
      <c r="X2253" s="4"/>
    </row>
    <row r="2254" spans="17:24" x14ac:dyDescent="0.3">
      <c r="Q2254" s="4"/>
      <c r="R2254" s="4"/>
      <c r="S2254" s="4"/>
      <c r="T2254" s="4"/>
      <c r="U2254" s="4"/>
      <c r="V2254" s="4"/>
      <c r="W2254" s="4"/>
      <c r="X2254" s="4"/>
    </row>
    <row r="2255" spans="17:24" x14ac:dyDescent="0.3">
      <c r="Q2255" s="4"/>
      <c r="R2255" s="4"/>
      <c r="S2255" s="4"/>
      <c r="T2255" s="4"/>
      <c r="U2255" s="4"/>
      <c r="V2255" s="4"/>
      <c r="W2255" s="4"/>
      <c r="X2255" s="4"/>
    </row>
    <row r="2256" spans="17:24" x14ac:dyDescent="0.3">
      <c r="Q2256" s="4"/>
      <c r="R2256" s="4"/>
      <c r="S2256" s="4"/>
      <c r="T2256" s="4"/>
      <c r="U2256" s="4"/>
      <c r="V2256" s="4"/>
      <c r="W2256" s="4"/>
      <c r="X2256" s="4"/>
    </row>
    <row r="2257" spans="17:24" x14ac:dyDescent="0.3">
      <c r="Q2257" s="4"/>
      <c r="R2257" s="4"/>
      <c r="S2257" s="4"/>
      <c r="T2257" s="4"/>
      <c r="U2257" s="4"/>
      <c r="V2257" s="4"/>
      <c r="W2257" s="4"/>
      <c r="X2257" s="4"/>
    </row>
    <row r="2258" spans="17:24" x14ac:dyDescent="0.3">
      <c r="Q2258" s="4"/>
      <c r="R2258" s="4"/>
      <c r="S2258" s="4"/>
      <c r="T2258" s="4"/>
      <c r="U2258" s="4"/>
      <c r="V2258" s="4"/>
      <c r="W2258" s="4"/>
      <c r="X2258" s="4"/>
    </row>
    <row r="2259" spans="17:24" x14ac:dyDescent="0.3">
      <c r="Q2259" s="4"/>
      <c r="R2259" s="4"/>
      <c r="S2259" s="4"/>
      <c r="T2259" s="4"/>
      <c r="U2259" s="4"/>
      <c r="V2259" s="4"/>
      <c r="W2259" s="4"/>
      <c r="X2259" s="4"/>
    </row>
    <row r="2260" spans="17:24" x14ac:dyDescent="0.3">
      <c r="Q2260" s="4"/>
      <c r="R2260" s="4"/>
      <c r="S2260" s="4"/>
      <c r="T2260" s="4"/>
      <c r="U2260" s="4"/>
      <c r="V2260" s="4"/>
      <c r="W2260" s="4"/>
      <c r="X2260" s="4"/>
    </row>
    <row r="2261" spans="17:24" x14ac:dyDescent="0.3">
      <c r="Q2261" s="4"/>
      <c r="R2261" s="4"/>
      <c r="S2261" s="4"/>
      <c r="T2261" s="4"/>
      <c r="U2261" s="4"/>
      <c r="V2261" s="4"/>
      <c r="W2261" s="4"/>
      <c r="X2261" s="4"/>
    </row>
    <row r="2262" spans="17:24" x14ac:dyDescent="0.3">
      <c r="Q2262" s="4"/>
      <c r="R2262" s="4"/>
      <c r="S2262" s="4"/>
      <c r="T2262" s="4"/>
      <c r="U2262" s="4"/>
      <c r="V2262" s="4"/>
      <c r="W2262" s="4"/>
      <c r="X2262" s="4"/>
    </row>
    <row r="2263" spans="17:24" x14ac:dyDescent="0.3">
      <c r="Q2263" s="4"/>
      <c r="R2263" s="4"/>
      <c r="S2263" s="4"/>
      <c r="T2263" s="4"/>
      <c r="U2263" s="4"/>
      <c r="V2263" s="4"/>
      <c r="W2263" s="4"/>
      <c r="X2263" s="4"/>
    </row>
    <row r="2264" spans="17:24" x14ac:dyDescent="0.3">
      <c r="Q2264" s="4"/>
      <c r="R2264" s="4"/>
      <c r="S2264" s="4"/>
      <c r="T2264" s="4"/>
      <c r="U2264" s="4"/>
      <c r="V2264" s="4"/>
      <c r="W2264" s="4"/>
      <c r="X2264" s="4"/>
    </row>
    <row r="2265" spans="17:24" x14ac:dyDescent="0.3">
      <c r="Q2265" s="4"/>
      <c r="R2265" s="4"/>
      <c r="S2265" s="4"/>
      <c r="T2265" s="4"/>
      <c r="U2265" s="4"/>
      <c r="V2265" s="4"/>
      <c r="W2265" s="4"/>
      <c r="X2265" s="4"/>
    </row>
    <row r="2266" spans="17:24" x14ac:dyDescent="0.3">
      <c r="Q2266" s="4"/>
      <c r="R2266" s="4"/>
      <c r="S2266" s="4"/>
      <c r="T2266" s="4"/>
      <c r="U2266" s="4"/>
      <c r="V2266" s="4"/>
      <c r="W2266" s="4"/>
      <c r="X2266" s="4"/>
    </row>
    <row r="2267" spans="17:24" x14ac:dyDescent="0.3">
      <c r="Q2267" s="4"/>
      <c r="R2267" s="4"/>
      <c r="S2267" s="4"/>
      <c r="T2267" s="4"/>
      <c r="U2267" s="4"/>
      <c r="V2267" s="4"/>
      <c r="W2267" s="4"/>
      <c r="X2267" s="4"/>
    </row>
    <row r="2268" spans="17:24" x14ac:dyDescent="0.3">
      <c r="Q2268" s="4"/>
      <c r="R2268" s="4"/>
      <c r="S2268" s="4"/>
      <c r="T2268" s="4"/>
      <c r="U2268" s="4"/>
      <c r="V2268" s="4"/>
      <c r="W2268" s="4"/>
      <c r="X2268" s="4"/>
    </row>
    <row r="2269" spans="17:24" x14ac:dyDescent="0.3">
      <c r="Q2269" s="4"/>
      <c r="R2269" s="4"/>
      <c r="S2269" s="4"/>
      <c r="T2269" s="4"/>
      <c r="U2269" s="4"/>
      <c r="V2269" s="4"/>
      <c r="W2269" s="4"/>
      <c r="X2269" s="4"/>
    </row>
    <row r="2270" spans="17:24" x14ac:dyDescent="0.3">
      <c r="Q2270" s="4"/>
      <c r="R2270" s="4"/>
      <c r="S2270" s="4"/>
      <c r="T2270" s="4"/>
      <c r="U2270" s="4"/>
      <c r="V2270" s="4"/>
      <c r="W2270" s="4"/>
      <c r="X2270" s="4"/>
    </row>
    <row r="2271" spans="17:24" x14ac:dyDescent="0.3">
      <c r="Q2271" s="4"/>
      <c r="R2271" s="4"/>
      <c r="S2271" s="4"/>
      <c r="T2271" s="4"/>
      <c r="U2271" s="4"/>
      <c r="V2271" s="4"/>
      <c r="W2271" s="4"/>
      <c r="X2271" s="4"/>
    </row>
    <row r="2272" spans="17:24" x14ac:dyDescent="0.3">
      <c r="Q2272" s="4"/>
      <c r="R2272" s="4"/>
      <c r="S2272" s="4"/>
      <c r="T2272" s="4"/>
      <c r="U2272" s="4"/>
      <c r="V2272" s="4"/>
      <c r="W2272" s="4"/>
      <c r="X2272" s="4"/>
    </row>
    <row r="2273" spans="17:24" x14ac:dyDescent="0.3">
      <c r="Q2273" s="4"/>
      <c r="R2273" s="4"/>
      <c r="S2273" s="4"/>
      <c r="T2273" s="4"/>
      <c r="U2273" s="4"/>
      <c r="V2273" s="4"/>
      <c r="W2273" s="4"/>
      <c r="X2273" s="4"/>
    </row>
    <row r="2274" spans="17:24" x14ac:dyDescent="0.3">
      <c r="Q2274" s="4"/>
      <c r="R2274" s="4"/>
      <c r="S2274" s="4"/>
      <c r="T2274" s="4"/>
      <c r="U2274" s="4"/>
      <c r="V2274" s="4"/>
      <c r="W2274" s="4"/>
      <c r="X2274" s="4"/>
    </row>
    <row r="2275" spans="17:24" x14ac:dyDescent="0.3">
      <c r="Q2275" s="4"/>
      <c r="R2275" s="4"/>
      <c r="S2275" s="4"/>
      <c r="T2275" s="4"/>
      <c r="U2275" s="4"/>
      <c r="V2275" s="4"/>
      <c r="W2275" s="4"/>
      <c r="X2275" s="4"/>
    </row>
    <row r="2276" spans="17:24" x14ac:dyDescent="0.3">
      <c r="Q2276" s="4"/>
      <c r="R2276" s="4"/>
      <c r="S2276" s="4"/>
      <c r="T2276" s="4"/>
      <c r="U2276" s="4"/>
      <c r="V2276" s="4"/>
      <c r="W2276" s="4"/>
      <c r="X2276" s="4"/>
    </row>
    <row r="2277" spans="17:24" x14ac:dyDescent="0.3">
      <c r="Q2277" s="4"/>
      <c r="R2277" s="4"/>
      <c r="S2277" s="4"/>
      <c r="T2277" s="4"/>
      <c r="U2277" s="4"/>
      <c r="V2277" s="4"/>
      <c r="W2277" s="4"/>
      <c r="X2277" s="4"/>
    </row>
    <row r="2278" spans="17:24" x14ac:dyDescent="0.3">
      <c r="Q2278" s="4"/>
      <c r="R2278" s="4"/>
      <c r="S2278" s="4"/>
      <c r="T2278" s="4"/>
      <c r="U2278" s="4"/>
      <c r="V2278" s="4"/>
      <c r="W2278" s="4"/>
      <c r="X2278" s="4"/>
    </row>
    <row r="2279" spans="17:24" x14ac:dyDescent="0.3">
      <c r="Q2279" s="4"/>
      <c r="R2279" s="4"/>
      <c r="S2279" s="4"/>
      <c r="T2279" s="4"/>
      <c r="U2279" s="4"/>
      <c r="V2279" s="4"/>
      <c r="W2279" s="4"/>
      <c r="X2279" s="4"/>
    </row>
    <row r="2280" spans="17:24" x14ac:dyDescent="0.3">
      <c r="Q2280" s="4"/>
      <c r="R2280" s="4"/>
      <c r="S2280" s="4"/>
      <c r="T2280" s="4"/>
      <c r="U2280" s="4"/>
      <c r="V2280" s="4"/>
      <c r="W2280" s="4"/>
      <c r="X2280" s="4"/>
    </row>
    <row r="2281" spans="17:24" x14ac:dyDescent="0.3">
      <c r="Q2281" s="4"/>
      <c r="R2281" s="4"/>
      <c r="S2281" s="4"/>
      <c r="T2281" s="4"/>
      <c r="U2281" s="4"/>
      <c r="V2281" s="4"/>
      <c r="W2281" s="4"/>
      <c r="X2281" s="4"/>
    </row>
    <row r="2282" spans="17:24" x14ac:dyDescent="0.3">
      <c r="Q2282" s="4"/>
      <c r="R2282" s="4"/>
      <c r="S2282" s="4"/>
      <c r="T2282" s="4"/>
      <c r="U2282" s="4"/>
      <c r="V2282" s="4"/>
      <c r="W2282" s="4"/>
      <c r="X2282" s="4"/>
    </row>
    <row r="2283" spans="17:24" x14ac:dyDescent="0.3">
      <c r="Q2283" s="4"/>
      <c r="R2283" s="4"/>
      <c r="S2283" s="4"/>
      <c r="T2283" s="4"/>
      <c r="U2283" s="4"/>
      <c r="V2283" s="4"/>
      <c r="W2283" s="4"/>
      <c r="X2283" s="4"/>
    </row>
    <row r="2284" spans="17:24" x14ac:dyDescent="0.3">
      <c r="Q2284" s="4"/>
      <c r="R2284" s="4"/>
      <c r="S2284" s="4"/>
      <c r="T2284" s="4"/>
      <c r="U2284" s="4"/>
      <c r="V2284" s="4"/>
      <c r="W2284" s="4"/>
      <c r="X2284" s="4"/>
    </row>
    <row r="2285" spans="17:24" x14ac:dyDescent="0.3">
      <c r="Q2285" s="4"/>
      <c r="R2285" s="4"/>
      <c r="S2285" s="4"/>
      <c r="T2285" s="4"/>
      <c r="U2285" s="4"/>
      <c r="V2285" s="4"/>
      <c r="W2285" s="4"/>
      <c r="X2285" s="4"/>
    </row>
    <row r="2286" spans="17:24" x14ac:dyDescent="0.3">
      <c r="Q2286" s="4"/>
      <c r="R2286" s="4"/>
      <c r="S2286" s="4"/>
      <c r="T2286" s="4"/>
      <c r="U2286" s="4"/>
      <c r="V2286" s="4"/>
      <c r="W2286" s="4"/>
      <c r="X2286" s="4"/>
    </row>
    <row r="2287" spans="17:24" x14ac:dyDescent="0.3">
      <c r="Q2287" s="4"/>
      <c r="R2287" s="4"/>
      <c r="S2287" s="4"/>
      <c r="T2287" s="4"/>
      <c r="U2287" s="4"/>
      <c r="V2287" s="4"/>
      <c r="W2287" s="4"/>
      <c r="X2287" s="4"/>
    </row>
    <row r="2288" spans="17:24" x14ac:dyDescent="0.3">
      <c r="Q2288" s="4"/>
      <c r="R2288" s="4"/>
      <c r="S2288" s="4"/>
      <c r="T2288" s="4"/>
      <c r="U2288" s="4"/>
      <c r="V2288" s="4"/>
      <c r="W2288" s="4"/>
      <c r="X2288" s="4"/>
    </row>
    <row r="2289" spans="17:24" x14ac:dyDescent="0.3">
      <c r="Q2289" s="4"/>
      <c r="R2289" s="4"/>
      <c r="S2289" s="4"/>
      <c r="T2289" s="4"/>
      <c r="U2289" s="4"/>
      <c r="V2289" s="4"/>
      <c r="W2289" s="4"/>
      <c r="X2289" s="4"/>
    </row>
    <row r="2290" spans="17:24" x14ac:dyDescent="0.3">
      <c r="Q2290" s="4"/>
      <c r="R2290" s="4"/>
      <c r="S2290" s="4"/>
      <c r="T2290" s="4"/>
      <c r="U2290" s="4"/>
      <c r="V2290" s="4"/>
      <c r="W2290" s="4"/>
      <c r="X2290" s="4"/>
    </row>
    <row r="2291" spans="17:24" x14ac:dyDescent="0.3">
      <c r="Q2291" s="4"/>
      <c r="R2291" s="4"/>
      <c r="S2291" s="4"/>
      <c r="T2291" s="4"/>
      <c r="U2291" s="4"/>
      <c r="V2291" s="4"/>
      <c r="W2291" s="4"/>
      <c r="X2291" s="4"/>
    </row>
    <row r="2292" spans="17:24" x14ac:dyDescent="0.3">
      <c r="Q2292" s="4"/>
      <c r="R2292" s="4"/>
      <c r="S2292" s="4"/>
      <c r="T2292" s="4"/>
      <c r="U2292" s="4"/>
      <c r="V2292" s="4"/>
      <c r="W2292" s="4"/>
      <c r="X2292" s="4"/>
    </row>
    <row r="2293" spans="17:24" x14ac:dyDescent="0.3">
      <c r="Q2293" s="4"/>
      <c r="R2293" s="4"/>
      <c r="S2293" s="4"/>
      <c r="T2293" s="4"/>
      <c r="U2293" s="4"/>
      <c r="V2293" s="4"/>
      <c r="W2293" s="4"/>
      <c r="X2293" s="4"/>
    </row>
    <row r="2294" spans="17:24" x14ac:dyDescent="0.3">
      <c r="Q2294" s="4"/>
      <c r="R2294" s="4"/>
      <c r="S2294" s="4"/>
      <c r="T2294" s="4"/>
      <c r="U2294" s="4"/>
      <c r="V2294" s="4"/>
      <c r="W2294" s="4"/>
      <c r="X2294" s="4"/>
    </row>
    <row r="2295" spans="17:24" x14ac:dyDescent="0.3">
      <c r="Q2295" s="4"/>
      <c r="R2295" s="4"/>
      <c r="S2295" s="4"/>
      <c r="T2295" s="4"/>
      <c r="U2295" s="4"/>
      <c r="V2295" s="4"/>
      <c r="W2295" s="4"/>
      <c r="X2295" s="4"/>
    </row>
    <row r="2296" spans="17:24" x14ac:dyDescent="0.3">
      <c r="Q2296" s="4"/>
      <c r="R2296" s="4"/>
      <c r="S2296" s="4"/>
      <c r="T2296" s="4"/>
      <c r="U2296" s="4"/>
      <c r="V2296" s="4"/>
      <c r="W2296" s="4"/>
      <c r="X2296" s="4"/>
    </row>
    <row r="2297" spans="17:24" x14ac:dyDescent="0.3">
      <c r="Q2297" s="4"/>
      <c r="R2297" s="4"/>
      <c r="S2297" s="4"/>
      <c r="T2297" s="4"/>
      <c r="U2297" s="4"/>
      <c r="V2297" s="4"/>
      <c r="W2297" s="4"/>
      <c r="X2297" s="4"/>
    </row>
    <row r="2298" spans="17:24" x14ac:dyDescent="0.3">
      <c r="Q2298" s="4"/>
      <c r="R2298" s="4"/>
      <c r="S2298" s="4"/>
      <c r="T2298" s="4"/>
      <c r="U2298" s="4"/>
      <c r="V2298" s="4"/>
      <c r="W2298" s="4"/>
      <c r="X2298" s="4"/>
    </row>
    <row r="2299" spans="17:24" x14ac:dyDescent="0.3">
      <c r="Q2299" s="4"/>
      <c r="R2299" s="4"/>
      <c r="S2299" s="4"/>
      <c r="T2299" s="4"/>
      <c r="U2299" s="4"/>
      <c r="V2299" s="4"/>
      <c r="W2299" s="4"/>
      <c r="X2299" s="4"/>
    </row>
    <row r="2300" spans="17:24" x14ac:dyDescent="0.3">
      <c r="Q2300" s="4"/>
      <c r="R2300" s="4"/>
      <c r="S2300" s="4"/>
      <c r="T2300" s="4"/>
      <c r="U2300" s="4"/>
      <c r="V2300" s="4"/>
      <c r="W2300" s="4"/>
      <c r="X2300" s="4"/>
    </row>
    <row r="2301" spans="17:24" x14ac:dyDescent="0.3">
      <c r="Q2301" s="4"/>
      <c r="R2301" s="4"/>
      <c r="S2301" s="4"/>
      <c r="T2301" s="4"/>
      <c r="U2301" s="4"/>
      <c r="V2301" s="4"/>
      <c r="W2301" s="4"/>
      <c r="X2301" s="4"/>
    </row>
    <row r="2302" spans="17:24" x14ac:dyDescent="0.3">
      <c r="Q2302" s="4"/>
      <c r="R2302" s="4"/>
      <c r="S2302" s="4"/>
      <c r="T2302" s="4"/>
      <c r="U2302" s="4"/>
      <c r="V2302" s="4"/>
      <c r="W2302" s="4"/>
      <c r="X2302" s="4"/>
    </row>
    <row r="2303" spans="17:24" x14ac:dyDescent="0.3">
      <c r="Q2303" s="4"/>
      <c r="R2303" s="4"/>
      <c r="S2303" s="4"/>
      <c r="T2303" s="4"/>
      <c r="U2303" s="4"/>
      <c r="V2303" s="4"/>
      <c r="W2303" s="4"/>
      <c r="X2303" s="4"/>
    </row>
    <row r="2304" spans="17:24" x14ac:dyDescent="0.3">
      <c r="Q2304" s="4"/>
      <c r="R2304" s="4"/>
      <c r="S2304" s="4"/>
      <c r="T2304" s="4"/>
      <c r="U2304" s="4"/>
      <c r="V2304" s="4"/>
      <c r="W2304" s="4"/>
      <c r="X2304" s="4"/>
    </row>
    <row r="2305" spans="17:24" x14ac:dyDescent="0.3">
      <c r="Q2305" s="4"/>
      <c r="R2305" s="4"/>
      <c r="S2305" s="4"/>
      <c r="T2305" s="4"/>
      <c r="U2305" s="4"/>
      <c r="V2305" s="4"/>
      <c r="W2305" s="4"/>
      <c r="X2305" s="4"/>
    </row>
    <row r="2306" spans="17:24" x14ac:dyDescent="0.3">
      <c r="Q2306" s="4"/>
      <c r="R2306" s="4"/>
      <c r="S2306" s="4"/>
      <c r="T2306" s="4"/>
      <c r="U2306" s="4"/>
      <c r="V2306" s="4"/>
      <c r="W2306" s="4"/>
      <c r="X2306" s="4"/>
    </row>
    <row r="2307" spans="17:24" x14ac:dyDescent="0.3">
      <c r="Q2307" s="4"/>
      <c r="R2307" s="4"/>
      <c r="S2307" s="4"/>
      <c r="T2307" s="4"/>
      <c r="U2307" s="4"/>
      <c r="V2307" s="4"/>
      <c r="W2307" s="4"/>
      <c r="X2307" s="4"/>
    </row>
    <row r="2308" spans="17:24" x14ac:dyDescent="0.3">
      <c r="Q2308" s="4"/>
      <c r="R2308" s="4"/>
      <c r="S2308" s="4"/>
      <c r="T2308" s="4"/>
      <c r="U2308" s="4"/>
      <c r="V2308" s="4"/>
      <c r="W2308" s="4"/>
      <c r="X2308" s="4"/>
    </row>
    <row r="2309" spans="17:24" x14ac:dyDescent="0.3">
      <c r="Q2309" s="4"/>
      <c r="R2309" s="4"/>
      <c r="S2309" s="4"/>
      <c r="T2309" s="4"/>
      <c r="U2309" s="4"/>
      <c r="V2309" s="4"/>
      <c r="W2309" s="4"/>
      <c r="X2309" s="4"/>
    </row>
    <row r="2310" spans="17:24" x14ac:dyDescent="0.3">
      <c r="Q2310" s="4"/>
      <c r="R2310" s="4"/>
      <c r="S2310" s="4"/>
      <c r="T2310" s="4"/>
      <c r="U2310" s="4"/>
      <c r="V2310" s="4"/>
      <c r="W2310" s="4"/>
      <c r="X2310" s="4"/>
    </row>
    <row r="2311" spans="17:24" x14ac:dyDescent="0.3">
      <c r="Q2311" s="4"/>
      <c r="R2311" s="4"/>
      <c r="S2311" s="4"/>
      <c r="T2311" s="4"/>
      <c r="U2311" s="4"/>
      <c r="V2311" s="4"/>
      <c r="W2311" s="4"/>
      <c r="X2311" s="4"/>
    </row>
    <row r="2312" spans="17:24" x14ac:dyDescent="0.3">
      <c r="Q2312" s="4"/>
      <c r="R2312" s="4"/>
      <c r="S2312" s="4"/>
      <c r="T2312" s="4"/>
      <c r="U2312" s="4"/>
      <c r="V2312" s="4"/>
      <c r="W2312" s="4"/>
      <c r="X2312" s="4"/>
    </row>
    <row r="2313" spans="17:24" x14ac:dyDescent="0.3">
      <c r="Q2313" s="4"/>
      <c r="R2313" s="4"/>
      <c r="S2313" s="4"/>
      <c r="T2313" s="4"/>
      <c r="U2313" s="4"/>
      <c r="V2313" s="4"/>
      <c r="W2313" s="4"/>
      <c r="X2313" s="4"/>
    </row>
    <row r="2314" spans="17:24" x14ac:dyDescent="0.3">
      <c r="Q2314" s="4"/>
      <c r="R2314" s="4"/>
      <c r="S2314" s="4"/>
      <c r="T2314" s="4"/>
      <c r="U2314" s="4"/>
      <c r="V2314" s="4"/>
      <c r="W2314" s="4"/>
      <c r="X2314" s="4"/>
    </row>
    <row r="2315" spans="17:24" x14ac:dyDescent="0.3">
      <c r="Q2315" s="4"/>
      <c r="R2315" s="4"/>
      <c r="S2315" s="4"/>
      <c r="T2315" s="4"/>
      <c r="U2315" s="4"/>
      <c r="V2315" s="4"/>
      <c r="W2315" s="4"/>
      <c r="X2315" s="4"/>
    </row>
    <row r="2316" spans="17:24" x14ac:dyDescent="0.3">
      <c r="Q2316" s="4"/>
      <c r="R2316" s="4"/>
      <c r="S2316" s="4"/>
      <c r="T2316" s="4"/>
      <c r="U2316" s="4"/>
      <c r="V2316" s="4"/>
      <c r="W2316" s="4"/>
      <c r="X2316" s="4"/>
    </row>
    <row r="2317" spans="17:24" x14ac:dyDescent="0.3">
      <c r="Q2317" s="4"/>
      <c r="R2317" s="4"/>
      <c r="S2317" s="4"/>
      <c r="T2317" s="4"/>
      <c r="U2317" s="4"/>
      <c r="V2317" s="4"/>
      <c r="W2317" s="4"/>
      <c r="X2317" s="4"/>
    </row>
    <row r="2318" spans="17:24" x14ac:dyDescent="0.3">
      <c r="Q2318" s="4"/>
      <c r="R2318" s="4"/>
      <c r="S2318" s="4"/>
      <c r="T2318" s="4"/>
      <c r="U2318" s="4"/>
      <c r="V2318" s="4"/>
      <c r="W2318" s="4"/>
      <c r="X2318" s="4"/>
    </row>
    <row r="2319" spans="17:24" x14ac:dyDescent="0.3">
      <c r="Q2319" s="4"/>
      <c r="R2319" s="4"/>
      <c r="S2319" s="4"/>
      <c r="T2319" s="4"/>
      <c r="U2319" s="4"/>
      <c r="V2319" s="4"/>
      <c r="W2319" s="4"/>
      <c r="X2319" s="4"/>
    </row>
    <row r="2320" spans="17:24" x14ac:dyDescent="0.3">
      <c r="Q2320" s="4"/>
      <c r="R2320" s="4"/>
      <c r="S2320" s="4"/>
      <c r="T2320" s="4"/>
      <c r="U2320" s="4"/>
      <c r="V2320" s="4"/>
      <c r="W2320" s="4"/>
      <c r="X2320" s="4"/>
    </row>
    <row r="2321" spans="17:24" x14ac:dyDescent="0.3">
      <c r="Q2321" s="4"/>
      <c r="R2321" s="4"/>
      <c r="S2321" s="4"/>
      <c r="T2321" s="4"/>
      <c r="U2321" s="4"/>
      <c r="V2321" s="4"/>
      <c r="W2321" s="4"/>
      <c r="X2321" s="4"/>
    </row>
    <row r="2322" spans="17:24" x14ac:dyDescent="0.3">
      <c r="Q2322" s="4"/>
      <c r="R2322" s="4"/>
      <c r="S2322" s="4"/>
      <c r="T2322" s="4"/>
      <c r="U2322" s="4"/>
      <c r="V2322" s="4"/>
      <c r="W2322" s="4"/>
      <c r="X2322" s="4"/>
    </row>
    <row r="2323" spans="17:24" x14ac:dyDescent="0.3">
      <c r="Q2323" s="4"/>
      <c r="R2323" s="4"/>
      <c r="S2323" s="4"/>
      <c r="T2323" s="4"/>
      <c r="U2323" s="4"/>
      <c r="V2323" s="4"/>
      <c r="W2323" s="4"/>
      <c r="X2323" s="4"/>
    </row>
    <row r="2324" spans="17:24" x14ac:dyDescent="0.3">
      <c r="Q2324" s="4"/>
      <c r="R2324" s="4"/>
      <c r="S2324" s="4"/>
      <c r="T2324" s="4"/>
      <c r="U2324" s="4"/>
      <c r="V2324" s="4"/>
      <c r="W2324" s="4"/>
      <c r="X2324" s="4"/>
    </row>
    <row r="2325" spans="17:24" x14ac:dyDescent="0.3">
      <c r="Q2325" s="4"/>
      <c r="R2325" s="4"/>
      <c r="S2325" s="4"/>
      <c r="T2325" s="4"/>
      <c r="U2325" s="4"/>
      <c r="V2325" s="4"/>
      <c r="W2325" s="4"/>
      <c r="X2325" s="4"/>
    </row>
    <row r="2326" spans="17:24" x14ac:dyDescent="0.3">
      <c r="Q2326" s="4"/>
      <c r="R2326" s="4"/>
      <c r="S2326" s="4"/>
      <c r="T2326" s="4"/>
      <c r="U2326" s="4"/>
      <c r="V2326" s="4"/>
      <c r="W2326" s="4"/>
      <c r="X2326" s="4"/>
    </row>
    <row r="2327" spans="17:24" x14ac:dyDescent="0.3">
      <c r="Q2327" s="4"/>
      <c r="R2327" s="4"/>
      <c r="S2327" s="4"/>
      <c r="T2327" s="4"/>
      <c r="U2327" s="4"/>
      <c r="V2327" s="4"/>
      <c r="W2327" s="4"/>
      <c r="X2327" s="4"/>
    </row>
    <row r="2328" spans="17:24" x14ac:dyDescent="0.3">
      <c r="Q2328" s="4"/>
      <c r="R2328" s="4"/>
      <c r="S2328" s="4"/>
      <c r="T2328" s="4"/>
      <c r="U2328" s="4"/>
      <c r="V2328" s="4"/>
      <c r="W2328" s="4"/>
      <c r="X2328" s="4"/>
    </row>
    <row r="2329" spans="17:24" x14ac:dyDescent="0.3">
      <c r="Q2329" s="4"/>
      <c r="R2329" s="4"/>
      <c r="S2329" s="4"/>
      <c r="T2329" s="4"/>
      <c r="U2329" s="4"/>
      <c r="V2329" s="4"/>
      <c r="W2329" s="4"/>
      <c r="X2329" s="4"/>
    </row>
    <row r="2330" spans="17:24" x14ac:dyDescent="0.3">
      <c r="Q2330" s="4"/>
      <c r="R2330" s="4"/>
      <c r="S2330" s="4"/>
      <c r="T2330" s="4"/>
      <c r="U2330" s="4"/>
      <c r="V2330" s="4"/>
      <c r="W2330" s="4"/>
      <c r="X2330" s="4"/>
    </row>
    <row r="2331" spans="17:24" x14ac:dyDescent="0.3">
      <c r="Q2331" s="4"/>
      <c r="R2331" s="4"/>
      <c r="S2331" s="4"/>
      <c r="T2331" s="4"/>
      <c r="U2331" s="4"/>
      <c r="V2331" s="4"/>
      <c r="W2331" s="4"/>
      <c r="X2331" s="4"/>
    </row>
    <row r="2332" spans="17:24" x14ac:dyDescent="0.3">
      <c r="Q2332" s="4"/>
      <c r="R2332" s="4"/>
      <c r="S2332" s="4"/>
      <c r="T2332" s="4"/>
      <c r="U2332" s="4"/>
      <c r="V2332" s="4"/>
      <c r="W2332" s="4"/>
      <c r="X2332" s="4"/>
    </row>
    <row r="2333" spans="17:24" x14ac:dyDescent="0.3">
      <c r="Q2333" s="4"/>
      <c r="R2333" s="4"/>
      <c r="S2333" s="4"/>
      <c r="T2333" s="4"/>
      <c r="U2333" s="4"/>
      <c r="V2333" s="4"/>
      <c r="W2333" s="4"/>
      <c r="X2333" s="4"/>
    </row>
    <row r="2334" spans="17:24" x14ac:dyDescent="0.3">
      <c r="Q2334" s="4"/>
      <c r="R2334" s="4"/>
      <c r="S2334" s="4"/>
      <c r="T2334" s="4"/>
      <c r="U2334" s="4"/>
      <c r="V2334" s="4"/>
      <c r="W2334" s="4"/>
      <c r="X2334" s="4"/>
    </row>
    <row r="2335" spans="17:24" x14ac:dyDescent="0.3">
      <c r="Q2335" s="4"/>
      <c r="R2335" s="4"/>
      <c r="S2335" s="4"/>
      <c r="T2335" s="4"/>
      <c r="U2335" s="4"/>
      <c r="V2335" s="4"/>
      <c r="W2335" s="4"/>
      <c r="X2335" s="4"/>
    </row>
    <row r="2336" spans="17:24" x14ac:dyDescent="0.3">
      <c r="Q2336" s="4"/>
      <c r="R2336" s="4"/>
      <c r="S2336" s="4"/>
      <c r="T2336" s="4"/>
      <c r="U2336" s="4"/>
      <c r="V2336" s="4"/>
      <c r="W2336" s="4"/>
      <c r="X2336" s="4"/>
    </row>
    <row r="2337" spans="17:24" x14ac:dyDescent="0.3">
      <c r="Q2337" s="4"/>
      <c r="R2337" s="4"/>
      <c r="S2337" s="4"/>
      <c r="T2337" s="4"/>
      <c r="U2337" s="4"/>
      <c r="V2337" s="4"/>
      <c r="W2337" s="4"/>
      <c r="X2337" s="4"/>
    </row>
    <row r="2338" spans="17:24" x14ac:dyDescent="0.3">
      <c r="Q2338" s="4"/>
      <c r="R2338" s="4"/>
      <c r="S2338" s="4"/>
      <c r="T2338" s="4"/>
      <c r="U2338" s="4"/>
      <c r="V2338" s="4"/>
      <c r="W2338" s="4"/>
      <c r="X2338" s="4"/>
    </row>
    <row r="2339" spans="17:24" x14ac:dyDescent="0.3">
      <c r="Q2339" s="4"/>
      <c r="R2339" s="4"/>
      <c r="S2339" s="4"/>
      <c r="T2339" s="4"/>
      <c r="U2339" s="4"/>
      <c r="V2339" s="4"/>
      <c r="W2339" s="4"/>
      <c r="X2339" s="4"/>
    </row>
    <row r="2340" spans="17:24" x14ac:dyDescent="0.3">
      <c r="Q2340" s="4"/>
      <c r="R2340" s="4"/>
      <c r="S2340" s="4"/>
      <c r="T2340" s="4"/>
      <c r="U2340" s="4"/>
      <c r="V2340" s="4"/>
      <c r="W2340" s="4"/>
      <c r="X2340" s="4"/>
    </row>
    <row r="2341" spans="17:24" x14ac:dyDescent="0.3">
      <c r="Q2341" s="4"/>
      <c r="R2341" s="4"/>
      <c r="S2341" s="4"/>
      <c r="T2341" s="4"/>
      <c r="U2341" s="4"/>
      <c r="V2341" s="4"/>
      <c r="W2341" s="4"/>
      <c r="X2341" s="4"/>
    </row>
    <row r="2342" spans="17:24" x14ac:dyDescent="0.3">
      <c r="Q2342" s="4"/>
      <c r="R2342" s="4"/>
      <c r="S2342" s="4"/>
      <c r="T2342" s="4"/>
      <c r="U2342" s="4"/>
      <c r="V2342" s="4"/>
      <c r="W2342" s="4"/>
      <c r="X2342" s="4"/>
    </row>
    <row r="2343" spans="17:24" x14ac:dyDescent="0.3">
      <c r="Q2343" s="4"/>
      <c r="R2343" s="4"/>
      <c r="S2343" s="4"/>
      <c r="T2343" s="4"/>
      <c r="U2343" s="4"/>
      <c r="V2343" s="4"/>
      <c r="W2343" s="4"/>
      <c r="X2343" s="4"/>
    </row>
    <row r="2344" spans="17:24" x14ac:dyDescent="0.3">
      <c r="Q2344" s="4"/>
      <c r="R2344" s="4"/>
      <c r="S2344" s="4"/>
      <c r="T2344" s="4"/>
      <c r="U2344" s="4"/>
      <c r="V2344" s="4"/>
      <c r="W2344" s="4"/>
      <c r="X2344" s="4"/>
    </row>
    <row r="2345" spans="17:24" x14ac:dyDescent="0.3">
      <c r="Q2345" s="4"/>
      <c r="R2345" s="4"/>
      <c r="S2345" s="4"/>
      <c r="T2345" s="4"/>
      <c r="U2345" s="4"/>
      <c r="V2345" s="4"/>
      <c r="W2345" s="4"/>
      <c r="X2345" s="4"/>
    </row>
    <row r="2346" spans="17:24" x14ac:dyDescent="0.3">
      <c r="Q2346" s="4"/>
      <c r="R2346" s="4"/>
      <c r="S2346" s="4"/>
      <c r="T2346" s="4"/>
      <c r="U2346" s="4"/>
      <c r="V2346" s="4"/>
      <c r="W2346" s="4"/>
      <c r="X2346" s="4"/>
    </row>
    <row r="2347" spans="17:24" x14ac:dyDescent="0.3">
      <c r="Q2347" s="4"/>
      <c r="R2347" s="4"/>
      <c r="S2347" s="4"/>
      <c r="T2347" s="4"/>
      <c r="U2347" s="4"/>
      <c r="V2347" s="4"/>
      <c r="W2347" s="4"/>
      <c r="X2347" s="4"/>
    </row>
    <row r="2348" spans="17:24" x14ac:dyDescent="0.3">
      <c r="Q2348" s="4"/>
      <c r="R2348" s="4"/>
      <c r="S2348" s="4"/>
      <c r="T2348" s="4"/>
      <c r="U2348" s="4"/>
      <c r="V2348" s="4"/>
      <c r="W2348" s="4"/>
      <c r="X2348" s="4"/>
    </row>
    <row r="2349" spans="17:24" x14ac:dyDescent="0.3">
      <c r="Q2349" s="4"/>
      <c r="R2349" s="4"/>
      <c r="S2349" s="4"/>
      <c r="T2349" s="4"/>
      <c r="U2349" s="4"/>
      <c r="V2349" s="4"/>
      <c r="W2349" s="4"/>
      <c r="X2349" s="4"/>
    </row>
    <row r="2350" spans="17:24" x14ac:dyDescent="0.3">
      <c r="Q2350" s="4"/>
      <c r="R2350" s="4"/>
      <c r="S2350" s="4"/>
      <c r="T2350" s="4"/>
      <c r="U2350" s="4"/>
      <c r="V2350" s="4"/>
      <c r="W2350" s="4"/>
      <c r="X2350" s="4"/>
    </row>
    <row r="2351" spans="17:24" x14ac:dyDescent="0.3">
      <c r="Q2351" s="4"/>
      <c r="R2351" s="4"/>
      <c r="S2351" s="4"/>
      <c r="T2351" s="4"/>
      <c r="U2351" s="4"/>
      <c r="V2351" s="4"/>
      <c r="W2351" s="4"/>
      <c r="X2351" s="4"/>
    </row>
    <row r="2352" spans="17:24" x14ac:dyDescent="0.3">
      <c r="Q2352" s="4"/>
      <c r="R2352" s="4"/>
      <c r="S2352" s="4"/>
      <c r="T2352" s="4"/>
      <c r="U2352" s="4"/>
      <c r="V2352" s="4"/>
      <c r="W2352" s="4"/>
      <c r="X2352" s="4"/>
    </row>
    <row r="2353" spans="17:24" x14ac:dyDescent="0.3">
      <c r="Q2353" s="4"/>
      <c r="R2353" s="4"/>
      <c r="S2353" s="4"/>
      <c r="T2353" s="4"/>
      <c r="U2353" s="4"/>
      <c r="V2353" s="4"/>
      <c r="W2353" s="4"/>
      <c r="X2353" s="4"/>
    </row>
    <row r="2354" spans="17:24" x14ac:dyDescent="0.3">
      <c r="Q2354" s="4"/>
      <c r="R2354" s="4"/>
      <c r="S2354" s="4"/>
      <c r="T2354" s="4"/>
      <c r="U2354" s="4"/>
      <c r="V2354" s="4"/>
      <c r="W2354" s="4"/>
      <c r="X2354" s="4"/>
    </row>
    <row r="2355" spans="17:24" x14ac:dyDescent="0.3">
      <c r="Q2355" s="4"/>
      <c r="R2355" s="4"/>
      <c r="S2355" s="4"/>
      <c r="T2355" s="4"/>
      <c r="U2355" s="4"/>
      <c r="V2355" s="4"/>
      <c r="W2355" s="4"/>
      <c r="X2355" s="4"/>
    </row>
    <row r="2356" spans="17:24" x14ac:dyDescent="0.3">
      <c r="Q2356" s="4"/>
      <c r="R2356" s="4"/>
      <c r="S2356" s="4"/>
      <c r="T2356" s="4"/>
      <c r="U2356" s="4"/>
      <c r="V2356" s="4"/>
      <c r="W2356" s="4"/>
      <c r="X2356" s="4"/>
    </row>
    <row r="2357" spans="17:24" x14ac:dyDescent="0.3">
      <c r="Q2357" s="4"/>
      <c r="R2357" s="4"/>
      <c r="S2357" s="4"/>
      <c r="T2357" s="4"/>
      <c r="U2357" s="4"/>
      <c r="V2357" s="4"/>
      <c r="W2357" s="4"/>
      <c r="X2357" s="4"/>
    </row>
    <row r="2358" spans="17:24" x14ac:dyDescent="0.3">
      <c r="Q2358" s="4"/>
      <c r="R2358" s="4"/>
      <c r="S2358" s="4"/>
      <c r="T2358" s="4"/>
      <c r="U2358" s="4"/>
      <c r="V2358" s="4"/>
      <c r="W2358" s="4"/>
      <c r="X2358" s="4"/>
    </row>
    <row r="2359" spans="17:24" x14ac:dyDescent="0.3">
      <c r="Q2359" s="4"/>
      <c r="R2359" s="4"/>
      <c r="S2359" s="4"/>
      <c r="T2359" s="4"/>
      <c r="U2359" s="4"/>
      <c r="V2359" s="4"/>
      <c r="W2359" s="4"/>
      <c r="X2359" s="4"/>
    </row>
    <row r="2360" spans="17:24" x14ac:dyDescent="0.3">
      <c r="Q2360" s="4"/>
      <c r="R2360" s="4"/>
      <c r="S2360" s="4"/>
      <c r="T2360" s="4"/>
      <c r="U2360" s="4"/>
      <c r="V2360" s="4"/>
      <c r="W2360" s="4"/>
      <c r="X2360" s="4"/>
    </row>
    <row r="2361" spans="17:24" x14ac:dyDescent="0.3">
      <c r="Q2361" s="4"/>
      <c r="R2361" s="4"/>
      <c r="S2361" s="4"/>
      <c r="T2361" s="4"/>
      <c r="U2361" s="4"/>
      <c r="V2361" s="4"/>
      <c r="W2361" s="4"/>
      <c r="X2361" s="4"/>
    </row>
    <row r="2362" spans="17:24" x14ac:dyDescent="0.3">
      <c r="Q2362" s="4"/>
      <c r="R2362" s="4"/>
      <c r="S2362" s="4"/>
      <c r="T2362" s="4"/>
      <c r="U2362" s="4"/>
      <c r="V2362" s="4"/>
      <c r="W2362" s="4"/>
      <c r="X2362" s="4"/>
    </row>
    <row r="2363" spans="17:24" x14ac:dyDescent="0.3">
      <c r="Q2363" s="4"/>
      <c r="R2363" s="4"/>
      <c r="S2363" s="4"/>
      <c r="T2363" s="4"/>
      <c r="U2363" s="4"/>
      <c r="V2363" s="4"/>
      <c r="W2363" s="4"/>
      <c r="X2363" s="4"/>
    </row>
    <row r="2364" spans="17:24" x14ac:dyDescent="0.3">
      <c r="Q2364" s="4"/>
      <c r="R2364" s="4"/>
      <c r="S2364" s="4"/>
      <c r="T2364" s="4"/>
      <c r="U2364" s="4"/>
      <c r="V2364" s="4"/>
      <c r="W2364" s="4"/>
      <c r="X2364" s="4"/>
    </row>
    <row r="2365" spans="17:24" x14ac:dyDescent="0.3">
      <c r="Q2365" s="4"/>
      <c r="R2365" s="4"/>
      <c r="S2365" s="4"/>
      <c r="T2365" s="4"/>
      <c r="U2365" s="4"/>
      <c r="V2365" s="4"/>
      <c r="W2365" s="4"/>
      <c r="X2365" s="4"/>
    </row>
    <row r="2366" spans="17:24" x14ac:dyDescent="0.3">
      <c r="Q2366" s="4"/>
      <c r="R2366" s="4"/>
      <c r="S2366" s="4"/>
      <c r="T2366" s="4"/>
      <c r="U2366" s="4"/>
      <c r="V2366" s="4"/>
      <c r="W2366" s="4"/>
      <c r="X2366" s="4"/>
    </row>
    <row r="2367" spans="17:24" x14ac:dyDescent="0.3">
      <c r="Q2367" s="4"/>
      <c r="R2367" s="4"/>
      <c r="S2367" s="4"/>
      <c r="T2367" s="4"/>
      <c r="U2367" s="4"/>
      <c r="V2367" s="4"/>
      <c r="W2367" s="4"/>
      <c r="X2367" s="4"/>
    </row>
    <row r="2368" spans="17:24" x14ac:dyDescent="0.3">
      <c r="Q2368" s="4"/>
      <c r="R2368" s="4"/>
      <c r="S2368" s="4"/>
      <c r="T2368" s="4"/>
      <c r="U2368" s="4"/>
      <c r="V2368" s="4"/>
      <c r="W2368" s="4"/>
      <c r="X2368" s="4"/>
    </row>
    <row r="2369" spans="17:24" x14ac:dyDescent="0.3">
      <c r="Q2369" s="4"/>
      <c r="R2369" s="4"/>
      <c r="S2369" s="4"/>
      <c r="T2369" s="4"/>
      <c r="U2369" s="4"/>
      <c r="V2369" s="4"/>
      <c r="W2369" s="4"/>
      <c r="X2369" s="4"/>
    </row>
    <row r="2370" spans="17:24" x14ac:dyDescent="0.3">
      <c r="Q2370" s="4"/>
      <c r="R2370" s="4"/>
      <c r="S2370" s="4"/>
      <c r="T2370" s="4"/>
      <c r="U2370" s="4"/>
      <c r="V2370" s="4"/>
      <c r="W2370" s="4"/>
      <c r="X2370" s="4"/>
    </row>
    <row r="2371" spans="17:24" x14ac:dyDescent="0.3">
      <c r="Q2371" s="4"/>
      <c r="R2371" s="4"/>
      <c r="S2371" s="4"/>
      <c r="T2371" s="4"/>
      <c r="U2371" s="4"/>
      <c r="V2371" s="4"/>
      <c r="W2371" s="4"/>
      <c r="X2371" s="4"/>
    </row>
    <row r="2372" spans="17:24" x14ac:dyDescent="0.3">
      <c r="Q2372" s="4"/>
      <c r="R2372" s="4"/>
      <c r="S2372" s="4"/>
      <c r="T2372" s="4"/>
      <c r="U2372" s="4"/>
      <c r="V2372" s="4"/>
      <c r="W2372" s="4"/>
      <c r="X2372" s="4"/>
    </row>
    <row r="2373" spans="17:24" x14ac:dyDescent="0.3">
      <c r="Q2373" s="4"/>
      <c r="R2373" s="4"/>
      <c r="S2373" s="4"/>
      <c r="T2373" s="4"/>
      <c r="U2373" s="4"/>
      <c r="V2373" s="4"/>
      <c r="W2373" s="4"/>
      <c r="X2373" s="4"/>
    </row>
    <row r="2374" spans="17:24" x14ac:dyDescent="0.3">
      <c r="Q2374" s="4"/>
      <c r="R2374" s="4"/>
      <c r="S2374" s="4"/>
      <c r="T2374" s="4"/>
      <c r="U2374" s="4"/>
      <c r="V2374" s="4"/>
      <c r="W2374" s="4"/>
      <c r="X2374" s="4"/>
    </row>
    <row r="2375" spans="17:24" x14ac:dyDescent="0.3">
      <c r="Q2375" s="4"/>
      <c r="R2375" s="4"/>
      <c r="S2375" s="4"/>
      <c r="T2375" s="4"/>
      <c r="U2375" s="4"/>
      <c r="V2375" s="4"/>
      <c r="W2375" s="4"/>
      <c r="X2375" s="4"/>
    </row>
    <row r="2376" spans="17:24" x14ac:dyDescent="0.3">
      <c r="Q2376" s="4"/>
      <c r="R2376" s="4"/>
      <c r="S2376" s="4"/>
      <c r="T2376" s="4"/>
      <c r="U2376" s="4"/>
      <c r="V2376" s="4"/>
      <c r="W2376" s="4"/>
      <c r="X2376" s="4"/>
    </row>
    <row r="2377" spans="17:24" x14ac:dyDescent="0.3">
      <c r="Q2377" s="4"/>
      <c r="R2377" s="4"/>
      <c r="S2377" s="4"/>
      <c r="T2377" s="4"/>
      <c r="U2377" s="4"/>
      <c r="V2377" s="4"/>
      <c r="W2377" s="4"/>
      <c r="X2377" s="4"/>
    </row>
    <row r="2378" spans="17:24" x14ac:dyDescent="0.3">
      <c r="Q2378" s="4"/>
      <c r="R2378" s="4"/>
      <c r="S2378" s="4"/>
      <c r="T2378" s="4"/>
      <c r="U2378" s="4"/>
      <c r="V2378" s="4"/>
      <c r="W2378" s="4"/>
      <c r="X2378" s="4"/>
    </row>
    <row r="2379" spans="17:24" x14ac:dyDescent="0.3">
      <c r="Q2379" s="4"/>
      <c r="R2379" s="4"/>
      <c r="S2379" s="4"/>
      <c r="T2379" s="4"/>
      <c r="U2379" s="4"/>
      <c r="V2379" s="4"/>
      <c r="W2379" s="4"/>
      <c r="X2379" s="4"/>
    </row>
    <row r="2380" spans="17:24" x14ac:dyDescent="0.3">
      <c r="Q2380" s="4"/>
      <c r="R2380" s="4"/>
      <c r="S2380" s="4"/>
      <c r="T2380" s="4"/>
      <c r="U2380" s="4"/>
      <c r="V2380" s="4"/>
      <c r="W2380" s="4"/>
      <c r="X2380" s="4"/>
    </row>
    <row r="2381" spans="17:24" x14ac:dyDescent="0.3">
      <c r="Q2381" s="4"/>
      <c r="R2381" s="4"/>
      <c r="S2381" s="4"/>
      <c r="T2381" s="4"/>
      <c r="U2381" s="4"/>
      <c r="V2381" s="4"/>
      <c r="W2381" s="4"/>
      <c r="X2381" s="4"/>
    </row>
    <row r="2382" spans="17:24" x14ac:dyDescent="0.3">
      <c r="Q2382" s="4"/>
      <c r="R2382" s="4"/>
      <c r="S2382" s="4"/>
      <c r="T2382" s="4"/>
      <c r="U2382" s="4"/>
      <c r="V2382" s="4"/>
      <c r="W2382" s="4"/>
      <c r="X2382" s="4"/>
    </row>
    <row r="2383" spans="17:24" x14ac:dyDescent="0.3">
      <c r="Q2383" s="4"/>
      <c r="R2383" s="4"/>
      <c r="S2383" s="4"/>
      <c r="T2383" s="4"/>
      <c r="U2383" s="4"/>
      <c r="V2383" s="4"/>
      <c r="W2383" s="4"/>
      <c r="X2383" s="4"/>
    </row>
    <row r="2384" spans="17:24" x14ac:dyDescent="0.3">
      <c r="Q2384" s="4"/>
      <c r="R2384" s="4"/>
      <c r="S2384" s="4"/>
      <c r="T2384" s="4"/>
      <c r="U2384" s="4"/>
      <c r="V2384" s="4"/>
      <c r="W2384" s="4"/>
      <c r="X2384" s="4"/>
    </row>
    <row r="2385" spans="17:24" x14ac:dyDescent="0.3">
      <c r="Q2385" s="4"/>
      <c r="R2385" s="4"/>
      <c r="S2385" s="4"/>
      <c r="T2385" s="4"/>
      <c r="U2385" s="4"/>
      <c r="V2385" s="4"/>
      <c r="W2385" s="4"/>
      <c r="X2385" s="4"/>
    </row>
    <row r="2386" spans="17:24" x14ac:dyDescent="0.3">
      <c r="Q2386" s="4"/>
      <c r="R2386" s="4"/>
      <c r="S2386" s="4"/>
      <c r="T2386" s="4"/>
      <c r="U2386" s="4"/>
      <c r="V2386" s="4"/>
      <c r="W2386" s="4"/>
      <c r="X2386" s="4"/>
    </row>
    <row r="2387" spans="17:24" x14ac:dyDescent="0.3">
      <c r="Q2387" s="4"/>
      <c r="R2387" s="4"/>
      <c r="S2387" s="4"/>
      <c r="T2387" s="4"/>
      <c r="U2387" s="4"/>
      <c r="V2387" s="4"/>
      <c r="W2387" s="4"/>
      <c r="X2387" s="4"/>
    </row>
    <row r="2388" spans="17:24" x14ac:dyDescent="0.3">
      <c r="Q2388" s="4"/>
      <c r="R2388" s="4"/>
      <c r="S2388" s="4"/>
      <c r="T2388" s="4"/>
      <c r="U2388" s="4"/>
      <c r="V2388" s="4"/>
      <c r="W2388" s="4"/>
      <c r="X2388" s="4"/>
    </row>
    <row r="2389" spans="17:24" x14ac:dyDescent="0.3">
      <c r="Q2389" s="4"/>
      <c r="R2389" s="4"/>
      <c r="S2389" s="4"/>
      <c r="T2389" s="4"/>
      <c r="U2389" s="4"/>
      <c r="V2389" s="4"/>
      <c r="W2389" s="4"/>
      <c r="X2389" s="4"/>
    </row>
    <row r="2390" spans="17:24" x14ac:dyDescent="0.3">
      <c r="Q2390" s="4"/>
      <c r="R2390" s="4"/>
      <c r="S2390" s="4"/>
      <c r="T2390" s="4"/>
      <c r="U2390" s="4"/>
      <c r="V2390" s="4"/>
      <c r="W2390" s="4"/>
      <c r="X2390" s="4"/>
    </row>
    <row r="2391" spans="17:24" x14ac:dyDescent="0.3">
      <c r="Q2391" s="4"/>
      <c r="R2391" s="4"/>
      <c r="S2391" s="4"/>
      <c r="T2391" s="4"/>
      <c r="U2391" s="4"/>
      <c r="V2391" s="4"/>
      <c r="W2391" s="4"/>
      <c r="X2391" s="4"/>
    </row>
    <row r="2392" spans="17:24" x14ac:dyDescent="0.3">
      <c r="Q2392" s="4"/>
      <c r="R2392" s="4"/>
      <c r="S2392" s="4"/>
      <c r="T2392" s="4"/>
      <c r="U2392" s="4"/>
      <c r="V2392" s="4"/>
      <c r="W2392" s="4"/>
      <c r="X2392" s="4"/>
    </row>
    <row r="2393" spans="17:24" x14ac:dyDescent="0.3">
      <c r="Q2393" s="4"/>
      <c r="R2393" s="4"/>
      <c r="S2393" s="4"/>
      <c r="T2393" s="4"/>
      <c r="U2393" s="4"/>
      <c r="V2393" s="4"/>
      <c r="W2393" s="4"/>
      <c r="X2393" s="4"/>
    </row>
    <row r="2394" spans="17:24" x14ac:dyDescent="0.3">
      <c r="Q2394" s="4"/>
      <c r="R2394" s="4"/>
      <c r="S2394" s="4"/>
      <c r="T2394" s="4"/>
      <c r="U2394" s="4"/>
      <c r="V2394" s="4"/>
      <c r="W2394" s="4"/>
      <c r="X2394" s="4"/>
    </row>
    <row r="2395" spans="17:24" x14ac:dyDescent="0.3">
      <c r="Q2395" s="4"/>
      <c r="R2395" s="4"/>
      <c r="S2395" s="4"/>
      <c r="T2395" s="4"/>
      <c r="U2395" s="4"/>
      <c r="V2395" s="4"/>
      <c r="W2395" s="4"/>
      <c r="X2395" s="4"/>
    </row>
    <row r="2396" spans="17:24" x14ac:dyDescent="0.3">
      <c r="Q2396" s="4"/>
      <c r="R2396" s="4"/>
      <c r="S2396" s="4"/>
      <c r="T2396" s="4"/>
      <c r="U2396" s="4"/>
      <c r="V2396" s="4"/>
      <c r="W2396" s="4"/>
      <c r="X2396" s="4"/>
    </row>
    <row r="2397" spans="17:24" x14ac:dyDescent="0.3">
      <c r="Q2397" s="4"/>
      <c r="R2397" s="4"/>
      <c r="S2397" s="4"/>
      <c r="T2397" s="4"/>
      <c r="U2397" s="4"/>
      <c r="V2397" s="4"/>
      <c r="W2397" s="4"/>
      <c r="X2397" s="4"/>
    </row>
    <row r="2398" spans="17:24" x14ac:dyDescent="0.3">
      <c r="Q2398" s="4"/>
      <c r="R2398" s="4"/>
      <c r="S2398" s="4"/>
      <c r="T2398" s="4"/>
      <c r="U2398" s="4"/>
      <c r="V2398" s="4"/>
      <c r="W2398" s="4"/>
      <c r="X2398" s="4"/>
    </row>
    <row r="2399" spans="17:24" x14ac:dyDescent="0.3">
      <c r="Q2399" s="4"/>
      <c r="R2399" s="4"/>
      <c r="S2399" s="4"/>
      <c r="T2399" s="4"/>
      <c r="U2399" s="4"/>
      <c r="V2399" s="4"/>
      <c r="W2399" s="4"/>
      <c r="X2399" s="4"/>
    </row>
    <row r="2400" spans="17:24" x14ac:dyDescent="0.3">
      <c r="Q2400" s="4"/>
      <c r="R2400" s="4"/>
      <c r="S2400" s="4"/>
      <c r="T2400" s="4"/>
      <c r="U2400" s="4"/>
      <c r="V2400" s="4"/>
      <c r="W2400" s="4"/>
      <c r="X2400" s="4"/>
    </row>
    <row r="2401" spans="17:24" x14ac:dyDescent="0.3">
      <c r="Q2401" s="4"/>
      <c r="R2401" s="4"/>
      <c r="S2401" s="4"/>
      <c r="T2401" s="4"/>
      <c r="U2401" s="4"/>
      <c r="V2401" s="4"/>
      <c r="W2401" s="4"/>
      <c r="X2401" s="4"/>
    </row>
    <row r="2402" spans="17:24" x14ac:dyDescent="0.3">
      <c r="Q2402" s="4"/>
      <c r="R2402" s="4"/>
      <c r="S2402" s="4"/>
      <c r="T2402" s="4"/>
      <c r="U2402" s="4"/>
      <c r="V2402" s="4"/>
      <c r="W2402" s="4"/>
      <c r="X2402" s="4"/>
    </row>
    <row r="2403" spans="17:24" x14ac:dyDescent="0.3">
      <c r="Q2403" s="4"/>
      <c r="R2403" s="4"/>
      <c r="S2403" s="4"/>
      <c r="T2403" s="4"/>
      <c r="U2403" s="4"/>
      <c r="V2403" s="4"/>
      <c r="W2403" s="4"/>
      <c r="X2403" s="4"/>
    </row>
    <row r="2404" spans="17:24" x14ac:dyDescent="0.3">
      <c r="Q2404" s="4"/>
      <c r="R2404" s="4"/>
      <c r="S2404" s="4"/>
      <c r="T2404" s="4"/>
      <c r="U2404" s="4"/>
      <c r="V2404" s="4"/>
      <c r="W2404" s="4"/>
      <c r="X2404" s="4"/>
    </row>
    <row r="2405" spans="17:24" x14ac:dyDescent="0.3">
      <c r="Q2405" s="4"/>
      <c r="R2405" s="4"/>
      <c r="S2405" s="4"/>
      <c r="T2405" s="4"/>
      <c r="U2405" s="4"/>
      <c r="V2405" s="4"/>
      <c r="W2405" s="4"/>
      <c r="X2405" s="4"/>
    </row>
    <row r="2406" spans="17:24" x14ac:dyDescent="0.3">
      <c r="Q2406" s="4"/>
      <c r="R2406" s="4"/>
      <c r="S2406" s="4"/>
      <c r="T2406" s="4"/>
      <c r="U2406" s="4"/>
      <c r="V2406" s="4"/>
      <c r="W2406" s="4"/>
      <c r="X2406" s="4"/>
    </row>
    <row r="2407" spans="17:24" x14ac:dyDescent="0.3">
      <c r="Q2407" s="4"/>
      <c r="R2407" s="4"/>
      <c r="S2407" s="4"/>
      <c r="T2407" s="4"/>
      <c r="U2407" s="4"/>
      <c r="V2407" s="4"/>
      <c r="W2407" s="4"/>
      <c r="X2407" s="4"/>
    </row>
    <row r="2408" spans="17:24" x14ac:dyDescent="0.3">
      <c r="Q2408" s="4"/>
      <c r="R2408" s="4"/>
      <c r="S2408" s="4"/>
      <c r="T2408" s="4"/>
      <c r="U2408" s="4"/>
      <c r="V2408" s="4"/>
      <c r="W2408" s="4"/>
      <c r="X2408" s="4"/>
    </row>
    <row r="2409" spans="17:24" x14ac:dyDescent="0.3">
      <c r="Q2409" s="4"/>
      <c r="R2409" s="4"/>
      <c r="S2409" s="4"/>
      <c r="T2409" s="4"/>
      <c r="U2409" s="4"/>
      <c r="V2409" s="4"/>
      <c r="W2409" s="4"/>
      <c r="X2409" s="4"/>
    </row>
    <row r="2410" spans="17:24" x14ac:dyDescent="0.3">
      <c r="Q2410" s="4"/>
      <c r="R2410" s="4"/>
      <c r="S2410" s="4"/>
      <c r="T2410" s="4"/>
      <c r="U2410" s="4"/>
      <c r="V2410" s="4"/>
      <c r="W2410" s="4"/>
      <c r="X2410" s="4"/>
    </row>
    <row r="2411" spans="17:24" x14ac:dyDescent="0.3">
      <c r="Q2411" s="4"/>
      <c r="R2411" s="4"/>
      <c r="S2411" s="4"/>
      <c r="T2411" s="4"/>
      <c r="U2411" s="4"/>
      <c r="V2411" s="4"/>
      <c r="W2411" s="4"/>
      <c r="X2411" s="4"/>
    </row>
    <row r="2412" spans="17:24" x14ac:dyDescent="0.3">
      <c r="Q2412" s="4"/>
      <c r="R2412" s="4"/>
      <c r="S2412" s="4"/>
      <c r="T2412" s="4"/>
      <c r="U2412" s="4"/>
      <c r="V2412" s="4"/>
      <c r="W2412" s="4"/>
      <c r="X2412" s="4"/>
    </row>
    <row r="2413" spans="17:24" x14ac:dyDescent="0.3">
      <c r="Q2413" s="4"/>
      <c r="R2413" s="4"/>
      <c r="S2413" s="4"/>
      <c r="T2413" s="4"/>
      <c r="U2413" s="4"/>
      <c r="V2413" s="4"/>
      <c r="W2413" s="4"/>
      <c r="X2413" s="4"/>
    </row>
    <row r="2414" spans="17:24" x14ac:dyDescent="0.3">
      <c r="Q2414" s="4"/>
      <c r="R2414" s="4"/>
      <c r="S2414" s="4"/>
      <c r="T2414" s="4"/>
      <c r="U2414" s="4"/>
      <c r="V2414" s="4"/>
      <c r="W2414" s="4"/>
      <c r="X2414" s="4"/>
    </row>
    <row r="2415" spans="17:24" x14ac:dyDescent="0.3">
      <c r="Q2415" s="4"/>
      <c r="R2415" s="4"/>
      <c r="S2415" s="4"/>
      <c r="T2415" s="4"/>
      <c r="U2415" s="4"/>
      <c r="V2415" s="4"/>
      <c r="W2415" s="4"/>
      <c r="X2415" s="4"/>
    </row>
    <row r="2416" spans="17:24" x14ac:dyDescent="0.3">
      <c r="Q2416" s="4"/>
      <c r="R2416" s="4"/>
      <c r="S2416" s="4"/>
      <c r="T2416" s="4"/>
      <c r="U2416" s="4"/>
      <c r="V2416" s="4"/>
      <c r="W2416" s="4"/>
      <c r="X2416" s="4"/>
    </row>
    <row r="2417" spans="17:24" x14ac:dyDescent="0.3">
      <c r="Q2417" s="4"/>
      <c r="R2417" s="4"/>
      <c r="S2417" s="4"/>
      <c r="T2417" s="4"/>
      <c r="U2417" s="4"/>
      <c r="V2417" s="4"/>
      <c r="W2417" s="4"/>
      <c r="X2417" s="4"/>
    </row>
    <row r="2418" spans="17:24" x14ac:dyDescent="0.3">
      <c r="Q2418" s="4"/>
      <c r="R2418" s="4"/>
      <c r="S2418" s="4"/>
      <c r="T2418" s="4"/>
      <c r="U2418" s="4"/>
      <c r="V2418" s="4"/>
      <c r="W2418" s="4"/>
      <c r="X2418" s="4"/>
    </row>
    <row r="2419" spans="17:24" x14ac:dyDescent="0.3">
      <c r="Q2419" s="4"/>
      <c r="R2419" s="4"/>
      <c r="S2419" s="4"/>
      <c r="T2419" s="4"/>
      <c r="U2419" s="4"/>
      <c r="V2419" s="4"/>
      <c r="W2419" s="4"/>
      <c r="X2419" s="4"/>
    </row>
    <row r="2420" spans="17:24" x14ac:dyDescent="0.3">
      <c r="Q2420" s="4"/>
      <c r="R2420" s="4"/>
      <c r="S2420" s="4"/>
      <c r="T2420" s="4"/>
      <c r="U2420" s="4"/>
      <c r="V2420" s="4"/>
      <c r="W2420" s="4"/>
      <c r="X2420" s="4"/>
    </row>
    <row r="2421" spans="17:24" x14ac:dyDescent="0.3">
      <c r="Q2421" s="4"/>
      <c r="R2421" s="4"/>
      <c r="S2421" s="4"/>
      <c r="T2421" s="4"/>
      <c r="U2421" s="4"/>
      <c r="V2421" s="4"/>
      <c r="W2421" s="4"/>
      <c r="X2421" s="4"/>
    </row>
    <row r="2422" spans="17:24" x14ac:dyDescent="0.3">
      <c r="Q2422" s="4"/>
      <c r="R2422" s="4"/>
      <c r="S2422" s="4"/>
      <c r="T2422" s="4"/>
      <c r="U2422" s="4"/>
      <c r="V2422" s="4"/>
      <c r="W2422" s="4"/>
      <c r="X2422" s="4"/>
    </row>
    <row r="2423" spans="17:24" x14ac:dyDescent="0.3">
      <c r="Q2423" s="4"/>
      <c r="R2423" s="4"/>
      <c r="S2423" s="4"/>
      <c r="T2423" s="4"/>
      <c r="U2423" s="4"/>
      <c r="V2423" s="4"/>
      <c r="W2423" s="4"/>
      <c r="X2423" s="4"/>
    </row>
    <row r="2424" spans="17:24" x14ac:dyDescent="0.3">
      <c r="Q2424" s="4"/>
      <c r="R2424" s="4"/>
      <c r="S2424" s="4"/>
      <c r="T2424" s="4"/>
      <c r="U2424" s="4"/>
      <c r="V2424" s="4"/>
      <c r="W2424" s="4"/>
      <c r="X2424" s="4"/>
    </row>
    <row r="2425" spans="17:24" x14ac:dyDescent="0.3">
      <c r="Q2425" s="4"/>
      <c r="R2425" s="4"/>
      <c r="S2425" s="4"/>
      <c r="T2425" s="4"/>
      <c r="U2425" s="4"/>
      <c r="V2425" s="4"/>
      <c r="W2425" s="4"/>
      <c r="X2425" s="4"/>
    </row>
    <row r="2426" spans="17:24" x14ac:dyDescent="0.3">
      <c r="Q2426" s="4"/>
      <c r="R2426" s="4"/>
      <c r="S2426" s="4"/>
      <c r="T2426" s="4"/>
      <c r="U2426" s="4"/>
      <c r="V2426" s="4"/>
      <c r="W2426" s="4"/>
      <c r="X2426" s="4"/>
    </row>
    <row r="2427" spans="17:24" x14ac:dyDescent="0.3">
      <c r="Q2427" s="4"/>
      <c r="R2427" s="4"/>
      <c r="S2427" s="4"/>
      <c r="T2427" s="4"/>
      <c r="U2427" s="4"/>
      <c r="V2427" s="4"/>
      <c r="W2427" s="4"/>
      <c r="X2427" s="4"/>
    </row>
    <row r="2428" spans="17:24" x14ac:dyDescent="0.3">
      <c r="Q2428" s="4"/>
      <c r="R2428" s="4"/>
      <c r="S2428" s="4"/>
      <c r="T2428" s="4"/>
      <c r="U2428" s="4"/>
      <c r="V2428" s="4"/>
      <c r="W2428" s="4"/>
      <c r="X2428" s="4"/>
    </row>
    <row r="2429" spans="17:24" x14ac:dyDescent="0.3">
      <c r="Q2429" s="4"/>
      <c r="R2429" s="4"/>
      <c r="S2429" s="4"/>
      <c r="T2429" s="4"/>
      <c r="U2429" s="4"/>
      <c r="V2429" s="4"/>
      <c r="W2429" s="4"/>
      <c r="X2429" s="4"/>
    </row>
    <row r="2430" spans="17:24" x14ac:dyDescent="0.3">
      <c r="Q2430" s="4"/>
      <c r="R2430" s="4"/>
      <c r="S2430" s="4"/>
      <c r="T2430" s="4"/>
      <c r="U2430" s="4"/>
      <c r="V2430" s="4"/>
      <c r="W2430" s="4"/>
      <c r="X2430" s="4"/>
    </row>
    <row r="2431" spans="17:24" x14ac:dyDescent="0.3">
      <c r="Q2431" s="4"/>
      <c r="R2431" s="4"/>
      <c r="S2431" s="4"/>
      <c r="T2431" s="4"/>
      <c r="U2431" s="4"/>
      <c r="V2431" s="4"/>
      <c r="W2431" s="4"/>
      <c r="X2431" s="4"/>
    </row>
    <row r="2432" spans="17:24" x14ac:dyDescent="0.3">
      <c r="Q2432" s="4"/>
      <c r="R2432" s="4"/>
      <c r="S2432" s="4"/>
      <c r="T2432" s="4"/>
      <c r="U2432" s="4"/>
      <c r="V2432" s="4"/>
      <c r="W2432" s="4"/>
      <c r="X2432" s="4"/>
    </row>
    <row r="2433" spans="17:24" x14ac:dyDescent="0.3">
      <c r="Q2433" s="4"/>
      <c r="R2433" s="4"/>
      <c r="S2433" s="4"/>
      <c r="T2433" s="4"/>
      <c r="U2433" s="4"/>
      <c r="V2433" s="4"/>
      <c r="W2433" s="4"/>
      <c r="X2433" s="4"/>
    </row>
    <row r="2434" spans="17:24" x14ac:dyDescent="0.3">
      <c r="Q2434" s="4"/>
      <c r="R2434" s="4"/>
      <c r="S2434" s="4"/>
      <c r="T2434" s="4"/>
      <c r="U2434" s="4"/>
      <c r="V2434" s="4"/>
      <c r="W2434" s="4"/>
      <c r="X2434" s="4"/>
    </row>
    <row r="2435" spans="17:24" x14ac:dyDescent="0.3">
      <c r="Q2435" s="4"/>
      <c r="R2435" s="4"/>
      <c r="S2435" s="4"/>
      <c r="T2435" s="4"/>
      <c r="U2435" s="4"/>
      <c r="V2435" s="4"/>
      <c r="W2435" s="4"/>
      <c r="X2435" s="4"/>
    </row>
    <row r="2436" spans="17:24" x14ac:dyDescent="0.3">
      <c r="Q2436" s="4"/>
      <c r="R2436" s="4"/>
      <c r="S2436" s="4"/>
      <c r="T2436" s="4"/>
      <c r="U2436" s="4"/>
      <c r="V2436" s="4"/>
      <c r="W2436" s="4"/>
      <c r="X2436" s="4"/>
    </row>
    <row r="2437" spans="17:24" x14ac:dyDescent="0.3">
      <c r="Q2437" s="4"/>
      <c r="R2437" s="4"/>
      <c r="S2437" s="4"/>
      <c r="T2437" s="4"/>
      <c r="U2437" s="4"/>
      <c r="V2437" s="4"/>
      <c r="W2437" s="4"/>
      <c r="X2437" s="4"/>
    </row>
    <row r="2438" spans="17:24" x14ac:dyDescent="0.3">
      <c r="Q2438" s="4"/>
      <c r="R2438" s="4"/>
      <c r="S2438" s="4"/>
      <c r="T2438" s="4"/>
      <c r="U2438" s="4"/>
      <c r="V2438" s="4"/>
      <c r="W2438" s="4"/>
      <c r="X2438" s="4"/>
    </row>
    <row r="2439" spans="17:24" x14ac:dyDescent="0.3">
      <c r="Q2439" s="4"/>
      <c r="R2439" s="4"/>
      <c r="S2439" s="4"/>
      <c r="T2439" s="4"/>
      <c r="U2439" s="4"/>
      <c r="V2439" s="4"/>
      <c r="W2439" s="4"/>
      <c r="X2439" s="4"/>
    </row>
    <row r="2440" spans="17:24" x14ac:dyDescent="0.3">
      <c r="Q2440" s="4"/>
      <c r="R2440" s="4"/>
      <c r="S2440" s="4"/>
      <c r="T2440" s="4"/>
      <c r="U2440" s="4"/>
      <c r="V2440" s="4"/>
      <c r="W2440" s="4"/>
      <c r="X2440" s="4"/>
    </row>
    <row r="2441" spans="17:24" x14ac:dyDescent="0.3">
      <c r="Q2441" s="4"/>
      <c r="R2441" s="4"/>
      <c r="S2441" s="4"/>
      <c r="T2441" s="4"/>
      <c r="U2441" s="4"/>
      <c r="V2441" s="4"/>
      <c r="W2441" s="4"/>
      <c r="X2441" s="4"/>
    </row>
    <row r="2442" spans="17:24" x14ac:dyDescent="0.3">
      <c r="Q2442" s="4"/>
      <c r="R2442" s="4"/>
      <c r="S2442" s="4"/>
      <c r="T2442" s="4"/>
      <c r="U2442" s="4"/>
      <c r="V2442" s="4"/>
      <c r="W2442" s="4"/>
      <c r="X2442" s="4"/>
    </row>
    <row r="2443" spans="17:24" x14ac:dyDescent="0.3">
      <c r="Q2443" s="4"/>
      <c r="R2443" s="4"/>
      <c r="S2443" s="4"/>
      <c r="T2443" s="4"/>
      <c r="U2443" s="4"/>
      <c r="V2443" s="4"/>
      <c r="W2443" s="4"/>
      <c r="X2443" s="4"/>
    </row>
    <row r="2444" spans="17:24" x14ac:dyDescent="0.3">
      <c r="Q2444" s="4"/>
      <c r="R2444" s="4"/>
      <c r="S2444" s="4"/>
      <c r="T2444" s="4"/>
      <c r="U2444" s="4"/>
      <c r="V2444" s="4"/>
      <c r="W2444" s="4"/>
      <c r="X2444" s="4"/>
    </row>
    <row r="2445" spans="17:24" x14ac:dyDescent="0.3">
      <c r="Q2445" s="4"/>
      <c r="R2445" s="4"/>
      <c r="S2445" s="4"/>
      <c r="T2445" s="4"/>
      <c r="U2445" s="4"/>
      <c r="V2445" s="4"/>
      <c r="W2445" s="4"/>
      <c r="X2445" s="4"/>
    </row>
    <row r="2446" spans="17:24" x14ac:dyDescent="0.3">
      <c r="Q2446" s="4"/>
      <c r="R2446" s="4"/>
      <c r="S2446" s="4"/>
      <c r="T2446" s="4"/>
      <c r="U2446" s="4"/>
      <c r="V2446" s="4"/>
      <c r="W2446" s="4"/>
      <c r="X2446" s="4"/>
    </row>
    <row r="2447" spans="17:24" x14ac:dyDescent="0.3">
      <c r="Q2447" s="4"/>
      <c r="R2447" s="4"/>
      <c r="S2447" s="4"/>
      <c r="T2447" s="4"/>
      <c r="U2447" s="4"/>
      <c r="V2447" s="4"/>
      <c r="W2447" s="4"/>
      <c r="X2447" s="4"/>
    </row>
    <row r="2448" spans="17:24" x14ac:dyDescent="0.3">
      <c r="Q2448" s="4"/>
      <c r="R2448" s="4"/>
      <c r="S2448" s="4"/>
      <c r="T2448" s="4"/>
      <c r="U2448" s="4"/>
      <c r="V2448" s="4"/>
      <c r="W2448" s="4"/>
      <c r="X2448" s="4"/>
    </row>
    <row r="2449" spans="17:24" x14ac:dyDescent="0.3">
      <c r="Q2449" s="4"/>
      <c r="R2449" s="4"/>
      <c r="S2449" s="4"/>
      <c r="T2449" s="4"/>
      <c r="U2449" s="4"/>
      <c r="V2449" s="4"/>
      <c r="W2449" s="4"/>
      <c r="X2449" s="4"/>
    </row>
    <row r="2450" spans="17:24" x14ac:dyDescent="0.3">
      <c r="Q2450" s="4"/>
      <c r="R2450" s="4"/>
      <c r="S2450" s="4"/>
      <c r="T2450" s="4"/>
      <c r="U2450" s="4"/>
      <c r="V2450" s="4"/>
      <c r="W2450" s="4"/>
      <c r="X2450" s="4"/>
    </row>
    <row r="2451" spans="17:24" x14ac:dyDescent="0.3">
      <c r="Q2451" s="4"/>
      <c r="R2451" s="4"/>
      <c r="S2451" s="4"/>
      <c r="T2451" s="4"/>
      <c r="U2451" s="4"/>
      <c r="V2451" s="4"/>
      <c r="W2451" s="4"/>
      <c r="X2451" s="4"/>
    </row>
    <row r="2452" spans="17:24" x14ac:dyDescent="0.3">
      <c r="Q2452" s="4"/>
      <c r="R2452" s="4"/>
      <c r="S2452" s="4"/>
      <c r="T2452" s="4"/>
      <c r="U2452" s="4"/>
      <c r="V2452" s="4"/>
      <c r="W2452" s="4"/>
      <c r="X2452" s="4"/>
    </row>
    <row r="2453" spans="17:24" x14ac:dyDescent="0.3">
      <c r="Q2453" s="4"/>
      <c r="R2453" s="4"/>
      <c r="S2453" s="4"/>
      <c r="T2453" s="4"/>
      <c r="U2453" s="4"/>
      <c r="V2453" s="4"/>
      <c r="W2453" s="4"/>
      <c r="X2453" s="4"/>
    </row>
    <row r="2454" spans="17:24" x14ac:dyDescent="0.3">
      <c r="Q2454" s="4"/>
      <c r="R2454" s="4"/>
      <c r="S2454" s="4"/>
      <c r="T2454" s="4"/>
      <c r="U2454" s="4"/>
      <c r="V2454" s="4"/>
      <c r="W2454" s="4"/>
      <c r="X2454" s="4"/>
    </row>
    <row r="2455" spans="17:24" x14ac:dyDescent="0.3">
      <c r="Q2455" s="4"/>
      <c r="R2455" s="4"/>
      <c r="S2455" s="4"/>
      <c r="T2455" s="4"/>
      <c r="U2455" s="4"/>
      <c r="V2455" s="4"/>
      <c r="W2455" s="4"/>
      <c r="X2455" s="4"/>
    </row>
    <row r="2456" spans="17:24" x14ac:dyDescent="0.3">
      <c r="Q2456" s="4"/>
      <c r="R2456" s="4"/>
      <c r="S2456" s="4"/>
      <c r="T2456" s="4"/>
      <c r="U2456" s="4"/>
      <c r="V2456" s="4"/>
      <c r="W2456" s="4"/>
      <c r="X2456" s="4"/>
    </row>
    <row r="2457" spans="17:24" x14ac:dyDescent="0.3">
      <c r="Q2457" s="4"/>
      <c r="R2457" s="4"/>
      <c r="S2457" s="4"/>
      <c r="T2457" s="4"/>
      <c r="U2457" s="4"/>
      <c r="V2457" s="4"/>
      <c r="W2457" s="4"/>
      <c r="X2457" s="4"/>
    </row>
    <row r="2458" spans="17:24" x14ac:dyDescent="0.3">
      <c r="Q2458" s="4"/>
      <c r="R2458" s="4"/>
      <c r="S2458" s="4"/>
      <c r="T2458" s="4"/>
      <c r="U2458" s="4"/>
      <c r="V2458" s="4"/>
      <c r="W2458" s="4"/>
      <c r="X2458" s="4"/>
    </row>
    <row r="2459" spans="17:24" x14ac:dyDescent="0.3">
      <c r="Q2459" s="4"/>
      <c r="R2459" s="4"/>
      <c r="S2459" s="4"/>
      <c r="T2459" s="4"/>
      <c r="U2459" s="4"/>
      <c r="V2459" s="4"/>
      <c r="W2459" s="4"/>
      <c r="X2459" s="4"/>
    </row>
    <row r="2460" spans="17:24" x14ac:dyDescent="0.3">
      <c r="Q2460" s="4"/>
      <c r="R2460" s="4"/>
      <c r="S2460" s="4"/>
      <c r="T2460" s="4"/>
      <c r="U2460" s="4"/>
      <c r="V2460" s="4"/>
      <c r="W2460" s="4"/>
      <c r="X2460" s="4"/>
    </row>
    <row r="2461" spans="17:24" x14ac:dyDescent="0.3">
      <c r="Q2461" s="4"/>
      <c r="R2461" s="4"/>
      <c r="S2461" s="4"/>
      <c r="T2461" s="4"/>
      <c r="U2461" s="4"/>
      <c r="V2461" s="4"/>
      <c r="W2461" s="4"/>
      <c r="X2461" s="4"/>
    </row>
    <row r="2462" spans="17:24" x14ac:dyDescent="0.3">
      <c r="Q2462" s="4"/>
      <c r="R2462" s="4"/>
      <c r="S2462" s="4"/>
      <c r="T2462" s="4"/>
      <c r="U2462" s="4"/>
      <c r="V2462" s="4"/>
      <c r="W2462" s="4"/>
      <c r="X2462" s="4"/>
    </row>
    <row r="2463" spans="17:24" x14ac:dyDescent="0.3">
      <c r="Q2463" s="4"/>
      <c r="R2463" s="4"/>
      <c r="S2463" s="4"/>
      <c r="T2463" s="4"/>
      <c r="U2463" s="4"/>
      <c r="V2463" s="4"/>
      <c r="W2463" s="4"/>
      <c r="X2463" s="4"/>
    </row>
    <row r="2464" spans="17:24" x14ac:dyDescent="0.3">
      <c r="Q2464" s="4"/>
      <c r="R2464" s="4"/>
      <c r="S2464" s="4"/>
      <c r="T2464" s="4"/>
      <c r="U2464" s="4"/>
      <c r="V2464" s="4"/>
      <c r="W2464" s="4"/>
      <c r="X2464" s="4"/>
    </row>
    <row r="2465" spans="17:24" x14ac:dyDescent="0.3">
      <c r="Q2465" s="4"/>
      <c r="R2465" s="4"/>
      <c r="S2465" s="4"/>
      <c r="T2465" s="4"/>
      <c r="U2465" s="4"/>
      <c r="V2465" s="4"/>
      <c r="W2465" s="4"/>
      <c r="X2465" s="4"/>
    </row>
    <row r="2466" spans="17:24" x14ac:dyDescent="0.3">
      <c r="Q2466" s="4"/>
      <c r="R2466" s="4"/>
      <c r="S2466" s="4"/>
      <c r="T2466" s="4"/>
      <c r="U2466" s="4"/>
      <c r="V2466" s="4"/>
      <c r="W2466" s="4"/>
      <c r="X2466" s="4"/>
    </row>
    <row r="2467" spans="17:24" x14ac:dyDescent="0.3">
      <c r="Q2467" s="4"/>
      <c r="R2467" s="4"/>
      <c r="S2467" s="4"/>
      <c r="T2467" s="4"/>
      <c r="U2467" s="4"/>
      <c r="V2467" s="4"/>
      <c r="W2467" s="4"/>
      <c r="X2467" s="4"/>
    </row>
    <row r="2468" spans="17:24" x14ac:dyDescent="0.3">
      <c r="Q2468" s="4"/>
      <c r="R2468" s="4"/>
      <c r="S2468" s="4"/>
      <c r="T2468" s="4"/>
      <c r="U2468" s="4"/>
      <c r="V2468" s="4"/>
      <c r="W2468" s="4"/>
      <c r="X2468" s="4"/>
    </row>
    <row r="2469" spans="17:24" x14ac:dyDescent="0.3">
      <c r="Q2469" s="4"/>
      <c r="R2469" s="4"/>
      <c r="S2469" s="4"/>
      <c r="T2469" s="4"/>
      <c r="U2469" s="4"/>
      <c r="V2469" s="4"/>
      <c r="W2469" s="4"/>
      <c r="X2469" s="4"/>
    </row>
    <row r="2470" spans="17:24" x14ac:dyDescent="0.3">
      <c r="Q2470" s="4"/>
      <c r="R2470" s="4"/>
      <c r="S2470" s="4"/>
      <c r="T2470" s="4"/>
      <c r="U2470" s="4"/>
      <c r="V2470" s="4"/>
      <c r="W2470" s="4"/>
      <c r="X2470" s="4"/>
    </row>
    <row r="2471" spans="17:24" x14ac:dyDescent="0.3">
      <c r="Q2471" s="4"/>
      <c r="R2471" s="4"/>
      <c r="S2471" s="4"/>
      <c r="T2471" s="4"/>
      <c r="U2471" s="4"/>
      <c r="V2471" s="4"/>
      <c r="W2471" s="4"/>
      <c r="X2471" s="4"/>
    </row>
    <row r="2472" spans="17:24" x14ac:dyDescent="0.3">
      <c r="Q2472" s="4"/>
      <c r="R2472" s="4"/>
      <c r="S2472" s="4"/>
      <c r="T2472" s="4"/>
      <c r="U2472" s="4"/>
      <c r="V2472" s="4"/>
      <c r="W2472" s="4"/>
      <c r="X2472" s="4"/>
    </row>
    <row r="2473" spans="17:24" x14ac:dyDescent="0.3">
      <c r="Q2473" s="4"/>
      <c r="R2473" s="4"/>
      <c r="S2473" s="4"/>
      <c r="T2473" s="4"/>
      <c r="U2473" s="4"/>
      <c r="V2473" s="4"/>
      <c r="W2473" s="4"/>
      <c r="X2473" s="4"/>
    </row>
    <row r="2474" spans="17:24" x14ac:dyDescent="0.3">
      <c r="Q2474" s="4"/>
      <c r="R2474" s="4"/>
      <c r="S2474" s="4"/>
      <c r="T2474" s="4"/>
      <c r="U2474" s="4"/>
      <c r="V2474" s="4"/>
      <c r="W2474" s="4"/>
      <c r="X2474" s="4"/>
    </row>
    <row r="2475" spans="17:24" x14ac:dyDescent="0.3">
      <c r="Q2475" s="4"/>
      <c r="R2475" s="4"/>
      <c r="S2475" s="4"/>
      <c r="T2475" s="4"/>
      <c r="U2475" s="4"/>
      <c r="V2475" s="4"/>
      <c r="W2475" s="4"/>
      <c r="X2475" s="4"/>
    </row>
    <row r="2476" spans="17:24" x14ac:dyDescent="0.3">
      <c r="Q2476" s="4"/>
      <c r="R2476" s="4"/>
      <c r="S2476" s="4"/>
      <c r="T2476" s="4"/>
      <c r="U2476" s="4"/>
      <c r="V2476" s="4"/>
      <c r="W2476" s="4"/>
      <c r="X2476" s="4"/>
    </row>
    <row r="2477" spans="17:24" x14ac:dyDescent="0.3">
      <c r="Q2477" s="4"/>
      <c r="R2477" s="4"/>
      <c r="S2477" s="4"/>
      <c r="T2477" s="4"/>
      <c r="U2477" s="4"/>
      <c r="V2477" s="4"/>
      <c r="W2477" s="4"/>
      <c r="X2477" s="4"/>
    </row>
    <row r="2478" spans="17:24" x14ac:dyDescent="0.3">
      <c r="Q2478" s="4"/>
      <c r="R2478" s="4"/>
      <c r="S2478" s="4"/>
      <c r="T2478" s="4"/>
      <c r="U2478" s="4"/>
      <c r="V2478" s="4"/>
      <c r="W2478" s="4"/>
      <c r="X2478" s="4"/>
    </row>
    <row r="2479" spans="17:24" x14ac:dyDescent="0.3">
      <c r="Q2479" s="4"/>
      <c r="R2479" s="4"/>
      <c r="S2479" s="4"/>
      <c r="T2479" s="4"/>
      <c r="U2479" s="4"/>
      <c r="V2479" s="4"/>
      <c r="W2479" s="4"/>
      <c r="X2479" s="4"/>
    </row>
    <row r="2480" spans="17:24" x14ac:dyDescent="0.3">
      <c r="Q2480" s="4"/>
      <c r="R2480" s="4"/>
      <c r="S2480" s="4"/>
      <c r="T2480" s="4"/>
      <c r="U2480" s="4"/>
      <c r="V2480" s="4"/>
      <c r="W2480" s="4"/>
      <c r="X2480" s="4"/>
    </row>
    <row r="2481" spans="17:24" x14ac:dyDescent="0.3">
      <c r="Q2481" s="4"/>
      <c r="R2481" s="4"/>
      <c r="S2481" s="4"/>
      <c r="T2481" s="4"/>
      <c r="U2481" s="4"/>
      <c r="V2481" s="4"/>
      <c r="W2481" s="4"/>
      <c r="X2481" s="4"/>
    </row>
    <row r="2482" spans="17:24" x14ac:dyDescent="0.3">
      <c r="Q2482" s="4"/>
      <c r="R2482" s="4"/>
      <c r="S2482" s="4"/>
      <c r="T2482" s="4"/>
      <c r="U2482" s="4"/>
      <c r="V2482" s="4"/>
      <c r="W2482" s="4"/>
      <c r="X2482" s="4"/>
    </row>
    <row r="2483" spans="17:24" x14ac:dyDescent="0.3">
      <c r="Q2483" s="4"/>
      <c r="R2483" s="4"/>
      <c r="S2483" s="4"/>
      <c r="T2483" s="4"/>
      <c r="U2483" s="4"/>
      <c r="V2483" s="4"/>
      <c r="W2483" s="4"/>
      <c r="X2483" s="4"/>
    </row>
    <row r="2484" spans="17:24" x14ac:dyDescent="0.3">
      <c r="Q2484" s="4"/>
      <c r="R2484" s="4"/>
      <c r="S2484" s="4"/>
      <c r="T2484" s="4"/>
      <c r="U2484" s="4"/>
      <c r="V2484" s="4"/>
      <c r="W2484" s="4"/>
      <c r="X2484" s="4"/>
    </row>
    <row r="2485" spans="17:24" x14ac:dyDescent="0.3">
      <c r="Q2485" s="4"/>
      <c r="R2485" s="4"/>
      <c r="S2485" s="4"/>
      <c r="T2485" s="4"/>
      <c r="U2485" s="4"/>
      <c r="V2485" s="4"/>
      <c r="W2485" s="4"/>
      <c r="X2485" s="4"/>
    </row>
    <row r="2486" spans="17:24" x14ac:dyDescent="0.3">
      <c r="Q2486" s="4"/>
      <c r="R2486" s="4"/>
      <c r="S2486" s="4"/>
      <c r="T2486" s="4"/>
      <c r="U2486" s="4"/>
      <c r="V2486" s="4"/>
      <c r="W2486" s="4"/>
      <c r="X2486" s="4"/>
    </row>
    <row r="2487" spans="17:24" x14ac:dyDescent="0.3">
      <c r="Q2487" s="4"/>
      <c r="R2487" s="4"/>
      <c r="S2487" s="4"/>
      <c r="T2487" s="4"/>
      <c r="U2487" s="4"/>
      <c r="V2487" s="4"/>
      <c r="W2487" s="4"/>
      <c r="X2487" s="4"/>
    </row>
    <row r="2488" spans="17:24" x14ac:dyDescent="0.3">
      <c r="Q2488" s="4"/>
      <c r="R2488" s="4"/>
      <c r="S2488" s="4"/>
      <c r="T2488" s="4"/>
      <c r="U2488" s="4"/>
      <c r="V2488" s="4"/>
      <c r="W2488" s="4"/>
      <c r="X2488" s="4"/>
    </row>
    <row r="2489" spans="17:24" x14ac:dyDescent="0.3">
      <c r="Q2489" s="4"/>
      <c r="R2489" s="4"/>
      <c r="S2489" s="4"/>
      <c r="T2489" s="4"/>
      <c r="U2489" s="4"/>
      <c r="V2489" s="4"/>
      <c r="W2489" s="4"/>
      <c r="X2489" s="4"/>
    </row>
    <row r="2490" spans="17:24" x14ac:dyDescent="0.3">
      <c r="Q2490" s="4"/>
      <c r="R2490" s="4"/>
      <c r="S2490" s="4"/>
      <c r="T2490" s="4"/>
      <c r="U2490" s="4"/>
      <c r="V2490" s="4"/>
      <c r="W2490" s="4"/>
      <c r="X2490" s="4"/>
    </row>
    <row r="2491" spans="17:24" x14ac:dyDescent="0.3">
      <c r="Q2491" s="4"/>
      <c r="R2491" s="4"/>
      <c r="S2491" s="4"/>
      <c r="T2491" s="4"/>
      <c r="U2491" s="4"/>
      <c r="V2491" s="4"/>
      <c r="W2491" s="4"/>
      <c r="X2491" s="4"/>
    </row>
    <row r="2492" spans="17:24" x14ac:dyDescent="0.3">
      <c r="Q2492" s="4"/>
      <c r="R2492" s="4"/>
      <c r="S2492" s="4"/>
      <c r="T2492" s="4"/>
      <c r="U2492" s="4"/>
      <c r="V2492" s="4"/>
      <c r="W2492" s="4"/>
      <c r="X2492" s="4"/>
    </row>
    <row r="2493" spans="17:24" x14ac:dyDescent="0.3">
      <c r="Q2493" s="4"/>
      <c r="R2493" s="4"/>
      <c r="S2493" s="4"/>
      <c r="T2493" s="4"/>
      <c r="U2493" s="4"/>
      <c r="V2493" s="4"/>
      <c r="W2493" s="4"/>
      <c r="X2493" s="4"/>
    </row>
    <row r="2494" spans="17:24" x14ac:dyDescent="0.3">
      <c r="Q2494" s="4"/>
      <c r="R2494" s="4"/>
      <c r="S2494" s="4"/>
      <c r="T2494" s="4"/>
      <c r="U2494" s="4"/>
      <c r="V2494" s="4"/>
      <c r="W2494" s="4"/>
      <c r="X2494" s="4"/>
    </row>
    <row r="2495" spans="17:24" x14ac:dyDescent="0.3">
      <c r="Q2495" s="4"/>
      <c r="R2495" s="4"/>
      <c r="S2495" s="4"/>
      <c r="T2495" s="4"/>
      <c r="U2495" s="4"/>
      <c r="V2495" s="4"/>
      <c r="W2495" s="4"/>
      <c r="X2495" s="4"/>
    </row>
    <row r="2496" spans="17:24" x14ac:dyDescent="0.3">
      <c r="Q2496" s="4"/>
      <c r="R2496" s="4"/>
      <c r="S2496" s="4"/>
      <c r="T2496" s="4"/>
      <c r="U2496" s="4"/>
      <c r="V2496" s="4"/>
      <c r="W2496" s="4"/>
      <c r="X2496" s="4"/>
    </row>
    <row r="2497" spans="17:24" x14ac:dyDescent="0.3">
      <c r="Q2497" s="4"/>
      <c r="R2497" s="4"/>
      <c r="S2497" s="4"/>
      <c r="T2497" s="4"/>
      <c r="U2497" s="4"/>
      <c r="V2497" s="4"/>
      <c r="W2497" s="4"/>
      <c r="X2497" s="4"/>
    </row>
    <row r="2498" spans="17:24" x14ac:dyDescent="0.3">
      <c r="Q2498" s="4"/>
      <c r="R2498" s="4"/>
      <c r="S2498" s="4"/>
      <c r="T2498" s="4"/>
      <c r="U2498" s="4"/>
      <c r="V2498" s="4"/>
      <c r="W2498" s="4"/>
      <c r="X2498" s="4"/>
    </row>
    <row r="2499" spans="17:24" x14ac:dyDescent="0.3">
      <c r="Q2499" s="4"/>
      <c r="R2499" s="4"/>
      <c r="S2499" s="4"/>
      <c r="T2499" s="4"/>
      <c r="U2499" s="4"/>
      <c r="V2499" s="4"/>
      <c r="W2499" s="4"/>
      <c r="X2499" s="4"/>
    </row>
    <row r="2500" spans="17:24" x14ac:dyDescent="0.3">
      <c r="Q2500" s="4"/>
      <c r="R2500" s="4"/>
      <c r="S2500" s="4"/>
      <c r="T2500" s="4"/>
      <c r="U2500" s="4"/>
      <c r="V2500" s="4"/>
      <c r="W2500" s="4"/>
      <c r="X2500" s="4"/>
    </row>
    <row r="2501" spans="17:24" x14ac:dyDescent="0.3">
      <c r="Q2501" s="4"/>
      <c r="R2501" s="4"/>
      <c r="S2501" s="4"/>
      <c r="T2501" s="4"/>
      <c r="U2501" s="4"/>
      <c r="V2501" s="4"/>
      <c r="W2501" s="4"/>
      <c r="X2501" s="4"/>
    </row>
    <row r="2502" spans="17:24" x14ac:dyDescent="0.3">
      <c r="Q2502" s="4"/>
      <c r="R2502" s="4"/>
      <c r="S2502" s="4"/>
      <c r="T2502" s="4"/>
      <c r="U2502" s="4"/>
      <c r="V2502" s="4"/>
      <c r="W2502" s="4"/>
      <c r="X2502" s="4"/>
    </row>
    <row r="2503" spans="17:24" x14ac:dyDescent="0.3">
      <c r="Q2503" s="4"/>
      <c r="R2503" s="4"/>
      <c r="S2503" s="4"/>
      <c r="T2503" s="4"/>
      <c r="U2503" s="4"/>
      <c r="V2503" s="4"/>
      <c r="W2503" s="4"/>
      <c r="X2503" s="4"/>
    </row>
    <row r="2504" spans="17:24" x14ac:dyDescent="0.3">
      <c r="Q2504" s="4"/>
      <c r="R2504" s="4"/>
      <c r="S2504" s="4"/>
      <c r="T2504" s="4"/>
      <c r="U2504" s="4"/>
      <c r="V2504" s="4"/>
      <c r="W2504" s="4"/>
      <c r="X2504" s="4"/>
    </row>
    <row r="2505" spans="17:24" x14ac:dyDescent="0.3">
      <c r="Q2505" s="4"/>
      <c r="R2505" s="4"/>
      <c r="S2505" s="4"/>
      <c r="T2505" s="4"/>
      <c r="U2505" s="4"/>
      <c r="V2505" s="4"/>
      <c r="W2505" s="4"/>
      <c r="X2505" s="4"/>
    </row>
    <row r="2506" spans="17:24" x14ac:dyDescent="0.3">
      <c r="Q2506" s="4"/>
      <c r="R2506" s="4"/>
      <c r="S2506" s="4"/>
      <c r="T2506" s="4"/>
      <c r="U2506" s="4"/>
      <c r="V2506" s="4"/>
      <c r="W2506" s="4"/>
      <c r="X2506" s="4"/>
    </row>
    <row r="2507" spans="17:24" x14ac:dyDescent="0.3">
      <c r="Q2507" s="4"/>
      <c r="R2507" s="4"/>
      <c r="S2507" s="4"/>
      <c r="T2507" s="4"/>
      <c r="U2507" s="4"/>
      <c r="V2507" s="4"/>
      <c r="W2507" s="4"/>
      <c r="X2507" s="4"/>
    </row>
    <row r="2508" spans="17:24" x14ac:dyDescent="0.3">
      <c r="Q2508" s="4"/>
      <c r="R2508" s="4"/>
      <c r="S2508" s="4"/>
      <c r="T2508" s="4"/>
      <c r="U2508" s="4"/>
      <c r="V2508" s="4"/>
      <c r="W2508" s="4"/>
      <c r="X2508" s="4"/>
    </row>
    <row r="2509" spans="17:24" x14ac:dyDescent="0.3">
      <c r="Q2509" s="4"/>
      <c r="R2509" s="4"/>
      <c r="S2509" s="4"/>
      <c r="T2509" s="4"/>
      <c r="U2509" s="4"/>
      <c r="V2509" s="4"/>
      <c r="W2509" s="4"/>
      <c r="X2509" s="4"/>
    </row>
    <row r="2510" spans="17:24" x14ac:dyDescent="0.3">
      <c r="Q2510" s="4"/>
      <c r="R2510" s="4"/>
      <c r="S2510" s="4"/>
      <c r="T2510" s="4"/>
      <c r="U2510" s="4"/>
      <c r="V2510" s="4"/>
      <c r="W2510" s="4"/>
      <c r="X2510" s="4"/>
    </row>
    <row r="2511" spans="17:24" x14ac:dyDescent="0.3">
      <c r="Q2511" s="4"/>
      <c r="R2511" s="4"/>
      <c r="S2511" s="4"/>
      <c r="T2511" s="4"/>
      <c r="U2511" s="4"/>
      <c r="V2511" s="4"/>
      <c r="W2511" s="4"/>
      <c r="X2511" s="4"/>
    </row>
    <row r="2512" spans="17:24" x14ac:dyDescent="0.3">
      <c r="Q2512" s="4"/>
      <c r="R2512" s="4"/>
      <c r="S2512" s="4"/>
      <c r="T2512" s="4"/>
      <c r="U2512" s="4"/>
      <c r="V2512" s="4"/>
      <c r="W2512" s="4"/>
      <c r="X2512" s="4"/>
    </row>
    <row r="2513" spans="17:24" x14ac:dyDescent="0.3">
      <c r="Q2513" s="4"/>
      <c r="R2513" s="4"/>
      <c r="S2513" s="4"/>
      <c r="T2513" s="4"/>
      <c r="U2513" s="4"/>
      <c r="V2513" s="4"/>
      <c r="W2513" s="4"/>
      <c r="X2513" s="4"/>
    </row>
    <row r="2514" spans="17:24" x14ac:dyDescent="0.3">
      <c r="Q2514" s="4"/>
      <c r="R2514" s="4"/>
      <c r="S2514" s="4"/>
      <c r="T2514" s="4"/>
      <c r="U2514" s="4"/>
      <c r="V2514" s="4"/>
      <c r="W2514" s="4"/>
      <c r="X2514" s="4"/>
    </row>
    <row r="2515" spans="17:24" x14ac:dyDescent="0.3">
      <c r="Q2515" s="4"/>
      <c r="R2515" s="4"/>
      <c r="S2515" s="4"/>
      <c r="T2515" s="4"/>
      <c r="U2515" s="4"/>
      <c r="V2515" s="4"/>
      <c r="W2515" s="4"/>
      <c r="X2515" s="4"/>
    </row>
    <row r="2516" spans="17:24" x14ac:dyDescent="0.3">
      <c r="Q2516" s="4"/>
      <c r="R2516" s="4"/>
      <c r="S2516" s="4"/>
      <c r="T2516" s="4"/>
      <c r="U2516" s="4"/>
      <c r="V2516" s="4"/>
      <c r="W2516" s="4"/>
      <c r="X2516" s="4"/>
    </row>
    <row r="2517" spans="17:24" x14ac:dyDescent="0.3">
      <c r="Q2517" s="4"/>
      <c r="R2517" s="4"/>
      <c r="S2517" s="4"/>
      <c r="T2517" s="4"/>
      <c r="U2517" s="4"/>
      <c r="V2517" s="4"/>
      <c r="W2517" s="4"/>
      <c r="X2517" s="4"/>
    </row>
    <row r="2518" spans="17:24" x14ac:dyDescent="0.3">
      <c r="Q2518" s="4"/>
      <c r="R2518" s="4"/>
      <c r="S2518" s="4"/>
      <c r="T2518" s="4"/>
      <c r="U2518" s="4"/>
      <c r="V2518" s="4"/>
      <c r="W2518" s="4"/>
      <c r="X2518" s="4"/>
    </row>
    <row r="2519" spans="17:24" x14ac:dyDescent="0.3">
      <c r="Q2519" s="4"/>
      <c r="R2519" s="4"/>
      <c r="S2519" s="4"/>
      <c r="T2519" s="4"/>
      <c r="U2519" s="4"/>
      <c r="V2519" s="4"/>
      <c r="W2519" s="4"/>
      <c r="X2519" s="4"/>
    </row>
    <row r="2520" spans="17:24" x14ac:dyDescent="0.3">
      <c r="Q2520" s="4"/>
      <c r="R2520" s="4"/>
      <c r="S2520" s="4"/>
      <c r="T2520" s="4"/>
      <c r="U2520" s="4"/>
      <c r="V2520" s="4"/>
      <c r="W2520" s="4"/>
      <c r="X2520" s="4"/>
    </row>
    <row r="2521" spans="17:24" x14ac:dyDescent="0.3">
      <c r="Q2521" s="4"/>
      <c r="R2521" s="4"/>
      <c r="S2521" s="4"/>
      <c r="T2521" s="4"/>
      <c r="U2521" s="4"/>
      <c r="V2521" s="4"/>
      <c r="W2521" s="4"/>
      <c r="X2521" s="4"/>
    </row>
    <row r="2522" spans="17:24" x14ac:dyDescent="0.3">
      <c r="Q2522" s="4"/>
      <c r="R2522" s="4"/>
      <c r="S2522" s="4"/>
      <c r="T2522" s="4"/>
      <c r="U2522" s="4"/>
      <c r="V2522" s="4"/>
      <c r="W2522" s="4"/>
      <c r="X2522" s="4"/>
    </row>
    <row r="2523" spans="17:24" x14ac:dyDescent="0.3">
      <c r="Q2523" s="4"/>
      <c r="R2523" s="4"/>
      <c r="S2523" s="4"/>
      <c r="T2523" s="4"/>
      <c r="U2523" s="4"/>
      <c r="V2523" s="4"/>
      <c r="W2523" s="4"/>
      <c r="X2523" s="4"/>
    </row>
    <row r="2524" spans="17:24" x14ac:dyDescent="0.3">
      <c r="Q2524" s="4"/>
      <c r="R2524" s="4"/>
      <c r="S2524" s="4"/>
      <c r="T2524" s="4"/>
      <c r="U2524" s="4"/>
      <c r="V2524" s="4"/>
      <c r="W2524" s="4"/>
      <c r="X2524" s="4"/>
    </row>
    <row r="2525" spans="17:24" x14ac:dyDescent="0.3">
      <c r="Q2525" s="4"/>
      <c r="R2525" s="4"/>
      <c r="S2525" s="4"/>
      <c r="T2525" s="4"/>
      <c r="U2525" s="4"/>
      <c r="V2525" s="4"/>
      <c r="W2525" s="4"/>
      <c r="X2525" s="4"/>
    </row>
    <row r="2526" spans="17:24" x14ac:dyDescent="0.3">
      <c r="Q2526" s="4"/>
      <c r="R2526" s="4"/>
      <c r="S2526" s="4"/>
      <c r="T2526" s="4"/>
      <c r="U2526" s="4"/>
      <c r="V2526" s="4"/>
      <c r="W2526" s="4"/>
      <c r="X2526" s="4"/>
    </row>
    <row r="2527" spans="17:24" x14ac:dyDescent="0.3">
      <c r="Q2527" s="4"/>
      <c r="R2527" s="4"/>
      <c r="S2527" s="4"/>
      <c r="T2527" s="4"/>
      <c r="U2527" s="4"/>
      <c r="V2527" s="4"/>
      <c r="W2527" s="4"/>
      <c r="X2527" s="4"/>
    </row>
    <row r="2528" spans="17:24" x14ac:dyDescent="0.3">
      <c r="Q2528" s="4"/>
      <c r="R2528" s="4"/>
      <c r="S2528" s="4"/>
      <c r="T2528" s="4"/>
      <c r="U2528" s="4"/>
      <c r="V2528" s="4"/>
      <c r="W2528" s="4"/>
      <c r="X2528" s="4"/>
    </row>
    <row r="2529" spans="17:24" x14ac:dyDescent="0.3">
      <c r="Q2529" s="4"/>
      <c r="R2529" s="4"/>
      <c r="S2529" s="4"/>
      <c r="T2529" s="4"/>
      <c r="U2529" s="4"/>
      <c r="V2529" s="4"/>
      <c r="W2529" s="4"/>
      <c r="X2529" s="4"/>
    </row>
    <row r="2530" spans="17:24" x14ac:dyDescent="0.3">
      <c r="Q2530" s="4"/>
      <c r="R2530" s="4"/>
      <c r="S2530" s="4"/>
      <c r="T2530" s="4"/>
      <c r="U2530" s="4"/>
      <c r="V2530" s="4"/>
      <c r="W2530" s="4"/>
      <c r="X2530" s="4"/>
    </row>
    <row r="2531" spans="17:24" x14ac:dyDescent="0.3">
      <c r="Q2531" s="4"/>
      <c r="R2531" s="4"/>
      <c r="S2531" s="4"/>
      <c r="T2531" s="4"/>
      <c r="U2531" s="4"/>
      <c r="V2531" s="4"/>
      <c r="W2531" s="4"/>
      <c r="X2531" s="4"/>
    </row>
    <row r="2532" spans="17:24" x14ac:dyDescent="0.3">
      <c r="Q2532" s="4"/>
      <c r="R2532" s="4"/>
      <c r="S2532" s="4"/>
      <c r="T2532" s="4"/>
      <c r="U2532" s="4"/>
      <c r="V2532" s="4"/>
      <c r="W2532" s="4"/>
      <c r="X2532" s="4"/>
    </row>
    <row r="2533" spans="17:24" x14ac:dyDescent="0.3">
      <c r="Q2533" s="4"/>
      <c r="R2533" s="4"/>
      <c r="S2533" s="4"/>
      <c r="T2533" s="4"/>
      <c r="U2533" s="4"/>
      <c r="V2533" s="4"/>
      <c r="W2533" s="4"/>
      <c r="X2533" s="4"/>
    </row>
    <row r="2534" spans="17:24" x14ac:dyDescent="0.3">
      <c r="Q2534" s="4"/>
      <c r="R2534" s="4"/>
      <c r="S2534" s="4"/>
      <c r="T2534" s="4"/>
      <c r="U2534" s="4"/>
      <c r="V2534" s="4"/>
      <c r="W2534" s="4"/>
      <c r="X2534" s="4"/>
    </row>
    <row r="2535" spans="17:24" x14ac:dyDescent="0.3">
      <c r="Q2535" s="4"/>
      <c r="R2535" s="4"/>
      <c r="S2535" s="4"/>
      <c r="T2535" s="4"/>
      <c r="U2535" s="4"/>
      <c r="V2535" s="4"/>
      <c r="W2535" s="4"/>
      <c r="X2535" s="4"/>
    </row>
    <row r="2536" spans="17:24" x14ac:dyDescent="0.3">
      <c r="Q2536" s="4"/>
      <c r="R2536" s="4"/>
      <c r="S2536" s="4"/>
      <c r="T2536" s="4"/>
      <c r="U2536" s="4"/>
      <c r="V2536" s="4"/>
      <c r="W2536" s="4"/>
      <c r="X2536" s="4"/>
    </row>
    <row r="2537" spans="17:24" x14ac:dyDescent="0.3">
      <c r="Q2537" s="4"/>
      <c r="R2537" s="4"/>
      <c r="S2537" s="4"/>
      <c r="T2537" s="4"/>
      <c r="U2537" s="4"/>
      <c r="V2537" s="4"/>
      <c r="W2537" s="4"/>
      <c r="X2537" s="4"/>
    </row>
    <row r="2538" spans="17:24" x14ac:dyDescent="0.3">
      <c r="Q2538" s="4"/>
      <c r="R2538" s="4"/>
      <c r="S2538" s="4"/>
      <c r="T2538" s="4"/>
      <c r="U2538" s="4"/>
      <c r="V2538" s="4"/>
      <c r="W2538" s="4"/>
      <c r="X2538" s="4"/>
    </row>
    <row r="2539" spans="17:24" x14ac:dyDescent="0.3">
      <c r="Q2539" s="4"/>
      <c r="R2539" s="4"/>
      <c r="S2539" s="4"/>
      <c r="T2539" s="4"/>
      <c r="U2539" s="4"/>
      <c r="V2539" s="4"/>
      <c r="W2539" s="4"/>
      <c r="X2539" s="4"/>
    </row>
    <row r="2540" spans="17:24" x14ac:dyDescent="0.3">
      <c r="Q2540" s="4"/>
      <c r="R2540" s="4"/>
      <c r="S2540" s="4"/>
      <c r="T2540" s="4"/>
      <c r="U2540" s="4"/>
      <c r="V2540" s="4"/>
      <c r="W2540" s="4"/>
      <c r="X2540" s="4"/>
    </row>
    <row r="2541" spans="17:24" x14ac:dyDescent="0.3">
      <c r="Q2541" s="4"/>
      <c r="R2541" s="4"/>
      <c r="S2541" s="4"/>
      <c r="T2541" s="4"/>
      <c r="U2541" s="4"/>
      <c r="V2541" s="4"/>
      <c r="W2541" s="4"/>
      <c r="X2541" s="4"/>
    </row>
    <row r="2542" spans="17:24" x14ac:dyDescent="0.3">
      <c r="Q2542" s="4"/>
      <c r="R2542" s="4"/>
      <c r="S2542" s="4"/>
      <c r="T2542" s="4"/>
      <c r="U2542" s="4"/>
      <c r="V2542" s="4"/>
      <c r="W2542" s="4"/>
      <c r="X2542" s="4"/>
    </row>
    <row r="2543" spans="17:24" x14ac:dyDescent="0.3">
      <c r="Q2543" s="4"/>
      <c r="R2543" s="4"/>
      <c r="S2543" s="4"/>
      <c r="T2543" s="4"/>
      <c r="U2543" s="4"/>
      <c r="V2543" s="4"/>
      <c r="W2543" s="4"/>
      <c r="X2543" s="4"/>
    </row>
    <row r="2544" spans="17:24" x14ac:dyDescent="0.3">
      <c r="Q2544" s="4"/>
      <c r="R2544" s="4"/>
      <c r="S2544" s="4"/>
      <c r="T2544" s="4"/>
      <c r="U2544" s="4"/>
      <c r="V2544" s="4"/>
      <c r="W2544" s="4"/>
      <c r="X2544" s="4"/>
    </row>
    <row r="2545" spans="17:24" x14ac:dyDescent="0.3">
      <c r="Q2545" s="4"/>
      <c r="R2545" s="4"/>
      <c r="S2545" s="4"/>
      <c r="T2545" s="4"/>
      <c r="U2545" s="4"/>
      <c r="V2545" s="4"/>
      <c r="W2545" s="4"/>
      <c r="X2545" s="4"/>
    </row>
    <row r="2546" spans="17:24" x14ac:dyDescent="0.3">
      <c r="Q2546" s="4"/>
      <c r="R2546" s="4"/>
      <c r="S2546" s="4"/>
      <c r="T2546" s="4"/>
      <c r="U2546" s="4"/>
      <c r="V2546" s="4"/>
      <c r="W2546" s="4"/>
      <c r="X2546" s="4"/>
    </row>
    <row r="2547" spans="17:24" x14ac:dyDescent="0.3">
      <c r="Q2547" s="4"/>
      <c r="R2547" s="4"/>
      <c r="S2547" s="4"/>
      <c r="T2547" s="4"/>
      <c r="U2547" s="4"/>
      <c r="V2547" s="4"/>
      <c r="W2547" s="4"/>
      <c r="X2547" s="4"/>
    </row>
    <row r="2548" spans="17:24" x14ac:dyDescent="0.3">
      <c r="Q2548" s="4"/>
      <c r="R2548" s="4"/>
      <c r="S2548" s="4"/>
      <c r="T2548" s="4"/>
      <c r="U2548" s="4"/>
      <c r="V2548" s="4"/>
      <c r="W2548" s="4"/>
      <c r="X2548" s="4"/>
    </row>
    <row r="2549" spans="17:24" x14ac:dyDescent="0.3">
      <c r="Q2549" s="4"/>
      <c r="R2549" s="4"/>
      <c r="S2549" s="4"/>
      <c r="T2549" s="4"/>
      <c r="U2549" s="4"/>
      <c r="V2549" s="4"/>
      <c r="W2549" s="4"/>
      <c r="X2549" s="4"/>
    </row>
    <row r="2550" spans="17:24" x14ac:dyDescent="0.3">
      <c r="Q2550" s="4"/>
      <c r="R2550" s="4"/>
      <c r="S2550" s="4"/>
      <c r="T2550" s="4"/>
      <c r="U2550" s="4"/>
      <c r="V2550" s="4"/>
      <c r="W2550" s="4"/>
      <c r="X2550" s="4"/>
    </row>
    <row r="2551" spans="17:24" x14ac:dyDescent="0.3">
      <c r="Q2551" s="4"/>
      <c r="R2551" s="4"/>
      <c r="S2551" s="4"/>
      <c r="T2551" s="4"/>
      <c r="U2551" s="4"/>
      <c r="V2551" s="4"/>
      <c r="W2551" s="4"/>
      <c r="X2551" s="4"/>
    </row>
    <row r="2552" spans="17:24" x14ac:dyDescent="0.3">
      <c r="Q2552" s="4"/>
      <c r="R2552" s="4"/>
      <c r="S2552" s="4"/>
      <c r="T2552" s="4"/>
      <c r="U2552" s="4"/>
      <c r="V2552" s="4"/>
      <c r="W2552" s="4"/>
      <c r="X2552" s="4"/>
    </row>
    <row r="2553" spans="17:24" x14ac:dyDescent="0.3">
      <c r="Q2553" s="4"/>
      <c r="R2553" s="4"/>
      <c r="S2553" s="4"/>
      <c r="T2553" s="4"/>
      <c r="U2553" s="4"/>
      <c r="V2553" s="4"/>
      <c r="W2553" s="4"/>
      <c r="X2553" s="4"/>
    </row>
    <row r="2554" spans="17:24" x14ac:dyDescent="0.3">
      <c r="Q2554" s="4"/>
      <c r="R2554" s="4"/>
      <c r="S2554" s="4"/>
      <c r="T2554" s="4"/>
      <c r="U2554" s="4"/>
      <c r="V2554" s="4"/>
      <c r="W2554" s="4"/>
      <c r="X2554" s="4"/>
    </row>
    <row r="2555" spans="17:24" x14ac:dyDescent="0.3">
      <c r="Q2555" s="4"/>
      <c r="R2555" s="4"/>
      <c r="S2555" s="4"/>
      <c r="T2555" s="4"/>
      <c r="U2555" s="4"/>
      <c r="V2555" s="4"/>
      <c r="W2555" s="4"/>
      <c r="X2555" s="4"/>
    </row>
    <row r="2556" spans="17:24" x14ac:dyDescent="0.3">
      <c r="Q2556" s="4"/>
      <c r="R2556" s="4"/>
      <c r="S2556" s="4"/>
      <c r="T2556" s="4"/>
      <c r="U2556" s="4"/>
      <c r="V2556" s="4"/>
      <c r="W2556" s="4"/>
      <c r="X2556" s="4"/>
    </row>
    <row r="2557" spans="17:24" x14ac:dyDescent="0.3">
      <c r="Q2557" s="4"/>
      <c r="R2557" s="4"/>
      <c r="S2557" s="4"/>
      <c r="T2557" s="4"/>
      <c r="U2557" s="4"/>
      <c r="V2557" s="4"/>
      <c r="W2557" s="4"/>
      <c r="X2557" s="4"/>
    </row>
    <row r="2558" spans="17:24" x14ac:dyDescent="0.3">
      <c r="Q2558" s="4"/>
      <c r="R2558" s="4"/>
      <c r="S2558" s="4"/>
      <c r="T2558" s="4"/>
      <c r="U2558" s="4"/>
      <c r="V2558" s="4"/>
      <c r="W2558" s="4"/>
      <c r="X2558" s="4"/>
    </row>
    <row r="2559" spans="17:24" x14ac:dyDescent="0.3">
      <c r="Q2559" s="4"/>
      <c r="R2559" s="4"/>
      <c r="S2559" s="4"/>
      <c r="T2559" s="4"/>
      <c r="U2559" s="4"/>
      <c r="V2559" s="4"/>
      <c r="W2559" s="4"/>
      <c r="X2559" s="4"/>
    </row>
    <row r="2560" spans="17:24" x14ac:dyDescent="0.3">
      <c r="Q2560" s="4"/>
      <c r="R2560" s="4"/>
      <c r="S2560" s="4"/>
      <c r="T2560" s="4"/>
      <c r="U2560" s="4"/>
      <c r="V2560" s="4"/>
      <c r="W2560" s="4"/>
      <c r="X2560" s="4"/>
    </row>
    <row r="2561" spans="17:24" x14ac:dyDescent="0.3">
      <c r="Q2561" s="4"/>
      <c r="R2561" s="4"/>
      <c r="S2561" s="4"/>
      <c r="T2561" s="4"/>
      <c r="U2561" s="4"/>
      <c r="V2561" s="4"/>
      <c r="W2561" s="4"/>
      <c r="X2561" s="4"/>
    </row>
    <row r="2562" spans="17:24" x14ac:dyDescent="0.3">
      <c r="Q2562" s="4"/>
      <c r="R2562" s="4"/>
      <c r="S2562" s="4"/>
      <c r="T2562" s="4"/>
      <c r="U2562" s="4"/>
      <c r="V2562" s="4"/>
      <c r="W2562" s="4"/>
      <c r="X2562" s="4"/>
    </row>
    <row r="2563" spans="17:24" x14ac:dyDescent="0.3">
      <c r="Q2563" s="4"/>
      <c r="R2563" s="4"/>
      <c r="S2563" s="4"/>
      <c r="T2563" s="4"/>
      <c r="U2563" s="4"/>
      <c r="V2563" s="4"/>
      <c r="W2563" s="4"/>
      <c r="X2563" s="4"/>
    </row>
    <row r="2564" spans="17:24" x14ac:dyDescent="0.3">
      <c r="Q2564" s="4"/>
      <c r="R2564" s="4"/>
      <c r="S2564" s="4"/>
      <c r="T2564" s="4"/>
      <c r="U2564" s="4"/>
      <c r="V2564" s="4"/>
      <c r="W2564" s="4"/>
      <c r="X2564" s="4"/>
    </row>
    <row r="2565" spans="17:24" x14ac:dyDescent="0.3">
      <c r="Q2565" s="4"/>
      <c r="R2565" s="4"/>
      <c r="S2565" s="4"/>
      <c r="T2565" s="4"/>
      <c r="U2565" s="4"/>
      <c r="V2565" s="4"/>
      <c r="W2565" s="4"/>
      <c r="X2565" s="4"/>
    </row>
    <row r="2566" spans="17:24" x14ac:dyDescent="0.3">
      <c r="Q2566" s="4"/>
      <c r="R2566" s="4"/>
      <c r="S2566" s="4"/>
      <c r="T2566" s="4"/>
      <c r="U2566" s="4"/>
      <c r="V2566" s="4"/>
      <c r="W2566" s="4"/>
      <c r="X2566" s="4"/>
    </row>
    <row r="2567" spans="17:24" x14ac:dyDescent="0.3">
      <c r="Q2567" s="4"/>
      <c r="R2567" s="4"/>
      <c r="S2567" s="4"/>
      <c r="T2567" s="4"/>
      <c r="U2567" s="4"/>
      <c r="V2567" s="4"/>
      <c r="W2567" s="4"/>
      <c r="X2567" s="4"/>
    </row>
    <row r="2568" spans="17:24" x14ac:dyDescent="0.3">
      <c r="Q2568" s="4"/>
      <c r="R2568" s="4"/>
      <c r="S2568" s="4"/>
      <c r="T2568" s="4"/>
      <c r="U2568" s="4"/>
      <c r="V2568" s="4"/>
      <c r="W2568" s="4"/>
      <c r="X2568" s="4"/>
    </row>
    <row r="2569" spans="17:24" x14ac:dyDescent="0.3">
      <c r="Q2569" s="4"/>
      <c r="R2569" s="4"/>
      <c r="S2569" s="4"/>
      <c r="T2569" s="4"/>
      <c r="U2569" s="4"/>
      <c r="V2569" s="4"/>
      <c r="W2569" s="4"/>
      <c r="X2569" s="4"/>
    </row>
    <row r="2570" spans="17:24" x14ac:dyDescent="0.3">
      <c r="Q2570" s="4"/>
      <c r="R2570" s="4"/>
      <c r="S2570" s="4"/>
      <c r="T2570" s="4"/>
      <c r="U2570" s="4"/>
      <c r="V2570" s="4"/>
      <c r="W2570" s="4"/>
      <c r="X2570" s="4"/>
    </row>
    <row r="2571" spans="17:24" x14ac:dyDescent="0.3">
      <c r="Q2571" s="4"/>
      <c r="R2571" s="4"/>
      <c r="S2571" s="4"/>
      <c r="T2571" s="4"/>
      <c r="U2571" s="4"/>
      <c r="V2571" s="4"/>
      <c r="W2571" s="4"/>
      <c r="X2571" s="4"/>
    </row>
    <row r="2572" spans="17:24" x14ac:dyDescent="0.3">
      <c r="Q2572" s="4"/>
      <c r="R2572" s="4"/>
      <c r="S2572" s="4"/>
      <c r="T2572" s="4"/>
      <c r="U2572" s="4"/>
      <c r="V2572" s="4"/>
      <c r="W2572" s="4"/>
      <c r="X2572" s="4"/>
    </row>
    <row r="2573" spans="17:24" x14ac:dyDescent="0.3">
      <c r="Q2573" s="4"/>
      <c r="R2573" s="4"/>
      <c r="S2573" s="4"/>
      <c r="T2573" s="4"/>
      <c r="U2573" s="4"/>
      <c r="V2573" s="4"/>
      <c r="W2573" s="4"/>
      <c r="X2573" s="4"/>
    </row>
    <row r="2574" spans="17:24" x14ac:dyDescent="0.3">
      <c r="Q2574" s="4"/>
      <c r="R2574" s="4"/>
      <c r="S2574" s="4"/>
      <c r="T2574" s="4"/>
      <c r="U2574" s="4"/>
      <c r="V2574" s="4"/>
      <c r="W2574" s="4"/>
      <c r="X2574" s="4"/>
    </row>
    <row r="2575" spans="17:24" x14ac:dyDescent="0.3">
      <c r="Q2575" s="4"/>
      <c r="R2575" s="4"/>
      <c r="S2575" s="4"/>
      <c r="T2575" s="4"/>
      <c r="U2575" s="4"/>
      <c r="V2575" s="4"/>
      <c r="W2575" s="4"/>
      <c r="X2575" s="4"/>
    </row>
    <row r="2576" spans="17:24" x14ac:dyDescent="0.3">
      <c r="Q2576" s="4"/>
      <c r="R2576" s="4"/>
      <c r="S2576" s="4"/>
      <c r="T2576" s="4"/>
      <c r="U2576" s="4"/>
      <c r="V2576" s="4"/>
      <c r="W2576" s="4"/>
      <c r="X2576" s="4"/>
    </row>
    <row r="2577" spans="17:24" x14ac:dyDescent="0.3">
      <c r="Q2577" s="4"/>
      <c r="R2577" s="4"/>
      <c r="S2577" s="4"/>
      <c r="T2577" s="4"/>
      <c r="U2577" s="4"/>
      <c r="V2577" s="4"/>
      <c r="W2577" s="4"/>
      <c r="X2577" s="4"/>
    </row>
    <row r="2578" spans="17:24" x14ac:dyDescent="0.3">
      <c r="Q2578" s="4"/>
      <c r="R2578" s="4"/>
      <c r="S2578" s="4"/>
      <c r="T2578" s="4"/>
      <c r="U2578" s="4"/>
      <c r="V2578" s="4"/>
      <c r="W2578" s="4"/>
      <c r="X2578" s="4"/>
    </row>
    <row r="2579" spans="17:24" x14ac:dyDescent="0.3">
      <c r="Q2579" s="4"/>
      <c r="R2579" s="4"/>
      <c r="S2579" s="4"/>
      <c r="T2579" s="4"/>
      <c r="U2579" s="4"/>
      <c r="V2579" s="4"/>
      <c r="W2579" s="4"/>
      <c r="X2579" s="4"/>
    </row>
    <row r="2580" spans="17:24" x14ac:dyDescent="0.3">
      <c r="Q2580" s="4"/>
      <c r="R2580" s="4"/>
      <c r="S2580" s="4"/>
      <c r="T2580" s="4"/>
      <c r="U2580" s="4"/>
      <c r="V2580" s="4"/>
      <c r="W2580" s="4"/>
      <c r="X2580" s="4"/>
    </row>
    <row r="2581" spans="17:24" x14ac:dyDescent="0.3">
      <c r="Q2581" s="4"/>
      <c r="R2581" s="4"/>
      <c r="S2581" s="4"/>
      <c r="T2581" s="4"/>
      <c r="U2581" s="4"/>
      <c r="V2581" s="4"/>
      <c r="W2581" s="4"/>
      <c r="X2581" s="4"/>
    </row>
    <row r="2582" spans="17:24" x14ac:dyDescent="0.3">
      <c r="Q2582" s="4"/>
      <c r="R2582" s="4"/>
      <c r="S2582" s="4"/>
      <c r="T2582" s="4"/>
      <c r="U2582" s="4"/>
      <c r="V2582" s="4"/>
      <c r="W2582" s="4"/>
      <c r="X2582" s="4"/>
    </row>
    <row r="2583" spans="17:24" x14ac:dyDescent="0.3">
      <c r="Q2583" s="4"/>
      <c r="R2583" s="4"/>
      <c r="S2583" s="4"/>
      <c r="T2583" s="4"/>
      <c r="U2583" s="4"/>
      <c r="V2583" s="4"/>
      <c r="W2583" s="4"/>
      <c r="X2583" s="4"/>
    </row>
    <row r="2584" spans="17:24" x14ac:dyDescent="0.3">
      <c r="Q2584" s="4"/>
      <c r="R2584" s="4"/>
      <c r="S2584" s="4"/>
      <c r="T2584" s="4"/>
      <c r="U2584" s="4"/>
      <c r="V2584" s="4"/>
      <c r="W2584" s="4"/>
      <c r="X2584" s="4"/>
    </row>
    <row r="2585" spans="17:24" x14ac:dyDescent="0.3">
      <c r="Q2585" s="4"/>
      <c r="R2585" s="4"/>
      <c r="S2585" s="4"/>
      <c r="T2585" s="4"/>
      <c r="U2585" s="4"/>
      <c r="V2585" s="4"/>
      <c r="W2585" s="4"/>
      <c r="X2585" s="4"/>
    </row>
    <row r="2586" spans="17:24" x14ac:dyDescent="0.3">
      <c r="Q2586" s="4"/>
      <c r="R2586" s="4"/>
      <c r="S2586" s="4"/>
      <c r="T2586" s="4"/>
      <c r="U2586" s="4"/>
      <c r="V2586" s="4"/>
      <c r="W2586" s="4"/>
      <c r="X2586" s="4"/>
    </row>
    <row r="2587" spans="17:24" x14ac:dyDescent="0.3">
      <c r="Q2587" s="4"/>
      <c r="R2587" s="4"/>
      <c r="S2587" s="4"/>
      <c r="T2587" s="4"/>
      <c r="U2587" s="4"/>
      <c r="V2587" s="4"/>
      <c r="W2587" s="4"/>
      <c r="X2587" s="4"/>
    </row>
    <row r="2588" spans="17:24" x14ac:dyDescent="0.3">
      <c r="Q2588" s="4"/>
      <c r="R2588" s="4"/>
      <c r="S2588" s="4"/>
      <c r="T2588" s="4"/>
      <c r="U2588" s="4"/>
      <c r="V2588" s="4"/>
      <c r="W2588" s="4"/>
      <c r="X2588" s="4"/>
    </row>
    <row r="2589" spans="17:24" x14ac:dyDescent="0.3">
      <c r="Q2589" s="4"/>
      <c r="R2589" s="4"/>
      <c r="S2589" s="4"/>
      <c r="T2589" s="4"/>
      <c r="U2589" s="4"/>
      <c r="V2589" s="4"/>
      <c r="W2589" s="4"/>
      <c r="X2589" s="4"/>
    </row>
    <row r="2590" spans="17:24" x14ac:dyDescent="0.3">
      <c r="Q2590" s="4"/>
      <c r="R2590" s="4"/>
      <c r="S2590" s="4"/>
      <c r="T2590" s="4"/>
      <c r="U2590" s="4"/>
      <c r="V2590" s="4"/>
      <c r="W2590" s="4"/>
      <c r="X2590" s="4"/>
    </row>
    <row r="2591" spans="17:24" x14ac:dyDescent="0.3">
      <c r="Q2591" s="4"/>
      <c r="R2591" s="4"/>
      <c r="S2591" s="4"/>
      <c r="T2591" s="4"/>
      <c r="U2591" s="4"/>
      <c r="V2591" s="4"/>
      <c r="W2591" s="4"/>
      <c r="X2591" s="4"/>
    </row>
    <row r="2592" spans="17:24" x14ac:dyDescent="0.3">
      <c r="Q2592" s="4"/>
      <c r="R2592" s="4"/>
      <c r="S2592" s="4"/>
      <c r="T2592" s="4"/>
      <c r="U2592" s="4"/>
      <c r="V2592" s="4"/>
      <c r="W2592" s="4"/>
      <c r="X2592" s="4"/>
    </row>
    <row r="2593" spans="17:24" x14ac:dyDescent="0.3">
      <c r="Q2593" s="4"/>
      <c r="R2593" s="4"/>
      <c r="S2593" s="4"/>
      <c r="T2593" s="4"/>
      <c r="U2593" s="4"/>
      <c r="V2593" s="4"/>
      <c r="W2593" s="4"/>
      <c r="X2593" s="4"/>
    </row>
    <row r="2594" spans="17:24" x14ac:dyDescent="0.3">
      <c r="Q2594" s="4"/>
      <c r="R2594" s="4"/>
      <c r="S2594" s="4"/>
      <c r="T2594" s="4"/>
      <c r="U2594" s="4"/>
      <c r="V2594" s="4"/>
      <c r="W2594" s="4"/>
      <c r="X2594" s="4"/>
    </row>
    <row r="2595" spans="17:24" x14ac:dyDescent="0.3">
      <c r="Q2595" s="4"/>
      <c r="R2595" s="4"/>
      <c r="S2595" s="4"/>
      <c r="T2595" s="4"/>
      <c r="U2595" s="4"/>
      <c r="V2595" s="4"/>
      <c r="W2595" s="4"/>
      <c r="X2595" s="4"/>
    </row>
    <row r="2596" spans="17:24" x14ac:dyDescent="0.3">
      <c r="Q2596" s="4"/>
      <c r="R2596" s="4"/>
      <c r="S2596" s="4"/>
      <c r="T2596" s="4"/>
      <c r="U2596" s="4"/>
      <c r="V2596" s="4"/>
      <c r="W2596" s="4"/>
      <c r="X2596" s="4"/>
    </row>
    <row r="2597" spans="17:24" x14ac:dyDescent="0.3">
      <c r="Q2597" s="4"/>
      <c r="R2597" s="4"/>
      <c r="S2597" s="4"/>
      <c r="T2597" s="4"/>
      <c r="U2597" s="4"/>
      <c r="V2597" s="4"/>
      <c r="W2597" s="4"/>
      <c r="X2597" s="4"/>
    </row>
    <row r="2598" spans="17:24" x14ac:dyDescent="0.3">
      <c r="Q2598" s="4"/>
      <c r="R2598" s="4"/>
      <c r="S2598" s="4"/>
      <c r="T2598" s="4"/>
      <c r="U2598" s="4"/>
      <c r="V2598" s="4"/>
      <c r="W2598" s="4"/>
      <c r="X2598" s="4"/>
    </row>
    <row r="2599" spans="17:24" x14ac:dyDescent="0.3">
      <c r="Q2599" s="4"/>
      <c r="R2599" s="4"/>
      <c r="S2599" s="4"/>
      <c r="T2599" s="4"/>
      <c r="U2599" s="4"/>
      <c r="V2599" s="4"/>
      <c r="W2599" s="4"/>
      <c r="X2599" s="4"/>
    </row>
    <row r="2600" spans="17:24" x14ac:dyDescent="0.3">
      <c r="Q2600" s="4"/>
      <c r="R2600" s="4"/>
      <c r="S2600" s="4"/>
      <c r="T2600" s="4"/>
      <c r="U2600" s="4"/>
      <c r="V2600" s="4"/>
      <c r="W2600" s="4"/>
      <c r="X2600" s="4"/>
    </row>
    <row r="2601" spans="17:24" x14ac:dyDescent="0.3">
      <c r="Q2601" s="4"/>
      <c r="R2601" s="4"/>
      <c r="S2601" s="4"/>
      <c r="T2601" s="4"/>
      <c r="U2601" s="4"/>
      <c r="V2601" s="4"/>
      <c r="W2601" s="4"/>
      <c r="X2601" s="4"/>
    </row>
    <row r="2602" spans="17:24" x14ac:dyDescent="0.3">
      <c r="Q2602" s="4"/>
      <c r="R2602" s="4"/>
      <c r="S2602" s="4"/>
      <c r="T2602" s="4"/>
      <c r="U2602" s="4"/>
      <c r="V2602" s="4"/>
      <c r="W2602" s="4"/>
      <c r="X2602" s="4"/>
    </row>
    <row r="2603" spans="17:24" x14ac:dyDescent="0.3">
      <c r="Q2603" s="4"/>
      <c r="R2603" s="4"/>
      <c r="S2603" s="4"/>
      <c r="T2603" s="4"/>
      <c r="U2603" s="4"/>
      <c r="V2603" s="4"/>
      <c r="W2603" s="4"/>
      <c r="X2603" s="4"/>
    </row>
    <row r="2604" spans="17:24" x14ac:dyDescent="0.3">
      <c r="Q2604" s="4"/>
      <c r="R2604" s="4"/>
      <c r="S2604" s="4"/>
      <c r="T2604" s="4"/>
      <c r="U2604" s="4"/>
      <c r="V2604" s="4"/>
      <c r="W2604" s="4"/>
      <c r="X2604" s="4"/>
    </row>
    <row r="2605" spans="17:24" x14ac:dyDescent="0.3">
      <c r="Q2605" s="4"/>
      <c r="R2605" s="4"/>
      <c r="S2605" s="4"/>
      <c r="T2605" s="4"/>
      <c r="U2605" s="4"/>
      <c r="V2605" s="4"/>
      <c r="W2605" s="4"/>
      <c r="X2605" s="4"/>
    </row>
    <row r="2606" spans="17:24" x14ac:dyDescent="0.3">
      <c r="Q2606" s="4"/>
      <c r="R2606" s="4"/>
      <c r="S2606" s="4"/>
      <c r="T2606" s="4"/>
      <c r="U2606" s="4"/>
      <c r="V2606" s="4"/>
      <c r="W2606" s="4"/>
      <c r="X2606" s="4"/>
    </row>
    <row r="2607" spans="17:24" x14ac:dyDescent="0.3">
      <c r="Q2607" s="4"/>
      <c r="R2607" s="4"/>
      <c r="S2607" s="4"/>
      <c r="T2607" s="4"/>
      <c r="U2607" s="4"/>
      <c r="V2607" s="4"/>
      <c r="W2607" s="4"/>
      <c r="X2607" s="4"/>
    </row>
    <row r="2608" spans="17:24" x14ac:dyDescent="0.3">
      <c r="Q2608" s="4"/>
      <c r="R2608" s="4"/>
      <c r="S2608" s="4"/>
      <c r="T2608" s="4"/>
      <c r="U2608" s="4"/>
      <c r="V2608" s="4"/>
      <c r="W2608" s="4"/>
      <c r="X2608" s="4"/>
    </row>
    <row r="2609" spans="17:24" x14ac:dyDescent="0.3">
      <c r="Q2609" s="4"/>
      <c r="R2609" s="4"/>
      <c r="S2609" s="4"/>
      <c r="T2609" s="4"/>
      <c r="U2609" s="4"/>
      <c r="V2609" s="4"/>
      <c r="W2609" s="4"/>
      <c r="X2609" s="4"/>
    </row>
    <row r="2610" spans="17:24" x14ac:dyDescent="0.3">
      <c r="Q2610" s="4"/>
      <c r="R2610" s="4"/>
      <c r="S2610" s="4"/>
      <c r="T2610" s="4"/>
      <c r="U2610" s="4"/>
      <c r="V2610" s="4"/>
      <c r="W2610" s="4"/>
      <c r="X2610" s="4"/>
    </row>
    <row r="2611" spans="17:24" x14ac:dyDescent="0.3">
      <c r="Q2611" s="4"/>
      <c r="R2611" s="4"/>
      <c r="S2611" s="4"/>
      <c r="T2611" s="4"/>
      <c r="U2611" s="4"/>
      <c r="V2611" s="4"/>
      <c r="W2611" s="4"/>
      <c r="X2611" s="4"/>
    </row>
    <row r="2612" spans="17:24" x14ac:dyDescent="0.3">
      <c r="Q2612" s="4"/>
      <c r="R2612" s="4"/>
      <c r="S2612" s="4"/>
      <c r="T2612" s="4"/>
      <c r="U2612" s="4"/>
      <c r="V2612" s="4"/>
      <c r="W2612" s="4"/>
      <c r="X2612" s="4"/>
    </row>
    <row r="2613" spans="17:24" x14ac:dyDescent="0.3">
      <c r="Q2613" s="4"/>
      <c r="R2613" s="4"/>
      <c r="S2613" s="4"/>
      <c r="T2613" s="4"/>
      <c r="U2613" s="4"/>
      <c r="V2613" s="4"/>
      <c r="W2613" s="4"/>
      <c r="X2613" s="4"/>
    </row>
    <row r="2614" spans="17:24" x14ac:dyDescent="0.3">
      <c r="Q2614" s="4"/>
      <c r="R2614" s="4"/>
      <c r="S2614" s="4"/>
      <c r="T2614" s="4"/>
      <c r="U2614" s="4"/>
      <c r="V2614" s="4"/>
      <c r="W2614" s="4"/>
      <c r="X2614" s="4"/>
    </row>
    <row r="2615" spans="17:24" x14ac:dyDescent="0.3">
      <c r="Q2615" s="4"/>
      <c r="R2615" s="4"/>
      <c r="S2615" s="4"/>
      <c r="T2615" s="4"/>
      <c r="U2615" s="4"/>
      <c r="V2615" s="4"/>
      <c r="W2615" s="4"/>
      <c r="X2615" s="4"/>
    </row>
    <row r="2616" spans="17:24" x14ac:dyDescent="0.3">
      <c r="Q2616" s="4"/>
      <c r="R2616" s="4"/>
      <c r="S2616" s="4"/>
      <c r="T2616" s="4"/>
      <c r="U2616" s="4"/>
      <c r="V2616" s="4"/>
      <c r="W2616" s="4"/>
      <c r="X2616" s="4"/>
    </row>
    <row r="2617" spans="17:24" x14ac:dyDescent="0.3">
      <c r="Q2617" s="4"/>
      <c r="R2617" s="4"/>
      <c r="S2617" s="4"/>
      <c r="T2617" s="4"/>
      <c r="U2617" s="4"/>
      <c r="V2617" s="4"/>
      <c r="W2617" s="4"/>
      <c r="X2617" s="4"/>
    </row>
    <row r="2618" spans="17:24" x14ac:dyDescent="0.3">
      <c r="Q2618" s="4"/>
      <c r="R2618" s="4"/>
      <c r="S2618" s="4"/>
      <c r="T2618" s="4"/>
      <c r="U2618" s="4"/>
      <c r="V2618" s="4"/>
      <c r="W2618" s="4"/>
      <c r="X2618" s="4"/>
    </row>
    <row r="2619" spans="17:24" x14ac:dyDescent="0.3">
      <c r="Q2619" s="4"/>
      <c r="R2619" s="4"/>
      <c r="S2619" s="4"/>
      <c r="T2619" s="4"/>
      <c r="U2619" s="4"/>
      <c r="V2619" s="4"/>
      <c r="W2619" s="4"/>
      <c r="X2619" s="4"/>
    </row>
    <row r="2620" spans="17:24" x14ac:dyDescent="0.3">
      <c r="Q2620" s="4"/>
      <c r="R2620" s="4"/>
      <c r="S2620" s="4"/>
      <c r="T2620" s="4"/>
      <c r="U2620" s="4"/>
      <c r="V2620" s="4"/>
      <c r="W2620" s="4"/>
      <c r="X2620" s="4"/>
    </row>
    <row r="2621" spans="17:24" x14ac:dyDescent="0.3">
      <c r="Q2621" s="4"/>
      <c r="R2621" s="4"/>
      <c r="S2621" s="4"/>
      <c r="T2621" s="4"/>
      <c r="U2621" s="4"/>
      <c r="V2621" s="4"/>
      <c r="W2621" s="4"/>
      <c r="X2621" s="4"/>
    </row>
    <row r="2622" spans="17:24" x14ac:dyDescent="0.3">
      <c r="Q2622" s="4"/>
      <c r="R2622" s="4"/>
      <c r="S2622" s="4"/>
      <c r="T2622" s="4"/>
      <c r="U2622" s="4"/>
      <c r="V2622" s="4"/>
      <c r="W2622" s="4"/>
      <c r="X2622" s="4"/>
    </row>
    <row r="2623" spans="17:24" x14ac:dyDescent="0.3">
      <c r="Q2623" s="4"/>
      <c r="R2623" s="4"/>
      <c r="S2623" s="4"/>
      <c r="T2623" s="4"/>
      <c r="U2623" s="4"/>
      <c r="V2623" s="4"/>
      <c r="W2623" s="4"/>
      <c r="X2623" s="4"/>
    </row>
    <row r="2624" spans="17:24" x14ac:dyDescent="0.3">
      <c r="Q2624" s="4"/>
      <c r="R2624" s="4"/>
      <c r="S2624" s="4"/>
      <c r="T2624" s="4"/>
      <c r="U2624" s="4"/>
      <c r="V2624" s="4"/>
      <c r="W2624" s="4"/>
      <c r="X2624" s="4"/>
    </row>
    <row r="2625" spans="17:24" x14ac:dyDescent="0.3">
      <c r="Q2625" s="4"/>
      <c r="R2625" s="4"/>
      <c r="S2625" s="4"/>
      <c r="T2625" s="4"/>
      <c r="U2625" s="4"/>
      <c r="V2625" s="4"/>
      <c r="W2625" s="4"/>
      <c r="X2625" s="4"/>
    </row>
    <row r="2626" spans="17:24" x14ac:dyDescent="0.3">
      <c r="Q2626" s="4"/>
      <c r="R2626" s="4"/>
      <c r="S2626" s="4"/>
      <c r="T2626" s="4"/>
      <c r="U2626" s="4"/>
      <c r="V2626" s="4"/>
      <c r="W2626" s="4"/>
      <c r="X2626" s="4"/>
    </row>
    <row r="2627" spans="17:24" x14ac:dyDescent="0.3">
      <c r="Q2627" s="4"/>
      <c r="R2627" s="4"/>
      <c r="S2627" s="4"/>
      <c r="T2627" s="4"/>
      <c r="U2627" s="4"/>
      <c r="V2627" s="4"/>
      <c r="W2627" s="4"/>
      <c r="X2627" s="4"/>
    </row>
    <row r="2628" spans="17:24" x14ac:dyDescent="0.3">
      <c r="Q2628" s="4"/>
      <c r="R2628" s="4"/>
      <c r="S2628" s="4"/>
      <c r="T2628" s="4"/>
      <c r="U2628" s="4"/>
      <c r="V2628" s="4"/>
      <c r="W2628" s="4"/>
      <c r="X2628" s="4"/>
    </row>
    <row r="2629" spans="17:24" x14ac:dyDescent="0.3">
      <c r="Q2629" s="4"/>
      <c r="R2629" s="4"/>
      <c r="S2629" s="4"/>
      <c r="T2629" s="4"/>
      <c r="U2629" s="4"/>
      <c r="V2629" s="4"/>
      <c r="W2629" s="4"/>
      <c r="X2629" s="4"/>
    </row>
    <row r="2630" spans="17:24" x14ac:dyDescent="0.3">
      <c r="Q2630" s="4"/>
      <c r="R2630" s="4"/>
      <c r="S2630" s="4"/>
      <c r="T2630" s="4"/>
      <c r="U2630" s="4"/>
      <c r="V2630" s="4"/>
      <c r="W2630" s="4"/>
      <c r="X2630" s="4"/>
    </row>
    <row r="2631" spans="17:24" x14ac:dyDescent="0.3">
      <c r="Q2631" s="4"/>
      <c r="R2631" s="4"/>
      <c r="S2631" s="4"/>
      <c r="T2631" s="4"/>
      <c r="U2631" s="4"/>
      <c r="V2631" s="4"/>
      <c r="W2631" s="4"/>
      <c r="X2631" s="4"/>
    </row>
    <row r="2632" spans="17:24" x14ac:dyDescent="0.3">
      <c r="Q2632" s="4"/>
      <c r="R2632" s="4"/>
      <c r="S2632" s="4"/>
      <c r="T2632" s="4"/>
      <c r="U2632" s="4"/>
      <c r="V2632" s="4"/>
      <c r="W2632" s="4"/>
      <c r="X2632" s="4"/>
    </row>
    <row r="2633" spans="17:24" x14ac:dyDescent="0.3">
      <c r="Q2633" s="4"/>
      <c r="R2633" s="4"/>
      <c r="S2633" s="4"/>
      <c r="T2633" s="4"/>
      <c r="U2633" s="4"/>
      <c r="V2633" s="4"/>
      <c r="W2633" s="4"/>
      <c r="X2633" s="4"/>
    </row>
    <row r="2634" spans="17:24" x14ac:dyDescent="0.3">
      <c r="Q2634" s="4"/>
      <c r="R2634" s="4"/>
      <c r="S2634" s="4"/>
      <c r="T2634" s="4"/>
      <c r="U2634" s="4"/>
      <c r="V2634" s="4"/>
      <c r="W2634" s="4"/>
      <c r="X2634" s="4"/>
    </row>
    <row r="2635" spans="17:24" x14ac:dyDescent="0.3">
      <c r="Q2635" s="4"/>
      <c r="R2635" s="4"/>
      <c r="S2635" s="4"/>
      <c r="T2635" s="4"/>
      <c r="U2635" s="4"/>
      <c r="V2635" s="4"/>
      <c r="W2635" s="4"/>
      <c r="X2635" s="4"/>
    </row>
    <row r="2636" spans="17:24" x14ac:dyDescent="0.3">
      <c r="Q2636" s="4"/>
      <c r="R2636" s="4"/>
      <c r="S2636" s="4"/>
      <c r="T2636" s="4"/>
      <c r="U2636" s="4"/>
      <c r="V2636" s="4"/>
      <c r="W2636" s="4"/>
      <c r="X2636" s="4"/>
    </row>
    <row r="2637" spans="17:24" x14ac:dyDescent="0.3">
      <c r="Q2637" s="4"/>
      <c r="R2637" s="4"/>
      <c r="S2637" s="4"/>
      <c r="T2637" s="4"/>
      <c r="U2637" s="4"/>
      <c r="V2637" s="4"/>
      <c r="W2637" s="4"/>
      <c r="X2637" s="4"/>
    </row>
    <row r="2638" spans="17:24" x14ac:dyDescent="0.3">
      <c r="Q2638" s="4"/>
      <c r="R2638" s="4"/>
      <c r="S2638" s="4"/>
      <c r="T2638" s="4"/>
      <c r="U2638" s="4"/>
      <c r="V2638" s="4"/>
      <c r="W2638" s="4"/>
      <c r="X2638" s="4"/>
    </row>
    <row r="2639" spans="17:24" x14ac:dyDescent="0.3">
      <c r="Q2639" s="4"/>
      <c r="R2639" s="4"/>
      <c r="S2639" s="4"/>
      <c r="T2639" s="4"/>
      <c r="U2639" s="4"/>
      <c r="V2639" s="4"/>
      <c r="W2639" s="4"/>
      <c r="X2639" s="4"/>
    </row>
    <row r="2640" spans="17:24" x14ac:dyDescent="0.3">
      <c r="Q2640" s="4"/>
      <c r="R2640" s="4"/>
      <c r="S2640" s="4"/>
      <c r="T2640" s="4"/>
      <c r="U2640" s="4"/>
      <c r="V2640" s="4"/>
      <c r="W2640" s="4"/>
      <c r="X2640" s="4"/>
    </row>
    <row r="2641" spans="17:24" x14ac:dyDescent="0.3">
      <c r="Q2641" s="4"/>
      <c r="R2641" s="4"/>
      <c r="S2641" s="4"/>
      <c r="T2641" s="4"/>
      <c r="U2641" s="4"/>
      <c r="V2641" s="4"/>
      <c r="W2641" s="4"/>
      <c r="X2641" s="4"/>
    </row>
    <row r="2642" spans="17:24" x14ac:dyDescent="0.3">
      <c r="Q2642" s="4"/>
      <c r="R2642" s="4"/>
      <c r="S2642" s="4"/>
      <c r="T2642" s="4"/>
      <c r="U2642" s="4"/>
      <c r="V2642" s="4"/>
      <c r="W2642" s="4"/>
      <c r="X2642" s="4"/>
    </row>
    <row r="2643" spans="17:24" x14ac:dyDescent="0.3">
      <c r="Q2643" s="4"/>
      <c r="R2643" s="4"/>
      <c r="S2643" s="4"/>
      <c r="T2643" s="4"/>
      <c r="U2643" s="4"/>
      <c r="V2643" s="4"/>
      <c r="W2643" s="4"/>
      <c r="X2643" s="4"/>
    </row>
    <row r="2644" spans="17:24" x14ac:dyDescent="0.3">
      <c r="Q2644" s="4"/>
      <c r="R2644" s="4"/>
      <c r="S2644" s="4"/>
      <c r="T2644" s="4"/>
      <c r="U2644" s="4"/>
      <c r="V2644" s="4"/>
      <c r="W2644" s="4"/>
      <c r="X2644" s="4"/>
    </row>
    <row r="2645" spans="17:24" x14ac:dyDescent="0.3">
      <c r="Q2645" s="4"/>
      <c r="R2645" s="4"/>
      <c r="S2645" s="4"/>
      <c r="T2645" s="4"/>
      <c r="U2645" s="4"/>
      <c r="V2645" s="4"/>
      <c r="W2645" s="4"/>
      <c r="X2645" s="4"/>
    </row>
    <row r="2646" spans="17:24" x14ac:dyDescent="0.3">
      <c r="Q2646" s="4"/>
      <c r="R2646" s="4"/>
      <c r="S2646" s="4"/>
      <c r="T2646" s="4"/>
      <c r="U2646" s="4"/>
      <c r="V2646" s="4"/>
      <c r="W2646" s="4"/>
      <c r="X2646" s="4"/>
    </row>
    <row r="2647" spans="17:24" x14ac:dyDescent="0.3">
      <c r="Q2647" s="4"/>
      <c r="R2647" s="4"/>
      <c r="S2647" s="4"/>
      <c r="T2647" s="4"/>
      <c r="U2647" s="4"/>
      <c r="V2647" s="4"/>
      <c r="W2647" s="4"/>
      <c r="X2647" s="4"/>
    </row>
    <row r="2648" spans="17:24" x14ac:dyDescent="0.3">
      <c r="Q2648" s="4"/>
      <c r="R2648" s="4"/>
      <c r="S2648" s="4"/>
      <c r="T2648" s="4"/>
      <c r="U2648" s="4"/>
      <c r="V2648" s="4"/>
      <c r="W2648" s="4"/>
      <c r="X2648" s="4"/>
    </row>
    <row r="2649" spans="17:24" x14ac:dyDescent="0.3">
      <c r="Q2649" s="4"/>
      <c r="R2649" s="4"/>
      <c r="S2649" s="4"/>
      <c r="T2649" s="4"/>
      <c r="U2649" s="4"/>
      <c r="V2649" s="4"/>
      <c r="W2649" s="4"/>
      <c r="X2649" s="4"/>
    </row>
    <row r="2650" spans="17:24" x14ac:dyDescent="0.3">
      <c r="Q2650" s="4"/>
      <c r="R2650" s="4"/>
      <c r="S2650" s="4"/>
      <c r="T2650" s="4"/>
      <c r="U2650" s="4"/>
      <c r="V2650" s="4"/>
      <c r="W2650" s="4"/>
      <c r="X2650" s="4"/>
    </row>
    <row r="2651" spans="17:24" x14ac:dyDescent="0.3">
      <c r="Q2651" s="4"/>
      <c r="R2651" s="4"/>
      <c r="S2651" s="4"/>
      <c r="T2651" s="4"/>
      <c r="U2651" s="4"/>
      <c r="V2651" s="4"/>
      <c r="W2651" s="4"/>
      <c r="X2651" s="4"/>
    </row>
    <row r="2652" spans="17:24" x14ac:dyDescent="0.3">
      <c r="Q2652" s="4"/>
      <c r="R2652" s="4"/>
      <c r="S2652" s="4"/>
      <c r="T2652" s="4"/>
      <c r="U2652" s="4"/>
      <c r="V2652" s="4"/>
      <c r="W2652" s="4"/>
      <c r="X2652" s="4"/>
    </row>
    <row r="2653" spans="17:24" x14ac:dyDescent="0.3">
      <c r="Q2653" s="4"/>
      <c r="R2653" s="4"/>
      <c r="S2653" s="4"/>
      <c r="T2653" s="4"/>
      <c r="U2653" s="4"/>
      <c r="V2653" s="4"/>
      <c r="W2653" s="4"/>
      <c r="X2653" s="4"/>
    </row>
    <row r="2654" spans="17:24" x14ac:dyDescent="0.3">
      <c r="Q2654" s="4"/>
      <c r="R2654" s="4"/>
      <c r="S2654" s="4"/>
      <c r="T2654" s="4"/>
      <c r="U2654" s="4"/>
      <c r="V2654" s="4"/>
      <c r="W2654" s="4"/>
      <c r="X2654" s="4"/>
    </row>
    <row r="2655" spans="17:24" x14ac:dyDescent="0.3">
      <c r="Q2655" s="4"/>
      <c r="R2655" s="4"/>
      <c r="S2655" s="4"/>
      <c r="T2655" s="4"/>
      <c r="U2655" s="4"/>
      <c r="V2655" s="4"/>
      <c r="W2655" s="4"/>
      <c r="X2655" s="4"/>
    </row>
    <row r="2656" spans="17:24" x14ac:dyDescent="0.3">
      <c r="Q2656" s="4"/>
      <c r="R2656" s="4"/>
      <c r="S2656" s="4"/>
      <c r="T2656" s="4"/>
      <c r="U2656" s="4"/>
      <c r="V2656" s="4"/>
      <c r="W2656" s="4"/>
      <c r="X2656" s="4"/>
    </row>
    <row r="2657" spans="17:24" x14ac:dyDescent="0.3">
      <c r="Q2657" s="4"/>
      <c r="R2657" s="4"/>
      <c r="S2657" s="4"/>
      <c r="T2657" s="4"/>
      <c r="U2657" s="4"/>
      <c r="V2657" s="4"/>
      <c r="W2657" s="4"/>
      <c r="X2657" s="4"/>
    </row>
    <row r="2658" spans="17:24" x14ac:dyDescent="0.3">
      <c r="Q2658" s="4"/>
      <c r="R2658" s="4"/>
      <c r="S2658" s="4"/>
      <c r="T2658" s="4"/>
      <c r="U2658" s="4"/>
      <c r="V2658" s="4"/>
      <c r="W2658" s="4"/>
      <c r="X2658" s="4"/>
    </row>
    <row r="2659" spans="17:24" x14ac:dyDescent="0.3">
      <c r="Q2659" s="4"/>
      <c r="R2659" s="4"/>
      <c r="S2659" s="4"/>
      <c r="T2659" s="4"/>
      <c r="U2659" s="4"/>
      <c r="V2659" s="4"/>
      <c r="W2659" s="4"/>
      <c r="X2659" s="4"/>
    </row>
    <row r="2660" spans="17:24" x14ac:dyDescent="0.3">
      <c r="Q2660" s="4"/>
      <c r="R2660" s="4"/>
      <c r="S2660" s="4"/>
      <c r="T2660" s="4"/>
      <c r="U2660" s="4"/>
      <c r="V2660" s="4"/>
      <c r="W2660" s="4"/>
      <c r="X2660" s="4"/>
    </row>
    <row r="2661" spans="17:24" x14ac:dyDescent="0.3">
      <c r="Q2661" s="4"/>
      <c r="R2661" s="4"/>
      <c r="S2661" s="4"/>
      <c r="T2661" s="4"/>
      <c r="U2661" s="4"/>
      <c r="V2661" s="4"/>
      <c r="W2661" s="4"/>
      <c r="X2661" s="4"/>
    </row>
    <row r="2662" spans="17:24" x14ac:dyDescent="0.3">
      <c r="Q2662" s="4"/>
      <c r="R2662" s="4"/>
      <c r="S2662" s="4"/>
      <c r="T2662" s="4"/>
      <c r="U2662" s="4"/>
      <c r="V2662" s="4"/>
      <c r="W2662" s="4"/>
      <c r="X2662" s="4"/>
    </row>
    <row r="2663" spans="17:24" x14ac:dyDescent="0.3">
      <c r="Q2663" s="4"/>
      <c r="R2663" s="4"/>
      <c r="S2663" s="4"/>
      <c r="T2663" s="4"/>
      <c r="U2663" s="4"/>
      <c r="V2663" s="4"/>
      <c r="W2663" s="4"/>
      <c r="X2663" s="4"/>
    </row>
    <row r="2664" spans="17:24" x14ac:dyDescent="0.3">
      <c r="Q2664" s="4"/>
      <c r="R2664" s="4"/>
      <c r="S2664" s="4"/>
      <c r="T2664" s="4"/>
      <c r="U2664" s="4"/>
      <c r="V2664" s="4"/>
      <c r="W2664" s="4"/>
      <c r="X2664" s="4"/>
    </row>
    <row r="2665" spans="17:24" x14ac:dyDescent="0.3">
      <c r="Q2665" s="4"/>
      <c r="R2665" s="4"/>
      <c r="S2665" s="4"/>
      <c r="T2665" s="4"/>
      <c r="U2665" s="4"/>
      <c r="V2665" s="4"/>
      <c r="W2665" s="4"/>
      <c r="X2665" s="4"/>
    </row>
    <row r="2666" spans="17:24" x14ac:dyDescent="0.3">
      <c r="Q2666" s="4"/>
      <c r="R2666" s="4"/>
      <c r="S2666" s="4"/>
      <c r="T2666" s="4"/>
      <c r="U2666" s="4"/>
      <c r="V2666" s="4"/>
      <c r="W2666" s="4"/>
      <c r="X2666" s="4"/>
    </row>
    <row r="2667" spans="17:24" x14ac:dyDescent="0.3">
      <c r="Q2667" s="4"/>
      <c r="R2667" s="4"/>
      <c r="S2667" s="4"/>
      <c r="T2667" s="4"/>
      <c r="U2667" s="4"/>
      <c r="V2667" s="4"/>
      <c r="W2667" s="4"/>
      <c r="X2667" s="4"/>
    </row>
    <row r="2668" spans="17:24" x14ac:dyDescent="0.3">
      <c r="Q2668" s="4"/>
      <c r="R2668" s="4"/>
      <c r="S2668" s="4"/>
      <c r="T2668" s="4"/>
      <c r="U2668" s="4"/>
      <c r="V2668" s="4"/>
      <c r="W2668" s="4"/>
      <c r="X2668" s="4"/>
    </row>
    <row r="2669" spans="17:24" x14ac:dyDescent="0.3">
      <c r="Q2669" s="4"/>
      <c r="R2669" s="4"/>
      <c r="S2669" s="4"/>
      <c r="T2669" s="4"/>
      <c r="U2669" s="4"/>
      <c r="V2669" s="4"/>
      <c r="W2669" s="4"/>
      <c r="X2669" s="4"/>
    </row>
    <row r="2670" spans="17:24" x14ac:dyDescent="0.3">
      <c r="Q2670" s="4"/>
      <c r="R2670" s="4"/>
      <c r="S2670" s="4"/>
      <c r="T2670" s="4"/>
      <c r="U2670" s="4"/>
      <c r="V2670" s="4"/>
      <c r="W2670" s="4"/>
      <c r="X2670" s="4"/>
    </row>
    <row r="2671" spans="17:24" x14ac:dyDescent="0.3">
      <c r="Q2671" s="4"/>
      <c r="R2671" s="4"/>
      <c r="S2671" s="4"/>
      <c r="T2671" s="4"/>
      <c r="U2671" s="4"/>
      <c r="V2671" s="4"/>
      <c r="W2671" s="4"/>
      <c r="X2671" s="4"/>
    </row>
    <row r="2672" spans="17:24" x14ac:dyDescent="0.3">
      <c r="Q2672" s="4"/>
      <c r="R2672" s="4"/>
      <c r="S2672" s="4"/>
      <c r="T2672" s="4"/>
      <c r="U2672" s="4"/>
      <c r="V2672" s="4"/>
      <c r="W2672" s="4"/>
      <c r="X2672" s="4"/>
    </row>
    <row r="2673" spans="17:24" x14ac:dyDescent="0.3">
      <c r="Q2673" s="4"/>
      <c r="R2673" s="4"/>
      <c r="S2673" s="4"/>
      <c r="T2673" s="4"/>
      <c r="U2673" s="4"/>
      <c r="V2673" s="4"/>
      <c r="W2673" s="4"/>
      <c r="X2673" s="4"/>
    </row>
    <row r="2674" spans="17:24" x14ac:dyDescent="0.3">
      <c r="Q2674" s="4"/>
      <c r="R2674" s="4"/>
      <c r="S2674" s="4"/>
      <c r="T2674" s="4"/>
      <c r="U2674" s="4"/>
      <c r="V2674" s="4"/>
      <c r="W2674" s="4"/>
      <c r="X2674" s="4"/>
    </row>
    <row r="2675" spans="17:24" x14ac:dyDescent="0.3">
      <c r="Q2675" s="4"/>
      <c r="R2675" s="4"/>
      <c r="S2675" s="4"/>
      <c r="T2675" s="4"/>
      <c r="U2675" s="4"/>
      <c r="V2675" s="4"/>
      <c r="W2675" s="4"/>
      <c r="X2675" s="4"/>
    </row>
    <row r="2676" spans="17:24" x14ac:dyDescent="0.3">
      <c r="Q2676" s="4"/>
      <c r="R2676" s="4"/>
      <c r="S2676" s="4"/>
      <c r="T2676" s="4"/>
      <c r="U2676" s="4"/>
      <c r="V2676" s="4"/>
      <c r="W2676" s="4"/>
      <c r="X2676" s="4"/>
    </row>
    <row r="2677" spans="17:24" x14ac:dyDescent="0.3">
      <c r="Q2677" s="4"/>
      <c r="R2677" s="4"/>
      <c r="S2677" s="4"/>
      <c r="T2677" s="4"/>
      <c r="U2677" s="4"/>
      <c r="V2677" s="4"/>
      <c r="W2677" s="4"/>
      <c r="X2677" s="4"/>
    </row>
    <row r="2678" spans="17:24" x14ac:dyDescent="0.3">
      <c r="Q2678" s="4"/>
      <c r="R2678" s="4"/>
      <c r="S2678" s="4"/>
      <c r="T2678" s="4"/>
      <c r="U2678" s="4"/>
      <c r="V2678" s="4"/>
      <c r="W2678" s="4"/>
      <c r="X2678" s="4"/>
    </row>
    <row r="2679" spans="17:24" x14ac:dyDescent="0.3">
      <c r="Q2679" s="4"/>
      <c r="R2679" s="4"/>
      <c r="S2679" s="4"/>
      <c r="T2679" s="4"/>
      <c r="U2679" s="4"/>
      <c r="V2679" s="4"/>
      <c r="W2679" s="4"/>
      <c r="X2679" s="4"/>
    </row>
    <row r="2680" spans="17:24" x14ac:dyDescent="0.3">
      <c r="Q2680" s="4"/>
      <c r="R2680" s="4"/>
      <c r="S2680" s="4"/>
      <c r="T2680" s="4"/>
      <c r="U2680" s="4"/>
      <c r="V2680" s="4"/>
      <c r="W2680" s="4"/>
      <c r="X2680" s="4"/>
    </row>
    <row r="2681" spans="17:24" x14ac:dyDescent="0.3">
      <c r="Q2681" s="4"/>
      <c r="R2681" s="4"/>
      <c r="S2681" s="4"/>
      <c r="T2681" s="4"/>
      <c r="U2681" s="4"/>
      <c r="V2681" s="4"/>
      <c r="W2681" s="4"/>
      <c r="X2681" s="4"/>
    </row>
    <row r="2682" spans="17:24" x14ac:dyDescent="0.3">
      <c r="Q2682" s="4"/>
      <c r="R2682" s="4"/>
      <c r="S2682" s="4"/>
      <c r="T2682" s="4"/>
      <c r="U2682" s="4"/>
      <c r="V2682" s="4"/>
      <c r="W2682" s="4"/>
      <c r="X2682" s="4"/>
    </row>
    <row r="2683" spans="17:24" x14ac:dyDescent="0.3">
      <c r="Q2683" s="4"/>
      <c r="R2683" s="4"/>
      <c r="S2683" s="4"/>
      <c r="T2683" s="4"/>
      <c r="U2683" s="4"/>
      <c r="V2683" s="4"/>
      <c r="W2683" s="4"/>
      <c r="X2683" s="4"/>
    </row>
    <row r="2684" spans="17:24" x14ac:dyDescent="0.3">
      <c r="Q2684" s="4"/>
      <c r="R2684" s="4"/>
      <c r="S2684" s="4"/>
      <c r="T2684" s="4"/>
      <c r="U2684" s="4"/>
      <c r="V2684" s="4"/>
      <c r="W2684" s="4"/>
      <c r="X2684" s="4"/>
    </row>
    <row r="2685" spans="17:24" x14ac:dyDescent="0.3">
      <c r="Q2685" s="4"/>
      <c r="R2685" s="4"/>
      <c r="S2685" s="4"/>
      <c r="T2685" s="4"/>
      <c r="U2685" s="4"/>
      <c r="V2685" s="4"/>
      <c r="W2685" s="4"/>
      <c r="X2685" s="4"/>
    </row>
    <row r="2686" spans="17:24" x14ac:dyDescent="0.3">
      <c r="Q2686" s="4"/>
      <c r="R2686" s="4"/>
      <c r="S2686" s="4"/>
      <c r="T2686" s="4"/>
      <c r="U2686" s="4"/>
      <c r="V2686" s="4"/>
      <c r="W2686" s="4"/>
      <c r="X2686" s="4"/>
    </row>
    <row r="2687" spans="17:24" x14ac:dyDescent="0.3">
      <c r="Q2687" s="4"/>
      <c r="R2687" s="4"/>
      <c r="S2687" s="4"/>
      <c r="T2687" s="4"/>
      <c r="U2687" s="4"/>
      <c r="V2687" s="4"/>
      <c r="W2687" s="4"/>
      <c r="X2687" s="4"/>
    </row>
    <row r="2688" spans="17:24" x14ac:dyDescent="0.3">
      <c r="Q2688" s="4"/>
      <c r="R2688" s="4"/>
      <c r="S2688" s="4"/>
      <c r="T2688" s="4"/>
      <c r="U2688" s="4"/>
      <c r="V2688" s="4"/>
      <c r="W2688" s="4"/>
      <c r="X2688" s="4"/>
    </row>
    <row r="2689" spans="17:24" x14ac:dyDescent="0.3">
      <c r="Q2689" s="4"/>
      <c r="R2689" s="4"/>
      <c r="S2689" s="4"/>
      <c r="T2689" s="4"/>
      <c r="U2689" s="4"/>
      <c r="V2689" s="4"/>
      <c r="W2689" s="4"/>
      <c r="X2689" s="4"/>
    </row>
    <row r="2690" spans="17:24" x14ac:dyDescent="0.3">
      <c r="Q2690" s="4"/>
      <c r="R2690" s="4"/>
      <c r="S2690" s="4"/>
      <c r="T2690" s="4"/>
      <c r="U2690" s="4"/>
      <c r="V2690" s="4"/>
      <c r="W2690" s="4"/>
      <c r="X2690" s="4"/>
    </row>
    <row r="2691" spans="17:24" x14ac:dyDescent="0.3">
      <c r="Q2691" s="4"/>
      <c r="R2691" s="4"/>
      <c r="S2691" s="4"/>
      <c r="T2691" s="4"/>
      <c r="U2691" s="4"/>
      <c r="V2691" s="4"/>
      <c r="W2691" s="4"/>
      <c r="X2691" s="4"/>
    </row>
    <row r="2692" spans="17:24" x14ac:dyDescent="0.3">
      <c r="Q2692" s="4"/>
      <c r="R2692" s="4"/>
      <c r="S2692" s="4"/>
      <c r="T2692" s="4"/>
      <c r="U2692" s="4"/>
      <c r="V2692" s="4"/>
      <c r="W2692" s="4"/>
      <c r="X2692" s="4"/>
    </row>
    <row r="2693" spans="17:24" x14ac:dyDescent="0.3">
      <c r="Q2693" s="4"/>
      <c r="R2693" s="4"/>
      <c r="S2693" s="4"/>
      <c r="T2693" s="4"/>
      <c r="U2693" s="4"/>
      <c r="V2693" s="4"/>
      <c r="W2693" s="4"/>
      <c r="X2693" s="4"/>
    </row>
    <row r="2694" spans="17:24" x14ac:dyDescent="0.3">
      <c r="Q2694" s="4"/>
      <c r="R2694" s="4"/>
      <c r="S2694" s="4"/>
      <c r="T2694" s="4"/>
      <c r="U2694" s="4"/>
      <c r="V2694" s="4"/>
      <c r="W2694" s="4"/>
      <c r="X2694" s="4"/>
    </row>
    <row r="2695" spans="17:24" x14ac:dyDescent="0.3">
      <c r="Q2695" s="4"/>
      <c r="R2695" s="4"/>
      <c r="S2695" s="4"/>
      <c r="T2695" s="4"/>
      <c r="U2695" s="4"/>
      <c r="V2695" s="4"/>
      <c r="W2695" s="4"/>
      <c r="X2695" s="4"/>
    </row>
    <row r="2696" spans="17:24" x14ac:dyDescent="0.3">
      <c r="Q2696" s="4"/>
      <c r="R2696" s="4"/>
      <c r="S2696" s="4"/>
      <c r="T2696" s="4"/>
      <c r="U2696" s="4"/>
      <c r="V2696" s="4"/>
      <c r="W2696" s="4"/>
      <c r="X2696" s="4"/>
    </row>
    <row r="2697" spans="17:24" x14ac:dyDescent="0.3">
      <c r="Q2697" s="4"/>
      <c r="R2697" s="4"/>
      <c r="S2697" s="4"/>
      <c r="T2697" s="4"/>
      <c r="U2697" s="4"/>
      <c r="V2697" s="4"/>
      <c r="W2697" s="4"/>
      <c r="X2697" s="4"/>
    </row>
    <row r="2698" spans="17:24" x14ac:dyDescent="0.3">
      <c r="Q2698" s="4"/>
      <c r="R2698" s="4"/>
      <c r="S2698" s="4"/>
      <c r="T2698" s="4"/>
      <c r="U2698" s="4"/>
      <c r="V2698" s="4"/>
      <c r="W2698" s="4"/>
      <c r="X2698" s="4"/>
    </row>
    <row r="2699" spans="17:24" x14ac:dyDescent="0.3">
      <c r="Q2699" s="4"/>
      <c r="R2699" s="4"/>
      <c r="S2699" s="4"/>
      <c r="T2699" s="4"/>
      <c r="U2699" s="4"/>
      <c r="V2699" s="4"/>
      <c r="W2699" s="4"/>
      <c r="X2699" s="4"/>
    </row>
    <row r="2700" spans="17:24" x14ac:dyDescent="0.3">
      <c r="Q2700" s="4"/>
      <c r="R2700" s="4"/>
      <c r="S2700" s="4"/>
      <c r="T2700" s="4"/>
      <c r="U2700" s="4"/>
      <c r="V2700" s="4"/>
      <c r="W2700" s="4"/>
      <c r="X2700" s="4"/>
    </row>
    <row r="2701" spans="17:24" x14ac:dyDescent="0.3">
      <c r="Q2701" s="4"/>
      <c r="R2701" s="4"/>
      <c r="S2701" s="4"/>
      <c r="T2701" s="4"/>
      <c r="U2701" s="4"/>
      <c r="V2701" s="4"/>
      <c r="W2701" s="4"/>
      <c r="X2701" s="4"/>
    </row>
    <row r="2702" spans="17:24" x14ac:dyDescent="0.3">
      <c r="Q2702" s="4"/>
      <c r="R2702" s="4"/>
      <c r="S2702" s="4"/>
      <c r="T2702" s="4"/>
      <c r="U2702" s="4"/>
      <c r="V2702" s="4"/>
      <c r="W2702" s="4"/>
      <c r="X2702" s="4"/>
    </row>
    <row r="2703" spans="17:24" x14ac:dyDescent="0.3">
      <c r="Q2703" s="4"/>
      <c r="R2703" s="4"/>
      <c r="S2703" s="4"/>
      <c r="T2703" s="4"/>
      <c r="U2703" s="4"/>
      <c r="V2703" s="4"/>
      <c r="W2703" s="4"/>
      <c r="X2703" s="4"/>
    </row>
    <row r="2704" spans="17:24" x14ac:dyDescent="0.3">
      <c r="Q2704" s="4"/>
      <c r="R2704" s="4"/>
      <c r="S2704" s="4"/>
      <c r="T2704" s="4"/>
      <c r="U2704" s="4"/>
      <c r="V2704" s="4"/>
      <c r="W2704" s="4"/>
      <c r="X2704" s="4"/>
    </row>
    <row r="2705" spans="17:24" x14ac:dyDescent="0.3">
      <c r="Q2705" s="4"/>
      <c r="R2705" s="4"/>
      <c r="S2705" s="4"/>
      <c r="T2705" s="4"/>
      <c r="U2705" s="4"/>
      <c r="V2705" s="4"/>
      <c r="W2705" s="4"/>
      <c r="X2705" s="4"/>
    </row>
    <row r="2706" spans="17:24" x14ac:dyDescent="0.3">
      <c r="Q2706" s="4"/>
      <c r="R2706" s="4"/>
      <c r="S2706" s="4"/>
      <c r="T2706" s="4"/>
      <c r="U2706" s="4"/>
      <c r="V2706" s="4"/>
      <c r="W2706" s="4"/>
      <c r="X2706" s="4"/>
    </row>
    <row r="2707" spans="17:24" x14ac:dyDescent="0.3">
      <c r="Q2707" s="4"/>
      <c r="R2707" s="4"/>
      <c r="S2707" s="4"/>
      <c r="T2707" s="4"/>
      <c r="U2707" s="4"/>
      <c r="V2707" s="4"/>
      <c r="W2707" s="4"/>
      <c r="X2707" s="4"/>
    </row>
    <row r="2708" spans="17:24" x14ac:dyDescent="0.3">
      <c r="Q2708" s="4"/>
      <c r="R2708" s="4"/>
      <c r="S2708" s="4"/>
      <c r="T2708" s="4"/>
      <c r="U2708" s="4"/>
      <c r="V2708" s="4"/>
      <c r="W2708" s="4"/>
      <c r="X2708" s="4"/>
    </row>
    <row r="2709" spans="17:24" x14ac:dyDescent="0.3">
      <c r="Q2709" s="4"/>
      <c r="R2709" s="4"/>
      <c r="S2709" s="4"/>
      <c r="T2709" s="4"/>
      <c r="U2709" s="4"/>
      <c r="V2709" s="4"/>
      <c r="W2709" s="4"/>
      <c r="X2709" s="4"/>
    </row>
    <row r="2710" spans="17:24" x14ac:dyDescent="0.3">
      <c r="Q2710" s="4"/>
      <c r="R2710" s="4"/>
      <c r="S2710" s="4"/>
      <c r="T2710" s="4"/>
      <c r="U2710" s="4"/>
      <c r="V2710" s="4"/>
      <c r="W2710" s="4"/>
      <c r="X2710" s="4"/>
    </row>
    <row r="2711" spans="17:24" x14ac:dyDescent="0.3">
      <c r="Q2711" s="4"/>
      <c r="R2711" s="4"/>
      <c r="S2711" s="4"/>
      <c r="T2711" s="4"/>
      <c r="U2711" s="4"/>
      <c r="V2711" s="4"/>
      <c r="W2711" s="4"/>
      <c r="X2711" s="4"/>
    </row>
    <row r="2712" spans="17:24" x14ac:dyDescent="0.3">
      <c r="Q2712" s="4"/>
      <c r="R2712" s="4"/>
      <c r="S2712" s="4"/>
      <c r="T2712" s="4"/>
      <c r="U2712" s="4"/>
      <c r="V2712" s="4"/>
      <c r="W2712" s="4"/>
      <c r="X2712" s="4"/>
    </row>
    <row r="2713" spans="17:24" x14ac:dyDescent="0.3">
      <c r="Q2713" s="4"/>
      <c r="R2713" s="4"/>
      <c r="S2713" s="4"/>
      <c r="T2713" s="4"/>
      <c r="U2713" s="4"/>
      <c r="V2713" s="4"/>
      <c r="W2713" s="4"/>
      <c r="X2713" s="4"/>
    </row>
    <row r="2714" spans="17:24" x14ac:dyDescent="0.3">
      <c r="Q2714" s="4"/>
      <c r="R2714" s="4"/>
      <c r="S2714" s="4"/>
      <c r="T2714" s="4"/>
      <c r="U2714" s="4"/>
      <c r="V2714" s="4"/>
      <c r="W2714" s="4"/>
      <c r="X2714" s="4"/>
    </row>
    <row r="2715" spans="17:24" x14ac:dyDescent="0.3">
      <c r="Q2715" s="4"/>
      <c r="R2715" s="4"/>
      <c r="S2715" s="4"/>
      <c r="T2715" s="4"/>
      <c r="U2715" s="4"/>
      <c r="V2715" s="4"/>
      <c r="W2715" s="4"/>
      <c r="X2715" s="4"/>
    </row>
    <row r="2716" spans="17:24" x14ac:dyDescent="0.3">
      <c r="Q2716" s="4"/>
      <c r="R2716" s="4"/>
      <c r="S2716" s="4"/>
      <c r="T2716" s="4"/>
      <c r="U2716" s="4"/>
      <c r="V2716" s="4"/>
      <c r="W2716" s="4"/>
      <c r="X2716" s="4"/>
    </row>
    <row r="2717" spans="17:24" x14ac:dyDescent="0.3">
      <c r="Q2717" s="4"/>
      <c r="R2717" s="4"/>
      <c r="S2717" s="4"/>
      <c r="T2717" s="4"/>
      <c r="U2717" s="4"/>
      <c r="V2717" s="4"/>
      <c r="W2717" s="4"/>
      <c r="X2717" s="4"/>
    </row>
    <row r="2718" spans="17:24" x14ac:dyDescent="0.3">
      <c r="Q2718" s="4"/>
      <c r="R2718" s="4"/>
      <c r="S2718" s="4"/>
      <c r="T2718" s="4"/>
      <c r="U2718" s="4"/>
      <c r="V2718" s="4"/>
      <c r="W2718" s="4"/>
      <c r="X2718" s="4"/>
    </row>
    <row r="2719" spans="17:24" x14ac:dyDescent="0.3">
      <c r="Q2719" s="4"/>
      <c r="R2719" s="4"/>
      <c r="S2719" s="4"/>
      <c r="T2719" s="4"/>
      <c r="U2719" s="4"/>
      <c r="V2719" s="4"/>
      <c r="W2719" s="4"/>
      <c r="X2719" s="4"/>
    </row>
    <row r="2720" spans="17:24" x14ac:dyDescent="0.3">
      <c r="Q2720" s="4"/>
      <c r="R2720" s="4"/>
      <c r="S2720" s="4"/>
      <c r="T2720" s="4"/>
      <c r="U2720" s="4"/>
      <c r="V2720" s="4"/>
      <c r="W2720" s="4"/>
      <c r="X2720" s="4"/>
    </row>
    <row r="2721" spans="17:24" x14ac:dyDescent="0.3">
      <c r="Q2721" s="4"/>
      <c r="R2721" s="4"/>
      <c r="S2721" s="4"/>
      <c r="T2721" s="4"/>
      <c r="U2721" s="4"/>
      <c r="V2721" s="4"/>
      <c r="W2721" s="4"/>
      <c r="X2721" s="4"/>
    </row>
    <row r="2722" spans="17:24" x14ac:dyDescent="0.3">
      <c r="Q2722" s="4"/>
      <c r="R2722" s="4"/>
      <c r="S2722" s="4"/>
      <c r="T2722" s="4"/>
      <c r="U2722" s="4"/>
      <c r="V2722" s="4"/>
      <c r="W2722" s="4"/>
      <c r="X2722" s="4"/>
    </row>
    <row r="2723" spans="17:24" x14ac:dyDescent="0.3">
      <c r="Q2723" s="4"/>
      <c r="R2723" s="4"/>
      <c r="S2723" s="4"/>
      <c r="T2723" s="4"/>
      <c r="U2723" s="4"/>
      <c r="V2723" s="4"/>
      <c r="W2723" s="4"/>
      <c r="X2723" s="4"/>
    </row>
    <row r="2724" spans="17:24" x14ac:dyDescent="0.3">
      <c r="Q2724" s="4"/>
      <c r="R2724" s="4"/>
      <c r="S2724" s="4"/>
      <c r="T2724" s="4"/>
      <c r="U2724" s="4"/>
      <c r="V2724" s="4"/>
      <c r="W2724" s="4"/>
      <c r="X2724" s="4"/>
    </row>
    <row r="2725" spans="17:24" x14ac:dyDescent="0.3">
      <c r="Q2725" s="4"/>
      <c r="R2725" s="4"/>
      <c r="S2725" s="4"/>
      <c r="T2725" s="4"/>
      <c r="U2725" s="4"/>
      <c r="V2725" s="4"/>
      <c r="W2725" s="4"/>
      <c r="X2725" s="4"/>
    </row>
    <row r="2726" spans="17:24" x14ac:dyDescent="0.3">
      <c r="Q2726" s="4"/>
      <c r="R2726" s="4"/>
      <c r="S2726" s="4"/>
      <c r="T2726" s="4"/>
      <c r="U2726" s="4"/>
      <c r="V2726" s="4"/>
      <c r="W2726" s="4"/>
      <c r="X2726" s="4"/>
    </row>
    <row r="2727" spans="17:24" x14ac:dyDescent="0.3">
      <c r="Q2727" s="4"/>
      <c r="R2727" s="4"/>
      <c r="S2727" s="4"/>
      <c r="T2727" s="4"/>
      <c r="U2727" s="4"/>
      <c r="V2727" s="4"/>
      <c r="W2727" s="4"/>
      <c r="X2727" s="4"/>
    </row>
    <row r="2728" spans="17:24" x14ac:dyDescent="0.3">
      <c r="Q2728" s="4"/>
      <c r="R2728" s="4"/>
      <c r="S2728" s="4"/>
      <c r="T2728" s="4"/>
      <c r="U2728" s="4"/>
      <c r="V2728" s="4"/>
      <c r="W2728" s="4"/>
      <c r="X2728" s="4"/>
    </row>
    <row r="2729" spans="17:24" x14ac:dyDescent="0.3">
      <c r="Q2729" s="4"/>
      <c r="R2729" s="4"/>
      <c r="S2729" s="4"/>
      <c r="T2729" s="4"/>
      <c r="U2729" s="4"/>
      <c r="V2729" s="4"/>
      <c r="W2729" s="4"/>
      <c r="X2729" s="4"/>
    </row>
    <row r="2730" spans="17:24" x14ac:dyDescent="0.3">
      <c r="Q2730" s="4"/>
      <c r="R2730" s="4"/>
      <c r="S2730" s="4"/>
      <c r="T2730" s="4"/>
      <c r="U2730" s="4"/>
      <c r="V2730" s="4"/>
      <c r="W2730" s="4"/>
      <c r="X2730" s="4"/>
    </row>
    <row r="2731" spans="17:24" x14ac:dyDescent="0.3">
      <c r="Q2731" s="4"/>
      <c r="R2731" s="4"/>
      <c r="S2731" s="4"/>
      <c r="T2731" s="4"/>
      <c r="U2731" s="4"/>
      <c r="V2731" s="4"/>
      <c r="W2731" s="4"/>
      <c r="X2731" s="4"/>
    </row>
    <row r="2732" spans="17:24" x14ac:dyDescent="0.3">
      <c r="Q2732" s="4"/>
      <c r="R2732" s="4"/>
      <c r="S2732" s="4"/>
      <c r="T2732" s="4"/>
      <c r="U2732" s="4"/>
      <c r="V2732" s="4"/>
      <c r="W2732" s="4"/>
      <c r="X2732" s="4"/>
    </row>
    <row r="2733" spans="17:24" x14ac:dyDescent="0.3">
      <c r="Q2733" s="4"/>
      <c r="R2733" s="4"/>
      <c r="S2733" s="4"/>
      <c r="T2733" s="4"/>
      <c r="U2733" s="4"/>
      <c r="V2733" s="4"/>
      <c r="W2733" s="4"/>
      <c r="X2733" s="4"/>
    </row>
    <row r="2734" spans="17:24" x14ac:dyDescent="0.3">
      <c r="Q2734" s="4"/>
      <c r="R2734" s="4"/>
      <c r="S2734" s="4"/>
      <c r="T2734" s="4"/>
      <c r="U2734" s="4"/>
      <c r="V2734" s="4"/>
      <c r="W2734" s="4"/>
      <c r="X2734" s="4"/>
    </row>
    <row r="2735" spans="17:24" x14ac:dyDescent="0.3">
      <c r="Q2735" s="4"/>
      <c r="R2735" s="4"/>
      <c r="S2735" s="4"/>
      <c r="T2735" s="4"/>
      <c r="U2735" s="4"/>
      <c r="V2735" s="4"/>
      <c r="W2735" s="4"/>
      <c r="X2735" s="4"/>
    </row>
    <row r="2736" spans="17:24" x14ac:dyDescent="0.3">
      <c r="Q2736" s="4"/>
      <c r="R2736" s="4"/>
      <c r="S2736" s="4"/>
      <c r="T2736" s="4"/>
      <c r="U2736" s="4"/>
      <c r="V2736" s="4"/>
      <c r="W2736" s="4"/>
      <c r="X2736" s="4"/>
    </row>
    <row r="2737" spans="17:24" x14ac:dyDescent="0.3">
      <c r="Q2737" s="4"/>
      <c r="R2737" s="4"/>
      <c r="S2737" s="4"/>
      <c r="T2737" s="4"/>
      <c r="U2737" s="4"/>
      <c r="V2737" s="4"/>
      <c r="W2737" s="4"/>
      <c r="X2737" s="4"/>
    </row>
    <row r="2738" spans="17:24" x14ac:dyDescent="0.3">
      <c r="Q2738" s="4"/>
      <c r="R2738" s="4"/>
      <c r="S2738" s="4"/>
      <c r="T2738" s="4"/>
      <c r="U2738" s="4"/>
      <c r="V2738" s="4"/>
      <c r="W2738" s="4"/>
      <c r="X2738" s="4"/>
    </row>
    <row r="2739" spans="17:24" x14ac:dyDescent="0.3">
      <c r="Q2739" s="4"/>
      <c r="R2739" s="4"/>
      <c r="S2739" s="4"/>
      <c r="T2739" s="4"/>
      <c r="U2739" s="4"/>
      <c r="V2739" s="4"/>
      <c r="W2739" s="4"/>
      <c r="X2739" s="4"/>
    </row>
    <row r="2740" spans="17:24" x14ac:dyDescent="0.3">
      <c r="Q2740" s="4"/>
      <c r="R2740" s="4"/>
      <c r="S2740" s="4"/>
      <c r="T2740" s="4"/>
      <c r="U2740" s="4"/>
      <c r="V2740" s="4"/>
      <c r="W2740" s="4"/>
      <c r="X2740" s="4"/>
    </row>
    <row r="2741" spans="17:24" x14ac:dyDescent="0.3">
      <c r="Q2741" s="4"/>
      <c r="R2741" s="4"/>
      <c r="S2741" s="4"/>
      <c r="T2741" s="4"/>
      <c r="U2741" s="4"/>
      <c r="V2741" s="4"/>
      <c r="W2741" s="4"/>
      <c r="X2741" s="4"/>
    </row>
    <row r="2742" spans="17:24" x14ac:dyDescent="0.3">
      <c r="Q2742" s="4"/>
      <c r="R2742" s="4"/>
      <c r="S2742" s="4"/>
      <c r="T2742" s="4"/>
      <c r="U2742" s="4"/>
      <c r="V2742" s="4"/>
      <c r="W2742" s="4"/>
      <c r="X2742" s="4"/>
    </row>
    <row r="2743" spans="17:24" x14ac:dyDescent="0.3">
      <c r="Q2743" s="4"/>
      <c r="R2743" s="4"/>
      <c r="S2743" s="4"/>
      <c r="T2743" s="4"/>
      <c r="U2743" s="4"/>
      <c r="V2743" s="4"/>
      <c r="W2743" s="4"/>
      <c r="X2743" s="4"/>
    </row>
    <row r="2744" spans="17:24" x14ac:dyDescent="0.3">
      <c r="Q2744" s="4"/>
      <c r="R2744" s="4"/>
      <c r="S2744" s="4"/>
      <c r="T2744" s="4"/>
      <c r="U2744" s="4"/>
      <c r="V2744" s="4"/>
      <c r="W2744" s="4"/>
      <c r="X2744" s="4"/>
    </row>
    <row r="2745" spans="17:24" x14ac:dyDescent="0.3">
      <c r="Q2745" s="4"/>
      <c r="R2745" s="4"/>
      <c r="S2745" s="4"/>
      <c r="T2745" s="4"/>
      <c r="U2745" s="4"/>
      <c r="V2745" s="4"/>
      <c r="W2745" s="4"/>
      <c r="X2745" s="4"/>
    </row>
    <row r="2746" spans="17:24" x14ac:dyDescent="0.3">
      <c r="Q2746" s="4"/>
      <c r="R2746" s="4"/>
      <c r="S2746" s="4"/>
      <c r="T2746" s="4"/>
      <c r="U2746" s="4"/>
      <c r="V2746" s="4"/>
      <c r="W2746" s="4"/>
      <c r="X2746" s="4"/>
    </row>
    <row r="2747" spans="17:24" x14ac:dyDescent="0.3">
      <c r="Q2747" s="4"/>
      <c r="R2747" s="4"/>
      <c r="S2747" s="4"/>
      <c r="T2747" s="4"/>
      <c r="U2747" s="4"/>
      <c r="V2747" s="4"/>
      <c r="W2747" s="4"/>
      <c r="X2747" s="4"/>
    </row>
    <row r="2748" spans="17:24" x14ac:dyDescent="0.3">
      <c r="Q2748" s="4"/>
      <c r="R2748" s="4"/>
      <c r="S2748" s="4"/>
      <c r="T2748" s="4"/>
      <c r="U2748" s="4"/>
      <c r="V2748" s="4"/>
      <c r="W2748" s="4"/>
      <c r="X2748" s="4"/>
    </row>
    <row r="2749" spans="17:24" x14ac:dyDescent="0.3">
      <c r="Q2749" s="4"/>
      <c r="R2749" s="4"/>
      <c r="S2749" s="4"/>
      <c r="T2749" s="4"/>
      <c r="U2749" s="4"/>
      <c r="V2749" s="4"/>
      <c r="W2749" s="4"/>
      <c r="X2749" s="4"/>
    </row>
    <row r="2750" spans="17:24" x14ac:dyDescent="0.3">
      <c r="Q2750" s="4"/>
      <c r="R2750" s="4"/>
      <c r="S2750" s="4"/>
      <c r="T2750" s="4"/>
      <c r="U2750" s="4"/>
      <c r="V2750" s="4"/>
      <c r="W2750" s="4"/>
      <c r="X2750" s="4"/>
    </row>
    <row r="2751" spans="17:24" x14ac:dyDescent="0.3">
      <c r="Q2751" s="4"/>
      <c r="R2751" s="4"/>
      <c r="S2751" s="4"/>
      <c r="T2751" s="4"/>
      <c r="U2751" s="4"/>
      <c r="V2751" s="4"/>
      <c r="W2751" s="4"/>
      <c r="X2751" s="4"/>
    </row>
    <row r="2752" spans="17:24" x14ac:dyDescent="0.3">
      <c r="Q2752" s="4"/>
      <c r="R2752" s="4"/>
      <c r="S2752" s="4"/>
      <c r="T2752" s="4"/>
      <c r="U2752" s="4"/>
      <c r="V2752" s="4"/>
      <c r="W2752" s="4"/>
      <c r="X2752" s="4"/>
    </row>
    <row r="2753" spans="17:24" x14ac:dyDescent="0.3">
      <c r="Q2753" s="4"/>
      <c r="R2753" s="4"/>
      <c r="S2753" s="4"/>
      <c r="T2753" s="4"/>
      <c r="U2753" s="4"/>
      <c r="V2753" s="4"/>
      <c r="W2753" s="4"/>
      <c r="X2753" s="4"/>
    </row>
    <row r="2754" spans="17:24" x14ac:dyDescent="0.3">
      <c r="Q2754" s="4"/>
      <c r="R2754" s="4"/>
      <c r="S2754" s="4"/>
      <c r="T2754" s="4"/>
      <c r="U2754" s="4"/>
      <c r="V2754" s="4"/>
      <c r="W2754" s="4"/>
      <c r="X2754" s="4"/>
    </row>
    <row r="2755" spans="17:24" x14ac:dyDescent="0.3">
      <c r="Q2755" s="4"/>
      <c r="R2755" s="4"/>
      <c r="S2755" s="4"/>
      <c r="T2755" s="4"/>
      <c r="U2755" s="4"/>
      <c r="V2755" s="4"/>
      <c r="W2755" s="4"/>
      <c r="X2755" s="4"/>
    </row>
    <row r="2756" spans="17:24" x14ac:dyDescent="0.3">
      <c r="Q2756" s="4"/>
      <c r="R2756" s="4"/>
      <c r="S2756" s="4"/>
      <c r="T2756" s="4"/>
      <c r="U2756" s="4"/>
      <c r="V2756" s="4"/>
      <c r="W2756" s="4"/>
      <c r="X2756" s="4"/>
    </row>
    <row r="2757" spans="17:24" x14ac:dyDescent="0.3">
      <c r="Q2757" s="4"/>
      <c r="R2757" s="4"/>
      <c r="S2757" s="4"/>
      <c r="T2757" s="4"/>
      <c r="U2757" s="4"/>
      <c r="V2757" s="4"/>
      <c r="W2757" s="4"/>
      <c r="X2757" s="4"/>
    </row>
    <row r="2758" spans="17:24" x14ac:dyDescent="0.3">
      <c r="Q2758" s="4"/>
      <c r="R2758" s="4"/>
      <c r="S2758" s="4"/>
      <c r="T2758" s="4"/>
      <c r="U2758" s="4"/>
      <c r="V2758" s="4"/>
      <c r="W2758" s="4"/>
      <c r="X2758" s="4"/>
    </row>
    <row r="2759" spans="17:24" x14ac:dyDescent="0.3">
      <c r="Q2759" s="4"/>
      <c r="R2759" s="4"/>
      <c r="S2759" s="4"/>
      <c r="T2759" s="4"/>
      <c r="U2759" s="4"/>
      <c r="V2759" s="4"/>
      <c r="W2759" s="4"/>
      <c r="X2759" s="4"/>
    </row>
    <row r="2760" spans="17:24" x14ac:dyDescent="0.3">
      <c r="Q2760" s="4"/>
      <c r="R2760" s="4"/>
      <c r="S2760" s="4"/>
      <c r="T2760" s="4"/>
      <c r="U2760" s="4"/>
      <c r="V2760" s="4"/>
      <c r="W2760" s="4"/>
      <c r="X2760" s="4"/>
    </row>
    <row r="2761" spans="17:24" x14ac:dyDescent="0.3">
      <c r="Q2761" s="4"/>
      <c r="R2761" s="4"/>
      <c r="S2761" s="4"/>
      <c r="T2761" s="4"/>
      <c r="U2761" s="4"/>
      <c r="V2761" s="4"/>
      <c r="W2761" s="4"/>
      <c r="X2761" s="4"/>
    </row>
    <row r="2762" spans="17:24" x14ac:dyDescent="0.3">
      <c r="Q2762" s="4"/>
      <c r="R2762" s="4"/>
      <c r="S2762" s="4"/>
      <c r="T2762" s="4"/>
      <c r="U2762" s="4"/>
      <c r="V2762" s="4"/>
      <c r="W2762" s="4"/>
      <c r="X2762" s="4"/>
    </row>
    <row r="2763" spans="17:24" x14ac:dyDescent="0.3">
      <c r="Q2763" s="4"/>
      <c r="R2763" s="4"/>
      <c r="S2763" s="4"/>
      <c r="T2763" s="4"/>
      <c r="U2763" s="4"/>
      <c r="V2763" s="4"/>
      <c r="W2763" s="4"/>
      <c r="X2763" s="4"/>
    </row>
    <row r="2764" spans="17:24" x14ac:dyDescent="0.3">
      <c r="Q2764" s="4"/>
      <c r="R2764" s="4"/>
      <c r="S2764" s="4"/>
      <c r="T2764" s="4"/>
      <c r="U2764" s="4"/>
      <c r="V2764" s="4"/>
      <c r="W2764" s="4"/>
      <c r="X2764" s="4"/>
    </row>
    <row r="2765" spans="17:24" x14ac:dyDescent="0.3">
      <c r="Q2765" s="4"/>
      <c r="R2765" s="4"/>
      <c r="S2765" s="4"/>
      <c r="T2765" s="4"/>
      <c r="U2765" s="4"/>
      <c r="V2765" s="4"/>
      <c r="W2765" s="4"/>
      <c r="X2765" s="4"/>
    </row>
    <row r="2766" spans="17:24" x14ac:dyDescent="0.3">
      <c r="Q2766" s="4"/>
      <c r="R2766" s="4"/>
      <c r="S2766" s="4"/>
      <c r="T2766" s="4"/>
      <c r="U2766" s="4"/>
      <c r="V2766" s="4"/>
      <c r="W2766" s="4"/>
      <c r="X2766" s="4"/>
    </row>
    <row r="2767" spans="17:24" x14ac:dyDescent="0.3">
      <c r="Q2767" s="4"/>
      <c r="R2767" s="4"/>
      <c r="S2767" s="4"/>
      <c r="T2767" s="4"/>
      <c r="U2767" s="4"/>
      <c r="V2767" s="4"/>
      <c r="W2767" s="4"/>
      <c r="X2767" s="4"/>
    </row>
    <row r="2768" spans="17:24" x14ac:dyDescent="0.3">
      <c r="Q2768" s="4"/>
      <c r="R2768" s="4"/>
      <c r="S2768" s="4"/>
      <c r="T2768" s="4"/>
      <c r="U2768" s="4"/>
      <c r="V2768" s="4"/>
      <c r="W2768" s="4"/>
      <c r="X2768" s="4"/>
    </row>
    <row r="2769" spans="17:24" x14ac:dyDescent="0.3">
      <c r="Q2769" s="4"/>
      <c r="R2769" s="4"/>
      <c r="S2769" s="4"/>
      <c r="T2769" s="4"/>
      <c r="U2769" s="4"/>
      <c r="V2769" s="4"/>
      <c r="W2769" s="4"/>
      <c r="X2769" s="4"/>
    </row>
    <row r="2770" spans="17:24" x14ac:dyDescent="0.3">
      <c r="Q2770" s="4"/>
      <c r="R2770" s="4"/>
      <c r="S2770" s="4"/>
      <c r="T2770" s="4"/>
      <c r="U2770" s="4"/>
      <c r="V2770" s="4"/>
      <c r="W2770" s="4"/>
      <c r="X2770" s="4"/>
    </row>
    <row r="2771" spans="17:24" x14ac:dyDescent="0.3">
      <c r="Q2771" s="4"/>
      <c r="R2771" s="4"/>
      <c r="S2771" s="4"/>
      <c r="T2771" s="4"/>
      <c r="U2771" s="4"/>
      <c r="V2771" s="4"/>
      <c r="W2771" s="4"/>
      <c r="X2771" s="4"/>
    </row>
    <row r="2772" spans="17:24" x14ac:dyDescent="0.3">
      <c r="Q2772" s="4"/>
      <c r="R2772" s="4"/>
      <c r="S2772" s="4"/>
      <c r="T2772" s="4"/>
      <c r="U2772" s="4"/>
      <c r="V2772" s="4"/>
      <c r="W2772" s="4"/>
      <c r="X2772" s="4"/>
    </row>
    <row r="2773" spans="17:24" x14ac:dyDescent="0.3">
      <c r="Q2773" s="4"/>
      <c r="R2773" s="4"/>
      <c r="S2773" s="4"/>
      <c r="T2773" s="4"/>
      <c r="U2773" s="4"/>
      <c r="V2773" s="4"/>
      <c r="W2773" s="4"/>
      <c r="X2773" s="4"/>
    </row>
    <row r="2774" spans="17:24" x14ac:dyDescent="0.3">
      <c r="Q2774" s="4"/>
      <c r="R2774" s="4"/>
      <c r="S2774" s="4"/>
      <c r="T2774" s="4"/>
      <c r="U2774" s="4"/>
      <c r="V2774" s="4"/>
      <c r="W2774" s="4"/>
      <c r="X2774" s="4"/>
    </row>
    <row r="2775" spans="17:24" x14ac:dyDescent="0.3">
      <c r="Q2775" s="4"/>
      <c r="R2775" s="4"/>
      <c r="S2775" s="4"/>
      <c r="T2775" s="4"/>
      <c r="U2775" s="4"/>
      <c r="V2775" s="4"/>
      <c r="W2775" s="4"/>
      <c r="X2775" s="4"/>
    </row>
    <row r="2776" spans="17:24" x14ac:dyDescent="0.3">
      <c r="Q2776" s="4"/>
      <c r="R2776" s="4"/>
      <c r="S2776" s="4"/>
      <c r="T2776" s="4"/>
      <c r="U2776" s="4"/>
      <c r="V2776" s="4"/>
      <c r="W2776" s="4"/>
      <c r="X2776" s="4"/>
    </row>
    <row r="2777" spans="17:24" x14ac:dyDescent="0.3">
      <c r="Q2777" s="4"/>
      <c r="R2777" s="4"/>
      <c r="S2777" s="4"/>
      <c r="T2777" s="4"/>
      <c r="U2777" s="4"/>
      <c r="V2777" s="4"/>
      <c r="W2777" s="4"/>
      <c r="X2777" s="4"/>
    </row>
    <row r="2778" spans="17:24" x14ac:dyDescent="0.3">
      <c r="Q2778" s="4"/>
      <c r="R2778" s="4"/>
      <c r="S2778" s="4"/>
      <c r="T2778" s="4"/>
      <c r="U2778" s="4"/>
      <c r="V2778" s="4"/>
      <c r="W2778" s="4"/>
      <c r="X2778" s="4"/>
    </row>
    <row r="2779" spans="17:24" x14ac:dyDescent="0.3">
      <c r="Q2779" s="4"/>
      <c r="R2779" s="4"/>
      <c r="S2779" s="4"/>
      <c r="T2779" s="4"/>
      <c r="U2779" s="4"/>
      <c r="V2779" s="4"/>
      <c r="W2779" s="4"/>
      <c r="X2779" s="4"/>
    </row>
    <row r="2780" spans="17:24" x14ac:dyDescent="0.3">
      <c r="Q2780" s="4"/>
      <c r="R2780" s="4"/>
      <c r="S2780" s="4"/>
      <c r="T2780" s="4"/>
      <c r="U2780" s="4"/>
      <c r="V2780" s="4"/>
      <c r="W2780" s="4"/>
      <c r="X2780" s="4"/>
    </row>
    <row r="2781" spans="17:24" x14ac:dyDescent="0.3">
      <c r="Q2781" s="4"/>
      <c r="R2781" s="4"/>
      <c r="S2781" s="4"/>
      <c r="T2781" s="4"/>
      <c r="U2781" s="4"/>
      <c r="V2781" s="4"/>
      <c r="W2781" s="4"/>
      <c r="X2781" s="4"/>
    </row>
    <row r="2782" spans="17:24" x14ac:dyDescent="0.3">
      <c r="Q2782" s="4"/>
      <c r="R2782" s="4"/>
      <c r="S2782" s="4"/>
      <c r="T2782" s="4"/>
      <c r="U2782" s="4"/>
      <c r="V2782" s="4"/>
      <c r="W2782" s="4"/>
      <c r="X2782" s="4"/>
    </row>
    <row r="2783" spans="17:24" x14ac:dyDescent="0.3">
      <c r="Q2783" s="4"/>
      <c r="R2783" s="4"/>
      <c r="S2783" s="4"/>
      <c r="T2783" s="4"/>
      <c r="U2783" s="4"/>
      <c r="V2783" s="4"/>
      <c r="W2783" s="4"/>
      <c r="X2783" s="4"/>
    </row>
    <row r="2784" spans="17:24" x14ac:dyDescent="0.3">
      <c r="Q2784" s="4"/>
      <c r="R2784" s="4"/>
      <c r="S2784" s="4"/>
      <c r="T2784" s="4"/>
      <c r="U2784" s="4"/>
      <c r="V2784" s="4"/>
      <c r="W2784" s="4"/>
      <c r="X2784" s="4"/>
    </row>
    <row r="2785" spans="17:24" x14ac:dyDescent="0.3">
      <c r="Q2785" s="4"/>
      <c r="R2785" s="4"/>
      <c r="S2785" s="4"/>
      <c r="T2785" s="4"/>
      <c r="U2785" s="4"/>
      <c r="V2785" s="4"/>
      <c r="W2785" s="4"/>
      <c r="X2785" s="4"/>
    </row>
    <row r="2786" spans="17:24" x14ac:dyDescent="0.3">
      <c r="Q2786" s="4"/>
      <c r="R2786" s="4"/>
      <c r="S2786" s="4"/>
      <c r="T2786" s="4"/>
      <c r="U2786" s="4"/>
      <c r="V2786" s="4"/>
      <c r="W2786" s="4"/>
      <c r="X2786" s="4"/>
    </row>
    <row r="2787" spans="17:24" x14ac:dyDescent="0.3">
      <c r="Q2787" s="4"/>
      <c r="R2787" s="4"/>
      <c r="S2787" s="4"/>
      <c r="T2787" s="4"/>
      <c r="U2787" s="4"/>
      <c r="V2787" s="4"/>
      <c r="W2787" s="4"/>
      <c r="X2787" s="4"/>
    </row>
    <row r="2788" spans="17:24" x14ac:dyDescent="0.3">
      <c r="Q2788" s="4"/>
      <c r="R2788" s="4"/>
      <c r="S2788" s="4"/>
      <c r="T2788" s="4"/>
      <c r="U2788" s="4"/>
      <c r="V2788" s="4"/>
      <c r="W2788" s="4"/>
      <c r="X2788" s="4"/>
    </row>
    <row r="2789" spans="17:24" x14ac:dyDescent="0.3">
      <c r="Q2789" s="4"/>
      <c r="R2789" s="4"/>
      <c r="S2789" s="4"/>
      <c r="T2789" s="4"/>
      <c r="U2789" s="4"/>
      <c r="V2789" s="4"/>
      <c r="W2789" s="4"/>
      <c r="X2789" s="4"/>
    </row>
    <row r="2790" spans="17:24" x14ac:dyDescent="0.3">
      <c r="Q2790" s="4"/>
      <c r="R2790" s="4"/>
      <c r="S2790" s="4"/>
      <c r="T2790" s="4"/>
      <c r="U2790" s="4"/>
      <c r="V2790" s="4"/>
      <c r="W2790" s="4"/>
      <c r="X2790" s="4"/>
    </row>
    <row r="2791" spans="17:24" x14ac:dyDescent="0.3">
      <c r="Q2791" s="4"/>
      <c r="R2791" s="4"/>
      <c r="S2791" s="4"/>
      <c r="T2791" s="4"/>
      <c r="U2791" s="4"/>
      <c r="V2791" s="4"/>
      <c r="W2791" s="4"/>
      <c r="X2791" s="4"/>
    </row>
    <row r="2792" spans="17:24" x14ac:dyDescent="0.3">
      <c r="Q2792" s="4"/>
      <c r="R2792" s="4"/>
      <c r="S2792" s="4"/>
      <c r="T2792" s="4"/>
      <c r="U2792" s="4"/>
      <c r="V2792" s="4"/>
      <c r="W2792" s="4"/>
      <c r="X2792" s="4"/>
    </row>
    <row r="2793" spans="17:24" x14ac:dyDescent="0.3">
      <c r="Q2793" s="4"/>
      <c r="R2793" s="4"/>
      <c r="S2793" s="4"/>
      <c r="T2793" s="4"/>
      <c r="U2793" s="4"/>
      <c r="V2793" s="4"/>
      <c r="W2793" s="4"/>
      <c r="X2793" s="4"/>
    </row>
    <row r="2794" spans="17:24" x14ac:dyDescent="0.3">
      <c r="Q2794" s="4"/>
      <c r="R2794" s="4"/>
      <c r="S2794" s="4"/>
      <c r="T2794" s="4"/>
      <c r="U2794" s="4"/>
      <c r="V2794" s="4"/>
      <c r="W2794" s="4"/>
      <c r="X2794" s="4"/>
    </row>
    <row r="2795" spans="17:24" x14ac:dyDescent="0.3">
      <c r="Q2795" s="4"/>
      <c r="R2795" s="4"/>
      <c r="S2795" s="4"/>
      <c r="T2795" s="4"/>
      <c r="U2795" s="4"/>
      <c r="V2795" s="4"/>
      <c r="W2795" s="4"/>
      <c r="X2795" s="4"/>
    </row>
    <row r="2796" spans="17:24" x14ac:dyDescent="0.3">
      <c r="Q2796" s="4"/>
      <c r="R2796" s="4"/>
      <c r="S2796" s="4"/>
      <c r="T2796" s="4"/>
      <c r="U2796" s="4"/>
      <c r="V2796" s="4"/>
      <c r="W2796" s="4"/>
      <c r="X2796" s="4"/>
    </row>
    <row r="2797" spans="17:24" x14ac:dyDescent="0.3">
      <c r="Q2797" s="4"/>
      <c r="R2797" s="4"/>
      <c r="S2797" s="4"/>
      <c r="T2797" s="4"/>
      <c r="U2797" s="4"/>
      <c r="V2797" s="4"/>
      <c r="W2797" s="4"/>
      <c r="X2797" s="4"/>
    </row>
    <row r="2798" spans="17:24" x14ac:dyDescent="0.3">
      <c r="Q2798" s="4"/>
      <c r="R2798" s="4"/>
      <c r="S2798" s="4"/>
      <c r="T2798" s="4"/>
      <c r="U2798" s="4"/>
      <c r="V2798" s="4"/>
      <c r="W2798" s="4"/>
      <c r="X2798" s="4"/>
    </row>
    <row r="2799" spans="17:24" x14ac:dyDescent="0.3">
      <c r="Q2799" s="4"/>
      <c r="R2799" s="4"/>
      <c r="S2799" s="4"/>
      <c r="T2799" s="4"/>
      <c r="U2799" s="4"/>
      <c r="V2799" s="4"/>
      <c r="W2799" s="4"/>
      <c r="X2799" s="4"/>
    </row>
    <row r="2800" spans="17:24" x14ac:dyDescent="0.3">
      <c r="Q2800" s="4"/>
      <c r="R2800" s="4"/>
      <c r="S2800" s="4"/>
      <c r="T2800" s="4"/>
      <c r="U2800" s="4"/>
      <c r="V2800" s="4"/>
      <c r="W2800" s="4"/>
      <c r="X2800" s="4"/>
    </row>
    <row r="2801" spans="17:24" x14ac:dyDescent="0.3">
      <c r="Q2801" s="4"/>
      <c r="R2801" s="4"/>
      <c r="S2801" s="4"/>
      <c r="T2801" s="4"/>
      <c r="U2801" s="4"/>
      <c r="V2801" s="4"/>
      <c r="W2801" s="4"/>
      <c r="X2801" s="4"/>
    </row>
    <row r="2802" spans="17:24" x14ac:dyDescent="0.3">
      <c r="Q2802" s="4"/>
      <c r="R2802" s="4"/>
      <c r="S2802" s="4"/>
      <c r="T2802" s="4"/>
      <c r="U2802" s="4"/>
      <c r="V2802" s="4"/>
      <c r="W2802" s="4"/>
      <c r="X2802" s="4"/>
    </row>
    <row r="2803" spans="17:24" x14ac:dyDescent="0.3">
      <c r="Q2803" s="4"/>
      <c r="R2803" s="4"/>
      <c r="S2803" s="4"/>
      <c r="T2803" s="4"/>
      <c r="U2803" s="4"/>
      <c r="V2803" s="4"/>
      <c r="W2803" s="4"/>
      <c r="X2803" s="4"/>
    </row>
    <row r="2804" spans="17:24" x14ac:dyDescent="0.3">
      <c r="Q2804" s="4"/>
      <c r="R2804" s="4"/>
      <c r="S2804" s="4"/>
      <c r="T2804" s="4"/>
      <c r="U2804" s="4"/>
      <c r="V2804" s="4"/>
      <c r="W2804" s="4"/>
      <c r="X2804" s="4"/>
    </row>
    <row r="2805" spans="17:24" x14ac:dyDescent="0.3">
      <c r="Q2805" s="4"/>
      <c r="R2805" s="4"/>
      <c r="S2805" s="4"/>
      <c r="T2805" s="4"/>
      <c r="U2805" s="4"/>
      <c r="V2805" s="4"/>
      <c r="W2805" s="4"/>
      <c r="X2805" s="4"/>
    </row>
    <row r="2806" spans="17:24" x14ac:dyDescent="0.3">
      <c r="Q2806" s="4"/>
      <c r="R2806" s="4"/>
      <c r="S2806" s="4"/>
      <c r="T2806" s="4"/>
      <c r="U2806" s="4"/>
      <c r="V2806" s="4"/>
      <c r="W2806" s="4"/>
      <c r="X2806" s="4"/>
    </row>
    <row r="2807" spans="17:24" x14ac:dyDescent="0.3">
      <c r="Q2807" s="4"/>
      <c r="R2807" s="4"/>
      <c r="S2807" s="4"/>
      <c r="T2807" s="4"/>
      <c r="U2807" s="4"/>
      <c r="V2807" s="4"/>
      <c r="W2807" s="4"/>
      <c r="X2807" s="4"/>
    </row>
    <row r="2808" spans="17:24" x14ac:dyDescent="0.3">
      <c r="Q2808" s="4"/>
      <c r="R2808" s="4"/>
      <c r="S2808" s="4"/>
      <c r="T2808" s="4"/>
      <c r="U2808" s="4"/>
      <c r="V2808" s="4"/>
      <c r="W2808" s="4"/>
      <c r="X2808" s="4"/>
    </row>
    <row r="2809" spans="17:24" x14ac:dyDescent="0.3">
      <c r="Q2809" s="4"/>
      <c r="R2809" s="4"/>
      <c r="S2809" s="4"/>
      <c r="T2809" s="4"/>
      <c r="U2809" s="4"/>
      <c r="V2809" s="4"/>
      <c r="W2809" s="4"/>
      <c r="X2809" s="4"/>
    </row>
    <row r="2810" spans="17:24" x14ac:dyDescent="0.3">
      <c r="Q2810" s="4"/>
      <c r="R2810" s="4"/>
      <c r="S2810" s="4"/>
      <c r="T2810" s="4"/>
      <c r="U2810" s="4"/>
      <c r="V2810" s="4"/>
      <c r="W2810" s="4"/>
      <c r="X2810" s="4"/>
    </row>
    <row r="2811" spans="17:24" x14ac:dyDescent="0.3">
      <c r="Q2811" s="4"/>
      <c r="R2811" s="4"/>
      <c r="S2811" s="4"/>
      <c r="T2811" s="4"/>
      <c r="U2811" s="4"/>
      <c r="V2811" s="4"/>
      <c r="W2811" s="4"/>
      <c r="X2811" s="4"/>
    </row>
    <row r="2812" spans="17:24" x14ac:dyDescent="0.3">
      <c r="Q2812" s="4"/>
      <c r="R2812" s="4"/>
      <c r="S2812" s="4"/>
      <c r="T2812" s="4"/>
      <c r="U2812" s="4"/>
      <c r="V2812" s="4"/>
      <c r="W2812" s="4"/>
      <c r="X2812" s="4"/>
    </row>
    <row r="2813" spans="17:24" x14ac:dyDescent="0.3">
      <c r="Q2813" s="4"/>
      <c r="R2813" s="4"/>
      <c r="S2813" s="4"/>
      <c r="T2813" s="4"/>
      <c r="U2813" s="4"/>
      <c r="V2813" s="4"/>
      <c r="W2813" s="4"/>
      <c r="X2813" s="4"/>
    </row>
    <row r="2814" spans="17:24" x14ac:dyDescent="0.3">
      <c r="Q2814" s="4"/>
      <c r="R2814" s="4"/>
      <c r="S2814" s="4"/>
      <c r="T2814" s="4"/>
      <c r="U2814" s="4"/>
      <c r="V2814" s="4"/>
      <c r="W2814" s="4"/>
      <c r="X2814" s="4"/>
    </row>
    <row r="2815" spans="17:24" x14ac:dyDescent="0.3">
      <c r="Q2815" s="4"/>
      <c r="R2815" s="4"/>
      <c r="S2815" s="4"/>
      <c r="T2815" s="4"/>
      <c r="U2815" s="4"/>
      <c r="V2815" s="4"/>
      <c r="W2815" s="4"/>
      <c r="X2815" s="4"/>
    </row>
    <row r="2816" spans="17:24" x14ac:dyDescent="0.3">
      <c r="Q2816" s="4"/>
      <c r="R2816" s="4"/>
      <c r="S2816" s="4"/>
      <c r="T2816" s="4"/>
      <c r="U2816" s="4"/>
      <c r="V2816" s="4"/>
      <c r="W2816" s="4"/>
      <c r="X2816" s="4"/>
    </row>
    <row r="2817" spans="17:24" x14ac:dyDescent="0.3">
      <c r="Q2817" s="4"/>
      <c r="R2817" s="4"/>
      <c r="S2817" s="4"/>
      <c r="T2817" s="4"/>
      <c r="U2817" s="4"/>
      <c r="V2817" s="4"/>
      <c r="W2817" s="4"/>
      <c r="X2817" s="4"/>
    </row>
    <row r="2818" spans="17:24" x14ac:dyDescent="0.3">
      <c r="Q2818" s="4"/>
      <c r="R2818" s="4"/>
      <c r="S2818" s="4"/>
      <c r="T2818" s="4"/>
      <c r="U2818" s="4"/>
      <c r="V2818" s="4"/>
      <c r="W2818" s="4"/>
      <c r="X2818" s="4"/>
    </row>
    <row r="2819" spans="17:24" x14ac:dyDescent="0.3">
      <c r="Q2819" s="4"/>
      <c r="R2819" s="4"/>
      <c r="S2819" s="4"/>
      <c r="T2819" s="4"/>
      <c r="U2819" s="4"/>
      <c r="V2819" s="4"/>
      <c r="W2819" s="4"/>
      <c r="X2819" s="4"/>
    </row>
    <row r="2820" spans="17:24" x14ac:dyDescent="0.3">
      <c r="Q2820" s="4"/>
      <c r="R2820" s="4"/>
      <c r="S2820" s="4"/>
      <c r="T2820" s="4"/>
      <c r="U2820" s="4"/>
      <c r="V2820" s="4"/>
      <c r="W2820" s="4"/>
      <c r="X2820" s="4"/>
    </row>
    <row r="2821" spans="17:24" x14ac:dyDescent="0.3">
      <c r="Q2821" s="4"/>
      <c r="R2821" s="4"/>
      <c r="S2821" s="4"/>
      <c r="T2821" s="4"/>
      <c r="U2821" s="4"/>
      <c r="V2821" s="4"/>
      <c r="W2821" s="4"/>
      <c r="X2821" s="4"/>
    </row>
    <row r="2822" spans="17:24" x14ac:dyDescent="0.3">
      <c r="Q2822" s="4"/>
      <c r="R2822" s="4"/>
      <c r="S2822" s="4"/>
      <c r="T2822" s="4"/>
      <c r="U2822" s="4"/>
      <c r="V2822" s="4"/>
      <c r="W2822" s="4"/>
      <c r="X2822" s="4"/>
    </row>
    <row r="2823" spans="17:24" x14ac:dyDescent="0.3">
      <c r="Q2823" s="4"/>
      <c r="R2823" s="4"/>
      <c r="S2823" s="4"/>
      <c r="T2823" s="4"/>
      <c r="U2823" s="4"/>
      <c r="V2823" s="4"/>
      <c r="W2823" s="4"/>
      <c r="X2823" s="4"/>
    </row>
    <row r="2824" spans="17:24" x14ac:dyDescent="0.3">
      <c r="Q2824" s="4"/>
      <c r="R2824" s="4"/>
      <c r="S2824" s="4"/>
      <c r="T2824" s="4"/>
      <c r="U2824" s="4"/>
      <c r="V2824" s="4"/>
      <c r="W2824" s="4"/>
      <c r="X2824" s="4"/>
    </row>
    <row r="2825" spans="17:24" x14ac:dyDescent="0.3">
      <c r="Q2825" s="4"/>
      <c r="R2825" s="4"/>
      <c r="S2825" s="4"/>
      <c r="T2825" s="4"/>
      <c r="U2825" s="4"/>
      <c r="V2825" s="4"/>
      <c r="W2825" s="4"/>
      <c r="X2825" s="4"/>
    </row>
    <row r="2826" spans="17:24" x14ac:dyDescent="0.3">
      <c r="Q2826" s="4"/>
      <c r="R2826" s="4"/>
      <c r="S2826" s="4"/>
      <c r="T2826" s="4"/>
      <c r="U2826" s="4"/>
      <c r="V2826" s="4"/>
      <c r="W2826" s="4"/>
      <c r="X2826" s="4"/>
    </row>
    <row r="2827" spans="17:24" x14ac:dyDescent="0.3">
      <c r="Q2827" s="4"/>
      <c r="R2827" s="4"/>
      <c r="S2827" s="4"/>
      <c r="T2827" s="4"/>
      <c r="U2827" s="4"/>
      <c r="V2827" s="4"/>
      <c r="W2827" s="4"/>
      <c r="X2827" s="4"/>
    </row>
    <row r="2828" spans="17:24" x14ac:dyDescent="0.3">
      <c r="Q2828" s="4"/>
      <c r="R2828" s="4"/>
      <c r="S2828" s="4"/>
      <c r="T2828" s="4"/>
      <c r="U2828" s="4"/>
      <c r="V2828" s="4"/>
      <c r="W2828" s="4"/>
      <c r="X2828" s="4"/>
    </row>
    <row r="2829" spans="17:24" x14ac:dyDescent="0.3">
      <c r="Q2829" s="4"/>
      <c r="R2829" s="4"/>
      <c r="S2829" s="4"/>
      <c r="T2829" s="4"/>
      <c r="U2829" s="4"/>
      <c r="V2829" s="4"/>
      <c r="W2829" s="4"/>
      <c r="X2829" s="4"/>
    </row>
    <row r="2830" spans="17:24" x14ac:dyDescent="0.3">
      <c r="Q2830" s="4"/>
      <c r="R2830" s="4"/>
      <c r="S2830" s="4"/>
      <c r="T2830" s="4"/>
      <c r="U2830" s="4"/>
      <c r="V2830" s="4"/>
      <c r="W2830" s="4"/>
      <c r="X2830" s="4"/>
    </row>
    <row r="2831" spans="17:24" x14ac:dyDescent="0.3">
      <c r="Q2831" s="4"/>
      <c r="R2831" s="4"/>
      <c r="S2831" s="4"/>
      <c r="T2831" s="4"/>
      <c r="U2831" s="4"/>
      <c r="V2831" s="4"/>
      <c r="W2831" s="4"/>
      <c r="X2831" s="4"/>
    </row>
    <row r="2832" spans="17:24" x14ac:dyDescent="0.3">
      <c r="Q2832" s="4"/>
      <c r="R2832" s="4"/>
      <c r="S2832" s="4"/>
      <c r="T2832" s="4"/>
      <c r="U2832" s="4"/>
      <c r="V2832" s="4"/>
      <c r="W2832" s="4"/>
      <c r="X2832" s="4"/>
    </row>
    <row r="2833" spans="17:24" x14ac:dyDescent="0.3">
      <c r="Q2833" s="4"/>
      <c r="R2833" s="4"/>
      <c r="S2833" s="4"/>
      <c r="T2833" s="4"/>
      <c r="U2833" s="4"/>
      <c r="V2833" s="4"/>
      <c r="W2833" s="4"/>
      <c r="X2833" s="4"/>
    </row>
    <row r="2834" spans="17:24" x14ac:dyDescent="0.3">
      <c r="Q2834" s="4"/>
      <c r="R2834" s="4"/>
      <c r="S2834" s="4"/>
      <c r="T2834" s="4"/>
      <c r="U2834" s="4"/>
      <c r="V2834" s="4"/>
      <c r="W2834" s="4"/>
      <c r="X2834" s="4"/>
    </row>
    <row r="2835" spans="17:24" x14ac:dyDescent="0.3">
      <c r="Q2835" s="4"/>
      <c r="R2835" s="4"/>
      <c r="S2835" s="4"/>
      <c r="T2835" s="4"/>
      <c r="U2835" s="4"/>
      <c r="V2835" s="4"/>
      <c r="W2835" s="4"/>
      <c r="X2835" s="4"/>
    </row>
    <row r="2836" spans="17:24" x14ac:dyDescent="0.3">
      <c r="Q2836" s="4"/>
      <c r="R2836" s="4"/>
      <c r="S2836" s="4"/>
      <c r="T2836" s="4"/>
      <c r="U2836" s="4"/>
      <c r="V2836" s="4"/>
      <c r="W2836" s="4"/>
      <c r="X2836" s="4"/>
    </row>
    <row r="2837" spans="17:24" x14ac:dyDescent="0.3">
      <c r="Q2837" s="4"/>
      <c r="R2837" s="4"/>
      <c r="S2837" s="4"/>
      <c r="T2837" s="4"/>
      <c r="U2837" s="4"/>
      <c r="V2837" s="4"/>
      <c r="W2837" s="4"/>
      <c r="X2837" s="4"/>
    </row>
    <row r="2838" spans="17:24" x14ac:dyDescent="0.3">
      <c r="Q2838" s="4"/>
      <c r="R2838" s="4"/>
      <c r="S2838" s="4"/>
      <c r="T2838" s="4"/>
      <c r="U2838" s="4"/>
      <c r="V2838" s="4"/>
      <c r="W2838" s="4"/>
      <c r="X2838" s="4"/>
    </row>
    <row r="2839" spans="17:24" x14ac:dyDescent="0.3">
      <c r="Q2839" s="4"/>
      <c r="R2839" s="4"/>
      <c r="S2839" s="4"/>
      <c r="T2839" s="4"/>
      <c r="U2839" s="4"/>
      <c r="V2839" s="4"/>
      <c r="W2839" s="4"/>
      <c r="X2839" s="4"/>
    </row>
    <row r="2840" spans="17:24" x14ac:dyDescent="0.3">
      <c r="Q2840" s="4"/>
      <c r="R2840" s="4"/>
      <c r="S2840" s="4"/>
      <c r="T2840" s="4"/>
      <c r="U2840" s="4"/>
      <c r="V2840" s="4"/>
      <c r="W2840" s="4"/>
      <c r="X2840" s="4"/>
    </row>
    <row r="2841" spans="17:24" x14ac:dyDescent="0.3">
      <c r="Q2841" s="4"/>
      <c r="R2841" s="4"/>
      <c r="S2841" s="4"/>
      <c r="T2841" s="4"/>
      <c r="U2841" s="4"/>
      <c r="V2841" s="4"/>
      <c r="W2841" s="4"/>
      <c r="X2841" s="4"/>
    </row>
    <row r="2842" spans="17:24" x14ac:dyDescent="0.3">
      <c r="Q2842" s="4"/>
      <c r="R2842" s="4"/>
      <c r="S2842" s="4"/>
      <c r="T2842" s="4"/>
      <c r="U2842" s="4"/>
      <c r="V2842" s="4"/>
      <c r="W2842" s="4"/>
      <c r="X2842" s="4"/>
    </row>
    <row r="2843" spans="17:24" x14ac:dyDescent="0.3">
      <c r="Q2843" s="4"/>
      <c r="R2843" s="4"/>
      <c r="S2843" s="4"/>
      <c r="T2843" s="4"/>
      <c r="U2843" s="4"/>
      <c r="V2843" s="4"/>
      <c r="W2843" s="4"/>
      <c r="X2843" s="4"/>
    </row>
    <row r="2844" spans="17:24" x14ac:dyDescent="0.3">
      <c r="Q2844" s="4"/>
      <c r="R2844" s="4"/>
      <c r="S2844" s="4"/>
      <c r="T2844" s="4"/>
      <c r="U2844" s="4"/>
      <c r="V2844" s="4"/>
      <c r="W2844" s="4"/>
      <c r="X2844" s="4"/>
    </row>
    <row r="2845" spans="17:24" x14ac:dyDescent="0.3">
      <c r="Q2845" s="4"/>
      <c r="R2845" s="4"/>
      <c r="S2845" s="4"/>
      <c r="T2845" s="4"/>
      <c r="U2845" s="4"/>
      <c r="V2845" s="4"/>
      <c r="W2845" s="4"/>
      <c r="X2845" s="4"/>
    </row>
    <row r="2846" spans="17:24" x14ac:dyDescent="0.3">
      <c r="Q2846" s="4"/>
      <c r="R2846" s="4"/>
      <c r="S2846" s="4"/>
      <c r="T2846" s="4"/>
      <c r="U2846" s="4"/>
      <c r="V2846" s="4"/>
      <c r="W2846" s="4"/>
      <c r="X2846" s="4"/>
    </row>
    <row r="2847" spans="17:24" x14ac:dyDescent="0.3">
      <c r="Q2847" s="4"/>
      <c r="R2847" s="4"/>
      <c r="S2847" s="4"/>
      <c r="T2847" s="4"/>
      <c r="U2847" s="4"/>
      <c r="V2847" s="4"/>
      <c r="W2847" s="4"/>
      <c r="X2847" s="4"/>
    </row>
    <row r="2848" spans="17:24" x14ac:dyDescent="0.3">
      <c r="Q2848" s="4"/>
      <c r="R2848" s="4"/>
      <c r="S2848" s="4"/>
      <c r="T2848" s="4"/>
      <c r="U2848" s="4"/>
      <c r="V2848" s="4"/>
      <c r="W2848" s="4"/>
      <c r="X2848" s="4"/>
    </row>
    <row r="2849" spans="17:24" x14ac:dyDescent="0.3">
      <c r="Q2849" s="4"/>
      <c r="R2849" s="4"/>
      <c r="S2849" s="4"/>
      <c r="T2849" s="4"/>
      <c r="U2849" s="4"/>
      <c r="V2849" s="4"/>
      <c r="W2849" s="4"/>
      <c r="X2849" s="4"/>
    </row>
    <row r="2850" spans="17:24" x14ac:dyDescent="0.3">
      <c r="Q2850" s="4"/>
      <c r="R2850" s="4"/>
      <c r="S2850" s="4"/>
      <c r="T2850" s="4"/>
      <c r="U2850" s="4"/>
      <c r="V2850" s="4"/>
      <c r="W2850" s="4"/>
      <c r="X2850" s="4"/>
    </row>
    <row r="2851" spans="17:24" x14ac:dyDescent="0.3">
      <c r="Q2851" s="4"/>
      <c r="R2851" s="4"/>
      <c r="S2851" s="4"/>
      <c r="T2851" s="4"/>
      <c r="U2851" s="4"/>
      <c r="V2851" s="4"/>
      <c r="W2851" s="4"/>
      <c r="X2851" s="4"/>
    </row>
    <row r="2852" spans="17:24" x14ac:dyDescent="0.3">
      <c r="Q2852" s="4"/>
      <c r="R2852" s="4"/>
      <c r="S2852" s="4"/>
      <c r="T2852" s="4"/>
      <c r="U2852" s="4"/>
      <c r="V2852" s="4"/>
      <c r="W2852" s="4"/>
      <c r="X2852" s="4"/>
    </row>
    <row r="2853" spans="17:24" x14ac:dyDescent="0.3">
      <c r="Q2853" s="4"/>
      <c r="R2853" s="4"/>
      <c r="S2853" s="4"/>
      <c r="T2853" s="4"/>
      <c r="U2853" s="4"/>
      <c r="V2853" s="4"/>
      <c r="W2853" s="4"/>
      <c r="X2853" s="4"/>
    </row>
    <row r="2854" spans="17:24" x14ac:dyDescent="0.3">
      <c r="Q2854" s="4"/>
      <c r="R2854" s="4"/>
      <c r="S2854" s="4"/>
      <c r="T2854" s="4"/>
      <c r="U2854" s="4"/>
      <c r="V2854" s="4"/>
      <c r="W2854" s="4"/>
      <c r="X2854" s="4"/>
    </row>
    <row r="2855" spans="17:24" x14ac:dyDescent="0.3">
      <c r="Q2855" s="4"/>
      <c r="R2855" s="4"/>
      <c r="S2855" s="4"/>
      <c r="T2855" s="4"/>
      <c r="U2855" s="4"/>
      <c r="V2855" s="4"/>
      <c r="W2855" s="4"/>
      <c r="X2855" s="4"/>
    </row>
    <row r="2856" spans="17:24" x14ac:dyDescent="0.3">
      <c r="Q2856" s="4"/>
      <c r="R2856" s="4"/>
      <c r="S2856" s="4"/>
      <c r="T2856" s="4"/>
      <c r="U2856" s="4"/>
      <c r="V2856" s="4"/>
      <c r="W2856" s="4"/>
      <c r="X2856" s="4"/>
    </row>
    <row r="2857" spans="17:24" x14ac:dyDescent="0.3">
      <c r="Q2857" s="4"/>
      <c r="R2857" s="4"/>
      <c r="S2857" s="4"/>
      <c r="T2857" s="4"/>
      <c r="U2857" s="4"/>
      <c r="V2857" s="4"/>
      <c r="W2857" s="4"/>
      <c r="X2857" s="4"/>
    </row>
    <row r="2858" spans="17:24" x14ac:dyDescent="0.3">
      <c r="Q2858" s="4"/>
      <c r="R2858" s="4"/>
      <c r="S2858" s="4"/>
      <c r="T2858" s="4"/>
      <c r="U2858" s="4"/>
      <c r="V2858" s="4"/>
      <c r="W2858" s="4"/>
      <c r="X2858" s="4"/>
    </row>
    <row r="2859" spans="17:24" x14ac:dyDescent="0.3">
      <c r="Q2859" s="4"/>
      <c r="R2859" s="4"/>
      <c r="S2859" s="4"/>
      <c r="T2859" s="4"/>
      <c r="U2859" s="4"/>
      <c r="V2859" s="4"/>
      <c r="W2859" s="4"/>
      <c r="X2859" s="4"/>
    </row>
    <row r="2860" spans="17:24" x14ac:dyDescent="0.3">
      <c r="Q2860" s="4"/>
      <c r="R2860" s="4"/>
      <c r="S2860" s="4"/>
      <c r="T2860" s="4"/>
      <c r="U2860" s="4"/>
      <c r="V2860" s="4"/>
      <c r="W2860" s="4"/>
      <c r="X2860" s="4"/>
    </row>
    <row r="2861" spans="17:24" x14ac:dyDescent="0.3">
      <c r="Q2861" s="4"/>
      <c r="R2861" s="4"/>
      <c r="S2861" s="4"/>
      <c r="T2861" s="4"/>
      <c r="U2861" s="4"/>
      <c r="V2861" s="4"/>
      <c r="W2861" s="4"/>
      <c r="X2861" s="4"/>
    </row>
    <row r="2862" spans="17:24" x14ac:dyDescent="0.3">
      <c r="Q2862" s="4"/>
      <c r="R2862" s="4"/>
      <c r="S2862" s="4"/>
      <c r="T2862" s="4"/>
      <c r="U2862" s="4"/>
      <c r="V2862" s="4"/>
      <c r="W2862" s="4"/>
      <c r="X2862" s="4"/>
    </row>
    <row r="2863" spans="17:24" x14ac:dyDescent="0.3">
      <c r="Q2863" s="4"/>
      <c r="R2863" s="4"/>
      <c r="S2863" s="4"/>
      <c r="T2863" s="4"/>
      <c r="U2863" s="4"/>
      <c r="V2863" s="4"/>
      <c r="W2863" s="4"/>
      <c r="X2863" s="4"/>
    </row>
    <row r="2864" spans="17:24" x14ac:dyDescent="0.3">
      <c r="Q2864" s="4"/>
      <c r="R2864" s="4"/>
      <c r="S2864" s="4"/>
      <c r="T2864" s="4"/>
      <c r="U2864" s="4"/>
      <c r="V2864" s="4"/>
      <c r="W2864" s="4"/>
      <c r="X2864" s="4"/>
    </row>
    <row r="2865" spans="17:24" x14ac:dyDescent="0.3">
      <c r="Q2865" s="4"/>
      <c r="R2865" s="4"/>
      <c r="S2865" s="4"/>
      <c r="T2865" s="4"/>
      <c r="U2865" s="4"/>
      <c r="V2865" s="4"/>
      <c r="W2865" s="4"/>
      <c r="X2865" s="4"/>
    </row>
    <row r="2866" spans="17:24" x14ac:dyDescent="0.3">
      <c r="Q2866" s="4"/>
      <c r="R2866" s="4"/>
      <c r="S2866" s="4"/>
      <c r="T2866" s="4"/>
      <c r="U2866" s="4"/>
      <c r="V2866" s="4"/>
      <c r="W2866" s="4"/>
      <c r="X2866" s="4"/>
    </row>
    <row r="2867" spans="17:24" x14ac:dyDescent="0.3">
      <c r="Q2867" s="4"/>
      <c r="R2867" s="4"/>
      <c r="S2867" s="4"/>
      <c r="T2867" s="4"/>
      <c r="U2867" s="4"/>
      <c r="V2867" s="4"/>
      <c r="W2867" s="4"/>
      <c r="X2867" s="4"/>
    </row>
    <row r="2868" spans="17:24" x14ac:dyDescent="0.3">
      <c r="Q2868" s="4"/>
      <c r="R2868" s="4"/>
      <c r="S2868" s="4"/>
      <c r="T2868" s="4"/>
      <c r="U2868" s="4"/>
      <c r="V2868" s="4"/>
      <c r="W2868" s="4"/>
      <c r="X2868" s="4"/>
    </row>
    <row r="2869" spans="17:24" x14ac:dyDescent="0.3">
      <c r="Q2869" s="4"/>
      <c r="R2869" s="4"/>
      <c r="S2869" s="4"/>
      <c r="T2869" s="4"/>
      <c r="U2869" s="4"/>
      <c r="V2869" s="4"/>
      <c r="W2869" s="4"/>
      <c r="X2869" s="4"/>
    </row>
    <row r="2870" spans="17:24" x14ac:dyDescent="0.3">
      <c r="Q2870" s="4"/>
      <c r="R2870" s="4"/>
      <c r="S2870" s="4"/>
      <c r="T2870" s="4"/>
      <c r="U2870" s="4"/>
      <c r="V2870" s="4"/>
      <c r="W2870" s="4"/>
      <c r="X2870" s="4"/>
    </row>
    <row r="2871" spans="17:24" x14ac:dyDescent="0.3">
      <c r="Q2871" s="4"/>
      <c r="R2871" s="4"/>
      <c r="S2871" s="4"/>
      <c r="T2871" s="4"/>
      <c r="U2871" s="4"/>
      <c r="V2871" s="4"/>
      <c r="W2871" s="4"/>
      <c r="X2871" s="4"/>
    </row>
    <row r="2872" spans="17:24" x14ac:dyDescent="0.3">
      <c r="Q2872" s="4"/>
      <c r="R2872" s="4"/>
      <c r="S2872" s="4"/>
      <c r="T2872" s="4"/>
      <c r="U2872" s="4"/>
      <c r="V2872" s="4"/>
      <c r="W2872" s="4"/>
      <c r="X2872" s="4"/>
    </row>
    <row r="2873" spans="17:24" x14ac:dyDescent="0.3">
      <c r="Q2873" s="4"/>
      <c r="R2873" s="4"/>
      <c r="S2873" s="4"/>
      <c r="T2873" s="4"/>
      <c r="U2873" s="4"/>
      <c r="V2873" s="4"/>
      <c r="W2873" s="4"/>
      <c r="X2873" s="4"/>
    </row>
    <row r="2874" spans="17:24" x14ac:dyDescent="0.3">
      <c r="Q2874" s="4"/>
      <c r="R2874" s="4"/>
      <c r="S2874" s="4"/>
      <c r="T2874" s="4"/>
      <c r="U2874" s="4"/>
      <c r="V2874" s="4"/>
      <c r="W2874" s="4"/>
      <c r="X2874" s="4"/>
    </row>
    <row r="2875" spans="17:24" x14ac:dyDescent="0.3">
      <c r="Q2875" s="4"/>
      <c r="R2875" s="4"/>
      <c r="S2875" s="4"/>
      <c r="T2875" s="4"/>
      <c r="U2875" s="4"/>
      <c r="V2875" s="4"/>
      <c r="W2875" s="4"/>
      <c r="X2875" s="4"/>
    </row>
    <row r="2876" spans="17:24" x14ac:dyDescent="0.3">
      <c r="Q2876" s="4"/>
      <c r="R2876" s="4"/>
      <c r="S2876" s="4"/>
      <c r="T2876" s="4"/>
      <c r="U2876" s="4"/>
      <c r="V2876" s="4"/>
      <c r="W2876" s="4"/>
      <c r="X2876" s="4"/>
    </row>
    <row r="2877" spans="17:24" x14ac:dyDescent="0.3">
      <c r="Q2877" s="4"/>
      <c r="R2877" s="4"/>
      <c r="S2877" s="4"/>
      <c r="T2877" s="4"/>
      <c r="U2877" s="4"/>
      <c r="V2877" s="4"/>
      <c r="W2877" s="4"/>
      <c r="X2877" s="4"/>
    </row>
    <row r="2878" spans="17:24" x14ac:dyDescent="0.3">
      <c r="Q2878" s="4"/>
      <c r="R2878" s="4"/>
      <c r="S2878" s="4"/>
      <c r="T2878" s="4"/>
      <c r="U2878" s="4"/>
      <c r="V2878" s="4"/>
      <c r="W2878" s="4"/>
      <c r="X2878" s="4"/>
    </row>
    <row r="2879" spans="17:24" x14ac:dyDescent="0.3">
      <c r="Q2879" s="4"/>
      <c r="R2879" s="4"/>
      <c r="S2879" s="4"/>
      <c r="T2879" s="4"/>
      <c r="U2879" s="4"/>
      <c r="V2879" s="4"/>
      <c r="W2879" s="4"/>
      <c r="X2879" s="4"/>
    </row>
    <row r="2880" spans="17:24" x14ac:dyDescent="0.3">
      <c r="Q2880" s="4"/>
      <c r="R2880" s="4"/>
      <c r="S2880" s="4"/>
      <c r="T2880" s="4"/>
      <c r="U2880" s="4"/>
      <c r="V2880" s="4"/>
      <c r="W2880" s="4"/>
      <c r="X2880" s="4"/>
    </row>
    <row r="2881" spans="17:24" x14ac:dyDescent="0.3">
      <c r="Q2881" s="4"/>
      <c r="R2881" s="4"/>
      <c r="S2881" s="4"/>
      <c r="T2881" s="4"/>
      <c r="U2881" s="4"/>
      <c r="V2881" s="4"/>
      <c r="W2881" s="4"/>
      <c r="X2881" s="4"/>
    </row>
    <row r="2882" spans="17:24" x14ac:dyDescent="0.3">
      <c r="Q2882" s="4"/>
      <c r="R2882" s="4"/>
      <c r="S2882" s="4"/>
      <c r="T2882" s="4"/>
      <c r="U2882" s="4"/>
      <c r="V2882" s="4"/>
      <c r="W2882" s="4"/>
      <c r="X2882" s="4"/>
    </row>
    <row r="2883" spans="17:24" x14ac:dyDescent="0.3">
      <c r="Q2883" s="4"/>
      <c r="R2883" s="4"/>
      <c r="S2883" s="4"/>
      <c r="T2883" s="4"/>
      <c r="U2883" s="4"/>
      <c r="V2883" s="4"/>
      <c r="W2883" s="4"/>
      <c r="X2883" s="4"/>
    </row>
    <row r="2884" spans="17:24" x14ac:dyDescent="0.3">
      <c r="Q2884" s="4"/>
      <c r="R2884" s="4"/>
      <c r="S2884" s="4"/>
      <c r="T2884" s="4"/>
      <c r="U2884" s="4"/>
      <c r="V2884" s="4"/>
      <c r="W2884" s="4"/>
      <c r="X2884" s="4"/>
    </row>
    <row r="2885" spans="17:24" x14ac:dyDescent="0.3">
      <c r="Q2885" s="4"/>
      <c r="R2885" s="4"/>
      <c r="S2885" s="4"/>
      <c r="T2885" s="4"/>
      <c r="U2885" s="4"/>
      <c r="V2885" s="4"/>
      <c r="W2885" s="4"/>
      <c r="X2885" s="4"/>
    </row>
    <row r="2886" spans="17:24" x14ac:dyDescent="0.3">
      <c r="Q2886" s="4"/>
      <c r="R2886" s="4"/>
      <c r="S2886" s="4"/>
      <c r="T2886" s="4"/>
      <c r="U2886" s="4"/>
      <c r="V2886" s="4"/>
      <c r="W2886" s="4"/>
      <c r="X2886" s="4"/>
    </row>
    <row r="2887" spans="17:24" x14ac:dyDescent="0.3">
      <c r="Q2887" s="4"/>
      <c r="R2887" s="4"/>
      <c r="S2887" s="4"/>
      <c r="T2887" s="4"/>
      <c r="U2887" s="4"/>
      <c r="V2887" s="4"/>
      <c r="W2887" s="4"/>
      <c r="X2887" s="4"/>
    </row>
    <row r="2888" spans="17:24" x14ac:dyDescent="0.3">
      <c r="Q2888" s="4"/>
      <c r="R2888" s="4"/>
      <c r="S2888" s="4"/>
      <c r="T2888" s="4"/>
      <c r="U2888" s="4"/>
      <c r="V2888" s="4"/>
      <c r="W2888" s="4"/>
      <c r="X2888" s="4"/>
    </row>
    <row r="2889" spans="17:24" x14ac:dyDescent="0.3">
      <c r="Q2889" s="4"/>
      <c r="R2889" s="4"/>
      <c r="S2889" s="4"/>
      <c r="T2889" s="4"/>
      <c r="U2889" s="4"/>
      <c r="V2889" s="4"/>
      <c r="W2889" s="4"/>
      <c r="X2889" s="4"/>
    </row>
    <row r="2890" spans="17:24" x14ac:dyDescent="0.3">
      <c r="Q2890" s="4"/>
      <c r="R2890" s="4"/>
      <c r="S2890" s="4"/>
      <c r="T2890" s="4"/>
      <c r="U2890" s="4"/>
      <c r="V2890" s="4"/>
      <c r="W2890" s="4"/>
      <c r="X2890" s="4"/>
    </row>
    <row r="2891" spans="17:24" x14ac:dyDescent="0.3">
      <c r="Q2891" s="4"/>
      <c r="R2891" s="4"/>
      <c r="S2891" s="4"/>
      <c r="T2891" s="4"/>
      <c r="U2891" s="4"/>
      <c r="V2891" s="4"/>
      <c r="W2891" s="4"/>
      <c r="X2891" s="4"/>
    </row>
    <row r="2892" spans="17:24" x14ac:dyDescent="0.3">
      <c r="Q2892" s="4"/>
      <c r="R2892" s="4"/>
      <c r="S2892" s="4"/>
      <c r="T2892" s="4"/>
      <c r="U2892" s="4"/>
      <c r="V2892" s="4"/>
      <c r="W2892" s="4"/>
      <c r="X2892" s="4"/>
    </row>
    <row r="2893" spans="17:24" x14ac:dyDescent="0.3">
      <c r="Q2893" s="4"/>
      <c r="R2893" s="4"/>
      <c r="S2893" s="4"/>
      <c r="T2893" s="4"/>
      <c r="U2893" s="4"/>
      <c r="V2893" s="4"/>
      <c r="W2893" s="4"/>
      <c r="X2893" s="4"/>
    </row>
    <row r="2894" spans="17:24" x14ac:dyDescent="0.3">
      <c r="Q2894" s="4"/>
      <c r="R2894" s="4"/>
      <c r="S2894" s="4"/>
      <c r="T2894" s="4"/>
      <c r="U2894" s="4"/>
      <c r="V2894" s="4"/>
      <c r="W2894" s="4"/>
      <c r="X2894" s="4"/>
    </row>
    <row r="2895" spans="17:24" x14ac:dyDescent="0.3">
      <c r="Q2895" s="4"/>
      <c r="R2895" s="4"/>
      <c r="S2895" s="4"/>
      <c r="T2895" s="4"/>
      <c r="U2895" s="4"/>
      <c r="V2895" s="4"/>
      <c r="W2895" s="4"/>
      <c r="X2895" s="4"/>
    </row>
    <row r="2896" spans="17:24" x14ac:dyDescent="0.3">
      <c r="Q2896" s="4"/>
      <c r="R2896" s="4"/>
      <c r="S2896" s="4"/>
      <c r="T2896" s="4"/>
      <c r="U2896" s="4"/>
      <c r="V2896" s="4"/>
      <c r="W2896" s="4"/>
      <c r="X2896" s="4"/>
    </row>
    <row r="2897" spans="17:24" x14ac:dyDescent="0.3">
      <c r="Q2897" s="4"/>
      <c r="R2897" s="4"/>
      <c r="S2897" s="4"/>
      <c r="T2897" s="4"/>
      <c r="U2897" s="4"/>
      <c r="V2897" s="4"/>
      <c r="W2897" s="4"/>
      <c r="X2897" s="4"/>
    </row>
    <row r="2898" spans="17:24" x14ac:dyDescent="0.3">
      <c r="Q2898" s="4"/>
      <c r="R2898" s="4"/>
      <c r="S2898" s="4"/>
      <c r="T2898" s="4"/>
      <c r="U2898" s="4"/>
      <c r="V2898" s="4"/>
      <c r="W2898" s="4"/>
      <c r="X2898" s="4"/>
    </row>
    <row r="2899" spans="17:24" x14ac:dyDescent="0.3">
      <c r="Q2899" s="4"/>
      <c r="R2899" s="4"/>
      <c r="S2899" s="4"/>
      <c r="T2899" s="4"/>
      <c r="U2899" s="4"/>
      <c r="V2899" s="4"/>
      <c r="W2899" s="4"/>
      <c r="X2899" s="4"/>
    </row>
    <row r="2900" spans="17:24" x14ac:dyDescent="0.3">
      <c r="Q2900" s="4"/>
      <c r="R2900" s="4"/>
      <c r="S2900" s="4"/>
      <c r="T2900" s="4"/>
      <c r="U2900" s="4"/>
      <c r="V2900" s="4"/>
      <c r="W2900" s="4"/>
      <c r="X2900" s="4"/>
    </row>
    <row r="2901" spans="17:24" x14ac:dyDescent="0.3">
      <c r="Q2901" s="4"/>
      <c r="R2901" s="4"/>
      <c r="S2901" s="4"/>
      <c r="T2901" s="4"/>
      <c r="U2901" s="4"/>
      <c r="V2901" s="4"/>
      <c r="W2901" s="4"/>
      <c r="X2901" s="4"/>
    </row>
    <row r="2902" spans="17:24" x14ac:dyDescent="0.3">
      <c r="Q2902" s="4"/>
      <c r="R2902" s="4"/>
      <c r="S2902" s="4"/>
      <c r="T2902" s="4"/>
      <c r="U2902" s="4"/>
      <c r="V2902" s="4"/>
      <c r="W2902" s="4"/>
      <c r="X2902" s="4"/>
    </row>
    <row r="2903" spans="17:24" x14ac:dyDescent="0.3">
      <c r="Q2903" s="4"/>
      <c r="R2903" s="4"/>
      <c r="S2903" s="4"/>
      <c r="T2903" s="4"/>
      <c r="U2903" s="4"/>
      <c r="V2903" s="4"/>
      <c r="W2903" s="4"/>
      <c r="X2903" s="4"/>
    </row>
    <row r="2904" spans="17:24" x14ac:dyDescent="0.3">
      <c r="Q2904" s="4"/>
      <c r="R2904" s="4"/>
      <c r="S2904" s="4"/>
      <c r="T2904" s="4"/>
      <c r="U2904" s="4"/>
      <c r="V2904" s="4"/>
      <c r="W2904" s="4"/>
      <c r="X2904" s="4"/>
    </row>
    <row r="2905" spans="17:24" x14ac:dyDescent="0.3">
      <c r="Q2905" s="4"/>
      <c r="R2905" s="4"/>
      <c r="S2905" s="4"/>
      <c r="T2905" s="4"/>
      <c r="U2905" s="4"/>
      <c r="V2905" s="4"/>
      <c r="W2905" s="4"/>
      <c r="X2905" s="4"/>
    </row>
    <row r="2906" spans="17:24" x14ac:dyDescent="0.3">
      <c r="Q2906" s="4"/>
      <c r="R2906" s="4"/>
      <c r="S2906" s="4"/>
      <c r="T2906" s="4"/>
      <c r="U2906" s="4"/>
      <c r="V2906" s="4"/>
      <c r="W2906" s="4"/>
      <c r="X2906" s="4"/>
    </row>
    <row r="2907" spans="17:24" x14ac:dyDescent="0.3">
      <c r="Q2907" s="4"/>
      <c r="R2907" s="4"/>
      <c r="S2907" s="4"/>
      <c r="T2907" s="4"/>
      <c r="U2907" s="4"/>
      <c r="V2907" s="4"/>
      <c r="W2907" s="4"/>
      <c r="X2907" s="4"/>
    </row>
    <row r="2908" spans="17:24" x14ac:dyDescent="0.3">
      <c r="Q2908" s="4"/>
      <c r="R2908" s="4"/>
      <c r="S2908" s="4"/>
      <c r="T2908" s="4"/>
      <c r="U2908" s="4"/>
      <c r="V2908" s="4"/>
      <c r="W2908" s="4"/>
      <c r="X2908" s="4"/>
    </row>
    <row r="2909" spans="17:24" x14ac:dyDescent="0.3">
      <c r="Q2909" s="4"/>
      <c r="R2909" s="4"/>
      <c r="S2909" s="4"/>
      <c r="T2909" s="4"/>
      <c r="U2909" s="4"/>
      <c r="V2909" s="4"/>
      <c r="W2909" s="4"/>
      <c r="X2909" s="4"/>
    </row>
    <row r="2910" spans="17:24" x14ac:dyDescent="0.3">
      <c r="Q2910" s="4"/>
      <c r="R2910" s="4"/>
      <c r="S2910" s="4"/>
      <c r="T2910" s="4"/>
      <c r="U2910" s="4"/>
      <c r="V2910" s="4"/>
      <c r="W2910" s="4"/>
      <c r="X2910" s="4"/>
    </row>
    <row r="2911" spans="17:24" x14ac:dyDescent="0.3">
      <c r="Q2911" s="4"/>
      <c r="R2911" s="4"/>
      <c r="S2911" s="4"/>
      <c r="T2911" s="4"/>
      <c r="U2911" s="4"/>
      <c r="V2911" s="4"/>
      <c r="W2911" s="4"/>
      <c r="X2911" s="4"/>
    </row>
    <row r="2912" spans="17:24" x14ac:dyDescent="0.3">
      <c r="Q2912" s="4"/>
      <c r="R2912" s="4"/>
      <c r="S2912" s="4"/>
      <c r="T2912" s="4"/>
      <c r="U2912" s="4"/>
      <c r="V2912" s="4"/>
      <c r="W2912" s="4"/>
      <c r="X2912" s="4"/>
    </row>
    <row r="2913" spans="17:24" x14ac:dyDescent="0.3">
      <c r="Q2913" s="4"/>
      <c r="R2913" s="4"/>
      <c r="S2913" s="4"/>
      <c r="T2913" s="4"/>
      <c r="U2913" s="4"/>
      <c r="V2913" s="4"/>
      <c r="W2913" s="4"/>
      <c r="X2913" s="4"/>
    </row>
    <row r="2914" spans="17:24" x14ac:dyDescent="0.3">
      <c r="Q2914" s="4"/>
      <c r="R2914" s="4"/>
      <c r="S2914" s="4"/>
      <c r="T2914" s="4"/>
      <c r="U2914" s="4"/>
      <c r="V2914" s="4"/>
      <c r="W2914" s="4"/>
      <c r="X2914" s="4"/>
    </row>
    <row r="2915" spans="17:24" x14ac:dyDescent="0.3">
      <c r="Q2915" s="4"/>
      <c r="R2915" s="4"/>
      <c r="S2915" s="4"/>
      <c r="T2915" s="4"/>
      <c r="U2915" s="4"/>
      <c r="V2915" s="4"/>
      <c r="W2915" s="4"/>
      <c r="X2915" s="4"/>
    </row>
    <row r="2916" spans="17:24" x14ac:dyDescent="0.3">
      <c r="Q2916" s="4"/>
      <c r="R2916" s="4"/>
      <c r="S2916" s="4"/>
      <c r="T2916" s="4"/>
      <c r="U2916" s="4"/>
      <c r="V2916" s="4"/>
      <c r="W2916" s="4"/>
      <c r="X2916" s="4"/>
    </row>
    <row r="2917" spans="17:24" x14ac:dyDescent="0.3">
      <c r="Q2917" s="4"/>
      <c r="R2917" s="4"/>
      <c r="S2917" s="4"/>
      <c r="T2917" s="4"/>
      <c r="U2917" s="4"/>
      <c r="V2917" s="4"/>
      <c r="W2917" s="4"/>
      <c r="X2917" s="4"/>
    </row>
    <row r="2918" spans="17:24" x14ac:dyDescent="0.3">
      <c r="Q2918" s="4"/>
      <c r="R2918" s="4"/>
      <c r="S2918" s="4"/>
      <c r="T2918" s="4"/>
      <c r="U2918" s="4"/>
      <c r="V2918" s="4"/>
      <c r="W2918" s="4"/>
      <c r="X2918" s="4"/>
    </row>
    <row r="2919" spans="17:24" x14ac:dyDescent="0.3">
      <c r="Q2919" s="4"/>
      <c r="R2919" s="4"/>
      <c r="S2919" s="4"/>
      <c r="T2919" s="4"/>
      <c r="U2919" s="4"/>
      <c r="V2919" s="4"/>
      <c r="W2919" s="4"/>
      <c r="X2919" s="4"/>
    </row>
    <row r="2920" spans="17:24" x14ac:dyDescent="0.3">
      <c r="Q2920" s="4"/>
      <c r="R2920" s="4"/>
      <c r="S2920" s="4"/>
      <c r="T2920" s="4"/>
      <c r="U2920" s="4"/>
      <c r="V2920" s="4"/>
      <c r="W2920" s="4"/>
      <c r="X2920" s="4"/>
    </row>
    <row r="2921" spans="17:24" x14ac:dyDescent="0.3">
      <c r="Q2921" s="4"/>
      <c r="R2921" s="4"/>
      <c r="S2921" s="4"/>
      <c r="T2921" s="4"/>
      <c r="U2921" s="4"/>
      <c r="V2921" s="4"/>
      <c r="W2921" s="4"/>
      <c r="X2921" s="4"/>
    </row>
    <row r="2922" spans="17:24" x14ac:dyDescent="0.3">
      <c r="Q2922" s="4"/>
      <c r="R2922" s="4"/>
      <c r="S2922" s="4"/>
      <c r="T2922" s="4"/>
      <c r="U2922" s="4"/>
      <c r="V2922" s="4"/>
      <c r="W2922" s="4"/>
      <c r="X2922" s="4"/>
    </row>
    <row r="2923" spans="17:24" x14ac:dyDescent="0.3">
      <c r="Q2923" s="4"/>
      <c r="R2923" s="4"/>
      <c r="S2923" s="4"/>
      <c r="T2923" s="4"/>
      <c r="U2923" s="4"/>
      <c r="V2923" s="4"/>
      <c r="W2923" s="4"/>
      <c r="X2923" s="4"/>
    </row>
    <row r="2924" spans="17:24" x14ac:dyDescent="0.3">
      <c r="Q2924" s="4"/>
      <c r="R2924" s="4"/>
      <c r="S2924" s="4"/>
      <c r="T2924" s="4"/>
      <c r="U2924" s="4"/>
      <c r="V2924" s="4"/>
      <c r="W2924" s="4"/>
      <c r="X2924" s="4"/>
    </row>
    <row r="2925" spans="17:24" x14ac:dyDescent="0.3">
      <c r="Q2925" s="4"/>
      <c r="R2925" s="4"/>
      <c r="S2925" s="4"/>
      <c r="T2925" s="4"/>
      <c r="U2925" s="4"/>
      <c r="V2925" s="4"/>
      <c r="W2925" s="4"/>
      <c r="X2925" s="4"/>
    </row>
    <row r="2926" spans="17:24" x14ac:dyDescent="0.3">
      <c r="Q2926" s="4"/>
      <c r="R2926" s="4"/>
      <c r="S2926" s="4"/>
      <c r="T2926" s="4"/>
      <c r="U2926" s="4"/>
      <c r="V2926" s="4"/>
      <c r="W2926" s="4"/>
      <c r="X2926" s="4"/>
    </row>
    <row r="2927" spans="17:24" x14ac:dyDescent="0.3">
      <c r="Q2927" s="4"/>
      <c r="R2927" s="4"/>
      <c r="S2927" s="4"/>
      <c r="T2927" s="4"/>
      <c r="U2927" s="4"/>
      <c r="V2927" s="4"/>
      <c r="W2927" s="4"/>
      <c r="X2927" s="4"/>
    </row>
    <row r="2928" spans="17:24" x14ac:dyDescent="0.3">
      <c r="Q2928" s="4"/>
      <c r="R2928" s="4"/>
      <c r="S2928" s="4"/>
      <c r="T2928" s="4"/>
      <c r="U2928" s="4"/>
      <c r="V2928" s="4"/>
      <c r="W2928" s="4"/>
      <c r="X2928" s="4"/>
    </row>
    <row r="2929" spans="17:24" x14ac:dyDescent="0.3">
      <c r="Q2929" s="4"/>
      <c r="R2929" s="4"/>
      <c r="S2929" s="4"/>
      <c r="T2929" s="4"/>
      <c r="U2929" s="4"/>
      <c r="V2929" s="4"/>
      <c r="W2929" s="4"/>
      <c r="X2929" s="4"/>
    </row>
    <row r="2930" spans="17:24" x14ac:dyDescent="0.3">
      <c r="Q2930" s="4"/>
      <c r="R2930" s="4"/>
      <c r="S2930" s="4"/>
      <c r="T2930" s="4"/>
      <c r="U2930" s="4"/>
      <c r="V2930" s="4"/>
      <c r="W2930" s="4"/>
      <c r="X2930" s="4"/>
    </row>
    <row r="2931" spans="17:24" x14ac:dyDescent="0.3">
      <c r="Q2931" s="4"/>
      <c r="R2931" s="4"/>
      <c r="S2931" s="4"/>
      <c r="T2931" s="4"/>
      <c r="U2931" s="4"/>
      <c r="V2931" s="4"/>
      <c r="W2931" s="4"/>
      <c r="X2931" s="4"/>
    </row>
    <row r="2932" spans="17:24" x14ac:dyDescent="0.3">
      <c r="Q2932" s="4"/>
      <c r="R2932" s="4"/>
      <c r="S2932" s="4"/>
      <c r="T2932" s="4"/>
      <c r="U2932" s="4"/>
      <c r="V2932" s="4"/>
      <c r="W2932" s="4"/>
      <c r="X2932" s="4"/>
    </row>
    <row r="2933" spans="17:24" x14ac:dyDescent="0.3">
      <c r="Q2933" s="4"/>
      <c r="R2933" s="4"/>
      <c r="S2933" s="4"/>
      <c r="T2933" s="4"/>
      <c r="U2933" s="4"/>
      <c r="V2933" s="4"/>
      <c r="W2933" s="4"/>
      <c r="X2933" s="4"/>
    </row>
    <row r="2934" spans="17:24" x14ac:dyDescent="0.3">
      <c r="Q2934" s="4"/>
      <c r="R2934" s="4"/>
      <c r="S2934" s="4"/>
      <c r="T2934" s="4"/>
      <c r="U2934" s="4"/>
      <c r="V2934" s="4"/>
      <c r="W2934" s="4"/>
      <c r="X2934" s="4"/>
    </row>
    <row r="2935" spans="17:24" x14ac:dyDescent="0.3">
      <c r="Q2935" s="4"/>
      <c r="R2935" s="4"/>
      <c r="S2935" s="4"/>
      <c r="T2935" s="4"/>
      <c r="U2935" s="4"/>
      <c r="V2935" s="4"/>
      <c r="W2935" s="4"/>
      <c r="X2935" s="4"/>
    </row>
    <row r="2936" spans="17:24" x14ac:dyDescent="0.3">
      <c r="Q2936" s="4"/>
      <c r="R2936" s="4"/>
      <c r="S2936" s="4"/>
      <c r="T2936" s="4"/>
      <c r="U2936" s="4"/>
      <c r="V2936" s="4"/>
      <c r="W2936" s="4"/>
      <c r="X2936" s="4"/>
    </row>
    <row r="2937" spans="17:24" x14ac:dyDescent="0.3">
      <c r="Q2937" s="4"/>
      <c r="R2937" s="4"/>
      <c r="S2937" s="4"/>
      <c r="T2937" s="4"/>
      <c r="U2937" s="4"/>
      <c r="V2937" s="4"/>
      <c r="W2937" s="4"/>
      <c r="X2937" s="4"/>
    </row>
    <row r="2938" spans="17:24" x14ac:dyDescent="0.3">
      <c r="Q2938" s="4"/>
      <c r="R2938" s="4"/>
      <c r="S2938" s="4"/>
      <c r="T2938" s="4"/>
      <c r="U2938" s="4"/>
      <c r="V2938" s="4"/>
      <c r="W2938" s="4"/>
      <c r="X2938" s="4"/>
    </row>
    <row r="2939" spans="17:24" x14ac:dyDescent="0.3">
      <c r="Q2939" s="4"/>
      <c r="R2939" s="4"/>
      <c r="S2939" s="4"/>
      <c r="T2939" s="4"/>
      <c r="U2939" s="4"/>
      <c r="V2939" s="4"/>
      <c r="W2939" s="4"/>
      <c r="X2939" s="4"/>
    </row>
    <row r="2940" spans="17:24" x14ac:dyDescent="0.3">
      <c r="Q2940" s="4"/>
      <c r="R2940" s="4"/>
      <c r="S2940" s="4"/>
      <c r="T2940" s="4"/>
      <c r="U2940" s="4"/>
      <c r="V2940" s="4"/>
      <c r="W2940" s="4"/>
      <c r="X2940" s="4"/>
    </row>
    <row r="2941" spans="17:24" x14ac:dyDescent="0.3">
      <c r="Q2941" s="4"/>
      <c r="R2941" s="4"/>
      <c r="S2941" s="4"/>
      <c r="T2941" s="4"/>
      <c r="U2941" s="4"/>
      <c r="V2941" s="4"/>
      <c r="W2941" s="4"/>
      <c r="X2941" s="4"/>
    </row>
    <row r="2942" spans="17:24" x14ac:dyDescent="0.3">
      <c r="Q2942" s="4"/>
      <c r="R2942" s="4"/>
      <c r="S2942" s="4"/>
      <c r="T2942" s="4"/>
      <c r="U2942" s="4"/>
      <c r="V2942" s="4"/>
      <c r="W2942" s="4"/>
      <c r="X2942" s="4"/>
    </row>
    <row r="2943" spans="17:24" x14ac:dyDescent="0.3">
      <c r="Q2943" s="4"/>
      <c r="R2943" s="4"/>
      <c r="S2943" s="4"/>
      <c r="T2943" s="4"/>
      <c r="U2943" s="4"/>
      <c r="V2943" s="4"/>
      <c r="W2943" s="4"/>
      <c r="X2943" s="4"/>
    </row>
    <row r="2944" spans="17:24" x14ac:dyDescent="0.3">
      <c r="Q2944" s="4"/>
      <c r="R2944" s="4"/>
      <c r="S2944" s="4"/>
      <c r="T2944" s="4"/>
      <c r="U2944" s="4"/>
      <c r="V2944" s="4"/>
      <c r="W2944" s="4"/>
      <c r="X2944" s="4"/>
    </row>
    <row r="2945" spans="17:24" x14ac:dyDescent="0.3">
      <c r="Q2945" s="4"/>
      <c r="R2945" s="4"/>
      <c r="S2945" s="4"/>
      <c r="T2945" s="4"/>
      <c r="U2945" s="4"/>
      <c r="V2945" s="4"/>
      <c r="W2945" s="4"/>
      <c r="X2945" s="4"/>
    </row>
    <row r="2946" spans="17:24" x14ac:dyDescent="0.3">
      <c r="Q2946" s="4"/>
      <c r="R2946" s="4"/>
      <c r="S2946" s="4"/>
      <c r="T2946" s="4"/>
      <c r="U2946" s="4"/>
      <c r="V2946" s="4"/>
      <c r="W2946" s="4"/>
      <c r="X2946" s="4"/>
    </row>
    <row r="2947" spans="17:24" x14ac:dyDescent="0.3">
      <c r="Q2947" s="4"/>
      <c r="R2947" s="4"/>
      <c r="S2947" s="4"/>
      <c r="T2947" s="4"/>
      <c r="U2947" s="4"/>
      <c r="V2947" s="4"/>
      <c r="W2947" s="4"/>
      <c r="X2947" s="4"/>
    </row>
    <row r="2948" spans="17:24" x14ac:dyDescent="0.3">
      <c r="Q2948" s="4"/>
      <c r="R2948" s="4"/>
      <c r="S2948" s="4"/>
      <c r="T2948" s="4"/>
      <c r="U2948" s="4"/>
      <c r="V2948" s="4"/>
      <c r="W2948" s="4"/>
      <c r="X2948" s="4"/>
    </row>
    <row r="2949" spans="17:24" x14ac:dyDescent="0.3">
      <c r="Q2949" s="4"/>
      <c r="R2949" s="4"/>
      <c r="S2949" s="4"/>
      <c r="T2949" s="4"/>
      <c r="U2949" s="4"/>
      <c r="V2949" s="4"/>
      <c r="W2949" s="4"/>
      <c r="X2949" s="4"/>
    </row>
    <row r="2950" spans="17:24" x14ac:dyDescent="0.3">
      <c r="Q2950" s="4"/>
      <c r="R2950" s="4"/>
      <c r="S2950" s="4"/>
      <c r="T2950" s="4"/>
      <c r="U2950" s="4"/>
      <c r="V2950" s="4"/>
      <c r="W2950" s="4"/>
      <c r="X2950" s="4"/>
    </row>
    <row r="2951" spans="17:24" x14ac:dyDescent="0.3">
      <c r="Q2951" s="4"/>
      <c r="R2951" s="4"/>
      <c r="S2951" s="4"/>
      <c r="T2951" s="4"/>
      <c r="U2951" s="4"/>
      <c r="V2951" s="4"/>
      <c r="W2951" s="4"/>
      <c r="X2951" s="4"/>
    </row>
    <row r="2952" spans="17:24" x14ac:dyDescent="0.3">
      <c r="Q2952" s="4"/>
      <c r="R2952" s="4"/>
      <c r="S2952" s="4"/>
      <c r="T2952" s="4"/>
      <c r="U2952" s="4"/>
      <c r="V2952" s="4"/>
      <c r="W2952" s="4"/>
      <c r="X2952" s="4"/>
    </row>
    <row r="2953" spans="17:24" x14ac:dyDescent="0.3">
      <c r="Q2953" s="4"/>
      <c r="R2953" s="4"/>
      <c r="S2953" s="4"/>
      <c r="T2953" s="4"/>
      <c r="U2953" s="4"/>
      <c r="V2953" s="4"/>
      <c r="W2953" s="4"/>
      <c r="X2953" s="4"/>
    </row>
    <row r="2954" spans="17:24" x14ac:dyDescent="0.3">
      <c r="Q2954" s="4"/>
      <c r="R2954" s="4"/>
      <c r="S2954" s="4"/>
      <c r="T2954" s="4"/>
      <c r="U2954" s="4"/>
      <c r="V2954" s="4"/>
      <c r="W2954" s="4"/>
      <c r="X2954" s="4"/>
    </row>
    <row r="2955" spans="17:24" x14ac:dyDescent="0.3">
      <c r="Q2955" s="4"/>
      <c r="R2955" s="4"/>
      <c r="S2955" s="4"/>
      <c r="T2955" s="4"/>
      <c r="U2955" s="4"/>
      <c r="V2955" s="4"/>
      <c r="W2955" s="4"/>
      <c r="X2955" s="4"/>
    </row>
    <row r="2956" spans="17:24" x14ac:dyDescent="0.3">
      <c r="Q2956" s="4"/>
      <c r="R2956" s="4"/>
      <c r="S2956" s="4"/>
      <c r="T2956" s="4"/>
      <c r="U2956" s="4"/>
      <c r="V2956" s="4"/>
      <c r="W2956" s="4"/>
      <c r="X2956" s="4"/>
    </row>
    <row r="2957" spans="17:24" x14ac:dyDescent="0.3">
      <c r="Q2957" s="4"/>
      <c r="R2957" s="4"/>
      <c r="S2957" s="4"/>
      <c r="T2957" s="4"/>
      <c r="U2957" s="4"/>
      <c r="V2957" s="4"/>
      <c r="W2957" s="4"/>
      <c r="X2957" s="4"/>
    </row>
    <row r="2958" spans="17:24" x14ac:dyDescent="0.3">
      <c r="Q2958" s="4"/>
      <c r="R2958" s="4"/>
      <c r="S2958" s="4"/>
      <c r="T2958" s="4"/>
      <c r="U2958" s="4"/>
      <c r="V2958" s="4"/>
      <c r="W2958" s="4"/>
      <c r="X2958" s="4"/>
    </row>
    <row r="2959" spans="17:24" x14ac:dyDescent="0.3">
      <c r="Q2959" s="4"/>
      <c r="R2959" s="4"/>
      <c r="S2959" s="4"/>
      <c r="T2959" s="4"/>
      <c r="U2959" s="4"/>
      <c r="V2959" s="4"/>
      <c r="W2959" s="4"/>
      <c r="X2959" s="4"/>
    </row>
    <row r="2960" spans="17:24" x14ac:dyDescent="0.3">
      <c r="Q2960" s="4"/>
      <c r="R2960" s="4"/>
      <c r="S2960" s="4"/>
      <c r="T2960" s="4"/>
      <c r="U2960" s="4"/>
      <c r="V2960" s="4"/>
      <c r="W2960" s="4"/>
      <c r="X2960" s="4"/>
    </row>
    <row r="2961" spans="17:24" x14ac:dyDescent="0.3">
      <c r="Q2961" s="4"/>
      <c r="R2961" s="4"/>
      <c r="S2961" s="4"/>
      <c r="T2961" s="4"/>
      <c r="U2961" s="4"/>
      <c r="V2961" s="4"/>
      <c r="W2961" s="4"/>
      <c r="X2961" s="4"/>
    </row>
    <row r="2962" spans="17:24" x14ac:dyDescent="0.3">
      <c r="Q2962" s="4"/>
      <c r="R2962" s="4"/>
      <c r="S2962" s="4"/>
      <c r="T2962" s="4"/>
      <c r="U2962" s="4"/>
      <c r="V2962" s="4"/>
      <c r="W2962" s="4"/>
      <c r="X2962" s="4"/>
    </row>
    <row r="2963" spans="17:24" x14ac:dyDescent="0.3">
      <c r="Q2963" s="4"/>
      <c r="R2963" s="4"/>
      <c r="S2963" s="4"/>
      <c r="T2963" s="4"/>
      <c r="U2963" s="4"/>
      <c r="V2963" s="4"/>
      <c r="W2963" s="4"/>
      <c r="X2963" s="4"/>
    </row>
    <row r="2964" spans="17:24" x14ac:dyDescent="0.3">
      <c r="Q2964" s="4"/>
      <c r="R2964" s="4"/>
      <c r="S2964" s="4"/>
      <c r="T2964" s="4"/>
      <c r="U2964" s="4"/>
      <c r="V2964" s="4"/>
      <c r="W2964" s="4"/>
      <c r="X2964" s="4"/>
    </row>
    <row r="2965" spans="17:24" x14ac:dyDescent="0.3">
      <c r="Q2965" s="4"/>
      <c r="R2965" s="4"/>
      <c r="S2965" s="4"/>
      <c r="T2965" s="4"/>
      <c r="U2965" s="4"/>
      <c r="V2965" s="4"/>
      <c r="W2965" s="4"/>
      <c r="X2965" s="4"/>
    </row>
    <row r="2966" spans="17:24" x14ac:dyDescent="0.3">
      <c r="Q2966" s="4"/>
      <c r="R2966" s="4"/>
      <c r="S2966" s="4"/>
      <c r="T2966" s="4"/>
      <c r="U2966" s="4"/>
      <c r="V2966" s="4"/>
      <c r="W2966" s="4"/>
      <c r="X2966" s="4"/>
    </row>
    <row r="2967" spans="17:24" x14ac:dyDescent="0.3">
      <c r="Q2967" s="4"/>
      <c r="R2967" s="4"/>
      <c r="S2967" s="4"/>
      <c r="T2967" s="4"/>
      <c r="U2967" s="4"/>
      <c r="V2967" s="4"/>
      <c r="W2967" s="4"/>
      <c r="X2967" s="4"/>
    </row>
    <row r="2968" spans="17:24" x14ac:dyDescent="0.3">
      <c r="Q2968" s="4"/>
      <c r="R2968" s="4"/>
      <c r="S2968" s="4"/>
      <c r="T2968" s="4"/>
      <c r="U2968" s="4"/>
      <c r="V2968" s="4"/>
      <c r="W2968" s="4"/>
      <c r="X2968" s="4"/>
    </row>
    <row r="2969" spans="17:24" x14ac:dyDescent="0.3">
      <c r="Q2969" s="4"/>
      <c r="R2969" s="4"/>
      <c r="S2969" s="4"/>
      <c r="T2969" s="4"/>
      <c r="U2969" s="4"/>
      <c r="V2969" s="4"/>
      <c r="W2969" s="4"/>
      <c r="X2969" s="4"/>
    </row>
    <row r="2970" spans="17:24" x14ac:dyDescent="0.3">
      <c r="Q2970" s="4"/>
      <c r="R2970" s="4"/>
      <c r="S2970" s="4"/>
      <c r="T2970" s="4"/>
      <c r="U2970" s="4"/>
      <c r="V2970" s="4"/>
      <c r="W2970" s="4"/>
      <c r="X2970" s="4"/>
    </row>
    <row r="2971" spans="17:24" x14ac:dyDescent="0.3">
      <c r="Q2971" s="4"/>
      <c r="R2971" s="4"/>
      <c r="S2971" s="4"/>
      <c r="T2971" s="4"/>
      <c r="U2971" s="4"/>
      <c r="V2971" s="4"/>
      <c r="W2971" s="4"/>
      <c r="X2971" s="4"/>
    </row>
    <row r="2972" spans="17:24" x14ac:dyDescent="0.3">
      <c r="Q2972" s="4"/>
      <c r="R2972" s="4"/>
      <c r="S2972" s="4"/>
      <c r="T2972" s="4"/>
      <c r="U2972" s="4"/>
      <c r="V2972" s="4"/>
      <c r="W2972" s="4"/>
      <c r="X2972" s="4"/>
    </row>
    <row r="2973" spans="17:24" x14ac:dyDescent="0.3">
      <c r="Q2973" s="4"/>
      <c r="R2973" s="4"/>
      <c r="S2973" s="4"/>
      <c r="T2973" s="4"/>
      <c r="U2973" s="4"/>
      <c r="V2973" s="4"/>
      <c r="W2973" s="4"/>
      <c r="X2973" s="4"/>
    </row>
    <row r="2974" spans="17:24" x14ac:dyDescent="0.3">
      <c r="Q2974" s="4"/>
      <c r="R2974" s="4"/>
      <c r="S2974" s="4"/>
      <c r="T2974" s="4"/>
      <c r="U2974" s="4"/>
      <c r="V2974" s="4"/>
      <c r="W2974" s="4"/>
      <c r="X2974" s="4"/>
    </row>
    <row r="2975" spans="17:24" x14ac:dyDescent="0.3">
      <c r="Q2975" s="4"/>
      <c r="R2975" s="4"/>
      <c r="S2975" s="4"/>
      <c r="T2975" s="4"/>
      <c r="U2975" s="4"/>
      <c r="V2975" s="4"/>
      <c r="W2975" s="4"/>
      <c r="X2975" s="4"/>
    </row>
    <row r="2976" spans="17:24" x14ac:dyDescent="0.3">
      <c r="Q2976" s="4"/>
      <c r="R2976" s="4"/>
      <c r="S2976" s="4"/>
      <c r="T2976" s="4"/>
      <c r="U2976" s="4"/>
      <c r="V2976" s="4"/>
      <c r="W2976" s="4"/>
      <c r="X2976" s="4"/>
    </row>
    <row r="2977" spans="17:24" x14ac:dyDescent="0.3">
      <c r="Q2977" s="4"/>
      <c r="R2977" s="4"/>
      <c r="S2977" s="4"/>
      <c r="T2977" s="4"/>
      <c r="U2977" s="4"/>
      <c r="V2977" s="4"/>
      <c r="W2977" s="4"/>
      <c r="X2977" s="4"/>
    </row>
    <row r="2978" spans="17:24" x14ac:dyDescent="0.3">
      <c r="Q2978" s="4"/>
      <c r="R2978" s="4"/>
      <c r="S2978" s="4"/>
      <c r="T2978" s="4"/>
      <c r="U2978" s="4"/>
      <c r="V2978" s="4"/>
      <c r="W2978" s="4"/>
      <c r="X2978" s="4"/>
    </row>
    <row r="2979" spans="17:24" x14ac:dyDescent="0.3">
      <c r="Q2979" s="4"/>
      <c r="R2979" s="4"/>
      <c r="S2979" s="4"/>
      <c r="T2979" s="4"/>
      <c r="U2979" s="4"/>
      <c r="V2979" s="4"/>
      <c r="W2979" s="4"/>
      <c r="X2979" s="4"/>
    </row>
    <row r="2980" spans="17:24" x14ac:dyDescent="0.3">
      <c r="Q2980" s="4"/>
      <c r="R2980" s="4"/>
      <c r="S2980" s="4"/>
      <c r="T2980" s="4"/>
      <c r="U2980" s="4"/>
      <c r="V2980" s="4"/>
      <c r="W2980" s="4"/>
      <c r="X2980" s="4"/>
    </row>
    <row r="2981" spans="17:24" x14ac:dyDescent="0.3">
      <c r="Q2981" s="4"/>
      <c r="R2981" s="4"/>
      <c r="S2981" s="4"/>
      <c r="T2981" s="4"/>
      <c r="U2981" s="4"/>
      <c r="V2981" s="4"/>
      <c r="W2981" s="4"/>
      <c r="X2981" s="4"/>
    </row>
    <row r="2982" spans="17:24" x14ac:dyDescent="0.3">
      <c r="Q2982" s="4"/>
      <c r="R2982" s="4"/>
      <c r="S2982" s="4"/>
      <c r="T2982" s="4"/>
      <c r="U2982" s="4"/>
      <c r="V2982" s="4"/>
      <c r="W2982" s="4"/>
      <c r="X2982" s="4"/>
    </row>
    <row r="2983" spans="17:24" x14ac:dyDescent="0.3">
      <c r="Q2983" s="4"/>
      <c r="R2983" s="4"/>
      <c r="S2983" s="4"/>
      <c r="T2983" s="4"/>
      <c r="U2983" s="4"/>
      <c r="V2983" s="4"/>
      <c r="W2983" s="4"/>
      <c r="X2983" s="4"/>
    </row>
    <row r="2984" spans="17:24" x14ac:dyDescent="0.3">
      <c r="Q2984" s="4"/>
      <c r="R2984" s="4"/>
      <c r="S2984" s="4"/>
      <c r="T2984" s="4"/>
      <c r="U2984" s="4"/>
      <c r="V2984" s="4"/>
      <c r="W2984" s="4"/>
      <c r="X2984" s="4"/>
    </row>
    <row r="2985" spans="17:24" x14ac:dyDescent="0.3">
      <c r="Q2985" s="4"/>
      <c r="R2985" s="4"/>
      <c r="S2985" s="4"/>
      <c r="T2985" s="4"/>
      <c r="U2985" s="4"/>
      <c r="V2985" s="4"/>
      <c r="W2985" s="4"/>
      <c r="X2985" s="4"/>
    </row>
    <row r="2986" spans="17:24" x14ac:dyDescent="0.3">
      <c r="Q2986" s="4"/>
      <c r="R2986" s="4"/>
      <c r="S2986" s="4"/>
      <c r="T2986" s="4"/>
      <c r="U2986" s="4"/>
      <c r="V2986" s="4"/>
      <c r="W2986" s="4"/>
      <c r="X2986" s="4"/>
    </row>
    <row r="2987" spans="17:24" x14ac:dyDescent="0.3">
      <c r="Q2987" s="4"/>
      <c r="R2987" s="4"/>
      <c r="S2987" s="4"/>
      <c r="T2987" s="4"/>
      <c r="U2987" s="4"/>
      <c r="V2987" s="4"/>
      <c r="W2987" s="4"/>
      <c r="X2987" s="4"/>
    </row>
    <row r="2988" spans="17:24" x14ac:dyDescent="0.3">
      <c r="Q2988" s="4"/>
      <c r="R2988" s="4"/>
      <c r="S2988" s="4"/>
      <c r="T2988" s="4"/>
      <c r="U2988" s="4"/>
      <c r="V2988" s="4"/>
      <c r="W2988" s="4"/>
      <c r="X2988" s="4"/>
    </row>
    <row r="2989" spans="17:24" x14ac:dyDescent="0.3">
      <c r="Q2989" s="4"/>
      <c r="R2989" s="4"/>
      <c r="S2989" s="4"/>
      <c r="T2989" s="4"/>
      <c r="U2989" s="4"/>
      <c r="V2989" s="4"/>
      <c r="W2989" s="4"/>
      <c r="X2989" s="4"/>
    </row>
    <row r="2990" spans="17:24" x14ac:dyDescent="0.3">
      <c r="Q2990" s="4"/>
      <c r="R2990" s="4"/>
      <c r="S2990" s="4"/>
      <c r="T2990" s="4"/>
      <c r="U2990" s="4"/>
      <c r="V2990" s="4"/>
      <c r="W2990" s="4"/>
      <c r="X2990" s="4"/>
    </row>
    <row r="2991" spans="17:24" x14ac:dyDescent="0.3">
      <c r="Q2991" s="4"/>
      <c r="R2991" s="4"/>
      <c r="S2991" s="4"/>
      <c r="T2991" s="4"/>
      <c r="U2991" s="4"/>
      <c r="V2991" s="4"/>
      <c r="W2991" s="4"/>
      <c r="X2991" s="4"/>
    </row>
    <row r="2992" spans="17:24" x14ac:dyDescent="0.3">
      <c r="Q2992" s="4"/>
      <c r="R2992" s="4"/>
      <c r="S2992" s="4"/>
      <c r="T2992" s="4"/>
      <c r="U2992" s="4"/>
      <c r="V2992" s="4"/>
      <c r="W2992" s="4"/>
      <c r="X2992" s="4"/>
    </row>
    <row r="2993" spans="17:24" x14ac:dyDescent="0.3">
      <c r="Q2993" s="4"/>
      <c r="R2993" s="4"/>
      <c r="S2993" s="4"/>
      <c r="T2993" s="4"/>
      <c r="U2993" s="4"/>
      <c r="V2993" s="4"/>
      <c r="W2993" s="4"/>
      <c r="X2993" s="4"/>
    </row>
    <row r="2994" spans="17:24" x14ac:dyDescent="0.3">
      <c r="Q2994" s="4"/>
      <c r="R2994" s="4"/>
      <c r="S2994" s="4"/>
      <c r="T2994" s="4"/>
      <c r="U2994" s="4"/>
      <c r="V2994" s="4"/>
      <c r="W2994" s="4"/>
      <c r="X2994" s="4"/>
    </row>
    <row r="2995" spans="17:24" x14ac:dyDescent="0.3">
      <c r="Q2995" s="4"/>
      <c r="R2995" s="4"/>
      <c r="S2995" s="4"/>
      <c r="T2995" s="4"/>
      <c r="U2995" s="4"/>
      <c r="V2995" s="4"/>
      <c r="W2995" s="4"/>
      <c r="X2995" s="4"/>
    </row>
    <row r="2996" spans="17:24" x14ac:dyDescent="0.3">
      <c r="Q2996" s="4"/>
      <c r="R2996" s="4"/>
      <c r="S2996" s="4"/>
      <c r="T2996" s="4"/>
      <c r="U2996" s="4"/>
      <c r="V2996" s="4"/>
      <c r="W2996" s="4"/>
      <c r="X2996" s="4"/>
    </row>
    <row r="2997" spans="17:24" x14ac:dyDescent="0.3">
      <c r="Q2997" s="4"/>
      <c r="R2997" s="4"/>
      <c r="S2997" s="4"/>
      <c r="T2997" s="4"/>
      <c r="U2997" s="4"/>
      <c r="V2997" s="4"/>
      <c r="W2997" s="4"/>
      <c r="X2997" s="4"/>
    </row>
    <row r="2998" spans="17:24" x14ac:dyDescent="0.3">
      <c r="Q2998" s="4"/>
      <c r="R2998" s="4"/>
      <c r="S2998" s="4"/>
      <c r="T2998" s="4"/>
      <c r="U2998" s="4"/>
      <c r="V2998" s="4"/>
      <c r="W2998" s="4"/>
      <c r="X2998" s="4"/>
    </row>
    <row r="2999" spans="17:24" x14ac:dyDescent="0.3">
      <c r="Q2999" s="4"/>
      <c r="R2999" s="4"/>
      <c r="S2999" s="4"/>
      <c r="T2999" s="4"/>
      <c r="U2999" s="4"/>
      <c r="V2999" s="4"/>
      <c r="W2999" s="4"/>
      <c r="X2999" s="4"/>
    </row>
    <row r="3000" spans="17:24" x14ac:dyDescent="0.3">
      <c r="Q3000" s="4"/>
      <c r="R3000" s="4"/>
      <c r="S3000" s="4"/>
      <c r="T3000" s="4"/>
      <c r="U3000" s="4"/>
      <c r="V3000" s="4"/>
      <c r="W3000" s="4"/>
      <c r="X3000" s="4"/>
    </row>
    <row r="3001" spans="17:24" x14ac:dyDescent="0.3">
      <c r="Q3001" s="4"/>
      <c r="R3001" s="4"/>
      <c r="S3001" s="4"/>
      <c r="T3001" s="4"/>
      <c r="U3001" s="4"/>
      <c r="V3001" s="4"/>
      <c r="W3001" s="4"/>
      <c r="X3001" s="4"/>
    </row>
    <row r="3002" spans="17:24" x14ac:dyDescent="0.3">
      <c r="Q3002" s="4"/>
      <c r="R3002" s="4"/>
      <c r="S3002" s="4"/>
      <c r="T3002" s="4"/>
      <c r="U3002" s="4"/>
      <c r="V3002" s="4"/>
      <c r="W3002" s="4"/>
      <c r="X3002" s="4"/>
    </row>
    <row r="3003" spans="17:24" x14ac:dyDescent="0.3">
      <c r="Q3003" s="4"/>
      <c r="R3003" s="4"/>
      <c r="S3003" s="4"/>
      <c r="T3003" s="4"/>
      <c r="U3003" s="4"/>
      <c r="V3003" s="4"/>
      <c r="W3003" s="4"/>
      <c r="X3003" s="4"/>
    </row>
    <row r="3004" spans="17:24" x14ac:dyDescent="0.3">
      <c r="Q3004" s="4"/>
      <c r="R3004" s="4"/>
      <c r="S3004" s="4"/>
      <c r="T3004" s="4"/>
      <c r="U3004" s="4"/>
      <c r="V3004" s="4"/>
      <c r="W3004" s="4"/>
      <c r="X3004" s="4"/>
    </row>
    <row r="3005" spans="17:24" x14ac:dyDescent="0.3">
      <c r="Q3005" s="4"/>
      <c r="R3005" s="4"/>
      <c r="S3005" s="4"/>
      <c r="T3005" s="4"/>
      <c r="U3005" s="4"/>
      <c r="V3005" s="4"/>
      <c r="W3005" s="4"/>
      <c r="X3005" s="4"/>
    </row>
    <row r="3006" spans="17:24" x14ac:dyDescent="0.3">
      <c r="Q3006" s="4"/>
      <c r="R3006" s="4"/>
      <c r="S3006" s="4"/>
      <c r="T3006" s="4"/>
      <c r="U3006" s="4"/>
      <c r="V3006" s="4"/>
      <c r="W3006" s="4"/>
      <c r="X3006" s="4"/>
    </row>
    <row r="3007" spans="17:24" x14ac:dyDescent="0.3">
      <c r="Q3007" s="4"/>
      <c r="R3007" s="4"/>
      <c r="S3007" s="4"/>
      <c r="T3007" s="4"/>
      <c r="U3007" s="4"/>
      <c r="V3007" s="4"/>
      <c r="W3007" s="4"/>
      <c r="X3007" s="4"/>
    </row>
    <row r="3008" spans="17:24" x14ac:dyDescent="0.3">
      <c r="Q3008" s="4"/>
      <c r="R3008" s="4"/>
      <c r="S3008" s="4"/>
      <c r="T3008" s="4"/>
      <c r="U3008" s="4"/>
      <c r="V3008" s="4"/>
      <c r="W3008" s="4"/>
      <c r="X3008" s="4"/>
    </row>
    <row r="3009" spans="17:24" x14ac:dyDescent="0.3">
      <c r="Q3009" s="4"/>
      <c r="R3009" s="4"/>
      <c r="S3009" s="4"/>
      <c r="T3009" s="4"/>
      <c r="U3009" s="4"/>
      <c r="V3009" s="4"/>
      <c r="W3009" s="4"/>
      <c r="X3009" s="4"/>
    </row>
    <row r="3010" spans="17:24" x14ac:dyDescent="0.3">
      <c r="Q3010" s="4"/>
      <c r="R3010" s="4"/>
      <c r="S3010" s="4"/>
      <c r="T3010" s="4"/>
      <c r="U3010" s="4"/>
      <c r="V3010" s="4"/>
      <c r="W3010" s="4"/>
      <c r="X3010" s="4"/>
    </row>
    <row r="3011" spans="17:24" x14ac:dyDescent="0.3">
      <c r="Q3011" s="4"/>
      <c r="R3011" s="4"/>
      <c r="S3011" s="4"/>
      <c r="T3011" s="4"/>
      <c r="U3011" s="4"/>
      <c r="V3011" s="4"/>
      <c r="W3011" s="4"/>
      <c r="X3011" s="4"/>
    </row>
    <row r="3012" spans="17:24" x14ac:dyDescent="0.3">
      <c r="Q3012" s="4"/>
      <c r="R3012" s="4"/>
      <c r="S3012" s="4"/>
      <c r="T3012" s="4"/>
      <c r="U3012" s="4"/>
      <c r="V3012" s="4"/>
      <c r="W3012" s="4"/>
      <c r="X3012" s="4"/>
    </row>
    <row r="3013" spans="17:24" x14ac:dyDescent="0.3">
      <c r="Q3013" s="4"/>
      <c r="R3013" s="4"/>
      <c r="S3013" s="4"/>
      <c r="T3013" s="4"/>
      <c r="U3013" s="4"/>
      <c r="V3013" s="4"/>
      <c r="W3013" s="4"/>
      <c r="X3013" s="4"/>
    </row>
    <row r="3014" spans="17:24" x14ac:dyDescent="0.3">
      <c r="Q3014" s="4"/>
      <c r="R3014" s="4"/>
      <c r="S3014" s="4"/>
      <c r="T3014" s="4"/>
      <c r="U3014" s="4"/>
      <c r="V3014" s="4"/>
      <c r="W3014" s="4"/>
      <c r="X3014" s="4"/>
    </row>
    <row r="3015" spans="17:24" x14ac:dyDescent="0.3">
      <c r="Q3015" s="4"/>
      <c r="R3015" s="4"/>
      <c r="S3015" s="4"/>
      <c r="T3015" s="4"/>
      <c r="U3015" s="4"/>
      <c r="V3015" s="4"/>
      <c r="W3015" s="4"/>
      <c r="X3015" s="4"/>
    </row>
    <row r="3016" spans="17:24" x14ac:dyDescent="0.3">
      <c r="Q3016" s="4"/>
      <c r="R3016" s="4"/>
      <c r="S3016" s="4"/>
      <c r="T3016" s="4"/>
      <c r="U3016" s="4"/>
      <c r="V3016" s="4"/>
      <c r="W3016" s="4"/>
      <c r="X3016" s="4"/>
    </row>
    <row r="3017" spans="17:24" x14ac:dyDescent="0.3">
      <c r="Q3017" s="4"/>
      <c r="R3017" s="4"/>
      <c r="S3017" s="4"/>
      <c r="T3017" s="4"/>
      <c r="U3017" s="4"/>
      <c r="V3017" s="4"/>
      <c r="W3017" s="4"/>
      <c r="X3017" s="4"/>
    </row>
    <row r="3018" spans="17:24" x14ac:dyDescent="0.3">
      <c r="Q3018" s="4"/>
      <c r="R3018" s="4"/>
      <c r="S3018" s="4"/>
      <c r="T3018" s="4"/>
      <c r="U3018" s="4"/>
      <c r="V3018" s="4"/>
      <c r="W3018" s="4"/>
      <c r="X3018" s="4"/>
    </row>
    <row r="3019" spans="17:24" x14ac:dyDescent="0.3">
      <c r="Q3019" s="4"/>
      <c r="R3019" s="4"/>
      <c r="S3019" s="4"/>
      <c r="T3019" s="4"/>
      <c r="U3019" s="4"/>
      <c r="V3019" s="4"/>
      <c r="W3019" s="4"/>
      <c r="X3019" s="4"/>
    </row>
    <row r="3020" spans="17:24" x14ac:dyDescent="0.3">
      <c r="Q3020" s="4"/>
      <c r="R3020" s="4"/>
      <c r="S3020" s="4"/>
      <c r="T3020" s="4"/>
      <c r="U3020" s="4"/>
      <c r="V3020" s="4"/>
      <c r="W3020" s="4"/>
      <c r="X3020" s="4"/>
    </row>
    <row r="3021" spans="17:24" x14ac:dyDescent="0.3">
      <c r="Q3021" s="4"/>
      <c r="R3021" s="4"/>
      <c r="S3021" s="4"/>
      <c r="T3021" s="4"/>
      <c r="U3021" s="4"/>
      <c r="V3021" s="4"/>
      <c r="W3021" s="4"/>
      <c r="X3021" s="4"/>
    </row>
    <row r="3022" spans="17:24" x14ac:dyDescent="0.3">
      <c r="Q3022" s="4"/>
      <c r="R3022" s="4"/>
      <c r="S3022" s="4"/>
      <c r="T3022" s="4"/>
      <c r="U3022" s="4"/>
      <c r="V3022" s="4"/>
      <c r="W3022" s="4"/>
      <c r="X3022" s="4"/>
    </row>
    <row r="3023" spans="17:24" x14ac:dyDescent="0.3">
      <c r="Q3023" s="4"/>
      <c r="R3023" s="4"/>
      <c r="S3023" s="4"/>
      <c r="T3023" s="4"/>
      <c r="U3023" s="4"/>
      <c r="V3023" s="4"/>
      <c r="W3023" s="4"/>
      <c r="X3023" s="4"/>
    </row>
    <row r="3024" spans="17:24" x14ac:dyDescent="0.3">
      <c r="Q3024" s="4"/>
      <c r="R3024" s="4"/>
      <c r="S3024" s="4"/>
      <c r="T3024" s="4"/>
      <c r="U3024" s="4"/>
      <c r="V3024" s="4"/>
      <c r="W3024" s="4"/>
      <c r="X3024" s="4"/>
    </row>
    <row r="3025" spans="17:24" x14ac:dyDescent="0.3">
      <c r="Q3025" s="4"/>
      <c r="R3025" s="4"/>
      <c r="S3025" s="4"/>
      <c r="T3025" s="4"/>
      <c r="U3025" s="4"/>
      <c r="V3025" s="4"/>
      <c r="W3025" s="4"/>
      <c r="X3025" s="4"/>
    </row>
    <row r="3026" spans="17:24" x14ac:dyDescent="0.3">
      <c r="Q3026" s="4"/>
      <c r="R3026" s="4"/>
      <c r="S3026" s="4"/>
      <c r="T3026" s="4"/>
      <c r="U3026" s="4"/>
      <c r="V3026" s="4"/>
      <c r="W3026" s="4"/>
      <c r="X3026" s="4"/>
    </row>
    <row r="3027" spans="17:24" x14ac:dyDescent="0.3">
      <c r="Q3027" s="4"/>
      <c r="R3027" s="4"/>
      <c r="S3027" s="4"/>
      <c r="T3027" s="4"/>
      <c r="U3027" s="4"/>
      <c r="V3027" s="4"/>
      <c r="W3027" s="4"/>
      <c r="X3027" s="4"/>
    </row>
    <row r="3028" spans="17:24" x14ac:dyDescent="0.3">
      <c r="Q3028" s="4"/>
      <c r="R3028" s="4"/>
      <c r="S3028" s="4"/>
      <c r="T3028" s="4"/>
      <c r="U3028" s="4"/>
      <c r="V3028" s="4"/>
      <c r="W3028" s="4"/>
      <c r="X3028" s="4"/>
    </row>
    <row r="3029" spans="17:24" x14ac:dyDescent="0.3">
      <c r="Q3029" s="4"/>
      <c r="R3029" s="4"/>
      <c r="S3029" s="4"/>
      <c r="T3029" s="4"/>
      <c r="U3029" s="4"/>
      <c r="V3029" s="4"/>
      <c r="W3029" s="4"/>
      <c r="X3029" s="4"/>
    </row>
    <row r="3030" spans="17:24" x14ac:dyDescent="0.3">
      <c r="Q3030" s="4"/>
      <c r="R3030" s="4"/>
      <c r="S3030" s="4"/>
      <c r="T3030" s="4"/>
      <c r="U3030" s="4"/>
      <c r="V3030" s="4"/>
      <c r="W3030" s="4"/>
      <c r="X3030" s="4"/>
    </row>
    <row r="3031" spans="17:24" x14ac:dyDescent="0.3">
      <c r="Q3031" s="4"/>
      <c r="R3031" s="4"/>
      <c r="S3031" s="4"/>
      <c r="T3031" s="4"/>
      <c r="U3031" s="4"/>
      <c r="V3031" s="4"/>
      <c r="W3031" s="4"/>
      <c r="X3031" s="4"/>
    </row>
    <row r="3032" spans="17:24" x14ac:dyDescent="0.3">
      <c r="Q3032" s="4"/>
      <c r="R3032" s="4"/>
      <c r="S3032" s="4"/>
      <c r="T3032" s="4"/>
      <c r="U3032" s="4"/>
      <c r="V3032" s="4"/>
      <c r="W3032" s="4"/>
      <c r="X3032" s="4"/>
    </row>
    <row r="3033" spans="17:24" x14ac:dyDescent="0.3">
      <c r="Q3033" s="4"/>
      <c r="R3033" s="4"/>
      <c r="S3033" s="4"/>
      <c r="T3033" s="4"/>
      <c r="U3033" s="4"/>
      <c r="V3033" s="4"/>
      <c r="W3033" s="4"/>
      <c r="X3033" s="4"/>
    </row>
    <row r="3034" spans="17:24" x14ac:dyDescent="0.3">
      <c r="Q3034" s="4"/>
      <c r="R3034" s="4"/>
      <c r="S3034" s="4"/>
      <c r="T3034" s="4"/>
      <c r="U3034" s="4"/>
      <c r="V3034" s="4"/>
      <c r="W3034" s="4"/>
      <c r="X3034" s="4"/>
    </row>
    <row r="3035" spans="17:24" x14ac:dyDescent="0.3">
      <c r="Q3035" s="4"/>
      <c r="R3035" s="4"/>
      <c r="S3035" s="4"/>
      <c r="T3035" s="4"/>
      <c r="U3035" s="4"/>
      <c r="V3035" s="4"/>
      <c r="W3035" s="4"/>
      <c r="X3035" s="4"/>
    </row>
    <row r="3036" spans="17:24" x14ac:dyDescent="0.3">
      <c r="Q3036" s="4"/>
      <c r="R3036" s="4"/>
      <c r="S3036" s="4"/>
      <c r="T3036" s="4"/>
      <c r="U3036" s="4"/>
      <c r="V3036" s="4"/>
      <c r="W3036" s="4"/>
      <c r="X3036" s="4"/>
    </row>
    <row r="3037" spans="17:24" x14ac:dyDescent="0.3">
      <c r="Q3037" s="4"/>
      <c r="R3037" s="4"/>
      <c r="S3037" s="4"/>
      <c r="T3037" s="4"/>
      <c r="U3037" s="4"/>
      <c r="V3037" s="4"/>
      <c r="W3037" s="4"/>
      <c r="X3037" s="4"/>
    </row>
    <row r="3038" spans="17:24" x14ac:dyDescent="0.3">
      <c r="Q3038" s="4"/>
      <c r="R3038" s="4"/>
      <c r="S3038" s="4"/>
      <c r="T3038" s="4"/>
      <c r="U3038" s="4"/>
      <c r="V3038" s="4"/>
      <c r="W3038" s="4"/>
      <c r="X3038" s="4"/>
    </row>
    <row r="3039" spans="17:24" x14ac:dyDescent="0.3">
      <c r="Q3039" s="4"/>
      <c r="R3039" s="4"/>
      <c r="S3039" s="4"/>
      <c r="T3039" s="4"/>
      <c r="U3039" s="4"/>
      <c r="V3039" s="4"/>
      <c r="W3039" s="4"/>
      <c r="X3039" s="4"/>
    </row>
    <row r="3040" spans="17:24" x14ac:dyDescent="0.3">
      <c r="Q3040" s="4"/>
      <c r="R3040" s="4"/>
      <c r="S3040" s="4"/>
      <c r="T3040" s="4"/>
      <c r="U3040" s="4"/>
      <c r="V3040" s="4"/>
      <c r="W3040" s="4"/>
      <c r="X3040" s="4"/>
    </row>
    <row r="3041" spans="17:24" x14ac:dyDescent="0.3">
      <c r="Q3041" s="4"/>
      <c r="R3041" s="4"/>
      <c r="S3041" s="4"/>
      <c r="T3041" s="4"/>
      <c r="U3041" s="4"/>
      <c r="V3041" s="4"/>
      <c r="W3041" s="4"/>
      <c r="X3041" s="4"/>
    </row>
    <row r="3042" spans="17:24" x14ac:dyDescent="0.3">
      <c r="Q3042" s="4"/>
      <c r="R3042" s="4"/>
      <c r="S3042" s="4"/>
      <c r="T3042" s="4"/>
      <c r="U3042" s="4"/>
      <c r="V3042" s="4"/>
      <c r="W3042" s="4"/>
      <c r="X3042" s="4"/>
    </row>
    <row r="3043" spans="17:24" x14ac:dyDescent="0.3">
      <c r="Q3043" s="4"/>
      <c r="R3043" s="4"/>
      <c r="S3043" s="4"/>
      <c r="T3043" s="4"/>
      <c r="U3043" s="4"/>
      <c r="V3043" s="4"/>
      <c r="W3043" s="4"/>
      <c r="X3043" s="4"/>
    </row>
    <row r="3044" spans="17:24" x14ac:dyDescent="0.3">
      <c r="Q3044" s="4"/>
      <c r="R3044" s="4"/>
      <c r="S3044" s="4"/>
      <c r="T3044" s="4"/>
      <c r="U3044" s="4"/>
      <c r="V3044" s="4"/>
      <c r="W3044" s="4"/>
      <c r="X3044" s="4"/>
    </row>
    <row r="3045" spans="17:24" x14ac:dyDescent="0.3">
      <c r="Q3045" s="4"/>
      <c r="R3045" s="4"/>
      <c r="S3045" s="4"/>
      <c r="T3045" s="4"/>
      <c r="U3045" s="4"/>
      <c r="V3045" s="4"/>
      <c r="W3045" s="4"/>
      <c r="X3045" s="4"/>
    </row>
    <row r="3046" spans="17:24" x14ac:dyDescent="0.3">
      <c r="Q3046" s="4"/>
      <c r="R3046" s="4"/>
      <c r="S3046" s="4"/>
      <c r="T3046" s="4"/>
      <c r="U3046" s="4"/>
      <c r="V3046" s="4"/>
      <c r="W3046" s="4"/>
      <c r="X3046" s="4"/>
    </row>
    <row r="3047" spans="17:24" x14ac:dyDescent="0.3">
      <c r="Q3047" s="4"/>
      <c r="R3047" s="4"/>
      <c r="S3047" s="4"/>
      <c r="T3047" s="4"/>
      <c r="U3047" s="4"/>
      <c r="V3047" s="4"/>
      <c r="W3047" s="4"/>
      <c r="X3047" s="4"/>
    </row>
    <row r="3048" spans="17:24" x14ac:dyDescent="0.3">
      <c r="Q3048" s="4"/>
      <c r="R3048" s="4"/>
      <c r="S3048" s="4"/>
      <c r="T3048" s="4"/>
      <c r="U3048" s="4"/>
      <c r="V3048" s="4"/>
      <c r="W3048" s="4"/>
      <c r="X3048" s="4"/>
    </row>
    <row r="3049" spans="17:24" x14ac:dyDescent="0.3">
      <c r="Q3049" s="4"/>
      <c r="R3049" s="4"/>
      <c r="S3049" s="4"/>
      <c r="T3049" s="4"/>
      <c r="U3049" s="4"/>
      <c r="V3049" s="4"/>
      <c r="W3049" s="4"/>
      <c r="X3049" s="4"/>
    </row>
    <row r="3050" spans="17:24" x14ac:dyDescent="0.3">
      <c r="Q3050" s="4"/>
      <c r="R3050" s="4"/>
      <c r="S3050" s="4"/>
      <c r="T3050" s="4"/>
      <c r="U3050" s="4"/>
      <c r="V3050" s="4"/>
      <c r="W3050" s="4"/>
      <c r="X3050" s="4"/>
    </row>
    <row r="3051" spans="17:24" x14ac:dyDescent="0.3">
      <c r="Q3051" s="4"/>
      <c r="R3051" s="4"/>
      <c r="S3051" s="4"/>
      <c r="T3051" s="4"/>
      <c r="U3051" s="4"/>
      <c r="V3051" s="4"/>
      <c r="W3051" s="4"/>
      <c r="X3051" s="4"/>
    </row>
    <row r="3052" spans="17:24" x14ac:dyDescent="0.3">
      <c r="Q3052" s="4"/>
      <c r="R3052" s="4"/>
      <c r="S3052" s="4"/>
      <c r="T3052" s="4"/>
      <c r="U3052" s="4"/>
      <c r="V3052" s="4"/>
      <c r="W3052" s="4"/>
      <c r="X3052" s="4"/>
    </row>
    <row r="3053" spans="17:24" x14ac:dyDescent="0.3">
      <c r="Q3053" s="4"/>
      <c r="R3053" s="4"/>
      <c r="S3053" s="4"/>
      <c r="T3053" s="4"/>
      <c r="U3053" s="4"/>
      <c r="V3053" s="4"/>
      <c r="W3053" s="4"/>
      <c r="X3053" s="4"/>
    </row>
    <row r="3054" spans="17:24" x14ac:dyDescent="0.3">
      <c r="Q3054" s="4"/>
      <c r="R3054" s="4"/>
      <c r="S3054" s="4"/>
      <c r="T3054" s="4"/>
      <c r="U3054" s="4"/>
      <c r="V3054" s="4"/>
      <c r="W3054" s="4"/>
      <c r="X3054" s="4"/>
    </row>
    <row r="3055" spans="17:24" x14ac:dyDescent="0.3">
      <c r="Q3055" s="4"/>
      <c r="R3055" s="4"/>
      <c r="S3055" s="4"/>
      <c r="T3055" s="4"/>
      <c r="U3055" s="4"/>
      <c r="V3055" s="4"/>
      <c r="W3055" s="4"/>
      <c r="X3055" s="4"/>
    </row>
    <row r="3056" spans="17:24" x14ac:dyDescent="0.3">
      <c r="Q3056" s="4"/>
      <c r="R3056" s="4"/>
      <c r="S3056" s="4"/>
      <c r="T3056" s="4"/>
      <c r="U3056" s="4"/>
      <c r="V3056" s="4"/>
      <c r="W3056" s="4"/>
      <c r="X3056" s="4"/>
    </row>
    <row r="3057" spans="17:24" x14ac:dyDescent="0.3">
      <c r="Q3057" s="4"/>
      <c r="R3057" s="4"/>
      <c r="S3057" s="4"/>
      <c r="T3057" s="4"/>
      <c r="U3057" s="4"/>
      <c r="V3057" s="4"/>
      <c r="W3057" s="4"/>
      <c r="X3057" s="4"/>
    </row>
    <row r="3058" spans="17:24" x14ac:dyDescent="0.3">
      <c r="Q3058" s="4"/>
      <c r="R3058" s="4"/>
      <c r="S3058" s="4"/>
      <c r="T3058" s="4"/>
      <c r="U3058" s="4"/>
      <c r="V3058" s="4"/>
      <c r="W3058" s="4"/>
      <c r="X3058" s="4"/>
    </row>
    <row r="3059" spans="17:24" x14ac:dyDescent="0.3">
      <c r="Q3059" s="4"/>
      <c r="R3059" s="4"/>
      <c r="S3059" s="4"/>
      <c r="T3059" s="4"/>
      <c r="U3059" s="4"/>
      <c r="V3059" s="4"/>
      <c r="W3059" s="4"/>
      <c r="X3059" s="4"/>
    </row>
    <row r="3060" spans="17:24" x14ac:dyDescent="0.3">
      <c r="Q3060" s="4"/>
      <c r="R3060" s="4"/>
      <c r="S3060" s="4"/>
      <c r="T3060" s="4"/>
      <c r="U3060" s="4"/>
      <c r="V3060" s="4"/>
      <c r="W3060" s="4"/>
      <c r="X3060" s="4"/>
    </row>
    <row r="3061" spans="17:24" x14ac:dyDescent="0.3">
      <c r="Q3061" s="4"/>
      <c r="R3061" s="4"/>
      <c r="S3061" s="4"/>
      <c r="T3061" s="4"/>
      <c r="U3061" s="4"/>
      <c r="V3061" s="4"/>
      <c r="W3061" s="4"/>
      <c r="X3061" s="4"/>
    </row>
    <row r="3062" spans="17:24" x14ac:dyDescent="0.3">
      <c r="Q3062" s="4"/>
      <c r="R3062" s="4"/>
      <c r="S3062" s="4"/>
      <c r="T3062" s="4"/>
      <c r="U3062" s="4"/>
      <c r="V3062" s="4"/>
      <c r="W3062" s="4"/>
      <c r="X3062" s="4"/>
    </row>
    <row r="3063" spans="17:24" x14ac:dyDescent="0.3">
      <c r="Q3063" s="4"/>
      <c r="R3063" s="4"/>
      <c r="S3063" s="4"/>
      <c r="T3063" s="4"/>
      <c r="U3063" s="4"/>
      <c r="V3063" s="4"/>
      <c r="W3063" s="4"/>
      <c r="X3063" s="4"/>
    </row>
    <row r="3064" spans="17:24" x14ac:dyDescent="0.3">
      <c r="Q3064" s="4"/>
      <c r="R3064" s="4"/>
      <c r="S3064" s="4"/>
      <c r="T3064" s="4"/>
      <c r="U3064" s="4"/>
      <c r="V3064" s="4"/>
      <c r="W3064" s="4"/>
      <c r="X3064" s="4"/>
    </row>
    <row r="3065" spans="17:24" x14ac:dyDescent="0.3">
      <c r="Q3065" s="4"/>
      <c r="R3065" s="4"/>
      <c r="S3065" s="4"/>
      <c r="T3065" s="4"/>
      <c r="U3065" s="4"/>
      <c r="V3065" s="4"/>
      <c r="W3065" s="4"/>
      <c r="X3065" s="4"/>
    </row>
    <row r="3066" spans="17:24" x14ac:dyDescent="0.3">
      <c r="Q3066" s="4"/>
      <c r="R3066" s="4"/>
      <c r="S3066" s="4"/>
      <c r="T3066" s="4"/>
      <c r="U3066" s="4"/>
      <c r="V3066" s="4"/>
      <c r="W3066" s="4"/>
      <c r="X3066" s="4"/>
    </row>
    <row r="3067" spans="17:24" x14ac:dyDescent="0.3">
      <c r="Q3067" s="4"/>
      <c r="R3067" s="4"/>
      <c r="S3067" s="4"/>
      <c r="T3067" s="4"/>
      <c r="U3067" s="4"/>
      <c r="V3067" s="4"/>
      <c r="W3067" s="4"/>
      <c r="X3067" s="4"/>
    </row>
    <row r="3068" spans="17:24" x14ac:dyDescent="0.3">
      <c r="Q3068" s="4"/>
      <c r="R3068" s="4"/>
      <c r="S3068" s="4"/>
      <c r="T3068" s="4"/>
      <c r="U3068" s="4"/>
      <c r="V3068" s="4"/>
      <c r="W3068" s="4"/>
      <c r="X3068" s="4"/>
    </row>
    <row r="3069" spans="17:24" x14ac:dyDescent="0.3">
      <c r="Q3069" s="4"/>
      <c r="R3069" s="4"/>
      <c r="S3069" s="4"/>
      <c r="T3069" s="4"/>
      <c r="U3069" s="4"/>
      <c r="V3069" s="4"/>
      <c r="W3069" s="4"/>
      <c r="X3069" s="4"/>
    </row>
    <row r="3070" spans="17:24" x14ac:dyDescent="0.3">
      <c r="Q3070" s="4"/>
      <c r="R3070" s="4"/>
      <c r="S3070" s="4"/>
      <c r="T3070" s="4"/>
      <c r="U3070" s="4"/>
      <c r="V3070" s="4"/>
      <c r="W3070" s="4"/>
      <c r="X3070" s="4"/>
    </row>
    <row r="3071" spans="17:24" x14ac:dyDescent="0.3">
      <c r="Q3071" s="4"/>
      <c r="R3071" s="4"/>
      <c r="S3071" s="4"/>
      <c r="T3071" s="4"/>
      <c r="U3071" s="4"/>
      <c r="V3071" s="4"/>
      <c r="W3071" s="4"/>
      <c r="X3071" s="4"/>
    </row>
    <row r="3072" spans="17:24" x14ac:dyDescent="0.3">
      <c r="Q3072" s="4"/>
      <c r="R3072" s="4"/>
      <c r="S3072" s="4"/>
      <c r="T3072" s="4"/>
      <c r="U3072" s="4"/>
      <c r="V3072" s="4"/>
      <c r="W3072" s="4"/>
      <c r="X3072" s="4"/>
    </row>
    <row r="3073" spans="17:24" x14ac:dyDescent="0.3">
      <c r="Q3073" s="4"/>
      <c r="R3073" s="4"/>
      <c r="S3073" s="4"/>
      <c r="T3073" s="4"/>
      <c r="U3073" s="4"/>
      <c r="V3073" s="4"/>
      <c r="W3073" s="4"/>
      <c r="X3073" s="4"/>
    </row>
    <row r="3074" spans="17:24" x14ac:dyDescent="0.3">
      <c r="Q3074" s="4"/>
      <c r="R3074" s="4"/>
      <c r="S3074" s="4"/>
      <c r="T3074" s="4"/>
      <c r="U3074" s="4"/>
      <c r="V3074" s="4"/>
      <c r="W3074" s="4"/>
      <c r="X3074" s="4"/>
    </row>
    <row r="3075" spans="17:24" x14ac:dyDescent="0.3">
      <c r="Q3075" s="4"/>
      <c r="R3075" s="4"/>
      <c r="S3075" s="4"/>
      <c r="T3075" s="4"/>
      <c r="U3075" s="4"/>
      <c r="V3075" s="4"/>
      <c r="W3075" s="4"/>
      <c r="X3075" s="4"/>
    </row>
    <row r="3076" spans="17:24" x14ac:dyDescent="0.3">
      <c r="Q3076" s="4"/>
      <c r="R3076" s="4"/>
      <c r="S3076" s="4"/>
      <c r="T3076" s="4"/>
      <c r="U3076" s="4"/>
      <c r="V3076" s="4"/>
      <c r="W3076" s="4"/>
      <c r="X3076" s="4"/>
    </row>
    <row r="3077" spans="17:24" x14ac:dyDescent="0.3">
      <c r="Q3077" s="4"/>
      <c r="R3077" s="4"/>
      <c r="S3077" s="4"/>
      <c r="T3077" s="4"/>
      <c r="U3077" s="4"/>
      <c r="V3077" s="4"/>
      <c r="W3077" s="4"/>
      <c r="X3077" s="4"/>
    </row>
    <row r="3078" spans="17:24" x14ac:dyDescent="0.3">
      <c r="Q3078" s="4"/>
      <c r="R3078" s="4"/>
      <c r="S3078" s="4"/>
      <c r="T3078" s="4"/>
      <c r="U3078" s="4"/>
      <c r="V3078" s="4"/>
      <c r="W3078" s="4"/>
      <c r="X3078" s="4"/>
    </row>
    <row r="3079" spans="17:24" x14ac:dyDescent="0.3">
      <c r="Q3079" s="4"/>
      <c r="R3079" s="4"/>
      <c r="S3079" s="4"/>
      <c r="T3079" s="4"/>
      <c r="U3079" s="4"/>
      <c r="V3079" s="4"/>
      <c r="W3079" s="4"/>
      <c r="X3079" s="4"/>
    </row>
    <row r="3080" spans="17:24" x14ac:dyDescent="0.3">
      <c r="Q3080" s="4"/>
      <c r="R3080" s="4"/>
      <c r="S3080" s="4"/>
      <c r="T3080" s="4"/>
      <c r="U3080" s="4"/>
      <c r="V3080" s="4"/>
      <c r="W3080" s="4"/>
      <c r="X3080" s="4"/>
    </row>
    <row r="3081" spans="17:24" x14ac:dyDescent="0.3">
      <c r="Q3081" s="4"/>
      <c r="R3081" s="4"/>
      <c r="S3081" s="4"/>
      <c r="T3081" s="4"/>
      <c r="U3081" s="4"/>
      <c r="V3081" s="4"/>
      <c r="W3081" s="4"/>
      <c r="X3081" s="4"/>
    </row>
    <row r="3082" spans="17:24" x14ac:dyDescent="0.3">
      <c r="Q3082" s="4"/>
      <c r="R3082" s="4"/>
      <c r="S3082" s="4"/>
      <c r="T3082" s="4"/>
      <c r="U3082" s="4"/>
      <c r="V3082" s="4"/>
      <c r="W3082" s="4"/>
      <c r="X3082" s="4"/>
    </row>
    <row r="3083" spans="17:24" x14ac:dyDescent="0.3">
      <c r="Q3083" s="4"/>
      <c r="R3083" s="4"/>
      <c r="S3083" s="4"/>
      <c r="T3083" s="4"/>
      <c r="U3083" s="4"/>
      <c r="V3083" s="4"/>
      <c r="W3083" s="4"/>
      <c r="X3083" s="4"/>
    </row>
    <row r="3084" spans="17:24" x14ac:dyDescent="0.3">
      <c r="Q3084" s="4"/>
      <c r="R3084" s="4"/>
      <c r="S3084" s="4"/>
      <c r="T3084" s="4"/>
      <c r="U3084" s="4"/>
      <c r="V3084" s="4"/>
      <c r="W3084" s="4"/>
      <c r="X3084" s="4"/>
    </row>
    <row r="3085" spans="17:24" x14ac:dyDescent="0.3">
      <c r="Q3085" s="4"/>
      <c r="R3085" s="4"/>
      <c r="S3085" s="4"/>
      <c r="T3085" s="4"/>
      <c r="U3085" s="4"/>
      <c r="V3085" s="4"/>
      <c r="W3085" s="4"/>
      <c r="X3085" s="4"/>
    </row>
    <row r="3086" spans="17:24" x14ac:dyDescent="0.3">
      <c r="Q3086" s="4"/>
      <c r="R3086" s="4"/>
      <c r="S3086" s="4"/>
      <c r="T3086" s="4"/>
      <c r="U3086" s="4"/>
      <c r="V3086" s="4"/>
      <c r="W3086" s="4"/>
      <c r="X3086" s="4"/>
    </row>
    <row r="3087" spans="17:24" x14ac:dyDescent="0.3">
      <c r="Q3087" s="4"/>
      <c r="R3087" s="4"/>
      <c r="S3087" s="4"/>
      <c r="T3087" s="4"/>
      <c r="U3087" s="4"/>
      <c r="V3087" s="4"/>
      <c r="W3087" s="4"/>
      <c r="X3087" s="4"/>
    </row>
    <row r="3088" spans="17:24" x14ac:dyDescent="0.3">
      <c r="Q3088" s="4"/>
      <c r="R3088" s="4"/>
      <c r="S3088" s="4"/>
      <c r="T3088" s="4"/>
      <c r="U3088" s="4"/>
      <c r="V3088" s="4"/>
      <c r="W3088" s="4"/>
      <c r="X3088" s="4"/>
    </row>
    <row r="3089" spans="17:24" x14ac:dyDescent="0.3">
      <c r="Q3089" s="4"/>
      <c r="R3089" s="4"/>
      <c r="S3089" s="4"/>
      <c r="T3089" s="4"/>
      <c r="U3089" s="4"/>
      <c r="V3089" s="4"/>
      <c r="W3089" s="4"/>
      <c r="X3089" s="4"/>
    </row>
    <row r="3090" spans="17:24" x14ac:dyDescent="0.3">
      <c r="Q3090" s="4"/>
      <c r="R3090" s="4"/>
      <c r="S3090" s="4"/>
      <c r="T3090" s="4"/>
      <c r="U3090" s="4"/>
      <c r="V3090" s="4"/>
      <c r="W3090" s="4"/>
      <c r="X3090" s="4"/>
    </row>
    <row r="3091" spans="17:24" x14ac:dyDescent="0.3">
      <c r="Q3091" s="4"/>
      <c r="R3091" s="4"/>
      <c r="S3091" s="4"/>
      <c r="T3091" s="4"/>
      <c r="U3091" s="4"/>
      <c r="V3091" s="4"/>
      <c r="W3091" s="4"/>
      <c r="X3091" s="4"/>
    </row>
    <row r="3092" spans="17:24" x14ac:dyDescent="0.3">
      <c r="Q3092" s="4"/>
      <c r="R3092" s="4"/>
      <c r="S3092" s="4"/>
      <c r="T3092" s="4"/>
      <c r="U3092" s="4"/>
      <c r="V3092" s="4"/>
      <c r="W3092" s="4"/>
      <c r="X3092" s="4"/>
    </row>
    <row r="3093" spans="17:24" x14ac:dyDescent="0.3">
      <c r="Q3093" s="4"/>
      <c r="R3093" s="4"/>
      <c r="S3093" s="4"/>
      <c r="T3093" s="4"/>
      <c r="U3093" s="4"/>
      <c r="V3093" s="4"/>
      <c r="W3093" s="4"/>
      <c r="X3093" s="4"/>
    </row>
    <row r="3094" spans="17:24" x14ac:dyDescent="0.3">
      <c r="Q3094" s="4"/>
      <c r="R3094" s="4"/>
      <c r="S3094" s="4"/>
      <c r="T3094" s="4"/>
      <c r="U3094" s="4"/>
      <c r="V3094" s="4"/>
      <c r="W3094" s="4"/>
      <c r="X3094" s="4"/>
    </row>
    <row r="3095" spans="17:24" x14ac:dyDescent="0.3">
      <c r="Q3095" s="4"/>
      <c r="R3095" s="4"/>
      <c r="S3095" s="4"/>
      <c r="T3095" s="4"/>
      <c r="U3095" s="4"/>
      <c r="V3095" s="4"/>
      <c r="W3095" s="4"/>
      <c r="X3095" s="4"/>
    </row>
    <row r="3096" spans="17:24" x14ac:dyDescent="0.3">
      <c r="Q3096" s="4"/>
      <c r="R3096" s="4"/>
      <c r="S3096" s="4"/>
      <c r="T3096" s="4"/>
      <c r="U3096" s="4"/>
      <c r="V3096" s="4"/>
      <c r="W3096" s="4"/>
      <c r="X3096" s="4"/>
    </row>
    <row r="3097" spans="17:24" x14ac:dyDescent="0.3">
      <c r="Q3097" s="4"/>
      <c r="R3097" s="4"/>
      <c r="S3097" s="4"/>
      <c r="T3097" s="4"/>
      <c r="U3097" s="4"/>
      <c r="V3097" s="4"/>
      <c r="W3097" s="4"/>
      <c r="X3097" s="4"/>
    </row>
    <row r="3098" spans="17:24" x14ac:dyDescent="0.3">
      <c r="Q3098" s="4"/>
      <c r="R3098" s="4"/>
      <c r="S3098" s="4"/>
      <c r="T3098" s="4"/>
      <c r="U3098" s="4"/>
      <c r="V3098" s="4"/>
      <c r="W3098" s="4"/>
      <c r="X3098" s="4"/>
    </row>
    <row r="3099" spans="17:24" x14ac:dyDescent="0.3">
      <c r="Q3099" s="4"/>
      <c r="R3099" s="4"/>
      <c r="S3099" s="4"/>
      <c r="T3099" s="4"/>
      <c r="U3099" s="4"/>
      <c r="V3099" s="4"/>
      <c r="W3099" s="4"/>
      <c r="X3099" s="4"/>
    </row>
    <row r="3100" spans="17:24" x14ac:dyDescent="0.3">
      <c r="Q3100" s="4"/>
      <c r="R3100" s="4"/>
      <c r="S3100" s="4"/>
      <c r="T3100" s="4"/>
      <c r="U3100" s="4"/>
      <c r="V3100" s="4"/>
      <c r="W3100" s="4"/>
      <c r="X3100" s="4"/>
    </row>
    <row r="3101" spans="17:24" x14ac:dyDescent="0.3">
      <c r="Q3101" s="4"/>
      <c r="R3101" s="4"/>
      <c r="S3101" s="4"/>
      <c r="T3101" s="4"/>
      <c r="U3101" s="4"/>
      <c r="V3101" s="4"/>
      <c r="W3101" s="4"/>
      <c r="X3101" s="4"/>
    </row>
    <row r="3102" spans="17:24" x14ac:dyDescent="0.3">
      <c r="Q3102" s="4"/>
      <c r="R3102" s="4"/>
      <c r="S3102" s="4"/>
      <c r="T3102" s="4"/>
      <c r="U3102" s="4"/>
      <c r="V3102" s="4"/>
      <c r="W3102" s="4"/>
      <c r="X3102" s="4"/>
    </row>
    <row r="3103" spans="17:24" x14ac:dyDescent="0.3">
      <c r="Q3103" s="4"/>
      <c r="R3103" s="4"/>
      <c r="S3103" s="4"/>
      <c r="T3103" s="4"/>
      <c r="U3103" s="4"/>
      <c r="V3103" s="4"/>
      <c r="W3103" s="4"/>
      <c r="X3103" s="4"/>
    </row>
    <row r="3104" spans="17:24" x14ac:dyDescent="0.3">
      <c r="Q3104" s="4"/>
      <c r="R3104" s="4"/>
      <c r="S3104" s="4"/>
      <c r="T3104" s="4"/>
      <c r="U3104" s="4"/>
      <c r="V3104" s="4"/>
      <c r="W3104" s="4"/>
      <c r="X3104" s="4"/>
    </row>
    <row r="3105" spans="17:24" x14ac:dyDescent="0.3">
      <c r="Q3105" s="4"/>
      <c r="R3105" s="4"/>
      <c r="S3105" s="4"/>
      <c r="T3105" s="4"/>
      <c r="U3105" s="4"/>
      <c r="V3105" s="4"/>
      <c r="W3105" s="4"/>
      <c r="X3105" s="4"/>
    </row>
    <row r="3106" spans="17:24" x14ac:dyDescent="0.3">
      <c r="Q3106" s="4"/>
      <c r="R3106" s="4"/>
      <c r="S3106" s="4"/>
      <c r="T3106" s="4"/>
      <c r="U3106" s="4"/>
      <c r="V3106" s="4"/>
      <c r="W3106" s="4"/>
      <c r="X3106" s="4"/>
    </row>
    <row r="3107" spans="17:24" x14ac:dyDescent="0.3">
      <c r="Q3107" s="4"/>
      <c r="R3107" s="4"/>
      <c r="S3107" s="4"/>
      <c r="T3107" s="4"/>
      <c r="U3107" s="4"/>
      <c r="V3107" s="4"/>
      <c r="W3107" s="4"/>
      <c r="X3107" s="4"/>
    </row>
    <row r="3108" spans="17:24" x14ac:dyDescent="0.3">
      <c r="Q3108" s="4"/>
      <c r="R3108" s="4"/>
      <c r="S3108" s="4"/>
      <c r="T3108" s="4"/>
      <c r="U3108" s="4"/>
      <c r="V3108" s="4"/>
      <c r="W3108" s="4"/>
      <c r="X3108" s="4"/>
    </row>
    <row r="3109" spans="17:24" x14ac:dyDescent="0.3">
      <c r="Q3109" s="4"/>
      <c r="R3109" s="4"/>
      <c r="S3109" s="4"/>
      <c r="T3109" s="4"/>
      <c r="U3109" s="4"/>
      <c r="V3109" s="4"/>
      <c r="W3109" s="4"/>
      <c r="X3109" s="4"/>
    </row>
    <row r="3110" spans="17:24" x14ac:dyDescent="0.3">
      <c r="Q3110" s="4"/>
      <c r="R3110" s="4"/>
      <c r="S3110" s="4"/>
      <c r="T3110" s="4"/>
      <c r="U3110" s="4"/>
      <c r="V3110" s="4"/>
      <c r="W3110" s="4"/>
      <c r="X3110" s="4"/>
    </row>
    <row r="3111" spans="17:24" x14ac:dyDescent="0.3">
      <c r="Q3111" s="4"/>
      <c r="R3111" s="4"/>
      <c r="S3111" s="4"/>
      <c r="T3111" s="4"/>
      <c r="U3111" s="4"/>
      <c r="V3111" s="4"/>
      <c r="W3111" s="4"/>
      <c r="X3111" s="4"/>
    </row>
    <row r="3112" spans="17:24" x14ac:dyDescent="0.3">
      <c r="Q3112" s="4"/>
      <c r="R3112" s="4"/>
      <c r="S3112" s="4"/>
      <c r="T3112" s="4"/>
      <c r="U3112" s="4"/>
      <c r="V3112" s="4"/>
      <c r="W3112" s="4"/>
      <c r="X3112" s="4"/>
    </row>
    <row r="3113" spans="17:24" x14ac:dyDescent="0.3">
      <c r="Q3113" s="4"/>
      <c r="R3113" s="4"/>
      <c r="S3113" s="4"/>
      <c r="T3113" s="4"/>
      <c r="U3113" s="4"/>
      <c r="V3113" s="4"/>
      <c r="W3113" s="4"/>
      <c r="X3113" s="4"/>
    </row>
    <row r="3114" spans="17:24" x14ac:dyDescent="0.3">
      <c r="Q3114" s="4"/>
      <c r="R3114" s="4"/>
      <c r="S3114" s="4"/>
      <c r="T3114" s="4"/>
      <c r="U3114" s="4"/>
      <c r="V3114" s="4"/>
      <c r="W3114" s="4"/>
      <c r="X3114" s="4"/>
    </row>
    <row r="3115" spans="17:24" x14ac:dyDescent="0.3">
      <c r="Q3115" s="4"/>
      <c r="R3115" s="4"/>
      <c r="S3115" s="4"/>
      <c r="T3115" s="4"/>
      <c r="U3115" s="4"/>
      <c r="V3115" s="4"/>
      <c r="W3115" s="4"/>
      <c r="X3115" s="4"/>
    </row>
    <row r="3116" spans="17:24" x14ac:dyDescent="0.3">
      <c r="Q3116" s="4"/>
      <c r="R3116" s="4"/>
      <c r="S3116" s="4"/>
      <c r="T3116" s="4"/>
      <c r="U3116" s="4"/>
      <c r="V3116" s="4"/>
      <c r="W3116" s="4"/>
      <c r="X3116" s="4"/>
    </row>
    <row r="3117" spans="17:24" x14ac:dyDescent="0.3">
      <c r="Q3117" s="4"/>
      <c r="R3117" s="4"/>
      <c r="S3117" s="4"/>
      <c r="T3117" s="4"/>
      <c r="U3117" s="4"/>
      <c r="V3117" s="4"/>
      <c r="W3117" s="4"/>
      <c r="X3117" s="4"/>
    </row>
    <row r="3118" spans="17:24" x14ac:dyDescent="0.3">
      <c r="Q3118" s="4"/>
      <c r="R3118" s="4"/>
      <c r="S3118" s="4"/>
      <c r="T3118" s="4"/>
      <c r="U3118" s="4"/>
      <c r="V3118" s="4"/>
      <c r="W3118" s="4"/>
      <c r="X3118" s="4"/>
    </row>
    <row r="3119" spans="17:24" x14ac:dyDescent="0.3">
      <c r="Q3119" s="4"/>
      <c r="R3119" s="4"/>
      <c r="S3119" s="4"/>
      <c r="T3119" s="4"/>
      <c r="U3119" s="4"/>
      <c r="V3119" s="4"/>
      <c r="W3119" s="4"/>
      <c r="X3119" s="4"/>
    </row>
    <row r="3120" spans="17:24" x14ac:dyDescent="0.3">
      <c r="Q3120" s="4"/>
      <c r="R3120" s="4"/>
      <c r="S3120" s="4"/>
      <c r="T3120" s="4"/>
      <c r="U3120" s="4"/>
      <c r="V3120" s="4"/>
      <c r="W3120" s="4"/>
      <c r="X3120" s="4"/>
    </row>
    <row r="3121" spans="17:24" x14ac:dyDescent="0.3">
      <c r="Q3121" s="4"/>
      <c r="R3121" s="4"/>
      <c r="S3121" s="4"/>
      <c r="T3121" s="4"/>
      <c r="U3121" s="4"/>
      <c r="V3121" s="4"/>
      <c r="W3121" s="4"/>
      <c r="X3121" s="4"/>
    </row>
    <row r="3122" spans="17:24" x14ac:dyDescent="0.3">
      <c r="Q3122" s="4"/>
      <c r="R3122" s="4"/>
      <c r="S3122" s="4"/>
      <c r="T3122" s="4"/>
      <c r="U3122" s="4"/>
      <c r="V3122" s="4"/>
      <c r="W3122" s="4"/>
      <c r="X3122" s="4"/>
    </row>
    <row r="3123" spans="17:24" x14ac:dyDescent="0.3">
      <c r="Q3123" s="4"/>
      <c r="R3123" s="4"/>
      <c r="S3123" s="4"/>
      <c r="T3123" s="4"/>
      <c r="U3123" s="4"/>
      <c r="V3123" s="4"/>
      <c r="W3123" s="4"/>
      <c r="X3123" s="4"/>
    </row>
    <row r="3124" spans="17:24" x14ac:dyDescent="0.3">
      <c r="Q3124" s="4"/>
      <c r="R3124" s="4"/>
      <c r="S3124" s="4"/>
      <c r="T3124" s="4"/>
      <c r="U3124" s="4"/>
      <c r="V3124" s="4"/>
      <c r="W3124" s="4"/>
      <c r="X3124" s="4"/>
    </row>
    <row r="3125" spans="17:24" x14ac:dyDescent="0.3">
      <c r="Q3125" s="4"/>
      <c r="R3125" s="4"/>
      <c r="S3125" s="4"/>
      <c r="T3125" s="4"/>
      <c r="U3125" s="4"/>
      <c r="V3125" s="4"/>
      <c r="W3125" s="4"/>
      <c r="X3125" s="4"/>
    </row>
    <row r="3126" spans="17:24" x14ac:dyDescent="0.3">
      <c r="Q3126" s="4"/>
      <c r="R3126" s="4"/>
      <c r="S3126" s="4"/>
      <c r="T3126" s="4"/>
      <c r="U3126" s="4"/>
      <c r="V3126" s="4"/>
      <c r="W3126" s="4"/>
      <c r="X3126" s="4"/>
    </row>
    <row r="3127" spans="17:24" x14ac:dyDescent="0.3">
      <c r="Q3127" s="4"/>
      <c r="R3127" s="4"/>
      <c r="S3127" s="4"/>
      <c r="T3127" s="4"/>
      <c r="U3127" s="4"/>
      <c r="V3127" s="4"/>
      <c r="W3127" s="4"/>
      <c r="X3127" s="4"/>
    </row>
    <row r="3128" spans="17:24" x14ac:dyDescent="0.3">
      <c r="Q3128" s="4"/>
      <c r="R3128" s="4"/>
      <c r="S3128" s="4"/>
      <c r="T3128" s="4"/>
      <c r="U3128" s="4"/>
      <c r="V3128" s="4"/>
      <c r="W3128" s="4"/>
      <c r="X3128" s="4"/>
    </row>
    <row r="3129" spans="17:24" x14ac:dyDescent="0.3">
      <c r="Q3129" s="4"/>
      <c r="R3129" s="4"/>
      <c r="S3129" s="4"/>
      <c r="T3129" s="4"/>
      <c r="U3129" s="4"/>
      <c r="V3129" s="4"/>
      <c r="W3129" s="4"/>
      <c r="X3129" s="4"/>
    </row>
    <row r="3130" spans="17:24" x14ac:dyDescent="0.3">
      <c r="Q3130" s="4"/>
      <c r="R3130" s="4"/>
      <c r="S3130" s="4"/>
      <c r="T3130" s="4"/>
      <c r="U3130" s="4"/>
      <c r="V3130" s="4"/>
      <c r="W3130" s="4"/>
      <c r="X3130" s="4"/>
    </row>
    <row r="3131" spans="17:24" x14ac:dyDescent="0.3">
      <c r="Q3131" s="4"/>
      <c r="R3131" s="4"/>
      <c r="S3131" s="4"/>
      <c r="T3131" s="4"/>
      <c r="U3131" s="4"/>
      <c r="V3131" s="4"/>
      <c r="W3131" s="4"/>
      <c r="X3131" s="4"/>
    </row>
    <row r="3132" spans="17:24" x14ac:dyDescent="0.3">
      <c r="Q3132" s="4"/>
      <c r="R3132" s="4"/>
      <c r="S3132" s="4"/>
      <c r="T3132" s="4"/>
      <c r="U3132" s="4"/>
      <c r="V3132" s="4"/>
      <c r="W3132" s="4"/>
      <c r="X3132" s="4"/>
    </row>
    <row r="3133" spans="17:24" x14ac:dyDescent="0.3">
      <c r="Q3133" s="4"/>
      <c r="R3133" s="4"/>
      <c r="S3133" s="4"/>
      <c r="T3133" s="4"/>
      <c r="U3133" s="4"/>
      <c r="V3133" s="4"/>
      <c r="W3133" s="4"/>
      <c r="X3133" s="4"/>
    </row>
    <row r="3134" spans="17:24" x14ac:dyDescent="0.3">
      <c r="Q3134" s="4"/>
      <c r="R3134" s="4"/>
      <c r="S3134" s="4"/>
      <c r="T3134" s="4"/>
      <c r="U3134" s="4"/>
      <c r="V3134" s="4"/>
      <c r="W3134" s="4"/>
      <c r="X3134" s="4"/>
    </row>
    <row r="3135" spans="17:24" x14ac:dyDescent="0.3">
      <c r="Q3135" s="4"/>
      <c r="R3135" s="4"/>
      <c r="S3135" s="4"/>
      <c r="T3135" s="4"/>
      <c r="U3135" s="4"/>
      <c r="V3135" s="4"/>
      <c r="W3135" s="4"/>
      <c r="X3135" s="4"/>
    </row>
    <row r="3136" spans="17:24" x14ac:dyDescent="0.3">
      <c r="Q3136" s="4"/>
      <c r="R3136" s="4"/>
      <c r="S3136" s="4"/>
      <c r="T3136" s="4"/>
      <c r="U3136" s="4"/>
      <c r="V3136" s="4"/>
      <c r="W3136" s="4"/>
      <c r="X3136" s="4"/>
    </row>
    <row r="3137" spans="17:24" x14ac:dyDescent="0.3">
      <c r="Q3137" s="4"/>
      <c r="R3137" s="4"/>
      <c r="S3137" s="4"/>
      <c r="T3137" s="4"/>
      <c r="U3137" s="4"/>
      <c r="V3137" s="4"/>
      <c r="W3137" s="4"/>
      <c r="X3137" s="4"/>
    </row>
    <row r="3138" spans="17:24" x14ac:dyDescent="0.3">
      <c r="Q3138" s="4"/>
      <c r="R3138" s="4"/>
      <c r="S3138" s="4"/>
      <c r="T3138" s="4"/>
      <c r="U3138" s="4"/>
      <c r="V3138" s="4"/>
      <c r="W3138" s="4"/>
      <c r="X3138" s="4"/>
    </row>
    <row r="3139" spans="17:24" x14ac:dyDescent="0.3">
      <c r="Q3139" s="4"/>
      <c r="R3139" s="4"/>
      <c r="S3139" s="4"/>
      <c r="T3139" s="4"/>
      <c r="U3139" s="4"/>
      <c r="V3139" s="4"/>
      <c r="W3139" s="4"/>
      <c r="X3139" s="4"/>
    </row>
    <row r="3140" spans="17:24" x14ac:dyDescent="0.3">
      <c r="Q3140" s="4"/>
      <c r="R3140" s="4"/>
      <c r="S3140" s="4"/>
      <c r="T3140" s="4"/>
      <c r="U3140" s="4"/>
      <c r="V3140" s="4"/>
      <c r="W3140" s="4"/>
      <c r="X3140" s="4"/>
    </row>
    <row r="3141" spans="17:24" x14ac:dyDescent="0.3">
      <c r="Q3141" s="4"/>
      <c r="R3141" s="4"/>
      <c r="S3141" s="4"/>
      <c r="T3141" s="4"/>
      <c r="U3141" s="4"/>
      <c r="V3141" s="4"/>
      <c r="W3141" s="4"/>
      <c r="X3141" s="4"/>
    </row>
    <row r="3142" spans="17:24" x14ac:dyDescent="0.3">
      <c r="Q3142" s="4"/>
      <c r="R3142" s="4"/>
      <c r="S3142" s="4"/>
      <c r="T3142" s="4"/>
      <c r="U3142" s="4"/>
      <c r="V3142" s="4"/>
      <c r="W3142" s="4"/>
      <c r="X3142" s="4"/>
    </row>
    <row r="3143" spans="17:24" x14ac:dyDescent="0.3">
      <c r="Q3143" s="4"/>
      <c r="R3143" s="4"/>
      <c r="S3143" s="4"/>
      <c r="T3143" s="4"/>
      <c r="U3143" s="4"/>
      <c r="V3143" s="4"/>
      <c r="W3143" s="4"/>
      <c r="X3143" s="4"/>
    </row>
    <row r="3144" spans="17:24" x14ac:dyDescent="0.3">
      <c r="Q3144" s="4"/>
      <c r="R3144" s="4"/>
      <c r="S3144" s="4"/>
      <c r="T3144" s="4"/>
      <c r="U3144" s="4"/>
      <c r="V3144" s="4"/>
      <c r="W3144" s="4"/>
      <c r="X3144" s="4"/>
    </row>
    <row r="3145" spans="17:24" x14ac:dyDescent="0.3">
      <c r="Q3145" s="4"/>
      <c r="R3145" s="4"/>
      <c r="S3145" s="4"/>
      <c r="T3145" s="4"/>
      <c r="U3145" s="4"/>
      <c r="V3145" s="4"/>
      <c r="W3145" s="4"/>
      <c r="X3145" s="4"/>
    </row>
    <row r="3146" spans="17:24" x14ac:dyDescent="0.3">
      <c r="Q3146" s="4"/>
      <c r="R3146" s="4"/>
      <c r="S3146" s="4"/>
      <c r="T3146" s="4"/>
      <c r="U3146" s="4"/>
      <c r="V3146" s="4"/>
      <c r="W3146" s="4"/>
      <c r="X3146" s="4"/>
    </row>
    <row r="3147" spans="17:24" x14ac:dyDescent="0.3">
      <c r="Q3147" s="4"/>
      <c r="R3147" s="4"/>
      <c r="S3147" s="4"/>
      <c r="T3147" s="4"/>
      <c r="U3147" s="4"/>
      <c r="V3147" s="4"/>
      <c r="W3147" s="4"/>
      <c r="X3147" s="4"/>
    </row>
    <row r="3148" spans="17:24" x14ac:dyDescent="0.3">
      <c r="Q3148" s="4"/>
      <c r="R3148" s="4"/>
      <c r="S3148" s="4"/>
      <c r="T3148" s="4"/>
      <c r="U3148" s="4"/>
      <c r="V3148" s="4"/>
      <c r="W3148" s="4"/>
      <c r="X3148" s="4"/>
    </row>
    <row r="3149" spans="17:24" x14ac:dyDescent="0.3">
      <c r="Q3149" s="4"/>
      <c r="R3149" s="4"/>
      <c r="S3149" s="4"/>
      <c r="T3149" s="4"/>
      <c r="U3149" s="4"/>
      <c r="V3149" s="4"/>
      <c r="W3149" s="4"/>
      <c r="X3149" s="4"/>
    </row>
    <row r="3150" spans="17:24" x14ac:dyDescent="0.3">
      <c r="Q3150" s="4"/>
      <c r="R3150" s="4"/>
      <c r="S3150" s="4"/>
      <c r="T3150" s="4"/>
      <c r="U3150" s="4"/>
      <c r="V3150" s="4"/>
      <c r="W3150" s="4"/>
      <c r="X3150" s="4"/>
    </row>
    <row r="3151" spans="17:24" x14ac:dyDescent="0.3">
      <c r="Q3151" s="4"/>
      <c r="R3151" s="4"/>
      <c r="S3151" s="4"/>
      <c r="T3151" s="4"/>
      <c r="U3151" s="4"/>
      <c r="V3151" s="4"/>
      <c r="W3151" s="4"/>
      <c r="X3151" s="4"/>
    </row>
    <row r="3152" spans="17:24" x14ac:dyDescent="0.3">
      <c r="Q3152" s="4"/>
      <c r="R3152" s="4"/>
      <c r="S3152" s="4"/>
      <c r="T3152" s="4"/>
      <c r="U3152" s="4"/>
      <c r="V3152" s="4"/>
      <c r="W3152" s="4"/>
      <c r="X3152" s="4"/>
    </row>
    <row r="3153" spans="17:24" x14ac:dyDescent="0.3">
      <c r="Q3153" s="4"/>
      <c r="R3153" s="4"/>
      <c r="S3153" s="4"/>
      <c r="T3153" s="4"/>
      <c r="U3153" s="4"/>
      <c r="V3153" s="4"/>
      <c r="W3153" s="4"/>
      <c r="X3153" s="4"/>
    </row>
    <row r="3154" spans="17:24" x14ac:dyDescent="0.3">
      <c r="Q3154" s="4"/>
      <c r="R3154" s="4"/>
      <c r="S3154" s="4"/>
      <c r="T3154" s="4"/>
      <c r="U3154" s="4"/>
      <c r="V3154" s="4"/>
      <c r="W3154" s="4"/>
      <c r="X3154" s="4"/>
    </row>
    <row r="3155" spans="17:24" x14ac:dyDescent="0.3">
      <c r="Q3155" s="4"/>
      <c r="R3155" s="4"/>
      <c r="S3155" s="4"/>
      <c r="T3155" s="4"/>
      <c r="U3155" s="4"/>
      <c r="V3155" s="4"/>
      <c r="W3155" s="4"/>
      <c r="X3155" s="4"/>
    </row>
    <row r="3156" spans="17:24" x14ac:dyDescent="0.3">
      <c r="Q3156" s="4"/>
      <c r="R3156" s="4"/>
      <c r="S3156" s="4"/>
      <c r="T3156" s="4"/>
      <c r="U3156" s="4"/>
      <c r="V3156" s="4"/>
      <c r="W3156" s="4"/>
      <c r="X3156" s="4"/>
    </row>
    <row r="3157" spans="17:24" x14ac:dyDescent="0.3">
      <c r="Q3157" s="4"/>
      <c r="R3157" s="4"/>
      <c r="S3157" s="4"/>
      <c r="T3157" s="4"/>
      <c r="U3157" s="4"/>
      <c r="V3157" s="4"/>
      <c r="W3157" s="4"/>
      <c r="X3157" s="4"/>
    </row>
    <row r="3158" spans="17:24" x14ac:dyDescent="0.3">
      <c r="Q3158" s="4"/>
      <c r="R3158" s="4"/>
      <c r="S3158" s="4"/>
      <c r="T3158" s="4"/>
      <c r="U3158" s="4"/>
      <c r="V3158" s="4"/>
      <c r="W3158" s="4"/>
      <c r="X3158" s="4"/>
    </row>
    <row r="3159" spans="17:24" x14ac:dyDescent="0.3">
      <c r="Q3159" s="4"/>
      <c r="R3159" s="4"/>
      <c r="S3159" s="4"/>
      <c r="T3159" s="4"/>
      <c r="U3159" s="4"/>
      <c r="V3159" s="4"/>
      <c r="W3159" s="4"/>
      <c r="X3159" s="4"/>
    </row>
    <row r="3160" spans="17:24" x14ac:dyDescent="0.3">
      <c r="Q3160" s="4"/>
      <c r="R3160" s="4"/>
      <c r="S3160" s="4"/>
      <c r="T3160" s="4"/>
      <c r="U3160" s="4"/>
      <c r="V3160" s="4"/>
      <c r="W3160" s="4"/>
      <c r="X3160" s="4"/>
    </row>
    <row r="3161" spans="17:24" x14ac:dyDescent="0.3">
      <c r="Q3161" s="4"/>
      <c r="R3161" s="4"/>
      <c r="S3161" s="4"/>
      <c r="T3161" s="4"/>
      <c r="U3161" s="4"/>
      <c r="V3161" s="4"/>
      <c r="W3161" s="4"/>
      <c r="X3161" s="4"/>
    </row>
    <row r="3162" spans="17:24" x14ac:dyDescent="0.3">
      <c r="Q3162" s="4"/>
      <c r="R3162" s="4"/>
      <c r="S3162" s="4"/>
      <c r="T3162" s="4"/>
      <c r="U3162" s="4"/>
      <c r="V3162" s="4"/>
      <c r="W3162" s="4"/>
      <c r="X3162" s="4"/>
    </row>
    <row r="3163" spans="17:24" x14ac:dyDescent="0.3">
      <c r="Q3163" s="4"/>
      <c r="R3163" s="4"/>
      <c r="S3163" s="4"/>
      <c r="T3163" s="4"/>
      <c r="U3163" s="4"/>
      <c r="V3163" s="4"/>
      <c r="W3163" s="4"/>
      <c r="X3163" s="4"/>
    </row>
    <row r="3164" spans="17:24" x14ac:dyDescent="0.3">
      <c r="Q3164" s="4"/>
      <c r="R3164" s="4"/>
      <c r="S3164" s="4"/>
      <c r="T3164" s="4"/>
      <c r="U3164" s="4"/>
      <c r="V3164" s="4"/>
      <c r="W3164" s="4"/>
      <c r="X3164" s="4"/>
    </row>
    <row r="3165" spans="17:24" x14ac:dyDescent="0.3">
      <c r="Q3165" s="4"/>
      <c r="R3165" s="4"/>
      <c r="S3165" s="4"/>
      <c r="T3165" s="4"/>
      <c r="U3165" s="4"/>
      <c r="V3165" s="4"/>
      <c r="W3165" s="4"/>
      <c r="X3165" s="4"/>
    </row>
    <row r="3166" spans="17:24" x14ac:dyDescent="0.3">
      <c r="Q3166" s="4"/>
      <c r="R3166" s="4"/>
      <c r="S3166" s="4"/>
      <c r="T3166" s="4"/>
      <c r="U3166" s="4"/>
      <c r="V3166" s="4"/>
      <c r="W3166" s="4"/>
      <c r="X3166" s="4"/>
    </row>
    <row r="3167" spans="17:24" x14ac:dyDescent="0.3">
      <c r="Q3167" s="4"/>
      <c r="R3167" s="4"/>
      <c r="S3167" s="4"/>
      <c r="T3167" s="4"/>
      <c r="U3167" s="4"/>
      <c r="V3167" s="4"/>
      <c r="W3167" s="4"/>
      <c r="X3167" s="4"/>
    </row>
    <row r="3168" spans="17:24" x14ac:dyDescent="0.3">
      <c r="Q3168" s="4"/>
      <c r="R3168" s="4"/>
      <c r="S3168" s="4"/>
      <c r="T3168" s="4"/>
      <c r="U3168" s="4"/>
      <c r="V3168" s="4"/>
      <c r="W3168" s="4"/>
      <c r="X3168" s="4"/>
    </row>
    <row r="3169" spans="17:24" x14ac:dyDescent="0.3">
      <c r="Q3169" s="4"/>
      <c r="R3169" s="4"/>
      <c r="S3169" s="4"/>
      <c r="T3169" s="4"/>
      <c r="U3169" s="4"/>
      <c r="V3169" s="4"/>
      <c r="W3169" s="4"/>
      <c r="X3169" s="4"/>
    </row>
    <row r="3170" spans="17:24" x14ac:dyDescent="0.3">
      <c r="Q3170" s="4"/>
      <c r="R3170" s="4"/>
      <c r="S3170" s="4"/>
      <c r="T3170" s="4"/>
      <c r="U3170" s="4"/>
      <c r="V3170" s="4"/>
      <c r="W3170" s="4"/>
      <c r="X3170" s="4"/>
    </row>
    <row r="3171" spans="17:24" x14ac:dyDescent="0.3">
      <c r="Q3171" s="4"/>
      <c r="R3171" s="4"/>
      <c r="S3171" s="4"/>
      <c r="T3171" s="4"/>
      <c r="U3171" s="4"/>
      <c r="V3171" s="4"/>
      <c r="W3171" s="4"/>
      <c r="X3171" s="4"/>
    </row>
    <row r="3172" spans="17:24" x14ac:dyDescent="0.3">
      <c r="Q3172" s="4"/>
      <c r="R3172" s="4"/>
      <c r="S3172" s="4"/>
      <c r="T3172" s="4"/>
      <c r="U3172" s="4"/>
      <c r="V3172" s="4"/>
      <c r="W3172" s="4"/>
      <c r="X3172" s="4"/>
    </row>
    <row r="3173" spans="17:24" x14ac:dyDescent="0.3">
      <c r="Q3173" s="4"/>
      <c r="R3173" s="4"/>
      <c r="S3173" s="4"/>
      <c r="T3173" s="4"/>
      <c r="U3173" s="4"/>
      <c r="V3173" s="4"/>
      <c r="W3173" s="4"/>
      <c r="X3173" s="4"/>
    </row>
    <row r="3174" spans="17:24" x14ac:dyDescent="0.3">
      <c r="Q3174" s="4"/>
      <c r="R3174" s="4"/>
      <c r="S3174" s="4"/>
      <c r="T3174" s="4"/>
      <c r="U3174" s="4"/>
      <c r="V3174" s="4"/>
      <c r="W3174" s="4"/>
      <c r="X3174" s="4"/>
    </row>
    <row r="3175" spans="17:24" x14ac:dyDescent="0.3">
      <c r="Q3175" s="4"/>
      <c r="R3175" s="4"/>
      <c r="S3175" s="4"/>
      <c r="T3175" s="4"/>
      <c r="U3175" s="4"/>
      <c r="V3175" s="4"/>
      <c r="W3175" s="4"/>
      <c r="X3175" s="4"/>
    </row>
    <row r="3176" spans="17:24" x14ac:dyDescent="0.3">
      <c r="Q3176" s="4"/>
      <c r="R3176" s="4"/>
      <c r="S3176" s="4"/>
      <c r="T3176" s="4"/>
      <c r="U3176" s="4"/>
      <c r="V3176" s="4"/>
      <c r="W3176" s="4"/>
      <c r="X3176" s="4"/>
    </row>
    <row r="3177" spans="17:24" x14ac:dyDescent="0.3">
      <c r="Q3177" s="4"/>
      <c r="R3177" s="4"/>
      <c r="S3177" s="4"/>
      <c r="T3177" s="4"/>
      <c r="U3177" s="4"/>
      <c r="V3177" s="4"/>
      <c r="W3177" s="4"/>
      <c r="X3177" s="4"/>
    </row>
    <row r="3178" spans="17:24" x14ac:dyDescent="0.3">
      <c r="Q3178" s="4"/>
      <c r="R3178" s="4"/>
      <c r="S3178" s="4"/>
      <c r="T3178" s="4"/>
      <c r="U3178" s="4"/>
      <c r="V3178" s="4"/>
      <c r="W3178" s="4"/>
      <c r="X3178" s="4"/>
    </row>
    <row r="3179" spans="17:24" x14ac:dyDescent="0.3">
      <c r="Q3179" s="4"/>
      <c r="R3179" s="4"/>
      <c r="S3179" s="4"/>
      <c r="T3179" s="4"/>
      <c r="U3179" s="4"/>
      <c r="V3179" s="4"/>
      <c r="W3179" s="4"/>
      <c r="X3179" s="4"/>
    </row>
    <row r="3180" spans="17:24" x14ac:dyDescent="0.3">
      <c r="Q3180" s="4"/>
      <c r="R3180" s="4"/>
      <c r="S3180" s="4"/>
      <c r="T3180" s="4"/>
      <c r="U3180" s="4"/>
      <c r="V3180" s="4"/>
      <c r="W3180" s="4"/>
      <c r="X3180" s="4"/>
    </row>
    <row r="3181" spans="17:24" x14ac:dyDescent="0.3">
      <c r="Q3181" s="4"/>
      <c r="R3181" s="4"/>
      <c r="S3181" s="4"/>
      <c r="T3181" s="4"/>
      <c r="U3181" s="4"/>
      <c r="V3181" s="4"/>
      <c r="W3181" s="4"/>
      <c r="X3181" s="4"/>
    </row>
    <row r="3182" spans="17:24" x14ac:dyDescent="0.3">
      <c r="Q3182" s="4"/>
      <c r="R3182" s="4"/>
      <c r="S3182" s="4"/>
      <c r="T3182" s="4"/>
      <c r="U3182" s="4"/>
      <c r="V3182" s="4"/>
      <c r="W3182" s="4"/>
      <c r="X3182" s="4"/>
    </row>
    <row r="3183" spans="17:24" x14ac:dyDescent="0.3">
      <c r="Q3183" s="4"/>
      <c r="R3183" s="4"/>
      <c r="S3183" s="4"/>
      <c r="T3183" s="4"/>
      <c r="U3183" s="4"/>
      <c r="V3183" s="4"/>
      <c r="W3183" s="4"/>
      <c r="X3183" s="4"/>
    </row>
    <row r="3184" spans="17:24" x14ac:dyDescent="0.3">
      <c r="Q3184" s="4"/>
      <c r="R3184" s="4"/>
      <c r="S3184" s="4"/>
      <c r="T3184" s="4"/>
      <c r="U3184" s="4"/>
      <c r="V3184" s="4"/>
      <c r="W3184" s="4"/>
      <c r="X3184" s="4"/>
    </row>
    <row r="3185" spans="17:24" x14ac:dyDescent="0.3">
      <c r="Q3185" s="4"/>
      <c r="R3185" s="4"/>
      <c r="S3185" s="4"/>
      <c r="T3185" s="4"/>
      <c r="U3185" s="4"/>
      <c r="V3185" s="4"/>
      <c r="W3185" s="4"/>
      <c r="X3185" s="4"/>
    </row>
    <row r="3186" spans="17:24" x14ac:dyDescent="0.3">
      <c r="Q3186" s="4"/>
      <c r="R3186" s="4"/>
      <c r="S3186" s="4"/>
      <c r="T3186" s="4"/>
      <c r="U3186" s="4"/>
      <c r="V3186" s="4"/>
      <c r="W3186" s="4"/>
      <c r="X3186" s="4"/>
    </row>
    <row r="3187" spans="17:24" x14ac:dyDescent="0.3">
      <c r="Q3187" s="4"/>
      <c r="R3187" s="4"/>
      <c r="S3187" s="4"/>
      <c r="T3187" s="4"/>
      <c r="U3187" s="4"/>
      <c r="V3187" s="4"/>
      <c r="W3187" s="4"/>
      <c r="X3187" s="4"/>
    </row>
    <row r="3188" spans="17:24" x14ac:dyDescent="0.3">
      <c r="Q3188" s="4"/>
      <c r="R3188" s="4"/>
      <c r="S3188" s="4"/>
      <c r="T3188" s="4"/>
      <c r="U3188" s="4"/>
      <c r="V3188" s="4"/>
      <c r="W3188" s="4"/>
      <c r="X3188" s="4"/>
    </row>
    <row r="3189" spans="17:24" x14ac:dyDescent="0.3">
      <c r="Q3189" s="4"/>
      <c r="R3189" s="4"/>
      <c r="S3189" s="4"/>
      <c r="T3189" s="4"/>
      <c r="U3189" s="4"/>
      <c r="V3189" s="4"/>
      <c r="W3189" s="4"/>
      <c r="X3189" s="4"/>
    </row>
    <row r="3190" spans="17:24" x14ac:dyDescent="0.3">
      <c r="Q3190" s="4"/>
      <c r="R3190" s="4"/>
      <c r="S3190" s="4"/>
      <c r="T3190" s="4"/>
      <c r="U3190" s="4"/>
      <c r="V3190" s="4"/>
      <c r="W3190" s="4"/>
      <c r="X3190" s="4"/>
    </row>
    <row r="3191" spans="17:24" x14ac:dyDescent="0.3">
      <c r="Q3191" s="4"/>
      <c r="R3191" s="4"/>
      <c r="S3191" s="4"/>
      <c r="T3191" s="4"/>
      <c r="U3191" s="4"/>
      <c r="V3191" s="4"/>
      <c r="W3191" s="4"/>
      <c r="X3191" s="4"/>
    </row>
    <row r="3192" spans="17:24" x14ac:dyDescent="0.3">
      <c r="Q3192" s="4"/>
      <c r="R3192" s="4"/>
      <c r="S3192" s="4"/>
      <c r="T3192" s="4"/>
      <c r="U3192" s="4"/>
      <c r="V3192" s="4"/>
      <c r="W3192" s="4"/>
      <c r="X3192" s="4"/>
    </row>
    <row r="3193" spans="17:24" x14ac:dyDescent="0.3">
      <c r="Q3193" s="4"/>
      <c r="R3193" s="4"/>
      <c r="S3193" s="4"/>
      <c r="T3193" s="4"/>
      <c r="U3193" s="4"/>
      <c r="V3193" s="4"/>
      <c r="W3193" s="4"/>
      <c r="X3193" s="4"/>
    </row>
    <row r="3194" spans="17:24" x14ac:dyDescent="0.3">
      <c r="Q3194" s="4"/>
      <c r="R3194" s="4"/>
      <c r="S3194" s="4"/>
      <c r="T3194" s="4"/>
      <c r="U3194" s="4"/>
      <c r="V3194" s="4"/>
      <c r="W3194" s="4"/>
      <c r="X3194" s="4"/>
    </row>
    <row r="3195" spans="17:24" x14ac:dyDescent="0.3">
      <c r="Q3195" s="4"/>
      <c r="R3195" s="4"/>
      <c r="S3195" s="4"/>
      <c r="T3195" s="4"/>
      <c r="U3195" s="4"/>
      <c r="V3195" s="4"/>
      <c r="W3195" s="4"/>
      <c r="X3195" s="4"/>
    </row>
    <row r="3196" spans="17:24" x14ac:dyDescent="0.3">
      <c r="Q3196" s="4"/>
      <c r="R3196" s="4"/>
      <c r="S3196" s="4"/>
      <c r="T3196" s="4"/>
      <c r="U3196" s="4"/>
      <c r="V3196" s="4"/>
      <c r="W3196" s="4"/>
      <c r="X3196" s="4"/>
    </row>
    <row r="3197" spans="17:24" x14ac:dyDescent="0.3">
      <c r="Q3197" s="4"/>
      <c r="R3197" s="4"/>
      <c r="S3197" s="4"/>
      <c r="T3197" s="4"/>
      <c r="U3197" s="4"/>
      <c r="V3197" s="4"/>
      <c r="W3197" s="4"/>
      <c r="X3197" s="4"/>
    </row>
    <row r="3198" spans="17:24" x14ac:dyDescent="0.3">
      <c r="Q3198" s="4"/>
      <c r="R3198" s="4"/>
      <c r="S3198" s="4"/>
      <c r="T3198" s="4"/>
      <c r="U3198" s="4"/>
      <c r="V3198" s="4"/>
      <c r="W3198" s="4"/>
      <c r="X3198" s="4"/>
    </row>
    <row r="3199" spans="17:24" x14ac:dyDescent="0.3">
      <c r="Q3199" s="4"/>
      <c r="R3199" s="4"/>
      <c r="S3199" s="4"/>
      <c r="T3199" s="4"/>
      <c r="U3199" s="4"/>
      <c r="V3199" s="4"/>
      <c r="W3199" s="4"/>
      <c r="X3199" s="4"/>
    </row>
    <row r="3200" spans="17:24" x14ac:dyDescent="0.3">
      <c r="Q3200" s="4"/>
      <c r="R3200" s="4"/>
      <c r="S3200" s="4"/>
      <c r="T3200" s="4"/>
      <c r="U3200" s="4"/>
      <c r="V3200" s="4"/>
      <c r="W3200" s="4"/>
      <c r="X3200" s="4"/>
    </row>
    <row r="3201" spans="17:24" x14ac:dyDescent="0.3">
      <c r="Q3201" s="4"/>
      <c r="R3201" s="4"/>
      <c r="S3201" s="4"/>
      <c r="T3201" s="4"/>
      <c r="U3201" s="4"/>
      <c r="V3201" s="4"/>
      <c r="W3201" s="4"/>
      <c r="X3201" s="4"/>
    </row>
    <row r="3202" spans="17:24" x14ac:dyDescent="0.3">
      <c r="Q3202" s="4"/>
      <c r="R3202" s="4"/>
      <c r="S3202" s="4"/>
      <c r="T3202" s="4"/>
      <c r="U3202" s="4"/>
      <c r="V3202" s="4"/>
      <c r="W3202" s="4"/>
      <c r="X3202" s="4"/>
    </row>
    <row r="3203" spans="17:24" x14ac:dyDescent="0.3">
      <c r="Q3203" s="4"/>
      <c r="R3203" s="4"/>
      <c r="S3203" s="4"/>
      <c r="T3203" s="4"/>
      <c r="U3203" s="4"/>
      <c r="V3203" s="4"/>
      <c r="W3203" s="4"/>
      <c r="X3203" s="4"/>
    </row>
    <row r="3204" spans="17:24" x14ac:dyDescent="0.3">
      <c r="Q3204" s="4"/>
      <c r="R3204" s="4"/>
      <c r="S3204" s="4"/>
      <c r="T3204" s="4"/>
      <c r="U3204" s="4"/>
      <c r="V3204" s="4"/>
      <c r="W3204" s="4"/>
      <c r="X3204" s="4"/>
    </row>
    <row r="3205" spans="17:24" x14ac:dyDescent="0.3">
      <c r="Q3205" s="4"/>
      <c r="R3205" s="4"/>
      <c r="S3205" s="4"/>
      <c r="T3205" s="4"/>
      <c r="U3205" s="4"/>
      <c r="V3205" s="4"/>
      <c r="W3205" s="4"/>
      <c r="X3205" s="4"/>
    </row>
    <row r="3206" spans="17:24" x14ac:dyDescent="0.3">
      <c r="Q3206" s="4"/>
      <c r="R3206" s="4"/>
      <c r="S3206" s="4"/>
      <c r="T3206" s="4"/>
      <c r="U3206" s="4"/>
      <c r="V3206" s="4"/>
      <c r="W3206" s="4"/>
      <c r="X3206" s="4"/>
    </row>
    <row r="3207" spans="17:24" x14ac:dyDescent="0.3">
      <c r="Q3207" s="4"/>
      <c r="R3207" s="4"/>
      <c r="S3207" s="4"/>
      <c r="T3207" s="4"/>
      <c r="U3207" s="4"/>
      <c r="V3207" s="4"/>
      <c r="W3207" s="4"/>
      <c r="X3207" s="4"/>
    </row>
    <row r="3208" spans="17:24" x14ac:dyDescent="0.3">
      <c r="Q3208" s="4"/>
      <c r="R3208" s="4"/>
      <c r="S3208" s="4"/>
      <c r="T3208" s="4"/>
      <c r="U3208" s="4"/>
      <c r="V3208" s="4"/>
      <c r="W3208" s="4"/>
      <c r="X3208" s="4"/>
    </row>
    <row r="3209" spans="17:24" x14ac:dyDescent="0.3">
      <c r="Q3209" s="4"/>
      <c r="R3209" s="4"/>
      <c r="S3209" s="4"/>
      <c r="T3209" s="4"/>
      <c r="U3209" s="4"/>
      <c r="V3209" s="4"/>
      <c r="W3209" s="4"/>
      <c r="X3209" s="4"/>
    </row>
    <row r="3210" spans="17:24" x14ac:dyDescent="0.3">
      <c r="Q3210" s="4"/>
      <c r="R3210" s="4"/>
      <c r="S3210" s="4"/>
      <c r="T3210" s="4"/>
      <c r="U3210" s="4"/>
      <c r="V3210" s="4"/>
      <c r="W3210" s="4"/>
      <c r="X3210" s="4"/>
    </row>
    <row r="3211" spans="17:24" x14ac:dyDescent="0.3">
      <c r="Q3211" s="4"/>
      <c r="R3211" s="4"/>
      <c r="S3211" s="4"/>
      <c r="T3211" s="4"/>
      <c r="U3211" s="4"/>
      <c r="V3211" s="4"/>
      <c r="W3211" s="4"/>
      <c r="X3211" s="4"/>
    </row>
    <row r="3212" spans="17:24" x14ac:dyDescent="0.3">
      <c r="Q3212" s="4"/>
      <c r="R3212" s="4"/>
      <c r="S3212" s="4"/>
      <c r="T3212" s="4"/>
      <c r="U3212" s="4"/>
      <c r="V3212" s="4"/>
      <c r="W3212" s="4"/>
      <c r="X3212" s="4"/>
    </row>
    <row r="3213" spans="17:24" x14ac:dyDescent="0.3">
      <c r="Q3213" s="4"/>
      <c r="R3213" s="4"/>
      <c r="S3213" s="4"/>
      <c r="T3213" s="4"/>
      <c r="U3213" s="4"/>
      <c r="V3213" s="4"/>
      <c r="W3213" s="4"/>
      <c r="X3213" s="4"/>
    </row>
    <row r="3214" spans="17:24" x14ac:dyDescent="0.3">
      <c r="Q3214" s="4"/>
      <c r="R3214" s="4"/>
      <c r="S3214" s="4"/>
      <c r="T3214" s="4"/>
      <c r="U3214" s="4"/>
      <c r="V3214" s="4"/>
      <c r="W3214" s="4"/>
      <c r="X3214" s="4"/>
    </row>
    <row r="3215" spans="17:24" x14ac:dyDescent="0.3">
      <c r="Q3215" s="4"/>
      <c r="R3215" s="4"/>
      <c r="S3215" s="4"/>
      <c r="T3215" s="4"/>
      <c r="U3215" s="4"/>
      <c r="V3215" s="4"/>
      <c r="W3215" s="4"/>
      <c r="X3215" s="4"/>
    </row>
    <row r="3216" spans="17:24" x14ac:dyDescent="0.3">
      <c r="Q3216" s="4"/>
      <c r="R3216" s="4"/>
      <c r="S3216" s="4"/>
      <c r="T3216" s="4"/>
      <c r="U3216" s="4"/>
      <c r="V3216" s="4"/>
      <c r="W3216" s="4"/>
      <c r="X3216" s="4"/>
    </row>
    <row r="3217" spans="17:24" x14ac:dyDescent="0.3">
      <c r="Q3217" s="4"/>
      <c r="R3217" s="4"/>
      <c r="S3217" s="4"/>
      <c r="T3217" s="4"/>
      <c r="U3217" s="4"/>
      <c r="V3217" s="4"/>
      <c r="W3217" s="4"/>
      <c r="X3217" s="4"/>
    </row>
    <row r="3218" spans="17:24" x14ac:dyDescent="0.3">
      <c r="Q3218" s="4"/>
      <c r="R3218" s="4"/>
      <c r="S3218" s="4"/>
      <c r="T3218" s="4"/>
      <c r="U3218" s="4"/>
      <c r="V3218" s="4"/>
      <c r="W3218" s="4"/>
      <c r="X3218" s="4"/>
    </row>
    <row r="3219" spans="17:24" x14ac:dyDescent="0.3">
      <c r="Q3219" s="4"/>
      <c r="R3219" s="4"/>
      <c r="S3219" s="4"/>
      <c r="T3219" s="4"/>
      <c r="U3219" s="4"/>
      <c r="V3219" s="4"/>
      <c r="W3219" s="4"/>
      <c r="X3219" s="4"/>
    </row>
    <row r="3220" spans="17:24" x14ac:dyDescent="0.3">
      <c r="Q3220" s="4"/>
      <c r="R3220" s="4"/>
      <c r="S3220" s="4"/>
      <c r="T3220" s="4"/>
      <c r="U3220" s="4"/>
      <c r="V3220" s="4"/>
      <c r="W3220" s="4"/>
      <c r="X3220" s="4"/>
    </row>
    <row r="3221" spans="17:24" x14ac:dyDescent="0.3">
      <c r="Q3221" s="4"/>
      <c r="R3221" s="4"/>
      <c r="S3221" s="4"/>
      <c r="T3221" s="4"/>
      <c r="U3221" s="4"/>
      <c r="V3221" s="4"/>
      <c r="W3221" s="4"/>
      <c r="X3221" s="4"/>
    </row>
    <row r="3222" spans="17:24" x14ac:dyDescent="0.3">
      <c r="Q3222" s="4"/>
      <c r="R3222" s="4"/>
      <c r="S3222" s="4"/>
      <c r="T3222" s="4"/>
      <c r="U3222" s="4"/>
      <c r="V3222" s="4"/>
      <c r="W3222" s="4"/>
      <c r="X3222" s="4"/>
    </row>
    <row r="3223" spans="17:24" x14ac:dyDescent="0.3">
      <c r="Q3223" s="4"/>
      <c r="R3223" s="4"/>
      <c r="S3223" s="4"/>
      <c r="T3223" s="4"/>
      <c r="U3223" s="4"/>
      <c r="V3223" s="4"/>
      <c r="W3223" s="4"/>
      <c r="X3223" s="4"/>
    </row>
    <row r="3224" spans="17:24" x14ac:dyDescent="0.3">
      <c r="Q3224" s="4"/>
      <c r="R3224" s="4"/>
      <c r="S3224" s="4"/>
      <c r="T3224" s="4"/>
      <c r="U3224" s="4"/>
      <c r="V3224" s="4"/>
      <c r="W3224" s="4"/>
      <c r="X3224" s="4"/>
    </row>
    <row r="3225" spans="17:24" x14ac:dyDescent="0.3">
      <c r="Q3225" s="4"/>
      <c r="R3225" s="4"/>
      <c r="S3225" s="4"/>
      <c r="T3225" s="4"/>
      <c r="U3225" s="4"/>
      <c r="V3225" s="4"/>
      <c r="W3225" s="4"/>
      <c r="X3225" s="4"/>
    </row>
    <row r="3226" spans="17:24" x14ac:dyDescent="0.3">
      <c r="Q3226" s="4"/>
      <c r="R3226" s="4"/>
      <c r="S3226" s="4"/>
      <c r="T3226" s="4"/>
      <c r="U3226" s="4"/>
      <c r="V3226" s="4"/>
      <c r="W3226" s="4"/>
      <c r="X3226" s="4"/>
    </row>
    <row r="3227" spans="17:24" x14ac:dyDescent="0.3">
      <c r="Q3227" s="4"/>
      <c r="R3227" s="4"/>
      <c r="S3227" s="4"/>
      <c r="T3227" s="4"/>
      <c r="U3227" s="4"/>
      <c r="V3227" s="4"/>
      <c r="W3227" s="4"/>
      <c r="X3227" s="4"/>
    </row>
    <row r="3228" spans="17:24" x14ac:dyDescent="0.3">
      <c r="Q3228" s="4"/>
      <c r="R3228" s="4"/>
      <c r="S3228" s="4"/>
      <c r="T3228" s="4"/>
      <c r="U3228" s="4"/>
      <c r="V3228" s="4"/>
      <c r="W3228" s="4"/>
      <c r="X3228" s="4"/>
    </row>
    <row r="3229" spans="17:24" x14ac:dyDescent="0.3">
      <c r="Q3229" s="4"/>
      <c r="R3229" s="4"/>
      <c r="S3229" s="4"/>
      <c r="T3229" s="4"/>
      <c r="U3229" s="4"/>
      <c r="V3229" s="4"/>
      <c r="W3229" s="4"/>
      <c r="X3229" s="4"/>
    </row>
    <row r="3230" spans="17:24" x14ac:dyDescent="0.3">
      <c r="Q3230" s="4"/>
      <c r="R3230" s="4"/>
      <c r="S3230" s="4"/>
      <c r="T3230" s="4"/>
      <c r="U3230" s="4"/>
      <c r="V3230" s="4"/>
      <c r="W3230" s="4"/>
      <c r="X3230" s="4"/>
    </row>
    <row r="3231" spans="17:24" x14ac:dyDescent="0.3">
      <c r="Q3231" s="4"/>
      <c r="R3231" s="4"/>
      <c r="S3231" s="4"/>
      <c r="T3231" s="4"/>
      <c r="U3231" s="4"/>
      <c r="V3231" s="4"/>
      <c r="W3231" s="4"/>
      <c r="X3231" s="4"/>
    </row>
    <row r="3232" spans="17:24" x14ac:dyDescent="0.3">
      <c r="Q3232" s="4"/>
      <c r="R3232" s="4"/>
      <c r="S3232" s="4"/>
      <c r="T3232" s="4"/>
      <c r="U3232" s="4"/>
      <c r="V3232" s="4"/>
      <c r="W3232" s="4"/>
      <c r="X3232" s="4"/>
    </row>
    <row r="3233" spans="17:24" x14ac:dyDescent="0.3">
      <c r="Q3233" s="4"/>
      <c r="R3233" s="4"/>
      <c r="S3233" s="4"/>
      <c r="T3233" s="4"/>
      <c r="U3233" s="4"/>
      <c r="V3233" s="4"/>
      <c r="W3233" s="4"/>
      <c r="X3233" s="4"/>
    </row>
    <row r="3234" spans="17:24" x14ac:dyDescent="0.3">
      <c r="Q3234" s="4"/>
      <c r="R3234" s="4"/>
      <c r="S3234" s="4"/>
      <c r="T3234" s="4"/>
      <c r="U3234" s="4"/>
      <c r="V3234" s="4"/>
      <c r="W3234" s="4"/>
      <c r="X3234" s="4"/>
    </row>
    <row r="3235" spans="17:24" x14ac:dyDescent="0.3">
      <c r="Q3235" s="4"/>
      <c r="R3235" s="4"/>
      <c r="S3235" s="4"/>
      <c r="T3235" s="4"/>
      <c r="U3235" s="4"/>
      <c r="V3235" s="4"/>
      <c r="W3235" s="4"/>
      <c r="X3235" s="4"/>
    </row>
    <row r="3236" spans="17:24" x14ac:dyDescent="0.3">
      <c r="Q3236" s="4"/>
      <c r="R3236" s="4"/>
      <c r="S3236" s="4"/>
      <c r="T3236" s="4"/>
      <c r="U3236" s="4"/>
      <c r="V3236" s="4"/>
      <c r="W3236" s="4"/>
      <c r="X3236" s="4"/>
    </row>
    <row r="3237" spans="17:24" x14ac:dyDescent="0.3">
      <c r="Q3237" s="4"/>
      <c r="R3237" s="4"/>
      <c r="S3237" s="4"/>
      <c r="T3237" s="4"/>
      <c r="U3237" s="4"/>
      <c r="V3237" s="4"/>
      <c r="W3237" s="4"/>
      <c r="X3237" s="4"/>
    </row>
    <row r="3238" spans="17:24" x14ac:dyDescent="0.3">
      <c r="Q3238" s="4"/>
      <c r="R3238" s="4"/>
      <c r="S3238" s="4"/>
      <c r="T3238" s="4"/>
      <c r="U3238" s="4"/>
      <c r="V3238" s="4"/>
      <c r="W3238" s="4"/>
      <c r="X3238" s="4"/>
    </row>
    <row r="3239" spans="17:24" x14ac:dyDescent="0.3">
      <c r="Q3239" s="4"/>
      <c r="R3239" s="4"/>
      <c r="S3239" s="4"/>
      <c r="T3239" s="4"/>
      <c r="U3239" s="4"/>
      <c r="V3239" s="4"/>
      <c r="W3239" s="4"/>
      <c r="X3239" s="4"/>
    </row>
    <row r="3240" spans="17:24" x14ac:dyDescent="0.3">
      <c r="Q3240" s="4"/>
      <c r="R3240" s="4"/>
      <c r="S3240" s="4"/>
      <c r="T3240" s="4"/>
      <c r="U3240" s="4"/>
      <c r="V3240" s="4"/>
      <c r="W3240" s="4"/>
      <c r="X3240" s="4"/>
    </row>
    <row r="3241" spans="17:24" x14ac:dyDescent="0.3">
      <c r="Q3241" s="4"/>
      <c r="R3241" s="4"/>
      <c r="S3241" s="4"/>
      <c r="T3241" s="4"/>
      <c r="U3241" s="4"/>
      <c r="V3241" s="4"/>
      <c r="W3241" s="4"/>
      <c r="X3241" s="4"/>
    </row>
    <row r="3242" spans="17:24" x14ac:dyDescent="0.3">
      <c r="Q3242" s="4"/>
      <c r="R3242" s="4"/>
      <c r="S3242" s="4"/>
      <c r="T3242" s="4"/>
      <c r="U3242" s="4"/>
      <c r="V3242" s="4"/>
      <c r="W3242" s="4"/>
      <c r="X3242" s="4"/>
    </row>
    <row r="3243" spans="17:24" x14ac:dyDescent="0.3">
      <c r="Q3243" s="4"/>
      <c r="R3243" s="4"/>
      <c r="S3243" s="4"/>
      <c r="T3243" s="4"/>
      <c r="U3243" s="4"/>
      <c r="V3243" s="4"/>
      <c r="W3243" s="4"/>
      <c r="X3243" s="4"/>
    </row>
    <row r="3244" spans="17:24" x14ac:dyDescent="0.3">
      <c r="Q3244" s="4"/>
      <c r="R3244" s="4"/>
      <c r="S3244" s="4"/>
      <c r="T3244" s="4"/>
      <c r="U3244" s="4"/>
      <c r="V3244" s="4"/>
      <c r="W3244" s="4"/>
      <c r="X3244" s="4"/>
    </row>
    <row r="3245" spans="17:24" x14ac:dyDescent="0.3">
      <c r="Q3245" s="4"/>
      <c r="R3245" s="4"/>
      <c r="S3245" s="4"/>
      <c r="T3245" s="4"/>
      <c r="U3245" s="4"/>
      <c r="V3245" s="4"/>
      <c r="W3245" s="4"/>
      <c r="X3245" s="4"/>
    </row>
    <row r="3246" spans="17:24" x14ac:dyDescent="0.3">
      <c r="Q3246" s="4"/>
      <c r="R3246" s="4"/>
      <c r="S3246" s="4"/>
      <c r="T3246" s="4"/>
      <c r="U3246" s="4"/>
      <c r="V3246" s="4"/>
      <c r="W3246" s="4"/>
      <c r="X3246" s="4"/>
    </row>
    <row r="3247" spans="17:24" x14ac:dyDescent="0.3">
      <c r="Q3247" s="4"/>
      <c r="R3247" s="4"/>
      <c r="S3247" s="4"/>
      <c r="T3247" s="4"/>
      <c r="U3247" s="4"/>
      <c r="V3247" s="4"/>
      <c r="W3247" s="4"/>
      <c r="X3247" s="4"/>
    </row>
    <row r="3248" spans="17:24" x14ac:dyDescent="0.3">
      <c r="Q3248" s="4"/>
      <c r="R3248" s="4"/>
      <c r="S3248" s="4"/>
      <c r="T3248" s="4"/>
      <c r="U3248" s="4"/>
      <c r="V3248" s="4"/>
      <c r="W3248" s="4"/>
      <c r="X3248" s="4"/>
    </row>
    <row r="3249" spans="17:24" x14ac:dyDescent="0.3">
      <c r="Q3249" s="4"/>
      <c r="R3249" s="4"/>
      <c r="S3249" s="4"/>
      <c r="T3249" s="4"/>
      <c r="U3249" s="4"/>
      <c r="V3249" s="4"/>
      <c r="W3249" s="4"/>
      <c r="X3249" s="4"/>
    </row>
    <row r="3250" spans="17:24" x14ac:dyDescent="0.3">
      <c r="Q3250" s="4"/>
      <c r="R3250" s="4"/>
      <c r="S3250" s="4"/>
      <c r="T3250" s="4"/>
      <c r="U3250" s="4"/>
      <c r="V3250" s="4"/>
      <c r="W3250" s="4"/>
      <c r="X3250" s="4"/>
    </row>
    <row r="3251" spans="17:24" x14ac:dyDescent="0.3">
      <c r="Q3251" s="4"/>
      <c r="R3251" s="4"/>
      <c r="S3251" s="4"/>
      <c r="T3251" s="4"/>
      <c r="U3251" s="4"/>
      <c r="V3251" s="4"/>
      <c r="W3251" s="4"/>
      <c r="X3251" s="4"/>
    </row>
    <row r="3252" spans="17:24" x14ac:dyDescent="0.3">
      <c r="Q3252" s="4"/>
      <c r="R3252" s="4"/>
      <c r="S3252" s="4"/>
      <c r="T3252" s="4"/>
      <c r="U3252" s="4"/>
      <c r="V3252" s="4"/>
      <c r="W3252" s="4"/>
      <c r="X3252" s="4"/>
    </row>
    <row r="3253" spans="17:24" x14ac:dyDescent="0.3">
      <c r="Q3253" s="4"/>
      <c r="R3253" s="4"/>
      <c r="S3253" s="4"/>
      <c r="T3253" s="4"/>
      <c r="U3253" s="4"/>
      <c r="V3253" s="4"/>
      <c r="W3253" s="4"/>
      <c r="X3253" s="4"/>
    </row>
    <row r="3254" spans="17:24" x14ac:dyDescent="0.3">
      <c r="Q3254" s="4"/>
      <c r="R3254" s="4"/>
      <c r="S3254" s="4"/>
      <c r="T3254" s="4"/>
      <c r="U3254" s="4"/>
      <c r="V3254" s="4"/>
      <c r="W3254" s="4"/>
      <c r="X3254" s="4"/>
    </row>
    <row r="3255" spans="17:24" x14ac:dyDescent="0.3">
      <c r="Q3255" s="4"/>
      <c r="R3255" s="4"/>
      <c r="S3255" s="4"/>
      <c r="T3255" s="4"/>
      <c r="U3255" s="4"/>
      <c r="V3255" s="4"/>
      <c r="W3255" s="4"/>
      <c r="X3255" s="4"/>
    </row>
    <row r="3256" spans="17:24" x14ac:dyDescent="0.3">
      <c r="Q3256" s="4"/>
      <c r="R3256" s="4"/>
      <c r="S3256" s="4"/>
      <c r="T3256" s="4"/>
      <c r="U3256" s="4"/>
      <c r="V3256" s="4"/>
      <c r="W3256" s="4"/>
      <c r="X3256" s="4"/>
    </row>
    <row r="3257" spans="17:24" x14ac:dyDescent="0.3">
      <c r="Q3257" s="4"/>
      <c r="R3257" s="4"/>
      <c r="S3257" s="4"/>
      <c r="T3257" s="4"/>
      <c r="U3257" s="4"/>
      <c r="V3257" s="4"/>
      <c r="W3257" s="4"/>
      <c r="X3257" s="4"/>
    </row>
    <row r="3258" spans="17:24" x14ac:dyDescent="0.3">
      <c r="Q3258" s="4"/>
      <c r="R3258" s="4"/>
      <c r="S3258" s="4"/>
      <c r="T3258" s="4"/>
      <c r="U3258" s="4"/>
      <c r="V3258" s="4"/>
      <c r="W3258" s="4"/>
      <c r="X3258" s="4"/>
    </row>
    <row r="3259" spans="17:24" x14ac:dyDescent="0.3">
      <c r="Q3259" s="4"/>
      <c r="R3259" s="4"/>
      <c r="S3259" s="4"/>
      <c r="T3259" s="4"/>
      <c r="U3259" s="4"/>
      <c r="V3259" s="4"/>
      <c r="W3259" s="4"/>
      <c r="X3259" s="4"/>
    </row>
    <row r="3260" spans="17:24" x14ac:dyDescent="0.3">
      <c r="Q3260" s="4"/>
      <c r="R3260" s="4"/>
      <c r="S3260" s="4"/>
      <c r="T3260" s="4"/>
      <c r="U3260" s="4"/>
      <c r="V3260" s="4"/>
      <c r="W3260" s="4"/>
      <c r="X3260" s="4"/>
    </row>
    <row r="3261" spans="17:24" x14ac:dyDescent="0.3">
      <c r="Q3261" s="4"/>
      <c r="R3261" s="4"/>
      <c r="S3261" s="4"/>
      <c r="T3261" s="4"/>
      <c r="U3261" s="4"/>
      <c r="V3261" s="4"/>
      <c r="W3261" s="4"/>
      <c r="X3261" s="4"/>
    </row>
    <row r="3262" spans="17:24" x14ac:dyDescent="0.3">
      <c r="Q3262" s="4"/>
      <c r="R3262" s="4"/>
      <c r="S3262" s="4"/>
      <c r="T3262" s="4"/>
      <c r="U3262" s="4"/>
      <c r="V3262" s="4"/>
      <c r="W3262" s="4"/>
      <c r="X3262" s="4"/>
    </row>
    <row r="3263" spans="17:24" x14ac:dyDescent="0.3">
      <c r="Q3263" s="4"/>
      <c r="R3263" s="4"/>
      <c r="S3263" s="4"/>
      <c r="T3263" s="4"/>
      <c r="U3263" s="4"/>
      <c r="V3263" s="4"/>
      <c r="W3263" s="4"/>
      <c r="X3263" s="4"/>
    </row>
    <row r="3264" spans="17:24" x14ac:dyDescent="0.3">
      <c r="Q3264" s="4"/>
      <c r="R3264" s="4"/>
      <c r="S3264" s="4"/>
      <c r="T3264" s="4"/>
      <c r="U3264" s="4"/>
      <c r="V3264" s="4"/>
      <c r="W3264" s="4"/>
      <c r="X3264" s="4"/>
    </row>
    <row r="3265" spans="17:24" x14ac:dyDescent="0.3">
      <c r="Q3265" s="4"/>
      <c r="R3265" s="4"/>
      <c r="S3265" s="4"/>
      <c r="T3265" s="4"/>
      <c r="U3265" s="4"/>
      <c r="V3265" s="4"/>
      <c r="W3265" s="4"/>
      <c r="X3265" s="4"/>
    </row>
    <row r="3266" spans="17:24" x14ac:dyDescent="0.3">
      <c r="Q3266" s="4"/>
      <c r="R3266" s="4"/>
      <c r="S3266" s="4"/>
      <c r="T3266" s="4"/>
      <c r="U3266" s="4"/>
      <c r="V3266" s="4"/>
      <c r="W3266" s="4"/>
      <c r="X3266" s="4"/>
    </row>
    <row r="3267" spans="17:24" x14ac:dyDescent="0.3">
      <c r="Q3267" s="4"/>
      <c r="R3267" s="4"/>
      <c r="S3267" s="4"/>
      <c r="T3267" s="4"/>
      <c r="U3267" s="4"/>
      <c r="V3267" s="4"/>
      <c r="W3267" s="4"/>
      <c r="X3267" s="4"/>
    </row>
    <row r="3268" spans="17:24" x14ac:dyDescent="0.3">
      <c r="Q3268" s="4"/>
      <c r="R3268" s="4"/>
      <c r="S3268" s="4"/>
      <c r="T3268" s="4"/>
      <c r="U3268" s="4"/>
      <c r="V3268" s="4"/>
      <c r="W3268" s="4"/>
      <c r="X3268" s="4"/>
    </row>
    <row r="3269" spans="17:24" x14ac:dyDescent="0.3">
      <c r="Q3269" s="4"/>
      <c r="R3269" s="4"/>
      <c r="S3269" s="4"/>
      <c r="T3269" s="4"/>
      <c r="U3269" s="4"/>
      <c r="V3269" s="4"/>
      <c r="W3269" s="4"/>
      <c r="X3269" s="4"/>
    </row>
    <row r="3270" spans="17:24" x14ac:dyDescent="0.3">
      <c r="Q3270" s="4"/>
      <c r="R3270" s="4"/>
      <c r="S3270" s="4"/>
      <c r="T3270" s="4"/>
      <c r="U3270" s="4"/>
      <c r="V3270" s="4"/>
      <c r="W3270" s="4"/>
      <c r="X3270" s="4"/>
    </row>
    <row r="3271" spans="17:24" x14ac:dyDescent="0.3">
      <c r="Q3271" s="4"/>
      <c r="R3271" s="4"/>
      <c r="S3271" s="4"/>
      <c r="T3271" s="4"/>
      <c r="U3271" s="4"/>
      <c r="V3271" s="4"/>
      <c r="W3271" s="4"/>
      <c r="X3271" s="4"/>
    </row>
    <row r="3272" spans="17:24" x14ac:dyDescent="0.3">
      <c r="Q3272" s="4"/>
      <c r="R3272" s="4"/>
      <c r="S3272" s="4"/>
      <c r="T3272" s="4"/>
      <c r="U3272" s="4"/>
      <c r="V3272" s="4"/>
      <c r="W3272" s="4"/>
      <c r="X3272" s="4"/>
    </row>
    <row r="3273" spans="17:24" x14ac:dyDescent="0.3">
      <c r="Q3273" s="4"/>
      <c r="R3273" s="4"/>
      <c r="S3273" s="4"/>
      <c r="T3273" s="4"/>
      <c r="U3273" s="4"/>
      <c r="V3273" s="4"/>
      <c r="W3273" s="4"/>
      <c r="X3273" s="4"/>
    </row>
    <row r="3274" spans="17:24" x14ac:dyDescent="0.3">
      <c r="Q3274" s="4"/>
      <c r="R3274" s="4"/>
      <c r="S3274" s="4"/>
      <c r="T3274" s="4"/>
      <c r="U3274" s="4"/>
      <c r="V3274" s="4"/>
      <c r="W3274" s="4"/>
      <c r="X3274" s="4"/>
    </row>
    <row r="3275" spans="17:24" x14ac:dyDescent="0.3">
      <c r="Q3275" s="4"/>
      <c r="R3275" s="4"/>
      <c r="S3275" s="4"/>
      <c r="T3275" s="4"/>
      <c r="U3275" s="4"/>
      <c r="V3275" s="4"/>
      <c r="W3275" s="4"/>
      <c r="X3275" s="4"/>
    </row>
    <row r="3276" spans="17:24" x14ac:dyDescent="0.3">
      <c r="Q3276" s="4"/>
      <c r="R3276" s="4"/>
      <c r="S3276" s="4"/>
      <c r="T3276" s="4"/>
      <c r="U3276" s="4"/>
      <c r="V3276" s="4"/>
      <c r="W3276" s="4"/>
      <c r="X3276" s="4"/>
    </row>
    <row r="3277" spans="17:24" x14ac:dyDescent="0.3">
      <c r="Q3277" s="4"/>
      <c r="R3277" s="4"/>
      <c r="S3277" s="4"/>
      <c r="T3277" s="4"/>
      <c r="U3277" s="4"/>
      <c r="V3277" s="4"/>
      <c r="W3277" s="4"/>
      <c r="X3277" s="4"/>
    </row>
    <row r="3278" spans="17:24" x14ac:dyDescent="0.3">
      <c r="Q3278" s="4"/>
      <c r="R3278" s="4"/>
      <c r="S3278" s="4"/>
      <c r="T3278" s="4"/>
      <c r="U3278" s="4"/>
      <c r="V3278" s="4"/>
      <c r="W3278" s="4"/>
      <c r="X3278" s="4"/>
    </row>
    <row r="3279" spans="17:24" x14ac:dyDescent="0.3">
      <c r="Q3279" s="4"/>
      <c r="R3279" s="4"/>
      <c r="S3279" s="4"/>
      <c r="T3279" s="4"/>
      <c r="U3279" s="4"/>
      <c r="V3279" s="4"/>
      <c r="W3279" s="4"/>
      <c r="X3279" s="4"/>
    </row>
    <row r="3280" spans="17:24" x14ac:dyDescent="0.3">
      <c r="Q3280" s="4"/>
      <c r="R3280" s="4"/>
      <c r="S3280" s="4"/>
      <c r="T3280" s="4"/>
      <c r="U3280" s="4"/>
      <c r="V3280" s="4"/>
      <c r="W3280" s="4"/>
      <c r="X3280" s="4"/>
    </row>
    <row r="3281" spans="17:24" x14ac:dyDescent="0.3">
      <c r="Q3281" s="4"/>
      <c r="R3281" s="4"/>
      <c r="S3281" s="4"/>
      <c r="T3281" s="4"/>
      <c r="U3281" s="4"/>
      <c r="V3281" s="4"/>
      <c r="W3281" s="4"/>
      <c r="X3281" s="4"/>
    </row>
    <row r="3282" spans="17:24" x14ac:dyDescent="0.3">
      <c r="Q3282" s="4"/>
      <c r="R3282" s="4"/>
      <c r="S3282" s="4"/>
      <c r="T3282" s="4"/>
      <c r="U3282" s="4"/>
      <c r="V3282" s="4"/>
      <c r="W3282" s="4"/>
      <c r="X3282" s="4"/>
    </row>
    <row r="3283" spans="17:24" x14ac:dyDescent="0.3">
      <c r="Q3283" s="4"/>
      <c r="R3283" s="4"/>
      <c r="S3283" s="4"/>
      <c r="T3283" s="4"/>
      <c r="U3283" s="4"/>
      <c r="V3283" s="4"/>
      <c r="W3283" s="4"/>
      <c r="X3283" s="4"/>
    </row>
    <row r="3284" spans="17:24" x14ac:dyDescent="0.3">
      <c r="Q3284" s="4"/>
      <c r="R3284" s="4"/>
      <c r="S3284" s="4"/>
      <c r="T3284" s="4"/>
      <c r="U3284" s="4"/>
      <c r="V3284" s="4"/>
      <c r="W3284" s="4"/>
      <c r="X3284" s="4"/>
    </row>
    <row r="3285" spans="17:24" x14ac:dyDescent="0.3">
      <c r="Q3285" s="4"/>
      <c r="R3285" s="4"/>
      <c r="S3285" s="4"/>
      <c r="T3285" s="4"/>
      <c r="U3285" s="4"/>
      <c r="V3285" s="4"/>
      <c r="W3285" s="4"/>
      <c r="X3285" s="4"/>
    </row>
    <row r="3286" spans="17:24" x14ac:dyDescent="0.3">
      <c r="Q3286" s="4"/>
      <c r="R3286" s="4"/>
      <c r="S3286" s="4"/>
      <c r="T3286" s="4"/>
      <c r="U3286" s="4"/>
      <c r="V3286" s="4"/>
      <c r="W3286" s="4"/>
      <c r="X3286" s="4"/>
    </row>
    <row r="3287" spans="17:24" x14ac:dyDescent="0.3">
      <c r="Q3287" s="4"/>
      <c r="R3287" s="4"/>
      <c r="S3287" s="4"/>
      <c r="T3287" s="4"/>
      <c r="U3287" s="4"/>
      <c r="V3287" s="4"/>
      <c r="W3287" s="4"/>
      <c r="X3287" s="4"/>
    </row>
    <row r="3288" spans="17:24" x14ac:dyDescent="0.3">
      <c r="Q3288" s="4"/>
      <c r="R3288" s="4"/>
      <c r="S3288" s="4"/>
      <c r="T3288" s="4"/>
      <c r="U3288" s="4"/>
      <c r="V3288" s="4"/>
      <c r="W3288" s="4"/>
      <c r="X3288" s="4"/>
    </row>
    <row r="3289" spans="17:24" x14ac:dyDescent="0.3">
      <c r="Q3289" s="4"/>
      <c r="R3289" s="4"/>
      <c r="S3289" s="4"/>
      <c r="T3289" s="4"/>
      <c r="U3289" s="4"/>
      <c r="V3289" s="4"/>
      <c r="W3289" s="4"/>
      <c r="X3289" s="4"/>
    </row>
    <row r="3290" spans="17:24" x14ac:dyDescent="0.3">
      <c r="Q3290" s="4"/>
      <c r="R3290" s="4"/>
      <c r="S3290" s="4"/>
      <c r="T3290" s="4"/>
      <c r="U3290" s="4"/>
      <c r="V3290" s="4"/>
      <c r="W3290" s="4"/>
      <c r="X3290" s="4"/>
    </row>
    <row r="3291" spans="17:24" x14ac:dyDescent="0.3">
      <c r="Q3291" s="4"/>
      <c r="R3291" s="4"/>
      <c r="S3291" s="4"/>
      <c r="T3291" s="4"/>
      <c r="U3291" s="4"/>
      <c r="V3291" s="4"/>
      <c r="W3291" s="4"/>
      <c r="X3291" s="4"/>
    </row>
    <row r="3292" spans="17:24" x14ac:dyDescent="0.3">
      <c r="Q3292" s="4"/>
      <c r="R3292" s="4"/>
      <c r="S3292" s="4"/>
      <c r="T3292" s="4"/>
      <c r="U3292" s="4"/>
      <c r="V3292" s="4"/>
      <c r="W3292" s="4"/>
      <c r="X3292" s="4"/>
    </row>
    <row r="3293" spans="17:24" x14ac:dyDescent="0.3">
      <c r="Q3293" s="4"/>
      <c r="R3293" s="4"/>
      <c r="S3293" s="4"/>
      <c r="T3293" s="4"/>
      <c r="U3293" s="4"/>
      <c r="V3293" s="4"/>
      <c r="W3293" s="4"/>
      <c r="X3293" s="4"/>
    </row>
    <row r="3294" spans="17:24" x14ac:dyDescent="0.3">
      <c r="Q3294" s="4"/>
      <c r="R3294" s="4"/>
      <c r="S3294" s="4"/>
      <c r="T3294" s="4"/>
      <c r="U3294" s="4"/>
      <c r="V3294" s="4"/>
      <c r="W3294" s="4"/>
      <c r="X3294" s="4"/>
    </row>
    <row r="3295" spans="17:24" x14ac:dyDescent="0.3">
      <c r="Q3295" s="4"/>
      <c r="R3295" s="4"/>
      <c r="S3295" s="4"/>
      <c r="T3295" s="4"/>
      <c r="U3295" s="4"/>
      <c r="V3295" s="4"/>
      <c r="W3295" s="4"/>
      <c r="X3295" s="4"/>
    </row>
    <row r="3296" spans="17:24" x14ac:dyDescent="0.3">
      <c r="Q3296" s="4"/>
      <c r="R3296" s="4"/>
      <c r="S3296" s="4"/>
      <c r="T3296" s="4"/>
      <c r="U3296" s="4"/>
      <c r="V3296" s="4"/>
      <c r="W3296" s="4"/>
      <c r="X3296" s="4"/>
    </row>
    <row r="3297" spans="17:24" x14ac:dyDescent="0.3">
      <c r="Q3297" s="4"/>
      <c r="R3297" s="4"/>
      <c r="S3297" s="4"/>
      <c r="T3297" s="4"/>
      <c r="U3297" s="4"/>
      <c r="V3297" s="4"/>
      <c r="W3297" s="4"/>
      <c r="X3297" s="4"/>
    </row>
    <row r="3298" spans="17:24" x14ac:dyDescent="0.3">
      <c r="Q3298" s="4"/>
      <c r="R3298" s="4"/>
      <c r="S3298" s="4"/>
      <c r="T3298" s="4"/>
      <c r="U3298" s="4"/>
      <c r="V3298" s="4"/>
      <c r="W3298" s="4"/>
      <c r="X3298" s="4"/>
    </row>
    <row r="3299" spans="17:24" x14ac:dyDescent="0.3">
      <c r="Q3299" s="4"/>
      <c r="R3299" s="4"/>
      <c r="S3299" s="4"/>
      <c r="T3299" s="4"/>
      <c r="U3299" s="4"/>
      <c r="V3299" s="4"/>
      <c r="W3299" s="4"/>
      <c r="X3299" s="4"/>
    </row>
    <row r="3300" spans="17:24" x14ac:dyDescent="0.3">
      <c r="Q3300" s="4"/>
      <c r="R3300" s="4"/>
      <c r="S3300" s="4"/>
      <c r="T3300" s="4"/>
      <c r="U3300" s="4"/>
      <c r="V3300" s="4"/>
      <c r="W3300" s="4"/>
      <c r="X3300" s="4"/>
    </row>
    <row r="3301" spans="17:24" x14ac:dyDescent="0.3">
      <c r="Q3301" s="4"/>
      <c r="R3301" s="4"/>
      <c r="S3301" s="4"/>
      <c r="T3301" s="4"/>
      <c r="U3301" s="4"/>
      <c r="V3301" s="4"/>
      <c r="W3301" s="4"/>
      <c r="X3301" s="4"/>
    </row>
    <row r="3302" spans="17:24" x14ac:dyDescent="0.3">
      <c r="Q3302" s="4"/>
      <c r="R3302" s="4"/>
      <c r="S3302" s="4"/>
      <c r="T3302" s="4"/>
      <c r="U3302" s="4"/>
      <c r="V3302" s="4"/>
      <c r="W3302" s="4"/>
      <c r="X3302" s="4"/>
    </row>
    <row r="3303" spans="17:24" x14ac:dyDescent="0.3">
      <c r="Q3303" s="4"/>
      <c r="R3303" s="4"/>
      <c r="S3303" s="4"/>
      <c r="T3303" s="4"/>
      <c r="U3303" s="4"/>
      <c r="V3303" s="4"/>
      <c r="W3303" s="4"/>
      <c r="X3303" s="4"/>
    </row>
    <row r="3304" spans="17:24" x14ac:dyDescent="0.3">
      <c r="Q3304" s="4"/>
      <c r="R3304" s="4"/>
      <c r="S3304" s="4"/>
      <c r="T3304" s="4"/>
      <c r="U3304" s="4"/>
      <c r="V3304" s="4"/>
      <c r="W3304" s="4"/>
      <c r="X3304" s="4"/>
    </row>
    <row r="3305" spans="17:24" x14ac:dyDescent="0.3">
      <c r="Q3305" s="4"/>
      <c r="R3305" s="4"/>
      <c r="S3305" s="4"/>
      <c r="T3305" s="4"/>
      <c r="U3305" s="4"/>
      <c r="V3305" s="4"/>
      <c r="W3305" s="4"/>
      <c r="X3305" s="4"/>
    </row>
    <row r="3306" spans="17:24" x14ac:dyDescent="0.3">
      <c r="Q3306" s="4"/>
      <c r="R3306" s="4"/>
      <c r="S3306" s="4"/>
      <c r="T3306" s="4"/>
      <c r="U3306" s="4"/>
      <c r="V3306" s="4"/>
      <c r="W3306" s="4"/>
      <c r="X3306" s="4"/>
    </row>
    <row r="3307" spans="17:24" x14ac:dyDescent="0.3">
      <c r="Q3307" s="4"/>
      <c r="R3307" s="4"/>
      <c r="S3307" s="4"/>
      <c r="T3307" s="4"/>
      <c r="U3307" s="4"/>
      <c r="V3307" s="4"/>
      <c r="W3307" s="4"/>
      <c r="X3307" s="4"/>
    </row>
    <row r="3308" spans="17:24" x14ac:dyDescent="0.3">
      <c r="Q3308" s="4"/>
      <c r="R3308" s="4"/>
      <c r="S3308" s="4"/>
      <c r="T3308" s="4"/>
      <c r="U3308" s="4"/>
      <c r="V3308" s="4"/>
      <c r="W3308" s="4"/>
      <c r="X3308" s="4"/>
    </row>
    <row r="3309" spans="17:24" x14ac:dyDescent="0.3">
      <c r="Q3309" s="4"/>
      <c r="R3309" s="4"/>
      <c r="S3309" s="4"/>
      <c r="T3309" s="4"/>
      <c r="U3309" s="4"/>
      <c r="V3309" s="4"/>
      <c r="W3309" s="4"/>
      <c r="X3309" s="4"/>
    </row>
    <row r="3310" spans="17:24" x14ac:dyDescent="0.3">
      <c r="Q3310" s="4"/>
      <c r="R3310" s="4"/>
      <c r="S3310" s="4"/>
      <c r="T3310" s="4"/>
      <c r="U3310" s="4"/>
      <c r="V3310" s="4"/>
      <c r="W3310" s="4"/>
      <c r="X3310" s="4"/>
    </row>
    <row r="3311" spans="17:24" x14ac:dyDescent="0.3">
      <c r="Q3311" s="4"/>
      <c r="R3311" s="4"/>
      <c r="S3311" s="4"/>
      <c r="T3311" s="4"/>
      <c r="U3311" s="4"/>
      <c r="V3311" s="4"/>
      <c r="W3311" s="4"/>
      <c r="X3311" s="4"/>
    </row>
    <row r="3312" spans="17:24" x14ac:dyDescent="0.3">
      <c r="Q3312" s="4"/>
      <c r="R3312" s="4"/>
      <c r="S3312" s="4"/>
      <c r="T3312" s="4"/>
      <c r="U3312" s="4"/>
      <c r="V3312" s="4"/>
      <c r="W3312" s="4"/>
      <c r="X3312" s="4"/>
    </row>
    <row r="3313" spans="17:24" x14ac:dyDescent="0.3">
      <c r="Q3313" s="4"/>
      <c r="R3313" s="4"/>
      <c r="S3313" s="4"/>
      <c r="T3313" s="4"/>
      <c r="U3313" s="4"/>
      <c r="V3313" s="4"/>
      <c r="W3313" s="4"/>
      <c r="X3313" s="4"/>
    </row>
    <row r="3314" spans="17:24" x14ac:dyDescent="0.3">
      <c r="Q3314" s="4"/>
      <c r="R3314" s="4"/>
      <c r="S3314" s="4"/>
      <c r="T3314" s="4"/>
      <c r="U3314" s="4"/>
      <c r="V3314" s="4"/>
      <c r="W3314" s="4"/>
      <c r="X3314" s="4"/>
    </row>
    <row r="3315" spans="17:24" x14ac:dyDescent="0.3">
      <c r="Q3315" s="4"/>
      <c r="R3315" s="4"/>
      <c r="S3315" s="4"/>
      <c r="T3315" s="4"/>
      <c r="U3315" s="4"/>
      <c r="V3315" s="4"/>
      <c r="W3315" s="4"/>
      <c r="X3315" s="4"/>
    </row>
    <row r="3316" spans="17:24" x14ac:dyDescent="0.3">
      <c r="Q3316" s="4"/>
      <c r="R3316" s="4"/>
      <c r="S3316" s="4"/>
      <c r="T3316" s="4"/>
      <c r="U3316" s="4"/>
      <c r="V3316" s="4"/>
      <c r="W3316" s="4"/>
      <c r="X3316" s="4"/>
    </row>
    <row r="3317" spans="17:24" x14ac:dyDescent="0.3">
      <c r="Q3317" s="4"/>
      <c r="R3317" s="4"/>
      <c r="S3317" s="4"/>
      <c r="T3317" s="4"/>
      <c r="U3317" s="4"/>
      <c r="V3317" s="4"/>
      <c r="W3317" s="4"/>
      <c r="X3317" s="4"/>
    </row>
    <row r="3318" spans="17:24" x14ac:dyDescent="0.3">
      <c r="Q3318" s="4"/>
      <c r="R3318" s="4"/>
      <c r="S3318" s="4"/>
      <c r="T3318" s="4"/>
      <c r="U3318" s="4"/>
      <c r="V3318" s="4"/>
      <c r="W3318" s="4"/>
      <c r="X3318" s="4"/>
    </row>
    <row r="3319" spans="17:24" x14ac:dyDescent="0.3">
      <c r="Q3319" s="4"/>
      <c r="R3319" s="4"/>
      <c r="S3319" s="4"/>
      <c r="T3319" s="4"/>
      <c r="U3319" s="4"/>
      <c r="V3319" s="4"/>
      <c r="W3319" s="4"/>
      <c r="X3319" s="4"/>
    </row>
    <row r="3320" spans="17:24" x14ac:dyDescent="0.3">
      <c r="Q3320" s="4"/>
      <c r="R3320" s="4"/>
      <c r="S3320" s="4"/>
      <c r="T3320" s="4"/>
      <c r="U3320" s="4"/>
      <c r="V3320" s="4"/>
      <c r="W3320" s="4"/>
      <c r="X3320" s="4"/>
    </row>
    <row r="3321" spans="17:24" x14ac:dyDescent="0.3">
      <c r="Q3321" s="4"/>
      <c r="R3321" s="4"/>
      <c r="S3321" s="4"/>
      <c r="T3321" s="4"/>
      <c r="U3321" s="4"/>
      <c r="V3321" s="4"/>
      <c r="W3321" s="4"/>
      <c r="X3321" s="4"/>
    </row>
    <row r="3322" spans="17:24" x14ac:dyDescent="0.3">
      <c r="Q3322" s="4"/>
      <c r="R3322" s="4"/>
      <c r="S3322" s="4"/>
      <c r="T3322" s="4"/>
      <c r="U3322" s="4"/>
      <c r="V3322" s="4"/>
      <c r="W3322" s="4"/>
      <c r="X3322" s="4"/>
    </row>
    <row r="3323" spans="17:24" x14ac:dyDescent="0.3">
      <c r="Q3323" s="4"/>
      <c r="R3323" s="4"/>
      <c r="S3323" s="4"/>
      <c r="T3323" s="4"/>
      <c r="U3323" s="4"/>
      <c r="V3323" s="4"/>
      <c r="W3323" s="4"/>
      <c r="X3323" s="4"/>
    </row>
    <row r="3324" spans="17:24" x14ac:dyDescent="0.3">
      <c r="Q3324" s="4"/>
      <c r="R3324" s="4"/>
      <c r="S3324" s="4"/>
      <c r="T3324" s="4"/>
      <c r="U3324" s="4"/>
      <c r="V3324" s="4"/>
      <c r="W3324" s="4"/>
      <c r="X3324" s="4"/>
    </row>
    <row r="3325" spans="17:24" x14ac:dyDescent="0.3">
      <c r="Q3325" s="4"/>
      <c r="R3325" s="4"/>
      <c r="S3325" s="4"/>
      <c r="T3325" s="4"/>
      <c r="U3325" s="4"/>
      <c r="V3325" s="4"/>
      <c r="W3325" s="4"/>
      <c r="X3325" s="4"/>
    </row>
    <row r="3326" spans="17:24" x14ac:dyDescent="0.3">
      <c r="Q3326" s="4"/>
      <c r="R3326" s="4"/>
      <c r="S3326" s="4"/>
      <c r="T3326" s="4"/>
      <c r="U3326" s="4"/>
      <c r="V3326" s="4"/>
      <c r="W3326" s="4"/>
      <c r="X3326" s="4"/>
    </row>
    <row r="3327" spans="17:24" x14ac:dyDescent="0.3">
      <c r="Q3327" s="4"/>
      <c r="R3327" s="4"/>
      <c r="S3327" s="4"/>
      <c r="T3327" s="4"/>
      <c r="U3327" s="4"/>
      <c r="V3327" s="4"/>
      <c r="W3327" s="4"/>
      <c r="X3327" s="4"/>
    </row>
    <row r="3328" spans="17:24" x14ac:dyDescent="0.3">
      <c r="Q3328" s="4"/>
      <c r="R3328" s="4"/>
      <c r="S3328" s="4"/>
      <c r="T3328" s="4"/>
      <c r="U3328" s="4"/>
      <c r="V3328" s="4"/>
      <c r="W3328" s="4"/>
      <c r="X3328" s="4"/>
    </row>
    <row r="3329" spans="17:24" x14ac:dyDescent="0.3">
      <c r="Q3329" s="4"/>
      <c r="R3329" s="4"/>
      <c r="S3329" s="4"/>
      <c r="T3329" s="4"/>
      <c r="U3329" s="4"/>
      <c r="V3329" s="4"/>
      <c r="W3329" s="4"/>
      <c r="X3329" s="4"/>
    </row>
    <row r="3330" spans="17:24" x14ac:dyDescent="0.3">
      <c r="Q3330" s="4"/>
      <c r="R3330" s="4"/>
      <c r="S3330" s="4"/>
      <c r="T3330" s="4"/>
      <c r="U3330" s="4"/>
      <c r="V3330" s="4"/>
      <c r="W3330" s="4"/>
      <c r="X3330" s="4"/>
    </row>
    <row r="3331" spans="17:24" x14ac:dyDescent="0.3">
      <c r="Q3331" s="4"/>
      <c r="R3331" s="4"/>
      <c r="S3331" s="4"/>
      <c r="T3331" s="4"/>
      <c r="U3331" s="4"/>
      <c r="V3331" s="4"/>
      <c r="W3331" s="4"/>
      <c r="X3331" s="4"/>
    </row>
    <row r="3332" spans="17:24" x14ac:dyDescent="0.3">
      <c r="Q3332" s="4"/>
      <c r="R3332" s="4"/>
      <c r="S3332" s="4"/>
      <c r="T3332" s="4"/>
      <c r="U3332" s="4"/>
      <c r="V3332" s="4"/>
      <c r="W3332" s="4"/>
      <c r="X3332" s="4"/>
    </row>
    <row r="3333" spans="17:24" x14ac:dyDescent="0.3">
      <c r="Q3333" s="4"/>
      <c r="R3333" s="4"/>
      <c r="S3333" s="4"/>
      <c r="T3333" s="4"/>
      <c r="U3333" s="4"/>
      <c r="V3333" s="4"/>
      <c r="W3333" s="4"/>
      <c r="X3333" s="4"/>
    </row>
    <row r="3334" spans="17:24" x14ac:dyDescent="0.3">
      <c r="Q3334" s="4"/>
      <c r="R3334" s="4"/>
      <c r="S3334" s="4"/>
      <c r="T3334" s="4"/>
      <c r="U3334" s="4"/>
      <c r="V3334" s="4"/>
      <c r="W3334" s="4"/>
      <c r="X3334" s="4"/>
    </row>
    <row r="3335" spans="17:24" x14ac:dyDescent="0.3">
      <c r="Q3335" s="4"/>
      <c r="R3335" s="4"/>
      <c r="S3335" s="4"/>
      <c r="T3335" s="4"/>
      <c r="U3335" s="4"/>
      <c r="V3335" s="4"/>
      <c r="W3335" s="4"/>
      <c r="X3335" s="4"/>
    </row>
    <row r="3336" spans="17:24" x14ac:dyDescent="0.3">
      <c r="Q3336" s="4"/>
      <c r="R3336" s="4"/>
      <c r="S3336" s="4"/>
      <c r="T3336" s="4"/>
      <c r="U3336" s="4"/>
      <c r="V3336" s="4"/>
      <c r="W3336" s="4"/>
      <c r="X3336" s="4"/>
    </row>
    <row r="3337" spans="17:24" x14ac:dyDescent="0.3">
      <c r="Q3337" s="4"/>
      <c r="R3337" s="4"/>
      <c r="S3337" s="4"/>
      <c r="T3337" s="4"/>
      <c r="U3337" s="4"/>
      <c r="V3337" s="4"/>
      <c r="W3337" s="4"/>
      <c r="X3337" s="4"/>
    </row>
    <row r="3338" spans="17:24" x14ac:dyDescent="0.3">
      <c r="Q3338" s="4"/>
      <c r="R3338" s="4"/>
      <c r="S3338" s="4"/>
      <c r="T3338" s="4"/>
      <c r="U3338" s="4"/>
      <c r="V3338" s="4"/>
      <c r="W3338" s="4"/>
      <c r="X3338" s="4"/>
    </row>
    <row r="3339" spans="17:24" x14ac:dyDescent="0.3">
      <c r="Q3339" s="4"/>
      <c r="R3339" s="4"/>
      <c r="S3339" s="4"/>
      <c r="T3339" s="4"/>
      <c r="U3339" s="4"/>
      <c r="V3339" s="4"/>
      <c r="W3339" s="4"/>
      <c r="X3339" s="4"/>
    </row>
    <row r="3340" spans="17:24" x14ac:dyDescent="0.3">
      <c r="Q3340" s="4"/>
      <c r="R3340" s="4"/>
      <c r="S3340" s="4"/>
      <c r="T3340" s="4"/>
      <c r="U3340" s="4"/>
      <c r="V3340" s="4"/>
      <c r="W3340" s="4"/>
      <c r="X3340" s="4"/>
    </row>
    <row r="3341" spans="17:24" x14ac:dyDescent="0.3">
      <c r="Q3341" s="4"/>
      <c r="R3341" s="4"/>
      <c r="S3341" s="4"/>
      <c r="T3341" s="4"/>
      <c r="U3341" s="4"/>
      <c r="V3341" s="4"/>
      <c r="W3341" s="4"/>
      <c r="X3341" s="4"/>
    </row>
    <row r="3342" spans="17:24" x14ac:dyDescent="0.3">
      <c r="Q3342" s="4"/>
      <c r="R3342" s="4"/>
      <c r="S3342" s="4"/>
      <c r="T3342" s="4"/>
      <c r="U3342" s="4"/>
      <c r="V3342" s="4"/>
      <c r="W3342" s="4"/>
      <c r="X3342" s="4"/>
    </row>
    <row r="3343" spans="17:24" x14ac:dyDescent="0.3">
      <c r="Q3343" s="4"/>
      <c r="R3343" s="4"/>
      <c r="S3343" s="4"/>
      <c r="T3343" s="4"/>
      <c r="U3343" s="4"/>
      <c r="V3343" s="4"/>
      <c r="W3343" s="4"/>
      <c r="X3343" s="4"/>
    </row>
    <row r="3344" spans="17:24" x14ac:dyDescent="0.3">
      <c r="Q3344" s="4"/>
      <c r="R3344" s="4"/>
      <c r="S3344" s="4"/>
      <c r="T3344" s="4"/>
      <c r="U3344" s="4"/>
      <c r="V3344" s="4"/>
      <c r="W3344" s="4"/>
      <c r="X3344" s="4"/>
    </row>
    <row r="3345" spans="17:24" x14ac:dyDescent="0.3">
      <c r="Q3345" s="4"/>
      <c r="R3345" s="4"/>
      <c r="S3345" s="4"/>
      <c r="T3345" s="4"/>
      <c r="U3345" s="4"/>
      <c r="V3345" s="4"/>
      <c r="W3345" s="4"/>
      <c r="X3345" s="4"/>
    </row>
    <row r="3346" spans="17:24" x14ac:dyDescent="0.3">
      <c r="Q3346" s="4"/>
      <c r="R3346" s="4"/>
      <c r="S3346" s="4"/>
      <c r="T3346" s="4"/>
      <c r="U3346" s="4"/>
      <c r="V3346" s="4"/>
      <c r="W3346" s="4"/>
      <c r="X3346" s="4"/>
    </row>
    <row r="3347" spans="17:24" x14ac:dyDescent="0.3">
      <c r="Q3347" s="4"/>
      <c r="R3347" s="4"/>
      <c r="S3347" s="4"/>
      <c r="T3347" s="4"/>
      <c r="U3347" s="4"/>
      <c r="V3347" s="4"/>
      <c r="W3347" s="4"/>
      <c r="X3347" s="4"/>
    </row>
    <row r="3348" spans="17:24" x14ac:dyDescent="0.3">
      <c r="Q3348" s="4"/>
      <c r="R3348" s="4"/>
      <c r="S3348" s="4"/>
      <c r="T3348" s="4"/>
      <c r="U3348" s="4"/>
      <c r="V3348" s="4"/>
      <c r="W3348" s="4"/>
      <c r="X3348" s="4"/>
    </row>
    <row r="3349" spans="17:24" x14ac:dyDescent="0.3">
      <c r="Q3349" s="4"/>
      <c r="R3349" s="4"/>
      <c r="S3349" s="4"/>
      <c r="T3349" s="4"/>
      <c r="U3349" s="4"/>
      <c r="V3349" s="4"/>
      <c r="W3349" s="4"/>
      <c r="X3349" s="4"/>
    </row>
    <row r="3350" spans="17:24" x14ac:dyDescent="0.3">
      <c r="Q3350" s="4"/>
      <c r="R3350" s="4"/>
      <c r="S3350" s="4"/>
      <c r="T3350" s="4"/>
      <c r="U3350" s="4"/>
      <c r="V3350" s="4"/>
      <c r="W3350" s="4"/>
      <c r="X3350" s="4"/>
    </row>
    <row r="3351" spans="17:24" x14ac:dyDescent="0.3">
      <c r="Q3351" s="4"/>
      <c r="R3351" s="4"/>
      <c r="S3351" s="4"/>
      <c r="T3351" s="4"/>
      <c r="U3351" s="4"/>
      <c r="V3351" s="4"/>
      <c r="W3351" s="4"/>
      <c r="X3351" s="4"/>
    </row>
    <row r="3352" spans="17:24" x14ac:dyDescent="0.3">
      <c r="Q3352" s="4"/>
      <c r="R3352" s="4"/>
      <c r="S3352" s="4"/>
      <c r="T3352" s="4"/>
      <c r="U3352" s="4"/>
      <c r="V3352" s="4"/>
      <c r="W3352" s="4"/>
      <c r="X3352" s="4"/>
    </row>
    <row r="3353" spans="17:24" x14ac:dyDescent="0.3">
      <c r="Q3353" s="4"/>
      <c r="R3353" s="4"/>
      <c r="S3353" s="4"/>
      <c r="T3353" s="4"/>
      <c r="U3353" s="4"/>
      <c r="V3353" s="4"/>
      <c r="W3353" s="4"/>
      <c r="X3353" s="4"/>
    </row>
    <row r="3354" spans="17:24" x14ac:dyDescent="0.3">
      <c r="Q3354" s="4"/>
      <c r="R3354" s="4"/>
      <c r="S3354" s="4"/>
      <c r="T3354" s="4"/>
      <c r="U3354" s="4"/>
      <c r="V3354" s="4"/>
      <c r="W3354" s="4"/>
      <c r="X3354" s="4"/>
    </row>
    <row r="3355" spans="17:24" x14ac:dyDescent="0.3">
      <c r="Q3355" s="4"/>
      <c r="R3355" s="4"/>
      <c r="S3355" s="4"/>
      <c r="T3355" s="4"/>
      <c r="U3355" s="4"/>
      <c r="V3355" s="4"/>
      <c r="W3355" s="4"/>
      <c r="X3355" s="4"/>
    </row>
    <row r="3356" spans="17:24" x14ac:dyDescent="0.3">
      <c r="Q3356" s="4"/>
      <c r="R3356" s="4"/>
      <c r="S3356" s="4"/>
      <c r="T3356" s="4"/>
      <c r="U3356" s="4"/>
      <c r="V3356" s="4"/>
      <c r="W3356" s="4"/>
      <c r="X3356" s="4"/>
    </row>
    <row r="3357" spans="17:24" x14ac:dyDescent="0.3">
      <c r="Q3357" s="4"/>
      <c r="R3357" s="4"/>
      <c r="S3357" s="4"/>
      <c r="T3357" s="4"/>
      <c r="U3357" s="4"/>
      <c r="V3357" s="4"/>
      <c r="W3357" s="4"/>
      <c r="X3357" s="4"/>
    </row>
    <row r="3358" spans="17:24" x14ac:dyDescent="0.3">
      <c r="Q3358" s="4"/>
      <c r="R3358" s="4"/>
      <c r="S3358" s="4"/>
      <c r="T3358" s="4"/>
      <c r="U3358" s="4"/>
      <c r="V3358" s="4"/>
      <c r="W3358" s="4"/>
      <c r="X3358" s="4"/>
    </row>
    <row r="3359" spans="17:24" x14ac:dyDescent="0.3">
      <c r="Q3359" s="4"/>
      <c r="R3359" s="4"/>
      <c r="S3359" s="4"/>
      <c r="T3359" s="4"/>
      <c r="U3359" s="4"/>
      <c r="V3359" s="4"/>
      <c r="W3359" s="4"/>
      <c r="X3359" s="4"/>
    </row>
    <row r="3360" spans="17:24" x14ac:dyDescent="0.3">
      <c r="Q3360" s="4"/>
      <c r="R3360" s="4"/>
      <c r="S3360" s="4"/>
      <c r="T3360" s="4"/>
      <c r="U3360" s="4"/>
      <c r="V3360" s="4"/>
      <c r="W3360" s="4"/>
      <c r="X3360" s="4"/>
    </row>
    <row r="3361" spans="17:24" x14ac:dyDescent="0.3">
      <c r="Q3361" s="4"/>
      <c r="R3361" s="4"/>
      <c r="S3361" s="4"/>
      <c r="T3361" s="4"/>
      <c r="U3361" s="4"/>
      <c r="V3361" s="4"/>
      <c r="W3361" s="4"/>
      <c r="X3361" s="4"/>
    </row>
    <row r="3362" spans="17:24" x14ac:dyDescent="0.3">
      <c r="Q3362" s="4"/>
      <c r="R3362" s="4"/>
      <c r="S3362" s="4"/>
      <c r="T3362" s="4"/>
      <c r="U3362" s="4"/>
      <c r="V3362" s="4"/>
      <c r="W3362" s="4"/>
      <c r="X3362" s="4"/>
    </row>
    <row r="3363" spans="17:24" x14ac:dyDescent="0.3">
      <c r="Q3363" s="4"/>
      <c r="R3363" s="4"/>
      <c r="S3363" s="4"/>
      <c r="T3363" s="4"/>
      <c r="U3363" s="4"/>
      <c r="V3363" s="4"/>
      <c r="W3363" s="4"/>
      <c r="X3363" s="4"/>
    </row>
    <row r="3364" spans="17:24" x14ac:dyDescent="0.3">
      <c r="Q3364" s="4"/>
      <c r="R3364" s="4"/>
      <c r="S3364" s="4"/>
      <c r="T3364" s="4"/>
      <c r="U3364" s="4"/>
      <c r="V3364" s="4"/>
      <c r="W3364" s="4"/>
      <c r="X3364" s="4"/>
    </row>
    <row r="3365" spans="17:24" x14ac:dyDescent="0.3">
      <c r="Q3365" s="4"/>
      <c r="R3365" s="4"/>
      <c r="S3365" s="4"/>
      <c r="T3365" s="4"/>
      <c r="U3365" s="4"/>
      <c r="V3365" s="4"/>
      <c r="W3365" s="4"/>
      <c r="X3365" s="4"/>
    </row>
    <row r="3366" spans="17:24" x14ac:dyDescent="0.3">
      <c r="Q3366" s="4"/>
      <c r="R3366" s="4"/>
      <c r="S3366" s="4"/>
      <c r="T3366" s="4"/>
      <c r="U3366" s="4"/>
      <c r="V3366" s="4"/>
      <c r="W3366" s="4"/>
      <c r="X3366" s="4"/>
    </row>
    <row r="3367" spans="17:24" x14ac:dyDescent="0.3">
      <c r="Q3367" s="4"/>
      <c r="R3367" s="4"/>
      <c r="S3367" s="4"/>
      <c r="T3367" s="4"/>
      <c r="U3367" s="4"/>
      <c r="V3367" s="4"/>
      <c r="W3367" s="4"/>
      <c r="X3367" s="4"/>
    </row>
    <row r="3368" spans="17:24" x14ac:dyDescent="0.3">
      <c r="Q3368" s="4"/>
      <c r="R3368" s="4"/>
      <c r="S3368" s="4"/>
      <c r="T3368" s="4"/>
      <c r="U3368" s="4"/>
      <c r="V3368" s="4"/>
      <c r="W3368" s="4"/>
      <c r="X3368" s="4"/>
    </row>
    <row r="3369" spans="17:24" x14ac:dyDescent="0.3">
      <c r="Q3369" s="4"/>
      <c r="R3369" s="4"/>
      <c r="S3369" s="4"/>
      <c r="T3369" s="4"/>
      <c r="U3369" s="4"/>
      <c r="V3369" s="4"/>
      <c r="W3369" s="4"/>
      <c r="X3369" s="4"/>
    </row>
    <row r="3370" spans="17:24" x14ac:dyDescent="0.3">
      <c r="Q3370" s="4"/>
      <c r="R3370" s="4"/>
      <c r="S3370" s="4"/>
      <c r="T3370" s="4"/>
      <c r="U3370" s="4"/>
      <c r="V3370" s="4"/>
      <c r="W3370" s="4"/>
      <c r="X3370" s="4"/>
    </row>
    <row r="3371" spans="17:24" x14ac:dyDescent="0.3">
      <c r="Q3371" s="4"/>
      <c r="R3371" s="4"/>
      <c r="S3371" s="4"/>
      <c r="T3371" s="4"/>
      <c r="U3371" s="4"/>
      <c r="V3371" s="4"/>
      <c r="W3371" s="4"/>
      <c r="X3371" s="4"/>
    </row>
    <row r="3372" spans="17:24" x14ac:dyDescent="0.3">
      <c r="Q3372" s="4"/>
      <c r="R3372" s="4"/>
      <c r="S3372" s="4"/>
      <c r="T3372" s="4"/>
      <c r="U3372" s="4"/>
      <c r="V3372" s="4"/>
      <c r="W3372" s="4"/>
      <c r="X3372" s="4"/>
    </row>
    <row r="3373" spans="17:24" x14ac:dyDescent="0.3">
      <c r="Q3373" s="4"/>
      <c r="R3373" s="4"/>
      <c r="S3373" s="4"/>
      <c r="T3373" s="4"/>
      <c r="U3373" s="4"/>
      <c r="V3373" s="4"/>
      <c r="W3373" s="4"/>
      <c r="X3373" s="4"/>
    </row>
    <row r="3374" spans="17:24" x14ac:dyDescent="0.3">
      <c r="Q3374" s="4"/>
      <c r="R3374" s="4"/>
      <c r="S3374" s="4"/>
      <c r="T3374" s="4"/>
      <c r="U3374" s="4"/>
      <c r="V3374" s="4"/>
      <c r="W3374" s="4"/>
      <c r="X3374" s="4"/>
    </row>
    <row r="3375" spans="17:24" x14ac:dyDescent="0.3">
      <c r="Q3375" s="4"/>
      <c r="R3375" s="4"/>
      <c r="S3375" s="4"/>
      <c r="T3375" s="4"/>
      <c r="U3375" s="4"/>
      <c r="V3375" s="4"/>
      <c r="W3375" s="4"/>
      <c r="X3375" s="4"/>
    </row>
    <row r="3376" spans="17:24" x14ac:dyDescent="0.3">
      <c r="Q3376" s="4"/>
      <c r="R3376" s="4"/>
      <c r="S3376" s="4"/>
      <c r="T3376" s="4"/>
      <c r="U3376" s="4"/>
      <c r="V3376" s="4"/>
      <c r="W3376" s="4"/>
      <c r="X3376" s="4"/>
    </row>
    <row r="3377" spans="17:24" x14ac:dyDescent="0.3">
      <c r="Q3377" s="4"/>
      <c r="R3377" s="4"/>
      <c r="S3377" s="4"/>
      <c r="T3377" s="4"/>
      <c r="U3377" s="4"/>
      <c r="V3377" s="4"/>
      <c r="W3377" s="4"/>
      <c r="X3377" s="4"/>
    </row>
    <row r="3378" spans="17:24" x14ac:dyDescent="0.3">
      <c r="Q3378" s="4"/>
      <c r="R3378" s="4"/>
      <c r="S3378" s="4"/>
      <c r="T3378" s="4"/>
      <c r="U3378" s="4"/>
      <c r="V3378" s="4"/>
      <c r="W3378" s="4"/>
      <c r="X3378" s="4"/>
    </row>
    <row r="3379" spans="17:24" x14ac:dyDescent="0.3">
      <c r="Q3379" s="4"/>
      <c r="R3379" s="4"/>
      <c r="S3379" s="4"/>
      <c r="T3379" s="4"/>
      <c r="U3379" s="4"/>
      <c r="V3379" s="4"/>
      <c r="W3379" s="4"/>
      <c r="X3379" s="4"/>
    </row>
    <row r="3380" spans="17:24" x14ac:dyDescent="0.3">
      <c r="Q3380" s="4"/>
      <c r="R3380" s="4"/>
      <c r="S3380" s="4"/>
      <c r="T3380" s="4"/>
      <c r="U3380" s="4"/>
      <c r="V3380" s="4"/>
      <c r="W3380" s="4"/>
      <c r="X3380" s="4"/>
    </row>
    <row r="3381" spans="17:24" x14ac:dyDescent="0.3">
      <c r="Q3381" s="4"/>
      <c r="R3381" s="4"/>
      <c r="S3381" s="4"/>
      <c r="T3381" s="4"/>
      <c r="U3381" s="4"/>
      <c r="V3381" s="4"/>
      <c r="W3381" s="4"/>
      <c r="X3381" s="4"/>
    </row>
    <row r="3382" spans="17:24" x14ac:dyDescent="0.3">
      <c r="Q3382" s="4"/>
      <c r="R3382" s="4"/>
      <c r="S3382" s="4"/>
      <c r="T3382" s="4"/>
      <c r="U3382" s="4"/>
      <c r="V3382" s="4"/>
      <c r="W3382" s="4"/>
      <c r="X3382" s="4"/>
    </row>
    <row r="3383" spans="17:24" x14ac:dyDescent="0.3">
      <c r="Q3383" s="4"/>
      <c r="R3383" s="4"/>
      <c r="S3383" s="4"/>
      <c r="T3383" s="4"/>
      <c r="U3383" s="4"/>
      <c r="V3383" s="4"/>
      <c r="W3383" s="4"/>
      <c r="X3383" s="4"/>
    </row>
    <row r="3384" spans="17:24" x14ac:dyDescent="0.3">
      <c r="Q3384" s="4"/>
      <c r="R3384" s="4"/>
      <c r="S3384" s="4"/>
      <c r="T3384" s="4"/>
      <c r="U3384" s="4"/>
      <c r="V3384" s="4"/>
      <c r="W3384" s="4"/>
      <c r="X3384" s="4"/>
    </row>
    <row r="3385" spans="17:24" x14ac:dyDescent="0.3">
      <c r="Q3385" s="4"/>
      <c r="R3385" s="4"/>
      <c r="S3385" s="4"/>
      <c r="T3385" s="4"/>
      <c r="U3385" s="4"/>
      <c r="V3385" s="4"/>
      <c r="W3385" s="4"/>
      <c r="X3385" s="4"/>
    </row>
    <row r="3386" spans="17:24" x14ac:dyDescent="0.3">
      <c r="Q3386" s="4"/>
      <c r="R3386" s="4"/>
      <c r="S3386" s="4"/>
      <c r="T3386" s="4"/>
      <c r="U3386" s="4"/>
      <c r="V3386" s="4"/>
      <c r="W3386" s="4"/>
      <c r="X3386" s="4"/>
    </row>
    <row r="3387" spans="17:24" x14ac:dyDescent="0.3">
      <c r="Q3387" s="4"/>
      <c r="R3387" s="4"/>
      <c r="S3387" s="4"/>
      <c r="T3387" s="4"/>
      <c r="U3387" s="4"/>
      <c r="V3387" s="4"/>
      <c r="W3387" s="4"/>
      <c r="X3387" s="4"/>
    </row>
    <row r="3388" spans="17:24" x14ac:dyDescent="0.3">
      <c r="Q3388" s="4"/>
      <c r="R3388" s="4"/>
      <c r="S3388" s="4"/>
      <c r="T3388" s="4"/>
      <c r="U3388" s="4"/>
      <c r="V3388" s="4"/>
      <c r="W3388" s="4"/>
      <c r="X3388" s="4"/>
    </row>
    <row r="3389" spans="17:24" x14ac:dyDescent="0.3">
      <c r="Q3389" s="4"/>
      <c r="R3389" s="4"/>
      <c r="S3389" s="4"/>
      <c r="T3389" s="4"/>
      <c r="U3389" s="4"/>
      <c r="V3389" s="4"/>
      <c r="W3389" s="4"/>
      <c r="X3389" s="4"/>
    </row>
    <row r="3390" spans="17:24" x14ac:dyDescent="0.3">
      <c r="Q3390" s="4"/>
      <c r="R3390" s="4"/>
      <c r="S3390" s="4"/>
      <c r="T3390" s="4"/>
      <c r="U3390" s="4"/>
      <c r="V3390" s="4"/>
      <c r="W3390" s="4"/>
      <c r="X3390" s="4"/>
    </row>
    <row r="3391" spans="17:24" x14ac:dyDescent="0.3">
      <c r="Q3391" s="4"/>
      <c r="R3391" s="4"/>
      <c r="S3391" s="4"/>
      <c r="T3391" s="4"/>
      <c r="U3391" s="4"/>
      <c r="V3391" s="4"/>
      <c r="W3391" s="4"/>
      <c r="X3391" s="4"/>
    </row>
    <row r="3392" spans="17:24" x14ac:dyDescent="0.3">
      <c r="Q3392" s="4"/>
      <c r="R3392" s="4"/>
      <c r="S3392" s="4"/>
      <c r="T3392" s="4"/>
      <c r="U3392" s="4"/>
      <c r="V3392" s="4"/>
      <c r="W3392" s="4"/>
      <c r="X3392" s="4"/>
    </row>
    <row r="3393" spans="17:24" x14ac:dyDescent="0.3">
      <c r="Q3393" s="4"/>
      <c r="R3393" s="4"/>
      <c r="S3393" s="4"/>
      <c r="T3393" s="4"/>
      <c r="U3393" s="4"/>
      <c r="V3393" s="4"/>
      <c r="W3393" s="4"/>
      <c r="X3393" s="4"/>
    </row>
    <row r="3394" spans="17:24" x14ac:dyDescent="0.3">
      <c r="Q3394" s="4"/>
      <c r="R3394" s="4"/>
      <c r="S3394" s="4"/>
      <c r="T3394" s="4"/>
      <c r="U3394" s="4"/>
      <c r="V3394" s="4"/>
      <c r="W3394" s="4"/>
      <c r="X3394" s="4"/>
    </row>
    <row r="3395" spans="17:24" x14ac:dyDescent="0.3">
      <c r="Q3395" s="4"/>
      <c r="R3395" s="4"/>
      <c r="S3395" s="4"/>
      <c r="T3395" s="4"/>
      <c r="U3395" s="4"/>
      <c r="V3395" s="4"/>
      <c r="W3395" s="4"/>
      <c r="X3395" s="4"/>
    </row>
    <row r="3396" spans="17:24" x14ac:dyDescent="0.3">
      <c r="Q3396" s="4"/>
      <c r="R3396" s="4"/>
      <c r="S3396" s="4"/>
      <c r="T3396" s="4"/>
      <c r="U3396" s="4"/>
      <c r="V3396" s="4"/>
      <c r="W3396" s="4"/>
      <c r="X3396" s="4"/>
    </row>
    <row r="3397" spans="17:24" x14ac:dyDescent="0.3">
      <c r="Q3397" s="4"/>
      <c r="R3397" s="4"/>
      <c r="S3397" s="4"/>
      <c r="T3397" s="4"/>
      <c r="U3397" s="4"/>
      <c r="V3397" s="4"/>
      <c r="W3397" s="4"/>
      <c r="X3397" s="4"/>
    </row>
    <row r="3398" spans="17:24" x14ac:dyDescent="0.3">
      <c r="Q3398" s="4"/>
      <c r="R3398" s="4"/>
      <c r="S3398" s="4"/>
      <c r="T3398" s="4"/>
      <c r="U3398" s="4"/>
      <c r="V3398" s="4"/>
      <c r="W3398" s="4"/>
      <c r="X3398" s="4"/>
    </row>
    <row r="3399" spans="17:24" x14ac:dyDescent="0.3">
      <c r="Q3399" s="4"/>
      <c r="R3399" s="4"/>
      <c r="S3399" s="4"/>
      <c r="T3399" s="4"/>
      <c r="U3399" s="4"/>
      <c r="V3399" s="4"/>
      <c r="W3399" s="4"/>
      <c r="X3399" s="4"/>
    </row>
    <row r="3400" spans="17:24" x14ac:dyDescent="0.3">
      <c r="Q3400" s="4"/>
      <c r="R3400" s="4"/>
      <c r="S3400" s="4"/>
      <c r="T3400" s="4"/>
      <c r="U3400" s="4"/>
      <c r="V3400" s="4"/>
      <c r="W3400" s="4"/>
      <c r="X3400" s="4"/>
    </row>
    <row r="3401" spans="17:24" x14ac:dyDescent="0.3">
      <c r="Q3401" s="4"/>
      <c r="R3401" s="4"/>
      <c r="S3401" s="4"/>
      <c r="T3401" s="4"/>
      <c r="U3401" s="4"/>
      <c r="V3401" s="4"/>
      <c r="W3401" s="4"/>
      <c r="X3401" s="4"/>
    </row>
    <row r="3402" spans="17:24" x14ac:dyDescent="0.3">
      <c r="Q3402" s="4"/>
      <c r="R3402" s="4"/>
      <c r="S3402" s="4"/>
      <c r="T3402" s="4"/>
      <c r="U3402" s="4"/>
      <c r="V3402" s="4"/>
      <c r="W3402" s="4"/>
      <c r="X3402" s="4"/>
    </row>
    <row r="3403" spans="17:24" x14ac:dyDescent="0.3">
      <c r="Q3403" s="4"/>
      <c r="R3403" s="4"/>
      <c r="S3403" s="4"/>
      <c r="T3403" s="4"/>
      <c r="U3403" s="4"/>
      <c r="V3403" s="4"/>
      <c r="W3403" s="4"/>
      <c r="X3403" s="4"/>
    </row>
    <row r="3404" spans="17:24" x14ac:dyDescent="0.3">
      <c r="Q3404" s="4"/>
      <c r="R3404" s="4"/>
      <c r="S3404" s="4"/>
      <c r="T3404" s="4"/>
      <c r="U3404" s="4"/>
      <c r="V3404" s="4"/>
      <c r="W3404" s="4"/>
      <c r="X3404" s="4"/>
    </row>
    <row r="3405" spans="17:24" x14ac:dyDescent="0.3">
      <c r="Q3405" s="4"/>
      <c r="R3405" s="4"/>
      <c r="S3405" s="4"/>
      <c r="T3405" s="4"/>
      <c r="U3405" s="4"/>
      <c r="V3405" s="4"/>
      <c r="W3405" s="4"/>
      <c r="X3405" s="4"/>
    </row>
    <row r="3406" spans="17:24" x14ac:dyDescent="0.3">
      <c r="Q3406" s="4"/>
      <c r="R3406" s="4"/>
      <c r="S3406" s="4"/>
      <c r="T3406" s="4"/>
      <c r="U3406" s="4"/>
      <c r="V3406" s="4"/>
      <c r="W3406" s="4"/>
      <c r="X3406" s="4"/>
    </row>
    <row r="3407" spans="17:24" x14ac:dyDescent="0.3">
      <c r="Q3407" s="4"/>
      <c r="R3407" s="4"/>
      <c r="S3407" s="4"/>
      <c r="T3407" s="4"/>
      <c r="U3407" s="4"/>
      <c r="V3407" s="4"/>
      <c r="W3407" s="4"/>
      <c r="X3407" s="4"/>
    </row>
    <row r="3408" spans="17:24" x14ac:dyDescent="0.3">
      <c r="Q3408" s="4"/>
      <c r="R3408" s="4"/>
      <c r="S3408" s="4"/>
      <c r="T3408" s="4"/>
      <c r="U3408" s="4"/>
      <c r="V3408" s="4"/>
      <c r="W3408" s="4"/>
      <c r="X3408" s="4"/>
    </row>
    <row r="3409" spans="17:24" x14ac:dyDescent="0.3">
      <c r="Q3409" s="4"/>
      <c r="R3409" s="4"/>
      <c r="S3409" s="4"/>
      <c r="T3409" s="4"/>
      <c r="U3409" s="4"/>
      <c r="V3409" s="4"/>
      <c r="W3409" s="4"/>
      <c r="X3409" s="4"/>
    </row>
    <row r="3410" spans="17:24" x14ac:dyDescent="0.3">
      <c r="Q3410" s="4"/>
      <c r="R3410" s="4"/>
      <c r="S3410" s="4"/>
      <c r="T3410" s="4"/>
      <c r="U3410" s="4"/>
      <c r="V3410" s="4"/>
      <c r="W3410" s="4"/>
      <c r="X3410" s="4"/>
    </row>
    <row r="3411" spans="17:24" x14ac:dyDescent="0.3">
      <c r="Q3411" s="4"/>
      <c r="R3411" s="4"/>
      <c r="S3411" s="4"/>
      <c r="T3411" s="4"/>
      <c r="U3411" s="4"/>
      <c r="V3411" s="4"/>
      <c r="W3411" s="4"/>
      <c r="X3411" s="4"/>
    </row>
    <row r="3412" spans="17:24" x14ac:dyDescent="0.3">
      <c r="Q3412" s="4"/>
      <c r="R3412" s="4"/>
      <c r="S3412" s="4"/>
      <c r="T3412" s="4"/>
      <c r="U3412" s="4"/>
      <c r="V3412" s="4"/>
      <c r="W3412" s="4"/>
      <c r="X3412" s="4"/>
    </row>
    <row r="3413" spans="17:24" x14ac:dyDescent="0.3">
      <c r="Q3413" s="4"/>
      <c r="R3413" s="4"/>
      <c r="S3413" s="4"/>
      <c r="T3413" s="4"/>
      <c r="U3413" s="4"/>
      <c r="V3413" s="4"/>
      <c r="W3413" s="4"/>
      <c r="X3413" s="4"/>
    </row>
    <row r="3414" spans="17:24" x14ac:dyDescent="0.3">
      <c r="Q3414" s="4"/>
      <c r="R3414" s="4"/>
      <c r="S3414" s="4"/>
      <c r="T3414" s="4"/>
      <c r="U3414" s="4"/>
      <c r="V3414" s="4"/>
      <c r="W3414" s="4"/>
      <c r="X3414" s="4"/>
    </row>
    <row r="3415" spans="17:24" x14ac:dyDescent="0.3">
      <c r="Q3415" s="4"/>
      <c r="R3415" s="4"/>
      <c r="S3415" s="4"/>
      <c r="T3415" s="4"/>
      <c r="U3415" s="4"/>
      <c r="V3415" s="4"/>
      <c r="W3415" s="4"/>
      <c r="X3415" s="4"/>
    </row>
    <row r="3416" spans="17:24" x14ac:dyDescent="0.3">
      <c r="Q3416" s="4"/>
      <c r="R3416" s="4"/>
      <c r="S3416" s="4"/>
      <c r="T3416" s="4"/>
      <c r="U3416" s="4"/>
      <c r="V3416" s="4"/>
      <c r="W3416" s="4"/>
      <c r="X3416" s="4"/>
    </row>
    <row r="3417" spans="17:24" x14ac:dyDescent="0.3">
      <c r="Q3417" s="4"/>
      <c r="R3417" s="4"/>
      <c r="S3417" s="4"/>
      <c r="T3417" s="4"/>
      <c r="U3417" s="4"/>
      <c r="V3417" s="4"/>
      <c r="W3417" s="4"/>
      <c r="X3417" s="4"/>
    </row>
    <row r="3418" spans="17:24" x14ac:dyDescent="0.3">
      <c r="Q3418" s="4"/>
      <c r="R3418" s="4"/>
      <c r="S3418" s="4"/>
      <c r="T3418" s="4"/>
      <c r="U3418" s="4"/>
      <c r="V3418" s="4"/>
      <c r="W3418" s="4"/>
      <c r="X3418" s="4"/>
    </row>
    <row r="3419" spans="17:24" x14ac:dyDescent="0.3">
      <c r="Q3419" s="4"/>
      <c r="R3419" s="4"/>
      <c r="S3419" s="4"/>
      <c r="T3419" s="4"/>
      <c r="U3419" s="4"/>
      <c r="V3419" s="4"/>
      <c r="W3419" s="4"/>
      <c r="X3419" s="4"/>
    </row>
    <row r="3420" spans="17:24" x14ac:dyDescent="0.3">
      <c r="Q3420" s="4"/>
      <c r="R3420" s="4"/>
      <c r="S3420" s="4"/>
      <c r="T3420" s="4"/>
      <c r="U3420" s="4"/>
      <c r="V3420" s="4"/>
      <c r="W3420" s="4"/>
      <c r="X3420" s="4"/>
    </row>
    <row r="3421" spans="17:24" x14ac:dyDescent="0.3">
      <c r="Q3421" s="4"/>
      <c r="R3421" s="4"/>
      <c r="S3421" s="4"/>
      <c r="T3421" s="4"/>
      <c r="U3421" s="4"/>
      <c r="V3421" s="4"/>
      <c r="W3421" s="4"/>
      <c r="X3421" s="4"/>
    </row>
    <row r="3422" spans="17:24" x14ac:dyDescent="0.3">
      <c r="Q3422" s="4"/>
      <c r="R3422" s="4"/>
      <c r="S3422" s="4"/>
      <c r="T3422" s="4"/>
      <c r="U3422" s="4"/>
      <c r="V3422" s="4"/>
      <c r="W3422" s="4"/>
      <c r="X3422" s="4"/>
    </row>
    <row r="3423" spans="17:24" x14ac:dyDescent="0.3">
      <c r="Q3423" s="4"/>
      <c r="R3423" s="4"/>
      <c r="S3423" s="4"/>
      <c r="T3423" s="4"/>
      <c r="U3423" s="4"/>
      <c r="V3423" s="4"/>
      <c r="W3423" s="4"/>
      <c r="X3423" s="4"/>
    </row>
    <row r="3424" spans="17:24" x14ac:dyDescent="0.3">
      <c r="Q3424" s="4"/>
      <c r="R3424" s="4"/>
      <c r="S3424" s="4"/>
      <c r="T3424" s="4"/>
      <c r="U3424" s="4"/>
      <c r="V3424" s="4"/>
      <c r="W3424" s="4"/>
      <c r="X3424" s="4"/>
    </row>
    <row r="3425" spans="17:24" x14ac:dyDescent="0.3">
      <c r="Q3425" s="4"/>
      <c r="R3425" s="4"/>
      <c r="S3425" s="4"/>
      <c r="T3425" s="4"/>
      <c r="U3425" s="4"/>
      <c r="V3425" s="4"/>
      <c r="W3425" s="4"/>
      <c r="X3425" s="4"/>
    </row>
    <row r="3426" spans="17:24" x14ac:dyDescent="0.3">
      <c r="Q3426" s="4"/>
      <c r="R3426" s="4"/>
      <c r="S3426" s="4"/>
      <c r="T3426" s="4"/>
      <c r="U3426" s="4"/>
      <c r="V3426" s="4"/>
      <c r="W3426" s="4"/>
      <c r="X3426" s="4"/>
    </row>
    <row r="3427" spans="17:24" x14ac:dyDescent="0.3">
      <c r="Q3427" s="4"/>
      <c r="R3427" s="4"/>
      <c r="S3427" s="4"/>
      <c r="T3427" s="4"/>
      <c r="U3427" s="4"/>
      <c r="V3427" s="4"/>
      <c r="W3427" s="4"/>
      <c r="X3427" s="4"/>
    </row>
    <row r="3428" spans="17:24" x14ac:dyDescent="0.3">
      <c r="Q3428" s="4"/>
      <c r="R3428" s="4"/>
      <c r="S3428" s="4"/>
      <c r="T3428" s="4"/>
      <c r="U3428" s="4"/>
      <c r="V3428" s="4"/>
      <c r="W3428" s="4"/>
      <c r="X3428" s="4"/>
    </row>
    <row r="3429" spans="17:24" x14ac:dyDescent="0.3">
      <c r="Q3429" s="4"/>
      <c r="R3429" s="4"/>
      <c r="S3429" s="4"/>
      <c r="T3429" s="4"/>
      <c r="U3429" s="4"/>
      <c r="V3429" s="4"/>
      <c r="W3429" s="4"/>
      <c r="X3429" s="4"/>
    </row>
    <row r="3430" spans="17:24" x14ac:dyDescent="0.3">
      <c r="Q3430" s="4"/>
      <c r="R3430" s="4"/>
      <c r="S3430" s="4"/>
      <c r="T3430" s="4"/>
      <c r="U3430" s="4"/>
      <c r="V3430" s="4"/>
      <c r="W3430" s="4"/>
      <c r="X3430" s="4"/>
    </row>
    <row r="3431" spans="17:24" x14ac:dyDescent="0.3">
      <c r="Q3431" s="4"/>
      <c r="R3431" s="4"/>
      <c r="S3431" s="4"/>
      <c r="T3431" s="4"/>
      <c r="U3431" s="4"/>
      <c r="V3431" s="4"/>
      <c r="W3431" s="4"/>
      <c r="X3431" s="4"/>
    </row>
    <row r="3432" spans="17:24" x14ac:dyDescent="0.3">
      <c r="Q3432" s="4"/>
      <c r="R3432" s="4"/>
      <c r="S3432" s="4"/>
      <c r="T3432" s="4"/>
      <c r="U3432" s="4"/>
      <c r="V3432" s="4"/>
      <c r="W3432" s="4"/>
      <c r="X3432" s="4"/>
    </row>
    <row r="3433" spans="17:24" x14ac:dyDescent="0.3">
      <c r="Q3433" s="4"/>
      <c r="R3433" s="4"/>
      <c r="S3433" s="4"/>
      <c r="T3433" s="4"/>
      <c r="U3433" s="4"/>
      <c r="V3433" s="4"/>
      <c r="W3433" s="4"/>
      <c r="X3433" s="4"/>
    </row>
    <row r="3434" spans="17:24" x14ac:dyDescent="0.3">
      <c r="Q3434" s="4"/>
      <c r="R3434" s="4"/>
      <c r="S3434" s="4"/>
      <c r="T3434" s="4"/>
      <c r="U3434" s="4"/>
      <c r="V3434" s="4"/>
      <c r="W3434" s="4"/>
      <c r="X3434" s="4"/>
    </row>
    <row r="3435" spans="17:24" x14ac:dyDescent="0.3">
      <c r="Q3435" s="4"/>
      <c r="R3435" s="4"/>
      <c r="S3435" s="4"/>
      <c r="T3435" s="4"/>
      <c r="U3435" s="4"/>
      <c r="V3435" s="4"/>
      <c r="W3435" s="4"/>
      <c r="X3435" s="4"/>
    </row>
    <row r="3436" spans="17:24" x14ac:dyDescent="0.3">
      <c r="Q3436" s="4"/>
      <c r="R3436" s="4"/>
      <c r="S3436" s="4"/>
      <c r="T3436" s="4"/>
      <c r="U3436" s="4"/>
      <c r="V3436" s="4"/>
      <c r="W3436" s="4"/>
      <c r="X3436" s="4"/>
    </row>
    <row r="3437" spans="17:24" x14ac:dyDescent="0.3">
      <c r="Q3437" s="4"/>
      <c r="R3437" s="4"/>
      <c r="S3437" s="4"/>
      <c r="T3437" s="4"/>
      <c r="U3437" s="4"/>
      <c r="V3437" s="4"/>
      <c r="W3437" s="4"/>
      <c r="X3437" s="4"/>
    </row>
    <row r="3438" spans="17:24" x14ac:dyDescent="0.3">
      <c r="Q3438" s="4"/>
      <c r="R3438" s="4"/>
      <c r="S3438" s="4"/>
      <c r="T3438" s="4"/>
      <c r="U3438" s="4"/>
      <c r="V3438" s="4"/>
      <c r="W3438" s="4"/>
      <c r="X3438" s="4"/>
    </row>
    <row r="3439" spans="17:24" x14ac:dyDescent="0.3">
      <c r="Q3439" s="4"/>
      <c r="R3439" s="4"/>
      <c r="S3439" s="4"/>
      <c r="T3439" s="4"/>
      <c r="U3439" s="4"/>
      <c r="V3439" s="4"/>
      <c r="W3439" s="4"/>
      <c r="X3439" s="4"/>
    </row>
    <row r="3440" spans="17:24" x14ac:dyDescent="0.3">
      <c r="Q3440" s="4"/>
      <c r="R3440" s="4"/>
      <c r="S3440" s="4"/>
      <c r="T3440" s="4"/>
      <c r="U3440" s="4"/>
      <c r="V3440" s="4"/>
      <c r="W3440" s="4"/>
      <c r="X3440" s="4"/>
    </row>
    <row r="3441" spans="17:24" x14ac:dyDescent="0.3">
      <c r="Q3441" s="4"/>
      <c r="R3441" s="4"/>
      <c r="S3441" s="4"/>
      <c r="T3441" s="4"/>
      <c r="U3441" s="4"/>
      <c r="V3441" s="4"/>
      <c r="W3441" s="4"/>
      <c r="X3441" s="4"/>
    </row>
    <row r="3442" spans="17:24" x14ac:dyDescent="0.3">
      <c r="Q3442" s="4"/>
      <c r="R3442" s="4"/>
      <c r="S3442" s="4"/>
      <c r="T3442" s="4"/>
      <c r="U3442" s="4"/>
      <c r="V3442" s="4"/>
      <c r="W3442" s="4"/>
      <c r="X3442" s="4"/>
    </row>
    <row r="3443" spans="17:24" x14ac:dyDescent="0.3">
      <c r="Q3443" s="4"/>
      <c r="R3443" s="4"/>
      <c r="S3443" s="4"/>
      <c r="T3443" s="4"/>
      <c r="U3443" s="4"/>
      <c r="V3443" s="4"/>
      <c r="W3443" s="4"/>
      <c r="X3443" s="4"/>
    </row>
    <row r="3444" spans="17:24" x14ac:dyDescent="0.3">
      <c r="Q3444" s="4"/>
      <c r="R3444" s="4"/>
      <c r="S3444" s="4"/>
      <c r="T3444" s="4"/>
      <c r="U3444" s="4"/>
      <c r="V3444" s="4"/>
      <c r="W3444" s="4"/>
      <c r="X3444" s="4"/>
    </row>
    <row r="3445" spans="17:24" x14ac:dyDescent="0.3">
      <c r="Q3445" s="4"/>
      <c r="R3445" s="4"/>
      <c r="S3445" s="4"/>
      <c r="T3445" s="4"/>
      <c r="U3445" s="4"/>
      <c r="V3445" s="4"/>
      <c r="W3445" s="4"/>
      <c r="X3445" s="4"/>
    </row>
    <row r="3446" spans="17:24" x14ac:dyDescent="0.3">
      <c r="Q3446" s="4"/>
      <c r="R3446" s="4"/>
      <c r="S3446" s="4"/>
      <c r="T3446" s="4"/>
      <c r="U3446" s="4"/>
      <c r="V3446" s="4"/>
      <c r="W3446" s="4"/>
      <c r="X3446" s="4"/>
    </row>
    <row r="3447" spans="17:24" x14ac:dyDescent="0.3">
      <c r="Q3447" s="4"/>
      <c r="R3447" s="4"/>
      <c r="S3447" s="4"/>
      <c r="T3447" s="4"/>
      <c r="U3447" s="4"/>
      <c r="V3447" s="4"/>
      <c r="W3447" s="4"/>
      <c r="X3447" s="4"/>
    </row>
    <row r="3448" spans="17:24" x14ac:dyDescent="0.3">
      <c r="Q3448" s="4"/>
      <c r="R3448" s="4"/>
      <c r="S3448" s="4"/>
      <c r="T3448" s="4"/>
      <c r="U3448" s="4"/>
      <c r="V3448" s="4"/>
      <c r="W3448" s="4"/>
      <c r="X3448" s="4"/>
    </row>
    <row r="3449" spans="17:24" x14ac:dyDescent="0.3">
      <c r="Q3449" s="4"/>
      <c r="R3449" s="4"/>
      <c r="S3449" s="4"/>
      <c r="T3449" s="4"/>
      <c r="U3449" s="4"/>
      <c r="V3449" s="4"/>
      <c r="W3449" s="4"/>
      <c r="X3449" s="4"/>
    </row>
    <row r="3450" spans="17:24" x14ac:dyDescent="0.3">
      <c r="Q3450" s="4"/>
      <c r="R3450" s="4"/>
      <c r="S3450" s="4"/>
      <c r="T3450" s="4"/>
      <c r="U3450" s="4"/>
      <c r="V3450" s="4"/>
      <c r="W3450" s="4"/>
      <c r="X3450" s="4"/>
    </row>
    <row r="3451" spans="17:24" x14ac:dyDescent="0.3">
      <c r="Q3451" s="4"/>
      <c r="R3451" s="4"/>
      <c r="S3451" s="4"/>
      <c r="T3451" s="4"/>
      <c r="U3451" s="4"/>
      <c r="V3451" s="4"/>
      <c r="W3451" s="4"/>
      <c r="X3451" s="4"/>
    </row>
    <row r="3452" spans="17:24" x14ac:dyDescent="0.3">
      <c r="Q3452" s="4"/>
      <c r="R3452" s="4"/>
      <c r="S3452" s="4"/>
      <c r="T3452" s="4"/>
      <c r="U3452" s="4"/>
      <c r="V3452" s="4"/>
      <c r="W3452" s="4"/>
      <c r="X3452" s="4"/>
    </row>
    <row r="3453" spans="17:24" x14ac:dyDescent="0.3">
      <c r="Q3453" s="4"/>
      <c r="R3453" s="4"/>
      <c r="S3453" s="4"/>
      <c r="T3453" s="4"/>
      <c r="U3453" s="4"/>
      <c r="V3453" s="4"/>
      <c r="W3453" s="4"/>
      <c r="X3453" s="4"/>
    </row>
    <row r="3454" spans="17:24" x14ac:dyDescent="0.3">
      <c r="Q3454" s="4"/>
      <c r="R3454" s="4"/>
      <c r="S3454" s="4"/>
      <c r="T3454" s="4"/>
      <c r="U3454" s="4"/>
      <c r="V3454" s="4"/>
      <c r="W3454" s="4"/>
      <c r="X3454" s="4"/>
    </row>
    <row r="3455" spans="17:24" x14ac:dyDescent="0.3">
      <c r="Q3455" s="4"/>
      <c r="R3455" s="4"/>
      <c r="S3455" s="4"/>
      <c r="T3455" s="4"/>
      <c r="U3455" s="4"/>
      <c r="V3455" s="4"/>
      <c r="W3455" s="4"/>
      <c r="X3455" s="4"/>
    </row>
    <row r="3456" spans="17:24" x14ac:dyDescent="0.3">
      <c r="Q3456" s="4"/>
      <c r="R3456" s="4"/>
      <c r="S3456" s="4"/>
      <c r="T3456" s="4"/>
      <c r="U3456" s="4"/>
      <c r="V3456" s="4"/>
      <c r="W3456" s="4"/>
      <c r="X3456" s="4"/>
    </row>
    <row r="3457" spans="17:24" x14ac:dyDescent="0.3">
      <c r="Q3457" s="4"/>
      <c r="R3457" s="4"/>
      <c r="S3457" s="4"/>
      <c r="T3457" s="4"/>
      <c r="U3457" s="4"/>
      <c r="V3457" s="4"/>
      <c r="W3457" s="4"/>
      <c r="X3457" s="4"/>
    </row>
    <row r="3458" spans="17:24" x14ac:dyDescent="0.3">
      <c r="Q3458" s="4"/>
      <c r="R3458" s="4"/>
      <c r="S3458" s="4"/>
      <c r="T3458" s="4"/>
      <c r="U3458" s="4"/>
      <c r="V3458" s="4"/>
      <c r="W3458" s="4"/>
      <c r="X3458" s="4"/>
    </row>
    <row r="3459" spans="17:24" x14ac:dyDescent="0.3">
      <c r="Q3459" s="4"/>
      <c r="R3459" s="4"/>
      <c r="S3459" s="4"/>
      <c r="T3459" s="4"/>
      <c r="U3459" s="4"/>
      <c r="V3459" s="4"/>
      <c r="W3459" s="4"/>
      <c r="X3459" s="4"/>
    </row>
    <row r="3460" spans="17:24" x14ac:dyDescent="0.3">
      <c r="Q3460" s="4"/>
      <c r="R3460" s="4"/>
      <c r="S3460" s="4"/>
      <c r="T3460" s="4"/>
      <c r="U3460" s="4"/>
      <c r="V3460" s="4"/>
      <c r="W3460" s="4"/>
      <c r="X3460" s="4"/>
    </row>
    <row r="3461" spans="17:24" x14ac:dyDescent="0.3">
      <c r="Q3461" s="4"/>
      <c r="R3461" s="4"/>
      <c r="S3461" s="4"/>
      <c r="T3461" s="4"/>
      <c r="U3461" s="4"/>
      <c r="V3461" s="4"/>
      <c r="W3461" s="4"/>
      <c r="X3461" s="4"/>
    </row>
    <row r="3462" spans="17:24" x14ac:dyDescent="0.3">
      <c r="Q3462" s="4"/>
      <c r="R3462" s="4"/>
      <c r="S3462" s="4"/>
      <c r="T3462" s="4"/>
      <c r="U3462" s="4"/>
      <c r="V3462" s="4"/>
      <c r="W3462" s="4"/>
      <c r="X3462" s="4"/>
    </row>
    <row r="3463" spans="17:24" x14ac:dyDescent="0.3">
      <c r="Q3463" s="4"/>
      <c r="R3463" s="4"/>
      <c r="S3463" s="4"/>
      <c r="T3463" s="4"/>
      <c r="U3463" s="4"/>
      <c r="V3463" s="4"/>
      <c r="W3463" s="4"/>
      <c r="X3463" s="4"/>
    </row>
    <row r="3464" spans="17:24" x14ac:dyDescent="0.3">
      <c r="Q3464" s="4"/>
      <c r="R3464" s="4"/>
      <c r="S3464" s="4"/>
      <c r="T3464" s="4"/>
      <c r="U3464" s="4"/>
      <c r="V3464" s="4"/>
      <c r="W3464" s="4"/>
      <c r="X3464" s="4"/>
    </row>
    <row r="3465" spans="17:24" x14ac:dyDescent="0.3">
      <c r="Q3465" s="4"/>
      <c r="R3465" s="4"/>
      <c r="S3465" s="4"/>
      <c r="T3465" s="4"/>
      <c r="U3465" s="4"/>
      <c r="V3465" s="4"/>
      <c r="W3465" s="4"/>
      <c r="X3465" s="4"/>
    </row>
    <row r="3466" spans="17:24" x14ac:dyDescent="0.3">
      <c r="Q3466" s="4"/>
      <c r="R3466" s="4"/>
      <c r="S3466" s="4"/>
      <c r="T3466" s="4"/>
      <c r="U3466" s="4"/>
      <c r="V3466" s="4"/>
      <c r="W3466" s="4"/>
      <c r="X3466" s="4"/>
    </row>
    <row r="3467" spans="17:24" x14ac:dyDescent="0.3">
      <c r="Q3467" s="4"/>
      <c r="R3467" s="4"/>
      <c r="S3467" s="4"/>
      <c r="T3467" s="4"/>
      <c r="U3467" s="4"/>
      <c r="V3467" s="4"/>
      <c r="W3467" s="4"/>
      <c r="X3467" s="4"/>
    </row>
    <row r="3468" spans="17:24" x14ac:dyDescent="0.3">
      <c r="Q3468" s="4"/>
      <c r="R3468" s="4"/>
      <c r="S3468" s="4"/>
      <c r="T3468" s="4"/>
      <c r="U3468" s="4"/>
      <c r="V3468" s="4"/>
      <c r="W3468" s="4"/>
      <c r="X3468" s="4"/>
    </row>
    <row r="3469" spans="17:24" x14ac:dyDescent="0.3">
      <c r="Q3469" s="4"/>
      <c r="R3469" s="4"/>
      <c r="S3469" s="4"/>
      <c r="T3469" s="4"/>
      <c r="U3469" s="4"/>
      <c r="V3469" s="4"/>
      <c r="W3469" s="4"/>
      <c r="X3469" s="4"/>
    </row>
    <row r="3470" spans="17:24" x14ac:dyDescent="0.3">
      <c r="Q3470" s="4"/>
      <c r="R3470" s="4"/>
      <c r="S3470" s="4"/>
      <c r="T3470" s="4"/>
      <c r="U3470" s="4"/>
      <c r="V3470" s="4"/>
      <c r="W3470" s="4"/>
      <c r="X3470" s="4"/>
    </row>
    <row r="3471" spans="17:24" x14ac:dyDescent="0.3">
      <c r="Q3471" s="4"/>
      <c r="R3471" s="4"/>
      <c r="S3471" s="4"/>
      <c r="T3471" s="4"/>
      <c r="U3471" s="4"/>
      <c r="V3471" s="4"/>
      <c r="W3471" s="4"/>
      <c r="X3471" s="4"/>
    </row>
    <row r="3472" spans="17:24" x14ac:dyDescent="0.3">
      <c r="Q3472" s="4"/>
      <c r="R3472" s="4"/>
      <c r="S3472" s="4"/>
      <c r="T3472" s="4"/>
      <c r="U3472" s="4"/>
      <c r="V3472" s="4"/>
      <c r="W3472" s="4"/>
      <c r="X3472" s="4"/>
    </row>
    <row r="3473" spans="17:24" x14ac:dyDescent="0.3">
      <c r="Q3473" s="4"/>
      <c r="R3473" s="4"/>
      <c r="S3473" s="4"/>
      <c r="T3473" s="4"/>
      <c r="U3473" s="4"/>
      <c r="V3473" s="4"/>
      <c r="W3473" s="4"/>
      <c r="X3473" s="4"/>
    </row>
    <row r="3474" spans="17:24" x14ac:dyDescent="0.3">
      <c r="Q3474" s="4"/>
      <c r="R3474" s="4"/>
      <c r="S3474" s="4"/>
      <c r="T3474" s="4"/>
      <c r="U3474" s="4"/>
      <c r="V3474" s="4"/>
      <c r="W3474" s="4"/>
      <c r="X3474" s="4"/>
    </row>
    <row r="3475" spans="17:24" x14ac:dyDescent="0.3">
      <c r="Q3475" s="4"/>
      <c r="R3475" s="4"/>
      <c r="S3475" s="4"/>
      <c r="T3475" s="4"/>
      <c r="U3475" s="4"/>
      <c r="V3475" s="4"/>
      <c r="W3475" s="4"/>
      <c r="X3475" s="4"/>
    </row>
    <row r="3476" spans="17:24" x14ac:dyDescent="0.3">
      <c r="Q3476" s="4"/>
      <c r="R3476" s="4"/>
      <c r="S3476" s="4"/>
      <c r="T3476" s="4"/>
      <c r="U3476" s="4"/>
      <c r="V3476" s="4"/>
      <c r="W3476" s="4"/>
      <c r="X3476" s="4"/>
    </row>
    <row r="3477" spans="17:24" x14ac:dyDescent="0.3">
      <c r="Q3477" s="4"/>
      <c r="R3477" s="4"/>
      <c r="S3477" s="4"/>
      <c r="T3477" s="4"/>
      <c r="U3477" s="4"/>
      <c r="V3477" s="4"/>
      <c r="W3477" s="4"/>
      <c r="X3477" s="4"/>
    </row>
    <row r="3478" spans="17:24" x14ac:dyDescent="0.3">
      <c r="Q3478" s="4"/>
      <c r="R3478" s="4"/>
      <c r="S3478" s="4"/>
      <c r="T3478" s="4"/>
      <c r="U3478" s="4"/>
      <c r="V3478" s="4"/>
      <c r="W3478" s="4"/>
      <c r="X3478" s="4"/>
    </row>
    <row r="3479" spans="17:24" x14ac:dyDescent="0.3">
      <c r="Q3479" s="4"/>
      <c r="R3479" s="4"/>
      <c r="S3479" s="4"/>
      <c r="T3479" s="4"/>
      <c r="U3479" s="4"/>
      <c r="V3479" s="4"/>
      <c r="W3479" s="4"/>
      <c r="X3479" s="4"/>
    </row>
    <row r="3480" spans="17:24" x14ac:dyDescent="0.3">
      <c r="Q3480" s="4"/>
      <c r="R3480" s="4"/>
      <c r="S3480" s="4"/>
      <c r="T3480" s="4"/>
      <c r="U3480" s="4"/>
      <c r="V3480" s="4"/>
      <c r="W3480" s="4"/>
      <c r="X3480" s="4"/>
    </row>
    <row r="3481" spans="17:24" x14ac:dyDescent="0.3">
      <c r="Q3481" s="4"/>
      <c r="R3481" s="4"/>
      <c r="S3481" s="4"/>
      <c r="T3481" s="4"/>
      <c r="U3481" s="4"/>
      <c r="V3481" s="4"/>
      <c r="W3481" s="4"/>
      <c r="X3481" s="4"/>
    </row>
    <row r="3482" spans="17:24" x14ac:dyDescent="0.3">
      <c r="Q3482" s="4"/>
      <c r="R3482" s="4"/>
      <c r="S3482" s="4"/>
      <c r="T3482" s="4"/>
      <c r="U3482" s="4"/>
      <c r="V3482" s="4"/>
      <c r="W3482" s="4"/>
      <c r="X3482" s="4"/>
    </row>
    <row r="3483" spans="17:24" x14ac:dyDescent="0.3">
      <c r="Q3483" s="4"/>
      <c r="R3483" s="4"/>
      <c r="S3483" s="4"/>
      <c r="T3483" s="4"/>
      <c r="U3483" s="4"/>
      <c r="V3483" s="4"/>
      <c r="W3483" s="4"/>
      <c r="X3483" s="4"/>
    </row>
    <row r="3484" spans="17:24" x14ac:dyDescent="0.3">
      <c r="Q3484" s="4"/>
      <c r="R3484" s="4"/>
      <c r="S3484" s="4"/>
      <c r="T3484" s="4"/>
      <c r="U3484" s="4"/>
      <c r="V3484" s="4"/>
      <c r="W3484" s="4"/>
      <c r="X3484" s="4"/>
    </row>
    <row r="3485" spans="17:24" x14ac:dyDescent="0.3">
      <c r="Q3485" s="4"/>
      <c r="R3485" s="4"/>
      <c r="S3485" s="4"/>
      <c r="T3485" s="4"/>
      <c r="U3485" s="4"/>
      <c r="V3485" s="4"/>
      <c r="W3485" s="4"/>
      <c r="X3485" s="4"/>
    </row>
    <row r="3486" spans="17:24" x14ac:dyDescent="0.3">
      <c r="Q3486" s="4"/>
      <c r="R3486" s="4"/>
      <c r="S3486" s="4"/>
      <c r="T3486" s="4"/>
      <c r="U3486" s="4"/>
      <c r="V3486" s="4"/>
      <c r="W3486" s="4"/>
      <c r="X3486" s="4"/>
    </row>
    <row r="3487" spans="17:24" x14ac:dyDescent="0.3">
      <c r="Q3487" s="4"/>
      <c r="R3487" s="4"/>
      <c r="S3487" s="4"/>
      <c r="T3487" s="4"/>
      <c r="U3487" s="4"/>
      <c r="V3487" s="4"/>
      <c r="W3487" s="4"/>
      <c r="X3487" s="4"/>
    </row>
    <row r="3488" spans="17:24" x14ac:dyDescent="0.3">
      <c r="Q3488" s="4"/>
      <c r="R3488" s="4"/>
      <c r="S3488" s="4"/>
      <c r="T3488" s="4"/>
      <c r="U3488" s="4"/>
      <c r="V3488" s="4"/>
      <c r="W3488" s="4"/>
      <c r="X3488" s="4"/>
    </row>
    <row r="3489" spans="17:24" x14ac:dyDescent="0.3">
      <c r="Q3489" s="4"/>
      <c r="R3489" s="4"/>
      <c r="S3489" s="4"/>
      <c r="T3489" s="4"/>
      <c r="U3489" s="4"/>
      <c r="V3489" s="4"/>
      <c r="W3489" s="4"/>
      <c r="X3489" s="4"/>
    </row>
    <row r="3490" spans="17:24" x14ac:dyDescent="0.3">
      <c r="Q3490" s="4"/>
      <c r="R3490" s="4"/>
      <c r="S3490" s="4"/>
      <c r="T3490" s="4"/>
      <c r="U3490" s="4"/>
      <c r="V3490" s="4"/>
      <c r="W3490" s="4"/>
      <c r="X3490" s="4"/>
    </row>
    <row r="3491" spans="17:24" x14ac:dyDescent="0.3">
      <c r="Q3491" s="4"/>
      <c r="R3491" s="4"/>
      <c r="S3491" s="4"/>
      <c r="T3491" s="4"/>
      <c r="U3491" s="4"/>
      <c r="V3491" s="4"/>
      <c r="W3491" s="4"/>
      <c r="X3491" s="4"/>
    </row>
    <row r="3492" spans="17:24" x14ac:dyDescent="0.3">
      <c r="Q3492" s="4"/>
      <c r="R3492" s="4"/>
      <c r="S3492" s="4"/>
      <c r="T3492" s="4"/>
      <c r="U3492" s="4"/>
      <c r="V3492" s="4"/>
      <c r="W3492" s="4"/>
      <c r="X3492" s="4"/>
    </row>
    <row r="3493" spans="17:24" x14ac:dyDescent="0.3">
      <c r="Q3493" s="4"/>
      <c r="R3493" s="4"/>
      <c r="S3493" s="4"/>
      <c r="T3493" s="4"/>
      <c r="U3493" s="4"/>
      <c r="V3493" s="4"/>
      <c r="W3493" s="4"/>
      <c r="X3493" s="4"/>
    </row>
    <row r="3494" spans="17:24" x14ac:dyDescent="0.3">
      <c r="Q3494" s="4"/>
      <c r="R3494" s="4"/>
      <c r="S3494" s="4"/>
      <c r="T3494" s="4"/>
      <c r="U3494" s="4"/>
      <c r="V3494" s="4"/>
      <c r="W3494" s="4"/>
      <c r="X3494" s="4"/>
    </row>
    <row r="3495" spans="17:24" x14ac:dyDescent="0.3">
      <c r="Q3495" s="4"/>
      <c r="R3495" s="4"/>
      <c r="S3495" s="4"/>
      <c r="T3495" s="4"/>
      <c r="U3495" s="4"/>
      <c r="V3495" s="4"/>
      <c r="W3495" s="4"/>
      <c r="X3495" s="4"/>
    </row>
    <row r="3496" spans="17:24" x14ac:dyDescent="0.3">
      <c r="Q3496" s="4"/>
      <c r="R3496" s="4"/>
      <c r="S3496" s="4"/>
      <c r="T3496" s="4"/>
      <c r="U3496" s="4"/>
      <c r="V3496" s="4"/>
      <c r="W3496" s="4"/>
      <c r="X3496" s="4"/>
    </row>
    <row r="3497" spans="17:24" x14ac:dyDescent="0.3">
      <c r="Q3497" s="4"/>
      <c r="R3497" s="4"/>
      <c r="S3497" s="4"/>
      <c r="T3497" s="4"/>
      <c r="U3497" s="4"/>
      <c r="V3497" s="4"/>
      <c r="W3497" s="4"/>
      <c r="X3497" s="4"/>
    </row>
    <row r="3498" spans="17:24" x14ac:dyDescent="0.3">
      <c r="Q3498" s="4"/>
      <c r="R3498" s="4"/>
      <c r="S3498" s="4"/>
      <c r="T3498" s="4"/>
      <c r="U3498" s="4"/>
      <c r="V3498" s="4"/>
      <c r="W3498" s="4"/>
      <c r="X3498" s="4"/>
    </row>
    <row r="3499" spans="17:24" x14ac:dyDescent="0.3">
      <c r="Q3499" s="4"/>
      <c r="R3499" s="4"/>
      <c r="S3499" s="4"/>
      <c r="T3499" s="4"/>
      <c r="U3499" s="4"/>
      <c r="V3499" s="4"/>
      <c r="W3499" s="4"/>
      <c r="X3499" s="4"/>
    </row>
    <row r="3500" spans="17:24" x14ac:dyDescent="0.3">
      <c r="Q3500" s="4"/>
      <c r="R3500" s="4"/>
      <c r="S3500" s="4"/>
      <c r="T3500" s="4"/>
      <c r="U3500" s="4"/>
      <c r="V3500" s="4"/>
      <c r="W3500" s="4"/>
      <c r="X3500" s="4"/>
    </row>
    <row r="3501" spans="17:24" x14ac:dyDescent="0.3">
      <c r="Q3501" s="4"/>
      <c r="R3501" s="4"/>
      <c r="S3501" s="4"/>
      <c r="T3501" s="4"/>
      <c r="U3501" s="4"/>
      <c r="V3501" s="4"/>
      <c r="W3501" s="4"/>
      <c r="X3501" s="4"/>
    </row>
    <row r="3502" spans="17:24" x14ac:dyDescent="0.3">
      <c r="Q3502" s="4"/>
      <c r="R3502" s="4"/>
      <c r="S3502" s="4"/>
      <c r="T3502" s="4"/>
      <c r="U3502" s="4"/>
      <c r="V3502" s="4"/>
      <c r="W3502" s="4"/>
      <c r="X3502" s="4"/>
    </row>
    <row r="3503" spans="17:24" x14ac:dyDescent="0.3">
      <c r="Q3503" s="4"/>
      <c r="R3503" s="4"/>
      <c r="S3503" s="4"/>
      <c r="T3503" s="4"/>
      <c r="U3503" s="4"/>
      <c r="V3503" s="4"/>
      <c r="W3503" s="4"/>
      <c r="X3503" s="4"/>
    </row>
    <row r="3504" spans="17:24" x14ac:dyDescent="0.3">
      <c r="Q3504" s="4"/>
      <c r="R3504" s="4"/>
      <c r="S3504" s="4"/>
      <c r="T3504" s="4"/>
      <c r="U3504" s="4"/>
      <c r="V3504" s="4"/>
      <c r="W3504" s="4"/>
      <c r="X3504" s="4"/>
    </row>
    <row r="3505" spans="17:24" x14ac:dyDescent="0.3">
      <c r="Q3505" s="4"/>
      <c r="R3505" s="4"/>
      <c r="S3505" s="4"/>
      <c r="T3505" s="4"/>
      <c r="U3505" s="4"/>
      <c r="V3505" s="4"/>
      <c r="W3505" s="4"/>
      <c r="X3505" s="4"/>
    </row>
    <row r="3506" spans="17:24" x14ac:dyDescent="0.3">
      <c r="Q3506" s="4"/>
      <c r="R3506" s="4"/>
      <c r="S3506" s="4"/>
      <c r="T3506" s="4"/>
      <c r="U3506" s="4"/>
      <c r="V3506" s="4"/>
      <c r="W3506" s="4"/>
      <c r="X3506" s="4"/>
    </row>
    <row r="3507" spans="17:24" x14ac:dyDescent="0.3">
      <c r="Q3507" s="4"/>
      <c r="R3507" s="4"/>
      <c r="S3507" s="4"/>
      <c r="T3507" s="4"/>
      <c r="U3507" s="4"/>
      <c r="V3507" s="4"/>
      <c r="W3507" s="4"/>
      <c r="X3507" s="4"/>
    </row>
    <row r="3508" spans="17:24" x14ac:dyDescent="0.3">
      <c r="Q3508" s="4"/>
      <c r="R3508" s="4"/>
      <c r="S3508" s="4"/>
      <c r="T3508" s="4"/>
      <c r="U3508" s="4"/>
      <c r="V3508" s="4"/>
      <c r="W3508" s="4"/>
      <c r="X3508" s="4"/>
    </row>
    <row r="3509" spans="17:24" x14ac:dyDescent="0.3">
      <c r="Q3509" s="4"/>
      <c r="R3509" s="4"/>
      <c r="S3509" s="4"/>
      <c r="T3509" s="4"/>
      <c r="U3509" s="4"/>
      <c r="V3509" s="4"/>
      <c r="W3509" s="4"/>
      <c r="X3509" s="4"/>
    </row>
    <row r="3510" spans="17:24" x14ac:dyDescent="0.3">
      <c r="Q3510" s="4"/>
      <c r="R3510" s="4"/>
      <c r="S3510" s="4"/>
      <c r="T3510" s="4"/>
      <c r="U3510" s="4"/>
      <c r="V3510" s="4"/>
      <c r="W3510" s="4"/>
      <c r="X3510" s="4"/>
    </row>
    <row r="3511" spans="17:24" x14ac:dyDescent="0.3">
      <c r="Q3511" s="4"/>
      <c r="R3511" s="4"/>
      <c r="S3511" s="4"/>
      <c r="T3511" s="4"/>
      <c r="U3511" s="4"/>
      <c r="V3511" s="4"/>
      <c r="W3511" s="4"/>
      <c r="X3511" s="4"/>
    </row>
    <row r="3512" spans="17:24" x14ac:dyDescent="0.3">
      <c r="Q3512" s="4"/>
      <c r="R3512" s="4"/>
      <c r="S3512" s="4"/>
      <c r="T3512" s="4"/>
      <c r="U3512" s="4"/>
      <c r="V3512" s="4"/>
      <c r="W3512" s="4"/>
      <c r="X3512" s="4"/>
    </row>
    <row r="3513" spans="17:24" x14ac:dyDescent="0.3">
      <c r="Q3513" s="4"/>
      <c r="R3513" s="4"/>
      <c r="S3513" s="4"/>
      <c r="T3513" s="4"/>
      <c r="U3513" s="4"/>
      <c r="V3513" s="4"/>
      <c r="W3513" s="4"/>
      <c r="X3513" s="4"/>
    </row>
    <row r="3514" spans="17:24" x14ac:dyDescent="0.3">
      <c r="Q3514" s="4"/>
      <c r="R3514" s="4"/>
      <c r="S3514" s="4"/>
      <c r="T3514" s="4"/>
      <c r="U3514" s="4"/>
      <c r="V3514" s="4"/>
      <c r="W3514" s="4"/>
      <c r="X3514" s="4"/>
    </row>
    <row r="3515" spans="17:24" x14ac:dyDescent="0.3">
      <c r="Q3515" s="4"/>
      <c r="R3515" s="4"/>
      <c r="S3515" s="4"/>
      <c r="T3515" s="4"/>
      <c r="U3515" s="4"/>
      <c r="V3515" s="4"/>
      <c r="W3515" s="4"/>
      <c r="X3515" s="4"/>
    </row>
    <row r="3516" spans="17:24" x14ac:dyDescent="0.3">
      <c r="Q3516" s="4"/>
      <c r="R3516" s="4"/>
      <c r="S3516" s="4"/>
      <c r="T3516" s="4"/>
      <c r="U3516" s="4"/>
      <c r="V3516" s="4"/>
      <c r="W3516" s="4"/>
      <c r="X3516" s="4"/>
    </row>
    <row r="3517" spans="17:24" x14ac:dyDescent="0.3">
      <c r="Q3517" s="4"/>
      <c r="R3517" s="4"/>
      <c r="S3517" s="4"/>
      <c r="T3517" s="4"/>
      <c r="U3517" s="4"/>
      <c r="V3517" s="4"/>
      <c r="W3517" s="4"/>
      <c r="X3517" s="4"/>
    </row>
    <row r="3518" spans="17:24" x14ac:dyDescent="0.3">
      <c r="Q3518" s="4"/>
      <c r="R3518" s="4"/>
      <c r="S3518" s="4"/>
      <c r="T3518" s="4"/>
      <c r="U3518" s="4"/>
      <c r="V3518" s="4"/>
      <c r="W3518" s="4"/>
      <c r="X3518" s="4"/>
    </row>
    <row r="3519" spans="17:24" x14ac:dyDescent="0.3">
      <c r="Q3519" s="4"/>
      <c r="R3519" s="4"/>
      <c r="S3519" s="4"/>
      <c r="T3519" s="4"/>
      <c r="U3519" s="4"/>
      <c r="V3519" s="4"/>
      <c r="W3519" s="4"/>
      <c r="X3519" s="4"/>
    </row>
    <row r="3520" spans="17:24" x14ac:dyDescent="0.3">
      <c r="Q3520" s="4"/>
      <c r="R3520" s="4"/>
      <c r="S3520" s="4"/>
      <c r="T3520" s="4"/>
      <c r="U3520" s="4"/>
      <c r="V3520" s="4"/>
      <c r="W3520" s="4"/>
      <c r="X3520" s="4"/>
    </row>
    <row r="3521" spans="17:24" x14ac:dyDescent="0.3">
      <c r="Q3521" s="4"/>
      <c r="R3521" s="4"/>
      <c r="S3521" s="4"/>
      <c r="T3521" s="4"/>
      <c r="U3521" s="4"/>
      <c r="V3521" s="4"/>
      <c r="W3521" s="4"/>
      <c r="X3521" s="4"/>
    </row>
    <row r="3522" spans="17:24" x14ac:dyDescent="0.3">
      <c r="Q3522" s="4"/>
      <c r="R3522" s="4"/>
      <c r="S3522" s="4"/>
      <c r="T3522" s="4"/>
      <c r="U3522" s="4"/>
      <c r="V3522" s="4"/>
      <c r="W3522" s="4"/>
      <c r="X3522" s="4"/>
    </row>
    <row r="3523" spans="17:24" x14ac:dyDescent="0.3">
      <c r="Q3523" s="4"/>
      <c r="R3523" s="4"/>
      <c r="S3523" s="4"/>
      <c r="T3523" s="4"/>
      <c r="U3523" s="4"/>
      <c r="V3523" s="4"/>
      <c r="W3523" s="4"/>
      <c r="X3523" s="4"/>
    </row>
    <row r="3524" spans="17:24" x14ac:dyDescent="0.3">
      <c r="Q3524" s="4"/>
      <c r="R3524" s="4"/>
      <c r="S3524" s="4"/>
      <c r="T3524" s="4"/>
      <c r="U3524" s="4"/>
      <c r="V3524" s="4"/>
      <c r="W3524" s="4"/>
      <c r="X3524" s="4"/>
    </row>
    <row r="3525" spans="17:24" x14ac:dyDescent="0.3">
      <c r="Q3525" s="4"/>
      <c r="R3525" s="4"/>
      <c r="S3525" s="4"/>
      <c r="T3525" s="4"/>
      <c r="U3525" s="4"/>
      <c r="V3525" s="4"/>
      <c r="W3525" s="4"/>
      <c r="X3525" s="4"/>
    </row>
    <row r="3526" spans="17:24" x14ac:dyDescent="0.3">
      <c r="Q3526" s="4"/>
      <c r="R3526" s="4"/>
      <c r="S3526" s="4"/>
      <c r="T3526" s="4"/>
      <c r="U3526" s="4"/>
      <c r="V3526" s="4"/>
      <c r="W3526" s="4"/>
      <c r="X3526" s="4"/>
    </row>
    <row r="3527" spans="17:24" x14ac:dyDescent="0.3">
      <c r="Q3527" s="4"/>
      <c r="R3527" s="4"/>
      <c r="S3527" s="4"/>
      <c r="T3527" s="4"/>
      <c r="U3527" s="4"/>
      <c r="V3527" s="4"/>
      <c r="W3527" s="4"/>
      <c r="X3527" s="4"/>
    </row>
    <row r="3528" spans="17:24" x14ac:dyDescent="0.3">
      <c r="Q3528" s="4"/>
      <c r="R3528" s="4"/>
      <c r="S3528" s="4"/>
      <c r="T3528" s="4"/>
      <c r="U3528" s="4"/>
      <c r="V3528" s="4"/>
      <c r="W3528" s="4"/>
      <c r="X3528" s="4"/>
    </row>
    <row r="3529" spans="17:24" x14ac:dyDescent="0.3">
      <c r="Q3529" s="4"/>
      <c r="R3529" s="4"/>
      <c r="S3529" s="4"/>
      <c r="T3529" s="4"/>
      <c r="U3529" s="4"/>
      <c r="V3529" s="4"/>
      <c r="W3529" s="4"/>
      <c r="X3529" s="4"/>
    </row>
    <row r="3530" spans="17:24" x14ac:dyDescent="0.3">
      <c r="Q3530" s="4"/>
      <c r="R3530" s="4"/>
      <c r="S3530" s="4"/>
      <c r="T3530" s="4"/>
      <c r="U3530" s="4"/>
      <c r="V3530" s="4"/>
      <c r="W3530" s="4"/>
      <c r="X3530" s="4"/>
    </row>
    <row r="3531" spans="17:24" x14ac:dyDescent="0.3">
      <c r="Q3531" s="4"/>
      <c r="R3531" s="4"/>
      <c r="S3531" s="4"/>
      <c r="T3531" s="4"/>
      <c r="U3531" s="4"/>
      <c r="V3531" s="4"/>
      <c r="W3531" s="4"/>
      <c r="X3531" s="4"/>
    </row>
    <row r="3532" spans="17:24" x14ac:dyDescent="0.3">
      <c r="Q3532" s="4"/>
      <c r="R3532" s="4"/>
      <c r="S3532" s="4"/>
      <c r="T3532" s="4"/>
      <c r="U3532" s="4"/>
      <c r="V3532" s="4"/>
      <c r="W3532" s="4"/>
      <c r="X3532" s="4"/>
    </row>
    <row r="3533" spans="17:24" x14ac:dyDescent="0.3">
      <c r="Q3533" s="4"/>
      <c r="R3533" s="4"/>
      <c r="S3533" s="4"/>
      <c r="T3533" s="4"/>
      <c r="U3533" s="4"/>
      <c r="V3533" s="4"/>
      <c r="W3533" s="4"/>
      <c r="X3533" s="4"/>
    </row>
    <row r="3534" spans="17:24" x14ac:dyDescent="0.3">
      <c r="Q3534" s="4"/>
      <c r="R3534" s="4"/>
      <c r="S3534" s="4"/>
      <c r="T3534" s="4"/>
      <c r="U3534" s="4"/>
      <c r="V3534" s="4"/>
      <c r="W3534" s="4"/>
      <c r="X3534" s="4"/>
    </row>
    <row r="3535" spans="17:24" x14ac:dyDescent="0.3">
      <c r="Q3535" s="4"/>
      <c r="R3535" s="4"/>
      <c r="S3535" s="4"/>
      <c r="T3535" s="4"/>
      <c r="U3535" s="4"/>
      <c r="V3535" s="4"/>
      <c r="W3535" s="4"/>
      <c r="X3535" s="4"/>
    </row>
    <row r="3536" spans="17:24" x14ac:dyDescent="0.3">
      <c r="Q3536" s="4"/>
      <c r="R3536" s="4"/>
      <c r="S3536" s="4"/>
      <c r="T3536" s="4"/>
      <c r="U3536" s="4"/>
      <c r="V3536" s="4"/>
      <c r="W3536" s="4"/>
      <c r="X3536" s="4"/>
    </row>
    <row r="3537" spans="17:24" x14ac:dyDescent="0.3">
      <c r="Q3537" s="4"/>
      <c r="R3537" s="4"/>
      <c r="S3537" s="4"/>
      <c r="T3537" s="4"/>
      <c r="U3537" s="4"/>
      <c r="V3537" s="4"/>
      <c r="W3537" s="4"/>
      <c r="X3537" s="4"/>
    </row>
    <row r="3538" spans="17:24" x14ac:dyDescent="0.3">
      <c r="Q3538" s="4"/>
      <c r="R3538" s="4"/>
      <c r="S3538" s="4"/>
      <c r="T3538" s="4"/>
      <c r="U3538" s="4"/>
      <c r="V3538" s="4"/>
      <c r="W3538" s="4"/>
      <c r="X3538" s="4"/>
    </row>
    <row r="3539" spans="17:24" x14ac:dyDescent="0.3">
      <c r="Q3539" s="4"/>
      <c r="R3539" s="4"/>
      <c r="S3539" s="4"/>
      <c r="T3539" s="4"/>
      <c r="U3539" s="4"/>
      <c r="V3539" s="4"/>
      <c r="W3539" s="4"/>
      <c r="X3539" s="4"/>
    </row>
    <row r="3540" spans="17:24" x14ac:dyDescent="0.3">
      <c r="Q3540" s="4"/>
      <c r="R3540" s="4"/>
      <c r="S3540" s="4"/>
      <c r="T3540" s="4"/>
      <c r="U3540" s="4"/>
      <c r="V3540" s="4"/>
      <c r="W3540" s="4"/>
      <c r="X3540" s="4"/>
    </row>
    <row r="3541" spans="17:24" x14ac:dyDescent="0.3">
      <c r="Q3541" s="4"/>
      <c r="R3541" s="4"/>
      <c r="S3541" s="4"/>
      <c r="T3541" s="4"/>
      <c r="U3541" s="4"/>
      <c r="V3541" s="4"/>
      <c r="W3541" s="4"/>
      <c r="X3541" s="4"/>
    </row>
    <row r="3542" spans="17:24" x14ac:dyDescent="0.3">
      <c r="Q3542" s="4"/>
      <c r="R3542" s="4"/>
      <c r="S3542" s="4"/>
      <c r="T3542" s="4"/>
      <c r="U3542" s="4"/>
      <c r="V3542" s="4"/>
      <c r="W3542" s="4"/>
      <c r="X3542" s="4"/>
    </row>
    <row r="3543" spans="17:24" x14ac:dyDescent="0.3">
      <c r="Q3543" s="4"/>
      <c r="R3543" s="4"/>
      <c r="S3543" s="4"/>
      <c r="T3543" s="4"/>
      <c r="U3543" s="4"/>
      <c r="V3543" s="4"/>
      <c r="W3543" s="4"/>
      <c r="X3543" s="4"/>
    </row>
    <row r="3544" spans="17:24" x14ac:dyDescent="0.3">
      <c r="Q3544" s="4"/>
      <c r="R3544" s="4"/>
      <c r="S3544" s="4"/>
      <c r="T3544" s="4"/>
      <c r="U3544" s="4"/>
      <c r="V3544" s="4"/>
      <c r="W3544" s="4"/>
      <c r="X3544" s="4"/>
    </row>
    <row r="3545" spans="17:24" x14ac:dyDescent="0.3">
      <c r="Q3545" s="4"/>
      <c r="R3545" s="4"/>
      <c r="S3545" s="4"/>
      <c r="T3545" s="4"/>
      <c r="U3545" s="4"/>
      <c r="V3545" s="4"/>
      <c r="W3545" s="4"/>
      <c r="X3545" s="4"/>
    </row>
    <row r="3546" spans="17:24" x14ac:dyDescent="0.3">
      <c r="Q3546" s="4"/>
      <c r="R3546" s="4"/>
      <c r="S3546" s="4"/>
      <c r="T3546" s="4"/>
      <c r="U3546" s="4"/>
      <c r="V3546" s="4"/>
      <c r="W3546" s="4"/>
      <c r="X3546" s="4"/>
    </row>
    <row r="3547" spans="17:24" x14ac:dyDescent="0.3">
      <c r="Q3547" s="4"/>
      <c r="R3547" s="4"/>
      <c r="S3547" s="4"/>
      <c r="T3547" s="4"/>
      <c r="U3547" s="4"/>
      <c r="V3547" s="4"/>
      <c r="W3547" s="4"/>
      <c r="X3547" s="4"/>
    </row>
    <row r="3548" spans="17:24" x14ac:dyDescent="0.3">
      <c r="Q3548" s="4"/>
      <c r="R3548" s="4"/>
      <c r="S3548" s="4"/>
      <c r="T3548" s="4"/>
      <c r="U3548" s="4"/>
      <c r="V3548" s="4"/>
      <c r="W3548" s="4"/>
      <c r="X3548" s="4"/>
    </row>
    <row r="3549" spans="17:24" x14ac:dyDescent="0.3">
      <c r="Q3549" s="4"/>
      <c r="R3549" s="4"/>
      <c r="S3549" s="4"/>
      <c r="T3549" s="4"/>
      <c r="U3549" s="4"/>
      <c r="V3549" s="4"/>
      <c r="W3549" s="4"/>
      <c r="X3549" s="4"/>
    </row>
    <row r="3550" spans="17:24" x14ac:dyDescent="0.3">
      <c r="Q3550" s="4"/>
      <c r="R3550" s="4"/>
      <c r="S3550" s="4"/>
      <c r="T3550" s="4"/>
      <c r="U3550" s="4"/>
      <c r="V3550" s="4"/>
      <c r="W3550" s="4"/>
      <c r="X3550" s="4"/>
    </row>
    <row r="3551" spans="17:24" x14ac:dyDescent="0.3">
      <c r="Q3551" s="4"/>
      <c r="R3551" s="4"/>
      <c r="S3551" s="4"/>
      <c r="T3551" s="4"/>
      <c r="U3551" s="4"/>
      <c r="V3551" s="4"/>
      <c r="W3551" s="4"/>
      <c r="X3551" s="4"/>
    </row>
    <row r="3552" spans="17:24" x14ac:dyDescent="0.3">
      <c r="Q3552" s="4"/>
      <c r="R3552" s="4"/>
      <c r="S3552" s="4"/>
      <c r="T3552" s="4"/>
      <c r="U3552" s="4"/>
      <c r="V3552" s="4"/>
      <c r="W3552" s="4"/>
      <c r="X3552" s="4"/>
    </row>
    <row r="3553" spans="17:24" x14ac:dyDescent="0.3">
      <c r="Q3553" s="4"/>
      <c r="R3553" s="4"/>
      <c r="S3553" s="4"/>
      <c r="T3553" s="4"/>
      <c r="U3553" s="4"/>
      <c r="V3553" s="4"/>
      <c r="W3553" s="4"/>
      <c r="X3553" s="4"/>
    </row>
    <row r="3554" spans="17:24" x14ac:dyDescent="0.3">
      <c r="Q3554" s="4"/>
      <c r="R3554" s="4"/>
      <c r="S3554" s="4"/>
      <c r="T3554" s="4"/>
      <c r="U3554" s="4"/>
      <c r="V3554" s="4"/>
      <c r="W3554" s="4"/>
      <c r="X3554" s="4"/>
    </row>
    <row r="3555" spans="17:24" x14ac:dyDescent="0.3">
      <c r="Q3555" s="4"/>
      <c r="R3555" s="4"/>
      <c r="S3555" s="4"/>
      <c r="T3555" s="4"/>
      <c r="U3555" s="4"/>
      <c r="V3555" s="4"/>
      <c r="W3555" s="4"/>
      <c r="X3555" s="4"/>
    </row>
    <row r="3556" spans="17:24" x14ac:dyDescent="0.3">
      <c r="Q3556" s="4"/>
      <c r="R3556" s="4"/>
      <c r="S3556" s="4"/>
      <c r="T3556" s="4"/>
      <c r="U3556" s="4"/>
      <c r="V3556" s="4"/>
      <c r="W3556" s="4"/>
      <c r="X3556" s="4"/>
    </row>
    <row r="3557" spans="17:24" x14ac:dyDescent="0.3">
      <c r="Q3557" s="4"/>
      <c r="R3557" s="4"/>
      <c r="S3557" s="4"/>
      <c r="T3557" s="4"/>
      <c r="U3557" s="4"/>
      <c r="V3557" s="4"/>
      <c r="W3557" s="4"/>
      <c r="X3557" s="4"/>
    </row>
    <row r="3558" spans="17:24" x14ac:dyDescent="0.3">
      <c r="Q3558" s="4"/>
      <c r="R3558" s="4"/>
      <c r="S3558" s="4"/>
      <c r="T3558" s="4"/>
      <c r="U3558" s="4"/>
      <c r="V3558" s="4"/>
      <c r="W3558" s="4"/>
      <c r="X3558" s="4"/>
    </row>
    <row r="3559" spans="17:24" x14ac:dyDescent="0.3">
      <c r="Q3559" s="4"/>
      <c r="R3559" s="4"/>
      <c r="S3559" s="4"/>
      <c r="T3559" s="4"/>
      <c r="U3559" s="4"/>
      <c r="V3559" s="4"/>
      <c r="W3559" s="4"/>
      <c r="X3559" s="4"/>
    </row>
    <row r="3560" spans="17:24" x14ac:dyDescent="0.3">
      <c r="Q3560" s="4"/>
      <c r="R3560" s="4"/>
      <c r="S3560" s="4"/>
      <c r="T3560" s="4"/>
      <c r="U3560" s="4"/>
      <c r="V3560" s="4"/>
      <c r="W3560" s="4"/>
      <c r="X3560" s="4"/>
    </row>
    <row r="3561" spans="17:24" x14ac:dyDescent="0.3">
      <c r="Q3561" s="4"/>
      <c r="R3561" s="4"/>
      <c r="S3561" s="4"/>
      <c r="T3561" s="4"/>
      <c r="U3561" s="4"/>
      <c r="V3561" s="4"/>
      <c r="W3561" s="4"/>
      <c r="X3561" s="4"/>
    </row>
    <row r="3562" spans="17:24" x14ac:dyDescent="0.3">
      <c r="Q3562" s="4"/>
      <c r="R3562" s="4"/>
      <c r="S3562" s="4"/>
      <c r="T3562" s="4"/>
      <c r="U3562" s="4"/>
      <c r="V3562" s="4"/>
      <c r="W3562" s="4"/>
      <c r="X3562" s="4"/>
    </row>
    <row r="3563" spans="17:24" x14ac:dyDescent="0.3">
      <c r="Q3563" s="4"/>
      <c r="R3563" s="4"/>
      <c r="S3563" s="4"/>
      <c r="T3563" s="4"/>
      <c r="U3563" s="4"/>
      <c r="V3563" s="4"/>
      <c r="W3563" s="4"/>
      <c r="X3563" s="4"/>
    </row>
    <row r="3564" spans="17:24" x14ac:dyDescent="0.3">
      <c r="Q3564" s="4"/>
      <c r="R3564" s="4"/>
      <c r="S3564" s="4"/>
      <c r="T3564" s="4"/>
      <c r="U3564" s="4"/>
      <c r="V3564" s="4"/>
      <c r="W3564" s="4"/>
      <c r="X3564" s="4"/>
    </row>
    <row r="3565" spans="17:24" x14ac:dyDescent="0.3">
      <c r="Q3565" s="4"/>
      <c r="R3565" s="4"/>
      <c r="S3565" s="4"/>
      <c r="T3565" s="4"/>
      <c r="U3565" s="4"/>
      <c r="V3565" s="4"/>
      <c r="W3565" s="4"/>
      <c r="X3565" s="4"/>
    </row>
    <row r="3566" spans="17:24" x14ac:dyDescent="0.3">
      <c r="Q3566" s="4"/>
      <c r="R3566" s="4"/>
      <c r="S3566" s="4"/>
      <c r="T3566" s="4"/>
      <c r="U3566" s="4"/>
      <c r="V3566" s="4"/>
      <c r="W3566" s="4"/>
      <c r="X3566" s="4"/>
    </row>
    <row r="3567" spans="17:24" x14ac:dyDescent="0.3">
      <c r="Q3567" s="4"/>
      <c r="R3567" s="4"/>
      <c r="S3567" s="4"/>
      <c r="T3567" s="4"/>
      <c r="U3567" s="4"/>
      <c r="V3567" s="4"/>
      <c r="W3567" s="4"/>
      <c r="X3567" s="4"/>
    </row>
    <row r="3568" spans="17:24" x14ac:dyDescent="0.3">
      <c r="Q3568" s="4"/>
      <c r="R3568" s="4"/>
      <c r="S3568" s="4"/>
      <c r="T3568" s="4"/>
      <c r="U3568" s="4"/>
      <c r="V3568" s="4"/>
      <c r="W3568" s="4"/>
      <c r="X3568" s="4"/>
    </row>
    <row r="3569" spans="17:24" x14ac:dyDescent="0.3">
      <c r="Q3569" s="4"/>
      <c r="R3569" s="4"/>
      <c r="S3569" s="4"/>
      <c r="T3569" s="4"/>
      <c r="U3569" s="4"/>
      <c r="V3569" s="4"/>
      <c r="W3569" s="4"/>
      <c r="X3569" s="4"/>
    </row>
    <row r="3570" spans="17:24" x14ac:dyDescent="0.3">
      <c r="Q3570" s="4"/>
      <c r="R3570" s="4"/>
      <c r="S3570" s="4"/>
      <c r="T3570" s="4"/>
      <c r="U3570" s="4"/>
      <c r="V3570" s="4"/>
      <c r="W3570" s="4"/>
      <c r="X3570" s="4"/>
    </row>
    <row r="3571" spans="17:24" x14ac:dyDescent="0.3">
      <c r="Q3571" s="4"/>
      <c r="R3571" s="4"/>
      <c r="S3571" s="4"/>
      <c r="T3571" s="4"/>
      <c r="U3571" s="4"/>
      <c r="V3571" s="4"/>
      <c r="W3571" s="4"/>
      <c r="X3571" s="4"/>
    </row>
    <row r="3572" spans="17:24" x14ac:dyDescent="0.3">
      <c r="Q3572" s="4"/>
      <c r="R3572" s="4"/>
      <c r="S3572" s="4"/>
      <c r="T3572" s="4"/>
      <c r="U3572" s="4"/>
      <c r="V3572" s="4"/>
      <c r="W3572" s="4"/>
      <c r="X3572" s="4"/>
    </row>
    <row r="3573" spans="17:24" x14ac:dyDescent="0.3">
      <c r="Q3573" s="4"/>
      <c r="R3573" s="4"/>
      <c r="S3573" s="4"/>
      <c r="T3573" s="4"/>
      <c r="U3573" s="4"/>
      <c r="V3573" s="4"/>
      <c r="W3573" s="4"/>
      <c r="X3573" s="4"/>
    </row>
    <row r="3574" spans="17:24" x14ac:dyDescent="0.3">
      <c r="Q3574" s="4"/>
      <c r="R3574" s="4"/>
      <c r="S3574" s="4"/>
      <c r="T3574" s="4"/>
      <c r="U3574" s="4"/>
      <c r="V3574" s="4"/>
      <c r="W3574" s="4"/>
      <c r="X3574" s="4"/>
    </row>
    <row r="3575" spans="17:24" x14ac:dyDescent="0.3">
      <c r="Q3575" s="4"/>
      <c r="R3575" s="4"/>
      <c r="S3575" s="4"/>
      <c r="T3575" s="4"/>
      <c r="U3575" s="4"/>
      <c r="V3575" s="4"/>
      <c r="W3575" s="4"/>
      <c r="X3575" s="4"/>
    </row>
    <row r="3576" spans="17:24" x14ac:dyDescent="0.3">
      <c r="Q3576" s="4"/>
      <c r="R3576" s="4"/>
      <c r="S3576" s="4"/>
      <c r="T3576" s="4"/>
      <c r="U3576" s="4"/>
      <c r="V3576" s="4"/>
      <c r="W3576" s="4"/>
      <c r="X3576" s="4"/>
    </row>
    <row r="3577" spans="17:24" x14ac:dyDescent="0.3">
      <c r="Q3577" s="4"/>
      <c r="R3577" s="4"/>
      <c r="S3577" s="4"/>
      <c r="T3577" s="4"/>
      <c r="U3577" s="4"/>
      <c r="V3577" s="4"/>
      <c r="W3577" s="4"/>
      <c r="X3577" s="4"/>
    </row>
    <row r="3578" spans="17:24" x14ac:dyDescent="0.3">
      <c r="Q3578" s="4"/>
      <c r="R3578" s="4"/>
      <c r="S3578" s="4"/>
      <c r="T3578" s="4"/>
      <c r="U3578" s="4"/>
      <c r="V3578" s="4"/>
      <c r="W3578" s="4"/>
      <c r="X3578" s="4"/>
    </row>
    <row r="3579" spans="17:24" x14ac:dyDescent="0.3">
      <c r="Q3579" s="4"/>
      <c r="R3579" s="4"/>
      <c r="S3579" s="4"/>
      <c r="T3579" s="4"/>
      <c r="U3579" s="4"/>
      <c r="V3579" s="4"/>
      <c r="W3579" s="4"/>
      <c r="X3579" s="4"/>
    </row>
    <row r="3580" spans="17:24" x14ac:dyDescent="0.3">
      <c r="Q3580" s="4"/>
      <c r="R3580" s="4"/>
      <c r="S3580" s="4"/>
      <c r="T3580" s="4"/>
      <c r="U3580" s="4"/>
      <c r="V3580" s="4"/>
      <c r="W3580" s="4"/>
      <c r="X3580" s="4"/>
    </row>
    <row r="3581" spans="17:24" x14ac:dyDescent="0.3">
      <c r="Q3581" s="4"/>
      <c r="R3581" s="4"/>
      <c r="S3581" s="4"/>
      <c r="T3581" s="4"/>
      <c r="U3581" s="4"/>
      <c r="V3581" s="4"/>
      <c r="W3581" s="4"/>
      <c r="X3581" s="4"/>
    </row>
    <row r="3582" spans="17:24" x14ac:dyDescent="0.3">
      <c r="Q3582" s="4"/>
      <c r="R3582" s="4"/>
      <c r="S3582" s="4"/>
      <c r="T3582" s="4"/>
      <c r="U3582" s="4"/>
      <c r="V3582" s="4"/>
      <c r="W3582" s="4"/>
      <c r="X3582" s="4"/>
    </row>
    <row r="3583" spans="17:24" x14ac:dyDescent="0.3">
      <c r="Q3583" s="4"/>
      <c r="R3583" s="4"/>
      <c r="S3583" s="4"/>
      <c r="T3583" s="4"/>
      <c r="U3583" s="4"/>
      <c r="V3583" s="4"/>
      <c r="W3583" s="4"/>
      <c r="X3583" s="4"/>
    </row>
    <row r="3584" spans="17:24" x14ac:dyDescent="0.3">
      <c r="Q3584" s="4"/>
      <c r="R3584" s="4"/>
      <c r="S3584" s="4"/>
      <c r="T3584" s="4"/>
      <c r="U3584" s="4"/>
      <c r="V3584" s="4"/>
      <c r="W3584" s="4"/>
      <c r="X3584" s="4"/>
    </row>
    <row r="3585" spans="17:24" x14ac:dyDescent="0.3">
      <c r="Q3585" s="4"/>
      <c r="R3585" s="4"/>
      <c r="S3585" s="4"/>
      <c r="T3585" s="4"/>
      <c r="U3585" s="4"/>
      <c r="V3585" s="4"/>
      <c r="W3585" s="4"/>
      <c r="X3585" s="4"/>
    </row>
    <row r="3586" spans="17:24" x14ac:dyDescent="0.3">
      <c r="Q3586" s="4"/>
      <c r="R3586" s="4"/>
      <c r="S3586" s="4"/>
      <c r="T3586" s="4"/>
      <c r="U3586" s="4"/>
      <c r="V3586" s="4"/>
      <c r="W3586" s="4"/>
      <c r="X3586" s="4"/>
    </row>
    <row r="3587" spans="17:24" x14ac:dyDescent="0.3">
      <c r="Q3587" s="4"/>
      <c r="R3587" s="4"/>
      <c r="S3587" s="4"/>
      <c r="T3587" s="4"/>
      <c r="U3587" s="4"/>
      <c r="V3587" s="4"/>
      <c r="W3587" s="4"/>
      <c r="X3587" s="4"/>
    </row>
    <row r="3588" spans="17:24" x14ac:dyDescent="0.3">
      <c r="Q3588" s="4"/>
      <c r="R3588" s="4"/>
      <c r="S3588" s="4"/>
      <c r="T3588" s="4"/>
      <c r="U3588" s="4"/>
      <c r="V3588" s="4"/>
      <c r="W3588" s="4"/>
      <c r="X3588" s="4"/>
    </row>
    <row r="3589" spans="17:24" x14ac:dyDescent="0.3">
      <c r="Q3589" s="4"/>
      <c r="R3589" s="4"/>
      <c r="S3589" s="4"/>
      <c r="T3589" s="4"/>
      <c r="U3589" s="4"/>
      <c r="V3589" s="4"/>
      <c r="W3589" s="4"/>
      <c r="X3589" s="4"/>
    </row>
    <row r="3590" spans="17:24" x14ac:dyDescent="0.3">
      <c r="Q3590" s="4"/>
      <c r="R3590" s="4"/>
      <c r="S3590" s="4"/>
      <c r="T3590" s="4"/>
      <c r="U3590" s="4"/>
      <c r="V3590" s="4"/>
      <c r="W3590" s="4"/>
      <c r="X3590" s="4"/>
    </row>
    <row r="3591" spans="17:24" x14ac:dyDescent="0.3">
      <c r="Q3591" s="4"/>
      <c r="R3591" s="4"/>
      <c r="S3591" s="4"/>
      <c r="T3591" s="4"/>
      <c r="U3591" s="4"/>
      <c r="V3591" s="4"/>
      <c r="W3591" s="4"/>
      <c r="X3591" s="4"/>
    </row>
    <row r="3592" spans="17:24" x14ac:dyDescent="0.3">
      <c r="Q3592" s="4"/>
      <c r="R3592" s="4"/>
      <c r="S3592" s="4"/>
      <c r="T3592" s="4"/>
      <c r="U3592" s="4"/>
      <c r="V3592" s="4"/>
      <c r="W3592" s="4"/>
      <c r="X3592" s="4"/>
    </row>
    <row r="3593" spans="17:24" x14ac:dyDescent="0.3">
      <c r="Q3593" s="4"/>
      <c r="R3593" s="4"/>
      <c r="S3593" s="4"/>
      <c r="T3593" s="4"/>
      <c r="U3593" s="4"/>
      <c r="V3593" s="4"/>
      <c r="W3593" s="4"/>
      <c r="X3593" s="4"/>
    </row>
    <row r="3594" spans="17:24" x14ac:dyDescent="0.3">
      <c r="Q3594" s="4"/>
      <c r="R3594" s="4"/>
      <c r="S3594" s="4"/>
      <c r="T3594" s="4"/>
      <c r="U3594" s="4"/>
      <c r="V3594" s="4"/>
      <c r="W3594" s="4"/>
      <c r="X3594" s="4"/>
    </row>
    <row r="3595" spans="17:24" x14ac:dyDescent="0.3">
      <c r="Q3595" s="4"/>
      <c r="R3595" s="4"/>
      <c r="S3595" s="4"/>
      <c r="T3595" s="4"/>
      <c r="U3595" s="4"/>
      <c r="V3595" s="4"/>
      <c r="W3595" s="4"/>
      <c r="X3595" s="4"/>
    </row>
    <row r="3596" spans="17:24" x14ac:dyDescent="0.3">
      <c r="Q3596" s="4"/>
      <c r="R3596" s="4"/>
      <c r="S3596" s="4"/>
      <c r="T3596" s="4"/>
      <c r="U3596" s="4"/>
      <c r="V3596" s="4"/>
      <c r="W3596" s="4"/>
      <c r="X3596" s="4"/>
    </row>
    <row r="3597" spans="17:24" x14ac:dyDescent="0.3">
      <c r="Q3597" s="4"/>
      <c r="R3597" s="4"/>
      <c r="S3597" s="4"/>
      <c r="T3597" s="4"/>
      <c r="U3597" s="4"/>
      <c r="V3597" s="4"/>
      <c r="W3597" s="4"/>
      <c r="X3597" s="4"/>
    </row>
    <row r="3598" spans="17:24" x14ac:dyDescent="0.3">
      <c r="Q3598" s="4"/>
      <c r="R3598" s="4"/>
      <c r="S3598" s="4"/>
      <c r="T3598" s="4"/>
      <c r="U3598" s="4"/>
      <c r="V3598" s="4"/>
      <c r="W3598" s="4"/>
      <c r="X3598" s="4"/>
    </row>
    <row r="3599" spans="17:24" x14ac:dyDescent="0.3">
      <c r="Q3599" s="4"/>
      <c r="R3599" s="4"/>
      <c r="S3599" s="4"/>
      <c r="T3599" s="4"/>
      <c r="U3599" s="4"/>
      <c r="V3599" s="4"/>
      <c r="W3599" s="4"/>
      <c r="X3599" s="4"/>
    </row>
    <row r="3600" spans="17:24" x14ac:dyDescent="0.3">
      <c r="Q3600" s="4"/>
      <c r="R3600" s="4"/>
      <c r="S3600" s="4"/>
      <c r="T3600" s="4"/>
      <c r="U3600" s="4"/>
      <c r="V3600" s="4"/>
      <c r="W3600" s="4"/>
      <c r="X3600" s="4"/>
    </row>
    <row r="3601" spans="17:24" x14ac:dyDescent="0.3">
      <c r="Q3601" s="4"/>
      <c r="R3601" s="4"/>
      <c r="S3601" s="4"/>
      <c r="T3601" s="4"/>
      <c r="U3601" s="4"/>
      <c r="V3601" s="4"/>
      <c r="W3601" s="4"/>
      <c r="X3601" s="4"/>
    </row>
    <row r="3602" spans="17:24" x14ac:dyDescent="0.3">
      <c r="Q3602" s="4"/>
      <c r="R3602" s="4"/>
      <c r="S3602" s="4"/>
      <c r="T3602" s="4"/>
      <c r="U3602" s="4"/>
      <c r="V3602" s="4"/>
      <c r="W3602" s="4"/>
      <c r="X3602" s="4"/>
    </row>
    <row r="3603" spans="17:24" x14ac:dyDescent="0.3">
      <c r="Q3603" s="4"/>
      <c r="R3603" s="4"/>
      <c r="S3603" s="4"/>
      <c r="T3603" s="4"/>
      <c r="U3603" s="4"/>
      <c r="V3603" s="4"/>
      <c r="W3603" s="4"/>
      <c r="X3603" s="4"/>
    </row>
    <row r="3604" spans="17:24" x14ac:dyDescent="0.3">
      <c r="Q3604" s="4"/>
      <c r="R3604" s="4"/>
      <c r="S3604" s="4"/>
      <c r="T3604" s="4"/>
      <c r="U3604" s="4"/>
      <c r="V3604" s="4"/>
      <c r="W3604" s="4"/>
      <c r="X3604" s="4"/>
    </row>
    <row r="3605" spans="17:24" x14ac:dyDescent="0.3">
      <c r="Q3605" s="4"/>
      <c r="R3605" s="4"/>
      <c r="S3605" s="4"/>
      <c r="T3605" s="4"/>
      <c r="U3605" s="4"/>
      <c r="V3605" s="4"/>
      <c r="W3605" s="4"/>
      <c r="X3605" s="4"/>
    </row>
    <row r="3606" spans="17:24" x14ac:dyDescent="0.3">
      <c r="Q3606" s="4"/>
      <c r="R3606" s="4"/>
      <c r="S3606" s="4"/>
      <c r="T3606" s="4"/>
      <c r="U3606" s="4"/>
      <c r="V3606" s="4"/>
      <c r="W3606" s="4"/>
      <c r="X3606" s="4"/>
    </row>
    <row r="3607" spans="17:24" x14ac:dyDescent="0.3">
      <c r="Q3607" s="4"/>
      <c r="R3607" s="4"/>
      <c r="S3607" s="4"/>
      <c r="T3607" s="4"/>
      <c r="U3607" s="4"/>
      <c r="V3607" s="4"/>
      <c r="W3607" s="4"/>
      <c r="X3607" s="4"/>
    </row>
    <row r="3608" spans="17:24" x14ac:dyDescent="0.3">
      <c r="Q3608" s="4"/>
      <c r="R3608" s="4"/>
      <c r="S3608" s="4"/>
      <c r="T3608" s="4"/>
      <c r="U3608" s="4"/>
      <c r="V3608" s="4"/>
      <c r="W3608" s="4"/>
      <c r="X3608" s="4"/>
    </row>
    <row r="3609" spans="17:24" x14ac:dyDescent="0.3">
      <c r="Q3609" s="4"/>
      <c r="R3609" s="4"/>
      <c r="S3609" s="4"/>
      <c r="T3609" s="4"/>
      <c r="U3609" s="4"/>
      <c r="V3609" s="4"/>
      <c r="W3609" s="4"/>
      <c r="X3609" s="4"/>
    </row>
    <row r="3610" spans="17:24" x14ac:dyDescent="0.3">
      <c r="Q3610" s="4"/>
      <c r="R3610" s="4"/>
      <c r="S3610" s="4"/>
      <c r="T3610" s="4"/>
      <c r="U3610" s="4"/>
      <c r="V3610" s="4"/>
      <c r="W3610" s="4"/>
      <c r="X3610" s="4"/>
    </row>
    <row r="3611" spans="17:24" x14ac:dyDescent="0.3">
      <c r="Q3611" s="4"/>
      <c r="R3611" s="4"/>
      <c r="S3611" s="4"/>
      <c r="T3611" s="4"/>
      <c r="U3611" s="4"/>
      <c r="V3611" s="4"/>
      <c r="W3611" s="4"/>
      <c r="X3611" s="4"/>
    </row>
    <row r="3612" spans="17:24" x14ac:dyDescent="0.3">
      <c r="Q3612" s="4"/>
      <c r="R3612" s="4"/>
      <c r="S3612" s="4"/>
      <c r="T3612" s="4"/>
      <c r="U3612" s="4"/>
      <c r="V3612" s="4"/>
      <c r="W3612" s="4"/>
      <c r="X3612" s="4"/>
    </row>
    <row r="3613" spans="17:24" x14ac:dyDescent="0.3">
      <c r="Q3613" s="4"/>
      <c r="R3613" s="4"/>
      <c r="S3613" s="4"/>
      <c r="T3613" s="4"/>
      <c r="U3613" s="4"/>
      <c r="V3613" s="4"/>
      <c r="W3613" s="4"/>
      <c r="X3613" s="4"/>
    </row>
    <row r="3614" spans="17:24" x14ac:dyDescent="0.3">
      <c r="Q3614" s="4"/>
      <c r="R3614" s="4"/>
      <c r="S3614" s="4"/>
      <c r="T3614" s="4"/>
      <c r="U3614" s="4"/>
      <c r="V3614" s="4"/>
      <c r="W3614" s="4"/>
      <c r="X3614" s="4"/>
    </row>
    <row r="3615" spans="17:24" x14ac:dyDescent="0.3">
      <c r="Q3615" s="4"/>
      <c r="R3615" s="4"/>
      <c r="S3615" s="4"/>
      <c r="T3615" s="4"/>
      <c r="U3615" s="4"/>
      <c r="V3615" s="4"/>
      <c r="W3615" s="4"/>
      <c r="X3615" s="4"/>
    </row>
    <row r="3616" spans="17:24" x14ac:dyDescent="0.3">
      <c r="Q3616" s="4"/>
      <c r="R3616" s="4"/>
      <c r="S3616" s="4"/>
      <c r="T3616" s="4"/>
      <c r="U3616" s="4"/>
      <c r="V3616" s="4"/>
      <c r="W3616" s="4"/>
      <c r="X3616" s="4"/>
    </row>
    <row r="3617" spans="17:24" x14ac:dyDescent="0.3">
      <c r="Q3617" s="4"/>
      <c r="R3617" s="4"/>
      <c r="S3617" s="4"/>
      <c r="T3617" s="4"/>
      <c r="U3617" s="4"/>
      <c r="V3617" s="4"/>
      <c r="W3617" s="4"/>
      <c r="X3617" s="4"/>
    </row>
    <row r="3618" spans="17:24" x14ac:dyDescent="0.3">
      <c r="Q3618" s="4"/>
      <c r="R3618" s="4"/>
      <c r="S3618" s="4"/>
      <c r="T3618" s="4"/>
      <c r="U3618" s="4"/>
      <c r="V3618" s="4"/>
      <c r="W3618" s="4"/>
      <c r="X3618" s="4"/>
    </row>
    <row r="3619" spans="17:24" x14ac:dyDescent="0.3">
      <c r="Q3619" s="4"/>
      <c r="R3619" s="4"/>
      <c r="S3619" s="4"/>
      <c r="T3619" s="4"/>
      <c r="U3619" s="4"/>
      <c r="V3619" s="4"/>
      <c r="W3619" s="4"/>
      <c r="X3619" s="4"/>
    </row>
    <row r="3620" spans="17:24" x14ac:dyDescent="0.3">
      <c r="Q3620" s="4"/>
      <c r="R3620" s="4"/>
      <c r="S3620" s="4"/>
      <c r="T3620" s="4"/>
      <c r="U3620" s="4"/>
      <c r="V3620" s="4"/>
      <c r="W3620" s="4"/>
      <c r="X3620" s="4"/>
    </row>
    <row r="3621" spans="17:24" x14ac:dyDescent="0.3">
      <c r="Q3621" s="4"/>
      <c r="R3621" s="4"/>
      <c r="S3621" s="4"/>
      <c r="T3621" s="4"/>
      <c r="U3621" s="4"/>
      <c r="V3621" s="4"/>
      <c r="W3621" s="4"/>
      <c r="X3621" s="4"/>
    </row>
    <row r="3622" spans="17:24" x14ac:dyDescent="0.3">
      <c r="Q3622" s="4"/>
      <c r="R3622" s="4"/>
      <c r="S3622" s="4"/>
      <c r="T3622" s="4"/>
      <c r="U3622" s="4"/>
      <c r="V3622" s="4"/>
      <c r="W3622" s="4"/>
      <c r="X3622" s="4"/>
    </row>
    <row r="3623" spans="17:24" x14ac:dyDescent="0.3">
      <c r="Q3623" s="4"/>
      <c r="R3623" s="4"/>
      <c r="S3623" s="4"/>
      <c r="T3623" s="4"/>
      <c r="U3623" s="4"/>
      <c r="V3623" s="4"/>
      <c r="W3623" s="4"/>
      <c r="X3623" s="4"/>
    </row>
    <row r="3624" spans="17:24" x14ac:dyDescent="0.3">
      <c r="Q3624" s="4"/>
      <c r="R3624" s="4"/>
      <c r="S3624" s="4"/>
      <c r="T3624" s="4"/>
      <c r="U3624" s="4"/>
      <c r="V3624" s="4"/>
      <c r="W3624" s="4"/>
      <c r="X3624" s="4"/>
    </row>
    <row r="3625" spans="17:24" x14ac:dyDescent="0.3">
      <c r="Q3625" s="4"/>
      <c r="R3625" s="4"/>
      <c r="S3625" s="4"/>
      <c r="T3625" s="4"/>
      <c r="U3625" s="4"/>
      <c r="V3625" s="4"/>
      <c r="W3625" s="4"/>
      <c r="X3625" s="4"/>
    </row>
    <row r="3626" spans="17:24" x14ac:dyDescent="0.3">
      <c r="Q3626" s="4"/>
      <c r="R3626" s="4"/>
      <c r="S3626" s="4"/>
      <c r="T3626" s="4"/>
      <c r="U3626" s="4"/>
      <c r="V3626" s="4"/>
      <c r="W3626" s="4"/>
      <c r="X3626" s="4"/>
    </row>
    <row r="3627" spans="17:24" x14ac:dyDescent="0.3">
      <c r="Q3627" s="4"/>
      <c r="R3627" s="4"/>
      <c r="S3627" s="4"/>
      <c r="T3627" s="4"/>
      <c r="U3627" s="4"/>
      <c r="V3627" s="4"/>
      <c r="W3627" s="4"/>
      <c r="X3627" s="4"/>
    </row>
    <row r="3628" spans="17:24" x14ac:dyDescent="0.3">
      <c r="Q3628" s="4"/>
      <c r="R3628" s="4"/>
      <c r="S3628" s="4"/>
      <c r="T3628" s="4"/>
      <c r="U3628" s="4"/>
      <c r="V3628" s="4"/>
      <c r="W3628" s="4"/>
      <c r="X3628" s="4"/>
    </row>
    <row r="3629" spans="17:24" x14ac:dyDescent="0.3">
      <c r="Q3629" s="4"/>
      <c r="R3629" s="4"/>
      <c r="S3629" s="4"/>
      <c r="T3629" s="4"/>
      <c r="U3629" s="4"/>
      <c r="V3629" s="4"/>
      <c r="W3629" s="4"/>
      <c r="X3629" s="4"/>
    </row>
    <row r="3630" spans="17:24" x14ac:dyDescent="0.3">
      <c r="Q3630" s="4"/>
      <c r="R3630" s="4"/>
      <c r="S3630" s="4"/>
      <c r="T3630" s="4"/>
      <c r="U3630" s="4"/>
      <c r="V3630" s="4"/>
      <c r="W3630" s="4"/>
      <c r="X3630" s="4"/>
    </row>
    <row r="3631" spans="17:24" x14ac:dyDescent="0.3">
      <c r="Q3631" s="4"/>
      <c r="R3631" s="4"/>
      <c r="S3631" s="4"/>
      <c r="T3631" s="4"/>
      <c r="U3631" s="4"/>
      <c r="V3631" s="4"/>
      <c r="W3631" s="4"/>
      <c r="X3631" s="4"/>
    </row>
    <row r="3632" spans="17:24" x14ac:dyDescent="0.3">
      <c r="Q3632" s="4"/>
      <c r="R3632" s="4"/>
      <c r="S3632" s="4"/>
      <c r="T3632" s="4"/>
      <c r="U3632" s="4"/>
      <c r="V3632" s="4"/>
      <c r="W3632" s="4"/>
      <c r="X3632" s="4"/>
    </row>
    <row r="3633" spans="17:24" x14ac:dyDescent="0.3">
      <c r="Q3633" s="4"/>
      <c r="R3633" s="4"/>
      <c r="S3633" s="4"/>
      <c r="T3633" s="4"/>
      <c r="U3633" s="4"/>
      <c r="V3633" s="4"/>
      <c r="W3633" s="4"/>
      <c r="X3633" s="4"/>
    </row>
    <row r="3634" spans="17:24" x14ac:dyDescent="0.3">
      <c r="Q3634" s="4"/>
      <c r="R3634" s="4"/>
      <c r="S3634" s="4"/>
      <c r="T3634" s="4"/>
      <c r="U3634" s="4"/>
      <c r="V3634" s="4"/>
      <c r="W3634" s="4"/>
      <c r="X3634" s="4"/>
    </row>
    <row r="3635" spans="17:24" x14ac:dyDescent="0.3">
      <c r="Q3635" s="4"/>
      <c r="R3635" s="4"/>
      <c r="S3635" s="4"/>
      <c r="T3635" s="4"/>
      <c r="U3635" s="4"/>
      <c r="V3635" s="4"/>
      <c r="W3635" s="4"/>
      <c r="X3635" s="4"/>
    </row>
    <row r="3636" spans="17:24" x14ac:dyDescent="0.3">
      <c r="Q3636" s="4"/>
      <c r="R3636" s="4"/>
      <c r="S3636" s="4"/>
      <c r="T3636" s="4"/>
      <c r="U3636" s="4"/>
      <c r="V3636" s="4"/>
      <c r="W3636" s="4"/>
      <c r="X3636" s="4"/>
    </row>
    <row r="3637" spans="17:24" x14ac:dyDescent="0.3">
      <c r="Q3637" s="4"/>
      <c r="R3637" s="4"/>
      <c r="S3637" s="4"/>
      <c r="T3637" s="4"/>
      <c r="U3637" s="4"/>
      <c r="V3637" s="4"/>
      <c r="W3637" s="4"/>
      <c r="X3637" s="4"/>
    </row>
    <row r="3638" spans="17:24" x14ac:dyDescent="0.3">
      <c r="Q3638" s="4"/>
      <c r="R3638" s="4"/>
      <c r="S3638" s="4"/>
      <c r="T3638" s="4"/>
      <c r="U3638" s="4"/>
      <c r="V3638" s="4"/>
      <c r="W3638" s="4"/>
      <c r="X3638" s="4"/>
    </row>
    <row r="3639" spans="17:24" x14ac:dyDescent="0.3">
      <c r="Q3639" s="4"/>
      <c r="R3639" s="4"/>
      <c r="S3639" s="4"/>
      <c r="T3639" s="4"/>
      <c r="U3639" s="4"/>
      <c r="V3639" s="4"/>
      <c r="W3639" s="4"/>
      <c r="X3639" s="4"/>
    </row>
    <row r="3640" spans="17:24" x14ac:dyDescent="0.3">
      <c r="Q3640" s="4"/>
      <c r="R3640" s="4"/>
      <c r="S3640" s="4"/>
      <c r="T3640" s="4"/>
      <c r="U3640" s="4"/>
      <c r="V3640" s="4"/>
      <c r="W3640" s="4"/>
      <c r="X3640" s="4"/>
    </row>
    <row r="3641" spans="17:24" x14ac:dyDescent="0.3">
      <c r="Q3641" s="4"/>
      <c r="R3641" s="4"/>
      <c r="S3641" s="4"/>
      <c r="T3641" s="4"/>
      <c r="U3641" s="4"/>
      <c r="V3641" s="4"/>
      <c r="W3641" s="4"/>
      <c r="X3641" s="4"/>
    </row>
    <row r="3642" spans="17:24" x14ac:dyDescent="0.3">
      <c r="Q3642" s="4"/>
      <c r="R3642" s="4"/>
      <c r="S3642" s="4"/>
      <c r="T3642" s="4"/>
      <c r="U3642" s="4"/>
      <c r="V3642" s="4"/>
      <c r="W3642" s="4"/>
      <c r="X3642" s="4"/>
    </row>
    <row r="3643" spans="17:24" x14ac:dyDescent="0.3">
      <c r="Q3643" s="4"/>
      <c r="R3643" s="4"/>
      <c r="S3643" s="4"/>
      <c r="T3643" s="4"/>
      <c r="U3643" s="4"/>
      <c r="V3643" s="4"/>
      <c r="W3643" s="4"/>
      <c r="X3643" s="4"/>
    </row>
    <row r="3644" spans="17:24" x14ac:dyDescent="0.3">
      <c r="Q3644" s="4"/>
      <c r="R3644" s="4"/>
      <c r="S3644" s="4"/>
      <c r="T3644" s="4"/>
      <c r="U3644" s="4"/>
      <c r="V3644" s="4"/>
      <c r="W3644" s="4"/>
      <c r="X3644" s="4"/>
    </row>
    <row r="3645" spans="17:24" x14ac:dyDescent="0.3">
      <c r="Q3645" s="4"/>
      <c r="R3645" s="4"/>
      <c r="S3645" s="4"/>
      <c r="T3645" s="4"/>
      <c r="U3645" s="4"/>
      <c r="V3645" s="4"/>
      <c r="W3645" s="4"/>
      <c r="X3645" s="4"/>
    </row>
    <row r="3646" spans="17:24" x14ac:dyDescent="0.3">
      <c r="Q3646" s="4"/>
      <c r="R3646" s="4"/>
      <c r="S3646" s="4"/>
      <c r="T3646" s="4"/>
      <c r="U3646" s="4"/>
      <c r="V3646" s="4"/>
      <c r="W3646" s="4"/>
      <c r="X3646" s="4"/>
    </row>
    <row r="3647" spans="17:24" x14ac:dyDescent="0.3">
      <c r="Q3647" s="4"/>
      <c r="R3647" s="4"/>
      <c r="S3647" s="4"/>
      <c r="T3647" s="4"/>
      <c r="U3647" s="4"/>
      <c r="V3647" s="4"/>
      <c r="W3647" s="4"/>
      <c r="X3647" s="4"/>
    </row>
    <row r="3648" spans="17:24" x14ac:dyDescent="0.3">
      <c r="Q3648" s="4"/>
      <c r="R3648" s="4"/>
      <c r="S3648" s="4"/>
      <c r="T3648" s="4"/>
      <c r="U3648" s="4"/>
      <c r="V3648" s="4"/>
      <c r="W3648" s="4"/>
      <c r="X3648" s="4"/>
    </row>
    <row r="3649" spans="17:24" x14ac:dyDescent="0.3">
      <c r="Q3649" s="4"/>
      <c r="R3649" s="4"/>
      <c r="S3649" s="4"/>
      <c r="T3649" s="4"/>
      <c r="U3649" s="4"/>
      <c r="V3649" s="4"/>
      <c r="W3649" s="4"/>
      <c r="X3649" s="4"/>
    </row>
    <row r="3650" spans="17:24" x14ac:dyDescent="0.3">
      <c r="Q3650" s="4"/>
      <c r="R3650" s="4"/>
      <c r="S3650" s="4"/>
      <c r="T3650" s="4"/>
      <c r="U3650" s="4"/>
      <c r="V3650" s="4"/>
      <c r="W3650" s="4"/>
      <c r="X3650" s="4"/>
    </row>
    <row r="3651" spans="17:24" x14ac:dyDescent="0.3">
      <c r="Q3651" s="4"/>
      <c r="R3651" s="4"/>
      <c r="S3651" s="4"/>
      <c r="T3651" s="4"/>
      <c r="U3651" s="4"/>
      <c r="V3651" s="4"/>
      <c r="W3651" s="4"/>
      <c r="X3651" s="4"/>
    </row>
    <row r="3652" spans="17:24" x14ac:dyDescent="0.3">
      <c r="Q3652" s="4"/>
      <c r="R3652" s="4"/>
      <c r="S3652" s="4"/>
      <c r="T3652" s="4"/>
      <c r="U3652" s="4"/>
      <c r="V3652" s="4"/>
      <c r="W3652" s="4"/>
      <c r="X3652" s="4"/>
    </row>
    <row r="3653" spans="17:24" x14ac:dyDescent="0.3">
      <c r="Q3653" s="4"/>
      <c r="R3653" s="4"/>
      <c r="S3653" s="4"/>
      <c r="T3653" s="4"/>
      <c r="U3653" s="4"/>
      <c r="V3653" s="4"/>
      <c r="W3653" s="4"/>
      <c r="X3653" s="4"/>
    </row>
    <row r="3654" spans="17:24" x14ac:dyDescent="0.3">
      <c r="Q3654" s="4"/>
      <c r="R3654" s="4"/>
      <c r="S3654" s="4"/>
      <c r="T3654" s="4"/>
      <c r="U3654" s="4"/>
      <c r="V3654" s="4"/>
      <c r="W3654" s="4"/>
      <c r="X3654" s="4"/>
    </row>
    <row r="3655" spans="17:24" x14ac:dyDescent="0.3">
      <c r="Q3655" s="4"/>
      <c r="R3655" s="4"/>
      <c r="S3655" s="4"/>
      <c r="T3655" s="4"/>
      <c r="U3655" s="4"/>
      <c r="V3655" s="4"/>
      <c r="W3655" s="4"/>
      <c r="X3655" s="4"/>
    </row>
    <row r="3656" spans="17:24" x14ac:dyDescent="0.3">
      <c r="Q3656" s="4"/>
      <c r="R3656" s="4"/>
      <c r="S3656" s="4"/>
      <c r="T3656" s="4"/>
      <c r="U3656" s="4"/>
      <c r="V3656" s="4"/>
      <c r="W3656" s="4"/>
      <c r="X3656" s="4"/>
    </row>
    <row r="3657" spans="17:24" x14ac:dyDescent="0.3">
      <c r="Q3657" s="4"/>
      <c r="R3657" s="4"/>
      <c r="S3657" s="4"/>
      <c r="T3657" s="4"/>
      <c r="U3657" s="4"/>
      <c r="V3657" s="4"/>
      <c r="W3657" s="4"/>
      <c r="X3657" s="4"/>
    </row>
    <row r="3658" spans="17:24" x14ac:dyDescent="0.3">
      <c r="Q3658" s="4"/>
      <c r="R3658" s="4"/>
      <c r="S3658" s="4"/>
      <c r="T3658" s="4"/>
      <c r="U3658" s="4"/>
      <c r="V3658" s="4"/>
      <c r="W3658" s="4"/>
      <c r="X3658" s="4"/>
    </row>
    <row r="3659" spans="17:24" x14ac:dyDescent="0.3">
      <c r="Q3659" s="4"/>
      <c r="R3659" s="4"/>
      <c r="S3659" s="4"/>
      <c r="T3659" s="4"/>
      <c r="U3659" s="4"/>
      <c r="V3659" s="4"/>
      <c r="W3659" s="4"/>
      <c r="X3659" s="4"/>
    </row>
    <row r="3660" spans="17:24" x14ac:dyDescent="0.3">
      <c r="Q3660" s="4"/>
      <c r="R3660" s="4"/>
      <c r="S3660" s="4"/>
      <c r="T3660" s="4"/>
      <c r="U3660" s="4"/>
      <c r="V3660" s="4"/>
      <c r="W3660" s="4"/>
      <c r="X3660" s="4"/>
    </row>
    <row r="3661" spans="17:24" x14ac:dyDescent="0.3">
      <c r="Q3661" s="4"/>
      <c r="R3661" s="4"/>
      <c r="S3661" s="4"/>
      <c r="T3661" s="4"/>
      <c r="U3661" s="4"/>
      <c r="V3661" s="4"/>
      <c r="W3661" s="4"/>
      <c r="X3661" s="4"/>
    </row>
    <row r="3662" spans="17:24" x14ac:dyDescent="0.3">
      <c r="Q3662" s="4"/>
      <c r="R3662" s="4"/>
      <c r="S3662" s="4"/>
      <c r="T3662" s="4"/>
      <c r="U3662" s="4"/>
      <c r="V3662" s="4"/>
      <c r="W3662" s="4"/>
      <c r="X3662" s="4"/>
    </row>
    <row r="3663" spans="17:24" x14ac:dyDescent="0.3">
      <c r="Q3663" s="4"/>
      <c r="R3663" s="4"/>
      <c r="S3663" s="4"/>
      <c r="T3663" s="4"/>
      <c r="U3663" s="4"/>
      <c r="V3663" s="4"/>
      <c r="W3663" s="4"/>
      <c r="X3663" s="4"/>
    </row>
    <row r="3664" spans="17:24" x14ac:dyDescent="0.3">
      <c r="Q3664" s="4"/>
      <c r="R3664" s="4"/>
      <c r="S3664" s="4"/>
      <c r="T3664" s="4"/>
      <c r="U3664" s="4"/>
      <c r="V3664" s="4"/>
      <c r="W3664" s="4"/>
      <c r="X3664" s="4"/>
    </row>
    <row r="3665" spans="17:24" x14ac:dyDescent="0.3">
      <c r="Q3665" s="4"/>
      <c r="R3665" s="4"/>
      <c r="S3665" s="4"/>
      <c r="T3665" s="4"/>
      <c r="U3665" s="4"/>
      <c r="V3665" s="4"/>
      <c r="W3665" s="4"/>
      <c r="X3665" s="4"/>
    </row>
    <row r="3666" spans="17:24" x14ac:dyDescent="0.3">
      <c r="Q3666" s="4"/>
      <c r="R3666" s="4"/>
      <c r="S3666" s="4"/>
      <c r="T3666" s="4"/>
      <c r="U3666" s="4"/>
      <c r="V3666" s="4"/>
      <c r="W3666" s="4"/>
      <c r="X3666" s="4"/>
    </row>
    <row r="3667" spans="17:24" x14ac:dyDescent="0.3">
      <c r="Q3667" s="4"/>
      <c r="R3667" s="4"/>
      <c r="S3667" s="4"/>
      <c r="T3667" s="4"/>
      <c r="U3667" s="4"/>
      <c r="V3667" s="4"/>
      <c r="W3667" s="4"/>
      <c r="X3667" s="4"/>
    </row>
    <row r="3668" spans="17:24" x14ac:dyDescent="0.3">
      <c r="Q3668" s="4"/>
      <c r="R3668" s="4"/>
      <c r="S3668" s="4"/>
      <c r="T3668" s="4"/>
      <c r="U3668" s="4"/>
      <c r="V3668" s="4"/>
      <c r="W3668" s="4"/>
      <c r="X3668" s="4"/>
    </row>
    <row r="3669" spans="17:24" x14ac:dyDescent="0.3">
      <c r="Q3669" s="4"/>
      <c r="R3669" s="4"/>
      <c r="S3669" s="4"/>
      <c r="T3669" s="4"/>
      <c r="U3669" s="4"/>
      <c r="V3669" s="4"/>
      <c r="W3669" s="4"/>
      <c r="X3669" s="4"/>
    </row>
    <row r="3670" spans="17:24" x14ac:dyDescent="0.3">
      <c r="Q3670" s="4"/>
      <c r="R3670" s="4"/>
      <c r="S3670" s="4"/>
      <c r="T3670" s="4"/>
      <c r="U3670" s="4"/>
      <c r="V3670" s="4"/>
      <c r="W3670" s="4"/>
      <c r="X3670" s="4"/>
    </row>
    <row r="3671" spans="17:24" x14ac:dyDescent="0.3">
      <c r="Q3671" s="4"/>
      <c r="R3671" s="4"/>
      <c r="S3671" s="4"/>
      <c r="T3671" s="4"/>
      <c r="U3671" s="4"/>
      <c r="V3671" s="4"/>
      <c r="W3671" s="4"/>
      <c r="X3671" s="4"/>
    </row>
    <row r="3672" spans="17:24" x14ac:dyDescent="0.3">
      <c r="Q3672" s="4"/>
      <c r="R3672" s="4"/>
      <c r="S3672" s="4"/>
      <c r="T3672" s="4"/>
      <c r="U3672" s="4"/>
      <c r="V3672" s="4"/>
      <c r="W3672" s="4"/>
      <c r="X3672" s="4"/>
    </row>
    <row r="3673" spans="17:24" x14ac:dyDescent="0.3">
      <c r="Q3673" s="4"/>
      <c r="R3673" s="4"/>
      <c r="S3673" s="4"/>
      <c r="T3673" s="4"/>
      <c r="U3673" s="4"/>
      <c r="V3673" s="4"/>
      <c r="W3673" s="4"/>
      <c r="X3673" s="4"/>
    </row>
    <row r="3674" spans="17:24" x14ac:dyDescent="0.3">
      <c r="Q3674" s="4"/>
      <c r="R3674" s="4"/>
      <c r="S3674" s="4"/>
      <c r="T3674" s="4"/>
      <c r="U3674" s="4"/>
      <c r="V3674" s="4"/>
      <c r="W3674" s="4"/>
      <c r="X3674" s="4"/>
    </row>
    <row r="3675" spans="17:24" x14ac:dyDescent="0.3">
      <c r="Q3675" s="4"/>
      <c r="R3675" s="4"/>
      <c r="S3675" s="4"/>
      <c r="T3675" s="4"/>
      <c r="U3675" s="4"/>
      <c r="V3675" s="4"/>
      <c r="W3675" s="4"/>
      <c r="X3675" s="4"/>
    </row>
    <row r="3676" spans="17:24" x14ac:dyDescent="0.3">
      <c r="Q3676" s="4"/>
      <c r="R3676" s="4"/>
      <c r="S3676" s="4"/>
      <c r="T3676" s="4"/>
      <c r="U3676" s="4"/>
      <c r="V3676" s="4"/>
      <c r="W3676" s="4"/>
      <c r="X3676" s="4"/>
    </row>
    <row r="3677" spans="17:24" x14ac:dyDescent="0.3">
      <c r="Q3677" s="4"/>
      <c r="R3677" s="4"/>
      <c r="S3677" s="4"/>
      <c r="T3677" s="4"/>
      <c r="U3677" s="4"/>
      <c r="V3677" s="4"/>
      <c r="W3677" s="4"/>
      <c r="X3677" s="4"/>
    </row>
    <row r="3678" spans="17:24" x14ac:dyDescent="0.3">
      <c r="Q3678" s="4"/>
      <c r="R3678" s="4"/>
      <c r="S3678" s="4"/>
      <c r="T3678" s="4"/>
      <c r="U3678" s="4"/>
      <c r="V3678" s="4"/>
      <c r="W3678" s="4"/>
      <c r="X3678" s="4"/>
    </row>
    <row r="3679" spans="17:24" x14ac:dyDescent="0.3">
      <c r="Q3679" s="4"/>
      <c r="R3679" s="4"/>
      <c r="S3679" s="4"/>
      <c r="T3679" s="4"/>
      <c r="U3679" s="4"/>
      <c r="V3679" s="4"/>
      <c r="W3679" s="4"/>
      <c r="X3679" s="4"/>
    </row>
    <row r="3680" spans="17:24" x14ac:dyDescent="0.3">
      <c r="Q3680" s="4"/>
      <c r="R3680" s="4"/>
      <c r="S3680" s="4"/>
      <c r="T3680" s="4"/>
      <c r="U3680" s="4"/>
      <c r="V3680" s="4"/>
      <c r="W3680" s="4"/>
      <c r="X3680" s="4"/>
    </row>
    <row r="3681" spans="17:24" x14ac:dyDescent="0.3">
      <c r="Q3681" s="4"/>
      <c r="R3681" s="4"/>
      <c r="S3681" s="4"/>
      <c r="T3681" s="4"/>
      <c r="U3681" s="4"/>
      <c r="V3681" s="4"/>
      <c r="W3681" s="4"/>
      <c r="X3681" s="4"/>
    </row>
    <row r="3682" spans="17:24" x14ac:dyDescent="0.3">
      <c r="Q3682" s="4"/>
      <c r="R3682" s="4"/>
      <c r="S3682" s="4"/>
      <c r="T3682" s="4"/>
      <c r="U3682" s="4"/>
      <c r="V3682" s="4"/>
      <c r="W3682" s="4"/>
      <c r="X3682" s="4"/>
    </row>
    <row r="3683" spans="17:24" x14ac:dyDescent="0.3">
      <c r="Q3683" s="4"/>
      <c r="R3683" s="4"/>
      <c r="S3683" s="4"/>
      <c r="T3683" s="4"/>
      <c r="U3683" s="4"/>
      <c r="V3683" s="4"/>
      <c r="W3683" s="4"/>
      <c r="X3683" s="4"/>
    </row>
    <row r="3684" spans="17:24" x14ac:dyDescent="0.3">
      <c r="Q3684" s="4"/>
      <c r="R3684" s="4"/>
      <c r="S3684" s="4"/>
      <c r="T3684" s="4"/>
      <c r="U3684" s="4"/>
      <c r="V3684" s="4"/>
      <c r="W3684" s="4"/>
      <c r="X3684" s="4"/>
    </row>
    <row r="3685" spans="17:24" x14ac:dyDescent="0.3">
      <c r="Q3685" s="4"/>
      <c r="R3685" s="4"/>
      <c r="S3685" s="4"/>
      <c r="T3685" s="4"/>
      <c r="U3685" s="4"/>
      <c r="V3685" s="4"/>
      <c r="W3685" s="4"/>
      <c r="X3685" s="4"/>
    </row>
    <row r="3686" spans="17:24" x14ac:dyDescent="0.3">
      <c r="Q3686" s="4"/>
      <c r="R3686" s="4"/>
      <c r="S3686" s="4"/>
      <c r="T3686" s="4"/>
      <c r="U3686" s="4"/>
      <c r="V3686" s="4"/>
      <c r="W3686" s="4"/>
      <c r="X3686" s="4"/>
    </row>
    <row r="3687" spans="17:24" x14ac:dyDescent="0.3">
      <c r="Q3687" s="4"/>
      <c r="R3687" s="4"/>
      <c r="S3687" s="4"/>
      <c r="T3687" s="4"/>
      <c r="U3687" s="4"/>
      <c r="V3687" s="4"/>
      <c r="W3687" s="4"/>
      <c r="X3687" s="4"/>
    </row>
    <row r="3688" spans="17:24" x14ac:dyDescent="0.3">
      <c r="Q3688" s="4"/>
      <c r="R3688" s="4"/>
      <c r="S3688" s="4"/>
      <c r="T3688" s="4"/>
      <c r="U3688" s="4"/>
      <c r="V3688" s="4"/>
      <c r="W3688" s="4"/>
      <c r="X3688" s="4"/>
    </row>
    <row r="3689" spans="17:24" x14ac:dyDescent="0.3">
      <c r="Q3689" s="4"/>
      <c r="R3689" s="4"/>
      <c r="S3689" s="4"/>
      <c r="T3689" s="4"/>
      <c r="U3689" s="4"/>
      <c r="V3689" s="4"/>
      <c r="W3689" s="4"/>
      <c r="X3689" s="4"/>
    </row>
    <row r="3690" spans="17:24" x14ac:dyDescent="0.3">
      <c r="Q3690" s="4"/>
      <c r="R3690" s="4"/>
      <c r="S3690" s="4"/>
      <c r="T3690" s="4"/>
      <c r="U3690" s="4"/>
      <c r="V3690" s="4"/>
      <c r="W3690" s="4"/>
      <c r="X3690" s="4"/>
    </row>
    <row r="3691" spans="17:24" x14ac:dyDescent="0.3">
      <c r="Q3691" s="4"/>
      <c r="R3691" s="4"/>
      <c r="S3691" s="4"/>
      <c r="T3691" s="4"/>
      <c r="U3691" s="4"/>
      <c r="V3691" s="4"/>
      <c r="W3691" s="4"/>
      <c r="X3691" s="4"/>
    </row>
    <row r="3692" spans="17:24" x14ac:dyDescent="0.3">
      <c r="Q3692" s="4"/>
      <c r="R3692" s="4"/>
      <c r="S3692" s="4"/>
      <c r="T3692" s="4"/>
      <c r="U3692" s="4"/>
      <c r="V3692" s="4"/>
      <c r="W3692" s="4"/>
      <c r="X3692" s="4"/>
    </row>
    <row r="3693" spans="17:24" x14ac:dyDescent="0.3">
      <c r="Q3693" s="4"/>
      <c r="R3693" s="4"/>
      <c r="S3693" s="4"/>
      <c r="T3693" s="4"/>
      <c r="U3693" s="4"/>
      <c r="V3693" s="4"/>
      <c r="W3693" s="4"/>
      <c r="X3693" s="4"/>
    </row>
    <row r="3694" spans="17:24" x14ac:dyDescent="0.3">
      <c r="Q3694" s="4"/>
      <c r="R3694" s="4"/>
      <c r="S3694" s="4"/>
      <c r="T3694" s="4"/>
      <c r="U3694" s="4"/>
      <c r="V3694" s="4"/>
      <c r="W3694" s="4"/>
      <c r="X3694" s="4"/>
    </row>
    <row r="3695" spans="17:24" x14ac:dyDescent="0.3">
      <c r="Q3695" s="4"/>
      <c r="R3695" s="4"/>
      <c r="S3695" s="4"/>
      <c r="T3695" s="4"/>
      <c r="U3695" s="4"/>
      <c r="V3695" s="4"/>
      <c r="W3695" s="4"/>
      <c r="X3695" s="4"/>
    </row>
    <row r="3696" spans="17:24" x14ac:dyDescent="0.3">
      <c r="Q3696" s="4"/>
      <c r="R3696" s="4"/>
      <c r="S3696" s="4"/>
      <c r="T3696" s="4"/>
      <c r="U3696" s="4"/>
      <c r="V3696" s="4"/>
      <c r="W3696" s="4"/>
      <c r="X3696" s="4"/>
    </row>
    <row r="3697" spans="17:24" x14ac:dyDescent="0.3">
      <c r="Q3697" s="4"/>
      <c r="R3697" s="4"/>
      <c r="S3697" s="4"/>
      <c r="T3697" s="4"/>
      <c r="U3697" s="4"/>
      <c r="V3697" s="4"/>
      <c r="W3697" s="4"/>
      <c r="X3697" s="4"/>
    </row>
    <row r="3698" spans="17:24" x14ac:dyDescent="0.3">
      <c r="Q3698" s="4"/>
      <c r="R3698" s="4"/>
      <c r="S3698" s="4"/>
      <c r="T3698" s="4"/>
      <c r="U3698" s="4"/>
      <c r="V3698" s="4"/>
      <c r="W3698" s="4"/>
      <c r="X3698" s="4"/>
    </row>
    <row r="3699" spans="17:24" x14ac:dyDescent="0.3">
      <c r="Q3699" s="4"/>
      <c r="R3699" s="4"/>
      <c r="S3699" s="4"/>
      <c r="T3699" s="4"/>
      <c r="U3699" s="4"/>
      <c r="V3699" s="4"/>
      <c r="W3699" s="4"/>
      <c r="X3699" s="4"/>
    </row>
    <row r="3700" spans="17:24" x14ac:dyDescent="0.3">
      <c r="Q3700" s="4"/>
      <c r="R3700" s="4"/>
      <c r="S3700" s="4"/>
      <c r="T3700" s="4"/>
      <c r="U3700" s="4"/>
      <c r="V3700" s="4"/>
      <c r="W3700" s="4"/>
      <c r="X3700" s="4"/>
    </row>
    <row r="3701" spans="17:24" x14ac:dyDescent="0.3">
      <c r="Q3701" s="4"/>
      <c r="R3701" s="4"/>
      <c r="S3701" s="4"/>
      <c r="T3701" s="4"/>
      <c r="U3701" s="4"/>
      <c r="V3701" s="4"/>
      <c r="W3701" s="4"/>
      <c r="X3701" s="4"/>
    </row>
    <row r="3702" spans="17:24" x14ac:dyDescent="0.3">
      <c r="Q3702" s="4"/>
      <c r="R3702" s="4"/>
      <c r="S3702" s="4"/>
      <c r="T3702" s="4"/>
      <c r="U3702" s="4"/>
      <c r="V3702" s="4"/>
      <c r="W3702" s="4"/>
      <c r="X3702" s="4"/>
    </row>
    <row r="3703" spans="17:24" x14ac:dyDescent="0.3">
      <c r="Q3703" s="4"/>
      <c r="R3703" s="4"/>
      <c r="S3703" s="4"/>
      <c r="T3703" s="4"/>
      <c r="U3703" s="4"/>
      <c r="V3703" s="4"/>
      <c r="W3703" s="4"/>
      <c r="X3703" s="4"/>
    </row>
    <row r="3704" spans="17:24" x14ac:dyDescent="0.3">
      <c r="Q3704" s="4"/>
      <c r="R3704" s="4"/>
      <c r="S3704" s="4"/>
      <c r="T3704" s="4"/>
      <c r="U3704" s="4"/>
      <c r="V3704" s="4"/>
      <c r="W3704" s="4"/>
      <c r="X3704" s="4"/>
    </row>
    <row r="3705" spans="17:24" x14ac:dyDescent="0.3">
      <c r="Q3705" s="4"/>
      <c r="R3705" s="4"/>
      <c r="S3705" s="4"/>
      <c r="T3705" s="4"/>
      <c r="U3705" s="4"/>
      <c r="V3705" s="4"/>
      <c r="W3705" s="4"/>
      <c r="X3705" s="4"/>
    </row>
    <row r="3706" spans="17:24" x14ac:dyDescent="0.3">
      <c r="Q3706" s="4"/>
      <c r="R3706" s="4"/>
      <c r="S3706" s="4"/>
      <c r="T3706" s="4"/>
      <c r="U3706" s="4"/>
      <c r="V3706" s="4"/>
      <c r="W3706" s="4"/>
      <c r="X3706" s="4"/>
    </row>
    <row r="3707" spans="17:24" x14ac:dyDescent="0.3">
      <c r="Q3707" s="4"/>
      <c r="R3707" s="4"/>
      <c r="S3707" s="4"/>
      <c r="T3707" s="4"/>
      <c r="U3707" s="4"/>
      <c r="V3707" s="4"/>
      <c r="W3707" s="4"/>
      <c r="X3707" s="4"/>
    </row>
    <row r="3708" spans="17:24" x14ac:dyDescent="0.3">
      <c r="Q3708" s="4"/>
      <c r="R3708" s="4"/>
      <c r="S3708" s="4"/>
      <c r="T3708" s="4"/>
      <c r="U3708" s="4"/>
      <c r="V3708" s="4"/>
      <c r="W3708" s="4"/>
      <c r="X3708" s="4"/>
    </row>
    <row r="3709" spans="17:24" x14ac:dyDescent="0.3">
      <c r="Q3709" s="4"/>
      <c r="R3709" s="4"/>
      <c r="S3709" s="4"/>
      <c r="T3709" s="4"/>
      <c r="U3709" s="4"/>
      <c r="V3709" s="4"/>
      <c r="W3709" s="4"/>
      <c r="X3709" s="4"/>
    </row>
    <row r="3710" spans="17:24" x14ac:dyDescent="0.3">
      <c r="Q3710" s="4"/>
      <c r="R3710" s="4"/>
      <c r="S3710" s="4"/>
      <c r="T3710" s="4"/>
      <c r="U3710" s="4"/>
      <c r="V3710" s="4"/>
      <c r="W3710" s="4"/>
      <c r="X3710" s="4"/>
    </row>
    <row r="3711" spans="17:24" x14ac:dyDescent="0.3">
      <c r="Q3711" s="4"/>
      <c r="R3711" s="4"/>
      <c r="S3711" s="4"/>
      <c r="T3711" s="4"/>
      <c r="U3711" s="4"/>
      <c r="V3711" s="4"/>
      <c r="W3711" s="4"/>
      <c r="X3711" s="4"/>
    </row>
    <row r="3712" spans="17:24" x14ac:dyDescent="0.3">
      <c r="Q3712" s="4"/>
      <c r="R3712" s="4"/>
      <c r="S3712" s="4"/>
      <c r="T3712" s="4"/>
      <c r="U3712" s="4"/>
      <c r="V3712" s="4"/>
      <c r="W3712" s="4"/>
      <c r="X3712" s="4"/>
    </row>
    <row r="3713" spans="17:24" x14ac:dyDescent="0.3">
      <c r="Q3713" s="4"/>
      <c r="R3713" s="4"/>
      <c r="S3713" s="4"/>
      <c r="T3713" s="4"/>
      <c r="U3713" s="4"/>
      <c r="V3713" s="4"/>
      <c r="W3713" s="4"/>
      <c r="X3713" s="4"/>
    </row>
    <row r="3714" spans="17:24" x14ac:dyDescent="0.3">
      <c r="Q3714" s="4"/>
      <c r="R3714" s="4"/>
      <c r="S3714" s="4"/>
      <c r="T3714" s="4"/>
      <c r="U3714" s="4"/>
      <c r="V3714" s="4"/>
      <c r="W3714" s="4"/>
      <c r="X3714" s="4"/>
    </row>
    <row r="3715" spans="17:24" x14ac:dyDescent="0.3">
      <c r="Q3715" s="4"/>
      <c r="R3715" s="4"/>
      <c r="S3715" s="4"/>
      <c r="T3715" s="4"/>
      <c r="U3715" s="4"/>
      <c r="V3715" s="4"/>
      <c r="W3715" s="4"/>
      <c r="X3715" s="4"/>
    </row>
    <row r="3716" spans="17:24" x14ac:dyDescent="0.3">
      <c r="Q3716" s="4"/>
      <c r="R3716" s="4"/>
      <c r="S3716" s="4"/>
      <c r="T3716" s="4"/>
      <c r="U3716" s="4"/>
      <c r="V3716" s="4"/>
      <c r="W3716" s="4"/>
      <c r="X3716" s="4"/>
    </row>
    <row r="3717" spans="17:24" x14ac:dyDescent="0.3">
      <c r="Q3717" s="4"/>
      <c r="R3717" s="4"/>
      <c r="S3717" s="4"/>
      <c r="T3717" s="4"/>
      <c r="U3717" s="4"/>
      <c r="V3717" s="4"/>
      <c r="W3717" s="4"/>
      <c r="X3717" s="4"/>
    </row>
    <row r="3718" spans="17:24" x14ac:dyDescent="0.3">
      <c r="Q3718" s="4"/>
      <c r="R3718" s="4"/>
      <c r="S3718" s="4"/>
      <c r="T3718" s="4"/>
      <c r="U3718" s="4"/>
      <c r="V3718" s="4"/>
      <c r="W3718" s="4"/>
      <c r="X3718" s="4"/>
    </row>
    <row r="3719" spans="17:24" x14ac:dyDescent="0.3">
      <c r="Q3719" s="4"/>
      <c r="R3719" s="4"/>
      <c r="S3719" s="4"/>
      <c r="T3719" s="4"/>
      <c r="U3719" s="4"/>
      <c r="V3719" s="4"/>
      <c r="W3719" s="4"/>
      <c r="X3719" s="4"/>
    </row>
    <row r="3720" spans="17:24" x14ac:dyDescent="0.3">
      <c r="Q3720" s="4"/>
      <c r="R3720" s="4"/>
      <c r="S3720" s="4"/>
      <c r="T3720" s="4"/>
      <c r="U3720" s="4"/>
      <c r="V3720" s="4"/>
      <c r="W3720" s="4"/>
      <c r="X3720" s="4"/>
    </row>
    <row r="3721" spans="17:24" x14ac:dyDescent="0.3">
      <c r="Q3721" s="4"/>
      <c r="R3721" s="4"/>
      <c r="S3721" s="4"/>
      <c r="T3721" s="4"/>
      <c r="U3721" s="4"/>
      <c r="V3721" s="4"/>
      <c r="W3721" s="4"/>
      <c r="X3721" s="4"/>
    </row>
    <row r="3722" spans="17:24" x14ac:dyDescent="0.3">
      <c r="Q3722" s="4"/>
      <c r="R3722" s="4"/>
      <c r="S3722" s="4"/>
      <c r="T3722" s="4"/>
      <c r="U3722" s="4"/>
      <c r="V3722" s="4"/>
      <c r="W3722" s="4"/>
      <c r="X3722" s="4"/>
    </row>
    <row r="3723" spans="17:24" x14ac:dyDescent="0.3">
      <c r="Q3723" s="4"/>
      <c r="R3723" s="4"/>
      <c r="S3723" s="4"/>
      <c r="T3723" s="4"/>
      <c r="U3723" s="4"/>
      <c r="V3723" s="4"/>
      <c r="W3723" s="4"/>
      <c r="X3723" s="4"/>
    </row>
    <row r="3724" spans="17:24" x14ac:dyDescent="0.3">
      <c r="Q3724" s="4"/>
      <c r="R3724" s="4"/>
      <c r="S3724" s="4"/>
      <c r="T3724" s="4"/>
      <c r="U3724" s="4"/>
      <c r="V3724" s="4"/>
      <c r="W3724" s="4"/>
      <c r="X3724" s="4"/>
    </row>
    <row r="3725" spans="17:24" x14ac:dyDescent="0.3">
      <c r="Q3725" s="4"/>
      <c r="R3725" s="4"/>
      <c r="S3725" s="4"/>
      <c r="T3725" s="4"/>
      <c r="U3725" s="4"/>
      <c r="V3725" s="4"/>
      <c r="W3725" s="4"/>
      <c r="X3725" s="4"/>
    </row>
    <row r="3726" spans="17:24" x14ac:dyDescent="0.3">
      <c r="Q3726" s="4"/>
      <c r="R3726" s="4"/>
      <c r="S3726" s="4"/>
      <c r="T3726" s="4"/>
      <c r="U3726" s="4"/>
      <c r="V3726" s="4"/>
      <c r="W3726" s="4"/>
      <c r="X3726" s="4"/>
    </row>
    <row r="3727" spans="17:24" x14ac:dyDescent="0.3">
      <c r="Q3727" s="4"/>
      <c r="R3727" s="4"/>
      <c r="S3727" s="4"/>
      <c r="T3727" s="4"/>
      <c r="U3727" s="4"/>
      <c r="V3727" s="4"/>
      <c r="W3727" s="4"/>
      <c r="X3727" s="4"/>
    </row>
    <row r="3728" spans="17:24" x14ac:dyDescent="0.3">
      <c r="Q3728" s="4"/>
      <c r="R3728" s="4"/>
      <c r="S3728" s="4"/>
      <c r="T3728" s="4"/>
      <c r="U3728" s="4"/>
      <c r="V3728" s="4"/>
      <c r="W3728" s="4"/>
      <c r="X3728" s="4"/>
    </row>
    <row r="3729" spans="17:24" x14ac:dyDescent="0.3">
      <c r="Q3729" s="4"/>
      <c r="R3729" s="4"/>
      <c r="S3729" s="4"/>
      <c r="T3729" s="4"/>
      <c r="U3729" s="4"/>
      <c r="V3729" s="4"/>
      <c r="W3729" s="4"/>
      <c r="X3729" s="4"/>
    </row>
    <row r="3730" spans="17:24" x14ac:dyDescent="0.3">
      <c r="Q3730" s="4"/>
      <c r="R3730" s="4"/>
      <c r="S3730" s="4"/>
      <c r="T3730" s="4"/>
      <c r="U3730" s="4"/>
      <c r="V3730" s="4"/>
      <c r="W3730" s="4"/>
      <c r="X3730" s="4"/>
    </row>
    <row r="3731" spans="17:24" x14ac:dyDescent="0.3">
      <c r="Q3731" s="4"/>
      <c r="R3731" s="4"/>
      <c r="S3731" s="4"/>
      <c r="T3731" s="4"/>
      <c r="U3731" s="4"/>
      <c r="V3731" s="4"/>
      <c r="W3731" s="4"/>
      <c r="X3731" s="4"/>
    </row>
    <row r="3732" spans="17:24" x14ac:dyDescent="0.3">
      <c r="Q3732" s="4"/>
      <c r="R3732" s="4"/>
      <c r="S3732" s="4"/>
      <c r="T3732" s="4"/>
      <c r="U3732" s="4"/>
      <c r="V3732" s="4"/>
      <c r="W3732" s="4"/>
      <c r="X3732" s="4"/>
    </row>
    <row r="3733" spans="17:24" x14ac:dyDescent="0.3">
      <c r="Q3733" s="4"/>
      <c r="R3733" s="4"/>
      <c r="S3733" s="4"/>
      <c r="T3733" s="4"/>
      <c r="U3733" s="4"/>
      <c r="V3733" s="4"/>
      <c r="W3733" s="4"/>
      <c r="X3733" s="4"/>
    </row>
    <row r="3734" spans="17:24" x14ac:dyDescent="0.3">
      <c r="Q3734" s="4"/>
      <c r="R3734" s="4"/>
      <c r="S3734" s="4"/>
      <c r="T3734" s="4"/>
      <c r="U3734" s="4"/>
      <c r="V3734" s="4"/>
      <c r="W3734" s="4"/>
      <c r="X3734" s="4"/>
    </row>
    <row r="3735" spans="17:24" x14ac:dyDescent="0.3">
      <c r="Q3735" s="4"/>
      <c r="R3735" s="4"/>
      <c r="S3735" s="4"/>
      <c r="T3735" s="4"/>
      <c r="U3735" s="4"/>
      <c r="V3735" s="4"/>
      <c r="W3735" s="4"/>
      <c r="X3735" s="4"/>
    </row>
    <row r="3736" spans="17:24" x14ac:dyDescent="0.3">
      <c r="Q3736" s="4"/>
      <c r="R3736" s="4"/>
      <c r="S3736" s="4"/>
      <c r="T3736" s="4"/>
      <c r="U3736" s="4"/>
      <c r="V3736" s="4"/>
      <c r="W3736" s="4"/>
      <c r="X3736" s="4"/>
    </row>
    <row r="3737" spans="17:24" x14ac:dyDescent="0.3">
      <c r="Q3737" s="4"/>
      <c r="R3737" s="4"/>
      <c r="S3737" s="4"/>
      <c r="T3737" s="4"/>
      <c r="U3737" s="4"/>
      <c r="V3737" s="4"/>
      <c r="W3737" s="4"/>
      <c r="X3737" s="4"/>
    </row>
    <row r="3738" spans="17:24" x14ac:dyDescent="0.3">
      <c r="Q3738" s="4"/>
      <c r="R3738" s="4"/>
      <c r="S3738" s="4"/>
      <c r="T3738" s="4"/>
      <c r="U3738" s="4"/>
      <c r="V3738" s="4"/>
      <c r="W3738" s="4"/>
      <c r="X3738" s="4"/>
    </row>
    <row r="3739" spans="17:24" x14ac:dyDescent="0.3">
      <c r="Q3739" s="4"/>
      <c r="R3739" s="4"/>
      <c r="S3739" s="4"/>
      <c r="T3739" s="4"/>
      <c r="U3739" s="4"/>
      <c r="V3739" s="4"/>
      <c r="W3739" s="4"/>
      <c r="X3739" s="4"/>
    </row>
    <row r="3740" spans="17:24" x14ac:dyDescent="0.3">
      <c r="Q3740" s="4"/>
      <c r="R3740" s="4"/>
      <c r="S3740" s="4"/>
      <c r="T3740" s="4"/>
      <c r="U3740" s="4"/>
      <c r="V3740" s="4"/>
      <c r="W3740" s="4"/>
      <c r="X3740" s="4"/>
    </row>
    <row r="3741" spans="17:24" x14ac:dyDescent="0.3">
      <c r="Q3741" s="4"/>
      <c r="R3741" s="4"/>
      <c r="S3741" s="4"/>
      <c r="T3741" s="4"/>
      <c r="U3741" s="4"/>
      <c r="V3741" s="4"/>
      <c r="W3741" s="4"/>
      <c r="X3741" s="4"/>
    </row>
    <row r="3742" spans="17:24" x14ac:dyDescent="0.3">
      <c r="Q3742" s="4"/>
      <c r="R3742" s="4"/>
      <c r="S3742" s="4"/>
      <c r="T3742" s="4"/>
      <c r="U3742" s="4"/>
      <c r="V3742" s="4"/>
      <c r="W3742" s="4"/>
      <c r="X3742" s="4"/>
    </row>
    <row r="3743" spans="17:24" x14ac:dyDescent="0.3">
      <c r="Q3743" s="4"/>
      <c r="R3743" s="4"/>
      <c r="S3743" s="4"/>
      <c r="T3743" s="4"/>
      <c r="U3743" s="4"/>
      <c r="V3743" s="4"/>
      <c r="W3743" s="4"/>
      <c r="X3743" s="4"/>
    </row>
    <row r="3744" spans="17:24" x14ac:dyDescent="0.3">
      <c r="Q3744" s="4"/>
      <c r="R3744" s="4"/>
      <c r="S3744" s="4"/>
      <c r="T3744" s="4"/>
      <c r="U3744" s="4"/>
      <c r="V3744" s="4"/>
      <c r="W3744" s="4"/>
      <c r="X3744" s="4"/>
    </row>
    <row r="3745" spans="17:24" x14ac:dyDescent="0.3">
      <c r="Q3745" s="4"/>
      <c r="R3745" s="4"/>
      <c r="S3745" s="4"/>
      <c r="T3745" s="4"/>
      <c r="U3745" s="4"/>
      <c r="V3745" s="4"/>
      <c r="W3745" s="4"/>
      <c r="X3745" s="4"/>
    </row>
    <row r="3746" spans="17:24" x14ac:dyDescent="0.3">
      <c r="Q3746" s="4"/>
      <c r="R3746" s="4"/>
      <c r="S3746" s="4"/>
      <c r="T3746" s="4"/>
      <c r="U3746" s="4"/>
      <c r="V3746" s="4"/>
      <c r="W3746" s="4"/>
      <c r="X3746" s="4"/>
    </row>
    <row r="3747" spans="17:24" x14ac:dyDescent="0.3">
      <c r="Q3747" s="4"/>
      <c r="R3747" s="4"/>
      <c r="S3747" s="4"/>
      <c r="T3747" s="4"/>
      <c r="U3747" s="4"/>
      <c r="V3747" s="4"/>
      <c r="W3747" s="4"/>
      <c r="X3747" s="4"/>
    </row>
    <row r="3748" spans="17:24" x14ac:dyDescent="0.3">
      <c r="Q3748" s="4"/>
      <c r="R3748" s="4"/>
      <c r="S3748" s="4"/>
      <c r="T3748" s="4"/>
      <c r="U3748" s="4"/>
      <c r="V3748" s="4"/>
      <c r="W3748" s="4"/>
      <c r="X3748" s="4"/>
    </row>
    <row r="3749" spans="17:24" x14ac:dyDescent="0.3">
      <c r="Q3749" s="4"/>
      <c r="R3749" s="4"/>
      <c r="S3749" s="4"/>
      <c r="T3749" s="4"/>
      <c r="U3749" s="4"/>
      <c r="V3749" s="4"/>
      <c r="W3749" s="4"/>
      <c r="X3749" s="4"/>
    </row>
    <row r="3750" spans="17:24" x14ac:dyDescent="0.3">
      <c r="Q3750" s="4"/>
      <c r="R3750" s="4"/>
      <c r="S3750" s="4"/>
      <c r="T3750" s="4"/>
      <c r="U3750" s="4"/>
      <c r="V3750" s="4"/>
      <c r="W3750" s="4"/>
      <c r="X3750" s="4"/>
    </row>
    <row r="3751" spans="17:24" x14ac:dyDescent="0.3">
      <c r="Q3751" s="4"/>
      <c r="R3751" s="4"/>
      <c r="S3751" s="4"/>
      <c r="T3751" s="4"/>
      <c r="U3751" s="4"/>
      <c r="V3751" s="4"/>
      <c r="W3751" s="4"/>
      <c r="X3751" s="4"/>
    </row>
    <row r="3752" spans="17:24" x14ac:dyDescent="0.3">
      <c r="Q3752" s="4"/>
      <c r="R3752" s="4"/>
      <c r="S3752" s="4"/>
      <c r="T3752" s="4"/>
      <c r="U3752" s="4"/>
      <c r="V3752" s="4"/>
      <c r="W3752" s="4"/>
      <c r="X3752" s="4"/>
    </row>
    <row r="3753" spans="17:24" x14ac:dyDescent="0.3">
      <c r="Q3753" s="4"/>
      <c r="R3753" s="4"/>
      <c r="S3753" s="4"/>
      <c r="T3753" s="4"/>
      <c r="U3753" s="4"/>
      <c r="V3753" s="4"/>
      <c r="W3753" s="4"/>
      <c r="X3753" s="4"/>
    </row>
    <row r="3754" spans="17:24" x14ac:dyDescent="0.3">
      <c r="Q3754" s="4"/>
      <c r="R3754" s="4"/>
      <c r="S3754" s="4"/>
      <c r="T3754" s="4"/>
      <c r="U3754" s="4"/>
      <c r="V3754" s="4"/>
      <c r="W3754" s="4"/>
      <c r="X3754" s="4"/>
    </row>
    <row r="3755" spans="17:24" x14ac:dyDescent="0.3">
      <c r="Q3755" s="4"/>
      <c r="R3755" s="4"/>
      <c r="S3755" s="4"/>
      <c r="T3755" s="4"/>
      <c r="U3755" s="4"/>
      <c r="V3755" s="4"/>
      <c r="W3755" s="4"/>
      <c r="X3755" s="4"/>
    </row>
    <row r="3756" spans="17:24" x14ac:dyDescent="0.3">
      <c r="Q3756" s="4"/>
      <c r="R3756" s="4"/>
      <c r="S3756" s="4"/>
      <c r="T3756" s="4"/>
      <c r="U3756" s="4"/>
      <c r="V3756" s="4"/>
      <c r="W3756" s="4"/>
      <c r="X3756" s="4"/>
    </row>
    <row r="3757" spans="17:24" x14ac:dyDescent="0.3">
      <c r="Q3757" s="4"/>
      <c r="R3757" s="4"/>
      <c r="S3757" s="4"/>
      <c r="T3757" s="4"/>
      <c r="U3757" s="4"/>
      <c r="V3757" s="4"/>
      <c r="W3757" s="4"/>
      <c r="X3757" s="4"/>
    </row>
    <row r="3758" spans="17:24" x14ac:dyDescent="0.3">
      <c r="Q3758" s="4"/>
      <c r="R3758" s="4"/>
      <c r="S3758" s="4"/>
      <c r="T3758" s="4"/>
      <c r="U3758" s="4"/>
      <c r="V3758" s="4"/>
      <c r="W3758" s="4"/>
      <c r="X3758" s="4"/>
    </row>
    <row r="3759" spans="17:24" x14ac:dyDescent="0.3">
      <c r="Q3759" s="4"/>
      <c r="R3759" s="4"/>
      <c r="S3759" s="4"/>
      <c r="T3759" s="4"/>
      <c r="U3759" s="4"/>
      <c r="V3759" s="4"/>
      <c r="W3759" s="4"/>
      <c r="X3759" s="4"/>
    </row>
    <row r="3760" spans="17:24" x14ac:dyDescent="0.3">
      <c r="Q3760" s="4"/>
      <c r="R3760" s="4"/>
      <c r="S3760" s="4"/>
      <c r="T3760" s="4"/>
      <c r="U3760" s="4"/>
      <c r="V3760" s="4"/>
      <c r="W3760" s="4"/>
      <c r="X3760" s="4"/>
    </row>
    <row r="3761" spans="17:24" x14ac:dyDescent="0.3">
      <c r="Q3761" s="4"/>
      <c r="R3761" s="4"/>
      <c r="S3761" s="4"/>
      <c r="T3761" s="4"/>
      <c r="U3761" s="4"/>
      <c r="V3761" s="4"/>
      <c r="W3761" s="4"/>
      <c r="X3761" s="4"/>
    </row>
    <row r="3762" spans="17:24" x14ac:dyDescent="0.3">
      <c r="Q3762" s="4"/>
      <c r="R3762" s="4"/>
      <c r="S3762" s="4"/>
      <c r="T3762" s="4"/>
      <c r="U3762" s="4"/>
      <c r="V3762" s="4"/>
      <c r="W3762" s="4"/>
      <c r="X3762" s="4"/>
    </row>
    <row r="3763" spans="17:24" x14ac:dyDescent="0.3">
      <c r="Q3763" s="4"/>
      <c r="R3763" s="4"/>
      <c r="S3763" s="4"/>
      <c r="T3763" s="4"/>
      <c r="U3763" s="4"/>
      <c r="V3763" s="4"/>
      <c r="W3763" s="4"/>
      <c r="X3763" s="4"/>
    </row>
    <row r="3764" spans="17:24" x14ac:dyDescent="0.3">
      <c r="Q3764" s="4"/>
      <c r="R3764" s="4"/>
      <c r="S3764" s="4"/>
      <c r="T3764" s="4"/>
      <c r="U3764" s="4"/>
      <c r="V3764" s="4"/>
      <c r="W3764" s="4"/>
      <c r="X3764" s="4"/>
    </row>
    <row r="3765" spans="17:24" x14ac:dyDescent="0.3">
      <c r="Q3765" s="4"/>
      <c r="R3765" s="4"/>
      <c r="S3765" s="4"/>
      <c r="T3765" s="4"/>
      <c r="U3765" s="4"/>
      <c r="V3765" s="4"/>
      <c r="W3765" s="4"/>
      <c r="X3765" s="4"/>
    </row>
    <row r="3766" spans="17:24" x14ac:dyDescent="0.3">
      <c r="Q3766" s="4"/>
      <c r="R3766" s="4"/>
      <c r="S3766" s="4"/>
      <c r="T3766" s="4"/>
      <c r="U3766" s="4"/>
      <c r="V3766" s="4"/>
      <c r="W3766" s="4"/>
      <c r="X3766" s="4"/>
    </row>
    <row r="3767" spans="17:24" x14ac:dyDescent="0.3">
      <c r="Q3767" s="4"/>
      <c r="R3767" s="4"/>
      <c r="S3767" s="4"/>
      <c r="T3767" s="4"/>
      <c r="U3767" s="4"/>
      <c r="V3767" s="4"/>
      <c r="W3767" s="4"/>
      <c r="X3767" s="4"/>
    </row>
    <row r="3768" spans="17:24" x14ac:dyDescent="0.3">
      <c r="Q3768" s="4"/>
      <c r="R3768" s="4"/>
      <c r="S3768" s="4"/>
      <c r="T3768" s="4"/>
      <c r="U3768" s="4"/>
      <c r="V3768" s="4"/>
      <c r="W3768" s="4"/>
      <c r="X3768" s="4"/>
    </row>
    <row r="3769" spans="17:24" x14ac:dyDescent="0.3">
      <c r="Q3769" s="4"/>
      <c r="R3769" s="4"/>
      <c r="S3769" s="4"/>
      <c r="T3769" s="4"/>
      <c r="U3769" s="4"/>
      <c r="V3769" s="4"/>
      <c r="W3769" s="4"/>
      <c r="X3769" s="4"/>
    </row>
    <row r="3770" spans="17:24" x14ac:dyDescent="0.3">
      <c r="Q3770" s="4"/>
      <c r="R3770" s="4"/>
      <c r="S3770" s="4"/>
      <c r="T3770" s="4"/>
      <c r="U3770" s="4"/>
      <c r="V3770" s="4"/>
      <c r="W3770" s="4"/>
      <c r="X3770" s="4"/>
    </row>
    <row r="3771" spans="17:24" x14ac:dyDescent="0.3">
      <c r="Q3771" s="4"/>
      <c r="R3771" s="4"/>
      <c r="S3771" s="4"/>
      <c r="T3771" s="4"/>
      <c r="U3771" s="4"/>
      <c r="V3771" s="4"/>
      <c r="W3771" s="4"/>
      <c r="X3771" s="4"/>
    </row>
    <row r="3772" spans="17:24" x14ac:dyDescent="0.3">
      <c r="Q3772" s="4"/>
      <c r="R3772" s="4"/>
      <c r="S3772" s="4"/>
      <c r="T3772" s="4"/>
      <c r="U3772" s="4"/>
      <c r="V3772" s="4"/>
      <c r="W3772" s="4"/>
      <c r="X3772" s="4"/>
    </row>
    <row r="3773" spans="17:24" x14ac:dyDescent="0.3">
      <c r="Q3773" s="4"/>
      <c r="R3773" s="4"/>
      <c r="S3773" s="4"/>
      <c r="T3773" s="4"/>
      <c r="U3773" s="4"/>
      <c r="V3773" s="4"/>
      <c r="W3773" s="4"/>
      <c r="X3773" s="4"/>
    </row>
    <row r="3774" spans="17:24" x14ac:dyDescent="0.3">
      <c r="Q3774" s="4"/>
      <c r="R3774" s="4"/>
      <c r="S3774" s="4"/>
      <c r="T3774" s="4"/>
      <c r="U3774" s="4"/>
      <c r="V3774" s="4"/>
      <c r="W3774" s="4"/>
      <c r="X3774" s="4"/>
    </row>
    <row r="3775" spans="17:24" x14ac:dyDescent="0.3">
      <c r="Q3775" s="4"/>
      <c r="R3775" s="4"/>
      <c r="S3775" s="4"/>
      <c r="T3775" s="4"/>
      <c r="U3775" s="4"/>
      <c r="V3775" s="4"/>
      <c r="W3775" s="4"/>
      <c r="X3775" s="4"/>
    </row>
    <row r="3776" spans="17:24" x14ac:dyDescent="0.3">
      <c r="Q3776" s="4"/>
      <c r="R3776" s="4"/>
      <c r="S3776" s="4"/>
      <c r="T3776" s="4"/>
      <c r="U3776" s="4"/>
      <c r="V3776" s="4"/>
      <c r="W3776" s="4"/>
      <c r="X3776" s="4"/>
    </row>
    <row r="3777" spans="17:24" x14ac:dyDescent="0.3">
      <c r="Q3777" s="4"/>
      <c r="R3777" s="4"/>
      <c r="S3777" s="4"/>
      <c r="T3777" s="4"/>
      <c r="U3777" s="4"/>
      <c r="V3777" s="4"/>
      <c r="W3777" s="4"/>
      <c r="X3777" s="4"/>
    </row>
    <row r="3778" spans="17:24" x14ac:dyDescent="0.3">
      <c r="Q3778" s="4"/>
      <c r="R3778" s="4"/>
      <c r="S3778" s="4"/>
      <c r="T3778" s="4"/>
      <c r="U3778" s="4"/>
      <c r="V3778" s="4"/>
      <c r="W3778" s="4"/>
      <c r="X3778" s="4"/>
    </row>
    <row r="3779" spans="17:24" x14ac:dyDescent="0.3">
      <c r="Q3779" s="4"/>
      <c r="R3779" s="4"/>
      <c r="S3779" s="4"/>
      <c r="T3779" s="4"/>
      <c r="U3779" s="4"/>
      <c r="V3779" s="4"/>
      <c r="W3779" s="4"/>
      <c r="X3779" s="4"/>
    </row>
    <row r="3780" spans="17:24" x14ac:dyDescent="0.3">
      <c r="Q3780" s="4"/>
      <c r="R3780" s="4"/>
      <c r="S3780" s="4"/>
      <c r="T3780" s="4"/>
      <c r="U3780" s="4"/>
      <c r="V3780" s="4"/>
      <c r="W3780" s="4"/>
      <c r="X3780" s="4"/>
    </row>
    <row r="3781" spans="17:24" x14ac:dyDescent="0.3">
      <c r="Q3781" s="4"/>
      <c r="R3781" s="4"/>
      <c r="S3781" s="4"/>
      <c r="T3781" s="4"/>
      <c r="U3781" s="4"/>
      <c r="V3781" s="4"/>
      <c r="W3781" s="4"/>
      <c r="X3781" s="4"/>
    </row>
    <row r="3782" spans="17:24" x14ac:dyDescent="0.3">
      <c r="Q3782" s="4"/>
      <c r="R3782" s="4"/>
      <c r="S3782" s="4"/>
      <c r="T3782" s="4"/>
      <c r="U3782" s="4"/>
      <c r="V3782" s="4"/>
      <c r="W3782" s="4"/>
      <c r="X3782" s="4"/>
    </row>
    <row r="3783" spans="17:24" x14ac:dyDescent="0.3">
      <c r="Q3783" s="4"/>
      <c r="R3783" s="4"/>
      <c r="S3783" s="4"/>
      <c r="T3783" s="4"/>
      <c r="U3783" s="4"/>
      <c r="V3783" s="4"/>
      <c r="W3783" s="4"/>
      <c r="X3783" s="4"/>
    </row>
    <row r="3784" spans="17:24" x14ac:dyDescent="0.3">
      <c r="Q3784" s="4"/>
      <c r="R3784" s="4"/>
      <c r="S3784" s="4"/>
      <c r="T3784" s="4"/>
      <c r="U3784" s="4"/>
      <c r="V3784" s="4"/>
      <c r="W3784" s="4"/>
      <c r="X3784" s="4"/>
    </row>
    <row r="3785" spans="17:24" x14ac:dyDescent="0.3">
      <c r="Q3785" s="4"/>
      <c r="R3785" s="4"/>
      <c r="S3785" s="4"/>
      <c r="T3785" s="4"/>
      <c r="U3785" s="4"/>
      <c r="V3785" s="4"/>
      <c r="W3785" s="4"/>
      <c r="X3785" s="4"/>
    </row>
    <row r="3786" spans="17:24" x14ac:dyDescent="0.3">
      <c r="Q3786" s="4"/>
      <c r="R3786" s="4"/>
      <c r="S3786" s="4"/>
      <c r="T3786" s="4"/>
      <c r="U3786" s="4"/>
      <c r="V3786" s="4"/>
      <c r="W3786" s="4"/>
      <c r="X3786" s="4"/>
    </row>
    <row r="3787" spans="17:24" x14ac:dyDescent="0.3">
      <c r="Q3787" s="4"/>
      <c r="R3787" s="4"/>
      <c r="S3787" s="4"/>
      <c r="T3787" s="4"/>
      <c r="U3787" s="4"/>
      <c r="V3787" s="4"/>
      <c r="W3787" s="4"/>
      <c r="X3787" s="4"/>
    </row>
    <row r="3788" spans="17:24" x14ac:dyDescent="0.3">
      <c r="Q3788" s="4"/>
      <c r="R3788" s="4"/>
      <c r="S3788" s="4"/>
      <c r="T3788" s="4"/>
      <c r="U3788" s="4"/>
      <c r="V3788" s="4"/>
      <c r="W3788" s="4"/>
      <c r="X3788" s="4"/>
    </row>
    <row r="3789" spans="17:24" x14ac:dyDescent="0.3">
      <c r="Q3789" s="4"/>
      <c r="R3789" s="4"/>
      <c r="S3789" s="4"/>
      <c r="T3789" s="4"/>
      <c r="U3789" s="4"/>
      <c r="V3789" s="4"/>
      <c r="W3789" s="4"/>
      <c r="X3789" s="4"/>
    </row>
    <row r="3790" spans="17:24" x14ac:dyDescent="0.3">
      <c r="Q3790" s="4"/>
      <c r="R3790" s="4"/>
      <c r="S3790" s="4"/>
      <c r="T3790" s="4"/>
      <c r="U3790" s="4"/>
      <c r="V3790" s="4"/>
      <c r="W3790" s="4"/>
      <c r="X3790" s="4"/>
    </row>
    <row r="3791" spans="17:24" x14ac:dyDescent="0.3">
      <c r="Q3791" s="4"/>
      <c r="R3791" s="4"/>
      <c r="S3791" s="4"/>
      <c r="T3791" s="4"/>
      <c r="U3791" s="4"/>
      <c r="V3791" s="4"/>
      <c r="W3791" s="4"/>
      <c r="X3791" s="4"/>
    </row>
    <row r="3792" spans="17:24" x14ac:dyDescent="0.3">
      <c r="Q3792" s="4"/>
      <c r="R3792" s="4"/>
      <c r="S3792" s="4"/>
      <c r="T3792" s="4"/>
      <c r="U3792" s="4"/>
      <c r="V3792" s="4"/>
      <c r="W3792" s="4"/>
      <c r="X3792" s="4"/>
    </row>
    <row r="3793" spans="17:24" x14ac:dyDescent="0.3">
      <c r="Q3793" s="4"/>
      <c r="R3793" s="4"/>
      <c r="S3793" s="4"/>
      <c r="T3793" s="4"/>
      <c r="U3793" s="4"/>
      <c r="V3793" s="4"/>
      <c r="W3793" s="4"/>
      <c r="X3793" s="4"/>
    </row>
    <row r="3794" spans="17:24" x14ac:dyDescent="0.3">
      <c r="Q3794" s="4"/>
      <c r="R3794" s="4"/>
      <c r="S3794" s="4"/>
      <c r="T3794" s="4"/>
      <c r="U3794" s="4"/>
      <c r="V3794" s="4"/>
      <c r="W3794" s="4"/>
      <c r="X3794" s="4"/>
    </row>
    <row r="3795" spans="17:24" x14ac:dyDescent="0.3">
      <c r="Q3795" s="4"/>
      <c r="R3795" s="4"/>
      <c r="S3795" s="4"/>
      <c r="T3795" s="4"/>
      <c r="U3795" s="4"/>
      <c r="V3795" s="4"/>
      <c r="W3795" s="4"/>
      <c r="X3795" s="4"/>
    </row>
    <row r="3796" spans="17:24" x14ac:dyDescent="0.3">
      <c r="Q3796" s="4"/>
      <c r="R3796" s="4"/>
      <c r="S3796" s="4"/>
      <c r="T3796" s="4"/>
      <c r="U3796" s="4"/>
      <c r="V3796" s="4"/>
      <c r="W3796" s="4"/>
      <c r="X3796" s="4"/>
    </row>
    <row r="3797" spans="17:24" x14ac:dyDescent="0.3">
      <c r="Q3797" s="4"/>
      <c r="R3797" s="4"/>
      <c r="S3797" s="4"/>
      <c r="T3797" s="4"/>
      <c r="U3797" s="4"/>
      <c r="V3797" s="4"/>
      <c r="W3797" s="4"/>
      <c r="X3797" s="4"/>
    </row>
    <row r="3798" spans="17:24" x14ac:dyDescent="0.3">
      <c r="Q3798" s="4"/>
      <c r="R3798" s="4"/>
      <c r="S3798" s="4"/>
      <c r="T3798" s="4"/>
      <c r="U3798" s="4"/>
      <c r="V3798" s="4"/>
      <c r="W3798" s="4"/>
      <c r="X3798" s="4"/>
    </row>
    <row r="3799" spans="17:24" x14ac:dyDescent="0.3">
      <c r="Q3799" s="4"/>
      <c r="R3799" s="4"/>
      <c r="S3799" s="4"/>
      <c r="T3799" s="4"/>
      <c r="U3799" s="4"/>
      <c r="V3799" s="4"/>
      <c r="W3799" s="4"/>
      <c r="X3799" s="4"/>
    </row>
    <row r="3800" spans="17:24" x14ac:dyDescent="0.3">
      <c r="Q3800" s="4"/>
      <c r="R3800" s="4"/>
      <c r="S3800" s="4"/>
      <c r="T3800" s="4"/>
      <c r="U3800" s="4"/>
      <c r="V3800" s="4"/>
      <c r="W3800" s="4"/>
      <c r="X3800" s="4"/>
    </row>
    <row r="3801" spans="17:24" x14ac:dyDescent="0.3">
      <c r="Q3801" s="4"/>
      <c r="R3801" s="4"/>
      <c r="S3801" s="4"/>
      <c r="T3801" s="4"/>
      <c r="U3801" s="4"/>
      <c r="V3801" s="4"/>
      <c r="W3801" s="4"/>
      <c r="X3801" s="4"/>
    </row>
    <row r="3802" spans="17:24" x14ac:dyDescent="0.3">
      <c r="Q3802" s="4"/>
      <c r="R3802" s="4"/>
      <c r="S3802" s="4"/>
      <c r="T3802" s="4"/>
      <c r="U3802" s="4"/>
      <c r="V3802" s="4"/>
      <c r="W3802" s="4"/>
      <c r="X3802" s="4"/>
    </row>
    <row r="3803" spans="17:24" x14ac:dyDescent="0.3">
      <c r="Q3803" s="4"/>
      <c r="R3803" s="4"/>
      <c r="S3803" s="4"/>
      <c r="T3803" s="4"/>
      <c r="U3803" s="4"/>
      <c r="V3803" s="4"/>
      <c r="W3803" s="4"/>
      <c r="X3803" s="4"/>
    </row>
    <row r="3804" spans="17:24" x14ac:dyDescent="0.3">
      <c r="Q3804" s="4"/>
      <c r="R3804" s="4"/>
      <c r="S3804" s="4"/>
      <c r="T3804" s="4"/>
      <c r="U3804" s="4"/>
      <c r="V3804" s="4"/>
      <c r="W3804" s="4"/>
      <c r="X3804" s="4"/>
    </row>
    <row r="3805" spans="17:24" x14ac:dyDescent="0.3">
      <c r="Q3805" s="4"/>
      <c r="R3805" s="4"/>
      <c r="S3805" s="4"/>
      <c r="T3805" s="4"/>
      <c r="U3805" s="4"/>
      <c r="V3805" s="4"/>
      <c r="W3805" s="4"/>
      <c r="X3805" s="4"/>
    </row>
    <row r="3806" spans="17:24" x14ac:dyDescent="0.3">
      <c r="Q3806" s="4"/>
      <c r="R3806" s="4"/>
      <c r="S3806" s="4"/>
      <c r="T3806" s="4"/>
      <c r="U3806" s="4"/>
      <c r="V3806" s="4"/>
      <c r="W3806" s="4"/>
      <c r="X3806" s="4"/>
    </row>
    <row r="3807" spans="17:24" x14ac:dyDescent="0.3">
      <c r="Q3807" s="4"/>
      <c r="R3807" s="4"/>
      <c r="S3807" s="4"/>
      <c r="T3807" s="4"/>
      <c r="U3807" s="4"/>
      <c r="V3807" s="4"/>
      <c r="W3807" s="4"/>
      <c r="X3807" s="4"/>
    </row>
    <row r="3808" spans="17:24" x14ac:dyDescent="0.3">
      <c r="Q3808" s="4"/>
      <c r="R3808" s="4"/>
      <c r="S3808" s="4"/>
      <c r="T3808" s="4"/>
      <c r="U3808" s="4"/>
      <c r="V3808" s="4"/>
      <c r="W3808" s="4"/>
      <c r="X3808" s="4"/>
    </row>
    <row r="3809" spans="17:24" x14ac:dyDescent="0.3">
      <c r="Q3809" s="4"/>
      <c r="R3809" s="4"/>
      <c r="S3809" s="4"/>
      <c r="T3809" s="4"/>
      <c r="U3809" s="4"/>
      <c r="V3809" s="4"/>
      <c r="W3809" s="4"/>
      <c r="X3809" s="4"/>
    </row>
    <row r="3810" spans="17:24" x14ac:dyDescent="0.3">
      <c r="Q3810" s="4"/>
      <c r="R3810" s="4"/>
      <c r="S3810" s="4"/>
      <c r="T3810" s="4"/>
      <c r="U3810" s="4"/>
      <c r="V3810" s="4"/>
      <c r="W3810" s="4"/>
      <c r="X3810" s="4"/>
    </row>
    <row r="3811" spans="17:24" x14ac:dyDescent="0.3">
      <c r="Q3811" s="4"/>
      <c r="R3811" s="4"/>
      <c r="S3811" s="4"/>
      <c r="T3811" s="4"/>
      <c r="U3811" s="4"/>
      <c r="V3811" s="4"/>
      <c r="W3811" s="4"/>
      <c r="X3811" s="4"/>
    </row>
    <row r="3812" spans="17:24" x14ac:dyDescent="0.3">
      <c r="Q3812" s="4"/>
      <c r="R3812" s="4"/>
      <c r="S3812" s="4"/>
      <c r="T3812" s="4"/>
      <c r="U3812" s="4"/>
      <c r="V3812" s="4"/>
      <c r="W3812" s="4"/>
      <c r="X3812" s="4"/>
    </row>
    <row r="3813" spans="17:24" x14ac:dyDescent="0.3">
      <c r="Q3813" s="4"/>
      <c r="R3813" s="4"/>
      <c r="S3813" s="4"/>
      <c r="T3813" s="4"/>
      <c r="U3813" s="4"/>
      <c r="V3813" s="4"/>
      <c r="W3813" s="4"/>
      <c r="X3813" s="4"/>
    </row>
    <row r="3814" spans="17:24" x14ac:dyDescent="0.3">
      <c r="Q3814" s="4"/>
      <c r="R3814" s="4"/>
      <c r="S3814" s="4"/>
      <c r="T3814" s="4"/>
      <c r="U3814" s="4"/>
      <c r="V3814" s="4"/>
      <c r="W3814" s="4"/>
      <c r="X3814" s="4"/>
    </row>
    <row r="3815" spans="17:24" x14ac:dyDescent="0.3">
      <c r="Q3815" s="4"/>
      <c r="R3815" s="4"/>
      <c r="S3815" s="4"/>
      <c r="T3815" s="4"/>
      <c r="U3815" s="4"/>
      <c r="V3815" s="4"/>
      <c r="W3815" s="4"/>
      <c r="X3815" s="4"/>
    </row>
    <row r="3816" spans="17:24" x14ac:dyDescent="0.3">
      <c r="Q3816" s="4"/>
      <c r="R3816" s="4"/>
      <c r="S3816" s="4"/>
      <c r="T3816" s="4"/>
      <c r="U3816" s="4"/>
      <c r="V3816" s="4"/>
      <c r="W3816" s="4"/>
      <c r="X3816" s="4"/>
    </row>
    <row r="3817" spans="17:24" x14ac:dyDescent="0.3">
      <c r="Q3817" s="4"/>
      <c r="R3817" s="4"/>
      <c r="S3817" s="4"/>
      <c r="T3817" s="4"/>
      <c r="U3817" s="4"/>
      <c r="V3817" s="4"/>
      <c r="W3817" s="4"/>
      <c r="X3817" s="4"/>
    </row>
    <row r="3818" spans="17:24" x14ac:dyDescent="0.3">
      <c r="Q3818" s="4"/>
      <c r="R3818" s="4"/>
      <c r="S3818" s="4"/>
      <c r="T3818" s="4"/>
      <c r="U3818" s="4"/>
      <c r="V3818" s="4"/>
      <c r="W3818" s="4"/>
      <c r="X3818" s="4"/>
    </row>
    <row r="3819" spans="17:24" x14ac:dyDescent="0.3">
      <c r="Q3819" s="4"/>
      <c r="R3819" s="4"/>
      <c r="S3819" s="4"/>
      <c r="T3819" s="4"/>
      <c r="U3819" s="4"/>
      <c r="V3819" s="4"/>
      <c r="W3819" s="4"/>
      <c r="X3819" s="4"/>
    </row>
    <row r="3820" spans="17:24" x14ac:dyDescent="0.3">
      <c r="Q3820" s="4"/>
      <c r="R3820" s="4"/>
      <c r="S3820" s="4"/>
      <c r="T3820" s="4"/>
      <c r="U3820" s="4"/>
      <c r="V3820" s="4"/>
      <c r="W3820" s="4"/>
      <c r="X3820" s="4"/>
    </row>
    <row r="3821" spans="17:24" x14ac:dyDescent="0.3">
      <c r="Q3821" s="4"/>
      <c r="R3821" s="4"/>
      <c r="S3821" s="4"/>
      <c r="T3821" s="4"/>
      <c r="U3821" s="4"/>
      <c r="V3821" s="4"/>
      <c r="W3821" s="4"/>
      <c r="X3821" s="4"/>
    </row>
    <row r="3822" spans="17:24" x14ac:dyDescent="0.3">
      <c r="Q3822" s="4"/>
      <c r="R3822" s="4"/>
      <c r="S3822" s="4"/>
      <c r="T3822" s="4"/>
      <c r="U3822" s="4"/>
      <c r="V3822" s="4"/>
      <c r="W3822" s="4"/>
      <c r="X3822" s="4"/>
    </row>
    <row r="3823" spans="17:24" x14ac:dyDescent="0.3">
      <c r="Q3823" s="4"/>
      <c r="R3823" s="4"/>
      <c r="S3823" s="4"/>
      <c r="T3823" s="4"/>
      <c r="U3823" s="4"/>
      <c r="V3823" s="4"/>
      <c r="W3823" s="4"/>
      <c r="X3823" s="4"/>
    </row>
    <row r="3824" spans="17:24" x14ac:dyDescent="0.3">
      <c r="Q3824" s="4"/>
      <c r="R3824" s="4"/>
      <c r="S3824" s="4"/>
      <c r="T3824" s="4"/>
      <c r="U3824" s="4"/>
      <c r="V3824" s="4"/>
      <c r="W3824" s="4"/>
      <c r="X3824" s="4"/>
    </row>
    <row r="3825" spans="17:24" x14ac:dyDescent="0.3">
      <c r="Q3825" s="4"/>
      <c r="R3825" s="4"/>
      <c r="S3825" s="4"/>
      <c r="T3825" s="4"/>
      <c r="U3825" s="4"/>
      <c r="V3825" s="4"/>
      <c r="W3825" s="4"/>
      <c r="X3825" s="4"/>
    </row>
    <row r="3826" spans="17:24" x14ac:dyDescent="0.3">
      <c r="Q3826" s="4"/>
      <c r="R3826" s="4"/>
      <c r="S3826" s="4"/>
      <c r="T3826" s="4"/>
      <c r="U3826" s="4"/>
      <c r="V3826" s="4"/>
      <c r="W3826" s="4"/>
      <c r="X3826" s="4"/>
    </row>
    <row r="3827" spans="17:24" x14ac:dyDescent="0.3">
      <c r="Q3827" s="4"/>
      <c r="R3827" s="4"/>
      <c r="S3827" s="4"/>
      <c r="T3827" s="4"/>
      <c r="U3827" s="4"/>
      <c r="V3827" s="4"/>
      <c r="W3827" s="4"/>
      <c r="X3827" s="4"/>
    </row>
    <row r="3828" spans="17:24" x14ac:dyDescent="0.3">
      <c r="Q3828" s="4"/>
      <c r="R3828" s="4"/>
      <c r="S3828" s="4"/>
      <c r="T3828" s="4"/>
      <c r="U3828" s="4"/>
      <c r="V3828" s="4"/>
      <c r="W3828" s="4"/>
      <c r="X3828" s="4"/>
    </row>
    <row r="3829" spans="17:24" x14ac:dyDescent="0.3">
      <c r="Q3829" s="4"/>
      <c r="R3829" s="4"/>
      <c r="S3829" s="4"/>
      <c r="T3829" s="4"/>
      <c r="U3829" s="4"/>
      <c r="V3829" s="4"/>
      <c r="W3829" s="4"/>
      <c r="X3829" s="4"/>
    </row>
    <row r="3830" spans="17:24" x14ac:dyDescent="0.3">
      <c r="Q3830" s="4"/>
      <c r="R3830" s="4"/>
      <c r="S3830" s="4"/>
      <c r="T3830" s="4"/>
      <c r="U3830" s="4"/>
      <c r="V3830" s="4"/>
      <c r="W3830" s="4"/>
      <c r="X3830" s="4"/>
    </row>
    <row r="3831" spans="17:24" x14ac:dyDescent="0.3">
      <c r="Q3831" s="4"/>
      <c r="R3831" s="4"/>
      <c r="S3831" s="4"/>
      <c r="T3831" s="4"/>
      <c r="U3831" s="4"/>
      <c r="V3831" s="4"/>
      <c r="W3831" s="4"/>
      <c r="X3831" s="4"/>
    </row>
    <row r="3832" spans="17:24" x14ac:dyDescent="0.3">
      <c r="Q3832" s="4"/>
      <c r="R3832" s="4"/>
      <c r="S3832" s="4"/>
      <c r="T3832" s="4"/>
      <c r="U3832" s="4"/>
      <c r="V3832" s="4"/>
      <c r="W3832" s="4"/>
      <c r="X3832" s="4"/>
    </row>
    <row r="3833" spans="17:24" x14ac:dyDescent="0.3">
      <c r="Q3833" s="4"/>
      <c r="R3833" s="4"/>
      <c r="S3833" s="4"/>
      <c r="T3833" s="4"/>
      <c r="U3833" s="4"/>
      <c r="V3833" s="4"/>
      <c r="W3833" s="4"/>
      <c r="X3833" s="4"/>
    </row>
    <row r="3834" spans="17:24" x14ac:dyDescent="0.3">
      <c r="Q3834" s="4"/>
      <c r="R3834" s="4"/>
      <c r="S3834" s="4"/>
      <c r="T3834" s="4"/>
      <c r="U3834" s="4"/>
      <c r="V3834" s="4"/>
      <c r="W3834" s="4"/>
      <c r="X3834" s="4"/>
    </row>
    <row r="3835" spans="17:24" x14ac:dyDescent="0.3">
      <c r="Q3835" s="4"/>
      <c r="R3835" s="4"/>
      <c r="S3835" s="4"/>
      <c r="T3835" s="4"/>
      <c r="U3835" s="4"/>
      <c r="V3835" s="4"/>
      <c r="W3835" s="4"/>
      <c r="X3835" s="4"/>
    </row>
    <row r="3836" spans="17:24" x14ac:dyDescent="0.3">
      <c r="Q3836" s="4"/>
      <c r="R3836" s="4"/>
      <c r="S3836" s="4"/>
      <c r="T3836" s="4"/>
      <c r="U3836" s="4"/>
      <c r="V3836" s="4"/>
      <c r="W3836" s="4"/>
      <c r="X3836" s="4"/>
    </row>
    <row r="3837" spans="17:24" x14ac:dyDescent="0.3">
      <c r="Q3837" s="4"/>
      <c r="R3837" s="4"/>
      <c r="S3837" s="4"/>
      <c r="T3837" s="4"/>
      <c r="U3837" s="4"/>
      <c r="V3837" s="4"/>
      <c r="W3837" s="4"/>
      <c r="X3837" s="4"/>
    </row>
    <row r="3838" spans="17:24" x14ac:dyDescent="0.3">
      <c r="Q3838" s="4"/>
      <c r="R3838" s="4"/>
      <c r="S3838" s="4"/>
      <c r="T3838" s="4"/>
      <c r="U3838" s="4"/>
      <c r="V3838" s="4"/>
      <c r="W3838" s="4"/>
      <c r="X3838" s="4"/>
    </row>
    <row r="3839" spans="17:24" x14ac:dyDescent="0.3">
      <c r="Q3839" s="4"/>
      <c r="R3839" s="4"/>
      <c r="S3839" s="4"/>
      <c r="T3839" s="4"/>
      <c r="U3839" s="4"/>
      <c r="V3839" s="4"/>
      <c r="W3839" s="4"/>
      <c r="X3839" s="4"/>
    </row>
    <row r="3840" spans="17:24" x14ac:dyDescent="0.3">
      <c r="Q3840" s="4"/>
      <c r="R3840" s="4"/>
      <c r="S3840" s="4"/>
      <c r="T3840" s="4"/>
      <c r="U3840" s="4"/>
      <c r="V3840" s="4"/>
      <c r="W3840" s="4"/>
      <c r="X3840" s="4"/>
    </row>
    <row r="3841" spans="17:24" x14ac:dyDescent="0.3">
      <c r="Q3841" s="4"/>
      <c r="R3841" s="4"/>
      <c r="S3841" s="4"/>
      <c r="T3841" s="4"/>
      <c r="U3841" s="4"/>
      <c r="V3841" s="4"/>
      <c r="W3841" s="4"/>
      <c r="X3841" s="4"/>
    </row>
    <row r="3842" spans="17:24" x14ac:dyDescent="0.3">
      <c r="Q3842" s="4"/>
      <c r="R3842" s="4"/>
      <c r="S3842" s="4"/>
      <c r="T3842" s="4"/>
      <c r="U3842" s="4"/>
      <c r="V3842" s="4"/>
      <c r="W3842" s="4"/>
      <c r="X3842" s="4"/>
    </row>
    <row r="3843" spans="17:24" x14ac:dyDescent="0.3">
      <c r="Q3843" s="4"/>
      <c r="R3843" s="4"/>
      <c r="S3843" s="4"/>
      <c r="T3843" s="4"/>
      <c r="U3843" s="4"/>
      <c r="V3843" s="4"/>
      <c r="W3843" s="4"/>
      <c r="X3843" s="4"/>
    </row>
    <row r="3844" spans="17:24" x14ac:dyDescent="0.3">
      <c r="Q3844" s="4"/>
      <c r="R3844" s="4"/>
      <c r="S3844" s="4"/>
      <c r="T3844" s="4"/>
      <c r="U3844" s="4"/>
      <c r="V3844" s="4"/>
      <c r="W3844" s="4"/>
      <c r="X3844" s="4"/>
    </row>
    <row r="3845" spans="17:24" x14ac:dyDescent="0.3">
      <c r="Q3845" s="4"/>
      <c r="R3845" s="4"/>
      <c r="S3845" s="4"/>
      <c r="T3845" s="4"/>
      <c r="U3845" s="4"/>
      <c r="V3845" s="4"/>
      <c r="W3845" s="4"/>
      <c r="X3845" s="4"/>
    </row>
    <row r="3846" spans="17:24" x14ac:dyDescent="0.3">
      <c r="Q3846" s="4"/>
      <c r="R3846" s="4"/>
      <c r="S3846" s="4"/>
      <c r="T3846" s="4"/>
      <c r="U3846" s="4"/>
      <c r="V3846" s="4"/>
      <c r="W3846" s="4"/>
      <c r="X3846" s="4"/>
    </row>
    <row r="3847" spans="17:24" x14ac:dyDescent="0.3">
      <c r="Q3847" s="4"/>
      <c r="R3847" s="4"/>
      <c r="S3847" s="4"/>
      <c r="T3847" s="4"/>
      <c r="U3847" s="4"/>
      <c r="V3847" s="4"/>
      <c r="W3847" s="4"/>
      <c r="X3847" s="4"/>
    </row>
    <row r="3848" spans="17:24" x14ac:dyDescent="0.3">
      <c r="Q3848" s="4"/>
      <c r="R3848" s="4"/>
      <c r="S3848" s="4"/>
      <c r="T3848" s="4"/>
      <c r="U3848" s="4"/>
      <c r="V3848" s="4"/>
      <c r="W3848" s="4"/>
      <c r="X3848" s="4"/>
    </row>
    <row r="3849" spans="17:24" x14ac:dyDescent="0.3">
      <c r="Q3849" s="4"/>
      <c r="R3849" s="4"/>
      <c r="S3849" s="4"/>
      <c r="T3849" s="4"/>
      <c r="U3849" s="4"/>
      <c r="V3849" s="4"/>
      <c r="W3849" s="4"/>
      <c r="X3849" s="4"/>
    </row>
    <row r="3850" spans="17:24" x14ac:dyDescent="0.3">
      <c r="Q3850" s="4"/>
      <c r="R3850" s="4"/>
      <c r="S3850" s="4"/>
      <c r="T3850" s="4"/>
      <c r="U3850" s="4"/>
      <c r="V3850" s="4"/>
      <c r="W3850" s="4"/>
      <c r="X3850" s="4"/>
    </row>
    <row r="3851" spans="17:24" x14ac:dyDescent="0.3">
      <c r="Q3851" s="4"/>
      <c r="R3851" s="4"/>
      <c r="S3851" s="4"/>
      <c r="T3851" s="4"/>
      <c r="U3851" s="4"/>
      <c r="V3851" s="4"/>
      <c r="W3851" s="4"/>
      <c r="X3851" s="4"/>
    </row>
    <row r="3852" spans="17:24" x14ac:dyDescent="0.3">
      <c r="Q3852" s="4"/>
      <c r="R3852" s="4"/>
      <c r="S3852" s="4"/>
      <c r="T3852" s="4"/>
      <c r="U3852" s="4"/>
      <c r="V3852" s="4"/>
      <c r="W3852" s="4"/>
      <c r="X3852" s="4"/>
    </row>
    <row r="3853" spans="17:24" x14ac:dyDescent="0.3">
      <c r="Q3853" s="4"/>
      <c r="R3853" s="4"/>
      <c r="S3853" s="4"/>
      <c r="T3853" s="4"/>
      <c r="U3853" s="4"/>
      <c r="V3853" s="4"/>
      <c r="W3853" s="4"/>
      <c r="X3853" s="4"/>
    </row>
    <row r="3854" spans="17:24" x14ac:dyDescent="0.3">
      <c r="Q3854" s="4"/>
      <c r="R3854" s="4"/>
      <c r="S3854" s="4"/>
      <c r="T3854" s="4"/>
      <c r="U3854" s="4"/>
      <c r="V3854" s="4"/>
      <c r="W3854" s="4"/>
      <c r="X3854" s="4"/>
    </row>
    <row r="3855" spans="17:24" x14ac:dyDescent="0.3">
      <c r="Q3855" s="4"/>
      <c r="R3855" s="4"/>
      <c r="S3855" s="4"/>
      <c r="T3855" s="4"/>
      <c r="U3855" s="4"/>
      <c r="V3855" s="4"/>
      <c r="W3855" s="4"/>
      <c r="X3855" s="4"/>
    </row>
    <row r="3856" spans="17:24" x14ac:dyDescent="0.3">
      <c r="Q3856" s="4"/>
      <c r="R3856" s="4"/>
      <c r="S3856" s="4"/>
      <c r="T3856" s="4"/>
      <c r="U3856" s="4"/>
      <c r="V3856" s="4"/>
      <c r="W3856" s="4"/>
      <c r="X3856" s="4"/>
    </row>
    <row r="3857" spans="17:24" x14ac:dyDescent="0.3">
      <c r="Q3857" s="4"/>
      <c r="R3857" s="4"/>
      <c r="S3857" s="4"/>
      <c r="T3857" s="4"/>
      <c r="U3857" s="4"/>
      <c r="V3857" s="4"/>
      <c r="W3857" s="4"/>
      <c r="X3857" s="4"/>
    </row>
    <row r="3858" spans="17:24" x14ac:dyDescent="0.3">
      <c r="Q3858" s="4"/>
      <c r="R3858" s="4"/>
      <c r="S3858" s="4"/>
      <c r="T3858" s="4"/>
      <c r="U3858" s="4"/>
      <c r="V3858" s="4"/>
      <c r="W3858" s="4"/>
      <c r="X3858" s="4"/>
    </row>
    <row r="3859" spans="17:24" x14ac:dyDescent="0.3">
      <c r="Q3859" s="4"/>
      <c r="R3859" s="4"/>
      <c r="S3859" s="4"/>
      <c r="T3859" s="4"/>
      <c r="U3859" s="4"/>
      <c r="V3859" s="4"/>
      <c r="W3859" s="4"/>
      <c r="X3859" s="4"/>
    </row>
    <row r="3860" spans="17:24" x14ac:dyDescent="0.3">
      <c r="Q3860" s="4"/>
      <c r="R3860" s="4"/>
      <c r="S3860" s="4"/>
      <c r="T3860" s="4"/>
      <c r="U3860" s="4"/>
      <c r="V3860" s="4"/>
      <c r="W3860" s="4"/>
      <c r="X3860" s="4"/>
    </row>
    <row r="3861" spans="17:24" x14ac:dyDescent="0.3">
      <c r="Q3861" s="4"/>
      <c r="R3861" s="4"/>
      <c r="S3861" s="4"/>
      <c r="T3861" s="4"/>
      <c r="U3861" s="4"/>
      <c r="V3861" s="4"/>
      <c r="W3861" s="4"/>
      <c r="X3861" s="4"/>
    </row>
    <row r="3862" spans="17:24" x14ac:dyDescent="0.3">
      <c r="Q3862" s="4"/>
      <c r="R3862" s="4"/>
      <c r="S3862" s="4"/>
      <c r="T3862" s="4"/>
      <c r="U3862" s="4"/>
      <c r="V3862" s="4"/>
      <c r="W3862" s="4"/>
      <c r="X3862" s="4"/>
    </row>
    <row r="3863" spans="17:24" x14ac:dyDescent="0.3">
      <c r="Q3863" s="4"/>
      <c r="R3863" s="4"/>
      <c r="S3863" s="4"/>
      <c r="T3863" s="4"/>
      <c r="U3863" s="4"/>
      <c r="V3863" s="4"/>
      <c r="W3863" s="4"/>
      <c r="X3863" s="4"/>
    </row>
    <row r="3864" spans="17:24" x14ac:dyDescent="0.3">
      <c r="Q3864" s="4"/>
      <c r="R3864" s="4"/>
      <c r="S3864" s="4"/>
      <c r="T3864" s="4"/>
      <c r="U3864" s="4"/>
      <c r="V3864" s="4"/>
      <c r="W3864" s="4"/>
      <c r="X3864" s="4"/>
    </row>
    <row r="3865" spans="17:24" x14ac:dyDescent="0.3">
      <c r="Q3865" s="4"/>
      <c r="R3865" s="4"/>
      <c r="S3865" s="4"/>
      <c r="T3865" s="4"/>
      <c r="U3865" s="4"/>
      <c r="V3865" s="4"/>
      <c r="W3865" s="4"/>
      <c r="X3865" s="4"/>
    </row>
    <row r="3866" spans="17:24" x14ac:dyDescent="0.3">
      <c r="Q3866" s="4"/>
      <c r="R3866" s="4"/>
      <c r="S3866" s="4"/>
      <c r="T3866" s="4"/>
      <c r="U3866" s="4"/>
      <c r="V3866" s="4"/>
      <c r="W3866" s="4"/>
      <c r="X3866" s="4"/>
    </row>
    <row r="3867" spans="17:24" x14ac:dyDescent="0.3">
      <c r="Q3867" s="4"/>
      <c r="R3867" s="4"/>
      <c r="S3867" s="4"/>
      <c r="T3867" s="4"/>
      <c r="U3867" s="4"/>
      <c r="V3867" s="4"/>
      <c r="W3867" s="4"/>
      <c r="X3867" s="4"/>
    </row>
    <row r="3868" spans="17:24" x14ac:dyDescent="0.3">
      <c r="Q3868" s="4"/>
      <c r="R3868" s="4"/>
      <c r="S3868" s="4"/>
      <c r="T3868" s="4"/>
      <c r="U3868" s="4"/>
      <c r="V3868" s="4"/>
      <c r="W3868" s="4"/>
      <c r="X3868" s="4"/>
    </row>
    <row r="3869" spans="17:24" x14ac:dyDescent="0.3">
      <c r="Q3869" s="4"/>
      <c r="R3869" s="4"/>
      <c r="S3869" s="4"/>
      <c r="T3869" s="4"/>
      <c r="U3869" s="4"/>
      <c r="V3869" s="4"/>
      <c r="W3869" s="4"/>
      <c r="X3869" s="4"/>
    </row>
    <row r="3870" spans="17:24" x14ac:dyDescent="0.3">
      <c r="Q3870" s="4"/>
      <c r="R3870" s="4"/>
      <c r="S3870" s="4"/>
      <c r="T3870" s="4"/>
      <c r="U3870" s="4"/>
      <c r="V3870" s="4"/>
      <c r="W3870" s="4"/>
      <c r="X3870" s="4"/>
    </row>
    <row r="3871" spans="17:24" x14ac:dyDescent="0.3">
      <c r="Q3871" s="4"/>
      <c r="R3871" s="4"/>
      <c r="S3871" s="4"/>
      <c r="T3871" s="4"/>
      <c r="U3871" s="4"/>
      <c r="V3871" s="4"/>
      <c r="W3871" s="4"/>
      <c r="X3871" s="4"/>
    </row>
    <row r="3872" spans="17:24" x14ac:dyDescent="0.3">
      <c r="Q3872" s="4"/>
      <c r="R3872" s="4"/>
      <c r="S3872" s="4"/>
      <c r="T3872" s="4"/>
      <c r="U3872" s="4"/>
      <c r="V3872" s="4"/>
      <c r="W3872" s="4"/>
      <c r="X3872" s="4"/>
    </row>
    <row r="3873" spans="17:24" x14ac:dyDescent="0.3">
      <c r="Q3873" s="4"/>
      <c r="R3873" s="4"/>
      <c r="S3873" s="4"/>
      <c r="T3873" s="4"/>
      <c r="U3873" s="4"/>
      <c r="V3873" s="4"/>
      <c r="W3873" s="4"/>
      <c r="X3873" s="4"/>
    </row>
    <row r="3874" spans="17:24" x14ac:dyDescent="0.3">
      <c r="Q3874" s="4"/>
      <c r="R3874" s="4"/>
      <c r="S3874" s="4"/>
      <c r="T3874" s="4"/>
      <c r="U3874" s="4"/>
      <c r="V3874" s="4"/>
      <c r="W3874" s="4"/>
      <c r="X3874" s="4"/>
    </row>
    <row r="3875" spans="17:24" x14ac:dyDescent="0.3">
      <c r="Q3875" s="4"/>
      <c r="R3875" s="4"/>
      <c r="S3875" s="4"/>
      <c r="T3875" s="4"/>
      <c r="U3875" s="4"/>
      <c r="V3875" s="4"/>
      <c r="W3875" s="4"/>
      <c r="X3875" s="4"/>
    </row>
    <row r="3876" spans="17:24" x14ac:dyDescent="0.3">
      <c r="Q3876" s="4"/>
      <c r="R3876" s="4"/>
      <c r="S3876" s="4"/>
      <c r="T3876" s="4"/>
      <c r="U3876" s="4"/>
      <c r="V3876" s="4"/>
      <c r="W3876" s="4"/>
      <c r="X3876" s="4"/>
    </row>
    <row r="3877" spans="17:24" x14ac:dyDescent="0.3">
      <c r="Q3877" s="4"/>
      <c r="R3877" s="4"/>
      <c r="S3877" s="4"/>
      <c r="T3877" s="4"/>
      <c r="U3877" s="4"/>
      <c r="V3877" s="4"/>
      <c r="W3877" s="4"/>
      <c r="X3877" s="4"/>
    </row>
    <row r="3878" spans="17:24" x14ac:dyDescent="0.3">
      <c r="Q3878" s="4"/>
      <c r="R3878" s="4"/>
      <c r="S3878" s="4"/>
      <c r="T3878" s="4"/>
      <c r="U3878" s="4"/>
      <c r="V3878" s="4"/>
      <c r="W3878" s="4"/>
      <c r="X3878" s="4"/>
    </row>
    <row r="3879" spans="17:24" x14ac:dyDescent="0.3">
      <c r="Q3879" s="4"/>
      <c r="R3879" s="4"/>
      <c r="S3879" s="4"/>
      <c r="T3879" s="4"/>
      <c r="U3879" s="4"/>
      <c r="V3879" s="4"/>
      <c r="W3879" s="4"/>
      <c r="X3879" s="4"/>
    </row>
    <row r="3880" spans="17:24" x14ac:dyDescent="0.3">
      <c r="Q3880" s="4"/>
      <c r="R3880" s="4"/>
      <c r="S3880" s="4"/>
      <c r="T3880" s="4"/>
      <c r="U3880" s="4"/>
      <c r="V3880" s="4"/>
      <c r="W3880" s="4"/>
      <c r="X3880" s="4"/>
    </row>
    <row r="3881" spans="17:24" x14ac:dyDescent="0.3">
      <c r="Q3881" s="4"/>
      <c r="R3881" s="4"/>
      <c r="S3881" s="4"/>
      <c r="T3881" s="4"/>
      <c r="U3881" s="4"/>
      <c r="V3881" s="4"/>
      <c r="W3881" s="4"/>
      <c r="X3881" s="4"/>
    </row>
    <row r="3882" spans="17:24" x14ac:dyDescent="0.3">
      <c r="Q3882" s="4"/>
      <c r="R3882" s="4"/>
      <c r="S3882" s="4"/>
      <c r="T3882" s="4"/>
      <c r="U3882" s="4"/>
      <c r="V3882" s="4"/>
      <c r="W3882" s="4"/>
      <c r="X3882" s="4"/>
    </row>
    <row r="3883" spans="17:24" x14ac:dyDescent="0.3">
      <c r="Q3883" s="4"/>
      <c r="R3883" s="4"/>
      <c r="S3883" s="4"/>
      <c r="T3883" s="4"/>
      <c r="U3883" s="4"/>
      <c r="V3883" s="4"/>
      <c r="W3883" s="4"/>
      <c r="X3883" s="4"/>
    </row>
    <row r="3884" spans="17:24" x14ac:dyDescent="0.3">
      <c r="Q3884" s="4"/>
      <c r="R3884" s="4"/>
      <c r="S3884" s="4"/>
      <c r="T3884" s="4"/>
      <c r="U3884" s="4"/>
      <c r="V3884" s="4"/>
      <c r="W3884" s="4"/>
      <c r="X3884" s="4"/>
    </row>
    <row r="3885" spans="17:24" x14ac:dyDescent="0.3">
      <c r="Q3885" s="4"/>
      <c r="R3885" s="4"/>
      <c r="S3885" s="4"/>
      <c r="T3885" s="4"/>
      <c r="U3885" s="4"/>
      <c r="V3885" s="4"/>
      <c r="W3885" s="4"/>
      <c r="X3885" s="4"/>
    </row>
    <row r="3886" spans="17:24" x14ac:dyDescent="0.3">
      <c r="Q3886" s="4"/>
      <c r="R3886" s="4"/>
      <c r="S3886" s="4"/>
      <c r="T3886" s="4"/>
      <c r="U3886" s="4"/>
      <c r="V3886" s="4"/>
      <c r="W3886" s="4"/>
      <c r="X3886" s="4"/>
    </row>
    <row r="3887" spans="17:24" x14ac:dyDescent="0.3">
      <c r="Q3887" s="4"/>
      <c r="R3887" s="4"/>
      <c r="S3887" s="4"/>
      <c r="T3887" s="4"/>
      <c r="U3887" s="4"/>
      <c r="V3887" s="4"/>
      <c r="W3887" s="4"/>
      <c r="X3887" s="4"/>
    </row>
    <row r="3888" spans="17:24" x14ac:dyDescent="0.3">
      <c r="Q3888" s="4"/>
      <c r="R3888" s="4"/>
      <c r="S3888" s="4"/>
      <c r="T3888" s="4"/>
      <c r="U3888" s="4"/>
      <c r="V3888" s="4"/>
      <c r="W3888" s="4"/>
      <c r="X3888" s="4"/>
    </row>
    <row r="3889" spans="17:24" x14ac:dyDescent="0.3">
      <c r="Q3889" s="4"/>
      <c r="R3889" s="4"/>
      <c r="S3889" s="4"/>
      <c r="T3889" s="4"/>
      <c r="U3889" s="4"/>
      <c r="V3889" s="4"/>
      <c r="W3889" s="4"/>
      <c r="X3889" s="4"/>
    </row>
    <row r="3890" spans="17:24" x14ac:dyDescent="0.3">
      <c r="Q3890" s="4"/>
      <c r="R3890" s="4"/>
      <c r="S3890" s="4"/>
      <c r="T3890" s="4"/>
      <c r="U3890" s="4"/>
      <c r="V3890" s="4"/>
      <c r="W3890" s="4"/>
      <c r="X3890" s="4"/>
    </row>
    <row r="3891" spans="17:24" x14ac:dyDescent="0.3">
      <c r="Q3891" s="4"/>
      <c r="R3891" s="4"/>
      <c r="S3891" s="4"/>
      <c r="T3891" s="4"/>
      <c r="U3891" s="4"/>
      <c r="V3891" s="4"/>
      <c r="W3891" s="4"/>
      <c r="X3891" s="4"/>
    </row>
    <row r="3892" spans="17:24" x14ac:dyDescent="0.3">
      <c r="Q3892" s="4"/>
      <c r="R3892" s="4"/>
      <c r="S3892" s="4"/>
      <c r="T3892" s="4"/>
      <c r="U3892" s="4"/>
      <c r="V3892" s="4"/>
      <c r="W3892" s="4"/>
      <c r="X3892" s="4"/>
    </row>
    <row r="3893" spans="17:24" x14ac:dyDescent="0.3">
      <c r="Q3893" s="4"/>
      <c r="R3893" s="4"/>
      <c r="S3893" s="4"/>
      <c r="T3893" s="4"/>
      <c r="U3893" s="4"/>
      <c r="V3893" s="4"/>
      <c r="W3893" s="4"/>
      <c r="X3893" s="4"/>
    </row>
    <row r="3894" spans="17:24" x14ac:dyDescent="0.3">
      <c r="Q3894" s="4"/>
      <c r="R3894" s="4"/>
      <c r="S3894" s="4"/>
      <c r="T3894" s="4"/>
      <c r="U3894" s="4"/>
      <c r="V3894" s="4"/>
      <c r="W3894" s="4"/>
      <c r="X3894" s="4"/>
    </row>
    <row r="3895" spans="17:24" x14ac:dyDescent="0.3">
      <c r="Q3895" s="4"/>
      <c r="R3895" s="4"/>
      <c r="S3895" s="4"/>
      <c r="T3895" s="4"/>
      <c r="U3895" s="4"/>
      <c r="V3895" s="4"/>
      <c r="W3895" s="4"/>
      <c r="X3895" s="4"/>
    </row>
    <row r="3896" spans="17:24" x14ac:dyDescent="0.3">
      <c r="Q3896" s="4"/>
      <c r="R3896" s="4"/>
      <c r="S3896" s="4"/>
      <c r="T3896" s="4"/>
      <c r="U3896" s="4"/>
      <c r="V3896" s="4"/>
      <c r="W3896" s="4"/>
      <c r="X3896" s="4"/>
    </row>
    <row r="3897" spans="17:24" x14ac:dyDescent="0.3">
      <c r="Q3897" s="4"/>
      <c r="R3897" s="4"/>
      <c r="S3897" s="4"/>
      <c r="T3897" s="4"/>
      <c r="U3897" s="4"/>
      <c r="V3897" s="4"/>
      <c r="W3897" s="4"/>
      <c r="X3897" s="4"/>
    </row>
    <row r="3898" spans="17:24" x14ac:dyDescent="0.3">
      <c r="Q3898" s="4"/>
      <c r="R3898" s="4"/>
      <c r="S3898" s="4"/>
      <c r="T3898" s="4"/>
      <c r="U3898" s="4"/>
      <c r="V3898" s="4"/>
      <c r="W3898" s="4"/>
      <c r="X3898" s="4"/>
    </row>
    <row r="3899" spans="17:24" x14ac:dyDescent="0.3">
      <c r="Q3899" s="4"/>
      <c r="R3899" s="4"/>
      <c r="S3899" s="4"/>
      <c r="T3899" s="4"/>
      <c r="U3899" s="4"/>
      <c r="V3899" s="4"/>
      <c r="W3899" s="4"/>
      <c r="X3899" s="4"/>
    </row>
    <row r="3900" spans="17:24" x14ac:dyDescent="0.3">
      <c r="Q3900" s="4"/>
      <c r="R3900" s="4"/>
      <c r="S3900" s="4"/>
      <c r="T3900" s="4"/>
      <c r="U3900" s="4"/>
      <c r="V3900" s="4"/>
      <c r="W3900" s="4"/>
      <c r="X3900" s="4"/>
    </row>
    <row r="3901" spans="17:24" x14ac:dyDescent="0.3">
      <c r="Q3901" s="4"/>
      <c r="R3901" s="4"/>
      <c r="S3901" s="4"/>
      <c r="T3901" s="4"/>
      <c r="U3901" s="4"/>
      <c r="V3901" s="4"/>
      <c r="W3901" s="4"/>
      <c r="X3901" s="4"/>
    </row>
    <row r="3902" spans="17:24" x14ac:dyDescent="0.3">
      <c r="Q3902" s="4"/>
      <c r="R3902" s="4"/>
      <c r="S3902" s="4"/>
      <c r="T3902" s="4"/>
      <c r="U3902" s="4"/>
      <c r="V3902" s="4"/>
      <c r="W3902" s="4"/>
      <c r="X3902" s="4"/>
    </row>
    <row r="3903" spans="17:24" x14ac:dyDescent="0.3">
      <c r="Q3903" s="4"/>
      <c r="R3903" s="4"/>
      <c r="S3903" s="4"/>
      <c r="T3903" s="4"/>
      <c r="U3903" s="4"/>
      <c r="V3903" s="4"/>
      <c r="W3903" s="4"/>
      <c r="X3903" s="4"/>
    </row>
    <row r="3904" spans="17:24" x14ac:dyDescent="0.3">
      <c r="Q3904" s="4"/>
      <c r="R3904" s="4"/>
      <c r="S3904" s="4"/>
      <c r="T3904" s="4"/>
      <c r="U3904" s="4"/>
      <c r="V3904" s="4"/>
      <c r="W3904" s="4"/>
      <c r="X3904" s="4"/>
    </row>
    <row r="3905" spans="17:24" x14ac:dyDescent="0.3">
      <c r="Q3905" s="4"/>
      <c r="R3905" s="4"/>
      <c r="S3905" s="4"/>
      <c r="T3905" s="4"/>
      <c r="U3905" s="4"/>
      <c r="V3905" s="4"/>
      <c r="W3905" s="4"/>
      <c r="X3905" s="4"/>
    </row>
    <row r="3906" spans="17:24" x14ac:dyDescent="0.3">
      <c r="Q3906" s="4"/>
      <c r="R3906" s="4"/>
      <c r="S3906" s="4"/>
      <c r="T3906" s="4"/>
      <c r="U3906" s="4"/>
      <c r="V3906" s="4"/>
      <c r="W3906" s="4"/>
      <c r="X3906" s="4"/>
    </row>
    <row r="3907" spans="17:24" x14ac:dyDescent="0.3">
      <c r="Q3907" s="4"/>
      <c r="R3907" s="4"/>
      <c r="S3907" s="4"/>
      <c r="T3907" s="4"/>
      <c r="U3907" s="4"/>
      <c r="V3907" s="4"/>
      <c r="W3907" s="4"/>
      <c r="X3907" s="4"/>
    </row>
    <row r="3908" spans="17:24" x14ac:dyDescent="0.3">
      <c r="Q3908" s="4"/>
      <c r="R3908" s="4"/>
      <c r="S3908" s="4"/>
      <c r="T3908" s="4"/>
      <c r="U3908" s="4"/>
      <c r="V3908" s="4"/>
      <c r="W3908" s="4"/>
      <c r="X3908" s="4"/>
    </row>
    <row r="3909" spans="17:24" x14ac:dyDescent="0.3">
      <c r="Q3909" s="4"/>
      <c r="R3909" s="4"/>
      <c r="S3909" s="4"/>
      <c r="T3909" s="4"/>
      <c r="U3909" s="4"/>
      <c r="V3909" s="4"/>
      <c r="W3909" s="4"/>
      <c r="X3909" s="4"/>
    </row>
    <row r="3910" spans="17:24" x14ac:dyDescent="0.3">
      <c r="Q3910" s="4"/>
      <c r="R3910" s="4"/>
      <c r="S3910" s="4"/>
      <c r="T3910" s="4"/>
      <c r="U3910" s="4"/>
      <c r="V3910" s="4"/>
      <c r="W3910" s="4"/>
      <c r="X3910" s="4"/>
    </row>
    <row r="3911" spans="17:24" x14ac:dyDescent="0.3">
      <c r="Q3911" s="4"/>
      <c r="R3911" s="4"/>
      <c r="S3911" s="4"/>
      <c r="T3911" s="4"/>
      <c r="U3911" s="4"/>
      <c r="V3911" s="4"/>
      <c r="W3911" s="4"/>
      <c r="X3911" s="4"/>
    </row>
    <row r="3912" spans="17:24" x14ac:dyDescent="0.3">
      <c r="Q3912" s="4"/>
      <c r="R3912" s="4"/>
      <c r="S3912" s="4"/>
      <c r="T3912" s="4"/>
      <c r="U3912" s="4"/>
      <c r="V3912" s="4"/>
      <c r="W3912" s="4"/>
      <c r="X3912" s="4"/>
    </row>
    <row r="3913" spans="17:24" x14ac:dyDescent="0.3">
      <c r="Q3913" s="4"/>
      <c r="R3913" s="4"/>
      <c r="S3913" s="4"/>
      <c r="T3913" s="4"/>
      <c r="U3913" s="4"/>
      <c r="V3913" s="4"/>
      <c r="W3913" s="4"/>
      <c r="X3913" s="4"/>
    </row>
    <row r="3914" spans="17:24" x14ac:dyDescent="0.3">
      <c r="Q3914" s="4"/>
      <c r="R3914" s="4"/>
      <c r="S3914" s="4"/>
      <c r="T3914" s="4"/>
      <c r="U3914" s="4"/>
      <c r="V3914" s="4"/>
      <c r="W3914" s="4"/>
      <c r="X3914" s="4"/>
    </row>
    <row r="3915" spans="17:24" x14ac:dyDescent="0.3">
      <c r="Q3915" s="4"/>
      <c r="R3915" s="4"/>
      <c r="S3915" s="4"/>
      <c r="T3915" s="4"/>
      <c r="U3915" s="4"/>
      <c r="V3915" s="4"/>
      <c r="W3915" s="4"/>
      <c r="X3915" s="4"/>
    </row>
    <row r="3916" spans="17:24" x14ac:dyDescent="0.3">
      <c r="Q3916" s="4"/>
      <c r="R3916" s="4"/>
      <c r="S3916" s="4"/>
      <c r="T3916" s="4"/>
      <c r="U3916" s="4"/>
      <c r="V3916" s="4"/>
      <c r="W3916" s="4"/>
      <c r="X3916" s="4"/>
    </row>
    <row r="3917" spans="17:24" x14ac:dyDescent="0.3">
      <c r="Q3917" s="4"/>
      <c r="R3917" s="4"/>
      <c r="S3917" s="4"/>
      <c r="T3917" s="4"/>
      <c r="U3917" s="4"/>
      <c r="V3917" s="4"/>
      <c r="W3917" s="4"/>
      <c r="X3917" s="4"/>
    </row>
    <row r="3918" spans="17:24" x14ac:dyDescent="0.3">
      <c r="Q3918" s="4"/>
      <c r="R3918" s="4"/>
      <c r="S3918" s="4"/>
      <c r="T3918" s="4"/>
      <c r="U3918" s="4"/>
      <c r="V3918" s="4"/>
      <c r="W3918" s="4"/>
      <c r="X3918" s="4"/>
    </row>
    <row r="3919" spans="17:24" x14ac:dyDescent="0.3">
      <c r="Q3919" s="4"/>
      <c r="R3919" s="4"/>
      <c r="S3919" s="4"/>
      <c r="T3919" s="4"/>
      <c r="U3919" s="4"/>
      <c r="V3919" s="4"/>
      <c r="W3919" s="4"/>
      <c r="X3919" s="4"/>
    </row>
    <row r="3920" spans="17:24" x14ac:dyDescent="0.3">
      <c r="Q3920" s="4"/>
      <c r="R3920" s="4"/>
      <c r="S3920" s="4"/>
      <c r="T3920" s="4"/>
      <c r="U3920" s="4"/>
      <c r="V3920" s="4"/>
      <c r="W3920" s="4"/>
      <c r="X3920" s="4"/>
    </row>
    <row r="3921" spans="17:24" x14ac:dyDescent="0.3">
      <c r="Q3921" s="4"/>
      <c r="R3921" s="4"/>
      <c r="S3921" s="4"/>
      <c r="T3921" s="4"/>
      <c r="U3921" s="4"/>
      <c r="V3921" s="4"/>
      <c r="W3921" s="4"/>
      <c r="X3921" s="4"/>
    </row>
    <row r="3922" spans="17:24" x14ac:dyDescent="0.3">
      <c r="Q3922" s="4"/>
      <c r="R3922" s="4"/>
      <c r="S3922" s="4"/>
      <c r="T3922" s="4"/>
      <c r="U3922" s="4"/>
      <c r="V3922" s="4"/>
      <c r="W3922" s="4"/>
      <c r="X3922" s="4"/>
    </row>
    <row r="3923" spans="17:24" x14ac:dyDescent="0.3">
      <c r="Q3923" s="4"/>
      <c r="R3923" s="4"/>
      <c r="S3923" s="4"/>
      <c r="T3923" s="4"/>
      <c r="U3923" s="4"/>
      <c r="V3923" s="4"/>
      <c r="W3923" s="4"/>
      <c r="X3923" s="4"/>
    </row>
    <row r="3924" spans="17:24" x14ac:dyDescent="0.3">
      <c r="Q3924" s="4"/>
      <c r="R3924" s="4"/>
      <c r="S3924" s="4"/>
      <c r="T3924" s="4"/>
      <c r="U3924" s="4"/>
      <c r="V3924" s="4"/>
      <c r="W3924" s="4"/>
      <c r="X3924" s="4"/>
    </row>
    <row r="3925" spans="17:24" x14ac:dyDescent="0.3">
      <c r="Q3925" s="4"/>
      <c r="R3925" s="4"/>
      <c r="S3925" s="4"/>
      <c r="T3925" s="4"/>
      <c r="U3925" s="4"/>
      <c r="V3925" s="4"/>
      <c r="W3925" s="4"/>
      <c r="X3925" s="4"/>
    </row>
    <row r="3926" spans="17:24" x14ac:dyDescent="0.3">
      <c r="Q3926" s="4"/>
      <c r="R3926" s="4"/>
      <c r="S3926" s="4"/>
      <c r="T3926" s="4"/>
      <c r="U3926" s="4"/>
      <c r="V3926" s="4"/>
      <c r="W3926" s="4"/>
      <c r="X3926" s="4"/>
    </row>
    <row r="3927" spans="17:24" x14ac:dyDescent="0.3">
      <c r="Q3927" s="4"/>
      <c r="R3927" s="4"/>
      <c r="S3927" s="4"/>
      <c r="T3927" s="4"/>
      <c r="U3927" s="4"/>
      <c r="V3927" s="4"/>
      <c r="W3927" s="4"/>
      <c r="X3927" s="4"/>
    </row>
    <row r="3928" spans="17:24" x14ac:dyDescent="0.3">
      <c r="Q3928" s="4"/>
      <c r="R3928" s="4"/>
      <c r="S3928" s="4"/>
      <c r="T3928" s="4"/>
      <c r="U3928" s="4"/>
      <c r="V3928" s="4"/>
      <c r="W3928" s="4"/>
      <c r="X3928" s="4"/>
    </row>
    <row r="3929" spans="17:24" x14ac:dyDescent="0.3">
      <c r="Q3929" s="4"/>
      <c r="R3929" s="4"/>
      <c r="S3929" s="4"/>
      <c r="T3929" s="4"/>
      <c r="U3929" s="4"/>
      <c r="V3929" s="4"/>
      <c r="W3929" s="4"/>
      <c r="X3929" s="4"/>
    </row>
    <row r="3930" spans="17:24" x14ac:dyDescent="0.3">
      <c r="Q3930" s="4"/>
      <c r="R3930" s="4"/>
      <c r="S3930" s="4"/>
      <c r="T3930" s="4"/>
      <c r="U3930" s="4"/>
      <c r="V3930" s="4"/>
      <c r="W3930" s="4"/>
      <c r="X3930" s="4"/>
    </row>
    <row r="3931" spans="17:24" x14ac:dyDescent="0.3">
      <c r="Q3931" s="4"/>
      <c r="R3931" s="4"/>
      <c r="S3931" s="4"/>
      <c r="T3931" s="4"/>
      <c r="U3931" s="4"/>
      <c r="V3931" s="4"/>
      <c r="W3931" s="4"/>
      <c r="X3931" s="4"/>
    </row>
    <row r="3932" spans="17:24" x14ac:dyDescent="0.3">
      <c r="Q3932" s="4"/>
      <c r="R3932" s="4"/>
      <c r="S3932" s="4"/>
      <c r="T3932" s="4"/>
      <c r="U3932" s="4"/>
      <c r="V3932" s="4"/>
      <c r="W3932" s="4"/>
      <c r="X3932" s="4"/>
    </row>
    <row r="3933" spans="17:24" x14ac:dyDescent="0.3">
      <c r="Q3933" s="4"/>
      <c r="R3933" s="4"/>
      <c r="S3933" s="4"/>
      <c r="T3933" s="4"/>
      <c r="U3933" s="4"/>
      <c r="V3933" s="4"/>
      <c r="W3933" s="4"/>
      <c r="X3933" s="4"/>
    </row>
    <row r="3934" spans="17:24" x14ac:dyDescent="0.3">
      <c r="Q3934" s="4"/>
      <c r="R3934" s="4"/>
      <c r="S3934" s="4"/>
      <c r="T3934" s="4"/>
      <c r="U3934" s="4"/>
      <c r="V3934" s="4"/>
      <c r="W3934" s="4"/>
      <c r="X3934" s="4"/>
    </row>
    <row r="3935" spans="17:24" x14ac:dyDescent="0.3">
      <c r="Q3935" s="4"/>
      <c r="R3935" s="4"/>
      <c r="S3935" s="4"/>
      <c r="T3935" s="4"/>
      <c r="U3935" s="4"/>
      <c r="V3935" s="4"/>
      <c r="W3935" s="4"/>
      <c r="X3935" s="4"/>
    </row>
    <row r="3936" spans="17:24" x14ac:dyDescent="0.3">
      <c r="Q3936" s="4"/>
      <c r="R3936" s="4"/>
      <c r="S3936" s="4"/>
      <c r="T3936" s="4"/>
      <c r="U3936" s="4"/>
      <c r="V3936" s="4"/>
      <c r="W3936" s="4"/>
      <c r="X3936" s="4"/>
    </row>
    <row r="3937" spans="17:24" x14ac:dyDescent="0.3">
      <c r="Q3937" s="4"/>
      <c r="R3937" s="4"/>
      <c r="S3937" s="4"/>
      <c r="T3937" s="4"/>
      <c r="U3937" s="4"/>
      <c r="V3937" s="4"/>
      <c r="W3937" s="4"/>
      <c r="X3937" s="4"/>
    </row>
    <row r="3938" spans="17:24" x14ac:dyDescent="0.3">
      <c r="Q3938" s="4"/>
      <c r="R3938" s="4"/>
      <c r="S3938" s="4"/>
      <c r="T3938" s="4"/>
      <c r="U3938" s="4"/>
      <c r="V3938" s="4"/>
      <c r="W3938" s="4"/>
      <c r="X3938" s="4"/>
    </row>
    <row r="3939" spans="17:24" x14ac:dyDescent="0.3">
      <c r="Q3939" s="4"/>
      <c r="R3939" s="4"/>
      <c r="S3939" s="4"/>
      <c r="T3939" s="4"/>
      <c r="U3939" s="4"/>
      <c r="V3939" s="4"/>
      <c r="W3939" s="4"/>
      <c r="X3939" s="4"/>
    </row>
    <row r="3940" spans="17:24" x14ac:dyDescent="0.3">
      <c r="Q3940" s="4"/>
      <c r="R3940" s="4"/>
      <c r="S3940" s="4"/>
      <c r="T3940" s="4"/>
      <c r="U3940" s="4"/>
      <c r="V3940" s="4"/>
      <c r="W3940" s="4"/>
      <c r="X3940" s="4"/>
    </row>
    <row r="3941" spans="17:24" x14ac:dyDescent="0.3">
      <c r="Q3941" s="4"/>
      <c r="R3941" s="4"/>
      <c r="S3941" s="4"/>
      <c r="T3941" s="4"/>
      <c r="U3941" s="4"/>
      <c r="V3941" s="4"/>
      <c r="W3941" s="4"/>
      <c r="X3941" s="4"/>
    </row>
    <row r="3942" spans="17:24" x14ac:dyDescent="0.3">
      <c r="Q3942" s="4"/>
      <c r="R3942" s="4"/>
      <c r="S3942" s="4"/>
      <c r="T3942" s="4"/>
      <c r="U3942" s="4"/>
      <c r="V3942" s="4"/>
      <c r="W3942" s="4"/>
      <c r="X3942" s="4"/>
    </row>
    <row r="3943" spans="17:24" x14ac:dyDescent="0.3">
      <c r="Q3943" s="4"/>
      <c r="R3943" s="4"/>
      <c r="S3943" s="4"/>
      <c r="T3943" s="4"/>
      <c r="U3943" s="4"/>
      <c r="V3943" s="4"/>
      <c r="W3943" s="4"/>
      <c r="X3943" s="4"/>
    </row>
    <row r="3944" spans="17:24" x14ac:dyDescent="0.3">
      <c r="Q3944" s="4"/>
      <c r="R3944" s="4"/>
      <c r="S3944" s="4"/>
      <c r="T3944" s="4"/>
      <c r="U3944" s="4"/>
      <c r="V3944" s="4"/>
      <c r="W3944" s="4"/>
      <c r="X3944" s="4"/>
    </row>
    <row r="3945" spans="17:24" x14ac:dyDescent="0.3">
      <c r="Q3945" s="4"/>
      <c r="R3945" s="4"/>
      <c r="S3945" s="4"/>
      <c r="T3945" s="4"/>
      <c r="U3945" s="4"/>
      <c r="V3945" s="4"/>
      <c r="W3945" s="4"/>
      <c r="X3945" s="4"/>
    </row>
    <row r="3946" spans="17:24" x14ac:dyDescent="0.3">
      <c r="Q3946" s="4"/>
      <c r="R3946" s="4"/>
      <c r="S3946" s="4"/>
      <c r="T3946" s="4"/>
      <c r="U3946" s="4"/>
      <c r="V3946" s="4"/>
      <c r="W3946" s="4"/>
      <c r="X3946" s="4"/>
    </row>
    <row r="3947" spans="17:24" x14ac:dyDescent="0.3">
      <c r="Q3947" s="4"/>
      <c r="R3947" s="4"/>
      <c r="S3947" s="4"/>
      <c r="T3947" s="4"/>
      <c r="U3947" s="4"/>
      <c r="V3947" s="4"/>
      <c r="W3947" s="4"/>
      <c r="X3947" s="4"/>
    </row>
    <row r="3948" spans="17:24" x14ac:dyDescent="0.3">
      <c r="Q3948" s="4"/>
      <c r="R3948" s="4"/>
      <c r="S3948" s="4"/>
      <c r="T3948" s="4"/>
      <c r="U3948" s="4"/>
      <c r="V3948" s="4"/>
      <c r="W3948" s="4"/>
      <c r="X3948" s="4"/>
    </row>
    <row r="3949" spans="17:24" x14ac:dyDescent="0.3">
      <c r="Q3949" s="4"/>
      <c r="R3949" s="4"/>
      <c r="S3949" s="4"/>
      <c r="T3949" s="4"/>
      <c r="U3949" s="4"/>
      <c r="V3949" s="4"/>
      <c r="W3949" s="4"/>
      <c r="X3949" s="4"/>
    </row>
    <row r="3950" spans="17:24" x14ac:dyDescent="0.3">
      <c r="Q3950" s="4"/>
      <c r="R3950" s="4"/>
      <c r="S3950" s="4"/>
      <c r="T3950" s="4"/>
      <c r="U3950" s="4"/>
      <c r="V3950" s="4"/>
      <c r="W3950" s="4"/>
      <c r="X3950" s="4"/>
    </row>
    <row r="3951" spans="17:24" x14ac:dyDescent="0.3">
      <c r="Q3951" s="4"/>
      <c r="R3951" s="4"/>
      <c r="S3951" s="4"/>
      <c r="T3951" s="4"/>
      <c r="U3951" s="4"/>
      <c r="V3951" s="4"/>
      <c r="W3951" s="4"/>
      <c r="X3951" s="4"/>
    </row>
    <row r="3952" spans="17:24" x14ac:dyDescent="0.3">
      <c r="Q3952" s="4"/>
      <c r="R3952" s="4"/>
      <c r="S3952" s="4"/>
      <c r="T3952" s="4"/>
      <c r="U3952" s="4"/>
      <c r="V3952" s="4"/>
      <c r="W3952" s="4"/>
      <c r="X3952" s="4"/>
    </row>
    <row r="3953" spans="17:24" x14ac:dyDescent="0.3">
      <c r="Q3953" s="4"/>
      <c r="R3953" s="4"/>
      <c r="S3953" s="4"/>
      <c r="T3953" s="4"/>
      <c r="U3953" s="4"/>
      <c r="V3953" s="4"/>
      <c r="W3953" s="4"/>
      <c r="X3953" s="4"/>
    </row>
    <row r="3954" spans="17:24" x14ac:dyDescent="0.3">
      <c r="Q3954" s="4"/>
      <c r="R3954" s="4"/>
      <c r="S3954" s="4"/>
      <c r="T3954" s="4"/>
      <c r="U3954" s="4"/>
      <c r="V3954" s="4"/>
      <c r="W3954" s="4"/>
      <c r="X3954" s="4"/>
    </row>
    <row r="3955" spans="17:24" x14ac:dyDescent="0.3">
      <c r="Q3955" s="4"/>
      <c r="R3955" s="4"/>
      <c r="S3955" s="4"/>
      <c r="T3955" s="4"/>
      <c r="U3955" s="4"/>
      <c r="V3955" s="4"/>
      <c r="W3955" s="4"/>
      <c r="X3955" s="4"/>
    </row>
    <row r="3956" spans="17:24" x14ac:dyDescent="0.3">
      <c r="Q3956" s="4"/>
      <c r="R3956" s="4"/>
      <c r="S3956" s="4"/>
      <c r="T3956" s="4"/>
      <c r="U3956" s="4"/>
      <c r="V3956" s="4"/>
      <c r="W3956" s="4"/>
      <c r="X3956" s="4"/>
    </row>
    <row r="3957" spans="17:24" x14ac:dyDescent="0.3">
      <c r="Q3957" s="4"/>
      <c r="R3957" s="4"/>
      <c r="S3957" s="4"/>
      <c r="T3957" s="4"/>
      <c r="U3957" s="4"/>
      <c r="V3957" s="4"/>
      <c r="W3957" s="4"/>
      <c r="X3957" s="4"/>
    </row>
    <row r="3958" spans="17:24" x14ac:dyDescent="0.3">
      <c r="Q3958" s="4"/>
      <c r="R3958" s="4"/>
      <c r="S3958" s="4"/>
      <c r="T3958" s="4"/>
      <c r="U3958" s="4"/>
      <c r="V3958" s="4"/>
      <c r="W3958" s="4"/>
      <c r="X3958" s="4"/>
    </row>
    <row r="3959" spans="17:24" x14ac:dyDescent="0.3">
      <c r="Q3959" s="4"/>
      <c r="R3959" s="4"/>
      <c r="S3959" s="4"/>
      <c r="T3959" s="4"/>
      <c r="U3959" s="4"/>
      <c r="V3959" s="4"/>
      <c r="W3959" s="4"/>
      <c r="X3959" s="4"/>
    </row>
    <row r="3960" spans="17:24" x14ac:dyDescent="0.3">
      <c r="Q3960" s="4"/>
      <c r="R3960" s="4"/>
      <c r="S3960" s="4"/>
      <c r="T3960" s="4"/>
      <c r="U3960" s="4"/>
      <c r="V3960" s="4"/>
      <c r="W3960" s="4"/>
      <c r="X3960" s="4"/>
    </row>
    <row r="3961" spans="17:24" x14ac:dyDescent="0.3">
      <c r="Q3961" s="4"/>
      <c r="R3961" s="4"/>
      <c r="S3961" s="4"/>
      <c r="T3961" s="4"/>
      <c r="U3961" s="4"/>
      <c r="V3961" s="4"/>
      <c r="W3961" s="4"/>
      <c r="X3961" s="4"/>
    </row>
    <row r="3962" spans="17:24" x14ac:dyDescent="0.3">
      <c r="Q3962" s="4"/>
      <c r="R3962" s="4"/>
      <c r="S3962" s="4"/>
      <c r="T3962" s="4"/>
      <c r="U3962" s="4"/>
      <c r="V3962" s="4"/>
      <c r="W3962" s="4"/>
      <c r="X3962" s="4"/>
    </row>
    <row r="3963" spans="17:24" x14ac:dyDescent="0.3">
      <c r="Q3963" s="4"/>
      <c r="R3963" s="4"/>
      <c r="S3963" s="4"/>
      <c r="T3963" s="4"/>
      <c r="U3963" s="4"/>
      <c r="V3963" s="4"/>
      <c r="W3963" s="4"/>
      <c r="X3963" s="4"/>
    </row>
    <row r="3964" spans="17:24" x14ac:dyDescent="0.3">
      <c r="Q3964" s="4"/>
      <c r="R3964" s="4"/>
      <c r="S3964" s="4"/>
      <c r="T3964" s="4"/>
      <c r="U3964" s="4"/>
      <c r="V3964" s="4"/>
      <c r="W3964" s="4"/>
      <c r="X3964" s="4"/>
    </row>
    <row r="3965" spans="17:24" x14ac:dyDescent="0.3">
      <c r="Q3965" s="4"/>
      <c r="R3965" s="4"/>
      <c r="S3965" s="4"/>
      <c r="T3965" s="4"/>
      <c r="U3965" s="4"/>
      <c r="V3965" s="4"/>
      <c r="W3965" s="4"/>
      <c r="X3965" s="4"/>
    </row>
    <row r="3966" spans="17:24" x14ac:dyDescent="0.3">
      <c r="Q3966" s="4"/>
      <c r="R3966" s="4"/>
      <c r="S3966" s="4"/>
      <c r="T3966" s="4"/>
      <c r="U3966" s="4"/>
      <c r="V3966" s="4"/>
      <c r="W3966" s="4"/>
      <c r="X3966" s="4"/>
    </row>
    <row r="3967" spans="17:24" x14ac:dyDescent="0.3">
      <c r="Q3967" s="4"/>
      <c r="R3967" s="4"/>
      <c r="S3967" s="4"/>
      <c r="T3967" s="4"/>
      <c r="U3967" s="4"/>
      <c r="V3967" s="4"/>
      <c r="W3967" s="4"/>
      <c r="X3967" s="4"/>
    </row>
    <row r="3968" spans="17:24" x14ac:dyDescent="0.3">
      <c r="Q3968" s="4"/>
      <c r="R3968" s="4"/>
      <c r="S3968" s="4"/>
      <c r="T3968" s="4"/>
      <c r="U3968" s="4"/>
      <c r="V3968" s="4"/>
      <c r="W3968" s="4"/>
      <c r="X3968" s="4"/>
    </row>
    <row r="3969" spans="17:24" x14ac:dyDescent="0.3">
      <c r="Q3969" s="4"/>
      <c r="R3969" s="4"/>
      <c r="S3969" s="4"/>
      <c r="T3969" s="4"/>
      <c r="U3969" s="4"/>
      <c r="V3969" s="4"/>
      <c r="W3969" s="4"/>
      <c r="X3969" s="4"/>
    </row>
    <row r="3970" spans="17:24" x14ac:dyDescent="0.3">
      <c r="Q3970" s="4"/>
      <c r="R3970" s="4"/>
      <c r="S3970" s="4"/>
      <c r="T3970" s="4"/>
      <c r="U3970" s="4"/>
      <c r="V3970" s="4"/>
      <c r="W3970" s="4"/>
      <c r="X3970" s="4"/>
    </row>
    <row r="3971" spans="17:24" x14ac:dyDescent="0.3">
      <c r="Q3971" s="4"/>
      <c r="R3971" s="4"/>
      <c r="S3971" s="4"/>
      <c r="T3971" s="4"/>
      <c r="U3971" s="4"/>
      <c r="V3971" s="4"/>
      <c r="W3971" s="4"/>
      <c r="X3971" s="4"/>
    </row>
    <row r="3972" spans="17:24" x14ac:dyDescent="0.3">
      <c r="Q3972" s="4"/>
      <c r="R3972" s="4"/>
      <c r="S3972" s="4"/>
      <c r="T3972" s="4"/>
      <c r="U3972" s="4"/>
      <c r="V3972" s="4"/>
      <c r="W3972" s="4"/>
      <c r="X3972" s="4"/>
    </row>
    <row r="3973" spans="17:24" x14ac:dyDescent="0.3">
      <c r="Q3973" s="4"/>
      <c r="R3973" s="4"/>
      <c r="S3973" s="4"/>
      <c r="T3973" s="4"/>
      <c r="U3973" s="4"/>
      <c r="V3973" s="4"/>
      <c r="W3973" s="4"/>
      <c r="X3973" s="4"/>
    </row>
    <row r="3974" spans="17:24" x14ac:dyDescent="0.3">
      <c r="Q3974" s="4"/>
      <c r="R3974" s="4"/>
      <c r="S3974" s="4"/>
      <c r="T3974" s="4"/>
      <c r="U3974" s="4"/>
      <c r="V3974" s="4"/>
      <c r="W3974" s="4"/>
      <c r="X3974" s="4"/>
    </row>
    <row r="3975" spans="17:24" x14ac:dyDescent="0.3">
      <c r="Q3975" s="4"/>
      <c r="R3975" s="4"/>
      <c r="S3975" s="4"/>
      <c r="T3975" s="4"/>
      <c r="U3975" s="4"/>
      <c r="V3975" s="4"/>
      <c r="W3975" s="4"/>
      <c r="X3975" s="4"/>
    </row>
    <row r="3976" spans="17:24" x14ac:dyDescent="0.3">
      <c r="Q3976" s="4"/>
      <c r="R3976" s="4"/>
      <c r="S3976" s="4"/>
      <c r="T3976" s="4"/>
      <c r="U3976" s="4"/>
      <c r="V3976" s="4"/>
      <c r="W3976" s="4"/>
      <c r="X3976" s="4"/>
    </row>
    <row r="3977" spans="17:24" x14ac:dyDescent="0.3">
      <c r="Q3977" s="4"/>
      <c r="R3977" s="4"/>
      <c r="S3977" s="4"/>
      <c r="T3977" s="4"/>
      <c r="U3977" s="4"/>
      <c r="V3977" s="4"/>
      <c r="W3977" s="4"/>
      <c r="X3977" s="4"/>
    </row>
    <row r="3978" spans="17:24" x14ac:dyDescent="0.3">
      <c r="Q3978" s="4"/>
      <c r="R3978" s="4"/>
      <c r="S3978" s="4"/>
      <c r="T3978" s="4"/>
      <c r="U3978" s="4"/>
      <c r="V3978" s="4"/>
      <c r="W3978" s="4"/>
      <c r="X3978" s="4"/>
    </row>
    <row r="3979" spans="17:24" x14ac:dyDescent="0.3">
      <c r="Q3979" s="4"/>
      <c r="R3979" s="4"/>
      <c r="S3979" s="4"/>
      <c r="T3979" s="4"/>
      <c r="U3979" s="4"/>
      <c r="V3979" s="4"/>
      <c r="W3979" s="4"/>
      <c r="X3979" s="4"/>
    </row>
    <row r="3980" spans="17:24" x14ac:dyDescent="0.3">
      <c r="Q3980" s="4"/>
      <c r="R3980" s="4"/>
      <c r="S3980" s="4"/>
      <c r="T3980" s="4"/>
      <c r="U3980" s="4"/>
      <c r="V3980" s="4"/>
      <c r="W3980" s="4"/>
      <c r="X3980" s="4"/>
    </row>
    <row r="3981" spans="17:24" x14ac:dyDescent="0.3">
      <c r="Q3981" s="4"/>
      <c r="R3981" s="4"/>
      <c r="S3981" s="4"/>
      <c r="T3981" s="4"/>
      <c r="U3981" s="4"/>
      <c r="V3981" s="4"/>
      <c r="W3981" s="4"/>
      <c r="X3981" s="4"/>
    </row>
    <row r="3982" spans="17:24" x14ac:dyDescent="0.3">
      <c r="Q3982" s="4"/>
      <c r="R3982" s="4"/>
      <c r="S3982" s="4"/>
      <c r="T3982" s="4"/>
      <c r="U3982" s="4"/>
      <c r="V3982" s="4"/>
      <c r="W3982" s="4"/>
      <c r="X3982" s="4"/>
    </row>
    <row r="3983" spans="17:24" x14ac:dyDescent="0.3">
      <c r="Q3983" s="4"/>
      <c r="R3983" s="4"/>
      <c r="S3983" s="4"/>
      <c r="T3983" s="4"/>
      <c r="U3983" s="4"/>
      <c r="V3983" s="4"/>
      <c r="W3983" s="4"/>
      <c r="X3983" s="4"/>
    </row>
    <row r="3984" spans="17:24" x14ac:dyDescent="0.3">
      <c r="Q3984" s="4"/>
      <c r="R3984" s="4"/>
      <c r="S3984" s="4"/>
      <c r="T3984" s="4"/>
      <c r="U3984" s="4"/>
      <c r="V3984" s="4"/>
      <c r="W3984" s="4"/>
      <c r="X3984" s="4"/>
    </row>
    <row r="3985" spans="17:24" x14ac:dyDescent="0.3">
      <c r="Q3985" s="4"/>
      <c r="R3985" s="4"/>
      <c r="S3985" s="4"/>
      <c r="T3985" s="4"/>
      <c r="U3985" s="4"/>
      <c r="V3985" s="4"/>
      <c r="W3985" s="4"/>
      <c r="X3985" s="4"/>
    </row>
    <row r="3986" spans="17:24" x14ac:dyDescent="0.3">
      <c r="Q3986" s="4"/>
      <c r="R3986" s="4"/>
      <c r="S3986" s="4"/>
      <c r="T3986" s="4"/>
      <c r="U3986" s="4"/>
      <c r="V3986" s="4"/>
      <c r="W3986" s="4"/>
      <c r="X3986" s="4"/>
    </row>
    <row r="3987" spans="17:24" x14ac:dyDescent="0.3">
      <c r="Q3987" s="4"/>
      <c r="R3987" s="4"/>
      <c r="S3987" s="4"/>
      <c r="T3987" s="4"/>
      <c r="U3987" s="4"/>
      <c r="V3987" s="4"/>
      <c r="W3987" s="4"/>
      <c r="X3987" s="4"/>
    </row>
    <row r="3988" spans="17:24" x14ac:dyDescent="0.3">
      <c r="Q3988" s="4"/>
      <c r="R3988" s="4"/>
      <c r="S3988" s="4"/>
      <c r="T3988" s="4"/>
      <c r="U3988" s="4"/>
      <c r="V3988" s="4"/>
      <c r="W3988" s="4"/>
      <c r="X3988" s="4"/>
    </row>
    <row r="3989" spans="17:24" x14ac:dyDescent="0.3">
      <c r="Q3989" s="4"/>
      <c r="R3989" s="4"/>
      <c r="S3989" s="4"/>
      <c r="T3989" s="4"/>
      <c r="U3989" s="4"/>
      <c r="V3989" s="4"/>
      <c r="W3989" s="4"/>
      <c r="X3989" s="4"/>
    </row>
    <row r="3990" spans="17:24" x14ac:dyDescent="0.3">
      <c r="Q3990" s="4"/>
      <c r="R3990" s="4"/>
      <c r="S3990" s="4"/>
      <c r="T3990" s="4"/>
      <c r="U3990" s="4"/>
      <c r="V3990" s="4"/>
      <c r="W3990" s="4"/>
      <c r="X3990" s="4"/>
    </row>
    <row r="3991" spans="17:24" x14ac:dyDescent="0.3">
      <c r="Q3991" s="4"/>
      <c r="R3991" s="4"/>
      <c r="S3991" s="4"/>
      <c r="T3991" s="4"/>
      <c r="U3991" s="4"/>
      <c r="V3991" s="4"/>
      <c r="W3991" s="4"/>
      <c r="X3991" s="4"/>
    </row>
    <row r="3992" spans="17:24" x14ac:dyDescent="0.3">
      <c r="Q3992" s="4"/>
      <c r="R3992" s="4"/>
      <c r="S3992" s="4"/>
      <c r="T3992" s="4"/>
      <c r="U3992" s="4"/>
      <c r="V3992" s="4"/>
      <c r="W3992" s="4"/>
      <c r="X3992" s="4"/>
    </row>
    <row r="3993" spans="17:24" x14ac:dyDescent="0.3">
      <c r="Q3993" s="4"/>
      <c r="R3993" s="4"/>
      <c r="S3993" s="4"/>
      <c r="T3993" s="4"/>
      <c r="U3993" s="4"/>
      <c r="V3993" s="4"/>
      <c r="W3993" s="4"/>
      <c r="X3993" s="4"/>
    </row>
    <row r="3994" spans="17:24" x14ac:dyDescent="0.3">
      <c r="Q3994" s="4"/>
      <c r="R3994" s="4"/>
      <c r="S3994" s="4"/>
      <c r="T3994" s="4"/>
      <c r="U3994" s="4"/>
      <c r="V3994" s="4"/>
      <c r="W3994" s="4"/>
      <c r="X3994" s="4"/>
    </row>
    <row r="3995" spans="17:24" x14ac:dyDescent="0.3">
      <c r="Q3995" s="4"/>
      <c r="R3995" s="4"/>
      <c r="S3995" s="4"/>
      <c r="T3995" s="4"/>
      <c r="U3995" s="4"/>
      <c r="V3995" s="4"/>
      <c r="W3995" s="4"/>
      <c r="X3995" s="4"/>
    </row>
    <row r="3996" spans="17:24" x14ac:dyDescent="0.3">
      <c r="Q3996" s="4"/>
      <c r="R3996" s="4"/>
      <c r="S3996" s="4"/>
      <c r="T3996" s="4"/>
      <c r="U3996" s="4"/>
      <c r="V3996" s="4"/>
      <c r="W3996" s="4"/>
      <c r="X3996" s="4"/>
    </row>
    <row r="3997" spans="17:24" x14ac:dyDescent="0.3">
      <c r="Q3997" s="4"/>
      <c r="R3997" s="4"/>
      <c r="S3997" s="4"/>
      <c r="T3997" s="4"/>
      <c r="U3997" s="4"/>
      <c r="V3997" s="4"/>
      <c r="W3997" s="4"/>
      <c r="X3997" s="4"/>
    </row>
    <row r="3998" spans="17:24" x14ac:dyDescent="0.3">
      <c r="Q3998" s="4"/>
      <c r="R3998" s="4"/>
      <c r="S3998" s="4"/>
      <c r="T3998" s="4"/>
      <c r="U3998" s="4"/>
      <c r="V3998" s="4"/>
      <c r="W3998" s="4"/>
      <c r="X3998" s="4"/>
    </row>
    <row r="3999" spans="17:24" x14ac:dyDescent="0.3">
      <c r="Q3999" s="4"/>
      <c r="R3999" s="4"/>
      <c r="S3999" s="4"/>
      <c r="T3999" s="4"/>
      <c r="U3999" s="4"/>
      <c r="V3999" s="4"/>
      <c r="W3999" s="4"/>
      <c r="X3999" s="4"/>
    </row>
    <row r="4000" spans="17:24" x14ac:dyDescent="0.3">
      <c r="Q4000" s="4"/>
      <c r="R4000" s="4"/>
      <c r="S4000" s="4"/>
      <c r="T4000" s="4"/>
      <c r="U4000" s="4"/>
      <c r="V4000" s="4"/>
      <c r="W4000" s="4"/>
      <c r="X4000" s="4"/>
    </row>
    <row r="4001" spans="17:24" x14ac:dyDescent="0.3">
      <c r="Q4001" s="4"/>
      <c r="R4001" s="4"/>
      <c r="S4001" s="4"/>
      <c r="T4001" s="4"/>
      <c r="U4001" s="4"/>
      <c r="V4001" s="4"/>
      <c r="W4001" s="4"/>
      <c r="X4001" s="4"/>
    </row>
    <row r="4002" spans="17:24" x14ac:dyDescent="0.3">
      <c r="Q4002" s="4"/>
      <c r="R4002" s="4"/>
      <c r="S4002" s="4"/>
      <c r="T4002" s="4"/>
      <c r="U4002" s="4"/>
      <c r="V4002" s="4"/>
      <c r="W4002" s="4"/>
      <c r="X4002" s="4"/>
    </row>
    <row r="4003" spans="17:24" x14ac:dyDescent="0.3">
      <c r="Q4003" s="4"/>
      <c r="R4003" s="4"/>
      <c r="S4003" s="4"/>
      <c r="T4003" s="4"/>
      <c r="U4003" s="4"/>
      <c r="V4003" s="4"/>
      <c r="W4003" s="4"/>
      <c r="X4003" s="4"/>
    </row>
    <row r="4004" spans="17:24" x14ac:dyDescent="0.3">
      <c r="Q4004" s="4"/>
      <c r="R4004" s="4"/>
      <c r="S4004" s="4"/>
      <c r="T4004" s="4"/>
      <c r="U4004" s="4"/>
      <c r="V4004" s="4"/>
      <c r="W4004" s="4"/>
      <c r="X4004" s="4"/>
    </row>
    <row r="4005" spans="17:24" x14ac:dyDescent="0.3">
      <c r="Q4005" s="4"/>
      <c r="R4005" s="4"/>
      <c r="S4005" s="4"/>
      <c r="T4005" s="4"/>
      <c r="U4005" s="4"/>
      <c r="V4005" s="4"/>
      <c r="W4005" s="4"/>
      <c r="X4005" s="4"/>
    </row>
    <row r="4006" spans="17:24" x14ac:dyDescent="0.3">
      <c r="Q4006" s="4"/>
      <c r="R4006" s="4"/>
      <c r="S4006" s="4"/>
      <c r="T4006" s="4"/>
      <c r="U4006" s="4"/>
      <c r="V4006" s="4"/>
      <c r="W4006" s="4"/>
      <c r="X4006" s="4"/>
    </row>
    <row r="4007" spans="17:24" x14ac:dyDescent="0.3">
      <c r="Q4007" s="4"/>
      <c r="R4007" s="4"/>
      <c r="S4007" s="4"/>
      <c r="T4007" s="4"/>
      <c r="U4007" s="4"/>
      <c r="V4007" s="4"/>
      <c r="W4007" s="4"/>
      <c r="X4007" s="4"/>
    </row>
    <row r="4008" spans="17:24" x14ac:dyDescent="0.3">
      <c r="Q4008" s="4"/>
      <c r="R4008" s="4"/>
      <c r="S4008" s="4"/>
      <c r="T4008" s="4"/>
      <c r="U4008" s="4"/>
      <c r="V4008" s="4"/>
      <c r="W4008" s="4"/>
      <c r="X4008" s="4"/>
    </row>
    <row r="4009" spans="17:24" x14ac:dyDescent="0.3">
      <c r="Q4009" s="4"/>
      <c r="R4009" s="4"/>
      <c r="S4009" s="4"/>
      <c r="T4009" s="4"/>
      <c r="U4009" s="4"/>
      <c r="V4009" s="4"/>
      <c r="W4009" s="4"/>
      <c r="X4009" s="4"/>
    </row>
    <row r="4010" spans="17:24" x14ac:dyDescent="0.3">
      <c r="Q4010" s="4"/>
      <c r="R4010" s="4"/>
      <c r="S4010" s="4"/>
      <c r="T4010" s="4"/>
      <c r="U4010" s="4"/>
      <c r="V4010" s="4"/>
      <c r="W4010" s="4"/>
      <c r="X4010" s="4"/>
    </row>
    <row r="4011" spans="17:24" x14ac:dyDescent="0.3">
      <c r="Q4011" s="4"/>
      <c r="R4011" s="4"/>
      <c r="S4011" s="4"/>
      <c r="T4011" s="4"/>
      <c r="U4011" s="4"/>
      <c r="V4011" s="4"/>
      <c r="W4011" s="4"/>
      <c r="X4011" s="4"/>
    </row>
    <row r="4012" spans="17:24" x14ac:dyDescent="0.3">
      <c r="Q4012" s="4"/>
      <c r="R4012" s="4"/>
      <c r="S4012" s="4"/>
      <c r="T4012" s="4"/>
      <c r="U4012" s="4"/>
      <c r="V4012" s="4"/>
      <c r="W4012" s="4"/>
      <c r="X4012" s="4"/>
    </row>
    <row r="4013" spans="17:24" x14ac:dyDescent="0.3">
      <c r="Q4013" s="4"/>
      <c r="R4013" s="4"/>
      <c r="S4013" s="4"/>
      <c r="T4013" s="4"/>
      <c r="U4013" s="4"/>
      <c r="V4013" s="4"/>
      <c r="W4013" s="4"/>
      <c r="X4013" s="4"/>
    </row>
    <row r="4014" spans="17:24" x14ac:dyDescent="0.3">
      <c r="Q4014" s="4"/>
      <c r="R4014" s="4"/>
      <c r="S4014" s="4"/>
      <c r="T4014" s="4"/>
      <c r="U4014" s="4"/>
      <c r="V4014" s="4"/>
      <c r="W4014" s="4"/>
      <c r="X4014" s="4"/>
    </row>
    <row r="4015" spans="17:24" x14ac:dyDescent="0.3">
      <c r="Q4015" s="4"/>
      <c r="R4015" s="4"/>
      <c r="S4015" s="4"/>
      <c r="T4015" s="4"/>
      <c r="U4015" s="4"/>
      <c r="V4015" s="4"/>
      <c r="W4015" s="4"/>
      <c r="X4015" s="4"/>
    </row>
    <row r="4016" spans="17:24" x14ac:dyDescent="0.3">
      <c r="Q4016" s="4"/>
      <c r="R4016" s="4"/>
      <c r="S4016" s="4"/>
      <c r="T4016" s="4"/>
      <c r="U4016" s="4"/>
      <c r="V4016" s="4"/>
      <c r="W4016" s="4"/>
      <c r="X4016" s="4"/>
    </row>
    <row r="4017" spans="17:24" x14ac:dyDescent="0.3">
      <c r="Q4017" s="4"/>
      <c r="R4017" s="4"/>
      <c r="S4017" s="4"/>
      <c r="T4017" s="4"/>
      <c r="U4017" s="4"/>
      <c r="V4017" s="4"/>
      <c r="W4017" s="4"/>
      <c r="X4017" s="4"/>
    </row>
    <row r="4018" spans="17:24" x14ac:dyDescent="0.3">
      <c r="Q4018" s="4"/>
      <c r="R4018" s="4"/>
      <c r="S4018" s="4"/>
      <c r="T4018" s="4"/>
      <c r="U4018" s="4"/>
      <c r="V4018" s="4"/>
      <c r="W4018" s="4"/>
      <c r="X4018" s="4"/>
    </row>
    <row r="4019" spans="17:24" x14ac:dyDescent="0.3">
      <c r="Q4019" s="4"/>
      <c r="R4019" s="4"/>
      <c r="S4019" s="4"/>
      <c r="T4019" s="4"/>
      <c r="U4019" s="4"/>
      <c r="V4019" s="4"/>
      <c r="W4019" s="4"/>
      <c r="X4019" s="4"/>
    </row>
    <row r="4020" spans="17:24" x14ac:dyDescent="0.3">
      <c r="Q4020" s="4"/>
      <c r="R4020" s="4"/>
      <c r="S4020" s="4"/>
      <c r="T4020" s="4"/>
      <c r="U4020" s="4"/>
      <c r="V4020" s="4"/>
      <c r="W4020" s="4"/>
      <c r="X4020" s="4"/>
    </row>
    <row r="4021" spans="17:24" x14ac:dyDescent="0.3">
      <c r="Q4021" s="4"/>
      <c r="R4021" s="4"/>
      <c r="S4021" s="4"/>
      <c r="T4021" s="4"/>
      <c r="U4021" s="4"/>
      <c r="V4021" s="4"/>
      <c r="W4021" s="4"/>
      <c r="X4021" s="4"/>
    </row>
    <row r="4022" spans="17:24" x14ac:dyDescent="0.3">
      <c r="Q4022" s="4"/>
      <c r="R4022" s="4"/>
      <c r="S4022" s="4"/>
      <c r="T4022" s="4"/>
      <c r="U4022" s="4"/>
      <c r="V4022" s="4"/>
      <c r="W4022" s="4"/>
      <c r="X4022" s="4"/>
    </row>
    <row r="4023" spans="17:24" x14ac:dyDescent="0.3">
      <c r="Q4023" s="4"/>
      <c r="R4023" s="4"/>
      <c r="S4023" s="4"/>
      <c r="T4023" s="4"/>
      <c r="U4023" s="4"/>
      <c r="V4023" s="4"/>
      <c r="W4023" s="4"/>
      <c r="X4023" s="4"/>
    </row>
    <row r="4024" spans="17:24" x14ac:dyDescent="0.3">
      <c r="Q4024" s="4"/>
      <c r="R4024" s="4"/>
      <c r="S4024" s="4"/>
      <c r="T4024" s="4"/>
      <c r="U4024" s="4"/>
      <c r="V4024" s="4"/>
      <c r="W4024" s="4"/>
      <c r="X4024" s="4"/>
    </row>
    <row r="4025" spans="17:24" x14ac:dyDescent="0.3">
      <c r="Q4025" s="4"/>
      <c r="R4025" s="4"/>
      <c r="S4025" s="4"/>
      <c r="T4025" s="4"/>
      <c r="U4025" s="4"/>
      <c r="V4025" s="4"/>
      <c r="W4025" s="4"/>
      <c r="X4025" s="4"/>
    </row>
    <row r="4026" spans="17:24" x14ac:dyDescent="0.3">
      <c r="Q4026" s="4"/>
      <c r="R4026" s="4"/>
      <c r="S4026" s="4"/>
      <c r="T4026" s="4"/>
      <c r="U4026" s="4"/>
      <c r="V4026" s="4"/>
      <c r="W4026" s="4"/>
      <c r="X4026" s="4"/>
    </row>
    <row r="4027" spans="17:24" x14ac:dyDescent="0.3">
      <c r="Q4027" s="4"/>
      <c r="R4027" s="4"/>
      <c r="S4027" s="4"/>
      <c r="T4027" s="4"/>
      <c r="U4027" s="4"/>
      <c r="V4027" s="4"/>
      <c r="W4027" s="4"/>
      <c r="X4027" s="4"/>
    </row>
    <row r="4028" spans="17:24" x14ac:dyDescent="0.3">
      <c r="Q4028" s="4"/>
      <c r="R4028" s="4"/>
      <c r="S4028" s="4"/>
      <c r="T4028" s="4"/>
      <c r="U4028" s="4"/>
      <c r="V4028" s="4"/>
      <c r="W4028" s="4"/>
      <c r="X4028" s="4"/>
    </row>
    <row r="4029" spans="17:24" x14ac:dyDescent="0.3">
      <c r="Q4029" s="4"/>
      <c r="R4029" s="4"/>
      <c r="S4029" s="4"/>
      <c r="T4029" s="4"/>
      <c r="U4029" s="4"/>
      <c r="V4029" s="4"/>
      <c r="W4029" s="4"/>
      <c r="X4029" s="4"/>
    </row>
    <row r="4030" spans="17:24" x14ac:dyDescent="0.3">
      <c r="Q4030" s="4"/>
      <c r="R4030" s="4"/>
      <c r="S4030" s="4"/>
      <c r="T4030" s="4"/>
      <c r="U4030" s="4"/>
      <c r="V4030" s="4"/>
      <c r="W4030" s="4"/>
      <c r="X4030" s="4"/>
    </row>
    <row r="4031" spans="17:24" x14ac:dyDescent="0.3">
      <c r="Q4031" s="4"/>
      <c r="R4031" s="4"/>
      <c r="S4031" s="4"/>
      <c r="T4031" s="4"/>
      <c r="U4031" s="4"/>
      <c r="V4031" s="4"/>
      <c r="W4031" s="4"/>
      <c r="X4031" s="4"/>
    </row>
    <row r="4032" spans="17:24" x14ac:dyDescent="0.3">
      <c r="Q4032" s="4"/>
      <c r="R4032" s="4"/>
      <c r="S4032" s="4"/>
      <c r="T4032" s="4"/>
      <c r="U4032" s="4"/>
      <c r="V4032" s="4"/>
      <c r="W4032" s="4"/>
      <c r="X4032" s="4"/>
    </row>
    <row r="4033" spans="17:24" x14ac:dyDescent="0.3">
      <c r="Q4033" s="4"/>
      <c r="R4033" s="4"/>
      <c r="S4033" s="4"/>
      <c r="T4033" s="4"/>
      <c r="U4033" s="4"/>
      <c r="V4033" s="4"/>
      <c r="W4033" s="4"/>
      <c r="X4033" s="4"/>
    </row>
    <row r="4034" spans="17:24" x14ac:dyDescent="0.3">
      <c r="Q4034" s="4"/>
      <c r="R4034" s="4"/>
      <c r="S4034" s="4"/>
      <c r="T4034" s="4"/>
      <c r="U4034" s="4"/>
      <c r="V4034" s="4"/>
      <c r="W4034" s="4"/>
      <c r="X4034" s="4"/>
    </row>
    <row r="4035" spans="17:24" x14ac:dyDescent="0.3">
      <c r="Q4035" s="4"/>
      <c r="R4035" s="4"/>
      <c r="S4035" s="4"/>
      <c r="T4035" s="4"/>
      <c r="U4035" s="4"/>
      <c r="V4035" s="4"/>
      <c r="W4035" s="4"/>
      <c r="X4035" s="4"/>
    </row>
    <row r="4036" spans="17:24" x14ac:dyDescent="0.3">
      <c r="Q4036" s="4"/>
      <c r="R4036" s="4"/>
      <c r="S4036" s="4"/>
      <c r="T4036" s="4"/>
      <c r="U4036" s="4"/>
      <c r="V4036" s="4"/>
      <c r="W4036" s="4"/>
      <c r="X4036" s="4"/>
    </row>
    <row r="4037" spans="17:24" x14ac:dyDescent="0.3">
      <c r="Q4037" s="4"/>
      <c r="R4037" s="4"/>
      <c r="S4037" s="4"/>
      <c r="T4037" s="4"/>
      <c r="U4037" s="4"/>
      <c r="V4037" s="4"/>
      <c r="W4037" s="4"/>
      <c r="X4037" s="4"/>
    </row>
    <row r="4038" spans="17:24" x14ac:dyDescent="0.3">
      <c r="Q4038" s="4"/>
      <c r="R4038" s="4"/>
      <c r="S4038" s="4"/>
      <c r="T4038" s="4"/>
      <c r="U4038" s="4"/>
      <c r="V4038" s="4"/>
      <c r="W4038" s="4"/>
      <c r="X4038" s="4"/>
    </row>
    <row r="4039" spans="17:24" x14ac:dyDescent="0.3">
      <c r="Q4039" s="4"/>
      <c r="R4039" s="4"/>
      <c r="S4039" s="4"/>
      <c r="T4039" s="4"/>
      <c r="U4039" s="4"/>
      <c r="V4039" s="4"/>
      <c r="W4039" s="4"/>
      <c r="X4039" s="4"/>
    </row>
    <row r="4040" spans="17:24" x14ac:dyDescent="0.3">
      <c r="Q4040" s="4"/>
      <c r="R4040" s="4"/>
      <c r="S4040" s="4"/>
      <c r="T4040" s="4"/>
      <c r="U4040" s="4"/>
      <c r="V4040" s="4"/>
      <c r="W4040" s="4"/>
      <c r="X4040" s="4"/>
    </row>
    <row r="4041" spans="17:24" x14ac:dyDescent="0.3">
      <c r="Q4041" s="4"/>
      <c r="R4041" s="4"/>
      <c r="S4041" s="4"/>
      <c r="T4041" s="4"/>
      <c r="U4041" s="4"/>
      <c r="V4041" s="4"/>
      <c r="W4041" s="4"/>
      <c r="X4041" s="4"/>
    </row>
    <row r="4042" spans="17:24" x14ac:dyDescent="0.3">
      <c r="Q4042" s="4"/>
      <c r="R4042" s="4"/>
      <c r="S4042" s="4"/>
      <c r="T4042" s="4"/>
      <c r="U4042" s="4"/>
      <c r="V4042" s="4"/>
      <c r="W4042" s="4"/>
      <c r="X4042" s="4"/>
    </row>
    <row r="4043" spans="17:24" x14ac:dyDescent="0.3">
      <c r="Q4043" s="4"/>
      <c r="R4043" s="4"/>
      <c r="S4043" s="4"/>
      <c r="T4043" s="4"/>
      <c r="U4043" s="4"/>
      <c r="V4043" s="4"/>
      <c r="W4043" s="4"/>
      <c r="X4043" s="4"/>
    </row>
    <row r="4044" spans="17:24" x14ac:dyDescent="0.3">
      <c r="Q4044" s="4"/>
      <c r="R4044" s="4"/>
      <c r="S4044" s="4"/>
      <c r="T4044" s="4"/>
      <c r="U4044" s="4"/>
      <c r="V4044" s="4"/>
      <c r="W4044" s="4"/>
      <c r="X4044" s="4"/>
    </row>
    <row r="4045" spans="17:24" x14ac:dyDescent="0.3">
      <c r="Q4045" s="4"/>
      <c r="R4045" s="4"/>
      <c r="S4045" s="4"/>
      <c r="T4045" s="4"/>
      <c r="U4045" s="4"/>
      <c r="V4045" s="4"/>
      <c r="W4045" s="4"/>
      <c r="X4045" s="4"/>
    </row>
    <row r="4046" spans="17:24" x14ac:dyDescent="0.3">
      <c r="Q4046" s="4"/>
      <c r="R4046" s="4"/>
      <c r="S4046" s="4"/>
      <c r="T4046" s="4"/>
      <c r="U4046" s="4"/>
      <c r="V4046" s="4"/>
      <c r="W4046" s="4"/>
      <c r="X4046" s="4"/>
    </row>
    <row r="4047" spans="17:24" x14ac:dyDescent="0.3">
      <c r="Q4047" s="4"/>
      <c r="R4047" s="4"/>
      <c r="S4047" s="4"/>
      <c r="T4047" s="4"/>
      <c r="U4047" s="4"/>
      <c r="V4047" s="4"/>
      <c r="W4047" s="4"/>
      <c r="X4047" s="4"/>
    </row>
    <row r="4048" spans="17:24" x14ac:dyDescent="0.3">
      <c r="Q4048" s="4"/>
      <c r="R4048" s="4"/>
      <c r="S4048" s="4"/>
      <c r="T4048" s="4"/>
      <c r="U4048" s="4"/>
      <c r="V4048" s="4"/>
      <c r="W4048" s="4"/>
      <c r="X4048" s="4"/>
    </row>
    <row r="4049" spans="17:24" x14ac:dyDescent="0.3">
      <c r="Q4049" s="4"/>
      <c r="R4049" s="4"/>
      <c r="S4049" s="4"/>
      <c r="T4049" s="4"/>
      <c r="U4049" s="4"/>
      <c r="V4049" s="4"/>
      <c r="W4049" s="4"/>
      <c r="X4049" s="4"/>
    </row>
    <row r="4050" spans="17:24" x14ac:dyDescent="0.3">
      <c r="Q4050" s="4"/>
      <c r="R4050" s="4"/>
      <c r="S4050" s="4"/>
      <c r="T4050" s="4"/>
      <c r="U4050" s="4"/>
      <c r="V4050" s="4"/>
      <c r="W4050" s="4"/>
      <c r="X4050" s="4"/>
    </row>
    <row r="4051" spans="17:24" x14ac:dyDescent="0.3">
      <c r="Q4051" s="4"/>
      <c r="R4051" s="4"/>
      <c r="S4051" s="4"/>
      <c r="T4051" s="4"/>
      <c r="U4051" s="4"/>
      <c r="V4051" s="4"/>
      <c r="W4051" s="4"/>
      <c r="X4051" s="4"/>
    </row>
    <row r="4052" spans="17:24" x14ac:dyDescent="0.3">
      <c r="Q4052" s="4"/>
      <c r="R4052" s="4"/>
      <c r="S4052" s="4"/>
      <c r="T4052" s="4"/>
      <c r="U4052" s="4"/>
      <c r="V4052" s="4"/>
      <c r="W4052" s="4"/>
      <c r="X4052" s="4"/>
    </row>
    <row r="4053" spans="17:24" x14ac:dyDescent="0.3">
      <c r="Q4053" s="4"/>
      <c r="R4053" s="4"/>
      <c r="S4053" s="4"/>
      <c r="T4053" s="4"/>
      <c r="U4053" s="4"/>
      <c r="V4053" s="4"/>
      <c r="W4053" s="4"/>
      <c r="X4053" s="4"/>
    </row>
    <row r="4054" spans="17:24" x14ac:dyDescent="0.3">
      <c r="Q4054" s="4"/>
      <c r="R4054" s="4"/>
      <c r="S4054" s="4"/>
      <c r="T4054" s="4"/>
      <c r="U4054" s="4"/>
      <c r="V4054" s="4"/>
      <c r="W4054" s="4"/>
      <c r="X4054" s="4"/>
    </row>
    <row r="4055" spans="17:24" x14ac:dyDescent="0.3">
      <c r="Q4055" s="4"/>
      <c r="R4055" s="4"/>
      <c r="S4055" s="4"/>
      <c r="T4055" s="4"/>
      <c r="U4055" s="4"/>
      <c r="V4055" s="4"/>
      <c r="W4055" s="4"/>
      <c r="X4055" s="4"/>
    </row>
    <row r="4056" spans="17:24" x14ac:dyDescent="0.3">
      <c r="Q4056" s="4"/>
      <c r="R4056" s="4"/>
      <c r="S4056" s="4"/>
      <c r="T4056" s="4"/>
      <c r="U4056" s="4"/>
      <c r="V4056" s="4"/>
      <c r="W4056" s="4"/>
      <c r="X4056" s="4"/>
    </row>
    <row r="4057" spans="17:24" x14ac:dyDescent="0.3">
      <c r="Q4057" s="4"/>
      <c r="R4057" s="4"/>
      <c r="S4057" s="4"/>
      <c r="T4057" s="4"/>
      <c r="U4057" s="4"/>
      <c r="V4057" s="4"/>
      <c r="W4057" s="4"/>
      <c r="X4057" s="4"/>
    </row>
    <row r="4058" spans="17:24" x14ac:dyDescent="0.3">
      <c r="Q4058" s="4"/>
      <c r="R4058" s="4"/>
      <c r="S4058" s="4"/>
      <c r="T4058" s="4"/>
      <c r="U4058" s="4"/>
      <c r="V4058" s="4"/>
      <c r="W4058" s="4"/>
      <c r="X4058" s="4"/>
    </row>
    <row r="4059" spans="17:24" x14ac:dyDescent="0.3">
      <c r="Q4059" s="4"/>
      <c r="R4059" s="4"/>
      <c r="S4059" s="4"/>
      <c r="T4059" s="4"/>
      <c r="U4059" s="4"/>
      <c r="V4059" s="4"/>
      <c r="W4059" s="4"/>
      <c r="X4059" s="4"/>
    </row>
    <row r="4060" spans="17:24" x14ac:dyDescent="0.3">
      <c r="Q4060" s="4"/>
      <c r="R4060" s="4"/>
      <c r="S4060" s="4"/>
      <c r="T4060" s="4"/>
      <c r="U4060" s="4"/>
      <c r="V4060" s="4"/>
      <c r="W4060" s="4"/>
      <c r="X4060" s="4"/>
    </row>
    <row r="4061" spans="17:24" x14ac:dyDescent="0.3">
      <c r="Q4061" s="4"/>
      <c r="R4061" s="4"/>
      <c r="S4061" s="4"/>
      <c r="T4061" s="4"/>
      <c r="U4061" s="4"/>
      <c r="V4061" s="4"/>
      <c r="W4061" s="4"/>
      <c r="X4061" s="4"/>
    </row>
    <row r="4062" spans="17:24" x14ac:dyDescent="0.3">
      <c r="Q4062" s="4"/>
      <c r="R4062" s="4"/>
      <c r="S4062" s="4"/>
      <c r="T4062" s="4"/>
      <c r="U4062" s="4"/>
      <c r="V4062" s="4"/>
      <c r="W4062" s="4"/>
      <c r="X4062" s="4"/>
    </row>
    <row r="4063" spans="17:24" x14ac:dyDescent="0.3">
      <c r="Q4063" s="4"/>
      <c r="R4063" s="4"/>
      <c r="S4063" s="4"/>
      <c r="T4063" s="4"/>
      <c r="U4063" s="4"/>
      <c r="V4063" s="4"/>
      <c r="W4063" s="4"/>
      <c r="X4063" s="4"/>
    </row>
    <row r="4064" spans="17:24" x14ac:dyDescent="0.3">
      <c r="Q4064" s="4"/>
      <c r="R4064" s="4"/>
      <c r="S4064" s="4"/>
      <c r="T4064" s="4"/>
      <c r="U4064" s="4"/>
      <c r="V4064" s="4"/>
      <c r="W4064" s="4"/>
      <c r="X4064" s="4"/>
    </row>
    <row r="4065" spans="17:24" x14ac:dyDescent="0.3">
      <c r="Q4065" s="4"/>
      <c r="R4065" s="4"/>
      <c r="S4065" s="4"/>
      <c r="T4065" s="4"/>
      <c r="U4065" s="4"/>
      <c r="V4065" s="4"/>
      <c r="W4065" s="4"/>
      <c r="X4065" s="4"/>
    </row>
    <row r="4066" spans="17:24" x14ac:dyDescent="0.3">
      <c r="Q4066" s="4"/>
      <c r="R4066" s="4"/>
      <c r="S4066" s="4"/>
      <c r="T4066" s="4"/>
      <c r="U4066" s="4"/>
      <c r="V4066" s="4"/>
      <c r="W4066" s="4"/>
      <c r="X4066" s="4"/>
    </row>
    <row r="4067" spans="17:24" x14ac:dyDescent="0.3">
      <c r="Q4067" s="4"/>
      <c r="R4067" s="4"/>
      <c r="S4067" s="4"/>
      <c r="T4067" s="4"/>
      <c r="U4067" s="4"/>
      <c r="V4067" s="4"/>
      <c r="W4067" s="4"/>
      <c r="X4067" s="4"/>
    </row>
    <row r="4068" spans="17:24" x14ac:dyDescent="0.3">
      <c r="Q4068" s="4"/>
      <c r="R4068" s="4"/>
      <c r="S4068" s="4"/>
      <c r="T4068" s="4"/>
      <c r="U4068" s="4"/>
      <c r="V4068" s="4"/>
      <c r="W4068" s="4"/>
      <c r="X4068" s="4"/>
    </row>
    <row r="4069" spans="17:24" x14ac:dyDescent="0.3">
      <c r="Q4069" s="4"/>
      <c r="R4069" s="4"/>
      <c r="S4069" s="4"/>
      <c r="T4069" s="4"/>
      <c r="U4069" s="4"/>
      <c r="V4069" s="4"/>
      <c r="W4069" s="4"/>
      <c r="X4069" s="4"/>
    </row>
    <row r="4070" spans="17:24" x14ac:dyDescent="0.3">
      <c r="Q4070" s="4"/>
      <c r="R4070" s="4"/>
      <c r="S4070" s="4"/>
      <c r="T4070" s="4"/>
      <c r="U4070" s="4"/>
      <c r="V4070" s="4"/>
      <c r="W4070" s="4"/>
      <c r="X4070" s="4"/>
    </row>
    <row r="4071" spans="17:24" x14ac:dyDescent="0.3">
      <c r="Q4071" s="4"/>
      <c r="R4071" s="4"/>
      <c r="S4071" s="4"/>
      <c r="T4071" s="4"/>
      <c r="U4071" s="4"/>
      <c r="V4071" s="4"/>
      <c r="W4071" s="4"/>
      <c r="X4071" s="4"/>
    </row>
    <row r="4072" spans="17:24" x14ac:dyDescent="0.3">
      <c r="Q4072" s="4"/>
      <c r="R4072" s="4"/>
      <c r="S4072" s="4"/>
      <c r="T4072" s="4"/>
      <c r="U4072" s="4"/>
      <c r="V4072" s="4"/>
      <c r="W4072" s="4"/>
      <c r="X4072" s="4"/>
    </row>
    <row r="4073" spans="17:24" x14ac:dyDescent="0.3">
      <c r="Q4073" s="4"/>
      <c r="R4073" s="4"/>
      <c r="S4073" s="4"/>
      <c r="T4073" s="4"/>
      <c r="U4073" s="4"/>
      <c r="V4073" s="4"/>
      <c r="W4073" s="4"/>
      <c r="X4073" s="4"/>
    </row>
    <row r="4074" spans="17:24" x14ac:dyDescent="0.3">
      <c r="Q4074" s="4"/>
      <c r="R4074" s="4"/>
      <c r="S4074" s="4"/>
      <c r="T4074" s="4"/>
      <c r="U4074" s="4"/>
      <c r="V4074" s="4"/>
      <c r="W4074" s="4"/>
      <c r="X4074" s="4"/>
    </row>
    <row r="4075" spans="17:24" x14ac:dyDescent="0.3">
      <c r="Q4075" s="4"/>
      <c r="R4075" s="4"/>
      <c r="S4075" s="4"/>
      <c r="T4075" s="4"/>
      <c r="U4075" s="4"/>
      <c r="V4075" s="4"/>
      <c r="W4075" s="4"/>
      <c r="X4075" s="4"/>
    </row>
    <row r="4076" spans="17:24" x14ac:dyDescent="0.3">
      <c r="Q4076" s="4"/>
      <c r="R4076" s="4"/>
      <c r="S4076" s="4"/>
      <c r="T4076" s="4"/>
      <c r="U4076" s="4"/>
      <c r="V4076" s="4"/>
      <c r="W4076" s="4"/>
      <c r="X4076" s="4"/>
    </row>
    <row r="4077" spans="17:24" x14ac:dyDescent="0.3">
      <c r="Q4077" s="4"/>
      <c r="R4077" s="4"/>
      <c r="S4077" s="4"/>
      <c r="T4077" s="4"/>
      <c r="U4077" s="4"/>
      <c r="V4077" s="4"/>
      <c r="W4077" s="4"/>
      <c r="X4077" s="4"/>
    </row>
    <row r="4078" spans="17:24" x14ac:dyDescent="0.3">
      <c r="Q4078" s="4"/>
      <c r="R4078" s="4"/>
      <c r="S4078" s="4"/>
      <c r="T4078" s="4"/>
      <c r="U4078" s="4"/>
      <c r="V4078" s="4"/>
      <c r="W4078" s="4"/>
      <c r="X4078" s="4"/>
    </row>
    <row r="4079" spans="17:24" x14ac:dyDescent="0.3">
      <c r="Q4079" s="4"/>
      <c r="R4079" s="4"/>
      <c r="S4079" s="4"/>
      <c r="T4079" s="4"/>
      <c r="U4079" s="4"/>
      <c r="V4079" s="4"/>
      <c r="W4079" s="4"/>
      <c r="X4079" s="4"/>
    </row>
    <row r="4080" spans="17:24" x14ac:dyDescent="0.3">
      <c r="Q4080" s="4"/>
      <c r="R4080" s="4"/>
      <c r="S4080" s="4"/>
      <c r="T4080" s="4"/>
      <c r="U4080" s="4"/>
      <c r="V4080" s="4"/>
      <c r="W4080" s="4"/>
      <c r="X4080" s="4"/>
    </row>
    <row r="4081" spans="17:24" x14ac:dyDescent="0.3">
      <c r="Q4081" s="4"/>
      <c r="R4081" s="4"/>
      <c r="S4081" s="4"/>
      <c r="T4081" s="4"/>
      <c r="U4081" s="4"/>
      <c r="V4081" s="4"/>
      <c r="W4081" s="4"/>
      <c r="X4081" s="4"/>
    </row>
    <row r="4082" spans="17:24" x14ac:dyDescent="0.3">
      <c r="Q4082" s="4"/>
      <c r="R4082" s="4"/>
      <c r="S4082" s="4"/>
      <c r="T4082" s="4"/>
      <c r="U4082" s="4"/>
      <c r="V4082" s="4"/>
      <c r="W4082" s="4"/>
      <c r="X4082" s="4"/>
    </row>
    <row r="4083" spans="17:24" x14ac:dyDescent="0.3">
      <c r="Q4083" s="4"/>
      <c r="R4083" s="4"/>
      <c r="S4083" s="4"/>
      <c r="T4083" s="4"/>
      <c r="U4083" s="4"/>
      <c r="V4083" s="4"/>
      <c r="W4083" s="4"/>
      <c r="X4083" s="4"/>
    </row>
    <row r="4084" spans="17:24" x14ac:dyDescent="0.3">
      <c r="Q4084" s="4"/>
      <c r="R4084" s="4"/>
      <c r="S4084" s="4"/>
      <c r="T4084" s="4"/>
      <c r="U4084" s="4"/>
      <c r="V4084" s="4"/>
      <c r="W4084" s="4"/>
      <c r="X4084" s="4"/>
    </row>
    <row r="4085" spans="17:24" x14ac:dyDescent="0.3">
      <c r="Q4085" s="4"/>
      <c r="R4085" s="4"/>
      <c r="S4085" s="4"/>
      <c r="T4085" s="4"/>
      <c r="U4085" s="4"/>
      <c r="V4085" s="4"/>
      <c r="W4085" s="4"/>
      <c r="X4085" s="4"/>
    </row>
    <row r="4086" spans="17:24" x14ac:dyDescent="0.3">
      <c r="Q4086" s="4"/>
      <c r="R4086" s="4"/>
      <c r="S4086" s="4"/>
      <c r="T4086" s="4"/>
      <c r="U4086" s="4"/>
      <c r="V4086" s="4"/>
      <c r="W4086" s="4"/>
      <c r="X4086" s="4"/>
    </row>
    <row r="4087" spans="17:24" x14ac:dyDescent="0.3">
      <c r="Q4087" s="4"/>
      <c r="R4087" s="4"/>
      <c r="S4087" s="4"/>
      <c r="T4087" s="4"/>
      <c r="U4087" s="4"/>
      <c r="V4087" s="4"/>
      <c r="W4087" s="4"/>
      <c r="X4087" s="4"/>
    </row>
    <row r="4088" spans="17:24" x14ac:dyDescent="0.3">
      <c r="Q4088" s="4"/>
      <c r="R4088" s="4"/>
      <c r="S4088" s="4"/>
      <c r="T4088" s="4"/>
      <c r="U4088" s="4"/>
      <c r="V4088" s="4"/>
      <c r="W4088" s="4"/>
      <c r="X4088" s="4"/>
    </row>
    <row r="4089" spans="17:24" x14ac:dyDescent="0.3">
      <c r="Q4089" s="4"/>
      <c r="R4089" s="4"/>
      <c r="S4089" s="4"/>
      <c r="T4089" s="4"/>
      <c r="U4089" s="4"/>
      <c r="V4089" s="4"/>
      <c r="W4089" s="4"/>
      <c r="X4089" s="4"/>
    </row>
    <row r="4090" spans="17:24" x14ac:dyDescent="0.3">
      <c r="Q4090" s="4"/>
      <c r="R4090" s="4"/>
      <c r="S4090" s="4"/>
      <c r="T4090" s="4"/>
      <c r="U4090" s="4"/>
      <c r="V4090" s="4"/>
      <c r="W4090" s="4"/>
      <c r="X4090" s="4"/>
    </row>
    <row r="4091" spans="17:24" x14ac:dyDescent="0.3">
      <c r="Q4091" s="4"/>
      <c r="R4091" s="4"/>
      <c r="S4091" s="4"/>
      <c r="T4091" s="4"/>
      <c r="U4091" s="4"/>
      <c r="V4091" s="4"/>
      <c r="W4091" s="4"/>
      <c r="X4091" s="4"/>
    </row>
    <row r="4092" spans="17:24" x14ac:dyDescent="0.3">
      <c r="Q4092" s="4"/>
      <c r="R4092" s="4"/>
      <c r="S4092" s="4"/>
      <c r="T4092" s="4"/>
      <c r="U4092" s="4"/>
      <c r="V4092" s="4"/>
      <c r="W4092" s="4"/>
      <c r="X4092" s="4"/>
    </row>
    <row r="4093" spans="17:24" x14ac:dyDescent="0.3">
      <c r="Q4093" s="4"/>
      <c r="R4093" s="4"/>
      <c r="S4093" s="4"/>
      <c r="T4093" s="4"/>
      <c r="U4093" s="4"/>
      <c r="V4093" s="4"/>
      <c r="W4093" s="4"/>
      <c r="X4093" s="4"/>
    </row>
    <row r="4094" spans="17:24" x14ac:dyDescent="0.3">
      <c r="Q4094" s="4"/>
      <c r="R4094" s="4"/>
      <c r="S4094" s="4"/>
      <c r="T4094" s="4"/>
      <c r="U4094" s="4"/>
      <c r="V4094" s="4"/>
      <c r="W4094" s="4"/>
      <c r="X4094" s="4"/>
    </row>
    <row r="4095" spans="17:24" x14ac:dyDescent="0.3">
      <c r="Q4095" s="4"/>
      <c r="R4095" s="4"/>
      <c r="S4095" s="4"/>
      <c r="T4095" s="4"/>
      <c r="U4095" s="4"/>
      <c r="V4095" s="4"/>
      <c r="W4095" s="4"/>
      <c r="X4095" s="4"/>
    </row>
    <row r="4096" spans="17:24" x14ac:dyDescent="0.3">
      <c r="Q4096" s="4"/>
      <c r="R4096" s="4"/>
      <c r="S4096" s="4"/>
      <c r="T4096" s="4"/>
      <c r="U4096" s="4"/>
      <c r="V4096" s="4"/>
      <c r="W4096" s="4"/>
      <c r="X4096" s="4"/>
    </row>
    <row r="4097" spans="17:24" x14ac:dyDescent="0.3">
      <c r="Q4097" s="4"/>
      <c r="R4097" s="4"/>
      <c r="S4097" s="4"/>
      <c r="T4097" s="4"/>
      <c r="U4097" s="4"/>
      <c r="V4097" s="4"/>
      <c r="W4097" s="4"/>
      <c r="X4097" s="4"/>
    </row>
    <row r="4098" spans="17:24" x14ac:dyDescent="0.3">
      <c r="Q4098" s="4"/>
      <c r="R4098" s="4"/>
      <c r="S4098" s="4"/>
      <c r="T4098" s="4"/>
      <c r="U4098" s="4"/>
      <c r="V4098" s="4"/>
      <c r="W4098" s="4"/>
      <c r="X4098" s="4"/>
    </row>
    <row r="4099" spans="17:24" x14ac:dyDescent="0.3">
      <c r="Q4099" s="4"/>
      <c r="R4099" s="4"/>
      <c r="S4099" s="4"/>
      <c r="T4099" s="4"/>
      <c r="U4099" s="4"/>
      <c r="V4099" s="4"/>
      <c r="W4099" s="4"/>
      <c r="X4099" s="4"/>
    </row>
    <row r="4100" spans="17:24" x14ac:dyDescent="0.3">
      <c r="Q4100" s="4"/>
      <c r="R4100" s="4"/>
      <c r="S4100" s="4"/>
      <c r="T4100" s="4"/>
      <c r="U4100" s="4"/>
      <c r="V4100" s="4"/>
      <c r="W4100" s="4"/>
      <c r="X4100" s="4"/>
    </row>
    <row r="4101" spans="17:24" x14ac:dyDescent="0.3">
      <c r="Q4101" s="4"/>
      <c r="R4101" s="4"/>
      <c r="S4101" s="4"/>
      <c r="T4101" s="4"/>
      <c r="U4101" s="4"/>
      <c r="V4101" s="4"/>
      <c r="W4101" s="4"/>
      <c r="X4101" s="4"/>
    </row>
    <row r="4102" spans="17:24" x14ac:dyDescent="0.3">
      <c r="Q4102" s="4"/>
      <c r="R4102" s="4"/>
      <c r="S4102" s="4"/>
      <c r="T4102" s="4"/>
      <c r="U4102" s="4"/>
      <c r="V4102" s="4"/>
      <c r="W4102" s="4"/>
      <c r="X4102" s="4"/>
    </row>
    <row r="4103" spans="17:24" x14ac:dyDescent="0.3">
      <c r="Q4103" s="4"/>
      <c r="R4103" s="4"/>
      <c r="S4103" s="4"/>
      <c r="T4103" s="4"/>
      <c r="U4103" s="4"/>
      <c r="V4103" s="4"/>
      <c r="W4103" s="4"/>
      <c r="X4103" s="4"/>
    </row>
    <row r="4104" spans="17:24" x14ac:dyDescent="0.3">
      <c r="Q4104" s="4"/>
      <c r="R4104" s="4"/>
      <c r="S4104" s="4"/>
      <c r="T4104" s="4"/>
      <c r="U4104" s="4"/>
      <c r="V4104" s="4"/>
      <c r="W4104" s="4"/>
      <c r="X4104" s="4"/>
    </row>
    <row r="4105" spans="17:24" x14ac:dyDescent="0.3">
      <c r="Q4105" s="4"/>
      <c r="R4105" s="4"/>
      <c r="S4105" s="4"/>
      <c r="T4105" s="4"/>
      <c r="U4105" s="4"/>
      <c r="V4105" s="4"/>
      <c r="W4105" s="4"/>
      <c r="X4105" s="4"/>
    </row>
    <row r="4106" spans="17:24" x14ac:dyDescent="0.3">
      <c r="Q4106" s="4"/>
      <c r="R4106" s="4"/>
      <c r="S4106" s="4"/>
      <c r="T4106" s="4"/>
      <c r="U4106" s="4"/>
      <c r="V4106" s="4"/>
      <c r="W4106" s="4"/>
      <c r="X4106" s="4"/>
    </row>
    <row r="4107" spans="17:24" x14ac:dyDescent="0.3">
      <c r="Q4107" s="4"/>
      <c r="R4107" s="4"/>
      <c r="S4107" s="4"/>
      <c r="T4107" s="4"/>
      <c r="U4107" s="4"/>
      <c r="V4107" s="4"/>
      <c r="W4107" s="4"/>
      <c r="X4107" s="4"/>
    </row>
    <row r="4108" spans="17:24" x14ac:dyDescent="0.3">
      <c r="Q4108" s="4"/>
      <c r="R4108" s="4"/>
      <c r="S4108" s="4"/>
      <c r="T4108" s="4"/>
      <c r="U4108" s="4"/>
      <c r="V4108" s="4"/>
      <c r="W4108" s="4"/>
      <c r="X4108" s="4"/>
    </row>
    <row r="4109" spans="17:24" x14ac:dyDescent="0.3">
      <c r="Q4109" s="4"/>
      <c r="R4109" s="4"/>
      <c r="S4109" s="4"/>
      <c r="T4109" s="4"/>
      <c r="U4109" s="4"/>
      <c r="V4109" s="4"/>
      <c r="W4109" s="4"/>
      <c r="X4109" s="4"/>
    </row>
    <row r="4110" spans="17:24" x14ac:dyDescent="0.3">
      <c r="Q4110" s="4"/>
      <c r="R4110" s="4"/>
      <c r="S4110" s="4"/>
      <c r="T4110" s="4"/>
      <c r="U4110" s="4"/>
      <c r="V4110" s="4"/>
      <c r="W4110" s="4"/>
      <c r="X4110" s="4"/>
    </row>
    <row r="4111" spans="17:24" x14ac:dyDescent="0.3">
      <c r="Q4111" s="4"/>
      <c r="R4111" s="4"/>
      <c r="S4111" s="4"/>
      <c r="T4111" s="4"/>
      <c r="U4111" s="4"/>
      <c r="V4111" s="4"/>
      <c r="W4111" s="4"/>
      <c r="X4111" s="4"/>
    </row>
    <row r="4112" spans="17:24" x14ac:dyDescent="0.3">
      <c r="Q4112" s="4"/>
      <c r="R4112" s="4"/>
      <c r="S4112" s="4"/>
      <c r="T4112" s="4"/>
      <c r="U4112" s="4"/>
      <c r="V4112" s="4"/>
      <c r="W4112" s="4"/>
      <c r="X4112" s="4"/>
    </row>
    <row r="4113" spans="17:24" x14ac:dyDescent="0.3">
      <c r="Q4113" s="4"/>
      <c r="R4113" s="4"/>
      <c r="S4113" s="4"/>
      <c r="T4113" s="4"/>
      <c r="U4113" s="4"/>
      <c r="V4113" s="4"/>
      <c r="W4113" s="4"/>
      <c r="X4113" s="4"/>
    </row>
    <row r="4114" spans="17:24" x14ac:dyDescent="0.3">
      <c r="Q4114" s="4"/>
      <c r="R4114" s="4"/>
      <c r="S4114" s="4"/>
      <c r="T4114" s="4"/>
      <c r="U4114" s="4"/>
      <c r="V4114" s="4"/>
      <c r="W4114" s="4"/>
      <c r="X4114" s="4"/>
    </row>
    <row r="4115" spans="17:24" x14ac:dyDescent="0.3">
      <c r="Q4115" s="4"/>
      <c r="R4115" s="4"/>
      <c r="S4115" s="4"/>
      <c r="T4115" s="4"/>
      <c r="U4115" s="4"/>
      <c r="V4115" s="4"/>
      <c r="W4115" s="4"/>
      <c r="X4115" s="4"/>
    </row>
    <row r="4116" spans="17:24" x14ac:dyDescent="0.3">
      <c r="Q4116" s="4"/>
      <c r="R4116" s="4"/>
      <c r="S4116" s="4"/>
      <c r="T4116" s="4"/>
      <c r="U4116" s="4"/>
      <c r="V4116" s="4"/>
      <c r="W4116" s="4"/>
      <c r="X4116" s="4"/>
    </row>
    <row r="4117" spans="17:24" x14ac:dyDescent="0.3">
      <c r="Q4117" s="4"/>
      <c r="R4117" s="4"/>
      <c r="S4117" s="4"/>
      <c r="T4117" s="4"/>
      <c r="U4117" s="4"/>
      <c r="V4117" s="4"/>
      <c r="W4117" s="4"/>
      <c r="X4117" s="4"/>
    </row>
    <row r="4118" spans="17:24" x14ac:dyDescent="0.3">
      <c r="Q4118" s="4"/>
      <c r="R4118" s="4"/>
      <c r="S4118" s="4"/>
      <c r="T4118" s="4"/>
      <c r="U4118" s="4"/>
      <c r="V4118" s="4"/>
      <c r="W4118" s="4"/>
      <c r="X4118" s="4"/>
    </row>
    <row r="4119" spans="17:24" x14ac:dyDescent="0.3">
      <c r="Q4119" s="4"/>
      <c r="R4119" s="4"/>
      <c r="S4119" s="4"/>
      <c r="T4119" s="4"/>
      <c r="U4119" s="4"/>
      <c r="V4119" s="4"/>
      <c r="W4119" s="4"/>
      <c r="X4119" s="4"/>
    </row>
    <row r="4120" spans="17:24" x14ac:dyDescent="0.3">
      <c r="Q4120" s="4"/>
      <c r="R4120" s="4"/>
      <c r="S4120" s="4"/>
      <c r="T4120" s="4"/>
      <c r="U4120" s="4"/>
      <c r="V4120" s="4"/>
      <c r="W4120" s="4"/>
      <c r="X4120" s="4"/>
    </row>
    <row r="4121" spans="17:24" x14ac:dyDescent="0.3">
      <c r="Q4121" s="4"/>
      <c r="R4121" s="4"/>
      <c r="S4121" s="4"/>
      <c r="T4121" s="4"/>
      <c r="U4121" s="4"/>
      <c r="V4121" s="4"/>
      <c r="W4121" s="4"/>
      <c r="X4121" s="4"/>
    </row>
    <row r="4122" spans="17:24" x14ac:dyDescent="0.3">
      <c r="Q4122" s="4"/>
      <c r="R4122" s="4"/>
      <c r="S4122" s="4"/>
      <c r="T4122" s="4"/>
      <c r="U4122" s="4"/>
      <c r="V4122" s="4"/>
      <c r="W4122" s="4"/>
      <c r="X4122" s="4"/>
    </row>
    <row r="4123" spans="17:24" x14ac:dyDescent="0.3">
      <c r="Q4123" s="4"/>
      <c r="R4123" s="4"/>
      <c r="S4123" s="4"/>
      <c r="T4123" s="4"/>
      <c r="U4123" s="4"/>
      <c r="V4123" s="4"/>
      <c r="W4123" s="4"/>
      <c r="X4123" s="4"/>
    </row>
    <row r="4124" spans="17:24" x14ac:dyDescent="0.3">
      <c r="Q4124" s="4"/>
      <c r="R4124" s="4"/>
      <c r="S4124" s="4"/>
      <c r="T4124" s="4"/>
      <c r="U4124" s="4"/>
      <c r="V4124" s="4"/>
      <c r="W4124" s="4"/>
      <c r="X4124" s="4"/>
    </row>
    <row r="4125" spans="17:24" x14ac:dyDescent="0.3">
      <c r="Q4125" s="4"/>
      <c r="R4125" s="4"/>
      <c r="S4125" s="4"/>
      <c r="T4125" s="4"/>
      <c r="U4125" s="4"/>
      <c r="V4125" s="4"/>
      <c r="W4125" s="4"/>
      <c r="X4125" s="4"/>
    </row>
    <row r="4126" spans="17:24" x14ac:dyDescent="0.3">
      <c r="Q4126" s="4"/>
      <c r="R4126" s="4"/>
      <c r="S4126" s="4"/>
      <c r="T4126" s="4"/>
      <c r="U4126" s="4"/>
      <c r="V4126" s="4"/>
      <c r="W4126" s="4"/>
      <c r="X4126" s="4"/>
    </row>
    <row r="4127" spans="17:24" x14ac:dyDescent="0.3">
      <c r="Q4127" s="4"/>
      <c r="R4127" s="4"/>
      <c r="S4127" s="4"/>
      <c r="T4127" s="4"/>
      <c r="U4127" s="4"/>
      <c r="V4127" s="4"/>
      <c r="W4127" s="4"/>
      <c r="X4127" s="4"/>
    </row>
    <row r="4128" spans="17:24" x14ac:dyDescent="0.3">
      <c r="Q4128" s="4"/>
      <c r="R4128" s="4"/>
      <c r="S4128" s="4"/>
      <c r="T4128" s="4"/>
      <c r="U4128" s="4"/>
      <c r="V4128" s="4"/>
      <c r="W4128" s="4"/>
      <c r="X4128" s="4"/>
    </row>
    <row r="4129" spans="17:24" x14ac:dyDescent="0.3">
      <c r="Q4129" s="4"/>
      <c r="R4129" s="4"/>
      <c r="S4129" s="4"/>
      <c r="T4129" s="4"/>
      <c r="U4129" s="4"/>
      <c r="V4129" s="4"/>
      <c r="W4129" s="4"/>
      <c r="X4129" s="4"/>
    </row>
    <row r="4130" spans="17:24" x14ac:dyDescent="0.3">
      <c r="Q4130" s="4"/>
      <c r="R4130" s="4"/>
      <c r="S4130" s="4"/>
      <c r="T4130" s="4"/>
      <c r="U4130" s="4"/>
      <c r="V4130" s="4"/>
      <c r="W4130" s="4"/>
      <c r="X4130" s="4"/>
    </row>
    <row r="4131" spans="17:24" x14ac:dyDescent="0.3">
      <c r="Q4131" s="4"/>
      <c r="R4131" s="4"/>
      <c r="S4131" s="4"/>
      <c r="T4131" s="4"/>
      <c r="U4131" s="4"/>
      <c r="V4131" s="4"/>
      <c r="W4131" s="4"/>
      <c r="X4131" s="4"/>
    </row>
    <row r="4132" spans="17:24" x14ac:dyDescent="0.3">
      <c r="Q4132" s="4"/>
      <c r="R4132" s="4"/>
      <c r="S4132" s="4"/>
      <c r="T4132" s="4"/>
      <c r="U4132" s="4"/>
      <c r="V4132" s="4"/>
      <c r="W4132" s="4"/>
      <c r="X4132" s="4"/>
    </row>
    <row r="4133" spans="17:24" x14ac:dyDescent="0.3">
      <c r="Q4133" s="4"/>
      <c r="R4133" s="4"/>
      <c r="S4133" s="4"/>
      <c r="T4133" s="4"/>
      <c r="U4133" s="4"/>
      <c r="V4133" s="4"/>
      <c r="W4133" s="4"/>
      <c r="X4133" s="4"/>
    </row>
    <row r="4134" spans="17:24" x14ac:dyDescent="0.3">
      <c r="Q4134" s="4"/>
      <c r="R4134" s="4"/>
      <c r="S4134" s="4"/>
      <c r="T4134" s="4"/>
      <c r="U4134" s="4"/>
      <c r="V4134" s="4"/>
      <c r="W4134" s="4"/>
      <c r="X4134" s="4"/>
    </row>
    <row r="4135" spans="17:24" x14ac:dyDescent="0.3">
      <c r="Q4135" s="4"/>
      <c r="R4135" s="4"/>
      <c r="S4135" s="4"/>
      <c r="T4135" s="4"/>
      <c r="U4135" s="4"/>
      <c r="V4135" s="4"/>
      <c r="W4135" s="4"/>
      <c r="X4135" s="4"/>
    </row>
    <row r="4136" spans="17:24" x14ac:dyDescent="0.3">
      <c r="Q4136" s="4"/>
      <c r="R4136" s="4"/>
      <c r="S4136" s="4"/>
      <c r="T4136" s="4"/>
      <c r="U4136" s="4"/>
      <c r="V4136" s="4"/>
      <c r="W4136" s="4"/>
      <c r="X4136" s="4"/>
    </row>
    <row r="4137" spans="17:24" x14ac:dyDescent="0.3">
      <c r="Q4137" s="4"/>
      <c r="R4137" s="4"/>
      <c r="S4137" s="4"/>
      <c r="T4137" s="4"/>
      <c r="U4137" s="4"/>
      <c r="V4137" s="4"/>
      <c r="W4137" s="4"/>
      <c r="X4137" s="4"/>
    </row>
    <row r="4138" spans="17:24" x14ac:dyDescent="0.3">
      <c r="Q4138" s="4"/>
      <c r="R4138" s="4"/>
      <c r="S4138" s="4"/>
      <c r="T4138" s="4"/>
      <c r="U4138" s="4"/>
      <c r="V4138" s="4"/>
      <c r="W4138" s="4"/>
      <c r="X4138" s="4"/>
    </row>
    <row r="4139" spans="17:24" x14ac:dyDescent="0.3">
      <c r="Q4139" s="4"/>
      <c r="R4139" s="4"/>
      <c r="S4139" s="4"/>
      <c r="T4139" s="4"/>
      <c r="U4139" s="4"/>
      <c r="V4139" s="4"/>
      <c r="W4139" s="4"/>
      <c r="X4139" s="4"/>
    </row>
    <row r="4140" spans="17:24" x14ac:dyDescent="0.3">
      <c r="Q4140" s="4"/>
      <c r="R4140" s="4"/>
      <c r="S4140" s="4"/>
      <c r="T4140" s="4"/>
      <c r="U4140" s="4"/>
      <c r="V4140" s="4"/>
      <c r="W4140" s="4"/>
      <c r="X4140" s="4"/>
    </row>
    <row r="4141" spans="17:24" x14ac:dyDescent="0.3">
      <c r="Q4141" s="4"/>
      <c r="R4141" s="4"/>
      <c r="S4141" s="4"/>
      <c r="T4141" s="4"/>
      <c r="U4141" s="4"/>
      <c r="V4141" s="4"/>
      <c r="W4141" s="4"/>
      <c r="X4141" s="4"/>
    </row>
    <row r="4142" spans="17:24" x14ac:dyDescent="0.3">
      <c r="Q4142" s="4"/>
      <c r="R4142" s="4"/>
      <c r="S4142" s="4"/>
      <c r="T4142" s="4"/>
      <c r="U4142" s="4"/>
      <c r="V4142" s="4"/>
      <c r="W4142" s="4"/>
      <c r="X4142" s="4"/>
    </row>
    <row r="4143" spans="17:24" x14ac:dyDescent="0.3">
      <c r="Q4143" s="4"/>
      <c r="R4143" s="4"/>
      <c r="S4143" s="4"/>
      <c r="T4143" s="4"/>
      <c r="U4143" s="4"/>
      <c r="V4143" s="4"/>
      <c r="W4143" s="4"/>
      <c r="X4143" s="4"/>
    </row>
    <row r="4144" spans="17:24" x14ac:dyDescent="0.3">
      <c r="Q4144" s="4"/>
      <c r="R4144" s="4"/>
      <c r="S4144" s="4"/>
      <c r="T4144" s="4"/>
      <c r="U4144" s="4"/>
      <c r="V4144" s="4"/>
      <c r="W4144" s="4"/>
      <c r="X4144" s="4"/>
    </row>
    <row r="4145" spans="17:24" x14ac:dyDescent="0.3">
      <c r="Q4145" s="4"/>
      <c r="R4145" s="4"/>
      <c r="S4145" s="4"/>
      <c r="T4145" s="4"/>
      <c r="U4145" s="4"/>
      <c r="V4145" s="4"/>
      <c r="W4145" s="4"/>
      <c r="X4145" s="4"/>
    </row>
    <row r="4146" spans="17:24" x14ac:dyDescent="0.3">
      <c r="Q4146" s="4"/>
      <c r="R4146" s="4"/>
      <c r="S4146" s="4"/>
      <c r="T4146" s="4"/>
      <c r="U4146" s="4"/>
      <c r="V4146" s="4"/>
      <c r="W4146" s="4"/>
      <c r="X4146" s="4"/>
    </row>
    <row r="4147" spans="17:24" x14ac:dyDescent="0.3">
      <c r="Q4147" s="4"/>
      <c r="R4147" s="4"/>
      <c r="S4147" s="4"/>
      <c r="T4147" s="4"/>
      <c r="U4147" s="4"/>
      <c r="V4147" s="4"/>
      <c r="W4147" s="4"/>
      <c r="X4147" s="4"/>
    </row>
    <row r="4148" spans="17:24" x14ac:dyDescent="0.3">
      <c r="Q4148" s="4"/>
      <c r="R4148" s="4"/>
      <c r="S4148" s="4"/>
      <c r="T4148" s="4"/>
      <c r="U4148" s="4"/>
      <c r="V4148" s="4"/>
      <c r="W4148" s="4"/>
      <c r="X4148" s="4"/>
    </row>
    <row r="4149" spans="17:24" x14ac:dyDescent="0.3">
      <c r="Q4149" s="4"/>
      <c r="R4149" s="4"/>
      <c r="S4149" s="4"/>
      <c r="T4149" s="4"/>
      <c r="U4149" s="4"/>
      <c r="V4149" s="4"/>
      <c r="W4149" s="4"/>
      <c r="X4149" s="4"/>
    </row>
    <row r="4150" spans="17:24" x14ac:dyDescent="0.3">
      <c r="Q4150" s="4"/>
      <c r="R4150" s="4"/>
      <c r="S4150" s="4"/>
      <c r="T4150" s="4"/>
      <c r="U4150" s="4"/>
      <c r="V4150" s="4"/>
      <c r="W4150" s="4"/>
      <c r="X4150" s="4"/>
    </row>
    <row r="4151" spans="17:24" x14ac:dyDescent="0.3">
      <c r="Q4151" s="4"/>
      <c r="R4151" s="4"/>
      <c r="S4151" s="4"/>
      <c r="T4151" s="4"/>
      <c r="U4151" s="4"/>
      <c r="V4151" s="4"/>
      <c r="W4151" s="4"/>
      <c r="X4151" s="4"/>
    </row>
    <row r="4152" spans="17:24" x14ac:dyDescent="0.3">
      <c r="Q4152" s="4"/>
      <c r="R4152" s="4"/>
      <c r="S4152" s="4"/>
      <c r="T4152" s="4"/>
      <c r="U4152" s="4"/>
      <c r="V4152" s="4"/>
      <c r="W4152" s="4"/>
      <c r="X4152" s="4"/>
    </row>
    <row r="4153" spans="17:24" x14ac:dyDescent="0.3">
      <c r="Q4153" s="4"/>
      <c r="R4153" s="4"/>
      <c r="S4153" s="4"/>
      <c r="T4153" s="4"/>
      <c r="U4153" s="4"/>
      <c r="V4153" s="4"/>
      <c r="W4153" s="4"/>
      <c r="X4153" s="4"/>
    </row>
    <row r="4154" spans="17:24" x14ac:dyDescent="0.3">
      <c r="Q4154" s="4"/>
      <c r="R4154" s="4"/>
      <c r="S4154" s="4"/>
      <c r="T4154" s="4"/>
      <c r="U4154" s="4"/>
      <c r="V4154" s="4"/>
      <c r="W4154" s="4"/>
      <c r="X4154" s="4"/>
    </row>
    <row r="4155" spans="17:24" x14ac:dyDescent="0.3">
      <c r="Q4155" s="4"/>
      <c r="R4155" s="4"/>
      <c r="S4155" s="4"/>
      <c r="T4155" s="4"/>
      <c r="U4155" s="4"/>
      <c r="V4155" s="4"/>
      <c r="W4155" s="4"/>
      <c r="X4155" s="4"/>
    </row>
    <row r="4156" spans="17:24" x14ac:dyDescent="0.3">
      <c r="Q4156" s="4"/>
      <c r="R4156" s="4"/>
      <c r="S4156" s="4"/>
      <c r="T4156" s="4"/>
      <c r="U4156" s="4"/>
      <c r="V4156" s="4"/>
      <c r="W4156" s="4"/>
      <c r="X4156" s="4"/>
    </row>
    <row r="4157" spans="17:24" x14ac:dyDescent="0.3">
      <c r="Q4157" s="4"/>
      <c r="R4157" s="4"/>
      <c r="S4157" s="4"/>
      <c r="T4157" s="4"/>
      <c r="U4157" s="4"/>
      <c r="V4157" s="4"/>
      <c r="W4157" s="4"/>
      <c r="X4157" s="4"/>
    </row>
    <row r="4158" spans="17:24" x14ac:dyDescent="0.3">
      <c r="Q4158" s="4"/>
      <c r="R4158" s="4"/>
      <c r="S4158" s="4"/>
      <c r="T4158" s="4"/>
      <c r="U4158" s="4"/>
      <c r="V4158" s="4"/>
      <c r="W4158" s="4"/>
      <c r="X4158" s="4"/>
    </row>
    <row r="4159" spans="17:24" x14ac:dyDescent="0.3">
      <c r="Q4159" s="4"/>
      <c r="R4159" s="4"/>
      <c r="S4159" s="4"/>
      <c r="T4159" s="4"/>
      <c r="U4159" s="4"/>
      <c r="V4159" s="4"/>
      <c r="W4159" s="4"/>
      <c r="X4159" s="4"/>
    </row>
    <row r="4160" spans="17:24" x14ac:dyDescent="0.3">
      <c r="Q4160" s="4"/>
      <c r="R4160" s="4"/>
      <c r="S4160" s="4"/>
      <c r="T4160" s="4"/>
      <c r="U4160" s="4"/>
      <c r="V4160" s="4"/>
      <c r="W4160" s="4"/>
      <c r="X4160" s="4"/>
    </row>
    <row r="4161" spans="17:24" x14ac:dyDescent="0.3">
      <c r="Q4161" s="4"/>
      <c r="R4161" s="4"/>
      <c r="S4161" s="4"/>
      <c r="T4161" s="4"/>
      <c r="U4161" s="4"/>
      <c r="V4161" s="4"/>
      <c r="W4161" s="4"/>
      <c r="X4161" s="4"/>
    </row>
    <row r="4162" spans="17:24" x14ac:dyDescent="0.3">
      <c r="Q4162" s="4"/>
      <c r="R4162" s="4"/>
      <c r="S4162" s="4"/>
      <c r="T4162" s="4"/>
      <c r="U4162" s="4"/>
      <c r="V4162" s="4"/>
      <c r="W4162" s="4"/>
      <c r="X4162" s="4"/>
    </row>
    <row r="4163" spans="17:24" x14ac:dyDescent="0.3">
      <c r="Q4163" s="4"/>
      <c r="R4163" s="4"/>
      <c r="S4163" s="4"/>
      <c r="T4163" s="4"/>
      <c r="U4163" s="4"/>
      <c r="V4163" s="4"/>
      <c r="W4163" s="4"/>
      <c r="X4163" s="4"/>
    </row>
    <row r="4164" spans="17:24" x14ac:dyDescent="0.3">
      <c r="Q4164" s="4"/>
      <c r="R4164" s="4"/>
      <c r="S4164" s="4"/>
      <c r="T4164" s="4"/>
      <c r="U4164" s="4"/>
      <c r="V4164" s="4"/>
      <c r="W4164" s="4"/>
      <c r="X4164" s="4"/>
    </row>
    <row r="4165" spans="17:24" x14ac:dyDescent="0.3">
      <c r="Q4165" s="4"/>
      <c r="R4165" s="4"/>
      <c r="S4165" s="4"/>
      <c r="T4165" s="4"/>
      <c r="U4165" s="4"/>
      <c r="V4165" s="4"/>
      <c r="W4165" s="4"/>
      <c r="X4165" s="4"/>
    </row>
    <row r="4166" spans="17:24" x14ac:dyDescent="0.3">
      <c r="Q4166" s="4"/>
      <c r="R4166" s="4"/>
      <c r="S4166" s="4"/>
      <c r="T4166" s="4"/>
      <c r="U4166" s="4"/>
      <c r="V4166" s="4"/>
      <c r="W4166" s="4"/>
      <c r="X4166" s="4"/>
    </row>
    <row r="4167" spans="17:24" x14ac:dyDescent="0.3">
      <c r="Q4167" s="4"/>
      <c r="R4167" s="4"/>
      <c r="S4167" s="4"/>
      <c r="T4167" s="4"/>
      <c r="U4167" s="4"/>
      <c r="V4167" s="4"/>
      <c r="W4167" s="4"/>
      <c r="X4167" s="4"/>
    </row>
    <row r="4168" spans="17:24" x14ac:dyDescent="0.3">
      <c r="Q4168" s="4"/>
      <c r="R4168" s="4"/>
      <c r="S4168" s="4"/>
      <c r="T4168" s="4"/>
      <c r="U4168" s="4"/>
      <c r="V4168" s="4"/>
      <c r="W4168" s="4"/>
      <c r="X4168" s="4"/>
    </row>
    <row r="4169" spans="17:24" x14ac:dyDescent="0.3">
      <c r="Q4169" s="4"/>
      <c r="R4169" s="4"/>
      <c r="S4169" s="4"/>
      <c r="T4169" s="4"/>
      <c r="U4169" s="4"/>
      <c r="V4169" s="4"/>
      <c r="W4169" s="4"/>
      <c r="X4169" s="4"/>
    </row>
    <row r="4170" spans="17:24" x14ac:dyDescent="0.3">
      <c r="Q4170" s="4"/>
      <c r="R4170" s="4"/>
      <c r="S4170" s="4"/>
      <c r="T4170" s="4"/>
      <c r="U4170" s="4"/>
      <c r="V4170" s="4"/>
      <c r="W4170" s="4"/>
      <c r="X4170" s="4"/>
    </row>
    <row r="4171" spans="17:24" x14ac:dyDescent="0.3">
      <c r="Q4171" s="4"/>
      <c r="R4171" s="4"/>
      <c r="S4171" s="4"/>
      <c r="T4171" s="4"/>
      <c r="U4171" s="4"/>
      <c r="V4171" s="4"/>
      <c r="W4171" s="4"/>
      <c r="X4171" s="4"/>
    </row>
    <row r="4172" spans="17:24" x14ac:dyDescent="0.3">
      <c r="Q4172" s="4"/>
      <c r="R4172" s="4"/>
      <c r="S4172" s="4"/>
      <c r="T4172" s="4"/>
      <c r="U4172" s="4"/>
      <c r="V4172" s="4"/>
      <c r="W4172" s="4"/>
      <c r="X4172" s="4"/>
    </row>
    <row r="4173" spans="17:24" x14ac:dyDescent="0.3">
      <c r="Q4173" s="4"/>
      <c r="R4173" s="4"/>
      <c r="S4173" s="4"/>
      <c r="T4173" s="4"/>
      <c r="U4173" s="4"/>
      <c r="V4173" s="4"/>
      <c r="W4173" s="4"/>
      <c r="X4173" s="4"/>
    </row>
    <row r="4174" spans="17:24" x14ac:dyDescent="0.3">
      <c r="Q4174" s="4"/>
      <c r="R4174" s="4"/>
      <c r="S4174" s="4"/>
      <c r="T4174" s="4"/>
      <c r="U4174" s="4"/>
      <c r="V4174" s="4"/>
      <c r="W4174" s="4"/>
      <c r="X4174" s="4"/>
    </row>
    <row r="4175" spans="17:24" x14ac:dyDescent="0.3">
      <c r="Q4175" s="4"/>
      <c r="R4175" s="4"/>
      <c r="S4175" s="4"/>
      <c r="T4175" s="4"/>
      <c r="U4175" s="4"/>
      <c r="V4175" s="4"/>
      <c r="W4175" s="4"/>
      <c r="X4175" s="4"/>
    </row>
    <row r="4176" spans="17:24" x14ac:dyDescent="0.3">
      <c r="Q4176" s="4"/>
      <c r="R4176" s="4"/>
      <c r="S4176" s="4"/>
      <c r="T4176" s="4"/>
      <c r="U4176" s="4"/>
      <c r="V4176" s="4"/>
      <c r="W4176" s="4"/>
      <c r="X4176" s="4"/>
    </row>
    <row r="4177" spans="17:24" x14ac:dyDescent="0.3">
      <c r="Q4177" s="4"/>
      <c r="R4177" s="4"/>
      <c r="S4177" s="4"/>
      <c r="T4177" s="4"/>
      <c r="U4177" s="4"/>
      <c r="V4177" s="4"/>
      <c r="W4177" s="4"/>
      <c r="X4177" s="4"/>
    </row>
    <row r="4178" spans="17:24" x14ac:dyDescent="0.3">
      <c r="Q4178" s="4"/>
      <c r="R4178" s="4"/>
      <c r="S4178" s="4"/>
      <c r="T4178" s="4"/>
      <c r="U4178" s="4"/>
      <c r="V4178" s="4"/>
      <c r="W4178" s="4"/>
      <c r="X4178" s="4"/>
    </row>
    <row r="4179" spans="17:24" x14ac:dyDescent="0.3">
      <c r="Q4179" s="4"/>
      <c r="R4179" s="4"/>
      <c r="S4179" s="4"/>
      <c r="T4179" s="4"/>
      <c r="U4179" s="4"/>
      <c r="V4179" s="4"/>
      <c r="W4179" s="4"/>
      <c r="X4179" s="4"/>
    </row>
    <row r="4180" spans="17:24" x14ac:dyDescent="0.3">
      <c r="Q4180" s="4"/>
      <c r="R4180" s="4"/>
      <c r="S4180" s="4"/>
      <c r="T4180" s="4"/>
      <c r="U4180" s="4"/>
      <c r="V4180" s="4"/>
      <c r="W4180" s="4"/>
      <c r="X4180" s="4"/>
    </row>
    <row r="4181" spans="17:24" x14ac:dyDescent="0.3">
      <c r="Q4181" s="4"/>
      <c r="R4181" s="4"/>
      <c r="S4181" s="4"/>
      <c r="T4181" s="4"/>
      <c r="U4181" s="4"/>
      <c r="V4181" s="4"/>
      <c r="W4181" s="4"/>
      <c r="X4181" s="4"/>
    </row>
    <row r="4182" spans="17:24" x14ac:dyDescent="0.3">
      <c r="Q4182" s="4"/>
      <c r="R4182" s="4"/>
      <c r="S4182" s="4"/>
      <c r="T4182" s="4"/>
      <c r="U4182" s="4"/>
      <c r="V4182" s="4"/>
      <c r="W4182" s="4"/>
      <c r="X4182" s="4"/>
    </row>
    <row r="4183" spans="17:24" x14ac:dyDescent="0.3">
      <c r="Q4183" s="4"/>
      <c r="R4183" s="4"/>
      <c r="S4183" s="4"/>
      <c r="T4183" s="4"/>
      <c r="U4183" s="4"/>
      <c r="V4183" s="4"/>
      <c r="W4183" s="4"/>
      <c r="X4183" s="4"/>
    </row>
    <row r="4184" spans="17:24" x14ac:dyDescent="0.3">
      <c r="Q4184" s="4"/>
      <c r="R4184" s="4"/>
      <c r="S4184" s="4"/>
      <c r="T4184" s="4"/>
      <c r="U4184" s="4"/>
      <c r="V4184" s="4"/>
      <c r="W4184" s="4"/>
      <c r="X4184" s="4"/>
    </row>
    <row r="4185" spans="17:24" x14ac:dyDescent="0.3">
      <c r="Q4185" s="4"/>
      <c r="R4185" s="4"/>
      <c r="S4185" s="4"/>
      <c r="T4185" s="4"/>
      <c r="U4185" s="4"/>
      <c r="V4185" s="4"/>
      <c r="W4185" s="4"/>
      <c r="X4185" s="4"/>
    </row>
    <row r="4186" spans="17:24" x14ac:dyDescent="0.3">
      <c r="Q4186" s="4"/>
      <c r="R4186" s="4"/>
      <c r="S4186" s="4"/>
      <c r="T4186" s="4"/>
      <c r="U4186" s="4"/>
      <c r="V4186" s="4"/>
      <c r="W4186" s="4"/>
      <c r="X4186" s="4"/>
    </row>
    <row r="4187" spans="17:24" x14ac:dyDescent="0.3">
      <c r="Q4187" s="4"/>
      <c r="R4187" s="4"/>
      <c r="S4187" s="4"/>
      <c r="T4187" s="4"/>
      <c r="U4187" s="4"/>
      <c r="V4187" s="4"/>
      <c r="W4187" s="4"/>
      <c r="X4187" s="4"/>
    </row>
    <row r="4188" spans="17:24" x14ac:dyDescent="0.3">
      <c r="Q4188" s="4"/>
      <c r="R4188" s="4"/>
      <c r="S4188" s="4"/>
      <c r="T4188" s="4"/>
      <c r="U4188" s="4"/>
      <c r="V4188" s="4"/>
      <c r="W4188" s="4"/>
      <c r="X4188" s="4"/>
    </row>
    <row r="4189" spans="17:24" x14ac:dyDescent="0.3">
      <c r="Q4189" s="4"/>
      <c r="R4189" s="4"/>
      <c r="S4189" s="4"/>
      <c r="T4189" s="4"/>
      <c r="U4189" s="4"/>
      <c r="V4189" s="4"/>
      <c r="W4189" s="4"/>
      <c r="X4189" s="4"/>
    </row>
    <row r="4190" spans="17:24" x14ac:dyDescent="0.3">
      <c r="Q4190" s="4"/>
      <c r="R4190" s="4"/>
      <c r="S4190" s="4"/>
      <c r="T4190" s="4"/>
      <c r="U4190" s="4"/>
      <c r="V4190" s="4"/>
      <c r="W4190" s="4"/>
      <c r="X4190" s="4"/>
    </row>
    <row r="4191" spans="17:24" x14ac:dyDescent="0.3">
      <c r="Q4191" s="4"/>
      <c r="R4191" s="4"/>
      <c r="S4191" s="4"/>
      <c r="T4191" s="4"/>
      <c r="U4191" s="4"/>
      <c r="V4191" s="4"/>
      <c r="W4191" s="4"/>
      <c r="X4191" s="4"/>
    </row>
    <row r="4192" spans="17:24" x14ac:dyDescent="0.3">
      <c r="Q4192" s="4"/>
      <c r="R4192" s="4"/>
      <c r="S4192" s="4"/>
      <c r="T4192" s="4"/>
      <c r="U4192" s="4"/>
      <c r="V4192" s="4"/>
      <c r="W4192" s="4"/>
      <c r="X4192" s="4"/>
    </row>
    <row r="4193" spans="17:24" x14ac:dyDescent="0.3">
      <c r="Q4193" s="4"/>
      <c r="R4193" s="4"/>
      <c r="S4193" s="4"/>
      <c r="T4193" s="4"/>
      <c r="U4193" s="4"/>
      <c r="V4193" s="4"/>
      <c r="W4193" s="4"/>
      <c r="X4193" s="4"/>
    </row>
    <row r="4194" spans="17:24" x14ac:dyDescent="0.3">
      <c r="Q4194" s="4"/>
      <c r="R4194" s="4"/>
      <c r="S4194" s="4"/>
      <c r="T4194" s="4"/>
      <c r="U4194" s="4"/>
      <c r="V4194" s="4"/>
      <c r="W4194" s="4"/>
      <c r="X4194" s="4"/>
    </row>
    <row r="4195" spans="17:24" x14ac:dyDescent="0.3">
      <c r="Q4195" s="4"/>
      <c r="R4195" s="4"/>
      <c r="S4195" s="4"/>
      <c r="T4195" s="4"/>
      <c r="U4195" s="4"/>
      <c r="V4195" s="4"/>
      <c r="W4195" s="4"/>
      <c r="X4195" s="4"/>
    </row>
    <row r="4196" spans="17:24" x14ac:dyDescent="0.3">
      <c r="Q4196" s="4"/>
      <c r="R4196" s="4"/>
      <c r="S4196" s="4"/>
      <c r="T4196" s="4"/>
      <c r="U4196" s="4"/>
      <c r="V4196" s="4"/>
      <c r="W4196" s="4"/>
      <c r="X4196" s="4"/>
    </row>
    <row r="4197" spans="17:24" x14ac:dyDescent="0.3">
      <c r="Q4197" s="4"/>
      <c r="R4197" s="4"/>
      <c r="S4197" s="4"/>
      <c r="T4197" s="4"/>
      <c r="U4197" s="4"/>
      <c r="V4197" s="4"/>
      <c r="W4197" s="4"/>
      <c r="X4197" s="4"/>
    </row>
    <row r="4198" spans="17:24" x14ac:dyDescent="0.3">
      <c r="Q4198" s="4"/>
      <c r="R4198" s="4"/>
      <c r="S4198" s="4"/>
      <c r="T4198" s="4"/>
      <c r="U4198" s="4"/>
      <c r="V4198" s="4"/>
      <c r="W4198" s="4"/>
      <c r="X4198" s="4"/>
    </row>
    <row r="4199" spans="17:24" x14ac:dyDescent="0.3">
      <c r="Q4199" s="4"/>
      <c r="R4199" s="4"/>
      <c r="S4199" s="4"/>
      <c r="T4199" s="4"/>
      <c r="U4199" s="4"/>
      <c r="V4199" s="4"/>
      <c r="W4199" s="4"/>
      <c r="X4199" s="4"/>
    </row>
    <row r="4200" spans="17:24" x14ac:dyDescent="0.3">
      <c r="Q4200" s="4"/>
      <c r="R4200" s="4"/>
      <c r="S4200" s="4"/>
      <c r="T4200" s="4"/>
      <c r="U4200" s="4"/>
      <c r="V4200" s="4"/>
      <c r="W4200" s="4"/>
      <c r="X4200" s="4"/>
    </row>
    <row r="4201" spans="17:24" x14ac:dyDescent="0.3">
      <c r="Q4201" s="4"/>
      <c r="R4201" s="4"/>
      <c r="S4201" s="4"/>
      <c r="T4201" s="4"/>
      <c r="U4201" s="4"/>
      <c r="V4201" s="4"/>
      <c r="W4201" s="4"/>
      <c r="X4201" s="4"/>
    </row>
    <row r="4202" spans="17:24" x14ac:dyDescent="0.3">
      <c r="Q4202" s="4"/>
      <c r="R4202" s="4"/>
      <c r="S4202" s="4"/>
      <c r="T4202" s="4"/>
      <c r="U4202" s="4"/>
      <c r="V4202" s="4"/>
      <c r="W4202" s="4"/>
      <c r="X4202" s="4"/>
    </row>
    <row r="4203" spans="17:24" x14ac:dyDescent="0.3">
      <c r="Q4203" s="4"/>
      <c r="R4203" s="4"/>
      <c r="S4203" s="4"/>
      <c r="T4203" s="4"/>
      <c r="U4203" s="4"/>
      <c r="V4203" s="4"/>
      <c r="W4203" s="4"/>
      <c r="X4203" s="4"/>
    </row>
    <row r="4204" spans="17:24" x14ac:dyDescent="0.3">
      <c r="Q4204" s="4"/>
      <c r="R4204" s="4"/>
      <c r="S4204" s="4"/>
      <c r="T4204" s="4"/>
      <c r="U4204" s="4"/>
      <c r="V4204" s="4"/>
      <c r="W4204" s="4"/>
      <c r="X4204" s="4"/>
    </row>
    <row r="4205" spans="17:24" x14ac:dyDescent="0.3">
      <c r="Q4205" s="4"/>
      <c r="R4205" s="4"/>
      <c r="S4205" s="4"/>
      <c r="T4205" s="4"/>
      <c r="U4205" s="4"/>
      <c r="V4205" s="4"/>
      <c r="W4205" s="4"/>
      <c r="X4205" s="4"/>
    </row>
    <row r="4206" spans="17:24" x14ac:dyDescent="0.3">
      <c r="Q4206" s="4"/>
      <c r="R4206" s="4"/>
      <c r="S4206" s="4"/>
      <c r="T4206" s="4"/>
      <c r="U4206" s="4"/>
      <c r="V4206" s="4"/>
      <c r="W4206" s="4"/>
      <c r="X4206" s="4"/>
    </row>
    <row r="4207" spans="17:24" x14ac:dyDescent="0.3">
      <c r="Q4207" s="4"/>
      <c r="R4207" s="4"/>
      <c r="S4207" s="4"/>
      <c r="T4207" s="4"/>
      <c r="U4207" s="4"/>
      <c r="V4207" s="4"/>
      <c r="W4207" s="4"/>
      <c r="X4207" s="4"/>
    </row>
    <row r="4208" spans="17:24" x14ac:dyDescent="0.3">
      <c r="Q4208" s="4"/>
      <c r="R4208" s="4"/>
      <c r="S4208" s="4"/>
      <c r="T4208" s="4"/>
      <c r="U4208" s="4"/>
      <c r="V4208" s="4"/>
      <c r="W4208" s="4"/>
      <c r="X4208" s="4"/>
    </row>
    <row r="4209" spans="17:24" x14ac:dyDescent="0.3">
      <c r="Q4209" s="4"/>
      <c r="R4209" s="4"/>
      <c r="S4209" s="4"/>
      <c r="T4209" s="4"/>
      <c r="U4209" s="4"/>
      <c r="V4209" s="4"/>
      <c r="W4209" s="4"/>
      <c r="X4209" s="4"/>
    </row>
    <row r="4210" spans="17:24" x14ac:dyDescent="0.3">
      <c r="Q4210" s="4"/>
      <c r="R4210" s="4"/>
      <c r="S4210" s="4"/>
      <c r="T4210" s="4"/>
      <c r="U4210" s="4"/>
      <c r="V4210" s="4"/>
      <c r="W4210" s="4"/>
      <c r="X4210" s="4"/>
    </row>
    <row r="4211" spans="17:24" x14ac:dyDescent="0.3">
      <c r="Q4211" s="4"/>
      <c r="R4211" s="4"/>
      <c r="S4211" s="4"/>
      <c r="T4211" s="4"/>
      <c r="U4211" s="4"/>
      <c r="V4211" s="4"/>
      <c r="W4211" s="4"/>
      <c r="X4211" s="4"/>
    </row>
    <row r="4212" spans="17:24" x14ac:dyDescent="0.3">
      <c r="Q4212" s="4"/>
      <c r="R4212" s="4"/>
      <c r="S4212" s="4"/>
      <c r="T4212" s="4"/>
      <c r="U4212" s="4"/>
      <c r="V4212" s="4"/>
      <c r="W4212" s="4"/>
      <c r="X4212" s="4"/>
    </row>
    <row r="4213" spans="17:24" x14ac:dyDescent="0.3">
      <c r="Q4213" s="4"/>
      <c r="R4213" s="4"/>
      <c r="S4213" s="4"/>
      <c r="T4213" s="4"/>
      <c r="U4213" s="4"/>
      <c r="V4213" s="4"/>
      <c r="W4213" s="4"/>
      <c r="X4213" s="4"/>
    </row>
    <row r="4214" spans="17:24" x14ac:dyDescent="0.3">
      <c r="Q4214" s="4"/>
      <c r="R4214" s="4"/>
      <c r="S4214" s="4"/>
      <c r="T4214" s="4"/>
      <c r="U4214" s="4"/>
      <c r="V4214" s="4"/>
      <c r="W4214" s="4"/>
      <c r="X4214" s="4"/>
    </row>
    <row r="4215" spans="17:24" x14ac:dyDescent="0.3">
      <c r="Q4215" s="4"/>
      <c r="R4215" s="4"/>
      <c r="S4215" s="4"/>
      <c r="T4215" s="4"/>
      <c r="U4215" s="4"/>
      <c r="V4215" s="4"/>
      <c r="W4215" s="4"/>
      <c r="X4215" s="4"/>
    </row>
    <row r="4216" spans="17:24" x14ac:dyDescent="0.3">
      <c r="Q4216" s="4"/>
      <c r="R4216" s="4"/>
      <c r="S4216" s="4"/>
      <c r="T4216" s="4"/>
      <c r="U4216" s="4"/>
      <c r="V4216" s="4"/>
      <c r="W4216" s="4"/>
      <c r="X4216" s="4"/>
    </row>
    <row r="4217" spans="17:24" x14ac:dyDescent="0.3">
      <c r="Q4217" s="4"/>
      <c r="R4217" s="4"/>
      <c r="S4217" s="4"/>
      <c r="T4217" s="4"/>
      <c r="U4217" s="4"/>
      <c r="V4217" s="4"/>
      <c r="W4217" s="4"/>
      <c r="X4217" s="4"/>
    </row>
    <row r="4218" spans="17:24" x14ac:dyDescent="0.3">
      <c r="Q4218" s="4"/>
      <c r="R4218" s="4"/>
      <c r="S4218" s="4"/>
      <c r="T4218" s="4"/>
      <c r="U4218" s="4"/>
      <c r="V4218" s="4"/>
      <c r="W4218" s="4"/>
      <c r="X4218" s="4"/>
    </row>
    <row r="4219" spans="17:24" x14ac:dyDescent="0.3">
      <c r="Q4219" s="4"/>
      <c r="R4219" s="4"/>
      <c r="S4219" s="4"/>
      <c r="T4219" s="4"/>
      <c r="U4219" s="4"/>
      <c r="V4219" s="4"/>
      <c r="W4219" s="4"/>
      <c r="X4219" s="4"/>
    </row>
    <row r="4220" spans="17:24" x14ac:dyDescent="0.3">
      <c r="Q4220" s="4"/>
      <c r="R4220" s="4"/>
      <c r="S4220" s="4"/>
      <c r="T4220" s="4"/>
      <c r="U4220" s="4"/>
      <c r="V4220" s="4"/>
      <c r="W4220" s="4"/>
      <c r="X4220" s="4"/>
    </row>
    <row r="4221" spans="17:24" x14ac:dyDescent="0.3">
      <c r="Q4221" s="4"/>
      <c r="R4221" s="4"/>
      <c r="S4221" s="4"/>
      <c r="T4221" s="4"/>
      <c r="U4221" s="4"/>
      <c r="V4221" s="4"/>
      <c r="W4221" s="4"/>
      <c r="X4221" s="4"/>
    </row>
    <row r="4222" spans="17:24" x14ac:dyDescent="0.3">
      <c r="Q4222" s="4"/>
      <c r="R4222" s="4"/>
      <c r="S4222" s="4"/>
      <c r="T4222" s="4"/>
      <c r="U4222" s="4"/>
      <c r="V4222" s="4"/>
      <c r="W4222" s="4"/>
      <c r="X4222" s="4"/>
    </row>
    <row r="4223" spans="17:24" x14ac:dyDescent="0.3">
      <c r="Q4223" s="4"/>
      <c r="R4223" s="4"/>
      <c r="S4223" s="4"/>
      <c r="T4223" s="4"/>
      <c r="U4223" s="4"/>
      <c r="V4223" s="4"/>
      <c r="W4223" s="4"/>
      <c r="X4223" s="4"/>
    </row>
    <row r="4224" spans="17:24" x14ac:dyDescent="0.3">
      <c r="Q4224" s="4"/>
      <c r="R4224" s="4"/>
      <c r="S4224" s="4"/>
      <c r="T4224" s="4"/>
      <c r="U4224" s="4"/>
      <c r="V4224" s="4"/>
      <c r="W4224" s="4"/>
      <c r="X4224" s="4"/>
    </row>
    <row r="4225" spans="17:24" x14ac:dyDescent="0.3">
      <c r="Q4225" s="4"/>
      <c r="R4225" s="4"/>
      <c r="S4225" s="4"/>
      <c r="T4225" s="4"/>
      <c r="U4225" s="4"/>
      <c r="V4225" s="4"/>
      <c r="W4225" s="4"/>
      <c r="X4225" s="4"/>
    </row>
    <row r="4226" spans="17:24" x14ac:dyDescent="0.3">
      <c r="Q4226" s="4"/>
      <c r="R4226" s="4"/>
      <c r="S4226" s="4"/>
      <c r="T4226" s="4"/>
      <c r="U4226" s="4"/>
      <c r="V4226" s="4"/>
      <c r="W4226" s="4"/>
      <c r="X4226" s="4"/>
    </row>
    <row r="4227" spans="17:24" x14ac:dyDescent="0.3">
      <c r="Q4227" s="4"/>
      <c r="R4227" s="4"/>
      <c r="S4227" s="4"/>
      <c r="T4227" s="4"/>
      <c r="U4227" s="4"/>
      <c r="V4227" s="4"/>
      <c r="W4227" s="4"/>
      <c r="X4227" s="4"/>
    </row>
    <row r="4228" spans="17:24" x14ac:dyDescent="0.3">
      <c r="Q4228" s="4"/>
      <c r="R4228" s="4"/>
      <c r="S4228" s="4"/>
      <c r="T4228" s="4"/>
      <c r="U4228" s="4"/>
      <c r="V4228" s="4"/>
      <c r="W4228" s="4"/>
      <c r="X4228" s="4"/>
    </row>
    <row r="4229" spans="17:24" x14ac:dyDescent="0.3">
      <c r="Q4229" s="4"/>
      <c r="R4229" s="4"/>
      <c r="S4229" s="4"/>
      <c r="T4229" s="4"/>
      <c r="U4229" s="4"/>
      <c r="V4229" s="4"/>
      <c r="W4229" s="4"/>
      <c r="X4229" s="4"/>
    </row>
    <row r="4230" spans="17:24" x14ac:dyDescent="0.3">
      <c r="Q4230" s="4"/>
      <c r="R4230" s="4"/>
      <c r="S4230" s="4"/>
      <c r="T4230" s="4"/>
      <c r="U4230" s="4"/>
      <c r="V4230" s="4"/>
      <c r="W4230" s="4"/>
      <c r="X4230" s="4"/>
    </row>
    <row r="4231" spans="17:24" x14ac:dyDescent="0.3">
      <c r="Q4231" s="4"/>
      <c r="R4231" s="4"/>
      <c r="S4231" s="4"/>
      <c r="T4231" s="4"/>
      <c r="U4231" s="4"/>
      <c r="V4231" s="4"/>
      <c r="W4231" s="4"/>
      <c r="X4231" s="4"/>
    </row>
    <row r="4232" spans="17:24" x14ac:dyDescent="0.3">
      <c r="Q4232" s="4"/>
      <c r="R4232" s="4"/>
      <c r="S4232" s="4"/>
      <c r="T4232" s="4"/>
      <c r="U4232" s="4"/>
      <c r="V4232" s="4"/>
      <c r="W4232" s="4"/>
      <c r="X4232" s="4"/>
    </row>
    <row r="4233" spans="17:24" x14ac:dyDescent="0.3">
      <c r="Q4233" s="4"/>
      <c r="R4233" s="4"/>
      <c r="S4233" s="4"/>
      <c r="T4233" s="4"/>
      <c r="U4233" s="4"/>
      <c r="V4233" s="4"/>
      <c r="W4233" s="4"/>
      <c r="X4233" s="4"/>
    </row>
    <row r="4234" spans="17:24" x14ac:dyDescent="0.3">
      <c r="Q4234" s="4"/>
      <c r="R4234" s="4"/>
      <c r="S4234" s="4"/>
      <c r="T4234" s="4"/>
      <c r="U4234" s="4"/>
      <c r="V4234" s="4"/>
      <c r="W4234" s="4"/>
      <c r="X4234" s="4"/>
    </row>
    <row r="4235" spans="17:24" x14ac:dyDescent="0.3">
      <c r="Q4235" s="4"/>
      <c r="R4235" s="4"/>
      <c r="S4235" s="4"/>
      <c r="T4235" s="4"/>
      <c r="U4235" s="4"/>
      <c r="V4235" s="4"/>
      <c r="W4235" s="4"/>
      <c r="X4235" s="4"/>
    </row>
    <row r="4236" spans="17:24" x14ac:dyDescent="0.3">
      <c r="Q4236" s="4"/>
      <c r="R4236" s="4"/>
      <c r="S4236" s="4"/>
      <c r="T4236" s="4"/>
      <c r="U4236" s="4"/>
      <c r="V4236" s="4"/>
      <c r="W4236" s="4"/>
      <c r="X4236" s="4"/>
    </row>
    <row r="4237" spans="17:24" x14ac:dyDescent="0.3">
      <c r="Q4237" s="4"/>
      <c r="R4237" s="4"/>
      <c r="S4237" s="4"/>
      <c r="T4237" s="4"/>
      <c r="U4237" s="4"/>
      <c r="V4237" s="4"/>
      <c r="W4237" s="4"/>
      <c r="X4237" s="4"/>
    </row>
    <row r="4238" spans="17:24" x14ac:dyDescent="0.3">
      <c r="Q4238" s="4"/>
      <c r="R4238" s="4"/>
      <c r="S4238" s="4"/>
      <c r="T4238" s="4"/>
      <c r="U4238" s="4"/>
      <c r="V4238" s="4"/>
      <c r="W4238" s="4"/>
      <c r="X4238" s="4"/>
    </row>
    <row r="4239" spans="17:24" x14ac:dyDescent="0.3">
      <c r="Q4239" s="4"/>
      <c r="R4239" s="4"/>
      <c r="S4239" s="4"/>
      <c r="T4239" s="4"/>
      <c r="U4239" s="4"/>
      <c r="V4239" s="4"/>
      <c r="W4239" s="4"/>
      <c r="X4239" s="4"/>
    </row>
    <row r="4240" spans="17:24" x14ac:dyDescent="0.3">
      <c r="Q4240" s="4"/>
      <c r="R4240" s="4"/>
      <c r="S4240" s="4"/>
      <c r="T4240" s="4"/>
      <c r="U4240" s="4"/>
      <c r="V4240" s="4"/>
      <c r="W4240" s="4"/>
      <c r="X4240" s="4"/>
    </row>
    <row r="4241" spans="17:24" x14ac:dyDescent="0.3">
      <c r="Q4241" s="4"/>
      <c r="R4241" s="4"/>
      <c r="S4241" s="4"/>
      <c r="T4241" s="4"/>
      <c r="U4241" s="4"/>
      <c r="V4241" s="4"/>
      <c r="W4241" s="4"/>
      <c r="X4241" s="4"/>
    </row>
    <row r="4242" spans="17:24" x14ac:dyDescent="0.3">
      <c r="Q4242" s="4"/>
      <c r="R4242" s="4"/>
      <c r="S4242" s="4"/>
      <c r="T4242" s="4"/>
      <c r="U4242" s="4"/>
      <c r="V4242" s="4"/>
      <c r="W4242" s="4"/>
      <c r="X4242" s="4"/>
    </row>
    <row r="4243" spans="17:24" x14ac:dyDescent="0.3">
      <c r="Q4243" s="4"/>
      <c r="R4243" s="4"/>
      <c r="S4243" s="4"/>
      <c r="T4243" s="4"/>
      <c r="U4243" s="4"/>
      <c r="V4243" s="4"/>
      <c r="W4243" s="4"/>
      <c r="X4243" s="4"/>
    </row>
    <row r="4244" spans="17:24" x14ac:dyDescent="0.3">
      <c r="Q4244" s="4"/>
      <c r="R4244" s="4"/>
      <c r="S4244" s="4"/>
      <c r="T4244" s="4"/>
      <c r="U4244" s="4"/>
      <c r="V4244" s="4"/>
      <c r="W4244" s="4"/>
      <c r="X4244" s="4"/>
    </row>
    <row r="4245" spans="17:24" x14ac:dyDescent="0.3">
      <c r="Q4245" s="4"/>
      <c r="R4245" s="4"/>
      <c r="S4245" s="4"/>
      <c r="T4245" s="4"/>
      <c r="U4245" s="4"/>
      <c r="V4245" s="4"/>
      <c r="W4245" s="4"/>
      <c r="X4245" s="4"/>
    </row>
    <row r="4246" spans="17:24" x14ac:dyDescent="0.3">
      <c r="Q4246" s="4"/>
      <c r="R4246" s="4"/>
      <c r="S4246" s="4"/>
      <c r="T4246" s="4"/>
      <c r="U4246" s="4"/>
      <c r="V4246" s="4"/>
      <c r="W4246" s="4"/>
      <c r="X4246" s="4"/>
    </row>
    <row r="4247" spans="17:24" x14ac:dyDescent="0.3">
      <c r="Q4247" s="4"/>
      <c r="R4247" s="4"/>
      <c r="S4247" s="4"/>
      <c r="T4247" s="4"/>
      <c r="U4247" s="4"/>
      <c r="V4247" s="4"/>
      <c r="W4247" s="4"/>
      <c r="X4247" s="4"/>
    </row>
    <row r="4248" spans="17:24" x14ac:dyDescent="0.3">
      <c r="Q4248" s="4"/>
      <c r="R4248" s="4"/>
      <c r="S4248" s="4"/>
      <c r="T4248" s="4"/>
      <c r="U4248" s="4"/>
      <c r="V4248" s="4"/>
      <c r="W4248" s="4"/>
      <c r="X4248" s="4"/>
    </row>
    <row r="4249" spans="17:24" x14ac:dyDescent="0.3">
      <c r="Q4249" s="4"/>
      <c r="R4249" s="4"/>
      <c r="S4249" s="4"/>
      <c r="T4249" s="4"/>
      <c r="U4249" s="4"/>
      <c r="V4249" s="4"/>
      <c r="W4249" s="4"/>
      <c r="X4249" s="4"/>
    </row>
    <row r="4250" spans="17:24" x14ac:dyDescent="0.3">
      <c r="Q4250" s="4"/>
      <c r="R4250" s="4"/>
      <c r="S4250" s="4"/>
      <c r="T4250" s="4"/>
      <c r="U4250" s="4"/>
      <c r="V4250" s="4"/>
      <c r="W4250" s="4"/>
      <c r="X4250" s="4"/>
    </row>
    <row r="4251" spans="17:24" x14ac:dyDescent="0.3">
      <c r="Q4251" s="4"/>
      <c r="R4251" s="4"/>
      <c r="S4251" s="4"/>
      <c r="T4251" s="4"/>
      <c r="U4251" s="4"/>
      <c r="V4251" s="4"/>
      <c r="W4251" s="4"/>
      <c r="X4251" s="4"/>
    </row>
    <row r="4252" spans="17:24" x14ac:dyDescent="0.3">
      <c r="Q4252" s="4"/>
      <c r="R4252" s="4"/>
      <c r="S4252" s="4"/>
      <c r="T4252" s="4"/>
      <c r="U4252" s="4"/>
      <c r="V4252" s="4"/>
      <c r="W4252" s="4"/>
      <c r="X4252" s="4"/>
    </row>
    <row r="4253" spans="17:24" x14ac:dyDescent="0.3">
      <c r="Q4253" s="4"/>
      <c r="R4253" s="4"/>
      <c r="S4253" s="4"/>
      <c r="T4253" s="4"/>
      <c r="U4253" s="4"/>
      <c r="V4253" s="4"/>
      <c r="W4253" s="4"/>
      <c r="X4253" s="4"/>
    </row>
    <row r="4254" spans="17:24" x14ac:dyDescent="0.3">
      <c r="Q4254" s="4"/>
      <c r="R4254" s="4"/>
      <c r="S4254" s="4"/>
      <c r="T4254" s="4"/>
      <c r="U4254" s="4"/>
      <c r="V4254" s="4"/>
      <c r="W4254" s="4"/>
      <c r="X4254" s="4"/>
    </row>
    <row r="4255" spans="17:24" x14ac:dyDescent="0.3">
      <c r="Q4255" s="4"/>
      <c r="R4255" s="4"/>
      <c r="S4255" s="4"/>
      <c r="T4255" s="4"/>
      <c r="U4255" s="4"/>
      <c r="V4255" s="4"/>
      <c r="W4255" s="4"/>
      <c r="X4255" s="4"/>
    </row>
    <row r="4256" spans="17:24" x14ac:dyDescent="0.3">
      <c r="Q4256" s="4"/>
      <c r="R4256" s="4"/>
      <c r="S4256" s="4"/>
      <c r="T4256" s="4"/>
      <c r="U4256" s="4"/>
      <c r="V4256" s="4"/>
      <c r="W4256" s="4"/>
      <c r="X4256" s="4"/>
    </row>
    <row r="4257" spans="17:24" x14ac:dyDescent="0.3">
      <c r="Q4257" s="4"/>
      <c r="R4257" s="4"/>
      <c r="S4257" s="4"/>
      <c r="T4257" s="4"/>
      <c r="U4257" s="4"/>
      <c r="V4257" s="4"/>
      <c r="W4257" s="4"/>
      <c r="X4257" s="4"/>
    </row>
    <row r="4258" spans="17:24" x14ac:dyDescent="0.3">
      <c r="Q4258" s="4"/>
      <c r="R4258" s="4"/>
      <c r="S4258" s="4"/>
      <c r="T4258" s="4"/>
      <c r="U4258" s="4"/>
      <c r="V4258" s="4"/>
      <c r="W4258" s="4"/>
      <c r="X4258" s="4"/>
    </row>
    <row r="4259" spans="17:24" x14ac:dyDescent="0.3">
      <c r="Q4259" s="4"/>
      <c r="R4259" s="4"/>
      <c r="S4259" s="4"/>
      <c r="T4259" s="4"/>
      <c r="U4259" s="4"/>
      <c r="V4259" s="4"/>
      <c r="W4259" s="4"/>
      <c r="X4259" s="4"/>
    </row>
    <row r="4260" spans="17:24" x14ac:dyDescent="0.3">
      <c r="Q4260" s="4"/>
      <c r="R4260" s="4"/>
      <c r="S4260" s="4"/>
      <c r="T4260" s="4"/>
      <c r="U4260" s="4"/>
      <c r="V4260" s="4"/>
      <c r="W4260" s="4"/>
      <c r="X4260" s="4"/>
    </row>
    <row r="4261" spans="17:24" x14ac:dyDescent="0.3">
      <c r="Q4261" s="4"/>
      <c r="R4261" s="4"/>
      <c r="S4261" s="4"/>
      <c r="T4261" s="4"/>
      <c r="U4261" s="4"/>
      <c r="V4261" s="4"/>
      <c r="W4261" s="4"/>
      <c r="X4261" s="4"/>
    </row>
    <row r="4262" spans="17:24" x14ac:dyDescent="0.3">
      <c r="Q4262" s="4"/>
      <c r="R4262" s="4"/>
      <c r="S4262" s="4"/>
      <c r="T4262" s="4"/>
      <c r="U4262" s="4"/>
      <c r="V4262" s="4"/>
      <c r="W4262" s="4"/>
      <c r="X4262" s="4"/>
    </row>
    <row r="4263" spans="17:24" x14ac:dyDescent="0.3">
      <c r="Q4263" s="4"/>
      <c r="R4263" s="4"/>
      <c r="S4263" s="4"/>
      <c r="T4263" s="4"/>
      <c r="U4263" s="4"/>
      <c r="V4263" s="4"/>
      <c r="W4263" s="4"/>
      <c r="X4263" s="4"/>
    </row>
    <row r="4264" spans="17:24" x14ac:dyDescent="0.3">
      <c r="Q4264" s="4"/>
      <c r="R4264" s="4"/>
      <c r="S4264" s="4"/>
      <c r="T4264" s="4"/>
      <c r="U4264" s="4"/>
      <c r="V4264" s="4"/>
      <c r="W4264" s="4"/>
      <c r="X4264" s="4"/>
    </row>
    <row r="4265" spans="17:24" x14ac:dyDescent="0.3">
      <c r="Q4265" s="4"/>
      <c r="R4265" s="4"/>
      <c r="S4265" s="4"/>
      <c r="T4265" s="4"/>
      <c r="U4265" s="4"/>
      <c r="V4265" s="4"/>
      <c r="W4265" s="4"/>
      <c r="X4265" s="4"/>
    </row>
    <row r="4266" spans="17:24" x14ac:dyDescent="0.3">
      <c r="Q4266" s="4"/>
      <c r="R4266" s="4"/>
      <c r="S4266" s="4"/>
      <c r="T4266" s="4"/>
      <c r="U4266" s="4"/>
      <c r="V4266" s="4"/>
      <c r="W4266" s="4"/>
      <c r="X4266" s="4"/>
    </row>
    <row r="4267" spans="17:24" x14ac:dyDescent="0.3">
      <c r="Q4267" s="4"/>
      <c r="R4267" s="4"/>
      <c r="S4267" s="4"/>
      <c r="T4267" s="4"/>
      <c r="U4267" s="4"/>
      <c r="V4267" s="4"/>
      <c r="W4267" s="4"/>
      <c r="X4267" s="4"/>
    </row>
    <row r="4268" spans="17:24" x14ac:dyDescent="0.3">
      <c r="Q4268" s="4"/>
      <c r="R4268" s="4"/>
      <c r="S4268" s="4"/>
      <c r="T4268" s="4"/>
      <c r="U4268" s="4"/>
      <c r="V4268" s="4"/>
      <c r="W4268" s="4"/>
      <c r="X4268" s="4"/>
    </row>
    <row r="4269" spans="17:24" x14ac:dyDescent="0.3">
      <c r="Q4269" s="4"/>
      <c r="R4269" s="4"/>
      <c r="S4269" s="4"/>
      <c r="T4269" s="4"/>
      <c r="U4269" s="4"/>
      <c r="V4269" s="4"/>
      <c r="W4269" s="4"/>
      <c r="X4269" s="4"/>
    </row>
    <row r="4270" spans="17:24" x14ac:dyDescent="0.3">
      <c r="Q4270" s="4"/>
      <c r="R4270" s="4"/>
      <c r="S4270" s="4"/>
      <c r="T4270" s="4"/>
      <c r="U4270" s="4"/>
      <c r="V4270" s="4"/>
      <c r="W4270" s="4"/>
      <c r="X4270" s="4"/>
    </row>
    <row r="4271" spans="17:24" x14ac:dyDescent="0.3">
      <c r="Q4271" s="4"/>
      <c r="R4271" s="4"/>
      <c r="S4271" s="4"/>
      <c r="T4271" s="4"/>
      <c r="U4271" s="4"/>
      <c r="V4271" s="4"/>
      <c r="W4271" s="4"/>
      <c r="X4271" s="4"/>
    </row>
    <row r="4272" spans="17:24" x14ac:dyDescent="0.3">
      <c r="Q4272" s="4"/>
      <c r="R4272" s="4"/>
      <c r="S4272" s="4"/>
      <c r="T4272" s="4"/>
      <c r="U4272" s="4"/>
      <c r="V4272" s="4"/>
      <c r="W4272" s="4"/>
      <c r="X4272" s="4"/>
    </row>
    <row r="4273" spans="17:24" x14ac:dyDescent="0.3">
      <c r="Q4273" s="4"/>
      <c r="R4273" s="4"/>
      <c r="S4273" s="4"/>
      <c r="T4273" s="4"/>
      <c r="U4273" s="4"/>
      <c r="V4273" s="4"/>
      <c r="W4273" s="4"/>
      <c r="X4273" s="4"/>
    </row>
    <row r="4274" spans="17:24" x14ac:dyDescent="0.3">
      <c r="Q4274" s="4"/>
      <c r="R4274" s="4"/>
      <c r="S4274" s="4"/>
      <c r="T4274" s="4"/>
      <c r="U4274" s="4"/>
      <c r="V4274" s="4"/>
      <c r="W4274" s="4"/>
      <c r="X4274" s="4"/>
    </row>
    <row r="4275" spans="17:24" x14ac:dyDescent="0.3">
      <c r="Q4275" s="4"/>
      <c r="R4275" s="4"/>
      <c r="S4275" s="4"/>
      <c r="T4275" s="4"/>
      <c r="U4275" s="4"/>
      <c r="V4275" s="4"/>
      <c r="W4275" s="4"/>
      <c r="X4275" s="4"/>
    </row>
    <row r="4276" spans="17:24" x14ac:dyDescent="0.3">
      <c r="Q4276" s="4"/>
      <c r="R4276" s="4"/>
      <c r="S4276" s="4"/>
      <c r="T4276" s="4"/>
      <c r="U4276" s="4"/>
      <c r="V4276" s="4"/>
      <c r="W4276" s="4"/>
      <c r="X4276" s="4"/>
    </row>
    <row r="4277" spans="17:24" x14ac:dyDescent="0.3">
      <c r="Q4277" s="4"/>
      <c r="R4277" s="4"/>
      <c r="S4277" s="4"/>
      <c r="T4277" s="4"/>
      <c r="U4277" s="4"/>
      <c r="V4277" s="4"/>
      <c r="W4277" s="4"/>
      <c r="X4277" s="4"/>
    </row>
    <row r="4278" spans="17:24" x14ac:dyDescent="0.3">
      <c r="Q4278" s="4"/>
      <c r="R4278" s="4"/>
      <c r="S4278" s="4"/>
      <c r="T4278" s="4"/>
      <c r="U4278" s="4"/>
      <c r="V4278" s="4"/>
      <c r="W4278" s="4"/>
      <c r="X4278" s="4"/>
    </row>
    <row r="4279" spans="17:24" x14ac:dyDescent="0.3">
      <c r="Q4279" s="4"/>
      <c r="R4279" s="4"/>
      <c r="S4279" s="4"/>
      <c r="T4279" s="4"/>
      <c r="U4279" s="4"/>
      <c r="V4279" s="4"/>
      <c r="W4279" s="4"/>
      <c r="X4279" s="4"/>
    </row>
    <row r="4280" spans="17:24" x14ac:dyDescent="0.3">
      <c r="Q4280" s="4"/>
      <c r="R4280" s="4"/>
      <c r="S4280" s="4"/>
      <c r="T4280" s="4"/>
      <c r="U4280" s="4"/>
      <c r="V4280" s="4"/>
      <c r="W4280" s="4"/>
      <c r="X4280" s="4"/>
    </row>
    <row r="4281" spans="17:24" x14ac:dyDescent="0.3">
      <c r="Q4281" s="4"/>
      <c r="R4281" s="4"/>
      <c r="S4281" s="4"/>
      <c r="T4281" s="4"/>
      <c r="U4281" s="4"/>
      <c r="V4281" s="4"/>
      <c r="W4281" s="4"/>
      <c r="X4281" s="4"/>
    </row>
    <row r="4282" spans="17:24" x14ac:dyDescent="0.3">
      <c r="Q4282" s="4"/>
      <c r="R4282" s="4"/>
      <c r="S4282" s="4"/>
      <c r="T4282" s="4"/>
      <c r="U4282" s="4"/>
      <c r="V4282" s="4"/>
      <c r="W4282" s="4"/>
      <c r="X4282" s="4"/>
    </row>
    <row r="4283" spans="17:24" x14ac:dyDescent="0.3">
      <c r="Q4283" s="4"/>
      <c r="R4283" s="4"/>
      <c r="S4283" s="4"/>
      <c r="T4283" s="4"/>
      <c r="U4283" s="4"/>
      <c r="V4283" s="4"/>
      <c r="W4283" s="4"/>
      <c r="X4283" s="4"/>
    </row>
    <row r="4284" spans="17:24" x14ac:dyDescent="0.3">
      <c r="Q4284" s="4"/>
      <c r="R4284" s="4"/>
      <c r="S4284" s="4"/>
      <c r="T4284" s="4"/>
      <c r="U4284" s="4"/>
      <c r="V4284" s="4"/>
      <c r="W4284" s="4"/>
      <c r="X4284" s="4"/>
    </row>
    <row r="4285" spans="17:24" x14ac:dyDescent="0.3">
      <c r="Q4285" s="4"/>
      <c r="R4285" s="4"/>
      <c r="S4285" s="4"/>
      <c r="T4285" s="4"/>
      <c r="U4285" s="4"/>
      <c r="V4285" s="4"/>
      <c r="W4285" s="4"/>
      <c r="X4285" s="4"/>
    </row>
    <row r="4286" spans="17:24" x14ac:dyDescent="0.3">
      <c r="Q4286" s="4"/>
      <c r="R4286" s="4"/>
      <c r="S4286" s="4"/>
      <c r="T4286" s="4"/>
      <c r="U4286" s="4"/>
      <c r="V4286" s="4"/>
      <c r="W4286" s="4"/>
      <c r="X4286" s="4"/>
    </row>
    <row r="4287" spans="17:24" x14ac:dyDescent="0.3">
      <c r="Q4287" s="4"/>
      <c r="R4287" s="4"/>
      <c r="S4287" s="4"/>
      <c r="T4287" s="4"/>
      <c r="U4287" s="4"/>
      <c r="V4287" s="4"/>
      <c r="W4287" s="4"/>
      <c r="X4287" s="4"/>
    </row>
    <row r="4288" spans="17:24" x14ac:dyDescent="0.3">
      <c r="Q4288" s="4"/>
      <c r="R4288" s="4"/>
      <c r="S4288" s="4"/>
      <c r="T4288" s="4"/>
      <c r="U4288" s="4"/>
      <c r="V4288" s="4"/>
      <c r="W4288" s="4"/>
      <c r="X4288" s="4"/>
    </row>
    <row r="4289" spans="17:24" x14ac:dyDescent="0.3">
      <c r="Q4289" s="4"/>
      <c r="R4289" s="4"/>
      <c r="S4289" s="4"/>
      <c r="T4289" s="4"/>
      <c r="U4289" s="4"/>
      <c r="V4289" s="4"/>
      <c r="W4289" s="4"/>
      <c r="X4289" s="4"/>
    </row>
    <row r="4290" spans="17:24" x14ac:dyDescent="0.3">
      <c r="Q4290" s="4"/>
      <c r="R4290" s="4"/>
      <c r="S4290" s="4"/>
      <c r="T4290" s="4"/>
      <c r="U4290" s="4"/>
      <c r="V4290" s="4"/>
      <c r="W4290" s="4"/>
      <c r="X4290" s="4"/>
    </row>
    <row r="4291" spans="17:24" x14ac:dyDescent="0.3">
      <c r="Q4291" s="4"/>
      <c r="R4291" s="4"/>
      <c r="S4291" s="4"/>
      <c r="T4291" s="4"/>
      <c r="U4291" s="4"/>
      <c r="V4291" s="4"/>
      <c r="W4291" s="4"/>
      <c r="X4291" s="4"/>
    </row>
    <row r="4292" spans="17:24" x14ac:dyDescent="0.3">
      <c r="Q4292" s="4"/>
      <c r="R4292" s="4"/>
      <c r="S4292" s="4"/>
      <c r="T4292" s="4"/>
      <c r="U4292" s="4"/>
      <c r="V4292" s="4"/>
      <c r="W4292" s="4"/>
      <c r="X4292" s="4"/>
    </row>
    <row r="4293" spans="17:24" x14ac:dyDescent="0.3">
      <c r="Q4293" s="4"/>
      <c r="R4293" s="4"/>
      <c r="S4293" s="4"/>
      <c r="T4293" s="4"/>
      <c r="U4293" s="4"/>
      <c r="V4293" s="4"/>
      <c r="W4293" s="4"/>
      <c r="X4293" s="4"/>
    </row>
    <row r="4294" spans="17:24" x14ac:dyDescent="0.3">
      <c r="Q4294" s="4"/>
      <c r="R4294" s="4"/>
      <c r="S4294" s="4"/>
      <c r="T4294" s="4"/>
      <c r="U4294" s="4"/>
      <c r="V4294" s="4"/>
      <c r="W4294" s="4"/>
      <c r="X4294" s="4"/>
    </row>
    <row r="4295" spans="17:24" x14ac:dyDescent="0.3">
      <c r="Q4295" s="4"/>
      <c r="R4295" s="4"/>
      <c r="S4295" s="4"/>
      <c r="T4295" s="4"/>
      <c r="U4295" s="4"/>
      <c r="V4295" s="4"/>
      <c r="W4295" s="4"/>
      <c r="X4295" s="4"/>
    </row>
    <row r="4296" spans="17:24" x14ac:dyDescent="0.3">
      <c r="Q4296" s="4"/>
      <c r="R4296" s="4"/>
      <c r="S4296" s="4"/>
      <c r="T4296" s="4"/>
      <c r="U4296" s="4"/>
      <c r="V4296" s="4"/>
      <c r="W4296" s="4"/>
      <c r="X4296" s="4"/>
    </row>
    <row r="4297" spans="17:24" x14ac:dyDescent="0.3">
      <c r="Q4297" s="4"/>
      <c r="R4297" s="4"/>
      <c r="S4297" s="4"/>
      <c r="T4297" s="4"/>
      <c r="U4297" s="4"/>
      <c r="V4297" s="4"/>
      <c r="W4297" s="4"/>
      <c r="X4297" s="4"/>
    </row>
    <row r="4298" spans="17:24" x14ac:dyDescent="0.3">
      <c r="Q4298" s="4"/>
      <c r="R4298" s="4"/>
      <c r="S4298" s="4"/>
      <c r="T4298" s="4"/>
      <c r="U4298" s="4"/>
      <c r="V4298" s="4"/>
      <c r="W4298" s="4"/>
      <c r="X4298" s="4"/>
    </row>
    <row r="4299" spans="17:24" x14ac:dyDescent="0.3">
      <c r="Q4299" s="4"/>
      <c r="R4299" s="4"/>
      <c r="S4299" s="4"/>
      <c r="T4299" s="4"/>
      <c r="U4299" s="4"/>
      <c r="V4299" s="4"/>
      <c r="W4299" s="4"/>
      <c r="X4299" s="4"/>
    </row>
    <row r="4300" spans="17:24" x14ac:dyDescent="0.3">
      <c r="Q4300" s="4"/>
      <c r="R4300" s="4"/>
      <c r="S4300" s="4"/>
      <c r="T4300" s="4"/>
      <c r="U4300" s="4"/>
      <c r="V4300" s="4"/>
      <c r="W4300" s="4"/>
      <c r="X4300" s="4"/>
    </row>
    <row r="4301" spans="17:24" x14ac:dyDescent="0.3">
      <c r="Q4301" s="4"/>
      <c r="R4301" s="4"/>
      <c r="S4301" s="4"/>
      <c r="T4301" s="4"/>
      <c r="U4301" s="4"/>
      <c r="V4301" s="4"/>
      <c r="W4301" s="4"/>
      <c r="X4301" s="4"/>
    </row>
    <row r="4302" spans="17:24" x14ac:dyDescent="0.3">
      <c r="Q4302" s="4"/>
      <c r="R4302" s="4"/>
      <c r="S4302" s="4"/>
      <c r="T4302" s="4"/>
      <c r="U4302" s="4"/>
      <c r="V4302" s="4"/>
      <c r="W4302" s="4"/>
      <c r="X4302" s="4"/>
    </row>
    <row r="4303" spans="17:24" x14ac:dyDescent="0.3">
      <c r="Q4303" s="4"/>
      <c r="R4303" s="4"/>
      <c r="S4303" s="4"/>
      <c r="T4303" s="4"/>
      <c r="U4303" s="4"/>
      <c r="V4303" s="4"/>
      <c r="W4303" s="4"/>
      <c r="X4303" s="4"/>
    </row>
    <row r="4304" spans="17:24" x14ac:dyDescent="0.3">
      <c r="Q4304" s="4"/>
      <c r="R4304" s="4"/>
      <c r="S4304" s="4"/>
      <c r="T4304" s="4"/>
      <c r="U4304" s="4"/>
      <c r="V4304" s="4"/>
      <c r="W4304" s="4"/>
      <c r="X4304" s="4"/>
    </row>
    <row r="4305" spans="17:24" x14ac:dyDescent="0.3">
      <c r="Q4305" s="4"/>
      <c r="R4305" s="4"/>
      <c r="S4305" s="4"/>
      <c r="T4305" s="4"/>
      <c r="U4305" s="4"/>
      <c r="V4305" s="4"/>
      <c r="W4305" s="4"/>
      <c r="X4305" s="4"/>
    </row>
    <row r="4306" spans="17:24" x14ac:dyDescent="0.3">
      <c r="Q4306" s="4"/>
      <c r="R4306" s="4"/>
      <c r="S4306" s="4"/>
      <c r="T4306" s="4"/>
      <c r="U4306" s="4"/>
      <c r="V4306" s="4"/>
      <c r="W4306" s="4"/>
      <c r="X4306" s="4"/>
    </row>
    <row r="4307" spans="17:24" x14ac:dyDescent="0.3">
      <c r="Q4307" s="4"/>
      <c r="R4307" s="4"/>
      <c r="S4307" s="4"/>
      <c r="T4307" s="4"/>
      <c r="U4307" s="4"/>
      <c r="V4307" s="4"/>
      <c r="W4307" s="4"/>
      <c r="X4307" s="4"/>
    </row>
    <row r="4308" spans="17:24" x14ac:dyDescent="0.3">
      <c r="Q4308" s="4"/>
      <c r="R4308" s="4"/>
      <c r="S4308" s="4"/>
      <c r="T4308" s="4"/>
      <c r="U4308" s="4"/>
      <c r="V4308" s="4"/>
      <c r="W4308" s="4"/>
      <c r="X4308" s="4"/>
    </row>
    <row r="4309" spans="17:24" x14ac:dyDescent="0.3">
      <c r="Q4309" s="4"/>
      <c r="R4309" s="4"/>
      <c r="S4309" s="4"/>
      <c r="T4309" s="4"/>
      <c r="U4309" s="4"/>
      <c r="V4309" s="4"/>
      <c r="W4309" s="4"/>
      <c r="X4309" s="4"/>
    </row>
    <row r="4310" spans="17:24" x14ac:dyDescent="0.3">
      <c r="Q4310" s="4"/>
      <c r="R4310" s="4"/>
      <c r="S4310" s="4"/>
      <c r="T4310" s="4"/>
      <c r="U4310" s="4"/>
      <c r="V4310" s="4"/>
      <c r="W4310" s="4"/>
      <c r="X4310" s="4"/>
    </row>
    <row r="4311" spans="17:24" x14ac:dyDescent="0.3">
      <c r="Q4311" s="4"/>
      <c r="R4311" s="4"/>
      <c r="S4311" s="4"/>
      <c r="T4311" s="4"/>
      <c r="U4311" s="4"/>
      <c r="V4311" s="4"/>
      <c r="W4311" s="4"/>
      <c r="X4311" s="4"/>
    </row>
    <row r="4312" spans="17:24" x14ac:dyDescent="0.3">
      <c r="Q4312" s="4"/>
      <c r="R4312" s="4"/>
      <c r="S4312" s="4"/>
      <c r="T4312" s="4"/>
      <c r="U4312" s="4"/>
      <c r="V4312" s="4"/>
      <c r="W4312" s="4"/>
      <c r="X4312" s="4"/>
    </row>
    <row r="4313" spans="17:24" x14ac:dyDescent="0.3">
      <c r="Q4313" s="4"/>
      <c r="R4313" s="4"/>
      <c r="S4313" s="4"/>
      <c r="T4313" s="4"/>
      <c r="U4313" s="4"/>
      <c r="V4313" s="4"/>
      <c r="W4313" s="4"/>
      <c r="X4313" s="4"/>
    </row>
    <row r="4314" spans="17:24" x14ac:dyDescent="0.3">
      <c r="Q4314" s="4"/>
      <c r="R4314" s="4"/>
      <c r="S4314" s="4"/>
      <c r="T4314" s="4"/>
      <c r="U4314" s="4"/>
      <c r="V4314" s="4"/>
      <c r="W4314" s="4"/>
      <c r="X4314" s="4"/>
    </row>
    <row r="4315" spans="17:24" x14ac:dyDescent="0.3">
      <c r="Q4315" s="4"/>
      <c r="R4315" s="4"/>
      <c r="S4315" s="4"/>
      <c r="T4315" s="4"/>
      <c r="U4315" s="4"/>
      <c r="V4315" s="4"/>
      <c r="W4315" s="4"/>
      <c r="X4315" s="4"/>
    </row>
    <row r="4316" spans="17:24" x14ac:dyDescent="0.3">
      <c r="Q4316" s="4"/>
      <c r="R4316" s="4"/>
      <c r="S4316" s="4"/>
      <c r="T4316" s="4"/>
      <c r="U4316" s="4"/>
      <c r="V4316" s="4"/>
      <c r="W4316" s="4"/>
      <c r="X4316" s="4"/>
    </row>
    <row r="4317" spans="17:24" x14ac:dyDescent="0.3">
      <c r="Q4317" s="4"/>
      <c r="R4317" s="4"/>
      <c r="S4317" s="4"/>
      <c r="T4317" s="4"/>
      <c r="U4317" s="4"/>
      <c r="V4317" s="4"/>
      <c r="W4317" s="4"/>
      <c r="X4317" s="4"/>
    </row>
    <row r="4318" spans="17:24" x14ac:dyDescent="0.3">
      <c r="Q4318" s="4"/>
      <c r="R4318" s="4"/>
      <c r="S4318" s="4"/>
      <c r="T4318" s="4"/>
      <c r="U4318" s="4"/>
      <c r="V4318" s="4"/>
      <c r="W4318" s="4"/>
      <c r="X4318" s="4"/>
    </row>
    <row r="4319" spans="17:24" x14ac:dyDescent="0.3">
      <c r="Q4319" s="4"/>
      <c r="R4319" s="4"/>
      <c r="S4319" s="4"/>
      <c r="T4319" s="4"/>
      <c r="U4319" s="4"/>
      <c r="V4319" s="4"/>
      <c r="W4319" s="4"/>
      <c r="X4319" s="4"/>
    </row>
    <row r="4320" spans="17:24" x14ac:dyDescent="0.3">
      <c r="Q4320" s="4"/>
      <c r="R4320" s="4"/>
      <c r="S4320" s="4"/>
      <c r="T4320" s="4"/>
      <c r="U4320" s="4"/>
      <c r="V4320" s="4"/>
      <c r="W4320" s="4"/>
      <c r="X4320" s="4"/>
    </row>
    <row r="4321" spans="17:24" x14ac:dyDescent="0.3">
      <c r="Q4321" s="4"/>
      <c r="R4321" s="4"/>
      <c r="S4321" s="4"/>
      <c r="T4321" s="4"/>
      <c r="U4321" s="4"/>
      <c r="V4321" s="4"/>
      <c r="W4321" s="4"/>
      <c r="X4321" s="4"/>
    </row>
    <row r="4322" spans="17:24" x14ac:dyDescent="0.3">
      <c r="Q4322" s="4"/>
      <c r="R4322" s="4"/>
      <c r="S4322" s="4"/>
      <c r="T4322" s="4"/>
      <c r="U4322" s="4"/>
      <c r="V4322" s="4"/>
      <c r="W4322" s="4"/>
      <c r="X4322" s="4"/>
    </row>
    <row r="4323" spans="17:24" x14ac:dyDescent="0.3">
      <c r="Q4323" s="4"/>
      <c r="R4323" s="4"/>
      <c r="S4323" s="4"/>
      <c r="T4323" s="4"/>
      <c r="U4323" s="4"/>
      <c r="V4323" s="4"/>
      <c r="W4323" s="4"/>
      <c r="X4323" s="4"/>
    </row>
    <row r="4324" spans="17:24" x14ac:dyDescent="0.3">
      <c r="Q4324" s="4"/>
      <c r="R4324" s="4"/>
      <c r="S4324" s="4"/>
      <c r="T4324" s="4"/>
      <c r="U4324" s="4"/>
      <c r="V4324" s="4"/>
      <c r="W4324" s="4"/>
      <c r="X4324" s="4"/>
    </row>
    <row r="4325" spans="17:24" x14ac:dyDescent="0.3">
      <c r="Q4325" s="4"/>
      <c r="R4325" s="4"/>
      <c r="S4325" s="4"/>
      <c r="T4325" s="4"/>
      <c r="U4325" s="4"/>
      <c r="V4325" s="4"/>
      <c r="W4325" s="4"/>
      <c r="X4325" s="4"/>
    </row>
    <row r="4326" spans="17:24" x14ac:dyDescent="0.3">
      <c r="Q4326" s="4"/>
      <c r="R4326" s="4"/>
      <c r="S4326" s="4"/>
      <c r="T4326" s="4"/>
      <c r="U4326" s="4"/>
      <c r="V4326" s="4"/>
      <c r="W4326" s="4"/>
      <c r="X4326" s="4"/>
    </row>
    <row r="4327" spans="17:24" x14ac:dyDescent="0.3">
      <c r="Q4327" s="4"/>
      <c r="R4327" s="4"/>
      <c r="S4327" s="4"/>
      <c r="T4327" s="4"/>
      <c r="U4327" s="4"/>
      <c r="V4327" s="4"/>
      <c r="W4327" s="4"/>
      <c r="X4327" s="4"/>
    </row>
    <row r="4328" spans="17:24" x14ac:dyDescent="0.3">
      <c r="Q4328" s="4"/>
      <c r="R4328" s="4"/>
      <c r="S4328" s="4"/>
      <c r="T4328" s="4"/>
      <c r="U4328" s="4"/>
      <c r="V4328" s="4"/>
      <c r="W4328" s="4"/>
      <c r="X4328" s="4"/>
    </row>
    <row r="4329" spans="17:24" x14ac:dyDescent="0.3">
      <c r="Q4329" s="4"/>
      <c r="R4329" s="4"/>
      <c r="S4329" s="4"/>
      <c r="T4329" s="4"/>
      <c r="U4329" s="4"/>
      <c r="V4329" s="4"/>
      <c r="W4329" s="4"/>
      <c r="X4329" s="4"/>
    </row>
    <row r="4330" spans="17:24" x14ac:dyDescent="0.3">
      <c r="Q4330" s="4"/>
      <c r="R4330" s="4"/>
      <c r="S4330" s="4"/>
      <c r="T4330" s="4"/>
      <c r="U4330" s="4"/>
      <c r="V4330" s="4"/>
      <c r="W4330" s="4"/>
      <c r="X4330" s="4"/>
    </row>
    <row r="4331" spans="17:24" x14ac:dyDescent="0.3">
      <c r="Q4331" s="4"/>
      <c r="R4331" s="4"/>
      <c r="S4331" s="4"/>
      <c r="T4331" s="4"/>
      <c r="U4331" s="4"/>
      <c r="V4331" s="4"/>
      <c r="W4331" s="4"/>
      <c r="X4331" s="4"/>
    </row>
    <row r="4332" spans="17:24" x14ac:dyDescent="0.3">
      <c r="Q4332" s="4"/>
      <c r="R4332" s="4"/>
      <c r="S4332" s="4"/>
      <c r="T4332" s="4"/>
      <c r="U4332" s="4"/>
      <c r="V4332" s="4"/>
      <c r="W4332" s="4"/>
      <c r="X4332" s="4"/>
    </row>
    <row r="4333" spans="17:24" x14ac:dyDescent="0.3">
      <c r="Q4333" s="4"/>
      <c r="R4333" s="4"/>
      <c r="S4333" s="4"/>
      <c r="T4333" s="4"/>
      <c r="U4333" s="4"/>
      <c r="V4333" s="4"/>
      <c r="W4333" s="4"/>
      <c r="X4333" s="4"/>
    </row>
    <row r="4334" spans="17:24" x14ac:dyDescent="0.3">
      <c r="Q4334" s="4"/>
      <c r="R4334" s="4"/>
      <c r="S4334" s="4"/>
      <c r="T4334" s="4"/>
      <c r="U4334" s="4"/>
      <c r="V4334" s="4"/>
      <c r="W4334" s="4"/>
      <c r="X4334" s="4"/>
    </row>
    <row r="4335" spans="17:24" x14ac:dyDescent="0.3">
      <c r="Q4335" s="4"/>
      <c r="R4335" s="4"/>
      <c r="S4335" s="4"/>
      <c r="T4335" s="4"/>
      <c r="U4335" s="4"/>
      <c r="V4335" s="4"/>
      <c r="W4335" s="4"/>
      <c r="X4335" s="4"/>
    </row>
    <row r="4336" spans="17:24" x14ac:dyDescent="0.3">
      <c r="Q4336" s="4"/>
      <c r="R4336" s="4"/>
      <c r="S4336" s="4"/>
      <c r="T4336" s="4"/>
      <c r="U4336" s="4"/>
      <c r="V4336" s="4"/>
      <c r="W4336" s="4"/>
      <c r="X4336" s="4"/>
    </row>
    <row r="4337" spans="17:24" x14ac:dyDescent="0.3">
      <c r="Q4337" s="4"/>
      <c r="R4337" s="4"/>
      <c r="S4337" s="4"/>
      <c r="T4337" s="4"/>
      <c r="U4337" s="4"/>
      <c r="V4337" s="4"/>
      <c r="W4337" s="4"/>
      <c r="X4337" s="4"/>
    </row>
    <row r="4338" spans="17:24" x14ac:dyDescent="0.3">
      <c r="Q4338" s="4"/>
      <c r="R4338" s="4"/>
      <c r="S4338" s="4"/>
      <c r="T4338" s="4"/>
      <c r="U4338" s="4"/>
      <c r="V4338" s="4"/>
      <c r="W4338" s="4"/>
      <c r="X4338" s="4"/>
    </row>
    <row r="4339" spans="17:24" x14ac:dyDescent="0.3">
      <c r="Q4339" s="4"/>
      <c r="R4339" s="4"/>
      <c r="S4339" s="4"/>
      <c r="T4339" s="4"/>
      <c r="U4339" s="4"/>
      <c r="V4339" s="4"/>
      <c r="W4339" s="4"/>
      <c r="X4339" s="4"/>
    </row>
    <row r="4340" spans="17:24" x14ac:dyDescent="0.3">
      <c r="Q4340" s="4"/>
      <c r="R4340" s="4"/>
      <c r="S4340" s="4"/>
      <c r="T4340" s="4"/>
      <c r="U4340" s="4"/>
      <c r="V4340" s="4"/>
      <c r="W4340" s="4"/>
      <c r="X4340" s="4"/>
    </row>
    <row r="4341" spans="17:24" x14ac:dyDescent="0.3">
      <c r="Q4341" s="4"/>
      <c r="R4341" s="4"/>
      <c r="S4341" s="4"/>
      <c r="T4341" s="4"/>
      <c r="U4341" s="4"/>
      <c r="V4341" s="4"/>
      <c r="W4341" s="4"/>
      <c r="X4341" s="4"/>
    </row>
    <row r="4342" spans="17:24" x14ac:dyDescent="0.3">
      <c r="Q4342" s="4"/>
      <c r="R4342" s="4"/>
      <c r="S4342" s="4"/>
      <c r="T4342" s="4"/>
      <c r="U4342" s="4"/>
      <c r="V4342" s="4"/>
      <c r="W4342" s="4"/>
      <c r="X4342" s="4"/>
    </row>
    <row r="4343" spans="17:24" x14ac:dyDescent="0.3">
      <c r="Q4343" s="4"/>
      <c r="R4343" s="4"/>
      <c r="S4343" s="4"/>
      <c r="T4343" s="4"/>
      <c r="U4343" s="4"/>
      <c r="V4343" s="4"/>
      <c r="W4343" s="4"/>
      <c r="X4343" s="4"/>
    </row>
    <row r="4344" spans="17:24" x14ac:dyDescent="0.3">
      <c r="Q4344" s="4"/>
      <c r="R4344" s="4"/>
      <c r="S4344" s="4"/>
      <c r="T4344" s="4"/>
      <c r="U4344" s="4"/>
      <c r="V4344" s="4"/>
      <c r="W4344" s="4"/>
      <c r="X4344" s="4"/>
    </row>
    <row r="4345" spans="17:24" x14ac:dyDescent="0.3">
      <c r="Q4345" s="4"/>
      <c r="R4345" s="4"/>
      <c r="S4345" s="4"/>
      <c r="T4345" s="4"/>
      <c r="U4345" s="4"/>
      <c r="V4345" s="4"/>
      <c r="W4345" s="4"/>
      <c r="X4345" s="4"/>
    </row>
    <row r="4346" spans="17:24" x14ac:dyDescent="0.3">
      <c r="Q4346" s="4"/>
      <c r="R4346" s="4"/>
      <c r="S4346" s="4"/>
      <c r="T4346" s="4"/>
      <c r="U4346" s="4"/>
      <c r="V4346" s="4"/>
      <c r="W4346" s="4"/>
      <c r="X4346" s="4"/>
    </row>
    <row r="4347" spans="17:24" x14ac:dyDescent="0.3">
      <c r="Q4347" s="4"/>
      <c r="R4347" s="4"/>
      <c r="S4347" s="4"/>
      <c r="T4347" s="4"/>
      <c r="U4347" s="4"/>
      <c r="V4347" s="4"/>
      <c r="W4347" s="4"/>
      <c r="X4347" s="4"/>
    </row>
    <row r="4348" spans="17:24" x14ac:dyDescent="0.3">
      <c r="Q4348" s="4"/>
      <c r="R4348" s="4"/>
      <c r="S4348" s="4"/>
      <c r="T4348" s="4"/>
      <c r="U4348" s="4"/>
      <c r="V4348" s="4"/>
      <c r="W4348" s="4"/>
      <c r="X4348" s="4"/>
    </row>
    <row r="4349" spans="17:24" x14ac:dyDescent="0.3">
      <c r="Q4349" s="4"/>
      <c r="R4349" s="4"/>
      <c r="S4349" s="4"/>
      <c r="T4349" s="4"/>
      <c r="U4349" s="4"/>
      <c r="V4349" s="4"/>
      <c r="W4349" s="4"/>
      <c r="X4349" s="4"/>
    </row>
    <row r="4350" spans="17:24" x14ac:dyDescent="0.3">
      <c r="Q4350" s="4"/>
      <c r="R4350" s="4"/>
      <c r="S4350" s="4"/>
      <c r="T4350" s="4"/>
      <c r="U4350" s="4"/>
      <c r="V4350" s="4"/>
      <c r="W4350" s="4"/>
      <c r="X4350" s="4"/>
    </row>
    <row r="4351" spans="17:24" x14ac:dyDescent="0.3">
      <c r="Q4351" s="4"/>
      <c r="R4351" s="4"/>
      <c r="S4351" s="4"/>
      <c r="T4351" s="4"/>
      <c r="U4351" s="4"/>
      <c r="V4351" s="4"/>
      <c r="W4351" s="4"/>
      <c r="X4351" s="4"/>
    </row>
    <row r="4352" spans="17:24" x14ac:dyDescent="0.3">
      <c r="Q4352" s="4"/>
      <c r="R4352" s="4"/>
      <c r="S4352" s="4"/>
      <c r="T4352" s="4"/>
      <c r="U4352" s="4"/>
      <c r="V4352" s="4"/>
      <c r="W4352" s="4"/>
      <c r="X4352" s="4"/>
    </row>
    <row r="4353" spans="17:24" x14ac:dyDescent="0.3">
      <c r="Q4353" s="4"/>
      <c r="R4353" s="4"/>
      <c r="S4353" s="4"/>
      <c r="T4353" s="4"/>
      <c r="U4353" s="4"/>
      <c r="V4353" s="4"/>
      <c r="W4353" s="4"/>
      <c r="X4353" s="4"/>
    </row>
    <row r="4354" spans="17:24" x14ac:dyDescent="0.3">
      <c r="Q4354" s="4"/>
      <c r="R4354" s="4"/>
      <c r="S4354" s="4"/>
      <c r="T4354" s="4"/>
      <c r="U4354" s="4"/>
      <c r="V4354" s="4"/>
      <c r="W4354" s="4"/>
      <c r="X4354" s="4"/>
    </row>
    <row r="4355" spans="17:24" x14ac:dyDescent="0.3">
      <c r="Q4355" s="4"/>
      <c r="R4355" s="4"/>
      <c r="S4355" s="4"/>
      <c r="T4355" s="4"/>
      <c r="U4355" s="4"/>
      <c r="V4355" s="4"/>
      <c r="W4355" s="4"/>
      <c r="X4355" s="4"/>
    </row>
    <row r="4356" spans="17:24" x14ac:dyDescent="0.3">
      <c r="Q4356" s="4"/>
      <c r="R4356" s="4"/>
      <c r="S4356" s="4"/>
      <c r="T4356" s="4"/>
      <c r="U4356" s="4"/>
      <c r="V4356" s="4"/>
      <c r="W4356" s="4"/>
      <c r="X4356" s="4"/>
    </row>
    <row r="4357" spans="17:24" x14ac:dyDescent="0.3">
      <c r="Q4357" s="4"/>
      <c r="R4357" s="4"/>
      <c r="S4357" s="4"/>
      <c r="T4357" s="4"/>
      <c r="U4357" s="4"/>
      <c r="V4357" s="4"/>
      <c r="W4357" s="4"/>
      <c r="X4357" s="4"/>
    </row>
    <row r="4358" spans="17:24" x14ac:dyDescent="0.3">
      <c r="Q4358" s="4"/>
      <c r="R4358" s="4"/>
      <c r="S4358" s="4"/>
      <c r="T4358" s="4"/>
      <c r="U4358" s="4"/>
      <c r="V4358" s="4"/>
      <c r="W4358" s="4"/>
      <c r="X4358" s="4"/>
    </row>
    <row r="4359" spans="17:24" x14ac:dyDescent="0.3">
      <c r="Q4359" s="4"/>
      <c r="R4359" s="4"/>
      <c r="S4359" s="4"/>
      <c r="T4359" s="4"/>
      <c r="U4359" s="4"/>
      <c r="V4359" s="4"/>
      <c r="W4359" s="4"/>
      <c r="X4359" s="4"/>
    </row>
    <row r="4360" spans="17:24" x14ac:dyDescent="0.3">
      <c r="Q4360" s="4"/>
      <c r="R4360" s="4"/>
      <c r="S4360" s="4"/>
      <c r="T4360" s="4"/>
      <c r="U4360" s="4"/>
      <c r="V4360" s="4"/>
      <c r="W4360" s="4"/>
      <c r="X4360" s="4"/>
    </row>
    <row r="4361" spans="17:24" x14ac:dyDescent="0.3">
      <c r="Q4361" s="4"/>
      <c r="R4361" s="4"/>
      <c r="S4361" s="4"/>
      <c r="T4361" s="4"/>
      <c r="U4361" s="4"/>
      <c r="V4361" s="4"/>
      <c r="W4361" s="4"/>
      <c r="X4361" s="4"/>
    </row>
    <row r="4362" spans="17:24" x14ac:dyDescent="0.3">
      <c r="Q4362" s="4"/>
      <c r="R4362" s="4"/>
      <c r="S4362" s="4"/>
      <c r="T4362" s="4"/>
      <c r="U4362" s="4"/>
      <c r="V4362" s="4"/>
      <c r="W4362" s="4"/>
      <c r="X4362" s="4"/>
    </row>
    <row r="4363" spans="17:24" x14ac:dyDescent="0.3">
      <c r="Q4363" s="4"/>
      <c r="R4363" s="4"/>
      <c r="S4363" s="4"/>
      <c r="T4363" s="4"/>
      <c r="U4363" s="4"/>
      <c r="V4363" s="4"/>
      <c r="W4363" s="4"/>
      <c r="X4363" s="4"/>
    </row>
    <row r="4364" spans="17:24" x14ac:dyDescent="0.3">
      <c r="Q4364" s="4"/>
      <c r="R4364" s="4"/>
      <c r="S4364" s="4"/>
      <c r="T4364" s="4"/>
      <c r="U4364" s="4"/>
      <c r="V4364" s="4"/>
      <c r="W4364" s="4"/>
      <c r="X4364" s="4"/>
    </row>
    <row r="4365" spans="17:24" x14ac:dyDescent="0.3">
      <c r="Q4365" s="4"/>
      <c r="R4365" s="4"/>
      <c r="S4365" s="4"/>
      <c r="T4365" s="4"/>
      <c r="U4365" s="4"/>
      <c r="V4365" s="4"/>
      <c r="W4365" s="4"/>
      <c r="X4365" s="4"/>
    </row>
    <row r="4366" spans="17:24" x14ac:dyDescent="0.3">
      <c r="Q4366" s="4"/>
      <c r="R4366" s="4"/>
      <c r="S4366" s="4"/>
      <c r="T4366" s="4"/>
      <c r="U4366" s="4"/>
      <c r="V4366" s="4"/>
      <c r="W4366" s="4"/>
      <c r="X4366" s="4"/>
    </row>
    <row r="4367" spans="17:24" x14ac:dyDescent="0.3">
      <c r="Q4367" s="4"/>
      <c r="R4367" s="4"/>
      <c r="S4367" s="4"/>
      <c r="T4367" s="4"/>
      <c r="U4367" s="4"/>
      <c r="V4367" s="4"/>
      <c r="W4367" s="4"/>
      <c r="X4367" s="4"/>
    </row>
    <row r="4368" spans="17:24" x14ac:dyDescent="0.3">
      <c r="Q4368" s="4"/>
      <c r="R4368" s="4"/>
      <c r="S4368" s="4"/>
      <c r="T4368" s="4"/>
      <c r="U4368" s="4"/>
      <c r="V4368" s="4"/>
      <c r="W4368" s="4"/>
      <c r="X4368" s="4"/>
    </row>
    <row r="4369" spans="17:24" x14ac:dyDescent="0.3">
      <c r="Q4369" s="4"/>
      <c r="R4369" s="4"/>
      <c r="S4369" s="4"/>
      <c r="T4369" s="4"/>
      <c r="U4369" s="4"/>
      <c r="V4369" s="4"/>
      <c r="W4369" s="4"/>
      <c r="X4369" s="4"/>
    </row>
    <row r="4370" spans="17:24" x14ac:dyDescent="0.3">
      <c r="Q4370" s="4"/>
      <c r="R4370" s="4"/>
      <c r="S4370" s="4"/>
      <c r="T4370" s="4"/>
      <c r="U4370" s="4"/>
      <c r="V4370" s="4"/>
      <c r="W4370" s="4"/>
      <c r="X4370" s="4"/>
    </row>
    <row r="4371" spans="17:24" x14ac:dyDescent="0.3">
      <c r="Q4371" s="4"/>
      <c r="R4371" s="4"/>
      <c r="S4371" s="4"/>
      <c r="T4371" s="4"/>
      <c r="U4371" s="4"/>
      <c r="V4371" s="4"/>
      <c r="W4371" s="4"/>
      <c r="X4371" s="4"/>
    </row>
    <row r="4372" spans="17:24" x14ac:dyDescent="0.3">
      <c r="Q4372" s="4"/>
      <c r="R4372" s="4"/>
      <c r="S4372" s="4"/>
      <c r="T4372" s="4"/>
      <c r="U4372" s="4"/>
      <c r="V4372" s="4"/>
      <c r="W4372" s="4"/>
      <c r="X4372" s="4"/>
    </row>
    <row r="4373" spans="17:24" x14ac:dyDescent="0.3">
      <c r="Q4373" s="4"/>
      <c r="R4373" s="4"/>
      <c r="S4373" s="4"/>
      <c r="T4373" s="4"/>
      <c r="U4373" s="4"/>
      <c r="V4373" s="4"/>
      <c r="W4373" s="4"/>
      <c r="X4373" s="4"/>
    </row>
    <row r="4374" spans="17:24" x14ac:dyDescent="0.3">
      <c r="Q4374" s="4"/>
      <c r="R4374" s="4"/>
      <c r="S4374" s="4"/>
      <c r="T4374" s="4"/>
      <c r="U4374" s="4"/>
      <c r="V4374" s="4"/>
      <c r="W4374" s="4"/>
      <c r="X4374" s="4"/>
    </row>
    <row r="4375" spans="17:24" x14ac:dyDescent="0.3">
      <c r="Q4375" s="4"/>
      <c r="R4375" s="4"/>
      <c r="S4375" s="4"/>
      <c r="T4375" s="4"/>
      <c r="U4375" s="4"/>
      <c r="V4375" s="4"/>
      <c r="W4375" s="4"/>
      <c r="X4375" s="4"/>
    </row>
    <row r="4376" spans="17:24" x14ac:dyDescent="0.3">
      <c r="Q4376" s="4"/>
      <c r="R4376" s="4"/>
      <c r="S4376" s="4"/>
      <c r="T4376" s="4"/>
      <c r="U4376" s="4"/>
      <c r="V4376" s="4"/>
      <c r="W4376" s="4"/>
      <c r="X4376" s="4"/>
    </row>
    <row r="4377" spans="17:24" x14ac:dyDescent="0.3">
      <c r="Q4377" s="4"/>
      <c r="R4377" s="4"/>
      <c r="S4377" s="4"/>
      <c r="T4377" s="4"/>
      <c r="U4377" s="4"/>
      <c r="V4377" s="4"/>
      <c r="W4377" s="4"/>
      <c r="X4377" s="4"/>
    </row>
    <row r="4378" spans="17:24" x14ac:dyDescent="0.3">
      <c r="Q4378" s="4"/>
      <c r="R4378" s="4"/>
      <c r="S4378" s="4"/>
      <c r="T4378" s="4"/>
      <c r="U4378" s="4"/>
      <c r="V4378" s="4"/>
      <c r="W4378" s="4"/>
      <c r="X4378" s="4"/>
    </row>
    <row r="4379" spans="17:24" x14ac:dyDescent="0.3">
      <c r="Q4379" s="4"/>
      <c r="R4379" s="4"/>
      <c r="S4379" s="4"/>
      <c r="T4379" s="4"/>
      <c r="U4379" s="4"/>
      <c r="V4379" s="4"/>
      <c r="W4379" s="4"/>
      <c r="X4379" s="4"/>
    </row>
    <row r="4380" spans="17:24" x14ac:dyDescent="0.3">
      <c r="Q4380" s="4"/>
      <c r="R4380" s="4"/>
      <c r="S4380" s="4"/>
      <c r="T4380" s="4"/>
      <c r="U4380" s="4"/>
      <c r="V4380" s="4"/>
      <c r="W4380" s="4"/>
      <c r="X4380" s="4"/>
    </row>
    <row r="4381" spans="17:24" x14ac:dyDescent="0.3">
      <c r="Q4381" s="4"/>
      <c r="R4381" s="4"/>
      <c r="S4381" s="4"/>
      <c r="T4381" s="4"/>
      <c r="U4381" s="4"/>
      <c r="V4381" s="4"/>
      <c r="W4381" s="4"/>
      <c r="X4381" s="4"/>
    </row>
    <row r="4382" spans="17:24" x14ac:dyDescent="0.3">
      <c r="Q4382" s="4"/>
      <c r="R4382" s="4"/>
      <c r="S4382" s="4"/>
      <c r="T4382" s="4"/>
      <c r="U4382" s="4"/>
      <c r="V4382" s="4"/>
      <c r="W4382" s="4"/>
      <c r="X4382" s="4"/>
    </row>
    <row r="4383" spans="17:24" x14ac:dyDescent="0.3">
      <c r="Q4383" s="4"/>
      <c r="R4383" s="4"/>
      <c r="S4383" s="4"/>
      <c r="T4383" s="4"/>
      <c r="U4383" s="4"/>
      <c r="V4383" s="4"/>
      <c r="W4383" s="4"/>
      <c r="X4383" s="4"/>
    </row>
    <row r="4384" spans="17:24" x14ac:dyDescent="0.3">
      <c r="Q4384" s="4"/>
      <c r="R4384" s="4"/>
      <c r="S4384" s="4"/>
      <c r="T4384" s="4"/>
      <c r="U4384" s="4"/>
      <c r="V4384" s="4"/>
      <c r="W4384" s="4"/>
      <c r="X4384" s="4"/>
    </row>
    <row r="4385" spans="17:24" x14ac:dyDescent="0.3">
      <c r="Q4385" s="4"/>
      <c r="R4385" s="4"/>
      <c r="S4385" s="4"/>
      <c r="T4385" s="4"/>
      <c r="U4385" s="4"/>
      <c r="V4385" s="4"/>
      <c r="W4385" s="4"/>
      <c r="X4385" s="4"/>
    </row>
    <row r="4386" spans="17:24" x14ac:dyDescent="0.3">
      <c r="Q4386" s="4"/>
      <c r="R4386" s="4"/>
      <c r="S4386" s="4"/>
      <c r="T4386" s="4"/>
      <c r="U4386" s="4"/>
      <c r="V4386" s="4"/>
      <c r="W4386" s="4"/>
      <c r="X4386" s="4"/>
    </row>
    <row r="4387" spans="17:24" x14ac:dyDescent="0.3">
      <c r="Q4387" s="4"/>
      <c r="R4387" s="4"/>
      <c r="S4387" s="4"/>
      <c r="T4387" s="4"/>
      <c r="U4387" s="4"/>
      <c r="V4387" s="4"/>
      <c r="W4387" s="4"/>
      <c r="X4387" s="4"/>
    </row>
    <row r="4388" spans="17:24" x14ac:dyDescent="0.3">
      <c r="Q4388" s="4"/>
      <c r="R4388" s="4"/>
      <c r="S4388" s="4"/>
      <c r="T4388" s="4"/>
      <c r="U4388" s="4"/>
      <c r="V4388" s="4"/>
      <c r="W4388" s="4"/>
      <c r="X4388" s="4"/>
    </row>
    <row r="4389" spans="17:24" x14ac:dyDescent="0.3">
      <c r="Q4389" s="4"/>
      <c r="R4389" s="4"/>
      <c r="S4389" s="4"/>
      <c r="T4389" s="4"/>
      <c r="U4389" s="4"/>
      <c r="V4389" s="4"/>
      <c r="W4389" s="4"/>
      <c r="X4389" s="4"/>
    </row>
    <row r="4390" spans="17:24" x14ac:dyDescent="0.3">
      <c r="Q4390" s="4"/>
      <c r="R4390" s="4"/>
      <c r="S4390" s="4"/>
      <c r="T4390" s="4"/>
      <c r="U4390" s="4"/>
      <c r="V4390" s="4"/>
      <c r="W4390" s="4"/>
      <c r="X4390" s="4"/>
    </row>
    <row r="4391" spans="17:24" x14ac:dyDescent="0.3">
      <c r="Q4391" s="4"/>
      <c r="R4391" s="4"/>
      <c r="S4391" s="4"/>
      <c r="T4391" s="4"/>
      <c r="U4391" s="4"/>
      <c r="V4391" s="4"/>
      <c r="W4391" s="4"/>
      <c r="X4391" s="4"/>
    </row>
    <row r="4392" spans="17:24" x14ac:dyDescent="0.3">
      <c r="Q4392" s="4"/>
      <c r="R4392" s="4"/>
      <c r="S4392" s="4"/>
      <c r="T4392" s="4"/>
      <c r="U4392" s="4"/>
      <c r="V4392" s="4"/>
      <c r="W4392" s="4"/>
      <c r="X4392" s="4"/>
    </row>
    <row r="4393" spans="17:24" x14ac:dyDescent="0.3">
      <c r="Q4393" s="4"/>
      <c r="R4393" s="4"/>
      <c r="S4393" s="4"/>
      <c r="T4393" s="4"/>
      <c r="U4393" s="4"/>
      <c r="V4393" s="4"/>
      <c r="W4393" s="4"/>
      <c r="X4393" s="4"/>
    </row>
    <row r="4394" spans="17:24" x14ac:dyDescent="0.3">
      <c r="Q4394" s="4"/>
      <c r="R4394" s="4"/>
      <c r="S4394" s="4"/>
      <c r="T4394" s="4"/>
      <c r="U4394" s="4"/>
      <c r="V4394" s="4"/>
      <c r="W4394" s="4"/>
      <c r="X4394" s="4"/>
    </row>
    <row r="4395" spans="17:24" x14ac:dyDescent="0.3">
      <c r="Q4395" s="4"/>
      <c r="R4395" s="4"/>
      <c r="S4395" s="4"/>
      <c r="T4395" s="4"/>
      <c r="U4395" s="4"/>
      <c r="V4395" s="4"/>
      <c r="W4395" s="4"/>
      <c r="X4395" s="4"/>
    </row>
    <row r="4396" spans="17:24" x14ac:dyDescent="0.3">
      <c r="Q4396" s="4"/>
      <c r="R4396" s="4"/>
      <c r="S4396" s="4"/>
      <c r="T4396" s="4"/>
      <c r="U4396" s="4"/>
      <c r="V4396" s="4"/>
      <c r="W4396" s="4"/>
      <c r="X4396" s="4"/>
    </row>
    <row r="4397" spans="17:24" x14ac:dyDescent="0.3">
      <c r="Q4397" s="4"/>
      <c r="R4397" s="4"/>
      <c r="S4397" s="4"/>
      <c r="T4397" s="4"/>
      <c r="U4397" s="4"/>
      <c r="V4397" s="4"/>
      <c r="W4397" s="4"/>
      <c r="X4397" s="4"/>
    </row>
    <row r="4398" spans="17:24" x14ac:dyDescent="0.3">
      <c r="Q4398" s="4"/>
      <c r="R4398" s="4"/>
      <c r="S4398" s="4"/>
      <c r="T4398" s="4"/>
      <c r="U4398" s="4"/>
      <c r="V4398" s="4"/>
      <c r="W4398" s="4"/>
      <c r="X4398" s="4"/>
    </row>
    <row r="4399" spans="17:24" x14ac:dyDescent="0.3">
      <c r="Q4399" s="4"/>
      <c r="R4399" s="4"/>
      <c r="S4399" s="4"/>
      <c r="T4399" s="4"/>
      <c r="U4399" s="4"/>
      <c r="V4399" s="4"/>
      <c r="W4399" s="4"/>
      <c r="X4399" s="4"/>
    </row>
    <row r="4400" spans="17:24" x14ac:dyDescent="0.3">
      <c r="Q4400" s="4"/>
      <c r="R4400" s="4"/>
      <c r="S4400" s="4"/>
      <c r="T4400" s="4"/>
      <c r="U4400" s="4"/>
      <c r="V4400" s="4"/>
      <c r="W4400" s="4"/>
      <c r="X4400" s="4"/>
    </row>
    <row r="4401" spans="17:24" x14ac:dyDescent="0.3">
      <c r="Q4401" s="4"/>
      <c r="R4401" s="4"/>
      <c r="S4401" s="4"/>
      <c r="T4401" s="4"/>
      <c r="U4401" s="4"/>
      <c r="V4401" s="4"/>
      <c r="W4401" s="4"/>
      <c r="X4401" s="4"/>
    </row>
    <row r="4402" spans="17:24" x14ac:dyDescent="0.3">
      <c r="Q4402" s="4"/>
      <c r="R4402" s="4"/>
      <c r="S4402" s="4"/>
      <c r="T4402" s="4"/>
      <c r="U4402" s="4"/>
      <c r="V4402" s="4"/>
      <c r="W4402" s="4"/>
      <c r="X4402" s="4"/>
    </row>
    <row r="4403" spans="17:24" x14ac:dyDescent="0.3">
      <c r="Q4403" s="4"/>
      <c r="R4403" s="4"/>
      <c r="S4403" s="4"/>
      <c r="T4403" s="4"/>
      <c r="U4403" s="4"/>
      <c r="V4403" s="4"/>
      <c r="W4403" s="4"/>
      <c r="X4403" s="4"/>
    </row>
    <row r="4404" spans="17:24" x14ac:dyDescent="0.3">
      <c r="Q4404" s="4"/>
      <c r="R4404" s="4"/>
      <c r="S4404" s="4"/>
      <c r="T4404" s="4"/>
      <c r="U4404" s="4"/>
      <c r="V4404" s="4"/>
      <c r="W4404" s="4"/>
      <c r="X4404" s="4"/>
    </row>
    <row r="4405" spans="17:24" x14ac:dyDescent="0.3">
      <c r="Q4405" s="4"/>
      <c r="R4405" s="4"/>
      <c r="S4405" s="4"/>
      <c r="T4405" s="4"/>
      <c r="U4405" s="4"/>
      <c r="V4405" s="4"/>
      <c r="W4405" s="4"/>
      <c r="X4405" s="4"/>
    </row>
    <row r="4406" spans="17:24" x14ac:dyDescent="0.3">
      <c r="Q4406" s="4"/>
      <c r="R4406" s="4"/>
      <c r="S4406" s="4"/>
      <c r="T4406" s="4"/>
      <c r="U4406" s="4"/>
      <c r="V4406" s="4"/>
      <c r="W4406" s="4"/>
      <c r="X4406" s="4"/>
    </row>
    <row r="4407" spans="17:24" x14ac:dyDescent="0.3">
      <c r="Q4407" s="4"/>
      <c r="R4407" s="4"/>
      <c r="S4407" s="4"/>
      <c r="T4407" s="4"/>
      <c r="U4407" s="4"/>
      <c r="V4407" s="4"/>
      <c r="W4407" s="4"/>
      <c r="X4407" s="4"/>
    </row>
    <row r="4408" spans="17:24" x14ac:dyDescent="0.3">
      <c r="Q4408" s="4"/>
      <c r="R4408" s="4"/>
      <c r="S4408" s="4"/>
      <c r="T4408" s="4"/>
      <c r="U4408" s="4"/>
      <c r="V4408" s="4"/>
      <c r="W4408" s="4"/>
      <c r="X4408" s="4"/>
    </row>
    <row r="4409" spans="17:24" x14ac:dyDescent="0.3">
      <c r="Q4409" s="4"/>
      <c r="R4409" s="4"/>
      <c r="S4409" s="4"/>
      <c r="T4409" s="4"/>
      <c r="U4409" s="4"/>
      <c r="V4409" s="4"/>
      <c r="W4409" s="4"/>
      <c r="X4409" s="4"/>
    </row>
    <row r="4410" spans="17:24" x14ac:dyDescent="0.3">
      <c r="Q4410" s="4"/>
      <c r="R4410" s="4"/>
      <c r="S4410" s="4"/>
      <c r="T4410" s="4"/>
      <c r="U4410" s="4"/>
      <c r="V4410" s="4"/>
      <c r="W4410" s="4"/>
      <c r="X4410" s="4"/>
    </row>
    <row r="4411" spans="17:24" x14ac:dyDescent="0.3">
      <c r="Q4411" s="4"/>
      <c r="R4411" s="4"/>
      <c r="S4411" s="4"/>
      <c r="T4411" s="4"/>
      <c r="U4411" s="4"/>
      <c r="V4411" s="4"/>
      <c r="W4411" s="4"/>
      <c r="X4411" s="4"/>
    </row>
    <row r="4412" spans="17:24" x14ac:dyDescent="0.3">
      <c r="Q4412" s="4"/>
      <c r="R4412" s="4"/>
      <c r="S4412" s="4"/>
      <c r="T4412" s="4"/>
      <c r="U4412" s="4"/>
      <c r="V4412" s="4"/>
      <c r="W4412" s="4"/>
      <c r="X4412" s="4"/>
    </row>
    <row r="4413" spans="17:24" x14ac:dyDescent="0.3">
      <c r="Q4413" s="4"/>
      <c r="R4413" s="4"/>
      <c r="S4413" s="4"/>
      <c r="T4413" s="4"/>
      <c r="U4413" s="4"/>
      <c r="V4413" s="4"/>
      <c r="W4413" s="4"/>
      <c r="X4413" s="4"/>
    </row>
    <row r="4414" spans="17:24" x14ac:dyDescent="0.3">
      <c r="Q4414" s="4"/>
      <c r="R4414" s="4"/>
      <c r="S4414" s="4"/>
      <c r="T4414" s="4"/>
      <c r="U4414" s="4"/>
      <c r="V4414" s="4"/>
      <c r="W4414" s="4"/>
      <c r="X4414" s="4"/>
    </row>
    <row r="4415" spans="17:24" x14ac:dyDescent="0.3">
      <c r="Q4415" s="4"/>
      <c r="R4415" s="4"/>
      <c r="S4415" s="4"/>
      <c r="T4415" s="4"/>
      <c r="U4415" s="4"/>
      <c r="V4415" s="4"/>
      <c r="W4415" s="4"/>
      <c r="X4415" s="4"/>
    </row>
    <row r="4416" spans="17:24" x14ac:dyDescent="0.3">
      <c r="Q4416" s="4"/>
      <c r="R4416" s="4"/>
      <c r="S4416" s="4"/>
      <c r="T4416" s="4"/>
      <c r="U4416" s="4"/>
      <c r="V4416" s="4"/>
      <c r="W4416" s="4"/>
      <c r="X4416" s="4"/>
    </row>
    <row r="4417" spans="17:24" x14ac:dyDescent="0.3">
      <c r="Q4417" s="4"/>
      <c r="R4417" s="4"/>
      <c r="S4417" s="4"/>
      <c r="T4417" s="4"/>
      <c r="U4417" s="4"/>
      <c r="V4417" s="4"/>
      <c r="W4417" s="4"/>
      <c r="X4417" s="4"/>
    </row>
    <row r="4418" spans="17:24" x14ac:dyDescent="0.3">
      <c r="Q4418" s="4"/>
      <c r="R4418" s="4"/>
      <c r="S4418" s="4"/>
      <c r="T4418" s="4"/>
      <c r="U4418" s="4"/>
      <c r="V4418" s="4"/>
      <c r="W4418" s="4"/>
      <c r="X4418" s="4"/>
    </row>
    <row r="4419" spans="17:24" x14ac:dyDescent="0.3">
      <c r="Q4419" s="4"/>
      <c r="R4419" s="4"/>
      <c r="S4419" s="4"/>
      <c r="T4419" s="4"/>
      <c r="U4419" s="4"/>
      <c r="V4419" s="4"/>
      <c r="W4419" s="4"/>
      <c r="X4419" s="4"/>
    </row>
    <row r="4420" spans="17:24" x14ac:dyDescent="0.3">
      <c r="Q4420" s="4"/>
      <c r="R4420" s="4"/>
      <c r="S4420" s="4"/>
      <c r="T4420" s="4"/>
      <c r="U4420" s="4"/>
      <c r="V4420" s="4"/>
      <c r="W4420" s="4"/>
      <c r="X4420" s="4"/>
    </row>
    <row r="4421" spans="17:24" x14ac:dyDescent="0.3">
      <c r="Q4421" s="4"/>
      <c r="R4421" s="4"/>
      <c r="S4421" s="4"/>
      <c r="T4421" s="4"/>
      <c r="U4421" s="4"/>
      <c r="V4421" s="4"/>
      <c r="W4421" s="4"/>
      <c r="X4421" s="4"/>
    </row>
    <row r="4422" spans="17:24" x14ac:dyDescent="0.3">
      <c r="Q4422" s="4"/>
      <c r="R4422" s="4"/>
      <c r="S4422" s="4"/>
      <c r="T4422" s="4"/>
      <c r="U4422" s="4"/>
      <c r="V4422" s="4"/>
      <c r="W4422" s="4"/>
      <c r="X4422" s="4"/>
    </row>
    <row r="4423" spans="17:24" x14ac:dyDescent="0.3">
      <c r="Q4423" s="4"/>
      <c r="R4423" s="4"/>
      <c r="S4423" s="4"/>
      <c r="T4423" s="4"/>
      <c r="U4423" s="4"/>
      <c r="V4423" s="4"/>
      <c r="W4423" s="4"/>
      <c r="X4423" s="4"/>
    </row>
    <row r="4424" spans="17:24" x14ac:dyDescent="0.3">
      <c r="Q4424" s="4"/>
      <c r="R4424" s="4"/>
      <c r="S4424" s="4"/>
      <c r="T4424" s="4"/>
      <c r="U4424" s="4"/>
      <c r="V4424" s="4"/>
      <c r="W4424" s="4"/>
      <c r="X4424" s="4"/>
    </row>
    <row r="4425" spans="17:24" x14ac:dyDescent="0.3">
      <c r="Q4425" s="4"/>
      <c r="R4425" s="4"/>
      <c r="S4425" s="4"/>
      <c r="T4425" s="4"/>
      <c r="U4425" s="4"/>
      <c r="V4425" s="4"/>
      <c r="W4425" s="4"/>
      <c r="X4425" s="4"/>
    </row>
    <row r="4426" spans="17:24" x14ac:dyDescent="0.3">
      <c r="Q4426" s="4"/>
      <c r="R4426" s="4"/>
      <c r="S4426" s="4"/>
      <c r="T4426" s="4"/>
      <c r="U4426" s="4"/>
      <c r="V4426" s="4"/>
      <c r="W4426" s="4"/>
      <c r="X4426" s="4"/>
    </row>
    <row r="4427" spans="17:24" x14ac:dyDescent="0.3">
      <c r="Q4427" s="4"/>
      <c r="R4427" s="4"/>
      <c r="S4427" s="4"/>
      <c r="T4427" s="4"/>
      <c r="U4427" s="4"/>
      <c r="V4427" s="4"/>
      <c r="W4427" s="4"/>
      <c r="X4427" s="4"/>
    </row>
    <row r="4428" spans="17:24" x14ac:dyDescent="0.3">
      <c r="Q4428" s="4"/>
      <c r="R4428" s="4"/>
      <c r="S4428" s="4"/>
      <c r="T4428" s="4"/>
      <c r="U4428" s="4"/>
      <c r="V4428" s="4"/>
      <c r="W4428" s="4"/>
      <c r="X4428" s="4"/>
    </row>
    <row r="4429" spans="17:24" x14ac:dyDescent="0.3">
      <c r="Q4429" s="4"/>
      <c r="R4429" s="4"/>
      <c r="S4429" s="4"/>
      <c r="T4429" s="4"/>
      <c r="U4429" s="4"/>
      <c r="V4429" s="4"/>
      <c r="W4429" s="4"/>
      <c r="X4429" s="4"/>
    </row>
    <row r="4430" spans="17:24" x14ac:dyDescent="0.3">
      <c r="Q4430" s="4"/>
      <c r="R4430" s="4"/>
      <c r="S4430" s="4"/>
      <c r="T4430" s="4"/>
      <c r="U4430" s="4"/>
      <c r="V4430" s="4"/>
      <c r="W4430" s="4"/>
      <c r="X4430" s="4"/>
    </row>
    <row r="4431" spans="17:24" x14ac:dyDescent="0.3">
      <c r="Q4431" s="4"/>
      <c r="R4431" s="4"/>
      <c r="S4431" s="4"/>
      <c r="T4431" s="4"/>
      <c r="U4431" s="4"/>
      <c r="V4431" s="4"/>
      <c r="W4431" s="4"/>
      <c r="X4431" s="4"/>
    </row>
    <row r="4432" spans="17:24" x14ac:dyDescent="0.3">
      <c r="Q4432" s="4"/>
      <c r="R4432" s="4"/>
      <c r="S4432" s="4"/>
      <c r="T4432" s="4"/>
      <c r="U4432" s="4"/>
      <c r="V4432" s="4"/>
      <c r="W4432" s="4"/>
      <c r="X4432" s="4"/>
    </row>
    <row r="4433" spans="17:24" x14ac:dyDescent="0.3">
      <c r="Q4433" s="4"/>
      <c r="R4433" s="4"/>
      <c r="S4433" s="4"/>
      <c r="T4433" s="4"/>
      <c r="U4433" s="4"/>
      <c r="V4433" s="4"/>
      <c r="W4433" s="4"/>
      <c r="X4433" s="4"/>
    </row>
    <row r="4434" spans="17:24" x14ac:dyDescent="0.3">
      <c r="Q4434" s="4"/>
      <c r="R4434" s="4"/>
      <c r="S4434" s="4"/>
      <c r="T4434" s="4"/>
      <c r="U4434" s="4"/>
      <c r="V4434" s="4"/>
      <c r="W4434" s="4"/>
      <c r="X4434" s="4"/>
    </row>
    <row r="4435" spans="17:24" x14ac:dyDescent="0.3">
      <c r="Q4435" s="4"/>
      <c r="R4435" s="4"/>
      <c r="S4435" s="4"/>
      <c r="T4435" s="4"/>
      <c r="U4435" s="4"/>
      <c r="V4435" s="4"/>
      <c r="W4435" s="4"/>
      <c r="X4435" s="4"/>
    </row>
    <row r="4436" spans="17:24" x14ac:dyDescent="0.3">
      <c r="Q4436" s="4"/>
      <c r="R4436" s="4"/>
      <c r="S4436" s="4"/>
      <c r="T4436" s="4"/>
      <c r="U4436" s="4"/>
      <c r="V4436" s="4"/>
      <c r="W4436" s="4"/>
      <c r="X4436" s="4"/>
    </row>
    <row r="4437" spans="17:24" x14ac:dyDescent="0.3">
      <c r="Q4437" s="4"/>
      <c r="R4437" s="4"/>
      <c r="S4437" s="4"/>
      <c r="T4437" s="4"/>
      <c r="U4437" s="4"/>
      <c r="V4437" s="4"/>
      <c r="W4437" s="4"/>
      <c r="X4437" s="4"/>
    </row>
    <row r="4438" spans="17:24" x14ac:dyDescent="0.3">
      <c r="Q4438" s="4"/>
      <c r="R4438" s="4"/>
      <c r="S4438" s="4"/>
      <c r="T4438" s="4"/>
      <c r="U4438" s="4"/>
      <c r="V4438" s="4"/>
      <c r="W4438" s="4"/>
      <c r="X4438" s="4"/>
    </row>
    <row r="4439" spans="17:24" x14ac:dyDescent="0.3">
      <c r="Q4439" s="4"/>
      <c r="R4439" s="4"/>
      <c r="S4439" s="4"/>
      <c r="T4439" s="4"/>
      <c r="U4439" s="4"/>
      <c r="V4439" s="4"/>
      <c r="W4439" s="4"/>
      <c r="X4439" s="4"/>
    </row>
    <row r="4440" spans="17:24" x14ac:dyDescent="0.3">
      <c r="Q4440" s="4"/>
      <c r="R4440" s="4"/>
      <c r="S4440" s="4"/>
      <c r="T4440" s="4"/>
      <c r="U4440" s="4"/>
      <c r="V4440" s="4"/>
      <c r="W4440" s="4"/>
      <c r="X4440" s="4"/>
    </row>
    <row r="4441" spans="17:24" x14ac:dyDescent="0.3">
      <c r="Q4441" s="4"/>
      <c r="R4441" s="4"/>
      <c r="S4441" s="4"/>
      <c r="T4441" s="4"/>
      <c r="U4441" s="4"/>
      <c r="V4441" s="4"/>
      <c r="W4441" s="4"/>
      <c r="X4441" s="4"/>
    </row>
    <row r="4442" spans="17:24" x14ac:dyDescent="0.3">
      <c r="Q4442" s="4"/>
      <c r="R4442" s="4"/>
      <c r="S4442" s="4"/>
      <c r="T4442" s="4"/>
      <c r="U4442" s="4"/>
      <c r="V4442" s="4"/>
      <c r="W4442" s="4"/>
      <c r="X4442" s="4"/>
    </row>
    <row r="4443" spans="17:24" x14ac:dyDescent="0.3">
      <c r="Q4443" s="4"/>
      <c r="R4443" s="4"/>
      <c r="S4443" s="4"/>
      <c r="T4443" s="4"/>
      <c r="U4443" s="4"/>
      <c r="V4443" s="4"/>
      <c r="W4443" s="4"/>
      <c r="X4443" s="4"/>
    </row>
    <row r="4444" spans="17:24" x14ac:dyDescent="0.3">
      <c r="Q4444" s="4"/>
      <c r="R4444" s="4"/>
      <c r="S4444" s="4"/>
      <c r="T4444" s="4"/>
      <c r="U4444" s="4"/>
      <c r="V4444" s="4"/>
      <c r="W4444" s="4"/>
      <c r="X4444" s="4"/>
    </row>
    <row r="4445" spans="17:24" x14ac:dyDescent="0.3">
      <c r="Q4445" s="4"/>
      <c r="R4445" s="4"/>
      <c r="S4445" s="4"/>
      <c r="T4445" s="4"/>
      <c r="U4445" s="4"/>
      <c r="V4445" s="4"/>
      <c r="W4445" s="4"/>
      <c r="X4445" s="4"/>
    </row>
    <row r="4446" spans="17:24" x14ac:dyDescent="0.3">
      <c r="Q4446" s="4"/>
      <c r="R4446" s="4"/>
      <c r="S4446" s="4"/>
      <c r="T4446" s="4"/>
      <c r="U4446" s="4"/>
      <c r="V4446" s="4"/>
      <c r="W4446" s="4"/>
      <c r="X4446" s="4"/>
    </row>
    <row r="4447" spans="17:24" x14ac:dyDescent="0.3">
      <c r="Q4447" s="4"/>
      <c r="R4447" s="4"/>
      <c r="S4447" s="4"/>
      <c r="T4447" s="4"/>
      <c r="U4447" s="4"/>
      <c r="V4447" s="4"/>
      <c r="W4447" s="4"/>
      <c r="X4447" s="4"/>
    </row>
    <row r="4448" spans="17:24" x14ac:dyDescent="0.3">
      <c r="Q4448" s="4"/>
      <c r="R4448" s="4"/>
      <c r="S4448" s="4"/>
      <c r="T4448" s="4"/>
      <c r="U4448" s="4"/>
      <c r="V4448" s="4"/>
      <c r="W4448" s="4"/>
      <c r="X4448" s="4"/>
    </row>
    <row r="4449" spans="17:24" x14ac:dyDescent="0.3">
      <c r="Q4449" s="4"/>
      <c r="R4449" s="4"/>
      <c r="S4449" s="4"/>
      <c r="T4449" s="4"/>
      <c r="U4449" s="4"/>
      <c r="V4449" s="4"/>
      <c r="W4449" s="4"/>
      <c r="X4449" s="4"/>
    </row>
    <row r="4450" spans="17:24" x14ac:dyDescent="0.3">
      <c r="Q4450" s="4"/>
      <c r="R4450" s="4"/>
      <c r="S4450" s="4"/>
      <c r="T4450" s="4"/>
      <c r="U4450" s="4"/>
      <c r="V4450" s="4"/>
      <c r="W4450" s="4"/>
      <c r="X4450" s="4"/>
    </row>
    <row r="4451" spans="17:24" x14ac:dyDescent="0.3">
      <c r="Q4451" s="4"/>
      <c r="R4451" s="4"/>
      <c r="S4451" s="4"/>
      <c r="T4451" s="4"/>
      <c r="U4451" s="4"/>
      <c r="V4451" s="4"/>
      <c r="W4451" s="4"/>
      <c r="X4451" s="4"/>
    </row>
    <row r="4452" spans="17:24" x14ac:dyDescent="0.3">
      <c r="Q4452" s="4"/>
      <c r="R4452" s="4"/>
      <c r="S4452" s="4"/>
      <c r="T4452" s="4"/>
      <c r="U4452" s="4"/>
      <c r="V4452" s="4"/>
      <c r="W4452" s="4"/>
      <c r="X4452" s="4"/>
    </row>
    <row r="4453" spans="17:24" x14ac:dyDescent="0.3">
      <c r="Q4453" s="4"/>
      <c r="R4453" s="4"/>
      <c r="S4453" s="4"/>
      <c r="T4453" s="4"/>
      <c r="U4453" s="4"/>
      <c r="V4453" s="4"/>
      <c r="W4453" s="4"/>
      <c r="X4453" s="4"/>
    </row>
    <row r="4454" spans="17:24" x14ac:dyDescent="0.3">
      <c r="Q4454" s="4"/>
      <c r="R4454" s="4"/>
      <c r="S4454" s="4"/>
      <c r="T4454" s="4"/>
      <c r="U4454" s="4"/>
      <c r="V4454" s="4"/>
      <c r="W4454" s="4"/>
      <c r="X4454" s="4"/>
    </row>
    <row r="4455" spans="17:24" x14ac:dyDescent="0.3">
      <c r="Q4455" s="4"/>
      <c r="R4455" s="4"/>
      <c r="S4455" s="4"/>
      <c r="T4455" s="4"/>
      <c r="U4455" s="4"/>
      <c r="V4455" s="4"/>
      <c r="W4455" s="4"/>
      <c r="X4455" s="4"/>
    </row>
    <row r="4456" spans="17:24" x14ac:dyDescent="0.3">
      <c r="Q4456" s="4"/>
      <c r="R4456" s="4"/>
      <c r="S4456" s="4"/>
      <c r="T4456" s="4"/>
      <c r="U4456" s="4"/>
      <c r="V4456" s="4"/>
      <c r="W4456" s="4"/>
      <c r="X4456" s="4"/>
    </row>
    <row r="4457" spans="17:24" x14ac:dyDescent="0.3">
      <c r="Q4457" s="4"/>
      <c r="R4457" s="4"/>
      <c r="S4457" s="4"/>
      <c r="T4457" s="4"/>
      <c r="U4457" s="4"/>
      <c r="V4457" s="4"/>
      <c r="W4457" s="4"/>
      <c r="X4457" s="4"/>
    </row>
    <row r="4458" spans="17:24" x14ac:dyDescent="0.3">
      <c r="Q4458" s="4"/>
      <c r="R4458" s="4"/>
      <c r="S4458" s="4"/>
      <c r="T4458" s="4"/>
      <c r="U4458" s="4"/>
      <c r="V4458" s="4"/>
      <c r="W4458" s="4"/>
      <c r="X4458" s="4"/>
    </row>
    <row r="4459" spans="17:24" x14ac:dyDescent="0.3">
      <c r="Q4459" s="4"/>
      <c r="R4459" s="4"/>
      <c r="S4459" s="4"/>
      <c r="T4459" s="4"/>
      <c r="U4459" s="4"/>
      <c r="V4459" s="4"/>
      <c r="W4459" s="4"/>
      <c r="X4459" s="4"/>
    </row>
    <row r="4460" spans="17:24" x14ac:dyDescent="0.3">
      <c r="Q4460" s="4"/>
      <c r="R4460" s="4"/>
      <c r="S4460" s="4"/>
      <c r="T4460" s="4"/>
      <c r="U4460" s="4"/>
      <c r="V4460" s="4"/>
      <c r="W4460" s="4"/>
      <c r="X4460" s="4"/>
    </row>
    <row r="4461" spans="17:24" x14ac:dyDescent="0.3">
      <c r="Q4461" s="4"/>
      <c r="R4461" s="4"/>
      <c r="S4461" s="4"/>
      <c r="T4461" s="4"/>
      <c r="U4461" s="4"/>
      <c r="V4461" s="4"/>
      <c r="W4461" s="4"/>
      <c r="X4461" s="4"/>
    </row>
    <row r="4462" spans="17:24" x14ac:dyDescent="0.3">
      <c r="Q4462" s="4"/>
      <c r="R4462" s="4"/>
      <c r="S4462" s="4"/>
      <c r="T4462" s="4"/>
      <c r="U4462" s="4"/>
      <c r="V4462" s="4"/>
      <c r="W4462" s="4"/>
      <c r="X4462" s="4"/>
    </row>
    <row r="4463" spans="17:24" x14ac:dyDescent="0.3">
      <c r="Q4463" s="4"/>
      <c r="R4463" s="4"/>
      <c r="S4463" s="4"/>
      <c r="T4463" s="4"/>
      <c r="U4463" s="4"/>
      <c r="V4463" s="4"/>
      <c r="W4463" s="4"/>
      <c r="X4463" s="4"/>
    </row>
    <row r="4464" spans="17:24" x14ac:dyDescent="0.3">
      <c r="Q4464" s="4"/>
      <c r="R4464" s="4"/>
      <c r="S4464" s="4"/>
      <c r="T4464" s="4"/>
      <c r="U4464" s="4"/>
      <c r="V4464" s="4"/>
      <c r="W4464" s="4"/>
      <c r="X4464" s="4"/>
    </row>
    <row r="4465" spans="17:24" x14ac:dyDescent="0.3">
      <c r="Q4465" s="4"/>
      <c r="R4465" s="4"/>
      <c r="S4465" s="4"/>
      <c r="T4465" s="4"/>
      <c r="U4465" s="4"/>
      <c r="V4465" s="4"/>
      <c r="W4465" s="4"/>
      <c r="X4465" s="4"/>
    </row>
    <row r="4466" spans="17:24" x14ac:dyDescent="0.3">
      <c r="Q4466" s="4"/>
      <c r="R4466" s="4"/>
      <c r="S4466" s="4"/>
      <c r="T4466" s="4"/>
      <c r="U4466" s="4"/>
      <c r="V4466" s="4"/>
      <c r="W4466" s="4"/>
      <c r="X4466" s="4"/>
    </row>
    <row r="4467" spans="17:24" x14ac:dyDescent="0.3">
      <c r="Q4467" s="4"/>
      <c r="R4467" s="4"/>
      <c r="S4467" s="4"/>
      <c r="T4467" s="4"/>
      <c r="U4467" s="4"/>
      <c r="V4467" s="4"/>
      <c r="W4467" s="4"/>
      <c r="X4467" s="4"/>
    </row>
    <row r="4468" spans="17:24" x14ac:dyDescent="0.3">
      <c r="Q4468" s="4"/>
      <c r="R4468" s="4"/>
      <c r="S4468" s="4"/>
      <c r="T4468" s="4"/>
      <c r="U4468" s="4"/>
      <c r="V4468" s="4"/>
      <c r="W4468" s="4"/>
      <c r="X4468" s="4"/>
    </row>
    <row r="4469" spans="17:24" x14ac:dyDescent="0.3">
      <c r="Q4469" s="4"/>
      <c r="R4469" s="4"/>
      <c r="S4469" s="4"/>
      <c r="T4469" s="4"/>
      <c r="U4469" s="4"/>
      <c r="V4469" s="4"/>
      <c r="W4469" s="4"/>
      <c r="X4469" s="4"/>
    </row>
    <row r="4470" spans="17:24" x14ac:dyDescent="0.3">
      <c r="Q4470" s="4"/>
      <c r="R4470" s="4"/>
      <c r="S4470" s="4"/>
      <c r="T4470" s="4"/>
      <c r="U4470" s="4"/>
      <c r="V4470" s="4"/>
      <c r="W4470" s="4"/>
      <c r="X4470" s="4"/>
    </row>
    <row r="4471" spans="17:24" x14ac:dyDescent="0.3">
      <c r="Q4471" s="4"/>
      <c r="R4471" s="4"/>
      <c r="S4471" s="4"/>
      <c r="T4471" s="4"/>
      <c r="U4471" s="4"/>
      <c r="V4471" s="4"/>
      <c r="W4471" s="4"/>
      <c r="X4471" s="4"/>
    </row>
    <row r="4472" spans="17:24" x14ac:dyDescent="0.3">
      <c r="Q4472" s="4"/>
      <c r="R4472" s="4"/>
      <c r="S4472" s="4"/>
      <c r="T4472" s="4"/>
      <c r="U4472" s="4"/>
      <c r="V4472" s="4"/>
      <c r="W4472" s="4"/>
      <c r="X4472" s="4"/>
    </row>
    <row r="4473" spans="17:24" x14ac:dyDescent="0.3">
      <c r="Q4473" s="4"/>
      <c r="R4473" s="4"/>
      <c r="S4473" s="4"/>
      <c r="T4473" s="4"/>
      <c r="U4473" s="4"/>
      <c r="V4473" s="4"/>
      <c r="W4473" s="4"/>
      <c r="X4473" s="4"/>
    </row>
    <row r="4474" spans="17:24" x14ac:dyDescent="0.3">
      <c r="Q4474" s="4"/>
      <c r="R4474" s="4"/>
      <c r="S4474" s="4"/>
      <c r="T4474" s="4"/>
      <c r="U4474" s="4"/>
      <c r="V4474" s="4"/>
      <c r="W4474" s="4"/>
      <c r="X4474" s="4"/>
    </row>
    <row r="4475" spans="17:24" x14ac:dyDescent="0.3">
      <c r="Q4475" s="4"/>
      <c r="R4475" s="4"/>
      <c r="S4475" s="4"/>
      <c r="T4475" s="4"/>
      <c r="U4475" s="4"/>
      <c r="V4475" s="4"/>
      <c r="W4475" s="4"/>
      <c r="X4475" s="4"/>
    </row>
    <row r="4476" spans="17:24" x14ac:dyDescent="0.3">
      <c r="Q4476" s="4"/>
      <c r="R4476" s="4"/>
      <c r="S4476" s="4"/>
      <c r="T4476" s="4"/>
      <c r="U4476" s="4"/>
      <c r="V4476" s="4"/>
      <c r="W4476" s="4"/>
      <c r="X4476" s="4"/>
    </row>
    <row r="4477" spans="17:24" x14ac:dyDescent="0.3">
      <c r="Q4477" s="4"/>
      <c r="R4477" s="4"/>
      <c r="S4477" s="4"/>
      <c r="T4477" s="4"/>
      <c r="U4477" s="4"/>
      <c r="V4477" s="4"/>
      <c r="W4477" s="4"/>
      <c r="X4477" s="4"/>
    </row>
    <row r="4478" spans="17:24" x14ac:dyDescent="0.3">
      <c r="Q4478" s="4"/>
      <c r="R4478" s="4"/>
      <c r="S4478" s="4"/>
      <c r="T4478" s="4"/>
      <c r="U4478" s="4"/>
      <c r="V4478" s="4"/>
      <c r="W4478" s="4"/>
      <c r="X4478" s="4"/>
    </row>
    <row r="4479" spans="17:24" x14ac:dyDescent="0.3">
      <c r="Q4479" s="4"/>
      <c r="R4479" s="4"/>
      <c r="S4479" s="4"/>
      <c r="T4479" s="4"/>
      <c r="U4479" s="4"/>
      <c r="V4479" s="4"/>
      <c r="W4479" s="4"/>
      <c r="X4479" s="4"/>
    </row>
    <row r="4480" spans="17:24" x14ac:dyDescent="0.3">
      <c r="Q4480" s="4"/>
      <c r="R4480" s="4"/>
      <c r="S4480" s="4"/>
      <c r="T4480" s="4"/>
      <c r="U4480" s="4"/>
      <c r="V4480" s="4"/>
      <c r="W4480" s="4"/>
      <c r="X4480" s="4"/>
    </row>
    <row r="4481" spans="17:24" x14ac:dyDescent="0.3">
      <c r="Q4481" s="4"/>
      <c r="R4481" s="4"/>
      <c r="S4481" s="4"/>
      <c r="T4481" s="4"/>
      <c r="U4481" s="4"/>
      <c r="V4481" s="4"/>
      <c r="W4481" s="4"/>
      <c r="X4481" s="4"/>
    </row>
    <row r="4482" spans="17:24" x14ac:dyDescent="0.3">
      <c r="Q4482" s="4"/>
      <c r="R4482" s="4"/>
      <c r="S4482" s="4"/>
      <c r="T4482" s="4"/>
      <c r="U4482" s="4"/>
      <c r="V4482" s="4"/>
      <c r="W4482" s="4"/>
      <c r="X4482" s="4"/>
    </row>
    <row r="4483" spans="17:24" x14ac:dyDescent="0.3">
      <c r="Q4483" s="4"/>
      <c r="R4483" s="4"/>
      <c r="S4483" s="4"/>
      <c r="T4483" s="4"/>
      <c r="U4483" s="4"/>
      <c r="V4483" s="4"/>
      <c r="W4483" s="4"/>
      <c r="X4483" s="4"/>
    </row>
    <row r="4484" spans="17:24" x14ac:dyDescent="0.3">
      <c r="Q4484" s="4"/>
      <c r="R4484" s="4"/>
      <c r="S4484" s="4"/>
      <c r="T4484" s="4"/>
      <c r="U4484" s="4"/>
      <c r="V4484" s="4"/>
      <c r="W4484" s="4"/>
      <c r="X4484" s="4"/>
    </row>
    <row r="4485" spans="17:24" x14ac:dyDescent="0.3">
      <c r="Q4485" s="4"/>
      <c r="R4485" s="4"/>
      <c r="S4485" s="4"/>
      <c r="T4485" s="4"/>
      <c r="U4485" s="4"/>
      <c r="V4485" s="4"/>
      <c r="W4485" s="4"/>
      <c r="X4485" s="4"/>
    </row>
    <row r="4486" spans="17:24" x14ac:dyDescent="0.3">
      <c r="Q4486" s="4"/>
      <c r="R4486" s="4"/>
      <c r="S4486" s="4"/>
      <c r="T4486" s="4"/>
      <c r="U4486" s="4"/>
      <c r="V4486" s="4"/>
      <c r="W4486" s="4"/>
      <c r="X4486" s="4"/>
    </row>
    <row r="4487" spans="17:24" x14ac:dyDescent="0.3">
      <c r="Q4487" s="4"/>
      <c r="R4487" s="4"/>
      <c r="S4487" s="4"/>
      <c r="T4487" s="4"/>
      <c r="U4487" s="4"/>
      <c r="V4487" s="4"/>
      <c r="W4487" s="4"/>
      <c r="X4487" s="4"/>
    </row>
    <row r="4488" spans="17:24" x14ac:dyDescent="0.3">
      <c r="Q4488" s="4"/>
      <c r="R4488" s="4"/>
      <c r="S4488" s="4"/>
      <c r="T4488" s="4"/>
      <c r="U4488" s="4"/>
      <c r="V4488" s="4"/>
      <c r="W4488" s="4"/>
      <c r="X4488" s="4"/>
    </row>
    <row r="4489" spans="17:24" x14ac:dyDescent="0.3">
      <c r="Q4489" s="4"/>
      <c r="R4489" s="4"/>
      <c r="S4489" s="4"/>
      <c r="T4489" s="4"/>
      <c r="U4489" s="4"/>
      <c r="V4489" s="4"/>
      <c r="W4489" s="4"/>
      <c r="X4489" s="4"/>
    </row>
    <row r="4490" spans="17:24" x14ac:dyDescent="0.3">
      <c r="Q4490" s="4"/>
      <c r="R4490" s="4"/>
      <c r="S4490" s="4"/>
      <c r="T4490" s="4"/>
      <c r="U4490" s="4"/>
      <c r="V4490" s="4"/>
      <c r="W4490" s="4"/>
      <c r="X4490" s="4"/>
    </row>
    <row r="4491" spans="17:24" x14ac:dyDescent="0.3">
      <c r="Q4491" s="4"/>
      <c r="R4491" s="4"/>
      <c r="S4491" s="4"/>
      <c r="T4491" s="4"/>
      <c r="U4491" s="4"/>
      <c r="V4491" s="4"/>
      <c r="W4491" s="4"/>
      <c r="X4491" s="4"/>
    </row>
    <row r="4492" spans="17:24" x14ac:dyDescent="0.3">
      <c r="Q4492" s="4"/>
      <c r="R4492" s="4"/>
      <c r="S4492" s="4"/>
      <c r="T4492" s="4"/>
      <c r="U4492" s="4"/>
      <c r="V4492" s="4"/>
      <c r="W4492" s="4"/>
      <c r="X4492" s="4"/>
    </row>
    <row r="4493" spans="17:24" x14ac:dyDescent="0.3">
      <c r="Q4493" s="4"/>
      <c r="R4493" s="4"/>
      <c r="S4493" s="4"/>
      <c r="T4493" s="4"/>
      <c r="U4493" s="4"/>
      <c r="V4493" s="4"/>
      <c r="W4493" s="4"/>
      <c r="X4493" s="4"/>
    </row>
    <row r="4494" spans="17:24" x14ac:dyDescent="0.3">
      <c r="Q4494" s="4"/>
      <c r="R4494" s="4"/>
      <c r="S4494" s="4"/>
      <c r="T4494" s="4"/>
      <c r="U4494" s="4"/>
      <c r="V4494" s="4"/>
      <c r="W4494" s="4"/>
      <c r="X4494" s="4"/>
    </row>
    <row r="4495" spans="17:24" x14ac:dyDescent="0.3">
      <c r="Q4495" s="4"/>
      <c r="R4495" s="4"/>
      <c r="S4495" s="4"/>
      <c r="T4495" s="4"/>
      <c r="U4495" s="4"/>
      <c r="V4495" s="4"/>
      <c r="W4495" s="4"/>
      <c r="X4495" s="4"/>
    </row>
    <row r="4496" spans="17:24" x14ac:dyDescent="0.3">
      <c r="Q4496" s="4"/>
      <c r="R4496" s="4"/>
      <c r="S4496" s="4"/>
      <c r="T4496" s="4"/>
      <c r="U4496" s="4"/>
      <c r="V4496" s="4"/>
      <c r="W4496" s="4"/>
      <c r="X4496" s="4"/>
    </row>
    <row r="4497" spans="17:24" x14ac:dyDescent="0.3">
      <c r="Q4497" s="4"/>
      <c r="R4497" s="4"/>
      <c r="S4497" s="4"/>
      <c r="T4497" s="4"/>
      <c r="U4497" s="4"/>
      <c r="V4497" s="4"/>
      <c r="W4497" s="4"/>
      <c r="X4497" s="4"/>
    </row>
    <row r="4498" spans="17:24" x14ac:dyDescent="0.3">
      <c r="Q4498" s="4"/>
      <c r="R4498" s="4"/>
      <c r="S4498" s="4"/>
      <c r="T4498" s="4"/>
      <c r="U4498" s="4"/>
      <c r="V4498" s="4"/>
      <c r="W4498" s="4"/>
      <c r="X4498" s="4"/>
    </row>
    <row r="4499" spans="17:24" x14ac:dyDescent="0.3">
      <c r="Q4499" s="4"/>
      <c r="R4499" s="4"/>
      <c r="S4499" s="4"/>
      <c r="T4499" s="4"/>
      <c r="U4499" s="4"/>
      <c r="V4499" s="4"/>
      <c r="W4499" s="4"/>
      <c r="X4499" s="4"/>
    </row>
    <row r="4500" spans="17:24" x14ac:dyDescent="0.3">
      <c r="Q4500" s="4"/>
      <c r="R4500" s="4"/>
      <c r="S4500" s="4"/>
      <c r="T4500" s="4"/>
      <c r="U4500" s="4"/>
      <c r="V4500" s="4"/>
      <c r="W4500" s="4"/>
      <c r="X4500" s="4"/>
    </row>
    <row r="4501" spans="17:24" x14ac:dyDescent="0.3">
      <c r="Q4501" s="4"/>
      <c r="R4501" s="4"/>
      <c r="S4501" s="4"/>
      <c r="T4501" s="4"/>
      <c r="U4501" s="4"/>
      <c r="V4501" s="4"/>
      <c r="W4501" s="4"/>
      <c r="X4501" s="4"/>
    </row>
    <row r="4502" spans="17:24" x14ac:dyDescent="0.3">
      <c r="Q4502" s="4"/>
      <c r="R4502" s="4"/>
      <c r="S4502" s="4"/>
      <c r="T4502" s="4"/>
      <c r="U4502" s="4"/>
      <c r="V4502" s="4"/>
      <c r="W4502" s="4"/>
      <c r="X4502" s="4"/>
    </row>
    <row r="4503" spans="17:24" x14ac:dyDescent="0.3">
      <c r="Q4503" s="4"/>
      <c r="R4503" s="4"/>
      <c r="S4503" s="4"/>
      <c r="T4503" s="4"/>
      <c r="U4503" s="4"/>
      <c r="V4503" s="4"/>
      <c r="W4503" s="4"/>
      <c r="X4503" s="4"/>
    </row>
    <row r="4504" spans="17:24" x14ac:dyDescent="0.3">
      <c r="Q4504" s="4"/>
      <c r="R4504" s="4"/>
      <c r="S4504" s="4"/>
      <c r="T4504" s="4"/>
      <c r="U4504" s="4"/>
      <c r="V4504" s="4"/>
      <c r="W4504" s="4"/>
      <c r="X4504" s="4"/>
    </row>
    <row r="4505" spans="17:24" x14ac:dyDescent="0.3">
      <c r="Q4505" s="4"/>
      <c r="R4505" s="4"/>
      <c r="S4505" s="4"/>
      <c r="T4505" s="4"/>
      <c r="U4505" s="4"/>
      <c r="V4505" s="4"/>
      <c r="W4505" s="4"/>
      <c r="X4505" s="4"/>
    </row>
    <row r="4506" spans="17:24" x14ac:dyDescent="0.3">
      <c r="Q4506" s="4"/>
      <c r="R4506" s="4"/>
      <c r="S4506" s="4"/>
      <c r="T4506" s="4"/>
      <c r="U4506" s="4"/>
      <c r="V4506" s="4"/>
      <c r="W4506" s="4"/>
      <c r="X4506" s="4"/>
    </row>
    <row r="4507" spans="17:24" x14ac:dyDescent="0.3">
      <c r="Q4507" s="4"/>
      <c r="R4507" s="4"/>
      <c r="S4507" s="4"/>
      <c r="T4507" s="4"/>
      <c r="U4507" s="4"/>
      <c r="V4507" s="4"/>
      <c r="W4507" s="4"/>
      <c r="X4507" s="4"/>
    </row>
    <row r="4508" spans="17:24" x14ac:dyDescent="0.3">
      <c r="Q4508" s="4"/>
      <c r="R4508" s="4"/>
      <c r="S4508" s="4"/>
      <c r="T4508" s="4"/>
      <c r="U4508" s="4"/>
      <c r="V4508" s="4"/>
      <c r="W4508" s="4"/>
      <c r="X4508" s="4"/>
    </row>
    <row r="4509" spans="17:24" x14ac:dyDescent="0.3">
      <c r="Q4509" s="4"/>
      <c r="R4509" s="4"/>
      <c r="S4509" s="4"/>
      <c r="T4509" s="4"/>
      <c r="U4509" s="4"/>
      <c r="V4509" s="4"/>
      <c r="W4509" s="4"/>
      <c r="X4509" s="4"/>
    </row>
    <row r="4510" spans="17:24" x14ac:dyDescent="0.3">
      <c r="Q4510" s="4"/>
      <c r="R4510" s="4"/>
      <c r="S4510" s="4"/>
      <c r="T4510" s="4"/>
      <c r="U4510" s="4"/>
      <c r="V4510" s="4"/>
      <c r="W4510" s="4"/>
      <c r="X4510" s="4"/>
    </row>
    <row r="4511" spans="17:24" x14ac:dyDescent="0.3">
      <c r="Q4511" s="4"/>
      <c r="R4511" s="4"/>
      <c r="S4511" s="4"/>
      <c r="T4511" s="4"/>
      <c r="U4511" s="4"/>
      <c r="V4511" s="4"/>
      <c r="W4511" s="4"/>
      <c r="X4511" s="4"/>
    </row>
    <row r="4512" spans="17:24" x14ac:dyDescent="0.3">
      <c r="Q4512" s="4"/>
      <c r="R4512" s="4"/>
      <c r="S4512" s="4"/>
      <c r="T4512" s="4"/>
      <c r="U4512" s="4"/>
      <c r="V4512" s="4"/>
      <c r="W4512" s="4"/>
      <c r="X4512" s="4"/>
    </row>
    <row r="4513" spans="17:24" x14ac:dyDescent="0.3">
      <c r="Q4513" s="4"/>
      <c r="R4513" s="4"/>
      <c r="S4513" s="4"/>
      <c r="T4513" s="4"/>
      <c r="U4513" s="4"/>
      <c r="V4513" s="4"/>
      <c r="W4513" s="4"/>
      <c r="X4513" s="4"/>
    </row>
    <row r="4514" spans="17:24" x14ac:dyDescent="0.3">
      <c r="Q4514" s="4"/>
      <c r="R4514" s="4"/>
      <c r="S4514" s="4"/>
      <c r="T4514" s="4"/>
      <c r="U4514" s="4"/>
      <c r="V4514" s="4"/>
      <c r="W4514" s="4"/>
      <c r="X4514" s="4"/>
    </row>
    <row r="4515" spans="17:24" x14ac:dyDescent="0.3">
      <c r="Q4515" s="4"/>
      <c r="R4515" s="4"/>
      <c r="S4515" s="4"/>
      <c r="T4515" s="4"/>
      <c r="U4515" s="4"/>
      <c r="V4515" s="4"/>
      <c r="W4515" s="4"/>
      <c r="X4515" s="4"/>
    </row>
    <row r="4516" spans="17:24" x14ac:dyDescent="0.3">
      <c r="Q4516" s="4"/>
      <c r="R4516" s="4"/>
      <c r="S4516" s="4"/>
      <c r="T4516" s="4"/>
      <c r="U4516" s="4"/>
      <c r="V4516" s="4"/>
      <c r="W4516" s="4"/>
      <c r="X4516" s="4"/>
    </row>
    <row r="4517" spans="17:24" x14ac:dyDescent="0.3">
      <c r="Q4517" s="4"/>
      <c r="R4517" s="4"/>
      <c r="S4517" s="4"/>
      <c r="T4517" s="4"/>
      <c r="U4517" s="4"/>
      <c r="V4517" s="4"/>
      <c r="W4517" s="4"/>
      <c r="X4517" s="4"/>
    </row>
    <row r="4518" spans="17:24" x14ac:dyDescent="0.3">
      <c r="Q4518" s="4"/>
      <c r="R4518" s="4"/>
      <c r="S4518" s="4"/>
      <c r="T4518" s="4"/>
      <c r="U4518" s="4"/>
      <c r="V4518" s="4"/>
      <c r="W4518" s="4"/>
      <c r="X4518" s="4"/>
    </row>
    <row r="4519" spans="17:24" x14ac:dyDescent="0.3">
      <c r="Q4519" s="4"/>
      <c r="R4519" s="4"/>
      <c r="S4519" s="4"/>
      <c r="T4519" s="4"/>
      <c r="U4519" s="4"/>
      <c r="V4519" s="4"/>
      <c r="W4519" s="4"/>
      <c r="X4519" s="4"/>
    </row>
    <row r="4520" spans="17:24" x14ac:dyDescent="0.3">
      <c r="Q4520" s="4"/>
      <c r="R4520" s="4"/>
      <c r="S4520" s="4"/>
      <c r="T4520" s="4"/>
      <c r="U4520" s="4"/>
      <c r="V4520" s="4"/>
      <c r="W4520" s="4"/>
      <c r="X4520" s="4"/>
    </row>
    <row r="4521" spans="17:24" x14ac:dyDescent="0.3">
      <c r="Q4521" s="4"/>
      <c r="R4521" s="4"/>
      <c r="S4521" s="4"/>
      <c r="T4521" s="4"/>
      <c r="U4521" s="4"/>
      <c r="V4521" s="4"/>
      <c r="W4521" s="4"/>
      <c r="X4521" s="4"/>
    </row>
    <row r="4522" spans="17:24" x14ac:dyDescent="0.3">
      <c r="Q4522" s="4"/>
      <c r="R4522" s="4"/>
      <c r="S4522" s="4"/>
      <c r="T4522" s="4"/>
      <c r="U4522" s="4"/>
      <c r="V4522" s="4"/>
      <c r="W4522" s="4"/>
      <c r="X4522" s="4"/>
    </row>
    <row r="4523" spans="17:24" x14ac:dyDescent="0.3">
      <c r="Q4523" s="4"/>
      <c r="R4523" s="4"/>
      <c r="S4523" s="4"/>
      <c r="T4523" s="4"/>
      <c r="U4523" s="4"/>
      <c r="V4523" s="4"/>
      <c r="W4523" s="4"/>
      <c r="X4523" s="4"/>
    </row>
    <row r="4524" spans="17:24" x14ac:dyDescent="0.3">
      <c r="Q4524" s="4"/>
      <c r="R4524" s="4"/>
      <c r="S4524" s="4"/>
      <c r="T4524" s="4"/>
      <c r="U4524" s="4"/>
      <c r="V4524" s="4"/>
      <c r="W4524" s="4"/>
      <c r="X4524" s="4"/>
    </row>
    <row r="4525" spans="17:24" x14ac:dyDescent="0.3">
      <c r="Q4525" s="4"/>
      <c r="R4525" s="4"/>
      <c r="S4525" s="4"/>
      <c r="T4525" s="4"/>
      <c r="U4525" s="4"/>
      <c r="V4525" s="4"/>
      <c r="W4525" s="4"/>
      <c r="X4525" s="4"/>
    </row>
    <row r="4526" spans="17:24" x14ac:dyDescent="0.3">
      <c r="Q4526" s="4"/>
      <c r="R4526" s="4"/>
      <c r="S4526" s="4"/>
      <c r="T4526" s="4"/>
      <c r="U4526" s="4"/>
      <c r="V4526" s="4"/>
      <c r="W4526" s="4"/>
      <c r="X4526" s="4"/>
    </row>
    <row r="4527" spans="17:24" x14ac:dyDescent="0.3">
      <c r="Q4527" s="4"/>
      <c r="R4527" s="4"/>
      <c r="S4527" s="4"/>
      <c r="T4527" s="4"/>
      <c r="U4527" s="4"/>
      <c r="V4527" s="4"/>
      <c r="W4527" s="4"/>
      <c r="X4527" s="4"/>
    </row>
    <row r="4528" spans="17:24" x14ac:dyDescent="0.3">
      <c r="Q4528" s="4"/>
      <c r="R4528" s="4"/>
      <c r="S4528" s="4"/>
      <c r="T4528" s="4"/>
      <c r="U4528" s="4"/>
      <c r="V4528" s="4"/>
      <c r="W4528" s="4"/>
      <c r="X4528" s="4"/>
    </row>
    <row r="4529" spans="17:24" x14ac:dyDescent="0.3">
      <c r="Q4529" s="4"/>
      <c r="R4529" s="4"/>
      <c r="S4529" s="4"/>
      <c r="T4529" s="4"/>
      <c r="U4529" s="4"/>
      <c r="V4529" s="4"/>
      <c r="W4529" s="4"/>
      <c r="X4529" s="4"/>
    </row>
    <row r="4530" spans="17:24" x14ac:dyDescent="0.3">
      <c r="Q4530" s="4"/>
      <c r="R4530" s="4"/>
      <c r="S4530" s="4"/>
      <c r="T4530" s="4"/>
      <c r="U4530" s="4"/>
      <c r="V4530" s="4"/>
      <c r="W4530" s="4"/>
      <c r="X4530" s="4"/>
    </row>
    <row r="4531" spans="17:24" x14ac:dyDescent="0.3">
      <c r="Q4531" s="4"/>
      <c r="R4531" s="4"/>
      <c r="S4531" s="4"/>
      <c r="T4531" s="4"/>
      <c r="U4531" s="4"/>
      <c r="V4531" s="4"/>
      <c r="W4531" s="4"/>
      <c r="X4531" s="4"/>
    </row>
    <row r="4532" spans="17:24" x14ac:dyDescent="0.3">
      <c r="Q4532" s="4"/>
      <c r="R4532" s="4"/>
      <c r="S4532" s="4"/>
      <c r="T4532" s="4"/>
      <c r="U4532" s="4"/>
      <c r="V4532" s="4"/>
      <c r="W4532" s="4"/>
      <c r="X4532" s="4"/>
    </row>
    <row r="4533" spans="17:24" x14ac:dyDescent="0.3">
      <c r="Q4533" s="4"/>
      <c r="R4533" s="4"/>
      <c r="S4533" s="4"/>
      <c r="T4533" s="4"/>
      <c r="U4533" s="4"/>
      <c r="V4533" s="4"/>
      <c r="W4533" s="4"/>
      <c r="X4533" s="4"/>
    </row>
    <row r="4534" spans="17:24" x14ac:dyDescent="0.3">
      <c r="Q4534" s="4"/>
      <c r="R4534" s="4"/>
      <c r="S4534" s="4"/>
      <c r="T4534" s="4"/>
      <c r="U4534" s="4"/>
      <c r="V4534" s="4"/>
      <c r="W4534" s="4"/>
      <c r="X4534" s="4"/>
    </row>
    <row r="4535" spans="17:24" x14ac:dyDescent="0.3">
      <c r="Q4535" s="4"/>
      <c r="R4535" s="4"/>
      <c r="S4535" s="4"/>
      <c r="T4535" s="4"/>
      <c r="U4535" s="4"/>
      <c r="V4535" s="4"/>
      <c r="W4535" s="4"/>
      <c r="X4535" s="4"/>
    </row>
    <row r="4536" spans="17:24" x14ac:dyDescent="0.3">
      <c r="Q4536" s="4"/>
      <c r="R4536" s="4"/>
      <c r="S4536" s="4"/>
      <c r="T4536" s="4"/>
      <c r="U4536" s="4"/>
      <c r="V4536" s="4"/>
      <c r="W4536" s="4"/>
      <c r="X4536" s="4"/>
    </row>
    <row r="4537" spans="17:24" x14ac:dyDescent="0.3">
      <c r="Q4537" s="4"/>
      <c r="R4537" s="4"/>
      <c r="S4537" s="4"/>
      <c r="T4537" s="4"/>
      <c r="U4537" s="4"/>
      <c r="V4537" s="4"/>
      <c r="W4537" s="4"/>
      <c r="X4537" s="4"/>
    </row>
    <row r="4538" spans="17:24" x14ac:dyDescent="0.3">
      <c r="Q4538" s="4"/>
      <c r="R4538" s="4"/>
      <c r="S4538" s="4"/>
      <c r="T4538" s="4"/>
      <c r="U4538" s="4"/>
      <c r="V4538" s="4"/>
      <c r="W4538" s="4"/>
      <c r="X4538" s="4"/>
    </row>
    <row r="4539" spans="17:24" x14ac:dyDescent="0.3">
      <c r="Q4539" s="4"/>
      <c r="R4539" s="4"/>
      <c r="S4539" s="4"/>
      <c r="T4539" s="4"/>
      <c r="U4539" s="4"/>
      <c r="V4539" s="4"/>
      <c r="W4539" s="4"/>
      <c r="X4539" s="4"/>
    </row>
    <row r="4540" spans="17:24" x14ac:dyDescent="0.3">
      <c r="Q4540" s="4"/>
      <c r="R4540" s="4"/>
      <c r="S4540" s="4"/>
      <c r="T4540" s="4"/>
      <c r="U4540" s="4"/>
      <c r="V4540" s="4"/>
      <c r="W4540" s="4"/>
      <c r="X4540" s="4"/>
    </row>
    <row r="4541" spans="17:24" x14ac:dyDescent="0.3">
      <c r="Q4541" s="4"/>
      <c r="R4541" s="4"/>
      <c r="S4541" s="4"/>
      <c r="T4541" s="4"/>
      <c r="U4541" s="4"/>
      <c r="V4541" s="4"/>
      <c r="W4541" s="4"/>
      <c r="X4541" s="4"/>
    </row>
    <row r="4542" spans="17:24" x14ac:dyDescent="0.3">
      <c r="Q4542" s="4"/>
      <c r="R4542" s="4"/>
      <c r="S4542" s="4"/>
      <c r="T4542" s="4"/>
      <c r="U4542" s="4"/>
      <c r="V4542" s="4"/>
      <c r="W4542" s="4"/>
      <c r="X4542" s="4"/>
    </row>
    <row r="4543" spans="17:24" x14ac:dyDescent="0.3">
      <c r="Q4543" s="4"/>
      <c r="R4543" s="4"/>
      <c r="S4543" s="4"/>
      <c r="T4543" s="4"/>
      <c r="U4543" s="4"/>
      <c r="V4543" s="4"/>
      <c r="W4543" s="4"/>
      <c r="X4543" s="4"/>
    </row>
    <row r="4544" spans="17:24" x14ac:dyDescent="0.3">
      <c r="Q4544" s="4"/>
      <c r="R4544" s="4"/>
      <c r="S4544" s="4"/>
      <c r="T4544" s="4"/>
      <c r="U4544" s="4"/>
      <c r="V4544" s="4"/>
      <c r="W4544" s="4"/>
      <c r="X4544" s="4"/>
    </row>
    <row r="4545" spans="17:24" x14ac:dyDescent="0.3">
      <c r="Q4545" s="4"/>
      <c r="R4545" s="4"/>
      <c r="S4545" s="4"/>
      <c r="T4545" s="4"/>
      <c r="U4545" s="4"/>
      <c r="V4545" s="4"/>
      <c r="W4545" s="4"/>
      <c r="X4545" s="4"/>
    </row>
    <row r="4546" spans="17:24" x14ac:dyDescent="0.3">
      <c r="Q4546" s="4"/>
      <c r="R4546" s="4"/>
      <c r="S4546" s="4"/>
      <c r="T4546" s="4"/>
      <c r="U4546" s="4"/>
      <c r="V4546" s="4"/>
      <c r="W4546" s="4"/>
      <c r="X4546" s="4"/>
    </row>
    <row r="4547" spans="17:24" x14ac:dyDescent="0.3">
      <c r="Q4547" s="4"/>
      <c r="R4547" s="4"/>
      <c r="S4547" s="4"/>
      <c r="T4547" s="4"/>
      <c r="U4547" s="4"/>
      <c r="V4547" s="4"/>
      <c r="W4547" s="4"/>
      <c r="X4547" s="4"/>
    </row>
    <row r="4548" spans="17:24" x14ac:dyDescent="0.3">
      <c r="Q4548" s="4"/>
      <c r="R4548" s="4"/>
      <c r="S4548" s="4"/>
      <c r="T4548" s="4"/>
      <c r="U4548" s="4"/>
      <c r="V4548" s="4"/>
      <c r="W4548" s="4"/>
      <c r="X4548" s="4"/>
    </row>
    <row r="4549" spans="17:24" x14ac:dyDescent="0.3">
      <c r="Q4549" s="4"/>
      <c r="R4549" s="4"/>
      <c r="S4549" s="4"/>
      <c r="T4549" s="4"/>
      <c r="U4549" s="4"/>
      <c r="V4549" s="4"/>
      <c r="W4549" s="4"/>
      <c r="X4549" s="4"/>
    </row>
    <row r="4550" spans="17:24" x14ac:dyDescent="0.3">
      <c r="Q4550" s="4"/>
      <c r="R4550" s="4"/>
      <c r="S4550" s="4"/>
      <c r="T4550" s="4"/>
      <c r="U4550" s="4"/>
      <c r="V4550" s="4"/>
      <c r="W4550" s="4"/>
      <c r="X4550" s="4"/>
    </row>
    <row r="4551" spans="17:24" x14ac:dyDescent="0.3">
      <c r="Q4551" s="4"/>
      <c r="R4551" s="4"/>
      <c r="S4551" s="4"/>
      <c r="T4551" s="4"/>
      <c r="U4551" s="4"/>
      <c r="V4551" s="4"/>
      <c r="W4551" s="4"/>
      <c r="X4551" s="4"/>
    </row>
    <row r="4552" spans="17:24" x14ac:dyDescent="0.3">
      <c r="Q4552" s="4"/>
      <c r="R4552" s="4"/>
      <c r="S4552" s="4"/>
      <c r="T4552" s="4"/>
      <c r="U4552" s="4"/>
      <c r="V4552" s="4"/>
      <c r="W4552" s="4"/>
      <c r="X4552" s="4"/>
    </row>
    <row r="4553" spans="17:24" x14ac:dyDescent="0.3">
      <c r="Q4553" s="4"/>
      <c r="R4553" s="4"/>
      <c r="S4553" s="4"/>
      <c r="T4553" s="4"/>
      <c r="U4553" s="4"/>
      <c r="V4553" s="4"/>
      <c r="W4553" s="4"/>
      <c r="X4553" s="4"/>
    </row>
    <row r="4554" spans="17:24" x14ac:dyDescent="0.3">
      <c r="Q4554" s="4"/>
      <c r="R4554" s="4"/>
      <c r="S4554" s="4"/>
      <c r="T4554" s="4"/>
      <c r="U4554" s="4"/>
      <c r="V4554" s="4"/>
      <c r="W4554" s="4"/>
      <c r="X4554" s="4"/>
    </row>
    <row r="4555" spans="17:24" x14ac:dyDescent="0.3">
      <c r="Q4555" s="4"/>
      <c r="R4555" s="4"/>
      <c r="S4555" s="4"/>
      <c r="T4555" s="4"/>
      <c r="U4555" s="4"/>
      <c r="V4555" s="4"/>
      <c r="W4555" s="4"/>
      <c r="X4555" s="4"/>
    </row>
    <row r="4556" spans="17:24" x14ac:dyDescent="0.3">
      <c r="Q4556" s="4"/>
      <c r="R4556" s="4"/>
      <c r="S4556" s="4"/>
      <c r="T4556" s="4"/>
      <c r="U4556" s="4"/>
      <c r="V4556" s="4"/>
      <c r="W4556" s="4"/>
      <c r="X4556" s="4"/>
    </row>
    <row r="4557" spans="17:24" x14ac:dyDescent="0.3">
      <c r="Q4557" s="4"/>
      <c r="R4557" s="4"/>
      <c r="S4557" s="4"/>
      <c r="T4557" s="4"/>
      <c r="U4557" s="4"/>
      <c r="V4557" s="4"/>
      <c r="W4557" s="4"/>
      <c r="X4557" s="4"/>
    </row>
    <row r="4558" spans="17:24" x14ac:dyDescent="0.3">
      <c r="Q4558" s="4"/>
      <c r="R4558" s="4"/>
      <c r="S4558" s="4"/>
      <c r="T4558" s="4"/>
      <c r="U4558" s="4"/>
      <c r="V4558" s="4"/>
      <c r="W4558" s="4"/>
      <c r="X4558" s="4"/>
    </row>
    <row r="4559" spans="17:24" x14ac:dyDescent="0.3">
      <c r="Q4559" s="4"/>
      <c r="R4559" s="4"/>
      <c r="S4559" s="4"/>
      <c r="T4559" s="4"/>
      <c r="U4559" s="4"/>
      <c r="V4559" s="4"/>
      <c r="W4559" s="4"/>
      <c r="X4559" s="4"/>
    </row>
    <row r="4560" spans="17:24" x14ac:dyDescent="0.3">
      <c r="Q4560" s="4"/>
      <c r="R4560" s="4"/>
      <c r="S4560" s="4"/>
      <c r="T4560" s="4"/>
      <c r="U4560" s="4"/>
      <c r="V4560" s="4"/>
      <c r="W4560" s="4"/>
      <c r="X4560" s="4"/>
    </row>
    <row r="4561" spans="17:24" x14ac:dyDescent="0.3">
      <c r="Q4561" s="4"/>
      <c r="R4561" s="4"/>
      <c r="S4561" s="4"/>
      <c r="T4561" s="4"/>
      <c r="U4561" s="4"/>
      <c r="V4561" s="4"/>
      <c r="W4561" s="4"/>
      <c r="X4561" s="4"/>
    </row>
    <row r="4562" spans="17:24" x14ac:dyDescent="0.3">
      <c r="Q4562" s="4"/>
      <c r="R4562" s="4"/>
      <c r="S4562" s="4"/>
      <c r="T4562" s="4"/>
      <c r="U4562" s="4"/>
      <c r="V4562" s="4"/>
      <c r="W4562" s="4"/>
      <c r="X4562" s="4"/>
    </row>
    <row r="4563" spans="17:24" x14ac:dyDescent="0.3">
      <c r="Q4563" s="4"/>
      <c r="R4563" s="4"/>
      <c r="S4563" s="4"/>
      <c r="T4563" s="4"/>
      <c r="U4563" s="4"/>
      <c r="V4563" s="4"/>
      <c r="W4563" s="4"/>
      <c r="X4563" s="4"/>
    </row>
    <row r="4564" spans="17:24" x14ac:dyDescent="0.3">
      <c r="Q4564" s="4"/>
      <c r="R4564" s="4"/>
      <c r="S4564" s="4"/>
      <c r="T4564" s="4"/>
      <c r="U4564" s="4"/>
      <c r="V4564" s="4"/>
      <c r="W4564" s="4"/>
      <c r="X4564" s="4"/>
    </row>
    <row r="4565" spans="17:24" x14ac:dyDescent="0.3">
      <c r="Q4565" s="4"/>
      <c r="R4565" s="4"/>
      <c r="S4565" s="4"/>
      <c r="T4565" s="4"/>
      <c r="U4565" s="4"/>
      <c r="V4565" s="4"/>
      <c r="W4565" s="4"/>
      <c r="X4565" s="4"/>
    </row>
    <row r="4566" spans="17:24" x14ac:dyDescent="0.3">
      <c r="Q4566" s="4"/>
      <c r="R4566" s="4"/>
      <c r="S4566" s="4"/>
      <c r="T4566" s="4"/>
      <c r="U4566" s="4"/>
      <c r="V4566" s="4"/>
      <c r="W4566" s="4"/>
      <c r="X4566" s="4"/>
    </row>
    <row r="4567" spans="17:24" x14ac:dyDescent="0.3">
      <c r="Q4567" s="4"/>
      <c r="R4567" s="4"/>
      <c r="S4567" s="4"/>
      <c r="T4567" s="4"/>
      <c r="U4567" s="4"/>
      <c r="V4567" s="4"/>
      <c r="W4567" s="4"/>
      <c r="X4567" s="4"/>
    </row>
    <row r="4568" spans="17:24" x14ac:dyDescent="0.3">
      <c r="Q4568" s="4"/>
      <c r="R4568" s="4"/>
      <c r="S4568" s="4"/>
      <c r="T4568" s="4"/>
      <c r="U4568" s="4"/>
      <c r="V4568" s="4"/>
      <c r="W4568" s="4"/>
      <c r="X4568" s="4"/>
    </row>
    <row r="4569" spans="17:24" x14ac:dyDescent="0.3">
      <c r="Q4569" s="4"/>
      <c r="R4569" s="4"/>
      <c r="S4569" s="4"/>
      <c r="T4569" s="4"/>
      <c r="U4569" s="4"/>
      <c r="V4569" s="4"/>
      <c r="W4569" s="4"/>
      <c r="X4569" s="4"/>
    </row>
    <row r="4570" spans="17:24" x14ac:dyDescent="0.3">
      <c r="Q4570" s="4"/>
      <c r="R4570" s="4"/>
      <c r="S4570" s="4"/>
      <c r="T4570" s="4"/>
      <c r="U4570" s="4"/>
      <c r="V4570" s="4"/>
      <c r="W4570" s="4"/>
      <c r="X4570" s="4"/>
    </row>
    <row r="4571" spans="17:24" x14ac:dyDescent="0.3">
      <c r="Q4571" s="4"/>
      <c r="R4571" s="4"/>
      <c r="S4571" s="4"/>
      <c r="T4571" s="4"/>
      <c r="U4571" s="4"/>
      <c r="V4571" s="4"/>
      <c r="W4571" s="4"/>
      <c r="X4571" s="4"/>
    </row>
    <row r="4572" spans="17:24" x14ac:dyDescent="0.3">
      <c r="Q4572" s="4"/>
      <c r="R4572" s="4"/>
      <c r="S4572" s="4"/>
      <c r="T4572" s="4"/>
      <c r="U4572" s="4"/>
      <c r="V4572" s="4"/>
      <c r="W4572" s="4"/>
      <c r="X4572" s="4"/>
    </row>
    <row r="4573" spans="17:24" x14ac:dyDescent="0.3">
      <c r="Q4573" s="4"/>
      <c r="R4573" s="4"/>
      <c r="S4573" s="4"/>
      <c r="T4573" s="4"/>
      <c r="U4573" s="4"/>
      <c r="V4573" s="4"/>
      <c r="W4573" s="4"/>
      <c r="X4573" s="4"/>
    </row>
    <row r="4574" spans="17:24" x14ac:dyDescent="0.3">
      <c r="Q4574" s="4"/>
      <c r="R4574" s="4"/>
      <c r="S4574" s="4"/>
      <c r="T4574" s="4"/>
      <c r="U4574" s="4"/>
      <c r="V4574" s="4"/>
      <c r="W4574" s="4"/>
      <c r="X4574" s="4"/>
    </row>
    <row r="4575" spans="17:24" x14ac:dyDescent="0.3">
      <c r="Q4575" s="4"/>
      <c r="R4575" s="4"/>
      <c r="S4575" s="4"/>
      <c r="T4575" s="4"/>
      <c r="U4575" s="4"/>
      <c r="V4575" s="4"/>
      <c r="W4575" s="4"/>
      <c r="X4575" s="4"/>
    </row>
    <row r="4576" spans="17:24" x14ac:dyDescent="0.3">
      <c r="Q4576" s="4"/>
      <c r="R4576" s="4"/>
      <c r="S4576" s="4"/>
      <c r="T4576" s="4"/>
      <c r="U4576" s="4"/>
      <c r="V4576" s="4"/>
      <c r="W4576" s="4"/>
      <c r="X4576" s="4"/>
    </row>
    <row r="4577" spans="17:24" x14ac:dyDescent="0.3">
      <c r="Q4577" s="4"/>
      <c r="R4577" s="4"/>
      <c r="S4577" s="4"/>
      <c r="T4577" s="4"/>
      <c r="U4577" s="4"/>
      <c r="V4577" s="4"/>
      <c r="W4577" s="4"/>
      <c r="X4577" s="4"/>
    </row>
    <row r="4578" spans="17:24" x14ac:dyDescent="0.3">
      <c r="Q4578" s="4"/>
      <c r="R4578" s="4"/>
      <c r="S4578" s="4"/>
      <c r="T4578" s="4"/>
      <c r="U4578" s="4"/>
      <c r="V4578" s="4"/>
      <c r="W4578" s="4"/>
      <c r="X4578" s="4"/>
    </row>
    <row r="4579" spans="17:24" x14ac:dyDescent="0.3">
      <c r="Q4579" s="4"/>
      <c r="R4579" s="4"/>
      <c r="S4579" s="4"/>
      <c r="T4579" s="4"/>
      <c r="U4579" s="4"/>
      <c r="V4579" s="4"/>
      <c r="W4579" s="4"/>
      <c r="X4579" s="4"/>
    </row>
    <row r="4580" spans="17:24" x14ac:dyDescent="0.3">
      <c r="Q4580" s="4"/>
      <c r="R4580" s="4"/>
      <c r="S4580" s="4"/>
      <c r="T4580" s="4"/>
      <c r="U4580" s="4"/>
      <c r="V4580" s="4"/>
      <c r="W4580" s="4"/>
      <c r="X4580" s="4"/>
    </row>
    <row r="4581" spans="17:24" x14ac:dyDescent="0.3">
      <c r="Q4581" s="4"/>
      <c r="R4581" s="4"/>
      <c r="S4581" s="4"/>
      <c r="T4581" s="4"/>
      <c r="U4581" s="4"/>
      <c r="V4581" s="4"/>
      <c r="W4581" s="4"/>
      <c r="X4581" s="4"/>
    </row>
    <row r="4582" spans="17:24" x14ac:dyDescent="0.3">
      <c r="Q4582" s="4"/>
      <c r="R4582" s="4"/>
      <c r="S4582" s="4"/>
      <c r="T4582" s="4"/>
      <c r="U4582" s="4"/>
      <c r="V4582" s="4"/>
      <c r="W4582" s="4"/>
      <c r="X4582" s="4"/>
    </row>
    <row r="4583" spans="17:24" x14ac:dyDescent="0.3">
      <c r="Q4583" s="4"/>
      <c r="R4583" s="4"/>
      <c r="S4583" s="4"/>
      <c r="T4583" s="4"/>
      <c r="U4583" s="4"/>
      <c r="V4583" s="4"/>
      <c r="W4583" s="4"/>
      <c r="X4583" s="4"/>
    </row>
    <row r="4584" spans="17:24" x14ac:dyDescent="0.3">
      <c r="Q4584" s="4"/>
      <c r="R4584" s="4"/>
      <c r="S4584" s="4"/>
      <c r="T4584" s="4"/>
      <c r="U4584" s="4"/>
      <c r="V4584" s="4"/>
      <c r="W4584" s="4"/>
      <c r="X4584" s="4"/>
    </row>
    <row r="4585" spans="17:24" x14ac:dyDescent="0.3">
      <c r="Q4585" s="4"/>
      <c r="R4585" s="4"/>
      <c r="S4585" s="4"/>
      <c r="T4585" s="4"/>
      <c r="U4585" s="4"/>
      <c r="V4585" s="4"/>
      <c r="W4585" s="4"/>
      <c r="X4585" s="4"/>
    </row>
    <row r="4586" spans="17:24" x14ac:dyDescent="0.3">
      <c r="Q4586" s="4"/>
      <c r="R4586" s="4"/>
      <c r="S4586" s="4"/>
      <c r="T4586" s="4"/>
      <c r="U4586" s="4"/>
      <c r="V4586" s="4"/>
      <c r="W4586" s="4"/>
      <c r="X4586" s="4"/>
    </row>
    <row r="4587" spans="17:24" x14ac:dyDescent="0.3">
      <c r="Q4587" s="4"/>
      <c r="R4587" s="4"/>
      <c r="S4587" s="4"/>
      <c r="T4587" s="4"/>
      <c r="U4587" s="4"/>
      <c r="V4587" s="4"/>
      <c r="W4587" s="4"/>
      <c r="X4587" s="4"/>
    </row>
    <row r="4588" spans="17:24" x14ac:dyDescent="0.3">
      <c r="Q4588" s="4"/>
      <c r="R4588" s="4"/>
      <c r="S4588" s="4"/>
      <c r="T4588" s="4"/>
      <c r="U4588" s="4"/>
      <c r="V4588" s="4"/>
      <c r="W4588" s="4"/>
      <c r="X4588" s="4"/>
    </row>
    <row r="4589" spans="17:24" x14ac:dyDescent="0.3">
      <c r="Q4589" s="4"/>
      <c r="R4589" s="4"/>
      <c r="S4589" s="4"/>
      <c r="T4589" s="4"/>
      <c r="U4589" s="4"/>
      <c r="V4589" s="4"/>
      <c r="W4589" s="4"/>
      <c r="X4589" s="4"/>
    </row>
    <row r="4590" spans="17:24" x14ac:dyDescent="0.3">
      <c r="Q4590" s="4"/>
      <c r="R4590" s="4"/>
      <c r="S4590" s="4"/>
      <c r="T4590" s="4"/>
      <c r="U4590" s="4"/>
      <c r="V4590" s="4"/>
      <c r="W4590" s="4"/>
      <c r="X4590" s="4"/>
    </row>
    <row r="4591" spans="17:24" x14ac:dyDescent="0.3">
      <c r="Q4591" s="4"/>
      <c r="R4591" s="4"/>
      <c r="S4591" s="4"/>
      <c r="T4591" s="4"/>
      <c r="U4591" s="4"/>
      <c r="V4591" s="4"/>
      <c r="W4591" s="4"/>
      <c r="X4591" s="4"/>
    </row>
    <row r="4592" spans="17:24" x14ac:dyDescent="0.3">
      <c r="Q4592" s="4"/>
      <c r="R4592" s="4"/>
      <c r="S4592" s="4"/>
      <c r="T4592" s="4"/>
      <c r="U4592" s="4"/>
      <c r="V4592" s="4"/>
      <c r="W4592" s="4"/>
      <c r="X4592" s="4"/>
    </row>
    <row r="4593" spans="17:24" x14ac:dyDescent="0.3">
      <c r="Q4593" s="4"/>
      <c r="R4593" s="4"/>
      <c r="S4593" s="4"/>
      <c r="T4593" s="4"/>
      <c r="U4593" s="4"/>
      <c r="V4593" s="4"/>
      <c r="W4593" s="4"/>
      <c r="X4593" s="4"/>
    </row>
    <row r="4594" spans="17:24" x14ac:dyDescent="0.3">
      <c r="Q4594" s="4"/>
      <c r="R4594" s="4"/>
      <c r="S4594" s="4"/>
      <c r="T4594" s="4"/>
      <c r="U4594" s="4"/>
      <c r="V4594" s="4"/>
      <c r="W4594" s="4"/>
      <c r="X4594" s="4"/>
    </row>
    <row r="4595" spans="17:24" x14ac:dyDescent="0.3">
      <c r="Q4595" s="4"/>
      <c r="R4595" s="4"/>
      <c r="S4595" s="4"/>
      <c r="T4595" s="4"/>
      <c r="U4595" s="4"/>
      <c r="V4595" s="4"/>
      <c r="W4595" s="4"/>
      <c r="X4595" s="4"/>
    </row>
    <row r="4596" spans="17:24" x14ac:dyDescent="0.3">
      <c r="Q4596" s="4"/>
      <c r="R4596" s="4"/>
      <c r="S4596" s="4"/>
      <c r="T4596" s="4"/>
      <c r="U4596" s="4"/>
      <c r="V4596" s="4"/>
      <c r="W4596" s="4"/>
      <c r="X4596" s="4"/>
    </row>
    <row r="4597" spans="17:24" x14ac:dyDescent="0.3">
      <c r="Q4597" s="4"/>
      <c r="R4597" s="4"/>
      <c r="S4597" s="4"/>
      <c r="T4597" s="4"/>
      <c r="U4597" s="4"/>
      <c r="V4597" s="4"/>
      <c r="W4597" s="4"/>
      <c r="X4597" s="4"/>
    </row>
    <row r="4598" spans="17:24" x14ac:dyDescent="0.3">
      <c r="Q4598" s="4"/>
      <c r="R4598" s="4"/>
      <c r="S4598" s="4"/>
      <c r="T4598" s="4"/>
      <c r="U4598" s="4"/>
      <c r="V4598" s="4"/>
      <c r="W4598" s="4"/>
      <c r="X4598" s="4"/>
    </row>
    <row r="4599" spans="17:24" x14ac:dyDescent="0.3">
      <c r="Q4599" s="4"/>
      <c r="R4599" s="4"/>
      <c r="S4599" s="4"/>
      <c r="T4599" s="4"/>
      <c r="U4599" s="4"/>
      <c r="V4599" s="4"/>
      <c r="W4599" s="4"/>
      <c r="X4599" s="4"/>
    </row>
    <row r="4600" spans="17:24" x14ac:dyDescent="0.3">
      <c r="Q4600" s="4"/>
      <c r="R4600" s="4"/>
      <c r="S4600" s="4"/>
      <c r="T4600" s="4"/>
      <c r="U4600" s="4"/>
      <c r="V4600" s="4"/>
      <c r="W4600" s="4"/>
      <c r="X4600" s="4"/>
    </row>
    <row r="4601" spans="17:24" x14ac:dyDescent="0.3">
      <c r="Q4601" s="4"/>
      <c r="R4601" s="4"/>
      <c r="S4601" s="4"/>
      <c r="T4601" s="4"/>
      <c r="U4601" s="4"/>
      <c r="V4601" s="4"/>
      <c r="W4601" s="4"/>
      <c r="X4601" s="4"/>
    </row>
    <row r="4602" spans="17:24" x14ac:dyDescent="0.3">
      <c r="Q4602" s="4"/>
      <c r="R4602" s="4"/>
      <c r="S4602" s="4"/>
      <c r="T4602" s="4"/>
      <c r="U4602" s="4"/>
      <c r="V4602" s="4"/>
      <c r="W4602" s="4"/>
      <c r="X4602" s="4"/>
    </row>
    <row r="4603" spans="17:24" x14ac:dyDescent="0.3">
      <c r="Q4603" s="4"/>
      <c r="R4603" s="4"/>
      <c r="S4603" s="4"/>
      <c r="T4603" s="4"/>
      <c r="U4603" s="4"/>
      <c r="V4603" s="4"/>
      <c r="W4603" s="4"/>
      <c r="X4603" s="4"/>
    </row>
    <row r="4604" spans="17:24" x14ac:dyDescent="0.3">
      <c r="Q4604" s="4"/>
      <c r="R4604" s="4"/>
      <c r="S4604" s="4"/>
      <c r="T4604" s="4"/>
      <c r="U4604" s="4"/>
      <c r="V4604" s="4"/>
      <c r="W4604" s="4"/>
      <c r="X4604" s="4"/>
    </row>
    <row r="4605" spans="17:24" x14ac:dyDescent="0.3">
      <c r="Q4605" s="4"/>
      <c r="R4605" s="4"/>
      <c r="S4605" s="4"/>
      <c r="T4605" s="4"/>
      <c r="U4605" s="4"/>
      <c r="V4605" s="4"/>
      <c r="W4605" s="4"/>
      <c r="X4605" s="4"/>
    </row>
    <row r="4606" spans="17:24" x14ac:dyDescent="0.3">
      <c r="Q4606" s="4"/>
      <c r="R4606" s="4"/>
      <c r="S4606" s="4"/>
      <c r="T4606" s="4"/>
      <c r="U4606" s="4"/>
      <c r="V4606" s="4"/>
      <c r="W4606" s="4"/>
      <c r="X4606" s="4"/>
    </row>
    <row r="4607" spans="17:24" x14ac:dyDescent="0.3">
      <c r="Q4607" s="4"/>
      <c r="R4607" s="4"/>
      <c r="S4607" s="4"/>
      <c r="T4607" s="4"/>
      <c r="U4607" s="4"/>
      <c r="V4607" s="4"/>
      <c r="W4607" s="4"/>
      <c r="X4607" s="4"/>
    </row>
    <row r="4608" spans="17:24" x14ac:dyDescent="0.3">
      <c r="Q4608" s="4"/>
      <c r="R4608" s="4"/>
      <c r="S4608" s="4"/>
      <c r="T4608" s="4"/>
      <c r="U4608" s="4"/>
      <c r="V4608" s="4"/>
      <c r="W4608" s="4"/>
      <c r="X4608" s="4"/>
    </row>
    <row r="4609" spans="17:24" x14ac:dyDescent="0.3">
      <c r="Q4609" s="4"/>
      <c r="R4609" s="4"/>
      <c r="S4609" s="4"/>
      <c r="T4609" s="4"/>
      <c r="U4609" s="4"/>
      <c r="V4609" s="4"/>
      <c r="W4609" s="4"/>
      <c r="X4609" s="4"/>
    </row>
    <row r="4610" spans="17:24" x14ac:dyDescent="0.3">
      <c r="Q4610" s="4"/>
      <c r="R4610" s="4"/>
      <c r="S4610" s="4"/>
      <c r="T4610" s="4"/>
      <c r="U4610" s="4"/>
      <c r="V4610" s="4"/>
      <c r="W4610" s="4"/>
      <c r="X4610" s="4"/>
    </row>
    <row r="4611" spans="17:24" x14ac:dyDescent="0.3">
      <c r="Q4611" s="4"/>
      <c r="R4611" s="4"/>
      <c r="S4611" s="4"/>
      <c r="T4611" s="4"/>
      <c r="U4611" s="4"/>
      <c r="V4611" s="4"/>
      <c r="W4611" s="4"/>
      <c r="X4611" s="4"/>
    </row>
    <row r="4612" spans="17:24" x14ac:dyDescent="0.3">
      <c r="Q4612" s="4"/>
      <c r="R4612" s="4"/>
      <c r="S4612" s="4"/>
      <c r="T4612" s="4"/>
      <c r="U4612" s="4"/>
      <c r="V4612" s="4"/>
      <c r="W4612" s="4"/>
      <c r="X4612" s="4"/>
    </row>
    <row r="4613" spans="17:24" x14ac:dyDescent="0.3">
      <c r="Q4613" s="4"/>
      <c r="R4613" s="4"/>
      <c r="S4613" s="4"/>
      <c r="T4613" s="4"/>
      <c r="U4613" s="4"/>
      <c r="V4613" s="4"/>
      <c r="W4613" s="4"/>
      <c r="X4613" s="4"/>
    </row>
    <row r="4614" spans="17:24" x14ac:dyDescent="0.3">
      <c r="Q4614" s="4"/>
      <c r="R4614" s="4"/>
      <c r="S4614" s="4"/>
      <c r="T4614" s="4"/>
      <c r="U4614" s="4"/>
      <c r="V4614" s="4"/>
      <c r="W4614" s="4"/>
      <c r="X4614" s="4"/>
    </row>
    <row r="4615" spans="17:24" x14ac:dyDescent="0.3">
      <c r="Q4615" s="4"/>
      <c r="R4615" s="4"/>
      <c r="S4615" s="4"/>
      <c r="T4615" s="4"/>
      <c r="U4615" s="4"/>
      <c r="V4615" s="4"/>
      <c r="W4615" s="4"/>
      <c r="X4615" s="4"/>
    </row>
    <row r="4616" spans="17:24" x14ac:dyDescent="0.3">
      <c r="Q4616" s="4"/>
      <c r="R4616" s="4"/>
      <c r="S4616" s="4"/>
      <c r="T4616" s="4"/>
      <c r="U4616" s="4"/>
      <c r="V4616" s="4"/>
      <c r="W4616" s="4"/>
      <c r="X4616" s="4"/>
    </row>
    <row r="4617" spans="17:24" x14ac:dyDescent="0.3">
      <c r="Q4617" s="4"/>
      <c r="R4617" s="4"/>
      <c r="S4617" s="4"/>
      <c r="T4617" s="4"/>
      <c r="U4617" s="4"/>
      <c r="V4617" s="4"/>
      <c r="W4617" s="4"/>
      <c r="X4617" s="4"/>
    </row>
    <row r="4618" spans="17:24" x14ac:dyDescent="0.3">
      <c r="Q4618" s="4"/>
      <c r="R4618" s="4"/>
      <c r="S4618" s="4"/>
      <c r="T4618" s="4"/>
      <c r="U4618" s="4"/>
      <c r="V4618" s="4"/>
      <c r="W4618" s="4"/>
      <c r="X4618" s="4"/>
    </row>
    <row r="4619" spans="17:24" x14ac:dyDescent="0.3">
      <c r="Q4619" s="4"/>
      <c r="R4619" s="4"/>
      <c r="S4619" s="4"/>
      <c r="T4619" s="4"/>
      <c r="U4619" s="4"/>
      <c r="V4619" s="4"/>
      <c r="W4619" s="4"/>
      <c r="X4619" s="4"/>
    </row>
    <row r="4620" spans="17:24" x14ac:dyDescent="0.3">
      <c r="Q4620" s="4"/>
      <c r="R4620" s="4"/>
      <c r="S4620" s="4"/>
      <c r="T4620" s="4"/>
      <c r="U4620" s="4"/>
      <c r="V4620" s="4"/>
      <c r="W4620" s="4"/>
      <c r="X4620" s="4"/>
    </row>
    <row r="4621" spans="17:24" x14ac:dyDescent="0.3">
      <c r="Q4621" s="4"/>
      <c r="R4621" s="4"/>
      <c r="S4621" s="4"/>
      <c r="T4621" s="4"/>
      <c r="U4621" s="4"/>
      <c r="V4621" s="4"/>
      <c r="W4621" s="4"/>
      <c r="X4621" s="4"/>
    </row>
    <row r="4622" spans="17:24" x14ac:dyDescent="0.3">
      <c r="Q4622" s="4"/>
      <c r="R4622" s="4"/>
      <c r="S4622" s="4"/>
      <c r="T4622" s="4"/>
      <c r="U4622" s="4"/>
      <c r="V4622" s="4"/>
      <c r="W4622" s="4"/>
      <c r="X4622" s="4"/>
    </row>
    <row r="4623" spans="17:24" x14ac:dyDescent="0.3">
      <c r="Q4623" s="4"/>
      <c r="R4623" s="4"/>
      <c r="S4623" s="4"/>
      <c r="T4623" s="4"/>
      <c r="U4623" s="4"/>
      <c r="V4623" s="4"/>
      <c r="W4623" s="4"/>
      <c r="X4623" s="4"/>
    </row>
    <row r="4624" spans="17:24" x14ac:dyDescent="0.3">
      <c r="Q4624" s="4"/>
      <c r="R4624" s="4"/>
      <c r="S4624" s="4"/>
      <c r="T4624" s="4"/>
      <c r="U4624" s="4"/>
      <c r="V4624" s="4"/>
      <c r="W4624" s="4"/>
      <c r="X4624" s="4"/>
    </row>
    <row r="4625" spans="17:24" x14ac:dyDescent="0.3">
      <c r="Q4625" s="4"/>
      <c r="R4625" s="4"/>
      <c r="S4625" s="4"/>
      <c r="T4625" s="4"/>
      <c r="U4625" s="4"/>
      <c r="V4625" s="4"/>
      <c r="W4625" s="4"/>
      <c r="X4625" s="4"/>
    </row>
    <row r="4626" spans="17:24" x14ac:dyDescent="0.3">
      <c r="Q4626" s="4"/>
      <c r="R4626" s="4"/>
      <c r="S4626" s="4"/>
      <c r="T4626" s="4"/>
      <c r="U4626" s="4"/>
      <c r="V4626" s="4"/>
      <c r="W4626" s="4"/>
      <c r="X4626" s="4"/>
    </row>
    <row r="4627" spans="17:24" x14ac:dyDescent="0.3">
      <c r="Q4627" s="4"/>
      <c r="R4627" s="4"/>
      <c r="S4627" s="4"/>
      <c r="T4627" s="4"/>
      <c r="U4627" s="4"/>
      <c r="V4627" s="4"/>
      <c r="W4627" s="4"/>
      <c r="X4627" s="4"/>
    </row>
    <row r="4628" spans="17:24" x14ac:dyDescent="0.3">
      <c r="Q4628" s="4"/>
      <c r="R4628" s="4"/>
      <c r="S4628" s="4"/>
      <c r="T4628" s="4"/>
      <c r="U4628" s="4"/>
      <c r="V4628" s="4"/>
      <c r="W4628" s="4"/>
      <c r="X4628" s="4"/>
    </row>
    <row r="4629" spans="17:24" x14ac:dyDescent="0.3">
      <c r="Q4629" s="4"/>
      <c r="R4629" s="4"/>
      <c r="S4629" s="4"/>
      <c r="T4629" s="4"/>
      <c r="U4629" s="4"/>
      <c r="V4629" s="4"/>
      <c r="W4629" s="4"/>
      <c r="X4629" s="4"/>
    </row>
    <row r="4630" spans="17:24" x14ac:dyDescent="0.3">
      <c r="Q4630" s="4"/>
      <c r="R4630" s="4"/>
      <c r="S4630" s="4"/>
      <c r="T4630" s="4"/>
      <c r="U4630" s="4"/>
      <c r="V4630" s="4"/>
      <c r="W4630" s="4"/>
      <c r="X4630" s="4"/>
    </row>
    <row r="4631" spans="17:24" x14ac:dyDescent="0.3">
      <c r="Q4631" s="4"/>
      <c r="R4631" s="4"/>
      <c r="S4631" s="4"/>
      <c r="T4631" s="4"/>
      <c r="U4631" s="4"/>
      <c r="V4631" s="4"/>
      <c r="W4631" s="4"/>
      <c r="X4631" s="4"/>
    </row>
    <row r="4632" spans="17:24" x14ac:dyDescent="0.3">
      <c r="Q4632" s="4"/>
      <c r="R4632" s="4"/>
      <c r="S4632" s="4"/>
      <c r="T4632" s="4"/>
      <c r="U4632" s="4"/>
      <c r="V4632" s="4"/>
      <c r="W4632" s="4"/>
      <c r="X4632" s="4"/>
    </row>
    <row r="4633" spans="17:24" x14ac:dyDescent="0.3">
      <c r="Q4633" s="4"/>
      <c r="R4633" s="4"/>
      <c r="S4633" s="4"/>
      <c r="T4633" s="4"/>
      <c r="U4633" s="4"/>
      <c r="V4633" s="4"/>
      <c r="W4633" s="4"/>
      <c r="X4633" s="4"/>
    </row>
    <row r="4634" spans="17:24" x14ac:dyDescent="0.3">
      <c r="Q4634" s="4"/>
      <c r="R4634" s="4"/>
      <c r="S4634" s="4"/>
      <c r="T4634" s="4"/>
      <c r="U4634" s="4"/>
      <c r="V4634" s="4"/>
      <c r="W4634" s="4"/>
      <c r="X4634" s="4"/>
    </row>
    <row r="4635" spans="17:24" x14ac:dyDescent="0.3">
      <c r="Q4635" s="4"/>
      <c r="R4635" s="4"/>
      <c r="S4635" s="4"/>
      <c r="T4635" s="4"/>
      <c r="U4635" s="4"/>
      <c r="V4635" s="4"/>
      <c r="W4635" s="4"/>
      <c r="X4635" s="4"/>
    </row>
    <row r="4636" spans="17:24" x14ac:dyDescent="0.3">
      <c r="Q4636" s="4"/>
      <c r="R4636" s="4"/>
      <c r="S4636" s="4"/>
      <c r="T4636" s="4"/>
      <c r="U4636" s="4"/>
      <c r="V4636" s="4"/>
      <c r="W4636" s="4"/>
      <c r="X4636" s="4"/>
    </row>
    <row r="4637" spans="17:24" x14ac:dyDescent="0.3">
      <c r="Q4637" s="4"/>
      <c r="R4637" s="4"/>
      <c r="S4637" s="4"/>
      <c r="T4637" s="4"/>
      <c r="U4637" s="4"/>
      <c r="V4637" s="4"/>
      <c r="W4637" s="4"/>
      <c r="X4637" s="4"/>
    </row>
    <row r="4638" spans="17:24" x14ac:dyDescent="0.3">
      <c r="Q4638" s="4"/>
      <c r="R4638" s="4"/>
      <c r="S4638" s="4"/>
      <c r="T4638" s="4"/>
      <c r="U4638" s="4"/>
      <c r="V4638" s="4"/>
      <c r="W4638" s="4"/>
      <c r="X4638" s="4"/>
    </row>
    <row r="4639" spans="17:24" x14ac:dyDescent="0.3">
      <c r="Q4639" s="4"/>
      <c r="R4639" s="4"/>
      <c r="S4639" s="4"/>
      <c r="T4639" s="4"/>
      <c r="U4639" s="4"/>
      <c r="V4639" s="4"/>
      <c r="W4639" s="4"/>
      <c r="X4639" s="4"/>
    </row>
    <row r="4640" spans="17:24" x14ac:dyDescent="0.3">
      <c r="Q4640" s="4"/>
      <c r="R4640" s="4"/>
      <c r="S4640" s="4"/>
      <c r="T4640" s="4"/>
      <c r="U4640" s="4"/>
      <c r="V4640" s="4"/>
      <c r="W4640" s="4"/>
      <c r="X4640" s="4"/>
    </row>
    <row r="4641" spans="17:24" x14ac:dyDescent="0.3">
      <c r="Q4641" s="4"/>
      <c r="R4641" s="4"/>
      <c r="S4641" s="4"/>
      <c r="T4641" s="4"/>
      <c r="U4641" s="4"/>
      <c r="V4641" s="4"/>
      <c r="W4641" s="4"/>
      <c r="X4641" s="4"/>
    </row>
    <row r="4642" spans="17:24" x14ac:dyDescent="0.3">
      <c r="Q4642" s="4"/>
      <c r="R4642" s="4"/>
      <c r="S4642" s="4"/>
      <c r="T4642" s="4"/>
      <c r="U4642" s="4"/>
      <c r="V4642" s="4"/>
      <c r="W4642" s="4"/>
      <c r="X4642" s="4"/>
    </row>
    <row r="4643" spans="17:24" x14ac:dyDescent="0.3">
      <c r="Q4643" s="4"/>
      <c r="R4643" s="4"/>
      <c r="S4643" s="4"/>
      <c r="T4643" s="4"/>
      <c r="U4643" s="4"/>
      <c r="V4643" s="4"/>
      <c r="W4643" s="4"/>
      <c r="X4643" s="4"/>
    </row>
    <row r="4644" spans="17:24" x14ac:dyDescent="0.3">
      <c r="Q4644" s="4"/>
      <c r="R4644" s="4"/>
      <c r="S4644" s="4"/>
      <c r="T4644" s="4"/>
      <c r="U4644" s="4"/>
      <c r="V4644" s="4"/>
      <c r="W4644" s="4"/>
      <c r="X4644" s="4"/>
    </row>
    <row r="4645" spans="17:24" x14ac:dyDescent="0.3">
      <c r="Q4645" s="4"/>
      <c r="R4645" s="4"/>
      <c r="S4645" s="4"/>
      <c r="T4645" s="4"/>
      <c r="U4645" s="4"/>
      <c r="V4645" s="4"/>
      <c r="W4645" s="4"/>
      <c r="X4645" s="4"/>
    </row>
    <row r="4646" spans="17:24" x14ac:dyDescent="0.3">
      <c r="Q4646" s="4"/>
      <c r="R4646" s="4"/>
      <c r="S4646" s="4"/>
      <c r="T4646" s="4"/>
      <c r="U4646" s="4"/>
      <c r="V4646" s="4"/>
      <c r="W4646" s="4"/>
      <c r="X4646" s="4"/>
    </row>
    <row r="4647" spans="17:24" x14ac:dyDescent="0.3">
      <c r="Q4647" s="4"/>
      <c r="R4647" s="4"/>
      <c r="S4647" s="4"/>
      <c r="T4647" s="4"/>
      <c r="U4647" s="4"/>
      <c r="V4647" s="4"/>
      <c r="W4647" s="4"/>
      <c r="X4647" s="4"/>
    </row>
    <row r="4648" spans="17:24" x14ac:dyDescent="0.3">
      <c r="Q4648" s="4"/>
      <c r="R4648" s="4"/>
      <c r="S4648" s="4"/>
      <c r="T4648" s="4"/>
      <c r="U4648" s="4"/>
      <c r="V4648" s="4"/>
      <c r="W4648" s="4"/>
      <c r="X4648" s="4"/>
    </row>
    <row r="4649" spans="17:24" x14ac:dyDescent="0.3">
      <c r="Q4649" s="4"/>
      <c r="R4649" s="4"/>
      <c r="S4649" s="4"/>
      <c r="T4649" s="4"/>
      <c r="U4649" s="4"/>
      <c r="V4649" s="4"/>
      <c r="W4649" s="4"/>
      <c r="X4649" s="4"/>
    </row>
    <row r="4650" spans="17:24" x14ac:dyDescent="0.3">
      <c r="Q4650" s="4"/>
      <c r="R4650" s="4"/>
      <c r="S4650" s="4"/>
      <c r="T4650" s="4"/>
      <c r="U4650" s="4"/>
      <c r="V4650" s="4"/>
      <c r="W4650" s="4"/>
      <c r="X4650" s="4"/>
    </row>
    <row r="4651" spans="17:24" x14ac:dyDescent="0.3">
      <c r="Q4651" s="4"/>
      <c r="R4651" s="4"/>
      <c r="S4651" s="4"/>
      <c r="T4651" s="4"/>
      <c r="U4651" s="4"/>
      <c r="V4651" s="4"/>
      <c r="W4651" s="4"/>
      <c r="X4651" s="4"/>
    </row>
    <row r="4652" spans="17:24" x14ac:dyDescent="0.3">
      <c r="Q4652" s="4"/>
      <c r="R4652" s="4"/>
      <c r="S4652" s="4"/>
      <c r="T4652" s="4"/>
      <c r="U4652" s="4"/>
      <c r="V4652" s="4"/>
      <c r="W4652" s="4"/>
      <c r="X4652" s="4"/>
    </row>
    <row r="4653" spans="17:24" x14ac:dyDescent="0.3">
      <c r="Q4653" s="4"/>
      <c r="R4653" s="4"/>
      <c r="S4653" s="4"/>
      <c r="T4653" s="4"/>
      <c r="U4653" s="4"/>
      <c r="V4653" s="4"/>
      <c r="W4653" s="4"/>
      <c r="X4653" s="4"/>
    </row>
    <row r="4654" spans="17:24" x14ac:dyDescent="0.3">
      <c r="Q4654" s="4"/>
      <c r="R4654" s="4"/>
      <c r="S4654" s="4"/>
      <c r="T4654" s="4"/>
      <c r="U4654" s="4"/>
      <c r="V4654" s="4"/>
      <c r="W4654" s="4"/>
      <c r="X4654" s="4"/>
    </row>
    <row r="4655" spans="17:24" x14ac:dyDescent="0.3">
      <c r="Q4655" s="4"/>
      <c r="R4655" s="4"/>
      <c r="S4655" s="4"/>
      <c r="T4655" s="4"/>
      <c r="U4655" s="4"/>
      <c r="V4655" s="4"/>
      <c r="W4655" s="4"/>
      <c r="X4655" s="4"/>
    </row>
    <row r="4656" spans="17:24" x14ac:dyDescent="0.3">
      <c r="Q4656" s="4"/>
      <c r="R4656" s="4"/>
      <c r="S4656" s="4"/>
      <c r="T4656" s="4"/>
      <c r="U4656" s="4"/>
      <c r="V4656" s="4"/>
      <c r="W4656" s="4"/>
      <c r="X4656" s="4"/>
    </row>
    <row r="4657" spans="17:24" x14ac:dyDescent="0.3">
      <c r="Q4657" s="4"/>
      <c r="R4657" s="4"/>
      <c r="S4657" s="4"/>
      <c r="T4657" s="4"/>
      <c r="U4657" s="4"/>
      <c r="V4657" s="4"/>
      <c r="W4657" s="4"/>
      <c r="X4657" s="4"/>
    </row>
    <row r="4658" spans="17:24" x14ac:dyDescent="0.3">
      <c r="Q4658" s="4"/>
      <c r="R4658" s="4"/>
      <c r="S4658" s="4"/>
      <c r="T4658" s="4"/>
      <c r="U4658" s="4"/>
      <c r="V4658" s="4"/>
      <c r="W4658" s="4"/>
      <c r="X4658" s="4"/>
    </row>
    <row r="4659" spans="17:24" x14ac:dyDescent="0.3">
      <c r="Q4659" s="4"/>
      <c r="R4659" s="4"/>
      <c r="S4659" s="4"/>
      <c r="T4659" s="4"/>
      <c r="U4659" s="4"/>
      <c r="V4659" s="4"/>
      <c r="W4659" s="4"/>
      <c r="X4659" s="4"/>
    </row>
    <row r="4660" spans="17:24" x14ac:dyDescent="0.3">
      <c r="Q4660" s="4"/>
      <c r="R4660" s="4"/>
      <c r="S4660" s="4"/>
      <c r="T4660" s="4"/>
      <c r="U4660" s="4"/>
      <c r="V4660" s="4"/>
      <c r="W4660" s="4"/>
      <c r="X4660" s="4"/>
    </row>
    <row r="4661" spans="17:24" x14ac:dyDescent="0.3">
      <c r="Q4661" s="4"/>
      <c r="R4661" s="4"/>
      <c r="S4661" s="4"/>
      <c r="T4661" s="4"/>
      <c r="U4661" s="4"/>
      <c r="V4661" s="4"/>
      <c r="W4661" s="4"/>
      <c r="X4661" s="4"/>
    </row>
    <row r="4662" spans="17:24" x14ac:dyDescent="0.3">
      <c r="Q4662" s="4"/>
      <c r="R4662" s="4"/>
      <c r="S4662" s="4"/>
      <c r="T4662" s="4"/>
      <c r="U4662" s="4"/>
      <c r="V4662" s="4"/>
      <c r="W4662" s="4"/>
      <c r="X4662" s="4"/>
    </row>
    <row r="4663" spans="17:24" x14ac:dyDescent="0.3">
      <c r="Q4663" s="4"/>
      <c r="R4663" s="4"/>
      <c r="S4663" s="4"/>
      <c r="T4663" s="4"/>
      <c r="U4663" s="4"/>
      <c r="V4663" s="4"/>
      <c r="W4663" s="4"/>
      <c r="X4663" s="4"/>
    </row>
    <row r="4664" spans="17:24" x14ac:dyDescent="0.3">
      <c r="Q4664" s="4"/>
      <c r="R4664" s="4"/>
      <c r="S4664" s="4"/>
      <c r="T4664" s="4"/>
      <c r="U4664" s="4"/>
      <c r="V4664" s="4"/>
      <c r="W4664" s="4"/>
      <c r="X4664" s="4"/>
    </row>
    <row r="4665" spans="17:24" x14ac:dyDescent="0.3">
      <c r="Q4665" s="4"/>
      <c r="R4665" s="4"/>
      <c r="S4665" s="4"/>
      <c r="T4665" s="4"/>
      <c r="U4665" s="4"/>
      <c r="V4665" s="4"/>
      <c r="W4665" s="4"/>
      <c r="X4665" s="4"/>
    </row>
    <row r="4666" spans="17:24" x14ac:dyDescent="0.3">
      <c r="Q4666" s="4"/>
      <c r="R4666" s="4"/>
      <c r="S4666" s="4"/>
      <c r="T4666" s="4"/>
      <c r="U4666" s="4"/>
      <c r="V4666" s="4"/>
      <c r="W4666" s="4"/>
      <c r="X4666" s="4"/>
    </row>
    <row r="4667" spans="17:24" x14ac:dyDescent="0.3">
      <c r="Q4667" s="4"/>
      <c r="R4667" s="4"/>
      <c r="S4667" s="4"/>
      <c r="T4667" s="4"/>
      <c r="U4667" s="4"/>
      <c r="V4667" s="4"/>
      <c r="W4667" s="4"/>
      <c r="X4667" s="4"/>
    </row>
    <row r="4668" spans="17:24" x14ac:dyDescent="0.3">
      <c r="Q4668" s="4"/>
      <c r="R4668" s="4"/>
      <c r="S4668" s="4"/>
      <c r="T4668" s="4"/>
      <c r="U4668" s="4"/>
      <c r="V4668" s="4"/>
      <c r="W4668" s="4"/>
      <c r="X4668" s="4"/>
    </row>
    <row r="4669" spans="17:24" x14ac:dyDescent="0.3">
      <c r="Q4669" s="4"/>
      <c r="R4669" s="4"/>
      <c r="S4669" s="4"/>
      <c r="T4669" s="4"/>
      <c r="U4669" s="4"/>
      <c r="V4669" s="4"/>
      <c r="W4669" s="4"/>
      <c r="X4669" s="4"/>
    </row>
    <row r="4670" spans="17:24" x14ac:dyDescent="0.3">
      <c r="Q4670" s="4"/>
      <c r="R4670" s="4"/>
      <c r="S4670" s="4"/>
      <c r="T4670" s="4"/>
      <c r="U4670" s="4"/>
      <c r="V4670" s="4"/>
      <c r="W4670" s="4"/>
      <c r="X4670" s="4"/>
    </row>
    <row r="4671" spans="17:24" x14ac:dyDescent="0.3">
      <c r="Q4671" s="4"/>
      <c r="R4671" s="4"/>
      <c r="S4671" s="4"/>
      <c r="T4671" s="4"/>
      <c r="U4671" s="4"/>
      <c r="V4671" s="4"/>
      <c r="W4671" s="4"/>
      <c r="X4671" s="4"/>
    </row>
    <row r="4672" spans="17:24" x14ac:dyDescent="0.3">
      <c r="Q4672" s="4"/>
      <c r="R4672" s="4"/>
      <c r="S4672" s="4"/>
      <c r="T4672" s="4"/>
      <c r="U4672" s="4"/>
      <c r="V4672" s="4"/>
      <c r="W4672" s="4"/>
      <c r="X4672" s="4"/>
    </row>
    <row r="4673" spans="17:24" x14ac:dyDescent="0.3">
      <c r="Q4673" s="4"/>
      <c r="R4673" s="4"/>
      <c r="S4673" s="4"/>
      <c r="T4673" s="4"/>
      <c r="U4673" s="4"/>
      <c r="V4673" s="4"/>
      <c r="W4673" s="4"/>
      <c r="X4673" s="4"/>
    </row>
    <row r="4674" spans="17:24" x14ac:dyDescent="0.3">
      <c r="Q4674" s="4"/>
      <c r="R4674" s="4"/>
      <c r="S4674" s="4"/>
      <c r="T4674" s="4"/>
      <c r="U4674" s="4"/>
      <c r="V4674" s="4"/>
      <c r="W4674" s="4"/>
      <c r="X4674" s="4"/>
    </row>
    <row r="4675" spans="17:24" x14ac:dyDescent="0.3">
      <c r="Q4675" s="4"/>
      <c r="R4675" s="4"/>
      <c r="S4675" s="4"/>
      <c r="T4675" s="4"/>
      <c r="U4675" s="4"/>
      <c r="V4675" s="4"/>
      <c r="W4675" s="4"/>
      <c r="X4675" s="4"/>
    </row>
    <row r="4676" spans="17:24" x14ac:dyDescent="0.3">
      <c r="Q4676" s="4"/>
      <c r="R4676" s="4"/>
      <c r="S4676" s="4"/>
      <c r="T4676" s="4"/>
      <c r="U4676" s="4"/>
      <c r="V4676" s="4"/>
      <c r="W4676" s="4"/>
      <c r="X4676" s="4"/>
    </row>
    <row r="4677" spans="17:24" x14ac:dyDescent="0.3">
      <c r="Q4677" s="4"/>
      <c r="R4677" s="4"/>
      <c r="S4677" s="4"/>
      <c r="T4677" s="4"/>
      <c r="U4677" s="4"/>
      <c r="V4677" s="4"/>
      <c r="W4677" s="4"/>
      <c r="X4677" s="4"/>
    </row>
    <row r="4678" spans="17:24" x14ac:dyDescent="0.3">
      <c r="Q4678" s="4"/>
      <c r="R4678" s="4"/>
      <c r="S4678" s="4"/>
      <c r="T4678" s="4"/>
      <c r="U4678" s="4"/>
      <c r="V4678" s="4"/>
      <c r="W4678" s="4"/>
      <c r="X4678" s="4"/>
    </row>
    <row r="4679" spans="17:24" x14ac:dyDescent="0.3">
      <c r="Q4679" s="4"/>
      <c r="R4679" s="4"/>
      <c r="S4679" s="4"/>
      <c r="T4679" s="4"/>
      <c r="U4679" s="4"/>
      <c r="V4679" s="4"/>
      <c r="W4679" s="4"/>
      <c r="X4679" s="4"/>
    </row>
    <row r="4680" spans="17:24" x14ac:dyDescent="0.3">
      <c r="Q4680" s="4"/>
      <c r="R4680" s="4"/>
      <c r="S4680" s="4"/>
      <c r="T4680" s="4"/>
      <c r="U4680" s="4"/>
      <c r="V4680" s="4"/>
      <c r="W4680" s="4"/>
      <c r="X4680" s="4"/>
    </row>
    <row r="4681" spans="17:24" x14ac:dyDescent="0.3">
      <c r="Q4681" s="4"/>
      <c r="R4681" s="4"/>
      <c r="S4681" s="4"/>
      <c r="T4681" s="4"/>
      <c r="U4681" s="4"/>
      <c r="V4681" s="4"/>
      <c r="W4681" s="4"/>
      <c r="X4681" s="4"/>
    </row>
    <row r="4682" spans="17:24" x14ac:dyDescent="0.3">
      <c r="Q4682" s="4"/>
      <c r="R4682" s="4"/>
      <c r="S4682" s="4"/>
      <c r="T4682" s="4"/>
      <c r="U4682" s="4"/>
      <c r="V4682" s="4"/>
      <c r="W4682" s="4"/>
      <c r="X4682" s="4"/>
    </row>
    <row r="4683" spans="17:24" x14ac:dyDescent="0.3">
      <c r="Q4683" s="4"/>
      <c r="R4683" s="4"/>
      <c r="S4683" s="4"/>
      <c r="T4683" s="4"/>
      <c r="U4683" s="4"/>
      <c r="V4683" s="4"/>
      <c r="W4683" s="4"/>
      <c r="X4683" s="4"/>
    </row>
    <row r="4684" spans="17:24" x14ac:dyDescent="0.3">
      <c r="Q4684" s="4"/>
      <c r="R4684" s="4"/>
      <c r="S4684" s="4"/>
      <c r="T4684" s="4"/>
      <c r="U4684" s="4"/>
      <c r="V4684" s="4"/>
      <c r="W4684" s="4"/>
      <c r="X4684" s="4"/>
    </row>
    <row r="4685" spans="17:24" x14ac:dyDescent="0.3">
      <c r="Q4685" s="4"/>
      <c r="R4685" s="4"/>
      <c r="S4685" s="4"/>
      <c r="T4685" s="4"/>
      <c r="U4685" s="4"/>
      <c r="V4685" s="4"/>
      <c r="W4685" s="4"/>
      <c r="X4685" s="4"/>
    </row>
    <row r="4686" spans="17:24" x14ac:dyDescent="0.3">
      <c r="Q4686" s="4"/>
      <c r="R4686" s="4"/>
      <c r="S4686" s="4"/>
      <c r="T4686" s="4"/>
      <c r="U4686" s="4"/>
      <c r="V4686" s="4"/>
      <c r="W4686" s="4"/>
      <c r="X4686" s="4"/>
    </row>
    <row r="4687" spans="17:24" x14ac:dyDescent="0.3">
      <c r="Q4687" s="4"/>
      <c r="R4687" s="4"/>
      <c r="S4687" s="4"/>
      <c r="T4687" s="4"/>
      <c r="U4687" s="4"/>
      <c r="V4687" s="4"/>
      <c r="W4687" s="4"/>
      <c r="X4687" s="4"/>
    </row>
    <row r="4688" spans="17:24" x14ac:dyDescent="0.3">
      <c r="Q4688" s="4"/>
      <c r="R4688" s="4"/>
      <c r="S4688" s="4"/>
      <c r="T4688" s="4"/>
      <c r="U4688" s="4"/>
      <c r="V4688" s="4"/>
      <c r="W4688" s="4"/>
      <c r="X4688" s="4"/>
    </row>
    <row r="4689" spans="17:24" x14ac:dyDescent="0.3">
      <c r="Q4689" s="4"/>
      <c r="R4689" s="4"/>
      <c r="S4689" s="4"/>
      <c r="T4689" s="4"/>
      <c r="U4689" s="4"/>
      <c r="V4689" s="4"/>
      <c r="W4689" s="4"/>
      <c r="X4689" s="4"/>
    </row>
    <row r="4690" spans="17:24" x14ac:dyDescent="0.3">
      <c r="Q4690" s="4"/>
      <c r="R4690" s="4"/>
      <c r="S4690" s="4"/>
      <c r="T4690" s="4"/>
      <c r="U4690" s="4"/>
      <c r="V4690" s="4"/>
      <c r="W4690" s="4"/>
      <c r="X4690" s="4"/>
    </row>
    <row r="4691" spans="17:24" x14ac:dyDescent="0.3">
      <c r="Q4691" s="4"/>
      <c r="R4691" s="4"/>
      <c r="S4691" s="4"/>
      <c r="T4691" s="4"/>
      <c r="U4691" s="4"/>
      <c r="V4691" s="4"/>
      <c r="W4691" s="4"/>
      <c r="X4691" s="4"/>
    </row>
    <row r="4692" spans="17:24" x14ac:dyDescent="0.3">
      <c r="Q4692" s="4"/>
      <c r="R4692" s="4"/>
      <c r="S4692" s="4"/>
      <c r="T4692" s="4"/>
      <c r="U4692" s="4"/>
      <c r="V4692" s="4"/>
      <c r="W4692" s="4"/>
      <c r="X4692" s="4"/>
    </row>
    <row r="4693" spans="17:24" x14ac:dyDescent="0.3">
      <c r="Q4693" s="4"/>
      <c r="R4693" s="4"/>
      <c r="S4693" s="4"/>
      <c r="T4693" s="4"/>
      <c r="U4693" s="4"/>
      <c r="V4693" s="4"/>
      <c r="W4693" s="4"/>
      <c r="X4693" s="4"/>
    </row>
    <row r="4694" spans="17:24" x14ac:dyDescent="0.3">
      <c r="Q4694" s="4"/>
      <c r="R4694" s="4"/>
      <c r="S4694" s="4"/>
      <c r="T4694" s="4"/>
      <c r="U4694" s="4"/>
      <c r="V4694" s="4"/>
      <c r="W4694" s="4"/>
      <c r="X4694" s="4"/>
    </row>
    <row r="4695" spans="17:24" x14ac:dyDescent="0.3">
      <c r="Q4695" s="4"/>
      <c r="R4695" s="4"/>
      <c r="S4695" s="4"/>
      <c r="T4695" s="4"/>
      <c r="U4695" s="4"/>
      <c r="V4695" s="4"/>
      <c r="W4695" s="4"/>
      <c r="X4695" s="4"/>
    </row>
    <row r="4696" spans="17:24" x14ac:dyDescent="0.3">
      <c r="Q4696" s="4"/>
      <c r="R4696" s="4"/>
      <c r="S4696" s="4"/>
      <c r="T4696" s="4"/>
      <c r="U4696" s="4"/>
      <c r="V4696" s="4"/>
      <c r="W4696" s="4"/>
      <c r="X4696" s="4"/>
    </row>
    <row r="4697" spans="17:24" x14ac:dyDescent="0.3">
      <c r="Q4697" s="4"/>
      <c r="R4697" s="4"/>
      <c r="S4697" s="4"/>
      <c r="T4697" s="4"/>
      <c r="U4697" s="4"/>
      <c r="V4697" s="4"/>
      <c r="W4697" s="4"/>
      <c r="X4697" s="4"/>
    </row>
    <row r="4698" spans="17:24" x14ac:dyDescent="0.3">
      <c r="Q4698" s="4"/>
      <c r="R4698" s="4"/>
      <c r="S4698" s="4"/>
      <c r="T4698" s="4"/>
      <c r="U4698" s="4"/>
      <c r="V4698" s="4"/>
      <c r="W4698" s="4"/>
      <c r="X4698" s="4"/>
    </row>
    <row r="4699" spans="17:24" x14ac:dyDescent="0.3">
      <c r="Q4699" s="4"/>
      <c r="R4699" s="4"/>
      <c r="S4699" s="4"/>
      <c r="T4699" s="4"/>
      <c r="U4699" s="4"/>
      <c r="V4699" s="4"/>
      <c r="W4699" s="4"/>
      <c r="X4699" s="4"/>
    </row>
    <row r="4700" spans="17:24" x14ac:dyDescent="0.3">
      <c r="Q4700" s="4"/>
      <c r="R4700" s="4"/>
      <c r="S4700" s="4"/>
      <c r="T4700" s="4"/>
      <c r="U4700" s="4"/>
      <c r="V4700" s="4"/>
      <c r="W4700" s="4"/>
      <c r="X4700" s="4"/>
    </row>
    <row r="4701" spans="17:24" x14ac:dyDescent="0.3">
      <c r="Q4701" s="4"/>
      <c r="R4701" s="4"/>
      <c r="S4701" s="4"/>
      <c r="T4701" s="4"/>
      <c r="U4701" s="4"/>
      <c r="V4701" s="4"/>
      <c r="W4701" s="4"/>
      <c r="X4701" s="4"/>
    </row>
    <row r="4702" spans="17:24" x14ac:dyDescent="0.3">
      <c r="Q4702" s="4"/>
      <c r="R4702" s="4"/>
      <c r="S4702" s="4"/>
      <c r="T4702" s="4"/>
      <c r="U4702" s="4"/>
      <c r="V4702" s="4"/>
      <c r="W4702" s="4"/>
      <c r="X4702" s="4"/>
    </row>
    <row r="4703" spans="17:24" x14ac:dyDescent="0.3">
      <c r="Q4703" s="4"/>
      <c r="R4703" s="4"/>
      <c r="S4703" s="4"/>
      <c r="T4703" s="4"/>
      <c r="U4703" s="4"/>
      <c r="V4703" s="4"/>
      <c r="W4703" s="4"/>
      <c r="X4703" s="4"/>
    </row>
    <row r="4704" spans="17:24" x14ac:dyDescent="0.3">
      <c r="Q4704" s="4"/>
      <c r="R4704" s="4"/>
      <c r="S4704" s="4"/>
      <c r="T4704" s="4"/>
      <c r="U4704" s="4"/>
      <c r="V4704" s="4"/>
      <c r="W4704" s="4"/>
      <c r="X4704" s="4"/>
    </row>
    <row r="4705" spans="17:24" x14ac:dyDescent="0.3">
      <c r="Q4705" s="4"/>
      <c r="R4705" s="4"/>
      <c r="S4705" s="4"/>
      <c r="T4705" s="4"/>
      <c r="U4705" s="4"/>
      <c r="V4705" s="4"/>
      <c r="W4705" s="4"/>
      <c r="X4705" s="4"/>
    </row>
    <row r="4706" spans="17:24" x14ac:dyDescent="0.3">
      <c r="Q4706" s="4"/>
      <c r="R4706" s="4"/>
      <c r="S4706" s="4"/>
      <c r="T4706" s="4"/>
      <c r="U4706" s="4"/>
      <c r="V4706" s="4"/>
      <c r="W4706" s="4"/>
      <c r="X4706" s="4"/>
    </row>
    <row r="4707" spans="17:24" x14ac:dyDescent="0.3">
      <c r="Q4707" s="4"/>
      <c r="R4707" s="4"/>
      <c r="S4707" s="4"/>
      <c r="T4707" s="4"/>
      <c r="U4707" s="4"/>
      <c r="V4707" s="4"/>
      <c r="W4707" s="4"/>
      <c r="X4707" s="4"/>
    </row>
    <row r="4708" spans="17:24" x14ac:dyDescent="0.3">
      <c r="Q4708" s="4"/>
      <c r="R4708" s="4"/>
      <c r="S4708" s="4"/>
      <c r="T4708" s="4"/>
      <c r="U4708" s="4"/>
      <c r="V4708" s="4"/>
      <c r="W4708" s="4"/>
      <c r="X4708" s="4"/>
    </row>
    <row r="4709" spans="17:24" x14ac:dyDescent="0.3">
      <c r="Q4709" s="4"/>
      <c r="R4709" s="4"/>
      <c r="S4709" s="4"/>
      <c r="T4709" s="4"/>
      <c r="U4709" s="4"/>
      <c r="V4709" s="4"/>
      <c r="W4709" s="4"/>
      <c r="X4709" s="4"/>
    </row>
    <row r="4710" spans="17:24" x14ac:dyDescent="0.3">
      <c r="Q4710" s="4"/>
      <c r="R4710" s="4"/>
      <c r="S4710" s="4"/>
      <c r="T4710" s="4"/>
      <c r="U4710" s="4"/>
      <c r="V4710" s="4"/>
      <c r="W4710" s="4"/>
      <c r="X4710" s="4"/>
    </row>
    <row r="4711" spans="17:24" x14ac:dyDescent="0.3">
      <c r="Q4711" s="4"/>
      <c r="R4711" s="4"/>
      <c r="S4711" s="4"/>
      <c r="T4711" s="4"/>
      <c r="U4711" s="4"/>
      <c r="V4711" s="4"/>
      <c r="W4711" s="4"/>
      <c r="X4711" s="4"/>
    </row>
    <row r="4712" spans="17:24" x14ac:dyDescent="0.3">
      <c r="Q4712" s="4"/>
      <c r="R4712" s="4"/>
      <c r="S4712" s="4"/>
      <c r="T4712" s="4"/>
      <c r="U4712" s="4"/>
      <c r="V4712" s="4"/>
      <c r="W4712" s="4"/>
      <c r="X4712" s="4"/>
    </row>
    <row r="4713" spans="17:24" x14ac:dyDescent="0.3">
      <c r="Q4713" s="4"/>
      <c r="R4713" s="4"/>
      <c r="S4713" s="4"/>
      <c r="T4713" s="4"/>
      <c r="U4713" s="4"/>
      <c r="V4713" s="4"/>
      <c r="W4713" s="4"/>
      <c r="X4713" s="4"/>
    </row>
    <row r="4714" spans="17:24" x14ac:dyDescent="0.3">
      <c r="Q4714" s="4"/>
      <c r="R4714" s="4"/>
      <c r="S4714" s="4"/>
      <c r="T4714" s="4"/>
      <c r="U4714" s="4"/>
      <c r="V4714" s="4"/>
      <c r="W4714" s="4"/>
      <c r="X4714" s="4"/>
    </row>
    <row r="4715" spans="17:24" x14ac:dyDescent="0.3">
      <c r="Q4715" s="4"/>
      <c r="R4715" s="4"/>
      <c r="S4715" s="4"/>
      <c r="T4715" s="4"/>
      <c r="U4715" s="4"/>
      <c r="V4715" s="4"/>
      <c r="W4715" s="4"/>
      <c r="X4715" s="4"/>
    </row>
    <row r="4716" spans="17:24" x14ac:dyDescent="0.3">
      <c r="Q4716" s="4"/>
      <c r="R4716" s="4"/>
      <c r="S4716" s="4"/>
      <c r="T4716" s="4"/>
      <c r="U4716" s="4"/>
      <c r="V4716" s="4"/>
      <c r="W4716" s="4"/>
      <c r="X4716" s="4"/>
    </row>
    <row r="4717" spans="17:24" x14ac:dyDescent="0.3">
      <c r="Q4717" s="4"/>
      <c r="R4717" s="4"/>
      <c r="S4717" s="4"/>
      <c r="T4717" s="4"/>
      <c r="U4717" s="4"/>
      <c r="V4717" s="4"/>
      <c r="W4717" s="4"/>
      <c r="X4717" s="4"/>
    </row>
    <row r="4718" spans="17:24" x14ac:dyDescent="0.3">
      <c r="Q4718" s="4"/>
      <c r="R4718" s="4"/>
      <c r="S4718" s="4"/>
      <c r="T4718" s="4"/>
      <c r="U4718" s="4"/>
      <c r="V4718" s="4"/>
      <c r="W4718" s="4"/>
      <c r="X4718" s="4"/>
    </row>
    <row r="4719" spans="17:24" x14ac:dyDescent="0.3">
      <c r="Q4719" s="4"/>
      <c r="R4719" s="4"/>
      <c r="S4719" s="4"/>
      <c r="T4719" s="4"/>
      <c r="U4719" s="4"/>
      <c r="V4719" s="4"/>
      <c r="W4719" s="4"/>
      <c r="X4719" s="4"/>
    </row>
    <row r="4720" spans="17:24" x14ac:dyDescent="0.3">
      <c r="Q4720" s="4"/>
      <c r="R4720" s="4"/>
      <c r="S4720" s="4"/>
      <c r="T4720" s="4"/>
      <c r="U4720" s="4"/>
      <c r="V4720" s="4"/>
      <c r="W4720" s="4"/>
      <c r="X4720" s="4"/>
    </row>
    <row r="4721" spans="17:24" x14ac:dyDescent="0.3">
      <c r="Q4721" s="4"/>
      <c r="R4721" s="4"/>
      <c r="S4721" s="4"/>
      <c r="T4721" s="4"/>
      <c r="U4721" s="4"/>
      <c r="V4721" s="4"/>
      <c r="W4721" s="4"/>
      <c r="X4721" s="4"/>
    </row>
    <row r="4722" spans="17:24" x14ac:dyDescent="0.3">
      <c r="Q4722" s="4"/>
      <c r="R4722" s="4"/>
      <c r="S4722" s="4"/>
      <c r="T4722" s="4"/>
      <c r="U4722" s="4"/>
      <c r="V4722" s="4"/>
      <c r="W4722" s="4"/>
      <c r="X4722" s="4"/>
    </row>
    <row r="4723" spans="17:24" x14ac:dyDescent="0.3">
      <c r="Q4723" s="4"/>
      <c r="R4723" s="4"/>
      <c r="S4723" s="4"/>
      <c r="T4723" s="4"/>
      <c r="U4723" s="4"/>
      <c r="V4723" s="4"/>
      <c r="W4723" s="4"/>
      <c r="X4723" s="4"/>
    </row>
    <row r="4724" spans="17:24" x14ac:dyDescent="0.3">
      <c r="Q4724" s="4"/>
      <c r="R4724" s="4"/>
      <c r="S4724" s="4"/>
      <c r="T4724" s="4"/>
      <c r="U4724" s="4"/>
      <c r="V4724" s="4"/>
      <c r="W4724" s="4"/>
      <c r="X4724" s="4"/>
    </row>
    <row r="4725" spans="17:24" x14ac:dyDescent="0.3">
      <c r="Q4725" s="4"/>
      <c r="R4725" s="4"/>
      <c r="S4725" s="4"/>
      <c r="T4725" s="4"/>
      <c r="U4725" s="4"/>
      <c r="V4725" s="4"/>
      <c r="W4725" s="4"/>
      <c r="X4725" s="4"/>
    </row>
    <row r="4726" spans="17:24" x14ac:dyDescent="0.3">
      <c r="Q4726" s="4"/>
      <c r="R4726" s="4"/>
      <c r="S4726" s="4"/>
      <c r="T4726" s="4"/>
      <c r="U4726" s="4"/>
      <c r="V4726" s="4"/>
      <c r="W4726" s="4"/>
      <c r="X4726" s="4"/>
    </row>
    <row r="4727" spans="17:24" x14ac:dyDescent="0.3">
      <c r="Q4727" s="4"/>
      <c r="R4727" s="4"/>
      <c r="S4727" s="4"/>
      <c r="T4727" s="4"/>
      <c r="U4727" s="4"/>
      <c r="V4727" s="4"/>
      <c r="W4727" s="4"/>
      <c r="X4727" s="4"/>
    </row>
    <row r="4728" spans="17:24" x14ac:dyDescent="0.3">
      <c r="Q4728" s="4"/>
      <c r="R4728" s="4"/>
      <c r="S4728" s="4"/>
      <c r="T4728" s="4"/>
      <c r="U4728" s="4"/>
      <c r="V4728" s="4"/>
      <c r="W4728" s="4"/>
      <c r="X4728" s="4"/>
    </row>
    <row r="4729" spans="17:24" x14ac:dyDescent="0.3">
      <c r="Q4729" s="4"/>
      <c r="R4729" s="4"/>
      <c r="S4729" s="4"/>
      <c r="T4729" s="4"/>
      <c r="U4729" s="4"/>
      <c r="V4729" s="4"/>
      <c r="W4729" s="4"/>
      <c r="X4729" s="4"/>
    </row>
    <row r="4730" spans="17:24" x14ac:dyDescent="0.3">
      <c r="Q4730" s="4"/>
      <c r="R4730" s="4"/>
      <c r="S4730" s="4"/>
      <c r="T4730" s="4"/>
      <c r="U4730" s="4"/>
      <c r="V4730" s="4"/>
      <c r="W4730" s="4"/>
      <c r="X4730" s="4"/>
    </row>
    <row r="4731" spans="17:24" x14ac:dyDescent="0.3">
      <c r="Q4731" s="4"/>
      <c r="R4731" s="4"/>
      <c r="S4731" s="4"/>
      <c r="T4731" s="4"/>
      <c r="U4731" s="4"/>
      <c r="V4731" s="4"/>
      <c r="W4731" s="4"/>
      <c r="X4731" s="4"/>
    </row>
    <row r="4732" spans="17:24" x14ac:dyDescent="0.3">
      <c r="Q4732" s="4"/>
      <c r="R4732" s="4"/>
      <c r="S4732" s="4"/>
      <c r="T4732" s="4"/>
      <c r="U4732" s="4"/>
      <c r="V4732" s="4"/>
      <c r="W4732" s="4"/>
      <c r="X4732" s="4"/>
    </row>
    <row r="4733" spans="17:24" x14ac:dyDescent="0.3">
      <c r="Q4733" s="4"/>
      <c r="R4733" s="4"/>
      <c r="S4733" s="4"/>
      <c r="T4733" s="4"/>
      <c r="U4733" s="4"/>
      <c r="V4733" s="4"/>
      <c r="W4733" s="4"/>
      <c r="X4733" s="4"/>
    </row>
    <row r="4734" spans="17:24" x14ac:dyDescent="0.3">
      <c r="Q4734" s="4"/>
      <c r="R4734" s="4"/>
      <c r="S4734" s="4"/>
      <c r="T4734" s="4"/>
      <c r="U4734" s="4"/>
      <c r="V4734" s="4"/>
      <c r="W4734" s="4"/>
      <c r="X4734" s="4"/>
    </row>
    <row r="4735" spans="17:24" x14ac:dyDescent="0.3">
      <c r="Q4735" s="4"/>
      <c r="R4735" s="4"/>
      <c r="S4735" s="4"/>
      <c r="T4735" s="4"/>
      <c r="U4735" s="4"/>
      <c r="V4735" s="4"/>
      <c r="W4735" s="4"/>
      <c r="X4735" s="4"/>
    </row>
    <row r="4736" spans="17:24" x14ac:dyDescent="0.3">
      <c r="Q4736" s="4"/>
      <c r="R4736" s="4"/>
      <c r="S4736" s="4"/>
      <c r="T4736" s="4"/>
      <c r="U4736" s="4"/>
      <c r="V4736" s="4"/>
      <c r="W4736" s="4"/>
      <c r="X4736" s="4"/>
    </row>
    <row r="4737" spans="17:24" x14ac:dyDescent="0.3">
      <c r="Q4737" s="4"/>
      <c r="R4737" s="4"/>
      <c r="S4737" s="4"/>
      <c r="T4737" s="4"/>
      <c r="U4737" s="4"/>
      <c r="V4737" s="4"/>
      <c r="W4737" s="4"/>
      <c r="X4737" s="4"/>
    </row>
    <row r="4738" spans="17:24" x14ac:dyDescent="0.3">
      <c r="Q4738" s="4"/>
      <c r="R4738" s="4"/>
      <c r="S4738" s="4"/>
      <c r="T4738" s="4"/>
      <c r="U4738" s="4"/>
      <c r="V4738" s="4"/>
      <c r="W4738" s="4"/>
      <c r="X4738" s="4"/>
    </row>
    <row r="4739" spans="17:24" x14ac:dyDescent="0.3">
      <c r="Q4739" s="4"/>
      <c r="R4739" s="4"/>
      <c r="S4739" s="4"/>
      <c r="T4739" s="4"/>
      <c r="U4739" s="4"/>
      <c r="V4739" s="4"/>
      <c r="W4739" s="4"/>
      <c r="X4739" s="4"/>
    </row>
    <row r="4740" spans="17:24" x14ac:dyDescent="0.3">
      <c r="Q4740" s="4"/>
      <c r="R4740" s="4"/>
      <c r="S4740" s="4"/>
      <c r="T4740" s="4"/>
      <c r="U4740" s="4"/>
      <c r="V4740" s="4"/>
      <c r="W4740" s="4"/>
      <c r="X4740" s="4"/>
    </row>
    <row r="4741" spans="17:24" x14ac:dyDescent="0.3">
      <c r="Q4741" s="4"/>
      <c r="R4741" s="4"/>
      <c r="S4741" s="4"/>
      <c r="T4741" s="4"/>
      <c r="U4741" s="4"/>
      <c r="V4741" s="4"/>
      <c r="W4741" s="4"/>
      <c r="X4741" s="4"/>
    </row>
    <row r="4742" spans="17:24" x14ac:dyDescent="0.3">
      <c r="Q4742" s="4"/>
      <c r="R4742" s="4"/>
      <c r="S4742" s="4"/>
      <c r="T4742" s="4"/>
      <c r="U4742" s="4"/>
      <c r="V4742" s="4"/>
      <c r="W4742" s="4"/>
      <c r="X4742" s="4"/>
    </row>
    <row r="4743" spans="17:24" x14ac:dyDescent="0.3">
      <c r="Q4743" s="4"/>
      <c r="R4743" s="4"/>
      <c r="S4743" s="4"/>
      <c r="T4743" s="4"/>
      <c r="U4743" s="4"/>
      <c r="V4743" s="4"/>
      <c r="W4743" s="4"/>
      <c r="X4743" s="4"/>
    </row>
    <row r="4744" spans="17:24" x14ac:dyDescent="0.3">
      <c r="Q4744" s="4"/>
      <c r="R4744" s="4"/>
      <c r="S4744" s="4"/>
      <c r="T4744" s="4"/>
      <c r="U4744" s="4"/>
      <c r="V4744" s="4"/>
      <c r="W4744" s="4"/>
      <c r="X4744" s="4"/>
    </row>
    <row r="4745" spans="17:24" x14ac:dyDescent="0.3">
      <c r="Q4745" s="4"/>
      <c r="R4745" s="4"/>
      <c r="S4745" s="4"/>
      <c r="T4745" s="4"/>
      <c r="U4745" s="4"/>
      <c r="V4745" s="4"/>
      <c r="W4745" s="4"/>
      <c r="X4745" s="4"/>
    </row>
    <row r="4746" spans="17:24" x14ac:dyDescent="0.3">
      <c r="Q4746" s="4"/>
      <c r="R4746" s="4"/>
      <c r="S4746" s="4"/>
      <c r="T4746" s="4"/>
      <c r="U4746" s="4"/>
      <c r="V4746" s="4"/>
      <c r="W4746" s="4"/>
      <c r="X4746" s="4"/>
    </row>
    <row r="4747" spans="17:24" x14ac:dyDescent="0.3">
      <c r="Q4747" s="4"/>
      <c r="R4747" s="4"/>
      <c r="S4747" s="4"/>
      <c r="T4747" s="4"/>
      <c r="U4747" s="4"/>
      <c r="V4747" s="4"/>
      <c r="W4747" s="4"/>
      <c r="X4747" s="4"/>
    </row>
    <row r="4748" spans="17:24" x14ac:dyDescent="0.3">
      <c r="Q4748" s="4"/>
      <c r="R4748" s="4"/>
      <c r="S4748" s="4"/>
      <c r="T4748" s="4"/>
      <c r="U4748" s="4"/>
      <c r="V4748" s="4"/>
      <c r="W4748" s="4"/>
      <c r="X4748" s="4"/>
    </row>
    <row r="4749" spans="17:24" x14ac:dyDescent="0.3">
      <c r="Q4749" s="4"/>
      <c r="R4749" s="4"/>
      <c r="S4749" s="4"/>
      <c r="T4749" s="4"/>
      <c r="U4749" s="4"/>
      <c r="V4749" s="4"/>
      <c r="W4749" s="4"/>
      <c r="X4749" s="4"/>
    </row>
    <row r="4750" spans="17:24" x14ac:dyDescent="0.3">
      <c r="Q4750" s="4"/>
      <c r="R4750" s="4"/>
      <c r="S4750" s="4"/>
      <c r="T4750" s="4"/>
      <c r="U4750" s="4"/>
      <c r="V4750" s="4"/>
      <c r="W4750" s="4"/>
      <c r="X4750" s="4"/>
    </row>
    <row r="4751" spans="17:24" x14ac:dyDescent="0.3">
      <c r="Q4751" s="4"/>
      <c r="R4751" s="4"/>
      <c r="S4751" s="4"/>
      <c r="T4751" s="4"/>
      <c r="U4751" s="4"/>
      <c r="V4751" s="4"/>
      <c r="W4751" s="4"/>
      <c r="X4751" s="4"/>
    </row>
    <row r="4752" spans="17:24" x14ac:dyDescent="0.3">
      <c r="Q4752" s="4"/>
      <c r="R4752" s="4"/>
      <c r="S4752" s="4"/>
      <c r="T4752" s="4"/>
      <c r="U4752" s="4"/>
      <c r="V4752" s="4"/>
      <c r="W4752" s="4"/>
      <c r="X4752" s="4"/>
    </row>
    <row r="4753" spans="17:24" x14ac:dyDescent="0.3">
      <c r="Q4753" s="4"/>
      <c r="R4753" s="4"/>
      <c r="S4753" s="4"/>
      <c r="T4753" s="4"/>
      <c r="U4753" s="4"/>
      <c r="V4753" s="4"/>
      <c r="W4753" s="4"/>
      <c r="X4753" s="4"/>
    </row>
    <row r="4754" spans="17:24" x14ac:dyDescent="0.3">
      <c r="Q4754" s="4"/>
      <c r="R4754" s="4"/>
      <c r="S4754" s="4"/>
      <c r="T4754" s="4"/>
      <c r="U4754" s="4"/>
      <c r="V4754" s="4"/>
      <c r="W4754" s="4"/>
      <c r="X4754" s="4"/>
    </row>
    <row r="4755" spans="17:24" x14ac:dyDescent="0.3">
      <c r="Q4755" s="4"/>
      <c r="R4755" s="4"/>
      <c r="S4755" s="4"/>
      <c r="T4755" s="4"/>
      <c r="U4755" s="4"/>
      <c r="V4755" s="4"/>
      <c r="W4755" s="4"/>
      <c r="X4755" s="4"/>
    </row>
    <row r="4756" spans="17:24" x14ac:dyDescent="0.3">
      <c r="Q4756" s="4"/>
      <c r="R4756" s="4"/>
      <c r="S4756" s="4"/>
      <c r="T4756" s="4"/>
      <c r="U4756" s="4"/>
      <c r="V4756" s="4"/>
      <c r="W4756" s="4"/>
      <c r="X4756" s="4"/>
    </row>
    <row r="4757" spans="17:24" x14ac:dyDescent="0.3">
      <c r="Q4757" s="4"/>
      <c r="R4757" s="4"/>
      <c r="S4757" s="4"/>
      <c r="T4757" s="4"/>
      <c r="U4757" s="4"/>
      <c r="V4757" s="4"/>
      <c r="W4757" s="4"/>
      <c r="X4757" s="4"/>
    </row>
    <row r="4758" spans="17:24" x14ac:dyDescent="0.3">
      <c r="Q4758" s="4"/>
      <c r="R4758" s="4"/>
      <c r="S4758" s="4"/>
      <c r="T4758" s="4"/>
      <c r="U4758" s="4"/>
      <c r="V4758" s="4"/>
      <c r="W4758" s="4"/>
      <c r="X4758" s="4"/>
    </row>
    <row r="4759" spans="17:24" x14ac:dyDescent="0.3">
      <c r="Q4759" s="4"/>
      <c r="R4759" s="4"/>
      <c r="S4759" s="4"/>
      <c r="T4759" s="4"/>
      <c r="U4759" s="4"/>
      <c r="V4759" s="4"/>
      <c r="W4759" s="4"/>
      <c r="X4759" s="4"/>
    </row>
    <row r="4760" spans="17:24" x14ac:dyDescent="0.3">
      <c r="Q4760" s="4"/>
      <c r="R4760" s="4"/>
      <c r="S4760" s="4"/>
      <c r="T4760" s="4"/>
      <c r="U4760" s="4"/>
      <c r="V4760" s="4"/>
      <c r="W4760" s="4"/>
      <c r="X4760" s="4"/>
    </row>
    <row r="4761" spans="17:24" x14ac:dyDescent="0.3">
      <c r="Q4761" s="4"/>
      <c r="R4761" s="4"/>
      <c r="S4761" s="4"/>
      <c r="T4761" s="4"/>
      <c r="U4761" s="4"/>
      <c r="V4761" s="4"/>
      <c r="W4761" s="4"/>
      <c r="X4761" s="4"/>
    </row>
    <row r="4762" spans="17:24" x14ac:dyDescent="0.3">
      <c r="Q4762" s="4"/>
      <c r="R4762" s="4"/>
      <c r="S4762" s="4"/>
      <c r="T4762" s="4"/>
      <c r="U4762" s="4"/>
      <c r="V4762" s="4"/>
      <c r="W4762" s="4"/>
      <c r="X4762" s="4"/>
    </row>
    <row r="4763" spans="17:24" x14ac:dyDescent="0.3">
      <c r="Q4763" s="4"/>
      <c r="R4763" s="4"/>
      <c r="S4763" s="4"/>
      <c r="T4763" s="4"/>
      <c r="U4763" s="4"/>
      <c r="V4763" s="4"/>
      <c r="W4763" s="4"/>
      <c r="X4763" s="4"/>
    </row>
    <row r="4764" spans="17:24" x14ac:dyDescent="0.3">
      <c r="Q4764" s="4"/>
      <c r="R4764" s="4"/>
      <c r="S4764" s="4"/>
      <c r="T4764" s="4"/>
      <c r="U4764" s="4"/>
      <c r="V4764" s="4"/>
      <c r="W4764" s="4"/>
      <c r="X4764" s="4"/>
    </row>
    <row r="4765" spans="17:24" x14ac:dyDescent="0.3">
      <c r="Q4765" s="4"/>
      <c r="R4765" s="4"/>
      <c r="S4765" s="4"/>
      <c r="T4765" s="4"/>
      <c r="U4765" s="4"/>
      <c r="V4765" s="4"/>
      <c r="W4765" s="4"/>
      <c r="X4765" s="4"/>
    </row>
    <row r="4766" spans="17:24" x14ac:dyDescent="0.3">
      <c r="Q4766" s="4"/>
      <c r="R4766" s="4"/>
      <c r="S4766" s="4"/>
      <c r="T4766" s="4"/>
      <c r="U4766" s="4"/>
      <c r="V4766" s="4"/>
      <c r="W4766" s="4"/>
      <c r="X4766" s="4"/>
    </row>
    <row r="4767" spans="17:24" x14ac:dyDescent="0.3">
      <c r="Q4767" s="4"/>
      <c r="R4767" s="4"/>
      <c r="S4767" s="4"/>
      <c r="T4767" s="4"/>
      <c r="U4767" s="4"/>
      <c r="V4767" s="4"/>
      <c r="W4767" s="4"/>
      <c r="X4767" s="4"/>
    </row>
    <row r="4768" spans="17:24" x14ac:dyDescent="0.3">
      <c r="Q4768" s="4"/>
      <c r="R4768" s="4"/>
      <c r="S4768" s="4"/>
      <c r="T4768" s="4"/>
      <c r="U4768" s="4"/>
      <c r="V4768" s="4"/>
      <c r="W4768" s="4"/>
      <c r="X4768" s="4"/>
    </row>
    <row r="4769" spans="17:24" x14ac:dyDescent="0.3">
      <c r="Q4769" s="4"/>
      <c r="R4769" s="4"/>
      <c r="S4769" s="4"/>
      <c r="T4769" s="4"/>
      <c r="U4769" s="4"/>
      <c r="V4769" s="4"/>
      <c r="W4769" s="4"/>
      <c r="X4769" s="4"/>
    </row>
    <row r="4770" spans="17:24" x14ac:dyDescent="0.3">
      <c r="Q4770" s="4"/>
      <c r="R4770" s="4"/>
      <c r="S4770" s="4"/>
      <c r="T4770" s="4"/>
      <c r="U4770" s="4"/>
      <c r="V4770" s="4"/>
      <c r="W4770" s="4"/>
      <c r="X4770" s="4"/>
    </row>
    <row r="4771" spans="17:24" x14ac:dyDescent="0.3">
      <c r="Q4771" s="4"/>
      <c r="R4771" s="4"/>
      <c r="S4771" s="4"/>
      <c r="T4771" s="4"/>
      <c r="U4771" s="4"/>
      <c r="V4771" s="4"/>
      <c r="W4771" s="4"/>
      <c r="X4771" s="4"/>
    </row>
    <row r="4772" spans="17:24" x14ac:dyDescent="0.3">
      <c r="Q4772" s="4"/>
      <c r="R4772" s="4"/>
      <c r="S4772" s="4"/>
      <c r="T4772" s="4"/>
      <c r="U4772" s="4"/>
      <c r="V4772" s="4"/>
      <c r="W4772" s="4"/>
      <c r="X4772" s="4"/>
    </row>
    <row r="4773" spans="17:24" x14ac:dyDescent="0.3">
      <c r="Q4773" s="4"/>
      <c r="R4773" s="4"/>
      <c r="S4773" s="4"/>
      <c r="T4773" s="4"/>
      <c r="U4773" s="4"/>
      <c r="V4773" s="4"/>
      <c r="W4773" s="4"/>
      <c r="X4773" s="4"/>
    </row>
    <row r="4774" spans="17:24" x14ac:dyDescent="0.3">
      <c r="Q4774" s="4"/>
      <c r="R4774" s="4"/>
      <c r="S4774" s="4"/>
      <c r="T4774" s="4"/>
      <c r="U4774" s="4"/>
      <c r="V4774" s="4"/>
      <c r="W4774" s="4"/>
      <c r="X4774" s="4"/>
    </row>
    <row r="4775" spans="17:24" x14ac:dyDescent="0.3">
      <c r="Q4775" s="4"/>
      <c r="R4775" s="4"/>
      <c r="S4775" s="4"/>
      <c r="T4775" s="4"/>
      <c r="U4775" s="4"/>
      <c r="V4775" s="4"/>
      <c r="W4775" s="4"/>
      <c r="X4775" s="4"/>
    </row>
    <row r="4776" spans="17:24" x14ac:dyDescent="0.3">
      <c r="Q4776" s="4"/>
      <c r="R4776" s="4"/>
      <c r="S4776" s="4"/>
      <c r="T4776" s="4"/>
      <c r="U4776" s="4"/>
      <c r="V4776" s="4"/>
      <c r="W4776" s="4"/>
      <c r="X4776" s="4"/>
    </row>
    <row r="4777" spans="17:24" x14ac:dyDescent="0.3">
      <c r="Q4777" s="4"/>
      <c r="R4777" s="4"/>
      <c r="S4777" s="4"/>
      <c r="T4777" s="4"/>
      <c r="U4777" s="4"/>
      <c r="V4777" s="4"/>
      <c r="W4777" s="4"/>
      <c r="X4777" s="4"/>
    </row>
    <row r="4778" spans="17:24" x14ac:dyDescent="0.3">
      <c r="Q4778" s="4"/>
      <c r="R4778" s="4"/>
      <c r="S4778" s="4"/>
      <c r="T4778" s="4"/>
      <c r="U4778" s="4"/>
      <c r="V4778" s="4"/>
      <c r="W4778" s="4"/>
      <c r="X4778" s="4"/>
    </row>
    <row r="4779" spans="17:24" x14ac:dyDescent="0.3">
      <c r="Q4779" s="4"/>
      <c r="R4779" s="4"/>
      <c r="S4779" s="4"/>
      <c r="T4779" s="4"/>
      <c r="U4779" s="4"/>
      <c r="V4779" s="4"/>
      <c r="W4779" s="4"/>
      <c r="X4779" s="4"/>
    </row>
    <row r="4780" spans="17:24" x14ac:dyDescent="0.3">
      <c r="Q4780" s="4"/>
      <c r="R4780" s="4"/>
      <c r="S4780" s="4"/>
      <c r="T4780" s="4"/>
      <c r="U4780" s="4"/>
      <c r="V4780" s="4"/>
      <c r="W4780" s="4"/>
      <c r="X4780" s="4"/>
    </row>
    <row r="4781" spans="17:24" x14ac:dyDescent="0.3">
      <c r="Q4781" s="4"/>
      <c r="R4781" s="4"/>
      <c r="S4781" s="4"/>
      <c r="T4781" s="4"/>
      <c r="U4781" s="4"/>
      <c r="V4781" s="4"/>
      <c r="W4781" s="4"/>
      <c r="X4781" s="4"/>
    </row>
    <row r="4782" spans="17:24" x14ac:dyDescent="0.3">
      <c r="Q4782" s="4"/>
      <c r="R4782" s="4"/>
      <c r="S4782" s="4"/>
      <c r="T4782" s="4"/>
      <c r="U4782" s="4"/>
      <c r="V4782" s="4"/>
      <c r="W4782" s="4"/>
      <c r="X4782" s="4"/>
    </row>
    <row r="4783" spans="17:24" x14ac:dyDescent="0.3">
      <c r="Q4783" s="4"/>
      <c r="R4783" s="4"/>
      <c r="S4783" s="4"/>
      <c r="T4783" s="4"/>
      <c r="U4783" s="4"/>
      <c r="V4783" s="4"/>
      <c r="W4783" s="4"/>
      <c r="X4783" s="4"/>
    </row>
    <row r="4784" spans="17:24" x14ac:dyDescent="0.3">
      <c r="Q4784" s="4"/>
      <c r="R4784" s="4"/>
      <c r="S4784" s="4"/>
      <c r="T4784" s="4"/>
      <c r="U4784" s="4"/>
      <c r="V4784" s="4"/>
      <c r="W4784" s="4"/>
      <c r="X4784" s="4"/>
    </row>
    <row r="4785" spans="17:24" x14ac:dyDescent="0.3">
      <c r="Q4785" s="4"/>
      <c r="R4785" s="4"/>
      <c r="S4785" s="4"/>
      <c r="T4785" s="4"/>
      <c r="U4785" s="4"/>
      <c r="V4785" s="4"/>
      <c r="W4785" s="4"/>
      <c r="X4785" s="4"/>
    </row>
    <row r="4786" spans="17:24" x14ac:dyDescent="0.3">
      <c r="Q4786" s="4"/>
      <c r="R4786" s="4"/>
      <c r="S4786" s="4"/>
      <c r="T4786" s="4"/>
      <c r="U4786" s="4"/>
      <c r="V4786" s="4"/>
      <c r="W4786" s="4"/>
      <c r="X4786" s="4"/>
    </row>
    <row r="4787" spans="17:24" x14ac:dyDescent="0.3">
      <c r="Q4787" s="4"/>
      <c r="R4787" s="4"/>
      <c r="S4787" s="4"/>
      <c r="T4787" s="4"/>
      <c r="U4787" s="4"/>
      <c r="V4787" s="4"/>
      <c r="W4787" s="4"/>
      <c r="X4787" s="4"/>
    </row>
    <row r="4788" spans="17:24" x14ac:dyDescent="0.3">
      <c r="Q4788" s="4"/>
      <c r="R4788" s="4"/>
      <c r="S4788" s="4"/>
      <c r="T4788" s="4"/>
      <c r="U4788" s="4"/>
      <c r="V4788" s="4"/>
      <c r="W4788" s="4"/>
      <c r="X4788" s="4"/>
    </row>
    <row r="4789" spans="17:24" x14ac:dyDescent="0.3">
      <c r="Q4789" s="4"/>
      <c r="R4789" s="4"/>
      <c r="S4789" s="4"/>
      <c r="T4789" s="4"/>
      <c r="U4789" s="4"/>
      <c r="V4789" s="4"/>
      <c r="W4789" s="4"/>
      <c r="X4789" s="4"/>
    </row>
    <row r="4790" spans="17:24" x14ac:dyDescent="0.3">
      <c r="Q4790" s="4"/>
      <c r="R4790" s="4"/>
      <c r="S4790" s="4"/>
      <c r="T4790" s="4"/>
      <c r="U4790" s="4"/>
      <c r="V4790" s="4"/>
      <c r="W4790" s="4"/>
      <c r="X4790" s="4"/>
    </row>
    <row r="4791" spans="17:24" x14ac:dyDescent="0.3">
      <c r="Q4791" s="4"/>
      <c r="R4791" s="4"/>
      <c r="S4791" s="4"/>
      <c r="T4791" s="4"/>
      <c r="U4791" s="4"/>
      <c r="V4791" s="4"/>
      <c r="W4791" s="4"/>
      <c r="X4791" s="4"/>
    </row>
    <row r="4792" spans="17:24" x14ac:dyDescent="0.3">
      <c r="Q4792" s="4"/>
      <c r="R4792" s="4"/>
      <c r="S4792" s="4"/>
      <c r="T4792" s="4"/>
      <c r="U4792" s="4"/>
      <c r="V4792" s="4"/>
      <c r="W4792" s="4"/>
      <c r="X4792" s="4"/>
    </row>
    <row r="4793" spans="17:24" x14ac:dyDescent="0.3">
      <c r="Q4793" s="4"/>
      <c r="R4793" s="4"/>
      <c r="S4793" s="4"/>
      <c r="T4793" s="4"/>
      <c r="U4793" s="4"/>
      <c r="V4793" s="4"/>
      <c r="W4793" s="4"/>
      <c r="X4793" s="4"/>
    </row>
    <row r="4794" spans="17:24" x14ac:dyDescent="0.3">
      <c r="Q4794" s="4"/>
      <c r="R4794" s="4"/>
      <c r="S4794" s="4"/>
      <c r="T4794" s="4"/>
      <c r="U4794" s="4"/>
      <c r="V4794" s="4"/>
      <c r="W4794" s="4"/>
      <c r="X4794" s="4"/>
    </row>
    <row r="4795" spans="17:24" x14ac:dyDescent="0.3">
      <c r="Q4795" s="4"/>
      <c r="R4795" s="4"/>
      <c r="S4795" s="4"/>
      <c r="T4795" s="4"/>
      <c r="U4795" s="4"/>
      <c r="V4795" s="4"/>
      <c r="W4795" s="4"/>
      <c r="X4795" s="4"/>
    </row>
    <row r="4796" spans="17:24" x14ac:dyDescent="0.3">
      <c r="Q4796" s="4"/>
      <c r="R4796" s="4"/>
      <c r="S4796" s="4"/>
      <c r="T4796" s="4"/>
      <c r="U4796" s="4"/>
      <c r="V4796" s="4"/>
      <c r="W4796" s="4"/>
      <c r="X4796" s="4"/>
    </row>
    <row r="4797" spans="17:24" x14ac:dyDescent="0.3">
      <c r="Q4797" s="4"/>
      <c r="R4797" s="4"/>
      <c r="S4797" s="4"/>
      <c r="T4797" s="4"/>
      <c r="U4797" s="4"/>
      <c r="V4797" s="4"/>
      <c r="W4797" s="4"/>
      <c r="X4797" s="4"/>
    </row>
    <row r="4798" spans="17:24" x14ac:dyDescent="0.3">
      <c r="Q4798" s="4"/>
      <c r="R4798" s="4"/>
      <c r="S4798" s="4"/>
      <c r="T4798" s="4"/>
      <c r="U4798" s="4"/>
      <c r="V4798" s="4"/>
      <c r="W4798" s="4"/>
      <c r="X4798" s="4"/>
    </row>
    <row r="4799" spans="17:24" x14ac:dyDescent="0.3">
      <c r="Q4799" s="4"/>
      <c r="R4799" s="4"/>
      <c r="S4799" s="4"/>
      <c r="T4799" s="4"/>
      <c r="U4799" s="4"/>
      <c r="V4799" s="4"/>
      <c r="W4799" s="4"/>
      <c r="X4799" s="4"/>
    </row>
    <row r="4800" spans="17:24" x14ac:dyDescent="0.3">
      <c r="Q4800" s="4"/>
      <c r="R4800" s="4"/>
      <c r="S4800" s="4"/>
      <c r="T4800" s="4"/>
      <c r="U4800" s="4"/>
      <c r="V4800" s="4"/>
      <c r="W4800" s="4"/>
      <c r="X4800" s="4"/>
    </row>
    <row r="4801" spans="17:24" x14ac:dyDescent="0.3">
      <c r="Q4801" s="4"/>
      <c r="R4801" s="4"/>
      <c r="S4801" s="4"/>
      <c r="T4801" s="4"/>
      <c r="U4801" s="4"/>
      <c r="V4801" s="4"/>
      <c r="W4801" s="4"/>
      <c r="X4801" s="4"/>
    </row>
    <row r="4802" spans="17:24" x14ac:dyDescent="0.3">
      <c r="Q4802" s="4"/>
      <c r="R4802" s="4"/>
      <c r="S4802" s="4"/>
      <c r="T4802" s="4"/>
      <c r="U4802" s="4"/>
      <c r="V4802" s="4"/>
      <c r="W4802" s="4"/>
      <c r="X4802" s="4"/>
    </row>
    <row r="4803" spans="17:24" x14ac:dyDescent="0.3">
      <c r="Q4803" s="4"/>
      <c r="R4803" s="4"/>
      <c r="S4803" s="4"/>
      <c r="T4803" s="4"/>
      <c r="U4803" s="4"/>
      <c r="V4803" s="4"/>
      <c r="W4803" s="4"/>
      <c r="X4803" s="4"/>
    </row>
    <row r="4804" spans="17:24" x14ac:dyDescent="0.3">
      <c r="Q4804" s="4"/>
      <c r="R4804" s="4"/>
      <c r="S4804" s="4"/>
      <c r="T4804" s="4"/>
      <c r="U4804" s="4"/>
      <c r="V4804" s="4"/>
      <c r="W4804" s="4"/>
      <c r="X4804" s="4"/>
    </row>
    <row r="4805" spans="17:24" x14ac:dyDescent="0.3">
      <c r="Q4805" s="4"/>
      <c r="R4805" s="4"/>
      <c r="S4805" s="4"/>
      <c r="T4805" s="4"/>
      <c r="U4805" s="4"/>
      <c r="V4805" s="4"/>
      <c r="W4805" s="4"/>
      <c r="X4805" s="4"/>
    </row>
    <row r="4806" spans="17:24" x14ac:dyDescent="0.3">
      <c r="Q4806" s="4"/>
      <c r="R4806" s="4"/>
      <c r="S4806" s="4"/>
      <c r="T4806" s="4"/>
      <c r="U4806" s="4"/>
      <c r="V4806" s="4"/>
      <c r="W4806" s="4"/>
      <c r="X4806" s="4"/>
    </row>
    <row r="4807" spans="17:24" x14ac:dyDescent="0.3">
      <c r="Q4807" s="4"/>
      <c r="R4807" s="4"/>
      <c r="S4807" s="4"/>
      <c r="T4807" s="4"/>
      <c r="U4807" s="4"/>
      <c r="V4807" s="4"/>
      <c r="W4807" s="4"/>
      <c r="X4807" s="4"/>
    </row>
    <row r="4808" spans="17:24" x14ac:dyDescent="0.3">
      <c r="Q4808" s="4"/>
      <c r="R4808" s="4"/>
      <c r="S4808" s="4"/>
      <c r="T4808" s="4"/>
      <c r="U4808" s="4"/>
      <c r="V4808" s="4"/>
      <c r="W4808" s="4"/>
      <c r="X4808" s="4"/>
    </row>
    <row r="4809" spans="17:24" x14ac:dyDescent="0.3">
      <c r="Q4809" s="4"/>
      <c r="R4809" s="4"/>
      <c r="S4809" s="4"/>
      <c r="T4809" s="4"/>
      <c r="U4809" s="4"/>
      <c r="V4809" s="4"/>
      <c r="W4809" s="4"/>
      <c r="X4809" s="4"/>
    </row>
    <row r="4810" spans="17:24" x14ac:dyDescent="0.3">
      <c r="Q4810" s="4"/>
      <c r="R4810" s="4"/>
      <c r="S4810" s="4"/>
      <c r="T4810" s="4"/>
      <c r="U4810" s="4"/>
      <c r="V4810" s="4"/>
      <c r="W4810" s="4"/>
      <c r="X4810" s="4"/>
    </row>
    <row r="4811" spans="17:24" x14ac:dyDescent="0.3">
      <c r="Q4811" s="4"/>
      <c r="R4811" s="4"/>
      <c r="S4811" s="4"/>
      <c r="T4811" s="4"/>
      <c r="U4811" s="4"/>
      <c r="V4811" s="4"/>
      <c r="W4811" s="4"/>
      <c r="X4811" s="4"/>
    </row>
    <row r="4812" spans="17:24" x14ac:dyDescent="0.3">
      <c r="Q4812" s="4"/>
      <c r="R4812" s="4"/>
      <c r="S4812" s="4"/>
      <c r="T4812" s="4"/>
      <c r="U4812" s="4"/>
      <c r="V4812" s="4"/>
      <c r="W4812" s="4"/>
      <c r="X4812" s="4"/>
    </row>
    <row r="4813" spans="17:24" x14ac:dyDescent="0.3">
      <c r="Q4813" s="4"/>
      <c r="R4813" s="4"/>
      <c r="S4813" s="4"/>
      <c r="T4813" s="4"/>
      <c r="U4813" s="4"/>
      <c r="V4813" s="4"/>
      <c r="W4813" s="4"/>
      <c r="X4813" s="4"/>
    </row>
    <row r="4814" spans="17:24" x14ac:dyDescent="0.3">
      <c r="Q4814" s="4"/>
      <c r="R4814" s="4"/>
      <c r="S4814" s="4"/>
      <c r="T4814" s="4"/>
      <c r="U4814" s="4"/>
      <c r="V4814" s="4"/>
      <c r="W4814" s="4"/>
      <c r="X4814" s="4"/>
    </row>
    <row r="4815" spans="17:24" x14ac:dyDescent="0.3">
      <c r="Q4815" s="4"/>
      <c r="R4815" s="4"/>
      <c r="S4815" s="4"/>
      <c r="T4815" s="4"/>
      <c r="U4815" s="4"/>
      <c r="V4815" s="4"/>
      <c r="W4815" s="4"/>
      <c r="X4815" s="4"/>
    </row>
    <row r="4816" spans="17:24" x14ac:dyDescent="0.3">
      <c r="Q4816" s="4"/>
      <c r="R4816" s="4"/>
      <c r="S4816" s="4"/>
      <c r="T4816" s="4"/>
      <c r="U4816" s="4"/>
      <c r="V4816" s="4"/>
      <c r="W4816" s="4"/>
      <c r="X4816" s="4"/>
    </row>
    <row r="4817" spans="17:24" x14ac:dyDescent="0.3">
      <c r="Q4817" s="4"/>
      <c r="R4817" s="4"/>
      <c r="S4817" s="4"/>
      <c r="T4817" s="4"/>
      <c r="U4817" s="4"/>
      <c r="V4817" s="4"/>
      <c r="W4817" s="4"/>
      <c r="X4817" s="4"/>
    </row>
    <row r="4818" spans="17:24" x14ac:dyDescent="0.3">
      <c r="Q4818" s="4"/>
      <c r="R4818" s="4"/>
      <c r="S4818" s="4"/>
      <c r="T4818" s="4"/>
      <c r="U4818" s="4"/>
      <c r="V4818" s="4"/>
      <c r="W4818" s="4"/>
      <c r="X4818" s="4"/>
    </row>
    <row r="4819" spans="17:24" x14ac:dyDescent="0.3">
      <c r="Q4819" s="4"/>
      <c r="R4819" s="4"/>
      <c r="S4819" s="4"/>
      <c r="T4819" s="4"/>
      <c r="U4819" s="4"/>
      <c r="V4819" s="4"/>
      <c r="W4819" s="4"/>
      <c r="X4819" s="4"/>
    </row>
    <row r="4820" spans="17:24" x14ac:dyDescent="0.3">
      <c r="Q4820" s="4"/>
      <c r="R4820" s="4"/>
      <c r="S4820" s="4"/>
      <c r="T4820" s="4"/>
      <c r="U4820" s="4"/>
      <c r="V4820" s="4"/>
      <c r="W4820" s="4"/>
      <c r="X4820" s="4"/>
    </row>
    <row r="4821" spans="17:24" x14ac:dyDescent="0.3">
      <c r="Q4821" s="4"/>
      <c r="R4821" s="4"/>
      <c r="S4821" s="4"/>
      <c r="T4821" s="4"/>
      <c r="U4821" s="4"/>
      <c r="V4821" s="4"/>
      <c r="W4821" s="4"/>
      <c r="X4821" s="4"/>
    </row>
    <row r="4822" spans="17:24" x14ac:dyDescent="0.3">
      <c r="Q4822" s="4"/>
      <c r="R4822" s="4"/>
      <c r="S4822" s="4"/>
      <c r="T4822" s="4"/>
      <c r="U4822" s="4"/>
      <c r="V4822" s="4"/>
      <c r="W4822" s="4"/>
      <c r="X4822" s="4"/>
    </row>
    <row r="4823" spans="17:24" x14ac:dyDescent="0.3">
      <c r="Q4823" s="4"/>
      <c r="R4823" s="4"/>
      <c r="S4823" s="4"/>
      <c r="T4823" s="4"/>
      <c r="U4823" s="4"/>
      <c r="V4823" s="4"/>
      <c r="W4823" s="4"/>
      <c r="X4823" s="4"/>
    </row>
    <row r="4824" spans="17:24" x14ac:dyDescent="0.3">
      <c r="Q4824" s="4"/>
      <c r="R4824" s="4"/>
      <c r="S4824" s="4"/>
      <c r="T4824" s="4"/>
      <c r="U4824" s="4"/>
      <c r="V4824" s="4"/>
      <c r="W4824" s="4"/>
      <c r="X4824" s="4"/>
    </row>
    <row r="4825" spans="17:24" x14ac:dyDescent="0.3">
      <c r="Q4825" s="4"/>
      <c r="R4825" s="4"/>
      <c r="S4825" s="4"/>
      <c r="T4825" s="4"/>
      <c r="U4825" s="4"/>
      <c r="V4825" s="4"/>
      <c r="W4825" s="4"/>
      <c r="X4825" s="4"/>
    </row>
    <row r="4826" spans="17:24" x14ac:dyDescent="0.3">
      <c r="Q4826" s="4"/>
      <c r="R4826" s="4"/>
      <c r="S4826" s="4"/>
      <c r="T4826" s="4"/>
      <c r="U4826" s="4"/>
      <c r="V4826" s="4"/>
      <c r="W4826" s="4"/>
      <c r="X4826" s="4"/>
    </row>
    <row r="4827" spans="17:24" x14ac:dyDescent="0.3">
      <c r="Q4827" s="4"/>
      <c r="R4827" s="4"/>
      <c r="S4827" s="4"/>
      <c r="T4827" s="4"/>
      <c r="U4827" s="4"/>
      <c r="V4827" s="4"/>
      <c r="W4827" s="4"/>
      <c r="X4827" s="4"/>
    </row>
    <row r="4828" spans="17:24" x14ac:dyDescent="0.3">
      <c r="Q4828" s="4"/>
      <c r="R4828" s="4"/>
      <c r="S4828" s="4"/>
      <c r="T4828" s="4"/>
      <c r="U4828" s="4"/>
      <c r="V4828" s="4"/>
      <c r="W4828" s="4"/>
      <c r="X4828" s="4"/>
    </row>
    <row r="4829" spans="17:24" x14ac:dyDescent="0.3">
      <c r="Q4829" s="4"/>
      <c r="R4829" s="4"/>
      <c r="S4829" s="4"/>
      <c r="T4829" s="4"/>
      <c r="U4829" s="4"/>
      <c r="V4829" s="4"/>
      <c r="W4829" s="4"/>
      <c r="X4829" s="4"/>
    </row>
    <row r="4830" spans="17:24" x14ac:dyDescent="0.3">
      <c r="Q4830" s="4"/>
      <c r="R4830" s="4"/>
      <c r="S4830" s="4"/>
      <c r="T4830" s="4"/>
      <c r="U4830" s="4"/>
      <c r="V4830" s="4"/>
      <c r="W4830" s="4"/>
      <c r="X4830" s="4"/>
    </row>
    <row r="4831" spans="17:24" x14ac:dyDescent="0.3">
      <c r="Q4831" s="4"/>
      <c r="R4831" s="4"/>
      <c r="S4831" s="4"/>
      <c r="T4831" s="4"/>
      <c r="U4831" s="4"/>
      <c r="V4831" s="4"/>
      <c r="W4831" s="4"/>
      <c r="X4831" s="4"/>
    </row>
    <row r="4832" spans="17:24" x14ac:dyDescent="0.3">
      <c r="Q4832" s="4"/>
      <c r="R4832" s="4"/>
      <c r="S4832" s="4"/>
      <c r="T4832" s="4"/>
      <c r="U4832" s="4"/>
      <c r="V4832" s="4"/>
      <c r="W4832" s="4"/>
      <c r="X4832" s="4"/>
    </row>
    <row r="4833" spans="17:24" x14ac:dyDescent="0.3">
      <c r="Q4833" s="4"/>
      <c r="R4833" s="4"/>
      <c r="S4833" s="4"/>
      <c r="T4833" s="4"/>
      <c r="U4833" s="4"/>
      <c r="V4833" s="4"/>
      <c r="W4833" s="4"/>
      <c r="X4833" s="4"/>
    </row>
    <row r="4834" spans="17:24" x14ac:dyDescent="0.3">
      <c r="Q4834" s="4"/>
      <c r="R4834" s="4"/>
      <c r="S4834" s="4"/>
      <c r="T4834" s="4"/>
      <c r="U4834" s="4"/>
      <c r="V4834" s="4"/>
      <c r="W4834" s="4"/>
      <c r="X4834" s="4"/>
    </row>
    <row r="4835" spans="17:24" x14ac:dyDescent="0.3">
      <c r="Q4835" s="4"/>
      <c r="R4835" s="4"/>
      <c r="S4835" s="4"/>
      <c r="T4835" s="4"/>
      <c r="U4835" s="4"/>
      <c r="V4835" s="4"/>
      <c r="W4835" s="4"/>
      <c r="X4835" s="4"/>
    </row>
    <row r="4836" spans="17:24" x14ac:dyDescent="0.3">
      <c r="Q4836" s="4"/>
      <c r="R4836" s="4"/>
      <c r="S4836" s="4"/>
      <c r="T4836" s="4"/>
      <c r="U4836" s="4"/>
      <c r="V4836" s="4"/>
      <c r="W4836" s="4"/>
      <c r="X4836" s="4"/>
    </row>
    <row r="4837" spans="17:24" x14ac:dyDescent="0.3">
      <c r="Q4837" s="4"/>
      <c r="R4837" s="4"/>
      <c r="S4837" s="4"/>
      <c r="T4837" s="4"/>
      <c r="U4837" s="4"/>
      <c r="V4837" s="4"/>
      <c r="W4837" s="4"/>
      <c r="X4837" s="4"/>
    </row>
    <row r="4838" spans="17:24" x14ac:dyDescent="0.3">
      <c r="Q4838" s="4"/>
      <c r="R4838" s="4"/>
      <c r="S4838" s="4"/>
      <c r="T4838" s="4"/>
      <c r="U4838" s="4"/>
      <c r="V4838" s="4"/>
      <c r="W4838" s="4"/>
      <c r="X4838" s="4"/>
    </row>
    <row r="4839" spans="17:24" x14ac:dyDescent="0.3">
      <c r="Q4839" s="4"/>
      <c r="R4839" s="4"/>
      <c r="S4839" s="4"/>
      <c r="T4839" s="4"/>
      <c r="U4839" s="4"/>
      <c r="V4839" s="4"/>
      <c r="W4839" s="4"/>
      <c r="X4839" s="4"/>
    </row>
    <row r="4840" spans="17:24" x14ac:dyDescent="0.3">
      <c r="Q4840" s="4"/>
      <c r="R4840" s="4"/>
      <c r="S4840" s="4"/>
      <c r="T4840" s="4"/>
      <c r="U4840" s="4"/>
      <c r="V4840" s="4"/>
      <c r="W4840" s="4"/>
      <c r="X4840" s="4"/>
    </row>
    <row r="4841" spans="17:24" x14ac:dyDescent="0.3">
      <c r="Q4841" s="4"/>
      <c r="R4841" s="4"/>
      <c r="S4841" s="4"/>
      <c r="T4841" s="4"/>
      <c r="U4841" s="4"/>
      <c r="V4841" s="4"/>
      <c r="W4841" s="4"/>
      <c r="X4841" s="4"/>
    </row>
    <row r="4842" spans="17:24" x14ac:dyDescent="0.3">
      <c r="Q4842" s="4"/>
      <c r="R4842" s="4"/>
      <c r="S4842" s="4"/>
      <c r="T4842" s="4"/>
      <c r="U4842" s="4"/>
      <c r="V4842" s="4"/>
      <c r="W4842" s="4"/>
      <c r="X4842" s="4"/>
    </row>
    <row r="4843" spans="17:24" x14ac:dyDescent="0.3">
      <c r="Q4843" s="4"/>
      <c r="R4843" s="4"/>
      <c r="S4843" s="4"/>
      <c r="T4843" s="4"/>
      <c r="U4843" s="4"/>
      <c r="V4843" s="4"/>
      <c r="W4843" s="4"/>
      <c r="X4843" s="4"/>
    </row>
    <row r="4844" spans="17:24" x14ac:dyDescent="0.3">
      <c r="Q4844" s="4"/>
      <c r="R4844" s="4"/>
      <c r="S4844" s="4"/>
      <c r="T4844" s="4"/>
      <c r="U4844" s="4"/>
      <c r="V4844" s="4"/>
      <c r="W4844" s="4"/>
      <c r="X4844" s="4"/>
    </row>
    <row r="4845" spans="17:24" x14ac:dyDescent="0.3">
      <c r="Q4845" s="4"/>
      <c r="R4845" s="4"/>
      <c r="S4845" s="4"/>
      <c r="T4845" s="4"/>
      <c r="U4845" s="4"/>
      <c r="V4845" s="4"/>
      <c r="W4845" s="4"/>
      <c r="X4845" s="4"/>
    </row>
    <row r="4846" spans="17:24" x14ac:dyDescent="0.3">
      <c r="Q4846" s="4"/>
      <c r="R4846" s="4"/>
      <c r="S4846" s="4"/>
      <c r="T4846" s="4"/>
      <c r="U4846" s="4"/>
      <c r="V4846" s="4"/>
      <c r="W4846" s="4"/>
      <c r="X4846" s="4"/>
    </row>
    <row r="4847" spans="17:24" x14ac:dyDescent="0.3">
      <c r="Q4847" s="4"/>
      <c r="R4847" s="4"/>
      <c r="S4847" s="4"/>
      <c r="T4847" s="4"/>
      <c r="U4847" s="4"/>
      <c r="V4847" s="4"/>
      <c r="W4847" s="4"/>
      <c r="X4847" s="4"/>
    </row>
    <row r="4848" spans="17:24" x14ac:dyDescent="0.3">
      <c r="Q4848" s="4"/>
      <c r="R4848" s="4"/>
      <c r="S4848" s="4"/>
      <c r="T4848" s="4"/>
      <c r="U4848" s="4"/>
      <c r="V4848" s="4"/>
      <c r="W4848" s="4"/>
      <c r="X4848" s="4"/>
    </row>
    <row r="4849" spans="17:24" x14ac:dyDescent="0.3">
      <c r="Q4849" s="4"/>
      <c r="R4849" s="4"/>
      <c r="S4849" s="4"/>
      <c r="T4849" s="4"/>
      <c r="U4849" s="4"/>
      <c r="V4849" s="4"/>
      <c r="W4849" s="4"/>
      <c r="X4849" s="4"/>
    </row>
    <row r="4850" spans="17:24" x14ac:dyDescent="0.3">
      <c r="Q4850" s="4"/>
      <c r="R4850" s="4"/>
      <c r="S4850" s="4"/>
      <c r="T4850" s="4"/>
      <c r="U4850" s="4"/>
      <c r="V4850" s="4"/>
      <c r="W4850" s="4"/>
      <c r="X4850" s="4"/>
    </row>
    <row r="4851" spans="17:24" x14ac:dyDescent="0.3">
      <c r="Q4851" s="4"/>
      <c r="R4851" s="4"/>
      <c r="S4851" s="4"/>
      <c r="T4851" s="4"/>
      <c r="U4851" s="4"/>
      <c r="V4851" s="4"/>
      <c r="W4851" s="4"/>
      <c r="X4851" s="4"/>
    </row>
    <row r="4852" spans="17:24" x14ac:dyDescent="0.3">
      <c r="Q4852" s="4"/>
      <c r="R4852" s="4"/>
      <c r="S4852" s="4"/>
      <c r="T4852" s="4"/>
      <c r="U4852" s="4"/>
      <c r="V4852" s="4"/>
      <c r="W4852" s="4"/>
      <c r="X4852" s="4"/>
    </row>
    <row r="4853" spans="17:24" x14ac:dyDescent="0.3">
      <c r="Q4853" s="4"/>
      <c r="R4853" s="4"/>
      <c r="S4853" s="4"/>
      <c r="T4853" s="4"/>
      <c r="U4853" s="4"/>
      <c r="V4853" s="4"/>
      <c r="W4853" s="4"/>
      <c r="X4853" s="4"/>
    </row>
    <row r="4854" spans="17:24" x14ac:dyDescent="0.3">
      <c r="Q4854" s="4"/>
      <c r="R4854" s="4"/>
      <c r="S4854" s="4"/>
      <c r="T4854" s="4"/>
      <c r="U4854" s="4"/>
      <c r="V4854" s="4"/>
      <c r="W4854" s="4"/>
      <c r="X4854" s="4"/>
    </row>
    <row r="4855" spans="17:24" x14ac:dyDescent="0.3">
      <c r="Q4855" s="4"/>
      <c r="R4855" s="4"/>
      <c r="S4855" s="4"/>
      <c r="T4855" s="4"/>
      <c r="U4855" s="4"/>
      <c r="V4855" s="4"/>
      <c r="W4855" s="4"/>
      <c r="X4855" s="4"/>
    </row>
    <row r="4856" spans="17:24" x14ac:dyDescent="0.3">
      <c r="Q4856" s="4"/>
      <c r="R4856" s="4"/>
      <c r="S4856" s="4"/>
      <c r="T4856" s="4"/>
      <c r="U4856" s="4"/>
      <c r="V4856" s="4"/>
      <c r="W4856" s="4"/>
      <c r="X4856" s="4"/>
    </row>
    <row r="4857" spans="17:24" x14ac:dyDescent="0.3">
      <c r="Q4857" s="4"/>
      <c r="R4857" s="4"/>
      <c r="S4857" s="4"/>
      <c r="T4857" s="4"/>
      <c r="U4857" s="4"/>
      <c r="V4857" s="4"/>
      <c r="W4857" s="4"/>
      <c r="X4857" s="4"/>
    </row>
    <row r="4858" spans="17:24" x14ac:dyDescent="0.3">
      <c r="Q4858" s="4"/>
      <c r="R4858" s="4"/>
      <c r="S4858" s="4"/>
      <c r="T4858" s="4"/>
      <c r="U4858" s="4"/>
      <c r="V4858" s="4"/>
      <c r="W4858" s="4"/>
      <c r="X4858" s="4"/>
    </row>
    <row r="4859" spans="17:24" x14ac:dyDescent="0.3">
      <c r="Q4859" s="4"/>
      <c r="R4859" s="4"/>
      <c r="S4859" s="4"/>
      <c r="T4859" s="4"/>
      <c r="U4859" s="4"/>
      <c r="V4859" s="4"/>
      <c r="W4859" s="4"/>
      <c r="X4859" s="4"/>
    </row>
    <row r="4860" spans="17:24" x14ac:dyDescent="0.3">
      <c r="Q4860" s="4"/>
      <c r="R4860" s="4"/>
      <c r="S4860" s="4"/>
      <c r="T4860" s="4"/>
      <c r="U4860" s="4"/>
      <c r="V4860" s="4"/>
      <c r="W4860" s="4"/>
      <c r="X4860" s="4"/>
    </row>
    <row r="4861" spans="17:24" x14ac:dyDescent="0.3">
      <c r="Q4861" s="4"/>
      <c r="R4861" s="4"/>
      <c r="S4861" s="4"/>
      <c r="T4861" s="4"/>
      <c r="U4861" s="4"/>
      <c r="V4861" s="4"/>
      <c r="W4861" s="4"/>
      <c r="X4861" s="4"/>
    </row>
    <row r="4862" spans="17:24" x14ac:dyDescent="0.3">
      <c r="Q4862" s="4"/>
      <c r="R4862" s="4"/>
      <c r="S4862" s="4"/>
      <c r="T4862" s="4"/>
      <c r="U4862" s="4"/>
      <c r="V4862" s="4"/>
      <c r="W4862" s="4"/>
      <c r="X4862" s="4"/>
    </row>
    <row r="4863" spans="17:24" x14ac:dyDescent="0.3">
      <c r="Q4863" s="4"/>
      <c r="R4863" s="4"/>
      <c r="S4863" s="4"/>
      <c r="T4863" s="4"/>
      <c r="U4863" s="4"/>
      <c r="V4863" s="4"/>
      <c r="W4863" s="4"/>
      <c r="X4863" s="4"/>
    </row>
    <row r="4864" spans="17:24" x14ac:dyDescent="0.3">
      <c r="Q4864" s="4"/>
      <c r="R4864" s="4"/>
      <c r="S4864" s="4"/>
      <c r="T4864" s="4"/>
      <c r="U4864" s="4"/>
      <c r="V4864" s="4"/>
      <c r="W4864" s="4"/>
      <c r="X4864" s="4"/>
    </row>
    <row r="4865" spans="17:24" x14ac:dyDescent="0.3">
      <c r="Q4865" s="4"/>
      <c r="R4865" s="4"/>
      <c r="S4865" s="4"/>
      <c r="T4865" s="4"/>
      <c r="U4865" s="4"/>
      <c r="V4865" s="4"/>
      <c r="W4865" s="4"/>
      <c r="X4865" s="4"/>
    </row>
    <row r="4866" spans="17:24" x14ac:dyDescent="0.3">
      <c r="Q4866" s="4"/>
      <c r="R4866" s="4"/>
      <c r="S4866" s="4"/>
      <c r="T4866" s="4"/>
      <c r="U4866" s="4"/>
      <c r="V4866" s="4"/>
      <c r="W4866" s="4"/>
      <c r="X4866" s="4"/>
    </row>
    <row r="4867" spans="17:24" x14ac:dyDescent="0.3">
      <c r="Q4867" s="4"/>
      <c r="R4867" s="4"/>
      <c r="S4867" s="4"/>
      <c r="T4867" s="4"/>
      <c r="U4867" s="4"/>
      <c r="V4867" s="4"/>
      <c r="W4867" s="4"/>
      <c r="X4867" s="4"/>
    </row>
    <row r="4868" spans="17:24" x14ac:dyDescent="0.3">
      <c r="Q4868" s="4"/>
      <c r="R4868" s="4"/>
      <c r="S4868" s="4"/>
      <c r="T4868" s="4"/>
      <c r="U4868" s="4"/>
      <c r="V4868" s="4"/>
      <c r="W4868" s="4"/>
      <c r="X4868" s="4"/>
    </row>
    <row r="4869" spans="17:24" x14ac:dyDescent="0.3">
      <c r="Q4869" s="4"/>
      <c r="R4869" s="4"/>
      <c r="S4869" s="4"/>
      <c r="T4869" s="4"/>
      <c r="U4869" s="4"/>
      <c r="V4869" s="4"/>
      <c r="W4869" s="4"/>
      <c r="X4869" s="4"/>
    </row>
    <row r="4870" spans="17:24" x14ac:dyDescent="0.3">
      <c r="Q4870" s="4"/>
      <c r="R4870" s="4"/>
      <c r="S4870" s="4"/>
      <c r="T4870" s="4"/>
      <c r="U4870" s="4"/>
      <c r="V4870" s="4"/>
      <c r="W4870" s="4"/>
      <c r="X4870" s="4"/>
    </row>
    <row r="4871" spans="17:24" x14ac:dyDescent="0.3">
      <c r="Q4871" s="4"/>
      <c r="R4871" s="4"/>
      <c r="S4871" s="4"/>
      <c r="T4871" s="4"/>
      <c r="U4871" s="4"/>
      <c r="V4871" s="4"/>
      <c r="W4871" s="4"/>
      <c r="X4871" s="4"/>
    </row>
    <row r="4872" spans="17:24" x14ac:dyDescent="0.3">
      <c r="Q4872" s="4"/>
      <c r="R4872" s="4"/>
      <c r="S4872" s="4"/>
      <c r="T4872" s="4"/>
      <c r="U4872" s="4"/>
      <c r="V4872" s="4"/>
      <c r="W4872" s="4"/>
      <c r="X4872" s="4"/>
    </row>
    <row r="4873" spans="17:24" x14ac:dyDescent="0.3">
      <c r="Q4873" s="4"/>
      <c r="R4873" s="4"/>
      <c r="S4873" s="4"/>
      <c r="T4873" s="4"/>
      <c r="U4873" s="4"/>
      <c r="V4873" s="4"/>
      <c r="W4873" s="4"/>
      <c r="X4873" s="4"/>
    </row>
    <row r="4874" spans="17:24" x14ac:dyDescent="0.3">
      <c r="Q4874" s="4"/>
      <c r="R4874" s="4"/>
      <c r="S4874" s="4"/>
      <c r="T4874" s="4"/>
      <c r="U4874" s="4"/>
      <c r="V4874" s="4"/>
      <c r="W4874" s="4"/>
      <c r="X4874" s="4"/>
    </row>
    <row r="4875" spans="17:24" x14ac:dyDescent="0.3">
      <c r="Q4875" s="4"/>
      <c r="R4875" s="4"/>
      <c r="S4875" s="4"/>
      <c r="T4875" s="4"/>
      <c r="U4875" s="4"/>
      <c r="V4875" s="4"/>
      <c r="W4875" s="4"/>
      <c r="X4875" s="4"/>
    </row>
    <row r="4876" spans="17:24" x14ac:dyDescent="0.3">
      <c r="Q4876" s="4"/>
      <c r="R4876" s="4"/>
      <c r="S4876" s="4"/>
      <c r="T4876" s="4"/>
      <c r="U4876" s="4"/>
      <c r="V4876" s="4"/>
      <c r="W4876" s="4"/>
      <c r="X4876" s="4"/>
    </row>
    <row r="4877" spans="17:24" x14ac:dyDescent="0.3">
      <c r="Q4877" s="4"/>
      <c r="R4877" s="4"/>
      <c r="S4877" s="4"/>
      <c r="T4877" s="4"/>
      <c r="U4877" s="4"/>
      <c r="V4877" s="4"/>
      <c r="W4877" s="4"/>
      <c r="X4877" s="4"/>
    </row>
    <row r="4878" spans="17:24" x14ac:dyDescent="0.3">
      <c r="Q4878" s="4"/>
      <c r="R4878" s="4"/>
      <c r="S4878" s="4"/>
      <c r="T4878" s="4"/>
      <c r="U4878" s="4"/>
      <c r="V4878" s="4"/>
      <c r="W4878" s="4"/>
      <c r="X4878" s="4"/>
    </row>
    <row r="4879" spans="17:24" x14ac:dyDescent="0.3">
      <c r="Q4879" s="4"/>
      <c r="R4879" s="4"/>
      <c r="S4879" s="4"/>
      <c r="T4879" s="4"/>
      <c r="U4879" s="4"/>
      <c r="V4879" s="4"/>
      <c r="W4879" s="4"/>
      <c r="X4879" s="4"/>
    </row>
    <row r="4880" spans="17:24" x14ac:dyDescent="0.3">
      <c r="Q4880" s="4"/>
      <c r="R4880" s="4"/>
      <c r="S4880" s="4"/>
      <c r="T4880" s="4"/>
      <c r="U4880" s="4"/>
      <c r="V4880" s="4"/>
      <c r="W4880" s="4"/>
      <c r="X4880" s="4"/>
    </row>
    <row r="4881" spans="17:24" x14ac:dyDescent="0.3">
      <c r="Q4881" s="4"/>
      <c r="R4881" s="4"/>
      <c r="S4881" s="4"/>
      <c r="T4881" s="4"/>
      <c r="U4881" s="4"/>
      <c r="V4881" s="4"/>
      <c r="W4881" s="4"/>
      <c r="X4881" s="4"/>
    </row>
    <row r="4882" spans="17:24" x14ac:dyDescent="0.3">
      <c r="Q4882" s="4"/>
      <c r="R4882" s="4"/>
      <c r="S4882" s="4"/>
      <c r="T4882" s="4"/>
      <c r="U4882" s="4"/>
      <c r="V4882" s="4"/>
      <c r="W4882" s="4"/>
      <c r="X4882" s="4"/>
    </row>
    <row r="4883" spans="17:24" x14ac:dyDescent="0.3">
      <c r="Q4883" s="4"/>
      <c r="R4883" s="4"/>
      <c r="S4883" s="4"/>
      <c r="T4883" s="4"/>
      <c r="U4883" s="4"/>
      <c r="V4883" s="4"/>
      <c r="W4883" s="4"/>
      <c r="X4883" s="4"/>
    </row>
    <row r="4884" spans="17:24" x14ac:dyDescent="0.3">
      <c r="Q4884" s="4"/>
      <c r="R4884" s="4"/>
      <c r="S4884" s="4"/>
      <c r="T4884" s="4"/>
      <c r="U4884" s="4"/>
      <c r="V4884" s="4"/>
      <c r="W4884" s="4"/>
      <c r="X4884" s="4"/>
    </row>
    <row r="4885" spans="17:24" x14ac:dyDescent="0.3">
      <c r="Q4885" s="4"/>
      <c r="R4885" s="4"/>
      <c r="S4885" s="4"/>
      <c r="T4885" s="4"/>
      <c r="U4885" s="4"/>
      <c r="V4885" s="4"/>
      <c r="W4885" s="4"/>
      <c r="X4885" s="4"/>
    </row>
    <row r="4886" spans="17:24" x14ac:dyDescent="0.3">
      <c r="Q4886" s="4"/>
      <c r="R4886" s="4"/>
      <c r="S4886" s="4"/>
      <c r="T4886" s="4"/>
      <c r="U4886" s="4"/>
      <c r="V4886" s="4"/>
      <c r="W4886" s="4"/>
      <c r="X4886" s="4"/>
    </row>
    <row r="4887" spans="17:24" x14ac:dyDescent="0.3">
      <c r="Q4887" s="4"/>
      <c r="R4887" s="4"/>
      <c r="S4887" s="4"/>
      <c r="T4887" s="4"/>
      <c r="U4887" s="4"/>
      <c r="V4887" s="4"/>
      <c r="W4887" s="4"/>
      <c r="X4887" s="4"/>
    </row>
    <row r="4888" spans="17:24" x14ac:dyDescent="0.3">
      <c r="Q4888" s="4"/>
      <c r="R4888" s="4"/>
      <c r="S4888" s="4"/>
      <c r="T4888" s="4"/>
      <c r="U4888" s="4"/>
      <c r="V4888" s="4"/>
      <c r="W4888" s="4"/>
      <c r="X4888" s="4"/>
    </row>
    <row r="4889" spans="17:24" x14ac:dyDescent="0.3">
      <c r="Q4889" s="4"/>
      <c r="R4889" s="4"/>
      <c r="S4889" s="4"/>
      <c r="T4889" s="4"/>
      <c r="U4889" s="4"/>
      <c r="V4889" s="4"/>
      <c r="W4889" s="4"/>
      <c r="X4889" s="4"/>
    </row>
    <row r="4890" spans="17:24" x14ac:dyDescent="0.3">
      <c r="Q4890" s="4"/>
      <c r="R4890" s="4"/>
      <c r="S4890" s="4"/>
      <c r="T4890" s="4"/>
      <c r="U4890" s="4"/>
      <c r="V4890" s="4"/>
      <c r="W4890" s="4"/>
      <c r="X4890" s="4"/>
    </row>
    <row r="4891" spans="17:24" x14ac:dyDescent="0.3">
      <c r="Q4891" s="4"/>
      <c r="R4891" s="4"/>
      <c r="S4891" s="4"/>
      <c r="T4891" s="4"/>
      <c r="U4891" s="4"/>
      <c r="V4891" s="4"/>
      <c r="W4891" s="4"/>
      <c r="X4891" s="4"/>
    </row>
    <row r="4892" spans="17:24" x14ac:dyDescent="0.3">
      <c r="Q4892" s="4"/>
      <c r="R4892" s="4"/>
      <c r="S4892" s="4"/>
      <c r="T4892" s="4"/>
      <c r="U4892" s="4"/>
      <c r="V4892" s="4"/>
      <c r="W4892" s="4"/>
      <c r="X4892" s="4"/>
    </row>
    <row r="4893" spans="17:24" x14ac:dyDescent="0.3">
      <c r="Q4893" s="4"/>
      <c r="R4893" s="4"/>
      <c r="S4893" s="4"/>
      <c r="T4893" s="4"/>
      <c r="U4893" s="4"/>
      <c r="V4893" s="4"/>
      <c r="W4893" s="4"/>
      <c r="X4893" s="4"/>
    </row>
    <row r="4894" spans="17:24" x14ac:dyDescent="0.3">
      <c r="Q4894" s="4"/>
      <c r="R4894" s="4"/>
      <c r="S4894" s="4"/>
      <c r="T4894" s="4"/>
      <c r="U4894" s="4"/>
      <c r="V4894" s="4"/>
      <c r="W4894" s="4"/>
      <c r="X4894" s="4"/>
    </row>
    <row r="4895" spans="17:24" x14ac:dyDescent="0.3">
      <c r="Q4895" s="4"/>
      <c r="R4895" s="4"/>
      <c r="S4895" s="4"/>
      <c r="T4895" s="4"/>
      <c r="U4895" s="4"/>
      <c r="V4895" s="4"/>
      <c r="W4895" s="4"/>
      <c r="X4895" s="4"/>
    </row>
    <row r="4896" spans="17:24" x14ac:dyDescent="0.3">
      <c r="Q4896" s="4"/>
      <c r="R4896" s="4"/>
      <c r="S4896" s="4"/>
      <c r="T4896" s="4"/>
      <c r="U4896" s="4"/>
      <c r="V4896" s="4"/>
      <c r="W4896" s="4"/>
      <c r="X4896" s="4"/>
    </row>
    <row r="4897" spans="17:24" x14ac:dyDescent="0.3">
      <c r="Q4897" s="4"/>
      <c r="R4897" s="4"/>
      <c r="S4897" s="4"/>
      <c r="T4897" s="4"/>
      <c r="U4897" s="4"/>
      <c r="V4897" s="4"/>
      <c r="W4897" s="4"/>
      <c r="X4897" s="4"/>
    </row>
    <row r="4898" spans="17:24" x14ac:dyDescent="0.3">
      <c r="Q4898" s="4"/>
      <c r="R4898" s="4"/>
      <c r="S4898" s="4"/>
      <c r="T4898" s="4"/>
      <c r="U4898" s="4"/>
      <c r="V4898" s="4"/>
      <c r="W4898" s="4"/>
      <c r="X4898" s="4"/>
    </row>
    <row r="4899" spans="17:24" x14ac:dyDescent="0.3">
      <c r="Q4899" s="4"/>
      <c r="R4899" s="4"/>
      <c r="S4899" s="4"/>
      <c r="T4899" s="4"/>
      <c r="U4899" s="4"/>
      <c r="V4899" s="4"/>
      <c r="W4899" s="4"/>
      <c r="X4899" s="4"/>
    </row>
    <row r="4900" spans="17:24" x14ac:dyDescent="0.3">
      <c r="Q4900" s="4"/>
      <c r="R4900" s="4"/>
      <c r="S4900" s="4"/>
      <c r="T4900" s="4"/>
      <c r="U4900" s="4"/>
      <c r="V4900" s="4"/>
      <c r="W4900" s="4"/>
      <c r="X4900" s="4"/>
    </row>
    <row r="4901" spans="17:24" x14ac:dyDescent="0.3">
      <c r="Q4901" s="4"/>
      <c r="R4901" s="4"/>
      <c r="S4901" s="4"/>
      <c r="T4901" s="4"/>
      <c r="U4901" s="4"/>
      <c r="V4901" s="4"/>
      <c r="W4901" s="4"/>
      <c r="X4901" s="4"/>
    </row>
    <row r="4902" spans="17:24" x14ac:dyDescent="0.3">
      <c r="Q4902" s="4"/>
      <c r="R4902" s="4"/>
      <c r="S4902" s="4"/>
      <c r="T4902" s="4"/>
      <c r="U4902" s="4"/>
      <c r="V4902" s="4"/>
      <c r="W4902" s="4"/>
      <c r="X4902" s="4"/>
    </row>
    <row r="4903" spans="17:24" x14ac:dyDescent="0.3">
      <c r="Q4903" s="4"/>
      <c r="R4903" s="4"/>
      <c r="S4903" s="4"/>
      <c r="T4903" s="4"/>
      <c r="U4903" s="4"/>
      <c r="V4903" s="4"/>
      <c r="W4903" s="4"/>
      <c r="X4903" s="4"/>
    </row>
    <row r="4904" spans="17:24" x14ac:dyDescent="0.3">
      <c r="Q4904" s="4"/>
      <c r="R4904" s="4"/>
      <c r="S4904" s="4"/>
      <c r="T4904" s="4"/>
      <c r="U4904" s="4"/>
      <c r="V4904" s="4"/>
      <c r="W4904" s="4"/>
      <c r="X4904" s="4"/>
    </row>
    <row r="4905" spans="17:24" x14ac:dyDescent="0.3">
      <c r="Q4905" s="4"/>
      <c r="R4905" s="4"/>
      <c r="S4905" s="4"/>
      <c r="T4905" s="4"/>
      <c r="U4905" s="4"/>
      <c r="V4905" s="4"/>
      <c r="W4905" s="4"/>
      <c r="X4905" s="4"/>
    </row>
    <row r="4906" spans="17:24" x14ac:dyDescent="0.3">
      <c r="Q4906" s="4"/>
      <c r="R4906" s="4"/>
      <c r="S4906" s="4"/>
      <c r="T4906" s="4"/>
      <c r="U4906" s="4"/>
      <c r="V4906" s="4"/>
      <c r="W4906" s="4"/>
      <c r="X4906" s="4"/>
    </row>
    <row r="4907" spans="17:24" x14ac:dyDescent="0.3">
      <c r="Q4907" s="4"/>
      <c r="R4907" s="4"/>
      <c r="S4907" s="4"/>
      <c r="T4907" s="4"/>
      <c r="U4907" s="4"/>
      <c r="V4907" s="4"/>
      <c r="W4907" s="4"/>
      <c r="X4907" s="4"/>
    </row>
    <row r="4908" spans="17:24" x14ac:dyDescent="0.3">
      <c r="Q4908" s="4"/>
      <c r="R4908" s="4"/>
      <c r="S4908" s="4"/>
      <c r="T4908" s="4"/>
      <c r="U4908" s="4"/>
      <c r="V4908" s="4"/>
      <c r="W4908" s="4"/>
      <c r="X4908" s="4"/>
    </row>
    <row r="4909" spans="17:24" x14ac:dyDescent="0.3">
      <c r="Q4909" s="4"/>
      <c r="R4909" s="4"/>
      <c r="S4909" s="4"/>
      <c r="T4909" s="4"/>
      <c r="U4909" s="4"/>
      <c r="V4909" s="4"/>
      <c r="W4909" s="4"/>
      <c r="X4909" s="4"/>
    </row>
    <row r="4910" spans="17:24" x14ac:dyDescent="0.3">
      <c r="Q4910" s="4"/>
      <c r="R4910" s="4"/>
      <c r="S4910" s="4"/>
      <c r="T4910" s="4"/>
      <c r="U4910" s="4"/>
      <c r="V4910" s="4"/>
      <c r="W4910" s="4"/>
      <c r="X4910" s="4"/>
    </row>
    <row r="4911" spans="17:24" x14ac:dyDescent="0.3">
      <c r="Q4911" s="4"/>
      <c r="R4911" s="4"/>
      <c r="S4911" s="4"/>
      <c r="T4911" s="4"/>
      <c r="U4911" s="4"/>
      <c r="V4911" s="4"/>
      <c r="W4911" s="4"/>
      <c r="X4911" s="4"/>
    </row>
    <row r="4912" spans="17:24" x14ac:dyDescent="0.3">
      <c r="Q4912" s="4"/>
      <c r="R4912" s="4"/>
      <c r="S4912" s="4"/>
      <c r="T4912" s="4"/>
      <c r="U4912" s="4"/>
      <c r="V4912" s="4"/>
      <c r="W4912" s="4"/>
      <c r="X4912" s="4"/>
    </row>
    <row r="4913" spans="17:24" x14ac:dyDescent="0.3">
      <c r="Q4913" s="4"/>
      <c r="R4913" s="4"/>
      <c r="S4913" s="4"/>
      <c r="T4913" s="4"/>
      <c r="U4913" s="4"/>
      <c r="V4913" s="4"/>
      <c r="W4913" s="4"/>
      <c r="X4913" s="4"/>
    </row>
    <row r="4914" spans="17:24" x14ac:dyDescent="0.3">
      <c r="Q4914" s="4"/>
      <c r="R4914" s="4"/>
      <c r="S4914" s="4"/>
      <c r="T4914" s="4"/>
      <c r="U4914" s="4"/>
      <c r="V4914" s="4"/>
      <c r="W4914" s="4"/>
      <c r="X4914" s="4"/>
    </row>
    <row r="4915" spans="17:24" x14ac:dyDescent="0.3">
      <c r="Q4915" s="4"/>
      <c r="R4915" s="4"/>
      <c r="S4915" s="4"/>
      <c r="T4915" s="4"/>
      <c r="U4915" s="4"/>
      <c r="V4915" s="4"/>
      <c r="W4915" s="4"/>
      <c r="X4915" s="4"/>
    </row>
    <row r="4916" spans="17:24" x14ac:dyDescent="0.3">
      <c r="Q4916" s="4"/>
      <c r="R4916" s="4"/>
      <c r="S4916" s="4"/>
      <c r="T4916" s="4"/>
      <c r="U4916" s="4"/>
      <c r="V4916" s="4"/>
      <c r="W4916" s="4"/>
      <c r="X4916" s="4"/>
    </row>
    <row r="4917" spans="17:24" x14ac:dyDescent="0.3">
      <c r="Q4917" s="4"/>
      <c r="R4917" s="4"/>
      <c r="S4917" s="4"/>
      <c r="T4917" s="4"/>
      <c r="U4917" s="4"/>
      <c r="V4917" s="4"/>
      <c r="W4917" s="4"/>
      <c r="X4917" s="4"/>
    </row>
    <row r="4918" spans="17:24" x14ac:dyDescent="0.3">
      <c r="Q4918" s="4"/>
      <c r="R4918" s="4"/>
      <c r="S4918" s="4"/>
      <c r="T4918" s="4"/>
      <c r="U4918" s="4"/>
      <c r="V4918" s="4"/>
      <c r="W4918" s="4"/>
      <c r="X4918" s="4"/>
    </row>
    <row r="4919" spans="17:24" x14ac:dyDescent="0.3">
      <c r="Q4919" s="4"/>
      <c r="R4919" s="4"/>
      <c r="S4919" s="4"/>
      <c r="T4919" s="4"/>
      <c r="U4919" s="4"/>
      <c r="V4919" s="4"/>
      <c r="W4919" s="4"/>
      <c r="X4919" s="4"/>
    </row>
    <row r="4920" spans="17:24" x14ac:dyDescent="0.3">
      <c r="Q4920" s="4"/>
      <c r="R4920" s="4"/>
      <c r="S4920" s="4"/>
      <c r="T4920" s="4"/>
      <c r="U4920" s="4"/>
      <c r="V4920" s="4"/>
      <c r="W4920" s="4"/>
      <c r="X4920" s="4"/>
    </row>
    <row r="4921" spans="17:24" x14ac:dyDescent="0.3">
      <c r="Q4921" s="4"/>
      <c r="R4921" s="4"/>
      <c r="S4921" s="4"/>
      <c r="T4921" s="4"/>
      <c r="U4921" s="4"/>
      <c r="V4921" s="4"/>
      <c r="W4921" s="4"/>
      <c r="X4921" s="4"/>
    </row>
    <row r="4922" spans="17:24" x14ac:dyDescent="0.3">
      <c r="Q4922" s="4"/>
      <c r="R4922" s="4"/>
      <c r="S4922" s="4"/>
      <c r="T4922" s="4"/>
      <c r="U4922" s="4"/>
      <c r="V4922" s="4"/>
      <c r="W4922" s="4"/>
      <c r="X4922" s="4"/>
    </row>
    <row r="4923" spans="17:24" x14ac:dyDescent="0.3">
      <c r="Q4923" s="4"/>
      <c r="R4923" s="4"/>
      <c r="S4923" s="4"/>
      <c r="T4923" s="4"/>
      <c r="U4923" s="4"/>
      <c r="V4923" s="4"/>
      <c r="W4923" s="4"/>
      <c r="X4923" s="4"/>
    </row>
    <row r="4924" spans="17:24" x14ac:dyDescent="0.3">
      <c r="Q4924" s="4"/>
      <c r="R4924" s="4"/>
      <c r="S4924" s="4"/>
      <c r="T4924" s="4"/>
      <c r="U4924" s="4"/>
      <c r="V4924" s="4"/>
      <c r="W4924" s="4"/>
      <c r="X4924" s="4"/>
    </row>
    <row r="4925" spans="17:24" x14ac:dyDescent="0.3">
      <c r="Q4925" s="4"/>
      <c r="R4925" s="4"/>
      <c r="S4925" s="4"/>
      <c r="T4925" s="4"/>
      <c r="U4925" s="4"/>
      <c r="V4925" s="4"/>
      <c r="W4925" s="4"/>
      <c r="X4925" s="4"/>
    </row>
    <row r="4926" spans="17:24" x14ac:dyDescent="0.3">
      <c r="Q4926" s="4"/>
      <c r="R4926" s="4"/>
      <c r="S4926" s="4"/>
      <c r="T4926" s="4"/>
      <c r="U4926" s="4"/>
      <c r="V4926" s="4"/>
      <c r="W4926" s="4"/>
      <c r="X4926" s="4"/>
    </row>
    <row r="4927" spans="17:24" x14ac:dyDescent="0.3">
      <c r="Q4927" s="4"/>
      <c r="R4927" s="4"/>
      <c r="S4927" s="4"/>
      <c r="T4927" s="4"/>
      <c r="U4927" s="4"/>
      <c r="V4927" s="4"/>
      <c r="W4927" s="4"/>
      <c r="X4927" s="4"/>
    </row>
    <row r="4928" spans="17:24" x14ac:dyDescent="0.3">
      <c r="Q4928" s="4"/>
      <c r="R4928" s="4"/>
      <c r="S4928" s="4"/>
      <c r="T4928" s="4"/>
      <c r="U4928" s="4"/>
      <c r="V4928" s="4"/>
      <c r="W4928" s="4"/>
      <c r="X4928" s="4"/>
    </row>
    <row r="4929" spans="17:24" x14ac:dyDescent="0.3">
      <c r="Q4929" s="4"/>
      <c r="R4929" s="4"/>
      <c r="S4929" s="4"/>
      <c r="T4929" s="4"/>
      <c r="U4929" s="4"/>
      <c r="V4929" s="4"/>
      <c r="W4929" s="4"/>
      <c r="X4929" s="4"/>
    </row>
    <row r="4930" spans="17:24" x14ac:dyDescent="0.3">
      <c r="Q4930" s="4"/>
      <c r="R4930" s="4"/>
      <c r="S4930" s="4"/>
      <c r="T4930" s="4"/>
      <c r="U4930" s="4"/>
      <c r="V4930" s="4"/>
      <c r="W4930" s="4"/>
      <c r="X4930" s="4"/>
    </row>
    <row r="4931" spans="17:24" x14ac:dyDescent="0.3">
      <c r="Q4931" s="4"/>
      <c r="R4931" s="4"/>
      <c r="S4931" s="4"/>
      <c r="T4931" s="4"/>
      <c r="U4931" s="4"/>
      <c r="V4931" s="4"/>
      <c r="W4931" s="4"/>
      <c r="X4931" s="4"/>
    </row>
    <row r="4932" spans="17:24" x14ac:dyDescent="0.3">
      <c r="Q4932" s="4"/>
      <c r="R4932" s="4"/>
      <c r="S4932" s="4"/>
      <c r="T4932" s="4"/>
      <c r="U4932" s="4"/>
      <c r="V4932" s="4"/>
      <c r="W4932" s="4"/>
      <c r="X4932" s="4"/>
    </row>
    <row r="4933" spans="17:24" x14ac:dyDescent="0.3">
      <c r="Q4933" s="4"/>
      <c r="R4933" s="4"/>
      <c r="S4933" s="4"/>
      <c r="T4933" s="4"/>
      <c r="U4933" s="4"/>
      <c r="V4933" s="4"/>
      <c r="W4933" s="4"/>
      <c r="X4933" s="4"/>
    </row>
    <row r="4934" spans="17:24" x14ac:dyDescent="0.3">
      <c r="Q4934" s="4"/>
      <c r="R4934" s="4"/>
      <c r="S4934" s="4"/>
      <c r="T4934" s="4"/>
      <c r="U4934" s="4"/>
      <c r="V4934" s="4"/>
      <c r="W4934" s="4"/>
      <c r="X4934" s="4"/>
    </row>
    <row r="4935" spans="17:24" x14ac:dyDescent="0.3">
      <c r="Q4935" s="4"/>
      <c r="R4935" s="4"/>
      <c r="S4935" s="4"/>
      <c r="T4935" s="4"/>
      <c r="U4935" s="4"/>
      <c r="V4935" s="4"/>
      <c r="W4935" s="4"/>
      <c r="X4935" s="4"/>
    </row>
    <row r="4936" spans="17:24" x14ac:dyDescent="0.3">
      <c r="Q4936" s="4"/>
      <c r="R4936" s="4"/>
      <c r="S4936" s="4"/>
      <c r="T4936" s="4"/>
      <c r="U4936" s="4"/>
      <c r="V4936" s="4"/>
      <c r="W4936" s="4"/>
      <c r="X4936" s="4"/>
    </row>
    <row r="4937" spans="17:24" x14ac:dyDescent="0.3">
      <c r="Q4937" s="4"/>
      <c r="R4937" s="4"/>
      <c r="S4937" s="4"/>
      <c r="T4937" s="4"/>
      <c r="U4937" s="4"/>
      <c r="V4937" s="4"/>
      <c r="W4937" s="4"/>
      <c r="X4937" s="4"/>
    </row>
    <row r="4938" spans="17:24" x14ac:dyDescent="0.3">
      <c r="Q4938" s="4"/>
      <c r="R4938" s="4"/>
      <c r="S4938" s="4"/>
      <c r="T4938" s="4"/>
      <c r="U4938" s="4"/>
      <c r="V4938" s="4"/>
      <c r="W4938" s="4"/>
      <c r="X4938" s="4"/>
    </row>
    <row r="4939" spans="17:24" x14ac:dyDescent="0.3">
      <c r="Q4939" s="4"/>
      <c r="R4939" s="4"/>
      <c r="S4939" s="4"/>
      <c r="T4939" s="4"/>
      <c r="U4939" s="4"/>
      <c r="V4939" s="4"/>
      <c r="W4939" s="4"/>
      <c r="X4939" s="4"/>
    </row>
    <row r="4940" spans="17:24" x14ac:dyDescent="0.3">
      <c r="Q4940" s="4"/>
      <c r="R4940" s="4"/>
      <c r="S4940" s="4"/>
      <c r="T4940" s="4"/>
      <c r="U4940" s="4"/>
      <c r="V4940" s="4"/>
      <c r="W4940" s="4"/>
      <c r="X4940" s="4"/>
    </row>
    <row r="4941" spans="17:24" x14ac:dyDescent="0.3">
      <c r="Q4941" s="4"/>
      <c r="R4941" s="4"/>
      <c r="S4941" s="4"/>
      <c r="T4941" s="4"/>
      <c r="U4941" s="4"/>
      <c r="V4941" s="4"/>
      <c r="W4941" s="4"/>
      <c r="X4941" s="4"/>
    </row>
    <row r="4942" spans="17:24" x14ac:dyDescent="0.3">
      <c r="Q4942" s="4"/>
      <c r="R4942" s="4"/>
      <c r="S4942" s="4"/>
      <c r="T4942" s="4"/>
      <c r="U4942" s="4"/>
      <c r="V4942" s="4"/>
      <c r="W4942" s="4"/>
      <c r="X4942" s="4"/>
    </row>
    <row r="4943" spans="17:24" x14ac:dyDescent="0.3">
      <c r="Q4943" s="4"/>
      <c r="R4943" s="4"/>
      <c r="S4943" s="4"/>
      <c r="T4943" s="4"/>
      <c r="U4943" s="4"/>
      <c r="V4943" s="4"/>
      <c r="W4943" s="4"/>
      <c r="X4943" s="4"/>
    </row>
    <row r="4944" spans="17:24" x14ac:dyDescent="0.3">
      <c r="Q4944" s="4"/>
      <c r="R4944" s="4"/>
      <c r="S4944" s="4"/>
      <c r="T4944" s="4"/>
      <c r="U4944" s="4"/>
      <c r="V4944" s="4"/>
      <c r="W4944" s="4"/>
      <c r="X4944" s="4"/>
    </row>
    <row r="4945" spans="17:24" x14ac:dyDescent="0.3">
      <c r="Q4945" s="4"/>
      <c r="R4945" s="4"/>
      <c r="S4945" s="4"/>
      <c r="T4945" s="4"/>
      <c r="U4945" s="4"/>
      <c r="V4945" s="4"/>
      <c r="W4945" s="4"/>
      <c r="X4945" s="4"/>
    </row>
    <row r="4946" spans="17:24" x14ac:dyDescent="0.3">
      <c r="Q4946" s="4"/>
      <c r="R4946" s="4"/>
      <c r="S4946" s="4"/>
      <c r="T4946" s="4"/>
      <c r="U4946" s="4"/>
      <c r="V4946" s="4"/>
      <c r="W4946" s="4"/>
      <c r="X4946" s="4"/>
    </row>
    <row r="4947" spans="17:24" x14ac:dyDescent="0.3">
      <c r="Q4947" s="4"/>
      <c r="R4947" s="4"/>
      <c r="S4947" s="4"/>
      <c r="T4947" s="4"/>
      <c r="U4947" s="4"/>
      <c r="V4947" s="4"/>
      <c r="W4947" s="4"/>
      <c r="X4947" s="4"/>
    </row>
    <row r="4948" spans="17:24" x14ac:dyDescent="0.3">
      <c r="Q4948" s="4"/>
      <c r="R4948" s="4"/>
      <c r="S4948" s="4"/>
      <c r="T4948" s="4"/>
      <c r="U4948" s="4"/>
      <c r="V4948" s="4"/>
      <c r="W4948" s="4"/>
      <c r="X4948" s="4"/>
    </row>
    <row r="4949" spans="17:24" x14ac:dyDescent="0.3">
      <c r="Q4949" s="4"/>
      <c r="R4949" s="4"/>
      <c r="S4949" s="4"/>
      <c r="T4949" s="4"/>
      <c r="U4949" s="4"/>
      <c r="V4949" s="4"/>
      <c r="W4949" s="4"/>
      <c r="X4949" s="4"/>
    </row>
    <row r="4950" spans="17:24" x14ac:dyDescent="0.3">
      <c r="Q4950" s="4"/>
      <c r="R4950" s="4"/>
      <c r="S4950" s="4"/>
      <c r="T4950" s="4"/>
      <c r="U4950" s="4"/>
      <c r="V4950" s="4"/>
      <c r="W4950" s="4"/>
      <c r="X4950" s="4"/>
    </row>
    <row r="4951" spans="17:24" x14ac:dyDescent="0.3">
      <c r="Q4951" s="4"/>
      <c r="R4951" s="4"/>
      <c r="S4951" s="4"/>
      <c r="T4951" s="4"/>
      <c r="U4951" s="4"/>
      <c r="V4951" s="4"/>
      <c r="W4951" s="4"/>
      <c r="X4951" s="4"/>
    </row>
    <row r="4952" spans="17:24" x14ac:dyDescent="0.3">
      <c r="Q4952" s="4"/>
      <c r="R4952" s="4"/>
      <c r="S4952" s="4"/>
      <c r="T4952" s="4"/>
      <c r="U4952" s="4"/>
      <c r="V4952" s="4"/>
      <c r="W4952" s="4"/>
      <c r="X4952" s="4"/>
    </row>
    <row r="4953" spans="17:24" x14ac:dyDescent="0.3">
      <c r="Q4953" s="4"/>
      <c r="R4953" s="4"/>
      <c r="S4953" s="4"/>
      <c r="T4953" s="4"/>
      <c r="U4953" s="4"/>
      <c r="V4953" s="4"/>
      <c r="W4953" s="4"/>
      <c r="X4953" s="4"/>
    </row>
    <row r="4954" spans="17:24" x14ac:dyDescent="0.3">
      <c r="Q4954" s="4"/>
      <c r="R4954" s="4"/>
      <c r="S4954" s="4"/>
      <c r="T4954" s="4"/>
      <c r="U4954" s="4"/>
      <c r="V4954" s="4"/>
      <c r="W4954" s="4"/>
      <c r="X4954" s="4"/>
    </row>
    <row r="4955" spans="17:24" x14ac:dyDescent="0.3">
      <c r="Q4955" s="4"/>
      <c r="R4955" s="4"/>
      <c r="S4955" s="4"/>
      <c r="T4955" s="4"/>
      <c r="U4955" s="4"/>
      <c r="V4955" s="4"/>
      <c r="W4955" s="4"/>
      <c r="X4955" s="4"/>
    </row>
    <row r="4956" spans="17:24" x14ac:dyDescent="0.3">
      <c r="Q4956" s="4"/>
      <c r="R4956" s="4"/>
      <c r="S4956" s="4"/>
      <c r="T4956" s="4"/>
      <c r="U4956" s="4"/>
      <c r="V4956" s="4"/>
      <c r="W4956" s="4"/>
      <c r="X4956" s="4"/>
    </row>
    <row r="4957" spans="17:24" x14ac:dyDescent="0.3">
      <c r="Q4957" s="4"/>
      <c r="R4957" s="4"/>
      <c r="S4957" s="4"/>
      <c r="T4957" s="4"/>
      <c r="U4957" s="4"/>
      <c r="V4957" s="4"/>
      <c r="W4957" s="4"/>
      <c r="X4957" s="4"/>
    </row>
    <row r="4958" spans="17:24" x14ac:dyDescent="0.3">
      <c r="Q4958" s="4"/>
      <c r="R4958" s="4"/>
      <c r="S4958" s="4"/>
      <c r="T4958" s="4"/>
      <c r="U4958" s="4"/>
      <c r="V4958" s="4"/>
      <c r="W4958" s="4"/>
      <c r="X4958" s="4"/>
    </row>
    <row r="4959" spans="17:24" x14ac:dyDescent="0.3">
      <c r="Q4959" s="4"/>
      <c r="R4959" s="4"/>
      <c r="S4959" s="4"/>
      <c r="T4959" s="4"/>
      <c r="U4959" s="4"/>
      <c r="V4959" s="4"/>
      <c r="W4959" s="4"/>
      <c r="X4959" s="4"/>
    </row>
    <row r="4960" spans="17:24" x14ac:dyDescent="0.3">
      <c r="Q4960" s="4"/>
      <c r="R4960" s="4"/>
      <c r="S4960" s="4"/>
      <c r="T4960" s="4"/>
      <c r="U4960" s="4"/>
      <c r="V4960" s="4"/>
      <c r="W4960" s="4"/>
      <c r="X4960" s="4"/>
    </row>
    <row r="4961" spans="17:24" x14ac:dyDescent="0.3">
      <c r="Q4961" s="4"/>
      <c r="R4961" s="4"/>
      <c r="S4961" s="4"/>
      <c r="T4961" s="4"/>
      <c r="U4961" s="4"/>
      <c r="V4961" s="4"/>
      <c r="W4961" s="4"/>
      <c r="X4961" s="4"/>
    </row>
    <row r="4962" spans="17:24" x14ac:dyDescent="0.3">
      <c r="Q4962" s="4"/>
      <c r="R4962" s="4"/>
      <c r="S4962" s="4"/>
      <c r="T4962" s="4"/>
      <c r="U4962" s="4"/>
      <c r="V4962" s="4"/>
      <c r="W4962" s="4"/>
      <c r="X4962" s="4"/>
    </row>
    <row r="4963" spans="17:24" x14ac:dyDescent="0.3">
      <c r="Q4963" s="4"/>
      <c r="R4963" s="4"/>
      <c r="S4963" s="4"/>
      <c r="T4963" s="4"/>
      <c r="U4963" s="4"/>
      <c r="V4963" s="4"/>
      <c r="W4963" s="4"/>
      <c r="X4963" s="4"/>
    </row>
    <row r="4964" spans="17:24" x14ac:dyDescent="0.3">
      <c r="Q4964" s="4"/>
      <c r="R4964" s="4"/>
      <c r="S4964" s="4"/>
      <c r="T4964" s="4"/>
      <c r="U4964" s="4"/>
      <c r="V4964" s="4"/>
      <c r="W4964" s="4"/>
      <c r="X4964" s="4"/>
    </row>
    <row r="4965" spans="17:24" x14ac:dyDescent="0.3">
      <c r="Q4965" s="4"/>
      <c r="R4965" s="4"/>
      <c r="S4965" s="4"/>
      <c r="T4965" s="4"/>
      <c r="U4965" s="4"/>
      <c r="V4965" s="4"/>
      <c r="W4965" s="4"/>
      <c r="X4965" s="4"/>
    </row>
    <row r="4966" spans="17:24" x14ac:dyDescent="0.3">
      <c r="Q4966" s="4"/>
      <c r="R4966" s="4"/>
      <c r="S4966" s="4"/>
      <c r="T4966" s="4"/>
      <c r="U4966" s="4"/>
      <c r="V4966" s="4"/>
      <c r="W4966" s="4"/>
      <c r="X4966" s="4"/>
    </row>
    <row r="4967" spans="17:24" x14ac:dyDescent="0.3">
      <c r="Q4967" s="4"/>
      <c r="R4967" s="4"/>
      <c r="S4967" s="4"/>
      <c r="T4967" s="4"/>
      <c r="U4967" s="4"/>
      <c r="V4967" s="4"/>
      <c r="W4967" s="4"/>
      <c r="X4967" s="4"/>
    </row>
    <row r="4968" spans="17:24" x14ac:dyDescent="0.3">
      <c r="Q4968" s="4"/>
      <c r="R4968" s="4"/>
      <c r="S4968" s="4"/>
      <c r="T4968" s="4"/>
      <c r="U4968" s="4"/>
      <c r="V4968" s="4"/>
      <c r="W4968" s="4"/>
      <c r="X4968" s="4"/>
    </row>
    <row r="4969" spans="17:24" x14ac:dyDescent="0.3">
      <c r="Q4969" s="4"/>
      <c r="R4969" s="4"/>
      <c r="S4969" s="4"/>
      <c r="T4969" s="4"/>
      <c r="U4969" s="4"/>
      <c r="V4969" s="4"/>
      <c r="W4969" s="4"/>
      <c r="X4969" s="4"/>
    </row>
    <row r="4970" spans="17:24" x14ac:dyDescent="0.3">
      <c r="Q4970" s="4"/>
      <c r="R4970" s="4"/>
      <c r="S4970" s="4"/>
      <c r="T4970" s="4"/>
      <c r="U4970" s="4"/>
      <c r="V4970" s="4"/>
      <c r="W4970" s="4"/>
      <c r="X4970" s="4"/>
    </row>
    <row r="4971" spans="17:24" x14ac:dyDescent="0.3">
      <c r="Q4971" s="4"/>
      <c r="R4971" s="4"/>
      <c r="S4971" s="4"/>
      <c r="T4971" s="4"/>
      <c r="U4971" s="4"/>
      <c r="V4971" s="4"/>
      <c r="W4971" s="4"/>
      <c r="X4971" s="4"/>
    </row>
    <row r="4972" spans="17:24" x14ac:dyDescent="0.3">
      <c r="Q4972" s="4"/>
      <c r="R4972" s="4"/>
      <c r="S4972" s="4"/>
      <c r="T4972" s="4"/>
      <c r="U4972" s="4"/>
      <c r="V4972" s="4"/>
      <c r="W4972" s="4"/>
      <c r="X4972" s="4"/>
    </row>
    <row r="4973" spans="17:24" x14ac:dyDescent="0.3">
      <c r="Q4973" s="4"/>
      <c r="R4973" s="4"/>
      <c r="S4973" s="4"/>
      <c r="T4973" s="4"/>
      <c r="U4973" s="4"/>
      <c r="V4973" s="4"/>
      <c r="W4973" s="4"/>
      <c r="X4973" s="4"/>
    </row>
    <row r="4974" spans="17:24" x14ac:dyDescent="0.3">
      <c r="Q4974" s="4"/>
      <c r="R4974" s="4"/>
      <c r="S4974" s="4"/>
      <c r="T4974" s="4"/>
      <c r="U4974" s="4"/>
      <c r="V4974" s="4"/>
      <c r="W4974" s="4"/>
      <c r="X4974" s="4"/>
    </row>
    <row r="4975" spans="17:24" x14ac:dyDescent="0.3">
      <c r="Q4975" s="4"/>
      <c r="R4975" s="4"/>
      <c r="S4975" s="4"/>
      <c r="T4975" s="4"/>
      <c r="U4975" s="4"/>
      <c r="V4975" s="4"/>
      <c r="W4975" s="4"/>
      <c r="X4975" s="4"/>
    </row>
    <row r="4976" spans="17:24" x14ac:dyDescent="0.3">
      <c r="Q4976" s="4"/>
      <c r="R4976" s="4"/>
      <c r="S4976" s="4"/>
      <c r="T4976" s="4"/>
      <c r="U4976" s="4"/>
      <c r="V4976" s="4"/>
      <c r="W4976" s="4"/>
      <c r="X4976" s="4"/>
    </row>
    <row r="4977" spans="17:24" x14ac:dyDescent="0.3">
      <c r="Q4977" s="4"/>
      <c r="R4977" s="4"/>
      <c r="S4977" s="4"/>
      <c r="T4977" s="4"/>
      <c r="U4977" s="4"/>
      <c r="V4977" s="4"/>
      <c r="W4977" s="4"/>
      <c r="X4977" s="4"/>
    </row>
    <row r="4978" spans="17:24" x14ac:dyDescent="0.3">
      <c r="Q4978" s="4"/>
      <c r="R4978" s="4"/>
      <c r="S4978" s="4"/>
      <c r="T4978" s="4"/>
      <c r="U4978" s="4"/>
      <c r="V4978" s="4"/>
      <c r="W4978" s="4"/>
      <c r="X4978" s="4"/>
    </row>
    <row r="4979" spans="17:24" x14ac:dyDescent="0.3">
      <c r="Q4979" s="4"/>
      <c r="R4979" s="4"/>
      <c r="S4979" s="4"/>
      <c r="T4979" s="4"/>
      <c r="U4979" s="4"/>
      <c r="V4979" s="4"/>
      <c r="W4979" s="4"/>
      <c r="X4979" s="4"/>
    </row>
    <row r="4980" spans="17:24" x14ac:dyDescent="0.3">
      <c r="Q4980" s="4"/>
      <c r="R4980" s="4"/>
      <c r="S4980" s="4"/>
      <c r="T4980" s="4"/>
      <c r="U4980" s="4"/>
      <c r="V4980" s="4"/>
      <c r="W4980" s="4"/>
      <c r="X4980" s="4"/>
    </row>
    <row r="4981" spans="17:24" x14ac:dyDescent="0.3">
      <c r="Q4981" s="4"/>
      <c r="R4981" s="4"/>
      <c r="S4981" s="4"/>
      <c r="T4981" s="4"/>
      <c r="U4981" s="4"/>
      <c r="V4981" s="4"/>
      <c r="W4981" s="4"/>
      <c r="X4981" s="4"/>
    </row>
    <row r="4982" spans="17:24" x14ac:dyDescent="0.3">
      <c r="Q4982" s="4"/>
      <c r="R4982" s="4"/>
      <c r="S4982" s="4"/>
      <c r="T4982" s="4"/>
      <c r="U4982" s="4"/>
      <c r="V4982" s="4"/>
      <c r="W4982" s="4"/>
      <c r="X4982" s="4"/>
    </row>
    <row r="4983" spans="17:24" x14ac:dyDescent="0.3">
      <c r="Q4983" s="4"/>
      <c r="R4983" s="4"/>
      <c r="S4983" s="4"/>
      <c r="T4983" s="4"/>
      <c r="U4983" s="4"/>
      <c r="V4983" s="4"/>
      <c r="W4983" s="4"/>
      <c r="X4983" s="4"/>
    </row>
    <row r="4984" spans="17:24" x14ac:dyDescent="0.3">
      <c r="Q4984" s="4"/>
      <c r="R4984" s="4"/>
      <c r="S4984" s="4"/>
      <c r="T4984" s="4"/>
      <c r="U4984" s="4"/>
      <c r="V4984" s="4"/>
      <c r="W4984" s="4"/>
      <c r="X4984" s="4"/>
    </row>
    <row r="4985" spans="17:24" x14ac:dyDescent="0.3">
      <c r="Q4985" s="4"/>
      <c r="R4985" s="4"/>
      <c r="S4985" s="4"/>
      <c r="T4985" s="4"/>
      <c r="U4985" s="4"/>
      <c r="V4985" s="4"/>
      <c r="W4985" s="4"/>
      <c r="X4985" s="4"/>
    </row>
    <row r="4986" spans="17:24" x14ac:dyDescent="0.3">
      <c r="Q4986" s="4"/>
      <c r="R4986" s="4"/>
      <c r="S4986" s="4"/>
      <c r="T4986" s="4"/>
      <c r="U4986" s="4"/>
      <c r="V4986" s="4"/>
      <c r="W4986" s="4"/>
      <c r="X4986" s="4"/>
    </row>
    <row r="4987" spans="17:24" x14ac:dyDescent="0.3">
      <c r="Q4987" s="4"/>
      <c r="R4987" s="4"/>
      <c r="S4987" s="4"/>
      <c r="T4987" s="4"/>
      <c r="U4987" s="4"/>
      <c r="V4987" s="4"/>
      <c r="W4987" s="4"/>
      <c r="X4987" s="4"/>
    </row>
    <row r="4988" spans="17:24" x14ac:dyDescent="0.3">
      <c r="Q4988" s="4"/>
      <c r="R4988" s="4"/>
      <c r="S4988" s="4"/>
      <c r="T4988" s="4"/>
      <c r="U4988" s="4"/>
      <c r="V4988" s="4"/>
      <c r="W4988" s="4"/>
      <c r="X4988" s="4"/>
    </row>
    <row r="4989" spans="17:24" x14ac:dyDescent="0.3">
      <c r="Q4989" s="4"/>
      <c r="R4989" s="4"/>
      <c r="S4989" s="4"/>
      <c r="T4989" s="4"/>
      <c r="U4989" s="4"/>
      <c r="V4989" s="4"/>
      <c r="W4989" s="4"/>
      <c r="X4989" s="4"/>
    </row>
    <row r="4990" spans="17:24" x14ac:dyDescent="0.3">
      <c r="Q4990" s="4"/>
      <c r="R4990" s="4"/>
      <c r="S4990" s="4"/>
      <c r="T4990" s="4"/>
      <c r="U4990" s="4"/>
      <c r="V4990" s="4"/>
      <c r="W4990" s="4"/>
      <c r="X4990" s="4"/>
    </row>
    <row r="4991" spans="17:24" x14ac:dyDescent="0.3">
      <c r="Q4991" s="4"/>
      <c r="R4991" s="4"/>
      <c r="S4991" s="4"/>
      <c r="T4991" s="4"/>
      <c r="U4991" s="4"/>
      <c r="V4991" s="4"/>
      <c r="W4991" s="4"/>
      <c r="X4991" s="4"/>
    </row>
    <row r="4992" spans="17:24" x14ac:dyDescent="0.3">
      <c r="Q4992" s="4"/>
      <c r="R4992" s="4"/>
      <c r="S4992" s="4"/>
      <c r="T4992" s="4"/>
      <c r="U4992" s="4"/>
      <c r="V4992" s="4"/>
      <c r="W4992" s="4"/>
      <c r="X4992" s="4"/>
    </row>
    <row r="4993" spans="17:24" x14ac:dyDescent="0.3">
      <c r="Q4993" s="4"/>
      <c r="R4993" s="4"/>
      <c r="S4993" s="4"/>
      <c r="T4993" s="4"/>
      <c r="U4993" s="4"/>
      <c r="V4993" s="4"/>
      <c r="W4993" s="4"/>
      <c r="X4993" s="4"/>
    </row>
    <row r="4994" spans="17:24" x14ac:dyDescent="0.3">
      <c r="Q4994" s="4"/>
      <c r="R4994" s="4"/>
      <c r="S4994" s="4"/>
      <c r="T4994" s="4"/>
      <c r="U4994" s="4"/>
      <c r="V4994" s="4"/>
      <c r="W4994" s="4"/>
      <c r="X4994" s="4"/>
    </row>
    <row r="4995" spans="17:24" x14ac:dyDescent="0.3">
      <c r="Q4995" s="4"/>
      <c r="R4995" s="4"/>
      <c r="S4995" s="4"/>
      <c r="T4995" s="4"/>
      <c r="U4995" s="4"/>
      <c r="V4995" s="4"/>
      <c r="W4995" s="4"/>
      <c r="X4995" s="4"/>
    </row>
    <row r="4996" spans="17:24" x14ac:dyDescent="0.3">
      <c r="Q4996" s="4"/>
      <c r="R4996" s="4"/>
      <c r="S4996" s="4"/>
      <c r="T4996" s="4"/>
      <c r="U4996" s="4"/>
      <c r="V4996" s="4"/>
      <c r="W4996" s="4"/>
      <c r="X4996" s="4"/>
    </row>
    <row r="4997" spans="17:24" x14ac:dyDescent="0.3">
      <c r="Q4997" s="4"/>
      <c r="R4997" s="4"/>
      <c r="S4997" s="4"/>
      <c r="T4997" s="4"/>
      <c r="U4997" s="4"/>
      <c r="V4997" s="4"/>
      <c r="W4997" s="4"/>
      <c r="X4997" s="4"/>
    </row>
    <row r="4998" spans="17:24" x14ac:dyDescent="0.3">
      <c r="Q4998" s="4"/>
      <c r="R4998" s="4"/>
      <c r="S4998" s="4"/>
      <c r="T4998" s="4"/>
      <c r="U4998" s="4"/>
      <c r="V4998" s="4"/>
      <c r="W4998" s="4"/>
      <c r="X4998" s="4"/>
    </row>
    <row r="4999" spans="17:24" x14ac:dyDescent="0.3">
      <c r="Q4999" s="4"/>
      <c r="R4999" s="4"/>
      <c r="S4999" s="4"/>
      <c r="T4999" s="4"/>
      <c r="U4999" s="4"/>
      <c r="V4999" s="4"/>
      <c r="W4999" s="4"/>
      <c r="X4999" s="4"/>
    </row>
    <row r="5000" spans="17:24" x14ac:dyDescent="0.3">
      <c r="Q5000" s="4"/>
      <c r="R5000" s="4"/>
      <c r="S5000" s="4"/>
      <c r="T5000" s="4"/>
      <c r="U5000" s="4"/>
      <c r="V5000" s="4"/>
      <c r="W5000" s="4"/>
      <c r="X5000" s="4"/>
    </row>
    <row r="5001" spans="17:24" x14ac:dyDescent="0.3">
      <c r="Q5001" s="4"/>
      <c r="R5001" s="4"/>
      <c r="S5001" s="4"/>
      <c r="T5001" s="4"/>
      <c r="U5001" s="4"/>
      <c r="V5001" s="4"/>
      <c r="W5001" s="4"/>
      <c r="X5001" s="4"/>
    </row>
    <row r="5002" spans="17:24" x14ac:dyDescent="0.3">
      <c r="Q5002" s="4"/>
      <c r="R5002" s="4"/>
      <c r="S5002" s="4"/>
      <c r="T5002" s="4"/>
      <c r="U5002" s="4"/>
      <c r="V5002" s="4"/>
      <c r="W5002" s="4"/>
      <c r="X5002" s="4"/>
    </row>
    <row r="5003" spans="17:24" x14ac:dyDescent="0.3">
      <c r="Q5003" s="4"/>
      <c r="R5003" s="4"/>
      <c r="S5003" s="4"/>
      <c r="T5003" s="4"/>
      <c r="U5003" s="4"/>
      <c r="V5003" s="4"/>
      <c r="W5003" s="4"/>
      <c r="X5003" s="4"/>
    </row>
    <row r="5004" spans="17:24" x14ac:dyDescent="0.3">
      <c r="Q5004" s="4"/>
      <c r="R5004" s="4"/>
      <c r="S5004" s="4"/>
      <c r="T5004" s="4"/>
      <c r="U5004" s="4"/>
      <c r="V5004" s="4"/>
      <c r="W5004" s="4"/>
      <c r="X5004" s="4"/>
    </row>
    <row r="5005" spans="17:24" x14ac:dyDescent="0.3">
      <c r="Q5005" s="4"/>
      <c r="R5005" s="4"/>
      <c r="S5005" s="4"/>
      <c r="T5005" s="4"/>
      <c r="U5005" s="4"/>
      <c r="V5005" s="4"/>
      <c r="W5005" s="4"/>
      <c r="X5005" s="4"/>
    </row>
    <row r="5006" spans="17:24" x14ac:dyDescent="0.3">
      <c r="Q5006" s="4"/>
      <c r="R5006" s="4"/>
      <c r="S5006" s="4"/>
      <c r="T5006" s="4"/>
      <c r="U5006" s="4"/>
      <c r="V5006" s="4"/>
      <c r="W5006" s="4"/>
      <c r="X5006" s="4"/>
    </row>
    <row r="5007" spans="17:24" x14ac:dyDescent="0.3">
      <c r="Q5007" s="4"/>
      <c r="R5007" s="4"/>
      <c r="S5007" s="4"/>
      <c r="T5007" s="4"/>
      <c r="U5007" s="4"/>
      <c r="V5007" s="4"/>
      <c r="W5007" s="4"/>
      <c r="X5007" s="4"/>
    </row>
    <row r="5008" spans="17:24" x14ac:dyDescent="0.3">
      <c r="Q5008" s="4"/>
      <c r="R5008" s="4"/>
      <c r="S5008" s="4"/>
      <c r="T5008" s="4"/>
      <c r="U5008" s="4"/>
      <c r="V5008" s="4"/>
      <c r="W5008" s="4"/>
      <c r="X5008" s="4"/>
    </row>
    <row r="5009" spans="17:24" x14ac:dyDescent="0.3">
      <c r="Q5009" s="4"/>
      <c r="R5009" s="4"/>
      <c r="S5009" s="4"/>
      <c r="T5009" s="4"/>
      <c r="U5009" s="4"/>
      <c r="V5009" s="4"/>
      <c r="W5009" s="4"/>
      <c r="X5009" s="4"/>
    </row>
    <row r="5010" spans="17:24" x14ac:dyDescent="0.3">
      <c r="Q5010" s="4"/>
      <c r="R5010" s="4"/>
      <c r="S5010" s="4"/>
      <c r="T5010" s="4"/>
      <c r="U5010" s="4"/>
      <c r="V5010" s="4"/>
      <c r="W5010" s="4"/>
      <c r="X5010" s="4"/>
    </row>
    <row r="5011" spans="17:24" x14ac:dyDescent="0.3">
      <c r="Q5011" s="4"/>
      <c r="R5011" s="4"/>
      <c r="S5011" s="4"/>
      <c r="T5011" s="4"/>
      <c r="U5011" s="4"/>
      <c r="V5011" s="4"/>
      <c r="W5011" s="4"/>
      <c r="X5011" s="4"/>
    </row>
    <row r="5012" spans="17:24" x14ac:dyDescent="0.3">
      <c r="Q5012" s="4"/>
      <c r="R5012" s="4"/>
      <c r="S5012" s="4"/>
      <c r="T5012" s="4"/>
      <c r="U5012" s="4"/>
      <c r="V5012" s="4"/>
      <c r="W5012" s="4"/>
      <c r="X5012" s="4"/>
    </row>
    <row r="5013" spans="17:24" x14ac:dyDescent="0.3">
      <c r="Q5013" s="4"/>
      <c r="R5013" s="4"/>
      <c r="S5013" s="4"/>
      <c r="T5013" s="4"/>
      <c r="U5013" s="4"/>
      <c r="V5013" s="4"/>
      <c r="W5013" s="4"/>
      <c r="X5013" s="4"/>
    </row>
    <row r="5014" spans="17:24" x14ac:dyDescent="0.3">
      <c r="Q5014" s="4"/>
      <c r="R5014" s="4"/>
      <c r="S5014" s="4"/>
      <c r="T5014" s="4"/>
      <c r="U5014" s="4"/>
      <c r="V5014" s="4"/>
      <c r="W5014" s="4"/>
      <c r="X5014" s="4"/>
    </row>
    <row r="5015" spans="17:24" x14ac:dyDescent="0.3">
      <c r="Q5015" s="4"/>
      <c r="R5015" s="4"/>
      <c r="S5015" s="4"/>
      <c r="T5015" s="4"/>
      <c r="U5015" s="4"/>
      <c r="V5015" s="4"/>
      <c r="W5015" s="4"/>
      <c r="X5015" s="4"/>
    </row>
    <row r="5016" spans="17:24" x14ac:dyDescent="0.3">
      <c r="Q5016" s="4"/>
      <c r="R5016" s="4"/>
      <c r="S5016" s="4"/>
      <c r="T5016" s="4"/>
      <c r="U5016" s="4"/>
      <c r="V5016" s="4"/>
      <c r="W5016" s="4"/>
      <c r="X5016" s="4"/>
    </row>
    <row r="5017" spans="17:24" x14ac:dyDescent="0.3">
      <c r="Q5017" s="4"/>
      <c r="R5017" s="4"/>
      <c r="S5017" s="4"/>
      <c r="T5017" s="4"/>
      <c r="U5017" s="4"/>
      <c r="V5017" s="4"/>
      <c r="W5017" s="4"/>
      <c r="X5017" s="4"/>
    </row>
    <row r="5018" spans="17:24" x14ac:dyDescent="0.3">
      <c r="Q5018" s="4"/>
      <c r="R5018" s="4"/>
      <c r="S5018" s="4"/>
      <c r="T5018" s="4"/>
      <c r="U5018" s="4"/>
      <c r="V5018" s="4"/>
      <c r="W5018" s="4"/>
      <c r="X5018" s="4"/>
    </row>
    <row r="5019" spans="17:24" x14ac:dyDescent="0.3">
      <c r="Q5019" s="4"/>
      <c r="R5019" s="4"/>
      <c r="S5019" s="4"/>
      <c r="T5019" s="4"/>
      <c r="U5019" s="4"/>
      <c r="V5019" s="4"/>
      <c r="W5019" s="4"/>
      <c r="X5019" s="4"/>
    </row>
    <row r="5020" spans="17:24" x14ac:dyDescent="0.3">
      <c r="Q5020" s="4"/>
      <c r="R5020" s="4"/>
      <c r="S5020" s="4"/>
      <c r="T5020" s="4"/>
      <c r="U5020" s="4"/>
      <c r="V5020" s="4"/>
      <c r="W5020" s="4"/>
      <c r="X5020" s="4"/>
    </row>
    <row r="5021" spans="17:24" x14ac:dyDescent="0.3">
      <c r="Q5021" s="4"/>
      <c r="R5021" s="4"/>
      <c r="S5021" s="4"/>
      <c r="T5021" s="4"/>
      <c r="U5021" s="4"/>
      <c r="V5021" s="4"/>
      <c r="W5021" s="4"/>
      <c r="X5021" s="4"/>
    </row>
    <row r="5022" spans="17:24" x14ac:dyDescent="0.3">
      <c r="Q5022" s="4"/>
      <c r="R5022" s="4"/>
      <c r="S5022" s="4"/>
      <c r="T5022" s="4"/>
      <c r="U5022" s="4"/>
      <c r="V5022" s="4"/>
      <c r="W5022" s="4"/>
      <c r="X5022" s="4"/>
    </row>
    <row r="5023" spans="17:24" x14ac:dyDescent="0.3">
      <c r="Q5023" s="4"/>
      <c r="R5023" s="4"/>
      <c r="S5023" s="4"/>
      <c r="T5023" s="4"/>
      <c r="U5023" s="4"/>
      <c r="V5023" s="4"/>
      <c r="W5023" s="4"/>
      <c r="X5023" s="4"/>
    </row>
    <row r="5024" spans="17:24" x14ac:dyDescent="0.3">
      <c r="Q5024" s="4"/>
      <c r="R5024" s="4"/>
      <c r="S5024" s="4"/>
      <c r="T5024" s="4"/>
      <c r="U5024" s="4"/>
      <c r="V5024" s="4"/>
      <c r="W5024" s="4"/>
      <c r="X5024" s="4"/>
    </row>
    <row r="5025" spans="17:24" x14ac:dyDescent="0.3">
      <c r="Q5025" s="4"/>
      <c r="R5025" s="4"/>
      <c r="S5025" s="4"/>
      <c r="T5025" s="4"/>
      <c r="U5025" s="4"/>
      <c r="V5025" s="4"/>
      <c r="W5025" s="4"/>
      <c r="X5025" s="4"/>
    </row>
    <row r="5026" spans="17:24" x14ac:dyDescent="0.3">
      <c r="Q5026" s="4"/>
      <c r="R5026" s="4"/>
      <c r="S5026" s="4"/>
      <c r="T5026" s="4"/>
      <c r="U5026" s="4"/>
      <c r="V5026" s="4"/>
      <c r="W5026" s="4"/>
      <c r="X5026" s="4"/>
    </row>
    <row r="5027" spans="17:24" x14ac:dyDescent="0.3">
      <c r="Q5027" s="4"/>
      <c r="R5027" s="4"/>
      <c r="S5027" s="4"/>
      <c r="T5027" s="4"/>
      <c r="U5027" s="4"/>
      <c r="V5027" s="4"/>
      <c r="W5027" s="4"/>
      <c r="X5027" s="4"/>
    </row>
    <row r="5028" spans="17:24" x14ac:dyDescent="0.3">
      <c r="Q5028" s="4"/>
      <c r="R5028" s="4"/>
      <c r="S5028" s="4"/>
      <c r="T5028" s="4"/>
      <c r="U5028" s="4"/>
      <c r="V5028" s="4"/>
      <c r="W5028" s="4"/>
      <c r="X5028" s="4"/>
    </row>
    <row r="5029" spans="17:24" x14ac:dyDescent="0.3">
      <c r="Q5029" s="4"/>
      <c r="R5029" s="4"/>
      <c r="S5029" s="4"/>
      <c r="T5029" s="4"/>
      <c r="U5029" s="4"/>
      <c r="V5029" s="4"/>
      <c r="W5029" s="4"/>
      <c r="X5029" s="4"/>
    </row>
    <row r="5030" spans="17:24" x14ac:dyDescent="0.3">
      <c r="Q5030" s="4"/>
      <c r="R5030" s="4"/>
      <c r="S5030" s="4"/>
      <c r="T5030" s="4"/>
      <c r="U5030" s="4"/>
      <c r="V5030" s="4"/>
      <c r="W5030" s="4"/>
      <c r="X5030" s="4"/>
    </row>
    <row r="5031" spans="17:24" x14ac:dyDescent="0.3">
      <c r="Q5031" s="4"/>
      <c r="R5031" s="4"/>
      <c r="S5031" s="4"/>
      <c r="T5031" s="4"/>
      <c r="U5031" s="4"/>
      <c r="V5031" s="4"/>
      <c r="W5031" s="4"/>
      <c r="X5031" s="4"/>
    </row>
    <row r="5032" spans="17:24" x14ac:dyDescent="0.3">
      <c r="Q5032" s="4"/>
      <c r="R5032" s="4"/>
      <c r="S5032" s="4"/>
      <c r="T5032" s="4"/>
      <c r="U5032" s="4"/>
      <c r="V5032" s="4"/>
      <c r="W5032" s="4"/>
      <c r="X5032" s="4"/>
    </row>
    <row r="5033" spans="17:24" x14ac:dyDescent="0.3">
      <c r="Q5033" s="4"/>
      <c r="R5033" s="4"/>
      <c r="S5033" s="4"/>
      <c r="T5033" s="4"/>
      <c r="U5033" s="4"/>
      <c r="V5033" s="4"/>
      <c r="W5033" s="4"/>
      <c r="X5033" s="4"/>
    </row>
    <row r="5034" spans="17:24" x14ac:dyDescent="0.3">
      <c r="Q5034" s="4"/>
      <c r="R5034" s="4"/>
      <c r="S5034" s="4"/>
      <c r="T5034" s="4"/>
      <c r="U5034" s="4"/>
      <c r="V5034" s="4"/>
      <c r="W5034" s="4"/>
      <c r="X5034" s="4"/>
    </row>
    <row r="5035" spans="17:24" x14ac:dyDescent="0.3">
      <c r="Q5035" s="4"/>
      <c r="R5035" s="4"/>
      <c r="S5035" s="4"/>
      <c r="T5035" s="4"/>
      <c r="U5035" s="4"/>
      <c r="V5035" s="4"/>
      <c r="W5035" s="4"/>
      <c r="X5035" s="4"/>
    </row>
    <row r="5036" spans="17:24" x14ac:dyDescent="0.3">
      <c r="Q5036" s="4"/>
      <c r="R5036" s="4"/>
      <c r="S5036" s="4"/>
      <c r="T5036" s="4"/>
      <c r="U5036" s="4"/>
      <c r="V5036" s="4"/>
      <c r="W5036" s="4"/>
      <c r="X5036" s="4"/>
    </row>
    <row r="5037" spans="17:24" x14ac:dyDescent="0.3">
      <c r="Q5037" s="4"/>
      <c r="R5037" s="4"/>
      <c r="S5037" s="4"/>
      <c r="T5037" s="4"/>
      <c r="U5037" s="4"/>
      <c r="V5037" s="4"/>
      <c r="W5037" s="4"/>
      <c r="X5037" s="4"/>
    </row>
    <row r="5038" spans="17:24" x14ac:dyDescent="0.3">
      <c r="Q5038" s="4"/>
      <c r="R5038" s="4"/>
      <c r="S5038" s="4"/>
      <c r="T5038" s="4"/>
      <c r="U5038" s="4"/>
      <c r="V5038" s="4"/>
      <c r="W5038" s="4"/>
      <c r="X5038" s="4"/>
    </row>
    <row r="5039" spans="17:24" x14ac:dyDescent="0.3">
      <c r="Q5039" s="4"/>
      <c r="R5039" s="4"/>
      <c r="S5039" s="4"/>
      <c r="T5039" s="4"/>
      <c r="U5039" s="4"/>
      <c r="V5039" s="4"/>
      <c r="W5039" s="4"/>
      <c r="X5039" s="4"/>
    </row>
    <row r="5040" spans="17:24" x14ac:dyDescent="0.3">
      <c r="Q5040" s="4"/>
      <c r="R5040" s="4"/>
      <c r="S5040" s="4"/>
      <c r="T5040" s="4"/>
      <c r="U5040" s="4"/>
      <c r="V5040" s="4"/>
      <c r="W5040" s="4"/>
      <c r="X5040" s="4"/>
    </row>
    <row r="5041" spans="17:24" x14ac:dyDescent="0.3">
      <c r="Q5041" s="4"/>
      <c r="R5041" s="4"/>
      <c r="S5041" s="4"/>
      <c r="T5041" s="4"/>
      <c r="U5041" s="4"/>
      <c r="V5041" s="4"/>
      <c r="W5041" s="4"/>
      <c r="X5041" s="4"/>
    </row>
    <row r="5042" spans="17:24" x14ac:dyDescent="0.3">
      <c r="Q5042" s="4"/>
      <c r="R5042" s="4"/>
      <c r="S5042" s="4"/>
      <c r="T5042" s="4"/>
      <c r="U5042" s="4"/>
      <c r="V5042" s="4"/>
      <c r="W5042" s="4"/>
      <c r="X5042" s="4"/>
    </row>
    <row r="5043" spans="17:24" x14ac:dyDescent="0.3">
      <c r="Q5043" s="4"/>
      <c r="R5043" s="4"/>
      <c r="S5043" s="4"/>
      <c r="T5043" s="4"/>
      <c r="U5043" s="4"/>
      <c r="V5043" s="4"/>
      <c r="W5043" s="4"/>
      <c r="X5043" s="4"/>
    </row>
    <row r="5044" spans="17:24" x14ac:dyDescent="0.3">
      <c r="Q5044" s="4"/>
      <c r="R5044" s="4"/>
      <c r="S5044" s="4"/>
      <c r="T5044" s="4"/>
      <c r="U5044" s="4"/>
      <c r="V5044" s="4"/>
      <c r="W5044" s="4"/>
      <c r="X5044" s="4"/>
    </row>
    <row r="5045" spans="17:24" x14ac:dyDescent="0.3">
      <c r="Q5045" s="4"/>
      <c r="R5045" s="4"/>
      <c r="S5045" s="4"/>
      <c r="T5045" s="4"/>
      <c r="U5045" s="4"/>
      <c r="V5045" s="4"/>
      <c r="W5045" s="4"/>
      <c r="X5045" s="4"/>
    </row>
    <row r="5046" spans="17:24" x14ac:dyDescent="0.3">
      <c r="Q5046" s="4"/>
      <c r="R5046" s="4"/>
      <c r="S5046" s="4"/>
      <c r="T5046" s="4"/>
      <c r="U5046" s="4"/>
      <c r="V5046" s="4"/>
      <c r="W5046" s="4"/>
      <c r="X5046" s="4"/>
    </row>
    <row r="5047" spans="17:24" x14ac:dyDescent="0.3">
      <c r="Q5047" s="4"/>
      <c r="R5047" s="4"/>
      <c r="S5047" s="4"/>
      <c r="T5047" s="4"/>
      <c r="U5047" s="4"/>
      <c r="V5047" s="4"/>
      <c r="W5047" s="4"/>
      <c r="X5047" s="4"/>
    </row>
    <row r="5048" spans="17:24" x14ac:dyDescent="0.3">
      <c r="Q5048" s="4"/>
      <c r="R5048" s="4"/>
      <c r="S5048" s="4"/>
      <c r="T5048" s="4"/>
      <c r="U5048" s="4"/>
      <c r="V5048" s="4"/>
      <c r="W5048" s="4"/>
      <c r="X5048" s="4"/>
    </row>
    <row r="5049" spans="17:24" x14ac:dyDescent="0.3">
      <c r="Q5049" s="4"/>
      <c r="R5049" s="4"/>
      <c r="S5049" s="4"/>
      <c r="T5049" s="4"/>
      <c r="U5049" s="4"/>
      <c r="V5049" s="4"/>
      <c r="W5049" s="4"/>
      <c r="X5049" s="4"/>
    </row>
    <row r="5050" spans="17:24" x14ac:dyDescent="0.3">
      <c r="Q5050" s="4"/>
      <c r="R5050" s="4"/>
      <c r="S5050" s="4"/>
      <c r="T5050" s="4"/>
      <c r="U5050" s="4"/>
      <c r="V5050" s="4"/>
      <c r="W5050" s="4"/>
      <c r="X5050" s="4"/>
    </row>
    <row r="5051" spans="17:24" x14ac:dyDescent="0.3">
      <c r="Q5051" s="4"/>
      <c r="R5051" s="4"/>
      <c r="S5051" s="4"/>
      <c r="T5051" s="4"/>
      <c r="U5051" s="4"/>
      <c r="V5051" s="4"/>
      <c r="W5051" s="4"/>
      <c r="X5051" s="4"/>
    </row>
    <row r="5052" spans="17:24" x14ac:dyDescent="0.3">
      <c r="Q5052" s="4"/>
      <c r="R5052" s="4"/>
      <c r="S5052" s="4"/>
      <c r="T5052" s="4"/>
      <c r="U5052" s="4"/>
      <c r="V5052" s="4"/>
      <c r="W5052" s="4"/>
      <c r="X5052" s="4"/>
    </row>
    <row r="5053" spans="17:24" x14ac:dyDescent="0.3">
      <c r="Q5053" s="4"/>
      <c r="R5053" s="4"/>
      <c r="S5053" s="4"/>
      <c r="T5053" s="4"/>
      <c r="U5053" s="4"/>
      <c r="V5053" s="4"/>
      <c r="W5053" s="4"/>
      <c r="X5053" s="4"/>
    </row>
    <row r="5054" spans="17:24" x14ac:dyDescent="0.3">
      <c r="Q5054" s="4"/>
      <c r="R5054" s="4"/>
      <c r="S5054" s="4"/>
      <c r="T5054" s="4"/>
      <c r="U5054" s="4"/>
      <c r="V5054" s="4"/>
      <c r="W5054" s="4"/>
      <c r="X5054" s="4"/>
    </row>
    <row r="5055" spans="17:24" x14ac:dyDescent="0.3">
      <c r="Q5055" s="4"/>
      <c r="R5055" s="4"/>
      <c r="S5055" s="4"/>
      <c r="T5055" s="4"/>
      <c r="U5055" s="4"/>
      <c r="V5055" s="4"/>
      <c r="W5055" s="4"/>
      <c r="X5055" s="4"/>
    </row>
    <row r="5056" spans="17:24" x14ac:dyDescent="0.3">
      <c r="Q5056" s="4"/>
      <c r="R5056" s="4"/>
      <c r="S5056" s="4"/>
      <c r="T5056" s="4"/>
      <c r="U5056" s="4"/>
      <c r="V5056" s="4"/>
      <c r="W5056" s="4"/>
      <c r="X5056" s="4"/>
    </row>
    <row r="5057" spans="17:24" x14ac:dyDescent="0.3">
      <c r="Q5057" s="4"/>
      <c r="R5057" s="4"/>
      <c r="S5057" s="4"/>
      <c r="T5057" s="4"/>
      <c r="U5057" s="4"/>
      <c r="V5057" s="4"/>
      <c r="W5057" s="4"/>
      <c r="X5057" s="4"/>
    </row>
    <row r="5058" spans="17:24" x14ac:dyDescent="0.3">
      <c r="Q5058" s="4"/>
      <c r="R5058" s="4"/>
      <c r="S5058" s="4"/>
      <c r="T5058" s="4"/>
      <c r="U5058" s="4"/>
      <c r="V5058" s="4"/>
      <c r="W5058" s="4"/>
      <c r="X5058" s="4"/>
    </row>
    <row r="5059" spans="17:24" x14ac:dyDescent="0.3">
      <c r="Q5059" s="4"/>
      <c r="R5059" s="4"/>
      <c r="S5059" s="4"/>
      <c r="T5059" s="4"/>
      <c r="U5059" s="4"/>
      <c r="V5059" s="4"/>
      <c r="W5059" s="4"/>
      <c r="X5059" s="4"/>
    </row>
    <row r="5060" spans="17:24" x14ac:dyDescent="0.3">
      <c r="Q5060" s="4"/>
      <c r="R5060" s="4"/>
      <c r="S5060" s="4"/>
      <c r="T5060" s="4"/>
      <c r="U5060" s="4"/>
      <c r="V5060" s="4"/>
      <c r="W5060" s="4"/>
      <c r="X5060" s="4"/>
    </row>
    <row r="5061" spans="17:24" x14ac:dyDescent="0.3">
      <c r="Q5061" s="4"/>
      <c r="R5061" s="4"/>
      <c r="S5061" s="4"/>
      <c r="T5061" s="4"/>
      <c r="U5061" s="4"/>
      <c r="V5061" s="4"/>
      <c r="W5061" s="4"/>
      <c r="X5061" s="4"/>
    </row>
    <row r="5062" spans="17:24" x14ac:dyDescent="0.3">
      <c r="Q5062" s="4"/>
      <c r="R5062" s="4"/>
      <c r="S5062" s="4"/>
      <c r="T5062" s="4"/>
      <c r="U5062" s="4"/>
      <c r="V5062" s="4"/>
      <c r="W5062" s="4"/>
      <c r="X5062" s="4"/>
    </row>
    <row r="5063" spans="17:24" x14ac:dyDescent="0.3">
      <c r="Q5063" s="4"/>
      <c r="R5063" s="4"/>
      <c r="S5063" s="4"/>
      <c r="T5063" s="4"/>
      <c r="U5063" s="4"/>
      <c r="V5063" s="4"/>
      <c r="W5063" s="4"/>
      <c r="X5063" s="4"/>
    </row>
    <row r="5064" spans="17:24" x14ac:dyDescent="0.3">
      <c r="Q5064" s="4"/>
      <c r="R5064" s="4"/>
      <c r="S5064" s="4"/>
      <c r="T5064" s="4"/>
      <c r="U5064" s="4"/>
      <c r="V5064" s="4"/>
      <c r="W5064" s="4"/>
      <c r="X5064" s="4"/>
    </row>
    <row r="5065" spans="17:24" x14ac:dyDescent="0.3">
      <c r="Q5065" s="4"/>
      <c r="R5065" s="4"/>
      <c r="S5065" s="4"/>
      <c r="T5065" s="4"/>
      <c r="U5065" s="4"/>
      <c r="V5065" s="4"/>
      <c r="W5065" s="4"/>
      <c r="X5065" s="4"/>
    </row>
    <row r="5066" spans="17:24" x14ac:dyDescent="0.3">
      <c r="Q5066" s="4"/>
      <c r="R5066" s="4"/>
      <c r="S5066" s="4"/>
      <c r="T5066" s="4"/>
      <c r="U5066" s="4"/>
      <c r="V5066" s="4"/>
      <c r="W5066" s="4"/>
      <c r="X5066" s="4"/>
    </row>
    <row r="5067" spans="17:24" x14ac:dyDescent="0.3">
      <c r="Q5067" s="4"/>
      <c r="R5067" s="4"/>
      <c r="S5067" s="4"/>
      <c r="T5067" s="4"/>
      <c r="U5067" s="4"/>
      <c r="V5067" s="4"/>
      <c r="W5067" s="4"/>
      <c r="X5067" s="4"/>
    </row>
    <row r="5068" spans="17:24" x14ac:dyDescent="0.3">
      <c r="Q5068" s="4"/>
      <c r="R5068" s="4"/>
      <c r="S5068" s="4"/>
      <c r="T5068" s="4"/>
      <c r="U5068" s="4"/>
      <c r="V5068" s="4"/>
      <c r="W5068" s="4"/>
      <c r="X5068" s="4"/>
    </row>
    <row r="5069" spans="17:24" x14ac:dyDescent="0.3">
      <c r="Q5069" s="4"/>
      <c r="R5069" s="4"/>
      <c r="S5069" s="4"/>
      <c r="T5069" s="4"/>
      <c r="U5069" s="4"/>
      <c r="V5069" s="4"/>
      <c r="W5069" s="4"/>
      <c r="X5069" s="4"/>
    </row>
    <row r="5070" spans="17:24" x14ac:dyDescent="0.3">
      <c r="Q5070" s="4"/>
      <c r="R5070" s="4"/>
      <c r="S5070" s="4"/>
      <c r="T5070" s="4"/>
      <c r="U5070" s="4"/>
      <c r="V5070" s="4"/>
      <c r="W5070" s="4"/>
      <c r="X5070" s="4"/>
    </row>
    <row r="5071" spans="17:24" x14ac:dyDescent="0.3">
      <c r="Q5071" s="4"/>
      <c r="R5071" s="4"/>
      <c r="S5071" s="4"/>
      <c r="T5071" s="4"/>
      <c r="U5071" s="4"/>
      <c r="V5071" s="4"/>
      <c r="W5071" s="4"/>
      <c r="X5071" s="4"/>
    </row>
    <row r="5072" spans="17:24" x14ac:dyDescent="0.3">
      <c r="Q5072" s="4"/>
      <c r="R5072" s="4"/>
      <c r="S5072" s="4"/>
      <c r="T5072" s="4"/>
      <c r="U5072" s="4"/>
      <c r="V5072" s="4"/>
      <c r="W5072" s="4"/>
      <c r="X5072" s="4"/>
    </row>
    <row r="5073" spans="17:24" x14ac:dyDescent="0.3">
      <c r="Q5073" s="4"/>
      <c r="R5073" s="4"/>
      <c r="S5073" s="4"/>
      <c r="T5073" s="4"/>
      <c r="U5073" s="4"/>
      <c r="V5073" s="4"/>
      <c r="W5073" s="4"/>
      <c r="X5073" s="4"/>
    </row>
    <row r="5074" spans="17:24" x14ac:dyDescent="0.3">
      <c r="Q5074" s="4"/>
      <c r="R5074" s="4"/>
      <c r="S5074" s="4"/>
      <c r="T5074" s="4"/>
      <c r="U5074" s="4"/>
      <c r="V5074" s="4"/>
      <c r="W5074" s="4"/>
      <c r="X5074" s="4"/>
    </row>
    <row r="5075" spans="17:24" x14ac:dyDescent="0.3">
      <c r="Q5075" s="4"/>
      <c r="R5075" s="4"/>
      <c r="S5075" s="4"/>
      <c r="T5075" s="4"/>
      <c r="U5075" s="4"/>
      <c r="V5075" s="4"/>
      <c r="W5075" s="4"/>
      <c r="X5075" s="4"/>
    </row>
    <row r="5076" spans="17:24" x14ac:dyDescent="0.3">
      <c r="Q5076" s="4"/>
      <c r="R5076" s="4"/>
      <c r="S5076" s="4"/>
      <c r="T5076" s="4"/>
      <c r="U5076" s="4"/>
      <c r="V5076" s="4"/>
      <c r="W5076" s="4"/>
      <c r="X5076" s="4"/>
    </row>
    <row r="5077" spans="17:24" x14ac:dyDescent="0.3">
      <c r="Q5077" s="4"/>
      <c r="R5077" s="4"/>
      <c r="S5077" s="4"/>
      <c r="T5077" s="4"/>
      <c r="U5077" s="4"/>
      <c r="V5077" s="4"/>
      <c r="W5077" s="4"/>
      <c r="X5077" s="4"/>
    </row>
    <row r="5078" spans="17:24" x14ac:dyDescent="0.3">
      <c r="Q5078" s="4"/>
      <c r="R5078" s="4"/>
      <c r="S5078" s="4"/>
      <c r="T5078" s="4"/>
      <c r="U5078" s="4"/>
      <c r="V5078" s="4"/>
      <c r="W5078" s="4"/>
      <c r="X5078" s="4"/>
    </row>
    <row r="5079" spans="17:24" x14ac:dyDescent="0.3">
      <c r="Q5079" s="4"/>
      <c r="R5079" s="4"/>
      <c r="S5079" s="4"/>
      <c r="T5079" s="4"/>
      <c r="U5079" s="4"/>
      <c r="V5079" s="4"/>
      <c r="W5079" s="4"/>
      <c r="X5079" s="4"/>
    </row>
    <row r="5080" spans="17:24" x14ac:dyDescent="0.3">
      <c r="Q5080" s="4"/>
      <c r="R5080" s="4"/>
      <c r="S5080" s="4"/>
      <c r="T5080" s="4"/>
      <c r="U5080" s="4"/>
      <c r="V5080" s="4"/>
      <c r="W5080" s="4"/>
      <c r="X5080" s="4"/>
    </row>
    <row r="5081" spans="17:24" x14ac:dyDescent="0.3">
      <c r="Q5081" s="4"/>
      <c r="R5081" s="4"/>
      <c r="S5081" s="4"/>
      <c r="T5081" s="4"/>
      <c r="U5081" s="4"/>
      <c r="V5081" s="4"/>
      <c r="W5081" s="4"/>
      <c r="X5081" s="4"/>
    </row>
    <row r="5082" spans="17:24" x14ac:dyDescent="0.3">
      <c r="Q5082" s="4"/>
      <c r="R5082" s="4"/>
      <c r="S5082" s="4"/>
      <c r="T5082" s="4"/>
      <c r="U5082" s="4"/>
      <c r="V5082" s="4"/>
      <c r="W5082" s="4"/>
      <c r="X5082" s="4"/>
    </row>
    <row r="5083" spans="17:24" x14ac:dyDescent="0.3">
      <c r="Q5083" s="4"/>
      <c r="R5083" s="4"/>
      <c r="S5083" s="4"/>
      <c r="T5083" s="4"/>
      <c r="U5083" s="4"/>
      <c r="V5083" s="4"/>
      <c r="W5083" s="4"/>
      <c r="X5083" s="4"/>
    </row>
    <row r="5084" spans="17:24" x14ac:dyDescent="0.3">
      <c r="Q5084" s="4"/>
      <c r="R5084" s="4"/>
      <c r="S5084" s="4"/>
      <c r="T5084" s="4"/>
      <c r="U5084" s="4"/>
      <c r="V5084" s="4"/>
      <c r="W5084" s="4"/>
      <c r="X5084" s="4"/>
    </row>
    <row r="5085" spans="17:24" x14ac:dyDescent="0.3">
      <c r="Q5085" s="4"/>
      <c r="R5085" s="4"/>
      <c r="S5085" s="4"/>
      <c r="T5085" s="4"/>
      <c r="U5085" s="4"/>
      <c r="V5085" s="4"/>
      <c r="W5085" s="4"/>
      <c r="X5085" s="4"/>
    </row>
    <row r="5086" spans="17:24" x14ac:dyDescent="0.3">
      <c r="Q5086" s="4"/>
      <c r="R5086" s="4"/>
      <c r="S5086" s="4"/>
      <c r="T5086" s="4"/>
      <c r="U5086" s="4"/>
      <c r="V5086" s="4"/>
      <c r="W5086" s="4"/>
      <c r="X5086" s="4"/>
    </row>
    <row r="5087" spans="17:24" x14ac:dyDescent="0.3">
      <c r="Q5087" s="4"/>
      <c r="R5087" s="4"/>
      <c r="S5087" s="4"/>
      <c r="T5087" s="4"/>
      <c r="U5087" s="4"/>
      <c r="V5087" s="4"/>
      <c r="W5087" s="4"/>
      <c r="X5087" s="4"/>
    </row>
    <row r="5088" spans="17:24" x14ac:dyDescent="0.3">
      <c r="Q5088" s="4"/>
      <c r="R5088" s="4"/>
      <c r="S5088" s="4"/>
      <c r="T5088" s="4"/>
      <c r="U5088" s="4"/>
      <c r="V5088" s="4"/>
      <c r="W5088" s="4"/>
      <c r="X5088" s="4"/>
    </row>
    <row r="5089" spans="17:24" x14ac:dyDescent="0.3">
      <c r="Q5089" s="4"/>
      <c r="R5089" s="4"/>
      <c r="S5089" s="4"/>
      <c r="T5089" s="4"/>
      <c r="U5089" s="4"/>
      <c r="V5089" s="4"/>
      <c r="W5089" s="4"/>
      <c r="X5089" s="4"/>
    </row>
    <row r="5090" spans="17:24" x14ac:dyDescent="0.3">
      <c r="Q5090" s="4"/>
      <c r="R5090" s="4"/>
      <c r="S5090" s="4"/>
      <c r="T5090" s="4"/>
      <c r="U5090" s="4"/>
      <c r="V5090" s="4"/>
      <c r="W5090" s="4"/>
      <c r="X5090" s="4"/>
    </row>
    <row r="5091" spans="17:24" x14ac:dyDescent="0.3">
      <c r="Q5091" s="4"/>
      <c r="R5091" s="4"/>
      <c r="S5091" s="4"/>
      <c r="T5091" s="4"/>
      <c r="U5091" s="4"/>
      <c r="V5091" s="4"/>
      <c r="W5091" s="4"/>
      <c r="X5091" s="4"/>
    </row>
    <row r="5092" spans="17:24" x14ac:dyDescent="0.3">
      <c r="Q5092" s="4"/>
      <c r="R5092" s="4"/>
      <c r="S5092" s="4"/>
      <c r="T5092" s="4"/>
      <c r="U5092" s="4"/>
      <c r="V5092" s="4"/>
      <c r="W5092" s="4"/>
      <c r="X5092" s="4"/>
    </row>
    <row r="5093" spans="17:24" x14ac:dyDescent="0.3">
      <c r="Q5093" s="4"/>
      <c r="R5093" s="4"/>
      <c r="S5093" s="4"/>
      <c r="T5093" s="4"/>
      <c r="U5093" s="4"/>
      <c r="V5093" s="4"/>
      <c r="W5093" s="4"/>
      <c r="X5093" s="4"/>
    </row>
    <row r="5094" spans="17:24" x14ac:dyDescent="0.3">
      <c r="Q5094" s="4"/>
      <c r="R5094" s="4"/>
      <c r="S5094" s="4"/>
      <c r="T5094" s="4"/>
      <c r="U5094" s="4"/>
      <c r="V5094" s="4"/>
      <c r="W5094" s="4"/>
      <c r="X5094" s="4"/>
    </row>
    <row r="5095" spans="17:24" x14ac:dyDescent="0.3">
      <c r="Q5095" s="4"/>
      <c r="R5095" s="4"/>
      <c r="S5095" s="4"/>
      <c r="T5095" s="4"/>
      <c r="U5095" s="4"/>
      <c r="V5095" s="4"/>
      <c r="W5095" s="4"/>
      <c r="X5095" s="4"/>
    </row>
    <row r="5096" spans="17:24" x14ac:dyDescent="0.3">
      <c r="Q5096" s="4"/>
      <c r="R5096" s="4"/>
      <c r="S5096" s="4"/>
      <c r="T5096" s="4"/>
      <c r="U5096" s="4"/>
      <c r="V5096" s="4"/>
      <c r="W5096" s="4"/>
      <c r="X5096" s="4"/>
    </row>
    <row r="5097" spans="17:24" x14ac:dyDescent="0.3">
      <c r="Q5097" s="4"/>
      <c r="R5097" s="4"/>
      <c r="S5097" s="4"/>
      <c r="T5097" s="4"/>
      <c r="U5097" s="4"/>
      <c r="V5097" s="4"/>
      <c r="W5097" s="4"/>
      <c r="X5097" s="4"/>
    </row>
    <row r="5098" spans="17:24" x14ac:dyDescent="0.3">
      <c r="Q5098" s="4"/>
      <c r="R5098" s="4"/>
      <c r="S5098" s="4"/>
      <c r="T5098" s="4"/>
      <c r="U5098" s="4"/>
      <c r="V5098" s="4"/>
      <c r="W5098" s="4"/>
      <c r="X5098" s="4"/>
    </row>
    <row r="5099" spans="17:24" x14ac:dyDescent="0.3">
      <c r="Q5099" s="4"/>
      <c r="R5099" s="4"/>
      <c r="S5099" s="4"/>
      <c r="T5099" s="4"/>
      <c r="U5099" s="4"/>
      <c r="V5099" s="4"/>
      <c r="W5099" s="4"/>
      <c r="X5099" s="4"/>
    </row>
    <row r="5100" spans="17:24" x14ac:dyDescent="0.3">
      <c r="Q5100" s="4"/>
      <c r="R5100" s="4"/>
      <c r="S5100" s="4"/>
      <c r="T5100" s="4"/>
      <c r="U5100" s="4"/>
      <c r="V5100" s="4"/>
      <c r="W5100" s="4"/>
      <c r="X5100" s="4"/>
    </row>
    <row r="5101" spans="17:24" x14ac:dyDescent="0.3">
      <c r="Q5101" s="4"/>
      <c r="R5101" s="4"/>
      <c r="S5101" s="4"/>
      <c r="T5101" s="4"/>
      <c r="U5101" s="4"/>
      <c r="V5101" s="4"/>
      <c r="W5101" s="4"/>
      <c r="X5101" s="4"/>
    </row>
    <row r="5102" spans="17:24" x14ac:dyDescent="0.3">
      <c r="Q5102" s="4"/>
      <c r="R5102" s="4"/>
      <c r="S5102" s="4"/>
      <c r="T5102" s="4"/>
      <c r="U5102" s="4"/>
      <c r="V5102" s="4"/>
      <c r="W5102" s="4"/>
      <c r="X5102" s="4"/>
    </row>
    <row r="5103" spans="17:24" x14ac:dyDescent="0.3">
      <c r="Q5103" s="4"/>
      <c r="R5103" s="4"/>
      <c r="S5103" s="4"/>
      <c r="T5103" s="4"/>
      <c r="U5103" s="4"/>
      <c r="V5103" s="4"/>
      <c r="W5103" s="4"/>
      <c r="X5103" s="4"/>
    </row>
    <row r="5104" spans="17:24" x14ac:dyDescent="0.3">
      <c r="Q5104" s="4"/>
      <c r="R5104" s="4"/>
      <c r="S5104" s="4"/>
      <c r="T5104" s="4"/>
      <c r="U5104" s="4"/>
      <c r="V5104" s="4"/>
      <c r="W5104" s="4"/>
      <c r="X5104" s="4"/>
    </row>
    <row r="5105" spans="17:24" x14ac:dyDescent="0.3">
      <c r="Q5105" s="4"/>
      <c r="R5105" s="4"/>
      <c r="S5105" s="4"/>
      <c r="T5105" s="4"/>
      <c r="U5105" s="4"/>
      <c r="V5105" s="4"/>
      <c r="W5105" s="4"/>
      <c r="X5105" s="4"/>
    </row>
    <row r="5106" spans="17:24" x14ac:dyDescent="0.3">
      <c r="Q5106" s="4"/>
      <c r="R5106" s="4"/>
      <c r="S5106" s="4"/>
      <c r="T5106" s="4"/>
      <c r="U5106" s="4"/>
      <c r="V5106" s="4"/>
      <c r="W5106" s="4"/>
      <c r="X5106" s="4"/>
    </row>
    <row r="5107" spans="17:24" x14ac:dyDescent="0.3">
      <c r="Q5107" s="4"/>
      <c r="R5107" s="4"/>
      <c r="S5107" s="4"/>
      <c r="T5107" s="4"/>
      <c r="U5107" s="4"/>
      <c r="V5107" s="4"/>
      <c r="W5107" s="4"/>
      <c r="X5107" s="4"/>
    </row>
    <row r="5108" spans="17:24" x14ac:dyDescent="0.3">
      <c r="Q5108" s="4"/>
      <c r="R5108" s="4"/>
      <c r="S5108" s="4"/>
      <c r="T5108" s="4"/>
      <c r="U5108" s="4"/>
      <c r="V5108" s="4"/>
      <c r="W5108" s="4"/>
      <c r="X5108" s="4"/>
    </row>
    <row r="5109" spans="17:24" x14ac:dyDescent="0.3">
      <c r="Q5109" s="4"/>
      <c r="R5109" s="4"/>
      <c r="S5109" s="4"/>
      <c r="T5109" s="4"/>
      <c r="U5109" s="4"/>
      <c r="V5109" s="4"/>
      <c r="W5109" s="4"/>
      <c r="X5109" s="4"/>
    </row>
    <row r="5110" spans="17:24" x14ac:dyDescent="0.3">
      <c r="Q5110" s="4"/>
      <c r="R5110" s="4"/>
      <c r="S5110" s="4"/>
      <c r="T5110" s="4"/>
      <c r="U5110" s="4"/>
      <c r="V5110" s="4"/>
      <c r="W5110" s="4"/>
      <c r="X5110" s="4"/>
    </row>
    <row r="5111" spans="17:24" x14ac:dyDescent="0.3">
      <c r="Q5111" s="4"/>
      <c r="R5111" s="4"/>
      <c r="S5111" s="4"/>
      <c r="T5111" s="4"/>
      <c r="U5111" s="4"/>
      <c r="V5111" s="4"/>
      <c r="W5111" s="4"/>
      <c r="X5111" s="4"/>
    </row>
    <row r="5112" spans="17:24" x14ac:dyDescent="0.3">
      <c r="Q5112" s="4"/>
      <c r="R5112" s="4"/>
      <c r="S5112" s="4"/>
      <c r="T5112" s="4"/>
      <c r="U5112" s="4"/>
      <c r="V5112" s="4"/>
      <c r="W5112" s="4"/>
      <c r="X5112" s="4"/>
    </row>
    <row r="5113" spans="17:24" x14ac:dyDescent="0.3">
      <c r="Q5113" s="4"/>
      <c r="R5113" s="4"/>
      <c r="S5113" s="4"/>
      <c r="T5113" s="4"/>
      <c r="U5113" s="4"/>
      <c r="V5113" s="4"/>
      <c r="W5113" s="4"/>
      <c r="X5113" s="4"/>
    </row>
    <row r="5114" spans="17:24" x14ac:dyDescent="0.3">
      <c r="Q5114" s="4"/>
      <c r="R5114" s="4"/>
      <c r="S5114" s="4"/>
      <c r="T5114" s="4"/>
      <c r="U5114" s="4"/>
      <c r="V5114" s="4"/>
      <c r="W5114" s="4"/>
      <c r="X5114" s="4"/>
    </row>
    <row r="5115" spans="17:24" x14ac:dyDescent="0.3">
      <c r="Q5115" s="4"/>
      <c r="R5115" s="4"/>
      <c r="S5115" s="4"/>
      <c r="T5115" s="4"/>
      <c r="U5115" s="4"/>
      <c r="V5115" s="4"/>
      <c r="W5115" s="4"/>
      <c r="X5115" s="4"/>
    </row>
    <row r="5116" spans="17:24" x14ac:dyDescent="0.3">
      <c r="Q5116" s="4"/>
      <c r="R5116" s="4"/>
      <c r="S5116" s="4"/>
      <c r="T5116" s="4"/>
      <c r="U5116" s="4"/>
      <c r="V5116" s="4"/>
      <c r="W5116" s="4"/>
      <c r="X5116" s="4"/>
    </row>
    <row r="5117" spans="17:24" x14ac:dyDescent="0.3">
      <c r="Q5117" s="4"/>
      <c r="R5117" s="4"/>
      <c r="S5117" s="4"/>
      <c r="T5117" s="4"/>
      <c r="U5117" s="4"/>
      <c r="V5117" s="4"/>
      <c r="W5117" s="4"/>
      <c r="X5117" s="4"/>
    </row>
    <row r="5118" spans="17:24" x14ac:dyDescent="0.3">
      <c r="Q5118" s="4"/>
      <c r="R5118" s="4"/>
      <c r="S5118" s="4"/>
      <c r="T5118" s="4"/>
      <c r="U5118" s="4"/>
      <c r="V5118" s="4"/>
      <c r="W5118" s="4"/>
      <c r="X5118" s="4"/>
    </row>
    <row r="5119" spans="17:24" x14ac:dyDescent="0.3">
      <c r="Q5119" s="4"/>
      <c r="R5119" s="4"/>
      <c r="S5119" s="4"/>
      <c r="T5119" s="4"/>
      <c r="U5119" s="4"/>
      <c r="V5119" s="4"/>
      <c r="W5119" s="4"/>
      <c r="X5119" s="4"/>
    </row>
    <row r="5120" spans="17:24" x14ac:dyDescent="0.3">
      <c r="Q5120" s="4"/>
      <c r="R5120" s="4"/>
      <c r="S5120" s="4"/>
      <c r="T5120" s="4"/>
      <c r="U5120" s="4"/>
      <c r="V5120" s="4"/>
      <c r="W5120" s="4"/>
      <c r="X5120" s="4"/>
    </row>
    <row r="5121" spans="17:24" x14ac:dyDescent="0.3">
      <c r="Q5121" s="4"/>
      <c r="R5121" s="4"/>
      <c r="S5121" s="4"/>
      <c r="T5121" s="4"/>
      <c r="U5121" s="4"/>
      <c r="V5121" s="4"/>
      <c r="W5121" s="4"/>
      <c r="X5121" s="4"/>
    </row>
    <row r="5122" spans="17:24" x14ac:dyDescent="0.3">
      <c r="Q5122" s="4"/>
      <c r="R5122" s="4"/>
      <c r="S5122" s="4"/>
      <c r="T5122" s="4"/>
      <c r="U5122" s="4"/>
      <c r="V5122" s="4"/>
      <c r="W5122" s="4"/>
      <c r="X5122" s="4"/>
    </row>
    <row r="5123" spans="17:24" x14ac:dyDescent="0.3">
      <c r="Q5123" s="4"/>
      <c r="R5123" s="4"/>
      <c r="S5123" s="4"/>
      <c r="T5123" s="4"/>
      <c r="U5123" s="4"/>
      <c r="V5123" s="4"/>
      <c r="W5123" s="4"/>
      <c r="X5123" s="4"/>
    </row>
    <row r="5124" spans="17:24" x14ac:dyDescent="0.3">
      <c r="Q5124" s="4"/>
      <c r="R5124" s="4"/>
      <c r="S5124" s="4"/>
      <c r="T5124" s="4"/>
      <c r="U5124" s="4"/>
      <c r="V5124" s="4"/>
      <c r="W5124" s="4"/>
      <c r="X5124" s="4"/>
    </row>
    <row r="5125" spans="17:24" x14ac:dyDescent="0.3">
      <c r="Q5125" s="4"/>
      <c r="R5125" s="4"/>
      <c r="S5125" s="4"/>
      <c r="T5125" s="4"/>
      <c r="U5125" s="4"/>
      <c r="V5125" s="4"/>
      <c r="W5125" s="4"/>
      <c r="X5125" s="4"/>
    </row>
    <row r="5126" spans="17:24" x14ac:dyDescent="0.3">
      <c r="Q5126" s="4"/>
      <c r="R5126" s="4"/>
      <c r="S5126" s="4"/>
      <c r="T5126" s="4"/>
      <c r="U5126" s="4"/>
      <c r="V5126" s="4"/>
      <c r="W5126" s="4"/>
      <c r="X5126" s="4"/>
    </row>
    <row r="5127" spans="17:24" x14ac:dyDescent="0.3">
      <c r="Q5127" s="4"/>
      <c r="R5127" s="4"/>
      <c r="S5127" s="4"/>
      <c r="T5127" s="4"/>
      <c r="U5127" s="4"/>
      <c r="V5127" s="4"/>
      <c r="W5127" s="4"/>
      <c r="X5127" s="4"/>
    </row>
    <row r="5128" spans="17:24" x14ac:dyDescent="0.3">
      <c r="Q5128" s="4"/>
      <c r="R5128" s="4"/>
      <c r="S5128" s="4"/>
      <c r="T5128" s="4"/>
      <c r="U5128" s="4"/>
      <c r="V5128" s="4"/>
      <c r="W5128" s="4"/>
      <c r="X5128" s="4"/>
    </row>
    <row r="5129" spans="17:24" x14ac:dyDescent="0.3">
      <c r="Q5129" s="4"/>
      <c r="R5129" s="4"/>
      <c r="S5129" s="4"/>
      <c r="T5129" s="4"/>
      <c r="U5129" s="4"/>
      <c r="V5129" s="4"/>
      <c r="W5129" s="4"/>
      <c r="X5129" s="4"/>
    </row>
    <row r="5130" spans="17:24" x14ac:dyDescent="0.3">
      <c r="Q5130" s="4"/>
      <c r="R5130" s="4"/>
      <c r="S5130" s="4"/>
      <c r="T5130" s="4"/>
      <c r="U5130" s="4"/>
      <c r="V5130" s="4"/>
      <c r="W5130" s="4"/>
      <c r="X5130" s="4"/>
    </row>
    <row r="5131" spans="17:24" x14ac:dyDescent="0.3">
      <c r="Q5131" s="4"/>
      <c r="R5131" s="4"/>
      <c r="S5131" s="4"/>
      <c r="T5131" s="4"/>
      <c r="U5131" s="4"/>
      <c r="V5131" s="4"/>
      <c r="W5131" s="4"/>
      <c r="X5131" s="4"/>
    </row>
    <row r="5132" spans="17:24" x14ac:dyDescent="0.3">
      <c r="Q5132" s="4"/>
      <c r="R5132" s="4"/>
      <c r="S5132" s="4"/>
      <c r="T5132" s="4"/>
      <c r="U5132" s="4"/>
      <c r="V5132" s="4"/>
      <c r="W5132" s="4"/>
      <c r="X5132" s="4"/>
    </row>
    <row r="5133" spans="17:24" x14ac:dyDescent="0.3">
      <c r="Q5133" s="4"/>
      <c r="R5133" s="4"/>
      <c r="S5133" s="4"/>
      <c r="T5133" s="4"/>
      <c r="U5133" s="4"/>
      <c r="V5133" s="4"/>
      <c r="W5133" s="4"/>
      <c r="X5133" s="4"/>
    </row>
    <row r="5134" spans="17:24" x14ac:dyDescent="0.3">
      <c r="Q5134" s="4"/>
      <c r="R5134" s="4"/>
      <c r="S5134" s="4"/>
      <c r="T5134" s="4"/>
      <c r="U5134" s="4"/>
      <c r="V5134" s="4"/>
      <c r="W5134" s="4"/>
      <c r="X5134" s="4"/>
    </row>
    <row r="5135" spans="17:24" x14ac:dyDescent="0.3">
      <c r="Q5135" s="4"/>
      <c r="R5135" s="4"/>
      <c r="S5135" s="4"/>
      <c r="T5135" s="4"/>
      <c r="U5135" s="4"/>
      <c r="V5135" s="4"/>
      <c r="W5135" s="4"/>
      <c r="X5135" s="4"/>
    </row>
    <row r="5136" spans="17:24" x14ac:dyDescent="0.3">
      <c r="Q5136" s="4"/>
      <c r="R5136" s="4"/>
      <c r="S5136" s="4"/>
      <c r="T5136" s="4"/>
      <c r="U5136" s="4"/>
      <c r="V5136" s="4"/>
      <c r="W5136" s="4"/>
      <c r="X5136" s="4"/>
    </row>
    <row r="5137" spans="17:24" x14ac:dyDescent="0.3">
      <c r="Q5137" s="4"/>
      <c r="R5137" s="4"/>
      <c r="S5137" s="4"/>
      <c r="T5137" s="4"/>
      <c r="U5137" s="4"/>
      <c r="V5137" s="4"/>
      <c r="W5137" s="4"/>
      <c r="X5137" s="4"/>
    </row>
    <row r="5138" spans="17:24" x14ac:dyDescent="0.3">
      <c r="Q5138" s="4"/>
      <c r="R5138" s="4"/>
      <c r="S5138" s="4"/>
      <c r="T5138" s="4"/>
      <c r="U5138" s="4"/>
      <c r="V5138" s="4"/>
      <c r="W5138" s="4"/>
      <c r="X5138" s="4"/>
    </row>
    <row r="5139" spans="17:24" x14ac:dyDescent="0.3">
      <c r="Q5139" s="4"/>
      <c r="R5139" s="4"/>
      <c r="S5139" s="4"/>
      <c r="T5139" s="4"/>
      <c r="U5139" s="4"/>
      <c r="V5139" s="4"/>
      <c r="W5139" s="4"/>
      <c r="X5139" s="4"/>
    </row>
    <row r="5140" spans="17:24" x14ac:dyDescent="0.3">
      <c r="Q5140" s="4"/>
      <c r="R5140" s="4"/>
      <c r="S5140" s="4"/>
      <c r="T5140" s="4"/>
      <c r="U5140" s="4"/>
      <c r="V5140" s="4"/>
      <c r="W5140" s="4"/>
      <c r="X5140" s="4"/>
    </row>
    <row r="5141" spans="17:24" x14ac:dyDescent="0.3">
      <c r="Q5141" s="4"/>
      <c r="R5141" s="4"/>
      <c r="S5141" s="4"/>
      <c r="T5141" s="4"/>
      <c r="U5141" s="4"/>
      <c r="V5141" s="4"/>
      <c r="W5141" s="4"/>
      <c r="X5141" s="4"/>
    </row>
    <row r="5142" spans="17:24" x14ac:dyDescent="0.3">
      <c r="Q5142" s="4"/>
      <c r="R5142" s="4"/>
      <c r="S5142" s="4"/>
      <c r="T5142" s="4"/>
      <c r="U5142" s="4"/>
      <c r="V5142" s="4"/>
      <c r="W5142" s="4"/>
      <c r="X5142" s="4"/>
    </row>
    <row r="5143" spans="17:24" x14ac:dyDescent="0.3">
      <c r="Q5143" s="4"/>
      <c r="R5143" s="4"/>
      <c r="S5143" s="4"/>
      <c r="T5143" s="4"/>
      <c r="U5143" s="4"/>
      <c r="V5143" s="4"/>
      <c r="W5143" s="4"/>
      <c r="X5143" s="4"/>
    </row>
    <row r="5144" spans="17:24" x14ac:dyDescent="0.3">
      <c r="Q5144" s="4"/>
      <c r="R5144" s="4"/>
      <c r="S5144" s="4"/>
      <c r="T5144" s="4"/>
      <c r="U5144" s="4"/>
      <c r="V5144" s="4"/>
      <c r="W5144" s="4"/>
      <c r="X5144" s="4"/>
    </row>
    <row r="5145" spans="17:24" x14ac:dyDescent="0.3">
      <c r="Q5145" s="4"/>
      <c r="R5145" s="4"/>
      <c r="S5145" s="4"/>
      <c r="T5145" s="4"/>
      <c r="U5145" s="4"/>
      <c r="V5145" s="4"/>
      <c r="W5145" s="4"/>
      <c r="X5145" s="4"/>
    </row>
    <row r="5146" spans="17:24" x14ac:dyDescent="0.3">
      <c r="Q5146" s="4"/>
      <c r="R5146" s="4"/>
      <c r="S5146" s="4"/>
      <c r="T5146" s="4"/>
      <c r="U5146" s="4"/>
      <c r="V5146" s="4"/>
      <c r="W5146" s="4"/>
      <c r="X5146" s="4"/>
    </row>
    <row r="5147" spans="17:24" x14ac:dyDescent="0.3">
      <c r="Q5147" s="4"/>
      <c r="R5147" s="4"/>
      <c r="S5147" s="4"/>
      <c r="T5147" s="4"/>
      <c r="U5147" s="4"/>
      <c r="V5147" s="4"/>
      <c r="W5147" s="4"/>
      <c r="X5147" s="4"/>
    </row>
    <row r="5148" spans="17:24" x14ac:dyDescent="0.3">
      <c r="Q5148" s="4"/>
      <c r="R5148" s="4"/>
      <c r="S5148" s="4"/>
      <c r="T5148" s="4"/>
      <c r="U5148" s="4"/>
      <c r="V5148" s="4"/>
      <c r="W5148" s="4"/>
      <c r="X5148" s="4"/>
    </row>
    <row r="5149" spans="17:24" x14ac:dyDescent="0.3">
      <c r="Q5149" s="4"/>
      <c r="R5149" s="4"/>
      <c r="S5149" s="4"/>
      <c r="T5149" s="4"/>
      <c r="U5149" s="4"/>
      <c r="V5149" s="4"/>
      <c r="W5149" s="4"/>
      <c r="X5149" s="4"/>
    </row>
    <row r="5150" spans="17:24" x14ac:dyDescent="0.3">
      <c r="Q5150" s="4"/>
      <c r="R5150" s="4"/>
      <c r="S5150" s="4"/>
      <c r="T5150" s="4"/>
      <c r="U5150" s="4"/>
      <c r="V5150" s="4"/>
      <c r="W5150" s="4"/>
      <c r="X5150" s="4"/>
    </row>
    <row r="5151" spans="17:24" x14ac:dyDescent="0.3">
      <c r="Q5151" s="4"/>
      <c r="R5151" s="4"/>
      <c r="S5151" s="4"/>
      <c r="T5151" s="4"/>
      <c r="U5151" s="4"/>
      <c r="V5151" s="4"/>
      <c r="W5151" s="4"/>
      <c r="X5151" s="4"/>
    </row>
    <row r="5152" spans="17:24" x14ac:dyDescent="0.3">
      <c r="Q5152" s="4"/>
      <c r="R5152" s="4"/>
      <c r="S5152" s="4"/>
      <c r="T5152" s="4"/>
      <c r="U5152" s="4"/>
      <c r="V5152" s="4"/>
      <c r="W5152" s="4"/>
      <c r="X5152" s="4"/>
    </row>
    <row r="5153" spans="17:24" x14ac:dyDescent="0.3">
      <c r="Q5153" s="4"/>
      <c r="R5153" s="4"/>
      <c r="S5153" s="4"/>
      <c r="T5153" s="4"/>
      <c r="U5153" s="4"/>
      <c r="V5153" s="4"/>
      <c r="W5153" s="4"/>
      <c r="X5153" s="4"/>
    </row>
    <row r="5154" spans="17:24" x14ac:dyDescent="0.3">
      <c r="Q5154" s="4"/>
      <c r="R5154" s="4"/>
      <c r="S5154" s="4"/>
      <c r="T5154" s="4"/>
      <c r="U5154" s="4"/>
      <c r="V5154" s="4"/>
      <c r="W5154" s="4"/>
      <c r="X5154" s="4"/>
    </row>
    <row r="5155" spans="17:24" x14ac:dyDescent="0.3">
      <c r="Q5155" s="4"/>
      <c r="R5155" s="4"/>
      <c r="S5155" s="4"/>
      <c r="T5155" s="4"/>
      <c r="U5155" s="4"/>
      <c r="V5155" s="4"/>
      <c r="W5155" s="4"/>
      <c r="X5155" s="4"/>
    </row>
    <row r="5156" spans="17:24" x14ac:dyDescent="0.3">
      <c r="Q5156" s="4"/>
      <c r="R5156" s="4"/>
      <c r="S5156" s="4"/>
      <c r="T5156" s="4"/>
      <c r="U5156" s="4"/>
      <c r="V5156" s="4"/>
      <c r="W5156" s="4"/>
      <c r="X5156" s="4"/>
    </row>
    <row r="5157" spans="17:24" x14ac:dyDescent="0.3">
      <c r="Q5157" s="4"/>
      <c r="R5157" s="4"/>
      <c r="S5157" s="4"/>
      <c r="T5157" s="4"/>
      <c r="U5157" s="4"/>
      <c r="V5157" s="4"/>
      <c r="W5157" s="4"/>
      <c r="X5157" s="4"/>
    </row>
    <row r="5158" spans="17:24" x14ac:dyDescent="0.3">
      <c r="Q5158" s="4"/>
      <c r="R5158" s="4"/>
      <c r="S5158" s="4"/>
      <c r="T5158" s="4"/>
      <c r="U5158" s="4"/>
      <c r="V5158" s="4"/>
      <c r="W5158" s="4"/>
      <c r="X5158" s="4"/>
    </row>
    <row r="5159" spans="17:24" x14ac:dyDescent="0.3">
      <c r="Q5159" s="4"/>
      <c r="R5159" s="4"/>
      <c r="S5159" s="4"/>
      <c r="T5159" s="4"/>
      <c r="U5159" s="4"/>
      <c r="V5159" s="4"/>
      <c r="W5159" s="4"/>
      <c r="X5159" s="4"/>
    </row>
    <row r="5160" spans="17:24" x14ac:dyDescent="0.3">
      <c r="Q5160" s="4"/>
      <c r="R5160" s="4"/>
      <c r="S5160" s="4"/>
      <c r="T5160" s="4"/>
      <c r="U5160" s="4"/>
      <c r="V5160" s="4"/>
      <c r="W5160" s="4"/>
      <c r="X5160" s="4"/>
    </row>
    <row r="5161" spans="17:24" x14ac:dyDescent="0.3">
      <c r="Q5161" s="4"/>
      <c r="R5161" s="4"/>
      <c r="S5161" s="4"/>
      <c r="T5161" s="4"/>
      <c r="U5161" s="4"/>
      <c r="V5161" s="4"/>
      <c r="W5161" s="4"/>
      <c r="X5161" s="4"/>
    </row>
    <row r="5162" spans="17:24" x14ac:dyDescent="0.3">
      <c r="Q5162" s="4"/>
      <c r="R5162" s="4"/>
      <c r="S5162" s="4"/>
      <c r="T5162" s="4"/>
      <c r="U5162" s="4"/>
      <c r="V5162" s="4"/>
      <c r="W5162" s="4"/>
      <c r="X5162" s="4"/>
    </row>
    <row r="5163" spans="17:24" x14ac:dyDescent="0.3">
      <c r="Q5163" s="4"/>
      <c r="R5163" s="4"/>
      <c r="S5163" s="4"/>
      <c r="T5163" s="4"/>
      <c r="U5163" s="4"/>
      <c r="V5163" s="4"/>
      <c r="W5163" s="4"/>
      <c r="X5163" s="4"/>
    </row>
    <row r="5164" spans="17:24" x14ac:dyDescent="0.3">
      <c r="Q5164" s="4"/>
      <c r="R5164" s="4"/>
      <c r="S5164" s="4"/>
      <c r="T5164" s="4"/>
      <c r="U5164" s="4"/>
      <c r="V5164" s="4"/>
      <c r="W5164" s="4"/>
      <c r="X5164" s="4"/>
    </row>
    <row r="5165" spans="17:24" x14ac:dyDescent="0.3">
      <c r="Q5165" s="4"/>
      <c r="R5165" s="4"/>
      <c r="S5165" s="4"/>
      <c r="T5165" s="4"/>
      <c r="U5165" s="4"/>
      <c r="V5165" s="4"/>
      <c r="W5165" s="4"/>
      <c r="X5165" s="4"/>
    </row>
    <row r="5166" spans="17:24" x14ac:dyDescent="0.3">
      <c r="Q5166" s="4"/>
      <c r="R5166" s="4"/>
      <c r="S5166" s="4"/>
      <c r="T5166" s="4"/>
      <c r="U5166" s="4"/>
      <c r="V5166" s="4"/>
      <c r="W5166" s="4"/>
      <c r="X5166" s="4"/>
    </row>
    <row r="5167" spans="17:24" x14ac:dyDescent="0.3">
      <c r="Q5167" s="4"/>
      <c r="R5167" s="4"/>
      <c r="S5167" s="4"/>
      <c r="T5167" s="4"/>
      <c r="U5167" s="4"/>
      <c r="V5167" s="4"/>
      <c r="W5167" s="4"/>
      <c r="X5167" s="4"/>
    </row>
    <row r="5168" spans="17:24" x14ac:dyDescent="0.3">
      <c r="Q5168" s="4"/>
      <c r="R5168" s="4"/>
      <c r="S5168" s="4"/>
      <c r="T5168" s="4"/>
      <c r="U5168" s="4"/>
      <c r="V5168" s="4"/>
      <c r="W5168" s="4"/>
      <c r="X5168" s="4"/>
    </row>
    <row r="5169" spans="17:24" x14ac:dyDescent="0.3">
      <c r="Q5169" s="4"/>
      <c r="R5169" s="4"/>
      <c r="S5169" s="4"/>
      <c r="T5169" s="4"/>
      <c r="U5169" s="4"/>
      <c r="V5169" s="4"/>
      <c r="W5169" s="4"/>
      <c r="X5169" s="4"/>
    </row>
    <row r="5170" spans="17:24" x14ac:dyDescent="0.3">
      <c r="Q5170" s="4"/>
      <c r="R5170" s="4"/>
      <c r="S5170" s="4"/>
      <c r="T5170" s="4"/>
      <c r="U5170" s="4"/>
      <c r="V5170" s="4"/>
      <c r="W5170" s="4"/>
      <c r="X5170" s="4"/>
    </row>
    <row r="5171" spans="17:24" x14ac:dyDescent="0.3">
      <c r="Q5171" s="4"/>
      <c r="R5171" s="4"/>
      <c r="S5171" s="4"/>
      <c r="T5171" s="4"/>
      <c r="U5171" s="4"/>
      <c r="V5171" s="4"/>
      <c r="W5171" s="4"/>
      <c r="X5171" s="4"/>
    </row>
    <row r="5172" spans="17:24" x14ac:dyDescent="0.3">
      <c r="Q5172" s="4"/>
      <c r="R5172" s="4"/>
      <c r="S5172" s="4"/>
      <c r="T5172" s="4"/>
      <c r="U5172" s="4"/>
      <c r="V5172" s="4"/>
      <c r="W5172" s="4"/>
      <c r="X5172" s="4"/>
    </row>
    <row r="5173" spans="17:24" x14ac:dyDescent="0.3">
      <c r="Q5173" s="4"/>
      <c r="R5173" s="4"/>
      <c r="S5173" s="4"/>
      <c r="T5173" s="4"/>
      <c r="U5173" s="4"/>
      <c r="V5173" s="4"/>
      <c r="W5173" s="4"/>
      <c r="X5173" s="4"/>
    </row>
    <row r="5174" spans="17:24" x14ac:dyDescent="0.3">
      <c r="Q5174" s="4"/>
      <c r="R5174" s="4"/>
      <c r="S5174" s="4"/>
      <c r="T5174" s="4"/>
      <c r="U5174" s="4"/>
      <c r="V5174" s="4"/>
      <c r="W5174" s="4"/>
      <c r="X5174" s="4"/>
    </row>
    <row r="5175" spans="17:24" x14ac:dyDescent="0.3">
      <c r="Q5175" s="4"/>
      <c r="R5175" s="4"/>
      <c r="S5175" s="4"/>
      <c r="T5175" s="4"/>
      <c r="U5175" s="4"/>
      <c r="V5175" s="4"/>
      <c r="W5175" s="4"/>
      <c r="X5175" s="4"/>
    </row>
    <row r="5176" spans="17:24" x14ac:dyDescent="0.3">
      <c r="Q5176" s="4"/>
      <c r="R5176" s="4"/>
      <c r="S5176" s="4"/>
      <c r="T5176" s="4"/>
      <c r="U5176" s="4"/>
      <c r="V5176" s="4"/>
      <c r="W5176" s="4"/>
      <c r="X5176" s="4"/>
    </row>
    <row r="5177" spans="17:24" x14ac:dyDescent="0.3">
      <c r="Q5177" s="4"/>
      <c r="R5177" s="4"/>
      <c r="S5177" s="4"/>
      <c r="T5177" s="4"/>
      <c r="U5177" s="4"/>
      <c r="V5177" s="4"/>
      <c r="W5177" s="4"/>
      <c r="X5177" s="4"/>
    </row>
    <row r="5178" spans="17:24" x14ac:dyDescent="0.3">
      <c r="Q5178" s="4"/>
      <c r="R5178" s="4"/>
      <c r="S5178" s="4"/>
      <c r="T5178" s="4"/>
      <c r="U5178" s="4"/>
      <c r="V5178" s="4"/>
      <c r="W5178" s="4"/>
      <c r="X5178" s="4"/>
    </row>
    <row r="5179" spans="17:24" x14ac:dyDescent="0.3">
      <c r="Q5179" s="4"/>
      <c r="R5179" s="4"/>
      <c r="S5179" s="4"/>
      <c r="T5179" s="4"/>
      <c r="U5179" s="4"/>
      <c r="V5179" s="4"/>
      <c r="W5179" s="4"/>
      <c r="X5179" s="4"/>
    </row>
    <row r="5180" spans="17:24" x14ac:dyDescent="0.3">
      <c r="Q5180" s="4"/>
      <c r="R5180" s="4"/>
      <c r="S5180" s="4"/>
      <c r="T5180" s="4"/>
      <c r="U5180" s="4"/>
      <c r="V5180" s="4"/>
      <c r="W5180" s="4"/>
      <c r="X5180" s="4"/>
    </row>
    <row r="5181" spans="17:24" x14ac:dyDescent="0.3">
      <c r="Q5181" s="4"/>
      <c r="R5181" s="4"/>
      <c r="S5181" s="4"/>
      <c r="T5181" s="4"/>
      <c r="U5181" s="4"/>
      <c r="V5181" s="4"/>
      <c r="W5181" s="4"/>
      <c r="X5181" s="4"/>
    </row>
    <row r="5182" spans="17:24" x14ac:dyDescent="0.3">
      <c r="Q5182" s="4"/>
      <c r="R5182" s="4"/>
      <c r="S5182" s="4"/>
      <c r="T5182" s="4"/>
      <c r="U5182" s="4"/>
      <c r="V5182" s="4"/>
      <c r="W5182" s="4"/>
      <c r="X5182" s="4"/>
    </row>
    <row r="5183" spans="17:24" x14ac:dyDescent="0.3">
      <c r="Q5183" s="4"/>
      <c r="R5183" s="4"/>
      <c r="S5183" s="4"/>
      <c r="T5183" s="4"/>
      <c r="U5183" s="4"/>
      <c r="V5183" s="4"/>
      <c r="W5183" s="4"/>
      <c r="X5183" s="4"/>
    </row>
    <row r="5184" spans="17:24" x14ac:dyDescent="0.3">
      <c r="Q5184" s="4"/>
      <c r="R5184" s="4"/>
      <c r="S5184" s="4"/>
      <c r="T5184" s="4"/>
      <c r="U5184" s="4"/>
      <c r="V5184" s="4"/>
      <c r="W5184" s="4"/>
      <c r="X5184" s="4"/>
    </row>
    <row r="5185" spans="17:24" x14ac:dyDescent="0.3">
      <c r="Q5185" s="4"/>
      <c r="R5185" s="4"/>
      <c r="S5185" s="4"/>
      <c r="T5185" s="4"/>
      <c r="U5185" s="4"/>
      <c r="V5185" s="4"/>
      <c r="W5185" s="4"/>
      <c r="X5185" s="4"/>
    </row>
    <row r="5186" spans="17:24" x14ac:dyDescent="0.3">
      <c r="Q5186" s="4"/>
      <c r="R5186" s="4"/>
      <c r="S5186" s="4"/>
      <c r="T5186" s="4"/>
      <c r="U5186" s="4"/>
      <c r="V5186" s="4"/>
      <c r="W5186" s="4"/>
      <c r="X5186" s="4"/>
    </row>
    <row r="5187" spans="17:24" x14ac:dyDescent="0.3">
      <c r="Q5187" s="4"/>
      <c r="R5187" s="4"/>
      <c r="S5187" s="4"/>
      <c r="T5187" s="4"/>
      <c r="U5187" s="4"/>
      <c r="V5187" s="4"/>
      <c r="W5187" s="4"/>
      <c r="X5187" s="4"/>
    </row>
    <row r="5188" spans="17:24" x14ac:dyDescent="0.3">
      <c r="Q5188" s="4"/>
      <c r="R5188" s="4"/>
      <c r="S5188" s="4"/>
      <c r="T5188" s="4"/>
      <c r="U5188" s="4"/>
      <c r="V5188" s="4"/>
      <c r="W5188" s="4"/>
      <c r="X5188" s="4"/>
    </row>
    <row r="5189" spans="17:24" x14ac:dyDescent="0.3">
      <c r="Q5189" s="4"/>
      <c r="R5189" s="4"/>
      <c r="S5189" s="4"/>
      <c r="T5189" s="4"/>
      <c r="U5189" s="4"/>
      <c r="V5189" s="4"/>
      <c r="W5189" s="4"/>
      <c r="X5189" s="4"/>
    </row>
    <row r="5190" spans="17:24" x14ac:dyDescent="0.3">
      <c r="Q5190" s="4"/>
      <c r="R5190" s="4"/>
      <c r="S5190" s="4"/>
      <c r="T5190" s="4"/>
      <c r="U5190" s="4"/>
      <c r="V5190" s="4"/>
      <c r="W5190" s="4"/>
      <c r="X5190" s="4"/>
    </row>
    <row r="5191" spans="17:24" x14ac:dyDescent="0.3">
      <c r="Q5191" s="4"/>
      <c r="R5191" s="4"/>
      <c r="S5191" s="4"/>
      <c r="T5191" s="4"/>
      <c r="U5191" s="4"/>
      <c r="V5191" s="4"/>
      <c r="W5191" s="4"/>
      <c r="X5191" s="4"/>
    </row>
    <row r="5192" spans="17:24" x14ac:dyDescent="0.3">
      <c r="Q5192" s="4"/>
      <c r="R5192" s="4"/>
      <c r="S5192" s="4"/>
      <c r="T5192" s="4"/>
      <c r="U5192" s="4"/>
      <c r="V5192" s="4"/>
      <c r="W5192" s="4"/>
      <c r="X5192" s="4"/>
    </row>
    <row r="5193" spans="17:24" x14ac:dyDescent="0.3">
      <c r="Q5193" s="4"/>
      <c r="R5193" s="4"/>
      <c r="S5193" s="4"/>
      <c r="T5193" s="4"/>
      <c r="U5193" s="4"/>
      <c r="V5193" s="4"/>
      <c r="W5193" s="4"/>
      <c r="X5193" s="4"/>
    </row>
    <row r="5194" spans="17:24" x14ac:dyDescent="0.3">
      <c r="Q5194" s="4"/>
      <c r="R5194" s="4"/>
      <c r="S5194" s="4"/>
      <c r="T5194" s="4"/>
      <c r="U5194" s="4"/>
      <c r="V5194" s="4"/>
      <c r="W5194" s="4"/>
      <c r="X5194" s="4"/>
    </row>
    <row r="5195" spans="17:24" x14ac:dyDescent="0.3">
      <c r="Q5195" s="4"/>
      <c r="R5195" s="4"/>
      <c r="S5195" s="4"/>
      <c r="T5195" s="4"/>
      <c r="U5195" s="4"/>
      <c r="V5195" s="4"/>
      <c r="W5195" s="4"/>
      <c r="X5195" s="4"/>
    </row>
    <row r="5196" spans="17:24" x14ac:dyDescent="0.3">
      <c r="Q5196" s="4"/>
      <c r="R5196" s="4"/>
      <c r="S5196" s="4"/>
      <c r="T5196" s="4"/>
      <c r="U5196" s="4"/>
      <c r="V5196" s="4"/>
      <c r="W5196" s="4"/>
      <c r="X5196" s="4"/>
    </row>
    <row r="5197" spans="17:24" x14ac:dyDescent="0.3">
      <c r="Q5197" s="4"/>
      <c r="R5197" s="4"/>
      <c r="S5197" s="4"/>
      <c r="T5197" s="4"/>
      <c r="U5197" s="4"/>
      <c r="V5197" s="4"/>
      <c r="W5197" s="4"/>
      <c r="X5197" s="4"/>
    </row>
    <row r="5198" spans="17:24" x14ac:dyDescent="0.3">
      <c r="Q5198" s="4"/>
      <c r="R5198" s="4"/>
      <c r="S5198" s="4"/>
      <c r="T5198" s="4"/>
      <c r="U5198" s="4"/>
      <c r="V5198" s="4"/>
      <c r="W5198" s="4"/>
      <c r="X5198" s="4"/>
    </row>
    <row r="5199" spans="17:24" x14ac:dyDescent="0.3">
      <c r="Q5199" s="4"/>
      <c r="R5199" s="4"/>
      <c r="S5199" s="4"/>
      <c r="T5199" s="4"/>
      <c r="U5199" s="4"/>
      <c r="V5199" s="4"/>
      <c r="W5199" s="4"/>
      <c r="X5199" s="4"/>
    </row>
    <row r="5200" spans="17:24" x14ac:dyDescent="0.3">
      <c r="Q5200" s="4"/>
      <c r="R5200" s="4"/>
      <c r="S5200" s="4"/>
      <c r="T5200" s="4"/>
      <c r="U5200" s="4"/>
      <c r="V5200" s="4"/>
      <c r="W5200" s="4"/>
      <c r="X5200" s="4"/>
    </row>
    <row r="5201" spans="17:24" x14ac:dyDescent="0.3">
      <c r="Q5201" s="4"/>
      <c r="R5201" s="4"/>
      <c r="S5201" s="4"/>
      <c r="T5201" s="4"/>
      <c r="U5201" s="4"/>
      <c r="V5201" s="4"/>
      <c r="W5201" s="4"/>
      <c r="X5201" s="4"/>
    </row>
    <row r="5202" spans="17:24" x14ac:dyDescent="0.3">
      <c r="Q5202" s="4"/>
      <c r="R5202" s="4"/>
      <c r="S5202" s="4"/>
      <c r="T5202" s="4"/>
      <c r="U5202" s="4"/>
      <c r="V5202" s="4"/>
      <c r="W5202" s="4"/>
      <c r="X5202" s="4"/>
    </row>
    <row r="5203" spans="17:24" x14ac:dyDescent="0.3">
      <c r="Q5203" s="4"/>
      <c r="R5203" s="4"/>
      <c r="S5203" s="4"/>
      <c r="T5203" s="4"/>
      <c r="U5203" s="4"/>
      <c r="V5203" s="4"/>
      <c r="W5203" s="4"/>
      <c r="X5203" s="4"/>
    </row>
    <row r="5204" spans="17:24" x14ac:dyDescent="0.3">
      <c r="Q5204" s="4"/>
      <c r="R5204" s="4"/>
      <c r="S5204" s="4"/>
      <c r="T5204" s="4"/>
      <c r="U5204" s="4"/>
      <c r="V5204" s="4"/>
      <c r="W5204" s="4"/>
      <c r="X5204" s="4"/>
    </row>
    <row r="5205" spans="17:24" x14ac:dyDescent="0.3">
      <c r="Q5205" s="4"/>
      <c r="R5205" s="4"/>
      <c r="S5205" s="4"/>
      <c r="T5205" s="4"/>
      <c r="U5205" s="4"/>
      <c r="V5205" s="4"/>
      <c r="W5205" s="4"/>
      <c r="X5205" s="4"/>
    </row>
    <row r="5206" spans="17:24" x14ac:dyDescent="0.3">
      <c r="Q5206" s="4"/>
      <c r="R5206" s="4"/>
      <c r="S5206" s="4"/>
      <c r="T5206" s="4"/>
      <c r="U5206" s="4"/>
      <c r="V5206" s="4"/>
      <c r="W5206" s="4"/>
      <c r="X5206" s="4"/>
    </row>
    <row r="5207" spans="17:24" x14ac:dyDescent="0.3">
      <c r="Q5207" s="4"/>
      <c r="R5207" s="4"/>
      <c r="S5207" s="4"/>
      <c r="T5207" s="4"/>
      <c r="U5207" s="4"/>
      <c r="V5207" s="4"/>
      <c r="W5207" s="4"/>
      <c r="X5207" s="4"/>
    </row>
    <row r="5208" spans="17:24" x14ac:dyDescent="0.3">
      <c r="Q5208" s="4"/>
      <c r="R5208" s="4"/>
      <c r="S5208" s="4"/>
      <c r="T5208" s="4"/>
      <c r="U5208" s="4"/>
      <c r="V5208" s="4"/>
      <c r="W5208" s="4"/>
      <c r="X5208" s="4"/>
    </row>
    <row r="5209" spans="17:24" x14ac:dyDescent="0.3">
      <c r="Q5209" s="4"/>
      <c r="R5209" s="4"/>
      <c r="S5209" s="4"/>
      <c r="T5209" s="4"/>
      <c r="U5209" s="4"/>
      <c r="V5209" s="4"/>
      <c r="W5209" s="4"/>
      <c r="X5209" s="4"/>
    </row>
    <row r="5210" spans="17:24" x14ac:dyDescent="0.3">
      <c r="Q5210" s="4"/>
      <c r="R5210" s="4"/>
      <c r="S5210" s="4"/>
      <c r="T5210" s="4"/>
      <c r="U5210" s="4"/>
      <c r="V5210" s="4"/>
      <c r="W5210" s="4"/>
      <c r="X5210" s="4"/>
    </row>
    <row r="5211" spans="17:24" x14ac:dyDescent="0.3">
      <c r="Q5211" s="4"/>
      <c r="R5211" s="4"/>
      <c r="S5211" s="4"/>
      <c r="T5211" s="4"/>
      <c r="U5211" s="4"/>
      <c r="V5211" s="4"/>
      <c r="W5211" s="4"/>
      <c r="X5211" s="4"/>
    </row>
    <row r="5212" spans="17:24" x14ac:dyDescent="0.3">
      <c r="Q5212" s="4"/>
      <c r="R5212" s="4"/>
      <c r="S5212" s="4"/>
      <c r="T5212" s="4"/>
      <c r="U5212" s="4"/>
      <c r="V5212" s="4"/>
      <c r="W5212" s="4"/>
      <c r="X5212" s="4"/>
    </row>
    <row r="5213" spans="17:24" x14ac:dyDescent="0.3">
      <c r="Q5213" s="4"/>
      <c r="R5213" s="4"/>
      <c r="S5213" s="4"/>
      <c r="T5213" s="4"/>
      <c r="U5213" s="4"/>
      <c r="V5213" s="4"/>
      <c r="W5213" s="4"/>
      <c r="X5213" s="4"/>
    </row>
    <row r="5214" spans="17:24" x14ac:dyDescent="0.3">
      <c r="Q5214" s="4"/>
      <c r="R5214" s="4"/>
      <c r="S5214" s="4"/>
      <c r="T5214" s="4"/>
      <c r="U5214" s="4"/>
      <c r="V5214" s="4"/>
      <c r="W5214" s="4"/>
      <c r="X5214" s="4"/>
    </row>
    <row r="5215" spans="17:24" x14ac:dyDescent="0.3">
      <c r="Q5215" s="4"/>
      <c r="R5215" s="4"/>
      <c r="S5215" s="4"/>
      <c r="T5215" s="4"/>
      <c r="U5215" s="4"/>
      <c r="V5215" s="4"/>
      <c r="W5215" s="4"/>
      <c r="X5215" s="4"/>
    </row>
    <row r="5216" spans="17:24" x14ac:dyDescent="0.3">
      <c r="Q5216" s="4"/>
      <c r="R5216" s="4"/>
      <c r="S5216" s="4"/>
      <c r="T5216" s="4"/>
      <c r="U5216" s="4"/>
      <c r="V5216" s="4"/>
      <c r="W5216" s="4"/>
      <c r="X5216" s="4"/>
    </row>
    <row r="5217" spans="17:24" x14ac:dyDescent="0.3">
      <c r="Q5217" s="4"/>
      <c r="R5217" s="4"/>
      <c r="S5217" s="4"/>
      <c r="T5217" s="4"/>
      <c r="U5217" s="4"/>
      <c r="V5217" s="4"/>
      <c r="W5217" s="4"/>
      <c r="X5217" s="4"/>
    </row>
    <row r="5218" spans="17:24" x14ac:dyDescent="0.3">
      <c r="Q5218" s="4"/>
      <c r="R5218" s="4"/>
      <c r="S5218" s="4"/>
      <c r="T5218" s="4"/>
      <c r="U5218" s="4"/>
      <c r="V5218" s="4"/>
      <c r="W5218" s="4"/>
      <c r="X5218" s="4"/>
    </row>
    <row r="5219" spans="17:24" x14ac:dyDescent="0.3">
      <c r="Q5219" s="4"/>
      <c r="R5219" s="4"/>
      <c r="S5219" s="4"/>
      <c r="T5219" s="4"/>
      <c r="U5219" s="4"/>
      <c r="V5219" s="4"/>
      <c r="W5219" s="4"/>
      <c r="X5219" s="4"/>
    </row>
    <row r="5220" spans="17:24" x14ac:dyDescent="0.3">
      <c r="Q5220" s="4"/>
      <c r="R5220" s="4"/>
      <c r="S5220" s="4"/>
      <c r="T5220" s="4"/>
      <c r="U5220" s="4"/>
      <c r="V5220" s="4"/>
      <c r="W5220" s="4"/>
      <c r="X5220" s="4"/>
    </row>
    <row r="5221" spans="17:24" x14ac:dyDescent="0.3">
      <c r="Q5221" s="4"/>
      <c r="R5221" s="4"/>
      <c r="S5221" s="4"/>
      <c r="T5221" s="4"/>
      <c r="U5221" s="4"/>
      <c r="V5221" s="4"/>
      <c r="W5221" s="4"/>
      <c r="X5221" s="4"/>
    </row>
    <row r="5222" spans="17:24" x14ac:dyDescent="0.3">
      <c r="Q5222" s="4"/>
      <c r="R5222" s="4"/>
      <c r="S5222" s="4"/>
      <c r="T5222" s="4"/>
      <c r="U5222" s="4"/>
      <c r="V5222" s="4"/>
      <c r="W5222" s="4"/>
      <c r="X5222" s="4"/>
    </row>
    <row r="5223" spans="17:24" x14ac:dyDescent="0.3">
      <c r="Q5223" s="4"/>
      <c r="R5223" s="4"/>
      <c r="S5223" s="4"/>
      <c r="T5223" s="4"/>
      <c r="U5223" s="4"/>
      <c r="V5223" s="4"/>
      <c r="W5223" s="4"/>
      <c r="X5223" s="4"/>
    </row>
    <row r="5224" spans="17:24" x14ac:dyDescent="0.3">
      <c r="Q5224" s="4"/>
      <c r="R5224" s="4"/>
      <c r="S5224" s="4"/>
      <c r="T5224" s="4"/>
      <c r="U5224" s="4"/>
      <c r="V5224" s="4"/>
      <c r="W5224" s="4"/>
      <c r="X5224" s="4"/>
    </row>
    <row r="5225" spans="17:24" x14ac:dyDescent="0.3">
      <c r="Q5225" s="4"/>
      <c r="R5225" s="4"/>
      <c r="S5225" s="4"/>
      <c r="T5225" s="4"/>
      <c r="U5225" s="4"/>
      <c r="V5225" s="4"/>
      <c r="W5225" s="4"/>
      <c r="X5225" s="4"/>
    </row>
    <row r="5226" spans="17:24" x14ac:dyDescent="0.3">
      <c r="Q5226" s="4"/>
      <c r="R5226" s="4"/>
      <c r="S5226" s="4"/>
      <c r="T5226" s="4"/>
      <c r="U5226" s="4"/>
      <c r="V5226" s="4"/>
      <c r="W5226" s="4"/>
      <c r="X5226" s="4"/>
    </row>
    <row r="5227" spans="17:24" x14ac:dyDescent="0.3">
      <c r="Q5227" s="4"/>
      <c r="R5227" s="4"/>
      <c r="S5227" s="4"/>
      <c r="T5227" s="4"/>
      <c r="U5227" s="4"/>
      <c r="V5227" s="4"/>
      <c r="W5227" s="4"/>
      <c r="X5227" s="4"/>
    </row>
    <row r="5228" spans="17:24" x14ac:dyDescent="0.3">
      <c r="Q5228" s="4"/>
      <c r="R5228" s="4"/>
      <c r="S5228" s="4"/>
      <c r="T5228" s="4"/>
      <c r="U5228" s="4"/>
      <c r="V5228" s="4"/>
      <c r="W5228" s="4"/>
      <c r="X5228" s="4"/>
    </row>
    <row r="5229" spans="17:24" x14ac:dyDescent="0.3">
      <c r="Q5229" s="4"/>
      <c r="R5229" s="4"/>
      <c r="S5229" s="4"/>
      <c r="T5229" s="4"/>
      <c r="U5229" s="4"/>
      <c r="V5229" s="4"/>
      <c r="W5229" s="4"/>
      <c r="X5229" s="4"/>
    </row>
    <row r="5230" spans="17:24" x14ac:dyDescent="0.3">
      <c r="Q5230" s="4"/>
      <c r="R5230" s="4"/>
      <c r="S5230" s="4"/>
      <c r="T5230" s="4"/>
      <c r="U5230" s="4"/>
      <c r="V5230" s="4"/>
      <c r="W5230" s="4"/>
      <c r="X5230" s="4"/>
    </row>
    <row r="5231" spans="17:24" x14ac:dyDescent="0.3">
      <c r="Q5231" s="4"/>
      <c r="R5231" s="4"/>
      <c r="S5231" s="4"/>
      <c r="T5231" s="4"/>
      <c r="U5231" s="4"/>
      <c r="V5231" s="4"/>
      <c r="W5231" s="4"/>
      <c r="X5231" s="4"/>
    </row>
    <row r="5232" spans="17:24" x14ac:dyDescent="0.3">
      <c r="Q5232" s="4"/>
      <c r="R5232" s="4"/>
      <c r="S5232" s="4"/>
      <c r="T5232" s="4"/>
      <c r="U5232" s="4"/>
      <c r="V5232" s="4"/>
      <c r="W5232" s="4"/>
      <c r="X5232" s="4"/>
    </row>
    <row r="5233" spans="17:24" x14ac:dyDescent="0.3">
      <c r="Q5233" s="4"/>
      <c r="R5233" s="4"/>
      <c r="S5233" s="4"/>
      <c r="T5233" s="4"/>
      <c r="U5233" s="4"/>
      <c r="V5233" s="4"/>
      <c r="W5233" s="4"/>
      <c r="X5233" s="4"/>
    </row>
    <row r="5234" spans="17:24" x14ac:dyDescent="0.3">
      <c r="Q5234" s="4"/>
      <c r="R5234" s="4"/>
      <c r="S5234" s="4"/>
      <c r="T5234" s="4"/>
      <c r="U5234" s="4"/>
      <c r="V5234" s="4"/>
      <c r="W5234" s="4"/>
      <c r="X5234" s="4"/>
    </row>
    <row r="5235" spans="17:24" x14ac:dyDescent="0.3">
      <c r="Q5235" s="4"/>
      <c r="R5235" s="4"/>
      <c r="S5235" s="4"/>
      <c r="T5235" s="4"/>
      <c r="U5235" s="4"/>
      <c r="V5235" s="4"/>
      <c r="W5235" s="4"/>
      <c r="X5235" s="4"/>
    </row>
    <row r="5236" spans="17:24" x14ac:dyDescent="0.3">
      <c r="Q5236" s="4"/>
      <c r="R5236" s="4"/>
      <c r="S5236" s="4"/>
      <c r="T5236" s="4"/>
      <c r="U5236" s="4"/>
      <c r="V5236" s="4"/>
      <c r="W5236" s="4"/>
      <c r="X5236" s="4"/>
    </row>
    <row r="5237" spans="17:24" x14ac:dyDescent="0.3">
      <c r="Q5237" s="4"/>
      <c r="R5237" s="4"/>
      <c r="S5237" s="4"/>
      <c r="T5237" s="4"/>
      <c r="U5237" s="4"/>
      <c r="V5237" s="4"/>
      <c r="W5237" s="4"/>
      <c r="X5237" s="4"/>
    </row>
    <row r="5238" spans="17:24" x14ac:dyDescent="0.3">
      <c r="Q5238" s="4"/>
      <c r="R5238" s="4"/>
      <c r="S5238" s="4"/>
      <c r="T5238" s="4"/>
      <c r="U5238" s="4"/>
      <c r="V5238" s="4"/>
      <c r="W5238" s="4"/>
      <c r="X5238" s="4"/>
    </row>
    <row r="5239" spans="17:24" x14ac:dyDescent="0.3">
      <c r="Q5239" s="4"/>
      <c r="R5239" s="4"/>
      <c r="S5239" s="4"/>
      <c r="T5239" s="4"/>
      <c r="U5239" s="4"/>
      <c r="V5239" s="4"/>
      <c r="W5239" s="4"/>
      <c r="X5239" s="4"/>
    </row>
    <row r="5240" spans="17:24" x14ac:dyDescent="0.3">
      <c r="Q5240" s="4"/>
      <c r="R5240" s="4"/>
      <c r="S5240" s="4"/>
      <c r="T5240" s="4"/>
      <c r="U5240" s="4"/>
      <c r="V5240" s="4"/>
      <c r="W5240" s="4"/>
      <c r="X5240" s="4"/>
    </row>
    <row r="5241" spans="17:24" x14ac:dyDescent="0.3">
      <c r="Q5241" s="4"/>
      <c r="R5241" s="4"/>
      <c r="S5241" s="4"/>
      <c r="T5241" s="4"/>
      <c r="U5241" s="4"/>
      <c r="V5241" s="4"/>
      <c r="W5241" s="4"/>
      <c r="X5241" s="4"/>
    </row>
    <row r="5242" spans="17:24" x14ac:dyDescent="0.3">
      <c r="Q5242" s="4"/>
      <c r="R5242" s="4"/>
      <c r="S5242" s="4"/>
      <c r="T5242" s="4"/>
      <c r="U5242" s="4"/>
      <c r="V5242" s="4"/>
      <c r="W5242" s="4"/>
      <c r="X5242" s="4"/>
    </row>
    <row r="5243" spans="17:24" x14ac:dyDescent="0.3">
      <c r="Q5243" s="4"/>
      <c r="R5243" s="4"/>
      <c r="S5243" s="4"/>
      <c r="T5243" s="4"/>
      <c r="U5243" s="4"/>
      <c r="V5243" s="4"/>
      <c r="W5243" s="4"/>
      <c r="X5243" s="4"/>
    </row>
    <row r="5244" spans="17:24" x14ac:dyDescent="0.3">
      <c r="Q5244" s="4"/>
      <c r="R5244" s="4"/>
      <c r="S5244" s="4"/>
      <c r="T5244" s="4"/>
      <c r="U5244" s="4"/>
      <c r="V5244" s="4"/>
      <c r="W5244" s="4"/>
      <c r="X5244" s="4"/>
    </row>
    <row r="5245" spans="17:24" x14ac:dyDescent="0.3">
      <c r="Q5245" s="4"/>
      <c r="R5245" s="4"/>
      <c r="S5245" s="4"/>
      <c r="T5245" s="4"/>
      <c r="U5245" s="4"/>
      <c r="V5245" s="4"/>
      <c r="W5245" s="4"/>
      <c r="X5245" s="4"/>
    </row>
    <row r="5246" spans="17:24" x14ac:dyDescent="0.3">
      <c r="Q5246" s="4"/>
      <c r="R5246" s="4"/>
      <c r="S5246" s="4"/>
      <c r="T5246" s="4"/>
      <c r="U5246" s="4"/>
      <c r="V5246" s="4"/>
      <c r="W5246" s="4"/>
      <c r="X5246" s="4"/>
    </row>
    <row r="5247" spans="17:24" x14ac:dyDescent="0.3">
      <c r="Q5247" s="4"/>
      <c r="R5247" s="4"/>
      <c r="S5247" s="4"/>
      <c r="T5247" s="4"/>
      <c r="U5247" s="4"/>
      <c r="V5247" s="4"/>
      <c r="W5247" s="4"/>
      <c r="X5247" s="4"/>
    </row>
    <row r="5248" spans="17:24" x14ac:dyDescent="0.3">
      <c r="Q5248" s="4"/>
      <c r="R5248" s="4"/>
      <c r="S5248" s="4"/>
      <c r="T5248" s="4"/>
      <c r="U5248" s="4"/>
      <c r="V5248" s="4"/>
      <c r="W5248" s="4"/>
      <c r="X5248" s="4"/>
    </row>
    <row r="5249" spans="17:24" x14ac:dyDescent="0.3">
      <c r="Q5249" s="4"/>
      <c r="R5249" s="4"/>
      <c r="S5249" s="4"/>
      <c r="T5249" s="4"/>
      <c r="U5249" s="4"/>
      <c r="V5249" s="4"/>
      <c r="W5249" s="4"/>
      <c r="X5249" s="4"/>
    </row>
    <row r="5250" spans="17:24" x14ac:dyDescent="0.3">
      <c r="Q5250" s="4"/>
      <c r="R5250" s="4"/>
      <c r="S5250" s="4"/>
      <c r="T5250" s="4"/>
      <c r="U5250" s="4"/>
      <c r="V5250" s="4"/>
      <c r="W5250" s="4"/>
      <c r="X5250" s="4"/>
    </row>
    <row r="5251" spans="17:24" x14ac:dyDescent="0.3">
      <c r="Q5251" s="4"/>
      <c r="R5251" s="4"/>
      <c r="S5251" s="4"/>
      <c r="T5251" s="4"/>
      <c r="U5251" s="4"/>
      <c r="V5251" s="4"/>
      <c r="W5251" s="4"/>
      <c r="X5251" s="4"/>
    </row>
    <row r="5252" spans="17:24" x14ac:dyDescent="0.3">
      <c r="Q5252" s="4"/>
      <c r="R5252" s="4"/>
      <c r="S5252" s="4"/>
      <c r="T5252" s="4"/>
      <c r="U5252" s="4"/>
      <c r="V5252" s="4"/>
      <c r="W5252" s="4"/>
      <c r="X5252" s="4"/>
    </row>
    <row r="5253" spans="17:24" x14ac:dyDescent="0.3">
      <c r="Q5253" s="4"/>
      <c r="R5253" s="4"/>
      <c r="S5253" s="4"/>
      <c r="T5253" s="4"/>
      <c r="U5253" s="4"/>
      <c r="V5253" s="4"/>
      <c r="W5253" s="4"/>
      <c r="X5253" s="4"/>
    </row>
    <row r="5254" spans="17:24" x14ac:dyDescent="0.3">
      <c r="Q5254" s="4"/>
      <c r="R5254" s="4"/>
      <c r="S5254" s="4"/>
      <c r="T5254" s="4"/>
      <c r="U5254" s="4"/>
      <c r="V5254" s="4"/>
      <c r="W5254" s="4"/>
      <c r="X5254" s="4"/>
    </row>
    <row r="5255" spans="17:24" x14ac:dyDescent="0.3">
      <c r="Q5255" s="4"/>
      <c r="R5255" s="4"/>
      <c r="S5255" s="4"/>
      <c r="T5255" s="4"/>
      <c r="U5255" s="4"/>
      <c r="V5255" s="4"/>
      <c r="W5255" s="4"/>
      <c r="X5255" s="4"/>
    </row>
    <row r="5256" spans="17:24" x14ac:dyDescent="0.3">
      <c r="Q5256" s="4"/>
      <c r="R5256" s="4"/>
      <c r="S5256" s="4"/>
      <c r="T5256" s="4"/>
      <c r="U5256" s="4"/>
      <c r="V5256" s="4"/>
      <c r="W5256" s="4"/>
      <c r="X5256" s="4"/>
    </row>
    <row r="5257" spans="17:24" x14ac:dyDescent="0.3">
      <c r="Q5257" s="4"/>
      <c r="R5257" s="4"/>
      <c r="S5257" s="4"/>
      <c r="T5257" s="4"/>
      <c r="U5257" s="4"/>
      <c r="V5257" s="4"/>
      <c r="W5257" s="4"/>
      <c r="X5257" s="4"/>
    </row>
    <row r="5258" spans="17:24" x14ac:dyDescent="0.3">
      <c r="Q5258" s="4"/>
      <c r="R5258" s="4"/>
      <c r="S5258" s="4"/>
      <c r="T5258" s="4"/>
      <c r="U5258" s="4"/>
      <c r="V5258" s="4"/>
      <c r="W5258" s="4"/>
      <c r="X5258" s="4"/>
    </row>
    <row r="5259" spans="17:24" x14ac:dyDescent="0.3">
      <c r="Q5259" s="4"/>
      <c r="R5259" s="4"/>
      <c r="S5259" s="4"/>
      <c r="T5259" s="4"/>
      <c r="U5259" s="4"/>
      <c r="V5259" s="4"/>
      <c r="W5259" s="4"/>
      <c r="X5259" s="4"/>
    </row>
    <row r="5260" spans="17:24" x14ac:dyDescent="0.3">
      <c r="Q5260" s="4"/>
      <c r="R5260" s="4"/>
      <c r="S5260" s="4"/>
      <c r="T5260" s="4"/>
      <c r="U5260" s="4"/>
      <c r="V5260" s="4"/>
      <c r="W5260" s="4"/>
      <c r="X5260" s="4"/>
    </row>
    <row r="5261" spans="17:24" x14ac:dyDescent="0.3">
      <c r="Q5261" s="4"/>
      <c r="R5261" s="4"/>
      <c r="S5261" s="4"/>
      <c r="T5261" s="4"/>
      <c r="U5261" s="4"/>
      <c r="V5261" s="4"/>
      <c r="W5261" s="4"/>
      <c r="X5261" s="4"/>
    </row>
    <row r="5262" spans="17:24" x14ac:dyDescent="0.3">
      <c r="Q5262" s="4"/>
      <c r="R5262" s="4"/>
      <c r="S5262" s="4"/>
      <c r="T5262" s="4"/>
      <c r="U5262" s="4"/>
      <c r="V5262" s="4"/>
      <c r="W5262" s="4"/>
      <c r="X5262" s="4"/>
    </row>
    <row r="5263" spans="17:24" x14ac:dyDescent="0.3">
      <c r="Q5263" s="4"/>
      <c r="R5263" s="4"/>
      <c r="S5263" s="4"/>
      <c r="T5263" s="4"/>
      <c r="U5263" s="4"/>
      <c r="V5263" s="4"/>
      <c r="W5263" s="4"/>
      <c r="X5263" s="4"/>
    </row>
    <row r="5264" spans="17:24" x14ac:dyDescent="0.3">
      <c r="Q5264" s="4"/>
      <c r="R5264" s="4"/>
      <c r="S5264" s="4"/>
      <c r="T5264" s="4"/>
      <c r="U5264" s="4"/>
      <c r="V5264" s="4"/>
      <c r="W5264" s="4"/>
      <c r="X5264" s="4"/>
    </row>
    <row r="5265" spans="17:24" x14ac:dyDescent="0.3">
      <c r="Q5265" s="4"/>
      <c r="R5265" s="4"/>
      <c r="S5265" s="4"/>
      <c r="T5265" s="4"/>
      <c r="U5265" s="4"/>
      <c r="V5265" s="4"/>
      <c r="W5265" s="4"/>
      <c r="X5265" s="4"/>
    </row>
    <row r="5266" spans="17:24" x14ac:dyDescent="0.3">
      <c r="Q5266" s="4"/>
      <c r="R5266" s="4"/>
      <c r="S5266" s="4"/>
      <c r="T5266" s="4"/>
      <c r="U5266" s="4"/>
      <c r="V5266" s="4"/>
      <c r="W5266" s="4"/>
      <c r="X5266" s="4"/>
    </row>
    <row r="5267" spans="17:24" x14ac:dyDescent="0.3">
      <c r="Q5267" s="4"/>
      <c r="R5267" s="4"/>
      <c r="S5267" s="4"/>
      <c r="T5267" s="4"/>
      <c r="U5267" s="4"/>
      <c r="V5267" s="4"/>
      <c r="W5267" s="4"/>
      <c r="X5267" s="4"/>
    </row>
    <row r="5268" spans="17:24" x14ac:dyDescent="0.3">
      <c r="Q5268" s="4"/>
      <c r="R5268" s="4"/>
      <c r="S5268" s="4"/>
      <c r="T5268" s="4"/>
      <c r="U5268" s="4"/>
      <c r="V5268" s="4"/>
      <c r="W5268" s="4"/>
      <c r="X5268" s="4"/>
    </row>
    <row r="5269" spans="17:24" x14ac:dyDescent="0.3">
      <c r="Q5269" s="4"/>
      <c r="R5269" s="4"/>
      <c r="S5269" s="4"/>
      <c r="T5269" s="4"/>
      <c r="U5269" s="4"/>
      <c r="V5269" s="4"/>
      <c r="W5269" s="4"/>
      <c r="X5269" s="4"/>
    </row>
    <row r="5270" spans="17:24" x14ac:dyDescent="0.3">
      <c r="Q5270" s="4"/>
      <c r="R5270" s="4"/>
      <c r="S5270" s="4"/>
      <c r="T5270" s="4"/>
      <c r="U5270" s="4"/>
      <c r="V5270" s="4"/>
      <c r="W5270" s="4"/>
      <c r="X5270" s="4"/>
    </row>
    <row r="5271" spans="17:24" x14ac:dyDescent="0.3">
      <c r="Q5271" s="4"/>
      <c r="R5271" s="4"/>
      <c r="S5271" s="4"/>
      <c r="T5271" s="4"/>
      <c r="U5271" s="4"/>
      <c r="V5271" s="4"/>
      <c r="W5271" s="4"/>
      <c r="X5271" s="4"/>
    </row>
    <row r="5272" spans="17:24" x14ac:dyDescent="0.3">
      <c r="Q5272" s="4"/>
      <c r="R5272" s="4"/>
      <c r="S5272" s="4"/>
      <c r="T5272" s="4"/>
      <c r="U5272" s="4"/>
      <c r="V5272" s="4"/>
      <c r="W5272" s="4"/>
      <c r="X5272" s="4"/>
    </row>
    <row r="5273" spans="17:24" x14ac:dyDescent="0.3">
      <c r="Q5273" s="4"/>
      <c r="R5273" s="4"/>
      <c r="S5273" s="4"/>
      <c r="T5273" s="4"/>
      <c r="U5273" s="4"/>
      <c r="V5273" s="4"/>
      <c r="W5273" s="4"/>
      <c r="X5273" s="4"/>
    </row>
    <row r="5274" spans="17:24" x14ac:dyDescent="0.3">
      <c r="Q5274" s="4"/>
      <c r="R5274" s="4"/>
      <c r="S5274" s="4"/>
      <c r="T5274" s="4"/>
      <c r="U5274" s="4"/>
      <c r="V5274" s="4"/>
      <c r="W5274" s="4"/>
      <c r="X5274" s="4"/>
    </row>
    <row r="5275" spans="17:24" x14ac:dyDescent="0.3">
      <c r="Q5275" s="4"/>
      <c r="R5275" s="4"/>
      <c r="S5275" s="4"/>
      <c r="T5275" s="4"/>
      <c r="U5275" s="4"/>
      <c r="V5275" s="4"/>
      <c r="W5275" s="4"/>
      <c r="X5275" s="4"/>
    </row>
    <row r="5276" spans="17:24" x14ac:dyDescent="0.3">
      <c r="Q5276" s="4"/>
      <c r="R5276" s="4"/>
      <c r="S5276" s="4"/>
      <c r="T5276" s="4"/>
      <c r="U5276" s="4"/>
      <c r="V5276" s="4"/>
      <c r="W5276" s="4"/>
      <c r="X5276" s="4"/>
    </row>
    <row r="5277" spans="17:24" x14ac:dyDescent="0.3">
      <c r="Q5277" s="4"/>
      <c r="R5277" s="4"/>
      <c r="S5277" s="4"/>
      <c r="T5277" s="4"/>
      <c r="U5277" s="4"/>
      <c r="V5277" s="4"/>
      <c r="W5277" s="4"/>
      <c r="X5277" s="4"/>
    </row>
    <row r="5278" spans="17:24" x14ac:dyDescent="0.3">
      <c r="Q5278" s="4"/>
      <c r="R5278" s="4"/>
      <c r="S5278" s="4"/>
      <c r="T5278" s="4"/>
      <c r="U5278" s="4"/>
      <c r="V5278" s="4"/>
      <c r="W5278" s="4"/>
      <c r="X5278" s="4"/>
    </row>
    <row r="5279" spans="17:24" x14ac:dyDescent="0.3">
      <c r="Q5279" s="4"/>
      <c r="R5279" s="4"/>
      <c r="S5279" s="4"/>
      <c r="T5279" s="4"/>
      <c r="U5279" s="4"/>
      <c r="V5279" s="4"/>
      <c r="W5279" s="4"/>
      <c r="X5279" s="4"/>
    </row>
    <row r="5280" spans="17:24" x14ac:dyDescent="0.3">
      <c r="Q5280" s="4"/>
      <c r="R5280" s="4"/>
      <c r="S5280" s="4"/>
      <c r="T5280" s="4"/>
      <c r="U5280" s="4"/>
      <c r="V5280" s="4"/>
      <c r="W5280" s="4"/>
      <c r="X5280" s="4"/>
    </row>
    <row r="5281" spans="17:24" x14ac:dyDescent="0.3">
      <c r="Q5281" s="4"/>
      <c r="R5281" s="4"/>
      <c r="S5281" s="4"/>
      <c r="T5281" s="4"/>
      <c r="U5281" s="4"/>
      <c r="V5281" s="4"/>
      <c r="W5281" s="4"/>
      <c r="X5281" s="4"/>
    </row>
    <row r="5282" spans="17:24" x14ac:dyDescent="0.3">
      <c r="Q5282" s="4"/>
      <c r="R5282" s="4"/>
      <c r="S5282" s="4"/>
      <c r="T5282" s="4"/>
      <c r="U5282" s="4"/>
      <c r="V5282" s="4"/>
      <c r="W5282" s="4"/>
      <c r="X5282" s="4"/>
    </row>
    <row r="5283" spans="17:24" x14ac:dyDescent="0.3">
      <c r="Q5283" s="4"/>
      <c r="R5283" s="4"/>
      <c r="S5283" s="4"/>
      <c r="T5283" s="4"/>
      <c r="U5283" s="4"/>
      <c r="V5283" s="4"/>
      <c r="W5283" s="4"/>
      <c r="X5283" s="4"/>
    </row>
    <row r="5284" spans="17:24" x14ac:dyDescent="0.3">
      <c r="Q5284" s="4"/>
      <c r="R5284" s="4"/>
      <c r="S5284" s="4"/>
      <c r="T5284" s="4"/>
      <c r="U5284" s="4"/>
      <c r="V5284" s="4"/>
      <c r="W5284" s="4"/>
      <c r="X5284" s="4"/>
    </row>
    <row r="5285" spans="17:24" x14ac:dyDescent="0.3">
      <c r="Q5285" s="4"/>
      <c r="R5285" s="4"/>
      <c r="S5285" s="4"/>
      <c r="T5285" s="4"/>
      <c r="U5285" s="4"/>
      <c r="V5285" s="4"/>
      <c r="W5285" s="4"/>
      <c r="X5285" s="4"/>
    </row>
    <row r="5286" spans="17:24" x14ac:dyDescent="0.3">
      <c r="Q5286" s="4"/>
      <c r="R5286" s="4"/>
      <c r="S5286" s="4"/>
      <c r="T5286" s="4"/>
      <c r="U5286" s="4"/>
      <c r="V5286" s="4"/>
      <c r="W5286" s="4"/>
      <c r="X5286" s="4"/>
    </row>
    <row r="5287" spans="17:24" x14ac:dyDescent="0.3">
      <c r="Q5287" s="4"/>
      <c r="R5287" s="4"/>
      <c r="S5287" s="4"/>
      <c r="T5287" s="4"/>
      <c r="U5287" s="4"/>
      <c r="V5287" s="4"/>
      <c r="W5287" s="4"/>
      <c r="X5287" s="4"/>
    </row>
    <row r="5288" spans="17:24" x14ac:dyDescent="0.3">
      <c r="Q5288" s="4"/>
      <c r="R5288" s="4"/>
      <c r="S5288" s="4"/>
      <c r="T5288" s="4"/>
      <c r="U5288" s="4"/>
      <c r="V5288" s="4"/>
      <c r="W5288" s="4"/>
      <c r="X5288" s="4"/>
    </row>
    <row r="5289" spans="17:24" x14ac:dyDescent="0.3">
      <c r="Q5289" s="4"/>
      <c r="R5289" s="4"/>
      <c r="S5289" s="4"/>
      <c r="T5289" s="4"/>
      <c r="U5289" s="4"/>
      <c r="V5289" s="4"/>
      <c r="W5289" s="4"/>
      <c r="X5289" s="4"/>
    </row>
    <row r="5290" spans="17:24" x14ac:dyDescent="0.3">
      <c r="Q5290" s="4"/>
      <c r="R5290" s="4"/>
      <c r="S5290" s="4"/>
      <c r="T5290" s="4"/>
      <c r="U5290" s="4"/>
      <c r="V5290" s="4"/>
      <c r="W5290" s="4"/>
      <c r="X5290" s="4"/>
    </row>
    <row r="5291" spans="17:24" x14ac:dyDescent="0.3">
      <c r="Q5291" s="4"/>
      <c r="R5291" s="4"/>
      <c r="S5291" s="4"/>
      <c r="T5291" s="4"/>
      <c r="U5291" s="4"/>
      <c r="V5291" s="4"/>
      <c r="W5291" s="4"/>
      <c r="X5291" s="4"/>
    </row>
    <row r="5292" spans="17:24" x14ac:dyDescent="0.3">
      <c r="Q5292" s="4"/>
      <c r="R5292" s="4"/>
      <c r="S5292" s="4"/>
      <c r="T5292" s="4"/>
      <c r="U5292" s="4"/>
      <c r="V5292" s="4"/>
      <c r="W5292" s="4"/>
      <c r="X5292" s="4"/>
    </row>
    <row r="5293" spans="17:24" x14ac:dyDescent="0.3">
      <c r="Q5293" s="4"/>
      <c r="R5293" s="4"/>
      <c r="S5293" s="4"/>
      <c r="T5293" s="4"/>
      <c r="U5293" s="4"/>
      <c r="V5293" s="4"/>
      <c r="W5293" s="4"/>
      <c r="X5293" s="4"/>
    </row>
    <row r="5294" spans="17:24" x14ac:dyDescent="0.3">
      <c r="Q5294" s="4"/>
      <c r="R5294" s="4"/>
      <c r="S5294" s="4"/>
      <c r="T5294" s="4"/>
      <c r="U5294" s="4"/>
      <c r="V5294" s="4"/>
      <c r="W5294" s="4"/>
      <c r="X5294" s="4"/>
    </row>
    <row r="5295" spans="17:24" x14ac:dyDescent="0.3">
      <c r="Q5295" s="4"/>
      <c r="R5295" s="4"/>
      <c r="S5295" s="4"/>
      <c r="T5295" s="4"/>
      <c r="U5295" s="4"/>
      <c r="V5295" s="4"/>
      <c r="W5295" s="4"/>
      <c r="X5295" s="4"/>
    </row>
    <row r="5296" spans="17:24" x14ac:dyDescent="0.3">
      <c r="Q5296" s="4"/>
      <c r="R5296" s="4"/>
      <c r="S5296" s="4"/>
      <c r="T5296" s="4"/>
      <c r="U5296" s="4"/>
      <c r="V5296" s="4"/>
      <c r="W5296" s="4"/>
      <c r="X5296" s="4"/>
    </row>
    <row r="5297" spans="17:24" x14ac:dyDescent="0.3">
      <c r="Q5297" s="4"/>
      <c r="R5297" s="4"/>
      <c r="S5297" s="4"/>
      <c r="T5297" s="4"/>
      <c r="U5297" s="4"/>
      <c r="V5297" s="4"/>
      <c r="W5297" s="4"/>
      <c r="X5297" s="4"/>
    </row>
    <row r="5298" spans="17:24" x14ac:dyDescent="0.3">
      <c r="Q5298" s="4"/>
      <c r="R5298" s="4"/>
      <c r="S5298" s="4"/>
      <c r="T5298" s="4"/>
      <c r="U5298" s="4"/>
      <c r="V5298" s="4"/>
      <c r="W5298" s="4"/>
      <c r="X5298" s="4"/>
    </row>
    <row r="5299" spans="17:24" x14ac:dyDescent="0.3">
      <c r="Q5299" s="4"/>
      <c r="R5299" s="4"/>
      <c r="S5299" s="4"/>
      <c r="T5299" s="4"/>
      <c r="U5299" s="4"/>
      <c r="V5299" s="4"/>
      <c r="W5299" s="4"/>
      <c r="X5299" s="4"/>
    </row>
    <row r="5300" spans="17:24" x14ac:dyDescent="0.3">
      <c r="Q5300" s="4"/>
      <c r="R5300" s="4"/>
      <c r="S5300" s="4"/>
      <c r="T5300" s="4"/>
      <c r="U5300" s="4"/>
      <c r="V5300" s="4"/>
      <c r="W5300" s="4"/>
      <c r="X5300" s="4"/>
    </row>
    <row r="5301" spans="17:24" x14ac:dyDescent="0.3">
      <c r="Q5301" s="4"/>
      <c r="R5301" s="4"/>
      <c r="S5301" s="4"/>
      <c r="T5301" s="4"/>
      <c r="U5301" s="4"/>
      <c r="V5301" s="4"/>
      <c r="W5301" s="4"/>
      <c r="X5301" s="4"/>
    </row>
    <row r="5302" spans="17:24" x14ac:dyDescent="0.3">
      <c r="Q5302" s="4"/>
      <c r="R5302" s="4"/>
      <c r="S5302" s="4"/>
      <c r="T5302" s="4"/>
      <c r="U5302" s="4"/>
      <c r="V5302" s="4"/>
      <c r="W5302" s="4"/>
      <c r="X5302" s="4"/>
    </row>
    <row r="5303" spans="17:24" x14ac:dyDescent="0.3">
      <c r="Q5303" s="4"/>
      <c r="R5303" s="4"/>
      <c r="S5303" s="4"/>
      <c r="T5303" s="4"/>
      <c r="U5303" s="4"/>
      <c r="V5303" s="4"/>
      <c r="W5303" s="4"/>
      <c r="X5303" s="4"/>
    </row>
    <row r="5304" spans="17:24" x14ac:dyDescent="0.3">
      <c r="Q5304" s="4"/>
      <c r="R5304" s="4"/>
      <c r="S5304" s="4"/>
      <c r="T5304" s="4"/>
      <c r="U5304" s="4"/>
      <c r="V5304" s="4"/>
      <c r="W5304" s="4"/>
      <c r="X5304" s="4"/>
    </row>
    <row r="5305" spans="17:24" x14ac:dyDescent="0.3">
      <c r="Q5305" s="4"/>
      <c r="R5305" s="4"/>
      <c r="S5305" s="4"/>
      <c r="T5305" s="4"/>
      <c r="U5305" s="4"/>
      <c r="V5305" s="4"/>
      <c r="W5305" s="4"/>
      <c r="X5305" s="4"/>
    </row>
    <row r="5306" spans="17:24" x14ac:dyDescent="0.3">
      <c r="Q5306" s="4"/>
      <c r="R5306" s="4"/>
      <c r="S5306" s="4"/>
      <c r="T5306" s="4"/>
      <c r="U5306" s="4"/>
      <c r="V5306" s="4"/>
      <c r="W5306" s="4"/>
      <c r="X5306" s="4"/>
    </row>
    <row r="5307" spans="17:24" x14ac:dyDescent="0.3">
      <c r="Q5307" s="4"/>
      <c r="R5307" s="4"/>
      <c r="S5307" s="4"/>
      <c r="T5307" s="4"/>
      <c r="U5307" s="4"/>
      <c r="V5307" s="4"/>
      <c r="W5307" s="4"/>
      <c r="X5307" s="4"/>
    </row>
    <row r="5308" spans="17:24" x14ac:dyDescent="0.3">
      <c r="Q5308" s="4"/>
      <c r="R5308" s="4"/>
      <c r="S5308" s="4"/>
      <c r="T5308" s="4"/>
      <c r="U5308" s="4"/>
      <c r="V5308" s="4"/>
      <c r="W5308" s="4"/>
      <c r="X5308" s="4"/>
    </row>
    <row r="5309" spans="17:24" x14ac:dyDescent="0.3">
      <c r="Q5309" s="4"/>
      <c r="R5309" s="4"/>
      <c r="S5309" s="4"/>
      <c r="T5309" s="4"/>
      <c r="U5309" s="4"/>
      <c r="V5309" s="4"/>
      <c r="W5309" s="4"/>
      <c r="X5309" s="4"/>
    </row>
    <row r="5310" spans="17:24" x14ac:dyDescent="0.3">
      <c r="Q5310" s="4"/>
      <c r="R5310" s="4"/>
      <c r="S5310" s="4"/>
      <c r="T5310" s="4"/>
      <c r="U5310" s="4"/>
      <c r="V5310" s="4"/>
      <c r="W5310" s="4"/>
      <c r="X5310" s="4"/>
    </row>
    <row r="5311" spans="17:24" x14ac:dyDescent="0.3">
      <c r="Q5311" s="4"/>
      <c r="R5311" s="4"/>
      <c r="S5311" s="4"/>
      <c r="T5311" s="4"/>
      <c r="U5311" s="4"/>
      <c r="V5311" s="4"/>
      <c r="W5311" s="4"/>
      <c r="X5311" s="4"/>
    </row>
    <row r="5312" spans="17:24" x14ac:dyDescent="0.3">
      <c r="Q5312" s="4"/>
      <c r="R5312" s="4"/>
      <c r="S5312" s="4"/>
      <c r="T5312" s="4"/>
      <c r="U5312" s="4"/>
      <c r="V5312" s="4"/>
      <c r="W5312" s="4"/>
      <c r="X5312" s="4"/>
    </row>
    <row r="5313" spans="17:24" x14ac:dyDescent="0.3">
      <c r="Q5313" s="4"/>
      <c r="R5313" s="4"/>
      <c r="S5313" s="4"/>
      <c r="T5313" s="4"/>
      <c r="U5313" s="4"/>
      <c r="V5313" s="4"/>
      <c r="W5313" s="4"/>
      <c r="X5313" s="4"/>
    </row>
    <row r="5314" spans="17:24" x14ac:dyDescent="0.3">
      <c r="Q5314" s="4"/>
      <c r="R5314" s="4"/>
      <c r="S5314" s="4"/>
      <c r="T5314" s="4"/>
      <c r="U5314" s="4"/>
      <c r="V5314" s="4"/>
      <c r="W5314" s="4"/>
      <c r="X5314" s="4"/>
    </row>
    <row r="5315" spans="17:24" x14ac:dyDescent="0.3">
      <c r="Q5315" s="4"/>
      <c r="R5315" s="4"/>
      <c r="S5315" s="4"/>
      <c r="T5315" s="4"/>
      <c r="U5315" s="4"/>
      <c r="V5315" s="4"/>
      <c r="W5315" s="4"/>
      <c r="X5315" s="4"/>
    </row>
    <row r="5316" spans="17:24" x14ac:dyDescent="0.3">
      <c r="Q5316" s="4"/>
      <c r="R5316" s="4"/>
      <c r="S5316" s="4"/>
      <c r="T5316" s="4"/>
      <c r="U5316" s="4"/>
      <c r="V5316" s="4"/>
      <c r="W5316" s="4"/>
      <c r="X5316" s="4"/>
    </row>
    <row r="5317" spans="17:24" x14ac:dyDescent="0.3">
      <c r="Q5317" s="4"/>
      <c r="R5317" s="4"/>
      <c r="S5317" s="4"/>
      <c r="T5317" s="4"/>
      <c r="U5317" s="4"/>
      <c r="V5317" s="4"/>
      <c r="W5317" s="4"/>
      <c r="X5317" s="4"/>
    </row>
    <row r="5318" spans="17:24" x14ac:dyDescent="0.3">
      <c r="Q5318" s="4"/>
      <c r="R5318" s="4"/>
      <c r="S5318" s="4"/>
      <c r="T5318" s="4"/>
      <c r="U5318" s="4"/>
      <c r="V5318" s="4"/>
      <c r="W5318" s="4"/>
      <c r="X5318" s="4"/>
    </row>
    <row r="5319" spans="17:24" x14ac:dyDescent="0.3">
      <c r="Q5319" s="4"/>
      <c r="R5319" s="4"/>
      <c r="S5319" s="4"/>
      <c r="T5319" s="4"/>
      <c r="U5319" s="4"/>
      <c r="V5319" s="4"/>
      <c r="W5319" s="4"/>
      <c r="X5319" s="4"/>
    </row>
    <row r="5320" spans="17:24" x14ac:dyDescent="0.3">
      <c r="Q5320" s="4"/>
      <c r="R5320" s="4"/>
      <c r="S5320" s="4"/>
      <c r="T5320" s="4"/>
      <c r="U5320" s="4"/>
      <c r="V5320" s="4"/>
      <c r="W5320" s="4"/>
      <c r="X5320" s="4"/>
    </row>
    <row r="5321" spans="17:24" x14ac:dyDescent="0.3">
      <c r="Q5321" s="4"/>
      <c r="R5321" s="4"/>
      <c r="S5321" s="4"/>
      <c r="T5321" s="4"/>
      <c r="U5321" s="4"/>
      <c r="V5321" s="4"/>
      <c r="W5321" s="4"/>
      <c r="X5321" s="4"/>
    </row>
    <row r="5322" spans="17:24" x14ac:dyDescent="0.3">
      <c r="Q5322" s="4"/>
      <c r="R5322" s="4"/>
      <c r="S5322" s="4"/>
      <c r="T5322" s="4"/>
      <c r="U5322" s="4"/>
      <c r="V5322" s="4"/>
      <c r="W5322" s="4"/>
      <c r="X5322" s="4"/>
    </row>
    <row r="5323" spans="17:24" x14ac:dyDescent="0.3">
      <c r="Q5323" s="4"/>
      <c r="R5323" s="4"/>
      <c r="S5323" s="4"/>
      <c r="T5323" s="4"/>
      <c r="U5323" s="4"/>
      <c r="V5323" s="4"/>
      <c r="W5323" s="4"/>
      <c r="X5323" s="4"/>
    </row>
    <row r="5324" spans="17:24" x14ac:dyDescent="0.3">
      <c r="Q5324" s="4"/>
      <c r="R5324" s="4"/>
      <c r="S5324" s="4"/>
      <c r="T5324" s="4"/>
      <c r="U5324" s="4"/>
      <c r="V5324" s="4"/>
      <c r="W5324" s="4"/>
      <c r="X5324" s="4"/>
    </row>
    <row r="5325" spans="17:24" x14ac:dyDescent="0.3">
      <c r="Q5325" s="4"/>
      <c r="R5325" s="4"/>
      <c r="S5325" s="4"/>
      <c r="T5325" s="4"/>
      <c r="U5325" s="4"/>
      <c r="V5325" s="4"/>
      <c r="W5325" s="4"/>
      <c r="X5325" s="4"/>
    </row>
    <row r="5326" spans="17:24" x14ac:dyDescent="0.3">
      <c r="Q5326" s="4"/>
      <c r="R5326" s="4"/>
      <c r="S5326" s="4"/>
      <c r="T5326" s="4"/>
      <c r="U5326" s="4"/>
      <c r="V5326" s="4"/>
      <c r="W5326" s="4"/>
      <c r="X5326" s="4"/>
    </row>
    <row r="5327" spans="17:24" x14ac:dyDescent="0.3">
      <c r="Q5327" s="4"/>
      <c r="R5327" s="4"/>
      <c r="S5327" s="4"/>
      <c r="T5327" s="4"/>
      <c r="U5327" s="4"/>
      <c r="V5327" s="4"/>
      <c r="W5327" s="4"/>
      <c r="X5327" s="4"/>
    </row>
    <row r="5328" spans="17:24" x14ac:dyDescent="0.3">
      <c r="Q5328" s="4"/>
      <c r="R5328" s="4"/>
      <c r="S5328" s="4"/>
      <c r="T5328" s="4"/>
      <c r="U5328" s="4"/>
      <c r="V5328" s="4"/>
      <c r="W5328" s="4"/>
      <c r="X5328" s="4"/>
    </row>
    <row r="5329" spans="17:24" x14ac:dyDescent="0.3">
      <c r="Q5329" s="4"/>
      <c r="R5329" s="4"/>
      <c r="S5329" s="4"/>
      <c r="T5329" s="4"/>
      <c r="U5329" s="4"/>
      <c r="V5329" s="4"/>
      <c r="W5329" s="4"/>
      <c r="X5329" s="4"/>
    </row>
    <row r="5330" spans="17:24" x14ac:dyDescent="0.3">
      <c r="Q5330" s="4"/>
      <c r="R5330" s="4"/>
      <c r="S5330" s="4"/>
      <c r="T5330" s="4"/>
      <c r="U5330" s="4"/>
      <c r="V5330" s="4"/>
      <c r="W5330" s="4"/>
      <c r="X5330" s="4"/>
    </row>
    <row r="5331" spans="17:24" x14ac:dyDescent="0.3">
      <c r="Q5331" s="4"/>
      <c r="R5331" s="4"/>
      <c r="S5331" s="4"/>
      <c r="T5331" s="4"/>
      <c r="U5331" s="4"/>
      <c r="V5331" s="4"/>
      <c r="W5331" s="4"/>
      <c r="X5331" s="4"/>
    </row>
    <row r="5332" spans="17:24" x14ac:dyDescent="0.3">
      <c r="Q5332" s="4"/>
      <c r="R5332" s="4"/>
      <c r="S5332" s="4"/>
      <c r="T5332" s="4"/>
      <c r="U5332" s="4"/>
      <c r="V5332" s="4"/>
      <c r="W5332" s="4"/>
      <c r="X5332" s="4"/>
    </row>
    <row r="5333" spans="17:24" x14ac:dyDescent="0.3">
      <c r="Q5333" s="4"/>
      <c r="R5333" s="4"/>
      <c r="S5333" s="4"/>
      <c r="T5333" s="4"/>
      <c r="U5333" s="4"/>
      <c r="V5333" s="4"/>
      <c r="W5333" s="4"/>
      <c r="X5333" s="4"/>
    </row>
    <row r="5334" spans="17:24" x14ac:dyDescent="0.3">
      <c r="Q5334" s="4"/>
      <c r="R5334" s="4"/>
      <c r="S5334" s="4"/>
      <c r="T5334" s="4"/>
      <c r="U5334" s="4"/>
      <c r="V5334" s="4"/>
      <c r="W5334" s="4"/>
      <c r="X5334" s="4"/>
    </row>
    <row r="5335" spans="17:24" x14ac:dyDescent="0.3">
      <c r="Q5335" s="4"/>
      <c r="R5335" s="4"/>
      <c r="S5335" s="4"/>
      <c r="T5335" s="4"/>
      <c r="U5335" s="4"/>
      <c r="V5335" s="4"/>
      <c r="W5335" s="4"/>
      <c r="X5335" s="4"/>
    </row>
    <row r="5336" spans="17:24" x14ac:dyDescent="0.3">
      <c r="Q5336" s="4"/>
      <c r="R5336" s="4"/>
      <c r="S5336" s="4"/>
      <c r="T5336" s="4"/>
      <c r="U5336" s="4"/>
      <c r="V5336" s="4"/>
      <c r="W5336" s="4"/>
      <c r="X5336" s="4"/>
    </row>
    <row r="5337" spans="17:24" x14ac:dyDescent="0.3">
      <c r="Q5337" s="4"/>
      <c r="R5337" s="4"/>
      <c r="S5337" s="4"/>
      <c r="T5337" s="4"/>
      <c r="U5337" s="4"/>
      <c r="V5337" s="4"/>
      <c r="W5337" s="4"/>
      <c r="X5337" s="4"/>
    </row>
    <row r="5338" spans="17:24" x14ac:dyDescent="0.3">
      <c r="Q5338" s="4"/>
      <c r="R5338" s="4"/>
      <c r="S5338" s="4"/>
      <c r="T5338" s="4"/>
      <c r="U5338" s="4"/>
      <c r="V5338" s="4"/>
      <c r="W5338" s="4"/>
      <c r="X5338" s="4"/>
    </row>
    <row r="5339" spans="17:24" x14ac:dyDescent="0.3">
      <c r="Q5339" s="4"/>
      <c r="R5339" s="4"/>
      <c r="S5339" s="4"/>
      <c r="T5339" s="4"/>
      <c r="U5339" s="4"/>
      <c r="V5339" s="4"/>
      <c r="W5339" s="4"/>
      <c r="X5339" s="4"/>
    </row>
    <row r="5340" spans="17:24" x14ac:dyDescent="0.3">
      <c r="Q5340" s="4"/>
      <c r="R5340" s="4"/>
      <c r="S5340" s="4"/>
      <c r="T5340" s="4"/>
      <c r="U5340" s="4"/>
      <c r="V5340" s="4"/>
      <c r="W5340" s="4"/>
      <c r="X5340" s="4"/>
    </row>
    <row r="5341" spans="17:24" x14ac:dyDescent="0.3">
      <c r="Q5341" s="4"/>
      <c r="R5341" s="4"/>
      <c r="S5341" s="4"/>
      <c r="T5341" s="4"/>
      <c r="U5341" s="4"/>
      <c r="V5341" s="4"/>
      <c r="W5341" s="4"/>
      <c r="X5341" s="4"/>
    </row>
    <row r="5342" spans="17:24" x14ac:dyDescent="0.3">
      <c r="Q5342" s="4"/>
      <c r="R5342" s="4"/>
      <c r="S5342" s="4"/>
      <c r="T5342" s="4"/>
      <c r="U5342" s="4"/>
      <c r="V5342" s="4"/>
      <c r="W5342" s="4"/>
      <c r="X5342" s="4"/>
    </row>
    <row r="5343" spans="17:24" x14ac:dyDescent="0.3">
      <c r="Q5343" s="4"/>
      <c r="R5343" s="4"/>
      <c r="S5343" s="4"/>
      <c r="T5343" s="4"/>
      <c r="U5343" s="4"/>
      <c r="V5343" s="4"/>
      <c r="W5343" s="4"/>
      <c r="X5343" s="4"/>
    </row>
    <row r="5344" spans="17:24" x14ac:dyDescent="0.3">
      <c r="Q5344" s="4"/>
      <c r="R5344" s="4"/>
      <c r="S5344" s="4"/>
      <c r="T5344" s="4"/>
      <c r="U5344" s="4"/>
      <c r="V5344" s="4"/>
      <c r="W5344" s="4"/>
      <c r="X5344" s="4"/>
    </row>
    <row r="5345" spans="17:24" x14ac:dyDescent="0.3">
      <c r="Q5345" s="4"/>
      <c r="R5345" s="4"/>
      <c r="S5345" s="4"/>
      <c r="T5345" s="4"/>
      <c r="U5345" s="4"/>
      <c r="V5345" s="4"/>
      <c r="W5345" s="4"/>
      <c r="X5345" s="4"/>
    </row>
    <row r="5346" spans="17:24" x14ac:dyDescent="0.3">
      <c r="Q5346" s="4"/>
      <c r="R5346" s="4"/>
      <c r="S5346" s="4"/>
      <c r="T5346" s="4"/>
      <c r="U5346" s="4"/>
      <c r="V5346" s="4"/>
      <c r="W5346" s="4"/>
      <c r="X5346" s="4"/>
    </row>
    <row r="5347" spans="17:24" x14ac:dyDescent="0.3">
      <c r="Q5347" s="4"/>
      <c r="R5347" s="4"/>
      <c r="S5347" s="4"/>
      <c r="T5347" s="4"/>
      <c r="U5347" s="4"/>
      <c r="V5347" s="4"/>
      <c r="W5347" s="4"/>
      <c r="X5347" s="4"/>
    </row>
    <row r="5348" spans="17:24" x14ac:dyDescent="0.3">
      <c r="Q5348" s="4"/>
      <c r="R5348" s="4"/>
      <c r="S5348" s="4"/>
      <c r="T5348" s="4"/>
      <c r="U5348" s="4"/>
      <c r="V5348" s="4"/>
      <c r="W5348" s="4"/>
      <c r="X5348" s="4"/>
    </row>
    <row r="5349" spans="17:24" x14ac:dyDescent="0.3">
      <c r="Q5349" s="4"/>
      <c r="R5349" s="4"/>
      <c r="S5349" s="4"/>
      <c r="T5349" s="4"/>
      <c r="U5349" s="4"/>
      <c r="V5349" s="4"/>
      <c r="W5349" s="4"/>
      <c r="X5349" s="4"/>
    </row>
    <row r="5350" spans="17:24" x14ac:dyDescent="0.3">
      <c r="Q5350" s="4"/>
      <c r="R5350" s="4"/>
      <c r="S5350" s="4"/>
      <c r="T5350" s="4"/>
      <c r="U5350" s="4"/>
      <c r="V5350" s="4"/>
      <c r="W5350" s="4"/>
      <c r="X5350" s="4"/>
    </row>
    <row r="5351" spans="17:24" x14ac:dyDescent="0.3">
      <c r="Q5351" s="4"/>
      <c r="R5351" s="4"/>
      <c r="S5351" s="4"/>
      <c r="T5351" s="4"/>
      <c r="U5351" s="4"/>
      <c r="V5351" s="4"/>
      <c r="W5351" s="4"/>
      <c r="X5351" s="4"/>
    </row>
    <row r="5352" spans="17:24" x14ac:dyDescent="0.3">
      <c r="Q5352" s="4"/>
      <c r="R5352" s="4"/>
      <c r="S5352" s="4"/>
      <c r="T5352" s="4"/>
      <c r="U5352" s="4"/>
      <c r="V5352" s="4"/>
      <c r="W5352" s="4"/>
      <c r="X5352" s="4"/>
    </row>
    <row r="5353" spans="17:24" x14ac:dyDescent="0.3">
      <c r="Q5353" s="4"/>
      <c r="R5353" s="4"/>
      <c r="S5353" s="4"/>
      <c r="T5353" s="4"/>
      <c r="U5353" s="4"/>
      <c r="V5353" s="4"/>
      <c r="W5353" s="4"/>
      <c r="X5353" s="4"/>
    </row>
    <row r="5354" spans="17:24" x14ac:dyDescent="0.3">
      <c r="Q5354" s="4"/>
      <c r="R5354" s="4"/>
      <c r="S5354" s="4"/>
      <c r="T5354" s="4"/>
      <c r="U5354" s="4"/>
      <c r="V5354" s="4"/>
      <c r="W5354" s="4"/>
      <c r="X5354" s="4"/>
    </row>
    <row r="5355" spans="17:24" x14ac:dyDescent="0.3">
      <c r="Q5355" s="4"/>
      <c r="R5355" s="4"/>
      <c r="S5355" s="4"/>
      <c r="T5355" s="4"/>
      <c r="U5355" s="4"/>
      <c r="V5355" s="4"/>
      <c r="W5355" s="4"/>
      <c r="X5355" s="4"/>
    </row>
    <row r="5356" spans="17:24" x14ac:dyDescent="0.3">
      <c r="Q5356" s="4"/>
      <c r="R5356" s="4"/>
      <c r="S5356" s="4"/>
      <c r="T5356" s="4"/>
      <c r="U5356" s="4"/>
      <c r="V5356" s="4"/>
      <c r="W5356" s="4"/>
      <c r="X5356" s="4"/>
    </row>
    <row r="5357" spans="17:24" x14ac:dyDescent="0.3">
      <c r="Q5357" s="4"/>
      <c r="R5357" s="4"/>
      <c r="S5357" s="4"/>
      <c r="T5357" s="4"/>
      <c r="U5357" s="4"/>
      <c r="V5357" s="4"/>
      <c r="W5357" s="4"/>
      <c r="X5357" s="4"/>
    </row>
    <row r="5358" spans="17:24" x14ac:dyDescent="0.3">
      <c r="Q5358" s="4"/>
      <c r="R5358" s="4"/>
      <c r="S5358" s="4"/>
      <c r="T5358" s="4"/>
      <c r="U5358" s="4"/>
      <c r="V5358" s="4"/>
      <c r="W5358" s="4"/>
      <c r="X5358" s="4"/>
    </row>
    <row r="5359" spans="17:24" x14ac:dyDescent="0.3">
      <c r="Q5359" s="4"/>
      <c r="R5359" s="4"/>
      <c r="S5359" s="4"/>
      <c r="T5359" s="4"/>
      <c r="U5359" s="4"/>
      <c r="V5359" s="4"/>
      <c r="W5359" s="4"/>
      <c r="X5359" s="4"/>
    </row>
    <row r="5360" spans="17:24" x14ac:dyDescent="0.3">
      <c r="Q5360" s="4"/>
      <c r="R5360" s="4"/>
      <c r="S5360" s="4"/>
      <c r="T5360" s="4"/>
      <c r="U5360" s="4"/>
      <c r="V5360" s="4"/>
      <c r="W5360" s="4"/>
      <c r="X5360" s="4"/>
    </row>
    <row r="5361" spans="17:24" x14ac:dyDescent="0.3">
      <c r="Q5361" s="4"/>
      <c r="R5361" s="4"/>
      <c r="S5361" s="4"/>
      <c r="T5361" s="4"/>
      <c r="U5361" s="4"/>
      <c r="V5361" s="4"/>
      <c r="W5361" s="4"/>
      <c r="X5361" s="4"/>
    </row>
    <row r="5362" spans="17:24" x14ac:dyDescent="0.3">
      <c r="Q5362" s="4"/>
      <c r="R5362" s="4"/>
      <c r="S5362" s="4"/>
      <c r="T5362" s="4"/>
      <c r="U5362" s="4"/>
      <c r="V5362" s="4"/>
      <c r="W5362" s="4"/>
      <c r="X5362" s="4"/>
    </row>
    <row r="5363" spans="17:24" x14ac:dyDescent="0.3">
      <c r="Q5363" s="4"/>
      <c r="R5363" s="4"/>
      <c r="S5363" s="4"/>
      <c r="T5363" s="4"/>
      <c r="U5363" s="4"/>
      <c r="V5363" s="4"/>
      <c r="W5363" s="4"/>
      <c r="X5363" s="4"/>
    </row>
    <row r="5364" spans="17:24" x14ac:dyDescent="0.3">
      <c r="Q5364" s="4"/>
      <c r="R5364" s="4"/>
      <c r="S5364" s="4"/>
      <c r="T5364" s="4"/>
      <c r="U5364" s="4"/>
      <c r="V5364" s="4"/>
      <c r="W5364" s="4"/>
      <c r="X5364" s="4"/>
    </row>
    <row r="5365" spans="17:24" x14ac:dyDescent="0.3">
      <c r="Q5365" s="4"/>
      <c r="R5365" s="4"/>
      <c r="S5365" s="4"/>
      <c r="T5365" s="4"/>
      <c r="U5365" s="4"/>
      <c r="V5365" s="4"/>
      <c r="W5365" s="4"/>
      <c r="X5365" s="4"/>
    </row>
    <row r="5366" spans="17:24" x14ac:dyDescent="0.3">
      <c r="Q5366" s="4"/>
      <c r="R5366" s="4"/>
      <c r="S5366" s="4"/>
      <c r="T5366" s="4"/>
      <c r="U5366" s="4"/>
      <c r="V5366" s="4"/>
      <c r="W5366" s="4"/>
      <c r="X5366" s="4"/>
    </row>
    <row r="5367" spans="17:24" x14ac:dyDescent="0.3">
      <c r="Q5367" s="4"/>
      <c r="R5367" s="4"/>
      <c r="S5367" s="4"/>
      <c r="T5367" s="4"/>
      <c r="U5367" s="4"/>
      <c r="V5367" s="4"/>
      <c r="W5367" s="4"/>
      <c r="X5367" s="4"/>
    </row>
    <row r="5368" spans="17:24" x14ac:dyDescent="0.3">
      <c r="Q5368" s="4"/>
      <c r="R5368" s="4"/>
      <c r="S5368" s="4"/>
      <c r="T5368" s="4"/>
      <c r="U5368" s="4"/>
      <c r="V5368" s="4"/>
      <c r="W5368" s="4"/>
      <c r="X5368" s="4"/>
    </row>
    <row r="5369" spans="17:24" x14ac:dyDescent="0.3">
      <c r="Q5369" s="4"/>
      <c r="R5369" s="4"/>
      <c r="S5369" s="4"/>
      <c r="T5369" s="4"/>
      <c r="U5369" s="4"/>
      <c r="V5369" s="4"/>
      <c r="W5369" s="4"/>
      <c r="X5369" s="4"/>
    </row>
    <row r="5370" spans="17:24" x14ac:dyDescent="0.3">
      <c r="Q5370" s="4"/>
      <c r="R5370" s="4"/>
      <c r="S5370" s="4"/>
      <c r="T5370" s="4"/>
      <c r="U5370" s="4"/>
      <c r="V5370" s="4"/>
      <c r="W5370" s="4"/>
      <c r="X5370" s="4"/>
    </row>
    <row r="5371" spans="17:24" x14ac:dyDescent="0.3">
      <c r="Q5371" s="4"/>
      <c r="R5371" s="4"/>
      <c r="S5371" s="4"/>
      <c r="T5371" s="4"/>
      <c r="U5371" s="4"/>
      <c r="V5371" s="4"/>
      <c r="W5371" s="4"/>
      <c r="X5371" s="4"/>
    </row>
    <row r="5372" spans="17:24" x14ac:dyDescent="0.3">
      <c r="Q5372" s="4"/>
      <c r="R5372" s="4"/>
      <c r="S5372" s="4"/>
      <c r="T5372" s="4"/>
      <c r="U5372" s="4"/>
      <c r="V5372" s="4"/>
      <c r="W5372" s="4"/>
      <c r="X5372" s="4"/>
    </row>
    <row r="5373" spans="17:24" x14ac:dyDescent="0.3">
      <c r="Q5373" s="4"/>
      <c r="R5373" s="4"/>
      <c r="S5373" s="4"/>
      <c r="T5373" s="4"/>
      <c r="U5373" s="4"/>
      <c r="V5373" s="4"/>
      <c r="W5373" s="4"/>
      <c r="X5373" s="4"/>
    </row>
    <row r="5374" spans="17:24" x14ac:dyDescent="0.3">
      <c r="Q5374" s="4"/>
      <c r="R5374" s="4"/>
      <c r="S5374" s="4"/>
      <c r="T5374" s="4"/>
      <c r="U5374" s="4"/>
      <c r="V5374" s="4"/>
      <c r="W5374" s="4"/>
      <c r="X5374" s="4"/>
    </row>
    <row r="5375" spans="17:24" x14ac:dyDescent="0.3">
      <c r="Q5375" s="4"/>
      <c r="R5375" s="4"/>
      <c r="S5375" s="4"/>
      <c r="T5375" s="4"/>
      <c r="U5375" s="4"/>
      <c r="V5375" s="4"/>
      <c r="W5375" s="4"/>
      <c r="X5375" s="4"/>
    </row>
    <row r="5376" spans="17:24" x14ac:dyDescent="0.3">
      <c r="Q5376" s="4"/>
      <c r="R5376" s="4"/>
      <c r="S5376" s="4"/>
      <c r="T5376" s="4"/>
      <c r="U5376" s="4"/>
      <c r="V5376" s="4"/>
      <c r="W5376" s="4"/>
      <c r="X5376" s="4"/>
    </row>
    <row r="5377" spans="17:24" x14ac:dyDescent="0.3">
      <c r="Q5377" s="4"/>
      <c r="R5377" s="4"/>
      <c r="S5377" s="4"/>
      <c r="T5377" s="4"/>
      <c r="U5377" s="4"/>
      <c r="V5377" s="4"/>
      <c r="W5377" s="4"/>
      <c r="X5377" s="4"/>
    </row>
    <row r="5378" spans="17:24" x14ac:dyDescent="0.3">
      <c r="Q5378" s="4"/>
      <c r="R5378" s="4"/>
      <c r="S5378" s="4"/>
      <c r="T5378" s="4"/>
      <c r="U5378" s="4"/>
      <c r="V5378" s="4"/>
      <c r="W5378" s="4"/>
      <c r="X5378" s="4"/>
    </row>
    <row r="5379" spans="17:24" x14ac:dyDescent="0.3">
      <c r="Q5379" s="4"/>
      <c r="R5379" s="4"/>
      <c r="S5379" s="4"/>
      <c r="T5379" s="4"/>
      <c r="U5379" s="4"/>
      <c r="V5379" s="4"/>
      <c r="W5379" s="4"/>
      <c r="X5379" s="4"/>
    </row>
    <row r="5380" spans="17:24" x14ac:dyDescent="0.3">
      <c r="Q5380" s="4"/>
      <c r="R5380" s="4"/>
      <c r="S5380" s="4"/>
      <c r="T5380" s="4"/>
      <c r="U5380" s="4"/>
      <c r="V5380" s="4"/>
      <c r="W5380" s="4"/>
      <c r="X5380" s="4"/>
    </row>
    <row r="5381" spans="17:24" x14ac:dyDescent="0.3">
      <c r="Q5381" s="4"/>
      <c r="R5381" s="4"/>
      <c r="S5381" s="4"/>
      <c r="T5381" s="4"/>
      <c r="U5381" s="4"/>
      <c r="V5381" s="4"/>
      <c r="W5381" s="4"/>
      <c r="X5381" s="4"/>
    </row>
    <row r="5382" spans="17:24" x14ac:dyDescent="0.3">
      <c r="Q5382" s="4"/>
      <c r="R5382" s="4"/>
      <c r="S5382" s="4"/>
      <c r="T5382" s="4"/>
      <c r="U5382" s="4"/>
      <c r="V5382" s="4"/>
      <c r="W5382" s="4"/>
      <c r="X5382" s="4"/>
    </row>
    <row r="5383" spans="17:24" x14ac:dyDescent="0.3">
      <c r="Q5383" s="4"/>
      <c r="R5383" s="4"/>
      <c r="S5383" s="4"/>
      <c r="T5383" s="4"/>
      <c r="U5383" s="4"/>
      <c r="V5383" s="4"/>
      <c r="W5383" s="4"/>
      <c r="X5383" s="4"/>
    </row>
    <row r="5384" spans="17:24" x14ac:dyDescent="0.3">
      <c r="Q5384" s="4"/>
      <c r="R5384" s="4"/>
      <c r="S5384" s="4"/>
      <c r="T5384" s="4"/>
      <c r="U5384" s="4"/>
      <c r="V5384" s="4"/>
      <c r="W5384" s="4"/>
      <c r="X5384" s="4"/>
    </row>
    <row r="5385" spans="17:24" x14ac:dyDescent="0.3">
      <c r="Q5385" s="4"/>
      <c r="R5385" s="4"/>
      <c r="S5385" s="4"/>
      <c r="T5385" s="4"/>
      <c r="U5385" s="4"/>
      <c r="V5385" s="4"/>
      <c r="W5385" s="4"/>
      <c r="X5385" s="4"/>
    </row>
    <row r="5386" spans="17:24" x14ac:dyDescent="0.3">
      <c r="Q5386" s="4"/>
      <c r="R5386" s="4"/>
      <c r="S5386" s="4"/>
      <c r="T5386" s="4"/>
      <c r="U5386" s="4"/>
      <c r="V5386" s="4"/>
      <c r="W5386" s="4"/>
      <c r="X5386" s="4"/>
    </row>
    <row r="5387" spans="17:24" x14ac:dyDescent="0.3">
      <c r="Q5387" s="4"/>
      <c r="R5387" s="4"/>
      <c r="S5387" s="4"/>
      <c r="T5387" s="4"/>
      <c r="U5387" s="4"/>
      <c r="V5387" s="4"/>
      <c r="W5387" s="4"/>
      <c r="X5387" s="4"/>
    </row>
    <row r="5388" spans="17:24" x14ac:dyDescent="0.3">
      <c r="Q5388" s="4"/>
      <c r="R5388" s="4"/>
      <c r="S5388" s="4"/>
      <c r="T5388" s="4"/>
      <c r="U5388" s="4"/>
      <c r="V5388" s="4"/>
      <c r="W5388" s="4"/>
      <c r="X5388" s="4"/>
    </row>
    <row r="5389" spans="17:24" x14ac:dyDescent="0.3">
      <c r="Q5389" s="4"/>
      <c r="R5389" s="4"/>
      <c r="S5389" s="4"/>
      <c r="T5389" s="4"/>
      <c r="U5389" s="4"/>
      <c r="V5389" s="4"/>
      <c r="W5389" s="4"/>
      <c r="X5389" s="4"/>
    </row>
    <row r="5390" spans="17:24" x14ac:dyDescent="0.3">
      <c r="Q5390" s="4"/>
      <c r="R5390" s="4"/>
      <c r="S5390" s="4"/>
      <c r="T5390" s="4"/>
      <c r="U5390" s="4"/>
      <c r="V5390" s="4"/>
      <c r="W5390" s="4"/>
      <c r="X5390" s="4"/>
    </row>
    <row r="5391" spans="17:24" x14ac:dyDescent="0.3">
      <c r="Q5391" s="4"/>
      <c r="R5391" s="4"/>
      <c r="S5391" s="4"/>
      <c r="T5391" s="4"/>
      <c r="U5391" s="4"/>
      <c r="V5391" s="4"/>
      <c r="W5391" s="4"/>
      <c r="X5391" s="4"/>
    </row>
    <row r="5392" spans="17:24" x14ac:dyDescent="0.3">
      <c r="Q5392" s="4"/>
      <c r="R5392" s="4"/>
      <c r="S5392" s="4"/>
      <c r="T5392" s="4"/>
      <c r="U5392" s="4"/>
      <c r="V5392" s="4"/>
      <c r="W5392" s="4"/>
      <c r="X5392" s="4"/>
    </row>
    <row r="5393" spans="17:24" x14ac:dyDescent="0.3">
      <c r="Q5393" s="4"/>
      <c r="R5393" s="4"/>
      <c r="S5393" s="4"/>
      <c r="T5393" s="4"/>
      <c r="U5393" s="4"/>
      <c r="V5393" s="4"/>
      <c r="W5393" s="4"/>
      <c r="X5393" s="4"/>
    </row>
    <row r="5394" spans="17:24" x14ac:dyDescent="0.3">
      <c r="Q5394" s="4"/>
      <c r="R5394" s="4"/>
      <c r="S5394" s="4"/>
      <c r="T5394" s="4"/>
      <c r="U5394" s="4"/>
      <c r="V5394" s="4"/>
      <c r="W5394" s="4"/>
      <c r="X5394" s="4"/>
    </row>
    <row r="5395" spans="17:24" x14ac:dyDescent="0.3">
      <c r="Q5395" s="4"/>
      <c r="R5395" s="4"/>
      <c r="S5395" s="4"/>
      <c r="T5395" s="4"/>
      <c r="U5395" s="4"/>
      <c r="V5395" s="4"/>
      <c r="W5395" s="4"/>
      <c r="X5395" s="4"/>
    </row>
    <row r="5396" spans="17:24" x14ac:dyDescent="0.3">
      <c r="Q5396" s="4"/>
      <c r="R5396" s="4"/>
      <c r="S5396" s="4"/>
      <c r="T5396" s="4"/>
      <c r="U5396" s="4"/>
      <c r="V5396" s="4"/>
      <c r="W5396" s="4"/>
      <c r="X5396" s="4"/>
    </row>
    <row r="5397" spans="17:24" x14ac:dyDescent="0.3">
      <c r="Q5397" s="4"/>
      <c r="R5397" s="4"/>
      <c r="S5397" s="4"/>
      <c r="T5397" s="4"/>
      <c r="U5397" s="4"/>
      <c r="V5397" s="4"/>
      <c r="W5397" s="4"/>
      <c r="X5397" s="4"/>
    </row>
    <row r="5398" spans="17:24" x14ac:dyDescent="0.3">
      <c r="Q5398" s="4"/>
      <c r="R5398" s="4"/>
      <c r="S5398" s="4"/>
      <c r="T5398" s="4"/>
      <c r="U5398" s="4"/>
      <c r="V5398" s="4"/>
      <c r="W5398" s="4"/>
      <c r="X5398" s="4"/>
    </row>
    <row r="5399" spans="17:24" x14ac:dyDescent="0.3">
      <c r="Q5399" s="4"/>
      <c r="R5399" s="4"/>
      <c r="S5399" s="4"/>
      <c r="T5399" s="4"/>
      <c r="U5399" s="4"/>
      <c r="V5399" s="4"/>
      <c r="W5399" s="4"/>
      <c r="X5399" s="4"/>
    </row>
    <row r="5400" spans="17:24" x14ac:dyDescent="0.3">
      <c r="Q5400" s="4"/>
      <c r="R5400" s="4"/>
      <c r="S5400" s="4"/>
      <c r="T5400" s="4"/>
      <c r="U5400" s="4"/>
      <c r="V5400" s="4"/>
      <c r="W5400" s="4"/>
      <c r="X5400" s="4"/>
    </row>
    <row r="5401" spans="17:24" x14ac:dyDescent="0.3">
      <c r="Q5401" s="4"/>
      <c r="R5401" s="4"/>
      <c r="S5401" s="4"/>
      <c r="T5401" s="4"/>
      <c r="U5401" s="4"/>
      <c r="V5401" s="4"/>
      <c r="W5401" s="4"/>
      <c r="X5401" s="4"/>
    </row>
    <row r="5402" spans="17:24" x14ac:dyDescent="0.3">
      <c r="Q5402" s="4"/>
      <c r="R5402" s="4"/>
      <c r="S5402" s="4"/>
      <c r="T5402" s="4"/>
      <c r="U5402" s="4"/>
      <c r="V5402" s="4"/>
      <c r="W5402" s="4"/>
      <c r="X5402" s="4"/>
    </row>
    <row r="5403" spans="17:24" x14ac:dyDescent="0.3">
      <c r="Q5403" s="4"/>
      <c r="R5403" s="4"/>
      <c r="S5403" s="4"/>
      <c r="T5403" s="4"/>
      <c r="U5403" s="4"/>
      <c r="V5403" s="4"/>
      <c r="W5403" s="4"/>
      <c r="X5403" s="4"/>
    </row>
    <row r="5404" spans="17:24" x14ac:dyDescent="0.3">
      <c r="Q5404" s="4"/>
      <c r="R5404" s="4"/>
      <c r="S5404" s="4"/>
      <c r="T5404" s="4"/>
      <c r="U5404" s="4"/>
      <c r="V5404" s="4"/>
      <c r="W5404" s="4"/>
      <c r="X5404" s="4"/>
    </row>
    <row r="5405" spans="17:24" x14ac:dyDescent="0.3">
      <c r="Q5405" s="4"/>
      <c r="R5405" s="4"/>
      <c r="S5405" s="4"/>
      <c r="T5405" s="4"/>
      <c r="U5405" s="4"/>
      <c r="V5405" s="4"/>
      <c r="W5405" s="4"/>
      <c r="X5405" s="4"/>
    </row>
    <row r="5406" spans="17:24" x14ac:dyDescent="0.3">
      <c r="Q5406" s="4"/>
      <c r="R5406" s="4"/>
      <c r="S5406" s="4"/>
      <c r="T5406" s="4"/>
      <c r="U5406" s="4"/>
      <c r="V5406" s="4"/>
      <c r="W5406" s="4"/>
      <c r="X5406" s="4"/>
    </row>
    <row r="5407" spans="17:24" x14ac:dyDescent="0.3">
      <c r="Q5407" s="4"/>
      <c r="R5407" s="4"/>
      <c r="S5407" s="4"/>
      <c r="T5407" s="4"/>
      <c r="U5407" s="4"/>
      <c r="V5407" s="4"/>
      <c r="W5407" s="4"/>
      <c r="X5407" s="4"/>
    </row>
    <row r="5408" spans="17:24" x14ac:dyDescent="0.3">
      <c r="Q5408" s="4"/>
      <c r="R5408" s="4"/>
      <c r="S5408" s="4"/>
      <c r="T5408" s="4"/>
      <c r="U5408" s="4"/>
      <c r="V5408" s="4"/>
      <c r="W5408" s="4"/>
      <c r="X5408" s="4"/>
    </row>
    <row r="5409" spans="17:24" x14ac:dyDescent="0.3">
      <c r="Q5409" s="4"/>
      <c r="R5409" s="4"/>
      <c r="S5409" s="4"/>
      <c r="T5409" s="4"/>
      <c r="U5409" s="4"/>
      <c r="V5409" s="4"/>
      <c r="W5409" s="4"/>
      <c r="X5409" s="4"/>
    </row>
    <row r="5410" spans="17:24" x14ac:dyDescent="0.3">
      <c r="Q5410" s="4"/>
      <c r="R5410" s="4"/>
      <c r="S5410" s="4"/>
      <c r="T5410" s="4"/>
      <c r="U5410" s="4"/>
      <c r="V5410" s="4"/>
      <c r="W5410" s="4"/>
      <c r="X5410" s="4"/>
    </row>
    <row r="5411" spans="17:24" x14ac:dyDescent="0.3">
      <c r="Q5411" s="4"/>
      <c r="R5411" s="4"/>
      <c r="S5411" s="4"/>
      <c r="T5411" s="4"/>
      <c r="U5411" s="4"/>
      <c r="V5411" s="4"/>
      <c r="W5411" s="4"/>
      <c r="X5411" s="4"/>
    </row>
    <row r="5412" spans="17:24" x14ac:dyDescent="0.3">
      <c r="Q5412" s="4"/>
      <c r="R5412" s="4"/>
      <c r="S5412" s="4"/>
      <c r="T5412" s="4"/>
      <c r="U5412" s="4"/>
      <c r="V5412" s="4"/>
      <c r="W5412" s="4"/>
      <c r="X5412" s="4"/>
    </row>
    <row r="5413" spans="17:24" x14ac:dyDescent="0.3">
      <c r="Q5413" s="4"/>
      <c r="R5413" s="4"/>
      <c r="S5413" s="4"/>
      <c r="T5413" s="4"/>
      <c r="U5413" s="4"/>
      <c r="V5413" s="4"/>
      <c r="W5413" s="4"/>
      <c r="X5413" s="4"/>
    </row>
    <row r="5414" spans="17:24" x14ac:dyDescent="0.3">
      <c r="Q5414" s="4"/>
      <c r="R5414" s="4"/>
      <c r="S5414" s="4"/>
      <c r="T5414" s="4"/>
      <c r="U5414" s="4"/>
      <c r="V5414" s="4"/>
      <c r="W5414" s="4"/>
      <c r="X5414" s="4"/>
    </row>
    <row r="5415" spans="17:24" x14ac:dyDescent="0.3">
      <c r="Q5415" s="4"/>
      <c r="R5415" s="4"/>
      <c r="S5415" s="4"/>
      <c r="T5415" s="4"/>
      <c r="U5415" s="4"/>
      <c r="V5415" s="4"/>
      <c r="W5415" s="4"/>
      <c r="X5415" s="4"/>
    </row>
    <row r="5416" spans="17:24" x14ac:dyDescent="0.3">
      <c r="Q5416" s="4"/>
      <c r="R5416" s="4"/>
      <c r="S5416" s="4"/>
      <c r="T5416" s="4"/>
      <c r="U5416" s="4"/>
      <c r="V5416" s="4"/>
      <c r="W5416" s="4"/>
      <c r="X5416" s="4"/>
    </row>
    <row r="5417" spans="17:24" x14ac:dyDescent="0.3">
      <c r="Q5417" s="4"/>
      <c r="R5417" s="4"/>
      <c r="S5417" s="4"/>
      <c r="T5417" s="4"/>
      <c r="U5417" s="4"/>
      <c r="V5417" s="4"/>
      <c r="W5417" s="4"/>
      <c r="X5417" s="4"/>
    </row>
    <row r="5418" spans="17:24" x14ac:dyDescent="0.3">
      <c r="Q5418" s="4"/>
      <c r="R5418" s="4"/>
      <c r="S5418" s="4"/>
      <c r="T5418" s="4"/>
      <c r="U5418" s="4"/>
      <c r="V5418" s="4"/>
      <c r="W5418" s="4"/>
      <c r="X5418" s="4"/>
    </row>
    <row r="5419" spans="17:24" x14ac:dyDescent="0.3">
      <c r="Q5419" s="4"/>
      <c r="R5419" s="4"/>
      <c r="S5419" s="4"/>
      <c r="T5419" s="4"/>
      <c r="U5419" s="4"/>
      <c r="V5419" s="4"/>
      <c r="W5419" s="4"/>
      <c r="X5419" s="4"/>
    </row>
    <row r="5420" spans="17:24" x14ac:dyDescent="0.3">
      <c r="Q5420" s="4"/>
      <c r="R5420" s="4"/>
      <c r="S5420" s="4"/>
      <c r="T5420" s="4"/>
      <c r="U5420" s="4"/>
      <c r="V5420" s="4"/>
      <c r="W5420" s="4"/>
      <c r="X5420" s="4"/>
    </row>
    <row r="5421" spans="17:24" x14ac:dyDescent="0.3">
      <c r="Q5421" s="4"/>
      <c r="R5421" s="4"/>
      <c r="S5421" s="4"/>
      <c r="T5421" s="4"/>
      <c r="U5421" s="4"/>
      <c r="V5421" s="4"/>
      <c r="W5421" s="4"/>
      <c r="X5421" s="4"/>
    </row>
    <row r="5422" spans="17:24" x14ac:dyDescent="0.3">
      <c r="Q5422" s="4"/>
      <c r="R5422" s="4"/>
      <c r="S5422" s="4"/>
      <c r="T5422" s="4"/>
      <c r="U5422" s="4"/>
      <c r="V5422" s="4"/>
      <c r="W5422" s="4"/>
      <c r="X5422" s="4"/>
    </row>
    <row r="5423" spans="17:24" x14ac:dyDescent="0.3">
      <c r="Q5423" s="4"/>
      <c r="R5423" s="4"/>
      <c r="S5423" s="4"/>
      <c r="T5423" s="4"/>
      <c r="U5423" s="4"/>
      <c r="V5423" s="4"/>
      <c r="W5423" s="4"/>
      <c r="X5423" s="4"/>
    </row>
    <row r="5424" spans="17:24" x14ac:dyDescent="0.3">
      <c r="Q5424" s="4"/>
      <c r="R5424" s="4"/>
      <c r="S5424" s="4"/>
      <c r="T5424" s="4"/>
      <c r="U5424" s="4"/>
      <c r="V5424" s="4"/>
      <c r="W5424" s="4"/>
      <c r="X5424" s="4"/>
    </row>
    <row r="5425" spans="17:24" x14ac:dyDescent="0.3">
      <c r="Q5425" s="4"/>
      <c r="R5425" s="4"/>
      <c r="S5425" s="4"/>
      <c r="T5425" s="4"/>
      <c r="U5425" s="4"/>
      <c r="V5425" s="4"/>
      <c r="W5425" s="4"/>
      <c r="X5425" s="4"/>
    </row>
    <row r="5426" spans="17:24" x14ac:dyDescent="0.3">
      <c r="Q5426" s="4"/>
      <c r="R5426" s="4"/>
      <c r="S5426" s="4"/>
      <c r="T5426" s="4"/>
      <c r="U5426" s="4"/>
      <c r="V5426" s="4"/>
      <c r="W5426" s="4"/>
      <c r="X5426" s="4"/>
    </row>
    <row r="5427" spans="17:24" x14ac:dyDescent="0.3">
      <c r="Q5427" s="4"/>
      <c r="R5427" s="4"/>
      <c r="S5427" s="4"/>
      <c r="T5427" s="4"/>
      <c r="U5427" s="4"/>
      <c r="V5427" s="4"/>
      <c r="W5427" s="4"/>
      <c r="X5427" s="4"/>
    </row>
    <row r="5428" spans="17:24" x14ac:dyDescent="0.3">
      <c r="Q5428" s="4"/>
      <c r="R5428" s="4"/>
      <c r="S5428" s="4"/>
      <c r="T5428" s="4"/>
      <c r="U5428" s="4"/>
      <c r="V5428" s="4"/>
      <c r="W5428" s="4"/>
      <c r="X5428" s="4"/>
    </row>
    <row r="5429" spans="17:24" x14ac:dyDescent="0.3">
      <c r="Q5429" s="4"/>
      <c r="R5429" s="4"/>
      <c r="S5429" s="4"/>
      <c r="T5429" s="4"/>
      <c r="U5429" s="4"/>
      <c r="V5429" s="4"/>
      <c r="W5429" s="4"/>
      <c r="X5429" s="4"/>
    </row>
    <row r="5430" spans="17:24" x14ac:dyDescent="0.3">
      <c r="Q5430" s="4"/>
      <c r="R5430" s="4"/>
      <c r="S5430" s="4"/>
      <c r="T5430" s="4"/>
      <c r="U5430" s="4"/>
      <c r="V5430" s="4"/>
      <c r="W5430" s="4"/>
      <c r="X5430" s="4"/>
    </row>
    <row r="5431" spans="17:24" x14ac:dyDescent="0.3">
      <c r="Q5431" s="4"/>
      <c r="R5431" s="4"/>
      <c r="S5431" s="4"/>
      <c r="T5431" s="4"/>
      <c r="U5431" s="4"/>
      <c r="V5431" s="4"/>
      <c r="W5431" s="4"/>
      <c r="X5431" s="4"/>
    </row>
    <row r="5432" spans="17:24" x14ac:dyDescent="0.3">
      <c r="Q5432" s="4"/>
      <c r="R5432" s="4"/>
      <c r="S5432" s="4"/>
      <c r="T5432" s="4"/>
      <c r="U5432" s="4"/>
      <c r="V5432" s="4"/>
      <c r="W5432" s="4"/>
      <c r="X5432" s="4"/>
    </row>
    <row r="5433" spans="17:24" x14ac:dyDescent="0.3">
      <c r="Q5433" s="4"/>
      <c r="R5433" s="4"/>
      <c r="S5433" s="4"/>
      <c r="T5433" s="4"/>
      <c r="U5433" s="4"/>
      <c r="V5433" s="4"/>
      <c r="W5433" s="4"/>
      <c r="X5433" s="4"/>
    </row>
    <row r="5434" spans="17:24" x14ac:dyDescent="0.3">
      <c r="Q5434" s="4"/>
      <c r="R5434" s="4"/>
      <c r="S5434" s="4"/>
      <c r="T5434" s="4"/>
      <c r="U5434" s="4"/>
      <c r="V5434" s="4"/>
      <c r="W5434" s="4"/>
      <c r="X5434" s="4"/>
    </row>
    <row r="5435" spans="17:24" x14ac:dyDescent="0.3">
      <c r="Q5435" s="4"/>
      <c r="R5435" s="4"/>
      <c r="S5435" s="4"/>
      <c r="T5435" s="4"/>
      <c r="U5435" s="4"/>
      <c r="V5435" s="4"/>
      <c r="W5435" s="4"/>
      <c r="X5435" s="4"/>
    </row>
    <row r="5436" spans="17:24" x14ac:dyDescent="0.3">
      <c r="Q5436" s="4"/>
      <c r="R5436" s="4"/>
      <c r="S5436" s="4"/>
      <c r="T5436" s="4"/>
      <c r="U5436" s="4"/>
      <c r="V5436" s="4"/>
      <c r="W5436" s="4"/>
      <c r="X5436" s="4"/>
    </row>
    <row r="5437" spans="17:24" x14ac:dyDescent="0.3">
      <c r="Q5437" s="4"/>
      <c r="R5437" s="4"/>
      <c r="S5437" s="4"/>
      <c r="T5437" s="4"/>
      <c r="U5437" s="4"/>
      <c r="V5437" s="4"/>
      <c r="W5437" s="4"/>
      <c r="X5437" s="4"/>
    </row>
    <row r="5438" spans="17:24" x14ac:dyDescent="0.3">
      <c r="Q5438" s="4"/>
      <c r="R5438" s="4"/>
      <c r="S5438" s="4"/>
      <c r="T5438" s="4"/>
      <c r="U5438" s="4"/>
      <c r="V5438" s="4"/>
      <c r="W5438" s="4"/>
      <c r="X5438" s="4"/>
    </row>
    <row r="5439" spans="17:24" x14ac:dyDescent="0.3">
      <c r="Q5439" s="4"/>
      <c r="R5439" s="4"/>
      <c r="S5439" s="4"/>
      <c r="T5439" s="4"/>
      <c r="U5439" s="4"/>
      <c r="V5439" s="4"/>
      <c r="W5439" s="4"/>
      <c r="X5439" s="4"/>
    </row>
    <row r="5440" spans="17:24" x14ac:dyDescent="0.3">
      <c r="Q5440" s="4"/>
      <c r="R5440" s="4"/>
      <c r="S5440" s="4"/>
      <c r="T5440" s="4"/>
      <c r="U5440" s="4"/>
      <c r="V5440" s="4"/>
      <c r="W5440" s="4"/>
      <c r="X5440" s="4"/>
    </row>
    <row r="5441" spans="17:24" x14ac:dyDescent="0.3">
      <c r="Q5441" s="4"/>
      <c r="R5441" s="4"/>
      <c r="S5441" s="4"/>
      <c r="T5441" s="4"/>
      <c r="U5441" s="4"/>
      <c r="V5441" s="4"/>
      <c r="W5441" s="4"/>
      <c r="X5441" s="4"/>
    </row>
    <row r="5442" spans="17:24" x14ac:dyDescent="0.3">
      <c r="Q5442" s="4"/>
      <c r="R5442" s="4"/>
      <c r="S5442" s="4"/>
      <c r="T5442" s="4"/>
      <c r="U5442" s="4"/>
      <c r="V5442" s="4"/>
      <c r="W5442" s="4"/>
      <c r="X5442" s="4"/>
    </row>
    <row r="5443" spans="17:24" x14ac:dyDescent="0.3">
      <c r="Q5443" s="4"/>
      <c r="R5443" s="4"/>
      <c r="S5443" s="4"/>
      <c r="T5443" s="4"/>
      <c r="U5443" s="4"/>
      <c r="V5443" s="4"/>
      <c r="W5443" s="4"/>
      <c r="X5443" s="4"/>
    </row>
    <row r="5444" spans="17:24" x14ac:dyDescent="0.3">
      <c r="Q5444" s="4"/>
      <c r="R5444" s="4"/>
      <c r="S5444" s="4"/>
      <c r="T5444" s="4"/>
      <c r="U5444" s="4"/>
      <c r="V5444" s="4"/>
      <c r="W5444" s="4"/>
      <c r="X5444" s="4"/>
    </row>
    <row r="5445" spans="17:24" x14ac:dyDescent="0.3">
      <c r="Q5445" s="4"/>
      <c r="R5445" s="4"/>
      <c r="S5445" s="4"/>
      <c r="T5445" s="4"/>
      <c r="U5445" s="4"/>
      <c r="V5445" s="4"/>
      <c r="W5445" s="4"/>
      <c r="X5445" s="4"/>
    </row>
    <row r="5446" spans="17:24" x14ac:dyDescent="0.3">
      <c r="Q5446" s="4"/>
      <c r="R5446" s="4"/>
      <c r="S5446" s="4"/>
      <c r="T5446" s="4"/>
      <c r="U5446" s="4"/>
      <c r="V5446" s="4"/>
      <c r="W5446" s="4"/>
      <c r="X5446" s="4"/>
    </row>
    <row r="5447" spans="17:24" x14ac:dyDescent="0.3">
      <c r="Q5447" s="4"/>
      <c r="R5447" s="4"/>
      <c r="S5447" s="4"/>
      <c r="T5447" s="4"/>
      <c r="U5447" s="4"/>
      <c r="V5447" s="4"/>
      <c r="W5447" s="4"/>
      <c r="X5447" s="4"/>
    </row>
    <row r="5448" spans="17:24" x14ac:dyDescent="0.3">
      <c r="Q5448" s="4"/>
      <c r="R5448" s="4"/>
      <c r="S5448" s="4"/>
      <c r="T5448" s="4"/>
      <c r="U5448" s="4"/>
      <c r="V5448" s="4"/>
      <c r="W5448" s="4"/>
      <c r="X5448" s="4"/>
    </row>
    <row r="5449" spans="17:24" x14ac:dyDescent="0.3">
      <c r="Q5449" s="4"/>
      <c r="R5449" s="4"/>
      <c r="S5449" s="4"/>
      <c r="T5449" s="4"/>
      <c r="U5449" s="4"/>
      <c r="V5449" s="4"/>
      <c r="W5449" s="4"/>
      <c r="X5449" s="4"/>
    </row>
    <row r="5450" spans="17:24" x14ac:dyDescent="0.3">
      <c r="Q5450" s="4"/>
      <c r="R5450" s="4"/>
      <c r="S5450" s="4"/>
      <c r="T5450" s="4"/>
      <c r="U5450" s="4"/>
      <c r="V5450" s="4"/>
      <c r="W5450" s="4"/>
      <c r="X5450" s="4"/>
    </row>
    <row r="5451" spans="17:24" x14ac:dyDescent="0.3">
      <c r="Q5451" s="4"/>
      <c r="R5451" s="4"/>
      <c r="S5451" s="4"/>
      <c r="T5451" s="4"/>
      <c r="U5451" s="4"/>
      <c r="V5451" s="4"/>
      <c r="W5451" s="4"/>
      <c r="X5451" s="4"/>
    </row>
    <row r="5452" spans="17:24" x14ac:dyDescent="0.3">
      <c r="Q5452" s="4"/>
      <c r="R5452" s="4"/>
      <c r="S5452" s="4"/>
      <c r="T5452" s="4"/>
      <c r="U5452" s="4"/>
      <c r="V5452" s="4"/>
      <c r="W5452" s="4"/>
      <c r="X5452" s="4"/>
    </row>
    <row r="5453" spans="17:24" x14ac:dyDescent="0.3">
      <c r="Q5453" s="4"/>
      <c r="R5453" s="4"/>
      <c r="S5453" s="4"/>
      <c r="T5453" s="4"/>
      <c r="U5453" s="4"/>
      <c r="V5453" s="4"/>
      <c r="W5453" s="4"/>
      <c r="X5453" s="4"/>
    </row>
    <row r="5454" spans="17:24" x14ac:dyDescent="0.3">
      <c r="Q5454" s="4"/>
      <c r="R5454" s="4"/>
      <c r="S5454" s="4"/>
      <c r="T5454" s="4"/>
      <c r="U5454" s="4"/>
      <c r="V5454" s="4"/>
      <c r="W5454" s="4"/>
      <c r="X5454" s="4"/>
    </row>
    <row r="5455" spans="17:24" x14ac:dyDescent="0.3">
      <c r="Q5455" s="4"/>
      <c r="R5455" s="4"/>
      <c r="S5455" s="4"/>
      <c r="T5455" s="4"/>
      <c r="U5455" s="4"/>
      <c r="V5455" s="4"/>
      <c r="W5455" s="4"/>
      <c r="X5455" s="4"/>
    </row>
    <row r="5456" spans="17:24" x14ac:dyDescent="0.3">
      <c r="Q5456" s="4"/>
      <c r="R5456" s="4"/>
      <c r="S5456" s="4"/>
      <c r="T5456" s="4"/>
      <c r="U5456" s="4"/>
      <c r="V5456" s="4"/>
      <c r="W5456" s="4"/>
      <c r="X5456" s="4"/>
    </row>
    <row r="5457" spans="17:24" x14ac:dyDescent="0.3">
      <c r="Q5457" s="4"/>
      <c r="R5457" s="4"/>
      <c r="S5457" s="4"/>
      <c r="T5457" s="4"/>
      <c r="U5457" s="4"/>
      <c r="V5457" s="4"/>
      <c r="W5457" s="4"/>
      <c r="X5457" s="4"/>
    </row>
    <row r="5458" spans="17:24" x14ac:dyDescent="0.3">
      <c r="Q5458" s="4"/>
      <c r="R5458" s="4"/>
      <c r="S5458" s="4"/>
      <c r="T5458" s="4"/>
      <c r="U5458" s="4"/>
      <c r="V5458" s="4"/>
      <c r="W5458" s="4"/>
      <c r="X5458" s="4"/>
    </row>
    <row r="5459" spans="17:24" x14ac:dyDescent="0.3">
      <c r="Q5459" s="4"/>
      <c r="R5459" s="4"/>
      <c r="S5459" s="4"/>
      <c r="T5459" s="4"/>
      <c r="U5459" s="4"/>
      <c r="V5459" s="4"/>
      <c r="W5459" s="4"/>
      <c r="X5459" s="4"/>
    </row>
    <row r="5460" spans="17:24" x14ac:dyDescent="0.3">
      <c r="Q5460" s="4"/>
      <c r="R5460" s="4"/>
      <c r="S5460" s="4"/>
      <c r="T5460" s="4"/>
      <c r="U5460" s="4"/>
      <c r="V5460" s="4"/>
      <c r="W5460" s="4"/>
      <c r="X5460" s="4"/>
    </row>
    <row r="5461" spans="17:24" x14ac:dyDescent="0.3">
      <c r="Q5461" s="4"/>
      <c r="R5461" s="4"/>
      <c r="S5461" s="4"/>
      <c r="T5461" s="4"/>
      <c r="U5461" s="4"/>
      <c r="V5461" s="4"/>
      <c r="W5461" s="4"/>
      <c r="X5461" s="4"/>
    </row>
    <row r="5462" spans="17:24" x14ac:dyDescent="0.3">
      <c r="Q5462" s="4"/>
      <c r="R5462" s="4"/>
      <c r="S5462" s="4"/>
      <c r="T5462" s="4"/>
      <c r="U5462" s="4"/>
      <c r="V5462" s="4"/>
      <c r="W5462" s="4"/>
      <c r="X5462" s="4"/>
    </row>
    <row r="5463" spans="17:24" x14ac:dyDescent="0.3">
      <c r="Q5463" s="4"/>
      <c r="R5463" s="4"/>
      <c r="S5463" s="4"/>
      <c r="T5463" s="4"/>
      <c r="U5463" s="4"/>
      <c r="V5463" s="4"/>
      <c r="W5463" s="4"/>
      <c r="X5463" s="4"/>
    </row>
    <row r="5464" spans="17:24" x14ac:dyDescent="0.3">
      <c r="Q5464" s="4"/>
      <c r="R5464" s="4"/>
      <c r="S5464" s="4"/>
      <c r="T5464" s="4"/>
      <c r="U5464" s="4"/>
      <c r="V5464" s="4"/>
      <c r="W5464" s="4"/>
      <c r="X5464" s="4"/>
    </row>
    <row r="5465" spans="17:24" x14ac:dyDescent="0.3">
      <c r="Q5465" s="4"/>
      <c r="R5465" s="4"/>
      <c r="S5465" s="4"/>
      <c r="T5465" s="4"/>
      <c r="U5465" s="4"/>
      <c r="V5465" s="4"/>
      <c r="W5465" s="4"/>
      <c r="X5465" s="4"/>
    </row>
    <row r="5466" spans="17:24" x14ac:dyDescent="0.3">
      <c r="Q5466" s="4"/>
      <c r="R5466" s="4"/>
      <c r="S5466" s="4"/>
      <c r="T5466" s="4"/>
      <c r="U5466" s="4"/>
      <c r="V5466" s="4"/>
      <c r="W5466" s="4"/>
      <c r="X5466" s="4"/>
    </row>
    <row r="5467" spans="17:24" x14ac:dyDescent="0.3">
      <c r="Q5467" s="4"/>
      <c r="R5467" s="4"/>
      <c r="S5467" s="4"/>
      <c r="T5467" s="4"/>
      <c r="U5467" s="4"/>
      <c r="V5467" s="4"/>
      <c r="W5467" s="4"/>
      <c r="X5467" s="4"/>
    </row>
    <row r="5468" spans="17:24" x14ac:dyDescent="0.3">
      <c r="Q5468" s="4"/>
      <c r="R5468" s="4"/>
      <c r="S5468" s="4"/>
      <c r="T5468" s="4"/>
      <c r="U5468" s="4"/>
      <c r="V5468" s="4"/>
      <c r="W5468" s="4"/>
      <c r="X5468" s="4"/>
    </row>
    <row r="5469" spans="17:24" x14ac:dyDescent="0.3">
      <c r="Q5469" s="4"/>
      <c r="R5469" s="4"/>
      <c r="S5469" s="4"/>
      <c r="T5469" s="4"/>
      <c r="U5469" s="4"/>
      <c r="V5469" s="4"/>
      <c r="W5469" s="4"/>
      <c r="X5469" s="4"/>
    </row>
    <row r="5470" spans="17:24" x14ac:dyDescent="0.3">
      <c r="Q5470" s="4"/>
      <c r="R5470" s="4"/>
      <c r="S5470" s="4"/>
      <c r="T5470" s="4"/>
      <c r="U5470" s="4"/>
      <c r="V5470" s="4"/>
      <c r="W5470" s="4"/>
      <c r="X5470" s="4"/>
    </row>
    <row r="5471" spans="17:24" x14ac:dyDescent="0.3">
      <c r="Q5471" s="4"/>
      <c r="R5471" s="4"/>
      <c r="S5471" s="4"/>
      <c r="T5471" s="4"/>
      <c r="U5471" s="4"/>
      <c r="V5471" s="4"/>
      <c r="W5471" s="4"/>
      <c r="X5471" s="4"/>
    </row>
    <row r="5472" spans="17:24" x14ac:dyDescent="0.3">
      <c r="Q5472" s="4"/>
      <c r="R5472" s="4"/>
      <c r="S5472" s="4"/>
      <c r="T5472" s="4"/>
      <c r="U5472" s="4"/>
      <c r="V5472" s="4"/>
      <c r="W5472" s="4"/>
      <c r="X5472" s="4"/>
    </row>
    <row r="5473" spans="17:24" x14ac:dyDescent="0.3">
      <c r="Q5473" s="4"/>
      <c r="R5473" s="4"/>
      <c r="S5473" s="4"/>
      <c r="T5473" s="4"/>
      <c r="U5473" s="4"/>
      <c r="V5473" s="4"/>
      <c r="W5473" s="4"/>
      <c r="X5473" s="4"/>
    </row>
    <row r="5474" spans="17:24" x14ac:dyDescent="0.3">
      <c r="Q5474" s="4"/>
      <c r="R5474" s="4"/>
      <c r="S5474" s="4"/>
      <c r="T5474" s="4"/>
      <c r="U5474" s="4"/>
      <c r="V5474" s="4"/>
      <c r="W5474" s="4"/>
      <c r="X5474" s="4"/>
    </row>
    <row r="5475" spans="17:24" x14ac:dyDescent="0.3">
      <c r="Q5475" s="4"/>
      <c r="R5475" s="4"/>
      <c r="S5475" s="4"/>
      <c r="T5475" s="4"/>
      <c r="U5475" s="4"/>
      <c r="V5475" s="4"/>
      <c r="W5475" s="4"/>
      <c r="X5475" s="4"/>
    </row>
    <row r="5476" spans="17:24" x14ac:dyDescent="0.3">
      <c r="Q5476" s="4"/>
      <c r="R5476" s="4"/>
      <c r="S5476" s="4"/>
      <c r="T5476" s="4"/>
      <c r="U5476" s="4"/>
      <c r="V5476" s="4"/>
      <c r="W5476" s="4"/>
      <c r="X5476" s="4"/>
    </row>
    <row r="5477" spans="17:24" x14ac:dyDescent="0.3">
      <c r="Q5477" s="4"/>
      <c r="R5477" s="4"/>
      <c r="S5477" s="4"/>
      <c r="T5477" s="4"/>
      <c r="U5477" s="4"/>
      <c r="V5477" s="4"/>
      <c r="W5477" s="4"/>
      <c r="X5477" s="4"/>
    </row>
    <row r="5478" spans="17:24" x14ac:dyDescent="0.3">
      <c r="Q5478" s="4"/>
      <c r="R5478" s="4"/>
      <c r="S5478" s="4"/>
      <c r="T5478" s="4"/>
      <c r="U5478" s="4"/>
      <c r="V5478" s="4"/>
      <c r="W5478" s="4"/>
      <c r="X5478" s="4"/>
    </row>
    <row r="5479" spans="17:24" x14ac:dyDescent="0.3">
      <c r="Q5479" s="4"/>
      <c r="R5479" s="4"/>
      <c r="S5479" s="4"/>
      <c r="T5479" s="4"/>
      <c r="U5479" s="4"/>
      <c r="V5479" s="4"/>
      <c r="W5479" s="4"/>
      <c r="X5479" s="4"/>
    </row>
    <row r="5480" spans="17:24" x14ac:dyDescent="0.3">
      <c r="Q5480" s="4"/>
      <c r="R5480" s="4"/>
      <c r="S5480" s="4"/>
      <c r="T5480" s="4"/>
      <c r="U5480" s="4"/>
      <c r="V5480" s="4"/>
      <c r="W5480" s="4"/>
      <c r="X5480" s="4"/>
    </row>
    <row r="5481" spans="17:24" x14ac:dyDescent="0.3">
      <c r="Q5481" s="4"/>
      <c r="R5481" s="4"/>
      <c r="S5481" s="4"/>
      <c r="T5481" s="4"/>
      <c r="U5481" s="4"/>
      <c r="V5481" s="4"/>
      <c r="W5481" s="4"/>
      <c r="X5481" s="4"/>
    </row>
    <row r="5482" spans="17:24" x14ac:dyDescent="0.3">
      <c r="Q5482" s="4"/>
      <c r="R5482" s="4"/>
      <c r="S5482" s="4"/>
      <c r="T5482" s="4"/>
      <c r="U5482" s="4"/>
      <c r="V5482" s="4"/>
      <c r="W5482" s="4"/>
      <c r="X5482" s="4"/>
    </row>
    <row r="5483" spans="17:24" x14ac:dyDescent="0.3">
      <c r="Q5483" s="4"/>
      <c r="R5483" s="4"/>
      <c r="S5483" s="4"/>
      <c r="T5483" s="4"/>
      <c r="U5483" s="4"/>
      <c r="V5483" s="4"/>
      <c r="W5483" s="4"/>
      <c r="X5483" s="4"/>
    </row>
    <row r="5484" spans="17:24" x14ac:dyDescent="0.3">
      <c r="Q5484" s="4"/>
      <c r="R5484" s="4"/>
      <c r="S5484" s="4"/>
      <c r="T5484" s="4"/>
      <c r="U5484" s="4"/>
      <c r="V5484" s="4"/>
      <c r="W5484" s="4"/>
      <c r="X5484" s="4"/>
    </row>
    <row r="5485" spans="17:24" x14ac:dyDescent="0.3">
      <c r="Q5485" s="4"/>
      <c r="R5485" s="4"/>
      <c r="S5485" s="4"/>
      <c r="T5485" s="4"/>
      <c r="U5485" s="4"/>
      <c r="V5485" s="4"/>
      <c r="W5485" s="4"/>
      <c r="X5485" s="4"/>
    </row>
    <row r="5486" spans="17:24" x14ac:dyDescent="0.3">
      <c r="Q5486" s="4"/>
      <c r="R5486" s="4"/>
      <c r="S5486" s="4"/>
      <c r="T5486" s="4"/>
      <c r="U5486" s="4"/>
      <c r="V5486" s="4"/>
      <c r="W5486" s="4"/>
      <c r="X5486" s="4"/>
    </row>
    <row r="5487" spans="17:24" x14ac:dyDescent="0.3">
      <c r="Q5487" s="4"/>
      <c r="R5487" s="4"/>
      <c r="S5487" s="4"/>
      <c r="T5487" s="4"/>
      <c r="U5487" s="4"/>
      <c r="V5487" s="4"/>
      <c r="W5487" s="4"/>
      <c r="X5487" s="4"/>
    </row>
    <row r="5488" spans="17:24" x14ac:dyDescent="0.3">
      <c r="Q5488" s="4"/>
      <c r="R5488" s="4"/>
      <c r="S5488" s="4"/>
      <c r="T5488" s="4"/>
      <c r="U5488" s="4"/>
      <c r="V5488" s="4"/>
      <c r="W5488" s="4"/>
      <c r="X5488" s="4"/>
    </row>
    <row r="5489" spans="17:24" x14ac:dyDescent="0.3">
      <c r="Q5489" s="4"/>
      <c r="R5489" s="4"/>
      <c r="S5489" s="4"/>
      <c r="T5489" s="4"/>
      <c r="U5489" s="4"/>
      <c r="V5489" s="4"/>
      <c r="W5489" s="4"/>
      <c r="X5489" s="4"/>
    </row>
    <row r="5490" spans="17:24" x14ac:dyDescent="0.3">
      <c r="Q5490" s="4"/>
      <c r="R5490" s="4"/>
      <c r="S5490" s="4"/>
      <c r="T5490" s="4"/>
      <c r="U5490" s="4"/>
      <c r="V5490" s="4"/>
      <c r="W5490" s="4"/>
      <c r="X5490" s="4"/>
    </row>
    <row r="5491" spans="17:24" x14ac:dyDescent="0.3">
      <c r="Q5491" s="4"/>
      <c r="R5491" s="4"/>
      <c r="S5491" s="4"/>
      <c r="T5491" s="4"/>
      <c r="U5491" s="4"/>
      <c r="V5491" s="4"/>
      <c r="W5491" s="4"/>
      <c r="X5491" s="4"/>
    </row>
    <row r="5492" spans="17:24" x14ac:dyDescent="0.3">
      <c r="Q5492" s="4"/>
      <c r="R5492" s="4"/>
      <c r="S5492" s="4"/>
      <c r="T5492" s="4"/>
      <c r="U5492" s="4"/>
      <c r="V5492" s="4"/>
      <c r="W5492" s="4"/>
      <c r="X5492" s="4"/>
    </row>
    <row r="5493" spans="17:24" x14ac:dyDescent="0.3">
      <c r="Q5493" s="4"/>
      <c r="R5493" s="4"/>
      <c r="S5493" s="4"/>
      <c r="T5493" s="4"/>
      <c r="U5493" s="4"/>
      <c r="V5493" s="4"/>
      <c r="W5493" s="4"/>
      <c r="X5493" s="4"/>
    </row>
    <row r="5494" spans="17:24" x14ac:dyDescent="0.3">
      <c r="Q5494" s="4"/>
      <c r="R5494" s="4"/>
      <c r="S5494" s="4"/>
      <c r="T5494" s="4"/>
      <c r="U5494" s="4"/>
      <c r="V5494" s="4"/>
      <c r="W5494" s="4"/>
      <c r="X5494" s="4"/>
    </row>
    <row r="5495" spans="17:24" x14ac:dyDescent="0.3">
      <c r="Q5495" s="4"/>
      <c r="R5495" s="4"/>
      <c r="S5495" s="4"/>
      <c r="T5495" s="4"/>
      <c r="U5495" s="4"/>
      <c r="V5495" s="4"/>
      <c r="W5495" s="4"/>
      <c r="X5495" s="4"/>
    </row>
    <row r="5496" spans="17:24" x14ac:dyDescent="0.3">
      <c r="Q5496" s="4"/>
      <c r="R5496" s="4"/>
      <c r="S5496" s="4"/>
      <c r="T5496" s="4"/>
      <c r="U5496" s="4"/>
      <c r="V5496" s="4"/>
      <c r="W5496" s="4"/>
      <c r="X5496" s="4"/>
    </row>
    <row r="5497" spans="17:24" x14ac:dyDescent="0.3">
      <c r="Q5497" s="4"/>
      <c r="R5497" s="4"/>
      <c r="S5497" s="4"/>
      <c r="T5497" s="4"/>
      <c r="U5497" s="4"/>
      <c r="V5497" s="4"/>
      <c r="W5497" s="4"/>
      <c r="X5497" s="4"/>
    </row>
    <row r="5498" spans="17:24" x14ac:dyDescent="0.3">
      <c r="Q5498" s="4"/>
      <c r="R5498" s="4"/>
      <c r="S5498" s="4"/>
      <c r="T5498" s="4"/>
      <c r="U5498" s="4"/>
      <c r="V5498" s="4"/>
      <c r="W5498" s="4"/>
      <c r="X5498" s="4"/>
    </row>
    <row r="5499" spans="17:24" x14ac:dyDescent="0.3">
      <c r="Q5499" s="4"/>
      <c r="R5499" s="4"/>
      <c r="S5499" s="4"/>
      <c r="T5499" s="4"/>
      <c r="U5499" s="4"/>
      <c r="V5499" s="4"/>
      <c r="W5499" s="4"/>
      <c r="X5499" s="4"/>
    </row>
    <row r="5500" spans="17:24" x14ac:dyDescent="0.3">
      <c r="Q5500" s="4"/>
      <c r="R5500" s="4"/>
      <c r="S5500" s="4"/>
      <c r="T5500" s="4"/>
      <c r="U5500" s="4"/>
      <c r="V5500" s="4"/>
      <c r="W5500" s="4"/>
      <c r="X5500" s="4"/>
    </row>
    <row r="5501" spans="17:24" x14ac:dyDescent="0.3">
      <c r="Q5501" s="4"/>
      <c r="R5501" s="4"/>
      <c r="S5501" s="4"/>
      <c r="T5501" s="4"/>
      <c r="U5501" s="4"/>
      <c r="V5501" s="4"/>
      <c r="W5501" s="4"/>
      <c r="X5501" s="4"/>
    </row>
    <row r="5502" spans="17:24" x14ac:dyDescent="0.3">
      <c r="Q5502" s="4"/>
      <c r="R5502" s="4"/>
      <c r="S5502" s="4"/>
      <c r="T5502" s="4"/>
      <c r="U5502" s="4"/>
      <c r="V5502" s="4"/>
      <c r="W5502" s="4"/>
      <c r="X5502" s="4"/>
    </row>
    <row r="5503" spans="17:24" x14ac:dyDescent="0.3">
      <c r="Q5503" s="4"/>
      <c r="R5503" s="4"/>
      <c r="S5503" s="4"/>
      <c r="T5503" s="4"/>
      <c r="U5503" s="4"/>
      <c r="V5503" s="4"/>
      <c r="W5503" s="4"/>
      <c r="X5503" s="4"/>
    </row>
    <row r="5504" spans="17:24" x14ac:dyDescent="0.3">
      <c r="Q5504" s="4"/>
      <c r="R5504" s="4"/>
      <c r="S5504" s="4"/>
      <c r="T5504" s="4"/>
      <c r="U5504" s="4"/>
      <c r="V5504" s="4"/>
      <c r="W5504" s="4"/>
      <c r="X5504" s="4"/>
    </row>
    <row r="5505" spans="17:24" x14ac:dyDescent="0.3">
      <c r="Q5505" s="4"/>
      <c r="R5505" s="4"/>
      <c r="S5505" s="4"/>
      <c r="T5505" s="4"/>
      <c r="U5505" s="4"/>
      <c r="V5505" s="4"/>
      <c r="W5505" s="4"/>
      <c r="X5505" s="4"/>
    </row>
    <row r="5506" spans="17:24" x14ac:dyDescent="0.3">
      <c r="Q5506" s="4"/>
      <c r="R5506" s="4"/>
      <c r="S5506" s="4"/>
      <c r="T5506" s="4"/>
      <c r="U5506" s="4"/>
      <c r="V5506" s="4"/>
      <c r="W5506" s="4"/>
      <c r="X5506" s="4"/>
    </row>
    <row r="5507" spans="17:24" x14ac:dyDescent="0.3">
      <c r="Q5507" s="4"/>
      <c r="R5507" s="4"/>
      <c r="S5507" s="4"/>
      <c r="T5507" s="4"/>
      <c r="U5507" s="4"/>
      <c r="V5507" s="4"/>
      <c r="W5507" s="4"/>
      <c r="X5507" s="4"/>
    </row>
    <row r="5508" spans="17:24" x14ac:dyDescent="0.3">
      <c r="Q5508" s="4"/>
      <c r="R5508" s="4"/>
      <c r="S5508" s="4"/>
      <c r="T5508" s="4"/>
      <c r="U5508" s="4"/>
      <c r="V5508" s="4"/>
      <c r="W5508" s="4"/>
      <c r="X5508" s="4"/>
    </row>
    <row r="5509" spans="17:24" x14ac:dyDescent="0.3">
      <c r="Q5509" s="4"/>
      <c r="R5509" s="4"/>
      <c r="S5509" s="4"/>
      <c r="T5509" s="4"/>
      <c r="U5509" s="4"/>
      <c r="V5509" s="4"/>
      <c r="W5509" s="4"/>
      <c r="X5509" s="4"/>
    </row>
    <row r="5510" spans="17:24" x14ac:dyDescent="0.3">
      <c r="Q5510" s="4"/>
      <c r="R5510" s="4"/>
      <c r="S5510" s="4"/>
      <c r="T5510" s="4"/>
      <c r="U5510" s="4"/>
      <c r="V5510" s="4"/>
      <c r="W5510" s="4"/>
      <c r="X5510" s="4"/>
    </row>
    <row r="5511" spans="17:24" x14ac:dyDescent="0.3">
      <c r="Q5511" s="4"/>
      <c r="R5511" s="4"/>
      <c r="S5511" s="4"/>
      <c r="T5511" s="4"/>
      <c r="U5511" s="4"/>
      <c r="V5511" s="4"/>
      <c r="W5511" s="4"/>
      <c r="X5511" s="4"/>
    </row>
    <row r="5512" spans="17:24" x14ac:dyDescent="0.3">
      <c r="Q5512" s="4"/>
      <c r="R5512" s="4"/>
      <c r="S5512" s="4"/>
      <c r="T5512" s="4"/>
      <c r="U5512" s="4"/>
      <c r="V5512" s="4"/>
      <c r="W5512" s="4"/>
      <c r="X5512" s="4"/>
    </row>
    <row r="5513" spans="17:24" x14ac:dyDescent="0.3">
      <c r="Q5513" s="4"/>
      <c r="R5513" s="4"/>
      <c r="S5513" s="4"/>
      <c r="T5513" s="4"/>
      <c r="U5513" s="4"/>
      <c r="V5513" s="4"/>
      <c r="W5513" s="4"/>
      <c r="X5513" s="4"/>
    </row>
    <row r="5514" spans="17:24" x14ac:dyDescent="0.3">
      <c r="Q5514" s="4"/>
      <c r="R5514" s="4"/>
      <c r="S5514" s="4"/>
      <c r="T5514" s="4"/>
      <c r="U5514" s="4"/>
      <c r="V5514" s="4"/>
      <c r="W5514" s="4"/>
      <c r="X5514" s="4"/>
    </row>
    <row r="5515" spans="17:24" x14ac:dyDescent="0.3">
      <c r="Q5515" s="4"/>
      <c r="R5515" s="4"/>
      <c r="S5515" s="4"/>
      <c r="T5515" s="4"/>
      <c r="U5515" s="4"/>
      <c r="V5515" s="4"/>
      <c r="W5515" s="4"/>
      <c r="X5515" s="4"/>
    </row>
    <row r="5516" spans="17:24" x14ac:dyDescent="0.3">
      <c r="Q5516" s="4"/>
      <c r="R5516" s="4"/>
      <c r="S5516" s="4"/>
      <c r="T5516" s="4"/>
      <c r="U5516" s="4"/>
      <c r="V5516" s="4"/>
      <c r="W5516" s="4"/>
      <c r="X5516" s="4"/>
    </row>
    <row r="5517" spans="17:24" x14ac:dyDescent="0.3">
      <c r="Q5517" s="4"/>
      <c r="R5517" s="4"/>
      <c r="S5517" s="4"/>
      <c r="T5517" s="4"/>
      <c r="U5517" s="4"/>
      <c r="V5517" s="4"/>
      <c r="W5517" s="4"/>
      <c r="X5517" s="4"/>
    </row>
    <row r="5518" spans="17:24" x14ac:dyDescent="0.3">
      <c r="Q5518" s="4"/>
      <c r="R5518" s="4"/>
      <c r="S5518" s="4"/>
      <c r="T5518" s="4"/>
      <c r="U5518" s="4"/>
      <c r="V5518" s="4"/>
      <c r="W5518" s="4"/>
      <c r="X5518" s="4"/>
    </row>
    <row r="5519" spans="17:24" x14ac:dyDescent="0.3">
      <c r="Q5519" s="4"/>
      <c r="R5519" s="4"/>
      <c r="S5519" s="4"/>
      <c r="T5519" s="4"/>
      <c r="U5519" s="4"/>
      <c r="V5519" s="4"/>
      <c r="W5519" s="4"/>
      <c r="X5519" s="4"/>
    </row>
    <row r="5520" spans="17:24" x14ac:dyDescent="0.3">
      <c r="Q5520" s="4"/>
      <c r="R5520" s="4"/>
      <c r="S5520" s="4"/>
      <c r="T5520" s="4"/>
      <c r="U5520" s="4"/>
      <c r="V5520" s="4"/>
      <c r="W5520" s="4"/>
      <c r="X5520" s="4"/>
    </row>
    <row r="5521" spans="17:24" x14ac:dyDescent="0.3">
      <c r="Q5521" s="4"/>
      <c r="R5521" s="4"/>
      <c r="S5521" s="4"/>
      <c r="T5521" s="4"/>
      <c r="U5521" s="4"/>
      <c r="V5521" s="4"/>
      <c r="W5521" s="4"/>
      <c r="X5521" s="4"/>
    </row>
    <row r="5522" spans="17:24" x14ac:dyDescent="0.3">
      <c r="Q5522" s="4"/>
      <c r="R5522" s="4"/>
      <c r="S5522" s="4"/>
      <c r="T5522" s="4"/>
      <c r="U5522" s="4"/>
      <c r="V5522" s="4"/>
      <c r="W5522" s="4"/>
      <c r="X5522" s="4"/>
    </row>
    <row r="5523" spans="17:24" x14ac:dyDescent="0.3">
      <c r="Q5523" s="4"/>
      <c r="R5523" s="4"/>
      <c r="S5523" s="4"/>
      <c r="T5523" s="4"/>
      <c r="U5523" s="4"/>
      <c r="V5523" s="4"/>
      <c r="W5523" s="4"/>
      <c r="X5523" s="4"/>
    </row>
    <row r="5524" spans="17:24" x14ac:dyDescent="0.3">
      <c r="Q5524" s="4"/>
      <c r="R5524" s="4"/>
      <c r="S5524" s="4"/>
      <c r="T5524" s="4"/>
      <c r="U5524" s="4"/>
      <c r="V5524" s="4"/>
      <c r="W5524" s="4"/>
      <c r="X5524" s="4"/>
    </row>
    <row r="5525" spans="17:24" x14ac:dyDescent="0.3">
      <c r="Q5525" s="4"/>
      <c r="R5525" s="4"/>
      <c r="S5525" s="4"/>
      <c r="T5525" s="4"/>
      <c r="U5525" s="4"/>
      <c r="V5525" s="4"/>
      <c r="W5525" s="4"/>
      <c r="X5525" s="4"/>
    </row>
    <row r="5526" spans="17:24" x14ac:dyDescent="0.3">
      <c r="Q5526" s="4"/>
      <c r="R5526" s="4"/>
      <c r="S5526" s="4"/>
      <c r="T5526" s="4"/>
      <c r="U5526" s="4"/>
      <c r="V5526" s="4"/>
      <c r="W5526" s="4"/>
      <c r="X5526" s="4"/>
    </row>
    <row r="5527" spans="17:24" x14ac:dyDescent="0.3">
      <c r="Q5527" s="4"/>
      <c r="R5527" s="4"/>
      <c r="S5527" s="4"/>
      <c r="T5527" s="4"/>
      <c r="U5527" s="4"/>
      <c r="V5527" s="4"/>
      <c r="W5527" s="4"/>
      <c r="X5527" s="4"/>
    </row>
    <row r="5528" spans="17:24" x14ac:dyDescent="0.3">
      <c r="Q5528" s="4"/>
      <c r="R5528" s="4"/>
      <c r="S5528" s="4"/>
      <c r="T5528" s="4"/>
      <c r="U5528" s="4"/>
      <c r="V5528" s="4"/>
      <c r="W5528" s="4"/>
      <c r="X5528" s="4"/>
    </row>
    <row r="5529" spans="17:24" x14ac:dyDescent="0.3">
      <c r="Q5529" s="4"/>
      <c r="R5529" s="4"/>
      <c r="S5529" s="4"/>
      <c r="T5529" s="4"/>
      <c r="U5529" s="4"/>
      <c r="V5529" s="4"/>
      <c r="W5529" s="4"/>
      <c r="X5529" s="4"/>
    </row>
    <row r="5530" spans="17:24" x14ac:dyDescent="0.3">
      <c r="Q5530" s="4"/>
      <c r="R5530" s="4"/>
      <c r="S5530" s="4"/>
      <c r="T5530" s="4"/>
      <c r="U5530" s="4"/>
      <c r="V5530" s="4"/>
      <c r="W5530" s="4"/>
      <c r="X5530" s="4"/>
    </row>
    <row r="5531" spans="17:24" x14ac:dyDescent="0.3">
      <c r="Q5531" s="4"/>
      <c r="R5531" s="4"/>
      <c r="S5531" s="4"/>
      <c r="T5531" s="4"/>
      <c r="U5531" s="4"/>
      <c r="V5531" s="4"/>
      <c r="W5531" s="4"/>
      <c r="X5531" s="4"/>
    </row>
    <row r="5532" spans="17:24" x14ac:dyDescent="0.3">
      <c r="Q5532" s="4"/>
      <c r="R5532" s="4"/>
      <c r="S5532" s="4"/>
      <c r="T5532" s="4"/>
      <c r="U5532" s="4"/>
      <c r="V5532" s="4"/>
      <c r="W5532" s="4"/>
      <c r="X5532" s="4"/>
    </row>
    <row r="5533" spans="17:24" x14ac:dyDescent="0.3">
      <c r="Q5533" s="4"/>
      <c r="R5533" s="4"/>
      <c r="S5533" s="4"/>
      <c r="T5533" s="4"/>
      <c r="U5533" s="4"/>
      <c r="V5533" s="4"/>
      <c r="W5533" s="4"/>
      <c r="X5533" s="4"/>
    </row>
    <row r="5534" spans="17:24" x14ac:dyDescent="0.3">
      <c r="Q5534" s="4"/>
      <c r="R5534" s="4"/>
      <c r="S5534" s="4"/>
      <c r="T5534" s="4"/>
      <c r="U5534" s="4"/>
      <c r="V5534" s="4"/>
      <c r="W5534" s="4"/>
      <c r="X5534" s="4"/>
    </row>
    <row r="5535" spans="17:24" x14ac:dyDescent="0.3">
      <c r="Q5535" s="4"/>
      <c r="R5535" s="4"/>
      <c r="S5535" s="4"/>
      <c r="T5535" s="4"/>
      <c r="U5535" s="4"/>
      <c r="V5535" s="4"/>
      <c r="W5535" s="4"/>
      <c r="X5535" s="4"/>
    </row>
    <row r="5536" spans="17:24" x14ac:dyDescent="0.3">
      <c r="Q5536" s="4"/>
      <c r="R5536" s="4"/>
      <c r="S5536" s="4"/>
      <c r="T5536" s="4"/>
      <c r="U5536" s="4"/>
      <c r="V5536" s="4"/>
      <c r="W5536" s="4"/>
      <c r="X5536" s="4"/>
    </row>
    <row r="5537" spans="17:24" x14ac:dyDescent="0.3">
      <c r="Q5537" s="4"/>
      <c r="R5537" s="4"/>
      <c r="S5537" s="4"/>
      <c r="T5537" s="4"/>
      <c r="U5537" s="4"/>
      <c r="V5537" s="4"/>
      <c r="W5537" s="4"/>
      <c r="X5537" s="4"/>
    </row>
    <row r="5538" spans="17:24" x14ac:dyDescent="0.3">
      <c r="Q5538" s="4"/>
      <c r="R5538" s="4"/>
      <c r="S5538" s="4"/>
      <c r="T5538" s="4"/>
      <c r="U5538" s="4"/>
      <c r="V5538" s="4"/>
      <c r="W5538" s="4"/>
      <c r="X5538" s="4"/>
    </row>
    <row r="5539" spans="17:24" x14ac:dyDescent="0.3">
      <c r="Q5539" s="4"/>
      <c r="R5539" s="4"/>
      <c r="S5539" s="4"/>
      <c r="T5539" s="4"/>
      <c r="U5539" s="4"/>
      <c r="V5539" s="4"/>
      <c r="W5539" s="4"/>
      <c r="X5539" s="4"/>
    </row>
    <row r="5540" spans="17:24" x14ac:dyDescent="0.3">
      <c r="Q5540" s="4"/>
      <c r="R5540" s="4"/>
      <c r="S5540" s="4"/>
      <c r="T5540" s="4"/>
      <c r="U5540" s="4"/>
      <c r="V5540" s="4"/>
      <c r="W5540" s="4"/>
      <c r="X5540" s="4"/>
    </row>
    <row r="5541" spans="17:24" x14ac:dyDescent="0.3">
      <c r="Q5541" s="4"/>
      <c r="R5541" s="4"/>
      <c r="S5541" s="4"/>
      <c r="T5541" s="4"/>
      <c r="U5541" s="4"/>
      <c r="V5541" s="4"/>
      <c r="W5541" s="4"/>
      <c r="X5541" s="4"/>
    </row>
    <row r="5542" spans="17:24" x14ac:dyDescent="0.3">
      <c r="Q5542" s="4"/>
      <c r="R5542" s="4"/>
      <c r="S5542" s="4"/>
      <c r="T5542" s="4"/>
      <c r="U5542" s="4"/>
      <c r="V5542" s="4"/>
      <c r="W5542" s="4"/>
      <c r="X5542" s="4"/>
    </row>
    <row r="5543" spans="17:24" x14ac:dyDescent="0.3">
      <c r="Q5543" s="4"/>
      <c r="R5543" s="4"/>
      <c r="S5543" s="4"/>
      <c r="T5543" s="4"/>
      <c r="U5543" s="4"/>
      <c r="V5543" s="4"/>
      <c r="W5543" s="4"/>
      <c r="X5543" s="4"/>
    </row>
    <row r="5544" spans="17:24" x14ac:dyDescent="0.3">
      <c r="Q5544" s="4"/>
      <c r="R5544" s="4"/>
      <c r="S5544" s="4"/>
      <c r="T5544" s="4"/>
      <c r="U5544" s="4"/>
      <c r="V5544" s="4"/>
      <c r="W5544" s="4"/>
      <c r="X5544" s="4"/>
    </row>
    <row r="5545" spans="17:24" x14ac:dyDescent="0.3">
      <c r="Q5545" s="4"/>
      <c r="R5545" s="4"/>
      <c r="S5545" s="4"/>
      <c r="T5545" s="4"/>
      <c r="U5545" s="4"/>
      <c r="V5545" s="4"/>
      <c r="W5545" s="4"/>
      <c r="X5545" s="4"/>
    </row>
    <row r="5546" spans="17:24" x14ac:dyDescent="0.3">
      <c r="Q5546" s="4"/>
      <c r="R5546" s="4"/>
      <c r="S5546" s="4"/>
      <c r="T5546" s="4"/>
      <c r="U5546" s="4"/>
      <c r="V5546" s="4"/>
      <c r="W5546" s="4"/>
      <c r="X5546" s="4"/>
    </row>
    <row r="5547" spans="17:24" x14ac:dyDescent="0.3">
      <c r="Q5547" s="4"/>
      <c r="R5547" s="4"/>
      <c r="S5547" s="4"/>
      <c r="T5547" s="4"/>
      <c r="U5547" s="4"/>
      <c r="V5547" s="4"/>
      <c r="W5547" s="4"/>
      <c r="X5547" s="4"/>
    </row>
    <row r="5548" spans="17:24" x14ac:dyDescent="0.3">
      <c r="Q5548" s="4"/>
      <c r="R5548" s="4"/>
      <c r="S5548" s="4"/>
      <c r="T5548" s="4"/>
      <c r="U5548" s="4"/>
      <c r="V5548" s="4"/>
      <c r="W5548" s="4"/>
      <c r="X5548" s="4"/>
    </row>
    <row r="5549" spans="17:24" x14ac:dyDescent="0.3">
      <c r="Q5549" s="4"/>
      <c r="R5549" s="4"/>
      <c r="S5549" s="4"/>
      <c r="T5549" s="4"/>
      <c r="U5549" s="4"/>
      <c r="V5549" s="4"/>
      <c r="W5549" s="4"/>
      <c r="X5549" s="4"/>
    </row>
    <row r="5550" spans="17:24" x14ac:dyDescent="0.3">
      <c r="Q5550" s="4"/>
      <c r="R5550" s="4"/>
      <c r="S5550" s="4"/>
      <c r="T5550" s="4"/>
      <c r="U5550" s="4"/>
      <c r="V5550" s="4"/>
      <c r="W5550" s="4"/>
      <c r="X5550" s="4"/>
    </row>
    <row r="5551" spans="17:24" x14ac:dyDescent="0.3">
      <c r="Q5551" s="4"/>
      <c r="R5551" s="4"/>
      <c r="S5551" s="4"/>
      <c r="T5551" s="4"/>
      <c r="U5551" s="4"/>
      <c r="V5551" s="4"/>
      <c r="W5551" s="4"/>
      <c r="X5551" s="4"/>
    </row>
    <row r="5552" spans="17:24" x14ac:dyDescent="0.3">
      <c r="Q5552" s="4"/>
      <c r="R5552" s="4"/>
      <c r="S5552" s="4"/>
      <c r="T5552" s="4"/>
      <c r="U5552" s="4"/>
      <c r="V5552" s="4"/>
      <c r="W5552" s="4"/>
      <c r="X5552" s="4"/>
    </row>
    <row r="5553" spans="17:24" x14ac:dyDescent="0.3">
      <c r="Q5553" s="4"/>
      <c r="R5553" s="4"/>
      <c r="S5553" s="4"/>
      <c r="T5553" s="4"/>
      <c r="U5553" s="4"/>
      <c r="V5553" s="4"/>
      <c r="W5553" s="4"/>
      <c r="X5553" s="4"/>
    </row>
    <row r="5554" spans="17:24" x14ac:dyDescent="0.3">
      <c r="Q5554" s="4"/>
      <c r="R5554" s="4"/>
      <c r="S5554" s="4"/>
      <c r="T5554" s="4"/>
      <c r="U5554" s="4"/>
      <c r="V5554" s="4"/>
      <c r="W5554" s="4"/>
      <c r="X5554" s="4"/>
    </row>
    <row r="5555" spans="17:24" x14ac:dyDescent="0.3">
      <c r="Q5555" s="4"/>
      <c r="R5555" s="4"/>
      <c r="S5555" s="4"/>
      <c r="T5555" s="4"/>
      <c r="U5555" s="4"/>
      <c r="V5555" s="4"/>
      <c r="W5555" s="4"/>
      <c r="X5555" s="4"/>
    </row>
    <row r="5556" spans="17:24" x14ac:dyDescent="0.3">
      <c r="Q5556" s="4"/>
      <c r="R5556" s="4"/>
      <c r="S5556" s="4"/>
      <c r="T5556" s="4"/>
      <c r="U5556" s="4"/>
      <c r="V5556" s="4"/>
      <c r="W5556" s="4"/>
      <c r="X5556" s="4"/>
    </row>
    <row r="5557" spans="17:24" x14ac:dyDescent="0.3">
      <c r="Q5557" s="4"/>
      <c r="R5557" s="4"/>
      <c r="S5557" s="4"/>
      <c r="T5557" s="4"/>
      <c r="U5557" s="4"/>
      <c r="V5557" s="4"/>
      <c r="W5557" s="4"/>
      <c r="X5557" s="4"/>
    </row>
    <row r="5558" spans="17:24" x14ac:dyDescent="0.3">
      <c r="Q5558" s="4"/>
      <c r="R5558" s="4"/>
      <c r="S5558" s="4"/>
      <c r="T5558" s="4"/>
      <c r="U5558" s="4"/>
      <c r="V5558" s="4"/>
      <c r="W5558" s="4"/>
      <c r="X5558" s="4"/>
    </row>
    <row r="5559" spans="17:24" x14ac:dyDescent="0.3">
      <c r="Q5559" s="4"/>
      <c r="R5559" s="4"/>
      <c r="S5559" s="4"/>
      <c r="T5559" s="4"/>
      <c r="U5559" s="4"/>
      <c r="V5559" s="4"/>
      <c r="W5559" s="4"/>
      <c r="X5559" s="4"/>
    </row>
    <row r="5560" spans="17:24" x14ac:dyDescent="0.3">
      <c r="Q5560" s="4"/>
      <c r="R5560" s="4"/>
      <c r="S5560" s="4"/>
      <c r="T5560" s="4"/>
      <c r="U5560" s="4"/>
      <c r="V5560" s="4"/>
      <c r="W5560" s="4"/>
      <c r="X5560" s="4"/>
    </row>
    <row r="5561" spans="17:24" x14ac:dyDescent="0.3">
      <c r="Q5561" s="4"/>
      <c r="R5561" s="4"/>
      <c r="S5561" s="4"/>
      <c r="T5561" s="4"/>
      <c r="U5561" s="4"/>
      <c r="V5561" s="4"/>
      <c r="W5561" s="4"/>
      <c r="X5561" s="4"/>
    </row>
    <row r="5562" spans="17:24" x14ac:dyDescent="0.3">
      <c r="Q5562" s="4"/>
      <c r="R5562" s="4"/>
      <c r="S5562" s="4"/>
      <c r="T5562" s="4"/>
      <c r="U5562" s="4"/>
      <c r="V5562" s="4"/>
      <c r="W5562" s="4"/>
      <c r="X5562" s="4"/>
    </row>
    <row r="5563" spans="17:24" x14ac:dyDescent="0.3">
      <c r="Q5563" s="4"/>
      <c r="R5563" s="4"/>
      <c r="S5563" s="4"/>
      <c r="T5563" s="4"/>
      <c r="U5563" s="4"/>
      <c r="V5563" s="4"/>
      <c r="W5563" s="4"/>
      <c r="X5563" s="4"/>
    </row>
    <row r="5564" spans="17:24" x14ac:dyDescent="0.3">
      <c r="Q5564" s="4"/>
      <c r="R5564" s="4"/>
      <c r="S5564" s="4"/>
      <c r="T5564" s="4"/>
      <c r="U5564" s="4"/>
      <c r="V5564" s="4"/>
      <c r="W5564" s="4"/>
      <c r="X5564" s="4"/>
    </row>
    <row r="5565" spans="17:24" x14ac:dyDescent="0.3">
      <c r="Q5565" s="4"/>
      <c r="R5565" s="4"/>
      <c r="S5565" s="4"/>
      <c r="T5565" s="4"/>
      <c r="U5565" s="4"/>
      <c r="V5565" s="4"/>
      <c r="W5565" s="4"/>
      <c r="X5565" s="4"/>
    </row>
    <row r="5566" spans="17:24" x14ac:dyDescent="0.3">
      <c r="Q5566" s="4"/>
      <c r="R5566" s="4"/>
      <c r="S5566" s="4"/>
      <c r="T5566" s="4"/>
      <c r="U5566" s="4"/>
      <c r="V5566" s="4"/>
      <c r="W5566" s="4"/>
      <c r="X5566" s="4"/>
    </row>
    <row r="5567" spans="17:24" x14ac:dyDescent="0.3">
      <c r="Q5567" s="4"/>
      <c r="R5567" s="4"/>
      <c r="S5567" s="4"/>
      <c r="T5567" s="4"/>
      <c r="U5567" s="4"/>
      <c r="V5567" s="4"/>
      <c r="W5567" s="4"/>
      <c r="X5567" s="4"/>
    </row>
    <row r="5568" spans="17:24" x14ac:dyDescent="0.3">
      <c r="Q5568" s="4"/>
      <c r="R5568" s="4"/>
      <c r="S5568" s="4"/>
      <c r="T5568" s="4"/>
      <c r="U5568" s="4"/>
      <c r="V5568" s="4"/>
      <c r="W5568" s="4"/>
      <c r="X5568" s="4"/>
    </row>
    <row r="5569" spans="17:24" x14ac:dyDescent="0.3">
      <c r="Q5569" s="4"/>
      <c r="R5569" s="4"/>
      <c r="S5569" s="4"/>
      <c r="T5569" s="4"/>
      <c r="U5569" s="4"/>
      <c r="V5569" s="4"/>
      <c r="W5569" s="4"/>
      <c r="X5569" s="4"/>
    </row>
    <row r="5570" spans="17:24" x14ac:dyDescent="0.3">
      <c r="Q5570" s="4"/>
      <c r="R5570" s="4"/>
      <c r="S5570" s="4"/>
      <c r="T5570" s="4"/>
      <c r="U5570" s="4"/>
      <c r="V5570" s="4"/>
      <c r="W5570" s="4"/>
      <c r="X5570" s="4"/>
    </row>
    <row r="5571" spans="17:24" x14ac:dyDescent="0.3">
      <c r="Q5571" s="4"/>
      <c r="R5571" s="4"/>
      <c r="S5571" s="4"/>
      <c r="T5571" s="4"/>
      <c r="U5571" s="4"/>
      <c r="V5571" s="4"/>
      <c r="W5571" s="4"/>
      <c r="X5571" s="4"/>
    </row>
    <row r="5572" spans="17:24" x14ac:dyDescent="0.3">
      <c r="Q5572" s="4"/>
      <c r="R5572" s="4"/>
      <c r="S5572" s="4"/>
      <c r="T5572" s="4"/>
      <c r="U5572" s="4"/>
      <c r="V5572" s="4"/>
      <c r="W5572" s="4"/>
      <c r="X5572" s="4"/>
    </row>
    <row r="5573" spans="17:24" x14ac:dyDescent="0.3">
      <c r="Q5573" s="4"/>
      <c r="R5573" s="4"/>
      <c r="S5573" s="4"/>
      <c r="T5573" s="4"/>
      <c r="U5573" s="4"/>
      <c r="V5573" s="4"/>
      <c r="W5573" s="4"/>
      <c r="X5573" s="4"/>
    </row>
    <row r="5574" spans="17:24" x14ac:dyDescent="0.3">
      <c r="Q5574" s="4"/>
      <c r="R5574" s="4"/>
      <c r="S5574" s="4"/>
      <c r="T5574" s="4"/>
      <c r="U5574" s="4"/>
      <c r="V5574" s="4"/>
      <c r="W5574" s="4"/>
      <c r="X5574" s="4"/>
    </row>
    <row r="5575" spans="17:24" x14ac:dyDescent="0.3">
      <c r="Q5575" s="4"/>
      <c r="R5575" s="4"/>
      <c r="S5575" s="4"/>
      <c r="T5575" s="4"/>
      <c r="U5575" s="4"/>
      <c r="V5575" s="4"/>
      <c r="W5575" s="4"/>
      <c r="X5575" s="4"/>
    </row>
    <row r="5576" spans="17:24" x14ac:dyDescent="0.3">
      <c r="Q5576" s="4"/>
      <c r="R5576" s="4"/>
      <c r="S5576" s="4"/>
      <c r="T5576" s="4"/>
      <c r="U5576" s="4"/>
      <c r="V5576" s="4"/>
      <c r="W5576" s="4"/>
      <c r="X5576" s="4"/>
    </row>
    <row r="5577" spans="17:24" x14ac:dyDescent="0.3">
      <c r="Q5577" s="4"/>
      <c r="R5577" s="4"/>
      <c r="S5577" s="4"/>
      <c r="T5577" s="4"/>
      <c r="U5577" s="4"/>
      <c r="V5577" s="4"/>
      <c r="W5577" s="4"/>
      <c r="X5577" s="4"/>
    </row>
    <row r="5578" spans="17:24" x14ac:dyDescent="0.3">
      <c r="Q5578" s="4"/>
      <c r="R5578" s="4"/>
      <c r="S5578" s="4"/>
      <c r="T5578" s="4"/>
      <c r="U5578" s="4"/>
      <c r="V5578" s="4"/>
      <c r="W5578" s="4"/>
      <c r="X5578" s="4"/>
    </row>
    <row r="5579" spans="17:24" x14ac:dyDescent="0.3">
      <c r="Q5579" s="4"/>
      <c r="R5579" s="4"/>
      <c r="S5579" s="4"/>
      <c r="T5579" s="4"/>
      <c r="U5579" s="4"/>
      <c r="V5579" s="4"/>
      <c r="W5579" s="4"/>
      <c r="X5579" s="4"/>
    </row>
    <row r="5580" spans="17:24" x14ac:dyDescent="0.3">
      <c r="Q5580" s="4"/>
      <c r="R5580" s="4"/>
      <c r="S5580" s="4"/>
      <c r="T5580" s="4"/>
      <c r="U5580" s="4"/>
      <c r="V5580" s="4"/>
      <c r="W5580" s="4"/>
      <c r="X5580" s="4"/>
    </row>
    <row r="5581" spans="17:24" x14ac:dyDescent="0.3">
      <c r="Q5581" s="4"/>
      <c r="R5581" s="4"/>
      <c r="S5581" s="4"/>
      <c r="T5581" s="4"/>
      <c r="U5581" s="4"/>
      <c r="V5581" s="4"/>
      <c r="W5581" s="4"/>
      <c r="X5581" s="4"/>
    </row>
    <row r="5582" spans="17:24" x14ac:dyDescent="0.3">
      <c r="Q5582" s="4"/>
      <c r="R5582" s="4"/>
      <c r="S5582" s="4"/>
      <c r="T5582" s="4"/>
      <c r="U5582" s="4"/>
      <c r="V5582" s="4"/>
      <c r="W5582" s="4"/>
      <c r="X5582" s="4"/>
    </row>
    <row r="5583" spans="17:24" x14ac:dyDescent="0.3">
      <c r="Q5583" s="4"/>
      <c r="R5583" s="4"/>
      <c r="S5583" s="4"/>
      <c r="T5583" s="4"/>
      <c r="U5583" s="4"/>
      <c r="V5583" s="4"/>
      <c r="W5583" s="4"/>
      <c r="X5583" s="4"/>
    </row>
    <row r="5584" spans="17:24" x14ac:dyDescent="0.3">
      <c r="Q5584" s="4"/>
      <c r="R5584" s="4"/>
      <c r="S5584" s="4"/>
      <c r="T5584" s="4"/>
      <c r="U5584" s="4"/>
      <c r="V5584" s="4"/>
      <c r="W5584" s="4"/>
      <c r="X5584" s="4"/>
    </row>
    <row r="5585" spans="17:24" x14ac:dyDescent="0.3">
      <c r="Q5585" s="4"/>
      <c r="R5585" s="4"/>
      <c r="S5585" s="4"/>
      <c r="T5585" s="4"/>
      <c r="U5585" s="4"/>
      <c r="V5585" s="4"/>
      <c r="W5585" s="4"/>
      <c r="X5585" s="4"/>
    </row>
    <row r="5586" spans="17:24" x14ac:dyDescent="0.3">
      <c r="Q5586" s="4"/>
      <c r="R5586" s="4"/>
      <c r="S5586" s="4"/>
      <c r="T5586" s="4"/>
      <c r="U5586" s="4"/>
      <c r="V5586" s="4"/>
      <c r="W5586" s="4"/>
      <c r="X5586" s="4"/>
    </row>
    <row r="5587" spans="17:24" x14ac:dyDescent="0.3">
      <c r="Q5587" s="4"/>
      <c r="R5587" s="4"/>
      <c r="S5587" s="4"/>
      <c r="T5587" s="4"/>
      <c r="U5587" s="4"/>
      <c r="V5587" s="4"/>
      <c r="W5587" s="4"/>
      <c r="X5587" s="4"/>
    </row>
    <row r="5588" spans="17:24" x14ac:dyDescent="0.3">
      <c r="Q5588" s="4"/>
      <c r="R5588" s="4"/>
      <c r="S5588" s="4"/>
      <c r="T5588" s="4"/>
      <c r="U5588" s="4"/>
      <c r="V5588" s="4"/>
      <c r="W5588" s="4"/>
      <c r="X5588" s="4"/>
    </row>
    <row r="5589" spans="17:24" x14ac:dyDescent="0.3">
      <c r="Q5589" s="4"/>
      <c r="R5589" s="4"/>
      <c r="S5589" s="4"/>
      <c r="T5589" s="4"/>
      <c r="U5589" s="4"/>
      <c r="V5589" s="4"/>
      <c r="W5589" s="4"/>
      <c r="X5589" s="4"/>
    </row>
    <row r="5590" spans="17:24" x14ac:dyDescent="0.3">
      <c r="Q5590" s="4"/>
      <c r="R5590" s="4"/>
      <c r="S5590" s="4"/>
      <c r="T5590" s="4"/>
      <c r="U5590" s="4"/>
      <c r="V5590" s="4"/>
      <c r="W5590" s="4"/>
      <c r="X5590" s="4"/>
    </row>
    <row r="5591" spans="17:24" x14ac:dyDescent="0.3">
      <c r="Q5591" s="4"/>
      <c r="R5591" s="4"/>
      <c r="S5591" s="4"/>
      <c r="T5591" s="4"/>
      <c r="U5591" s="4"/>
      <c r="V5591" s="4"/>
      <c r="W5591" s="4"/>
      <c r="X5591" s="4"/>
    </row>
    <row r="5592" spans="17:24" x14ac:dyDescent="0.3">
      <c r="Q5592" s="4"/>
      <c r="R5592" s="4"/>
      <c r="S5592" s="4"/>
      <c r="T5592" s="4"/>
      <c r="U5592" s="4"/>
      <c r="V5592" s="4"/>
      <c r="W5592" s="4"/>
      <c r="X5592" s="4"/>
    </row>
    <row r="5593" spans="17:24" x14ac:dyDescent="0.3">
      <c r="Q5593" s="4"/>
      <c r="R5593" s="4"/>
      <c r="S5593" s="4"/>
      <c r="T5593" s="4"/>
      <c r="U5593" s="4"/>
      <c r="V5593" s="4"/>
      <c r="W5593" s="4"/>
      <c r="X5593" s="4"/>
    </row>
    <row r="5594" spans="17:24" x14ac:dyDescent="0.3">
      <c r="Q5594" s="4"/>
      <c r="R5594" s="4"/>
      <c r="S5594" s="4"/>
      <c r="T5594" s="4"/>
      <c r="U5594" s="4"/>
      <c r="V5594" s="4"/>
      <c r="W5594" s="4"/>
      <c r="X5594" s="4"/>
    </row>
    <row r="5595" spans="17:24" x14ac:dyDescent="0.3">
      <c r="Q5595" s="4"/>
      <c r="R5595" s="4"/>
      <c r="S5595" s="4"/>
      <c r="T5595" s="4"/>
      <c r="U5595" s="4"/>
      <c r="V5595" s="4"/>
      <c r="W5595" s="4"/>
      <c r="X5595" s="4"/>
    </row>
    <row r="5596" spans="17:24" x14ac:dyDescent="0.3">
      <c r="Q5596" s="4"/>
      <c r="R5596" s="4"/>
      <c r="S5596" s="4"/>
      <c r="T5596" s="4"/>
      <c r="U5596" s="4"/>
      <c r="V5596" s="4"/>
      <c r="W5596" s="4"/>
      <c r="X5596" s="4"/>
    </row>
    <row r="5597" spans="17:24" x14ac:dyDescent="0.3">
      <c r="Q5597" s="4"/>
      <c r="R5597" s="4"/>
      <c r="S5597" s="4"/>
      <c r="T5597" s="4"/>
      <c r="U5597" s="4"/>
      <c r="V5597" s="4"/>
      <c r="W5597" s="4"/>
      <c r="X5597" s="4"/>
    </row>
    <row r="5598" spans="17:24" x14ac:dyDescent="0.3">
      <c r="Q5598" s="4"/>
      <c r="R5598" s="4"/>
      <c r="S5598" s="4"/>
      <c r="T5598" s="4"/>
      <c r="U5598" s="4"/>
      <c r="V5598" s="4"/>
      <c r="W5598" s="4"/>
      <c r="X5598" s="4"/>
    </row>
    <row r="5599" spans="17:24" x14ac:dyDescent="0.3">
      <c r="Q5599" s="4"/>
      <c r="R5599" s="4"/>
      <c r="S5599" s="4"/>
      <c r="T5599" s="4"/>
      <c r="U5599" s="4"/>
      <c r="V5599" s="4"/>
      <c r="W5599" s="4"/>
      <c r="X5599" s="4"/>
    </row>
    <row r="5600" spans="17:24" x14ac:dyDescent="0.3">
      <c r="Q5600" s="4"/>
      <c r="R5600" s="4"/>
      <c r="S5600" s="4"/>
      <c r="T5600" s="4"/>
      <c r="U5600" s="4"/>
      <c r="V5600" s="4"/>
      <c r="W5600" s="4"/>
      <c r="X5600" s="4"/>
    </row>
    <row r="5601" spans="17:24" x14ac:dyDescent="0.3">
      <c r="Q5601" s="4"/>
      <c r="R5601" s="4"/>
      <c r="S5601" s="4"/>
      <c r="T5601" s="4"/>
      <c r="U5601" s="4"/>
      <c r="V5601" s="4"/>
      <c r="W5601" s="4"/>
      <c r="X5601" s="4"/>
    </row>
    <row r="5602" spans="17:24" x14ac:dyDescent="0.3">
      <c r="Q5602" s="4"/>
      <c r="R5602" s="4"/>
      <c r="S5602" s="4"/>
      <c r="T5602" s="4"/>
      <c r="U5602" s="4"/>
      <c r="V5602" s="4"/>
      <c r="W5602" s="4"/>
      <c r="X5602" s="4"/>
    </row>
    <row r="5603" spans="17:24" x14ac:dyDescent="0.3">
      <c r="Q5603" s="4"/>
      <c r="R5603" s="4"/>
      <c r="S5603" s="4"/>
      <c r="T5603" s="4"/>
      <c r="U5603" s="4"/>
      <c r="V5603" s="4"/>
      <c r="W5603" s="4"/>
      <c r="X5603" s="4"/>
    </row>
    <row r="5604" spans="17:24" x14ac:dyDescent="0.3">
      <c r="Q5604" s="4"/>
      <c r="R5604" s="4"/>
      <c r="S5604" s="4"/>
      <c r="T5604" s="4"/>
      <c r="U5604" s="4"/>
      <c r="V5604" s="4"/>
      <c r="W5604" s="4"/>
      <c r="X5604" s="4"/>
    </row>
    <row r="5605" spans="17:24" x14ac:dyDescent="0.3">
      <c r="Q5605" s="4"/>
      <c r="R5605" s="4"/>
      <c r="S5605" s="4"/>
      <c r="T5605" s="4"/>
      <c r="U5605" s="4"/>
      <c r="V5605" s="4"/>
      <c r="W5605" s="4"/>
      <c r="X5605" s="4"/>
    </row>
    <row r="5606" spans="17:24" x14ac:dyDescent="0.3">
      <c r="Q5606" s="4"/>
      <c r="R5606" s="4"/>
      <c r="S5606" s="4"/>
      <c r="T5606" s="4"/>
      <c r="U5606" s="4"/>
      <c r="V5606" s="4"/>
      <c r="W5606" s="4"/>
      <c r="X5606" s="4"/>
    </row>
    <row r="5607" spans="17:24" x14ac:dyDescent="0.3">
      <c r="Q5607" s="4"/>
      <c r="R5607" s="4"/>
      <c r="S5607" s="4"/>
      <c r="T5607" s="4"/>
      <c r="U5607" s="4"/>
      <c r="V5607" s="4"/>
      <c r="W5607" s="4"/>
      <c r="X5607" s="4"/>
    </row>
    <row r="5608" spans="17:24" x14ac:dyDescent="0.3">
      <c r="Q5608" s="4"/>
      <c r="R5608" s="4"/>
      <c r="S5608" s="4"/>
      <c r="T5608" s="4"/>
      <c r="U5608" s="4"/>
      <c r="V5608" s="4"/>
      <c r="W5608" s="4"/>
      <c r="X5608" s="4"/>
    </row>
    <row r="5609" spans="17:24" x14ac:dyDescent="0.3">
      <c r="Q5609" s="4"/>
      <c r="R5609" s="4"/>
      <c r="S5609" s="4"/>
      <c r="T5609" s="4"/>
      <c r="U5609" s="4"/>
      <c r="V5609" s="4"/>
      <c r="W5609" s="4"/>
      <c r="X5609" s="4"/>
    </row>
    <row r="5610" spans="17:24" x14ac:dyDescent="0.3">
      <c r="Q5610" s="4"/>
      <c r="R5610" s="4"/>
      <c r="S5610" s="4"/>
      <c r="T5610" s="4"/>
      <c r="U5610" s="4"/>
      <c r="V5610" s="4"/>
      <c r="W5610" s="4"/>
      <c r="X5610" s="4"/>
    </row>
    <row r="5611" spans="17:24" x14ac:dyDescent="0.3">
      <c r="Q5611" s="4"/>
      <c r="R5611" s="4"/>
      <c r="S5611" s="4"/>
      <c r="T5611" s="4"/>
      <c r="U5611" s="4"/>
      <c r="V5611" s="4"/>
      <c r="W5611" s="4"/>
      <c r="X5611" s="4"/>
    </row>
    <row r="5612" spans="17:24" x14ac:dyDescent="0.3">
      <c r="Q5612" s="4"/>
      <c r="R5612" s="4"/>
      <c r="S5612" s="4"/>
      <c r="T5612" s="4"/>
      <c r="U5612" s="4"/>
      <c r="V5612" s="4"/>
      <c r="W5612" s="4"/>
      <c r="X5612" s="4"/>
    </row>
    <row r="5613" spans="17:24" x14ac:dyDescent="0.3">
      <c r="Q5613" s="4"/>
      <c r="R5613" s="4"/>
      <c r="S5613" s="4"/>
      <c r="T5613" s="4"/>
      <c r="U5613" s="4"/>
      <c r="V5613" s="4"/>
      <c r="W5613" s="4"/>
      <c r="X5613" s="4"/>
    </row>
    <row r="5614" spans="17:24" x14ac:dyDescent="0.3">
      <c r="Q5614" s="4"/>
      <c r="R5614" s="4"/>
      <c r="S5614" s="4"/>
      <c r="T5614" s="4"/>
      <c r="U5614" s="4"/>
      <c r="V5614" s="4"/>
      <c r="W5614" s="4"/>
      <c r="X5614" s="4"/>
    </row>
    <row r="5615" spans="17:24" x14ac:dyDescent="0.3">
      <c r="Q5615" s="4"/>
      <c r="R5615" s="4"/>
      <c r="S5615" s="4"/>
      <c r="T5615" s="4"/>
      <c r="U5615" s="4"/>
      <c r="V5615" s="4"/>
      <c r="W5615" s="4"/>
      <c r="X5615" s="4"/>
    </row>
    <row r="5616" spans="17:24" x14ac:dyDescent="0.3">
      <c r="Q5616" s="4"/>
      <c r="R5616" s="4"/>
      <c r="S5616" s="4"/>
      <c r="T5616" s="4"/>
      <c r="U5616" s="4"/>
      <c r="V5616" s="4"/>
      <c r="W5616" s="4"/>
      <c r="X5616" s="4"/>
    </row>
    <row r="5617" spans="17:24" x14ac:dyDescent="0.3">
      <c r="Q5617" s="4"/>
      <c r="R5617" s="4"/>
      <c r="S5617" s="4"/>
      <c r="T5617" s="4"/>
      <c r="U5617" s="4"/>
      <c r="V5617" s="4"/>
      <c r="W5617" s="4"/>
      <c r="X5617" s="4"/>
    </row>
    <row r="5618" spans="17:24" x14ac:dyDescent="0.3">
      <c r="Q5618" s="4"/>
      <c r="R5618" s="4"/>
      <c r="S5618" s="4"/>
      <c r="T5618" s="4"/>
      <c r="U5618" s="4"/>
      <c r="V5618" s="4"/>
      <c r="W5618" s="4"/>
      <c r="X5618" s="4"/>
    </row>
    <row r="5619" spans="17:24" x14ac:dyDescent="0.3">
      <c r="Q5619" s="4"/>
      <c r="R5619" s="4"/>
      <c r="S5619" s="4"/>
      <c r="T5619" s="4"/>
      <c r="U5619" s="4"/>
      <c r="V5619" s="4"/>
      <c r="W5619" s="4"/>
      <c r="X5619" s="4"/>
    </row>
    <row r="5620" spans="17:24" x14ac:dyDescent="0.3">
      <c r="Q5620" s="4"/>
      <c r="R5620" s="4"/>
      <c r="S5620" s="4"/>
      <c r="T5620" s="4"/>
      <c r="U5620" s="4"/>
      <c r="V5620" s="4"/>
      <c r="W5620" s="4"/>
      <c r="X5620" s="4"/>
    </row>
    <row r="5621" spans="17:24" x14ac:dyDescent="0.3">
      <c r="Q5621" s="4"/>
      <c r="R5621" s="4"/>
      <c r="S5621" s="4"/>
      <c r="T5621" s="4"/>
      <c r="U5621" s="4"/>
      <c r="V5621" s="4"/>
      <c r="W5621" s="4"/>
      <c r="X5621" s="4"/>
    </row>
    <row r="5622" spans="17:24" x14ac:dyDescent="0.3">
      <c r="Q5622" s="4"/>
      <c r="R5622" s="4"/>
      <c r="S5622" s="4"/>
      <c r="T5622" s="4"/>
      <c r="U5622" s="4"/>
      <c r="V5622" s="4"/>
      <c r="W5622" s="4"/>
      <c r="X5622" s="4"/>
    </row>
    <row r="5623" spans="17:24" x14ac:dyDescent="0.3">
      <c r="Q5623" s="4"/>
      <c r="R5623" s="4"/>
      <c r="S5623" s="4"/>
      <c r="T5623" s="4"/>
      <c r="U5623" s="4"/>
      <c r="V5623" s="4"/>
      <c r="W5623" s="4"/>
      <c r="X5623" s="4"/>
    </row>
    <row r="5624" spans="17:24" x14ac:dyDescent="0.3">
      <c r="Q5624" s="4"/>
      <c r="R5624" s="4"/>
      <c r="S5624" s="4"/>
      <c r="T5624" s="4"/>
      <c r="U5624" s="4"/>
      <c r="V5624" s="4"/>
      <c r="W5624" s="4"/>
      <c r="X5624" s="4"/>
    </row>
    <row r="5625" spans="17:24" x14ac:dyDescent="0.3">
      <c r="Q5625" s="4"/>
      <c r="R5625" s="4"/>
      <c r="S5625" s="4"/>
      <c r="T5625" s="4"/>
      <c r="U5625" s="4"/>
      <c r="V5625" s="4"/>
      <c r="W5625" s="4"/>
      <c r="X5625" s="4"/>
    </row>
    <row r="5626" spans="17:24" x14ac:dyDescent="0.3">
      <c r="Q5626" s="4"/>
      <c r="R5626" s="4"/>
      <c r="S5626" s="4"/>
      <c r="T5626" s="4"/>
      <c r="U5626" s="4"/>
      <c r="V5626" s="4"/>
      <c r="W5626" s="4"/>
      <c r="X5626" s="4"/>
    </row>
    <row r="5627" spans="17:24" x14ac:dyDescent="0.3">
      <c r="Q5627" s="4"/>
      <c r="R5627" s="4"/>
      <c r="S5627" s="4"/>
      <c r="T5627" s="4"/>
      <c r="U5627" s="4"/>
      <c r="V5627" s="4"/>
      <c r="W5627" s="4"/>
      <c r="X5627" s="4"/>
    </row>
    <row r="5628" spans="17:24" x14ac:dyDescent="0.3">
      <c r="Q5628" s="4"/>
      <c r="R5628" s="4"/>
      <c r="S5628" s="4"/>
      <c r="T5628" s="4"/>
      <c r="U5628" s="4"/>
      <c r="V5628" s="4"/>
      <c r="W5628" s="4"/>
      <c r="X5628" s="4"/>
    </row>
    <row r="5629" spans="17:24" x14ac:dyDescent="0.3">
      <c r="Q5629" s="4"/>
      <c r="R5629" s="4"/>
      <c r="S5629" s="4"/>
      <c r="T5629" s="4"/>
      <c r="U5629" s="4"/>
      <c r="V5629" s="4"/>
      <c r="W5629" s="4"/>
      <c r="X5629" s="4"/>
    </row>
    <row r="5630" spans="17:24" x14ac:dyDescent="0.3">
      <c r="Q5630" s="4"/>
      <c r="R5630" s="4"/>
      <c r="S5630" s="4"/>
      <c r="T5630" s="4"/>
      <c r="U5630" s="4"/>
      <c r="V5630" s="4"/>
      <c r="W5630" s="4"/>
      <c r="X5630" s="4"/>
    </row>
    <row r="5631" spans="17:24" x14ac:dyDescent="0.3">
      <c r="Q5631" s="4"/>
      <c r="R5631" s="4"/>
      <c r="S5631" s="4"/>
      <c r="T5631" s="4"/>
      <c r="U5631" s="4"/>
      <c r="V5631" s="4"/>
      <c r="W5631" s="4"/>
      <c r="X5631" s="4"/>
    </row>
    <row r="5632" spans="17:24" x14ac:dyDescent="0.3">
      <c r="Q5632" s="4"/>
      <c r="R5632" s="4"/>
      <c r="S5632" s="4"/>
      <c r="T5632" s="4"/>
      <c r="U5632" s="4"/>
      <c r="V5632" s="4"/>
      <c r="W5632" s="4"/>
      <c r="X5632" s="4"/>
    </row>
    <row r="5633" spans="17:24" x14ac:dyDescent="0.3">
      <c r="Q5633" s="4"/>
      <c r="R5633" s="4"/>
      <c r="S5633" s="4"/>
      <c r="T5633" s="4"/>
      <c r="U5633" s="4"/>
      <c r="V5633" s="4"/>
      <c r="W5633" s="4"/>
      <c r="X5633" s="4"/>
    </row>
    <row r="5634" spans="17:24" x14ac:dyDescent="0.3">
      <c r="Q5634" s="4"/>
      <c r="R5634" s="4"/>
      <c r="S5634" s="4"/>
      <c r="T5634" s="4"/>
      <c r="U5634" s="4"/>
      <c r="V5634" s="4"/>
      <c r="W5634" s="4"/>
      <c r="X5634" s="4"/>
    </row>
    <row r="5635" spans="17:24" x14ac:dyDescent="0.3">
      <c r="Q5635" s="4"/>
      <c r="R5635" s="4"/>
      <c r="S5635" s="4"/>
      <c r="T5635" s="4"/>
      <c r="U5635" s="4"/>
      <c r="V5635" s="4"/>
      <c r="W5635" s="4"/>
      <c r="X5635" s="4"/>
    </row>
    <row r="5636" spans="17:24" x14ac:dyDescent="0.3">
      <c r="Q5636" s="4"/>
      <c r="R5636" s="4"/>
      <c r="S5636" s="4"/>
      <c r="T5636" s="4"/>
      <c r="U5636" s="4"/>
      <c r="V5636" s="4"/>
      <c r="W5636" s="4"/>
      <c r="X5636" s="4"/>
    </row>
    <row r="5637" spans="17:24" x14ac:dyDescent="0.3">
      <c r="Q5637" s="4"/>
      <c r="R5637" s="4"/>
      <c r="S5637" s="4"/>
      <c r="T5637" s="4"/>
      <c r="U5637" s="4"/>
      <c r="V5637" s="4"/>
      <c r="W5637" s="4"/>
      <c r="X5637" s="4"/>
    </row>
    <row r="5638" spans="17:24" x14ac:dyDescent="0.3">
      <c r="Q5638" s="4"/>
      <c r="R5638" s="4"/>
      <c r="S5638" s="4"/>
      <c r="T5638" s="4"/>
      <c r="U5638" s="4"/>
      <c r="V5638" s="4"/>
      <c r="W5638" s="4"/>
      <c r="X5638" s="4"/>
    </row>
    <row r="5639" spans="17:24" x14ac:dyDescent="0.3">
      <c r="Q5639" s="4"/>
      <c r="R5639" s="4"/>
      <c r="S5639" s="4"/>
      <c r="T5639" s="4"/>
      <c r="U5639" s="4"/>
      <c r="V5639" s="4"/>
      <c r="W5639" s="4"/>
      <c r="X5639" s="4"/>
    </row>
    <row r="5640" spans="17:24" x14ac:dyDescent="0.3">
      <c r="Q5640" s="4"/>
      <c r="R5640" s="4"/>
      <c r="S5640" s="4"/>
      <c r="T5640" s="4"/>
      <c r="U5640" s="4"/>
      <c r="V5640" s="4"/>
      <c r="W5640" s="4"/>
      <c r="X5640" s="4"/>
    </row>
    <row r="5641" spans="17:24" x14ac:dyDescent="0.3">
      <c r="Q5641" s="4"/>
      <c r="R5641" s="4"/>
      <c r="S5641" s="4"/>
      <c r="T5641" s="4"/>
      <c r="U5641" s="4"/>
      <c r="V5641" s="4"/>
      <c r="W5641" s="4"/>
      <c r="X5641" s="4"/>
    </row>
    <row r="5642" spans="17:24" x14ac:dyDescent="0.3">
      <c r="Q5642" s="4"/>
      <c r="R5642" s="4"/>
      <c r="S5642" s="4"/>
      <c r="T5642" s="4"/>
      <c r="U5642" s="4"/>
      <c r="V5642" s="4"/>
      <c r="W5642" s="4"/>
      <c r="X5642" s="4"/>
    </row>
    <row r="5643" spans="17:24" x14ac:dyDescent="0.3">
      <c r="Q5643" s="4"/>
      <c r="R5643" s="4"/>
      <c r="S5643" s="4"/>
      <c r="T5643" s="4"/>
      <c r="U5643" s="4"/>
      <c r="V5643" s="4"/>
      <c r="W5643" s="4"/>
      <c r="X5643" s="4"/>
    </row>
    <row r="5644" spans="17:24" x14ac:dyDescent="0.3">
      <c r="Q5644" s="4"/>
      <c r="R5644" s="4"/>
      <c r="S5644" s="4"/>
      <c r="T5644" s="4"/>
      <c r="U5644" s="4"/>
      <c r="V5644" s="4"/>
      <c r="W5644" s="4"/>
      <c r="X5644" s="4"/>
    </row>
    <row r="5645" spans="17:24" x14ac:dyDescent="0.3">
      <c r="Q5645" s="4"/>
      <c r="R5645" s="4"/>
      <c r="S5645" s="4"/>
      <c r="T5645" s="4"/>
      <c r="U5645" s="4"/>
      <c r="V5645" s="4"/>
      <c r="W5645" s="4"/>
      <c r="X5645" s="4"/>
    </row>
    <row r="5646" spans="17:24" x14ac:dyDescent="0.3">
      <c r="Q5646" s="4"/>
      <c r="R5646" s="4"/>
      <c r="S5646" s="4"/>
      <c r="T5646" s="4"/>
      <c r="U5646" s="4"/>
      <c r="V5646" s="4"/>
      <c r="W5646" s="4"/>
      <c r="X5646" s="4"/>
    </row>
    <row r="5647" spans="17:24" x14ac:dyDescent="0.3">
      <c r="Q5647" s="4"/>
      <c r="R5647" s="4"/>
      <c r="S5647" s="4"/>
      <c r="T5647" s="4"/>
      <c r="U5647" s="4"/>
      <c r="V5647" s="4"/>
      <c r="W5647" s="4"/>
      <c r="X5647" s="4"/>
    </row>
    <row r="5648" spans="17:24" x14ac:dyDescent="0.3">
      <c r="Q5648" s="4"/>
      <c r="R5648" s="4"/>
      <c r="S5648" s="4"/>
      <c r="T5648" s="4"/>
      <c r="U5648" s="4"/>
      <c r="V5648" s="4"/>
      <c r="W5648" s="4"/>
      <c r="X5648" s="4"/>
    </row>
    <row r="5649" spans="17:24" x14ac:dyDescent="0.3">
      <c r="Q5649" s="4"/>
      <c r="R5649" s="4"/>
      <c r="S5649" s="4"/>
      <c r="T5649" s="4"/>
      <c r="U5649" s="4"/>
      <c r="V5649" s="4"/>
      <c r="W5649" s="4"/>
      <c r="X5649" s="4"/>
    </row>
    <row r="5650" spans="17:24" x14ac:dyDescent="0.3">
      <c r="Q5650" s="4"/>
      <c r="R5650" s="4"/>
      <c r="S5650" s="4"/>
      <c r="T5650" s="4"/>
      <c r="U5650" s="4"/>
      <c r="V5650" s="4"/>
      <c r="W5650" s="4"/>
      <c r="X5650" s="4"/>
    </row>
    <row r="5651" spans="17:24" x14ac:dyDescent="0.3">
      <c r="Q5651" s="4"/>
      <c r="R5651" s="4"/>
      <c r="S5651" s="4"/>
      <c r="T5651" s="4"/>
      <c r="U5651" s="4"/>
      <c r="V5651" s="4"/>
      <c r="W5651" s="4"/>
      <c r="X5651" s="4"/>
    </row>
    <row r="5652" spans="17:24" x14ac:dyDescent="0.3">
      <c r="Q5652" s="4"/>
      <c r="R5652" s="4"/>
      <c r="S5652" s="4"/>
      <c r="T5652" s="4"/>
      <c r="U5652" s="4"/>
      <c r="V5652" s="4"/>
      <c r="W5652" s="4"/>
      <c r="X5652" s="4"/>
    </row>
    <row r="5653" spans="17:24" x14ac:dyDescent="0.3">
      <c r="Q5653" s="4"/>
      <c r="R5653" s="4"/>
      <c r="S5653" s="4"/>
      <c r="T5653" s="4"/>
      <c r="U5653" s="4"/>
      <c r="V5653" s="4"/>
      <c r="W5653" s="4"/>
      <c r="X5653" s="4"/>
    </row>
    <row r="5654" spans="17:24" x14ac:dyDescent="0.3">
      <c r="Q5654" s="4"/>
      <c r="R5654" s="4"/>
      <c r="S5654" s="4"/>
      <c r="T5654" s="4"/>
      <c r="U5654" s="4"/>
      <c r="V5654" s="4"/>
      <c r="W5654" s="4"/>
      <c r="X5654" s="4"/>
    </row>
    <row r="5655" spans="17:24" x14ac:dyDescent="0.3">
      <c r="Q5655" s="4"/>
      <c r="R5655" s="4"/>
      <c r="S5655" s="4"/>
      <c r="T5655" s="4"/>
      <c r="U5655" s="4"/>
      <c r="V5655" s="4"/>
      <c r="W5655" s="4"/>
      <c r="X5655" s="4"/>
    </row>
    <row r="5656" spans="17:24" x14ac:dyDescent="0.3">
      <c r="Q5656" s="4"/>
      <c r="R5656" s="4"/>
      <c r="S5656" s="4"/>
      <c r="T5656" s="4"/>
      <c r="U5656" s="4"/>
      <c r="V5656" s="4"/>
      <c r="W5656" s="4"/>
      <c r="X5656" s="4"/>
    </row>
    <row r="5657" spans="17:24" x14ac:dyDescent="0.3">
      <c r="Q5657" s="4"/>
      <c r="R5657" s="4"/>
      <c r="S5657" s="4"/>
      <c r="T5657" s="4"/>
      <c r="U5657" s="4"/>
      <c r="V5657" s="4"/>
      <c r="W5657" s="4"/>
      <c r="X5657" s="4"/>
    </row>
    <row r="5658" spans="17:24" x14ac:dyDescent="0.3">
      <c r="Q5658" s="4"/>
      <c r="R5658" s="4"/>
      <c r="S5658" s="4"/>
      <c r="T5658" s="4"/>
      <c r="U5658" s="4"/>
      <c r="V5658" s="4"/>
      <c r="W5658" s="4"/>
      <c r="X5658" s="4"/>
    </row>
    <row r="5659" spans="17:24" x14ac:dyDescent="0.3">
      <c r="Q5659" s="4"/>
      <c r="R5659" s="4"/>
      <c r="S5659" s="4"/>
      <c r="T5659" s="4"/>
      <c r="U5659" s="4"/>
      <c r="V5659" s="4"/>
      <c r="W5659" s="4"/>
      <c r="X5659" s="4"/>
    </row>
    <row r="5660" spans="17:24" x14ac:dyDescent="0.3">
      <c r="Q5660" s="4"/>
      <c r="R5660" s="4"/>
      <c r="S5660" s="4"/>
      <c r="T5660" s="4"/>
      <c r="U5660" s="4"/>
      <c r="V5660" s="4"/>
      <c r="W5660" s="4"/>
      <c r="X5660" s="4"/>
    </row>
    <row r="5661" spans="17:24" x14ac:dyDescent="0.3">
      <c r="Q5661" s="4"/>
      <c r="R5661" s="4"/>
      <c r="S5661" s="4"/>
      <c r="T5661" s="4"/>
      <c r="U5661" s="4"/>
      <c r="V5661" s="4"/>
      <c r="W5661" s="4"/>
      <c r="X5661" s="4"/>
    </row>
    <row r="5662" spans="17:24" x14ac:dyDescent="0.3">
      <c r="Q5662" s="4"/>
      <c r="R5662" s="4"/>
      <c r="S5662" s="4"/>
      <c r="T5662" s="4"/>
      <c r="U5662" s="4"/>
      <c r="V5662" s="4"/>
      <c r="W5662" s="4"/>
      <c r="X5662" s="4"/>
    </row>
    <row r="5663" spans="17:24" x14ac:dyDescent="0.3">
      <c r="Q5663" s="4"/>
      <c r="R5663" s="4"/>
      <c r="S5663" s="4"/>
      <c r="T5663" s="4"/>
      <c r="U5663" s="4"/>
      <c r="V5663" s="4"/>
      <c r="W5663" s="4"/>
      <c r="X5663" s="4"/>
    </row>
    <row r="5664" spans="17:24" x14ac:dyDescent="0.3">
      <c r="Q5664" s="4"/>
      <c r="R5664" s="4"/>
      <c r="S5664" s="4"/>
      <c r="T5664" s="4"/>
      <c r="U5664" s="4"/>
      <c r="V5664" s="4"/>
      <c r="W5664" s="4"/>
      <c r="X5664" s="4"/>
    </row>
    <row r="5665" spans="17:24" x14ac:dyDescent="0.3">
      <c r="Q5665" s="4"/>
      <c r="R5665" s="4"/>
      <c r="S5665" s="4"/>
      <c r="T5665" s="4"/>
      <c r="U5665" s="4"/>
      <c r="V5665" s="4"/>
      <c r="W5665" s="4"/>
      <c r="X5665" s="4"/>
    </row>
    <row r="5666" spans="17:24" x14ac:dyDescent="0.3">
      <c r="Q5666" s="4"/>
      <c r="R5666" s="4"/>
      <c r="S5666" s="4"/>
      <c r="T5666" s="4"/>
      <c r="U5666" s="4"/>
      <c r="V5666" s="4"/>
      <c r="W5666" s="4"/>
      <c r="X5666" s="4"/>
    </row>
    <row r="5667" spans="17:24" x14ac:dyDescent="0.3">
      <c r="Q5667" s="4"/>
      <c r="R5667" s="4"/>
      <c r="S5667" s="4"/>
      <c r="T5667" s="4"/>
      <c r="U5667" s="4"/>
      <c r="V5667" s="4"/>
      <c r="W5667" s="4"/>
      <c r="X5667" s="4"/>
    </row>
    <row r="5668" spans="17:24" x14ac:dyDescent="0.3">
      <c r="Q5668" s="4"/>
      <c r="R5668" s="4"/>
      <c r="S5668" s="4"/>
      <c r="T5668" s="4"/>
      <c r="U5668" s="4"/>
      <c r="V5668" s="4"/>
      <c r="W5668" s="4"/>
      <c r="X5668" s="4"/>
    </row>
    <row r="5669" spans="17:24" x14ac:dyDescent="0.3">
      <c r="Q5669" s="4"/>
      <c r="R5669" s="4"/>
      <c r="S5669" s="4"/>
      <c r="T5669" s="4"/>
      <c r="U5669" s="4"/>
      <c r="V5669" s="4"/>
      <c r="W5669" s="4"/>
      <c r="X5669" s="4"/>
    </row>
    <row r="5670" spans="17:24" x14ac:dyDescent="0.3">
      <c r="Q5670" s="4"/>
      <c r="R5670" s="4"/>
      <c r="S5670" s="4"/>
      <c r="T5670" s="4"/>
      <c r="U5670" s="4"/>
      <c r="V5670" s="4"/>
      <c r="W5670" s="4"/>
      <c r="X5670" s="4"/>
    </row>
    <row r="5671" spans="17:24" x14ac:dyDescent="0.3">
      <c r="Q5671" s="4"/>
      <c r="R5671" s="4"/>
      <c r="S5671" s="4"/>
      <c r="T5671" s="4"/>
      <c r="U5671" s="4"/>
      <c r="V5671" s="4"/>
      <c r="W5671" s="4"/>
      <c r="X5671" s="4"/>
    </row>
    <row r="5672" spans="17:24" x14ac:dyDescent="0.3">
      <c r="Q5672" s="4"/>
      <c r="R5672" s="4"/>
      <c r="S5672" s="4"/>
      <c r="T5672" s="4"/>
      <c r="U5672" s="4"/>
      <c r="V5672" s="4"/>
      <c r="W5672" s="4"/>
      <c r="X5672" s="4"/>
    </row>
    <row r="5673" spans="17:24" x14ac:dyDescent="0.3">
      <c r="Q5673" s="4"/>
      <c r="R5673" s="4"/>
      <c r="S5673" s="4"/>
      <c r="T5673" s="4"/>
      <c r="U5673" s="4"/>
      <c r="V5673" s="4"/>
      <c r="W5673" s="4"/>
      <c r="X5673" s="4"/>
    </row>
    <row r="5674" spans="17:24" x14ac:dyDescent="0.3">
      <c r="Q5674" s="4"/>
      <c r="R5674" s="4"/>
      <c r="S5674" s="4"/>
      <c r="T5674" s="4"/>
      <c r="U5674" s="4"/>
      <c r="V5674" s="4"/>
      <c r="W5674" s="4"/>
      <c r="X5674" s="4"/>
    </row>
    <row r="5675" spans="17:24" x14ac:dyDescent="0.3">
      <c r="Q5675" s="4"/>
      <c r="R5675" s="4"/>
      <c r="S5675" s="4"/>
      <c r="T5675" s="4"/>
      <c r="U5675" s="4"/>
      <c r="V5675" s="4"/>
      <c r="W5675" s="4"/>
      <c r="X5675" s="4"/>
    </row>
    <row r="5676" spans="17:24" x14ac:dyDescent="0.3">
      <c r="Q5676" s="4"/>
      <c r="R5676" s="4"/>
      <c r="S5676" s="4"/>
      <c r="T5676" s="4"/>
      <c r="U5676" s="4"/>
      <c r="V5676" s="4"/>
      <c r="W5676" s="4"/>
      <c r="X5676" s="4"/>
    </row>
    <row r="5677" spans="17:24" x14ac:dyDescent="0.3">
      <c r="Q5677" s="4"/>
      <c r="R5677" s="4"/>
      <c r="S5677" s="4"/>
      <c r="T5677" s="4"/>
      <c r="U5677" s="4"/>
      <c r="V5677" s="4"/>
      <c r="W5677" s="4"/>
      <c r="X5677" s="4"/>
    </row>
    <row r="5678" spans="17:24" x14ac:dyDescent="0.3">
      <c r="Q5678" s="4"/>
      <c r="R5678" s="4"/>
      <c r="S5678" s="4"/>
      <c r="T5678" s="4"/>
      <c r="U5678" s="4"/>
      <c r="V5678" s="4"/>
      <c r="W5678" s="4"/>
      <c r="X5678" s="4"/>
    </row>
    <row r="5679" spans="17:24" x14ac:dyDescent="0.3">
      <c r="Q5679" s="4"/>
      <c r="R5679" s="4"/>
      <c r="S5679" s="4"/>
      <c r="T5679" s="4"/>
      <c r="U5679" s="4"/>
      <c r="V5679" s="4"/>
      <c r="W5679" s="4"/>
      <c r="X5679" s="4"/>
    </row>
    <row r="5680" spans="17:24" x14ac:dyDescent="0.3">
      <c r="Q5680" s="4"/>
      <c r="R5680" s="4"/>
      <c r="S5680" s="4"/>
      <c r="T5680" s="4"/>
      <c r="U5680" s="4"/>
      <c r="V5680" s="4"/>
      <c r="W5680" s="4"/>
      <c r="X5680" s="4"/>
    </row>
    <row r="5681" spans="17:24" x14ac:dyDescent="0.3">
      <c r="Q5681" s="4"/>
      <c r="R5681" s="4"/>
      <c r="S5681" s="4"/>
      <c r="T5681" s="4"/>
      <c r="U5681" s="4"/>
      <c r="V5681" s="4"/>
      <c r="W5681" s="4"/>
      <c r="X5681" s="4"/>
    </row>
    <row r="5682" spans="17:24" x14ac:dyDescent="0.3">
      <c r="Q5682" s="4"/>
      <c r="R5682" s="4"/>
      <c r="S5682" s="4"/>
      <c r="T5682" s="4"/>
      <c r="U5682" s="4"/>
      <c r="V5682" s="4"/>
      <c r="W5682" s="4"/>
      <c r="X5682" s="4"/>
    </row>
    <row r="5683" spans="17:24" x14ac:dyDescent="0.3">
      <c r="Q5683" s="4"/>
      <c r="R5683" s="4"/>
      <c r="S5683" s="4"/>
      <c r="T5683" s="4"/>
      <c r="U5683" s="4"/>
      <c r="V5683" s="4"/>
      <c r="W5683" s="4"/>
      <c r="X5683" s="4"/>
    </row>
    <row r="5684" spans="17:24" x14ac:dyDescent="0.3">
      <c r="Q5684" s="4"/>
      <c r="R5684" s="4"/>
      <c r="S5684" s="4"/>
      <c r="T5684" s="4"/>
      <c r="U5684" s="4"/>
      <c r="V5684" s="4"/>
      <c r="W5684" s="4"/>
      <c r="X5684" s="4"/>
    </row>
    <row r="5685" spans="17:24" x14ac:dyDescent="0.3">
      <c r="Q5685" s="4"/>
      <c r="R5685" s="4"/>
      <c r="S5685" s="4"/>
      <c r="T5685" s="4"/>
      <c r="U5685" s="4"/>
      <c r="V5685" s="4"/>
      <c r="W5685" s="4"/>
      <c r="X5685" s="4"/>
    </row>
    <row r="5686" spans="17:24" x14ac:dyDescent="0.3">
      <c r="Q5686" s="4"/>
      <c r="R5686" s="4"/>
      <c r="S5686" s="4"/>
      <c r="T5686" s="4"/>
      <c r="U5686" s="4"/>
      <c r="V5686" s="4"/>
      <c r="W5686" s="4"/>
      <c r="X5686" s="4"/>
    </row>
    <row r="5687" spans="17:24" x14ac:dyDescent="0.3">
      <c r="Q5687" s="4"/>
      <c r="R5687" s="4"/>
      <c r="S5687" s="4"/>
      <c r="T5687" s="4"/>
      <c r="U5687" s="4"/>
      <c r="V5687" s="4"/>
      <c r="W5687" s="4"/>
      <c r="X5687" s="4"/>
    </row>
    <row r="5688" spans="17:24" x14ac:dyDescent="0.3">
      <c r="Q5688" s="4"/>
      <c r="R5688" s="4"/>
      <c r="S5688" s="4"/>
      <c r="T5688" s="4"/>
      <c r="U5688" s="4"/>
      <c r="V5688" s="4"/>
      <c r="W5688" s="4"/>
      <c r="X5688" s="4"/>
    </row>
    <row r="5689" spans="17:24" x14ac:dyDescent="0.3">
      <c r="Q5689" s="4"/>
      <c r="R5689" s="4"/>
      <c r="S5689" s="4"/>
      <c r="T5689" s="4"/>
      <c r="U5689" s="4"/>
      <c r="V5689" s="4"/>
      <c r="W5689" s="4"/>
      <c r="X5689" s="4"/>
    </row>
    <row r="5690" spans="17:24" x14ac:dyDescent="0.3">
      <c r="Q5690" s="4"/>
      <c r="R5690" s="4"/>
      <c r="S5690" s="4"/>
      <c r="T5690" s="4"/>
      <c r="U5690" s="4"/>
      <c r="V5690" s="4"/>
      <c r="W5690" s="4"/>
      <c r="X5690" s="4"/>
    </row>
    <row r="5691" spans="17:24" x14ac:dyDescent="0.3">
      <c r="Q5691" s="4"/>
      <c r="R5691" s="4"/>
      <c r="S5691" s="4"/>
      <c r="T5691" s="4"/>
      <c r="U5691" s="4"/>
      <c r="V5691" s="4"/>
      <c r="W5691" s="4"/>
      <c r="X5691" s="4"/>
    </row>
    <row r="5692" spans="17:24" x14ac:dyDescent="0.3">
      <c r="Q5692" s="4"/>
      <c r="R5692" s="4"/>
      <c r="S5692" s="4"/>
      <c r="T5692" s="4"/>
      <c r="U5692" s="4"/>
      <c r="V5692" s="4"/>
      <c r="W5692" s="4"/>
      <c r="X5692" s="4"/>
    </row>
    <row r="5693" spans="17:24" x14ac:dyDescent="0.3">
      <c r="Q5693" s="4"/>
      <c r="R5693" s="4"/>
      <c r="S5693" s="4"/>
      <c r="T5693" s="4"/>
      <c r="U5693" s="4"/>
      <c r="V5693" s="4"/>
      <c r="W5693" s="4"/>
      <c r="X5693" s="4"/>
    </row>
    <row r="5694" spans="17:24" x14ac:dyDescent="0.3">
      <c r="Q5694" s="4"/>
      <c r="R5694" s="4"/>
      <c r="S5694" s="4"/>
      <c r="T5694" s="4"/>
      <c r="U5694" s="4"/>
      <c r="V5694" s="4"/>
      <c r="W5694" s="4"/>
      <c r="X5694" s="4"/>
    </row>
    <row r="5695" spans="17:24" x14ac:dyDescent="0.3">
      <c r="Q5695" s="4"/>
      <c r="R5695" s="4"/>
      <c r="S5695" s="4"/>
      <c r="T5695" s="4"/>
      <c r="U5695" s="4"/>
      <c r="V5695" s="4"/>
      <c r="W5695" s="4"/>
      <c r="X5695" s="4"/>
    </row>
    <row r="5696" spans="17:24" x14ac:dyDescent="0.3">
      <c r="Q5696" s="4"/>
      <c r="R5696" s="4"/>
      <c r="S5696" s="4"/>
      <c r="T5696" s="4"/>
      <c r="U5696" s="4"/>
      <c r="V5696" s="4"/>
      <c r="W5696" s="4"/>
      <c r="X5696" s="4"/>
    </row>
    <row r="5697" spans="17:24" x14ac:dyDescent="0.3">
      <c r="Q5697" s="4"/>
      <c r="R5697" s="4"/>
      <c r="S5697" s="4"/>
      <c r="T5697" s="4"/>
      <c r="U5697" s="4"/>
      <c r="V5697" s="4"/>
      <c r="W5697" s="4"/>
      <c r="X5697" s="4"/>
    </row>
    <row r="5698" spans="17:24" x14ac:dyDescent="0.3">
      <c r="Q5698" s="4"/>
      <c r="R5698" s="4"/>
      <c r="S5698" s="4"/>
      <c r="T5698" s="4"/>
      <c r="U5698" s="4"/>
      <c r="V5698" s="4"/>
      <c r="W5698" s="4"/>
      <c r="X5698" s="4"/>
    </row>
    <row r="5699" spans="17:24" x14ac:dyDescent="0.3">
      <c r="Q5699" s="4"/>
      <c r="R5699" s="4"/>
      <c r="S5699" s="4"/>
      <c r="T5699" s="4"/>
      <c r="U5699" s="4"/>
      <c r="V5699" s="4"/>
      <c r="W5699" s="4"/>
      <c r="X5699" s="4"/>
    </row>
    <row r="5700" spans="17:24" x14ac:dyDescent="0.3">
      <c r="Q5700" s="4"/>
      <c r="R5700" s="4"/>
      <c r="S5700" s="4"/>
      <c r="T5700" s="4"/>
      <c r="U5700" s="4"/>
      <c r="V5700" s="4"/>
      <c r="W5700" s="4"/>
      <c r="X5700" s="4"/>
    </row>
    <row r="5701" spans="17:24" x14ac:dyDescent="0.3">
      <c r="Q5701" s="4"/>
      <c r="R5701" s="4"/>
      <c r="S5701" s="4"/>
      <c r="T5701" s="4"/>
      <c r="U5701" s="4"/>
      <c r="V5701" s="4"/>
      <c r="W5701" s="4"/>
      <c r="X5701" s="4"/>
    </row>
    <row r="5702" spans="17:24" x14ac:dyDescent="0.3">
      <c r="Q5702" s="4"/>
      <c r="R5702" s="4"/>
      <c r="S5702" s="4"/>
      <c r="T5702" s="4"/>
      <c r="U5702" s="4"/>
      <c r="V5702" s="4"/>
      <c r="W5702" s="4"/>
      <c r="X5702" s="4"/>
    </row>
    <row r="5703" spans="17:24" x14ac:dyDescent="0.3">
      <c r="Q5703" s="4"/>
      <c r="R5703" s="4"/>
      <c r="S5703" s="4"/>
      <c r="T5703" s="4"/>
      <c r="U5703" s="4"/>
      <c r="V5703" s="4"/>
      <c r="W5703" s="4"/>
      <c r="X5703" s="4"/>
    </row>
    <row r="5704" spans="17:24" x14ac:dyDescent="0.3">
      <c r="Q5704" s="4"/>
      <c r="R5704" s="4"/>
      <c r="S5704" s="4"/>
      <c r="T5704" s="4"/>
      <c r="U5704" s="4"/>
      <c r="V5704" s="4"/>
      <c r="W5704" s="4"/>
      <c r="X5704" s="4"/>
    </row>
    <row r="5705" spans="17:24" x14ac:dyDescent="0.3">
      <c r="Q5705" s="4"/>
      <c r="R5705" s="4"/>
      <c r="S5705" s="4"/>
      <c r="T5705" s="4"/>
      <c r="U5705" s="4"/>
      <c r="V5705" s="4"/>
      <c r="W5705" s="4"/>
      <c r="X5705" s="4"/>
    </row>
    <row r="5706" spans="17:24" x14ac:dyDescent="0.3">
      <c r="Q5706" s="4"/>
      <c r="R5706" s="4"/>
      <c r="S5706" s="4"/>
      <c r="T5706" s="4"/>
      <c r="U5706" s="4"/>
      <c r="V5706" s="4"/>
      <c r="W5706" s="4"/>
      <c r="X5706" s="4"/>
    </row>
    <row r="5707" spans="17:24" x14ac:dyDescent="0.3">
      <c r="Q5707" s="4"/>
      <c r="R5707" s="4"/>
      <c r="S5707" s="4"/>
      <c r="T5707" s="4"/>
      <c r="U5707" s="4"/>
      <c r="V5707" s="4"/>
      <c r="W5707" s="4"/>
      <c r="X5707" s="4"/>
    </row>
    <row r="5708" spans="17:24" x14ac:dyDescent="0.3">
      <c r="Q5708" s="4"/>
      <c r="R5708" s="4"/>
      <c r="S5708" s="4"/>
      <c r="T5708" s="4"/>
      <c r="U5708" s="4"/>
      <c r="V5708" s="4"/>
      <c r="W5708" s="4"/>
      <c r="X5708" s="4"/>
    </row>
    <row r="5709" spans="17:24" x14ac:dyDescent="0.3">
      <c r="Q5709" s="4"/>
      <c r="R5709" s="4"/>
      <c r="S5709" s="4"/>
      <c r="T5709" s="4"/>
      <c r="U5709" s="4"/>
      <c r="V5709" s="4"/>
      <c r="W5709" s="4"/>
      <c r="X5709" s="4"/>
    </row>
    <row r="5710" spans="17:24" x14ac:dyDescent="0.3">
      <c r="Q5710" s="4"/>
      <c r="R5710" s="4"/>
      <c r="S5710" s="4"/>
      <c r="T5710" s="4"/>
      <c r="U5710" s="4"/>
      <c r="V5710" s="4"/>
      <c r="W5710" s="4"/>
      <c r="X5710" s="4"/>
    </row>
    <row r="5711" spans="17:24" x14ac:dyDescent="0.3">
      <c r="Q5711" s="4"/>
      <c r="R5711" s="4"/>
      <c r="S5711" s="4"/>
      <c r="T5711" s="4"/>
      <c r="U5711" s="4"/>
      <c r="V5711" s="4"/>
      <c r="W5711" s="4"/>
      <c r="X5711" s="4"/>
    </row>
    <row r="5712" spans="17:24" x14ac:dyDescent="0.3">
      <c r="Q5712" s="4"/>
      <c r="R5712" s="4"/>
      <c r="S5712" s="4"/>
      <c r="T5712" s="4"/>
      <c r="U5712" s="4"/>
      <c r="V5712" s="4"/>
      <c r="W5712" s="4"/>
      <c r="X5712" s="4"/>
    </row>
    <row r="5713" spans="17:24" x14ac:dyDescent="0.3">
      <c r="Q5713" s="4"/>
      <c r="R5713" s="4"/>
      <c r="S5713" s="4"/>
      <c r="T5713" s="4"/>
      <c r="U5713" s="4"/>
      <c r="V5713" s="4"/>
      <c r="W5713" s="4"/>
      <c r="X5713" s="4"/>
    </row>
    <row r="5714" spans="17:24" x14ac:dyDescent="0.3">
      <c r="Q5714" s="4"/>
      <c r="R5714" s="4"/>
      <c r="S5714" s="4"/>
      <c r="T5714" s="4"/>
      <c r="U5714" s="4"/>
      <c r="V5714" s="4"/>
      <c r="W5714" s="4"/>
      <c r="X5714" s="4"/>
    </row>
    <row r="5715" spans="17:24" x14ac:dyDescent="0.3">
      <c r="Q5715" s="4"/>
      <c r="R5715" s="4"/>
      <c r="S5715" s="4"/>
      <c r="T5715" s="4"/>
      <c r="U5715" s="4"/>
      <c r="V5715" s="4"/>
      <c r="W5715" s="4"/>
      <c r="X5715" s="4"/>
    </row>
    <row r="5716" spans="17:24" x14ac:dyDescent="0.3">
      <c r="Q5716" s="4"/>
      <c r="R5716" s="4"/>
      <c r="S5716" s="4"/>
      <c r="T5716" s="4"/>
      <c r="U5716" s="4"/>
      <c r="V5716" s="4"/>
      <c r="W5716" s="4"/>
      <c r="X5716" s="4"/>
    </row>
    <row r="5717" spans="17:24" x14ac:dyDescent="0.3">
      <c r="Q5717" s="4"/>
      <c r="R5717" s="4"/>
      <c r="S5717" s="4"/>
      <c r="T5717" s="4"/>
      <c r="U5717" s="4"/>
      <c r="V5717" s="4"/>
      <c r="W5717" s="4"/>
      <c r="X5717" s="4"/>
    </row>
    <row r="5718" spans="17:24" x14ac:dyDescent="0.3">
      <c r="Q5718" s="4"/>
      <c r="R5718" s="4"/>
      <c r="S5718" s="4"/>
      <c r="T5718" s="4"/>
      <c r="U5718" s="4"/>
      <c r="V5718" s="4"/>
      <c r="W5718" s="4"/>
      <c r="X5718" s="4"/>
    </row>
    <row r="5719" spans="17:24" x14ac:dyDescent="0.3">
      <c r="Q5719" s="4"/>
      <c r="R5719" s="4"/>
      <c r="S5719" s="4"/>
      <c r="T5719" s="4"/>
      <c r="U5719" s="4"/>
      <c r="V5719" s="4"/>
      <c r="W5719" s="4"/>
      <c r="X5719" s="4"/>
    </row>
    <row r="5720" spans="17:24" x14ac:dyDescent="0.3">
      <c r="Q5720" s="4"/>
      <c r="R5720" s="4"/>
      <c r="S5720" s="4"/>
      <c r="T5720" s="4"/>
      <c r="U5720" s="4"/>
      <c r="V5720" s="4"/>
      <c r="W5720" s="4"/>
      <c r="X5720" s="4"/>
    </row>
    <row r="5721" spans="17:24" x14ac:dyDescent="0.3">
      <c r="Q5721" s="4"/>
      <c r="R5721" s="4"/>
      <c r="S5721" s="4"/>
      <c r="T5721" s="4"/>
      <c r="U5721" s="4"/>
      <c r="V5721" s="4"/>
      <c r="W5721" s="4"/>
      <c r="X5721" s="4"/>
    </row>
    <row r="5722" spans="17:24" x14ac:dyDescent="0.3">
      <c r="Q5722" s="4"/>
      <c r="R5722" s="4"/>
      <c r="S5722" s="4"/>
      <c r="T5722" s="4"/>
      <c r="U5722" s="4"/>
      <c r="V5722" s="4"/>
      <c r="W5722" s="4"/>
      <c r="X5722" s="4"/>
    </row>
    <row r="5723" spans="17:24" x14ac:dyDescent="0.3">
      <c r="Q5723" s="4"/>
      <c r="R5723" s="4"/>
      <c r="S5723" s="4"/>
      <c r="T5723" s="4"/>
      <c r="U5723" s="4"/>
      <c r="V5723" s="4"/>
      <c r="W5723" s="4"/>
      <c r="X5723" s="4"/>
    </row>
    <row r="5724" spans="17:24" x14ac:dyDescent="0.3">
      <c r="Q5724" s="4"/>
      <c r="R5724" s="4"/>
      <c r="S5724" s="4"/>
      <c r="T5724" s="4"/>
      <c r="U5724" s="4"/>
      <c r="V5724" s="4"/>
      <c r="W5724" s="4"/>
      <c r="X5724" s="4"/>
    </row>
    <row r="5725" spans="17:24" x14ac:dyDescent="0.3">
      <c r="Q5725" s="4"/>
      <c r="R5725" s="4"/>
      <c r="S5725" s="4"/>
      <c r="T5725" s="4"/>
      <c r="U5725" s="4"/>
      <c r="V5725" s="4"/>
      <c r="W5725" s="4"/>
      <c r="X5725" s="4"/>
    </row>
    <row r="5726" spans="17:24" x14ac:dyDescent="0.3">
      <c r="Q5726" s="4"/>
      <c r="R5726" s="4"/>
      <c r="S5726" s="4"/>
      <c r="T5726" s="4"/>
      <c r="U5726" s="4"/>
      <c r="V5726" s="4"/>
      <c r="W5726" s="4"/>
      <c r="X5726" s="4"/>
    </row>
    <row r="5727" spans="17:24" x14ac:dyDescent="0.3">
      <c r="Q5727" s="4"/>
      <c r="R5727" s="4"/>
      <c r="S5727" s="4"/>
      <c r="T5727" s="4"/>
      <c r="U5727" s="4"/>
      <c r="V5727" s="4"/>
      <c r="W5727" s="4"/>
      <c r="X5727" s="4"/>
    </row>
    <row r="5728" spans="17:24" x14ac:dyDescent="0.3">
      <c r="Q5728" s="4"/>
      <c r="R5728" s="4"/>
      <c r="S5728" s="4"/>
      <c r="T5728" s="4"/>
      <c r="U5728" s="4"/>
      <c r="V5728" s="4"/>
      <c r="W5728" s="4"/>
      <c r="X5728" s="4"/>
    </row>
    <row r="5729" spans="17:24" x14ac:dyDescent="0.3">
      <c r="Q5729" s="4"/>
      <c r="R5729" s="4"/>
      <c r="S5729" s="4"/>
      <c r="T5729" s="4"/>
      <c r="U5729" s="4"/>
      <c r="V5729" s="4"/>
      <c r="W5729" s="4"/>
      <c r="X5729" s="4"/>
    </row>
    <row r="5730" spans="17:24" x14ac:dyDescent="0.3">
      <c r="Q5730" s="4"/>
      <c r="R5730" s="4"/>
      <c r="S5730" s="4"/>
      <c r="T5730" s="4"/>
      <c r="U5730" s="4"/>
      <c r="V5730" s="4"/>
      <c r="W5730" s="4"/>
      <c r="X5730" s="4"/>
    </row>
    <row r="5731" spans="17:24" x14ac:dyDescent="0.3">
      <c r="Q5731" s="4"/>
      <c r="R5731" s="4"/>
      <c r="S5731" s="4"/>
      <c r="T5731" s="4"/>
      <c r="U5731" s="4"/>
      <c r="V5731" s="4"/>
      <c r="W5731" s="4"/>
      <c r="X5731" s="4"/>
    </row>
    <row r="5732" spans="17:24" x14ac:dyDescent="0.3">
      <c r="Q5732" s="4"/>
      <c r="R5732" s="4"/>
      <c r="S5732" s="4"/>
      <c r="T5732" s="4"/>
      <c r="U5732" s="4"/>
      <c r="V5732" s="4"/>
      <c r="W5732" s="4"/>
      <c r="X5732" s="4"/>
    </row>
    <row r="5733" spans="17:24" x14ac:dyDescent="0.3">
      <c r="Q5733" s="4"/>
      <c r="R5733" s="4"/>
      <c r="S5733" s="4"/>
      <c r="T5733" s="4"/>
      <c r="U5733" s="4"/>
      <c r="V5733" s="4"/>
      <c r="W5733" s="4"/>
      <c r="X5733" s="4"/>
    </row>
    <row r="5734" spans="17:24" x14ac:dyDescent="0.3">
      <c r="Q5734" s="4"/>
      <c r="R5734" s="4"/>
      <c r="S5734" s="4"/>
      <c r="T5734" s="4"/>
      <c r="U5734" s="4"/>
      <c r="V5734" s="4"/>
      <c r="W5734" s="4"/>
      <c r="X5734" s="4"/>
    </row>
    <row r="5735" spans="17:24" x14ac:dyDescent="0.3">
      <c r="Q5735" s="4"/>
      <c r="R5735" s="4"/>
      <c r="S5735" s="4"/>
      <c r="T5735" s="4"/>
      <c r="U5735" s="4"/>
      <c r="V5735" s="4"/>
      <c r="W5735" s="4"/>
      <c r="X5735" s="4"/>
    </row>
    <row r="5736" spans="17:24" x14ac:dyDescent="0.3">
      <c r="Q5736" s="4"/>
      <c r="R5736" s="4"/>
      <c r="S5736" s="4"/>
      <c r="T5736" s="4"/>
      <c r="U5736" s="4"/>
      <c r="V5736" s="4"/>
      <c r="W5736" s="4"/>
      <c r="X5736" s="4"/>
    </row>
    <row r="5737" spans="17:24" x14ac:dyDescent="0.3">
      <c r="Q5737" s="4"/>
      <c r="R5737" s="4"/>
      <c r="S5737" s="4"/>
      <c r="T5737" s="4"/>
      <c r="U5737" s="4"/>
      <c r="V5737" s="4"/>
      <c r="W5737" s="4"/>
      <c r="X5737" s="4"/>
    </row>
    <row r="5738" spans="17:24" x14ac:dyDescent="0.3">
      <c r="Q5738" s="4"/>
      <c r="R5738" s="4"/>
      <c r="S5738" s="4"/>
      <c r="T5738" s="4"/>
      <c r="U5738" s="4"/>
      <c r="V5738" s="4"/>
      <c r="W5738" s="4"/>
      <c r="X5738" s="4"/>
    </row>
    <row r="5739" spans="17:24" x14ac:dyDescent="0.3">
      <c r="Q5739" s="4"/>
      <c r="R5739" s="4"/>
      <c r="S5739" s="4"/>
      <c r="T5739" s="4"/>
      <c r="U5739" s="4"/>
      <c r="V5739" s="4"/>
      <c r="W5739" s="4"/>
      <c r="X5739" s="4"/>
    </row>
    <row r="5740" spans="17:24" x14ac:dyDescent="0.3">
      <c r="Q5740" s="4"/>
      <c r="R5740" s="4"/>
      <c r="S5740" s="4"/>
      <c r="T5740" s="4"/>
      <c r="U5740" s="4"/>
      <c r="V5740" s="4"/>
      <c r="W5740" s="4"/>
      <c r="X5740" s="4"/>
    </row>
    <row r="5741" spans="17:24" x14ac:dyDescent="0.3">
      <c r="Q5741" s="4"/>
      <c r="R5741" s="4"/>
      <c r="S5741" s="4"/>
      <c r="T5741" s="4"/>
      <c r="U5741" s="4"/>
      <c r="V5741" s="4"/>
      <c r="W5741" s="4"/>
      <c r="X5741" s="4"/>
    </row>
    <row r="5742" spans="17:24" x14ac:dyDescent="0.3">
      <c r="Q5742" s="4"/>
      <c r="R5742" s="4"/>
      <c r="S5742" s="4"/>
      <c r="T5742" s="4"/>
      <c r="U5742" s="4"/>
      <c r="V5742" s="4"/>
      <c r="W5742" s="4"/>
      <c r="X5742" s="4"/>
    </row>
    <row r="5743" spans="17:24" x14ac:dyDescent="0.3">
      <c r="Q5743" s="4"/>
      <c r="R5743" s="4"/>
      <c r="S5743" s="4"/>
      <c r="T5743" s="4"/>
      <c r="U5743" s="4"/>
      <c r="V5743" s="4"/>
      <c r="W5743" s="4"/>
      <c r="X5743" s="4"/>
    </row>
    <row r="5744" spans="17:24" x14ac:dyDescent="0.3">
      <c r="Q5744" s="4"/>
      <c r="R5744" s="4"/>
      <c r="S5744" s="4"/>
      <c r="T5744" s="4"/>
      <c r="U5744" s="4"/>
      <c r="V5744" s="4"/>
      <c r="W5744" s="4"/>
      <c r="X5744" s="4"/>
    </row>
    <row r="5745" spans="17:24" x14ac:dyDescent="0.3">
      <c r="Q5745" s="4"/>
      <c r="R5745" s="4"/>
      <c r="S5745" s="4"/>
      <c r="T5745" s="4"/>
      <c r="U5745" s="4"/>
      <c r="V5745" s="4"/>
      <c r="W5745" s="4"/>
      <c r="X5745" s="4"/>
    </row>
    <row r="5746" spans="17:24" x14ac:dyDescent="0.3">
      <c r="Q5746" s="4"/>
      <c r="R5746" s="4"/>
      <c r="S5746" s="4"/>
      <c r="T5746" s="4"/>
      <c r="U5746" s="4"/>
      <c r="V5746" s="4"/>
      <c r="W5746" s="4"/>
      <c r="X5746" s="4"/>
    </row>
    <row r="5747" spans="17:24" x14ac:dyDescent="0.3">
      <c r="Q5747" s="4"/>
      <c r="R5747" s="4"/>
      <c r="S5747" s="4"/>
      <c r="T5747" s="4"/>
      <c r="U5747" s="4"/>
      <c r="V5747" s="4"/>
      <c r="W5747" s="4"/>
      <c r="X5747" s="4"/>
    </row>
    <row r="5748" spans="17:24" x14ac:dyDescent="0.3">
      <c r="Q5748" s="4"/>
      <c r="R5748" s="4"/>
      <c r="S5748" s="4"/>
      <c r="T5748" s="4"/>
      <c r="U5748" s="4"/>
      <c r="V5748" s="4"/>
      <c r="W5748" s="4"/>
      <c r="X5748" s="4"/>
    </row>
    <row r="5749" spans="17:24" x14ac:dyDescent="0.3">
      <c r="Q5749" s="4"/>
      <c r="R5749" s="4"/>
      <c r="S5749" s="4"/>
      <c r="T5749" s="4"/>
      <c r="U5749" s="4"/>
      <c r="V5749" s="4"/>
      <c r="W5749" s="4"/>
      <c r="X5749" s="4"/>
    </row>
    <row r="5750" spans="17:24" x14ac:dyDescent="0.3">
      <c r="Q5750" s="4"/>
      <c r="R5750" s="4"/>
      <c r="S5750" s="4"/>
      <c r="T5750" s="4"/>
      <c r="U5750" s="4"/>
      <c r="V5750" s="4"/>
      <c r="W5750" s="4"/>
      <c r="X5750" s="4"/>
    </row>
    <row r="5751" spans="17:24" x14ac:dyDescent="0.3">
      <c r="Q5751" s="4"/>
      <c r="R5751" s="4"/>
      <c r="S5751" s="4"/>
      <c r="T5751" s="4"/>
      <c r="U5751" s="4"/>
      <c r="V5751" s="4"/>
      <c r="W5751" s="4"/>
      <c r="X5751" s="4"/>
    </row>
    <row r="5752" spans="17:24" x14ac:dyDescent="0.3">
      <c r="Q5752" s="4"/>
      <c r="R5752" s="4"/>
      <c r="S5752" s="4"/>
      <c r="T5752" s="4"/>
      <c r="U5752" s="4"/>
      <c r="V5752" s="4"/>
      <c r="W5752" s="4"/>
      <c r="X5752" s="4"/>
    </row>
    <row r="5753" spans="17:24" x14ac:dyDescent="0.3">
      <c r="Q5753" s="4"/>
      <c r="R5753" s="4"/>
      <c r="S5753" s="4"/>
      <c r="T5753" s="4"/>
      <c r="U5753" s="4"/>
      <c r="V5753" s="4"/>
      <c r="W5753" s="4"/>
      <c r="X5753" s="4"/>
    </row>
    <row r="5754" spans="17:24" x14ac:dyDescent="0.3">
      <c r="Q5754" s="4"/>
      <c r="R5754" s="4"/>
      <c r="S5754" s="4"/>
      <c r="T5754" s="4"/>
      <c r="U5754" s="4"/>
      <c r="V5754" s="4"/>
      <c r="W5754" s="4"/>
      <c r="X5754" s="4"/>
    </row>
    <row r="5755" spans="17:24" x14ac:dyDescent="0.3">
      <c r="Q5755" s="4"/>
      <c r="R5755" s="4"/>
      <c r="S5755" s="4"/>
      <c r="T5755" s="4"/>
      <c r="U5755" s="4"/>
      <c r="V5755" s="4"/>
      <c r="W5755" s="4"/>
      <c r="X5755" s="4"/>
    </row>
    <row r="5756" spans="17:24" x14ac:dyDescent="0.3">
      <c r="Q5756" s="4"/>
      <c r="R5756" s="4"/>
      <c r="S5756" s="4"/>
      <c r="T5756" s="4"/>
      <c r="U5756" s="4"/>
      <c r="V5756" s="4"/>
      <c r="W5756" s="4"/>
      <c r="X5756" s="4"/>
    </row>
    <row r="5757" spans="17:24" x14ac:dyDescent="0.3">
      <c r="Q5757" s="4"/>
      <c r="R5757" s="4"/>
      <c r="S5757" s="4"/>
      <c r="T5757" s="4"/>
      <c r="U5757" s="4"/>
      <c r="V5757" s="4"/>
      <c r="W5757" s="4"/>
      <c r="X5757" s="4"/>
    </row>
    <row r="5758" spans="17:24" x14ac:dyDescent="0.3">
      <c r="Q5758" s="4"/>
      <c r="R5758" s="4"/>
      <c r="S5758" s="4"/>
      <c r="T5758" s="4"/>
      <c r="U5758" s="4"/>
      <c r="V5758" s="4"/>
      <c r="W5758" s="4"/>
      <c r="X5758" s="4"/>
    </row>
    <row r="5759" spans="17:24" x14ac:dyDescent="0.3">
      <c r="Q5759" s="4"/>
      <c r="R5759" s="4"/>
      <c r="S5759" s="4"/>
      <c r="T5759" s="4"/>
      <c r="U5759" s="4"/>
      <c r="V5759" s="4"/>
      <c r="W5759" s="4"/>
      <c r="X5759" s="4"/>
    </row>
    <row r="5760" spans="17:24" x14ac:dyDescent="0.3">
      <c r="Q5760" s="4"/>
      <c r="R5760" s="4"/>
      <c r="S5760" s="4"/>
      <c r="T5760" s="4"/>
      <c r="U5760" s="4"/>
      <c r="V5760" s="4"/>
      <c r="W5760" s="4"/>
      <c r="X5760" s="4"/>
    </row>
    <row r="5761" spans="17:24" x14ac:dyDescent="0.3">
      <c r="Q5761" s="4"/>
      <c r="R5761" s="4"/>
      <c r="S5761" s="4"/>
      <c r="T5761" s="4"/>
      <c r="U5761" s="4"/>
      <c r="V5761" s="4"/>
      <c r="W5761" s="4"/>
      <c r="X5761" s="4"/>
    </row>
    <row r="5762" spans="17:24" x14ac:dyDescent="0.3">
      <c r="Q5762" s="4"/>
      <c r="R5762" s="4"/>
      <c r="S5762" s="4"/>
      <c r="T5762" s="4"/>
      <c r="U5762" s="4"/>
      <c r="V5762" s="4"/>
      <c r="W5762" s="4"/>
      <c r="X5762" s="4"/>
    </row>
    <row r="5763" spans="17:24" x14ac:dyDescent="0.3">
      <c r="Q5763" s="4"/>
      <c r="R5763" s="4"/>
      <c r="S5763" s="4"/>
      <c r="T5763" s="4"/>
      <c r="U5763" s="4"/>
      <c r="V5763" s="4"/>
      <c r="W5763" s="4"/>
      <c r="X5763" s="4"/>
    </row>
    <row r="5764" spans="17:24" x14ac:dyDescent="0.3">
      <c r="Q5764" s="4"/>
      <c r="R5764" s="4"/>
      <c r="S5764" s="4"/>
      <c r="T5764" s="4"/>
      <c r="U5764" s="4"/>
      <c r="V5764" s="4"/>
      <c r="W5764" s="4"/>
      <c r="X5764" s="4"/>
    </row>
    <row r="5765" spans="17:24" x14ac:dyDescent="0.3">
      <c r="Q5765" s="4"/>
      <c r="R5765" s="4"/>
      <c r="S5765" s="4"/>
      <c r="T5765" s="4"/>
      <c r="U5765" s="4"/>
      <c r="V5765" s="4"/>
      <c r="W5765" s="4"/>
      <c r="X5765" s="4"/>
    </row>
    <row r="5766" spans="17:24" x14ac:dyDescent="0.3">
      <c r="Q5766" s="4"/>
      <c r="R5766" s="4"/>
      <c r="S5766" s="4"/>
      <c r="T5766" s="4"/>
      <c r="U5766" s="4"/>
      <c r="V5766" s="4"/>
      <c r="W5766" s="4"/>
      <c r="X5766" s="4"/>
    </row>
    <row r="5767" spans="17:24" x14ac:dyDescent="0.3">
      <c r="Q5767" s="4"/>
      <c r="R5767" s="4"/>
      <c r="S5767" s="4"/>
      <c r="T5767" s="4"/>
      <c r="U5767" s="4"/>
      <c r="V5767" s="4"/>
      <c r="W5767" s="4"/>
      <c r="X5767" s="4"/>
    </row>
    <row r="5768" spans="17:24" x14ac:dyDescent="0.3">
      <c r="Q5768" s="4"/>
      <c r="R5768" s="4"/>
      <c r="S5768" s="4"/>
      <c r="T5768" s="4"/>
      <c r="U5768" s="4"/>
      <c r="V5768" s="4"/>
      <c r="W5768" s="4"/>
      <c r="X5768" s="4"/>
    </row>
    <row r="5769" spans="17:24" x14ac:dyDescent="0.3">
      <c r="Q5769" s="4"/>
      <c r="R5769" s="4"/>
      <c r="S5769" s="4"/>
      <c r="T5769" s="4"/>
      <c r="U5769" s="4"/>
      <c r="V5769" s="4"/>
      <c r="W5769" s="4"/>
      <c r="X5769" s="4"/>
    </row>
    <row r="5770" spans="17:24" x14ac:dyDescent="0.3">
      <c r="Q5770" s="4"/>
      <c r="R5770" s="4"/>
      <c r="S5770" s="4"/>
      <c r="T5770" s="4"/>
      <c r="U5770" s="4"/>
      <c r="V5770" s="4"/>
      <c r="W5770" s="4"/>
      <c r="X5770" s="4"/>
    </row>
    <row r="5771" spans="17:24" x14ac:dyDescent="0.3">
      <c r="Q5771" s="4"/>
      <c r="R5771" s="4"/>
      <c r="S5771" s="4"/>
      <c r="T5771" s="4"/>
      <c r="U5771" s="4"/>
      <c r="V5771" s="4"/>
      <c r="W5771" s="4"/>
      <c r="X5771" s="4"/>
    </row>
    <row r="5772" spans="17:24" x14ac:dyDescent="0.3">
      <c r="Q5772" s="4"/>
      <c r="R5772" s="4"/>
      <c r="S5772" s="4"/>
      <c r="T5772" s="4"/>
      <c r="U5772" s="4"/>
      <c r="V5772" s="4"/>
      <c r="W5772" s="4"/>
      <c r="X5772" s="4"/>
    </row>
    <row r="5773" spans="17:24" x14ac:dyDescent="0.3">
      <c r="Q5773" s="4"/>
      <c r="R5773" s="4"/>
      <c r="S5773" s="4"/>
      <c r="T5773" s="4"/>
      <c r="U5773" s="4"/>
      <c r="V5773" s="4"/>
      <c r="W5773" s="4"/>
      <c r="X5773" s="4"/>
    </row>
    <row r="5774" spans="17:24" x14ac:dyDescent="0.3">
      <c r="Q5774" s="4"/>
      <c r="R5774" s="4"/>
      <c r="S5774" s="4"/>
      <c r="T5774" s="4"/>
      <c r="U5774" s="4"/>
      <c r="V5774" s="4"/>
      <c r="W5774" s="4"/>
      <c r="X5774" s="4"/>
    </row>
    <row r="5775" spans="17:24" x14ac:dyDescent="0.3">
      <c r="Q5775" s="4"/>
      <c r="R5775" s="4"/>
      <c r="S5775" s="4"/>
      <c r="T5775" s="4"/>
      <c r="U5775" s="4"/>
      <c r="V5775" s="4"/>
      <c r="W5775" s="4"/>
      <c r="X5775" s="4"/>
    </row>
    <row r="5776" spans="17:24" x14ac:dyDescent="0.3">
      <c r="Q5776" s="4"/>
      <c r="R5776" s="4"/>
      <c r="S5776" s="4"/>
      <c r="T5776" s="4"/>
      <c r="U5776" s="4"/>
      <c r="V5776" s="4"/>
      <c r="W5776" s="4"/>
      <c r="X5776" s="4"/>
    </row>
    <row r="5777" spans="17:24" x14ac:dyDescent="0.3">
      <c r="Q5777" s="4"/>
      <c r="R5777" s="4"/>
      <c r="S5777" s="4"/>
      <c r="T5777" s="4"/>
      <c r="U5777" s="4"/>
      <c r="V5777" s="4"/>
      <c r="W5777" s="4"/>
      <c r="X5777" s="4"/>
    </row>
    <row r="5778" spans="17:24" x14ac:dyDescent="0.3">
      <c r="Q5778" s="4"/>
      <c r="R5778" s="4"/>
      <c r="S5778" s="4"/>
      <c r="T5778" s="4"/>
      <c r="U5778" s="4"/>
      <c r="V5778" s="4"/>
      <c r="W5778" s="4"/>
      <c r="X5778" s="4"/>
    </row>
    <row r="5779" spans="17:24" x14ac:dyDescent="0.3">
      <c r="Q5779" s="4"/>
      <c r="R5779" s="4"/>
      <c r="S5779" s="4"/>
      <c r="T5779" s="4"/>
      <c r="U5779" s="4"/>
      <c r="V5779" s="4"/>
      <c r="W5779" s="4"/>
      <c r="X5779" s="4"/>
    </row>
    <row r="5780" spans="17:24" x14ac:dyDescent="0.3">
      <c r="Q5780" s="4"/>
      <c r="R5780" s="4"/>
      <c r="S5780" s="4"/>
      <c r="T5780" s="4"/>
      <c r="U5780" s="4"/>
      <c r="V5780" s="4"/>
      <c r="W5780" s="4"/>
      <c r="X5780" s="4"/>
    </row>
    <row r="5781" spans="17:24" x14ac:dyDescent="0.3">
      <c r="Q5781" s="4"/>
      <c r="R5781" s="4"/>
      <c r="S5781" s="4"/>
      <c r="T5781" s="4"/>
      <c r="U5781" s="4"/>
      <c r="V5781" s="4"/>
      <c r="W5781" s="4"/>
      <c r="X5781" s="4"/>
    </row>
    <row r="5782" spans="17:24" x14ac:dyDescent="0.3">
      <c r="Q5782" s="4"/>
      <c r="R5782" s="4"/>
      <c r="S5782" s="4"/>
      <c r="T5782" s="4"/>
      <c r="U5782" s="4"/>
      <c r="V5782" s="4"/>
      <c r="W5782" s="4"/>
      <c r="X5782" s="4"/>
    </row>
    <row r="5783" spans="17:24" x14ac:dyDescent="0.3">
      <c r="Q5783" s="4"/>
      <c r="R5783" s="4"/>
      <c r="S5783" s="4"/>
      <c r="T5783" s="4"/>
      <c r="U5783" s="4"/>
      <c r="V5783" s="4"/>
      <c r="W5783" s="4"/>
      <c r="X5783" s="4"/>
    </row>
    <row r="5784" spans="17:24" x14ac:dyDescent="0.3">
      <c r="Q5784" s="4"/>
      <c r="R5784" s="4"/>
      <c r="S5784" s="4"/>
      <c r="T5784" s="4"/>
      <c r="U5784" s="4"/>
      <c r="V5784" s="4"/>
      <c r="W5784" s="4"/>
      <c r="X5784" s="4"/>
    </row>
    <row r="5785" spans="17:24" x14ac:dyDescent="0.3">
      <c r="Q5785" s="4"/>
      <c r="R5785" s="4"/>
      <c r="S5785" s="4"/>
      <c r="T5785" s="4"/>
      <c r="U5785" s="4"/>
      <c r="V5785" s="4"/>
      <c r="W5785" s="4"/>
      <c r="X5785" s="4"/>
    </row>
    <row r="5786" spans="17:24" x14ac:dyDescent="0.3">
      <c r="Q5786" s="4"/>
      <c r="R5786" s="4"/>
      <c r="S5786" s="4"/>
      <c r="T5786" s="4"/>
      <c r="U5786" s="4"/>
      <c r="V5786" s="4"/>
      <c r="W5786" s="4"/>
      <c r="X5786" s="4"/>
    </row>
    <row r="5787" spans="17:24" x14ac:dyDescent="0.3">
      <c r="Q5787" s="4"/>
      <c r="R5787" s="4"/>
      <c r="S5787" s="4"/>
      <c r="T5787" s="4"/>
      <c r="U5787" s="4"/>
      <c r="V5787" s="4"/>
      <c r="W5787" s="4"/>
      <c r="X5787" s="4"/>
    </row>
    <row r="5788" spans="17:24" x14ac:dyDescent="0.3">
      <c r="Q5788" s="4"/>
      <c r="R5788" s="4"/>
      <c r="S5788" s="4"/>
      <c r="T5788" s="4"/>
      <c r="U5788" s="4"/>
      <c r="V5788" s="4"/>
      <c r="W5788" s="4"/>
      <c r="X5788" s="4"/>
    </row>
    <row r="5789" spans="17:24" x14ac:dyDescent="0.3">
      <c r="Q5789" s="4"/>
      <c r="R5789" s="4"/>
      <c r="S5789" s="4"/>
      <c r="T5789" s="4"/>
      <c r="U5789" s="4"/>
      <c r="V5789" s="4"/>
      <c r="W5789" s="4"/>
      <c r="X5789" s="4"/>
    </row>
    <row r="5790" spans="17:24" x14ac:dyDescent="0.3">
      <c r="Q5790" s="4"/>
      <c r="R5790" s="4"/>
      <c r="S5790" s="4"/>
      <c r="T5790" s="4"/>
      <c r="U5790" s="4"/>
      <c r="V5790" s="4"/>
      <c r="W5790" s="4"/>
      <c r="X5790" s="4"/>
    </row>
    <row r="5791" spans="17:24" x14ac:dyDescent="0.3">
      <c r="Q5791" s="4"/>
      <c r="R5791" s="4"/>
      <c r="S5791" s="4"/>
      <c r="T5791" s="4"/>
      <c r="U5791" s="4"/>
      <c r="V5791" s="4"/>
      <c r="W5791" s="4"/>
      <c r="X5791" s="4"/>
    </row>
    <row r="5792" spans="17:24" x14ac:dyDescent="0.3">
      <c r="Q5792" s="4"/>
      <c r="R5792" s="4"/>
      <c r="S5792" s="4"/>
      <c r="T5792" s="4"/>
      <c r="U5792" s="4"/>
      <c r="V5792" s="4"/>
      <c r="W5792" s="4"/>
      <c r="X5792" s="4"/>
    </row>
    <row r="5793" spans="17:24" x14ac:dyDescent="0.3">
      <c r="Q5793" s="4"/>
      <c r="R5793" s="4"/>
      <c r="S5793" s="4"/>
      <c r="T5793" s="4"/>
      <c r="U5793" s="4"/>
      <c r="V5793" s="4"/>
      <c r="W5793" s="4"/>
      <c r="X5793" s="4"/>
    </row>
    <row r="5794" spans="17:24" x14ac:dyDescent="0.3">
      <c r="Q5794" s="4"/>
      <c r="R5794" s="4"/>
      <c r="S5794" s="4"/>
      <c r="T5794" s="4"/>
      <c r="U5794" s="4"/>
      <c r="V5794" s="4"/>
      <c r="W5794" s="4"/>
      <c r="X5794" s="4"/>
    </row>
    <row r="5795" spans="17:24" x14ac:dyDescent="0.3">
      <c r="Q5795" s="4"/>
      <c r="R5795" s="4"/>
      <c r="S5795" s="4"/>
      <c r="T5795" s="4"/>
      <c r="U5795" s="4"/>
      <c r="V5795" s="4"/>
      <c r="W5795" s="4"/>
      <c r="X5795" s="4"/>
    </row>
    <row r="5796" spans="17:24" x14ac:dyDescent="0.3">
      <c r="Q5796" s="4"/>
      <c r="R5796" s="4"/>
      <c r="S5796" s="4"/>
      <c r="T5796" s="4"/>
      <c r="U5796" s="4"/>
      <c r="V5796" s="4"/>
      <c r="W5796" s="4"/>
      <c r="X5796" s="4"/>
    </row>
    <row r="5797" spans="17:24" x14ac:dyDescent="0.3">
      <c r="Q5797" s="4"/>
      <c r="R5797" s="4"/>
      <c r="S5797" s="4"/>
      <c r="T5797" s="4"/>
      <c r="U5797" s="4"/>
      <c r="V5797" s="4"/>
      <c r="W5797" s="4"/>
      <c r="X5797" s="4"/>
    </row>
    <row r="5798" spans="17:24" x14ac:dyDescent="0.3">
      <c r="Q5798" s="4"/>
      <c r="R5798" s="4"/>
      <c r="S5798" s="4"/>
      <c r="T5798" s="4"/>
      <c r="U5798" s="4"/>
      <c r="V5798" s="4"/>
      <c r="W5798" s="4"/>
      <c r="X5798" s="4"/>
    </row>
    <row r="5799" spans="17:24" x14ac:dyDescent="0.3">
      <c r="Q5799" s="4"/>
      <c r="R5799" s="4"/>
      <c r="S5799" s="4"/>
      <c r="T5799" s="4"/>
      <c r="U5799" s="4"/>
      <c r="V5799" s="4"/>
      <c r="W5799" s="4"/>
      <c r="X5799" s="4"/>
    </row>
    <row r="5800" spans="17:24" x14ac:dyDescent="0.3">
      <c r="Q5800" s="4"/>
      <c r="R5800" s="4"/>
      <c r="S5800" s="4"/>
      <c r="T5800" s="4"/>
      <c r="U5800" s="4"/>
      <c r="V5800" s="4"/>
      <c r="W5800" s="4"/>
      <c r="X5800" s="4"/>
    </row>
    <row r="5801" spans="17:24" x14ac:dyDescent="0.3">
      <c r="Q5801" s="4"/>
      <c r="R5801" s="4"/>
      <c r="S5801" s="4"/>
      <c r="T5801" s="4"/>
      <c r="U5801" s="4"/>
      <c r="V5801" s="4"/>
      <c r="W5801" s="4"/>
      <c r="X5801" s="4"/>
    </row>
    <row r="5802" spans="17:24" x14ac:dyDescent="0.3">
      <c r="Q5802" s="4"/>
      <c r="R5802" s="4"/>
      <c r="S5802" s="4"/>
      <c r="T5802" s="4"/>
      <c r="U5802" s="4"/>
      <c r="V5802" s="4"/>
      <c r="W5802" s="4"/>
      <c r="X5802" s="4"/>
    </row>
    <row r="5803" spans="17:24" x14ac:dyDescent="0.3">
      <c r="Q5803" s="4"/>
      <c r="R5803" s="4"/>
      <c r="S5803" s="4"/>
      <c r="T5803" s="4"/>
      <c r="U5803" s="4"/>
      <c r="V5803" s="4"/>
      <c r="W5803" s="4"/>
      <c r="X5803" s="4"/>
    </row>
    <row r="5804" spans="17:24" x14ac:dyDescent="0.3">
      <c r="Q5804" s="4"/>
      <c r="R5804" s="4"/>
      <c r="S5804" s="4"/>
      <c r="T5804" s="4"/>
      <c r="U5804" s="4"/>
      <c r="V5804" s="4"/>
      <c r="W5804" s="4"/>
      <c r="X5804" s="4"/>
    </row>
    <row r="5805" spans="17:24" x14ac:dyDescent="0.3">
      <c r="Q5805" s="4"/>
      <c r="R5805" s="4"/>
      <c r="S5805" s="4"/>
      <c r="T5805" s="4"/>
      <c r="U5805" s="4"/>
      <c r="V5805" s="4"/>
      <c r="W5805" s="4"/>
      <c r="X5805" s="4"/>
    </row>
    <row r="5806" spans="17:24" x14ac:dyDescent="0.3">
      <c r="Q5806" s="4"/>
      <c r="R5806" s="4"/>
      <c r="S5806" s="4"/>
      <c r="T5806" s="4"/>
      <c r="U5806" s="4"/>
      <c r="V5806" s="4"/>
      <c r="W5806" s="4"/>
      <c r="X5806" s="4"/>
    </row>
    <row r="5807" spans="17:24" x14ac:dyDescent="0.3">
      <c r="Q5807" s="4"/>
      <c r="R5807" s="4"/>
      <c r="S5807" s="4"/>
      <c r="T5807" s="4"/>
      <c r="U5807" s="4"/>
      <c r="V5807" s="4"/>
      <c r="W5807" s="4"/>
      <c r="X5807" s="4"/>
    </row>
    <row r="5808" spans="17:24" x14ac:dyDescent="0.3">
      <c r="Q5808" s="4"/>
      <c r="R5808" s="4"/>
      <c r="S5808" s="4"/>
      <c r="T5808" s="4"/>
      <c r="U5808" s="4"/>
      <c r="V5808" s="4"/>
      <c r="W5808" s="4"/>
      <c r="X5808" s="4"/>
    </row>
    <row r="5809" spans="17:24" x14ac:dyDescent="0.3">
      <c r="Q5809" s="4"/>
      <c r="R5809" s="4"/>
      <c r="S5809" s="4"/>
      <c r="T5809" s="4"/>
      <c r="U5809" s="4"/>
      <c r="V5809" s="4"/>
      <c r="W5809" s="4"/>
      <c r="X5809" s="4"/>
    </row>
    <row r="5810" spans="17:24" x14ac:dyDescent="0.3">
      <c r="Q5810" s="4"/>
      <c r="R5810" s="4"/>
      <c r="S5810" s="4"/>
      <c r="T5810" s="4"/>
      <c r="U5810" s="4"/>
      <c r="V5810" s="4"/>
      <c r="W5810" s="4"/>
      <c r="X5810" s="4"/>
    </row>
    <row r="5811" spans="17:24" x14ac:dyDescent="0.3">
      <c r="Q5811" s="4"/>
      <c r="R5811" s="4"/>
      <c r="S5811" s="4"/>
      <c r="T5811" s="4"/>
      <c r="U5811" s="4"/>
      <c r="V5811" s="4"/>
      <c r="W5811" s="4"/>
      <c r="X5811" s="4"/>
    </row>
    <row r="5812" spans="17:24" x14ac:dyDescent="0.3">
      <c r="Q5812" s="4"/>
      <c r="R5812" s="4"/>
      <c r="S5812" s="4"/>
      <c r="T5812" s="4"/>
      <c r="U5812" s="4"/>
      <c r="V5812" s="4"/>
      <c r="W5812" s="4"/>
      <c r="X5812" s="4"/>
    </row>
    <row r="5813" spans="17:24" x14ac:dyDescent="0.3">
      <c r="Q5813" s="4"/>
      <c r="R5813" s="4"/>
      <c r="S5813" s="4"/>
      <c r="T5813" s="4"/>
      <c r="U5813" s="4"/>
      <c r="V5813" s="4"/>
      <c r="W5813" s="4"/>
      <c r="X5813" s="4"/>
    </row>
    <row r="5814" spans="17:24" x14ac:dyDescent="0.3">
      <c r="Q5814" s="4"/>
      <c r="R5814" s="4"/>
      <c r="S5814" s="4"/>
      <c r="T5814" s="4"/>
      <c r="U5814" s="4"/>
      <c r="V5814" s="4"/>
      <c r="W5814" s="4"/>
      <c r="X5814" s="4"/>
    </row>
    <row r="5815" spans="17:24" x14ac:dyDescent="0.3">
      <c r="Q5815" s="4"/>
      <c r="R5815" s="4"/>
      <c r="S5815" s="4"/>
      <c r="T5815" s="4"/>
      <c r="U5815" s="4"/>
      <c r="V5815" s="4"/>
      <c r="W5815" s="4"/>
      <c r="X5815" s="4"/>
    </row>
    <row r="5816" spans="17:24" x14ac:dyDescent="0.3">
      <c r="Q5816" s="4"/>
      <c r="R5816" s="4"/>
      <c r="S5816" s="4"/>
      <c r="T5816" s="4"/>
      <c r="U5816" s="4"/>
      <c r="V5816" s="4"/>
      <c r="W5816" s="4"/>
      <c r="X5816" s="4"/>
    </row>
    <row r="5817" spans="17:24" x14ac:dyDescent="0.3">
      <c r="Q5817" s="4"/>
      <c r="R5817" s="4"/>
      <c r="S5817" s="4"/>
      <c r="T5817" s="4"/>
      <c r="U5817" s="4"/>
      <c r="V5817" s="4"/>
      <c r="W5817" s="4"/>
      <c r="X5817" s="4"/>
    </row>
    <row r="5818" spans="17:24" x14ac:dyDescent="0.3">
      <c r="Q5818" s="4"/>
      <c r="R5818" s="4"/>
      <c r="S5818" s="4"/>
      <c r="T5818" s="4"/>
      <c r="U5818" s="4"/>
      <c r="V5818" s="4"/>
      <c r="W5818" s="4"/>
      <c r="X5818" s="4"/>
    </row>
    <row r="5819" spans="17:24" x14ac:dyDescent="0.3">
      <c r="Q5819" s="4"/>
      <c r="R5819" s="4"/>
      <c r="S5819" s="4"/>
      <c r="T5819" s="4"/>
      <c r="U5819" s="4"/>
      <c r="V5819" s="4"/>
      <c r="W5819" s="4"/>
      <c r="X5819" s="4"/>
    </row>
    <row r="5820" spans="17:24" x14ac:dyDescent="0.3">
      <c r="Q5820" s="4"/>
      <c r="R5820" s="4"/>
      <c r="S5820" s="4"/>
      <c r="T5820" s="4"/>
      <c r="U5820" s="4"/>
      <c r="V5820" s="4"/>
      <c r="W5820" s="4"/>
      <c r="X5820" s="4"/>
    </row>
    <row r="5821" spans="17:24" x14ac:dyDescent="0.3">
      <c r="Q5821" s="4"/>
      <c r="R5821" s="4"/>
      <c r="S5821" s="4"/>
      <c r="T5821" s="4"/>
      <c r="U5821" s="4"/>
      <c r="V5821" s="4"/>
      <c r="W5821" s="4"/>
      <c r="X5821" s="4"/>
    </row>
    <row r="5822" spans="17:24" x14ac:dyDescent="0.3">
      <c r="Q5822" s="4"/>
      <c r="R5822" s="4"/>
      <c r="S5822" s="4"/>
      <c r="T5822" s="4"/>
      <c r="U5822" s="4"/>
      <c r="V5822" s="4"/>
      <c r="W5822" s="4"/>
      <c r="X5822" s="4"/>
    </row>
    <row r="5823" spans="17:24" x14ac:dyDescent="0.3">
      <c r="Q5823" s="4"/>
      <c r="R5823" s="4"/>
      <c r="S5823" s="4"/>
      <c r="T5823" s="4"/>
      <c r="U5823" s="4"/>
      <c r="V5823" s="4"/>
      <c r="W5823" s="4"/>
      <c r="X5823" s="4"/>
    </row>
    <row r="5824" spans="17:24" x14ac:dyDescent="0.3">
      <c r="Q5824" s="4"/>
      <c r="R5824" s="4"/>
      <c r="S5824" s="4"/>
      <c r="T5824" s="4"/>
      <c r="U5824" s="4"/>
      <c r="V5824" s="4"/>
      <c r="W5824" s="4"/>
      <c r="X5824" s="4"/>
    </row>
    <row r="5825" spans="17:24" x14ac:dyDescent="0.3">
      <c r="Q5825" s="4"/>
      <c r="R5825" s="4"/>
      <c r="S5825" s="4"/>
      <c r="T5825" s="4"/>
      <c r="U5825" s="4"/>
      <c r="V5825" s="4"/>
      <c r="W5825" s="4"/>
      <c r="X5825" s="4"/>
    </row>
    <row r="5826" spans="17:24" x14ac:dyDescent="0.3">
      <c r="Q5826" s="4"/>
      <c r="R5826" s="4"/>
      <c r="S5826" s="4"/>
      <c r="T5826" s="4"/>
      <c r="U5826" s="4"/>
      <c r="V5826" s="4"/>
      <c r="W5826" s="4"/>
      <c r="X5826" s="4"/>
    </row>
    <row r="5827" spans="17:24" x14ac:dyDescent="0.3">
      <c r="Q5827" s="4"/>
      <c r="R5827" s="4"/>
      <c r="S5827" s="4"/>
      <c r="T5827" s="4"/>
      <c r="U5827" s="4"/>
      <c r="V5827" s="4"/>
      <c r="W5827" s="4"/>
      <c r="X5827" s="4"/>
    </row>
    <row r="5828" spans="17:24" x14ac:dyDescent="0.3">
      <c r="Q5828" s="4"/>
      <c r="R5828" s="4"/>
      <c r="S5828" s="4"/>
      <c r="T5828" s="4"/>
      <c r="U5828" s="4"/>
      <c r="V5828" s="4"/>
      <c r="W5828" s="4"/>
      <c r="X5828" s="4"/>
    </row>
    <row r="5829" spans="17:24" x14ac:dyDescent="0.3">
      <c r="Q5829" s="4"/>
      <c r="R5829" s="4"/>
      <c r="S5829" s="4"/>
      <c r="T5829" s="4"/>
      <c r="U5829" s="4"/>
      <c r="V5829" s="4"/>
      <c r="W5829" s="4"/>
      <c r="X5829" s="4"/>
    </row>
    <row r="5830" spans="17:24" x14ac:dyDescent="0.3">
      <c r="Q5830" s="4"/>
      <c r="R5830" s="4"/>
      <c r="S5830" s="4"/>
      <c r="T5830" s="4"/>
      <c r="U5830" s="4"/>
      <c r="V5830" s="4"/>
      <c r="W5830" s="4"/>
      <c r="X5830" s="4"/>
    </row>
    <row r="5831" spans="17:24" x14ac:dyDescent="0.3">
      <c r="Q5831" s="4"/>
      <c r="R5831" s="4"/>
      <c r="S5831" s="4"/>
      <c r="T5831" s="4"/>
      <c r="U5831" s="4"/>
      <c r="V5831" s="4"/>
      <c r="W5831" s="4"/>
      <c r="X5831" s="4"/>
    </row>
    <row r="5832" spans="17:24" x14ac:dyDescent="0.3">
      <c r="Q5832" s="4"/>
      <c r="R5832" s="4"/>
      <c r="S5832" s="4"/>
      <c r="T5832" s="4"/>
      <c r="U5832" s="4"/>
      <c r="V5832" s="4"/>
      <c r="W5832" s="4"/>
      <c r="X5832" s="4"/>
    </row>
    <row r="5833" spans="17:24" x14ac:dyDescent="0.3">
      <c r="Q5833" s="4"/>
      <c r="R5833" s="4"/>
      <c r="S5833" s="4"/>
      <c r="T5833" s="4"/>
      <c r="U5833" s="4"/>
      <c r="V5833" s="4"/>
      <c r="W5833" s="4"/>
      <c r="X5833" s="4"/>
    </row>
    <row r="5834" spans="17:24" x14ac:dyDescent="0.3">
      <c r="Q5834" s="4"/>
      <c r="R5834" s="4"/>
      <c r="S5834" s="4"/>
      <c r="T5834" s="4"/>
      <c r="U5834" s="4"/>
      <c r="V5834" s="4"/>
      <c r="W5834" s="4"/>
      <c r="X5834" s="4"/>
    </row>
    <row r="5835" spans="17:24" x14ac:dyDescent="0.3">
      <c r="Q5835" s="4"/>
      <c r="R5835" s="4"/>
      <c r="S5835" s="4"/>
      <c r="T5835" s="4"/>
      <c r="U5835" s="4"/>
      <c r="V5835" s="4"/>
      <c r="W5835" s="4"/>
      <c r="X5835" s="4"/>
    </row>
    <row r="5836" spans="17:24" x14ac:dyDescent="0.3">
      <c r="Q5836" s="4"/>
      <c r="R5836" s="4"/>
      <c r="S5836" s="4"/>
      <c r="T5836" s="4"/>
      <c r="U5836" s="4"/>
      <c r="V5836" s="4"/>
      <c r="W5836" s="4"/>
      <c r="X5836" s="4"/>
    </row>
    <row r="5837" spans="17:24" x14ac:dyDescent="0.3">
      <c r="Q5837" s="4"/>
      <c r="R5837" s="4"/>
      <c r="S5837" s="4"/>
      <c r="T5837" s="4"/>
      <c r="U5837" s="4"/>
      <c r="V5837" s="4"/>
      <c r="W5837" s="4"/>
      <c r="X5837" s="4"/>
    </row>
    <row r="5838" spans="17:24" x14ac:dyDescent="0.3">
      <c r="Q5838" s="4"/>
      <c r="R5838" s="4"/>
      <c r="S5838" s="4"/>
      <c r="T5838" s="4"/>
      <c r="U5838" s="4"/>
      <c r="V5838" s="4"/>
      <c r="W5838" s="4"/>
      <c r="X5838" s="4"/>
    </row>
    <row r="5839" spans="17:24" x14ac:dyDescent="0.3">
      <c r="Q5839" s="4"/>
      <c r="R5839" s="4"/>
      <c r="S5839" s="4"/>
      <c r="T5839" s="4"/>
      <c r="U5839" s="4"/>
      <c r="V5839" s="4"/>
      <c r="W5839" s="4"/>
      <c r="X5839" s="4"/>
    </row>
    <row r="5840" spans="17:24" x14ac:dyDescent="0.3">
      <c r="Q5840" s="4"/>
      <c r="R5840" s="4"/>
      <c r="S5840" s="4"/>
      <c r="T5840" s="4"/>
      <c r="U5840" s="4"/>
      <c r="V5840" s="4"/>
      <c r="W5840" s="4"/>
      <c r="X5840" s="4"/>
    </row>
    <row r="5841" spans="17:24" x14ac:dyDescent="0.3">
      <c r="Q5841" s="4"/>
      <c r="R5841" s="4"/>
      <c r="S5841" s="4"/>
      <c r="T5841" s="4"/>
      <c r="U5841" s="4"/>
      <c r="V5841" s="4"/>
      <c r="W5841" s="4"/>
      <c r="X5841" s="4"/>
    </row>
    <row r="5842" spans="17:24" x14ac:dyDescent="0.3">
      <c r="Q5842" s="4"/>
      <c r="R5842" s="4"/>
      <c r="S5842" s="4"/>
      <c r="T5842" s="4"/>
      <c r="U5842" s="4"/>
      <c r="V5842" s="4"/>
      <c r="W5842" s="4"/>
      <c r="X5842" s="4"/>
    </row>
    <row r="5843" spans="17:24" x14ac:dyDescent="0.3">
      <c r="Q5843" s="4"/>
      <c r="R5843" s="4"/>
      <c r="S5843" s="4"/>
      <c r="T5843" s="4"/>
      <c r="U5843" s="4"/>
      <c r="V5843" s="4"/>
      <c r="W5843" s="4"/>
      <c r="X5843" s="4"/>
    </row>
    <row r="5844" spans="17:24" x14ac:dyDescent="0.3">
      <c r="Q5844" s="4"/>
      <c r="R5844" s="4"/>
      <c r="S5844" s="4"/>
      <c r="T5844" s="4"/>
      <c r="U5844" s="4"/>
      <c r="V5844" s="4"/>
      <c r="W5844" s="4"/>
      <c r="X5844" s="4"/>
    </row>
    <row r="5845" spans="17:24" x14ac:dyDescent="0.3">
      <c r="Q5845" s="4"/>
      <c r="R5845" s="4"/>
      <c r="S5845" s="4"/>
      <c r="T5845" s="4"/>
      <c r="U5845" s="4"/>
      <c r="V5845" s="4"/>
      <c r="W5845" s="4"/>
      <c r="X5845" s="4"/>
    </row>
    <row r="5846" spans="17:24" x14ac:dyDescent="0.3">
      <c r="Q5846" s="4"/>
      <c r="R5846" s="4"/>
      <c r="S5846" s="4"/>
      <c r="T5846" s="4"/>
      <c r="U5846" s="4"/>
      <c r="V5846" s="4"/>
      <c r="W5846" s="4"/>
      <c r="X5846" s="4"/>
    </row>
    <row r="5847" spans="17:24" x14ac:dyDescent="0.3">
      <c r="Q5847" s="4"/>
      <c r="R5847" s="4"/>
      <c r="S5847" s="4"/>
      <c r="T5847" s="4"/>
      <c r="U5847" s="4"/>
      <c r="V5847" s="4"/>
      <c r="W5847" s="4"/>
      <c r="X5847" s="4"/>
    </row>
    <row r="5848" spans="17:24" x14ac:dyDescent="0.3">
      <c r="Q5848" s="4"/>
      <c r="R5848" s="4"/>
      <c r="S5848" s="4"/>
      <c r="T5848" s="4"/>
      <c r="U5848" s="4"/>
      <c r="V5848" s="4"/>
      <c r="W5848" s="4"/>
      <c r="X5848" s="4"/>
    </row>
    <row r="5849" spans="17:24" x14ac:dyDescent="0.3">
      <c r="Q5849" s="4"/>
      <c r="R5849" s="4"/>
      <c r="S5849" s="4"/>
      <c r="T5849" s="4"/>
      <c r="U5849" s="4"/>
      <c r="V5849" s="4"/>
      <c r="W5849" s="4"/>
      <c r="X5849" s="4"/>
    </row>
    <row r="5850" spans="17:24" x14ac:dyDescent="0.3">
      <c r="Q5850" s="4"/>
      <c r="R5850" s="4"/>
      <c r="S5850" s="4"/>
      <c r="T5850" s="4"/>
      <c r="U5850" s="4"/>
      <c r="V5850" s="4"/>
      <c r="W5850" s="4"/>
      <c r="X5850" s="4"/>
    </row>
    <row r="5851" spans="17:24" x14ac:dyDescent="0.3">
      <c r="Q5851" s="4"/>
      <c r="R5851" s="4"/>
      <c r="S5851" s="4"/>
      <c r="T5851" s="4"/>
      <c r="U5851" s="4"/>
      <c r="V5851" s="4"/>
      <c r="W5851" s="4"/>
      <c r="X5851" s="4"/>
    </row>
    <row r="5852" spans="17:24" x14ac:dyDescent="0.3">
      <c r="Q5852" s="4"/>
      <c r="R5852" s="4"/>
      <c r="S5852" s="4"/>
      <c r="T5852" s="4"/>
      <c r="U5852" s="4"/>
      <c r="V5852" s="4"/>
      <c r="W5852" s="4"/>
      <c r="X5852" s="4"/>
    </row>
    <row r="5853" spans="17:24" x14ac:dyDescent="0.3">
      <c r="Q5853" s="4"/>
      <c r="R5853" s="4"/>
      <c r="S5853" s="4"/>
      <c r="T5853" s="4"/>
      <c r="U5853" s="4"/>
      <c r="V5853" s="4"/>
      <c r="W5853" s="4"/>
      <c r="X5853" s="4"/>
    </row>
    <row r="5854" spans="17:24" x14ac:dyDescent="0.3">
      <c r="Q5854" s="4"/>
      <c r="R5854" s="4"/>
      <c r="S5854" s="4"/>
      <c r="T5854" s="4"/>
      <c r="U5854" s="4"/>
      <c r="V5854" s="4"/>
      <c r="W5854" s="4"/>
      <c r="X5854" s="4"/>
    </row>
    <row r="5855" spans="17:24" x14ac:dyDescent="0.3">
      <c r="Q5855" s="4"/>
      <c r="R5855" s="4"/>
      <c r="S5855" s="4"/>
      <c r="T5855" s="4"/>
      <c r="U5855" s="4"/>
      <c r="V5855" s="4"/>
      <c r="W5855" s="4"/>
      <c r="X5855" s="4"/>
    </row>
    <row r="5856" spans="17:24" x14ac:dyDescent="0.3">
      <c r="Q5856" s="4"/>
      <c r="R5856" s="4"/>
      <c r="S5856" s="4"/>
      <c r="T5856" s="4"/>
      <c r="U5856" s="4"/>
      <c r="V5856" s="4"/>
      <c r="W5856" s="4"/>
      <c r="X5856" s="4"/>
    </row>
    <row r="5857" spans="17:24" x14ac:dyDescent="0.3">
      <c r="Q5857" s="4"/>
      <c r="R5857" s="4"/>
      <c r="S5857" s="4"/>
      <c r="T5857" s="4"/>
      <c r="U5857" s="4"/>
      <c r="V5857" s="4"/>
      <c r="W5857" s="4"/>
      <c r="X5857" s="4"/>
    </row>
    <row r="5858" spans="17:24" x14ac:dyDescent="0.3">
      <c r="Q5858" s="4"/>
      <c r="R5858" s="4"/>
      <c r="S5858" s="4"/>
      <c r="T5858" s="4"/>
      <c r="U5858" s="4"/>
      <c r="V5858" s="4"/>
      <c r="W5858" s="4"/>
      <c r="X5858" s="4"/>
    </row>
    <row r="5859" spans="17:24" x14ac:dyDescent="0.3">
      <c r="Q5859" s="4"/>
      <c r="R5859" s="4"/>
      <c r="S5859" s="4"/>
      <c r="T5859" s="4"/>
      <c r="U5859" s="4"/>
      <c r="V5859" s="4"/>
      <c r="W5859" s="4"/>
      <c r="X5859" s="4"/>
    </row>
    <row r="5860" spans="17:24" x14ac:dyDescent="0.3">
      <c r="Q5860" s="4"/>
      <c r="R5860" s="4"/>
      <c r="S5860" s="4"/>
      <c r="T5860" s="4"/>
      <c r="U5860" s="4"/>
      <c r="V5860" s="4"/>
      <c r="W5860" s="4"/>
      <c r="X5860" s="4"/>
    </row>
    <row r="5861" spans="17:24" x14ac:dyDescent="0.3">
      <c r="Q5861" s="4"/>
      <c r="R5861" s="4"/>
      <c r="S5861" s="4"/>
      <c r="T5861" s="4"/>
      <c r="U5861" s="4"/>
      <c r="V5861" s="4"/>
      <c r="W5861" s="4"/>
      <c r="X5861" s="4"/>
    </row>
    <row r="5862" spans="17:24" x14ac:dyDescent="0.3">
      <c r="Q5862" s="4"/>
      <c r="R5862" s="4"/>
      <c r="S5862" s="4"/>
      <c r="T5862" s="4"/>
      <c r="U5862" s="4"/>
      <c r="V5862" s="4"/>
      <c r="W5862" s="4"/>
      <c r="X5862" s="4"/>
    </row>
    <row r="5863" spans="17:24" x14ac:dyDescent="0.3">
      <c r="Q5863" s="4"/>
      <c r="R5863" s="4"/>
      <c r="S5863" s="4"/>
      <c r="T5863" s="4"/>
      <c r="U5863" s="4"/>
      <c r="V5863" s="4"/>
      <c r="W5863" s="4"/>
      <c r="X5863" s="4"/>
    </row>
    <row r="5864" spans="17:24" x14ac:dyDescent="0.3">
      <c r="Q5864" s="4"/>
      <c r="R5864" s="4"/>
      <c r="S5864" s="4"/>
      <c r="T5864" s="4"/>
      <c r="U5864" s="4"/>
      <c r="V5864" s="4"/>
      <c r="W5864" s="4"/>
      <c r="X5864" s="4"/>
    </row>
    <row r="5865" spans="17:24" x14ac:dyDescent="0.3">
      <c r="Q5865" s="4"/>
      <c r="R5865" s="4"/>
      <c r="S5865" s="4"/>
      <c r="T5865" s="4"/>
      <c r="U5865" s="4"/>
      <c r="V5865" s="4"/>
      <c r="W5865" s="4"/>
      <c r="X5865" s="4"/>
    </row>
    <row r="5866" spans="17:24" x14ac:dyDescent="0.3">
      <c r="Q5866" s="4"/>
      <c r="R5866" s="4"/>
      <c r="S5866" s="4"/>
      <c r="T5866" s="4"/>
      <c r="U5866" s="4"/>
      <c r="V5866" s="4"/>
      <c r="W5866" s="4"/>
      <c r="X5866" s="4"/>
    </row>
    <row r="5867" spans="17:24" x14ac:dyDescent="0.3">
      <c r="Q5867" s="4"/>
      <c r="R5867" s="4"/>
      <c r="S5867" s="4"/>
      <c r="T5867" s="4"/>
      <c r="U5867" s="4"/>
      <c r="V5867" s="4"/>
      <c r="W5867" s="4"/>
      <c r="X5867" s="4"/>
    </row>
    <row r="5868" spans="17:24" x14ac:dyDescent="0.3">
      <c r="Q5868" s="4"/>
      <c r="R5868" s="4"/>
      <c r="S5868" s="4"/>
      <c r="T5868" s="4"/>
      <c r="U5868" s="4"/>
      <c r="V5868" s="4"/>
      <c r="W5868" s="4"/>
      <c r="X5868" s="4"/>
    </row>
    <row r="5869" spans="17:24" x14ac:dyDescent="0.3">
      <c r="Q5869" s="4"/>
      <c r="R5869" s="4"/>
      <c r="S5869" s="4"/>
      <c r="T5869" s="4"/>
      <c r="U5869" s="4"/>
      <c r="V5869" s="4"/>
      <c r="W5869" s="4"/>
      <c r="X5869" s="4"/>
    </row>
    <row r="5870" spans="17:24" x14ac:dyDescent="0.3">
      <c r="Q5870" s="4"/>
      <c r="R5870" s="4"/>
      <c r="S5870" s="4"/>
      <c r="T5870" s="4"/>
      <c r="U5870" s="4"/>
      <c r="V5870" s="4"/>
      <c r="W5870" s="4"/>
      <c r="X5870" s="4"/>
    </row>
    <row r="5871" spans="17:24" x14ac:dyDescent="0.3">
      <c r="Q5871" s="4"/>
      <c r="R5871" s="4"/>
      <c r="S5871" s="4"/>
      <c r="T5871" s="4"/>
      <c r="U5871" s="4"/>
      <c r="V5871" s="4"/>
      <c r="W5871" s="4"/>
      <c r="X5871" s="4"/>
    </row>
    <row r="5872" spans="17:24" x14ac:dyDescent="0.3">
      <c r="Q5872" s="4"/>
      <c r="R5872" s="4"/>
      <c r="S5872" s="4"/>
      <c r="T5872" s="4"/>
      <c r="U5872" s="4"/>
      <c r="V5872" s="4"/>
      <c r="W5872" s="4"/>
      <c r="X5872" s="4"/>
    </row>
    <row r="5873" spans="17:24" x14ac:dyDescent="0.3">
      <c r="Q5873" s="4"/>
      <c r="R5873" s="4"/>
      <c r="S5873" s="4"/>
      <c r="T5873" s="4"/>
      <c r="U5873" s="4"/>
      <c r="V5873" s="4"/>
      <c r="W5873" s="4"/>
      <c r="X5873" s="4"/>
    </row>
    <row r="5874" spans="17:24" x14ac:dyDescent="0.3">
      <c r="Q5874" s="4"/>
      <c r="R5874" s="4"/>
      <c r="S5874" s="4"/>
      <c r="T5874" s="4"/>
      <c r="U5874" s="4"/>
      <c r="V5874" s="4"/>
      <c r="W5874" s="4"/>
      <c r="X5874" s="4"/>
    </row>
    <row r="5875" spans="17:24" x14ac:dyDescent="0.3">
      <c r="Q5875" s="4"/>
      <c r="R5875" s="4"/>
      <c r="S5875" s="4"/>
      <c r="T5875" s="4"/>
      <c r="U5875" s="4"/>
      <c r="V5875" s="4"/>
      <c r="W5875" s="4"/>
      <c r="X5875" s="4"/>
    </row>
    <row r="5876" spans="17:24" x14ac:dyDescent="0.3">
      <c r="Q5876" s="4"/>
      <c r="R5876" s="4"/>
      <c r="S5876" s="4"/>
      <c r="T5876" s="4"/>
      <c r="U5876" s="4"/>
      <c r="V5876" s="4"/>
      <c r="W5876" s="4"/>
      <c r="X5876" s="4"/>
    </row>
    <row r="5877" spans="17:24" x14ac:dyDescent="0.3">
      <c r="Q5877" s="4"/>
      <c r="R5877" s="4"/>
      <c r="S5877" s="4"/>
      <c r="T5877" s="4"/>
      <c r="U5877" s="4"/>
      <c r="V5877" s="4"/>
      <c r="W5877" s="4"/>
      <c r="X5877" s="4"/>
    </row>
    <row r="5878" spans="17:24" x14ac:dyDescent="0.3">
      <c r="Q5878" s="4"/>
      <c r="R5878" s="4"/>
      <c r="S5878" s="4"/>
      <c r="T5878" s="4"/>
      <c r="U5878" s="4"/>
      <c r="V5878" s="4"/>
      <c r="W5878" s="4"/>
      <c r="X5878" s="4"/>
    </row>
    <row r="5879" spans="17:24" x14ac:dyDescent="0.3">
      <c r="Q5879" s="4"/>
      <c r="R5879" s="4"/>
      <c r="S5879" s="4"/>
      <c r="T5879" s="4"/>
      <c r="U5879" s="4"/>
      <c r="V5879" s="4"/>
      <c r="W5879" s="4"/>
      <c r="X5879" s="4"/>
    </row>
    <row r="5880" spans="17:24" x14ac:dyDescent="0.3">
      <c r="Q5880" s="4"/>
      <c r="R5880" s="4"/>
      <c r="S5880" s="4"/>
      <c r="T5880" s="4"/>
      <c r="U5880" s="4"/>
      <c r="V5880" s="4"/>
      <c r="W5880" s="4"/>
      <c r="X5880" s="4"/>
    </row>
    <row r="5881" spans="17:24" x14ac:dyDescent="0.3">
      <c r="Q5881" s="4"/>
      <c r="R5881" s="4"/>
      <c r="S5881" s="4"/>
      <c r="T5881" s="4"/>
      <c r="U5881" s="4"/>
      <c r="V5881" s="4"/>
      <c r="W5881" s="4"/>
      <c r="X5881" s="4"/>
    </row>
    <row r="5882" spans="17:24" x14ac:dyDescent="0.3">
      <c r="Q5882" s="4"/>
      <c r="R5882" s="4"/>
      <c r="S5882" s="4"/>
      <c r="T5882" s="4"/>
      <c r="U5882" s="4"/>
      <c r="V5882" s="4"/>
      <c r="W5882" s="4"/>
      <c r="X5882" s="4"/>
    </row>
    <row r="5883" spans="17:24" x14ac:dyDescent="0.3">
      <c r="Q5883" s="4"/>
      <c r="R5883" s="4"/>
      <c r="S5883" s="4"/>
      <c r="T5883" s="4"/>
      <c r="U5883" s="4"/>
      <c r="V5883" s="4"/>
      <c r="W5883" s="4"/>
      <c r="X5883" s="4"/>
    </row>
    <row r="5884" spans="17:24" x14ac:dyDescent="0.3">
      <c r="Q5884" s="4"/>
      <c r="R5884" s="4"/>
      <c r="S5884" s="4"/>
      <c r="T5884" s="4"/>
      <c r="U5884" s="4"/>
      <c r="V5884" s="4"/>
      <c r="W5884" s="4"/>
      <c r="X5884" s="4"/>
    </row>
    <row r="5885" spans="17:24" x14ac:dyDescent="0.3">
      <c r="Q5885" s="4"/>
      <c r="R5885" s="4"/>
      <c r="S5885" s="4"/>
      <c r="T5885" s="4"/>
      <c r="U5885" s="4"/>
      <c r="V5885" s="4"/>
      <c r="W5885" s="4"/>
      <c r="X5885" s="4"/>
    </row>
    <row r="5886" spans="17:24" x14ac:dyDescent="0.3">
      <c r="Q5886" s="4"/>
      <c r="R5886" s="4"/>
      <c r="S5886" s="4"/>
      <c r="T5886" s="4"/>
      <c r="U5886" s="4"/>
      <c r="V5886" s="4"/>
      <c r="W5886" s="4"/>
      <c r="X5886" s="4"/>
    </row>
    <row r="5887" spans="17:24" x14ac:dyDescent="0.3">
      <c r="Q5887" s="4"/>
      <c r="R5887" s="4"/>
      <c r="S5887" s="4"/>
      <c r="T5887" s="4"/>
      <c r="U5887" s="4"/>
      <c r="V5887" s="4"/>
      <c r="W5887" s="4"/>
      <c r="X5887" s="4"/>
    </row>
    <row r="5888" spans="17:24" x14ac:dyDescent="0.3">
      <c r="Q5888" s="4"/>
      <c r="R5888" s="4"/>
      <c r="S5888" s="4"/>
      <c r="T5888" s="4"/>
      <c r="U5888" s="4"/>
      <c r="V5888" s="4"/>
      <c r="W5888" s="4"/>
      <c r="X5888" s="4"/>
    </row>
    <row r="5889" spans="17:24" x14ac:dyDescent="0.3">
      <c r="Q5889" s="4"/>
      <c r="R5889" s="4"/>
      <c r="S5889" s="4"/>
      <c r="T5889" s="4"/>
      <c r="U5889" s="4"/>
      <c r="V5889" s="4"/>
      <c r="W5889" s="4"/>
      <c r="X5889" s="4"/>
    </row>
    <row r="5890" spans="17:24" x14ac:dyDescent="0.3">
      <c r="Q5890" s="4"/>
      <c r="R5890" s="4"/>
      <c r="S5890" s="4"/>
      <c r="T5890" s="4"/>
      <c r="U5890" s="4"/>
      <c r="V5890" s="4"/>
      <c r="W5890" s="4"/>
      <c r="X5890" s="4"/>
    </row>
    <row r="5891" spans="17:24" x14ac:dyDescent="0.3">
      <c r="Q5891" s="4"/>
      <c r="R5891" s="4"/>
      <c r="S5891" s="4"/>
      <c r="T5891" s="4"/>
      <c r="U5891" s="4"/>
      <c r="V5891" s="4"/>
      <c r="W5891" s="4"/>
      <c r="X5891" s="4"/>
    </row>
    <row r="5892" spans="17:24" x14ac:dyDescent="0.3">
      <c r="Q5892" s="4"/>
      <c r="R5892" s="4"/>
      <c r="S5892" s="4"/>
      <c r="T5892" s="4"/>
      <c r="U5892" s="4"/>
      <c r="V5892" s="4"/>
      <c r="W5892" s="4"/>
      <c r="X5892" s="4"/>
    </row>
    <row r="5893" spans="17:24" x14ac:dyDescent="0.3">
      <c r="Q5893" s="4"/>
      <c r="R5893" s="4"/>
      <c r="S5893" s="4"/>
      <c r="T5893" s="4"/>
      <c r="U5893" s="4"/>
      <c r="V5893" s="4"/>
      <c r="W5893" s="4"/>
      <c r="X5893" s="4"/>
    </row>
    <row r="5894" spans="17:24" x14ac:dyDescent="0.3">
      <c r="Q5894" s="4"/>
      <c r="R5894" s="4"/>
      <c r="S5894" s="4"/>
      <c r="T5894" s="4"/>
      <c r="U5894" s="4"/>
      <c r="V5894" s="4"/>
      <c r="W5894" s="4"/>
      <c r="X5894" s="4"/>
    </row>
    <row r="5895" spans="17:24" x14ac:dyDescent="0.3">
      <c r="Q5895" s="4"/>
      <c r="R5895" s="4"/>
      <c r="S5895" s="4"/>
      <c r="T5895" s="4"/>
      <c r="U5895" s="4"/>
      <c r="V5895" s="4"/>
      <c r="W5895" s="4"/>
      <c r="X5895" s="4"/>
    </row>
    <row r="5896" spans="17:24" x14ac:dyDescent="0.3">
      <c r="Q5896" s="4"/>
      <c r="R5896" s="4"/>
      <c r="S5896" s="4"/>
      <c r="T5896" s="4"/>
      <c r="U5896" s="4"/>
      <c r="V5896" s="4"/>
      <c r="W5896" s="4"/>
      <c r="X5896" s="4"/>
    </row>
    <row r="5897" spans="17:24" x14ac:dyDescent="0.3">
      <c r="Q5897" s="4"/>
      <c r="R5897" s="4"/>
      <c r="S5897" s="4"/>
      <c r="T5897" s="4"/>
      <c r="U5897" s="4"/>
      <c r="V5897" s="4"/>
      <c r="W5897" s="4"/>
      <c r="X5897" s="4"/>
    </row>
    <row r="5898" spans="17:24" x14ac:dyDescent="0.3">
      <c r="Q5898" s="4"/>
      <c r="R5898" s="4"/>
      <c r="S5898" s="4"/>
      <c r="T5898" s="4"/>
      <c r="U5898" s="4"/>
      <c r="V5898" s="4"/>
      <c r="W5898" s="4"/>
      <c r="X5898" s="4"/>
    </row>
    <row r="5899" spans="17:24" x14ac:dyDescent="0.3">
      <c r="Q5899" s="4"/>
      <c r="R5899" s="4"/>
      <c r="S5899" s="4"/>
      <c r="T5899" s="4"/>
      <c r="U5899" s="4"/>
      <c r="V5899" s="4"/>
      <c r="W5899" s="4"/>
      <c r="X5899" s="4"/>
    </row>
    <row r="5900" spans="17:24" x14ac:dyDescent="0.3">
      <c r="Q5900" s="4"/>
      <c r="R5900" s="4"/>
      <c r="S5900" s="4"/>
      <c r="T5900" s="4"/>
      <c r="U5900" s="4"/>
      <c r="V5900" s="4"/>
      <c r="W5900" s="4"/>
      <c r="X5900" s="4"/>
    </row>
    <row r="5901" spans="17:24" x14ac:dyDescent="0.3">
      <c r="Q5901" s="4"/>
      <c r="R5901" s="4"/>
      <c r="S5901" s="4"/>
      <c r="T5901" s="4"/>
      <c r="U5901" s="4"/>
      <c r="V5901" s="4"/>
      <c r="W5901" s="4"/>
      <c r="X5901" s="4"/>
    </row>
    <row r="5902" spans="17:24" x14ac:dyDescent="0.3">
      <c r="Q5902" s="4"/>
      <c r="R5902" s="4"/>
      <c r="S5902" s="4"/>
      <c r="T5902" s="4"/>
      <c r="U5902" s="4"/>
      <c r="V5902" s="4"/>
      <c r="W5902" s="4"/>
      <c r="X5902" s="4"/>
    </row>
    <row r="5903" spans="17:24" x14ac:dyDescent="0.3">
      <c r="Q5903" s="4"/>
      <c r="R5903" s="4"/>
      <c r="S5903" s="4"/>
      <c r="T5903" s="4"/>
      <c r="U5903" s="4"/>
      <c r="V5903" s="4"/>
      <c r="W5903" s="4"/>
      <c r="X5903" s="4"/>
    </row>
    <row r="5904" spans="17:24" x14ac:dyDescent="0.3">
      <c r="Q5904" s="4"/>
      <c r="R5904" s="4"/>
      <c r="S5904" s="4"/>
      <c r="T5904" s="4"/>
      <c r="U5904" s="4"/>
      <c r="V5904" s="4"/>
      <c r="W5904" s="4"/>
      <c r="X5904" s="4"/>
    </row>
    <row r="5905" spans="17:24" x14ac:dyDescent="0.3">
      <c r="Q5905" s="4"/>
      <c r="R5905" s="4"/>
      <c r="S5905" s="4"/>
      <c r="T5905" s="4"/>
      <c r="U5905" s="4"/>
      <c r="V5905" s="4"/>
      <c r="W5905" s="4"/>
      <c r="X5905" s="4"/>
    </row>
    <row r="5906" spans="17:24" x14ac:dyDescent="0.3">
      <c r="Q5906" s="4"/>
      <c r="R5906" s="4"/>
      <c r="S5906" s="4"/>
      <c r="T5906" s="4"/>
      <c r="U5906" s="4"/>
      <c r="V5906" s="4"/>
      <c r="W5906" s="4"/>
      <c r="X5906" s="4"/>
    </row>
    <row r="5907" spans="17:24" x14ac:dyDescent="0.3">
      <c r="Q5907" s="4"/>
      <c r="R5907" s="4"/>
      <c r="S5907" s="4"/>
      <c r="T5907" s="4"/>
      <c r="U5907" s="4"/>
      <c r="V5907" s="4"/>
      <c r="W5907" s="4"/>
      <c r="X5907" s="4"/>
    </row>
    <row r="5908" spans="17:24" x14ac:dyDescent="0.3">
      <c r="Q5908" s="4"/>
      <c r="R5908" s="4"/>
      <c r="S5908" s="4"/>
      <c r="T5908" s="4"/>
      <c r="U5908" s="4"/>
      <c r="V5908" s="4"/>
      <c r="W5908" s="4"/>
      <c r="X5908" s="4"/>
    </row>
    <row r="5909" spans="17:24" x14ac:dyDescent="0.3">
      <c r="Q5909" s="4"/>
      <c r="R5909" s="4"/>
      <c r="S5909" s="4"/>
      <c r="T5909" s="4"/>
      <c r="U5909" s="4"/>
      <c r="V5909" s="4"/>
      <c r="W5909" s="4"/>
      <c r="X5909" s="4"/>
    </row>
    <row r="5910" spans="17:24" x14ac:dyDescent="0.3">
      <c r="Q5910" s="4"/>
      <c r="R5910" s="4"/>
      <c r="S5910" s="4"/>
      <c r="T5910" s="4"/>
      <c r="U5910" s="4"/>
      <c r="V5910" s="4"/>
      <c r="W5910" s="4"/>
      <c r="X5910" s="4"/>
    </row>
    <row r="5911" spans="17:24" x14ac:dyDescent="0.3">
      <c r="Q5911" s="4"/>
      <c r="R5911" s="4"/>
      <c r="S5911" s="4"/>
      <c r="T5911" s="4"/>
      <c r="U5911" s="4"/>
      <c r="V5911" s="4"/>
      <c r="W5911" s="4"/>
      <c r="X5911" s="4"/>
    </row>
    <row r="5912" spans="17:24" x14ac:dyDescent="0.3">
      <c r="Q5912" s="4"/>
      <c r="R5912" s="4"/>
      <c r="S5912" s="4"/>
      <c r="T5912" s="4"/>
      <c r="U5912" s="4"/>
      <c r="V5912" s="4"/>
      <c r="W5912" s="4"/>
      <c r="X5912" s="4"/>
    </row>
    <row r="5913" spans="17:24" x14ac:dyDescent="0.3">
      <c r="Q5913" s="4"/>
      <c r="R5913" s="4"/>
      <c r="S5913" s="4"/>
      <c r="T5913" s="4"/>
      <c r="U5913" s="4"/>
      <c r="V5913" s="4"/>
      <c r="W5913" s="4"/>
      <c r="X5913" s="4"/>
    </row>
    <row r="5914" spans="17:24" x14ac:dyDescent="0.3">
      <c r="Q5914" s="4"/>
      <c r="R5914" s="4"/>
      <c r="S5914" s="4"/>
      <c r="T5914" s="4"/>
      <c r="U5914" s="4"/>
      <c r="V5914" s="4"/>
      <c r="W5914" s="4"/>
      <c r="X5914" s="4"/>
    </row>
    <row r="5915" spans="17:24" x14ac:dyDescent="0.3">
      <c r="Q5915" s="4"/>
      <c r="R5915" s="4"/>
      <c r="S5915" s="4"/>
      <c r="T5915" s="4"/>
      <c r="U5915" s="4"/>
      <c r="V5915" s="4"/>
      <c r="W5915" s="4"/>
      <c r="X5915" s="4"/>
    </row>
    <row r="5916" spans="17:24" x14ac:dyDescent="0.3">
      <c r="Q5916" s="4"/>
      <c r="R5916" s="4"/>
      <c r="S5916" s="4"/>
      <c r="T5916" s="4"/>
      <c r="U5916" s="4"/>
      <c r="V5916" s="4"/>
      <c r="W5916" s="4"/>
      <c r="X5916" s="4"/>
    </row>
    <row r="5917" spans="17:24" x14ac:dyDescent="0.3">
      <c r="Q5917" s="4"/>
      <c r="R5917" s="4"/>
      <c r="S5917" s="4"/>
      <c r="T5917" s="4"/>
      <c r="U5917" s="4"/>
      <c r="V5917" s="4"/>
      <c r="W5917" s="4"/>
      <c r="X5917" s="4"/>
    </row>
    <row r="5918" spans="17:24" x14ac:dyDescent="0.3">
      <c r="Q5918" s="4"/>
      <c r="R5918" s="4"/>
      <c r="S5918" s="4"/>
      <c r="T5918" s="4"/>
      <c r="U5918" s="4"/>
      <c r="V5918" s="4"/>
      <c r="W5918" s="4"/>
      <c r="X5918" s="4"/>
    </row>
    <row r="5919" spans="17:24" x14ac:dyDescent="0.3">
      <c r="Q5919" s="4"/>
      <c r="R5919" s="4"/>
      <c r="S5919" s="4"/>
      <c r="T5919" s="4"/>
      <c r="U5919" s="4"/>
      <c r="V5919" s="4"/>
      <c r="W5919" s="4"/>
      <c r="X5919" s="4"/>
    </row>
    <row r="5920" spans="17:24" x14ac:dyDescent="0.3">
      <c r="Q5920" s="4"/>
      <c r="R5920" s="4"/>
      <c r="S5920" s="4"/>
      <c r="T5920" s="4"/>
      <c r="U5920" s="4"/>
      <c r="V5920" s="4"/>
      <c r="W5920" s="4"/>
      <c r="X5920" s="4"/>
    </row>
    <row r="5921" spans="17:24" x14ac:dyDescent="0.3">
      <c r="Q5921" s="4"/>
      <c r="R5921" s="4"/>
      <c r="S5921" s="4"/>
      <c r="T5921" s="4"/>
      <c r="U5921" s="4"/>
      <c r="V5921" s="4"/>
      <c r="W5921" s="4"/>
      <c r="X5921" s="4"/>
    </row>
    <row r="5922" spans="17:24" x14ac:dyDescent="0.3">
      <c r="Q5922" s="4"/>
      <c r="R5922" s="4"/>
      <c r="S5922" s="4"/>
      <c r="T5922" s="4"/>
      <c r="U5922" s="4"/>
      <c r="V5922" s="4"/>
      <c r="W5922" s="4"/>
      <c r="X5922" s="4"/>
    </row>
    <row r="5923" spans="17:24" x14ac:dyDescent="0.3">
      <c r="Q5923" s="4"/>
      <c r="R5923" s="4"/>
      <c r="S5923" s="4"/>
      <c r="T5923" s="4"/>
      <c r="U5923" s="4"/>
      <c r="V5923" s="4"/>
      <c r="W5923" s="4"/>
      <c r="X5923" s="4"/>
    </row>
    <row r="5924" spans="17:24" x14ac:dyDescent="0.3">
      <c r="Q5924" s="4"/>
      <c r="R5924" s="4"/>
      <c r="S5924" s="4"/>
      <c r="T5924" s="4"/>
      <c r="U5924" s="4"/>
      <c r="V5924" s="4"/>
      <c r="W5924" s="4"/>
      <c r="X5924" s="4"/>
    </row>
    <row r="5925" spans="17:24" x14ac:dyDescent="0.3">
      <c r="Q5925" s="4"/>
      <c r="R5925" s="4"/>
      <c r="S5925" s="4"/>
      <c r="T5925" s="4"/>
      <c r="U5925" s="4"/>
      <c r="V5925" s="4"/>
      <c r="W5925" s="4"/>
      <c r="X5925" s="4"/>
    </row>
    <row r="5926" spans="17:24" x14ac:dyDescent="0.3">
      <c r="Q5926" s="4"/>
      <c r="R5926" s="4"/>
      <c r="S5926" s="4"/>
      <c r="T5926" s="4"/>
      <c r="U5926" s="4"/>
      <c r="V5926" s="4"/>
      <c r="W5926" s="4"/>
      <c r="X5926" s="4"/>
    </row>
    <row r="5927" spans="17:24" x14ac:dyDescent="0.3">
      <c r="Q5927" s="4"/>
      <c r="R5927" s="4"/>
      <c r="S5927" s="4"/>
      <c r="T5927" s="4"/>
      <c r="U5927" s="4"/>
      <c r="V5927" s="4"/>
      <c r="W5927" s="4"/>
      <c r="X5927" s="4"/>
    </row>
    <row r="5928" spans="17:24" x14ac:dyDescent="0.3">
      <c r="Q5928" s="4"/>
      <c r="R5928" s="4"/>
      <c r="S5928" s="4"/>
      <c r="T5928" s="4"/>
      <c r="U5928" s="4"/>
      <c r="V5928" s="4"/>
      <c r="W5928" s="4"/>
      <c r="X5928" s="4"/>
    </row>
    <row r="5929" spans="17:24" x14ac:dyDescent="0.3">
      <c r="Q5929" s="4"/>
      <c r="R5929" s="4"/>
      <c r="S5929" s="4"/>
      <c r="T5929" s="4"/>
      <c r="U5929" s="4"/>
      <c r="V5929" s="4"/>
      <c r="W5929" s="4"/>
      <c r="X5929" s="4"/>
    </row>
    <row r="5930" spans="17:24" x14ac:dyDescent="0.3">
      <c r="Q5930" s="4"/>
      <c r="R5930" s="4"/>
      <c r="S5930" s="4"/>
      <c r="T5930" s="4"/>
      <c r="U5930" s="4"/>
      <c r="V5930" s="4"/>
      <c r="W5930" s="4"/>
      <c r="X5930" s="4"/>
    </row>
    <row r="5931" spans="17:24" x14ac:dyDescent="0.3">
      <c r="Q5931" s="4"/>
      <c r="R5931" s="4"/>
      <c r="S5931" s="4"/>
      <c r="T5931" s="4"/>
      <c r="U5931" s="4"/>
      <c r="V5931" s="4"/>
      <c r="W5931" s="4"/>
      <c r="X5931" s="4"/>
    </row>
    <row r="5932" spans="17:24" x14ac:dyDescent="0.3">
      <c r="Q5932" s="4"/>
      <c r="R5932" s="4"/>
      <c r="S5932" s="4"/>
      <c r="T5932" s="4"/>
      <c r="U5932" s="4"/>
      <c r="V5932" s="4"/>
      <c r="W5932" s="4"/>
      <c r="X5932" s="4"/>
    </row>
    <row r="5933" spans="17:24" x14ac:dyDescent="0.3">
      <c r="Q5933" s="4"/>
      <c r="R5933" s="4"/>
      <c r="S5933" s="4"/>
      <c r="T5933" s="4"/>
      <c r="U5933" s="4"/>
      <c r="V5933" s="4"/>
      <c r="W5933" s="4"/>
      <c r="X5933" s="4"/>
    </row>
    <row r="5934" spans="17:24" x14ac:dyDescent="0.3">
      <c r="Q5934" s="4"/>
      <c r="R5934" s="4"/>
      <c r="S5934" s="4"/>
      <c r="T5934" s="4"/>
      <c r="U5934" s="4"/>
      <c r="V5934" s="4"/>
      <c r="W5934" s="4"/>
      <c r="X5934" s="4"/>
    </row>
    <row r="5935" spans="17:24" x14ac:dyDescent="0.3">
      <c r="Q5935" s="4"/>
      <c r="R5935" s="4"/>
      <c r="S5935" s="4"/>
      <c r="T5935" s="4"/>
      <c r="U5935" s="4"/>
      <c r="V5935" s="4"/>
      <c r="W5935" s="4"/>
      <c r="X5935" s="4"/>
    </row>
    <row r="5936" spans="17:24" x14ac:dyDescent="0.3">
      <c r="Q5936" s="4"/>
      <c r="R5936" s="4"/>
      <c r="S5936" s="4"/>
      <c r="T5936" s="4"/>
      <c r="U5936" s="4"/>
      <c r="V5936" s="4"/>
      <c r="W5936" s="4"/>
      <c r="X5936" s="4"/>
    </row>
    <row r="5937" spans="17:24" x14ac:dyDescent="0.3">
      <c r="Q5937" s="4"/>
      <c r="R5937" s="4"/>
      <c r="S5937" s="4"/>
      <c r="T5937" s="4"/>
      <c r="U5937" s="4"/>
      <c r="V5937" s="4"/>
      <c r="W5937" s="4"/>
      <c r="X5937" s="4"/>
    </row>
    <row r="5938" spans="17:24" x14ac:dyDescent="0.3">
      <c r="Q5938" s="4"/>
      <c r="R5938" s="4"/>
      <c r="S5938" s="4"/>
      <c r="T5938" s="4"/>
      <c r="U5938" s="4"/>
      <c r="V5938" s="4"/>
      <c r="W5938" s="4"/>
      <c r="X5938" s="4"/>
    </row>
    <row r="5939" spans="17:24" x14ac:dyDescent="0.3">
      <c r="Q5939" s="4"/>
      <c r="R5939" s="4"/>
      <c r="S5939" s="4"/>
      <c r="T5939" s="4"/>
      <c r="U5939" s="4"/>
      <c r="V5939" s="4"/>
      <c r="W5939" s="4"/>
      <c r="X5939" s="4"/>
    </row>
    <row r="5940" spans="17:24" x14ac:dyDescent="0.3">
      <c r="Q5940" s="4"/>
      <c r="R5940" s="4"/>
      <c r="S5940" s="4"/>
      <c r="T5940" s="4"/>
      <c r="U5940" s="4"/>
      <c r="V5940" s="4"/>
      <c r="W5940" s="4"/>
      <c r="X5940" s="4"/>
    </row>
    <row r="5941" spans="17:24" x14ac:dyDescent="0.3">
      <c r="Q5941" s="4"/>
      <c r="R5941" s="4"/>
      <c r="S5941" s="4"/>
      <c r="T5941" s="4"/>
      <c r="U5941" s="4"/>
      <c r="V5941" s="4"/>
      <c r="W5941" s="4"/>
      <c r="X5941" s="4"/>
    </row>
    <row r="5942" spans="17:24" x14ac:dyDescent="0.3">
      <c r="Q5942" s="4"/>
      <c r="R5942" s="4"/>
      <c r="S5942" s="4"/>
      <c r="T5942" s="4"/>
      <c r="U5942" s="4"/>
      <c r="V5942" s="4"/>
      <c r="W5942" s="4"/>
      <c r="X5942" s="4"/>
    </row>
    <row r="5943" spans="17:24" x14ac:dyDescent="0.3">
      <c r="Q5943" s="4"/>
      <c r="R5943" s="4"/>
      <c r="S5943" s="4"/>
      <c r="T5943" s="4"/>
      <c r="U5943" s="4"/>
      <c r="V5943" s="4"/>
      <c r="W5943" s="4"/>
      <c r="X5943" s="4"/>
    </row>
    <row r="5944" spans="17:24" x14ac:dyDescent="0.3">
      <c r="Q5944" s="4"/>
      <c r="R5944" s="4"/>
      <c r="S5944" s="4"/>
      <c r="T5944" s="4"/>
      <c r="U5944" s="4"/>
      <c r="V5944" s="4"/>
      <c r="W5944" s="4"/>
      <c r="X5944" s="4"/>
    </row>
    <row r="5945" spans="17:24" x14ac:dyDescent="0.3">
      <c r="Q5945" s="4"/>
      <c r="R5945" s="4"/>
      <c r="S5945" s="4"/>
      <c r="T5945" s="4"/>
      <c r="U5945" s="4"/>
      <c r="V5945" s="4"/>
      <c r="W5945" s="4"/>
      <c r="X5945" s="4"/>
    </row>
    <row r="5946" spans="17:24" x14ac:dyDescent="0.3">
      <c r="Q5946" s="4"/>
      <c r="R5946" s="4"/>
      <c r="S5946" s="4"/>
      <c r="T5946" s="4"/>
      <c r="U5946" s="4"/>
      <c r="V5946" s="4"/>
      <c r="W5946" s="4"/>
      <c r="X5946" s="4"/>
    </row>
    <row r="5947" spans="17:24" x14ac:dyDescent="0.3">
      <c r="Q5947" s="4"/>
      <c r="R5947" s="4"/>
      <c r="S5947" s="4"/>
      <c r="T5947" s="4"/>
      <c r="U5947" s="4"/>
      <c r="V5947" s="4"/>
      <c r="W5947" s="4"/>
      <c r="X5947" s="4"/>
    </row>
    <row r="5948" spans="17:24" x14ac:dyDescent="0.3">
      <c r="Q5948" s="4"/>
      <c r="R5948" s="4"/>
      <c r="S5948" s="4"/>
      <c r="T5948" s="4"/>
      <c r="U5948" s="4"/>
      <c r="V5948" s="4"/>
      <c r="W5948" s="4"/>
      <c r="X5948" s="4"/>
    </row>
    <row r="5949" spans="17:24" x14ac:dyDescent="0.3">
      <c r="Q5949" s="4"/>
      <c r="R5949" s="4"/>
      <c r="S5949" s="4"/>
      <c r="T5949" s="4"/>
      <c r="U5949" s="4"/>
      <c r="V5949" s="4"/>
      <c r="W5949" s="4"/>
      <c r="X5949" s="4"/>
    </row>
    <row r="5950" spans="17:24" x14ac:dyDescent="0.3">
      <c r="Q5950" s="4"/>
      <c r="R5950" s="4"/>
      <c r="S5950" s="4"/>
      <c r="T5950" s="4"/>
      <c r="U5950" s="4"/>
      <c r="V5950" s="4"/>
      <c r="W5950" s="4"/>
      <c r="X5950" s="4"/>
    </row>
    <row r="5951" spans="17:24" x14ac:dyDescent="0.3">
      <c r="Q5951" s="4"/>
      <c r="R5951" s="4"/>
      <c r="S5951" s="4"/>
      <c r="T5951" s="4"/>
      <c r="U5951" s="4"/>
      <c r="V5951" s="4"/>
      <c r="W5951" s="4"/>
      <c r="X5951" s="4"/>
    </row>
    <row r="5952" spans="17:24" x14ac:dyDescent="0.3">
      <c r="Q5952" s="4"/>
      <c r="R5952" s="4"/>
      <c r="S5952" s="4"/>
      <c r="T5952" s="4"/>
      <c r="U5952" s="4"/>
      <c r="V5952" s="4"/>
      <c r="W5952" s="4"/>
      <c r="X5952" s="4"/>
    </row>
    <row r="5953" spans="17:24" x14ac:dyDescent="0.3">
      <c r="Q5953" s="4"/>
      <c r="R5953" s="4"/>
      <c r="S5953" s="4"/>
      <c r="T5953" s="4"/>
      <c r="U5953" s="4"/>
      <c r="V5953" s="4"/>
      <c r="W5953" s="4"/>
      <c r="X5953" s="4"/>
    </row>
    <row r="5954" spans="17:24" x14ac:dyDescent="0.3">
      <c r="Q5954" s="4"/>
      <c r="R5954" s="4"/>
      <c r="S5954" s="4"/>
      <c r="T5954" s="4"/>
      <c r="U5954" s="4"/>
      <c r="V5954" s="4"/>
      <c r="W5954" s="4"/>
      <c r="X5954" s="4"/>
    </row>
    <row r="5955" spans="17:24" x14ac:dyDescent="0.3">
      <c r="Q5955" s="4"/>
      <c r="R5955" s="4"/>
      <c r="S5955" s="4"/>
      <c r="T5955" s="4"/>
      <c r="U5955" s="4"/>
      <c r="V5955" s="4"/>
      <c r="W5955" s="4"/>
      <c r="X5955" s="4"/>
    </row>
    <row r="5956" spans="17:24" x14ac:dyDescent="0.3">
      <c r="Q5956" s="4"/>
      <c r="R5956" s="4"/>
      <c r="S5956" s="4"/>
      <c r="T5956" s="4"/>
      <c r="U5956" s="4"/>
      <c r="V5956" s="4"/>
      <c r="W5956" s="4"/>
      <c r="X5956" s="4"/>
    </row>
    <row r="5957" spans="17:24" x14ac:dyDescent="0.3">
      <c r="Q5957" s="4"/>
      <c r="R5957" s="4"/>
      <c r="S5957" s="4"/>
      <c r="T5957" s="4"/>
      <c r="U5957" s="4"/>
      <c r="V5957" s="4"/>
      <c r="W5957" s="4"/>
      <c r="X5957" s="4"/>
    </row>
    <row r="5958" spans="17:24" x14ac:dyDescent="0.3">
      <c r="Q5958" s="4"/>
      <c r="R5958" s="4"/>
      <c r="S5958" s="4"/>
      <c r="T5958" s="4"/>
      <c r="U5958" s="4"/>
      <c r="V5958" s="4"/>
      <c r="W5958" s="4"/>
      <c r="X5958" s="4"/>
    </row>
    <row r="5959" spans="17:24" x14ac:dyDescent="0.3">
      <c r="Q5959" s="4"/>
      <c r="R5959" s="4"/>
      <c r="S5959" s="4"/>
      <c r="T5959" s="4"/>
      <c r="U5959" s="4"/>
      <c r="V5959" s="4"/>
      <c r="W5959" s="4"/>
      <c r="X5959" s="4"/>
    </row>
    <row r="5960" spans="17:24" x14ac:dyDescent="0.3">
      <c r="Q5960" s="4"/>
      <c r="R5960" s="4"/>
      <c r="S5960" s="4"/>
      <c r="T5960" s="4"/>
      <c r="U5960" s="4"/>
      <c r="V5960" s="4"/>
      <c r="W5960" s="4"/>
      <c r="X5960" s="4"/>
    </row>
    <row r="5961" spans="17:24" x14ac:dyDescent="0.3">
      <c r="Q5961" s="4"/>
      <c r="R5961" s="4"/>
      <c r="S5961" s="4"/>
      <c r="T5961" s="4"/>
      <c r="U5961" s="4"/>
      <c r="V5961" s="4"/>
      <c r="W5961" s="4"/>
      <c r="X5961" s="4"/>
    </row>
    <row r="5962" spans="17:24" x14ac:dyDescent="0.3">
      <c r="Q5962" s="4"/>
      <c r="R5962" s="4"/>
      <c r="S5962" s="4"/>
      <c r="T5962" s="4"/>
      <c r="U5962" s="4"/>
      <c r="V5962" s="4"/>
      <c r="W5962" s="4"/>
      <c r="X5962" s="4"/>
    </row>
    <row r="5963" spans="17:24" x14ac:dyDescent="0.3">
      <c r="Q5963" s="4"/>
      <c r="R5963" s="4"/>
      <c r="S5963" s="4"/>
      <c r="T5963" s="4"/>
      <c r="U5963" s="4"/>
      <c r="V5963" s="4"/>
      <c r="W5963" s="4"/>
      <c r="X5963" s="4"/>
    </row>
    <row r="5964" spans="17:24" x14ac:dyDescent="0.3">
      <c r="Q5964" s="4"/>
      <c r="R5964" s="4"/>
      <c r="S5964" s="4"/>
      <c r="T5964" s="4"/>
      <c r="U5964" s="4"/>
      <c r="V5964" s="4"/>
      <c r="W5964" s="4"/>
      <c r="X5964" s="4"/>
    </row>
    <row r="5965" spans="17:24" x14ac:dyDescent="0.3">
      <c r="Q5965" s="4"/>
      <c r="R5965" s="4"/>
      <c r="S5965" s="4"/>
      <c r="T5965" s="4"/>
      <c r="U5965" s="4"/>
      <c r="V5965" s="4"/>
      <c r="W5965" s="4"/>
      <c r="X5965" s="4"/>
    </row>
    <row r="5966" spans="17:24" x14ac:dyDescent="0.3">
      <c r="Q5966" s="4"/>
      <c r="R5966" s="4"/>
      <c r="S5966" s="4"/>
      <c r="T5966" s="4"/>
      <c r="U5966" s="4"/>
      <c r="V5966" s="4"/>
      <c r="W5966" s="4"/>
      <c r="X5966" s="4"/>
    </row>
    <row r="5967" spans="17:24" x14ac:dyDescent="0.3">
      <c r="Q5967" s="4"/>
      <c r="R5967" s="4"/>
      <c r="S5967" s="4"/>
      <c r="T5967" s="4"/>
      <c r="U5967" s="4"/>
      <c r="V5967" s="4"/>
      <c r="W5967" s="4"/>
      <c r="X5967" s="4"/>
    </row>
    <row r="5968" spans="17:24" x14ac:dyDescent="0.3">
      <c r="Q5968" s="4"/>
      <c r="R5968" s="4"/>
      <c r="S5968" s="4"/>
      <c r="T5968" s="4"/>
      <c r="U5968" s="4"/>
      <c r="V5968" s="4"/>
      <c r="W5968" s="4"/>
      <c r="X5968" s="4"/>
    </row>
    <row r="5969" spans="17:24" x14ac:dyDescent="0.3">
      <c r="Q5969" s="4"/>
      <c r="R5969" s="4"/>
      <c r="S5969" s="4"/>
      <c r="T5969" s="4"/>
      <c r="U5969" s="4"/>
      <c r="V5969" s="4"/>
      <c r="W5969" s="4"/>
      <c r="X5969" s="4"/>
    </row>
    <row r="5970" spans="17:24" x14ac:dyDescent="0.3">
      <c r="Q5970" s="4"/>
      <c r="R5970" s="4"/>
      <c r="S5970" s="4"/>
      <c r="T5970" s="4"/>
      <c r="U5970" s="4"/>
      <c r="V5970" s="4"/>
      <c r="W5970" s="4"/>
      <c r="X5970" s="4"/>
    </row>
    <row r="5971" spans="17:24" x14ac:dyDescent="0.3">
      <c r="Q5971" s="4"/>
      <c r="R5971" s="4"/>
      <c r="S5971" s="4"/>
      <c r="T5971" s="4"/>
      <c r="U5971" s="4"/>
      <c r="V5971" s="4"/>
      <c r="W5971" s="4"/>
      <c r="X5971" s="4"/>
    </row>
    <row r="5972" spans="17:24" x14ac:dyDescent="0.3">
      <c r="Q5972" s="4"/>
      <c r="R5972" s="4"/>
      <c r="S5972" s="4"/>
      <c r="T5972" s="4"/>
      <c r="U5972" s="4"/>
      <c r="V5972" s="4"/>
      <c r="W5972" s="4"/>
      <c r="X5972" s="4"/>
    </row>
    <row r="5973" spans="17:24" x14ac:dyDescent="0.3">
      <c r="Q5973" s="4"/>
      <c r="R5973" s="4"/>
      <c r="S5973" s="4"/>
      <c r="T5973" s="4"/>
      <c r="U5973" s="4"/>
      <c r="V5973" s="4"/>
      <c r="W5973" s="4"/>
      <c r="X5973" s="4"/>
    </row>
    <row r="5974" spans="17:24" x14ac:dyDescent="0.3">
      <c r="Q5974" s="4"/>
      <c r="R5974" s="4"/>
      <c r="S5974" s="4"/>
      <c r="T5974" s="4"/>
      <c r="U5974" s="4"/>
      <c r="V5974" s="4"/>
      <c r="W5974" s="4"/>
      <c r="X5974" s="4"/>
    </row>
    <row r="5975" spans="17:24" x14ac:dyDescent="0.3">
      <c r="Q5975" s="4"/>
      <c r="R5975" s="4"/>
      <c r="S5975" s="4"/>
      <c r="T5975" s="4"/>
      <c r="U5975" s="4"/>
      <c r="V5975" s="4"/>
      <c r="W5975" s="4"/>
      <c r="X5975" s="4"/>
    </row>
    <row r="5976" spans="17:24" x14ac:dyDescent="0.3">
      <c r="Q5976" s="4"/>
      <c r="R5976" s="4"/>
      <c r="S5976" s="4"/>
      <c r="T5976" s="4"/>
      <c r="U5976" s="4"/>
      <c r="V5976" s="4"/>
      <c r="W5976" s="4"/>
      <c r="X5976" s="4"/>
    </row>
    <row r="5977" spans="17:24" x14ac:dyDescent="0.3">
      <c r="Q5977" s="4"/>
      <c r="R5977" s="4"/>
      <c r="S5977" s="4"/>
      <c r="T5977" s="4"/>
      <c r="U5977" s="4"/>
      <c r="V5977" s="4"/>
      <c r="W5977" s="4"/>
      <c r="X5977" s="4"/>
    </row>
    <row r="5978" spans="17:24" x14ac:dyDescent="0.3">
      <c r="Q5978" s="4"/>
      <c r="R5978" s="4"/>
      <c r="S5978" s="4"/>
      <c r="T5978" s="4"/>
      <c r="U5978" s="4"/>
      <c r="V5978" s="4"/>
      <c r="W5978" s="4"/>
      <c r="X5978" s="4"/>
    </row>
    <row r="5979" spans="17:24" x14ac:dyDescent="0.3">
      <c r="Q5979" s="4"/>
      <c r="R5979" s="4"/>
      <c r="S5979" s="4"/>
      <c r="T5979" s="4"/>
      <c r="U5979" s="4"/>
      <c r="V5979" s="4"/>
      <c r="W5979" s="4"/>
      <c r="X5979" s="4"/>
    </row>
    <row r="5980" spans="17:24" x14ac:dyDescent="0.3">
      <c r="Q5980" s="4"/>
      <c r="R5980" s="4"/>
      <c r="S5980" s="4"/>
      <c r="T5980" s="4"/>
      <c r="U5980" s="4"/>
      <c r="V5980" s="4"/>
      <c r="W5980" s="4"/>
      <c r="X5980" s="4"/>
    </row>
    <row r="5981" spans="17:24" x14ac:dyDescent="0.3">
      <c r="Q5981" s="4"/>
      <c r="R5981" s="4"/>
      <c r="S5981" s="4"/>
      <c r="T5981" s="4"/>
      <c r="U5981" s="4"/>
      <c r="V5981" s="4"/>
      <c r="W5981" s="4"/>
      <c r="X5981" s="4"/>
    </row>
    <row r="5982" spans="17:24" x14ac:dyDescent="0.3">
      <c r="Q5982" s="4"/>
      <c r="R5982" s="4"/>
      <c r="S5982" s="4"/>
      <c r="T5982" s="4"/>
      <c r="U5982" s="4"/>
      <c r="V5982" s="4"/>
      <c r="W5982" s="4"/>
      <c r="X5982" s="4"/>
    </row>
    <row r="5983" spans="17:24" x14ac:dyDescent="0.3">
      <c r="Q5983" s="4"/>
      <c r="R5983" s="4"/>
      <c r="S5983" s="4"/>
      <c r="T5983" s="4"/>
      <c r="U5983" s="4"/>
      <c r="V5983" s="4"/>
      <c r="W5983" s="4"/>
      <c r="X5983" s="4"/>
    </row>
    <row r="5984" spans="17:24" x14ac:dyDescent="0.3">
      <c r="Q5984" s="4"/>
      <c r="R5984" s="4"/>
      <c r="S5984" s="4"/>
      <c r="T5984" s="4"/>
      <c r="U5984" s="4"/>
      <c r="V5984" s="4"/>
      <c r="W5984" s="4"/>
      <c r="X5984" s="4"/>
    </row>
    <row r="5985" spans="17:24" x14ac:dyDescent="0.3">
      <c r="Q5985" s="4"/>
      <c r="R5985" s="4"/>
      <c r="S5985" s="4"/>
      <c r="T5985" s="4"/>
      <c r="U5985" s="4"/>
      <c r="V5985" s="4"/>
      <c r="W5985" s="4"/>
      <c r="X5985" s="4"/>
    </row>
    <row r="5986" spans="17:24" x14ac:dyDescent="0.3">
      <c r="Q5986" s="4"/>
      <c r="R5986" s="4"/>
      <c r="S5986" s="4"/>
      <c r="T5986" s="4"/>
      <c r="U5986" s="4"/>
      <c r="V5986" s="4"/>
      <c r="W5986" s="4"/>
      <c r="X5986" s="4"/>
    </row>
    <row r="5987" spans="17:24" x14ac:dyDescent="0.3">
      <c r="Q5987" s="4"/>
      <c r="R5987" s="4"/>
      <c r="S5987" s="4"/>
      <c r="T5987" s="4"/>
      <c r="U5987" s="4"/>
      <c r="V5987" s="4"/>
      <c r="W5987" s="4"/>
      <c r="X5987" s="4"/>
    </row>
    <row r="5988" spans="17:24" x14ac:dyDescent="0.3">
      <c r="Q5988" s="4"/>
      <c r="R5988" s="4"/>
      <c r="S5988" s="4"/>
      <c r="T5988" s="4"/>
      <c r="U5988" s="4"/>
      <c r="V5988" s="4"/>
      <c r="W5988" s="4"/>
      <c r="X5988" s="4"/>
    </row>
    <row r="5989" spans="17:24" x14ac:dyDescent="0.3">
      <c r="Q5989" s="4"/>
      <c r="R5989" s="4"/>
      <c r="S5989" s="4"/>
      <c r="T5989" s="4"/>
      <c r="U5989" s="4"/>
      <c r="V5989" s="4"/>
      <c r="W5989" s="4"/>
      <c r="X5989" s="4"/>
    </row>
    <row r="5990" spans="17:24" x14ac:dyDescent="0.3">
      <c r="Q5990" s="4"/>
      <c r="R5990" s="4"/>
      <c r="S5990" s="4"/>
      <c r="T5990" s="4"/>
      <c r="U5990" s="4"/>
      <c r="V5990" s="4"/>
      <c r="W5990" s="4"/>
      <c r="X5990" s="4"/>
    </row>
    <row r="5991" spans="17:24" x14ac:dyDescent="0.3">
      <c r="Q5991" s="4"/>
      <c r="R5991" s="4"/>
      <c r="S5991" s="4"/>
      <c r="T5991" s="4"/>
      <c r="U5991" s="4"/>
      <c r="V5991" s="4"/>
      <c r="W5991" s="4"/>
      <c r="X5991" s="4"/>
    </row>
    <row r="5992" spans="17:24" x14ac:dyDescent="0.3">
      <c r="Q5992" s="4"/>
      <c r="R5992" s="4"/>
      <c r="S5992" s="4"/>
      <c r="T5992" s="4"/>
      <c r="U5992" s="4"/>
      <c r="V5992" s="4"/>
      <c r="W5992" s="4"/>
      <c r="X5992" s="4"/>
    </row>
    <row r="5993" spans="17:24" x14ac:dyDescent="0.3">
      <c r="Q5993" s="4"/>
      <c r="R5993" s="4"/>
      <c r="S5993" s="4"/>
      <c r="T5993" s="4"/>
      <c r="U5993" s="4"/>
      <c r="V5993" s="4"/>
      <c r="W5993" s="4"/>
      <c r="X5993" s="4"/>
    </row>
    <row r="5994" spans="17:24" x14ac:dyDescent="0.3">
      <c r="Q5994" s="4"/>
      <c r="R5994" s="4"/>
      <c r="S5994" s="4"/>
      <c r="T5994" s="4"/>
      <c r="U5994" s="4"/>
      <c r="V5994" s="4"/>
      <c r="W5994" s="4"/>
      <c r="X5994" s="4"/>
    </row>
    <row r="5995" spans="17:24" x14ac:dyDescent="0.3">
      <c r="Q5995" s="4"/>
      <c r="R5995" s="4"/>
      <c r="S5995" s="4"/>
      <c r="T5995" s="4"/>
      <c r="U5995" s="4"/>
      <c r="V5995" s="4"/>
      <c r="W5995" s="4"/>
      <c r="X5995" s="4"/>
    </row>
    <row r="5996" spans="17:24" x14ac:dyDescent="0.3">
      <c r="Q5996" s="4"/>
      <c r="R5996" s="4"/>
      <c r="S5996" s="4"/>
      <c r="T5996" s="4"/>
      <c r="U5996" s="4"/>
      <c r="V5996" s="4"/>
      <c r="W5996" s="4"/>
      <c r="X5996" s="4"/>
    </row>
    <row r="5997" spans="17:24" x14ac:dyDescent="0.3">
      <c r="Q5997" s="4"/>
      <c r="R5997" s="4"/>
      <c r="S5997" s="4"/>
      <c r="T5997" s="4"/>
      <c r="U5997" s="4"/>
      <c r="V5997" s="4"/>
      <c r="W5997" s="4"/>
      <c r="X5997" s="4"/>
    </row>
    <row r="5998" spans="17:24" x14ac:dyDescent="0.3">
      <c r="Q5998" s="4"/>
      <c r="R5998" s="4"/>
      <c r="S5998" s="4"/>
      <c r="T5998" s="4"/>
      <c r="U5998" s="4"/>
      <c r="V5998" s="4"/>
      <c r="W5998" s="4"/>
      <c r="X5998" s="4"/>
    </row>
    <row r="5999" spans="17:24" x14ac:dyDescent="0.3">
      <c r="Q5999" s="4"/>
      <c r="R5999" s="4"/>
      <c r="S5999" s="4"/>
      <c r="T5999" s="4"/>
      <c r="U5999" s="4"/>
      <c r="V5999" s="4"/>
      <c r="W5999" s="4"/>
      <c r="X5999" s="4"/>
    </row>
    <row r="6000" spans="17:24" x14ac:dyDescent="0.3">
      <c r="Q6000" s="4"/>
      <c r="R6000" s="4"/>
      <c r="S6000" s="4"/>
      <c r="T6000" s="4"/>
      <c r="U6000" s="4"/>
      <c r="V6000" s="4"/>
      <c r="W6000" s="4"/>
      <c r="X6000" s="4"/>
    </row>
    <row r="6001" spans="17:24" x14ac:dyDescent="0.3">
      <c r="Q6001" s="4"/>
      <c r="R6001" s="4"/>
      <c r="S6001" s="4"/>
      <c r="T6001" s="4"/>
      <c r="U6001" s="4"/>
      <c r="V6001" s="4"/>
      <c r="W6001" s="4"/>
      <c r="X6001" s="4"/>
    </row>
    <row r="6002" spans="17:24" x14ac:dyDescent="0.3">
      <c r="Q6002" s="4"/>
      <c r="R6002" s="4"/>
      <c r="S6002" s="4"/>
      <c r="T6002" s="4"/>
      <c r="U6002" s="4"/>
      <c r="V6002" s="4"/>
      <c r="W6002" s="4"/>
      <c r="X6002" s="4"/>
    </row>
    <row r="6003" spans="17:24" x14ac:dyDescent="0.3">
      <c r="Q6003" s="4"/>
      <c r="R6003" s="4"/>
      <c r="S6003" s="4"/>
      <c r="T6003" s="4"/>
      <c r="U6003" s="4"/>
      <c r="V6003" s="4"/>
      <c r="W6003" s="4"/>
      <c r="X6003" s="4"/>
    </row>
    <row r="6004" spans="17:24" x14ac:dyDescent="0.3">
      <c r="Q6004" s="4"/>
      <c r="R6004" s="4"/>
      <c r="S6004" s="4"/>
      <c r="T6004" s="4"/>
      <c r="U6004" s="4"/>
      <c r="V6004" s="4"/>
      <c r="W6004" s="4"/>
      <c r="X6004" s="4"/>
    </row>
    <row r="6005" spans="17:24" x14ac:dyDescent="0.3">
      <c r="Q6005" s="4"/>
      <c r="R6005" s="4"/>
      <c r="S6005" s="4"/>
      <c r="T6005" s="4"/>
      <c r="U6005" s="4"/>
      <c r="V6005" s="4"/>
      <c r="W6005" s="4"/>
      <c r="X6005" s="4"/>
    </row>
    <row r="6006" spans="17:24" x14ac:dyDescent="0.3">
      <c r="Q6006" s="4"/>
      <c r="R6006" s="4"/>
      <c r="S6006" s="4"/>
      <c r="T6006" s="4"/>
      <c r="U6006" s="4"/>
      <c r="V6006" s="4"/>
      <c r="W6006" s="4"/>
      <c r="X6006" s="4"/>
    </row>
    <row r="6007" spans="17:24" x14ac:dyDescent="0.3">
      <c r="Q6007" s="4"/>
      <c r="R6007" s="4"/>
      <c r="S6007" s="4"/>
      <c r="T6007" s="4"/>
      <c r="U6007" s="4"/>
      <c r="V6007" s="4"/>
      <c r="W6007" s="4"/>
      <c r="X6007" s="4"/>
    </row>
    <row r="6008" spans="17:24" x14ac:dyDescent="0.3">
      <c r="Q6008" s="4"/>
      <c r="R6008" s="4"/>
      <c r="S6008" s="4"/>
      <c r="T6008" s="4"/>
      <c r="U6008" s="4"/>
      <c r="V6008" s="4"/>
      <c r="W6008" s="4"/>
      <c r="X6008" s="4"/>
    </row>
    <row r="6009" spans="17:24" x14ac:dyDescent="0.3">
      <c r="Q6009" s="4"/>
      <c r="R6009" s="4"/>
      <c r="S6009" s="4"/>
      <c r="T6009" s="4"/>
      <c r="U6009" s="4"/>
      <c r="V6009" s="4"/>
      <c r="W6009" s="4"/>
      <c r="X6009" s="4"/>
    </row>
    <row r="6010" spans="17:24" x14ac:dyDescent="0.3">
      <c r="Q6010" s="4"/>
      <c r="R6010" s="4"/>
      <c r="S6010" s="4"/>
      <c r="T6010" s="4"/>
      <c r="U6010" s="4"/>
      <c r="V6010" s="4"/>
      <c r="W6010" s="4"/>
      <c r="X6010" s="4"/>
    </row>
    <row r="6011" spans="17:24" x14ac:dyDescent="0.3">
      <c r="Q6011" s="4"/>
      <c r="R6011" s="4"/>
      <c r="S6011" s="4"/>
      <c r="T6011" s="4"/>
      <c r="U6011" s="4"/>
      <c r="V6011" s="4"/>
      <c r="W6011" s="4"/>
      <c r="X6011" s="4"/>
    </row>
    <row r="6012" spans="17:24" x14ac:dyDescent="0.3">
      <c r="Q6012" s="4"/>
      <c r="R6012" s="4"/>
      <c r="S6012" s="4"/>
      <c r="T6012" s="4"/>
      <c r="U6012" s="4"/>
      <c r="V6012" s="4"/>
      <c r="W6012" s="4"/>
      <c r="X6012" s="4"/>
    </row>
    <row r="6013" spans="17:24" x14ac:dyDescent="0.3">
      <c r="Q6013" s="4"/>
      <c r="R6013" s="4"/>
      <c r="S6013" s="4"/>
      <c r="T6013" s="4"/>
      <c r="U6013" s="4"/>
      <c r="V6013" s="4"/>
      <c r="W6013" s="4"/>
      <c r="X6013" s="4"/>
    </row>
    <row r="6014" spans="17:24" x14ac:dyDescent="0.3">
      <c r="Q6014" s="4"/>
      <c r="R6014" s="4"/>
      <c r="S6014" s="4"/>
      <c r="T6014" s="4"/>
      <c r="U6014" s="4"/>
      <c r="V6014" s="4"/>
      <c r="W6014" s="4"/>
      <c r="X6014" s="4"/>
    </row>
    <row r="6015" spans="17:24" x14ac:dyDescent="0.3">
      <c r="Q6015" s="4"/>
      <c r="R6015" s="4"/>
      <c r="S6015" s="4"/>
      <c r="T6015" s="4"/>
      <c r="U6015" s="4"/>
      <c r="V6015" s="4"/>
      <c r="W6015" s="4"/>
      <c r="X6015" s="4"/>
    </row>
    <row r="6016" spans="17:24" x14ac:dyDescent="0.3">
      <c r="Q6016" s="4"/>
      <c r="R6016" s="4"/>
      <c r="S6016" s="4"/>
      <c r="T6016" s="4"/>
      <c r="U6016" s="4"/>
      <c r="V6016" s="4"/>
      <c r="W6016" s="4"/>
      <c r="X6016" s="4"/>
    </row>
    <row r="6017" spans="17:24" x14ac:dyDescent="0.3">
      <c r="Q6017" s="4"/>
      <c r="R6017" s="4"/>
      <c r="S6017" s="4"/>
      <c r="T6017" s="4"/>
      <c r="U6017" s="4"/>
      <c r="V6017" s="4"/>
      <c r="W6017" s="4"/>
      <c r="X6017" s="4"/>
    </row>
    <row r="6018" spans="17:24" x14ac:dyDescent="0.3">
      <c r="Q6018" s="4"/>
      <c r="R6018" s="4"/>
      <c r="S6018" s="4"/>
      <c r="T6018" s="4"/>
      <c r="U6018" s="4"/>
      <c r="V6018" s="4"/>
      <c r="W6018" s="4"/>
      <c r="X6018" s="4"/>
    </row>
    <row r="6019" spans="17:24" x14ac:dyDescent="0.3">
      <c r="Q6019" s="4"/>
      <c r="R6019" s="4"/>
      <c r="S6019" s="4"/>
      <c r="T6019" s="4"/>
      <c r="U6019" s="4"/>
      <c r="V6019" s="4"/>
      <c r="W6019" s="4"/>
      <c r="X6019" s="4"/>
    </row>
    <row r="6020" spans="17:24" x14ac:dyDescent="0.3">
      <c r="Q6020" s="4"/>
      <c r="R6020" s="4"/>
      <c r="S6020" s="4"/>
      <c r="T6020" s="4"/>
      <c r="U6020" s="4"/>
      <c r="V6020" s="4"/>
      <c r="W6020" s="4"/>
      <c r="X6020" s="4"/>
    </row>
    <row r="6021" spans="17:24" x14ac:dyDescent="0.3">
      <c r="Q6021" s="4"/>
      <c r="R6021" s="4"/>
      <c r="S6021" s="4"/>
      <c r="T6021" s="4"/>
      <c r="U6021" s="4"/>
      <c r="V6021" s="4"/>
      <c r="W6021" s="4"/>
      <c r="X6021" s="4"/>
    </row>
    <row r="6022" spans="17:24" x14ac:dyDescent="0.3">
      <c r="Q6022" s="4"/>
      <c r="R6022" s="4"/>
      <c r="S6022" s="4"/>
      <c r="T6022" s="4"/>
      <c r="U6022" s="4"/>
      <c r="V6022" s="4"/>
      <c r="W6022" s="4"/>
      <c r="X6022" s="4"/>
    </row>
    <row r="6023" spans="17:24" x14ac:dyDescent="0.3">
      <c r="Q6023" s="4"/>
      <c r="R6023" s="4"/>
      <c r="S6023" s="4"/>
      <c r="T6023" s="4"/>
      <c r="U6023" s="4"/>
      <c r="V6023" s="4"/>
      <c r="W6023" s="4"/>
      <c r="X6023" s="4"/>
    </row>
    <row r="6024" spans="17:24" x14ac:dyDescent="0.3">
      <c r="Q6024" s="4"/>
      <c r="R6024" s="4"/>
      <c r="S6024" s="4"/>
      <c r="T6024" s="4"/>
      <c r="U6024" s="4"/>
      <c r="V6024" s="4"/>
      <c r="W6024" s="4"/>
      <c r="X6024" s="4"/>
    </row>
    <row r="6025" spans="17:24" x14ac:dyDescent="0.3">
      <c r="Q6025" s="4"/>
      <c r="R6025" s="4"/>
      <c r="S6025" s="4"/>
      <c r="T6025" s="4"/>
      <c r="U6025" s="4"/>
      <c r="V6025" s="4"/>
      <c r="W6025" s="4"/>
      <c r="X6025" s="4"/>
    </row>
    <row r="6026" spans="17:24" x14ac:dyDescent="0.3">
      <c r="Q6026" s="4"/>
      <c r="R6026" s="4"/>
      <c r="S6026" s="4"/>
      <c r="T6026" s="4"/>
      <c r="U6026" s="4"/>
      <c r="V6026" s="4"/>
      <c r="W6026" s="4"/>
      <c r="X6026" s="4"/>
    </row>
    <row r="6027" spans="17:24" x14ac:dyDescent="0.3">
      <c r="Q6027" s="4"/>
      <c r="R6027" s="4"/>
      <c r="S6027" s="4"/>
      <c r="T6027" s="4"/>
      <c r="U6027" s="4"/>
      <c r="V6027" s="4"/>
      <c r="W6027" s="4"/>
      <c r="X6027" s="4"/>
    </row>
    <row r="6028" spans="17:24" x14ac:dyDescent="0.3">
      <c r="Q6028" s="4"/>
      <c r="R6028" s="4"/>
      <c r="S6028" s="4"/>
      <c r="T6028" s="4"/>
      <c r="U6028" s="4"/>
      <c r="V6028" s="4"/>
      <c r="W6028" s="4"/>
      <c r="X6028" s="4"/>
    </row>
    <row r="6029" spans="17:24" x14ac:dyDescent="0.3">
      <c r="Q6029" s="4"/>
      <c r="R6029" s="4"/>
      <c r="S6029" s="4"/>
      <c r="T6029" s="4"/>
      <c r="U6029" s="4"/>
      <c r="V6029" s="4"/>
      <c r="W6029" s="4"/>
      <c r="X6029" s="4"/>
    </row>
    <row r="6030" spans="17:24" x14ac:dyDescent="0.3">
      <c r="Q6030" s="4"/>
      <c r="R6030" s="4"/>
      <c r="S6030" s="4"/>
      <c r="T6030" s="4"/>
      <c r="U6030" s="4"/>
      <c r="V6030" s="4"/>
      <c r="W6030" s="4"/>
      <c r="X6030" s="4"/>
    </row>
    <row r="6031" spans="17:24" x14ac:dyDescent="0.3">
      <c r="Q6031" s="4"/>
      <c r="R6031" s="4"/>
      <c r="S6031" s="4"/>
      <c r="T6031" s="4"/>
      <c r="U6031" s="4"/>
      <c r="V6031" s="4"/>
      <c r="W6031" s="4"/>
      <c r="X6031" s="4"/>
    </row>
    <row r="6032" spans="17:24" x14ac:dyDescent="0.3">
      <c r="Q6032" s="4"/>
      <c r="R6032" s="4"/>
      <c r="S6032" s="4"/>
      <c r="T6032" s="4"/>
      <c r="U6032" s="4"/>
      <c r="V6032" s="4"/>
      <c r="W6032" s="4"/>
      <c r="X6032" s="4"/>
    </row>
    <row r="6033" spans="17:24" x14ac:dyDescent="0.3">
      <c r="Q6033" s="4"/>
      <c r="R6033" s="4"/>
      <c r="S6033" s="4"/>
      <c r="T6033" s="4"/>
      <c r="U6033" s="4"/>
      <c r="V6033" s="4"/>
      <c r="W6033" s="4"/>
      <c r="X6033" s="4"/>
    </row>
    <row r="6034" spans="17:24" x14ac:dyDescent="0.3">
      <c r="Q6034" s="4"/>
      <c r="R6034" s="4"/>
      <c r="S6034" s="4"/>
      <c r="T6034" s="4"/>
      <c r="U6034" s="4"/>
      <c r="V6034" s="4"/>
      <c r="W6034" s="4"/>
      <c r="X6034" s="4"/>
    </row>
    <row r="6035" spans="17:24" x14ac:dyDescent="0.3">
      <c r="Q6035" s="4"/>
      <c r="R6035" s="4"/>
      <c r="S6035" s="4"/>
      <c r="T6035" s="4"/>
      <c r="U6035" s="4"/>
      <c r="V6035" s="4"/>
      <c r="W6035" s="4"/>
      <c r="X6035" s="4"/>
    </row>
    <row r="6036" spans="17:24" x14ac:dyDescent="0.3">
      <c r="Q6036" s="4"/>
      <c r="R6036" s="4"/>
      <c r="S6036" s="4"/>
      <c r="T6036" s="4"/>
      <c r="U6036" s="4"/>
      <c r="V6036" s="4"/>
      <c r="W6036" s="4"/>
      <c r="X6036" s="4"/>
    </row>
    <row r="6037" spans="17:24" x14ac:dyDescent="0.3">
      <c r="Q6037" s="4"/>
      <c r="R6037" s="4"/>
      <c r="S6037" s="4"/>
      <c r="T6037" s="4"/>
      <c r="U6037" s="4"/>
      <c r="V6037" s="4"/>
      <c r="W6037" s="4"/>
      <c r="X6037" s="4"/>
    </row>
    <row r="6038" spans="17:24" x14ac:dyDescent="0.3">
      <c r="Q6038" s="4"/>
      <c r="R6038" s="4"/>
      <c r="S6038" s="4"/>
      <c r="T6038" s="4"/>
      <c r="U6038" s="4"/>
      <c r="V6038" s="4"/>
      <c r="W6038" s="4"/>
      <c r="X6038" s="4"/>
    </row>
    <row r="6039" spans="17:24" x14ac:dyDescent="0.3">
      <c r="Q6039" s="4"/>
      <c r="R6039" s="4"/>
      <c r="S6039" s="4"/>
      <c r="T6039" s="4"/>
      <c r="U6039" s="4"/>
      <c r="V6039" s="4"/>
      <c r="W6039" s="4"/>
      <c r="X6039" s="4"/>
    </row>
    <row r="6040" spans="17:24" x14ac:dyDescent="0.3">
      <c r="Q6040" s="4"/>
      <c r="R6040" s="4"/>
      <c r="S6040" s="4"/>
      <c r="T6040" s="4"/>
      <c r="U6040" s="4"/>
      <c r="V6040" s="4"/>
      <c r="W6040" s="4"/>
      <c r="X6040" s="4"/>
    </row>
    <row r="6041" spans="17:24" x14ac:dyDescent="0.3">
      <c r="Q6041" s="4"/>
      <c r="R6041" s="4"/>
      <c r="S6041" s="4"/>
      <c r="T6041" s="4"/>
      <c r="U6041" s="4"/>
      <c r="V6041" s="4"/>
      <c r="W6041" s="4"/>
      <c r="X6041" s="4"/>
    </row>
    <row r="6042" spans="17:24" x14ac:dyDescent="0.3">
      <c r="Q6042" s="4"/>
      <c r="R6042" s="4"/>
      <c r="S6042" s="4"/>
      <c r="T6042" s="4"/>
      <c r="U6042" s="4"/>
      <c r="V6042" s="4"/>
      <c r="W6042" s="4"/>
      <c r="X6042" s="4"/>
    </row>
    <row r="6043" spans="17:24" x14ac:dyDescent="0.3">
      <c r="Q6043" s="4"/>
      <c r="R6043" s="4"/>
      <c r="S6043" s="4"/>
      <c r="T6043" s="4"/>
      <c r="U6043" s="4"/>
      <c r="V6043" s="4"/>
      <c r="W6043" s="4"/>
      <c r="X6043" s="4"/>
    </row>
    <row r="6044" spans="17:24" x14ac:dyDescent="0.3">
      <c r="Q6044" s="4"/>
      <c r="R6044" s="4"/>
      <c r="S6044" s="4"/>
      <c r="T6044" s="4"/>
      <c r="U6044" s="4"/>
      <c r="V6044" s="4"/>
      <c r="W6044" s="4"/>
      <c r="X6044" s="4"/>
    </row>
    <row r="6045" spans="17:24" x14ac:dyDescent="0.3">
      <c r="Q6045" s="4"/>
      <c r="R6045" s="4"/>
      <c r="S6045" s="4"/>
      <c r="T6045" s="4"/>
      <c r="U6045" s="4"/>
      <c r="V6045" s="4"/>
      <c r="W6045" s="4"/>
      <c r="X6045" s="4"/>
    </row>
    <row r="6046" spans="17:24" x14ac:dyDescent="0.3">
      <c r="Q6046" s="4"/>
      <c r="R6046" s="4"/>
      <c r="S6046" s="4"/>
      <c r="T6046" s="4"/>
      <c r="U6046" s="4"/>
      <c r="V6046" s="4"/>
      <c r="W6046" s="4"/>
      <c r="X6046" s="4"/>
    </row>
    <row r="6047" spans="17:24" x14ac:dyDescent="0.3">
      <c r="Q6047" s="4"/>
      <c r="R6047" s="4"/>
      <c r="S6047" s="4"/>
      <c r="T6047" s="4"/>
      <c r="U6047" s="4"/>
      <c r="V6047" s="4"/>
      <c r="W6047" s="4"/>
      <c r="X6047" s="4"/>
    </row>
    <row r="6048" spans="17:24" x14ac:dyDescent="0.3">
      <c r="Q6048" s="4"/>
      <c r="R6048" s="4"/>
      <c r="S6048" s="4"/>
      <c r="T6048" s="4"/>
      <c r="U6048" s="4"/>
      <c r="V6048" s="4"/>
      <c r="W6048" s="4"/>
      <c r="X6048" s="4"/>
    </row>
    <row r="6049" spans="17:24" x14ac:dyDescent="0.3">
      <c r="Q6049" s="4"/>
      <c r="R6049" s="4"/>
      <c r="S6049" s="4"/>
      <c r="T6049" s="4"/>
      <c r="U6049" s="4"/>
      <c r="V6049" s="4"/>
      <c r="W6049" s="4"/>
      <c r="X6049" s="4"/>
    </row>
    <row r="6050" spans="17:24" x14ac:dyDescent="0.3">
      <c r="Q6050" s="4"/>
      <c r="R6050" s="4"/>
      <c r="S6050" s="4"/>
      <c r="T6050" s="4"/>
      <c r="U6050" s="4"/>
      <c r="V6050" s="4"/>
      <c r="W6050" s="4"/>
      <c r="X6050" s="4"/>
    </row>
    <row r="6051" spans="17:24" x14ac:dyDescent="0.3">
      <c r="Q6051" s="4"/>
      <c r="R6051" s="4"/>
      <c r="S6051" s="4"/>
      <c r="T6051" s="4"/>
      <c r="U6051" s="4"/>
      <c r="V6051" s="4"/>
      <c r="W6051" s="4"/>
      <c r="X6051" s="4"/>
    </row>
    <row r="6052" spans="17:24" x14ac:dyDescent="0.3">
      <c r="Q6052" s="4"/>
      <c r="R6052" s="4"/>
      <c r="S6052" s="4"/>
      <c r="T6052" s="4"/>
      <c r="U6052" s="4"/>
      <c r="V6052" s="4"/>
      <c r="W6052" s="4"/>
      <c r="X6052" s="4"/>
    </row>
    <row r="6053" spans="17:24" x14ac:dyDescent="0.3">
      <c r="Q6053" s="4"/>
      <c r="R6053" s="4"/>
      <c r="S6053" s="4"/>
      <c r="T6053" s="4"/>
      <c r="U6053" s="4"/>
      <c r="V6053" s="4"/>
      <c r="W6053" s="4"/>
      <c r="X6053" s="4"/>
    </row>
    <row r="6054" spans="17:24" x14ac:dyDescent="0.3">
      <c r="Q6054" s="4"/>
      <c r="R6054" s="4"/>
      <c r="S6054" s="4"/>
      <c r="T6054" s="4"/>
      <c r="U6054" s="4"/>
      <c r="V6054" s="4"/>
      <c r="W6054" s="4"/>
      <c r="X6054" s="4"/>
    </row>
    <row r="6055" spans="17:24" x14ac:dyDescent="0.3">
      <c r="Q6055" s="4"/>
      <c r="R6055" s="4"/>
      <c r="S6055" s="4"/>
      <c r="T6055" s="4"/>
      <c r="U6055" s="4"/>
      <c r="V6055" s="4"/>
      <c r="W6055" s="4"/>
      <c r="X6055" s="4"/>
    </row>
    <row r="6056" spans="17:24" x14ac:dyDescent="0.3">
      <c r="Q6056" s="4"/>
      <c r="R6056" s="4"/>
      <c r="S6056" s="4"/>
      <c r="T6056" s="4"/>
      <c r="U6056" s="4"/>
      <c r="V6056" s="4"/>
      <c r="W6056" s="4"/>
      <c r="X6056" s="4"/>
    </row>
    <row r="6057" spans="17:24" x14ac:dyDescent="0.3">
      <c r="Q6057" s="4"/>
      <c r="R6057" s="4"/>
      <c r="S6057" s="4"/>
      <c r="T6057" s="4"/>
      <c r="U6057" s="4"/>
      <c r="V6057" s="4"/>
      <c r="W6057" s="4"/>
      <c r="X6057" s="4"/>
    </row>
    <row r="6058" spans="17:24" x14ac:dyDescent="0.3">
      <c r="Q6058" s="4"/>
      <c r="R6058" s="4"/>
      <c r="S6058" s="4"/>
      <c r="T6058" s="4"/>
      <c r="U6058" s="4"/>
      <c r="V6058" s="4"/>
      <c r="W6058" s="4"/>
      <c r="X6058" s="4"/>
    </row>
    <row r="6059" spans="17:24" x14ac:dyDescent="0.3">
      <c r="Q6059" s="4"/>
      <c r="R6059" s="4"/>
      <c r="S6059" s="4"/>
      <c r="T6059" s="4"/>
      <c r="U6059" s="4"/>
      <c r="V6059" s="4"/>
      <c r="W6059" s="4"/>
      <c r="X6059" s="4"/>
    </row>
    <row r="6060" spans="17:24" x14ac:dyDescent="0.3">
      <c r="Q6060" s="4"/>
      <c r="R6060" s="4"/>
      <c r="S6060" s="4"/>
      <c r="T6060" s="4"/>
      <c r="U6060" s="4"/>
      <c r="V6060" s="4"/>
      <c r="W6060" s="4"/>
      <c r="X6060" s="4"/>
    </row>
    <row r="6061" spans="17:24" x14ac:dyDescent="0.3">
      <c r="Q6061" s="4"/>
      <c r="R6061" s="4"/>
      <c r="S6061" s="4"/>
      <c r="T6061" s="4"/>
      <c r="U6061" s="4"/>
      <c r="V6061" s="4"/>
      <c r="W6061" s="4"/>
      <c r="X6061" s="4"/>
    </row>
    <row r="6062" spans="17:24" x14ac:dyDescent="0.3">
      <c r="Q6062" s="4"/>
      <c r="R6062" s="4"/>
      <c r="S6062" s="4"/>
      <c r="T6062" s="4"/>
      <c r="U6062" s="4"/>
      <c r="V6062" s="4"/>
      <c r="W6062" s="4"/>
      <c r="X6062" s="4"/>
    </row>
    <row r="6063" spans="17:24" x14ac:dyDescent="0.3">
      <c r="Q6063" s="4"/>
      <c r="R6063" s="4"/>
      <c r="S6063" s="4"/>
      <c r="T6063" s="4"/>
      <c r="U6063" s="4"/>
      <c r="V6063" s="4"/>
      <c r="W6063" s="4"/>
      <c r="X6063" s="4"/>
    </row>
    <row r="6064" spans="17:24" x14ac:dyDescent="0.3">
      <c r="Q6064" s="4"/>
      <c r="R6064" s="4"/>
      <c r="S6064" s="4"/>
      <c r="T6064" s="4"/>
      <c r="U6064" s="4"/>
      <c r="V6064" s="4"/>
      <c r="W6064" s="4"/>
      <c r="X6064" s="4"/>
    </row>
    <row r="6065" spans="17:24" x14ac:dyDescent="0.3">
      <c r="Q6065" s="4"/>
      <c r="R6065" s="4"/>
      <c r="S6065" s="4"/>
      <c r="T6065" s="4"/>
      <c r="U6065" s="4"/>
      <c r="V6065" s="4"/>
      <c r="W6065" s="4"/>
      <c r="X6065" s="4"/>
    </row>
    <row r="6066" spans="17:24" x14ac:dyDescent="0.3">
      <c r="Q6066" s="4"/>
      <c r="R6066" s="4"/>
      <c r="S6066" s="4"/>
      <c r="T6066" s="4"/>
      <c r="U6066" s="4"/>
      <c r="V6066" s="4"/>
      <c r="W6066" s="4"/>
      <c r="X6066" s="4"/>
    </row>
    <row r="6067" spans="17:24" x14ac:dyDescent="0.3">
      <c r="Q6067" s="4"/>
      <c r="R6067" s="4"/>
      <c r="S6067" s="4"/>
      <c r="T6067" s="4"/>
      <c r="U6067" s="4"/>
      <c r="V6067" s="4"/>
      <c r="W6067" s="4"/>
      <c r="X6067" s="4"/>
    </row>
    <row r="6068" spans="17:24" x14ac:dyDescent="0.3">
      <c r="Q6068" s="4"/>
      <c r="R6068" s="4"/>
      <c r="S6068" s="4"/>
      <c r="T6068" s="4"/>
      <c r="U6068" s="4"/>
      <c r="V6068" s="4"/>
      <c r="W6068" s="4"/>
      <c r="X6068" s="4"/>
    </row>
    <row r="6069" spans="17:24" x14ac:dyDescent="0.3">
      <c r="Q6069" s="4"/>
      <c r="R6069" s="4"/>
      <c r="S6069" s="4"/>
      <c r="T6069" s="4"/>
      <c r="U6069" s="4"/>
      <c r="V6069" s="4"/>
      <c r="W6069" s="4"/>
      <c r="X6069" s="4"/>
    </row>
    <row r="6070" spans="17:24" x14ac:dyDescent="0.3">
      <c r="Q6070" s="4"/>
      <c r="R6070" s="4"/>
      <c r="S6070" s="4"/>
      <c r="T6070" s="4"/>
      <c r="U6070" s="4"/>
      <c r="V6070" s="4"/>
      <c r="W6070" s="4"/>
      <c r="X6070" s="4"/>
    </row>
    <row r="6071" spans="17:24" x14ac:dyDescent="0.3">
      <c r="Q6071" s="4"/>
      <c r="R6071" s="4"/>
      <c r="S6071" s="4"/>
      <c r="T6071" s="4"/>
      <c r="U6071" s="4"/>
      <c r="V6071" s="4"/>
      <c r="W6071" s="4"/>
      <c r="X6071" s="4"/>
    </row>
    <row r="6072" spans="17:24" x14ac:dyDescent="0.3">
      <c r="Q6072" s="4"/>
      <c r="R6072" s="4"/>
      <c r="S6072" s="4"/>
      <c r="T6072" s="4"/>
      <c r="U6072" s="4"/>
      <c r="V6072" s="4"/>
      <c r="W6072" s="4"/>
      <c r="X6072" s="4"/>
    </row>
    <row r="6073" spans="17:24" x14ac:dyDescent="0.3">
      <c r="Q6073" s="4"/>
      <c r="R6073" s="4"/>
      <c r="S6073" s="4"/>
      <c r="T6073" s="4"/>
      <c r="U6073" s="4"/>
      <c r="V6073" s="4"/>
      <c r="W6073" s="4"/>
      <c r="X6073" s="4"/>
    </row>
    <row r="6074" spans="17:24" x14ac:dyDescent="0.3">
      <c r="Q6074" s="4"/>
      <c r="R6074" s="4"/>
      <c r="S6074" s="4"/>
      <c r="T6074" s="4"/>
      <c r="U6074" s="4"/>
      <c r="V6074" s="4"/>
      <c r="W6074" s="4"/>
      <c r="X6074" s="4"/>
    </row>
    <row r="6075" spans="17:24" x14ac:dyDescent="0.3">
      <c r="Q6075" s="4"/>
      <c r="R6075" s="4"/>
      <c r="S6075" s="4"/>
      <c r="T6075" s="4"/>
      <c r="U6075" s="4"/>
      <c r="V6075" s="4"/>
      <c r="W6075" s="4"/>
      <c r="X6075" s="4"/>
    </row>
    <row r="6076" spans="17:24" x14ac:dyDescent="0.3">
      <c r="Q6076" s="4"/>
      <c r="R6076" s="4"/>
      <c r="S6076" s="4"/>
      <c r="T6076" s="4"/>
      <c r="U6076" s="4"/>
      <c r="V6076" s="4"/>
      <c r="W6076" s="4"/>
      <c r="X6076" s="4"/>
    </row>
    <row r="6077" spans="17:24" x14ac:dyDescent="0.3">
      <c r="Q6077" s="4"/>
      <c r="R6077" s="4"/>
      <c r="S6077" s="4"/>
      <c r="T6077" s="4"/>
      <c r="U6077" s="4"/>
      <c r="V6077" s="4"/>
      <c r="W6077" s="4"/>
      <c r="X6077" s="4"/>
    </row>
    <row r="6078" spans="17:24" x14ac:dyDescent="0.3">
      <c r="Q6078" s="4"/>
      <c r="R6078" s="4"/>
      <c r="S6078" s="4"/>
      <c r="T6078" s="4"/>
      <c r="U6078" s="4"/>
      <c r="V6078" s="4"/>
      <c r="W6078" s="4"/>
      <c r="X6078" s="4"/>
    </row>
    <row r="6079" spans="17:24" x14ac:dyDescent="0.3">
      <c r="Q6079" s="4"/>
      <c r="R6079" s="4"/>
      <c r="S6079" s="4"/>
      <c r="T6079" s="4"/>
      <c r="U6079" s="4"/>
      <c r="V6079" s="4"/>
      <c r="W6079" s="4"/>
      <c r="X6079" s="4"/>
    </row>
    <row r="6080" spans="17:24" x14ac:dyDescent="0.3">
      <c r="Q6080" s="4"/>
      <c r="R6080" s="4"/>
      <c r="S6080" s="4"/>
      <c r="T6080" s="4"/>
      <c r="U6080" s="4"/>
      <c r="V6080" s="4"/>
      <c r="W6080" s="4"/>
      <c r="X6080" s="4"/>
    </row>
    <row r="6081" spans="17:24" x14ac:dyDescent="0.3">
      <c r="Q6081" s="4"/>
      <c r="R6081" s="4"/>
      <c r="S6081" s="4"/>
      <c r="T6081" s="4"/>
      <c r="U6081" s="4"/>
      <c r="V6081" s="4"/>
      <c r="W6081" s="4"/>
      <c r="X6081" s="4"/>
    </row>
    <row r="6082" spans="17:24" x14ac:dyDescent="0.3">
      <c r="Q6082" s="4"/>
      <c r="R6082" s="4"/>
      <c r="S6082" s="4"/>
      <c r="T6082" s="4"/>
      <c r="U6082" s="4"/>
      <c r="V6082" s="4"/>
      <c r="W6082" s="4"/>
      <c r="X6082" s="4"/>
    </row>
    <row r="6083" spans="17:24" x14ac:dyDescent="0.3">
      <c r="Q6083" s="4"/>
      <c r="R6083" s="4"/>
      <c r="S6083" s="4"/>
      <c r="T6083" s="4"/>
      <c r="U6083" s="4"/>
      <c r="V6083" s="4"/>
      <c r="W6083" s="4"/>
      <c r="X6083" s="4"/>
    </row>
    <row r="6084" spans="17:24" x14ac:dyDescent="0.3">
      <c r="Q6084" s="4"/>
      <c r="R6084" s="4"/>
      <c r="S6084" s="4"/>
      <c r="T6084" s="4"/>
      <c r="U6084" s="4"/>
      <c r="V6084" s="4"/>
      <c r="W6084" s="4"/>
      <c r="X6084" s="4"/>
    </row>
    <row r="6085" spans="17:24" x14ac:dyDescent="0.3">
      <c r="Q6085" s="4"/>
      <c r="R6085" s="4"/>
      <c r="S6085" s="4"/>
      <c r="T6085" s="4"/>
      <c r="U6085" s="4"/>
      <c r="V6085" s="4"/>
      <c r="W6085" s="4"/>
      <c r="X6085" s="4"/>
    </row>
    <row r="6086" spans="17:24" x14ac:dyDescent="0.3">
      <c r="Q6086" s="4"/>
      <c r="R6086" s="4"/>
      <c r="S6086" s="4"/>
      <c r="T6086" s="4"/>
      <c r="U6086" s="4"/>
      <c r="V6086" s="4"/>
      <c r="W6086" s="4"/>
      <c r="X6086" s="4"/>
    </row>
    <row r="6087" spans="17:24" x14ac:dyDescent="0.3">
      <c r="Q6087" s="4"/>
      <c r="R6087" s="4"/>
      <c r="S6087" s="4"/>
      <c r="T6087" s="4"/>
      <c r="U6087" s="4"/>
      <c r="V6087" s="4"/>
      <c r="W6087" s="4"/>
      <c r="X6087" s="4"/>
    </row>
    <row r="6088" spans="17:24" x14ac:dyDescent="0.3">
      <c r="Q6088" s="4"/>
      <c r="R6088" s="4"/>
      <c r="S6088" s="4"/>
      <c r="T6088" s="4"/>
      <c r="U6088" s="4"/>
      <c r="V6088" s="4"/>
      <c r="W6088" s="4"/>
      <c r="X6088" s="4"/>
    </row>
    <row r="6089" spans="17:24" x14ac:dyDescent="0.3">
      <c r="Q6089" s="4"/>
      <c r="R6089" s="4"/>
      <c r="S6089" s="4"/>
      <c r="T6089" s="4"/>
      <c r="U6089" s="4"/>
      <c r="V6089" s="4"/>
      <c r="W6089" s="4"/>
      <c r="X6089" s="4"/>
    </row>
    <row r="6090" spans="17:24" x14ac:dyDescent="0.3">
      <c r="Q6090" s="4"/>
      <c r="R6090" s="4"/>
      <c r="S6090" s="4"/>
      <c r="T6090" s="4"/>
      <c r="U6090" s="4"/>
      <c r="V6090" s="4"/>
      <c r="W6090" s="4"/>
      <c r="X6090" s="4"/>
    </row>
    <row r="6091" spans="17:24" x14ac:dyDescent="0.3">
      <c r="Q6091" s="4"/>
      <c r="R6091" s="4"/>
      <c r="S6091" s="4"/>
      <c r="T6091" s="4"/>
      <c r="U6091" s="4"/>
      <c r="V6091" s="4"/>
      <c r="W6091" s="4"/>
      <c r="X6091" s="4"/>
    </row>
    <row r="6092" spans="17:24" x14ac:dyDescent="0.3">
      <c r="Q6092" s="4"/>
      <c r="R6092" s="4"/>
      <c r="S6092" s="4"/>
      <c r="T6092" s="4"/>
      <c r="U6092" s="4"/>
      <c r="V6092" s="4"/>
      <c r="W6092" s="4"/>
      <c r="X6092" s="4"/>
    </row>
    <row r="6093" spans="17:24" x14ac:dyDescent="0.3">
      <c r="Q6093" s="4"/>
      <c r="R6093" s="4"/>
      <c r="S6093" s="4"/>
      <c r="T6093" s="4"/>
      <c r="U6093" s="4"/>
      <c r="V6093" s="4"/>
      <c r="W6093" s="4"/>
      <c r="X6093" s="4"/>
    </row>
    <row r="6094" spans="17:24" x14ac:dyDescent="0.3">
      <c r="Q6094" s="4"/>
      <c r="R6094" s="4"/>
      <c r="S6094" s="4"/>
      <c r="T6094" s="4"/>
      <c r="U6094" s="4"/>
      <c r="V6094" s="4"/>
      <c r="W6094" s="4"/>
      <c r="X6094" s="4"/>
    </row>
    <row r="6095" spans="17:24" x14ac:dyDescent="0.3">
      <c r="Q6095" s="4"/>
      <c r="R6095" s="4"/>
      <c r="S6095" s="4"/>
      <c r="T6095" s="4"/>
      <c r="U6095" s="4"/>
      <c r="V6095" s="4"/>
      <c r="W6095" s="4"/>
      <c r="X6095" s="4"/>
    </row>
    <row r="6096" spans="17:24" x14ac:dyDescent="0.3">
      <c r="Q6096" s="4"/>
      <c r="R6096" s="4"/>
      <c r="S6096" s="4"/>
      <c r="T6096" s="4"/>
      <c r="U6096" s="4"/>
      <c r="V6096" s="4"/>
      <c r="W6096" s="4"/>
      <c r="X6096" s="4"/>
    </row>
    <row r="6097" spans="17:24" x14ac:dyDescent="0.3">
      <c r="Q6097" s="4"/>
      <c r="R6097" s="4"/>
      <c r="S6097" s="4"/>
      <c r="T6097" s="4"/>
      <c r="U6097" s="4"/>
      <c r="V6097" s="4"/>
      <c r="W6097" s="4"/>
      <c r="X6097" s="4"/>
    </row>
    <row r="6098" spans="17:24" x14ac:dyDescent="0.3">
      <c r="Q6098" s="4"/>
      <c r="R6098" s="4"/>
      <c r="S6098" s="4"/>
      <c r="T6098" s="4"/>
      <c r="U6098" s="4"/>
      <c r="V6098" s="4"/>
      <c r="W6098" s="4"/>
      <c r="X6098" s="4"/>
    </row>
    <row r="6099" spans="17:24" x14ac:dyDescent="0.3">
      <c r="Q6099" s="4"/>
      <c r="R6099" s="4"/>
      <c r="S6099" s="4"/>
      <c r="T6099" s="4"/>
      <c r="U6099" s="4"/>
      <c r="V6099" s="4"/>
      <c r="W6099" s="4"/>
      <c r="X6099" s="4"/>
    </row>
    <row r="6100" spans="17:24" x14ac:dyDescent="0.3">
      <c r="Q6100" s="4"/>
      <c r="R6100" s="4"/>
      <c r="S6100" s="4"/>
      <c r="T6100" s="4"/>
      <c r="U6100" s="4"/>
      <c r="V6100" s="4"/>
      <c r="W6100" s="4"/>
      <c r="X6100" s="4"/>
    </row>
    <row r="6101" spans="17:24" x14ac:dyDescent="0.3">
      <c r="Q6101" s="4"/>
      <c r="R6101" s="4"/>
      <c r="S6101" s="4"/>
      <c r="T6101" s="4"/>
      <c r="U6101" s="4"/>
      <c r="V6101" s="4"/>
      <c r="W6101" s="4"/>
      <c r="X6101" s="4"/>
    </row>
    <row r="6102" spans="17:24" x14ac:dyDescent="0.3">
      <c r="Q6102" s="4"/>
      <c r="R6102" s="4"/>
      <c r="S6102" s="4"/>
      <c r="T6102" s="4"/>
      <c r="U6102" s="4"/>
      <c r="V6102" s="4"/>
      <c r="W6102" s="4"/>
      <c r="X6102" s="4"/>
    </row>
    <row r="6103" spans="17:24" x14ac:dyDescent="0.3">
      <c r="Q6103" s="4"/>
      <c r="R6103" s="4"/>
      <c r="S6103" s="4"/>
      <c r="T6103" s="4"/>
      <c r="U6103" s="4"/>
      <c r="V6103" s="4"/>
      <c r="W6103" s="4"/>
      <c r="X6103" s="4"/>
    </row>
    <row r="6104" spans="17:24" x14ac:dyDescent="0.3">
      <c r="Q6104" s="4"/>
      <c r="R6104" s="4"/>
      <c r="S6104" s="4"/>
      <c r="T6104" s="4"/>
      <c r="U6104" s="4"/>
      <c r="V6104" s="4"/>
      <c r="W6104" s="4"/>
      <c r="X6104" s="4"/>
    </row>
    <row r="6105" spans="17:24" x14ac:dyDescent="0.3">
      <c r="Q6105" s="4"/>
      <c r="R6105" s="4"/>
      <c r="S6105" s="4"/>
      <c r="T6105" s="4"/>
      <c r="U6105" s="4"/>
      <c r="V6105" s="4"/>
      <c r="W6105" s="4"/>
      <c r="X6105" s="4"/>
    </row>
    <row r="6106" spans="17:24" x14ac:dyDescent="0.3">
      <c r="Q6106" s="4"/>
      <c r="R6106" s="4"/>
      <c r="S6106" s="4"/>
      <c r="T6106" s="4"/>
      <c r="U6106" s="4"/>
      <c r="V6106" s="4"/>
      <c r="W6106" s="4"/>
      <c r="X6106" s="4"/>
    </row>
    <row r="6107" spans="17:24" x14ac:dyDescent="0.3">
      <c r="Q6107" s="4"/>
      <c r="R6107" s="4"/>
      <c r="S6107" s="4"/>
      <c r="T6107" s="4"/>
      <c r="U6107" s="4"/>
      <c r="V6107" s="4"/>
      <c r="W6107" s="4"/>
      <c r="X6107" s="4"/>
    </row>
    <row r="6108" spans="17:24" x14ac:dyDescent="0.3">
      <c r="Q6108" s="4"/>
      <c r="R6108" s="4"/>
      <c r="S6108" s="4"/>
      <c r="T6108" s="4"/>
      <c r="U6108" s="4"/>
      <c r="V6108" s="4"/>
      <c r="W6108" s="4"/>
      <c r="X6108" s="4"/>
    </row>
    <row r="6109" spans="17:24" x14ac:dyDescent="0.3">
      <c r="Q6109" s="4"/>
      <c r="R6109" s="4"/>
      <c r="S6109" s="4"/>
      <c r="T6109" s="4"/>
      <c r="U6109" s="4"/>
      <c r="V6109" s="4"/>
      <c r="W6109" s="4"/>
      <c r="X6109" s="4"/>
    </row>
    <row r="6110" spans="17:24" x14ac:dyDescent="0.3">
      <c r="Q6110" s="4"/>
      <c r="R6110" s="4"/>
      <c r="S6110" s="4"/>
      <c r="T6110" s="4"/>
      <c r="U6110" s="4"/>
      <c r="V6110" s="4"/>
      <c r="W6110" s="4"/>
      <c r="X6110" s="4"/>
    </row>
    <row r="6111" spans="17:24" x14ac:dyDescent="0.3">
      <c r="Q6111" s="4"/>
      <c r="R6111" s="4"/>
      <c r="S6111" s="4"/>
      <c r="T6111" s="4"/>
      <c r="U6111" s="4"/>
      <c r="V6111" s="4"/>
      <c r="W6111" s="4"/>
      <c r="X6111" s="4"/>
    </row>
    <row r="6112" spans="17:24" x14ac:dyDescent="0.3">
      <c r="Q6112" s="4"/>
      <c r="R6112" s="4"/>
      <c r="S6112" s="4"/>
      <c r="T6112" s="4"/>
      <c r="U6112" s="4"/>
      <c r="V6112" s="4"/>
      <c r="W6112" s="4"/>
      <c r="X6112" s="4"/>
    </row>
    <row r="6113" spans="17:24" x14ac:dyDescent="0.3">
      <c r="Q6113" s="4"/>
      <c r="R6113" s="4"/>
      <c r="S6113" s="4"/>
      <c r="T6113" s="4"/>
      <c r="U6113" s="4"/>
      <c r="V6113" s="4"/>
      <c r="W6113" s="4"/>
      <c r="X6113" s="4"/>
    </row>
    <row r="6114" spans="17:24" x14ac:dyDescent="0.3">
      <c r="Q6114" s="4"/>
      <c r="R6114" s="4"/>
      <c r="S6114" s="4"/>
      <c r="T6114" s="4"/>
      <c r="U6114" s="4"/>
      <c r="V6114" s="4"/>
      <c r="W6114" s="4"/>
      <c r="X6114" s="4"/>
    </row>
    <row r="6115" spans="17:24" x14ac:dyDescent="0.3">
      <c r="Q6115" s="4"/>
      <c r="R6115" s="4"/>
      <c r="S6115" s="4"/>
      <c r="T6115" s="4"/>
      <c r="U6115" s="4"/>
      <c r="V6115" s="4"/>
      <c r="W6115" s="4"/>
      <c r="X6115" s="4"/>
    </row>
    <row r="6116" spans="17:24" x14ac:dyDescent="0.3">
      <c r="Q6116" s="4"/>
      <c r="R6116" s="4"/>
      <c r="S6116" s="4"/>
      <c r="T6116" s="4"/>
      <c r="U6116" s="4"/>
      <c r="V6116" s="4"/>
      <c r="W6116" s="4"/>
      <c r="X6116" s="4"/>
    </row>
    <row r="6117" spans="17:24" x14ac:dyDescent="0.3">
      <c r="Q6117" s="4"/>
      <c r="R6117" s="4"/>
      <c r="S6117" s="4"/>
      <c r="T6117" s="4"/>
      <c r="U6117" s="4"/>
      <c r="V6117" s="4"/>
      <c r="W6117" s="4"/>
      <c r="X6117" s="4"/>
    </row>
    <row r="6118" spans="17:24" x14ac:dyDescent="0.3">
      <c r="Q6118" s="4"/>
      <c r="R6118" s="4"/>
      <c r="S6118" s="4"/>
      <c r="T6118" s="4"/>
      <c r="U6118" s="4"/>
      <c r="V6118" s="4"/>
      <c r="W6118" s="4"/>
      <c r="X6118" s="4"/>
    </row>
    <row r="6119" spans="17:24" x14ac:dyDescent="0.3">
      <c r="Q6119" s="4"/>
      <c r="R6119" s="4"/>
      <c r="S6119" s="4"/>
      <c r="T6119" s="4"/>
      <c r="U6119" s="4"/>
      <c r="V6119" s="4"/>
      <c r="W6119" s="4"/>
      <c r="X6119" s="4"/>
    </row>
    <row r="6120" spans="17:24" x14ac:dyDescent="0.3">
      <c r="Q6120" s="4"/>
      <c r="R6120" s="4"/>
      <c r="S6120" s="4"/>
      <c r="T6120" s="4"/>
      <c r="U6120" s="4"/>
      <c r="V6120" s="4"/>
      <c r="W6120" s="4"/>
      <c r="X6120" s="4"/>
    </row>
    <row r="6121" spans="17:24" x14ac:dyDescent="0.3">
      <c r="Q6121" s="4"/>
      <c r="R6121" s="4"/>
      <c r="S6121" s="4"/>
      <c r="T6121" s="4"/>
      <c r="U6121" s="4"/>
      <c r="V6121" s="4"/>
      <c r="W6121" s="4"/>
      <c r="X6121" s="4"/>
    </row>
    <row r="6122" spans="17:24" x14ac:dyDescent="0.3">
      <c r="Q6122" s="4"/>
      <c r="R6122" s="4"/>
      <c r="S6122" s="4"/>
      <c r="T6122" s="4"/>
      <c r="U6122" s="4"/>
      <c r="V6122" s="4"/>
      <c r="W6122" s="4"/>
      <c r="X6122" s="4"/>
    </row>
    <row r="6123" spans="17:24" x14ac:dyDescent="0.3">
      <c r="Q6123" s="4"/>
      <c r="R6123" s="4"/>
      <c r="S6123" s="4"/>
      <c r="T6123" s="4"/>
      <c r="U6123" s="4"/>
      <c r="V6123" s="4"/>
      <c r="W6123" s="4"/>
      <c r="X6123" s="4"/>
    </row>
    <row r="6124" spans="17:24" x14ac:dyDescent="0.3">
      <c r="Q6124" s="4"/>
      <c r="R6124" s="4"/>
      <c r="S6124" s="4"/>
      <c r="T6124" s="4"/>
      <c r="U6124" s="4"/>
      <c r="V6124" s="4"/>
      <c r="W6124" s="4"/>
      <c r="X6124" s="4"/>
    </row>
    <row r="6125" spans="17:24" x14ac:dyDescent="0.3">
      <c r="Q6125" s="4"/>
      <c r="R6125" s="4"/>
      <c r="S6125" s="4"/>
      <c r="T6125" s="4"/>
      <c r="U6125" s="4"/>
      <c r="V6125" s="4"/>
      <c r="W6125" s="4"/>
      <c r="X6125" s="4"/>
    </row>
    <row r="6126" spans="17:24" x14ac:dyDescent="0.3">
      <c r="Q6126" s="4"/>
      <c r="R6126" s="4"/>
      <c r="S6126" s="4"/>
      <c r="T6126" s="4"/>
      <c r="U6126" s="4"/>
      <c r="V6126" s="4"/>
      <c r="W6126" s="4"/>
      <c r="X6126" s="4"/>
    </row>
    <row r="6127" spans="17:24" x14ac:dyDescent="0.3">
      <c r="Q6127" s="4"/>
      <c r="R6127" s="4"/>
      <c r="S6127" s="4"/>
      <c r="T6127" s="4"/>
      <c r="U6127" s="4"/>
      <c r="V6127" s="4"/>
      <c r="W6127" s="4"/>
      <c r="X6127" s="4"/>
    </row>
    <row r="6128" spans="17:24" x14ac:dyDescent="0.3">
      <c r="Q6128" s="4"/>
      <c r="R6128" s="4"/>
      <c r="S6128" s="4"/>
      <c r="T6128" s="4"/>
      <c r="U6128" s="4"/>
      <c r="V6128" s="4"/>
      <c r="W6128" s="4"/>
      <c r="X6128" s="4"/>
    </row>
    <row r="6129" spans="17:24" x14ac:dyDescent="0.3">
      <c r="Q6129" s="4"/>
      <c r="R6129" s="4"/>
      <c r="S6129" s="4"/>
      <c r="T6129" s="4"/>
      <c r="U6129" s="4"/>
      <c r="V6129" s="4"/>
      <c r="W6129" s="4"/>
      <c r="X6129" s="4"/>
    </row>
    <row r="6130" spans="17:24" x14ac:dyDescent="0.3">
      <c r="Q6130" s="4"/>
      <c r="R6130" s="4"/>
      <c r="S6130" s="4"/>
      <c r="T6130" s="4"/>
      <c r="U6130" s="4"/>
      <c r="V6130" s="4"/>
      <c r="W6130" s="4"/>
      <c r="X6130" s="4"/>
    </row>
    <row r="6131" spans="17:24" x14ac:dyDescent="0.3">
      <c r="Q6131" s="4"/>
      <c r="R6131" s="4"/>
      <c r="S6131" s="4"/>
      <c r="T6131" s="4"/>
      <c r="U6131" s="4"/>
      <c r="V6131" s="4"/>
      <c r="W6131" s="4"/>
      <c r="X6131" s="4"/>
    </row>
    <row r="6132" spans="17:24" x14ac:dyDescent="0.3">
      <c r="Q6132" s="4"/>
      <c r="R6132" s="4"/>
      <c r="S6132" s="4"/>
      <c r="T6132" s="4"/>
      <c r="U6132" s="4"/>
      <c r="V6132" s="4"/>
      <c r="W6132" s="4"/>
      <c r="X6132" s="4"/>
    </row>
    <row r="6133" spans="17:24" x14ac:dyDescent="0.3">
      <c r="Q6133" s="4"/>
      <c r="R6133" s="4"/>
      <c r="S6133" s="4"/>
      <c r="T6133" s="4"/>
      <c r="U6133" s="4"/>
      <c r="V6133" s="4"/>
      <c r="W6133" s="4"/>
      <c r="X6133" s="4"/>
    </row>
    <row r="6134" spans="17:24" x14ac:dyDescent="0.3">
      <c r="Q6134" s="4"/>
      <c r="R6134" s="4"/>
      <c r="S6134" s="4"/>
      <c r="T6134" s="4"/>
      <c r="U6134" s="4"/>
      <c r="V6134" s="4"/>
      <c r="W6134" s="4"/>
      <c r="X6134" s="4"/>
    </row>
    <row r="6135" spans="17:24" x14ac:dyDescent="0.3">
      <c r="Q6135" s="4"/>
      <c r="R6135" s="4"/>
      <c r="S6135" s="4"/>
      <c r="T6135" s="4"/>
      <c r="U6135" s="4"/>
      <c r="V6135" s="4"/>
      <c r="W6135" s="4"/>
      <c r="X6135" s="4"/>
    </row>
    <row r="6136" spans="17:24" x14ac:dyDescent="0.3">
      <c r="Q6136" s="4"/>
      <c r="R6136" s="4"/>
      <c r="S6136" s="4"/>
      <c r="T6136" s="4"/>
      <c r="U6136" s="4"/>
      <c r="V6136" s="4"/>
      <c r="W6136" s="4"/>
      <c r="X6136" s="4"/>
    </row>
    <row r="6137" spans="17:24" x14ac:dyDescent="0.3">
      <c r="Q6137" s="4"/>
      <c r="R6137" s="4"/>
      <c r="S6137" s="4"/>
      <c r="T6137" s="4"/>
      <c r="U6137" s="4"/>
      <c r="V6137" s="4"/>
      <c r="W6137" s="4"/>
      <c r="X6137" s="4"/>
    </row>
    <row r="6138" spans="17:24" x14ac:dyDescent="0.3">
      <c r="Q6138" s="4"/>
      <c r="R6138" s="4"/>
      <c r="S6138" s="4"/>
      <c r="T6138" s="4"/>
      <c r="U6138" s="4"/>
      <c r="V6138" s="4"/>
      <c r="W6138" s="4"/>
      <c r="X6138" s="4"/>
    </row>
    <row r="6139" spans="17:24" x14ac:dyDescent="0.3">
      <c r="Q6139" s="4"/>
      <c r="R6139" s="4"/>
      <c r="S6139" s="4"/>
      <c r="T6139" s="4"/>
      <c r="U6139" s="4"/>
      <c r="V6139" s="4"/>
      <c r="W6139" s="4"/>
      <c r="X6139" s="4"/>
    </row>
    <row r="6140" spans="17:24" x14ac:dyDescent="0.3">
      <c r="Q6140" s="4"/>
      <c r="R6140" s="4"/>
      <c r="S6140" s="4"/>
      <c r="T6140" s="4"/>
      <c r="U6140" s="4"/>
      <c r="V6140" s="4"/>
      <c r="W6140" s="4"/>
      <c r="X6140" s="4"/>
    </row>
    <row r="6141" spans="17:24" x14ac:dyDescent="0.3">
      <c r="Q6141" s="4"/>
      <c r="R6141" s="4"/>
      <c r="S6141" s="4"/>
      <c r="T6141" s="4"/>
      <c r="U6141" s="4"/>
      <c r="V6141" s="4"/>
      <c r="W6141" s="4"/>
      <c r="X6141" s="4"/>
    </row>
    <row r="6142" spans="17:24" x14ac:dyDescent="0.3">
      <c r="Q6142" s="4"/>
      <c r="R6142" s="4"/>
      <c r="S6142" s="4"/>
      <c r="T6142" s="4"/>
      <c r="U6142" s="4"/>
      <c r="V6142" s="4"/>
      <c r="W6142" s="4"/>
      <c r="X6142" s="4"/>
    </row>
    <row r="6143" spans="17:24" x14ac:dyDescent="0.3">
      <c r="Q6143" s="4"/>
      <c r="R6143" s="4"/>
      <c r="S6143" s="4"/>
      <c r="T6143" s="4"/>
      <c r="U6143" s="4"/>
      <c r="V6143" s="4"/>
      <c r="W6143" s="4"/>
      <c r="X6143" s="4"/>
    </row>
    <row r="6144" spans="17:24" x14ac:dyDescent="0.3">
      <c r="Q6144" s="4"/>
      <c r="R6144" s="4"/>
      <c r="S6144" s="4"/>
      <c r="T6144" s="4"/>
      <c r="U6144" s="4"/>
      <c r="V6144" s="4"/>
      <c r="W6144" s="4"/>
      <c r="X6144" s="4"/>
    </row>
    <row r="6145" spans="17:24" x14ac:dyDescent="0.3">
      <c r="Q6145" s="4"/>
      <c r="R6145" s="4"/>
      <c r="S6145" s="4"/>
      <c r="T6145" s="4"/>
      <c r="U6145" s="4"/>
      <c r="V6145" s="4"/>
      <c r="W6145" s="4"/>
      <c r="X6145" s="4"/>
    </row>
    <row r="6146" spans="17:24" x14ac:dyDescent="0.3">
      <c r="Q6146" s="4"/>
      <c r="R6146" s="4"/>
      <c r="S6146" s="4"/>
      <c r="T6146" s="4"/>
      <c r="U6146" s="4"/>
      <c r="V6146" s="4"/>
      <c r="W6146" s="4"/>
      <c r="X6146" s="4"/>
    </row>
    <row r="6147" spans="17:24" x14ac:dyDescent="0.3">
      <c r="Q6147" s="4"/>
      <c r="R6147" s="4"/>
      <c r="S6147" s="4"/>
      <c r="T6147" s="4"/>
      <c r="U6147" s="4"/>
      <c r="V6147" s="4"/>
      <c r="W6147" s="4"/>
      <c r="X6147" s="4"/>
    </row>
    <row r="6148" spans="17:24" x14ac:dyDescent="0.3">
      <c r="Q6148" s="4"/>
      <c r="R6148" s="4"/>
      <c r="S6148" s="4"/>
      <c r="T6148" s="4"/>
      <c r="U6148" s="4"/>
      <c r="V6148" s="4"/>
      <c r="W6148" s="4"/>
      <c r="X6148" s="4"/>
    </row>
    <row r="6149" spans="17:24" x14ac:dyDescent="0.3">
      <c r="Q6149" s="4"/>
      <c r="R6149" s="4"/>
      <c r="S6149" s="4"/>
      <c r="T6149" s="4"/>
      <c r="U6149" s="4"/>
      <c r="V6149" s="4"/>
      <c r="W6149" s="4"/>
      <c r="X6149" s="4"/>
    </row>
    <row r="6150" spans="17:24" x14ac:dyDescent="0.3">
      <c r="Q6150" s="4"/>
      <c r="R6150" s="4"/>
      <c r="S6150" s="4"/>
      <c r="T6150" s="4"/>
      <c r="U6150" s="4"/>
      <c r="V6150" s="4"/>
      <c r="W6150" s="4"/>
      <c r="X6150" s="4"/>
    </row>
    <row r="6151" spans="17:24" x14ac:dyDescent="0.3">
      <c r="Q6151" s="4"/>
      <c r="R6151" s="4"/>
      <c r="S6151" s="4"/>
      <c r="T6151" s="4"/>
      <c r="U6151" s="4"/>
      <c r="V6151" s="4"/>
      <c r="W6151" s="4"/>
      <c r="X6151" s="4"/>
    </row>
    <row r="6152" spans="17:24" x14ac:dyDescent="0.3">
      <c r="Q6152" s="4"/>
      <c r="R6152" s="4"/>
      <c r="S6152" s="4"/>
      <c r="T6152" s="4"/>
      <c r="U6152" s="4"/>
      <c r="V6152" s="4"/>
      <c r="W6152" s="4"/>
      <c r="X6152" s="4"/>
    </row>
    <row r="6153" spans="17:24" x14ac:dyDescent="0.3">
      <c r="Q6153" s="4"/>
      <c r="R6153" s="4"/>
      <c r="S6153" s="4"/>
      <c r="T6153" s="4"/>
      <c r="U6153" s="4"/>
      <c r="V6153" s="4"/>
      <c r="W6153" s="4"/>
      <c r="X6153" s="4"/>
    </row>
    <row r="6154" spans="17:24" x14ac:dyDescent="0.3">
      <c r="Q6154" s="4"/>
      <c r="R6154" s="4"/>
      <c r="S6154" s="4"/>
      <c r="T6154" s="4"/>
      <c r="U6154" s="4"/>
      <c r="V6154" s="4"/>
      <c r="W6154" s="4"/>
      <c r="X6154" s="4"/>
    </row>
    <row r="6155" spans="17:24" x14ac:dyDescent="0.3">
      <c r="Q6155" s="4"/>
      <c r="R6155" s="4"/>
      <c r="S6155" s="4"/>
      <c r="T6155" s="4"/>
      <c r="U6155" s="4"/>
      <c r="V6155" s="4"/>
      <c r="W6155" s="4"/>
      <c r="X6155" s="4"/>
    </row>
    <row r="6156" spans="17:24" x14ac:dyDescent="0.3">
      <c r="Q6156" s="4"/>
      <c r="R6156" s="4"/>
      <c r="S6156" s="4"/>
      <c r="T6156" s="4"/>
      <c r="U6156" s="4"/>
      <c r="V6156" s="4"/>
      <c r="W6156" s="4"/>
      <c r="X6156" s="4"/>
    </row>
    <row r="6157" spans="17:24" x14ac:dyDescent="0.3">
      <c r="Q6157" s="4"/>
      <c r="R6157" s="4"/>
      <c r="S6157" s="4"/>
      <c r="T6157" s="4"/>
      <c r="U6157" s="4"/>
      <c r="V6157" s="4"/>
      <c r="W6157" s="4"/>
      <c r="X6157" s="4"/>
    </row>
    <row r="6158" spans="17:24" x14ac:dyDescent="0.3">
      <c r="Q6158" s="4"/>
      <c r="R6158" s="4"/>
      <c r="S6158" s="4"/>
      <c r="T6158" s="4"/>
      <c r="U6158" s="4"/>
      <c r="V6158" s="4"/>
      <c r="W6158" s="4"/>
      <c r="X6158" s="4"/>
    </row>
    <row r="6159" spans="17:24" x14ac:dyDescent="0.3">
      <c r="Q6159" s="4"/>
      <c r="R6159" s="4"/>
      <c r="S6159" s="4"/>
      <c r="T6159" s="4"/>
      <c r="U6159" s="4"/>
      <c r="V6159" s="4"/>
      <c r="W6159" s="4"/>
      <c r="X6159" s="4"/>
    </row>
    <row r="6160" spans="17:24" x14ac:dyDescent="0.3">
      <c r="Q6160" s="4"/>
      <c r="R6160" s="4"/>
      <c r="S6160" s="4"/>
      <c r="T6160" s="4"/>
      <c r="U6160" s="4"/>
      <c r="V6160" s="4"/>
      <c r="W6160" s="4"/>
      <c r="X6160" s="4"/>
    </row>
    <row r="6161" spans="17:24" x14ac:dyDescent="0.3">
      <c r="Q6161" s="4"/>
      <c r="R6161" s="4"/>
      <c r="S6161" s="4"/>
      <c r="T6161" s="4"/>
      <c r="U6161" s="4"/>
      <c r="V6161" s="4"/>
      <c r="W6161" s="4"/>
      <c r="X6161" s="4"/>
    </row>
    <row r="6162" spans="17:24" x14ac:dyDescent="0.3">
      <c r="Q6162" s="4"/>
      <c r="R6162" s="4"/>
      <c r="S6162" s="4"/>
      <c r="T6162" s="4"/>
      <c r="U6162" s="4"/>
      <c r="V6162" s="4"/>
      <c r="W6162" s="4"/>
      <c r="X6162" s="4"/>
    </row>
    <row r="6163" spans="17:24" x14ac:dyDescent="0.3">
      <c r="Q6163" s="4"/>
      <c r="R6163" s="4"/>
      <c r="S6163" s="4"/>
      <c r="T6163" s="4"/>
      <c r="U6163" s="4"/>
      <c r="V6163" s="4"/>
      <c r="W6163" s="4"/>
      <c r="X6163" s="4"/>
    </row>
    <row r="6164" spans="17:24" x14ac:dyDescent="0.3">
      <c r="Q6164" s="4"/>
      <c r="R6164" s="4"/>
      <c r="S6164" s="4"/>
      <c r="T6164" s="4"/>
      <c r="U6164" s="4"/>
      <c r="V6164" s="4"/>
      <c r="W6164" s="4"/>
      <c r="X6164" s="4"/>
    </row>
    <row r="6165" spans="17:24" x14ac:dyDescent="0.3">
      <c r="Q6165" s="4"/>
      <c r="R6165" s="4"/>
      <c r="S6165" s="4"/>
      <c r="T6165" s="4"/>
      <c r="U6165" s="4"/>
      <c r="V6165" s="4"/>
      <c r="W6165" s="4"/>
      <c r="X6165" s="4"/>
    </row>
    <row r="6166" spans="17:24" x14ac:dyDescent="0.3">
      <c r="Q6166" s="4"/>
      <c r="R6166" s="4"/>
      <c r="S6166" s="4"/>
      <c r="T6166" s="4"/>
      <c r="U6166" s="4"/>
      <c r="V6166" s="4"/>
      <c r="W6166" s="4"/>
      <c r="X6166" s="4"/>
    </row>
    <row r="6167" spans="17:24" x14ac:dyDescent="0.3">
      <c r="Q6167" s="4"/>
      <c r="R6167" s="4"/>
      <c r="S6167" s="4"/>
      <c r="T6167" s="4"/>
      <c r="U6167" s="4"/>
      <c r="V6167" s="4"/>
      <c r="W6167" s="4"/>
      <c r="X6167" s="4"/>
    </row>
    <row r="6168" spans="17:24" x14ac:dyDescent="0.3">
      <c r="Q6168" s="4"/>
      <c r="R6168" s="4"/>
      <c r="S6168" s="4"/>
      <c r="T6168" s="4"/>
      <c r="U6168" s="4"/>
      <c r="V6168" s="4"/>
      <c r="W6168" s="4"/>
      <c r="X6168" s="4"/>
    </row>
    <row r="6169" spans="17:24" x14ac:dyDescent="0.3">
      <c r="Q6169" s="4"/>
      <c r="R6169" s="4"/>
      <c r="S6169" s="4"/>
      <c r="T6169" s="4"/>
      <c r="U6169" s="4"/>
      <c r="V6169" s="4"/>
      <c r="W6169" s="4"/>
      <c r="X6169" s="4"/>
    </row>
    <row r="6170" spans="17:24" x14ac:dyDescent="0.3">
      <c r="Q6170" s="4"/>
      <c r="R6170" s="4"/>
      <c r="S6170" s="4"/>
      <c r="T6170" s="4"/>
      <c r="U6170" s="4"/>
      <c r="V6170" s="4"/>
      <c r="W6170" s="4"/>
      <c r="X6170" s="4"/>
    </row>
    <row r="6171" spans="17:24" x14ac:dyDescent="0.3">
      <c r="Q6171" s="4"/>
      <c r="R6171" s="4"/>
      <c r="S6171" s="4"/>
      <c r="T6171" s="4"/>
      <c r="U6171" s="4"/>
      <c r="V6171" s="4"/>
      <c r="W6171" s="4"/>
      <c r="X6171" s="4"/>
    </row>
    <row r="6172" spans="17:24" x14ac:dyDescent="0.3">
      <c r="Q6172" s="4"/>
      <c r="R6172" s="4"/>
      <c r="S6172" s="4"/>
      <c r="T6172" s="4"/>
      <c r="U6172" s="4"/>
      <c r="V6172" s="4"/>
      <c r="W6172" s="4"/>
      <c r="X6172" s="4"/>
    </row>
    <row r="6173" spans="17:24" x14ac:dyDescent="0.3">
      <c r="Q6173" s="4"/>
      <c r="R6173" s="4"/>
      <c r="S6173" s="4"/>
      <c r="T6173" s="4"/>
      <c r="U6173" s="4"/>
      <c r="V6173" s="4"/>
      <c r="W6173" s="4"/>
      <c r="X6173" s="4"/>
    </row>
    <row r="6174" spans="17:24" x14ac:dyDescent="0.3">
      <c r="Q6174" s="4"/>
      <c r="R6174" s="4"/>
      <c r="S6174" s="4"/>
      <c r="T6174" s="4"/>
      <c r="U6174" s="4"/>
      <c r="V6174" s="4"/>
      <c r="W6174" s="4"/>
      <c r="X6174" s="4"/>
    </row>
    <row r="6175" spans="17:24" x14ac:dyDescent="0.3">
      <c r="Q6175" s="4"/>
      <c r="R6175" s="4"/>
      <c r="S6175" s="4"/>
      <c r="T6175" s="4"/>
      <c r="U6175" s="4"/>
      <c r="V6175" s="4"/>
      <c r="W6175" s="4"/>
      <c r="X6175" s="4"/>
    </row>
    <row r="6176" spans="17:24" x14ac:dyDescent="0.3">
      <c r="Q6176" s="4"/>
      <c r="R6176" s="4"/>
      <c r="S6176" s="4"/>
      <c r="T6176" s="4"/>
      <c r="U6176" s="4"/>
      <c r="V6176" s="4"/>
      <c r="W6176" s="4"/>
      <c r="X6176" s="4"/>
    </row>
    <row r="6177" spans="17:24" x14ac:dyDescent="0.3">
      <c r="Q6177" s="4"/>
      <c r="R6177" s="4"/>
      <c r="S6177" s="4"/>
      <c r="T6177" s="4"/>
      <c r="U6177" s="4"/>
      <c r="V6177" s="4"/>
      <c r="W6177" s="4"/>
      <c r="X6177" s="4"/>
    </row>
    <row r="6178" spans="17:24" x14ac:dyDescent="0.3">
      <c r="Q6178" s="4"/>
      <c r="R6178" s="4"/>
      <c r="S6178" s="4"/>
      <c r="T6178" s="4"/>
      <c r="U6178" s="4"/>
      <c r="V6178" s="4"/>
      <c r="W6178" s="4"/>
      <c r="X6178" s="4"/>
    </row>
    <row r="6179" spans="17:24" x14ac:dyDescent="0.3">
      <c r="Q6179" s="4"/>
      <c r="R6179" s="4"/>
      <c r="S6179" s="4"/>
      <c r="T6179" s="4"/>
      <c r="U6179" s="4"/>
      <c r="V6179" s="4"/>
      <c r="W6179" s="4"/>
      <c r="X6179" s="4"/>
    </row>
    <row r="6180" spans="17:24" x14ac:dyDescent="0.3">
      <c r="Q6180" s="4"/>
      <c r="R6180" s="4"/>
      <c r="S6180" s="4"/>
      <c r="T6180" s="4"/>
      <c r="U6180" s="4"/>
      <c r="V6180" s="4"/>
      <c r="W6180" s="4"/>
      <c r="X6180" s="4"/>
    </row>
    <row r="6181" spans="17:24" x14ac:dyDescent="0.3">
      <c r="Q6181" s="4"/>
      <c r="R6181" s="4"/>
      <c r="S6181" s="4"/>
      <c r="T6181" s="4"/>
      <c r="U6181" s="4"/>
      <c r="V6181" s="4"/>
      <c r="W6181" s="4"/>
      <c r="X6181" s="4"/>
    </row>
    <row r="6182" spans="17:24" x14ac:dyDescent="0.3">
      <c r="Q6182" s="4"/>
      <c r="R6182" s="4"/>
      <c r="S6182" s="4"/>
      <c r="T6182" s="4"/>
      <c r="U6182" s="4"/>
      <c r="V6182" s="4"/>
      <c r="W6182" s="4"/>
      <c r="X6182" s="4"/>
    </row>
    <row r="6183" spans="17:24" x14ac:dyDescent="0.3">
      <c r="Q6183" s="4"/>
      <c r="R6183" s="4"/>
      <c r="S6183" s="4"/>
      <c r="T6183" s="4"/>
      <c r="U6183" s="4"/>
      <c r="V6183" s="4"/>
      <c r="W6183" s="4"/>
      <c r="X6183" s="4"/>
    </row>
    <row r="6184" spans="17:24" x14ac:dyDescent="0.3">
      <c r="Q6184" s="4"/>
      <c r="R6184" s="4"/>
      <c r="S6184" s="4"/>
      <c r="T6184" s="4"/>
      <c r="U6184" s="4"/>
      <c r="V6184" s="4"/>
      <c r="W6184" s="4"/>
      <c r="X6184" s="4"/>
    </row>
    <row r="6185" spans="17:24" x14ac:dyDescent="0.3">
      <c r="Q6185" s="4"/>
      <c r="R6185" s="4"/>
      <c r="S6185" s="4"/>
      <c r="T6185" s="4"/>
      <c r="U6185" s="4"/>
      <c r="V6185" s="4"/>
      <c r="W6185" s="4"/>
      <c r="X6185" s="4"/>
    </row>
    <row r="6186" spans="17:24" x14ac:dyDescent="0.3">
      <c r="Q6186" s="4"/>
      <c r="R6186" s="4"/>
      <c r="S6186" s="4"/>
      <c r="T6186" s="4"/>
      <c r="U6186" s="4"/>
      <c r="V6186" s="4"/>
      <c r="W6186" s="4"/>
      <c r="X6186" s="4"/>
    </row>
    <row r="6187" spans="17:24" x14ac:dyDescent="0.3">
      <c r="Q6187" s="4"/>
      <c r="R6187" s="4"/>
      <c r="S6187" s="4"/>
      <c r="T6187" s="4"/>
      <c r="U6187" s="4"/>
      <c r="V6187" s="4"/>
      <c r="W6187" s="4"/>
      <c r="X6187" s="4"/>
    </row>
    <row r="6188" spans="17:24" x14ac:dyDescent="0.3">
      <c r="Q6188" s="4"/>
      <c r="R6188" s="4"/>
      <c r="S6188" s="4"/>
      <c r="T6188" s="4"/>
      <c r="U6188" s="4"/>
      <c r="V6188" s="4"/>
      <c r="W6188" s="4"/>
      <c r="X6188" s="4"/>
    </row>
    <row r="6189" spans="17:24" x14ac:dyDescent="0.3">
      <c r="Q6189" s="4"/>
      <c r="R6189" s="4"/>
      <c r="S6189" s="4"/>
      <c r="T6189" s="4"/>
      <c r="U6189" s="4"/>
      <c r="V6189" s="4"/>
      <c r="W6189" s="4"/>
      <c r="X6189" s="4"/>
    </row>
    <row r="6190" spans="17:24" x14ac:dyDescent="0.3">
      <c r="Q6190" s="4"/>
      <c r="R6190" s="4"/>
      <c r="S6190" s="4"/>
      <c r="T6190" s="4"/>
      <c r="U6190" s="4"/>
      <c r="V6190" s="4"/>
      <c r="W6190" s="4"/>
      <c r="X6190" s="4"/>
    </row>
    <row r="6191" spans="17:24" x14ac:dyDescent="0.3">
      <c r="Q6191" s="4"/>
      <c r="R6191" s="4"/>
      <c r="S6191" s="4"/>
      <c r="T6191" s="4"/>
      <c r="U6191" s="4"/>
      <c r="V6191" s="4"/>
      <c r="W6191" s="4"/>
      <c r="X6191" s="4"/>
    </row>
    <row r="6192" spans="17:24" x14ac:dyDescent="0.3">
      <c r="Q6192" s="4"/>
      <c r="R6192" s="4"/>
      <c r="S6192" s="4"/>
      <c r="T6192" s="4"/>
      <c r="U6192" s="4"/>
      <c r="V6192" s="4"/>
      <c r="W6192" s="4"/>
      <c r="X6192" s="4"/>
    </row>
    <row r="6193" spans="17:24" x14ac:dyDescent="0.3">
      <c r="Q6193" s="4"/>
      <c r="R6193" s="4"/>
      <c r="S6193" s="4"/>
      <c r="T6193" s="4"/>
      <c r="U6193" s="4"/>
      <c r="V6193" s="4"/>
      <c r="W6193" s="4"/>
      <c r="X6193" s="4"/>
    </row>
    <row r="6194" spans="17:24" x14ac:dyDescent="0.3">
      <c r="Q6194" s="4"/>
      <c r="R6194" s="4"/>
      <c r="S6194" s="4"/>
      <c r="T6194" s="4"/>
      <c r="U6194" s="4"/>
      <c r="V6194" s="4"/>
      <c r="W6194" s="4"/>
      <c r="X6194" s="4"/>
    </row>
    <row r="6195" spans="17:24" x14ac:dyDescent="0.3">
      <c r="Q6195" s="4"/>
      <c r="R6195" s="4"/>
      <c r="S6195" s="4"/>
      <c r="T6195" s="4"/>
      <c r="U6195" s="4"/>
      <c r="V6195" s="4"/>
      <c r="W6195" s="4"/>
      <c r="X6195" s="4"/>
    </row>
    <row r="6196" spans="17:24" x14ac:dyDescent="0.3">
      <c r="Q6196" s="4"/>
      <c r="R6196" s="4"/>
      <c r="S6196" s="4"/>
      <c r="T6196" s="4"/>
      <c r="U6196" s="4"/>
      <c r="V6196" s="4"/>
      <c r="W6196" s="4"/>
      <c r="X6196" s="4"/>
    </row>
    <row r="6197" spans="17:24" x14ac:dyDescent="0.3">
      <c r="Q6197" s="4"/>
      <c r="R6197" s="4"/>
      <c r="S6197" s="4"/>
      <c r="T6197" s="4"/>
      <c r="U6197" s="4"/>
      <c r="V6197" s="4"/>
      <c r="W6197" s="4"/>
      <c r="X6197" s="4"/>
    </row>
    <row r="6198" spans="17:24" x14ac:dyDescent="0.3">
      <c r="Q6198" s="4"/>
      <c r="R6198" s="4"/>
      <c r="S6198" s="4"/>
      <c r="T6198" s="4"/>
      <c r="U6198" s="4"/>
      <c r="V6198" s="4"/>
      <c r="W6198" s="4"/>
      <c r="X6198" s="4"/>
    </row>
    <row r="6199" spans="17:24" x14ac:dyDescent="0.3">
      <c r="Q6199" s="4"/>
      <c r="R6199" s="4"/>
      <c r="S6199" s="4"/>
      <c r="T6199" s="4"/>
      <c r="U6199" s="4"/>
      <c r="V6199" s="4"/>
      <c r="W6199" s="4"/>
      <c r="X6199" s="4"/>
    </row>
    <row r="6200" spans="17:24" x14ac:dyDescent="0.3">
      <c r="Q6200" s="4"/>
      <c r="R6200" s="4"/>
      <c r="S6200" s="4"/>
      <c r="T6200" s="4"/>
      <c r="U6200" s="4"/>
      <c r="V6200" s="4"/>
      <c r="W6200" s="4"/>
      <c r="X6200" s="4"/>
    </row>
    <row r="6201" spans="17:24" x14ac:dyDescent="0.3">
      <c r="Q6201" s="4"/>
      <c r="R6201" s="4"/>
      <c r="S6201" s="4"/>
      <c r="T6201" s="4"/>
      <c r="U6201" s="4"/>
      <c r="V6201" s="4"/>
      <c r="W6201" s="4"/>
      <c r="X6201" s="4"/>
    </row>
    <row r="6202" spans="17:24" x14ac:dyDescent="0.3">
      <c r="Q6202" s="4"/>
      <c r="R6202" s="4"/>
      <c r="S6202" s="4"/>
      <c r="T6202" s="4"/>
      <c r="U6202" s="4"/>
      <c r="V6202" s="4"/>
      <c r="W6202" s="4"/>
      <c r="X6202" s="4"/>
    </row>
    <row r="6203" spans="17:24" x14ac:dyDescent="0.3">
      <c r="Q6203" s="4"/>
      <c r="R6203" s="4"/>
      <c r="S6203" s="4"/>
      <c r="T6203" s="4"/>
      <c r="U6203" s="4"/>
      <c r="V6203" s="4"/>
      <c r="W6203" s="4"/>
      <c r="X6203" s="4"/>
    </row>
    <row r="6204" spans="17:24" x14ac:dyDescent="0.3">
      <c r="Q6204" s="4"/>
      <c r="R6204" s="4"/>
      <c r="S6204" s="4"/>
      <c r="T6204" s="4"/>
      <c r="U6204" s="4"/>
      <c r="V6204" s="4"/>
      <c r="W6204" s="4"/>
      <c r="X6204" s="4"/>
    </row>
    <row r="6205" spans="17:24" x14ac:dyDescent="0.3">
      <c r="Q6205" s="4"/>
      <c r="R6205" s="4"/>
      <c r="S6205" s="4"/>
      <c r="T6205" s="4"/>
      <c r="U6205" s="4"/>
      <c r="V6205" s="4"/>
      <c r="W6205" s="4"/>
      <c r="X6205" s="4"/>
    </row>
    <row r="6206" spans="17:24" x14ac:dyDescent="0.3">
      <c r="Q6206" s="4"/>
      <c r="R6206" s="4"/>
      <c r="S6206" s="4"/>
      <c r="T6206" s="4"/>
      <c r="U6206" s="4"/>
      <c r="V6206" s="4"/>
      <c r="W6206" s="4"/>
      <c r="X6206" s="4"/>
    </row>
    <row r="6207" spans="17:24" x14ac:dyDescent="0.3">
      <c r="Q6207" s="4"/>
      <c r="R6207" s="4"/>
      <c r="S6207" s="4"/>
      <c r="T6207" s="4"/>
      <c r="U6207" s="4"/>
      <c r="V6207" s="4"/>
      <c r="W6207" s="4"/>
      <c r="X6207" s="4"/>
    </row>
    <row r="6208" spans="17:24" x14ac:dyDescent="0.3">
      <c r="Q6208" s="4"/>
      <c r="R6208" s="4"/>
      <c r="S6208" s="4"/>
      <c r="T6208" s="4"/>
      <c r="U6208" s="4"/>
      <c r="V6208" s="4"/>
      <c r="W6208" s="4"/>
      <c r="X6208" s="4"/>
    </row>
    <row r="6209" spans="17:24" x14ac:dyDescent="0.3">
      <c r="Q6209" s="4"/>
      <c r="R6209" s="4"/>
      <c r="S6209" s="4"/>
      <c r="T6209" s="4"/>
      <c r="U6209" s="4"/>
      <c r="V6209" s="4"/>
      <c r="W6209" s="4"/>
      <c r="X6209" s="4"/>
    </row>
    <row r="6210" spans="17:24" x14ac:dyDescent="0.3">
      <c r="Q6210" s="4"/>
      <c r="R6210" s="4"/>
      <c r="S6210" s="4"/>
      <c r="T6210" s="4"/>
      <c r="U6210" s="4"/>
      <c r="V6210" s="4"/>
      <c r="W6210" s="4"/>
      <c r="X6210" s="4"/>
    </row>
    <row r="6211" spans="17:24" x14ac:dyDescent="0.3">
      <c r="Q6211" s="4"/>
      <c r="R6211" s="4"/>
      <c r="S6211" s="4"/>
      <c r="T6211" s="4"/>
      <c r="U6211" s="4"/>
      <c r="V6211" s="4"/>
      <c r="W6211" s="4"/>
      <c r="X6211" s="4"/>
    </row>
    <row r="6212" spans="17:24" x14ac:dyDescent="0.3">
      <c r="Q6212" s="4"/>
      <c r="R6212" s="4"/>
      <c r="S6212" s="4"/>
      <c r="T6212" s="4"/>
      <c r="U6212" s="4"/>
      <c r="V6212" s="4"/>
      <c r="W6212" s="4"/>
      <c r="X6212" s="4"/>
    </row>
    <row r="6213" spans="17:24" x14ac:dyDescent="0.3">
      <c r="Q6213" s="4"/>
      <c r="R6213" s="4"/>
      <c r="S6213" s="4"/>
      <c r="T6213" s="4"/>
      <c r="U6213" s="4"/>
      <c r="V6213" s="4"/>
      <c r="W6213" s="4"/>
      <c r="X6213" s="4"/>
    </row>
    <row r="6214" spans="17:24" x14ac:dyDescent="0.3">
      <c r="Q6214" s="4"/>
      <c r="R6214" s="4"/>
      <c r="S6214" s="4"/>
      <c r="T6214" s="4"/>
      <c r="U6214" s="4"/>
      <c r="V6214" s="4"/>
      <c r="W6214" s="4"/>
      <c r="X6214" s="4"/>
    </row>
    <row r="6215" spans="17:24" x14ac:dyDescent="0.3">
      <c r="Q6215" s="4"/>
      <c r="R6215" s="4"/>
      <c r="S6215" s="4"/>
      <c r="T6215" s="4"/>
      <c r="U6215" s="4"/>
      <c r="V6215" s="4"/>
      <c r="W6215" s="4"/>
      <c r="X6215" s="4"/>
    </row>
    <row r="6216" spans="17:24" x14ac:dyDescent="0.3">
      <c r="Q6216" s="4"/>
      <c r="R6216" s="4"/>
      <c r="S6216" s="4"/>
      <c r="T6216" s="4"/>
      <c r="U6216" s="4"/>
      <c r="V6216" s="4"/>
      <c r="W6216" s="4"/>
      <c r="X6216" s="4"/>
    </row>
    <row r="6217" spans="17:24" x14ac:dyDescent="0.3">
      <c r="Q6217" s="4"/>
      <c r="R6217" s="4"/>
      <c r="S6217" s="4"/>
      <c r="T6217" s="4"/>
      <c r="U6217" s="4"/>
      <c r="V6217" s="4"/>
      <c r="W6217" s="4"/>
      <c r="X6217" s="4"/>
    </row>
    <row r="6218" spans="17:24" x14ac:dyDescent="0.3">
      <c r="Q6218" s="4"/>
      <c r="R6218" s="4"/>
      <c r="S6218" s="4"/>
      <c r="T6218" s="4"/>
      <c r="U6218" s="4"/>
      <c r="V6218" s="4"/>
      <c r="W6218" s="4"/>
      <c r="X6218" s="4"/>
    </row>
    <row r="6219" spans="17:24" x14ac:dyDescent="0.3">
      <c r="Q6219" s="4"/>
      <c r="R6219" s="4"/>
      <c r="S6219" s="4"/>
      <c r="T6219" s="4"/>
      <c r="U6219" s="4"/>
      <c r="V6219" s="4"/>
      <c r="W6219" s="4"/>
      <c r="X6219" s="4"/>
    </row>
    <row r="6220" spans="17:24" x14ac:dyDescent="0.3">
      <c r="Q6220" s="4"/>
      <c r="R6220" s="4"/>
      <c r="S6220" s="4"/>
      <c r="T6220" s="4"/>
      <c r="U6220" s="4"/>
      <c r="V6220" s="4"/>
      <c r="W6220" s="4"/>
      <c r="X6220" s="4"/>
    </row>
    <row r="6221" spans="17:24" x14ac:dyDescent="0.3">
      <c r="Q6221" s="4"/>
      <c r="R6221" s="4"/>
      <c r="S6221" s="4"/>
      <c r="T6221" s="4"/>
      <c r="U6221" s="4"/>
      <c r="V6221" s="4"/>
      <c r="W6221" s="4"/>
      <c r="X6221" s="4"/>
    </row>
    <row r="6222" spans="17:24" x14ac:dyDescent="0.3">
      <c r="Q6222" s="4"/>
      <c r="R6222" s="4"/>
      <c r="S6222" s="4"/>
      <c r="T6222" s="4"/>
      <c r="U6222" s="4"/>
      <c r="V6222" s="4"/>
      <c r="W6222" s="4"/>
      <c r="X6222" s="4"/>
    </row>
    <row r="6223" spans="17:24" x14ac:dyDescent="0.3">
      <c r="Q6223" s="4"/>
      <c r="R6223" s="4"/>
      <c r="S6223" s="4"/>
      <c r="T6223" s="4"/>
      <c r="U6223" s="4"/>
      <c r="V6223" s="4"/>
      <c r="W6223" s="4"/>
      <c r="X6223" s="4"/>
    </row>
    <row r="6224" spans="17:24" x14ac:dyDescent="0.3">
      <c r="Q6224" s="4"/>
      <c r="R6224" s="4"/>
      <c r="S6224" s="4"/>
      <c r="T6224" s="4"/>
      <c r="U6224" s="4"/>
      <c r="V6224" s="4"/>
      <c r="W6224" s="4"/>
      <c r="X6224" s="4"/>
    </row>
    <row r="6225" spans="17:24" x14ac:dyDescent="0.3">
      <c r="Q6225" s="4"/>
      <c r="R6225" s="4"/>
      <c r="S6225" s="4"/>
      <c r="T6225" s="4"/>
      <c r="U6225" s="4"/>
      <c r="V6225" s="4"/>
      <c r="W6225" s="4"/>
      <c r="X6225" s="4"/>
    </row>
    <row r="6226" spans="17:24" x14ac:dyDescent="0.3">
      <c r="Q6226" s="4"/>
      <c r="R6226" s="4"/>
      <c r="S6226" s="4"/>
      <c r="T6226" s="4"/>
      <c r="U6226" s="4"/>
      <c r="V6226" s="4"/>
      <c r="W6226" s="4"/>
      <c r="X6226" s="4"/>
    </row>
    <row r="6227" spans="17:24" x14ac:dyDescent="0.3">
      <c r="Q6227" s="4"/>
      <c r="R6227" s="4"/>
      <c r="S6227" s="4"/>
      <c r="T6227" s="4"/>
      <c r="U6227" s="4"/>
      <c r="V6227" s="4"/>
      <c r="W6227" s="4"/>
      <c r="X6227" s="4"/>
    </row>
    <row r="6228" spans="17:24" x14ac:dyDescent="0.3">
      <c r="Q6228" s="4"/>
      <c r="R6228" s="4"/>
      <c r="S6228" s="4"/>
      <c r="T6228" s="4"/>
      <c r="U6228" s="4"/>
      <c r="V6228" s="4"/>
      <c r="W6228" s="4"/>
      <c r="X6228" s="4"/>
    </row>
    <row r="6229" spans="17:24" x14ac:dyDescent="0.3">
      <c r="Q6229" s="4"/>
      <c r="R6229" s="4"/>
      <c r="S6229" s="4"/>
      <c r="T6229" s="4"/>
      <c r="U6229" s="4"/>
      <c r="V6229" s="4"/>
      <c r="W6229" s="4"/>
      <c r="X6229" s="4"/>
    </row>
    <row r="6230" spans="17:24" x14ac:dyDescent="0.3">
      <c r="Q6230" s="4"/>
      <c r="R6230" s="4"/>
      <c r="S6230" s="4"/>
      <c r="T6230" s="4"/>
      <c r="U6230" s="4"/>
      <c r="V6230" s="4"/>
      <c r="W6230" s="4"/>
      <c r="X6230" s="4"/>
    </row>
    <row r="6231" spans="17:24" x14ac:dyDescent="0.3">
      <c r="Q6231" s="4"/>
      <c r="R6231" s="4"/>
      <c r="S6231" s="4"/>
      <c r="T6231" s="4"/>
      <c r="U6231" s="4"/>
      <c r="V6231" s="4"/>
      <c r="W6231" s="4"/>
      <c r="X6231" s="4"/>
    </row>
    <row r="6232" spans="17:24" x14ac:dyDescent="0.3">
      <c r="Q6232" s="4"/>
      <c r="R6232" s="4"/>
      <c r="S6232" s="4"/>
      <c r="T6232" s="4"/>
      <c r="U6232" s="4"/>
      <c r="V6232" s="4"/>
      <c r="W6232" s="4"/>
      <c r="X6232" s="4"/>
    </row>
    <row r="6233" spans="17:24" x14ac:dyDescent="0.3">
      <c r="Q6233" s="4"/>
      <c r="R6233" s="4"/>
      <c r="S6233" s="4"/>
      <c r="T6233" s="4"/>
      <c r="U6233" s="4"/>
      <c r="V6233" s="4"/>
      <c r="W6233" s="4"/>
      <c r="X6233" s="4"/>
    </row>
    <row r="6234" spans="17:24" x14ac:dyDescent="0.3">
      <c r="Q6234" s="4"/>
      <c r="R6234" s="4"/>
      <c r="S6234" s="4"/>
      <c r="T6234" s="4"/>
      <c r="U6234" s="4"/>
      <c r="V6234" s="4"/>
      <c r="W6234" s="4"/>
      <c r="X6234" s="4"/>
    </row>
    <row r="6235" spans="17:24" x14ac:dyDescent="0.3">
      <c r="Q6235" s="4"/>
      <c r="R6235" s="4"/>
      <c r="S6235" s="4"/>
      <c r="T6235" s="4"/>
      <c r="U6235" s="4"/>
      <c r="V6235" s="4"/>
      <c r="W6235" s="4"/>
      <c r="X6235" s="4"/>
    </row>
    <row r="6236" spans="17:24" x14ac:dyDescent="0.3">
      <c r="Q6236" s="4"/>
      <c r="R6236" s="4"/>
      <c r="S6236" s="4"/>
      <c r="T6236" s="4"/>
      <c r="U6236" s="4"/>
      <c r="V6236" s="4"/>
      <c r="W6236" s="4"/>
      <c r="X6236" s="4"/>
    </row>
    <row r="6237" spans="17:24" x14ac:dyDescent="0.3">
      <c r="Q6237" s="4"/>
      <c r="R6237" s="4"/>
      <c r="S6237" s="4"/>
      <c r="T6237" s="4"/>
      <c r="U6237" s="4"/>
      <c r="V6237" s="4"/>
      <c r="W6237" s="4"/>
      <c r="X6237" s="4"/>
    </row>
    <row r="6238" spans="17:24" x14ac:dyDescent="0.3">
      <c r="Q6238" s="4"/>
      <c r="R6238" s="4"/>
      <c r="S6238" s="4"/>
      <c r="T6238" s="4"/>
      <c r="U6238" s="4"/>
      <c r="V6238" s="4"/>
      <c r="W6238" s="4"/>
      <c r="X6238" s="4"/>
    </row>
    <row r="6239" spans="17:24" x14ac:dyDescent="0.3">
      <c r="Q6239" s="4"/>
      <c r="R6239" s="4"/>
      <c r="S6239" s="4"/>
      <c r="T6239" s="4"/>
      <c r="U6239" s="4"/>
      <c r="V6239" s="4"/>
      <c r="W6239" s="4"/>
      <c r="X6239" s="4"/>
    </row>
    <row r="6240" spans="17:24" x14ac:dyDescent="0.3">
      <c r="Q6240" s="4"/>
      <c r="R6240" s="4"/>
      <c r="S6240" s="4"/>
      <c r="T6240" s="4"/>
      <c r="U6240" s="4"/>
      <c r="V6240" s="4"/>
      <c r="W6240" s="4"/>
      <c r="X6240" s="4"/>
    </row>
    <row r="6241" spans="17:24" x14ac:dyDescent="0.3">
      <c r="Q6241" s="4"/>
      <c r="R6241" s="4"/>
      <c r="S6241" s="4"/>
      <c r="T6241" s="4"/>
      <c r="U6241" s="4"/>
      <c r="V6241" s="4"/>
      <c r="W6241" s="4"/>
      <c r="X6241" s="4"/>
    </row>
    <row r="6242" spans="17:24" x14ac:dyDescent="0.3">
      <c r="Q6242" s="4"/>
      <c r="R6242" s="4"/>
      <c r="S6242" s="4"/>
      <c r="T6242" s="4"/>
      <c r="U6242" s="4"/>
      <c r="V6242" s="4"/>
      <c r="W6242" s="4"/>
      <c r="X6242" s="4"/>
    </row>
    <row r="6243" spans="17:24" x14ac:dyDescent="0.3">
      <c r="Q6243" s="4"/>
      <c r="R6243" s="4"/>
      <c r="S6243" s="4"/>
      <c r="T6243" s="4"/>
      <c r="U6243" s="4"/>
      <c r="V6243" s="4"/>
      <c r="W6243" s="4"/>
      <c r="X6243" s="4"/>
    </row>
    <row r="6244" spans="17:24" x14ac:dyDescent="0.3">
      <c r="Q6244" s="4"/>
      <c r="R6244" s="4"/>
      <c r="S6244" s="4"/>
      <c r="T6244" s="4"/>
      <c r="U6244" s="4"/>
      <c r="V6244" s="4"/>
      <c r="W6244" s="4"/>
      <c r="X6244" s="4"/>
    </row>
    <row r="6245" spans="17:24" x14ac:dyDescent="0.3">
      <c r="Q6245" s="4"/>
      <c r="R6245" s="4"/>
      <c r="S6245" s="4"/>
      <c r="T6245" s="4"/>
      <c r="U6245" s="4"/>
      <c r="V6245" s="4"/>
      <c r="W6245" s="4"/>
      <c r="X6245" s="4"/>
    </row>
    <row r="6246" spans="17:24" x14ac:dyDescent="0.3">
      <c r="Q6246" s="4"/>
      <c r="R6246" s="4"/>
      <c r="S6246" s="4"/>
      <c r="T6246" s="4"/>
      <c r="U6246" s="4"/>
      <c r="V6246" s="4"/>
      <c r="W6246" s="4"/>
      <c r="X6246" s="4"/>
    </row>
    <row r="6247" spans="17:24" x14ac:dyDescent="0.3">
      <c r="Q6247" s="4"/>
      <c r="R6247" s="4"/>
      <c r="S6247" s="4"/>
      <c r="T6247" s="4"/>
      <c r="U6247" s="4"/>
      <c r="V6247" s="4"/>
      <c r="W6247" s="4"/>
      <c r="X6247" s="4"/>
    </row>
    <row r="6248" spans="17:24" x14ac:dyDescent="0.3">
      <c r="Q6248" s="4"/>
      <c r="R6248" s="4"/>
      <c r="S6248" s="4"/>
      <c r="T6248" s="4"/>
      <c r="U6248" s="4"/>
      <c r="V6248" s="4"/>
      <c r="W6248" s="4"/>
      <c r="X6248" s="4"/>
    </row>
    <row r="6249" spans="17:24" x14ac:dyDescent="0.3">
      <c r="Q6249" s="4"/>
      <c r="R6249" s="4"/>
      <c r="S6249" s="4"/>
      <c r="T6249" s="4"/>
      <c r="U6249" s="4"/>
      <c r="V6249" s="4"/>
      <c r="W6249" s="4"/>
      <c r="X6249" s="4"/>
    </row>
    <row r="6250" spans="17:24" x14ac:dyDescent="0.3">
      <c r="Q6250" s="4"/>
      <c r="R6250" s="4"/>
      <c r="S6250" s="4"/>
      <c r="T6250" s="4"/>
      <c r="U6250" s="4"/>
      <c r="V6250" s="4"/>
      <c r="W6250" s="4"/>
      <c r="X6250" s="4"/>
    </row>
    <row r="6251" spans="17:24" x14ac:dyDescent="0.3">
      <c r="Q6251" s="4"/>
      <c r="R6251" s="4"/>
      <c r="S6251" s="4"/>
      <c r="T6251" s="4"/>
      <c r="U6251" s="4"/>
      <c r="V6251" s="4"/>
      <c r="W6251" s="4"/>
      <c r="X6251" s="4"/>
    </row>
    <row r="6252" spans="17:24" x14ac:dyDescent="0.3">
      <c r="Q6252" s="4"/>
      <c r="R6252" s="4"/>
      <c r="S6252" s="4"/>
      <c r="T6252" s="4"/>
      <c r="U6252" s="4"/>
      <c r="V6252" s="4"/>
      <c r="W6252" s="4"/>
      <c r="X6252" s="4"/>
    </row>
    <row r="6253" spans="17:24" x14ac:dyDescent="0.3">
      <c r="Q6253" s="4"/>
      <c r="R6253" s="4"/>
      <c r="S6253" s="4"/>
      <c r="T6253" s="4"/>
      <c r="U6253" s="4"/>
      <c r="V6253" s="4"/>
      <c r="W6253" s="4"/>
      <c r="X6253" s="4"/>
    </row>
    <row r="6254" spans="17:24" x14ac:dyDescent="0.3">
      <c r="Q6254" s="4"/>
      <c r="R6254" s="4"/>
      <c r="S6254" s="4"/>
      <c r="T6254" s="4"/>
      <c r="U6254" s="4"/>
      <c r="V6254" s="4"/>
      <c r="W6254" s="4"/>
      <c r="X6254" s="4"/>
    </row>
    <row r="6255" spans="17:24" x14ac:dyDescent="0.3">
      <c r="Q6255" s="4"/>
      <c r="R6255" s="4"/>
      <c r="S6255" s="4"/>
      <c r="T6255" s="4"/>
      <c r="U6255" s="4"/>
      <c r="V6255" s="4"/>
      <c r="W6255" s="4"/>
      <c r="X6255" s="4"/>
    </row>
    <row r="6256" spans="17:24" x14ac:dyDescent="0.3">
      <c r="Q6256" s="4"/>
      <c r="R6256" s="4"/>
      <c r="S6256" s="4"/>
      <c r="T6256" s="4"/>
      <c r="U6256" s="4"/>
      <c r="V6256" s="4"/>
      <c r="W6256" s="4"/>
      <c r="X6256" s="4"/>
    </row>
    <row r="6257" spans="17:24" x14ac:dyDescent="0.3">
      <c r="Q6257" s="4"/>
      <c r="R6257" s="4"/>
      <c r="S6257" s="4"/>
      <c r="T6257" s="4"/>
      <c r="U6257" s="4"/>
      <c r="V6257" s="4"/>
      <c r="W6257" s="4"/>
      <c r="X6257" s="4"/>
    </row>
    <row r="6258" spans="17:24" x14ac:dyDescent="0.3">
      <c r="Q6258" s="4"/>
      <c r="R6258" s="4"/>
      <c r="S6258" s="4"/>
      <c r="T6258" s="4"/>
      <c r="U6258" s="4"/>
      <c r="V6258" s="4"/>
      <c r="W6258" s="4"/>
      <c r="X6258" s="4"/>
    </row>
    <row r="6259" spans="17:24" x14ac:dyDescent="0.3">
      <c r="Q6259" s="4"/>
      <c r="R6259" s="4"/>
      <c r="S6259" s="4"/>
      <c r="T6259" s="4"/>
      <c r="U6259" s="4"/>
      <c r="V6259" s="4"/>
      <c r="W6259" s="4"/>
      <c r="X6259" s="4"/>
    </row>
    <row r="6260" spans="17:24" x14ac:dyDescent="0.3">
      <c r="Q6260" s="4"/>
      <c r="R6260" s="4"/>
      <c r="S6260" s="4"/>
      <c r="T6260" s="4"/>
      <c r="U6260" s="4"/>
      <c r="V6260" s="4"/>
      <c r="W6260" s="4"/>
      <c r="X6260" s="4"/>
    </row>
    <row r="6261" spans="17:24" x14ac:dyDescent="0.3">
      <c r="Q6261" s="4"/>
      <c r="R6261" s="4"/>
      <c r="S6261" s="4"/>
      <c r="T6261" s="4"/>
      <c r="U6261" s="4"/>
      <c r="V6261" s="4"/>
      <c r="W6261" s="4"/>
      <c r="X6261" s="4"/>
    </row>
    <row r="6262" spans="17:24" x14ac:dyDescent="0.3">
      <c r="Q6262" s="4"/>
      <c r="R6262" s="4"/>
      <c r="S6262" s="4"/>
      <c r="T6262" s="4"/>
      <c r="U6262" s="4"/>
      <c r="V6262" s="4"/>
      <c r="W6262" s="4"/>
      <c r="X6262" s="4"/>
    </row>
    <row r="6263" spans="17:24" x14ac:dyDescent="0.3">
      <c r="Q6263" s="4"/>
      <c r="R6263" s="4"/>
      <c r="S6263" s="4"/>
      <c r="T6263" s="4"/>
      <c r="U6263" s="4"/>
      <c r="V6263" s="4"/>
      <c r="W6263" s="4"/>
      <c r="X6263" s="4"/>
    </row>
    <row r="6264" spans="17:24" x14ac:dyDescent="0.3">
      <c r="Q6264" s="4"/>
      <c r="R6264" s="4"/>
      <c r="S6264" s="4"/>
      <c r="T6264" s="4"/>
      <c r="U6264" s="4"/>
      <c r="V6264" s="4"/>
      <c r="W6264" s="4"/>
      <c r="X6264" s="4"/>
    </row>
    <row r="6265" spans="17:24" x14ac:dyDescent="0.3">
      <c r="Q6265" s="4"/>
      <c r="R6265" s="4"/>
      <c r="S6265" s="4"/>
      <c r="T6265" s="4"/>
      <c r="U6265" s="4"/>
      <c r="V6265" s="4"/>
      <c r="W6265" s="4"/>
      <c r="X6265" s="4"/>
    </row>
    <row r="6266" spans="17:24" x14ac:dyDescent="0.3">
      <c r="Q6266" s="4"/>
      <c r="R6266" s="4"/>
      <c r="S6266" s="4"/>
      <c r="T6266" s="4"/>
      <c r="U6266" s="4"/>
      <c r="V6266" s="4"/>
      <c r="W6266" s="4"/>
      <c r="X6266" s="4"/>
    </row>
    <row r="6267" spans="17:24" x14ac:dyDescent="0.3">
      <c r="Q6267" s="4"/>
      <c r="R6267" s="4"/>
      <c r="S6267" s="4"/>
      <c r="T6267" s="4"/>
      <c r="U6267" s="4"/>
      <c r="V6267" s="4"/>
      <c r="W6267" s="4"/>
      <c r="X6267" s="4"/>
    </row>
    <row r="6268" spans="17:24" x14ac:dyDescent="0.3">
      <c r="Q6268" s="4"/>
      <c r="R6268" s="4"/>
      <c r="S6268" s="4"/>
      <c r="T6268" s="4"/>
      <c r="U6268" s="4"/>
      <c r="V6268" s="4"/>
      <c r="W6268" s="4"/>
      <c r="X6268" s="4"/>
    </row>
    <row r="6269" spans="17:24" x14ac:dyDescent="0.3">
      <c r="Q6269" s="4"/>
      <c r="R6269" s="4"/>
      <c r="S6269" s="4"/>
      <c r="T6269" s="4"/>
      <c r="U6269" s="4"/>
      <c r="V6269" s="4"/>
      <c r="W6269" s="4"/>
      <c r="X6269" s="4"/>
    </row>
    <row r="6270" spans="17:24" x14ac:dyDescent="0.3">
      <c r="Q6270" s="4"/>
      <c r="R6270" s="4"/>
      <c r="S6270" s="4"/>
      <c r="T6270" s="4"/>
      <c r="U6270" s="4"/>
      <c r="V6270" s="4"/>
      <c r="W6270" s="4"/>
      <c r="X6270" s="4"/>
    </row>
    <row r="6271" spans="17:24" x14ac:dyDescent="0.3">
      <c r="Q6271" s="4"/>
      <c r="R6271" s="4"/>
      <c r="S6271" s="4"/>
      <c r="T6271" s="4"/>
      <c r="U6271" s="4"/>
      <c r="V6271" s="4"/>
      <c r="W6271" s="4"/>
      <c r="X6271" s="4"/>
    </row>
    <row r="6272" spans="17:24" x14ac:dyDescent="0.3">
      <c r="Q6272" s="4"/>
      <c r="R6272" s="4"/>
      <c r="S6272" s="4"/>
      <c r="T6272" s="4"/>
      <c r="U6272" s="4"/>
      <c r="V6272" s="4"/>
      <c r="W6272" s="4"/>
      <c r="X6272" s="4"/>
    </row>
    <row r="6273" spans="17:24" x14ac:dyDescent="0.3">
      <c r="Q6273" s="4"/>
      <c r="R6273" s="4"/>
      <c r="S6273" s="4"/>
      <c r="T6273" s="4"/>
      <c r="U6273" s="4"/>
      <c r="V6273" s="4"/>
      <c r="W6273" s="4"/>
      <c r="X6273" s="4"/>
    </row>
    <row r="6274" spans="17:24" x14ac:dyDescent="0.3">
      <c r="Q6274" s="4"/>
      <c r="R6274" s="4"/>
      <c r="S6274" s="4"/>
      <c r="T6274" s="4"/>
      <c r="U6274" s="4"/>
      <c r="V6274" s="4"/>
      <c r="W6274" s="4"/>
      <c r="X6274" s="4"/>
    </row>
    <row r="6275" spans="17:24" x14ac:dyDescent="0.3">
      <c r="Q6275" s="4"/>
      <c r="R6275" s="4"/>
      <c r="S6275" s="4"/>
      <c r="T6275" s="4"/>
      <c r="U6275" s="4"/>
      <c r="V6275" s="4"/>
      <c r="W6275" s="4"/>
      <c r="X6275" s="4"/>
    </row>
    <row r="6276" spans="17:24" x14ac:dyDescent="0.3">
      <c r="Q6276" s="4"/>
      <c r="R6276" s="4"/>
      <c r="S6276" s="4"/>
      <c r="T6276" s="4"/>
      <c r="U6276" s="4"/>
      <c r="V6276" s="4"/>
      <c r="W6276" s="4"/>
      <c r="X6276" s="4"/>
    </row>
    <row r="6277" spans="17:24" x14ac:dyDescent="0.3">
      <c r="Q6277" s="4"/>
      <c r="R6277" s="4"/>
      <c r="S6277" s="4"/>
      <c r="T6277" s="4"/>
      <c r="U6277" s="4"/>
      <c r="V6277" s="4"/>
      <c r="W6277" s="4"/>
      <c r="X6277" s="4"/>
    </row>
    <row r="6278" spans="17:24" x14ac:dyDescent="0.3">
      <c r="Q6278" s="4"/>
      <c r="R6278" s="4"/>
      <c r="S6278" s="4"/>
      <c r="T6278" s="4"/>
      <c r="U6278" s="4"/>
      <c r="V6278" s="4"/>
      <c r="W6278" s="4"/>
      <c r="X6278" s="4"/>
    </row>
    <row r="6279" spans="17:24" x14ac:dyDescent="0.3">
      <c r="Q6279" s="4"/>
      <c r="R6279" s="4"/>
      <c r="S6279" s="4"/>
      <c r="T6279" s="4"/>
      <c r="U6279" s="4"/>
      <c r="V6279" s="4"/>
      <c r="W6279" s="4"/>
      <c r="X6279" s="4"/>
    </row>
    <row r="6280" spans="17:24" x14ac:dyDescent="0.3">
      <c r="Q6280" s="4"/>
      <c r="R6280" s="4"/>
      <c r="S6280" s="4"/>
      <c r="T6280" s="4"/>
      <c r="U6280" s="4"/>
      <c r="V6280" s="4"/>
      <c r="W6280" s="4"/>
      <c r="X6280" s="4"/>
    </row>
    <row r="6281" spans="17:24" x14ac:dyDescent="0.3">
      <c r="Q6281" s="4"/>
      <c r="R6281" s="4"/>
      <c r="S6281" s="4"/>
      <c r="T6281" s="4"/>
      <c r="U6281" s="4"/>
      <c r="V6281" s="4"/>
      <c r="W6281" s="4"/>
      <c r="X6281" s="4"/>
    </row>
    <row r="6282" spans="17:24" x14ac:dyDescent="0.3">
      <c r="Q6282" s="4"/>
      <c r="R6282" s="4"/>
      <c r="S6282" s="4"/>
      <c r="T6282" s="4"/>
      <c r="U6282" s="4"/>
      <c r="V6282" s="4"/>
      <c r="W6282" s="4"/>
      <c r="X6282" s="4"/>
    </row>
    <row r="6283" spans="17:24" x14ac:dyDescent="0.3">
      <c r="Q6283" s="4"/>
      <c r="R6283" s="4"/>
      <c r="S6283" s="4"/>
      <c r="T6283" s="4"/>
      <c r="U6283" s="4"/>
      <c r="V6283" s="4"/>
      <c r="W6283" s="4"/>
      <c r="X6283" s="4"/>
    </row>
    <row r="6284" spans="17:24" x14ac:dyDescent="0.3">
      <c r="Q6284" s="4"/>
      <c r="R6284" s="4"/>
      <c r="S6284" s="4"/>
      <c r="T6284" s="4"/>
      <c r="U6284" s="4"/>
      <c r="V6284" s="4"/>
      <c r="W6284" s="4"/>
      <c r="X6284" s="4"/>
    </row>
    <row r="6285" spans="17:24" x14ac:dyDescent="0.3">
      <c r="Q6285" s="4"/>
      <c r="R6285" s="4"/>
      <c r="S6285" s="4"/>
      <c r="T6285" s="4"/>
      <c r="U6285" s="4"/>
      <c r="V6285" s="4"/>
      <c r="W6285" s="4"/>
      <c r="X6285" s="4"/>
    </row>
    <row r="6286" spans="17:24" x14ac:dyDescent="0.3">
      <c r="Q6286" s="4"/>
      <c r="R6286" s="4"/>
      <c r="S6286" s="4"/>
      <c r="T6286" s="4"/>
      <c r="U6286" s="4"/>
      <c r="V6286" s="4"/>
      <c r="W6286" s="4"/>
      <c r="X6286" s="4"/>
    </row>
    <row r="6287" spans="17:24" x14ac:dyDescent="0.3">
      <c r="Q6287" s="4"/>
      <c r="R6287" s="4"/>
      <c r="S6287" s="4"/>
      <c r="T6287" s="4"/>
      <c r="U6287" s="4"/>
      <c r="V6287" s="4"/>
      <c r="W6287" s="4"/>
      <c r="X6287" s="4"/>
    </row>
    <row r="6288" spans="17:24" x14ac:dyDescent="0.3">
      <c r="Q6288" s="4"/>
      <c r="R6288" s="4"/>
      <c r="S6288" s="4"/>
      <c r="T6288" s="4"/>
      <c r="U6288" s="4"/>
      <c r="V6288" s="4"/>
      <c r="W6288" s="4"/>
      <c r="X6288" s="4"/>
    </row>
    <row r="6289" spans="17:24" x14ac:dyDescent="0.3">
      <c r="Q6289" s="4"/>
      <c r="R6289" s="4"/>
      <c r="S6289" s="4"/>
      <c r="T6289" s="4"/>
      <c r="U6289" s="4"/>
      <c r="V6289" s="4"/>
      <c r="W6289" s="4"/>
      <c r="X6289" s="4"/>
    </row>
    <row r="6290" spans="17:24" x14ac:dyDescent="0.3">
      <c r="Q6290" s="4"/>
      <c r="R6290" s="4"/>
      <c r="S6290" s="4"/>
      <c r="T6290" s="4"/>
      <c r="U6290" s="4"/>
      <c r="V6290" s="4"/>
      <c r="W6290" s="4"/>
      <c r="X6290" s="4"/>
    </row>
    <row r="6291" spans="17:24" x14ac:dyDescent="0.3">
      <c r="Q6291" s="4"/>
      <c r="R6291" s="4"/>
      <c r="S6291" s="4"/>
      <c r="T6291" s="4"/>
      <c r="U6291" s="4"/>
      <c r="V6291" s="4"/>
      <c r="W6291" s="4"/>
      <c r="X6291" s="4"/>
    </row>
    <row r="6292" spans="17:24" x14ac:dyDescent="0.3">
      <c r="Q6292" s="4"/>
      <c r="R6292" s="4"/>
      <c r="S6292" s="4"/>
      <c r="T6292" s="4"/>
      <c r="U6292" s="4"/>
      <c r="V6292" s="4"/>
      <c r="W6292" s="4"/>
      <c r="X6292" s="4"/>
    </row>
    <row r="6293" spans="17:24" x14ac:dyDescent="0.3">
      <c r="Q6293" s="4"/>
      <c r="R6293" s="4"/>
      <c r="S6293" s="4"/>
      <c r="T6293" s="4"/>
      <c r="U6293" s="4"/>
      <c r="V6293" s="4"/>
      <c r="W6293" s="4"/>
      <c r="X6293" s="4"/>
    </row>
    <row r="6294" spans="17:24" x14ac:dyDescent="0.3">
      <c r="Q6294" s="4"/>
      <c r="R6294" s="4"/>
      <c r="S6294" s="4"/>
      <c r="T6294" s="4"/>
      <c r="U6294" s="4"/>
      <c r="V6294" s="4"/>
      <c r="W6294" s="4"/>
      <c r="X6294" s="4"/>
    </row>
    <row r="6295" spans="17:24" x14ac:dyDescent="0.3">
      <c r="Q6295" s="4"/>
      <c r="R6295" s="4"/>
      <c r="S6295" s="4"/>
      <c r="T6295" s="4"/>
      <c r="U6295" s="4"/>
      <c r="V6295" s="4"/>
      <c r="W6295" s="4"/>
      <c r="X6295" s="4"/>
    </row>
    <row r="6296" spans="17:24" x14ac:dyDescent="0.3">
      <c r="Q6296" s="4"/>
      <c r="R6296" s="4"/>
      <c r="S6296" s="4"/>
      <c r="T6296" s="4"/>
      <c r="U6296" s="4"/>
      <c r="V6296" s="4"/>
      <c r="W6296" s="4"/>
      <c r="X6296" s="4"/>
    </row>
    <row r="6297" spans="17:24" x14ac:dyDescent="0.3">
      <c r="Q6297" s="4"/>
      <c r="R6297" s="4"/>
      <c r="S6297" s="4"/>
      <c r="T6297" s="4"/>
      <c r="U6297" s="4"/>
      <c r="V6297" s="4"/>
      <c r="W6297" s="4"/>
      <c r="X6297" s="4"/>
    </row>
    <row r="6298" spans="17:24" x14ac:dyDescent="0.3">
      <c r="Q6298" s="4"/>
      <c r="R6298" s="4"/>
      <c r="S6298" s="4"/>
      <c r="T6298" s="4"/>
      <c r="U6298" s="4"/>
      <c r="V6298" s="4"/>
      <c r="W6298" s="4"/>
      <c r="X6298" s="4"/>
    </row>
    <row r="6299" spans="17:24" x14ac:dyDescent="0.3">
      <c r="Q6299" s="4"/>
      <c r="R6299" s="4"/>
      <c r="S6299" s="4"/>
      <c r="T6299" s="4"/>
      <c r="U6299" s="4"/>
      <c r="V6299" s="4"/>
      <c r="W6299" s="4"/>
      <c r="X6299" s="4"/>
    </row>
    <row r="6300" spans="17:24" x14ac:dyDescent="0.3">
      <c r="Q6300" s="4"/>
      <c r="R6300" s="4"/>
      <c r="S6300" s="4"/>
      <c r="T6300" s="4"/>
      <c r="U6300" s="4"/>
      <c r="V6300" s="4"/>
      <c r="W6300" s="4"/>
      <c r="X6300" s="4"/>
    </row>
    <row r="6301" spans="17:24" x14ac:dyDescent="0.3">
      <c r="Q6301" s="4"/>
      <c r="R6301" s="4"/>
      <c r="S6301" s="4"/>
      <c r="T6301" s="4"/>
      <c r="U6301" s="4"/>
      <c r="V6301" s="4"/>
      <c r="W6301" s="4"/>
      <c r="X6301" s="4"/>
    </row>
    <row r="6302" spans="17:24" x14ac:dyDescent="0.3">
      <c r="Q6302" s="4"/>
      <c r="R6302" s="4"/>
      <c r="S6302" s="4"/>
      <c r="T6302" s="4"/>
      <c r="U6302" s="4"/>
      <c r="V6302" s="4"/>
      <c r="W6302" s="4"/>
      <c r="X6302" s="4"/>
    </row>
    <row r="6303" spans="17:24" x14ac:dyDescent="0.3">
      <c r="Q6303" s="4"/>
      <c r="R6303" s="4"/>
      <c r="S6303" s="4"/>
      <c r="T6303" s="4"/>
      <c r="U6303" s="4"/>
      <c r="V6303" s="4"/>
      <c r="W6303" s="4"/>
      <c r="X6303" s="4"/>
    </row>
    <row r="6304" spans="17:24" x14ac:dyDescent="0.3">
      <c r="Q6304" s="4"/>
      <c r="R6304" s="4"/>
      <c r="S6304" s="4"/>
      <c r="T6304" s="4"/>
      <c r="U6304" s="4"/>
      <c r="V6304" s="4"/>
      <c r="W6304" s="4"/>
      <c r="X6304" s="4"/>
    </row>
    <row r="6305" spans="17:24" x14ac:dyDescent="0.3">
      <c r="Q6305" s="4"/>
      <c r="R6305" s="4"/>
      <c r="S6305" s="4"/>
      <c r="T6305" s="4"/>
      <c r="U6305" s="4"/>
      <c r="V6305" s="4"/>
      <c r="W6305" s="4"/>
      <c r="X6305" s="4"/>
    </row>
    <row r="6306" spans="17:24" x14ac:dyDescent="0.3">
      <c r="Q6306" s="4"/>
      <c r="R6306" s="4"/>
      <c r="S6306" s="4"/>
      <c r="T6306" s="4"/>
      <c r="U6306" s="4"/>
      <c r="V6306" s="4"/>
      <c r="W6306" s="4"/>
      <c r="X6306" s="4"/>
    </row>
    <row r="6307" spans="17:24" x14ac:dyDescent="0.3">
      <c r="Q6307" s="4"/>
      <c r="R6307" s="4"/>
      <c r="S6307" s="4"/>
      <c r="T6307" s="4"/>
      <c r="U6307" s="4"/>
      <c r="V6307" s="4"/>
      <c r="W6307" s="4"/>
      <c r="X6307" s="4"/>
    </row>
    <row r="6308" spans="17:24" x14ac:dyDescent="0.3">
      <c r="Q6308" s="4"/>
      <c r="R6308" s="4"/>
      <c r="S6308" s="4"/>
      <c r="T6308" s="4"/>
      <c r="U6308" s="4"/>
      <c r="V6308" s="4"/>
      <c r="W6308" s="4"/>
      <c r="X6308" s="4"/>
    </row>
    <row r="6309" spans="17:24" x14ac:dyDescent="0.3">
      <c r="Q6309" s="4"/>
      <c r="R6309" s="4"/>
      <c r="S6309" s="4"/>
      <c r="T6309" s="4"/>
      <c r="U6309" s="4"/>
      <c r="V6309" s="4"/>
      <c r="W6309" s="4"/>
      <c r="X6309" s="4"/>
    </row>
    <row r="6310" spans="17:24" x14ac:dyDescent="0.3">
      <c r="Q6310" s="4"/>
      <c r="R6310" s="4"/>
      <c r="S6310" s="4"/>
      <c r="T6310" s="4"/>
      <c r="U6310" s="4"/>
      <c r="V6310" s="4"/>
      <c r="W6310" s="4"/>
      <c r="X6310" s="4"/>
    </row>
    <row r="6311" spans="17:24" x14ac:dyDescent="0.3">
      <c r="Q6311" s="4"/>
      <c r="R6311" s="4"/>
      <c r="S6311" s="4"/>
      <c r="T6311" s="4"/>
      <c r="U6311" s="4"/>
      <c r="V6311" s="4"/>
      <c r="W6311" s="4"/>
      <c r="X6311" s="4"/>
    </row>
    <row r="6312" spans="17:24" x14ac:dyDescent="0.3">
      <c r="Q6312" s="4"/>
      <c r="R6312" s="4"/>
      <c r="S6312" s="4"/>
      <c r="T6312" s="4"/>
      <c r="U6312" s="4"/>
      <c r="V6312" s="4"/>
      <c r="W6312" s="4"/>
      <c r="X6312" s="4"/>
    </row>
    <row r="6313" spans="17:24" x14ac:dyDescent="0.3">
      <c r="Q6313" s="4"/>
      <c r="R6313" s="4"/>
      <c r="S6313" s="4"/>
      <c r="T6313" s="4"/>
      <c r="U6313" s="4"/>
      <c r="V6313" s="4"/>
      <c r="W6313" s="4"/>
      <c r="X6313" s="4"/>
    </row>
    <row r="6314" spans="17:24" x14ac:dyDescent="0.3">
      <c r="Q6314" s="4"/>
      <c r="R6314" s="4"/>
      <c r="S6314" s="4"/>
      <c r="T6314" s="4"/>
      <c r="U6314" s="4"/>
      <c r="V6314" s="4"/>
      <c r="W6314" s="4"/>
      <c r="X6314" s="4"/>
    </row>
    <row r="6315" spans="17:24" x14ac:dyDescent="0.3">
      <c r="Q6315" s="4"/>
      <c r="R6315" s="4"/>
      <c r="S6315" s="4"/>
      <c r="T6315" s="4"/>
      <c r="U6315" s="4"/>
      <c r="V6315" s="4"/>
      <c r="W6315" s="4"/>
      <c r="X6315" s="4"/>
    </row>
    <row r="6316" spans="17:24" x14ac:dyDescent="0.3">
      <c r="Q6316" s="4"/>
      <c r="R6316" s="4"/>
      <c r="S6316" s="4"/>
      <c r="T6316" s="4"/>
      <c r="U6316" s="4"/>
      <c r="V6316" s="4"/>
      <c r="W6316" s="4"/>
      <c r="X6316" s="4"/>
    </row>
    <row r="6317" spans="17:24" x14ac:dyDescent="0.3">
      <c r="Q6317" s="4"/>
      <c r="R6317" s="4"/>
      <c r="S6317" s="4"/>
      <c r="T6317" s="4"/>
      <c r="U6317" s="4"/>
      <c r="V6317" s="4"/>
      <c r="W6317" s="4"/>
      <c r="X6317" s="4"/>
    </row>
    <row r="6318" spans="17:24" x14ac:dyDescent="0.3">
      <c r="Q6318" s="4"/>
      <c r="R6318" s="4"/>
      <c r="S6318" s="4"/>
      <c r="T6318" s="4"/>
      <c r="U6318" s="4"/>
      <c r="V6318" s="4"/>
      <c r="W6318" s="4"/>
      <c r="X6318" s="4"/>
    </row>
    <row r="6319" spans="17:24" x14ac:dyDescent="0.3">
      <c r="Q6319" s="4"/>
      <c r="R6319" s="4"/>
      <c r="S6319" s="4"/>
      <c r="T6319" s="4"/>
      <c r="U6319" s="4"/>
      <c r="V6319" s="4"/>
      <c r="W6319" s="4"/>
      <c r="X6319" s="4"/>
    </row>
    <row r="6320" spans="17:24" x14ac:dyDescent="0.3">
      <c r="Q6320" s="4"/>
      <c r="R6320" s="4"/>
      <c r="S6320" s="4"/>
      <c r="T6320" s="4"/>
      <c r="U6320" s="4"/>
      <c r="V6320" s="4"/>
      <c r="W6320" s="4"/>
      <c r="X6320" s="4"/>
    </row>
    <row r="6321" spans="17:24" x14ac:dyDescent="0.3">
      <c r="Q6321" s="4"/>
      <c r="R6321" s="4"/>
      <c r="S6321" s="4"/>
      <c r="T6321" s="4"/>
      <c r="U6321" s="4"/>
      <c r="V6321" s="4"/>
      <c r="W6321" s="4"/>
      <c r="X6321" s="4"/>
    </row>
    <row r="6322" spans="17:24" x14ac:dyDescent="0.3">
      <c r="Q6322" s="4"/>
      <c r="R6322" s="4"/>
      <c r="S6322" s="4"/>
      <c r="T6322" s="4"/>
      <c r="U6322" s="4"/>
      <c r="V6322" s="4"/>
      <c r="W6322" s="4"/>
      <c r="X6322" s="4"/>
    </row>
    <row r="6323" spans="17:24" x14ac:dyDescent="0.3">
      <c r="Q6323" s="4"/>
      <c r="R6323" s="4"/>
      <c r="S6323" s="4"/>
      <c r="T6323" s="4"/>
      <c r="U6323" s="4"/>
      <c r="V6323" s="4"/>
      <c r="W6323" s="4"/>
      <c r="X6323" s="4"/>
    </row>
    <row r="6324" spans="17:24" x14ac:dyDescent="0.3">
      <c r="Q6324" s="4"/>
      <c r="R6324" s="4"/>
      <c r="S6324" s="4"/>
      <c r="T6324" s="4"/>
      <c r="U6324" s="4"/>
      <c r="V6324" s="4"/>
      <c r="W6324" s="4"/>
      <c r="X6324" s="4"/>
    </row>
    <row r="6325" spans="17:24" x14ac:dyDescent="0.3">
      <c r="Q6325" s="4"/>
      <c r="R6325" s="4"/>
      <c r="S6325" s="4"/>
      <c r="T6325" s="4"/>
      <c r="U6325" s="4"/>
      <c r="V6325" s="4"/>
      <c r="W6325" s="4"/>
      <c r="X6325" s="4"/>
    </row>
    <row r="6326" spans="17:24" x14ac:dyDescent="0.3">
      <c r="Q6326" s="4"/>
      <c r="R6326" s="4"/>
      <c r="S6326" s="4"/>
      <c r="T6326" s="4"/>
      <c r="U6326" s="4"/>
      <c r="V6326" s="4"/>
      <c r="W6326" s="4"/>
      <c r="X6326" s="4"/>
    </row>
    <row r="6327" spans="17:24" x14ac:dyDescent="0.3">
      <c r="Q6327" s="4"/>
      <c r="R6327" s="4"/>
      <c r="S6327" s="4"/>
      <c r="T6327" s="4"/>
      <c r="U6327" s="4"/>
      <c r="V6327" s="4"/>
      <c r="W6327" s="4"/>
      <c r="X6327" s="4"/>
    </row>
    <row r="6328" spans="17:24" x14ac:dyDescent="0.3">
      <c r="Q6328" s="4"/>
      <c r="R6328" s="4"/>
      <c r="S6328" s="4"/>
      <c r="T6328" s="4"/>
      <c r="U6328" s="4"/>
      <c r="V6328" s="4"/>
      <c r="W6328" s="4"/>
      <c r="X6328" s="4"/>
    </row>
    <row r="6329" spans="17:24" x14ac:dyDescent="0.3">
      <c r="Q6329" s="4"/>
      <c r="R6329" s="4"/>
      <c r="S6329" s="4"/>
      <c r="T6329" s="4"/>
      <c r="U6329" s="4"/>
      <c r="V6329" s="4"/>
      <c r="W6329" s="4"/>
      <c r="X6329" s="4"/>
    </row>
    <row r="6330" spans="17:24" x14ac:dyDescent="0.3">
      <c r="Q6330" s="4"/>
      <c r="R6330" s="4"/>
      <c r="S6330" s="4"/>
      <c r="T6330" s="4"/>
      <c r="U6330" s="4"/>
      <c r="V6330" s="4"/>
      <c r="W6330" s="4"/>
      <c r="X6330" s="4"/>
    </row>
    <row r="6331" spans="17:24" x14ac:dyDescent="0.3">
      <c r="Q6331" s="4"/>
      <c r="R6331" s="4"/>
      <c r="S6331" s="4"/>
      <c r="T6331" s="4"/>
      <c r="U6331" s="4"/>
      <c r="V6331" s="4"/>
      <c r="W6331" s="4"/>
      <c r="X6331" s="4"/>
    </row>
    <row r="6332" spans="17:24" x14ac:dyDescent="0.3">
      <c r="Q6332" s="4"/>
      <c r="R6332" s="4"/>
      <c r="S6332" s="4"/>
      <c r="T6332" s="4"/>
      <c r="U6332" s="4"/>
      <c r="V6332" s="4"/>
      <c r="W6332" s="4"/>
      <c r="X6332" s="4"/>
    </row>
    <row r="6333" spans="17:24" x14ac:dyDescent="0.3">
      <c r="Q6333" s="4"/>
      <c r="R6333" s="4"/>
      <c r="S6333" s="4"/>
      <c r="T6333" s="4"/>
      <c r="U6333" s="4"/>
      <c r="V6333" s="4"/>
      <c r="W6333" s="4"/>
      <c r="X6333" s="4"/>
    </row>
    <row r="6334" spans="17:24" x14ac:dyDescent="0.3">
      <c r="Q6334" s="4"/>
      <c r="R6334" s="4"/>
      <c r="S6334" s="4"/>
      <c r="T6334" s="4"/>
      <c r="U6334" s="4"/>
      <c r="V6334" s="4"/>
      <c r="W6334" s="4"/>
      <c r="X6334" s="4"/>
    </row>
    <row r="6335" spans="17:24" x14ac:dyDescent="0.3">
      <c r="Q6335" s="4"/>
      <c r="R6335" s="4"/>
      <c r="S6335" s="4"/>
      <c r="T6335" s="4"/>
      <c r="U6335" s="4"/>
      <c r="V6335" s="4"/>
      <c r="W6335" s="4"/>
      <c r="X6335" s="4"/>
    </row>
    <row r="6336" spans="17:24" x14ac:dyDescent="0.3">
      <c r="Q6336" s="4"/>
      <c r="R6336" s="4"/>
      <c r="S6336" s="4"/>
      <c r="T6336" s="4"/>
      <c r="U6336" s="4"/>
      <c r="V6336" s="4"/>
      <c r="W6336" s="4"/>
      <c r="X6336" s="4"/>
    </row>
    <row r="6337" spans="17:24" x14ac:dyDescent="0.3">
      <c r="Q6337" s="4"/>
      <c r="R6337" s="4"/>
      <c r="S6337" s="4"/>
      <c r="T6337" s="4"/>
      <c r="U6337" s="4"/>
      <c r="V6337" s="4"/>
      <c r="W6337" s="4"/>
      <c r="X6337" s="4"/>
    </row>
    <row r="6338" spans="17:24" x14ac:dyDescent="0.3">
      <c r="Q6338" s="4"/>
      <c r="R6338" s="4"/>
      <c r="S6338" s="4"/>
      <c r="T6338" s="4"/>
      <c r="U6338" s="4"/>
      <c r="V6338" s="4"/>
      <c r="W6338" s="4"/>
      <c r="X6338" s="4"/>
    </row>
    <row r="6339" spans="17:24" x14ac:dyDescent="0.3">
      <c r="Q6339" s="4"/>
      <c r="R6339" s="4"/>
      <c r="S6339" s="4"/>
      <c r="T6339" s="4"/>
      <c r="U6339" s="4"/>
      <c r="V6339" s="4"/>
      <c r="W6339" s="4"/>
      <c r="X6339" s="4"/>
    </row>
    <row r="6340" spans="17:24" x14ac:dyDescent="0.3">
      <c r="Q6340" s="4"/>
      <c r="R6340" s="4"/>
      <c r="S6340" s="4"/>
      <c r="T6340" s="4"/>
      <c r="U6340" s="4"/>
      <c r="V6340" s="4"/>
      <c r="W6340" s="4"/>
      <c r="X6340" s="4"/>
    </row>
    <row r="6341" spans="17:24" x14ac:dyDescent="0.3">
      <c r="Q6341" s="4"/>
      <c r="R6341" s="4"/>
      <c r="S6341" s="4"/>
      <c r="T6341" s="4"/>
      <c r="U6341" s="4"/>
      <c r="V6341" s="4"/>
      <c r="W6341" s="4"/>
      <c r="X6341" s="4"/>
    </row>
    <row r="6342" spans="17:24" x14ac:dyDescent="0.3">
      <c r="Q6342" s="4"/>
      <c r="R6342" s="4"/>
      <c r="S6342" s="4"/>
      <c r="T6342" s="4"/>
      <c r="U6342" s="4"/>
      <c r="V6342" s="4"/>
      <c r="W6342" s="4"/>
      <c r="X6342" s="4"/>
    </row>
    <row r="6343" spans="17:24" x14ac:dyDescent="0.3">
      <c r="Q6343" s="4"/>
      <c r="R6343" s="4"/>
      <c r="S6343" s="4"/>
      <c r="T6343" s="4"/>
      <c r="U6343" s="4"/>
      <c r="V6343" s="4"/>
      <c r="W6343" s="4"/>
      <c r="X6343" s="4"/>
    </row>
    <row r="6344" spans="17:24" x14ac:dyDescent="0.3">
      <c r="Q6344" s="4"/>
      <c r="R6344" s="4"/>
      <c r="S6344" s="4"/>
      <c r="T6344" s="4"/>
      <c r="U6344" s="4"/>
      <c r="V6344" s="4"/>
      <c r="W6344" s="4"/>
      <c r="X6344" s="4"/>
    </row>
    <row r="6345" spans="17:24" x14ac:dyDescent="0.3">
      <c r="Q6345" s="4"/>
      <c r="R6345" s="4"/>
      <c r="S6345" s="4"/>
      <c r="T6345" s="4"/>
      <c r="U6345" s="4"/>
      <c r="V6345" s="4"/>
      <c r="W6345" s="4"/>
      <c r="X6345" s="4"/>
    </row>
    <row r="6346" spans="17:24" x14ac:dyDescent="0.3">
      <c r="Q6346" s="4"/>
      <c r="R6346" s="4"/>
      <c r="S6346" s="4"/>
      <c r="T6346" s="4"/>
      <c r="U6346" s="4"/>
      <c r="V6346" s="4"/>
      <c r="W6346" s="4"/>
      <c r="X6346" s="4"/>
    </row>
    <row r="6347" spans="17:24" x14ac:dyDescent="0.3">
      <c r="Q6347" s="4"/>
      <c r="R6347" s="4"/>
      <c r="S6347" s="4"/>
      <c r="T6347" s="4"/>
      <c r="U6347" s="4"/>
      <c r="V6347" s="4"/>
      <c r="W6347" s="4"/>
      <c r="X6347" s="4"/>
    </row>
    <row r="6348" spans="17:24" x14ac:dyDescent="0.3">
      <c r="Q6348" s="4"/>
      <c r="R6348" s="4"/>
      <c r="S6348" s="4"/>
      <c r="T6348" s="4"/>
      <c r="U6348" s="4"/>
      <c r="V6348" s="4"/>
      <c r="W6348" s="4"/>
      <c r="X6348" s="4"/>
    </row>
    <row r="6349" spans="17:24" x14ac:dyDescent="0.3">
      <c r="Q6349" s="4"/>
      <c r="R6349" s="4"/>
      <c r="S6349" s="4"/>
      <c r="T6349" s="4"/>
      <c r="U6349" s="4"/>
      <c r="V6349" s="4"/>
      <c r="W6349" s="4"/>
      <c r="X6349" s="4"/>
    </row>
    <row r="6350" spans="17:24" x14ac:dyDescent="0.3">
      <c r="Q6350" s="4"/>
      <c r="R6350" s="4"/>
      <c r="S6350" s="4"/>
      <c r="T6350" s="4"/>
      <c r="U6350" s="4"/>
      <c r="V6350" s="4"/>
      <c r="W6350" s="4"/>
      <c r="X6350" s="4"/>
    </row>
    <row r="6351" spans="17:24" x14ac:dyDescent="0.3">
      <c r="Q6351" s="4"/>
      <c r="R6351" s="4"/>
      <c r="S6351" s="4"/>
      <c r="T6351" s="4"/>
      <c r="U6351" s="4"/>
      <c r="V6351" s="4"/>
      <c r="W6351" s="4"/>
      <c r="X6351" s="4"/>
    </row>
    <row r="6352" spans="17:24" x14ac:dyDescent="0.3">
      <c r="Q6352" s="4"/>
      <c r="R6352" s="4"/>
      <c r="S6352" s="4"/>
      <c r="T6352" s="4"/>
      <c r="U6352" s="4"/>
      <c r="V6352" s="4"/>
      <c r="W6352" s="4"/>
      <c r="X6352" s="4"/>
    </row>
    <row r="6353" spans="17:24" x14ac:dyDescent="0.3">
      <c r="Q6353" s="4"/>
      <c r="R6353" s="4"/>
      <c r="S6353" s="4"/>
      <c r="T6353" s="4"/>
      <c r="U6353" s="4"/>
      <c r="V6353" s="4"/>
      <c r="W6353" s="4"/>
      <c r="X6353" s="4"/>
    </row>
    <row r="6354" spans="17:24" x14ac:dyDescent="0.3">
      <c r="Q6354" s="4"/>
      <c r="R6354" s="4"/>
      <c r="S6354" s="4"/>
      <c r="T6354" s="4"/>
      <c r="U6354" s="4"/>
      <c r="V6354" s="4"/>
      <c r="W6354" s="4"/>
      <c r="X6354" s="4"/>
    </row>
    <row r="6355" spans="17:24" x14ac:dyDescent="0.3">
      <c r="Q6355" s="4"/>
      <c r="R6355" s="4"/>
      <c r="S6355" s="4"/>
      <c r="T6355" s="4"/>
      <c r="U6355" s="4"/>
      <c r="V6355" s="4"/>
      <c r="W6355" s="4"/>
      <c r="X6355" s="4"/>
    </row>
    <row r="6356" spans="17:24" x14ac:dyDescent="0.3">
      <c r="Q6356" s="4"/>
      <c r="R6356" s="4"/>
      <c r="S6356" s="4"/>
      <c r="T6356" s="4"/>
      <c r="U6356" s="4"/>
      <c r="V6356" s="4"/>
      <c r="W6356" s="4"/>
      <c r="X6356" s="4"/>
    </row>
    <row r="6357" spans="17:24" x14ac:dyDescent="0.3">
      <c r="Q6357" s="4"/>
      <c r="R6357" s="4"/>
      <c r="S6357" s="4"/>
      <c r="T6357" s="4"/>
      <c r="U6357" s="4"/>
      <c r="V6357" s="4"/>
      <c r="W6357" s="4"/>
      <c r="X6357" s="4"/>
    </row>
    <row r="6358" spans="17:24" x14ac:dyDescent="0.3">
      <c r="Q6358" s="4"/>
      <c r="R6358" s="4"/>
      <c r="S6358" s="4"/>
      <c r="T6358" s="4"/>
      <c r="U6358" s="4"/>
      <c r="V6358" s="4"/>
      <c r="W6358" s="4"/>
      <c r="X6358" s="4"/>
    </row>
    <row r="6359" spans="17:24" x14ac:dyDescent="0.3">
      <c r="Q6359" s="4"/>
      <c r="R6359" s="4"/>
      <c r="S6359" s="4"/>
      <c r="T6359" s="4"/>
      <c r="U6359" s="4"/>
      <c r="V6359" s="4"/>
      <c r="W6359" s="4"/>
      <c r="X6359" s="4"/>
    </row>
    <row r="6360" spans="17:24" x14ac:dyDescent="0.3">
      <c r="Q6360" s="4"/>
      <c r="R6360" s="4"/>
      <c r="S6360" s="4"/>
      <c r="T6360" s="4"/>
      <c r="U6360" s="4"/>
      <c r="V6360" s="4"/>
      <c r="W6360" s="4"/>
      <c r="X6360" s="4"/>
    </row>
    <row r="6361" spans="17:24" x14ac:dyDescent="0.3">
      <c r="Q6361" s="4"/>
      <c r="R6361" s="4"/>
      <c r="S6361" s="4"/>
      <c r="T6361" s="4"/>
      <c r="U6361" s="4"/>
      <c r="V6361" s="4"/>
      <c r="W6361" s="4"/>
      <c r="X6361" s="4"/>
    </row>
    <row r="6362" spans="17:24" x14ac:dyDescent="0.3">
      <c r="Q6362" s="4"/>
      <c r="R6362" s="4"/>
      <c r="S6362" s="4"/>
      <c r="T6362" s="4"/>
      <c r="U6362" s="4"/>
      <c r="V6362" s="4"/>
      <c r="W6362" s="4"/>
      <c r="X6362" s="4"/>
    </row>
    <row r="6363" spans="17:24" x14ac:dyDescent="0.3">
      <c r="Q6363" s="4"/>
      <c r="R6363" s="4"/>
      <c r="S6363" s="4"/>
      <c r="T6363" s="4"/>
      <c r="U6363" s="4"/>
      <c r="V6363" s="4"/>
      <c r="W6363" s="4"/>
      <c r="X6363" s="4"/>
    </row>
    <row r="6364" spans="17:24" x14ac:dyDescent="0.3">
      <c r="Q6364" s="4"/>
      <c r="R6364" s="4"/>
      <c r="S6364" s="4"/>
      <c r="T6364" s="4"/>
      <c r="U6364" s="4"/>
      <c r="V6364" s="4"/>
      <c r="W6364" s="4"/>
      <c r="X6364" s="4"/>
    </row>
    <row r="6365" spans="17:24" x14ac:dyDescent="0.3">
      <c r="Q6365" s="4"/>
      <c r="R6365" s="4"/>
      <c r="S6365" s="4"/>
      <c r="T6365" s="4"/>
      <c r="U6365" s="4"/>
      <c r="V6365" s="4"/>
      <c r="W6365" s="4"/>
      <c r="X6365" s="4"/>
    </row>
    <row r="6366" spans="17:24" x14ac:dyDescent="0.3">
      <c r="Q6366" s="4"/>
      <c r="R6366" s="4"/>
      <c r="S6366" s="4"/>
      <c r="T6366" s="4"/>
      <c r="U6366" s="4"/>
      <c r="V6366" s="4"/>
      <c r="W6366" s="4"/>
      <c r="X6366" s="4"/>
    </row>
    <row r="6367" spans="17:24" x14ac:dyDescent="0.3">
      <c r="Q6367" s="4"/>
      <c r="R6367" s="4"/>
      <c r="S6367" s="4"/>
      <c r="T6367" s="4"/>
      <c r="U6367" s="4"/>
      <c r="V6367" s="4"/>
      <c r="W6367" s="4"/>
      <c r="X6367" s="4"/>
    </row>
    <row r="6368" spans="17:24" x14ac:dyDescent="0.3">
      <c r="Q6368" s="4"/>
      <c r="R6368" s="4"/>
      <c r="S6368" s="4"/>
      <c r="T6368" s="4"/>
      <c r="U6368" s="4"/>
      <c r="V6368" s="4"/>
      <c r="W6368" s="4"/>
      <c r="X6368" s="4"/>
    </row>
    <row r="6369" spans="17:24" x14ac:dyDescent="0.3">
      <c r="Q6369" s="4"/>
      <c r="R6369" s="4"/>
      <c r="S6369" s="4"/>
      <c r="T6369" s="4"/>
      <c r="U6369" s="4"/>
      <c r="V6369" s="4"/>
      <c r="W6369" s="4"/>
      <c r="X6369" s="4"/>
    </row>
    <row r="6370" spans="17:24" x14ac:dyDescent="0.3">
      <c r="Q6370" s="4"/>
      <c r="R6370" s="4"/>
      <c r="S6370" s="4"/>
      <c r="T6370" s="4"/>
      <c r="U6370" s="4"/>
      <c r="V6370" s="4"/>
      <c r="W6370" s="4"/>
      <c r="X6370" s="4"/>
    </row>
    <row r="6371" spans="17:24" x14ac:dyDescent="0.3">
      <c r="Q6371" s="4"/>
      <c r="R6371" s="4"/>
      <c r="S6371" s="4"/>
      <c r="T6371" s="4"/>
      <c r="U6371" s="4"/>
      <c r="V6371" s="4"/>
      <c r="W6371" s="4"/>
      <c r="X6371" s="4"/>
    </row>
    <row r="6372" spans="17:24" x14ac:dyDescent="0.3">
      <c r="Q6372" s="4"/>
      <c r="R6372" s="4"/>
      <c r="S6372" s="4"/>
      <c r="T6372" s="4"/>
      <c r="U6372" s="4"/>
      <c r="V6372" s="4"/>
      <c r="W6372" s="4"/>
      <c r="X6372" s="4"/>
    </row>
    <row r="6373" spans="17:24" x14ac:dyDescent="0.3">
      <c r="Q6373" s="4"/>
      <c r="R6373" s="4"/>
      <c r="S6373" s="4"/>
      <c r="T6373" s="4"/>
      <c r="U6373" s="4"/>
      <c r="V6373" s="4"/>
      <c r="W6373" s="4"/>
      <c r="X6373" s="4"/>
    </row>
    <row r="6374" spans="17:24" x14ac:dyDescent="0.3">
      <c r="Q6374" s="4"/>
      <c r="R6374" s="4"/>
      <c r="S6374" s="4"/>
      <c r="T6374" s="4"/>
      <c r="U6374" s="4"/>
      <c r="V6374" s="4"/>
      <c r="W6374" s="4"/>
      <c r="X6374" s="4"/>
    </row>
    <row r="6375" spans="17:24" x14ac:dyDescent="0.3">
      <c r="Q6375" s="4"/>
      <c r="R6375" s="4"/>
      <c r="S6375" s="4"/>
      <c r="T6375" s="4"/>
      <c r="U6375" s="4"/>
      <c r="V6375" s="4"/>
      <c r="W6375" s="4"/>
      <c r="X6375" s="4"/>
    </row>
    <row r="6376" spans="17:24" x14ac:dyDescent="0.3">
      <c r="Q6376" s="4"/>
      <c r="R6376" s="4"/>
      <c r="S6376" s="4"/>
      <c r="T6376" s="4"/>
      <c r="U6376" s="4"/>
      <c r="V6376" s="4"/>
      <c r="W6376" s="4"/>
      <c r="X6376" s="4"/>
    </row>
    <row r="6377" spans="17:24" x14ac:dyDescent="0.3">
      <c r="Q6377" s="4"/>
      <c r="R6377" s="4"/>
      <c r="S6377" s="4"/>
      <c r="T6377" s="4"/>
      <c r="U6377" s="4"/>
      <c r="V6377" s="4"/>
      <c r="W6377" s="4"/>
      <c r="X6377" s="4"/>
    </row>
    <row r="6378" spans="17:24" x14ac:dyDescent="0.3">
      <c r="Q6378" s="4"/>
      <c r="R6378" s="4"/>
      <c r="S6378" s="4"/>
      <c r="T6378" s="4"/>
      <c r="U6378" s="4"/>
      <c r="V6378" s="4"/>
      <c r="W6378" s="4"/>
      <c r="X6378" s="4"/>
    </row>
    <row r="6379" spans="17:24" x14ac:dyDescent="0.3">
      <c r="Q6379" s="4"/>
      <c r="R6379" s="4"/>
      <c r="S6379" s="4"/>
      <c r="T6379" s="4"/>
      <c r="U6379" s="4"/>
      <c r="V6379" s="4"/>
      <c r="W6379" s="4"/>
      <c r="X6379" s="4"/>
    </row>
    <row r="6380" spans="17:24" x14ac:dyDescent="0.3">
      <c r="Q6380" s="4"/>
      <c r="R6380" s="4"/>
      <c r="S6380" s="4"/>
      <c r="T6380" s="4"/>
      <c r="U6380" s="4"/>
      <c r="V6380" s="4"/>
      <c r="W6380" s="4"/>
      <c r="X6380" s="4"/>
    </row>
    <row r="6381" spans="17:24" x14ac:dyDescent="0.3">
      <c r="Q6381" s="4"/>
      <c r="R6381" s="4"/>
      <c r="S6381" s="4"/>
      <c r="T6381" s="4"/>
      <c r="U6381" s="4"/>
      <c r="V6381" s="4"/>
      <c r="W6381" s="4"/>
      <c r="X6381" s="4"/>
    </row>
    <row r="6382" spans="17:24" x14ac:dyDescent="0.3">
      <c r="Q6382" s="4"/>
      <c r="R6382" s="4"/>
      <c r="S6382" s="4"/>
      <c r="T6382" s="4"/>
      <c r="U6382" s="4"/>
      <c r="V6382" s="4"/>
      <c r="W6382" s="4"/>
      <c r="X6382" s="4"/>
    </row>
    <row r="6383" spans="17:24" x14ac:dyDescent="0.3">
      <c r="Q6383" s="4"/>
      <c r="R6383" s="4"/>
      <c r="S6383" s="4"/>
      <c r="T6383" s="4"/>
      <c r="U6383" s="4"/>
      <c r="V6383" s="4"/>
      <c r="W6383" s="4"/>
      <c r="X6383" s="4"/>
    </row>
    <row r="6384" spans="17:24" x14ac:dyDescent="0.3">
      <c r="Q6384" s="4"/>
      <c r="R6384" s="4"/>
      <c r="S6384" s="4"/>
      <c r="T6384" s="4"/>
      <c r="U6384" s="4"/>
      <c r="V6384" s="4"/>
      <c r="W6384" s="4"/>
      <c r="X6384" s="4"/>
    </row>
    <row r="6385" spans="17:24" x14ac:dyDescent="0.3">
      <c r="Q6385" s="4"/>
      <c r="R6385" s="4"/>
      <c r="S6385" s="4"/>
      <c r="T6385" s="4"/>
      <c r="U6385" s="4"/>
      <c r="V6385" s="4"/>
      <c r="W6385" s="4"/>
      <c r="X6385" s="4"/>
    </row>
    <row r="6386" spans="17:24" x14ac:dyDescent="0.3">
      <c r="Q6386" s="4"/>
      <c r="R6386" s="4"/>
      <c r="S6386" s="4"/>
      <c r="T6386" s="4"/>
      <c r="U6386" s="4"/>
      <c r="V6386" s="4"/>
      <c r="W6386" s="4"/>
      <c r="X6386" s="4"/>
    </row>
    <row r="6387" spans="17:24" x14ac:dyDescent="0.3">
      <c r="Q6387" s="4"/>
      <c r="R6387" s="4"/>
      <c r="S6387" s="4"/>
      <c r="T6387" s="4"/>
      <c r="U6387" s="4"/>
      <c r="V6387" s="4"/>
      <c r="W6387" s="4"/>
      <c r="X6387" s="4"/>
    </row>
    <row r="6388" spans="17:24" x14ac:dyDescent="0.3">
      <c r="Q6388" s="4"/>
      <c r="R6388" s="4"/>
      <c r="S6388" s="4"/>
      <c r="T6388" s="4"/>
      <c r="U6388" s="4"/>
      <c r="V6388" s="4"/>
      <c r="W6388" s="4"/>
      <c r="X6388" s="4"/>
    </row>
    <row r="6389" spans="17:24" x14ac:dyDescent="0.3">
      <c r="Q6389" s="4"/>
      <c r="R6389" s="4"/>
      <c r="S6389" s="4"/>
      <c r="T6389" s="4"/>
      <c r="U6389" s="4"/>
      <c r="V6389" s="4"/>
      <c r="W6389" s="4"/>
      <c r="X6389" s="4"/>
    </row>
    <row r="6390" spans="17:24" x14ac:dyDescent="0.3">
      <c r="Q6390" s="4"/>
      <c r="R6390" s="4"/>
      <c r="S6390" s="4"/>
      <c r="T6390" s="4"/>
      <c r="U6390" s="4"/>
      <c r="V6390" s="4"/>
      <c r="W6390" s="4"/>
      <c r="X6390" s="4"/>
    </row>
    <row r="6391" spans="17:24" x14ac:dyDescent="0.3">
      <c r="Q6391" s="4"/>
      <c r="R6391" s="4"/>
      <c r="S6391" s="4"/>
      <c r="T6391" s="4"/>
      <c r="U6391" s="4"/>
      <c r="V6391" s="4"/>
      <c r="W6391" s="4"/>
      <c r="X6391" s="4"/>
    </row>
    <row r="6392" spans="17:24" x14ac:dyDescent="0.3">
      <c r="Q6392" s="4"/>
      <c r="R6392" s="4"/>
      <c r="S6392" s="4"/>
      <c r="T6392" s="4"/>
      <c r="U6392" s="4"/>
      <c r="V6392" s="4"/>
      <c r="W6392" s="4"/>
      <c r="X6392" s="4"/>
    </row>
    <row r="6393" spans="17:24" x14ac:dyDescent="0.3">
      <c r="Q6393" s="4"/>
      <c r="R6393" s="4"/>
      <c r="S6393" s="4"/>
      <c r="T6393" s="4"/>
      <c r="U6393" s="4"/>
      <c r="V6393" s="4"/>
      <c r="W6393" s="4"/>
      <c r="X6393" s="4"/>
    </row>
    <row r="6394" spans="17:24" x14ac:dyDescent="0.3">
      <c r="Q6394" s="4"/>
      <c r="R6394" s="4"/>
      <c r="S6394" s="4"/>
      <c r="T6394" s="4"/>
      <c r="U6394" s="4"/>
      <c r="V6394" s="4"/>
      <c r="W6394" s="4"/>
      <c r="X6394" s="4"/>
    </row>
    <row r="6395" spans="17:24" x14ac:dyDescent="0.3">
      <c r="Q6395" s="4"/>
      <c r="R6395" s="4"/>
      <c r="S6395" s="4"/>
      <c r="T6395" s="4"/>
      <c r="U6395" s="4"/>
      <c r="V6395" s="4"/>
      <c r="W6395" s="4"/>
      <c r="X6395" s="4"/>
    </row>
    <row r="6396" spans="17:24" x14ac:dyDescent="0.3">
      <c r="Q6396" s="4"/>
      <c r="R6396" s="4"/>
      <c r="S6396" s="4"/>
      <c r="T6396" s="4"/>
      <c r="U6396" s="4"/>
      <c r="V6396" s="4"/>
      <c r="W6396" s="4"/>
      <c r="X6396" s="4"/>
    </row>
    <row r="6397" spans="17:24" x14ac:dyDescent="0.3">
      <c r="Q6397" s="4"/>
      <c r="R6397" s="4"/>
      <c r="S6397" s="4"/>
      <c r="T6397" s="4"/>
      <c r="U6397" s="4"/>
      <c r="V6397" s="4"/>
      <c r="W6397" s="4"/>
      <c r="X6397" s="4"/>
    </row>
    <row r="6398" spans="17:24" x14ac:dyDescent="0.3">
      <c r="Q6398" s="4"/>
      <c r="R6398" s="4"/>
      <c r="S6398" s="4"/>
      <c r="T6398" s="4"/>
      <c r="U6398" s="4"/>
      <c r="V6398" s="4"/>
      <c r="W6398" s="4"/>
      <c r="X6398" s="4"/>
    </row>
    <row r="6399" spans="17:24" x14ac:dyDescent="0.3">
      <c r="Q6399" s="4"/>
      <c r="R6399" s="4"/>
      <c r="S6399" s="4"/>
      <c r="T6399" s="4"/>
      <c r="U6399" s="4"/>
      <c r="V6399" s="4"/>
      <c r="W6399" s="4"/>
      <c r="X6399" s="4"/>
    </row>
    <row r="6400" spans="17:24" x14ac:dyDescent="0.3">
      <c r="Q6400" s="4"/>
      <c r="R6400" s="4"/>
      <c r="S6400" s="4"/>
      <c r="T6400" s="4"/>
      <c r="U6400" s="4"/>
      <c r="V6400" s="4"/>
      <c r="W6400" s="4"/>
      <c r="X6400" s="4"/>
    </row>
    <row r="6401" spans="17:24" x14ac:dyDescent="0.3">
      <c r="Q6401" s="4"/>
      <c r="R6401" s="4"/>
      <c r="S6401" s="4"/>
      <c r="T6401" s="4"/>
      <c r="U6401" s="4"/>
      <c r="V6401" s="4"/>
      <c r="W6401" s="4"/>
      <c r="X6401" s="4"/>
    </row>
    <row r="6402" spans="17:24" x14ac:dyDescent="0.3">
      <c r="Q6402" s="4"/>
      <c r="R6402" s="4"/>
      <c r="S6402" s="4"/>
      <c r="T6402" s="4"/>
      <c r="U6402" s="4"/>
      <c r="V6402" s="4"/>
      <c r="W6402" s="4"/>
      <c r="X6402" s="4"/>
    </row>
    <row r="6403" spans="17:24" x14ac:dyDescent="0.3">
      <c r="Q6403" s="4"/>
      <c r="R6403" s="4"/>
      <c r="S6403" s="4"/>
      <c r="T6403" s="4"/>
      <c r="U6403" s="4"/>
      <c r="V6403" s="4"/>
      <c r="W6403" s="4"/>
      <c r="X6403" s="4"/>
    </row>
    <row r="6404" spans="17:24" x14ac:dyDescent="0.3">
      <c r="Q6404" s="4"/>
      <c r="R6404" s="4"/>
      <c r="S6404" s="4"/>
      <c r="T6404" s="4"/>
      <c r="U6404" s="4"/>
      <c r="V6404" s="4"/>
      <c r="W6404" s="4"/>
      <c r="X6404" s="4"/>
    </row>
    <row r="6405" spans="17:24" x14ac:dyDescent="0.3">
      <c r="Q6405" s="4"/>
      <c r="R6405" s="4"/>
      <c r="S6405" s="4"/>
      <c r="T6405" s="4"/>
      <c r="U6405" s="4"/>
      <c r="V6405" s="4"/>
      <c r="W6405" s="4"/>
      <c r="X6405" s="4"/>
    </row>
    <row r="6406" spans="17:24" x14ac:dyDescent="0.3">
      <c r="Q6406" s="4"/>
      <c r="R6406" s="4"/>
      <c r="S6406" s="4"/>
      <c r="T6406" s="4"/>
      <c r="U6406" s="4"/>
      <c r="V6406" s="4"/>
      <c r="W6406" s="4"/>
      <c r="X6406" s="4"/>
    </row>
    <row r="6407" spans="17:24" x14ac:dyDescent="0.3">
      <c r="Q6407" s="4"/>
      <c r="R6407" s="4"/>
      <c r="S6407" s="4"/>
      <c r="T6407" s="4"/>
      <c r="U6407" s="4"/>
      <c r="V6407" s="4"/>
      <c r="W6407" s="4"/>
      <c r="X6407" s="4"/>
    </row>
    <row r="6408" spans="17:24" x14ac:dyDescent="0.3">
      <c r="Q6408" s="4"/>
      <c r="R6408" s="4"/>
      <c r="S6408" s="4"/>
      <c r="T6408" s="4"/>
      <c r="U6408" s="4"/>
      <c r="V6408" s="4"/>
      <c r="W6408" s="4"/>
      <c r="X6408" s="4"/>
    </row>
    <row r="6409" spans="17:24" x14ac:dyDescent="0.3">
      <c r="Q6409" s="4"/>
      <c r="R6409" s="4"/>
      <c r="S6409" s="4"/>
      <c r="T6409" s="4"/>
      <c r="U6409" s="4"/>
      <c r="V6409" s="4"/>
      <c r="W6409" s="4"/>
      <c r="X6409" s="4"/>
    </row>
    <row r="6410" spans="17:24" x14ac:dyDescent="0.3">
      <c r="Q6410" s="4"/>
      <c r="R6410" s="4"/>
      <c r="S6410" s="4"/>
      <c r="T6410" s="4"/>
      <c r="U6410" s="4"/>
      <c r="V6410" s="4"/>
      <c r="W6410" s="4"/>
      <c r="X6410" s="4"/>
    </row>
    <row r="6411" spans="17:24" x14ac:dyDescent="0.3">
      <c r="Q6411" s="4"/>
      <c r="R6411" s="4"/>
      <c r="S6411" s="4"/>
      <c r="T6411" s="4"/>
      <c r="U6411" s="4"/>
      <c r="V6411" s="4"/>
      <c r="W6411" s="4"/>
      <c r="X6411" s="4"/>
    </row>
    <row r="6412" spans="17:24" x14ac:dyDescent="0.3">
      <c r="Q6412" s="4"/>
      <c r="R6412" s="4"/>
      <c r="S6412" s="4"/>
      <c r="T6412" s="4"/>
      <c r="U6412" s="4"/>
      <c r="V6412" s="4"/>
      <c r="W6412" s="4"/>
      <c r="X6412" s="4"/>
    </row>
    <row r="6413" spans="17:24" x14ac:dyDescent="0.3">
      <c r="Q6413" s="4"/>
      <c r="R6413" s="4"/>
      <c r="S6413" s="4"/>
      <c r="T6413" s="4"/>
      <c r="U6413" s="4"/>
      <c r="V6413" s="4"/>
      <c r="W6413" s="4"/>
      <c r="X6413" s="4"/>
    </row>
    <row r="6414" spans="17:24" x14ac:dyDescent="0.3">
      <c r="Q6414" s="4"/>
      <c r="R6414" s="4"/>
      <c r="S6414" s="4"/>
      <c r="T6414" s="4"/>
      <c r="U6414" s="4"/>
      <c r="V6414" s="4"/>
      <c r="W6414" s="4"/>
      <c r="X6414" s="4"/>
    </row>
    <row r="6415" spans="17:24" x14ac:dyDescent="0.3">
      <c r="Q6415" s="4"/>
      <c r="R6415" s="4"/>
      <c r="S6415" s="4"/>
      <c r="T6415" s="4"/>
      <c r="U6415" s="4"/>
      <c r="V6415" s="4"/>
      <c r="W6415" s="4"/>
      <c r="X6415" s="4"/>
    </row>
    <row r="6416" spans="17:24" x14ac:dyDescent="0.3">
      <c r="Q6416" s="4"/>
      <c r="R6416" s="4"/>
      <c r="S6416" s="4"/>
      <c r="T6416" s="4"/>
      <c r="U6416" s="4"/>
      <c r="V6416" s="4"/>
      <c r="W6416" s="4"/>
      <c r="X6416" s="4"/>
    </row>
    <row r="6417" spans="17:24" x14ac:dyDescent="0.3">
      <c r="Q6417" s="4"/>
      <c r="R6417" s="4"/>
      <c r="S6417" s="4"/>
      <c r="T6417" s="4"/>
      <c r="U6417" s="4"/>
      <c r="V6417" s="4"/>
      <c r="W6417" s="4"/>
      <c r="X6417" s="4"/>
    </row>
    <row r="6418" spans="17:24" x14ac:dyDescent="0.3">
      <c r="Q6418" s="4"/>
      <c r="R6418" s="4"/>
      <c r="S6418" s="4"/>
      <c r="T6418" s="4"/>
      <c r="U6418" s="4"/>
      <c r="V6418" s="4"/>
      <c r="W6418" s="4"/>
      <c r="X6418" s="4"/>
    </row>
    <row r="6419" spans="17:24" x14ac:dyDescent="0.3">
      <c r="Q6419" s="4"/>
      <c r="R6419" s="4"/>
      <c r="S6419" s="4"/>
      <c r="T6419" s="4"/>
      <c r="U6419" s="4"/>
      <c r="V6419" s="4"/>
      <c r="W6419" s="4"/>
      <c r="X6419" s="4"/>
    </row>
    <row r="6420" spans="17:24" x14ac:dyDescent="0.3">
      <c r="Q6420" s="4"/>
      <c r="R6420" s="4"/>
      <c r="S6420" s="4"/>
      <c r="T6420" s="4"/>
      <c r="U6420" s="4"/>
      <c r="V6420" s="4"/>
      <c r="W6420" s="4"/>
      <c r="X6420" s="4"/>
    </row>
    <row r="6421" spans="17:24" x14ac:dyDescent="0.3">
      <c r="Q6421" s="4"/>
      <c r="R6421" s="4"/>
      <c r="S6421" s="4"/>
      <c r="T6421" s="4"/>
      <c r="U6421" s="4"/>
      <c r="V6421" s="4"/>
      <c r="W6421" s="4"/>
      <c r="X6421" s="4"/>
    </row>
    <row r="6422" spans="17:24" x14ac:dyDescent="0.3">
      <c r="Q6422" s="4"/>
      <c r="R6422" s="4"/>
      <c r="S6422" s="4"/>
      <c r="T6422" s="4"/>
      <c r="U6422" s="4"/>
      <c r="V6422" s="4"/>
      <c r="W6422" s="4"/>
      <c r="X6422" s="4"/>
    </row>
    <row r="6423" spans="17:24" x14ac:dyDescent="0.3">
      <c r="Q6423" s="4"/>
      <c r="R6423" s="4"/>
      <c r="S6423" s="4"/>
      <c r="T6423" s="4"/>
      <c r="U6423" s="4"/>
      <c r="V6423" s="4"/>
      <c r="W6423" s="4"/>
      <c r="X6423" s="4"/>
    </row>
    <row r="6424" spans="17:24" x14ac:dyDescent="0.3">
      <c r="Q6424" s="4"/>
      <c r="R6424" s="4"/>
      <c r="S6424" s="4"/>
      <c r="T6424" s="4"/>
      <c r="U6424" s="4"/>
      <c r="V6424" s="4"/>
      <c r="W6424" s="4"/>
      <c r="X6424" s="4"/>
    </row>
    <row r="6425" spans="17:24" x14ac:dyDescent="0.3">
      <c r="Q6425" s="4"/>
      <c r="R6425" s="4"/>
      <c r="S6425" s="4"/>
      <c r="T6425" s="4"/>
      <c r="U6425" s="4"/>
      <c r="V6425" s="4"/>
      <c r="W6425" s="4"/>
      <c r="X6425" s="4"/>
    </row>
    <row r="6426" spans="17:24" x14ac:dyDescent="0.3">
      <c r="Q6426" s="4"/>
      <c r="R6426" s="4"/>
      <c r="S6426" s="4"/>
      <c r="T6426" s="4"/>
      <c r="U6426" s="4"/>
      <c r="V6426" s="4"/>
      <c r="W6426" s="4"/>
      <c r="X6426" s="4"/>
    </row>
    <row r="6427" spans="17:24" x14ac:dyDescent="0.3">
      <c r="Q6427" s="4"/>
      <c r="R6427" s="4"/>
      <c r="S6427" s="4"/>
      <c r="T6427" s="4"/>
      <c r="U6427" s="4"/>
      <c r="V6427" s="4"/>
      <c r="W6427" s="4"/>
      <c r="X6427" s="4"/>
    </row>
    <row r="6428" spans="17:24" x14ac:dyDescent="0.3">
      <c r="Q6428" s="4"/>
      <c r="R6428" s="4"/>
      <c r="S6428" s="4"/>
      <c r="T6428" s="4"/>
      <c r="U6428" s="4"/>
      <c r="V6428" s="4"/>
      <c r="W6428" s="4"/>
      <c r="X6428" s="4"/>
    </row>
    <row r="6429" spans="17:24" x14ac:dyDescent="0.3">
      <c r="Q6429" s="4"/>
      <c r="R6429" s="4"/>
      <c r="S6429" s="4"/>
      <c r="T6429" s="4"/>
      <c r="U6429" s="4"/>
      <c r="V6429" s="4"/>
      <c r="W6429" s="4"/>
      <c r="X6429" s="4"/>
    </row>
    <row r="6430" spans="17:24" x14ac:dyDescent="0.3">
      <c r="Q6430" s="4"/>
      <c r="R6430" s="4"/>
      <c r="S6430" s="4"/>
      <c r="T6430" s="4"/>
      <c r="U6430" s="4"/>
      <c r="V6430" s="4"/>
      <c r="W6430" s="4"/>
      <c r="X6430" s="4"/>
    </row>
    <row r="6431" spans="17:24" x14ac:dyDescent="0.3">
      <c r="Q6431" s="4"/>
      <c r="R6431" s="4"/>
      <c r="S6431" s="4"/>
      <c r="T6431" s="4"/>
      <c r="U6431" s="4"/>
      <c r="V6431" s="4"/>
      <c r="W6431" s="4"/>
      <c r="X6431" s="4"/>
    </row>
    <row r="6432" spans="17:24" x14ac:dyDescent="0.3">
      <c r="Q6432" s="4"/>
      <c r="R6432" s="4"/>
      <c r="S6432" s="4"/>
      <c r="T6432" s="4"/>
      <c r="U6432" s="4"/>
      <c r="V6432" s="4"/>
      <c r="W6432" s="4"/>
      <c r="X6432" s="4"/>
    </row>
    <row r="6433" spans="17:24" x14ac:dyDescent="0.3">
      <c r="Q6433" s="4"/>
      <c r="R6433" s="4"/>
      <c r="S6433" s="4"/>
      <c r="T6433" s="4"/>
      <c r="U6433" s="4"/>
      <c r="V6433" s="4"/>
      <c r="W6433" s="4"/>
      <c r="X6433" s="4"/>
    </row>
    <row r="6434" spans="17:24" x14ac:dyDescent="0.3">
      <c r="Q6434" s="4"/>
      <c r="R6434" s="4"/>
      <c r="S6434" s="4"/>
      <c r="T6434" s="4"/>
      <c r="U6434" s="4"/>
      <c r="V6434" s="4"/>
      <c r="W6434" s="4"/>
      <c r="X6434" s="4"/>
    </row>
    <row r="6435" spans="17:24" x14ac:dyDescent="0.3">
      <c r="Q6435" s="4"/>
      <c r="R6435" s="4"/>
      <c r="S6435" s="4"/>
      <c r="T6435" s="4"/>
      <c r="U6435" s="4"/>
      <c r="V6435" s="4"/>
      <c r="W6435" s="4"/>
      <c r="X6435" s="4"/>
    </row>
    <row r="6436" spans="17:24" x14ac:dyDescent="0.3">
      <c r="Q6436" s="4"/>
      <c r="R6436" s="4"/>
      <c r="S6436" s="4"/>
      <c r="T6436" s="4"/>
      <c r="U6436" s="4"/>
      <c r="V6436" s="4"/>
      <c r="W6436" s="4"/>
      <c r="X6436" s="4"/>
    </row>
    <row r="6437" spans="17:24" x14ac:dyDescent="0.3">
      <c r="Q6437" s="4"/>
      <c r="R6437" s="4"/>
      <c r="S6437" s="4"/>
      <c r="T6437" s="4"/>
      <c r="U6437" s="4"/>
      <c r="V6437" s="4"/>
      <c r="W6437" s="4"/>
      <c r="X6437" s="4"/>
    </row>
    <row r="6438" spans="17:24" x14ac:dyDescent="0.3">
      <c r="Q6438" s="4"/>
      <c r="R6438" s="4"/>
      <c r="S6438" s="4"/>
      <c r="T6438" s="4"/>
      <c r="U6438" s="4"/>
      <c r="V6438" s="4"/>
      <c r="W6438" s="4"/>
      <c r="X6438" s="4"/>
    </row>
    <row r="6439" spans="17:24" x14ac:dyDescent="0.3">
      <c r="Q6439" s="4"/>
      <c r="R6439" s="4"/>
      <c r="S6439" s="4"/>
      <c r="T6439" s="4"/>
      <c r="U6439" s="4"/>
      <c r="V6439" s="4"/>
      <c r="W6439" s="4"/>
      <c r="X6439" s="4"/>
    </row>
    <row r="6440" spans="17:24" x14ac:dyDescent="0.3">
      <c r="Q6440" s="4"/>
      <c r="R6440" s="4"/>
      <c r="S6440" s="4"/>
      <c r="T6440" s="4"/>
      <c r="U6440" s="4"/>
      <c r="V6440" s="4"/>
      <c r="W6440" s="4"/>
      <c r="X6440" s="4"/>
    </row>
    <row r="6441" spans="17:24" x14ac:dyDescent="0.3">
      <c r="Q6441" s="4"/>
      <c r="R6441" s="4"/>
      <c r="S6441" s="4"/>
      <c r="T6441" s="4"/>
      <c r="U6441" s="4"/>
      <c r="V6441" s="4"/>
      <c r="W6441" s="4"/>
      <c r="X6441" s="4"/>
    </row>
    <row r="6442" spans="17:24" x14ac:dyDescent="0.3">
      <c r="Q6442" s="4"/>
      <c r="R6442" s="4"/>
      <c r="S6442" s="4"/>
      <c r="T6442" s="4"/>
      <c r="U6442" s="4"/>
      <c r="V6442" s="4"/>
      <c r="W6442" s="4"/>
      <c r="X6442" s="4"/>
    </row>
    <row r="6443" spans="17:24" x14ac:dyDescent="0.3">
      <c r="Q6443" s="4"/>
      <c r="R6443" s="4"/>
      <c r="S6443" s="4"/>
      <c r="T6443" s="4"/>
      <c r="U6443" s="4"/>
      <c r="V6443" s="4"/>
      <c r="W6443" s="4"/>
      <c r="X6443" s="4"/>
    </row>
    <row r="6444" spans="17:24" x14ac:dyDescent="0.3">
      <c r="Q6444" s="4"/>
      <c r="R6444" s="4"/>
      <c r="S6444" s="4"/>
      <c r="T6444" s="4"/>
      <c r="U6444" s="4"/>
      <c r="V6444" s="4"/>
      <c r="W6444" s="4"/>
      <c r="X6444" s="4"/>
    </row>
    <row r="6445" spans="17:24" x14ac:dyDescent="0.3">
      <c r="Q6445" s="4"/>
      <c r="R6445" s="4"/>
      <c r="S6445" s="4"/>
      <c r="T6445" s="4"/>
      <c r="U6445" s="4"/>
      <c r="V6445" s="4"/>
      <c r="W6445" s="4"/>
      <c r="X6445" s="4"/>
    </row>
    <row r="6446" spans="17:24" x14ac:dyDescent="0.3">
      <c r="Q6446" s="4"/>
      <c r="R6446" s="4"/>
      <c r="S6446" s="4"/>
      <c r="T6446" s="4"/>
      <c r="U6446" s="4"/>
      <c r="V6446" s="4"/>
      <c r="W6446" s="4"/>
      <c r="X6446" s="4"/>
    </row>
    <row r="6447" spans="17:24" x14ac:dyDescent="0.3">
      <c r="Q6447" s="4"/>
      <c r="R6447" s="4"/>
      <c r="S6447" s="4"/>
      <c r="T6447" s="4"/>
      <c r="U6447" s="4"/>
      <c r="V6447" s="4"/>
      <c r="W6447" s="4"/>
      <c r="X6447" s="4"/>
    </row>
    <row r="6448" spans="17:24" x14ac:dyDescent="0.3">
      <c r="Q6448" s="4"/>
      <c r="R6448" s="4"/>
      <c r="S6448" s="4"/>
      <c r="T6448" s="4"/>
      <c r="U6448" s="4"/>
      <c r="V6448" s="4"/>
      <c r="W6448" s="4"/>
      <c r="X6448" s="4"/>
    </row>
    <row r="6449" spans="17:24" x14ac:dyDescent="0.3">
      <c r="Q6449" s="4"/>
      <c r="R6449" s="4"/>
      <c r="S6449" s="4"/>
      <c r="T6449" s="4"/>
      <c r="U6449" s="4"/>
      <c r="V6449" s="4"/>
      <c r="W6449" s="4"/>
      <c r="X6449" s="4"/>
    </row>
    <row r="6450" spans="17:24" x14ac:dyDescent="0.3">
      <c r="Q6450" s="4"/>
      <c r="R6450" s="4"/>
      <c r="S6450" s="4"/>
      <c r="T6450" s="4"/>
      <c r="U6450" s="4"/>
      <c r="V6450" s="4"/>
      <c r="W6450" s="4"/>
      <c r="X6450" s="4"/>
    </row>
    <row r="6451" spans="17:24" x14ac:dyDescent="0.3">
      <c r="Q6451" s="4"/>
      <c r="R6451" s="4"/>
      <c r="S6451" s="4"/>
      <c r="T6451" s="4"/>
      <c r="U6451" s="4"/>
      <c r="V6451" s="4"/>
      <c r="W6451" s="4"/>
      <c r="X6451" s="4"/>
    </row>
    <row r="6452" spans="17:24" x14ac:dyDescent="0.3">
      <c r="Q6452" s="4"/>
      <c r="R6452" s="4"/>
      <c r="S6452" s="4"/>
      <c r="T6452" s="4"/>
      <c r="U6452" s="4"/>
      <c r="V6452" s="4"/>
      <c r="W6452" s="4"/>
      <c r="X6452" s="4"/>
    </row>
    <row r="6453" spans="17:24" x14ac:dyDescent="0.3">
      <c r="Q6453" s="4"/>
      <c r="R6453" s="4"/>
      <c r="S6453" s="4"/>
      <c r="T6453" s="4"/>
      <c r="U6453" s="4"/>
      <c r="V6453" s="4"/>
      <c r="W6453" s="4"/>
      <c r="X6453" s="4"/>
    </row>
    <row r="6454" spans="17:24" x14ac:dyDescent="0.3">
      <c r="Q6454" s="4"/>
      <c r="R6454" s="4"/>
      <c r="S6454" s="4"/>
      <c r="T6454" s="4"/>
      <c r="U6454" s="4"/>
      <c r="V6454" s="4"/>
      <c r="W6454" s="4"/>
      <c r="X6454" s="4"/>
    </row>
    <row r="6455" spans="17:24" x14ac:dyDescent="0.3">
      <c r="Q6455" s="4"/>
      <c r="R6455" s="4"/>
      <c r="S6455" s="4"/>
      <c r="T6455" s="4"/>
      <c r="U6455" s="4"/>
      <c r="V6455" s="4"/>
      <c r="W6455" s="4"/>
      <c r="X6455" s="4"/>
    </row>
    <row r="6456" spans="17:24" x14ac:dyDescent="0.3">
      <c r="Q6456" s="4"/>
      <c r="R6456" s="4"/>
      <c r="S6456" s="4"/>
      <c r="T6456" s="4"/>
      <c r="U6456" s="4"/>
      <c r="V6456" s="4"/>
      <c r="W6456" s="4"/>
      <c r="X6456" s="4"/>
    </row>
    <row r="6457" spans="17:24" x14ac:dyDescent="0.3">
      <c r="Q6457" s="4"/>
      <c r="R6457" s="4"/>
      <c r="S6457" s="4"/>
      <c r="T6457" s="4"/>
      <c r="U6457" s="4"/>
      <c r="V6457" s="4"/>
      <c r="W6457" s="4"/>
      <c r="X6457" s="4"/>
    </row>
    <row r="6458" spans="17:24" x14ac:dyDescent="0.3">
      <c r="Q6458" s="4"/>
      <c r="R6458" s="4"/>
      <c r="S6458" s="4"/>
      <c r="T6458" s="4"/>
      <c r="U6458" s="4"/>
      <c r="V6458" s="4"/>
      <c r="W6458" s="4"/>
      <c r="X6458" s="4"/>
    </row>
    <row r="6459" spans="17:24" x14ac:dyDescent="0.3">
      <c r="Q6459" s="4"/>
      <c r="R6459" s="4"/>
      <c r="S6459" s="4"/>
      <c r="T6459" s="4"/>
      <c r="U6459" s="4"/>
      <c r="V6459" s="4"/>
      <c r="W6459" s="4"/>
      <c r="X6459" s="4"/>
    </row>
    <row r="6460" spans="17:24" x14ac:dyDescent="0.3">
      <c r="Q6460" s="4"/>
      <c r="R6460" s="4"/>
      <c r="S6460" s="4"/>
      <c r="T6460" s="4"/>
      <c r="U6460" s="4"/>
      <c r="V6460" s="4"/>
      <c r="W6460" s="4"/>
      <c r="X6460" s="4"/>
    </row>
    <row r="6461" spans="17:24" x14ac:dyDescent="0.3">
      <c r="Q6461" s="4"/>
      <c r="R6461" s="4"/>
      <c r="S6461" s="4"/>
      <c r="T6461" s="4"/>
      <c r="U6461" s="4"/>
      <c r="V6461" s="4"/>
      <c r="W6461" s="4"/>
      <c r="X6461" s="4"/>
    </row>
    <row r="6462" spans="17:24" x14ac:dyDescent="0.3">
      <c r="Q6462" s="4"/>
      <c r="R6462" s="4"/>
      <c r="S6462" s="4"/>
      <c r="T6462" s="4"/>
      <c r="U6462" s="4"/>
      <c r="V6462" s="4"/>
      <c r="W6462" s="4"/>
      <c r="X6462" s="4"/>
    </row>
    <row r="6463" spans="17:24" x14ac:dyDescent="0.3">
      <c r="Q6463" s="4"/>
      <c r="R6463" s="4"/>
      <c r="S6463" s="4"/>
      <c r="T6463" s="4"/>
      <c r="U6463" s="4"/>
      <c r="V6463" s="4"/>
      <c r="W6463" s="4"/>
      <c r="X6463" s="4"/>
    </row>
    <row r="6464" spans="17:24" x14ac:dyDescent="0.3">
      <c r="Q6464" s="4"/>
      <c r="R6464" s="4"/>
      <c r="S6464" s="4"/>
      <c r="T6464" s="4"/>
      <c r="U6464" s="4"/>
      <c r="V6464" s="4"/>
      <c r="W6464" s="4"/>
      <c r="X6464" s="4"/>
    </row>
    <row r="6465" spans="17:24" x14ac:dyDescent="0.3">
      <c r="Q6465" s="4"/>
      <c r="R6465" s="4"/>
      <c r="S6465" s="4"/>
      <c r="T6465" s="4"/>
      <c r="U6465" s="4"/>
      <c r="V6465" s="4"/>
      <c r="W6465" s="4"/>
      <c r="X6465" s="4"/>
    </row>
    <row r="6466" spans="17:24" x14ac:dyDescent="0.3">
      <c r="Q6466" s="4"/>
      <c r="R6466" s="4"/>
      <c r="S6466" s="4"/>
      <c r="T6466" s="4"/>
      <c r="U6466" s="4"/>
      <c r="V6466" s="4"/>
      <c r="W6466" s="4"/>
      <c r="X6466" s="4"/>
    </row>
    <row r="6467" spans="17:24" x14ac:dyDescent="0.3">
      <c r="Q6467" s="4"/>
      <c r="R6467" s="4"/>
      <c r="S6467" s="4"/>
      <c r="T6467" s="4"/>
      <c r="U6467" s="4"/>
      <c r="V6467" s="4"/>
      <c r="W6467" s="4"/>
      <c r="X6467" s="4"/>
    </row>
    <row r="6468" spans="17:24" x14ac:dyDescent="0.3">
      <c r="Q6468" s="4"/>
      <c r="R6468" s="4"/>
      <c r="S6468" s="4"/>
      <c r="T6468" s="4"/>
      <c r="U6468" s="4"/>
      <c r="V6468" s="4"/>
      <c r="W6468" s="4"/>
      <c r="X6468" s="4"/>
    </row>
    <row r="6469" spans="17:24" x14ac:dyDescent="0.3">
      <c r="Q6469" s="4"/>
      <c r="R6469" s="4"/>
      <c r="S6469" s="4"/>
      <c r="T6469" s="4"/>
      <c r="U6469" s="4"/>
      <c r="V6469" s="4"/>
      <c r="W6469" s="4"/>
      <c r="X6469" s="4"/>
    </row>
    <row r="6470" spans="17:24" x14ac:dyDescent="0.3">
      <c r="Q6470" s="4"/>
      <c r="R6470" s="4"/>
      <c r="S6470" s="4"/>
      <c r="T6470" s="4"/>
      <c r="U6470" s="4"/>
      <c r="V6470" s="4"/>
      <c r="W6470" s="4"/>
      <c r="X6470" s="4"/>
    </row>
    <row r="6471" spans="17:24" x14ac:dyDescent="0.3">
      <c r="Q6471" s="4"/>
      <c r="R6471" s="4"/>
      <c r="S6471" s="4"/>
      <c r="T6471" s="4"/>
      <c r="U6471" s="4"/>
      <c r="V6471" s="4"/>
      <c r="W6471" s="4"/>
      <c r="X6471" s="4"/>
    </row>
    <row r="6472" spans="17:24" x14ac:dyDescent="0.3">
      <c r="Q6472" s="4"/>
      <c r="R6472" s="4"/>
      <c r="S6472" s="4"/>
      <c r="T6472" s="4"/>
      <c r="U6472" s="4"/>
      <c r="V6472" s="4"/>
      <c r="W6472" s="4"/>
      <c r="X6472" s="4"/>
    </row>
    <row r="6473" spans="17:24" x14ac:dyDescent="0.3">
      <c r="Q6473" s="4"/>
      <c r="R6473" s="4"/>
      <c r="S6473" s="4"/>
      <c r="T6473" s="4"/>
      <c r="U6473" s="4"/>
      <c r="V6473" s="4"/>
      <c r="W6473" s="4"/>
      <c r="X6473" s="4"/>
    </row>
    <row r="6474" spans="17:24" x14ac:dyDescent="0.3">
      <c r="Q6474" s="4"/>
      <c r="R6474" s="4"/>
      <c r="S6474" s="4"/>
      <c r="T6474" s="4"/>
      <c r="U6474" s="4"/>
      <c r="V6474" s="4"/>
      <c r="W6474" s="4"/>
      <c r="X6474" s="4"/>
    </row>
    <row r="6475" spans="17:24" x14ac:dyDescent="0.3">
      <c r="Q6475" s="4"/>
      <c r="R6475" s="4"/>
      <c r="S6475" s="4"/>
      <c r="T6475" s="4"/>
      <c r="U6475" s="4"/>
      <c r="V6475" s="4"/>
      <c r="W6475" s="4"/>
      <c r="X6475" s="4"/>
    </row>
    <row r="6476" spans="17:24" x14ac:dyDescent="0.3">
      <c r="Q6476" s="4"/>
      <c r="R6476" s="4"/>
      <c r="S6476" s="4"/>
      <c r="T6476" s="4"/>
      <c r="U6476" s="4"/>
      <c r="V6476" s="4"/>
      <c r="W6476" s="4"/>
      <c r="X6476" s="4"/>
    </row>
    <row r="6477" spans="17:24" x14ac:dyDescent="0.3">
      <c r="Q6477" s="4"/>
      <c r="R6477" s="4"/>
      <c r="S6477" s="4"/>
      <c r="T6477" s="4"/>
      <c r="U6477" s="4"/>
      <c r="V6477" s="4"/>
      <c r="W6477" s="4"/>
      <c r="X6477" s="4"/>
    </row>
    <row r="6478" spans="17:24" x14ac:dyDescent="0.3">
      <c r="Q6478" s="4"/>
      <c r="R6478" s="4"/>
      <c r="S6478" s="4"/>
      <c r="T6478" s="4"/>
      <c r="U6478" s="4"/>
      <c r="V6478" s="4"/>
      <c r="W6478" s="4"/>
      <c r="X6478" s="4"/>
    </row>
    <row r="6479" spans="17:24" x14ac:dyDescent="0.3">
      <c r="Q6479" s="4"/>
      <c r="R6479" s="4"/>
      <c r="S6479" s="4"/>
      <c r="T6479" s="4"/>
      <c r="U6479" s="4"/>
      <c r="V6479" s="4"/>
      <c r="W6479" s="4"/>
      <c r="X6479" s="4"/>
    </row>
    <row r="6480" spans="17:24" x14ac:dyDescent="0.3">
      <c r="Q6480" s="4"/>
      <c r="R6480" s="4"/>
      <c r="S6480" s="4"/>
      <c r="T6480" s="4"/>
      <c r="U6480" s="4"/>
      <c r="V6480" s="4"/>
      <c r="W6480" s="4"/>
      <c r="X6480" s="4"/>
    </row>
    <row r="6481" spans="17:24" x14ac:dyDescent="0.3">
      <c r="Q6481" s="4"/>
      <c r="R6481" s="4"/>
      <c r="S6481" s="4"/>
      <c r="T6481" s="4"/>
      <c r="U6481" s="4"/>
      <c r="V6481" s="4"/>
      <c r="W6481" s="4"/>
      <c r="X6481" s="4"/>
    </row>
    <row r="6482" spans="17:24" x14ac:dyDescent="0.3">
      <c r="Q6482" s="4"/>
      <c r="R6482" s="4"/>
      <c r="S6482" s="4"/>
      <c r="T6482" s="4"/>
      <c r="U6482" s="4"/>
      <c r="V6482" s="4"/>
      <c r="W6482" s="4"/>
      <c r="X6482" s="4"/>
    </row>
    <row r="6483" spans="17:24" x14ac:dyDescent="0.3">
      <c r="Q6483" s="4"/>
      <c r="R6483" s="4"/>
      <c r="S6483" s="4"/>
      <c r="T6483" s="4"/>
      <c r="U6483" s="4"/>
      <c r="V6483" s="4"/>
      <c r="W6483" s="4"/>
      <c r="X6483" s="4"/>
    </row>
    <row r="6484" spans="17:24" x14ac:dyDescent="0.3">
      <c r="Q6484" s="4"/>
      <c r="R6484" s="4"/>
      <c r="S6484" s="4"/>
      <c r="T6484" s="4"/>
      <c r="U6484" s="4"/>
      <c r="V6484" s="4"/>
      <c r="W6484" s="4"/>
      <c r="X6484" s="4"/>
    </row>
    <row r="6485" spans="17:24" x14ac:dyDescent="0.3">
      <c r="Q6485" s="4"/>
      <c r="R6485" s="4"/>
      <c r="S6485" s="4"/>
      <c r="T6485" s="4"/>
      <c r="U6485" s="4"/>
      <c r="V6485" s="4"/>
      <c r="W6485" s="4"/>
      <c r="X6485" s="4"/>
    </row>
    <row r="6486" spans="17:24" x14ac:dyDescent="0.3">
      <c r="Q6486" s="4"/>
      <c r="R6486" s="4"/>
      <c r="S6486" s="4"/>
      <c r="T6486" s="4"/>
      <c r="U6486" s="4"/>
      <c r="V6486" s="4"/>
      <c r="W6486" s="4"/>
      <c r="X6486" s="4"/>
    </row>
    <row r="6487" spans="17:24" x14ac:dyDescent="0.3">
      <c r="Q6487" s="4"/>
      <c r="R6487" s="4"/>
      <c r="S6487" s="4"/>
      <c r="T6487" s="4"/>
      <c r="U6487" s="4"/>
      <c r="V6487" s="4"/>
      <c r="W6487" s="4"/>
      <c r="X6487" s="4"/>
    </row>
    <row r="6488" spans="17:24" x14ac:dyDescent="0.3">
      <c r="Q6488" s="4"/>
      <c r="R6488" s="4"/>
      <c r="S6488" s="4"/>
      <c r="T6488" s="4"/>
      <c r="U6488" s="4"/>
      <c r="V6488" s="4"/>
      <c r="W6488" s="4"/>
      <c r="X6488" s="4"/>
    </row>
    <row r="6489" spans="17:24" x14ac:dyDescent="0.3">
      <c r="Q6489" s="4"/>
      <c r="R6489" s="4"/>
      <c r="S6489" s="4"/>
      <c r="T6489" s="4"/>
      <c r="U6489" s="4"/>
      <c r="V6489" s="4"/>
      <c r="W6489" s="4"/>
      <c r="X6489" s="4"/>
    </row>
    <row r="6490" spans="17:24" x14ac:dyDescent="0.3">
      <c r="Q6490" s="4"/>
      <c r="R6490" s="4"/>
      <c r="S6490" s="4"/>
      <c r="T6490" s="4"/>
      <c r="U6490" s="4"/>
      <c r="V6490" s="4"/>
      <c r="W6490" s="4"/>
      <c r="X6490" s="4"/>
    </row>
    <row r="6491" spans="17:24" x14ac:dyDescent="0.3">
      <c r="Q6491" s="4"/>
      <c r="R6491" s="4"/>
      <c r="S6491" s="4"/>
      <c r="T6491" s="4"/>
      <c r="U6491" s="4"/>
      <c r="V6491" s="4"/>
      <c r="W6491" s="4"/>
      <c r="X6491" s="4"/>
    </row>
    <row r="6492" spans="17:24" x14ac:dyDescent="0.3">
      <c r="Q6492" s="4"/>
      <c r="R6492" s="4"/>
      <c r="S6492" s="4"/>
      <c r="T6492" s="4"/>
      <c r="U6492" s="4"/>
      <c r="V6492" s="4"/>
      <c r="W6492" s="4"/>
      <c r="X6492" s="4"/>
    </row>
    <row r="6493" spans="17:24" x14ac:dyDescent="0.3">
      <c r="Q6493" s="4"/>
      <c r="R6493" s="4"/>
      <c r="S6493" s="4"/>
      <c r="T6493" s="4"/>
      <c r="U6493" s="4"/>
      <c r="V6493" s="4"/>
      <c r="W6493" s="4"/>
      <c r="X6493" s="4"/>
    </row>
    <row r="6494" spans="17:24" x14ac:dyDescent="0.3">
      <c r="Q6494" s="4"/>
      <c r="R6494" s="4"/>
      <c r="S6494" s="4"/>
      <c r="T6494" s="4"/>
      <c r="U6494" s="4"/>
      <c r="V6494" s="4"/>
      <c r="W6494" s="4"/>
      <c r="X6494" s="4"/>
    </row>
    <row r="6495" spans="17:24" x14ac:dyDescent="0.3">
      <c r="Q6495" s="4"/>
      <c r="R6495" s="4"/>
      <c r="S6495" s="4"/>
      <c r="T6495" s="4"/>
      <c r="U6495" s="4"/>
      <c r="V6495" s="4"/>
      <c r="W6495" s="4"/>
      <c r="X6495" s="4"/>
    </row>
    <row r="6496" spans="17:24" x14ac:dyDescent="0.3">
      <c r="Q6496" s="4"/>
      <c r="R6496" s="4"/>
      <c r="S6496" s="4"/>
      <c r="T6496" s="4"/>
      <c r="U6496" s="4"/>
      <c r="V6496" s="4"/>
      <c r="W6496" s="4"/>
      <c r="X6496" s="4"/>
    </row>
    <row r="6497" spans="17:24" x14ac:dyDescent="0.3">
      <c r="Q6497" s="4"/>
      <c r="R6497" s="4"/>
      <c r="S6497" s="4"/>
      <c r="T6497" s="4"/>
      <c r="U6497" s="4"/>
      <c r="V6497" s="4"/>
      <c r="W6497" s="4"/>
      <c r="X6497" s="4"/>
    </row>
    <row r="6498" spans="17:24" x14ac:dyDescent="0.3">
      <c r="Q6498" s="4"/>
      <c r="R6498" s="4"/>
      <c r="S6498" s="4"/>
      <c r="T6498" s="4"/>
      <c r="U6498" s="4"/>
      <c r="V6498" s="4"/>
      <c r="W6498" s="4"/>
      <c r="X6498" s="4"/>
    </row>
    <row r="6499" spans="17:24" x14ac:dyDescent="0.3">
      <c r="Q6499" s="4"/>
      <c r="R6499" s="4"/>
      <c r="S6499" s="4"/>
      <c r="T6499" s="4"/>
      <c r="U6499" s="4"/>
      <c r="V6499" s="4"/>
      <c r="W6499" s="4"/>
      <c r="X6499" s="4"/>
    </row>
    <row r="6500" spans="17:24" x14ac:dyDescent="0.3">
      <c r="Q6500" s="4"/>
      <c r="R6500" s="4"/>
      <c r="S6500" s="4"/>
      <c r="T6500" s="4"/>
      <c r="U6500" s="4"/>
      <c r="V6500" s="4"/>
      <c r="W6500" s="4"/>
      <c r="X6500" s="4"/>
    </row>
    <row r="6501" spans="17:24" x14ac:dyDescent="0.3">
      <c r="Q6501" s="4"/>
      <c r="R6501" s="4"/>
      <c r="S6501" s="4"/>
      <c r="T6501" s="4"/>
      <c r="U6501" s="4"/>
      <c r="V6501" s="4"/>
      <c r="W6501" s="4"/>
      <c r="X6501" s="4"/>
    </row>
    <row r="6502" spans="17:24" x14ac:dyDescent="0.3">
      <c r="Q6502" s="4"/>
      <c r="R6502" s="4"/>
      <c r="S6502" s="4"/>
      <c r="T6502" s="4"/>
      <c r="U6502" s="4"/>
      <c r="V6502" s="4"/>
      <c r="W6502" s="4"/>
      <c r="X6502" s="4"/>
    </row>
    <row r="6503" spans="17:24" x14ac:dyDescent="0.3">
      <c r="Q6503" s="4"/>
      <c r="R6503" s="4"/>
      <c r="S6503" s="4"/>
      <c r="T6503" s="4"/>
      <c r="U6503" s="4"/>
      <c r="V6503" s="4"/>
      <c r="W6503" s="4"/>
      <c r="X6503" s="4"/>
    </row>
    <row r="6504" spans="17:24" x14ac:dyDescent="0.3">
      <c r="Q6504" s="4"/>
      <c r="R6504" s="4"/>
      <c r="S6504" s="4"/>
      <c r="T6504" s="4"/>
      <c r="U6504" s="4"/>
      <c r="V6504" s="4"/>
      <c r="W6504" s="4"/>
      <c r="X6504" s="4"/>
    </row>
    <row r="6505" spans="17:24" x14ac:dyDescent="0.3">
      <c r="Q6505" s="4"/>
      <c r="R6505" s="4"/>
      <c r="S6505" s="4"/>
      <c r="T6505" s="4"/>
      <c r="U6505" s="4"/>
      <c r="V6505" s="4"/>
      <c r="W6505" s="4"/>
      <c r="X6505" s="4"/>
    </row>
    <row r="6506" spans="17:24" x14ac:dyDescent="0.3">
      <c r="Q6506" s="4"/>
      <c r="R6506" s="4"/>
      <c r="S6506" s="4"/>
      <c r="T6506" s="4"/>
      <c r="U6506" s="4"/>
      <c r="V6506" s="4"/>
      <c r="W6506" s="4"/>
      <c r="X6506" s="4"/>
    </row>
    <row r="6507" spans="17:24" x14ac:dyDescent="0.3">
      <c r="Q6507" s="4"/>
      <c r="R6507" s="4"/>
      <c r="S6507" s="4"/>
      <c r="T6507" s="4"/>
      <c r="U6507" s="4"/>
      <c r="V6507" s="4"/>
      <c r="W6507" s="4"/>
      <c r="X6507" s="4"/>
    </row>
    <row r="6508" spans="17:24" x14ac:dyDescent="0.3">
      <c r="Q6508" s="4"/>
      <c r="R6508" s="4"/>
      <c r="S6508" s="4"/>
      <c r="T6508" s="4"/>
      <c r="U6508" s="4"/>
      <c r="V6508" s="4"/>
      <c r="W6508" s="4"/>
      <c r="X6508" s="4"/>
    </row>
    <row r="6509" spans="17:24" x14ac:dyDescent="0.3">
      <c r="Q6509" s="4"/>
      <c r="R6509" s="4"/>
      <c r="S6509" s="4"/>
      <c r="T6509" s="4"/>
      <c r="U6509" s="4"/>
      <c r="V6509" s="4"/>
      <c r="W6509" s="4"/>
      <c r="X6509" s="4"/>
    </row>
    <row r="6510" spans="17:24" x14ac:dyDescent="0.3">
      <c r="Q6510" s="4"/>
      <c r="R6510" s="4"/>
      <c r="S6510" s="4"/>
      <c r="T6510" s="4"/>
      <c r="U6510" s="4"/>
      <c r="V6510" s="4"/>
      <c r="W6510" s="4"/>
      <c r="X6510" s="4"/>
    </row>
    <row r="6511" spans="17:24" x14ac:dyDescent="0.3">
      <c r="Q6511" s="4"/>
      <c r="R6511" s="4"/>
      <c r="S6511" s="4"/>
      <c r="T6511" s="4"/>
      <c r="U6511" s="4"/>
      <c r="V6511" s="4"/>
      <c r="W6511" s="4"/>
      <c r="X6511" s="4"/>
    </row>
    <row r="6512" spans="17:24" x14ac:dyDescent="0.3">
      <c r="Q6512" s="4"/>
      <c r="R6512" s="4"/>
      <c r="S6512" s="4"/>
      <c r="T6512" s="4"/>
      <c r="U6512" s="4"/>
      <c r="V6512" s="4"/>
      <c r="W6512" s="4"/>
      <c r="X6512" s="4"/>
    </row>
    <row r="6513" spans="17:24" x14ac:dyDescent="0.3">
      <c r="Q6513" s="4"/>
      <c r="R6513" s="4"/>
      <c r="S6513" s="4"/>
      <c r="T6513" s="4"/>
      <c r="U6513" s="4"/>
      <c r="V6513" s="4"/>
      <c r="W6513" s="4"/>
      <c r="X6513" s="4"/>
    </row>
    <row r="6514" spans="17:24" x14ac:dyDescent="0.3">
      <c r="Q6514" s="4"/>
      <c r="R6514" s="4"/>
      <c r="S6514" s="4"/>
      <c r="T6514" s="4"/>
      <c r="U6514" s="4"/>
      <c r="V6514" s="4"/>
      <c r="W6514" s="4"/>
      <c r="X6514" s="4"/>
    </row>
    <row r="6515" spans="17:24" x14ac:dyDescent="0.3">
      <c r="Q6515" s="4"/>
      <c r="R6515" s="4"/>
      <c r="S6515" s="4"/>
      <c r="T6515" s="4"/>
      <c r="U6515" s="4"/>
      <c r="V6515" s="4"/>
      <c r="W6515" s="4"/>
      <c r="X6515" s="4"/>
    </row>
    <row r="6516" spans="17:24" x14ac:dyDescent="0.3">
      <c r="Q6516" s="4"/>
      <c r="R6516" s="4"/>
      <c r="S6516" s="4"/>
      <c r="T6516" s="4"/>
      <c r="U6516" s="4"/>
      <c r="V6516" s="4"/>
      <c r="W6516" s="4"/>
      <c r="X6516" s="4"/>
    </row>
    <row r="6517" spans="17:24" x14ac:dyDescent="0.3">
      <c r="Q6517" s="4"/>
      <c r="R6517" s="4"/>
      <c r="S6517" s="4"/>
      <c r="T6517" s="4"/>
      <c r="U6517" s="4"/>
      <c r="V6517" s="4"/>
      <c r="W6517" s="4"/>
      <c r="X6517" s="4"/>
    </row>
    <row r="6518" spans="17:24" x14ac:dyDescent="0.3">
      <c r="Q6518" s="4"/>
      <c r="R6518" s="4"/>
      <c r="S6518" s="4"/>
      <c r="T6518" s="4"/>
      <c r="U6518" s="4"/>
      <c r="V6518" s="4"/>
      <c r="W6518" s="4"/>
      <c r="X6518" s="4"/>
    </row>
    <row r="6519" spans="17:24" x14ac:dyDescent="0.3">
      <c r="Q6519" s="4"/>
      <c r="R6519" s="4"/>
      <c r="S6519" s="4"/>
      <c r="T6519" s="4"/>
      <c r="U6519" s="4"/>
      <c r="V6519" s="4"/>
      <c r="W6519" s="4"/>
      <c r="X6519" s="4"/>
    </row>
    <row r="6520" spans="17:24" x14ac:dyDescent="0.3">
      <c r="Q6520" s="4"/>
      <c r="R6520" s="4"/>
      <c r="S6520" s="4"/>
      <c r="T6520" s="4"/>
      <c r="U6520" s="4"/>
      <c r="V6520" s="4"/>
      <c r="W6520" s="4"/>
      <c r="X6520" s="4"/>
    </row>
    <row r="6521" spans="17:24" x14ac:dyDescent="0.3">
      <c r="Q6521" s="4"/>
      <c r="R6521" s="4"/>
      <c r="S6521" s="4"/>
      <c r="T6521" s="4"/>
      <c r="U6521" s="4"/>
      <c r="V6521" s="4"/>
      <c r="W6521" s="4"/>
      <c r="X6521" s="4"/>
    </row>
    <row r="6522" spans="17:24" x14ac:dyDescent="0.3">
      <c r="Q6522" s="4"/>
      <c r="R6522" s="4"/>
      <c r="S6522" s="4"/>
      <c r="T6522" s="4"/>
      <c r="U6522" s="4"/>
      <c r="V6522" s="4"/>
      <c r="W6522" s="4"/>
      <c r="X6522" s="4"/>
    </row>
    <row r="6523" spans="17:24" x14ac:dyDescent="0.3">
      <c r="Q6523" s="4"/>
      <c r="R6523" s="4"/>
      <c r="S6523" s="4"/>
      <c r="T6523" s="4"/>
      <c r="U6523" s="4"/>
      <c r="V6523" s="4"/>
      <c r="W6523" s="4"/>
      <c r="X6523" s="4"/>
    </row>
    <row r="6524" spans="17:24" x14ac:dyDescent="0.3">
      <c r="Q6524" s="4"/>
      <c r="R6524" s="4"/>
      <c r="S6524" s="4"/>
      <c r="T6524" s="4"/>
      <c r="U6524" s="4"/>
      <c r="V6524" s="4"/>
      <c r="W6524" s="4"/>
      <c r="X6524" s="4"/>
    </row>
    <row r="6525" spans="17:24" x14ac:dyDescent="0.3">
      <c r="Q6525" s="4"/>
      <c r="R6525" s="4"/>
      <c r="S6525" s="4"/>
      <c r="T6525" s="4"/>
      <c r="U6525" s="4"/>
      <c r="V6525" s="4"/>
      <c r="W6525" s="4"/>
      <c r="X6525" s="4"/>
    </row>
    <row r="6526" spans="17:24" x14ac:dyDescent="0.3">
      <c r="Q6526" s="4"/>
      <c r="R6526" s="4"/>
      <c r="S6526" s="4"/>
      <c r="T6526" s="4"/>
      <c r="U6526" s="4"/>
      <c r="V6526" s="4"/>
      <c r="W6526" s="4"/>
      <c r="X6526" s="4"/>
    </row>
    <row r="6527" spans="17:24" x14ac:dyDescent="0.3">
      <c r="Q6527" s="4"/>
      <c r="R6527" s="4"/>
      <c r="S6527" s="4"/>
      <c r="T6527" s="4"/>
      <c r="U6527" s="4"/>
      <c r="V6527" s="4"/>
      <c r="W6527" s="4"/>
      <c r="X6527" s="4"/>
    </row>
    <row r="6528" spans="17:24" x14ac:dyDescent="0.3">
      <c r="Q6528" s="4"/>
      <c r="R6528" s="4"/>
      <c r="S6528" s="4"/>
      <c r="T6528" s="4"/>
      <c r="U6528" s="4"/>
      <c r="V6528" s="4"/>
      <c r="W6528" s="4"/>
      <c r="X6528" s="4"/>
    </row>
    <row r="6529" spans="17:24" x14ac:dyDescent="0.3">
      <c r="Q6529" s="4"/>
      <c r="R6529" s="4"/>
      <c r="S6529" s="4"/>
      <c r="T6529" s="4"/>
      <c r="U6529" s="4"/>
      <c r="V6529" s="4"/>
      <c r="W6529" s="4"/>
      <c r="X6529" s="4"/>
    </row>
    <row r="6530" spans="17:24" x14ac:dyDescent="0.3">
      <c r="Q6530" s="4"/>
      <c r="R6530" s="4"/>
      <c r="S6530" s="4"/>
      <c r="T6530" s="4"/>
      <c r="U6530" s="4"/>
      <c r="V6530" s="4"/>
      <c r="W6530" s="4"/>
      <c r="X6530" s="4"/>
    </row>
    <row r="6531" spans="17:24" x14ac:dyDescent="0.3">
      <c r="Q6531" s="4"/>
      <c r="R6531" s="4"/>
      <c r="S6531" s="4"/>
      <c r="T6531" s="4"/>
      <c r="U6531" s="4"/>
      <c r="V6531" s="4"/>
      <c r="W6531" s="4"/>
      <c r="X6531" s="4"/>
    </row>
    <row r="6532" spans="17:24" x14ac:dyDescent="0.3">
      <c r="Q6532" s="4"/>
      <c r="R6532" s="4"/>
      <c r="S6532" s="4"/>
      <c r="T6532" s="4"/>
      <c r="U6532" s="4"/>
      <c r="V6532" s="4"/>
      <c r="W6532" s="4"/>
      <c r="X6532" s="4"/>
    </row>
    <row r="6533" spans="17:24" x14ac:dyDescent="0.3">
      <c r="Q6533" s="4"/>
      <c r="R6533" s="4"/>
      <c r="S6533" s="4"/>
      <c r="T6533" s="4"/>
      <c r="U6533" s="4"/>
      <c r="V6533" s="4"/>
      <c r="W6533" s="4"/>
      <c r="X6533" s="4"/>
    </row>
    <row r="6534" spans="17:24" x14ac:dyDescent="0.3">
      <c r="Q6534" s="4"/>
      <c r="R6534" s="4"/>
      <c r="S6534" s="4"/>
      <c r="T6534" s="4"/>
      <c r="U6534" s="4"/>
      <c r="V6534" s="4"/>
      <c r="W6534" s="4"/>
      <c r="X6534" s="4"/>
    </row>
    <row r="6535" spans="17:24" x14ac:dyDescent="0.3">
      <c r="Q6535" s="4"/>
      <c r="R6535" s="4"/>
      <c r="S6535" s="4"/>
      <c r="T6535" s="4"/>
      <c r="U6535" s="4"/>
      <c r="V6535" s="4"/>
      <c r="W6535" s="4"/>
      <c r="X6535" s="4"/>
    </row>
    <row r="6536" spans="17:24" x14ac:dyDescent="0.3">
      <c r="Q6536" s="4"/>
      <c r="R6536" s="4"/>
      <c r="S6536" s="4"/>
      <c r="T6536" s="4"/>
      <c r="U6536" s="4"/>
      <c r="V6536" s="4"/>
      <c r="W6536" s="4"/>
      <c r="X6536" s="4"/>
    </row>
    <row r="6537" spans="17:24" x14ac:dyDescent="0.3">
      <c r="Q6537" s="4"/>
      <c r="R6537" s="4"/>
      <c r="S6537" s="4"/>
      <c r="T6537" s="4"/>
      <c r="U6537" s="4"/>
      <c r="V6537" s="4"/>
      <c r="W6537" s="4"/>
      <c r="X6537" s="4"/>
    </row>
    <row r="6538" spans="17:24" x14ac:dyDescent="0.3">
      <c r="Q6538" s="4"/>
      <c r="R6538" s="4"/>
      <c r="S6538" s="4"/>
      <c r="T6538" s="4"/>
      <c r="U6538" s="4"/>
      <c r="V6538" s="4"/>
      <c r="W6538" s="4"/>
      <c r="X6538" s="4"/>
    </row>
    <row r="6539" spans="17:24" x14ac:dyDescent="0.3">
      <c r="Q6539" s="4"/>
      <c r="R6539" s="4"/>
      <c r="S6539" s="4"/>
      <c r="T6539" s="4"/>
      <c r="U6539" s="4"/>
      <c r="V6539" s="4"/>
      <c r="W6539" s="4"/>
      <c r="X6539" s="4"/>
    </row>
    <row r="6540" spans="17:24" x14ac:dyDescent="0.3">
      <c r="Q6540" s="4"/>
      <c r="R6540" s="4"/>
      <c r="S6540" s="4"/>
      <c r="T6540" s="4"/>
      <c r="U6540" s="4"/>
      <c r="V6540" s="4"/>
      <c r="W6540" s="4"/>
      <c r="X6540" s="4"/>
    </row>
    <row r="6541" spans="17:24" x14ac:dyDescent="0.3">
      <c r="Q6541" s="4"/>
      <c r="R6541" s="4"/>
      <c r="S6541" s="4"/>
      <c r="T6541" s="4"/>
      <c r="U6541" s="4"/>
      <c r="V6541" s="4"/>
      <c r="W6541" s="4"/>
      <c r="X6541" s="4"/>
    </row>
    <row r="6542" spans="17:24" x14ac:dyDescent="0.3">
      <c r="Q6542" s="4"/>
      <c r="R6542" s="4"/>
      <c r="S6542" s="4"/>
      <c r="T6542" s="4"/>
      <c r="U6542" s="4"/>
      <c r="V6542" s="4"/>
      <c r="W6542" s="4"/>
      <c r="X6542" s="4"/>
    </row>
    <row r="6543" spans="17:24" x14ac:dyDescent="0.3">
      <c r="Q6543" s="4"/>
      <c r="R6543" s="4"/>
      <c r="S6543" s="4"/>
      <c r="T6543" s="4"/>
      <c r="U6543" s="4"/>
      <c r="V6543" s="4"/>
      <c r="W6543" s="4"/>
      <c r="X6543" s="4"/>
    </row>
    <row r="6544" spans="17:24" x14ac:dyDescent="0.3">
      <c r="Q6544" s="4"/>
      <c r="R6544" s="4"/>
      <c r="S6544" s="4"/>
      <c r="T6544" s="4"/>
      <c r="U6544" s="4"/>
      <c r="V6544" s="4"/>
      <c r="W6544" s="4"/>
      <c r="X6544" s="4"/>
    </row>
    <row r="6545" spans="17:24" x14ac:dyDescent="0.3">
      <c r="Q6545" s="4"/>
      <c r="R6545" s="4"/>
      <c r="S6545" s="4"/>
      <c r="T6545" s="4"/>
      <c r="U6545" s="4"/>
      <c r="V6545" s="4"/>
      <c r="W6545" s="4"/>
      <c r="X6545" s="4"/>
    </row>
    <row r="6546" spans="17:24" x14ac:dyDescent="0.3">
      <c r="Q6546" s="4"/>
      <c r="R6546" s="4"/>
      <c r="S6546" s="4"/>
      <c r="T6546" s="4"/>
      <c r="U6546" s="4"/>
      <c r="V6546" s="4"/>
      <c r="W6546" s="4"/>
      <c r="X6546" s="4"/>
    </row>
    <row r="6547" spans="17:24" x14ac:dyDescent="0.3">
      <c r="Q6547" s="4"/>
      <c r="R6547" s="4"/>
      <c r="S6547" s="4"/>
      <c r="T6547" s="4"/>
      <c r="U6547" s="4"/>
      <c r="V6547" s="4"/>
      <c r="W6547" s="4"/>
      <c r="X6547" s="4"/>
    </row>
    <row r="6548" spans="17:24" x14ac:dyDescent="0.3">
      <c r="Q6548" s="4"/>
      <c r="R6548" s="4"/>
      <c r="S6548" s="4"/>
      <c r="T6548" s="4"/>
      <c r="U6548" s="4"/>
      <c r="V6548" s="4"/>
      <c r="W6548" s="4"/>
      <c r="X6548" s="4"/>
    </row>
    <row r="6549" spans="17:24" x14ac:dyDescent="0.3">
      <c r="Q6549" s="4"/>
      <c r="R6549" s="4"/>
      <c r="S6549" s="4"/>
      <c r="T6549" s="4"/>
      <c r="U6549" s="4"/>
      <c r="V6549" s="4"/>
      <c r="W6549" s="4"/>
      <c r="X6549" s="4"/>
    </row>
    <row r="6550" spans="17:24" x14ac:dyDescent="0.3">
      <c r="Q6550" s="4"/>
      <c r="R6550" s="4"/>
      <c r="S6550" s="4"/>
      <c r="T6550" s="4"/>
      <c r="U6550" s="4"/>
      <c r="V6550" s="4"/>
      <c r="W6550" s="4"/>
      <c r="X6550" s="4"/>
    </row>
    <row r="6551" spans="17:24" x14ac:dyDescent="0.3">
      <c r="Q6551" s="4"/>
      <c r="R6551" s="4"/>
      <c r="S6551" s="4"/>
      <c r="T6551" s="4"/>
      <c r="U6551" s="4"/>
      <c r="V6551" s="4"/>
      <c r="W6551" s="4"/>
      <c r="X6551" s="4"/>
    </row>
    <row r="6552" spans="17:24" x14ac:dyDescent="0.3">
      <c r="Q6552" s="4"/>
      <c r="R6552" s="4"/>
      <c r="S6552" s="4"/>
      <c r="T6552" s="4"/>
      <c r="U6552" s="4"/>
      <c r="V6552" s="4"/>
      <c r="W6552" s="4"/>
      <c r="X6552" s="4"/>
    </row>
    <row r="6553" spans="17:24" x14ac:dyDescent="0.3">
      <c r="Q6553" s="4"/>
      <c r="R6553" s="4"/>
      <c r="S6553" s="4"/>
      <c r="T6553" s="4"/>
      <c r="U6553" s="4"/>
      <c r="V6553" s="4"/>
      <c r="W6553" s="4"/>
      <c r="X6553" s="4"/>
    </row>
    <row r="6554" spans="17:24" x14ac:dyDescent="0.3">
      <c r="Q6554" s="4"/>
      <c r="R6554" s="4"/>
      <c r="S6554" s="4"/>
      <c r="T6554" s="4"/>
      <c r="U6554" s="4"/>
      <c r="V6554" s="4"/>
      <c r="W6554" s="4"/>
      <c r="X6554" s="4"/>
    </row>
    <row r="6555" spans="17:24" x14ac:dyDescent="0.3">
      <c r="Q6555" s="4"/>
      <c r="R6555" s="4"/>
      <c r="S6555" s="4"/>
      <c r="T6555" s="4"/>
      <c r="U6555" s="4"/>
      <c r="V6555" s="4"/>
      <c r="W6555" s="4"/>
      <c r="X6555" s="4"/>
    </row>
    <row r="6556" spans="17:24" x14ac:dyDescent="0.3">
      <c r="Q6556" s="4"/>
      <c r="R6556" s="4"/>
      <c r="S6556" s="4"/>
      <c r="T6556" s="4"/>
      <c r="U6556" s="4"/>
      <c r="V6556" s="4"/>
      <c r="W6556" s="4"/>
      <c r="X6556" s="4"/>
    </row>
    <row r="6557" spans="17:24" x14ac:dyDescent="0.3">
      <c r="Q6557" s="4"/>
      <c r="R6557" s="4"/>
      <c r="S6557" s="4"/>
      <c r="T6557" s="4"/>
      <c r="U6557" s="4"/>
      <c r="V6557" s="4"/>
      <c r="W6557" s="4"/>
      <c r="X6557" s="4"/>
    </row>
    <row r="6558" spans="17:24" x14ac:dyDescent="0.3">
      <c r="Q6558" s="4"/>
      <c r="R6558" s="4"/>
      <c r="S6558" s="4"/>
      <c r="T6558" s="4"/>
      <c r="U6558" s="4"/>
      <c r="V6558" s="4"/>
      <c r="W6558" s="4"/>
      <c r="X6558" s="4"/>
    </row>
    <row r="6559" spans="17:24" x14ac:dyDescent="0.3">
      <c r="Q6559" s="4"/>
      <c r="R6559" s="4"/>
      <c r="S6559" s="4"/>
      <c r="T6559" s="4"/>
      <c r="U6559" s="4"/>
      <c r="V6559" s="4"/>
      <c r="W6559" s="4"/>
      <c r="X6559" s="4"/>
    </row>
    <row r="6560" spans="17:24" x14ac:dyDescent="0.3">
      <c r="Q6560" s="4"/>
      <c r="R6560" s="4"/>
      <c r="S6560" s="4"/>
      <c r="T6560" s="4"/>
      <c r="U6560" s="4"/>
      <c r="V6560" s="4"/>
      <c r="W6560" s="4"/>
      <c r="X6560" s="4"/>
    </row>
    <row r="6561" spans="17:24" x14ac:dyDescent="0.3">
      <c r="Q6561" s="4"/>
      <c r="R6561" s="4"/>
      <c r="S6561" s="4"/>
      <c r="T6561" s="4"/>
      <c r="U6561" s="4"/>
      <c r="V6561" s="4"/>
      <c r="W6561" s="4"/>
      <c r="X6561" s="4"/>
    </row>
    <row r="6562" spans="17:24" x14ac:dyDescent="0.3">
      <c r="Q6562" s="4"/>
      <c r="R6562" s="4"/>
      <c r="S6562" s="4"/>
      <c r="T6562" s="4"/>
      <c r="U6562" s="4"/>
      <c r="V6562" s="4"/>
      <c r="W6562" s="4"/>
      <c r="X6562" s="4"/>
    </row>
    <row r="6563" spans="17:24" x14ac:dyDescent="0.3">
      <c r="Q6563" s="4"/>
      <c r="R6563" s="4"/>
      <c r="S6563" s="4"/>
      <c r="T6563" s="4"/>
      <c r="U6563" s="4"/>
      <c r="V6563" s="4"/>
      <c r="W6563" s="4"/>
      <c r="X6563" s="4"/>
    </row>
    <row r="6564" spans="17:24" x14ac:dyDescent="0.3">
      <c r="Q6564" s="4"/>
      <c r="R6564" s="4"/>
      <c r="S6564" s="4"/>
      <c r="T6564" s="4"/>
      <c r="U6564" s="4"/>
      <c r="V6564" s="4"/>
      <c r="W6564" s="4"/>
      <c r="X6564" s="4"/>
    </row>
    <row r="6565" spans="17:24" x14ac:dyDescent="0.3">
      <c r="Q6565" s="4"/>
      <c r="R6565" s="4"/>
      <c r="S6565" s="4"/>
      <c r="T6565" s="4"/>
      <c r="U6565" s="4"/>
      <c r="V6565" s="4"/>
      <c r="W6565" s="4"/>
      <c r="X6565" s="4"/>
    </row>
    <row r="6566" spans="17:24" x14ac:dyDescent="0.3">
      <c r="Q6566" s="4"/>
      <c r="R6566" s="4"/>
      <c r="S6566" s="4"/>
      <c r="T6566" s="4"/>
      <c r="U6566" s="4"/>
      <c r="V6566" s="4"/>
      <c r="W6566" s="4"/>
      <c r="X6566" s="4"/>
    </row>
    <row r="6567" spans="17:24" x14ac:dyDescent="0.3">
      <c r="Q6567" s="4"/>
      <c r="R6567" s="4"/>
      <c r="S6567" s="4"/>
      <c r="T6567" s="4"/>
      <c r="U6567" s="4"/>
      <c r="V6567" s="4"/>
      <c r="W6567" s="4"/>
      <c r="X6567" s="4"/>
    </row>
    <row r="6568" spans="17:24" x14ac:dyDescent="0.3">
      <c r="Q6568" s="4"/>
      <c r="R6568" s="4"/>
      <c r="S6568" s="4"/>
      <c r="T6568" s="4"/>
      <c r="U6568" s="4"/>
      <c r="V6568" s="4"/>
      <c r="W6568" s="4"/>
      <c r="X6568" s="4"/>
    </row>
    <row r="6569" spans="17:24" x14ac:dyDescent="0.3">
      <c r="Q6569" s="4"/>
      <c r="R6569" s="4"/>
      <c r="S6569" s="4"/>
      <c r="T6569" s="4"/>
      <c r="U6569" s="4"/>
      <c r="V6569" s="4"/>
      <c r="W6569" s="4"/>
      <c r="X6569" s="4"/>
    </row>
    <row r="6570" spans="17:24" x14ac:dyDescent="0.3">
      <c r="Q6570" s="4"/>
      <c r="R6570" s="4"/>
      <c r="S6570" s="4"/>
      <c r="T6570" s="4"/>
      <c r="U6570" s="4"/>
      <c r="V6570" s="4"/>
      <c r="W6570" s="4"/>
      <c r="X6570" s="4"/>
    </row>
    <row r="6571" spans="17:24" x14ac:dyDescent="0.3">
      <c r="Q6571" s="4"/>
      <c r="R6571" s="4"/>
      <c r="S6571" s="4"/>
      <c r="T6571" s="4"/>
      <c r="U6571" s="4"/>
      <c r="V6571" s="4"/>
      <c r="W6571" s="4"/>
      <c r="X6571" s="4"/>
    </row>
    <row r="6572" spans="17:24" x14ac:dyDescent="0.3">
      <c r="Q6572" s="4"/>
      <c r="R6572" s="4"/>
      <c r="S6572" s="4"/>
      <c r="T6572" s="4"/>
      <c r="U6572" s="4"/>
      <c r="V6572" s="4"/>
      <c r="W6572" s="4"/>
      <c r="X6572" s="4"/>
    </row>
    <row r="6573" spans="17:24" x14ac:dyDescent="0.3">
      <c r="Q6573" s="4"/>
      <c r="R6573" s="4"/>
      <c r="S6573" s="4"/>
      <c r="T6573" s="4"/>
      <c r="U6573" s="4"/>
      <c r="V6573" s="4"/>
      <c r="W6573" s="4"/>
      <c r="X6573" s="4"/>
    </row>
    <row r="6574" spans="17:24" x14ac:dyDescent="0.3">
      <c r="Q6574" s="4"/>
      <c r="R6574" s="4"/>
      <c r="S6574" s="4"/>
      <c r="T6574" s="4"/>
      <c r="U6574" s="4"/>
      <c r="V6574" s="4"/>
      <c r="W6574" s="4"/>
      <c r="X6574" s="4"/>
    </row>
    <row r="6575" spans="17:24" x14ac:dyDescent="0.3">
      <c r="Q6575" s="4"/>
      <c r="R6575" s="4"/>
      <c r="S6575" s="4"/>
      <c r="T6575" s="4"/>
      <c r="U6575" s="4"/>
      <c r="V6575" s="4"/>
      <c r="W6575" s="4"/>
      <c r="X6575" s="4"/>
    </row>
    <row r="6576" spans="17:24" x14ac:dyDescent="0.3">
      <c r="Q6576" s="4"/>
      <c r="R6576" s="4"/>
      <c r="S6576" s="4"/>
      <c r="T6576" s="4"/>
      <c r="U6576" s="4"/>
      <c r="V6576" s="4"/>
      <c r="W6576" s="4"/>
      <c r="X6576" s="4"/>
    </row>
    <row r="6577" spans="17:24" x14ac:dyDescent="0.3">
      <c r="Q6577" s="4"/>
      <c r="R6577" s="4"/>
      <c r="S6577" s="4"/>
      <c r="T6577" s="4"/>
      <c r="U6577" s="4"/>
      <c r="V6577" s="4"/>
      <c r="W6577" s="4"/>
      <c r="X6577" s="4"/>
    </row>
    <row r="6578" spans="17:24" x14ac:dyDescent="0.3">
      <c r="Q6578" s="4"/>
      <c r="R6578" s="4"/>
      <c r="S6578" s="4"/>
      <c r="T6578" s="4"/>
      <c r="U6578" s="4"/>
      <c r="V6578" s="4"/>
      <c r="W6578" s="4"/>
      <c r="X6578" s="4"/>
    </row>
    <row r="6579" spans="17:24" x14ac:dyDescent="0.3">
      <c r="Q6579" s="4"/>
      <c r="R6579" s="4"/>
      <c r="S6579" s="4"/>
      <c r="T6579" s="4"/>
      <c r="U6579" s="4"/>
      <c r="V6579" s="4"/>
      <c r="W6579" s="4"/>
      <c r="X6579" s="4"/>
    </row>
    <row r="6580" spans="17:24" x14ac:dyDescent="0.3">
      <c r="Q6580" s="4"/>
      <c r="R6580" s="4"/>
      <c r="S6580" s="4"/>
      <c r="T6580" s="4"/>
      <c r="U6580" s="4"/>
      <c r="V6580" s="4"/>
      <c r="W6580" s="4"/>
      <c r="X6580" s="4"/>
    </row>
    <row r="6581" spans="17:24" x14ac:dyDescent="0.3">
      <c r="Q6581" s="4"/>
      <c r="R6581" s="4"/>
      <c r="S6581" s="4"/>
      <c r="T6581" s="4"/>
      <c r="U6581" s="4"/>
      <c r="V6581" s="4"/>
      <c r="W6581" s="4"/>
      <c r="X6581" s="4"/>
    </row>
    <row r="6582" spans="17:24" x14ac:dyDescent="0.3">
      <c r="Q6582" s="4"/>
      <c r="R6582" s="4"/>
      <c r="S6582" s="4"/>
      <c r="T6582" s="4"/>
      <c r="U6582" s="4"/>
      <c r="V6582" s="4"/>
      <c r="W6582" s="4"/>
      <c r="X6582" s="4"/>
    </row>
    <row r="6583" spans="17:24" x14ac:dyDescent="0.3">
      <c r="Q6583" s="4"/>
      <c r="R6583" s="4"/>
      <c r="S6583" s="4"/>
      <c r="T6583" s="4"/>
      <c r="U6583" s="4"/>
      <c r="V6583" s="4"/>
      <c r="W6583" s="4"/>
      <c r="X6583" s="4"/>
    </row>
    <row r="6584" spans="17:24" x14ac:dyDescent="0.3">
      <c r="Q6584" s="4"/>
      <c r="R6584" s="4"/>
      <c r="S6584" s="4"/>
      <c r="T6584" s="4"/>
      <c r="U6584" s="4"/>
      <c r="V6584" s="4"/>
      <c r="W6584" s="4"/>
      <c r="X6584" s="4"/>
    </row>
    <row r="6585" spans="17:24" x14ac:dyDescent="0.3">
      <c r="Q6585" s="4"/>
      <c r="R6585" s="4"/>
      <c r="S6585" s="4"/>
      <c r="T6585" s="4"/>
      <c r="U6585" s="4"/>
      <c r="V6585" s="4"/>
      <c r="W6585" s="4"/>
      <c r="X6585" s="4"/>
    </row>
    <row r="6586" spans="17:24" x14ac:dyDescent="0.3">
      <c r="Q6586" s="4"/>
      <c r="R6586" s="4"/>
      <c r="S6586" s="4"/>
      <c r="T6586" s="4"/>
      <c r="U6586" s="4"/>
      <c r="V6586" s="4"/>
      <c r="W6586" s="4"/>
      <c r="X6586" s="4"/>
    </row>
    <row r="6587" spans="17:24" x14ac:dyDescent="0.3">
      <c r="Q6587" s="4"/>
      <c r="R6587" s="4"/>
      <c r="S6587" s="4"/>
      <c r="T6587" s="4"/>
      <c r="U6587" s="4"/>
      <c r="V6587" s="4"/>
      <c r="W6587" s="4"/>
      <c r="X6587" s="4"/>
    </row>
    <row r="6588" spans="17:24" x14ac:dyDescent="0.3">
      <c r="Q6588" s="4"/>
      <c r="R6588" s="4"/>
      <c r="S6588" s="4"/>
      <c r="T6588" s="4"/>
      <c r="U6588" s="4"/>
      <c r="V6588" s="4"/>
      <c r="W6588" s="4"/>
      <c r="X6588" s="4"/>
    </row>
    <row r="6589" spans="17:24" x14ac:dyDescent="0.3">
      <c r="Q6589" s="4"/>
      <c r="R6589" s="4"/>
      <c r="S6589" s="4"/>
      <c r="T6589" s="4"/>
      <c r="U6589" s="4"/>
      <c r="V6589" s="4"/>
      <c r="W6589" s="4"/>
      <c r="X6589" s="4"/>
    </row>
    <row r="6590" spans="17:24" x14ac:dyDescent="0.3">
      <c r="Q6590" s="4"/>
      <c r="R6590" s="4"/>
      <c r="S6590" s="4"/>
      <c r="T6590" s="4"/>
      <c r="U6590" s="4"/>
      <c r="V6590" s="4"/>
      <c r="W6590" s="4"/>
      <c r="X6590" s="4"/>
    </row>
    <row r="6591" spans="17:24" x14ac:dyDescent="0.3">
      <c r="Q6591" s="4"/>
      <c r="R6591" s="4"/>
      <c r="S6591" s="4"/>
      <c r="T6591" s="4"/>
      <c r="U6591" s="4"/>
      <c r="V6591" s="4"/>
      <c r="W6591" s="4"/>
      <c r="X6591" s="4"/>
    </row>
    <row r="6592" spans="17:24" x14ac:dyDescent="0.3">
      <c r="Q6592" s="4"/>
      <c r="R6592" s="4"/>
      <c r="S6592" s="4"/>
      <c r="T6592" s="4"/>
      <c r="U6592" s="4"/>
      <c r="V6592" s="4"/>
      <c r="W6592" s="4"/>
      <c r="X6592" s="4"/>
    </row>
    <row r="6593" spans="17:24" x14ac:dyDescent="0.3">
      <c r="Q6593" s="4"/>
      <c r="R6593" s="4"/>
      <c r="S6593" s="4"/>
      <c r="T6593" s="4"/>
      <c r="U6593" s="4"/>
      <c r="V6593" s="4"/>
      <c r="W6593" s="4"/>
      <c r="X6593" s="4"/>
    </row>
    <row r="6594" spans="17:24" x14ac:dyDescent="0.3">
      <c r="Q6594" s="4"/>
      <c r="R6594" s="4"/>
      <c r="S6594" s="4"/>
      <c r="T6594" s="4"/>
      <c r="U6594" s="4"/>
      <c r="V6594" s="4"/>
      <c r="W6594" s="4"/>
      <c r="X6594" s="4"/>
    </row>
    <row r="6595" spans="17:24" x14ac:dyDescent="0.3">
      <c r="Q6595" s="4"/>
      <c r="R6595" s="4"/>
      <c r="S6595" s="4"/>
      <c r="T6595" s="4"/>
      <c r="U6595" s="4"/>
      <c r="V6595" s="4"/>
      <c r="W6595" s="4"/>
      <c r="X6595" s="4"/>
    </row>
    <row r="6596" spans="17:24" x14ac:dyDescent="0.3">
      <c r="Q6596" s="4"/>
      <c r="R6596" s="4"/>
      <c r="S6596" s="4"/>
      <c r="T6596" s="4"/>
      <c r="U6596" s="4"/>
      <c r="V6596" s="4"/>
      <c r="W6596" s="4"/>
      <c r="X6596" s="4"/>
    </row>
    <row r="6597" spans="17:24" x14ac:dyDescent="0.3">
      <c r="Q6597" s="4"/>
      <c r="R6597" s="4"/>
      <c r="S6597" s="4"/>
      <c r="T6597" s="4"/>
      <c r="U6597" s="4"/>
      <c r="V6597" s="4"/>
      <c r="W6597" s="4"/>
      <c r="X6597" s="4"/>
    </row>
    <row r="6598" spans="17:24" x14ac:dyDescent="0.3">
      <c r="Q6598" s="4"/>
      <c r="R6598" s="4"/>
      <c r="S6598" s="4"/>
      <c r="T6598" s="4"/>
      <c r="U6598" s="4"/>
      <c r="V6598" s="4"/>
      <c r="W6598" s="4"/>
      <c r="X6598" s="4"/>
    </row>
    <row r="6599" spans="17:24" x14ac:dyDescent="0.3">
      <c r="Q6599" s="4"/>
      <c r="R6599" s="4"/>
      <c r="S6599" s="4"/>
      <c r="T6599" s="4"/>
      <c r="U6599" s="4"/>
      <c r="V6599" s="4"/>
      <c r="W6599" s="4"/>
      <c r="X6599" s="4"/>
    </row>
    <row r="6600" spans="17:24" x14ac:dyDescent="0.3">
      <c r="Q6600" s="4"/>
      <c r="R6600" s="4"/>
      <c r="S6600" s="4"/>
      <c r="T6600" s="4"/>
      <c r="U6600" s="4"/>
      <c r="V6600" s="4"/>
      <c r="W6600" s="4"/>
      <c r="X6600" s="4"/>
    </row>
    <row r="6601" spans="17:24" x14ac:dyDescent="0.3">
      <c r="Q6601" s="4"/>
      <c r="R6601" s="4"/>
      <c r="S6601" s="4"/>
      <c r="T6601" s="4"/>
      <c r="U6601" s="4"/>
      <c r="V6601" s="4"/>
      <c r="W6601" s="4"/>
      <c r="X6601" s="4"/>
    </row>
    <row r="6602" spans="17:24" x14ac:dyDescent="0.3">
      <c r="Q6602" s="4"/>
      <c r="R6602" s="4"/>
      <c r="S6602" s="4"/>
      <c r="T6602" s="4"/>
      <c r="U6602" s="4"/>
      <c r="V6602" s="4"/>
      <c r="W6602" s="4"/>
      <c r="X6602" s="4"/>
    </row>
    <row r="6603" spans="17:24" x14ac:dyDescent="0.3">
      <c r="Q6603" s="4"/>
      <c r="R6603" s="4"/>
      <c r="S6603" s="4"/>
      <c r="T6603" s="4"/>
      <c r="U6603" s="4"/>
      <c r="V6603" s="4"/>
      <c r="W6603" s="4"/>
      <c r="X6603" s="4"/>
    </row>
    <row r="6604" spans="17:24" x14ac:dyDescent="0.3">
      <c r="Q6604" s="4"/>
      <c r="R6604" s="4"/>
      <c r="S6604" s="4"/>
      <c r="T6604" s="4"/>
      <c r="U6604" s="4"/>
      <c r="V6604" s="4"/>
      <c r="W6604" s="4"/>
      <c r="X6604" s="4"/>
    </row>
    <row r="6605" spans="17:24" x14ac:dyDescent="0.3">
      <c r="Q6605" s="4"/>
      <c r="R6605" s="4"/>
      <c r="S6605" s="4"/>
      <c r="T6605" s="4"/>
      <c r="U6605" s="4"/>
      <c r="V6605" s="4"/>
      <c r="W6605" s="4"/>
      <c r="X6605" s="4"/>
    </row>
    <row r="6606" spans="17:24" x14ac:dyDescent="0.3">
      <c r="Q6606" s="4"/>
      <c r="R6606" s="4"/>
      <c r="S6606" s="4"/>
      <c r="T6606" s="4"/>
      <c r="U6606" s="4"/>
      <c r="V6606" s="4"/>
      <c r="W6606" s="4"/>
      <c r="X6606" s="4"/>
    </row>
    <row r="6607" spans="17:24" x14ac:dyDescent="0.3">
      <c r="Q6607" s="4"/>
      <c r="R6607" s="4"/>
      <c r="S6607" s="4"/>
      <c r="T6607" s="4"/>
      <c r="U6607" s="4"/>
      <c r="V6607" s="4"/>
      <c r="W6607" s="4"/>
      <c r="X6607" s="4"/>
    </row>
    <row r="6608" spans="17:24" x14ac:dyDescent="0.3">
      <c r="Q6608" s="4"/>
      <c r="R6608" s="4"/>
      <c r="S6608" s="4"/>
      <c r="T6608" s="4"/>
      <c r="U6608" s="4"/>
      <c r="V6608" s="4"/>
      <c r="W6608" s="4"/>
      <c r="X6608" s="4"/>
    </row>
    <row r="6609" spans="17:24" x14ac:dyDescent="0.3">
      <c r="Q6609" s="4"/>
      <c r="R6609" s="4"/>
      <c r="S6609" s="4"/>
      <c r="T6609" s="4"/>
      <c r="U6609" s="4"/>
      <c r="V6609" s="4"/>
      <c r="W6609" s="4"/>
      <c r="X6609" s="4"/>
    </row>
    <row r="6610" spans="17:24" x14ac:dyDescent="0.3">
      <c r="Q6610" s="4"/>
      <c r="R6610" s="4"/>
      <c r="S6610" s="4"/>
      <c r="T6610" s="4"/>
      <c r="U6610" s="4"/>
      <c r="V6610" s="4"/>
      <c r="W6610" s="4"/>
      <c r="X6610" s="4"/>
    </row>
    <row r="6611" spans="17:24" x14ac:dyDescent="0.3">
      <c r="Q6611" s="4"/>
      <c r="R6611" s="4"/>
      <c r="S6611" s="4"/>
      <c r="T6611" s="4"/>
      <c r="U6611" s="4"/>
      <c r="V6611" s="4"/>
      <c r="W6611" s="4"/>
      <c r="X6611" s="4"/>
    </row>
    <row r="6612" spans="17:24" x14ac:dyDescent="0.3">
      <c r="Q6612" s="4"/>
      <c r="R6612" s="4"/>
      <c r="S6612" s="4"/>
      <c r="T6612" s="4"/>
      <c r="U6612" s="4"/>
      <c r="V6612" s="4"/>
      <c r="W6612" s="4"/>
      <c r="X6612" s="4"/>
    </row>
    <row r="6613" spans="17:24" x14ac:dyDescent="0.3">
      <c r="Q6613" s="4"/>
      <c r="R6613" s="4"/>
      <c r="S6613" s="4"/>
      <c r="T6613" s="4"/>
      <c r="U6613" s="4"/>
      <c r="V6613" s="4"/>
      <c r="W6613" s="4"/>
      <c r="X6613" s="4"/>
    </row>
    <row r="6614" spans="17:24" x14ac:dyDescent="0.3">
      <c r="Q6614" s="4"/>
      <c r="R6614" s="4"/>
      <c r="S6614" s="4"/>
      <c r="T6614" s="4"/>
      <c r="U6614" s="4"/>
      <c r="V6614" s="4"/>
      <c r="W6614" s="4"/>
      <c r="X6614" s="4"/>
    </row>
    <row r="6615" spans="17:24" x14ac:dyDescent="0.3">
      <c r="Q6615" s="4"/>
      <c r="R6615" s="4"/>
      <c r="S6615" s="4"/>
      <c r="T6615" s="4"/>
      <c r="U6615" s="4"/>
      <c r="V6615" s="4"/>
      <c r="W6615" s="4"/>
      <c r="X6615" s="4"/>
    </row>
    <row r="6616" spans="17:24" x14ac:dyDescent="0.3">
      <c r="Q6616" s="4"/>
      <c r="R6616" s="4"/>
      <c r="S6616" s="4"/>
      <c r="T6616" s="4"/>
      <c r="U6616" s="4"/>
      <c r="V6616" s="4"/>
      <c r="W6616" s="4"/>
      <c r="X6616" s="4"/>
    </row>
    <row r="6617" spans="17:24" x14ac:dyDescent="0.3">
      <c r="Q6617" s="4"/>
      <c r="R6617" s="4"/>
      <c r="S6617" s="4"/>
      <c r="T6617" s="4"/>
      <c r="U6617" s="4"/>
      <c r="V6617" s="4"/>
      <c r="W6617" s="4"/>
      <c r="X6617" s="4"/>
    </row>
    <row r="6618" spans="17:24" x14ac:dyDescent="0.3">
      <c r="Q6618" s="4"/>
      <c r="R6618" s="4"/>
      <c r="S6618" s="4"/>
      <c r="T6618" s="4"/>
      <c r="U6618" s="4"/>
      <c r="V6618" s="4"/>
      <c r="W6618" s="4"/>
      <c r="X6618" s="4"/>
    </row>
    <row r="6619" spans="17:24" x14ac:dyDescent="0.3">
      <c r="Q6619" s="4"/>
      <c r="R6619" s="4"/>
      <c r="S6619" s="4"/>
      <c r="T6619" s="4"/>
      <c r="U6619" s="4"/>
      <c r="V6619" s="4"/>
      <c r="W6619" s="4"/>
      <c r="X6619" s="4"/>
    </row>
    <row r="6620" spans="17:24" x14ac:dyDescent="0.3">
      <c r="Q6620" s="4"/>
      <c r="R6620" s="4"/>
      <c r="S6620" s="4"/>
      <c r="T6620" s="4"/>
      <c r="U6620" s="4"/>
      <c r="V6620" s="4"/>
      <c r="W6620" s="4"/>
      <c r="X6620" s="4"/>
    </row>
    <row r="6621" spans="17:24" x14ac:dyDescent="0.3">
      <c r="Q6621" s="4"/>
      <c r="R6621" s="4"/>
      <c r="S6621" s="4"/>
      <c r="T6621" s="4"/>
      <c r="U6621" s="4"/>
      <c r="V6621" s="4"/>
      <c r="W6621" s="4"/>
      <c r="X6621" s="4"/>
    </row>
    <row r="6622" spans="17:24" x14ac:dyDescent="0.3">
      <c r="Q6622" s="4"/>
      <c r="R6622" s="4"/>
      <c r="S6622" s="4"/>
      <c r="T6622" s="4"/>
      <c r="U6622" s="4"/>
      <c r="V6622" s="4"/>
      <c r="W6622" s="4"/>
      <c r="X6622" s="4"/>
    </row>
    <row r="6623" spans="17:24" x14ac:dyDescent="0.3">
      <c r="Q6623" s="4"/>
      <c r="R6623" s="4"/>
      <c r="S6623" s="4"/>
      <c r="T6623" s="4"/>
      <c r="U6623" s="4"/>
      <c r="V6623" s="4"/>
      <c r="W6623" s="4"/>
      <c r="X6623" s="4"/>
    </row>
    <row r="6624" spans="17:24" x14ac:dyDescent="0.3">
      <c r="Q6624" s="4"/>
      <c r="R6624" s="4"/>
      <c r="S6624" s="4"/>
      <c r="T6624" s="4"/>
      <c r="U6624" s="4"/>
      <c r="V6624" s="4"/>
      <c r="W6624" s="4"/>
      <c r="X6624" s="4"/>
    </row>
    <row r="6625" spans="17:24" x14ac:dyDescent="0.3">
      <c r="Q6625" s="4"/>
      <c r="R6625" s="4"/>
      <c r="S6625" s="4"/>
      <c r="T6625" s="4"/>
      <c r="U6625" s="4"/>
      <c r="V6625" s="4"/>
      <c r="W6625" s="4"/>
      <c r="X6625" s="4"/>
    </row>
    <row r="6626" spans="17:24" x14ac:dyDescent="0.3">
      <c r="Q6626" s="4"/>
      <c r="R6626" s="4"/>
      <c r="S6626" s="4"/>
      <c r="T6626" s="4"/>
      <c r="U6626" s="4"/>
      <c r="V6626" s="4"/>
      <c r="W6626" s="4"/>
      <c r="X6626" s="4"/>
    </row>
    <row r="6627" spans="17:24" x14ac:dyDescent="0.3">
      <c r="Q6627" s="4"/>
      <c r="R6627" s="4"/>
      <c r="S6627" s="4"/>
      <c r="T6627" s="4"/>
      <c r="U6627" s="4"/>
      <c r="V6627" s="4"/>
      <c r="W6627" s="4"/>
      <c r="X6627" s="4"/>
    </row>
    <row r="6628" spans="17:24" x14ac:dyDescent="0.3">
      <c r="Q6628" s="4"/>
      <c r="R6628" s="4"/>
      <c r="S6628" s="4"/>
      <c r="T6628" s="4"/>
      <c r="U6628" s="4"/>
      <c r="V6628" s="4"/>
      <c r="W6628" s="4"/>
      <c r="X6628" s="4"/>
    </row>
    <row r="6629" spans="17:24" x14ac:dyDescent="0.3">
      <c r="Q6629" s="4"/>
      <c r="R6629" s="4"/>
      <c r="S6629" s="4"/>
      <c r="T6629" s="4"/>
      <c r="U6629" s="4"/>
      <c r="V6629" s="4"/>
      <c r="W6629" s="4"/>
      <c r="X6629" s="4"/>
    </row>
    <row r="6630" spans="17:24" x14ac:dyDescent="0.3">
      <c r="Q6630" s="4"/>
      <c r="R6630" s="4"/>
      <c r="S6630" s="4"/>
      <c r="T6630" s="4"/>
      <c r="U6630" s="4"/>
      <c r="V6630" s="4"/>
      <c r="W6630" s="4"/>
      <c r="X6630" s="4"/>
    </row>
    <row r="6631" spans="17:24" x14ac:dyDescent="0.3">
      <c r="Q6631" s="4"/>
      <c r="R6631" s="4"/>
      <c r="S6631" s="4"/>
      <c r="T6631" s="4"/>
      <c r="U6631" s="4"/>
      <c r="V6631" s="4"/>
      <c r="W6631" s="4"/>
      <c r="X6631" s="4"/>
    </row>
    <row r="6632" spans="17:24" x14ac:dyDescent="0.3">
      <c r="Q6632" s="4"/>
      <c r="R6632" s="4"/>
      <c r="S6632" s="4"/>
      <c r="T6632" s="4"/>
      <c r="U6632" s="4"/>
      <c r="V6632" s="4"/>
      <c r="W6632" s="4"/>
      <c r="X6632" s="4"/>
    </row>
    <row r="6633" spans="17:24" x14ac:dyDescent="0.3">
      <c r="Q6633" s="4"/>
      <c r="R6633" s="4"/>
      <c r="S6633" s="4"/>
      <c r="T6633" s="4"/>
      <c r="U6633" s="4"/>
      <c r="V6633" s="4"/>
      <c r="W6633" s="4"/>
      <c r="X6633" s="4"/>
    </row>
    <row r="6634" spans="17:24" x14ac:dyDescent="0.3">
      <c r="Q6634" s="4"/>
      <c r="R6634" s="4"/>
      <c r="S6634" s="4"/>
      <c r="T6634" s="4"/>
      <c r="U6634" s="4"/>
      <c r="V6634" s="4"/>
      <c r="W6634" s="4"/>
      <c r="X6634" s="4"/>
    </row>
    <row r="6635" spans="17:24" x14ac:dyDescent="0.3">
      <c r="Q6635" s="4"/>
      <c r="R6635" s="4"/>
      <c r="S6635" s="4"/>
      <c r="T6635" s="4"/>
      <c r="U6635" s="4"/>
      <c r="V6635" s="4"/>
      <c r="W6635" s="4"/>
      <c r="X6635" s="4"/>
    </row>
    <row r="6636" spans="17:24" x14ac:dyDescent="0.3">
      <c r="Q6636" s="4"/>
      <c r="R6636" s="4"/>
      <c r="S6636" s="4"/>
      <c r="T6636" s="4"/>
      <c r="U6636" s="4"/>
      <c r="V6636" s="4"/>
      <c r="W6636" s="4"/>
      <c r="X6636" s="4"/>
    </row>
    <row r="6637" spans="17:24" x14ac:dyDescent="0.3">
      <c r="Q6637" s="4"/>
      <c r="R6637" s="4"/>
      <c r="S6637" s="4"/>
      <c r="T6637" s="4"/>
      <c r="U6637" s="4"/>
      <c r="V6637" s="4"/>
      <c r="W6637" s="4"/>
      <c r="X6637" s="4"/>
    </row>
    <row r="6638" spans="17:24" x14ac:dyDescent="0.3">
      <c r="Q6638" s="4"/>
      <c r="R6638" s="4"/>
      <c r="S6638" s="4"/>
      <c r="T6638" s="4"/>
      <c r="U6638" s="4"/>
      <c r="V6638" s="4"/>
      <c r="W6638" s="4"/>
      <c r="X6638" s="4"/>
    </row>
    <row r="6639" spans="17:24" x14ac:dyDescent="0.3">
      <c r="Q6639" s="4"/>
      <c r="R6639" s="4"/>
      <c r="S6639" s="4"/>
      <c r="T6639" s="4"/>
      <c r="U6639" s="4"/>
      <c r="V6639" s="4"/>
      <c r="W6639" s="4"/>
      <c r="X6639" s="4"/>
    </row>
    <row r="6640" spans="17:24" x14ac:dyDescent="0.3">
      <c r="Q6640" s="4"/>
      <c r="R6640" s="4"/>
      <c r="S6640" s="4"/>
      <c r="T6640" s="4"/>
      <c r="U6640" s="4"/>
      <c r="V6640" s="4"/>
      <c r="W6640" s="4"/>
      <c r="X6640" s="4"/>
    </row>
    <row r="6641" spans="17:24" x14ac:dyDescent="0.3">
      <c r="Q6641" s="4"/>
      <c r="R6641" s="4"/>
      <c r="S6641" s="4"/>
      <c r="T6641" s="4"/>
      <c r="U6641" s="4"/>
      <c r="V6641" s="4"/>
      <c r="W6641" s="4"/>
      <c r="X6641" s="4"/>
    </row>
    <row r="6642" spans="17:24" x14ac:dyDescent="0.3">
      <c r="Q6642" s="4"/>
      <c r="R6642" s="4"/>
      <c r="S6642" s="4"/>
      <c r="T6642" s="4"/>
      <c r="U6642" s="4"/>
      <c r="V6642" s="4"/>
      <c r="W6642" s="4"/>
      <c r="X6642" s="4"/>
    </row>
    <row r="6643" spans="17:24" x14ac:dyDescent="0.3">
      <c r="Q6643" s="4"/>
      <c r="R6643" s="4"/>
      <c r="S6643" s="4"/>
      <c r="T6643" s="4"/>
      <c r="U6643" s="4"/>
      <c r="V6643" s="4"/>
      <c r="W6643" s="4"/>
      <c r="X6643" s="4"/>
    </row>
    <row r="6644" spans="17:24" x14ac:dyDescent="0.3">
      <c r="Q6644" s="4"/>
      <c r="R6644" s="4"/>
      <c r="S6644" s="4"/>
      <c r="T6644" s="4"/>
      <c r="U6644" s="4"/>
      <c r="V6644" s="4"/>
      <c r="W6644" s="4"/>
      <c r="X6644" s="4"/>
    </row>
    <row r="6645" spans="17:24" x14ac:dyDescent="0.3">
      <c r="Q6645" s="4"/>
      <c r="R6645" s="4"/>
      <c r="S6645" s="4"/>
      <c r="T6645" s="4"/>
      <c r="U6645" s="4"/>
      <c r="V6645" s="4"/>
      <c r="W6645" s="4"/>
      <c r="X6645" s="4"/>
    </row>
    <row r="6646" spans="17:24" x14ac:dyDescent="0.3">
      <c r="Q6646" s="4"/>
      <c r="R6646" s="4"/>
      <c r="S6646" s="4"/>
      <c r="T6646" s="4"/>
      <c r="U6646" s="4"/>
      <c r="V6646" s="4"/>
      <c r="W6646" s="4"/>
      <c r="X6646" s="4"/>
    </row>
    <row r="6647" spans="17:24" x14ac:dyDescent="0.3">
      <c r="Q6647" s="4"/>
      <c r="R6647" s="4"/>
      <c r="S6647" s="4"/>
      <c r="T6647" s="4"/>
      <c r="U6647" s="4"/>
      <c r="V6647" s="4"/>
      <c r="W6647" s="4"/>
      <c r="X6647" s="4"/>
    </row>
    <row r="6648" spans="17:24" x14ac:dyDescent="0.3">
      <c r="Q6648" s="4"/>
      <c r="R6648" s="4"/>
      <c r="S6648" s="4"/>
      <c r="T6648" s="4"/>
      <c r="U6648" s="4"/>
      <c r="V6648" s="4"/>
      <c r="W6648" s="4"/>
      <c r="X6648" s="4"/>
    </row>
    <row r="6649" spans="17:24" x14ac:dyDescent="0.3">
      <c r="Q6649" s="4"/>
      <c r="R6649" s="4"/>
      <c r="S6649" s="4"/>
      <c r="T6649" s="4"/>
      <c r="U6649" s="4"/>
      <c r="V6649" s="4"/>
      <c r="W6649" s="4"/>
      <c r="X6649" s="4"/>
    </row>
    <row r="6650" spans="17:24" x14ac:dyDescent="0.3">
      <c r="Q6650" s="4"/>
      <c r="R6650" s="4"/>
      <c r="S6650" s="4"/>
      <c r="T6650" s="4"/>
      <c r="U6650" s="4"/>
      <c r="V6650" s="4"/>
      <c r="W6650" s="4"/>
      <c r="X6650" s="4"/>
    </row>
    <row r="6651" spans="17:24" x14ac:dyDescent="0.3">
      <c r="Q6651" s="4"/>
      <c r="R6651" s="4"/>
      <c r="S6651" s="4"/>
      <c r="T6651" s="4"/>
      <c r="U6651" s="4"/>
      <c r="V6651" s="4"/>
      <c r="W6651" s="4"/>
      <c r="X6651" s="4"/>
    </row>
    <row r="6652" spans="17:24" x14ac:dyDescent="0.3">
      <c r="Q6652" s="4"/>
      <c r="R6652" s="4"/>
      <c r="S6652" s="4"/>
      <c r="T6652" s="4"/>
      <c r="U6652" s="4"/>
      <c r="V6652" s="4"/>
      <c r="W6652" s="4"/>
      <c r="X6652" s="4"/>
    </row>
    <row r="6653" spans="17:24" x14ac:dyDescent="0.3">
      <c r="Q6653" s="4"/>
      <c r="R6653" s="4"/>
      <c r="S6653" s="4"/>
      <c r="T6653" s="4"/>
      <c r="U6653" s="4"/>
      <c r="V6653" s="4"/>
      <c r="W6653" s="4"/>
      <c r="X6653" s="4"/>
    </row>
    <row r="6654" spans="17:24" x14ac:dyDescent="0.3">
      <c r="Q6654" s="4"/>
      <c r="R6654" s="4"/>
      <c r="S6654" s="4"/>
      <c r="T6654" s="4"/>
      <c r="U6654" s="4"/>
      <c r="V6654" s="4"/>
      <c r="W6654" s="4"/>
      <c r="X6654" s="4"/>
    </row>
    <row r="6655" spans="17:24" x14ac:dyDescent="0.3">
      <c r="Q6655" s="4"/>
      <c r="R6655" s="4"/>
      <c r="S6655" s="4"/>
      <c r="T6655" s="4"/>
      <c r="U6655" s="4"/>
      <c r="V6655" s="4"/>
      <c r="W6655" s="4"/>
      <c r="X6655" s="4"/>
    </row>
    <row r="6656" spans="17:24" x14ac:dyDescent="0.3">
      <c r="Q6656" s="4"/>
      <c r="R6656" s="4"/>
      <c r="S6656" s="4"/>
      <c r="T6656" s="4"/>
      <c r="U6656" s="4"/>
      <c r="V6656" s="4"/>
      <c r="W6656" s="4"/>
      <c r="X6656" s="4"/>
    </row>
    <row r="6657" spans="17:24" x14ac:dyDescent="0.3">
      <c r="Q6657" s="4"/>
      <c r="R6657" s="4"/>
      <c r="S6657" s="4"/>
      <c r="T6657" s="4"/>
      <c r="U6657" s="4"/>
      <c r="V6657" s="4"/>
      <c r="W6657" s="4"/>
      <c r="X6657" s="4"/>
    </row>
    <row r="6658" spans="17:24" x14ac:dyDescent="0.3">
      <c r="Q6658" s="4"/>
      <c r="R6658" s="4"/>
      <c r="S6658" s="4"/>
      <c r="T6658" s="4"/>
      <c r="U6658" s="4"/>
      <c r="V6658" s="4"/>
      <c r="W6658" s="4"/>
      <c r="X6658" s="4"/>
    </row>
    <row r="6659" spans="17:24" x14ac:dyDescent="0.3">
      <c r="Q6659" s="4"/>
      <c r="R6659" s="4"/>
      <c r="S6659" s="4"/>
      <c r="T6659" s="4"/>
      <c r="U6659" s="4"/>
      <c r="V6659" s="4"/>
      <c r="W6659" s="4"/>
      <c r="X6659" s="4"/>
    </row>
    <row r="6660" spans="17:24" x14ac:dyDescent="0.3">
      <c r="Q6660" s="4"/>
      <c r="R6660" s="4"/>
      <c r="S6660" s="4"/>
      <c r="T6660" s="4"/>
      <c r="U6660" s="4"/>
      <c r="V6660" s="4"/>
      <c r="W6660" s="4"/>
      <c r="X6660" s="4"/>
    </row>
    <row r="6661" spans="17:24" x14ac:dyDescent="0.3">
      <c r="Q6661" s="4"/>
      <c r="R6661" s="4"/>
      <c r="S6661" s="4"/>
      <c r="T6661" s="4"/>
      <c r="U6661" s="4"/>
      <c r="V6661" s="4"/>
      <c r="W6661" s="4"/>
      <c r="X6661" s="4"/>
    </row>
    <row r="6662" spans="17:24" x14ac:dyDescent="0.3">
      <c r="Q6662" s="4"/>
      <c r="R6662" s="4"/>
      <c r="S6662" s="4"/>
      <c r="T6662" s="4"/>
      <c r="U6662" s="4"/>
      <c r="V6662" s="4"/>
      <c r="W6662" s="4"/>
      <c r="X6662" s="4"/>
    </row>
    <row r="6663" spans="17:24" x14ac:dyDescent="0.3">
      <c r="Q6663" s="4"/>
      <c r="R6663" s="4"/>
      <c r="S6663" s="4"/>
      <c r="T6663" s="4"/>
      <c r="U6663" s="4"/>
      <c r="V6663" s="4"/>
      <c r="W6663" s="4"/>
      <c r="X6663" s="4"/>
    </row>
    <row r="6664" spans="17:24" x14ac:dyDescent="0.3">
      <c r="Q6664" s="4"/>
      <c r="R6664" s="4"/>
      <c r="S6664" s="4"/>
      <c r="T6664" s="4"/>
      <c r="U6664" s="4"/>
      <c r="V6664" s="4"/>
      <c r="W6664" s="4"/>
      <c r="X6664" s="4"/>
    </row>
    <row r="6665" spans="17:24" x14ac:dyDescent="0.3">
      <c r="Q6665" s="4"/>
      <c r="R6665" s="4"/>
      <c r="S6665" s="4"/>
      <c r="T6665" s="4"/>
      <c r="U6665" s="4"/>
      <c r="V6665" s="4"/>
      <c r="W6665" s="4"/>
      <c r="X6665" s="4"/>
    </row>
    <row r="6666" spans="17:24" x14ac:dyDescent="0.3">
      <c r="Q6666" s="4"/>
      <c r="R6666" s="4"/>
      <c r="S6666" s="4"/>
      <c r="T6666" s="4"/>
      <c r="U6666" s="4"/>
      <c r="V6666" s="4"/>
      <c r="W6666" s="4"/>
      <c r="X6666" s="4"/>
    </row>
    <row r="6667" spans="17:24" x14ac:dyDescent="0.3">
      <c r="Q6667" s="4"/>
      <c r="R6667" s="4"/>
      <c r="S6667" s="4"/>
      <c r="T6667" s="4"/>
      <c r="U6667" s="4"/>
      <c r="V6667" s="4"/>
      <c r="W6667" s="4"/>
      <c r="X6667" s="4"/>
    </row>
    <row r="6668" spans="17:24" x14ac:dyDescent="0.3">
      <c r="Q6668" s="4"/>
      <c r="R6668" s="4"/>
      <c r="S6668" s="4"/>
      <c r="T6668" s="4"/>
      <c r="U6668" s="4"/>
      <c r="V6668" s="4"/>
      <c r="W6668" s="4"/>
      <c r="X6668" s="4"/>
    </row>
    <row r="6669" spans="17:24" x14ac:dyDescent="0.3">
      <c r="Q6669" s="4"/>
      <c r="R6669" s="4"/>
      <c r="S6669" s="4"/>
      <c r="T6669" s="4"/>
      <c r="U6669" s="4"/>
      <c r="V6669" s="4"/>
      <c r="W6669" s="4"/>
      <c r="X6669" s="4"/>
    </row>
    <row r="6670" spans="17:24" x14ac:dyDescent="0.3">
      <c r="Q6670" s="4"/>
      <c r="R6670" s="4"/>
      <c r="S6670" s="4"/>
      <c r="T6670" s="4"/>
      <c r="U6670" s="4"/>
      <c r="V6670" s="4"/>
      <c r="W6670" s="4"/>
      <c r="X6670" s="4"/>
    </row>
    <row r="6671" spans="17:24" x14ac:dyDescent="0.3">
      <c r="Q6671" s="4"/>
      <c r="R6671" s="4"/>
      <c r="S6671" s="4"/>
      <c r="T6671" s="4"/>
      <c r="U6671" s="4"/>
      <c r="V6671" s="4"/>
      <c r="W6671" s="4"/>
      <c r="X6671" s="4"/>
    </row>
    <row r="6672" spans="17:24" x14ac:dyDescent="0.3">
      <c r="Q6672" s="4"/>
      <c r="R6672" s="4"/>
      <c r="S6672" s="4"/>
      <c r="T6672" s="4"/>
      <c r="U6672" s="4"/>
      <c r="V6672" s="4"/>
      <c r="W6672" s="4"/>
      <c r="X6672" s="4"/>
    </row>
    <row r="6673" spans="17:24" x14ac:dyDescent="0.3">
      <c r="Q6673" s="4"/>
      <c r="R6673" s="4"/>
      <c r="S6673" s="4"/>
      <c r="T6673" s="4"/>
      <c r="U6673" s="4"/>
      <c r="V6673" s="4"/>
      <c r="W6673" s="4"/>
      <c r="X6673" s="4"/>
    </row>
    <row r="6674" spans="17:24" x14ac:dyDescent="0.3">
      <c r="Q6674" s="4"/>
      <c r="R6674" s="4"/>
      <c r="S6674" s="4"/>
      <c r="T6674" s="4"/>
      <c r="U6674" s="4"/>
      <c r="V6674" s="4"/>
      <c r="W6674" s="4"/>
      <c r="X6674" s="4"/>
    </row>
    <row r="6675" spans="17:24" x14ac:dyDescent="0.3">
      <c r="Q6675" s="4"/>
      <c r="R6675" s="4"/>
      <c r="S6675" s="4"/>
      <c r="T6675" s="4"/>
      <c r="U6675" s="4"/>
      <c r="V6675" s="4"/>
      <c r="W6675" s="4"/>
      <c r="X6675" s="4"/>
    </row>
    <row r="6676" spans="17:24" x14ac:dyDescent="0.3">
      <c r="Q6676" s="4"/>
      <c r="R6676" s="4"/>
      <c r="S6676" s="4"/>
      <c r="T6676" s="4"/>
      <c r="U6676" s="4"/>
      <c r="V6676" s="4"/>
      <c r="W6676" s="4"/>
      <c r="X6676" s="4"/>
    </row>
    <row r="6677" spans="17:24" x14ac:dyDescent="0.3">
      <c r="Q6677" s="4"/>
      <c r="R6677" s="4"/>
      <c r="S6677" s="4"/>
      <c r="T6677" s="4"/>
      <c r="U6677" s="4"/>
      <c r="V6677" s="4"/>
      <c r="W6677" s="4"/>
      <c r="X6677" s="4"/>
    </row>
    <row r="6678" spans="17:24" x14ac:dyDescent="0.3">
      <c r="Q6678" s="4"/>
      <c r="R6678" s="4"/>
      <c r="S6678" s="4"/>
      <c r="T6678" s="4"/>
      <c r="U6678" s="4"/>
      <c r="V6678" s="4"/>
      <c r="W6678" s="4"/>
      <c r="X6678" s="4"/>
    </row>
    <row r="6679" spans="17:24" x14ac:dyDescent="0.3">
      <c r="Q6679" s="4"/>
      <c r="R6679" s="4"/>
      <c r="S6679" s="4"/>
      <c r="T6679" s="4"/>
      <c r="U6679" s="4"/>
      <c r="V6679" s="4"/>
      <c r="W6679" s="4"/>
      <c r="X6679" s="4"/>
    </row>
    <row r="6680" spans="17:24" x14ac:dyDescent="0.3">
      <c r="Q6680" s="4"/>
      <c r="R6680" s="4"/>
      <c r="S6680" s="4"/>
      <c r="T6680" s="4"/>
      <c r="U6680" s="4"/>
      <c r="V6680" s="4"/>
      <c r="W6680" s="4"/>
      <c r="X6680" s="4"/>
    </row>
    <row r="6681" spans="17:24" x14ac:dyDescent="0.3">
      <c r="Q6681" s="4"/>
      <c r="R6681" s="4"/>
      <c r="S6681" s="4"/>
      <c r="T6681" s="4"/>
      <c r="U6681" s="4"/>
      <c r="V6681" s="4"/>
      <c r="W6681" s="4"/>
      <c r="X6681" s="4"/>
    </row>
    <row r="6682" spans="17:24" x14ac:dyDescent="0.3">
      <c r="Q6682" s="4"/>
      <c r="R6682" s="4"/>
      <c r="S6682" s="4"/>
      <c r="T6682" s="4"/>
      <c r="U6682" s="4"/>
      <c r="V6682" s="4"/>
      <c r="W6682" s="4"/>
      <c r="X6682" s="4"/>
    </row>
    <row r="6683" spans="17:24" x14ac:dyDescent="0.3">
      <c r="Q6683" s="4"/>
      <c r="R6683" s="4"/>
      <c r="S6683" s="4"/>
      <c r="T6683" s="4"/>
      <c r="U6683" s="4"/>
      <c r="V6683" s="4"/>
      <c r="W6683" s="4"/>
      <c r="X6683" s="4"/>
    </row>
    <row r="6684" spans="17:24" x14ac:dyDescent="0.3">
      <c r="Q6684" s="4"/>
      <c r="R6684" s="4"/>
      <c r="S6684" s="4"/>
      <c r="T6684" s="4"/>
      <c r="U6684" s="4"/>
      <c r="V6684" s="4"/>
      <c r="W6684" s="4"/>
      <c r="X6684" s="4"/>
    </row>
    <row r="6685" spans="17:24" x14ac:dyDescent="0.3">
      <c r="Q6685" s="4"/>
      <c r="R6685" s="4"/>
      <c r="S6685" s="4"/>
      <c r="T6685" s="4"/>
      <c r="U6685" s="4"/>
      <c r="V6685" s="4"/>
      <c r="W6685" s="4"/>
      <c r="X6685" s="4"/>
    </row>
    <row r="6686" spans="17:24" x14ac:dyDescent="0.3">
      <c r="Q6686" s="4"/>
      <c r="R6686" s="4"/>
      <c r="S6686" s="4"/>
      <c r="T6686" s="4"/>
      <c r="U6686" s="4"/>
      <c r="V6686" s="4"/>
      <c r="W6686" s="4"/>
      <c r="X6686" s="4"/>
    </row>
    <row r="6687" spans="17:24" x14ac:dyDescent="0.3">
      <c r="Q6687" s="4"/>
      <c r="R6687" s="4"/>
      <c r="S6687" s="4"/>
      <c r="T6687" s="4"/>
      <c r="U6687" s="4"/>
      <c r="V6687" s="4"/>
      <c r="W6687" s="4"/>
      <c r="X6687" s="4"/>
    </row>
    <row r="6688" spans="17:24" x14ac:dyDescent="0.3">
      <c r="Q6688" s="4"/>
      <c r="R6688" s="4"/>
      <c r="S6688" s="4"/>
      <c r="T6688" s="4"/>
      <c r="U6688" s="4"/>
      <c r="V6688" s="4"/>
      <c r="W6688" s="4"/>
      <c r="X6688" s="4"/>
    </row>
    <row r="6689" spans="17:24" x14ac:dyDescent="0.3">
      <c r="Q6689" s="4"/>
      <c r="R6689" s="4"/>
      <c r="S6689" s="4"/>
      <c r="T6689" s="4"/>
      <c r="U6689" s="4"/>
      <c r="V6689" s="4"/>
      <c r="W6689" s="4"/>
      <c r="X6689" s="4"/>
    </row>
    <row r="6690" spans="17:24" x14ac:dyDescent="0.3">
      <c r="Q6690" s="4"/>
      <c r="R6690" s="4"/>
      <c r="S6690" s="4"/>
      <c r="T6690" s="4"/>
      <c r="U6690" s="4"/>
      <c r="V6690" s="4"/>
      <c r="W6690" s="4"/>
      <c r="X6690" s="4"/>
    </row>
    <row r="6691" spans="17:24" x14ac:dyDescent="0.3">
      <c r="Q6691" s="4"/>
      <c r="R6691" s="4"/>
      <c r="S6691" s="4"/>
      <c r="T6691" s="4"/>
      <c r="U6691" s="4"/>
      <c r="V6691" s="4"/>
      <c r="W6691" s="4"/>
      <c r="X6691" s="4"/>
    </row>
    <row r="6692" spans="17:24" x14ac:dyDescent="0.3">
      <c r="Q6692" s="4"/>
      <c r="R6692" s="4"/>
      <c r="S6692" s="4"/>
      <c r="T6692" s="4"/>
      <c r="U6692" s="4"/>
      <c r="V6692" s="4"/>
      <c r="W6692" s="4"/>
      <c r="X6692" s="4"/>
    </row>
    <row r="6693" spans="17:24" x14ac:dyDescent="0.3">
      <c r="Q6693" s="4"/>
      <c r="R6693" s="4"/>
      <c r="S6693" s="4"/>
      <c r="T6693" s="4"/>
      <c r="U6693" s="4"/>
      <c r="V6693" s="4"/>
      <c r="W6693" s="4"/>
      <c r="X6693" s="4"/>
    </row>
    <row r="6694" spans="17:24" x14ac:dyDescent="0.3">
      <c r="Q6694" s="4"/>
      <c r="R6694" s="4"/>
      <c r="S6694" s="4"/>
      <c r="T6694" s="4"/>
      <c r="U6694" s="4"/>
      <c r="V6694" s="4"/>
      <c r="W6694" s="4"/>
      <c r="X6694" s="4"/>
    </row>
    <row r="6695" spans="17:24" x14ac:dyDescent="0.3">
      <c r="Q6695" s="4"/>
      <c r="R6695" s="4"/>
      <c r="S6695" s="4"/>
      <c r="T6695" s="4"/>
      <c r="U6695" s="4"/>
      <c r="V6695" s="4"/>
      <c r="W6695" s="4"/>
      <c r="X6695" s="4"/>
    </row>
    <row r="6696" spans="17:24" x14ac:dyDescent="0.3">
      <c r="Q6696" s="4"/>
      <c r="R6696" s="4"/>
      <c r="S6696" s="4"/>
      <c r="T6696" s="4"/>
      <c r="U6696" s="4"/>
      <c r="V6696" s="4"/>
      <c r="W6696" s="4"/>
      <c r="X6696" s="4"/>
    </row>
    <row r="6697" spans="17:24" x14ac:dyDescent="0.3">
      <c r="Q6697" s="4"/>
      <c r="R6697" s="4"/>
      <c r="S6697" s="4"/>
      <c r="T6697" s="4"/>
      <c r="U6697" s="4"/>
      <c r="V6697" s="4"/>
      <c r="W6697" s="4"/>
      <c r="X6697" s="4"/>
    </row>
    <row r="6698" spans="17:24" x14ac:dyDescent="0.3">
      <c r="Q6698" s="4"/>
      <c r="R6698" s="4"/>
      <c r="S6698" s="4"/>
      <c r="T6698" s="4"/>
      <c r="U6698" s="4"/>
      <c r="V6698" s="4"/>
      <c r="W6698" s="4"/>
      <c r="X6698" s="4"/>
    </row>
    <row r="6699" spans="17:24" x14ac:dyDescent="0.3">
      <c r="Q6699" s="4"/>
      <c r="R6699" s="4"/>
      <c r="S6699" s="4"/>
      <c r="T6699" s="4"/>
      <c r="U6699" s="4"/>
      <c r="V6699" s="4"/>
      <c r="W6699" s="4"/>
      <c r="X6699" s="4"/>
    </row>
    <row r="6700" spans="17:24" x14ac:dyDescent="0.3">
      <c r="Q6700" s="4"/>
      <c r="R6700" s="4"/>
      <c r="S6700" s="4"/>
      <c r="T6700" s="4"/>
      <c r="U6700" s="4"/>
      <c r="V6700" s="4"/>
      <c r="W6700" s="4"/>
      <c r="X6700" s="4"/>
    </row>
    <row r="6701" spans="17:24" x14ac:dyDescent="0.3">
      <c r="Q6701" s="4"/>
      <c r="R6701" s="4"/>
      <c r="S6701" s="4"/>
      <c r="T6701" s="4"/>
      <c r="U6701" s="4"/>
      <c r="V6701" s="4"/>
      <c r="W6701" s="4"/>
      <c r="X6701" s="4"/>
    </row>
    <row r="6702" spans="17:24" x14ac:dyDescent="0.3">
      <c r="Q6702" s="4"/>
      <c r="R6702" s="4"/>
      <c r="S6702" s="4"/>
      <c r="T6702" s="4"/>
      <c r="U6702" s="4"/>
      <c r="V6702" s="4"/>
      <c r="W6702" s="4"/>
      <c r="X6702" s="4"/>
    </row>
    <row r="6703" spans="17:24" x14ac:dyDescent="0.3">
      <c r="Q6703" s="4"/>
      <c r="R6703" s="4"/>
      <c r="S6703" s="4"/>
      <c r="T6703" s="4"/>
      <c r="U6703" s="4"/>
      <c r="V6703" s="4"/>
      <c r="W6703" s="4"/>
      <c r="X6703" s="4"/>
    </row>
    <row r="6704" spans="17:24" x14ac:dyDescent="0.3">
      <c r="Q6704" s="4"/>
      <c r="R6704" s="4"/>
      <c r="S6704" s="4"/>
      <c r="T6704" s="4"/>
      <c r="U6704" s="4"/>
      <c r="V6704" s="4"/>
      <c r="W6704" s="4"/>
      <c r="X6704" s="4"/>
    </row>
    <row r="6705" spans="17:24" x14ac:dyDescent="0.3">
      <c r="Q6705" s="4"/>
      <c r="R6705" s="4"/>
      <c r="S6705" s="4"/>
      <c r="T6705" s="4"/>
      <c r="U6705" s="4"/>
      <c r="V6705" s="4"/>
      <c r="W6705" s="4"/>
      <c r="X6705" s="4"/>
    </row>
    <row r="6706" spans="17:24" x14ac:dyDescent="0.3">
      <c r="Q6706" s="4"/>
      <c r="R6706" s="4"/>
      <c r="S6706" s="4"/>
      <c r="T6706" s="4"/>
      <c r="U6706" s="4"/>
      <c r="V6706" s="4"/>
      <c r="W6706" s="4"/>
      <c r="X6706" s="4"/>
    </row>
    <row r="6707" spans="17:24" x14ac:dyDescent="0.3">
      <c r="Q6707" s="4"/>
      <c r="R6707" s="4"/>
      <c r="S6707" s="4"/>
      <c r="T6707" s="4"/>
      <c r="U6707" s="4"/>
      <c r="V6707" s="4"/>
      <c r="W6707" s="4"/>
      <c r="X6707" s="4"/>
    </row>
    <row r="6708" spans="17:24" x14ac:dyDescent="0.3">
      <c r="Q6708" s="4"/>
      <c r="R6708" s="4"/>
      <c r="S6708" s="4"/>
      <c r="T6708" s="4"/>
      <c r="U6708" s="4"/>
      <c r="V6708" s="4"/>
      <c r="W6708" s="4"/>
      <c r="X6708" s="4"/>
    </row>
    <row r="6709" spans="17:24" x14ac:dyDescent="0.3">
      <c r="Q6709" s="4"/>
      <c r="R6709" s="4"/>
      <c r="S6709" s="4"/>
      <c r="T6709" s="4"/>
      <c r="U6709" s="4"/>
      <c r="V6709" s="4"/>
      <c r="W6709" s="4"/>
      <c r="X6709" s="4"/>
    </row>
    <row r="6710" spans="17:24" x14ac:dyDescent="0.3">
      <c r="Q6710" s="4"/>
      <c r="R6710" s="4"/>
      <c r="S6710" s="4"/>
      <c r="T6710" s="4"/>
      <c r="U6710" s="4"/>
      <c r="V6710" s="4"/>
      <c r="W6710" s="4"/>
      <c r="X6710" s="4"/>
    </row>
    <row r="6711" spans="17:24" x14ac:dyDescent="0.3">
      <c r="Q6711" s="4"/>
      <c r="R6711" s="4"/>
      <c r="S6711" s="4"/>
      <c r="T6711" s="4"/>
      <c r="U6711" s="4"/>
      <c r="V6711" s="4"/>
      <c r="W6711" s="4"/>
      <c r="X6711" s="4"/>
    </row>
    <row r="6712" spans="17:24" x14ac:dyDescent="0.3">
      <c r="Q6712" s="4"/>
      <c r="R6712" s="4"/>
      <c r="S6712" s="4"/>
      <c r="T6712" s="4"/>
      <c r="U6712" s="4"/>
      <c r="V6712" s="4"/>
      <c r="W6712" s="4"/>
      <c r="X6712" s="4"/>
    </row>
    <row r="6713" spans="17:24" x14ac:dyDescent="0.3">
      <c r="Q6713" s="4"/>
      <c r="R6713" s="4"/>
      <c r="S6713" s="4"/>
      <c r="T6713" s="4"/>
      <c r="U6713" s="4"/>
      <c r="V6713" s="4"/>
      <c r="W6713" s="4"/>
      <c r="X6713" s="4"/>
    </row>
    <row r="6714" spans="17:24" x14ac:dyDescent="0.3">
      <c r="Q6714" s="4"/>
      <c r="R6714" s="4"/>
      <c r="S6714" s="4"/>
      <c r="T6714" s="4"/>
      <c r="U6714" s="4"/>
      <c r="V6714" s="4"/>
      <c r="W6714" s="4"/>
      <c r="X6714" s="4"/>
    </row>
    <row r="6715" spans="17:24" x14ac:dyDescent="0.3">
      <c r="Q6715" s="4"/>
      <c r="R6715" s="4"/>
      <c r="S6715" s="4"/>
      <c r="T6715" s="4"/>
      <c r="U6715" s="4"/>
      <c r="V6715" s="4"/>
      <c r="W6715" s="4"/>
      <c r="X6715" s="4"/>
    </row>
    <row r="6716" spans="17:24" x14ac:dyDescent="0.3">
      <c r="Q6716" s="4"/>
      <c r="R6716" s="4"/>
      <c r="S6716" s="4"/>
      <c r="T6716" s="4"/>
      <c r="U6716" s="4"/>
      <c r="V6716" s="4"/>
      <c r="W6716" s="4"/>
      <c r="X6716" s="4"/>
    </row>
    <row r="6717" spans="17:24" x14ac:dyDescent="0.3">
      <c r="Q6717" s="4"/>
      <c r="R6717" s="4"/>
      <c r="S6717" s="4"/>
      <c r="T6717" s="4"/>
      <c r="U6717" s="4"/>
      <c r="V6717" s="4"/>
      <c r="W6717" s="4"/>
      <c r="X6717" s="4"/>
    </row>
    <row r="6718" spans="17:24" x14ac:dyDescent="0.3">
      <c r="Q6718" s="4"/>
      <c r="R6718" s="4"/>
      <c r="S6718" s="4"/>
      <c r="T6718" s="4"/>
      <c r="U6718" s="4"/>
      <c r="V6718" s="4"/>
      <c r="W6718" s="4"/>
      <c r="X6718" s="4"/>
    </row>
    <row r="6719" spans="17:24" x14ac:dyDescent="0.3">
      <c r="Q6719" s="4"/>
      <c r="R6719" s="4"/>
      <c r="S6719" s="4"/>
      <c r="T6719" s="4"/>
      <c r="U6719" s="4"/>
      <c r="V6719" s="4"/>
      <c r="W6719" s="4"/>
      <c r="X6719" s="4"/>
    </row>
    <row r="6720" spans="17:24" x14ac:dyDescent="0.3">
      <c r="Q6720" s="4"/>
      <c r="R6720" s="4"/>
      <c r="S6720" s="4"/>
      <c r="T6720" s="4"/>
      <c r="U6720" s="4"/>
      <c r="V6720" s="4"/>
      <c r="W6720" s="4"/>
      <c r="X6720" s="4"/>
    </row>
    <row r="6721" spans="17:24" x14ac:dyDescent="0.3">
      <c r="Q6721" s="4"/>
      <c r="R6721" s="4"/>
      <c r="S6721" s="4"/>
      <c r="T6721" s="4"/>
      <c r="U6721" s="4"/>
      <c r="V6721" s="4"/>
      <c r="W6721" s="4"/>
      <c r="X6721" s="4"/>
    </row>
    <row r="6722" spans="17:24" x14ac:dyDescent="0.3">
      <c r="Q6722" s="4"/>
      <c r="R6722" s="4"/>
      <c r="S6722" s="4"/>
      <c r="T6722" s="4"/>
      <c r="U6722" s="4"/>
      <c r="V6722" s="4"/>
      <c r="W6722" s="4"/>
      <c r="X6722" s="4"/>
    </row>
    <row r="6723" spans="17:24" x14ac:dyDescent="0.3">
      <c r="Q6723" s="4"/>
      <c r="R6723" s="4"/>
      <c r="S6723" s="4"/>
      <c r="T6723" s="4"/>
      <c r="U6723" s="4"/>
      <c r="V6723" s="4"/>
      <c r="W6723" s="4"/>
      <c r="X6723" s="4"/>
    </row>
    <row r="6724" spans="17:24" x14ac:dyDescent="0.3">
      <c r="Q6724" s="4"/>
      <c r="R6724" s="4"/>
      <c r="S6724" s="4"/>
      <c r="T6724" s="4"/>
      <c r="U6724" s="4"/>
      <c r="V6724" s="4"/>
      <c r="W6724" s="4"/>
      <c r="X6724" s="4"/>
    </row>
    <row r="6725" spans="17:24" x14ac:dyDescent="0.3">
      <c r="Q6725" s="4"/>
      <c r="R6725" s="4"/>
      <c r="S6725" s="4"/>
      <c r="T6725" s="4"/>
      <c r="U6725" s="4"/>
      <c r="V6725" s="4"/>
      <c r="W6725" s="4"/>
      <c r="X6725" s="4"/>
    </row>
    <row r="6726" spans="17:24" x14ac:dyDescent="0.3">
      <c r="Q6726" s="4"/>
      <c r="R6726" s="4"/>
      <c r="S6726" s="4"/>
      <c r="T6726" s="4"/>
      <c r="U6726" s="4"/>
      <c r="V6726" s="4"/>
      <c r="W6726" s="4"/>
      <c r="X6726" s="4"/>
    </row>
    <row r="6727" spans="17:24" x14ac:dyDescent="0.3">
      <c r="Q6727" s="4"/>
      <c r="R6727" s="4"/>
      <c r="S6727" s="4"/>
      <c r="T6727" s="4"/>
      <c r="U6727" s="4"/>
      <c r="V6727" s="4"/>
      <c r="W6727" s="4"/>
      <c r="X6727" s="4"/>
    </row>
    <row r="6728" spans="17:24" x14ac:dyDescent="0.3">
      <c r="Q6728" s="4"/>
      <c r="R6728" s="4"/>
      <c r="S6728" s="4"/>
      <c r="T6728" s="4"/>
      <c r="U6728" s="4"/>
      <c r="V6728" s="4"/>
      <c r="W6728" s="4"/>
      <c r="X6728" s="4"/>
    </row>
    <row r="6729" spans="17:24" x14ac:dyDescent="0.3">
      <c r="Q6729" s="4"/>
      <c r="R6729" s="4"/>
      <c r="S6729" s="4"/>
      <c r="T6729" s="4"/>
      <c r="U6729" s="4"/>
      <c r="V6729" s="4"/>
      <c r="W6729" s="4"/>
      <c r="X6729" s="4"/>
    </row>
    <row r="6730" spans="17:24" x14ac:dyDescent="0.3">
      <c r="Q6730" s="4"/>
      <c r="R6730" s="4"/>
      <c r="S6730" s="4"/>
      <c r="T6730" s="4"/>
      <c r="U6730" s="4"/>
      <c r="V6730" s="4"/>
      <c r="W6730" s="4"/>
      <c r="X6730" s="4"/>
    </row>
    <row r="6731" spans="17:24" x14ac:dyDescent="0.3">
      <c r="Q6731" s="4"/>
      <c r="R6731" s="4"/>
      <c r="S6731" s="4"/>
      <c r="T6731" s="4"/>
      <c r="U6731" s="4"/>
      <c r="V6731" s="4"/>
      <c r="W6731" s="4"/>
      <c r="X6731" s="4"/>
    </row>
    <row r="6732" spans="17:24" x14ac:dyDescent="0.3">
      <c r="Q6732" s="4"/>
      <c r="R6732" s="4"/>
      <c r="S6732" s="4"/>
      <c r="T6732" s="4"/>
      <c r="U6732" s="4"/>
      <c r="V6732" s="4"/>
      <c r="W6732" s="4"/>
      <c r="X6732" s="4"/>
    </row>
    <row r="6733" spans="17:24" x14ac:dyDescent="0.3">
      <c r="Q6733" s="4"/>
      <c r="R6733" s="4"/>
      <c r="S6733" s="4"/>
      <c r="T6733" s="4"/>
      <c r="U6733" s="4"/>
      <c r="V6733" s="4"/>
      <c r="W6733" s="4"/>
      <c r="X6733" s="4"/>
    </row>
    <row r="6734" spans="17:24" x14ac:dyDescent="0.3">
      <c r="Q6734" s="4"/>
      <c r="R6734" s="4"/>
      <c r="S6734" s="4"/>
      <c r="T6734" s="4"/>
      <c r="U6734" s="4"/>
      <c r="V6734" s="4"/>
      <c r="W6734" s="4"/>
      <c r="X6734" s="4"/>
    </row>
    <row r="6735" spans="17:24" x14ac:dyDescent="0.3">
      <c r="Q6735" s="4"/>
      <c r="R6735" s="4"/>
      <c r="S6735" s="4"/>
      <c r="T6735" s="4"/>
      <c r="U6735" s="4"/>
      <c r="V6735" s="4"/>
      <c r="W6735" s="4"/>
      <c r="X6735" s="4"/>
    </row>
    <row r="6736" spans="17:24" x14ac:dyDescent="0.3">
      <c r="Q6736" s="4"/>
      <c r="R6736" s="4"/>
      <c r="S6736" s="4"/>
      <c r="T6736" s="4"/>
      <c r="U6736" s="4"/>
      <c r="V6736" s="4"/>
      <c r="W6736" s="4"/>
      <c r="X6736" s="4"/>
    </row>
    <row r="6737" spans="17:24" x14ac:dyDescent="0.3">
      <c r="Q6737" s="4"/>
      <c r="R6737" s="4"/>
      <c r="S6737" s="4"/>
      <c r="T6737" s="4"/>
      <c r="U6737" s="4"/>
      <c r="V6737" s="4"/>
      <c r="W6737" s="4"/>
      <c r="X6737" s="4"/>
    </row>
    <row r="6738" spans="17:24" x14ac:dyDescent="0.3">
      <c r="Q6738" s="4"/>
      <c r="R6738" s="4"/>
      <c r="S6738" s="4"/>
      <c r="T6738" s="4"/>
      <c r="U6738" s="4"/>
      <c r="V6738" s="4"/>
      <c r="W6738" s="4"/>
      <c r="X6738" s="4"/>
    </row>
    <row r="6739" spans="17:24" x14ac:dyDescent="0.3">
      <c r="Q6739" s="4"/>
      <c r="R6739" s="4"/>
      <c r="S6739" s="4"/>
      <c r="T6739" s="4"/>
      <c r="U6739" s="4"/>
      <c r="V6739" s="4"/>
      <c r="W6739" s="4"/>
      <c r="X6739" s="4"/>
    </row>
    <row r="6740" spans="17:24" x14ac:dyDescent="0.3">
      <c r="Q6740" s="4"/>
      <c r="R6740" s="4"/>
      <c r="S6740" s="4"/>
      <c r="T6740" s="4"/>
      <c r="U6740" s="4"/>
      <c r="V6740" s="4"/>
      <c r="W6740" s="4"/>
      <c r="X6740" s="4"/>
    </row>
    <row r="6741" spans="17:24" x14ac:dyDescent="0.3">
      <c r="Q6741" s="4"/>
      <c r="R6741" s="4"/>
      <c r="S6741" s="4"/>
      <c r="T6741" s="4"/>
      <c r="U6741" s="4"/>
      <c r="V6741" s="4"/>
      <c r="W6741" s="4"/>
      <c r="X6741" s="4"/>
    </row>
    <row r="6742" spans="17:24" x14ac:dyDescent="0.3">
      <c r="Q6742" s="4"/>
      <c r="R6742" s="4"/>
      <c r="S6742" s="4"/>
      <c r="T6742" s="4"/>
      <c r="U6742" s="4"/>
      <c r="V6742" s="4"/>
      <c r="W6742" s="4"/>
      <c r="X6742" s="4"/>
    </row>
    <row r="6743" spans="17:24" x14ac:dyDescent="0.3">
      <c r="Q6743" s="4"/>
      <c r="R6743" s="4"/>
      <c r="S6743" s="4"/>
      <c r="T6743" s="4"/>
      <c r="U6743" s="4"/>
      <c r="V6743" s="4"/>
      <c r="W6743" s="4"/>
      <c r="X6743" s="4"/>
    </row>
    <row r="6744" spans="17:24" x14ac:dyDescent="0.3">
      <c r="Q6744" s="4"/>
      <c r="R6744" s="4"/>
      <c r="S6744" s="4"/>
      <c r="T6744" s="4"/>
      <c r="U6744" s="4"/>
      <c r="V6744" s="4"/>
      <c r="W6744" s="4"/>
      <c r="X6744" s="4"/>
    </row>
    <row r="6745" spans="17:24" x14ac:dyDescent="0.3">
      <c r="Q6745" s="4"/>
      <c r="R6745" s="4"/>
      <c r="S6745" s="4"/>
      <c r="T6745" s="4"/>
      <c r="U6745" s="4"/>
      <c r="V6745" s="4"/>
      <c r="W6745" s="4"/>
      <c r="X6745" s="4"/>
    </row>
    <row r="6746" spans="17:24" x14ac:dyDescent="0.3">
      <c r="Q6746" s="4"/>
      <c r="R6746" s="4"/>
      <c r="S6746" s="4"/>
      <c r="T6746" s="4"/>
      <c r="U6746" s="4"/>
      <c r="V6746" s="4"/>
      <c r="W6746" s="4"/>
      <c r="X6746" s="4"/>
    </row>
    <row r="6747" spans="17:24" x14ac:dyDescent="0.3">
      <c r="Q6747" s="4"/>
      <c r="R6747" s="4"/>
      <c r="S6747" s="4"/>
      <c r="T6747" s="4"/>
      <c r="U6747" s="4"/>
      <c r="V6747" s="4"/>
      <c r="W6747" s="4"/>
      <c r="X6747" s="4"/>
    </row>
    <row r="6748" spans="17:24" x14ac:dyDescent="0.3">
      <c r="Q6748" s="4"/>
      <c r="R6748" s="4"/>
      <c r="S6748" s="4"/>
      <c r="T6748" s="4"/>
      <c r="U6748" s="4"/>
      <c r="V6748" s="4"/>
      <c r="W6748" s="4"/>
      <c r="X6748" s="4"/>
    </row>
    <row r="6749" spans="17:24" x14ac:dyDescent="0.3">
      <c r="Q6749" s="4"/>
      <c r="R6749" s="4"/>
      <c r="S6749" s="4"/>
      <c r="T6749" s="4"/>
      <c r="U6749" s="4"/>
      <c r="V6749" s="4"/>
      <c r="W6749" s="4"/>
      <c r="X6749" s="4"/>
    </row>
    <row r="6750" spans="17:24" x14ac:dyDescent="0.3">
      <c r="Q6750" s="4"/>
      <c r="R6750" s="4"/>
      <c r="S6750" s="4"/>
      <c r="T6750" s="4"/>
      <c r="U6750" s="4"/>
      <c r="V6750" s="4"/>
      <c r="W6750" s="4"/>
      <c r="X6750" s="4"/>
    </row>
    <row r="6751" spans="17:24" x14ac:dyDescent="0.3">
      <c r="Q6751" s="4"/>
      <c r="R6751" s="4"/>
      <c r="S6751" s="4"/>
      <c r="T6751" s="4"/>
      <c r="U6751" s="4"/>
      <c r="V6751" s="4"/>
      <c r="W6751" s="4"/>
      <c r="X6751" s="4"/>
    </row>
    <row r="6752" spans="17:24" x14ac:dyDescent="0.3">
      <c r="Q6752" s="4"/>
      <c r="R6752" s="4"/>
      <c r="S6752" s="4"/>
      <c r="T6752" s="4"/>
      <c r="U6752" s="4"/>
      <c r="V6752" s="4"/>
      <c r="W6752" s="4"/>
      <c r="X6752" s="4"/>
    </row>
    <row r="6753" spans="17:24" x14ac:dyDescent="0.3">
      <c r="Q6753" s="4"/>
      <c r="R6753" s="4"/>
      <c r="S6753" s="4"/>
      <c r="T6753" s="4"/>
      <c r="U6753" s="4"/>
      <c r="V6753" s="4"/>
      <c r="W6753" s="4"/>
      <c r="X6753" s="4"/>
    </row>
    <row r="6754" spans="17:24" x14ac:dyDescent="0.3">
      <c r="Q6754" s="4"/>
      <c r="R6754" s="4"/>
      <c r="S6754" s="4"/>
      <c r="T6754" s="4"/>
      <c r="U6754" s="4"/>
      <c r="V6754" s="4"/>
      <c r="W6754" s="4"/>
      <c r="X6754" s="4"/>
    </row>
    <row r="6755" spans="17:24" x14ac:dyDescent="0.3">
      <c r="Q6755" s="4"/>
      <c r="R6755" s="4"/>
      <c r="S6755" s="4"/>
      <c r="T6755" s="4"/>
      <c r="U6755" s="4"/>
      <c r="V6755" s="4"/>
      <c r="W6755" s="4"/>
      <c r="X6755" s="4"/>
    </row>
    <row r="6756" spans="17:24" x14ac:dyDescent="0.3">
      <c r="Q6756" s="4"/>
      <c r="R6756" s="4"/>
      <c r="S6756" s="4"/>
      <c r="T6756" s="4"/>
      <c r="U6756" s="4"/>
      <c r="V6756" s="4"/>
      <c r="W6756" s="4"/>
      <c r="X6756" s="4"/>
    </row>
    <row r="6757" spans="17:24" x14ac:dyDescent="0.3">
      <c r="Q6757" s="4"/>
      <c r="R6757" s="4"/>
      <c r="S6757" s="4"/>
      <c r="T6757" s="4"/>
      <c r="U6757" s="4"/>
      <c r="V6757" s="4"/>
      <c r="W6757" s="4"/>
      <c r="X6757" s="4"/>
    </row>
    <row r="6758" spans="17:24" x14ac:dyDescent="0.3">
      <c r="Q6758" s="4"/>
      <c r="R6758" s="4"/>
      <c r="S6758" s="4"/>
      <c r="T6758" s="4"/>
      <c r="U6758" s="4"/>
      <c r="V6758" s="4"/>
      <c r="W6758" s="4"/>
      <c r="X6758" s="4"/>
    </row>
    <row r="6759" spans="17:24" x14ac:dyDescent="0.3">
      <c r="Q6759" s="4"/>
      <c r="R6759" s="4"/>
      <c r="S6759" s="4"/>
      <c r="T6759" s="4"/>
      <c r="U6759" s="4"/>
      <c r="V6759" s="4"/>
      <c r="W6759" s="4"/>
      <c r="X6759" s="4"/>
    </row>
    <row r="6760" spans="17:24" x14ac:dyDescent="0.3">
      <c r="Q6760" s="4"/>
      <c r="R6760" s="4"/>
      <c r="S6760" s="4"/>
      <c r="T6760" s="4"/>
      <c r="U6760" s="4"/>
      <c r="V6760" s="4"/>
      <c r="W6760" s="4"/>
      <c r="X6760" s="4"/>
    </row>
    <row r="6761" spans="17:24" x14ac:dyDescent="0.3">
      <c r="Q6761" s="4"/>
      <c r="R6761" s="4"/>
      <c r="S6761" s="4"/>
      <c r="T6761" s="4"/>
      <c r="U6761" s="4"/>
      <c r="V6761" s="4"/>
      <c r="W6761" s="4"/>
      <c r="X6761" s="4"/>
    </row>
    <row r="6762" spans="17:24" x14ac:dyDescent="0.3">
      <c r="Q6762" s="4"/>
      <c r="R6762" s="4"/>
      <c r="S6762" s="4"/>
      <c r="T6762" s="4"/>
      <c r="U6762" s="4"/>
      <c r="V6762" s="4"/>
      <c r="W6762" s="4"/>
      <c r="X6762" s="4"/>
    </row>
    <row r="6763" spans="17:24" x14ac:dyDescent="0.3">
      <c r="Q6763" s="4"/>
      <c r="R6763" s="4"/>
      <c r="S6763" s="4"/>
      <c r="T6763" s="4"/>
      <c r="U6763" s="4"/>
      <c r="V6763" s="4"/>
      <c r="W6763" s="4"/>
      <c r="X6763" s="4"/>
    </row>
    <row r="6764" spans="17:24" x14ac:dyDescent="0.3">
      <c r="Q6764" s="4"/>
      <c r="R6764" s="4"/>
      <c r="S6764" s="4"/>
      <c r="T6764" s="4"/>
      <c r="U6764" s="4"/>
      <c r="V6764" s="4"/>
      <c r="W6764" s="4"/>
      <c r="X6764" s="4"/>
    </row>
    <row r="6765" spans="17:24" x14ac:dyDescent="0.3">
      <c r="Q6765" s="4"/>
      <c r="R6765" s="4"/>
      <c r="S6765" s="4"/>
      <c r="T6765" s="4"/>
      <c r="U6765" s="4"/>
      <c r="V6765" s="4"/>
      <c r="W6765" s="4"/>
      <c r="X6765" s="4"/>
    </row>
    <row r="6766" spans="17:24" x14ac:dyDescent="0.3">
      <c r="Q6766" s="4"/>
      <c r="R6766" s="4"/>
      <c r="S6766" s="4"/>
      <c r="T6766" s="4"/>
      <c r="U6766" s="4"/>
      <c r="V6766" s="4"/>
      <c r="W6766" s="4"/>
      <c r="X6766" s="4"/>
    </row>
    <row r="6767" spans="17:24" x14ac:dyDescent="0.3">
      <c r="Q6767" s="4"/>
      <c r="R6767" s="4"/>
      <c r="S6767" s="4"/>
      <c r="T6767" s="4"/>
      <c r="U6767" s="4"/>
      <c r="V6767" s="4"/>
      <c r="W6767" s="4"/>
      <c r="X6767" s="4"/>
    </row>
    <row r="6768" spans="17:24" x14ac:dyDescent="0.3">
      <c r="Q6768" s="4"/>
      <c r="R6768" s="4"/>
      <c r="S6768" s="4"/>
      <c r="T6768" s="4"/>
      <c r="U6768" s="4"/>
      <c r="V6768" s="4"/>
      <c r="W6768" s="4"/>
      <c r="X6768" s="4"/>
    </row>
    <row r="6769" spans="17:24" x14ac:dyDescent="0.3">
      <c r="Q6769" s="4"/>
      <c r="R6769" s="4"/>
      <c r="S6769" s="4"/>
      <c r="T6769" s="4"/>
      <c r="U6769" s="4"/>
      <c r="V6769" s="4"/>
      <c r="W6769" s="4"/>
      <c r="X6769" s="4"/>
    </row>
    <row r="6770" spans="17:24" x14ac:dyDescent="0.3">
      <c r="Q6770" s="4"/>
      <c r="R6770" s="4"/>
      <c r="S6770" s="4"/>
      <c r="T6770" s="4"/>
      <c r="U6770" s="4"/>
      <c r="V6770" s="4"/>
      <c r="W6770" s="4"/>
      <c r="X6770" s="4"/>
    </row>
    <row r="6771" spans="17:24" x14ac:dyDescent="0.3">
      <c r="Q6771" s="4"/>
      <c r="R6771" s="4"/>
      <c r="S6771" s="4"/>
      <c r="T6771" s="4"/>
      <c r="U6771" s="4"/>
      <c r="V6771" s="4"/>
      <c r="W6771" s="4"/>
      <c r="X6771" s="4"/>
    </row>
    <row r="6772" spans="17:24" x14ac:dyDescent="0.3">
      <c r="Q6772" s="4"/>
      <c r="R6772" s="4"/>
      <c r="S6772" s="4"/>
      <c r="T6772" s="4"/>
      <c r="U6772" s="4"/>
      <c r="V6772" s="4"/>
      <c r="W6772" s="4"/>
      <c r="X6772" s="4"/>
    </row>
    <row r="6773" spans="17:24" x14ac:dyDescent="0.3">
      <c r="Q6773" s="4"/>
      <c r="R6773" s="4"/>
      <c r="S6773" s="4"/>
      <c r="T6773" s="4"/>
      <c r="U6773" s="4"/>
      <c r="V6773" s="4"/>
      <c r="W6773" s="4"/>
      <c r="X6773" s="4"/>
    </row>
    <row r="6774" spans="17:24" x14ac:dyDescent="0.3">
      <c r="Q6774" s="4"/>
      <c r="R6774" s="4"/>
      <c r="S6774" s="4"/>
      <c r="T6774" s="4"/>
      <c r="U6774" s="4"/>
      <c r="V6774" s="4"/>
      <c r="W6774" s="4"/>
      <c r="X6774" s="4"/>
    </row>
    <row r="6775" spans="17:24" x14ac:dyDescent="0.3">
      <c r="Q6775" s="4"/>
      <c r="R6775" s="4"/>
      <c r="S6775" s="4"/>
      <c r="T6775" s="4"/>
      <c r="U6775" s="4"/>
      <c r="V6775" s="4"/>
      <c r="W6775" s="4"/>
      <c r="X6775" s="4"/>
    </row>
    <row r="6776" spans="17:24" x14ac:dyDescent="0.3">
      <c r="Q6776" s="4"/>
      <c r="R6776" s="4"/>
      <c r="S6776" s="4"/>
      <c r="T6776" s="4"/>
      <c r="U6776" s="4"/>
      <c r="V6776" s="4"/>
      <c r="W6776" s="4"/>
      <c r="X6776" s="4"/>
    </row>
    <row r="6777" spans="17:24" x14ac:dyDescent="0.3">
      <c r="Q6777" s="4"/>
      <c r="R6777" s="4"/>
      <c r="S6777" s="4"/>
      <c r="T6777" s="4"/>
      <c r="U6777" s="4"/>
      <c r="V6777" s="4"/>
      <c r="W6777" s="4"/>
      <c r="X6777" s="4"/>
    </row>
    <row r="6778" spans="17:24" x14ac:dyDescent="0.3">
      <c r="Q6778" s="4"/>
      <c r="R6778" s="4"/>
      <c r="S6778" s="4"/>
      <c r="T6778" s="4"/>
      <c r="U6778" s="4"/>
      <c r="V6778" s="4"/>
      <c r="W6778" s="4"/>
      <c r="X6778" s="4"/>
    </row>
    <row r="6779" spans="17:24" x14ac:dyDescent="0.3">
      <c r="Q6779" s="4"/>
      <c r="R6779" s="4"/>
      <c r="S6779" s="4"/>
      <c r="T6779" s="4"/>
      <c r="U6779" s="4"/>
      <c r="V6779" s="4"/>
      <c r="W6779" s="4"/>
      <c r="X6779" s="4"/>
    </row>
    <row r="6780" spans="17:24" x14ac:dyDescent="0.3">
      <c r="Q6780" s="4"/>
      <c r="R6780" s="4"/>
      <c r="S6780" s="4"/>
      <c r="T6780" s="4"/>
      <c r="U6780" s="4"/>
      <c r="V6780" s="4"/>
      <c r="W6780" s="4"/>
      <c r="X6780" s="4"/>
    </row>
    <row r="6781" spans="17:24" x14ac:dyDescent="0.3">
      <c r="Q6781" s="4"/>
      <c r="R6781" s="4"/>
      <c r="S6781" s="4"/>
      <c r="T6781" s="4"/>
      <c r="U6781" s="4"/>
      <c r="V6781" s="4"/>
      <c r="W6781" s="4"/>
      <c r="X6781" s="4"/>
    </row>
    <row r="6782" spans="17:24" x14ac:dyDescent="0.3">
      <c r="Q6782" s="4"/>
      <c r="R6782" s="4"/>
      <c r="S6782" s="4"/>
      <c r="T6782" s="4"/>
      <c r="U6782" s="4"/>
      <c r="V6782" s="4"/>
      <c r="W6782" s="4"/>
      <c r="X6782" s="4"/>
    </row>
    <row r="6783" spans="17:24" x14ac:dyDescent="0.3">
      <c r="Q6783" s="4"/>
      <c r="R6783" s="4"/>
      <c r="S6783" s="4"/>
      <c r="T6783" s="4"/>
      <c r="U6783" s="4"/>
      <c r="V6783" s="4"/>
      <c r="W6783" s="4"/>
      <c r="X6783" s="4"/>
    </row>
    <row r="6784" spans="17:24" x14ac:dyDescent="0.3">
      <c r="Q6784" s="4"/>
      <c r="R6784" s="4"/>
      <c r="S6784" s="4"/>
      <c r="T6784" s="4"/>
      <c r="U6784" s="4"/>
      <c r="V6784" s="4"/>
      <c r="W6784" s="4"/>
      <c r="X6784" s="4"/>
    </row>
    <row r="6785" spans="17:24" x14ac:dyDescent="0.3">
      <c r="Q6785" s="4"/>
      <c r="R6785" s="4"/>
      <c r="S6785" s="4"/>
      <c r="T6785" s="4"/>
      <c r="U6785" s="4"/>
      <c r="V6785" s="4"/>
      <c r="W6785" s="4"/>
      <c r="X6785" s="4"/>
    </row>
    <row r="6786" spans="17:24" x14ac:dyDescent="0.3">
      <c r="Q6786" s="4"/>
      <c r="R6786" s="4"/>
      <c r="S6786" s="4"/>
      <c r="T6786" s="4"/>
      <c r="U6786" s="4"/>
      <c r="V6786" s="4"/>
      <c r="W6786" s="4"/>
      <c r="X6786" s="4"/>
    </row>
    <row r="6787" spans="17:24" x14ac:dyDescent="0.3">
      <c r="Q6787" s="4"/>
      <c r="R6787" s="4"/>
      <c r="S6787" s="4"/>
      <c r="T6787" s="4"/>
      <c r="U6787" s="4"/>
      <c r="V6787" s="4"/>
      <c r="W6787" s="4"/>
      <c r="X6787" s="4"/>
    </row>
    <row r="6788" spans="17:24" x14ac:dyDescent="0.3">
      <c r="Q6788" s="4"/>
      <c r="R6788" s="4"/>
      <c r="S6788" s="4"/>
      <c r="T6788" s="4"/>
      <c r="U6788" s="4"/>
      <c r="V6788" s="4"/>
      <c r="W6788" s="4"/>
      <c r="X6788" s="4"/>
    </row>
    <row r="6789" spans="17:24" x14ac:dyDescent="0.3">
      <c r="Q6789" s="4"/>
      <c r="R6789" s="4"/>
      <c r="S6789" s="4"/>
      <c r="T6789" s="4"/>
      <c r="U6789" s="4"/>
      <c r="V6789" s="4"/>
      <c r="W6789" s="4"/>
      <c r="X6789" s="4"/>
    </row>
    <row r="6790" spans="17:24" x14ac:dyDescent="0.3">
      <c r="Q6790" s="4"/>
      <c r="R6790" s="4"/>
      <c r="S6790" s="4"/>
      <c r="T6790" s="4"/>
      <c r="U6790" s="4"/>
      <c r="V6790" s="4"/>
      <c r="W6790" s="4"/>
      <c r="X6790" s="4"/>
    </row>
    <row r="6791" spans="17:24" x14ac:dyDescent="0.3">
      <c r="Q6791" s="4"/>
      <c r="R6791" s="4"/>
      <c r="S6791" s="4"/>
      <c r="T6791" s="4"/>
      <c r="U6791" s="4"/>
      <c r="V6791" s="4"/>
      <c r="W6791" s="4"/>
      <c r="X6791" s="4"/>
    </row>
    <row r="6792" spans="17:24" x14ac:dyDescent="0.3">
      <c r="Q6792" s="4"/>
      <c r="R6792" s="4"/>
      <c r="S6792" s="4"/>
      <c r="T6792" s="4"/>
      <c r="U6792" s="4"/>
      <c r="V6792" s="4"/>
      <c r="W6792" s="4"/>
      <c r="X6792" s="4"/>
    </row>
    <row r="6793" spans="17:24" x14ac:dyDescent="0.3">
      <c r="Q6793" s="4"/>
      <c r="R6793" s="4"/>
      <c r="S6793" s="4"/>
      <c r="T6793" s="4"/>
      <c r="U6793" s="4"/>
      <c r="V6793" s="4"/>
      <c r="W6793" s="4"/>
      <c r="X6793" s="4"/>
    </row>
    <row r="6794" spans="17:24" x14ac:dyDescent="0.3">
      <c r="Q6794" s="4"/>
      <c r="R6794" s="4"/>
      <c r="S6794" s="4"/>
      <c r="T6794" s="4"/>
      <c r="U6794" s="4"/>
      <c r="V6794" s="4"/>
      <c r="W6794" s="4"/>
      <c r="X6794" s="4"/>
    </row>
    <row r="6795" spans="17:24" x14ac:dyDescent="0.3">
      <c r="Q6795" s="4"/>
      <c r="R6795" s="4"/>
      <c r="S6795" s="4"/>
      <c r="T6795" s="4"/>
      <c r="U6795" s="4"/>
      <c r="V6795" s="4"/>
      <c r="W6795" s="4"/>
      <c r="X6795" s="4"/>
    </row>
    <row r="6796" spans="17:24" x14ac:dyDescent="0.3">
      <c r="Q6796" s="4"/>
      <c r="R6796" s="4"/>
      <c r="S6796" s="4"/>
      <c r="T6796" s="4"/>
      <c r="U6796" s="4"/>
      <c r="V6796" s="4"/>
      <c r="W6796" s="4"/>
      <c r="X6796" s="4"/>
    </row>
    <row r="6797" spans="17:24" x14ac:dyDescent="0.3">
      <c r="Q6797" s="4"/>
      <c r="R6797" s="4"/>
      <c r="S6797" s="4"/>
      <c r="T6797" s="4"/>
      <c r="U6797" s="4"/>
      <c r="V6797" s="4"/>
      <c r="W6797" s="4"/>
      <c r="X6797" s="4"/>
    </row>
    <row r="6798" spans="17:24" x14ac:dyDescent="0.3">
      <c r="Q6798" s="4"/>
      <c r="R6798" s="4"/>
      <c r="S6798" s="4"/>
      <c r="T6798" s="4"/>
      <c r="U6798" s="4"/>
      <c r="V6798" s="4"/>
      <c r="W6798" s="4"/>
      <c r="X6798" s="4"/>
    </row>
    <row r="6799" spans="17:24" x14ac:dyDescent="0.3">
      <c r="Q6799" s="4"/>
      <c r="R6799" s="4"/>
      <c r="S6799" s="4"/>
      <c r="T6799" s="4"/>
      <c r="U6799" s="4"/>
      <c r="V6799" s="4"/>
      <c r="W6799" s="4"/>
      <c r="X6799" s="4"/>
    </row>
    <row r="6800" spans="17:24" x14ac:dyDescent="0.3">
      <c r="Q6800" s="4"/>
      <c r="R6800" s="4"/>
      <c r="S6800" s="4"/>
      <c r="T6800" s="4"/>
      <c r="U6800" s="4"/>
      <c r="V6800" s="4"/>
      <c r="W6800" s="4"/>
      <c r="X6800" s="4"/>
    </row>
    <row r="6801" spans="17:24" x14ac:dyDescent="0.3">
      <c r="Q6801" s="4"/>
      <c r="R6801" s="4"/>
      <c r="S6801" s="4"/>
      <c r="T6801" s="4"/>
      <c r="U6801" s="4"/>
      <c r="V6801" s="4"/>
      <c r="W6801" s="4"/>
      <c r="X6801" s="4"/>
    </row>
    <row r="6802" spans="17:24" x14ac:dyDescent="0.3">
      <c r="Q6802" s="4"/>
      <c r="R6802" s="4"/>
      <c r="S6802" s="4"/>
      <c r="T6802" s="4"/>
      <c r="U6802" s="4"/>
      <c r="V6802" s="4"/>
      <c r="W6802" s="4"/>
      <c r="X6802" s="4"/>
    </row>
    <row r="6803" spans="17:24" x14ac:dyDescent="0.3">
      <c r="Q6803" s="4"/>
      <c r="R6803" s="4"/>
      <c r="S6803" s="4"/>
      <c r="T6803" s="4"/>
      <c r="U6803" s="4"/>
      <c r="V6803" s="4"/>
      <c r="W6803" s="4"/>
      <c r="X6803" s="4"/>
    </row>
    <row r="6804" spans="17:24" x14ac:dyDescent="0.3">
      <c r="Q6804" s="4"/>
      <c r="R6804" s="4"/>
      <c r="S6804" s="4"/>
      <c r="T6804" s="4"/>
      <c r="U6804" s="4"/>
      <c r="V6804" s="4"/>
      <c r="W6804" s="4"/>
      <c r="X6804" s="4"/>
    </row>
    <row r="6805" spans="17:24" x14ac:dyDescent="0.3">
      <c r="Q6805" s="4"/>
      <c r="R6805" s="4"/>
      <c r="S6805" s="4"/>
      <c r="T6805" s="4"/>
      <c r="U6805" s="4"/>
      <c r="V6805" s="4"/>
      <c r="W6805" s="4"/>
      <c r="X6805" s="4"/>
    </row>
    <row r="6806" spans="17:24" x14ac:dyDescent="0.3">
      <c r="Q6806" s="4"/>
      <c r="R6806" s="4"/>
      <c r="S6806" s="4"/>
      <c r="T6806" s="4"/>
      <c r="U6806" s="4"/>
      <c r="V6806" s="4"/>
      <c r="W6806" s="4"/>
      <c r="X6806" s="4"/>
    </row>
    <row r="6807" spans="17:24" x14ac:dyDescent="0.3">
      <c r="Q6807" s="4"/>
      <c r="R6807" s="4"/>
      <c r="S6807" s="4"/>
      <c r="T6807" s="4"/>
      <c r="U6807" s="4"/>
      <c r="V6807" s="4"/>
      <c r="W6807" s="4"/>
      <c r="X6807" s="4"/>
    </row>
    <row r="6808" spans="17:24" x14ac:dyDescent="0.3">
      <c r="Q6808" s="4"/>
      <c r="R6808" s="4"/>
      <c r="S6808" s="4"/>
      <c r="T6808" s="4"/>
      <c r="U6808" s="4"/>
      <c r="V6808" s="4"/>
      <c r="W6808" s="4"/>
      <c r="X6808" s="4"/>
    </row>
    <row r="6809" spans="17:24" x14ac:dyDescent="0.3">
      <c r="Q6809" s="4"/>
      <c r="R6809" s="4"/>
      <c r="S6809" s="4"/>
      <c r="T6809" s="4"/>
      <c r="U6809" s="4"/>
      <c r="V6809" s="4"/>
      <c r="W6809" s="4"/>
      <c r="X6809" s="4"/>
    </row>
    <row r="6810" spans="17:24" x14ac:dyDescent="0.3">
      <c r="Q6810" s="4"/>
      <c r="R6810" s="4"/>
      <c r="S6810" s="4"/>
      <c r="T6810" s="4"/>
      <c r="U6810" s="4"/>
      <c r="V6810" s="4"/>
      <c r="W6810" s="4"/>
      <c r="X6810" s="4"/>
    </row>
    <row r="6811" spans="17:24" x14ac:dyDescent="0.3">
      <c r="Q6811" s="4"/>
      <c r="R6811" s="4"/>
      <c r="S6811" s="4"/>
      <c r="T6811" s="4"/>
      <c r="U6811" s="4"/>
      <c r="V6811" s="4"/>
      <c r="W6811" s="4"/>
      <c r="X6811" s="4"/>
    </row>
    <row r="6812" spans="17:24" x14ac:dyDescent="0.3">
      <c r="Q6812" s="4"/>
      <c r="R6812" s="4"/>
      <c r="S6812" s="4"/>
      <c r="T6812" s="4"/>
      <c r="U6812" s="4"/>
      <c r="V6812" s="4"/>
      <c r="W6812" s="4"/>
      <c r="X6812" s="4"/>
    </row>
    <row r="6813" spans="17:24" x14ac:dyDescent="0.3">
      <c r="Q6813" s="4"/>
      <c r="R6813" s="4"/>
      <c r="S6813" s="4"/>
      <c r="T6813" s="4"/>
      <c r="U6813" s="4"/>
      <c r="V6813" s="4"/>
      <c r="W6813" s="4"/>
      <c r="X6813" s="4"/>
    </row>
    <row r="6814" spans="17:24" x14ac:dyDescent="0.3">
      <c r="Q6814" s="4"/>
      <c r="R6814" s="4"/>
      <c r="S6814" s="4"/>
      <c r="T6814" s="4"/>
      <c r="U6814" s="4"/>
      <c r="V6814" s="4"/>
      <c r="W6814" s="4"/>
      <c r="X6814" s="4"/>
    </row>
    <row r="6815" spans="17:24" x14ac:dyDescent="0.3">
      <c r="Q6815" s="4"/>
      <c r="R6815" s="4"/>
      <c r="S6815" s="4"/>
      <c r="T6815" s="4"/>
      <c r="U6815" s="4"/>
      <c r="V6815" s="4"/>
      <c r="W6815" s="4"/>
      <c r="X6815" s="4"/>
    </row>
    <row r="6816" spans="17:24" x14ac:dyDescent="0.3">
      <c r="Q6816" s="4"/>
      <c r="R6816" s="4"/>
      <c r="S6816" s="4"/>
      <c r="T6816" s="4"/>
      <c r="U6816" s="4"/>
      <c r="V6816" s="4"/>
      <c r="W6816" s="4"/>
      <c r="X6816" s="4"/>
    </row>
    <row r="6817" spans="17:24" x14ac:dyDescent="0.3">
      <c r="Q6817" s="4"/>
      <c r="R6817" s="4"/>
      <c r="S6817" s="4"/>
      <c r="T6817" s="4"/>
      <c r="U6817" s="4"/>
      <c r="V6817" s="4"/>
      <c r="W6817" s="4"/>
      <c r="X6817" s="4"/>
    </row>
    <row r="6818" spans="17:24" x14ac:dyDescent="0.3">
      <c r="Q6818" s="4"/>
      <c r="R6818" s="4"/>
      <c r="S6818" s="4"/>
      <c r="T6818" s="4"/>
      <c r="U6818" s="4"/>
      <c r="V6818" s="4"/>
      <c r="W6818" s="4"/>
      <c r="X6818" s="4"/>
    </row>
    <row r="6819" spans="17:24" x14ac:dyDescent="0.3">
      <c r="Q6819" s="4"/>
      <c r="R6819" s="4"/>
      <c r="S6819" s="4"/>
      <c r="T6819" s="4"/>
      <c r="U6819" s="4"/>
      <c r="V6819" s="4"/>
      <c r="W6819" s="4"/>
      <c r="X6819" s="4"/>
    </row>
    <row r="6820" spans="17:24" x14ac:dyDescent="0.3">
      <c r="Q6820" s="4"/>
      <c r="R6820" s="4"/>
      <c r="S6820" s="4"/>
      <c r="T6820" s="4"/>
      <c r="U6820" s="4"/>
      <c r="V6820" s="4"/>
      <c r="W6820" s="4"/>
      <c r="X6820" s="4"/>
    </row>
    <row r="6821" spans="17:24" x14ac:dyDescent="0.3">
      <c r="Q6821" s="4"/>
      <c r="R6821" s="4"/>
      <c r="S6821" s="4"/>
      <c r="T6821" s="4"/>
      <c r="U6821" s="4"/>
      <c r="V6821" s="4"/>
      <c r="W6821" s="4"/>
      <c r="X6821" s="4"/>
    </row>
    <row r="6822" spans="17:24" x14ac:dyDescent="0.3">
      <c r="Q6822" s="4"/>
      <c r="R6822" s="4"/>
      <c r="S6822" s="4"/>
      <c r="T6822" s="4"/>
      <c r="U6822" s="4"/>
      <c r="V6822" s="4"/>
      <c r="W6822" s="4"/>
      <c r="X6822" s="4"/>
    </row>
    <row r="6823" spans="17:24" x14ac:dyDescent="0.3">
      <c r="Q6823" s="4"/>
      <c r="R6823" s="4"/>
      <c r="S6823" s="4"/>
      <c r="T6823" s="4"/>
      <c r="U6823" s="4"/>
      <c r="V6823" s="4"/>
      <c r="W6823" s="4"/>
      <c r="X6823" s="4"/>
    </row>
    <row r="6824" spans="17:24" x14ac:dyDescent="0.3">
      <c r="Q6824" s="4"/>
      <c r="R6824" s="4"/>
      <c r="S6824" s="4"/>
      <c r="T6824" s="4"/>
      <c r="U6824" s="4"/>
      <c r="V6824" s="4"/>
      <c r="W6824" s="4"/>
      <c r="X6824" s="4"/>
    </row>
    <row r="6825" spans="17:24" x14ac:dyDescent="0.3">
      <c r="Q6825" s="4"/>
      <c r="R6825" s="4"/>
      <c r="S6825" s="4"/>
      <c r="T6825" s="4"/>
      <c r="U6825" s="4"/>
      <c r="V6825" s="4"/>
      <c r="W6825" s="4"/>
      <c r="X6825" s="4"/>
    </row>
    <row r="6826" spans="17:24" x14ac:dyDescent="0.3">
      <c r="Q6826" s="4"/>
      <c r="R6826" s="4"/>
      <c r="S6826" s="4"/>
      <c r="T6826" s="4"/>
      <c r="U6826" s="4"/>
      <c r="V6826" s="4"/>
      <c r="W6826" s="4"/>
      <c r="X6826" s="4"/>
    </row>
    <row r="6827" spans="17:24" x14ac:dyDescent="0.3">
      <c r="Q6827" s="4"/>
      <c r="R6827" s="4"/>
      <c r="S6827" s="4"/>
      <c r="T6827" s="4"/>
      <c r="U6827" s="4"/>
      <c r="V6827" s="4"/>
      <c r="W6827" s="4"/>
      <c r="X6827" s="4"/>
    </row>
    <row r="6828" spans="17:24" x14ac:dyDescent="0.3">
      <c r="Q6828" s="4"/>
      <c r="R6828" s="4"/>
      <c r="S6828" s="4"/>
      <c r="T6828" s="4"/>
      <c r="U6828" s="4"/>
      <c r="V6828" s="4"/>
      <c r="W6828" s="4"/>
      <c r="X6828" s="4"/>
    </row>
    <row r="6829" spans="17:24" x14ac:dyDescent="0.3">
      <c r="Q6829" s="4"/>
      <c r="R6829" s="4"/>
      <c r="S6829" s="4"/>
      <c r="T6829" s="4"/>
      <c r="U6829" s="4"/>
      <c r="V6829" s="4"/>
      <c r="W6829" s="4"/>
      <c r="X6829" s="4"/>
    </row>
    <row r="6830" spans="17:24" x14ac:dyDescent="0.3">
      <c r="Q6830" s="4"/>
      <c r="R6830" s="4"/>
      <c r="S6830" s="4"/>
      <c r="T6830" s="4"/>
      <c r="U6830" s="4"/>
      <c r="V6830" s="4"/>
      <c r="W6830" s="4"/>
      <c r="X6830" s="4"/>
    </row>
    <row r="6831" spans="17:24" x14ac:dyDescent="0.3">
      <c r="Q6831" s="4"/>
      <c r="R6831" s="4"/>
      <c r="S6831" s="4"/>
      <c r="T6831" s="4"/>
      <c r="U6831" s="4"/>
      <c r="V6831" s="4"/>
      <c r="W6831" s="4"/>
      <c r="X6831" s="4"/>
    </row>
    <row r="6832" spans="17:24" x14ac:dyDescent="0.3">
      <c r="Q6832" s="4"/>
      <c r="R6832" s="4"/>
      <c r="S6832" s="4"/>
      <c r="T6832" s="4"/>
      <c r="U6832" s="4"/>
      <c r="V6832" s="4"/>
      <c r="W6832" s="4"/>
      <c r="X6832" s="4"/>
    </row>
    <row r="6833" spans="17:24" x14ac:dyDescent="0.3">
      <c r="Q6833" s="4"/>
      <c r="R6833" s="4"/>
      <c r="S6833" s="4"/>
      <c r="T6833" s="4"/>
      <c r="U6833" s="4"/>
      <c r="V6833" s="4"/>
      <c r="W6833" s="4"/>
      <c r="X6833" s="4"/>
    </row>
    <row r="6834" spans="17:24" x14ac:dyDescent="0.3">
      <c r="Q6834" s="4"/>
      <c r="R6834" s="4"/>
      <c r="S6834" s="4"/>
      <c r="T6834" s="4"/>
      <c r="U6834" s="4"/>
      <c r="V6834" s="4"/>
      <c r="W6834" s="4"/>
      <c r="X6834" s="4"/>
    </row>
    <row r="6835" spans="17:24" x14ac:dyDescent="0.3">
      <c r="Q6835" s="4"/>
      <c r="R6835" s="4"/>
      <c r="S6835" s="4"/>
      <c r="T6835" s="4"/>
      <c r="U6835" s="4"/>
      <c r="V6835" s="4"/>
      <c r="W6835" s="4"/>
      <c r="X6835" s="4"/>
    </row>
    <row r="6836" spans="17:24" x14ac:dyDescent="0.3">
      <c r="Q6836" s="4"/>
      <c r="R6836" s="4"/>
      <c r="S6836" s="4"/>
      <c r="T6836" s="4"/>
      <c r="U6836" s="4"/>
      <c r="V6836" s="4"/>
      <c r="W6836" s="4"/>
      <c r="X6836" s="4"/>
    </row>
    <row r="6837" spans="17:24" x14ac:dyDescent="0.3">
      <c r="Q6837" s="4"/>
      <c r="R6837" s="4"/>
      <c r="S6837" s="4"/>
      <c r="T6837" s="4"/>
      <c r="U6837" s="4"/>
      <c r="V6837" s="4"/>
      <c r="W6837" s="4"/>
      <c r="X6837" s="4"/>
    </row>
    <row r="6838" spans="17:24" x14ac:dyDescent="0.3">
      <c r="Q6838" s="4"/>
      <c r="R6838" s="4"/>
      <c r="S6838" s="4"/>
      <c r="T6838" s="4"/>
      <c r="U6838" s="4"/>
      <c r="V6838" s="4"/>
      <c r="W6838" s="4"/>
      <c r="X6838" s="4"/>
    </row>
    <row r="6839" spans="17:24" x14ac:dyDescent="0.3">
      <c r="Q6839" s="4"/>
      <c r="R6839" s="4"/>
      <c r="S6839" s="4"/>
      <c r="T6839" s="4"/>
      <c r="U6839" s="4"/>
      <c r="V6839" s="4"/>
      <c r="W6839" s="4"/>
      <c r="X6839" s="4"/>
    </row>
    <row r="6840" spans="17:24" x14ac:dyDescent="0.3">
      <c r="Q6840" s="4"/>
      <c r="R6840" s="4"/>
      <c r="S6840" s="4"/>
      <c r="T6840" s="4"/>
      <c r="U6840" s="4"/>
      <c r="V6840" s="4"/>
      <c r="W6840" s="4"/>
      <c r="X6840" s="4"/>
    </row>
    <row r="6841" spans="17:24" x14ac:dyDescent="0.3">
      <c r="Q6841" s="4"/>
      <c r="R6841" s="4"/>
      <c r="S6841" s="4"/>
      <c r="T6841" s="4"/>
      <c r="U6841" s="4"/>
      <c r="V6841" s="4"/>
      <c r="W6841" s="4"/>
      <c r="X6841" s="4"/>
    </row>
    <row r="6842" spans="17:24" x14ac:dyDescent="0.3">
      <c r="Q6842" s="4"/>
      <c r="R6842" s="4"/>
      <c r="S6842" s="4"/>
      <c r="T6842" s="4"/>
      <c r="U6842" s="4"/>
      <c r="V6842" s="4"/>
      <c r="W6842" s="4"/>
      <c r="X6842" s="4"/>
    </row>
    <row r="6843" spans="17:24" x14ac:dyDescent="0.3">
      <c r="Q6843" s="4"/>
      <c r="R6843" s="4"/>
      <c r="S6843" s="4"/>
      <c r="T6843" s="4"/>
      <c r="U6843" s="4"/>
      <c r="V6843" s="4"/>
      <c r="W6843" s="4"/>
      <c r="X6843" s="4"/>
    </row>
    <row r="6844" spans="17:24" x14ac:dyDescent="0.3">
      <c r="Q6844" s="4"/>
      <c r="R6844" s="4"/>
      <c r="S6844" s="4"/>
      <c r="T6844" s="4"/>
      <c r="U6844" s="4"/>
      <c r="V6844" s="4"/>
      <c r="W6844" s="4"/>
      <c r="X6844" s="4"/>
    </row>
    <row r="6845" spans="17:24" x14ac:dyDescent="0.3">
      <c r="Q6845" s="4"/>
      <c r="R6845" s="4"/>
      <c r="S6845" s="4"/>
      <c r="T6845" s="4"/>
      <c r="U6845" s="4"/>
      <c r="V6845" s="4"/>
      <c r="W6845" s="4"/>
      <c r="X6845" s="4"/>
    </row>
    <row r="6846" spans="17:24" x14ac:dyDescent="0.3">
      <c r="Q6846" s="4"/>
      <c r="R6846" s="4"/>
      <c r="S6846" s="4"/>
      <c r="T6846" s="4"/>
      <c r="U6846" s="4"/>
      <c r="V6846" s="4"/>
      <c r="W6846" s="4"/>
      <c r="X6846" s="4"/>
    </row>
    <row r="6847" spans="17:24" x14ac:dyDescent="0.3">
      <c r="Q6847" s="4"/>
      <c r="R6847" s="4"/>
      <c r="S6847" s="4"/>
      <c r="T6847" s="4"/>
      <c r="U6847" s="4"/>
      <c r="V6847" s="4"/>
      <c r="W6847" s="4"/>
      <c r="X6847" s="4"/>
    </row>
    <row r="6848" spans="17:24" x14ac:dyDescent="0.3">
      <c r="Q6848" s="4"/>
      <c r="R6848" s="4"/>
      <c r="S6848" s="4"/>
      <c r="T6848" s="4"/>
      <c r="U6848" s="4"/>
      <c r="V6848" s="4"/>
      <c r="W6848" s="4"/>
      <c r="X6848" s="4"/>
    </row>
    <row r="6849" spans="17:24" x14ac:dyDescent="0.3">
      <c r="Q6849" s="4"/>
      <c r="R6849" s="4"/>
      <c r="S6849" s="4"/>
      <c r="T6849" s="4"/>
      <c r="U6849" s="4"/>
      <c r="V6849" s="4"/>
      <c r="W6849" s="4"/>
      <c r="X6849" s="4"/>
    </row>
    <row r="6850" spans="17:24" x14ac:dyDescent="0.3">
      <c r="Q6850" s="4"/>
      <c r="R6850" s="4"/>
      <c r="S6850" s="4"/>
      <c r="T6850" s="4"/>
      <c r="U6850" s="4"/>
      <c r="V6850" s="4"/>
      <c r="W6850" s="4"/>
      <c r="X6850" s="4"/>
    </row>
    <row r="6851" spans="17:24" x14ac:dyDescent="0.3">
      <c r="Q6851" s="4"/>
      <c r="R6851" s="4"/>
      <c r="S6851" s="4"/>
      <c r="T6851" s="4"/>
      <c r="U6851" s="4"/>
      <c r="V6851" s="4"/>
      <c r="W6851" s="4"/>
      <c r="X6851" s="4"/>
    </row>
    <row r="6852" spans="17:24" x14ac:dyDescent="0.3">
      <c r="Q6852" s="4"/>
      <c r="R6852" s="4"/>
      <c r="S6852" s="4"/>
      <c r="T6852" s="4"/>
      <c r="U6852" s="4"/>
      <c r="V6852" s="4"/>
      <c r="W6852" s="4"/>
      <c r="X6852" s="4"/>
    </row>
    <row r="6853" spans="17:24" x14ac:dyDescent="0.3">
      <c r="Q6853" s="4"/>
      <c r="R6853" s="4"/>
      <c r="S6853" s="4"/>
      <c r="T6853" s="4"/>
      <c r="U6853" s="4"/>
      <c r="V6853" s="4"/>
      <c r="W6853" s="4"/>
      <c r="X6853" s="4"/>
    </row>
    <row r="6854" spans="17:24" x14ac:dyDescent="0.3">
      <c r="Q6854" s="4"/>
      <c r="R6854" s="4"/>
      <c r="S6854" s="4"/>
      <c r="T6854" s="4"/>
      <c r="U6854" s="4"/>
      <c r="V6854" s="4"/>
      <c r="W6854" s="4"/>
      <c r="X6854" s="4"/>
    </row>
    <row r="6855" spans="17:24" x14ac:dyDescent="0.3">
      <c r="Q6855" s="4"/>
      <c r="R6855" s="4"/>
      <c r="S6855" s="4"/>
      <c r="T6855" s="4"/>
      <c r="U6855" s="4"/>
      <c r="V6855" s="4"/>
      <c r="W6855" s="4"/>
      <c r="X6855" s="4"/>
    </row>
    <row r="6856" spans="17:24" x14ac:dyDescent="0.3">
      <c r="Q6856" s="4"/>
      <c r="R6856" s="4"/>
      <c r="S6856" s="4"/>
      <c r="T6856" s="4"/>
      <c r="U6856" s="4"/>
      <c r="V6856" s="4"/>
      <c r="W6856" s="4"/>
      <c r="X6856" s="4"/>
    </row>
    <row r="6857" spans="17:24" x14ac:dyDescent="0.3">
      <c r="Q6857" s="4"/>
      <c r="R6857" s="4"/>
      <c r="S6857" s="4"/>
      <c r="T6857" s="4"/>
      <c r="U6857" s="4"/>
      <c r="V6857" s="4"/>
      <c r="W6857" s="4"/>
      <c r="X6857" s="4"/>
    </row>
    <row r="6858" spans="17:24" x14ac:dyDescent="0.3">
      <c r="Q6858" s="4"/>
      <c r="R6858" s="4"/>
      <c r="S6858" s="4"/>
      <c r="T6858" s="4"/>
      <c r="U6858" s="4"/>
      <c r="V6858" s="4"/>
      <c r="W6858" s="4"/>
      <c r="X6858" s="4"/>
    </row>
    <row r="6859" spans="17:24" x14ac:dyDescent="0.3">
      <c r="Q6859" s="4"/>
      <c r="R6859" s="4"/>
      <c r="S6859" s="4"/>
      <c r="T6859" s="4"/>
      <c r="U6859" s="4"/>
      <c r="V6859" s="4"/>
      <c r="W6859" s="4"/>
      <c r="X6859" s="4"/>
    </row>
    <row r="6860" spans="17:24" x14ac:dyDescent="0.3">
      <c r="Q6860" s="4"/>
      <c r="R6860" s="4"/>
      <c r="S6860" s="4"/>
      <c r="T6860" s="4"/>
      <c r="U6860" s="4"/>
      <c r="V6860" s="4"/>
      <c r="W6860" s="4"/>
      <c r="X6860" s="4"/>
    </row>
    <row r="6861" spans="17:24" x14ac:dyDescent="0.3">
      <c r="Q6861" s="4"/>
      <c r="R6861" s="4"/>
      <c r="S6861" s="4"/>
      <c r="T6861" s="4"/>
      <c r="U6861" s="4"/>
      <c r="V6861" s="4"/>
      <c r="W6861" s="4"/>
      <c r="X6861" s="4"/>
    </row>
    <row r="6862" spans="17:24" x14ac:dyDescent="0.3">
      <c r="Q6862" s="4"/>
      <c r="R6862" s="4"/>
      <c r="S6862" s="4"/>
      <c r="T6862" s="4"/>
      <c r="U6862" s="4"/>
      <c r="V6862" s="4"/>
      <c r="W6862" s="4"/>
      <c r="X6862" s="4"/>
    </row>
    <row r="6863" spans="17:24" x14ac:dyDescent="0.3">
      <c r="Q6863" s="4"/>
      <c r="R6863" s="4"/>
      <c r="S6863" s="4"/>
      <c r="T6863" s="4"/>
      <c r="U6863" s="4"/>
      <c r="V6863" s="4"/>
      <c r="W6863" s="4"/>
      <c r="X6863" s="4"/>
    </row>
    <row r="6864" spans="17:24" x14ac:dyDescent="0.3">
      <c r="Q6864" s="4"/>
      <c r="R6864" s="4"/>
      <c r="S6864" s="4"/>
      <c r="T6864" s="4"/>
      <c r="U6864" s="4"/>
      <c r="V6864" s="4"/>
      <c r="W6864" s="4"/>
      <c r="X6864" s="4"/>
    </row>
    <row r="6865" spans="17:24" x14ac:dyDescent="0.3">
      <c r="Q6865" s="4"/>
      <c r="R6865" s="4"/>
      <c r="S6865" s="4"/>
      <c r="T6865" s="4"/>
      <c r="U6865" s="4"/>
      <c r="V6865" s="4"/>
      <c r="W6865" s="4"/>
      <c r="X6865" s="4"/>
    </row>
    <row r="6866" spans="17:24" x14ac:dyDescent="0.3">
      <c r="Q6866" s="4"/>
      <c r="R6866" s="4"/>
      <c r="S6866" s="4"/>
      <c r="T6866" s="4"/>
      <c r="U6866" s="4"/>
      <c r="V6866" s="4"/>
      <c r="W6866" s="4"/>
      <c r="X6866" s="4"/>
    </row>
    <row r="6867" spans="17:24" x14ac:dyDescent="0.3">
      <c r="Q6867" s="4"/>
      <c r="R6867" s="4"/>
      <c r="S6867" s="4"/>
      <c r="T6867" s="4"/>
      <c r="U6867" s="4"/>
      <c r="V6867" s="4"/>
      <c r="W6867" s="4"/>
      <c r="X6867" s="4"/>
    </row>
    <row r="6868" spans="17:24" x14ac:dyDescent="0.3">
      <c r="Q6868" s="4"/>
      <c r="R6868" s="4"/>
      <c r="S6868" s="4"/>
      <c r="T6868" s="4"/>
      <c r="U6868" s="4"/>
      <c r="V6868" s="4"/>
      <c r="W6868" s="4"/>
      <c r="X6868" s="4"/>
    </row>
    <row r="6869" spans="17:24" x14ac:dyDescent="0.3">
      <c r="Q6869" s="4"/>
      <c r="R6869" s="4"/>
      <c r="S6869" s="4"/>
      <c r="T6869" s="4"/>
      <c r="U6869" s="4"/>
      <c r="V6869" s="4"/>
      <c r="W6869" s="4"/>
      <c r="X6869" s="4"/>
    </row>
    <row r="6870" spans="17:24" x14ac:dyDescent="0.3">
      <c r="Q6870" s="4"/>
      <c r="R6870" s="4"/>
      <c r="S6870" s="4"/>
      <c r="T6870" s="4"/>
      <c r="U6870" s="4"/>
      <c r="V6870" s="4"/>
      <c r="W6870" s="4"/>
      <c r="X6870" s="4"/>
    </row>
    <row r="6871" spans="17:24" x14ac:dyDescent="0.3">
      <c r="Q6871" s="4"/>
      <c r="R6871" s="4"/>
      <c r="S6871" s="4"/>
      <c r="T6871" s="4"/>
      <c r="U6871" s="4"/>
      <c r="V6871" s="4"/>
      <c r="W6871" s="4"/>
      <c r="X6871" s="4"/>
    </row>
    <row r="6872" spans="17:24" x14ac:dyDescent="0.3">
      <c r="Q6872" s="4"/>
      <c r="R6872" s="4"/>
      <c r="S6872" s="4"/>
      <c r="T6872" s="4"/>
      <c r="U6872" s="4"/>
      <c r="V6872" s="4"/>
      <c r="W6872" s="4"/>
      <c r="X6872" s="4"/>
    </row>
    <row r="6873" spans="17:24" x14ac:dyDescent="0.3">
      <c r="Q6873" s="4"/>
      <c r="R6873" s="4"/>
      <c r="S6873" s="4"/>
      <c r="T6873" s="4"/>
      <c r="U6873" s="4"/>
      <c r="V6873" s="4"/>
      <c r="W6873" s="4"/>
      <c r="X6873" s="4"/>
    </row>
    <row r="6874" spans="17:24" x14ac:dyDescent="0.3">
      <c r="Q6874" s="4"/>
      <c r="R6874" s="4"/>
      <c r="S6874" s="4"/>
      <c r="T6874" s="4"/>
      <c r="U6874" s="4"/>
      <c r="V6874" s="4"/>
      <c r="W6874" s="4"/>
      <c r="X6874" s="4"/>
    </row>
    <row r="6875" spans="17:24" x14ac:dyDescent="0.3">
      <c r="Q6875" s="4"/>
      <c r="R6875" s="4"/>
      <c r="S6875" s="4"/>
      <c r="T6875" s="4"/>
      <c r="U6875" s="4"/>
      <c r="V6875" s="4"/>
      <c r="W6875" s="4"/>
      <c r="X6875" s="4"/>
    </row>
    <row r="6876" spans="17:24" x14ac:dyDescent="0.3">
      <c r="Q6876" s="4"/>
      <c r="R6876" s="4"/>
      <c r="S6876" s="4"/>
      <c r="T6876" s="4"/>
      <c r="U6876" s="4"/>
      <c r="V6876" s="4"/>
      <c r="W6876" s="4"/>
      <c r="X6876" s="4"/>
    </row>
    <row r="6877" spans="17:24" x14ac:dyDescent="0.3">
      <c r="Q6877" s="4"/>
      <c r="R6877" s="4"/>
      <c r="S6877" s="4"/>
      <c r="T6877" s="4"/>
      <c r="U6877" s="4"/>
      <c r="V6877" s="4"/>
      <c r="W6877" s="4"/>
      <c r="X6877" s="4"/>
    </row>
    <row r="6878" spans="17:24" x14ac:dyDescent="0.3">
      <c r="Q6878" s="4"/>
      <c r="R6878" s="4"/>
      <c r="S6878" s="4"/>
      <c r="T6878" s="4"/>
      <c r="U6878" s="4"/>
      <c r="V6878" s="4"/>
      <c r="W6878" s="4"/>
      <c r="X6878" s="4"/>
    </row>
    <row r="6879" spans="17:24" x14ac:dyDescent="0.3">
      <c r="Q6879" s="4"/>
      <c r="R6879" s="4"/>
      <c r="S6879" s="4"/>
      <c r="T6879" s="4"/>
      <c r="U6879" s="4"/>
      <c r="V6879" s="4"/>
      <c r="W6879" s="4"/>
      <c r="X6879" s="4"/>
    </row>
    <row r="6880" spans="17:24" x14ac:dyDescent="0.3">
      <c r="Q6880" s="4"/>
      <c r="R6880" s="4"/>
      <c r="S6880" s="4"/>
      <c r="T6880" s="4"/>
      <c r="U6880" s="4"/>
      <c r="V6880" s="4"/>
      <c r="W6880" s="4"/>
      <c r="X6880" s="4"/>
    </row>
    <row r="6881" spans="17:24" x14ac:dyDescent="0.3">
      <c r="Q6881" s="4"/>
      <c r="R6881" s="4"/>
      <c r="S6881" s="4"/>
      <c r="T6881" s="4"/>
      <c r="U6881" s="4"/>
      <c r="V6881" s="4"/>
      <c r="W6881" s="4"/>
      <c r="X6881" s="4"/>
    </row>
    <row r="6882" spans="17:24" x14ac:dyDescent="0.3">
      <c r="Q6882" s="4"/>
      <c r="R6882" s="4"/>
      <c r="S6882" s="4"/>
      <c r="T6882" s="4"/>
      <c r="U6882" s="4"/>
      <c r="V6882" s="4"/>
      <c r="W6882" s="4"/>
      <c r="X6882" s="4"/>
    </row>
    <row r="6883" spans="17:24" x14ac:dyDescent="0.3">
      <c r="Q6883" s="4"/>
      <c r="R6883" s="4"/>
      <c r="S6883" s="4"/>
      <c r="T6883" s="4"/>
      <c r="U6883" s="4"/>
      <c r="V6883" s="4"/>
      <c r="W6883" s="4"/>
      <c r="X6883" s="4"/>
    </row>
    <row r="6884" spans="17:24" x14ac:dyDescent="0.3">
      <c r="Q6884" s="4"/>
      <c r="R6884" s="4"/>
      <c r="S6884" s="4"/>
      <c r="T6884" s="4"/>
      <c r="U6884" s="4"/>
      <c r="V6884" s="4"/>
      <c r="W6884" s="4"/>
      <c r="X6884" s="4"/>
    </row>
    <row r="6885" spans="17:24" x14ac:dyDescent="0.3">
      <c r="Q6885" s="4"/>
      <c r="R6885" s="4"/>
      <c r="S6885" s="4"/>
      <c r="T6885" s="4"/>
      <c r="U6885" s="4"/>
      <c r="V6885" s="4"/>
      <c r="W6885" s="4"/>
      <c r="X6885" s="4"/>
    </row>
    <row r="6886" spans="17:24" x14ac:dyDescent="0.3">
      <c r="Q6886" s="4"/>
      <c r="R6886" s="4"/>
      <c r="S6886" s="4"/>
      <c r="T6886" s="4"/>
      <c r="U6886" s="4"/>
      <c r="V6886" s="4"/>
      <c r="W6886" s="4"/>
      <c r="X6886" s="4"/>
    </row>
    <row r="6887" spans="17:24" x14ac:dyDescent="0.3">
      <c r="Q6887" s="4"/>
      <c r="R6887" s="4"/>
      <c r="S6887" s="4"/>
      <c r="T6887" s="4"/>
      <c r="U6887" s="4"/>
      <c r="V6887" s="4"/>
      <c r="W6887" s="4"/>
      <c r="X6887" s="4"/>
    </row>
    <row r="6888" spans="17:24" x14ac:dyDescent="0.3">
      <c r="Q6888" s="4"/>
      <c r="R6888" s="4"/>
      <c r="S6888" s="4"/>
      <c r="T6888" s="4"/>
      <c r="U6888" s="4"/>
      <c r="V6888" s="4"/>
      <c r="W6888" s="4"/>
      <c r="X6888" s="4"/>
    </row>
    <row r="6889" spans="17:24" x14ac:dyDescent="0.3">
      <c r="Q6889" s="4"/>
      <c r="R6889" s="4"/>
      <c r="S6889" s="4"/>
      <c r="T6889" s="4"/>
      <c r="U6889" s="4"/>
      <c r="V6889" s="4"/>
      <c r="W6889" s="4"/>
      <c r="X6889" s="4"/>
    </row>
    <row r="6890" spans="17:24" x14ac:dyDescent="0.3">
      <c r="Q6890" s="4"/>
      <c r="R6890" s="4"/>
      <c r="S6890" s="4"/>
      <c r="T6890" s="4"/>
      <c r="U6890" s="4"/>
      <c r="V6890" s="4"/>
      <c r="W6890" s="4"/>
      <c r="X6890" s="4"/>
    </row>
    <row r="6891" spans="17:24" x14ac:dyDescent="0.3">
      <c r="Q6891" s="4"/>
      <c r="R6891" s="4"/>
      <c r="S6891" s="4"/>
      <c r="T6891" s="4"/>
      <c r="U6891" s="4"/>
      <c r="V6891" s="4"/>
      <c r="W6891" s="4"/>
      <c r="X6891" s="4"/>
    </row>
    <row r="6892" spans="17:24" x14ac:dyDescent="0.3">
      <c r="Q6892" s="4"/>
      <c r="R6892" s="4"/>
      <c r="S6892" s="4"/>
      <c r="T6892" s="4"/>
      <c r="U6892" s="4"/>
      <c r="V6892" s="4"/>
      <c r="W6892" s="4"/>
      <c r="X6892" s="4"/>
    </row>
    <row r="6893" spans="17:24" x14ac:dyDescent="0.3">
      <c r="Q6893" s="4"/>
      <c r="R6893" s="4"/>
      <c r="S6893" s="4"/>
      <c r="T6893" s="4"/>
      <c r="U6893" s="4"/>
      <c r="V6893" s="4"/>
      <c r="W6893" s="4"/>
      <c r="X6893" s="4"/>
    </row>
    <row r="6894" spans="17:24" x14ac:dyDescent="0.3">
      <c r="Q6894" s="4"/>
      <c r="R6894" s="4"/>
      <c r="S6894" s="4"/>
      <c r="T6894" s="4"/>
      <c r="U6894" s="4"/>
      <c r="V6894" s="4"/>
      <c r="W6894" s="4"/>
      <c r="X6894" s="4"/>
    </row>
    <row r="6895" spans="17:24" x14ac:dyDescent="0.3">
      <c r="Q6895" s="4"/>
      <c r="R6895" s="4"/>
      <c r="S6895" s="4"/>
      <c r="T6895" s="4"/>
      <c r="U6895" s="4"/>
      <c r="V6895" s="4"/>
      <c r="W6895" s="4"/>
      <c r="X6895" s="4"/>
    </row>
    <row r="6896" spans="17:24" x14ac:dyDescent="0.3">
      <c r="Q6896" s="4"/>
      <c r="R6896" s="4"/>
      <c r="S6896" s="4"/>
      <c r="T6896" s="4"/>
      <c r="U6896" s="4"/>
      <c r="V6896" s="4"/>
      <c r="W6896" s="4"/>
      <c r="X6896" s="4"/>
    </row>
    <row r="6897" spans="17:24" x14ac:dyDescent="0.3">
      <c r="Q6897" s="4"/>
      <c r="R6897" s="4"/>
      <c r="S6897" s="4"/>
      <c r="T6897" s="4"/>
      <c r="U6897" s="4"/>
      <c r="V6897" s="4"/>
      <c r="W6897" s="4"/>
      <c r="X6897" s="4"/>
    </row>
    <row r="6898" spans="17:24" x14ac:dyDescent="0.3">
      <c r="Q6898" s="4"/>
      <c r="R6898" s="4"/>
      <c r="S6898" s="4"/>
      <c r="T6898" s="4"/>
      <c r="U6898" s="4"/>
      <c r="V6898" s="4"/>
      <c r="W6898" s="4"/>
      <c r="X6898" s="4"/>
    </row>
    <row r="6899" spans="17:24" x14ac:dyDescent="0.3">
      <c r="Q6899" s="4"/>
      <c r="R6899" s="4"/>
      <c r="S6899" s="4"/>
      <c r="T6899" s="4"/>
      <c r="U6899" s="4"/>
      <c r="V6899" s="4"/>
      <c r="W6899" s="4"/>
      <c r="X6899" s="4"/>
    </row>
    <row r="6900" spans="17:24" x14ac:dyDescent="0.3">
      <c r="Q6900" s="4"/>
      <c r="R6900" s="4"/>
      <c r="S6900" s="4"/>
      <c r="T6900" s="4"/>
      <c r="U6900" s="4"/>
      <c r="V6900" s="4"/>
      <c r="W6900" s="4"/>
      <c r="X6900" s="4"/>
    </row>
    <row r="6901" spans="17:24" x14ac:dyDescent="0.3">
      <c r="Q6901" s="4"/>
      <c r="R6901" s="4"/>
      <c r="S6901" s="4"/>
      <c r="T6901" s="4"/>
      <c r="U6901" s="4"/>
      <c r="V6901" s="4"/>
      <c r="W6901" s="4"/>
      <c r="X6901" s="4"/>
    </row>
    <row r="6902" spans="17:24" x14ac:dyDescent="0.3">
      <c r="Q6902" s="4"/>
      <c r="R6902" s="4"/>
      <c r="S6902" s="4"/>
      <c r="T6902" s="4"/>
      <c r="U6902" s="4"/>
      <c r="V6902" s="4"/>
      <c r="W6902" s="4"/>
      <c r="X6902" s="4"/>
    </row>
    <row r="6903" spans="17:24" x14ac:dyDescent="0.3">
      <c r="Q6903" s="4"/>
      <c r="R6903" s="4"/>
      <c r="S6903" s="4"/>
      <c r="T6903" s="4"/>
      <c r="U6903" s="4"/>
      <c r="V6903" s="4"/>
      <c r="W6903" s="4"/>
      <c r="X6903" s="4"/>
    </row>
    <row r="6904" spans="17:24" x14ac:dyDescent="0.3">
      <c r="Q6904" s="4"/>
      <c r="R6904" s="4"/>
      <c r="S6904" s="4"/>
      <c r="T6904" s="4"/>
      <c r="U6904" s="4"/>
      <c r="V6904" s="4"/>
      <c r="W6904" s="4"/>
      <c r="X6904" s="4"/>
    </row>
    <row r="6905" spans="17:24" x14ac:dyDescent="0.3">
      <c r="Q6905" s="4"/>
      <c r="R6905" s="4"/>
      <c r="S6905" s="4"/>
      <c r="T6905" s="4"/>
      <c r="U6905" s="4"/>
      <c r="V6905" s="4"/>
      <c r="W6905" s="4"/>
      <c r="X6905" s="4"/>
    </row>
    <row r="6906" spans="17:24" x14ac:dyDescent="0.3">
      <c r="Q6906" s="4"/>
      <c r="R6906" s="4"/>
      <c r="S6906" s="4"/>
      <c r="T6906" s="4"/>
      <c r="U6906" s="4"/>
      <c r="V6906" s="4"/>
      <c r="W6906" s="4"/>
      <c r="X6906" s="4"/>
    </row>
    <row r="6907" spans="17:24" x14ac:dyDescent="0.3">
      <c r="Q6907" s="4"/>
      <c r="R6907" s="4"/>
      <c r="S6907" s="4"/>
      <c r="T6907" s="4"/>
      <c r="U6907" s="4"/>
      <c r="V6907" s="4"/>
      <c r="W6907" s="4"/>
      <c r="X6907" s="4"/>
    </row>
    <row r="6908" spans="17:24" x14ac:dyDescent="0.3">
      <c r="Q6908" s="4"/>
      <c r="R6908" s="4"/>
      <c r="S6908" s="4"/>
      <c r="T6908" s="4"/>
      <c r="U6908" s="4"/>
      <c r="V6908" s="4"/>
      <c r="W6908" s="4"/>
      <c r="X6908" s="4"/>
    </row>
    <row r="6909" spans="17:24" x14ac:dyDescent="0.3">
      <c r="Q6909" s="4"/>
      <c r="R6909" s="4"/>
      <c r="S6909" s="4"/>
      <c r="T6909" s="4"/>
      <c r="U6909" s="4"/>
      <c r="V6909" s="4"/>
      <c r="W6909" s="4"/>
      <c r="X6909" s="4"/>
    </row>
    <row r="6910" spans="17:24" x14ac:dyDescent="0.3">
      <c r="Q6910" s="4"/>
      <c r="R6910" s="4"/>
      <c r="S6910" s="4"/>
      <c r="T6910" s="4"/>
      <c r="U6910" s="4"/>
      <c r="V6910" s="4"/>
      <c r="W6910" s="4"/>
      <c r="X6910" s="4"/>
    </row>
    <row r="6911" spans="17:24" x14ac:dyDescent="0.3">
      <c r="Q6911" s="4"/>
      <c r="R6911" s="4"/>
      <c r="S6911" s="4"/>
      <c r="T6911" s="4"/>
      <c r="U6911" s="4"/>
      <c r="V6911" s="4"/>
      <c r="W6911" s="4"/>
      <c r="X6911" s="4"/>
    </row>
    <row r="6912" spans="17:24" x14ac:dyDescent="0.3">
      <c r="Q6912" s="4"/>
      <c r="R6912" s="4"/>
      <c r="S6912" s="4"/>
      <c r="T6912" s="4"/>
      <c r="U6912" s="4"/>
      <c r="V6912" s="4"/>
      <c r="W6912" s="4"/>
      <c r="X6912" s="4"/>
    </row>
    <row r="6913" spans="17:24" x14ac:dyDescent="0.3">
      <c r="Q6913" s="4"/>
      <c r="R6913" s="4"/>
      <c r="S6913" s="4"/>
      <c r="T6913" s="4"/>
      <c r="U6913" s="4"/>
      <c r="V6913" s="4"/>
      <c r="W6913" s="4"/>
      <c r="X6913" s="4"/>
    </row>
    <row r="6914" spans="17:24" x14ac:dyDescent="0.3">
      <c r="Q6914" s="4"/>
      <c r="R6914" s="4"/>
      <c r="S6914" s="4"/>
      <c r="T6914" s="4"/>
      <c r="U6914" s="4"/>
      <c r="V6914" s="4"/>
      <c r="W6914" s="4"/>
      <c r="X6914" s="4"/>
    </row>
    <row r="6915" spans="17:24" x14ac:dyDescent="0.3">
      <c r="Q6915" s="4"/>
      <c r="R6915" s="4"/>
      <c r="S6915" s="4"/>
      <c r="T6915" s="4"/>
      <c r="U6915" s="4"/>
      <c r="V6915" s="4"/>
      <c r="W6915" s="4"/>
      <c r="X6915" s="4"/>
    </row>
    <row r="6916" spans="17:24" x14ac:dyDescent="0.3">
      <c r="Q6916" s="4"/>
      <c r="R6916" s="4"/>
      <c r="S6916" s="4"/>
      <c r="T6916" s="4"/>
      <c r="U6916" s="4"/>
      <c r="V6916" s="4"/>
      <c r="W6916" s="4"/>
      <c r="X6916" s="4"/>
    </row>
    <row r="6917" spans="17:24" x14ac:dyDescent="0.3">
      <c r="Q6917" s="4"/>
      <c r="R6917" s="4"/>
      <c r="S6917" s="4"/>
      <c r="T6917" s="4"/>
      <c r="U6917" s="4"/>
      <c r="V6917" s="4"/>
      <c r="W6917" s="4"/>
      <c r="X6917" s="4"/>
    </row>
    <row r="6918" spans="17:24" x14ac:dyDescent="0.3">
      <c r="Q6918" s="4"/>
      <c r="R6918" s="4"/>
      <c r="S6918" s="4"/>
      <c r="T6918" s="4"/>
      <c r="U6918" s="4"/>
      <c r="V6918" s="4"/>
      <c r="W6918" s="4"/>
      <c r="X6918" s="4"/>
    </row>
    <row r="6919" spans="17:24" x14ac:dyDescent="0.3">
      <c r="Q6919" s="4"/>
      <c r="R6919" s="4"/>
      <c r="S6919" s="4"/>
      <c r="T6919" s="4"/>
      <c r="U6919" s="4"/>
      <c r="V6919" s="4"/>
      <c r="W6919" s="4"/>
      <c r="X6919" s="4"/>
    </row>
    <row r="6920" spans="17:24" x14ac:dyDescent="0.3">
      <c r="Q6920" s="4"/>
      <c r="R6920" s="4"/>
      <c r="S6920" s="4"/>
      <c r="T6920" s="4"/>
      <c r="U6920" s="4"/>
      <c r="V6920" s="4"/>
      <c r="W6920" s="4"/>
      <c r="X6920" s="4"/>
    </row>
    <row r="6921" spans="17:24" x14ac:dyDescent="0.3">
      <c r="Q6921" s="4"/>
      <c r="R6921" s="4"/>
      <c r="S6921" s="4"/>
      <c r="T6921" s="4"/>
      <c r="U6921" s="4"/>
      <c r="V6921" s="4"/>
      <c r="W6921" s="4"/>
      <c r="X6921" s="4"/>
    </row>
    <row r="6922" spans="17:24" x14ac:dyDescent="0.3">
      <c r="Q6922" s="4"/>
      <c r="R6922" s="4"/>
      <c r="S6922" s="4"/>
      <c r="T6922" s="4"/>
      <c r="U6922" s="4"/>
      <c r="V6922" s="4"/>
      <c r="W6922" s="4"/>
      <c r="X6922" s="4"/>
    </row>
    <row r="6923" spans="17:24" x14ac:dyDescent="0.3">
      <c r="Q6923" s="4"/>
      <c r="R6923" s="4"/>
      <c r="S6923" s="4"/>
      <c r="T6923" s="4"/>
      <c r="U6923" s="4"/>
      <c r="V6923" s="4"/>
      <c r="W6923" s="4"/>
      <c r="X6923" s="4"/>
    </row>
    <row r="6924" spans="17:24" x14ac:dyDescent="0.3">
      <c r="Q6924" s="4"/>
      <c r="R6924" s="4"/>
      <c r="S6924" s="4"/>
      <c r="T6924" s="4"/>
      <c r="U6924" s="4"/>
      <c r="V6924" s="4"/>
      <c r="W6924" s="4"/>
      <c r="X6924" s="4"/>
    </row>
    <row r="6925" spans="17:24" x14ac:dyDescent="0.3">
      <c r="Q6925" s="4"/>
      <c r="R6925" s="4"/>
      <c r="S6925" s="4"/>
      <c r="T6925" s="4"/>
      <c r="U6925" s="4"/>
      <c r="V6925" s="4"/>
      <c r="W6925" s="4"/>
      <c r="X6925" s="4"/>
    </row>
    <row r="6926" spans="17:24" x14ac:dyDescent="0.3">
      <c r="Q6926" s="4"/>
      <c r="R6926" s="4"/>
      <c r="S6926" s="4"/>
      <c r="T6926" s="4"/>
      <c r="U6926" s="4"/>
      <c r="V6926" s="4"/>
      <c r="W6926" s="4"/>
      <c r="X6926" s="4"/>
    </row>
    <row r="6927" spans="17:24" x14ac:dyDescent="0.3">
      <c r="Q6927" s="4"/>
      <c r="R6927" s="4"/>
      <c r="S6927" s="4"/>
      <c r="T6927" s="4"/>
      <c r="U6927" s="4"/>
      <c r="V6927" s="4"/>
      <c r="W6927" s="4"/>
      <c r="X6927" s="4"/>
    </row>
    <row r="6928" spans="17:24" x14ac:dyDescent="0.3">
      <c r="Q6928" s="4"/>
      <c r="R6928" s="4"/>
      <c r="S6928" s="4"/>
      <c r="T6928" s="4"/>
      <c r="U6928" s="4"/>
      <c r="V6928" s="4"/>
      <c r="W6928" s="4"/>
      <c r="X6928" s="4"/>
    </row>
    <row r="6929" spans="17:24" x14ac:dyDescent="0.3">
      <c r="Q6929" s="4"/>
      <c r="R6929" s="4"/>
      <c r="S6929" s="4"/>
      <c r="T6929" s="4"/>
      <c r="U6929" s="4"/>
      <c r="V6929" s="4"/>
      <c r="W6929" s="4"/>
      <c r="X6929" s="4"/>
    </row>
    <row r="6930" spans="17:24" x14ac:dyDescent="0.3">
      <c r="Q6930" s="4"/>
      <c r="R6930" s="4"/>
      <c r="S6930" s="4"/>
      <c r="T6930" s="4"/>
      <c r="U6930" s="4"/>
      <c r="V6930" s="4"/>
      <c r="W6930" s="4"/>
      <c r="X6930" s="4"/>
    </row>
    <row r="6931" spans="17:24" x14ac:dyDescent="0.3">
      <c r="Q6931" s="4"/>
      <c r="R6931" s="4"/>
      <c r="S6931" s="4"/>
      <c r="T6931" s="4"/>
      <c r="U6931" s="4"/>
      <c r="V6931" s="4"/>
      <c r="W6931" s="4"/>
      <c r="X6931" s="4"/>
    </row>
    <row r="6932" spans="17:24" x14ac:dyDescent="0.3">
      <c r="Q6932" s="4"/>
      <c r="R6932" s="4"/>
      <c r="S6932" s="4"/>
      <c r="T6932" s="4"/>
      <c r="U6932" s="4"/>
      <c r="V6932" s="4"/>
      <c r="W6932" s="4"/>
      <c r="X6932" s="4"/>
    </row>
    <row r="6933" spans="17:24" x14ac:dyDescent="0.3">
      <c r="Q6933" s="4"/>
      <c r="R6933" s="4"/>
      <c r="S6933" s="4"/>
      <c r="T6933" s="4"/>
      <c r="U6933" s="4"/>
      <c r="V6933" s="4"/>
      <c r="W6933" s="4"/>
      <c r="X6933" s="4"/>
    </row>
    <row r="6934" spans="17:24" x14ac:dyDescent="0.3">
      <c r="Q6934" s="4"/>
      <c r="R6934" s="4"/>
      <c r="S6934" s="4"/>
      <c r="T6934" s="4"/>
      <c r="U6934" s="4"/>
      <c r="V6934" s="4"/>
      <c r="W6934" s="4"/>
      <c r="X6934" s="4"/>
    </row>
    <row r="6935" spans="17:24" x14ac:dyDescent="0.3">
      <c r="Q6935" s="4"/>
      <c r="R6935" s="4"/>
      <c r="S6935" s="4"/>
      <c r="T6935" s="4"/>
      <c r="U6935" s="4"/>
      <c r="V6935" s="4"/>
      <c r="W6935" s="4"/>
      <c r="X6935" s="4"/>
    </row>
    <row r="6936" spans="17:24" x14ac:dyDescent="0.3">
      <c r="Q6936" s="4"/>
      <c r="R6936" s="4"/>
      <c r="S6936" s="4"/>
      <c r="T6936" s="4"/>
      <c r="U6936" s="4"/>
      <c r="V6936" s="4"/>
      <c r="W6936" s="4"/>
      <c r="X6936" s="4"/>
    </row>
    <row r="6937" spans="17:24" x14ac:dyDescent="0.3">
      <c r="Q6937" s="4"/>
      <c r="R6937" s="4"/>
      <c r="S6937" s="4"/>
      <c r="T6937" s="4"/>
      <c r="U6937" s="4"/>
      <c r="V6937" s="4"/>
      <c r="W6937" s="4"/>
      <c r="X6937" s="4"/>
    </row>
    <row r="6938" spans="17:24" x14ac:dyDescent="0.3">
      <c r="Q6938" s="4"/>
      <c r="R6938" s="4"/>
      <c r="S6938" s="4"/>
      <c r="T6938" s="4"/>
      <c r="U6938" s="4"/>
      <c r="V6938" s="4"/>
      <c r="W6938" s="4"/>
      <c r="X6938" s="4"/>
    </row>
    <row r="6939" spans="17:24" x14ac:dyDescent="0.3">
      <c r="Q6939" s="4"/>
      <c r="R6939" s="4"/>
      <c r="S6939" s="4"/>
      <c r="T6939" s="4"/>
      <c r="U6939" s="4"/>
      <c r="V6939" s="4"/>
      <c r="W6939" s="4"/>
      <c r="X6939" s="4"/>
    </row>
    <row r="6940" spans="17:24" x14ac:dyDescent="0.3">
      <c r="Q6940" s="4"/>
      <c r="R6940" s="4"/>
      <c r="S6940" s="4"/>
      <c r="T6940" s="4"/>
      <c r="U6940" s="4"/>
      <c r="V6940" s="4"/>
      <c r="W6940" s="4"/>
      <c r="X6940" s="4"/>
    </row>
    <row r="6941" spans="17:24" x14ac:dyDescent="0.3">
      <c r="Q6941" s="4"/>
      <c r="R6941" s="4"/>
      <c r="S6941" s="4"/>
      <c r="T6941" s="4"/>
      <c r="U6941" s="4"/>
      <c r="V6941" s="4"/>
      <c r="W6941" s="4"/>
      <c r="X6941" s="4"/>
    </row>
    <row r="6942" spans="17:24" x14ac:dyDescent="0.3">
      <c r="Q6942" s="4"/>
      <c r="R6942" s="4"/>
      <c r="S6942" s="4"/>
      <c r="T6942" s="4"/>
      <c r="U6942" s="4"/>
      <c r="V6942" s="4"/>
      <c r="W6942" s="4"/>
      <c r="X6942" s="4"/>
    </row>
    <row r="6943" spans="17:24" x14ac:dyDescent="0.3">
      <c r="Q6943" s="4"/>
      <c r="R6943" s="4"/>
      <c r="S6943" s="4"/>
      <c r="T6943" s="4"/>
      <c r="U6943" s="4"/>
      <c r="V6943" s="4"/>
      <c r="W6943" s="4"/>
      <c r="X6943" s="4"/>
    </row>
    <row r="6944" spans="17:24" x14ac:dyDescent="0.3">
      <c r="Q6944" s="4"/>
      <c r="R6944" s="4"/>
      <c r="S6944" s="4"/>
      <c r="T6944" s="4"/>
      <c r="U6944" s="4"/>
      <c r="V6944" s="4"/>
      <c r="W6944" s="4"/>
      <c r="X6944" s="4"/>
    </row>
    <row r="6945" spans="17:24" x14ac:dyDescent="0.3">
      <c r="Q6945" s="4"/>
      <c r="R6945" s="4"/>
      <c r="S6945" s="4"/>
      <c r="T6945" s="4"/>
      <c r="U6945" s="4"/>
      <c r="V6945" s="4"/>
      <c r="W6945" s="4"/>
      <c r="X6945" s="4"/>
    </row>
    <row r="6946" spans="17:24" x14ac:dyDescent="0.3">
      <c r="Q6946" s="4"/>
      <c r="R6946" s="4"/>
      <c r="S6946" s="4"/>
      <c r="T6946" s="4"/>
      <c r="U6946" s="4"/>
      <c r="V6946" s="4"/>
      <c r="W6946" s="4"/>
      <c r="X6946" s="4"/>
    </row>
    <row r="6947" spans="17:24" x14ac:dyDescent="0.3">
      <c r="Q6947" s="4"/>
      <c r="R6947" s="4"/>
      <c r="S6947" s="4"/>
      <c r="T6947" s="4"/>
      <c r="U6947" s="4"/>
      <c r="V6947" s="4"/>
      <c r="W6947" s="4"/>
      <c r="X6947" s="4"/>
    </row>
    <row r="6948" spans="17:24" x14ac:dyDescent="0.3">
      <c r="Q6948" s="4"/>
      <c r="R6948" s="4"/>
      <c r="S6948" s="4"/>
      <c r="T6948" s="4"/>
      <c r="U6948" s="4"/>
      <c r="V6948" s="4"/>
      <c r="W6948" s="4"/>
      <c r="X6948" s="4"/>
    </row>
    <row r="6949" spans="17:24" x14ac:dyDescent="0.3">
      <c r="Q6949" s="4"/>
      <c r="R6949" s="4"/>
      <c r="S6949" s="4"/>
      <c r="T6949" s="4"/>
      <c r="U6949" s="4"/>
      <c r="V6949" s="4"/>
      <c r="W6949" s="4"/>
      <c r="X6949" s="4"/>
    </row>
    <row r="6950" spans="17:24" x14ac:dyDescent="0.3">
      <c r="Q6950" s="4"/>
      <c r="R6950" s="4"/>
      <c r="S6950" s="4"/>
      <c r="T6950" s="4"/>
      <c r="U6950" s="4"/>
      <c r="V6950" s="4"/>
      <c r="W6950" s="4"/>
      <c r="X6950" s="4"/>
    </row>
    <row r="6951" spans="17:24" x14ac:dyDescent="0.3">
      <c r="Q6951" s="4"/>
      <c r="R6951" s="4"/>
      <c r="S6951" s="4"/>
      <c r="T6951" s="4"/>
      <c r="U6951" s="4"/>
      <c r="V6951" s="4"/>
      <c r="W6951" s="4"/>
      <c r="X6951" s="4"/>
    </row>
    <row r="6952" spans="17:24" x14ac:dyDescent="0.3">
      <c r="Q6952" s="4"/>
      <c r="R6952" s="4"/>
      <c r="S6952" s="4"/>
      <c r="T6952" s="4"/>
      <c r="U6952" s="4"/>
      <c r="V6952" s="4"/>
      <c r="W6952" s="4"/>
      <c r="X6952" s="4"/>
    </row>
    <row r="6953" spans="17:24" x14ac:dyDescent="0.3">
      <c r="Q6953" s="4"/>
      <c r="R6953" s="4"/>
      <c r="S6953" s="4"/>
      <c r="T6953" s="4"/>
      <c r="U6953" s="4"/>
      <c r="V6953" s="4"/>
      <c r="W6953" s="4"/>
      <c r="X6953" s="4"/>
    </row>
    <row r="6954" spans="17:24" x14ac:dyDescent="0.3">
      <c r="Q6954" s="4"/>
      <c r="R6954" s="4"/>
      <c r="S6954" s="4"/>
      <c r="T6954" s="4"/>
      <c r="U6954" s="4"/>
      <c r="V6954" s="4"/>
      <c r="W6954" s="4"/>
      <c r="X6954" s="4"/>
    </row>
    <row r="6955" spans="17:24" x14ac:dyDescent="0.3">
      <c r="Q6955" s="4"/>
      <c r="R6955" s="4"/>
      <c r="S6955" s="4"/>
      <c r="T6955" s="4"/>
      <c r="U6955" s="4"/>
      <c r="V6955" s="4"/>
      <c r="W6955" s="4"/>
      <c r="X6955" s="4"/>
    </row>
    <row r="6956" spans="17:24" x14ac:dyDescent="0.3">
      <c r="Q6956" s="4"/>
      <c r="R6956" s="4"/>
      <c r="S6956" s="4"/>
      <c r="T6956" s="4"/>
      <c r="U6956" s="4"/>
      <c r="V6956" s="4"/>
      <c r="W6956" s="4"/>
      <c r="X6956" s="4"/>
    </row>
    <row r="6957" spans="17:24" x14ac:dyDescent="0.3">
      <c r="Q6957" s="4"/>
      <c r="R6957" s="4"/>
      <c r="S6957" s="4"/>
      <c r="T6957" s="4"/>
      <c r="U6957" s="4"/>
      <c r="V6957" s="4"/>
      <c r="W6957" s="4"/>
      <c r="X6957" s="4"/>
    </row>
    <row r="6958" spans="17:24" x14ac:dyDescent="0.3">
      <c r="Q6958" s="4"/>
      <c r="R6958" s="4"/>
      <c r="S6958" s="4"/>
      <c r="T6958" s="4"/>
      <c r="U6958" s="4"/>
      <c r="V6958" s="4"/>
      <c r="W6958" s="4"/>
      <c r="X6958" s="4"/>
    </row>
    <row r="6959" spans="17:24" x14ac:dyDescent="0.3">
      <c r="Q6959" s="4"/>
      <c r="R6959" s="4"/>
      <c r="S6959" s="4"/>
      <c r="T6959" s="4"/>
      <c r="U6959" s="4"/>
      <c r="V6959" s="4"/>
      <c r="W6959" s="4"/>
      <c r="X6959" s="4"/>
    </row>
    <row r="6960" spans="17:24" x14ac:dyDescent="0.3">
      <c r="Q6960" s="4"/>
      <c r="R6960" s="4"/>
      <c r="S6960" s="4"/>
      <c r="T6960" s="4"/>
      <c r="U6960" s="4"/>
      <c r="V6960" s="4"/>
      <c r="W6960" s="4"/>
      <c r="X6960" s="4"/>
    </row>
    <row r="6961" spans="17:24" x14ac:dyDescent="0.3">
      <c r="Q6961" s="4"/>
      <c r="R6961" s="4"/>
      <c r="S6961" s="4"/>
      <c r="T6961" s="4"/>
      <c r="U6961" s="4"/>
      <c r="V6961" s="4"/>
      <c r="W6961" s="4"/>
      <c r="X6961" s="4"/>
    </row>
    <row r="6962" spans="17:24" x14ac:dyDescent="0.3">
      <c r="Q6962" s="4"/>
      <c r="R6962" s="4"/>
      <c r="S6962" s="4"/>
      <c r="T6962" s="4"/>
      <c r="U6962" s="4"/>
      <c r="V6962" s="4"/>
      <c r="W6962" s="4"/>
      <c r="X6962" s="4"/>
    </row>
    <row r="6963" spans="17:24" x14ac:dyDescent="0.3">
      <c r="Q6963" s="4"/>
      <c r="R6963" s="4"/>
      <c r="S6963" s="4"/>
      <c r="T6963" s="4"/>
      <c r="U6963" s="4"/>
      <c r="V6963" s="4"/>
      <c r="W6963" s="4"/>
      <c r="X6963" s="4"/>
    </row>
    <row r="6964" spans="17:24" x14ac:dyDescent="0.3">
      <c r="Q6964" s="4"/>
      <c r="R6964" s="4"/>
      <c r="S6964" s="4"/>
      <c r="T6964" s="4"/>
      <c r="U6964" s="4"/>
      <c r="V6964" s="4"/>
      <c r="W6964" s="4"/>
      <c r="X6964" s="4"/>
    </row>
    <row r="6965" spans="17:24" x14ac:dyDescent="0.3">
      <c r="Q6965" s="4"/>
      <c r="R6965" s="4"/>
      <c r="S6965" s="4"/>
      <c r="T6965" s="4"/>
      <c r="U6965" s="4"/>
      <c r="V6965" s="4"/>
      <c r="W6965" s="4"/>
      <c r="X6965" s="4"/>
    </row>
    <row r="6966" spans="17:24" x14ac:dyDescent="0.3">
      <c r="Q6966" s="4"/>
      <c r="R6966" s="4"/>
      <c r="S6966" s="4"/>
      <c r="T6966" s="4"/>
      <c r="U6966" s="4"/>
      <c r="V6966" s="4"/>
      <c r="W6966" s="4"/>
      <c r="X6966" s="4"/>
    </row>
    <row r="6967" spans="17:24" x14ac:dyDescent="0.3">
      <c r="Q6967" s="4"/>
      <c r="R6967" s="4"/>
      <c r="S6967" s="4"/>
      <c r="T6967" s="4"/>
      <c r="U6967" s="4"/>
      <c r="V6967" s="4"/>
      <c r="W6967" s="4"/>
      <c r="X6967" s="4"/>
    </row>
    <row r="6968" spans="17:24" x14ac:dyDescent="0.3">
      <c r="Q6968" s="4"/>
      <c r="R6968" s="4"/>
      <c r="S6968" s="4"/>
      <c r="T6968" s="4"/>
      <c r="U6968" s="4"/>
      <c r="V6968" s="4"/>
      <c r="W6968" s="4"/>
      <c r="X6968" s="4"/>
    </row>
    <row r="6969" spans="17:24" x14ac:dyDescent="0.3">
      <c r="Q6969" s="4"/>
      <c r="R6969" s="4"/>
      <c r="S6969" s="4"/>
      <c r="T6969" s="4"/>
      <c r="U6969" s="4"/>
      <c r="V6969" s="4"/>
      <c r="W6969" s="4"/>
      <c r="X6969" s="4"/>
    </row>
    <row r="6970" spans="17:24" x14ac:dyDescent="0.3">
      <c r="Q6970" s="4"/>
      <c r="R6970" s="4"/>
      <c r="S6970" s="4"/>
      <c r="T6970" s="4"/>
      <c r="U6970" s="4"/>
      <c r="V6970" s="4"/>
      <c r="W6970" s="4"/>
      <c r="X6970" s="4"/>
    </row>
    <row r="6971" spans="17:24" x14ac:dyDescent="0.3">
      <c r="Q6971" s="4"/>
      <c r="R6971" s="4"/>
      <c r="S6971" s="4"/>
      <c r="T6971" s="4"/>
      <c r="U6971" s="4"/>
      <c r="V6971" s="4"/>
      <c r="W6971" s="4"/>
      <c r="X6971" s="4"/>
    </row>
    <row r="6972" spans="17:24" x14ac:dyDescent="0.3">
      <c r="Q6972" s="4"/>
      <c r="R6972" s="4"/>
      <c r="S6972" s="4"/>
      <c r="T6972" s="4"/>
      <c r="U6972" s="4"/>
      <c r="V6972" s="4"/>
      <c r="W6972" s="4"/>
      <c r="X6972" s="4"/>
    </row>
    <row r="6973" spans="17:24" x14ac:dyDescent="0.3">
      <c r="Q6973" s="4"/>
      <c r="R6973" s="4"/>
      <c r="S6973" s="4"/>
      <c r="T6973" s="4"/>
      <c r="U6973" s="4"/>
      <c r="V6973" s="4"/>
      <c r="W6973" s="4"/>
      <c r="X6973" s="4"/>
    </row>
    <row r="6974" spans="17:24" x14ac:dyDescent="0.3">
      <c r="Q6974" s="4"/>
      <c r="R6974" s="4"/>
      <c r="S6974" s="4"/>
      <c r="T6974" s="4"/>
      <c r="U6974" s="4"/>
      <c r="V6974" s="4"/>
      <c r="W6974" s="4"/>
      <c r="X6974" s="4"/>
    </row>
    <row r="6975" spans="17:24" x14ac:dyDescent="0.3">
      <c r="Q6975" s="4"/>
      <c r="R6975" s="4"/>
      <c r="S6975" s="4"/>
      <c r="T6975" s="4"/>
      <c r="U6975" s="4"/>
      <c r="V6975" s="4"/>
      <c r="W6975" s="4"/>
      <c r="X6975" s="4"/>
    </row>
    <row r="6976" spans="17:24" x14ac:dyDescent="0.3">
      <c r="Q6976" s="4"/>
      <c r="R6976" s="4"/>
      <c r="S6976" s="4"/>
      <c r="T6976" s="4"/>
      <c r="U6976" s="4"/>
      <c r="V6976" s="4"/>
      <c r="W6976" s="4"/>
      <c r="X6976" s="4"/>
    </row>
    <row r="6977" spans="17:24" x14ac:dyDescent="0.3">
      <c r="Q6977" s="4"/>
      <c r="R6977" s="4"/>
      <c r="S6977" s="4"/>
      <c r="T6977" s="4"/>
      <c r="U6977" s="4"/>
      <c r="V6977" s="4"/>
      <c r="W6977" s="4"/>
      <c r="X6977" s="4"/>
    </row>
    <row r="6978" spans="17:24" x14ac:dyDescent="0.3">
      <c r="Q6978" s="4"/>
      <c r="R6978" s="4"/>
      <c r="S6978" s="4"/>
      <c r="T6978" s="4"/>
      <c r="U6978" s="4"/>
      <c r="V6978" s="4"/>
      <c r="W6978" s="4"/>
      <c r="X6978" s="4"/>
    </row>
    <row r="6979" spans="17:24" x14ac:dyDescent="0.3">
      <c r="Q6979" s="4"/>
      <c r="R6979" s="4"/>
      <c r="S6979" s="4"/>
      <c r="T6979" s="4"/>
      <c r="U6979" s="4"/>
      <c r="V6979" s="4"/>
      <c r="W6979" s="4"/>
      <c r="X6979" s="4"/>
    </row>
    <row r="6980" spans="17:24" x14ac:dyDescent="0.3">
      <c r="Q6980" s="4"/>
      <c r="R6980" s="4"/>
      <c r="S6980" s="4"/>
      <c r="T6980" s="4"/>
      <c r="U6980" s="4"/>
      <c r="V6980" s="4"/>
      <c r="W6980" s="4"/>
      <c r="X6980" s="4"/>
    </row>
    <row r="6981" spans="17:24" x14ac:dyDescent="0.3">
      <c r="Q6981" s="4"/>
      <c r="R6981" s="4"/>
      <c r="S6981" s="4"/>
      <c r="T6981" s="4"/>
      <c r="U6981" s="4"/>
      <c r="V6981" s="4"/>
      <c r="W6981" s="4"/>
      <c r="X6981" s="4"/>
    </row>
    <row r="6982" spans="17:24" x14ac:dyDescent="0.3">
      <c r="Q6982" s="4"/>
      <c r="R6982" s="4"/>
      <c r="S6982" s="4"/>
      <c r="T6982" s="4"/>
      <c r="U6982" s="4"/>
      <c r="V6982" s="4"/>
      <c r="W6982" s="4"/>
      <c r="X6982" s="4"/>
    </row>
    <row r="6983" spans="17:24" x14ac:dyDescent="0.3">
      <c r="Q6983" s="4"/>
      <c r="R6983" s="4"/>
      <c r="S6983" s="4"/>
      <c r="T6983" s="4"/>
      <c r="U6983" s="4"/>
      <c r="V6983" s="4"/>
      <c r="W6983" s="4"/>
      <c r="X6983" s="4"/>
    </row>
    <row r="6984" spans="17:24" x14ac:dyDescent="0.3">
      <c r="Q6984" s="4"/>
      <c r="R6984" s="4"/>
      <c r="S6984" s="4"/>
      <c r="T6984" s="4"/>
      <c r="U6984" s="4"/>
      <c r="V6984" s="4"/>
      <c r="W6984" s="4"/>
      <c r="X6984" s="4"/>
    </row>
    <row r="6985" spans="17:24" x14ac:dyDescent="0.3">
      <c r="Q6985" s="4"/>
      <c r="R6985" s="4"/>
      <c r="S6985" s="4"/>
      <c r="T6985" s="4"/>
      <c r="U6985" s="4"/>
      <c r="V6985" s="4"/>
      <c r="W6985" s="4"/>
      <c r="X6985" s="4"/>
    </row>
    <row r="6986" spans="17:24" x14ac:dyDescent="0.3">
      <c r="Q6986" s="4"/>
      <c r="R6986" s="4"/>
      <c r="S6986" s="4"/>
      <c r="T6986" s="4"/>
      <c r="U6986" s="4"/>
      <c r="V6986" s="4"/>
      <c r="W6986" s="4"/>
      <c r="X6986" s="4"/>
    </row>
    <row r="6987" spans="17:24" x14ac:dyDescent="0.3">
      <c r="Q6987" s="4"/>
      <c r="R6987" s="4"/>
      <c r="S6987" s="4"/>
      <c r="T6987" s="4"/>
      <c r="U6987" s="4"/>
      <c r="V6987" s="4"/>
      <c r="W6987" s="4"/>
      <c r="X6987" s="4"/>
    </row>
    <row r="6988" spans="17:24" x14ac:dyDescent="0.3">
      <c r="Q6988" s="4"/>
      <c r="R6988" s="4"/>
      <c r="S6988" s="4"/>
      <c r="T6988" s="4"/>
      <c r="U6988" s="4"/>
      <c r="V6988" s="4"/>
      <c r="W6988" s="4"/>
      <c r="X6988" s="4"/>
    </row>
    <row r="6989" spans="17:24" x14ac:dyDescent="0.3">
      <c r="Q6989" s="4"/>
      <c r="R6989" s="4"/>
      <c r="S6989" s="4"/>
      <c r="T6989" s="4"/>
      <c r="U6989" s="4"/>
      <c r="V6989" s="4"/>
      <c r="W6989" s="4"/>
      <c r="X6989" s="4"/>
    </row>
    <row r="6990" spans="17:24" x14ac:dyDescent="0.3">
      <c r="Q6990" s="4"/>
      <c r="R6990" s="4"/>
      <c r="S6990" s="4"/>
      <c r="T6990" s="4"/>
      <c r="U6990" s="4"/>
      <c r="V6990" s="4"/>
      <c r="W6990" s="4"/>
      <c r="X6990" s="4"/>
    </row>
    <row r="6991" spans="17:24" x14ac:dyDescent="0.3">
      <c r="Q6991" s="4"/>
      <c r="R6991" s="4"/>
      <c r="S6991" s="4"/>
      <c r="T6991" s="4"/>
      <c r="U6991" s="4"/>
      <c r="V6991" s="4"/>
      <c r="W6991" s="4"/>
      <c r="X6991" s="4"/>
    </row>
    <row r="6992" spans="17:24" x14ac:dyDescent="0.3">
      <c r="Q6992" s="4"/>
      <c r="R6992" s="4"/>
      <c r="S6992" s="4"/>
      <c r="T6992" s="4"/>
      <c r="U6992" s="4"/>
      <c r="V6992" s="4"/>
      <c r="W6992" s="4"/>
      <c r="X6992" s="4"/>
    </row>
    <row r="6993" spans="17:24" x14ac:dyDescent="0.3">
      <c r="Q6993" s="4"/>
      <c r="R6993" s="4"/>
      <c r="S6993" s="4"/>
      <c r="T6993" s="4"/>
      <c r="U6993" s="4"/>
      <c r="V6993" s="4"/>
      <c r="W6993" s="4"/>
      <c r="X6993" s="4"/>
    </row>
    <row r="6994" spans="17:24" x14ac:dyDescent="0.3">
      <c r="Q6994" s="4"/>
      <c r="R6994" s="4"/>
      <c r="S6994" s="4"/>
      <c r="T6994" s="4"/>
      <c r="U6994" s="4"/>
      <c r="V6994" s="4"/>
      <c r="W6994" s="4"/>
      <c r="X6994" s="4"/>
    </row>
    <row r="6995" spans="17:24" x14ac:dyDescent="0.3">
      <c r="Q6995" s="4"/>
      <c r="R6995" s="4"/>
      <c r="S6995" s="4"/>
      <c r="T6995" s="4"/>
      <c r="U6995" s="4"/>
      <c r="V6995" s="4"/>
      <c r="W6995" s="4"/>
      <c r="X6995" s="4"/>
    </row>
    <row r="6996" spans="17:24" x14ac:dyDescent="0.3">
      <c r="Q6996" s="4"/>
      <c r="R6996" s="4"/>
      <c r="S6996" s="4"/>
      <c r="T6996" s="4"/>
      <c r="U6996" s="4"/>
      <c r="V6996" s="4"/>
      <c r="W6996" s="4"/>
      <c r="X6996" s="4"/>
    </row>
    <row r="6997" spans="17:24" x14ac:dyDescent="0.3">
      <c r="Q6997" s="4"/>
      <c r="R6997" s="4"/>
      <c r="S6997" s="4"/>
      <c r="T6997" s="4"/>
      <c r="U6997" s="4"/>
      <c r="V6997" s="4"/>
      <c r="W6997" s="4"/>
      <c r="X6997" s="4"/>
    </row>
    <row r="6998" spans="17:24" x14ac:dyDescent="0.3">
      <c r="Q6998" s="4"/>
      <c r="R6998" s="4"/>
      <c r="S6998" s="4"/>
      <c r="T6998" s="4"/>
      <c r="U6998" s="4"/>
      <c r="V6998" s="4"/>
      <c r="W6998" s="4"/>
      <c r="X6998" s="4"/>
    </row>
    <row r="6999" spans="17:24" x14ac:dyDescent="0.3">
      <c r="Q6999" s="4"/>
      <c r="R6999" s="4"/>
      <c r="S6999" s="4"/>
      <c r="T6999" s="4"/>
      <c r="U6999" s="4"/>
      <c r="V6999" s="4"/>
      <c r="W6999" s="4"/>
      <c r="X6999" s="4"/>
    </row>
    <row r="7000" spans="17:24" x14ac:dyDescent="0.3">
      <c r="Q7000" s="4"/>
      <c r="R7000" s="4"/>
      <c r="S7000" s="4"/>
      <c r="T7000" s="4"/>
      <c r="U7000" s="4"/>
      <c r="V7000" s="4"/>
      <c r="W7000" s="4"/>
      <c r="X7000" s="4"/>
    </row>
    <row r="7001" spans="17:24" x14ac:dyDescent="0.3">
      <c r="Q7001" s="4"/>
      <c r="R7001" s="4"/>
      <c r="S7001" s="4"/>
      <c r="T7001" s="4"/>
      <c r="U7001" s="4"/>
      <c r="V7001" s="4"/>
      <c r="W7001" s="4"/>
      <c r="X7001" s="4"/>
    </row>
    <row r="7002" spans="17:24" x14ac:dyDescent="0.3">
      <c r="Q7002" s="4"/>
      <c r="R7002" s="4"/>
      <c r="S7002" s="4"/>
      <c r="T7002" s="4"/>
      <c r="U7002" s="4"/>
      <c r="V7002" s="4"/>
      <c r="W7002" s="4"/>
      <c r="X7002" s="4"/>
    </row>
    <row r="7003" spans="17:24" x14ac:dyDescent="0.3">
      <c r="Q7003" s="4"/>
      <c r="R7003" s="4"/>
      <c r="S7003" s="4"/>
      <c r="T7003" s="4"/>
      <c r="U7003" s="4"/>
      <c r="V7003" s="4"/>
      <c r="W7003" s="4"/>
      <c r="X7003" s="4"/>
    </row>
    <row r="7004" spans="17:24" x14ac:dyDescent="0.3">
      <c r="Q7004" s="4"/>
      <c r="R7004" s="4"/>
      <c r="S7004" s="4"/>
      <c r="T7004" s="4"/>
      <c r="U7004" s="4"/>
      <c r="V7004" s="4"/>
      <c r="W7004" s="4"/>
      <c r="X7004" s="4"/>
    </row>
    <row r="7005" spans="17:24" x14ac:dyDescent="0.3">
      <c r="Q7005" s="4"/>
      <c r="R7005" s="4"/>
      <c r="S7005" s="4"/>
      <c r="T7005" s="4"/>
      <c r="U7005" s="4"/>
      <c r="V7005" s="4"/>
      <c r="W7005" s="4"/>
      <c r="X7005" s="4"/>
    </row>
    <row r="7006" spans="17:24" x14ac:dyDescent="0.3">
      <c r="Q7006" s="4"/>
      <c r="R7006" s="4"/>
      <c r="S7006" s="4"/>
      <c r="T7006" s="4"/>
      <c r="U7006" s="4"/>
      <c r="V7006" s="4"/>
      <c r="W7006" s="4"/>
      <c r="X7006" s="4"/>
    </row>
    <row r="7007" spans="17:24" x14ac:dyDescent="0.3">
      <c r="Q7007" s="4"/>
      <c r="R7007" s="4"/>
      <c r="S7007" s="4"/>
      <c r="T7007" s="4"/>
      <c r="U7007" s="4"/>
      <c r="V7007" s="4"/>
      <c r="W7007" s="4"/>
      <c r="X7007" s="4"/>
    </row>
    <row r="7008" spans="17:24" x14ac:dyDescent="0.3">
      <c r="Q7008" s="4"/>
      <c r="R7008" s="4"/>
      <c r="S7008" s="4"/>
      <c r="T7008" s="4"/>
      <c r="U7008" s="4"/>
      <c r="V7008" s="4"/>
      <c r="W7008" s="4"/>
      <c r="X7008" s="4"/>
    </row>
    <row r="7009" spans="17:24" x14ac:dyDescent="0.3">
      <c r="Q7009" s="4"/>
      <c r="R7009" s="4"/>
      <c r="S7009" s="4"/>
      <c r="T7009" s="4"/>
      <c r="U7009" s="4"/>
      <c r="V7009" s="4"/>
      <c r="W7009" s="4"/>
      <c r="X7009" s="4"/>
    </row>
    <row r="7010" spans="17:24" x14ac:dyDescent="0.3">
      <c r="Q7010" s="4"/>
      <c r="R7010" s="4"/>
      <c r="S7010" s="4"/>
      <c r="T7010" s="4"/>
      <c r="U7010" s="4"/>
      <c r="V7010" s="4"/>
      <c r="W7010" s="4"/>
      <c r="X7010" s="4"/>
    </row>
    <row r="7011" spans="17:24" x14ac:dyDescent="0.3">
      <c r="Q7011" s="4"/>
      <c r="R7011" s="4"/>
      <c r="S7011" s="4"/>
      <c r="T7011" s="4"/>
      <c r="U7011" s="4"/>
      <c r="V7011" s="4"/>
      <c r="W7011" s="4"/>
      <c r="X7011" s="4"/>
    </row>
    <row r="7012" spans="17:24" x14ac:dyDescent="0.3">
      <c r="Q7012" s="4"/>
      <c r="R7012" s="4"/>
      <c r="S7012" s="4"/>
      <c r="T7012" s="4"/>
      <c r="U7012" s="4"/>
      <c r="V7012" s="4"/>
      <c r="W7012" s="4"/>
      <c r="X7012" s="4"/>
    </row>
    <row r="7013" spans="17:24" x14ac:dyDescent="0.3">
      <c r="Q7013" s="4"/>
      <c r="R7013" s="4"/>
      <c r="S7013" s="4"/>
      <c r="T7013" s="4"/>
      <c r="U7013" s="4"/>
      <c r="V7013" s="4"/>
      <c r="W7013" s="4"/>
      <c r="X7013" s="4"/>
    </row>
    <row r="7014" spans="17:24" x14ac:dyDescent="0.3">
      <c r="Q7014" s="4"/>
      <c r="R7014" s="4"/>
      <c r="S7014" s="4"/>
      <c r="T7014" s="4"/>
      <c r="U7014" s="4"/>
      <c r="V7014" s="4"/>
      <c r="W7014" s="4"/>
      <c r="X7014" s="4"/>
    </row>
    <row r="7015" spans="17:24" x14ac:dyDescent="0.3">
      <c r="Q7015" s="4"/>
      <c r="R7015" s="4"/>
      <c r="S7015" s="4"/>
      <c r="T7015" s="4"/>
      <c r="U7015" s="4"/>
      <c r="V7015" s="4"/>
      <c r="W7015" s="4"/>
      <c r="X7015" s="4"/>
    </row>
    <row r="7016" spans="17:24" x14ac:dyDescent="0.3">
      <c r="Q7016" s="4"/>
      <c r="R7016" s="4"/>
      <c r="S7016" s="4"/>
      <c r="T7016" s="4"/>
      <c r="U7016" s="4"/>
      <c r="V7016" s="4"/>
      <c r="W7016" s="4"/>
      <c r="X7016" s="4"/>
    </row>
    <row r="7017" spans="17:24" x14ac:dyDescent="0.3">
      <c r="Q7017" s="4"/>
      <c r="R7017" s="4"/>
      <c r="S7017" s="4"/>
      <c r="T7017" s="4"/>
      <c r="U7017" s="4"/>
      <c r="V7017" s="4"/>
      <c r="W7017" s="4"/>
      <c r="X7017" s="4"/>
    </row>
    <row r="7018" spans="17:24" x14ac:dyDescent="0.3">
      <c r="Q7018" s="4"/>
      <c r="R7018" s="4"/>
      <c r="S7018" s="4"/>
      <c r="T7018" s="4"/>
      <c r="U7018" s="4"/>
      <c r="V7018" s="4"/>
      <c r="W7018" s="4"/>
      <c r="X7018" s="4"/>
    </row>
    <row r="7019" spans="17:24" x14ac:dyDescent="0.3">
      <c r="Q7019" s="4"/>
      <c r="R7019" s="4"/>
      <c r="S7019" s="4"/>
      <c r="T7019" s="4"/>
      <c r="U7019" s="4"/>
      <c r="V7019" s="4"/>
      <c r="W7019" s="4"/>
      <c r="X7019" s="4"/>
    </row>
    <row r="7020" spans="17:24" x14ac:dyDescent="0.3">
      <c r="Q7020" s="4"/>
      <c r="R7020" s="4"/>
      <c r="S7020" s="4"/>
      <c r="T7020" s="4"/>
      <c r="U7020" s="4"/>
      <c r="V7020" s="4"/>
      <c r="W7020" s="4"/>
      <c r="X7020" s="4"/>
    </row>
    <row r="7021" spans="17:24" x14ac:dyDescent="0.3">
      <c r="Q7021" s="4"/>
      <c r="R7021" s="4"/>
      <c r="S7021" s="4"/>
      <c r="T7021" s="4"/>
      <c r="U7021" s="4"/>
      <c r="V7021" s="4"/>
      <c r="W7021" s="4"/>
      <c r="X7021" s="4"/>
    </row>
    <row r="7022" spans="17:24" x14ac:dyDescent="0.3">
      <c r="Q7022" s="4"/>
      <c r="R7022" s="4"/>
      <c r="S7022" s="4"/>
      <c r="T7022" s="4"/>
      <c r="U7022" s="4"/>
      <c r="V7022" s="4"/>
      <c r="W7022" s="4"/>
      <c r="X7022" s="4"/>
    </row>
    <row r="7023" spans="17:24" x14ac:dyDescent="0.3">
      <c r="Q7023" s="4"/>
      <c r="R7023" s="4"/>
      <c r="S7023" s="4"/>
      <c r="T7023" s="4"/>
      <c r="U7023" s="4"/>
      <c r="V7023" s="4"/>
      <c r="W7023" s="4"/>
      <c r="X7023" s="4"/>
    </row>
    <row r="7024" spans="17:24" x14ac:dyDescent="0.3">
      <c r="Q7024" s="4"/>
      <c r="R7024" s="4"/>
      <c r="S7024" s="4"/>
      <c r="T7024" s="4"/>
      <c r="U7024" s="4"/>
      <c r="V7024" s="4"/>
      <c r="W7024" s="4"/>
      <c r="X7024" s="4"/>
    </row>
    <row r="7025" spans="17:24" x14ac:dyDescent="0.3">
      <c r="Q7025" s="4"/>
      <c r="R7025" s="4"/>
      <c r="S7025" s="4"/>
      <c r="T7025" s="4"/>
      <c r="U7025" s="4"/>
      <c r="V7025" s="4"/>
      <c r="W7025" s="4"/>
      <c r="X7025" s="4"/>
    </row>
    <row r="7026" spans="17:24" x14ac:dyDescent="0.3">
      <c r="Q7026" s="4"/>
      <c r="R7026" s="4"/>
      <c r="S7026" s="4"/>
      <c r="T7026" s="4"/>
      <c r="U7026" s="4"/>
      <c r="V7026" s="4"/>
      <c r="W7026" s="4"/>
      <c r="X7026" s="4"/>
    </row>
    <row r="7027" spans="17:24" x14ac:dyDescent="0.3">
      <c r="Q7027" s="4"/>
      <c r="R7027" s="4"/>
      <c r="S7027" s="4"/>
      <c r="T7027" s="4"/>
      <c r="U7027" s="4"/>
      <c r="V7027" s="4"/>
      <c r="W7027" s="4"/>
      <c r="X7027" s="4"/>
    </row>
    <row r="7028" spans="17:24" x14ac:dyDescent="0.3">
      <c r="Q7028" s="4"/>
      <c r="R7028" s="4"/>
      <c r="S7028" s="4"/>
      <c r="T7028" s="4"/>
      <c r="U7028" s="4"/>
      <c r="V7028" s="4"/>
      <c r="W7028" s="4"/>
      <c r="X7028" s="4"/>
    </row>
    <row r="7029" spans="17:24" x14ac:dyDescent="0.3">
      <c r="Q7029" s="4"/>
      <c r="R7029" s="4"/>
      <c r="S7029" s="4"/>
      <c r="T7029" s="4"/>
      <c r="U7029" s="4"/>
      <c r="V7029" s="4"/>
      <c r="W7029" s="4"/>
      <c r="X7029" s="4"/>
    </row>
    <row r="7030" spans="17:24" x14ac:dyDescent="0.3">
      <c r="Q7030" s="4"/>
      <c r="R7030" s="4"/>
      <c r="S7030" s="4"/>
      <c r="T7030" s="4"/>
      <c r="U7030" s="4"/>
      <c r="V7030" s="4"/>
      <c r="W7030" s="4"/>
      <c r="X7030" s="4"/>
    </row>
    <row r="7031" spans="17:24" x14ac:dyDescent="0.3">
      <c r="Q7031" s="4"/>
      <c r="R7031" s="4"/>
      <c r="S7031" s="4"/>
      <c r="T7031" s="4"/>
      <c r="U7031" s="4"/>
      <c r="V7031" s="4"/>
      <c r="W7031" s="4"/>
      <c r="X7031" s="4"/>
    </row>
    <row r="7032" spans="17:24" x14ac:dyDescent="0.3">
      <c r="Q7032" s="4"/>
      <c r="R7032" s="4"/>
      <c r="S7032" s="4"/>
      <c r="T7032" s="4"/>
      <c r="U7032" s="4"/>
      <c r="V7032" s="4"/>
      <c r="W7032" s="4"/>
      <c r="X7032" s="4"/>
    </row>
    <row r="7033" spans="17:24" x14ac:dyDescent="0.3">
      <c r="Q7033" s="4"/>
      <c r="R7033" s="4"/>
      <c r="S7033" s="4"/>
      <c r="T7033" s="4"/>
      <c r="U7033" s="4"/>
      <c r="V7033" s="4"/>
      <c r="W7033" s="4"/>
      <c r="X7033" s="4"/>
    </row>
  </sheetData>
  <autoFilter ref="A4:CZ369" xr:uid="{3A8E6FFA-A486-44A6-BD1F-29D92F8EE696}"/>
  <mergeCells count="76">
    <mergeCell ref="CM3:CN3"/>
    <mergeCell ref="CO3:CP3"/>
    <mergeCell ref="CQ3:CR3"/>
    <mergeCell ref="CS3:CT3"/>
    <mergeCell ref="CC3:CD3"/>
    <mergeCell ref="BO3:BP3"/>
    <mergeCell ref="BQ3:BR3"/>
    <mergeCell ref="BS3:BT3"/>
    <mergeCell ref="BW2:CD2"/>
    <mergeCell ref="CE2:CL2"/>
    <mergeCell ref="CE3:CF3"/>
    <mergeCell ref="CG3:CH3"/>
    <mergeCell ref="CI3:CJ3"/>
    <mergeCell ref="CK3:CL3"/>
    <mergeCell ref="BW3:BX3"/>
    <mergeCell ref="BY3:BZ3"/>
    <mergeCell ref="CA3:CB3"/>
    <mergeCell ref="AG2:AL2"/>
    <mergeCell ref="AM2:AV2"/>
    <mergeCell ref="AW3:AX3"/>
    <mergeCell ref="BG2:BN2"/>
    <mergeCell ref="E2:L2"/>
    <mergeCell ref="M2:R2"/>
    <mergeCell ref="S2:X2"/>
    <mergeCell ref="Y2:AF2"/>
    <mergeCell ref="W3:X3"/>
    <mergeCell ref="BE3:BF3"/>
    <mergeCell ref="AW2:BF2"/>
    <mergeCell ref="BG3:BH3"/>
    <mergeCell ref="BI3:BJ3"/>
    <mergeCell ref="BK3:BL3"/>
    <mergeCell ref="BM3:BN3"/>
    <mergeCell ref="C1:CT1"/>
    <mergeCell ref="BO2:BV2"/>
    <mergeCell ref="CM2:CT2"/>
    <mergeCell ref="C3:C4"/>
    <mergeCell ref="D3:D4"/>
    <mergeCell ref="E3:F3"/>
    <mergeCell ref="G3:H3"/>
    <mergeCell ref="I3:J3"/>
    <mergeCell ref="K3:L3"/>
    <mergeCell ref="M3:N3"/>
    <mergeCell ref="AI3:AJ3"/>
    <mergeCell ref="AK3:AL3"/>
    <mergeCell ref="O3:P3"/>
    <mergeCell ref="Q3:R3"/>
    <mergeCell ref="S3:T3"/>
    <mergeCell ref="U3:V3"/>
    <mergeCell ref="A64:A94"/>
    <mergeCell ref="A95:A124"/>
    <mergeCell ref="A125:A155"/>
    <mergeCell ref="A36:A63"/>
    <mergeCell ref="A1:A4"/>
    <mergeCell ref="CU3:CZ3"/>
    <mergeCell ref="A5:A35"/>
    <mergeCell ref="AM3:AN3"/>
    <mergeCell ref="AO3:AP3"/>
    <mergeCell ref="AQ3:AR3"/>
    <mergeCell ref="AS3:AT3"/>
    <mergeCell ref="AU3:AV3"/>
    <mergeCell ref="AA3:AB3"/>
    <mergeCell ref="AC3:AD3"/>
    <mergeCell ref="AE3:AF3"/>
    <mergeCell ref="AG3:AH3"/>
    <mergeCell ref="Y3:Z3"/>
    <mergeCell ref="AY3:AZ3"/>
    <mergeCell ref="BA3:BB3"/>
    <mergeCell ref="BC3:BD3"/>
    <mergeCell ref="BU3:BV3"/>
    <mergeCell ref="A339:A369"/>
    <mergeCell ref="A156:A185"/>
    <mergeCell ref="A186:A216"/>
    <mergeCell ref="A217:A247"/>
    <mergeCell ref="A248:A277"/>
    <mergeCell ref="A278:A308"/>
    <mergeCell ref="A309:A338"/>
  </mergeCells>
  <phoneticPr fontId="1" type="noConversion"/>
  <conditionalFormatting sqref="A1:XFD1 A2:E2 M2 S2 Y2 AG2 AM2 AW2 CU2:XFD3 A3:BW3 BY3 CA3">
    <cfRule type="cellIs" dxfId="73" priority="83" operator="equal">
      <formula>48</formula>
    </cfRule>
  </conditionalFormatting>
  <conditionalFormatting sqref="A4:XFD1048576">
    <cfRule type="cellIs" dxfId="72" priority="1" operator="equal">
      <formula>48</formula>
    </cfRule>
  </conditionalFormatting>
  <conditionalFormatting sqref="E5:L369">
    <cfRule type="cellIs" dxfId="71" priority="31" operator="equal">
      <formula>20</formula>
    </cfRule>
    <cfRule type="cellIs" dxfId="70" priority="36" operator="equal">
      <formula>10</formula>
    </cfRule>
    <cfRule type="cellIs" dxfId="69" priority="32" operator="equal">
      <formula>12</formula>
    </cfRule>
    <cfRule type="cellIs" dxfId="68" priority="35" operator="equal">
      <formula>8.5</formula>
    </cfRule>
    <cfRule type="cellIs" dxfId="67" priority="34" operator="equal">
      <formula>16</formula>
    </cfRule>
    <cfRule type="cellIs" dxfId="66" priority="33" operator="equal">
      <formula>12</formula>
    </cfRule>
    <cfRule type="cellIs" dxfId="65" priority="30" operator="equal">
      <formula>24</formula>
    </cfRule>
  </conditionalFormatting>
  <conditionalFormatting sqref="M5:BN35 CE5:CT369 M36:AP36 AR36 AT36:BN37 M37:AR37 M38:BN319 U320:X320 Y320:BN343 M320:T369 U321:V337 W322:X337 U338:X343 U344:BN369 S363:X363">
    <cfRule type="cellIs" dxfId="64" priority="99" operator="equal">
      <formula>8.5</formula>
    </cfRule>
    <cfRule type="cellIs" dxfId="63" priority="98" operator="equal">
      <formula>16</formula>
    </cfRule>
    <cfRule type="cellIs" dxfId="62" priority="96" operator="equal">
      <formula>12</formula>
    </cfRule>
    <cfRule type="cellIs" dxfId="61" priority="95" operator="equal">
      <formula>20</formula>
    </cfRule>
    <cfRule type="cellIs" dxfId="60" priority="97" operator="equal">
      <formula>12</formula>
    </cfRule>
    <cfRule type="cellIs" dxfId="59" priority="86" operator="equal">
      <formula>24</formula>
    </cfRule>
  </conditionalFormatting>
  <conditionalFormatting sqref="M38:BN319 M344:BN369 M5:BN35 CE5:CT369 M36:AP36 AR36 AT36:BN37 M37:AR37 U320:X320 M320:T343 Y320:BN343 U321:V337 W322:X337 U338:X343">
    <cfRule type="cellIs" dxfId="58" priority="100" operator="equal">
      <formula>10</formula>
    </cfRule>
  </conditionalFormatting>
  <conditionalFormatting sqref="O178">
    <cfRule type="cellIs" dxfId="57" priority="94" operator="equal">
      <formula>10</formula>
    </cfRule>
  </conditionalFormatting>
  <conditionalFormatting sqref="O220">
    <cfRule type="cellIs" dxfId="56" priority="93" operator="equal">
      <formula>10</formula>
    </cfRule>
  </conditionalFormatting>
  <conditionalFormatting sqref="O262">
    <cfRule type="cellIs" dxfId="55" priority="92" operator="equal">
      <formula>10</formula>
    </cfRule>
  </conditionalFormatting>
  <conditionalFormatting sqref="O303">
    <cfRule type="cellIs" dxfId="54" priority="91" operator="equal">
      <formula>10</formula>
    </cfRule>
  </conditionalFormatting>
  <conditionalFormatting sqref="O345:P345">
    <cfRule type="cellIs" dxfId="53" priority="90" operator="equal">
      <formula>10</formula>
    </cfRule>
  </conditionalFormatting>
  <conditionalFormatting sqref="Q178:Q179">
    <cfRule type="cellIs" dxfId="52" priority="89" operator="equal">
      <formula>10</formula>
    </cfRule>
  </conditionalFormatting>
  <conditionalFormatting sqref="Q190">
    <cfRule type="cellIs" dxfId="51" priority="88" operator="equal">
      <formula>10</formula>
    </cfRule>
  </conditionalFormatting>
  <conditionalFormatting sqref="R274">
    <cfRule type="cellIs" dxfId="50" priority="87" operator="equal">
      <formula>24</formula>
    </cfRule>
  </conditionalFormatting>
  <conditionalFormatting sqref="U188">
    <cfRule type="cellIs" dxfId="49" priority="85" operator="equal">
      <formula>10</formula>
    </cfRule>
  </conditionalFormatting>
  <conditionalFormatting sqref="W186">
    <cfRule type="cellIs" dxfId="48" priority="84" operator="equal">
      <formula>10</formula>
    </cfRule>
  </conditionalFormatting>
  <conditionalFormatting sqref="BG2">
    <cfRule type="cellIs" dxfId="47" priority="27" operator="equal">
      <formula>48</formula>
    </cfRule>
  </conditionalFormatting>
  <conditionalFormatting sqref="BO2">
    <cfRule type="cellIs" dxfId="46" priority="26" operator="equal">
      <formula>48</formula>
    </cfRule>
  </conditionalFormatting>
  <conditionalFormatting sqref="BO188 BQ188 BS188 BU188">
    <cfRule type="cellIs" dxfId="45" priority="13" operator="equal">
      <formula>10</formula>
    </cfRule>
  </conditionalFormatting>
  <conditionalFormatting sqref="BO5:BV369">
    <cfRule type="cellIs" dxfId="44" priority="20" operator="equal">
      <formula>10</formula>
    </cfRule>
    <cfRule type="cellIs" dxfId="43" priority="19" operator="equal">
      <formula>8.5</formula>
    </cfRule>
    <cfRule type="cellIs" dxfId="42" priority="18" operator="equal">
      <formula>16</formula>
    </cfRule>
    <cfRule type="cellIs" dxfId="41" priority="17" operator="equal">
      <formula>12</formula>
    </cfRule>
    <cfRule type="cellIs" dxfId="40" priority="15" operator="equal">
      <formula>20</formula>
    </cfRule>
    <cfRule type="cellIs" dxfId="39" priority="14" operator="equal">
      <formula>24</formula>
    </cfRule>
    <cfRule type="cellIs" dxfId="38" priority="16" operator="equal">
      <formula>12</formula>
    </cfRule>
  </conditionalFormatting>
  <conditionalFormatting sqref="BW2">
    <cfRule type="cellIs" dxfId="37" priority="25" operator="equal">
      <formula>48</formula>
    </cfRule>
  </conditionalFormatting>
  <conditionalFormatting sqref="BW186 BY186 CA186 CC186">
    <cfRule type="cellIs" dxfId="36" priority="3" operator="equal">
      <formula>10</formula>
    </cfRule>
  </conditionalFormatting>
  <conditionalFormatting sqref="BW5:CD320 BW322:CD369">
    <cfRule type="cellIs" dxfId="35" priority="8" operator="equal">
      <formula>16</formula>
    </cfRule>
    <cfRule type="cellIs" dxfId="34" priority="10" operator="equal">
      <formula>10</formula>
    </cfRule>
    <cfRule type="cellIs" dxfId="33" priority="9" operator="equal">
      <formula>8.5</formula>
    </cfRule>
    <cfRule type="cellIs" dxfId="32" priority="7" operator="equal">
      <formula>12</formula>
    </cfRule>
    <cfRule type="cellIs" dxfId="31" priority="6" operator="equal">
      <formula>12</formula>
    </cfRule>
    <cfRule type="cellIs" dxfId="30" priority="5" operator="equal">
      <formula>20</formula>
    </cfRule>
    <cfRule type="cellIs" dxfId="29" priority="4" operator="equal">
      <formula>24</formula>
    </cfRule>
  </conditionalFormatting>
  <conditionalFormatting sqref="CC3">
    <cfRule type="cellIs" dxfId="28" priority="24" operator="equal">
      <formula>48</formula>
    </cfRule>
  </conditionalFormatting>
  <conditionalFormatting sqref="CE2">
    <cfRule type="cellIs" dxfId="27" priority="22" operator="equal">
      <formula>48</formula>
    </cfRule>
  </conditionalFormatting>
  <conditionalFormatting sqref="CE3:CT3">
    <cfRule type="cellIs" dxfId="26" priority="23" operator="equal">
      <formula>48</formula>
    </cfRule>
  </conditionalFormatting>
  <conditionalFormatting sqref="CM2">
    <cfRule type="cellIs" dxfId="25" priority="21" operator="equal">
      <formula>48</formula>
    </cfRule>
  </conditionalFormatting>
  <conditionalFormatting sqref="CX5:CX369">
    <cfRule type="containsText" dxfId="24" priority="101" operator="containsText" text="Ejecutado">
      <formula>NOT(ISERROR(SEARCH("Ejecutado",CX5)))</formula>
    </cfRule>
    <cfRule type="containsText" dxfId="23" priority="102" operator="containsText" text="Programado pendiente">
      <formula>NOT(ISERROR(SEARCH("Programado pendiente",CX5)))</formula>
    </cfRule>
    <cfRule type="containsText" dxfId="22" priority="103" operator="containsText" text="No aplica">
      <formula>NOT(ISERROR(SEARCH("No aplica",CX5)))</formula>
    </cfRule>
  </conditionalFormatting>
  <dataValidations count="1">
    <dataValidation type="list" allowBlank="1" showInputMessage="1" showErrorMessage="1" promptTitle="MTO ejecutado" prompt="Seleccione Sí cuando el mantenimiento haya sido ejecutado." sqref="CW5:CW369" xr:uid="{0AAD2C58-8D2A-4D2C-8FF5-13BCA447C053}">
      <formula1>"Sí,No"</formula1>
    </dataValidation>
  </dataValidations>
  <pageMargins left="0.7" right="0.7" top="0.75" bottom="0.75" header="0.3" footer="0.3"/>
  <pageSetup scale="10" orientation="portrait" horizontalDpi="360" verticalDpi="360" r:id="rId1"/>
  <rowBreaks count="2" manualBreakCount="2">
    <brk id="216" max="103" man="1"/>
    <brk id="338" max="16383" man="1"/>
  </rowBreaks>
  <colBreaks count="5" manualBreakCount="5">
    <brk id="24" max="368" man="1"/>
    <brk id="48" max="368" man="1"/>
    <brk id="66" max="368" man="1"/>
    <brk id="90" max="368" man="1"/>
    <brk id="98" max="36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FF1F-7597-4EF2-B96E-884C291B0F70}">
  <dimension ref="A1:BH7032"/>
  <sheetViews>
    <sheetView tabSelected="1" zoomScale="40" zoomScaleNormal="40" zoomScaleSheetLayoutView="40" workbookViewId="0">
      <pane xSplit="4" ySplit="3" topLeftCell="P216" activePane="bottomRight" state="frozen"/>
      <selection pane="topRight" activeCell="E1" sqref="E1"/>
      <selection pane="bottomLeft" activeCell="A4" sqref="A4"/>
      <selection pane="bottomRight" activeCell="BG235" sqref="BG235"/>
    </sheetView>
  </sheetViews>
  <sheetFormatPr baseColWidth="10" defaultColWidth="11.44140625" defaultRowHeight="14.4" x14ac:dyDescent="0.3"/>
  <cols>
    <col min="1" max="1" width="9.33203125" style="2" customWidth="1"/>
    <col min="2" max="2" width="17.44140625" style="2" customWidth="1"/>
    <col min="3" max="3" width="20.5546875" style="2" customWidth="1"/>
    <col min="4" max="4" width="13" style="2" customWidth="1"/>
    <col min="5" max="16" width="17.33203125" style="2" customWidth="1"/>
    <col min="17" max="24" width="17.33203125" style="3" customWidth="1"/>
    <col min="25" max="25" width="17" style="2" customWidth="1"/>
    <col min="26" max="28" width="12.6640625" style="2" customWidth="1"/>
    <col min="29" max="29" width="16.6640625" style="2" hidden="1" customWidth="1"/>
    <col min="30" max="48" width="12.6640625" style="2" hidden="1" customWidth="1"/>
    <col min="49" max="54" width="13.33203125" style="2" customWidth="1"/>
    <col min="55" max="55" width="21" style="2" customWidth="1"/>
    <col min="56" max="56" width="33.33203125" style="2" customWidth="1"/>
    <col min="57" max="57" width="16.6640625" style="2" customWidth="1"/>
    <col min="58" max="58" width="24.109375" style="2" customWidth="1"/>
    <col min="59" max="59" width="17.5546875" style="2" customWidth="1"/>
    <col min="60" max="60" width="60.5546875" style="2" customWidth="1"/>
    <col min="61" max="16384" width="11.44140625" style="2"/>
  </cols>
  <sheetData>
    <row r="1" spans="1:60" ht="30" customHeight="1" thickBot="1" x14ac:dyDescent="0.35">
      <c r="A1" s="152" t="s">
        <v>36</v>
      </c>
      <c r="B1" s="41"/>
      <c r="C1" s="145" t="s">
        <v>0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7"/>
      <c r="AW1" s="130" t="s">
        <v>1</v>
      </c>
      <c r="AX1" s="131"/>
      <c r="AY1" s="131"/>
      <c r="AZ1" s="131"/>
      <c r="BA1" s="131"/>
      <c r="BB1" s="132"/>
    </row>
    <row r="2" spans="1:60" ht="60" customHeight="1" thickBot="1" x14ac:dyDescent="0.35">
      <c r="A2" s="152"/>
      <c r="B2" s="41"/>
      <c r="C2" s="153" t="s">
        <v>150</v>
      </c>
      <c r="D2" s="155" t="s">
        <v>2</v>
      </c>
      <c r="E2" s="143" t="s">
        <v>127</v>
      </c>
      <c r="F2" s="144"/>
      <c r="G2" s="143" t="s">
        <v>128</v>
      </c>
      <c r="H2" s="144"/>
      <c r="I2" s="143" t="s">
        <v>129</v>
      </c>
      <c r="J2" s="144"/>
      <c r="K2" s="143" t="s">
        <v>130</v>
      </c>
      <c r="L2" s="144"/>
      <c r="M2" s="143" t="s">
        <v>131</v>
      </c>
      <c r="N2" s="144"/>
      <c r="O2" s="143" t="s">
        <v>132</v>
      </c>
      <c r="P2" s="144"/>
      <c r="Q2" s="143" t="s">
        <v>133</v>
      </c>
      <c r="R2" s="144"/>
      <c r="S2" s="143" t="s">
        <v>134</v>
      </c>
      <c r="T2" s="144"/>
      <c r="U2" s="143" t="s">
        <v>135</v>
      </c>
      <c r="V2" s="144"/>
      <c r="W2" s="143" t="s">
        <v>136</v>
      </c>
      <c r="X2" s="144"/>
      <c r="Y2" s="143" t="s">
        <v>137</v>
      </c>
      <c r="Z2" s="144"/>
      <c r="AA2" s="143" t="s">
        <v>138</v>
      </c>
      <c r="AB2" s="144"/>
      <c r="AC2" s="143"/>
      <c r="AD2" s="144"/>
      <c r="AE2" s="143"/>
      <c r="AF2" s="144"/>
      <c r="AG2" s="143"/>
      <c r="AH2" s="144"/>
      <c r="AI2" s="143"/>
      <c r="AJ2" s="144"/>
      <c r="AK2" s="143"/>
      <c r="AL2" s="144"/>
      <c r="AM2" s="143"/>
      <c r="AN2" s="144"/>
      <c r="AO2" s="143"/>
      <c r="AP2" s="144"/>
      <c r="AQ2" s="143"/>
      <c r="AR2" s="144"/>
      <c r="AS2" s="143"/>
      <c r="AT2" s="144"/>
      <c r="AU2" s="143"/>
      <c r="AV2" s="144"/>
      <c r="AW2" s="133"/>
      <c r="AX2" s="134"/>
      <c r="AY2" s="134"/>
      <c r="AZ2" s="134"/>
      <c r="BA2" s="134"/>
      <c r="BB2" s="135"/>
      <c r="BC2" s="113" t="s">
        <v>11</v>
      </c>
      <c r="BD2" s="114"/>
      <c r="BE2" s="114"/>
      <c r="BF2" s="114"/>
      <c r="BG2" s="114"/>
      <c r="BH2" s="114"/>
    </row>
    <row r="3" spans="1:60" s="1" customFormat="1" ht="36" customHeight="1" thickBot="1" x14ac:dyDescent="0.35">
      <c r="A3" s="152"/>
      <c r="B3" s="41" t="s">
        <v>12</v>
      </c>
      <c r="C3" s="154"/>
      <c r="D3" s="156"/>
      <c r="E3" s="5" t="s">
        <v>126</v>
      </c>
      <c r="F3" s="7" t="s">
        <v>13</v>
      </c>
      <c r="G3" s="5" t="s">
        <v>14</v>
      </c>
      <c r="H3" s="7" t="s">
        <v>13</v>
      </c>
      <c r="I3" s="5" t="s">
        <v>15</v>
      </c>
      <c r="J3" s="7" t="s">
        <v>13</v>
      </c>
      <c r="K3" s="5" t="s">
        <v>16</v>
      </c>
      <c r="L3" s="7" t="s">
        <v>13</v>
      </c>
      <c r="M3" s="5" t="s">
        <v>17</v>
      </c>
      <c r="N3" s="7" t="s">
        <v>13</v>
      </c>
      <c r="O3" s="5" t="s">
        <v>18</v>
      </c>
      <c r="P3" s="7" t="s">
        <v>13</v>
      </c>
      <c r="Q3" s="5" t="s">
        <v>19</v>
      </c>
      <c r="R3" s="7" t="s">
        <v>13</v>
      </c>
      <c r="S3" s="5" t="s">
        <v>20</v>
      </c>
      <c r="T3" s="7" t="s">
        <v>13</v>
      </c>
      <c r="U3" s="5" t="s">
        <v>21</v>
      </c>
      <c r="V3" s="7" t="s">
        <v>13</v>
      </c>
      <c r="W3" s="5" t="s">
        <v>22</v>
      </c>
      <c r="X3" s="7" t="s">
        <v>13</v>
      </c>
      <c r="Y3" s="5" t="s">
        <v>23</v>
      </c>
      <c r="Z3" s="7" t="s">
        <v>13</v>
      </c>
      <c r="AA3" s="5" t="s">
        <v>24</v>
      </c>
      <c r="AB3" s="7" t="s">
        <v>13</v>
      </c>
      <c r="AC3" s="5"/>
      <c r="AD3" s="7"/>
      <c r="AE3" s="5" t="s">
        <v>26</v>
      </c>
      <c r="AF3" s="7" t="s">
        <v>13</v>
      </c>
      <c r="AG3" s="5" t="s">
        <v>27</v>
      </c>
      <c r="AH3" s="7" t="s">
        <v>13</v>
      </c>
      <c r="AI3" s="5" t="s">
        <v>28</v>
      </c>
      <c r="AJ3" s="7" t="s">
        <v>13</v>
      </c>
      <c r="AK3" s="5" t="s">
        <v>29</v>
      </c>
      <c r="AL3" s="7" t="s">
        <v>13</v>
      </c>
      <c r="AM3" s="5" t="s">
        <v>30</v>
      </c>
      <c r="AN3" s="7" t="s">
        <v>13</v>
      </c>
      <c r="AO3" s="5" t="s">
        <v>31</v>
      </c>
      <c r="AP3" s="6" t="s">
        <v>13</v>
      </c>
      <c r="AQ3" s="8" t="s">
        <v>7</v>
      </c>
      <c r="AR3" s="9" t="s">
        <v>32</v>
      </c>
      <c r="AS3" s="74" t="s">
        <v>33</v>
      </c>
      <c r="AT3" s="77"/>
      <c r="AU3" s="5" t="s">
        <v>35</v>
      </c>
      <c r="AV3" s="7" t="s">
        <v>32</v>
      </c>
      <c r="AW3" s="141" t="s">
        <v>36</v>
      </c>
      <c r="AX3" s="142"/>
      <c r="AY3" s="139" t="s">
        <v>37</v>
      </c>
      <c r="AZ3" s="139"/>
      <c r="BA3" s="139" t="s">
        <v>38</v>
      </c>
      <c r="BB3" s="140"/>
      <c r="BC3" s="10" t="s">
        <v>39</v>
      </c>
      <c r="BD3" s="10" t="s">
        <v>40</v>
      </c>
      <c r="BE3" s="10" t="s">
        <v>41</v>
      </c>
      <c r="BF3" s="10" t="s">
        <v>42</v>
      </c>
      <c r="BG3" s="10" t="s">
        <v>43</v>
      </c>
      <c r="BH3" s="10" t="s">
        <v>44</v>
      </c>
    </row>
    <row r="4" spans="1:60" ht="36" hidden="1" customHeight="1" x14ac:dyDescent="0.3">
      <c r="A4" s="148" t="s">
        <v>45</v>
      </c>
      <c r="B4" s="48" t="s">
        <v>46</v>
      </c>
      <c r="C4" s="16">
        <v>46023</v>
      </c>
      <c r="D4" s="18">
        <f t="shared" ref="D4:D67" si="0">+F4+H4+J4+L4+N4+P4+R4+Z4+AB4+AD4+AF4+AH4+AJ4+AL4+AN4+AP4</f>
        <v>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34"/>
      <c r="AW4" s="138" t="s">
        <v>45</v>
      </c>
      <c r="AX4" s="138"/>
      <c r="AY4" s="136">
        <f>SUMIF(E4:AV34,8)</f>
        <v>0</v>
      </c>
      <c r="AZ4" s="136"/>
      <c r="BA4" s="136">
        <f>SUMIF(E4:AV34,16)</f>
        <v>0</v>
      </c>
      <c r="BB4" s="137"/>
      <c r="BC4" s="14" t="str">
        <f t="shared" ref="BC4:BC33" si="1">IF(SUM(E4,G4,I4,K4,M4,O4,Q4,S4,U4,W4,Y4,AA4,AC4,AE4,AG4,AI4,AK4,AM4,AO4,AQ4,AU4)&gt;0,"Sí","No")</f>
        <v>No</v>
      </c>
      <c r="BD4" s="21" t="str">
        <f t="shared" ref="BD4:BD33" si="2">IF($BC4="Sí",_xlfn.TEXTJOIN(", ",TRUE,IF(N(E4)&gt;0,E$3,""),IF(N(G4)&gt;0,G$3,""),IF(N(I4)&gt;0,I$3,""),IF(N(K4)&gt;0,K$3,""),IF(N(M4)&gt;0,M$3,""),IF(N(O4)&gt;0,O$3,""),IF(N(Q4)&gt;0,Q$3,""),IF(N(S4)&gt;0,S$3,""),IF(N(U4)&gt;0,U$3,""),IF(N(W4)&gt;0,W$3,""),IF(N(Y4)&gt;0,Y$3,""),IF(N(AA4)&gt;0,AA$3,""),IF(N(AC4)&gt;0,AC$3,""),IF(N(AE4)&gt;0,AE$3,""),IF(N(AG4)&gt;0,AG$3,""),IF(N(AI4)&gt;0,AI$3,""),IF(N(AK4)&gt;0,AK$3,""),IF(N(AM4)&gt;0,AM$3,""),IF(N(AO4)&gt;0,AO$3,""),IF(N(AQ4)&gt;0,AQ$3,""),IF(N(AU4)&gt;0,AU$3,"")),"")</f>
        <v/>
      </c>
      <c r="BE4" s="14" t="s">
        <v>47</v>
      </c>
      <c r="BF4" s="14" t="str">
        <f>IF($BC4="No","No aplica",IF($BE4="Sí","Ejecutado","Programado pendiente"))</f>
        <v>No aplica</v>
      </c>
      <c r="BG4" s="15">
        <v>46033</v>
      </c>
      <c r="BH4" s="66" t="s">
        <v>96</v>
      </c>
    </row>
    <row r="5" spans="1:60" ht="18" hidden="1" customHeight="1" x14ac:dyDescent="0.3">
      <c r="A5" s="149"/>
      <c r="B5" s="78" t="s">
        <v>49</v>
      </c>
      <c r="C5" s="45">
        <v>46024</v>
      </c>
      <c r="D5" s="19">
        <f t="shared" si="0"/>
        <v>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35"/>
      <c r="AW5" s="115"/>
      <c r="AX5" s="115"/>
      <c r="AY5" s="116"/>
      <c r="AZ5" s="116"/>
      <c r="BA5" s="116"/>
      <c r="BB5" s="117"/>
      <c r="BC5" s="11" t="str">
        <f t="shared" si="1"/>
        <v>No</v>
      </c>
      <c r="BD5" s="22" t="str">
        <f t="shared" si="2"/>
        <v/>
      </c>
      <c r="BE5" s="11" t="s">
        <v>47</v>
      </c>
      <c r="BF5" s="11" t="str">
        <f t="shared" ref="BF5:BF68" si="3">IF($BC5="No","No aplica",IF($BE5="Sí","Ejecutado","Programado pendiente"))</f>
        <v>No aplica</v>
      </c>
      <c r="BG5" s="12">
        <v>46024</v>
      </c>
      <c r="BH5" s="68" t="s">
        <v>48</v>
      </c>
    </row>
    <row r="6" spans="1:60" ht="18" hidden="1" customHeight="1" x14ac:dyDescent="0.3">
      <c r="A6" s="150"/>
      <c r="B6" s="78" t="s">
        <v>50</v>
      </c>
      <c r="C6" s="17">
        <v>46025</v>
      </c>
      <c r="D6" s="19">
        <f t="shared" si="0"/>
        <v>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20"/>
      <c r="AD6" s="20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35"/>
      <c r="AW6" s="115" t="s">
        <v>51</v>
      </c>
      <c r="AX6" s="115"/>
      <c r="AY6" s="116">
        <f>SUMIF(D35:AV62,8)</f>
        <v>16</v>
      </c>
      <c r="AZ6" s="116"/>
      <c r="BA6" s="116">
        <f>SUMIF(E35:AV62,16)</f>
        <v>0</v>
      </c>
      <c r="BB6" s="117"/>
      <c r="BC6" s="11" t="str">
        <f t="shared" si="1"/>
        <v>No</v>
      </c>
      <c r="BD6" s="22" t="str">
        <f t="shared" si="2"/>
        <v/>
      </c>
      <c r="BE6" s="11" t="s">
        <v>47</v>
      </c>
      <c r="BF6" s="11" t="str">
        <f t="shared" si="3"/>
        <v>No aplica</v>
      </c>
      <c r="BG6" s="12">
        <v>46025</v>
      </c>
      <c r="BH6" s="68" t="s">
        <v>48</v>
      </c>
    </row>
    <row r="7" spans="1:60" ht="18" hidden="1" customHeight="1" x14ac:dyDescent="0.3">
      <c r="A7" s="150"/>
      <c r="B7" s="78" t="s">
        <v>52</v>
      </c>
      <c r="C7" s="17">
        <v>46026</v>
      </c>
      <c r="D7" s="19">
        <f t="shared" si="0"/>
        <v>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/>
      <c r="AF7" s="20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35"/>
      <c r="AW7" s="115"/>
      <c r="AX7" s="115"/>
      <c r="AY7" s="116"/>
      <c r="AZ7" s="116"/>
      <c r="BA7" s="116"/>
      <c r="BB7" s="117"/>
      <c r="BC7" s="11" t="str">
        <f t="shared" si="1"/>
        <v>No</v>
      </c>
      <c r="BD7" s="22" t="str">
        <f t="shared" si="2"/>
        <v/>
      </c>
      <c r="BE7" s="11" t="s">
        <v>47</v>
      </c>
      <c r="BF7" s="11" t="str">
        <f t="shared" si="3"/>
        <v>No aplica</v>
      </c>
      <c r="BG7" s="12">
        <v>46026</v>
      </c>
      <c r="BH7" s="68" t="s">
        <v>53</v>
      </c>
    </row>
    <row r="8" spans="1:60" ht="18" hidden="1" customHeight="1" x14ac:dyDescent="0.3">
      <c r="A8" s="150"/>
      <c r="B8" s="78" t="s">
        <v>54</v>
      </c>
      <c r="C8" s="17">
        <v>46027</v>
      </c>
      <c r="D8" s="19">
        <f t="shared" si="0"/>
        <v>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20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35"/>
      <c r="AW8" s="115" t="s">
        <v>55</v>
      </c>
      <c r="AX8" s="115"/>
      <c r="AY8" s="116">
        <f>SUMIF(E63:AV93,8)</f>
        <v>0</v>
      </c>
      <c r="AZ8" s="116"/>
      <c r="BA8" s="116">
        <f>SUMIF(E63:AV93,16)</f>
        <v>0</v>
      </c>
      <c r="BB8" s="117"/>
      <c r="BC8" s="11" t="str">
        <f t="shared" si="1"/>
        <v>No</v>
      </c>
      <c r="BD8" s="22" t="str">
        <f t="shared" si="2"/>
        <v/>
      </c>
      <c r="BE8" s="11" t="s">
        <v>47</v>
      </c>
      <c r="BF8" s="11" t="str">
        <f t="shared" si="3"/>
        <v>No aplica</v>
      </c>
      <c r="BG8" s="12">
        <v>46027</v>
      </c>
      <c r="BH8" s="68" t="s">
        <v>53</v>
      </c>
    </row>
    <row r="9" spans="1:60" ht="18" hidden="1" customHeight="1" x14ac:dyDescent="0.3">
      <c r="A9" s="150"/>
      <c r="B9" s="78" t="s">
        <v>56</v>
      </c>
      <c r="C9" s="17">
        <v>46028</v>
      </c>
      <c r="D9" s="19">
        <f t="shared" si="0"/>
        <v>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0"/>
      <c r="AJ9" s="20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35"/>
      <c r="AW9" s="115"/>
      <c r="AX9" s="115"/>
      <c r="AY9" s="116"/>
      <c r="AZ9" s="116"/>
      <c r="BA9" s="116"/>
      <c r="BB9" s="117"/>
      <c r="BC9" s="11" t="str">
        <f t="shared" si="1"/>
        <v>No</v>
      </c>
      <c r="BD9" s="22" t="str">
        <f t="shared" si="2"/>
        <v/>
      </c>
      <c r="BE9" s="11" t="s">
        <v>47</v>
      </c>
      <c r="BF9" s="11" t="str">
        <f t="shared" si="3"/>
        <v>No aplica</v>
      </c>
      <c r="BG9" s="12">
        <f>+C9</f>
        <v>46028</v>
      </c>
      <c r="BH9" s="68" t="s">
        <v>53</v>
      </c>
    </row>
    <row r="10" spans="1:60" ht="18" hidden="1" customHeight="1" x14ac:dyDescent="0.3">
      <c r="A10" s="150"/>
      <c r="B10" s="78" t="s">
        <v>57</v>
      </c>
      <c r="C10" s="17">
        <v>46029</v>
      </c>
      <c r="D10" s="19">
        <f t="shared" si="0"/>
        <v>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0"/>
      <c r="AL10" s="20"/>
      <c r="AM10" s="19"/>
      <c r="AN10" s="19"/>
      <c r="AO10" s="19"/>
      <c r="AP10" s="19"/>
      <c r="AQ10" s="19"/>
      <c r="AR10" s="19"/>
      <c r="AS10" s="19"/>
      <c r="AT10" s="19"/>
      <c r="AU10" s="19"/>
      <c r="AV10" s="35"/>
      <c r="AW10" s="115" t="s">
        <v>58</v>
      </c>
      <c r="AX10" s="115"/>
      <c r="AY10" s="116">
        <f>SUMIF(E94:AV123,8)</f>
        <v>16</v>
      </c>
      <c r="AZ10" s="116"/>
      <c r="BA10" s="116">
        <f>SUMIF(E94:AV123,16)</f>
        <v>0</v>
      </c>
      <c r="BB10" s="117"/>
      <c r="BC10" s="11" t="str">
        <f t="shared" si="1"/>
        <v>No</v>
      </c>
      <c r="BD10" s="22" t="str">
        <f t="shared" si="2"/>
        <v/>
      </c>
      <c r="BE10" s="11" t="s">
        <v>47</v>
      </c>
      <c r="BF10" s="11" t="str">
        <f t="shared" si="3"/>
        <v>No aplica</v>
      </c>
      <c r="BG10" s="12"/>
      <c r="BH10" s="68" t="s">
        <v>53</v>
      </c>
    </row>
    <row r="11" spans="1:60" ht="27.6" hidden="1" customHeight="1" x14ac:dyDescent="0.3">
      <c r="A11" s="150"/>
      <c r="B11" s="78" t="s">
        <v>46</v>
      </c>
      <c r="C11" s="17">
        <v>46030</v>
      </c>
      <c r="D11" s="19">
        <f t="shared" si="0"/>
        <v>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  <c r="AN11" s="20"/>
      <c r="AO11" s="19"/>
      <c r="AP11" s="19"/>
      <c r="AQ11" s="19"/>
      <c r="AR11" s="19"/>
      <c r="AS11" s="19"/>
      <c r="AT11" s="19"/>
      <c r="AU11" s="19"/>
      <c r="AV11" s="35"/>
      <c r="AW11" s="115"/>
      <c r="AX11" s="115"/>
      <c r="AY11" s="116"/>
      <c r="AZ11" s="116"/>
      <c r="BA11" s="116"/>
      <c r="BB11" s="117"/>
      <c r="BC11" s="11" t="str">
        <f t="shared" si="1"/>
        <v>No</v>
      </c>
      <c r="BD11" s="22" t="str">
        <f t="shared" si="2"/>
        <v/>
      </c>
      <c r="BE11" s="11" t="s">
        <v>47</v>
      </c>
      <c r="BF11" s="11" t="str">
        <f t="shared" si="3"/>
        <v>No aplica</v>
      </c>
      <c r="BG11" s="12">
        <v>46037</v>
      </c>
      <c r="BH11" s="68" t="s">
        <v>59</v>
      </c>
    </row>
    <row r="12" spans="1:60" ht="18" hidden="1" customHeight="1" x14ac:dyDescent="0.3">
      <c r="A12" s="150"/>
      <c r="B12" s="78" t="s">
        <v>49</v>
      </c>
      <c r="C12" s="17">
        <v>46031</v>
      </c>
      <c r="D12" s="19">
        <f t="shared" si="0"/>
        <v>0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20"/>
      <c r="AP12" s="20"/>
      <c r="AQ12" s="19"/>
      <c r="AR12" s="19"/>
      <c r="AS12" s="19"/>
      <c r="AT12" s="19"/>
      <c r="AU12" s="19"/>
      <c r="AV12" s="35"/>
      <c r="AW12" s="115" t="s">
        <v>60</v>
      </c>
      <c r="AX12" s="115"/>
      <c r="AY12" s="116">
        <f>SUMIF(E124:AV154,8)</f>
        <v>0</v>
      </c>
      <c r="AZ12" s="116"/>
      <c r="BA12" s="116">
        <f>SUMIF(E124:AV154,16)</f>
        <v>0</v>
      </c>
      <c r="BB12" s="117"/>
      <c r="BC12" s="11" t="str">
        <f t="shared" si="1"/>
        <v>No</v>
      </c>
      <c r="BD12" s="22" t="str">
        <f t="shared" si="2"/>
        <v/>
      </c>
      <c r="BE12" s="11" t="s">
        <v>47</v>
      </c>
      <c r="BF12" s="11" t="str">
        <f t="shared" si="3"/>
        <v>No aplica</v>
      </c>
      <c r="BG12" s="12"/>
      <c r="BH12" s="68"/>
    </row>
    <row r="13" spans="1:60" ht="18" hidden="1" customHeight="1" x14ac:dyDescent="0.3">
      <c r="A13" s="150"/>
      <c r="B13" s="78" t="s">
        <v>50</v>
      </c>
      <c r="C13" s="17">
        <v>46032</v>
      </c>
      <c r="D13" s="19">
        <f t="shared" si="0"/>
        <v>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35"/>
      <c r="AW13" s="115"/>
      <c r="AX13" s="115"/>
      <c r="AY13" s="116"/>
      <c r="AZ13" s="116"/>
      <c r="BA13" s="116"/>
      <c r="BB13" s="117"/>
      <c r="BC13" s="11" t="str">
        <f t="shared" si="1"/>
        <v>No</v>
      </c>
      <c r="BD13" s="22" t="str">
        <f t="shared" si="2"/>
        <v/>
      </c>
      <c r="BE13" s="11"/>
      <c r="BF13" s="11" t="str">
        <f t="shared" si="3"/>
        <v>No aplica</v>
      </c>
      <c r="BG13" s="12"/>
      <c r="BH13" s="68"/>
    </row>
    <row r="14" spans="1:60" ht="18" hidden="1" customHeight="1" x14ac:dyDescent="0.3">
      <c r="A14" s="150"/>
      <c r="B14" s="78" t="s">
        <v>52</v>
      </c>
      <c r="C14" s="17">
        <v>46033</v>
      </c>
      <c r="D14" s="19">
        <f t="shared" si="0"/>
        <v>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35"/>
      <c r="AW14" s="115" t="s">
        <v>61</v>
      </c>
      <c r="AX14" s="115"/>
      <c r="AY14" s="116">
        <f>SUMIF(E155:AV184,8)</f>
        <v>16</v>
      </c>
      <c r="AZ14" s="116"/>
      <c r="BA14" s="116">
        <f>SUMIF(E155:AV185,16)</f>
        <v>0</v>
      </c>
      <c r="BB14" s="117"/>
      <c r="BC14" s="11" t="str">
        <f t="shared" si="1"/>
        <v>No</v>
      </c>
      <c r="BD14" s="22" t="str">
        <f t="shared" si="2"/>
        <v/>
      </c>
      <c r="BE14" s="11"/>
      <c r="BF14" s="11" t="str">
        <f t="shared" si="3"/>
        <v>No aplica</v>
      </c>
      <c r="BG14" s="12"/>
      <c r="BH14" s="68"/>
    </row>
    <row r="15" spans="1:60" ht="18" hidden="1" customHeight="1" x14ac:dyDescent="0.3">
      <c r="A15" s="150"/>
      <c r="B15" s="78" t="s">
        <v>54</v>
      </c>
      <c r="C15" s="17">
        <v>46034</v>
      </c>
      <c r="D15" s="19">
        <f t="shared" si="0"/>
        <v>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35"/>
      <c r="AW15" s="115"/>
      <c r="AX15" s="115"/>
      <c r="AY15" s="116"/>
      <c r="AZ15" s="116"/>
      <c r="BA15" s="116"/>
      <c r="BB15" s="117"/>
      <c r="BC15" s="11" t="str">
        <f t="shared" si="1"/>
        <v>No</v>
      </c>
      <c r="BD15" s="22" t="str">
        <f t="shared" si="2"/>
        <v/>
      </c>
      <c r="BE15" s="11"/>
      <c r="BF15" s="11" t="str">
        <f t="shared" si="3"/>
        <v>No aplica</v>
      </c>
      <c r="BG15" s="12"/>
      <c r="BH15" s="68"/>
    </row>
    <row r="16" spans="1:60" ht="18" hidden="1" customHeight="1" x14ac:dyDescent="0.3">
      <c r="A16" s="150"/>
      <c r="B16" s="78" t="s">
        <v>56</v>
      </c>
      <c r="C16" s="17">
        <v>46035</v>
      </c>
      <c r="D16" s="19">
        <f t="shared" si="0"/>
        <v>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35"/>
      <c r="AW16" s="115" t="s">
        <v>62</v>
      </c>
      <c r="AX16" s="115"/>
      <c r="AY16" s="116">
        <f>SUMIF(E185:AV215,8)</f>
        <v>0</v>
      </c>
      <c r="AZ16" s="116"/>
      <c r="BA16" s="116">
        <f>SUMIF(E185:AV215,16)</f>
        <v>0</v>
      </c>
      <c r="BB16" s="117"/>
      <c r="BC16" s="11" t="str">
        <f t="shared" si="1"/>
        <v>No</v>
      </c>
      <c r="BD16" s="22" t="str">
        <f t="shared" si="2"/>
        <v/>
      </c>
      <c r="BE16" s="11"/>
      <c r="BF16" s="11" t="str">
        <f t="shared" si="3"/>
        <v>No aplica</v>
      </c>
      <c r="BG16" s="12"/>
      <c r="BH16" s="68"/>
    </row>
    <row r="17" spans="1:60" ht="18" hidden="1" customHeight="1" x14ac:dyDescent="0.3">
      <c r="A17" s="150"/>
      <c r="B17" s="78" t="s">
        <v>57</v>
      </c>
      <c r="C17" s="17">
        <v>46036</v>
      </c>
      <c r="D17" s="19">
        <f t="shared" si="0"/>
        <v>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35"/>
      <c r="AW17" s="115"/>
      <c r="AX17" s="115"/>
      <c r="AY17" s="116"/>
      <c r="AZ17" s="116"/>
      <c r="BA17" s="116"/>
      <c r="BB17" s="117"/>
      <c r="BC17" s="11" t="str">
        <f t="shared" si="1"/>
        <v>No</v>
      </c>
      <c r="BD17" s="22" t="str">
        <f t="shared" si="2"/>
        <v/>
      </c>
      <c r="BE17" s="11"/>
      <c r="BF17" s="11" t="str">
        <f t="shared" si="3"/>
        <v>No aplica</v>
      </c>
      <c r="BG17" s="12"/>
      <c r="BH17" s="68"/>
    </row>
    <row r="18" spans="1:60" ht="18" hidden="1" customHeight="1" x14ac:dyDescent="0.3">
      <c r="A18" s="150"/>
      <c r="B18" s="78" t="s">
        <v>46</v>
      </c>
      <c r="C18" s="17">
        <v>46037</v>
      </c>
      <c r="D18" s="19">
        <f t="shared" si="0"/>
        <v>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4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50"/>
      <c r="AR18" s="19"/>
      <c r="AS18" s="19"/>
      <c r="AT18" s="19"/>
      <c r="AU18" s="19"/>
      <c r="AV18" s="35"/>
      <c r="AW18" s="115" t="s">
        <v>63</v>
      </c>
      <c r="AX18" s="115"/>
      <c r="AY18" s="116">
        <f>SUMIF(E216:AV246,8)</f>
        <v>16</v>
      </c>
      <c r="AZ18" s="116"/>
      <c r="BA18" s="116">
        <f>SUMIF(E216:AV246,16)</f>
        <v>0</v>
      </c>
      <c r="BB18" s="117"/>
      <c r="BC18" s="11" t="str">
        <f t="shared" si="1"/>
        <v>No</v>
      </c>
      <c r="BD18" s="22" t="str">
        <f t="shared" si="2"/>
        <v/>
      </c>
      <c r="BE18" s="11"/>
      <c r="BF18" s="11" t="str">
        <f t="shared" si="3"/>
        <v>No aplica</v>
      </c>
      <c r="BG18" s="12"/>
      <c r="BH18" s="68"/>
    </row>
    <row r="19" spans="1:60" ht="18" hidden="1" customHeight="1" x14ac:dyDescent="0.3">
      <c r="A19" s="150"/>
      <c r="B19" s="78" t="s">
        <v>49</v>
      </c>
      <c r="C19" s="17">
        <v>46038</v>
      </c>
      <c r="D19" s="19">
        <f t="shared" si="0"/>
        <v>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19"/>
      <c r="AR19" s="19"/>
      <c r="AS19" s="19"/>
      <c r="AT19" s="19"/>
      <c r="AU19" s="19"/>
      <c r="AV19" s="35"/>
      <c r="AW19" s="115"/>
      <c r="AX19" s="115"/>
      <c r="AY19" s="116"/>
      <c r="AZ19" s="116"/>
      <c r="BA19" s="116"/>
      <c r="BB19" s="117"/>
      <c r="BC19" s="11" t="str">
        <f t="shared" si="1"/>
        <v>No</v>
      </c>
      <c r="BD19" s="22" t="str">
        <f t="shared" si="2"/>
        <v/>
      </c>
      <c r="BE19" s="11" t="s">
        <v>47</v>
      </c>
      <c r="BF19" s="11" t="str">
        <f t="shared" si="3"/>
        <v>No aplica</v>
      </c>
      <c r="BG19" s="12" t="s">
        <v>64</v>
      </c>
      <c r="BH19" s="68" t="s">
        <v>48</v>
      </c>
    </row>
    <row r="20" spans="1:60" ht="18" hidden="1" customHeight="1" x14ac:dyDescent="0.3">
      <c r="A20" s="150"/>
      <c r="B20" s="78" t="s">
        <v>50</v>
      </c>
      <c r="C20" s="17">
        <v>46039</v>
      </c>
      <c r="D20" s="19">
        <f t="shared" si="0"/>
        <v>0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35"/>
      <c r="AW20" s="115" t="s">
        <v>65</v>
      </c>
      <c r="AX20" s="115"/>
      <c r="AY20" s="116">
        <f>SUMIF(E247:AV276,8)</f>
        <v>0</v>
      </c>
      <c r="AZ20" s="116"/>
      <c r="BA20" s="116">
        <f>SUMIF(E247:AV276,16)</f>
        <v>0</v>
      </c>
      <c r="BB20" s="117"/>
      <c r="BC20" s="11" t="str">
        <f t="shared" si="1"/>
        <v>No</v>
      </c>
      <c r="BD20" s="22" t="str">
        <f t="shared" si="2"/>
        <v/>
      </c>
      <c r="BE20" s="11" t="s">
        <v>47</v>
      </c>
      <c r="BF20" s="11" t="str">
        <f t="shared" si="3"/>
        <v>No aplica</v>
      </c>
      <c r="BG20" s="12">
        <v>46034</v>
      </c>
      <c r="BH20" s="68" t="s">
        <v>48</v>
      </c>
    </row>
    <row r="21" spans="1:60" ht="18" hidden="1" customHeight="1" x14ac:dyDescent="0.3">
      <c r="A21" s="150"/>
      <c r="B21" s="78" t="s">
        <v>52</v>
      </c>
      <c r="C21" s="17">
        <v>46040</v>
      </c>
      <c r="D21" s="19">
        <f t="shared" si="0"/>
        <v>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0"/>
      <c r="AD21" s="20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35"/>
      <c r="AW21" s="115"/>
      <c r="AX21" s="115"/>
      <c r="AY21" s="116"/>
      <c r="AZ21" s="116"/>
      <c r="BA21" s="116"/>
      <c r="BB21" s="117"/>
      <c r="BC21" s="11" t="str">
        <f t="shared" si="1"/>
        <v>No</v>
      </c>
      <c r="BD21" s="22" t="str">
        <f t="shared" si="2"/>
        <v/>
      </c>
      <c r="BE21" s="11" t="s">
        <v>47</v>
      </c>
      <c r="BF21" s="11" t="str">
        <f t="shared" si="3"/>
        <v>No aplica</v>
      </c>
      <c r="BG21" s="12">
        <v>46040</v>
      </c>
      <c r="BH21" s="68" t="s">
        <v>48</v>
      </c>
    </row>
    <row r="22" spans="1:60" ht="18" hidden="1" customHeight="1" x14ac:dyDescent="0.3">
      <c r="A22" s="150"/>
      <c r="B22" s="78" t="s">
        <v>54</v>
      </c>
      <c r="C22" s="17">
        <v>46041</v>
      </c>
      <c r="D22" s="19">
        <f t="shared" si="0"/>
        <v>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/>
      <c r="AF22" s="20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35"/>
      <c r="AW22" s="115" t="s">
        <v>66</v>
      </c>
      <c r="AX22" s="115"/>
      <c r="AY22" s="116">
        <f>SUMIF(E277:AV307,8)</f>
        <v>16</v>
      </c>
      <c r="AZ22" s="116"/>
      <c r="BA22" s="116">
        <f>SUMIF(D277:AV307,16)</f>
        <v>0</v>
      </c>
      <c r="BB22" s="117"/>
      <c r="BC22" s="11" t="str">
        <f t="shared" si="1"/>
        <v>No</v>
      </c>
      <c r="BD22" s="22" t="str">
        <f t="shared" si="2"/>
        <v/>
      </c>
      <c r="BE22" s="11" t="s">
        <v>47</v>
      </c>
      <c r="BF22" s="11" t="str">
        <f t="shared" si="3"/>
        <v>No aplica</v>
      </c>
      <c r="BG22" s="12">
        <v>46041</v>
      </c>
      <c r="BH22" s="68" t="s">
        <v>48</v>
      </c>
    </row>
    <row r="23" spans="1:60" ht="36" hidden="1" customHeight="1" x14ac:dyDescent="0.3">
      <c r="A23" s="150"/>
      <c r="B23" s="78" t="s">
        <v>56</v>
      </c>
      <c r="C23" s="17">
        <v>46042</v>
      </c>
      <c r="D23" s="19">
        <f t="shared" si="0"/>
        <v>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20"/>
      <c r="AH23" s="20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35"/>
      <c r="AW23" s="115"/>
      <c r="AX23" s="115"/>
      <c r="AY23" s="116"/>
      <c r="AZ23" s="116"/>
      <c r="BA23" s="116"/>
      <c r="BB23" s="117"/>
      <c r="BC23" s="11" t="str">
        <f t="shared" si="1"/>
        <v>No</v>
      </c>
      <c r="BD23" s="22" t="str">
        <f t="shared" si="2"/>
        <v/>
      </c>
      <c r="BE23" s="11" t="s">
        <v>47</v>
      </c>
      <c r="BF23" s="11" t="str">
        <f t="shared" si="3"/>
        <v>No aplica</v>
      </c>
      <c r="BG23" s="12">
        <v>46042</v>
      </c>
      <c r="BH23" s="68" t="s">
        <v>48</v>
      </c>
    </row>
    <row r="24" spans="1:60" ht="36" hidden="1" customHeight="1" x14ac:dyDescent="0.3">
      <c r="A24" s="150"/>
      <c r="B24" s="78" t="s">
        <v>57</v>
      </c>
      <c r="C24" s="17">
        <v>46043</v>
      </c>
      <c r="D24" s="19">
        <f t="shared" si="0"/>
        <v>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20"/>
      <c r="AJ24" s="20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35"/>
      <c r="AW24" s="115" t="s">
        <v>67</v>
      </c>
      <c r="AX24" s="115"/>
      <c r="AY24" s="116">
        <f>SUMIF(E308:AV337,8)</f>
        <v>0</v>
      </c>
      <c r="AZ24" s="116"/>
      <c r="BA24" s="116">
        <f>SUMIF(E308:AV337,16)</f>
        <v>0</v>
      </c>
      <c r="BB24" s="117"/>
      <c r="BC24" s="11" t="str">
        <f t="shared" si="1"/>
        <v>No</v>
      </c>
      <c r="BD24" s="22" t="str">
        <f t="shared" si="2"/>
        <v/>
      </c>
      <c r="BE24" s="11" t="s">
        <v>47</v>
      </c>
      <c r="BF24" s="11" t="str">
        <f t="shared" si="3"/>
        <v>No aplica</v>
      </c>
      <c r="BG24" s="12">
        <f>C24</f>
        <v>46043</v>
      </c>
      <c r="BH24" s="68" t="s">
        <v>48</v>
      </c>
    </row>
    <row r="25" spans="1:60" ht="36" hidden="1" customHeight="1" x14ac:dyDescent="0.3">
      <c r="A25" s="150"/>
      <c r="B25" s="78" t="s">
        <v>46</v>
      </c>
      <c r="C25" s="17">
        <v>46044</v>
      </c>
      <c r="D25" s="19">
        <f t="shared" si="0"/>
        <v>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20"/>
      <c r="AL25" s="20"/>
      <c r="AM25" s="19"/>
      <c r="AN25" s="19"/>
      <c r="AO25" s="19"/>
      <c r="AP25" s="19"/>
      <c r="AQ25" s="19"/>
      <c r="AR25" s="19"/>
      <c r="AS25" s="19"/>
      <c r="AT25" s="19"/>
      <c r="AU25" s="19"/>
      <c r="AV25" s="35"/>
      <c r="AW25" s="115"/>
      <c r="AX25" s="115"/>
      <c r="AY25" s="116"/>
      <c r="AZ25" s="116"/>
      <c r="BA25" s="116"/>
      <c r="BB25" s="117"/>
      <c r="BC25" s="11" t="str">
        <f t="shared" si="1"/>
        <v>No</v>
      </c>
      <c r="BD25" s="22" t="str">
        <f t="shared" si="2"/>
        <v/>
      </c>
      <c r="BE25" s="11" t="s">
        <v>47</v>
      </c>
      <c r="BF25" s="11" t="str">
        <f t="shared" si="3"/>
        <v>No aplica</v>
      </c>
      <c r="BG25" s="12">
        <v>46044</v>
      </c>
      <c r="BH25" s="68" t="s">
        <v>48</v>
      </c>
    </row>
    <row r="26" spans="1:60" ht="36" hidden="1" customHeight="1" x14ac:dyDescent="0.3">
      <c r="A26" s="150"/>
      <c r="B26" s="78" t="s">
        <v>49</v>
      </c>
      <c r="C26" s="17">
        <v>46045</v>
      </c>
      <c r="D26" s="19">
        <f t="shared" si="0"/>
        <v>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0"/>
      <c r="AN26" s="20"/>
      <c r="AO26" s="19"/>
      <c r="AP26" s="19"/>
      <c r="AQ26" s="19"/>
      <c r="AR26" s="19"/>
      <c r="AS26" s="19"/>
      <c r="AT26" s="19"/>
      <c r="AU26" s="19"/>
      <c r="AV26" s="35"/>
      <c r="AW26" s="115" t="s">
        <v>68</v>
      </c>
      <c r="AX26" s="115"/>
      <c r="AY26" s="116">
        <f>SUMIF(E338:AV368,8)</f>
        <v>16</v>
      </c>
      <c r="AZ26" s="116"/>
      <c r="BA26" s="116">
        <f>SUMIF(E338:AV368,16)</f>
        <v>0</v>
      </c>
      <c r="BB26" s="117"/>
      <c r="BC26" s="11" t="str">
        <f t="shared" si="1"/>
        <v>No</v>
      </c>
      <c r="BD26" s="22" t="str">
        <f t="shared" si="2"/>
        <v/>
      </c>
      <c r="BE26" s="11" t="s">
        <v>47</v>
      </c>
      <c r="BF26" s="11" t="str">
        <f t="shared" si="3"/>
        <v>No aplica</v>
      </c>
      <c r="BG26" s="12">
        <v>46045</v>
      </c>
      <c r="BH26" s="68" t="s">
        <v>48</v>
      </c>
    </row>
    <row r="27" spans="1:60" ht="18" hidden="1" customHeight="1" x14ac:dyDescent="0.3">
      <c r="A27" s="150"/>
      <c r="B27" s="78" t="s">
        <v>50</v>
      </c>
      <c r="C27" s="17">
        <v>46046</v>
      </c>
      <c r="D27" s="19">
        <f t="shared" si="0"/>
        <v>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20"/>
      <c r="AP27" s="20"/>
      <c r="AQ27" s="19"/>
      <c r="AR27" s="19"/>
      <c r="AS27" s="19"/>
      <c r="AT27" s="19"/>
      <c r="AU27" s="19"/>
      <c r="AV27" s="35"/>
      <c r="AW27" s="115"/>
      <c r="AX27" s="115"/>
      <c r="AY27" s="116"/>
      <c r="AZ27" s="116"/>
      <c r="BA27" s="116"/>
      <c r="BB27" s="117"/>
      <c r="BC27" s="11" t="str">
        <f t="shared" si="1"/>
        <v>No</v>
      </c>
      <c r="BD27" s="22" t="str">
        <f t="shared" si="2"/>
        <v/>
      </c>
      <c r="BE27" s="11" t="s">
        <v>47</v>
      </c>
      <c r="BF27" s="11" t="str">
        <f t="shared" si="3"/>
        <v>No aplica</v>
      </c>
      <c r="BG27" s="12">
        <v>46046</v>
      </c>
      <c r="BH27" s="68" t="s">
        <v>48</v>
      </c>
    </row>
    <row r="28" spans="1:60" ht="46.2" hidden="1" customHeight="1" x14ac:dyDescent="0.3">
      <c r="A28" s="150"/>
      <c r="B28" s="78" t="s">
        <v>52</v>
      </c>
      <c r="C28" s="17">
        <v>46047</v>
      </c>
      <c r="D28" s="19">
        <f t="shared" si="0"/>
        <v>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35"/>
      <c r="AW28" s="115" t="s">
        <v>69</v>
      </c>
      <c r="AX28" s="115"/>
      <c r="AY28" s="116">
        <f>SUM(AY4:AZ27)</f>
        <v>96</v>
      </c>
      <c r="AZ28" s="116"/>
      <c r="BA28" s="116">
        <f>SUM(BA4:BB27)</f>
        <v>0</v>
      </c>
      <c r="BB28" s="117"/>
      <c r="BC28" s="11" t="str">
        <f t="shared" si="1"/>
        <v>No</v>
      </c>
      <c r="BD28" s="22" t="str">
        <f t="shared" si="2"/>
        <v/>
      </c>
      <c r="BE28" s="11" t="s">
        <v>47</v>
      </c>
      <c r="BF28" s="11" t="str">
        <f t="shared" si="3"/>
        <v>No aplica</v>
      </c>
      <c r="BG28" s="12">
        <v>46063</v>
      </c>
      <c r="BH28" s="68" t="s">
        <v>70</v>
      </c>
    </row>
    <row r="29" spans="1:60" ht="18" hidden="1" customHeight="1" x14ac:dyDescent="0.3">
      <c r="A29" s="150"/>
      <c r="B29" s="78" t="s">
        <v>54</v>
      </c>
      <c r="C29" s="17">
        <v>46048</v>
      </c>
      <c r="D29" s="19">
        <f t="shared" si="0"/>
        <v>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35"/>
      <c r="AW29" s="124"/>
      <c r="AX29" s="124"/>
      <c r="AY29" s="124"/>
      <c r="AZ29" s="124"/>
      <c r="BA29" s="124"/>
      <c r="BB29" s="125"/>
      <c r="BC29" s="11" t="str">
        <f t="shared" si="1"/>
        <v>No</v>
      </c>
      <c r="BD29" s="22" t="str">
        <f t="shared" si="2"/>
        <v/>
      </c>
      <c r="BE29" s="11"/>
      <c r="BF29" s="11" t="str">
        <f t="shared" si="3"/>
        <v>No aplica</v>
      </c>
      <c r="BG29" s="12"/>
      <c r="BH29" s="68"/>
    </row>
    <row r="30" spans="1:60" ht="18" hidden="1" customHeight="1" x14ac:dyDescent="0.3">
      <c r="A30" s="150"/>
      <c r="B30" s="78" t="s">
        <v>56</v>
      </c>
      <c r="C30" s="17">
        <v>46049</v>
      </c>
      <c r="D30" s="19">
        <f t="shared" si="0"/>
        <v>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35"/>
      <c r="AW30" s="11"/>
      <c r="AX30" s="11"/>
      <c r="AY30" s="11"/>
      <c r="AZ30" s="11"/>
      <c r="BA30" s="11"/>
      <c r="BB30" s="13"/>
      <c r="BC30" s="11" t="str">
        <f t="shared" si="1"/>
        <v>No</v>
      </c>
      <c r="BD30" s="22" t="str">
        <f t="shared" si="2"/>
        <v/>
      </c>
      <c r="BE30" s="11" t="s">
        <v>47</v>
      </c>
      <c r="BF30" s="11" t="str">
        <f t="shared" si="3"/>
        <v>No aplica</v>
      </c>
      <c r="BG30" s="12">
        <v>46049</v>
      </c>
      <c r="BH30" s="68" t="s">
        <v>48</v>
      </c>
    </row>
    <row r="31" spans="1:60" ht="18" hidden="1" customHeight="1" x14ac:dyDescent="0.3">
      <c r="A31" s="150"/>
      <c r="B31" s="78" t="s">
        <v>57</v>
      </c>
      <c r="C31" s="17">
        <v>46050</v>
      </c>
      <c r="D31" s="19">
        <f t="shared" si="0"/>
        <v>0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35"/>
      <c r="AW31" s="11"/>
      <c r="AX31" s="11"/>
      <c r="AY31" s="11"/>
      <c r="AZ31" s="11"/>
      <c r="BA31" s="11"/>
      <c r="BB31" s="13"/>
      <c r="BC31" s="11" t="str">
        <f t="shared" si="1"/>
        <v>No</v>
      </c>
      <c r="BD31" s="22" t="str">
        <f t="shared" si="2"/>
        <v/>
      </c>
      <c r="BE31" s="11"/>
      <c r="BF31" s="11" t="str">
        <f t="shared" si="3"/>
        <v>No aplica</v>
      </c>
      <c r="BG31" s="12"/>
      <c r="BH31" s="68"/>
    </row>
    <row r="32" spans="1:60" ht="18" hidden="1" customHeight="1" x14ac:dyDescent="0.3">
      <c r="A32" s="150"/>
      <c r="B32" s="78" t="s">
        <v>46</v>
      </c>
      <c r="C32" s="17">
        <v>46051</v>
      </c>
      <c r="D32" s="19">
        <f t="shared" si="0"/>
        <v>0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35"/>
      <c r="AW32" s="126" t="s">
        <v>72</v>
      </c>
      <c r="AX32" s="126"/>
      <c r="AY32" s="126"/>
      <c r="AZ32" s="126"/>
      <c r="BA32" s="126"/>
      <c r="BB32" s="127"/>
      <c r="BC32" s="11" t="str">
        <f t="shared" si="1"/>
        <v>No</v>
      </c>
      <c r="BD32" s="22" t="str">
        <f t="shared" si="2"/>
        <v/>
      </c>
      <c r="BE32" s="11"/>
      <c r="BF32" s="11" t="str">
        <f t="shared" si="3"/>
        <v>No aplica</v>
      </c>
      <c r="BG32" s="12"/>
      <c r="BH32" s="68"/>
    </row>
    <row r="33" spans="1:60" ht="18" hidden="1" customHeight="1" thickBot="1" x14ac:dyDescent="0.35">
      <c r="A33" s="150"/>
      <c r="B33" s="78" t="s">
        <v>49</v>
      </c>
      <c r="C33" s="17">
        <v>46052</v>
      </c>
      <c r="D33" s="19">
        <f t="shared" si="0"/>
        <v>0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32"/>
      <c r="AS33" s="32"/>
      <c r="AT33" s="32"/>
      <c r="AU33" s="32"/>
      <c r="AV33" s="37"/>
      <c r="AW33" s="126"/>
      <c r="AX33" s="126"/>
      <c r="AY33" s="126"/>
      <c r="AZ33" s="126"/>
      <c r="BA33" s="126"/>
      <c r="BB33" s="127"/>
      <c r="BC33" s="11" t="str">
        <f t="shared" si="1"/>
        <v>No</v>
      </c>
      <c r="BD33" s="22" t="str">
        <f t="shared" si="2"/>
        <v/>
      </c>
      <c r="BE33" s="11"/>
      <c r="BF33" s="11" t="str">
        <f t="shared" si="3"/>
        <v>No aplica</v>
      </c>
      <c r="BG33" s="12"/>
      <c r="BH33" s="68"/>
    </row>
    <row r="34" spans="1:60" ht="18" hidden="1" customHeight="1" thickBot="1" x14ac:dyDescent="0.35">
      <c r="A34" s="151"/>
      <c r="B34" s="53" t="s">
        <v>73</v>
      </c>
      <c r="C34" s="36">
        <v>46053</v>
      </c>
      <c r="D34" s="32">
        <f t="shared" si="0"/>
        <v>0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80"/>
      <c r="AR34" s="32"/>
      <c r="AS34" s="32"/>
      <c r="AT34" s="32"/>
      <c r="AU34" s="32"/>
      <c r="AV34" s="37"/>
      <c r="AW34" s="128"/>
      <c r="AX34" s="128"/>
      <c r="AY34" s="128"/>
      <c r="AZ34" s="128"/>
      <c r="BA34" s="128"/>
      <c r="BB34" s="129"/>
      <c r="BC34" s="70" t="s">
        <v>74</v>
      </c>
      <c r="BD34" s="72" t="s">
        <v>23</v>
      </c>
      <c r="BE34" s="70" t="s">
        <v>47</v>
      </c>
      <c r="BF34" s="70" t="s">
        <v>75</v>
      </c>
      <c r="BG34" s="30">
        <v>46051</v>
      </c>
      <c r="BH34" s="73" t="s">
        <v>48</v>
      </c>
    </row>
    <row r="35" spans="1:60" ht="18" hidden="1" customHeight="1" x14ac:dyDescent="0.3">
      <c r="A35" s="148" t="s">
        <v>76</v>
      </c>
      <c r="B35" s="48" t="s">
        <v>52</v>
      </c>
      <c r="C35" s="15">
        <v>46054</v>
      </c>
      <c r="D35" s="27">
        <f t="shared" si="0"/>
        <v>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81"/>
      <c r="AR35" s="82"/>
      <c r="AS35" s="81"/>
      <c r="AT35" s="27"/>
      <c r="AU35" s="27"/>
      <c r="AV35" s="51"/>
      <c r="AW35" s="121" t="s">
        <v>78</v>
      </c>
      <c r="AX35" s="121"/>
      <c r="AY35" s="121"/>
      <c r="AZ35" s="121"/>
      <c r="BA35" s="122" t="s">
        <v>79</v>
      </c>
      <c r="BB35" s="123"/>
      <c r="BC35" s="14" t="str">
        <f>IF(SUM(E35,G35,I35,K35,M35,O35,Q35,S35,U35,W35,Y35,AA35,AC35,AE35,AG35,AI35,AK35,AM35,AO35,AQ34,AU35)&gt;0,"Sí","No")</f>
        <v>No</v>
      </c>
      <c r="BD35" s="21" t="str">
        <f>IF($BC35="Sí",_xlfn.TEXTJOIN(", ",TRUE,IF(N(E35)&gt;0,E$3,""),IF(N(G35)&gt;0,G$3,""),IF(N(I35)&gt;0,I$3,""),IF(N(K35)&gt;0,K$3,""),IF(N(M35)&gt;0,M$3,""),IF(N(O35)&gt;0,O$3,""),IF(N(Q35)&gt;0,Q$3,""),IF(N(S35)&gt;0,S$3,""),IF(N(U35)&gt;0,U$3,""),IF(N(W35)&gt;0,W$3,""),IF(N(Y35)&gt;0,Y$3,""),IF(N(AA35)&gt;0,AA$3,""),IF(N(AC35)&gt;0,AC$3,""),IF(N(AE35)&gt;0,AE$3,""),IF(N(AG35)&gt;0,AG$3,""),IF(N(AI35)&gt;0,AI$3,""),IF(N(AK35)&gt;0,AK$3,""),IF(N(AM35)&gt;0,AM$3,""),IF(N(AO35)&gt;0,AO$3,""),IF(N(AQ34)&gt;0,AQ$3,""),IF(N(AU35)&gt;0,AU$3,"")),"")</f>
        <v/>
      </c>
      <c r="BE35" s="14" t="s">
        <v>47</v>
      </c>
      <c r="BF35" s="14" t="str">
        <f t="shared" si="3"/>
        <v>No aplica</v>
      </c>
      <c r="BG35" s="15">
        <v>46054</v>
      </c>
      <c r="BH35" s="66" t="s">
        <v>80</v>
      </c>
    </row>
    <row r="36" spans="1:60" ht="28.2" hidden="1" customHeight="1" x14ac:dyDescent="0.3">
      <c r="A36" s="150"/>
      <c r="B36" s="78" t="s">
        <v>54</v>
      </c>
      <c r="C36" s="12">
        <v>46055</v>
      </c>
      <c r="D36" s="20">
        <f t="shared" si="0"/>
        <v>0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0"/>
      <c r="AD36" s="20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20"/>
      <c r="AR36" s="25"/>
      <c r="AT36" s="25"/>
      <c r="AU36" s="25"/>
      <c r="AV36" s="29"/>
      <c r="AW36" s="118"/>
      <c r="AX36" s="118"/>
      <c r="AY36" s="118"/>
      <c r="AZ36" s="118"/>
      <c r="BA36" s="119"/>
      <c r="BB36" s="120"/>
      <c r="BC36" s="11" t="str">
        <f t="shared" ref="BC36:BC99" si="4">IF(SUM(E36,G36,I36,K36,M36,O36,Q36,S36,U36,W36,Y36,AA36,AC36,AE36,AG36,AI36,AK36,AM36,AO36,AQ36,AU36)&gt;0,"Sí","No")</f>
        <v>No</v>
      </c>
      <c r="BD36" s="22" t="str">
        <f t="shared" ref="BD36:BD99" si="5">IF($BC36="Sí",_xlfn.TEXTJOIN(", ",TRUE,IF(N(E36)&gt;0,E$3,""),IF(N(G36)&gt;0,G$3,""),IF(N(I36)&gt;0,I$3,""),IF(N(K36)&gt;0,K$3,""),IF(N(M36)&gt;0,M$3,""),IF(N(O36)&gt;0,O$3,""),IF(N(Q36)&gt;0,Q$3,""),IF(N(S36)&gt;0,S$3,""),IF(N(U36)&gt;0,U$3,""),IF(N(W36)&gt;0,W$3,""),IF(N(Y36)&gt;0,Y$3,""),IF(N(AA36)&gt;0,AA$3,""),IF(N(AC36)&gt;0,AC$3,""),IF(N(AE36)&gt;0,AE$3,""),IF(N(AG36)&gt;0,AG$3,""),IF(N(AI36)&gt;0,AI$3,""),IF(N(AK36)&gt;0,AK$3,""),IF(N(AM36)&gt;0,AM$3,""),IF(N(AO36)&gt;0,AO$3,""),IF(N(AQ36)&gt;0,AQ$3,""),IF(N(AU36)&gt;0,AU$3,"")),"")</f>
        <v/>
      </c>
      <c r="BE36" s="11" t="s">
        <v>47</v>
      </c>
      <c r="BF36" s="11" t="str">
        <f t="shared" si="3"/>
        <v>No aplica</v>
      </c>
      <c r="BG36" s="12">
        <v>46055</v>
      </c>
      <c r="BH36" s="68" t="s">
        <v>80</v>
      </c>
    </row>
    <row r="37" spans="1:60" ht="28.2" hidden="1" customHeight="1" x14ac:dyDescent="0.3">
      <c r="A37" s="150"/>
      <c r="B37" s="78" t="s">
        <v>56</v>
      </c>
      <c r="C37" s="12">
        <v>46056</v>
      </c>
      <c r="D37" s="20">
        <f t="shared" si="0"/>
        <v>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/>
      <c r="AF37" s="20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20"/>
      <c r="AR37" s="20"/>
      <c r="AS37" s="20"/>
      <c r="AT37" s="20"/>
      <c r="AU37" s="20"/>
      <c r="AV37" s="29"/>
      <c r="AW37" s="118"/>
      <c r="AX37" s="118"/>
      <c r="AY37" s="118"/>
      <c r="AZ37" s="118"/>
      <c r="BA37" s="119"/>
      <c r="BB37" s="120"/>
      <c r="BC37" s="11" t="str">
        <f t="shared" si="4"/>
        <v>No</v>
      </c>
      <c r="BD37" s="22" t="str">
        <f t="shared" si="5"/>
        <v/>
      </c>
      <c r="BE37" s="11"/>
      <c r="BF37" s="11" t="str">
        <f t="shared" si="3"/>
        <v>No aplica</v>
      </c>
      <c r="BG37" s="12"/>
      <c r="BH37" s="68"/>
    </row>
    <row r="38" spans="1:60" ht="28.2" hidden="1" customHeight="1" x14ac:dyDescent="0.3">
      <c r="A38" s="150"/>
      <c r="B38" s="78" t="s">
        <v>57</v>
      </c>
      <c r="C38" s="12">
        <v>46057</v>
      </c>
      <c r="D38" s="20">
        <f t="shared" si="0"/>
        <v>0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0"/>
      <c r="AH38" s="20"/>
      <c r="AI38" s="19"/>
      <c r="AJ38" s="19"/>
      <c r="AK38" s="19"/>
      <c r="AL38" s="19"/>
      <c r="AM38" s="19"/>
      <c r="AN38" s="19"/>
      <c r="AO38" s="19"/>
      <c r="AP38" s="19"/>
      <c r="AQ38" s="20"/>
      <c r="AR38" s="20"/>
      <c r="AS38" s="20"/>
      <c r="AT38" s="20"/>
      <c r="AU38" s="20"/>
      <c r="AV38" s="29"/>
      <c r="AW38" s="118" t="s">
        <v>81</v>
      </c>
      <c r="AX38" s="118"/>
      <c r="AY38" s="118"/>
      <c r="AZ38" s="118"/>
      <c r="BA38" s="119" t="s">
        <v>79</v>
      </c>
      <c r="BB38" s="120"/>
      <c r="BC38" s="11" t="str">
        <f t="shared" si="4"/>
        <v>No</v>
      </c>
      <c r="BD38" s="22" t="str">
        <f t="shared" si="5"/>
        <v/>
      </c>
      <c r="BE38" s="11"/>
      <c r="BF38" s="11" t="str">
        <f t="shared" si="3"/>
        <v>No aplica</v>
      </c>
      <c r="BG38" s="12"/>
      <c r="BH38" s="68"/>
    </row>
    <row r="39" spans="1:60" ht="18" hidden="1" customHeight="1" x14ac:dyDescent="0.3">
      <c r="A39" s="150"/>
      <c r="B39" s="78" t="s">
        <v>46</v>
      </c>
      <c r="C39" s="12">
        <v>46058</v>
      </c>
      <c r="D39" s="20">
        <f t="shared" si="0"/>
        <v>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20"/>
      <c r="AK39" s="19"/>
      <c r="AL39" s="19"/>
      <c r="AM39" s="19"/>
      <c r="AN39" s="19"/>
      <c r="AO39" s="19"/>
      <c r="AP39" s="19"/>
      <c r="AQ39" s="20"/>
      <c r="AR39" s="20"/>
      <c r="AS39" s="20"/>
      <c r="AT39" s="20"/>
      <c r="AU39" s="20"/>
      <c r="AV39" s="29"/>
      <c r="AW39" s="118"/>
      <c r="AX39" s="118"/>
      <c r="AY39" s="118"/>
      <c r="AZ39" s="118"/>
      <c r="BA39" s="119"/>
      <c r="BB39" s="120"/>
      <c r="BC39" s="11" t="str">
        <f t="shared" si="4"/>
        <v>No</v>
      </c>
      <c r="BD39" s="22" t="str">
        <f t="shared" si="5"/>
        <v/>
      </c>
      <c r="BE39" s="11" t="s">
        <v>47</v>
      </c>
      <c r="BF39" s="11" t="str">
        <f t="shared" si="3"/>
        <v>No aplica</v>
      </c>
      <c r="BG39" s="12">
        <f>C39</f>
        <v>46058</v>
      </c>
      <c r="BH39" s="68"/>
    </row>
    <row r="40" spans="1:60" ht="22.2" hidden="1" customHeight="1" x14ac:dyDescent="0.3">
      <c r="A40" s="150"/>
      <c r="B40" s="78" t="s">
        <v>49</v>
      </c>
      <c r="C40" s="12">
        <v>46059</v>
      </c>
      <c r="D40" s="20">
        <f t="shared" si="0"/>
        <v>0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0"/>
      <c r="AL40" s="20"/>
      <c r="AM40" s="19"/>
      <c r="AN40" s="19"/>
      <c r="AO40" s="19"/>
      <c r="AP40" s="19"/>
      <c r="AQ40" s="20"/>
      <c r="AR40" s="20"/>
      <c r="AS40" s="20"/>
      <c r="AT40" s="20"/>
      <c r="AU40" s="20"/>
      <c r="AV40" s="29"/>
      <c r="AW40" s="118"/>
      <c r="AX40" s="118"/>
      <c r="AY40" s="118"/>
      <c r="AZ40" s="118"/>
      <c r="BA40" s="119"/>
      <c r="BB40" s="120"/>
      <c r="BC40" s="11" t="str">
        <f t="shared" si="4"/>
        <v>No</v>
      </c>
      <c r="BD40" s="22" t="str">
        <f t="shared" si="5"/>
        <v/>
      </c>
      <c r="BE40" s="11"/>
      <c r="BF40" s="11" t="str">
        <f t="shared" si="3"/>
        <v>No aplica</v>
      </c>
      <c r="BG40" s="12"/>
      <c r="BH40" s="68"/>
    </row>
    <row r="41" spans="1:60" ht="22.2" hidden="1" customHeight="1" x14ac:dyDescent="0.3">
      <c r="A41" s="150"/>
      <c r="B41" s="78" t="s">
        <v>50</v>
      </c>
      <c r="C41" s="12">
        <v>46060</v>
      </c>
      <c r="D41" s="20">
        <f t="shared" si="0"/>
        <v>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0"/>
      <c r="AN41" s="20"/>
      <c r="AO41" s="19"/>
      <c r="AP41" s="19"/>
      <c r="AQ41" s="20"/>
      <c r="AR41" s="20"/>
      <c r="AS41" s="20"/>
      <c r="AT41" s="20"/>
      <c r="AU41" s="20"/>
      <c r="AV41" s="29"/>
      <c r="AW41" s="118" t="s">
        <v>3</v>
      </c>
      <c r="AX41" s="118"/>
      <c r="AY41" s="118"/>
      <c r="AZ41" s="118"/>
      <c r="BA41" s="119" t="s">
        <v>82</v>
      </c>
      <c r="BB41" s="120"/>
      <c r="BC41" s="11" t="str">
        <f t="shared" si="4"/>
        <v>No</v>
      </c>
      <c r="BD41" s="22" t="str">
        <f t="shared" si="5"/>
        <v/>
      </c>
      <c r="BE41" s="11"/>
      <c r="BF41" s="11" t="str">
        <f t="shared" si="3"/>
        <v>No aplica</v>
      </c>
      <c r="BG41" s="12"/>
      <c r="BH41" s="68"/>
    </row>
    <row r="42" spans="1:60" ht="22.2" hidden="1" customHeight="1" x14ac:dyDescent="0.3">
      <c r="A42" s="150"/>
      <c r="B42" s="78" t="s">
        <v>52</v>
      </c>
      <c r="C42" s="12">
        <v>46061</v>
      </c>
      <c r="D42" s="20">
        <f t="shared" si="0"/>
        <v>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20"/>
      <c r="AP42" s="20"/>
      <c r="AQ42" s="20"/>
      <c r="AR42" s="20"/>
      <c r="AS42" s="20"/>
      <c r="AT42" s="20"/>
      <c r="AU42" s="20"/>
      <c r="AV42" s="29"/>
      <c r="AW42" s="118"/>
      <c r="AX42" s="118"/>
      <c r="AY42" s="118"/>
      <c r="AZ42" s="118"/>
      <c r="BA42" s="119"/>
      <c r="BB42" s="120"/>
      <c r="BC42" s="11" t="str">
        <f t="shared" si="4"/>
        <v>No</v>
      </c>
      <c r="BD42" s="22" t="str">
        <f t="shared" si="5"/>
        <v/>
      </c>
      <c r="BE42" s="11"/>
      <c r="BF42" s="11" t="str">
        <f t="shared" si="3"/>
        <v>No aplica</v>
      </c>
      <c r="BG42" s="12"/>
      <c r="BH42" s="68"/>
    </row>
    <row r="43" spans="1:60" ht="22.2" hidden="1" customHeight="1" x14ac:dyDescent="0.3">
      <c r="A43" s="150"/>
      <c r="B43" s="78" t="s">
        <v>54</v>
      </c>
      <c r="C43" s="12">
        <v>46062</v>
      </c>
      <c r="D43" s="20">
        <f t="shared" si="0"/>
        <v>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9"/>
      <c r="AW43" s="118"/>
      <c r="AX43" s="118"/>
      <c r="AY43" s="118"/>
      <c r="AZ43" s="118"/>
      <c r="BA43" s="119"/>
      <c r="BB43" s="120"/>
      <c r="BC43" s="11" t="str">
        <f t="shared" si="4"/>
        <v>No</v>
      </c>
      <c r="BD43" s="22" t="str">
        <f t="shared" si="5"/>
        <v/>
      </c>
      <c r="BE43" s="11"/>
      <c r="BF43" s="11" t="str">
        <f t="shared" si="3"/>
        <v>No aplica</v>
      </c>
      <c r="BG43" s="12"/>
      <c r="BH43" s="68"/>
    </row>
    <row r="44" spans="1:60" ht="18" hidden="1" customHeight="1" x14ac:dyDescent="0.3">
      <c r="A44" s="150"/>
      <c r="B44" s="78" t="s">
        <v>56</v>
      </c>
      <c r="C44" s="12">
        <v>46063</v>
      </c>
      <c r="D44" s="20">
        <f t="shared" si="0"/>
        <v>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9"/>
      <c r="AW44" s="118" t="s">
        <v>4</v>
      </c>
      <c r="AX44" s="118"/>
      <c r="AY44" s="118"/>
      <c r="AZ44" s="118"/>
      <c r="BA44" s="119" t="s">
        <v>82</v>
      </c>
      <c r="BB44" s="120"/>
      <c r="BC44" s="11" t="str">
        <f t="shared" si="4"/>
        <v>No</v>
      </c>
      <c r="BD44" s="22" t="str">
        <f t="shared" si="5"/>
        <v/>
      </c>
      <c r="BE44" s="11"/>
      <c r="BF44" s="11" t="str">
        <f t="shared" si="3"/>
        <v>No aplica</v>
      </c>
      <c r="BG44" s="12"/>
      <c r="BH44" s="68"/>
    </row>
    <row r="45" spans="1:60" ht="18" hidden="1" customHeight="1" x14ac:dyDescent="0.3">
      <c r="A45" s="150"/>
      <c r="B45" s="78" t="s">
        <v>57</v>
      </c>
      <c r="C45" s="12">
        <v>46064</v>
      </c>
      <c r="D45" s="20">
        <f t="shared" si="0"/>
        <v>0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99"/>
      <c r="AB45" s="99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0"/>
      <c r="AR45" s="20"/>
      <c r="AS45" s="20"/>
      <c r="AT45" s="20"/>
      <c r="AU45" s="20"/>
      <c r="AV45" s="29"/>
      <c r="AW45" s="118"/>
      <c r="AX45" s="118"/>
      <c r="AY45" s="118"/>
      <c r="AZ45" s="118"/>
      <c r="BA45" s="119"/>
      <c r="BB45" s="120"/>
      <c r="BC45" s="11" t="str">
        <f t="shared" si="4"/>
        <v>No</v>
      </c>
      <c r="BD45" s="22" t="str">
        <f t="shared" si="5"/>
        <v/>
      </c>
      <c r="BE45" s="11"/>
      <c r="BF45" s="11" t="str">
        <f t="shared" si="3"/>
        <v>No aplica</v>
      </c>
      <c r="BG45" s="12"/>
      <c r="BH45" s="68"/>
    </row>
    <row r="46" spans="1:60" ht="18" hidden="1" customHeight="1" x14ac:dyDescent="0.3">
      <c r="A46" s="150"/>
      <c r="B46" s="78" t="s">
        <v>46</v>
      </c>
      <c r="C46" s="12">
        <v>46065</v>
      </c>
      <c r="D46" s="20">
        <f t="shared" si="0"/>
        <v>0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49"/>
      <c r="AA46" s="84"/>
      <c r="AB46" s="84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46"/>
      <c r="AR46" s="20"/>
      <c r="AS46" s="20"/>
      <c r="AT46" s="20"/>
      <c r="AU46" s="20"/>
      <c r="AV46" s="29"/>
      <c r="AW46" s="118"/>
      <c r="AX46" s="118"/>
      <c r="AY46" s="118"/>
      <c r="AZ46" s="118"/>
      <c r="BA46" s="119"/>
      <c r="BB46" s="120"/>
      <c r="BC46" s="11" t="str">
        <f t="shared" si="4"/>
        <v>No</v>
      </c>
      <c r="BD46" s="22" t="str">
        <f t="shared" si="5"/>
        <v/>
      </c>
      <c r="BE46" s="11" t="s">
        <v>47</v>
      </c>
      <c r="BF46" s="11" t="str">
        <f t="shared" si="3"/>
        <v>No aplica</v>
      </c>
      <c r="BG46" s="12">
        <v>46065</v>
      </c>
      <c r="BH46" s="68" t="s">
        <v>48</v>
      </c>
    </row>
    <row r="47" spans="1:60" ht="18" hidden="1" customHeight="1" x14ac:dyDescent="0.3">
      <c r="A47" s="150"/>
      <c r="B47" s="78" t="s">
        <v>49</v>
      </c>
      <c r="C47" s="12">
        <v>46066</v>
      </c>
      <c r="D47" s="20">
        <f t="shared" si="0"/>
        <v>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49"/>
      <c r="AA47" s="84"/>
      <c r="AB47" s="84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46"/>
      <c r="AR47" s="20"/>
      <c r="AS47" s="20"/>
      <c r="AT47" s="20"/>
      <c r="AU47" s="20"/>
      <c r="AV47" s="29"/>
      <c r="AW47" s="11"/>
      <c r="AX47" s="11"/>
      <c r="AY47" s="11"/>
      <c r="AZ47" s="11"/>
      <c r="BA47" s="11"/>
      <c r="BB47" s="13"/>
      <c r="BC47" s="11" t="str">
        <f t="shared" si="4"/>
        <v>No</v>
      </c>
      <c r="BD47" s="22" t="str">
        <f t="shared" si="5"/>
        <v/>
      </c>
      <c r="BE47" s="11"/>
      <c r="BF47" s="11" t="str">
        <f t="shared" si="3"/>
        <v>No aplica</v>
      </c>
      <c r="BG47" s="12"/>
      <c r="BH47" s="68"/>
    </row>
    <row r="48" spans="1:60" ht="18" hidden="1" customHeight="1" x14ac:dyDescent="0.3">
      <c r="A48" s="150"/>
      <c r="B48" s="78" t="s">
        <v>50</v>
      </c>
      <c r="C48" s="12">
        <v>46067</v>
      </c>
      <c r="D48" s="20">
        <f t="shared" si="0"/>
        <v>0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49"/>
      <c r="AA48" s="84"/>
      <c r="AB48" s="84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46"/>
      <c r="AR48" s="20"/>
      <c r="AS48" s="20"/>
      <c r="AT48" s="20"/>
      <c r="AU48" s="20"/>
      <c r="AV48" s="29"/>
      <c r="AW48" s="11"/>
      <c r="AX48" s="11"/>
      <c r="AY48" s="11"/>
      <c r="AZ48" s="11"/>
      <c r="BA48" s="11"/>
      <c r="BB48" s="13"/>
      <c r="BC48" s="11" t="str">
        <f t="shared" si="4"/>
        <v>No</v>
      </c>
      <c r="BD48" s="22" t="str">
        <f t="shared" si="5"/>
        <v/>
      </c>
      <c r="BE48" s="11"/>
      <c r="BF48" s="11" t="str">
        <f t="shared" si="3"/>
        <v>No aplica</v>
      </c>
      <c r="BG48" s="12"/>
      <c r="BH48" s="68"/>
    </row>
    <row r="49" spans="1:60" ht="35.4" hidden="1" customHeight="1" x14ac:dyDescent="0.3">
      <c r="A49" s="150"/>
      <c r="B49" s="78" t="s">
        <v>52</v>
      </c>
      <c r="C49" s="12">
        <v>46068</v>
      </c>
      <c r="D49" s="20">
        <f t="shared" si="0"/>
        <v>0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0"/>
      <c r="AR49" s="20"/>
      <c r="AS49" s="20"/>
      <c r="AT49" s="20"/>
      <c r="AU49" s="20"/>
      <c r="AV49" s="29"/>
      <c r="AW49" s="11"/>
      <c r="AX49" s="11"/>
      <c r="AY49" s="11"/>
      <c r="AZ49" s="11"/>
      <c r="BA49" s="11"/>
      <c r="BB49" s="13"/>
      <c r="BC49" s="11" t="str">
        <f t="shared" si="4"/>
        <v>No</v>
      </c>
      <c r="BD49" s="22" t="str">
        <f t="shared" si="5"/>
        <v/>
      </c>
      <c r="BE49" s="11" t="s">
        <v>47</v>
      </c>
      <c r="BF49" s="11" t="str">
        <f t="shared" si="3"/>
        <v>No aplica</v>
      </c>
      <c r="BG49" s="12">
        <v>46068</v>
      </c>
      <c r="BH49" s="68" t="s">
        <v>83</v>
      </c>
    </row>
    <row r="50" spans="1:60" ht="18" hidden="1" customHeight="1" x14ac:dyDescent="0.3">
      <c r="A50" s="150"/>
      <c r="B50" s="78" t="s">
        <v>54</v>
      </c>
      <c r="C50" s="12">
        <v>46069</v>
      </c>
      <c r="D50" s="20">
        <f t="shared" si="0"/>
        <v>0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20"/>
      <c r="AR50" s="20"/>
      <c r="AS50" s="20"/>
      <c r="AT50" s="20"/>
      <c r="AU50" s="20"/>
      <c r="AV50" s="29"/>
      <c r="AW50" s="11"/>
      <c r="AX50" s="11"/>
      <c r="AY50" s="11"/>
      <c r="AZ50" s="11"/>
      <c r="BA50" s="11"/>
      <c r="BB50" s="13"/>
      <c r="BC50" s="11" t="str">
        <f t="shared" si="4"/>
        <v>No</v>
      </c>
      <c r="BD50" s="22" t="str">
        <f t="shared" si="5"/>
        <v/>
      </c>
      <c r="BE50" s="11" t="s">
        <v>84</v>
      </c>
      <c r="BF50" s="11" t="str">
        <f t="shared" si="3"/>
        <v>No aplica</v>
      </c>
      <c r="BG50" s="12"/>
      <c r="BH50" s="68" t="s">
        <v>85</v>
      </c>
    </row>
    <row r="51" spans="1:60" ht="18" hidden="1" customHeight="1" x14ac:dyDescent="0.3">
      <c r="A51" s="150"/>
      <c r="B51" s="78" t="s">
        <v>56</v>
      </c>
      <c r="C51" s="12">
        <v>46070</v>
      </c>
      <c r="D51" s="20">
        <f t="shared" si="0"/>
        <v>0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20"/>
      <c r="AD51" s="20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20"/>
      <c r="AR51" s="20"/>
      <c r="AS51" s="20"/>
      <c r="AT51" s="20"/>
      <c r="AU51" s="20"/>
      <c r="AV51" s="29"/>
      <c r="AW51" s="11"/>
      <c r="AX51" s="11"/>
      <c r="AY51" s="11"/>
      <c r="AZ51" s="11"/>
      <c r="BA51" s="11"/>
      <c r="BB51" s="13"/>
      <c r="BC51" s="11" t="str">
        <f t="shared" si="4"/>
        <v>No</v>
      </c>
      <c r="BD51" s="22" t="str">
        <f t="shared" si="5"/>
        <v/>
      </c>
      <c r="BE51" s="11" t="s">
        <v>47</v>
      </c>
      <c r="BF51" s="11" t="str">
        <f t="shared" si="3"/>
        <v>No aplica</v>
      </c>
      <c r="BG51" s="12">
        <v>46070</v>
      </c>
      <c r="BH51" s="68" t="s">
        <v>80</v>
      </c>
    </row>
    <row r="52" spans="1:60" ht="18" hidden="1" customHeight="1" x14ac:dyDescent="0.3">
      <c r="A52" s="150"/>
      <c r="B52" s="78" t="s">
        <v>57</v>
      </c>
      <c r="C52" s="12">
        <v>46071</v>
      </c>
      <c r="D52" s="20">
        <f t="shared" si="0"/>
        <v>0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/>
      <c r="AF52" s="20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20"/>
      <c r="AR52" s="20"/>
      <c r="AS52" s="20"/>
      <c r="AT52" s="20"/>
      <c r="AU52" s="62">
        <v>4</v>
      </c>
      <c r="AV52" s="63">
        <v>8</v>
      </c>
      <c r="AW52" s="11"/>
      <c r="AX52" s="11"/>
      <c r="AY52" s="11"/>
      <c r="AZ52" s="11"/>
      <c r="BA52" s="11"/>
      <c r="BB52" s="13"/>
      <c r="BC52" s="11" t="str">
        <f t="shared" si="4"/>
        <v>Sí</v>
      </c>
      <c r="BD52" s="22" t="str">
        <f t="shared" si="5"/>
        <v>CYC</v>
      </c>
      <c r="BE52" s="11"/>
      <c r="BF52" s="11" t="str">
        <f t="shared" si="3"/>
        <v>Programado pendiente</v>
      </c>
      <c r="BG52" s="12"/>
      <c r="BH52" s="68"/>
    </row>
    <row r="53" spans="1:60" ht="18" hidden="1" customHeight="1" x14ac:dyDescent="0.3">
      <c r="A53" s="150"/>
      <c r="B53" s="78" t="s">
        <v>46</v>
      </c>
      <c r="C53" s="12">
        <v>46072</v>
      </c>
      <c r="D53" s="20">
        <f t="shared" si="0"/>
        <v>0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20"/>
      <c r="AH53" s="20"/>
      <c r="AI53" s="19"/>
      <c r="AJ53" s="19"/>
      <c r="AK53" s="19"/>
      <c r="AL53" s="19"/>
      <c r="AM53" s="19"/>
      <c r="AN53" s="19"/>
      <c r="AO53" s="19"/>
      <c r="AP53" s="19"/>
      <c r="AQ53" s="20"/>
      <c r="AR53" s="20"/>
      <c r="AS53" s="62">
        <v>4</v>
      </c>
      <c r="AT53" s="63">
        <v>8</v>
      </c>
      <c r="AU53" s="20"/>
      <c r="AV53" s="29"/>
      <c r="AW53" s="11"/>
      <c r="AX53" s="11"/>
      <c r="AY53" s="11"/>
      <c r="AZ53" s="11"/>
      <c r="BA53" s="11"/>
      <c r="BB53" s="13"/>
      <c r="BC53" s="11" t="str">
        <f t="shared" si="4"/>
        <v>No</v>
      </c>
      <c r="BD53" s="22" t="str">
        <f t="shared" si="5"/>
        <v/>
      </c>
      <c r="BE53" s="11"/>
      <c r="BF53" s="11" t="str">
        <f t="shared" si="3"/>
        <v>No aplica</v>
      </c>
      <c r="BG53" s="12"/>
      <c r="BH53" s="68"/>
    </row>
    <row r="54" spans="1:60" ht="18" hidden="1" customHeight="1" x14ac:dyDescent="0.3">
      <c r="A54" s="150"/>
      <c r="B54" s="78" t="s">
        <v>49</v>
      </c>
      <c r="C54" s="12">
        <v>46073</v>
      </c>
      <c r="D54" s="20">
        <f t="shared" si="0"/>
        <v>0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0"/>
      <c r="AJ54" s="20"/>
      <c r="AK54" s="19"/>
      <c r="AL54" s="19"/>
      <c r="AM54" s="19"/>
      <c r="AN54" s="19"/>
      <c r="AO54" s="19"/>
      <c r="AP54" s="19"/>
      <c r="AQ54" s="20"/>
      <c r="AR54" s="20"/>
      <c r="AS54" s="20"/>
      <c r="AT54" s="20"/>
      <c r="AU54" s="20"/>
      <c r="AV54" s="29"/>
      <c r="AW54" s="11"/>
      <c r="AX54" s="11"/>
      <c r="AY54" s="11"/>
      <c r="AZ54" s="11"/>
      <c r="BA54" s="11"/>
      <c r="BB54" s="13"/>
      <c r="BC54" s="11" t="str">
        <f t="shared" si="4"/>
        <v>No</v>
      </c>
      <c r="BD54" s="22" t="str">
        <f t="shared" si="5"/>
        <v/>
      </c>
      <c r="BE54" s="11" t="s">
        <v>47</v>
      </c>
      <c r="BF54" s="11" t="str">
        <f t="shared" si="3"/>
        <v>No aplica</v>
      </c>
      <c r="BG54" s="12">
        <f>C54</f>
        <v>46073</v>
      </c>
      <c r="BH54" s="68"/>
    </row>
    <row r="55" spans="1:60" ht="18" hidden="1" customHeight="1" x14ac:dyDescent="0.3">
      <c r="A55" s="150"/>
      <c r="B55" s="78" t="s">
        <v>50</v>
      </c>
      <c r="C55" s="12">
        <v>46074</v>
      </c>
      <c r="D55" s="20">
        <f t="shared" si="0"/>
        <v>0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20"/>
      <c r="AL55" s="20"/>
      <c r="AM55" s="19"/>
      <c r="AN55" s="19"/>
      <c r="AO55" s="19"/>
      <c r="AP55" s="19"/>
      <c r="AQ55" s="20"/>
      <c r="AR55" s="20"/>
      <c r="AS55" s="20"/>
      <c r="AT55" s="20"/>
      <c r="AU55" s="20"/>
      <c r="AV55" s="29"/>
      <c r="AW55" s="11"/>
      <c r="AX55" s="11"/>
      <c r="AY55" s="11"/>
      <c r="AZ55" s="11"/>
      <c r="BA55" s="11"/>
      <c r="BB55" s="13"/>
      <c r="BC55" s="11" t="str">
        <f t="shared" si="4"/>
        <v>No</v>
      </c>
      <c r="BD55" s="22" t="str">
        <f t="shared" si="5"/>
        <v/>
      </c>
      <c r="BE55" s="11"/>
      <c r="BF55" s="11" t="str">
        <f t="shared" si="3"/>
        <v>No aplica</v>
      </c>
      <c r="BG55" s="12"/>
      <c r="BH55" s="68"/>
    </row>
    <row r="56" spans="1:60" ht="18" hidden="1" customHeight="1" x14ac:dyDescent="0.3">
      <c r="A56" s="150"/>
      <c r="B56" s="78" t="s">
        <v>52</v>
      </c>
      <c r="C56" s="12">
        <v>46075</v>
      </c>
      <c r="D56" s="20">
        <f t="shared" si="0"/>
        <v>0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20"/>
      <c r="AN56" s="20"/>
      <c r="AO56" s="19"/>
      <c r="AP56" s="19"/>
      <c r="AQ56" s="20"/>
      <c r="AR56" s="20"/>
      <c r="AS56" s="20"/>
      <c r="AT56" s="20"/>
      <c r="AU56" s="20"/>
      <c r="AV56" s="29"/>
      <c r="AW56" s="11"/>
      <c r="AX56" s="11"/>
      <c r="AY56" s="11"/>
      <c r="AZ56" s="11"/>
      <c r="BA56" s="11"/>
      <c r="BB56" s="13"/>
      <c r="BC56" s="11" t="str">
        <f t="shared" si="4"/>
        <v>No</v>
      </c>
      <c r="BD56" s="22" t="str">
        <f t="shared" si="5"/>
        <v/>
      </c>
      <c r="BE56" s="11"/>
      <c r="BF56" s="11" t="str">
        <f t="shared" si="3"/>
        <v>No aplica</v>
      </c>
      <c r="BG56" s="12"/>
      <c r="BH56" s="68"/>
    </row>
    <row r="57" spans="1:60" ht="18" hidden="1" customHeight="1" x14ac:dyDescent="0.3">
      <c r="A57" s="150"/>
      <c r="B57" s="78" t="s">
        <v>54</v>
      </c>
      <c r="C57" s="12">
        <v>46076</v>
      </c>
      <c r="D57" s="20">
        <f t="shared" si="0"/>
        <v>0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20"/>
      <c r="AP57" s="20"/>
      <c r="AQ57" s="20"/>
      <c r="AR57" s="20"/>
      <c r="AS57" s="20"/>
      <c r="AT57" s="20"/>
      <c r="AU57" s="20"/>
      <c r="AV57" s="29"/>
      <c r="AW57" s="11"/>
      <c r="AX57" s="11"/>
      <c r="AY57" s="11"/>
      <c r="AZ57" s="11"/>
      <c r="BA57" s="11"/>
      <c r="BB57" s="13"/>
      <c r="BC57" s="11" t="str">
        <f t="shared" si="4"/>
        <v>No</v>
      </c>
      <c r="BD57" s="22" t="str">
        <f t="shared" si="5"/>
        <v/>
      </c>
      <c r="BE57" s="11"/>
      <c r="BF57" s="11" t="str">
        <f t="shared" si="3"/>
        <v>No aplica</v>
      </c>
      <c r="BG57" s="12"/>
      <c r="BH57" s="68"/>
    </row>
    <row r="58" spans="1:60" ht="18" hidden="1" customHeight="1" x14ac:dyDescent="0.3">
      <c r="A58" s="150"/>
      <c r="B58" s="78" t="s">
        <v>56</v>
      </c>
      <c r="C58" s="12">
        <v>46077</v>
      </c>
      <c r="D58" s="20">
        <f t="shared" si="0"/>
        <v>0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9"/>
      <c r="AW58" s="11"/>
      <c r="AX58" s="11"/>
      <c r="AY58" s="11"/>
      <c r="AZ58" s="11"/>
      <c r="BA58" s="11"/>
      <c r="BB58" s="13"/>
      <c r="BC58" s="11" t="str">
        <f t="shared" si="4"/>
        <v>No</v>
      </c>
      <c r="BD58" s="22" t="str">
        <f t="shared" si="5"/>
        <v/>
      </c>
      <c r="BE58" s="11"/>
      <c r="BF58" s="11" t="str">
        <f t="shared" si="3"/>
        <v>No aplica</v>
      </c>
      <c r="BG58" s="12"/>
      <c r="BH58" s="68"/>
    </row>
    <row r="59" spans="1:60" ht="18" hidden="1" customHeight="1" x14ac:dyDescent="0.3">
      <c r="A59" s="150"/>
      <c r="B59" s="78" t="s">
        <v>57</v>
      </c>
      <c r="C59" s="12">
        <v>46078</v>
      </c>
      <c r="D59" s="20">
        <f t="shared" si="0"/>
        <v>0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9"/>
      <c r="AW59" s="11"/>
      <c r="AX59" s="11"/>
      <c r="AY59" s="11"/>
      <c r="AZ59" s="11"/>
      <c r="BA59" s="11"/>
      <c r="BB59" s="13"/>
      <c r="BC59" s="11" t="str">
        <f t="shared" si="4"/>
        <v>No</v>
      </c>
      <c r="BD59" s="22" t="str">
        <f t="shared" si="5"/>
        <v/>
      </c>
      <c r="BE59" s="11"/>
      <c r="BF59" s="11" t="str">
        <f t="shared" si="3"/>
        <v>No aplica</v>
      </c>
      <c r="BG59" s="12"/>
      <c r="BH59" s="68"/>
    </row>
    <row r="60" spans="1:60" ht="18" hidden="1" customHeight="1" x14ac:dyDescent="0.3">
      <c r="A60" s="150"/>
      <c r="B60" s="78" t="s">
        <v>46</v>
      </c>
      <c r="C60" s="12">
        <v>46079</v>
      </c>
      <c r="D60" s="20">
        <f t="shared" si="0"/>
        <v>0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9"/>
      <c r="AW60" s="11"/>
      <c r="AX60" s="11"/>
      <c r="AY60" s="11"/>
      <c r="AZ60" s="11"/>
      <c r="BA60" s="11"/>
      <c r="BB60" s="13"/>
      <c r="BC60" s="11" t="str">
        <f t="shared" si="4"/>
        <v>No</v>
      </c>
      <c r="BD60" s="22" t="str">
        <f t="shared" si="5"/>
        <v/>
      </c>
      <c r="BE60" s="11"/>
      <c r="BF60" s="11" t="str">
        <f t="shared" si="3"/>
        <v>No aplica</v>
      </c>
      <c r="BG60" s="12"/>
      <c r="BH60" s="68"/>
    </row>
    <row r="61" spans="1:60" ht="18" hidden="1" customHeight="1" x14ac:dyDescent="0.3">
      <c r="A61" s="150"/>
      <c r="B61" s="78" t="s">
        <v>49</v>
      </c>
      <c r="C61" s="12">
        <v>46080</v>
      </c>
      <c r="D61" s="20">
        <f t="shared" si="0"/>
        <v>0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9"/>
      <c r="AW61" s="11"/>
      <c r="AX61" s="11"/>
      <c r="AY61" s="11"/>
      <c r="AZ61" s="11"/>
      <c r="BA61" s="11"/>
      <c r="BB61" s="13"/>
      <c r="BC61" s="11" t="str">
        <f t="shared" si="4"/>
        <v>No</v>
      </c>
      <c r="BD61" s="22" t="str">
        <f t="shared" si="5"/>
        <v/>
      </c>
      <c r="BE61" s="11"/>
      <c r="BF61" s="11" t="str">
        <f t="shared" si="3"/>
        <v>No aplica</v>
      </c>
      <c r="BG61" s="12"/>
      <c r="BH61" s="68"/>
    </row>
    <row r="62" spans="1:60" ht="18" hidden="1" customHeight="1" thickBot="1" x14ac:dyDescent="0.35">
      <c r="A62" s="151"/>
      <c r="B62" s="53" t="s">
        <v>50</v>
      </c>
      <c r="C62" s="30">
        <v>46081</v>
      </c>
      <c r="D62" s="31">
        <f t="shared" si="0"/>
        <v>0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3"/>
      <c r="AW62" s="70"/>
      <c r="AX62" s="70"/>
      <c r="AY62" s="70"/>
      <c r="AZ62" s="70"/>
      <c r="BA62" s="70"/>
      <c r="BB62" s="71"/>
      <c r="BC62" s="70" t="str">
        <f t="shared" si="4"/>
        <v>No</v>
      </c>
      <c r="BD62" s="72" t="str">
        <f t="shared" si="5"/>
        <v/>
      </c>
      <c r="BE62" s="70"/>
      <c r="BF62" s="70" t="str">
        <f t="shared" si="3"/>
        <v>No aplica</v>
      </c>
      <c r="BG62" s="30"/>
      <c r="BH62" s="73"/>
    </row>
    <row r="63" spans="1:60" ht="18" hidden="1" customHeight="1" x14ac:dyDescent="0.3">
      <c r="A63" s="148" t="s">
        <v>55</v>
      </c>
      <c r="B63" s="48" t="s">
        <v>52</v>
      </c>
      <c r="C63" s="15">
        <v>46082</v>
      </c>
      <c r="D63" s="27">
        <f t="shared" si="0"/>
        <v>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00"/>
      <c r="AB63" s="100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27"/>
      <c r="AR63" s="27"/>
      <c r="AS63" s="27"/>
      <c r="AT63" s="27"/>
      <c r="AU63" s="27"/>
      <c r="AV63" s="28"/>
      <c r="AW63" s="14"/>
      <c r="AX63" s="14"/>
      <c r="AY63" s="14"/>
      <c r="AZ63" s="14"/>
      <c r="BA63" s="14"/>
      <c r="BB63" s="65"/>
      <c r="BC63" s="14" t="str">
        <f t="shared" si="4"/>
        <v>No</v>
      </c>
      <c r="BD63" s="21" t="str">
        <f t="shared" si="5"/>
        <v/>
      </c>
      <c r="BE63" s="14"/>
      <c r="BF63" s="14" t="str">
        <f t="shared" si="3"/>
        <v>No aplica</v>
      </c>
      <c r="BG63" s="15"/>
      <c r="BH63" s="66"/>
    </row>
    <row r="64" spans="1:60" ht="31.2" hidden="1" customHeight="1" x14ac:dyDescent="0.3">
      <c r="A64" s="150"/>
      <c r="B64" s="78" t="s">
        <v>54</v>
      </c>
      <c r="C64" s="12">
        <v>46083</v>
      </c>
      <c r="D64" s="20">
        <f t="shared" si="0"/>
        <v>0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49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46"/>
      <c r="AR64" s="20"/>
      <c r="AS64" s="20"/>
      <c r="AT64" s="20"/>
      <c r="AU64" s="20"/>
      <c r="AV64" s="29"/>
      <c r="AW64" s="11"/>
      <c r="AX64" s="11"/>
      <c r="AY64" s="11"/>
      <c r="AZ64" s="11"/>
      <c r="BA64" s="11"/>
      <c r="BB64" s="13"/>
      <c r="BC64" s="11" t="str">
        <f t="shared" si="4"/>
        <v>No</v>
      </c>
      <c r="BD64" s="22" t="str">
        <f t="shared" si="5"/>
        <v/>
      </c>
      <c r="BE64" s="11" t="s">
        <v>47</v>
      </c>
      <c r="BF64" s="11" t="str">
        <f t="shared" si="3"/>
        <v>No aplica</v>
      </c>
      <c r="BG64" s="12">
        <v>46082</v>
      </c>
      <c r="BH64" s="68" t="s">
        <v>83</v>
      </c>
    </row>
    <row r="65" spans="1:60" ht="18" hidden="1" customHeight="1" x14ac:dyDescent="0.3">
      <c r="A65" s="150"/>
      <c r="B65" s="78" t="s">
        <v>56</v>
      </c>
      <c r="C65" s="12">
        <v>46084</v>
      </c>
      <c r="D65" s="20">
        <f t="shared" si="0"/>
        <v>0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0"/>
      <c r="AR65" s="20"/>
      <c r="AS65" s="20"/>
      <c r="AT65" s="20"/>
      <c r="AU65" s="20"/>
      <c r="AV65" s="29"/>
      <c r="AW65" s="11"/>
      <c r="AX65" s="11"/>
      <c r="AY65" s="11"/>
      <c r="AZ65" s="11"/>
      <c r="BA65" s="11"/>
      <c r="BB65" s="13"/>
      <c r="BC65" s="11" t="str">
        <f t="shared" si="4"/>
        <v>No</v>
      </c>
      <c r="BD65" s="22" t="str">
        <f t="shared" si="5"/>
        <v/>
      </c>
      <c r="BE65" s="11" t="s">
        <v>47</v>
      </c>
      <c r="BF65" s="11" t="str">
        <f t="shared" si="3"/>
        <v>No aplica</v>
      </c>
      <c r="BG65" s="12">
        <v>46084</v>
      </c>
      <c r="BH65" s="68" t="s">
        <v>86</v>
      </c>
    </row>
    <row r="66" spans="1:60" ht="18" hidden="1" customHeight="1" x14ac:dyDescent="0.3">
      <c r="A66" s="150"/>
      <c r="B66" s="78" t="s">
        <v>57</v>
      </c>
      <c r="C66" s="12">
        <v>46085</v>
      </c>
      <c r="D66" s="20">
        <f t="shared" si="0"/>
        <v>0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20"/>
      <c r="AD66" s="20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20"/>
      <c r="AR66" s="20"/>
      <c r="AS66" s="20"/>
      <c r="AT66" s="20"/>
      <c r="AU66" s="20"/>
      <c r="AV66" s="29"/>
      <c r="AW66" s="11"/>
      <c r="AX66" s="11"/>
      <c r="AY66" s="11"/>
      <c r="AZ66" s="11"/>
      <c r="BA66" s="11"/>
      <c r="BB66" s="13"/>
      <c r="BC66" s="11" t="str">
        <f t="shared" si="4"/>
        <v>No</v>
      </c>
      <c r="BD66" s="22" t="str">
        <f t="shared" si="5"/>
        <v/>
      </c>
      <c r="BE66" s="11" t="s">
        <v>47</v>
      </c>
      <c r="BF66" s="11" t="str">
        <f t="shared" si="3"/>
        <v>No aplica</v>
      </c>
      <c r="BG66" s="12">
        <v>46094</v>
      </c>
      <c r="BH66" s="68" t="s">
        <v>86</v>
      </c>
    </row>
    <row r="67" spans="1:60" ht="18" hidden="1" customHeight="1" x14ac:dyDescent="0.3">
      <c r="A67" s="150"/>
      <c r="B67" s="78" t="s">
        <v>46</v>
      </c>
      <c r="C67" s="12">
        <v>46086</v>
      </c>
      <c r="D67" s="20">
        <f t="shared" si="0"/>
        <v>0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/>
      <c r="AF67" s="20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20"/>
      <c r="AR67" s="20"/>
      <c r="AS67" s="20"/>
      <c r="AT67" s="20"/>
      <c r="AU67" s="20"/>
      <c r="AV67" s="29"/>
      <c r="AW67" s="11"/>
      <c r="AX67" s="11"/>
      <c r="AY67" s="11"/>
      <c r="AZ67" s="11"/>
      <c r="BA67" s="11"/>
      <c r="BB67" s="13"/>
      <c r="BC67" s="11" t="str">
        <f t="shared" si="4"/>
        <v>No</v>
      </c>
      <c r="BD67" s="22" t="str">
        <f t="shared" si="5"/>
        <v/>
      </c>
      <c r="BE67" s="11"/>
      <c r="BF67" s="11" t="str">
        <f t="shared" si="3"/>
        <v>No aplica</v>
      </c>
      <c r="BG67" s="12"/>
      <c r="BH67" s="68"/>
    </row>
    <row r="68" spans="1:60" ht="18" hidden="1" customHeight="1" x14ac:dyDescent="0.3">
      <c r="A68" s="150"/>
      <c r="B68" s="78" t="s">
        <v>49</v>
      </c>
      <c r="C68" s="12">
        <v>46087</v>
      </c>
      <c r="D68" s="20">
        <f t="shared" ref="D68:D131" si="6">+F68+H68+J68+L68+N68+P68+R68+Z68+AB68+AD68+AF68+AH68+AJ68+AL68+AN68+AP68</f>
        <v>0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20"/>
      <c r="AH68" s="20"/>
      <c r="AI68" s="19"/>
      <c r="AJ68" s="19"/>
      <c r="AK68" s="19"/>
      <c r="AL68" s="19"/>
      <c r="AM68" s="19"/>
      <c r="AN68" s="19"/>
      <c r="AO68" s="19"/>
      <c r="AP68" s="19"/>
      <c r="AQ68" s="20"/>
      <c r="AR68" s="20"/>
      <c r="AS68" s="20"/>
      <c r="AT68" s="20"/>
      <c r="AU68" s="20"/>
      <c r="AV68" s="29"/>
      <c r="AW68" s="11"/>
      <c r="AX68" s="11"/>
      <c r="AY68" s="11"/>
      <c r="AZ68" s="11"/>
      <c r="BA68" s="11"/>
      <c r="BB68" s="13"/>
      <c r="BC68" s="11" t="str">
        <f t="shared" si="4"/>
        <v>No</v>
      </c>
      <c r="BD68" s="22" t="str">
        <f t="shared" si="5"/>
        <v/>
      </c>
      <c r="BE68" s="11"/>
      <c r="BF68" s="11" t="str">
        <f t="shared" si="3"/>
        <v>No aplica</v>
      </c>
      <c r="BG68" s="12"/>
      <c r="BH68" s="68"/>
    </row>
    <row r="69" spans="1:60" ht="18" hidden="1" customHeight="1" x14ac:dyDescent="0.3">
      <c r="A69" s="150"/>
      <c r="B69" s="78" t="s">
        <v>50</v>
      </c>
      <c r="C69" s="12">
        <v>46088</v>
      </c>
      <c r="D69" s="20">
        <f t="shared" si="6"/>
        <v>0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20"/>
      <c r="AJ69" s="20"/>
      <c r="AK69" s="19"/>
      <c r="AL69" s="19"/>
      <c r="AM69" s="19"/>
      <c r="AN69" s="19"/>
      <c r="AO69" s="19"/>
      <c r="AP69" s="19"/>
      <c r="AQ69" s="20"/>
      <c r="AR69" s="20"/>
      <c r="AS69" s="20"/>
      <c r="AT69" s="20"/>
      <c r="AU69" s="20"/>
      <c r="AV69" s="29"/>
      <c r="AW69" s="11"/>
      <c r="AX69" s="11"/>
      <c r="AY69" s="11"/>
      <c r="AZ69" s="11"/>
      <c r="BA69" s="11"/>
      <c r="BB69" s="13"/>
      <c r="BC69" s="11" t="str">
        <f t="shared" si="4"/>
        <v>No</v>
      </c>
      <c r="BD69" s="22" t="str">
        <f t="shared" si="5"/>
        <v/>
      </c>
      <c r="BE69" s="11" t="s">
        <v>47</v>
      </c>
      <c r="BF69" s="11" t="str">
        <f t="shared" ref="BF69:BF132" si="7">IF($BC69="No","No aplica",IF($BE69="Sí","Ejecutado","Programado pendiente"))</f>
        <v>No aplica</v>
      </c>
      <c r="BG69" s="12">
        <f>C69</f>
        <v>46088</v>
      </c>
      <c r="BH69" s="68"/>
    </row>
    <row r="70" spans="1:60" ht="30.6" hidden="1" customHeight="1" x14ac:dyDescent="0.3">
      <c r="A70" s="150"/>
      <c r="B70" s="78" t="s">
        <v>52</v>
      </c>
      <c r="C70" s="12">
        <v>46089</v>
      </c>
      <c r="D70" s="20">
        <f t="shared" si="6"/>
        <v>0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20"/>
      <c r="AL70" s="20"/>
      <c r="AM70" s="19"/>
      <c r="AN70" s="19"/>
      <c r="AO70" s="19"/>
      <c r="AP70" s="19"/>
      <c r="AQ70" s="20"/>
      <c r="AR70" s="20"/>
      <c r="AS70" s="20"/>
      <c r="AT70" s="20"/>
      <c r="AU70" s="20"/>
      <c r="AV70" s="29"/>
      <c r="AW70" s="11"/>
      <c r="AX70" s="11"/>
      <c r="AY70" s="11"/>
      <c r="AZ70" s="11"/>
      <c r="BA70" s="11"/>
      <c r="BB70" s="13"/>
      <c r="BC70" s="11" t="str">
        <f t="shared" si="4"/>
        <v>No</v>
      </c>
      <c r="BD70" s="22" t="str">
        <f t="shared" si="5"/>
        <v/>
      </c>
      <c r="BE70" s="11" t="s">
        <v>47</v>
      </c>
      <c r="BF70" s="11" t="str">
        <f t="shared" si="7"/>
        <v>No aplica</v>
      </c>
      <c r="BG70" s="12">
        <v>46105</v>
      </c>
      <c r="BH70" s="68" t="s">
        <v>87</v>
      </c>
    </row>
    <row r="71" spans="1:60" ht="18" hidden="1" customHeight="1" x14ac:dyDescent="0.3">
      <c r="A71" s="150"/>
      <c r="B71" s="78" t="s">
        <v>54</v>
      </c>
      <c r="C71" s="12">
        <v>46090</v>
      </c>
      <c r="D71" s="20">
        <f t="shared" si="6"/>
        <v>0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20"/>
      <c r="AN71" s="20"/>
      <c r="AO71" s="19"/>
      <c r="AP71" s="19"/>
      <c r="AQ71" s="20"/>
      <c r="AR71" s="20"/>
      <c r="AS71" s="20"/>
      <c r="AT71" s="20"/>
      <c r="AU71" s="20"/>
      <c r="AV71" s="29"/>
      <c r="AW71" s="11"/>
      <c r="AX71" s="11"/>
      <c r="AY71" s="11"/>
      <c r="AZ71" s="11"/>
      <c r="BA71" s="11"/>
      <c r="BB71" s="13"/>
      <c r="BC71" s="11" t="str">
        <f t="shared" si="4"/>
        <v>No</v>
      </c>
      <c r="BD71" s="22" t="str">
        <f t="shared" si="5"/>
        <v/>
      </c>
      <c r="BE71" s="11"/>
      <c r="BF71" s="11" t="str">
        <f t="shared" si="7"/>
        <v>No aplica</v>
      </c>
      <c r="BG71" s="12"/>
      <c r="BH71" s="68"/>
    </row>
    <row r="72" spans="1:60" ht="30" hidden="1" customHeight="1" x14ac:dyDescent="0.3">
      <c r="A72" s="150"/>
      <c r="B72" s="78" t="s">
        <v>56</v>
      </c>
      <c r="C72" s="12">
        <v>46091</v>
      </c>
      <c r="D72" s="20">
        <f t="shared" si="6"/>
        <v>0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20"/>
      <c r="AP72" s="20"/>
      <c r="AQ72" s="20">
        <v>10</v>
      </c>
      <c r="AR72" s="20">
        <v>20</v>
      </c>
      <c r="AS72" s="20"/>
      <c r="AT72" s="20"/>
      <c r="AU72" s="20"/>
      <c r="AV72" s="29"/>
      <c r="AW72" s="11"/>
      <c r="AX72" s="11"/>
      <c r="AY72" s="11"/>
      <c r="AZ72" s="11"/>
      <c r="BA72" s="11"/>
      <c r="BB72" s="13"/>
      <c r="BC72" s="11" t="str">
        <f t="shared" si="4"/>
        <v>Sí</v>
      </c>
      <c r="BD72" s="55" t="str">
        <f t="shared" si="5"/>
        <v>SWG</v>
      </c>
      <c r="BE72" s="11" t="s">
        <v>47</v>
      </c>
      <c r="BF72" s="11" t="str">
        <f t="shared" si="7"/>
        <v>Ejecutado</v>
      </c>
      <c r="BG72" s="12">
        <v>46106</v>
      </c>
      <c r="BH72" s="68" t="s">
        <v>88</v>
      </c>
    </row>
    <row r="73" spans="1:60" ht="18" hidden="1" customHeight="1" x14ac:dyDescent="0.3">
      <c r="A73" s="150"/>
      <c r="B73" s="78" t="s">
        <v>57</v>
      </c>
      <c r="C73" s="12">
        <v>46092</v>
      </c>
      <c r="D73" s="20">
        <f t="shared" si="6"/>
        <v>0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9"/>
      <c r="AW73" s="11"/>
      <c r="AX73" s="11"/>
      <c r="AY73" s="11"/>
      <c r="AZ73" s="11"/>
      <c r="BA73" s="11"/>
      <c r="BB73" s="13"/>
      <c r="BC73" s="11" t="str">
        <f t="shared" si="4"/>
        <v>No</v>
      </c>
      <c r="BD73" s="22" t="str">
        <f t="shared" si="5"/>
        <v/>
      </c>
      <c r="BE73" s="11"/>
      <c r="BF73" s="11" t="str">
        <f t="shared" si="7"/>
        <v>No aplica</v>
      </c>
      <c r="BG73" s="12"/>
      <c r="BH73" s="68"/>
    </row>
    <row r="74" spans="1:60" ht="18" hidden="1" customHeight="1" x14ac:dyDescent="0.3">
      <c r="A74" s="150"/>
      <c r="B74" s="78" t="s">
        <v>46</v>
      </c>
      <c r="C74" s="12">
        <v>46093</v>
      </c>
      <c r="D74" s="20">
        <f t="shared" si="6"/>
        <v>0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9"/>
      <c r="AW74" s="11"/>
      <c r="AX74" s="11"/>
      <c r="AY74" s="11"/>
      <c r="AZ74" s="11"/>
      <c r="BA74" s="11"/>
      <c r="BB74" s="13"/>
      <c r="BC74" s="11" t="str">
        <f t="shared" si="4"/>
        <v>No</v>
      </c>
      <c r="BD74" s="22" t="str">
        <f t="shared" si="5"/>
        <v/>
      </c>
      <c r="BE74" s="11"/>
      <c r="BF74" s="11" t="str">
        <f t="shared" si="7"/>
        <v>No aplica</v>
      </c>
      <c r="BG74" s="12"/>
      <c r="BH74" s="68"/>
    </row>
    <row r="75" spans="1:60" ht="18" hidden="1" customHeight="1" x14ac:dyDescent="0.3">
      <c r="A75" s="150"/>
      <c r="B75" s="78" t="s">
        <v>49</v>
      </c>
      <c r="C75" s="12">
        <v>46094</v>
      </c>
      <c r="D75" s="20">
        <f t="shared" si="6"/>
        <v>0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9"/>
      <c r="AW75" s="11"/>
      <c r="AX75" s="11"/>
      <c r="AY75" s="11"/>
      <c r="AZ75" s="11"/>
      <c r="BA75" s="11"/>
      <c r="BB75" s="13"/>
      <c r="BC75" s="11" t="str">
        <f t="shared" si="4"/>
        <v>No</v>
      </c>
      <c r="BD75" s="22" t="str">
        <f t="shared" si="5"/>
        <v/>
      </c>
      <c r="BE75" s="11"/>
      <c r="BF75" s="11" t="str">
        <f t="shared" si="7"/>
        <v>No aplica</v>
      </c>
      <c r="BG75" s="12"/>
      <c r="BH75" s="68"/>
    </row>
    <row r="76" spans="1:60" ht="27.6" hidden="1" customHeight="1" x14ac:dyDescent="0.3">
      <c r="A76" s="150"/>
      <c r="B76" s="78" t="s">
        <v>50</v>
      </c>
      <c r="C76" s="12">
        <v>46095</v>
      </c>
      <c r="D76" s="20">
        <f t="shared" si="6"/>
        <v>0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9"/>
      <c r="AW76" s="11"/>
      <c r="AX76" s="11"/>
      <c r="AY76" s="11"/>
      <c r="AZ76" s="11"/>
      <c r="BA76" s="11"/>
      <c r="BB76" s="13"/>
      <c r="BC76" s="11" t="str">
        <f t="shared" si="4"/>
        <v>No</v>
      </c>
      <c r="BD76" s="22" t="str">
        <f t="shared" si="5"/>
        <v/>
      </c>
      <c r="BE76" s="11" t="s">
        <v>47</v>
      </c>
      <c r="BF76" s="11" t="str">
        <f t="shared" si="7"/>
        <v>No aplica</v>
      </c>
      <c r="BG76" s="56" t="s">
        <v>89</v>
      </c>
      <c r="BH76" s="68" t="s">
        <v>90</v>
      </c>
    </row>
    <row r="77" spans="1:60" ht="18" hidden="1" customHeight="1" x14ac:dyDescent="0.3">
      <c r="A77" s="150"/>
      <c r="B77" s="78" t="s">
        <v>52</v>
      </c>
      <c r="C77" s="12">
        <v>46096</v>
      </c>
      <c r="D77" s="20">
        <f t="shared" si="6"/>
        <v>0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9"/>
      <c r="AW77" s="11"/>
      <c r="AX77" s="11"/>
      <c r="AY77" s="11"/>
      <c r="AZ77" s="11"/>
      <c r="BA77" s="11"/>
      <c r="BB77" s="13"/>
      <c r="BC77" s="11" t="str">
        <f t="shared" si="4"/>
        <v>No</v>
      </c>
      <c r="BD77" s="22" t="str">
        <f t="shared" si="5"/>
        <v/>
      </c>
      <c r="BE77" s="11"/>
      <c r="BF77" s="11" t="str">
        <f t="shared" si="7"/>
        <v>No aplica</v>
      </c>
      <c r="BG77" s="12"/>
      <c r="BH77" s="68"/>
    </row>
    <row r="78" spans="1:60" ht="12.6" hidden="1" customHeight="1" x14ac:dyDescent="0.3">
      <c r="A78" s="150"/>
      <c r="B78" s="78" t="s">
        <v>54</v>
      </c>
      <c r="C78" s="12">
        <v>46097</v>
      </c>
      <c r="D78" s="20">
        <f t="shared" si="6"/>
        <v>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9"/>
      <c r="AW78" s="11"/>
      <c r="AX78" s="11"/>
      <c r="AY78" s="11"/>
      <c r="AZ78" s="11"/>
      <c r="BA78" s="11"/>
      <c r="BB78" s="13"/>
      <c r="BC78" s="11" t="str">
        <f t="shared" si="4"/>
        <v>No</v>
      </c>
      <c r="BD78" s="22" t="str">
        <f t="shared" si="5"/>
        <v/>
      </c>
      <c r="BE78" s="11"/>
      <c r="BF78" s="11" t="str">
        <f t="shared" si="7"/>
        <v>No aplica</v>
      </c>
      <c r="BG78" s="12"/>
      <c r="BH78" s="68"/>
    </row>
    <row r="79" spans="1:60" ht="18" hidden="1" customHeight="1" x14ac:dyDescent="0.3">
      <c r="A79" s="150"/>
      <c r="B79" s="78" t="s">
        <v>56</v>
      </c>
      <c r="C79" s="12">
        <v>46098</v>
      </c>
      <c r="D79" s="20">
        <f t="shared" si="6"/>
        <v>0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0"/>
      <c r="AR79" s="20"/>
      <c r="AS79" s="20"/>
      <c r="AT79" s="20"/>
      <c r="AU79" s="20"/>
      <c r="AV79" s="29"/>
      <c r="AW79" s="11"/>
      <c r="AX79" s="11"/>
      <c r="AY79" s="11"/>
      <c r="AZ79" s="11"/>
      <c r="BA79" s="11"/>
      <c r="BB79" s="13"/>
      <c r="BC79" s="11" t="str">
        <f t="shared" si="4"/>
        <v>No</v>
      </c>
      <c r="BD79" s="22" t="str">
        <f t="shared" si="5"/>
        <v/>
      </c>
      <c r="BE79" s="11" t="s">
        <v>47</v>
      </c>
      <c r="BF79" s="11" t="str">
        <f t="shared" si="7"/>
        <v>No aplica</v>
      </c>
      <c r="BG79" s="12">
        <v>46092</v>
      </c>
      <c r="BH79" s="68" t="s">
        <v>48</v>
      </c>
    </row>
    <row r="80" spans="1:60" ht="18" hidden="1" customHeight="1" x14ac:dyDescent="0.3">
      <c r="A80" s="150"/>
      <c r="B80" s="78" t="s">
        <v>57</v>
      </c>
      <c r="C80" s="12">
        <v>46099</v>
      </c>
      <c r="D80" s="20">
        <f t="shared" si="6"/>
        <v>0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20"/>
      <c r="AR80" s="20"/>
      <c r="AS80" s="20"/>
      <c r="AT80" s="20"/>
      <c r="AU80" s="20"/>
      <c r="AV80" s="29"/>
      <c r="AW80" s="11"/>
      <c r="AX80" s="11"/>
      <c r="AY80" s="11"/>
      <c r="AZ80" s="11"/>
      <c r="BA80" s="11"/>
      <c r="BB80" s="13"/>
      <c r="BC80" s="11" t="str">
        <f t="shared" si="4"/>
        <v>No</v>
      </c>
      <c r="BD80" s="22" t="str">
        <f t="shared" si="5"/>
        <v/>
      </c>
      <c r="BE80" s="11" t="s">
        <v>47</v>
      </c>
      <c r="BF80" s="11" t="str">
        <f t="shared" si="7"/>
        <v>No aplica</v>
      </c>
      <c r="BG80" s="12">
        <v>46099</v>
      </c>
      <c r="BH80" s="68" t="s">
        <v>91</v>
      </c>
    </row>
    <row r="81" spans="1:60" ht="18" hidden="1" customHeight="1" x14ac:dyDescent="0.3">
      <c r="A81" s="150"/>
      <c r="B81" s="78" t="s">
        <v>46</v>
      </c>
      <c r="C81" s="12">
        <v>46100</v>
      </c>
      <c r="D81" s="20">
        <f t="shared" si="6"/>
        <v>0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20"/>
      <c r="AD81" s="20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20"/>
      <c r="AR81" s="20"/>
      <c r="AS81" s="20"/>
      <c r="AT81" s="20"/>
      <c r="AU81" s="20"/>
      <c r="AV81" s="29"/>
      <c r="AW81" s="11"/>
      <c r="AX81" s="11"/>
      <c r="AY81" s="11"/>
      <c r="AZ81" s="11"/>
      <c r="BA81" s="11"/>
      <c r="BB81" s="13"/>
      <c r="BC81" s="11" t="str">
        <f t="shared" si="4"/>
        <v>No</v>
      </c>
      <c r="BD81" s="22" t="str">
        <f t="shared" si="5"/>
        <v/>
      </c>
      <c r="BE81" s="11" t="s">
        <v>84</v>
      </c>
      <c r="BF81" s="11" t="str">
        <f t="shared" si="7"/>
        <v>No aplica</v>
      </c>
      <c r="BG81" s="12"/>
      <c r="BH81" s="68" t="s">
        <v>92</v>
      </c>
    </row>
    <row r="82" spans="1:60" ht="18" hidden="1" customHeight="1" x14ac:dyDescent="0.3">
      <c r="A82" s="150"/>
      <c r="B82" s="78" t="s">
        <v>49</v>
      </c>
      <c r="C82" s="12">
        <v>46101</v>
      </c>
      <c r="D82" s="20">
        <f t="shared" si="6"/>
        <v>0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/>
      <c r="AF82" s="20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20"/>
      <c r="AR82" s="20"/>
      <c r="AS82" s="20"/>
      <c r="AT82" s="20"/>
      <c r="AU82" s="20"/>
      <c r="AV82" s="29"/>
      <c r="AW82" s="11"/>
      <c r="AX82" s="11"/>
      <c r="AY82" s="11"/>
      <c r="AZ82" s="11"/>
      <c r="BA82" s="11"/>
      <c r="BB82" s="13"/>
      <c r="BC82" s="11" t="str">
        <f t="shared" si="4"/>
        <v>No</v>
      </c>
      <c r="BD82" s="22" t="str">
        <f t="shared" si="5"/>
        <v/>
      </c>
      <c r="BE82" s="11"/>
      <c r="BF82" s="11" t="str">
        <f t="shared" si="7"/>
        <v>No aplica</v>
      </c>
      <c r="BG82" s="12"/>
      <c r="BH82" s="68"/>
    </row>
    <row r="83" spans="1:60" ht="18" hidden="1" customHeight="1" x14ac:dyDescent="0.3">
      <c r="A83" s="150"/>
      <c r="B83" s="78" t="s">
        <v>50</v>
      </c>
      <c r="C83" s="12">
        <v>46102</v>
      </c>
      <c r="D83" s="20">
        <f t="shared" si="6"/>
        <v>0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20"/>
      <c r="AH83" s="20"/>
      <c r="AI83" s="19"/>
      <c r="AJ83" s="19"/>
      <c r="AK83" s="19"/>
      <c r="AL83" s="19"/>
      <c r="AM83" s="19"/>
      <c r="AN83" s="19"/>
      <c r="AO83" s="19"/>
      <c r="AP83" s="19"/>
      <c r="AQ83" s="20"/>
      <c r="AR83" s="20"/>
      <c r="AS83" s="20"/>
      <c r="AT83" s="20"/>
      <c r="AU83" s="20"/>
      <c r="AV83" s="29"/>
      <c r="AW83" s="11"/>
      <c r="AX83" s="11"/>
      <c r="AY83" s="11"/>
      <c r="AZ83" s="11"/>
      <c r="BA83" s="11"/>
      <c r="BB83" s="13"/>
      <c r="BC83" s="11" t="str">
        <f t="shared" si="4"/>
        <v>No</v>
      </c>
      <c r="BD83" s="22" t="str">
        <f t="shared" si="5"/>
        <v/>
      </c>
      <c r="BE83" s="11"/>
      <c r="BF83" s="11" t="str">
        <f t="shared" si="7"/>
        <v>No aplica</v>
      </c>
      <c r="BG83" s="12"/>
      <c r="BH83" s="68"/>
    </row>
    <row r="84" spans="1:60" ht="18" hidden="1" customHeight="1" x14ac:dyDescent="0.3">
      <c r="A84" s="150"/>
      <c r="B84" s="78" t="s">
        <v>52</v>
      </c>
      <c r="C84" s="12">
        <v>46103</v>
      </c>
      <c r="D84" s="20">
        <f t="shared" si="6"/>
        <v>0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20"/>
      <c r="AJ84" s="20"/>
      <c r="AK84" s="19"/>
      <c r="AL84" s="19"/>
      <c r="AM84" s="19"/>
      <c r="AN84" s="19"/>
      <c r="AO84" s="19"/>
      <c r="AP84" s="19"/>
      <c r="AQ84" s="20"/>
      <c r="AR84" s="20"/>
      <c r="AS84" s="20"/>
      <c r="AT84" s="20"/>
      <c r="AU84" s="20"/>
      <c r="AV84" s="29"/>
      <c r="AW84" s="11"/>
      <c r="AX84" s="11"/>
      <c r="AY84" s="11"/>
      <c r="AZ84" s="11"/>
      <c r="BA84" s="11"/>
      <c r="BB84" s="13"/>
      <c r="BC84" s="11" t="str">
        <f t="shared" si="4"/>
        <v>No</v>
      </c>
      <c r="BD84" s="22" t="str">
        <f t="shared" si="5"/>
        <v/>
      </c>
      <c r="BE84" s="11" t="s">
        <v>47</v>
      </c>
      <c r="BF84" s="11" t="str">
        <f t="shared" si="7"/>
        <v>No aplica</v>
      </c>
      <c r="BG84" s="12">
        <f>C84</f>
        <v>46103</v>
      </c>
      <c r="BH84" s="68"/>
    </row>
    <row r="85" spans="1:60" ht="18" hidden="1" customHeight="1" x14ac:dyDescent="0.3">
      <c r="A85" s="150"/>
      <c r="B85" s="78" t="s">
        <v>54</v>
      </c>
      <c r="C85" s="12">
        <v>46104</v>
      </c>
      <c r="D85" s="20">
        <f t="shared" si="6"/>
        <v>0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20"/>
      <c r="AL85" s="20"/>
      <c r="AM85" s="19"/>
      <c r="AN85" s="19"/>
      <c r="AO85" s="19"/>
      <c r="AP85" s="19"/>
      <c r="AQ85" s="20"/>
      <c r="AR85" s="20"/>
      <c r="AS85" s="20"/>
      <c r="AT85" s="20"/>
      <c r="AU85" s="20"/>
      <c r="AV85" s="29"/>
      <c r="AW85" s="11"/>
      <c r="AX85" s="11"/>
      <c r="AY85" s="11"/>
      <c r="AZ85" s="11"/>
      <c r="BA85" s="11"/>
      <c r="BB85" s="13"/>
      <c r="BC85" s="11" t="str">
        <f t="shared" si="4"/>
        <v>No</v>
      </c>
      <c r="BD85" s="22" t="str">
        <f t="shared" si="5"/>
        <v/>
      </c>
      <c r="BE85" s="11"/>
      <c r="BF85" s="11" t="str">
        <f t="shared" si="7"/>
        <v>No aplica</v>
      </c>
      <c r="BG85" s="12"/>
      <c r="BH85" s="68"/>
    </row>
    <row r="86" spans="1:60" ht="18" hidden="1" customHeight="1" x14ac:dyDescent="0.3">
      <c r="A86" s="150"/>
      <c r="B86" s="78" t="s">
        <v>56</v>
      </c>
      <c r="C86" s="12">
        <v>46105</v>
      </c>
      <c r="D86" s="20">
        <f t="shared" si="6"/>
        <v>0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20"/>
      <c r="AN86" s="20"/>
      <c r="AO86" s="19"/>
      <c r="AP86" s="19"/>
      <c r="AQ86" s="20"/>
      <c r="AR86" s="20"/>
      <c r="AS86" s="20"/>
      <c r="AT86" s="20"/>
      <c r="AU86" s="20"/>
      <c r="AV86" s="29"/>
      <c r="AW86" s="11"/>
      <c r="AX86" s="11"/>
      <c r="AY86" s="11"/>
      <c r="AZ86" s="11"/>
      <c r="BA86" s="11"/>
      <c r="BB86" s="13"/>
      <c r="BC86" s="11" t="str">
        <f t="shared" si="4"/>
        <v>No</v>
      </c>
      <c r="BD86" s="22" t="str">
        <f t="shared" si="5"/>
        <v/>
      </c>
      <c r="BE86" s="11"/>
      <c r="BF86" s="11" t="str">
        <f t="shared" si="7"/>
        <v>No aplica</v>
      </c>
      <c r="BG86" s="12"/>
      <c r="BH86" s="68"/>
    </row>
    <row r="87" spans="1:60" ht="18" hidden="1" customHeight="1" x14ac:dyDescent="0.3">
      <c r="A87" s="150"/>
      <c r="B87" s="78" t="s">
        <v>57</v>
      </c>
      <c r="C87" s="12">
        <v>46106</v>
      </c>
      <c r="D87" s="20">
        <f t="shared" si="6"/>
        <v>0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  <c r="AV87" s="29"/>
      <c r="AW87" s="11"/>
      <c r="AX87" s="11"/>
      <c r="AY87" s="11"/>
      <c r="AZ87" s="11"/>
      <c r="BA87" s="11"/>
      <c r="BB87" s="13"/>
      <c r="BC87" s="11" t="str">
        <f t="shared" si="4"/>
        <v>No</v>
      </c>
      <c r="BD87" s="22" t="str">
        <f t="shared" si="5"/>
        <v/>
      </c>
      <c r="BE87" s="11"/>
      <c r="BF87" s="11" t="str">
        <f t="shared" si="7"/>
        <v>No aplica</v>
      </c>
      <c r="BG87" s="12"/>
      <c r="BH87" s="68"/>
    </row>
    <row r="88" spans="1:60" ht="18" hidden="1" customHeight="1" x14ac:dyDescent="0.3">
      <c r="A88" s="150"/>
      <c r="B88" s="78" t="s">
        <v>46</v>
      </c>
      <c r="C88" s="12">
        <v>46107</v>
      </c>
      <c r="D88" s="20">
        <f t="shared" si="6"/>
        <v>0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9"/>
      <c r="AW88" s="11"/>
      <c r="AX88" s="11"/>
      <c r="AY88" s="11"/>
      <c r="AZ88" s="11"/>
      <c r="BA88" s="11"/>
      <c r="BB88" s="13"/>
      <c r="BC88" s="11" t="str">
        <f t="shared" si="4"/>
        <v>No</v>
      </c>
      <c r="BD88" s="22" t="str">
        <f t="shared" si="5"/>
        <v/>
      </c>
      <c r="BE88" s="11" t="s">
        <v>47</v>
      </c>
      <c r="BF88" s="11" t="str">
        <f t="shared" si="7"/>
        <v>No aplica</v>
      </c>
      <c r="BG88" s="12">
        <v>46107</v>
      </c>
      <c r="BH88" s="68" t="s">
        <v>48</v>
      </c>
    </row>
    <row r="89" spans="1:60" ht="18" hidden="1" customHeight="1" x14ac:dyDescent="0.3">
      <c r="A89" s="150"/>
      <c r="B89" s="78" t="s">
        <v>49</v>
      </c>
      <c r="C89" s="12">
        <v>46108</v>
      </c>
      <c r="D89" s="20">
        <f t="shared" si="6"/>
        <v>0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9"/>
      <c r="AW89" s="11"/>
      <c r="AX89" s="11"/>
      <c r="AY89" s="11"/>
      <c r="AZ89" s="11"/>
      <c r="BA89" s="11"/>
      <c r="BB89" s="13"/>
      <c r="BC89" s="11" t="str">
        <f t="shared" si="4"/>
        <v>No</v>
      </c>
      <c r="BD89" s="22" t="str">
        <f t="shared" si="5"/>
        <v/>
      </c>
      <c r="BE89" s="11"/>
      <c r="BF89" s="11" t="str">
        <f t="shared" si="7"/>
        <v>No aplica</v>
      </c>
      <c r="BG89" s="12"/>
      <c r="BH89" s="68"/>
    </row>
    <row r="90" spans="1:60" ht="18" hidden="1" customHeight="1" x14ac:dyDescent="0.3">
      <c r="A90" s="150"/>
      <c r="B90" s="78" t="s">
        <v>50</v>
      </c>
      <c r="C90" s="12">
        <v>46109</v>
      </c>
      <c r="D90" s="20">
        <f t="shared" si="6"/>
        <v>0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9"/>
      <c r="AW90" s="11"/>
      <c r="AX90" s="11"/>
      <c r="AY90" s="11"/>
      <c r="AZ90" s="11"/>
      <c r="BA90" s="11"/>
      <c r="BB90" s="13"/>
      <c r="BC90" s="11" t="str">
        <f t="shared" si="4"/>
        <v>No</v>
      </c>
      <c r="BD90" s="22" t="str">
        <f t="shared" si="5"/>
        <v/>
      </c>
      <c r="BE90" s="11"/>
      <c r="BF90" s="11" t="str">
        <f t="shared" si="7"/>
        <v>No aplica</v>
      </c>
      <c r="BG90" s="12"/>
      <c r="BH90" s="68"/>
    </row>
    <row r="91" spans="1:60" ht="18" hidden="1" customHeight="1" x14ac:dyDescent="0.3">
      <c r="A91" s="150"/>
      <c r="B91" s="78" t="s">
        <v>52</v>
      </c>
      <c r="C91" s="12">
        <v>46110</v>
      </c>
      <c r="D91" s="20">
        <f t="shared" si="6"/>
        <v>0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9"/>
      <c r="AW91" s="11"/>
      <c r="AX91" s="11"/>
      <c r="AY91" s="11"/>
      <c r="AZ91" s="11"/>
      <c r="BA91" s="11"/>
      <c r="BB91" s="13"/>
      <c r="BC91" s="11" t="str">
        <f t="shared" si="4"/>
        <v>No</v>
      </c>
      <c r="BD91" s="22" t="str">
        <f t="shared" si="5"/>
        <v/>
      </c>
      <c r="BE91" s="11"/>
      <c r="BF91" s="11" t="str">
        <f t="shared" si="7"/>
        <v>No aplica</v>
      </c>
      <c r="BG91" s="12"/>
      <c r="BH91" s="68"/>
    </row>
    <row r="92" spans="1:60" ht="18" hidden="1" customHeight="1" x14ac:dyDescent="0.3">
      <c r="A92" s="150"/>
      <c r="B92" s="78" t="s">
        <v>54</v>
      </c>
      <c r="C92" s="12">
        <v>46111</v>
      </c>
      <c r="D92" s="20">
        <f t="shared" si="6"/>
        <v>0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9"/>
      <c r="AW92" s="11"/>
      <c r="AX92" s="11"/>
      <c r="AY92" s="11"/>
      <c r="AZ92" s="11"/>
      <c r="BA92" s="11"/>
      <c r="BB92" s="13"/>
      <c r="BC92" s="11" t="str">
        <f t="shared" si="4"/>
        <v>No</v>
      </c>
      <c r="BD92" s="22" t="str">
        <f t="shared" si="5"/>
        <v/>
      </c>
      <c r="BE92" s="11"/>
      <c r="BF92" s="11" t="str">
        <f t="shared" si="7"/>
        <v>No aplica</v>
      </c>
      <c r="BG92" s="12"/>
      <c r="BH92" s="68"/>
    </row>
    <row r="93" spans="1:60" ht="18" hidden="1" customHeight="1" thickBot="1" x14ac:dyDescent="0.35">
      <c r="A93" s="151"/>
      <c r="B93" s="53" t="s">
        <v>56</v>
      </c>
      <c r="C93" s="30">
        <v>46112</v>
      </c>
      <c r="D93" s="31">
        <f t="shared" si="6"/>
        <v>0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3"/>
      <c r="AW93" s="70"/>
      <c r="AX93" s="70"/>
      <c r="AY93" s="70"/>
      <c r="AZ93" s="70"/>
      <c r="BA93" s="70"/>
      <c r="BB93" s="71"/>
      <c r="BC93" s="70" t="str">
        <f t="shared" si="4"/>
        <v>No</v>
      </c>
      <c r="BD93" s="72" t="str">
        <f t="shared" si="5"/>
        <v/>
      </c>
      <c r="BE93" s="70"/>
      <c r="BF93" s="70" t="str">
        <f t="shared" si="7"/>
        <v>No aplica</v>
      </c>
      <c r="BG93" s="30"/>
      <c r="BH93" s="73"/>
    </row>
    <row r="94" spans="1:60" ht="18" hidden="1" customHeight="1" x14ac:dyDescent="0.3">
      <c r="A94" s="148" t="s">
        <v>58</v>
      </c>
      <c r="B94" s="48" t="s">
        <v>93</v>
      </c>
      <c r="C94" s="15">
        <v>46113</v>
      </c>
      <c r="D94" s="27">
        <f t="shared" si="6"/>
        <v>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27"/>
      <c r="AR94" s="27"/>
      <c r="AS94" s="27"/>
      <c r="AT94" s="27"/>
      <c r="AU94" s="27"/>
      <c r="AV94" s="28"/>
      <c r="AW94" s="14"/>
      <c r="AX94" s="14"/>
      <c r="AY94" s="14"/>
      <c r="AZ94" s="14"/>
      <c r="BA94" s="14"/>
      <c r="BB94" s="65"/>
      <c r="BC94" s="14" t="str">
        <f t="shared" si="4"/>
        <v>No</v>
      </c>
      <c r="BD94" s="21" t="str">
        <f t="shared" si="5"/>
        <v/>
      </c>
      <c r="BE94" s="14" t="s">
        <v>47</v>
      </c>
      <c r="BF94" s="14" t="str">
        <f t="shared" si="7"/>
        <v>No aplica</v>
      </c>
      <c r="BG94" s="15">
        <v>46111</v>
      </c>
      <c r="BH94" s="66" t="s">
        <v>48</v>
      </c>
    </row>
    <row r="95" spans="1:60" ht="18" hidden="1" customHeight="1" x14ac:dyDescent="0.3">
      <c r="A95" s="150"/>
      <c r="B95" s="78" t="s">
        <v>94</v>
      </c>
      <c r="C95" s="12">
        <v>46114</v>
      </c>
      <c r="D95" s="20">
        <f t="shared" si="6"/>
        <v>0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20"/>
      <c r="AR95" s="20"/>
      <c r="AS95" s="20"/>
      <c r="AT95" s="20"/>
      <c r="AU95" s="20"/>
      <c r="AV95" s="29"/>
      <c r="AW95" s="11"/>
      <c r="AX95" s="11"/>
      <c r="AY95" s="11"/>
      <c r="AZ95" s="11"/>
      <c r="BA95" s="11"/>
      <c r="BB95" s="13"/>
      <c r="BC95" s="11" t="str">
        <f t="shared" si="4"/>
        <v>No</v>
      </c>
      <c r="BD95" s="22" t="str">
        <f t="shared" si="5"/>
        <v/>
      </c>
      <c r="BE95" s="11" t="s">
        <v>47</v>
      </c>
      <c r="BF95" s="11" t="str">
        <f t="shared" si="7"/>
        <v>No aplica</v>
      </c>
      <c r="BG95" s="12">
        <v>46113</v>
      </c>
      <c r="BH95" s="68" t="s">
        <v>48</v>
      </c>
    </row>
    <row r="96" spans="1:60" ht="30.6" hidden="1" customHeight="1" x14ac:dyDescent="0.3">
      <c r="A96" s="150"/>
      <c r="B96" s="78" t="s">
        <v>95</v>
      </c>
      <c r="C96" s="12">
        <v>46115</v>
      </c>
      <c r="D96" s="20">
        <f t="shared" si="6"/>
        <v>0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20"/>
      <c r="AD96" s="20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20"/>
      <c r="AR96" s="20"/>
      <c r="AS96" s="20"/>
      <c r="AT96" s="20"/>
      <c r="AU96" s="20"/>
      <c r="AV96" s="29"/>
      <c r="AW96" s="11"/>
      <c r="AX96" s="11"/>
      <c r="AY96" s="11"/>
      <c r="AZ96" s="11"/>
      <c r="BA96" s="11"/>
      <c r="BB96" s="13"/>
      <c r="BC96" s="11" t="str">
        <f t="shared" si="4"/>
        <v>No</v>
      </c>
      <c r="BD96" s="22" t="str">
        <f t="shared" si="5"/>
        <v/>
      </c>
      <c r="BE96" s="11" t="s">
        <v>47</v>
      </c>
      <c r="BF96" s="11" t="str">
        <f t="shared" si="7"/>
        <v>No aplica</v>
      </c>
      <c r="BG96" s="12">
        <v>46118</v>
      </c>
      <c r="BH96" s="68" t="s">
        <v>96</v>
      </c>
    </row>
    <row r="97" spans="1:60" ht="18" hidden="1" customHeight="1" x14ac:dyDescent="0.3">
      <c r="A97" s="150"/>
      <c r="B97" s="78" t="s">
        <v>97</v>
      </c>
      <c r="C97" s="12">
        <v>46116</v>
      </c>
      <c r="D97" s="20">
        <f t="shared" si="6"/>
        <v>0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0"/>
      <c r="AF97" s="20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20"/>
      <c r="AR97" s="20"/>
      <c r="AS97" s="20"/>
      <c r="AT97" s="20"/>
      <c r="AU97" s="20"/>
      <c r="AV97" s="29"/>
      <c r="AW97" s="11"/>
      <c r="AX97" s="11"/>
      <c r="AY97" s="11"/>
      <c r="AZ97" s="11"/>
      <c r="BA97" s="11"/>
      <c r="BB97" s="13"/>
      <c r="BC97" s="11" t="str">
        <f t="shared" si="4"/>
        <v>No</v>
      </c>
      <c r="BD97" s="22" t="str">
        <f t="shared" si="5"/>
        <v/>
      </c>
      <c r="BE97" s="11"/>
      <c r="BF97" s="11" t="str">
        <f t="shared" si="7"/>
        <v>No aplica</v>
      </c>
      <c r="BG97" s="12"/>
      <c r="BH97" s="68"/>
    </row>
    <row r="98" spans="1:60" ht="18" hidden="1" customHeight="1" x14ac:dyDescent="0.3">
      <c r="A98" s="150"/>
      <c r="B98" s="78" t="s">
        <v>98</v>
      </c>
      <c r="C98" s="12">
        <v>46117</v>
      </c>
      <c r="D98" s="20">
        <f t="shared" si="6"/>
        <v>0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20"/>
      <c r="AH98" s="20"/>
      <c r="AI98" s="19"/>
      <c r="AJ98" s="19"/>
      <c r="AK98" s="19"/>
      <c r="AL98" s="19"/>
      <c r="AM98" s="19"/>
      <c r="AN98" s="19"/>
      <c r="AO98" s="19"/>
      <c r="AP98" s="19"/>
      <c r="AQ98" s="20"/>
      <c r="AR98" s="20"/>
      <c r="AS98" s="20"/>
      <c r="AT98" s="20"/>
      <c r="AU98" s="20"/>
      <c r="AV98" s="29"/>
      <c r="AW98" s="11"/>
      <c r="AX98" s="11"/>
      <c r="AY98" s="11"/>
      <c r="AZ98" s="11"/>
      <c r="BA98" s="11"/>
      <c r="BB98" s="13"/>
      <c r="BC98" s="11" t="str">
        <f t="shared" si="4"/>
        <v>No</v>
      </c>
      <c r="BD98" s="22" t="str">
        <f t="shared" si="5"/>
        <v/>
      </c>
      <c r="BE98" s="11"/>
      <c r="BF98" s="11" t="str">
        <f t="shared" si="7"/>
        <v>No aplica</v>
      </c>
      <c r="BG98" s="12"/>
      <c r="BH98" s="68"/>
    </row>
    <row r="99" spans="1:60" ht="18" hidden="1" customHeight="1" x14ac:dyDescent="0.3">
      <c r="A99" s="150"/>
      <c r="B99" s="78" t="s">
        <v>99</v>
      </c>
      <c r="C99" s="12">
        <v>46118</v>
      </c>
      <c r="D99" s="20">
        <f t="shared" si="6"/>
        <v>0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20"/>
      <c r="AK99" s="19"/>
      <c r="AL99" s="19"/>
      <c r="AM99" s="19"/>
      <c r="AN99" s="19"/>
      <c r="AO99" s="19"/>
      <c r="AP99" s="19"/>
      <c r="AQ99" s="20"/>
      <c r="AR99" s="20"/>
      <c r="AS99" s="20"/>
      <c r="AT99" s="20"/>
      <c r="AU99" s="20"/>
      <c r="AV99" s="29"/>
      <c r="AW99" s="11"/>
      <c r="AX99" s="11"/>
      <c r="AY99" s="11"/>
      <c r="AZ99" s="11"/>
      <c r="BA99" s="11"/>
      <c r="BB99" s="13"/>
      <c r="BC99" s="11" t="str">
        <f t="shared" si="4"/>
        <v>No</v>
      </c>
      <c r="BD99" s="22" t="str">
        <f t="shared" si="5"/>
        <v/>
      </c>
      <c r="BE99" s="11" t="s">
        <v>47</v>
      </c>
      <c r="BF99" s="11" t="str">
        <f t="shared" si="7"/>
        <v>No aplica</v>
      </c>
      <c r="BG99" s="12">
        <f>C99</f>
        <v>46118</v>
      </c>
      <c r="BH99" s="68"/>
    </row>
    <row r="100" spans="1:60" ht="18" hidden="1" customHeight="1" x14ac:dyDescent="0.3">
      <c r="A100" s="150"/>
      <c r="B100" s="78" t="s">
        <v>100</v>
      </c>
      <c r="C100" s="12">
        <v>46119</v>
      </c>
      <c r="D100" s="20">
        <f t="shared" si="6"/>
        <v>0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20"/>
      <c r="AL100" s="20"/>
      <c r="AM100" s="19"/>
      <c r="AN100" s="19"/>
      <c r="AO100" s="19"/>
      <c r="AP100" s="19"/>
      <c r="AQ100" s="20"/>
      <c r="AR100" s="20"/>
      <c r="AS100" s="20"/>
      <c r="AT100" s="20"/>
      <c r="AU100" s="20"/>
      <c r="AV100" s="29"/>
      <c r="AW100" s="11"/>
      <c r="AX100" s="11"/>
      <c r="AY100" s="11"/>
      <c r="AZ100" s="11"/>
      <c r="BA100" s="11"/>
      <c r="BB100" s="13"/>
      <c r="BC100" s="11" t="str">
        <f t="shared" ref="BC100:BC163" si="8">IF(SUM(E100,G100,I100,K100,M100,O100,Q100,S100,U100,W100,Y100,AA100,AC100,AE100,AG100,AI100,AK100,AM100,AO100,AQ100,AU100)&gt;0,"Sí","No")</f>
        <v>No</v>
      </c>
      <c r="BD100" s="22" t="str">
        <f t="shared" ref="BD100:BD163" si="9">IF($BC100="Sí",_xlfn.TEXTJOIN(", ",TRUE,IF(N(E100)&gt;0,E$3,""),IF(N(G100)&gt;0,G$3,""),IF(N(I100)&gt;0,I$3,""),IF(N(K100)&gt;0,K$3,""),IF(N(M100)&gt;0,M$3,""),IF(N(O100)&gt;0,O$3,""),IF(N(Q100)&gt;0,Q$3,""),IF(N(S100)&gt;0,S$3,""),IF(N(U100)&gt;0,U$3,""),IF(N(W100)&gt;0,W$3,""),IF(N(Y100)&gt;0,Y$3,""),IF(N(AA100)&gt;0,AA$3,""),IF(N(AC100)&gt;0,AC$3,""),IF(N(AE100)&gt;0,AE$3,""),IF(N(AG100)&gt;0,AG$3,""),IF(N(AI100)&gt;0,AI$3,""),IF(N(AK100)&gt;0,AK$3,""),IF(N(AM100)&gt;0,AM$3,""),IF(N(AO100)&gt;0,AO$3,""),IF(N(AQ100)&gt;0,AQ$3,""),IF(N(AU100)&gt;0,AU$3,"")),"")</f>
        <v/>
      </c>
      <c r="BE100" s="11"/>
      <c r="BF100" s="11" t="str">
        <f t="shared" si="7"/>
        <v>No aplica</v>
      </c>
      <c r="BG100" s="12"/>
      <c r="BH100" s="68"/>
    </row>
    <row r="101" spans="1:60" ht="18" hidden="1" customHeight="1" x14ac:dyDescent="0.3">
      <c r="A101" s="150"/>
      <c r="B101" s="78" t="s">
        <v>101</v>
      </c>
      <c r="C101" s="12">
        <v>46120</v>
      </c>
      <c r="D101" s="20">
        <f t="shared" si="6"/>
        <v>0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20"/>
      <c r="AN101" s="20"/>
      <c r="AO101" s="19"/>
      <c r="AP101" s="19"/>
      <c r="AQ101" s="20"/>
      <c r="AR101" s="20"/>
      <c r="AS101" s="20"/>
      <c r="AT101" s="20"/>
      <c r="AU101" s="20"/>
      <c r="AV101" s="29"/>
      <c r="AW101" s="11"/>
      <c r="AX101" s="11"/>
      <c r="AY101" s="11"/>
      <c r="AZ101" s="11"/>
      <c r="BA101" s="11"/>
      <c r="BB101" s="13"/>
      <c r="BC101" s="11" t="str">
        <f t="shared" si="8"/>
        <v>No</v>
      </c>
      <c r="BD101" s="22" t="str">
        <f t="shared" si="9"/>
        <v/>
      </c>
      <c r="BE101" s="11"/>
      <c r="BF101" s="11" t="str">
        <f t="shared" si="7"/>
        <v>No aplica</v>
      </c>
      <c r="BG101" s="12"/>
      <c r="BH101" s="68"/>
    </row>
    <row r="102" spans="1:60" ht="18" hidden="1" customHeight="1" x14ac:dyDescent="0.3">
      <c r="A102" s="150"/>
      <c r="B102" s="78" t="s">
        <v>94</v>
      </c>
      <c r="C102" s="12">
        <v>46121</v>
      </c>
      <c r="D102" s="20">
        <f t="shared" si="6"/>
        <v>0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20"/>
      <c r="AP102" s="20"/>
      <c r="AQ102" s="20"/>
      <c r="AR102" s="20"/>
      <c r="AS102" s="20"/>
      <c r="AT102" s="20"/>
      <c r="AU102" s="20"/>
      <c r="AV102" s="29"/>
      <c r="AW102" s="11"/>
      <c r="AX102" s="11"/>
      <c r="AY102" s="11"/>
      <c r="AZ102" s="11"/>
      <c r="BA102" s="11"/>
      <c r="BB102" s="13"/>
      <c r="BC102" s="11" t="str">
        <f t="shared" si="8"/>
        <v>No</v>
      </c>
      <c r="BD102" s="22" t="str">
        <f t="shared" si="9"/>
        <v/>
      </c>
      <c r="BE102" s="11"/>
      <c r="BF102" s="11" t="str">
        <f t="shared" si="7"/>
        <v>No aplica</v>
      </c>
      <c r="BG102" s="12"/>
      <c r="BH102" s="68"/>
    </row>
    <row r="103" spans="1:60" ht="18" hidden="1" customHeight="1" x14ac:dyDescent="0.3">
      <c r="A103" s="150"/>
      <c r="B103" s="78" t="s">
        <v>95</v>
      </c>
      <c r="C103" s="12">
        <v>46122</v>
      </c>
      <c r="D103" s="20">
        <f t="shared" si="6"/>
        <v>0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9"/>
      <c r="AW103" s="11"/>
      <c r="AX103" s="11"/>
      <c r="AY103" s="11"/>
      <c r="AZ103" s="11"/>
      <c r="BA103" s="11"/>
      <c r="BB103" s="13"/>
      <c r="BC103" s="11" t="str">
        <f t="shared" si="8"/>
        <v>No</v>
      </c>
      <c r="BD103" s="22" t="str">
        <f t="shared" si="9"/>
        <v/>
      </c>
      <c r="BE103" s="11"/>
      <c r="BF103" s="11" t="str">
        <f t="shared" si="7"/>
        <v>No aplica</v>
      </c>
      <c r="BG103" s="12"/>
      <c r="BH103" s="68"/>
    </row>
    <row r="104" spans="1:60" ht="18" hidden="1" customHeight="1" x14ac:dyDescent="0.3">
      <c r="A104" s="150"/>
      <c r="B104" s="78" t="s">
        <v>97</v>
      </c>
      <c r="C104" s="12">
        <v>46123</v>
      </c>
      <c r="D104" s="20">
        <f t="shared" si="6"/>
        <v>0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9"/>
      <c r="AW104" s="11"/>
      <c r="AX104" s="11"/>
      <c r="AY104" s="11"/>
      <c r="AZ104" s="11"/>
      <c r="BA104" s="11"/>
      <c r="BB104" s="13"/>
      <c r="BC104" s="11" t="str">
        <f t="shared" si="8"/>
        <v>No</v>
      </c>
      <c r="BD104" s="22" t="str">
        <f t="shared" si="9"/>
        <v/>
      </c>
      <c r="BE104" s="11"/>
      <c r="BF104" s="11" t="str">
        <f t="shared" si="7"/>
        <v>No aplica</v>
      </c>
      <c r="BG104" s="12"/>
      <c r="BH104" s="68"/>
    </row>
    <row r="105" spans="1:60" ht="18" hidden="1" customHeight="1" x14ac:dyDescent="0.3">
      <c r="A105" s="150"/>
      <c r="B105" s="78" t="s">
        <v>98</v>
      </c>
      <c r="C105" s="12">
        <v>46124</v>
      </c>
      <c r="D105" s="20">
        <f t="shared" si="6"/>
        <v>0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9"/>
      <c r="AW105" s="11"/>
      <c r="AX105" s="11"/>
      <c r="AY105" s="11"/>
      <c r="AZ105" s="11"/>
      <c r="BA105" s="11"/>
      <c r="BB105" s="13"/>
      <c r="BC105" s="11" t="str">
        <f t="shared" si="8"/>
        <v>No</v>
      </c>
      <c r="BD105" s="22" t="str">
        <f t="shared" si="9"/>
        <v/>
      </c>
      <c r="BE105" s="11"/>
      <c r="BF105" s="11" t="str">
        <f t="shared" si="7"/>
        <v>No aplica</v>
      </c>
      <c r="BG105" s="12"/>
      <c r="BH105" s="68"/>
    </row>
    <row r="106" spans="1:60" ht="18" hidden="1" customHeight="1" x14ac:dyDescent="0.3">
      <c r="A106" s="150"/>
      <c r="B106" s="78" t="s">
        <v>99</v>
      </c>
      <c r="C106" s="12">
        <v>46125</v>
      </c>
      <c r="D106" s="20">
        <f t="shared" si="6"/>
        <v>0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9"/>
      <c r="AW106" s="11"/>
      <c r="AX106" s="11"/>
      <c r="AY106" s="11"/>
      <c r="AZ106" s="11"/>
      <c r="BA106" s="11"/>
      <c r="BB106" s="13"/>
      <c r="BC106" s="11" t="str">
        <f t="shared" si="8"/>
        <v>No</v>
      </c>
      <c r="BD106" s="22" t="str">
        <f t="shared" si="9"/>
        <v/>
      </c>
      <c r="BE106" s="11"/>
      <c r="BF106" s="11" t="str">
        <f t="shared" si="7"/>
        <v>No aplica</v>
      </c>
      <c r="BG106" s="12"/>
      <c r="BH106" s="68"/>
    </row>
    <row r="107" spans="1:60" ht="18" hidden="1" customHeight="1" x14ac:dyDescent="0.3">
      <c r="A107" s="150"/>
      <c r="B107" s="78" t="s">
        <v>100</v>
      </c>
      <c r="C107" s="12">
        <v>46126</v>
      </c>
      <c r="D107" s="20">
        <f t="shared" si="6"/>
        <v>0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9"/>
      <c r="AW107" s="11"/>
      <c r="AX107" s="11"/>
      <c r="AY107" s="11"/>
      <c r="AZ107" s="11"/>
      <c r="BA107" s="11"/>
      <c r="BB107" s="13"/>
      <c r="BC107" s="11" t="str">
        <f t="shared" si="8"/>
        <v>No</v>
      </c>
      <c r="BD107" s="22" t="str">
        <f t="shared" si="9"/>
        <v/>
      </c>
      <c r="BE107" s="11"/>
      <c r="BF107" s="11" t="str">
        <f t="shared" si="7"/>
        <v>No aplica</v>
      </c>
      <c r="BG107" s="12"/>
      <c r="BH107" s="68"/>
    </row>
    <row r="108" spans="1:60" ht="18" hidden="1" customHeight="1" x14ac:dyDescent="0.3">
      <c r="A108" s="150"/>
      <c r="B108" s="78" t="s">
        <v>101</v>
      </c>
      <c r="C108" s="12">
        <v>46127</v>
      </c>
      <c r="D108" s="20">
        <f t="shared" si="6"/>
        <v>0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9"/>
      <c r="AW108" s="11"/>
      <c r="AX108" s="11"/>
      <c r="AY108" s="11"/>
      <c r="AZ108" s="11"/>
      <c r="BA108" s="11"/>
      <c r="BB108" s="13"/>
      <c r="BC108" s="11" t="str">
        <f t="shared" si="8"/>
        <v>No</v>
      </c>
      <c r="BD108" s="22" t="str">
        <f t="shared" si="9"/>
        <v/>
      </c>
      <c r="BE108" s="11"/>
      <c r="BF108" s="11" t="str">
        <f t="shared" si="7"/>
        <v>No aplica</v>
      </c>
      <c r="BG108" s="12"/>
      <c r="BH108" s="68"/>
    </row>
    <row r="109" spans="1:60" ht="18" hidden="1" customHeight="1" x14ac:dyDescent="0.3">
      <c r="A109" s="150"/>
      <c r="B109" s="78" t="s">
        <v>94</v>
      </c>
      <c r="C109" s="12">
        <v>46128</v>
      </c>
      <c r="D109" s="20">
        <f t="shared" si="6"/>
        <v>0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0"/>
      <c r="AR109" s="20"/>
      <c r="AS109" s="20"/>
      <c r="AT109" s="20"/>
      <c r="AU109" s="20"/>
      <c r="AV109" s="29"/>
      <c r="AW109" s="11"/>
      <c r="AX109" s="11"/>
      <c r="AY109" s="11"/>
      <c r="AZ109" s="11"/>
      <c r="BA109" s="11"/>
      <c r="BB109" s="13"/>
      <c r="BC109" s="11" t="str">
        <f t="shared" si="8"/>
        <v>No</v>
      </c>
      <c r="BD109" s="22" t="str">
        <f t="shared" si="9"/>
        <v/>
      </c>
      <c r="BE109" s="11" t="s">
        <v>47</v>
      </c>
      <c r="BF109" s="11" t="str">
        <f t="shared" si="7"/>
        <v>No aplica</v>
      </c>
      <c r="BG109" s="12">
        <v>46132</v>
      </c>
      <c r="BH109" s="68" t="s">
        <v>48</v>
      </c>
    </row>
    <row r="110" spans="1:60" ht="18" hidden="1" customHeight="1" x14ac:dyDescent="0.3">
      <c r="A110" s="150"/>
      <c r="B110" s="78" t="s">
        <v>95</v>
      </c>
      <c r="C110" s="12">
        <v>46129</v>
      </c>
      <c r="D110" s="20">
        <f t="shared" si="6"/>
        <v>0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20"/>
      <c r="AR110" s="20"/>
      <c r="AS110" s="20"/>
      <c r="AT110" s="20"/>
      <c r="AU110" s="20"/>
      <c r="AV110" s="29"/>
      <c r="AW110" s="11"/>
      <c r="AX110" s="11"/>
      <c r="AY110" s="11"/>
      <c r="AZ110" s="11"/>
      <c r="BA110" s="11"/>
      <c r="BB110" s="13"/>
      <c r="BC110" s="11" t="str">
        <f t="shared" si="8"/>
        <v>No</v>
      </c>
      <c r="BD110" s="22" t="str">
        <f t="shared" si="9"/>
        <v/>
      </c>
      <c r="BE110" s="11" t="s">
        <v>47</v>
      </c>
      <c r="BF110" s="11" t="str">
        <f t="shared" si="7"/>
        <v>No aplica</v>
      </c>
      <c r="BG110" s="12">
        <v>46134</v>
      </c>
      <c r="BH110" s="68" t="s">
        <v>48</v>
      </c>
    </row>
    <row r="111" spans="1:60" ht="18" hidden="1" customHeight="1" x14ac:dyDescent="0.3">
      <c r="A111" s="150"/>
      <c r="B111" s="78" t="s">
        <v>97</v>
      </c>
      <c r="C111" s="12">
        <v>46130</v>
      </c>
      <c r="D111" s="20">
        <f t="shared" si="6"/>
        <v>0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20"/>
      <c r="AD111" s="20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20"/>
      <c r="AR111" s="20"/>
      <c r="AS111" s="20"/>
      <c r="AT111" s="20"/>
      <c r="AU111" s="20"/>
      <c r="AV111" s="29"/>
      <c r="AW111" s="11"/>
      <c r="AX111" s="11"/>
      <c r="AY111" s="11"/>
      <c r="AZ111" s="11"/>
      <c r="BA111" s="11"/>
      <c r="BB111" s="13"/>
      <c r="BC111" s="11" t="str">
        <f t="shared" si="8"/>
        <v>No</v>
      </c>
      <c r="BD111" s="22" t="str">
        <f t="shared" si="9"/>
        <v/>
      </c>
      <c r="BE111" s="11" t="s">
        <v>47</v>
      </c>
      <c r="BF111" s="11" t="str">
        <f t="shared" si="7"/>
        <v>No aplica</v>
      </c>
      <c r="BG111" s="12">
        <v>46130</v>
      </c>
      <c r="BH111" s="68" t="s">
        <v>48</v>
      </c>
    </row>
    <row r="112" spans="1:60" ht="18" hidden="1" customHeight="1" x14ac:dyDescent="0.3">
      <c r="A112" s="150"/>
      <c r="B112" s="78" t="s">
        <v>98</v>
      </c>
      <c r="C112" s="12">
        <v>46131</v>
      </c>
      <c r="D112" s="20">
        <f t="shared" si="6"/>
        <v>0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20"/>
      <c r="AF112" s="20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20"/>
      <c r="AR112" s="20"/>
      <c r="AS112" s="20"/>
      <c r="AT112" s="20"/>
      <c r="AU112" s="20"/>
      <c r="AV112" s="29"/>
      <c r="AW112" s="11"/>
      <c r="AX112" s="11"/>
      <c r="AY112" s="11"/>
      <c r="AZ112" s="11"/>
      <c r="BA112" s="11"/>
      <c r="BB112" s="13"/>
      <c r="BC112" s="11" t="str">
        <f t="shared" si="8"/>
        <v>No</v>
      </c>
      <c r="BD112" s="22" t="str">
        <f t="shared" si="9"/>
        <v/>
      </c>
      <c r="BE112" s="11" t="s">
        <v>47</v>
      </c>
      <c r="BF112" s="11" t="str">
        <f t="shared" si="7"/>
        <v>No aplica</v>
      </c>
      <c r="BG112" s="12">
        <v>46131</v>
      </c>
      <c r="BH112" s="68" t="s">
        <v>48</v>
      </c>
    </row>
    <row r="113" spans="1:60" ht="18" hidden="1" customHeight="1" x14ac:dyDescent="0.3">
      <c r="A113" s="150"/>
      <c r="B113" s="78" t="s">
        <v>99</v>
      </c>
      <c r="C113" s="12">
        <v>46132</v>
      </c>
      <c r="D113" s="20">
        <f t="shared" si="6"/>
        <v>0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20"/>
      <c r="AH113" s="20"/>
      <c r="AI113" s="19"/>
      <c r="AJ113" s="19"/>
      <c r="AK113" s="19"/>
      <c r="AL113" s="19"/>
      <c r="AM113" s="19"/>
      <c r="AN113" s="19"/>
      <c r="AO113" s="19"/>
      <c r="AP113" s="19"/>
      <c r="AQ113" s="20"/>
      <c r="AR113" s="20"/>
      <c r="AS113" s="20"/>
      <c r="AT113" s="20"/>
      <c r="AU113" s="20"/>
      <c r="AV113" s="29"/>
      <c r="AW113" s="11"/>
      <c r="AX113" s="11"/>
      <c r="AY113" s="11"/>
      <c r="AZ113" s="11"/>
      <c r="BA113" s="11"/>
      <c r="BB113" s="13"/>
      <c r="BC113" s="11" t="str">
        <f t="shared" si="8"/>
        <v>No</v>
      </c>
      <c r="BD113" s="22" t="str">
        <f t="shared" si="9"/>
        <v/>
      </c>
      <c r="BE113" s="11"/>
      <c r="BF113" s="11" t="str">
        <f t="shared" si="7"/>
        <v>No aplica</v>
      </c>
      <c r="BG113" s="12"/>
      <c r="BH113" s="68"/>
    </row>
    <row r="114" spans="1:60" ht="18" hidden="1" customHeight="1" x14ac:dyDescent="0.3">
      <c r="A114" s="150"/>
      <c r="B114" s="78" t="s">
        <v>100</v>
      </c>
      <c r="C114" s="12">
        <v>46133</v>
      </c>
      <c r="D114" s="20">
        <f t="shared" si="6"/>
        <v>0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20"/>
      <c r="AJ114" s="20"/>
      <c r="AK114" s="19"/>
      <c r="AL114" s="19"/>
      <c r="AM114" s="19"/>
      <c r="AN114" s="19"/>
      <c r="AO114" s="19"/>
      <c r="AP114" s="19"/>
      <c r="AQ114" s="20"/>
      <c r="AR114" s="20"/>
      <c r="AS114" s="20"/>
      <c r="AT114" s="20"/>
      <c r="AU114" s="20"/>
      <c r="AV114" s="29"/>
      <c r="AW114" s="11"/>
      <c r="AX114" s="11"/>
      <c r="AY114" s="11"/>
      <c r="AZ114" s="11"/>
      <c r="BA114" s="11"/>
      <c r="BB114" s="13"/>
      <c r="BC114" s="11" t="str">
        <f t="shared" si="8"/>
        <v>No</v>
      </c>
      <c r="BD114" s="22" t="str">
        <f t="shared" si="9"/>
        <v/>
      </c>
      <c r="BE114" s="11" t="s">
        <v>47</v>
      </c>
      <c r="BF114" s="11" t="str">
        <f t="shared" si="7"/>
        <v>No aplica</v>
      </c>
      <c r="BG114" s="12">
        <v>46138</v>
      </c>
      <c r="BH114" s="68" t="s">
        <v>102</v>
      </c>
    </row>
    <row r="115" spans="1:60" ht="18" hidden="1" customHeight="1" x14ac:dyDescent="0.3">
      <c r="A115" s="150"/>
      <c r="B115" s="78" t="s">
        <v>101</v>
      </c>
      <c r="C115" s="12">
        <v>46134</v>
      </c>
      <c r="D115" s="20">
        <f t="shared" si="6"/>
        <v>0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  <c r="AL115" s="20"/>
      <c r="AM115" s="19"/>
      <c r="AN115" s="19"/>
      <c r="AO115" s="19"/>
      <c r="AP115" s="19"/>
      <c r="AQ115" s="20"/>
      <c r="AR115" s="20"/>
      <c r="AS115" s="20"/>
      <c r="AT115" s="20"/>
      <c r="AU115" s="20"/>
      <c r="AV115" s="29"/>
      <c r="AW115" s="11"/>
      <c r="AX115" s="11"/>
      <c r="AY115" s="11"/>
      <c r="AZ115" s="11"/>
      <c r="BA115" s="11"/>
      <c r="BB115" s="13"/>
      <c r="BC115" s="11" t="str">
        <f t="shared" si="8"/>
        <v>No</v>
      </c>
      <c r="BD115" s="22" t="str">
        <f t="shared" si="9"/>
        <v/>
      </c>
      <c r="BE115" s="11"/>
      <c r="BF115" s="11" t="str">
        <f t="shared" si="7"/>
        <v>No aplica</v>
      </c>
      <c r="BG115" s="12"/>
      <c r="BH115" s="68"/>
    </row>
    <row r="116" spans="1:60" ht="18" hidden="1" customHeight="1" x14ac:dyDescent="0.3">
      <c r="A116" s="150"/>
      <c r="B116" s="78" t="s">
        <v>94</v>
      </c>
      <c r="C116" s="12">
        <v>46135</v>
      </c>
      <c r="D116" s="20">
        <f t="shared" si="6"/>
        <v>0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20"/>
      <c r="AN116" s="20"/>
      <c r="AO116" s="19"/>
      <c r="AP116" s="19"/>
      <c r="AQ116" s="20"/>
      <c r="AR116" s="20"/>
      <c r="AS116" s="19"/>
      <c r="AT116" s="19"/>
      <c r="AU116" s="20"/>
      <c r="AV116" s="29"/>
      <c r="AW116" s="11"/>
      <c r="AX116" s="11"/>
      <c r="AY116" s="11"/>
      <c r="AZ116" s="11"/>
      <c r="BA116" s="11"/>
      <c r="BB116" s="13"/>
      <c r="BC116" s="11" t="str">
        <f t="shared" si="8"/>
        <v>No</v>
      </c>
      <c r="BD116" s="22" t="str">
        <f t="shared" si="9"/>
        <v/>
      </c>
      <c r="BE116" s="11"/>
      <c r="BF116" s="11" t="str">
        <f t="shared" si="7"/>
        <v>No aplica</v>
      </c>
      <c r="BG116" s="12"/>
      <c r="BH116" s="68"/>
    </row>
    <row r="117" spans="1:60" ht="18" hidden="1" customHeight="1" x14ac:dyDescent="0.3">
      <c r="A117" s="150"/>
      <c r="B117" s="78" t="s">
        <v>95</v>
      </c>
      <c r="C117" s="12">
        <v>46136</v>
      </c>
      <c r="D117" s="20">
        <f t="shared" si="6"/>
        <v>0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  <c r="AV117" s="29"/>
      <c r="AW117" s="11"/>
      <c r="AX117" s="11"/>
      <c r="AY117" s="11"/>
      <c r="AZ117" s="11"/>
      <c r="BA117" s="11"/>
      <c r="BB117" s="13"/>
      <c r="BC117" s="11" t="str">
        <f t="shared" si="8"/>
        <v>No</v>
      </c>
      <c r="BD117" s="22" t="str">
        <f t="shared" si="9"/>
        <v/>
      </c>
      <c r="BE117" s="11"/>
      <c r="BF117" s="11" t="str">
        <f t="shared" si="7"/>
        <v>No aplica</v>
      </c>
      <c r="BG117" s="12"/>
      <c r="BH117" s="68"/>
    </row>
    <row r="118" spans="1:60" ht="60.6" hidden="1" customHeight="1" x14ac:dyDescent="0.3">
      <c r="A118" s="150"/>
      <c r="B118" s="78" t="s">
        <v>97</v>
      </c>
      <c r="C118" s="12">
        <v>46137</v>
      </c>
      <c r="D118" s="20">
        <f t="shared" si="6"/>
        <v>0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9"/>
      <c r="AW118" s="11"/>
      <c r="AX118" s="11"/>
      <c r="AY118" s="11"/>
      <c r="AZ118" s="11"/>
      <c r="BA118" s="11"/>
      <c r="BB118" s="13"/>
      <c r="BC118" s="11" t="str">
        <f t="shared" si="8"/>
        <v>No</v>
      </c>
      <c r="BD118" s="22" t="str">
        <f t="shared" si="9"/>
        <v/>
      </c>
      <c r="BE118" s="11" t="s">
        <v>47</v>
      </c>
      <c r="BF118" s="11" t="str">
        <f t="shared" si="7"/>
        <v>No aplica</v>
      </c>
      <c r="BG118" s="56" t="s">
        <v>103</v>
      </c>
      <c r="BH118" s="68" t="s">
        <v>104</v>
      </c>
    </row>
    <row r="119" spans="1:60" ht="18" hidden="1" customHeight="1" x14ac:dyDescent="0.3">
      <c r="A119" s="150"/>
      <c r="B119" s="78" t="s">
        <v>98</v>
      </c>
      <c r="C119" s="12">
        <v>46138</v>
      </c>
      <c r="D119" s="20">
        <f t="shared" si="6"/>
        <v>0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9"/>
      <c r="AW119" s="11"/>
      <c r="AX119" s="11"/>
      <c r="AY119" s="11"/>
      <c r="AZ119" s="11"/>
      <c r="BA119" s="11"/>
      <c r="BB119" s="13"/>
      <c r="BC119" s="11" t="str">
        <f t="shared" si="8"/>
        <v>No</v>
      </c>
      <c r="BD119" s="22" t="str">
        <f t="shared" si="9"/>
        <v/>
      </c>
      <c r="BE119" s="11"/>
      <c r="BF119" s="11" t="str">
        <f t="shared" si="7"/>
        <v>No aplica</v>
      </c>
      <c r="BG119" s="12"/>
      <c r="BH119" s="68"/>
    </row>
    <row r="120" spans="1:60" ht="18" hidden="1" customHeight="1" x14ac:dyDescent="0.3">
      <c r="A120" s="150"/>
      <c r="B120" s="78" t="s">
        <v>99</v>
      </c>
      <c r="C120" s="12">
        <v>46139</v>
      </c>
      <c r="D120" s="20">
        <f t="shared" si="6"/>
        <v>0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9"/>
      <c r="AW120" s="11"/>
      <c r="AX120" s="11"/>
      <c r="AY120" s="11"/>
      <c r="AZ120" s="11"/>
      <c r="BA120" s="11"/>
      <c r="BB120" s="13"/>
      <c r="BC120" s="11" t="str">
        <f t="shared" si="8"/>
        <v>No</v>
      </c>
      <c r="BD120" s="22" t="str">
        <f t="shared" si="9"/>
        <v/>
      </c>
      <c r="BE120" s="11"/>
      <c r="BF120" s="11" t="str">
        <f t="shared" si="7"/>
        <v>No aplica</v>
      </c>
      <c r="BG120" s="12"/>
      <c r="BH120" s="68"/>
    </row>
    <row r="121" spans="1:60" ht="18" hidden="1" customHeight="1" x14ac:dyDescent="0.3">
      <c r="A121" s="150"/>
      <c r="B121" s="78" t="s">
        <v>100</v>
      </c>
      <c r="C121" s="12">
        <v>46140</v>
      </c>
      <c r="D121" s="20">
        <f t="shared" si="6"/>
        <v>0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9"/>
      <c r="AW121" s="11"/>
      <c r="AX121" s="11"/>
      <c r="AY121" s="11"/>
      <c r="AZ121" s="11"/>
      <c r="BA121" s="11"/>
      <c r="BB121" s="13"/>
      <c r="BC121" s="11" t="str">
        <f t="shared" si="8"/>
        <v>No</v>
      </c>
      <c r="BD121" s="22" t="str">
        <f t="shared" si="9"/>
        <v/>
      </c>
      <c r="BE121" s="11"/>
      <c r="BF121" s="11" t="str">
        <f t="shared" si="7"/>
        <v>No aplica</v>
      </c>
      <c r="BG121" s="12"/>
      <c r="BH121" s="68"/>
    </row>
    <row r="122" spans="1:60" ht="18" hidden="1" customHeight="1" x14ac:dyDescent="0.3">
      <c r="A122" s="150"/>
      <c r="B122" s="78" t="s">
        <v>101</v>
      </c>
      <c r="C122" s="12">
        <v>46141</v>
      </c>
      <c r="D122" s="20">
        <f t="shared" si="6"/>
        <v>0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62">
        <v>4</v>
      </c>
      <c r="AV122" s="63">
        <v>8</v>
      </c>
      <c r="AW122" s="11"/>
      <c r="AX122" s="11"/>
      <c r="AY122" s="11"/>
      <c r="AZ122" s="11"/>
      <c r="BA122" s="11"/>
      <c r="BB122" s="13"/>
      <c r="BC122" s="11" t="str">
        <f t="shared" si="8"/>
        <v>Sí</v>
      </c>
      <c r="BD122" s="22" t="str">
        <f t="shared" si="9"/>
        <v>CYC</v>
      </c>
      <c r="BE122" s="11"/>
      <c r="BF122" s="11" t="str">
        <f t="shared" si="7"/>
        <v>Programado pendiente</v>
      </c>
      <c r="BG122" s="12"/>
      <c r="BH122" s="68"/>
    </row>
    <row r="123" spans="1:60" ht="18" hidden="1" customHeight="1" thickBot="1" x14ac:dyDescent="0.35">
      <c r="A123" s="151"/>
      <c r="B123" s="53" t="s">
        <v>94</v>
      </c>
      <c r="C123" s="30">
        <v>46142</v>
      </c>
      <c r="D123" s="31">
        <f t="shared" si="6"/>
        <v>0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85">
        <v>4</v>
      </c>
      <c r="AT123" s="86">
        <v>8</v>
      </c>
      <c r="AU123" s="31"/>
      <c r="AV123" s="33"/>
      <c r="AW123" s="70"/>
      <c r="AX123" s="70"/>
      <c r="AY123" s="70"/>
      <c r="AZ123" s="70"/>
      <c r="BA123" s="70"/>
      <c r="BB123" s="71"/>
      <c r="BC123" s="70" t="str">
        <f t="shared" si="8"/>
        <v>No</v>
      </c>
      <c r="BD123" s="72" t="str">
        <f t="shared" si="9"/>
        <v/>
      </c>
      <c r="BE123" s="70"/>
      <c r="BF123" s="70" t="str">
        <f t="shared" si="7"/>
        <v>No aplica</v>
      </c>
      <c r="BG123" s="30"/>
      <c r="BH123" s="73"/>
    </row>
    <row r="124" spans="1:60" ht="18" hidden="1" customHeight="1" x14ac:dyDescent="0.3">
      <c r="A124" s="148" t="s">
        <v>60</v>
      </c>
      <c r="B124" s="52" t="s">
        <v>95</v>
      </c>
      <c r="C124" s="15">
        <v>46143</v>
      </c>
      <c r="D124" s="27">
        <f t="shared" si="6"/>
        <v>0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27"/>
      <c r="AR124" s="27"/>
      <c r="AS124" s="27"/>
      <c r="AT124" s="27"/>
      <c r="AU124" s="27"/>
      <c r="AV124" s="28"/>
      <c r="AW124" s="14"/>
      <c r="AX124" s="14"/>
      <c r="AY124" s="14"/>
      <c r="AZ124" s="14"/>
      <c r="BA124" s="14"/>
      <c r="BB124" s="65"/>
      <c r="BC124" s="14" t="str">
        <f t="shared" si="8"/>
        <v>No</v>
      </c>
      <c r="BD124" s="21" t="str">
        <f t="shared" si="9"/>
        <v/>
      </c>
      <c r="BE124" s="14" t="s">
        <v>47</v>
      </c>
      <c r="BF124" s="14" t="str">
        <f t="shared" si="7"/>
        <v>No aplica</v>
      </c>
      <c r="BG124" s="15">
        <v>46148</v>
      </c>
      <c r="BH124" s="66" t="s">
        <v>105</v>
      </c>
    </row>
    <row r="125" spans="1:60" ht="18" hidden="1" customHeight="1" x14ac:dyDescent="0.3">
      <c r="A125" s="150"/>
      <c r="B125" s="78" t="s">
        <v>97</v>
      </c>
      <c r="C125" s="12">
        <v>46144</v>
      </c>
      <c r="D125" s="20">
        <f t="shared" si="6"/>
        <v>0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20"/>
      <c r="AR125" s="20"/>
      <c r="AS125" s="20"/>
      <c r="AT125" s="20"/>
      <c r="AU125" s="20"/>
      <c r="AV125" s="29"/>
      <c r="AW125" s="11"/>
      <c r="AX125" s="11"/>
      <c r="AY125" s="11"/>
      <c r="AZ125" s="11"/>
      <c r="BA125" s="11"/>
      <c r="BB125" s="13"/>
      <c r="BC125" s="11" t="str">
        <f t="shared" si="8"/>
        <v>No</v>
      </c>
      <c r="BD125" s="22" t="str">
        <f t="shared" si="9"/>
        <v/>
      </c>
      <c r="BE125" s="11" t="s">
        <v>47</v>
      </c>
      <c r="BF125" s="11" t="str">
        <f t="shared" si="7"/>
        <v>No aplica</v>
      </c>
      <c r="BG125" s="12">
        <v>46148</v>
      </c>
      <c r="BH125" s="68" t="s">
        <v>48</v>
      </c>
    </row>
    <row r="126" spans="1:60" ht="18" hidden="1" customHeight="1" x14ac:dyDescent="0.3">
      <c r="A126" s="150"/>
      <c r="B126" s="78" t="s">
        <v>98</v>
      </c>
      <c r="C126" s="12">
        <v>46145</v>
      </c>
      <c r="D126" s="20">
        <f t="shared" si="6"/>
        <v>0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20"/>
      <c r="AD126" s="20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20"/>
      <c r="AR126" s="20"/>
      <c r="AS126" s="20"/>
      <c r="AT126" s="20"/>
      <c r="AU126" s="20"/>
      <c r="AV126" s="29"/>
      <c r="AW126" s="11"/>
      <c r="AX126" s="11"/>
      <c r="AY126" s="11"/>
      <c r="AZ126" s="11"/>
      <c r="BA126" s="11"/>
      <c r="BB126" s="13"/>
      <c r="BC126" s="11" t="str">
        <f t="shared" si="8"/>
        <v>No</v>
      </c>
      <c r="BD126" s="22" t="str">
        <f t="shared" si="9"/>
        <v/>
      </c>
      <c r="BE126" s="11" t="s">
        <v>47</v>
      </c>
      <c r="BF126" s="11" t="str">
        <f t="shared" si="7"/>
        <v>No aplica</v>
      </c>
      <c r="BG126" s="12">
        <v>46142</v>
      </c>
      <c r="BH126" s="68" t="s">
        <v>48</v>
      </c>
    </row>
    <row r="127" spans="1:60" ht="18" hidden="1" customHeight="1" x14ac:dyDescent="0.3">
      <c r="A127" s="150"/>
      <c r="B127" s="78" t="s">
        <v>99</v>
      </c>
      <c r="C127" s="12">
        <v>46146</v>
      </c>
      <c r="D127" s="20">
        <f t="shared" si="6"/>
        <v>0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20"/>
      <c r="AF127" s="20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20"/>
      <c r="AR127" s="20"/>
      <c r="AS127" s="20"/>
      <c r="AT127" s="20"/>
      <c r="AU127" s="20"/>
      <c r="AV127" s="29"/>
      <c r="AW127" s="11"/>
      <c r="AX127" s="11"/>
      <c r="AY127" s="11"/>
      <c r="AZ127" s="11"/>
      <c r="BA127" s="11"/>
      <c r="BB127" s="13"/>
      <c r="BC127" s="11" t="str">
        <f t="shared" si="8"/>
        <v>No</v>
      </c>
      <c r="BD127" s="22" t="str">
        <f t="shared" si="9"/>
        <v/>
      </c>
      <c r="BE127" s="11"/>
      <c r="BF127" s="11" t="str">
        <f t="shared" si="7"/>
        <v>No aplica</v>
      </c>
      <c r="BG127" s="12"/>
      <c r="BH127" s="68"/>
    </row>
    <row r="128" spans="1:60" ht="18" hidden="1" customHeight="1" x14ac:dyDescent="0.3">
      <c r="A128" s="150"/>
      <c r="B128" s="78" t="s">
        <v>100</v>
      </c>
      <c r="C128" s="12">
        <v>46147</v>
      </c>
      <c r="D128" s="20">
        <f t="shared" si="6"/>
        <v>0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20"/>
      <c r="AH128" s="20"/>
      <c r="AI128" s="19"/>
      <c r="AJ128" s="19"/>
      <c r="AK128" s="19"/>
      <c r="AL128" s="19"/>
      <c r="AM128" s="19"/>
      <c r="AN128" s="19"/>
      <c r="AO128" s="19"/>
      <c r="AP128" s="19"/>
      <c r="AQ128" s="20"/>
      <c r="AR128" s="20"/>
      <c r="AS128" s="20"/>
      <c r="AT128" s="20"/>
      <c r="AU128" s="20"/>
      <c r="AV128" s="29"/>
      <c r="AW128" s="11"/>
      <c r="AX128" s="11"/>
      <c r="AY128" s="11"/>
      <c r="AZ128" s="11"/>
      <c r="BA128" s="11"/>
      <c r="BB128" s="13"/>
      <c r="BC128" s="11" t="str">
        <f t="shared" si="8"/>
        <v>No</v>
      </c>
      <c r="BD128" s="22" t="str">
        <f t="shared" si="9"/>
        <v/>
      </c>
      <c r="BE128" s="11"/>
      <c r="BF128" s="11" t="str">
        <f t="shared" si="7"/>
        <v>No aplica</v>
      </c>
      <c r="BG128" s="12"/>
      <c r="BH128" s="68"/>
    </row>
    <row r="129" spans="1:60" ht="18" hidden="1" customHeight="1" x14ac:dyDescent="0.3">
      <c r="A129" s="150"/>
      <c r="B129" s="78" t="s">
        <v>101</v>
      </c>
      <c r="C129" s="12">
        <v>46148</v>
      </c>
      <c r="D129" s="20">
        <f t="shared" si="6"/>
        <v>0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J129" s="20"/>
      <c r="AK129" s="19"/>
      <c r="AL129" s="19"/>
      <c r="AM129" s="19"/>
      <c r="AN129" s="19"/>
      <c r="AO129" s="19"/>
      <c r="AP129" s="19"/>
      <c r="AQ129" s="20"/>
      <c r="AR129" s="20"/>
      <c r="AS129" s="20"/>
      <c r="AT129" s="20"/>
      <c r="AU129" s="20"/>
      <c r="AV129" s="29"/>
      <c r="AW129" s="11"/>
      <c r="AX129" s="11"/>
      <c r="AY129" s="11"/>
      <c r="AZ129" s="11"/>
      <c r="BA129" s="11"/>
      <c r="BB129" s="13"/>
      <c r="BC129" s="11" t="str">
        <f t="shared" si="8"/>
        <v>No</v>
      </c>
      <c r="BD129" s="22" t="str">
        <f t="shared" si="9"/>
        <v/>
      </c>
      <c r="BE129" s="11" t="s">
        <v>47</v>
      </c>
      <c r="BF129" s="11" t="str">
        <f t="shared" si="7"/>
        <v>No aplica</v>
      </c>
      <c r="BG129" s="12">
        <f>C129</f>
        <v>46148</v>
      </c>
      <c r="BH129" s="68"/>
    </row>
    <row r="130" spans="1:60" ht="38.4" hidden="1" customHeight="1" x14ac:dyDescent="0.3">
      <c r="A130" s="150"/>
      <c r="B130" s="78" t="s">
        <v>94</v>
      </c>
      <c r="C130" s="12">
        <v>46149</v>
      </c>
      <c r="D130" s="20">
        <f t="shared" si="6"/>
        <v>0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20"/>
      <c r="AL130" s="20"/>
      <c r="AM130" s="19"/>
      <c r="AN130" s="19"/>
      <c r="AO130" s="19"/>
      <c r="AP130" s="19"/>
      <c r="AQ130" s="20"/>
      <c r="AR130" s="20"/>
      <c r="AS130" s="20"/>
      <c r="AT130" s="20"/>
      <c r="AU130" s="20"/>
      <c r="AV130" s="29"/>
      <c r="AW130" s="11"/>
      <c r="AX130" s="11"/>
      <c r="AY130" s="11"/>
      <c r="AZ130" s="11"/>
      <c r="BA130" s="11"/>
      <c r="BB130" s="13"/>
      <c r="BC130" s="11" t="str">
        <f t="shared" si="8"/>
        <v>No</v>
      </c>
      <c r="BD130" s="22" t="str">
        <f t="shared" si="9"/>
        <v/>
      </c>
      <c r="BE130" s="11" t="s">
        <v>47</v>
      </c>
      <c r="BF130" s="11" t="str">
        <f t="shared" si="7"/>
        <v>No aplica</v>
      </c>
      <c r="BG130" s="12">
        <v>46147</v>
      </c>
      <c r="BH130" s="68" t="s">
        <v>88</v>
      </c>
    </row>
    <row r="131" spans="1:60" ht="18" hidden="1" customHeight="1" x14ac:dyDescent="0.3">
      <c r="A131" s="150"/>
      <c r="B131" s="78" t="s">
        <v>95</v>
      </c>
      <c r="C131" s="12">
        <v>46150</v>
      </c>
      <c r="D131" s="20">
        <f t="shared" si="6"/>
        <v>0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20"/>
      <c r="AN131" s="20"/>
      <c r="AO131" s="19"/>
      <c r="AP131" s="19"/>
      <c r="AQ131" s="20"/>
      <c r="AR131" s="20"/>
      <c r="AS131" s="20"/>
      <c r="AT131" s="20"/>
      <c r="AU131" s="20"/>
      <c r="AV131" s="29"/>
      <c r="AW131" s="11"/>
      <c r="AX131" s="11"/>
      <c r="AY131" s="11"/>
      <c r="AZ131" s="11"/>
      <c r="BA131" s="11"/>
      <c r="BB131" s="13"/>
      <c r="BC131" s="11" t="str">
        <f t="shared" si="8"/>
        <v>No</v>
      </c>
      <c r="BD131" s="22" t="str">
        <f t="shared" si="9"/>
        <v/>
      </c>
      <c r="BE131" s="11"/>
      <c r="BF131" s="11" t="str">
        <f t="shared" si="7"/>
        <v>No aplica</v>
      </c>
      <c r="BG131" s="12"/>
      <c r="BH131" s="68"/>
    </row>
    <row r="132" spans="1:60" ht="18" hidden="1" customHeight="1" x14ac:dyDescent="0.3">
      <c r="A132" s="150"/>
      <c r="B132" s="78" t="s">
        <v>97</v>
      </c>
      <c r="C132" s="12">
        <v>46151</v>
      </c>
      <c r="D132" s="20">
        <f t="shared" ref="D132:D195" si="10">+F132+H132+J132+L132+N132+P132+R132+Z132+AB132+AD132+AF132+AH132+AJ132+AL132+AN132+AP132</f>
        <v>0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  <c r="AV132" s="29"/>
      <c r="AW132" s="11"/>
      <c r="AX132" s="11"/>
      <c r="AY132" s="11"/>
      <c r="AZ132" s="11"/>
      <c r="BA132" s="11"/>
      <c r="BB132" s="13"/>
      <c r="BC132" s="11" t="str">
        <f t="shared" si="8"/>
        <v>No</v>
      </c>
      <c r="BD132" s="22" t="str">
        <f t="shared" si="9"/>
        <v/>
      </c>
      <c r="BE132" s="11"/>
      <c r="BF132" s="11" t="str">
        <f t="shared" si="7"/>
        <v>No aplica</v>
      </c>
      <c r="BG132" s="12"/>
      <c r="BH132" s="68"/>
    </row>
    <row r="133" spans="1:60" ht="18" hidden="1" customHeight="1" x14ac:dyDescent="0.3">
      <c r="A133" s="150"/>
      <c r="B133" s="78" t="s">
        <v>98</v>
      </c>
      <c r="C133" s="12">
        <v>46152</v>
      </c>
      <c r="D133" s="20">
        <f t="shared" si="10"/>
        <v>0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9"/>
      <c r="AW133" s="11"/>
      <c r="AX133" s="11"/>
      <c r="AY133" s="11"/>
      <c r="AZ133" s="11"/>
      <c r="BA133" s="11"/>
      <c r="BB133" s="13"/>
      <c r="BC133" s="11" t="str">
        <f t="shared" si="8"/>
        <v>No</v>
      </c>
      <c r="BD133" s="22" t="str">
        <f t="shared" si="9"/>
        <v/>
      </c>
      <c r="BE133" s="11"/>
      <c r="BF133" s="11" t="str">
        <f t="shared" ref="BF133:BF196" si="11">IF($BC133="No","No aplica",IF($BE133="Sí","Ejecutado","Programado pendiente"))</f>
        <v>No aplica</v>
      </c>
      <c r="BG133" s="12"/>
      <c r="BH133" s="68"/>
    </row>
    <row r="134" spans="1:60" ht="18" hidden="1" customHeight="1" x14ac:dyDescent="0.3">
      <c r="A134" s="150"/>
      <c r="B134" s="78" t="s">
        <v>99</v>
      </c>
      <c r="C134" s="12">
        <v>46153</v>
      </c>
      <c r="D134" s="20">
        <f t="shared" si="10"/>
        <v>0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9"/>
      <c r="AW134" s="11"/>
      <c r="AX134" s="11"/>
      <c r="AY134" s="11"/>
      <c r="AZ134" s="11"/>
      <c r="BA134" s="11"/>
      <c r="BB134" s="13"/>
      <c r="BC134" s="11" t="str">
        <f t="shared" si="8"/>
        <v>No</v>
      </c>
      <c r="BD134" s="22" t="str">
        <f t="shared" si="9"/>
        <v/>
      </c>
      <c r="BE134" s="11"/>
      <c r="BF134" s="11" t="str">
        <f t="shared" si="11"/>
        <v>No aplica</v>
      </c>
      <c r="BG134" s="12"/>
      <c r="BH134" s="68"/>
    </row>
    <row r="135" spans="1:60" ht="18" hidden="1" customHeight="1" x14ac:dyDescent="0.3">
      <c r="A135" s="150"/>
      <c r="B135" s="78" t="s">
        <v>100</v>
      </c>
      <c r="C135" s="12">
        <v>46154</v>
      </c>
      <c r="D135" s="20">
        <f t="shared" si="10"/>
        <v>0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9"/>
      <c r="AW135" s="11"/>
      <c r="AX135" s="11"/>
      <c r="AY135" s="11"/>
      <c r="AZ135" s="11"/>
      <c r="BA135" s="11"/>
      <c r="BB135" s="13"/>
      <c r="BC135" s="11" t="str">
        <f t="shared" si="8"/>
        <v>No</v>
      </c>
      <c r="BD135" s="22" t="str">
        <f t="shared" si="9"/>
        <v/>
      </c>
      <c r="BE135" s="11"/>
      <c r="BF135" s="11" t="str">
        <f t="shared" si="11"/>
        <v>No aplica</v>
      </c>
      <c r="BG135" s="12"/>
      <c r="BH135" s="68"/>
    </row>
    <row r="136" spans="1:60" ht="18" hidden="1" customHeight="1" x14ac:dyDescent="0.3">
      <c r="A136" s="150"/>
      <c r="B136" s="78" t="s">
        <v>101</v>
      </c>
      <c r="C136" s="12">
        <v>46155</v>
      </c>
      <c r="D136" s="20">
        <f t="shared" si="10"/>
        <v>0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57"/>
      <c r="AF136" s="57"/>
      <c r="AG136" s="57"/>
      <c r="AH136" s="57"/>
      <c r="AI136" s="57"/>
      <c r="AJ136" s="57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9"/>
      <c r="AW136" s="11"/>
      <c r="AX136" s="11"/>
      <c r="AY136" s="11"/>
      <c r="AZ136" s="11"/>
      <c r="BA136" s="11"/>
      <c r="BB136" s="13"/>
      <c r="BC136" s="11" t="str">
        <f t="shared" si="8"/>
        <v>No</v>
      </c>
      <c r="BD136" s="22" t="str">
        <f t="shared" si="9"/>
        <v/>
      </c>
      <c r="BE136" s="11"/>
      <c r="BF136" s="11" t="str">
        <f t="shared" si="11"/>
        <v>No aplica</v>
      </c>
      <c r="BG136" s="12"/>
      <c r="BH136" s="68"/>
    </row>
    <row r="137" spans="1:60" ht="18" hidden="1" customHeight="1" x14ac:dyDescent="0.3">
      <c r="A137" s="150"/>
      <c r="B137" s="78" t="s">
        <v>94</v>
      </c>
      <c r="C137" s="12">
        <v>46156</v>
      </c>
      <c r="D137" s="20">
        <f t="shared" si="10"/>
        <v>0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57"/>
      <c r="AF137" s="57"/>
      <c r="AG137" s="57"/>
      <c r="AH137" s="57"/>
      <c r="AI137" s="57"/>
      <c r="AJ137" s="57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9"/>
      <c r="AW137" s="11"/>
      <c r="AX137" s="11"/>
      <c r="AY137" s="11"/>
      <c r="AZ137" s="11"/>
      <c r="BA137" s="11"/>
      <c r="BB137" s="13"/>
      <c r="BC137" s="11" t="str">
        <f t="shared" si="8"/>
        <v>No</v>
      </c>
      <c r="BD137" s="22" t="str">
        <f t="shared" si="9"/>
        <v/>
      </c>
      <c r="BE137" s="11"/>
      <c r="BF137" s="11" t="str">
        <f t="shared" si="11"/>
        <v>No aplica</v>
      </c>
      <c r="BG137" s="12"/>
      <c r="BH137" s="68"/>
    </row>
    <row r="138" spans="1:60" ht="18" hidden="1" customHeight="1" x14ac:dyDescent="0.3">
      <c r="A138" s="150"/>
      <c r="B138" s="78" t="s">
        <v>95</v>
      </c>
      <c r="C138" s="12">
        <v>46157</v>
      </c>
      <c r="D138" s="20">
        <f t="shared" si="10"/>
        <v>0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57"/>
      <c r="AF138" s="57"/>
      <c r="AG138" s="57"/>
      <c r="AH138" s="57"/>
      <c r="AI138" s="57"/>
      <c r="AJ138" s="57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9"/>
      <c r="AW138" s="11"/>
      <c r="AX138" s="11"/>
      <c r="AY138" s="11"/>
      <c r="AZ138" s="11"/>
      <c r="BA138" s="11"/>
      <c r="BB138" s="13"/>
      <c r="BC138" s="11" t="str">
        <f t="shared" si="8"/>
        <v>No</v>
      </c>
      <c r="BD138" s="22" t="str">
        <f t="shared" si="9"/>
        <v/>
      </c>
      <c r="BE138" s="11"/>
      <c r="BF138" s="11" t="str">
        <f t="shared" si="11"/>
        <v>No aplica</v>
      </c>
      <c r="BG138" s="12"/>
      <c r="BH138" s="68"/>
    </row>
    <row r="139" spans="1:60" ht="18" hidden="1" customHeight="1" x14ac:dyDescent="0.3">
      <c r="A139" s="150"/>
      <c r="B139" s="78" t="s">
        <v>97</v>
      </c>
      <c r="C139" s="12">
        <v>46158</v>
      </c>
      <c r="D139" s="20">
        <f t="shared" si="10"/>
        <v>0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26"/>
      <c r="AB139" s="26"/>
      <c r="AC139" s="26"/>
      <c r="AD139" s="26"/>
      <c r="AE139" s="58"/>
      <c r="AF139" s="58"/>
      <c r="AG139" s="58"/>
      <c r="AH139" s="58"/>
      <c r="AI139" s="58"/>
      <c r="AJ139" s="58"/>
      <c r="AK139" s="26"/>
      <c r="AL139" s="26"/>
      <c r="AM139" s="26"/>
      <c r="AN139" s="26"/>
      <c r="AO139" s="26"/>
      <c r="AP139" s="26"/>
      <c r="AQ139" s="20"/>
      <c r="AR139" s="20"/>
      <c r="AS139" s="20"/>
      <c r="AT139" s="20"/>
      <c r="AU139" s="20"/>
      <c r="AV139" s="29"/>
      <c r="AW139" s="11"/>
      <c r="AX139" s="11"/>
      <c r="AY139" s="11"/>
      <c r="AZ139" s="11"/>
      <c r="BA139" s="11"/>
      <c r="BB139" s="13"/>
      <c r="BC139" s="11" t="str">
        <f t="shared" si="8"/>
        <v>No</v>
      </c>
      <c r="BD139" s="22" t="str">
        <f t="shared" si="9"/>
        <v/>
      </c>
      <c r="BE139" s="11" t="s">
        <v>47</v>
      </c>
      <c r="BF139" s="11" t="str">
        <f t="shared" si="11"/>
        <v>No aplica</v>
      </c>
      <c r="BG139" s="12">
        <v>46158</v>
      </c>
      <c r="BH139" s="68" t="s">
        <v>48</v>
      </c>
    </row>
    <row r="140" spans="1:60" ht="18" hidden="1" customHeight="1" x14ac:dyDescent="0.3">
      <c r="A140" s="150"/>
      <c r="B140" s="78" t="s">
        <v>98</v>
      </c>
      <c r="C140" s="12">
        <v>46159</v>
      </c>
      <c r="D140" s="20">
        <f t="shared" si="10"/>
        <v>0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57"/>
      <c r="AF140" s="57"/>
      <c r="AG140" s="57"/>
      <c r="AH140" s="57"/>
      <c r="AI140" s="57"/>
      <c r="AJ140" s="57"/>
      <c r="AK140" s="19"/>
      <c r="AL140" s="19"/>
      <c r="AM140" s="19"/>
      <c r="AN140" s="19"/>
      <c r="AO140" s="19"/>
      <c r="AP140" s="19"/>
      <c r="AQ140" s="20"/>
      <c r="AR140" s="20"/>
      <c r="AS140" s="20"/>
      <c r="AT140" s="20"/>
      <c r="AU140" s="20"/>
      <c r="AV140" s="29"/>
      <c r="AW140" s="11"/>
      <c r="AX140" s="11"/>
      <c r="AY140" s="11"/>
      <c r="AZ140" s="11"/>
      <c r="BA140" s="11"/>
      <c r="BB140" s="13"/>
      <c r="BC140" s="11" t="str">
        <f t="shared" si="8"/>
        <v>No</v>
      </c>
      <c r="BD140" s="22" t="str">
        <f t="shared" si="9"/>
        <v/>
      </c>
      <c r="BE140" s="11" t="s">
        <v>47</v>
      </c>
      <c r="BF140" s="11" t="str">
        <f t="shared" si="11"/>
        <v>No aplica</v>
      </c>
      <c r="BG140" s="12">
        <v>46169</v>
      </c>
      <c r="BH140" s="68" t="s">
        <v>106</v>
      </c>
    </row>
    <row r="141" spans="1:60" ht="18" hidden="1" customHeight="1" x14ac:dyDescent="0.3">
      <c r="A141" s="150"/>
      <c r="B141" s="78" t="s">
        <v>99</v>
      </c>
      <c r="C141" s="12">
        <v>46160</v>
      </c>
      <c r="D141" s="20">
        <f t="shared" si="10"/>
        <v>0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20"/>
      <c r="AD141" s="20"/>
      <c r="AE141" s="57"/>
      <c r="AF141" s="57"/>
      <c r="AG141" s="57"/>
      <c r="AH141" s="57"/>
      <c r="AI141" s="57"/>
      <c r="AJ141" s="57"/>
      <c r="AK141" s="19"/>
      <c r="AL141" s="19"/>
      <c r="AM141" s="19"/>
      <c r="AN141" s="19"/>
      <c r="AO141" s="19"/>
      <c r="AP141" s="19"/>
      <c r="AQ141" s="20"/>
      <c r="AR141" s="20"/>
      <c r="AS141" s="20"/>
      <c r="AT141" s="20"/>
      <c r="AU141" s="20"/>
      <c r="AV141" s="29"/>
      <c r="AW141" s="11"/>
      <c r="AX141" s="11"/>
      <c r="AY141" s="11"/>
      <c r="AZ141" s="11"/>
      <c r="BA141" s="11"/>
      <c r="BB141" s="13"/>
      <c r="BC141" s="11" t="str">
        <f t="shared" si="8"/>
        <v>No</v>
      </c>
      <c r="BD141" s="22" t="str">
        <f t="shared" si="9"/>
        <v/>
      </c>
      <c r="BE141" s="11" t="s">
        <v>47</v>
      </c>
      <c r="BF141" s="11" t="str">
        <f t="shared" si="11"/>
        <v>No aplica</v>
      </c>
      <c r="BG141" s="12">
        <v>46167</v>
      </c>
      <c r="BH141" s="68" t="s">
        <v>107</v>
      </c>
    </row>
    <row r="142" spans="1:60" ht="18" hidden="1" customHeight="1" x14ac:dyDescent="0.3">
      <c r="A142" s="150"/>
      <c r="B142" s="78" t="s">
        <v>100</v>
      </c>
      <c r="C142" s="12">
        <v>46161</v>
      </c>
      <c r="D142" s="20">
        <f t="shared" si="10"/>
        <v>0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57"/>
      <c r="AF142" s="57"/>
      <c r="AG142" s="57"/>
      <c r="AH142" s="57"/>
      <c r="AI142" s="57"/>
      <c r="AJ142" s="57"/>
      <c r="AK142" s="19"/>
      <c r="AL142" s="19"/>
      <c r="AM142" s="19"/>
      <c r="AN142" s="19"/>
      <c r="AO142" s="19"/>
      <c r="AP142" s="19"/>
      <c r="AQ142" s="20"/>
      <c r="AR142" s="20"/>
      <c r="AS142" s="20"/>
      <c r="AT142" s="20"/>
      <c r="AU142" s="20"/>
      <c r="AV142" s="29"/>
      <c r="AW142" s="11"/>
      <c r="AX142" s="11"/>
      <c r="AY142" s="11"/>
      <c r="AZ142" s="11"/>
      <c r="BA142" s="11"/>
      <c r="BB142" s="13"/>
      <c r="BC142" s="11" t="str">
        <f t="shared" si="8"/>
        <v>No</v>
      </c>
      <c r="BD142" s="22" t="str">
        <f t="shared" si="9"/>
        <v/>
      </c>
      <c r="BE142" s="11"/>
      <c r="BF142" s="11" t="str">
        <f t="shared" si="11"/>
        <v>No aplica</v>
      </c>
      <c r="BG142" s="12"/>
      <c r="BH142" s="68"/>
    </row>
    <row r="143" spans="1:60" ht="18" hidden="1" customHeight="1" x14ac:dyDescent="0.3">
      <c r="A143" s="150"/>
      <c r="B143" s="78" t="s">
        <v>101</v>
      </c>
      <c r="C143" s="12">
        <v>46162</v>
      </c>
      <c r="D143" s="20">
        <f t="shared" si="10"/>
        <v>0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57"/>
      <c r="AF143" s="57"/>
      <c r="AG143" s="57"/>
      <c r="AH143" s="57"/>
      <c r="AI143" s="57"/>
      <c r="AJ143" s="57"/>
      <c r="AK143" s="19"/>
      <c r="AL143" s="19"/>
      <c r="AM143" s="19"/>
      <c r="AN143" s="19"/>
      <c r="AO143" s="19"/>
      <c r="AP143" s="19"/>
      <c r="AQ143" s="20"/>
      <c r="AR143" s="20"/>
      <c r="AS143" s="20"/>
      <c r="AT143" s="20"/>
      <c r="AU143" s="20"/>
      <c r="AV143" s="29"/>
      <c r="AW143" s="11"/>
      <c r="AX143" s="11"/>
      <c r="AY143" s="11"/>
      <c r="AZ143" s="11"/>
      <c r="BA143" s="11"/>
      <c r="BB143" s="13"/>
      <c r="BC143" s="11" t="str">
        <f t="shared" si="8"/>
        <v>No</v>
      </c>
      <c r="BD143" s="22" t="str">
        <f t="shared" si="9"/>
        <v/>
      </c>
      <c r="BE143" s="11" t="s">
        <v>47</v>
      </c>
      <c r="BF143" s="11" t="str">
        <f t="shared" si="11"/>
        <v>No aplica</v>
      </c>
      <c r="BG143" s="12">
        <v>46162</v>
      </c>
      <c r="BH143" s="68" t="s">
        <v>108</v>
      </c>
    </row>
    <row r="144" spans="1:60" ht="18" hidden="1" customHeight="1" x14ac:dyDescent="0.3">
      <c r="A144" s="150"/>
      <c r="B144" s="78" t="s">
        <v>94</v>
      </c>
      <c r="C144" s="12">
        <v>46163</v>
      </c>
      <c r="D144" s="20">
        <f t="shared" si="10"/>
        <v>0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57"/>
      <c r="AF144" s="57"/>
      <c r="AG144" s="57"/>
      <c r="AH144" s="57"/>
      <c r="AI144" s="57"/>
      <c r="AJ144" s="57"/>
      <c r="AK144" s="19"/>
      <c r="AL144" s="19"/>
      <c r="AM144" s="19"/>
      <c r="AN144" s="19"/>
      <c r="AO144" s="19"/>
      <c r="AP144" s="19"/>
      <c r="AQ144" s="20"/>
      <c r="AR144" s="20"/>
      <c r="AS144" s="20"/>
      <c r="AT144" s="20"/>
      <c r="AU144" s="20"/>
      <c r="AV144" s="29"/>
      <c r="AW144" s="11"/>
      <c r="AX144" s="11"/>
      <c r="AY144" s="11"/>
      <c r="AZ144" s="11"/>
      <c r="BA144" s="11"/>
      <c r="BB144" s="13"/>
      <c r="BC144" s="11" t="str">
        <f t="shared" si="8"/>
        <v>No</v>
      </c>
      <c r="BD144" s="22" t="str">
        <f t="shared" si="9"/>
        <v/>
      </c>
      <c r="BE144" s="11" t="s">
        <v>84</v>
      </c>
      <c r="BF144" s="11" t="str">
        <f t="shared" si="11"/>
        <v>No aplica</v>
      </c>
      <c r="BG144" s="12"/>
      <c r="BH144" s="68"/>
    </row>
    <row r="145" spans="1:60" ht="18" hidden="1" customHeight="1" x14ac:dyDescent="0.3">
      <c r="A145" s="150"/>
      <c r="B145" s="78" t="s">
        <v>95</v>
      </c>
      <c r="C145" s="12">
        <v>46164</v>
      </c>
      <c r="D145" s="20">
        <f t="shared" si="10"/>
        <v>0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57"/>
      <c r="AF145" s="57"/>
      <c r="AG145" s="57"/>
      <c r="AH145" s="57"/>
      <c r="AI145" s="57"/>
      <c r="AJ145" s="57"/>
      <c r="AK145" s="20"/>
      <c r="AL145" s="20"/>
      <c r="AM145" s="19"/>
      <c r="AN145" s="19"/>
      <c r="AO145" s="19"/>
      <c r="AP145" s="19"/>
      <c r="AQ145" s="20"/>
      <c r="AR145" s="20"/>
      <c r="AS145" s="20"/>
      <c r="AT145" s="20"/>
      <c r="AU145" s="20"/>
      <c r="AV145" s="29"/>
      <c r="AW145" s="11"/>
      <c r="AX145" s="11"/>
      <c r="AY145" s="11"/>
      <c r="AZ145" s="11"/>
      <c r="BA145" s="11"/>
      <c r="BB145" s="13"/>
      <c r="BC145" s="11" t="str">
        <f t="shared" si="8"/>
        <v>No</v>
      </c>
      <c r="BD145" s="22" t="str">
        <f t="shared" si="9"/>
        <v/>
      </c>
      <c r="BE145" s="11"/>
      <c r="BF145" s="11" t="str">
        <f t="shared" si="11"/>
        <v>No aplica</v>
      </c>
      <c r="BG145" s="12"/>
      <c r="BH145" s="68"/>
    </row>
    <row r="146" spans="1:60" ht="18" hidden="1" customHeight="1" x14ac:dyDescent="0.3">
      <c r="A146" s="150"/>
      <c r="B146" s="78" t="s">
        <v>97</v>
      </c>
      <c r="C146" s="12">
        <v>46165</v>
      </c>
      <c r="D146" s="20">
        <f t="shared" si="10"/>
        <v>0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57"/>
      <c r="AF146" s="57"/>
      <c r="AG146" s="57"/>
      <c r="AH146" s="57"/>
      <c r="AI146" s="57"/>
      <c r="AJ146" s="57"/>
      <c r="AK146" s="19"/>
      <c r="AL146" s="19"/>
      <c r="AM146" s="20"/>
      <c r="AN146" s="20"/>
      <c r="AO146" s="19"/>
      <c r="AP146" s="19"/>
      <c r="AQ146" s="20"/>
      <c r="AR146" s="20"/>
      <c r="AS146" s="20"/>
      <c r="AT146" s="20"/>
      <c r="AU146" s="20"/>
      <c r="AV146" s="29"/>
      <c r="AW146" s="11"/>
      <c r="AX146" s="11"/>
      <c r="AY146" s="11"/>
      <c r="AZ146" s="11"/>
      <c r="BA146" s="11"/>
      <c r="BB146" s="13"/>
      <c r="BC146" s="11" t="str">
        <f t="shared" si="8"/>
        <v>No</v>
      </c>
      <c r="BD146" s="22" t="str">
        <f t="shared" si="9"/>
        <v/>
      </c>
      <c r="BE146" s="11"/>
      <c r="BF146" s="11" t="str">
        <f t="shared" si="11"/>
        <v>No aplica</v>
      </c>
      <c r="BG146" s="12"/>
      <c r="BH146" s="68"/>
    </row>
    <row r="147" spans="1:60" ht="18" hidden="1" customHeight="1" x14ac:dyDescent="0.3">
      <c r="A147" s="150"/>
      <c r="B147" s="78" t="s">
        <v>98</v>
      </c>
      <c r="C147" s="12">
        <v>46166</v>
      </c>
      <c r="D147" s="20">
        <f t="shared" si="10"/>
        <v>0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57"/>
      <c r="AF147" s="57"/>
      <c r="AG147" s="57"/>
      <c r="AH147" s="57"/>
      <c r="AI147" s="57"/>
      <c r="AJ147" s="57"/>
      <c r="AK147" s="19"/>
      <c r="AL147" s="19"/>
      <c r="AM147" s="19"/>
      <c r="AN147" s="19"/>
      <c r="AO147" s="20"/>
      <c r="AP147" s="20"/>
      <c r="AQ147" s="20"/>
      <c r="AR147" s="20"/>
      <c r="AS147" s="20"/>
      <c r="AT147" s="20"/>
      <c r="AU147" s="20"/>
      <c r="AV147" s="29"/>
      <c r="AW147" s="11"/>
      <c r="AX147" s="11"/>
      <c r="AY147" s="11"/>
      <c r="AZ147" s="11"/>
      <c r="BA147" s="11"/>
      <c r="BB147" s="13"/>
      <c r="BC147" s="11" t="str">
        <f t="shared" si="8"/>
        <v>No</v>
      </c>
      <c r="BD147" s="22" t="str">
        <f t="shared" si="9"/>
        <v/>
      </c>
      <c r="BE147" s="11"/>
      <c r="BF147" s="11" t="str">
        <f t="shared" si="11"/>
        <v>No aplica</v>
      </c>
      <c r="BG147" s="12"/>
      <c r="BH147" s="68"/>
    </row>
    <row r="148" spans="1:60" ht="18" hidden="1" customHeight="1" x14ac:dyDescent="0.3">
      <c r="A148" s="150"/>
      <c r="B148" s="78" t="s">
        <v>99</v>
      </c>
      <c r="C148" s="12">
        <v>46167</v>
      </c>
      <c r="D148" s="20">
        <f t="shared" si="10"/>
        <v>0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57"/>
      <c r="AF148" s="57"/>
      <c r="AG148" s="57"/>
      <c r="AH148" s="57"/>
      <c r="AI148" s="57"/>
      <c r="AJ148" s="57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9"/>
      <c r="AW148" s="11"/>
      <c r="AX148" s="11"/>
      <c r="AY148" s="11"/>
      <c r="AZ148" s="11"/>
      <c r="BA148" s="11"/>
      <c r="BB148" s="13"/>
      <c r="BC148" s="11" t="str">
        <f t="shared" si="8"/>
        <v>No</v>
      </c>
      <c r="BD148" s="22" t="str">
        <f t="shared" si="9"/>
        <v/>
      </c>
      <c r="BE148" s="11"/>
      <c r="BF148" s="11" t="str">
        <f t="shared" si="11"/>
        <v>No aplica</v>
      </c>
      <c r="BG148" s="12"/>
      <c r="BH148" s="68"/>
    </row>
    <row r="149" spans="1:60" ht="18" hidden="1" customHeight="1" x14ac:dyDescent="0.3">
      <c r="A149" s="150"/>
      <c r="B149" s="78" t="s">
        <v>100</v>
      </c>
      <c r="C149" s="12">
        <v>46168</v>
      </c>
      <c r="D149" s="20">
        <f t="shared" si="10"/>
        <v>0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57"/>
      <c r="AF149" s="57"/>
      <c r="AG149" s="57"/>
      <c r="AH149" s="57"/>
      <c r="AI149" s="57"/>
      <c r="AJ149" s="57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9"/>
      <c r="AW149" s="11"/>
      <c r="AX149" s="11"/>
      <c r="AY149" s="11"/>
      <c r="AZ149" s="11"/>
      <c r="BA149" s="11"/>
      <c r="BB149" s="13"/>
      <c r="BC149" s="11" t="str">
        <f t="shared" si="8"/>
        <v>No</v>
      </c>
      <c r="BD149" s="22" t="str">
        <f t="shared" si="9"/>
        <v/>
      </c>
      <c r="BE149" s="11"/>
      <c r="BF149" s="11" t="str">
        <f t="shared" si="11"/>
        <v>No aplica</v>
      </c>
      <c r="BG149" s="12"/>
      <c r="BH149" s="68"/>
    </row>
    <row r="150" spans="1:60" ht="18" hidden="1" customHeight="1" x14ac:dyDescent="0.3">
      <c r="A150" s="150"/>
      <c r="B150" s="78" t="s">
        <v>101</v>
      </c>
      <c r="C150" s="12">
        <v>46169</v>
      </c>
      <c r="D150" s="20">
        <f t="shared" si="10"/>
        <v>0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57"/>
      <c r="AF150" s="57"/>
      <c r="AG150" s="57"/>
      <c r="AH150" s="57"/>
      <c r="AI150" s="57"/>
      <c r="AJ150" s="57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9"/>
      <c r="AW150" s="11"/>
      <c r="AX150" s="11"/>
      <c r="AY150" s="11"/>
      <c r="AZ150" s="11"/>
      <c r="BA150" s="11"/>
      <c r="BB150" s="13"/>
      <c r="BC150" s="11" t="str">
        <f t="shared" si="8"/>
        <v>No</v>
      </c>
      <c r="BD150" s="22" t="str">
        <f t="shared" si="9"/>
        <v/>
      </c>
      <c r="BE150" s="11"/>
      <c r="BF150" s="11" t="str">
        <f t="shared" si="11"/>
        <v>No aplica</v>
      </c>
      <c r="BG150" s="12"/>
      <c r="BH150" s="68"/>
    </row>
    <row r="151" spans="1:60" ht="18" hidden="1" customHeight="1" x14ac:dyDescent="0.3">
      <c r="A151" s="150"/>
      <c r="B151" s="78" t="s">
        <v>94</v>
      </c>
      <c r="C151" s="12">
        <v>46170</v>
      </c>
      <c r="D151" s="20">
        <f t="shared" si="10"/>
        <v>0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57"/>
      <c r="AF151" s="57"/>
      <c r="AG151" s="57"/>
      <c r="AH151" s="57"/>
      <c r="AI151" s="57"/>
      <c r="AJ151" s="57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9"/>
      <c r="AW151" s="11"/>
      <c r="AX151" s="11"/>
      <c r="AY151" s="11"/>
      <c r="AZ151" s="11"/>
      <c r="BA151" s="11"/>
      <c r="BB151" s="13"/>
      <c r="BC151" s="11" t="str">
        <f t="shared" si="8"/>
        <v>No</v>
      </c>
      <c r="BD151" s="22" t="str">
        <f t="shared" si="9"/>
        <v/>
      </c>
      <c r="BE151" s="11"/>
      <c r="BF151" s="11" t="str">
        <f t="shared" si="11"/>
        <v>No aplica</v>
      </c>
      <c r="BG151" s="12"/>
      <c r="BH151" s="68"/>
    </row>
    <row r="152" spans="1:60" ht="18" hidden="1" customHeight="1" x14ac:dyDescent="0.3">
      <c r="A152" s="150"/>
      <c r="B152" s="78" t="s">
        <v>95</v>
      </c>
      <c r="C152" s="12">
        <v>46171</v>
      </c>
      <c r="D152" s="20">
        <f t="shared" si="10"/>
        <v>0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57"/>
      <c r="AF152" s="57"/>
      <c r="AG152" s="57"/>
      <c r="AH152" s="57"/>
      <c r="AI152" s="57"/>
      <c r="AJ152" s="57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9"/>
      <c r="AW152" s="11"/>
      <c r="AX152" s="11"/>
      <c r="AY152" s="11"/>
      <c r="AZ152" s="11"/>
      <c r="BA152" s="11"/>
      <c r="BB152" s="13"/>
      <c r="BC152" s="11" t="str">
        <f t="shared" si="8"/>
        <v>No</v>
      </c>
      <c r="BD152" s="22" t="str">
        <f t="shared" si="9"/>
        <v/>
      </c>
      <c r="BE152" s="11"/>
      <c r="BF152" s="11" t="str">
        <f t="shared" si="11"/>
        <v>No aplica</v>
      </c>
      <c r="BG152" s="12"/>
      <c r="BH152" s="68"/>
    </row>
    <row r="153" spans="1:60" ht="18" hidden="1" customHeight="1" x14ac:dyDescent="0.3">
      <c r="A153" s="150"/>
      <c r="B153" s="78" t="s">
        <v>97</v>
      </c>
      <c r="C153" s="12">
        <v>46172</v>
      </c>
      <c r="D153" s="20">
        <f t="shared" si="10"/>
        <v>0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57"/>
      <c r="AF153" s="57"/>
      <c r="AG153" s="57"/>
      <c r="AH153" s="57"/>
      <c r="AI153" s="57"/>
      <c r="AJ153" s="57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9"/>
      <c r="AW153" s="11"/>
      <c r="AX153" s="11"/>
      <c r="AY153" s="11"/>
      <c r="AZ153" s="11"/>
      <c r="BA153" s="11"/>
      <c r="BB153" s="13"/>
      <c r="BC153" s="11" t="str">
        <f t="shared" si="8"/>
        <v>No</v>
      </c>
      <c r="BD153" s="22" t="str">
        <f t="shared" si="9"/>
        <v/>
      </c>
      <c r="BE153" s="11"/>
      <c r="BF153" s="11" t="str">
        <f t="shared" si="11"/>
        <v>No aplica</v>
      </c>
      <c r="BG153" s="12"/>
      <c r="BH153" s="68"/>
    </row>
    <row r="154" spans="1:60" ht="30.6" hidden="1" customHeight="1" thickBot="1" x14ac:dyDescent="0.35">
      <c r="A154" s="151"/>
      <c r="B154" s="53" t="s">
        <v>98</v>
      </c>
      <c r="C154" s="30">
        <v>46173</v>
      </c>
      <c r="D154" s="31">
        <f t="shared" si="10"/>
        <v>0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54"/>
      <c r="AB154" s="54"/>
      <c r="AC154" s="54"/>
      <c r="AD154" s="54"/>
      <c r="AE154" s="59"/>
      <c r="AF154" s="59"/>
      <c r="AG154" s="59"/>
      <c r="AH154" s="59"/>
      <c r="AI154" s="59"/>
      <c r="AJ154" s="59"/>
      <c r="AK154" s="54"/>
      <c r="AL154" s="54"/>
      <c r="AM154" s="54"/>
      <c r="AN154" s="54"/>
      <c r="AO154" s="54"/>
      <c r="AP154" s="54"/>
      <c r="AQ154" s="31"/>
      <c r="AR154" s="31"/>
      <c r="AS154" s="31"/>
      <c r="AT154" s="31"/>
      <c r="AU154" s="31"/>
      <c r="AV154" s="33"/>
      <c r="AW154" s="70"/>
      <c r="AX154" s="70"/>
      <c r="AY154" s="70"/>
      <c r="AZ154" s="70"/>
      <c r="BA154" s="70"/>
      <c r="BB154" s="71"/>
      <c r="BC154" s="70" t="str">
        <f t="shared" si="8"/>
        <v>No</v>
      </c>
      <c r="BD154" s="72" t="str">
        <f t="shared" si="9"/>
        <v/>
      </c>
      <c r="BE154" s="70" t="s">
        <v>47</v>
      </c>
      <c r="BF154" s="70" t="str">
        <f t="shared" si="11"/>
        <v>No aplica</v>
      </c>
      <c r="BG154" s="30">
        <v>46181</v>
      </c>
      <c r="BH154" s="73" t="s">
        <v>109</v>
      </c>
    </row>
    <row r="155" spans="1:60" ht="18" hidden="1" customHeight="1" x14ac:dyDescent="0.3">
      <c r="A155" s="148" t="s">
        <v>61</v>
      </c>
      <c r="B155" s="42"/>
      <c r="C155" s="15">
        <v>46174</v>
      </c>
      <c r="D155" s="27">
        <f t="shared" si="10"/>
        <v>0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60"/>
      <c r="AF155" s="60"/>
      <c r="AG155" s="60"/>
      <c r="AH155" s="60"/>
      <c r="AI155" s="60"/>
      <c r="AJ155" s="60"/>
      <c r="AK155" s="18"/>
      <c r="AL155" s="18"/>
      <c r="AM155" s="18"/>
      <c r="AN155" s="18"/>
      <c r="AO155" s="18"/>
      <c r="AP155" s="18"/>
      <c r="AQ155" s="27"/>
      <c r="AR155" s="27"/>
      <c r="AS155" s="27"/>
      <c r="AT155" s="27"/>
      <c r="AU155" s="27"/>
      <c r="AV155" s="28"/>
      <c r="AW155" s="64"/>
      <c r="AX155" s="14"/>
      <c r="AY155" s="14"/>
      <c r="AZ155" s="14"/>
      <c r="BA155" s="14"/>
      <c r="BB155" s="65"/>
      <c r="BC155" s="14" t="str">
        <f t="shared" si="8"/>
        <v>No</v>
      </c>
      <c r="BD155" s="21" t="str">
        <f t="shared" si="9"/>
        <v/>
      </c>
      <c r="BE155" s="14" t="s">
        <v>84</v>
      </c>
      <c r="BF155" s="14" t="str">
        <f t="shared" si="11"/>
        <v>No aplica</v>
      </c>
      <c r="BG155" s="15"/>
      <c r="BH155" s="66" t="s">
        <v>110</v>
      </c>
    </row>
    <row r="156" spans="1:60" ht="35.4" hidden="1" customHeight="1" x14ac:dyDescent="0.3">
      <c r="A156" s="150"/>
      <c r="B156" s="43"/>
      <c r="C156" s="12">
        <v>46175</v>
      </c>
      <c r="D156" s="20">
        <f t="shared" si="10"/>
        <v>0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20"/>
      <c r="AD156" s="20"/>
      <c r="AE156" s="57"/>
      <c r="AF156" s="57"/>
      <c r="AG156" s="57"/>
      <c r="AH156" s="57"/>
      <c r="AI156" s="57"/>
      <c r="AJ156" s="57"/>
      <c r="AK156" s="19"/>
      <c r="AL156" s="19"/>
      <c r="AM156" s="19"/>
      <c r="AN156" s="19"/>
      <c r="AO156" s="19"/>
      <c r="AP156" s="19"/>
      <c r="AQ156" s="20"/>
      <c r="AR156" s="20"/>
      <c r="AS156" s="20"/>
      <c r="AT156" s="20"/>
      <c r="AU156" s="20"/>
      <c r="AV156" s="29"/>
      <c r="AW156" s="67"/>
      <c r="AX156" s="11"/>
      <c r="AY156" s="11"/>
      <c r="AZ156" s="11"/>
      <c r="BA156" s="11"/>
      <c r="BB156" s="13"/>
      <c r="BC156" s="11" t="str">
        <f t="shared" si="8"/>
        <v>No</v>
      </c>
      <c r="BD156" s="22" t="str">
        <f t="shared" si="9"/>
        <v/>
      </c>
      <c r="BE156" s="11" t="s">
        <v>47</v>
      </c>
      <c r="BF156" s="11" t="str">
        <f t="shared" si="11"/>
        <v>No aplica</v>
      </c>
      <c r="BG156" s="56" t="s">
        <v>111</v>
      </c>
      <c r="BH156" s="68" t="s">
        <v>112</v>
      </c>
    </row>
    <row r="157" spans="1:60" ht="18" hidden="1" customHeight="1" x14ac:dyDescent="0.3">
      <c r="A157" s="150"/>
      <c r="B157" s="43"/>
      <c r="C157" s="12">
        <v>46176</v>
      </c>
      <c r="D157" s="20">
        <f t="shared" si="10"/>
        <v>0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57"/>
      <c r="AF157" s="57"/>
      <c r="AG157" s="57"/>
      <c r="AH157" s="57"/>
      <c r="AI157" s="57"/>
      <c r="AJ157" s="57"/>
      <c r="AK157" s="19"/>
      <c r="AL157" s="19"/>
      <c r="AM157" s="19"/>
      <c r="AN157" s="19"/>
      <c r="AO157" s="19"/>
      <c r="AP157" s="19"/>
      <c r="AQ157" s="20"/>
      <c r="AR157" s="20"/>
      <c r="AS157" s="20"/>
      <c r="AT157" s="20"/>
      <c r="AU157" s="20"/>
      <c r="AV157" s="29"/>
      <c r="AW157" s="67"/>
      <c r="AX157" s="11"/>
      <c r="AY157" s="11"/>
      <c r="AZ157" s="11"/>
      <c r="BA157" s="11"/>
      <c r="BB157" s="13"/>
      <c r="BC157" s="11" t="str">
        <f t="shared" si="8"/>
        <v>No</v>
      </c>
      <c r="BD157" s="22" t="str">
        <f t="shared" si="9"/>
        <v/>
      </c>
      <c r="BE157" s="11"/>
      <c r="BF157" s="11" t="str">
        <f t="shared" si="11"/>
        <v>No aplica</v>
      </c>
      <c r="BG157" s="12"/>
      <c r="BH157" s="68"/>
    </row>
    <row r="158" spans="1:60" ht="18" hidden="1" customHeight="1" x14ac:dyDescent="0.3">
      <c r="A158" s="150"/>
      <c r="B158" s="43"/>
      <c r="C158" s="12">
        <v>46177</v>
      </c>
      <c r="D158" s="20">
        <f t="shared" si="10"/>
        <v>0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57"/>
      <c r="AF158" s="57"/>
      <c r="AG158" s="57"/>
      <c r="AH158" s="57"/>
      <c r="AI158" s="57"/>
      <c r="AJ158" s="57"/>
      <c r="AK158" s="19"/>
      <c r="AL158" s="19"/>
      <c r="AM158" s="19"/>
      <c r="AN158" s="19"/>
      <c r="AO158" s="19"/>
      <c r="AP158" s="19"/>
      <c r="AQ158" s="20"/>
      <c r="AR158" s="20"/>
      <c r="AS158" s="20"/>
      <c r="AT158" s="20"/>
      <c r="AU158" s="20"/>
      <c r="AV158" s="29"/>
      <c r="AW158" s="67"/>
      <c r="AX158" s="11"/>
      <c r="AY158" s="11"/>
      <c r="AZ158" s="11"/>
      <c r="BA158" s="11"/>
      <c r="BB158" s="13"/>
      <c r="BC158" s="11" t="str">
        <f t="shared" si="8"/>
        <v>No</v>
      </c>
      <c r="BD158" s="22" t="str">
        <f t="shared" si="9"/>
        <v/>
      </c>
      <c r="BE158" s="11"/>
      <c r="BF158" s="11" t="str">
        <f t="shared" si="11"/>
        <v>No aplica</v>
      </c>
      <c r="BG158" s="12"/>
      <c r="BH158" s="68"/>
    </row>
    <row r="159" spans="1:60" ht="18" hidden="1" customHeight="1" x14ac:dyDescent="0.3">
      <c r="A159" s="150"/>
      <c r="B159" s="43"/>
      <c r="C159" s="12">
        <v>46178</v>
      </c>
      <c r="D159" s="20">
        <f t="shared" si="10"/>
        <v>0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57"/>
      <c r="AF159" s="57"/>
      <c r="AG159" s="57"/>
      <c r="AH159" s="57"/>
      <c r="AI159" s="57"/>
      <c r="AJ159" s="57"/>
      <c r="AK159" s="19"/>
      <c r="AL159" s="19"/>
      <c r="AM159" s="19"/>
      <c r="AN159" s="19"/>
      <c r="AO159" s="19"/>
      <c r="AP159" s="19"/>
      <c r="AQ159" s="20"/>
      <c r="AR159" s="20"/>
      <c r="AS159" s="20"/>
      <c r="AT159" s="20"/>
      <c r="AU159" s="20"/>
      <c r="AV159" s="29"/>
      <c r="AW159" s="67"/>
      <c r="AX159" s="11"/>
      <c r="AY159" s="11"/>
      <c r="AZ159" s="11"/>
      <c r="BA159" s="11"/>
      <c r="BB159" s="13"/>
      <c r="BC159" s="11" t="str">
        <f t="shared" si="8"/>
        <v>No</v>
      </c>
      <c r="BD159" s="22" t="str">
        <f t="shared" si="9"/>
        <v/>
      </c>
      <c r="BE159" s="11" t="s">
        <v>84</v>
      </c>
      <c r="BF159" s="11" t="str">
        <f t="shared" si="11"/>
        <v>No aplica</v>
      </c>
      <c r="BG159" s="12"/>
      <c r="BH159" s="68"/>
    </row>
    <row r="160" spans="1:60" ht="24" hidden="1" customHeight="1" x14ac:dyDescent="0.3">
      <c r="A160" s="150"/>
      <c r="B160" s="43"/>
      <c r="C160" s="12">
        <v>46179</v>
      </c>
      <c r="D160" s="20">
        <f t="shared" si="10"/>
        <v>0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57"/>
      <c r="AF160" s="57"/>
      <c r="AG160" s="57"/>
      <c r="AH160" s="57"/>
      <c r="AI160" s="57"/>
      <c r="AJ160" s="57"/>
      <c r="AK160" s="20"/>
      <c r="AL160" s="20"/>
      <c r="AM160" s="19"/>
      <c r="AN160" s="19"/>
      <c r="AO160" s="19"/>
      <c r="AP160" s="19"/>
      <c r="AQ160" s="20"/>
      <c r="AR160" s="20"/>
      <c r="AS160" s="20"/>
      <c r="AT160" s="20"/>
      <c r="AU160" s="20"/>
      <c r="AV160" s="29"/>
      <c r="AW160" s="67"/>
      <c r="AX160" s="11"/>
      <c r="AY160" s="11"/>
      <c r="AZ160" s="11"/>
      <c r="BA160" s="11"/>
      <c r="BB160" s="13"/>
      <c r="BC160" s="11" t="str">
        <f t="shared" si="8"/>
        <v>No</v>
      </c>
      <c r="BD160" s="22" t="str">
        <f t="shared" si="9"/>
        <v/>
      </c>
      <c r="BE160" s="11" t="s">
        <v>47</v>
      </c>
      <c r="BF160" s="11" t="str">
        <f t="shared" si="11"/>
        <v>No aplica</v>
      </c>
      <c r="BG160" s="56" t="s">
        <v>113</v>
      </c>
      <c r="BH160" s="68" t="s">
        <v>114</v>
      </c>
    </row>
    <row r="161" spans="1:60" ht="18" hidden="1" customHeight="1" x14ac:dyDescent="0.3">
      <c r="A161" s="150"/>
      <c r="B161" s="43"/>
      <c r="C161" s="12">
        <v>46180</v>
      </c>
      <c r="D161" s="20">
        <f t="shared" si="10"/>
        <v>0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57"/>
      <c r="AF161" s="57"/>
      <c r="AG161" s="57"/>
      <c r="AH161" s="57"/>
      <c r="AI161" s="57"/>
      <c r="AJ161" s="57"/>
      <c r="AK161" s="19"/>
      <c r="AL161" s="19"/>
      <c r="AM161" s="20"/>
      <c r="AN161" s="20"/>
      <c r="AO161" s="19"/>
      <c r="AP161" s="19"/>
      <c r="AQ161" s="20"/>
      <c r="AR161" s="20"/>
      <c r="AS161" s="20"/>
      <c r="AT161" s="20"/>
      <c r="AU161" s="20"/>
      <c r="AV161" s="29"/>
      <c r="AW161" s="67"/>
      <c r="AX161" s="11"/>
      <c r="AY161" s="11"/>
      <c r="AZ161" s="11"/>
      <c r="BA161" s="11"/>
      <c r="BB161" s="13"/>
      <c r="BC161" s="11" t="str">
        <f t="shared" si="8"/>
        <v>No</v>
      </c>
      <c r="BD161" s="22" t="str">
        <f t="shared" si="9"/>
        <v/>
      </c>
      <c r="BE161" s="11"/>
      <c r="BF161" s="11" t="str">
        <f t="shared" si="11"/>
        <v>No aplica</v>
      </c>
      <c r="BG161" s="12"/>
      <c r="BH161" s="68"/>
    </row>
    <row r="162" spans="1:60" ht="18" hidden="1" customHeight="1" x14ac:dyDescent="0.3">
      <c r="A162" s="150"/>
      <c r="B162" s="43"/>
      <c r="C162" s="12">
        <v>46181</v>
      </c>
      <c r="D162" s="20">
        <f t="shared" si="10"/>
        <v>0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57"/>
      <c r="AF162" s="57"/>
      <c r="AG162" s="57"/>
      <c r="AH162" s="57"/>
      <c r="AI162" s="57"/>
      <c r="AJ162" s="57"/>
      <c r="AK162" s="19"/>
      <c r="AL162" s="19"/>
      <c r="AM162" s="19"/>
      <c r="AN162" s="19"/>
      <c r="AO162" s="20"/>
      <c r="AP162" s="20"/>
      <c r="AQ162" s="20"/>
      <c r="AR162" s="20"/>
      <c r="AS162" s="20"/>
      <c r="AT162" s="20"/>
      <c r="AU162" s="20"/>
      <c r="AV162" s="29"/>
      <c r="AW162" s="67"/>
      <c r="AX162" s="11"/>
      <c r="AY162" s="11"/>
      <c r="AZ162" s="11"/>
      <c r="BA162" s="11"/>
      <c r="BB162" s="13"/>
      <c r="BC162" s="11" t="str">
        <f t="shared" si="8"/>
        <v>No</v>
      </c>
      <c r="BD162" s="22" t="str">
        <f t="shared" si="9"/>
        <v/>
      </c>
      <c r="BE162" s="11"/>
      <c r="BF162" s="11" t="str">
        <f t="shared" si="11"/>
        <v>No aplica</v>
      </c>
      <c r="BG162" s="12"/>
      <c r="BH162" s="68"/>
    </row>
    <row r="163" spans="1:60" ht="18" hidden="1" customHeight="1" x14ac:dyDescent="0.3">
      <c r="A163" s="150"/>
      <c r="B163" s="43"/>
      <c r="C163" s="12">
        <v>46182</v>
      </c>
      <c r="D163" s="20">
        <f t="shared" si="10"/>
        <v>0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57"/>
      <c r="AF163" s="57"/>
      <c r="AG163" s="57"/>
      <c r="AH163" s="57"/>
      <c r="AI163" s="57"/>
      <c r="AJ163" s="57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9"/>
      <c r="AW163" s="67"/>
      <c r="AX163" s="11"/>
      <c r="AY163" s="11"/>
      <c r="AZ163" s="11"/>
      <c r="BA163" s="11"/>
      <c r="BB163" s="13"/>
      <c r="BC163" s="11" t="str">
        <f t="shared" si="8"/>
        <v>No</v>
      </c>
      <c r="BD163" s="22" t="str">
        <f t="shared" si="9"/>
        <v/>
      </c>
      <c r="BE163" s="11"/>
      <c r="BF163" s="11" t="str">
        <f t="shared" si="11"/>
        <v>No aplica</v>
      </c>
      <c r="BG163" s="12"/>
      <c r="BH163" s="68"/>
    </row>
    <row r="164" spans="1:60" ht="18" hidden="1" customHeight="1" x14ac:dyDescent="0.3">
      <c r="A164" s="150"/>
      <c r="B164" s="43"/>
      <c r="C164" s="12">
        <v>46183</v>
      </c>
      <c r="D164" s="20">
        <f t="shared" si="10"/>
        <v>0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57"/>
      <c r="AF164" s="57"/>
      <c r="AG164" s="57"/>
      <c r="AH164" s="57"/>
      <c r="AI164" s="57"/>
      <c r="AJ164" s="57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9"/>
      <c r="AW164" s="67"/>
      <c r="AX164" s="11"/>
      <c r="AY164" s="11"/>
      <c r="AZ164" s="11"/>
      <c r="BA164" s="11"/>
      <c r="BB164" s="13"/>
      <c r="BC164" s="11" t="str">
        <f t="shared" ref="BC164:BC227" si="12">IF(SUM(E164,G164,I164,K164,M164,O164,Q164,S164,U164,W164,Y164,AA164,AC164,AE164,AG164,AI164,AK164,AM164,AO164,AQ164,AU164)&gt;0,"Sí","No")</f>
        <v>No</v>
      </c>
      <c r="BD164" s="22" t="str">
        <f t="shared" ref="BD164:BD227" si="13">IF($BC164="Sí",_xlfn.TEXTJOIN(", ",TRUE,IF(N(E164)&gt;0,E$3,""),IF(N(G164)&gt;0,G$3,""),IF(N(I164)&gt;0,I$3,""),IF(N(K164)&gt;0,K$3,""),IF(N(M164)&gt;0,M$3,""),IF(N(O164)&gt;0,O$3,""),IF(N(Q164)&gt;0,Q$3,""),IF(N(S164)&gt;0,S$3,""),IF(N(U164)&gt;0,U$3,""),IF(N(W164)&gt;0,W$3,""),IF(N(Y164)&gt;0,Y$3,""),IF(N(AA164)&gt;0,AA$3,""),IF(N(AC164)&gt;0,AC$3,""),IF(N(AE164)&gt;0,AE$3,""),IF(N(AG164)&gt;0,AG$3,""),IF(N(AI164)&gt;0,AI$3,""),IF(N(AK164)&gt;0,AK$3,""),IF(N(AM164)&gt;0,AM$3,""),IF(N(AO164)&gt;0,AO$3,""),IF(N(AQ164)&gt;0,AQ$3,""),IF(N(AU164)&gt;0,AU$3,"")),"")</f>
        <v/>
      </c>
      <c r="BE164" s="11"/>
      <c r="BF164" s="11" t="str">
        <f t="shared" si="11"/>
        <v>No aplica</v>
      </c>
      <c r="BG164" s="12"/>
      <c r="BH164" s="68"/>
    </row>
    <row r="165" spans="1:60" ht="18" hidden="1" customHeight="1" x14ac:dyDescent="0.3">
      <c r="A165" s="150"/>
      <c r="B165" s="43"/>
      <c r="C165" s="12">
        <v>46184</v>
      </c>
      <c r="D165" s="20">
        <f t="shared" si="10"/>
        <v>0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57"/>
      <c r="AF165" s="57"/>
      <c r="AG165" s="57"/>
      <c r="AH165" s="57"/>
      <c r="AI165" s="57"/>
      <c r="AJ165" s="57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9"/>
      <c r="AW165" s="67"/>
      <c r="AX165" s="11"/>
      <c r="AY165" s="11"/>
      <c r="AZ165" s="11"/>
      <c r="BA165" s="11"/>
      <c r="BB165" s="13"/>
      <c r="BC165" s="11" t="str">
        <f t="shared" si="12"/>
        <v>No</v>
      </c>
      <c r="BD165" s="22" t="str">
        <f t="shared" si="13"/>
        <v/>
      </c>
      <c r="BE165" s="11"/>
      <c r="BF165" s="11" t="str">
        <f t="shared" si="11"/>
        <v>No aplica</v>
      </c>
      <c r="BG165" s="12"/>
      <c r="BH165" s="68"/>
    </row>
    <row r="166" spans="1:60" ht="18" hidden="1" customHeight="1" x14ac:dyDescent="0.3">
      <c r="A166" s="150"/>
      <c r="B166" s="43"/>
      <c r="C166" s="12">
        <v>46185</v>
      </c>
      <c r="D166" s="20">
        <f t="shared" si="10"/>
        <v>0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57"/>
      <c r="AF166" s="57"/>
      <c r="AG166" s="57"/>
      <c r="AH166" s="57"/>
      <c r="AI166" s="57"/>
      <c r="AJ166" s="57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9"/>
      <c r="AW166" s="67"/>
      <c r="AX166" s="11"/>
      <c r="AY166" s="11"/>
      <c r="AZ166" s="11"/>
      <c r="BA166" s="11"/>
      <c r="BB166" s="13"/>
      <c r="BC166" s="11" t="str">
        <f t="shared" si="12"/>
        <v>No</v>
      </c>
      <c r="BD166" s="22" t="str">
        <f t="shared" si="13"/>
        <v/>
      </c>
      <c r="BE166" s="11"/>
      <c r="BF166" s="11" t="str">
        <f t="shared" si="11"/>
        <v>No aplica</v>
      </c>
      <c r="BG166" s="12"/>
      <c r="BH166" s="68"/>
    </row>
    <row r="167" spans="1:60" ht="18" hidden="1" customHeight="1" x14ac:dyDescent="0.3">
      <c r="A167" s="150"/>
      <c r="B167" s="43"/>
      <c r="C167" s="12">
        <v>46186</v>
      </c>
      <c r="D167" s="20">
        <f t="shared" si="10"/>
        <v>0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57"/>
      <c r="AF167" s="57"/>
      <c r="AG167" s="57"/>
      <c r="AH167" s="57"/>
      <c r="AI167" s="57"/>
      <c r="AJ167" s="57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9"/>
      <c r="AW167" s="67"/>
      <c r="AX167" s="11"/>
      <c r="AY167" s="11"/>
      <c r="AZ167" s="11"/>
      <c r="BA167" s="11"/>
      <c r="BB167" s="13"/>
      <c r="BC167" s="11" t="str">
        <f t="shared" si="12"/>
        <v>No</v>
      </c>
      <c r="BD167" s="22" t="str">
        <f t="shared" si="13"/>
        <v/>
      </c>
      <c r="BE167" s="11"/>
      <c r="BF167" s="11" t="str">
        <f t="shared" si="11"/>
        <v>No aplica</v>
      </c>
      <c r="BG167" s="12"/>
      <c r="BH167" s="68"/>
    </row>
    <row r="168" spans="1:60" ht="18" hidden="1" customHeight="1" x14ac:dyDescent="0.3">
      <c r="A168" s="150"/>
      <c r="B168" s="43"/>
      <c r="C168" s="12">
        <v>46187</v>
      </c>
      <c r="D168" s="20">
        <f t="shared" si="10"/>
        <v>0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57"/>
      <c r="AF168" s="57"/>
      <c r="AG168" s="57"/>
      <c r="AH168" s="57"/>
      <c r="AI168" s="57"/>
      <c r="AJ168" s="57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9"/>
      <c r="AW168" s="67"/>
      <c r="AX168" s="11"/>
      <c r="AY168" s="11"/>
      <c r="AZ168" s="11"/>
      <c r="BA168" s="11"/>
      <c r="BB168" s="13"/>
      <c r="BC168" s="11" t="str">
        <f t="shared" si="12"/>
        <v>No</v>
      </c>
      <c r="BD168" s="22" t="str">
        <f t="shared" si="13"/>
        <v/>
      </c>
      <c r="BE168" s="11"/>
      <c r="BF168" s="11" t="str">
        <f t="shared" si="11"/>
        <v>No aplica</v>
      </c>
      <c r="BG168" s="12"/>
      <c r="BH168" s="68"/>
    </row>
    <row r="169" spans="1:60" ht="18" hidden="1" customHeight="1" x14ac:dyDescent="0.3">
      <c r="A169" s="150"/>
      <c r="B169" s="43"/>
      <c r="C169" s="12">
        <v>46188</v>
      </c>
      <c r="D169" s="20">
        <f t="shared" si="10"/>
        <v>0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26"/>
      <c r="AB169" s="26"/>
      <c r="AC169" s="26"/>
      <c r="AD169" s="26"/>
      <c r="AE169" s="58"/>
      <c r="AF169" s="58"/>
      <c r="AG169" s="58"/>
      <c r="AH169" s="58"/>
      <c r="AI169" s="58"/>
      <c r="AJ169" s="58"/>
      <c r="AK169" s="26"/>
      <c r="AL169" s="26"/>
      <c r="AM169" s="26"/>
      <c r="AN169" s="26"/>
      <c r="AO169" s="26"/>
      <c r="AP169" s="26"/>
      <c r="AQ169" s="20"/>
      <c r="AR169" s="20"/>
      <c r="AS169" s="20"/>
      <c r="AT169" s="20"/>
      <c r="AU169" s="20"/>
      <c r="AV169" s="29"/>
      <c r="AW169" s="67"/>
      <c r="AX169" s="11"/>
      <c r="AY169" s="11"/>
      <c r="AZ169" s="11"/>
      <c r="BA169" s="11"/>
      <c r="BB169" s="13"/>
      <c r="BC169" s="11" t="str">
        <f t="shared" si="12"/>
        <v>No</v>
      </c>
      <c r="BD169" s="22" t="str">
        <f t="shared" si="13"/>
        <v/>
      </c>
      <c r="BE169" s="11" t="s">
        <v>47</v>
      </c>
      <c r="BF169" s="11" t="str">
        <f t="shared" si="11"/>
        <v>No aplica</v>
      </c>
      <c r="BG169" s="12">
        <v>46176</v>
      </c>
      <c r="BH169" s="68" t="s">
        <v>115</v>
      </c>
    </row>
    <row r="170" spans="1:60" ht="18" hidden="1" customHeight="1" x14ac:dyDescent="0.3">
      <c r="A170" s="150"/>
      <c r="B170" s="43"/>
      <c r="C170" s="12">
        <v>46189</v>
      </c>
      <c r="D170" s="20">
        <f t="shared" si="10"/>
        <v>0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57"/>
      <c r="AF170" s="57"/>
      <c r="AG170" s="57"/>
      <c r="AH170" s="57"/>
      <c r="AI170" s="57"/>
      <c r="AJ170" s="57"/>
      <c r="AK170" s="19"/>
      <c r="AL170" s="19"/>
      <c r="AM170" s="19"/>
      <c r="AN170" s="19"/>
      <c r="AO170" s="19"/>
      <c r="AP170" s="19"/>
      <c r="AQ170" s="20"/>
      <c r="AR170" s="20"/>
      <c r="AS170" s="20"/>
      <c r="AT170" s="20"/>
      <c r="AU170" s="20"/>
      <c r="AV170" s="29"/>
      <c r="AW170" s="67"/>
      <c r="AX170" s="11"/>
      <c r="AY170" s="11"/>
      <c r="AZ170" s="11"/>
      <c r="BA170" s="11"/>
      <c r="BB170" s="13"/>
      <c r="BC170" s="11" t="str">
        <f t="shared" si="12"/>
        <v>No</v>
      </c>
      <c r="BD170" s="22" t="str">
        <f t="shared" si="13"/>
        <v/>
      </c>
      <c r="BE170" s="11" t="s">
        <v>47</v>
      </c>
      <c r="BF170" s="11" t="str">
        <f t="shared" si="11"/>
        <v>No aplica</v>
      </c>
      <c r="BG170" s="12">
        <v>46183</v>
      </c>
      <c r="BH170" s="68" t="s">
        <v>48</v>
      </c>
    </row>
    <row r="171" spans="1:60" ht="18" hidden="1" customHeight="1" x14ac:dyDescent="0.3">
      <c r="A171" s="150"/>
      <c r="B171" s="43"/>
      <c r="C171" s="12">
        <v>46190</v>
      </c>
      <c r="D171" s="20">
        <f t="shared" si="10"/>
        <v>0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20"/>
      <c r="AD171" s="20"/>
      <c r="AE171" s="57"/>
      <c r="AF171" s="57"/>
      <c r="AG171" s="57"/>
      <c r="AH171" s="57"/>
      <c r="AI171" s="57"/>
      <c r="AJ171" s="57"/>
      <c r="AK171" s="19"/>
      <c r="AL171" s="19"/>
      <c r="AM171" s="19"/>
      <c r="AN171" s="19"/>
      <c r="AO171" s="19"/>
      <c r="AP171" s="19"/>
      <c r="AQ171" s="20"/>
      <c r="AR171" s="20"/>
      <c r="AS171" s="20"/>
      <c r="AT171" s="20"/>
      <c r="AU171" s="20"/>
      <c r="AV171" s="29"/>
      <c r="AW171" s="67"/>
      <c r="AX171" s="11"/>
      <c r="AY171" s="11"/>
      <c r="AZ171" s="11"/>
      <c r="BA171" s="11"/>
      <c r="BB171" s="13"/>
      <c r="BC171" s="11" t="str">
        <f t="shared" si="12"/>
        <v>No</v>
      </c>
      <c r="BD171" s="22" t="str">
        <f t="shared" si="13"/>
        <v/>
      </c>
      <c r="BE171" s="11" t="s">
        <v>47</v>
      </c>
      <c r="BF171" s="11" t="str">
        <f t="shared" si="11"/>
        <v>No aplica</v>
      </c>
      <c r="BG171" s="12">
        <v>46197</v>
      </c>
      <c r="BH171" s="68" t="s">
        <v>48</v>
      </c>
    </row>
    <row r="172" spans="1:60" ht="28.95" hidden="1" customHeight="1" x14ac:dyDescent="0.3">
      <c r="A172" s="150"/>
      <c r="B172" s="43"/>
      <c r="C172" s="12">
        <v>46191</v>
      </c>
      <c r="D172" s="20">
        <f t="shared" si="10"/>
        <v>0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57"/>
      <c r="AF172" s="57"/>
      <c r="AG172" s="57"/>
      <c r="AH172" s="57"/>
      <c r="AI172" s="57"/>
      <c r="AJ172" s="57"/>
      <c r="AK172" s="19"/>
      <c r="AL172" s="19"/>
      <c r="AM172" s="19"/>
      <c r="AN172" s="19"/>
      <c r="AO172" s="19"/>
      <c r="AP172" s="19"/>
      <c r="AQ172" s="20"/>
      <c r="AR172" s="20"/>
      <c r="AS172" s="20"/>
      <c r="AT172" s="20"/>
      <c r="AU172" s="20"/>
      <c r="AV172" s="29"/>
      <c r="AW172" s="67"/>
      <c r="AX172" s="11"/>
      <c r="AY172" s="11"/>
      <c r="AZ172" s="11"/>
      <c r="BA172" s="11"/>
      <c r="BB172" s="13"/>
      <c r="BC172" s="11" t="str">
        <f t="shared" si="12"/>
        <v>No</v>
      </c>
      <c r="BD172" s="22" t="str">
        <f t="shared" si="13"/>
        <v/>
      </c>
      <c r="BE172" s="11" t="s">
        <v>47</v>
      </c>
      <c r="BF172" s="11" t="str">
        <f t="shared" si="11"/>
        <v>No aplica</v>
      </c>
      <c r="BG172" s="12">
        <v>46189</v>
      </c>
      <c r="BH172" s="68" t="s">
        <v>116</v>
      </c>
    </row>
    <row r="173" spans="1:60" ht="18" hidden="1" customHeight="1" x14ac:dyDescent="0.3">
      <c r="A173" s="150"/>
      <c r="B173" s="43"/>
      <c r="C173" s="12">
        <v>46192</v>
      </c>
      <c r="D173" s="20">
        <f t="shared" si="10"/>
        <v>0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57"/>
      <c r="AF173" s="57"/>
      <c r="AG173" s="57"/>
      <c r="AH173" s="57"/>
      <c r="AI173" s="57"/>
      <c r="AJ173" s="57"/>
      <c r="AK173" s="19"/>
      <c r="AL173" s="19"/>
      <c r="AM173" s="19"/>
      <c r="AN173" s="19"/>
      <c r="AO173" s="19"/>
      <c r="AP173" s="19"/>
      <c r="AQ173" s="20"/>
      <c r="AR173" s="20"/>
      <c r="AS173" s="20"/>
      <c r="AT173" s="20"/>
      <c r="AU173" s="20"/>
      <c r="AV173" s="29"/>
      <c r="AW173" s="67"/>
      <c r="AX173" s="11"/>
      <c r="AY173" s="11"/>
      <c r="AZ173" s="11"/>
      <c r="BA173" s="11"/>
      <c r="BB173" s="13"/>
      <c r="BC173" s="11" t="str">
        <f t="shared" si="12"/>
        <v>No</v>
      </c>
      <c r="BD173" s="22" t="str">
        <f t="shared" si="13"/>
        <v/>
      </c>
      <c r="BE173" s="11"/>
      <c r="BF173" s="11" t="str">
        <f t="shared" si="11"/>
        <v>No aplica</v>
      </c>
      <c r="BG173" s="12"/>
      <c r="BH173" s="68"/>
    </row>
    <row r="174" spans="1:60" ht="18" hidden="1" customHeight="1" x14ac:dyDescent="0.3">
      <c r="A174" s="150"/>
      <c r="B174" s="43"/>
      <c r="C174" s="12">
        <v>46193</v>
      </c>
      <c r="D174" s="20">
        <f t="shared" si="10"/>
        <v>0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57"/>
      <c r="AF174" s="57"/>
      <c r="AG174" s="57"/>
      <c r="AH174" s="57"/>
      <c r="AI174" s="57"/>
      <c r="AJ174" s="57"/>
      <c r="AK174" s="19"/>
      <c r="AL174" s="19"/>
      <c r="AM174" s="19"/>
      <c r="AN174" s="19"/>
      <c r="AO174" s="19"/>
      <c r="AP174" s="19"/>
      <c r="AQ174" s="20"/>
      <c r="AR174" s="20"/>
      <c r="AS174" s="20"/>
      <c r="AT174" s="20"/>
      <c r="AU174" s="20"/>
      <c r="AV174" s="29"/>
      <c r="AW174" s="67"/>
      <c r="AX174" s="11"/>
      <c r="AY174" s="11"/>
      <c r="AZ174" s="11"/>
      <c r="BA174" s="11"/>
      <c r="BB174" s="13"/>
      <c r="BC174" s="11" t="str">
        <f t="shared" si="12"/>
        <v>No</v>
      </c>
      <c r="BD174" s="22" t="str">
        <f t="shared" si="13"/>
        <v/>
      </c>
      <c r="BE174" s="11" t="s">
        <v>84</v>
      </c>
      <c r="BF174" s="11" t="str">
        <f t="shared" si="11"/>
        <v>No aplica</v>
      </c>
      <c r="BG174" s="12"/>
      <c r="BH174" s="68"/>
    </row>
    <row r="175" spans="1:60" ht="18" hidden="1" customHeight="1" x14ac:dyDescent="0.3">
      <c r="A175" s="150"/>
      <c r="B175" s="43"/>
      <c r="C175" s="12">
        <v>46194</v>
      </c>
      <c r="D175" s="20">
        <f t="shared" si="10"/>
        <v>0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57"/>
      <c r="AF175" s="57"/>
      <c r="AG175" s="57"/>
      <c r="AH175" s="57"/>
      <c r="AI175" s="57"/>
      <c r="AJ175" s="57"/>
      <c r="AK175" s="20"/>
      <c r="AL175" s="20"/>
      <c r="AM175" s="19"/>
      <c r="AN175" s="19"/>
      <c r="AO175" s="19"/>
      <c r="AP175" s="19"/>
      <c r="AQ175" s="20"/>
      <c r="AR175" s="20"/>
      <c r="AS175" s="20"/>
      <c r="AT175" s="20"/>
      <c r="AU175" s="20"/>
      <c r="AV175" s="29"/>
      <c r="AW175" s="67"/>
      <c r="AX175" s="11"/>
      <c r="AY175" s="11"/>
      <c r="AZ175" s="11"/>
      <c r="BA175" s="11"/>
      <c r="BB175" s="13"/>
      <c r="BC175" s="11" t="str">
        <f t="shared" si="12"/>
        <v>No</v>
      </c>
      <c r="BD175" s="22" t="str">
        <f t="shared" si="13"/>
        <v/>
      </c>
      <c r="BE175" s="11"/>
      <c r="BF175" s="11" t="str">
        <f t="shared" si="11"/>
        <v>No aplica</v>
      </c>
      <c r="BG175" s="12"/>
      <c r="BH175" s="68"/>
    </row>
    <row r="176" spans="1:60" ht="18" hidden="1" customHeight="1" x14ac:dyDescent="0.3">
      <c r="A176" s="150"/>
      <c r="B176" s="43"/>
      <c r="C176" s="12">
        <v>46195</v>
      </c>
      <c r="D176" s="20">
        <f t="shared" si="10"/>
        <v>0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57"/>
      <c r="AF176" s="57"/>
      <c r="AG176" s="57"/>
      <c r="AH176" s="57"/>
      <c r="AI176" s="57"/>
      <c r="AJ176" s="57"/>
      <c r="AK176" s="19"/>
      <c r="AL176" s="19"/>
      <c r="AM176" s="20"/>
      <c r="AN176" s="20"/>
      <c r="AO176" s="19"/>
      <c r="AP176" s="19"/>
      <c r="AQ176" s="20"/>
      <c r="AR176" s="20"/>
      <c r="AS176" s="20"/>
      <c r="AT176" s="20"/>
      <c r="AU176" s="20"/>
      <c r="AV176" s="29"/>
      <c r="AW176" s="67"/>
      <c r="AX176" s="11"/>
      <c r="AY176" s="11"/>
      <c r="AZ176" s="11"/>
      <c r="BA176" s="11"/>
      <c r="BB176" s="13"/>
      <c r="BC176" s="11" t="str">
        <f t="shared" si="12"/>
        <v>No</v>
      </c>
      <c r="BD176" s="22" t="str">
        <f t="shared" si="13"/>
        <v/>
      </c>
      <c r="BE176" s="11" t="s">
        <v>47</v>
      </c>
      <c r="BF176" s="11" t="str">
        <f t="shared" si="11"/>
        <v>No aplica</v>
      </c>
      <c r="BG176" s="12">
        <v>46195</v>
      </c>
      <c r="BH176" s="68" t="s">
        <v>117</v>
      </c>
    </row>
    <row r="177" spans="1:60" ht="18" hidden="1" customHeight="1" x14ac:dyDescent="0.3">
      <c r="A177" s="150"/>
      <c r="B177" s="43"/>
      <c r="C177" s="12">
        <v>46196</v>
      </c>
      <c r="D177" s="20">
        <f t="shared" si="10"/>
        <v>0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57"/>
      <c r="AF177" s="57"/>
      <c r="AG177" s="57"/>
      <c r="AH177" s="57"/>
      <c r="AI177" s="57"/>
      <c r="AJ177" s="57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  <c r="AV177" s="29"/>
      <c r="AW177" s="67"/>
      <c r="AX177" s="11"/>
      <c r="AY177" s="11"/>
      <c r="AZ177" s="11"/>
      <c r="BA177" s="11"/>
      <c r="BB177" s="13"/>
      <c r="BC177" s="11" t="str">
        <f t="shared" si="12"/>
        <v>No</v>
      </c>
      <c r="BD177" s="22" t="str">
        <f t="shared" si="13"/>
        <v/>
      </c>
      <c r="BE177" s="11"/>
      <c r="BF177" s="11" t="str">
        <f t="shared" si="11"/>
        <v>No aplica</v>
      </c>
      <c r="BG177" s="12"/>
      <c r="BH177" s="68"/>
    </row>
    <row r="178" spans="1:60" ht="18" hidden="1" customHeight="1" x14ac:dyDescent="0.3">
      <c r="A178" s="150"/>
      <c r="B178" s="43"/>
      <c r="C178" s="12">
        <v>46197</v>
      </c>
      <c r="D178" s="20">
        <f t="shared" si="10"/>
        <v>0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57"/>
      <c r="AF178" s="57"/>
      <c r="AG178" s="57"/>
      <c r="AH178" s="57"/>
      <c r="AI178" s="57"/>
      <c r="AJ178" s="57"/>
      <c r="AK178" s="20"/>
      <c r="AL178" s="20"/>
      <c r="AM178" s="20"/>
      <c r="AN178" s="20"/>
      <c r="AO178" s="20"/>
      <c r="AP178" s="20"/>
      <c r="AQ178" s="20"/>
      <c r="AR178" s="20"/>
      <c r="AS178" s="62">
        <v>4</v>
      </c>
      <c r="AT178" s="63">
        <v>8</v>
      </c>
      <c r="AU178" s="20"/>
      <c r="AV178" s="29"/>
      <c r="AW178" s="67"/>
      <c r="AX178" s="11"/>
      <c r="AY178" s="11"/>
      <c r="AZ178" s="11"/>
      <c r="BA178" s="11"/>
      <c r="BB178" s="13"/>
      <c r="BC178" s="11" t="str">
        <f t="shared" si="12"/>
        <v>No</v>
      </c>
      <c r="BD178" s="22" t="str">
        <f t="shared" si="13"/>
        <v/>
      </c>
      <c r="BE178" s="11" t="s">
        <v>47</v>
      </c>
      <c r="BF178" s="11" t="str">
        <f t="shared" si="11"/>
        <v>No aplica</v>
      </c>
      <c r="BG178" s="12">
        <v>46196</v>
      </c>
      <c r="BH178" s="68" t="s">
        <v>118</v>
      </c>
    </row>
    <row r="179" spans="1:60" ht="18" hidden="1" customHeight="1" x14ac:dyDescent="0.3">
      <c r="A179" s="150"/>
      <c r="B179" s="43"/>
      <c r="C179" s="12">
        <v>46198</v>
      </c>
      <c r="D179" s="20">
        <f t="shared" si="10"/>
        <v>0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57"/>
      <c r="AF179" s="57"/>
      <c r="AG179" s="57"/>
      <c r="AH179" s="57"/>
      <c r="AI179" s="57"/>
      <c r="AJ179" s="57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62">
        <v>4</v>
      </c>
      <c r="AV179" s="63">
        <v>8</v>
      </c>
      <c r="AW179" s="67"/>
      <c r="AX179" s="11"/>
      <c r="AY179" s="11"/>
      <c r="AZ179" s="11"/>
      <c r="BA179" s="11"/>
      <c r="BB179" s="13"/>
      <c r="BC179" s="11" t="str">
        <f t="shared" si="12"/>
        <v>Sí</v>
      </c>
      <c r="BD179" s="22" t="str">
        <f t="shared" si="13"/>
        <v>CYC</v>
      </c>
      <c r="BE179" s="11"/>
      <c r="BF179" s="11" t="str">
        <f t="shared" si="11"/>
        <v>Programado pendiente</v>
      </c>
      <c r="BG179" s="12"/>
      <c r="BH179" s="68"/>
    </row>
    <row r="180" spans="1:60" ht="18" hidden="1" customHeight="1" x14ac:dyDescent="0.3">
      <c r="A180" s="150"/>
      <c r="B180" s="43"/>
      <c r="C180" s="12">
        <v>46199</v>
      </c>
      <c r="D180" s="20">
        <f t="shared" si="10"/>
        <v>0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57"/>
      <c r="AF180" s="57"/>
      <c r="AG180" s="57"/>
      <c r="AH180" s="57"/>
      <c r="AI180" s="57"/>
      <c r="AJ180" s="57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9"/>
      <c r="AW180" s="67"/>
      <c r="AX180" s="11"/>
      <c r="AY180" s="11"/>
      <c r="AZ180" s="11"/>
      <c r="BA180" s="11"/>
      <c r="BB180" s="13"/>
      <c r="BC180" s="11" t="str">
        <f t="shared" si="12"/>
        <v>No</v>
      </c>
      <c r="BD180" s="22" t="str">
        <f t="shared" si="13"/>
        <v/>
      </c>
      <c r="BE180" s="11"/>
      <c r="BF180" s="11" t="str">
        <f t="shared" si="11"/>
        <v>No aplica</v>
      </c>
      <c r="BG180" s="12"/>
      <c r="BH180" s="68"/>
    </row>
    <row r="181" spans="1:60" ht="18" hidden="1" customHeight="1" x14ac:dyDescent="0.3">
      <c r="A181" s="150"/>
      <c r="B181" s="43"/>
      <c r="C181" s="12">
        <v>46200</v>
      </c>
      <c r="D181" s="20">
        <f t="shared" si="10"/>
        <v>0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57"/>
      <c r="AF181" s="57"/>
      <c r="AG181" s="57"/>
      <c r="AH181" s="57"/>
      <c r="AI181" s="57"/>
      <c r="AJ181" s="57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9"/>
      <c r="AW181" s="67"/>
      <c r="AX181" s="11"/>
      <c r="AY181" s="11"/>
      <c r="AZ181" s="11"/>
      <c r="BA181" s="11"/>
      <c r="BB181" s="13"/>
      <c r="BC181" s="11" t="str">
        <f t="shared" si="12"/>
        <v>No</v>
      </c>
      <c r="BD181" s="22" t="str">
        <f t="shared" si="13"/>
        <v/>
      </c>
      <c r="BE181" s="11"/>
      <c r="BF181" s="11" t="str">
        <f t="shared" si="11"/>
        <v>No aplica</v>
      </c>
      <c r="BG181" s="12"/>
      <c r="BH181" s="68"/>
    </row>
    <row r="182" spans="1:60" ht="18" hidden="1" customHeight="1" x14ac:dyDescent="0.3">
      <c r="A182" s="150"/>
      <c r="B182" s="43"/>
      <c r="C182" s="12">
        <v>46201</v>
      </c>
      <c r="D182" s="20">
        <f t="shared" si="10"/>
        <v>0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57"/>
      <c r="AF182" s="57"/>
      <c r="AG182" s="57"/>
      <c r="AH182" s="57"/>
      <c r="AI182" s="57"/>
      <c r="AJ182" s="57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9"/>
      <c r="AW182" s="67"/>
      <c r="AX182" s="11"/>
      <c r="AY182" s="11"/>
      <c r="AZ182" s="11"/>
      <c r="BA182" s="11"/>
      <c r="BB182" s="13"/>
      <c r="BC182" s="11" t="str">
        <f t="shared" si="12"/>
        <v>No</v>
      </c>
      <c r="BD182" s="22" t="str">
        <f t="shared" si="13"/>
        <v/>
      </c>
      <c r="BE182" s="11"/>
      <c r="BF182" s="11" t="str">
        <f t="shared" si="11"/>
        <v>No aplica</v>
      </c>
      <c r="BG182" s="12"/>
      <c r="BH182" s="68"/>
    </row>
    <row r="183" spans="1:60" ht="18" hidden="1" customHeight="1" x14ac:dyDescent="0.3">
      <c r="A183" s="150"/>
      <c r="B183" s="43"/>
      <c r="C183" s="12">
        <v>46202</v>
      </c>
      <c r="D183" s="20">
        <f t="shared" si="10"/>
        <v>0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57"/>
      <c r="AF183" s="57"/>
      <c r="AG183" s="57"/>
      <c r="AH183" s="57"/>
      <c r="AI183" s="57"/>
      <c r="AJ183" s="57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9"/>
      <c r="AW183" s="67"/>
      <c r="AX183" s="11"/>
      <c r="AY183" s="11"/>
      <c r="AZ183" s="11"/>
      <c r="BA183" s="11"/>
      <c r="BB183" s="13"/>
      <c r="BC183" s="11" t="str">
        <f t="shared" si="12"/>
        <v>No</v>
      </c>
      <c r="BD183" s="22" t="str">
        <f t="shared" si="13"/>
        <v/>
      </c>
      <c r="BE183" s="11"/>
      <c r="BF183" s="11" t="str">
        <f t="shared" si="11"/>
        <v>No aplica</v>
      </c>
      <c r="BG183" s="12"/>
      <c r="BH183" s="68"/>
    </row>
    <row r="184" spans="1:60" ht="18" hidden="1" customHeight="1" thickBot="1" x14ac:dyDescent="0.35">
      <c r="A184" s="151"/>
      <c r="B184" s="44"/>
      <c r="C184" s="30">
        <v>46203</v>
      </c>
      <c r="D184" s="31">
        <f t="shared" si="10"/>
        <v>0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54"/>
      <c r="AB184" s="54"/>
      <c r="AC184" s="54"/>
      <c r="AD184" s="54"/>
      <c r="AE184" s="59"/>
      <c r="AF184" s="59"/>
      <c r="AG184" s="59"/>
      <c r="AH184" s="59"/>
      <c r="AI184" s="59"/>
      <c r="AJ184" s="59"/>
      <c r="AK184" s="54"/>
      <c r="AL184" s="54"/>
      <c r="AM184" s="54"/>
      <c r="AN184" s="54"/>
      <c r="AO184" s="54"/>
      <c r="AP184" s="54"/>
      <c r="AQ184" s="31"/>
      <c r="AR184" s="31"/>
      <c r="AS184" s="31"/>
      <c r="AT184" s="31"/>
      <c r="AU184" s="31"/>
      <c r="AV184" s="33"/>
      <c r="AW184" s="69"/>
      <c r="AX184" s="70"/>
      <c r="AY184" s="70"/>
      <c r="AZ184" s="70"/>
      <c r="BA184" s="70"/>
      <c r="BB184" s="71"/>
      <c r="BC184" s="70" t="str">
        <f t="shared" si="12"/>
        <v>No</v>
      </c>
      <c r="BD184" s="72" t="str">
        <f t="shared" si="13"/>
        <v/>
      </c>
      <c r="BE184" s="70" t="s">
        <v>47</v>
      </c>
      <c r="BF184" s="70" t="str">
        <f t="shared" si="11"/>
        <v>No aplica</v>
      </c>
      <c r="BG184" s="30">
        <v>46190</v>
      </c>
      <c r="BH184" s="73" t="s">
        <v>48</v>
      </c>
    </row>
    <row r="185" spans="1:60" ht="64.2" hidden="1" customHeight="1" x14ac:dyDescent="0.3">
      <c r="A185" s="148" t="s">
        <v>62</v>
      </c>
      <c r="B185" s="42"/>
      <c r="C185" s="15">
        <v>46204</v>
      </c>
      <c r="D185" s="27">
        <f t="shared" si="10"/>
        <v>0</v>
      </c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27"/>
      <c r="AB185" s="27"/>
      <c r="AC185" s="93"/>
      <c r="AD185" s="93"/>
      <c r="AE185" s="60"/>
      <c r="AF185" s="60"/>
      <c r="AG185" s="60"/>
      <c r="AH185" s="60"/>
      <c r="AI185" s="60"/>
      <c r="AJ185" s="60"/>
      <c r="AK185" s="18"/>
      <c r="AL185" s="18"/>
      <c r="AM185" s="18"/>
      <c r="AN185" s="18"/>
      <c r="AO185" s="18"/>
      <c r="AP185" s="18"/>
      <c r="AQ185" s="27"/>
      <c r="AR185" s="27"/>
      <c r="AS185" s="27"/>
      <c r="AT185" s="27"/>
      <c r="AU185" s="27"/>
      <c r="AV185" s="28"/>
      <c r="AW185" s="14"/>
      <c r="AX185" s="14"/>
      <c r="AY185" s="14"/>
      <c r="AZ185" s="14"/>
      <c r="BA185" s="14"/>
      <c r="BB185" s="65"/>
      <c r="BC185" s="14" t="str">
        <f t="shared" si="12"/>
        <v>No</v>
      </c>
      <c r="BD185" s="87" t="str">
        <f t="shared" si="13"/>
        <v/>
      </c>
      <c r="BE185" s="14" t="s">
        <v>47</v>
      </c>
      <c r="BF185" s="14" t="str">
        <f t="shared" si="11"/>
        <v>No aplica</v>
      </c>
      <c r="BG185" s="75" t="s">
        <v>119</v>
      </c>
      <c r="BH185" s="66" t="s">
        <v>141</v>
      </c>
    </row>
    <row r="186" spans="1:60" ht="38.4" hidden="1" customHeight="1" x14ac:dyDescent="0.3">
      <c r="A186" s="150"/>
      <c r="B186" s="43"/>
      <c r="C186" s="12">
        <v>46205</v>
      </c>
      <c r="D186" s="20">
        <f t="shared" si="10"/>
        <v>0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19"/>
      <c r="P186" s="19"/>
      <c r="Q186" s="19"/>
      <c r="R186" s="19"/>
      <c r="S186" s="20"/>
      <c r="T186" s="20"/>
      <c r="U186" s="19"/>
      <c r="V186" s="19"/>
      <c r="W186" s="19"/>
      <c r="X186" s="19"/>
      <c r="Y186" s="19"/>
      <c r="Z186" s="19"/>
      <c r="AA186" s="19"/>
      <c r="AB186" s="19"/>
      <c r="AC186" s="94"/>
      <c r="AD186" s="94"/>
      <c r="AE186" s="57"/>
      <c r="AF186" s="57"/>
      <c r="AG186" s="57"/>
      <c r="AH186" s="57"/>
      <c r="AI186" s="57"/>
      <c r="AJ186" s="57"/>
      <c r="AK186" s="19"/>
      <c r="AL186" s="19"/>
      <c r="AM186" s="19"/>
      <c r="AN186" s="19"/>
      <c r="AO186" s="19"/>
      <c r="AP186" s="19"/>
      <c r="AQ186" s="20"/>
      <c r="AR186" s="20"/>
      <c r="AS186" s="20"/>
      <c r="AT186" s="20"/>
      <c r="AU186" s="20"/>
      <c r="AV186" s="29"/>
      <c r="AW186" s="11"/>
      <c r="AX186" s="11"/>
      <c r="AY186" s="11"/>
      <c r="AZ186" s="11"/>
      <c r="BA186" s="11"/>
      <c r="BB186" s="13"/>
      <c r="BC186" s="11" t="str">
        <f t="shared" si="12"/>
        <v>No</v>
      </c>
      <c r="BD186" s="89" t="str">
        <f t="shared" si="13"/>
        <v/>
      </c>
      <c r="BE186" s="11" t="s">
        <v>84</v>
      </c>
      <c r="BF186" s="11" t="str">
        <f t="shared" si="11"/>
        <v>No aplica</v>
      </c>
      <c r="BG186" s="12"/>
      <c r="BH186" s="68" t="s">
        <v>143</v>
      </c>
    </row>
    <row r="187" spans="1:60" ht="37.799999999999997" hidden="1" customHeight="1" x14ac:dyDescent="0.3">
      <c r="A187" s="150"/>
      <c r="B187" s="43"/>
      <c r="C187" s="12">
        <v>46206</v>
      </c>
      <c r="D187" s="20">
        <f t="shared" si="10"/>
        <v>0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94"/>
      <c r="AD187" s="94"/>
      <c r="AE187" s="57"/>
      <c r="AF187" s="57"/>
      <c r="AG187" s="57"/>
      <c r="AH187" s="57"/>
      <c r="AI187" s="57"/>
      <c r="AJ187" s="57"/>
      <c r="AK187" s="19"/>
      <c r="AL187" s="19"/>
      <c r="AM187" s="19"/>
      <c r="AN187" s="19"/>
      <c r="AO187" s="19"/>
      <c r="AP187" s="19"/>
      <c r="AQ187" s="20"/>
      <c r="AR187" s="20"/>
      <c r="AS187" s="20"/>
      <c r="AT187" s="20"/>
      <c r="AU187" s="20"/>
      <c r="AV187" s="29"/>
      <c r="AW187" s="11"/>
      <c r="AX187" s="11"/>
      <c r="AY187" s="11"/>
      <c r="AZ187" s="11"/>
      <c r="BA187" s="11"/>
      <c r="BB187" s="13"/>
      <c r="BC187" s="11" t="str">
        <f t="shared" si="12"/>
        <v>No</v>
      </c>
      <c r="BD187" s="90" t="str">
        <f t="shared" si="13"/>
        <v/>
      </c>
      <c r="BE187" s="11" t="s">
        <v>47</v>
      </c>
      <c r="BF187" s="11" t="str">
        <f t="shared" si="11"/>
        <v>No aplica</v>
      </c>
      <c r="BG187" s="12">
        <v>46205</v>
      </c>
      <c r="BH187" s="76" t="s">
        <v>140</v>
      </c>
    </row>
    <row r="188" spans="1:60" ht="18" hidden="1" customHeight="1" x14ac:dyDescent="0.3">
      <c r="A188" s="150"/>
      <c r="B188" s="43"/>
      <c r="C188" s="12">
        <v>46207</v>
      </c>
      <c r="D188" s="20">
        <f t="shared" si="10"/>
        <v>0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94"/>
      <c r="AD188" s="94"/>
      <c r="AE188" s="57"/>
      <c r="AF188" s="57"/>
      <c r="AG188" s="57"/>
      <c r="AH188" s="57"/>
      <c r="AI188" s="57"/>
      <c r="AJ188" s="57"/>
      <c r="AK188" s="19"/>
      <c r="AL188" s="19"/>
      <c r="AM188" s="19"/>
      <c r="AN188" s="19"/>
      <c r="AO188" s="19"/>
      <c r="AP188" s="19"/>
      <c r="AQ188" s="20"/>
      <c r="AR188" s="20"/>
      <c r="AS188" s="20"/>
      <c r="AT188" s="20"/>
      <c r="AU188" s="20"/>
      <c r="AV188" s="29"/>
      <c r="AW188" s="11"/>
      <c r="AX188" s="11"/>
      <c r="AY188" s="11"/>
      <c r="AZ188" s="11"/>
      <c r="BA188" s="11"/>
      <c r="BB188" s="13"/>
      <c r="BC188" s="11" t="str">
        <f t="shared" si="12"/>
        <v>No</v>
      </c>
      <c r="BD188" s="22" t="str">
        <f t="shared" si="13"/>
        <v/>
      </c>
      <c r="BE188" s="11"/>
      <c r="BF188" s="11" t="str">
        <f t="shared" si="11"/>
        <v>No aplica</v>
      </c>
      <c r="BG188" s="12"/>
      <c r="BH188" s="68"/>
    </row>
    <row r="189" spans="1:60" ht="18" hidden="1" customHeight="1" x14ac:dyDescent="0.3">
      <c r="A189" s="150"/>
      <c r="B189" s="43"/>
      <c r="C189" s="12">
        <v>46208</v>
      </c>
      <c r="D189" s="20">
        <f t="shared" si="10"/>
        <v>0</v>
      </c>
      <c r="E189" s="19"/>
      <c r="F189" s="19"/>
      <c r="G189" s="19"/>
      <c r="H189" s="19"/>
      <c r="I189" s="19"/>
      <c r="J189" s="20"/>
      <c r="K189" s="20"/>
      <c r="L189" s="20"/>
      <c r="M189" s="20"/>
      <c r="N189" s="20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94"/>
      <c r="AD189" s="94"/>
      <c r="AE189" s="57"/>
      <c r="AF189" s="57"/>
      <c r="AG189" s="57"/>
      <c r="AH189" s="57"/>
      <c r="AI189" s="57"/>
      <c r="AJ189" s="57"/>
      <c r="AK189" s="19"/>
      <c r="AL189" s="19"/>
      <c r="AM189" s="19"/>
      <c r="AN189" s="19"/>
      <c r="AO189" s="19"/>
      <c r="AP189" s="19"/>
      <c r="AQ189" s="20"/>
      <c r="AR189" s="20"/>
      <c r="AS189" s="20"/>
      <c r="AT189" s="20"/>
      <c r="AU189" s="20"/>
      <c r="AV189" s="29"/>
      <c r="AW189" s="11"/>
      <c r="AX189" s="11"/>
      <c r="AY189" s="11"/>
      <c r="AZ189" s="11"/>
      <c r="BA189" s="11"/>
      <c r="BB189" s="13"/>
      <c r="BC189" s="11" t="str">
        <f t="shared" si="12"/>
        <v>No</v>
      </c>
      <c r="BD189" s="92" t="str">
        <f t="shared" si="13"/>
        <v/>
      </c>
      <c r="BE189" s="11" t="s">
        <v>84</v>
      </c>
      <c r="BF189" s="11" t="str">
        <f t="shared" si="11"/>
        <v>No aplica</v>
      </c>
      <c r="BG189" s="12"/>
      <c r="BH189" s="68"/>
    </row>
    <row r="190" spans="1:60" ht="18" hidden="1" customHeight="1" x14ac:dyDescent="0.3">
      <c r="A190" s="150"/>
      <c r="B190" s="43"/>
      <c r="C190" s="12">
        <v>46209</v>
      </c>
      <c r="D190" s="20">
        <f t="shared" si="10"/>
        <v>0</v>
      </c>
      <c r="E190" s="19"/>
      <c r="F190" s="19"/>
      <c r="G190" s="19"/>
      <c r="H190" s="19"/>
      <c r="I190" s="19"/>
      <c r="J190" s="20"/>
      <c r="K190" s="20"/>
      <c r="L190" s="20"/>
      <c r="M190" s="20"/>
      <c r="N190" s="20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94"/>
      <c r="AD190" s="94"/>
      <c r="AE190" s="57"/>
      <c r="AF190" s="57"/>
      <c r="AG190" s="57"/>
      <c r="AH190" s="57"/>
      <c r="AI190" s="57"/>
      <c r="AJ190" s="57"/>
      <c r="AK190" s="20"/>
      <c r="AL190" s="20"/>
      <c r="AM190" s="19"/>
      <c r="AN190" s="19"/>
      <c r="AO190" s="19"/>
      <c r="AP190" s="19"/>
      <c r="AQ190" s="20"/>
      <c r="AR190" s="20"/>
      <c r="AS190" s="20"/>
      <c r="AT190" s="20"/>
      <c r="AU190" s="20"/>
      <c r="AV190" s="29"/>
      <c r="AW190" s="11"/>
      <c r="AX190" s="11"/>
      <c r="AY190" s="11"/>
      <c r="AZ190" s="11"/>
      <c r="BA190" s="11"/>
      <c r="BB190" s="13"/>
      <c r="BC190" s="11" t="str">
        <f t="shared" si="12"/>
        <v>No</v>
      </c>
      <c r="BD190" s="88" t="str">
        <f t="shared" si="13"/>
        <v/>
      </c>
      <c r="BE190" s="11" t="s">
        <v>47</v>
      </c>
      <c r="BF190" s="11" t="str">
        <f t="shared" si="11"/>
        <v>No aplica</v>
      </c>
      <c r="BG190" s="12">
        <v>46209</v>
      </c>
      <c r="BH190" s="68" t="s">
        <v>91</v>
      </c>
    </row>
    <row r="191" spans="1:60" ht="18" hidden="1" customHeight="1" x14ac:dyDescent="0.3">
      <c r="A191" s="150"/>
      <c r="B191" s="43"/>
      <c r="C191" s="12">
        <v>46210</v>
      </c>
      <c r="D191" s="20">
        <f t="shared" si="10"/>
        <v>0</v>
      </c>
      <c r="E191" s="19"/>
      <c r="F191" s="19"/>
      <c r="G191" s="19"/>
      <c r="H191" s="19"/>
      <c r="I191" s="19"/>
      <c r="J191" s="20"/>
      <c r="K191" s="20"/>
      <c r="L191" s="20"/>
      <c r="M191" s="20"/>
      <c r="N191" s="20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94"/>
      <c r="AD191" s="94"/>
      <c r="AE191" s="57"/>
      <c r="AF191" s="57"/>
      <c r="AG191" s="57"/>
      <c r="AH191" s="57"/>
      <c r="AI191" s="57"/>
      <c r="AJ191" s="57"/>
      <c r="AK191" s="19"/>
      <c r="AL191" s="19"/>
      <c r="AM191" s="20"/>
      <c r="AN191" s="20"/>
      <c r="AO191" s="19"/>
      <c r="AP191" s="19"/>
      <c r="AQ191" s="20"/>
      <c r="AR191" s="20"/>
      <c r="AS191" s="20"/>
      <c r="AT191" s="20"/>
      <c r="AU191" s="20"/>
      <c r="AV191" s="29"/>
      <c r="AW191" s="11"/>
      <c r="AX191" s="11"/>
      <c r="AY191" s="11"/>
      <c r="AZ191" s="11"/>
      <c r="BA191" s="11"/>
      <c r="BB191" s="13"/>
      <c r="BC191" s="11" t="str">
        <f t="shared" si="12"/>
        <v>No</v>
      </c>
      <c r="BD191" s="88" t="str">
        <f t="shared" si="13"/>
        <v/>
      </c>
      <c r="BE191" s="11" t="s">
        <v>47</v>
      </c>
      <c r="BF191" s="11" t="str">
        <f t="shared" si="11"/>
        <v>No aplica</v>
      </c>
      <c r="BG191" s="12">
        <v>46210</v>
      </c>
      <c r="BH191" s="68" t="s">
        <v>142</v>
      </c>
    </row>
    <row r="192" spans="1:60" ht="18" hidden="1" customHeight="1" x14ac:dyDescent="0.3">
      <c r="A192" s="150"/>
      <c r="B192" s="43"/>
      <c r="C192" s="12">
        <v>46211</v>
      </c>
      <c r="D192" s="20">
        <f t="shared" si="10"/>
        <v>0</v>
      </c>
      <c r="E192" s="19"/>
      <c r="F192" s="19"/>
      <c r="G192" s="19"/>
      <c r="H192" s="19"/>
      <c r="I192" s="19"/>
      <c r="J192" s="20"/>
      <c r="K192" s="20"/>
      <c r="L192" s="20"/>
      <c r="M192" s="20"/>
      <c r="N192" s="20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94"/>
      <c r="AD192" s="94"/>
      <c r="AE192" s="57"/>
      <c r="AF192" s="57"/>
      <c r="AG192" s="57"/>
      <c r="AH192" s="57"/>
      <c r="AI192" s="57"/>
      <c r="AJ192" s="57"/>
      <c r="AK192" s="19"/>
      <c r="AL192" s="19"/>
      <c r="AM192" s="19"/>
      <c r="AN192" s="19"/>
      <c r="AO192" s="20"/>
      <c r="AP192" s="20"/>
      <c r="AQ192" s="20"/>
      <c r="AR192" s="20"/>
      <c r="AS192" s="20"/>
      <c r="AT192" s="20"/>
      <c r="AU192" s="20"/>
      <c r="AV192" s="29"/>
      <c r="AW192" s="11"/>
      <c r="AX192" s="11"/>
      <c r="AY192" s="11"/>
      <c r="AZ192" s="11"/>
      <c r="BA192" s="11"/>
      <c r="BB192" s="13"/>
      <c r="BC192" s="11" t="str">
        <f t="shared" si="12"/>
        <v>No</v>
      </c>
      <c r="BD192" s="88" t="str">
        <f t="shared" si="13"/>
        <v/>
      </c>
      <c r="BE192" s="11" t="s">
        <v>47</v>
      </c>
      <c r="BF192" s="11" t="str">
        <f t="shared" si="11"/>
        <v>No aplica</v>
      </c>
      <c r="BG192" s="12">
        <v>46211</v>
      </c>
      <c r="BH192" s="68" t="s">
        <v>142</v>
      </c>
    </row>
    <row r="193" spans="1:60" ht="18" hidden="1" customHeight="1" x14ac:dyDescent="0.3">
      <c r="A193" s="150"/>
      <c r="B193" s="43"/>
      <c r="C193" s="12">
        <v>46212</v>
      </c>
      <c r="D193" s="20">
        <f t="shared" si="10"/>
        <v>0</v>
      </c>
      <c r="E193" s="19"/>
      <c r="F193" s="19"/>
      <c r="G193" s="19"/>
      <c r="H193" s="19"/>
      <c r="I193" s="19"/>
      <c r="J193" s="20"/>
      <c r="K193" s="20"/>
      <c r="L193" s="20"/>
      <c r="M193" s="20"/>
      <c r="N193" s="20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20"/>
      <c r="Z193" s="20"/>
      <c r="AA193" s="20"/>
      <c r="AB193" s="20"/>
      <c r="AC193" s="94"/>
      <c r="AD193" s="94"/>
      <c r="AE193" s="57"/>
      <c r="AF193" s="57"/>
      <c r="AG193" s="57"/>
      <c r="AH193" s="57"/>
      <c r="AI193" s="57"/>
      <c r="AJ193" s="57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9"/>
      <c r="AW193" s="11"/>
      <c r="AX193" s="11"/>
      <c r="AY193" s="11"/>
      <c r="AZ193" s="11"/>
      <c r="BA193" s="11"/>
      <c r="BB193" s="13"/>
      <c r="BC193" s="11" t="str">
        <f t="shared" si="12"/>
        <v>No</v>
      </c>
      <c r="BD193" s="22" t="str">
        <f t="shared" si="13"/>
        <v/>
      </c>
      <c r="BE193" s="11"/>
      <c r="BF193" s="11" t="str">
        <f t="shared" si="11"/>
        <v>No aplica</v>
      </c>
      <c r="BG193" s="12"/>
      <c r="BH193" s="68"/>
    </row>
    <row r="194" spans="1:60" ht="18" hidden="1" customHeight="1" x14ac:dyDescent="0.3">
      <c r="A194" s="150"/>
      <c r="B194" s="43"/>
      <c r="C194" s="12">
        <v>46213</v>
      </c>
      <c r="D194" s="20">
        <f t="shared" si="10"/>
        <v>0</v>
      </c>
      <c r="E194" s="19"/>
      <c r="F194" s="19"/>
      <c r="G194" s="19"/>
      <c r="H194" s="19"/>
      <c r="I194" s="19"/>
      <c r="J194" s="20"/>
      <c r="K194" s="20"/>
      <c r="L194" s="20"/>
      <c r="M194" s="20"/>
      <c r="N194" s="20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20"/>
      <c r="Z194" s="20"/>
      <c r="AA194" s="20"/>
      <c r="AB194" s="20"/>
      <c r="AC194" s="94"/>
      <c r="AD194" s="94"/>
      <c r="AE194" s="57"/>
      <c r="AF194" s="57"/>
      <c r="AG194" s="57"/>
      <c r="AH194" s="57"/>
      <c r="AI194" s="57"/>
      <c r="AJ194" s="57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9"/>
      <c r="AW194" s="11"/>
      <c r="AX194" s="11"/>
      <c r="AY194" s="11"/>
      <c r="AZ194" s="11"/>
      <c r="BA194" s="11"/>
      <c r="BB194" s="13"/>
      <c r="BC194" s="11" t="str">
        <f t="shared" si="12"/>
        <v>No</v>
      </c>
      <c r="BD194" s="88" t="str">
        <f t="shared" si="13"/>
        <v/>
      </c>
      <c r="BE194" s="11" t="s">
        <v>47</v>
      </c>
      <c r="BF194" s="11" t="str">
        <f t="shared" si="11"/>
        <v>No aplica</v>
      </c>
      <c r="BG194" s="12">
        <v>46213</v>
      </c>
      <c r="BH194" s="68" t="s">
        <v>142</v>
      </c>
    </row>
    <row r="195" spans="1:60" ht="18" hidden="1" customHeight="1" x14ac:dyDescent="0.3">
      <c r="A195" s="150"/>
      <c r="B195" s="43"/>
      <c r="C195" s="12">
        <v>46214</v>
      </c>
      <c r="D195" s="20">
        <f t="shared" si="10"/>
        <v>0</v>
      </c>
      <c r="E195" s="19"/>
      <c r="F195" s="19"/>
      <c r="G195" s="19"/>
      <c r="H195" s="19"/>
      <c r="I195" s="19"/>
      <c r="J195" s="20"/>
      <c r="K195" s="20"/>
      <c r="L195" s="20"/>
      <c r="M195" s="20"/>
      <c r="N195" s="20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20"/>
      <c r="Z195" s="20"/>
      <c r="AA195" s="20"/>
      <c r="AB195" s="20"/>
      <c r="AC195" s="94"/>
      <c r="AD195" s="94"/>
      <c r="AE195" s="57"/>
      <c r="AF195" s="57"/>
      <c r="AG195" s="57"/>
      <c r="AH195" s="57"/>
      <c r="AI195" s="57"/>
      <c r="AJ195" s="57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9"/>
      <c r="AW195" s="11"/>
      <c r="AX195" s="11"/>
      <c r="AY195" s="11"/>
      <c r="AZ195" s="11"/>
      <c r="BA195" s="11"/>
      <c r="BB195" s="13"/>
      <c r="BC195" s="11" t="str">
        <f t="shared" si="12"/>
        <v>No</v>
      </c>
      <c r="BD195" s="88" t="str">
        <f t="shared" si="13"/>
        <v/>
      </c>
      <c r="BE195" s="11" t="s">
        <v>47</v>
      </c>
      <c r="BF195" s="11" t="str">
        <f t="shared" si="11"/>
        <v>No aplica</v>
      </c>
      <c r="BG195" s="12">
        <v>46214</v>
      </c>
      <c r="BH195" s="68" t="s">
        <v>142</v>
      </c>
    </row>
    <row r="196" spans="1:60" ht="18" hidden="1" customHeight="1" x14ac:dyDescent="0.3">
      <c r="A196" s="150"/>
      <c r="B196" s="43"/>
      <c r="C196" s="12">
        <v>46215</v>
      </c>
      <c r="D196" s="20">
        <f t="shared" ref="D196:D259" si="14">+F196+H196+J196+L196+N196+P196+R196+Z196+AB196+AD196+AF196+AH196+AJ196+AL196+AN196+AP196</f>
        <v>0</v>
      </c>
      <c r="E196" s="19"/>
      <c r="F196" s="19"/>
      <c r="G196" s="19"/>
      <c r="H196" s="19"/>
      <c r="I196" s="19"/>
      <c r="J196" s="20"/>
      <c r="K196" s="20"/>
      <c r="L196" s="20"/>
      <c r="M196" s="20"/>
      <c r="N196" s="20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20"/>
      <c r="Z196" s="20"/>
      <c r="AA196" s="20"/>
      <c r="AB196" s="20"/>
      <c r="AC196" s="94"/>
      <c r="AD196" s="94"/>
      <c r="AE196" s="57"/>
      <c r="AF196" s="57"/>
      <c r="AG196" s="57"/>
      <c r="AH196" s="57"/>
      <c r="AI196" s="57"/>
      <c r="AJ196" s="57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9"/>
      <c r="AW196" s="11"/>
      <c r="AX196" s="11"/>
      <c r="AY196" s="11"/>
      <c r="AZ196" s="11"/>
      <c r="BA196" s="11"/>
      <c r="BB196" s="13"/>
      <c r="BC196" s="11" t="str">
        <f t="shared" si="12"/>
        <v>No</v>
      </c>
      <c r="BD196" s="22" t="str">
        <f t="shared" si="13"/>
        <v/>
      </c>
      <c r="BE196" s="11" t="s">
        <v>47</v>
      </c>
      <c r="BF196" s="11" t="str">
        <f t="shared" si="11"/>
        <v>No aplica</v>
      </c>
      <c r="BG196" s="12">
        <v>46216</v>
      </c>
      <c r="BH196" s="68" t="s">
        <v>120</v>
      </c>
    </row>
    <row r="197" spans="1:60" ht="27.6" hidden="1" customHeight="1" x14ac:dyDescent="0.3">
      <c r="A197" s="150"/>
      <c r="B197" s="43"/>
      <c r="C197" s="12">
        <v>46216</v>
      </c>
      <c r="D197" s="20">
        <f t="shared" si="14"/>
        <v>0</v>
      </c>
      <c r="E197" s="19"/>
      <c r="F197" s="19"/>
      <c r="G197" s="19"/>
      <c r="H197" s="19"/>
      <c r="I197" s="19"/>
      <c r="J197" s="20"/>
      <c r="K197" s="20"/>
      <c r="L197" s="20"/>
      <c r="M197" s="20"/>
      <c r="N197" s="20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20"/>
      <c r="Z197" s="20"/>
      <c r="AA197" s="20"/>
      <c r="AB197" s="20"/>
      <c r="AC197" s="94"/>
      <c r="AD197" s="94"/>
      <c r="AE197" s="57"/>
      <c r="AF197" s="57"/>
      <c r="AG197" s="57"/>
      <c r="AH197" s="57"/>
      <c r="AI197" s="57"/>
      <c r="AJ197" s="57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9"/>
      <c r="AW197" s="11"/>
      <c r="AX197" s="11"/>
      <c r="AY197" s="11"/>
      <c r="AZ197" s="11"/>
      <c r="BA197" s="11"/>
      <c r="BB197" s="13"/>
      <c r="BC197" s="11" t="str">
        <f t="shared" si="12"/>
        <v>No</v>
      </c>
      <c r="BD197" s="88" t="str">
        <f t="shared" si="13"/>
        <v/>
      </c>
      <c r="BE197" s="11" t="s">
        <v>47</v>
      </c>
      <c r="BF197" s="11" t="str">
        <f t="shared" ref="BF197:BF260" si="15">IF($BC197="No","No aplica",IF($BE197="Sí","Ejecutado","Programado pendiente"))</f>
        <v>No aplica</v>
      </c>
      <c r="BG197" s="12">
        <v>46216</v>
      </c>
      <c r="BH197" s="68" t="s">
        <v>121</v>
      </c>
    </row>
    <row r="198" spans="1:60" ht="33" hidden="1" customHeight="1" x14ac:dyDescent="0.3">
      <c r="A198" s="150"/>
      <c r="B198" s="43"/>
      <c r="C198" s="12">
        <v>46217</v>
      </c>
      <c r="D198" s="20">
        <f t="shared" si="14"/>
        <v>0</v>
      </c>
      <c r="E198" s="19"/>
      <c r="F198" s="19"/>
      <c r="G198" s="19"/>
      <c r="H198" s="19"/>
      <c r="I198" s="19"/>
      <c r="J198" s="20"/>
      <c r="K198" s="20"/>
      <c r="L198" s="20"/>
      <c r="M198" s="20"/>
      <c r="N198" s="20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20"/>
      <c r="Z198" s="20"/>
      <c r="AA198" s="20"/>
      <c r="AB198" s="20"/>
      <c r="AC198" s="94"/>
      <c r="AD198" s="94"/>
      <c r="AE198" s="57"/>
      <c r="AF198" s="57"/>
      <c r="AG198" s="57"/>
      <c r="AH198" s="57"/>
      <c r="AI198" s="57"/>
      <c r="AJ198" s="57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9"/>
      <c r="AW198" s="11"/>
      <c r="AX198" s="11"/>
      <c r="AY198" s="11"/>
      <c r="AZ198" s="11"/>
      <c r="BA198" s="11"/>
      <c r="BB198" s="13"/>
      <c r="BC198" s="11" t="str">
        <f t="shared" si="12"/>
        <v>No</v>
      </c>
      <c r="BD198" s="88" t="str">
        <f t="shared" si="13"/>
        <v/>
      </c>
      <c r="BE198" s="11" t="s">
        <v>47</v>
      </c>
      <c r="BF198" s="11" t="str">
        <f t="shared" si="15"/>
        <v>No aplica</v>
      </c>
      <c r="BG198" s="12">
        <v>46217</v>
      </c>
      <c r="BH198" s="68" t="s">
        <v>121</v>
      </c>
    </row>
    <row r="199" spans="1:60" ht="18" hidden="1" customHeight="1" x14ac:dyDescent="0.3">
      <c r="A199" s="150"/>
      <c r="B199" s="43"/>
      <c r="C199" s="12">
        <v>46218</v>
      </c>
      <c r="D199" s="20">
        <f t="shared" si="14"/>
        <v>0</v>
      </c>
      <c r="E199" s="19"/>
      <c r="F199" s="19"/>
      <c r="G199" s="19"/>
      <c r="H199" s="19"/>
      <c r="I199" s="19"/>
      <c r="J199" s="20"/>
      <c r="K199" s="20"/>
      <c r="L199" s="20"/>
      <c r="M199" s="20"/>
      <c r="N199" s="20"/>
      <c r="O199" s="19"/>
      <c r="P199" s="19"/>
      <c r="Q199" s="19"/>
      <c r="R199" s="19"/>
      <c r="S199" s="26"/>
      <c r="T199" s="26"/>
      <c r="U199" s="19"/>
      <c r="V199" s="19"/>
      <c r="W199" s="19"/>
      <c r="X199" s="19"/>
      <c r="Y199" s="20"/>
      <c r="Z199" s="20"/>
      <c r="AA199" s="26"/>
      <c r="AB199" s="26"/>
      <c r="AC199" s="95"/>
      <c r="AD199" s="95"/>
      <c r="AE199" s="58"/>
      <c r="AF199" s="58"/>
      <c r="AG199" s="58"/>
      <c r="AH199" s="58"/>
      <c r="AI199" s="58"/>
      <c r="AJ199" s="58"/>
      <c r="AK199" s="26"/>
      <c r="AL199" s="26"/>
      <c r="AM199" s="26"/>
      <c r="AN199" s="26"/>
      <c r="AO199" s="26"/>
      <c r="AP199" s="26"/>
      <c r="AQ199" s="20"/>
      <c r="AR199" s="20"/>
      <c r="AS199" s="20"/>
      <c r="AT199" s="20"/>
      <c r="AU199" s="20"/>
      <c r="AV199" s="29"/>
      <c r="AW199" s="11"/>
      <c r="AX199" s="11"/>
      <c r="AY199" s="11"/>
      <c r="AZ199" s="11"/>
      <c r="BA199" s="11"/>
      <c r="BB199" s="13"/>
      <c r="BC199" s="11" t="str">
        <f t="shared" si="12"/>
        <v>No</v>
      </c>
      <c r="BD199" s="88" t="str">
        <f t="shared" si="13"/>
        <v/>
      </c>
      <c r="BE199" s="11" t="s">
        <v>47</v>
      </c>
      <c r="BF199" s="11" t="str">
        <f t="shared" si="15"/>
        <v>No aplica</v>
      </c>
      <c r="BG199" s="12">
        <v>46206</v>
      </c>
      <c r="BH199" s="68" t="s">
        <v>117</v>
      </c>
    </row>
    <row r="200" spans="1:60" ht="46.2" hidden="1" customHeight="1" x14ac:dyDescent="0.3">
      <c r="A200" s="150"/>
      <c r="B200" s="43"/>
      <c r="C200" s="12">
        <v>46219</v>
      </c>
      <c r="D200" s="20">
        <f t="shared" si="14"/>
        <v>0</v>
      </c>
      <c r="E200" s="19"/>
      <c r="F200" s="19"/>
      <c r="G200" s="19"/>
      <c r="H200" s="19"/>
      <c r="I200" s="19"/>
      <c r="J200" s="20"/>
      <c r="K200" s="20"/>
      <c r="L200" s="20"/>
      <c r="M200" s="20"/>
      <c r="N200" s="20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20"/>
      <c r="AB200" s="20"/>
      <c r="AC200" s="94"/>
      <c r="AD200" s="94"/>
      <c r="AE200" s="57"/>
      <c r="AF200" s="57"/>
      <c r="AG200" s="57"/>
      <c r="AH200" s="57"/>
      <c r="AI200" s="57"/>
      <c r="AJ200" s="57"/>
      <c r="AK200" s="19"/>
      <c r="AL200" s="19"/>
      <c r="AM200" s="19"/>
      <c r="AN200" s="19"/>
      <c r="AO200" s="19"/>
      <c r="AP200" s="19"/>
      <c r="AQ200" s="20"/>
      <c r="AR200" s="20"/>
      <c r="AS200" s="20"/>
      <c r="AT200" s="20"/>
      <c r="AU200" s="20"/>
      <c r="AV200" s="29"/>
      <c r="AW200" s="11"/>
      <c r="AX200" s="11"/>
      <c r="AY200" s="11"/>
      <c r="AZ200" s="11"/>
      <c r="BA200" s="11"/>
      <c r="BB200" s="13"/>
      <c r="BC200" s="11" t="str">
        <f t="shared" si="12"/>
        <v>No</v>
      </c>
      <c r="BD200" s="88" t="str">
        <f t="shared" si="13"/>
        <v/>
      </c>
      <c r="BE200" s="11" t="s">
        <v>47</v>
      </c>
      <c r="BF200" s="11" t="str">
        <f t="shared" si="15"/>
        <v>No aplica</v>
      </c>
      <c r="BG200" s="12">
        <v>46224</v>
      </c>
      <c r="BH200" s="68" t="s">
        <v>122</v>
      </c>
    </row>
    <row r="201" spans="1:60" ht="18" hidden="1" customHeight="1" x14ac:dyDescent="0.3">
      <c r="A201" s="150"/>
      <c r="B201" s="43"/>
      <c r="C201" s="12">
        <v>46220</v>
      </c>
      <c r="D201" s="20">
        <f t="shared" si="14"/>
        <v>0</v>
      </c>
      <c r="E201" s="19"/>
      <c r="F201" s="19"/>
      <c r="G201" s="19"/>
      <c r="H201" s="19"/>
      <c r="I201" s="19"/>
      <c r="J201" s="20"/>
      <c r="K201" s="20"/>
      <c r="L201" s="20"/>
      <c r="M201" s="20"/>
      <c r="N201" s="20"/>
      <c r="O201" s="19"/>
      <c r="P201" s="19"/>
      <c r="Q201" s="19"/>
      <c r="R201" s="19"/>
      <c r="S201" s="20"/>
      <c r="T201" s="20"/>
      <c r="U201" s="19"/>
      <c r="V201" s="19"/>
      <c r="W201" s="19"/>
      <c r="X201" s="19"/>
      <c r="Y201" s="19"/>
      <c r="Z201" s="19"/>
      <c r="AA201" s="19"/>
      <c r="AB201" s="19"/>
      <c r="AC201" s="94"/>
      <c r="AD201" s="94"/>
      <c r="AE201" s="57"/>
      <c r="AF201" s="57"/>
      <c r="AG201" s="57"/>
      <c r="AH201" s="57"/>
      <c r="AI201" s="57"/>
      <c r="AJ201" s="57"/>
      <c r="AK201" s="19"/>
      <c r="AL201" s="19"/>
      <c r="AM201" s="19"/>
      <c r="AN201" s="19"/>
      <c r="AO201" s="19"/>
      <c r="AP201" s="19"/>
      <c r="AQ201" s="20"/>
      <c r="AR201" s="20"/>
      <c r="AS201" s="20"/>
      <c r="AT201" s="20"/>
      <c r="AU201" s="20"/>
      <c r="AV201" s="29"/>
      <c r="AW201" s="11"/>
      <c r="AX201" s="11"/>
      <c r="AY201" s="11"/>
      <c r="AZ201" s="11"/>
      <c r="BA201" s="11"/>
      <c r="BB201" s="13"/>
      <c r="BC201" s="11" t="str">
        <f t="shared" si="12"/>
        <v>No</v>
      </c>
      <c r="BD201" s="88" t="str">
        <f t="shared" si="13"/>
        <v/>
      </c>
      <c r="BE201" s="11" t="s">
        <v>47</v>
      </c>
      <c r="BF201" s="11" t="str">
        <f t="shared" si="15"/>
        <v>No aplica</v>
      </c>
      <c r="BG201" s="12">
        <v>46218</v>
      </c>
      <c r="BH201" s="68" t="s">
        <v>123</v>
      </c>
    </row>
    <row r="202" spans="1:60" ht="18" hidden="1" customHeight="1" x14ac:dyDescent="0.3">
      <c r="A202" s="150"/>
      <c r="B202" s="43"/>
      <c r="C202" s="12">
        <v>46221</v>
      </c>
      <c r="D202" s="20">
        <f t="shared" si="14"/>
        <v>0</v>
      </c>
      <c r="E202" s="19"/>
      <c r="F202" s="19"/>
      <c r="G202" s="19"/>
      <c r="H202" s="19"/>
      <c r="I202" s="19"/>
      <c r="J202" s="20"/>
      <c r="K202" s="20"/>
      <c r="L202" s="20"/>
      <c r="M202" s="20"/>
      <c r="N202" s="20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94"/>
      <c r="AD202" s="94"/>
      <c r="AE202" s="57"/>
      <c r="AF202" s="57"/>
      <c r="AG202" s="57"/>
      <c r="AH202" s="57"/>
      <c r="AI202" s="57"/>
      <c r="AJ202" s="57"/>
      <c r="AK202" s="19"/>
      <c r="AL202" s="19"/>
      <c r="AM202" s="19"/>
      <c r="AN202" s="19"/>
      <c r="AO202" s="19"/>
      <c r="AP202" s="19"/>
      <c r="AQ202" s="20"/>
      <c r="AR202" s="20"/>
      <c r="AS202" s="20"/>
      <c r="AT202" s="20"/>
      <c r="AU202" s="20"/>
      <c r="AV202" s="29"/>
      <c r="AW202" s="11"/>
      <c r="AX202" s="11"/>
      <c r="AY202" s="11"/>
      <c r="AZ202" s="11"/>
      <c r="BA202" s="11"/>
      <c r="BB202" s="13"/>
      <c r="BC202" s="11" t="str">
        <f t="shared" si="12"/>
        <v>No</v>
      </c>
      <c r="BD202" s="22" t="str">
        <f t="shared" si="13"/>
        <v/>
      </c>
      <c r="BE202" s="11" t="s">
        <v>84</v>
      </c>
      <c r="BF202" s="11" t="str">
        <f t="shared" si="15"/>
        <v>No aplica</v>
      </c>
      <c r="BG202" s="12"/>
      <c r="BH202" s="68"/>
    </row>
    <row r="203" spans="1:60" ht="18" hidden="1" customHeight="1" x14ac:dyDescent="0.3">
      <c r="A203" s="150"/>
      <c r="B203" s="43"/>
      <c r="C203" s="12">
        <v>46222</v>
      </c>
      <c r="D203" s="20">
        <f t="shared" si="14"/>
        <v>0</v>
      </c>
      <c r="E203" s="19"/>
      <c r="F203" s="19"/>
      <c r="G203" s="19"/>
      <c r="H203" s="19"/>
      <c r="I203" s="19"/>
      <c r="J203" s="20"/>
      <c r="K203" s="20"/>
      <c r="L203" s="20"/>
      <c r="M203" s="20"/>
      <c r="N203" s="20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94"/>
      <c r="AD203" s="94"/>
      <c r="AE203" s="57"/>
      <c r="AF203" s="57"/>
      <c r="AG203" s="57"/>
      <c r="AH203" s="57"/>
      <c r="AI203" s="57"/>
      <c r="AJ203" s="57"/>
      <c r="AK203" s="19"/>
      <c r="AL203" s="19"/>
      <c r="AM203" s="19"/>
      <c r="AN203" s="19"/>
      <c r="AO203" s="19"/>
      <c r="AP203" s="19"/>
      <c r="AQ203" s="20"/>
      <c r="AR203" s="20"/>
      <c r="AS203" s="20"/>
      <c r="AT203" s="20"/>
      <c r="AU203" s="20"/>
      <c r="AV203" s="29"/>
      <c r="AW203" s="11"/>
      <c r="AX203" s="11"/>
      <c r="AY203" s="11"/>
      <c r="AZ203" s="11"/>
      <c r="BA203" s="11"/>
      <c r="BB203" s="13"/>
      <c r="BC203" s="11" t="str">
        <f t="shared" si="12"/>
        <v>No</v>
      </c>
      <c r="BD203" s="22" t="str">
        <f t="shared" si="13"/>
        <v/>
      </c>
      <c r="BE203" s="11"/>
      <c r="BF203" s="11" t="str">
        <f t="shared" si="15"/>
        <v>No aplica</v>
      </c>
      <c r="BG203" s="12"/>
      <c r="BH203" s="68"/>
    </row>
    <row r="204" spans="1:60" ht="18" hidden="1" customHeight="1" x14ac:dyDescent="0.3">
      <c r="A204" s="150"/>
      <c r="B204" s="43"/>
      <c r="C204" s="12">
        <v>46223</v>
      </c>
      <c r="D204" s="20">
        <f t="shared" si="14"/>
        <v>0</v>
      </c>
      <c r="E204" s="19"/>
      <c r="F204" s="19"/>
      <c r="G204" s="19"/>
      <c r="H204" s="19"/>
      <c r="I204" s="19"/>
      <c r="J204" s="20"/>
      <c r="K204" s="20"/>
      <c r="L204" s="20"/>
      <c r="M204" s="20"/>
      <c r="N204" s="20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94"/>
      <c r="AD204" s="94"/>
      <c r="AE204" s="57"/>
      <c r="AF204" s="57"/>
      <c r="AG204" s="57"/>
      <c r="AH204" s="57"/>
      <c r="AI204" s="57"/>
      <c r="AJ204" s="57"/>
      <c r="AK204" s="19"/>
      <c r="AL204" s="19"/>
      <c r="AM204" s="19"/>
      <c r="AN204" s="19"/>
      <c r="AO204" s="19"/>
      <c r="AP204" s="19"/>
      <c r="AQ204" s="20"/>
      <c r="AR204" s="20"/>
      <c r="AS204" s="20"/>
      <c r="AT204" s="20"/>
      <c r="AU204" s="20"/>
      <c r="AV204" s="29"/>
      <c r="AW204" s="11"/>
      <c r="AX204" s="11"/>
      <c r="AY204" s="11"/>
      <c r="AZ204" s="11"/>
      <c r="BA204" s="11"/>
      <c r="BB204" s="13"/>
      <c r="BC204" s="11" t="str">
        <f t="shared" si="12"/>
        <v>No</v>
      </c>
      <c r="BD204" s="88" t="str">
        <f t="shared" si="13"/>
        <v/>
      </c>
      <c r="BE204" s="11" t="s">
        <v>47</v>
      </c>
      <c r="BF204" s="11" t="str">
        <f t="shared" si="15"/>
        <v>No aplica</v>
      </c>
      <c r="BG204" s="12"/>
      <c r="BH204" s="68"/>
    </row>
    <row r="205" spans="1:60" ht="18" hidden="1" customHeight="1" x14ac:dyDescent="0.3">
      <c r="A205" s="150"/>
      <c r="B205" s="43"/>
      <c r="C205" s="12">
        <v>46224</v>
      </c>
      <c r="D205" s="20">
        <f t="shared" si="14"/>
        <v>0</v>
      </c>
      <c r="E205" s="19"/>
      <c r="F205" s="19"/>
      <c r="G205" s="19"/>
      <c r="H205" s="19"/>
      <c r="I205" s="19"/>
      <c r="J205" s="20"/>
      <c r="K205" s="20"/>
      <c r="L205" s="20"/>
      <c r="M205" s="20"/>
      <c r="N205" s="20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94"/>
      <c r="AD205" s="94"/>
      <c r="AE205" s="57"/>
      <c r="AF205" s="57"/>
      <c r="AG205" s="57"/>
      <c r="AH205" s="57"/>
      <c r="AI205" s="57"/>
      <c r="AJ205" s="57"/>
      <c r="AK205" s="20"/>
      <c r="AL205" s="20"/>
      <c r="AM205" s="19"/>
      <c r="AN205" s="19"/>
      <c r="AO205" s="19"/>
      <c r="AP205" s="19"/>
      <c r="AQ205" s="20"/>
      <c r="AR205" s="20"/>
      <c r="AS205" s="20"/>
      <c r="AT205" s="20"/>
      <c r="AU205" s="20"/>
      <c r="AV205" s="29"/>
      <c r="AW205" s="11"/>
      <c r="AX205" s="11"/>
      <c r="AY205" s="11"/>
      <c r="AZ205" s="11"/>
      <c r="BA205" s="11"/>
      <c r="BB205" s="13"/>
      <c r="BC205" s="11" t="str">
        <f t="shared" si="12"/>
        <v>No</v>
      </c>
      <c r="BD205" s="88" t="str">
        <f t="shared" si="13"/>
        <v/>
      </c>
      <c r="BE205" s="11" t="s">
        <v>47</v>
      </c>
      <c r="BF205" s="11" t="str">
        <f t="shared" si="15"/>
        <v>No aplica</v>
      </c>
      <c r="BG205" s="12">
        <v>46316</v>
      </c>
      <c r="BH205" s="68" t="s">
        <v>151</v>
      </c>
    </row>
    <row r="206" spans="1:60" ht="18" hidden="1" customHeight="1" x14ac:dyDescent="0.3">
      <c r="A206" s="150"/>
      <c r="B206" s="43"/>
      <c r="C206" s="12">
        <v>46225</v>
      </c>
      <c r="D206" s="20">
        <f t="shared" si="14"/>
        <v>0</v>
      </c>
      <c r="E206" s="19"/>
      <c r="F206" s="19"/>
      <c r="G206" s="19"/>
      <c r="H206" s="19"/>
      <c r="I206" s="19"/>
      <c r="J206" s="20"/>
      <c r="K206" s="20"/>
      <c r="L206" s="20"/>
      <c r="M206" s="20"/>
      <c r="N206" s="20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94"/>
      <c r="AD206" s="94"/>
      <c r="AE206" s="57"/>
      <c r="AF206" s="57"/>
      <c r="AG206" s="57"/>
      <c r="AH206" s="57"/>
      <c r="AI206" s="57"/>
      <c r="AJ206" s="57"/>
      <c r="AK206" s="19"/>
      <c r="AL206" s="19"/>
      <c r="AM206" s="20"/>
      <c r="AN206" s="20"/>
      <c r="AO206" s="19"/>
      <c r="AP206" s="19"/>
      <c r="AQ206" s="20"/>
      <c r="AR206" s="20"/>
      <c r="AS206" s="20"/>
      <c r="AT206" s="20"/>
      <c r="AU206" s="20"/>
      <c r="AV206" s="29"/>
      <c r="AW206" s="11"/>
      <c r="AX206" s="11"/>
      <c r="AY206" s="11"/>
      <c r="AZ206" s="11"/>
      <c r="BA206" s="11"/>
      <c r="BB206" s="13"/>
      <c r="BC206" s="11" t="str">
        <f t="shared" si="12"/>
        <v>No</v>
      </c>
      <c r="BD206" s="88" t="str">
        <f t="shared" si="13"/>
        <v/>
      </c>
      <c r="BE206" s="11" t="s">
        <v>47</v>
      </c>
      <c r="BF206" s="11" t="str">
        <f t="shared" si="15"/>
        <v>No aplica</v>
      </c>
      <c r="BG206" s="12">
        <v>46225</v>
      </c>
      <c r="BH206" s="68" t="s">
        <v>86</v>
      </c>
    </row>
    <row r="207" spans="1:60" ht="18" hidden="1" customHeight="1" x14ac:dyDescent="0.3">
      <c r="A207" s="150"/>
      <c r="B207" s="43"/>
      <c r="C207" s="12">
        <v>46226</v>
      </c>
      <c r="D207" s="20">
        <f t="shared" si="14"/>
        <v>0</v>
      </c>
      <c r="E207" s="19"/>
      <c r="F207" s="19"/>
      <c r="G207" s="19"/>
      <c r="H207" s="19"/>
      <c r="I207" s="19"/>
      <c r="J207" s="20"/>
      <c r="K207" s="20"/>
      <c r="L207" s="20"/>
      <c r="M207" s="20"/>
      <c r="N207" s="20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94"/>
      <c r="AD207" s="94"/>
      <c r="AE207" s="57"/>
      <c r="AF207" s="57"/>
      <c r="AG207" s="57"/>
      <c r="AH207" s="57"/>
      <c r="AI207" s="57"/>
      <c r="AJ207" s="57"/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  <c r="AV207" s="29"/>
      <c r="AW207" s="11"/>
      <c r="AX207" s="11"/>
      <c r="AY207" s="11"/>
      <c r="AZ207" s="11"/>
      <c r="BA207" s="11"/>
      <c r="BB207" s="13"/>
      <c r="BC207" s="11" t="str">
        <f t="shared" si="12"/>
        <v>No</v>
      </c>
      <c r="BD207" s="88" t="str">
        <f t="shared" si="13"/>
        <v/>
      </c>
      <c r="BE207" s="11" t="s">
        <v>47</v>
      </c>
      <c r="BF207" s="11" t="str">
        <f t="shared" si="15"/>
        <v>No aplica</v>
      </c>
      <c r="BG207" s="12"/>
      <c r="BH207" s="68"/>
    </row>
    <row r="208" spans="1:60" ht="18" hidden="1" customHeight="1" x14ac:dyDescent="0.3">
      <c r="A208" s="150"/>
      <c r="B208" s="43"/>
      <c r="C208" s="12">
        <v>46227</v>
      </c>
      <c r="D208" s="20">
        <f t="shared" si="14"/>
        <v>0</v>
      </c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20"/>
      <c r="Z208" s="20"/>
      <c r="AA208" s="20"/>
      <c r="AB208" s="20"/>
      <c r="AC208" s="94"/>
      <c r="AD208" s="94"/>
      <c r="AE208" s="57"/>
      <c r="AF208" s="57"/>
      <c r="AG208" s="57"/>
      <c r="AH208" s="57"/>
      <c r="AI208" s="57"/>
      <c r="AJ208" s="57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9"/>
      <c r="AW208" s="11"/>
      <c r="AX208" s="11"/>
      <c r="AY208" s="11"/>
      <c r="AZ208" s="11"/>
      <c r="BA208" s="11"/>
      <c r="BB208" s="13"/>
      <c r="BC208" s="11" t="str">
        <f t="shared" si="12"/>
        <v>No</v>
      </c>
      <c r="BD208" s="22" t="str">
        <f t="shared" si="13"/>
        <v/>
      </c>
      <c r="BE208" s="11"/>
      <c r="BF208" s="11" t="str">
        <f t="shared" si="15"/>
        <v>No aplica</v>
      </c>
      <c r="BG208" s="12"/>
      <c r="BH208" s="68"/>
    </row>
    <row r="209" spans="1:60" ht="18" hidden="1" customHeight="1" x14ac:dyDescent="0.3">
      <c r="A209" s="150"/>
      <c r="B209" s="43"/>
      <c r="C209" s="12">
        <v>46228</v>
      </c>
      <c r="D209" s="20">
        <f t="shared" si="14"/>
        <v>0</v>
      </c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20"/>
      <c r="Z209" s="20"/>
      <c r="AA209" s="20"/>
      <c r="AB209" s="20"/>
      <c r="AC209" s="94"/>
      <c r="AD209" s="94"/>
      <c r="AE209" s="57"/>
      <c r="AF209" s="57"/>
      <c r="AG209" s="57"/>
      <c r="AH209" s="57"/>
      <c r="AI209" s="57"/>
      <c r="AJ209" s="57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9"/>
      <c r="AW209" s="11"/>
      <c r="AX209" s="11"/>
      <c r="AY209" s="11"/>
      <c r="AZ209" s="11"/>
      <c r="BA209" s="11"/>
      <c r="BB209" s="13"/>
      <c r="BC209" s="11" t="str">
        <f t="shared" si="12"/>
        <v>No</v>
      </c>
      <c r="BD209" s="22" t="str">
        <f t="shared" si="13"/>
        <v/>
      </c>
      <c r="BE209" s="11"/>
      <c r="BF209" s="11" t="str">
        <f t="shared" si="15"/>
        <v>No aplica</v>
      </c>
      <c r="BG209" s="12"/>
      <c r="BH209" s="68"/>
    </row>
    <row r="210" spans="1:60" ht="18" hidden="1" customHeight="1" x14ac:dyDescent="0.3">
      <c r="A210" s="150"/>
      <c r="B210" s="43"/>
      <c r="C210" s="12">
        <v>46229</v>
      </c>
      <c r="D210" s="20">
        <f t="shared" si="14"/>
        <v>0</v>
      </c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20"/>
      <c r="Z210" s="20"/>
      <c r="AA210" s="20"/>
      <c r="AB210" s="20"/>
      <c r="AC210" s="94"/>
      <c r="AD210" s="94"/>
      <c r="AE210" s="57"/>
      <c r="AF210" s="57"/>
      <c r="AG210" s="57"/>
      <c r="AH210" s="57"/>
      <c r="AI210" s="57"/>
      <c r="AJ210" s="57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9"/>
      <c r="AW210" s="11"/>
      <c r="AX210" s="11"/>
      <c r="AY210" s="11"/>
      <c r="AZ210" s="11"/>
      <c r="BA210" s="11"/>
      <c r="BB210" s="13"/>
      <c r="BC210" s="11" t="str">
        <f t="shared" si="12"/>
        <v>No</v>
      </c>
      <c r="BD210" s="22" t="str">
        <f t="shared" si="13"/>
        <v/>
      </c>
      <c r="BE210" s="11"/>
      <c r="BF210" s="11" t="str">
        <f t="shared" si="15"/>
        <v>No aplica</v>
      </c>
      <c r="BG210" s="12"/>
      <c r="BH210" s="68"/>
    </row>
    <row r="211" spans="1:60" ht="18" hidden="1" customHeight="1" x14ac:dyDescent="0.3">
      <c r="A211" s="150"/>
      <c r="B211" s="43"/>
      <c r="C211" s="12">
        <v>46230</v>
      </c>
      <c r="D211" s="20">
        <f t="shared" si="14"/>
        <v>0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19"/>
      <c r="P211" s="19"/>
      <c r="Q211" s="19"/>
      <c r="R211" s="19"/>
      <c r="S211" s="19"/>
      <c r="T211" s="19"/>
      <c r="U211" s="19"/>
      <c r="V211" s="19"/>
      <c r="W211" s="20"/>
      <c r="X211" s="20"/>
      <c r="Y211" s="20"/>
      <c r="Z211" s="20"/>
      <c r="AA211" s="20"/>
      <c r="AB211" s="20"/>
      <c r="AC211" s="94"/>
      <c r="AD211" s="94"/>
      <c r="AE211" s="57"/>
      <c r="AF211" s="57"/>
      <c r="AG211" s="57"/>
      <c r="AH211" s="57"/>
      <c r="AI211" s="57"/>
      <c r="AJ211" s="57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9"/>
      <c r="AW211" s="11"/>
      <c r="AX211" s="11"/>
      <c r="AY211" s="11"/>
      <c r="AZ211" s="11"/>
      <c r="BA211" s="11"/>
      <c r="BB211" s="13"/>
      <c r="BC211" s="11" t="str">
        <f t="shared" si="12"/>
        <v>No</v>
      </c>
      <c r="BD211" s="88" t="str">
        <f t="shared" si="13"/>
        <v/>
      </c>
      <c r="BE211" s="11" t="s">
        <v>47</v>
      </c>
      <c r="BF211" s="11" t="str">
        <f t="shared" si="15"/>
        <v>No aplica</v>
      </c>
      <c r="BG211" s="12">
        <v>46230</v>
      </c>
      <c r="BH211" s="68" t="s">
        <v>144</v>
      </c>
    </row>
    <row r="212" spans="1:60" ht="18" hidden="1" customHeight="1" x14ac:dyDescent="0.3">
      <c r="A212" s="150"/>
      <c r="B212" s="43"/>
      <c r="C212" s="12">
        <v>46231</v>
      </c>
      <c r="D212" s="20">
        <f t="shared" si="14"/>
        <v>0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20"/>
      <c r="Z212" s="20"/>
      <c r="AA212" s="20"/>
      <c r="AB212" s="20"/>
      <c r="AC212" s="94"/>
      <c r="AD212" s="94"/>
      <c r="AE212" s="57"/>
      <c r="AF212" s="57"/>
      <c r="AG212" s="57"/>
      <c r="AH212" s="57"/>
      <c r="AI212" s="57"/>
      <c r="AJ212" s="57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9"/>
      <c r="AW212" s="11"/>
      <c r="AX212" s="11"/>
      <c r="AY212" s="11"/>
      <c r="AZ212" s="11"/>
      <c r="BA212" s="11"/>
      <c r="BB212" s="13"/>
      <c r="BC212" s="11" t="str">
        <f t="shared" si="12"/>
        <v>No</v>
      </c>
      <c r="BD212" s="22" t="str">
        <f t="shared" si="13"/>
        <v/>
      </c>
      <c r="BE212" s="11"/>
      <c r="BF212" s="11" t="str">
        <f t="shared" si="15"/>
        <v>No aplica</v>
      </c>
      <c r="BG212" s="12"/>
      <c r="BH212" s="68"/>
    </row>
    <row r="213" spans="1:60" ht="18" hidden="1" customHeight="1" x14ac:dyDescent="0.3">
      <c r="A213" s="150"/>
      <c r="B213" s="43"/>
      <c r="C213" s="12">
        <v>46232</v>
      </c>
      <c r="D213" s="20">
        <f t="shared" si="14"/>
        <v>0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20"/>
      <c r="Z213" s="20"/>
      <c r="AA213" s="20"/>
      <c r="AB213" s="20"/>
      <c r="AC213" s="94"/>
      <c r="AD213" s="94"/>
      <c r="AE213" s="57"/>
      <c r="AF213" s="57"/>
      <c r="AG213" s="57"/>
      <c r="AH213" s="57"/>
      <c r="AI213" s="57"/>
      <c r="AJ213" s="57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9"/>
      <c r="AW213" s="11"/>
      <c r="AX213" s="11"/>
      <c r="AY213" s="11"/>
      <c r="AZ213" s="11"/>
      <c r="BA213" s="11"/>
      <c r="BB213" s="13"/>
      <c r="BC213" s="11" t="str">
        <f t="shared" si="12"/>
        <v>No</v>
      </c>
      <c r="BD213" s="22" t="str">
        <f t="shared" si="13"/>
        <v/>
      </c>
      <c r="BE213" s="11"/>
      <c r="BF213" s="11" t="str">
        <f t="shared" si="15"/>
        <v>No aplica</v>
      </c>
      <c r="BG213" s="12"/>
      <c r="BH213" s="68"/>
    </row>
    <row r="214" spans="1:60" ht="42" hidden="1" customHeight="1" x14ac:dyDescent="0.3">
      <c r="A214" s="150"/>
      <c r="B214" s="43"/>
      <c r="C214" s="12">
        <v>46233</v>
      </c>
      <c r="D214" s="20">
        <f t="shared" si="14"/>
        <v>0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19"/>
      <c r="P214" s="19"/>
      <c r="Q214" s="19"/>
      <c r="R214" s="19"/>
      <c r="S214" s="26"/>
      <c r="T214" s="26"/>
      <c r="U214" s="19"/>
      <c r="V214" s="19"/>
      <c r="W214" s="19"/>
      <c r="X214" s="19"/>
      <c r="Y214" s="20"/>
      <c r="Z214" s="20"/>
      <c r="AA214" s="26"/>
      <c r="AB214" s="26"/>
      <c r="AC214" s="95"/>
      <c r="AD214" s="95"/>
      <c r="AE214" s="58"/>
      <c r="AF214" s="58"/>
      <c r="AG214" s="58"/>
      <c r="AH214" s="58"/>
      <c r="AI214" s="58"/>
      <c r="AJ214" s="58"/>
      <c r="AK214" s="26"/>
      <c r="AL214" s="26"/>
      <c r="AM214" s="26"/>
      <c r="AN214" s="26"/>
      <c r="AO214" s="26"/>
      <c r="AP214" s="26"/>
      <c r="AQ214" s="20"/>
      <c r="AR214" s="20"/>
      <c r="AS214" s="20"/>
      <c r="AT214" s="20"/>
      <c r="AU214" s="20"/>
      <c r="AV214" s="29"/>
      <c r="AW214" s="11"/>
      <c r="AX214" s="11"/>
      <c r="AY214" s="11"/>
      <c r="AZ214" s="11"/>
      <c r="BA214" s="11"/>
      <c r="BB214" s="13"/>
      <c r="BC214" s="11" t="str">
        <f t="shared" si="12"/>
        <v>No</v>
      </c>
      <c r="BD214" s="88" t="str">
        <f t="shared" si="13"/>
        <v/>
      </c>
      <c r="BE214" s="11" t="s">
        <v>47</v>
      </c>
      <c r="BF214" s="11" t="str">
        <f t="shared" si="15"/>
        <v>No aplica</v>
      </c>
      <c r="BG214" s="56">
        <v>46233</v>
      </c>
      <c r="BH214" s="76" t="s">
        <v>124</v>
      </c>
    </row>
    <row r="215" spans="1:60" ht="27.6" hidden="1" customHeight="1" thickBot="1" x14ac:dyDescent="0.35">
      <c r="A215" s="151"/>
      <c r="B215" s="44"/>
      <c r="C215" s="30">
        <v>46234</v>
      </c>
      <c r="D215" s="31">
        <f t="shared" si="14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1"/>
      <c r="AB215" s="31"/>
      <c r="AC215" s="96"/>
      <c r="AD215" s="96"/>
      <c r="AE215" s="61"/>
      <c r="AF215" s="61"/>
      <c r="AG215" s="61"/>
      <c r="AH215" s="61"/>
      <c r="AI215" s="61"/>
      <c r="AJ215" s="61"/>
      <c r="AK215" s="32"/>
      <c r="AL215" s="32"/>
      <c r="AM215" s="32"/>
      <c r="AN215" s="32"/>
      <c r="AO215" s="32"/>
      <c r="AP215" s="32"/>
      <c r="AQ215" s="31"/>
      <c r="AR215" s="31"/>
      <c r="AS215" s="31"/>
      <c r="AT215" s="31"/>
      <c r="AU215" s="31"/>
      <c r="AV215" s="33"/>
      <c r="AW215" s="70"/>
      <c r="AX215" s="70"/>
      <c r="AY215" s="70"/>
      <c r="AZ215" s="70"/>
      <c r="BA215" s="70"/>
      <c r="BB215" s="71"/>
      <c r="BC215" s="70" t="str">
        <f t="shared" si="12"/>
        <v>No</v>
      </c>
      <c r="BD215" s="91" t="str">
        <f t="shared" si="13"/>
        <v/>
      </c>
      <c r="BE215" s="70" t="s">
        <v>47</v>
      </c>
      <c r="BF215" s="70" t="str">
        <f t="shared" si="15"/>
        <v>No aplica</v>
      </c>
      <c r="BG215" s="30">
        <v>46234</v>
      </c>
      <c r="BH215" s="73" t="s">
        <v>145</v>
      </c>
    </row>
    <row r="216" spans="1:60" ht="18" customHeight="1" x14ac:dyDescent="0.3">
      <c r="A216" s="148" t="s">
        <v>125</v>
      </c>
      <c r="B216" s="42"/>
      <c r="C216" s="15">
        <v>46235</v>
      </c>
      <c r="D216" s="27">
        <f t="shared" si="14"/>
        <v>0</v>
      </c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18"/>
      <c r="P216" s="18"/>
      <c r="Q216" s="18"/>
      <c r="R216" s="18"/>
      <c r="S216" s="27"/>
      <c r="T216" s="27"/>
      <c r="U216" s="18"/>
      <c r="V216" s="18"/>
      <c r="W216" s="18"/>
      <c r="X216" s="18"/>
      <c r="Y216" s="18"/>
      <c r="Z216" s="18"/>
      <c r="AA216" s="18"/>
      <c r="AB216" s="18"/>
      <c r="AC216" s="93"/>
      <c r="AD216" s="93"/>
      <c r="AE216" s="60"/>
      <c r="AF216" s="60"/>
      <c r="AG216" s="60"/>
      <c r="AH216" s="60"/>
      <c r="AI216" s="60"/>
      <c r="AJ216" s="60"/>
      <c r="AK216" s="18"/>
      <c r="AL216" s="18"/>
      <c r="AM216" s="18"/>
      <c r="AN216" s="18"/>
      <c r="AO216" s="18"/>
      <c r="AP216" s="18"/>
      <c r="AQ216" s="27"/>
      <c r="AR216" s="27"/>
      <c r="AS216" s="27"/>
      <c r="AT216" s="27"/>
      <c r="AU216" s="27"/>
      <c r="AV216" s="28"/>
      <c r="AW216" s="14"/>
      <c r="AX216" s="14"/>
      <c r="AY216" s="14"/>
      <c r="AZ216" s="14"/>
      <c r="BA216" s="14"/>
      <c r="BB216" s="65"/>
      <c r="BC216" s="14" t="str">
        <f t="shared" si="12"/>
        <v>No</v>
      </c>
      <c r="BD216" s="21" t="str">
        <f t="shared" si="13"/>
        <v/>
      </c>
      <c r="BE216" s="14"/>
      <c r="BF216" s="14" t="str">
        <f t="shared" si="15"/>
        <v>No aplica</v>
      </c>
      <c r="BG216" s="15"/>
      <c r="BH216" s="66"/>
    </row>
    <row r="217" spans="1:60" ht="18" customHeight="1" x14ac:dyDescent="0.3">
      <c r="A217" s="150"/>
      <c r="B217" s="43"/>
      <c r="C217" s="12">
        <v>46236</v>
      </c>
      <c r="D217" s="20">
        <f t="shared" si="14"/>
        <v>0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94"/>
      <c r="AD217" s="94"/>
      <c r="AE217" s="57"/>
      <c r="AF217" s="57"/>
      <c r="AG217" s="57"/>
      <c r="AH217" s="57"/>
      <c r="AI217" s="57"/>
      <c r="AJ217" s="57"/>
      <c r="AK217" s="19"/>
      <c r="AL217" s="19"/>
      <c r="AM217" s="19"/>
      <c r="AN217" s="19"/>
      <c r="AO217" s="19"/>
      <c r="AP217" s="19"/>
      <c r="AQ217" s="20"/>
      <c r="AR217" s="20"/>
      <c r="AS217" s="20"/>
      <c r="AT217" s="20"/>
      <c r="AU217" s="20"/>
      <c r="AV217" s="29"/>
      <c r="AW217" s="11"/>
      <c r="AX217" s="11"/>
      <c r="AY217" s="11"/>
      <c r="AZ217" s="11"/>
      <c r="BA217" s="11"/>
      <c r="BB217" s="13"/>
      <c r="BC217" s="11" t="str">
        <f t="shared" si="12"/>
        <v>No</v>
      </c>
      <c r="BD217" s="22" t="str">
        <f t="shared" si="13"/>
        <v/>
      </c>
      <c r="BE217" s="11"/>
      <c r="BF217" s="11" t="str">
        <f t="shared" si="15"/>
        <v>No aplica</v>
      </c>
      <c r="BG217" s="12"/>
      <c r="BH217" s="68"/>
    </row>
    <row r="218" spans="1:60" ht="18" customHeight="1" x14ac:dyDescent="0.3">
      <c r="A218" s="150"/>
      <c r="B218" s="43"/>
      <c r="C218" s="12">
        <v>46237</v>
      </c>
      <c r="D218" s="20">
        <f t="shared" si="14"/>
        <v>0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94"/>
      <c r="AD218" s="94"/>
      <c r="AE218" s="57"/>
      <c r="AF218" s="57"/>
      <c r="AG218" s="57"/>
      <c r="AH218" s="57"/>
      <c r="AI218" s="57"/>
      <c r="AJ218" s="57"/>
      <c r="AK218" s="19"/>
      <c r="AL218" s="19"/>
      <c r="AM218" s="19"/>
      <c r="AN218" s="19"/>
      <c r="AO218" s="19"/>
      <c r="AP218" s="19"/>
      <c r="AQ218" s="20"/>
      <c r="AR218" s="20"/>
      <c r="AS218" s="20"/>
      <c r="AT218" s="20"/>
      <c r="AU218" s="20"/>
      <c r="AV218" s="29"/>
      <c r="AW218" s="11"/>
      <c r="AX218" s="11"/>
      <c r="AY218" s="11"/>
      <c r="AZ218" s="11"/>
      <c r="BA218" s="11"/>
      <c r="BB218" s="13"/>
      <c r="BC218" s="11" t="str">
        <f t="shared" si="12"/>
        <v>No</v>
      </c>
      <c r="BD218" s="88" t="str">
        <f t="shared" si="13"/>
        <v/>
      </c>
      <c r="BE218" s="11" t="s">
        <v>47</v>
      </c>
      <c r="BF218" s="11" t="str">
        <f t="shared" si="15"/>
        <v>No aplica</v>
      </c>
      <c r="BG218" s="12">
        <v>46237</v>
      </c>
      <c r="BH218" s="68" t="s">
        <v>146</v>
      </c>
    </row>
    <row r="219" spans="1:60" ht="28.8" customHeight="1" x14ac:dyDescent="0.3">
      <c r="A219" s="150"/>
      <c r="B219" s="43"/>
      <c r="C219" s="12">
        <v>46238</v>
      </c>
      <c r="D219" s="20">
        <f t="shared" si="14"/>
        <v>0</v>
      </c>
      <c r="E219" s="20"/>
      <c r="F219" s="20"/>
      <c r="G219" s="20"/>
      <c r="H219" s="20"/>
      <c r="I219" s="19"/>
      <c r="J219" s="19"/>
      <c r="K219" s="20"/>
      <c r="L219" s="20"/>
      <c r="M219" s="20"/>
      <c r="N219" s="20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94"/>
      <c r="AD219" s="94"/>
      <c r="AE219" s="57"/>
      <c r="AF219" s="57"/>
      <c r="AG219" s="57"/>
      <c r="AH219" s="57"/>
      <c r="AI219" s="57"/>
      <c r="AJ219" s="57"/>
      <c r="AK219" s="19"/>
      <c r="AL219" s="19"/>
      <c r="AM219" s="19"/>
      <c r="AN219" s="19"/>
      <c r="AO219" s="19"/>
      <c r="AP219" s="19"/>
      <c r="AQ219" s="20"/>
      <c r="AR219" s="20"/>
      <c r="AS219" s="20"/>
      <c r="AT219" s="20"/>
      <c r="AU219" s="20"/>
      <c r="AV219" s="29"/>
      <c r="AW219" s="11"/>
      <c r="AX219" s="11"/>
      <c r="AY219" s="11"/>
      <c r="AZ219" s="11"/>
      <c r="BA219" s="11"/>
      <c r="BB219" s="13"/>
      <c r="BC219" s="11" t="str">
        <f t="shared" si="12"/>
        <v>No</v>
      </c>
      <c r="BD219" s="88" t="str">
        <f t="shared" si="13"/>
        <v/>
      </c>
      <c r="BE219" s="11" t="s">
        <v>47</v>
      </c>
      <c r="BF219" s="11" t="str">
        <f t="shared" si="15"/>
        <v>No aplica</v>
      </c>
      <c r="BG219" s="12">
        <v>46241</v>
      </c>
      <c r="BH219" s="68" t="s">
        <v>147</v>
      </c>
    </row>
    <row r="220" spans="1:60" ht="36.6" customHeight="1" x14ac:dyDescent="0.3">
      <c r="A220" s="150"/>
      <c r="B220" s="43"/>
      <c r="C220" s="12">
        <v>46239</v>
      </c>
      <c r="D220" s="20">
        <f t="shared" si="14"/>
        <v>0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94"/>
      <c r="AD220" s="94"/>
      <c r="AE220" s="57"/>
      <c r="AF220" s="57"/>
      <c r="AG220" s="57"/>
      <c r="AH220" s="57"/>
      <c r="AI220" s="57"/>
      <c r="AJ220" s="57"/>
      <c r="AK220" s="20"/>
      <c r="AL220" s="20"/>
      <c r="AM220" s="19"/>
      <c r="AN220" s="19"/>
      <c r="AO220" s="19"/>
      <c r="AP220" s="19"/>
      <c r="AQ220" s="20"/>
      <c r="AR220" s="20"/>
      <c r="AS220" s="20"/>
      <c r="AT220" s="20"/>
      <c r="AU220" s="20"/>
      <c r="AV220" s="29"/>
      <c r="AW220" s="11"/>
      <c r="AX220" s="11"/>
      <c r="AY220" s="11"/>
      <c r="AZ220" s="11"/>
      <c r="BA220" s="11"/>
      <c r="BB220" s="13"/>
      <c r="BC220" s="11" t="str">
        <f t="shared" si="12"/>
        <v>No</v>
      </c>
      <c r="BD220" s="88" t="str">
        <f t="shared" si="13"/>
        <v/>
      </c>
      <c r="BE220" s="11" t="s">
        <v>84</v>
      </c>
      <c r="BF220" s="11" t="str">
        <f t="shared" si="15"/>
        <v>No aplica</v>
      </c>
      <c r="BG220" s="12"/>
      <c r="BH220" s="68" t="s">
        <v>147</v>
      </c>
    </row>
    <row r="221" spans="1:60" ht="18" customHeight="1" x14ac:dyDescent="0.3">
      <c r="A221" s="150"/>
      <c r="B221" s="43"/>
      <c r="C221" s="12">
        <v>46240</v>
      </c>
      <c r="D221" s="20">
        <f t="shared" si="14"/>
        <v>0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94"/>
      <c r="AD221" s="94"/>
      <c r="AE221" s="57"/>
      <c r="AF221" s="57"/>
      <c r="AG221" s="57"/>
      <c r="AH221" s="57"/>
      <c r="AI221" s="57"/>
      <c r="AJ221" s="57"/>
      <c r="AK221" s="19"/>
      <c r="AL221" s="19"/>
      <c r="AM221" s="20"/>
      <c r="AN221" s="20"/>
      <c r="AO221" s="19"/>
      <c r="AP221" s="19"/>
      <c r="AQ221" s="20"/>
      <c r="AR221" s="20"/>
      <c r="AS221" s="20"/>
      <c r="AT221" s="20"/>
      <c r="AU221" s="20"/>
      <c r="AV221" s="29"/>
      <c r="AW221" s="11"/>
      <c r="AX221" s="11"/>
      <c r="AY221" s="11"/>
      <c r="AZ221" s="11"/>
      <c r="BA221" s="11"/>
      <c r="BB221" s="13"/>
      <c r="BC221" s="11" t="str">
        <f t="shared" si="12"/>
        <v>No</v>
      </c>
      <c r="BD221" s="88" t="str">
        <f t="shared" si="13"/>
        <v/>
      </c>
      <c r="BE221" s="11" t="s">
        <v>47</v>
      </c>
      <c r="BF221" s="11" t="str">
        <f t="shared" si="15"/>
        <v>No aplica</v>
      </c>
      <c r="BG221" s="12">
        <v>46240</v>
      </c>
      <c r="BH221" s="68" t="s">
        <v>148</v>
      </c>
    </row>
    <row r="222" spans="1:60" ht="18" customHeight="1" x14ac:dyDescent="0.3">
      <c r="A222" s="150"/>
      <c r="B222" s="43"/>
      <c r="C222" s="12">
        <v>46241</v>
      </c>
      <c r="D222" s="20">
        <f t="shared" si="14"/>
        <v>0</v>
      </c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94"/>
      <c r="AD222" s="94"/>
      <c r="AE222" s="57"/>
      <c r="AF222" s="57"/>
      <c r="AG222" s="57"/>
      <c r="AH222" s="57"/>
      <c r="AI222" s="57"/>
      <c r="AJ222" s="57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  <c r="AV222" s="29"/>
      <c r="AW222" s="11"/>
      <c r="AX222" s="11"/>
      <c r="AY222" s="11"/>
      <c r="AZ222" s="11"/>
      <c r="BA222" s="11"/>
      <c r="BB222" s="13"/>
      <c r="BC222" s="11" t="str">
        <f t="shared" si="12"/>
        <v>No</v>
      </c>
      <c r="BD222" s="88" t="str">
        <f t="shared" si="13"/>
        <v/>
      </c>
      <c r="BE222" s="11"/>
      <c r="BF222" s="11" t="str">
        <f t="shared" si="15"/>
        <v>No aplica</v>
      </c>
      <c r="BG222" s="12">
        <v>46241</v>
      </c>
      <c r="BH222" s="68" t="s">
        <v>149</v>
      </c>
    </row>
    <row r="223" spans="1:60" ht="18" customHeight="1" x14ac:dyDescent="0.3">
      <c r="A223" s="150"/>
      <c r="B223" s="43"/>
      <c r="C223" s="12">
        <v>46242</v>
      </c>
      <c r="D223" s="20">
        <f t="shared" si="14"/>
        <v>0</v>
      </c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20"/>
      <c r="Z223" s="20"/>
      <c r="AA223" s="20"/>
      <c r="AB223" s="20"/>
      <c r="AC223" s="94"/>
      <c r="AD223" s="94"/>
      <c r="AE223" s="57"/>
      <c r="AF223" s="57"/>
      <c r="AG223" s="57"/>
      <c r="AH223" s="57"/>
      <c r="AI223" s="57"/>
      <c r="AJ223" s="57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9"/>
      <c r="AW223" s="11"/>
      <c r="AX223" s="11"/>
      <c r="AY223" s="11"/>
      <c r="AZ223" s="11"/>
      <c r="BA223" s="11"/>
      <c r="BB223" s="13"/>
      <c r="BC223" s="11" t="str">
        <f t="shared" si="12"/>
        <v>No</v>
      </c>
      <c r="BD223" s="22" t="str">
        <f t="shared" si="13"/>
        <v/>
      </c>
      <c r="BE223" s="11" t="s">
        <v>84</v>
      </c>
      <c r="BF223" s="11" t="str">
        <f t="shared" si="15"/>
        <v>No aplica</v>
      </c>
      <c r="BG223" s="12"/>
      <c r="BH223" s="68"/>
    </row>
    <row r="224" spans="1:60" ht="18" customHeight="1" x14ac:dyDescent="0.3">
      <c r="A224" s="150"/>
      <c r="B224" s="43"/>
      <c r="C224" s="12">
        <v>46243</v>
      </c>
      <c r="D224" s="20">
        <f t="shared" si="14"/>
        <v>0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20"/>
      <c r="Z224" s="20"/>
      <c r="AA224" s="20"/>
      <c r="AB224" s="20"/>
      <c r="AC224" s="94"/>
      <c r="AD224" s="94"/>
      <c r="AE224" s="57"/>
      <c r="AF224" s="57"/>
      <c r="AG224" s="57"/>
      <c r="AH224" s="57"/>
      <c r="AI224" s="57"/>
      <c r="AJ224" s="57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9"/>
      <c r="AW224" s="11"/>
      <c r="AX224" s="11"/>
      <c r="AY224" s="11"/>
      <c r="AZ224" s="11"/>
      <c r="BA224" s="11"/>
      <c r="BB224" s="13"/>
      <c r="BC224" s="11" t="str">
        <f t="shared" si="12"/>
        <v>No</v>
      </c>
      <c r="BD224" s="22" t="str">
        <f t="shared" si="13"/>
        <v/>
      </c>
      <c r="BE224" s="11"/>
      <c r="BF224" s="11" t="str">
        <f t="shared" si="15"/>
        <v>No aplica</v>
      </c>
      <c r="BG224" s="12"/>
      <c r="BH224" s="68"/>
    </row>
    <row r="225" spans="1:60" ht="18" customHeight="1" x14ac:dyDescent="0.3">
      <c r="A225" s="150"/>
      <c r="B225" s="43"/>
      <c r="C225" s="12">
        <v>46244</v>
      </c>
      <c r="D225" s="20">
        <f t="shared" si="14"/>
        <v>0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20"/>
      <c r="Z225" s="20"/>
      <c r="AA225" s="20"/>
      <c r="AB225" s="20"/>
      <c r="AC225" s="94"/>
      <c r="AD225" s="94"/>
      <c r="AE225" s="57"/>
      <c r="AF225" s="57"/>
      <c r="AG225" s="57"/>
      <c r="AH225" s="57"/>
      <c r="AI225" s="57"/>
      <c r="AJ225" s="57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9"/>
      <c r="AW225" s="11"/>
      <c r="AX225" s="11"/>
      <c r="AY225" s="11"/>
      <c r="AZ225" s="11"/>
      <c r="BA225" s="11"/>
      <c r="BB225" s="13"/>
      <c r="BC225" s="11" t="str">
        <f t="shared" si="12"/>
        <v>No</v>
      </c>
      <c r="BD225" s="22" t="str">
        <f t="shared" si="13"/>
        <v/>
      </c>
      <c r="BE225" s="11"/>
      <c r="BF225" s="11" t="str">
        <f t="shared" si="15"/>
        <v>No aplica</v>
      </c>
      <c r="BG225" s="12"/>
      <c r="BH225" s="68"/>
    </row>
    <row r="226" spans="1:60" ht="18" customHeight="1" x14ac:dyDescent="0.3">
      <c r="A226" s="150"/>
      <c r="B226" s="43"/>
      <c r="C226" s="12">
        <v>46245</v>
      </c>
      <c r="D226" s="20">
        <f t="shared" si="14"/>
        <v>0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20"/>
      <c r="Z226" s="20"/>
      <c r="AA226" s="20"/>
      <c r="AB226" s="20"/>
      <c r="AC226" s="94"/>
      <c r="AD226" s="94"/>
      <c r="AE226" s="57"/>
      <c r="AF226" s="57"/>
      <c r="AG226" s="57"/>
      <c r="AH226" s="57"/>
      <c r="AI226" s="57"/>
      <c r="AJ226" s="57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9"/>
      <c r="AW226" s="11"/>
      <c r="AX226" s="11"/>
      <c r="AY226" s="11"/>
      <c r="AZ226" s="11"/>
      <c r="BA226" s="11"/>
      <c r="BB226" s="13"/>
      <c r="BC226" s="11" t="str">
        <f t="shared" si="12"/>
        <v>No</v>
      </c>
      <c r="BD226" s="22" t="str">
        <f t="shared" si="13"/>
        <v/>
      </c>
      <c r="BE226" s="11"/>
      <c r="BF226" s="11" t="str">
        <f t="shared" si="15"/>
        <v>No aplica</v>
      </c>
      <c r="BG226" s="12"/>
      <c r="BH226" s="68"/>
    </row>
    <row r="227" spans="1:60" ht="18" customHeight="1" x14ac:dyDescent="0.3">
      <c r="A227" s="150"/>
      <c r="B227" s="43"/>
      <c r="C227" s="12">
        <v>46246</v>
      </c>
      <c r="D227" s="20">
        <f t="shared" si="14"/>
        <v>0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20"/>
      <c r="Z227" s="20"/>
      <c r="AA227" s="20"/>
      <c r="AB227" s="20"/>
      <c r="AC227" s="94"/>
      <c r="AD227" s="94"/>
      <c r="AE227" s="57"/>
      <c r="AF227" s="57"/>
      <c r="AG227" s="57"/>
      <c r="AH227" s="57"/>
      <c r="AI227" s="57"/>
      <c r="AJ227" s="57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9"/>
      <c r="AW227" s="11"/>
      <c r="AX227" s="11"/>
      <c r="AY227" s="11"/>
      <c r="AZ227" s="11"/>
      <c r="BA227" s="11"/>
      <c r="BB227" s="13"/>
      <c r="BC227" s="11" t="str">
        <f t="shared" si="12"/>
        <v>No</v>
      </c>
      <c r="BD227" s="22" t="str">
        <f t="shared" si="13"/>
        <v/>
      </c>
      <c r="BE227" s="11"/>
      <c r="BF227" s="11" t="str">
        <f t="shared" si="15"/>
        <v>No aplica</v>
      </c>
      <c r="BG227" s="12"/>
      <c r="BH227" s="68"/>
    </row>
    <row r="228" spans="1:60" ht="18" customHeight="1" x14ac:dyDescent="0.3">
      <c r="A228" s="150"/>
      <c r="B228" s="43"/>
      <c r="C228" s="12">
        <v>46247</v>
      </c>
      <c r="D228" s="20">
        <f t="shared" si="14"/>
        <v>0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20"/>
      <c r="Z228" s="20"/>
      <c r="AA228" s="20"/>
      <c r="AB228" s="20"/>
      <c r="AC228" s="94"/>
      <c r="AD228" s="94"/>
      <c r="AE228" s="57"/>
      <c r="AF228" s="57"/>
      <c r="AG228" s="57"/>
      <c r="AH228" s="57"/>
      <c r="AI228" s="57"/>
      <c r="AJ228" s="57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9"/>
      <c r="AW228" s="11"/>
      <c r="AX228" s="11"/>
      <c r="AY228" s="11"/>
      <c r="AZ228" s="11"/>
      <c r="BA228" s="11"/>
      <c r="BB228" s="13"/>
      <c r="BC228" s="11" t="str">
        <f t="shared" ref="BC228:BC291" si="16">IF(SUM(E228,G228,I228,K228,M228,O228,Q228,S228,U228,W228,Y228,AA228,AC228,AE228,AG228,AI228,AK228,AM228,AO228,AQ228,AU228)&gt;0,"Sí","No")</f>
        <v>No</v>
      </c>
      <c r="BD228" s="22" t="str">
        <f t="shared" ref="BD228:BD291" si="17">IF($BC228="Sí",_xlfn.TEXTJOIN(", ",TRUE,IF(N(E228)&gt;0,E$3,""),IF(N(G228)&gt;0,G$3,""),IF(N(I228)&gt;0,I$3,""),IF(N(K228)&gt;0,K$3,""),IF(N(M228)&gt;0,M$3,""),IF(N(O228)&gt;0,O$3,""),IF(N(Q228)&gt;0,Q$3,""),IF(N(S228)&gt;0,S$3,""),IF(N(U228)&gt;0,U$3,""),IF(N(W228)&gt;0,W$3,""),IF(N(Y228)&gt;0,Y$3,""),IF(N(AA228)&gt;0,AA$3,""),IF(N(AC228)&gt;0,AC$3,""),IF(N(AE228)&gt;0,AE$3,""),IF(N(AG228)&gt;0,AG$3,""),IF(N(AI228)&gt;0,AI$3,""),IF(N(AK228)&gt;0,AK$3,""),IF(N(AM228)&gt;0,AM$3,""),IF(N(AO228)&gt;0,AO$3,""),IF(N(AQ228)&gt;0,AQ$3,""),IF(N(AU228)&gt;0,AU$3,"")),"")</f>
        <v/>
      </c>
      <c r="BE228" s="11"/>
      <c r="BF228" s="11" t="str">
        <f t="shared" si="15"/>
        <v>No aplica</v>
      </c>
      <c r="BG228" s="12"/>
      <c r="BH228" s="68"/>
    </row>
    <row r="229" spans="1:60" ht="18" customHeight="1" x14ac:dyDescent="0.3">
      <c r="A229" s="150"/>
      <c r="B229" s="43"/>
      <c r="C229" s="12">
        <v>46248</v>
      </c>
      <c r="D229" s="20">
        <f t="shared" si="14"/>
        <v>0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19"/>
      <c r="P229" s="19"/>
      <c r="Q229" s="19"/>
      <c r="R229" s="19"/>
      <c r="S229" s="26"/>
      <c r="T229" s="26"/>
      <c r="U229" s="19"/>
      <c r="V229" s="19"/>
      <c r="W229" s="19"/>
      <c r="X229" s="19"/>
      <c r="Y229" s="20"/>
      <c r="Z229" s="20"/>
      <c r="AA229" s="26"/>
      <c r="AB229" s="26"/>
      <c r="AC229" s="95"/>
      <c r="AD229" s="95"/>
      <c r="AE229" s="58"/>
      <c r="AF229" s="58"/>
      <c r="AG229" s="58"/>
      <c r="AH229" s="58"/>
      <c r="AI229" s="58"/>
      <c r="AJ229" s="58"/>
      <c r="AK229" s="26"/>
      <c r="AL229" s="26"/>
      <c r="AM229" s="26"/>
      <c r="AN229" s="26"/>
      <c r="AO229" s="26"/>
      <c r="AP229" s="26"/>
      <c r="AQ229" s="20"/>
      <c r="AR229" s="20"/>
      <c r="AS229" s="20"/>
      <c r="AT229" s="20"/>
      <c r="AU229" s="20"/>
      <c r="AV229" s="29"/>
      <c r="AW229" s="11"/>
      <c r="AX229" s="11"/>
      <c r="AY229" s="11"/>
      <c r="AZ229" s="11"/>
      <c r="BA229" s="11"/>
      <c r="BB229" s="13"/>
      <c r="BC229" s="11" t="str">
        <f t="shared" si="16"/>
        <v>No</v>
      </c>
      <c r="BD229" s="22" t="str">
        <f t="shared" si="17"/>
        <v/>
      </c>
      <c r="BE229" s="11"/>
      <c r="BF229" s="11" t="str">
        <f t="shared" si="15"/>
        <v>No aplica</v>
      </c>
      <c r="BG229" s="12"/>
      <c r="BH229" s="68"/>
    </row>
    <row r="230" spans="1:60" ht="18" customHeight="1" x14ac:dyDescent="0.3">
      <c r="A230" s="150"/>
      <c r="B230" s="43"/>
      <c r="C230" s="12">
        <v>46249</v>
      </c>
      <c r="D230" s="20">
        <f t="shared" si="14"/>
        <v>0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20"/>
      <c r="AB230" s="20"/>
      <c r="AC230" s="94"/>
      <c r="AD230" s="94"/>
      <c r="AE230" s="57"/>
      <c r="AF230" s="57"/>
      <c r="AG230" s="57"/>
      <c r="AH230" s="57"/>
      <c r="AI230" s="57"/>
      <c r="AJ230" s="57"/>
      <c r="AK230" s="19"/>
      <c r="AL230" s="19"/>
      <c r="AM230" s="19"/>
      <c r="AN230" s="19"/>
      <c r="AO230" s="19"/>
      <c r="AP230" s="19"/>
      <c r="AQ230" s="20"/>
      <c r="AR230" s="20"/>
      <c r="AS230" s="20"/>
      <c r="AT230" s="20"/>
      <c r="AU230" s="20"/>
      <c r="AV230" s="29"/>
      <c r="AW230" s="11"/>
      <c r="AX230" s="11"/>
      <c r="AY230" s="11"/>
      <c r="AZ230" s="11"/>
      <c r="BA230" s="11"/>
      <c r="BB230" s="13"/>
      <c r="BC230" s="11" t="str">
        <f t="shared" si="16"/>
        <v>No</v>
      </c>
      <c r="BD230" s="22" t="str">
        <f t="shared" si="17"/>
        <v/>
      </c>
      <c r="BE230" s="11"/>
      <c r="BF230" s="11" t="str">
        <f t="shared" si="15"/>
        <v>No aplica</v>
      </c>
      <c r="BG230" s="12"/>
      <c r="BH230" s="68"/>
    </row>
    <row r="231" spans="1:60" ht="18" customHeight="1" x14ac:dyDescent="0.3">
      <c r="A231" s="150"/>
      <c r="B231" s="43"/>
      <c r="C231" s="12">
        <v>46250</v>
      </c>
      <c r="D231" s="20">
        <f t="shared" si="14"/>
        <v>0</v>
      </c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19"/>
      <c r="P231" s="19"/>
      <c r="Q231" s="19"/>
      <c r="R231" s="19"/>
      <c r="S231" s="20"/>
      <c r="T231" s="20"/>
      <c r="U231" s="19"/>
      <c r="V231" s="19"/>
      <c r="W231" s="19"/>
      <c r="X231" s="19"/>
      <c r="Y231" s="19"/>
      <c r="Z231" s="19"/>
      <c r="AA231" s="19"/>
      <c r="AB231" s="19"/>
      <c r="AC231" s="94"/>
      <c r="AD231" s="94"/>
      <c r="AE231" s="57"/>
      <c r="AF231" s="57"/>
      <c r="AG231" s="57"/>
      <c r="AH231" s="57"/>
      <c r="AI231" s="57"/>
      <c r="AJ231" s="57"/>
      <c r="AK231" s="19"/>
      <c r="AL231" s="19"/>
      <c r="AM231" s="19"/>
      <c r="AN231" s="19"/>
      <c r="AO231" s="19"/>
      <c r="AP231" s="19"/>
      <c r="AQ231" s="20"/>
      <c r="AR231" s="20"/>
      <c r="AS231" s="20"/>
      <c r="AT231" s="20"/>
      <c r="AU231" s="20"/>
      <c r="AV231" s="29"/>
      <c r="AW231" s="11"/>
      <c r="AX231" s="11"/>
      <c r="AY231" s="11"/>
      <c r="AZ231" s="11"/>
      <c r="BA231" s="11"/>
      <c r="BB231" s="13"/>
      <c r="BC231" s="11" t="str">
        <f t="shared" si="16"/>
        <v>No</v>
      </c>
      <c r="BD231" s="22" t="str">
        <f t="shared" si="17"/>
        <v/>
      </c>
      <c r="BE231" s="11"/>
      <c r="BF231" s="11" t="str">
        <f t="shared" si="15"/>
        <v>No aplica</v>
      </c>
      <c r="BG231" s="12"/>
      <c r="BH231" s="68"/>
    </row>
    <row r="232" spans="1:60" ht="31.8" customHeight="1" x14ac:dyDescent="0.3">
      <c r="A232" s="150"/>
      <c r="B232" s="43"/>
      <c r="C232" s="12">
        <v>46251</v>
      </c>
      <c r="D232" s="20">
        <f t="shared" si="14"/>
        <v>0</v>
      </c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94"/>
      <c r="AD232" s="94"/>
      <c r="AE232" s="57"/>
      <c r="AF232" s="57"/>
      <c r="AG232" s="57"/>
      <c r="AH232" s="57"/>
      <c r="AI232" s="57"/>
      <c r="AJ232" s="57"/>
      <c r="AK232" s="19"/>
      <c r="AL232" s="19"/>
      <c r="AM232" s="19"/>
      <c r="AN232" s="19"/>
      <c r="AO232" s="19"/>
      <c r="AP232" s="19"/>
      <c r="AQ232" s="20"/>
      <c r="AR232" s="20"/>
      <c r="AS232" s="20"/>
      <c r="AT232" s="20"/>
      <c r="AU232" s="20"/>
      <c r="AV232" s="29"/>
      <c r="AW232" s="11"/>
      <c r="AX232" s="11"/>
      <c r="AY232" s="11"/>
      <c r="AZ232" s="11"/>
      <c r="BA232" s="11"/>
      <c r="BB232" s="13"/>
      <c r="BC232" s="11" t="str">
        <f t="shared" si="16"/>
        <v>No</v>
      </c>
      <c r="BD232" s="22" t="str">
        <f t="shared" si="17"/>
        <v/>
      </c>
      <c r="BE232" s="11"/>
      <c r="BF232" s="11" t="str">
        <f t="shared" si="15"/>
        <v>No aplica</v>
      </c>
      <c r="BG232" s="12"/>
      <c r="BH232" s="68" t="s">
        <v>187</v>
      </c>
    </row>
    <row r="233" spans="1:60" ht="18" customHeight="1" x14ac:dyDescent="0.3">
      <c r="A233" s="150"/>
      <c r="B233" s="43"/>
      <c r="C233" s="12">
        <v>46252</v>
      </c>
      <c r="D233" s="20">
        <f t="shared" si="14"/>
        <v>0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94"/>
      <c r="AD233" s="94"/>
      <c r="AE233" s="57"/>
      <c r="AF233" s="57"/>
      <c r="AG233" s="57"/>
      <c r="AH233" s="57"/>
      <c r="AI233" s="57"/>
      <c r="AJ233" s="57"/>
      <c r="AK233" s="19"/>
      <c r="AL233" s="19"/>
      <c r="AM233" s="19"/>
      <c r="AN233" s="19"/>
      <c r="AO233" s="19"/>
      <c r="AP233" s="19"/>
      <c r="AQ233" s="20"/>
      <c r="AR233" s="20"/>
      <c r="AS233" s="20"/>
      <c r="AT233" s="20"/>
      <c r="AU233" s="20"/>
      <c r="AV233" s="29"/>
      <c r="AW233" s="11"/>
      <c r="AX233" s="11"/>
      <c r="AY233" s="11"/>
      <c r="AZ233" s="11"/>
      <c r="BA233" s="11"/>
      <c r="BB233" s="13"/>
      <c r="BC233" s="11" t="str">
        <f t="shared" si="16"/>
        <v>No</v>
      </c>
      <c r="BD233" s="22" t="str">
        <f t="shared" si="17"/>
        <v/>
      </c>
      <c r="BE233" s="11"/>
      <c r="BF233" s="11" t="str">
        <f t="shared" si="15"/>
        <v>No aplica</v>
      </c>
      <c r="BG233" s="12"/>
      <c r="BH233" s="68"/>
    </row>
    <row r="234" spans="1:60" ht="18" customHeight="1" x14ac:dyDescent="0.3">
      <c r="A234" s="150"/>
      <c r="B234" s="43"/>
      <c r="C234" s="12">
        <v>46253</v>
      </c>
      <c r="D234" s="20">
        <f t="shared" si="14"/>
        <v>12</v>
      </c>
      <c r="E234" s="111">
        <v>2</v>
      </c>
      <c r="F234" s="112">
        <v>4</v>
      </c>
      <c r="G234" s="111">
        <v>2</v>
      </c>
      <c r="H234" s="112">
        <v>4</v>
      </c>
      <c r="I234" s="111">
        <v>2</v>
      </c>
      <c r="J234" s="112">
        <v>4</v>
      </c>
      <c r="K234" s="20"/>
      <c r="L234" s="20"/>
      <c r="M234" s="20"/>
      <c r="N234" s="20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94"/>
      <c r="AD234" s="94"/>
      <c r="AE234" s="57"/>
      <c r="AF234" s="57"/>
      <c r="AG234" s="57"/>
      <c r="AH234" s="57"/>
      <c r="AI234" s="57"/>
      <c r="AJ234" s="57"/>
      <c r="AK234" s="19"/>
      <c r="AL234" s="19"/>
      <c r="AM234" s="19"/>
      <c r="AN234" s="19"/>
      <c r="AO234" s="19"/>
      <c r="AP234" s="19"/>
      <c r="AQ234" s="20"/>
      <c r="AR234" s="20"/>
      <c r="AS234" s="20"/>
      <c r="AT234" s="20"/>
      <c r="AU234" s="20"/>
      <c r="AV234" s="29"/>
      <c r="AW234" s="11"/>
      <c r="AX234" s="11"/>
      <c r="AY234" s="11"/>
      <c r="AZ234" s="11"/>
      <c r="BA234" s="11"/>
      <c r="BB234" s="13"/>
      <c r="BC234" s="11" t="str">
        <f t="shared" si="16"/>
        <v>Sí</v>
      </c>
      <c r="BD234" s="22" t="str">
        <f t="shared" si="17"/>
        <v>CPW02
, CPW01, CPW03</v>
      </c>
      <c r="BE234" s="11" t="s">
        <v>47</v>
      </c>
      <c r="BF234" s="11" t="str">
        <f t="shared" si="15"/>
        <v>Ejecutado</v>
      </c>
      <c r="BG234" s="12">
        <v>46256</v>
      </c>
      <c r="BH234" s="68" t="s">
        <v>75</v>
      </c>
    </row>
    <row r="235" spans="1:60" ht="46.8" customHeight="1" x14ac:dyDescent="0.3">
      <c r="A235" s="150"/>
      <c r="B235" s="43"/>
      <c r="C235" s="12">
        <v>46254</v>
      </c>
      <c r="D235" s="20">
        <f t="shared" si="14"/>
        <v>12</v>
      </c>
      <c r="E235" s="20"/>
      <c r="F235" s="20"/>
      <c r="G235" s="20"/>
      <c r="H235" s="20"/>
      <c r="I235" s="20"/>
      <c r="J235" s="20"/>
      <c r="K235" s="111">
        <v>2</v>
      </c>
      <c r="L235" s="112">
        <v>4</v>
      </c>
      <c r="M235" s="111">
        <v>2</v>
      </c>
      <c r="N235" s="112">
        <v>4</v>
      </c>
      <c r="O235" s="111">
        <v>2</v>
      </c>
      <c r="P235" s="112">
        <v>4</v>
      </c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94"/>
      <c r="AD235" s="94"/>
      <c r="AE235" s="57"/>
      <c r="AF235" s="57"/>
      <c r="AG235" s="57"/>
      <c r="AH235" s="57"/>
      <c r="AI235" s="57"/>
      <c r="AJ235" s="57"/>
      <c r="AK235" s="20"/>
      <c r="AL235" s="20"/>
      <c r="AM235" s="19"/>
      <c r="AN235" s="19"/>
      <c r="AO235" s="19"/>
      <c r="AP235" s="19"/>
      <c r="AQ235" s="20"/>
      <c r="AR235" s="20"/>
      <c r="AS235" s="20"/>
      <c r="AT235" s="20"/>
      <c r="AU235" s="20"/>
      <c r="AV235" s="29"/>
      <c r="AW235" s="11"/>
      <c r="AX235" s="11"/>
      <c r="AY235" s="11"/>
      <c r="AZ235" s="11"/>
      <c r="BA235" s="11"/>
      <c r="BB235" s="13"/>
      <c r="BC235" s="11" t="str">
        <f t="shared" si="16"/>
        <v>Sí</v>
      </c>
      <c r="BD235" s="22" t="str">
        <f t="shared" si="17"/>
        <v>CPW04
, CPW05, CPW06</v>
      </c>
      <c r="BE235" s="11" t="s">
        <v>84</v>
      </c>
      <c r="BF235" s="11" t="str">
        <f t="shared" si="15"/>
        <v>Programado pendiente</v>
      </c>
      <c r="BG235" s="56" t="s">
        <v>201</v>
      </c>
      <c r="BH235" s="68" t="s">
        <v>202</v>
      </c>
    </row>
    <row r="236" spans="1:60" ht="18" customHeight="1" x14ac:dyDescent="0.3">
      <c r="A236" s="150"/>
      <c r="B236" s="43"/>
      <c r="C236" s="12">
        <v>46255</v>
      </c>
      <c r="D236" s="20">
        <f t="shared" si="14"/>
        <v>4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19"/>
      <c r="P236" s="19"/>
      <c r="Q236" s="111">
        <v>2</v>
      </c>
      <c r="R236" s="112">
        <v>4</v>
      </c>
      <c r="S236" s="111">
        <v>2</v>
      </c>
      <c r="T236" s="112">
        <v>4</v>
      </c>
      <c r="U236" s="111">
        <v>2</v>
      </c>
      <c r="V236" s="112">
        <v>4</v>
      </c>
      <c r="W236" s="19"/>
      <c r="X236" s="19"/>
      <c r="Y236" s="19"/>
      <c r="Z236" s="19"/>
      <c r="AA236" s="19"/>
      <c r="AB236" s="19"/>
      <c r="AC236" s="94"/>
      <c r="AD236" s="94"/>
      <c r="AE236" s="57"/>
      <c r="AF236" s="57"/>
      <c r="AG236" s="57"/>
      <c r="AH236" s="57"/>
      <c r="AI236" s="57"/>
      <c r="AJ236" s="57"/>
      <c r="AK236" s="19"/>
      <c r="AL236" s="19"/>
      <c r="AM236" s="20"/>
      <c r="AN236" s="20"/>
      <c r="AO236" s="19"/>
      <c r="AP236" s="19"/>
      <c r="AQ236" s="20"/>
      <c r="AR236" s="20"/>
      <c r="AS236" s="20"/>
      <c r="AT236" s="20"/>
      <c r="AU236" s="20"/>
      <c r="AV236" s="29"/>
      <c r="AW236" s="11"/>
      <c r="AX236" s="11"/>
      <c r="AY236" s="11"/>
      <c r="AZ236" s="11"/>
      <c r="BA236" s="11"/>
      <c r="BB236" s="13"/>
      <c r="BC236" s="11" t="str">
        <f t="shared" si="16"/>
        <v>Sí</v>
      </c>
      <c r="BD236" s="22" t="str">
        <f t="shared" si="17"/>
        <v>CPW07, CPW 10, CPW11</v>
      </c>
      <c r="BE236" s="11" t="s">
        <v>47</v>
      </c>
      <c r="BF236" s="11" t="str">
        <f t="shared" si="15"/>
        <v>Ejecutado</v>
      </c>
      <c r="BG236" s="12">
        <v>46255</v>
      </c>
      <c r="BH236" s="68" t="s">
        <v>203</v>
      </c>
    </row>
    <row r="237" spans="1:60" ht="18" customHeight="1" x14ac:dyDescent="0.3">
      <c r="A237" s="150"/>
      <c r="B237" s="43"/>
      <c r="C237" s="12">
        <v>46256</v>
      </c>
      <c r="D237" s="20">
        <f t="shared" si="14"/>
        <v>8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19"/>
      <c r="P237" s="19"/>
      <c r="Q237" s="19"/>
      <c r="R237" s="19"/>
      <c r="S237" s="19"/>
      <c r="T237" s="19"/>
      <c r="U237" s="19"/>
      <c r="V237" s="19"/>
      <c r="W237" s="111">
        <v>2</v>
      </c>
      <c r="X237" s="112">
        <v>4</v>
      </c>
      <c r="Y237" s="111">
        <v>2</v>
      </c>
      <c r="Z237" s="112">
        <v>4</v>
      </c>
      <c r="AA237" s="111">
        <v>2</v>
      </c>
      <c r="AB237" s="112">
        <v>4</v>
      </c>
      <c r="AC237" s="94"/>
      <c r="AD237" s="94"/>
      <c r="AE237" s="57"/>
      <c r="AF237" s="57"/>
      <c r="AG237" s="57"/>
      <c r="AH237" s="57"/>
      <c r="AI237" s="57"/>
      <c r="AJ237" s="57"/>
      <c r="AK237" s="19"/>
      <c r="AL237" s="19"/>
      <c r="AM237" s="19"/>
      <c r="AN237" s="19"/>
      <c r="AO237" s="20"/>
      <c r="AP237" s="20"/>
      <c r="AQ237" s="20"/>
      <c r="AR237" s="20"/>
      <c r="AS237" s="20"/>
      <c r="AT237" s="20"/>
      <c r="AU237" s="20"/>
      <c r="AV237" s="29"/>
      <c r="AW237" s="11"/>
      <c r="AX237" s="11"/>
      <c r="AY237" s="11"/>
      <c r="AZ237" s="11"/>
      <c r="BA237" s="11"/>
      <c r="BB237" s="13"/>
      <c r="BC237" s="11" t="str">
        <f t="shared" si="16"/>
        <v>Sí</v>
      </c>
      <c r="BD237" s="22" t="str">
        <f t="shared" si="17"/>
        <v>CPW12, JINAN 01, JINAN 02</v>
      </c>
      <c r="BE237" s="11" t="s">
        <v>84</v>
      </c>
      <c r="BF237" s="11" t="str">
        <f t="shared" si="15"/>
        <v>Programado pendiente</v>
      </c>
      <c r="BG237" s="12"/>
      <c r="BH237" s="68"/>
    </row>
    <row r="238" spans="1:60" ht="18" customHeight="1" x14ac:dyDescent="0.3">
      <c r="A238" s="150"/>
      <c r="B238" s="43"/>
      <c r="C238" s="12">
        <v>46257</v>
      </c>
      <c r="D238" s="20">
        <f t="shared" si="14"/>
        <v>0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20"/>
      <c r="Z238" s="20"/>
      <c r="AA238" s="20"/>
      <c r="AB238" s="20"/>
      <c r="AC238" s="94"/>
      <c r="AD238" s="94"/>
      <c r="AE238" s="57"/>
      <c r="AF238" s="57"/>
      <c r="AG238" s="57"/>
      <c r="AH238" s="57"/>
      <c r="AI238" s="57"/>
      <c r="AJ238" s="57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9"/>
      <c r="AW238" s="11"/>
      <c r="AX238" s="11"/>
      <c r="AY238" s="11"/>
      <c r="AZ238" s="11"/>
      <c r="BA238" s="11"/>
      <c r="BB238" s="13"/>
      <c r="BC238" s="11" t="str">
        <f t="shared" si="16"/>
        <v>No</v>
      </c>
      <c r="BD238" s="22" t="str">
        <f t="shared" si="17"/>
        <v/>
      </c>
      <c r="BE238" s="11"/>
      <c r="BF238" s="11" t="str">
        <f t="shared" si="15"/>
        <v>No aplica</v>
      </c>
      <c r="BG238" s="12"/>
      <c r="BH238" s="68"/>
    </row>
    <row r="239" spans="1:60" ht="18" customHeight="1" x14ac:dyDescent="0.3">
      <c r="A239" s="150"/>
      <c r="B239" s="43"/>
      <c r="C239" s="12">
        <v>46258</v>
      </c>
      <c r="D239" s="20">
        <f t="shared" si="14"/>
        <v>0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20"/>
      <c r="Z239" s="20"/>
      <c r="AA239" s="20"/>
      <c r="AB239" s="20"/>
      <c r="AC239" s="94"/>
      <c r="AD239" s="94"/>
      <c r="AE239" s="57"/>
      <c r="AF239" s="57"/>
      <c r="AG239" s="57"/>
      <c r="AH239" s="57"/>
      <c r="AI239" s="57"/>
      <c r="AJ239" s="57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9"/>
      <c r="AW239" s="11"/>
      <c r="AX239" s="11"/>
      <c r="AY239" s="11"/>
      <c r="AZ239" s="11"/>
      <c r="BA239" s="11"/>
      <c r="BB239" s="13"/>
      <c r="BC239" s="11" t="str">
        <f t="shared" si="16"/>
        <v>No</v>
      </c>
      <c r="BD239" s="22" t="str">
        <f t="shared" si="17"/>
        <v/>
      </c>
      <c r="BE239" s="11"/>
      <c r="BF239" s="11" t="str">
        <f t="shared" si="15"/>
        <v>No aplica</v>
      </c>
      <c r="BG239" s="12"/>
      <c r="BH239" s="68"/>
    </row>
    <row r="240" spans="1:60" ht="18" customHeight="1" x14ac:dyDescent="0.3">
      <c r="A240" s="150"/>
      <c r="B240" s="43"/>
      <c r="C240" s="12">
        <v>46259</v>
      </c>
      <c r="D240" s="20">
        <f t="shared" si="14"/>
        <v>0</v>
      </c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20"/>
      <c r="Z240" s="20"/>
      <c r="AA240" s="20"/>
      <c r="AB240" s="20"/>
      <c r="AC240" s="94"/>
      <c r="AD240" s="94"/>
      <c r="AE240" s="57"/>
      <c r="AF240" s="57"/>
      <c r="AG240" s="57"/>
      <c r="AH240" s="57"/>
      <c r="AI240" s="57"/>
      <c r="AJ240" s="57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9"/>
      <c r="AW240" s="11"/>
      <c r="AX240" s="11"/>
      <c r="AY240" s="11"/>
      <c r="AZ240" s="11"/>
      <c r="BA240" s="11"/>
      <c r="BB240" s="13"/>
      <c r="BC240" s="11" t="str">
        <f t="shared" si="16"/>
        <v>No</v>
      </c>
      <c r="BD240" s="22" t="str">
        <f t="shared" si="17"/>
        <v/>
      </c>
      <c r="BE240" s="11"/>
      <c r="BF240" s="11" t="str">
        <f t="shared" si="15"/>
        <v>No aplica</v>
      </c>
      <c r="BG240" s="12"/>
      <c r="BH240" s="68"/>
    </row>
    <row r="241" spans="1:60" ht="18" customHeight="1" x14ac:dyDescent="0.3">
      <c r="A241" s="150"/>
      <c r="B241" s="43"/>
      <c r="C241" s="12">
        <v>46260</v>
      </c>
      <c r="D241" s="20">
        <f t="shared" si="14"/>
        <v>0</v>
      </c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20"/>
      <c r="Z241" s="20"/>
      <c r="AA241" s="20"/>
      <c r="AB241" s="20"/>
      <c r="AC241" s="94"/>
      <c r="AD241" s="94"/>
      <c r="AE241" s="57"/>
      <c r="AF241" s="57"/>
      <c r="AG241" s="57"/>
      <c r="AH241" s="57"/>
      <c r="AI241" s="57"/>
      <c r="AJ241" s="57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9"/>
      <c r="AW241" s="11"/>
      <c r="AX241" s="11"/>
      <c r="AY241" s="11"/>
      <c r="AZ241" s="11"/>
      <c r="BA241" s="11"/>
      <c r="BB241" s="13"/>
      <c r="BC241" s="11" t="str">
        <f t="shared" si="16"/>
        <v>No</v>
      </c>
      <c r="BD241" s="22" t="str">
        <f t="shared" si="17"/>
        <v/>
      </c>
      <c r="BE241" s="11"/>
      <c r="BF241" s="11" t="str">
        <f t="shared" si="15"/>
        <v>No aplica</v>
      </c>
      <c r="BG241" s="12"/>
      <c r="BH241" s="68"/>
    </row>
    <row r="242" spans="1:60" ht="18" customHeight="1" x14ac:dyDescent="0.3">
      <c r="A242" s="150"/>
      <c r="B242" s="43"/>
      <c r="C242" s="12">
        <v>46261</v>
      </c>
      <c r="D242" s="20">
        <f t="shared" si="14"/>
        <v>0</v>
      </c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20"/>
      <c r="Z242" s="20"/>
      <c r="AA242" s="20"/>
      <c r="AB242" s="20"/>
      <c r="AC242" s="94"/>
      <c r="AD242" s="94"/>
      <c r="AE242" s="57"/>
      <c r="AF242" s="57"/>
      <c r="AG242" s="57"/>
      <c r="AH242" s="57"/>
      <c r="AI242" s="57"/>
      <c r="AJ242" s="57"/>
      <c r="AK242" s="20"/>
      <c r="AL242" s="20"/>
      <c r="AM242" s="20"/>
      <c r="AN242" s="20"/>
      <c r="AO242" s="20"/>
      <c r="AP242" s="20"/>
      <c r="AQ242" s="20"/>
      <c r="AR242" s="20"/>
      <c r="AS242" s="62">
        <v>4</v>
      </c>
      <c r="AT242" s="63">
        <v>8</v>
      </c>
      <c r="AU242" s="20"/>
      <c r="AV242" s="29"/>
      <c r="AW242" s="11"/>
      <c r="AX242" s="11"/>
      <c r="AY242" s="11"/>
      <c r="AZ242" s="11"/>
      <c r="BA242" s="11"/>
      <c r="BB242" s="13"/>
      <c r="BC242" s="11" t="str">
        <f t="shared" si="16"/>
        <v>No</v>
      </c>
      <c r="BD242" s="22" t="str">
        <f t="shared" si="17"/>
        <v/>
      </c>
      <c r="BE242" s="11"/>
      <c r="BF242" s="11" t="str">
        <f t="shared" si="15"/>
        <v>No aplica</v>
      </c>
      <c r="BG242" s="12"/>
      <c r="BH242" s="68"/>
    </row>
    <row r="243" spans="1:60" ht="18" customHeight="1" x14ac:dyDescent="0.3">
      <c r="A243" s="150"/>
      <c r="B243" s="43"/>
      <c r="C243" s="12">
        <v>46262</v>
      </c>
      <c r="D243" s="20">
        <f t="shared" si="14"/>
        <v>0</v>
      </c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20"/>
      <c r="Z243" s="20"/>
      <c r="AA243" s="20"/>
      <c r="AB243" s="20"/>
      <c r="AC243" s="94"/>
      <c r="AD243" s="94"/>
      <c r="AE243" s="57"/>
      <c r="AF243" s="57"/>
      <c r="AG243" s="57"/>
      <c r="AH243" s="57"/>
      <c r="AI243" s="57"/>
      <c r="AJ243" s="57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62">
        <v>4</v>
      </c>
      <c r="AV243" s="63">
        <v>8</v>
      </c>
      <c r="AW243" s="11"/>
      <c r="AX243" s="11"/>
      <c r="AY243" s="11"/>
      <c r="AZ243" s="11"/>
      <c r="BA243" s="11"/>
      <c r="BB243" s="13"/>
      <c r="BC243" s="11" t="str">
        <f t="shared" si="16"/>
        <v>Sí</v>
      </c>
      <c r="BD243" s="22" t="str">
        <f t="shared" si="17"/>
        <v>CYC</v>
      </c>
      <c r="BE243" s="11"/>
      <c r="BF243" s="11" t="str">
        <f t="shared" si="15"/>
        <v>Programado pendiente</v>
      </c>
      <c r="BG243" s="12"/>
      <c r="BH243" s="68"/>
    </row>
    <row r="244" spans="1:60" ht="18" customHeight="1" x14ac:dyDescent="0.3">
      <c r="A244" s="150"/>
      <c r="B244" s="43"/>
      <c r="C244" s="12">
        <v>46263</v>
      </c>
      <c r="D244" s="20">
        <f t="shared" si="14"/>
        <v>0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19"/>
      <c r="P244" s="19"/>
      <c r="Q244" s="19"/>
      <c r="R244" s="19"/>
      <c r="S244" s="26"/>
      <c r="T244" s="26"/>
      <c r="U244" s="19"/>
      <c r="V244" s="19"/>
      <c r="W244" s="19"/>
      <c r="X244" s="19"/>
      <c r="Y244" s="20"/>
      <c r="Z244" s="20"/>
      <c r="AA244" s="26"/>
      <c r="AB244" s="26"/>
      <c r="AC244" s="95"/>
      <c r="AD244" s="95"/>
      <c r="AE244" s="58"/>
      <c r="AF244" s="58"/>
      <c r="AG244" s="58"/>
      <c r="AH244" s="58"/>
      <c r="AI244" s="58"/>
      <c r="AJ244" s="58"/>
      <c r="AK244" s="26"/>
      <c r="AL244" s="26"/>
      <c r="AM244" s="26"/>
      <c r="AN244" s="26"/>
      <c r="AO244" s="26"/>
      <c r="AP244" s="26"/>
      <c r="AQ244" s="20"/>
      <c r="AR244" s="20"/>
      <c r="AS244" s="20"/>
      <c r="AT244" s="20"/>
      <c r="AU244" s="20"/>
      <c r="AV244" s="29"/>
      <c r="AW244" s="11"/>
      <c r="AX244" s="11"/>
      <c r="AY244" s="11"/>
      <c r="AZ244" s="11"/>
      <c r="BA244" s="11"/>
      <c r="BB244" s="13"/>
      <c r="BC244" s="11" t="str">
        <f t="shared" si="16"/>
        <v>No</v>
      </c>
      <c r="BD244" s="22" t="str">
        <f t="shared" si="17"/>
        <v/>
      </c>
      <c r="BE244" s="11"/>
      <c r="BF244" s="11" t="str">
        <f t="shared" si="15"/>
        <v>No aplica</v>
      </c>
      <c r="BG244" s="12"/>
      <c r="BH244" s="68"/>
    </row>
    <row r="245" spans="1:60" ht="18" customHeight="1" x14ac:dyDescent="0.3">
      <c r="A245" s="150"/>
      <c r="B245" s="43"/>
      <c r="C245" s="12">
        <v>46264</v>
      </c>
      <c r="D245" s="20">
        <f t="shared" si="14"/>
        <v>0</v>
      </c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20"/>
      <c r="AB245" s="20"/>
      <c r="AC245" s="94"/>
      <c r="AD245" s="94"/>
      <c r="AE245" s="57"/>
      <c r="AF245" s="57"/>
      <c r="AG245" s="57"/>
      <c r="AH245" s="57"/>
      <c r="AI245" s="57"/>
      <c r="AJ245" s="57"/>
      <c r="AK245" s="19"/>
      <c r="AL245" s="19"/>
      <c r="AM245" s="19"/>
      <c r="AN245" s="19"/>
      <c r="AO245" s="19"/>
      <c r="AP245" s="19"/>
      <c r="AQ245" s="20"/>
      <c r="AR245" s="20"/>
      <c r="AS245" s="20"/>
      <c r="AT245" s="20"/>
      <c r="AU245" s="20"/>
      <c r="AV245" s="29"/>
      <c r="AW245" s="11"/>
      <c r="AX245" s="11"/>
      <c r="AY245" s="11"/>
      <c r="AZ245" s="11"/>
      <c r="BA245" s="11"/>
      <c r="BB245" s="13"/>
      <c r="BC245" s="11" t="str">
        <f t="shared" si="16"/>
        <v>No</v>
      </c>
      <c r="BD245" s="22" t="str">
        <f t="shared" si="17"/>
        <v/>
      </c>
      <c r="BE245" s="11"/>
      <c r="BF245" s="11" t="str">
        <f t="shared" si="15"/>
        <v>No aplica</v>
      </c>
      <c r="BG245" s="12"/>
      <c r="BH245" s="68"/>
    </row>
    <row r="246" spans="1:60" ht="18" customHeight="1" thickBot="1" x14ac:dyDescent="0.35">
      <c r="A246" s="151"/>
      <c r="B246" s="44"/>
      <c r="C246" s="30">
        <v>46265</v>
      </c>
      <c r="D246" s="31">
        <f t="shared" si="14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2"/>
      <c r="P246" s="32"/>
      <c r="Q246" s="32"/>
      <c r="R246" s="32"/>
      <c r="S246" s="31"/>
      <c r="T246" s="31"/>
      <c r="U246" s="32"/>
      <c r="V246" s="32"/>
      <c r="W246" s="32"/>
      <c r="X246" s="32"/>
      <c r="Y246" s="32"/>
      <c r="Z246" s="32"/>
      <c r="AA246" s="32"/>
      <c r="AB246" s="32"/>
      <c r="AC246" s="96"/>
      <c r="AD246" s="96"/>
      <c r="AE246" s="61"/>
      <c r="AF246" s="61"/>
      <c r="AG246" s="61"/>
      <c r="AH246" s="61"/>
      <c r="AI246" s="61"/>
      <c r="AJ246" s="61"/>
      <c r="AK246" s="32"/>
      <c r="AL246" s="32"/>
      <c r="AM246" s="32"/>
      <c r="AN246" s="32"/>
      <c r="AO246" s="32"/>
      <c r="AP246" s="32"/>
      <c r="AQ246" s="31"/>
      <c r="AR246" s="31"/>
      <c r="AS246" s="31"/>
      <c r="AT246" s="31"/>
      <c r="AU246" s="31"/>
      <c r="AV246" s="33"/>
      <c r="AW246" s="70"/>
      <c r="AX246" s="70"/>
      <c r="AY246" s="70"/>
      <c r="AZ246" s="70"/>
      <c r="BA246" s="70"/>
      <c r="BB246" s="71"/>
      <c r="BC246" s="70" t="str">
        <f t="shared" si="16"/>
        <v>No</v>
      </c>
      <c r="BD246" s="72" t="str">
        <f t="shared" si="17"/>
        <v/>
      </c>
      <c r="BE246" s="70"/>
      <c r="BF246" s="70" t="str">
        <f t="shared" si="15"/>
        <v>No aplica</v>
      </c>
      <c r="BG246" s="30"/>
      <c r="BH246" s="73"/>
    </row>
    <row r="247" spans="1:60" ht="18" customHeight="1" x14ac:dyDescent="0.3">
      <c r="A247" s="148" t="s">
        <v>65</v>
      </c>
      <c r="B247" s="42"/>
      <c r="C247" s="15">
        <v>46266</v>
      </c>
      <c r="D247" s="27">
        <f t="shared" si="14"/>
        <v>0</v>
      </c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93"/>
      <c r="AD247" s="93"/>
      <c r="AE247" s="60"/>
      <c r="AF247" s="60"/>
      <c r="AG247" s="60"/>
      <c r="AH247" s="60"/>
      <c r="AI247" s="60"/>
      <c r="AJ247" s="60"/>
      <c r="AK247" s="18"/>
      <c r="AL247" s="18"/>
      <c r="AM247" s="18"/>
      <c r="AN247" s="18"/>
      <c r="AO247" s="18"/>
      <c r="AP247" s="18"/>
      <c r="AQ247" s="27"/>
      <c r="AR247" s="27"/>
      <c r="AS247" s="27"/>
      <c r="AT247" s="27"/>
      <c r="AU247" s="27"/>
      <c r="AV247" s="28"/>
      <c r="AW247" s="14"/>
      <c r="AX247" s="14"/>
      <c r="AY247" s="14"/>
      <c r="AZ247" s="14"/>
      <c r="BA247" s="14"/>
      <c r="BB247" s="65"/>
      <c r="BC247" s="14" t="str">
        <f t="shared" si="16"/>
        <v>No</v>
      </c>
      <c r="BD247" s="21" t="str">
        <f t="shared" si="17"/>
        <v/>
      </c>
      <c r="BE247" s="14"/>
      <c r="BF247" s="14" t="str">
        <f t="shared" si="15"/>
        <v>No aplica</v>
      </c>
      <c r="BG247" s="15"/>
      <c r="BH247" s="66"/>
    </row>
    <row r="248" spans="1:60" ht="18" customHeight="1" x14ac:dyDescent="0.3">
      <c r="A248" s="150"/>
      <c r="B248" s="43"/>
      <c r="C248" s="12">
        <v>46267</v>
      </c>
      <c r="D248" s="20">
        <f t="shared" si="14"/>
        <v>0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94"/>
      <c r="AD248" s="94"/>
      <c r="AE248" s="57"/>
      <c r="AF248" s="57"/>
      <c r="AG248" s="57"/>
      <c r="AH248" s="57"/>
      <c r="AI248" s="57"/>
      <c r="AJ248" s="57"/>
      <c r="AK248" s="19"/>
      <c r="AL248" s="19"/>
      <c r="AM248" s="19"/>
      <c r="AN248" s="19"/>
      <c r="AO248" s="19"/>
      <c r="AP248" s="19"/>
      <c r="AQ248" s="20"/>
      <c r="AR248" s="20"/>
      <c r="AS248" s="20"/>
      <c r="AT248" s="20"/>
      <c r="AU248" s="20"/>
      <c r="AV248" s="29"/>
      <c r="AW248" s="11"/>
      <c r="AX248" s="11"/>
      <c r="AY248" s="11"/>
      <c r="AZ248" s="11"/>
      <c r="BA248" s="11"/>
      <c r="BB248" s="13"/>
      <c r="BC248" s="11" t="str">
        <f t="shared" si="16"/>
        <v>No</v>
      </c>
      <c r="BD248" s="22" t="str">
        <f t="shared" si="17"/>
        <v/>
      </c>
      <c r="BE248" s="11"/>
      <c r="BF248" s="11" t="str">
        <f t="shared" si="15"/>
        <v>No aplica</v>
      </c>
      <c r="BG248" s="12"/>
      <c r="BH248" s="68"/>
    </row>
    <row r="249" spans="1:60" ht="18" customHeight="1" x14ac:dyDescent="0.3">
      <c r="A249" s="150"/>
      <c r="B249" s="43"/>
      <c r="C249" s="12">
        <v>46268</v>
      </c>
      <c r="D249" s="20">
        <f t="shared" si="14"/>
        <v>0</v>
      </c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94"/>
      <c r="AD249" s="94"/>
      <c r="AE249" s="57"/>
      <c r="AF249" s="57"/>
      <c r="AG249" s="57"/>
      <c r="AH249" s="57"/>
      <c r="AI249" s="57"/>
      <c r="AJ249" s="57"/>
      <c r="AK249" s="19"/>
      <c r="AL249" s="19"/>
      <c r="AM249" s="19"/>
      <c r="AN249" s="19"/>
      <c r="AO249" s="19"/>
      <c r="AP249" s="19"/>
      <c r="AQ249" s="20"/>
      <c r="AR249" s="20"/>
      <c r="AS249" s="20"/>
      <c r="AT249" s="20"/>
      <c r="AU249" s="20"/>
      <c r="AV249" s="29"/>
      <c r="AW249" s="11"/>
      <c r="AX249" s="11"/>
      <c r="AY249" s="11"/>
      <c r="AZ249" s="11"/>
      <c r="BA249" s="11"/>
      <c r="BB249" s="13"/>
      <c r="BC249" s="11" t="str">
        <f t="shared" si="16"/>
        <v>No</v>
      </c>
      <c r="BD249" s="22" t="str">
        <f t="shared" si="17"/>
        <v/>
      </c>
      <c r="BE249" s="11" t="s">
        <v>84</v>
      </c>
      <c r="BF249" s="11" t="str">
        <f t="shared" si="15"/>
        <v>No aplica</v>
      </c>
      <c r="BG249" s="12"/>
      <c r="BH249" s="68"/>
    </row>
    <row r="250" spans="1:60" ht="18" customHeight="1" x14ac:dyDescent="0.3">
      <c r="A250" s="150"/>
      <c r="B250" s="43"/>
      <c r="C250" s="12">
        <v>46269</v>
      </c>
      <c r="D250" s="20">
        <f t="shared" si="14"/>
        <v>0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94"/>
      <c r="AD250" s="94"/>
      <c r="AE250" s="57"/>
      <c r="AF250" s="57"/>
      <c r="AG250" s="57"/>
      <c r="AH250" s="57"/>
      <c r="AI250" s="57"/>
      <c r="AJ250" s="57"/>
      <c r="AK250" s="20"/>
      <c r="AL250" s="20"/>
      <c r="AM250" s="19"/>
      <c r="AN250" s="19"/>
      <c r="AO250" s="19"/>
      <c r="AP250" s="19"/>
      <c r="AQ250" s="20"/>
      <c r="AR250" s="20"/>
      <c r="AS250" s="20"/>
      <c r="AT250" s="20"/>
      <c r="AU250" s="20"/>
      <c r="AV250" s="29"/>
      <c r="AW250" s="11"/>
      <c r="AX250" s="11"/>
      <c r="AY250" s="11"/>
      <c r="AZ250" s="11"/>
      <c r="BA250" s="11"/>
      <c r="BB250" s="13"/>
      <c r="BC250" s="11" t="str">
        <f t="shared" si="16"/>
        <v>No</v>
      </c>
      <c r="BD250" s="22" t="str">
        <f t="shared" si="17"/>
        <v/>
      </c>
      <c r="BE250" s="11"/>
      <c r="BF250" s="11" t="str">
        <f t="shared" si="15"/>
        <v>No aplica</v>
      </c>
      <c r="BG250" s="12"/>
      <c r="BH250" s="68"/>
    </row>
    <row r="251" spans="1:60" ht="18" customHeight="1" x14ac:dyDescent="0.3">
      <c r="A251" s="150"/>
      <c r="B251" s="43"/>
      <c r="C251" s="12">
        <v>46270</v>
      </c>
      <c r="D251" s="20">
        <f t="shared" si="14"/>
        <v>0</v>
      </c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94"/>
      <c r="AD251" s="94"/>
      <c r="AE251" s="57"/>
      <c r="AF251" s="57"/>
      <c r="AG251" s="57"/>
      <c r="AH251" s="57"/>
      <c r="AI251" s="57"/>
      <c r="AJ251" s="57"/>
      <c r="AK251" s="19"/>
      <c r="AL251" s="19"/>
      <c r="AM251" s="20"/>
      <c r="AN251" s="20"/>
      <c r="AO251" s="19"/>
      <c r="AP251" s="19"/>
      <c r="AQ251" s="20"/>
      <c r="AR251" s="20"/>
      <c r="AS251" s="20"/>
      <c r="AT251" s="20"/>
      <c r="AU251" s="20"/>
      <c r="AV251" s="29"/>
      <c r="AW251" s="11"/>
      <c r="AX251" s="11"/>
      <c r="AY251" s="11"/>
      <c r="AZ251" s="11"/>
      <c r="BA251" s="11"/>
      <c r="BB251" s="13"/>
      <c r="BC251" s="11" t="str">
        <f t="shared" si="16"/>
        <v>No</v>
      </c>
      <c r="BD251" s="22" t="str">
        <f t="shared" si="17"/>
        <v/>
      </c>
      <c r="BE251" s="11"/>
      <c r="BF251" s="11" t="str">
        <f t="shared" si="15"/>
        <v>No aplica</v>
      </c>
      <c r="BG251" s="12"/>
      <c r="BH251" s="68"/>
    </row>
    <row r="252" spans="1:60" ht="18" customHeight="1" x14ac:dyDescent="0.3">
      <c r="A252" s="150"/>
      <c r="B252" s="43"/>
      <c r="C252" s="12">
        <v>46271</v>
      </c>
      <c r="D252" s="20">
        <f t="shared" si="14"/>
        <v>0</v>
      </c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94"/>
      <c r="AD252" s="94"/>
      <c r="AE252" s="57"/>
      <c r="AF252" s="57"/>
      <c r="AG252" s="57"/>
      <c r="AH252" s="57"/>
      <c r="AI252" s="57"/>
      <c r="AJ252" s="57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  <c r="AV252" s="29"/>
      <c r="AW252" s="11"/>
      <c r="AX252" s="11"/>
      <c r="AY252" s="11"/>
      <c r="AZ252" s="11"/>
      <c r="BA252" s="11"/>
      <c r="BB252" s="13"/>
      <c r="BC252" s="11" t="str">
        <f t="shared" si="16"/>
        <v>No</v>
      </c>
      <c r="BD252" s="22" t="str">
        <f t="shared" si="17"/>
        <v/>
      </c>
      <c r="BE252" s="11"/>
      <c r="BF252" s="11" t="str">
        <f t="shared" si="15"/>
        <v>No aplica</v>
      </c>
      <c r="BG252" s="12"/>
      <c r="BH252" s="68"/>
    </row>
    <row r="253" spans="1:60" ht="18" customHeight="1" x14ac:dyDescent="0.3">
      <c r="A253" s="150"/>
      <c r="B253" s="43"/>
      <c r="C253" s="12">
        <v>46272</v>
      </c>
      <c r="D253" s="20">
        <f t="shared" si="14"/>
        <v>0</v>
      </c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20"/>
      <c r="Z253" s="20"/>
      <c r="AA253" s="20"/>
      <c r="AB253" s="20"/>
      <c r="AC253" s="94"/>
      <c r="AD253" s="94"/>
      <c r="AE253" s="57"/>
      <c r="AF253" s="57"/>
      <c r="AG253" s="57"/>
      <c r="AH253" s="57"/>
      <c r="AI253" s="57"/>
      <c r="AJ253" s="57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9"/>
      <c r="AW253" s="11"/>
      <c r="AX253" s="11"/>
      <c r="AY253" s="11"/>
      <c r="AZ253" s="11"/>
      <c r="BA253" s="11"/>
      <c r="BB253" s="13"/>
      <c r="BC253" s="11" t="str">
        <f t="shared" si="16"/>
        <v>No</v>
      </c>
      <c r="BD253" s="22" t="str">
        <f t="shared" si="17"/>
        <v/>
      </c>
      <c r="BE253" s="11"/>
      <c r="BF253" s="11" t="str">
        <f t="shared" si="15"/>
        <v>No aplica</v>
      </c>
      <c r="BG253" s="12"/>
      <c r="BH253" s="68"/>
    </row>
    <row r="254" spans="1:60" ht="18" customHeight="1" x14ac:dyDescent="0.3">
      <c r="A254" s="150"/>
      <c r="B254" s="43"/>
      <c r="C254" s="12">
        <v>46273</v>
      </c>
      <c r="D254" s="20">
        <f t="shared" si="14"/>
        <v>0</v>
      </c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20"/>
      <c r="Z254" s="20"/>
      <c r="AA254" s="20"/>
      <c r="AB254" s="20"/>
      <c r="AC254" s="94"/>
      <c r="AD254" s="94"/>
      <c r="AE254" s="57"/>
      <c r="AF254" s="57"/>
      <c r="AG254" s="57"/>
      <c r="AH254" s="57"/>
      <c r="AI254" s="57"/>
      <c r="AJ254" s="57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9"/>
      <c r="AW254" s="11"/>
      <c r="AX254" s="11"/>
      <c r="AY254" s="11"/>
      <c r="AZ254" s="11"/>
      <c r="BA254" s="11"/>
      <c r="BB254" s="13"/>
      <c r="BC254" s="11" t="str">
        <f t="shared" si="16"/>
        <v>No</v>
      </c>
      <c r="BD254" s="22" t="str">
        <f t="shared" si="17"/>
        <v/>
      </c>
      <c r="BE254" s="11"/>
      <c r="BF254" s="11" t="str">
        <f t="shared" si="15"/>
        <v>No aplica</v>
      </c>
      <c r="BG254" s="12"/>
      <c r="BH254" s="68"/>
    </row>
    <row r="255" spans="1:60" ht="18" customHeight="1" x14ac:dyDescent="0.3">
      <c r="A255" s="150"/>
      <c r="B255" s="43"/>
      <c r="C255" s="12">
        <v>46274</v>
      </c>
      <c r="D255" s="20">
        <f t="shared" si="14"/>
        <v>0</v>
      </c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20"/>
      <c r="Z255" s="20"/>
      <c r="AA255" s="20"/>
      <c r="AB255" s="20"/>
      <c r="AC255" s="94"/>
      <c r="AD255" s="94"/>
      <c r="AE255" s="57"/>
      <c r="AF255" s="57"/>
      <c r="AG255" s="57"/>
      <c r="AH255" s="57"/>
      <c r="AI255" s="57"/>
      <c r="AJ255" s="57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9"/>
      <c r="AW255" s="11"/>
      <c r="AX255" s="11"/>
      <c r="AY255" s="11"/>
      <c r="AZ255" s="11"/>
      <c r="BA255" s="11"/>
      <c r="BB255" s="13"/>
      <c r="BC255" s="11" t="str">
        <f t="shared" si="16"/>
        <v>No</v>
      </c>
      <c r="BD255" s="22" t="str">
        <f t="shared" si="17"/>
        <v/>
      </c>
      <c r="BE255" s="11"/>
      <c r="BF255" s="11" t="str">
        <f t="shared" si="15"/>
        <v>No aplica</v>
      </c>
      <c r="BG255" s="12"/>
      <c r="BH255" s="68"/>
    </row>
    <row r="256" spans="1:60" ht="18" customHeight="1" x14ac:dyDescent="0.3">
      <c r="A256" s="150"/>
      <c r="B256" s="43"/>
      <c r="C256" s="12">
        <v>46275</v>
      </c>
      <c r="D256" s="20">
        <f t="shared" si="14"/>
        <v>0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20"/>
      <c r="Z256" s="20"/>
      <c r="AA256" s="20"/>
      <c r="AB256" s="20"/>
      <c r="AC256" s="94"/>
      <c r="AD256" s="94"/>
      <c r="AE256" s="57"/>
      <c r="AF256" s="57"/>
      <c r="AG256" s="57"/>
      <c r="AH256" s="57"/>
      <c r="AI256" s="57"/>
      <c r="AJ256" s="57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9"/>
      <c r="AW256" s="11"/>
      <c r="AX256" s="11"/>
      <c r="AY256" s="11"/>
      <c r="AZ256" s="11"/>
      <c r="BA256" s="11"/>
      <c r="BB256" s="13"/>
      <c r="BC256" s="11" t="str">
        <f t="shared" si="16"/>
        <v>No</v>
      </c>
      <c r="BD256" s="22" t="str">
        <f t="shared" si="17"/>
        <v/>
      </c>
      <c r="BE256" s="11"/>
      <c r="BF256" s="11" t="str">
        <f t="shared" si="15"/>
        <v>No aplica</v>
      </c>
      <c r="BG256" s="12"/>
      <c r="BH256" s="68"/>
    </row>
    <row r="257" spans="1:60" ht="18" customHeight="1" x14ac:dyDescent="0.3">
      <c r="A257" s="150"/>
      <c r="B257" s="43"/>
      <c r="C257" s="12">
        <v>46276</v>
      </c>
      <c r="D257" s="20">
        <f t="shared" si="14"/>
        <v>0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20"/>
      <c r="Z257" s="20"/>
      <c r="AA257" s="20"/>
      <c r="AB257" s="20"/>
      <c r="AC257" s="94"/>
      <c r="AD257" s="94"/>
      <c r="AE257" s="57"/>
      <c r="AF257" s="57"/>
      <c r="AG257" s="57"/>
      <c r="AH257" s="57"/>
      <c r="AI257" s="57"/>
      <c r="AJ257" s="57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9"/>
      <c r="AW257" s="11"/>
      <c r="AX257" s="11"/>
      <c r="AY257" s="11"/>
      <c r="AZ257" s="11"/>
      <c r="BA257" s="11"/>
      <c r="BB257" s="13"/>
      <c r="BC257" s="11" t="str">
        <f t="shared" si="16"/>
        <v>No</v>
      </c>
      <c r="BD257" s="22" t="str">
        <f t="shared" si="17"/>
        <v/>
      </c>
      <c r="BE257" s="11"/>
      <c r="BF257" s="11" t="str">
        <f t="shared" si="15"/>
        <v>No aplica</v>
      </c>
      <c r="BG257" s="12"/>
      <c r="BH257" s="68"/>
    </row>
    <row r="258" spans="1:60" ht="18" customHeight="1" x14ac:dyDescent="0.3">
      <c r="A258" s="150"/>
      <c r="B258" s="43"/>
      <c r="C258" s="12">
        <v>46277</v>
      </c>
      <c r="D258" s="20">
        <f t="shared" si="14"/>
        <v>0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20"/>
      <c r="Z258" s="20"/>
      <c r="AA258" s="20"/>
      <c r="AB258" s="20"/>
      <c r="AC258" s="94"/>
      <c r="AD258" s="94"/>
      <c r="AE258" s="57"/>
      <c r="AF258" s="57"/>
      <c r="AG258" s="57"/>
      <c r="AH258" s="57"/>
      <c r="AI258" s="57"/>
      <c r="AJ258" s="57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9"/>
      <c r="AW258" s="11"/>
      <c r="AX258" s="11"/>
      <c r="AY258" s="11"/>
      <c r="AZ258" s="11"/>
      <c r="BA258" s="11"/>
      <c r="BB258" s="13"/>
      <c r="BC258" s="11" t="str">
        <f t="shared" si="16"/>
        <v>No</v>
      </c>
      <c r="BD258" s="22" t="str">
        <f t="shared" si="17"/>
        <v/>
      </c>
      <c r="BE258" s="11"/>
      <c r="BF258" s="11" t="str">
        <f t="shared" si="15"/>
        <v>No aplica</v>
      </c>
      <c r="BG258" s="12"/>
      <c r="BH258" s="68"/>
    </row>
    <row r="259" spans="1:60" ht="18" customHeight="1" x14ac:dyDescent="0.3">
      <c r="A259" s="150"/>
      <c r="B259" s="43"/>
      <c r="C259" s="12">
        <v>46278</v>
      </c>
      <c r="D259" s="20">
        <f t="shared" si="14"/>
        <v>0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19"/>
      <c r="P259" s="19"/>
      <c r="Q259" s="19"/>
      <c r="R259" s="19"/>
      <c r="S259" s="26"/>
      <c r="T259" s="26"/>
      <c r="U259" s="19"/>
      <c r="V259" s="19"/>
      <c r="W259" s="19"/>
      <c r="X259" s="19"/>
      <c r="Y259" s="20"/>
      <c r="Z259" s="20"/>
      <c r="AA259" s="26"/>
      <c r="AB259" s="26"/>
      <c r="AC259" s="95"/>
      <c r="AD259" s="95"/>
      <c r="AE259" s="58"/>
      <c r="AF259" s="58"/>
      <c r="AG259" s="58"/>
      <c r="AH259" s="58"/>
      <c r="AI259" s="58"/>
      <c r="AJ259" s="58"/>
      <c r="AK259" s="26"/>
      <c r="AL259" s="26"/>
      <c r="AM259" s="26"/>
      <c r="AN259" s="26"/>
      <c r="AO259" s="26"/>
      <c r="AP259" s="26"/>
      <c r="AQ259" s="20"/>
      <c r="AR259" s="20"/>
      <c r="AS259" s="20"/>
      <c r="AT259" s="20"/>
      <c r="AU259" s="20"/>
      <c r="AV259" s="29"/>
      <c r="AW259" s="11"/>
      <c r="AX259" s="11"/>
      <c r="AY259" s="11"/>
      <c r="AZ259" s="11"/>
      <c r="BA259" s="11"/>
      <c r="BB259" s="13"/>
      <c r="BC259" s="11" t="str">
        <f t="shared" si="16"/>
        <v>No</v>
      </c>
      <c r="BD259" s="22" t="str">
        <f t="shared" si="17"/>
        <v/>
      </c>
      <c r="BE259" s="11"/>
      <c r="BF259" s="11" t="str">
        <f t="shared" si="15"/>
        <v>No aplica</v>
      </c>
      <c r="BG259" s="12"/>
      <c r="BH259" s="68"/>
    </row>
    <row r="260" spans="1:60" ht="18" customHeight="1" x14ac:dyDescent="0.3">
      <c r="A260" s="150"/>
      <c r="B260" s="43"/>
      <c r="C260" s="12">
        <v>46279</v>
      </c>
      <c r="D260" s="20">
        <f t="shared" ref="D260:D323" si="18">+F260+H260+J260+L260+N260+P260+R260+Z260+AB260+AD260+AF260+AH260+AJ260+AL260+AN260+AP260</f>
        <v>0</v>
      </c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20"/>
      <c r="AB260" s="20"/>
      <c r="AC260" s="94"/>
      <c r="AD260" s="94"/>
      <c r="AE260" s="57"/>
      <c r="AF260" s="57"/>
      <c r="AG260" s="57"/>
      <c r="AH260" s="57"/>
      <c r="AI260" s="57"/>
      <c r="AJ260" s="57"/>
      <c r="AK260" s="19"/>
      <c r="AL260" s="19"/>
      <c r="AM260" s="19"/>
      <c r="AN260" s="19"/>
      <c r="AO260" s="19"/>
      <c r="AP260" s="19"/>
      <c r="AQ260" s="20"/>
      <c r="AR260" s="20"/>
      <c r="AS260" s="20"/>
      <c r="AT260" s="20"/>
      <c r="AU260" s="20"/>
      <c r="AV260" s="29"/>
      <c r="AW260" s="11"/>
      <c r="AX260" s="11"/>
      <c r="AY260" s="11"/>
      <c r="AZ260" s="11"/>
      <c r="BA260" s="11"/>
      <c r="BB260" s="13"/>
      <c r="BC260" s="11" t="str">
        <f t="shared" si="16"/>
        <v>No</v>
      </c>
      <c r="BD260" s="22" t="str">
        <f t="shared" si="17"/>
        <v/>
      </c>
      <c r="BE260" s="11"/>
      <c r="BF260" s="11" t="str">
        <f t="shared" si="15"/>
        <v>No aplica</v>
      </c>
      <c r="BG260" s="12"/>
      <c r="BH260" s="68"/>
    </row>
    <row r="261" spans="1:60" ht="18" customHeight="1" x14ac:dyDescent="0.3">
      <c r="A261" s="150"/>
      <c r="B261" s="43"/>
      <c r="C261" s="12">
        <v>46280</v>
      </c>
      <c r="D261" s="20">
        <f t="shared" si="18"/>
        <v>0</v>
      </c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19"/>
      <c r="P261" s="19"/>
      <c r="Q261" s="19"/>
      <c r="R261" s="19"/>
      <c r="S261" s="20"/>
      <c r="T261" s="20"/>
      <c r="U261" s="19"/>
      <c r="V261" s="19"/>
      <c r="W261" s="19"/>
      <c r="X261" s="19"/>
      <c r="Y261" s="19"/>
      <c r="Z261" s="19"/>
      <c r="AA261" s="19"/>
      <c r="AB261" s="19"/>
      <c r="AC261" s="94"/>
      <c r="AD261" s="94"/>
      <c r="AE261" s="57"/>
      <c r="AF261" s="57"/>
      <c r="AG261" s="57"/>
      <c r="AH261" s="57"/>
      <c r="AI261" s="57"/>
      <c r="AJ261" s="57"/>
      <c r="AK261" s="19"/>
      <c r="AL261" s="19"/>
      <c r="AM261" s="19"/>
      <c r="AN261" s="19"/>
      <c r="AO261" s="19"/>
      <c r="AP261" s="19"/>
      <c r="AQ261" s="20"/>
      <c r="AR261" s="20"/>
      <c r="AS261" s="20"/>
      <c r="AT261" s="20"/>
      <c r="AU261" s="20"/>
      <c r="AV261" s="29"/>
      <c r="AW261" s="11"/>
      <c r="AX261" s="11"/>
      <c r="AY261" s="11"/>
      <c r="AZ261" s="11"/>
      <c r="BA261" s="11"/>
      <c r="BB261" s="13"/>
      <c r="BC261" s="11" t="str">
        <f t="shared" si="16"/>
        <v>No</v>
      </c>
      <c r="BD261" s="22" t="str">
        <f t="shared" si="17"/>
        <v/>
      </c>
      <c r="BE261" s="11"/>
      <c r="BF261" s="11" t="str">
        <f t="shared" ref="BF261:BF324" si="19">IF($BC261="No","No aplica",IF($BE261="Sí","Ejecutado","Programado pendiente"))</f>
        <v>No aplica</v>
      </c>
      <c r="BG261" s="12"/>
      <c r="BH261" s="68"/>
    </row>
    <row r="262" spans="1:60" ht="18" customHeight="1" x14ac:dyDescent="0.3">
      <c r="A262" s="150"/>
      <c r="B262" s="43"/>
      <c r="C262" s="12">
        <v>46281</v>
      </c>
      <c r="D262" s="20">
        <f t="shared" si="18"/>
        <v>12</v>
      </c>
      <c r="E262" s="111">
        <v>2</v>
      </c>
      <c r="F262" s="112">
        <v>4</v>
      </c>
      <c r="G262" s="111">
        <v>2</v>
      </c>
      <c r="H262" s="112">
        <v>4</v>
      </c>
      <c r="I262" s="111">
        <v>2</v>
      </c>
      <c r="J262" s="112">
        <v>4</v>
      </c>
      <c r="K262" s="20"/>
      <c r="L262" s="20"/>
      <c r="M262" s="20"/>
      <c r="N262" s="20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94"/>
      <c r="AD262" s="94"/>
      <c r="AE262" s="57"/>
      <c r="AF262" s="57"/>
      <c r="AG262" s="57"/>
      <c r="AH262" s="57"/>
      <c r="AI262" s="57"/>
      <c r="AJ262" s="57"/>
      <c r="AK262" s="19"/>
      <c r="AL262" s="19"/>
      <c r="AM262" s="19"/>
      <c r="AN262" s="19"/>
      <c r="AO262" s="19"/>
      <c r="AP262" s="19"/>
      <c r="AQ262" s="20"/>
      <c r="AR262" s="20"/>
      <c r="AS262" s="20"/>
      <c r="AT262" s="20"/>
      <c r="AU262" s="20"/>
      <c r="AV262" s="29"/>
      <c r="AW262" s="11"/>
      <c r="AX262" s="11"/>
      <c r="AY262" s="11"/>
      <c r="AZ262" s="11"/>
      <c r="BA262" s="11"/>
      <c r="BB262" s="13"/>
      <c r="BC262" s="11" t="str">
        <f t="shared" si="16"/>
        <v>Sí</v>
      </c>
      <c r="BD262" s="22" t="str">
        <f t="shared" si="17"/>
        <v>CPW02
, CPW01, CPW03</v>
      </c>
      <c r="BE262" s="11"/>
      <c r="BF262" s="11" t="str">
        <f t="shared" si="19"/>
        <v>Programado pendiente</v>
      </c>
      <c r="BG262" s="12"/>
      <c r="BH262" s="68"/>
    </row>
    <row r="263" spans="1:60" ht="18" customHeight="1" x14ac:dyDescent="0.3">
      <c r="A263" s="150"/>
      <c r="B263" s="43"/>
      <c r="C263" s="12">
        <v>46282</v>
      </c>
      <c r="D263" s="20">
        <f t="shared" si="18"/>
        <v>12</v>
      </c>
      <c r="E263" s="20"/>
      <c r="F263" s="20"/>
      <c r="G263" s="20"/>
      <c r="H263" s="20"/>
      <c r="I263" s="20"/>
      <c r="J263" s="20"/>
      <c r="K263" s="111">
        <v>2</v>
      </c>
      <c r="L263" s="112">
        <v>4</v>
      </c>
      <c r="M263" s="111">
        <v>2</v>
      </c>
      <c r="N263" s="112">
        <v>4</v>
      </c>
      <c r="O263" s="111">
        <v>2</v>
      </c>
      <c r="P263" s="112">
        <v>4</v>
      </c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94"/>
      <c r="AD263" s="94"/>
      <c r="AE263" s="57"/>
      <c r="AF263" s="57"/>
      <c r="AG263" s="57"/>
      <c r="AH263" s="57"/>
      <c r="AI263" s="57"/>
      <c r="AJ263" s="57"/>
      <c r="AK263" s="19"/>
      <c r="AL263" s="19"/>
      <c r="AM263" s="19"/>
      <c r="AN263" s="19"/>
      <c r="AO263" s="19"/>
      <c r="AP263" s="19"/>
      <c r="AQ263" s="20"/>
      <c r="AR263" s="20"/>
      <c r="AS263" s="20"/>
      <c r="AT263" s="20"/>
      <c r="AU263" s="20"/>
      <c r="AV263" s="29"/>
      <c r="AW263" s="11"/>
      <c r="AX263" s="11"/>
      <c r="AY263" s="11"/>
      <c r="AZ263" s="11"/>
      <c r="BA263" s="11"/>
      <c r="BB263" s="13"/>
      <c r="BC263" s="11" t="str">
        <f t="shared" si="16"/>
        <v>Sí</v>
      </c>
      <c r="BD263" s="22" t="str">
        <f t="shared" si="17"/>
        <v>CPW04
, CPW05, CPW06</v>
      </c>
      <c r="BE263" s="11"/>
      <c r="BF263" s="11" t="str">
        <f t="shared" si="19"/>
        <v>Programado pendiente</v>
      </c>
      <c r="BG263" s="12"/>
      <c r="BH263" s="68"/>
    </row>
    <row r="264" spans="1:60" ht="18" customHeight="1" x14ac:dyDescent="0.3">
      <c r="A264" s="150"/>
      <c r="B264" s="43"/>
      <c r="C264" s="12">
        <v>46283</v>
      </c>
      <c r="D264" s="20">
        <f t="shared" si="18"/>
        <v>4</v>
      </c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19"/>
      <c r="P264" s="19"/>
      <c r="Q264" s="111">
        <v>2</v>
      </c>
      <c r="R264" s="112">
        <v>4</v>
      </c>
      <c r="S264" s="111">
        <v>2</v>
      </c>
      <c r="T264" s="112">
        <v>4</v>
      </c>
      <c r="U264" s="111">
        <v>2</v>
      </c>
      <c r="V264" s="112">
        <v>4</v>
      </c>
      <c r="W264" s="19"/>
      <c r="X264" s="19"/>
      <c r="Y264" s="19"/>
      <c r="Z264" s="19"/>
      <c r="AA264" s="19"/>
      <c r="AB264" s="19"/>
      <c r="AC264" s="94"/>
      <c r="AD264" s="94"/>
      <c r="AE264" s="57"/>
      <c r="AF264" s="57"/>
      <c r="AG264" s="57"/>
      <c r="AH264" s="57"/>
      <c r="AI264" s="57"/>
      <c r="AJ264" s="57"/>
      <c r="AK264" s="19"/>
      <c r="AL264" s="19"/>
      <c r="AM264" s="19"/>
      <c r="AN264" s="19"/>
      <c r="AO264" s="19"/>
      <c r="AP264" s="19"/>
      <c r="AQ264" s="20"/>
      <c r="AR264" s="20"/>
      <c r="AS264" s="20"/>
      <c r="AT264" s="20"/>
      <c r="AU264" s="20"/>
      <c r="AV264" s="29"/>
      <c r="AW264" s="11"/>
      <c r="AX264" s="11"/>
      <c r="AY264" s="11"/>
      <c r="AZ264" s="11"/>
      <c r="BA264" s="11"/>
      <c r="BB264" s="13"/>
      <c r="BC264" s="11" t="str">
        <f t="shared" si="16"/>
        <v>Sí</v>
      </c>
      <c r="BD264" s="22" t="str">
        <f t="shared" si="17"/>
        <v>CPW07, CPW 10, CPW11</v>
      </c>
      <c r="BE264" s="11" t="s">
        <v>84</v>
      </c>
      <c r="BF264" s="11" t="str">
        <f t="shared" si="19"/>
        <v>Programado pendiente</v>
      </c>
      <c r="BG264" s="12"/>
      <c r="BH264" s="68"/>
    </row>
    <row r="265" spans="1:60" ht="18" customHeight="1" x14ac:dyDescent="0.3">
      <c r="A265" s="150"/>
      <c r="B265" s="43"/>
      <c r="C265" s="12">
        <v>46284</v>
      </c>
      <c r="D265" s="20">
        <f t="shared" si="18"/>
        <v>8</v>
      </c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19"/>
      <c r="P265" s="19"/>
      <c r="Q265" s="19"/>
      <c r="R265" s="19"/>
      <c r="S265" s="19"/>
      <c r="T265" s="19"/>
      <c r="U265" s="19"/>
      <c r="V265" s="19"/>
      <c r="W265" s="111">
        <v>2</v>
      </c>
      <c r="X265" s="112">
        <v>4</v>
      </c>
      <c r="Y265" s="111">
        <v>2</v>
      </c>
      <c r="Z265" s="112">
        <v>4</v>
      </c>
      <c r="AA265" s="111">
        <v>2</v>
      </c>
      <c r="AB265" s="112">
        <v>4</v>
      </c>
      <c r="AC265" s="94"/>
      <c r="AD265" s="94"/>
      <c r="AE265" s="57"/>
      <c r="AF265" s="57"/>
      <c r="AG265" s="57"/>
      <c r="AH265" s="57"/>
      <c r="AI265" s="57"/>
      <c r="AJ265" s="57"/>
      <c r="AK265" s="20"/>
      <c r="AL265" s="20"/>
      <c r="AM265" s="19"/>
      <c r="AN265" s="19"/>
      <c r="AO265" s="19"/>
      <c r="AP265" s="19"/>
      <c r="AQ265" s="20"/>
      <c r="AR265" s="20"/>
      <c r="AS265" s="20"/>
      <c r="AT265" s="20"/>
      <c r="AU265" s="20"/>
      <c r="AV265" s="29"/>
      <c r="AW265" s="11"/>
      <c r="AX265" s="11"/>
      <c r="AY265" s="11"/>
      <c r="AZ265" s="11"/>
      <c r="BA265" s="11"/>
      <c r="BB265" s="13"/>
      <c r="BC265" s="11" t="str">
        <f t="shared" si="16"/>
        <v>Sí</v>
      </c>
      <c r="BD265" s="22" t="str">
        <f t="shared" si="17"/>
        <v>CPW12, JINAN 01, JINAN 02</v>
      </c>
      <c r="BE265" s="11"/>
      <c r="BF265" s="11" t="str">
        <f t="shared" si="19"/>
        <v>Programado pendiente</v>
      </c>
      <c r="BG265" s="12"/>
      <c r="BH265" s="68"/>
    </row>
    <row r="266" spans="1:60" ht="18" customHeight="1" x14ac:dyDescent="0.3">
      <c r="A266" s="150"/>
      <c r="B266" s="43"/>
      <c r="C266" s="12">
        <v>46285</v>
      </c>
      <c r="D266" s="20">
        <f t="shared" si="18"/>
        <v>0</v>
      </c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94"/>
      <c r="AD266" s="94"/>
      <c r="AE266" s="57"/>
      <c r="AF266" s="57"/>
      <c r="AG266" s="57"/>
      <c r="AH266" s="57"/>
      <c r="AI266" s="57"/>
      <c r="AJ266" s="57"/>
      <c r="AK266" s="19"/>
      <c r="AL266" s="19"/>
      <c r="AM266" s="20"/>
      <c r="AN266" s="20"/>
      <c r="AO266" s="19"/>
      <c r="AP266" s="19"/>
      <c r="AQ266" s="20"/>
      <c r="AR266" s="20"/>
      <c r="AS266" s="20"/>
      <c r="AT266" s="20"/>
      <c r="AU266" s="20"/>
      <c r="AV266" s="29"/>
      <c r="AW266" s="11"/>
      <c r="AX266" s="11"/>
      <c r="AY266" s="11"/>
      <c r="AZ266" s="11"/>
      <c r="BA266" s="11"/>
      <c r="BB266" s="13"/>
      <c r="BC266" s="11" t="str">
        <f t="shared" si="16"/>
        <v>No</v>
      </c>
      <c r="BD266" s="22" t="str">
        <f t="shared" si="17"/>
        <v/>
      </c>
      <c r="BE266" s="11"/>
      <c r="BF266" s="11" t="str">
        <f t="shared" si="19"/>
        <v>No aplica</v>
      </c>
      <c r="BG266" s="12"/>
      <c r="BH266" s="68"/>
    </row>
    <row r="267" spans="1:60" ht="18" customHeight="1" x14ac:dyDescent="0.3">
      <c r="A267" s="150"/>
      <c r="B267" s="43"/>
      <c r="C267" s="12">
        <v>46286</v>
      </c>
      <c r="D267" s="20">
        <f t="shared" si="18"/>
        <v>0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94"/>
      <c r="AD267" s="94"/>
      <c r="AE267" s="57"/>
      <c r="AF267" s="57"/>
      <c r="AG267" s="57"/>
      <c r="AH267" s="57"/>
      <c r="AI267" s="57"/>
      <c r="AJ267" s="57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  <c r="AV267" s="29"/>
      <c r="AW267" s="11"/>
      <c r="AX267" s="11"/>
      <c r="AY267" s="11"/>
      <c r="AZ267" s="11"/>
      <c r="BA267" s="11"/>
      <c r="BB267" s="13"/>
      <c r="BC267" s="11" t="str">
        <f t="shared" si="16"/>
        <v>No</v>
      </c>
      <c r="BD267" s="22" t="str">
        <f t="shared" si="17"/>
        <v/>
      </c>
      <c r="BE267" s="11"/>
      <c r="BF267" s="11" t="str">
        <f t="shared" si="19"/>
        <v>No aplica</v>
      </c>
      <c r="BG267" s="12"/>
      <c r="BH267" s="68"/>
    </row>
    <row r="268" spans="1:60" ht="18" customHeight="1" x14ac:dyDescent="0.3">
      <c r="A268" s="150"/>
      <c r="B268" s="43"/>
      <c r="C268" s="12">
        <v>46287</v>
      </c>
      <c r="D268" s="20">
        <f t="shared" si="18"/>
        <v>0</v>
      </c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20"/>
      <c r="Z268" s="20"/>
      <c r="AA268" s="20"/>
      <c r="AB268" s="20"/>
      <c r="AC268" s="94"/>
      <c r="AD268" s="94"/>
      <c r="AE268" s="57"/>
      <c r="AF268" s="57"/>
      <c r="AG268" s="57"/>
      <c r="AH268" s="57"/>
      <c r="AI268" s="57"/>
      <c r="AJ268" s="57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9"/>
      <c r="AW268" s="11"/>
      <c r="AX268" s="11"/>
      <c r="AY268" s="11"/>
      <c r="AZ268" s="11"/>
      <c r="BA268" s="11"/>
      <c r="BB268" s="13"/>
      <c r="BC268" s="11" t="str">
        <f t="shared" si="16"/>
        <v>No</v>
      </c>
      <c r="BD268" s="22" t="str">
        <f t="shared" si="17"/>
        <v/>
      </c>
      <c r="BE268" s="11"/>
      <c r="BF268" s="11" t="str">
        <f t="shared" si="19"/>
        <v>No aplica</v>
      </c>
      <c r="BG268" s="12"/>
      <c r="BH268" s="68"/>
    </row>
    <row r="269" spans="1:60" ht="18" customHeight="1" x14ac:dyDescent="0.3">
      <c r="A269" s="150"/>
      <c r="B269" s="43"/>
      <c r="C269" s="12">
        <v>46288</v>
      </c>
      <c r="D269" s="20">
        <f t="shared" si="18"/>
        <v>0</v>
      </c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20"/>
      <c r="Z269" s="20"/>
      <c r="AA269" s="20"/>
      <c r="AB269" s="20"/>
      <c r="AC269" s="94"/>
      <c r="AD269" s="94"/>
      <c r="AE269" s="57"/>
      <c r="AF269" s="57"/>
      <c r="AG269" s="57"/>
      <c r="AH269" s="57"/>
      <c r="AI269" s="57"/>
      <c r="AJ269" s="57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9"/>
      <c r="AW269" s="11"/>
      <c r="AX269" s="11"/>
      <c r="AY269" s="11"/>
      <c r="AZ269" s="11"/>
      <c r="BA269" s="11"/>
      <c r="BB269" s="13"/>
      <c r="BC269" s="11" t="str">
        <f t="shared" si="16"/>
        <v>No</v>
      </c>
      <c r="BD269" s="22" t="str">
        <f t="shared" si="17"/>
        <v/>
      </c>
      <c r="BE269" s="11"/>
      <c r="BF269" s="11" t="str">
        <f t="shared" si="19"/>
        <v>No aplica</v>
      </c>
      <c r="BG269" s="12"/>
      <c r="BH269" s="68"/>
    </row>
    <row r="270" spans="1:60" ht="18" customHeight="1" x14ac:dyDescent="0.3">
      <c r="A270" s="150"/>
      <c r="B270" s="43"/>
      <c r="C270" s="12">
        <v>46289</v>
      </c>
      <c r="D270" s="20">
        <f t="shared" si="18"/>
        <v>0</v>
      </c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20"/>
      <c r="Z270" s="20"/>
      <c r="AA270" s="20"/>
      <c r="AB270" s="20"/>
      <c r="AC270" s="94"/>
      <c r="AD270" s="94"/>
      <c r="AE270" s="57"/>
      <c r="AF270" s="57"/>
      <c r="AG270" s="57"/>
      <c r="AH270" s="57"/>
      <c r="AI270" s="57"/>
      <c r="AJ270" s="57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9"/>
      <c r="AW270" s="11"/>
      <c r="AX270" s="11"/>
      <c r="AY270" s="11"/>
      <c r="AZ270" s="11"/>
      <c r="BA270" s="11"/>
      <c r="BB270" s="13"/>
      <c r="BC270" s="11" t="str">
        <f t="shared" si="16"/>
        <v>No</v>
      </c>
      <c r="BD270" s="22" t="str">
        <f t="shared" si="17"/>
        <v/>
      </c>
      <c r="BE270" s="11"/>
      <c r="BF270" s="11" t="str">
        <f t="shared" si="19"/>
        <v>No aplica</v>
      </c>
      <c r="BG270" s="12"/>
      <c r="BH270" s="68"/>
    </row>
    <row r="271" spans="1:60" ht="18" customHeight="1" x14ac:dyDescent="0.3">
      <c r="A271" s="150"/>
      <c r="B271" s="43"/>
      <c r="C271" s="12">
        <v>46290</v>
      </c>
      <c r="D271" s="20">
        <f t="shared" si="18"/>
        <v>0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20"/>
      <c r="Z271" s="20"/>
      <c r="AA271" s="20"/>
      <c r="AB271" s="20"/>
      <c r="AC271" s="94"/>
      <c r="AD271" s="94"/>
      <c r="AE271" s="57"/>
      <c r="AF271" s="57"/>
      <c r="AG271" s="57"/>
      <c r="AH271" s="57"/>
      <c r="AI271" s="57"/>
      <c r="AJ271" s="57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9"/>
      <c r="AW271" s="11"/>
      <c r="AX271" s="11"/>
      <c r="AY271" s="11"/>
      <c r="AZ271" s="11"/>
      <c r="BA271" s="11"/>
      <c r="BB271" s="13"/>
      <c r="BC271" s="11" t="str">
        <f t="shared" si="16"/>
        <v>No</v>
      </c>
      <c r="BD271" s="22" t="str">
        <f t="shared" si="17"/>
        <v/>
      </c>
      <c r="BE271" s="11"/>
      <c r="BF271" s="11" t="str">
        <f t="shared" si="19"/>
        <v>No aplica</v>
      </c>
      <c r="BG271" s="12"/>
      <c r="BH271" s="68"/>
    </row>
    <row r="272" spans="1:60" ht="18" customHeight="1" x14ac:dyDescent="0.3">
      <c r="A272" s="150"/>
      <c r="B272" s="43"/>
      <c r="C272" s="12">
        <v>46291</v>
      </c>
      <c r="D272" s="20">
        <f t="shared" si="18"/>
        <v>0</v>
      </c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20"/>
      <c r="Z272" s="20"/>
      <c r="AA272" s="20"/>
      <c r="AB272" s="20"/>
      <c r="AC272" s="94"/>
      <c r="AD272" s="94"/>
      <c r="AE272" s="57"/>
      <c r="AF272" s="57"/>
      <c r="AG272" s="57"/>
      <c r="AH272" s="57"/>
      <c r="AI272" s="57"/>
      <c r="AJ272" s="57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9"/>
      <c r="AW272" s="11"/>
      <c r="AX272" s="11"/>
      <c r="AY272" s="11"/>
      <c r="AZ272" s="11"/>
      <c r="BA272" s="11"/>
      <c r="BB272" s="13"/>
      <c r="BC272" s="11" t="str">
        <f t="shared" si="16"/>
        <v>No</v>
      </c>
      <c r="BD272" s="22" t="str">
        <f t="shared" si="17"/>
        <v/>
      </c>
      <c r="BE272" s="11"/>
      <c r="BF272" s="11" t="str">
        <f t="shared" si="19"/>
        <v>No aplica</v>
      </c>
      <c r="BG272" s="12"/>
      <c r="BH272" s="68"/>
    </row>
    <row r="273" spans="1:60" ht="18" customHeight="1" x14ac:dyDescent="0.3">
      <c r="A273" s="150"/>
      <c r="B273" s="43"/>
      <c r="C273" s="12">
        <v>46292</v>
      </c>
      <c r="D273" s="20">
        <f t="shared" si="18"/>
        <v>0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20"/>
      <c r="Z273" s="20"/>
      <c r="AA273" s="20"/>
      <c r="AB273" s="20"/>
      <c r="AC273" s="94"/>
      <c r="AD273" s="94"/>
      <c r="AE273" s="57"/>
      <c r="AF273" s="57"/>
      <c r="AG273" s="57"/>
      <c r="AH273" s="57"/>
      <c r="AI273" s="57"/>
      <c r="AJ273" s="57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9"/>
      <c r="AW273" s="11"/>
      <c r="AX273" s="11"/>
      <c r="AY273" s="11"/>
      <c r="AZ273" s="11"/>
      <c r="BA273" s="11"/>
      <c r="BB273" s="13"/>
      <c r="BC273" s="11" t="str">
        <f t="shared" si="16"/>
        <v>No</v>
      </c>
      <c r="BD273" s="22" t="str">
        <f t="shared" si="17"/>
        <v/>
      </c>
      <c r="BE273" s="11"/>
      <c r="BF273" s="11" t="str">
        <f t="shared" si="19"/>
        <v>No aplica</v>
      </c>
      <c r="BG273" s="12"/>
      <c r="BH273" s="68"/>
    </row>
    <row r="274" spans="1:60" ht="18" customHeight="1" x14ac:dyDescent="0.3">
      <c r="A274" s="150"/>
      <c r="B274" s="43"/>
      <c r="C274" s="12">
        <v>46293</v>
      </c>
      <c r="D274" s="20">
        <f t="shared" si="18"/>
        <v>0</v>
      </c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19"/>
      <c r="P274" s="19"/>
      <c r="Q274" s="19"/>
      <c r="R274" s="19"/>
      <c r="S274" s="26"/>
      <c r="T274" s="26"/>
      <c r="U274" s="19"/>
      <c r="V274" s="19"/>
      <c r="W274" s="19"/>
      <c r="X274" s="19"/>
      <c r="Y274" s="20"/>
      <c r="Z274" s="20"/>
      <c r="AA274" s="26"/>
      <c r="AB274" s="26"/>
      <c r="AC274" s="95"/>
      <c r="AD274" s="95"/>
      <c r="AE274" s="58"/>
      <c r="AF274" s="58"/>
      <c r="AG274" s="58"/>
      <c r="AH274" s="58"/>
      <c r="AI274" s="58"/>
      <c r="AJ274" s="58"/>
      <c r="AK274" s="26"/>
      <c r="AL274" s="26"/>
      <c r="AM274" s="26"/>
      <c r="AN274" s="26"/>
      <c r="AO274" s="26"/>
      <c r="AP274" s="26"/>
      <c r="AQ274" s="20"/>
      <c r="AR274" s="20"/>
      <c r="AS274" s="20"/>
      <c r="AT274" s="20"/>
      <c r="AU274" s="20"/>
      <c r="AV274" s="29"/>
      <c r="AW274" s="11"/>
      <c r="AX274" s="11"/>
      <c r="AY274" s="11"/>
      <c r="AZ274" s="11"/>
      <c r="BA274" s="11"/>
      <c r="BB274" s="13"/>
      <c r="BC274" s="11" t="str">
        <f t="shared" si="16"/>
        <v>No</v>
      </c>
      <c r="BD274" s="22" t="str">
        <f t="shared" si="17"/>
        <v/>
      </c>
      <c r="BE274" s="11"/>
      <c r="BF274" s="11" t="str">
        <f t="shared" si="19"/>
        <v>No aplica</v>
      </c>
      <c r="BG274" s="12"/>
      <c r="BH274" s="68"/>
    </row>
    <row r="275" spans="1:60" ht="18" customHeight="1" x14ac:dyDescent="0.3">
      <c r="A275" s="150"/>
      <c r="B275" s="43"/>
      <c r="C275" s="12">
        <v>46294</v>
      </c>
      <c r="D275" s="20">
        <f t="shared" si="18"/>
        <v>0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20"/>
      <c r="AB275" s="20"/>
      <c r="AC275" s="94"/>
      <c r="AD275" s="94"/>
      <c r="AE275" s="57"/>
      <c r="AF275" s="57"/>
      <c r="AG275" s="57"/>
      <c r="AH275" s="57"/>
      <c r="AI275" s="57"/>
      <c r="AJ275" s="57"/>
      <c r="AK275" s="19"/>
      <c r="AL275" s="19"/>
      <c r="AM275" s="19"/>
      <c r="AN275" s="19"/>
      <c r="AO275" s="19"/>
      <c r="AP275" s="19"/>
      <c r="AQ275" s="20"/>
      <c r="AR275" s="20"/>
      <c r="AS275" s="20"/>
      <c r="AT275" s="20"/>
      <c r="AU275" s="20"/>
      <c r="AV275" s="29"/>
      <c r="AW275" s="11"/>
      <c r="AX275" s="11"/>
      <c r="AY275" s="11"/>
      <c r="AZ275" s="11"/>
      <c r="BA275" s="11"/>
      <c r="BB275" s="13"/>
      <c r="BC275" s="11" t="str">
        <f t="shared" si="16"/>
        <v>No</v>
      </c>
      <c r="BD275" s="22" t="str">
        <f t="shared" si="17"/>
        <v/>
      </c>
      <c r="BE275" s="11"/>
      <c r="BF275" s="11" t="str">
        <f t="shared" si="19"/>
        <v>No aplica</v>
      </c>
      <c r="BG275" s="12"/>
      <c r="BH275" s="68"/>
    </row>
    <row r="276" spans="1:60" ht="18" customHeight="1" thickBot="1" x14ac:dyDescent="0.35">
      <c r="A276" s="151"/>
      <c r="B276" s="44"/>
      <c r="C276" s="30">
        <v>46295</v>
      </c>
      <c r="D276" s="31">
        <f t="shared" si="18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2"/>
      <c r="P276" s="32"/>
      <c r="Q276" s="32"/>
      <c r="R276" s="32"/>
      <c r="S276" s="31"/>
      <c r="T276" s="31"/>
      <c r="U276" s="32"/>
      <c r="V276" s="32"/>
      <c r="W276" s="32"/>
      <c r="X276" s="32"/>
      <c r="Y276" s="32"/>
      <c r="Z276" s="32"/>
      <c r="AA276" s="32"/>
      <c r="AB276" s="32"/>
      <c r="AC276" s="96"/>
      <c r="AD276" s="96"/>
      <c r="AE276" s="61"/>
      <c r="AF276" s="61"/>
      <c r="AG276" s="61"/>
      <c r="AH276" s="61"/>
      <c r="AI276" s="61"/>
      <c r="AJ276" s="61"/>
      <c r="AK276" s="32"/>
      <c r="AL276" s="32"/>
      <c r="AM276" s="32"/>
      <c r="AN276" s="32"/>
      <c r="AO276" s="32"/>
      <c r="AP276" s="32"/>
      <c r="AQ276" s="31"/>
      <c r="AR276" s="31"/>
      <c r="AS276" s="31"/>
      <c r="AT276" s="31"/>
      <c r="AU276" s="31"/>
      <c r="AV276" s="33"/>
      <c r="AW276" s="70"/>
      <c r="AX276" s="70"/>
      <c r="AY276" s="70"/>
      <c r="AZ276" s="70"/>
      <c r="BA276" s="70"/>
      <c r="BB276" s="71"/>
      <c r="BC276" s="70" t="str">
        <f t="shared" si="16"/>
        <v>No</v>
      </c>
      <c r="BD276" s="72" t="str">
        <f t="shared" si="17"/>
        <v/>
      </c>
      <c r="BE276" s="70"/>
      <c r="BF276" s="70" t="str">
        <f t="shared" si="19"/>
        <v>No aplica</v>
      </c>
      <c r="BG276" s="30"/>
      <c r="BH276" s="73"/>
    </row>
    <row r="277" spans="1:60" ht="18" customHeight="1" x14ac:dyDescent="0.3">
      <c r="A277" s="148" t="s">
        <v>66</v>
      </c>
      <c r="B277" s="42"/>
      <c r="C277" s="15">
        <v>46296</v>
      </c>
      <c r="D277" s="27">
        <f t="shared" si="18"/>
        <v>0</v>
      </c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93"/>
      <c r="AD277" s="93"/>
      <c r="AE277" s="60"/>
      <c r="AF277" s="60"/>
      <c r="AG277" s="60"/>
      <c r="AH277" s="60"/>
      <c r="AI277" s="60"/>
      <c r="AJ277" s="60"/>
      <c r="AK277" s="18"/>
      <c r="AL277" s="18"/>
      <c r="AM277" s="18"/>
      <c r="AN277" s="18"/>
      <c r="AO277" s="18"/>
      <c r="AP277" s="18"/>
      <c r="AQ277" s="27"/>
      <c r="AR277" s="27"/>
      <c r="AS277" s="27"/>
      <c r="AT277" s="27"/>
      <c r="AU277" s="27"/>
      <c r="AV277" s="28"/>
      <c r="AW277" s="14"/>
      <c r="AX277" s="14"/>
      <c r="AY277" s="14"/>
      <c r="AZ277" s="14"/>
      <c r="BA277" s="14"/>
      <c r="BB277" s="65"/>
      <c r="BC277" s="14" t="str">
        <f t="shared" si="16"/>
        <v>No</v>
      </c>
      <c r="BD277" s="21" t="str">
        <f t="shared" si="17"/>
        <v/>
      </c>
      <c r="BE277" s="14"/>
      <c r="BF277" s="14" t="str">
        <f t="shared" si="19"/>
        <v>No aplica</v>
      </c>
      <c r="BG277" s="15"/>
      <c r="BH277" s="66"/>
    </row>
    <row r="278" spans="1:60" ht="18" customHeight="1" x14ac:dyDescent="0.3">
      <c r="A278" s="150"/>
      <c r="B278" s="43"/>
      <c r="C278" s="12">
        <v>46297</v>
      </c>
      <c r="D278" s="20">
        <f t="shared" si="18"/>
        <v>0</v>
      </c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94"/>
      <c r="AD278" s="94"/>
      <c r="AE278" s="57"/>
      <c r="AF278" s="57"/>
      <c r="AG278" s="57"/>
      <c r="AH278" s="57"/>
      <c r="AI278" s="57"/>
      <c r="AJ278" s="57"/>
      <c r="AK278" s="19"/>
      <c r="AL278" s="19"/>
      <c r="AM278" s="19"/>
      <c r="AN278" s="19"/>
      <c r="AO278" s="19"/>
      <c r="AP278" s="19"/>
      <c r="AQ278" s="20"/>
      <c r="AR278" s="20"/>
      <c r="AS278" s="20"/>
      <c r="AT278" s="20"/>
      <c r="AU278" s="20"/>
      <c r="AV278" s="29"/>
      <c r="AW278" s="11"/>
      <c r="AX278" s="11"/>
      <c r="AY278" s="11"/>
      <c r="AZ278" s="11"/>
      <c r="BA278" s="11"/>
      <c r="BB278" s="13"/>
      <c r="BC278" s="11" t="str">
        <f t="shared" si="16"/>
        <v>No</v>
      </c>
      <c r="BD278" s="22" t="str">
        <f t="shared" si="17"/>
        <v/>
      </c>
      <c r="BE278" s="11"/>
      <c r="BF278" s="11" t="str">
        <f t="shared" si="19"/>
        <v>No aplica</v>
      </c>
      <c r="BG278" s="12"/>
      <c r="BH278" s="68"/>
    </row>
    <row r="279" spans="1:60" ht="18" customHeight="1" x14ac:dyDescent="0.3">
      <c r="A279" s="150"/>
      <c r="B279" s="43"/>
      <c r="C279" s="12">
        <v>46298</v>
      </c>
      <c r="D279" s="20">
        <f t="shared" si="18"/>
        <v>0</v>
      </c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94"/>
      <c r="AD279" s="94"/>
      <c r="AE279" s="57"/>
      <c r="AF279" s="57"/>
      <c r="AG279" s="57"/>
      <c r="AH279" s="57"/>
      <c r="AI279" s="57"/>
      <c r="AJ279" s="57"/>
      <c r="AK279" s="19"/>
      <c r="AL279" s="19"/>
      <c r="AM279" s="19"/>
      <c r="AN279" s="19"/>
      <c r="AO279" s="19"/>
      <c r="AP279" s="19"/>
      <c r="AQ279" s="20"/>
      <c r="AR279" s="20"/>
      <c r="AS279" s="20"/>
      <c r="AT279" s="20"/>
      <c r="AU279" s="20"/>
      <c r="AV279" s="29"/>
      <c r="AW279" s="11"/>
      <c r="AX279" s="11"/>
      <c r="AY279" s="11"/>
      <c r="AZ279" s="11"/>
      <c r="BA279" s="11"/>
      <c r="BB279" s="13"/>
      <c r="BC279" s="11" t="str">
        <f t="shared" si="16"/>
        <v>No</v>
      </c>
      <c r="BD279" s="22" t="str">
        <f t="shared" si="17"/>
        <v/>
      </c>
      <c r="BE279" s="11" t="s">
        <v>84</v>
      </c>
      <c r="BF279" s="11" t="str">
        <f t="shared" si="19"/>
        <v>No aplica</v>
      </c>
      <c r="BG279" s="12"/>
      <c r="BH279" s="68"/>
    </row>
    <row r="280" spans="1:60" ht="18" customHeight="1" x14ac:dyDescent="0.3">
      <c r="A280" s="150"/>
      <c r="B280" s="43"/>
      <c r="C280" s="12">
        <v>46299</v>
      </c>
      <c r="D280" s="20">
        <f t="shared" si="18"/>
        <v>0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94"/>
      <c r="AD280" s="94"/>
      <c r="AE280" s="57"/>
      <c r="AF280" s="57"/>
      <c r="AG280" s="57"/>
      <c r="AH280" s="57"/>
      <c r="AI280" s="57"/>
      <c r="AJ280" s="57"/>
      <c r="AK280" s="20"/>
      <c r="AL280" s="20"/>
      <c r="AM280" s="19"/>
      <c r="AN280" s="19"/>
      <c r="AO280" s="19"/>
      <c r="AP280" s="19"/>
      <c r="AQ280" s="20"/>
      <c r="AR280" s="20"/>
      <c r="AS280" s="20"/>
      <c r="AT280" s="20"/>
      <c r="AU280" s="20"/>
      <c r="AV280" s="29"/>
      <c r="AW280" s="11"/>
      <c r="AX280" s="11"/>
      <c r="AY280" s="11"/>
      <c r="AZ280" s="11"/>
      <c r="BA280" s="11"/>
      <c r="BB280" s="13"/>
      <c r="BC280" s="11" t="str">
        <f t="shared" si="16"/>
        <v>No</v>
      </c>
      <c r="BD280" s="22" t="str">
        <f t="shared" si="17"/>
        <v/>
      </c>
      <c r="BE280" s="11"/>
      <c r="BF280" s="11" t="str">
        <f t="shared" si="19"/>
        <v>No aplica</v>
      </c>
      <c r="BG280" s="12"/>
      <c r="BH280" s="68"/>
    </row>
    <row r="281" spans="1:60" ht="18" customHeight="1" x14ac:dyDescent="0.3">
      <c r="A281" s="150"/>
      <c r="B281" s="43"/>
      <c r="C281" s="12">
        <v>46300</v>
      </c>
      <c r="D281" s="20">
        <f t="shared" si="18"/>
        <v>0</v>
      </c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94"/>
      <c r="AD281" s="94"/>
      <c r="AE281" s="57"/>
      <c r="AF281" s="57"/>
      <c r="AG281" s="57"/>
      <c r="AH281" s="57"/>
      <c r="AI281" s="57"/>
      <c r="AJ281" s="57"/>
      <c r="AK281" s="19"/>
      <c r="AL281" s="19"/>
      <c r="AM281" s="20"/>
      <c r="AN281" s="20"/>
      <c r="AO281" s="19"/>
      <c r="AP281" s="19"/>
      <c r="AQ281" s="20"/>
      <c r="AR281" s="20"/>
      <c r="AS281" s="20"/>
      <c r="AT281" s="20"/>
      <c r="AU281" s="20"/>
      <c r="AV281" s="29"/>
      <c r="AW281" s="11"/>
      <c r="AX281" s="11"/>
      <c r="AY281" s="11"/>
      <c r="AZ281" s="11"/>
      <c r="BA281" s="11"/>
      <c r="BB281" s="13"/>
      <c r="BC281" s="11" t="str">
        <f t="shared" si="16"/>
        <v>No</v>
      </c>
      <c r="BD281" s="22" t="str">
        <f t="shared" si="17"/>
        <v/>
      </c>
      <c r="BE281" s="11"/>
      <c r="BF281" s="11" t="str">
        <f t="shared" si="19"/>
        <v>No aplica</v>
      </c>
      <c r="BG281" s="12"/>
      <c r="BH281" s="68"/>
    </row>
    <row r="282" spans="1:60" ht="18" customHeight="1" x14ac:dyDescent="0.3">
      <c r="A282" s="150"/>
      <c r="B282" s="43"/>
      <c r="C282" s="12">
        <v>46301</v>
      </c>
      <c r="D282" s="20">
        <f t="shared" si="18"/>
        <v>0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94"/>
      <c r="AD282" s="94"/>
      <c r="AE282" s="57"/>
      <c r="AF282" s="57"/>
      <c r="AG282" s="57"/>
      <c r="AH282" s="57"/>
      <c r="AI282" s="57"/>
      <c r="AJ282" s="57"/>
      <c r="AK282" s="19"/>
      <c r="AL282" s="19"/>
      <c r="AM282" s="19"/>
      <c r="AN282" s="19"/>
      <c r="AO282" s="20"/>
      <c r="AP282" s="20"/>
      <c r="AQ282" s="20"/>
      <c r="AR282" s="20"/>
      <c r="AS282" s="20"/>
      <c r="AT282" s="20"/>
      <c r="AU282" s="20"/>
      <c r="AV282" s="29"/>
      <c r="AW282" s="11"/>
      <c r="AX282" s="11"/>
      <c r="AY282" s="11"/>
      <c r="AZ282" s="11"/>
      <c r="BA282" s="11"/>
      <c r="BB282" s="13"/>
      <c r="BC282" s="11" t="str">
        <f t="shared" si="16"/>
        <v>No</v>
      </c>
      <c r="BD282" s="22" t="str">
        <f t="shared" si="17"/>
        <v/>
      </c>
      <c r="BE282" s="11"/>
      <c r="BF282" s="11" t="str">
        <f t="shared" si="19"/>
        <v>No aplica</v>
      </c>
      <c r="BG282" s="12"/>
      <c r="BH282" s="68"/>
    </row>
    <row r="283" spans="1:60" ht="18" customHeight="1" x14ac:dyDescent="0.3">
      <c r="A283" s="150"/>
      <c r="B283" s="43"/>
      <c r="C283" s="12">
        <v>46302</v>
      </c>
      <c r="D283" s="20">
        <f t="shared" si="18"/>
        <v>0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20"/>
      <c r="Z283" s="20"/>
      <c r="AA283" s="20"/>
      <c r="AB283" s="20"/>
      <c r="AC283" s="94"/>
      <c r="AD283" s="94"/>
      <c r="AE283" s="57"/>
      <c r="AF283" s="57"/>
      <c r="AG283" s="57"/>
      <c r="AH283" s="57"/>
      <c r="AI283" s="57"/>
      <c r="AJ283" s="57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9"/>
      <c r="AW283" s="11"/>
      <c r="AX283" s="11"/>
      <c r="AY283" s="11"/>
      <c r="AZ283" s="11"/>
      <c r="BA283" s="11"/>
      <c r="BB283" s="13"/>
      <c r="BC283" s="11" t="str">
        <f t="shared" si="16"/>
        <v>No</v>
      </c>
      <c r="BD283" s="22" t="str">
        <f t="shared" si="17"/>
        <v/>
      </c>
      <c r="BE283" s="11"/>
      <c r="BF283" s="11" t="str">
        <f t="shared" si="19"/>
        <v>No aplica</v>
      </c>
      <c r="BG283" s="12"/>
      <c r="BH283" s="68"/>
    </row>
    <row r="284" spans="1:60" ht="18" customHeight="1" x14ac:dyDescent="0.3">
      <c r="A284" s="150"/>
      <c r="B284" s="43"/>
      <c r="C284" s="12">
        <v>46303</v>
      </c>
      <c r="D284" s="20">
        <f t="shared" si="18"/>
        <v>0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20"/>
      <c r="Z284" s="20"/>
      <c r="AA284" s="20"/>
      <c r="AB284" s="20"/>
      <c r="AC284" s="94"/>
      <c r="AD284" s="94"/>
      <c r="AE284" s="57"/>
      <c r="AF284" s="57"/>
      <c r="AG284" s="57"/>
      <c r="AH284" s="57"/>
      <c r="AI284" s="57"/>
      <c r="AJ284" s="57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9"/>
      <c r="AW284" s="11"/>
      <c r="AX284" s="11"/>
      <c r="AY284" s="11"/>
      <c r="AZ284" s="11"/>
      <c r="BA284" s="11"/>
      <c r="BB284" s="13"/>
      <c r="BC284" s="11" t="str">
        <f t="shared" si="16"/>
        <v>No</v>
      </c>
      <c r="BD284" s="22" t="str">
        <f t="shared" si="17"/>
        <v/>
      </c>
      <c r="BE284" s="11"/>
      <c r="BF284" s="11" t="str">
        <f t="shared" si="19"/>
        <v>No aplica</v>
      </c>
      <c r="BG284" s="12"/>
      <c r="BH284" s="68"/>
    </row>
    <row r="285" spans="1:60" ht="18" customHeight="1" x14ac:dyDescent="0.3">
      <c r="A285" s="150"/>
      <c r="B285" s="43"/>
      <c r="C285" s="12">
        <v>46304</v>
      </c>
      <c r="D285" s="20">
        <f t="shared" si="18"/>
        <v>0</v>
      </c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20"/>
      <c r="Z285" s="20"/>
      <c r="AA285" s="20"/>
      <c r="AB285" s="20"/>
      <c r="AC285" s="94"/>
      <c r="AD285" s="94"/>
      <c r="AE285" s="57"/>
      <c r="AF285" s="57"/>
      <c r="AG285" s="57"/>
      <c r="AH285" s="57"/>
      <c r="AI285" s="57"/>
      <c r="AJ285" s="57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9"/>
      <c r="AW285" s="11"/>
      <c r="AX285" s="11"/>
      <c r="AY285" s="11"/>
      <c r="AZ285" s="11"/>
      <c r="BA285" s="11"/>
      <c r="BB285" s="13"/>
      <c r="BC285" s="11" t="str">
        <f t="shared" si="16"/>
        <v>No</v>
      </c>
      <c r="BD285" s="22" t="str">
        <f t="shared" si="17"/>
        <v/>
      </c>
      <c r="BE285" s="11"/>
      <c r="BF285" s="11" t="str">
        <f t="shared" si="19"/>
        <v>No aplica</v>
      </c>
      <c r="BG285" s="12"/>
      <c r="BH285" s="68"/>
    </row>
    <row r="286" spans="1:60" ht="18" customHeight="1" x14ac:dyDescent="0.3">
      <c r="A286" s="150"/>
      <c r="B286" s="43"/>
      <c r="C286" s="12">
        <v>46305</v>
      </c>
      <c r="D286" s="20">
        <f t="shared" si="18"/>
        <v>0</v>
      </c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20"/>
      <c r="Z286" s="20"/>
      <c r="AA286" s="20"/>
      <c r="AB286" s="20"/>
      <c r="AC286" s="94"/>
      <c r="AD286" s="94"/>
      <c r="AE286" s="57"/>
      <c r="AF286" s="57"/>
      <c r="AG286" s="57"/>
      <c r="AH286" s="57"/>
      <c r="AI286" s="57"/>
      <c r="AJ286" s="57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9"/>
      <c r="AW286" s="11"/>
      <c r="AX286" s="11"/>
      <c r="AY286" s="11"/>
      <c r="AZ286" s="11"/>
      <c r="BA286" s="11"/>
      <c r="BB286" s="13"/>
      <c r="BC286" s="11" t="str">
        <f t="shared" si="16"/>
        <v>No</v>
      </c>
      <c r="BD286" s="22" t="str">
        <f t="shared" si="17"/>
        <v/>
      </c>
      <c r="BE286" s="11"/>
      <c r="BF286" s="11" t="str">
        <f t="shared" si="19"/>
        <v>No aplica</v>
      </c>
      <c r="BG286" s="12"/>
      <c r="BH286" s="68"/>
    </row>
    <row r="287" spans="1:60" ht="18" customHeight="1" x14ac:dyDescent="0.3">
      <c r="A287" s="150"/>
      <c r="B287" s="43"/>
      <c r="C287" s="12">
        <v>46306</v>
      </c>
      <c r="D287" s="20">
        <f t="shared" si="18"/>
        <v>0</v>
      </c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20"/>
      <c r="Z287" s="20"/>
      <c r="AA287" s="20"/>
      <c r="AB287" s="20"/>
      <c r="AC287" s="94"/>
      <c r="AD287" s="94"/>
      <c r="AE287" s="57"/>
      <c r="AF287" s="57"/>
      <c r="AG287" s="57"/>
      <c r="AH287" s="57"/>
      <c r="AI287" s="57"/>
      <c r="AJ287" s="57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9"/>
      <c r="AW287" s="11"/>
      <c r="AX287" s="11"/>
      <c r="AY287" s="11"/>
      <c r="AZ287" s="11"/>
      <c r="BA287" s="11"/>
      <c r="BB287" s="13"/>
      <c r="BC287" s="11" t="str">
        <f t="shared" si="16"/>
        <v>No</v>
      </c>
      <c r="BD287" s="22" t="str">
        <f t="shared" si="17"/>
        <v/>
      </c>
      <c r="BE287" s="11"/>
      <c r="BF287" s="11" t="str">
        <f t="shared" si="19"/>
        <v>No aplica</v>
      </c>
      <c r="BG287" s="12"/>
      <c r="BH287" s="68"/>
    </row>
    <row r="288" spans="1:60" ht="18" customHeight="1" x14ac:dyDescent="0.3">
      <c r="A288" s="150"/>
      <c r="B288" s="43"/>
      <c r="C288" s="12">
        <v>46307</v>
      </c>
      <c r="D288" s="20">
        <f t="shared" si="18"/>
        <v>0</v>
      </c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20"/>
      <c r="Z288" s="20"/>
      <c r="AA288" s="20"/>
      <c r="AB288" s="20"/>
      <c r="AC288" s="94"/>
      <c r="AD288" s="94"/>
      <c r="AE288" s="57"/>
      <c r="AF288" s="57"/>
      <c r="AG288" s="57"/>
      <c r="AH288" s="57"/>
      <c r="AI288" s="57"/>
      <c r="AJ288" s="57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9"/>
      <c r="AW288" s="11"/>
      <c r="AX288" s="11"/>
      <c r="AY288" s="11"/>
      <c r="AZ288" s="11"/>
      <c r="BA288" s="11"/>
      <c r="BB288" s="13"/>
      <c r="BC288" s="11" t="str">
        <f t="shared" si="16"/>
        <v>No</v>
      </c>
      <c r="BD288" s="22" t="str">
        <f t="shared" si="17"/>
        <v/>
      </c>
      <c r="BE288" s="11"/>
      <c r="BF288" s="11" t="str">
        <f t="shared" si="19"/>
        <v>No aplica</v>
      </c>
      <c r="BG288" s="12"/>
      <c r="BH288" s="68"/>
    </row>
    <row r="289" spans="1:60" ht="18" customHeight="1" x14ac:dyDescent="0.3">
      <c r="A289" s="150"/>
      <c r="B289" s="43"/>
      <c r="C289" s="12">
        <v>46308</v>
      </c>
      <c r="D289" s="20">
        <f t="shared" si="18"/>
        <v>0</v>
      </c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19"/>
      <c r="P289" s="19"/>
      <c r="Q289" s="19"/>
      <c r="R289" s="19"/>
      <c r="S289" s="26"/>
      <c r="T289" s="26"/>
      <c r="U289" s="19"/>
      <c r="V289" s="19"/>
      <c r="W289" s="19"/>
      <c r="X289" s="19"/>
      <c r="Y289" s="20"/>
      <c r="Z289" s="20"/>
      <c r="AA289" s="26"/>
      <c r="AB289" s="26"/>
      <c r="AC289" s="95"/>
      <c r="AD289" s="95"/>
      <c r="AE289" s="58"/>
      <c r="AF289" s="58"/>
      <c r="AG289" s="58"/>
      <c r="AH289" s="58"/>
      <c r="AI289" s="58"/>
      <c r="AJ289" s="58"/>
      <c r="AK289" s="26"/>
      <c r="AL289" s="26"/>
      <c r="AM289" s="26"/>
      <c r="AN289" s="26"/>
      <c r="AO289" s="26"/>
      <c r="AP289" s="26"/>
      <c r="AQ289" s="20"/>
      <c r="AR289" s="20"/>
      <c r="AS289" s="20"/>
      <c r="AT289" s="20"/>
      <c r="AU289" s="20"/>
      <c r="AV289" s="29"/>
      <c r="AW289" s="11"/>
      <c r="AX289" s="11"/>
      <c r="AY289" s="11"/>
      <c r="AZ289" s="11"/>
      <c r="BA289" s="11"/>
      <c r="BB289" s="13"/>
      <c r="BC289" s="11" t="str">
        <f t="shared" si="16"/>
        <v>No</v>
      </c>
      <c r="BD289" s="22" t="str">
        <f t="shared" si="17"/>
        <v/>
      </c>
      <c r="BE289" s="11"/>
      <c r="BF289" s="11" t="str">
        <f t="shared" si="19"/>
        <v>No aplica</v>
      </c>
      <c r="BG289" s="12"/>
      <c r="BH289" s="68"/>
    </row>
    <row r="290" spans="1:60" ht="18" customHeight="1" x14ac:dyDescent="0.3">
      <c r="A290" s="150"/>
      <c r="B290" s="43"/>
      <c r="C290" s="12">
        <v>46309</v>
      </c>
      <c r="D290" s="20">
        <f t="shared" si="18"/>
        <v>12</v>
      </c>
      <c r="E290" s="111">
        <v>2</v>
      </c>
      <c r="F290" s="112">
        <v>4</v>
      </c>
      <c r="G290" s="111">
        <v>2</v>
      </c>
      <c r="H290" s="112">
        <v>4</v>
      </c>
      <c r="I290" s="111">
        <v>2</v>
      </c>
      <c r="J290" s="112">
        <v>4</v>
      </c>
      <c r="K290" s="20"/>
      <c r="L290" s="20"/>
      <c r="M290" s="20"/>
      <c r="N290" s="20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94"/>
      <c r="AD290" s="94"/>
      <c r="AE290" s="57"/>
      <c r="AF290" s="57"/>
      <c r="AG290" s="57"/>
      <c r="AH290" s="57"/>
      <c r="AI290" s="57"/>
      <c r="AJ290" s="57"/>
      <c r="AK290" s="19"/>
      <c r="AL290" s="19"/>
      <c r="AM290" s="19"/>
      <c r="AN290" s="19"/>
      <c r="AO290" s="19"/>
      <c r="AP290" s="19"/>
      <c r="AQ290" s="20"/>
      <c r="AR290" s="20"/>
      <c r="AS290" s="20"/>
      <c r="AT290" s="20"/>
      <c r="AU290" s="20"/>
      <c r="AV290" s="29"/>
      <c r="AW290" s="11"/>
      <c r="AX290" s="11"/>
      <c r="AY290" s="11"/>
      <c r="AZ290" s="11"/>
      <c r="BA290" s="11"/>
      <c r="BB290" s="13"/>
      <c r="BC290" s="11" t="str">
        <f t="shared" si="16"/>
        <v>Sí</v>
      </c>
      <c r="BD290" s="22" t="str">
        <f t="shared" si="17"/>
        <v>CPW02
, CPW01, CPW03</v>
      </c>
      <c r="BE290" s="11"/>
      <c r="BF290" s="11" t="str">
        <f t="shared" si="19"/>
        <v>Programado pendiente</v>
      </c>
      <c r="BG290" s="12"/>
      <c r="BH290" s="68"/>
    </row>
    <row r="291" spans="1:60" ht="18" customHeight="1" x14ac:dyDescent="0.3">
      <c r="A291" s="150"/>
      <c r="B291" s="43"/>
      <c r="C291" s="12">
        <v>46310</v>
      </c>
      <c r="D291" s="20">
        <f t="shared" si="18"/>
        <v>12</v>
      </c>
      <c r="E291" s="20"/>
      <c r="F291" s="20"/>
      <c r="G291" s="20"/>
      <c r="H291" s="20"/>
      <c r="I291" s="20"/>
      <c r="J291" s="20"/>
      <c r="K291" s="111">
        <v>2</v>
      </c>
      <c r="L291" s="112">
        <v>4</v>
      </c>
      <c r="M291" s="111">
        <v>2</v>
      </c>
      <c r="N291" s="112">
        <v>4</v>
      </c>
      <c r="O291" s="111">
        <v>2</v>
      </c>
      <c r="P291" s="112">
        <v>4</v>
      </c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94"/>
      <c r="AD291" s="94"/>
      <c r="AE291" s="57"/>
      <c r="AF291" s="57"/>
      <c r="AG291" s="57"/>
      <c r="AH291" s="57"/>
      <c r="AI291" s="57"/>
      <c r="AJ291" s="57"/>
      <c r="AK291" s="19"/>
      <c r="AL291" s="19"/>
      <c r="AM291" s="19"/>
      <c r="AN291" s="19"/>
      <c r="AO291" s="19"/>
      <c r="AP291" s="19"/>
      <c r="AQ291" s="20"/>
      <c r="AR291" s="20"/>
      <c r="AS291" s="20"/>
      <c r="AT291" s="20"/>
      <c r="AU291" s="20"/>
      <c r="AV291" s="29"/>
      <c r="AW291" s="11"/>
      <c r="AX291" s="11"/>
      <c r="AY291" s="11"/>
      <c r="AZ291" s="11"/>
      <c r="BA291" s="11"/>
      <c r="BB291" s="13"/>
      <c r="BC291" s="11" t="str">
        <f t="shared" si="16"/>
        <v>Sí</v>
      </c>
      <c r="BD291" s="22" t="str">
        <f t="shared" si="17"/>
        <v>CPW04
, CPW05, CPW06</v>
      </c>
      <c r="BE291" s="11"/>
      <c r="BF291" s="11" t="str">
        <f t="shared" si="19"/>
        <v>Programado pendiente</v>
      </c>
      <c r="BG291" s="12"/>
      <c r="BH291" s="68"/>
    </row>
    <row r="292" spans="1:60" ht="18" customHeight="1" x14ac:dyDescent="0.3">
      <c r="A292" s="150"/>
      <c r="B292" s="43"/>
      <c r="C292" s="12">
        <v>46311</v>
      </c>
      <c r="D292" s="20">
        <f t="shared" si="18"/>
        <v>4</v>
      </c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19"/>
      <c r="P292" s="19"/>
      <c r="Q292" s="111">
        <v>2</v>
      </c>
      <c r="R292" s="112">
        <v>4</v>
      </c>
      <c r="S292" s="111">
        <v>2</v>
      </c>
      <c r="T292" s="112">
        <v>4</v>
      </c>
      <c r="U292" s="111">
        <v>2</v>
      </c>
      <c r="V292" s="112">
        <v>4</v>
      </c>
      <c r="W292" s="19"/>
      <c r="X292" s="19"/>
      <c r="Y292" s="19"/>
      <c r="Z292" s="19"/>
      <c r="AA292" s="19"/>
      <c r="AB292" s="19"/>
      <c r="AC292" s="94"/>
      <c r="AD292" s="94"/>
      <c r="AE292" s="57"/>
      <c r="AF292" s="57"/>
      <c r="AG292" s="57"/>
      <c r="AH292" s="57"/>
      <c r="AI292" s="57"/>
      <c r="AJ292" s="57"/>
      <c r="AK292" s="19"/>
      <c r="AL292" s="19"/>
      <c r="AM292" s="19"/>
      <c r="AN292" s="19"/>
      <c r="AO292" s="19"/>
      <c r="AP292" s="19"/>
      <c r="AQ292" s="20"/>
      <c r="AR292" s="20"/>
      <c r="AS292" s="20"/>
      <c r="AT292" s="20"/>
      <c r="AU292" s="20"/>
      <c r="AV292" s="29"/>
      <c r="AW292" s="11"/>
      <c r="AX292" s="11"/>
      <c r="AY292" s="11"/>
      <c r="AZ292" s="11"/>
      <c r="BA292" s="11"/>
      <c r="BB292" s="13"/>
      <c r="BC292" s="11" t="str">
        <f t="shared" ref="BC292:BC319" si="20">IF(SUM(E292,G292,I292,K292,M292,O292,Q292,S292,U292,W292,Y292,AA292,AC292,AE292,AG292,AI292,AK292,AM292,AO292,AQ292,AU292)&gt;0,"Sí","No")</f>
        <v>Sí</v>
      </c>
      <c r="BD292" s="22" t="str">
        <f t="shared" ref="BD292:BD319" si="21">IF($BC292="Sí",_xlfn.TEXTJOIN(", ",TRUE,IF(N(E292)&gt;0,E$3,""),IF(N(G292)&gt;0,G$3,""),IF(N(I292)&gt;0,I$3,""),IF(N(K292)&gt;0,K$3,""),IF(N(M292)&gt;0,M$3,""),IF(N(O292)&gt;0,O$3,""),IF(N(Q292)&gt;0,Q$3,""),IF(N(S292)&gt;0,S$3,""),IF(N(U292)&gt;0,U$3,""),IF(N(W292)&gt;0,W$3,""),IF(N(Y292)&gt;0,Y$3,""),IF(N(AA292)&gt;0,AA$3,""),IF(N(AC292)&gt;0,AC$3,""),IF(N(AE292)&gt;0,AE$3,""),IF(N(AG292)&gt;0,AG$3,""),IF(N(AI292)&gt;0,AI$3,""),IF(N(AK292)&gt;0,AK$3,""),IF(N(AM292)&gt;0,AM$3,""),IF(N(AO292)&gt;0,AO$3,""),IF(N(AQ292)&gt;0,AQ$3,""),IF(N(AU292)&gt;0,AU$3,"")),"")</f>
        <v>CPW07, CPW 10, CPW11</v>
      </c>
      <c r="BE292" s="11"/>
      <c r="BF292" s="11" t="str">
        <f t="shared" si="19"/>
        <v>Programado pendiente</v>
      </c>
      <c r="BG292" s="12"/>
      <c r="BH292" s="68"/>
    </row>
    <row r="293" spans="1:60" ht="18" customHeight="1" x14ac:dyDescent="0.3">
      <c r="A293" s="150"/>
      <c r="B293" s="43"/>
      <c r="C293" s="12">
        <v>46312</v>
      </c>
      <c r="D293" s="20">
        <f t="shared" si="18"/>
        <v>8</v>
      </c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19"/>
      <c r="P293" s="19"/>
      <c r="Q293" s="19"/>
      <c r="R293" s="19"/>
      <c r="S293" s="19"/>
      <c r="T293" s="19"/>
      <c r="U293" s="19"/>
      <c r="V293" s="19"/>
      <c r="W293" s="111">
        <v>2</v>
      </c>
      <c r="X293" s="112">
        <v>4</v>
      </c>
      <c r="Y293" s="111">
        <v>2</v>
      </c>
      <c r="Z293" s="112">
        <v>4</v>
      </c>
      <c r="AA293" s="111">
        <v>2</v>
      </c>
      <c r="AB293" s="112">
        <v>4</v>
      </c>
      <c r="AC293" s="94"/>
      <c r="AD293" s="94"/>
      <c r="AE293" s="57"/>
      <c r="AF293" s="57"/>
      <c r="AG293" s="57"/>
      <c r="AH293" s="57"/>
      <c r="AI293" s="57"/>
      <c r="AJ293" s="57"/>
      <c r="AK293" s="19"/>
      <c r="AL293" s="19"/>
      <c r="AM293" s="19"/>
      <c r="AN293" s="19"/>
      <c r="AO293" s="19"/>
      <c r="AP293" s="19"/>
      <c r="AQ293" s="20"/>
      <c r="AR293" s="20"/>
      <c r="AS293" s="20"/>
      <c r="AT293" s="20"/>
      <c r="AU293" s="20"/>
      <c r="AV293" s="29"/>
      <c r="AW293" s="11"/>
      <c r="AX293" s="11"/>
      <c r="AY293" s="11"/>
      <c r="AZ293" s="11"/>
      <c r="BA293" s="11"/>
      <c r="BB293" s="13"/>
      <c r="BC293" s="11" t="str">
        <f t="shared" si="20"/>
        <v>Sí</v>
      </c>
      <c r="BD293" s="22" t="str">
        <f t="shared" si="21"/>
        <v>CPW12, JINAN 01, JINAN 02</v>
      </c>
      <c r="BE293" s="11"/>
      <c r="BF293" s="11" t="str">
        <f t="shared" si="19"/>
        <v>Programado pendiente</v>
      </c>
      <c r="BG293" s="12"/>
      <c r="BH293" s="68"/>
    </row>
    <row r="294" spans="1:60" ht="18" customHeight="1" x14ac:dyDescent="0.3">
      <c r="A294" s="150"/>
      <c r="B294" s="43"/>
      <c r="C294" s="12">
        <v>46313</v>
      </c>
      <c r="D294" s="20">
        <f t="shared" si="18"/>
        <v>0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94"/>
      <c r="AD294" s="94"/>
      <c r="AE294" s="57"/>
      <c r="AF294" s="57"/>
      <c r="AG294" s="57"/>
      <c r="AH294" s="57"/>
      <c r="AI294" s="57"/>
      <c r="AJ294" s="57"/>
      <c r="AK294" s="19"/>
      <c r="AL294" s="19"/>
      <c r="AM294" s="19"/>
      <c r="AN294" s="19"/>
      <c r="AO294" s="19"/>
      <c r="AP294" s="19"/>
      <c r="AQ294" s="20"/>
      <c r="AR294" s="20"/>
      <c r="AS294" s="20"/>
      <c r="AT294" s="20"/>
      <c r="AU294" s="20"/>
      <c r="AV294" s="29"/>
      <c r="AW294" s="11"/>
      <c r="AX294" s="11"/>
      <c r="AY294" s="11"/>
      <c r="AZ294" s="11"/>
      <c r="BA294" s="11"/>
      <c r="BB294" s="13"/>
      <c r="BC294" s="11" t="str">
        <f t="shared" si="20"/>
        <v>No</v>
      </c>
      <c r="BD294" s="22" t="str">
        <f t="shared" si="21"/>
        <v/>
      </c>
      <c r="BE294" s="11" t="s">
        <v>84</v>
      </c>
      <c r="BF294" s="11" t="str">
        <f t="shared" si="19"/>
        <v>No aplica</v>
      </c>
      <c r="BG294" s="12"/>
      <c r="BH294" s="68"/>
    </row>
    <row r="295" spans="1:60" ht="18" customHeight="1" x14ac:dyDescent="0.3">
      <c r="A295" s="150"/>
      <c r="B295" s="43"/>
      <c r="C295" s="12">
        <v>46314</v>
      </c>
      <c r="D295" s="20">
        <f t="shared" si="18"/>
        <v>0</v>
      </c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94"/>
      <c r="AD295" s="94"/>
      <c r="AE295" s="57"/>
      <c r="AF295" s="57"/>
      <c r="AG295" s="57"/>
      <c r="AH295" s="57"/>
      <c r="AI295" s="57"/>
      <c r="AJ295" s="57"/>
      <c r="AK295" s="20"/>
      <c r="AL295" s="20"/>
      <c r="AM295" s="19"/>
      <c r="AN295" s="19"/>
      <c r="AO295" s="19"/>
      <c r="AP295" s="19"/>
      <c r="AQ295" s="20"/>
      <c r="AR295" s="20"/>
      <c r="AS295" s="20"/>
      <c r="AT295" s="20"/>
      <c r="AU295" s="20"/>
      <c r="AV295" s="29"/>
      <c r="AW295" s="11"/>
      <c r="AX295" s="11"/>
      <c r="AY295" s="11"/>
      <c r="AZ295" s="11"/>
      <c r="BA295" s="11"/>
      <c r="BB295" s="13"/>
      <c r="BC295" s="11" t="str">
        <f t="shared" si="20"/>
        <v>No</v>
      </c>
      <c r="BD295" s="22" t="str">
        <f t="shared" si="21"/>
        <v/>
      </c>
      <c r="BE295" s="11"/>
      <c r="BF295" s="11" t="str">
        <f t="shared" si="19"/>
        <v>No aplica</v>
      </c>
      <c r="BG295" s="12"/>
      <c r="BH295" s="68"/>
    </row>
    <row r="296" spans="1:60" ht="18" customHeight="1" x14ac:dyDescent="0.3">
      <c r="A296" s="150"/>
      <c r="B296" s="43"/>
      <c r="C296" s="12">
        <v>46315</v>
      </c>
      <c r="D296" s="20">
        <f t="shared" si="18"/>
        <v>0</v>
      </c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94"/>
      <c r="AD296" s="94"/>
      <c r="AE296" s="57"/>
      <c r="AF296" s="57"/>
      <c r="AG296" s="57"/>
      <c r="AH296" s="57"/>
      <c r="AI296" s="57"/>
      <c r="AJ296" s="57"/>
      <c r="AK296" s="19"/>
      <c r="AL296" s="19"/>
      <c r="AM296" s="20"/>
      <c r="AN296" s="20"/>
      <c r="AO296" s="19"/>
      <c r="AP296" s="19"/>
      <c r="AQ296" s="20"/>
      <c r="AR296" s="20"/>
      <c r="AS296" s="20"/>
      <c r="AT296" s="20"/>
      <c r="AU296" s="20"/>
      <c r="AV296" s="29"/>
      <c r="AW296" s="11"/>
      <c r="AX296" s="11"/>
      <c r="AY296" s="11"/>
      <c r="AZ296" s="11"/>
      <c r="BA296" s="11"/>
      <c r="BB296" s="13"/>
      <c r="BC296" s="11" t="str">
        <f t="shared" si="20"/>
        <v>No</v>
      </c>
      <c r="BD296" s="22" t="str">
        <f t="shared" si="21"/>
        <v/>
      </c>
      <c r="BE296" s="11"/>
      <c r="BF296" s="11" t="str">
        <f t="shared" si="19"/>
        <v>No aplica</v>
      </c>
      <c r="BG296" s="12"/>
      <c r="BH296" s="68"/>
    </row>
    <row r="297" spans="1:60" ht="18" customHeight="1" x14ac:dyDescent="0.3">
      <c r="A297" s="150"/>
      <c r="B297" s="43"/>
      <c r="C297" s="12">
        <v>46316</v>
      </c>
      <c r="D297" s="20">
        <f t="shared" si="18"/>
        <v>0</v>
      </c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94"/>
      <c r="AD297" s="94"/>
      <c r="AE297" s="57"/>
      <c r="AF297" s="57"/>
      <c r="AG297" s="57"/>
      <c r="AH297" s="57"/>
      <c r="AI297" s="57"/>
      <c r="AJ297" s="57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  <c r="AV297" s="29"/>
      <c r="AW297" s="11"/>
      <c r="AX297" s="11"/>
      <c r="AY297" s="11"/>
      <c r="AZ297" s="11"/>
      <c r="BA297" s="11"/>
      <c r="BB297" s="13"/>
      <c r="BC297" s="11" t="str">
        <f t="shared" si="20"/>
        <v>No</v>
      </c>
      <c r="BD297" s="22" t="str">
        <f t="shared" si="21"/>
        <v/>
      </c>
      <c r="BE297" s="11"/>
      <c r="BF297" s="11" t="str">
        <f t="shared" si="19"/>
        <v>No aplica</v>
      </c>
      <c r="BG297" s="12"/>
      <c r="BH297" s="68"/>
    </row>
    <row r="298" spans="1:60" ht="18" customHeight="1" x14ac:dyDescent="0.3">
      <c r="A298" s="150"/>
      <c r="B298" s="43"/>
      <c r="C298" s="12">
        <v>46317</v>
      </c>
      <c r="D298" s="20">
        <f t="shared" si="18"/>
        <v>0</v>
      </c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20"/>
      <c r="Z298" s="20"/>
      <c r="AA298" s="20"/>
      <c r="AB298" s="20"/>
      <c r="AC298" s="94"/>
      <c r="AD298" s="94"/>
      <c r="AE298" s="57"/>
      <c r="AF298" s="57"/>
      <c r="AG298" s="57"/>
      <c r="AH298" s="57"/>
      <c r="AI298" s="57"/>
      <c r="AJ298" s="57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9"/>
      <c r="AW298" s="11"/>
      <c r="AX298" s="11"/>
      <c r="AY298" s="11"/>
      <c r="AZ298" s="11"/>
      <c r="BA298" s="11"/>
      <c r="BB298" s="13"/>
      <c r="BC298" s="11" t="str">
        <f t="shared" si="20"/>
        <v>No</v>
      </c>
      <c r="BD298" s="22" t="str">
        <f t="shared" si="21"/>
        <v/>
      </c>
      <c r="BE298" s="11"/>
      <c r="BF298" s="11" t="str">
        <f t="shared" si="19"/>
        <v>No aplica</v>
      </c>
      <c r="BG298" s="12"/>
      <c r="BH298" s="68"/>
    </row>
    <row r="299" spans="1:60" ht="18" customHeight="1" x14ac:dyDescent="0.3">
      <c r="A299" s="150"/>
      <c r="B299" s="43"/>
      <c r="C299" s="12">
        <v>46318</v>
      </c>
      <c r="D299" s="20">
        <f t="shared" si="18"/>
        <v>0</v>
      </c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20"/>
      <c r="Z299" s="20"/>
      <c r="AA299" s="20"/>
      <c r="AB299" s="20"/>
      <c r="AC299" s="94"/>
      <c r="AD299" s="94"/>
      <c r="AE299" s="57"/>
      <c r="AF299" s="57"/>
      <c r="AG299" s="57"/>
      <c r="AH299" s="57"/>
      <c r="AI299" s="57"/>
      <c r="AJ299" s="57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9"/>
      <c r="AW299" s="11"/>
      <c r="AX299" s="11"/>
      <c r="AY299" s="11"/>
      <c r="AZ299" s="11"/>
      <c r="BA299" s="11"/>
      <c r="BB299" s="13"/>
      <c r="BC299" s="11" t="str">
        <f t="shared" si="20"/>
        <v>No</v>
      </c>
      <c r="BD299" s="22" t="str">
        <f t="shared" si="21"/>
        <v/>
      </c>
      <c r="BE299" s="11"/>
      <c r="BF299" s="11" t="str">
        <f t="shared" si="19"/>
        <v>No aplica</v>
      </c>
      <c r="BG299" s="12"/>
      <c r="BH299" s="68"/>
    </row>
    <row r="300" spans="1:60" ht="18" customHeight="1" x14ac:dyDescent="0.3">
      <c r="A300" s="150"/>
      <c r="B300" s="43"/>
      <c r="C300" s="12">
        <v>46319</v>
      </c>
      <c r="D300" s="20">
        <f t="shared" si="18"/>
        <v>0</v>
      </c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20"/>
      <c r="Z300" s="20"/>
      <c r="AA300" s="20"/>
      <c r="AB300" s="20"/>
      <c r="AC300" s="94"/>
      <c r="AD300" s="94"/>
      <c r="AE300" s="57"/>
      <c r="AF300" s="57"/>
      <c r="AG300" s="57"/>
      <c r="AH300" s="57"/>
      <c r="AI300" s="57"/>
      <c r="AJ300" s="57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9"/>
      <c r="AW300" s="11"/>
      <c r="AX300" s="11"/>
      <c r="AY300" s="11"/>
      <c r="AZ300" s="11"/>
      <c r="BA300" s="11"/>
      <c r="BB300" s="13"/>
      <c r="BC300" s="11" t="str">
        <f t="shared" si="20"/>
        <v>No</v>
      </c>
      <c r="BD300" s="22" t="str">
        <f t="shared" si="21"/>
        <v/>
      </c>
      <c r="BE300" s="11"/>
      <c r="BF300" s="11" t="str">
        <f t="shared" si="19"/>
        <v>No aplica</v>
      </c>
      <c r="BG300" s="12"/>
      <c r="BH300" s="68"/>
    </row>
    <row r="301" spans="1:60" ht="18" customHeight="1" x14ac:dyDescent="0.3">
      <c r="A301" s="150"/>
      <c r="B301" s="43"/>
      <c r="C301" s="12">
        <v>46320</v>
      </c>
      <c r="D301" s="20">
        <f t="shared" si="18"/>
        <v>0</v>
      </c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20"/>
      <c r="Z301" s="20"/>
      <c r="AA301" s="20"/>
      <c r="AB301" s="20"/>
      <c r="AC301" s="94"/>
      <c r="AD301" s="94"/>
      <c r="AE301" s="57"/>
      <c r="AF301" s="57"/>
      <c r="AG301" s="57"/>
      <c r="AH301" s="57"/>
      <c r="AI301" s="57"/>
      <c r="AJ301" s="57"/>
      <c r="AK301" s="20"/>
      <c r="AL301" s="20"/>
      <c r="AM301" s="20"/>
      <c r="AN301" s="20"/>
      <c r="AO301" s="20"/>
      <c r="AP301" s="20"/>
      <c r="AQ301" s="20"/>
      <c r="AR301" s="20"/>
      <c r="AS301" s="62">
        <v>4</v>
      </c>
      <c r="AT301" s="63">
        <v>8</v>
      </c>
      <c r="AU301" s="20"/>
      <c r="AV301" s="29"/>
      <c r="AW301" s="11"/>
      <c r="AX301" s="11"/>
      <c r="AY301" s="11"/>
      <c r="AZ301" s="11"/>
      <c r="BA301" s="11"/>
      <c r="BB301" s="13"/>
      <c r="BC301" s="11" t="str">
        <f t="shared" si="20"/>
        <v>No</v>
      </c>
      <c r="BD301" s="22" t="str">
        <f t="shared" si="21"/>
        <v/>
      </c>
      <c r="BE301" s="11"/>
      <c r="BF301" s="11" t="str">
        <f t="shared" si="19"/>
        <v>No aplica</v>
      </c>
      <c r="BG301" s="12"/>
      <c r="BH301" s="68"/>
    </row>
    <row r="302" spans="1:60" ht="18" customHeight="1" x14ac:dyDescent="0.3">
      <c r="A302" s="150"/>
      <c r="B302" s="43"/>
      <c r="C302" s="12">
        <v>46321</v>
      </c>
      <c r="D302" s="20">
        <f t="shared" si="18"/>
        <v>0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20"/>
      <c r="Z302" s="20"/>
      <c r="AA302" s="20"/>
      <c r="AB302" s="20"/>
      <c r="AC302" s="94"/>
      <c r="AD302" s="94"/>
      <c r="AE302" s="57"/>
      <c r="AF302" s="57"/>
      <c r="AG302" s="57"/>
      <c r="AH302" s="57"/>
      <c r="AI302" s="57"/>
      <c r="AJ302" s="57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62">
        <v>4</v>
      </c>
      <c r="AV302" s="63">
        <v>8</v>
      </c>
      <c r="AW302" s="11"/>
      <c r="AX302" s="11"/>
      <c r="AY302" s="11"/>
      <c r="AZ302" s="11"/>
      <c r="BA302" s="11"/>
      <c r="BB302" s="13"/>
      <c r="BC302" s="11" t="str">
        <f t="shared" si="20"/>
        <v>Sí</v>
      </c>
      <c r="BD302" s="22" t="str">
        <f t="shared" si="21"/>
        <v>CYC</v>
      </c>
      <c r="BE302" s="11"/>
      <c r="BF302" s="11" t="str">
        <f t="shared" si="19"/>
        <v>Programado pendiente</v>
      </c>
      <c r="BG302" s="12"/>
      <c r="BH302" s="68"/>
    </row>
    <row r="303" spans="1:60" ht="18" customHeight="1" x14ac:dyDescent="0.3">
      <c r="A303" s="150"/>
      <c r="B303" s="43"/>
      <c r="C303" s="12">
        <v>46322</v>
      </c>
      <c r="D303" s="20">
        <f t="shared" si="18"/>
        <v>0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20"/>
      <c r="Z303" s="20"/>
      <c r="AA303" s="20"/>
      <c r="AB303" s="20"/>
      <c r="AC303" s="94"/>
      <c r="AD303" s="94"/>
      <c r="AE303" s="57"/>
      <c r="AF303" s="57"/>
      <c r="AG303" s="57"/>
      <c r="AH303" s="57"/>
      <c r="AI303" s="57"/>
      <c r="AJ303" s="57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9"/>
      <c r="AW303" s="11"/>
      <c r="AX303" s="11"/>
      <c r="AY303" s="11"/>
      <c r="AZ303" s="11"/>
      <c r="BA303" s="11"/>
      <c r="BB303" s="13"/>
      <c r="BC303" s="11" t="str">
        <f t="shared" si="20"/>
        <v>No</v>
      </c>
      <c r="BD303" s="22" t="str">
        <f t="shared" si="21"/>
        <v/>
      </c>
      <c r="BE303" s="11"/>
      <c r="BF303" s="11" t="str">
        <f t="shared" si="19"/>
        <v>No aplica</v>
      </c>
      <c r="BG303" s="12"/>
      <c r="BH303" s="68"/>
    </row>
    <row r="304" spans="1:60" ht="18" customHeight="1" x14ac:dyDescent="0.3">
      <c r="A304" s="150"/>
      <c r="B304" s="43"/>
      <c r="C304" s="12">
        <v>46323</v>
      </c>
      <c r="D304" s="20">
        <f t="shared" si="18"/>
        <v>0</v>
      </c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19"/>
      <c r="P304" s="19"/>
      <c r="Q304" s="19"/>
      <c r="R304" s="19"/>
      <c r="S304" s="26"/>
      <c r="T304" s="26"/>
      <c r="U304" s="19"/>
      <c r="V304" s="19"/>
      <c r="W304" s="19"/>
      <c r="X304" s="19"/>
      <c r="Y304" s="20"/>
      <c r="Z304" s="20"/>
      <c r="AA304" s="26"/>
      <c r="AB304" s="26"/>
      <c r="AC304" s="95"/>
      <c r="AD304" s="95"/>
      <c r="AE304" s="58"/>
      <c r="AF304" s="58"/>
      <c r="AG304" s="58"/>
      <c r="AH304" s="58"/>
      <c r="AI304" s="58"/>
      <c r="AJ304" s="58"/>
      <c r="AK304" s="26"/>
      <c r="AL304" s="26"/>
      <c r="AM304" s="26"/>
      <c r="AN304" s="26"/>
      <c r="AO304" s="26"/>
      <c r="AP304" s="26"/>
      <c r="AQ304" s="20"/>
      <c r="AR304" s="20"/>
      <c r="AS304" s="20"/>
      <c r="AT304" s="20"/>
      <c r="AU304" s="20"/>
      <c r="AV304" s="29"/>
      <c r="AW304" s="11"/>
      <c r="AX304" s="11"/>
      <c r="AY304" s="11"/>
      <c r="AZ304" s="11"/>
      <c r="BA304" s="11"/>
      <c r="BB304" s="13"/>
      <c r="BC304" s="11" t="str">
        <f t="shared" si="20"/>
        <v>No</v>
      </c>
      <c r="BD304" s="22" t="str">
        <f t="shared" si="21"/>
        <v/>
      </c>
      <c r="BE304" s="11"/>
      <c r="BF304" s="11" t="str">
        <f t="shared" si="19"/>
        <v>No aplica</v>
      </c>
      <c r="BG304" s="12"/>
      <c r="BH304" s="68"/>
    </row>
    <row r="305" spans="1:60" ht="18" customHeight="1" x14ac:dyDescent="0.3">
      <c r="A305" s="150"/>
      <c r="B305" s="43"/>
      <c r="C305" s="12">
        <v>46324</v>
      </c>
      <c r="D305" s="20">
        <f t="shared" si="18"/>
        <v>0</v>
      </c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20"/>
      <c r="AB305" s="20"/>
      <c r="AC305" s="94"/>
      <c r="AD305" s="94"/>
      <c r="AE305" s="57"/>
      <c r="AF305" s="57"/>
      <c r="AG305" s="57"/>
      <c r="AH305" s="57"/>
      <c r="AI305" s="57"/>
      <c r="AJ305" s="57"/>
      <c r="AK305" s="19"/>
      <c r="AL305" s="19"/>
      <c r="AM305" s="19"/>
      <c r="AN305" s="19"/>
      <c r="AO305" s="19"/>
      <c r="AP305" s="19"/>
      <c r="AQ305" s="20"/>
      <c r="AR305" s="20"/>
      <c r="AS305" s="20"/>
      <c r="AT305" s="20"/>
      <c r="AU305" s="20"/>
      <c r="AV305" s="29"/>
      <c r="AW305" s="11"/>
      <c r="AX305" s="11"/>
      <c r="AY305" s="11"/>
      <c r="AZ305" s="11"/>
      <c r="BA305" s="11"/>
      <c r="BB305" s="13"/>
      <c r="BC305" s="11" t="str">
        <f t="shared" si="20"/>
        <v>No</v>
      </c>
      <c r="BD305" s="22" t="str">
        <f t="shared" si="21"/>
        <v/>
      </c>
      <c r="BE305" s="11"/>
      <c r="BF305" s="11" t="str">
        <f t="shared" si="19"/>
        <v>No aplica</v>
      </c>
      <c r="BG305" s="12"/>
      <c r="BH305" s="68"/>
    </row>
    <row r="306" spans="1:60" ht="18" customHeight="1" x14ac:dyDescent="0.3">
      <c r="A306" s="150"/>
      <c r="B306" s="43"/>
      <c r="C306" s="12">
        <v>46325</v>
      </c>
      <c r="D306" s="20">
        <f t="shared" si="18"/>
        <v>0</v>
      </c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19"/>
      <c r="P306" s="19"/>
      <c r="Q306" s="19"/>
      <c r="R306" s="19"/>
      <c r="S306" s="20"/>
      <c r="T306" s="20"/>
      <c r="U306" s="19"/>
      <c r="V306" s="19"/>
      <c r="W306" s="19"/>
      <c r="X306" s="19"/>
      <c r="Y306" s="19"/>
      <c r="Z306" s="19"/>
      <c r="AA306" s="19"/>
      <c r="AB306" s="19"/>
      <c r="AC306" s="94"/>
      <c r="AD306" s="94"/>
      <c r="AE306" s="57"/>
      <c r="AF306" s="57"/>
      <c r="AG306" s="57"/>
      <c r="AH306" s="57"/>
      <c r="AI306" s="57"/>
      <c r="AJ306" s="57"/>
      <c r="AK306" s="19"/>
      <c r="AL306" s="19"/>
      <c r="AM306" s="19"/>
      <c r="AN306" s="19"/>
      <c r="AO306" s="19"/>
      <c r="AP306" s="19"/>
      <c r="AQ306" s="20"/>
      <c r="AR306" s="20"/>
      <c r="AS306" s="20"/>
      <c r="AT306" s="20"/>
      <c r="AU306" s="20"/>
      <c r="AV306" s="29"/>
      <c r="AW306" s="11"/>
      <c r="AX306" s="11"/>
      <c r="AY306" s="11"/>
      <c r="AZ306" s="11"/>
      <c r="BA306" s="11"/>
      <c r="BB306" s="13"/>
      <c r="BC306" s="11" t="str">
        <f t="shared" si="20"/>
        <v>No</v>
      </c>
      <c r="BD306" s="22" t="str">
        <f t="shared" si="21"/>
        <v/>
      </c>
      <c r="BE306" s="11"/>
      <c r="BF306" s="11" t="str">
        <f t="shared" si="19"/>
        <v>No aplica</v>
      </c>
      <c r="BG306" s="12"/>
      <c r="BH306" s="68"/>
    </row>
    <row r="307" spans="1:60" ht="18" customHeight="1" thickBot="1" x14ac:dyDescent="0.35">
      <c r="A307" s="151"/>
      <c r="B307" s="44"/>
      <c r="C307" s="30">
        <v>46326</v>
      </c>
      <c r="D307" s="31">
        <f t="shared" si="18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96"/>
      <c r="AD307" s="96"/>
      <c r="AE307" s="61"/>
      <c r="AF307" s="61"/>
      <c r="AG307" s="61"/>
      <c r="AH307" s="61"/>
      <c r="AI307" s="61"/>
      <c r="AJ307" s="61"/>
      <c r="AK307" s="32"/>
      <c r="AL307" s="32"/>
      <c r="AM307" s="32"/>
      <c r="AN307" s="32"/>
      <c r="AO307" s="32"/>
      <c r="AP307" s="32"/>
      <c r="AQ307" s="31"/>
      <c r="AR307" s="31"/>
      <c r="AS307" s="31"/>
      <c r="AT307" s="31"/>
      <c r="AU307" s="31"/>
      <c r="AV307" s="33"/>
      <c r="AW307" s="70"/>
      <c r="AX307" s="70"/>
      <c r="AY307" s="70"/>
      <c r="AZ307" s="70"/>
      <c r="BA307" s="70"/>
      <c r="BB307" s="71"/>
      <c r="BC307" s="70" t="str">
        <f t="shared" si="20"/>
        <v>No</v>
      </c>
      <c r="BD307" s="72" t="str">
        <f t="shared" si="21"/>
        <v/>
      </c>
      <c r="BE307" s="70"/>
      <c r="BF307" s="70" t="str">
        <f t="shared" si="19"/>
        <v>No aplica</v>
      </c>
      <c r="BG307" s="30"/>
      <c r="BH307" s="73"/>
    </row>
    <row r="308" spans="1:60" ht="18" customHeight="1" x14ac:dyDescent="0.3">
      <c r="A308" s="148" t="s">
        <v>67</v>
      </c>
      <c r="B308" s="42"/>
      <c r="C308" s="15">
        <v>46327</v>
      </c>
      <c r="D308" s="27">
        <f t="shared" si="18"/>
        <v>0</v>
      </c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93"/>
      <c r="AD308" s="93"/>
      <c r="AE308" s="60"/>
      <c r="AF308" s="60"/>
      <c r="AG308" s="60"/>
      <c r="AH308" s="60"/>
      <c r="AI308" s="60"/>
      <c r="AJ308" s="60"/>
      <c r="AK308" s="18"/>
      <c r="AL308" s="18"/>
      <c r="AM308" s="18"/>
      <c r="AN308" s="18"/>
      <c r="AO308" s="18"/>
      <c r="AP308" s="18"/>
      <c r="AQ308" s="27"/>
      <c r="AR308" s="27"/>
      <c r="AS308" s="27"/>
      <c r="AT308" s="27"/>
      <c r="AU308" s="27"/>
      <c r="AV308" s="28"/>
      <c r="AW308" s="14"/>
      <c r="AX308" s="14"/>
      <c r="AY308" s="14"/>
      <c r="AZ308" s="14"/>
      <c r="BA308" s="14"/>
      <c r="BB308" s="65"/>
      <c r="BC308" s="14" t="str">
        <f t="shared" si="20"/>
        <v>No</v>
      </c>
      <c r="BD308" s="21" t="str">
        <f t="shared" si="21"/>
        <v/>
      </c>
      <c r="BE308" s="14"/>
      <c r="BF308" s="14" t="str">
        <f t="shared" si="19"/>
        <v>No aplica</v>
      </c>
      <c r="BG308" s="15"/>
      <c r="BH308" s="66"/>
    </row>
    <row r="309" spans="1:60" ht="18" customHeight="1" x14ac:dyDescent="0.3">
      <c r="A309" s="150"/>
      <c r="B309" s="43"/>
      <c r="C309" s="12">
        <v>46328</v>
      </c>
      <c r="D309" s="20">
        <f t="shared" si="18"/>
        <v>0</v>
      </c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94"/>
      <c r="AD309" s="94"/>
      <c r="AE309" s="57"/>
      <c r="AF309" s="57"/>
      <c r="AG309" s="57"/>
      <c r="AH309" s="57"/>
      <c r="AI309" s="57"/>
      <c r="AJ309" s="57"/>
      <c r="AK309" s="19"/>
      <c r="AL309" s="19"/>
      <c r="AM309" s="19"/>
      <c r="AN309" s="19"/>
      <c r="AO309" s="19"/>
      <c r="AP309" s="19"/>
      <c r="AQ309" s="20"/>
      <c r="AR309" s="20"/>
      <c r="AS309" s="20"/>
      <c r="AT309" s="20"/>
      <c r="AU309" s="20"/>
      <c r="AV309" s="29"/>
      <c r="AW309" s="11"/>
      <c r="AX309" s="11"/>
      <c r="AY309" s="11"/>
      <c r="AZ309" s="11"/>
      <c r="BA309" s="11"/>
      <c r="BB309" s="13"/>
      <c r="BC309" s="11" t="str">
        <f t="shared" si="20"/>
        <v>No</v>
      </c>
      <c r="BD309" s="22" t="str">
        <f t="shared" si="21"/>
        <v/>
      </c>
      <c r="BE309" s="11" t="s">
        <v>84</v>
      </c>
      <c r="BF309" s="11" t="str">
        <f t="shared" si="19"/>
        <v>No aplica</v>
      </c>
      <c r="BG309" s="12"/>
      <c r="BH309" s="68"/>
    </row>
    <row r="310" spans="1:60" ht="18" customHeight="1" x14ac:dyDescent="0.3">
      <c r="A310" s="150"/>
      <c r="B310" s="43"/>
      <c r="C310" s="12">
        <v>46329</v>
      </c>
      <c r="D310" s="20">
        <f t="shared" si="18"/>
        <v>0</v>
      </c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94"/>
      <c r="AD310" s="94"/>
      <c r="AE310" s="57"/>
      <c r="AF310" s="57"/>
      <c r="AG310" s="57"/>
      <c r="AH310" s="57"/>
      <c r="AI310" s="57"/>
      <c r="AJ310" s="57"/>
      <c r="AK310" s="20"/>
      <c r="AL310" s="20"/>
      <c r="AM310" s="19"/>
      <c r="AN310" s="19"/>
      <c r="AO310" s="19"/>
      <c r="AP310" s="19"/>
      <c r="AQ310" s="20"/>
      <c r="AR310" s="20"/>
      <c r="AS310" s="20"/>
      <c r="AT310" s="20"/>
      <c r="AU310" s="20"/>
      <c r="AV310" s="29"/>
      <c r="AW310" s="11"/>
      <c r="AX310" s="11"/>
      <c r="AY310" s="11"/>
      <c r="AZ310" s="11"/>
      <c r="BA310" s="11"/>
      <c r="BB310" s="13"/>
      <c r="BC310" s="11" t="str">
        <f t="shared" si="20"/>
        <v>No</v>
      </c>
      <c r="BD310" s="22" t="str">
        <f t="shared" si="21"/>
        <v/>
      </c>
      <c r="BE310" s="11"/>
      <c r="BF310" s="11" t="str">
        <f t="shared" si="19"/>
        <v>No aplica</v>
      </c>
      <c r="BG310" s="12"/>
      <c r="BH310" s="68"/>
    </row>
    <row r="311" spans="1:60" ht="18" customHeight="1" x14ac:dyDescent="0.3">
      <c r="A311" s="150"/>
      <c r="B311" s="43"/>
      <c r="C311" s="12">
        <v>46330</v>
      </c>
      <c r="D311" s="20">
        <f t="shared" si="18"/>
        <v>0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94"/>
      <c r="AD311" s="94"/>
      <c r="AE311" s="57"/>
      <c r="AF311" s="57"/>
      <c r="AG311" s="57"/>
      <c r="AH311" s="57"/>
      <c r="AI311" s="57"/>
      <c r="AJ311" s="57"/>
      <c r="AK311" s="19"/>
      <c r="AL311" s="19"/>
      <c r="AM311" s="20"/>
      <c r="AN311" s="20"/>
      <c r="AO311" s="19"/>
      <c r="AP311" s="19"/>
      <c r="AQ311" s="20"/>
      <c r="AR311" s="20"/>
      <c r="AS311" s="20"/>
      <c r="AT311" s="20"/>
      <c r="AU311" s="20"/>
      <c r="AV311" s="29"/>
      <c r="AW311" s="11"/>
      <c r="AX311" s="11"/>
      <c r="AY311" s="11"/>
      <c r="AZ311" s="11"/>
      <c r="BA311" s="11"/>
      <c r="BB311" s="13"/>
      <c r="BC311" s="11" t="str">
        <f t="shared" si="20"/>
        <v>No</v>
      </c>
      <c r="BD311" s="22" t="str">
        <f t="shared" si="21"/>
        <v/>
      </c>
      <c r="BE311" s="11"/>
      <c r="BF311" s="11" t="str">
        <f t="shared" si="19"/>
        <v>No aplica</v>
      </c>
      <c r="BG311" s="12"/>
      <c r="BH311" s="68"/>
    </row>
    <row r="312" spans="1:60" ht="18" customHeight="1" x14ac:dyDescent="0.3">
      <c r="A312" s="150"/>
      <c r="B312" s="43"/>
      <c r="C312" s="12">
        <v>46331</v>
      </c>
      <c r="D312" s="20">
        <f t="shared" si="18"/>
        <v>0</v>
      </c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94"/>
      <c r="AD312" s="94"/>
      <c r="AE312" s="57"/>
      <c r="AF312" s="57"/>
      <c r="AG312" s="57"/>
      <c r="AH312" s="57"/>
      <c r="AI312" s="57"/>
      <c r="AJ312" s="57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  <c r="AV312" s="29"/>
      <c r="AW312" s="11"/>
      <c r="AX312" s="11"/>
      <c r="AY312" s="11"/>
      <c r="AZ312" s="11"/>
      <c r="BA312" s="11"/>
      <c r="BB312" s="13"/>
      <c r="BC312" s="11" t="str">
        <f t="shared" si="20"/>
        <v>No</v>
      </c>
      <c r="BD312" s="22" t="str">
        <f t="shared" si="21"/>
        <v/>
      </c>
      <c r="BE312" s="11"/>
      <c r="BF312" s="11" t="str">
        <f t="shared" si="19"/>
        <v>No aplica</v>
      </c>
      <c r="BG312" s="12"/>
      <c r="BH312" s="68"/>
    </row>
    <row r="313" spans="1:60" ht="18" customHeight="1" x14ac:dyDescent="0.3">
      <c r="A313" s="150"/>
      <c r="B313" s="43"/>
      <c r="C313" s="12">
        <v>46332</v>
      </c>
      <c r="D313" s="20">
        <f t="shared" si="18"/>
        <v>0</v>
      </c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20"/>
      <c r="Z313" s="20"/>
      <c r="AA313" s="20"/>
      <c r="AB313" s="20"/>
      <c r="AC313" s="94"/>
      <c r="AD313" s="94"/>
      <c r="AE313" s="57"/>
      <c r="AF313" s="57"/>
      <c r="AG313" s="57"/>
      <c r="AH313" s="57"/>
      <c r="AI313" s="57"/>
      <c r="AJ313" s="57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9"/>
      <c r="AW313" s="11"/>
      <c r="AX313" s="11"/>
      <c r="AY313" s="11"/>
      <c r="AZ313" s="11"/>
      <c r="BA313" s="11"/>
      <c r="BB313" s="13"/>
      <c r="BC313" s="11" t="str">
        <f t="shared" si="20"/>
        <v>No</v>
      </c>
      <c r="BD313" s="22" t="str">
        <f t="shared" si="21"/>
        <v/>
      </c>
      <c r="BE313" s="11"/>
      <c r="BF313" s="11" t="str">
        <f t="shared" si="19"/>
        <v>No aplica</v>
      </c>
      <c r="BG313" s="12"/>
      <c r="BH313" s="68"/>
    </row>
    <row r="314" spans="1:60" ht="18" customHeight="1" x14ac:dyDescent="0.3">
      <c r="A314" s="150"/>
      <c r="B314" s="43"/>
      <c r="C314" s="12">
        <v>46333</v>
      </c>
      <c r="D314" s="20">
        <f t="shared" si="18"/>
        <v>0</v>
      </c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20"/>
      <c r="Z314" s="20"/>
      <c r="AA314" s="20"/>
      <c r="AB314" s="20"/>
      <c r="AC314" s="94"/>
      <c r="AD314" s="94"/>
      <c r="AE314" s="57"/>
      <c r="AF314" s="57"/>
      <c r="AG314" s="57"/>
      <c r="AH314" s="57"/>
      <c r="AI314" s="57"/>
      <c r="AJ314" s="57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9"/>
      <c r="AW314" s="11"/>
      <c r="AX314" s="11"/>
      <c r="AY314" s="11"/>
      <c r="AZ314" s="11"/>
      <c r="BA314" s="11"/>
      <c r="BB314" s="13"/>
      <c r="BC314" s="11" t="str">
        <f t="shared" si="20"/>
        <v>No</v>
      </c>
      <c r="BD314" s="22" t="str">
        <f t="shared" si="21"/>
        <v/>
      </c>
      <c r="BE314" s="11"/>
      <c r="BF314" s="11" t="str">
        <f t="shared" si="19"/>
        <v>No aplica</v>
      </c>
      <c r="BG314" s="12"/>
      <c r="BH314" s="68"/>
    </row>
    <row r="315" spans="1:60" ht="18" customHeight="1" x14ac:dyDescent="0.3">
      <c r="A315" s="150"/>
      <c r="B315" s="43"/>
      <c r="C315" s="12">
        <v>46334</v>
      </c>
      <c r="D315" s="20">
        <f t="shared" si="18"/>
        <v>0</v>
      </c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20"/>
      <c r="Z315" s="20"/>
      <c r="AA315" s="20"/>
      <c r="AB315" s="20"/>
      <c r="AC315" s="94"/>
      <c r="AD315" s="94"/>
      <c r="AE315" s="57"/>
      <c r="AF315" s="57"/>
      <c r="AG315" s="57"/>
      <c r="AH315" s="57"/>
      <c r="AI315" s="57"/>
      <c r="AJ315" s="57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9"/>
      <c r="AW315" s="11"/>
      <c r="AX315" s="11"/>
      <c r="AY315" s="11"/>
      <c r="AZ315" s="11"/>
      <c r="BA315" s="11"/>
      <c r="BB315" s="13"/>
      <c r="BC315" s="11" t="str">
        <f t="shared" si="20"/>
        <v>No</v>
      </c>
      <c r="BD315" s="22" t="str">
        <f t="shared" si="21"/>
        <v/>
      </c>
      <c r="BE315" s="11"/>
      <c r="BF315" s="11" t="str">
        <f t="shared" si="19"/>
        <v>No aplica</v>
      </c>
      <c r="BG315" s="12"/>
      <c r="BH315" s="68"/>
    </row>
    <row r="316" spans="1:60" ht="18" customHeight="1" x14ac:dyDescent="0.3">
      <c r="A316" s="150"/>
      <c r="B316" s="43"/>
      <c r="C316" s="12">
        <v>46335</v>
      </c>
      <c r="D316" s="20">
        <f t="shared" si="18"/>
        <v>0</v>
      </c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20"/>
      <c r="Z316" s="20"/>
      <c r="AA316" s="20"/>
      <c r="AB316" s="20"/>
      <c r="AC316" s="94"/>
      <c r="AD316" s="94"/>
      <c r="AE316" s="57"/>
      <c r="AF316" s="57"/>
      <c r="AG316" s="57"/>
      <c r="AH316" s="57"/>
      <c r="AI316" s="57"/>
      <c r="AJ316" s="57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9"/>
      <c r="AW316" s="11"/>
      <c r="AX316" s="11"/>
      <c r="AY316" s="11"/>
      <c r="AZ316" s="11"/>
      <c r="BA316" s="11"/>
      <c r="BB316" s="13"/>
      <c r="BC316" s="11" t="str">
        <f t="shared" si="20"/>
        <v>No</v>
      </c>
      <c r="BD316" s="22" t="str">
        <f t="shared" si="21"/>
        <v/>
      </c>
      <c r="BE316" s="11"/>
      <c r="BF316" s="11" t="str">
        <f t="shared" si="19"/>
        <v>No aplica</v>
      </c>
      <c r="BG316" s="12"/>
      <c r="BH316" s="68"/>
    </row>
    <row r="317" spans="1:60" ht="18" customHeight="1" x14ac:dyDescent="0.3">
      <c r="A317" s="150"/>
      <c r="B317" s="43"/>
      <c r="C317" s="12">
        <v>46336</v>
      </c>
      <c r="D317" s="20">
        <f t="shared" si="18"/>
        <v>0</v>
      </c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20"/>
      <c r="Z317" s="20"/>
      <c r="AA317" s="20"/>
      <c r="AB317" s="20"/>
      <c r="AC317" s="94"/>
      <c r="AD317" s="94"/>
      <c r="AE317" s="57"/>
      <c r="AF317" s="57"/>
      <c r="AG317" s="57"/>
      <c r="AH317" s="57"/>
      <c r="AI317" s="57"/>
      <c r="AJ317" s="57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9"/>
      <c r="AW317" s="11"/>
      <c r="AX317" s="11"/>
      <c r="AY317" s="11"/>
      <c r="AZ317" s="11"/>
      <c r="BA317" s="11"/>
      <c r="BB317" s="13"/>
      <c r="BC317" s="11" t="str">
        <f t="shared" si="20"/>
        <v>No</v>
      </c>
      <c r="BD317" s="22" t="str">
        <f t="shared" si="21"/>
        <v/>
      </c>
      <c r="BE317" s="11"/>
      <c r="BF317" s="11" t="str">
        <f t="shared" si="19"/>
        <v>No aplica</v>
      </c>
      <c r="BG317" s="12"/>
      <c r="BH317" s="68"/>
    </row>
    <row r="318" spans="1:60" ht="18" customHeight="1" x14ac:dyDescent="0.3">
      <c r="A318" s="150"/>
      <c r="B318" s="43"/>
      <c r="C318" s="12">
        <v>46337</v>
      </c>
      <c r="D318" s="20">
        <f t="shared" si="18"/>
        <v>0</v>
      </c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20"/>
      <c r="Z318" s="20"/>
      <c r="AA318" s="20"/>
      <c r="AB318" s="20"/>
      <c r="AC318" s="94"/>
      <c r="AD318" s="94"/>
      <c r="AE318" s="57"/>
      <c r="AF318" s="57"/>
      <c r="AG318" s="57"/>
      <c r="AH318" s="57"/>
      <c r="AI318" s="57"/>
      <c r="AJ318" s="57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9"/>
      <c r="AW318" s="11"/>
      <c r="AX318" s="11"/>
      <c r="AY318" s="11"/>
      <c r="AZ318" s="11"/>
      <c r="BA318" s="11"/>
      <c r="BB318" s="13"/>
      <c r="BC318" s="11" t="str">
        <f t="shared" si="20"/>
        <v>No</v>
      </c>
      <c r="BD318" s="22" t="str">
        <f t="shared" si="21"/>
        <v/>
      </c>
      <c r="BE318" s="11"/>
      <c r="BF318" s="11" t="str">
        <f t="shared" si="19"/>
        <v>No aplica</v>
      </c>
      <c r="BG318" s="12"/>
      <c r="BH318" s="68"/>
    </row>
    <row r="319" spans="1:60" ht="18" customHeight="1" x14ac:dyDescent="0.3">
      <c r="A319" s="150"/>
      <c r="B319" s="43"/>
      <c r="C319" s="12">
        <v>46338</v>
      </c>
      <c r="D319" s="20">
        <f t="shared" si="18"/>
        <v>0</v>
      </c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19"/>
      <c r="P319" s="19"/>
      <c r="Q319" s="19"/>
      <c r="R319" s="19"/>
      <c r="S319" s="26"/>
      <c r="T319" s="26"/>
      <c r="U319" s="19"/>
      <c r="V319" s="19"/>
      <c r="W319" s="19"/>
      <c r="X319" s="19"/>
      <c r="Y319" s="20"/>
      <c r="Z319" s="20"/>
      <c r="AA319" s="26"/>
      <c r="AB319" s="26"/>
      <c r="AC319" s="95"/>
      <c r="AD319" s="95"/>
      <c r="AE319" s="58"/>
      <c r="AF319" s="58"/>
      <c r="AG319" s="58"/>
      <c r="AH319" s="58"/>
      <c r="AI319" s="58"/>
      <c r="AJ319" s="58"/>
      <c r="AK319" s="26"/>
      <c r="AL319" s="26"/>
      <c r="AM319" s="26"/>
      <c r="AN319" s="26"/>
      <c r="AO319" s="26"/>
      <c r="AP319" s="26"/>
      <c r="AQ319" s="20"/>
      <c r="AR319" s="20"/>
      <c r="AS319" s="20"/>
      <c r="AT319" s="20"/>
      <c r="AU319" s="20"/>
      <c r="AV319" s="29"/>
      <c r="AW319" s="11"/>
      <c r="AX319" s="11"/>
      <c r="AY319" s="11"/>
      <c r="AZ319" s="11"/>
      <c r="BA319" s="11"/>
      <c r="BB319" s="13"/>
      <c r="BC319" s="11" t="str">
        <f t="shared" si="20"/>
        <v>No</v>
      </c>
      <c r="BD319" s="22" t="str">
        <f t="shared" si="21"/>
        <v/>
      </c>
      <c r="BE319" s="11"/>
      <c r="BF319" s="11" t="str">
        <f t="shared" si="19"/>
        <v>No aplica</v>
      </c>
      <c r="BG319" s="12"/>
      <c r="BH319" s="68"/>
    </row>
    <row r="320" spans="1:60" ht="18" customHeight="1" x14ac:dyDescent="0.3">
      <c r="A320" s="150"/>
      <c r="B320" s="43"/>
      <c r="C320" s="12">
        <v>46339</v>
      </c>
      <c r="D320" s="20">
        <f t="shared" si="18"/>
        <v>0</v>
      </c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19"/>
      <c r="P320" s="19"/>
      <c r="Q320" s="19"/>
      <c r="R320" s="19"/>
      <c r="S320" s="19"/>
      <c r="T320" s="19"/>
      <c r="U320" s="19"/>
      <c r="V320" s="19"/>
      <c r="Y320" s="19"/>
      <c r="Z320" s="19"/>
      <c r="AA320" s="20"/>
      <c r="AB320" s="20"/>
      <c r="AC320" s="94"/>
      <c r="AD320" s="94"/>
      <c r="AE320" s="57"/>
      <c r="AF320" s="57"/>
      <c r="AG320" s="57"/>
      <c r="AH320" s="57"/>
      <c r="AI320" s="57"/>
      <c r="AJ320" s="57"/>
      <c r="AK320" s="19"/>
      <c r="AL320" s="19"/>
      <c r="AM320" s="19"/>
      <c r="AN320" s="19"/>
      <c r="AO320" s="19"/>
      <c r="AP320" s="19"/>
      <c r="AQ320" s="20"/>
      <c r="AR320" s="20"/>
      <c r="AS320" s="20"/>
      <c r="AT320" s="20"/>
      <c r="AU320" s="20"/>
      <c r="AV320" s="29"/>
      <c r="AW320" s="11"/>
      <c r="AX320" s="11"/>
      <c r="AY320" s="11"/>
      <c r="AZ320" s="11"/>
      <c r="BA320" s="11"/>
      <c r="BB320" s="13"/>
      <c r="BC320" s="11" t="str">
        <f t="shared" ref="BC320:BC335" si="22">IF(SUM(E320,G320,I320,K320,M320,O320,Q320,S320,U320,W321,Y320,AA320,AC320,AE320,AG320,AI320,AK320,AM320,AO320,AQ320,AU320)&gt;0,"Sí","No")</f>
        <v>No</v>
      </c>
      <c r="BD320" s="22" t="str">
        <f t="shared" ref="BD320:BD335" si="23">IF($BC320="Sí",_xlfn.TEXTJOIN(", ",TRUE,IF(N(E320)&gt;0,E$3,""),IF(N(G320)&gt;0,G$3,""),IF(N(I320)&gt;0,I$3,""),IF(N(K320)&gt;0,K$3,""),IF(N(M320)&gt;0,M$3,""),IF(N(O320)&gt;0,O$3,""),IF(N(Q320)&gt;0,Q$3,""),IF(N(S320)&gt;0,S$3,""),IF(N(U320)&gt;0,U$3,""),IF(N(W321)&gt;0,W$3,""),IF(N(Y320)&gt;0,Y$3,""),IF(N(AA320)&gt;0,AA$3,""),IF(N(AC320)&gt;0,AC$3,""),IF(N(AE320)&gt;0,AE$3,""),IF(N(AG320)&gt;0,AG$3,""),IF(N(AI320)&gt;0,AI$3,""),IF(N(AK320)&gt;0,AK$3,""),IF(N(AM320)&gt;0,AM$3,""),IF(N(AO320)&gt;0,AO$3,""),IF(N(AQ320)&gt;0,AQ$3,""),IF(N(AU320)&gt;0,AU$3,"")),"")</f>
        <v/>
      </c>
      <c r="BE320" s="11"/>
      <c r="BF320" s="11" t="str">
        <f t="shared" si="19"/>
        <v>No aplica</v>
      </c>
      <c r="BG320" s="12"/>
      <c r="BH320" s="68"/>
    </row>
    <row r="321" spans="1:60" ht="18" customHeight="1" x14ac:dyDescent="0.3">
      <c r="A321" s="150"/>
      <c r="B321" s="43"/>
      <c r="C321" s="12">
        <v>46340</v>
      </c>
      <c r="D321" s="20">
        <f t="shared" si="18"/>
        <v>0</v>
      </c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19"/>
      <c r="P321" s="19"/>
      <c r="Q321" s="19"/>
      <c r="R321" s="19"/>
      <c r="S321" s="20"/>
      <c r="T321" s="20"/>
      <c r="U321" s="19"/>
      <c r="V321" s="19"/>
      <c r="W321" s="19"/>
      <c r="X321" s="19"/>
      <c r="Y321" s="19"/>
      <c r="Z321" s="19"/>
      <c r="AA321" s="19"/>
      <c r="AB321" s="19"/>
      <c r="AC321" s="94"/>
      <c r="AD321" s="94"/>
      <c r="AE321" s="57"/>
      <c r="AF321" s="57"/>
      <c r="AG321" s="57"/>
      <c r="AH321" s="57"/>
      <c r="AI321" s="57"/>
      <c r="AJ321" s="57"/>
      <c r="AK321" s="19"/>
      <c r="AL321" s="19"/>
      <c r="AM321" s="19"/>
      <c r="AN321" s="19"/>
      <c r="AO321" s="19"/>
      <c r="AP321" s="19"/>
      <c r="AQ321" s="20"/>
      <c r="AR321" s="20"/>
      <c r="AS321" s="20"/>
      <c r="AT321" s="20"/>
      <c r="AU321" s="20"/>
      <c r="AV321" s="29"/>
      <c r="AW321" s="11"/>
      <c r="AX321" s="11"/>
      <c r="AY321" s="11"/>
      <c r="AZ321" s="11"/>
      <c r="BA321" s="11"/>
      <c r="BB321" s="13"/>
      <c r="BC321" s="11" t="str">
        <f t="shared" si="22"/>
        <v>No</v>
      </c>
      <c r="BD321" s="22" t="str">
        <f t="shared" si="23"/>
        <v/>
      </c>
      <c r="BE321" s="11"/>
      <c r="BF321" s="11" t="str">
        <f t="shared" si="19"/>
        <v>No aplica</v>
      </c>
      <c r="BG321" s="12"/>
      <c r="BH321" s="68"/>
    </row>
    <row r="322" spans="1:60" ht="18" customHeight="1" x14ac:dyDescent="0.3">
      <c r="A322" s="150"/>
      <c r="B322" s="43"/>
      <c r="C322" s="12">
        <v>46341</v>
      </c>
      <c r="D322" s="20">
        <f t="shared" si="18"/>
        <v>0</v>
      </c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94"/>
      <c r="AD322" s="94"/>
      <c r="AE322" s="57"/>
      <c r="AF322" s="57"/>
      <c r="AG322" s="57"/>
      <c r="AH322" s="57"/>
      <c r="AI322" s="57"/>
      <c r="AJ322" s="57"/>
      <c r="AK322" s="19"/>
      <c r="AL322" s="19"/>
      <c r="AM322" s="19"/>
      <c r="AN322" s="19"/>
      <c r="AO322" s="19"/>
      <c r="AP322" s="19"/>
      <c r="AQ322" s="20"/>
      <c r="AR322" s="20"/>
      <c r="AS322" s="20"/>
      <c r="AT322" s="20"/>
      <c r="AU322" s="20"/>
      <c r="AV322" s="29"/>
      <c r="AW322" s="11"/>
      <c r="AX322" s="11"/>
      <c r="AY322" s="11"/>
      <c r="AZ322" s="11"/>
      <c r="BA322" s="11"/>
      <c r="BB322" s="13"/>
      <c r="BC322" s="11" t="str">
        <f t="shared" si="22"/>
        <v>No</v>
      </c>
      <c r="BD322" s="22" t="str">
        <f t="shared" si="23"/>
        <v/>
      </c>
      <c r="BE322" s="11"/>
      <c r="BF322" s="11" t="str">
        <f t="shared" si="19"/>
        <v>No aplica</v>
      </c>
      <c r="BG322" s="12"/>
      <c r="BH322" s="68"/>
    </row>
    <row r="323" spans="1:60" ht="18" customHeight="1" x14ac:dyDescent="0.3">
      <c r="A323" s="150"/>
      <c r="B323" s="43"/>
      <c r="C323" s="12">
        <v>46342</v>
      </c>
      <c r="D323" s="20">
        <f t="shared" si="18"/>
        <v>0</v>
      </c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94"/>
      <c r="AD323" s="94"/>
      <c r="AE323" s="57"/>
      <c r="AF323" s="57"/>
      <c r="AG323" s="57"/>
      <c r="AH323" s="57"/>
      <c r="AI323" s="57"/>
      <c r="AJ323" s="57"/>
      <c r="AK323" s="19"/>
      <c r="AL323" s="19"/>
      <c r="AM323" s="19"/>
      <c r="AN323" s="19"/>
      <c r="AO323" s="19"/>
      <c r="AP323" s="19"/>
      <c r="AQ323" s="20"/>
      <c r="AR323" s="20"/>
      <c r="AS323" s="20"/>
      <c r="AT323" s="20"/>
      <c r="AU323" s="20"/>
      <c r="AV323" s="29"/>
      <c r="AW323" s="11"/>
      <c r="AX323" s="11"/>
      <c r="AY323" s="11"/>
      <c r="AZ323" s="11"/>
      <c r="BA323" s="11"/>
      <c r="BB323" s="13"/>
      <c r="BC323" s="11" t="str">
        <f t="shared" si="22"/>
        <v>No</v>
      </c>
      <c r="BD323" s="22" t="str">
        <f t="shared" si="23"/>
        <v/>
      </c>
      <c r="BE323" s="11"/>
      <c r="BF323" s="11" t="str">
        <f t="shared" si="19"/>
        <v>No aplica</v>
      </c>
      <c r="BG323" s="12"/>
      <c r="BH323" s="68"/>
    </row>
    <row r="324" spans="1:60" ht="18" customHeight="1" x14ac:dyDescent="0.3">
      <c r="A324" s="150"/>
      <c r="B324" s="43"/>
      <c r="C324" s="12">
        <v>46343</v>
      </c>
      <c r="D324" s="20">
        <f t="shared" ref="D324:D368" si="24">+F324+H324+J324+L324+N324+P324+R324+Z324+AB324+AD324+AF324+AH324+AJ324+AL324+AN324+AP324</f>
        <v>0</v>
      </c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94"/>
      <c r="AD324" s="94"/>
      <c r="AE324" s="57"/>
      <c r="AF324" s="57"/>
      <c r="AG324" s="57"/>
      <c r="AH324" s="57"/>
      <c r="AI324" s="57"/>
      <c r="AJ324" s="57"/>
      <c r="AK324" s="19"/>
      <c r="AL324" s="19"/>
      <c r="AM324" s="19"/>
      <c r="AN324" s="19"/>
      <c r="AO324" s="19"/>
      <c r="AP324" s="19"/>
      <c r="AQ324" s="20"/>
      <c r="AR324" s="20"/>
      <c r="AS324" s="20"/>
      <c r="AT324" s="20"/>
      <c r="AU324" s="20"/>
      <c r="AV324" s="29"/>
      <c r="AW324" s="11"/>
      <c r="AX324" s="11"/>
      <c r="AY324" s="11"/>
      <c r="AZ324" s="11"/>
      <c r="BA324" s="11"/>
      <c r="BB324" s="13"/>
      <c r="BC324" s="11" t="str">
        <f t="shared" si="22"/>
        <v>No</v>
      </c>
      <c r="BD324" s="22" t="str">
        <f t="shared" si="23"/>
        <v/>
      </c>
      <c r="BE324" s="11" t="s">
        <v>84</v>
      </c>
      <c r="BF324" s="11" t="str">
        <f t="shared" si="19"/>
        <v>No aplica</v>
      </c>
      <c r="BG324" s="12"/>
      <c r="BH324" s="68"/>
    </row>
    <row r="325" spans="1:60" ht="18" customHeight="1" x14ac:dyDescent="0.3">
      <c r="A325" s="150"/>
      <c r="B325" s="43"/>
      <c r="C325" s="12">
        <v>46344</v>
      </c>
      <c r="D325" s="20">
        <f t="shared" si="24"/>
        <v>12</v>
      </c>
      <c r="E325" s="111">
        <v>2</v>
      </c>
      <c r="F325" s="112">
        <v>4</v>
      </c>
      <c r="G325" s="111">
        <v>2</v>
      </c>
      <c r="H325" s="112">
        <v>4</v>
      </c>
      <c r="I325" s="111">
        <v>2</v>
      </c>
      <c r="J325" s="112">
        <v>4</v>
      </c>
      <c r="K325" s="20"/>
      <c r="L325" s="20"/>
      <c r="M325" s="20"/>
      <c r="N325" s="20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94"/>
      <c r="AD325" s="94"/>
      <c r="AE325" s="57"/>
      <c r="AF325" s="57"/>
      <c r="AG325" s="57"/>
      <c r="AH325" s="57"/>
      <c r="AI325" s="57"/>
      <c r="AJ325" s="57"/>
      <c r="AK325" s="20"/>
      <c r="AL325" s="20"/>
      <c r="AM325" s="19"/>
      <c r="AN325" s="19"/>
      <c r="AO325" s="19"/>
      <c r="AP325" s="19"/>
      <c r="AQ325" s="20"/>
      <c r="AR325" s="20"/>
      <c r="AS325" s="20"/>
      <c r="AT325" s="20"/>
      <c r="AU325" s="20"/>
      <c r="AV325" s="29"/>
      <c r="AW325" s="11"/>
      <c r="AX325" s="11"/>
      <c r="AY325" s="11"/>
      <c r="AZ325" s="11"/>
      <c r="BA325" s="11"/>
      <c r="BB325" s="13"/>
      <c r="BC325" s="11" t="str">
        <f t="shared" si="22"/>
        <v>Sí</v>
      </c>
      <c r="BD325" s="22" t="str">
        <f t="shared" si="23"/>
        <v>CPW02
, CPW01, CPW03</v>
      </c>
      <c r="BE325" s="11"/>
      <c r="BF325" s="11" t="str">
        <f t="shared" ref="BF325:BF368" si="25">IF($BC325="No","No aplica",IF($BE325="Sí","Ejecutado","Programado pendiente"))</f>
        <v>Programado pendiente</v>
      </c>
      <c r="BG325" s="12"/>
      <c r="BH325" s="68"/>
    </row>
    <row r="326" spans="1:60" ht="18" customHeight="1" x14ac:dyDescent="0.3">
      <c r="A326" s="150"/>
      <c r="B326" s="43"/>
      <c r="C326" s="12">
        <v>46345</v>
      </c>
      <c r="D326" s="20">
        <f t="shared" si="24"/>
        <v>12</v>
      </c>
      <c r="E326" s="20"/>
      <c r="F326" s="20"/>
      <c r="G326" s="20"/>
      <c r="H326" s="20"/>
      <c r="I326" s="20"/>
      <c r="J326" s="20"/>
      <c r="K326" s="111">
        <v>2</v>
      </c>
      <c r="L326" s="112">
        <v>4</v>
      </c>
      <c r="M326" s="111">
        <v>2</v>
      </c>
      <c r="N326" s="112">
        <v>4</v>
      </c>
      <c r="O326" s="111">
        <v>2</v>
      </c>
      <c r="P326" s="112">
        <v>4</v>
      </c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94"/>
      <c r="AD326" s="94"/>
      <c r="AE326" s="57"/>
      <c r="AF326" s="57"/>
      <c r="AG326" s="57"/>
      <c r="AH326" s="57"/>
      <c r="AI326" s="57"/>
      <c r="AJ326" s="57"/>
      <c r="AK326" s="19"/>
      <c r="AL326" s="19"/>
      <c r="AM326" s="20"/>
      <c r="AN326" s="20"/>
      <c r="AO326" s="19"/>
      <c r="AP326" s="19"/>
      <c r="AQ326" s="20"/>
      <c r="AR326" s="20"/>
      <c r="AS326" s="20"/>
      <c r="AT326" s="20"/>
      <c r="AU326" s="20"/>
      <c r="AV326" s="29"/>
      <c r="AW326" s="11"/>
      <c r="AX326" s="11"/>
      <c r="AY326" s="11"/>
      <c r="AZ326" s="11"/>
      <c r="BA326" s="11"/>
      <c r="BB326" s="13"/>
      <c r="BC326" s="11" t="str">
        <f t="shared" si="22"/>
        <v>Sí</v>
      </c>
      <c r="BD326" s="22" t="str">
        <f t="shared" si="23"/>
        <v>CPW04
, CPW05, CPW06</v>
      </c>
      <c r="BE326" s="11"/>
      <c r="BF326" s="11" t="str">
        <f t="shared" si="25"/>
        <v>Programado pendiente</v>
      </c>
      <c r="BG326" s="12"/>
      <c r="BH326" s="68"/>
    </row>
    <row r="327" spans="1:60" ht="18" customHeight="1" x14ac:dyDescent="0.3">
      <c r="A327" s="150"/>
      <c r="B327" s="43"/>
      <c r="C327" s="12">
        <v>46346</v>
      </c>
      <c r="D327" s="20">
        <f t="shared" si="24"/>
        <v>4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19"/>
      <c r="P327" s="19"/>
      <c r="Q327" s="111">
        <v>2</v>
      </c>
      <c r="R327" s="112">
        <v>4</v>
      </c>
      <c r="S327" s="111">
        <v>2</v>
      </c>
      <c r="T327" s="112">
        <v>4</v>
      </c>
      <c r="U327" s="111">
        <v>2</v>
      </c>
      <c r="V327" s="112">
        <v>4</v>
      </c>
      <c r="W327" s="19"/>
      <c r="X327" s="19"/>
      <c r="Y327" s="19"/>
      <c r="Z327" s="19"/>
      <c r="AA327" s="19"/>
      <c r="AB327" s="19"/>
      <c r="AC327" s="94"/>
      <c r="AD327" s="94"/>
      <c r="AE327" s="57"/>
      <c r="AF327" s="57"/>
      <c r="AG327" s="57"/>
      <c r="AH327" s="57"/>
      <c r="AI327" s="57"/>
      <c r="AJ327" s="57"/>
      <c r="AK327" s="19"/>
      <c r="AL327" s="19"/>
      <c r="AM327" s="19"/>
      <c r="AN327" s="19"/>
      <c r="AO327" s="20"/>
      <c r="AP327" s="20"/>
      <c r="AQ327" s="20"/>
      <c r="AR327" s="20"/>
      <c r="AS327" s="20"/>
      <c r="AT327" s="20"/>
      <c r="AU327" s="20"/>
      <c r="AV327" s="29"/>
      <c r="AW327" s="11"/>
      <c r="AX327" s="11"/>
      <c r="AY327" s="11"/>
      <c r="AZ327" s="11"/>
      <c r="BA327" s="11"/>
      <c r="BB327" s="13"/>
      <c r="BC327" s="11" t="str">
        <f t="shared" si="22"/>
        <v>Sí</v>
      </c>
      <c r="BD327" s="22" t="str">
        <f t="shared" si="23"/>
        <v>CPW07, CPW 10, CPW11, CPW12</v>
      </c>
      <c r="BE327" s="11"/>
      <c r="BF327" s="11" t="str">
        <f t="shared" si="25"/>
        <v>Programado pendiente</v>
      </c>
      <c r="BG327" s="12"/>
      <c r="BH327" s="68"/>
    </row>
    <row r="328" spans="1:60" ht="18" customHeight="1" x14ac:dyDescent="0.3">
      <c r="A328" s="150"/>
      <c r="B328" s="43"/>
      <c r="C328" s="12">
        <v>46347</v>
      </c>
      <c r="D328" s="20">
        <f t="shared" si="24"/>
        <v>8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19"/>
      <c r="P328" s="19"/>
      <c r="Q328" s="19"/>
      <c r="R328" s="19"/>
      <c r="S328" s="19"/>
      <c r="T328" s="19"/>
      <c r="U328" s="19"/>
      <c r="V328" s="19"/>
      <c r="W328" s="111">
        <v>2</v>
      </c>
      <c r="X328" s="112">
        <v>4</v>
      </c>
      <c r="Y328" s="111">
        <v>2</v>
      </c>
      <c r="Z328" s="112">
        <v>4</v>
      </c>
      <c r="AA328" s="111">
        <v>2</v>
      </c>
      <c r="AB328" s="112">
        <v>4</v>
      </c>
      <c r="AC328" s="94"/>
      <c r="AD328" s="94"/>
      <c r="AE328" s="57"/>
      <c r="AF328" s="57"/>
      <c r="AG328" s="57"/>
      <c r="AH328" s="57"/>
      <c r="AI328" s="57"/>
      <c r="AJ328" s="57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9"/>
      <c r="AW328" s="11"/>
      <c r="AX328" s="11"/>
      <c r="AY328" s="11"/>
      <c r="AZ328" s="11"/>
      <c r="BA328" s="11"/>
      <c r="BB328" s="13"/>
      <c r="BC328" s="11" t="str">
        <f t="shared" si="22"/>
        <v>Sí</v>
      </c>
      <c r="BD328" s="22" t="str">
        <f t="shared" si="23"/>
        <v>JINAN 01, JINAN 02</v>
      </c>
      <c r="BE328" s="11"/>
      <c r="BF328" s="11" t="str">
        <f t="shared" si="25"/>
        <v>Programado pendiente</v>
      </c>
      <c r="BG328" s="12"/>
      <c r="BH328" s="68"/>
    </row>
    <row r="329" spans="1:60" ht="18" customHeight="1" x14ac:dyDescent="0.3">
      <c r="A329" s="150"/>
      <c r="B329" s="43"/>
      <c r="C329" s="12">
        <v>46348</v>
      </c>
      <c r="D329" s="20">
        <f t="shared" si="24"/>
        <v>0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20"/>
      <c r="Z329" s="20"/>
      <c r="AA329" s="20"/>
      <c r="AB329" s="20"/>
      <c r="AC329" s="94"/>
      <c r="AD329" s="94"/>
      <c r="AE329" s="57"/>
      <c r="AF329" s="57"/>
      <c r="AG329" s="57"/>
      <c r="AH329" s="57"/>
      <c r="AI329" s="57"/>
      <c r="AJ329" s="57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9"/>
      <c r="AW329" s="11"/>
      <c r="AX329" s="11"/>
      <c r="AY329" s="11"/>
      <c r="AZ329" s="11"/>
      <c r="BA329" s="11"/>
      <c r="BB329" s="13"/>
      <c r="BC329" s="11" t="str">
        <f t="shared" si="22"/>
        <v>No</v>
      </c>
      <c r="BD329" s="22" t="str">
        <f t="shared" si="23"/>
        <v/>
      </c>
      <c r="BE329" s="11"/>
      <c r="BF329" s="11" t="str">
        <f t="shared" si="25"/>
        <v>No aplica</v>
      </c>
      <c r="BG329" s="12"/>
      <c r="BH329" s="68"/>
    </row>
    <row r="330" spans="1:60" ht="18" customHeight="1" x14ac:dyDescent="0.3">
      <c r="A330" s="150"/>
      <c r="B330" s="43"/>
      <c r="C330" s="12">
        <v>46349</v>
      </c>
      <c r="D330" s="20">
        <f t="shared" si="24"/>
        <v>0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20"/>
      <c r="Z330" s="20"/>
      <c r="AA330" s="20"/>
      <c r="AB330" s="20"/>
      <c r="AC330" s="94"/>
      <c r="AD330" s="94"/>
      <c r="AE330" s="57"/>
      <c r="AF330" s="57"/>
      <c r="AG330" s="57"/>
      <c r="AH330" s="57"/>
      <c r="AI330" s="57"/>
      <c r="AJ330" s="57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9"/>
      <c r="AW330" s="11"/>
      <c r="AX330" s="11"/>
      <c r="AY330" s="11"/>
      <c r="AZ330" s="11"/>
      <c r="BA330" s="11"/>
      <c r="BB330" s="13"/>
      <c r="BC330" s="11" t="str">
        <f t="shared" si="22"/>
        <v>No</v>
      </c>
      <c r="BD330" s="22" t="str">
        <f t="shared" si="23"/>
        <v/>
      </c>
      <c r="BE330" s="11"/>
      <c r="BF330" s="11" t="str">
        <f t="shared" si="25"/>
        <v>No aplica</v>
      </c>
      <c r="BG330" s="12"/>
      <c r="BH330" s="68"/>
    </row>
    <row r="331" spans="1:60" ht="18" customHeight="1" x14ac:dyDescent="0.3">
      <c r="A331" s="150"/>
      <c r="B331" s="43"/>
      <c r="C331" s="12">
        <v>46350</v>
      </c>
      <c r="D331" s="20">
        <f t="shared" si="24"/>
        <v>0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20"/>
      <c r="Z331" s="20"/>
      <c r="AA331" s="20"/>
      <c r="AB331" s="20"/>
      <c r="AC331" s="94"/>
      <c r="AD331" s="94"/>
      <c r="AE331" s="57"/>
      <c r="AF331" s="57"/>
      <c r="AG331" s="57"/>
      <c r="AH331" s="57"/>
      <c r="AI331" s="57"/>
      <c r="AJ331" s="57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9"/>
      <c r="AW331" s="11"/>
      <c r="AX331" s="11"/>
      <c r="AY331" s="11"/>
      <c r="AZ331" s="11"/>
      <c r="BA331" s="11"/>
      <c r="BB331" s="13"/>
      <c r="BC331" s="11" t="str">
        <f t="shared" si="22"/>
        <v>No</v>
      </c>
      <c r="BD331" s="22" t="str">
        <f t="shared" si="23"/>
        <v/>
      </c>
      <c r="BE331" s="11"/>
      <c r="BF331" s="11" t="str">
        <f t="shared" si="25"/>
        <v>No aplica</v>
      </c>
      <c r="BG331" s="12"/>
      <c r="BH331" s="68"/>
    </row>
    <row r="332" spans="1:60" ht="18" customHeight="1" x14ac:dyDescent="0.3">
      <c r="A332" s="150"/>
      <c r="B332" s="43"/>
      <c r="C332" s="12">
        <v>46351</v>
      </c>
      <c r="D332" s="20">
        <f t="shared" si="24"/>
        <v>0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20"/>
      <c r="Z332" s="20"/>
      <c r="AA332" s="20"/>
      <c r="AB332" s="20"/>
      <c r="AC332" s="94"/>
      <c r="AD332" s="94"/>
      <c r="AE332" s="57"/>
      <c r="AF332" s="57"/>
      <c r="AG332" s="57"/>
      <c r="AH332" s="57"/>
      <c r="AI332" s="57"/>
      <c r="AJ332" s="57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9"/>
      <c r="AW332" s="11"/>
      <c r="AX332" s="11"/>
      <c r="AY332" s="11"/>
      <c r="AZ332" s="11"/>
      <c r="BA332" s="11"/>
      <c r="BB332" s="13"/>
      <c r="BC332" s="11" t="str">
        <f t="shared" si="22"/>
        <v>No</v>
      </c>
      <c r="BD332" s="22" t="str">
        <f t="shared" si="23"/>
        <v/>
      </c>
      <c r="BE332" s="11"/>
      <c r="BF332" s="11" t="str">
        <f t="shared" si="25"/>
        <v>No aplica</v>
      </c>
      <c r="BG332" s="12"/>
      <c r="BH332" s="68"/>
    </row>
    <row r="333" spans="1:60" ht="18" customHeight="1" x14ac:dyDescent="0.3">
      <c r="A333" s="150"/>
      <c r="B333" s="43"/>
      <c r="C333" s="12">
        <v>46352</v>
      </c>
      <c r="D333" s="20">
        <f t="shared" si="24"/>
        <v>0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20"/>
      <c r="Z333" s="20"/>
      <c r="AA333" s="20"/>
      <c r="AB333" s="20"/>
      <c r="AC333" s="94"/>
      <c r="AD333" s="94"/>
      <c r="AE333" s="57"/>
      <c r="AF333" s="57"/>
      <c r="AG333" s="57"/>
      <c r="AH333" s="57"/>
      <c r="AI333" s="57"/>
      <c r="AJ333" s="57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9"/>
      <c r="AW333" s="11"/>
      <c r="AX333" s="11"/>
      <c r="AY333" s="11"/>
      <c r="AZ333" s="11"/>
      <c r="BA333" s="11"/>
      <c r="BB333" s="13"/>
      <c r="BC333" s="11" t="str">
        <f t="shared" si="22"/>
        <v>No</v>
      </c>
      <c r="BD333" s="22" t="str">
        <f t="shared" si="23"/>
        <v/>
      </c>
      <c r="BE333" s="11"/>
      <c r="BF333" s="11" t="str">
        <f t="shared" si="25"/>
        <v>No aplica</v>
      </c>
      <c r="BG333" s="12"/>
      <c r="BH333" s="68"/>
    </row>
    <row r="334" spans="1:60" ht="18" customHeight="1" x14ac:dyDescent="0.3">
      <c r="A334" s="150"/>
      <c r="B334" s="43"/>
      <c r="C334" s="12">
        <v>46353</v>
      </c>
      <c r="D334" s="20">
        <f t="shared" si="24"/>
        <v>0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19"/>
      <c r="P334" s="19"/>
      <c r="Q334" s="19"/>
      <c r="R334" s="19"/>
      <c r="S334" s="26"/>
      <c r="T334" s="26"/>
      <c r="U334" s="19"/>
      <c r="V334" s="19"/>
      <c r="W334" s="19"/>
      <c r="X334" s="19"/>
      <c r="Y334" s="20"/>
      <c r="Z334" s="20"/>
      <c r="AA334" s="26"/>
      <c r="AB334" s="26"/>
      <c r="AC334" s="95"/>
      <c r="AD334" s="95"/>
      <c r="AE334" s="58"/>
      <c r="AF334" s="58"/>
      <c r="AG334" s="58"/>
      <c r="AH334" s="58"/>
      <c r="AI334" s="58"/>
      <c r="AJ334" s="58"/>
      <c r="AK334" s="26"/>
      <c r="AL334" s="26"/>
      <c r="AM334" s="26"/>
      <c r="AN334" s="26"/>
      <c r="AO334" s="26"/>
      <c r="AP334" s="26"/>
      <c r="AQ334" s="20"/>
      <c r="AR334" s="20"/>
      <c r="AS334" s="20"/>
      <c r="AT334" s="20"/>
      <c r="AU334" s="20"/>
      <c r="AV334" s="29"/>
      <c r="AW334" s="11"/>
      <c r="AX334" s="11"/>
      <c r="AY334" s="11"/>
      <c r="AZ334" s="11"/>
      <c r="BA334" s="11"/>
      <c r="BB334" s="13"/>
      <c r="BC334" s="11" t="str">
        <f t="shared" si="22"/>
        <v>No</v>
      </c>
      <c r="BD334" s="22" t="str">
        <f t="shared" si="23"/>
        <v/>
      </c>
      <c r="BE334" s="11"/>
      <c r="BF334" s="11" t="str">
        <f t="shared" si="25"/>
        <v>No aplica</v>
      </c>
      <c r="BG334" s="12"/>
      <c r="BH334" s="68"/>
    </row>
    <row r="335" spans="1:60" ht="18" customHeight="1" x14ac:dyDescent="0.3">
      <c r="A335" s="150"/>
      <c r="B335" s="43"/>
      <c r="C335" s="12">
        <v>46354</v>
      </c>
      <c r="D335" s="20">
        <f t="shared" si="24"/>
        <v>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20"/>
      <c r="AB335" s="20"/>
      <c r="AC335" s="94"/>
      <c r="AD335" s="94"/>
      <c r="AE335" s="57"/>
      <c r="AF335" s="57"/>
      <c r="AG335" s="57"/>
      <c r="AH335" s="57"/>
      <c r="AI335" s="57"/>
      <c r="AJ335" s="57"/>
      <c r="AK335" s="19"/>
      <c r="AL335" s="19"/>
      <c r="AM335" s="19"/>
      <c r="AN335" s="19"/>
      <c r="AO335" s="19"/>
      <c r="AP335" s="19"/>
      <c r="AQ335" s="20"/>
      <c r="AR335" s="20"/>
      <c r="AS335" s="20"/>
      <c r="AT335" s="20"/>
      <c r="AU335" s="20"/>
      <c r="AV335" s="29"/>
      <c r="AW335" s="11"/>
      <c r="AX335" s="11"/>
      <c r="AY335" s="11"/>
      <c r="AZ335" s="11"/>
      <c r="BA335" s="11"/>
      <c r="BB335" s="13"/>
      <c r="BC335" s="11" t="str">
        <f t="shared" si="22"/>
        <v>No</v>
      </c>
      <c r="BD335" s="22" t="str">
        <f t="shared" si="23"/>
        <v/>
      </c>
      <c r="BE335" s="11"/>
      <c r="BF335" s="11" t="str">
        <f t="shared" si="25"/>
        <v>No aplica</v>
      </c>
      <c r="BG335" s="12"/>
      <c r="BH335" s="68"/>
    </row>
    <row r="336" spans="1:60" ht="18" customHeight="1" x14ac:dyDescent="0.3">
      <c r="A336" s="150"/>
      <c r="B336" s="43"/>
      <c r="C336" s="12">
        <v>46355</v>
      </c>
      <c r="D336" s="20">
        <f t="shared" si="24"/>
        <v>0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19"/>
      <c r="P336" s="19"/>
      <c r="Q336" s="19"/>
      <c r="R336" s="19"/>
      <c r="S336" s="20"/>
      <c r="T336" s="20"/>
      <c r="U336" s="19"/>
      <c r="V336" s="19"/>
      <c r="W336" s="19"/>
      <c r="X336" s="19"/>
      <c r="Y336" s="19"/>
      <c r="Z336" s="19"/>
      <c r="AA336" s="19"/>
      <c r="AB336" s="19"/>
      <c r="AC336" s="94"/>
      <c r="AD336" s="94"/>
      <c r="AE336" s="57"/>
      <c r="AF336" s="57"/>
      <c r="AG336" s="57"/>
      <c r="AH336" s="57"/>
      <c r="AI336" s="57"/>
      <c r="AJ336" s="57"/>
      <c r="AK336" s="19"/>
      <c r="AL336" s="19"/>
      <c r="AM336" s="19"/>
      <c r="AN336" s="19"/>
      <c r="AO336" s="19"/>
      <c r="AP336" s="19"/>
      <c r="AQ336" s="20"/>
      <c r="AR336" s="20"/>
      <c r="AS336" s="20"/>
      <c r="AT336" s="20"/>
      <c r="AU336" s="20"/>
      <c r="AV336" s="29"/>
      <c r="AW336" s="11"/>
      <c r="AX336" s="11"/>
      <c r="AY336" s="11"/>
      <c r="AZ336" s="11"/>
      <c r="BA336" s="11"/>
      <c r="BB336" s="13"/>
      <c r="BC336" s="11" t="e">
        <f>IF(SUM(E336,G336,I336,K336,M336,O336,Q336,S336,U336,#REF!,Y336,AA336,AC336,AE336,AG336,AI336,AK336,AM336,AO336,AQ336,AU336)&gt;0,"Sí","No")</f>
        <v>#REF!</v>
      </c>
      <c r="BD336" s="22" t="e">
        <f>IF($BC336="Sí",_xlfn.TEXTJOIN(", ",TRUE,IF(N(E336)&gt;0,E$3,""),IF(N(G336)&gt;0,G$3,""),IF(N(I336)&gt;0,I$3,""),IF(N(K336)&gt;0,K$3,""),IF(N(M336)&gt;0,M$3,""),IF(N(O336)&gt;0,O$3,""),IF(N(Q336)&gt;0,Q$3,""),IF(N(S336)&gt;0,S$3,""),IF(N(U336)&gt;0,U$3,""),IF(N(#REF!)&gt;0,W$3,""),IF(N(Y336)&gt;0,Y$3,""),IF(N(AA336)&gt;0,AA$3,""),IF(N(AC336)&gt;0,AC$3,""),IF(N(AE336)&gt;0,AE$3,""),IF(N(AG336)&gt;0,AG$3,""),IF(N(AI336)&gt;0,AI$3,""),IF(N(AK336)&gt;0,AK$3,""),IF(N(AM336)&gt;0,AM$3,""),IF(N(AO336)&gt;0,AO$3,""),IF(N(AQ336)&gt;0,AQ$3,""),IF(N(AU336)&gt;0,AU$3,"")),"")</f>
        <v>#REF!</v>
      </c>
      <c r="BE336" s="11"/>
      <c r="BF336" s="11" t="e">
        <f t="shared" si="25"/>
        <v>#REF!</v>
      </c>
      <c r="BG336" s="12"/>
      <c r="BH336" s="68"/>
    </row>
    <row r="337" spans="1:60" ht="18" customHeight="1" thickBot="1" x14ac:dyDescent="0.35">
      <c r="A337" s="151"/>
      <c r="B337" s="44"/>
      <c r="C337" s="30">
        <v>46356</v>
      </c>
      <c r="D337" s="31">
        <f t="shared" si="24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96"/>
      <c r="AD337" s="96"/>
      <c r="AE337" s="61"/>
      <c r="AF337" s="61"/>
      <c r="AG337" s="61"/>
      <c r="AH337" s="61"/>
      <c r="AI337" s="61"/>
      <c r="AJ337" s="61"/>
      <c r="AK337" s="32"/>
      <c r="AL337" s="32"/>
      <c r="AM337" s="32"/>
      <c r="AN337" s="32"/>
      <c r="AO337" s="32"/>
      <c r="AP337" s="32"/>
      <c r="AQ337" s="31"/>
      <c r="AR337" s="31"/>
      <c r="AS337" s="31"/>
      <c r="AT337" s="31"/>
      <c r="AU337" s="31"/>
      <c r="AV337" s="33"/>
      <c r="AW337" s="70"/>
      <c r="AX337" s="70"/>
      <c r="AY337" s="70"/>
      <c r="AZ337" s="70"/>
      <c r="BA337" s="70"/>
      <c r="BB337" s="71"/>
      <c r="BC337" s="70" t="str">
        <f t="shared" ref="BC337:BC368" si="26">IF(SUM(E337,G337,I337,K337,M337,O337,Q337,S337,U337,W337,Y337,AA337,AC337,AE337,AG337,AI337,AK337,AM337,AO337,AQ337,AU337)&gt;0,"Sí","No")</f>
        <v>No</v>
      </c>
      <c r="BD337" s="72" t="str">
        <f t="shared" ref="BD337:BD368" si="27">IF($BC337="Sí",_xlfn.TEXTJOIN(", ",TRUE,IF(N(E337)&gt;0,E$3,""),IF(N(G337)&gt;0,G$3,""),IF(N(I337)&gt;0,I$3,""),IF(N(K337)&gt;0,K$3,""),IF(N(M337)&gt;0,M$3,""),IF(N(O337)&gt;0,O$3,""),IF(N(Q337)&gt;0,Q$3,""),IF(N(S337)&gt;0,S$3,""),IF(N(U337)&gt;0,U$3,""),IF(N(W337)&gt;0,W$3,""),IF(N(Y337)&gt;0,Y$3,""),IF(N(AA337)&gt;0,AA$3,""),IF(N(AC337)&gt;0,AC$3,""),IF(N(AE337)&gt;0,AE$3,""),IF(N(AG337)&gt;0,AG$3,""),IF(N(AI337)&gt;0,AI$3,""),IF(N(AK337)&gt;0,AK$3,""),IF(N(AM337)&gt;0,AM$3,""),IF(N(AO337)&gt;0,AO$3,""),IF(N(AQ337)&gt;0,AQ$3,""),IF(N(AU337)&gt;0,AU$3,"")),"")</f>
        <v/>
      </c>
      <c r="BE337" s="70"/>
      <c r="BF337" s="70" t="str">
        <f t="shared" si="25"/>
        <v>No aplica</v>
      </c>
      <c r="BG337" s="30"/>
      <c r="BH337" s="73"/>
    </row>
    <row r="338" spans="1:60" ht="18" customHeight="1" x14ac:dyDescent="0.3">
      <c r="A338" s="148" t="s">
        <v>68</v>
      </c>
      <c r="B338" s="42"/>
      <c r="C338" s="15">
        <v>46357</v>
      </c>
      <c r="D338" s="27">
        <f t="shared" si="24"/>
        <v>0</v>
      </c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93"/>
      <c r="AD338" s="93"/>
      <c r="AE338" s="60"/>
      <c r="AF338" s="60"/>
      <c r="AG338" s="60"/>
      <c r="AH338" s="60"/>
      <c r="AI338" s="60"/>
      <c r="AJ338" s="60"/>
      <c r="AK338" s="18"/>
      <c r="AL338" s="18"/>
      <c r="AM338" s="18"/>
      <c r="AN338" s="18"/>
      <c r="AO338" s="18"/>
      <c r="AP338" s="18"/>
      <c r="AQ338" s="27"/>
      <c r="AR338" s="27"/>
      <c r="AS338" s="27"/>
      <c r="AT338" s="27"/>
      <c r="AU338" s="27"/>
      <c r="AV338" s="28"/>
      <c r="AW338" s="14"/>
      <c r="AX338" s="14"/>
      <c r="AY338" s="14"/>
      <c r="AZ338" s="14"/>
      <c r="BA338" s="14"/>
      <c r="BB338" s="65"/>
      <c r="BC338" s="14" t="str">
        <f t="shared" si="26"/>
        <v>No</v>
      </c>
      <c r="BD338" s="21" t="str">
        <f t="shared" si="27"/>
        <v/>
      </c>
      <c r="BE338" s="14"/>
      <c r="BF338" s="14" t="str">
        <f t="shared" si="25"/>
        <v>No aplica</v>
      </c>
      <c r="BG338" s="15"/>
      <c r="BH338" s="66"/>
    </row>
    <row r="339" spans="1:60" ht="18" customHeight="1" x14ac:dyDescent="0.3">
      <c r="A339" s="150"/>
      <c r="B339" s="43"/>
      <c r="C339" s="12">
        <v>46358</v>
      </c>
      <c r="D339" s="20">
        <f t="shared" si="24"/>
        <v>0</v>
      </c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94"/>
      <c r="AD339" s="94"/>
      <c r="AE339" s="57"/>
      <c r="AF339" s="57"/>
      <c r="AG339" s="57"/>
      <c r="AH339" s="57"/>
      <c r="AI339" s="57"/>
      <c r="AJ339" s="57"/>
      <c r="AK339" s="19"/>
      <c r="AL339" s="19"/>
      <c r="AM339" s="19"/>
      <c r="AN339" s="19"/>
      <c r="AO339" s="19"/>
      <c r="AP339" s="19"/>
      <c r="AQ339" s="20"/>
      <c r="AR339" s="20"/>
      <c r="AS339" s="20"/>
      <c r="AT339" s="20"/>
      <c r="AU339" s="20"/>
      <c r="AV339" s="29"/>
      <c r="AW339" s="11"/>
      <c r="AX339" s="11"/>
      <c r="AY339" s="11"/>
      <c r="AZ339" s="11"/>
      <c r="BA339" s="11"/>
      <c r="BB339" s="13"/>
      <c r="BC339" s="11" t="str">
        <f t="shared" si="26"/>
        <v>No</v>
      </c>
      <c r="BD339" s="22" t="str">
        <f t="shared" si="27"/>
        <v/>
      </c>
      <c r="BE339" s="11" t="s">
        <v>84</v>
      </c>
      <c r="BF339" s="11" t="str">
        <f t="shared" si="25"/>
        <v>No aplica</v>
      </c>
      <c r="BG339" s="12"/>
      <c r="BH339" s="68"/>
    </row>
    <row r="340" spans="1:60" ht="18" customHeight="1" x14ac:dyDescent="0.3">
      <c r="A340" s="150"/>
      <c r="B340" s="43"/>
      <c r="C340" s="12">
        <v>46359</v>
      </c>
      <c r="D340" s="20">
        <f t="shared" si="24"/>
        <v>0</v>
      </c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94"/>
      <c r="AD340" s="94"/>
      <c r="AE340" s="57"/>
      <c r="AF340" s="57"/>
      <c r="AG340" s="57"/>
      <c r="AH340" s="57"/>
      <c r="AI340" s="57"/>
      <c r="AJ340" s="57"/>
      <c r="AK340" s="20"/>
      <c r="AL340" s="20"/>
      <c r="AM340" s="19"/>
      <c r="AN340" s="19"/>
      <c r="AO340" s="19"/>
      <c r="AP340" s="19"/>
      <c r="AQ340" s="20"/>
      <c r="AR340" s="20"/>
      <c r="AS340" s="20"/>
      <c r="AT340" s="20"/>
      <c r="AU340" s="20"/>
      <c r="AV340" s="29"/>
      <c r="AW340" s="11"/>
      <c r="AX340" s="11"/>
      <c r="AY340" s="11"/>
      <c r="AZ340" s="11"/>
      <c r="BA340" s="11"/>
      <c r="BB340" s="13"/>
      <c r="BC340" s="11" t="str">
        <f t="shared" si="26"/>
        <v>No</v>
      </c>
      <c r="BD340" s="22" t="str">
        <f t="shared" si="27"/>
        <v/>
      </c>
      <c r="BE340" s="11"/>
      <c r="BF340" s="11" t="str">
        <f t="shared" si="25"/>
        <v>No aplica</v>
      </c>
      <c r="BG340" s="12"/>
      <c r="BH340" s="68"/>
    </row>
    <row r="341" spans="1:60" ht="18" customHeight="1" x14ac:dyDescent="0.3">
      <c r="A341" s="150"/>
      <c r="B341" s="43"/>
      <c r="C341" s="12">
        <v>46360</v>
      </c>
      <c r="D341" s="20">
        <f t="shared" si="24"/>
        <v>0</v>
      </c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94"/>
      <c r="AD341" s="94"/>
      <c r="AE341" s="57"/>
      <c r="AF341" s="57"/>
      <c r="AG341" s="57"/>
      <c r="AH341" s="57"/>
      <c r="AI341" s="57"/>
      <c r="AJ341" s="57"/>
      <c r="AK341" s="19"/>
      <c r="AL341" s="19"/>
      <c r="AM341" s="20"/>
      <c r="AN341" s="20"/>
      <c r="AO341" s="19"/>
      <c r="AP341" s="19"/>
      <c r="AQ341" s="20"/>
      <c r="AR341" s="20"/>
      <c r="AS341" s="20"/>
      <c r="AT341" s="20"/>
      <c r="AU341" s="20"/>
      <c r="AV341" s="29"/>
      <c r="AW341" s="11"/>
      <c r="AX341" s="11"/>
      <c r="AY341" s="11"/>
      <c r="AZ341" s="11"/>
      <c r="BA341" s="11"/>
      <c r="BB341" s="13"/>
      <c r="BC341" s="11" t="str">
        <f t="shared" si="26"/>
        <v>No</v>
      </c>
      <c r="BD341" s="22" t="str">
        <f t="shared" si="27"/>
        <v/>
      </c>
      <c r="BE341" s="11"/>
      <c r="BF341" s="11" t="str">
        <f t="shared" si="25"/>
        <v>No aplica</v>
      </c>
      <c r="BG341" s="12"/>
      <c r="BH341" s="68"/>
    </row>
    <row r="342" spans="1:60" ht="18" customHeight="1" x14ac:dyDescent="0.3">
      <c r="A342" s="150"/>
      <c r="B342" s="43"/>
      <c r="C342" s="12">
        <v>46361</v>
      </c>
      <c r="D342" s="20">
        <f t="shared" si="24"/>
        <v>0</v>
      </c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94"/>
      <c r="AD342" s="94"/>
      <c r="AE342" s="57"/>
      <c r="AF342" s="57"/>
      <c r="AG342" s="57"/>
      <c r="AH342" s="57"/>
      <c r="AI342" s="57"/>
      <c r="AJ342" s="57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  <c r="AV342" s="29"/>
      <c r="AW342" s="11"/>
      <c r="AX342" s="11"/>
      <c r="AY342" s="11"/>
      <c r="AZ342" s="11"/>
      <c r="BA342" s="11"/>
      <c r="BB342" s="13"/>
      <c r="BC342" s="11" t="str">
        <f t="shared" si="26"/>
        <v>No</v>
      </c>
      <c r="BD342" s="22" t="str">
        <f t="shared" si="27"/>
        <v/>
      </c>
      <c r="BE342" s="11"/>
      <c r="BF342" s="11" t="str">
        <f t="shared" si="25"/>
        <v>No aplica</v>
      </c>
      <c r="BG342" s="12"/>
      <c r="BH342" s="68"/>
    </row>
    <row r="343" spans="1:60" ht="18" customHeight="1" x14ac:dyDescent="0.3">
      <c r="A343" s="150"/>
      <c r="B343" s="43"/>
      <c r="C343" s="12">
        <v>46362</v>
      </c>
      <c r="D343" s="20">
        <f t="shared" si="24"/>
        <v>0</v>
      </c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20"/>
      <c r="Z343" s="20"/>
      <c r="AA343" s="20"/>
      <c r="AB343" s="20"/>
      <c r="AC343" s="94"/>
      <c r="AD343" s="94"/>
      <c r="AE343" s="57"/>
      <c r="AF343" s="57"/>
      <c r="AG343" s="57"/>
      <c r="AH343" s="57"/>
      <c r="AI343" s="57"/>
      <c r="AJ343" s="57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9"/>
      <c r="AW343" s="11"/>
      <c r="AX343" s="11"/>
      <c r="AY343" s="11"/>
      <c r="AZ343" s="11"/>
      <c r="BA343" s="11"/>
      <c r="BB343" s="13"/>
      <c r="BC343" s="11" t="str">
        <f t="shared" si="26"/>
        <v>No</v>
      </c>
      <c r="BD343" s="22" t="str">
        <f t="shared" si="27"/>
        <v/>
      </c>
      <c r="BE343" s="11"/>
      <c r="BF343" s="11" t="str">
        <f t="shared" si="25"/>
        <v>No aplica</v>
      </c>
      <c r="BG343" s="12"/>
      <c r="BH343" s="68"/>
    </row>
    <row r="344" spans="1:60" ht="18" customHeight="1" x14ac:dyDescent="0.3">
      <c r="A344" s="150"/>
      <c r="B344" s="43"/>
      <c r="C344" s="12">
        <v>46363</v>
      </c>
      <c r="D344" s="20">
        <f t="shared" si="24"/>
        <v>0</v>
      </c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20"/>
      <c r="Z344" s="20"/>
      <c r="AA344" s="20"/>
      <c r="AB344" s="20"/>
      <c r="AC344" s="94"/>
      <c r="AD344" s="94"/>
      <c r="AE344" s="57"/>
      <c r="AF344" s="57"/>
      <c r="AG344" s="57"/>
      <c r="AH344" s="57"/>
      <c r="AI344" s="57"/>
      <c r="AJ344" s="57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9"/>
      <c r="AW344" s="11"/>
      <c r="AX344" s="11"/>
      <c r="AY344" s="11"/>
      <c r="AZ344" s="11"/>
      <c r="BA344" s="11"/>
      <c r="BB344" s="13"/>
      <c r="BC344" s="11" t="str">
        <f t="shared" si="26"/>
        <v>No</v>
      </c>
      <c r="BD344" s="22" t="str">
        <f t="shared" si="27"/>
        <v/>
      </c>
      <c r="BE344" s="11"/>
      <c r="BF344" s="11" t="str">
        <f t="shared" si="25"/>
        <v>No aplica</v>
      </c>
      <c r="BG344" s="12"/>
      <c r="BH344" s="68"/>
    </row>
    <row r="345" spans="1:60" ht="18" customHeight="1" x14ac:dyDescent="0.3">
      <c r="A345" s="150"/>
      <c r="B345" s="43"/>
      <c r="C345" s="12">
        <v>46364</v>
      </c>
      <c r="D345" s="20">
        <f t="shared" si="24"/>
        <v>0</v>
      </c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20"/>
      <c r="Z345" s="20"/>
      <c r="AA345" s="20"/>
      <c r="AB345" s="20"/>
      <c r="AC345" s="94"/>
      <c r="AD345" s="94"/>
      <c r="AE345" s="57"/>
      <c r="AF345" s="57"/>
      <c r="AG345" s="57"/>
      <c r="AH345" s="57"/>
      <c r="AI345" s="57"/>
      <c r="AJ345" s="57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9"/>
      <c r="AW345" s="11"/>
      <c r="AX345" s="11"/>
      <c r="AY345" s="11"/>
      <c r="AZ345" s="11"/>
      <c r="BA345" s="11"/>
      <c r="BB345" s="13"/>
      <c r="BC345" s="11" t="str">
        <f t="shared" si="26"/>
        <v>No</v>
      </c>
      <c r="BD345" s="22" t="str">
        <f t="shared" si="27"/>
        <v/>
      </c>
      <c r="BE345" s="11"/>
      <c r="BF345" s="11" t="str">
        <f t="shared" si="25"/>
        <v>No aplica</v>
      </c>
      <c r="BG345" s="12"/>
      <c r="BH345" s="68"/>
    </row>
    <row r="346" spans="1:60" ht="18" customHeight="1" x14ac:dyDescent="0.3">
      <c r="A346" s="150"/>
      <c r="B346" s="43"/>
      <c r="C346" s="12">
        <v>46365</v>
      </c>
      <c r="D346" s="20">
        <f t="shared" si="24"/>
        <v>12</v>
      </c>
      <c r="E346" s="111">
        <v>2</v>
      </c>
      <c r="F346" s="112">
        <v>4</v>
      </c>
      <c r="G346" s="111">
        <v>2</v>
      </c>
      <c r="H346" s="112">
        <v>4</v>
      </c>
      <c r="I346" s="111">
        <v>2</v>
      </c>
      <c r="J346" s="112">
        <v>4</v>
      </c>
      <c r="K346" s="20"/>
      <c r="L346" s="20"/>
      <c r="M346" s="20"/>
      <c r="N346" s="20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94"/>
      <c r="AD346" s="94"/>
      <c r="AE346" s="57"/>
      <c r="AF346" s="57"/>
      <c r="AG346" s="57"/>
      <c r="AH346" s="57"/>
      <c r="AI346" s="57"/>
      <c r="AJ346" s="57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9"/>
      <c r="AW346" s="11"/>
      <c r="AX346" s="11"/>
      <c r="AY346" s="11"/>
      <c r="AZ346" s="11"/>
      <c r="BA346" s="11"/>
      <c r="BB346" s="13"/>
      <c r="BC346" s="11" t="str">
        <f t="shared" si="26"/>
        <v>Sí</v>
      </c>
      <c r="BD346" s="22" t="str">
        <f t="shared" si="27"/>
        <v>CPW02
, CPW01, CPW03</v>
      </c>
      <c r="BE346" s="11"/>
      <c r="BF346" s="11" t="str">
        <f t="shared" si="25"/>
        <v>Programado pendiente</v>
      </c>
      <c r="BG346" s="12"/>
      <c r="BH346" s="68"/>
    </row>
    <row r="347" spans="1:60" ht="18" customHeight="1" x14ac:dyDescent="0.3">
      <c r="A347" s="150"/>
      <c r="B347" s="43"/>
      <c r="C347" s="12">
        <v>46366</v>
      </c>
      <c r="D347" s="20">
        <f t="shared" si="24"/>
        <v>12</v>
      </c>
      <c r="E347" s="20"/>
      <c r="F347" s="20"/>
      <c r="G347" s="20"/>
      <c r="H347" s="20"/>
      <c r="I347" s="20"/>
      <c r="J347" s="20"/>
      <c r="K347" s="111">
        <v>2</v>
      </c>
      <c r="L347" s="112">
        <v>4</v>
      </c>
      <c r="M347" s="111">
        <v>2</v>
      </c>
      <c r="N347" s="112">
        <v>4</v>
      </c>
      <c r="O347" s="111">
        <v>2</v>
      </c>
      <c r="P347" s="112">
        <v>4</v>
      </c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94"/>
      <c r="AD347" s="94"/>
      <c r="AE347" s="57"/>
      <c r="AF347" s="57"/>
      <c r="AG347" s="57"/>
      <c r="AH347" s="57"/>
      <c r="AI347" s="57"/>
      <c r="AJ347" s="57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9"/>
      <c r="AW347" s="11"/>
      <c r="AX347" s="11"/>
      <c r="AY347" s="11"/>
      <c r="AZ347" s="11"/>
      <c r="BA347" s="11"/>
      <c r="BB347" s="13"/>
      <c r="BC347" s="11" t="str">
        <f t="shared" si="26"/>
        <v>Sí</v>
      </c>
      <c r="BD347" s="22" t="str">
        <f t="shared" si="27"/>
        <v>CPW04
, CPW05, CPW06</v>
      </c>
      <c r="BE347" s="11"/>
      <c r="BF347" s="11" t="str">
        <f t="shared" si="25"/>
        <v>Programado pendiente</v>
      </c>
      <c r="BG347" s="12"/>
      <c r="BH347" s="68"/>
    </row>
    <row r="348" spans="1:60" ht="18" customHeight="1" x14ac:dyDescent="0.3">
      <c r="A348" s="150"/>
      <c r="B348" s="43"/>
      <c r="C348" s="12">
        <v>46367</v>
      </c>
      <c r="D348" s="20">
        <f t="shared" si="24"/>
        <v>4</v>
      </c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19"/>
      <c r="P348" s="19"/>
      <c r="Q348" s="111">
        <v>2</v>
      </c>
      <c r="R348" s="112">
        <v>4</v>
      </c>
      <c r="S348" s="111">
        <v>2</v>
      </c>
      <c r="T348" s="112">
        <v>4</v>
      </c>
      <c r="U348" s="111">
        <v>2</v>
      </c>
      <c r="V348" s="112">
        <v>4</v>
      </c>
      <c r="W348" s="19"/>
      <c r="X348" s="19"/>
      <c r="Y348" s="19"/>
      <c r="Z348" s="19"/>
      <c r="AA348" s="19"/>
      <c r="AB348" s="19"/>
      <c r="AC348" s="94"/>
      <c r="AD348" s="94"/>
      <c r="AE348" s="57"/>
      <c r="AF348" s="57"/>
      <c r="AG348" s="57"/>
      <c r="AH348" s="57"/>
      <c r="AI348" s="57"/>
      <c r="AJ348" s="57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9"/>
      <c r="AW348" s="11"/>
      <c r="AX348" s="11"/>
      <c r="AY348" s="11"/>
      <c r="AZ348" s="11"/>
      <c r="BA348" s="11"/>
      <c r="BB348" s="13"/>
      <c r="BC348" s="11" t="str">
        <f t="shared" si="26"/>
        <v>Sí</v>
      </c>
      <c r="BD348" s="22" t="str">
        <f t="shared" si="27"/>
        <v>CPW07, CPW 10, CPW11</v>
      </c>
      <c r="BE348" s="11"/>
      <c r="BF348" s="11" t="str">
        <f t="shared" si="25"/>
        <v>Programado pendiente</v>
      </c>
      <c r="BG348" s="12"/>
      <c r="BH348" s="68"/>
    </row>
    <row r="349" spans="1:60" ht="18" customHeight="1" x14ac:dyDescent="0.3">
      <c r="A349" s="150"/>
      <c r="B349" s="43"/>
      <c r="C349" s="12">
        <v>46368</v>
      </c>
      <c r="D349" s="20">
        <f t="shared" si="24"/>
        <v>8</v>
      </c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19"/>
      <c r="P349" s="19"/>
      <c r="Q349" s="19"/>
      <c r="R349" s="19"/>
      <c r="S349" s="19"/>
      <c r="T349" s="19"/>
      <c r="U349" s="19"/>
      <c r="V349" s="19"/>
      <c r="W349" s="111">
        <v>2</v>
      </c>
      <c r="X349" s="112">
        <v>4</v>
      </c>
      <c r="Y349" s="111">
        <v>2</v>
      </c>
      <c r="Z349" s="112">
        <v>4</v>
      </c>
      <c r="AA349" s="111">
        <v>2</v>
      </c>
      <c r="AB349" s="112">
        <v>4</v>
      </c>
      <c r="AC349" s="95"/>
      <c r="AD349" s="95"/>
      <c r="AE349" s="58"/>
      <c r="AF349" s="58"/>
      <c r="AG349" s="58"/>
      <c r="AH349" s="58"/>
      <c r="AI349" s="58"/>
      <c r="AJ349" s="58"/>
      <c r="AK349" s="26"/>
      <c r="AL349" s="26"/>
      <c r="AM349" s="26"/>
      <c r="AN349" s="26"/>
      <c r="AO349" s="26"/>
      <c r="AP349" s="26"/>
      <c r="AQ349" s="20"/>
      <c r="AR349" s="20"/>
      <c r="AS349" s="20"/>
      <c r="AT349" s="20"/>
      <c r="AU349" s="20"/>
      <c r="AV349" s="29"/>
      <c r="AW349" s="11"/>
      <c r="AX349" s="11"/>
      <c r="AY349" s="11"/>
      <c r="AZ349" s="11"/>
      <c r="BA349" s="11"/>
      <c r="BB349" s="13"/>
      <c r="BC349" s="11" t="str">
        <f t="shared" si="26"/>
        <v>Sí</v>
      </c>
      <c r="BD349" s="22" t="str">
        <f t="shared" si="27"/>
        <v>CPW12, JINAN 01, JINAN 02</v>
      </c>
      <c r="BE349" s="11"/>
      <c r="BF349" s="11" t="str">
        <f t="shared" si="25"/>
        <v>Programado pendiente</v>
      </c>
      <c r="BG349" s="12"/>
      <c r="BH349" s="68"/>
    </row>
    <row r="350" spans="1:60" ht="18" customHeight="1" x14ac:dyDescent="0.3">
      <c r="A350" s="150"/>
      <c r="B350" s="43"/>
      <c r="C350" s="12">
        <v>46369</v>
      </c>
      <c r="D350" s="20">
        <f t="shared" si="24"/>
        <v>0</v>
      </c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20"/>
      <c r="AB350" s="20"/>
      <c r="AC350" s="94"/>
      <c r="AD350" s="94"/>
      <c r="AE350" s="57"/>
      <c r="AF350" s="57"/>
      <c r="AG350" s="57"/>
      <c r="AH350" s="57"/>
      <c r="AI350" s="57"/>
      <c r="AJ350" s="57"/>
      <c r="AK350" s="19"/>
      <c r="AL350" s="19"/>
      <c r="AM350" s="19"/>
      <c r="AN350" s="19"/>
      <c r="AO350" s="19"/>
      <c r="AP350" s="19"/>
      <c r="AQ350" s="20"/>
      <c r="AR350" s="20"/>
      <c r="AS350" s="20"/>
      <c r="AT350" s="20"/>
      <c r="AU350" s="20"/>
      <c r="AV350" s="29"/>
      <c r="AW350" s="11"/>
      <c r="AX350" s="11"/>
      <c r="AY350" s="11"/>
      <c r="AZ350" s="11"/>
      <c r="BA350" s="11"/>
      <c r="BB350" s="13"/>
      <c r="BC350" s="11" t="str">
        <f t="shared" si="26"/>
        <v>No</v>
      </c>
      <c r="BD350" s="22" t="str">
        <f t="shared" si="27"/>
        <v/>
      </c>
      <c r="BE350" s="11"/>
      <c r="BF350" s="11" t="str">
        <f t="shared" si="25"/>
        <v>No aplica</v>
      </c>
      <c r="BG350" s="12"/>
      <c r="BH350" s="68"/>
    </row>
    <row r="351" spans="1:60" ht="18" customHeight="1" x14ac:dyDescent="0.3">
      <c r="A351" s="150"/>
      <c r="B351" s="43"/>
      <c r="C351" s="12">
        <v>46370</v>
      </c>
      <c r="D351" s="20">
        <f t="shared" si="24"/>
        <v>0</v>
      </c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19"/>
      <c r="P351" s="19"/>
      <c r="Q351" s="19"/>
      <c r="R351" s="19"/>
      <c r="S351" s="20"/>
      <c r="T351" s="20"/>
      <c r="U351" s="19"/>
      <c r="V351" s="19"/>
      <c r="W351" s="19"/>
      <c r="X351" s="19"/>
      <c r="Y351" s="19"/>
      <c r="Z351" s="19"/>
      <c r="AA351" s="19"/>
      <c r="AB351" s="19"/>
      <c r="AC351" s="94"/>
      <c r="AD351" s="94"/>
      <c r="AE351" s="57"/>
      <c r="AF351" s="57"/>
      <c r="AG351" s="57"/>
      <c r="AH351" s="57"/>
      <c r="AI351" s="57"/>
      <c r="AJ351" s="57"/>
      <c r="AK351" s="19"/>
      <c r="AL351" s="19"/>
      <c r="AM351" s="19"/>
      <c r="AN351" s="19"/>
      <c r="AO351" s="19"/>
      <c r="AP351" s="19"/>
      <c r="AQ351" s="20"/>
      <c r="AR351" s="20"/>
      <c r="AS351" s="20"/>
      <c r="AT351" s="20"/>
      <c r="AU351" s="20"/>
      <c r="AV351" s="29"/>
      <c r="AW351" s="11"/>
      <c r="AX351" s="11"/>
      <c r="AY351" s="11"/>
      <c r="AZ351" s="11"/>
      <c r="BA351" s="11"/>
      <c r="BB351" s="13"/>
      <c r="BC351" s="11" t="str">
        <f t="shared" si="26"/>
        <v>No</v>
      </c>
      <c r="BD351" s="22" t="str">
        <f t="shared" si="27"/>
        <v/>
      </c>
      <c r="BE351" s="11"/>
      <c r="BF351" s="11" t="str">
        <f t="shared" si="25"/>
        <v>No aplica</v>
      </c>
      <c r="BG351" s="12"/>
      <c r="BH351" s="68"/>
    </row>
    <row r="352" spans="1:60" ht="18" customHeight="1" x14ac:dyDescent="0.3">
      <c r="A352" s="150"/>
      <c r="B352" s="43"/>
      <c r="C352" s="12">
        <v>46371</v>
      </c>
      <c r="D352" s="20">
        <f t="shared" si="24"/>
        <v>0</v>
      </c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94"/>
      <c r="AD352" s="94"/>
      <c r="AE352" s="57"/>
      <c r="AF352" s="57"/>
      <c r="AG352" s="57"/>
      <c r="AH352" s="57"/>
      <c r="AI352" s="57"/>
      <c r="AJ352" s="57"/>
      <c r="AK352" s="19"/>
      <c r="AL352" s="19"/>
      <c r="AM352" s="19"/>
      <c r="AN352" s="19"/>
      <c r="AO352" s="19"/>
      <c r="AP352" s="19"/>
      <c r="AQ352" s="20"/>
      <c r="AR352" s="20"/>
      <c r="AS352" s="20"/>
      <c r="AT352" s="20"/>
      <c r="AU352" s="20"/>
      <c r="AV352" s="29"/>
      <c r="AW352" s="11"/>
      <c r="AX352" s="11"/>
      <c r="AY352" s="11"/>
      <c r="AZ352" s="11"/>
      <c r="BA352" s="11"/>
      <c r="BB352" s="13"/>
      <c r="BC352" s="11" t="str">
        <f t="shared" si="26"/>
        <v>No</v>
      </c>
      <c r="BD352" s="22" t="str">
        <f t="shared" si="27"/>
        <v/>
      </c>
      <c r="BE352" s="11"/>
      <c r="BF352" s="11" t="str">
        <f t="shared" si="25"/>
        <v>No aplica</v>
      </c>
      <c r="BG352" s="12"/>
      <c r="BH352" s="68"/>
    </row>
    <row r="353" spans="1:60" ht="18" customHeight="1" x14ac:dyDescent="0.3">
      <c r="A353" s="150"/>
      <c r="B353" s="43"/>
      <c r="C353" s="12">
        <v>46372</v>
      </c>
      <c r="D353" s="20">
        <f t="shared" si="24"/>
        <v>0</v>
      </c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94"/>
      <c r="AD353" s="94"/>
      <c r="AE353" s="57"/>
      <c r="AF353" s="57"/>
      <c r="AG353" s="57"/>
      <c r="AH353" s="57"/>
      <c r="AI353" s="57"/>
      <c r="AJ353" s="57"/>
      <c r="AK353" s="19"/>
      <c r="AL353" s="19"/>
      <c r="AM353" s="19"/>
      <c r="AN353" s="19"/>
      <c r="AO353" s="19"/>
      <c r="AP353" s="19"/>
      <c r="AQ353" s="20"/>
      <c r="AR353" s="20"/>
      <c r="AS353" s="20"/>
      <c r="AT353" s="20"/>
      <c r="AU353" s="20"/>
      <c r="AV353" s="29"/>
      <c r="AW353" s="11"/>
      <c r="AX353" s="11"/>
      <c r="AY353" s="11"/>
      <c r="AZ353" s="11"/>
      <c r="BA353" s="11"/>
      <c r="BB353" s="13"/>
      <c r="BC353" s="11" t="str">
        <f t="shared" si="26"/>
        <v>No</v>
      </c>
      <c r="BD353" s="22" t="str">
        <f t="shared" si="27"/>
        <v/>
      </c>
      <c r="BE353" s="11"/>
      <c r="BF353" s="11" t="str">
        <f t="shared" si="25"/>
        <v>No aplica</v>
      </c>
      <c r="BG353" s="12"/>
      <c r="BH353" s="68"/>
    </row>
    <row r="354" spans="1:60" ht="18" customHeight="1" x14ac:dyDescent="0.3">
      <c r="A354" s="150"/>
      <c r="B354" s="43"/>
      <c r="C354" s="12">
        <v>46373</v>
      </c>
      <c r="D354" s="20">
        <f t="shared" si="24"/>
        <v>0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94"/>
      <c r="AD354" s="94"/>
      <c r="AE354" s="57"/>
      <c r="AF354" s="57"/>
      <c r="AG354" s="57"/>
      <c r="AH354" s="57"/>
      <c r="AI354" s="57"/>
      <c r="AJ354" s="57"/>
      <c r="AK354" s="19"/>
      <c r="AL354" s="19"/>
      <c r="AM354" s="19"/>
      <c r="AN354" s="19"/>
      <c r="AO354" s="19"/>
      <c r="AP354" s="19"/>
      <c r="AQ354" s="20"/>
      <c r="AR354" s="20"/>
      <c r="AS354" s="20"/>
      <c r="AT354" s="20"/>
      <c r="AU354" s="20"/>
      <c r="AV354" s="29"/>
      <c r="AW354" s="11"/>
      <c r="AX354" s="11"/>
      <c r="AY354" s="11"/>
      <c r="AZ354" s="11"/>
      <c r="BA354" s="11"/>
      <c r="BB354" s="13"/>
      <c r="BC354" s="11" t="str">
        <f t="shared" si="26"/>
        <v>No</v>
      </c>
      <c r="BD354" s="22" t="str">
        <f t="shared" si="27"/>
        <v/>
      </c>
      <c r="BE354" s="11" t="s">
        <v>84</v>
      </c>
      <c r="BF354" s="11" t="str">
        <f t="shared" si="25"/>
        <v>No aplica</v>
      </c>
      <c r="BG354" s="12"/>
      <c r="BH354" s="68"/>
    </row>
    <row r="355" spans="1:60" ht="18" customHeight="1" x14ac:dyDescent="0.3">
      <c r="A355" s="150"/>
      <c r="B355" s="43"/>
      <c r="C355" s="12">
        <v>46374</v>
      </c>
      <c r="D355" s="20">
        <f t="shared" si="24"/>
        <v>0</v>
      </c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94"/>
      <c r="AD355" s="94"/>
      <c r="AE355" s="57"/>
      <c r="AF355" s="57"/>
      <c r="AG355" s="57"/>
      <c r="AH355" s="57"/>
      <c r="AI355" s="57"/>
      <c r="AJ355" s="57"/>
      <c r="AK355" s="20"/>
      <c r="AL355" s="20"/>
      <c r="AM355" s="19"/>
      <c r="AN355" s="19"/>
      <c r="AO355" s="19"/>
      <c r="AP355" s="19"/>
      <c r="AQ355" s="20"/>
      <c r="AR355" s="20"/>
      <c r="AS355" s="20"/>
      <c r="AT355" s="20"/>
      <c r="AU355" s="20"/>
      <c r="AV355" s="29"/>
      <c r="AW355" s="11"/>
      <c r="AX355" s="11"/>
      <c r="AY355" s="11"/>
      <c r="AZ355" s="11"/>
      <c r="BA355" s="11"/>
      <c r="BB355" s="13"/>
      <c r="BC355" s="11" t="str">
        <f t="shared" si="26"/>
        <v>No</v>
      </c>
      <c r="BD355" s="22" t="str">
        <f t="shared" si="27"/>
        <v/>
      </c>
      <c r="BE355" s="11"/>
      <c r="BF355" s="11" t="str">
        <f t="shared" si="25"/>
        <v>No aplica</v>
      </c>
      <c r="BG355" s="12"/>
      <c r="BH355" s="68"/>
    </row>
    <row r="356" spans="1:60" ht="18" customHeight="1" x14ac:dyDescent="0.3">
      <c r="A356" s="150"/>
      <c r="B356" s="43"/>
      <c r="C356" s="12">
        <v>46375</v>
      </c>
      <c r="D356" s="20">
        <f t="shared" si="24"/>
        <v>0</v>
      </c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94"/>
      <c r="AD356" s="94"/>
      <c r="AE356" s="57"/>
      <c r="AF356" s="57"/>
      <c r="AG356" s="57"/>
      <c r="AH356" s="57"/>
      <c r="AI356" s="57"/>
      <c r="AJ356" s="57"/>
      <c r="AK356" s="19"/>
      <c r="AL356" s="19"/>
      <c r="AM356" s="20"/>
      <c r="AN356" s="20"/>
      <c r="AO356" s="19"/>
      <c r="AP356" s="19"/>
      <c r="AQ356" s="20"/>
      <c r="AR356" s="20"/>
      <c r="AS356" s="20"/>
      <c r="AT356" s="20"/>
      <c r="AU356" s="20"/>
      <c r="AV356" s="29"/>
      <c r="AW356" s="11"/>
      <c r="AX356" s="11"/>
      <c r="AY356" s="11"/>
      <c r="AZ356" s="11"/>
      <c r="BA356" s="11"/>
      <c r="BB356" s="13"/>
      <c r="BC356" s="11" t="str">
        <f t="shared" si="26"/>
        <v>No</v>
      </c>
      <c r="BD356" s="22" t="str">
        <f t="shared" si="27"/>
        <v/>
      </c>
      <c r="BE356" s="11"/>
      <c r="BF356" s="11" t="str">
        <f t="shared" si="25"/>
        <v>No aplica</v>
      </c>
      <c r="BG356" s="12"/>
      <c r="BH356" s="68"/>
    </row>
    <row r="357" spans="1:60" ht="18" customHeight="1" x14ac:dyDescent="0.3">
      <c r="A357" s="150"/>
      <c r="B357" s="43"/>
      <c r="C357" s="12">
        <v>46376</v>
      </c>
      <c r="D357" s="20">
        <f t="shared" si="24"/>
        <v>0</v>
      </c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94"/>
      <c r="AD357" s="94"/>
      <c r="AE357" s="57"/>
      <c r="AF357" s="57"/>
      <c r="AG357" s="57"/>
      <c r="AH357" s="57"/>
      <c r="AI357" s="57"/>
      <c r="AJ357" s="57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  <c r="AV357" s="29"/>
      <c r="AW357" s="11"/>
      <c r="AX357" s="11"/>
      <c r="AY357" s="11"/>
      <c r="AZ357" s="11"/>
      <c r="BA357" s="11"/>
      <c r="BB357" s="13"/>
      <c r="BC357" s="11" t="str">
        <f t="shared" si="26"/>
        <v>No</v>
      </c>
      <c r="BD357" s="22" t="str">
        <f t="shared" si="27"/>
        <v/>
      </c>
      <c r="BE357" s="11"/>
      <c r="BF357" s="11" t="str">
        <f t="shared" si="25"/>
        <v>No aplica</v>
      </c>
      <c r="BG357" s="12"/>
      <c r="BH357" s="68"/>
    </row>
    <row r="358" spans="1:60" ht="18" customHeight="1" x14ac:dyDescent="0.3">
      <c r="A358" s="150"/>
      <c r="B358" s="43"/>
      <c r="C358" s="12">
        <v>46377</v>
      </c>
      <c r="D358" s="20">
        <f t="shared" si="24"/>
        <v>0</v>
      </c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20"/>
      <c r="Z358" s="20"/>
      <c r="AA358" s="20"/>
      <c r="AB358" s="20"/>
      <c r="AC358" s="94"/>
      <c r="AD358" s="94"/>
      <c r="AE358" s="57"/>
      <c r="AF358" s="57"/>
      <c r="AG358" s="57"/>
      <c r="AH358" s="57"/>
      <c r="AI358" s="57"/>
      <c r="AJ358" s="57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9"/>
      <c r="AW358" s="11"/>
      <c r="AX358" s="11"/>
      <c r="AY358" s="11"/>
      <c r="AZ358" s="11"/>
      <c r="BA358" s="11"/>
      <c r="BB358" s="13"/>
      <c r="BC358" s="11" t="str">
        <f t="shared" si="26"/>
        <v>No</v>
      </c>
      <c r="BD358" s="22" t="str">
        <f t="shared" si="27"/>
        <v/>
      </c>
      <c r="BE358" s="11"/>
      <c r="BF358" s="11" t="str">
        <f t="shared" si="25"/>
        <v>No aplica</v>
      </c>
      <c r="BG358" s="12"/>
      <c r="BH358" s="68"/>
    </row>
    <row r="359" spans="1:60" ht="18" customHeight="1" x14ac:dyDescent="0.3">
      <c r="A359" s="150"/>
      <c r="B359" s="43"/>
      <c r="C359" s="12">
        <v>46378</v>
      </c>
      <c r="D359" s="20">
        <f t="shared" si="24"/>
        <v>0</v>
      </c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20"/>
      <c r="Z359" s="20"/>
      <c r="AA359" s="20"/>
      <c r="AB359" s="20"/>
      <c r="AC359" s="94"/>
      <c r="AD359" s="94"/>
      <c r="AE359" s="57"/>
      <c r="AF359" s="57"/>
      <c r="AG359" s="57"/>
      <c r="AH359" s="57"/>
      <c r="AI359" s="57"/>
      <c r="AJ359" s="57"/>
      <c r="AK359" s="20"/>
      <c r="AL359" s="20"/>
      <c r="AM359" s="20"/>
      <c r="AN359" s="20"/>
      <c r="AO359" s="20"/>
      <c r="AP359" s="20"/>
      <c r="AQ359" s="20"/>
      <c r="AR359" s="20"/>
      <c r="AS359" s="62">
        <v>4</v>
      </c>
      <c r="AT359" s="63">
        <v>8</v>
      </c>
      <c r="AU359" s="20"/>
      <c r="AV359" s="29"/>
      <c r="AW359" s="11"/>
      <c r="AX359" s="11"/>
      <c r="AY359" s="11"/>
      <c r="AZ359" s="11"/>
      <c r="BA359" s="11"/>
      <c r="BB359" s="13"/>
      <c r="BC359" s="11" t="str">
        <f t="shared" si="26"/>
        <v>No</v>
      </c>
      <c r="BD359" s="22" t="str">
        <f t="shared" si="27"/>
        <v/>
      </c>
      <c r="BE359" s="11"/>
      <c r="BF359" s="11" t="str">
        <f t="shared" si="25"/>
        <v>No aplica</v>
      </c>
      <c r="BG359" s="12"/>
      <c r="BH359" s="68"/>
    </row>
    <row r="360" spans="1:60" ht="18" customHeight="1" x14ac:dyDescent="0.3">
      <c r="A360" s="150"/>
      <c r="B360" s="43"/>
      <c r="C360" s="12">
        <v>46379</v>
      </c>
      <c r="D360" s="20">
        <f t="shared" si="24"/>
        <v>0</v>
      </c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20"/>
      <c r="Z360" s="20"/>
      <c r="AA360" s="20"/>
      <c r="AB360" s="20"/>
      <c r="AC360" s="94"/>
      <c r="AD360" s="94"/>
      <c r="AE360" s="57"/>
      <c r="AF360" s="57"/>
      <c r="AG360" s="57"/>
      <c r="AH360" s="57"/>
      <c r="AI360" s="57"/>
      <c r="AJ360" s="57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62">
        <v>4</v>
      </c>
      <c r="AV360" s="63">
        <v>8</v>
      </c>
      <c r="AW360" s="11"/>
      <c r="AX360" s="11"/>
      <c r="AY360" s="11"/>
      <c r="AZ360" s="11"/>
      <c r="BA360" s="11"/>
      <c r="BB360" s="13"/>
      <c r="BC360" s="11" t="str">
        <f t="shared" si="26"/>
        <v>Sí</v>
      </c>
      <c r="BD360" s="22" t="str">
        <f t="shared" si="27"/>
        <v>CYC</v>
      </c>
      <c r="BE360" s="11"/>
      <c r="BF360" s="11" t="str">
        <f t="shared" si="25"/>
        <v>Programado pendiente</v>
      </c>
      <c r="BG360" s="12"/>
      <c r="BH360" s="68"/>
    </row>
    <row r="361" spans="1:60" ht="18" customHeight="1" x14ac:dyDescent="0.3">
      <c r="A361" s="150"/>
      <c r="B361" s="43"/>
      <c r="C361" s="12">
        <v>46380</v>
      </c>
      <c r="D361" s="20">
        <f t="shared" si="24"/>
        <v>0</v>
      </c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20"/>
      <c r="Z361" s="20"/>
      <c r="AA361" s="20"/>
      <c r="AB361" s="20"/>
      <c r="AC361" s="94"/>
      <c r="AD361" s="94"/>
      <c r="AE361" s="57"/>
      <c r="AF361" s="57"/>
      <c r="AG361" s="57"/>
      <c r="AH361" s="57"/>
      <c r="AI361" s="57"/>
      <c r="AJ361" s="57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9"/>
      <c r="AW361" s="11"/>
      <c r="AX361" s="11"/>
      <c r="AY361" s="11"/>
      <c r="AZ361" s="11"/>
      <c r="BA361" s="11"/>
      <c r="BB361" s="13"/>
      <c r="BC361" s="11" t="str">
        <f t="shared" si="26"/>
        <v>No</v>
      </c>
      <c r="BD361" s="22" t="str">
        <f t="shared" si="27"/>
        <v/>
      </c>
      <c r="BE361" s="11"/>
      <c r="BF361" s="11" t="str">
        <f t="shared" si="25"/>
        <v>No aplica</v>
      </c>
      <c r="BG361" s="12"/>
      <c r="BH361" s="68"/>
    </row>
    <row r="362" spans="1:60" ht="18" customHeight="1" x14ac:dyDescent="0.3">
      <c r="A362" s="150"/>
      <c r="B362" s="43"/>
      <c r="C362" s="12">
        <v>46381</v>
      </c>
      <c r="D362" s="20">
        <f t="shared" si="24"/>
        <v>0</v>
      </c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20"/>
      <c r="Z362" s="20"/>
      <c r="AA362" s="20"/>
      <c r="AB362" s="20"/>
      <c r="AC362" s="94"/>
      <c r="AD362" s="94"/>
      <c r="AE362" s="57"/>
      <c r="AF362" s="57"/>
      <c r="AG362" s="57"/>
      <c r="AH362" s="57"/>
      <c r="AI362" s="57"/>
      <c r="AJ362" s="57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9"/>
      <c r="AW362" s="11"/>
      <c r="AX362" s="11"/>
      <c r="AY362" s="11"/>
      <c r="AZ362" s="11"/>
      <c r="BA362" s="11"/>
      <c r="BB362" s="13"/>
      <c r="BC362" s="11" t="str">
        <f t="shared" si="26"/>
        <v>No</v>
      </c>
      <c r="BD362" s="22" t="str">
        <f t="shared" si="27"/>
        <v/>
      </c>
      <c r="BE362" s="11"/>
      <c r="BF362" s="11" t="str">
        <f t="shared" si="25"/>
        <v>No aplica</v>
      </c>
      <c r="BG362" s="12"/>
      <c r="BH362" s="68"/>
    </row>
    <row r="363" spans="1:60" ht="18" customHeight="1" x14ac:dyDescent="0.3">
      <c r="A363" s="150"/>
      <c r="B363" s="43"/>
      <c r="C363" s="12">
        <v>46382</v>
      </c>
      <c r="D363" s="20">
        <f t="shared" si="24"/>
        <v>0</v>
      </c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20"/>
      <c r="Z363" s="20"/>
      <c r="AA363" s="20"/>
      <c r="AB363" s="20"/>
      <c r="AC363" s="94"/>
      <c r="AD363" s="94"/>
      <c r="AE363" s="57"/>
      <c r="AF363" s="57"/>
      <c r="AG363" s="57"/>
      <c r="AH363" s="57"/>
      <c r="AI363" s="57"/>
      <c r="AJ363" s="57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9"/>
      <c r="AW363" s="11"/>
      <c r="AX363" s="11"/>
      <c r="AY363" s="11"/>
      <c r="AZ363" s="11"/>
      <c r="BA363" s="11"/>
      <c r="BB363" s="13"/>
      <c r="BC363" s="11" t="str">
        <f t="shared" si="26"/>
        <v>No</v>
      </c>
      <c r="BD363" s="22" t="str">
        <f t="shared" si="27"/>
        <v/>
      </c>
      <c r="BE363" s="11"/>
      <c r="BF363" s="11" t="str">
        <f t="shared" si="25"/>
        <v>No aplica</v>
      </c>
      <c r="BG363" s="12"/>
      <c r="BH363" s="68"/>
    </row>
    <row r="364" spans="1:60" ht="18" customHeight="1" x14ac:dyDescent="0.3">
      <c r="A364" s="150"/>
      <c r="B364" s="43"/>
      <c r="C364" s="12">
        <v>46383</v>
      </c>
      <c r="D364" s="20">
        <f t="shared" si="24"/>
        <v>0</v>
      </c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20"/>
      <c r="Z364" s="19"/>
      <c r="AA364" s="19"/>
      <c r="AB364" s="19"/>
      <c r="AC364" s="94"/>
      <c r="AD364" s="94"/>
      <c r="AE364" s="57"/>
      <c r="AF364" s="57"/>
      <c r="AG364" s="57"/>
      <c r="AH364" s="57"/>
      <c r="AI364" s="57"/>
      <c r="AJ364" s="57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9"/>
      <c r="AW364" s="11"/>
      <c r="AX364" s="11"/>
      <c r="AY364" s="11"/>
      <c r="AZ364" s="11"/>
      <c r="BA364" s="11"/>
      <c r="BB364" s="13"/>
      <c r="BC364" s="11" t="str">
        <f t="shared" si="26"/>
        <v>No</v>
      </c>
      <c r="BD364" s="22" t="str">
        <f t="shared" si="27"/>
        <v/>
      </c>
      <c r="BE364" s="11"/>
      <c r="BF364" s="11" t="str">
        <f t="shared" si="25"/>
        <v>No aplica</v>
      </c>
      <c r="BG364" s="12"/>
      <c r="BH364" s="68"/>
    </row>
    <row r="365" spans="1:60" ht="18" customHeight="1" x14ac:dyDescent="0.3">
      <c r="A365" s="150"/>
      <c r="B365" s="43"/>
      <c r="C365" s="12">
        <v>46384</v>
      </c>
      <c r="D365" s="20">
        <f t="shared" si="24"/>
        <v>0</v>
      </c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20"/>
      <c r="Z365" s="19"/>
      <c r="AA365" s="19"/>
      <c r="AB365" s="19"/>
      <c r="AC365" s="94"/>
      <c r="AD365" s="94"/>
      <c r="AE365" s="57"/>
      <c r="AF365" s="57"/>
      <c r="AG365" s="57"/>
      <c r="AH365" s="57"/>
      <c r="AI365" s="57"/>
      <c r="AJ365" s="57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9"/>
      <c r="AW365" s="11"/>
      <c r="AX365" s="11"/>
      <c r="AY365" s="11"/>
      <c r="AZ365" s="11"/>
      <c r="BA365" s="11"/>
      <c r="BB365" s="13"/>
      <c r="BC365" s="11" t="str">
        <f t="shared" si="26"/>
        <v>No</v>
      </c>
      <c r="BD365" s="22" t="str">
        <f t="shared" si="27"/>
        <v/>
      </c>
      <c r="BE365" s="11"/>
      <c r="BF365" s="11" t="str">
        <f t="shared" si="25"/>
        <v>No aplica</v>
      </c>
      <c r="BG365" s="12"/>
      <c r="BH365" s="68"/>
    </row>
    <row r="366" spans="1:60" ht="18" customHeight="1" x14ac:dyDescent="0.3">
      <c r="A366" s="150"/>
      <c r="B366" s="43"/>
      <c r="C366" s="12">
        <v>46385</v>
      </c>
      <c r="D366" s="20">
        <f t="shared" si="24"/>
        <v>0</v>
      </c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20"/>
      <c r="Z366" s="19"/>
      <c r="AA366" s="19"/>
      <c r="AB366" s="19"/>
      <c r="AC366" s="94"/>
      <c r="AD366" s="94"/>
      <c r="AE366" s="57"/>
      <c r="AF366" s="57"/>
      <c r="AG366" s="57"/>
      <c r="AH366" s="57"/>
      <c r="AI366" s="57"/>
      <c r="AJ366" s="57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9"/>
      <c r="AW366" s="11"/>
      <c r="AX366" s="11"/>
      <c r="AY366" s="11"/>
      <c r="AZ366" s="11"/>
      <c r="BA366" s="11"/>
      <c r="BB366" s="13"/>
      <c r="BC366" s="11" t="str">
        <f t="shared" si="26"/>
        <v>No</v>
      </c>
      <c r="BD366" s="22" t="str">
        <f t="shared" si="27"/>
        <v/>
      </c>
      <c r="BE366" s="11"/>
      <c r="BF366" s="11" t="str">
        <f t="shared" si="25"/>
        <v>No aplica</v>
      </c>
      <c r="BG366" s="12"/>
      <c r="BH366" s="68"/>
    </row>
    <row r="367" spans="1:60" ht="18" customHeight="1" x14ac:dyDescent="0.3">
      <c r="A367" s="150"/>
      <c r="B367" s="43"/>
      <c r="C367" s="12">
        <v>46386</v>
      </c>
      <c r="D367" s="20">
        <f t="shared" si="24"/>
        <v>0</v>
      </c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20"/>
      <c r="Z367" s="19"/>
      <c r="AA367" s="19"/>
      <c r="AB367" s="19"/>
      <c r="AC367" s="94"/>
      <c r="AD367" s="94"/>
      <c r="AE367" s="57"/>
      <c r="AF367" s="57"/>
      <c r="AG367" s="57"/>
      <c r="AH367" s="57"/>
      <c r="AI367" s="57"/>
      <c r="AJ367" s="57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9"/>
      <c r="AW367" s="11"/>
      <c r="AX367" s="11"/>
      <c r="AY367" s="11"/>
      <c r="AZ367" s="11"/>
      <c r="BA367" s="11"/>
      <c r="BB367" s="13"/>
      <c r="BC367" s="11" t="str">
        <f t="shared" si="26"/>
        <v>No</v>
      </c>
      <c r="BD367" s="22" t="str">
        <f t="shared" si="27"/>
        <v/>
      </c>
      <c r="BE367" s="11"/>
      <c r="BF367" s="11" t="str">
        <f t="shared" si="25"/>
        <v>No aplica</v>
      </c>
      <c r="BG367" s="12"/>
      <c r="BH367" s="68"/>
    </row>
    <row r="368" spans="1:60" ht="18" customHeight="1" thickBot="1" x14ac:dyDescent="0.35">
      <c r="A368" s="151"/>
      <c r="B368" s="44"/>
      <c r="C368" s="30">
        <v>46387</v>
      </c>
      <c r="D368" s="31">
        <f t="shared" si="24"/>
        <v>0</v>
      </c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1"/>
      <c r="Z368" s="31"/>
      <c r="AA368" s="31"/>
      <c r="AB368" s="31"/>
      <c r="AC368" s="96"/>
      <c r="AD368" s="96"/>
      <c r="AE368" s="61"/>
      <c r="AF368" s="61"/>
      <c r="AG368" s="61"/>
      <c r="AH368" s="61"/>
      <c r="AI368" s="61"/>
      <c r="AJ368" s="6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3"/>
      <c r="AW368" s="70"/>
      <c r="AX368" s="70"/>
      <c r="AY368" s="70"/>
      <c r="AZ368" s="70"/>
      <c r="BA368" s="70"/>
      <c r="BB368" s="71"/>
      <c r="BC368" s="70" t="str">
        <f t="shared" si="26"/>
        <v>No</v>
      </c>
      <c r="BD368" s="72" t="str">
        <f t="shared" si="27"/>
        <v/>
      </c>
      <c r="BE368" s="70"/>
      <c r="BF368" s="70" t="str">
        <f t="shared" si="25"/>
        <v>No aplica</v>
      </c>
      <c r="BG368" s="30"/>
      <c r="BH368" s="73"/>
    </row>
    <row r="369" spans="17:24" x14ac:dyDescent="0.3">
      <c r="Q369" s="4"/>
      <c r="R369" s="4"/>
      <c r="S369" s="4"/>
      <c r="T369" s="4"/>
      <c r="U369" s="4"/>
      <c r="V369" s="4"/>
      <c r="W369" s="4"/>
      <c r="X369" s="4"/>
    </row>
    <row r="370" spans="17:24" x14ac:dyDescent="0.3">
      <c r="Q370" s="4"/>
      <c r="R370" s="4"/>
      <c r="S370" s="4"/>
      <c r="T370" s="4"/>
      <c r="U370" s="4"/>
      <c r="V370" s="4"/>
      <c r="W370" s="4"/>
      <c r="X370" s="4"/>
    </row>
    <row r="371" spans="17:24" x14ac:dyDescent="0.3">
      <c r="Q371" s="4"/>
      <c r="R371" s="4"/>
      <c r="S371" s="4"/>
      <c r="T371" s="4"/>
      <c r="U371" s="4"/>
      <c r="V371" s="4"/>
      <c r="W371" s="4"/>
      <c r="X371" s="4"/>
    </row>
    <row r="372" spans="17:24" x14ac:dyDescent="0.3">
      <c r="Q372" s="4"/>
      <c r="R372" s="4"/>
      <c r="S372" s="4"/>
      <c r="T372" s="4"/>
      <c r="U372" s="4"/>
      <c r="V372" s="4"/>
      <c r="W372" s="4"/>
      <c r="X372" s="4"/>
    </row>
    <row r="373" spans="17:24" x14ac:dyDescent="0.3">
      <c r="Q373" s="4"/>
      <c r="R373" s="4"/>
      <c r="S373" s="4"/>
      <c r="T373" s="4"/>
      <c r="U373" s="4"/>
      <c r="V373" s="4"/>
      <c r="W373" s="4"/>
      <c r="X373" s="4"/>
    </row>
    <row r="374" spans="17:24" x14ac:dyDescent="0.3">
      <c r="Q374" s="4"/>
      <c r="R374" s="4"/>
      <c r="S374" s="4"/>
      <c r="T374" s="4"/>
      <c r="U374" s="4"/>
      <c r="V374" s="4"/>
      <c r="W374" s="4"/>
      <c r="X374" s="4"/>
    </row>
    <row r="375" spans="17:24" x14ac:dyDescent="0.3">
      <c r="Q375" s="4"/>
      <c r="R375" s="4"/>
      <c r="S375" s="4"/>
      <c r="T375" s="4"/>
      <c r="U375" s="4"/>
      <c r="V375" s="4"/>
      <c r="W375" s="4"/>
      <c r="X375" s="4"/>
    </row>
    <row r="376" spans="17:24" x14ac:dyDescent="0.3">
      <c r="Q376" s="4"/>
      <c r="R376" s="4"/>
      <c r="S376" s="4"/>
      <c r="T376" s="4"/>
      <c r="U376" s="4"/>
      <c r="V376" s="4"/>
      <c r="W376" s="4"/>
      <c r="X376" s="4"/>
    </row>
    <row r="377" spans="17:24" x14ac:dyDescent="0.3">
      <c r="Q377" s="4"/>
      <c r="R377" s="4"/>
      <c r="S377" s="4"/>
      <c r="T377" s="4"/>
      <c r="U377" s="4"/>
      <c r="V377" s="4"/>
      <c r="W377" s="4"/>
      <c r="X377" s="4"/>
    </row>
    <row r="378" spans="17:24" x14ac:dyDescent="0.3">
      <c r="Q378" s="4"/>
      <c r="R378" s="4"/>
      <c r="S378" s="4"/>
      <c r="T378" s="4"/>
      <c r="U378" s="4"/>
      <c r="V378" s="4"/>
      <c r="W378" s="4"/>
      <c r="X378" s="4"/>
    </row>
    <row r="379" spans="17:24" x14ac:dyDescent="0.3">
      <c r="Q379" s="4"/>
      <c r="R379" s="4"/>
      <c r="S379" s="4"/>
      <c r="T379" s="4"/>
      <c r="U379" s="4"/>
      <c r="V379" s="4"/>
      <c r="W379" s="4"/>
      <c r="X379" s="4"/>
    </row>
    <row r="380" spans="17:24" x14ac:dyDescent="0.3">
      <c r="Q380" s="4"/>
      <c r="R380" s="4"/>
      <c r="S380" s="4"/>
      <c r="T380" s="4"/>
      <c r="U380" s="4"/>
      <c r="V380" s="4"/>
      <c r="W380" s="4"/>
      <c r="X380" s="4"/>
    </row>
    <row r="381" spans="17:24" x14ac:dyDescent="0.3">
      <c r="Q381" s="4"/>
      <c r="R381" s="4"/>
      <c r="S381" s="4"/>
      <c r="T381" s="4"/>
      <c r="U381" s="4"/>
      <c r="V381" s="4"/>
      <c r="W381" s="4"/>
      <c r="X381" s="4"/>
    </row>
    <row r="382" spans="17:24" x14ac:dyDescent="0.3">
      <c r="Q382" s="4"/>
      <c r="R382" s="4"/>
      <c r="S382" s="4"/>
      <c r="T382" s="4"/>
      <c r="U382" s="4"/>
      <c r="V382" s="4"/>
      <c r="W382" s="4"/>
      <c r="X382" s="4"/>
    </row>
    <row r="383" spans="17:24" x14ac:dyDescent="0.3">
      <c r="Q383" s="4"/>
      <c r="R383" s="4"/>
      <c r="S383" s="4"/>
      <c r="T383" s="4"/>
      <c r="U383" s="4"/>
      <c r="V383" s="4"/>
      <c r="W383" s="4"/>
      <c r="X383" s="4"/>
    </row>
    <row r="384" spans="17:24" x14ac:dyDescent="0.3">
      <c r="Q384" s="4"/>
      <c r="R384" s="4"/>
      <c r="S384" s="4"/>
      <c r="T384" s="4"/>
      <c r="U384" s="4"/>
      <c r="V384" s="4"/>
      <c r="W384" s="4"/>
      <c r="X384" s="4"/>
    </row>
    <row r="385" spans="17:24" x14ac:dyDescent="0.3">
      <c r="Q385" s="4"/>
      <c r="R385" s="4"/>
      <c r="S385" s="4"/>
      <c r="T385" s="4"/>
      <c r="U385" s="4"/>
      <c r="V385" s="4"/>
      <c r="W385" s="4"/>
      <c r="X385" s="4"/>
    </row>
    <row r="386" spans="17:24" x14ac:dyDescent="0.3">
      <c r="Q386" s="4"/>
      <c r="R386" s="4"/>
      <c r="S386" s="4"/>
      <c r="T386" s="4"/>
      <c r="U386" s="4"/>
      <c r="V386" s="4"/>
      <c r="W386" s="4"/>
      <c r="X386" s="4"/>
    </row>
    <row r="387" spans="17:24" x14ac:dyDescent="0.3">
      <c r="Q387" s="4"/>
      <c r="R387" s="4"/>
      <c r="S387" s="4"/>
      <c r="T387" s="4"/>
      <c r="U387" s="4"/>
      <c r="V387" s="4"/>
      <c r="W387" s="4"/>
      <c r="X387" s="4"/>
    </row>
    <row r="388" spans="17:24" x14ac:dyDescent="0.3">
      <c r="Q388" s="4"/>
      <c r="R388" s="4"/>
      <c r="S388" s="4"/>
      <c r="T388" s="4"/>
      <c r="U388" s="4"/>
      <c r="V388" s="4"/>
      <c r="W388" s="4"/>
      <c r="X388" s="4"/>
    </row>
    <row r="389" spans="17:24" x14ac:dyDescent="0.3">
      <c r="Q389" s="4"/>
      <c r="R389" s="4"/>
      <c r="S389" s="4"/>
      <c r="T389" s="4"/>
      <c r="U389" s="4"/>
      <c r="V389" s="4"/>
      <c r="W389" s="4"/>
      <c r="X389" s="4"/>
    </row>
    <row r="390" spans="17:24" x14ac:dyDescent="0.3">
      <c r="Q390" s="4"/>
      <c r="R390" s="4"/>
      <c r="S390" s="4"/>
      <c r="T390" s="4"/>
      <c r="U390" s="4"/>
      <c r="V390" s="4"/>
      <c r="W390" s="4"/>
      <c r="X390" s="4"/>
    </row>
    <row r="391" spans="17:24" x14ac:dyDescent="0.3">
      <c r="Q391" s="4"/>
      <c r="R391" s="4"/>
      <c r="S391" s="4"/>
      <c r="T391" s="4"/>
      <c r="U391" s="4"/>
      <c r="V391" s="4"/>
      <c r="W391" s="4"/>
      <c r="X391" s="4"/>
    </row>
    <row r="392" spans="17:24" x14ac:dyDescent="0.3">
      <c r="Q392" s="4"/>
      <c r="R392" s="4"/>
      <c r="S392" s="4"/>
      <c r="T392" s="4"/>
      <c r="U392" s="4"/>
      <c r="V392" s="4"/>
      <c r="W392" s="4"/>
      <c r="X392" s="4"/>
    </row>
    <row r="393" spans="17:24" x14ac:dyDescent="0.3">
      <c r="Q393" s="4"/>
      <c r="R393" s="4"/>
      <c r="S393" s="4"/>
      <c r="T393" s="4"/>
      <c r="U393" s="4"/>
      <c r="V393" s="4"/>
      <c r="W393" s="4"/>
      <c r="X393" s="4"/>
    </row>
    <row r="394" spans="17:24" x14ac:dyDescent="0.3">
      <c r="Q394" s="4"/>
      <c r="R394" s="4"/>
      <c r="S394" s="4"/>
      <c r="T394" s="4"/>
      <c r="U394" s="4"/>
      <c r="V394" s="4"/>
      <c r="W394" s="4"/>
      <c r="X394" s="4"/>
    </row>
    <row r="395" spans="17:24" x14ac:dyDescent="0.3">
      <c r="Q395" s="4"/>
      <c r="R395" s="4"/>
      <c r="S395" s="4"/>
      <c r="T395" s="4"/>
      <c r="U395" s="4"/>
      <c r="V395" s="4"/>
      <c r="W395" s="4"/>
      <c r="X395" s="4"/>
    </row>
    <row r="396" spans="17:24" x14ac:dyDescent="0.3">
      <c r="Q396" s="4"/>
      <c r="R396" s="4"/>
      <c r="S396" s="4"/>
      <c r="T396" s="4"/>
      <c r="U396" s="4"/>
      <c r="V396" s="4"/>
      <c r="W396" s="4"/>
      <c r="X396" s="4"/>
    </row>
    <row r="397" spans="17:24" x14ac:dyDescent="0.3">
      <c r="Q397" s="4"/>
      <c r="R397" s="4"/>
      <c r="S397" s="4"/>
      <c r="T397" s="4"/>
      <c r="U397" s="4"/>
      <c r="V397" s="4"/>
      <c r="W397" s="4"/>
      <c r="X397" s="4"/>
    </row>
    <row r="398" spans="17:24" x14ac:dyDescent="0.3">
      <c r="Q398" s="4"/>
      <c r="R398" s="4"/>
      <c r="S398" s="4"/>
      <c r="T398" s="4"/>
      <c r="U398" s="4"/>
      <c r="V398" s="4"/>
      <c r="W398" s="4"/>
      <c r="X398" s="4"/>
    </row>
    <row r="399" spans="17:24" x14ac:dyDescent="0.3">
      <c r="Q399" s="4"/>
      <c r="R399" s="4"/>
      <c r="S399" s="4"/>
      <c r="T399" s="4"/>
      <c r="U399" s="4"/>
      <c r="V399" s="4"/>
      <c r="W399" s="4"/>
      <c r="X399" s="4"/>
    </row>
    <row r="400" spans="17:24" x14ac:dyDescent="0.3">
      <c r="Q400" s="4"/>
      <c r="R400" s="4"/>
      <c r="S400" s="4"/>
      <c r="T400" s="4"/>
      <c r="U400" s="4"/>
      <c r="V400" s="4"/>
      <c r="W400" s="4"/>
      <c r="X400" s="4"/>
    </row>
    <row r="401" spans="17:24" x14ac:dyDescent="0.3">
      <c r="Q401" s="4"/>
      <c r="R401" s="4"/>
      <c r="S401" s="4"/>
      <c r="T401" s="4"/>
      <c r="U401" s="4"/>
      <c r="V401" s="4"/>
      <c r="W401" s="4"/>
      <c r="X401" s="4"/>
    </row>
    <row r="402" spans="17:24" x14ac:dyDescent="0.3">
      <c r="Q402" s="4"/>
      <c r="R402" s="4"/>
      <c r="S402" s="4"/>
      <c r="T402" s="4"/>
      <c r="U402" s="4"/>
      <c r="V402" s="4"/>
      <c r="W402" s="4"/>
      <c r="X402" s="4"/>
    </row>
    <row r="403" spans="17:24" x14ac:dyDescent="0.3">
      <c r="Q403" s="4"/>
      <c r="R403" s="4"/>
      <c r="S403" s="4"/>
      <c r="T403" s="4"/>
      <c r="U403" s="4"/>
      <c r="V403" s="4"/>
      <c r="W403" s="4"/>
      <c r="X403" s="4"/>
    </row>
    <row r="404" spans="17:24" x14ac:dyDescent="0.3">
      <c r="Q404" s="4"/>
      <c r="R404" s="4"/>
      <c r="S404" s="4"/>
      <c r="T404" s="4"/>
      <c r="U404" s="4"/>
      <c r="V404" s="4"/>
      <c r="W404" s="4"/>
      <c r="X404" s="4"/>
    </row>
    <row r="405" spans="17:24" x14ac:dyDescent="0.3">
      <c r="Q405" s="4"/>
      <c r="R405" s="4"/>
      <c r="S405" s="4"/>
      <c r="T405" s="4"/>
      <c r="U405" s="4"/>
      <c r="V405" s="4"/>
      <c r="W405" s="4"/>
      <c r="X405" s="4"/>
    </row>
    <row r="406" spans="17:24" x14ac:dyDescent="0.3">
      <c r="Q406" s="4"/>
      <c r="R406" s="4"/>
      <c r="S406" s="4"/>
      <c r="T406" s="4"/>
      <c r="U406" s="4"/>
      <c r="V406" s="4"/>
      <c r="W406" s="4"/>
      <c r="X406" s="4"/>
    </row>
    <row r="407" spans="17:24" x14ac:dyDescent="0.3">
      <c r="Q407" s="4"/>
      <c r="R407" s="4"/>
      <c r="S407" s="4"/>
      <c r="T407" s="4"/>
      <c r="U407" s="4"/>
      <c r="V407" s="4"/>
      <c r="W407" s="4"/>
      <c r="X407" s="4"/>
    </row>
    <row r="408" spans="17:24" x14ac:dyDescent="0.3">
      <c r="Q408" s="4"/>
      <c r="R408" s="4"/>
      <c r="S408" s="4"/>
      <c r="T408" s="4"/>
      <c r="U408" s="4"/>
      <c r="V408" s="4"/>
      <c r="W408" s="4"/>
      <c r="X408" s="4"/>
    </row>
    <row r="409" spans="17:24" x14ac:dyDescent="0.3">
      <c r="Q409" s="4"/>
      <c r="R409" s="4"/>
      <c r="S409" s="4"/>
      <c r="T409" s="4"/>
      <c r="U409" s="4"/>
      <c r="V409" s="4"/>
      <c r="W409" s="4"/>
      <c r="X409" s="4"/>
    </row>
    <row r="410" spans="17:24" x14ac:dyDescent="0.3">
      <c r="Q410" s="4"/>
      <c r="R410" s="4"/>
      <c r="S410" s="4"/>
      <c r="T410" s="4"/>
      <c r="U410" s="4"/>
      <c r="V410" s="4"/>
      <c r="W410" s="4"/>
      <c r="X410" s="4"/>
    </row>
    <row r="411" spans="17:24" x14ac:dyDescent="0.3">
      <c r="Q411" s="4"/>
      <c r="R411" s="4"/>
      <c r="S411" s="4"/>
      <c r="T411" s="4"/>
      <c r="U411" s="4"/>
      <c r="V411" s="4"/>
      <c r="W411" s="4"/>
      <c r="X411" s="4"/>
    </row>
    <row r="412" spans="17:24" x14ac:dyDescent="0.3">
      <c r="Q412" s="4"/>
      <c r="R412" s="4"/>
      <c r="S412" s="4"/>
      <c r="T412" s="4"/>
      <c r="U412" s="4"/>
      <c r="V412" s="4"/>
      <c r="W412" s="4"/>
      <c r="X412" s="4"/>
    </row>
    <row r="413" spans="17:24" x14ac:dyDescent="0.3">
      <c r="Q413" s="4"/>
      <c r="R413" s="4"/>
      <c r="S413" s="4"/>
      <c r="T413" s="4"/>
      <c r="U413" s="4"/>
      <c r="V413" s="4"/>
      <c r="W413" s="4"/>
      <c r="X413" s="4"/>
    </row>
    <row r="414" spans="17:24" x14ac:dyDescent="0.3">
      <c r="Q414" s="4"/>
      <c r="R414" s="4"/>
      <c r="S414" s="4"/>
      <c r="T414" s="4"/>
      <c r="U414" s="4"/>
      <c r="V414" s="4"/>
      <c r="W414" s="4"/>
      <c r="X414" s="4"/>
    </row>
    <row r="415" spans="17:24" x14ac:dyDescent="0.3">
      <c r="Q415" s="4"/>
      <c r="R415" s="4"/>
      <c r="S415" s="4"/>
      <c r="T415" s="4"/>
      <c r="U415" s="4"/>
      <c r="V415" s="4"/>
      <c r="W415" s="4"/>
      <c r="X415" s="4"/>
    </row>
    <row r="416" spans="17:24" x14ac:dyDescent="0.3">
      <c r="Q416" s="4"/>
      <c r="R416" s="4"/>
      <c r="S416" s="4"/>
      <c r="T416" s="4"/>
      <c r="U416" s="4"/>
      <c r="V416" s="4"/>
      <c r="W416" s="4"/>
      <c r="X416" s="4"/>
    </row>
    <row r="417" spans="17:24" x14ac:dyDescent="0.3">
      <c r="Q417" s="4"/>
      <c r="R417" s="4"/>
      <c r="S417" s="4"/>
      <c r="T417" s="4"/>
      <c r="U417" s="4"/>
      <c r="V417" s="4"/>
      <c r="W417" s="4"/>
      <c r="X417" s="4"/>
    </row>
    <row r="418" spans="17:24" x14ac:dyDescent="0.3">
      <c r="Q418" s="4"/>
      <c r="R418" s="4"/>
      <c r="S418" s="4"/>
      <c r="T418" s="4"/>
      <c r="U418" s="4"/>
      <c r="V418" s="4"/>
      <c r="W418" s="4"/>
      <c r="X418" s="4"/>
    </row>
    <row r="419" spans="17:24" x14ac:dyDescent="0.3">
      <c r="Q419" s="4"/>
      <c r="R419" s="4"/>
      <c r="S419" s="4"/>
      <c r="T419" s="4"/>
      <c r="U419" s="4"/>
      <c r="V419" s="4"/>
      <c r="W419" s="4"/>
      <c r="X419" s="4"/>
    </row>
    <row r="420" spans="17:24" x14ac:dyDescent="0.3">
      <c r="Q420" s="4"/>
      <c r="R420" s="4"/>
      <c r="S420" s="4"/>
      <c r="T420" s="4"/>
      <c r="U420" s="4"/>
      <c r="V420" s="4"/>
      <c r="W420" s="4"/>
      <c r="X420" s="4"/>
    </row>
    <row r="421" spans="17:24" x14ac:dyDescent="0.3">
      <c r="Q421" s="4"/>
      <c r="R421" s="4"/>
      <c r="S421" s="4"/>
      <c r="T421" s="4"/>
      <c r="U421" s="4"/>
      <c r="V421" s="4"/>
      <c r="W421" s="4"/>
      <c r="X421" s="4"/>
    </row>
    <row r="422" spans="17:24" x14ac:dyDescent="0.3">
      <c r="Q422" s="4"/>
      <c r="R422" s="4"/>
      <c r="S422" s="4"/>
      <c r="T422" s="4"/>
      <c r="U422" s="4"/>
      <c r="V422" s="4"/>
      <c r="W422" s="4"/>
      <c r="X422" s="4"/>
    </row>
    <row r="423" spans="17:24" x14ac:dyDescent="0.3">
      <c r="Q423" s="4"/>
      <c r="R423" s="4"/>
      <c r="S423" s="4"/>
      <c r="T423" s="4"/>
      <c r="U423" s="4"/>
      <c r="V423" s="4"/>
      <c r="W423" s="4"/>
      <c r="X423" s="4"/>
    </row>
    <row r="424" spans="17:24" x14ac:dyDescent="0.3">
      <c r="Q424" s="4"/>
      <c r="R424" s="4"/>
      <c r="S424" s="4"/>
      <c r="T424" s="4"/>
      <c r="U424" s="4"/>
      <c r="V424" s="4"/>
      <c r="W424" s="4"/>
      <c r="X424" s="4"/>
    </row>
    <row r="425" spans="17:24" x14ac:dyDescent="0.3">
      <c r="Q425" s="4"/>
      <c r="R425" s="4"/>
      <c r="S425" s="4"/>
      <c r="T425" s="4"/>
      <c r="U425" s="4"/>
      <c r="V425" s="4"/>
      <c r="W425" s="4"/>
      <c r="X425" s="4"/>
    </row>
    <row r="426" spans="17:24" x14ac:dyDescent="0.3">
      <c r="Q426" s="4"/>
      <c r="R426" s="4"/>
      <c r="S426" s="4"/>
      <c r="T426" s="4"/>
      <c r="U426" s="4"/>
      <c r="V426" s="4"/>
      <c r="W426" s="4"/>
      <c r="X426" s="4"/>
    </row>
    <row r="427" spans="17:24" x14ac:dyDescent="0.3">
      <c r="Q427" s="4"/>
      <c r="R427" s="4"/>
      <c r="S427" s="4"/>
      <c r="T427" s="4"/>
      <c r="U427" s="4"/>
      <c r="V427" s="4"/>
      <c r="W427" s="4"/>
      <c r="X427" s="4"/>
    </row>
    <row r="428" spans="17:24" x14ac:dyDescent="0.3">
      <c r="Q428" s="4"/>
      <c r="R428" s="4"/>
      <c r="S428" s="4"/>
      <c r="T428" s="4"/>
      <c r="U428" s="4"/>
      <c r="V428" s="4"/>
      <c r="W428" s="4"/>
      <c r="X428" s="4"/>
    </row>
    <row r="429" spans="17:24" x14ac:dyDescent="0.3">
      <c r="Q429" s="4"/>
      <c r="R429" s="4"/>
      <c r="S429" s="4"/>
      <c r="T429" s="4"/>
      <c r="U429" s="4"/>
      <c r="V429" s="4"/>
      <c r="W429" s="4"/>
      <c r="X429" s="4"/>
    </row>
    <row r="430" spans="17:24" x14ac:dyDescent="0.3">
      <c r="Q430" s="4"/>
      <c r="R430" s="4"/>
      <c r="S430" s="4"/>
      <c r="T430" s="4"/>
      <c r="U430" s="4"/>
      <c r="V430" s="4"/>
      <c r="W430" s="4"/>
      <c r="X430" s="4"/>
    </row>
    <row r="431" spans="17:24" x14ac:dyDescent="0.3">
      <c r="Q431" s="4"/>
      <c r="R431" s="4"/>
      <c r="S431" s="4"/>
      <c r="T431" s="4"/>
      <c r="U431" s="4"/>
      <c r="V431" s="4"/>
      <c r="W431" s="4"/>
      <c r="X431" s="4"/>
    </row>
    <row r="432" spans="17:24" x14ac:dyDescent="0.3">
      <c r="Q432" s="4"/>
      <c r="R432" s="4"/>
      <c r="S432" s="4"/>
      <c r="T432" s="4"/>
      <c r="U432" s="4"/>
      <c r="V432" s="4"/>
      <c r="W432" s="4"/>
      <c r="X432" s="4"/>
    </row>
    <row r="433" spans="17:24" x14ac:dyDescent="0.3">
      <c r="Q433" s="4"/>
      <c r="R433" s="4"/>
      <c r="S433" s="4"/>
      <c r="T433" s="4"/>
      <c r="U433" s="4"/>
      <c r="V433" s="4"/>
      <c r="W433" s="4"/>
      <c r="X433" s="4"/>
    </row>
    <row r="434" spans="17:24" x14ac:dyDescent="0.3">
      <c r="Q434" s="4"/>
      <c r="R434" s="4"/>
      <c r="S434" s="4"/>
      <c r="T434" s="4"/>
      <c r="U434" s="4"/>
      <c r="V434" s="4"/>
      <c r="W434" s="4"/>
      <c r="X434" s="4"/>
    </row>
    <row r="435" spans="17:24" x14ac:dyDescent="0.3">
      <c r="Q435" s="4"/>
      <c r="R435" s="4"/>
      <c r="S435" s="4"/>
      <c r="T435" s="4"/>
      <c r="U435" s="4"/>
      <c r="V435" s="4"/>
      <c r="W435" s="4"/>
      <c r="X435" s="4"/>
    </row>
    <row r="436" spans="17:24" x14ac:dyDescent="0.3">
      <c r="Q436" s="4"/>
      <c r="R436" s="4"/>
      <c r="S436" s="4"/>
      <c r="T436" s="4"/>
      <c r="U436" s="4"/>
      <c r="V436" s="4"/>
      <c r="W436" s="4"/>
      <c r="X436" s="4"/>
    </row>
    <row r="437" spans="17:24" x14ac:dyDescent="0.3">
      <c r="Q437" s="4"/>
      <c r="R437" s="4"/>
      <c r="S437" s="4"/>
      <c r="T437" s="4"/>
      <c r="U437" s="4"/>
      <c r="V437" s="4"/>
      <c r="W437" s="4"/>
      <c r="X437" s="4"/>
    </row>
    <row r="438" spans="17:24" x14ac:dyDescent="0.3">
      <c r="Q438" s="4"/>
      <c r="R438" s="4"/>
      <c r="S438" s="4"/>
      <c r="T438" s="4"/>
      <c r="U438" s="4"/>
      <c r="V438" s="4"/>
      <c r="W438" s="4"/>
      <c r="X438" s="4"/>
    </row>
    <row r="439" spans="17:24" x14ac:dyDescent="0.3">
      <c r="Q439" s="4"/>
      <c r="R439" s="4"/>
      <c r="S439" s="4"/>
      <c r="T439" s="4"/>
      <c r="U439" s="4"/>
      <c r="V439" s="4"/>
      <c r="W439" s="4"/>
      <c r="X439" s="4"/>
    </row>
    <row r="440" spans="17:24" x14ac:dyDescent="0.3">
      <c r="Q440" s="4"/>
      <c r="R440" s="4"/>
      <c r="S440" s="4"/>
      <c r="T440" s="4"/>
      <c r="U440" s="4"/>
      <c r="V440" s="4"/>
      <c r="W440" s="4"/>
      <c r="X440" s="4"/>
    </row>
    <row r="441" spans="17:24" x14ac:dyDescent="0.3">
      <c r="Q441" s="4"/>
      <c r="R441" s="4"/>
      <c r="S441" s="4"/>
      <c r="T441" s="4"/>
      <c r="U441" s="4"/>
      <c r="V441" s="4"/>
      <c r="W441" s="4"/>
      <c r="X441" s="4"/>
    </row>
    <row r="442" spans="17:24" x14ac:dyDescent="0.3">
      <c r="Q442" s="4"/>
      <c r="R442" s="4"/>
      <c r="S442" s="4"/>
      <c r="T442" s="4"/>
      <c r="U442" s="4"/>
      <c r="V442" s="4"/>
      <c r="W442" s="4"/>
      <c r="X442" s="4"/>
    </row>
    <row r="443" spans="17:24" x14ac:dyDescent="0.3">
      <c r="Q443" s="4"/>
      <c r="R443" s="4"/>
      <c r="S443" s="4"/>
      <c r="T443" s="4"/>
      <c r="U443" s="4"/>
      <c r="V443" s="4"/>
      <c r="W443" s="4"/>
      <c r="X443" s="4"/>
    </row>
    <row r="444" spans="17:24" x14ac:dyDescent="0.3">
      <c r="Q444" s="4"/>
      <c r="R444" s="4"/>
      <c r="S444" s="4"/>
      <c r="T444" s="4"/>
      <c r="U444" s="4"/>
      <c r="V444" s="4"/>
      <c r="W444" s="4"/>
      <c r="X444" s="4"/>
    </row>
    <row r="445" spans="17:24" x14ac:dyDescent="0.3">
      <c r="Q445" s="4"/>
      <c r="R445" s="4"/>
      <c r="S445" s="4"/>
      <c r="T445" s="4"/>
      <c r="U445" s="4"/>
      <c r="V445" s="4"/>
      <c r="W445" s="4"/>
      <c r="X445" s="4"/>
    </row>
    <row r="446" spans="17:24" x14ac:dyDescent="0.3">
      <c r="Q446" s="4"/>
      <c r="R446" s="4"/>
      <c r="S446" s="4"/>
      <c r="T446" s="4"/>
      <c r="U446" s="4"/>
      <c r="V446" s="4"/>
      <c r="W446" s="4"/>
      <c r="X446" s="4"/>
    </row>
    <row r="447" spans="17:24" x14ac:dyDescent="0.3">
      <c r="Q447" s="4"/>
      <c r="R447" s="4"/>
      <c r="S447" s="4"/>
      <c r="T447" s="4"/>
      <c r="U447" s="4"/>
      <c r="V447" s="4"/>
      <c r="W447" s="4"/>
      <c r="X447" s="4"/>
    </row>
    <row r="448" spans="17:24" x14ac:dyDescent="0.3">
      <c r="Q448" s="4"/>
      <c r="R448" s="4"/>
      <c r="S448" s="4"/>
      <c r="T448" s="4"/>
      <c r="U448" s="4"/>
      <c r="V448" s="4"/>
      <c r="W448" s="4"/>
      <c r="X448" s="4"/>
    </row>
    <row r="449" spans="17:24" x14ac:dyDescent="0.3">
      <c r="Q449" s="4"/>
      <c r="R449" s="4"/>
      <c r="S449" s="4"/>
      <c r="T449" s="4"/>
      <c r="U449" s="4"/>
      <c r="V449" s="4"/>
      <c r="W449" s="4"/>
      <c r="X449" s="4"/>
    </row>
    <row r="450" spans="17:24" x14ac:dyDescent="0.3">
      <c r="Q450" s="4"/>
      <c r="R450" s="4"/>
      <c r="S450" s="4"/>
      <c r="T450" s="4"/>
      <c r="U450" s="4"/>
      <c r="V450" s="4"/>
      <c r="W450" s="4"/>
      <c r="X450" s="4"/>
    </row>
    <row r="451" spans="17:24" x14ac:dyDescent="0.3">
      <c r="Q451" s="4"/>
      <c r="R451" s="4"/>
      <c r="S451" s="4"/>
      <c r="T451" s="4"/>
      <c r="U451" s="4"/>
      <c r="V451" s="4"/>
      <c r="W451" s="4"/>
      <c r="X451" s="4"/>
    </row>
    <row r="452" spans="17:24" x14ac:dyDescent="0.3">
      <c r="Q452" s="4"/>
      <c r="R452" s="4"/>
      <c r="S452" s="4"/>
      <c r="T452" s="4"/>
      <c r="U452" s="4"/>
      <c r="V452" s="4"/>
      <c r="W452" s="4"/>
      <c r="X452" s="4"/>
    </row>
    <row r="453" spans="17:24" x14ac:dyDescent="0.3">
      <c r="Q453" s="4"/>
      <c r="R453" s="4"/>
      <c r="S453" s="4"/>
      <c r="T453" s="4"/>
      <c r="U453" s="4"/>
      <c r="V453" s="4"/>
      <c r="W453" s="4"/>
      <c r="X453" s="4"/>
    </row>
    <row r="454" spans="17:24" x14ac:dyDescent="0.3">
      <c r="Q454" s="4"/>
      <c r="R454" s="4"/>
      <c r="S454" s="4"/>
      <c r="T454" s="4"/>
      <c r="U454" s="4"/>
      <c r="V454" s="4"/>
      <c r="W454" s="4"/>
      <c r="X454" s="4"/>
    </row>
    <row r="455" spans="17:24" x14ac:dyDescent="0.3">
      <c r="Q455" s="4"/>
      <c r="R455" s="4"/>
      <c r="S455" s="4"/>
      <c r="T455" s="4"/>
      <c r="U455" s="4"/>
      <c r="V455" s="4"/>
      <c r="W455" s="4"/>
      <c r="X455" s="4"/>
    </row>
    <row r="456" spans="17:24" x14ac:dyDescent="0.3">
      <c r="Q456" s="4"/>
      <c r="R456" s="4"/>
      <c r="S456" s="4"/>
      <c r="T456" s="4"/>
      <c r="U456" s="4"/>
      <c r="V456" s="4"/>
      <c r="W456" s="4"/>
      <c r="X456" s="4"/>
    </row>
    <row r="457" spans="17:24" x14ac:dyDescent="0.3">
      <c r="Q457" s="4"/>
      <c r="R457" s="4"/>
      <c r="S457" s="4"/>
      <c r="T457" s="4"/>
      <c r="U457" s="4"/>
      <c r="V457" s="4"/>
      <c r="W457" s="4"/>
      <c r="X457" s="4"/>
    </row>
    <row r="458" spans="17:24" x14ac:dyDescent="0.3">
      <c r="Q458" s="4"/>
      <c r="R458" s="4"/>
      <c r="S458" s="4"/>
      <c r="T458" s="4"/>
      <c r="U458" s="4"/>
      <c r="V458" s="4"/>
      <c r="W458" s="4"/>
      <c r="X458" s="4"/>
    </row>
    <row r="459" spans="17:24" x14ac:dyDescent="0.3">
      <c r="Q459" s="4"/>
      <c r="R459" s="4"/>
      <c r="S459" s="4"/>
      <c r="T459" s="4"/>
      <c r="U459" s="4"/>
      <c r="V459" s="4"/>
      <c r="W459" s="4"/>
      <c r="X459" s="4"/>
    </row>
    <row r="460" spans="17:24" x14ac:dyDescent="0.3">
      <c r="Q460" s="4"/>
      <c r="R460" s="4"/>
      <c r="S460" s="4"/>
      <c r="T460" s="4"/>
      <c r="U460" s="4"/>
      <c r="V460" s="4"/>
      <c r="W460" s="4"/>
      <c r="X460" s="4"/>
    </row>
    <row r="461" spans="17:24" x14ac:dyDescent="0.3">
      <c r="Q461" s="4"/>
      <c r="R461" s="4"/>
      <c r="S461" s="4"/>
      <c r="T461" s="4"/>
      <c r="U461" s="4"/>
      <c r="V461" s="4"/>
      <c r="W461" s="4"/>
      <c r="X461" s="4"/>
    </row>
    <row r="462" spans="17:24" x14ac:dyDescent="0.3">
      <c r="Q462" s="4"/>
      <c r="R462" s="4"/>
      <c r="S462" s="4"/>
      <c r="T462" s="4"/>
      <c r="U462" s="4"/>
      <c r="V462" s="4"/>
      <c r="W462" s="4"/>
      <c r="X462" s="4"/>
    </row>
    <row r="463" spans="17:24" x14ac:dyDescent="0.3">
      <c r="Q463" s="4"/>
      <c r="R463" s="4"/>
      <c r="S463" s="4"/>
      <c r="T463" s="4"/>
      <c r="U463" s="4"/>
      <c r="V463" s="4"/>
      <c r="W463" s="4"/>
      <c r="X463" s="4"/>
    </row>
    <row r="464" spans="17:24" x14ac:dyDescent="0.3">
      <c r="Q464" s="4"/>
      <c r="R464" s="4"/>
      <c r="S464" s="4"/>
      <c r="T464" s="4"/>
      <c r="U464" s="4"/>
      <c r="V464" s="4"/>
      <c r="W464" s="4"/>
      <c r="X464" s="4"/>
    </row>
    <row r="465" spans="17:24" x14ac:dyDescent="0.3">
      <c r="Q465" s="4"/>
      <c r="R465" s="4"/>
      <c r="S465" s="4"/>
      <c r="T465" s="4"/>
      <c r="U465" s="4"/>
      <c r="V465" s="4"/>
      <c r="W465" s="4"/>
      <c r="X465" s="4"/>
    </row>
    <row r="466" spans="17:24" x14ac:dyDescent="0.3">
      <c r="Q466" s="4"/>
      <c r="R466" s="4"/>
      <c r="S466" s="4"/>
      <c r="T466" s="4"/>
      <c r="U466" s="4"/>
      <c r="V466" s="4"/>
      <c r="W466" s="4"/>
      <c r="X466" s="4"/>
    </row>
    <row r="467" spans="17:24" x14ac:dyDescent="0.3">
      <c r="Q467" s="4"/>
      <c r="R467" s="4"/>
      <c r="S467" s="4"/>
      <c r="T467" s="4"/>
      <c r="U467" s="4"/>
      <c r="V467" s="4"/>
      <c r="W467" s="4"/>
      <c r="X467" s="4"/>
    </row>
    <row r="468" spans="17:24" x14ac:dyDescent="0.3">
      <c r="Q468" s="4"/>
      <c r="R468" s="4"/>
      <c r="S468" s="4"/>
      <c r="T468" s="4"/>
      <c r="U468" s="4"/>
      <c r="V468" s="4"/>
      <c r="W468" s="4"/>
      <c r="X468" s="4"/>
    </row>
    <row r="469" spans="17:24" x14ac:dyDescent="0.3">
      <c r="Q469" s="4"/>
      <c r="R469" s="4"/>
      <c r="S469" s="4"/>
      <c r="T469" s="4"/>
      <c r="U469" s="4"/>
      <c r="V469" s="4"/>
      <c r="W469" s="4"/>
      <c r="X469" s="4"/>
    </row>
    <row r="470" spans="17:24" x14ac:dyDescent="0.3">
      <c r="Q470" s="4"/>
      <c r="R470" s="4"/>
      <c r="S470" s="4"/>
      <c r="T470" s="4"/>
      <c r="U470" s="4"/>
      <c r="V470" s="4"/>
      <c r="W470" s="4"/>
      <c r="X470" s="4"/>
    </row>
    <row r="471" spans="17:24" x14ac:dyDescent="0.3">
      <c r="Q471" s="4"/>
      <c r="R471" s="4"/>
      <c r="S471" s="4"/>
      <c r="T471" s="4"/>
      <c r="U471" s="4"/>
      <c r="V471" s="4"/>
      <c r="W471" s="4"/>
      <c r="X471" s="4"/>
    </row>
    <row r="472" spans="17:24" x14ac:dyDescent="0.3">
      <c r="Q472" s="4"/>
      <c r="R472" s="4"/>
      <c r="S472" s="4"/>
      <c r="T472" s="4"/>
      <c r="U472" s="4"/>
      <c r="V472" s="4"/>
      <c r="W472" s="4"/>
      <c r="X472" s="4"/>
    </row>
    <row r="473" spans="17:24" x14ac:dyDescent="0.3">
      <c r="Q473" s="4"/>
      <c r="R473" s="4"/>
      <c r="S473" s="4"/>
      <c r="T473" s="4"/>
      <c r="U473" s="4"/>
      <c r="V473" s="4"/>
      <c r="W473" s="4"/>
      <c r="X473" s="4"/>
    </row>
    <row r="474" spans="17:24" x14ac:dyDescent="0.3">
      <c r="Q474" s="4"/>
      <c r="R474" s="4"/>
      <c r="S474" s="4"/>
      <c r="T474" s="4"/>
      <c r="U474" s="4"/>
      <c r="V474" s="4"/>
      <c r="W474" s="4"/>
      <c r="X474" s="4"/>
    </row>
    <row r="475" spans="17:24" x14ac:dyDescent="0.3">
      <c r="Q475" s="4"/>
      <c r="R475" s="4"/>
      <c r="S475" s="4"/>
      <c r="T475" s="4"/>
      <c r="U475" s="4"/>
      <c r="V475" s="4"/>
      <c r="W475" s="4"/>
      <c r="X475" s="4"/>
    </row>
    <row r="476" spans="17:24" x14ac:dyDescent="0.3">
      <c r="Q476" s="4"/>
      <c r="R476" s="4"/>
      <c r="S476" s="4"/>
      <c r="T476" s="4"/>
      <c r="U476" s="4"/>
      <c r="V476" s="4"/>
      <c r="W476" s="4"/>
      <c r="X476" s="4"/>
    </row>
    <row r="477" spans="17:24" x14ac:dyDescent="0.3">
      <c r="Q477" s="4"/>
      <c r="R477" s="4"/>
      <c r="S477" s="4"/>
      <c r="T477" s="4"/>
      <c r="U477" s="4"/>
      <c r="V477" s="4"/>
      <c r="W477" s="4"/>
      <c r="X477" s="4"/>
    </row>
    <row r="478" spans="17:24" x14ac:dyDescent="0.3">
      <c r="Q478" s="4"/>
      <c r="R478" s="4"/>
      <c r="S478" s="4"/>
      <c r="T478" s="4"/>
      <c r="U478" s="4"/>
      <c r="V478" s="4"/>
      <c r="W478" s="4"/>
      <c r="X478" s="4"/>
    </row>
    <row r="479" spans="17:24" x14ac:dyDescent="0.3">
      <c r="Q479" s="4"/>
      <c r="R479" s="4"/>
      <c r="S479" s="4"/>
      <c r="T479" s="4"/>
      <c r="U479" s="4"/>
      <c r="V479" s="4"/>
      <c r="W479" s="4"/>
      <c r="X479" s="4"/>
    </row>
    <row r="480" spans="17:24" x14ac:dyDescent="0.3">
      <c r="Q480" s="4"/>
      <c r="R480" s="4"/>
      <c r="S480" s="4"/>
      <c r="T480" s="4"/>
      <c r="U480" s="4"/>
      <c r="V480" s="4"/>
      <c r="W480" s="4"/>
      <c r="X480" s="4"/>
    </row>
    <row r="481" spans="17:24" x14ac:dyDescent="0.3">
      <c r="Q481" s="4"/>
      <c r="R481" s="4"/>
      <c r="S481" s="4"/>
      <c r="T481" s="4"/>
      <c r="U481" s="4"/>
      <c r="V481" s="4"/>
      <c r="W481" s="4"/>
      <c r="X481" s="4"/>
    </row>
    <row r="482" spans="17:24" x14ac:dyDescent="0.3">
      <c r="Q482" s="4"/>
      <c r="R482" s="4"/>
      <c r="S482" s="4"/>
      <c r="T482" s="4"/>
      <c r="U482" s="4"/>
      <c r="V482" s="4"/>
      <c r="W482" s="4"/>
      <c r="X482" s="4"/>
    </row>
    <row r="483" spans="17:24" x14ac:dyDescent="0.3">
      <c r="Q483" s="4"/>
      <c r="R483" s="4"/>
      <c r="S483" s="4"/>
      <c r="T483" s="4"/>
      <c r="U483" s="4"/>
      <c r="V483" s="4"/>
      <c r="W483" s="4"/>
      <c r="X483" s="4"/>
    </row>
    <row r="484" spans="17:24" x14ac:dyDescent="0.3">
      <c r="Q484" s="4"/>
      <c r="R484" s="4"/>
      <c r="S484" s="4"/>
      <c r="T484" s="4"/>
      <c r="U484" s="4"/>
      <c r="V484" s="4"/>
      <c r="W484" s="4"/>
      <c r="X484" s="4"/>
    </row>
    <row r="485" spans="17:24" x14ac:dyDescent="0.3">
      <c r="Q485" s="4"/>
      <c r="R485" s="4"/>
      <c r="S485" s="4"/>
      <c r="T485" s="4"/>
      <c r="U485" s="4"/>
      <c r="V485" s="4"/>
      <c r="W485" s="4"/>
      <c r="X485" s="4"/>
    </row>
    <row r="486" spans="17:24" x14ac:dyDescent="0.3">
      <c r="Q486" s="4"/>
      <c r="R486" s="4"/>
      <c r="S486" s="4"/>
      <c r="T486" s="4"/>
      <c r="U486" s="4"/>
      <c r="V486" s="4"/>
      <c r="W486" s="4"/>
      <c r="X486" s="4"/>
    </row>
    <row r="487" spans="17:24" x14ac:dyDescent="0.3">
      <c r="Q487" s="4"/>
      <c r="R487" s="4"/>
      <c r="S487" s="4"/>
      <c r="T487" s="4"/>
      <c r="U487" s="4"/>
      <c r="V487" s="4"/>
      <c r="W487" s="4"/>
      <c r="X487" s="4"/>
    </row>
    <row r="488" spans="17:24" x14ac:dyDescent="0.3">
      <c r="Q488" s="4"/>
      <c r="R488" s="4"/>
      <c r="S488" s="4"/>
      <c r="T488" s="4"/>
      <c r="U488" s="4"/>
      <c r="V488" s="4"/>
      <c r="W488" s="4"/>
      <c r="X488" s="4"/>
    </row>
    <row r="489" spans="17:24" x14ac:dyDescent="0.3">
      <c r="Q489" s="4"/>
      <c r="R489" s="4"/>
      <c r="S489" s="4"/>
      <c r="T489" s="4"/>
      <c r="U489" s="4"/>
      <c r="V489" s="4"/>
      <c r="W489" s="4"/>
      <c r="X489" s="4"/>
    </row>
    <row r="490" spans="17:24" x14ac:dyDescent="0.3">
      <c r="Q490" s="4"/>
      <c r="R490" s="4"/>
      <c r="S490" s="4"/>
      <c r="T490" s="4"/>
      <c r="U490" s="4"/>
      <c r="V490" s="4"/>
      <c r="W490" s="4"/>
      <c r="X490" s="4"/>
    </row>
    <row r="491" spans="17:24" x14ac:dyDescent="0.3">
      <c r="Q491" s="4"/>
      <c r="R491" s="4"/>
      <c r="S491" s="4"/>
      <c r="T491" s="4"/>
      <c r="U491" s="4"/>
      <c r="V491" s="4"/>
      <c r="W491" s="4"/>
      <c r="X491" s="4"/>
    </row>
    <row r="492" spans="17:24" x14ac:dyDescent="0.3">
      <c r="Q492" s="4"/>
      <c r="R492" s="4"/>
      <c r="S492" s="4"/>
      <c r="T492" s="4"/>
      <c r="U492" s="4"/>
      <c r="V492" s="4"/>
      <c r="W492" s="4"/>
      <c r="X492" s="4"/>
    </row>
    <row r="493" spans="17:24" x14ac:dyDescent="0.3">
      <c r="Q493" s="4"/>
      <c r="R493" s="4"/>
      <c r="S493" s="4"/>
      <c r="T493" s="4"/>
      <c r="U493" s="4"/>
      <c r="V493" s="4"/>
      <c r="W493" s="4"/>
      <c r="X493" s="4"/>
    </row>
    <row r="494" spans="17:24" x14ac:dyDescent="0.3">
      <c r="Q494" s="4"/>
      <c r="R494" s="4"/>
      <c r="S494" s="4"/>
      <c r="T494" s="4"/>
      <c r="U494" s="4"/>
      <c r="V494" s="4"/>
      <c r="W494" s="4"/>
      <c r="X494" s="4"/>
    </row>
    <row r="495" spans="17:24" x14ac:dyDescent="0.3">
      <c r="Q495" s="4"/>
      <c r="R495" s="4"/>
      <c r="S495" s="4"/>
      <c r="T495" s="4"/>
      <c r="U495" s="4"/>
      <c r="V495" s="4"/>
      <c r="W495" s="4"/>
      <c r="X495" s="4"/>
    </row>
    <row r="496" spans="17:24" x14ac:dyDescent="0.3">
      <c r="Q496" s="4"/>
      <c r="R496" s="4"/>
      <c r="S496" s="4"/>
      <c r="T496" s="4"/>
      <c r="U496" s="4"/>
      <c r="V496" s="4"/>
      <c r="W496" s="4"/>
      <c r="X496" s="4"/>
    </row>
    <row r="497" spans="17:24" x14ac:dyDescent="0.3">
      <c r="Q497" s="4"/>
      <c r="R497" s="4"/>
      <c r="S497" s="4"/>
      <c r="T497" s="4"/>
      <c r="U497" s="4"/>
      <c r="V497" s="4"/>
      <c r="W497" s="4"/>
      <c r="X497" s="4"/>
    </row>
    <row r="498" spans="17:24" x14ac:dyDescent="0.3">
      <c r="Q498" s="4"/>
      <c r="R498" s="4"/>
      <c r="S498" s="4"/>
      <c r="T498" s="4"/>
      <c r="U498" s="4"/>
      <c r="V498" s="4"/>
      <c r="W498" s="4"/>
      <c r="X498" s="4"/>
    </row>
    <row r="499" spans="17:24" x14ac:dyDescent="0.3">
      <c r="Q499" s="4"/>
      <c r="R499" s="4"/>
      <c r="S499" s="4"/>
      <c r="T499" s="4"/>
      <c r="U499" s="4"/>
      <c r="V499" s="4"/>
      <c r="W499" s="4"/>
      <c r="X499" s="4"/>
    </row>
    <row r="500" spans="17:24" x14ac:dyDescent="0.3">
      <c r="Q500" s="4"/>
      <c r="R500" s="4"/>
      <c r="S500" s="4"/>
      <c r="T500" s="4"/>
      <c r="U500" s="4"/>
      <c r="V500" s="4"/>
      <c r="W500" s="4"/>
      <c r="X500" s="4"/>
    </row>
    <row r="501" spans="17:24" x14ac:dyDescent="0.3">
      <c r="Q501" s="4"/>
      <c r="R501" s="4"/>
      <c r="S501" s="4"/>
      <c r="T501" s="4"/>
      <c r="U501" s="4"/>
      <c r="V501" s="4"/>
      <c r="W501" s="4"/>
      <c r="X501" s="4"/>
    </row>
    <row r="502" spans="17:24" x14ac:dyDescent="0.3">
      <c r="Q502" s="4"/>
      <c r="R502" s="4"/>
      <c r="S502" s="4"/>
      <c r="T502" s="4"/>
      <c r="U502" s="4"/>
      <c r="V502" s="4"/>
      <c r="W502" s="4"/>
      <c r="X502" s="4"/>
    </row>
    <row r="503" spans="17:24" x14ac:dyDescent="0.3">
      <c r="Q503" s="4"/>
      <c r="R503" s="4"/>
      <c r="S503" s="4"/>
      <c r="T503" s="4"/>
      <c r="U503" s="4"/>
      <c r="V503" s="4"/>
      <c r="W503" s="4"/>
      <c r="X503" s="4"/>
    </row>
    <row r="504" spans="17:24" x14ac:dyDescent="0.3">
      <c r="Q504" s="4"/>
      <c r="R504" s="4"/>
      <c r="S504" s="4"/>
      <c r="T504" s="4"/>
      <c r="U504" s="4"/>
      <c r="V504" s="4"/>
      <c r="W504" s="4"/>
      <c r="X504" s="4"/>
    </row>
    <row r="505" spans="17:24" x14ac:dyDescent="0.3">
      <c r="Q505" s="4"/>
      <c r="R505" s="4"/>
      <c r="S505" s="4"/>
      <c r="T505" s="4"/>
      <c r="U505" s="4"/>
      <c r="V505" s="4"/>
      <c r="W505" s="4"/>
      <c r="X505" s="4"/>
    </row>
    <row r="506" spans="17:24" x14ac:dyDescent="0.3">
      <c r="Q506" s="4"/>
      <c r="R506" s="4"/>
      <c r="S506" s="4"/>
      <c r="T506" s="4"/>
      <c r="U506" s="4"/>
      <c r="V506" s="4"/>
      <c r="W506" s="4"/>
      <c r="X506" s="4"/>
    </row>
    <row r="507" spans="17:24" x14ac:dyDescent="0.3">
      <c r="Q507" s="4"/>
      <c r="R507" s="4"/>
      <c r="S507" s="4"/>
      <c r="T507" s="4"/>
      <c r="U507" s="4"/>
      <c r="V507" s="4"/>
      <c r="W507" s="4"/>
      <c r="X507" s="4"/>
    </row>
    <row r="508" spans="17:24" x14ac:dyDescent="0.3">
      <c r="Q508" s="4"/>
      <c r="R508" s="4"/>
      <c r="S508" s="4"/>
      <c r="T508" s="4"/>
      <c r="U508" s="4"/>
      <c r="V508" s="4"/>
      <c r="W508" s="4"/>
      <c r="X508" s="4"/>
    </row>
    <row r="509" spans="17:24" x14ac:dyDescent="0.3">
      <c r="Q509" s="4"/>
      <c r="R509" s="4"/>
      <c r="S509" s="4"/>
      <c r="T509" s="4"/>
      <c r="U509" s="4"/>
      <c r="V509" s="4"/>
      <c r="W509" s="4"/>
      <c r="X509" s="4"/>
    </row>
    <row r="510" spans="17:24" x14ac:dyDescent="0.3">
      <c r="Q510" s="4"/>
      <c r="R510" s="4"/>
      <c r="S510" s="4"/>
      <c r="T510" s="4"/>
      <c r="U510" s="4"/>
      <c r="V510" s="4"/>
      <c r="W510" s="4"/>
      <c r="X510" s="4"/>
    </row>
    <row r="511" spans="17:24" x14ac:dyDescent="0.3">
      <c r="Q511" s="4"/>
      <c r="R511" s="4"/>
      <c r="S511" s="4"/>
      <c r="T511" s="4"/>
      <c r="U511" s="4"/>
      <c r="V511" s="4"/>
      <c r="W511" s="4"/>
      <c r="X511" s="4"/>
    </row>
    <row r="512" spans="17:24" x14ac:dyDescent="0.3">
      <c r="Q512" s="4"/>
      <c r="R512" s="4"/>
      <c r="S512" s="4"/>
      <c r="T512" s="4"/>
      <c r="U512" s="4"/>
      <c r="V512" s="4"/>
      <c r="W512" s="4"/>
      <c r="X512" s="4"/>
    </row>
    <row r="513" spans="17:24" x14ac:dyDescent="0.3">
      <c r="Q513" s="4"/>
      <c r="R513" s="4"/>
      <c r="S513" s="4"/>
      <c r="T513" s="4"/>
      <c r="U513" s="4"/>
      <c r="V513" s="4"/>
      <c r="W513" s="4"/>
      <c r="X513" s="4"/>
    </row>
    <row r="514" spans="17:24" x14ac:dyDescent="0.3">
      <c r="Q514" s="4"/>
      <c r="R514" s="4"/>
      <c r="S514" s="4"/>
      <c r="T514" s="4"/>
      <c r="U514" s="4"/>
      <c r="V514" s="4"/>
      <c r="W514" s="4"/>
      <c r="X514" s="4"/>
    </row>
    <row r="515" spans="17:24" x14ac:dyDescent="0.3">
      <c r="Q515" s="4"/>
      <c r="R515" s="4"/>
      <c r="S515" s="4"/>
      <c r="T515" s="4"/>
      <c r="U515" s="4"/>
      <c r="V515" s="4"/>
      <c r="W515" s="4"/>
      <c r="X515" s="4"/>
    </row>
    <row r="516" spans="17:24" x14ac:dyDescent="0.3">
      <c r="Q516" s="4"/>
      <c r="R516" s="4"/>
      <c r="S516" s="4"/>
      <c r="T516" s="4"/>
      <c r="U516" s="4"/>
      <c r="V516" s="4"/>
      <c r="W516" s="4"/>
      <c r="X516" s="4"/>
    </row>
    <row r="517" spans="17:24" x14ac:dyDescent="0.3">
      <c r="Q517" s="4"/>
      <c r="R517" s="4"/>
      <c r="S517" s="4"/>
      <c r="T517" s="4"/>
      <c r="U517" s="4"/>
      <c r="V517" s="4"/>
      <c r="W517" s="4"/>
      <c r="X517" s="4"/>
    </row>
    <row r="518" spans="17:24" x14ac:dyDescent="0.3">
      <c r="Q518" s="4"/>
      <c r="R518" s="4"/>
      <c r="S518" s="4"/>
      <c r="T518" s="4"/>
      <c r="U518" s="4"/>
      <c r="V518" s="4"/>
      <c r="W518" s="4"/>
      <c r="X518" s="4"/>
    </row>
    <row r="519" spans="17:24" x14ac:dyDescent="0.3">
      <c r="Q519" s="4"/>
      <c r="R519" s="4"/>
      <c r="S519" s="4"/>
      <c r="T519" s="4"/>
      <c r="U519" s="4"/>
      <c r="V519" s="4"/>
      <c r="W519" s="4"/>
      <c r="X519" s="4"/>
    </row>
    <row r="520" spans="17:24" x14ac:dyDescent="0.3">
      <c r="Q520" s="4"/>
      <c r="R520" s="4"/>
      <c r="S520" s="4"/>
      <c r="T520" s="4"/>
      <c r="U520" s="4"/>
      <c r="V520" s="4"/>
      <c r="W520" s="4"/>
      <c r="X520" s="4"/>
    </row>
    <row r="521" spans="17:24" x14ac:dyDescent="0.3">
      <c r="Q521" s="4"/>
      <c r="R521" s="4"/>
      <c r="S521" s="4"/>
      <c r="T521" s="4"/>
      <c r="U521" s="4"/>
      <c r="V521" s="4"/>
      <c r="W521" s="4"/>
      <c r="X521" s="4"/>
    </row>
    <row r="522" spans="17:24" x14ac:dyDescent="0.3">
      <c r="Q522" s="4"/>
      <c r="R522" s="4"/>
      <c r="S522" s="4"/>
      <c r="T522" s="4"/>
      <c r="U522" s="4"/>
      <c r="V522" s="4"/>
      <c r="W522" s="4"/>
      <c r="X522" s="4"/>
    </row>
    <row r="523" spans="17:24" x14ac:dyDescent="0.3">
      <c r="Q523" s="4"/>
      <c r="R523" s="4"/>
      <c r="S523" s="4"/>
      <c r="T523" s="4"/>
      <c r="U523" s="4"/>
      <c r="V523" s="4"/>
      <c r="W523" s="4"/>
      <c r="X523" s="4"/>
    </row>
    <row r="524" spans="17:24" x14ac:dyDescent="0.3">
      <c r="Q524" s="4"/>
      <c r="R524" s="4"/>
      <c r="S524" s="4"/>
      <c r="T524" s="4"/>
      <c r="U524" s="4"/>
      <c r="V524" s="4"/>
      <c r="W524" s="4"/>
      <c r="X524" s="4"/>
    </row>
    <row r="525" spans="17:24" x14ac:dyDescent="0.3">
      <c r="Q525" s="4"/>
      <c r="R525" s="4"/>
      <c r="S525" s="4"/>
      <c r="T525" s="4"/>
      <c r="U525" s="4"/>
      <c r="V525" s="4"/>
      <c r="W525" s="4"/>
      <c r="X525" s="4"/>
    </row>
    <row r="526" spans="17:24" x14ac:dyDescent="0.3">
      <c r="Q526" s="4"/>
      <c r="R526" s="4"/>
      <c r="S526" s="4"/>
      <c r="T526" s="4"/>
      <c r="U526" s="4"/>
      <c r="V526" s="4"/>
      <c r="W526" s="4"/>
      <c r="X526" s="4"/>
    </row>
    <row r="527" spans="17:24" x14ac:dyDescent="0.3">
      <c r="Q527" s="4"/>
      <c r="R527" s="4"/>
      <c r="S527" s="4"/>
      <c r="T527" s="4"/>
      <c r="U527" s="4"/>
      <c r="V527" s="4"/>
      <c r="W527" s="4"/>
      <c r="X527" s="4"/>
    </row>
    <row r="528" spans="17:24" x14ac:dyDescent="0.3">
      <c r="Q528" s="4"/>
      <c r="R528" s="4"/>
      <c r="S528" s="4"/>
      <c r="T528" s="4"/>
      <c r="U528" s="4"/>
      <c r="V528" s="4"/>
      <c r="W528" s="4"/>
      <c r="X528" s="4"/>
    </row>
    <row r="529" spans="17:24" x14ac:dyDescent="0.3">
      <c r="Q529" s="4"/>
      <c r="R529" s="4"/>
      <c r="S529" s="4"/>
      <c r="T529" s="4"/>
      <c r="U529" s="4"/>
      <c r="V529" s="4"/>
      <c r="W529" s="4"/>
      <c r="X529" s="4"/>
    </row>
    <row r="530" spans="17:24" x14ac:dyDescent="0.3">
      <c r="Q530" s="4"/>
      <c r="R530" s="4"/>
      <c r="S530" s="4"/>
      <c r="T530" s="4"/>
      <c r="U530" s="4"/>
      <c r="V530" s="4"/>
      <c r="W530" s="4"/>
      <c r="X530" s="4"/>
    </row>
    <row r="531" spans="17:24" x14ac:dyDescent="0.3">
      <c r="Q531" s="4"/>
      <c r="R531" s="4"/>
      <c r="S531" s="4"/>
      <c r="T531" s="4"/>
      <c r="U531" s="4"/>
      <c r="V531" s="4"/>
      <c r="W531" s="4"/>
      <c r="X531" s="4"/>
    </row>
    <row r="532" spans="17:24" x14ac:dyDescent="0.3">
      <c r="Q532" s="4"/>
      <c r="R532" s="4"/>
      <c r="S532" s="4"/>
      <c r="T532" s="4"/>
      <c r="U532" s="4"/>
      <c r="V532" s="4"/>
      <c r="W532" s="4"/>
      <c r="X532" s="4"/>
    </row>
    <row r="533" spans="17:24" x14ac:dyDescent="0.3">
      <c r="Q533" s="4"/>
      <c r="R533" s="4"/>
      <c r="S533" s="4"/>
      <c r="T533" s="4"/>
      <c r="U533" s="4"/>
      <c r="V533" s="4"/>
      <c r="W533" s="4"/>
      <c r="X533" s="4"/>
    </row>
    <row r="534" spans="17:24" x14ac:dyDescent="0.3">
      <c r="Q534" s="4"/>
      <c r="R534" s="4"/>
      <c r="S534" s="4"/>
      <c r="T534" s="4"/>
      <c r="U534" s="4"/>
      <c r="V534" s="4"/>
      <c r="W534" s="4"/>
      <c r="X534" s="4"/>
    </row>
    <row r="535" spans="17:24" x14ac:dyDescent="0.3">
      <c r="Q535" s="4"/>
      <c r="R535" s="4"/>
      <c r="S535" s="4"/>
      <c r="T535" s="4"/>
      <c r="U535" s="4"/>
      <c r="V535" s="4"/>
      <c r="W535" s="4"/>
      <c r="X535" s="4"/>
    </row>
    <row r="536" spans="17:24" x14ac:dyDescent="0.3">
      <c r="Q536" s="4"/>
      <c r="R536" s="4"/>
      <c r="S536" s="4"/>
      <c r="T536" s="4"/>
      <c r="U536" s="4"/>
      <c r="V536" s="4"/>
      <c r="W536" s="4"/>
      <c r="X536" s="4"/>
    </row>
    <row r="537" spans="17:24" x14ac:dyDescent="0.3">
      <c r="Q537" s="4"/>
      <c r="R537" s="4"/>
      <c r="S537" s="4"/>
      <c r="T537" s="4"/>
      <c r="U537" s="4"/>
      <c r="V537" s="4"/>
      <c r="W537" s="4"/>
      <c r="X537" s="4"/>
    </row>
    <row r="538" spans="17:24" x14ac:dyDescent="0.3">
      <c r="Q538" s="4"/>
      <c r="R538" s="4"/>
      <c r="S538" s="4"/>
      <c r="T538" s="4"/>
      <c r="U538" s="4"/>
      <c r="V538" s="4"/>
      <c r="W538" s="4"/>
      <c r="X538" s="4"/>
    </row>
    <row r="539" spans="17:24" x14ac:dyDescent="0.3">
      <c r="Q539" s="4"/>
      <c r="R539" s="4"/>
      <c r="S539" s="4"/>
      <c r="T539" s="4"/>
      <c r="U539" s="4"/>
      <c r="V539" s="4"/>
      <c r="W539" s="4"/>
      <c r="X539" s="4"/>
    </row>
    <row r="540" spans="17:24" x14ac:dyDescent="0.3">
      <c r="Q540" s="4"/>
      <c r="R540" s="4"/>
      <c r="S540" s="4"/>
      <c r="T540" s="4"/>
      <c r="U540" s="4"/>
      <c r="V540" s="4"/>
      <c r="W540" s="4"/>
      <c r="X540" s="4"/>
    </row>
    <row r="541" spans="17:24" x14ac:dyDescent="0.3">
      <c r="Q541" s="4"/>
      <c r="R541" s="4"/>
      <c r="S541" s="4"/>
      <c r="T541" s="4"/>
      <c r="U541" s="4"/>
      <c r="V541" s="4"/>
      <c r="W541" s="4"/>
      <c r="X541" s="4"/>
    </row>
    <row r="542" spans="17:24" x14ac:dyDescent="0.3">
      <c r="Q542" s="4"/>
      <c r="R542" s="4"/>
      <c r="S542" s="4"/>
      <c r="T542" s="4"/>
      <c r="U542" s="4"/>
      <c r="V542" s="4"/>
      <c r="W542" s="4"/>
      <c r="X542" s="4"/>
    </row>
    <row r="543" spans="17:24" x14ac:dyDescent="0.3">
      <c r="Q543" s="4"/>
      <c r="R543" s="4"/>
      <c r="S543" s="4"/>
      <c r="T543" s="4"/>
      <c r="U543" s="4"/>
      <c r="V543" s="4"/>
      <c r="W543" s="4"/>
      <c r="X543" s="4"/>
    </row>
    <row r="544" spans="17:24" x14ac:dyDescent="0.3">
      <c r="Q544" s="4"/>
      <c r="R544" s="4"/>
      <c r="S544" s="4"/>
      <c r="T544" s="4"/>
      <c r="U544" s="4"/>
      <c r="V544" s="4"/>
      <c r="W544" s="4"/>
      <c r="X544" s="4"/>
    </row>
    <row r="545" spans="17:24" x14ac:dyDescent="0.3">
      <c r="Q545" s="4"/>
      <c r="R545" s="4"/>
      <c r="S545" s="4"/>
      <c r="T545" s="4"/>
      <c r="U545" s="4"/>
      <c r="V545" s="4"/>
      <c r="W545" s="4"/>
      <c r="X545" s="4"/>
    </row>
    <row r="546" spans="17:24" x14ac:dyDescent="0.3">
      <c r="Q546" s="4"/>
      <c r="R546" s="4"/>
      <c r="S546" s="4"/>
      <c r="T546" s="4"/>
      <c r="U546" s="4"/>
      <c r="V546" s="4"/>
      <c r="W546" s="4"/>
      <c r="X546" s="4"/>
    </row>
    <row r="547" spans="17:24" x14ac:dyDescent="0.3">
      <c r="Q547" s="4"/>
      <c r="R547" s="4"/>
      <c r="S547" s="4"/>
      <c r="T547" s="4"/>
      <c r="U547" s="4"/>
      <c r="V547" s="4"/>
      <c r="W547" s="4"/>
      <c r="X547" s="4"/>
    </row>
    <row r="548" spans="17:24" x14ac:dyDescent="0.3">
      <c r="Q548" s="4"/>
      <c r="R548" s="4"/>
      <c r="S548" s="4"/>
      <c r="T548" s="4"/>
      <c r="U548" s="4"/>
      <c r="V548" s="4"/>
      <c r="W548" s="4"/>
      <c r="X548" s="4"/>
    </row>
    <row r="549" spans="17:24" x14ac:dyDescent="0.3">
      <c r="Q549" s="4"/>
      <c r="R549" s="4"/>
      <c r="S549" s="4"/>
      <c r="T549" s="4"/>
      <c r="U549" s="4"/>
      <c r="V549" s="4"/>
      <c r="W549" s="4"/>
      <c r="X549" s="4"/>
    </row>
    <row r="550" spans="17:24" x14ac:dyDescent="0.3">
      <c r="Q550" s="4"/>
      <c r="R550" s="4"/>
      <c r="S550" s="4"/>
      <c r="T550" s="4"/>
      <c r="U550" s="4"/>
      <c r="V550" s="4"/>
      <c r="W550" s="4"/>
      <c r="X550" s="4"/>
    </row>
    <row r="551" spans="17:24" x14ac:dyDescent="0.3">
      <c r="Q551" s="4"/>
      <c r="R551" s="4"/>
      <c r="S551" s="4"/>
      <c r="T551" s="4"/>
      <c r="U551" s="4"/>
      <c r="V551" s="4"/>
      <c r="W551" s="4"/>
      <c r="X551" s="4"/>
    </row>
    <row r="552" spans="17:24" x14ac:dyDescent="0.3">
      <c r="Q552" s="4"/>
      <c r="R552" s="4"/>
      <c r="S552" s="4"/>
      <c r="T552" s="4"/>
      <c r="U552" s="4"/>
      <c r="V552" s="4"/>
      <c r="W552" s="4"/>
      <c r="X552" s="4"/>
    </row>
    <row r="553" spans="17:24" x14ac:dyDescent="0.3">
      <c r="Q553" s="4"/>
      <c r="R553" s="4"/>
      <c r="S553" s="4"/>
      <c r="T553" s="4"/>
      <c r="U553" s="4"/>
      <c r="V553" s="4"/>
      <c r="W553" s="4"/>
      <c r="X553" s="4"/>
    </row>
    <row r="554" spans="17:24" x14ac:dyDescent="0.3">
      <c r="Q554" s="4"/>
      <c r="R554" s="4"/>
      <c r="S554" s="4"/>
      <c r="T554" s="4"/>
      <c r="U554" s="4"/>
      <c r="V554" s="4"/>
      <c r="W554" s="4"/>
      <c r="X554" s="4"/>
    </row>
    <row r="555" spans="17:24" x14ac:dyDescent="0.3">
      <c r="Q555" s="4"/>
      <c r="R555" s="4"/>
      <c r="S555" s="4"/>
      <c r="T555" s="4"/>
      <c r="U555" s="4"/>
      <c r="V555" s="4"/>
      <c r="W555" s="4"/>
      <c r="X555" s="4"/>
    </row>
    <row r="556" spans="17:24" x14ac:dyDescent="0.3">
      <c r="Q556" s="4"/>
      <c r="R556" s="4"/>
      <c r="S556" s="4"/>
      <c r="T556" s="4"/>
      <c r="U556" s="4"/>
      <c r="V556" s="4"/>
      <c r="W556" s="4"/>
      <c r="X556" s="4"/>
    </row>
    <row r="557" spans="17:24" x14ac:dyDescent="0.3">
      <c r="Q557" s="4"/>
      <c r="R557" s="4"/>
      <c r="S557" s="4"/>
      <c r="T557" s="4"/>
      <c r="U557" s="4"/>
      <c r="V557" s="4"/>
      <c r="W557" s="4"/>
      <c r="X557" s="4"/>
    </row>
    <row r="558" spans="17:24" x14ac:dyDescent="0.3">
      <c r="Q558" s="4"/>
      <c r="R558" s="4"/>
      <c r="S558" s="4"/>
      <c r="T558" s="4"/>
      <c r="U558" s="4"/>
      <c r="V558" s="4"/>
      <c r="W558" s="4"/>
      <c r="X558" s="4"/>
    </row>
    <row r="559" spans="17:24" x14ac:dyDescent="0.3">
      <c r="Q559" s="4"/>
      <c r="R559" s="4"/>
      <c r="S559" s="4"/>
      <c r="T559" s="4"/>
      <c r="U559" s="4"/>
      <c r="V559" s="4"/>
      <c r="W559" s="4"/>
      <c r="X559" s="4"/>
    </row>
    <row r="560" spans="17:24" x14ac:dyDescent="0.3">
      <c r="Q560" s="4"/>
      <c r="R560" s="4"/>
      <c r="S560" s="4"/>
      <c r="T560" s="4"/>
      <c r="U560" s="4"/>
      <c r="V560" s="4"/>
      <c r="W560" s="4"/>
      <c r="X560" s="4"/>
    </row>
    <row r="561" spans="17:24" x14ac:dyDescent="0.3">
      <c r="Q561" s="4"/>
      <c r="R561" s="4"/>
      <c r="S561" s="4"/>
      <c r="T561" s="4"/>
      <c r="U561" s="4"/>
      <c r="V561" s="4"/>
      <c r="W561" s="4"/>
      <c r="X561" s="4"/>
    </row>
    <row r="562" spans="17:24" x14ac:dyDescent="0.3">
      <c r="Q562" s="4"/>
      <c r="R562" s="4"/>
      <c r="S562" s="4"/>
      <c r="T562" s="4"/>
      <c r="U562" s="4"/>
      <c r="V562" s="4"/>
      <c r="W562" s="4"/>
      <c r="X562" s="4"/>
    </row>
    <row r="563" spans="17:24" x14ac:dyDescent="0.3">
      <c r="Q563" s="4"/>
      <c r="R563" s="4"/>
      <c r="S563" s="4"/>
      <c r="T563" s="4"/>
      <c r="U563" s="4"/>
      <c r="V563" s="4"/>
      <c r="W563" s="4"/>
      <c r="X563" s="4"/>
    </row>
    <row r="564" spans="17:24" x14ac:dyDescent="0.3">
      <c r="Q564" s="4"/>
      <c r="R564" s="4"/>
      <c r="S564" s="4"/>
      <c r="T564" s="4"/>
      <c r="U564" s="4"/>
      <c r="V564" s="4"/>
      <c r="W564" s="4"/>
      <c r="X564" s="4"/>
    </row>
    <row r="565" spans="17:24" x14ac:dyDescent="0.3">
      <c r="Q565" s="4"/>
      <c r="R565" s="4"/>
      <c r="S565" s="4"/>
      <c r="T565" s="4"/>
      <c r="U565" s="4"/>
      <c r="V565" s="4"/>
      <c r="W565" s="4"/>
      <c r="X565" s="4"/>
    </row>
    <row r="566" spans="17:24" x14ac:dyDescent="0.3">
      <c r="Q566" s="4"/>
      <c r="R566" s="4"/>
      <c r="S566" s="4"/>
      <c r="T566" s="4"/>
      <c r="U566" s="4"/>
      <c r="V566" s="4"/>
      <c r="W566" s="4"/>
      <c r="X566" s="4"/>
    </row>
    <row r="567" spans="17:24" x14ac:dyDescent="0.3">
      <c r="Q567" s="4"/>
      <c r="R567" s="4"/>
      <c r="S567" s="4"/>
      <c r="T567" s="4"/>
      <c r="U567" s="4"/>
      <c r="V567" s="4"/>
      <c r="W567" s="4"/>
      <c r="X567" s="4"/>
    </row>
    <row r="568" spans="17:24" x14ac:dyDescent="0.3">
      <c r="Q568" s="4"/>
      <c r="R568" s="4"/>
      <c r="S568" s="4"/>
      <c r="T568" s="4"/>
      <c r="U568" s="4"/>
      <c r="V568" s="4"/>
      <c r="W568" s="4"/>
      <c r="X568" s="4"/>
    </row>
    <row r="569" spans="17:24" x14ac:dyDescent="0.3">
      <c r="Q569" s="4"/>
      <c r="R569" s="4"/>
      <c r="S569" s="4"/>
      <c r="T569" s="4"/>
      <c r="U569" s="4"/>
      <c r="V569" s="4"/>
      <c r="W569" s="4"/>
      <c r="X569" s="4"/>
    </row>
    <row r="570" spans="17:24" x14ac:dyDescent="0.3">
      <c r="Q570" s="4"/>
      <c r="R570" s="4"/>
      <c r="S570" s="4"/>
      <c r="T570" s="4"/>
      <c r="U570" s="4"/>
      <c r="V570" s="4"/>
      <c r="W570" s="4"/>
      <c r="X570" s="4"/>
    </row>
    <row r="571" spans="17:24" x14ac:dyDescent="0.3">
      <c r="Q571" s="4"/>
      <c r="R571" s="4"/>
      <c r="S571" s="4"/>
      <c r="T571" s="4"/>
      <c r="U571" s="4"/>
      <c r="V571" s="4"/>
      <c r="W571" s="4"/>
      <c r="X571" s="4"/>
    </row>
    <row r="572" spans="17:24" x14ac:dyDescent="0.3">
      <c r="Q572" s="4"/>
      <c r="R572" s="4"/>
      <c r="S572" s="4"/>
      <c r="T572" s="4"/>
      <c r="U572" s="4"/>
      <c r="V572" s="4"/>
      <c r="W572" s="4"/>
      <c r="X572" s="4"/>
    </row>
    <row r="573" spans="17:24" x14ac:dyDescent="0.3">
      <c r="Q573" s="4"/>
      <c r="R573" s="4"/>
      <c r="S573" s="4"/>
      <c r="T573" s="4"/>
      <c r="U573" s="4"/>
      <c r="V573" s="4"/>
      <c r="W573" s="4"/>
      <c r="X573" s="4"/>
    </row>
    <row r="574" spans="17:24" x14ac:dyDescent="0.3">
      <c r="Q574" s="4"/>
      <c r="R574" s="4"/>
      <c r="S574" s="4"/>
      <c r="T574" s="4"/>
      <c r="U574" s="4"/>
      <c r="V574" s="4"/>
      <c r="W574" s="4"/>
      <c r="X574" s="4"/>
    </row>
    <row r="575" spans="17:24" x14ac:dyDescent="0.3">
      <c r="Q575" s="4"/>
      <c r="R575" s="4"/>
      <c r="S575" s="4"/>
      <c r="T575" s="4"/>
      <c r="U575" s="4"/>
      <c r="V575" s="4"/>
      <c r="W575" s="4"/>
      <c r="X575" s="4"/>
    </row>
    <row r="576" spans="17:24" x14ac:dyDescent="0.3">
      <c r="Q576" s="4"/>
      <c r="R576" s="4"/>
      <c r="S576" s="4"/>
      <c r="T576" s="4"/>
      <c r="U576" s="4"/>
      <c r="V576" s="4"/>
      <c r="W576" s="4"/>
      <c r="X576" s="4"/>
    </row>
    <row r="577" spans="17:24" x14ac:dyDescent="0.3">
      <c r="Q577" s="4"/>
      <c r="R577" s="4"/>
      <c r="S577" s="4"/>
      <c r="T577" s="4"/>
      <c r="U577" s="4"/>
      <c r="V577" s="4"/>
      <c r="W577" s="4"/>
      <c r="X577" s="4"/>
    </row>
    <row r="578" spans="17:24" x14ac:dyDescent="0.3">
      <c r="Q578" s="4"/>
      <c r="R578" s="4"/>
      <c r="S578" s="4"/>
      <c r="T578" s="4"/>
      <c r="U578" s="4"/>
      <c r="V578" s="4"/>
      <c r="W578" s="4"/>
      <c r="X578" s="4"/>
    </row>
    <row r="579" spans="17:24" x14ac:dyDescent="0.3">
      <c r="Q579" s="4"/>
      <c r="R579" s="4"/>
      <c r="S579" s="4"/>
      <c r="T579" s="4"/>
      <c r="U579" s="4"/>
      <c r="V579" s="4"/>
      <c r="W579" s="4"/>
      <c r="X579" s="4"/>
    </row>
    <row r="580" spans="17:24" x14ac:dyDescent="0.3">
      <c r="Q580" s="4"/>
      <c r="R580" s="4"/>
      <c r="S580" s="4"/>
      <c r="T580" s="4"/>
      <c r="U580" s="4"/>
      <c r="V580" s="4"/>
      <c r="W580" s="4"/>
      <c r="X580" s="4"/>
    </row>
    <row r="581" spans="17:24" x14ac:dyDescent="0.3">
      <c r="Q581" s="4"/>
      <c r="R581" s="4"/>
      <c r="S581" s="4"/>
      <c r="T581" s="4"/>
      <c r="U581" s="4"/>
      <c r="V581" s="4"/>
      <c r="W581" s="4"/>
      <c r="X581" s="4"/>
    </row>
    <row r="582" spans="17:24" x14ac:dyDescent="0.3">
      <c r="Q582" s="4"/>
      <c r="R582" s="4"/>
      <c r="S582" s="4"/>
      <c r="T582" s="4"/>
      <c r="U582" s="4"/>
      <c r="V582" s="4"/>
      <c r="W582" s="4"/>
      <c r="X582" s="4"/>
    </row>
    <row r="583" spans="17:24" x14ac:dyDescent="0.3">
      <c r="Q583" s="4"/>
      <c r="R583" s="4"/>
      <c r="S583" s="4"/>
      <c r="T583" s="4"/>
      <c r="U583" s="4"/>
      <c r="V583" s="4"/>
      <c r="W583" s="4"/>
      <c r="X583" s="4"/>
    </row>
    <row r="584" spans="17:24" x14ac:dyDescent="0.3">
      <c r="Q584" s="4"/>
      <c r="R584" s="4"/>
      <c r="S584" s="4"/>
      <c r="T584" s="4"/>
      <c r="U584" s="4"/>
      <c r="V584" s="4"/>
      <c r="W584" s="4"/>
      <c r="X584" s="4"/>
    </row>
    <row r="585" spans="17:24" x14ac:dyDescent="0.3">
      <c r="Q585" s="4"/>
      <c r="R585" s="4"/>
      <c r="S585" s="4"/>
      <c r="T585" s="4"/>
      <c r="U585" s="4"/>
      <c r="V585" s="4"/>
      <c r="W585" s="4"/>
      <c r="X585" s="4"/>
    </row>
    <row r="586" spans="17:24" x14ac:dyDescent="0.3">
      <c r="Q586" s="4"/>
      <c r="R586" s="4"/>
      <c r="S586" s="4"/>
      <c r="T586" s="4"/>
      <c r="U586" s="4"/>
      <c r="V586" s="4"/>
      <c r="W586" s="4"/>
      <c r="X586" s="4"/>
    </row>
    <row r="587" spans="17:24" x14ac:dyDescent="0.3">
      <c r="Q587" s="4"/>
      <c r="R587" s="4"/>
      <c r="S587" s="4"/>
      <c r="T587" s="4"/>
      <c r="U587" s="4"/>
      <c r="V587" s="4"/>
      <c r="W587" s="4"/>
      <c r="X587" s="4"/>
    </row>
    <row r="588" spans="17:24" x14ac:dyDescent="0.3">
      <c r="Q588" s="4"/>
      <c r="R588" s="4"/>
      <c r="S588" s="4"/>
      <c r="T588" s="4"/>
      <c r="U588" s="4"/>
      <c r="V588" s="4"/>
      <c r="W588" s="4"/>
      <c r="X588" s="4"/>
    </row>
    <row r="589" spans="17:24" x14ac:dyDescent="0.3">
      <c r="Q589" s="4"/>
      <c r="R589" s="4"/>
      <c r="S589" s="4"/>
      <c r="T589" s="4"/>
      <c r="U589" s="4"/>
      <c r="V589" s="4"/>
      <c r="W589" s="4"/>
      <c r="X589" s="4"/>
    </row>
    <row r="590" spans="17:24" x14ac:dyDescent="0.3">
      <c r="Q590" s="4"/>
      <c r="R590" s="4"/>
      <c r="S590" s="4"/>
      <c r="T590" s="4"/>
      <c r="U590" s="4"/>
      <c r="V590" s="4"/>
      <c r="W590" s="4"/>
      <c r="X590" s="4"/>
    </row>
    <row r="591" spans="17:24" x14ac:dyDescent="0.3">
      <c r="Q591" s="4"/>
      <c r="R591" s="4"/>
      <c r="S591" s="4"/>
      <c r="T591" s="4"/>
      <c r="U591" s="4"/>
      <c r="V591" s="4"/>
      <c r="W591" s="4"/>
      <c r="X591" s="4"/>
    </row>
    <row r="592" spans="17:24" x14ac:dyDescent="0.3">
      <c r="Q592" s="4"/>
      <c r="R592" s="4"/>
      <c r="S592" s="4"/>
      <c r="T592" s="4"/>
      <c r="U592" s="4"/>
      <c r="V592" s="4"/>
      <c r="W592" s="4"/>
      <c r="X592" s="4"/>
    </row>
    <row r="593" spans="17:24" x14ac:dyDescent="0.3">
      <c r="Q593" s="4"/>
      <c r="R593" s="4"/>
      <c r="S593" s="4"/>
      <c r="T593" s="4"/>
      <c r="U593" s="4"/>
      <c r="V593" s="4"/>
      <c r="W593" s="4"/>
      <c r="X593" s="4"/>
    </row>
    <row r="594" spans="17:24" x14ac:dyDescent="0.3">
      <c r="Q594" s="4"/>
      <c r="R594" s="4"/>
      <c r="S594" s="4"/>
      <c r="T594" s="4"/>
      <c r="U594" s="4"/>
      <c r="V594" s="4"/>
      <c r="W594" s="4"/>
      <c r="X594" s="4"/>
    </row>
    <row r="595" spans="17:24" x14ac:dyDescent="0.3">
      <c r="Q595" s="4"/>
      <c r="R595" s="4"/>
      <c r="S595" s="4"/>
      <c r="T595" s="4"/>
      <c r="U595" s="4"/>
      <c r="V595" s="4"/>
      <c r="W595" s="4"/>
      <c r="X595" s="4"/>
    </row>
    <row r="596" spans="17:24" x14ac:dyDescent="0.3">
      <c r="Q596" s="4"/>
      <c r="R596" s="4"/>
      <c r="S596" s="4"/>
      <c r="T596" s="4"/>
      <c r="U596" s="4"/>
      <c r="V596" s="4"/>
      <c r="W596" s="4"/>
      <c r="X596" s="4"/>
    </row>
    <row r="597" spans="17:24" x14ac:dyDescent="0.3">
      <c r="Q597" s="4"/>
      <c r="R597" s="4"/>
      <c r="S597" s="4"/>
      <c r="T597" s="4"/>
      <c r="U597" s="4"/>
      <c r="V597" s="4"/>
      <c r="W597" s="4"/>
      <c r="X597" s="4"/>
    </row>
    <row r="598" spans="17:24" x14ac:dyDescent="0.3">
      <c r="Q598" s="4"/>
      <c r="R598" s="4"/>
      <c r="S598" s="4"/>
      <c r="T598" s="4"/>
      <c r="U598" s="4"/>
      <c r="V598" s="4"/>
      <c r="W598" s="4"/>
      <c r="X598" s="4"/>
    </row>
    <row r="599" spans="17:24" x14ac:dyDescent="0.3">
      <c r="Q599" s="4"/>
      <c r="R599" s="4"/>
      <c r="S599" s="4"/>
      <c r="T599" s="4"/>
      <c r="U599" s="4"/>
      <c r="V599" s="4"/>
      <c r="W599" s="4"/>
      <c r="X599" s="4"/>
    </row>
    <row r="600" spans="17:24" x14ac:dyDescent="0.3">
      <c r="Q600" s="4"/>
      <c r="R600" s="4"/>
      <c r="S600" s="4"/>
      <c r="T600" s="4"/>
      <c r="U600" s="4"/>
      <c r="V600" s="4"/>
      <c r="W600" s="4"/>
      <c r="X600" s="4"/>
    </row>
    <row r="601" spans="17:24" x14ac:dyDescent="0.3">
      <c r="Q601" s="4"/>
      <c r="R601" s="4"/>
      <c r="S601" s="4"/>
      <c r="T601" s="4"/>
      <c r="U601" s="4"/>
      <c r="V601" s="4"/>
      <c r="W601" s="4"/>
      <c r="X601" s="4"/>
    </row>
    <row r="602" spans="17:24" x14ac:dyDescent="0.3">
      <c r="Q602" s="4"/>
      <c r="R602" s="4"/>
      <c r="S602" s="4"/>
      <c r="T602" s="4"/>
      <c r="U602" s="4"/>
      <c r="V602" s="4"/>
      <c r="W602" s="4"/>
      <c r="X602" s="4"/>
    </row>
    <row r="603" spans="17:24" x14ac:dyDescent="0.3">
      <c r="Q603" s="4"/>
      <c r="R603" s="4"/>
      <c r="S603" s="4"/>
      <c r="T603" s="4"/>
      <c r="U603" s="4"/>
      <c r="V603" s="4"/>
      <c r="W603" s="4"/>
      <c r="X603" s="4"/>
    </row>
    <row r="604" spans="17:24" x14ac:dyDescent="0.3">
      <c r="Q604" s="4"/>
      <c r="R604" s="4"/>
      <c r="S604" s="4"/>
      <c r="T604" s="4"/>
      <c r="U604" s="4"/>
      <c r="V604" s="4"/>
      <c r="W604" s="4"/>
      <c r="X604" s="4"/>
    </row>
    <row r="605" spans="17:24" x14ac:dyDescent="0.3">
      <c r="Q605" s="4"/>
      <c r="R605" s="4"/>
      <c r="S605" s="4"/>
      <c r="T605" s="4"/>
      <c r="U605" s="4"/>
      <c r="V605" s="4"/>
      <c r="W605" s="4"/>
      <c r="X605" s="4"/>
    </row>
    <row r="606" spans="17:24" x14ac:dyDescent="0.3">
      <c r="Q606" s="4"/>
      <c r="R606" s="4"/>
      <c r="S606" s="4"/>
      <c r="T606" s="4"/>
      <c r="U606" s="4"/>
      <c r="V606" s="4"/>
      <c r="W606" s="4"/>
      <c r="X606" s="4"/>
    </row>
    <row r="607" spans="17:24" x14ac:dyDescent="0.3">
      <c r="Q607" s="4"/>
      <c r="R607" s="4"/>
      <c r="S607" s="4"/>
      <c r="T607" s="4"/>
      <c r="U607" s="4"/>
      <c r="V607" s="4"/>
      <c r="W607" s="4"/>
      <c r="X607" s="4"/>
    </row>
    <row r="608" spans="17:24" x14ac:dyDescent="0.3">
      <c r="Q608" s="4"/>
      <c r="R608" s="4"/>
      <c r="S608" s="4"/>
      <c r="T608" s="4"/>
      <c r="U608" s="4"/>
      <c r="V608" s="4"/>
      <c r="W608" s="4"/>
      <c r="X608" s="4"/>
    </row>
    <row r="609" spans="17:24" x14ac:dyDescent="0.3">
      <c r="Q609" s="4"/>
      <c r="R609" s="4"/>
      <c r="S609" s="4"/>
      <c r="T609" s="4"/>
      <c r="U609" s="4"/>
      <c r="V609" s="4"/>
      <c r="W609" s="4"/>
      <c r="X609" s="4"/>
    </row>
    <row r="610" spans="17:24" x14ac:dyDescent="0.3">
      <c r="Q610" s="4"/>
      <c r="R610" s="4"/>
      <c r="S610" s="4"/>
      <c r="T610" s="4"/>
      <c r="U610" s="4"/>
      <c r="V610" s="4"/>
      <c r="W610" s="4"/>
      <c r="X610" s="4"/>
    </row>
    <row r="611" spans="17:24" x14ac:dyDescent="0.3">
      <c r="Q611" s="4"/>
      <c r="R611" s="4"/>
      <c r="S611" s="4"/>
      <c r="T611" s="4"/>
      <c r="U611" s="4"/>
      <c r="V611" s="4"/>
      <c r="W611" s="4"/>
      <c r="X611" s="4"/>
    </row>
    <row r="612" spans="17:24" x14ac:dyDescent="0.3">
      <c r="Q612" s="4"/>
      <c r="R612" s="4"/>
      <c r="S612" s="4"/>
      <c r="T612" s="4"/>
      <c r="U612" s="4"/>
      <c r="V612" s="4"/>
      <c r="W612" s="4"/>
      <c r="X612" s="4"/>
    </row>
    <row r="613" spans="17:24" x14ac:dyDescent="0.3">
      <c r="Q613" s="4"/>
      <c r="R613" s="4"/>
      <c r="S613" s="4"/>
      <c r="T613" s="4"/>
      <c r="U613" s="4"/>
      <c r="V613" s="4"/>
      <c r="W613" s="4"/>
      <c r="X613" s="4"/>
    </row>
    <row r="614" spans="17:24" x14ac:dyDescent="0.3">
      <c r="Q614" s="4"/>
      <c r="R614" s="4"/>
      <c r="S614" s="4"/>
      <c r="T614" s="4"/>
      <c r="U614" s="4"/>
      <c r="V614" s="4"/>
      <c r="W614" s="4"/>
      <c r="X614" s="4"/>
    </row>
    <row r="615" spans="17:24" x14ac:dyDescent="0.3">
      <c r="Q615" s="4"/>
      <c r="R615" s="4"/>
      <c r="S615" s="4"/>
      <c r="T615" s="4"/>
      <c r="U615" s="4"/>
      <c r="V615" s="4"/>
      <c r="W615" s="4"/>
      <c r="X615" s="4"/>
    </row>
    <row r="616" spans="17:24" x14ac:dyDescent="0.3">
      <c r="Q616" s="4"/>
      <c r="R616" s="4"/>
      <c r="S616" s="4"/>
      <c r="T616" s="4"/>
      <c r="U616" s="4"/>
      <c r="V616" s="4"/>
      <c r="W616" s="4"/>
      <c r="X616" s="4"/>
    </row>
    <row r="617" spans="17:24" x14ac:dyDescent="0.3">
      <c r="Q617" s="4"/>
      <c r="R617" s="4"/>
      <c r="S617" s="4"/>
      <c r="T617" s="4"/>
      <c r="U617" s="4"/>
      <c r="V617" s="4"/>
      <c r="W617" s="4"/>
      <c r="X617" s="4"/>
    </row>
    <row r="618" spans="17:24" x14ac:dyDescent="0.3">
      <c r="Q618" s="4"/>
      <c r="R618" s="4"/>
      <c r="S618" s="4"/>
      <c r="T618" s="4"/>
      <c r="U618" s="4"/>
      <c r="V618" s="4"/>
      <c r="W618" s="4"/>
      <c r="X618" s="4"/>
    </row>
    <row r="619" spans="17:24" x14ac:dyDescent="0.3">
      <c r="Q619" s="4"/>
      <c r="R619" s="4"/>
      <c r="S619" s="4"/>
      <c r="T619" s="4"/>
      <c r="U619" s="4"/>
      <c r="V619" s="4"/>
      <c r="W619" s="4"/>
      <c r="X619" s="4"/>
    </row>
    <row r="620" spans="17:24" x14ac:dyDescent="0.3">
      <c r="Q620" s="4"/>
      <c r="R620" s="4"/>
      <c r="S620" s="4"/>
      <c r="T620" s="4"/>
      <c r="U620" s="4"/>
      <c r="V620" s="4"/>
      <c r="W620" s="4"/>
      <c r="X620" s="4"/>
    </row>
    <row r="621" spans="17:24" x14ac:dyDescent="0.3">
      <c r="Q621" s="4"/>
      <c r="R621" s="4"/>
      <c r="S621" s="4"/>
      <c r="T621" s="4"/>
      <c r="U621" s="4"/>
      <c r="V621" s="4"/>
      <c r="W621" s="4"/>
      <c r="X621" s="4"/>
    </row>
    <row r="622" spans="17:24" x14ac:dyDescent="0.3">
      <c r="Q622" s="4"/>
      <c r="R622" s="4"/>
      <c r="S622" s="4"/>
      <c r="T622" s="4"/>
      <c r="U622" s="4"/>
      <c r="V622" s="4"/>
      <c r="W622" s="4"/>
      <c r="X622" s="4"/>
    </row>
    <row r="623" spans="17:24" x14ac:dyDescent="0.3">
      <c r="Q623" s="4"/>
      <c r="R623" s="4"/>
      <c r="S623" s="4"/>
      <c r="T623" s="4"/>
      <c r="U623" s="4"/>
      <c r="V623" s="4"/>
      <c r="W623" s="4"/>
      <c r="X623" s="4"/>
    </row>
    <row r="624" spans="17:24" x14ac:dyDescent="0.3">
      <c r="Q624" s="4"/>
      <c r="R624" s="4"/>
      <c r="S624" s="4"/>
      <c r="T624" s="4"/>
      <c r="U624" s="4"/>
      <c r="V624" s="4"/>
      <c r="W624" s="4"/>
      <c r="X624" s="4"/>
    </row>
    <row r="625" spans="17:24" x14ac:dyDescent="0.3">
      <c r="Q625" s="4"/>
      <c r="R625" s="4"/>
      <c r="S625" s="4"/>
      <c r="T625" s="4"/>
      <c r="U625" s="4"/>
      <c r="V625" s="4"/>
      <c r="W625" s="4"/>
      <c r="X625" s="4"/>
    </row>
    <row r="626" spans="17:24" x14ac:dyDescent="0.3">
      <c r="Q626" s="4"/>
      <c r="R626" s="4"/>
      <c r="S626" s="4"/>
      <c r="T626" s="4"/>
      <c r="U626" s="4"/>
      <c r="V626" s="4"/>
      <c r="W626" s="4"/>
      <c r="X626" s="4"/>
    </row>
    <row r="627" spans="17:24" x14ac:dyDescent="0.3">
      <c r="Q627" s="4"/>
      <c r="R627" s="4"/>
      <c r="S627" s="4"/>
      <c r="T627" s="4"/>
      <c r="U627" s="4"/>
      <c r="V627" s="4"/>
      <c r="W627" s="4"/>
      <c r="X627" s="4"/>
    </row>
    <row r="628" spans="17:24" x14ac:dyDescent="0.3">
      <c r="Q628" s="4"/>
      <c r="R628" s="4"/>
      <c r="S628" s="4"/>
      <c r="T628" s="4"/>
      <c r="U628" s="4"/>
      <c r="V628" s="4"/>
      <c r="W628" s="4"/>
      <c r="X628" s="4"/>
    </row>
    <row r="629" spans="17:24" x14ac:dyDescent="0.3">
      <c r="Q629" s="4"/>
      <c r="R629" s="4"/>
      <c r="S629" s="4"/>
      <c r="T629" s="4"/>
      <c r="U629" s="4"/>
      <c r="V629" s="4"/>
      <c r="W629" s="4"/>
      <c r="X629" s="4"/>
    </row>
    <row r="630" spans="17:24" x14ac:dyDescent="0.3">
      <c r="Q630" s="4"/>
      <c r="R630" s="4"/>
      <c r="S630" s="4"/>
      <c r="T630" s="4"/>
      <c r="U630" s="4"/>
      <c r="V630" s="4"/>
      <c r="W630" s="4"/>
      <c r="X630" s="4"/>
    </row>
    <row r="631" spans="17:24" x14ac:dyDescent="0.3">
      <c r="Q631" s="4"/>
      <c r="R631" s="4"/>
      <c r="S631" s="4"/>
      <c r="T631" s="4"/>
      <c r="U631" s="4"/>
      <c r="V631" s="4"/>
      <c r="W631" s="4"/>
      <c r="X631" s="4"/>
    </row>
    <row r="632" spans="17:24" x14ac:dyDescent="0.3">
      <c r="Q632" s="4"/>
      <c r="R632" s="4"/>
      <c r="S632" s="4"/>
      <c r="T632" s="4"/>
      <c r="U632" s="4"/>
      <c r="V632" s="4"/>
      <c r="W632" s="4"/>
      <c r="X632" s="4"/>
    </row>
    <row r="633" spans="17:24" x14ac:dyDescent="0.3">
      <c r="Q633" s="4"/>
      <c r="R633" s="4"/>
      <c r="S633" s="4"/>
      <c r="T633" s="4"/>
      <c r="U633" s="4"/>
      <c r="V633" s="4"/>
      <c r="W633" s="4"/>
      <c r="X633" s="4"/>
    </row>
    <row r="634" spans="17:24" x14ac:dyDescent="0.3">
      <c r="Q634" s="4"/>
      <c r="R634" s="4"/>
      <c r="S634" s="4"/>
      <c r="T634" s="4"/>
      <c r="U634" s="4"/>
      <c r="V634" s="4"/>
      <c r="W634" s="4"/>
      <c r="X634" s="4"/>
    </row>
    <row r="635" spans="17:24" x14ac:dyDescent="0.3">
      <c r="Q635" s="4"/>
      <c r="R635" s="4"/>
      <c r="S635" s="4"/>
      <c r="T635" s="4"/>
      <c r="U635" s="4"/>
      <c r="V635" s="4"/>
      <c r="W635" s="4"/>
      <c r="X635" s="4"/>
    </row>
    <row r="636" spans="17:24" x14ac:dyDescent="0.3">
      <c r="Q636" s="4"/>
      <c r="R636" s="4"/>
      <c r="S636" s="4"/>
      <c r="T636" s="4"/>
      <c r="U636" s="4"/>
      <c r="V636" s="4"/>
      <c r="W636" s="4"/>
      <c r="X636" s="4"/>
    </row>
    <row r="637" spans="17:24" x14ac:dyDescent="0.3">
      <c r="Q637" s="4"/>
      <c r="R637" s="4"/>
      <c r="S637" s="4"/>
      <c r="T637" s="4"/>
      <c r="U637" s="4"/>
      <c r="V637" s="4"/>
      <c r="W637" s="4"/>
      <c r="X637" s="4"/>
    </row>
    <row r="638" spans="17:24" x14ac:dyDescent="0.3">
      <c r="Q638" s="4"/>
      <c r="R638" s="4"/>
      <c r="S638" s="4"/>
      <c r="T638" s="4"/>
      <c r="U638" s="4"/>
      <c r="V638" s="4"/>
      <c r="W638" s="4"/>
      <c r="X638" s="4"/>
    </row>
    <row r="639" spans="17:24" x14ac:dyDescent="0.3">
      <c r="Q639" s="4"/>
      <c r="R639" s="4"/>
      <c r="S639" s="4"/>
      <c r="T639" s="4"/>
      <c r="U639" s="4"/>
      <c r="V639" s="4"/>
      <c r="W639" s="4"/>
      <c r="X639" s="4"/>
    </row>
    <row r="640" spans="17:24" x14ac:dyDescent="0.3">
      <c r="Q640" s="4"/>
      <c r="R640" s="4"/>
      <c r="S640" s="4"/>
      <c r="T640" s="4"/>
      <c r="U640" s="4"/>
      <c r="V640" s="4"/>
      <c r="W640" s="4"/>
      <c r="X640" s="4"/>
    </row>
    <row r="641" spans="17:24" x14ac:dyDescent="0.3">
      <c r="Q641" s="4"/>
      <c r="R641" s="4"/>
      <c r="S641" s="4"/>
      <c r="T641" s="4"/>
      <c r="U641" s="4"/>
      <c r="V641" s="4"/>
      <c r="W641" s="4"/>
      <c r="X641" s="4"/>
    </row>
    <row r="642" spans="17:24" x14ac:dyDescent="0.3">
      <c r="Q642" s="4"/>
      <c r="R642" s="4"/>
      <c r="S642" s="4"/>
      <c r="T642" s="4"/>
      <c r="U642" s="4"/>
      <c r="V642" s="4"/>
      <c r="W642" s="4"/>
      <c r="X642" s="4"/>
    </row>
    <row r="643" spans="17:24" x14ac:dyDescent="0.3">
      <c r="Q643" s="4"/>
      <c r="R643" s="4"/>
      <c r="S643" s="4"/>
      <c r="T643" s="4"/>
      <c r="U643" s="4"/>
      <c r="V643" s="4"/>
      <c r="W643" s="4"/>
      <c r="X643" s="4"/>
    </row>
    <row r="644" spans="17:24" x14ac:dyDescent="0.3">
      <c r="Q644" s="4"/>
      <c r="R644" s="4"/>
      <c r="S644" s="4"/>
      <c r="T644" s="4"/>
      <c r="U644" s="4"/>
      <c r="V644" s="4"/>
      <c r="W644" s="4"/>
      <c r="X644" s="4"/>
    </row>
    <row r="645" spans="17:24" x14ac:dyDescent="0.3">
      <c r="Q645" s="4"/>
      <c r="R645" s="4"/>
      <c r="S645" s="4"/>
      <c r="T645" s="4"/>
      <c r="U645" s="4"/>
      <c r="V645" s="4"/>
      <c r="W645" s="4"/>
      <c r="X645" s="4"/>
    </row>
    <row r="646" spans="17:24" x14ac:dyDescent="0.3">
      <c r="Q646" s="4"/>
      <c r="R646" s="4"/>
      <c r="S646" s="4"/>
      <c r="T646" s="4"/>
      <c r="U646" s="4"/>
      <c r="V646" s="4"/>
      <c r="W646" s="4"/>
      <c r="X646" s="4"/>
    </row>
    <row r="647" spans="17:24" x14ac:dyDescent="0.3">
      <c r="Q647" s="4"/>
      <c r="R647" s="4"/>
      <c r="S647" s="4"/>
      <c r="T647" s="4"/>
      <c r="U647" s="4"/>
      <c r="V647" s="4"/>
      <c r="W647" s="4"/>
      <c r="X647" s="4"/>
    </row>
    <row r="648" spans="17:24" x14ac:dyDescent="0.3">
      <c r="Q648" s="4"/>
      <c r="R648" s="4"/>
      <c r="S648" s="4"/>
      <c r="T648" s="4"/>
      <c r="U648" s="4"/>
      <c r="V648" s="4"/>
      <c r="W648" s="4"/>
      <c r="X648" s="4"/>
    </row>
    <row r="649" spans="17:24" x14ac:dyDescent="0.3">
      <c r="Q649" s="4"/>
      <c r="R649" s="4"/>
      <c r="S649" s="4"/>
      <c r="T649" s="4"/>
      <c r="U649" s="4"/>
      <c r="V649" s="4"/>
      <c r="W649" s="4"/>
      <c r="X649" s="4"/>
    </row>
    <row r="650" spans="17:24" x14ac:dyDescent="0.3">
      <c r="Q650" s="4"/>
      <c r="R650" s="4"/>
      <c r="S650" s="4"/>
      <c r="T650" s="4"/>
      <c r="U650" s="4"/>
      <c r="V650" s="4"/>
      <c r="W650" s="4"/>
      <c r="X650" s="4"/>
    </row>
    <row r="651" spans="17:24" x14ac:dyDescent="0.3">
      <c r="Q651" s="4"/>
      <c r="R651" s="4"/>
      <c r="S651" s="4"/>
      <c r="T651" s="4"/>
      <c r="U651" s="4"/>
      <c r="V651" s="4"/>
      <c r="W651" s="4"/>
      <c r="X651" s="4"/>
    </row>
    <row r="652" spans="17:24" x14ac:dyDescent="0.3">
      <c r="Q652" s="4"/>
      <c r="R652" s="4"/>
      <c r="S652" s="4"/>
      <c r="T652" s="4"/>
      <c r="U652" s="4"/>
      <c r="V652" s="4"/>
      <c r="W652" s="4"/>
      <c r="X652" s="4"/>
    </row>
    <row r="653" spans="17:24" x14ac:dyDescent="0.3">
      <c r="Q653" s="4"/>
      <c r="R653" s="4"/>
      <c r="S653" s="4"/>
      <c r="T653" s="4"/>
      <c r="U653" s="4"/>
      <c r="V653" s="4"/>
      <c r="W653" s="4"/>
      <c r="X653" s="4"/>
    </row>
    <row r="654" spans="17:24" x14ac:dyDescent="0.3">
      <c r="Q654" s="4"/>
      <c r="R654" s="4"/>
      <c r="S654" s="4"/>
      <c r="T654" s="4"/>
      <c r="U654" s="4"/>
      <c r="V654" s="4"/>
      <c r="W654" s="4"/>
      <c r="X654" s="4"/>
    </row>
    <row r="655" spans="17:24" x14ac:dyDescent="0.3">
      <c r="Q655" s="4"/>
      <c r="R655" s="4"/>
      <c r="S655" s="4"/>
      <c r="T655" s="4"/>
      <c r="U655" s="4"/>
      <c r="V655" s="4"/>
      <c r="W655" s="4"/>
      <c r="X655" s="4"/>
    </row>
    <row r="656" spans="17:24" x14ac:dyDescent="0.3">
      <c r="Q656" s="4"/>
      <c r="R656" s="4"/>
      <c r="S656" s="4"/>
      <c r="T656" s="4"/>
      <c r="U656" s="4"/>
      <c r="V656" s="4"/>
      <c r="W656" s="4"/>
      <c r="X656" s="4"/>
    </row>
    <row r="657" spans="17:24" x14ac:dyDescent="0.3">
      <c r="Q657" s="4"/>
      <c r="R657" s="4"/>
      <c r="S657" s="4"/>
      <c r="T657" s="4"/>
      <c r="U657" s="4"/>
      <c r="V657" s="4"/>
      <c r="W657" s="4"/>
      <c r="X657" s="4"/>
    </row>
    <row r="658" spans="17:24" x14ac:dyDescent="0.3">
      <c r="Q658" s="4"/>
      <c r="R658" s="4"/>
      <c r="S658" s="4"/>
      <c r="T658" s="4"/>
      <c r="U658" s="4"/>
      <c r="V658" s="4"/>
      <c r="W658" s="4"/>
      <c r="X658" s="4"/>
    </row>
    <row r="659" spans="17:24" x14ac:dyDescent="0.3">
      <c r="Q659" s="4"/>
      <c r="R659" s="4"/>
      <c r="S659" s="4"/>
      <c r="T659" s="4"/>
      <c r="U659" s="4"/>
      <c r="V659" s="4"/>
      <c r="W659" s="4"/>
      <c r="X659" s="4"/>
    </row>
    <row r="660" spans="17:24" x14ac:dyDescent="0.3">
      <c r="Q660" s="4"/>
      <c r="R660" s="4"/>
      <c r="S660" s="4"/>
      <c r="T660" s="4"/>
      <c r="U660" s="4"/>
      <c r="V660" s="4"/>
      <c r="W660" s="4"/>
      <c r="X660" s="4"/>
    </row>
    <row r="661" spans="17:24" x14ac:dyDescent="0.3">
      <c r="Q661" s="4"/>
      <c r="R661" s="4"/>
      <c r="S661" s="4"/>
      <c r="T661" s="4"/>
      <c r="U661" s="4"/>
      <c r="V661" s="4"/>
      <c r="W661" s="4"/>
      <c r="X661" s="4"/>
    </row>
    <row r="662" spans="17:24" x14ac:dyDescent="0.3">
      <c r="Q662" s="4"/>
      <c r="R662" s="4"/>
      <c r="S662" s="4"/>
      <c r="T662" s="4"/>
      <c r="U662" s="4"/>
      <c r="V662" s="4"/>
      <c r="W662" s="4"/>
      <c r="X662" s="4"/>
    </row>
    <row r="663" spans="17:24" x14ac:dyDescent="0.3">
      <c r="Q663" s="4"/>
      <c r="R663" s="4"/>
      <c r="S663" s="4"/>
      <c r="T663" s="4"/>
      <c r="U663" s="4"/>
      <c r="V663" s="4"/>
      <c r="W663" s="4"/>
      <c r="X663" s="4"/>
    </row>
    <row r="664" spans="17:24" x14ac:dyDescent="0.3">
      <c r="Q664" s="4"/>
      <c r="R664" s="4"/>
      <c r="S664" s="4"/>
      <c r="T664" s="4"/>
      <c r="U664" s="4"/>
      <c r="V664" s="4"/>
      <c r="W664" s="4"/>
      <c r="X664" s="4"/>
    </row>
    <row r="665" spans="17:24" x14ac:dyDescent="0.3">
      <c r="Q665" s="4"/>
      <c r="R665" s="4"/>
      <c r="S665" s="4"/>
      <c r="T665" s="4"/>
      <c r="U665" s="4"/>
      <c r="V665" s="4"/>
      <c r="W665" s="4"/>
      <c r="X665" s="4"/>
    </row>
    <row r="666" spans="17:24" x14ac:dyDescent="0.3">
      <c r="Q666" s="4"/>
      <c r="R666" s="4"/>
      <c r="S666" s="4"/>
      <c r="T666" s="4"/>
      <c r="U666" s="4"/>
      <c r="V666" s="4"/>
      <c r="W666" s="4"/>
      <c r="X666" s="4"/>
    </row>
    <row r="667" spans="17:24" x14ac:dyDescent="0.3">
      <c r="Q667" s="4"/>
      <c r="R667" s="4"/>
      <c r="S667" s="4"/>
      <c r="T667" s="4"/>
      <c r="U667" s="4"/>
      <c r="V667" s="4"/>
      <c r="W667" s="4"/>
      <c r="X667" s="4"/>
    </row>
    <row r="668" spans="17:24" x14ac:dyDescent="0.3">
      <c r="Q668" s="4"/>
      <c r="R668" s="4"/>
      <c r="S668" s="4"/>
      <c r="T668" s="4"/>
      <c r="U668" s="4"/>
      <c r="V668" s="4"/>
      <c r="W668" s="4"/>
      <c r="X668" s="4"/>
    </row>
    <row r="669" spans="17:24" x14ac:dyDescent="0.3">
      <c r="Q669" s="4"/>
      <c r="R669" s="4"/>
      <c r="S669" s="4"/>
      <c r="T669" s="4"/>
      <c r="U669" s="4"/>
      <c r="V669" s="4"/>
      <c r="W669" s="4"/>
      <c r="X669" s="4"/>
    </row>
    <row r="670" spans="17:24" x14ac:dyDescent="0.3">
      <c r="Q670" s="4"/>
      <c r="R670" s="4"/>
      <c r="S670" s="4"/>
      <c r="T670" s="4"/>
      <c r="U670" s="4"/>
      <c r="V670" s="4"/>
      <c r="W670" s="4"/>
      <c r="X670" s="4"/>
    </row>
    <row r="671" spans="17:24" x14ac:dyDescent="0.3">
      <c r="Q671" s="4"/>
      <c r="R671" s="4"/>
      <c r="S671" s="4"/>
      <c r="T671" s="4"/>
      <c r="U671" s="4"/>
      <c r="V671" s="4"/>
      <c r="W671" s="4"/>
      <c r="X671" s="4"/>
    </row>
    <row r="672" spans="17:24" x14ac:dyDescent="0.3">
      <c r="Q672" s="4"/>
      <c r="R672" s="4"/>
      <c r="S672" s="4"/>
      <c r="T672" s="4"/>
      <c r="U672" s="4"/>
      <c r="V672" s="4"/>
      <c r="W672" s="4"/>
      <c r="X672" s="4"/>
    </row>
    <row r="673" spans="17:24" x14ac:dyDescent="0.3">
      <c r="Q673" s="4"/>
      <c r="R673" s="4"/>
      <c r="S673" s="4"/>
      <c r="T673" s="4"/>
      <c r="U673" s="4"/>
      <c r="V673" s="4"/>
      <c r="W673" s="4"/>
      <c r="X673" s="4"/>
    </row>
    <row r="674" spans="17:24" x14ac:dyDescent="0.3">
      <c r="Q674" s="4"/>
      <c r="R674" s="4"/>
      <c r="S674" s="4"/>
      <c r="T674" s="4"/>
      <c r="U674" s="4"/>
      <c r="V674" s="4"/>
      <c r="W674" s="4"/>
      <c r="X674" s="4"/>
    </row>
    <row r="675" spans="17:24" x14ac:dyDescent="0.3">
      <c r="Q675" s="4"/>
      <c r="R675" s="4"/>
      <c r="S675" s="4"/>
      <c r="T675" s="4"/>
      <c r="U675" s="4"/>
      <c r="V675" s="4"/>
      <c r="W675" s="4"/>
      <c r="X675" s="4"/>
    </row>
    <row r="676" spans="17:24" x14ac:dyDescent="0.3">
      <c r="Q676" s="4"/>
      <c r="R676" s="4"/>
      <c r="S676" s="4"/>
      <c r="T676" s="4"/>
      <c r="U676" s="4"/>
      <c r="V676" s="4"/>
      <c r="W676" s="4"/>
      <c r="X676" s="4"/>
    </row>
    <row r="677" spans="17:24" x14ac:dyDescent="0.3">
      <c r="Q677" s="4"/>
      <c r="R677" s="4"/>
      <c r="S677" s="4"/>
      <c r="T677" s="4"/>
      <c r="U677" s="4"/>
      <c r="V677" s="4"/>
      <c r="W677" s="4"/>
      <c r="X677" s="4"/>
    </row>
    <row r="678" spans="17:24" x14ac:dyDescent="0.3">
      <c r="Q678" s="4"/>
      <c r="R678" s="4"/>
      <c r="S678" s="4"/>
      <c r="T678" s="4"/>
      <c r="U678" s="4"/>
      <c r="V678" s="4"/>
      <c r="W678" s="4"/>
      <c r="X678" s="4"/>
    </row>
    <row r="679" spans="17:24" x14ac:dyDescent="0.3">
      <c r="Q679" s="4"/>
      <c r="R679" s="4"/>
      <c r="S679" s="4"/>
      <c r="T679" s="4"/>
      <c r="U679" s="4"/>
      <c r="V679" s="4"/>
      <c r="W679" s="4"/>
      <c r="X679" s="4"/>
    </row>
    <row r="680" spans="17:24" x14ac:dyDescent="0.3">
      <c r="Q680" s="4"/>
      <c r="R680" s="4"/>
      <c r="S680" s="4"/>
      <c r="T680" s="4"/>
      <c r="U680" s="4"/>
      <c r="V680" s="4"/>
      <c r="W680" s="4"/>
      <c r="X680" s="4"/>
    </row>
    <row r="681" spans="17:24" x14ac:dyDescent="0.3">
      <c r="Q681" s="4"/>
      <c r="R681" s="4"/>
      <c r="S681" s="4"/>
      <c r="T681" s="4"/>
      <c r="U681" s="4"/>
      <c r="V681" s="4"/>
      <c r="W681" s="4"/>
      <c r="X681" s="4"/>
    </row>
    <row r="682" spans="17:24" x14ac:dyDescent="0.3">
      <c r="Q682" s="4"/>
      <c r="R682" s="4"/>
      <c r="S682" s="4"/>
      <c r="T682" s="4"/>
      <c r="U682" s="4"/>
      <c r="V682" s="4"/>
      <c r="W682" s="4"/>
      <c r="X682" s="4"/>
    </row>
    <row r="683" spans="17:24" x14ac:dyDescent="0.3">
      <c r="Q683" s="4"/>
      <c r="R683" s="4"/>
      <c r="S683" s="4"/>
      <c r="T683" s="4"/>
      <c r="U683" s="4"/>
      <c r="V683" s="4"/>
      <c r="W683" s="4"/>
      <c r="X683" s="4"/>
    </row>
    <row r="684" spans="17:24" x14ac:dyDescent="0.3">
      <c r="Q684" s="4"/>
      <c r="R684" s="4"/>
      <c r="S684" s="4"/>
      <c r="T684" s="4"/>
      <c r="U684" s="4"/>
      <c r="V684" s="4"/>
      <c r="W684" s="4"/>
      <c r="X684" s="4"/>
    </row>
    <row r="685" spans="17:24" x14ac:dyDescent="0.3">
      <c r="Q685" s="4"/>
      <c r="R685" s="4"/>
      <c r="S685" s="4"/>
      <c r="T685" s="4"/>
      <c r="U685" s="4"/>
      <c r="V685" s="4"/>
      <c r="W685" s="4"/>
      <c r="X685" s="4"/>
    </row>
    <row r="686" spans="17:24" x14ac:dyDescent="0.3">
      <c r="Q686" s="4"/>
      <c r="R686" s="4"/>
      <c r="S686" s="4"/>
      <c r="T686" s="4"/>
      <c r="U686" s="4"/>
      <c r="V686" s="4"/>
      <c r="W686" s="4"/>
      <c r="X686" s="4"/>
    </row>
    <row r="687" spans="17:24" x14ac:dyDescent="0.3">
      <c r="Q687" s="4"/>
      <c r="R687" s="4"/>
      <c r="S687" s="4"/>
      <c r="T687" s="4"/>
      <c r="U687" s="4"/>
      <c r="V687" s="4"/>
      <c r="W687" s="4"/>
      <c r="X687" s="4"/>
    </row>
    <row r="688" spans="17:24" x14ac:dyDescent="0.3">
      <c r="Q688" s="4"/>
      <c r="R688" s="4"/>
      <c r="S688" s="4"/>
      <c r="T688" s="4"/>
      <c r="U688" s="4"/>
      <c r="V688" s="4"/>
      <c r="W688" s="4"/>
      <c r="X688" s="4"/>
    </row>
    <row r="689" spans="17:24" x14ac:dyDescent="0.3">
      <c r="Q689" s="4"/>
      <c r="R689" s="4"/>
      <c r="S689" s="4"/>
      <c r="T689" s="4"/>
      <c r="U689" s="4"/>
      <c r="V689" s="4"/>
      <c r="W689" s="4"/>
      <c r="X689" s="4"/>
    </row>
    <row r="690" spans="17:24" x14ac:dyDescent="0.3">
      <c r="Q690" s="4"/>
      <c r="R690" s="4"/>
      <c r="S690" s="4"/>
      <c r="T690" s="4"/>
      <c r="U690" s="4"/>
      <c r="V690" s="4"/>
      <c r="W690" s="4"/>
      <c r="X690" s="4"/>
    </row>
    <row r="691" spans="17:24" x14ac:dyDescent="0.3">
      <c r="Q691" s="4"/>
      <c r="R691" s="4"/>
      <c r="S691" s="4"/>
      <c r="T691" s="4"/>
      <c r="U691" s="4"/>
      <c r="V691" s="4"/>
      <c r="W691" s="4"/>
      <c r="X691" s="4"/>
    </row>
    <row r="692" spans="17:24" x14ac:dyDescent="0.3">
      <c r="Q692" s="4"/>
      <c r="R692" s="4"/>
      <c r="S692" s="4"/>
      <c r="T692" s="4"/>
      <c r="U692" s="4"/>
      <c r="V692" s="4"/>
      <c r="W692" s="4"/>
      <c r="X692" s="4"/>
    </row>
    <row r="693" spans="17:24" x14ac:dyDescent="0.3">
      <c r="Q693" s="4"/>
      <c r="R693" s="4"/>
      <c r="S693" s="4"/>
      <c r="T693" s="4"/>
      <c r="U693" s="4"/>
      <c r="V693" s="4"/>
      <c r="W693" s="4"/>
      <c r="X693" s="4"/>
    </row>
    <row r="694" spans="17:24" x14ac:dyDescent="0.3">
      <c r="Q694" s="4"/>
      <c r="R694" s="4"/>
      <c r="S694" s="4"/>
      <c r="T694" s="4"/>
      <c r="U694" s="4"/>
      <c r="V694" s="4"/>
      <c r="W694" s="4"/>
      <c r="X694" s="4"/>
    </row>
    <row r="695" spans="17:24" x14ac:dyDescent="0.3">
      <c r="Q695" s="4"/>
      <c r="R695" s="4"/>
      <c r="S695" s="4"/>
      <c r="T695" s="4"/>
      <c r="U695" s="4"/>
      <c r="V695" s="4"/>
      <c r="W695" s="4"/>
      <c r="X695" s="4"/>
    </row>
    <row r="696" spans="17:24" x14ac:dyDescent="0.3">
      <c r="Q696" s="4"/>
      <c r="R696" s="4"/>
      <c r="S696" s="4"/>
      <c r="T696" s="4"/>
      <c r="U696" s="4"/>
      <c r="V696" s="4"/>
      <c r="W696" s="4"/>
      <c r="X696" s="4"/>
    </row>
    <row r="697" spans="17:24" x14ac:dyDescent="0.3">
      <c r="Q697" s="4"/>
      <c r="R697" s="4"/>
      <c r="S697" s="4"/>
      <c r="T697" s="4"/>
      <c r="U697" s="4"/>
      <c r="V697" s="4"/>
      <c r="W697" s="4"/>
      <c r="X697" s="4"/>
    </row>
    <row r="698" spans="17:24" x14ac:dyDescent="0.3">
      <c r="Q698" s="4"/>
      <c r="R698" s="4"/>
      <c r="S698" s="4"/>
      <c r="T698" s="4"/>
      <c r="U698" s="4"/>
      <c r="V698" s="4"/>
      <c r="W698" s="4"/>
      <c r="X698" s="4"/>
    </row>
    <row r="699" spans="17:24" x14ac:dyDescent="0.3">
      <c r="Q699" s="4"/>
      <c r="R699" s="4"/>
      <c r="S699" s="4"/>
      <c r="T699" s="4"/>
      <c r="U699" s="4"/>
      <c r="V699" s="4"/>
      <c r="W699" s="4"/>
      <c r="X699" s="4"/>
    </row>
    <row r="700" spans="17:24" x14ac:dyDescent="0.3">
      <c r="Q700" s="4"/>
      <c r="R700" s="4"/>
      <c r="S700" s="4"/>
      <c r="T700" s="4"/>
      <c r="U700" s="4"/>
      <c r="V700" s="4"/>
      <c r="W700" s="4"/>
      <c r="X700" s="4"/>
    </row>
    <row r="701" spans="17:24" x14ac:dyDescent="0.3">
      <c r="Q701" s="4"/>
      <c r="R701" s="4"/>
      <c r="S701" s="4"/>
      <c r="T701" s="4"/>
      <c r="U701" s="4"/>
      <c r="V701" s="4"/>
      <c r="W701" s="4"/>
      <c r="X701" s="4"/>
    </row>
    <row r="702" spans="17:24" x14ac:dyDescent="0.3">
      <c r="Q702" s="4"/>
      <c r="R702" s="4"/>
      <c r="S702" s="4"/>
      <c r="T702" s="4"/>
      <c r="U702" s="4"/>
      <c r="V702" s="4"/>
      <c r="W702" s="4"/>
      <c r="X702" s="4"/>
    </row>
    <row r="703" spans="17:24" x14ac:dyDescent="0.3">
      <c r="Q703" s="4"/>
      <c r="R703" s="4"/>
      <c r="S703" s="4"/>
      <c r="T703" s="4"/>
      <c r="U703" s="4"/>
      <c r="V703" s="4"/>
      <c r="W703" s="4"/>
      <c r="X703" s="4"/>
    </row>
    <row r="704" spans="17:24" x14ac:dyDescent="0.3">
      <c r="Q704" s="4"/>
      <c r="R704" s="4"/>
      <c r="S704" s="4"/>
      <c r="T704" s="4"/>
      <c r="U704" s="4"/>
      <c r="V704" s="4"/>
      <c r="W704" s="4"/>
      <c r="X704" s="4"/>
    </row>
    <row r="705" spans="17:24" x14ac:dyDescent="0.3">
      <c r="Q705" s="4"/>
      <c r="R705" s="4"/>
      <c r="S705" s="4"/>
      <c r="T705" s="4"/>
      <c r="U705" s="4"/>
      <c r="V705" s="4"/>
      <c r="W705" s="4"/>
      <c r="X705" s="4"/>
    </row>
    <row r="706" spans="17:24" x14ac:dyDescent="0.3">
      <c r="Q706" s="4"/>
      <c r="R706" s="4"/>
      <c r="S706" s="4"/>
      <c r="T706" s="4"/>
      <c r="U706" s="4"/>
      <c r="V706" s="4"/>
      <c r="W706" s="4"/>
      <c r="X706" s="4"/>
    </row>
    <row r="707" spans="17:24" x14ac:dyDescent="0.3">
      <c r="Q707" s="4"/>
      <c r="R707" s="4"/>
      <c r="S707" s="4"/>
      <c r="T707" s="4"/>
      <c r="U707" s="4"/>
      <c r="V707" s="4"/>
      <c r="W707" s="4"/>
      <c r="X707" s="4"/>
    </row>
    <row r="708" spans="17:24" x14ac:dyDescent="0.3">
      <c r="Q708" s="4"/>
      <c r="R708" s="4"/>
      <c r="S708" s="4"/>
      <c r="T708" s="4"/>
      <c r="U708" s="4"/>
      <c r="V708" s="4"/>
      <c r="W708" s="4"/>
      <c r="X708" s="4"/>
    </row>
    <row r="709" spans="17:24" x14ac:dyDescent="0.3">
      <c r="Q709" s="4"/>
      <c r="R709" s="4"/>
      <c r="S709" s="4"/>
      <c r="T709" s="4"/>
      <c r="U709" s="4"/>
      <c r="V709" s="4"/>
      <c r="W709" s="4"/>
      <c r="X709" s="4"/>
    </row>
    <row r="710" spans="17:24" x14ac:dyDescent="0.3">
      <c r="Q710" s="4"/>
      <c r="R710" s="4"/>
      <c r="S710" s="4"/>
      <c r="T710" s="4"/>
      <c r="U710" s="4"/>
      <c r="V710" s="4"/>
      <c r="W710" s="4"/>
      <c r="X710" s="4"/>
    </row>
    <row r="711" spans="17:24" x14ac:dyDescent="0.3">
      <c r="Q711" s="4"/>
      <c r="R711" s="4"/>
      <c r="S711" s="4"/>
      <c r="T711" s="4"/>
      <c r="U711" s="4"/>
      <c r="V711" s="4"/>
      <c r="W711" s="4"/>
      <c r="X711" s="4"/>
    </row>
    <row r="712" spans="17:24" x14ac:dyDescent="0.3">
      <c r="Q712" s="4"/>
      <c r="R712" s="4"/>
      <c r="S712" s="4"/>
      <c r="T712" s="4"/>
      <c r="U712" s="4"/>
      <c r="V712" s="4"/>
      <c r="W712" s="4"/>
      <c r="X712" s="4"/>
    </row>
    <row r="713" spans="17:24" x14ac:dyDescent="0.3">
      <c r="Q713" s="4"/>
      <c r="R713" s="4"/>
      <c r="S713" s="4"/>
      <c r="T713" s="4"/>
      <c r="U713" s="4"/>
      <c r="V713" s="4"/>
      <c r="W713" s="4"/>
      <c r="X713" s="4"/>
    </row>
    <row r="714" spans="17:24" x14ac:dyDescent="0.3">
      <c r="Q714" s="4"/>
      <c r="R714" s="4"/>
      <c r="S714" s="4"/>
      <c r="T714" s="4"/>
      <c r="U714" s="4"/>
      <c r="V714" s="4"/>
      <c r="W714" s="4"/>
      <c r="X714" s="4"/>
    </row>
    <row r="715" spans="17:24" x14ac:dyDescent="0.3">
      <c r="Q715" s="4"/>
      <c r="R715" s="4"/>
      <c r="S715" s="4"/>
      <c r="T715" s="4"/>
      <c r="U715" s="4"/>
      <c r="V715" s="4"/>
      <c r="W715" s="4"/>
      <c r="X715" s="4"/>
    </row>
    <row r="716" spans="17:24" x14ac:dyDescent="0.3">
      <c r="Q716" s="4"/>
      <c r="R716" s="4"/>
      <c r="S716" s="4"/>
      <c r="T716" s="4"/>
      <c r="U716" s="4"/>
      <c r="V716" s="4"/>
      <c r="W716" s="4"/>
      <c r="X716" s="4"/>
    </row>
    <row r="717" spans="17:24" x14ac:dyDescent="0.3">
      <c r="Q717" s="4"/>
      <c r="R717" s="4"/>
      <c r="S717" s="4"/>
      <c r="T717" s="4"/>
      <c r="U717" s="4"/>
      <c r="V717" s="4"/>
      <c r="W717" s="4"/>
      <c r="X717" s="4"/>
    </row>
    <row r="718" spans="17:24" x14ac:dyDescent="0.3">
      <c r="Q718" s="4"/>
      <c r="R718" s="4"/>
      <c r="S718" s="4"/>
      <c r="T718" s="4"/>
      <c r="U718" s="4"/>
      <c r="V718" s="4"/>
      <c r="W718" s="4"/>
      <c r="X718" s="4"/>
    </row>
    <row r="719" spans="17:24" x14ac:dyDescent="0.3">
      <c r="Q719" s="4"/>
      <c r="R719" s="4"/>
      <c r="S719" s="4"/>
      <c r="T719" s="4"/>
      <c r="U719" s="4"/>
      <c r="V719" s="4"/>
      <c r="W719" s="4"/>
      <c r="X719" s="4"/>
    </row>
    <row r="720" spans="17:24" x14ac:dyDescent="0.3">
      <c r="Q720" s="4"/>
      <c r="R720" s="4"/>
      <c r="S720" s="4"/>
      <c r="T720" s="4"/>
      <c r="U720" s="4"/>
      <c r="V720" s="4"/>
      <c r="W720" s="4"/>
      <c r="X720" s="4"/>
    </row>
    <row r="721" spans="17:24" x14ac:dyDescent="0.3">
      <c r="Q721" s="4"/>
      <c r="R721" s="4"/>
      <c r="S721" s="4"/>
      <c r="T721" s="4"/>
      <c r="U721" s="4"/>
      <c r="V721" s="4"/>
      <c r="W721" s="4"/>
      <c r="X721" s="4"/>
    </row>
    <row r="722" spans="17:24" x14ac:dyDescent="0.3">
      <c r="Q722" s="4"/>
      <c r="R722" s="4"/>
      <c r="S722" s="4"/>
      <c r="T722" s="4"/>
      <c r="U722" s="4"/>
      <c r="V722" s="4"/>
      <c r="W722" s="4"/>
      <c r="X722" s="4"/>
    </row>
    <row r="723" spans="17:24" x14ac:dyDescent="0.3">
      <c r="Q723" s="4"/>
      <c r="R723" s="4"/>
      <c r="S723" s="4"/>
      <c r="T723" s="4"/>
      <c r="U723" s="4"/>
      <c r="V723" s="4"/>
      <c r="W723" s="4"/>
      <c r="X723" s="4"/>
    </row>
    <row r="724" spans="17:24" x14ac:dyDescent="0.3">
      <c r="Q724" s="4"/>
      <c r="R724" s="4"/>
      <c r="S724" s="4"/>
      <c r="T724" s="4"/>
      <c r="U724" s="4"/>
      <c r="V724" s="4"/>
      <c r="W724" s="4"/>
      <c r="X724" s="4"/>
    </row>
    <row r="725" spans="17:24" x14ac:dyDescent="0.3">
      <c r="Q725" s="4"/>
      <c r="R725" s="4"/>
      <c r="S725" s="4"/>
      <c r="T725" s="4"/>
      <c r="U725" s="4"/>
      <c r="V725" s="4"/>
      <c r="W725" s="4"/>
      <c r="X725" s="4"/>
    </row>
    <row r="726" spans="17:24" x14ac:dyDescent="0.3">
      <c r="Q726" s="4"/>
      <c r="R726" s="4"/>
      <c r="S726" s="4"/>
      <c r="T726" s="4"/>
      <c r="U726" s="4"/>
      <c r="V726" s="4"/>
      <c r="W726" s="4"/>
      <c r="X726" s="4"/>
    </row>
    <row r="727" spans="17:24" x14ac:dyDescent="0.3">
      <c r="Q727" s="4"/>
      <c r="R727" s="4"/>
      <c r="S727" s="4"/>
      <c r="T727" s="4"/>
      <c r="U727" s="4"/>
      <c r="V727" s="4"/>
      <c r="W727" s="4"/>
      <c r="X727" s="4"/>
    </row>
    <row r="728" spans="17:24" x14ac:dyDescent="0.3">
      <c r="Q728" s="4"/>
      <c r="R728" s="4"/>
      <c r="S728" s="4"/>
      <c r="T728" s="4"/>
      <c r="U728" s="4"/>
      <c r="V728" s="4"/>
      <c r="W728" s="4"/>
      <c r="X728" s="4"/>
    </row>
    <row r="729" spans="17:24" x14ac:dyDescent="0.3">
      <c r="Q729" s="4"/>
      <c r="R729" s="4"/>
      <c r="S729" s="4"/>
      <c r="T729" s="4"/>
      <c r="U729" s="4"/>
      <c r="V729" s="4"/>
      <c r="W729" s="4"/>
      <c r="X729" s="4"/>
    </row>
    <row r="730" spans="17:24" x14ac:dyDescent="0.3">
      <c r="Q730" s="4"/>
      <c r="R730" s="4"/>
      <c r="S730" s="4"/>
      <c r="T730" s="4"/>
      <c r="U730" s="4"/>
      <c r="V730" s="4"/>
      <c r="W730" s="4"/>
      <c r="X730" s="4"/>
    </row>
    <row r="731" spans="17:24" x14ac:dyDescent="0.3">
      <c r="Q731" s="4"/>
      <c r="R731" s="4"/>
      <c r="S731" s="4"/>
      <c r="T731" s="4"/>
      <c r="U731" s="4"/>
      <c r="V731" s="4"/>
      <c r="W731" s="4"/>
      <c r="X731" s="4"/>
    </row>
    <row r="732" spans="17:24" x14ac:dyDescent="0.3">
      <c r="Q732" s="4"/>
      <c r="R732" s="4"/>
      <c r="S732" s="4"/>
      <c r="T732" s="4"/>
      <c r="U732" s="4"/>
      <c r="V732" s="4"/>
      <c r="W732" s="4"/>
      <c r="X732" s="4"/>
    </row>
    <row r="733" spans="17:24" x14ac:dyDescent="0.3">
      <c r="Q733" s="4"/>
      <c r="R733" s="4"/>
      <c r="S733" s="4"/>
      <c r="T733" s="4"/>
      <c r="U733" s="4"/>
      <c r="V733" s="4"/>
      <c r="W733" s="4"/>
      <c r="X733" s="4"/>
    </row>
    <row r="734" spans="17:24" x14ac:dyDescent="0.3">
      <c r="Q734" s="4"/>
      <c r="R734" s="4"/>
      <c r="S734" s="4"/>
      <c r="T734" s="4"/>
      <c r="U734" s="4"/>
      <c r="V734" s="4"/>
      <c r="W734" s="4"/>
      <c r="X734" s="4"/>
    </row>
    <row r="735" spans="17:24" x14ac:dyDescent="0.3">
      <c r="Q735" s="4"/>
      <c r="R735" s="4"/>
      <c r="S735" s="4"/>
      <c r="T735" s="4"/>
      <c r="U735" s="4"/>
      <c r="V735" s="4"/>
      <c r="W735" s="4"/>
      <c r="X735" s="4"/>
    </row>
    <row r="736" spans="17:24" x14ac:dyDescent="0.3">
      <c r="Q736" s="4"/>
      <c r="R736" s="4"/>
      <c r="S736" s="4"/>
      <c r="T736" s="4"/>
      <c r="U736" s="4"/>
      <c r="V736" s="4"/>
      <c r="W736" s="4"/>
      <c r="X736" s="4"/>
    </row>
    <row r="737" spans="17:24" x14ac:dyDescent="0.3">
      <c r="Q737" s="4"/>
      <c r="R737" s="4"/>
      <c r="S737" s="4"/>
      <c r="T737" s="4"/>
      <c r="U737" s="4"/>
      <c r="V737" s="4"/>
      <c r="W737" s="4"/>
      <c r="X737" s="4"/>
    </row>
    <row r="738" spans="17:24" x14ac:dyDescent="0.3">
      <c r="Q738" s="4"/>
      <c r="R738" s="4"/>
      <c r="S738" s="4"/>
      <c r="T738" s="4"/>
      <c r="U738" s="4"/>
      <c r="V738" s="4"/>
      <c r="W738" s="4"/>
      <c r="X738" s="4"/>
    </row>
    <row r="739" spans="17:24" x14ac:dyDescent="0.3">
      <c r="Q739" s="4"/>
      <c r="R739" s="4"/>
      <c r="S739" s="4"/>
      <c r="T739" s="4"/>
      <c r="U739" s="4"/>
      <c r="V739" s="4"/>
      <c r="W739" s="4"/>
      <c r="X739" s="4"/>
    </row>
    <row r="740" spans="17:24" x14ac:dyDescent="0.3">
      <c r="Q740" s="4"/>
      <c r="R740" s="4"/>
      <c r="S740" s="4"/>
      <c r="T740" s="4"/>
      <c r="U740" s="4"/>
      <c r="V740" s="4"/>
      <c r="W740" s="4"/>
      <c r="X740" s="4"/>
    </row>
    <row r="741" spans="17:24" x14ac:dyDescent="0.3">
      <c r="Q741" s="4"/>
      <c r="R741" s="4"/>
      <c r="S741" s="4"/>
      <c r="T741" s="4"/>
      <c r="U741" s="4"/>
      <c r="V741" s="4"/>
      <c r="W741" s="4"/>
      <c r="X741" s="4"/>
    </row>
    <row r="742" spans="17:24" x14ac:dyDescent="0.3">
      <c r="Q742" s="4"/>
      <c r="R742" s="4"/>
      <c r="S742" s="4"/>
      <c r="T742" s="4"/>
      <c r="U742" s="4"/>
      <c r="V742" s="4"/>
      <c r="W742" s="4"/>
      <c r="X742" s="4"/>
    </row>
    <row r="743" spans="17:24" x14ac:dyDescent="0.3">
      <c r="Q743" s="4"/>
      <c r="R743" s="4"/>
      <c r="S743" s="4"/>
      <c r="T743" s="4"/>
      <c r="U743" s="4"/>
      <c r="V743" s="4"/>
      <c r="W743" s="4"/>
      <c r="X743" s="4"/>
    </row>
    <row r="744" spans="17:24" x14ac:dyDescent="0.3">
      <c r="Q744" s="4"/>
      <c r="R744" s="4"/>
      <c r="S744" s="4"/>
      <c r="T744" s="4"/>
      <c r="U744" s="4"/>
      <c r="V744" s="4"/>
      <c r="W744" s="4"/>
      <c r="X744" s="4"/>
    </row>
    <row r="745" spans="17:24" x14ac:dyDescent="0.3">
      <c r="Q745" s="4"/>
      <c r="R745" s="4"/>
      <c r="S745" s="4"/>
      <c r="T745" s="4"/>
      <c r="U745" s="4"/>
      <c r="V745" s="4"/>
      <c r="W745" s="4"/>
      <c r="X745" s="4"/>
    </row>
    <row r="746" spans="17:24" x14ac:dyDescent="0.3">
      <c r="Q746" s="4"/>
      <c r="R746" s="4"/>
      <c r="S746" s="4"/>
      <c r="T746" s="4"/>
      <c r="U746" s="4"/>
      <c r="V746" s="4"/>
      <c r="W746" s="4"/>
      <c r="X746" s="4"/>
    </row>
    <row r="747" spans="17:24" x14ac:dyDescent="0.3">
      <c r="Q747" s="4"/>
      <c r="R747" s="4"/>
      <c r="S747" s="4"/>
      <c r="T747" s="4"/>
      <c r="U747" s="4"/>
      <c r="V747" s="4"/>
      <c r="W747" s="4"/>
      <c r="X747" s="4"/>
    </row>
    <row r="748" spans="17:24" x14ac:dyDescent="0.3">
      <c r="Q748" s="4"/>
      <c r="R748" s="4"/>
      <c r="S748" s="4"/>
      <c r="T748" s="4"/>
      <c r="U748" s="4"/>
      <c r="V748" s="4"/>
      <c r="W748" s="4"/>
      <c r="X748" s="4"/>
    </row>
    <row r="749" spans="17:24" x14ac:dyDescent="0.3">
      <c r="Q749" s="4"/>
      <c r="R749" s="4"/>
      <c r="S749" s="4"/>
      <c r="T749" s="4"/>
      <c r="U749" s="4"/>
      <c r="V749" s="4"/>
      <c r="W749" s="4"/>
      <c r="X749" s="4"/>
    </row>
    <row r="750" spans="17:24" x14ac:dyDescent="0.3">
      <c r="Q750" s="4"/>
      <c r="R750" s="4"/>
      <c r="S750" s="4"/>
      <c r="T750" s="4"/>
      <c r="U750" s="4"/>
      <c r="V750" s="4"/>
      <c r="W750" s="4"/>
      <c r="X750" s="4"/>
    </row>
    <row r="751" spans="17:24" x14ac:dyDescent="0.3">
      <c r="Q751" s="4"/>
      <c r="R751" s="4"/>
      <c r="S751" s="4"/>
      <c r="T751" s="4"/>
      <c r="U751" s="4"/>
      <c r="V751" s="4"/>
      <c r="W751" s="4"/>
      <c r="X751" s="4"/>
    </row>
    <row r="752" spans="17:24" x14ac:dyDescent="0.3">
      <c r="Q752" s="4"/>
      <c r="R752" s="4"/>
      <c r="S752" s="4"/>
      <c r="T752" s="4"/>
      <c r="U752" s="4"/>
      <c r="V752" s="4"/>
      <c r="W752" s="4"/>
      <c r="X752" s="4"/>
    </row>
    <row r="753" spans="17:24" x14ac:dyDescent="0.3">
      <c r="Q753" s="4"/>
      <c r="R753" s="4"/>
      <c r="S753" s="4"/>
      <c r="T753" s="4"/>
      <c r="U753" s="4"/>
      <c r="V753" s="4"/>
      <c r="W753" s="4"/>
      <c r="X753" s="4"/>
    </row>
    <row r="754" spans="17:24" x14ac:dyDescent="0.3">
      <c r="Q754" s="4"/>
      <c r="R754" s="4"/>
      <c r="S754" s="4"/>
      <c r="T754" s="4"/>
      <c r="U754" s="4"/>
      <c r="V754" s="4"/>
      <c r="W754" s="4"/>
      <c r="X754" s="4"/>
    </row>
    <row r="755" spans="17:24" x14ac:dyDescent="0.3">
      <c r="Q755" s="4"/>
      <c r="R755" s="4"/>
      <c r="S755" s="4"/>
      <c r="T755" s="4"/>
      <c r="U755" s="4"/>
      <c r="V755" s="4"/>
      <c r="W755" s="4"/>
      <c r="X755" s="4"/>
    </row>
    <row r="756" spans="17:24" x14ac:dyDescent="0.3">
      <c r="Q756" s="4"/>
      <c r="R756" s="4"/>
      <c r="S756" s="4"/>
      <c r="T756" s="4"/>
      <c r="U756" s="4"/>
      <c r="V756" s="4"/>
      <c r="W756" s="4"/>
      <c r="X756" s="4"/>
    </row>
    <row r="757" spans="17:24" x14ac:dyDescent="0.3">
      <c r="Q757" s="4"/>
      <c r="R757" s="4"/>
      <c r="S757" s="4"/>
      <c r="T757" s="4"/>
      <c r="U757" s="4"/>
      <c r="V757" s="4"/>
      <c r="W757" s="4"/>
      <c r="X757" s="4"/>
    </row>
    <row r="758" spans="17:24" x14ac:dyDescent="0.3">
      <c r="Q758" s="4"/>
      <c r="R758" s="4"/>
      <c r="S758" s="4"/>
      <c r="T758" s="4"/>
      <c r="U758" s="4"/>
      <c r="V758" s="4"/>
      <c r="W758" s="4"/>
      <c r="X758" s="4"/>
    </row>
    <row r="759" spans="17:24" x14ac:dyDescent="0.3">
      <c r="Q759" s="4"/>
      <c r="R759" s="4"/>
      <c r="S759" s="4"/>
      <c r="T759" s="4"/>
      <c r="U759" s="4"/>
      <c r="V759" s="4"/>
      <c r="W759" s="4"/>
      <c r="X759" s="4"/>
    </row>
    <row r="760" spans="17:24" x14ac:dyDescent="0.3">
      <c r="Q760" s="4"/>
      <c r="R760" s="4"/>
      <c r="S760" s="4"/>
      <c r="T760" s="4"/>
      <c r="U760" s="4"/>
      <c r="V760" s="4"/>
      <c r="W760" s="4"/>
      <c r="X760" s="4"/>
    </row>
    <row r="761" spans="17:24" x14ac:dyDescent="0.3">
      <c r="Q761" s="4"/>
      <c r="R761" s="4"/>
      <c r="S761" s="4"/>
      <c r="T761" s="4"/>
      <c r="U761" s="4"/>
      <c r="V761" s="4"/>
      <c r="W761" s="4"/>
      <c r="X761" s="4"/>
    </row>
    <row r="762" spans="17:24" x14ac:dyDescent="0.3">
      <c r="Q762" s="4"/>
      <c r="R762" s="4"/>
      <c r="S762" s="4"/>
      <c r="T762" s="4"/>
      <c r="U762" s="4"/>
      <c r="V762" s="4"/>
      <c r="W762" s="4"/>
      <c r="X762" s="4"/>
    </row>
    <row r="763" spans="17:24" x14ac:dyDescent="0.3">
      <c r="Q763" s="4"/>
      <c r="R763" s="4"/>
      <c r="S763" s="4"/>
      <c r="T763" s="4"/>
      <c r="U763" s="4"/>
      <c r="V763" s="4"/>
      <c r="W763" s="4"/>
      <c r="X763" s="4"/>
    </row>
    <row r="764" spans="17:24" x14ac:dyDescent="0.3">
      <c r="Q764" s="4"/>
      <c r="R764" s="4"/>
      <c r="S764" s="4"/>
      <c r="T764" s="4"/>
      <c r="U764" s="4"/>
      <c r="V764" s="4"/>
      <c r="W764" s="4"/>
      <c r="X764" s="4"/>
    </row>
    <row r="765" spans="17:24" x14ac:dyDescent="0.3">
      <c r="Q765" s="4"/>
      <c r="R765" s="4"/>
      <c r="S765" s="4"/>
      <c r="T765" s="4"/>
      <c r="U765" s="4"/>
      <c r="V765" s="4"/>
      <c r="W765" s="4"/>
      <c r="X765" s="4"/>
    </row>
    <row r="766" spans="17:24" x14ac:dyDescent="0.3">
      <c r="Q766" s="4"/>
      <c r="R766" s="4"/>
      <c r="S766" s="4"/>
      <c r="T766" s="4"/>
      <c r="U766" s="4"/>
      <c r="V766" s="4"/>
      <c r="W766" s="4"/>
      <c r="X766" s="4"/>
    </row>
    <row r="767" spans="17:24" x14ac:dyDescent="0.3">
      <c r="Q767" s="4"/>
      <c r="R767" s="4"/>
      <c r="S767" s="4"/>
      <c r="T767" s="4"/>
      <c r="U767" s="4"/>
      <c r="V767" s="4"/>
      <c r="W767" s="4"/>
      <c r="X767" s="4"/>
    </row>
    <row r="768" spans="17:24" x14ac:dyDescent="0.3">
      <c r="Q768" s="4"/>
      <c r="R768" s="4"/>
      <c r="S768" s="4"/>
      <c r="T768" s="4"/>
      <c r="U768" s="4"/>
      <c r="V768" s="4"/>
      <c r="W768" s="4"/>
      <c r="X768" s="4"/>
    </row>
    <row r="769" spans="17:24" x14ac:dyDescent="0.3">
      <c r="Q769" s="4"/>
      <c r="R769" s="4"/>
      <c r="S769" s="4"/>
      <c r="T769" s="4"/>
      <c r="U769" s="4"/>
      <c r="V769" s="4"/>
      <c r="W769" s="4"/>
      <c r="X769" s="4"/>
    </row>
    <row r="770" spans="17:24" x14ac:dyDescent="0.3">
      <c r="Q770" s="4"/>
      <c r="R770" s="4"/>
      <c r="S770" s="4"/>
      <c r="T770" s="4"/>
      <c r="U770" s="4"/>
      <c r="V770" s="4"/>
      <c r="W770" s="4"/>
      <c r="X770" s="4"/>
    </row>
    <row r="771" spans="17:24" x14ac:dyDescent="0.3">
      <c r="Q771" s="4"/>
      <c r="R771" s="4"/>
      <c r="S771" s="4"/>
      <c r="T771" s="4"/>
      <c r="U771" s="4"/>
      <c r="V771" s="4"/>
      <c r="W771" s="4"/>
      <c r="X771" s="4"/>
    </row>
    <row r="772" spans="17:24" x14ac:dyDescent="0.3">
      <c r="Q772" s="4"/>
      <c r="R772" s="4"/>
      <c r="S772" s="4"/>
      <c r="T772" s="4"/>
      <c r="U772" s="4"/>
      <c r="V772" s="4"/>
      <c r="W772" s="4"/>
      <c r="X772" s="4"/>
    </row>
    <row r="773" spans="17:24" x14ac:dyDescent="0.3">
      <c r="Q773" s="4"/>
      <c r="R773" s="4"/>
      <c r="S773" s="4"/>
      <c r="T773" s="4"/>
      <c r="U773" s="4"/>
      <c r="V773" s="4"/>
      <c r="W773" s="4"/>
      <c r="X773" s="4"/>
    </row>
    <row r="774" spans="17:24" x14ac:dyDescent="0.3">
      <c r="Q774" s="4"/>
      <c r="R774" s="4"/>
      <c r="S774" s="4"/>
      <c r="T774" s="4"/>
      <c r="U774" s="4"/>
      <c r="V774" s="4"/>
      <c r="W774" s="4"/>
      <c r="X774" s="4"/>
    </row>
    <row r="775" spans="17:24" x14ac:dyDescent="0.3">
      <c r="Q775" s="4"/>
      <c r="R775" s="4"/>
      <c r="S775" s="4"/>
      <c r="T775" s="4"/>
      <c r="U775" s="4"/>
      <c r="V775" s="4"/>
      <c r="W775" s="4"/>
      <c r="X775" s="4"/>
    </row>
    <row r="776" spans="17:24" x14ac:dyDescent="0.3">
      <c r="Q776" s="4"/>
      <c r="R776" s="4"/>
      <c r="S776" s="4"/>
      <c r="T776" s="4"/>
      <c r="U776" s="4"/>
      <c r="V776" s="4"/>
      <c r="W776" s="4"/>
      <c r="X776" s="4"/>
    </row>
    <row r="777" spans="17:24" x14ac:dyDescent="0.3">
      <c r="Q777" s="4"/>
      <c r="R777" s="4"/>
      <c r="S777" s="4"/>
      <c r="T777" s="4"/>
      <c r="U777" s="4"/>
      <c r="V777" s="4"/>
      <c r="W777" s="4"/>
      <c r="X777" s="4"/>
    </row>
    <row r="778" spans="17:24" x14ac:dyDescent="0.3">
      <c r="Q778" s="4"/>
      <c r="R778" s="4"/>
      <c r="S778" s="4"/>
      <c r="T778" s="4"/>
      <c r="U778" s="4"/>
      <c r="V778" s="4"/>
      <c r="W778" s="4"/>
      <c r="X778" s="4"/>
    </row>
    <row r="779" spans="17:24" x14ac:dyDescent="0.3">
      <c r="Q779" s="4"/>
      <c r="R779" s="4"/>
      <c r="S779" s="4"/>
      <c r="T779" s="4"/>
      <c r="U779" s="4"/>
      <c r="V779" s="4"/>
      <c r="W779" s="4"/>
      <c r="X779" s="4"/>
    </row>
    <row r="780" spans="17:24" x14ac:dyDescent="0.3">
      <c r="Q780" s="4"/>
      <c r="R780" s="4"/>
      <c r="S780" s="4"/>
      <c r="T780" s="4"/>
      <c r="U780" s="4"/>
      <c r="V780" s="4"/>
      <c r="W780" s="4"/>
      <c r="X780" s="4"/>
    </row>
    <row r="781" spans="17:24" x14ac:dyDescent="0.3">
      <c r="Q781" s="4"/>
      <c r="R781" s="4"/>
      <c r="S781" s="4"/>
      <c r="T781" s="4"/>
      <c r="U781" s="4"/>
      <c r="V781" s="4"/>
      <c r="W781" s="4"/>
      <c r="X781" s="4"/>
    </row>
    <row r="782" spans="17:24" x14ac:dyDescent="0.3">
      <c r="Q782" s="4"/>
      <c r="R782" s="4"/>
      <c r="S782" s="4"/>
      <c r="T782" s="4"/>
      <c r="U782" s="4"/>
      <c r="V782" s="4"/>
      <c r="W782" s="4"/>
      <c r="X782" s="4"/>
    </row>
    <row r="783" spans="17:24" x14ac:dyDescent="0.3">
      <c r="Q783" s="4"/>
      <c r="R783" s="4"/>
      <c r="S783" s="4"/>
      <c r="T783" s="4"/>
      <c r="U783" s="4"/>
      <c r="V783" s="4"/>
      <c r="W783" s="4"/>
      <c r="X783" s="4"/>
    </row>
    <row r="784" spans="17:24" x14ac:dyDescent="0.3">
      <c r="Q784" s="4"/>
      <c r="R784" s="4"/>
      <c r="S784" s="4"/>
      <c r="T784" s="4"/>
      <c r="U784" s="4"/>
      <c r="V784" s="4"/>
      <c r="W784" s="4"/>
      <c r="X784" s="4"/>
    </row>
    <row r="785" spans="17:24" x14ac:dyDescent="0.3">
      <c r="Q785" s="4"/>
      <c r="R785" s="4"/>
      <c r="S785" s="4"/>
      <c r="T785" s="4"/>
      <c r="U785" s="4"/>
      <c r="V785" s="4"/>
      <c r="W785" s="4"/>
      <c r="X785" s="4"/>
    </row>
    <row r="786" spans="17:24" x14ac:dyDescent="0.3">
      <c r="Q786" s="4"/>
      <c r="R786" s="4"/>
      <c r="S786" s="4"/>
      <c r="T786" s="4"/>
      <c r="U786" s="4"/>
      <c r="V786" s="4"/>
      <c r="W786" s="4"/>
      <c r="X786" s="4"/>
    </row>
    <row r="787" spans="17:24" x14ac:dyDescent="0.3">
      <c r="Q787" s="4"/>
      <c r="R787" s="4"/>
      <c r="S787" s="4"/>
      <c r="T787" s="4"/>
      <c r="U787" s="4"/>
      <c r="V787" s="4"/>
      <c r="W787" s="4"/>
      <c r="X787" s="4"/>
    </row>
    <row r="788" spans="17:24" x14ac:dyDescent="0.3">
      <c r="Q788" s="4"/>
      <c r="R788" s="4"/>
      <c r="S788" s="4"/>
      <c r="T788" s="4"/>
      <c r="U788" s="4"/>
      <c r="V788" s="4"/>
      <c r="W788" s="4"/>
      <c r="X788" s="4"/>
    </row>
    <row r="789" spans="17:24" x14ac:dyDescent="0.3">
      <c r="Q789" s="4"/>
      <c r="R789" s="4"/>
      <c r="S789" s="4"/>
      <c r="T789" s="4"/>
      <c r="U789" s="4"/>
      <c r="V789" s="4"/>
      <c r="W789" s="4"/>
      <c r="X789" s="4"/>
    </row>
    <row r="790" spans="17:24" x14ac:dyDescent="0.3">
      <c r="Q790" s="4"/>
      <c r="R790" s="4"/>
      <c r="S790" s="4"/>
      <c r="T790" s="4"/>
      <c r="U790" s="4"/>
      <c r="V790" s="4"/>
      <c r="W790" s="4"/>
      <c r="X790" s="4"/>
    </row>
    <row r="791" spans="17:24" x14ac:dyDescent="0.3">
      <c r="Q791" s="4"/>
      <c r="R791" s="4"/>
      <c r="S791" s="4"/>
      <c r="T791" s="4"/>
      <c r="U791" s="4"/>
      <c r="V791" s="4"/>
      <c r="W791" s="4"/>
      <c r="X791" s="4"/>
    </row>
    <row r="792" spans="17:24" x14ac:dyDescent="0.3">
      <c r="Q792" s="4"/>
      <c r="R792" s="4"/>
      <c r="S792" s="4"/>
      <c r="T792" s="4"/>
      <c r="U792" s="4"/>
      <c r="V792" s="4"/>
      <c r="W792" s="4"/>
      <c r="X792" s="4"/>
    </row>
    <row r="793" spans="17:24" x14ac:dyDescent="0.3">
      <c r="Q793" s="4"/>
      <c r="R793" s="4"/>
      <c r="S793" s="4"/>
      <c r="T793" s="4"/>
      <c r="U793" s="4"/>
      <c r="V793" s="4"/>
      <c r="W793" s="4"/>
      <c r="X793" s="4"/>
    </row>
    <row r="794" spans="17:24" x14ac:dyDescent="0.3">
      <c r="Q794" s="4"/>
      <c r="R794" s="4"/>
      <c r="S794" s="4"/>
      <c r="T794" s="4"/>
      <c r="U794" s="4"/>
      <c r="V794" s="4"/>
      <c r="W794" s="4"/>
      <c r="X794" s="4"/>
    </row>
    <row r="795" spans="17:24" x14ac:dyDescent="0.3">
      <c r="Q795" s="4"/>
      <c r="R795" s="4"/>
      <c r="S795" s="4"/>
      <c r="T795" s="4"/>
      <c r="U795" s="4"/>
      <c r="V795" s="4"/>
      <c r="W795" s="4"/>
      <c r="X795" s="4"/>
    </row>
    <row r="796" spans="17:24" x14ac:dyDescent="0.3">
      <c r="Q796" s="4"/>
      <c r="R796" s="4"/>
      <c r="S796" s="4"/>
      <c r="T796" s="4"/>
      <c r="U796" s="4"/>
      <c r="V796" s="4"/>
      <c r="W796" s="4"/>
      <c r="X796" s="4"/>
    </row>
    <row r="797" spans="17:24" x14ac:dyDescent="0.3">
      <c r="Q797" s="4"/>
      <c r="R797" s="4"/>
      <c r="S797" s="4"/>
      <c r="T797" s="4"/>
      <c r="U797" s="4"/>
      <c r="V797" s="4"/>
      <c r="W797" s="4"/>
      <c r="X797" s="4"/>
    </row>
    <row r="798" spans="17:24" x14ac:dyDescent="0.3">
      <c r="Q798" s="4"/>
      <c r="R798" s="4"/>
      <c r="S798" s="4"/>
      <c r="T798" s="4"/>
      <c r="U798" s="4"/>
      <c r="V798" s="4"/>
      <c r="W798" s="4"/>
      <c r="X798" s="4"/>
    </row>
    <row r="799" spans="17:24" x14ac:dyDescent="0.3">
      <c r="Q799" s="4"/>
      <c r="R799" s="4"/>
      <c r="S799" s="4"/>
      <c r="T799" s="4"/>
      <c r="U799" s="4"/>
      <c r="V799" s="4"/>
      <c r="W799" s="4"/>
      <c r="X799" s="4"/>
    </row>
    <row r="800" spans="17:24" x14ac:dyDescent="0.3">
      <c r="Q800" s="4"/>
      <c r="R800" s="4"/>
      <c r="S800" s="4"/>
      <c r="T800" s="4"/>
      <c r="U800" s="4"/>
      <c r="V800" s="4"/>
      <c r="W800" s="4"/>
      <c r="X800" s="4"/>
    </row>
    <row r="801" spans="17:24" x14ac:dyDescent="0.3">
      <c r="Q801" s="4"/>
      <c r="R801" s="4"/>
      <c r="S801" s="4"/>
      <c r="T801" s="4"/>
      <c r="U801" s="4"/>
      <c r="V801" s="4"/>
      <c r="W801" s="4"/>
      <c r="X801" s="4"/>
    </row>
    <row r="802" spans="17:24" x14ac:dyDescent="0.3">
      <c r="Q802" s="4"/>
      <c r="R802" s="4"/>
      <c r="S802" s="4"/>
      <c r="T802" s="4"/>
      <c r="U802" s="4"/>
      <c r="V802" s="4"/>
      <c r="W802" s="4"/>
      <c r="X802" s="4"/>
    </row>
    <row r="803" spans="17:24" x14ac:dyDescent="0.3">
      <c r="Q803" s="4"/>
      <c r="R803" s="4"/>
      <c r="S803" s="4"/>
      <c r="T803" s="4"/>
      <c r="U803" s="4"/>
      <c r="V803" s="4"/>
      <c r="W803" s="4"/>
      <c r="X803" s="4"/>
    </row>
    <row r="804" spans="17:24" x14ac:dyDescent="0.3">
      <c r="Q804" s="4"/>
      <c r="R804" s="4"/>
      <c r="S804" s="4"/>
      <c r="T804" s="4"/>
      <c r="U804" s="4"/>
      <c r="V804" s="4"/>
      <c r="W804" s="4"/>
      <c r="X804" s="4"/>
    </row>
    <row r="805" spans="17:24" x14ac:dyDescent="0.3">
      <c r="Q805" s="4"/>
      <c r="R805" s="4"/>
      <c r="S805" s="4"/>
      <c r="T805" s="4"/>
      <c r="U805" s="4"/>
      <c r="V805" s="4"/>
      <c r="W805" s="4"/>
      <c r="X805" s="4"/>
    </row>
    <row r="806" spans="17:24" x14ac:dyDescent="0.3">
      <c r="Q806" s="4"/>
      <c r="R806" s="4"/>
      <c r="S806" s="4"/>
      <c r="T806" s="4"/>
      <c r="U806" s="4"/>
      <c r="V806" s="4"/>
      <c r="W806" s="4"/>
      <c r="X806" s="4"/>
    </row>
    <row r="807" spans="17:24" x14ac:dyDescent="0.3">
      <c r="Q807" s="4"/>
      <c r="R807" s="4"/>
      <c r="S807" s="4"/>
      <c r="T807" s="4"/>
      <c r="U807" s="4"/>
      <c r="V807" s="4"/>
      <c r="W807" s="4"/>
      <c r="X807" s="4"/>
    </row>
    <row r="808" spans="17:24" x14ac:dyDescent="0.3">
      <c r="Q808" s="4"/>
      <c r="R808" s="4"/>
      <c r="S808" s="4"/>
      <c r="T808" s="4"/>
      <c r="U808" s="4"/>
      <c r="V808" s="4"/>
      <c r="W808" s="4"/>
      <c r="X808" s="4"/>
    </row>
    <row r="809" spans="17:24" x14ac:dyDescent="0.3">
      <c r="Q809" s="4"/>
      <c r="R809" s="4"/>
      <c r="S809" s="4"/>
      <c r="T809" s="4"/>
      <c r="U809" s="4"/>
      <c r="V809" s="4"/>
      <c r="W809" s="4"/>
      <c r="X809" s="4"/>
    </row>
    <row r="810" spans="17:24" x14ac:dyDescent="0.3">
      <c r="Q810" s="4"/>
      <c r="R810" s="4"/>
      <c r="S810" s="4"/>
      <c r="T810" s="4"/>
      <c r="U810" s="4"/>
      <c r="V810" s="4"/>
      <c r="W810" s="4"/>
      <c r="X810" s="4"/>
    </row>
    <row r="811" spans="17:24" x14ac:dyDescent="0.3">
      <c r="Q811" s="4"/>
      <c r="R811" s="4"/>
      <c r="S811" s="4"/>
      <c r="T811" s="4"/>
      <c r="U811" s="4"/>
      <c r="V811" s="4"/>
      <c r="W811" s="4"/>
      <c r="X811" s="4"/>
    </row>
    <row r="812" spans="17:24" x14ac:dyDescent="0.3">
      <c r="Q812" s="4"/>
      <c r="R812" s="4"/>
      <c r="S812" s="4"/>
      <c r="T812" s="4"/>
      <c r="U812" s="4"/>
      <c r="V812" s="4"/>
      <c r="W812" s="4"/>
      <c r="X812" s="4"/>
    </row>
    <row r="813" spans="17:24" x14ac:dyDescent="0.3">
      <c r="Q813" s="4"/>
      <c r="R813" s="4"/>
      <c r="S813" s="4"/>
      <c r="T813" s="4"/>
      <c r="U813" s="4"/>
      <c r="V813" s="4"/>
      <c r="W813" s="4"/>
      <c r="X813" s="4"/>
    </row>
    <row r="814" spans="17:24" x14ac:dyDescent="0.3">
      <c r="Q814" s="4"/>
      <c r="R814" s="4"/>
      <c r="S814" s="4"/>
      <c r="T814" s="4"/>
      <c r="U814" s="4"/>
      <c r="V814" s="4"/>
      <c r="W814" s="4"/>
      <c r="X814" s="4"/>
    </row>
    <row r="815" spans="17:24" x14ac:dyDescent="0.3">
      <c r="Q815" s="4"/>
      <c r="R815" s="4"/>
      <c r="S815" s="4"/>
      <c r="T815" s="4"/>
      <c r="U815" s="4"/>
      <c r="V815" s="4"/>
      <c r="W815" s="4"/>
      <c r="X815" s="4"/>
    </row>
    <row r="816" spans="17:24" x14ac:dyDescent="0.3">
      <c r="Q816" s="4"/>
      <c r="R816" s="4"/>
      <c r="S816" s="4"/>
      <c r="T816" s="4"/>
      <c r="U816" s="4"/>
      <c r="V816" s="4"/>
      <c r="W816" s="4"/>
      <c r="X816" s="4"/>
    </row>
    <row r="817" spans="17:24" x14ac:dyDescent="0.3">
      <c r="Q817" s="4"/>
      <c r="R817" s="4"/>
      <c r="S817" s="4"/>
      <c r="T817" s="4"/>
      <c r="U817" s="4"/>
      <c r="V817" s="4"/>
      <c r="W817" s="4"/>
      <c r="X817" s="4"/>
    </row>
    <row r="818" spans="17:24" x14ac:dyDescent="0.3">
      <c r="Q818" s="4"/>
      <c r="R818" s="4"/>
      <c r="S818" s="4"/>
      <c r="T818" s="4"/>
      <c r="U818" s="4"/>
      <c r="V818" s="4"/>
      <c r="W818" s="4"/>
      <c r="X818" s="4"/>
    </row>
    <row r="819" spans="17:24" x14ac:dyDescent="0.3">
      <c r="Q819" s="4"/>
      <c r="R819" s="4"/>
      <c r="S819" s="4"/>
      <c r="T819" s="4"/>
      <c r="U819" s="4"/>
      <c r="V819" s="4"/>
      <c r="W819" s="4"/>
      <c r="X819" s="4"/>
    </row>
    <row r="820" spans="17:24" x14ac:dyDescent="0.3">
      <c r="Q820" s="4"/>
      <c r="R820" s="4"/>
      <c r="S820" s="4"/>
      <c r="T820" s="4"/>
      <c r="U820" s="4"/>
      <c r="V820" s="4"/>
      <c r="W820" s="4"/>
      <c r="X820" s="4"/>
    </row>
    <row r="821" spans="17:24" x14ac:dyDescent="0.3">
      <c r="Q821" s="4"/>
      <c r="R821" s="4"/>
      <c r="S821" s="4"/>
      <c r="T821" s="4"/>
      <c r="U821" s="4"/>
      <c r="V821" s="4"/>
      <c r="W821" s="4"/>
      <c r="X821" s="4"/>
    </row>
    <row r="822" spans="17:24" x14ac:dyDescent="0.3">
      <c r="Q822" s="4"/>
      <c r="R822" s="4"/>
      <c r="S822" s="4"/>
      <c r="T822" s="4"/>
      <c r="U822" s="4"/>
      <c r="V822" s="4"/>
      <c r="W822" s="4"/>
      <c r="X822" s="4"/>
    </row>
    <row r="823" spans="17:24" x14ac:dyDescent="0.3">
      <c r="Q823" s="4"/>
      <c r="R823" s="4"/>
      <c r="S823" s="4"/>
      <c r="T823" s="4"/>
      <c r="U823" s="4"/>
      <c r="V823" s="4"/>
      <c r="W823" s="4"/>
      <c r="X823" s="4"/>
    </row>
    <row r="824" spans="17:24" x14ac:dyDescent="0.3">
      <c r="Q824" s="4"/>
      <c r="R824" s="4"/>
      <c r="S824" s="4"/>
      <c r="T824" s="4"/>
      <c r="U824" s="4"/>
      <c r="V824" s="4"/>
      <c r="W824" s="4"/>
      <c r="X824" s="4"/>
    </row>
    <row r="825" spans="17:24" x14ac:dyDescent="0.3">
      <c r="Q825" s="4"/>
      <c r="R825" s="4"/>
      <c r="S825" s="4"/>
      <c r="T825" s="4"/>
      <c r="U825" s="4"/>
      <c r="V825" s="4"/>
      <c r="W825" s="4"/>
      <c r="X825" s="4"/>
    </row>
    <row r="826" spans="17:24" x14ac:dyDescent="0.3">
      <c r="Q826" s="4"/>
      <c r="R826" s="4"/>
      <c r="S826" s="4"/>
      <c r="T826" s="4"/>
      <c r="U826" s="4"/>
      <c r="V826" s="4"/>
      <c r="W826" s="4"/>
      <c r="X826" s="4"/>
    </row>
    <row r="827" spans="17:24" x14ac:dyDescent="0.3">
      <c r="Q827" s="4"/>
      <c r="R827" s="4"/>
      <c r="S827" s="4"/>
      <c r="T827" s="4"/>
      <c r="U827" s="4"/>
      <c r="V827" s="4"/>
      <c r="W827" s="4"/>
      <c r="X827" s="4"/>
    </row>
    <row r="828" spans="17:24" x14ac:dyDescent="0.3">
      <c r="Q828" s="4"/>
      <c r="R828" s="4"/>
      <c r="S828" s="4"/>
      <c r="T828" s="4"/>
      <c r="U828" s="4"/>
      <c r="V828" s="4"/>
      <c r="W828" s="4"/>
      <c r="X828" s="4"/>
    </row>
    <row r="829" spans="17:24" x14ac:dyDescent="0.3">
      <c r="Q829" s="4"/>
      <c r="R829" s="4"/>
      <c r="S829" s="4"/>
      <c r="T829" s="4"/>
      <c r="U829" s="4"/>
      <c r="V829" s="4"/>
      <c r="W829" s="4"/>
      <c r="X829" s="4"/>
    </row>
    <row r="830" spans="17:24" x14ac:dyDescent="0.3">
      <c r="Q830" s="4"/>
      <c r="R830" s="4"/>
      <c r="S830" s="4"/>
      <c r="T830" s="4"/>
      <c r="U830" s="4"/>
      <c r="V830" s="4"/>
      <c r="W830" s="4"/>
      <c r="X830" s="4"/>
    </row>
    <row r="831" spans="17:24" x14ac:dyDescent="0.3">
      <c r="Q831" s="4"/>
      <c r="R831" s="4"/>
      <c r="S831" s="4"/>
      <c r="T831" s="4"/>
      <c r="U831" s="4"/>
      <c r="V831" s="4"/>
      <c r="W831" s="4"/>
      <c r="X831" s="4"/>
    </row>
    <row r="832" spans="17:24" x14ac:dyDescent="0.3">
      <c r="Q832" s="4"/>
      <c r="R832" s="4"/>
      <c r="S832" s="4"/>
      <c r="T832" s="4"/>
      <c r="U832" s="4"/>
      <c r="V832" s="4"/>
      <c r="W832" s="4"/>
      <c r="X832" s="4"/>
    </row>
    <row r="833" spans="17:24" x14ac:dyDescent="0.3">
      <c r="Q833" s="4"/>
      <c r="R833" s="4"/>
      <c r="S833" s="4"/>
      <c r="T833" s="4"/>
      <c r="U833" s="4"/>
      <c r="V833" s="4"/>
      <c r="W833" s="4"/>
      <c r="X833" s="4"/>
    </row>
    <row r="834" spans="17:24" x14ac:dyDescent="0.3">
      <c r="Q834" s="4"/>
      <c r="R834" s="4"/>
      <c r="S834" s="4"/>
      <c r="T834" s="4"/>
      <c r="U834" s="4"/>
      <c r="V834" s="4"/>
      <c r="W834" s="4"/>
      <c r="X834" s="4"/>
    </row>
    <row r="835" spans="17:24" x14ac:dyDescent="0.3">
      <c r="Q835" s="4"/>
      <c r="R835" s="4"/>
      <c r="S835" s="4"/>
      <c r="T835" s="4"/>
      <c r="U835" s="4"/>
      <c r="V835" s="4"/>
      <c r="W835" s="4"/>
      <c r="X835" s="4"/>
    </row>
    <row r="836" spans="17:24" x14ac:dyDescent="0.3">
      <c r="Q836" s="4"/>
      <c r="R836" s="4"/>
      <c r="S836" s="4"/>
      <c r="T836" s="4"/>
      <c r="U836" s="4"/>
      <c r="V836" s="4"/>
      <c r="W836" s="4"/>
      <c r="X836" s="4"/>
    </row>
    <row r="837" spans="17:24" x14ac:dyDescent="0.3">
      <c r="Q837" s="4"/>
      <c r="R837" s="4"/>
      <c r="S837" s="4"/>
      <c r="T837" s="4"/>
      <c r="U837" s="4"/>
      <c r="V837" s="4"/>
      <c r="W837" s="4"/>
      <c r="X837" s="4"/>
    </row>
    <row r="838" spans="17:24" x14ac:dyDescent="0.3">
      <c r="Q838" s="4"/>
      <c r="R838" s="4"/>
      <c r="S838" s="4"/>
      <c r="T838" s="4"/>
      <c r="U838" s="4"/>
      <c r="V838" s="4"/>
      <c r="W838" s="4"/>
      <c r="X838" s="4"/>
    </row>
    <row r="839" spans="17:24" x14ac:dyDescent="0.3">
      <c r="Q839" s="4"/>
      <c r="R839" s="4"/>
      <c r="S839" s="4"/>
      <c r="T839" s="4"/>
      <c r="U839" s="4"/>
      <c r="V839" s="4"/>
      <c r="W839" s="4"/>
      <c r="X839" s="4"/>
    </row>
    <row r="840" spans="17:24" x14ac:dyDescent="0.3">
      <c r="Q840" s="4"/>
      <c r="R840" s="4"/>
      <c r="S840" s="4"/>
      <c r="T840" s="4"/>
      <c r="U840" s="4"/>
      <c r="V840" s="4"/>
      <c r="W840" s="4"/>
      <c r="X840" s="4"/>
    </row>
    <row r="841" spans="17:24" x14ac:dyDescent="0.3">
      <c r="Q841" s="4"/>
      <c r="R841" s="4"/>
      <c r="S841" s="4"/>
      <c r="T841" s="4"/>
      <c r="U841" s="4"/>
      <c r="V841" s="4"/>
      <c r="W841" s="4"/>
      <c r="X841" s="4"/>
    </row>
    <row r="842" spans="17:24" x14ac:dyDescent="0.3">
      <c r="Q842" s="4"/>
      <c r="R842" s="4"/>
      <c r="S842" s="4"/>
      <c r="T842" s="4"/>
      <c r="U842" s="4"/>
      <c r="V842" s="4"/>
      <c r="W842" s="4"/>
      <c r="X842" s="4"/>
    </row>
    <row r="843" spans="17:24" x14ac:dyDescent="0.3">
      <c r="Q843" s="4"/>
      <c r="R843" s="4"/>
      <c r="S843" s="4"/>
      <c r="T843" s="4"/>
      <c r="U843" s="4"/>
      <c r="V843" s="4"/>
      <c r="W843" s="4"/>
      <c r="X843" s="4"/>
    </row>
    <row r="844" spans="17:24" x14ac:dyDescent="0.3">
      <c r="Q844" s="4"/>
      <c r="R844" s="4"/>
      <c r="S844" s="4"/>
      <c r="T844" s="4"/>
      <c r="U844" s="4"/>
      <c r="V844" s="4"/>
      <c r="W844" s="4"/>
      <c r="X844" s="4"/>
    </row>
    <row r="845" spans="17:24" x14ac:dyDescent="0.3">
      <c r="Q845" s="4"/>
      <c r="R845" s="4"/>
      <c r="S845" s="4"/>
      <c r="T845" s="4"/>
      <c r="U845" s="4"/>
      <c r="V845" s="4"/>
      <c r="W845" s="4"/>
      <c r="X845" s="4"/>
    </row>
    <row r="846" spans="17:24" x14ac:dyDescent="0.3">
      <c r="Q846" s="4"/>
      <c r="R846" s="4"/>
      <c r="S846" s="4"/>
      <c r="T846" s="4"/>
      <c r="U846" s="4"/>
      <c r="V846" s="4"/>
      <c r="W846" s="4"/>
      <c r="X846" s="4"/>
    </row>
    <row r="847" spans="17:24" x14ac:dyDescent="0.3">
      <c r="Q847" s="4"/>
      <c r="R847" s="4"/>
      <c r="S847" s="4"/>
      <c r="T847" s="4"/>
      <c r="U847" s="4"/>
      <c r="V847" s="4"/>
      <c r="W847" s="4"/>
      <c r="X847" s="4"/>
    </row>
    <row r="848" spans="17:24" x14ac:dyDescent="0.3">
      <c r="Q848" s="4"/>
      <c r="R848" s="4"/>
      <c r="S848" s="4"/>
      <c r="T848" s="4"/>
      <c r="U848" s="4"/>
      <c r="V848" s="4"/>
      <c r="W848" s="4"/>
      <c r="X848" s="4"/>
    </row>
    <row r="849" spans="17:24" x14ac:dyDescent="0.3">
      <c r="Q849" s="4"/>
      <c r="R849" s="4"/>
      <c r="S849" s="4"/>
      <c r="T849" s="4"/>
      <c r="U849" s="4"/>
      <c r="V849" s="4"/>
      <c r="W849" s="4"/>
      <c r="X849" s="4"/>
    </row>
    <row r="850" spans="17:24" x14ac:dyDescent="0.3">
      <c r="Q850" s="4"/>
      <c r="R850" s="4"/>
      <c r="S850" s="4"/>
      <c r="T850" s="4"/>
      <c r="U850" s="4"/>
      <c r="V850" s="4"/>
      <c r="W850" s="4"/>
      <c r="X850" s="4"/>
    </row>
    <row r="851" spans="17:24" x14ac:dyDescent="0.3">
      <c r="Q851" s="4"/>
      <c r="R851" s="4"/>
      <c r="S851" s="4"/>
      <c r="T851" s="4"/>
      <c r="U851" s="4"/>
      <c r="V851" s="4"/>
      <c r="W851" s="4"/>
      <c r="X851" s="4"/>
    </row>
    <row r="852" spans="17:24" x14ac:dyDescent="0.3">
      <c r="Q852" s="4"/>
      <c r="R852" s="4"/>
      <c r="S852" s="4"/>
      <c r="T852" s="4"/>
      <c r="U852" s="4"/>
      <c r="V852" s="4"/>
      <c r="W852" s="4"/>
      <c r="X852" s="4"/>
    </row>
    <row r="853" spans="17:24" x14ac:dyDescent="0.3">
      <c r="Q853" s="4"/>
      <c r="R853" s="4"/>
      <c r="S853" s="4"/>
      <c r="T853" s="4"/>
      <c r="U853" s="4"/>
      <c r="V853" s="4"/>
      <c r="W853" s="4"/>
      <c r="X853" s="4"/>
    </row>
    <row r="854" spans="17:24" x14ac:dyDescent="0.3">
      <c r="Q854" s="4"/>
      <c r="R854" s="4"/>
      <c r="S854" s="4"/>
      <c r="T854" s="4"/>
      <c r="U854" s="4"/>
      <c r="V854" s="4"/>
      <c r="W854" s="4"/>
      <c r="X854" s="4"/>
    </row>
    <row r="855" spans="17:24" x14ac:dyDescent="0.3">
      <c r="Q855" s="4"/>
      <c r="R855" s="4"/>
      <c r="S855" s="4"/>
      <c r="T855" s="4"/>
      <c r="U855" s="4"/>
      <c r="V855" s="4"/>
      <c r="W855" s="4"/>
      <c r="X855" s="4"/>
    </row>
    <row r="856" spans="17:24" x14ac:dyDescent="0.3">
      <c r="Q856" s="4"/>
      <c r="R856" s="4"/>
      <c r="S856" s="4"/>
      <c r="T856" s="4"/>
      <c r="U856" s="4"/>
      <c r="V856" s="4"/>
      <c r="W856" s="4"/>
      <c r="X856" s="4"/>
    </row>
    <row r="857" spans="17:24" x14ac:dyDescent="0.3">
      <c r="Q857" s="4"/>
      <c r="R857" s="4"/>
      <c r="S857" s="4"/>
      <c r="T857" s="4"/>
      <c r="U857" s="4"/>
      <c r="V857" s="4"/>
      <c r="W857" s="4"/>
      <c r="X857" s="4"/>
    </row>
    <row r="858" spans="17:24" x14ac:dyDescent="0.3">
      <c r="Q858" s="4"/>
      <c r="R858" s="4"/>
      <c r="S858" s="4"/>
      <c r="T858" s="4"/>
      <c r="U858" s="4"/>
      <c r="V858" s="4"/>
      <c r="W858" s="4"/>
      <c r="X858" s="4"/>
    </row>
    <row r="859" spans="17:24" x14ac:dyDescent="0.3">
      <c r="Q859" s="4"/>
      <c r="R859" s="4"/>
      <c r="S859" s="4"/>
      <c r="T859" s="4"/>
      <c r="U859" s="4"/>
      <c r="V859" s="4"/>
      <c r="W859" s="4"/>
      <c r="X859" s="4"/>
    </row>
    <row r="860" spans="17:24" x14ac:dyDescent="0.3">
      <c r="Q860" s="4"/>
      <c r="R860" s="4"/>
      <c r="S860" s="4"/>
      <c r="T860" s="4"/>
      <c r="U860" s="4"/>
      <c r="V860" s="4"/>
      <c r="W860" s="4"/>
      <c r="X860" s="4"/>
    </row>
    <row r="861" spans="17:24" x14ac:dyDescent="0.3">
      <c r="Q861" s="4"/>
      <c r="R861" s="4"/>
      <c r="S861" s="4"/>
      <c r="T861" s="4"/>
      <c r="U861" s="4"/>
      <c r="V861" s="4"/>
      <c r="W861" s="4"/>
      <c r="X861" s="4"/>
    </row>
    <row r="862" spans="17:24" x14ac:dyDescent="0.3">
      <c r="Q862" s="4"/>
      <c r="R862" s="4"/>
      <c r="S862" s="4"/>
      <c r="T862" s="4"/>
      <c r="U862" s="4"/>
      <c r="V862" s="4"/>
      <c r="W862" s="4"/>
      <c r="X862" s="4"/>
    </row>
    <row r="863" spans="17:24" x14ac:dyDescent="0.3">
      <c r="Q863" s="4"/>
      <c r="R863" s="4"/>
      <c r="S863" s="4"/>
      <c r="T863" s="4"/>
      <c r="U863" s="4"/>
      <c r="V863" s="4"/>
      <c r="W863" s="4"/>
      <c r="X863" s="4"/>
    </row>
    <row r="864" spans="17:24" x14ac:dyDescent="0.3">
      <c r="Q864" s="4"/>
      <c r="R864" s="4"/>
      <c r="S864" s="4"/>
      <c r="T864" s="4"/>
      <c r="U864" s="4"/>
      <c r="V864" s="4"/>
      <c r="W864" s="4"/>
      <c r="X864" s="4"/>
    </row>
    <row r="865" spans="17:24" x14ac:dyDescent="0.3">
      <c r="Q865" s="4"/>
      <c r="R865" s="4"/>
      <c r="S865" s="4"/>
      <c r="T865" s="4"/>
      <c r="U865" s="4"/>
      <c r="V865" s="4"/>
      <c r="W865" s="4"/>
      <c r="X865" s="4"/>
    </row>
    <row r="866" spans="17:24" x14ac:dyDescent="0.3">
      <c r="Q866" s="4"/>
      <c r="R866" s="4"/>
      <c r="S866" s="4"/>
      <c r="T866" s="4"/>
      <c r="U866" s="4"/>
      <c r="V866" s="4"/>
      <c r="W866" s="4"/>
      <c r="X866" s="4"/>
    </row>
    <row r="867" spans="17:24" x14ac:dyDescent="0.3">
      <c r="Q867" s="4"/>
      <c r="R867" s="4"/>
      <c r="S867" s="4"/>
      <c r="T867" s="4"/>
      <c r="U867" s="4"/>
      <c r="V867" s="4"/>
      <c r="W867" s="4"/>
      <c r="X867" s="4"/>
    </row>
    <row r="868" spans="17:24" x14ac:dyDescent="0.3">
      <c r="Q868" s="4"/>
      <c r="R868" s="4"/>
      <c r="S868" s="4"/>
      <c r="T868" s="4"/>
      <c r="U868" s="4"/>
      <c r="V868" s="4"/>
      <c r="W868" s="4"/>
      <c r="X868" s="4"/>
    </row>
    <row r="869" spans="17:24" x14ac:dyDescent="0.3">
      <c r="Q869" s="4"/>
      <c r="R869" s="4"/>
      <c r="S869" s="4"/>
      <c r="T869" s="4"/>
      <c r="U869" s="4"/>
      <c r="V869" s="4"/>
      <c r="W869" s="4"/>
      <c r="X869" s="4"/>
    </row>
    <row r="870" spans="17:24" x14ac:dyDescent="0.3">
      <c r="Q870" s="4"/>
      <c r="R870" s="4"/>
      <c r="S870" s="4"/>
      <c r="T870" s="4"/>
      <c r="U870" s="4"/>
      <c r="V870" s="4"/>
      <c r="W870" s="4"/>
      <c r="X870" s="4"/>
    </row>
    <row r="871" spans="17:24" x14ac:dyDescent="0.3">
      <c r="Q871" s="4"/>
      <c r="R871" s="4"/>
      <c r="S871" s="4"/>
      <c r="T871" s="4"/>
      <c r="U871" s="4"/>
      <c r="V871" s="4"/>
      <c r="W871" s="4"/>
      <c r="X871" s="4"/>
    </row>
    <row r="872" spans="17:24" x14ac:dyDescent="0.3">
      <c r="Q872" s="4"/>
      <c r="R872" s="4"/>
      <c r="S872" s="4"/>
      <c r="T872" s="4"/>
      <c r="U872" s="4"/>
      <c r="V872" s="4"/>
      <c r="W872" s="4"/>
      <c r="X872" s="4"/>
    </row>
    <row r="873" spans="17:24" x14ac:dyDescent="0.3">
      <c r="Q873" s="4"/>
      <c r="R873" s="4"/>
      <c r="S873" s="4"/>
      <c r="T873" s="4"/>
      <c r="U873" s="4"/>
      <c r="V873" s="4"/>
      <c r="W873" s="4"/>
      <c r="X873" s="4"/>
    </row>
    <row r="874" spans="17:24" x14ac:dyDescent="0.3">
      <c r="Q874" s="4"/>
      <c r="R874" s="4"/>
      <c r="S874" s="4"/>
      <c r="T874" s="4"/>
      <c r="U874" s="4"/>
      <c r="V874" s="4"/>
      <c r="W874" s="4"/>
      <c r="X874" s="4"/>
    </row>
    <row r="875" spans="17:24" x14ac:dyDescent="0.3">
      <c r="Q875" s="4"/>
      <c r="R875" s="4"/>
      <c r="S875" s="4"/>
      <c r="T875" s="4"/>
      <c r="U875" s="4"/>
      <c r="V875" s="4"/>
      <c r="W875" s="4"/>
      <c r="X875" s="4"/>
    </row>
    <row r="876" spans="17:24" x14ac:dyDescent="0.3">
      <c r="Q876" s="4"/>
      <c r="R876" s="4"/>
      <c r="S876" s="4"/>
      <c r="T876" s="4"/>
      <c r="U876" s="4"/>
      <c r="V876" s="4"/>
      <c r="W876" s="4"/>
      <c r="X876" s="4"/>
    </row>
    <row r="877" spans="17:24" x14ac:dyDescent="0.3">
      <c r="Q877" s="4"/>
      <c r="R877" s="4"/>
      <c r="S877" s="4"/>
      <c r="T877" s="4"/>
      <c r="U877" s="4"/>
      <c r="V877" s="4"/>
      <c r="W877" s="4"/>
      <c r="X877" s="4"/>
    </row>
    <row r="878" spans="17:24" x14ac:dyDescent="0.3">
      <c r="Q878" s="4"/>
      <c r="R878" s="4"/>
      <c r="S878" s="4"/>
      <c r="T878" s="4"/>
      <c r="U878" s="4"/>
      <c r="V878" s="4"/>
      <c r="W878" s="4"/>
      <c r="X878" s="4"/>
    </row>
    <row r="879" spans="17:24" x14ac:dyDescent="0.3">
      <c r="Q879" s="4"/>
      <c r="R879" s="4"/>
      <c r="S879" s="4"/>
      <c r="T879" s="4"/>
      <c r="U879" s="4"/>
      <c r="V879" s="4"/>
      <c r="W879" s="4"/>
      <c r="X879" s="4"/>
    </row>
    <row r="880" spans="17:24" x14ac:dyDescent="0.3">
      <c r="Q880" s="4"/>
      <c r="R880" s="4"/>
      <c r="S880" s="4"/>
      <c r="T880" s="4"/>
      <c r="U880" s="4"/>
      <c r="V880" s="4"/>
      <c r="W880" s="4"/>
      <c r="X880" s="4"/>
    </row>
    <row r="881" spans="17:24" x14ac:dyDescent="0.3">
      <c r="Q881" s="4"/>
      <c r="R881" s="4"/>
      <c r="S881" s="4"/>
      <c r="T881" s="4"/>
      <c r="U881" s="4"/>
      <c r="V881" s="4"/>
      <c r="W881" s="4"/>
      <c r="X881" s="4"/>
    </row>
    <row r="882" spans="17:24" x14ac:dyDescent="0.3">
      <c r="Q882" s="4"/>
      <c r="R882" s="4"/>
      <c r="S882" s="4"/>
      <c r="T882" s="4"/>
      <c r="U882" s="4"/>
      <c r="V882" s="4"/>
      <c r="W882" s="4"/>
      <c r="X882" s="4"/>
    </row>
    <row r="883" spans="17:24" x14ac:dyDescent="0.3">
      <c r="Q883" s="4"/>
      <c r="R883" s="4"/>
      <c r="S883" s="4"/>
      <c r="T883" s="4"/>
      <c r="U883" s="4"/>
      <c r="V883" s="4"/>
      <c r="W883" s="4"/>
      <c r="X883" s="4"/>
    </row>
    <row r="884" spans="17:24" x14ac:dyDescent="0.3">
      <c r="Q884" s="4"/>
      <c r="R884" s="4"/>
      <c r="S884" s="4"/>
      <c r="T884" s="4"/>
      <c r="U884" s="4"/>
      <c r="V884" s="4"/>
      <c r="W884" s="4"/>
      <c r="X884" s="4"/>
    </row>
    <row r="885" spans="17:24" x14ac:dyDescent="0.3">
      <c r="Q885" s="4"/>
      <c r="R885" s="4"/>
      <c r="S885" s="4"/>
      <c r="T885" s="4"/>
      <c r="U885" s="4"/>
      <c r="V885" s="4"/>
      <c r="W885" s="4"/>
      <c r="X885" s="4"/>
    </row>
    <row r="886" spans="17:24" x14ac:dyDescent="0.3">
      <c r="Q886" s="4"/>
      <c r="R886" s="4"/>
      <c r="S886" s="4"/>
      <c r="T886" s="4"/>
      <c r="U886" s="4"/>
      <c r="V886" s="4"/>
      <c r="W886" s="4"/>
      <c r="X886" s="4"/>
    </row>
    <row r="887" spans="17:24" x14ac:dyDescent="0.3">
      <c r="Q887" s="4"/>
      <c r="R887" s="4"/>
      <c r="S887" s="4"/>
      <c r="T887" s="4"/>
      <c r="U887" s="4"/>
      <c r="V887" s="4"/>
      <c r="W887" s="4"/>
      <c r="X887" s="4"/>
    </row>
    <row r="888" spans="17:24" x14ac:dyDescent="0.3">
      <c r="Q888" s="4"/>
      <c r="R888" s="4"/>
      <c r="S888" s="4"/>
      <c r="T888" s="4"/>
      <c r="U888" s="4"/>
      <c r="V888" s="4"/>
      <c r="W888" s="4"/>
      <c r="X888" s="4"/>
    </row>
    <row r="889" spans="17:24" x14ac:dyDescent="0.3">
      <c r="Q889" s="4"/>
      <c r="R889" s="4"/>
      <c r="S889" s="4"/>
      <c r="T889" s="4"/>
      <c r="U889" s="4"/>
      <c r="V889" s="4"/>
      <c r="W889" s="4"/>
      <c r="X889" s="4"/>
    </row>
    <row r="890" spans="17:24" x14ac:dyDescent="0.3">
      <c r="Q890" s="4"/>
      <c r="R890" s="4"/>
      <c r="S890" s="4"/>
      <c r="T890" s="4"/>
      <c r="U890" s="4"/>
      <c r="V890" s="4"/>
      <c r="W890" s="4"/>
      <c r="X890" s="4"/>
    </row>
    <row r="891" spans="17:24" x14ac:dyDescent="0.3">
      <c r="Q891" s="4"/>
      <c r="R891" s="4"/>
      <c r="S891" s="4"/>
      <c r="T891" s="4"/>
      <c r="U891" s="4"/>
      <c r="V891" s="4"/>
      <c r="W891" s="4"/>
      <c r="X891" s="4"/>
    </row>
    <row r="892" spans="17:24" x14ac:dyDescent="0.3">
      <c r="Q892" s="4"/>
      <c r="R892" s="4"/>
      <c r="S892" s="4"/>
      <c r="T892" s="4"/>
      <c r="U892" s="4"/>
      <c r="V892" s="4"/>
      <c r="W892" s="4"/>
      <c r="X892" s="4"/>
    </row>
    <row r="893" spans="17:24" x14ac:dyDescent="0.3">
      <c r="Q893" s="4"/>
      <c r="R893" s="4"/>
      <c r="S893" s="4"/>
      <c r="T893" s="4"/>
      <c r="U893" s="4"/>
      <c r="V893" s="4"/>
      <c r="W893" s="4"/>
      <c r="X893" s="4"/>
    </row>
    <row r="894" spans="17:24" x14ac:dyDescent="0.3">
      <c r="Q894" s="4"/>
      <c r="R894" s="4"/>
      <c r="S894" s="4"/>
      <c r="T894" s="4"/>
      <c r="U894" s="4"/>
      <c r="V894" s="4"/>
      <c r="W894" s="4"/>
      <c r="X894" s="4"/>
    </row>
    <row r="895" spans="17:24" x14ac:dyDescent="0.3">
      <c r="Q895" s="4"/>
      <c r="R895" s="4"/>
      <c r="S895" s="4"/>
      <c r="T895" s="4"/>
      <c r="U895" s="4"/>
      <c r="V895" s="4"/>
      <c r="W895" s="4"/>
      <c r="X895" s="4"/>
    </row>
    <row r="896" spans="17:24" x14ac:dyDescent="0.3">
      <c r="Q896" s="4"/>
      <c r="R896" s="4"/>
      <c r="S896" s="4"/>
      <c r="T896" s="4"/>
      <c r="U896" s="4"/>
      <c r="V896" s="4"/>
      <c r="W896" s="4"/>
      <c r="X896" s="4"/>
    </row>
    <row r="897" spans="17:24" x14ac:dyDescent="0.3">
      <c r="Q897" s="4"/>
      <c r="R897" s="4"/>
      <c r="S897" s="4"/>
      <c r="T897" s="4"/>
      <c r="U897" s="4"/>
      <c r="V897" s="4"/>
      <c r="W897" s="4"/>
      <c r="X897" s="4"/>
    </row>
    <row r="898" spans="17:24" x14ac:dyDescent="0.3">
      <c r="Q898" s="4"/>
      <c r="R898" s="4"/>
      <c r="S898" s="4"/>
      <c r="T898" s="4"/>
      <c r="U898" s="4"/>
      <c r="V898" s="4"/>
      <c r="W898" s="4"/>
      <c r="X898" s="4"/>
    </row>
    <row r="899" spans="17:24" x14ac:dyDescent="0.3">
      <c r="Q899" s="4"/>
      <c r="R899" s="4"/>
      <c r="S899" s="4"/>
      <c r="T899" s="4"/>
      <c r="U899" s="4"/>
      <c r="V899" s="4"/>
      <c r="W899" s="4"/>
      <c r="X899" s="4"/>
    </row>
    <row r="900" spans="17:24" x14ac:dyDescent="0.3">
      <c r="Q900" s="4"/>
      <c r="R900" s="4"/>
      <c r="S900" s="4"/>
      <c r="T900" s="4"/>
      <c r="U900" s="4"/>
      <c r="V900" s="4"/>
      <c r="W900" s="4"/>
      <c r="X900" s="4"/>
    </row>
    <row r="901" spans="17:24" x14ac:dyDescent="0.3">
      <c r="Q901" s="4"/>
      <c r="R901" s="4"/>
      <c r="S901" s="4"/>
      <c r="T901" s="4"/>
      <c r="U901" s="4"/>
      <c r="V901" s="4"/>
      <c r="W901" s="4"/>
      <c r="X901" s="4"/>
    </row>
    <row r="902" spans="17:24" x14ac:dyDescent="0.3">
      <c r="Q902" s="4"/>
      <c r="R902" s="4"/>
      <c r="S902" s="4"/>
      <c r="T902" s="4"/>
      <c r="U902" s="4"/>
      <c r="V902" s="4"/>
      <c r="W902" s="4"/>
      <c r="X902" s="4"/>
    </row>
    <row r="903" spans="17:24" x14ac:dyDescent="0.3">
      <c r="Q903" s="4"/>
      <c r="R903" s="4"/>
      <c r="S903" s="4"/>
      <c r="T903" s="4"/>
      <c r="U903" s="4"/>
      <c r="V903" s="4"/>
      <c r="W903" s="4"/>
      <c r="X903" s="4"/>
    </row>
    <row r="904" spans="17:24" x14ac:dyDescent="0.3">
      <c r="Q904" s="4"/>
      <c r="R904" s="4"/>
      <c r="S904" s="4"/>
      <c r="T904" s="4"/>
      <c r="U904" s="4"/>
      <c r="V904" s="4"/>
      <c r="W904" s="4"/>
      <c r="X904" s="4"/>
    </row>
    <row r="905" spans="17:24" x14ac:dyDescent="0.3">
      <c r="Q905" s="4"/>
      <c r="R905" s="4"/>
      <c r="S905" s="4"/>
      <c r="T905" s="4"/>
      <c r="U905" s="4"/>
      <c r="V905" s="4"/>
      <c r="W905" s="4"/>
      <c r="X905" s="4"/>
    </row>
    <row r="906" spans="17:24" x14ac:dyDescent="0.3">
      <c r="Q906" s="4"/>
      <c r="R906" s="4"/>
      <c r="S906" s="4"/>
      <c r="T906" s="4"/>
      <c r="U906" s="4"/>
      <c r="V906" s="4"/>
      <c r="W906" s="4"/>
      <c r="X906" s="4"/>
    </row>
    <row r="907" spans="17:24" x14ac:dyDescent="0.3">
      <c r="Q907" s="4"/>
      <c r="R907" s="4"/>
      <c r="S907" s="4"/>
      <c r="T907" s="4"/>
      <c r="U907" s="4"/>
      <c r="V907" s="4"/>
      <c r="W907" s="4"/>
      <c r="X907" s="4"/>
    </row>
    <row r="908" spans="17:24" x14ac:dyDescent="0.3">
      <c r="Q908" s="4"/>
      <c r="R908" s="4"/>
      <c r="S908" s="4"/>
      <c r="T908" s="4"/>
      <c r="U908" s="4"/>
      <c r="V908" s="4"/>
      <c r="W908" s="4"/>
      <c r="X908" s="4"/>
    </row>
    <row r="909" spans="17:24" x14ac:dyDescent="0.3">
      <c r="Q909" s="4"/>
      <c r="R909" s="4"/>
      <c r="S909" s="4"/>
      <c r="T909" s="4"/>
      <c r="U909" s="4"/>
      <c r="V909" s="4"/>
      <c r="W909" s="4"/>
      <c r="X909" s="4"/>
    </row>
    <row r="910" spans="17:24" x14ac:dyDescent="0.3">
      <c r="Q910" s="4"/>
      <c r="R910" s="4"/>
      <c r="S910" s="4"/>
      <c r="T910" s="4"/>
      <c r="U910" s="4"/>
      <c r="V910" s="4"/>
      <c r="W910" s="4"/>
      <c r="X910" s="4"/>
    </row>
    <row r="911" spans="17:24" x14ac:dyDescent="0.3">
      <c r="Q911" s="4"/>
      <c r="R911" s="4"/>
      <c r="S911" s="4"/>
      <c r="T911" s="4"/>
      <c r="U911" s="4"/>
      <c r="V911" s="4"/>
      <c r="W911" s="4"/>
      <c r="X911" s="4"/>
    </row>
    <row r="912" spans="17:24" x14ac:dyDescent="0.3">
      <c r="Q912" s="4"/>
      <c r="R912" s="4"/>
      <c r="S912" s="4"/>
      <c r="T912" s="4"/>
      <c r="U912" s="4"/>
      <c r="V912" s="4"/>
      <c r="W912" s="4"/>
      <c r="X912" s="4"/>
    </row>
    <row r="913" spans="17:24" x14ac:dyDescent="0.3">
      <c r="Q913" s="4"/>
      <c r="R913" s="4"/>
      <c r="S913" s="4"/>
      <c r="T913" s="4"/>
      <c r="U913" s="4"/>
      <c r="V913" s="4"/>
      <c r="W913" s="4"/>
      <c r="X913" s="4"/>
    </row>
    <row r="914" spans="17:24" x14ac:dyDescent="0.3">
      <c r="Q914" s="4"/>
      <c r="R914" s="4"/>
      <c r="S914" s="4"/>
      <c r="T914" s="4"/>
      <c r="U914" s="4"/>
      <c r="V914" s="4"/>
      <c r="W914" s="4"/>
      <c r="X914" s="4"/>
    </row>
    <row r="915" spans="17:24" x14ac:dyDescent="0.3">
      <c r="Q915" s="4"/>
      <c r="R915" s="4"/>
      <c r="S915" s="4"/>
      <c r="T915" s="4"/>
      <c r="U915" s="4"/>
      <c r="V915" s="4"/>
      <c r="W915" s="4"/>
      <c r="X915" s="4"/>
    </row>
    <row r="916" spans="17:24" x14ac:dyDescent="0.3">
      <c r="Q916" s="4"/>
      <c r="R916" s="4"/>
      <c r="S916" s="4"/>
      <c r="T916" s="4"/>
      <c r="U916" s="4"/>
      <c r="V916" s="4"/>
      <c r="W916" s="4"/>
      <c r="X916" s="4"/>
    </row>
    <row r="917" spans="17:24" x14ac:dyDescent="0.3">
      <c r="Q917" s="4"/>
      <c r="R917" s="4"/>
      <c r="S917" s="4"/>
      <c r="T917" s="4"/>
      <c r="U917" s="4"/>
      <c r="V917" s="4"/>
      <c r="W917" s="4"/>
      <c r="X917" s="4"/>
    </row>
    <row r="918" spans="17:24" x14ac:dyDescent="0.3">
      <c r="Q918" s="4"/>
      <c r="R918" s="4"/>
      <c r="S918" s="4"/>
      <c r="T918" s="4"/>
      <c r="U918" s="4"/>
      <c r="V918" s="4"/>
      <c r="W918" s="4"/>
      <c r="X918" s="4"/>
    </row>
    <row r="919" spans="17:24" x14ac:dyDescent="0.3">
      <c r="Q919" s="4"/>
      <c r="R919" s="4"/>
      <c r="S919" s="4"/>
      <c r="T919" s="4"/>
      <c r="U919" s="4"/>
      <c r="V919" s="4"/>
      <c r="W919" s="4"/>
      <c r="X919" s="4"/>
    </row>
    <row r="920" spans="17:24" x14ac:dyDescent="0.3">
      <c r="Q920" s="4"/>
      <c r="R920" s="4"/>
      <c r="S920" s="4"/>
      <c r="T920" s="4"/>
      <c r="U920" s="4"/>
      <c r="V920" s="4"/>
      <c r="W920" s="4"/>
      <c r="X920" s="4"/>
    </row>
    <row r="921" spans="17:24" x14ac:dyDescent="0.3">
      <c r="Q921" s="4"/>
      <c r="R921" s="4"/>
      <c r="S921" s="4"/>
      <c r="T921" s="4"/>
      <c r="U921" s="4"/>
      <c r="V921" s="4"/>
      <c r="W921" s="4"/>
      <c r="X921" s="4"/>
    </row>
    <row r="922" spans="17:24" x14ac:dyDescent="0.3">
      <c r="Q922" s="4"/>
      <c r="R922" s="4"/>
      <c r="S922" s="4"/>
      <c r="T922" s="4"/>
      <c r="U922" s="4"/>
      <c r="V922" s="4"/>
      <c r="W922" s="4"/>
      <c r="X922" s="4"/>
    </row>
    <row r="923" spans="17:24" x14ac:dyDescent="0.3">
      <c r="Q923" s="4"/>
      <c r="R923" s="4"/>
      <c r="S923" s="4"/>
      <c r="T923" s="4"/>
      <c r="U923" s="4"/>
      <c r="V923" s="4"/>
      <c r="W923" s="4"/>
      <c r="X923" s="4"/>
    </row>
    <row r="924" spans="17:24" x14ac:dyDescent="0.3">
      <c r="Q924" s="4"/>
      <c r="R924" s="4"/>
      <c r="S924" s="4"/>
      <c r="T924" s="4"/>
      <c r="U924" s="4"/>
      <c r="V924" s="4"/>
      <c r="W924" s="4"/>
      <c r="X924" s="4"/>
    </row>
    <row r="925" spans="17:24" x14ac:dyDescent="0.3">
      <c r="Q925" s="4"/>
      <c r="R925" s="4"/>
      <c r="S925" s="4"/>
      <c r="T925" s="4"/>
      <c r="U925" s="4"/>
      <c r="V925" s="4"/>
      <c r="W925" s="4"/>
      <c r="X925" s="4"/>
    </row>
    <row r="926" spans="17:24" x14ac:dyDescent="0.3">
      <c r="Q926" s="4"/>
      <c r="R926" s="4"/>
      <c r="S926" s="4"/>
      <c r="T926" s="4"/>
      <c r="U926" s="4"/>
      <c r="V926" s="4"/>
      <c r="W926" s="4"/>
      <c r="X926" s="4"/>
    </row>
    <row r="927" spans="17:24" x14ac:dyDescent="0.3">
      <c r="Q927" s="4"/>
      <c r="R927" s="4"/>
      <c r="S927" s="4"/>
      <c r="T927" s="4"/>
      <c r="U927" s="4"/>
      <c r="V927" s="4"/>
      <c r="W927" s="4"/>
      <c r="X927" s="4"/>
    </row>
    <row r="928" spans="17:24" x14ac:dyDescent="0.3">
      <c r="Q928" s="4"/>
      <c r="R928" s="4"/>
      <c r="S928" s="4"/>
      <c r="T928" s="4"/>
      <c r="U928" s="4"/>
      <c r="V928" s="4"/>
      <c r="W928" s="4"/>
      <c r="X928" s="4"/>
    </row>
    <row r="929" spans="17:24" x14ac:dyDescent="0.3">
      <c r="Q929" s="4"/>
      <c r="R929" s="4"/>
      <c r="S929" s="4"/>
      <c r="T929" s="4"/>
      <c r="U929" s="4"/>
      <c r="V929" s="4"/>
      <c r="W929" s="4"/>
      <c r="X929" s="4"/>
    </row>
    <row r="930" spans="17:24" x14ac:dyDescent="0.3">
      <c r="Q930" s="4"/>
      <c r="R930" s="4"/>
      <c r="S930" s="4"/>
      <c r="T930" s="4"/>
      <c r="U930" s="4"/>
      <c r="V930" s="4"/>
      <c r="W930" s="4"/>
      <c r="X930" s="4"/>
    </row>
    <row r="931" spans="17:24" x14ac:dyDescent="0.3">
      <c r="Q931" s="4"/>
      <c r="R931" s="4"/>
      <c r="S931" s="4"/>
      <c r="T931" s="4"/>
      <c r="U931" s="4"/>
      <c r="V931" s="4"/>
      <c r="W931" s="4"/>
      <c r="X931" s="4"/>
    </row>
    <row r="932" spans="17:24" x14ac:dyDescent="0.3">
      <c r="Q932" s="4"/>
      <c r="R932" s="4"/>
      <c r="S932" s="4"/>
      <c r="T932" s="4"/>
      <c r="U932" s="4"/>
      <c r="V932" s="4"/>
      <c r="W932" s="4"/>
      <c r="X932" s="4"/>
    </row>
    <row r="933" spans="17:24" x14ac:dyDescent="0.3">
      <c r="Q933" s="4"/>
      <c r="R933" s="4"/>
      <c r="S933" s="4"/>
      <c r="T933" s="4"/>
      <c r="U933" s="4"/>
      <c r="V933" s="4"/>
      <c r="W933" s="4"/>
      <c r="X933" s="4"/>
    </row>
    <row r="934" spans="17:24" x14ac:dyDescent="0.3">
      <c r="Q934" s="4"/>
      <c r="R934" s="4"/>
      <c r="S934" s="4"/>
      <c r="T934" s="4"/>
      <c r="U934" s="4"/>
      <c r="V934" s="4"/>
      <c r="W934" s="4"/>
      <c r="X934" s="4"/>
    </row>
    <row r="935" spans="17:24" x14ac:dyDescent="0.3">
      <c r="Q935" s="4"/>
      <c r="R935" s="4"/>
      <c r="S935" s="4"/>
      <c r="T935" s="4"/>
      <c r="U935" s="4"/>
      <c r="V935" s="4"/>
      <c r="W935" s="4"/>
      <c r="X935" s="4"/>
    </row>
    <row r="936" spans="17:24" x14ac:dyDescent="0.3">
      <c r="Q936" s="4"/>
      <c r="R936" s="4"/>
      <c r="S936" s="4"/>
      <c r="T936" s="4"/>
      <c r="U936" s="4"/>
      <c r="V936" s="4"/>
      <c r="W936" s="4"/>
      <c r="X936" s="4"/>
    </row>
    <row r="937" spans="17:24" x14ac:dyDescent="0.3">
      <c r="Q937" s="4"/>
      <c r="R937" s="4"/>
      <c r="S937" s="4"/>
      <c r="T937" s="4"/>
      <c r="U937" s="4"/>
      <c r="V937" s="4"/>
      <c r="W937" s="4"/>
      <c r="X937" s="4"/>
    </row>
    <row r="938" spans="17:24" x14ac:dyDescent="0.3">
      <c r="Q938" s="4"/>
      <c r="R938" s="4"/>
      <c r="S938" s="4"/>
      <c r="T938" s="4"/>
      <c r="U938" s="4"/>
      <c r="V938" s="4"/>
      <c r="W938" s="4"/>
      <c r="X938" s="4"/>
    </row>
    <row r="939" spans="17:24" x14ac:dyDescent="0.3">
      <c r="Q939" s="4"/>
      <c r="R939" s="4"/>
      <c r="S939" s="4"/>
      <c r="T939" s="4"/>
      <c r="U939" s="4"/>
      <c r="V939" s="4"/>
      <c r="W939" s="4"/>
      <c r="X939" s="4"/>
    </row>
    <row r="940" spans="17:24" x14ac:dyDescent="0.3">
      <c r="Q940" s="4"/>
      <c r="R940" s="4"/>
      <c r="S940" s="4"/>
      <c r="T940" s="4"/>
      <c r="U940" s="4"/>
      <c r="V940" s="4"/>
      <c r="W940" s="4"/>
      <c r="X940" s="4"/>
    </row>
    <row r="941" spans="17:24" x14ac:dyDescent="0.3">
      <c r="Q941" s="4"/>
      <c r="R941" s="4"/>
      <c r="S941" s="4"/>
      <c r="T941" s="4"/>
      <c r="U941" s="4"/>
      <c r="V941" s="4"/>
      <c r="W941" s="4"/>
      <c r="X941" s="4"/>
    </row>
    <row r="942" spans="17:24" x14ac:dyDescent="0.3">
      <c r="Q942" s="4"/>
      <c r="R942" s="4"/>
      <c r="S942" s="4"/>
      <c r="T942" s="4"/>
      <c r="U942" s="4"/>
      <c r="V942" s="4"/>
      <c r="W942" s="4"/>
      <c r="X942" s="4"/>
    </row>
    <row r="943" spans="17:24" x14ac:dyDescent="0.3">
      <c r="Q943" s="4"/>
      <c r="R943" s="4"/>
      <c r="S943" s="4"/>
      <c r="T943" s="4"/>
      <c r="U943" s="4"/>
      <c r="V943" s="4"/>
      <c r="W943" s="4"/>
      <c r="X943" s="4"/>
    </row>
    <row r="944" spans="17:24" x14ac:dyDescent="0.3">
      <c r="Q944" s="4"/>
      <c r="R944" s="4"/>
      <c r="S944" s="4"/>
      <c r="T944" s="4"/>
      <c r="U944" s="4"/>
      <c r="V944" s="4"/>
      <c r="W944" s="4"/>
      <c r="X944" s="4"/>
    </row>
    <row r="945" spans="17:24" x14ac:dyDescent="0.3">
      <c r="Q945" s="4"/>
      <c r="R945" s="4"/>
      <c r="S945" s="4"/>
      <c r="T945" s="4"/>
      <c r="U945" s="4"/>
      <c r="V945" s="4"/>
      <c r="W945" s="4"/>
      <c r="X945" s="4"/>
    </row>
    <row r="946" spans="17:24" x14ac:dyDescent="0.3">
      <c r="Q946" s="4"/>
      <c r="R946" s="4"/>
      <c r="S946" s="4"/>
      <c r="T946" s="4"/>
      <c r="U946" s="4"/>
      <c r="V946" s="4"/>
      <c r="W946" s="4"/>
      <c r="X946" s="4"/>
    </row>
    <row r="947" spans="17:24" x14ac:dyDescent="0.3">
      <c r="Q947" s="4"/>
      <c r="R947" s="4"/>
      <c r="S947" s="4"/>
      <c r="T947" s="4"/>
      <c r="U947" s="4"/>
      <c r="V947" s="4"/>
      <c r="W947" s="4"/>
      <c r="X947" s="4"/>
    </row>
    <row r="948" spans="17:24" x14ac:dyDescent="0.3">
      <c r="Q948" s="4"/>
      <c r="R948" s="4"/>
      <c r="S948" s="4"/>
      <c r="T948" s="4"/>
      <c r="U948" s="4"/>
      <c r="V948" s="4"/>
      <c r="W948" s="4"/>
      <c r="X948" s="4"/>
    </row>
    <row r="949" spans="17:24" x14ac:dyDescent="0.3">
      <c r="Q949" s="4"/>
      <c r="R949" s="4"/>
      <c r="S949" s="4"/>
      <c r="T949" s="4"/>
      <c r="U949" s="4"/>
      <c r="V949" s="4"/>
      <c r="W949" s="4"/>
      <c r="X949" s="4"/>
    </row>
    <row r="950" spans="17:24" x14ac:dyDescent="0.3">
      <c r="Q950" s="4"/>
      <c r="R950" s="4"/>
      <c r="S950" s="4"/>
      <c r="T950" s="4"/>
      <c r="U950" s="4"/>
      <c r="V950" s="4"/>
      <c r="W950" s="4"/>
      <c r="X950" s="4"/>
    </row>
    <row r="951" spans="17:24" x14ac:dyDescent="0.3">
      <c r="Q951" s="4"/>
      <c r="R951" s="4"/>
      <c r="S951" s="4"/>
      <c r="T951" s="4"/>
      <c r="U951" s="4"/>
      <c r="V951" s="4"/>
      <c r="W951" s="4"/>
      <c r="X951" s="4"/>
    </row>
    <row r="952" spans="17:24" x14ac:dyDescent="0.3">
      <c r="Q952" s="4"/>
      <c r="R952" s="4"/>
      <c r="S952" s="4"/>
      <c r="T952" s="4"/>
      <c r="U952" s="4"/>
      <c r="V952" s="4"/>
      <c r="W952" s="4"/>
      <c r="X952" s="4"/>
    </row>
    <row r="953" spans="17:24" x14ac:dyDescent="0.3">
      <c r="Q953" s="4"/>
      <c r="R953" s="4"/>
      <c r="S953" s="4"/>
      <c r="T953" s="4"/>
      <c r="U953" s="4"/>
      <c r="V953" s="4"/>
      <c r="W953" s="4"/>
      <c r="X953" s="4"/>
    </row>
    <row r="954" spans="17:24" x14ac:dyDescent="0.3">
      <c r="Q954" s="4"/>
      <c r="R954" s="4"/>
      <c r="S954" s="4"/>
      <c r="T954" s="4"/>
      <c r="U954" s="4"/>
      <c r="V954" s="4"/>
      <c r="W954" s="4"/>
      <c r="X954" s="4"/>
    </row>
    <row r="955" spans="17:24" x14ac:dyDescent="0.3">
      <c r="Q955" s="4"/>
      <c r="R955" s="4"/>
      <c r="S955" s="4"/>
      <c r="T955" s="4"/>
      <c r="U955" s="4"/>
      <c r="V955" s="4"/>
      <c r="W955" s="4"/>
      <c r="X955" s="4"/>
    </row>
    <row r="956" spans="17:24" x14ac:dyDescent="0.3">
      <c r="Q956" s="4"/>
      <c r="R956" s="4"/>
      <c r="S956" s="4"/>
      <c r="T956" s="4"/>
      <c r="U956" s="4"/>
      <c r="V956" s="4"/>
      <c r="W956" s="4"/>
      <c r="X956" s="4"/>
    </row>
    <row r="957" spans="17:24" x14ac:dyDescent="0.3">
      <c r="Q957" s="4"/>
      <c r="R957" s="4"/>
      <c r="S957" s="4"/>
      <c r="T957" s="4"/>
      <c r="U957" s="4"/>
      <c r="V957" s="4"/>
      <c r="W957" s="4"/>
      <c r="X957" s="4"/>
    </row>
    <row r="958" spans="17:24" x14ac:dyDescent="0.3">
      <c r="Q958" s="4"/>
      <c r="R958" s="4"/>
      <c r="S958" s="4"/>
      <c r="T958" s="4"/>
      <c r="U958" s="4"/>
      <c r="V958" s="4"/>
      <c r="W958" s="4"/>
      <c r="X958" s="4"/>
    </row>
    <row r="959" spans="17:24" x14ac:dyDescent="0.3">
      <c r="Q959" s="4"/>
      <c r="R959" s="4"/>
      <c r="S959" s="4"/>
      <c r="T959" s="4"/>
      <c r="U959" s="4"/>
      <c r="V959" s="4"/>
      <c r="W959" s="4"/>
      <c r="X959" s="4"/>
    </row>
    <row r="960" spans="17:24" x14ac:dyDescent="0.3">
      <c r="Q960" s="4"/>
      <c r="R960" s="4"/>
      <c r="S960" s="4"/>
      <c r="T960" s="4"/>
      <c r="U960" s="4"/>
      <c r="V960" s="4"/>
      <c r="W960" s="4"/>
      <c r="X960" s="4"/>
    </row>
    <row r="961" spans="17:24" x14ac:dyDescent="0.3">
      <c r="Q961" s="4"/>
      <c r="R961" s="4"/>
      <c r="S961" s="4"/>
      <c r="T961" s="4"/>
      <c r="U961" s="4"/>
      <c r="V961" s="4"/>
      <c r="W961" s="4"/>
      <c r="X961" s="4"/>
    </row>
    <row r="962" spans="17:24" x14ac:dyDescent="0.3">
      <c r="Q962" s="4"/>
      <c r="R962" s="4"/>
      <c r="S962" s="4"/>
      <c r="T962" s="4"/>
      <c r="U962" s="4"/>
      <c r="V962" s="4"/>
      <c r="W962" s="4"/>
      <c r="X962" s="4"/>
    </row>
    <row r="963" spans="17:24" x14ac:dyDescent="0.3">
      <c r="Q963" s="4"/>
      <c r="R963" s="4"/>
      <c r="S963" s="4"/>
      <c r="T963" s="4"/>
      <c r="U963" s="4"/>
      <c r="V963" s="4"/>
      <c r="W963" s="4"/>
      <c r="X963" s="4"/>
    </row>
    <row r="964" spans="17:24" x14ac:dyDescent="0.3">
      <c r="Q964" s="4"/>
      <c r="R964" s="4"/>
      <c r="S964" s="4"/>
      <c r="T964" s="4"/>
      <c r="U964" s="4"/>
      <c r="V964" s="4"/>
      <c r="W964" s="4"/>
      <c r="X964" s="4"/>
    </row>
    <row r="965" spans="17:24" x14ac:dyDescent="0.3">
      <c r="Q965" s="4"/>
      <c r="R965" s="4"/>
      <c r="S965" s="4"/>
      <c r="T965" s="4"/>
      <c r="U965" s="4"/>
      <c r="V965" s="4"/>
      <c r="W965" s="4"/>
      <c r="X965" s="4"/>
    </row>
    <row r="966" spans="17:24" x14ac:dyDescent="0.3">
      <c r="Q966" s="4"/>
      <c r="R966" s="4"/>
      <c r="S966" s="4"/>
      <c r="T966" s="4"/>
      <c r="U966" s="4"/>
      <c r="V966" s="4"/>
      <c r="W966" s="4"/>
      <c r="X966" s="4"/>
    </row>
    <row r="967" spans="17:24" x14ac:dyDescent="0.3">
      <c r="Q967" s="4"/>
      <c r="R967" s="4"/>
      <c r="S967" s="4"/>
      <c r="T967" s="4"/>
      <c r="U967" s="4"/>
      <c r="V967" s="4"/>
      <c r="W967" s="4"/>
      <c r="X967" s="4"/>
    </row>
    <row r="968" spans="17:24" x14ac:dyDescent="0.3">
      <c r="Q968" s="4"/>
      <c r="R968" s="4"/>
      <c r="S968" s="4"/>
      <c r="T968" s="4"/>
      <c r="U968" s="4"/>
      <c r="V968" s="4"/>
      <c r="W968" s="4"/>
      <c r="X968" s="4"/>
    </row>
    <row r="969" spans="17:24" x14ac:dyDescent="0.3">
      <c r="Q969" s="4"/>
      <c r="R969" s="4"/>
      <c r="S969" s="4"/>
      <c r="T969" s="4"/>
      <c r="U969" s="4"/>
      <c r="V969" s="4"/>
      <c r="W969" s="4"/>
      <c r="X969" s="4"/>
    </row>
    <row r="970" spans="17:24" x14ac:dyDescent="0.3">
      <c r="Q970" s="4"/>
      <c r="R970" s="4"/>
      <c r="S970" s="4"/>
      <c r="T970" s="4"/>
      <c r="U970" s="4"/>
      <c r="V970" s="4"/>
      <c r="W970" s="4"/>
      <c r="X970" s="4"/>
    </row>
    <row r="971" spans="17:24" x14ac:dyDescent="0.3">
      <c r="Q971" s="4"/>
      <c r="R971" s="4"/>
      <c r="S971" s="4"/>
      <c r="T971" s="4"/>
      <c r="U971" s="4"/>
      <c r="V971" s="4"/>
      <c r="W971" s="4"/>
      <c r="X971" s="4"/>
    </row>
    <row r="972" spans="17:24" x14ac:dyDescent="0.3">
      <c r="Q972" s="4"/>
      <c r="R972" s="4"/>
      <c r="S972" s="4"/>
      <c r="T972" s="4"/>
      <c r="U972" s="4"/>
      <c r="V972" s="4"/>
      <c r="W972" s="4"/>
      <c r="X972" s="4"/>
    </row>
    <row r="973" spans="17:24" x14ac:dyDescent="0.3">
      <c r="Q973" s="4"/>
      <c r="R973" s="4"/>
      <c r="S973" s="4"/>
      <c r="T973" s="4"/>
      <c r="U973" s="4"/>
      <c r="V973" s="4"/>
      <c r="W973" s="4"/>
      <c r="X973" s="4"/>
    </row>
    <row r="974" spans="17:24" x14ac:dyDescent="0.3">
      <c r="Q974" s="4"/>
      <c r="R974" s="4"/>
      <c r="S974" s="4"/>
      <c r="T974" s="4"/>
      <c r="U974" s="4"/>
      <c r="V974" s="4"/>
      <c r="W974" s="4"/>
      <c r="X974" s="4"/>
    </row>
    <row r="975" spans="17:24" x14ac:dyDescent="0.3">
      <c r="Q975" s="4"/>
      <c r="R975" s="4"/>
      <c r="S975" s="4"/>
      <c r="T975" s="4"/>
      <c r="U975" s="4"/>
      <c r="V975" s="4"/>
      <c r="W975" s="4"/>
      <c r="X975" s="4"/>
    </row>
    <row r="976" spans="17:24" x14ac:dyDescent="0.3">
      <c r="Q976" s="4"/>
      <c r="R976" s="4"/>
      <c r="S976" s="4"/>
      <c r="T976" s="4"/>
      <c r="U976" s="4"/>
      <c r="V976" s="4"/>
      <c r="W976" s="4"/>
      <c r="X976" s="4"/>
    </row>
    <row r="977" spans="17:24" x14ac:dyDescent="0.3">
      <c r="Q977" s="4"/>
      <c r="R977" s="4"/>
      <c r="S977" s="4"/>
      <c r="T977" s="4"/>
      <c r="U977" s="4"/>
      <c r="V977" s="4"/>
      <c r="W977" s="4"/>
      <c r="X977" s="4"/>
    </row>
    <row r="978" spans="17:24" x14ac:dyDescent="0.3">
      <c r="Q978" s="4"/>
      <c r="R978" s="4"/>
      <c r="S978" s="4"/>
      <c r="T978" s="4"/>
      <c r="U978" s="4"/>
      <c r="V978" s="4"/>
      <c r="W978" s="4"/>
      <c r="X978" s="4"/>
    </row>
    <row r="979" spans="17:24" x14ac:dyDescent="0.3">
      <c r="Q979" s="4"/>
      <c r="R979" s="4"/>
      <c r="S979" s="4"/>
      <c r="T979" s="4"/>
      <c r="U979" s="4"/>
      <c r="V979" s="4"/>
      <c r="W979" s="4"/>
      <c r="X979" s="4"/>
    </row>
    <row r="980" spans="17:24" x14ac:dyDescent="0.3">
      <c r="Q980" s="4"/>
      <c r="R980" s="4"/>
      <c r="S980" s="4"/>
      <c r="T980" s="4"/>
      <c r="U980" s="4"/>
      <c r="V980" s="4"/>
      <c r="W980" s="4"/>
      <c r="X980" s="4"/>
    </row>
    <row r="981" spans="17:24" x14ac:dyDescent="0.3">
      <c r="Q981" s="4"/>
      <c r="R981" s="4"/>
      <c r="S981" s="4"/>
      <c r="T981" s="4"/>
      <c r="U981" s="4"/>
      <c r="V981" s="4"/>
      <c r="W981" s="4"/>
      <c r="X981" s="4"/>
    </row>
    <row r="982" spans="17:24" x14ac:dyDescent="0.3">
      <c r="Q982" s="4"/>
      <c r="R982" s="4"/>
      <c r="S982" s="4"/>
      <c r="T982" s="4"/>
      <c r="U982" s="4"/>
      <c r="V982" s="4"/>
      <c r="W982" s="4"/>
      <c r="X982" s="4"/>
    </row>
    <row r="983" spans="17:24" x14ac:dyDescent="0.3">
      <c r="Q983" s="4"/>
      <c r="R983" s="4"/>
      <c r="S983" s="4"/>
      <c r="T983" s="4"/>
      <c r="U983" s="4"/>
      <c r="V983" s="4"/>
      <c r="W983" s="4"/>
      <c r="X983" s="4"/>
    </row>
    <row r="984" spans="17:24" x14ac:dyDescent="0.3">
      <c r="Q984" s="4"/>
      <c r="R984" s="4"/>
      <c r="S984" s="4"/>
      <c r="T984" s="4"/>
      <c r="U984" s="4"/>
      <c r="V984" s="4"/>
      <c r="W984" s="4"/>
      <c r="X984" s="4"/>
    </row>
    <row r="985" spans="17:24" x14ac:dyDescent="0.3">
      <c r="Q985" s="4"/>
      <c r="R985" s="4"/>
      <c r="S985" s="4"/>
      <c r="T985" s="4"/>
      <c r="U985" s="4"/>
      <c r="V985" s="4"/>
      <c r="W985" s="4"/>
      <c r="X985" s="4"/>
    </row>
    <row r="986" spans="17:24" x14ac:dyDescent="0.3">
      <c r="Q986" s="4"/>
      <c r="R986" s="4"/>
      <c r="S986" s="4"/>
      <c r="T986" s="4"/>
      <c r="U986" s="4"/>
      <c r="V986" s="4"/>
      <c r="W986" s="4"/>
      <c r="X986" s="4"/>
    </row>
    <row r="987" spans="17:24" x14ac:dyDescent="0.3">
      <c r="Q987" s="4"/>
      <c r="R987" s="4"/>
      <c r="S987" s="4"/>
      <c r="T987" s="4"/>
      <c r="U987" s="4"/>
      <c r="V987" s="4"/>
      <c r="W987" s="4"/>
      <c r="X987" s="4"/>
    </row>
    <row r="988" spans="17:24" x14ac:dyDescent="0.3">
      <c r="Q988" s="4"/>
      <c r="R988" s="4"/>
      <c r="S988" s="4"/>
      <c r="T988" s="4"/>
      <c r="U988" s="4"/>
      <c r="V988" s="4"/>
      <c r="W988" s="4"/>
      <c r="X988" s="4"/>
    </row>
    <row r="989" spans="17:24" x14ac:dyDescent="0.3">
      <c r="Q989" s="4"/>
      <c r="R989" s="4"/>
      <c r="S989" s="4"/>
      <c r="T989" s="4"/>
      <c r="U989" s="4"/>
      <c r="V989" s="4"/>
      <c r="W989" s="4"/>
      <c r="X989" s="4"/>
    </row>
    <row r="990" spans="17:24" x14ac:dyDescent="0.3">
      <c r="Q990" s="4"/>
      <c r="R990" s="4"/>
      <c r="S990" s="4"/>
      <c r="T990" s="4"/>
      <c r="U990" s="4"/>
      <c r="V990" s="4"/>
      <c r="W990" s="4"/>
      <c r="X990" s="4"/>
    </row>
    <row r="991" spans="17:24" x14ac:dyDescent="0.3">
      <c r="Q991" s="4"/>
      <c r="R991" s="4"/>
      <c r="S991" s="4"/>
      <c r="T991" s="4"/>
      <c r="U991" s="4"/>
      <c r="V991" s="4"/>
      <c r="W991" s="4"/>
      <c r="X991" s="4"/>
    </row>
    <row r="992" spans="17:24" x14ac:dyDescent="0.3">
      <c r="Q992" s="4"/>
      <c r="R992" s="4"/>
      <c r="S992" s="4"/>
      <c r="T992" s="4"/>
      <c r="U992" s="4"/>
      <c r="V992" s="4"/>
      <c r="W992" s="4"/>
      <c r="X992" s="4"/>
    </row>
    <row r="993" spans="17:24" x14ac:dyDescent="0.3">
      <c r="Q993" s="4"/>
      <c r="R993" s="4"/>
      <c r="S993" s="4"/>
      <c r="T993" s="4"/>
      <c r="U993" s="4"/>
      <c r="V993" s="4"/>
      <c r="W993" s="4"/>
      <c r="X993" s="4"/>
    </row>
    <row r="994" spans="17:24" x14ac:dyDescent="0.3">
      <c r="Q994" s="4"/>
      <c r="R994" s="4"/>
      <c r="S994" s="4"/>
      <c r="T994" s="4"/>
      <c r="U994" s="4"/>
      <c r="V994" s="4"/>
      <c r="W994" s="4"/>
      <c r="X994" s="4"/>
    </row>
    <row r="995" spans="17:24" x14ac:dyDescent="0.3">
      <c r="Q995" s="4"/>
      <c r="R995" s="4"/>
      <c r="S995" s="4"/>
      <c r="T995" s="4"/>
      <c r="U995" s="4"/>
      <c r="V995" s="4"/>
      <c r="W995" s="4"/>
      <c r="X995" s="4"/>
    </row>
    <row r="996" spans="17:24" x14ac:dyDescent="0.3">
      <c r="Q996" s="4"/>
      <c r="R996" s="4"/>
      <c r="S996" s="4"/>
      <c r="T996" s="4"/>
      <c r="U996" s="4"/>
      <c r="V996" s="4"/>
      <c r="W996" s="4"/>
      <c r="X996" s="4"/>
    </row>
    <row r="997" spans="17:24" x14ac:dyDescent="0.3">
      <c r="Q997" s="4"/>
      <c r="R997" s="4"/>
      <c r="S997" s="4"/>
      <c r="T997" s="4"/>
      <c r="U997" s="4"/>
      <c r="V997" s="4"/>
      <c r="W997" s="4"/>
      <c r="X997" s="4"/>
    </row>
    <row r="998" spans="17:24" x14ac:dyDescent="0.3">
      <c r="Q998" s="4"/>
      <c r="R998" s="4"/>
      <c r="S998" s="4"/>
      <c r="T998" s="4"/>
      <c r="U998" s="4"/>
      <c r="V998" s="4"/>
      <c r="W998" s="4"/>
      <c r="X998" s="4"/>
    </row>
    <row r="999" spans="17:24" x14ac:dyDescent="0.3">
      <c r="Q999" s="4"/>
      <c r="R999" s="4"/>
      <c r="S999" s="4"/>
      <c r="T999" s="4"/>
      <c r="U999" s="4"/>
      <c r="V999" s="4"/>
      <c r="W999" s="4"/>
      <c r="X999" s="4"/>
    </row>
    <row r="1000" spans="17:24" x14ac:dyDescent="0.3">
      <c r="Q1000" s="4"/>
      <c r="R1000" s="4"/>
      <c r="S1000" s="4"/>
      <c r="T1000" s="4"/>
      <c r="U1000" s="4"/>
      <c r="V1000" s="4"/>
      <c r="W1000" s="4"/>
      <c r="X1000" s="4"/>
    </row>
    <row r="1001" spans="17:24" x14ac:dyDescent="0.3">
      <c r="Q1001" s="4"/>
      <c r="R1001" s="4"/>
      <c r="S1001" s="4"/>
      <c r="T1001" s="4"/>
      <c r="U1001" s="4"/>
      <c r="V1001" s="4"/>
      <c r="W1001" s="4"/>
      <c r="X1001" s="4"/>
    </row>
    <row r="1002" spans="17:24" x14ac:dyDescent="0.3">
      <c r="Q1002" s="4"/>
      <c r="R1002" s="4"/>
      <c r="S1002" s="4"/>
      <c r="T1002" s="4"/>
      <c r="U1002" s="4"/>
      <c r="V1002" s="4"/>
      <c r="W1002" s="4"/>
      <c r="X1002" s="4"/>
    </row>
    <row r="1003" spans="17:24" x14ac:dyDescent="0.3">
      <c r="Q1003" s="4"/>
      <c r="R1003" s="4"/>
      <c r="S1003" s="4"/>
      <c r="T1003" s="4"/>
      <c r="U1003" s="4"/>
      <c r="V1003" s="4"/>
      <c r="W1003" s="4"/>
      <c r="X1003" s="4"/>
    </row>
    <row r="1004" spans="17:24" x14ac:dyDescent="0.3">
      <c r="Q1004" s="4"/>
      <c r="R1004" s="4"/>
      <c r="S1004" s="4"/>
      <c r="T1004" s="4"/>
      <c r="U1004" s="4"/>
      <c r="V1004" s="4"/>
      <c r="W1004" s="4"/>
      <c r="X1004" s="4"/>
    </row>
    <row r="1005" spans="17:24" x14ac:dyDescent="0.3">
      <c r="Q1005" s="4"/>
      <c r="R1005" s="4"/>
      <c r="S1005" s="4"/>
      <c r="T1005" s="4"/>
      <c r="U1005" s="4"/>
      <c r="V1005" s="4"/>
      <c r="W1005" s="4"/>
      <c r="X1005" s="4"/>
    </row>
    <row r="1006" spans="17:24" x14ac:dyDescent="0.3">
      <c r="Q1006" s="4"/>
      <c r="R1006" s="4"/>
      <c r="S1006" s="4"/>
      <c r="T1006" s="4"/>
      <c r="U1006" s="4"/>
      <c r="V1006" s="4"/>
      <c r="W1006" s="4"/>
      <c r="X1006" s="4"/>
    </row>
    <row r="1007" spans="17:24" x14ac:dyDescent="0.3">
      <c r="Q1007" s="4"/>
      <c r="R1007" s="4"/>
      <c r="S1007" s="4"/>
      <c r="T1007" s="4"/>
      <c r="U1007" s="4"/>
      <c r="V1007" s="4"/>
      <c r="W1007" s="4"/>
      <c r="X1007" s="4"/>
    </row>
    <row r="1008" spans="17:24" x14ac:dyDescent="0.3">
      <c r="Q1008" s="4"/>
      <c r="R1008" s="4"/>
      <c r="S1008" s="4"/>
      <c r="T1008" s="4"/>
      <c r="U1008" s="4"/>
      <c r="V1008" s="4"/>
      <c r="W1008" s="4"/>
      <c r="X1008" s="4"/>
    </row>
    <row r="1009" spans="17:24" x14ac:dyDescent="0.3">
      <c r="Q1009" s="4"/>
      <c r="R1009" s="4"/>
      <c r="S1009" s="4"/>
      <c r="T1009" s="4"/>
      <c r="U1009" s="4"/>
      <c r="V1009" s="4"/>
      <c r="W1009" s="4"/>
      <c r="X1009" s="4"/>
    </row>
    <row r="1010" spans="17:24" x14ac:dyDescent="0.3">
      <c r="Q1010" s="4"/>
      <c r="R1010" s="4"/>
      <c r="S1010" s="4"/>
      <c r="T1010" s="4"/>
      <c r="U1010" s="4"/>
      <c r="V1010" s="4"/>
      <c r="W1010" s="4"/>
      <c r="X1010" s="4"/>
    </row>
    <row r="1011" spans="17:24" x14ac:dyDescent="0.3">
      <c r="Q1011" s="4"/>
      <c r="R1011" s="4"/>
      <c r="S1011" s="4"/>
      <c r="T1011" s="4"/>
      <c r="U1011" s="4"/>
      <c r="V1011" s="4"/>
      <c r="W1011" s="4"/>
      <c r="X1011" s="4"/>
    </row>
    <row r="1012" spans="17:24" x14ac:dyDescent="0.3">
      <c r="Q1012" s="4"/>
      <c r="R1012" s="4"/>
      <c r="S1012" s="4"/>
      <c r="T1012" s="4"/>
      <c r="U1012" s="4"/>
      <c r="V1012" s="4"/>
      <c r="W1012" s="4"/>
      <c r="X1012" s="4"/>
    </row>
    <row r="1013" spans="17:24" x14ac:dyDescent="0.3">
      <c r="Q1013" s="4"/>
      <c r="R1013" s="4"/>
      <c r="S1013" s="4"/>
      <c r="T1013" s="4"/>
      <c r="U1013" s="4"/>
      <c r="V1013" s="4"/>
      <c r="W1013" s="4"/>
      <c r="X1013" s="4"/>
    </row>
    <row r="1014" spans="17:24" x14ac:dyDescent="0.3">
      <c r="Q1014" s="4"/>
      <c r="R1014" s="4"/>
      <c r="S1014" s="4"/>
      <c r="T1014" s="4"/>
      <c r="U1014" s="4"/>
      <c r="V1014" s="4"/>
      <c r="W1014" s="4"/>
      <c r="X1014" s="4"/>
    </row>
    <row r="1015" spans="17:24" x14ac:dyDescent="0.3">
      <c r="Q1015" s="4"/>
      <c r="R1015" s="4"/>
      <c r="S1015" s="4"/>
      <c r="T1015" s="4"/>
      <c r="U1015" s="4"/>
      <c r="V1015" s="4"/>
      <c r="W1015" s="4"/>
      <c r="X1015" s="4"/>
    </row>
    <row r="1016" spans="17:24" x14ac:dyDescent="0.3">
      <c r="Q1016" s="4"/>
      <c r="R1016" s="4"/>
      <c r="S1016" s="4"/>
      <c r="T1016" s="4"/>
      <c r="U1016" s="4"/>
      <c r="V1016" s="4"/>
      <c r="W1016" s="4"/>
      <c r="X1016" s="4"/>
    </row>
    <row r="1017" spans="17:24" x14ac:dyDescent="0.3">
      <c r="Q1017" s="4"/>
      <c r="R1017" s="4"/>
      <c r="S1017" s="4"/>
      <c r="T1017" s="4"/>
      <c r="U1017" s="4"/>
      <c r="V1017" s="4"/>
      <c r="W1017" s="4"/>
      <c r="X1017" s="4"/>
    </row>
    <row r="1018" spans="17:24" x14ac:dyDescent="0.3">
      <c r="Q1018" s="4"/>
      <c r="R1018" s="4"/>
      <c r="S1018" s="4"/>
      <c r="T1018" s="4"/>
      <c r="U1018" s="4"/>
      <c r="V1018" s="4"/>
      <c r="W1018" s="4"/>
      <c r="X1018" s="4"/>
    </row>
    <row r="1019" spans="17:24" x14ac:dyDescent="0.3">
      <c r="Q1019" s="4"/>
      <c r="R1019" s="4"/>
      <c r="S1019" s="4"/>
      <c r="T1019" s="4"/>
      <c r="U1019" s="4"/>
      <c r="V1019" s="4"/>
      <c r="W1019" s="4"/>
      <c r="X1019" s="4"/>
    </row>
    <row r="1020" spans="17:24" x14ac:dyDescent="0.3">
      <c r="Q1020" s="4"/>
      <c r="R1020" s="4"/>
      <c r="S1020" s="4"/>
      <c r="T1020" s="4"/>
      <c r="U1020" s="4"/>
      <c r="V1020" s="4"/>
      <c r="W1020" s="4"/>
      <c r="X1020" s="4"/>
    </row>
    <row r="1021" spans="17:24" x14ac:dyDescent="0.3">
      <c r="Q1021" s="4"/>
      <c r="R1021" s="4"/>
      <c r="S1021" s="4"/>
      <c r="T1021" s="4"/>
      <c r="U1021" s="4"/>
      <c r="V1021" s="4"/>
      <c r="W1021" s="4"/>
      <c r="X1021" s="4"/>
    </row>
    <row r="1022" spans="17:24" x14ac:dyDescent="0.3">
      <c r="Q1022" s="4"/>
      <c r="R1022" s="4"/>
      <c r="S1022" s="4"/>
      <c r="T1022" s="4"/>
      <c r="U1022" s="4"/>
      <c r="V1022" s="4"/>
      <c r="W1022" s="4"/>
      <c r="X1022" s="4"/>
    </row>
    <row r="1023" spans="17:24" x14ac:dyDescent="0.3">
      <c r="Q1023" s="4"/>
      <c r="R1023" s="4"/>
      <c r="S1023" s="4"/>
      <c r="T1023" s="4"/>
      <c r="U1023" s="4"/>
      <c r="V1023" s="4"/>
      <c r="W1023" s="4"/>
      <c r="X1023" s="4"/>
    </row>
    <row r="1024" spans="17:24" x14ac:dyDescent="0.3">
      <c r="Q1024" s="4"/>
      <c r="R1024" s="4"/>
      <c r="S1024" s="4"/>
      <c r="T1024" s="4"/>
      <c r="U1024" s="4"/>
      <c r="V1024" s="4"/>
      <c r="W1024" s="4"/>
      <c r="X1024" s="4"/>
    </row>
    <row r="1025" spans="17:24" x14ac:dyDescent="0.3">
      <c r="Q1025" s="4"/>
      <c r="R1025" s="4"/>
      <c r="S1025" s="4"/>
      <c r="T1025" s="4"/>
      <c r="U1025" s="4"/>
      <c r="V1025" s="4"/>
      <c r="W1025" s="4"/>
      <c r="X1025" s="4"/>
    </row>
    <row r="1026" spans="17:24" x14ac:dyDescent="0.3">
      <c r="Q1026" s="4"/>
      <c r="R1026" s="4"/>
      <c r="S1026" s="4"/>
      <c r="T1026" s="4"/>
      <c r="U1026" s="4"/>
      <c r="V1026" s="4"/>
      <c r="W1026" s="4"/>
      <c r="X1026" s="4"/>
    </row>
    <row r="1027" spans="17:24" x14ac:dyDescent="0.3">
      <c r="Q1027" s="4"/>
      <c r="R1027" s="4"/>
      <c r="S1027" s="4"/>
      <c r="T1027" s="4"/>
      <c r="U1027" s="4"/>
      <c r="V1027" s="4"/>
      <c r="W1027" s="4"/>
      <c r="X1027" s="4"/>
    </row>
    <row r="1028" spans="17:24" x14ac:dyDescent="0.3">
      <c r="Q1028" s="4"/>
      <c r="R1028" s="4"/>
      <c r="S1028" s="4"/>
      <c r="T1028" s="4"/>
      <c r="U1028" s="4"/>
      <c r="V1028" s="4"/>
      <c r="W1028" s="4"/>
      <c r="X1028" s="4"/>
    </row>
    <row r="1029" spans="17:24" x14ac:dyDescent="0.3">
      <c r="Q1029" s="4"/>
      <c r="R1029" s="4"/>
      <c r="S1029" s="4"/>
      <c r="T1029" s="4"/>
      <c r="U1029" s="4"/>
      <c r="V1029" s="4"/>
      <c r="W1029" s="4"/>
      <c r="X1029" s="4"/>
    </row>
    <row r="1030" spans="17:24" x14ac:dyDescent="0.3">
      <c r="Q1030" s="4"/>
      <c r="R1030" s="4"/>
      <c r="S1030" s="4"/>
      <c r="T1030" s="4"/>
      <c r="U1030" s="4"/>
      <c r="V1030" s="4"/>
      <c r="W1030" s="4"/>
      <c r="X1030" s="4"/>
    </row>
    <row r="1031" spans="17:24" x14ac:dyDescent="0.3">
      <c r="Q1031" s="4"/>
      <c r="R1031" s="4"/>
      <c r="S1031" s="4"/>
      <c r="T1031" s="4"/>
      <c r="U1031" s="4"/>
      <c r="V1031" s="4"/>
      <c r="W1031" s="4"/>
      <c r="X1031" s="4"/>
    </row>
    <row r="1032" spans="17:24" x14ac:dyDescent="0.3">
      <c r="Q1032" s="4"/>
      <c r="R1032" s="4"/>
      <c r="S1032" s="4"/>
      <c r="T1032" s="4"/>
      <c r="U1032" s="4"/>
      <c r="V1032" s="4"/>
      <c r="W1032" s="4"/>
      <c r="X1032" s="4"/>
    </row>
    <row r="1033" spans="17:24" x14ac:dyDescent="0.3">
      <c r="Q1033" s="4"/>
      <c r="R1033" s="4"/>
      <c r="S1033" s="4"/>
      <c r="T1033" s="4"/>
      <c r="U1033" s="4"/>
      <c r="V1033" s="4"/>
      <c r="W1033" s="4"/>
      <c r="X1033" s="4"/>
    </row>
    <row r="1034" spans="17:24" x14ac:dyDescent="0.3">
      <c r="Q1034" s="4"/>
      <c r="R1034" s="4"/>
      <c r="S1034" s="4"/>
      <c r="T1034" s="4"/>
      <c r="U1034" s="4"/>
      <c r="V1034" s="4"/>
      <c r="W1034" s="4"/>
      <c r="X1034" s="4"/>
    </row>
    <row r="1035" spans="17:24" x14ac:dyDescent="0.3">
      <c r="Q1035" s="4"/>
      <c r="R1035" s="4"/>
      <c r="S1035" s="4"/>
      <c r="T1035" s="4"/>
      <c r="U1035" s="4"/>
      <c r="V1035" s="4"/>
      <c r="W1035" s="4"/>
      <c r="X1035" s="4"/>
    </row>
    <row r="1036" spans="17:24" x14ac:dyDescent="0.3">
      <c r="Q1036" s="4"/>
      <c r="R1036" s="4"/>
      <c r="S1036" s="4"/>
      <c r="T1036" s="4"/>
      <c r="U1036" s="4"/>
      <c r="V1036" s="4"/>
      <c r="W1036" s="4"/>
      <c r="X1036" s="4"/>
    </row>
    <row r="1037" spans="17:24" x14ac:dyDescent="0.3">
      <c r="Q1037" s="4"/>
      <c r="R1037" s="4"/>
      <c r="S1037" s="4"/>
      <c r="T1037" s="4"/>
      <c r="U1037" s="4"/>
      <c r="V1037" s="4"/>
      <c r="W1037" s="4"/>
      <c r="X1037" s="4"/>
    </row>
    <row r="1038" spans="17:24" x14ac:dyDescent="0.3">
      <c r="Q1038" s="4"/>
      <c r="R1038" s="4"/>
      <c r="S1038" s="4"/>
      <c r="T1038" s="4"/>
      <c r="U1038" s="4"/>
      <c r="V1038" s="4"/>
      <c r="W1038" s="4"/>
      <c r="X1038" s="4"/>
    </row>
    <row r="1039" spans="17:24" x14ac:dyDescent="0.3">
      <c r="Q1039" s="4"/>
      <c r="R1039" s="4"/>
      <c r="S1039" s="4"/>
      <c r="T1039" s="4"/>
      <c r="U1039" s="4"/>
      <c r="V1039" s="4"/>
      <c r="W1039" s="4"/>
      <c r="X1039" s="4"/>
    </row>
    <row r="1040" spans="17:24" x14ac:dyDescent="0.3">
      <c r="Q1040" s="4"/>
      <c r="R1040" s="4"/>
      <c r="S1040" s="4"/>
      <c r="T1040" s="4"/>
      <c r="U1040" s="4"/>
      <c r="V1040" s="4"/>
      <c r="W1040" s="4"/>
      <c r="X1040" s="4"/>
    </row>
    <row r="1041" spans="17:24" x14ac:dyDescent="0.3">
      <c r="Q1041" s="4"/>
      <c r="R1041" s="4"/>
      <c r="S1041" s="4"/>
      <c r="T1041" s="4"/>
      <c r="U1041" s="4"/>
      <c r="V1041" s="4"/>
      <c r="W1041" s="4"/>
      <c r="X1041" s="4"/>
    </row>
    <row r="1042" spans="17:24" x14ac:dyDescent="0.3">
      <c r="Q1042" s="4"/>
      <c r="R1042" s="4"/>
      <c r="S1042" s="4"/>
      <c r="T1042" s="4"/>
      <c r="U1042" s="4"/>
      <c r="V1042" s="4"/>
      <c r="W1042" s="4"/>
      <c r="X1042" s="4"/>
    </row>
    <row r="1043" spans="17:24" x14ac:dyDescent="0.3">
      <c r="Q1043" s="4"/>
      <c r="R1043" s="4"/>
      <c r="S1043" s="4"/>
      <c r="T1043" s="4"/>
      <c r="U1043" s="4"/>
      <c r="V1043" s="4"/>
      <c r="W1043" s="4"/>
      <c r="X1043" s="4"/>
    </row>
    <row r="1044" spans="17:24" x14ac:dyDescent="0.3">
      <c r="Q1044" s="4"/>
      <c r="R1044" s="4"/>
      <c r="S1044" s="4"/>
      <c r="T1044" s="4"/>
      <c r="U1044" s="4"/>
      <c r="V1044" s="4"/>
      <c r="W1044" s="4"/>
      <c r="X1044" s="4"/>
    </row>
    <row r="1045" spans="17:24" x14ac:dyDescent="0.3">
      <c r="Q1045" s="4"/>
      <c r="R1045" s="4"/>
      <c r="S1045" s="4"/>
      <c r="T1045" s="4"/>
      <c r="U1045" s="4"/>
      <c r="V1045" s="4"/>
      <c r="W1045" s="4"/>
      <c r="X1045" s="4"/>
    </row>
    <row r="1046" spans="17:24" x14ac:dyDescent="0.3">
      <c r="Q1046" s="4"/>
      <c r="R1046" s="4"/>
      <c r="S1046" s="4"/>
      <c r="T1046" s="4"/>
      <c r="U1046" s="4"/>
      <c r="V1046" s="4"/>
      <c r="W1046" s="4"/>
      <c r="X1046" s="4"/>
    </row>
    <row r="1047" spans="17:24" x14ac:dyDescent="0.3">
      <c r="Q1047" s="4"/>
      <c r="R1047" s="4"/>
      <c r="S1047" s="4"/>
      <c r="T1047" s="4"/>
      <c r="U1047" s="4"/>
      <c r="V1047" s="4"/>
      <c r="W1047" s="4"/>
      <c r="X1047" s="4"/>
    </row>
    <row r="1048" spans="17:24" x14ac:dyDescent="0.3">
      <c r="Q1048" s="4"/>
      <c r="R1048" s="4"/>
      <c r="S1048" s="4"/>
      <c r="T1048" s="4"/>
      <c r="U1048" s="4"/>
      <c r="V1048" s="4"/>
      <c r="W1048" s="4"/>
      <c r="X1048" s="4"/>
    </row>
    <row r="1049" spans="17:24" x14ac:dyDescent="0.3">
      <c r="Q1049" s="4"/>
      <c r="R1049" s="4"/>
      <c r="S1049" s="4"/>
      <c r="T1049" s="4"/>
      <c r="U1049" s="4"/>
      <c r="V1049" s="4"/>
      <c r="W1049" s="4"/>
      <c r="X1049" s="4"/>
    </row>
    <row r="1050" spans="17:24" x14ac:dyDescent="0.3">
      <c r="Q1050" s="4"/>
      <c r="R1050" s="4"/>
      <c r="S1050" s="4"/>
      <c r="T1050" s="4"/>
      <c r="U1050" s="4"/>
      <c r="V1050" s="4"/>
      <c r="W1050" s="4"/>
      <c r="X1050" s="4"/>
    </row>
    <row r="1051" spans="17:24" x14ac:dyDescent="0.3">
      <c r="Q1051" s="4"/>
      <c r="R1051" s="4"/>
      <c r="S1051" s="4"/>
      <c r="T1051" s="4"/>
      <c r="U1051" s="4"/>
      <c r="V1051" s="4"/>
      <c r="W1051" s="4"/>
      <c r="X1051" s="4"/>
    </row>
    <row r="1052" spans="17:24" x14ac:dyDescent="0.3">
      <c r="Q1052" s="4"/>
      <c r="R1052" s="4"/>
      <c r="S1052" s="4"/>
      <c r="T1052" s="4"/>
      <c r="U1052" s="4"/>
      <c r="V1052" s="4"/>
      <c r="W1052" s="4"/>
      <c r="X1052" s="4"/>
    </row>
    <row r="1053" spans="17:24" x14ac:dyDescent="0.3">
      <c r="Q1053" s="4"/>
      <c r="R1053" s="4"/>
      <c r="S1053" s="4"/>
      <c r="T1053" s="4"/>
      <c r="U1053" s="4"/>
      <c r="V1053" s="4"/>
      <c r="W1053" s="4"/>
      <c r="X1053" s="4"/>
    </row>
    <row r="1054" spans="17:24" x14ac:dyDescent="0.3">
      <c r="Q1054" s="4"/>
      <c r="R1054" s="4"/>
      <c r="S1054" s="4"/>
      <c r="T1054" s="4"/>
      <c r="U1054" s="4"/>
      <c r="V1054" s="4"/>
      <c r="W1054" s="4"/>
      <c r="X1054" s="4"/>
    </row>
    <row r="1055" spans="17:24" x14ac:dyDescent="0.3">
      <c r="Q1055" s="4"/>
      <c r="R1055" s="4"/>
      <c r="S1055" s="4"/>
      <c r="T1055" s="4"/>
      <c r="U1055" s="4"/>
      <c r="V1055" s="4"/>
      <c r="W1055" s="4"/>
      <c r="X1055" s="4"/>
    </row>
    <row r="1056" spans="17:24" x14ac:dyDescent="0.3">
      <c r="Q1056" s="4"/>
      <c r="R1056" s="4"/>
      <c r="S1056" s="4"/>
      <c r="T1056" s="4"/>
      <c r="U1056" s="4"/>
      <c r="V1056" s="4"/>
      <c r="W1056" s="4"/>
      <c r="X1056" s="4"/>
    </row>
    <row r="1057" spans="17:24" x14ac:dyDescent="0.3">
      <c r="Q1057" s="4"/>
      <c r="R1057" s="4"/>
      <c r="S1057" s="4"/>
      <c r="T1057" s="4"/>
      <c r="U1057" s="4"/>
      <c r="V1057" s="4"/>
      <c r="W1057" s="4"/>
      <c r="X1057" s="4"/>
    </row>
    <row r="1058" spans="17:24" x14ac:dyDescent="0.3">
      <c r="Q1058" s="4"/>
      <c r="R1058" s="4"/>
      <c r="S1058" s="4"/>
      <c r="T1058" s="4"/>
      <c r="U1058" s="4"/>
      <c r="V1058" s="4"/>
      <c r="W1058" s="4"/>
      <c r="X1058" s="4"/>
    </row>
    <row r="1059" spans="17:24" x14ac:dyDescent="0.3">
      <c r="Q1059" s="4"/>
      <c r="R1059" s="4"/>
      <c r="S1059" s="4"/>
      <c r="T1059" s="4"/>
      <c r="U1059" s="4"/>
      <c r="V1059" s="4"/>
      <c r="W1059" s="4"/>
      <c r="X1059" s="4"/>
    </row>
    <row r="1060" spans="17:24" x14ac:dyDescent="0.3">
      <c r="Q1060" s="4"/>
      <c r="R1060" s="4"/>
      <c r="S1060" s="4"/>
      <c r="T1060" s="4"/>
      <c r="U1060" s="4"/>
      <c r="V1060" s="4"/>
      <c r="W1060" s="4"/>
      <c r="X1060" s="4"/>
    </row>
    <row r="1061" spans="17:24" x14ac:dyDescent="0.3">
      <c r="Q1061" s="4"/>
      <c r="R1061" s="4"/>
      <c r="S1061" s="4"/>
      <c r="T1061" s="4"/>
      <c r="U1061" s="4"/>
      <c r="V1061" s="4"/>
      <c r="W1061" s="4"/>
      <c r="X1061" s="4"/>
    </row>
    <row r="1062" spans="17:24" x14ac:dyDescent="0.3">
      <c r="Q1062" s="4"/>
      <c r="R1062" s="4"/>
      <c r="S1062" s="4"/>
      <c r="T1062" s="4"/>
      <c r="U1062" s="4"/>
      <c r="V1062" s="4"/>
      <c r="W1062" s="4"/>
      <c r="X1062" s="4"/>
    </row>
    <row r="1063" spans="17:24" x14ac:dyDescent="0.3">
      <c r="Q1063" s="4"/>
      <c r="R1063" s="4"/>
      <c r="S1063" s="4"/>
      <c r="T1063" s="4"/>
      <c r="U1063" s="4"/>
      <c r="V1063" s="4"/>
      <c r="W1063" s="4"/>
      <c r="X1063" s="4"/>
    </row>
    <row r="1064" spans="17:24" x14ac:dyDescent="0.3">
      <c r="Q1064" s="4"/>
      <c r="R1064" s="4"/>
      <c r="S1064" s="4"/>
      <c r="T1064" s="4"/>
      <c r="U1064" s="4"/>
      <c r="V1064" s="4"/>
      <c r="W1064" s="4"/>
      <c r="X1064" s="4"/>
    </row>
    <row r="1065" spans="17:24" x14ac:dyDescent="0.3">
      <c r="Q1065" s="4"/>
      <c r="R1065" s="4"/>
      <c r="S1065" s="4"/>
      <c r="T1065" s="4"/>
      <c r="U1065" s="4"/>
      <c r="V1065" s="4"/>
      <c r="W1065" s="4"/>
      <c r="X1065" s="4"/>
    </row>
    <row r="1066" spans="17:24" x14ac:dyDescent="0.3">
      <c r="Q1066" s="4"/>
      <c r="R1066" s="4"/>
      <c r="S1066" s="4"/>
      <c r="T1066" s="4"/>
      <c r="U1066" s="4"/>
      <c r="V1066" s="4"/>
      <c r="W1066" s="4"/>
      <c r="X1066" s="4"/>
    </row>
    <row r="1067" spans="17:24" x14ac:dyDescent="0.3">
      <c r="Q1067" s="4"/>
      <c r="R1067" s="4"/>
      <c r="S1067" s="4"/>
      <c r="T1067" s="4"/>
      <c r="U1067" s="4"/>
      <c r="V1067" s="4"/>
      <c r="W1067" s="4"/>
      <c r="X1067" s="4"/>
    </row>
    <row r="1068" spans="17:24" x14ac:dyDescent="0.3">
      <c r="Q1068" s="4"/>
      <c r="R1068" s="4"/>
      <c r="S1068" s="4"/>
      <c r="T1068" s="4"/>
      <c r="U1068" s="4"/>
      <c r="V1068" s="4"/>
      <c r="W1068" s="4"/>
      <c r="X1068" s="4"/>
    </row>
    <row r="1069" spans="17:24" x14ac:dyDescent="0.3">
      <c r="Q1069" s="4"/>
      <c r="R1069" s="4"/>
      <c r="S1069" s="4"/>
      <c r="T1069" s="4"/>
      <c r="U1069" s="4"/>
      <c r="V1069" s="4"/>
      <c r="W1069" s="4"/>
      <c r="X1069" s="4"/>
    </row>
    <row r="1070" spans="17:24" x14ac:dyDescent="0.3">
      <c r="Q1070" s="4"/>
      <c r="R1070" s="4"/>
      <c r="S1070" s="4"/>
      <c r="T1070" s="4"/>
      <c r="U1070" s="4"/>
      <c r="V1070" s="4"/>
      <c r="W1070" s="4"/>
      <c r="X1070" s="4"/>
    </row>
    <row r="1071" spans="17:24" x14ac:dyDescent="0.3">
      <c r="Q1071" s="4"/>
      <c r="R1071" s="4"/>
      <c r="S1071" s="4"/>
      <c r="T1071" s="4"/>
      <c r="U1071" s="4"/>
      <c r="V1071" s="4"/>
      <c r="W1071" s="4"/>
      <c r="X1071" s="4"/>
    </row>
    <row r="1072" spans="17:24" x14ac:dyDescent="0.3">
      <c r="Q1072" s="4"/>
      <c r="R1072" s="4"/>
      <c r="S1072" s="4"/>
      <c r="T1072" s="4"/>
      <c r="U1072" s="4"/>
      <c r="V1072" s="4"/>
      <c r="W1072" s="4"/>
      <c r="X1072" s="4"/>
    </row>
    <row r="1073" spans="17:24" x14ac:dyDescent="0.3">
      <c r="Q1073" s="4"/>
      <c r="R1073" s="4"/>
      <c r="S1073" s="4"/>
      <c r="T1073" s="4"/>
      <c r="U1073" s="4"/>
      <c r="V1073" s="4"/>
      <c r="W1073" s="4"/>
      <c r="X1073" s="4"/>
    </row>
    <row r="1074" spans="17:24" x14ac:dyDescent="0.3">
      <c r="Q1074" s="4"/>
      <c r="R1074" s="4"/>
      <c r="S1074" s="4"/>
      <c r="T1074" s="4"/>
      <c r="U1074" s="4"/>
      <c r="V1074" s="4"/>
      <c r="W1074" s="4"/>
      <c r="X1074" s="4"/>
    </row>
    <row r="1075" spans="17:24" x14ac:dyDescent="0.3">
      <c r="Q1075" s="4"/>
      <c r="R1075" s="4"/>
      <c r="S1075" s="4"/>
      <c r="T1075" s="4"/>
      <c r="U1075" s="4"/>
      <c r="V1075" s="4"/>
      <c r="W1075" s="4"/>
      <c r="X1075" s="4"/>
    </row>
    <row r="1076" spans="17:24" x14ac:dyDescent="0.3">
      <c r="Q1076" s="4"/>
      <c r="R1076" s="4"/>
      <c r="S1076" s="4"/>
      <c r="T1076" s="4"/>
      <c r="U1076" s="4"/>
      <c r="V1076" s="4"/>
      <c r="W1076" s="4"/>
      <c r="X1076" s="4"/>
    </row>
    <row r="1077" spans="17:24" x14ac:dyDescent="0.3">
      <c r="Q1077" s="4"/>
      <c r="R1077" s="4"/>
      <c r="S1077" s="4"/>
      <c r="T1077" s="4"/>
      <c r="U1077" s="4"/>
      <c r="V1077" s="4"/>
      <c r="W1077" s="4"/>
      <c r="X1077" s="4"/>
    </row>
    <row r="1078" spans="17:24" x14ac:dyDescent="0.3">
      <c r="Q1078" s="4"/>
      <c r="R1078" s="4"/>
      <c r="S1078" s="4"/>
      <c r="T1078" s="4"/>
      <c r="U1078" s="4"/>
      <c r="V1078" s="4"/>
      <c r="W1078" s="4"/>
      <c r="X1078" s="4"/>
    </row>
    <row r="1079" spans="17:24" x14ac:dyDescent="0.3">
      <c r="Q1079" s="4"/>
      <c r="R1079" s="4"/>
      <c r="S1079" s="4"/>
      <c r="T1079" s="4"/>
      <c r="U1079" s="4"/>
      <c r="V1079" s="4"/>
      <c r="W1079" s="4"/>
      <c r="X1079" s="4"/>
    </row>
    <row r="1080" spans="17:24" x14ac:dyDescent="0.3">
      <c r="Q1080" s="4"/>
      <c r="R1080" s="4"/>
      <c r="S1080" s="4"/>
      <c r="T1080" s="4"/>
      <c r="U1080" s="4"/>
      <c r="V1080" s="4"/>
      <c r="W1080" s="4"/>
      <c r="X1080" s="4"/>
    </row>
    <row r="1081" spans="17:24" x14ac:dyDescent="0.3">
      <c r="Q1081" s="4"/>
      <c r="R1081" s="4"/>
      <c r="S1081" s="4"/>
      <c r="T1081" s="4"/>
      <c r="U1081" s="4"/>
      <c r="V1081" s="4"/>
      <c r="W1081" s="4"/>
      <c r="X1081" s="4"/>
    </row>
    <row r="1082" spans="17:24" x14ac:dyDescent="0.3">
      <c r="Q1082" s="4"/>
      <c r="R1082" s="4"/>
      <c r="S1082" s="4"/>
      <c r="T1082" s="4"/>
      <c r="U1082" s="4"/>
      <c r="V1082" s="4"/>
      <c r="W1082" s="4"/>
      <c r="X1082" s="4"/>
    </row>
    <row r="1083" spans="17:24" x14ac:dyDescent="0.3">
      <c r="Q1083" s="4"/>
      <c r="R1083" s="4"/>
      <c r="S1083" s="4"/>
      <c r="T1083" s="4"/>
      <c r="U1083" s="4"/>
      <c r="V1083" s="4"/>
      <c r="W1083" s="4"/>
      <c r="X1083" s="4"/>
    </row>
    <row r="1084" spans="17:24" x14ac:dyDescent="0.3">
      <c r="Q1084" s="4"/>
      <c r="R1084" s="4"/>
      <c r="S1084" s="4"/>
      <c r="T1084" s="4"/>
      <c r="U1084" s="4"/>
      <c r="V1084" s="4"/>
      <c r="W1084" s="4"/>
      <c r="X1084" s="4"/>
    </row>
    <row r="1085" spans="17:24" x14ac:dyDescent="0.3">
      <c r="Q1085" s="4"/>
      <c r="R1085" s="4"/>
      <c r="S1085" s="4"/>
      <c r="T1085" s="4"/>
      <c r="U1085" s="4"/>
      <c r="V1085" s="4"/>
      <c r="W1085" s="4"/>
      <c r="X1085" s="4"/>
    </row>
    <row r="1086" spans="17:24" x14ac:dyDescent="0.3">
      <c r="Q1086" s="4"/>
      <c r="R1086" s="4"/>
      <c r="S1086" s="4"/>
      <c r="T1086" s="4"/>
      <c r="U1086" s="4"/>
      <c r="V1086" s="4"/>
      <c r="W1086" s="4"/>
      <c r="X1086" s="4"/>
    </row>
    <row r="1087" spans="17:24" x14ac:dyDescent="0.3">
      <c r="Q1087" s="4"/>
      <c r="R1087" s="4"/>
      <c r="S1087" s="4"/>
      <c r="T1087" s="4"/>
      <c r="U1087" s="4"/>
      <c r="V1087" s="4"/>
      <c r="W1087" s="4"/>
      <c r="X1087" s="4"/>
    </row>
    <row r="1088" spans="17:24" x14ac:dyDescent="0.3">
      <c r="Q1088" s="4"/>
      <c r="R1088" s="4"/>
      <c r="S1088" s="4"/>
      <c r="T1088" s="4"/>
      <c r="U1088" s="4"/>
      <c r="V1088" s="4"/>
      <c r="W1088" s="4"/>
      <c r="X1088" s="4"/>
    </row>
    <row r="1089" spans="17:24" x14ac:dyDescent="0.3">
      <c r="Q1089" s="4"/>
      <c r="R1089" s="4"/>
      <c r="S1089" s="4"/>
      <c r="T1089" s="4"/>
      <c r="U1089" s="4"/>
      <c r="V1089" s="4"/>
      <c r="W1089" s="4"/>
      <c r="X1089" s="4"/>
    </row>
    <row r="1090" spans="17:24" x14ac:dyDescent="0.3">
      <c r="Q1090" s="4"/>
      <c r="R1090" s="4"/>
      <c r="S1090" s="4"/>
      <c r="T1090" s="4"/>
      <c r="U1090" s="4"/>
      <c r="V1090" s="4"/>
      <c r="W1090" s="4"/>
      <c r="X1090" s="4"/>
    </row>
    <row r="1091" spans="17:24" x14ac:dyDescent="0.3">
      <c r="Q1091" s="4"/>
      <c r="R1091" s="4"/>
      <c r="S1091" s="4"/>
      <c r="T1091" s="4"/>
      <c r="U1091" s="4"/>
      <c r="V1091" s="4"/>
      <c r="W1091" s="4"/>
      <c r="X1091" s="4"/>
    </row>
    <row r="1092" spans="17:24" x14ac:dyDescent="0.3">
      <c r="Q1092" s="4"/>
      <c r="R1092" s="4"/>
      <c r="S1092" s="4"/>
      <c r="T1092" s="4"/>
      <c r="U1092" s="4"/>
      <c r="V1092" s="4"/>
      <c r="W1092" s="4"/>
      <c r="X1092" s="4"/>
    </row>
    <row r="1093" spans="17:24" x14ac:dyDescent="0.3">
      <c r="Q1093" s="4"/>
      <c r="R1093" s="4"/>
      <c r="S1093" s="4"/>
      <c r="T1093" s="4"/>
      <c r="U1093" s="4"/>
      <c r="V1093" s="4"/>
      <c r="W1093" s="4"/>
      <c r="X1093" s="4"/>
    </row>
    <row r="1094" spans="17:24" x14ac:dyDescent="0.3">
      <c r="Q1094" s="4"/>
      <c r="R1094" s="4"/>
      <c r="S1094" s="4"/>
      <c r="T1094" s="4"/>
      <c r="U1094" s="4"/>
      <c r="V1094" s="4"/>
      <c r="W1094" s="4"/>
      <c r="X1094" s="4"/>
    </row>
    <row r="1095" spans="17:24" x14ac:dyDescent="0.3">
      <c r="Q1095" s="4"/>
      <c r="R1095" s="4"/>
      <c r="S1095" s="4"/>
      <c r="T1095" s="4"/>
      <c r="U1095" s="4"/>
      <c r="V1095" s="4"/>
      <c r="W1095" s="4"/>
      <c r="X1095" s="4"/>
    </row>
    <row r="1096" spans="17:24" x14ac:dyDescent="0.3">
      <c r="Q1096" s="4"/>
      <c r="R1096" s="4"/>
      <c r="S1096" s="4"/>
      <c r="T1096" s="4"/>
      <c r="U1096" s="4"/>
      <c r="V1096" s="4"/>
      <c r="W1096" s="4"/>
      <c r="X1096" s="4"/>
    </row>
    <row r="1097" spans="17:24" x14ac:dyDescent="0.3">
      <c r="Q1097" s="4"/>
      <c r="R1097" s="4"/>
      <c r="S1097" s="4"/>
      <c r="T1097" s="4"/>
      <c r="U1097" s="4"/>
      <c r="V1097" s="4"/>
      <c r="W1097" s="4"/>
      <c r="X1097" s="4"/>
    </row>
    <row r="1098" spans="17:24" x14ac:dyDescent="0.3">
      <c r="Q1098" s="4"/>
      <c r="R1098" s="4"/>
      <c r="S1098" s="4"/>
      <c r="T1098" s="4"/>
      <c r="U1098" s="4"/>
      <c r="V1098" s="4"/>
      <c r="W1098" s="4"/>
      <c r="X1098" s="4"/>
    </row>
    <row r="1099" spans="17:24" x14ac:dyDescent="0.3">
      <c r="Q1099" s="4"/>
      <c r="R1099" s="4"/>
      <c r="S1099" s="4"/>
      <c r="T1099" s="4"/>
      <c r="U1099" s="4"/>
      <c r="V1099" s="4"/>
      <c r="W1099" s="4"/>
      <c r="X1099" s="4"/>
    </row>
    <row r="1100" spans="17:24" x14ac:dyDescent="0.3">
      <c r="Q1100" s="4"/>
      <c r="R1100" s="4"/>
      <c r="S1100" s="4"/>
      <c r="T1100" s="4"/>
      <c r="U1100" s="4"/>
      <c r="V1100" s="4"/>
      <c r="W1100" s="4"/>
      <c r="X1100" s="4"/>
    </row>
    <row r="1101" spans="17:24" x14ac:dyDescent="0.3">
      <c r="Q1101" s="4"/>
      <c r="R1101" s="4"/>
      <c r="S1101" s="4"/>
      <c r="T1101" s="4"/>
      <c r="U1101" s="4"/>
      <c r="V1101" s="4"/>
      <c r="W1101" s="4"/>
      <c r="X1101" s="4"/>
    </row>
    <row r="1102" spans="17:24" x14ac:dyDescent="0.3">
      <c r="Q1102" s="4"/>
      <c r="R1102" s="4"/>
      <c r="S1102" s="4"/>
      <c r="T1102" s="4"/>
      <c r="U1102" s="4"/>
      <c r="V1102" s="4"/>
      <c r="W1102" s="4"/>
      <c r="X1102" s="4"/>
    </row>
    <row r="1103" spans="17:24" x14ac:dyDescent="0.3">
      <c r="Q1103" s="4"/>
      <c r="R1103" s="4"/>
      <c r="S1103" s="4"/>
      <c r="T1103" s="4"/>
      <c r="U1103" s="4"/>
      <c r="V1103" s="4"/>
      <c r="W1103" s="4"/>
      <c r="X1103" s="4"/>
    </row>
    <row r="1104" spans="17:24" x14ac:dyDescent="0.3">
      <c r="Q1104" s="4"/>
      <c r="R1104" s="4"/>
      <c r="S1104" s="4"/>
      <c r="T1104" s="4"/>
      <c r="U1104" s="4"/>
      <c r="V1104" s="4"/>
      <c r="W1104" s="4"/>
      <c r="X1104" s="4"/>
    </row>
    <row r="1105" spans="17:24" x14ac:dyDescent="0.3">
      <c r="Q1105" s="4"/>
      <c r="R1105" s="4"/>
      <c r="S1105" s="4"/>
      <c r="T1105" s="4"/>
      <c r="U1105" s="4"/>
      <c r="V1105" s="4"/>
      <c r="W1105" s="4"/>
      <c r="X1105" s="4"/>
    </row>
    <row r="1106" spans="17:24" x14ac:dyDescent="0.3">
      <c r="Q1106" s="4"/>
      <c r="R1106" s="4"/>
      <c r="S1106" s="4"/>
      <c r="T1106" s="4"/>
      <c r="U1106" s="4"/>
      <c r="V1106" s="4"/>
      <c r="W1106" s="4"/>
      <c r="X1106" s="4"/>
    </row>
    <row r="1107" spans="17:24" x14ac:dyDescent="0.3">
      <c r="Q1107" s="4"/>
      <c r="R1107" s="4"/>
      <c r="S1107" s="4"/>
      <c r="T1107" s="4"/>
      <c r="U1107" s="4"/>
      <c r="V1107" s="4"/>
      <c r="W1107" s="4"/>
      <c r="X1107" s="4"/>
    </row>
    <row r="1108" spans="17:24" x14ac:dyDescent="0.3">
      <c r="Q1108" s="4"/>
      <c r="R1108" s="4"/>
      <c r="S1108" s="4"/>
      <c r="T1108" s="4"/>
      <c r="U1108" s="4"/>
      <c r="V1108" s="4"/>
      <c r="W1108" s="4"/>
      <c r="X1108" s="4"/>
    </row>
    <row r="1109" spans="17:24" x14ac:dyDescent="0.3">
      <c r="Q1109" s="4"/>
      <c r="R1109" s="4"/>
      <c r="S1109" s="4"/>
      <c r="T1109" s="4"/>
      <c r="U1109" s="4"/>
      <c r="V1109" s="4"/>
      <c r="W1109" s="4"/>
      <c r="X1109" s="4"/>
    </row>
    <row r="1110" spans="17:24" x14ac:dyDescent="0.3">
      <c r="Q1110" s="4"/>
      <c r="R1110" s="4"/>
      <c r="S1110" s="4"/>
      <c r="T1110" s="4"/>
      <c r="U1110" s="4"/>
      <c r="V1110" s="4"/>
      <c r="W1110" s="4"/>
      <c r="X1110" s="4"/>
    </row>
    <row r="1111" spans="17:24" x14ac:dyDescent="0.3">
      <c r="Q1111" s="4"/>
      <c r="R1111" s="4"/>
      <c r="S1111" s="4"/>
      <c r="T1111" s="4"/>
      <c r="U1111" s="4"/>
      <c r="V1111" s="4"/>
      <c r="W1111" s="4"/>
      <c r="X1111" s="4"/>
    </row>
    <row r="1112" spans="17:24" x14ac:dyDescent="0.3">
      <c r="Q1112" s="4"/>
      <c r="R1112" s="4"/>
      <c r="S1112" s="4"/>
      <c r="T1112" s="4"/>
      <c r="U1112" s="4"/>
      <c r="V1112" s="4"/>
      <c r="W1112" s="4"/>
      <c r="X1112" s="4"/>
    </row>
    <row r="1113" spans="17:24" x14ac:dyDescent="0.3">
      <c r="Q1113" s="4"/>
      <c r="R1113" s="4"/>
      <c r="S1113" s="4"/>
      <c r="T1113" s="4"/>
      <c r="U1113" s="4"/>
      <c r="V1113" s="4"/>
      <c r="W1113" s="4"/>
      <c r="X1113" s="4"/>
    </row>
    <row r="1114" spans="17:24" x14ac:dyDescent="0.3">
      <c r="Q1114" s="4"/>
      <c r="R1114" s="4"/>
      <c r="S1114" s="4"/>
      <c r="T1114" s="4"/>
      <c r="U1114" s="4"/>
      <c r="V1114" s="4"/>
      <c r="W1114" s="4"/>
      <c r="X1114" s="4"/>
    </row>
    <row r="1115" spans="17:24" x14ac:dyDescent="0.3">
      <c r="Q1115" s="4"/>
      <c r="R1115" s="4"/>
      <c r="S1115" s="4"/>
      <c r="T1115" s="4"/>
      <c r="U1115" s="4"/>
      <c r="V1115" s="4"/>
      <c r="W1115" s="4"/>
      <c r="X1115" s="4"/>
    </row>
    <row r="1116" spans="17:24" x14ac:dyDescent="0.3">
      <c r="Q1116" s="4"/>
      <c r="R1116" s="4"/>
      <c r="S1116" s="4"/>
      <c r="T1116" s="4"/>
      <c r="U1116" s="4"/>
      <c r="V1116" s="4"/>
      <c r="W1116" s="4"/>
      <c r="X1116" s="4"/>
    </row>
    <row r="1117" spans="17:24" x14ac:dyDescent="0.3">
      <c r="Q1117" s="4"/>
      <c r="R1117" s="4"/>
      <c r="S1117" s="4"/>
      <c r="T1117" s="4"/>
      <c r="U1117" s="4"/>
      <c r="V1117" s="4"/>
      <c r="W1117" s="4"/>
      <c r="X1117" s="4"/>
    </row>
    <row r="1118" spans="17:24" x14ac:dyDescent="0.3">
      <c r="Q1118" s="4"/>
      <c r="R1118" s="4"/>
      <c r="S1118" s="4"/>
      <c r="T1118" s="4"/>
      <c r="U1118" s="4"/>
      <c r="V1118" s="4"/>
      <c r="W1118" s="4"/>
      <c r="X1118" s="4"/>
    </row>
    <row r="1119" spans="17:24" x14ac:dyDescent="0.3">
      <c r="Q1119" s="4"/>
      <c r="R1119" s="4"/>
      <c r="S1119" s="4"/>
      <c r="T1119" s="4"/>
      <c r="U1119" s="4"/>
      <c r="V1119" s="4"/>
      <c r="W1119" s="4"/>
      <c r="X1119" s="4"/>
    </row>
    <row r="1120" spans="17:24" x14ac:dyDescent="0.3">
      <c r="Q1120" s="4"/>
      <c r="R1120" s="4"/>
      <c r="S1120" s="4"/>
      <c r="T1120" s="4"/>
      <c r="U1120" s="4"/>
      <c r="V1120" s="4"/>
      <c r="W1120" s="4"/>
      <c r="X1120" s="4"/>
    </row>
    <row r="1121" spans="17:24" x14ac:dyDescent="0.3">
      <c r="Q1121" s="4"/>
      <c r="R1121" s="4"/>
      <c r="S1121" s="4"/>
      <c r="T1121" s="4"/>
      <c r="U1121" s="4"/>
      <c r="V1121" s="4"/>
      <c r="W1121" s="4"/>
      <c r="X1121" s="4"/>
    </row>
    <row r="1122" spans="17:24" x14ac:dyDescent="0.3">
      <c r="Q1122" s="4"/>
      <c r="R1122" s="4"/>
      <c r="S1122" s="4"/>
      <c r="T1122" s="4"/>
      <c r="U1122" s="4"/>
      <c r="V1122" s="4"/>
      <c r="W1122" s="4"/>
      <c r="X1122" s="4"/>
    </row>
    <row r="1123" spans="17:24" x14ac:dyDescent="0.3">
      <c r="Q1123" s="4"/>
      <c r="R1123" s="4"/>
      <c r="S1123" s="4"/>
      <c r="T1123" s="4"/>
      <c r="U1123" s="4"/>
      <c r="V1123" s="4"/>
      <c r="W1123" s="4"/>
      <c r="X1123" s="4"/>
    </row>
    <row r="1124" spans="17:24" x14ac:dyDescent="0.3">
      <c r="Q1124" s="4"/>
      <c r="R1124" s="4"/>
      <c r="S1124" s="4"/>
      <c r="T1124" s="4"/>
      <c r="U1124" s="4"/>
      <c r="V1124" s="4"/>
      <c r="W1124" s="4"/>
      <c r="X1124" s="4"/>
    </row>
    <row r="1125" spans="17:24" x14ac:dyDescent="0.3">
      <c r="Q1125" s="4"/>
      <c r="R1125" s="4"/>
      <c r="S1125" s="4"/>
      <c r="T1125" s="4"/>
      <c r="U1125" s="4"/>
      <c r="V1125" s="4"/>
      <c r="W1125" s="4"/>
      <c r="X1125" s="4"/>
    </row>
    <row r="1126" spans="17:24" x14ac:dyDescent="0.3">
      <c r="Q1126" s="4"/>
      <c r="R1126" s="4"/>
      <c r="S1126" s="4"/>
      <c r="T1126" s="4"/>
      <c r="U1126" s="4"/>
      <c r="V1126" s="4"/>
      <c r="W1126" s="4"/>
      <c r="X1126" s="4"/>
    </row>
    <row r="1127" spans="17:24" x14ac:dyDescent="0.3">
      <c r="Q1127" s="4"/>
      <c r="R1127" s="4"/>
      <c r="S1127" s="4"/>
      <c r="T1127" s="4"/>
      <c r="U1127" s="4"/>
      <c r="V1127" s="4"/>
      <c r="W1127" s="4"/>
      <c r="X1127" s="4"/>
    </row>
    <row r="1128" spans="17:24" x14ac:dyDescent="0.3">
      <c r="Q1128" s="4"/>
      <c r="R1128" s="4"/>
      <c r="S1128" s="4"/>
      <c r="T1128" s="4"/>
      <c r="U1128" s="4"/>
      <c r="V1128" s="4"/>
      <c r="W1128" s="4"/>
      <c r="X1128" s="4"/>
    </row>
    <row r="1129" spans="17:24" x14ac:dyDescent="0.3">
      <c r="Q1129" s="4"/>
      <c r="R1129" s="4"/>
      <c r="S1129" s="4"/>
      <c r="T1129" s="4"/>
      <c r="U1129" s="4"/>
      <c r="V1129" s="4"/>
      <c r="W1129" s="4"/>
      <c r="X1129" s="4"/>
    </row>
    <row r="1130" spans="17:24" x14ac:dyDescent="0.3">
      <c r="Q1130" s="4"/>
      <c r="R1130" s="4"/>
      <c r="S1130" s="4"/>
      <c r="T1130" s="4"/>
      <c r="U1130" s="4"/>
      <c r="V1130" s="4"/>
      <c r="W1130" s="4"/>
      <c r="X1130" s="4"/>
    </row>
    <row r="1131" spans="17:24" x14ac:dyDescent="0.3">
      <c r="Q1131" s="4"/>
      <c r="R1131" s="4"/>
      <c r="S1131" s="4"/>
      <c r="T1131" s="4"/>
      <c r="U1131" s="4"/>
      <c r="V1131" s="4"/>
      <c r="W1131" s="4"/>
      <c r="X1131" s="4"/>
    </row>
    <row r="1132" spans="17:24" x14ac:dyDescent="0.3">
      <c r="Q1132" s="4"/>
      <c r="R1132" s="4"/>
      <c r="S1132" s="4"/>
      <c r="T1132" s="4"/>
      <c r="U1132" s="4"/>
      <c r="V1132" s="4"/>
      <c r="W1132" s="4"/>
      <c r="X1132" s="4"/>
    </row>
    <row r="1133" spans="17:24" x14ac:dyDescent="0.3">
      <c r="Q1133" s="4"/>
      <c r="R1133" s="4"/>
      <c r="S1133" s="4"/>
      <c r="T1133" s="4"/>
      <c r="U1133" s="4"/>
      <c r="V1133" s="4"/>
      <c r="W1133" s="4"/>
      <c r="X1133" s="4"/>
    </row>
    <row r="1134" spans="17:24" x14ac:dyDescent="0.3">
      <c r="Q1134" s="4"/>
      <c r="R1134" s="4"/>
      <c r="S1134" s="4"/>
      <c r="T1134" s="4"/>
      <c r="U1134" s="4"/>
      <c r="V1134" s="4"/>
      <c r="W1134" s="4"/>
      <c r="X1134" s="4"/>
    </row>
    <row r="1135" spans="17:24" x14ac:dyDescent="0.3">
      <c r="Q1135" s="4"/>
      <c r="R1135" s="4"/>
      <c r="S1135" s="4"/>
      <c r="T1135" s="4"/>
      <c r="U1135" s="4"/>
      <c r="V1135" s="4"/>
      <c r="W1135" s="4"/>
      <c r="X1135" s="4"/>
    </row>
    <row r="1136" spans="17:24" x14ac:dyDescent="0.3">
      <c r="Q1136" s="4"/>
      <c r="R1136" s="4"/>
      <c r="S1136" s="4"/>
      <c r="T1136" s="4"/>
      <c r="U1136" s="4"/>
      <c r="V1136" s="4"/>
      <c r="W1136" s="4"/>
      <c r="X1136" s="4"/>
    </row>
    <row r="1137" spans="17:24" x14ac:dyDescent="0.3">
      <c r="Q1137" s="4"/>
      <c r="R1137" s="4"/>
      <c r="S1137" s="4"/>
      <c r="T1137" s="4"/>
      <c r="U1137" s="4"/>
      <c r="V1137" s="4"/>
      <c r="W1137" s="4"/>
      <c r="X1137" s="4"/>
    </row>
    <row r="1138" spans="17:24" x14ac:dyDescent="0.3">
      <c r="Q1138" s="4"/>
      <c r="R1138" s="4"/>
      <c r="S1138" s="4"/>
      <c r="T1138" s="4"/>
      <c r="U1138" s="4"/>
      <c r="V1138" s="4"/>
      <c r="W1138" s="4"/>
      <c r="X1138" s="4"/>
    </row>
    <row r="1139" spans="17:24" x14ac:dyDescent="0.3">
      <c r="Q1139" s="4"/>
      <c r="R1139" s="4"/>
      <c r="S1139" s="4"/>
      <c r="T1139" s="4"/>
      <c r="U1139" s="4"/>
      <c r="V1139" s="4"/>
      <c r="W1139" s="4"/>
      <c r="X1139" s="4"/>
    </row>
    <row r="1140" spans="17:24" x14ac:dyDescent="0.3">
      <c r="Q1140" s="4"/>
      <c r="R1140" s="4"/>
      <c r="S1140" s="4"/>
      <c r="T1140" s="4"/>
      <c r="U1140" s="4"/>
      <c r="V1140" s="4"/>
      <c r="W1140" s="4"/>
      <c r="X1140" s="4"/>
    </row>
    <row r="1141" spans="17:24" x14ac:dyDescent="0.3">
      <c r="Q1141" s="4"/>
      <c r="R1141" s="4"/>
      <c r="S1141" s="4"/>
      <c r="T1141" s="4"/>
      <c r="U1141" s="4"/>
      <c r="V1141" s="4"/>
      <c r="W1141" s="4"/>
      <c r="X1141" s="4"/>
    </row>
    <row r="1142" spans="17:24" x14ac:dyDescent="0.3">
      <c r="Q1142" s="4"/>
      <c r="R1142" s="4"/>
      <c r="S1142" s="4"/>
      <c r="T1142" s="4"/>
      <c r="U1142" s="4"/>
      <c r="V1142" s="4"/>
      <c r="W1142" s="4"/>
      <c r="X1142" s="4"/>
    </row>
    <row r="1143" spans="17:24" x14ac:dyDescent="0.3">
      <c r="Q1143" s="4"/>
      <c r="R1143" s="4"/>
      <c r="S1143" s="4"/>
      <c r="T1143" s="4"/>
      <c r="U1143" s="4"/>
      <c r="V1143" s="4"/>
      <c r="W1143" s="4"/>
      <c r="X1143" s="4"/>
    </row>
    <row r="1144" spans="17:24" x14ac:dyDescent="0.3">
      <c r="Q1144" s="4"/>
      <c r="R1144" s="4"/>
      <c r="S1144" s="4"/>
      <c r="T1144" s="4"/>
      <c r="U1144" s="4"/>
      <c r="V1144" s="4"/>
      <c r="W1144" s="4"/>
      <c r="X1144" s="4"/>
    </row>
    <row r="1145" spans="17:24" x14ac:dyDescent="0.3">
      <c r="Q1145" s="4"/>
      <c r="R1145" s="4"/>
      <c r="S1145" s="4"/>
      <c r="T1145" s="4"/>
      <c r="U1145" s="4"/>
      <c r="V1145" s="4"/>
      <c r="W1145" s="4"/>
      <c r="X1145" s="4"/>
    </row>
    <row r="1146" spans="17:24" x14ac:dyDescent="0.3">
      <c r="Q1146" s="4"/>
      <c r="R1146" s="4"/>
      <c r="S1146" s="4"/>
      <c r="T1146" s="4"/>
      <c r="U1146" s="4"/>
      <c r="V1146" s="4"/>
      <c r="W1146" s="4"/>
      <c r="X1146" s="4"/>
    </row>
    <row r="1147" spans="17:24" x14ac:dyDescent="0.3">
      <c r="Q1147" s="4"/>
      <c r="R1147" s="4"/>
      <c r="S1147" s="4"/>
      <c r="T1147" s="4"/>
      <c r="U1147" s="4"/>
      <c r="V1147" s="4"/>
      <c r="W1147" s="4"/>
      <c r="X1147" s="4"/>
    </row>
    <row r="1148" spans="17:24" x14ac:dyDescent="0.3">
      <c r="Q1148" s="4"/>
      <c r="R1148" s="4"/>
      <c r="S1148" s="4"/>
      <c r="T1148" s="4"/>
      <c r="U1148" s="4"/>
      <c r="V1148" s="4"/>
      <c r="W1148" s="4"/>
      <c r="X1148" s="4"/>
    </row>
    <row r="1149" spans="17:24" x14ac:dyDescent="0.3">
      <c r="Q1149" s="4"/>
      <c r="R1149" s="4"/>
      <c r="S1149" s="4"/>
      <c r="T1149" s="4"/>
      <c r="U1149" s="4"/>
      <c r="V1149" s="4"/>
      <c r="W1149" s="4"/>
      <c r="X1149" s="4"/>
    </row>
    <row r="1150" spans="17:24" x14ac:dyDescent="0.3">
      <c r="Q1150" s="4"/>
      <c r="R1150" s="4"/>
      <c r="S1150" s="4"/>
      <c r="T1150" s="4"/>
      <c r="U1150" s="4"/>
      <c r="V1150" s="4"/>
      <c r="W1150" s="4"/>
      <c r="X1150" s="4"/>
    </row>
    <row r="1151" spans="17:24" x14ac:dyDescent="0.3">
      <c r="Q1151" s="4"/>
      <c r="R1151" s="4"/>
      <c r="S1151" s="4"/>
      <c r="T1151" s="4"/>
      <c r="U1151" s="4"/>
      <c r="V1151" s="4"/>
      <c r="W1151" s="4"/>
      <c r="X1151" s="4"/>
    </row>
    <row r="1152" spans="17:24" x14ac:dyDescent="0.3">
      <c r="Q1152" s="4"/>
      <c r="R1152" s="4"/>
      <c r="S1152" s="4"/>
      <c r="T1152" s="4"/>
      <c r="U1152" s="4"/>
      <c r="V1152" s="4"/>
      <c r="W1152" s="4"/>
      <c r="X1152" s="4"/>
    </row>
    <row r="1153" spans="17:24" x14ac:dyDescent="0.3">
      <c r="Q1153" s="4"/>
      <c r="R1153" s="4"/>
      <c r="S1153" s="4"/>
      <c r="T1153" s="4"/>
      <c r="U1153" s="4"/>
      <c r="V1153" s="4"/>
      <c r="W1153" s="4"/>
      <c r="X1153" s="4"/>
    </row>
    <row r="1154" spans="17:24" x14ac:dyDescent="0.3">
      <c r="Q1154" s="4"/>
      <c r="R1154" s="4"/>
      <c r="S1154" s="4"/>
      <c r="T1154" s="4"/>
      <c r="U1154" s="4"/>
      <c r="V1154" s="4"/>
      <c r="W1154" s="4"/>
      <c r="X1154" s="4"/>
    </row>
    <row r="1155" spans="17:24" x14ac:dyDescent="0.3">
      <c r="Q1155" s="4"/>
      <c r="R1155" s="4"/>
      <c r="S1155" s="4"/>
      <c r="T1155" s="4"/>
      <c r="U1155" s="4"/>
      <c r="V1155" s="4"/>
      <c r="W1155" s="4"/>
      <c r="X1155" s="4"/>
    </row>
    <row r="1156" spans="17:24" x14ac:dyDescent="0.3">
      <c r="Q1156" s="4"/>
      <c r="R1156" s="4"/>
      <c r="S1156" s="4"/>
      <c r="T1156" s="4"/>
      <c r="U1156" s="4"/>
      <c r="V1156" s="4"/>
      <c r="W1156" s="4"/>
      <c r="X1156" s="4"/>
    </row>
    <row r="1157" spans="17:24" x14ac:dyDescent="0.3">
      <c r="Q1157" s="4"/>
      <c r="R1157" s="4"/>
      <c r="S1157" s="4"/>
      <c r="T1157" s="4"/>
      <c r="U1157" s="4"/>
      <c r="V1157" s="4"/>
      <c r="W1157" s="4"/>
      <c r="X1157" s="4"/>
    </row>
    <row r="1158" spans="17:24" x14ac:dyDescent="0.3">
      <c r="Q1158" s="4"/>
      <c r="R1158" s="4"/>
      <c r="S1158" s="4"/>
      <c r="T1158" s="4"/>
      <c r="U1158" s="4"/>
      <c r="V1158" s="4"/>
      <c r="W1158" s="4"/>
      <c r="X1158" s="4"/>
    </row>
    <row r="1159" spans="17:24" x14ac:dyDescent="0.3">
      <c r="Q1159" s="4"/>
      <c r="R1159" s="4"/>
      <c r="S1159" s="4"/>
      <c r="T1159" s="4"/>
      <c r="U1159" s="4"/>
      <c r="V1159" s="4"/>
      <c r="W1159" s="4"/>
      <c r="X1159" s="4"/>
    </row>
    <row r="1160" spans="17:24" x14ac:dyDescent="0.3">
      <c r="Q1160" s="4"/>
      <c r="R1160" s="4"/>
      <c r="S1160" s="4"/>
      <c r="T1160" s="4"/>
      <c r="U1160" s="4"/>
      <c r="V1160" s="4"/>
      <c r="W1160" s="4"/>
      <c r="X1160" s="4"/>
    </row>
    <row r="1161" spans="17:24" x14ac:dyDescent="0.3">
      <c r="Q1161" s="4"/>
      <c r="R1161" s="4"/>
      <c r="S1161" s="4"/>
      <c r="T1161" s="4"/>
      <c r="U1161" s="4"/>
      <c r="V1161" s="4"/>
      <c r="W1161" s="4"/>
      <c r="X1161" s="4"/>
    </row>
    <row r="1162" spans="17:24" x14ac:dyDescent="0.3">
      <c r="Q1162" s="4"/>
      <c r="R1162" s="4"/>
      <c r="S1162" s="4"/>
      <c r="T1162" s="4"/>
      <c r="U1162" s="4"/>
      <c r="V1162" s="4"/>
      <c r="W1162" s="4"/>
      <c r="X1162" s="4"/>
    </row>
    <row r="1163" spans="17:24" x14ac:dyDescent="0.3">
      <c r="Q1163" s="4"/>
      <c r="R1163" s="4"/>
      <c r="S1163" s="4"/>
      <c r="T1163" s="4"/>
      <c r="U1163" s="4"/>
      <c r="V1163" s="4"/>
      <c r="W1163" s="4"/>
      <c r="X1163" s="4"/>
    </row>
    <row r="1164" spans="17:24" x14ac:dyDescent="0.3">
      <c r="Q1164" s="4"/>
      <c r="R1164" s="4"/>
      <c r="S1164" s="4"/>
      <c r="T1164" s="4"/>
      <c r="U1164" s="4"/>
      <c r="V1164" s="4"/>
      <c r="W1164" s="4"/>
      <c r="X1164" s="4"/>
    </row>
    <row r="1165" spans="17:24" x14ac:dyDescent="0.3">
      <c r="Q1165" s="4"/>
      <c r="R1165" s="4"/>
      <c r="S1165" s="4"/>
      <c r="T1165" s="4"/>
      <c r="U1165" s="4"/>
      <c r="V1165" s="4"/>
      <c r="W1165" s="4"/>
      <c r="X1165" s="4"/>
    </row>
    <row r="1166" spans="17:24" x14ac:dyDescent="0.3">
      <c r="Q1166" s="4"/>
      <c r="R1166" s="4"/>
      <c r="S1166" s="4"/>
      <c r="T1166" s="4"/>
      <c r="U1166" s="4"/>
      <c r="V1166" s="4"/>
      <c r="W1166" s="4"/>
      <c r="X1166" s="4"/>
    </row>
    <row r="1167" spans="17:24" x14ac:dyDescent="0.3">
      <c r="Q1167" s="4"/>
      <c r="R1167" s="4"/>
      <c r="S1167" s="4"/>
      <c r="T1167" s="4"/>
      <c r="U1167" s="4"/>
      <c r="V1167" s="4"/>
      <c r="W1167" s="4"/>
      <c r="X1167" s="4"/>
    </row>
    <row r="1168" spans="17:24" x14ac:dyDescent="0.3">
      <c r="Q1168" s="4"/>
      <c r="R1168" s="4"/>
      <c r="S1168" s="4"/>
      <c r="T1168" s="4"/>
      <c r="U1168" s="4"/>
      <c r="V1168" s="4"/>
      <c r="W1168" s="4"/>
      <c r="X1168" s="4"/>
    </row>
    <row r="1169" spans="17:24" x14ac:dyDescent="0.3">
      <c r="Q1169" s="4"/>
      <c r="R1169" s="4"/>
      <c r="S1169" s="4"/>
      <c r="T1169" s="4"/>
      <c r="U1169" s="4"/>
      <c r="V1169" s="4"/>
      <c r="W1169" s="4"/>
      <c r="X1169" s="4"/>
    </row>
    <row r="1170" spans="17:24" x14ac:dyDescent="0.3">
      <c r="Q1170" s="4"/>
      <c r="R1170" s="4"/>
      <c r="S1170" s="4"/>
      <c r="T1170" s="4"/>
      <c r="U1170" s="4"/>
      <c r="V1170" s="4"/>
      <c r="W1170" s="4"/>
      <c r="X1170" s="4"/>
    </row>
    <row r="1171" spans="17:24" x14ac:dyDescent="0.3">
      <c r="Q1171" s="4"/>
      <c r="R1171" s="4"/>
      <c r="S1171" s="4"/>
      <c r="T1171" s="4"/>
      <c r="U1171" s="4"/>
      <c r="V1171" s="4"/>
      <c r="W1171" s="4"/>
      <c r="X1171" s="4"/>
    </row>
    <row r="1172" spans="17:24" x14ac:dyDescent="0.3">
      <c r="Q1172" s="4"/>
      <c r="R1172" s="4"/>
      <c r="S1172" s="4"/>
      <c r="T1172" s="4"/>
      <c r="U1172" s="4"/>
      <c r="V1172" s="4"/>
      <c r="W1172" s="4"/>
      <c r="X1172" s="4"/>
    </row>
    <row r="1173" spans="17:24" x14ac:dyDescent="0.3">
      <c r="Q1173" s="4"/>
      <c r="R1173" s="4"/>
      <c r="S1173" s="4"/>
      <c r="T1173" s="4"/>
      <c r="U1173" s="4"/>
      <c r="V1173" s="4"/>
      <c r="W1173" s="4"/>
      <c r="X1173" s="4"/>
    </row>
    <row r="1174" spans="17:24" x14ac:dyDescent="0.3">
      <c r="Q1174" s="4"/>
      <c r="R1174" s="4"/>
      <c r="S1174" s="4"/>
      <c r="T1174" s="4"/>
      <c r="U1174" s="4"/>
      <c r="V1174" s="4"/>
      <c r="W1174" s="4"/>
      <c r="X1174" s="4"/>
    </row>
    <row r="1175" spans="17:24" x14ac:dyDescent="0.3">
      <c r="Q1175" s="4"/>
      <c r="R1175" s="4"/>
      <c r="S1175" s="4"/>
      <c r="T1175" s="4"/>
      <c r="U1175" s="4"/>
      <c r="V1175" s="4"/>
      <c r="W1175" s="4"/>
      <c r="X1175" s="4"/>
    </row>
    <row r="1176" spans="17:24" x14ac:dyDescent="0.3">
      <c r="Q1176" s="4"/>
      <c r="R1176" s="4"/>
      <c r="S1176" s="4"/>
      <c r="T1176" s="4"/>
      <c r="U1176" s="4"/>
      <c r="V1176" s="4"/>
      <c r="W1176" s="4"/>
      <c r="X1176" s="4"/>
    </row>
    <row r="1177" spans="17:24" x14ac:dyDescent="0.3">
      <c r="Q1177" s="4"/>
      <c r="R1177" s="4"/>
      <c r="S1177" s="4"/>
      <c r="T1177" s="4"/>
      <c r="U1177" s="4"/>
      <c r="V1177" s="4"/>
      <c r="W1177" s="4"/>
      <c r="X1177" s="4"/>
    </row>
    <row r="1178" spans="17:24" x14ac:dyDescent="0.3">
      <c r="Q1178" s="4"/>
      <c r="R1178" s="4"/>
      <c r="S1178" s="4"/>
      <c r="T1178" s="4"/>
      <c r="U1178" s="4"/>
      <c r="V1178" s="4"/>
      <c r="W1178" s="4"/>
      <c r="X1178" s="4"/>
    </row>
    <row r="1179" spans="17:24" x14ac:dyDescent="0.3">
      <c r="Q1179" s="4"/>
      <c r="R1179" s="4"/>
      <c r="S1179" s="4"/>
      <c r="T1179" s="4"/>
      <c r="U1179" s="4"/>
      <c r="V1179" s="4"/>
      <c r="W1179" s="4"/>
      <c r="X1179" s="4"/>
    </row>
    <row r="1180" spans="17:24" x14ac:dyDescent="0.3">
      <c r="Q1180" s="4"/>
      <c r="R1180" s="4"/>
      <c r="S1180" s="4"/>
      <c r="T1180" s="4"/>
      <c r="U1180" s="4"/>
      <c r="V1180" s="4"/>
      <c r="W1180" s="4"/>
      <c r="X1180" s="4"/>
    </row>
    <row r="1181" spans="17:24" x14ac:dyDescent="0.3">
      <c r="Q1181" s="4"/>
      <c r="R1181" s="4"/>
      <c r="S1181" s="4"/>
      <c r="T1181" s="4"/>
      <c r="U1181" s="4"/>
      <c r="V1181" s="4"/>
      <c r="W1181" s="4"/>
      <c r="X1181" s="4"/>
    </row>
    <row r="1182" spans="17:24" x14ac:dyDescent="0.3">
      <c r="Q1182" s="4"/>
      <c r="R1182" s="4"/>
      <c r="S1182" s="4"/>
      <c r="T1182" s="4"/>
      <c r="U1182" s="4"/>
      <c r="V1182" s="4"/>
      <c r="W1182" s="4"/>
      <c r="X1182" s="4"/>
    </row>
    <row r="1183" spans="17:24" x14ac:dyDescent="0.3">
      <c r="Q1183" s="4"/>
      <c r="R1183" s="4"/>
      <c r="S1183" s="4"/>
      <c r="T1183" s="4"/>
      <c r="U1183" s="4"/>
      <c r="V1183" s="4"/>
      <c r="W1183" s="4"/>
      <c r="X1183" s="4"/>
    </row>
    <row r="1184" spans="17:24" x14ac:dyDescent="0.3">
      <c r="Q1184" s="4"/>
      <c r="R1184" s="4"/>
      <c r="S1184" s="4"/>
      <c r="T1184" s="4"/>
      <c r="U1184" s="4"/>
      <c r="V1184" s="4"/>
      <c r="W1184" s="4"/>
      <c r="X1184" s="4"/>
    </row>
    <row r="1185" spans="17:24" x14ac:dyDescent="0.3">
      <c r="Q1185" s="4"/>
      <c r="R1185" s="4"/>
      <c r="S1185" s="4"/>
      <c r="T1185" s="4"/>
      <c r="U1185" s="4"/>
      <c r="V1185" s="4"/>
      <c r="W1185" s="4"/>
      <c r="X1185" s="4"/>
    </row>
    <row r="1186" spans="17:24" x14ac:dyDescent="0.3">
      <c r="Q1186" s="4"/>
      <c r="R1186" s="4"/>
      <c r="S1186" s="4"/>
      <c r="T1186" s="4"/>
      <c r="U1186" s="4"/>
      <c r="V1186" s="4"/>
      <c r="W1186" s="4"/>
      <c r="X1186" s="4"/>
    </row>
    <row r="1187" spans="17:24" x14ac:dyDescent="0.3">
      <c r="Q1187" s="4"/>
      <c r="R1187" s="4"/>
      <c r="S1187" s="4"/>
      <c r="T1187" s="4"/>
      <c r="U1187" s="4"/>
      <c r="V1187" s="4"/>
      <c r="W1187" s="4"/>
      <c r="X1187" s="4"/>
    </row>
    <row r="1188" spans="17:24" x14ac:dyDescent="0.3">
      <c r="Q1188" s="4"/>
      <c r="R1188" s="4"/>
      <c r="S1188" s="4"/>
      <c r="T1188" s="4"/>
      <c r="U1188" s="4"/>
      <c r="V1188" s="4"/>
      <c r="W1188" s="4"/>
      <c r="X1188" s="4"/>
    </row>
    <row r="1189" spans="17:24" x14ac:dyDescent="0.3">
      <c r="Q1189" s="4"/>
      <c r="R1189" s="4"/>
      <c r="S1189" s="4"/>
      <c r="T1189" s="4"/>
      <c r="U1189" s="4"/>
      <c r="V1189" s="4"/>
      <c r="W1189" s="4"/>
      <c r="X1189" s="4"/>
    </row>
    <row r="1190" spans="17:24" x14ac:dyDescent="0.3">
      <c r="Q1190" s="4"/>
      <c r="R1190" s="4"/>
      <c r="S1190" s="4"/>
      <c r="T1190" s="4"/>
      <c r="U1190" s="4"/>
      <c r="V1190" s="4"/>
      <c r="W1190" s="4"/>
      <c r="X1190" s="4"/>
    </row>
    <row r="1191" spans="17:24" x14ac:dyDescent="0.3">
      <c r="Q1191" s="4"/>
      <c r="R1191" s="4"/>
      <c r="S1191" s="4"/>
      <c r="T1191" s="4"/>
      <c r="U1191" s="4"/>
      <c r="V1191" s="4"/>
      <c r="W1191" s="4"/>
      <c r="X1191" s="4"/>
    </row>
    <row r="1192" spans="17:24" x14ac:dyDescent="0.3">
      <c r="Q1192" s="4"/>
      <c r="R1192" s="4"/>
      <c r="S1192" s="4"/>
      <c r="T1192" s="4"/>
      <c r="U1192" s="4"/>
      <c r="V1192" s="4"/>
      <c r="W1192" s="4"/>
      <c r="X1192" s="4"/>
    </row>
    <row r="1193" spans="17:24" x14ac:dyDescent="0.3">
      <c r="Q1193" s="4"/>
      <c r="R1193" s="4"/>
      <c r="S1193" s="4"/>
      <c r="T1193" s="4"/>
      <c r="U1193" s="4"/>
      <c r="V1193" s="4"/>
      <c r="W1193" s="4"/>
      <c r="X1193" s="4"/>
    </row>
    <row r="1194" spans="17:24" x14ac:dyDescent="0.3">
      <c r="Q1194" s="4"/>
      <c r="R1194" s="4"/>
      <c r="S1194" s="4"/>
      <c r="T1194" s="4"/>
      <c r="U1194" s="4"/>
      <c r="V1194" s="4"/>
      <c r="W1194" s="4"/>
      <c r="X1194" s="4"/>
    </row>
    <row r="1195" spans="17:24" x14ac:dyDescent="0.3">
      <c r="Q1195" s="4"/>
      <c r="R1195" s="4"/>
      <c r="S1195" s="4"/>
      <c r="T1195" s="4"/>
      <c r="U1195" s="4"/>
      <c r="V1195" s="4"/>
      <c r="W1195" s="4"/>
      <c r="X1195" s="4"/>
    </row>
    <row r="1196" spans="17:24" x14ac:dyDescent="0.3">
      <c r="Q1196" s="4"/>
      <c r="R1196" s="4"/>
      <c r="S1196" s="4"/>
      <c r="T1196" s="4"/>
      <c r="U1196" s="4"/>
      <c r="V1196" s="4"/>
      <c r="W1196" s="4"/>
      <c r="X1196" s="4"/>
    </row>
    <row r="1197" spans="17:24" x14ac:dyDescent="0.3">
      <c r="Q1197" s="4"/>
      <c r="R1197" s="4"/>
      <c r="S1197" s="4"/>
      <c r="T1197" s="4"/>
      <c r="U1197" s="4"/>
      <c r="V1197" s="4"/>
      <c r="W1197" s="4"/>
      <c r="X1197" s="4"/>
    </row>
    <row r="1198" spans="17:24" x14ac:dyDescent="0.3">
      <c r="Q1198" s="4"/>
      <c r="R1198" s="4"/>
      <c r="S1198" s="4"/>
      <c r="T1198" s="4"/>
      <c r="U1198" s="4"/>
      <c r="V1198" s="4"/>
      <c r="W1198" s="4"/>
      <c r="X1198" s="4"/>
    </row>
    <row r="1199" spans="17:24" x14ac:dyDescent="0.3">
      <c r="Q1199" s="4"/>
      <c r="R1199" s="4"/>
      <c r="S1199" s="4"/>
      <c r="T1199" s="4"/>
      <c r="U1199" s="4"/>
      <c r="V1199" s="4"/>
      <c r="W1199" s="4"/>
      <c r="X1199" s="4"/>
    </row>
    <row r="1200" spans="17:24" x14ac:dyDescent="0.3">
      <c r="Q1200" s="4"/>
      <c r="R1200" s="4"/>
      <c r="S1200" s="4"/>
      <c r="T1200" s="4"/>
      <c r="U1200" s="4"/>
      <c r="V1200" s="4"/>
      <c r="W1200" s="4"/>
      <c r="X1200" s="4"/>
    </row>
    <row r="1201" spans="17:24" x14ac:dyDescent="0.3">
      <c r="Q1201" s="4"/>
      <c r="R1201" s="4"/>
      <c r="S1201" s="4"/>
      <c r="T1201" s="4"/>
      <c r="U1201" s="4"/>
      <c r="V1201" s="4"/>
      <c r="W1201" s="4"/>
      <c r="X1201" s="4"/>
    </row>
    <row r="1202" spans="17:24" x14ac:dyDescent="0.3">
      <c r="Q1202" s="4"/>
      <c r="R1202" s="4"/>
      <c r="S1202" s="4"/>
      <c r="T1202" s="4"/>
      <c r="U1202" s="4"/>
      <c r="V1202" s="4"/>
      <c r="W1202" s="4"/>
      <c r="X1202" s="4"/>
    </row>
    <row r="1203" spans="17:24" x14ac:dyDescent="0.3">
      <c r="Q1203" s="4"/>
      <c r="R1203" s="4"/>
      <c r="S1203" s="4"/>
      <c r="T1203" s="4"/>
      <c r="U1203" s="4"/>
      <c r="V1203" s="4"/>
      <c r="W1203" s="4"/>
      <c r="X1203" s="4"/>
    </row>
    <row r="1204" spans="17:24" x14ac:dyDescent="0.3">
      <c r="Q1204" s="4"/>
      <c r="R1204" s="4"/>
      <c r="S1204" s="4"/>
      <c r="T1204" s="4"/>
      <c r="U1204" s="4"/>
      <c r="V1204" s="4"/>
      <c r="W1204" s="4"/>
      <c r="X1204" s="4"/>
    </row>
    <row r="1205" spans="17:24" x14ac:dyDescent="0.3">
      <c r="Q1205" s="4"/>
      <c r="R1205" s="4"/>
      <c r="S1205" s="4"/>
      <c r="T1205" s="4"/>
      <c r="U1205" s="4"/>
      <c r="V1205" s="4"/>
      <c r="W1205" s="4"/>
      <c r="X1205" s="4"/>
    </row>
    <row r="1206" spans="17:24" x14ac:dyDescent="0.3">
      <c r="Q1206" s="4"/>
      <c r="R1206" s="4"/>
      <c r="S1206" s="4"/>
      <c r="T1206" s="4"/>
      <c r="U1206" s="4"/>
      <c r="V1206" s="4"/>
      <c r="W1206" s="4"/>
      <c r="X1206" s="4"/>
    </row>
    <row r="1207" spans="17:24" x14ac:dyDescent="0.3">
      <c r="Q1207" s="4"/>
      <c r="R1207" s="4"/>
      <c r="S1207" s="4"/>
      <c r="T1207" s="4"/>
      <c r="U1207" s="4"/>
      <c r="V1207" s="4"/>
      <c r="W1207" s="4"/>
      <c r="X1207" s="4"/>
    </row>
    <row r="1208" spans="17:24" x14ac:dyDescent="0.3">
      <c r="Q1208" s="4"/>
      <c r="R1208" s="4"/>
      <c r="S1208" s="4"/>
      <c r="T1208" s="4"/>
      <c r="U1208" s="4"/>
      <c r="V1208" s="4"/>
      <c r="W1208" s="4"/>
      <c r="X1208" s="4"/>
    </row>
    <row r="1209" spans="17:24" x14ac:dyDescent="0.3">
      <c r="Q1209" s="4"/>
      <c r="R1209" s="4"/>
      <c r="S1209" s="4"/>
      <c r="T1209" s="4"/>
      <c r="U1209" s="4"/>
      <c r="V1209" s="4"/>
      <c r="W1209" s="4"/>
      <c r="X1209" s="4"/>
    </row>
    <row r="1210" spans="17:24" x14ac:dyDescent="0.3">
      <c r="Q1210" s="4"/>
      <c r="R1210" s="4"/>
      <c r="S1210" s="4"/>
      <c r="T1210" s="4"/>
      <c r="U1210" s="4"/>
      <c r="V1210" s="4"/>
      <c r="W1210" s="4"/>
      <c r="X1210" s="4"/>
    </row>
    <row r="1211" spans="17:24" x14ac:dyDescent="0.3">
      <c r="Q1211" s="4"/>
      <c r="R1211" s="4"/>
      <c r="S1211" s="4"/>
      <c r="T1211" s="4"/>
      <c r="U1211" s="4"/>
      <c r="V1211" s="4"/>
      <c r="W1211" s="4"/>
      <c r="X1211" s="4"/>
    </row>
    <row r="1212" spans="17:24" x14ac:dyDescent="0.3">
      <c r="Q1212" s="4"/>
      <c r="R1212" s="4"/>
      <c r="S1212" s="4"/>
      <c r="T1212" s="4"/>
      <c r="U1212" s="4"/>
      <c r="V1212" s="4"/>
      <c r="W1212" s="4"/>
      <c r="X1212" s="4"/>
    </row>
    <row r="1213" spans="17:24" x14ac:dyDescent="0.3">
      <c r="Q1213" s="4"/>
      <c r="R1213" s="4"/>
      <c r="S1213" s="4"/>
      <c r="T1213" s="4"/>
      <c r="U1213" s="4"/>
      <c r="V1213" s="4"/>
      <c r="W1213" s="4"/>
      <c r="X1213" s="4"/>
    </row>
    <row r="1214" spans="17:24" x14ac:dyDescent="0.3">
      <c r="Q1214" s="4"/>
      <c r="R1214" s="4"/>
      <c r="S1214" s="4"/>
      <c r="T1214" s="4"/>
      <c r="U1214" s="4"/>
      <c r="V1214" s="4"/>
      <c r="W1214" s="4"/>
      <c r="X1214" s="4"/>
    </row>
    <row r="1215" spans="17:24" x14ac:dyDescent="0.3">
      <c r="Q1215" s="4"/>
      <c r="R1215" s="4"/>
      <c r="S1215" s="4"/>
      <c r="T1215" s="4"/>
      <c r="U1215" s="4"/>
      <c r="V1215" s="4"/>
      <c r="W1215" s="4"/>
      <c r="X1215" s="4"/>
    </row>
    <row r="1216" spans="17:24" x14ac:dyDescent="0.3">
      <c r="Q1216" s="4"/>
      <c r="R1216" s="4"/>
      <c r="S1216" s="4"/>
      <c r="T1216" s="4"/>
      <c r="U1216" s="4"/>
      <c r="V1216" s="4"/>
      <c r="W1216" s="4"/>
      <c r="X1216" s="4"/>
    </row>
    <row r="1217" spans="17:24" x14ac:dyDescent="0.3">
      <c r="Q1217" s="4"/>
      <c r="R1217" s="4"/>
      <c r="S1217" s="4"/>
      <c r="T1217" s="4"/>
      <c r="U1217" s="4"/>
      <c r="V1217" s="4"/>
      <c r="W1217" s="4"/>
      <c r="X1217" s="4"/>
    </row>
    <row r="1218" spans="17:24" x14ac:dyDescent="0.3">
      <c r="Q1218" s="4"/>
      <c r="R1218" s="4"/>
      <c r="S1218" s="4"/>
      <c r="T1218" s="4"/>
      <c r="U1218" s="4"/>
      <c r="V1218" s="4"/>
      <c r="W1218" s="4"/>
      <c r="X1218" s="4"/>
    </row>
    <row r="1219" spans="17:24" x14ac:dyDescent="0.3">
      <c r="Q1219" s="4"/>
      <c r="R1219" s="4"/>
      <c r="S1219" s="4"/>
      <c r="T1219" s="4"/>
      <c r="U1219" s="4"/>
      <c r="V1219" s="4"/>
      <c r="W1219" s="4"/>
      <c r="X1219" s="4"/>
    </row>
    <row r="1220" spans="17:24" x14ac:dyDescent="0.3">
      <c r="Q1220" s="4"/>
      <c r="R1220" s="4"/>
      <c r="S1220" s="4"/>
      <c r="T1220" s="4"/>
      <c r="U1220" s="4"/>
      <c r="V1220" s="4"/>
      <c r="W1220" s="4"/>
      <c r="X1220" s="4"/>
    </row>
    <row r="1221" spans="17:24" x14ac:dyDescent="0.3">
      <c r="Q1221" s="4"/>
      <c r="R1221" s="4"/>
      <c r="S1221" s="4"/>
      <c r="T1221" s="4"/>
      <c r="U1221" s="4"/>
      <c r="V1221" s="4"/>
      <c r="W1221" s="4"/>
      <c r="X1221" s="4"/>
    </row>
    <row r="1222" spans="17:24" x14ac:dyDescent="0.3">
      <c r="Q1222" s="4"/>
      <c r="R1222" s="4"/>
      <c r="S1222" s="4"/>
      <c r="T1222" s="4"/>
      <c r="U1222" s="4"/>
      <c r="V1222" s="4"/>
      <c r="W1222" s="4"/>
      <c r="X1222" s="4"/>
    </row>
    <row r="1223" spans="17:24" x14ac:dyDescent="0.3">
      <c r="Q1223" s="4"/>
      <c r="R1223" s="4"/>
      <c r="S1223" s="4"/>
      <c r="T1223" s="4"/>
      <c r="U1223" s="4"/>
      <c r="V1223" s="4"/>
      <c r="W1223" s="4"/>
      <c r="X1223" s="4"/>
    </row>
    <row r="1224" spans="17:24" x14ac:dyDescent="0.3">
      <c r="Q1224" s="4"/>
      <c r="R1224" s="4"/>
      <c r="S1224" s="4"/>
      <c r="T1224" s="4"/>
      <c r="U1224" s="4"/>
      <c r="V1224" s="4"/>
      <c r="W1224" s="4"/>
      <c r="X1224" s="4"/>
    </row>
    <row r="1225" spans="17:24" x14ac:dyDescent="0.3">
      <c r="Q1225" s="4"/>
      <c r="R1225" s="4"/>
      <c r="S1225" s="4"/>
      <c r="T1225" s="4"/>
      <c r="U1225" s="4"/>
      <c r="V1225" s="4"/>
      <c r="W1225" s="4"/>
      <c r="X1225" s="4"/>
    </row>
    <row r="1226" spans="17:24" x14ac:dyDescent="0.3">
      <c r="Q1226" s="4"/>
      <c r="R1226" s="4"/>
      <c r="S1226" s="4"/>
      <c r="T1226" s="4"/>
      <c r="U1226" s="4"/>
      <c r="V1226" s="4"/>
      <c r="W1226" s="4"/>
      <c r="X1226" s="4"/>
    </row>
    <row r="1227" spans="17:24" x14ac:dyDescent="0.3">
      <c r="Q1227" s="4"/>
      <c r="R1227" s="4"/>
      <c r="S1227" s="4"/>
      <c r="T1227" s="4"/>
      <c r="U1227" s="4"/>
      <c r="V1227" s="4"/>
      <c r="W1227" s="4"/>
      <c r="X1227" s="4"/>
    </row>
    <row r="1228" spans="17:24" x14ac:dyDescent="0.3">
      <c r="Q1228" s="4"/>
      <c r="R1228" s="4"/>
      <c r="S1228" s="4"/>
      <c r="T1228" s="4"/>
      <c r="U1228" s="4"/>
      <c r="V1228" s="4"/>
      <c r="W1228" s="4"/>
      <c r="X1228" s="4"/>
    </row>
    <row r="1229" spans="17:24" x14ac:dyDescent="0.3">
      <c r="Q1229" s="4"/>
      <c r="R1229" s="4"/>
      <c r="S1229" s="4"/>
      <c r="T1229" s="4"/>
      <c r="U1229" s="4"/>
      <c r="V1229" s="4"/>
      <c r="W1229" s="4"/>
      <c r="X1229" s="4"/>
    </row>
    <row r="1230" spans="17:24" x14ac:dyDescent="0.3">
      <c r="Q1230" s="4"/>
      <c r="R1230" s="4"/>
      <c r="S1230" s="4"/>
      <c r="T1230" s="4"/>
      <c r="U1230" s="4"/>
      <c r="V1230" s="4"/>
      <c r="W1230" s="4"/>
      <c r="X1230" s="4"/>
    </row>
    <row r="1231" spans="17:24" x14ac:dyDescent="0.3">
      <c r="Q1231" s="4"/>
      <c r="R1231" s="4"/>
      <c r="S1231" s="4"/>
      <c r="T1231" s="4"/>
      <c r="U1231" s="4"/>
      <c r="V1231" s="4"/>
      <c r="W1231" s="4"/>
      <c r="X1231" s="4"/>
    </row>
    <row r="1232" spans="17:24" x14ac:dyDescent="0.3">
      <c r="Q1232" s="4"/>
      <c r="R1232" s="4"/>
      <c r="S1232" s="4"/>
      <c r="T1232" s="4"/>
      <c r="U1232" s="4"/>
      <c r="V1232" s="4"/>
      <c r="W1232" s="4"/>
      <c r="X1232" s="4"/>
    </row>
    <row r="1233" spans="17:24" x14ac:dyDescent="0.3">
      <c r="Q1233" s="4"/>
      <c r="R1233" s="4"/>
      <c r="S1233" s="4"/>
      <c r="T1233" s="4"/>
      <c r="U1233" s="4"/>
      <c r="V1233" s="4"/>
      <c r="W1233" s="4"/>
      <c r="X1233" s="4"/>
    </row>
    <row r="1234" spans="17:24" x14ac:dyDescent="0.3">
      <c r="Q1234" s="4"/>
      <c r="R1234" s="4"/>
      <c r="S1234" s="4"/>
      <c r="T1234" s="4"/>
      <c r="U1234" s="4"/>
      <c r="V1234" s="4"/>
      <c r="W1234" s="4"/>
      <c r="X1234" s="4"/>
    </row>
    <row r="1235" spans="17:24" x14ac:dyDescent="0.3">
      <c r="Q1235" s="4"/>
      <c r="R1235" s="4"/>
      <c r="S1235" s="4"/>
      <c r="T1235" s="4"/>
      <c r="U1235" s="4"/>
      <c r="V1235" s="4"/>
      <c r="W1235" s="4"/>
      <c r="X1235" s="4"/>
    </row>
    <row r="1236" spans="17:24" x14ac:dyDescent="0.3">
      <c r="Q1236" s="4"/>
      <c r="R1236" s="4"/>
      <c r="S1236" s="4"/>
      <c r="T1236" s="4"/>
      <c r="U1236" s="4"/>
      <c r="V1236" s="4"/>
      <c r="W1236" s="4"/>
      <c r="X1236" s="4"/>
    </row>
    <row r="1237" spans="17:24" x14ac:dyDescent="0.3">
      <c r="Q1237" s="4"/>
      <c r="R1237" s="4"/>
      <c r="S1237" s="4"/>
      <c r="T1237" s="4"/>
      <c r="U1237" s="4"/>
      <c r="V1237" s="4"/>
      <c r="W1237" s="4"/>
      <c r="X1237" s="4"/>
    </row>
    <row r="1238" spans="17:24" x14ac:dyDescent="0.3">
      <c r="Q1238" s="4"/>
      <c r="R1238" s="4"/>
      <c r="S1238" s="4"/>
      <c r="T1238" s="4"/>
      <c r="U1238" s="4"/>
      <c r="V1238" s="4"/>
      <c r="W1238" s="4"/>
      <c r="X1238" s="4"/>
    </row>
    <row r="1239" spans="17:24" x14ac:dyDescent="0.3">
      <c r="Q1239" s="4"/>
      <c r="R1239" s="4"/>
      <c r="S1239" s="4"/>
      <c r="T1239" s="4"/>
      <c r="U1239" s="4"/>
      <c r="V1239" s="4"/>
      <c r="W1239" s="4"/>
      <c r="X1239" s="4"/>
    </row>
    <row r="1240" spans="17:24" x14ac:dyDescent="0.3">
      <c r="Q1240" s="4"/>
      <c r="R1240" s="4"/>
      <c r="S1240" s="4"/>
      <c r="T1240" s="4"/>
      <c r="U1240" s="4"/>
      <c r="V1240" s="4"/>
      <c r="W1240" s="4"/>
      <c r="X1240" s="4"/>
    </row>
    <row r="1241" spans="17:24" x14ac:dyDescent="0.3">
      <c r="Q1241" s="4"/>
      <c r="R1241" s="4"/>
      <c r="S1241" s="4"/>
      <c r="T1241" s="4"/>
      <c r="U1241" s="4"/>
      <c r="V1241" s="4"/>
      <c r="W1241" s="4"/>
      <c r="X1241" s="4"/>
    </row>
    <row r="1242" spans="17:24" x14ac:dyDescent="0.3">
      <c r="Q1242" s="4"/>
      <c r="R1242" s="4"/>
      <c r="S1242" s="4"/>
      <c r="T1242" s="4"/>
      <c r="U1242" s="4"/>
      <c r="V1242" s="4"/>
      <c r="W1242" s="4"/>
      <c r="X1242" s="4"/>
    </row>
    <row r="1243" spans="17:24" x14ac:dyDescent="0.3">
      <c r="Q1243" s="4"/>
      <c r="R1243" s="4"/>
      <c r="S1243" s="4"/>
      <c r="T1243" s="4"/>
      <c r="U1243" s="4"/>
      <c r="V1243" s="4"/>
      <c r="W1243" s="4"/>
      <c r="X1243" s="4"/>
    </row>
    <row r="1244" spans="17:24" x14ac:dyDescent="0.3">
      <c r="Q1244" s="4"/>
      <c r="R1244" s="4"/>
      <c r="S1244" s="4"/>
      <c r="T1244" s="4"/>
      <c r="U1244" s="4"/>
      <c r="V1244" s="4"/>
      <c r="W1244" s="4"/>
      <c r="X1244" s="4"/>
    </row>
    <row r="1245" spans="17:24" x14ac:dyDescent="0.3">
      <c r="Q1245" s="4"/>
      <c r="R1245" s="4"/>
      <c r="S1245" s="4"/>
      <c r="T1245" s="4"/>
      <c r="U1245" s="4"/>
      <c r="V1245" s="4"/>
      <c r="W1245" s="4"/>
      <c r="X1245" s="4"/>
    </row>
    <row r="1246" spans="17:24" x14ac:dyDescent="0.3">
      <c r="Q1246" s="4"/>
      <c r="R1246" s="4"/>
      <c r="S1246" s="4"/>
      <c r="T1246" s="4"/>
      <c r="U1246" s="4"/>
      <c r="V1246" s="4"/>
      <c r="W1246" s="4"/>
      <c r="X1246" s="4"/>
    </row>
    <row r="1247" spans="17:24" x14ac:dyDescent="0.3">
      <c r="Q1247" s="4"/>
      <c r="R1247" s="4"/>
      <c r="S1247" s="4"/>
      <c r="T1247" s="4"/>
      <c r="U1247" s="4"/>
      <c r="V1247" s="4"/>
      <c r="W1247" s="4"/>
      <c r="X1247" s="4"/>
    </row>
    <row r="1248" spans="17:24" x14ac:dyDescent="0.3">
      <c r="Q1248" s="4"/>
      <c r="R1248" s="4"/>
      <c r="S1248" s="4"/>
      <c r="T1248" s="4"/>
      <c r="U1248" s="4"/>
      <c r="V1248" s="4"/>
      <c r="W1248" s="4"/>
      <c r="X1248" s="4"/>
    </row>
    <row r="1249" spans="17:24" x14ac:dyDescent="0.3">
      <c r="Q1249" s="4"/>
      <c r="R1249" s="4"/>
      <c r="S1249" s="4"/>
      <c r="T1249" s="4"/>
      <c r="U1249" s="4"/>
      <c r="V1249" s="4"/>
      <c r="W1249" s="4"/>
      <c r="X1249" s="4"/>
    </row>
    <row r="1250" spans="17:24" x14ac:dyDescent="0.3">
      <c r="Q1250" s="4"/>
      <c r="R1250" s="4"/>
      <c r="S1250" s="4"/>
      <c r="T1250" s="4"/>
      <c r="U1250" s="4"/>
      <c r="V1250" s="4"/>
      <c r="W1250" s="4"/>
      <c r="X1250" s="4"/>
    </row>
    <row r="1251" spans="17:24" x14ac:dyDescent="0.3">
      <c r="Q1251" s="4"/>
      <c r="R1251" s="4"/>
      <c r="S1251" s="4"/>
      <c r="T1251" s="4"/>
      <c r="U1251" s="4"/>
      <c r="V1251" s="4"/>
      <c r="W1251" s="4"/>
      <c r="X1251" s="4"/>
    </row>
    <row r="1252" spans="17:24" x14ac:dyDescent="0.3">
      <c r="Q1252" s="4"/>
      <c r="R1252" s="4"/>
      <c r="S1252" s="4"/>
      <c r="T1252" s="4"/>
      <c r="U1252" s="4"/>
      <c r="V1252" s="4"/>
      <c r="W1252" s="4"/>
      <c r="X1252" s="4"/>
    </row>
    <row r="1253" spans="17:24" x14ac:dyDescent="0.3">
      <c r="Q1253" s="4"/>
      <c r="R1253" s="4"/>
      <c r="S1253" s="4"/>
      <c r="T1253" s="4"/>
      <c r="U1253" s="4"/>
      <c r="V1253" s="4"/>
      <c r="W1253" s="4"/>
      <c r="X1253" s="4"/>
    </row>
    <row r="1254" spans="17:24" x14ac:dyDescent="0.3">
      <c r="Q1254" s="4"/>
      <c r="R1254" s="4"/>
      <c r="S1254" s="4"/>
      <c r="T1254" s="4"/>
      <c r="U1254" s="4"/>
      <c r="V1254" s="4"/>
      <c r="W1254" s="4"/>
      <c r="X1254" s="4"/>
    </row>
    <row r="1255" spans="17:24" x14ac:dyDescent="0.3">
      <c r="Q1255" s="4"/>
      <c r="R1255" s="4"/>
      <c r="S1255" s="4"/>
      <c r="T1255" s="4"/>
      <c r="U1255" s="4"/>
      <c r="V1255" s="4"/>
      <c r="W1255" s="4"/>
      <c r="X1255" s="4"/>
    </row>
    <row r="1256" spans="17:24" x14ac:dyDescent="0.3">
      <c r="Q1256" s="4"/>
      <c r="R1256" s="4"/>
      <c r="S1256" s="4"/>
      <c r="T1256" s="4"/>
      <c r="U1256" s="4"/>
      <c r="V1256" s="4"/>
      <c r="W1256" s="4"/>
      <c r="X1256" s="4"/>
    </row>
    <row r="1257" spans="17:24" x14ac:dyDescent="0.3">
      <c r="Q1257" s="4"/>
      <c r="R1257" s="4"/>
      <c r="S1257" s="4"/>
      <c r="T1257" s="4"/>
      <c r="U1257" s="4"/>
      <c r="V1257" s="4"/>
      <c r="W1257" s="4"/>
      <c r="X1257" s="4"/>
    </row>
    <row r="1258" spans="17:24" x14ac:dyDescent="0.3">
      <c r="Q1258" s="4"/>
      <c r="R1258" s="4"/>
      <c r="S1258" s="4"/>
      <c r="T1258" s="4"/>
      <c r="U1258" s="4"/>
      <c r="V1258" s="4"/>
      <c r="W1258" s="4"/>
      <c r="X1258" s="4"/>
    </row>
    <row r="1259" spans="17:24" x14ac:dyDescent="0.3">
      <c r="Q1259" s="4"/>
      <c r="R1259" s="4"/>
      <c r="S1259" s="4"/>
      <c r="T1259" s="4"/>
      <c r="U1259" s="4"/>
      <c r="V1259" s="4"/>
      <c r="W1259" s="4"/>
      <c r="X1259" s="4"/>
    </row>
    <row r="1260" spans="17:24" x14ac:dyDescent="0.3">
      <c r="Q1260" s="4"/>
      <c r="R1260" s="4"/>
      <c r="S1260" s="4"/>
      <c r="T1260" s="4"/>
      <c r="U1260" s="4"/>
      <c r="V1260" s="4"/>
      <c r="W1260" s="4"/>
      <c r="X1260" s="4"/>
    </row>
    <row r="1261" spans="17:24" x14ac:dyDescent="0.3">
      <c r="Q1261" s="4"/>
      <c r="R1261" s="4"/>
      <c r="S1261" s="4"/>
      <c r="T1261" s="4"/>
      <c r="U1261" s="4"/>
      <c r="V1261" s="4"/>
      <c r="W1261" s="4"/>
      <c r="X1261" s="4"/>
    </row>
    <row r="1262" spans="17:24" x14ac:dyDescent="0.3">
      <c r="Q1262" s="4"/>
      <c r="R1262" s="4"/>
      <c r="S1262" s="4"/>
      <c r="T1262" s="4"/>
      <c r="U1262" s="4"/>
      <c r="V1262" s="4"/>
      <c r="W1262" s="4"/>
      <c r="X1262" s="4"/>
    </row>
    <row r="1263" spans="17:24" x14ac:dyDescent="0.3">
      <c r="Q1263" s="4"/>
      <c r="R1263" s="4"/>
      <c r="S1263" s="4"/>
      <c r="T1263" s="4"/>
      <c r="U1263" s="4"/>
      <c r="V1263" s="4"/>
      <c r="W1263" s="4"/>
      <c r="X1263" s="4"/>
    </row>
    <row r="1264" spans="17:24" x14ac:dyDescent="0.3">
      <c r="Q1264" s="4"/>
      <c r="R1264" s="4"/>
      <c r="S1264" s="4"/>
      <c r="T1264" s="4"/>
      <c r="U1264" s="4"/>
      <c r="V1264" s="4"/>
      <c r="W1264" s="4"/>
      <c r="X1264" s="4"/>
    </row>
    <row r="1265" spans="17:24" x14ac:dyDescent="0.3">
      <c r="Q1265" s="4"/>
      <c r="R1265" s="4"/>
      <c r="S1265" s="4"/>
      <c r="T1265" s="4"/>
      <c r="U1265" s="4"/>
      <c r="V1265" s="4"/>
      <c r="W1265" s="4"/>
      <c r="X1265" s="4"/>
    </row>
    <row r="1266" spans="17:24" x14ac:dyDescent="0.3">
      <c r="Q1266" s="4"/>
      <c r="R1266" s="4"/>
      <c r="S1266" s="4"/>
      <c r="T1266" s="4"/>
      <c r="U1266" s="4"/>
      <c r="V1266" s="4"/>
      <c r="W1266" s="4"/>
      <c r="X1266" s="4"/>
    </row>
    <row r="1267" spans="17:24" x14ac:dyDescent="0.3">
      <c r="Q1267" s="4"/>
      <c r="R1267" s="4"/>
      <c r="S1267" s="4"/>
      <c r="T1267" s="4"/>
      <c r="U1267" s="4"/>
      <c r="V1267" s="4"/>
      <c r="W1267" s="4"/>
      <c r="X1267" s="4"/>
    </row>
    <row r="1268" spans="17:24" x14ac:dyDescent="0.3">
      <c r="Q1268" s="4"/>
      <c r="R1268" s="4"/>
      <c r="S1268" s="4"/>
      <c r="T1268" s="4"/>
      <c r="U1268" s="4"/>
      <c r="V1268" s="4"/>
      <c r="W1268" s="4"/>
      <c r="X1268" s="4"/>
    </row>
    <row r="1269" spans="17:24" x14ac:dyDescent="0.3">
      <c r="Q1269" s="4"/>
      <c r="R1269" s="4"/>
      <c r="S1269" s="4"/>
      <c r="T1269" s="4"/>
      <c r="U1269" s="4"/>
      <c r="V1269" s="4"/>
      <c r="W1269" s="4"/>
      <c r="X1269" s="4"/>
    </row>
    <row r="1270" spans="17:24" x14ac:dyDescent="0.3">
      <c r="Q1270" s="4"/>
      <c r="R1270" s="4"/>
      <c r="S1270" s="4"/>
      <c r="T1270" s="4"/>
      <c r="U1270" s="4"/>
      <c r="V1270" s="4"/>
      <c r="W1270" s="4"/>
      <c r="X1270" s="4"/>
    </row>
    <row r="1271" spans="17:24" x14ac:dyDescent="0.3">
      <c r="Q1271" s="4"/>
      <c r="R1271" s="4"/>
      <c r="S1271" s="4"/>
      <c r="T1271" s="4"/>
      <c r="U1271" s="4"/>
      <c r="V1271" s="4"/>
      <c r="W1271" s="4"/>
      <c r="X1271" s="4"/>
    </row>
    <row r="1272" spans="17:24" x14ac:dyDescent="0.3">
      <c r="Q1272" s="4"/>
      <c r="R1272" s="4"/>
      <c r="S1272" s="4"/>
      <c r="T1272" s="4"/>
      <c r="U1272" s="4"/>
      <c r="V1272" s="4"/>
      <c r="W1272" s="4"/>
      <c r="X1272" s="4"/>
    </row>
    <row r="1273" spans="17:24" x14ac:dyDescent="0.3">
      <c r="Q1273" s="4"/>
      <c r="R1273" s="4"/>
      <c r="S1273" s="4"/>
      <c r="T1273" s="4"/>
      <c r="U1273" s="4"/>
      <c r="V1273" s="4"/>
      <c r="W1273" s="4"/>
      <c r="X1273" s="4"/>
    </row>
    <row r="1274" spans="17:24" x14ac:dyDescent="0.3">
      <c r="Q1274" s="4"/>
      <c r="R1274" s="4"/>
      <c r="S1274" s="4"/>
      <c r="T1274" s="4"/>
      <c r="U1274" s="4"/>
      <c r="V1274" s="4"/>
      <c r="W1274" s="4"/>
      <c r="X1274" s="4"/>
    </row>
    <row r="1275" spans="17:24" x14ac:dyDescent="0.3">
      <c r="Q1275" s="4"/>
      <c r="R1275" s="4"/>
      <c r="S1275" s="4"/>
      <c r="T1275" s="4"/>
      <c r="U1275" s="4"/>
      <c r="V1275" s="4"/>
      <c r="W1275" s="4"/>
      <c r="X1275" s="4"/>
    </row>
    <row r="1276" spans="17:24" x14ac:dyDescent="0.3">
      <c r="Q1276" s="4"/>
      <c r="R1276" s="4"/>
      <c r="S1276" s="4"/>
      <c r="T1276" s="4"/>
      <c r="U1276" s="4"/>
      <c r="V1276" s="4"/>
      <c r="W1276" s="4"/>
      <c r="X1276" s="4"/>
    </row>
    <row r="1277" spans="17:24" x14ac:dyDescent="0.3">
      <c r="Q1277" s="4"/>
      <c r="R1277" s="4"/>
      <c r="S1277" s="4"/>
      <c r="T1277" s="4"/>
      <c r="U1277" s="4"/>
      <c r="V1277" s="4"/>
      <c r="W1277" s="4"/>
      <c r="X1277" s="4"/>
    </row>
    <row r="1278" spans="17:24" x14ac:dyDescent="0.3">
      <c r="Q1278" s="4"/>
      <c r="R1278" s="4"/>
      <c r="S1278" s="4"/>
      <c r="T1278" s="4"/>
      <c r="U1278" s="4"/>
      <c r="V1278" s="4"/>
      <c r="W1278" s="4"/>
      <c r="X1278" s="4"/>
    </row>
    <row r="1279" spans="17:24" x14ac:dyDescent="0.3">
      <c r="Q1279" s="4"/>
      <c r="R1279" s="4"/>
      <c r="S1279" s="4"/>
      <c r="T1279" s="4"/>
      <c r="U1279" s="4"/>
      <c r="V1279" s="4"/>
      <c r="W1279" s="4"/>
      <c r="X1279" s="4"/>
    </row>
    <row r="1280" spans="17:24" x14ac:dyDescent="0.3">
      <c r="Q1280" s="4"/>
      <c r="R1280" s="4"/>
      <c r="S1280" s="4"/>
      <c r="T1280" s="4"/>
      <c r="U1280" s="4"/>
      <c r="V1280" s="4"/>
      <c r="W1280" s="4"/>
      <c r="X1280" s="4"/>
    </row>
    <row r="1281" spans="17:24" x14ac:dyDescent="0.3">
      <c r="Q1281" s="4"/>
      <c r="R1281" s="4"/>
      <c r="S1281" s="4"/>
      <c r="T1281" s="4"/>
      <c r="U1281" s="4"/>
      <c r="V1281" s="4"/>
      <c r="W1281" s="4"/>
      <c r="X1281" s="4"/>
    </row>
    <row r="1282" spans="17:24" x14ac:dyDescent="0.3">
      <c r="Q1282" s="4"/>
      <c r="R1282" s="4"/>
      <c r="S1282" s="4"/>
      <c r="T1282" s="4"/>
      <c r="U1282" s="4"/>
      <c r="V1282" s="4"/>
      <c r="W1282" s="4"/>
      <c r="X1282" s="4"/>
    </row>
    <row r="1283" spans="17:24" x14ac:dyDescent="0.3">
      <c r="Q1283" s="4"/>
      <c r="R1283" s="4"/>
      <c r="S1283" s="4"/>
      <c r="T1283" s="4"/>
      <c r="U1283" s="4"/>
      <c r="V1283" s="4"/>
      <c r="W1283" s="4"/>
      <c r="X1283" s="4"/>
    </row>
    <row r="1284" spans="17:24" x14ac:dyDescent="0.3">
      <c r="Q1284" s="4"/>
      <c r="R1284" s="4"/>
      <c r="S1284" s="4"/>
      <c r="T1284" s="4"/>
      <c r="U1284" s="4"/>
      <c r="V1284" s="4"/>
      <c r="W1284" s="4"/>
      <c r="X1284" s="4"/>
    </row>
    <row r="1285" spans="17:24" x14ac:dyDescent="0.3">
      <c r="Q1285" s="4"/>
      <c r="R1285" s="4"/>
      <c r="S1285" s="4"/>
      <c r="T1285" s="4"/>
      <c r="U1285" s="4"/>
      <c r="V1285" s="4"/>
      <c r="W1285" s="4"/>
      <c r="X1285" s="4"/>
    </row>
    <row r="1286" spans="17:24" x14ac:dyDescent="0.3">
      <c r="Q1286" s="4"/>
      <c r="R1286" s="4"/>
      <c r="S1286" s="4"/>
      <c r="T1286" s="4"/>
      <c r="U1286" s="4"/>
      <c r="V1286" s="4"/>
      <c r="W1286" s="4"/>
      <c r="X1286" s="4"/>
    </row>
    <row r="1287" spans="17:24" x14ac:dyDescent="0.3">
      <c r="Q1287" s="4"/>
      <c r="R1287" s="4"/>
      <c r="S1287" s="4"/>
      <c r="T1287" s="4"/>
      <c r="U1287" s="4"/>
      <c r="V1287" s="4"/>
      <c r="W1287" s="4"/>
      <c r="X1287" s="4"/>
    </row>
    <row r="1288" spans="17:24" x14ac:dyDescent="0.3">
      <c r="Q1288" s="4"/>
      <c r="R1288" s="4"/>
      <c r="S1288" s="4"/>
      <c r="T1288" s="4"/>
      <c r="U1288" s="4"/>
      <c r="V1288" s="4"/>
      <c r="W1288" s="4"/>
      <c r="X1288" s="4"/>
    </row>
    <row r="1289" spans="17:24" x14ac:dyDescent="0.3">
      <c r="Q1289" s="4"/>
      <c r="R1289" s="4"/>
      <c r="S1289" s="4"/>
      <c r="T1289" s="4"/>
      <c r="U1289" s="4"/>
      <c r="V1289" s="4"/>
      <c r="W1289" s="4"/>
      <c r="X1289" s="4"/>
    </row>
    <row r="1290" spans="17:24" x14ac:dyDescent="0.3">
      <c r="Q1290" s="4"/>
      <c r="R1290" s="4"/>
      <c r="S1290" s="4"/>
      <c r="T1290" s="4"/>
      <c r="U1290" s="4"/>
      <c r="V1290" s="4"/>
      <c r="W1290" s="4"/>
      <c r="X1290" s="4"/>
    </row>
    <row r="1291" spans="17:24" x14ac:dyDescent="0.3">
      <c r="Q1291" s="4"/>
      <c r="R1291" s="4"/>
      <c r="S1291" s="4"/>
      <c r="T1291" s="4"/>
      <c r="U1291" s="4"/>
      <c r="V1291" s="4"/>
      <c r="W1291" s="4"/>
      <c r="X1291" s="4"/>
    </row>
    <row r="1292" spans="17:24" x14ac:dyDescent="0.3">
      <c r="Q1292" s="4"/>
      <c r="R1292" s="4"/>
      <c r="S1292" s="4"/>
      <c r="T1292" s="4"/>
      <c r="U1292" s="4"/>
      <c r="V1292" s="4"/>
      <c r="W1292" s="4"/>
      <c r="X1292" s="4"/>
    </row>
    <row r="1293" spans="17:24" x14ac:dyDescent="0.3">
      <c r="Q1293" s="4"/>
      <c r="R1293" s="4"/>
      <c r="S1293" s="4"/>
      <c r="T1293" s="4"/>
      <c r="U1293" s="4"/>
      <c r="V1293" s="4"/>
      <c r="W1293" s="4"/>
      <c r="X1293" s="4"/>
    </row>
    <row r="1294" spans="17:24" x14ac:dyDescent="0.3">
      <c r="Q1294" s="4"/>
      <c r="R1294" s="4"/>
      <c r="S1294" s="4"/>
      <c r="T1294" s="4"/>
      <c r="U1294" s="4"/>
      <c r="V1294" s="4"/>
      <c r="W1294" s="4"/>
      <c r="X1294" s="4"/>
    </row>
    <row r="1295" spans="17:24" x14ac:dyDescent="0.3">
      <c r="Q1295" s="4"/>
      <c r="R1295" s="4"/>
      <c r="S1295" s="4"/>
      <c r="T1295" s="4"/>
      <c r="U1295" s="4"/>
      <c r="V1295" s="4"/>
      <c r="W1295" s="4"/>
      <c r="X1295" s="4"/>
    </row>
    <row r="1296" spans="17:24" x14ac:dyDescent="0.3">
      <c r="Q1296" s="4"/>
      <c r="R1296" s="4"/>
      <c r="S1296" s="4"/>
      <c r="T1296" s="4"/>
      <c r="U1296" s="4"/>
      <c r="V1296" s="4"/>
      <c r="W1296" s="4"/>
      <c r="X1296" s="4"/>
    </row>
    <row r="1297" spans="17:24" x14ac:dyDescent="0.3">
      <c r="Q1297" s="4"/>
      <c r="R1297" s="4"/>
      <c r="S1297" s="4"/>
      <c r="T1297" s="4"/>
      <c r="U1297" s="4"/>
      <c r="V1297" s="4"/>
      <c r="W1297" s="4"/>
      <c r="X1297" s="4"/>
    </row>
    <row r="1298" spans="17:24" x14ac:dyDescent="0.3">
      <c r="Q1298" s="4"/>
      <c r="R1298" s="4"/>
      <c r="S1298" s="4"/>
      <c r="T1298" s="4"/>
      <c r="U1298" s="4"/>
      <c r="V1298" s="4"/>
      <c r="W1298" s="4"/>
      <c r="X1298" s="4"/>
    </row>
    <row r="1299" spans="17:24" x14ac:dyDescent="0.3">
      <c r="Q1299" s="4"/>
      <c r="R1299" s="4"/>
      <c r="S1299" s="4"/>
      <c r="T1299" s="4"/>
      <c r="U1299" s="4"/>
      <c r="V1299" s="4"/>
      <c r="W1299" s="4"/>
      <c r="X1299" s="4"/>
    </row>
    <row r="1300" spans="17:24" x14ac:dyDescent="0.3">
      <c r="Q1300" s="4"/>
      <c r="R1300" s="4"/>
      <c r="S1300" s="4"/>
      <c r="T1300" s="4"/>
      <c r="U1300" s="4"/>
      <c r="V1300" s="4"/>
      <c r="W1300" s="4"/>
      <c r="X1300" s="4"/>
    </row>
    <row r="1301" spans="17:24" x14ac:dyDescent="0.3">
      <c r="Q1301" s="4"/>
      <c r="R1301" s="4"/>
      <c r="S1301" s="4"/>
      <c r="T1301" s="4"/>
      <c r="U1301" s="4"/>
      <c r="V1301" s="4"/>
      <c r="W1301" s="4"/>
      <c r="X1301" s="4"/>
    </row>
    <row r="1302" spans="17:24" x14ac:dyDescent="0.3">
      <c r="Q1302" s="4"/>
      <c r="R1302" s="4"/>
      <c r="S1302" s="4"/>
      <c r="T1302" s="4"/>
      <c r="U1302" s="4"/>
      <c r="V1302" s="4"/>
      <c r="W1302" s="4"/>
      <c r="X1302" s="4"/>
    </row>
    <row r="1303" spans="17:24" x14ac:dyDescent="0.3">
      <c r="Q1303" s="4"/>
      <c r="R1303" s="4"/>
      <c r="S1303" s="4"/>
      <c r="T1303" s="4"/>
      <c r="U1303" s="4"/>
      <c r="V1303" s="4"/>
      <c r="W1303" s="4"/>
      <c r="X1303" s="4"/>
    </row>
    <row r="1304" spans="17:24" x14ac:dyDescent="0.3">
      <c r="Q1304" s="4"/>
      <c r="R1304" s="4"/>
      <c r="S1304" s="4"/>
      <c r="T1304" s="4"/>
      <c r="U1304" s="4"/>
      <c r="V1304" s="4"/>
      <c r="W1304" s="4"/>
      <c r="X1304" s="4"/>
    </row>
    <row r="1305" spans="17:24" x14ac:dyDescent="0.3">
      <c r="Q1305" s="4"/>
      <c r="R1305" s="4"/>
      <c r="S1305" s="4"/>
      <c r="T1305" s="4"/>
      <c r="U1305" s="4"/>
      <c r="V1305" s="4"/>
      <c r="W1305" s="4"/>
      <c r="X1305" s="4"/>
    </row>
    <row r="1306" spans="17:24" x14ac:dyDescent="0.3">
      <c r="Q1306" s="4"/>
      <c r="R1306" s="4"/>
      <c r="S1306" s="4"/>
      <c r="T1306" s="4"/>
      <c r="U1306" s="4"/>
      <c r="V1306" s="4"/>
      <c r="W1306" s="4"/>
      <c r="X1306" s="4"/>
    </row>
    <row r="1307" spans="17:24" x14ac:dyDescent="0.3">
      <c r="Q1307" s="4"/>
      <c r="R1307" s="4"/>
      <c r="S1307" s="4"/>
      <c r="T1307" s="4"/>
      <c r="U1307" s="4"/>
      <c r="V1307" s="4"/>
      <c r="W1307" s="4"/>
      <c r="X1307" s="4"/>
    </row>
    <row r="1308" spans="17:24" x14ac:dyDescent="0.3">
      <c r="Q1308" s="4"/>
      <c r="R1308" s="4"/>
      <c r="S1308" s="4"/>
      <c r="T1308" s="4"/>
      <c r="U1308" s="4"/>
      <c r="V1308" s="4"/>
      <c r="W1308" s="4"/>
      <c r="X1308" s="4"/>
    </row>
    <row r="1309" spans="17:24" x14ac:dyDescent="0.3">
      <c r="Q1309" s="4"/>
      <c r="R1309" s="4"/>
      <c r="S1309" s="4"/>
      <c r="T1309" s="4"/>
      <c r="U1309" s="4"/>
      <c r="V1309" s="4"/>
      <c r="W1309" s="4"/>
      <c r="X1309" s="4"/>
    </row>
    <row r="1310" spans="17:24" x14ac:dyDescent="0.3">
      <c r="Q1310" s="4"/>
      <c r="R1310" s="4"/>
      <c r="S1310" s="4"/>
      <c r="T1310" s="4"/>
      <c r="U1310" s="4"/>
      <c r="V1310" s="4"/>
      <c r="W1310" s="4"/>
      <c r="X1310" s="4"/>
    </row>
    <row r="1311" spans="17:24" x14ac:dyDescent="0.3">
      <c r="Q1311" s="4"/>
      <c r="R1311" s="4"/>
      <c r="S1311" s="4"/>
      <c r="T1311" s="4"/>
      <c r="U1311" s="4"/>
      <c r="V1311" s="4"/>
      <c r="W1311" s="4"/>
      <c r="X1311" s="4"/>
    </row>
    <row r="1312" spans="17:24" x14ac:dyDescent="0.3">
      <c r="Q1312" s="4"/>
      <c r="R1312" s="4"/>
      <c r="S1312" s="4"/>
      <c r="T1312" s="4"/>
      <c r="U1312" s="4"/>
      <c r="V1312" s="4"/>
      <c r="W1312" s="4"/>
      <c r="X1312" s="4"/>
    </row>
    <row r="1313" spans="17:24" x14ac:dyDescent="0.3">
      <c r="Q1313" s="4"/>
      <c r="R1313" s="4"/>
      <c r="S1313" s="4"/>
      <c r="T1313" s="4"/>
      <c r="U1313" s="4"/>
      <c r="V1313" s="4"/>
      <c r="W1313" s="4"/>
      <c r="X1313" s="4"/>
    </row>
    <row r="1314" spans="17:24" x14ac:dyDescent="0.3">
      <c r="Q1314" s="4"/>
      <c r="R1314" s="4"/>
      <c r="S1314" s="4"/>
      <c r="T1314" s="4"/>
      <c r="U1314" s="4"/>
      <c r="V1314" s="4"/>
      <c r="W1314" s="4"/>
      <c r="X1314" s="4"/>
    </row>
    <row r="1315" spans="17:24" x14ac:dyDescent="0.3">
      <c r="Q1315" s="4"/>
      <c r="R1315" s="4"/>
      <c r="S1315" s="4"/>
      <c r="T1315" s="4"/>
      <c r="U1315" s="4"/>
      <c r="V1315" s="4"/>
      <c r="W1315" s="4"/>
      <c r="X1315" s="4"/>
    </row>
    <row r="1316" spans="17:24" x14ac:dyDescent="0.3">
      <c r="Q1316" s="4"/>
      <c r="R1316" s="4"/>
      <c r="S1316" s="4"/>
      <c r="T1316" s="4"/>
      <c r="U1316" s="4"/>
      <c r="V1316" s="4"/>
      <c r="W1316" s="4"/>
      <c r="X1316" s="4"/>
    </row>
    <row r="1317" spans="17:24" x14ac:dyDescent="0.3">
      <c r="Q1317" s="4"/>
      <c r="R1317" s="4"/>
      <c r="S1317" s="4"/>
      <c r="T1317" s="4"/>
      <c r="U1317" s="4"/>
      <c r="V1317" s="4"/>
      <c r="W1317" s="4"/>
      <c r="X1317" s="4"/>
    </row>
    <row r="1318" spans="17:24" x14ac:dyDescent="0.3">
      <c r="Q1318" s="4"/>
      <c r="R1318" s="4"/>
      <c r="S1318" s="4"/>
      <c r="T1318" s="4"/>
      <c r="U1318" s="4"/>
      <c r="V1318" s="4"/>
      <c r="W1318" s="4"/>
      <c r="X1318" s="4"/>
    </row>
    <row r="1319" spans="17:24" x14ac:dyDescent="0.3">
      <c r="Q1319" s="4"/>
      <c r="R1319" s="4"/>
      <c r="S1319" s="4"/>
      <c r="T1319" s="4"/>
      <c r="U1319" s="4"/>
      <c r="V1319" s="4"/>
      <c r="W1319" s="4"/>
      <c r="X1319" s="4"/>
    </row>
    <row r="1320" spans="17:24" x14ac:dyDescent="0.3">
      <c r="Q1320" s="4"/>
      <c r="R1320" s="4"/>
      <c r="S1320" s="4"/>
      <c r="T1320" s="4"/>
      <c r="U1320" s="4"/>
      <c r="V1320" s="4"/>
      <c r="W1320" s="4"/>
      <c r="X1320" s="4"/>
    </row>
    <row r="1321" spans="17:24" x14ac:dyDescent="0.3">
      <c r="Q1321" s="4"/>
      <c r="R1321" s="4"/>
      <c r="S1321" s="4"/>
      <c r="T1321" s="4"/>
      <c r="U1321" s="4"/>
      <c r="V1321" s="4"/>
      <c r="W1321" s="4"/>
      <c r="X1321" s="4"/>
    </row>
    <row r="1322" spans="17:24" x14ac:dyDescent="0.3">
      <c r="Q1322" s="4"/>
      <c r="R1322" s="4"/>
      <c r="S1322" s="4"/>
      <c r="T1322" s="4"/>
      <c r="U1322" s="4"/>
      <c r="V1322" s="4"/>
      <c r="W1322" s="4"/>
      <c r="X1322" s="4"/>
    </row>
    <row r="1323" spans="17:24" x14ac:dyDescent="0.3">
      <c r="Q1323" s="4"/>
      <c r="R1323" s="4"/>
      <c r="S1323" s="4"/>
      <c r="T1323" s="4"/>
      <c r="U1323" s="4"/>
      <c r="V1323" s="4"/>
      <c r="W1323" s="4"/>
      <c r="X1323" s="4"/>
    </row>
    <row r="1324" spans="17:24" x14ac:dyDescent="0.3">
      <c r="Q1324" s="4"/>
      <c r="R1324" s="4"/>
      <c r="S1324" s="4"/>
      <c r="T1324" s="4"/>
      <c r="U1324" s="4"/>
      <c r="V1324" s="4"/>
      <c r="W1324" s="4"/>
      <c r="X1324" s="4"/>
    </row>
    <row r="1325" spans="17:24" x14ac:dyDescent="0.3">
      <c r="Q1325" s="4"/>
      <c r="R1325" s="4"/>
      <c r="S1325" s="4"/>
      <c r="T1325" s="4"/>
      <c r="U1325" s="4"/>
      <c r="V1325" s="4"/>
      <c r="W1325" s="4"/>
      <c r="X1325" s="4"/>
    </row>
    <row r="1326" spans="17:24" x14ac:dyDescent="0.3">
      <c r="Q1326" s="4"/>
      <c r="R1326" s="4"/>
      <c r="S1326" s="4"/>
      <c r="T1326" s="4"/>
      <c r="U1326" s="4"/>
      <c r="V1326" s="4"/>
      <c r="W1326" s="4"/>
      <c r="X1326" s="4"/>
    </row>
    <row r="1327" spans="17:24" x14ac:dyDescent="0.3">
      <c r="Q1327" s="4"/>
      <c r="R1327" s="4"/>
      <c r="S1327" s="4"/>
      <c r="T1327" s="4"/>
      <c r="U1327" s="4"/>
      <c r="V1327" s="4"/>
      <c r="W1327" s="4"/>
      <c r="X1327" s="4"/>
    </row>
    <row r="1328" spans="17:24" x14ac:dyDescent="0.3">
      <c r="Q1328" s="4"/>
      <c r="R1328" s="4"/>
      <c r="S1328" s="4"/>
      <c r="T1328" s="4"/>
      <c r="U1328" s="4"/>
      <c r="V1328" s="4"/>
      <c r="W1328" s="4"/>
      <c r="X1328" s="4"/>
    </row>
    <row r="1329" spans="17:24" x14ac:dyDescent="0.3">
      <c r="Q1329" s="4"/>
      <c r="R1329" s="4"/>
      <c r="S1329" s="4"/>
      <c r="T1329" s="4"/>
      <c r="U1329" s="4"/>
      <c r="V1329" s="4"/>
      <c r="W1329" s="4"/>
      <c r="X1329" s="4"/>
    </row>
    <row r="1330" spans="17:24" x14ac:dyDescent="0.3">
      <c r="Q1330" s="4"/>
      <c r="R1330" s="4"/>
      <c r="S1330" s="4"/>
      <c r="T1330" s="4"/>
      <c r="U1330" s="4"/>
      <c r="V1330" s="4"/>
      <c r="W1330" s="4"/>
      <c r="X1330" s="4"/>
    </row>
    <row r="1331" spans="17:24" x14ac:dyDescent="0.3">
      <c r="Q1331" s="4"/>
      <c r="R1331" s="4"/>
      <c r="S1331" s="4"/>
      <c r="T1331" s="4"/>
      <c r="U1331" s="4"/>
      <c r="V1331" s="4"/>
      <c r="W1331" s="4"/>
      <c r="X1331" s="4"/>
    </row>
    <row r="1332" spans="17:24" x14ac:dyDescent="0.3">
      <c r="Q1332" s="4"/>
      <c r="R1332" s="4"/>
      <c r="S1332" s="4"/>
      <c r="T1332" s="4"/>
      <c r="U1332" s="4"/>
      <c r="V1332" s="4"/>
      <c r="W1332" s="4"/>
      <c r="X1332" s="4"/>
    </row>
    <row r="1333" spans="17:24" x14ac:dyDescent="0.3">
      <c r="Q1333" s="4"/>
      <c r="R1333" s="4"/>
      <c r="S1333" s="4"/>
      <c r="T1333" s="4"/>
      <c r="U1333" s="4"/>
      <c r="V1333" s="4"/>
      <c r="W1333" s="4"/>
      <c r="X1333" s="4"/>
    </row>
    <row r="1334" spans="17:24" x14ac:dyDescent="0.3">
      <c r="Q1334" s="4"/>
      <c r="R1334" s="4"/>
      <c r="S1334" s="4"/>
      <c r="T1334" s="4"/>
      <c r="U1334" s="4"/>
      <c r="V1334" s="4"/>
      <c r="W1334" s="4"/>
      <c r="X1334" s="4"/>
    </row>
    <row r="1335" spans="17:24" x14ac:dyDescent="0.3">
      <c r="Q1335" s="4"/>
      <c r="R1335" s="4"/>
      <c r="S1335" s="4"/>
      <c r="T1335" s="4"/>
      <c r="U1335" s="4"/>
      <c r="V1335" s="4"/>
      <c r="W1335" s="4"/>
      <c r="X1335" s="4"/>
    </row>
    <row r="1336" spans="17:24" x14ac:dyDescent="0.3">
      <c r="Q1336" s="4"/>
      <c r="R1336" s="4"/>
      <c r="S1336" s="4"/>
      <c r="T1336" s="4"/>
      <c r="U1336" s="4"/>
      <c r="V1336" s="4"/>
      <c r="W1336" s="4"/>
      <c r="X1336" s="4"/>
    </row>
    <row r="1337" spans="17:24" x14ac:dyDescent="0.3">
      <c r="Q1337" s="4"/>
      <c r="R1337" s="4"/>
      <c r="S1337" s="4"/>
      <c r="T1337" s="4"/>
      <c r="U1337" s="4"/>
      <c r="V1337" s="4"/>
      <c r="W1337" s="4"/>
      <c r="X1337" s="4"/>
    </row>
    <row r="1338" spans="17:24" x14ac:dyDescent="0.3">
      <c r="Q1338" s="4"/>
      <c r="R1338" s="4"/>
      <c r="S1338" s="4"/>
      <c r="T1338" s="4"/>
      <c r="U1338" s="4"/>
      <c r="V1338" s="4"/>
      <c r="W1338" s="4"/>
      <c r="X1338" s="4"/>
    </row>
    <row r="1339" spans="17:24" x14ac:dyDescent="0.3">
      <c r="Q1339" s="4"/>
      <c r="R1339" s="4"/>
      <c r="S1339" s="4"/>
      <c r="T1339" s="4"/>
      <c r="U1339" s="4"/>
      <c r="V1339" s="4"/>
      <c r="W1339" s="4"/>
      <c r="X1339" s="4"/>
    </row>
    <row r="1340" spans="17:24" x14ac:dyDescent="0.3">
      <c r="Q1340" s="4"/>
      <c r="R1340" s="4"/>
      <c r="S1340" s="4"/>
      <c r="T1340" s="4"/>
      <c r="U1340" s="4"/>
      <c r="V1340" s="4"/>
      <c r="W1340" s="4"/>
      <c r="X1340" s="4"/>
    </row>
    <row r="1341" spans="17:24" x14ac:dyDescent="0.3">
      <c r="Q1341" s="4"/>
      <c r="R1341" s="4"/>
      <c r="S1341" s="4"/>
      <c r="T1341" s="4"/>
      <c r="U1341" s="4"/>
      <c r="V1341" s="4"/>
      <c r="W1341" s="4"/>
      <c r="X1341" s="4"/>
    </row>
    <row r="1342" spans="17:24" x14ac:dyDescent="0.3">
      <c r="Q1342" s="4"/>
      <c r="R1342" s="4"/>
      <c r="S1342" s="4"/>
      <c r="T1342" s="4"/>
      <c r="U1342" s="4"/>
      <c r="V1342" s="4"/>
      <c r="W1342" s="4"/>
      <c r="X1342" s="4"/>
    </row>
    <row r="1343" spans="17:24" x14ac:dyDescent="0.3">
      <c r="Q1343" s="4"/>
      <c r="R1343" s="4"/>
      <c r="S1343" s="4"/>
      <c r="T1343" s="4"/>
      <c r="U1343" s="4"/>
      <c r="V1343" s="4"/>
      <c r="W1343" s="4"/>
      <c r="X1343" s="4"/>
    </row>
    <row r="1344" spans="17:24" x14ac:dyDescent="0.3">
      <c r="Q1344" s="4"/>
      <c r="R1344" s="4"/>
      <c r="S1344" s="4"/>
      <c r="T1344" s="4"/>
      <c r="U1344" s="4"/>
      <c r="V1344" s="4"/>
      <c r="W1344" s="4"/>
      <c r="X1344" s="4"/>
    </row>
    <row r="1345" spans="17:24" x14ac:dyDescent="0.3">
      <c r="Q1345" s="4"/>
      <c r="R1345" s="4"/>
      <c r="S1345" s="4"/>
      <c r="T1345" s="4"/>
      <c r="U1345" s="4"/>
      <c r="V1345" s="4"/>
      <c r="W1345" s="4"/>
      <c r="X1345" s="4"/>
    </row>
    <row r="1346" spans="17:24" x14ac:dyDescent="0.3">
      <c r="Q1346" s="4"/>
      <c r="R1346" s="4"/>
      <c r="S1346" s="4"/>
      <c r="T1346" s="4"/>
      <c r="U1346" s="4"/>
      <c r="V1346" s="4"/>
      <c r="W1346" s="4"/>
      <c r="X1346" s="4"/>
    </row>
    <row r="1347" spans="17:24" x14ac:dyDescent="0.3">
      <c r="Q1347" s="4"/>
      <c r="R1347" s="4"/>
      <c r="S1347" s="4"/>
      <c r="T1347" s="4"/>
      <c r="U1347" s="4"/>
      <c r="V1347" s="4"/>
      <c r="W1347" s="4"/>
      <c r="X1347" s="4"/>
    </row>
    <row r="1348" spans="17:24" x14ac:dyDescent="0.3">
      <c r="Q1348" s="4"/>
      <c r="R1348" s="4"/>
      <c r="S1348" s="4"/>
      <c r="T1348" s="4"/>
      <c r="U1348" s="4"/>
      <c r="V1348" s="4"/>
      <c r="W1348" s="4"/>
      <c r="X1348" s="4"/>
    </row>
    <row r="1349" spans="17:24" x14ac:dyDescent="0.3">
      <c r="Q1349" s="4"/>
      <c r="R1349" s="4"/>
      <c r="S1349" s="4"/>
      <c r="T1349" s="4"/>
      <c r="U1349" s="4"/>
      <c r="V1349" s="4"/>
      <c r="W1349" s="4"/>
      <c r="X1349" s="4"/>
    </row>
    <row r="1350" spans="17:24" x14ac:dyDescent="0.3">
      <c r="Q1350" s="4"/>
      <c r="R1350" s="4"/>
      <c r="S1350" s="4"/>
      <c r="T1350" s="4"/>
      <c r="U1350" s="4"/>
      <c r="V1350" s="4"/>
      <c r="W1350" s="4"/>
      <c r="X1350" s="4"/>
    </row>
    <row r="1351" spans="17:24" x14ac:dyDescent="0.3">
      <c r="Q1351" s="4"/>
      <c r="R1351" s="4"/>
      <c r="S1351" s="4"/>
      <c r="T1351" s="4"/>
      <c r="U1351" s="4"/>
      <c r="V1351" s="4"/>
      <c r="W1351" s="4"/>
      <c r="X1351" s="4"/>
    </row>
    <row r="1352" spans="17:24" x14ac:dyDescent="0.3">
      <c r="Q1352" s="4"/>
      <c r="R1352" s="4"/>
      <c r="S1352" s="4"/>
      <c r="T1352" s="4"/>
      <c r="U1352" s="4"/>
      <c r="V1352" s="4"/>
      <c r="W1352" s="4"/>
      <c r="X1352" s="4"/>
    </row>
    <row r="1353" spans="17:24" x14ac:dyDescent="0.3">
      <c r="Q1353" s="4"/>
      <c r="R1353" s="4"/>
      <c r="S1353" s="4"/>
      <c r="T1353" s="4"/>
      <c r="U1353" s="4"/>
      <c r="V1353" s="4"/>
      <c r="W1353" s="4"/>
      <c r="X1353" s="4"/>
    </row>
    <row r="1354" spans="17:24" x14ac:dyDescent="0.3">
      <c r="Q1354" s="4"/>
      <c r="R1354" s="4"/>
      <c r="S1354" s="4"/>
      <c r="T1354" s="4"/>
      <c r="U1354" s="4"/>
      <c r="V1354" s="4"/>
      <c r="W1354" s="4"/>
      <c r="X1354" s="4"/>
    </row>
    <row r="1355" spans="17:24" x14ac:dyDescent="0.3">
      <c r="Q1355" s="4"/>
      <c r="R1355" s="4"/>
      <c r="S1355" s="4"/>
      <c r="T1355" s="4"/>
      <c r="U1355" s="4"/>
      <c r="V1355" s="4"/>
      <c r="W1355" s="4"/>
      <c r="X1355" s="4"/>
    </row>
    <row r="1356" spans="17:24" x14ac:dyDescent="0.3">
      <c r="Q1356" s="4"/>
      <c r="R1356" s="4"/>
      <c r="S1356" s="4"/>
      <c r="T1356" s="4"/>
      <c r="U1356" s="4"/>
      <c r="V1356" s="4"/>
      <c r="W1356" s="4"/>
      <c r="X1356" s="4"/>
    </row>
    <row r="1357" spans="17:24" x14ac:dyDescent="0.3">
      <c r="Q1357" s="4"/>
      <c r="R1357" s="4"/>
      <c r="S1357" s="4"/>
      <c r="T1357" s="4"/>
      <c r="U1357" s="4"/>
      <c r="V1357" s="4"/>
      <c r="W1357" s="4"/>
      <c r="X1357" s="4"/>
    </row>
    <row r="1358" spans="17:24" x14ac:dyDescent="0.3">
      <c r="Q1358" s="4"/>
      <c r="R1358" s="4"/>
      <c r="S1358" s="4"/>
      <c r="T1358" s="4"/>
      <c r="U1358" s="4"/>
      <c r="V1358" s="4"/>
      <c r="W1358" s="4"/>
      <c r="X1358" s="4"/>
    </row>
    <row r="1359" spans="17:24" x14ac:dyDescent="0.3">
      <c r="Q1359" s="4"/>
      <c r="R1359" s="4"/>
      <c r="S1359" s="4"/>
      <c r="T1359" s="4"/>
      <c r="U1359" s="4"/>
      <c r="V1359" s="4"/>
      <c r="W1359" s="4"/>
      <c r="X1359" s="4"/>
    </row>
    <row r="1360" spans="17:24" x14ac:dyDescent="0.3">
      <c r="Q1360" s="4"/>
      <c r="R1360" s="4"/>
      <c r="S1360" s="4"/>
      <c r="T1360" s="4"/>
      <c r="U1360" s="4"/>
      <c r="V1360" s="4"/>
      <c r="W1360" s="4"/>
      <c r="X1360" s="4"/>
    </row>
    <row r="1361" spans="17:24" x14ac:dyDescent="0.3">
      <c r="Q1361" s="4"/>
      <c r="R1361" s="4"/>
      <c r="S1361" s="4"/>
      <c r="T1361" s="4"/>
      <c r="U1361" s="4"/>
      <c r="V1361" s="4"/>
      <c r="W1361" s="4"/>
      <c r="X1361" s="4"/>
    </row>
    <row r="1362" spans="17:24" x14ac:dyDescent="0.3">
      <c r="Q1362" s="4"/>
      <c r="R1362" s="4"/>
      <c r="S1362" s="4"/>
      <c r="T1362" s="4"/>
      <c r="U1362" s="4"/>
      <c r="V1362" s="4"/>
      <c r="W1362" s="4"/>
      <c r="X1362" s="4"/>
    </row>
    <row r="1363" spans="17:24" x14ac:dyDescent="0.3">
      <c r="Q1363" s="4"/>
      <c r="R1363" s="4"/>
      <c r="S1363" s="4"/>
      <c r="T1363" s="4"/>
      <c r="U1363" s="4"/>
      <c r="V1363" s="4"/>
      <c r="W1363" s="4"/>
      <c r="X1363" s="4"/>
    </row>
    <row r="1364" spans="17:24" x14ac:dyDescent="0.3">
      <c r="Q1364" s="4"/>
      <c r="R1364" s="4"/>
      <c r="S1364" s="4"/>
      <c r="T1364" s="4"/>
      <c r="U1364" s="4"/>
      <c r="V1364" s="4"/>
      <c r="W1364" s="4"/>
      <c r="X1364" s="4"/>
    </row>
    <row r="1365" spans="17:24" x14ac:dyDescent="0.3">
      <c r="Q1365" s="4"/>
      <c r="R1365" s="4"/>
      <c r="S1365" s="4"/>
      <c r="T1365" s="4"/>
      <c r="U1365" s="4"/>
      <c r="V1365" s="4"/>
      <c r="W1365" s="4"/>
      <c r="X1365" s="4"/>
    </row>
    <row r="1366" spans="17:24" x14ac:dyDescent="0.3">
      <c r="Q1366" s="4"/>
      <c r="R1366" s="4"/>
      <c r="S1366" s="4"/>
      <c r="T1366" s="4"/>
      <c r="U1366" s="4"/>
      <c r="V1366" s="4"/>
      <c r="W1366" s="4"/>
      <c r="X1366" s="4"/>
    </row>
    <row r="1367" spans="17:24" x14ac:dyDescent="0.3">
      <c r="Q1367" s="4"/>
      <c r="R1367" s="4"/>
      <c r="S1367" s="4"/>
      <c r="T1367" s="4"/>
      <c r="U1367" s="4"/>
      <c r="V1367" s="4"/>
      <c r="W1367" s="4"/>
      <c r="X1367" s="4"/>
    </row>
    <row r="1368" spans="17:24" x14ac:dyDescent="0.3">
      <c r="Q1368" s="4"/>
      <c r="R1368" s="4"/>
      <c r="S1368" s="4"/>
      <c r="T1368" s="4"/>
      <c r="U1368" s="4"/>
      <c r="V1368" s="4"/>
      <c r="W1368" s="4"/>
      <c r="X1368" s="4"/>
    </row>
    <row r="1369" spans="17:24" x14ac:dyDescent="0.3">
      <c r="Q1369" s="4"/>
      <c r="R1369" s="4"/>
      <c r="S1369" s="4"/>
      <c r="T1369" s="4"/>
      <c r="U1369" s="4"/>
      <c r="V1369" s="4"/>
      <c r="W1369" s="4"/>
      <c r="X1369" s="4"/>
    </row>
    <row r="1370" spans="17:24" x14ac:dyDescent="0.3">
      <c r="Q1370" s="4"/>
      <c r="R1370" s="4"/>
      <c r="S1370" s="4"/>
      <c r="T1370" s="4"/>
      <c r="U1370" s="4"/>
      <c r="V1370" s="4"/>
      <c r="W1370" s="4"/>
      <c r="X1370" s="4"/>
    </row>
    <row r="1371" spans="17:24" x14ac:dyDescent="0.3">
      <c r="Q1371" s="4"/>
      <c r="R1371" s="4"/>
      <c r="S1371" s="4"/>
      <c r="T1371" s="4"/>
      <c r="U1371" s="4"/>
      <c r="V1371" s="4"/>
      <c r="W1371" s="4"/>
      <c r="X1371" s="4"/>
    </row>
    <row r="1372" spans="17:24" x14ac:dyDescent="0.3">
      <c r="Q1372" s="4"/>
      <c r="R1372" s="4"/>
      <c r="S1372" s="4"/>
      <c r="T1372" s="4"/>
      <c r="U1372" s="4"/>
      <c r="V1372" s="4"/>
      <c r="W1372" s="4"/>
      <c r="X1372" s="4"/>
    </row>
    <row r="1373" spans="17:24" x14ac:dyDescent="0.3">
      <c r="Q1373" s="4"/>
      <c r="R1373" s="4"/>
      <c r="S1373" s="4"/>
      <c r="T1373" s="4"/>
      <c r="U1373" s="4"/>
      <c r="V1373" s="4"/>
      <c r="W1373" s="4"/>
      <c r="X1373" s="4"/>
    </row>
    <row r="1374" spans="17:24" x14ac:dyDescent="0.3">
      <c r="Q1374" s="4"/>
      <c r="R1374" s="4"/>
      <c r="S1374" s="4"/>
      <c r="T1374" s="4"/>
      <c r="U1374" s="4"/>
      <c r="V1374" s="4"/>
      <c r="W1374" s="4"/>
      <c r="X1374" s="4"/>
    </row>
    <row r="1375" spans="17:24" x14ac:dyDescent="0.3">
      <c r="Q1375" s="4"/>
      <c r="R1375" s="4"/>
      <c r="S1375" s="4"/>
      <c r="T1375" s="4"/>
      <c r="U1375" s="4"/>
      <c r="V1375" s="4"/>
      <c r="W1375" s="4"/>
      <c r="X1375" s="4"/>
    </row>
    <row r="1376" spans="17:24" x14ac:dyDescent="0.3">
      <c r="Q1376" s="4"/>
      <c r="R1376" s="4"/>
      <c r="S1376" s="4"/>
      <c r="T1376" s="4"/>
      <c r="U1376" s="4"/>
      <c r="V1376" s="4"/>
      <c r="W1376" s="4"/>
      <c r="X1376" s="4"/>
    </row>
    <row r="1377" spans="17:24" x14ac:dyDescent="0.3">
      <c r="Q1377" s="4"/>
      <c r="R1377" s="4"/>
      <c r="S1377" s="4"/>
      <c r="T1377" s="4"/>
      <c r="U1377" s="4"/>
      <c r="V1377" s="4"/>
      <c r="W1377" s="4"/>
      <c r="X1377" s="4"/>
    </row>
    <row r="1378" spans="17:24" x14ac:dyDescent="0.3">
      <c r="Q1378" s="4"/>
      <c r="R1378" s="4"/>
      <c r="S1378" s="4"/>
      <c r="T1378" s="4"/>
      <c r="U1378" s="4"/>
      <c r="V1378" s="4"/>
      <c r="W1378" s="4"/>
      <c r="X1378" s="4"/>
    </row>
    <row r="1379" spans="17:24" x14ac:dyDescent="0.3">
      <c r="Q1379" s="4"/>
      <c r="R1379" s="4"/>
      <c r="S1379" s="4"/>
      <c r="T1379" s="4"/>
      <c r="U1379" s="4"/>
      <c r="V1379" s="4"/>
      <c r="W1379" s="4"/>
      <c r="X1379" s="4"/>
    </row>
    <row r="1380" spans="17:24" x14ac:dyDescent="0.3">
      <c r="Q1380" s="4"/>
      <c r="R1380" s="4"/>
      <c r="S1380" s="4"/>
      <c r="T1380" s="4"/>
      <c r="U1380" s="4"/>
      <c r="V1380" s="4"/>
      <c r="W1380" s="4"/>
      <c r="X1380" s="4"/>
    </row>
    <row r="1381" spans="17:24" x14ac:dyDescent="0.3">
      <c r="Q1381" s="4"/>
      <c r="R1381" s="4"/>
      <c r="S1381" s="4"/>
      <c r="T1381" s="4"/>
      <c r="U1381" s="4"/>
      <c r="V1381" s="4"/>
      <c r="W1381" s="4"/>
      <c r="X1381" s="4"/>
    </row>
    <row r="1382" spans="17:24" x14ac:dyDescent="0.3">
      <c r="Q1382" s="4"/>
      <c r="R1382" s="4"/>
      <c r="S1382" s="4"/>
      <c r="T1382" s="4"/>
      <c r="U1382" s="4"/>
      <c r="V1382" s="4"/>
      <c r="W1382" s="4"/>
      <c r="X1382" s="4"/>
    </row>
    <row r="1383" spans="17:24" x14ac:dyDescent="0.3">
      <c r="Q1383" s="4"/>
      <c r="R1383" s="4"/>
      <c r="S1383" s="4"/>
      <c r="T1383" s="4"/>
      <c r="U1383" s="4"/>
      <c r="V1383" s="4"/>
      <c r="W1383" s="4"/>
      <c r="X1383" s="4"/>
    </row>
    <row r="1384" spans="17:24" x14ac:dyDescent="0.3">
      <c r="Q1384" s="4"/>
      <c r="R1384" s="4"/>
      <c r="S1384" s="4"/>
      <c r="T1384" s="4"/>
      <c r="U1384" s="4"/>
      <c r="V1384" s="4"/>
      <c r="W1384" s="4"/>
      <c r="X1384" s="4"/>
    </row>
    <row r="1385" spans="17:24" x14ac:dyDescent="0.3">
      <c r="Q1385" s="4"/>
      <c r="R1385" s="4"/>
      <c r="S1385" s="4"/>
      <c r="T1385" s="4"/>
      <c r="U1385" s="4"/>
      <c r="V1385" s="4"/>
      <c r="W1385" s="4"/>
      <c r="X1385" s="4"/>
    </row>
    <row r="1386" spans="17:24" x14ac:dyDescent="0.3">
      <c r="Q1386" s="4"/>
      <c r="R1386" s="4"/>
      <c r="S1386" s="4"/>
      <c r="T1386" s="4"/>
      <c r="U1386" s="4"/>
      <c r="V1386" s="4"/>
      <c r="W1386" s="4"/>
      <c r="X1386" s="4"/>
    </row>
    <row r="1387" spans="17:24" x14ac:dyDescent="0.3">
      <c r="Q1387" s="4"/>
      <c r="R1387" s="4"/>
      <c r="S1387" s="4"/>
      <c r="T1387" s="4"/>
      <c r="U1387" s="4"/>
      <c r="V1387" s="4"/>
      <c r="W1387" s="4"/>
      <c r="X1387" s="4"/>
    </row>
    <row r="1388" spans="17:24" x14ac:dyDescent="0.3">
      <c r="Q1388" s="4"/>
      <c r="R1388" s="4"/>
      <c r="S1388" s="4"/>
      <c r="T1388" s="4"/>
      <c r="U1388" s="4"/>
      <c r="V1388" s="4"/>
      <c r="W1388" s="4"/>
      <c r="X1388" s="4"/>
    </row>
    <row r="1389" spans="17:24" x14ac:dyDescent="0.3">
      <c r="Q1389" s="4"/>
      <c r="R1389" s="4"/>
      <c r="S1389" s="4"/>
      <c r="T1389" s="4"/>
      <c r="U1389" s="4"/>
      <c r="V1389" s="4"/>
      <c r="W1389" s="4"/>
      <c r="X1389" s="4"/>
    </row>
    <row r="1390" spans="17:24" x14ac:dyDescent="0.3">
      <c r="Q1390" s="4"/>
      <c r="R1390" s="4"/>
      <c r="S1390" s="4"/>
      <c r="T1390" s="4"/>
      <c r="U1390" s="4"/>
      <c r="V1390" s="4"/>
      <c r="W1390" s="4"/>
      <c r="X1390" s="4"/>
    </row>
    <row r="1391" spans="17:24" x14ac:dyDescent="0.3">
      <c r="Q1391" s="4"/>
      <c r="R1391" s="4"/>
      <c r="S1391" s="4"/>
      <c r="T1391" s="4"/>
      <c r="U1391" s="4"/>
      <c r="V1391" s="4"/>
      <c r="W1391" s="4"/>
      <c r="X1391" s="4"/>
    </row>
    <row r="1392" spans="17:24" x14ac:dyDescent="0.3">
      <c r="Q1392" s="4"/>
      <c r="R1392" s="4"/>
      <c r="S1392" s="4"/>
      <c r="T1392" s="4"/>
      <c r="U1392" s="4"/>
      <c r="V1392" s="4"/>
      <c r="W1392" s="4"/>
      <c r="X1392" s="4"/>
    </row>
    <row r="1393" spans="17:24" x14ac:dyDescent="0.3">
      <c r="Q1393" s="4"/>
      <c r="R1393" s="4"/>
      <c r="S1393" s="4"/>
      <c r="T1393" s="4"/>
      <c r="U1393" s="4"/>
      <c r="V1393" s="4"/>
      <c r="W1393" s="4"/>
      <c r="X1393" s="4"/>
    </row>
    <row r="1394" spans="17:24" x14ac:dyDescent="0.3">
      <c r="Q1394" s="4"/>
      <c r="R1394" s="4"/>
      <c r="S1394" s="4"/>
      <c r="T1394" s="4"/>
      <c r="U1394" s="4"/>
      <c r="V1394" s="4"/>
      <c r="W1394" s="4"/>
      <c r="X1394" s="4"/>
    </row>
    <row r="1395" spans="17:24" x14ac:dyDescent="0.3">
      <c r="Q1395" s="4"/>
      <c r="R1395" s="4"/>
      <c r="S1395" s="4"/>
      <c r="T1395" s="4"/>
      <c r="U1395" s="4"/>
      <c r="V1395" s="4"/>
      <c r="W1395" s="4"/>
      <c r="X1395" s="4"/>
    </row>
    <row r="1396" spans="17:24" x14ac:dyDescent="0.3">
      <c r="Q1396" s="4"/>
      <c r="R1396" s="4"/>
      <c r="S1396" s="4"/>
      <c r="T1396" s="4"/>
      <c r="U1396" s="4"/>
      <c r="V1396" s="4"/>
      <c r="W1396" s="4"/>
      <c r="X1396" s="4"/>
    </row>
    <row r="1397" spans="17:24" x14ac:dyDescent="0.3">
      <c r="Q1397" s="4"/>
      <c r="R1397" s="4"/>
      <c r="S1397" s="4"/>
      <c r="T1397" s="4"/>
      <c r="U1397" s="4"/>
      <c r="V1397" s="4"/>
      <c r="W1397" s="4"/>
      <c r="X1397" s="4"/>
    </row>
    <row r="1398" spans="17:24" x14ac:dyDescent="0.3">
      <c r="Q1398" s="4"/>
      <c r="R1398" s="4"/>
      <c r="S1398" s="4"/>
      <c r="T1398" s="4"/>
      <c r="U1398" s="4"/>
      <c r="V1398" s="4"/>
      <c r="W1398" s="4"/>
      <c r="X1398" s="4"/>
    </row>
    <row r="1399" spans="17:24" x14ac:dyDescent="0.3">
      <c r="Q1399" s="4"/>
      <c r="R1399" s="4"/>
      <c r="S1399" s="4"/>
      <c r="T1399" s="4"/>
      <c r="U1399" s="4"/>
      <c r="V1399" s="4"/>
      <c r="W1399" s="4"/>
      <c r="X1399" s="4"/>
    </row>
    <row r="1400" spans="17:24" x14ac:dyDescent="0.3">
      <c r="Q1400" s="4"/>
      <c r="R1400" s="4"/>
      <c r="S1400" s="4"/>
      <c r="T1400" s="4"/>
      <c r="U1400" s="4"/>
      <c r="V1400" s="4"/>
      <c r="W1400" s="4"/>
      <c r="X1400" s="4"/>
    </row>
    <row r="1401" spans="17:24" x14ac:dyDescent="0.3">
      <c r="Q1401" s="4"/>
      <c r="R1401" s="4"/>
      <c r="S1401" s="4"/>
      <c r="T1401" s="4"/>
      <c r="U1401" s="4"/>
      <c r="V1401" s="4"/>
      <c r="W1401" s="4"/>
      <c r="X1401" s="4"/>
    </row>
    <row r="1402" spans="17:24" x14ac:dyDescent="0.3">
      <c r="Q1402" s="4"/>
      <c r="R1402" s="4"/>
      <c r="S1402" s="4"/>
      <c r="T1402" s="4"/>
      <c r="U1402" s="4"/>
      <c r="V1402" s="4"/>
      <c r="W1402" s="4"/>
      <c r="X1402" s="4"/>
    </row>
    <row r="1403" spans="17:24" x14ac:dyDescent="0.3">
      <c r="Q1403" s="4"/>
      <c r="R1403" s="4"/>
      <c r="S1403" s="4"/>
      <c r="T1403" s="4"/>
      <c r="U1403" s="4"/>
      <c r="V1403" s="4"/>
      <c r="W1403" s="4"/>
      <c r="X1403" s="4"/>
    </row>
    <row r="1404" spans="17:24" x14ac:dyDescent="0.3">
      <c r="Q1404" s="4"/>
      <c r="R1404" s="4"/>
      <c r="S1404" s="4"/>
      <c r="T1404" s="4"/>
      <c r="U1404" s="4"/>
      <c r="V1404" s="4"/>
      <c r="W1404" s="4"/>
      <c r="X1404" s="4"/>
    </row>
    <row r="1405" spans="17:24" x14ac:dyDescent="0.3">
      <c r="Q1405" s="4"/>
      <c r="R1405" s="4"/>
      <c r="S1405" s="4"/>
      <c r="T1405" s="4"/>
      <c r="U1405" s="4"/>
      <c r="V1405" s="4"/>
      <c r="W1405" s="4"/>
      <c r="X1405" s="4"/>
    </row>
    <row r="1406" spans="17:24" x14ac:dyDescent="0.3">
      <c r="Q1406" s="4"/>
      <c r="R1406" s="4"/>
      <c r="S1406" s="4"/>
      <c r="T1406" s="4"/>
      <c r="U1406" s="4"/>
      <c r="V1406" s="4"/>
      <c r="W1406" s="4"/>
      <c r="X1406" s="4"/>
    </row>
    <row r="1407" spans="17:24" x14ac:dyDescent="0.3">
      <c r="Q1407" s="4"/>
      <c r="R1407" s="4"/>
      <c r="S1407" s="4"/>
      <c r="T1407" s="4"/>
      <c r="U1407" s="4"/>
      <c r="V1407" s="4"/>
      <c r="W1407" s="4"/>
      <c r="X1407" s="4"/>
    </row>
    <row r="1408" spans="17:24" x14ac:dyDescent="0.3">
      <c r="Q1408" s="4"/>
      <c r="R1408" s="4"/>
      <c r="S1408" s="4"/>
      <c r="T1408" s="4"/>
      <c r="U1408" s="4"/>
      <c r="V1408" s="4"/>
      <c r="W1408" s="4"/>
      <c r="X1408" s="4"/>
    </row>
    <row r="1409" spans="17:24" x14ac:dyDescent="0.3">
      <c r="Q1409" s="4"/>
      <c r="R1409" s="4"/>
      <c r="S1409" s="4"/>
      <c r="T1409" s="4"/>
      <c r="U1409" s="4"/>
      <c r="V1409" s="4"/>
      <c r="W1409" s="4"/>
      <c r="X1409" s="4"/>
    </row>
    <row r="1410" spans="17:24" x14ac:dyDescent="0.3">
      <c r="Q1410" s="4"/>
      <c r="R1410" s="4"/>
      <c r="S1410" s="4"/>
      <c r="T1410" s="4"/>
      <c r="U1410" s="4"/>
      <c r="V1410" s="4"/>
      <c r="W1410" s="4"/>
      <c r="X1410" s="4"/>
    </row>
    <row r="1411" spans="17:24" x14ac:dyDescent="0.3">
      <c r="Q1411" s="4"/>
      <c r="R1411" s="4"/>
      <c r="S1411" s="4"/>
      <c r="T1411" s="4"/>
      <c r="U1411" s="4"/>
      <c r="V1411" s="4"/>
      <c r="W1411" s="4"/>
      <c r="X1411" s="4"/>
    </row>
    <row r="1412" spans="17:24" x14ac:dyDescent="0.3">
      <c r="Q1412" s="4"/>
      <c r="R1412" s="4"/>
      <c r="S1412" s="4"/>
      <c r="T1412" s="4"/>
      <c r="U1412" s="4"/>
      <c r="V1412" s="4"/>
      <c r="W1412" s="4"/>
      <c r="X1412" s="4"/>
    </row>
    <row r="1413" spans="17:24" x14ac:dyDescent="0.3">
      <c r="Q1413" s="4"/>
      <c r="R1413" s="4"/>
      <c r="S1413" s="4"/>
      <c r="T1413" s="4"/>
      <c r="U1413" s="4"/>
      <c r="V1413" s="4"/>
      <c r="W1413" s="4"/>
      <c r="X1413" s="4"/>
    </row>
    <row r="1414" spans="17:24" x14ac:dyDescent="0.3">
      <c r="Q1414" s="4"/>
      <c r="R1414" s="4"/>
      <c r="S1414" s="4"/>
      <c r="T1414" s="4"/>
      <c r="U1414" s="4"/>
      <c r="V1414" s="4"/>
      <c r="W1414" s="4"/>
      <c r="X1414" s="4"/>
    </row>
    <row r="1415" spans="17:24" x14ac:dyDescent="0.3">
      <c r="Q1415" s="4"/>
      <c r="R1415" s="4"/>
      <c r="S1415" s="4"/>
      <c r="T1415" s="4"/>
      <c r="U1415" s="4"/>
      <c r="V1415" s="4"/>
      <c r="W1415" s="4"/>
      <c r="X1415" s="4"/>
    </row>
    <row r="1416" spans="17:24" x14ac:dyDescent="0.3">
      <c r="Q1416" s="4"/>
      <c r="R1416" s="4"/>
      <c r="S1416" s="4"/>
      <c r="T1416" s="4"/>
      <c r="U1416" s="4"/>
      <c r="V1416" s="4"/>
      <c r="W1416" s="4"/>
      <c r="X1416" s="4"/>
    </row>
    <row r="1417" spans="17:24" x14ac:dyDescent="0.3">
      <c r="Q1417" s="4"/>
      <c r="R1417" s="4"/>
      <c r="S1417" s="4"/>
      <c r="T1417" s="4"/>
      <c r="U1417" s="4"/>
      <c r="V1417" s="4"/>
      <c r="W1417" s="4"/>
      <c r="X1417" s="4"/>
    </row>
    <row r="1418" spans="17:24" x14ac:dyDescent="0.3">
      <c r="Q1418" s="4"/>
      <c r="R1418" s="4"/>
      <c r="S1418" s="4"/>
      <c r="T1418" s="4"/>
      <c r="U1418" s="4"/>
      <c r="V1418" s="4"/>
      <c r="W1418" s="4"/>
      <c r="X1418" s="4"/>
    </row>
    <row r="1419" spans="17:24" x14ac:dyDescent="0.3">
      <c r="Q1419" s="4"/>
      <c r="R1419" s="4"/>
      <c r="S1419" s="4"/>
      <c r="T1419" s="4"/>
      <c r="U1419" s="4"/>
      <c r="V1419" s="4"/>
      <c r="W1419" s="4"/>
      <c r="X1419" s="4"/>
    </row>
    <row r="1420" spans="17:24" x14ac:dyDescent="0.3">
      <c r="Q1420" s="4"/>
      <c r="R1420" s="4"/>
      <c r="S1420" s="4"/>
      <c r="T1420" s="4"/>
      <c r="U1420" s="4"/>
      <c r="V1420" s="4"/>
      <c r="W1420" s="4"/>
      <c r="X1420" s="4"/>
    </row>
    <row r="1421" spans="17:24" x14ac:dyDescent="0.3">
      <c r="Q1421" s="4"/>
      <c r="R1421" s="4"/>
      <c r="S1421" s="4"/>
      <c r="T1421" s="4"/>
      <c r="U1421" s="4"/>
      <c r="V1421" s="4"/>
      <c r="W1421" s="4"/>
      <c r="X1421" s="4"/>
    </row>
    <row r="1422" spans="17:24" x14ac:dyDescent="0.3">
      <c r="Q1422" s="4"/>
      <c r="R1422" s="4"/>
      <c r="S1422" s="4"/>
      <c r="T1422" s="4"/>
      <c r="U1422" s="4"/>
      <c r="V1422" s="4"/>
      <c r="W1422" s="4"/>
      <c r="X1422" s="4"/>
    </row>
    <row r="1423" spans="17:24" x14ac:dyDescent="0.3">
      <c r="Q1423" s="4"/>
      <c r="R1423" s="4"/>
      <c r="S1423" s="4"/>
      <c r="T1423" s="4"/>
      <c r="U1423" s="4"/>
      <c r="V1423" s="4"/>
      <c r="W1423" s="4"/>
      <c r="X1423" s="4"/>
    </row>
    <row r="1424" spans="17:24" x14ac:dyDescent="0.3">
      <c r="Q1424" s="4"/>
      <c r="R1424" s="4"/>
      <c r="S1424" s="4"/>
      <c r="T1424" s="4"/>
      <c r="U1424" s="4"/>
      <c r="V1424" s="4"/>
      <c r="W1424" s="4"/>
      <c r="X1424" s="4"/>
    </row>
    <row r="1425" spans="17:24" x14ac:dyDescent="0.3">
      <c r="Q1425" s="4"/>
      <c r="R1425" s="4"/>
      <c r="S1425" s="4"/>
      <c r="T1425" s="4"/>
      <c r="U1425" s="4"/>
      <c r="V1425" s="4"/>
      <c r="W1425" s="4"/>
      <c r="X1425" s="4"/>
    </row>
    <row r="1426" spans="17:24" x14ac:dyDescent="0.3">
      <c r="Q1426" s="4"/>
      <c r="R1426" s="4"/>
      <c r="S1426" s="4"/>
      <c r="T1426" s="4"/>
      <c r="U1426" s="4"/>
      <c r="V1426" s="4"/>
      <c r="W1426" s="4"/>
      <c r="X1426" s="4"/>
    </row>
    <row r="1427" spans="17:24" x14ac:dyDescent="0.3">
      <c r="Q1427" s="4"/>
      <c r="R1427" s="4"/>
      <c r="S1427" s="4"/>
      <c r="T1427" s="4"/>
      <c r="U1427" s="4"/>
      <c r="V1427" s="4"/>
      <c r="W1427" s="4"/>
      <c r="X1427" s="4"/>
    </row>
    <row r="1428" spans="17:24" x14ac:dyDescent="0.3">
      <c r="Q1428" s="4"/>
      <c r="R1428" s="4"/>
      <c r="S1428" s="4"/>
      <c r="T1428" s="4"/>
      <c r="U1428" s="4"/>
      <c r="V1428" s="4"/>
      <c r="W1428" s="4"/>
      <c r="X1428" s="4"/>
    </row>
    <row r="1429" spans="17:24" x14ac:dyDescent="0.3">
      <c r="Q1429" s="4"/>
      <c r="R1429" s="4"/>
      <c r="S1429" s="4"/>
      <c r="T1429" s="4"/>
      <c r="U1429" s="4"/>
      <c r="V1429" s="4"/>
      <c r="W1429" s="4"/>
      <c r="X1429" s="4"/>
    </row>
    <row r="1430" spans="17:24" x14ac:dyDescent="0.3">
      <c r="Q1430" s="4"/>
      <c r="R1430" s="4"/>
      <c r="S1430" s="4"/>
      <c r="T1430" s="4"/>
      <c r="U1430" s="4"/>
      <c r="V1430" s="4"/>
      <c r="W1430" s="4"/>
      <c r="X1430" s="4"/>
    </row>
    <row r="1431" spans="17:24" x14ac:dyDescent="0.3">
      <c r="Q1431" s="4"/>
      <c r="R1431" s="4"/>
      <c r="S1431" s="4"/>
      <c r="T1431" s="4"/>
      <c r="U1431" s="4"/>
      <c r="V1431" s="4"/>
      <c r="W1431" s="4"/>
      <c r="X1431" s="4"/>
    </row>
    <row r="1432" spans="17:24" x14ac:dyDescent="0.3">
      <c r="Q1432" s="4"/>
      <c r="R1432" s="4"/>
      <c r="S1432" s="4"/>
      <c r="T1432" s="4"/>
      <c r="U1432" s="4"/>
      <c r="V1432" s="4"/>
      <c r="W1432" s="4"/>
      <c r="X1432" s="4"/>
    </row>
    <row r="1433" spans="17:24" x14ac:dyDescent="0.3">
      <c r="Q1433" s="4"/>
      <c r="R1433" s="4"/>
      <c r="S1433" s="4"/>
      <c r="T1433" s="4"/>
      <c r="U1433" s="4"/>
      <c r="V1433" s="4"/>
      <c r="W1433" s="4"/>
      <c r="X1433" s="4"/>
    </row>
    <row r="1434" spans="17:24" x14ac:dyDescent="0.3">
      <c r="Q1434" s="4"/>
      <c r="R1434" s="4"/>
      <c r="S1434" s="4"/>
      <c r="T1434" s="4"/>
      <c r="U1434" s="4"/>
      <c r="V1434" s="4"/>
      <c r="W1434" s="4"/>
      <c r="X1434" s="4"/>
    </row>
    <row r="1435" spans="17:24" x14ac:dyDescent="0.3">
      <c r="Q1435" s="4"/>
      <c r="R1435" s="4"/>
      <c r="S1435" s="4"/>
      <c r="T1435" s="4"/>
      <c r="U1435" s="4"/>
      <c r="V1435" s="4"/>
      <c r="W1435" s="4"/>
      <c r="X1435" s="4"/>
    </row>
    <row r="1436" spans="17:24" x14ac:dyDescent="0.3">
      <c r="Q1436" s="4"/>
      <c r="R1436" s="4"/>
      <c r="S1436" s="4"/>
      <c r="T1436" s="4"/>
      <c r="U1436" s="4"/>
      <c r="V1436" s="4"/>
      <c r="W1436" s="4"/>
      <c r="X1436" s="4"/>
    </row>
    <row r="1437" spans="17:24" x14ac:dyDescent="0.3">
      <c r="Q1437" s="4"/>
      <c r="R1437" s="4"/>
      <c r="S1437" s="4"/>
      <c r="T1437" s="4"/>
      <c r="U1437" s="4"/>
      <c r="V1437" s="4"/>
      <c r="W1437" s="4"/>
      <c r="X1437" s="4"/>
    </row>
    <row r="1438" spans="17:24" x14ac:dyDescent="0.3">
      <c r="Q1438" s="4"/>
      <c r="R1438" s="4"/>
      <c r="S1438" s="4"/>
      <c r="T1438" s="4"/>
      <c r="U1438" s="4"/>
      <c r="V1438" s="4"/>
      <c r="W1438" s="4"/>
      <c r="X1438" s="4"/>
    </row>
    <row r="1439" spans="17:24" x14ac:dyDescent="0.3">
      <c r="Q1439" s="4"/>
      <c r="R1439" s="4"/>
      <c r="S1439" s="4"/>
      <c r="T1439" s="4"/>
      <c r="U1439" s="4"/>
      <c r="V1439" s="4"/>
      <c r="W1439" s="4"/>
      <c r="X1439" s="4"/>
    </row>
    <row r="1440" spans="17:24" x14ac:dyDescent="0.3">
      <c r="Q1440" s="4"/>
      <c r="R1440" s="4"/>
      <c r="S1440" s="4"/>
      <c r="T1440" s="4"/>
      <c r="U1440" s="4"/>
      <c r="V1440" s="4"/>
      <c r="W1440" s="4"/>
      <c r="X1440" s="4"/>
    </row>
    <row r="1441" spans="17:24" x14ac:dyDescent="0.3">
      <c r="Q1441" s="4"/>
      <c r="R1441" s="4"/>
      <c r="S1441" s="4"/>
      <c r="T1441" s="4"/>
      <c r="U1441" s="4"/>
      <c r="V1441" s="4"/>
      <c r="W1441" s="4"/>
      <c r="X1441" s="4"/>
    </row>
    <row r="1442" spans="17:24" x14ac:dyDescent="0.3">
      <c r="Q1442" s="4"/>
      <c r="R1442" s="4"/>
      <c r="S1442" s="4"/>
      <c r="T1442" s="4"/>
      <c r="U1442" s="4"/>
      <c r="V1442" s="4"/>
      <c r="W1442" s="4"/>
      <c r="X1442" s="4"/>
    </row>
    <row r="1443" spans="17:24" x14ac:dyDescent="0.3">
      <c r="Q1443" s="4"/>
      <c r="R1443" s="4"/>
      <c r="S1443" s="4"/>
      <c r="T1443" s="4"/>
      <c r="U1443" s="4"/>
      <c r="V1443" s="4"/>
      <c r="W1443" s="4"/>
      <c r="X1443" s="4"/>
    </row>
    <row r="1444" spans="17:24" x14ac:dyDescent="0.3">
      <c r="Q1444" s="4"/>
      <c r="R1444" s="4"/>
      <c r="S1444" s="4"/>
      <c r="T1444" s="4"/>
      <c r="U1444" s="4"/>
      <c r="V1444" s="4"/>
      <c r="W1444" s="4"/>
      <c r="X1444" s="4"/>
    </row>
    <row r="1445" spans="17:24" x14ac:dyDescent="0.3">
      <c r="Q1445" s="4"/>
      <c r="R1445" s="4"/>
      <c r="S1445" s="4"/>
      <c r="T1445" s="4"/>
      <c r="U1445" s="4"/>
      <c r="V1445" s="4"/>
      <c r="W1445" s="4"/>
      <c r="X1445" s="4"/>
    </row>
    <row r="1446" spans="17:24" x14ac:dyDescent="0.3">
      <c r="Q1446" s="4"/>
      <c r="R1446" s="4"/>
      <c r="S1446" s="4"/>
      <c r="T1446" s="4"/>
      <c r="U1446" s="4"/>
      <c r="V1446" s="4"/>
      <c r="W1446" s="4"/>
      <c r="X1446" s="4"/>
    </row>
    <row r="1447" spans="17:24" x14ac:dyDescent="0.3">
      <c r="Q1447" s="4"/>
      <c r="R1447" s="4"/>
      <c r="S1447" s="4"/>
      <c r="T1447" s="4"/>
      <c r="U1447" s="4"/>
      <c r="V1447" s="4"/>
      <c r="W1447" s="4"/>
      <c r="X1447" s="4"/>
    </row>
    <row r="1448" spans="17:24" x14ac:dyDescent="0.3">
      <c r="Q1448" s="4"/>
      <c r="R1448" s="4"/>
      <c r="S1448" s="4"/>
      <c r="T1448" s="4"/>
      <c r="U1448" s="4"/>
      <c r="V1448" s="4"/>
      <c r="W1448" s="4"/>
      <c r="X1448" s="4"/>
    </row>
    <row r="1449" spans="17:24" x14ac:dyDescent="0.3">
      <c r="Q1449" s="4"/>
      <c r="R1449" s="4"/>
      <c r="S1449" s="4"/>
      <c r="T1449" s="4"/>
      <c r="U1449" s="4"/>
      <c r="V1449" s="4"/>
      <c r="W1449" s="4"/>
      <c r="X1449" s="4"/>
    </row>
    <row r="1450" spans="17:24" x14ac:dyDescent="0.3">
      <c r="Q1450" s="4"/>
      <c r="R1450" s="4"/>
      <c r="S1450" s="4"/>
      <c r="T1450" s="4"/>
      <c r="U1450" s="4"/>
      <c r="V1450" s="4"/>
      <c r="W1450" s="4"/>
      <c r="X1450" s="4"/>
    </row>
    <row r="1451" spans="17:24" x14ac:dyDescent="0.3">
      <c r="Q1451" s="4"/>
      <c r="R1451" s="4"/>
      <c r="S1451" s="4"/>
      <c r="T1451" s="4"/>
      <c r="U1451" s="4"/>
      <c r="V1451" s="4"/>
      <c r="W1451" s="4"/>
      <c r="X1451" s="4"/>
    </row>
    <row r="1452" spans="17:24" x14ac:dyDescent="0.3">
      <c r="Q1452" s="4"/>
      <c r="R1452" s="4"/>
      <c r="S1452" s="4"/>
      <c r="T1452" s="4"/>
      <c r="U1452" s="4"/>
      <c r="V1452" s="4"/>
      <c r="W1452" s="4"/>
      <c r="X1452" s="4"/>
    </row>
    <row r="1453" spans="17:24" x14ac:dyDescent="0.3">
      <c r="Q1453" s="4"/>
      <c r="R1453" s="4"/>
      <c r="S1453" s="4"/>
      <c r="T1453" s="4"/>
      <c r="U1453" s="4"/>
      <c r="V1453" s="4"/>
      <c r="W1453" s="4"/>
      <c r="X1453" s="4"/>
    </row>
    <row r="1454" spans="17:24" x14ac:dyDescent="0.3">
      <c r="Q1454" s="4"/>
      <c r="R1454" s="4"/>
      <c r="S1454" s="4"/>
      <c r="T1454" s="4"/>
      <c r="U1454" s="4"/>
      <c r="V1454" s="4"/>
      <c r="W1454" s="4"/>
      <c r="X1454" s="4"/>
    </row>
    <row r="1455" spans="17:24" x14ac:dyDescent="0.3">
      <c r="Q1455" s="4"/>
      <c r="R1455" s="4"/>
      <c r="S1455" s="4"/>
      <c r="T1455" s="4"/>
      <c r="U1455" s="4"/>
      <c r="V1455" s="4"/>
      <c r="W1455" s="4"/>
      <c r="X1455" s="4"/>
    </row>
    <row r="1456" spans="17:24" x14ac:dyDescent="0.3">
      <c r="Q1456" s="4"/>
      <c r="R1456" s="4"/>
      <c r="S1456" s="4"/>
      <c r="T1456" s="4"/>
      <c r="U1456" s="4"/>
      <c r="V1456" s="4"/>
      <c r="W1456" s="4"/>
      <c r="X1456" s="4"/>
    </row>
    <row r="1457" spans="17:24" x14ac:dyDescent="0.3">
      <c r="Q1457" s="4"/>
      <c r="R1457" s="4"/>
      <c r="S1457" s="4"/>
      <c r="T1457" s="4"/>
      <c r="U1457" s="4"/>
      <c r="V1457" s="4"/>
      <c r="W1457" s="4"/>
      <c r="X1457" s="4"/>
    </row>
    <row r="1458" spans="17:24" x14ac:dyDescent="0.3">
      <c r="Q1458" s="4"/>
      <c r="R1458" s="4"/>
      <c r="S1458" s="4"/>
      <c r="T1458" s="4"/>
      <c r="U1458" s="4"/>
      <c r="V1458" s="4"/>
      <c r="W1458" s="4"/>
      <c r="X1458" s="4"/>
    </row>
    <row r="1459" spans="17:24" x14ac:dyDescent="0.3">
      <c r="Q1459" s="4"/>
      <c r="R1459" s="4"/>
      <c r="S1459" s="4"/>
      <c r="T1459" s="4"/>
      <c r="U1459" s="4"/>
      <c r="V1459" s="4"/>
      <c r="W1459" s="4"/>
      <c r="X1459" s="4"/>
    </row>
    <row r="1460" spans="17:24" x14ac:dyDescent="0.3">
      <c r="Q1460" s="4"/>
      <c r="R1460" s="4"/>
      <c r="S1460" s="4"/>
      <c r="T1460" s="4"/>
      <c r="U1460" s="4"/>
      <c r="V1460" s="4"/>
      <c r="W1460" s="4"/>
      <c r="X1460" s="4"/>
    </row>
    <row r="1461" spans="17:24" x14ac:dyDescent="0.3">
      <c r="Q1461" s="4"/>
      <c r="R1461" s="4"/>
      <c r="S1461" s="4"/>
      <c r="T1461" s="4"/>
      <c r="U1461" s="4"/>
      <c r="V1461" s="4"/>
      <c r="W1461" s="4"/>
      <c r="X1461" s="4"/>
    </row>
    <row r="1462" spans="17:24" x14ac:dyDescent="0.3">
      <c r="Q1462" s="4"/>
      <c r="R1462" s="4"/>
      <c r="S1462" s="4"/>
      <c r="T1462" s="4"/>
      <c r="U1462" s="4"/>
      <c r="V1462" s="4"/>
      <c r="W1462" s="4"/>
      <c r="X1462" s="4"/>
    </row>
    <row r="1463" spans="17:24" x14ac:dyDescent="0.3">
      <c r="Q1463" s="4"/>
      <c r="R1463" s="4"/>
      <c r="S1463" s="4"/>
      <c r="T1463" s="4"/>
      <c r="U1463" s="4"/>
      <c r="V1463" s="4"/>
      <c r="W1463" s="4"/>
      <c r="X1463" s="4"/>
    </row>
    <row r="1464" spans="17:24" x14ac:dyDescent="0.3">
      <c r="Q1464" s="4"/>
      <c r="R1464" s="4"/>
      <c r="S1464" s="4"/>
      <c r="T1464" s="4"/>
      <c r="U1464" s="4"/>
      <c r="V1464" s="4"/>
      <c r="W1464" s="4"/>
      <c r="X1464" s="4"/>
    </row>
    <row r="1465" spans="17:24" x14ac:dyDescent="0.3">
      <c r="Q1465" s="4"/>
      <c r="R1465" s="4"/>
      <c r="S1465" s="4"/>
      <c r="T1465" s="4"/>
      <c r="U1465" s="4"/>
      <c r="V1465" s="4"/>
      <c r="W1465" s="4"/>
      <c r="X1465" s="4"/>
    </row>
    <row r="1466" spans="17:24" x14ac:dyDescent="0.3">
      <c r="Q1466" s="4"/>
      <c r="R1466" s="4"/>
      <c r="S1466" s="4"/>
      <c r="T1466" s="4"/>
      <c r="U1466" s="4"/>
      <c r="V1466" s="4"/>
      <c r="W1466" s="4"/>
      <c r="X1466" s="4"/>
    </row>
    <row r="1467" spans="17:24" x14ac:dyDescent="0.3">
      <c r="Q1467" s="4"/>
      <c r="R1467" s="4"/>
      <c r="S1467" s="4"/>
      <c r="T1467" s="4"/>
      <c r="U1467" s="4"/>
      <c r="V1467" s="4"/>
      <c r="W1467" s="4"/>
      <c r="X1467" s="4"/>
    </row>
    <row r="1468" spans="17:24" x14ac:dyDescent="0.3">
      <c r="Q1468" s="4"/>
      <c r="R1468" s="4"/>
      <c r="S1468" s="4"/>
      <c r="T1468" s="4"/>
      <c r="U1468" s="4"/>
      <c r="V1468" s="4"/>
      <c r="W1468" s="4"/>
      <c r="X1468" s="4"/>
    </row>
    <row r="1469" spans="17:24" x14ac:dyDescent="0.3">
      <c r="Q1469" s="4"/>
      <c r="R1469" s="4"/>
      <c r="S1469" s="4"/>
      <c r="T1469" s="4"/>
      <c r="U1469" s="4"/>
      <c r="V1469" s="4"/>
      <c r="W1469" s="4"/>
      <c r="X1469" s="4"/>
    </row>
    <row r="1470" spans="17:24" x14ac:dyDescent="0.3">
      <c r="Q1470" s="4"/>
      <c r="R1470" s="4"/>
      <c r="S1470" s="4"/>
      <c r="T1470" s="4"/>
      <c r="U1470" s="4"/>
      <c r="V1470" s="4"/>
      <c r="W1470" s="4"/>
      <c r="X1470" s="4"/>
    </row>
    <row r="1471" spans="17:24" x14ac:dyDescent="0.3">
      <c r="Q1471" s="4"/>
      <c r="R1471" s="4"/>
      <c r="S1471" s="4"/>
      <c r="T1471" s="4"/>
      <c r="U1471" s="4"/>
      <c r="V1471" s="4"/>
      <c r="W1471" s="4"/>
      <c r="X1471" s="4"/>
    </row>
    <row r="1472" spans="17:24" x14ac:dyDescent="0.3">
      <c r="Q1472" s="4"/>
      <c r="R1472" s="4"/>
      <c r="S1472" s="4"/>
      <c r="T1472" s="4"/>
      <c r="U1472" s="4"/>
      <c r="V1472" s="4"/>
      <c r="W1472" s="4"/>
      <c r="X1472" s="4"/>
    </row>
    <row r="1473" spans="17:24" x14ac:dyDescent="0.3">
      <c r="Q1473" s="4"/>
      <c r="R1473" s="4"/>
      <c r="S1473" s="4"/>
      <c r="T1473" s="4"/>
      <c r="U1473" s="4"/>
      <c r="V1473" s="4"/>
      <c r="W1473" s="4"/>
      <c r="X1473" s="4"/>
    </row>
    <row r="1474" spans="17:24" x14ac:dyDescent="0.3">
      <c r="Q1474" s="4"/>
      <c r="R1474" s="4"/>
      <c r="S1474" s="4"/>
      <c r="T1474" s="4"/>
      <c r="U1474" s="4"/>
      <c r="V1474" s="4"/>
      <c r="W1474" s="4"/>
      <c r="X1474" s="4"/>
    </row>
    <row r="1475" spans="17:24" x14ac:dyDescent="0.3">
      <c r="Q1475" s="4"/>
      <c r="R1475" s="4"/>
      <c r="S1475" s="4"/>
      <c r="T1475" s="4"/>
      <c r="U1475" s="4"/>
      <c r="V1475" s="4"/>
      <c r="W1475" s="4"/>
      <c r="X1475" s="4"/>
    </row>
    <row r="1476" spans="17:24" x14ac:dyDescent="0.3">
      <c r="Q1476" s="4"/>
      <c r="R1476" s="4"/>
      <c r="S1476" s="4"/>
      <c r="T1476" s="4"/>
      <c r="U1476" s="4"/>
      <c r="V1476" s="4"/>
      <c r="W1476" s="4"/>
      <c r="X1476" s="4"/>
    </row>
    <row r="1477" spans="17:24" x14ac:dyDescent="0.3">
      <c r="Q1477" s="4"/>
      <c r="R1477" s="4"/>
      <c r="S1477" s="4"/>
      <c r="T1477" s="4"/>
      <c r="U1477" s="4"/>
      <c r="V1477" s="4"/>
      <c r="W1477" s="4"/>
      <c r="X1477" s="4"/>
    </row>
    <row r="1478" spans="17:24" x14ac:dyDescent="0.3">
      <c r="Q1478" s="4"/>
      <c r="R1478" s="4"/>
      <c r="S1478" s="4"/>
      <c r="T1478" s="4"/>
      <c r="U1478" s="4"/>
      <c r="V1478" s="4"/>
      <c r="W1478" s="4"/>
      <c r="X1478" s="4"/>
    </row>
    <row r="1479" spans="17:24" x14ac:dyDescent="0.3">
      <c r="Q1479" s="4"/>
      <c r="R1479" s="4"/>
      <c r="S1479" s="4"/>
      <c r="T1479" s="4"/>
      <c r="U1479" s="4"/>
      <c r="V1479" s="4"/>
      <c r="W1479" s="4"/>
      <c r="X1479" s="4"/>
    </row>
    <row r="1480" spans="17:24" x14ac:dyDescent="0.3">
      <c r="Q1480" s="4"/>
      <c r="R1480" s="4"/>
      <c r="S1480" s="4"/>
      <c r="T1480" s="4"/>
      <c r="U1480" s="4"/>
      <c r="V1480" s="4"/>
      <c r="W1480" s="4"/>
      <c r="X1480" s="4"/>
    </row>
    <row r="1481" spans="17:24" x14ac:dyDescent="0.3">
      <c r="Q1481" s="4"/>
      <c r="R1481" s="4"/>
      <c r="S1481" s="4"/>
      <c r="T1481" s="4"/>
      <c r="U1481" s="4"/>
      <c r="V1481" s="4"/>
      <c r="W1481" s="4"/>
      <c r="X1481" s="4"/>
    </row>
    <row r="1482" spans="17:24" x14ac:dyDescent="0.3">
      <c r="Q1482" s="4"/>
      <c r="R1482" s="4"/>
      <c r="S1482" s="4"/>
      <c r="T1482" s="4"/>
      <c r="U1482" s="4"/>
      <c r="V1482" s="4"/>
      <c r="W1482" s="4"/>
      <c r="X1482" s="4"/>
    </row>
    <row r="1483" spans="17:24" x14ac:dyDescent="0.3">
      <c r="Q1483" s="4"/>
      <c r="R1483" s="4"/>
      <c r="S1483" s="4"/>
      <c r="T1483" s="4"/>
      <c r="U1483" s="4"/>
      <c r="V1483" s="4"/>
      <c r="W1483" s="4"/>
      <c r="X1483" s="4"/>
    </row>
    <row r="1484" spans="17:24" x14ac:dyDescent="0.3">
      <c r="Q1484" s="4"/>
      <c r="R1484" s="4"/>
      <c r="S1484" s="4"/>
      <c r="T1484" s="4"/>
      <c r="U1484" s="4"/>
      <c r="V1484" s="4"/>
      <c r="W1484" s="4"/>
      <c r="X1484" s="4"/>
    </row>
    <row r="1485" spans="17:24" x14ac:dyDescent="0.3">
      <c r="Q1485" s="4"/>
      <c r="R1485" s="4"/>
      <c r="S1485" s="4"/>
      <c r="T1485" s="4"/>
      <c r="U1485" s="4"/>
      <c r="V1485" s="4"/>
      <c r="W1485" s="4"/>
      <c r="X1485" s="4"/>
    </row>
    <row r="1486" spans="17:24" x14ac:dyDescent="0.3">
      <c r="Q1486" s="4"/>
      <c r="R1486" s="4"/>
      <c r="S1486" s="4"/>
      <c r="T1486" s="4"/>
      <c r="U1486" s="4"/>
      <c r="V1486" s="4"/>
      <c r="W1486" s="4"/>
      <c r="X1486" s="4"/>
    </row>
    <row r="1487" spans="17:24" x14ac:dyDescent="0.3">
      <c r="Q1487" s="4"/>
      <c r="R1487" s="4"/>
      <c r="S1487" s="4"/>
      <c r="T1487" s="4"/>
      <c r="U1487" s="4"/>
      <c r="V1487" s="4"/>
      <c r="W1487" s="4"/>
      <c r="X1487" s="4"/>
    </row>
    <row r="1488" spans="17:24" x14ac:dyDescent="0.3">
      <c r="Q1488" s="4"/>
      <c r="R1488" s="4"/>
      <c r="S1488" s="4"/>
      <c r="T1488" s="4"/>
      <c r="U1488" s="4"/>
      <c r="V1488" s="4"/>
      <c r="W1488" s="4"/>
      <c r="X1488" s="4"/>
    </row>
    <row r="1489" spans="17:24" x14ac:dyDescent="0.3">
      <c r="Q1489" s="4"/>
      <c r="R1489" s="4"/>
      <c r="S1489" s="4"/>
      <c r="T1489" s="4"/>
      <c r="U1489" s="4"/>
      <c r="V1489" s="4"/>
      <c r="W1489" s="4"/>
      <c r="X1489" s="4"/>
    </row>
    <row r="1490" spans="17:24" x14ac:dyDescent="0.3">
      <c r="Q1490" s="4"/>
      <c r="R1490" s="4"/>
      <c r="S1490" s="4"/>
      <c r="T1490" s="4"/>
      <c r="U1490" s="4"/>
      <c r="V1490" s="4"/>
      <c r="W1490" s="4"/>
      <c r="X1490" s="4"/>
    </row>
    <row r="1491" spans="17:24" x14ac:dyDescent="0.3">
      <c r="Q1491" s="4"/>
      <c r="R1491" s="4"/>
      <c r="S1491" s="4"/>
      <c r="T1491" s="4"/>
      <c r="U1491" s="4"/>
      <c r="V1491" s="4"/>
      <c r="W1491" s="4"/>
      <c r="X1491" s="4"/>
    </row>
    <row r="1492" spans="17:24" x14ac:dyDescent="0.3">
      <c r="Q1492" s="4"/>
      <c r="R1492" s="4"/>
      <c r="S1492" s="4"/>
      <c r="T1492" s="4"/>
      <c r="U1492" s="4"/>
      <c r="V1492" s="4"/>
      <c r="W1492" s="4"/>
      <c r="X1492" s="4"/>
    </row>
    <row r="1493" spans="17:24" x14ac:dyDescent="0.3">
      <c r="Q1493" s="4"/>
      <c r="R1493" s="4"/>
      <c r="S1493" s="4"/>
      <c r="T1493" s="4"/>
      <c r="U1493" s="4"/>
      <c r="V1493" s="4"/>
      <c r="W1493" s="4"/>
      <c r="X1493" s="4"/>
    </row>
    <row r="1494" spans="17:24" x14ac:dyDescent="0.3">
      <c r="Q1494" s="4"/>
      <c r="R1494" s="4"/>
      <c r="S1494" s="4"/>
      <c r="T1494" s="4"/>
      <c r="U1494" s="4"/>
      <c r="V1494" s="4"/>
      <c r="W1494" s="4"/>
      <c r="X1494" s="4"/>
    </row>
    <row r="1495" spans="17:24" x14ac:dyDescent="0.3">
      <c r="Q1495" s="4"/>
      <c r="R1495" s="4"/>
      <c r="S1495" s="4"/>
      <c r="T1495" s="4"/>
      <c r="U1495" s="4"/>
      <c r="V1495" s="4"/>
      <c r="W1495" s="4"/>
      <c r="X1495" s="4"/>
    </row>
    <row r="1496" spans="17:24" x14ac:dyDescent="0.3">
      <c r="Q1496" s="4"/>
      <c r="R1496" s="4"/>
      <c r="S1496" s="4"/>
      <c r="T1496" s="4"/>
      <c r="U1496" s="4"/>
      <c r="V1496" s="4"/>
      <c r="W1496" s="4"/>
      <c r="X1496" s="4"/>
    </row>
    <row r="1497" spans="17:24" x14ac:dyDescent="0.3">
      <c r="Q1497" s="4"/>
      <c r="R1497" s="4"/>
      <c r="S1497" s="4"/>
      <c r="T1497" s="4"/>
      <c r="U1497" s="4"/>
      <c r="V1497" s="4"/>
      <c r="W1497" s="4"/>
      <c r="X1497" s="4"/>
    </row>
    <row r="1498" spans="17:24" x14ac:dyDescent="0.3">
      <c r="Q1498" s="4"/>
      <c r="R1498" s="4"/>
      <c r="S1498" s="4"/>
      <c r="T1498" s="4"/>
      <c r="U1498" s="4"/>
      <c r="V1498" s="4"/>
      <c r="W1498" s="4"/>
      <c r="X1498" s="4"/>
    </row>
    <row r="1499" spans="17:24" x14ac:dyDescent="0.3">
      <c r="Q1499" s="4"/>
      <c r="R1499" s="4"/>
      <c r="S1499" s="4"/>
      <c r="T1499" s="4"/>
      <c r="U1499" s="4"/>
      <c r="V1499" s="4"/>
      <c r="W1499" s="4"/>
      <c r="X1499" s="4"/>
    </row>
    <row r="1500" spans="17:24" x14ac:dyDescent="0.3">
      <c r="Q1500" s="4"/>
      <c r="R1500" s="4"/>
      <c r="S1500" s="4"/>
      <c r="T1500" s="4"/>
      <c r="U1500" s="4"/>
      <c r="V1500" s="4"/>
      <c r="W1500" s="4"/>
      <c r="X1500" s="4"/>
    </row>
    <row r="1501" spans="17:24" x14ac:dyDescent="0.3">
      <c r="Q1501" s="4"/>
      <c r="R1501" s="4"/>
      <c r="S1501" s="4"/>
      <c r="T1501" s="4"/>
      <c r="U1501" s="4"/>
      <c r="V1501" s="4"/>
      <c r="W1501" s="4"/>
      <c r="X1501" s="4"/>
    </row>
    <row r="1502" spans="17:24" x14ac:dyDescent="0.3">
      <c r="Q1502" s="4"/>
      <c r="R1502" s="4"/>
      <c r="S1502" s="4"/>
      <c r="T1502" s="4"/>
      <c r="U1502" s="4"/>
      <c r="V1502" s="4"/>
      <c r="W1502" s="4"/>
      <c r="X1502" s="4"/>
    </row>
    <row r="1503" spans="17:24" x14ac:dyDescent="0.3">
      <c r="Q1503" s="4"/>
      <c r="R1503" s="4"/>
      <c r="S1503" s="4"/>
      <c r="T1503" s="4"/>
      <c r="U1503" s="4"/>
      <c r="V1503" s="4"/>
      <c r="W1503" s="4"/>
      <c r="X1503" s="4"/>
    </row>
    <row r="1504" spans="17:24" x14ac:dyDescent="0.3">
      <c r="Q1504" s="4"/>
      <c r="R1504" s="4"/>
      <c r="S1504" s="4"/>
      <c r="T1504" s="4"/>
      <c r="U1504" s="4"/>
      <c r="V1504" s="4"/>
      <c r="W1504" s="4"/>
      <c r="X1504" s="4"/>
    </row>
    <row r="1505" spans="17:24" x14ac:dyDescent="0.3">
      <c r="Q1505" s="4"/>
      <c r="R1505" s="4"/>
      <c r="S1505" s="4"/>
      <c r="T1505" s="4"/>
      <c r="U1505" s="4"/>
      <c r="V1505" s="4"/>
      <c r="W1505" s="4"/>
      <c r="X1505" s="4"/>
    </row>
    <row r="1506" spans="17:24" x14ac:dyDescent="0.3">
      <c r="Q1506" s="4"/>
      <c r="R1506" s="4"/>
      <c r="S1506" s="4"/>
      <c r="T1506" s="4"/>
      <c r="U1506" s="4"/>
      <c r="V1506" s="4"/>
      <c r="W1506" s="4"/>
      <c r="X1506" s="4"/>
    </row>
    <row r="1507" spans="17:24" x14ac:dyDescent="0.3">
      <c r="Q1507" s="4"/>
      <c r="R1507" s="4"/>
      <c r="S1507" s="4"/>
      <c r="T1507" s="4"/>
      <c r="U1507" s="4"/>
      <c r="V1507" s="4"/>
      <c r="W1507" s="4"/>
      <c r="X1507" s="4"/>
    </row>
    <row r="1508" spans="17:24" x14ac:dyDescent="0.3">
      <c r="Q1508" s="4"/>
      <c r="R1508" s="4"/>
      <c r="S1508" s="4"/>
      <c r="T1508" s="4"/>
      <c r="U1508" s="4"/>
      <c r="V1508" s="4"/>
      <c r="W1508" s="4"/>
      <c r="X1508" s="4"/>
    </row>
    <row r="1509" spans="17:24" x14ac:dyDescent="0.3">
      <c r="Q1509" s="4"/>
      <c r="R1509" s="4"/>
      <c r="S1509" s="4"/>
      <c r="T1509" s="4"/>
      <c r="U1509" s="4"/>
      <c r="V1509" s="4"/>
      <c r="W1509" s="4"/>
      <c r="X1509" s="4"/>
    </row>
    <row r="1510" spans="17:24" x14ac:dyDescent="0.3">
      <c r="Q1510" s="4"/>
      <c r="R1510" s="4"/>
      <c r="S1510" s="4"/>
      <c r="T1510" s="4"/>
      <c r="U1510" s="4"/>
      <c r="V1510" s="4"/>
      <c r="W1510" s="4"/>
      <c r="X1510" s="4"/>
    </row>
    <row r="1511" spans="17:24" x14ac:dyDescent="0.3">
      <c r="Q1511" s="4"/>
      <c r="R1511" s="4"/>
      <c r="S1511" s="4"/>
      <c r="T1511" s="4"/>
      <c r="U1511" s="4"/>
      <c r="V1511" s="4"/>
      <c r="W1511" s="4"/>
      <c r="X1511" s="4"/>
    </row>
    <row r="1512" spans="17:24" x14ac:dyDescent="0.3">
      <c r="Q1512" s="4"/>
      <c r="R1512" s="4"/>
      <c r="S1512" s="4"/>
      <c r="T1512" s="4"/>
      <c r="U1512" s="4"/>
      <c r="V1512" s="4"/>
      <c r="W1512" s="4"/>
      <c r="X1512" s="4"/>
    </row>
    <row r="1513" spans="17:24" x14ac:dyDescent="0.3">
      <c r="Q1513" s="4"/>
      <c r="R1513" s="4"/>
      <c r="S1513" s="4"/>
      <c r="T1513" s="4"/>
      <c r="U1513" s="4"/>
      <c r="V1513" s="4"/>
      <c r="W1513" s="4"/>
      <c r="X1513" s="4"/>
    </row>
    <row r="1514" spans="17:24" x14ac:dyDescent="0.3">
      <c r="Q1514" s="4"/>
      <c r="R1514" s="4"/>
      <c r="S1514" s="4"/>
      <c r="T1514" s="4"/>
      <c r="U1514" s="4"/>
      <c r="V1514" s="4"/>
      <c r="W1514" s="4"/>
      <c r="X1514" s="4"/>
    </row>
    <row r="1515" spans="17:24" x14ac:dyDescent="0.3">
      <c r="Q1515" s="4"/>
      <c r="R1515" s="4"/>
      <c r="S1515" s="4"/>
      <c r="T1515" s="4"/>
      <c r="U1515" s="4"/>
      <c r="V1515" s="4"/>
      <c r="W1515" s="4"/>
      <c r="X1515" s="4"/>
    </row>
    <row r="1516" spans="17:24" x14ac:dyDescent="0.3">
      <c r="Q1516" s="4"/>
      <c r="R1516" s="4"/>
      <c r="S1516" s="4"/>
      <c r="T1516" s="4"/>
      <c r="U1516" s="4"/>
      <c r="V1516" s="4"/>
      <c r="W1516" s="4"/>
      <c r="X1516" s="4"/>
    </row>
    <row r="1517" spans="17:24" x14ac:dyDescent="0.3">
      <c r="Q1517" s="4"/>
      <c r="R1517" s="4"/>
      <c r="S1517" s="4"/>
      <c r="T1517" s="4"/>
      <c r="U1517" s="4"/>
      <c r="V1517" s="4"/>
      <c r="W1517" s="4"/>
      <c r="X1517" s="4"/>
    </row>
    <row r="1518" spans="17:24" x14ac:dyDescent="0.3">
      <c r="Q1518" s="4"/>
      <c r="R1518" s="4"/>
      <c r="S1518" s="4"/>
      <c r="T1518" s="4"/>
      <c r="U1518" s="4"/>
      <c r="V1518" s="4"/>
      <c r="W1518" s="4"/>
      <c r="X1518" s="4"/>
    </row>
    <row r="1519" spans="17:24" x14ac:dyDescent="0.3">
      <c r="Q1519" s="4"/>
      <c r="R1519" s="4"/>
      <c r="S1519" s="4"/>
      <c r="T1519" s="4"/>
      <c r="U1519" s="4"/>
      <c r="V1519" s="4"/>
      <c r="W1519" s="4"/>
      <c r="X1519" s="4"/>
    </row>
    <row r="1520" spans="17:24" x14ac:dyDescent="0.3">
      <c r="Q1520" s="4"/>
      <c r="R1520" s="4"/>
      <c r="S1520" s="4"/>
      <c r="T1520" s="4"/>
      <c r="U1520" s="4"/>
      <c r="V1520" s="4"/>
      <c r="W1520" s="4"/>
      <c r="X1520" s="4"/>
    </row>
    <row r="1521" spans="17:24" x14ac:dyDescent="0.3">
      <c r="Q1521" s="4"/>
      <c r="R1521" s="4"/>
      <c r="S1521" s="4"/>
      <c r="T1521" s="4"/>
      <c r="U1521" s="4"/>
      <c r="V1521" s="4"/>
      <c r="W1521" s="4"/>
      <c r="X1521" s="4"/>
    </row>
    <row r="1522" spans="17:24" x14ac:dyDescent="0.3">
      <c r="Q1522" s="4"/>
      <c r="R1522" s="4"/>
      <c r="S1522" s="4"/>
      <c r="T1522" s="4"/>
      <c r="U1522" s="4"/>
      <c r="V1522" s="4"/>
      <c r="W1522" s="4"/>
      <c r="X1522" s="4"/>
    </row>
    <row r="1523" spans="17:24" x14ac:dyDescent="0.3">
      <c r="Q1523" s="4"/>
      <c r="R1523" s="4"/>
      <c r="S1523" s="4"/>
      <c r="T1523" s="4"/>
      <c r="U1523" s="4"/>
      <c r="V1523" s="4"/>
      <c r="W1523" s="4"/>
      <c r="X1523" s="4"/>
    </row>
    <row r="1524" spans="17:24" x14ac:dyDescent="0.3">
      <c r="Q1524" s="4"/>
      <c r="R1524" s="4"/>
      <c r="S1524" s="4"/>
      <c r="T1524" s="4"/>
      <c r="U1524" s="4"/>
      <c r="V1524" s="4"/>
      <c r="W1524" s="4"/>
      <c r="X1524" s="4"/>
    </row>
    <row r="1525" spans="17:24" x14ac:dyDescent="0.3">
      <c r="Q1525" s="4"/>
      <c r="R1525" s="4"/>
      <c r="S1525" s="4"/>
      <c r="T1525" s="4"/>
      <c r="U1525" s="4"/>
      <c r="V1525" s="4"/>
      <c r="W1525" s="4"/>
      <c r="X1525" s="4"/>
    </row>
    <row r="1526" spans="17:24" x14ac:dyDescent="0.3">
      <c r="Q1526" s="4"/>
      <c r="R1526" s="4"/>
      <c r="S1526" s="4"/>
      <c r="T1526" s="4"/>
      <c r="U1526" s="4"/>
      <c r="V1526" s="4"/>
      <c r="W1526" s="4"/>
      <c r="X1526" s="4"/>
    </row>
    <row r="1527" spans="17:24" x14ac:dyDescent="0.3">
      <c r="Q1527" s="4"/>
      <c r="R1527" s="4"/>
      <c r="S1527" s="4"/>
      <c r="T1527" s="4"/>
      <c r="U1527" s="4"/>
      <c r="V1527" s="4"/>
      <c r="W1527" s="4"/>
      <c r="X1527" s="4"/>
    </row>
    <row r="1528" spans="17:24" x14ac:dyDescent="0.3">
      <c r="Q1528" s="4"/>
      <c r="R1528" s="4"/>
      <c r="S1528" s="4"/>
      <c r="T1528" s="4"/>
      <c r="U1528" s="4"/>
      <c r="V1528" s="4"/>
      <c r="W1528" s="4"/>
      <c r="X1528" s="4"/>
    </row>
    <row r="1529" spans="17:24" x14ac:dyDescent="0.3">
      <c r="Q1529" s="4"/>
      <c r="R1529" s="4"/>
      <c r="S1529" s="4"/>
      <c r="T1529" s="4"/>
      <c r="U1529" s="4"/>
      <c r="V1529" s="4"/>
      <c r="W1529" s="4"/>
      <c r="X1529" s="4"/>
    </row>
    <row r="1530" spans="17:24" x14ac:dyDescent="0.3">
      <c r="Q1530" s="4"/>
      <c r="R1530" s="4"/>
      <c r="S1530" s="4"/>
      <c r="T1530" s="4"/>
      <c r="U1530" s="4"/>
      <c r="V1530" s="4"/>
      <c r="W1530" s="4"/>
      <c r="X1530" s="4"/>
    </row>
    <row r="1531" spans="17:24" x14ac:dyDescent="0.3">
      <c r="Q1531" s="4"/>
      <c r="R1531" s="4"/>
      <c r="S1531" s="4"/>
      <c r="T1531" s="4"/>
      <c r="U1531" s="4"/>
      <c r="V1531" s="4"/>
      <c r="W1531" s="4"/>
      <c r="X1531" s="4"/>
    </row>
    <row r="1532" spans="17:24" x14ac:dyDescent="0.3">
      <c r="Q1532" s="4"/>
      <c r="R1532" s="4"/>
      <c r="S1532" s="4"/>
      <c r="T1532" s="4"/>
      <c r="U1532" s="4"/>
      <c r="V1532" s="4"/>
      <c r="W1532" s="4"/>
      <c r="X1532" s="4"/>
    </row>
    <row r="1533" spans="17:24" x14ac:dyDescent="0.3">
      <c r="Q1533" s="4"/>
      <c r="R1533" s="4"/>
      <c r="S1533" s="4"/>
      <c r="T1533" s="4"/>
      <c r="U1533" s="4"/>
      <c r="V1533" s="4"/>
      <c r="W1533" s="4"/>
      <c r="X1533" s="4"/>
    </row>
    <row r="1534" spans="17:24" x14ac:dyDescent="0.3">
      <c r="Q1534" s="4"/>
      <c r="R1534" s="4"/>
      <c r="S1534" s="4"/>
      <c r="T1534" s="4"/>
      <c r="U1534" s="4"/>
      <c r="V1534" s="4"/>
      <c r="W1534" s="4"/>
      <c r="X1534" s="4"/>
    </row>
    <row r="1535" spans="17:24" x14ac:dyDescent="0.3">
      <c r="Q1535" s="4"/>
      <c r="R1535" s="4"/>
      <c r="S1535" s="4"/>
      <c r="T1535" s="4"/>
      <c r="U1535" s="4"/>
      <c r="V1535" s="4"/>
      <c r="W1535" s="4"/>
      <c r="X1535" s="4"/>
    </row>
    <row r="1536" spans="17:24" x14ac:dyDescent="0.3">
      <c r="Q1536" s="4"/>
      <c r="R1536" s="4"/>
      <c r="S1536" s="4"/>
      <c r="T1536" s="4"/>
      <c r="U1536" s="4"/>
      <c r="V1536" s="4"/>
      <c r="W1536" s="4"/>
      <c r="X1536" s="4"/>
    </row>
    <row r="1537" spans="17:24" x14ac:dyDescent="0.3">
      <c r="Q1537" s="4"/>
      <c r="R1537" s="4"/>
      <c r="S1537" s="4"/>
      <c r="T1537" s="4"/>
      <c r="U1537" s="4"/>
      <c r="V1537" s="4"/>
      <c r="W1537" s="4"/>
      <c r="X1537" s="4"/>
    </row>
    <row r="1538" spans="17:24" x14ac:dyDescent="0.3">
      <c r="Q1538" s="4"/>
      <c r="R1538" s="4"/>
      <c r="S1538" s="4"/>
      <c r="T1538" s="4"/>
      <c r="U1538" s="4"/>
      <c r="V1538" s="4"/>
      <c r="W1538" s="4"/>
      <c r="X1538" s="4"/>
    </row>
    <row r="1539" spans="17:24" x14ac:dyDescent="0.3">
      <c r="Q1539" s="4"/>
      <c r="R1539" s="4"/>
      <c r="S1539" s="4"/>
      <c r="T1539" s="4"/>
      <c r="U1539" s="4"/>
      <c r="V1539" s="4"/>
      <c r="W1539" s="4"/>
      <c r="X1539" s="4"/>
    </row>
    <row r="1540" spans="17:24" x14ac:dyDescent="0.3">
      <c r="Q1540" s="4"/>
      <c r="R1540" s="4"/>
      <c r="S1540" s="4"/>
      <c r="T1540" s="4"/>
      <c r="U1540" s="4"/>
      <c r="V1540" s="4"/>
      <c r="W1540" s="4"/>
      <c r="X1540" s="4"/>
    </row>
    <row r="1541" spans="17:24" x14ac:dyDescent="0.3">
      <c r="Q1541" s="4"/>
      <c r="R1541" s="4"/>
      <c r="S1541" s="4"/>
      <c r="T1541" s="4"/>
      <c r="U1541" s="4"/>
      <c r="V1541" s="4"/>
      <c r="W1541" s="4"/>
      <c r="X1541" s="4"/>
    </row>
    <row r="1542" spans="17:24" x14ac:dyDescent="0.3">
      <c r="Q1542" s="4"/>
      <c r="R1542" s="4"/>
      <c r="S1542" s="4"/>
      <c r="T1542" s="4"/>
      <c r="U1542" s="4"/>
      <c r="V1542" s="4"/>
      <c r="W1542" s="4"/>
      <c r="X1542" s="4"/>
    </row>
    <row r="1543" spans="17:24" x14ac:dyDescent="0.3">
      <c r="Q1543" s="4"/>
      <c r="R1543" s="4"/>
      <c r="S1543" s="4"/>
      <c r="T1543" s="4"/>
      <c r="U1543" s="4"/>
      <c r="V1543" s="4"/>
      <c r="W1543" s="4"/>
      <c r="X1543" s="4"/>
    </row>
    <row r="1544" spans="17:24" x14ac:dyDescent="0.3">
      <c r="Q1544" s="4"/>
      <c r="R1544" s="4"/>
      <c r="S1544" s="4"/>
      <c r="T1544" s="4"/>
      <c r="U1544" s="4"/>
      <c r="V1544" s="4"/>
      <c r="W1544" s="4"/>
      <c r="X1544" s="4"/>
    </row>
    <row r="1545" spans="17:24" x14ac:dyDescent="0.3">
      <c r="Q1545" s="4"/>
      <c r="R1545" s="4"/>
      <c r="S1545" s="4"/>
      <c r="T1545" s="4"/>
      <c r="U1545" s="4"/>
      <c r="V1545" s="4"/>
      <c r="W1545" s="4"/>
      <c r="X1545" s="4"/>
    </row>
    <row r="1546" spans="17:24" x14ac:dyDescent="0.3">
      <c r="Q1546" s="4"/>
      <c r="R1546" s="4"/>
      <c r="S1546" s="4"/>
      <c r="T1546" s="4"/>
      <c r="U1546" s="4"/>
      <c r="V1546" s="4"/>
      <c r="W1546" s="4"/>
      <c r="X1546" s="4"/>
    </row>
    <row r="1547" spans="17:24" x14ac:dyDescent="0.3">
      <c r="Q1547" s="4"/>
      <c r="R1547" s="4"/>
      <c r="S1547" s="4"/>
      <c r="T1547" s="4"/>
      <c r="U1547" s="4"/>
      <c r="V1547" s="4"/>
      <c r="W1547" s="4"/>
      <c r="X1547" s="4"/>
    </row>
    <row r="1548" spans="17:24" x14ac:dyDescent="0.3">
      <c r="Q1548" s="4"/>
      <c r="R1548" s="4"/>
      <c r="S1548" s="4"/>
      <c r="T1548" s="4"/>
      <c r="U1548" s="4"/>
      <c r="V1548" s="4"/>
      <c r="W1548" s="4"/>
      <c r="X1548" s="4"/>
    </row>
    <row r="1549" spans="17:24" x14ac:dyDescent="0.3">
      <c r="Q1549" s="4"/>
      <c r="R1549" s="4"/>
      <c r="S1549" s="4"/>
      <c r="T1549" s="4"/>
      <c r="U1549" s="4"/>
      <c r="V1549" s="4"/>
      <c r="W1549" s="4"/>
      <c r="X1549" s="4"/>
    </row>
    <row r="1550" spans="17:24" x14ac:dyDescent="0.3">
      <c r="Q1550" s="4"/>
      <c r="R1550" s="4"/>
      <c r="S1550" s="4"/>
      <c r="T1550" s="4"/>
      <c r="U1550" s="4"/>
      <c r="V1550" s="4"/>
      <c r="W1550" s="4"/>
      <c r="X1550" s="4"/>
    </row>
    <row r="1551" spans="17:24" x14ac:dyDescent="0.3">
      <c r="Q1551" s="4"/>
      <c r="R1551" s="4"/>
      <c r="S1551" s="4"/>
      <c r="T1551" s="4"/>
      <c r="U1551" s="4"/>
      <c r="V1551" s="4"/>
      <c r="W1551" s="4"/>
      <c r="X1551" s="4"/>
    </row>
    <row r="1552" spans="17:24" x14ac:dyDescent="0.3">
      <c r="Q1552" s="4"/>
      <c r="R1552" s="4"/>
      <c r="S1552" s="4"/>
      <c r="T1552" s="4"/>
      <c r="U1552" s="4"/>
      <c r="V1552" s="4"/>
      <c r="W1552" s="4"/>
      <c r="X1552" s="4"/>
    </row>
    <row r="1553" spans="17:24" x14ac:dyDescent="0.3">
      <c r="Q1553" s="4"/>
      <c r="R1553" s="4"/>
      <c r="S1553" s="4"/>
      <c r="T1553" s="4"/>
      <c r="U1553" s="4"/>
      <c r="V1553" s="4"/>
      <c r="W1553" s="4"/>
      <c r="X1553" s="4"/>
    </row>
    <row r="1554" spans="17:24" x14ac:dyDescent="0.3">
      <c r="Q1554" s="4"/>
      <c r="R1554" s="4"/>
      <c r="S1554" s="4"/>
      <c r="T1554" s="4"/>
      <c r="U1554" s="4"/>
      <c r="V1554" s="4"/>
      <c r="W1554" s="4"/>
      <c r="X1554" s="4"/>
    </row>
    <row r="1555" spans="17:24" x14ac:dyDescent="0.3">
      <c r="Q1555" s="4"/>
      <c r="R1555" s="4"/>
      <c r="S1555" s="4"/>
      <c r="T1555" s="4"/>
      <c r="U1555" s="4"/>
      <c r="V1555" s="4"/>
      <c r="W1555" s="4"/>
      <c r="X1555" s="4"/>
    </row>
    <row r="1556" spans="17:24" x14ac:dyDescent="0.3">
      <c r="Q1556" s="4"/>
      <c r="R1556" s="4"/>
      <c r="S1556" s="4"/>
      <c r="T1556" s="4"/>
      <c r="U1556" s="4"/>
      <c r="V1556" s="4"/>
      <c r="W1556" s="4"/>
      <c r="X1556" s="4"/>
    </row>
    <row r="1557" spans="17:24" x14ac:dyDescent="0.3">
      <c r="Q1557" s="4"/>
      <c r="R1557" s="4"/>
      <c r="S1557" s="4"/>
      <c r="T1557" s="4"/>
      <c r="U1557" s="4"/>
      <c r="V1557" s="4"/>
      <c r="W1557" s="4"/>
      <c r="X1557" s="4"/>
    </row>
    <row r="1558" spans="17:24" x14ac:dyDescent="0.3">
      <c r="Q1558" s="4"/>
      <c r="R1558" s="4"/>
      <c r="S1558" s="4"/>
      <c r="T1558" s="4"/>
      <c r="U1558" s="4"/>
      <c r="V1558" s="4"/>
      <c r="W1558" s="4"/>
      <c r="X1558" s="4"/>
    </row>
    <row r="1559" spans="17:24" x14ac:dyDescent="0.3">
      <c r="Q1559" s="4"/>
      <c r="R1559" s="4"/>
      <c r="S1559" s="4"/>
      <c r="T1559" s="4"/>
      <c r="U1559" s="4"/>
      <c r="V1559" s="4"/>
      <c r="W1559" s="4"/>
      <c r="X1559" s="4"/>
    </row>
    <row r="1560" spans="17:24" x14ac:dyDescent="0.3">
      <c r="Q1560" s="4"/>
      <c r="R1560" s="4"/>
      <c r="S1560" s="4"/>
      <c r="T1560" s="4"/>
      <c r="U1560" s="4"/>
      <c r="V1560" s="4"/>
      <c r="W1560" s="4"/>
      <c r="X1560" s="4"/>
    </row>
    <row r="1561" spans="17:24" x14ac:dyDescent="0.3">
      <c r="Q1561" s="4"/>
      <c r="R1561" s="4"/>
      <c r="S1561" s="4"/>
      <c r="T1561" s="4"/>
      <c r="U1561" s="4"/>
      <c r="V1561" s="4"/>
      <c r="W1561" s="4"/>
      <c r="X1561" s="4"/>
    </row>
    <row r="1562" spans="17:24" x14ac:dyDescent="0.3">
      <c r="Q1562" s="4"/>
      <c r="R1562" s="4"/>
      <c r="S1562" s="4"/>
      <c r="T1562" s="4"/>
      <c r="U1562" s="4"/>
      <c r="V1562" s="4"/>
      <c r="W1562" s="4"/>
      <c r="X1562" s="4"/>
    </row>
    <row r="1563" spans="17:24" x14ac:dyDescent="0.3">
      <c r="Q1563" s="4"/>
      <c r="R1563" s="4"/>
      <c r="S1563" s="4"/>
      <c r="T1563" s="4"/>
      <c r="U1563" s="4"/>
      <c r="V1563" s="4"/>
      <c r="W1563" s="4"/>
      <c r="X1563" s="4"/>
    </row>
    <row r="1564" spans="17:24" x14ac:dyDescent="0.3">
      <c r="Q1564" s="4"/>
      <c r="R1564" s="4"/>
      <c r="S1564" s="4"/>
      <c r="T1564" s="4"/>
      <c r="U1564" s="4"/>
      <c r="V1564" s="4"/>
      <c r="W1564" s="4"/>
      <c r="X1564" s="4"/>
    </row>
    <row r="1565" spans="17:24" x14ac:dyDescent="0.3">
      <c r="Q1565" s="4"/>
      <c r="R1565" s="4"/>
      <c r="S1565" s="4"/>
      <c r="T1565" s="4"/>
      <c r="U1565" s="4"/>
      <c r="V1565" s="4"/>
      <c r="W1565" s="4"/>
      <c r="X1565" s="4"/>
    </row>
    <row r="1566" spans="17:24" x14ac:dyDescent="0.3">
      <c r="Q1566" s="4"/>
      <c r="R1566" s="4"/>
      <c r="S1566" s="4"/>
      <c r="T1566" s="4"/>
      <c r="U1566" s="4"/>
      <c r="V1566" s="4"/>
      <c r="W1566" s="4"/>
      <c r="X1566" s="4"/>
    </row>
    <row r="1567" spans="17:24" x14ac:dyDescent="0.3">
      <c r="Q1567" s="4"/>
      <c r="R1567" s="4"/>
      <c r="S1567" s="4"/>
      <c r="T1567" s="4"/>
      <c r="U1567" s="4"/>
      <c r="V1567" s="4"/>
      <c r="W1567" s="4"/>
      <c r="X1567" s="4"/>
    </row>
    <row r="1568" spans="17:24" x14ac:dyDescent="0.3">
      <c r="Q1568" s="4"/>
      <c r="R1568" s="4"/>
      <c r="S1568" s="4"/>
      <c r="T1568" s="4"/>
      <c r="U1568" s="4"/>
      <c r="V1568" s="4"/>
      <c r="W1568" s="4"/>
      <c r="X1568" s="4"/>
    </row>
    <row r="1569" spans="17:24" x14ac:dyDescent="0.3">
      <c r="Q1569" s="4"/>
      <c r="R1569" s="4"/>
      <c r="S1569" s="4"/>
      <c r="T1569" s="4"/>
      <c r="U1569" s="4"/>
      <c r="V1569" s="4"/>
      <c r="W1569" s="4"/>
      <c r="X1569" s="4"/>
    </row>
    <row r="1570" spans="17:24" x14ac:dyDescent="0.3">
      <c r="Q1570" s="4"/>
      <c r="R1570" s="4"/>
      <c r="S1570" s="4"/>
      <c r="T1570" s="4"/>
      <c r="U1570" s="4"/>
      <c r="V1570" s="4"/>
      <c r="W1570" s="4"/>
      <c r="X1570" s="4"/>
    </row>
    <row r="1571" spans="17:24" x14ac:dyDescent="0.3">
      <c r="Q1571" s="4"/>
      <c r="R1571" s="4"/>
      <c r="S1571" s="4"/>
      <c r="T1571" s="4"/>
      <c r="U1571" s="4"/>
      <c r="V1571" s="4"/>
      <c r="W1571" s="4"/>
      <c r="X1571" s="4"/>
    </row>
    <row r="1572" spans="17:24" x14ac:dyDescent="0.3">
      <c r="Q1572" s="4"/>
      <c r="R1572" s="4"/>
      <c r="S1572" s="4"/>
      <c r="T1572" s="4"/>
      <c r="U1572" s="4"/>
      <c r="V1572" s="4"/>
      <c r="W1572" s="4"/>
      <c r="X1572" s="4"/>
    </row>
    <row r="1573" spans="17:24" x14ac:dyDescent="0.3">
      <c r="Q1573" s="4"/>
      <c r="R1573" s="4"/>
      <c r="S1573" s="4"/>
      <c r="T1573" s="4"/>
      <c r="U1573" s="4"/>
      <c r="V1573" s="4"/>
      <c r="W1573" s="4"/>
      <c r="X1573" s="4"/>
    </row>
    <row r="1574" spans="17:24" x14ac:dyDescent="0.3">
      <c r="Q1574" s="4"/>
      <c r="R1574" s="4"/>
      <c r="S1574" s="4"/>
      <c r="T1574" s="4"/>
      <c r="U1574" s="4"/>
      <c r="V1574" s="4"/>
      <c r="W1574" s="4"/>
      <c r="X1574" s="4"/>
    </row>
    <row r="1575" spans="17:24" x14ac:dyDescent="0.3">
      <c r="Q1575" s="4"/>
      <c r="R1575" s="4"/>
      <c r="S1575" s="4"/>
      <c r="T1575" s="4"/>
      <c r="U1575" s="4"/>
      <c r="V1575" s="4"/>
      <c r="W1575" s="4"/>
      <c r="X1575" s="4"/>
    </row>
    <row r="1576" spans="17:24" x14ac:dyDescent="0.3">
      <c r="Q1576" s="4"/>
      <c r="R1576" s="4"/>
      <c r="S1576" s="4"/>
      <c r="T1576" s="4"/>
      <c r="U1576" s="4"/>
      <c r="V1576" s="4"/>
      <c r="W1576" s="4"/>
      <c r="X1576" s="4"/>
    </row>
    <row r="1577" spans="17:24" x14ac:dyDescent="0.3">
      <c r="Q1577" s="4"/>
      <c r="R1577" s="4"/>
      <c r="S1577" s="4"/>
      <c r="T1577" s="4"/>
      <c r="U1577" s="4"/>
      <c r="V1577" s="4"/>
      <c r="W1577" s="4"/>
      <c r="X1577" s="4"/>
    </row>
    <row r="1578" spans="17:24" x14ac:dyDescent="0.3">
      <c r="Q1578" s="4"/>
      <c r="R1578" s="4"/>
      <c r="S1578" s="4"/>
      <c r="T1578" s="4"/>
      <c r="U1578" s="4"/>
      <c r="V1578" s="4"/>
      <c r="W1578" s="4"/>
      <c r="X1578" s="4"/>
    </row>
    <row r="1579" spans="17:24" x14ac:dyDescent="0.3">
      <c r="Q1579" s="4"/>
      <c r="R1579" s="4"/>
      <c r="S1579" s="4"/>
      <c r="T1579" s="4"/>
      <c r="U1579" s="4"/>
      <c r="V1579" s="4"/>
      <c r="W1579" s="4"/>
      <c r="X1579" s="4"/>
    </row>
    <row r="1580" spans="17:24" x14ac:dyDescent="0.3">
      <c r="Q1580" s="4"/>
      <c r="R1580" s="4"/>
      <c r="S1580" s="4"/>
      <c r="T1580" s="4"/>
      <c r="U1580" s="4"/>
      <c r="V1580" s="4"/>
      <c r="W1580" s="4"/>
      <c r="X1580" s="4"/>
    </row>
    <row r="1581" spans="17:24" x14ac:dyDescent="0.3">
      <c r="Q1581" s="4"/>
      <c r="R1581" s="4"/>
      <c r="S1581" s="4"/>
      <c r="T1581" s="4"/>
      <c r="U1581" s="4"/>
      <c r="V1581" s="4"/>
      <c r="W1581" s="4"/>
      <c r="X1581" s="4"/>
    </row>
    <row r="1582" spans="17:24" x14ac:dyDescent="0.3">
      <c r="Q1582" s="4"/>
      <c r="R1582" s="4"/>
      <c r="S1582" s="4"/>
      <c r="T1582" s="4"/>
      <c r="U1582" s="4"/>
      <c r="V1582" s="4"/>
      <c r="W1582" s="4"/>
      <c r="X1582" s="4"/>
    </row>
    <row r="1583" spans="17:24" x14ac:dyDescent="0.3">
      <c r="Q1583" s="4"/>
      <c r="R1583" s="4"/>
      <c r="S1583" s="4"/>
      <c r="T1583" s="4"/>
      <c r="U1583" s="4"/>
      <c r="V1583" s="4"/>
      <c r="W1583" s="4"/>
      <c r="X1583" s="4"/>
    </row>
    <row r="1584" spans="17:24" x14ac:dyDescent="0.3">
      <c r="Q1584" s="4"/>
      <c r="R1584" s="4"/>
      <c r="S1584" s="4"/>
      <c r="T1584" s="4"/>
      <c r="U1584" s="4"/>
      <c r="V1584" s="4"/>
      <c r="W1584" s="4"/>
      <c r="X1584" s="4"/>
    </row>
    <row r="1585" spans="17:24" x14ac:dyDescent="0.3">
      <c r="Q1585" s="4"/>
      <c r="R1585" s="4"/>
      <c r="S1585" s="4"/>
      <c r="T1585" s="4"/>
      <c r="U1585" s="4"/>
      <c r="V1585" s="4"/>
      <c r="W1585" s="4"/>
      <c r="X1585" s="4"/>
    </row>
    <row r="1586" spans="17:24" x14ac:dyDescent="0.3">
      <c r="Q1586" s="4"/>
      <c r="R1586" s="4"/>
      <c r="S1586" s="4"/>
      <c r="T1586" s="4"/>
      <c r="U1586" s="4"/>
      <c r="V1586" s="4"/>
      <c r="W1586" s="4"/>
      <c r="X1586" s="4"/>
    </row>
    <row r="1587" spans="17:24" x14ac:dyDescent="0.3">
      <c r="Q1587" s="4"/>
      <c r="R1587" s="4"/>
      <c r="S1587" s="4"/>
      <c r="T1587" s="4"/>
      <c r="U1587" s="4"/>
      <c r="V1587" s="4"/>
      <c r="W1587" s="4"/>
      <c r="X1587" s="4"/>
    </row>
    <row r="1588" spans="17:24" x14ac:dyDescent="0.3">
      <c r="Q1588" s="4"/>
      <c r="R1588" s="4"/>
      <c r="S1588" s="4"/>
      <c r="T1588" s="4"/>
      <c r="U1588" s="4"/>
      <c r="V1588" s="4"/>
      <c r="W1588" s="4"/>
      <c r="X1588" s="4"/>
    </row>
    <row r="1589" spans="17:24" x14ac:dyDescent="0.3">
      <c r="Q1589" s="4"/>
      <c r="R1589" s="4"/>
      <c r="S1589" s="4"/>
      <c r="T1589" s="4"/>
      <c r="U1589" s="4"/>
      <c r="V1589" s="4"/>
      <c r="W1589" s="4"/>
      <c r="X1589" s="4"/>
    </row>
    <row r="1590" spans="17:24" x14ac:dyDescent="0.3">
      <c r="Q1590" s="4"/>
      <c r="R1590" s="4"/>
      <c r="S1590" s="4"/>
      <c r="T1590" s="4"/>
      <c r="U1590" s="4"/>
      <c r="V1590" s="4"/>
      <c r="W1590" s="4"/>
      <c r="X1590" s="4"/>
    </row>
    <row r="1591" spans="17:24" x14ac:dyDescent="0.3">
      <c r="Q1591" s="4"/>
      <c r="R1591" s="4"/>
      <c r="S1591" s="4"/>
      <c r="T1591" s="4"/>
      <c r="U1591" s="4"/>
      <c r="V1591" s="4"/>
      <c r="W1591" s="4"/>
      <c r="X1591" s="4"/>
    </row>
    <row r="1592" spans="17:24" x14ac:dyDescent="0.3">
      <c r="Q1592" s="4"/>
      <c r="R1592" s="4"/>
      <c r="S1592" s="4"/>
      <c r="T1592" s="4"/>
      <c r="U1592" s="4"/>
      <c r="V1592" s="4"/>
      <c r="W1592" s="4"/>
      <c r="X1592" s="4"/>
    </row>
    <row r="1593" spans="17:24" x14ac:dyDescent="0.3">
      <c r="Q1593" s="4"/>
      <c r="R1593" s="4"/>
      <c r="S1593" s="4"/>
      <c r="T1593" s="4"/>
      <c r="U1593" s="4"/>
      <c r="V1593" s="4"/>
      <c r="W1593" s="4"/>
      <c r="X1593" s="4"/>
    </row>
    <row r="1594" spans="17:24" x14ac:dyDescent="0.3">
      <c r="Q1594" s="4"/>
      <c r="R1594" s="4"/>
      <c r="S1594" s="4"/>
      <c r="T1594" s="4"/>
      <c r="U1594" s="4"/>
      <c r="V1594" s="4"/>
      <c r="W1594" s="4"/>
      <c r="X1594" s="4"/>
    </row>
    <row r="1595" spans="17:24" x14ac:dyDescent="0.3">
      <c r="Q1595" s="4"/>
      <c r="R1595" s="4"/>
      <c r="S1595" s="4"/>
      <c r="T1595" s="4"/>
      <c r="U1595" s="4"/>
      <c r="V1595" s="4"/>
      <c r="W1595" s="4"/>
      <c r="X1595" s="4"/>
    </row>
    <row r="1596" spans="17:24" x14ac:dyDescent="0.3">
      <c r="Q1596" s="4"/>
      <c r="R1596" s="4"/>
      <c r="S1596" s="4"/>
      <c r="T1596" s="4"/>
      <c r="U1596" s="4"/>
      <c r="V1596" s="4"/>
      <c r="W1596" s="4"/>
      <c r="X1596" s="4"/>
    </row>
    <row r="1597" spans="17:24" x14ac:dyDescent="0.3">
      <c r="Q1597" s="4"/>
      <c r="R1597" s="4"/>
      <c r="S1597" s="4"/>
      <c r="T1597" s="4"/>
      <c r="U1597" s="4"/>
      <c r="V1597" s="4"/>
      <c r="W1597" s="4"/>
      <c r="X1597" s="4"/>
    </row>
    <row r="1598" spans="17:24" x14ac:dyDescent="0.3">
      <c r="Q1598" s="4"/>
      <c r="R1598" s="4"/>
      <c r="S1598" s="4"/>
      <c r="T1598" s="4"/>
      <c r="U1598" s="4"/>
      <c r="V1598" s="4"/>
      <c r="W1598" s="4"/>
      <c r="X1598" s="4"/>
    </row>
    <row r="1599" spans="17:24" x14ac:dyDescent="0.3">
      <c r="Q1599" s="4"/>
      <c r="R1599" s="4"/>
      <c r="S1599" s="4"/>
      <c r="T1599" s="4"/>
      <c r="U1599" s="4"/>
      <c r="V1599" s="4"/>
      <c r="W1599" s="4"/>
      <c r="X1599" s="4"/>
    </row>
    <row r="1600" spans="17:24" x14ac:dyDescent="0.3">
      <c r="Q1600" s="4"/>
      <c r="R1600" s="4"/>
      <c r="S1600" s="4"/>
      <c r="T1600" s="4"/>
      <c r="U1600" s="4"/>
      <c r="V1600" s="4"/>
      <c r="W1600" s="4"/>
      <c r="X1600" s="4"/>
    </row>
    <row r="1601" spans="17:24" x14ac:dyDescent="0.3">
      <c r="Q1601" s="4"/>
      <c r="R1601" s="4"/>
      <c r="S1601" s="4"/>
      <c r="T1601" s="4"/>
      <c r="U1601" s="4"/>
      <c r="V1601" s="4"/>
      <c r="W1601" s="4"/>
      <c r="X1601" s="4"/>
    </row>
    <row r="1602" spans="17:24" x14ac:dyDescent="0.3">
      <c r="Q1602" s="4"/>
      <c r="R1602" s="4"/>
      <c r="S1602" s="4"/>
      <c r="T1602" s="4"/>
      <c r="U1602" s="4"/>
      <c r="V1602" s="4"/>
      <c r="W1602" s="4"/>
      <c r="X1602" s="4"/>
    </row>
    <row r="1603" spans="17:24" x14ac:dyDescent="0.3">
      <c r="Q1603" s="4"/>
      <c r="R1603" s="4"/>
      <c r="S1603" s="4"/>
      <c r="T1603" s="4"/>
      <c r="U1603" s="4"/>
      <c r="V1603" s="4"/>
      <c r="W1603" s="4"/>
      <c r="X1603" s="4"/>
    </row>
    <row r="1604" spans="17:24" x14ac:dyDescent="0.3">
      <c r="Q1604" s="4"/>
      <c r="R1604" s="4"/>
      <c r="S1604" s="4"/>
      <c r="T1604" s="4"/>
      <c r="U1604" s="4"/>
      <c r="V1604" s="4"/>
      <c r="W1604" s="4"/>
      <c r="X1604" s="4"/>
    </row>
    <row r="1605" spans="17:24" x14ac:dyDescent="0.3">
      <c r="Q1605" s="4"/>
      <c r="R1605" s="4"/>
      <c r="S1605" s="4"/>
      <c r="T1605" s="4"/>
      <c r="U1605" s="4"/>
      <c r="V1605" s="4"/>
      <c r="W1605" s="4"/>
      <c r="X1605" s="4"/>
    </row>
    <row r="1606" spans="17:24" x14ac:dyDescent="0.3">
      <c r="Q1606" s="4"/>
      <c r="R1606" s="4"/>
      <c r="S1606" s="4"/>
      <c r="T1606" s="4"/>
      <c r="U1606" s="4"/>
      <c r="V1606" s="4"/>
      <c r="W1606" s="4"/>
      <c r="X1606" s="4"/>
    </row>
    <row r="1607" spans="17:24" x14ac:dyDescent="0.3">
      <c r="Q1607" s="4"/>
      <c r="R1607" s="4"/>
      <c r="S1607" s="4"/>
      <c r="T1607" s="4"/>
      <c r="U1607" s="4"/>
      <c r="V1607" s="4"/>
      <c r="W1607" s="4"/>
      <c r="X1607" s="4"/>
    </row>
    <row r="1608" spans="17:24" x14ac:dyDescent="0.3">
      <c r="Q1608" s="4"/>
      <c r="R1608" s="4"/>
      <c r="S1608" s="4"/>
      <c r="T1608" s="4"/>
      <c r="U1608" s="4"/>
      <c r="V1608" s="4"/>
      <c r="W1608" s="4"/>
      <c r="X1608" s="4"/>
    </row>
    <row r="1609" spans="17:24" x14ac:dyDescent="0.3">
      <c r="Q1609" s="4"/>
      <c r="R1609" s="4"/>
      <c r="S1609" s="4"/>
      <c r="T1609" s="4"/>
      <c r="U1609" s="4"/>
      <c r="V1609" s="4"/>
      <c r="W1609" s="4"/>
      <c r="X1609" s="4"/>
    </row>
    <row r="1610" spans="17:24" x14ac:dyDescent="0.3">
      <c r="Q1610" s="4"/>
      <c r="R1610" s="4"/>
      <c r="S1610" s="4"/>
      <c r="T1610" s="4"/>
      <c r="U1610" s="4"/>
      <c r="V1610" s="4"/>
      <c r="W1610" s="4"/>
      <c r="X1610" s="4"/>
    </row>
    <row r="1611" spans="17:24" x14ac:dyDescent="0.3">
      <c r="Q1611" s="4"/>
      <c r="R1611" s="4"/>
      <c r="S1611" s="4"/>
      <c r="T1611" s="4"/>
      <c r="U1611" s="4"/>
      <c r="V1611" s="4"/>
      <c r="W1611" s="4"/>
      <c r="X1611" s="4"/>
    </row>
    <row r="1612" spans="17:24" x14ac:dyDescent="0.3">
      <c r="Q1612" s="4"/>
      <c r="R1612" s="4"/>
      <c r="S1612" s="4"/>
      <c r="T1612" s="4"/>
      <c r="U1612" s="4"/>
      <c r="V1612" s="4"/>
      <c r="W1612" s="4"/>
      <c r="X1612" s="4"/>
    </row>
    <row r="1613" spans="17:24" x14ac:dyDescent="0.3">
      <c r="Q1613" s="4"/>
      <c r="R1613" s="4"/>
      <c r="S1613" s="4"/>
      <c r="T1613" s="4"/>
      <c r="U1613" s="4"/>
      <c r="V1613" s="4"/>
      <c r="W1613" s="4"/>
      <c r="X1613" s="4"/>
    </row>
    <row r="1614" spans="17:24" x14ac:dyDescent="0.3">
      <c r="Q1614" s="4"/>
      <c r="R1614" s="4"/>
      <c r="S1614" s="4"/>
      <c r="T1614" s="4"/>
      <c r="U1614" s="4"/>
      <c r="V1614" s="4"/>
      <c r="W1614" s="4"/>
      <c r="X1614" s="4"/>
    </row>
    <row r="1615" spans="17:24" x14ac:dyDescent="0.3">
      <c r="Q1615" s="4"/>
      <c r="R1615" s="4"/>
      <c r="S1615" s="4"/>
      <c r="T1615" s="4"/>
      <c r="U1615" s="4"/>
      <c r="V1615" s="4"/>
      <c r="W1615" s="4"/>
      <c r="X1615" s="4"/>
    </row>
    <row r="1616" spans="17:24" x14ac:dyDescent="0.3">
      <c r="Q1616" s="4"/>
      <c r="R1616" s="4"/>
      <c r="S1616" s="4"/>
      <c r="T1616" s="4"/>
      <c r="U1616" s="4"/>
      <c r="V1616" s="4"/>
      <c r="W1616" s="4"/>
      <c r="X1616" s="4"/>
    </row>
    <row r="1617" spans="17:24" x14ac:dyDescent="0.3">
      <c r="Q1617" s="4"/>
      <c r="R1617" s="4"/>
      <c r="S1617" s="4"/>
      <c r="T1617" s="4"/>
      <c r="U1617" s="4"/>
      <c r="V1617" s="4"/>
      <c r="W1617" s="4"/>
      <c r="X1617" s="4"/>
    </row>
    <row r="1618" spans="17:24" x14ac:dyDescent="0.3">
      <c r="Q1618" s="4"/>
      <c r="R1618" s="4"/>
      <c r="S1618" s="4"/>
      <c r="T1618" s="4"/>
      <c r="U1618" s="4"/>
      <c r="V1618" s="4"/>
      <c r="W1618" s="4"/>
      <c r="X1618" s="4"/>
    </row>
    <row r="1619" spans="17:24" x14ac:dyDescent="0.3">
      <c r="Q1619" s="4"/>
      <c r="R1619" s="4"/>
      <c r="S1619" s="4"/>
      <c r="T1619" s="4"/>
      <c r="U1619" s="4"/>
      <c r="V1619" s="4"/>
      <c r="W1619" s="4"/>
      <c r="X1619" s="4"/>
    </row>
    <row r="1620" spans="17:24" x14ac:dyDescent="0.3">
      <c r="Q1620" s="4"/>
      <c r="R1620" s="4"/>
      <c r="S1620" s="4"/>
      <c r="T1620" s="4"/>
      <c r="U1620" s="4"/>
      <c r="V1620" s="4"/>
      <c r="W1620" s="4"/>
      <c r="X1620" s="4"/>
    </row>
    <row r="1621" spans="17:24" x14ac:dyDescent="0.3">
      <c r="Q1621" s="4"/>
      <c r="R1621" s="4"/>
      <c r="S1621" s="4"/>
      <c r="T1621" s="4"/>
      <c r="U1621" s="4"/>
      <c r="V1621" s="4"/>
      <c r="W1621" s="4"/>
      <c r="X1621" s="4"/>
    </row>
    <row r="1622" spans="17:24" x14ac:dyDescent="0.3">
      <c r="Q1622" s="4"/>
      <c r="R1622" s="4"/>
      <c r="S1622" s="4"/>
      <c r="T1622" s="4"/>
      <c r="U1622" s="4"/>
      <c r="V1622" s="4"/>
      <c r="W1622" s="4"/>
      <c r="X1622" s="4"/>
    </row>
    <row r="1623" spans="17:24" x14ac:dyDescent="0.3">
      <c r="Q1623" s="4"/>
      <c r="R1623" s="4"/>
      <c r="S1623" s="4"/>
      <c r="T1623" s="4"/>
      <c r="U1623" s="4"/>
      <c r="V1623" s="4"/>
      <c r="W1623" s="4"/>
      <c r="X1623" s="4"/>
    </row>
    <row r="1624" spans="17:24" x14ac:dyDescent="0.3">
      <c r="Q1624" s="4"/>
      <c r="R1624" s="4"/>
      <c r="S1624" s="4"/>
      <c r="T1624" s="4"/>
      <c r="U1624" s="4"/>
      <c r="V1624" s="4"/>
      <c r="W1624" s="4"/>
      <c r="X1624" s="4"/>
    </row>
    <row r="1625" spans="17:24" x14ac:dyDescent="0.3">
      <c r="Q1625" s="4"/>
      <c r="R1625" s="4"/>
      <c r="S1625" s="4"/>
      <c r="T1625" s="4"/>
      <c r="U1625" s="4"/>
      <c r="V1625" s="4"/>
      <c r="W1625" s="4"/>
      <c r="X1625" s="4"/>
    </row>
    <row r="1626" spans="17:24" x14ac:dyDescent="0.3">
      <c r="Q1626" s="4"/>
      <c r="R1626" s="4"/>
      <c r="S1626" s="4"/>
      <c r="T1626" s="4"/>
      <c r="U1626" s="4"/>
      <c r="V1626" s="4"/>
      <c r="W1626" s="4"/>
      <c r="X1626" s="4"/>
    </row>
    <row r="1627" spans="17:24" x14ac:dyDescent="0.3">
      <c r="Q1627" s="4"/>
      <c r="R1627" s="4"/>
      <c r="S1627" s="4"/>
      <c r="T1627" s="4"/>
      <c r="U1627" s="4"/>
      <c r="V1627" s="4"/>
      <c r="W1627" s="4"/>
      <c r="X1627" s="4"/>
    </row>
    <row r="1628" spans="17:24" x14ac:dyDescent="0.3">
      <c r="Q1628" s="4"/>
      <c r="R1628" s="4"/>
      <c r="S1628" s="4"/>
      <c r="T1628" s="4"/>
      <c r="U1628" s="4"/>
      <c r="V1628" s="4"/>
      <c r="W1628" s="4"/>
      <c r="X1628" s="4"/>
    </row>
    <row r="1629" spans="17:24" x14ac:dyDescent="0.3">
      <c r="Q1629" s="4"/>
      <c r="R1629" s="4"/>
      <c r="S1629" s="4"/>
      <c r="T1629" s="4"/>
      <c r="U1629" s="4"/>
      <c r="V1629" s="4"/>
      <c r="W1629" s="4"/>
      <c r="X1629" s="4"/>
    </row>
    <row r="1630" spans="17:24" x14ac:dyDescent="0.3">
      <c r="Q1630" s="4"/>
      <c r="R1630" s="4"/>
      <c r="S1630" s="4"/>
      <c r="T1630" s="4"/>
      <c r="U1630" s="4"/>
      <c r="V1630" s="4"/>
      <c r="W1630" s="4"/>
      <c r="X1630" s="4"/>
    </row>
    <row r="1631" spans="17:24" x14ac:dyDescent="0.3">
      <c r="Q1631" s="4"/>
      <c r="R1631" s="4"/>
      <c r="S1631" s="4"/>
      <c r="T1631" s="4"/>
      <c r="U1631" s="4"/>
      <c r="V1631" s="4"/>
      <c r="W1631" s="4"/>
      <c r="X1631" s="4"/>
    </row>
    <row r="1632" spans="17:24" x14ac:dyDescent="0.3">
      <c r="Q1632" s="4"/>
      <c r="R1632" s="4"/>
      <c r="S1632" s="4"/>
      <c r="T1632" s="4"/>
      <c r="U1632" s="4"/>
      <c r="V1632" s="4"/>
      <c r="W1632" s="4"/>
      <c r="X1632" s="4"/>
    </row>
    <row r="1633" spans="17:24" x14ac:dyDescent="0.3">
      <c r="Q1633" s="4"/>
      <c r="R1633" s="4"/>
      <c r="S1633" s="4"/>
      <c r="T1633" s="4"/>
      <c r="U1633" s="4"/>
      <c r="V1633" s="4"/>
      <c r="W1633" s="4"/>
      <c r="X1633" s="4"/>
    </row>
    <row r="1634" spans="17:24" x14ac:dyDescent="0.3">
      <c r="Q1634" s="4"/>
      <c r="R1634" s="4"/>
      <c r="S1634" s="4"/>
      <c r="T1634" s="4"/>
      <c r="U1634" s="4"/>
      <c r="V1634" s="4"/>
      <c r="W1634" s="4"/>
      <c r="X1634" s="4"/>
    </row>
    <row r="1635" spans="17:24" x14ac:dyDescent="0.3">
      <c r="Q1635" s="4"/>
      <c r="R1635" s="4"/>
      <c r="S1635" s="4"/>
      <c r="T1635" s="4"/>
      <c r="U1635" s="4"/>
      <c r="V1635" s="4"/>
      <c r="W1635" s="4"/>
      <c r="X1635" s="4"/>
    </row>
    <row r="1636" spans="17:24" x14ac:dyDescent="0.3">
      <c r="Q1636" s="4"/>
      <c r="R1636" s="4"/>
      <c r="S1636" s="4"/>
      <c r="T1636" s="4"/>
      <c r="U1636" s="4"/>
      <c r="V1636" s="4"/>
      <c r="W1636" s="4"/>
      <c r="X1636" s="4"/>
    </row>
    <row r="1637" spans="17:24" x14ac:dyDescent="0.3">
      <c r="Q1637" s="4"/>
      <c r="R1637" s="4"/>
      <c r="S1637" s="4"/>
      <c r="T1637" s="4"/>
      <c r="U1637" s="4"/>
      <c r="V1637" s="4"/>
      <c r="W1637" s="4"/>
      <c r="X1637" s="4"/>
    </row>
    <row r="1638" spans="17:24" x14ac:dyDescent="0.3">
      <c r="Q1638" s="4"/>
      <c r="R1638" s="4"/>
      <c r="S1638" s="4"/>
      <c r="T1638" s="4"/>
      <c r="U1638" s="4"/>
      <c r="V1638" s="4"/>
      <c r="W1638" s="4"/>
      <c r="X1638" s="4"/>
    </row>
    <row r="1639" spans="17:24" x14ac:dyDescent="0.3">
      <c r="Q1639" s="4"/>
      <c r="R1639" s="4"/>
      <c r="S1639" s="4"/>
      <c r="T1639" s="4"/>
      <c r="U1639" s="4"/>
      <c r="V1639" s="4"/>
      <c r="W1639" s="4"/>
      <c r="X1639" s="4"/>
    </row>
    <row r="1640" spans="17:24" x14ac:dyDescent="0.3">
      <c r="Q1640" s="4"/>
      <c r="R1640" s="4"/>
      <c r="S1640" s="4"/>
      <c r="T1640" s="4"/>
      <c r="U1640" s="4"/>
      <c r="V1640" s="4"/>
      <c r="W1640" s="4"/>
      <c r="X1640" s="4"/>
    </row>
    <row r="1641" spans="17:24" x14ac:dyDescent="0.3">
      <c r="Q1641" s="4"/>
      <c r="R1641" s="4"/>
      <c r="S1641" s="4"/>
      <c r="T1641" s="4"/>
      <c r="U1641" s="4"/>
      <c r="V1641" s="4"/>
      <c r="W1641" s="4"/>
      <c r="X1641" s="4"/>
    </row>
    <row r="1642" spans="17:24" x14ac:dyDescent="0.3">
      <c r="Q1642" s="4"/>
      <c r="R1642" s="4"/>
      <c r="S1642" s="4"/>
      <c r="T1642" s="4"/>
      <c r="U1642" s="4"/>
      <c r="V1642" s="4"/>
      <c r="W1642" s="4"/>
      <c r="X1642" s="4"/>
    </row>
    <row r="1643" spans="17:24" x14ac:dyDescent="0.3">
      <c r="Q1643" s="4"/>
      <c r="R1643" s="4"/>
      <c r="S1643" s="4"/>
      <c r="T1643" s="4"/>
      <c r="U1643" s="4"/>
      <c r="V1643" s="4"/>
      <c r="W1643" s="4"/>
      <c r="X1643" s="4"/>
    </row>
    <row r="1644" spans="17:24" x14ac:dyDescent="0.3">
      <c r="Q1644" s="4"/>
      <c r="R1644" s="4"/>
      <c r="S1644" s="4"/>
      <c r="T1644" s="4"/>
      <c r="U1644" s="4"/>
      <c r="V1644" s="4"/>
      <c r="W1644" s="4"/>
      <c r="X1644" s="4"/>
    </row>
    <row r="1645" spans="17:24" x14ac:dyDescent="0.3">
      <c r="Q1645" s="4"/>
      <c r="R1645" s="4"/>
      <c r="S1645" s="4"/>
      <c r="T1645" s="4"/>
      <c r="U1645" s="4"/>
      <c r="V1645" s="4"/>
      <c r="W1645" s="4"/>
      <c r="X1645" s="4"/>
    </row>
    <row r="1646" spans="17:24" x14ac:dyDescent="0.3">
      <c r="Q1646" s="4"/>
      <c r="R1646" s="4"/>
      <c r="S1646" s="4"/>
      <c r="T1646" s="4"/>
      <c r="U1646" s="4"/>
      <c r="V1646" s="4"/>
      <c r="W1646" s="4"/>
      <c r="X1646" s="4"/>
    </row>
    <row r="1647" spans="17:24" x14ac:dyDescent="0.3">
      <c r="Q1647" s="4"/>
      <c r="R1647" s="4"/>
      <c r="S1647" s="4"/>
      <c r="T1647" s="4"/>
      <c r="U1647" s="4"/>
      <c r="V1647" s="4"/>
      <c r="W1647" s="4"/>
      <c r="X1647" s="4"/>
    </row>
    <row r="1648" spans="17:24" x14ac:dyDescent="0.3">
      <c r="Q1648" s="4"/>
      <c r="R1648" s="4"/>
      <c r="S1648" s="4"/>
      <c r="T1648" s="4"/>
      <c r="U1648" s="4"/>
      <c r="V1648" s="4"/>
      <c r="W1648" s="4"/>
      <c r="X1648" s="4"/>
    </row>
    <row r="1649" spans="17:24" x14ac:dyDescent="0.3">
      <c r="Q1649" s="4"/>
      <c r="R1649" s="4"/>
      <c r="S1649" s="4"/>
      <c r="T1649" s="4"/>
      <c r="U1649" s="4"/>
      <c r="V1649" s="4"/>
      <c r="W1649" s="4"/>
      <c r="X1649" s="4"/>
    </row>
    <row r="1650" spans="17:24" x14ac:dyDescent="0.3">
      <c r="Q1650" s="4"/>
      <c r="R1650" s="4"/>
      <c r="S1650" s="4"/>
      <c r="T1650" s="4"/>
      <c r="U1650" s="4"/>
      <c r="V1650" s="4"/>
      <c r="W1650" s="4"/>
      <c r="X1650" s="4"/>
    </row>
    <row r="1651" spans="17:24" x14ac:dyDescent="0.3">
      <c r="Q1651" s="4"/>
      <c r="R1651" s="4"/>
      <c r="S1651" s="4"/>
      <c r="T1651" s="4"/>
      <c r="U1651" s="4"/>
      <c r="V1651" s="4"/>
      <c r="W1651" s="4"/>
      <c r="X1651" s="4"/>
    </row>
    <row r="1652" spans="17:24" x14ac:dyDescent="0.3">
      <c r="Q1652" s="4"/>
      <c r="R1652" s="4"/>
      <c r="S1652" s="4"/>
      <c r="T1652" s="4"/>
      <c r="U1652" s="4"/>
      <c r="V1652" s="4"/>
      <c r="W1652" s="4"/>
      <c r="X1652" s="4"/>
    </row>
    <row r="1653" spans="17:24" x14ac:dyDescent="0.3">
      <c r="Q1653" s="4"/>
      <c r="R1653" s="4"/>
      <c r="S1653" s="4"/>
      <c r="T1653" s="4"/>
      <c r="U1653" s="4"/>
      <c r="V1653" s="4"/>
      <c r="W1653" s="4"/>
      <c r="X1653" s="4"/>
    </row>
    <row r="1654" spans="17:24" x14ac:dyDescent="0.3">
      <c r="Q1654" s="4"/>
      <c r="R1654" s="4"/>
      <c r="S1654" s="4"/>
      <c r="T1654" s="4"/>
      <c r="U1654" s="4"/>
      <c r="V1654" s="4"/>
      <c r="W1654" s="4"/>
      <c r="X1654" s="4"/>
    </row>
    <row r="1655" spans="17:24" x14ac:dyDescent="0.3">
      <c r="Q1655" s="4"/>
      <c r="R1655" s="4"/>
      <c r="S1655" s="4"/>
      <c r="T1655" s="4"/>
      <c r="U1655" s="4"/>
      <c r="V1655" s="4"/>
      <c r="W1655" s="4"/>
      <c r="X1655" s="4"/>
    </row>
    <row r="1656" spans="17:24" x14ac:dyDescent="0.3">
      <c r="Q1656" s="4"/>
      <c r="R1656" s="4"/>
      <c r="S1656" s="4"/>
      <c r="T1656" s="4"/>
      <c r="U1656" s="4"/>
      <c r="V1656" s="4"/>
      <c r="W1656" s="4"/>
      <c r="X1656" s="4"/>
    </row>
    <row r="1657" spans="17:24" x14ac:dyDescent="0.3">
      <c r="Q1657" s="4"/>
      <c r="R1657" s="4"/>
      <c r="S1657" s="4"/>
      <c r="T1657" s="4"/>
      <c r="U1657" s="4"/>
      <c r="V1657" s="4"/>
      <c r="W1657" s="4"/>
      <c r="X1657" s="4"/>
    </row>
    <row r="1658" spans="17:24" x14ac:dyDescent="0.3">
      <c r="Q1658" s="4"/>
      <c r="R1658" s="4"/>
      <c r="S1658" s="4"/>
      <c r="T1658" s="4"/>
      <c r="U1658" s="4"/>
      <c r="V1658" s="4"/>
      <c r="W1658" s="4"/>
      <c r="X1658" s="4"/>
    </row>
    <row r="1659" spans="17:24" x14ac:dyDescent="0.3">
      <c r="Q1659" s="4"/>
      <c r="R1659" s="4"/>
      <c r="S1659" s="4"/>
      <c r="T1659" s="4"/>
      <c r="U1659" s="4"/>
      <c r="V1659" s="4"/>
      <c r="W1659" s="4"/>
      <c r="X1659" s="4"/>
    </row>
    <row r="1660" spans="17:24" x14ac:dyDescent="0.3">
      <c r="Q1660" s="4"/>
      <c r="R1660" s="4"/>
      <c r="S1660" s="4"/>
      <c r="T1660" s="4"/>
      <c r="U1660" s="4"/>
      <c r="V1660" s="4"/>
      <c r="W1660" s="4"/>
      <c r="X1660" s="4"/>
    </row>
    <row r="1661" spans="17:24" x14ac:dyDescent="0.3">
      <c r="Q1661" s="4"/>
      <c r="R1661" s="4"/>
      <c r="S1661" s="4"/>
      <c r="T1661" s="4"/>
      <c r="U1661" s="4"/>
      <c r="V1661" s="4"/>
      <c r="W1661" s="4"/>
      <c r="X1661" s="4"/>
    </row>
    <row r="1662" spans="17:24" x14ac:dyDescent="0.3">
      <c r="Q1662" s="4"/>
      <c r="R1662" s="4"/>
      <c r="S1662" s="4"/>
      <c r="T1662" s="4"/>
      <c r="U1662" s="4"/>
      <c r="V1662" s="4"/>
      <c r="W1662" s="4"/>
      <c r="X1662" s="4"/>
    </row>
    <row r="1663" spans="17:24" x14ac:dyDescent="0.3">
      <c r="Q1663" s="4"/>
      <c r="R1663" s="4"/>
      <c r="S1663" s="4"/>
      <c r="T1663" s="4"/>
      <c r="U1663" s="4"/>
      <c r="V1663" s="4"/>
      <c r="W1663" s="4"/>
      <c r="X1663" s="4"/>
    </row>
    <row r="1664" spans="17:24" x14ac:dyDescent="0.3">
      <c r="Q1664" s="4"/>
      <c r="R1664" s="4"/>
      <c r="S1664" s="4"/>
      <c r="T1664" s="4"/>
      <c r="U1664" s="4"/>
      <c r="V1664" s="4"/>
      <c r="W1664" s="4"/>
      <c r="X1664" s="4"/>
    </row>
    <row r="1665" spans="17:24" x14ac:dyDescent="0.3">
      <c r="Q1665" s="4"/>
      <c r="R1665" s="4"/>
      <c r="S1665" s="4"/>
      <c r="T1665" s="4"/>
      <c r="U1665" s="4"/>
      <c r="V1665" s="4"/>
      <c r="W1665" s="4"/>
      <c r="X1665" s="4"/>
    </row>
    <row r="1666" spans="17:24" x14ac:dyDescent="0.3">
      <c r="Q1666" s="4"/>
      <c r="R1666" s="4"/>
      <c r="S1666" s="4"/>
      <c r="T1666" s="4"/>
      <c r="U1666" s="4"/>
      <c r="V1666" s="4"/>
      <c r="W1666" s="4"/>
      <c r="X1666" s="4"/>
    </row>
    <row r="1667" spans="17:24" x14ac:dyDescent="0.3">
      <c r="Q1667" s="4"/>
      <c r="R1667" s="4"/>
      <c r="S1667" s="4"/>
      <c r="T1667" s="4"/>
      <c r="U1667" s="4"/>
      <c r="V1667" s="4"/>
      <c r="W1667" s="4"/>
      <c r="X1667" s="4"/>
    </row>
    <row r="1668" spans="17:24" x14ac:dyDescent="0.3">
      <c r="Q1668" s="4"/>
      <c r="R1668" s="4"/>
      <c r="S1668" s="4"/>
      <c r="T1668" s="4"/>
      <c r="U1668" s="4"/>
      <c r="V1668" s="4"/>
      <c r="W1668" s="4"/>
      <c r="X1668" s="4"/>
    </row>
    <row r="1669" spans="17:24" x14ac:dyDescent="0.3">
      <c r="Q1669" s="4"/>
      <c r="R1669" s="4"/>
      <c r="S1669" s="4"/>
      <c r="T1669" s="4"/>
      <c r="U1669" s="4"/>
      <c r="V1669" s="4"/>
      <c r="W1669" s="4"/>
      <c r="X1669" s="4"/>
    </row>
    <row r="1670" spans="17:24" x14ac:dyDescent="0.3">
      <c r="Q1670" s="4"/>
      <c r="R1670" s="4"/>
      <c r="S1670" s="4"/>
      <c r="T1670" s="4"/>
      <c r="U1670" s="4"/>
      <c r="V1670" s="4"/>
      <c r="W1670" s="4"/>
      <c r="X1670" s="4"/>
    </row>
    <row r="1671" spans="17:24" x14ac:dyDescent="0.3">
      <c r="Q1671" s="4"/>
      <c r="R1671" s="4"/>
      <c r="S1671" s="4"/>
      <c r="T1671" s="4"/>
      <c r="U1671" s="4"/>
      <c r="V1671" s="4"/>
      <c r="W1671" s="4"/>
      <c r="X1671" s="4"/>
    </row>
    <row r="1672" spans="17:24" x14ac:dyDescent="0.3">
      <c r="Q1672" s="4"/>
      <c r="R1672" s="4"/>
      <c r="S1672" s="4"/>
      <c r="T1672" s="4"/>
      <c r="U1672" s="4"/>
      <c r="V1672" s="4"/>
      <c r="W1672" s="4"/>
      <c r="X1672" s="4"/>
    </row>
    <row r="1673" spans="17:24" x14ac:dyDescent="0.3">
      <c r="Q1673" s="4"/>
      <c r="R1673" s="4"/>
      <c r="S1673" s="4"/>
      <c r="T1673" s="4"/>
      <c r="U1673" s="4"/>
      <c r="V1673" s="4"/>
      <c r="W1673" s="4"/>
      <c r="X1673" s="4"/>
    </row>
    <row r="1674" spans="17:24" x14ac:dyDescent="0.3">
      <c r="Q1674" s="4"/>
      <c r="R1674" s="4"/>
      <c r="S1674" s="4"/>
      <c r="T1674" s="4"/>
      <c r="U1674" s="4"/>
      <c r="V1674" s="4"/>
      <c r="W1674" s="4"/>
      <c r="X1674" s="4"/>
    </row>
    <row r="1675" spans="17:24" x14ac:dyDescent="0.3">
      <c r="Q1675" s="4"/>
      <c r="R1675" s="4"/>
      <c r="S1675" s="4"/>
      <c r="T1675" s="4"/>
      <c r="U1675" s="4"/>
      <c r="V1675" s="4"/>
      <c r="W1675" s="4"/>
      <c r="X1675" s="4"/>
    </row>
    <row r="1676" spans="17:24" x14ac:dyDescent="0.3">
      <c r="Q1676" s="4"/>
      <c r="R1676" s="4"/>
      <c r="S1676" s="4"/>
      <c r="T1676" s="4"/>
      <c r="U1676" s="4"/>
      <c r="V1676" s="4"/>
      <c r="W1676" s="4"/>
      <c r="X1676" s="4"/>
    </row>
    <row r="1677" spans="17:24" x14ac:dyDescent="0.3">
      <c r="Q1677" s="4"/>
      <c r="R1677" s="4"/>
      <c r="S1677" s="4"/>
      <c r="T1677" s="4"/>
      <c r="U1677" s="4"/>
      <c r="V1677" s="4"/>
      <c r="W1677" s="4"/>
      <c r="X1677" s="4"/>
    </row>
    <row r="1678" spans="17:24" x14ac:dyDescent="0.3">
      <c r="Q1678" s="4"/>
      <c r="R1678" s="4"/>
      <c r="S1678" s="4"/>
      <c r="T1678" s="4"/>
      <c r="U1678" s="4"/>
      <c r="V1678" s="4"/>
      <c r="W1678" s="4"/>
      <c r="X1678" s="4"/>
    </row>
    <row r="1679" spans="17:24" x14ac:dyDescent="0.3">
      <c r="Q1679" s="4"/>
      <c r="R1679" s="4"/>
      <c r="S1679" s="4"/>
      <c r="T1679" s="4"/>
      <c r="U1679" s="4"/>
      <c r="V1679" s="4"/>
      <c r="W1679" s="4"/>
      <c r="X1679" s="4"/>
    </row>
    <row r="1680" spans="17:24" x14ac:dyDescent="0.3">
      <c r="Q1680" s="4"/>
      <c r="R1680" s="4"/>
      <c r="S1680" s="4"/>
      <c r="T1680" s="4"/>
      <c r="U1680" s="4"/>
      <c r="V1680" s="4"/>
      <c r="W1680" s="4"/>
      <c r="X1680" s="4"/>
    </row>
    <row r="1681" spans="17:24" x14ac:dyDescent="0.3">
      <c r="Q1681" s="4"/>
      <c r="R1681" s="4"/>
      <c r="S1681" s="4"/>
      <c r="T1681" s="4"/>
      <c r="U1681" s="4"/>
      <c r="V1681" s="4"/>
      <c r="W1681" s="4"/>
      <c r="X1681" s="4"/>
    </row>
    <row r="1682" spans="17:24" x14ac:dyDescent="0.3">
      <c r="Q1682" s="4"/>
      <c r="R1682" s="4"/>
      <c r="S1682" s="4"/>
      <c r="T1682" s="4"/>
      <c r="U1682" s="4"/>
      <c r="V1682" s="4"/>
      <c r="W1682" s="4"/>
      <c r="X1682" s="4"/>
    </row>
    <row r="1683" spans="17:24" x14ac:dyDescent="0.3">
      <c r="Q1683" s="4"/>
      <c r="R1683" s="4"/>
      <c r="S1683" s="4"/>
      <c r="T1683" s="4"/>
      <c r="U1683" s="4"/>
      <c r="V1683" s="4"/>
      <c r="W1683" s="4"/>
      <c r="X1683" s="4"/>
    </row>
    <row r="1684" spans="17:24" x14ac:dyDescent="0.3">
      <c r="Q1684" s="4"/>
      <c r="R1684" s="4"/>
      <c r="S1684" s="4"/>
      <c r="T1684" s="4"/>
      <c r="U1684" s="4"/>
      <c r="V1684" s="4"/>
      <c r="W1684" s="4"/>
      <c r="X1684" s="4"/>
    </row>
    <row r="1685" spans="17:24" x14ac:dyDescent="0.3">
      <c r="Q1685" s="4"/>
      <c r="R1685" s="4"/>
      <c r="S1685" s="4"/>
      <c r="T1685" s="4"/>
      <c r="U1685" s="4"/>
      <c r="V1685" s="4"/>
      <c r="W1685" s="4"/>
      <c r="X1685" s="4"/>
    </row>
    <row r="1686" spans="17:24" x14ac:dyDescent="0.3">
      <c r="Q1686" s="4"/>
      <c r="R1686" s="4"/>
      <c r="S1686" s="4"/>
      <c r="T1686" s="4"/>
      <c r="U1686" s="4"/>
      <c r="V1686" s="4"/>
      <c r="W1686" s="4"/>
      <c r="X1686" s="4"/>
    </row>
    <row r="1687" spans="17:24" x14ac:dyDescent="0.3">
      <c r="Q1687" s="4"/>
      <c r="R1687" s="4"/>
      <c r="S1687" s="4"/>
      <c r="T1687" s="4"/>
      <c r="U1687" s="4"/>
      <c r="V1687" s="4"/>
      <c r="W1687" s="4"/>
      <c r="X1687" s="4"/>
    </row>
    <row r="1688" spans="17:24" x14ac:dyDescent="0.3">
      <c r="Q1688" s="4"/>
      <c r="R1688" s="4"/>
      <c r="S1688" s="4"/>
      <c r="T1688" s="4"/>
      <c r="U1688" s="4"/>
      <c r="V1688" s="4"/>
      <c r="W1688" s="4"/>
      <c r="X1688" s="4"/>
    </row>
    <row r="1689" spans="17:24" x14ac:dyDescent="0.3">
      <c r="Q1689" s="4"/>
      <c r="R1689" s="4"/>
      <c r="S1689" s="4"/>
      <c r="T1689" s="4"/>
      <c r="U1689" s="4"/>
      <c r="V1689" s="4"/>
      <c r="W1689" s="4"/>
      <c r="X1689" s="4"/>
    </row>
    <row r="1690" spans="17:24" x14ac:dyDescent="0.3">
      <c r="Q1690" s="4"/>
      <c r="R1690" s="4"/>
      <c r="S1690" s="4"/>
      <c r="T1690" s="4"/>
      <c r="U1690" s="4"/>
      <c r="V1690" s="4"/>
      <c r="W1690" s="4"/>
      <c r="X1690" s="4"/>
    </row>
    <row r="1691" spans="17:24" x14ac:dyDescent="0.3">
      <c r="Q1691" s="4"/>
      <c r="R1691" s="4"/>
      <c r="S1691" s="4"/>
      <c r="T1691" s="4"/>
      <c r="U1691" s="4"/>
      <c r="V1691" s="4"/>
      <c r="W1691" s="4"/>
      <c r="X1691" s="4"/>
    </row>
    <row r="1692" spans="17:24" x14ac:dyDescent="0.3">
      <c r="Q1692" s="4"/>
      <c r="R1692" s="4"/>
      <c r="S1692" s="4"/>
      <c r="T1692" s="4"/>
      <c r="U1692" s="4"/>
      <c r="V1692" s="4"/>
      <c r="W1692" s="4"/>
      <c r="X1692" s="4"/>
    </row>
    <row r="1693" spans="17:24" x14ac:dyDescent="0.3">
      <c r="Q1693" s="4"/>
      <c r="R1693" s="4"/>
      <c r="S1693" s="4"/>
      <c r="T1693" s="4"/>
      <c r="U1693" s="4"/>
      <c r="V1693" s="4"/>
      <c r="W1693" s="4"/>
      <c r="X1693" s="4"/>
    </row>
    <row r="1694" spans="17:24" x14ac:dyDescent="0.3">
      <c r="Q1694" s="4"/>
      <c r="R1694" s="4"/>
      <c r="S1694" s="4"/>
      <c r="T1694" s="4"/>
      <c r="U1694" s="4"/>
      <c r="V1694" s="4"/>
      <c r="W1694" s="4"/>
      <c r="X1694" s="4"/>
    </row>
    <row r="1695" spans="17:24" x14ac:dyDescent="0.3">
      <c r="Q1695" s="4"/>
      <c r="R1695" s="4"/>
      <c r="S1695" s="4"/>
      <c r="T1695" s="4"/>
      <c r="U1695" s="4"/>
      <c r="V1695" s="4"/>
      <c r="W1695" s="4"/>
      <c r="X1695" s="4"/>
    </row>
    <row r="1696" spans="17:24" x14ac:dyDescent="0.3">
      <c r="Q1696" s="4"/>
      <c r="R1696" s="4"/>
      <c r="S1696" s="4"/>
      <c r="T1696" s="4"/>
      <c r="U1696" s="4"/>
      <c r="V1696" s="4"/>
      <c r="W1696" s="4"/>
      <c r="X1696" s="4"/>
    </row>
    <row r="1697" spans="17:24" x14ac:dyDescent="0.3">
      <c r="Q1697" s="4"/>
      <c r="R1697" s="4"/>
      <c r="S1697" s="4"/>
      <c r="T1697" s="4"/>
      <c r="U1697" s="4"/>
      <c r="V1697" s="4"/>
      <c r="W1697" s="4"/>
      <c r="X1697" s="4"/>
    </row>
    <row r="1698" spans="17:24" x14ac:dyDescent="0.3">
      <c r="Q1698" s="4"/>
      <c r="R1698" s="4"/>
      <c r="S1698" s="4"/>
      <c r="T1698" s="4"/>
      <c r="U1698" s="4"/>
      <c r="V1698" s="4"/>
      <c r="W1698" s="4"/>
      <c r="X1698" s="4"/>
    </row>
    <row r="1699" spans="17:24" x14ac:dyDescent="0.3">
      <c r="Q1699" s="4"/>
      <c r="R1699" s="4"/>
      <c r="S1699" s="4"/>
      <c r="T1699" s="4"/>
      <c r="U1699" s="4"/>
      <c r="V1699" s="4"/>
      <c r="W1699" s="4"/>
      <c r="X1699" s="4"/>
    </row>
    <row r="1700" spans="17:24" x14ac:dyDescent="0.3">
      <c r="Q1700" s="4"/>
      <c r="R1700" s="4"/>
      <c r="S1700" s="4"/>
      <c r="T1700" s="4"/>
      <c r="U1700" s="4"/>
      <c r="V1700" s="4"/>
      <c r="W1700" s="4"/>
      <c r="X1700" s="4"/>
    </row>
    <row r="1701" spans="17:24" x14ac:dyDescent="0.3">
      <c r="Q1701" s="4"/>
      <c r="R1701" s="4"/>
      <c r="S1701" s="4"/>
      <c r="T1701" s="4"/>
      <c r="U1701" s="4"/>
      <c r="V1701" s="4"/>
      <c r="W1701" s="4"/>
      <c r="X1701" s="4"/>
    </row>
    <row r="1702" spans="17:24" x14ac:dyDescent="0.3">
      <c r="Q1702" s="4"/>
      <c r="R1702" s="4"/>
      <c r="S1702" s="4"/>
      <c r="T1702" s="4"/>
      <c r="U1702" s="4"/>
      <c r="V1702" s="4"/>
      <c r="W1702" s="4"/>
      <c r="X1702" s="4"/>
    </row>
    <row r="1703" spans="17:24" x14ac:dyDescent="0.3">
      <c r="Q1703" s="4"/>
      <c r="R1703" s="4"/>
      <c r="S1703" s="4"/>
      <c r="T1703" s="4"/>
      <c r="U1703" s="4"/>
      <c r="V1703" s="4"/>
      <c r="W1703" s="4"/>
      <c r="X1703" s="4"/>
    </row>
    <row r="1704" spans="17:24" x14ac:dyDescent="0.3">
      <c r="Q1704" s="4"/>
      <c r="R1704" s="4"/>
      <c r="S1704" s="4"/>
      <c r="T1704" s="4"/>
      <c r="U1704" s="4"/>
      <c r="V1704" s="4"/>
      <c r="W1704" s="4"/>
      <c r="X1704" s="4"/>
    </row>
    <row r="1705" spans="17:24" x14ac:dyDescent="0.3">
      <c r="Q1705" s="4"/>
      <c r="R1705" s="4"/>
      <c r="S1705" s="4"/>
      <c r="T1705" s="4"/>
      <c r="U1705" s="4"/>
      <c r="V1705" s="4"/>
      <c r="W1705" s="4"/>
      <c r="X1705" s="4"/>
    </row>
    <row r="1706" spans="17:24" x14ac:dyDescent="0.3">
      <c r="Q1706" s="4"/>
      <c r="R1706" s="4"/>
      <c r="S1706" s="4"/>
      <c r="T1706" s="4"/>
      <c r="U1706" s="4"/>
      <c r="V1706" s="4"/>
      <c r="W1706" s="4"/>
      <c r="X1706" s="4"/>
    </row>
    <row r="1707" spans="17:24" x14ac:dyDescent="0.3">
      <c r="Q1707" s="4"/>
      <c r="R1707" s="4"/>
      <c r="S1707" s="4"/>
      <c r="T1707" s="4"/>
      <c r="U1707" s="4"/>
      <c r="V1707" s="4"/>
      <c r="W1707" s="4"/>
      <c r="X1707" s="4"/>
    </row>
    <row r="1708" spans="17:24" x14ac:dyDescent="0.3">
      <c r="Q1708" s="4"/>
      <c r="R1708" s="4"/>
      <c r="S1708" s="4"/>
      <c r="T1708" s="4"/>
      <c r="U1708" s="4"/>
      <c r="V1708" s="4"/>
      <c r="W1708" s="4"/>
      <c r="X1708" s="4"/>
    </row>
    <row r="1709" spans="17:24" x14ac:dyDescent="0.3">
      <c r="Q1709" s="4"/>
      <c r="R1709" s="4"/>
      <c r="S1709" s="4"/>
      <c r="T1709" s="4"/>
      <c r="U1709" s="4"/>
      <c r="V1709" s="4"/>
      <c r="W1709" s="4"/>
      <c r="X1709" s="4"/>
    </row>
    <row r="1710" spans="17:24" x14ac:dyDescent="0.3">
      <c r="Q1710" s="4"/>
      <c r="R1710" s="4"/>
      <c r="S1710" s="4"/>
      <c r="T1710" s="4"/>
      <c r="U1710" s="4"/>
      <c r="V1710" s="4"/>
      <c r="W1710" s="4"/>
      <c r="X1710" s="4"/>
    </row>
    <row r="1711" spans="17:24" x14ac:dyDescent="0.3">
      <c r="Q1711" s="4"/>
      <c r="R1711" s="4"/>
      <c r="S1711" s="4"/>
      <c r="T1711" s="4"/>
      <c r="U1711" s="4"/>
      <c r="V1711" s="4"/>
      <c r="W1711" s="4"/>
      <c r="X1711" s="4"/>
    </row>
    <row r="1712" spans="17:24" x14ac:dyDescent="0.3">
      <c r="Q1712" s="4"/>
      <c r="R1712" s="4"/>
      <c r="S1712" s="4"/>
      <c r="T1712" s="4"/>
      <c r="U1712" s="4"/>
      <c r="V1712" s="4"/>
      <c r="W1712" s="4"/>
      <c r="X1712" s="4"/>
    </row>
    <row r="1713" spans="17:24" x14ac:dyDescent="0.3">
      <c r="Q1713" s="4"/>
      <c r="R1713" s="4"/>
      <c r="S1713" s="4"/>
      <c r="T1713" s="4"/>
      <c r="U1713" s="4"/>
      <c r="V1713" s="4"/>
      <c r="W1713" s="4"/>
      <c r="X1713" s="4"/>
    </row>
    <row r="1714" spans="17:24" x14ac:dyDescent="0.3">
      <c r="Q1714" s="4"/>
      <c r="R1714" s="4"/>
      <c r="S1714" s="4"/>
      <c r="T1714" s="4"/>
      <c r="U1714" s="4"/>
      <c r="V1714" s="4"/>
      <c r="W1714" s="4"/>
      <c r="X1714" s="4"/>
    </row>
    <row r="1715" spans="17:24" x14ac:dyDescent="0.3">
      <c r="Q1715" s="4"/>
      <c r="R1715" s="4"/>
      <c r="S1715" s="4"/>
      <c r="T1715" s="4"/>
      <c r="U1715" s="4"/>
      <c r="V1715" s="4"/>
      <c r="W1715" s="4"/>
      <c r="X1715" s="4"/>
    </row>
    <row r="1716" spans="17:24" x14ac:dyDescent="0.3">
      <c r="Q1716" s="4"/>
      <c r="R1716" s="4"/>
      <c r="S1716" s="4"/>
      <c r="T1716" s="4"/>
      <c r="U1716" s="4"/>
      <c r="V1716" s="4"/>
      <c r="W1716" s="4"/>
      <c r="X1716" s="4"/>
    </row>
    <row r="1717" spans="17:24" x14ac:dyDescent="0.3">
      <c r="Q1717" s="4"/>
      <c r="R1717" s="4"/>
      <c r="S1717" s="4"/>
      <c r="T1717" s="4"/>
      <c r="U1717" s="4"/>
      <c r="V1717" s="4"/>
      <c r="W1717" s="4"/>
      <c r="X1717" s="4"/>
    </row>
    <row r="1718" spans="17:24" x14ac:dyDescent="0.3">
      <c r="Q1718" s="4"/>
      <c r="R1718" s="4"/>
      <c r="S1718" s="4"/>
      <c r="T1718" s="4"/>
      <c r="U1718" s="4"/>
      <c r="V1718" s="4"/>
      <c r="W1718" s="4"/>
      <c r="X1718" s="4"/>
    </row>
    <row r="1719" spans="17:24" x14ac:dyDescent="0.3">
      <c r="Q1719" s="4"/>
      <c r="R1719" s="4"/>
      <c r="S1719" s="4"/>
      <c r="T1719" s="4"/>
      <c r="U1719" s="4"/>
      <c r="V1719" s="4"/>
      <c r="W1719" s="4"/>
      <c r="X1719" s="4"/>
    </row>
    <row r="1720" spans="17:24" x14ac:dyDescent="0.3">
      <c r="Q1720" s="4"/>
      <c r="R1720" s="4"/>
      <c r="S1720" s="4"/>
      <c r="T1720" s="4"/>
      <c r="U1720" s="4"/>
      <c r="V1720" s="4"/>
      <c r="W1720" s="4"/>
      <c r="X1720" s="4"/>
    </row>
    <row r="1721" spans="17:24" x14ac:dyDescent="0.3">
      <c r="Q1721" s="4"/>
      <c r="R1721" s="4"/>
      <c r="S1721" s="4"/>
      <c r="T1721" s="4"/>
      <c r="U1721" s="4"/>
      <c r="V1721" s="4"/>
      <c r="W1721" s="4"/>
      <c r="X1721" s="4"/>
    </row>
    <row r="1722" spans="17:24" x14ac:dyDescent="0.3">
      <c r="Q1722" s="4"/>
      <c r="R1722" s="4"/>
      <c r="S1722" s="4"/>
      <c r="T1722" s="4"/>
      <c r="U1722" s="4"/>
      <c r="V1722" s="4"/>
      <c r="W1722" s="4"/>
      <c r="X1722" s="4"/>
    </row>
    <row r="1723" spans="17:24" x14ac:dyDescent="0.3">
      <c r="Q1723" s="4"/>
      <c r="R1723" s="4"/>
      <c r="S1723" s="4"/>
      <c r="T1723" s="4"/>
      <c r="U1723" s="4"/>
      <c r="V1723" s="4"/>
      <c r="W1723" s="4"/>
      <c r="X1723" s="4"/>
    </row>
    <row r="1724" spans="17:24" x14ac:dyDescent="0.3">
      <c r="Q1724" s="4"/>
      <c r="R1724" s="4"/>
      <c r="S1724" s="4"/>
      <c r="T1724" s="4"/>
      <c r="U1724" s="4"/>
      <c r="V1724" s="4"/>
      <c r="W1724" s="4"/>
      <c r="X1724" s="4"/>
    </row>
    <row r="1725" spans="17:24" x14ac:dyDescent="0.3">
      <c r="Q1725" s="4"/>
      <c r="R1725" s="4"/>
      <c r="S1725" s="4"/>
      <c r="T1725" s="4"/>
      <c r="U1725" s="4"/>
      <c r="V1725" s="4"/>
      <c r="W1725" s="4"/>
      <c r="X1725" s="4"/>
    </row>
    <row r="1726" spans="17:24" x14ac:dyDescent="0.3">
      <c r="Q1726" s="4"/>
      <c r="R1726" s="4"/>
      <c r="S1726" s="4"/>
      <c r="T1726" s="4"/>
      <c r="U1726" s="4"/>
      <c r="V1726" s="4"/>
      <c r="W1726" s="4"/>
      <c r="X1726" s="4"/>
    </row>
    <row r="1727" spans="17:24" x14ac:dyDescent="0.3">
      <c r="Q1727" s="4"/>
      <c r="R1727" s="4"/>
      <c r="S1727" s="4"/>
      <c r="T1727" s="4"/>
      <c r="U1727" s="4"/>
      <c r="V1727" s="4"/>
      <c r="W1727" s="4"/>
      <c r="X1727" s="4"/>
    </row>
    <row r="1728" spans="17:24" x14ac:dyDescent="0.3">
      <c r="Q1728" s="4"/>
      <c r="R1728" s="4"/>
      <c r="S1728" s="4"/>
      <c r="T1728" s="4"/>
      <c r="U1728" s="4"/>
      <c r="V1728" s="4"/>
      <c r="W1728" s="4"/>
      <c r="X1728" s="4"/>
    </row>
    <row r="1729" spans="17:24" x14ac:dyDescent="0.3">
      <c r="Q1729" s="4"/>
      <c r="R1729" s="4"/>
      <c r="S1729" s="4"/>
      <c r="T1729" s="4"/>
      <c r="U1729" s="4"/>
      <c r="V1729" s="4"/>
      <c r="W1729" s="4"/>
      <c r="X1729" s="4"/>
    </row>
    <row r="1730" spans="17:24" x14ac:dyDescent="0.3">
      <c r="Q1730" s="4"/>
      <c r="R1730" s="4"/>
      <c r="S1730" s="4"/>
      <c r="T1730" s="4"/>
      <c r="U1730" s="4"/>
      <c r="V1730" s="4"/>
      <c r="W1730" s="4"/>
      <c r="X1730" s="4"/>
    </row>
    <row r="1731" spans="17:24" x14ac:dyDescent="0.3">
      <c r="Q1731" s="4"/>
      <c r="R1731" s="4"/>
      <c r="S1731" s="4"/>
      <c r="T1731" s="4"/>
      <c r="U1731" s="4"/>
      <c r="V1731" s="4"/>
      <c r="W1731" s="4"/>
      <c r="X1731" s="4"/>
    </row>
    <row r="1732" spans="17:24" x14ac:dyDescent="0.3">
      <c r="Q1732" s="4"/>
      <c r="R1732" s="4"/>
      <c r="S1732" s="4"/>
      <c r="T1732" s="4"/>
      <c r="U1732" s="4"/>
      <c r="V1732" s="4"/>
      <c r="W1732" s="4"/>
      <c r="X1732" s="4"/>
    </row>
    <row r="1733" spans="17:24" x14ac:dyDescent="0.3">
      <c r="Q1733" s="4"/>
      <c r="R1733" s="4"/>
      <c r="S1733" s="4"/>
      <c r="T1733" s="4"/>
      <c r="U1733" s="4"/>
      <c r="V1733" s="4"/>
      <c r="W1733" s="4"/>
      <c r="X1733" s="4"/>
    </row>
    <row r="1734" spans="17:24" x14ac:dyDescent="0.3">
      <c r="Q1734" s="4"/>
      <c r="R1734" s="4"/>
      <c r="S1734" s="4"/>
      <c r="T1734" s="4"/>
      <c r="U1734" s="4"/>
      <c r="V1734" s="4"/>
      <c r="W1734" s="4"/>
      <c r="X1734" s="4"/>
    </row>
    <row r="1735" spans="17:24" x14ac:dyDescent="0.3">
      <c r="Q1735" s="4"/>
      <c r="R1735" s="4"/>
      <c r="S1735" s="4"/>
      <c r="T1735" s="4"/>
      <c r="U1735" s="4"/>
      <c r="V1735" s="4"/>
      <c r="W1735" s="4"/>
      <c r="X1735" s="4"/>
    </row>
    <row r="1736" spans="17:24" x14ac:dyDescent="0.3">
      <c r="Q1736" s="4"/>
      <c r="R1736" s="4"/>
      <c r="S1736" s="4"/>
      <c r="T1736" s="4"/>
      <c r="U1736" s="4"/>
      <c r="V1736" s="4"/>
      <c r="W1736" s="4"/>
      <c r="X1736" s="4"/>
    </row>
    <row r="1737" spans="17:24" x14ac:dyDescent="0.3">
      <c r="Q1737" s="4"/>
      <c r="R1737" s="4"/>
      <c r="S1737" s="4"/>
      <c r="T1737" s="4"/>
      <c r="U1737" s="4"/>
      <c r="V1737" s="4"/>
      <c r="W1737" s="4"/>
      <c r="X1737" s="4"/>
    </row>
    <row r="1738" spans="17:24" x14ac:dyDescent="0.3">
      <c r="Q1738" s="4"/>
      <c r="R1738" s="4"/>
      <c r="S1738" s="4"/>
      <c r="T1738" s="4"/>
      <c r="U1738" s="4"/>
      <c r="V1738" s="4"/>
      <c r="W1738" s="4"/>
      <c r="X1738" s="4"/>
    </row>
    <row r="1739" spans="17:24" x14ac:dyDescent="0.3">
      <c r="Q1739" s="4"/>
      <c r="R1739" s="4"/>
      <c r="S1739" s="4"/>
      <c r="T1739" s="4"/>
      <c r="U1739" s="4"/>
      <c r="V1739" s="4"/>
      <c r="W1739" s="4"/>
      <c r="X1739" s="4"/>
    </row>
    <row r="1740" spans="17:24" x14ac:dyDescent="0.3">
      <c r="Q1740" s="4"/>
      <c r="R1740" s="4"/>
      <c r="S1740" s="4"/>
      <c r="T1740" s="4"/>
      <c r="U1740" s="4"/>
      <c r="V1740" s="4"/>
      <c r="W1740" s="4"/>
      <c r="X1740" s="4"/>
    </row>
    <row r="1741" spans="17:24" x14ac:dyDescent="0.3">
      <c r="Q1741" s="4"/>
      <c r="R1741" s="4"/>
      <c r="S1741" s="4"/>
      <c r="T1741" s="4"/>
      <c r="U1741" s="4"/>
      <c r="V1741" s="4"/>
      <c r="W1741" s="4"/>
      <c r="X1741" s="4"/>
    </row>
    <row r="1742" spans="17:24" x14ac:dyDescent="0.3">
      <c r="Q1742" s="4"/>
      <c r="R1742" s="4"/>
      <c r="S1742" s="4"/>
      <c r="T1742" s="4"/>
      <c r="U1742" s="4"/>
      <c r="V1742" s="4"/>
      <c r="W1742" s="4"/>
      <c r="X1742" s="4"/>
    </row>
    <row r="1743" spans="17:24" x14ac:dyDescent="0.3">
      <c r="Q1743" s="4"/>
      <c r="R1743" s="4"/>
      <c r="S1743" s="4"/>
      <c r="T1743" s="4"/>
      <c r="U1743" s="4"/>
      <c r="V1743" s="4"/>
      <c r="W1743" s="4"/>
      <c r="X1743" s="4"/>
    </row>
    <row r="1744" spans="17:24" x14ac:dyDescent="0.3">
      <c r="Q1744" s="4"/>
      <c r="R1744" s="4"/>
      <c r="S1744" s="4"/>
      <c r="T1744" s="4"/>
      <c r="U1744" s="4"/>
      <c r="V1744" s="4"/>
      <c r="W1744" s="4"/>
      <c r="X1744" s="4"/>
    </row>
    <row r="1745" spans="17:24" x14ac:dyDescent="0.3">
      <c r="Q1745" s="4"/>
      <c r="R1745" s="4"/>
      <c r="S1745" s="4"/>
      <c r="T1745" s="4"/>
      <c r="U1745" s="4"/>
      <c r="V1745" s="4"/>
      <c r="W1745" s="4"/>
      <c r="X1745" s="4"/>
    </row>
    <row r="1746" spans="17:24" x14ac:dyDescent="0.3">
      <c r="Q1746" s="4"/>
      <c r="R1746" s="4"/>
      <c r="S1746" s="4"/>
      <c r="T1746" s="4"/>
      <c r="U1746" s="4"/>
      <c r="V1746" s="4"/>
      <c r="W1746" s="4"/>
      <c r="X1746" s="4"/>
    </row>
    <row r="1747" spans="17:24" x14ac:dyDescent="0.3">
      <c r="Q1747" s="4"/>
      <c r="R1747" s="4"/>
      <c r="S1747" s="4"/>
      <c r="T1747" s="4"/>
      <c r="U1747" s="4"/>
      <c r="V1747" s="4"/>
      <c r="W1747" s="4"/>
      <c r="X1747" s="4"/>
    </row>
    <row r="1748" spans="17:24" x14ac:dyDescent="0.3">
      <c r="Q1748" s="4"/>
      <c r="R1748" s="4"/>
      <c r="S1748" s="4"/>
      <c r="T1748" s="4"/>
      <c r="U1748" s="4"/>
      <c r="V1748" s="4"/>
      <c r="W1748" s="4"/>
      <c r="X1748" s="4"/>
    </row>
    <row r="1749" spans="17:24" x14ac:dyDescent="0.3">
      <c r="Q1749" s="4"/>
      <c r="R1749" s="4"/>
      <c r="S1749" s="4"/>
      <c r="T1749" s="4"/>
      <c r="U1749" s="4"/>
      <c r="V1749" s="4"/>
      <c r="W1749" s="4"/>
      <c r="X1749" s="4"/>
    </row>
    <row r="1750" spans="17:24" x14ac:dyDescent="0.3">
      <c r="Q1750" s="4"/>
      <c r="R1750" s="4"/>
      <c r="S1750" s="4"/>
      <c r="T1750" s="4"/>
      <c r="U1750" s="4"/>
      <c r="V1750" s="4"/>
      <c r="W1750" s="4"/>
      <c r="X1750" s="4"/>
    </row>
    <row r="1751" spans="17:24" x14ac:dyDescent="0.3">
      <c r="Q1751" s="4"/>
      <c r="R1751" s="4"/>
      <c r="S1751" s="4"/>
      <c r="T1751" s="4"/>
      <c r="U1751" s="4"/>
      <c r="V1751" s="4"/>
      <c r="W1751" s="4"/>
      <c r="X1751" s="4"/>
    </row>
    <row r="1752" spans="17:24" x14ac:dyDescent="0.3">
      <c r="Q1752" s="4"/>
      <c r="R1752" s="4"/>
      <c r="S1752" s="4"/>
      <c r="T1752" s="4"/>
      <c r="U1752" s="4"/>
      <c r="V1752" s="4"/>
      <c r="W1752" s="4"/>
      <c r="X1752" s="4"/>
    </row>
    <row r="1753" spans="17:24" x14ac:dyDescent="0.3">
      <c r="Q1753" s="4"/>
      <c r="R1753" s="4"/>
      <c r="S1753" s="4"/>
      <c r="T1753" s="4"/>
      <c r="U1753" s="4"/>
      <c r="V1753" s="4"/>
      <c r="W1753" s="4"/>
      <c r="X1753" s="4"/>
    </row>
    <row r="1754" spans="17:24" x14ac:dyDescent="0.3">
      <c r="Q1754" s="4"/>
      <c r="R1754" s="4"/>
      <c r="S1754" s="4"/>
      <c r="T1754" s="4"/>
      <c r="U1754" s="4"/>
      <c r="V1754" s="4"/>
      <c r="W1754" s="4"/>
      <c r="X1754" s="4"/>
    </row>
    <row r="1755" spans="17:24" x14ac:dyDescent="0.3">
      <c r="Q1755" s="4"/>
      <c r="R1755" s="4"/>
      <c r="S1755" s="4"/>
      <c r="T1755" s="4"/>
      <c r="U1755" s="4"/>
      <c r="V1755" s="4"/>
      <c r="W1755" s="4"/>
      <c r="X1755" s="4"/>
    </row>
    <row r="1756" spans="17:24" x14ac:dyDescent="0.3">
      <c r="Q1756" s="4"/>
      <c r="R1756" s="4"/>
      <c r="S1756" s="4"/>
      <c r="T1756" s="4"/>
      <c r="U1756" s="4"/>
      <c r="V1756" s="4"/>
      <c r="W1756" s="4"/>
      <c r="X1756" s="4"/>
    </row>
    <row r="1757" spans="17:24" x14ac:dyDescent="0.3">
      <c r="Q1757" s="4"/>
      <c r="R1757" s="4"/>
      <c r="S1757" s="4"/>
      <c r="T1757" s="4"/>
      <c r="U1757" s="4"/>
      <c r="V1757" s="4"/>
      <c r="W1757" s="4"/>
      <c r="X1757" s="4"/>
    </row>
    <row r="1758" spans="17:24" x14ac:dyDescent="0.3">
      <c r="Q1758" s="4"/>
      <c r="R1758" s="4"/>
      <c r="S1758" s="4"/>
      <c r="T1758" s="4"/>
      <c r="U1758" s="4"/>
      <c r="V1758" s="4"/>
      <c r="W1758" s="4"/>
      <c r="X1758" s="4"/>
    </row>
    <row r="1759" spans="17:24" x14ac:dyDescent="0.3">
      <c r="Q1759" s="4"/>
      <c r="R1759" s="4"/>
      <c r="S1759" s="4"/>
      <c r="T1759" s="4"/>
      <c r="U1759" s="4"/>
      <c r="V1759" s="4"/>
      <c r="W1759" s="4"/>
      <c r="X1759" s="4"/>
    </row>
    <row r="1760" spans="17:24" x14ac:dyDescent="0.3">
      <c r="Q1760" s="4"/>
      <c r="R1760" s="4"/>
      <c r="S1760" s="4"/>
      <c r="T1760" s="4"/>
      <c r="U1760" s="4"/>
      <c r="V1760" s="4"/>
      <c r="W1760" s="4"/>
      <c r="X1760" s="4"/>
    </row>
    <row r="1761" spans="17:24" x14ac:dyDescent="0.3">
      <c r="Q1761" s="4"/>
      <c r="R1761" s="4"/>
      <c r="S1761" s="4"/>
      <c r="T1761" s="4"/>
      <c r="U1761" s="4"/>
      <c r="V1761" s="4"/>
      <c r="W1761" s="4"/>
      <c r="X1761" s="4"/>
    </row>
    <row r="1762" spans="17:24" x14ac:dyDescent="0.3">
      <c r="Q1762" s="4"/>
      <c r="R1762" s="4"/>
      <c r="S1762" s="4"/>
      <c r="T1762" s="4"/>
      <c r="U1762" s="4"/>
      <c r="V1762" s="4"/>
      <c r="W1762" s="4"/>
      <c r="X1762" s="4"/>
    </row>
    <row r="1763" spans="17:24" x14ac:dyDescent="0.3">
      <c r="Q1763" s="4"/>
      <c r="R1763" s="4"/>
      <c r="S1763" s="4"/>
      <c r="T1763" s="4"/>
      <c r="U1763" s="4"/>
      <c r="V1763" s="4"/>
      <c r="W1763" s="4"/>
      <c r="X1763" s="4"/>
    </row>
    <row r="1764" spans="17:24" x14ac:dyDescent="0.3">
      <c r="Q1764" s="4"/>
      <c r="R1764" s="4"/>
      <c r="S1764" s="4"/>
      <c r="T1764" s="4"/>
      <c r="U1764" s="4"/>
      <c r="V1764" s="4"/>
      <c r="W1764" s="4"/>
      <c r="X1764" s="4"/>
    </row>
    <row r="1765" spans="17:24" x14ac:dyDescent="0.3">
      <c r="Q1765" s="4"/>
      <c r="R1765" s="4"/>
      <c r="S1765" s="4"/>
      <c r="T1765" s="4"/>
      <c r="U1765" s="4"/>
      <c r="V1765" s="4"/>
      <c r="W1765" s="4"/>
      <c r="X1765" s="4"/>
    </row>
    <row r="1766" spans="17:24" x14ac:dyDescent="0.3">
      <c r="Q1766" s="4"/>
      <c r="R1766" s="4"/>
      <c r="S1766" s="4"/>
      <c r="T1766" s="4"/>
      <c r="U1766" s="4"/>
      <c r="V1766" s="4"/>
      <c r="W1766" s="4"/>
      <c r="X1766" s="4"/>
    </row>
    <row r="1767" spans="17:24" x14ac:dyDescent="0.3">
      <c r="Q1767" s="4"/>
      <c r="R1767" s="4"/>
      <c r="S1767" s="4"/>
      <c r="T1767" s="4"/>
      <c r="U1767" s="4"/>
      <c r="V1767" s="4"/>
      <c r="W1767" s="4"/>
      <c r="X1767" s="4"/>
    </row>
    <row r="1768" spans="17:24" x14ac:dyDescent="0.3">
      <c r="Q1768" s="4"/>
      <c r="R1768" s="4"/>
      <c r="S1768" s="4"/>
      <c r="T1768" s="4"/>
      <c r="U1768" s="4"/>
      <c r="V1768" s="4"/>
      <c r="W1768" s="4"/>
      <c r="X1768" s="4"/>
    </row>
    <row r="1769" spans="17:24" x14ac:dyDescent="0.3">
      <c r="Q1769" s="4"/>
      <c r="R1769" s="4"/>
      <c r="S1769" s="4"/>
      <c r="T1769" s="4"/>
      <c r="U1769" s="4"/>
      <c r="V1769" s="4"/>
      <c r="W1769" s="4"/>
      <c r="X1769" s="4"/>
    </row>
    <row r="1770" spans="17:24" x14ac:dyDescent="0.3">
      <c r="Q1770" s="4"/>
      <c r="R1770" s="4"/>
      <c r="S1770" s="4"/>
      <c r="T1770" s="4"/>
      <c r="U1770" s="4"/>
      <c r="V1770" s="4"/>
      <c r="W1770" s="4"/>
      <c r="X1770" s="4"/>
    </row>
    <row r="1771" spans="17:24" x14ac:dyDescent="0.3">
      <c r="Q1771" s="4"/>
      <c r="R1771" s="4"/>
      <c r="S1771" s="4"/>
      <c r="T1771" s="4"/>
      <c r="U1771" s="4"/>
      <c r="V1771" s="4"/>
      <c r="W1771" s="4"/>
      <c r="X1771" s="4"/>
    </row>
    <row r="1772" spans="17:24" x14ac:dyDescent="0.3">
      <c r="Q1772" s="4"/>
      <c r="R1772" s="4"/>
      <c r="S1772" s="4"/>
      <c r="T1772" s="4"/>
      <c r="U1772" s="4"/>
      <c r="V1772" s="4"/>
      <c r="W1772" s="4"/>
      <c r="X1772" s="4"/>
    </row>
    <row r="1773" spans="17:24" x14ac:dyDescent="0.3">
      <c r="Q1773" s="4"/>
      <c r="R1773" s="4"/>
      <c r="S1773" s="4"/>
      <c r="T1773" s="4"/>
      <c r="U1773" s="4"/>
      <c r="V1773" s="4"/>
      <c r="W1773" s="4"/>
      <c r="X1773" s="4"/>
    </row>
    <row r="1774" spans="17:24" x14ac:dyDescent="0.3">
      <c r="Q1774" s="4"/>
      <c r="R1774" s="4"/>
      <c r="S1774" s="4"/>
      <c r="T1774" s="4"/>
      <c r="U1774" s="4"/>
      <c r="V1774" s="4"/>
      <c r="W1774" s="4"/>
      <c r="X1774" s="4"/>
    </row>
    <row r="1775" spans="17:24" x14ac:dyDescent="0.3">
      <c r="Q1775" s="4"/>
      <c r="R1775" s="4"/>
      <c r="S1775" s="4"/>
      <c r="T1775" s="4"/>
      <c r="U1775" s="4"/>
      <c r="V1775" s="4"/>
      <c r="W1775" s="4"/>
      <c r="X1775" s="4"/>
    </row>
    <row r="1776" spans="17:24" x14ac:dyDescent="0.3">
      <c r="Q1776" s="4"/>
      <c r="R1776" s="4"/>
      <c r="S1776" s="4"/>
      <c r="T1776" s="4"/>
      <c r="U1776" s="4"/>
      <c r="V1776" s="4"/>
      <c r="W1776" s="4"/>
      <c r="X1776" s="4"/>
    </row>
    <row r="1777" spans="17:24" x14ac:dyDescent="0.3">
      <c r="Q1777" s="4"/>
      <c r="R1777" s="4"/>
      <c r="S1777" s="4"/>
      <c r="T1777" s="4"/>
      <c r="U1777" s="4"/>
      <c r="V1777" s="4"/>
      <c r="W1777" s="4"/>
      <c r="X1777" s="4"/>
    </row>
    <row r="1778" spans="17:24" x14ac:dyDescent="0.3">
      <c r="Q1778" s="4"/>
      <c r="R1778" s="4"/>
      <c r="S1778" s="4"/>
      <c r="T1778" s="4"/>
      <c r="U1778" s="4"/>
      <c r="V1778" s="4"/>
      <c r="W1778" s="4"/>
      <c r="X1778" s="4"/>
    </row>
    <row r="1779" spans="17:24" x14ac:dyDescent="0.3">
      <c r="Q1779" s="4"/>
      <c r="R1779" s="4"/>
      <c r="S1779" s="4"/>
      <c r="T1779" s="4"/>
      <c r="U1779" s="4"/>
      <c r="V1779" s="4"/>
      <c r="W1779" s="4"/>
      <c r="X1779" s="4"/>
    </row>
    <row r="1780" spans="17:24" x14ac:dyDescent="0.3">
      <c r="Q1780" s="4"/>
      <c r="R1780" s="4"/>
      <c r="S1780" s="4"/>
      <c r="T1780" s="4"/>
      <c r="U1780" s="4"/>
      <c r="V1780" s="4"/>
      <c r="W1780" s="4"/>
      <c r="X1780" s="4"/>
    </row>
    <row r="1781" spans="17:24" x14ac:dyDescent="0.3">
      <c r="Q1781" s="4"/>
      <c r="R1781" s="4"/>
      <c r="S1781" s="4"/>
      <c r="T1781" s="4"/>
      <c r="U1781" s="4"/>
      <c r="V1781" s="4"/>
      <c r="W1781" s="4"/>
      <c r="X1781" s="4"/>
    </row>
    <row r="1782" spans="17:24" x14ac:dyDescent="0.3">
      <c r="Q1782" s="4"/>
      <c r="R1782" s="4"/>
      <c r="S1782" s="4"/>
      <c r="T1782" s="4"/>
      <c r="U1782" s="4"/>
      <c r="V1782" s="4"/>
      <c r="W1782" s="4"/>
      <c r="X1782" s="4"/>
    </row>
    <row r="1783" spans="17:24" x14ac:dyDescent="0.3">
      <c r="Q1783" s="4"/>
      <c r="R1783" s="4"/>
      <c r="S1783" s="4"/>
      <c r="T1783" s="4"/>
      <c r="U1783" s="4"/>
      <c r="V1783" s="4"/>
      <c r="W1783" s="4"/>
      <c r="X1783" s="4"/>
    </row>
    <row r="1784" spans="17:24" x14ac:dyDescent="0.3">
      <c r="Q1784" s="4"/>
      <c r="R1784" s="4"/>
      <c r="S1784" s="4"/>
      <c r="T1784" s="4"/>
      <c r="U1784" s="4"/>
      <c r="V1784" s="4"/>
      <c r="W1784" s="4"/>
      <c r="X1784" s="4"/>
    </row>
    <row r="1785" spans="17:24" x14ac:dyDescent="0.3">
      <c r="Q1785" s="4"/>
      <c r="R1785" s="4"/>
      <c r="S1785" s="4"/>
      <c r="T1785" s="4"/>
      <c r="U1785" s="4"/>
      <c r="V1785" s="4"/>
      <c r="W1785" s="4"/>
      <c r="X1785" s="4"/>
    </row>
    <row r="1786" spans="17:24" x14ac:dyDescent="0.3">
      <c r="Q1786" s="4"/>
      <c r="R1786" s="4"/>
      <c r="S1786" s="4"/>
      <c r="T1786" s="4"/>
      <c r="U1786" s="4"/>
      <c r="V1786" s="4"/>
      <c r="W1786" s="4"/>
      <c r="X1786" s="4"/>
    </row>
    <row r="1787" spans="17:24" x14ac:dyDescent="0.3">
      <c r="Q1787" s="4"/>
      <c r="R1787" s="4"/>
      <c r="S1787" s="4"/>
      <c r="T1787" s="4"/>
      <c r="U1787" s="4"/>
      <c r="V1787" s="4"/>
      <c r="W1787" s="4"/>
      <c r="X1787" s="4"/>
    </row>
    <row r="1788" spans="17:24" x14ac:dyDescent="0.3">
      <c r="Q1788" s="4"/>
      <c r="R1788" s="4"/>
      <c r="S1788" s="4"/>
      <c r="T1788" s="4"/>
      <c r="U1788" s="4"/>
      <c r="V1788" s="4"/>
      <c r="W1788" s="4"/>
      <c r="X1788" s="4"/>
    </row>
    <row r="1789" spans="17:24" x14ac:dyDescent="0.3">
      <c r="Q1789" s="4"/>
      <c r="R1789" s="4"/>
      <c r="S1789" s="4"/>
      <c r="T1789" s="4"/>
      <c r="U1789" s="4"/>
      <c r="V1789" s="4"/>
      <c r="W1789" s="4"/>
      <c r="X1789" s="4"/>
    </row>
    <row r="1790" spans="17:24" x14ac:dyDescent="0.3">
      <c r="Q1790" s="4"/>
      <c r="R1790" s="4"/>
      <c r="S1790" s="4"/>
      <c r="T1790" s="4"/>
      <c r="U1790" s="4"/>
      <c r="V1790" s="4"/>
      <c r="W1790" s="4"/>
      <c r="X1790" s="4"/>
    </row>
    <row r="1791" spans="17:24" x14ac:dyDescent="0.3">
      <c r="Q1791" s="4"/>
      <c r="R1791" s="4"/>
      <c r="S1791" s="4"/>
      <c r="T1791" s="4"/>
      <c r="U1791" s="4"/>
      <c r="V1791" s="4"/>
      <c r="W1791" s="4"/>
      <c r="X1791" s="4"/>
    </row>
    <row r="1792" spans="17:24" x14ac:dyDescent="0.3">
      <c r="Q1792" s="4"/>
      <c r="R1792" s="4"/>
      <c r="S1792" s="4"/>
      <c r="T1792" s="4"/>
      <c r="U1792" s="4"/>
      <c r="V1792" s="4"/>
      <c r="W1792" s="4"/>
      <c r="X1792" s="4"/>
    </row>
    <row r="1793" spans="17:24" x14ac:dyDescent="0.3">
      <c r="Q1793" s="4"/>
      <c r="R1793" s="4"/>
      <c r="S1793" s="4"/>
      <c r="T1793" s="4"/>
      <c r="U1793" s="4"/>
      <c r="V1793" s="4"/>
      <c r="W1793" s="4"/>
      <c r="X1793" s="4"/>
    </row>
    <row r="1794" spans="17:24" x14ac:dyDescent="0.3">
      <c r="Q1794" s="4"/>
      <c r="R1794" s="4"/>
      <c r="S1794" s="4"/>
      <c r="T1794" s="4"/>
      <c r="U1794" s="4"/>
      <c r="V1794" s="4"/>
      <c r="W1794" s="4"/>
      <c r="X1794" s="4"/>
    </row>
    <row r="1795" spans="17:24" x14ac:dyDescent="0.3">
      <c r="Q1795" s="4"/>
      <c r="R1795" s="4"/>
      <c r="S1795" s="4"/>
      <c r="T1795" s="4"/>
      <c r="U1795" s="4"/>
      <c r="V1795" s="4"/>
      <c r="W1795" s="4"/>
      <c r="X1795" s="4"/>
    </row>
    <row r="1796" spans="17:24" x14ac:dyDescent="0.3">
      <c r="Q1796" s="4"/>
      <c r="R1796" s="4"/>
      <c r="S1796" s="4"/>
      <c r="T1796" s="4"/>
      <c r="U1796" s="4"/>
      <c r="V1796" s="4"/>
      <c r="W1796" s="4"/>
      <c r="X1796" s="4"/>
    </row>
    <row r="1797" spans="17:24" x14ac:dyDescent="0.3">
      <c r="Q1797" s="4"/>
      <c r="R1797" s="4"/>
      <c r="S1797" s="4"/>
      <c r="T1797" s="4"/>
      <c r="U1797" s="4"/>
      <c r="V1797" s="4"/>
      <c r="W1797" s="4"/>
      <c r="X1797" s="4"/>
    </row>
    <row r="1798" spans="17:24" x14ac:dyDescent="0.3">
      <c r="Q1798" s="4"/>
      <c r="R1798" s="4"/>
      <c r="S1798" s="4"/>
      <c r="T1798" s="4"/>
      <c r="U1798" s="4"/>
      <c r="V1798" s="4"/>
      <c r="W1798" s="4"/>
      <c r="X1798" s="4"/>
    </row>
    <row r="1799" spans="17:24" x14ac:dyDescent="0.3">
      <c r="Q1799" s="4"/>
      <c r="R1799" s="4"/>
      <c r="S1799" s="4"/>
      <c r="T1799" s="4"/>
      <c r="U1799" s="4"/>
      <c r="V1799" s="4"/>
      <c r="W1799" s="4"/>
      <c r="X1799" s="4"/>
    </row>
    <row r="1800" spans="17:24" x14ac:dyDescent="0.3">
      <c r="Q1800" s="4"/>
      <c r="R1800" s="4"/>
      <c r="S1800" s="4"/>
      <c r="T1800" s="4"/>
      <c r="U1800" s="4"/>
      <c r="V1800" s="4"/>
      <c r="W1800" s="4"/>
      <c r="X1800" s="4"/>
    </row>
    <row r="1801" spans="17:24" x14ac:dyDescent="0.3">
      <c r="Q1801" s="4"/>
      <c r="R1801" s="4"/>
      <c r="S1801" s="4"/>
      <c r="T1801" s="4"/>
      <c r="U1801" s="4"/>
      <c r="V1801" s="4"/>
      <c r="W1801" s="4"/>
      <c r="X1801" s="4"/>
    </row>
    <row r="1802" spans="17:24" x14ac:dyDescent="0.3">
      <c r="Q1802" s="4"/>
      <c r="R1802" s="4"/>
      <c r="S1802" s="4"/>
      <c r="T1802" s="4"/>
      <c r="U1802" s="4"/>
      <c r="V1802" s="4"/>
      <c r="W1802" s="4"/>
      <c r="X1802" s="4"/>
    </row>
    <row r="1803" spans="17:24" x14ac:dyDescent="0.3">
      <c r="Q1803" s="4"/>
      <c r="R1803" s="4"/>
      <c r="S1803" s="4"/>
      <c r="T1803" s="4"/>
      <c r="U1803" s="4"/>
      <c r="V1803" s="4"/>
      <c r="W1803" s="4"/>
      <c r="X1803" s="4"/>
    </row>
    <row r="1804" spans="17:24" x14ac:dyDescent="0.3">
      <c r="Q1804" s="4"/>
      <c r="R1804" s="4"/>
      <c r="S1804" s="4"/>
      <c r="T1804" s="4"/>
      <c r="U1804" s="4"/>
      <c r="V1804" s="4"/>
      <c r="W1804" s="4"/>
      <c r="X1804" s="4"/>
    </row>
    <row r="1805" spans="17:24" x14ac:dyDescent="0.3">
      <c r="Q1805" s="4"/>
      <c r="R1805" s="4"/>
      <c r="S1805" s="4"/>
      <c r="T1805" s="4"/>
      <c r="U1805" s="4"/>
      <c r="V1805" s="4"/>
      <c r="W1805" s="4"/>
      <c r="X1805" s="4"/>
    </row>
    <row r="1806" spans="17:24" x14ac:dyDescent="0.3">
      <c r="Q1806" s="4"/>
      <c r="R1806" s="4"/>
      <c r="S1806" s="4"/>
      <c r="T1806" s="4"/>
      <c r="U1806" s="4"/>
      <c r="V1806" s="4"/>
      <c r="W1806" s="4"/>
      <c r="X1806" s="4"/>
    </row>
    <row r="1807" spans="17:24" x14ac:dyDescent="0.3">
      <c r="Q1807" s="4"/>
      <c r="R1807" s="4"/>
      <c r="S1807" s="4"/>
      <c r="T1807" s="4"/>
      <c r="U1807" s="4"/>
      <c r="V1807" s="4"/>
      <c r="W1807" s="4"/>
      <c r="X1807" s="4"/>
    </row>
    <row r="1808" spans="17:24" x14ac:dyDescent="0.3">
      <c r="Q1808" s="4"/>
      <c r="R1808" s="4"/>
      <c r="S1808" s="4"/>
      <c r="T1808" s="4"/>
      <c r="U1808" s="4"/>
      <c r="V1808" s="4"/>
      <c r="W1808" s="4"/>
      <c r="X1808" s="4"/>
    </row>
    <row r="1809" spans="17:24" x14ac:dyDescent="0.3">
      <c r="Q1809" s="4"/>
      <c r="R1809" s="4"/>
      <c r="S1809" s="4"/>
      <c r="T1809" s="4"/>
      <c r="U1809" s="4"/>
      <c r="V1809" s="4"/>
      <c r="W1809" s="4"/>
      <c r="X1809" s="4"/>
    </row>
    <row r="1810" spans="17:24" x14ac:dyDescent="0.3">
      <c r="Q1810" s="4"/>
      <c r="R1810" s="4"/>
      <c r="S1810" s="4"/>
      <c r="T1810" s="4"/>
      <c r="U1810" s="4"/>
      <c r="V1810" s="4"/>
      <c r="W1810" s="4"/>
      <c r="X1810" s="4"/>
    </row>
    <row r="1811" spans="17:24" x14ac:dyDescent="0.3">
      <c r="Q1811" s="4"/>
      <c r="R1811" s="4"/>
      <c r="S1811" s="4"/>
      <c r="T1811" s="4"/>
      <c r="U1811" s="4"/>
      <c r="V1811" s="4"/>
      <c r="W1811" s="4"/>
      <c r="X1811" s="4"/>
    </row>
    <row r="1812" spans="17:24" x14ac:dyDescent="0.3">
      <c r="Q1812" s="4"/>
      <c r="R1812" s="4"/>
      <c r="S1812" s="4"/>
      <c r="T1812" s="4"/>
      <c r="U1812" s="4"/>
      <c r="V1812" s="4"/>
      <c r="W1812" s="4"/>
      <c r="X1812" s="4"/>
    </row>
    <row r="1813" spans="17:24" x14ac:dyDescent="0.3">
      <c r="Q1813" s="4"/>
      <c r="R1813" s="4"/>
      <c r="S1813" s="4"/>
      <c r="T1813" s="4"/>
      <c r="U1813" s="4"/>
      <c r="V1813" s="4"/>
      <c r="W1813" s="4"/>
      <c r="X1813" s="4"/>
    </row>
    <row r="1814" spans="17:24" x14ac:dyDescent="0.3">
      <c r="Q1814" s="4"/>
      <c r="R1814" s="4"/>
      <c r="S1814" s="4"/>
      <c r="T1814" s="4"/>
      <c r="U1814" s="4"/>
      <c r="V1814" s="4"/>
      <c r="W1814" s="4"/>
      <c r="X1814" s="4"/>
    </row>
    <row r="1815" spans="17:24" x14ac:dyDescent="0.3">
      <c r="Q1815" s="4"/>
      <c r="R1815" s="4"/>
      <c r="S1815" s="4"/>
      <c r="T1815" s="4"/>
      <c r="U1815" s="4"/>
      <c r="V1815" s="4"/>
      <c r="W1815" s="4"/>
      <c r="X1815" s="4"/>
    </row>
    <row r="1816" spans="17:24" x14ac:dyDescent="0.3">
      <c r="Q1816" s="4"/>
      <c r="R1816" s="4"/>
      <c r="S1816" s="4"/>
      <c r="T1816" s="4"/>
      <c r="U1816" s="4"/>
      <c r="V1816" s="4"/>
      <c r="W1816" s="4"/>
      <c r="X1816" s="4"/>
    </row>
    <row r="1817" spans="17:24" x14ac:dyDescent="0.3">
      <c r="Q1817" s="4"/>
      <c r="R1817" s="4"/>
      <c r="S1817" s="4"/>
      <c r="T1817" s="4"/>
      <c r="U1817" s="4"/>
      <c r="V1817" s="4"/>
      <c r="W1817" s="4"/>
      <c r="X1817" s="4"/>
    </row>
    <row r="1818" spans="17:24" x14ac:dyDescent="0.3">
      <c r="Q1818" s="4"/>
      <c r="R1818" s="4"/>
      <c r="S1818" s="4"/>
      <c r="T1818" s="4"/>
      <c r="U1818" s="4"/>
      <c r="V1818" s="4"/>
      <c r="W1818" s="4"/>
      <c r="X1818" s="4"/>
    </row>
    <row r="1819" spans="17:24" x14ac:dyDescent="0.3">
      <c r="Q1819" s="4"/>
      <c r="R1819" s="4"/>
      <c r="S1819" s="4"/>
      <c r="T1819" s="4"/>
      <c r="U1819" s="4"/>
      <c r="V1819" s="4"/>
      <c r="W1819" s="4"/>
      <c r="X1819" s="4"/>
    </row>
    <row r="1820" spans="17:24" x14ac:dyDescent="0.3">
      <c r="Q1820" s="4"/>
      <c r="R1820" s="4"/>
      <c r="S1820" s="4"/>
      <c r="T1820" s="4"/>
      <c r="U1820" s="4"/>
      <c r="V1820" s="4"/>
      <c r="W1820" s="4"/>
      <c r="X1820" s="4"/>
    </row>
    <row r="1821" spans="17:24" x14ac:dyDescent="0.3">
      <c r="Q1821" s="4"/>
      <c r="R1821" s="4"/>
      <c r="S1821" s="4"/>
      <c r="T1821" s="4"/>
      <c r="U1821" s="4"/>
      <c r="V1821" s="4"/>
      <c r="W1821" s="4"/>
      <c r="X1821" s="4"/>
    </row>
    <row r="1822" spans="17:24" x14ac:dyDescent="0.3">
      <c r="Q1822" s="4"/>
      <c r="R1822" s="4"/>
      <c r="S1822" s="4"/>
      <c r="T1822" s="4"/>
      <c r="U1822" s="4"/>
      <c r="V1822" s="4"/>
      <c r="W1822" s="4"/>
      <c r="X1822" s="4"/>
    </row>
    <row r="1823" spans="17:24" x14ac:dyDescent="0.3">
      <c r="Q1823" s="4"/>
      <c r="R1823" s="4"/>
      <c r="S1823" s="4"/>
      <c r="T1823" s="4"/>
      <c r="U1823" s="4"/>
      <c r="V1823" s="4"/>
      <c r="W1823" s="4"/>
      <c r="X1823" s="4"/>
    </row>
    <row r="1824" spans="17:24" x14ac:dyDescent="0.3">
      <c r="Q1824" s="4"/>
      <c r="R1824" s="4"/>
      <c r="S1824" s="4"/>
      <c r="T1824" s="4"/>
      <c r="U1824" s="4"/>
      <c r="V1824" s="4"/>
      <c r="W1824" s="4"/>
      <c r="X1824" s="4"/>
    </row>
    <row r="1825" spans="17:24" x14ac:dyDescent="0.3">
      <c r="Q1825" s="4"/>
      <c r="R1825" s="4"/>
      <c r="S1825" s="4"/>
      <c r="T1825" s="4"/>
      <c r="U1825" s="4"/>
      <c r="V1825" s="4"/>
      <c r="W1825" s="4"/>
      <c r="X1825" s="4"/>
    </row>
    <row r="1826" spans="17:24" x14ac:dyDescent="0.3">
      <c r="Q1826" s="4"/>
      <c r="R1826" s="4"/>
      <c r="S1826" s="4"/>
      <c r="T1826" s="4"/>
      <c r="U1826" s="4"/>
      <c r="V1826" s="4"/>
      <c r="W1826" s="4"/>
      <c r="X1826" s="4"/>
    </row>
    <row r="1827" spans="17:24" x14ac:dyDescent="0.3">
      <c r="Q1827" s="4"/>
      <c r="R1827" s="4"/>
      <c r="S1827" s="4"/>
      <c r="T1827" s="4"/>
      <c r="U1827" s="4"/>
      <c r="V1827" s="4"/>
      <c r="W1827" s="4"/>
      <c r="X1827" s="4"/>
    </row>
    <row r="1828" spans="17:24" x14ac:dyDescent="0.3">
      <c r="Q1828" s="4"/>
      <c r="R1828" s="4"/>
      <c r="S1828" s="4"/>
      <c r="T1828" s="4"/>
      <c r="U1828" s="4"/>
      <c r="V1828" s="4"/>
      <c r="W1828" s="4"/>
      <c r="X1828" s="4"/>
    </row>
    <row r="1829" spans="17:24" x14ac:dyDescent="0.3">
      <c r="Q1829" s="4"/>
      <c r="R1829" s="4"/>
      <c r="S1829" s="4"/>
      <c r="T1829" s="4"/>
      <c r="U1829" s="4"/>
      <c r="V1829" s="4"/>
      <c r="W1829" s="4"/>
      <c r="X1829" s="4"/>
    </row>
    <row r="1830" spans="17:24" x14ac:dyDescent="0.3">
      <c r="Q1830" s="4"/>
      <c r="R1830" s="4"/>
      <c r="S1830" s="4"/>
      <c r="T1830" s="4"/>
      <c r="U1830" s="4"/>
      <c r="V1830" s="4"/>
      <c r="W1830" s="4"/>
      <c r="X1830" s="4"/>
    </row>
    <row r="1831" spans="17:24" x14ac:dyDescent="0.3">
      <c r="Q1831" s="4"/>
      <c r="R1831" s="4"/>
      <c r="S1831" s="4"/>
      <c r="T1831" s="4"/>
      <c r="U1831" s="4"/>
      <c r="V1831" s="4"/>
      <c r="W1831" s="4"/>
      <c r="X1831" s="4"/>
    </row>
    <row r="1832" spans="17:24" x14ac:dyDescent="0.3">
      <c r="Q1832" s="4"/>
      <c r="R1832" s="4"/>
      <c r="S1832" s="4"/>
      <c r="T1832" s="4"/>
      <c r="U1832" s="4"/>
      <c r="V1832" s="4"/>
      <c r="W1832" s="4"/>
      <c r="X1832" s="4"/>
    </row>
    <row r="1833" spans="17:24" x14ac:dyDescent="0.3">
      <c r="Q1833" s="4"/>
      <c r="R1833" s="4"/>
      <c r="S1833" s="4"/>
      <c r="T1833" s="4"/>
      <c r="U1833" s="4"/>
      <c r="V1833" s="4"/>
      <c r="W1833" s="4"/>
      <c r="X1833" s="4"/>
    </row>
    <row r="1834" spans="17:24" x14ac:dyDescent="0.3">
      <c r="Q1834" s="4"/>
      <c r="R1834" s="4"/>
      <c r="S1834" s="4"/>
      <c r="T1834" s="4"/>
      <c r="U1834" s="4"/>
      <c r="V1834" s="4"/>
      <c r="W1834" s="4"/>
      <c r="X1834" s="4"/>
    </row>
    <row r="1835" spans="17:24" x14ac:dyDescent="0.3">
      <c r="Q1835" s="4"/>
      <c r="R1835" s="4"/>
      <c r="S1835" s="4"/>
      <c r="T1835" s="4"/>
      <c r="U1835" s="4"/>
      <c r="V1835" s="4"/>
      <c r="W1835" s="4"/>
      <c r="X1835" s="4"/>
    </row>
    <row r="1836" spans="17:24" x14ac:dyDescent="0.3">
      <c r="Q1836" s="4"/>
      <c r="R1836" s="4"/>
      <c r="S1836" s="4"/>
      <c r="T1836" s="4"/>
      <c r="U1836" s="4"/>
      <c r="V1836" s="4"/>
      <c r="W1836" s="4"/>
      <c r="X1836" s="4"/>
    </row>
    <row r="1837" spans="17:24" x14ac:dyDescent="0.3">
      <c r="Q1837" s="4"/>
      <c r="R1837" s="4"/>
      <c r="S1837" s="4"/>
      <c r="T1837" s="4"/>
      <c r="U1837" s="4"/>
      <c r="V1837" s="4"/>
      <c r="W1837" s="4"/>
      <c r="X1837" s="4"/>
    </row>
    <row r="1838" spans="17:24" x14ac:dyDescent="0.3">
      <c r="Q1838" s="4"/>
      <c r="R1838" s="4"/>
      <c r="S1838" s="4"/>
      <c r="T1838" s="4"/>
      <c r="U1838" s="4"/>
      <c r="V1838" s="4"/>
      <c r="W1838" s="4"/>
      <c r="X1838" s="4"/>
    </row>
    <row r="1839" spans="17:24" x14ac:dyDescent="0.3">
      <c r="Q1839" s="4"/>
      <c r="R1839" s="4"/>
      <c r="S1839" s="4"/>
      <c r="T1839" s="4"/>
      <c r="U1839" s="4"/>
      <c r="V1839" s="4"/>
      <c r="W1839" s="4"/>
      <c r="X1839" s="4"/>
    </row>
    <row r="1840" spans="17:24" x14ac:dyDescent="0.3">
      <c r="Q1840" s="4"/>
      <c r="R1840" s="4"/>
      <c r="S1840" s="4"/>
      <c r="T1840" s="4"/>
      <c r="U1840" s="4"/>
      <c r="V1840" s="4"/>
      <c r="W1840" s="4"/>
      <c r="X1840" s="4"/>
    </row>
    <row r="1841" spans="17:24" x14ac:dyDescent="0.3">
      <c r="Q1841" s="4"/>
      <c r="R1841" s="4"/>
      <c r="S1841" s="4"/>
      <c r="T1841" s="4"/>
      <c r="U1841" s="4"/>
      <c r="V1841" s="4"/>
      <c r="W1841" s="4"/>
      <c r="X1841" s="4"/>
    </row>
    <row r="1842" spans="17:24" x14ac:dyDescent="0.3">
      <c r="Q1842" s="4"/>
      <c r="R1842" s="4"/>
      <c r="S1842" s="4"/>
      <c r="T1842" s="4"/>
      <c r="U1842" s="4"/>
      <c r="V1842" s="4"/>
      <c r="W1842" s="4"/>
      <c r="X1842" s="4"/>
    </row>
    <row r="1843" spans="17:24" x14ac:dyDescent="0.3">
      <c r="Q1843" s="4"/>
      <c r="R1843" s="4"/>
      <c r="S1843" s="4"/>
      <c r="T1843" s="4"/>
      <c r="U1843" s="4"/>
      <c r="V1843" s="4"/>
      <c r="W1843" s="4"/>
      <c r="X1843" s="4"/>
    </row>
    <row r="1844" spans="17:24" x14ac:dyDescent="0.3">
      <c r="Q1844" s="4"/>
      <c r="R1844" s="4"/>
      <c r="S1844" s="4"/>
      <c r="T1844" s="4"/>
      <c r="U1844" s="4"/>
      <c r="V1844" s="4"/>
      <c r="W1844" s="4"/>
      <c r="X1844" s="4"/>
    </row>
    <row r="1845" spans="17:24" x14ac:dyDescent="0.3">
      <c r="Q1845" s="4"/>
      <c r="R1845" s="4"/>
      <c r="S1845" s="4"/>
      <c r="T1845" s="4"/>
      <c r="U1845" s="4"/>
      <c r="V1845" s="4"/>
      <c r="W1845" s="4"/>
      <c r="X1845" s="4"/>
    </row>
    <row r="1846" spans="17:24" x14ac:dyDescent="0.3">
      <c r="Q1846" s="4"/>
      <c r="R1846" s="4"/>
      <c r="S1846" s="4"/>
      <c r="T1846" s="4"/>
      <c r="U1846" s="4"/>
      <c r="V1846" s="4"/>
      <c r="W1846" s="4"/>
      <c r="X1846" s="4"/>
    </row>
    <row r="1847" spans="17:24" x14ac:dyDescent="0.3">
      <c r="Q1847" s="4"/>
      <c r="R1847" s="4"/>
      <c r="S1847" s="4"/>
      <c r="T1847" s="4"/>
      <c r="U1847" s="4"/>
      <c r="V1847" s="4"/>
      <c r="W1847" s="4"/>
      <c r="X1847" s="4"/>
    </row>
    <row r="1848" spans="17:24" x14ac:dyDescent="0.3">
      <c r="Q1848" s="4"/>
      <c r="R1848" s="4"/>
      <c r="S1848" s="4"/>
      <c r="T1848" s="4"/>
      <c r="U1848" s="4"/>
      <c r="V1848" s="4"/>
      <c r="W1848" s="4"/>
      <c r="X1848" s="4"/>
    </row>
    <row r="1849" spans="17:24" x14ac:dyDescent="0.3">
      <c r="Q1849" s="4"/>
      <c r="R1849" s="4"/>
      <c r="S1849" s="4"/>
      <c r="T1849" s="4"/>
      <c r="U1849" s="4"/>
      <c r="V1849" s="4"/>
      <c r="W1849" s="4"/>
      <c r="X1849" s="4"/>
    </row>
    <row r="1850" spans="17:24" x14ac:dyDescent="0.3">
      <c r="Q1850" s="4"/>
      <c r="R1850" s="4"/>
      <c r="S1850" s="4"/>
      <c r="T1850" s="4"/>
      <c r="U1850" s="4"/>
      <c r="V1850" s="4"/>
      <c r="W1850" s="4"/>
      <c r="X1850" s="4"/>
    </row>
    <row r="1851" spans="17:24" x14ac:dyDescent="0.3">
      <c r="Q1851" s="4"/>
      <c r="R1851" s="4"/>
      <c r="S1851" s="4"/>
      <c r="T1851" s="4"/>
      <c r="U1851" s="4"/>
      <c r="V1851" s="4"/>
      <c r="W1851" s="4"/>
      <c r="X1851" s="4"/>
    </row>
    <row r="1852" spans="17:24" x14ac:dyDescent="0.3">
      <c r="Q1852" s="4"/>
      <c r="R1852" s="4"/>
      <c r="S1852" s="4"/>
      <c r="T1852" s="4"/>
      <c r="U1852" s="4"/>
      <c r="V1852" s="4"/>
      <c r="W1852" s="4"/>
      <c r="X1852" s="4"/>
    </row>
    <row r="1853" spans="17:24" x14ac:dyDescent="0.3">
      <c r="Q1853" s="4"/>
      <c r="R1853" s="4"/>
      <c r="S1853" s="4"/>
      <c r="T1853" s="4"/>
      <c r="U1853" s="4"/>
      <c r="V1853" s="4"/>
      <c r="W1853" s="4"/>
      <c r="X1853" s="4"/>
    </row>
    <row r="1854" spans="17:24" x14ac:dyDescent="0.3">
      <c r="Q1854" s="4"/>
      <c r="R1854" s="4"/>
      <c r="S1854" s="4"/>
      <c r="T1854" s="4"/>
      <c r="U1854" s="4"/>
      <c r="V1854" s="4"/>
      <c r="W1854" s="4"/>
      <c r="X1854" s="4"/>
    </row>
    <row r="1855" spans="17:24" x14ac:dyDescent="0.3">
      <c r="Q1855" s="4"/>
      <c r="R1855" s="4"/>
      <c r="S1855" s="4"/>
      <c r="T1855" s="4"/>
      <c r="U1855" s="4"/>
      <c r="V1855" s="4"/>
      <c r="W1855" s="4"/>
      <c r="X1855" s="4"/>
    </row>
    <row r="1856" spans="17:24" x14ac:dyDescent="0.3">
      <c r="Q1856" s="4"/>
      <c r="R1856" s="4"/>
      <c r="S1856" s="4"/>
      <c r="T1856" s="4"/>
      <c r="U1856" s="4"/>
      <c r="V1856" s="4"/>
      <c r="W1856" s="4"/>
      <c r="X1856" s="4"/>
    </row>
    <row r="1857" spans="17:24" x14ac:dyDescent="0.3">
      <c r="Q1857" s="4"/>
      <c r="R1857" s="4"/>
      <c r="S1857" s="4"/>
      <c r="T1857" s="4"/>
      <c r="U1857" s="4"/>
      <c r="V1857" s="4"/>
      <c r="W1857" s="4"/>
      <c r="X1857" s="4"/>
    </row>
    <row r="1858" spans="17:24" x14ac:dyDescent="0.3">
      <c r="Q1858" s="4"/>
      <c r="R1858" s="4"/>
      <c r="S1858" s="4"/>
      <c r="T1858" s="4"/>
      <c r="U1858" s="4"/>
      <c r="V1858" s="4"/>
      <c r="W1858" s="4"/>
      <c r="X1858" s="4"/>
    </row>
    <row r="1859" spans="17:24" x14ac:dyDescent="0.3">
      <c r="Q1859" s="4"/>
      <c r="R1859" s="4"/>
      <c r="S1859" s="4"/>
      <c r="T1859" s="4"/>
      <c r="U1859" s="4"/>
      <c r="V1859" s="4"/>
      <c r="W1859" s="4"/>
      <c r="X1859" s="4"/>
    </row>
    <row r="1860" spans="17:24" x14ac:dyDescent="0.3">
      <c r="Q1860" s="4"/>
      <c r="R1860" s="4"/>
      <c r="S1860" s="4"/>
      <c r="T1860" s="4"/>
      <c r="U1860" s="4"/>
      <c r="V1860" s="4"/>
      <c r="W1860" s="4"/>
      <c r="X1860" s="4"/>
    </row>
    <row r="1861" spans="17:24" x14ac:dyDescent="0.3">
      <c r="Q1861" s="4"/>
      <c r="R1861" s="4"/>
      <c r="S1861" s="4"/>
      <c r="T1861" s="4"/>
      <c r="U1861" s="4"/>
      <c r="V1861" s="4"/>
      <c r="W1861" s="4"/>
      <c r="X1861" s="4"/>
    </row>
    <row r="1862" spans="17:24" x14ac:dyDescent="0.3">
      <c r="Q1862" s="4"/>
      <c r="R1862" s="4"/>
      <c r="S1862" s="4"/>
      <c r="T1862" s="4"/>
      <c r="U1862" s="4"/>
      <c r="V1862" s="4"/>
      <c r="W1862" s="4"/>
      <c r="X1862" s="4"/>
    </row>
    <row r="1863" spans="17:24" x14ac:dyDescent="0.3">
      <c r="Q1863" s="4"/>
      <c r="R1863" s="4"/>
      <c r="S1863" s="4"/>
      <c r="T1863" s="4"/>
      <c r="U1863" s="4"/>
      <c r="V1863" s="4"/>
      <c r="W1863" s="4"/>
      <c r="X1863" s="4"/>
    </row>
    <row r="1864" spans="17:24" x14ac:dyDescent="0.3">
      <c r="Q1864" s="4"/>
      <c r="R1864" s="4"/>
      <c r="S1864" s="4"/>
      <c r="T1864" s="4"/>
      <c r="U1864" s="4"/>
      <c r="V1864" s="4"/>
      <c r="W1864" s="4"/>
      <c r="X1864" s="4"/>
    </row>
    <row r="1865" spans="17:24" x14ac:dyDescent="0.3">
      <c r="Q1865" s="4"/>
      <c r="R1865" s="4"/>
      <c r="S1865" s="4"/>
      <c r="T1865" s="4"/>
      <c r="U1865" s="4"/>
      <c r="V1865" s="4"/>
      <c r="W1865" s="4"/>
      <c r="X1865" s="4"/>
    </row>
    <row r="1866" spans="17:24" x14ac:dyDescent="0.3">
      <c r="Q1866" s="4"/>
      <c r="R1866" s="4"/>
      <c r="S1866" s="4"/>
      <c r="T1866" s="4"/>
      <c r="U1866" s="4"/>
      <c r="V1866" s="4"/>
      <c r="W1866" s="4"/>
      <c r="X1866" s="4"/>
    </row>
    <row r="1867" spans="17:24" x14ac:dyDescent="0.3">
      <c r="Q1867" s="4"/>
      <c r="R1867" s="4"/>
      <c r="S1867" s="4"/>
      <c r="T1867" s="4"/>
      <c r="U1867" s="4"/>
      <c r="V1867" s="4"/>
      <c r="W1867" s="4"/>
      <c r="X1867" s="4"/>
    </row>
    <row r="1868" spans="17:24" x14ac:dyDescent="0.3">
      <c r="Q1868" s="4"/>
      <c r="R1868" s="4"/>
      <c r="S1868" s="4"/>
      <c r="T1868" s="4"/>
      <c r="U1868" s="4"/>
      <c r="V1868" s="4"/>
      <c r="W1868" s="4"/>
      <c r="X1868" s="4"/>
    </row>
    <row r="1869" spans="17:24" x14ac:dyDescent="0.3">
      <c r="Q1869" s="4"/>
      <c r="R1869" s="4"/>
      <c r="S1869" s="4"/>
      <c r="T1869" s="4"/>
      <c r="U1869" s="4"/>
      <c r="V1869" s="4"/>
      <c r="W1869" s="4"/>
      <c r="X1869" s="4"/>
    </row>
    <row r="1870" spans="17:24" x14ac:dyDescent="0.3">
      <c r="Q1870" s="4"/>
      <c r="R1870" s="4"/>
      <c r="S1870" s="4"/>
      <c r="T1870" s="4"/>
      <c r="U1870" s="4"/>
      <c r="V1870" s="4"/>
      <c r="W1870" s="4"/>
      <c r="X1870" s="4"/>
    </row>
    <row r="1871" spans="17:24" x14ac:dyDescent="0.3">
      <c r="Q1871" s="4"/>
      <c r="R1871" s="4"/>
      <c r="S1871" s="4"/>
      <c r="T1871" s="4"/>
      <c r="U1871" s="4"/>
      <c r="V1871" s="4"/>
      <c r="W1871" s="4"/>
      <c r="X1871" s="4"/>
    </row>
    <row r="1872" spans="17:24" x14ac:dyDescent="0.3">
      <c r="Q1872" s="4"/>
      <c r="R1872" s="4"/>
      <c r="S1872" s="4"/>
      <c r="T1872" s="4"/>
      <c r="U1872" s="4"/>
      <c r="V1872" s="4"/>
      <c r="W1872" s="4"/>
      <c r="X1872" s="4"/>
    </row>
    <row r="1873" spans="17:24" x14ac:dyDescent="0.3">
      <c r="Q1873" s="4"/>
      <c r="R1873" s="4"/>
      <c r="S1873" s="4"/>
      <c r="T1873" s="4"/>
      <c r="U1873" s="4"/>
      <c r="V1873" s="4"/>
      <c r="W1873" s="4"/>
      <c r="X1873" s="4"/>
    </row>
    <row r="1874" spans="17:24" x14ac:dyDescent="0.3">
      <c r="Q1874" s="4"/>
      <c r="R1874" s="4"/>
      <c r="S1874" s="4"/>
      <c r="T1874" s="4"/>
      <c r="U1874" s="4"/>
      <c r="V1874" s="4"/>
      <c r="W1874" s="4"/>
      <c r="X1874" s="4"/>
    </row>
    <row r="1875" spans="17:24" x14ac:dyDescent="0.3">
      <c r="Q1875" s="4"/>
      <c r="R1875" s="4"/>
      <c r="S1875" s="4"/>
      <c r="T1875" s="4"/>
      <c r="U1875" s="4"/>
      <c r="V1875" s="4"/>
      <c r="W1875" s="4"/>
      <c r="X1875" s="4"/>
    </row>
    <row r="1876" spans="17:24" x14ac:dyDescent="0.3">
      <c r="Q1876" s="4"/>
      <c r="R1876" s="4"/>
      <c r="S1876" s="4"/>
      <c r="T1876" s="4"/>
      <c r="U1876" s="4"/>
      <c r="V1876" s="4"/>
      <c r="W1876" s="4"/>
      <c r="X1876" s="4"/>
    </row>
    <row r="1877" spans="17:24" x14ac:dyDescent="0.3">
      <c r="Q1877" s="4"/>
      <c r="R1877" s="4"/>
      <c r="S1877" s="4"/>
      <c r="T1877" s="4"/>
      <c r="U1877" s="4"/>
      <c r="V1877" s="4"/>
      <c r="W1877" s="4"/>
      <c r="X1877" s="4"/>
    </row>
    <row r="1878" spans="17:24" x14ac:dyDescent="0.3">
      <c r="Q1878" s="4"/>
      <c r="R1878" s="4"/>
      <c r="S1878" s="4"/>
      <c r="T1878" s="4"/>
      <c r="U1878" s="4"/>
      <c r="V1878" s="4"/>
      <c r="W1878" s="4"/>
      <c r="X1878" s="4"/>
    </row>
    <row r="1879" spans="17:24" x14ac:dyDescent="0.3">
      <c r="Q1879" s="4"/>
      <c r="R1879" s="4"/>
      <c r="S1879" s="4"/>
      <c r="T1879" s="4"/>
      <c r="U1879" s="4"/>
      <c r="V1879" s="4"/>
      <c r="W1879" s="4"/>
      <c r="X1879" s="4"/>
    </row>
    <row r="1880" spans="17:24" x14ac:dyDescent="0.3">
      <c r="Q1880" s="4"/>
      <c r="R1880" s="4"/>
      <c r="S1880" s="4"/>
      <c r="T1880" s="4"/>
      <c r="U1880" s="4"/>
      <c r="V1880" s="4"/>
      <c r="W1880" s="4"/>
      <c r="X1880" s="4"/>
    </row>
    <row r="1881" spans="17:24" x14ac:dyDescent="0.3">
      <c r="Q1881" s="4"/>
      <c r="R1881" s="4"/>
      <c r="S1881" s="4"/>
      <c r="T1881" s="4"/>
      <c r="U1881" s="4"/>
      <c r="V1881" s="4"/>
      <c r="W1881" s="4"/>
      <c r="X1881" s="4"/>
    </row>
    <row r="1882" spans="17:24" x14ac:dyDescent="0.3">
      <c r="Q1882" s="4"/>
      <c r="R1882" s="4"/>
      <c r="S1882" s="4"/>
      <c r="T1882" s="4"/>
      <c r="U1882" s="4"/>
      <c r="V1882" s="4"/>
      <c r="W1882" s="4"/>
      <c r="X1882" s="4"/>
    </row>
    <row r="1883" spans="17:24" x14ac:dyDescent="0.3">
      <c r="Q1883" s="4"/>
      <c r="R1883" s="4"/>
      <c r="S1883" s="4"/>
      <c r="T1883" s="4"/>
      <c r="U1883" s="4"/>
      <c r="V1883" s="4"/>
      <c r="W1883" s="4"/>
      <c r="X1883" s="4"/>
    </row>
    <row r="1884" spans="17:24" x14ac:dyDescent="0.3">
      <c r="Q1884" s="4"/>
      <c r="R1884" s="4"/>
      <c r="S1884" s="4"/>
      <c r="T1884" s="4"/>
      <c r="U1884" s="4"/>
      <c r="V1884" s="4"/>
      <c r="W1884" s="4"/>
      <c r="X1884" s="4"/>
    </row>
    <row r="1885" spans="17:24" x14ac:dyDescent="0.3">
      <c r="Q1885" s="4"/>
      <c r="R1885" s="4"/>
      <c r="S1885" s="4"/>
      <c r="T1885" s="4"/>
      <c r="U1885" s="4"/>
      <c r="V1885" s="4"/>
      <c r="W1885" s="4"/>
      <c r="X1885" s="4"/>
    </row>
    <row r="1886" spans="17:24" x14ac:dyDescent="0.3">
      <c r="Q1886" s="4"/>
      <c r="R1886" s="4"/>
      <c r="S1886" s="4"/>
      <c r="T1886" s="4"/>
      <c r="U1886" s="4"/>
      <c r="V1886" s="4"/>
      <c r="W1886" s="4"/>
      <c r="X1886" s="4"/>
    </row>
    <row r="1887" spans="17:24" x14ac:dyDescent="0.3">
      <c r="Q1887" s="4"/>
      <c r="R1887" s="4"/>
      <c r="S1887" s="4"/>
      <c r="T1887" s="4"/>
      <c r="U1887" s="4"/>
      <c r="V1887" s="4"/>
      <c r="W1887" s="4"/>
      <c r="X1887" s="4"/>
    </row>
    <row r="1888" spans="17:24" x14ac:dyDescent="0.3">
      <c r="Q1888" s="4"/>
      <c r="R1888" s="4"/>
      <c r="S1888" s="4"/>
      <c r="T1888" s="4"/>
      <c r="U1888" s="4"/>
      <c r="V1888" s="4"/>
      <c r="W1888" s="4"/>
      <c r="X1888" s="4"/>
    </row>
    <row r="1889" spans="17:24" x14ac:dyDescent="0.3">
      <c r="Q1889" s="4"/>
      <c r="R1889" s="4"/>
      <c r="S1889" s="4"/>
      <c r="T1889" s="4"/>
      <c r="U1889" s="4"/>
      <c r="V1889" s="4"/>
      <c r="W1889" s="4"/>
      <c r="X1889" s="4"/>
    </row>
    <row r="1890" spans="17:24" x14ac:dyDescent="0.3">
      <c r="Q1890" s="4"/>
      <c r="R1890" s="4"/>
      <c r="S1890" s="4"/>
      <c r="T1890" s="4"/>
      <c r="U1890" s="4"/>
      <c r="V1890" s="4"/>
      <c r="W1890" s="4"/>
      <c r="X1890" s="4"/>
    </row>
    <row r="1891" spans="17:24" x14ac:dyDescent="0.3">
      <c r="Q1891" s="4"/>
      <c r="R1891" s="4"/>
      <c r="S1891" s="4"/>
      <c r="T1891" s="4"/>
      <c r="U1891" s="4"/>
      <c r="V1891" s="4"/>
      <c r="W1891" s="4"/>
      <c r="X1891" s="4"/>
    </row>
    <row r="1892" spans="17:24" x14ac:dyDescent="0.3">
      <c r="Q1892" s="4"/>
      <c r="R1892" s="4"/>
      <c r="S1892" s="4"/>
      <c r="T1892" s="4"/>
      <c r="U1892" s="4"/>
      <c r="V1892" s="4"/>
      <c r="W1892" s="4"/>
      <c r="X1892" s="4"/>
    </row>
    <row r="1893" spans="17:24" x14ac:dyDescent="0.3">
      <c r="Q1893" s="4"/>
      <c r="R1893" s="4"/>
      <c r="S1893" s="4"/>
      <c r="T1893" s="4"/>
      <c r="U1893" s="4"/>
      <c r="V1893" s="4"/>
      <c r="W1893" s="4"/>
      <c r="X1893" s="4"/>
    </row>
    <row r="1894" spans="17:24" x14ac:dyDescent="0.3">
      <c r="Q1894" s="4"/>
      <c r="R1894" s="4"/>
      <c r="S1894" s="4"/>
      <c r="T1894" s="4"/>
      <c r="U1894" s="4"/>
      <c r="V1894" s="4"/>
      <c r="W1894" s="4"/>
      <c r="X1894" s="4"/>
    </row>
    <row r="1895" spans="17:24" x14ac:dyDescent="0.3">
      <c r="Q1895" s="4"/>
      <c r="R1895" s="4"/>
      <c r="S1895" s="4"/>
      <c r="T1895" s="4"/>
      <c r="U1895" s="4"/>
      <c r="V1895" s="4"/>
      <c r="W1895" s="4"/>
      <c r="X1895" s="4"/>
    </row>
    <row r="1896" spans="17:24" x14ac:dyDescent="0.3">
      <c r="Q1896" s="4"/>
      <c r="R1896" s="4"/>
      <c r="S1896" s="4"/>
      <c r="T1896" s="4"/>
      <c r="U1896" s="4"/>
      <c r="V1896" s="4"/>
      <c r="W1896" s="4"/>
      <c r="X1896" s="4"/>
    </row>
    <row r="1897" spans="17:24" x14ac:dyDescent="0.3">
      <c r="Q1897" s="4"/>
      <c r="R1897" s="4"/>
      <c r="S1897" s="4"/>
      <c r="T1897" s="4"/>
      <c r="U1897" s="4"/>
      <c r="V1897" s="4"/>
      <c r="W1897" s="4"/>
      <c r="X1897" s="4"/>
    </row>
    <row r="1898" spans="17:24" x14ac:dyDescent="0.3">
      <c r="Q1898" s="4"/>
      <c r="R1898" s="4"/>
      <c r="S1898" s="4"/>
      <c r="T1898" s="4"/>
      <c r="U1898" s="4"/>
      <c r="V1898" s="4"/>
      <c r="W1898" s="4"/>
      <c r="X1898" s="4"/>
    </row>
    <row r="1899" spans="17:24" x14ac:dyDescent="0.3">
      <c r="Q1899" s="4"/>
      <c r="R1899" s="4"/>
      <c r="S1899" s="4"/>
      <c r="T1899" s="4"/>
      <c r="U1899" s="4"/>
      <c r="V1899" s="4"/>
      <c r="W1899" s="4"/>
      <c r="X1899" s="4"/>
    </row>
    <row r="1900" spans="17:24" x14ac:dyDescent="0.3">
      <c r="Q1900" s="4"/>
      <c r="R1900" s="4"/>
      <c r="S1900" s="4"/>
      <c r="T1900" s="4"/>
      <c r="U1900" s="4"/>
      <c r="V1900" s="4"/>
      <c r="W1900" s="4"/>
      <c r="X1900" s="4"/>
    </row>
    <row r="1901" spans="17:24" x14ac:dyDescent="0.3">
      <c r="Q1901" s="4"/>
      <c r="R1901" s="4"/>
      <c r="S1901" s="4"/>
      <c r="T1901" s="4"/>
      <c r="U1901" s="4"/>
      <c r="V1901" s="4"/>
      <c r="W1901" s="4"/>
      <c r="X1901" s="4"/>
    </row>
    <row r="1902" spans="17:24" x14ac:dyDescent="0.3">
      <c r="Q1902" s="4"/>
      <c r="R1902" s="4"/>
      <c r="S1902" s="4"/>
      <c r="T1902" s="4"/>
      <c r="U1902" s="4"/>
      <c r="V1902" s="4"/>
      <c r="W1902" s="4"/>
      <c r="X1902" s="4"/>
    </row>
    <row r="1903" spans="17:24" x14ac:dyDescent="0.3">
      <c r="Q1903" s="4"/>
      <c r="R1903" s="4"/>
      <c r="S1903" s="4"/>
      <c r="T1903" s="4"/>
      <c r="U1903" s="4"/>
      <c r="V1903" s="4"/>
      <c r="W1903" s="4"/>
      <c r="X1903" s="4"/>
    </row>
    <row r="1904" spans="17:24" x14ac:dyDescent="0.3">
      <c r="Q1904" s="4"/>
      <c r="R1904" s="4"/>
      <c r="S1904" s="4"/>
      <c r="T1904" s="4"/>
      <c r="U1904" s="4"/>
      <c r="V1904" s="4"/>
      <c r="W1904" s="4"/>
      <c r="X1904" s="4"/>
    </row>
    <row r="1905" spans="17:24" x14ac:dyDescent="0.3">
      <c r="Q1905" s="4"/>
      <c r="R1905" s="4"/>
      <c r="S1905" s="4"/>
      <c r="T1905" s="4"/>
      <c r="U1905" s="4"/>
      <c r="V1905" s="4"/>
      <c r="W1905" s="4"/>
      <c r="X1905" s="4"/>
    </row>
    <row r="1906" spans="17:24" x14ac:dyDescent="0.3">
      <c r="Q1906" s="4"/>
      <c r="R1906" s="4"/>
      <c r="S1906" s="4"/>
      <c r="T1906" s="4"/>
      <c r="U1906" s="4"/>
      <c r="V1906" s="4"/>
      <c r="W1906" s="4"/>
      <c r="X1906" s="4"/>
    </row>
    <row r="1907" spans="17:24" x14ac:dyDescent="0.3">
      <c r="Q1907" s="4"/>
      <c r="R1907" s="4"/>
      <c r="S1907" s="4"/>
      <c r="T1907" s="4"/>
      <c r="U1907" s="4"/>
      <c r="V1907" s="4"/>
      <c r="W1907" s="4"/>
      <c r="X1907" s="4"/>
    </row>
    <row r="1908" spans="17:24" x14ac:dyDescent="0.3">
      <c r="Q1908" s="4"/>
      <c r="R1908" s="4"/>
      <c r="S1908" s="4"/>
      <c r="T1908" s="4"/>
      <c r="U1908" s="4"/>
      <c r="V1908" s="4"/>
      <c r="W1908" s="4"/>
      <c r="X1908" s="4"/>
    </row>
    <row r="1909" spans="17:24" x14ac:dyDescent="0.3">
      <c r="Q1909" s="4"/>
      <c r="R1909" s="4"/>
      <c r="S1909" s="4"/>
      <c r="T1909" s="4"/>
      <c r="U1909" s="4"/>
      <c r="V1909" s="4"/>
      <c r="W1909" s="4"/>
      <c r="X1909" s="4"/>
    </row>
    <row r="1910" spans="17:24" x14ac:dyDescent="0.3">
      <c r="Q1910" s="4"/>
      <c r="R1910" s="4"/>
      <c r="S1910" s="4"/>
      <c r="T1910" s="4"/>
      <c r="U1910" s="4"/>
      <c r="V1910" s="4"/>
      <c r="W1910" s="4"/>
      <c r="X1910" s="4"/>
    </row>
    <row r="1911" spans="17:24" x14ac:dyDescent="0.3">
      <c r="Q1911" s="4"/>
      <c r="R1911" s="4"/>
      <c r="S1911" s="4"/>
      <c r="T1911" s="4"/>
      <c r="U1911" s="4"/>
      <c r="V1911" s="4"/>
      <c r="W1911" s="4"/>
      <c r="X1911" s="4"/>
    </row>
    <row r="1912" spans="17:24" x14ac:dyDescent="0.3">
      <c r="Q1912" s="4"/>
      <c r="R1912" s="4"/>
      <c r="S1912" s="4"/>
      <c r="T1912" s="4"/>
      <c r="U1912" s="4"/>
      <c r="V1912" s="4"/>
      <c r="W1912" s="4"/>
      <c r="X1912" s="4"/>
    </row>
    <row r="1913" spans="17:24" x14ac:dyDescent="0.3">
      <c r="Q1913" s="4"/>
      <c r="R1913" s="4"/>
      <c r="S1913" s="4"/>
      <c r="T1913" s="4"/>
      <c r="U1913" s="4"/>
      <c r="V1913" s="4"/>
      <c r="W1913" s="4"/>
      <c r="X1913" s="4"/>
    </row>
    <row r="1914" spans="17:24" x14ac:dyDescent="0.3">
      <c r="Q1914" s="4"/>
      <c r="R1914" s="4"/>
      <c r="S1914" s="4"/>
      <c r="T1914" s="4"/>
      <c r="U1914" s="4"/>
      <c r="V1914" s="4"/>
      <c r="W1914" s="4"/>
      <c r="X1914" s="4"/>
    </row>
    <row r="1915" spans="17:24" x14ac:dyDescent="0.3">
      <c r="Q1915" s="4"/>
      <c r="R1915" s="4"/>
      <c r="S1915" s="4"/>
      <c r="T1915" s="4"/>
      <c r="U1915" s="4"/>
      <c r="V1915" s="4"/>
      <c r="W1915" s="4"/>
      <c r="X1915" s="4"/>
    </row>
    <row r="1916" spans="17:24" x14ac:dyDescent="0.3">
      <c r="Q1916" s="4"/>
      <c r="R1916" s="4"/>
      <c r="S1916" s="4"/>
      <c r="T1916" s="4"/>
      <c r="U1916" s="4"/>
      <c r="V1916" s="4"/>
      <c r="W1916" s="4"/>
      <c r="X1916" s="4"/>
    </row>
    <row r="1917" spans="17:24" x14ac:dyDescent="0.3">
      <c r="Q1917" s="4"/>
      <c r="R1917" s="4"/>
      <c r="S1917" s="4"/>
      <c r="T1917" s="4"/>
      <c r="U1917" s="4"/>
      <c r="V1917" s="4"/>
      <c r="W1917" s="4"/>
      <c r="X1917" s="4"/>
    </row>
    <row r="1918" spans="17:24" x14ac:dyDescent="0.3">
      <c r="Q1918" s="4"/>
      <c r="R1918" s="4"/>
      <c r="S1918" s="4"/>
      <c r="T1918" s="4"/>
      <c r="U1918" s="4"/>
      <c r="V1918" s="4"/>
      <c r="W1918" s="4"/>
      <c r="X1918" s="4"/>
    </row>
    <row r="1919" spans="17:24" x14ac:dyDescent="0.3">
      <c r="Q1919" s="4"/>
      <c r="R1919" s="4"/>
      <c r="S1919" s="4"/>
      <c r="T1919" s="4"/>
      <c r="U1919" s="4"/>
      <c r="V1919" s="4"/>
      <c r="W1919" s="4"/>
      <c r="X1919" s="4"/>
    </row>
    <row r="1920" spans="17:24" x14ac:dyDescent="0.3">
      <c r="Q1920" s="4"/>
      <c r="R1920" s="4"/>
      <c r="S1920" s="4"/>
      <c r="T1920" s="4"/>
      <c r="U1920" s="4"/>
      <c r="V1920" s="4"/>
      <c r="W1920" s="4"/>
      <c r="X1920" s="4"/>
    </row>
    <row r="1921" spans="17:24" x14ac:dyDescent="0.3">
      <c r="Q1921" s="4"/>
      <c r="R1921" s="4"/>
      <c r="S1921" s="4"/>
      <c r="T1921" s="4"/>
      <c r="U1921" s="4"/>
      <c r="V1921" s="4"/>
      <c r="W1921" s="4"/>
      <c r="X1921" s="4"/>
    </row>
    <row r="1922" spans="17:24" x14ac:dyDescent="0.3">
      <c r="Q1922" s="4"/>
      <c r="R1922" s="4"/>
      <c r="S1922" s="4"/>
      <c r="T1922" s="4"/>
      <c r="U1922" s="4"/>
      <c r="V1922" s="4"/>
      <c r="W1922" s="4"/>
      <c r="X1922" s="4"/>
    </row>
    <row r="1923" spans="17:24" x14ac:dyDescent="0.3">
      <c r="Q1923" s="4"/>
      <c r="R1923" s="4"/>
      <c r="S1923" s="4"/>
      <c r="T1923" s="4"/>
      <c r="U1923" s="4"/>
      <c r="V1923" s="4"/>
      <c r="W1923" s="4"/>
      <c r="X1923" s="4"/>
    </row>
    <row r="1924" spans="17:24" x14ac:dyDescent="0.3">
      <c r="Q1924" s="4"/>
      <c r="R1924" s="4"/>
      <c r="S1924" s="4"/>
      <c r="T1924" s="4"/>
      <c r="U1924" s="4"/>
      <c r="V1924" s="4"/>
      <c r="W1924" s="4"/>
      <c r="X1924" s="4"/>
    </row>
    <row r="1925" spans="17:24" x14ac:dyDescent="0.3">
      <c r="Q1925" s="4"/>
      <c r="R1925" s="4"/>
      <c r="S1925" s="4"/>
      <c r="T1925" s="4"/>
      <c r="U1925" s="4"/>
      <c r="V1925" s="4"/>
      <c r="W1925" s="4"/>
      <c r="X1925" s="4"/>
    </row>
    <row r="1926" spans="17:24" x14ac:dyDescent="0.3">
      <c r="Q1926" s="4"/>
      <c r="R1926" s="4"/>
      <c r="S1926" s="4"/>
      <c r="T1926" s="4"/>
      <c r="U1926" s="4"/>
      <c r="V1926" s="4"/>
      <c r="W1926" s="4"/>
      <c r="X1926" s="4"/>
    </row>
    <row r="1927" spans="17:24" x14ac:dyDescent="0.3">
      <c r="Q1927" s="4"/>
      <c r="R1927" s="4"/>
      <c r="S1927" s="4"/>
      <c r="T1927" s="4"/>
      <c r="U1927" s="4"/>
      <c r="V1927" s="4"/>
      <c r="W1927" s="4"/>
      <c r="X1927" s="4"/>
    </row>
    <row r="1928" spans="17:24" x14ac:dyDescent="0.3">
      <c r="Q1928" s="4"/>
      <c r="R1928" s="4"/>
      <c r="S1928" s="4"/>
      <c r="T1928" s="4"/>
      <c r="U1928" s="4"/>
      <c r="V1928" s="4"/>
      <c r="W1928" s="4"/>
      <c r="X1928" s="4"/>
    </row>
    <row r="1929" spans="17:24" x14ac:dyDescent="0.3">
      <c r="Q1929" s="4"/>
      <c r="R1929" s="4"/>
      <c r="S1929" s="4"/>
      <c r="T1929" s="4"/>
      <c r="U1929" s="4"/>
      <c r="V1929" s="4"/>
      <c r="W1929" s="4"/>
      <c r="X1929" s="4"/>
    </row>
    <row r="1930" spans="17:24" x14ac:dyDescent="0.3">
      <c r="Q1930" s="4"/>
      <c r="R1930" s="4"/>
      <c r="S1930" s="4"/>
      <c r="T1930" s="4"/>
      <c r="U1930" s="4"/>
      <c r="V1930" s="4"/>
      <c r="W1930" s="4"/>
      <c r="X1930" s="4"/>
    </row>
    <row r="1931" spans="17:24" x14ac:dyDescent="0.3">
      <c r="Q1931" s="4"/>
      <c r="R1931" s="4"/>
      <c r="S1931" s="4"/>
      <c r="T1931" s="4"/>
      <c r="U1931" s="4"/>
      <c r="V1931" s="4"/>
      <c r="W1931" s="4"/>
      <c r="X1931" s="4"/>
    </row>
    <row r="1932" spans="17:24" x14ac:dyDescent="0.3">
      <c r="Q1932" s="4"/>
      <c r="R1932" s="4"/>
      <c r="S1932" s="4"/>
      <c r="T1932" s="4"/>
      <c r="U1932" s="4"/>
      <c r="V1932" s="4"/>
      <c r="W1932" s="4"/>
      <c r="X1932" s="4"/>
    </row>
    <row r="1933" spans="17:24" x14ac:dyDescent="0.3">
      <c r="Q1933" s="4"/>
      <c r="R1933" s="4"/>
      <c r="S1933" s="4"/>
      <c r="T1933" s="4"/>
      <c r="U1933" s="4"/>
      <c r="V1933" s="4"/>
      <c r="W1933" s="4"/>
      <c r="X1933" s="4"/>
    </row>
    <row r="1934" spans="17:24" x14ac:dyDescent="0.3">
      <c r="Q1934" s="4"/>
      <c r="R1934" s="4"/>
      <c r="S1934" s="4"/>
      <c r="T1934" s="4"/>
      <c r="U1934" s="4"/>
      <c r="V1934" s="4"/>
      <c r="W1934" s="4"/>
      <c r="X1934" s="4"/>
    </row>
    <row r="1935" spans="17:24" x14ac:dyDescent="0.3">
      <c r="Q1935" s="4"/>
      <c r="R1935" s="4"/>
      <c r="S1935" s="4"/>
      <c r="T1935" s="4"/>
      <c r="U1935" s="4"/>
      <c r="V1935" s="4"/>
      <c r="W1935" s="4"/>
      <c r="X1935" s="4"/>
    </row>
    <row r="1936" spans="17:24" x14ac:dyDescent="0.3">
      <c r="Q1936" s="4"/>
      <c r="R1936" s="4"/>
      <c r="S1936" s="4"/>
      <c r="T1936" s="4"/>
      <c r="U1936" s="4"/>
      <c r="V1936" s="4"/>
      <c r="W1936" s="4"/>
      <c r="X1936" s="4"/>
    </row>
    <row r="1937" spans="17:24" x14ac:dyDescent="0.3">
      <c r="Q1937" s="4"/>
      <c r="R1937" s="4"/>
      <c r="S1937" s="4"/>
      <c r="T1937" s="4"/>
      <c r="U1937" s="4"/>
      <c r="V1937" s="4"/>
      <c r="W1937" s="4"/>
      <c r="X1937" s="4"/>
    </row>
    <row r="1938" spans="17:24" x14ac:dyDescent="0.3">
      <c r="Q1938" s="4"/>
      <c r="R1938" s="4"/>
      <c r="S1938" s="4"/>
      <c r="T1938" s="4"/>
      <c r="U1938" s="4"/>
      <c r="V1938" s="4"/>
      <c r="W1938" s="4"/>
      <c r="X1938" s="4"/>
    </row>
    <row r="1939" spans="17:24" x14ac:dyDescent="0.3">
      <c r="Q1939" s="4"/>
      <c r="R1939" s="4"/>
      <c r="S1939" s="4"/>
      <c r="T1939" s="4"/>
      <c r="U1939" s="4"/>
      <c r="V1939" s="4"/>
      <c r="W1939" s="4"/>
      <c r="X1939" s="4"/>
    </row>
    <row r="1940" spans="17:24" x14ac:dyDescent="0.3">
      <c r="Q1940" s="4"/>
      <c r="R1940" s="4"/>
      <c r="S1940" s="4"/>
      <c r="T1940" s="4"/>
      <c r="U1940" s="4"/>
      <c r="V1940" s="4"/>
      <c r="W1940" s="4"/>
      <c r="X1940" s="4"/>
    </row>
    <row r="1941" spans="17:24" x14ac:dyDescent="0.3">
      <c r="Q1941" s="4"/>
      <c r="R1941" s="4"/>
      <c r="S1941" s="4"/>
      <c r="T1941" s="4"/>
      <c r="U1941" s="4"/>
      <c r="V1941" s="4"/>
      <c r="W1941" s="4"/>
      <c r="X1941" s="4"/>
    </row>
    <row r="1942" spans="17:24" x14ac:dyDescent="0.3">
      <c r="Q1942" s="4"/>
      <c r="R1942" s="4"/>
      <c r="S1942" s="4"/>
      <c r="T1942" s="4"/>
      <c r="U1942" s="4"/>
      <c r="V1942" s="4"/>
      <c r="W1942" s="4"/>
      <c r="X1942" s="4"/>
    </row>
    <row r="1943" spans="17:24" x14ac:dyDescent="0.3">
      <c r="Q1943" s="4"/>
      <c r="R1943" s="4"/>
      <c r="S1943" s="4"/>
      <c r="T1943" s="4"/>
      <c r="U1943" s="4"/>
      <c r="V1943" s="4"/>
      <c r="W1943" s="4"/>
      <c r="X1943" s="4"/>
    </row>
    <row r="1944" spans="17:24" x14ac:dyDescent="0.3">
      <c r="Q1944" s="4"/>
      <c r="R1944" s="4"/>
      <c r="S1944" s="4"/>
      <c r="T1944" s="4"/>
      <c r="U1944" s="4"/>
      <c r="V1944" s="4"/>
      <c r="W1944" s="4"/>
      <c r="X1944" s="4"/>
    </row>
    <row r="1945" spans="17:24" x14ac:dyDescent="0.3">
      <c r="Q1945" s="4"/>
      <c r="R1945" s="4"/>
      <c r="S1945" s="4"/>
      <c r="T1945" s="4"/>
      <c r="U1945" s="4"/>
      <c r="V1945" s="4"/>
      <c r="W1945" s="4"/>
      <c r="X1945" s="4"/>
    </row>
    <row r="1946" spans="17:24" x14ac:dyDescent="0.3">
      <c r="Q1946" s="4"/>
      <c r="R1946" s="4"/>
      <c r="S1946" s="4"/>
      <c r="T1946" s="4"/>
      <c r="U1946" s="4"/>
      <c r="V1946" s="4"/>
      <c r="W1946" s="4"/>
      <c r="X1946" s="4"/>
    </row>
    <row r="1947" spans="17:24" x14ac:dyDescent="0.3">
      <c r="Q1947" s="4"/>
      <c r="R1947" s="4"/>
      <c r="S1947" s="4"/>
      <c r="T1947" s="4"/>
      <c r="U1947" s="4"/>
      <c r="V1947" s="4"/>
      <c r="W1947" s="4"/>
      <c r="X1947" s="4"/>
    </row>
    <row r="1948" spans="17:24" x14ac:dyDescent="0.3">
      <c r="Q1948" s="4"/>
      <c r="R1948" s="4"/>
      <c r="S1948" s="4"/>
      <c r="T1948" s="4"/>
      <c r="U1948" s="4"/>
      <c r="V1948" s="4"/>
      <c r="W1948" s="4"/>
      <c r="X1948" s="4"/>
    </row>
    <row r="1949" spans="17:24" x14ac:dyDescent="0.3">
      <c r="Q1949" s="4"/>
      <c r="R1949" s="4"/>
      <c r="S1949" s="4"/>
      <c r="T1949" s="4"/>
      <c r="U1949" s="4"/>
      <c r="V1949" s="4"/>
      <c r="W1949" s="4"/>
      <c r="X1949" s="4"/>
    </row>
    <row r="1950" spans="17:24" x14ac:dyDescent="0.3">
      <c r="Q1950" s="4"/>
      <c r="R1950" s="4"/>
      <c r="S1950" s="4"/>
      <c r="T1950" s="4"/>
      <c r="U1950" s="4"/>
      <c r="V1950" s="4"/>
      <c r="W1950" s="4"/>
      <c r="X1950" s="4"/>
    </row>
    <row r="1951" spans="17:24" x14ac:dyDescent="0.3">
      <c r="Q1951" s="4"/>
      <c r="R1951" s="4"/>
      <c r="S1951" s="4"/>
      <c r="T1951" s="4"/>
      <c r="U1951" s="4"/>
      <c r="V1951" s="4"/>
      <c r="W1951" s="4"/>
      <c r="X1951" s="4"/>
    </row>
    <row r="1952" spans="17:24" x14ac:dyDescent="0.3">
      <c r="Q1952" s="4"/>
      <c r="R1952" s="4"/>
      <c r="S1952" s="4"/>
      <c r="T1952" s="4"/>
      <c r="U1952" s="4"/>
      <c r="V1952" s="4"/>
      <c r="W1952" s="4"/>
      <c r="X1952" s="4"/>
    </row>
    <row r="1953" spans="17:24" x14ac:dyDescent="0.3">
      <c r="Q1953" s="4"/>
      <c r="R1953" s="4"/>
      <c r="S1953" s="4"/>
      <c r="T1953" s="4"/>
      <c r="U1953" s="4"/>
      <c r="V1953" s="4"/>
      <c r="W1953" s="4"/>
      <c r="X1953" s="4"/>
    </row>
    <row r="1954" spans="17:24" x14ac:dyDescent="0.3">
      <c r="Q1954" s="4"/>
      <c r="R1954" s="4"/>
      <c r="S1954" s="4"/>
      <c r="T1954" s="4"/>
      <c r="U1954" s="4"/>
      <c r="V1954" s="4"/>
      <c r="W1954" s="4"/>
      <c r="X1954" s="4"/>
    </row>
    <row r="1955" spans="17:24" x14ac:dyDescent="0.3">
      <c r="Q1955" s="4"/>
      <c r="R1955" s="4"/>
      <c r="S1955" s="4"/>
      <c r="T1955" s="4"/>
      <c r="U1955" s="4"/>
      <c r="V1955" s="4"/>
      <c r="W1955" s="4"/>
      <c r="X1955" s="4"/>
    </row>
    <row r="1956" spans="17:24" x14ac:dyDescent="0.3">
      <c r="Q1956" s="4"/>
      <c r="R1956" s="4"/>
      <c r="S1956" s="4"/>
      <c r="T1956" s="4"/>
      <c r="U1956" s="4"/>
      <c r="V1956" s="4"/>
      <c r="W1956" s="4"/>
      <c r="X1956" s="4"/>
    </row>
    <row r="1957" spans="17:24" x14ac:dyDescent="0.3">
      <c r="Q1957" s="4"/>
      <c r="R1957" s="4"/>
      <c r="S1957" s="4"/>
      <c r="T1957" s="4"/>
      <c r="U1957" s="4"/>
      <c r="V1957" s="4"/>
      <c r="W1957" s="4"/>
      <c r="X1957" s="4"/>
    </row>
    <row r="1958" spans="17:24" x14ac:dyDescent="0.3">
      <c r="Q1958" s="4"/>
      <c r="R1958" s="4"/>
      <c r="S1958" s="4"/>
      <c r="T1958" s="4"/>
      <c r="U1958" s="4"/>
      <c r="V1958" s="4"/>
      <c r="W1958" s="4"/>
      <c r="X1958" s="4"/>
    </row>
    <row r="1959" spans="17:24" x14ac:dyDescent="0.3">
      <c r="Q1959" s="4"/>
      <c r="R1959" s="4"/>
      <c r="S1959" s="4"/>
      <c r="T1959" s="4"/>
      <c r="U1959" s="4"/>
      <c r="V1959" s="4"/>
      <c r="W1959" s="4"/>
      <c r="X1959" s="4"/>
    </row>
    <row r="1960" spans="17:24" x14ac:dyDescent="0.3">
      <c r="Q1960" s="4"/>
      <c r="R1960" s="4"/>
      <c r="S1960" s="4"/>
      <c r="T1960" s="4"/>
      <c r="U1960" s="4"/>
      <c r="V1960" s="4"/>
      <c r="W1960" s="4"/>
      <c r="X1960" s="4"/>
    </row>
    <row r="1961" spans="17:24" x14ac:dyDescent="0.3">
      <c r="Q1961" s="4"/>
      <c r="R1961" s="4"/>
      <c r="S1961" s="4"/>
      <c r="T1961" s="4"/>
      <c r="U1961" s="4"/>
      <c r="V1961" s="4"/>
      <c r="W1961" s="4"/>
      <c r="X1961" s="4"/>
    </row>
    <row r="1962" spans="17:24" x14ac:dyDescent="0.3">
      <c r="Q1962" s="4"/>
      <c r="R1962" s="4"/>
      <c r="S1962" s="4"/>
      <c r="T1962" s="4"/>
      <c r="U1962" s="4"/>
      <c r="V1962" s="4"/>
      <c r="W1962" s="4"/>
      <c r="X1962" s="4"/>
    </row>
    <row r="1963" spans="17:24" x14ac:dyDescent="0.3">
      <c r="Q1963" s="4"/>
      <c r="R1963" s="4"/>
      <c r="S1963" s="4"/>
      <c r="T1963" s="4"/>
      <c r="U1963" s="4"/>
      <c r="V1963" s="4"/>
      <c r="W1963" s="4"/>
      <c r="X1963" s="4"/>
    </row>
    <row r="1964" spans="17:24" x14ac:dyDescent="0.3">
      <c r="Q1964" s="4"/>
      <c r="R1964" s="4"/>
      <c r="S1964" s="4"/>
      <c r="T1964" s="4"/>
      <c r="U1964" s="4"/>
      <c r="V1964" s="4"/>
      <c r="W1964" s="4"/>
      <c r="X1964" s="4"/>
    </row>
    <row r="1965" spans="17:24" x14ac:dyDescent="0.3">
      <c r="Q1965" s="4"/>
      <c r="R1965" s="4"/>
      <c r="S1965" s="4"/>
      <c r="T1965" s="4"/>
      <c r="U1965" s="4"/>
      <c r="V1965" s="4"/>
      <c r="W1965" s="4"/>
      <c r="X1965" s="4"/>
    </row>
    <row r="1966" spans="17:24" x14ac:dyDescent="0.3">
      <c r="Q1966" s="4"/>
      <c r="R1966" s="4"/>
      <c r="S1966" s="4"/>
      <c r="T1966" s="4"/>
      <c r="U1966" s="4"/>
      <c r="V1966" s="4"/>
      <c r="W1966" s="4"/>
      <c r="X1966" s="4"/>
    </row>
    <row r="1967" spans="17:24" x14ac:dyDescent="0.3">
      <c r="Q1967" s="4"/>
      <c r="R1967" s="4"/>
      <c r="S1967" s="4"/>
      <c r="T1967" s="4"/>
      <c r="U1967" s="4"/>
      <c r="V1967" s="4"/>
      <c r="W1967" s="4"/>
      <c r="X1967" s="4"/>
    </row>
    <row r="1968" spans="17:24" x14ac:dyDescent="0.3">
      <c r="Q1968" s="4"/>
      <c r="R1968" s="4"/>
      <c r="S1968" s="4"/>
      <c r="T1968" s="4"/>
      <c r="U1968" s="4"/>
      <c r="V1968" s="4"/>
      <c r="W1968" s="4"/>
      <c r="X1968" s="4"/>
    </row>
    <row r="1969" spans="17:24" x14ac:dyDescent="0.3">
      <c r="Q1969" s="4"/>
      <c r="R1969" s="4"/>
      <c r="S1969" s="4"/>
      <c r="T1969" s="4"/>
      <c r="U1969" s="4"/>
      <c r="V1969" s="4"/>
      <c r="W1969" s="4"/>
      <c r="X1969" s="4"/>
    </row>
    <row r="1970" spans="17:24" x14ac:dyDescent="0.3">
      <c r="Q1970" s="4"/>
      <c r="R1970" s="4"/>
      <c r="S1970" s="4"/>
      <c r="T1970" s="4"/>
      <c r="U1970" s="4"/>
      <c r="V1970" s="4"/>
      <c r="W1970" s="4"/>
      <c r="X1970" s="4"/>
    </row>
    <row r="1971" spans="17:24" x14ac:dyDescent="0.3">
      <c r="Q1971" s="4"/>
      <c r="R1971" s="4"/>
      <c r="S1971" s="4"/>
      <c r="T1971" s="4"/>
      <c r="U1971" s="4"/>
      <c r="V1971" s="4"/>
      <c r="W1971" s="4"/>
      <c r="X1971" s="4"/>
    </row>
    <row r="1972" spans="17:24" x14ac:dyDescent="0.3">
      <c r="Q1972" s="4"/>
      <c r="R1972" s="4"/>
      <c r="S1972" s="4"/>
      <c r="T1972" s="4"/>
      <c r="U1972" s="4"/>
      <c r="V1972" s="4"/>
      <c r="W1972" s="4"/>
      <c r="X1972" s="4"/>
    </row>
    <row r="1973" spans="17:24" x14ac:dyDescent="0.3">
      <c r="Q1973" s="4"/>
      <c r="R1973" s="4"/>
      <c r="S1973" s="4"/>
      <c r="T1973" s="4"/>
      <c r="U1973" s="4"/>
      <c r="V1973" s="4"/>
      <c r="W1973" s="4"/>
      <c r="X1973" s="4"/>
    </row>
    <row r="1974" spans="17:24" x14ac:dyDescent="0.3">
      <c r="Q1974" s="4"/>
      <c r="R1974" s="4"/>
      <c r="S1974" s="4"/>
      <c r="T1974" s="4"/>
      <c r="U1974" s="4"/>
      <c r="V1974" s="4"/>
      <c r="W1974" s="4"/>
      <c r="X1974" s="4"/>
    </row>
    <row r="1975" spans="17:24" x14ac:dyDescent="0.3">
      <c r="Q1975" s="4"/>
      <c r="R1975" s="4"/>
      <c r="S1975" s="4"/>
      <c r="T1975" s="4"/>
      <c r="U1975" s="4"/>
      <c r="V1975" s="4"/>
      <c r="W1975" s="4"/>
      <c r="X1975" s="4"/>
    </row>
    <row r="1976" spans="17:24" x14ac:dyDescent="0.3">
      <c r="Q1976" s="4"/>
      <c r="R1976" s="4"/>
      <c r="S1976" s="4"/>
      <c r="T1976" s="4"/>
      <c r="U1976" s="4"/>
      <c r="V1976" s="4"/>
      <c r="W1976" s="4"/>
      <c r="X1976" s="4"/>
    </row>
    <row r="1977" spans="17:24" x14ac:dyDescent="0.3">
      <c r="Q1977" s="4"/>
      <c r="R1977" s="4"/>
      <c r="S1977" s="4"/>
      <c r="T1977" s="4"/>
      <c r="U1977" s="4"/>
      <c r="V1977" s="4"/>
      <c r="W1977" s="4"/>
      <c r="X1977" s="4"/>
    </row>
    <row r="1978" spans="17:24" x14ac:dyDescent="0.3">
      <c r="Q1978" s="4"/>
      <c r="R1978" s="4"/>
      <c r="S1978" s="4"/>
      <c r="T1978" s="4"/>
      <c r="U1978" s="4"/>
      <c r="V1978" s="4"/>
      <c r="W1978" s="4"/>
      <c r="X1978" s="4"/>
    </row>
    <row r="1979" spans="17:24" x14ac:dyDescent="0.3">
      <c r="Q1979" s="4"/>
      <c r="R1979" s="4"/>
      <c r="S1979" s="4"/>
      <c r="T1979" s="4"/>
      <c r="U1979" s="4"/>
      <c r="V1979" s="4"/>
      <c r="W1979" s="4"/>
      <c r="X1979" s="4"/>
    </row>
    <row r="1980" spans="17:24" x14ac:dyDescent="0.3">
      <c r="Q1980" s="4"/>
      <c r="R1980" s="4"/>
      <c r="S1980" s="4"/>
      <c r="T1980" s="4"/>
      <c r="U1980" s="4"/>
      <c r="V1980" s="4"/>
      <c r="W1980" s="4"/>
      <c r="X1980" s="4"/>
    </row>
    <row r="1981" spans="17:24" x14ac:dyDescent="0.3">
      <c r="Q1981" s="4"/>
      <c r="R1981" s="4"/>
      <c r="S1981" s="4"/>
      <c r="T1981" s="4"/>
      <c r="U1981" s="4"/>
      <c r="V1981" s="4"/>
      <c r="W1981" s="4"/>
      <c r="X1981" s="4"/>
    </row>
    <row r="1982" spans="17:24" x14ac:dyDescent="0.3">
      <c r="Q1982" s="4"/>
      <c r="R1982" s="4"/>
      <c r="S1982" s="4"/>
      <c r="T1982" s="4"/>
      <c r="U1982" s="4"/>
      <c r="V1982" s="4"/>
      <c r="W1982" s="4"/>
      <c r="X1982" s="4"/>
    </row>
    <row r="1983" spans="17:24" x14ac:dyDescent="0.3">
      <c r="Q1983" s="4"/>
      <c r="R1983" s="4"/>
      <c r="S1983" s="4"/>
      <c r="T1983" s="4"/>
      <c r="U1983" s="4"/>
      <c r="V1983" s="4"/>
      <c r="W1983" s="4"/>
      <c r="X1983" s="4"/>
    </row>
    <row r="1984" spans="17:24" x14ac:dyDescent="0.3">
      <c r="Q1984" s="4"/>
      <c r="R1984" s="4"/>
      <c r="S1984" s="4"/>
      <c r="T1984" s="4"/>
      <c r="U1984" s="4"/>
      <c r="V1984" s="4"/>
      <c r="W1984" s="4"/>
      <c r="X1984" s="4"/>
    </row>
    <row r="1985" spans="17:24" x14ac:dyDescent="0.3">
      <c r="Q1985" s="4"/>
      <c r="R1985" s="4"/>
      <c r="S1985" s="4"/>
      <c r="T1985" s="4"/>
      <c r="U1985" s="4"/>
      <c r="V1985" s="4"/>
      <c r="W1985" s="4"/>
      <c r="X1985" s="4"/>
    </row>
    <row r="1986" spans="17:24" x14ac:dyDescent="0.3">
      <c r="Q1986" s="4"/>
      <c r="R1986" s="4"/>
      <c r="S1986" s="4"/>
      <c r="T1986" s="4"/>
      <c r="U1986" s="4"/>
      <c r="V1986" s="4"/>
      <c r="W1986" s="4"/>
      <c r="X1986" s="4"/>
    </row>
    <row r="1987" spans="17:24" x14ac:dyDescent="0.3">
      <c r="Q1987" s="4"/>
      <c r="R1987" s="4"/>
      <c r="S1987" s="4"/>
      <c r="T1987" s="4"/>
      <c r="U1987" s="4"/>
      <c r="V1987" s="4"/>
      <c r="W1987" s="4"/>
      <c r="X1987" s="4"/>
    </row>
    <row r="1988" spans="17:24" x14ac:dyDescent="0.3">
      <c r="Q1988" s="4"/>
      <c r="R1988" s="4"/>
      <c r="S1988" s="4"/>
      <c r="T1988" s="4"/>
      <c r="U1988" s="4"/>
      <c r="V1988" s="4"/>
      <c r="W1988" s="4"/>
      <c r="X1988" s="4"/>
    </row>
    <row r="1989" spans="17:24" x14ac:dyDescent="0.3">
      <c r="Q1989" s="4"/>
      <c r="R1989" s="4"/>
      <c r="S1989" s="4"/>
      <c r="T1989" s="4"/>
      <c r="U1989" s="4"/>
      <c r="V1989" s="4"/>
      <c r="W1989" s="4"/>
      <c r="X1989" s="4"/>
    </row>
    <row r="1990" spans="17:24" x14ac:dyDescent="0.3">
      <c r="Q1990" s="4"/>
      <c r="R1990" s="4"/>
      <c r="S1990" s="4"/>
      <c r="T1990" s="4"/>
      <c r="U1990" s="4"/>
      <c r="V1990" s="4"/>
      <c r="W1990" s="4"/>
      <c r="X1990" s="4"/>
    </row>
    <row r="1991" spans="17:24" x14ac:dyDescent="0.3">
      <c r="Q1991" s="4"/>
      <c r="R1991" s="4"/>
      <c r="S1991" s="4"/>
      <c r="T1991" s="4"/>
      <c r="U1991" s="4"/>
      <c r="V1991" s="4"/>
      <c r="W1991" s="4"/>
      <c r="X1991" s="4"/>
    </row>
    <row r="1992" spans="17:24" x14ac:dyDescent="0.3">
      <c r="Q1992" s="4"/>
      <c r="R1992" s="4"/>
      <c r="S1992" s="4"/>
      <c r="T1992" s="4"/>
      <c r="U1992" s="4"/>
      <c r="V1992" s="4"/>
      <c r="W1992" s="4"/>
      <c r="X1992" s="4"/>
    </row>
    <row r="1993" spans="17:24" x14ac:dyDescent="0.3">
      <c r="Q1993" s="4"/>
      <c r="R1993" s="4"/>
      <c r="S1993" s="4"/>
      <c r="T1993" s="4"/>
      <c r="U1993" s="4"/>
      <c r="V1993" s="4"/>
      <c r="W1993" s="4"/>
      <c r="X1993" s="4"/>
    </row>
    <row r="1994" spans="17:24" x14ac:dyDescent="0.3">
      <c r="Q1994" s="4"/>
      <c r="R1994" s="4"/>
      <c r="S1994" s="4"/>
      <c r="T1994" s="4"/>
      <c r="U1994" s="4"/>
      <c r="V1994" s="4"/>
      <c r="W1994" s="4"/>
      <c r="X1994" s="4"/>
    </row>
    <row r="1995" spans="17:24" x14ac:dyDescent="0.3">
      <c r="Q1995" s="4"/>
      <c r="R1995" s="4"/>
      <c r="S1995" s="4"/>
      <c r="T1995" s="4"/>
      <c r="U1995" s="4"/>
      <c r="V1995" s="4"/>
      <c r="W1995" s="4"/>
      <c r="X1995" s="4"/>
    </row>
    <row r="1996" spans="17:24" x14ac:dyDescent="0.3">
      <c r="Q1996" s="4"/>
      <c r="R1996" s="4"/>
      <c r="S1996" s="4"/>
      <c r="T1996" s="4"/>
      <c r="U1996" s="4"/>
      <c r="V1996" s="4"/>
      <c r="W1996" s="4"/>
      <c r="X1996" s="4"/>
    </row>
    <row r="1997" spans="17:24" x14ac:dyDescent="0.3">
      <c r="Q1997" s="4"/>
      <c r="R1997" s="4"/>
      <c r="S1997" s="4"/>
      <c r="T1997" s="4"/>
      <c r="U1997" s="4"/>
      <c r="V1997" s="4"/>
      <c r="W1997" s="4"/>
      <c r="X1997" s="4"/>
    </row>
    <row r="1998" spans="17:24" x14ac:dyDescent="0.3">
      <c r="Q1998" s="4"/>
      <c r="R1998" s="4"/>
      <c r="S1998" s="4"/>
      <c r="T1998" s="4"/>
      <c r="U1998" s="4"/>
      <c r="V1998" s="4"/>
      <c r="W1998" s="4"/>
      <c r="X1998" s="4"/>
    </row>
    <row r="1999" spans="17:24" x14ac:dyDescent="0.3">
      <c r="Q1999" s="4"/>
      <c r="R1999" s="4"/>
      <c r="S1999" s="4"/>
      <c r="T1999" s="4"/>
      <c r="U1999" s="4"/>
      <c r="V1999" s="4"/>
      <c r="W1999" s="4"/>
      <c r="X1999" s="4"/>
    </row>
    <row r="2000" spans="17:24" x14ac:dyDescent="0.3">
      <c r="Q2000" s="4"/>
      <c r="R2000" s="4"/>
      <c r="S2000" s="4"/>
      <c r="T2000" s="4"/>
      <c r="U2000" s="4"/>
      <c r="V2000" s="4"/>
      <c r="W2000" s="4"/>
      <c r="X2000" s="4"/>
    </row>
    <row r="2001" spans="17:24" x14ac:dyDescent="0.3">
      <c r="Q2001" s="4"/>
      <c r="R2001" s="4"/>
      <c r="S2001" s="4"/>
      <c r="T2001" s="4"/>
      <c r="U2001" s="4"/>
      <c r="V2001" s="4"/>
      <c r="W2001" s="4"/>
      <c r="X2001" s="4"/>
    </row>
    <row r="2002" spans="17:24" x14ac:dyDescent="0.3">
      <c r="Q2002" s="4"/>
      <c r="R2002" s="4"/>
      <c r="S2002" s="4"/>
      <c r="T2002" s="4"/>
      <c r="U2002" s="4"/>
      <c r="V2002" s="4"/>
      <c r="W2002" s="4"/>
      <c r="X2002" s="4"/>
    </row>
    <row r="2003" spans="17:24" x14ac:dyDescent="0.3">
      <c r="Q2003" s="4"/>
      <c r="R2003" s="4"/>
      <c r="S2003" s="4"/>
      <c r="T2003" s="4"/>
      <c r="U2003" s="4"/>
      <c r="V2003" s="4"/>
      <c r="W2003" s="4"/>
      <c r="X2003" s="4"/>
    </row>
    <row r="2004" spans="17:24" x14ac:dyDescent="0.3">
      <c r="Q2004" s="4"/>
      <c r="R2004" s="4"/>
      <c r="S2004" s="4"/>
      <c r="T2004" s="4"/>
      <c r="U2004" s="4"/>
      <c r="V2004" s="4"/>
      <c r="W2004" s="4"/>
      <c r="X2004" s="4"/>
    </row>
    <row r="2005" spans="17:24" x14ac:dyDescent="0.3">
      <c r="Q2005" s="4"/>
      <c r="R2005" s="4"/>
      <c r="S2005" s="4"/>
      <c r="T2005" s="4"/>
      <c r="U2005" s="4"/>
      <c r="V2005" s="4"/>
      <c r="W2005" s="4"/>
      <c r="X2005" s="4"/>
    </row>
    <row r="2006" spans="17:24" x14ac:dyDescent="0.3">
      <c r="Q2006" s="4"/>
      <c r="R2006" s="4"/>
      <c r="S2006" s="4"/>
      <c r="T2006" s="4"/>
      <c r="U2006" s="4"/>
      <c r="V2006" s="4"/>
      <c r="W2006" s="4"/>
      <c r="X2006" s="4"/>
    </row>
    <row r="2007" spans="17:24" x14ac:dyDescent="0.3">
      <c r="Q2007" s="4"/>
      <c r="R2007" s="4"/>
      <c r="S2007" s="4"/>
      <c r="T2007" s="4"/>
      <c r="U2007" s="4"/>
      <c r="V2007" s="4"/>
      <c r="W2007" s="4"/>
      <c r="X2007" s="4"/>
    </row>
    <row r="2008" spans="17:24" x14ac:dyDescent="0.3">
      <c r="Q2008" s="4"/>
      <c r="R2008" s="4"/>
      <c r="S2008" s="4"/>
      <c r="T2008" s="4"/>
      <c r="U2008" s="4"/>
      <c r="V2008" s="4"/>
      <c r="W2008" s="4"/>
      <c r="X2008" s="4"/>
    </row>
    <row r="2009" spans="17:24" x14ac:dyDescent="0.3">
      <c r="Q2009" s="4"/>
      <c r="R2009" s="4"/>
      <c r="S2009" s="4"/>
      <c r="T2009" s="4"/>
      <c r="U2009" s="4"/>
      <c r="V2009" s="4"/>
      <c r="W2009" s="4"/>
      <c r="X2009" s="4"/>
    </row>
    <row r="2010" spans="17:24" x14ac:dyDescent="0.3">
      <c r="Q2010" s="4"/>
      <c r="R2010" s="4"/>
      <c r="S2010" s="4"/>
      <c r="T2010" s="4"/>
      <c r="U2010" s="4"/>
      <c r="V2010" s="4"/>
      <c r="W2010" s="4"/>
      <c r="X2010" s="4"/>
    </row>
    <row r="2011" spans="17:24" x14ac:dyDescent="0.3">
      <c r="Q2011" s="4"/>
      <c r="R2011" s="4"/>
      <c r="S2011" s="4"/>
      <c r="T2011" s="4"/>
      <c r="U2011" s="4"/>
      <c r="V2011" s="4"/>
      <c r="W2011" s="4"/>
      <c r="X2011" s="4"/>
    </row>
    <row r="2012" spans="17:24" x14ac:dyDescent="0.3">
      <c r="Q2012" s="4"/>
      <c r="R2012" s="4"/>
      <c r="S2012" s="4"/>
      <c r="T2012" s="4"/>
      <c r="U2012" s="4"/>
      <c r="V2012" s="4"/>
      <c r="W2012" s="4"/>
      <c r="X2012" s="4"/>
    </row>
    <row r="2013" spans="17:24" x14ac:dyDescent="0.3">
      <c r="Q2013" s="4"/>
      <c r="R2013" s="4"/>
      <c r="S2013" s="4"/>
      <c r="T2013" s="4"/>
      <c r="U2013" s="4"/>
      <c r="V2013" s="4"/>
      <c r="W2013" s="4"/>
      <c r="X2013" s="4"/>
    </row>
    <row r="2014" spans="17:24" x14ac:dyDescent="0.3">
      <c r="Q2014" s="4"/>
      <c r="R2014" s="4"/>
      <c r="S2014" s="4"/>
      <c r="T2014" s="4"/>
      <c r="U2014" s="4"/>
      <c r="V2014" s="4"/>
      <c r="W2014" s="4"/>
      <c r="X2014" s="4"/>
    </row>
    <row r="2015" spans="17:24" x14ac:dyDescent="0.3">
      <c r="Q2015" s="4"/>
      <c r="R2015" s="4"/>
      <c r="S2015" s="4"/>
      <c r="T2015" s="4"/>
      <c r="U2015" s="4"/>
      <c r="V2015" s="4"/>
      <c r="W2015" s="4"/>
      <c r="X2015" s="4"/>
    </row>
    <row r="2016" spans="17:24" x14ac:dyDescent="0.3">
      <c r="Q2016" s="4"/>
      <c r="R2016" s="4"/>
      <c r="S2016" s="4"/>
      <c r="T2016" s="4"/>
      <c r="U2016" s="4"/>
      <c r="V2016" s="4"/>
      <c r="W2016" s="4"/>
      <c r="X2016" s="4"/>
    </row>
    <row r="2017" spans="17:24" x14ac:dyDescent="0.3">
      <c r="Q2017" s="4"/>
      <c r="R2017" s="4"/>
      <c r="S2017" s="4"/>
      <c r="T2017" s="4"/>
      <c r="U2017" s="4"/>
      <c r="V2017" s="4"/>
      <c r="W2017" s="4"/>
      <c r="X2017" s="4"/>
    </row>
    <row r="2018" spans="17:24" x14ac:dyDescent="0.3">
      <c r="Q2018" s="4"/>
      <c r="R2018" s="4"/>
      <c r="S2018" s="4"/>
      <c r="T2018" s="4"/>
      <c r="U2018" s="4"/>
      <c r="V2018" s="4"/>
      <c r="W2018" s="4"/>
      <c r="X2018" s="4"/>
    </row>
    <row r="2019" spans="17:24" x14ac:dyDescent="0.3">
      <c r="Q2019" s="4"/>
      <c r="R2019" s="4"/>
      <c r="S2019" s="4"/>
      <c r="T2019" s="4"/>
      <c r="U2019" s="4"/>
      <c r="V2019" s="4"/>
      <c r="W2019" s="4"/>
      <c r="X2019" s="4"/>
    </row>
    <row r="2020" spans="17:24" x14ac:dyDescent="0.3">
      <c r="Q2020" s="4"/>
      <c r="R2020" s="4"/>
      <c r="S2020" s="4"/>
      <c r="T2020" s="4"/>
      <c r="U2020" s="4"/>
      <c r="V2020" s="4"/>
      <c r="W2020" s="4"/>
      <c r="X2020" s="4"/>
    </row>
    <row r="2021" spans="17:24" x14ac:dyDescent="0.3">
      <c r="Q2021" s="4"/>
      <c r="R2021" s="4"/>
      <c r="S2021" s="4"/>
      <c r="T2021" s="4"/>
      <c r="U2021" s="4"/>
      <c r="V2021" s="4"/>
      <c r="W2021" s="4"/>
      <c r="X2021" s="4"/>
    </row>
    <row r="2022" spans="17:24" x14ac:dyDescent="0.3">
      <c r="Q2022" s="4"/>
      <c r="R2022" s="4"/>
      <c r="S2022" s="4"/>
      <c r="T2022" s="4"/>
      <c r="U2022" s="4"/>
      <c r="V2022" s="4"/>
      <c r="W2022" s="4"/>
      <c r="X2022" s="4"/>
    </row>
    <row r="2023" spans="17:24" x14ac:dyDescent="0.3">
      <c r="Q2023" s="4"/>
      <c r="R2023" s="4"/>
      <c r="S2023" s="4"/>
      <c r="T2023" s="4"/>
      <c r="U2023" s="4"/>
      <c r="V2023" s="4"/>
      <c r="W2023" s="4"/>
      <c r="X2023" s="4"/>
    </row>
    <row r="2024" spans="17:24" x14ac:dyDescent="0.3">
      <c r="Q2024" s="4"/>
      <c r="R2024" s="4"/>
      <c r="S2024" s="4"/>
      <c r="T2024" s="4"/>
      <c r="U2024" s="4"/>
      <c r="V2024" s="4"/>
      <c r="W2024" s="4"/>
      <c r="X2024" s="4"/>
    </row>
    <row r="2025" spans="17:24" x14ac:dyDescent="0.3">
      <c r="Q2025" s="4"/>
      <c r="R2025" s="4"/>
      <c r="S2025" s="4"/>
      <c r="T2025" s="4"/>
      <c r="U2025" s="4"/>
      <c r="V2025" s="4"/>
      <c r="W2025" s="4"/>
      <c r="X2025" s="4"/>
    </row>
    <row r="2026" spans="17:24" x14ac:dyDescent="0.3">
      <c r="Q2026" s="4"/>
      <c r="R2026" s="4"/>
      <c r="S2026" s="4"/>
      <c r="T2026" s="4"/>
      <c r="U2026" s="4"/>
      <c r="V2026" s="4"/>
      <c r="W2026" s="4"/>
      <c r="X2026" s="4"/>
    </row>
    <row r="2027" spans="17:24" x14ac:dyDescent="0.3">
      <c r="Q2027" s="4"/>
      <c r="R2027" s="4"/>
      <c r="S2027" s="4"/>
      <c r="T2027" s="4"/>
      <c r="U2027" s="4"/>
      <c r="V2027" s="4"/>
      <c r="W2027" s="4"/>
      <c r="X2027" s="4"/>
    </row>
    <row r="2028" spans="17:24" x14ac:dyDescent="0.3">
      <c r="Q2028" s="4"/>
      <c r="R2028" s="4"/>
      <c r="S2028" s="4"/>
      <c r="T2028" s="4"/>
      <c r="U2028" s="4"/>
      <c r="V2028" s="4"/>
      <c r="W2028" s="4"/>
      <c r="X2028" s="4"/>
    </row>
    <row r="2029" spans="17:24" x14ac:dyDescent="0.3">
      <c r="Q2029" s="4"/>
      <c r="R2029" s="4"/>
      <c r="S2029" s="4"/>
      <c r="T2029" s="4"/>
      <c r="U2029" s="4"/>
      <c r="V2029" s="4"/>
      <c r="W2029" s="4"/>
      <c r="X2029" s="4"/>
    </row>
    <row r="2030" spans="17:24" x14ac:dyDescent="0.3">
      <c r="Q2030" s="4"/>
      <c r="R2030" s="4"/>
      <c r="S2030" s="4"/>
      <c r="T2030" s="4"/>
      <c r="U2030" s="4"/>
      <c r="V2030" s="4"/>
      <c r="W2030" s="4"/>
      <c r="X2030" s="4"/>
    </row>
    <row r="2031" spans="17:24" x14ac:dyDescent="0.3">
      <c r="Q2031" s="4"/>
      <c r="R2031" s="4"/>
      <c r="S2031" s="4"/>
      <c r="T2031" s="4"/>
      <c r="U2031" s="4"/>
      <c r="V2031" s="4"/>
      <c r="W2031" s="4"/>
      <c r="X2031" s="4"/>
    </row>
    <row r="2032" spans="17:24" x14ac:dyDescent="0.3">
      <c r="Q2032" s="4"/>
      <c r="R2032" s="4"/>
      <c r="S2032" s="4"/>
      <c r="T2032" s="4"/>
      <c r="U2032" s="4"/>
      <c r="V2032" s="4"/>
      <c r="W2032" s="4"/>
      <c r="X2032" s="4"/>
    </row>
    <row r="2033" spans="17:24" x14ac:dyDescent="0.3">
      <c r="Q2033" s="4"/>
      <c r="R2033" s="4"/>
      <c r="S2033" s="4"/>
      <c r="T2033" s="4"/>
      <c r="U2033" s="4"/>
      <c r="V2033" s="4"/>
      <c r="W2033" s="4"/>
      <c r="X2033" s="4"/>
    </row>
    <row r="2034" spans="17:24" x14ac:dyDescent="0.3">
      <c r="Q2034" s="4"/>
      <c r="R2034" s="4"/>
      <c r="S2034" s="4"/>
      <c r="T2034" s="4"/>
      <c r="U2034" s="4"/>
      <c r="V2034" s="4"/>
      <c r="W2034" s="4"/>
      <c r="X2034" s="4"/>
    </row>
    <row r="2035" spans="17:24" x14ac:dyDescent="0.3">
      <c r="Q2035" s="4"/>
      <c r="R2035" s="4"/>
      <c r="S2035" s="4"/>
      <c r="T2035" s="4"/>
      <c r="U2035" s="4"/>
      <c r="V2035" s="4"/>
      <c r="W2035" s="4"/>
      <c r="X2035" s="4"/>
    </row>
    <row r="2036" spans="17:24" x14ac:dyDescent="0.3">
      <c r="Q2036" s="4"/>
      <c r="R2036" s="4"/>
      <c r="S2036" s="4"/>
      <c r="T2036" s="4"/>
      <c r="U2036" s="4"/>
      <c r="V2036" s="4"/>
      <c r="W2036" s="4"/>
      <c r="X2036" s="4"/>
    </row>
    <row r="2037" spans="17:24" x14ac:dyDescent="0.3">
      <c r="Q2037" s="4"/>
      <c r="R2037" s="4"/>
      <c r="S2037" s="4"/>
      <c r="T2037" s="4"/>
      <c r="U2037" s="4"/>
      <c r="V2037" s="4"/>
      <c r="W2037" s="4"/>
      <c r="X2037" s="4"/>
    </row>
    <row r="2038" spans="17:24" x14ac:dyDescent="0.3">
      <c r="Q2038" s="4"/>
      <c r="R2038" s="4"/>
      <c r="S2038" s="4"/>
      <c r="T2038" s="4"/>
      <c r="U2038" s="4"/>
      <c r="V2038" s="4"/>
      <c r="W2038" s="4"/>
      <c r="X2038" s="4"/>
    </row>
    <row r="2039" spans="17:24" x14ac:dyDescent="0.3">
      <c r="Q2039" s="4"/>
      <c r="R2039" s="4"/>
      <c r="S2039" s="4"/>
      <c r="T2039" s="4"/>
      <c r="U2039" s="4"/>
      <c r="V2039" s="4"/>
      <c r="W2039" s="4"/>
      <c r="X2039" s="4"/>
    </row>
    <row r="2040" spans="17:24" x14ac:dyDescent="0.3">
      <c r="Q2040" s="4"/>
      <c r="R2040" s="4"/>
      <c r="S2040" s="4"/>
      <c r="T2040" s="4"/>
      <c r="U2040" s="4"/>
      <c r="V2040" s="4"/>
      <c r="W2040" s="4"/>
      <c r="X2040" s="4"/>
    </row>
    <row r="2041" spans="17:24" x14ac:dyDescent="0.3">
      <c r="Q2041" s="4"/>
      <c r="R2041" s="4"/>
      <c r="S2041" s="4"/>
      <c r="T2041" s="4"/>
      <c r="U2041" s="4"/>
      <c r="V2041" s="4"/>
      <c r="W2041" s="4"/>
      <c r="X2041" s="4"/>
    </row>
    <row r="2042" spans="17:24" x14ac:dyDescent="0.3">
      <c r="Q2042" s="4"/>
      <c r="R2042" s="4"/>
      <c r="S2042" s="4"/>
      <c r="T2042" s="4"/>
      <c r="U2042" s="4"/>
      <c r="V2042" s="4"/>
      <c r="W2042" s="4"/>
      <c r="X2042" s="4"/>
    </row>
    <row r="2043" spans="17:24" x14ac:dyDescent="0.3">
      <c r="Q2043" s="4"/>
      <c r="R2043" s="4"/>
      <c r="S2043" s="4"/>
      <c r="T2043" s="4"/>
      <c r="U2043" s="4"/>
      <c r="V2043" s="4"/>
      <c r="W2043" s="4"/>
      <c r="X2043" s="4"/>
    </row>
    <row r="2044" spans="17:24" x14ac:dyDescent="0.3">
      <c r="Q2044" s="4"/>
      <c r="R2044" s="4"/>
      <c r="S2044" s="4"/>
      <c r="T2044" s="4"/>
      <c r="U2044" s="4"/>
      <c r="V2044" s="4"/>
      <c r="W2044" s="4"/>
      <c r="X2044" s="4"/>
    </row>
    <row r="2045" spans="17:24" x14ac:dyDescent="0.3">
      <c r="Q2045" s="4"/>
      <c r="R2045" s="4"/>
      <c r="S2045" s="4"/>
      <c r="T2045" s="4"/>
      <c r="U2045" s="4"/>
      <c r="V2045" s="4"/>
      <c r="W2045" s="4"/>
      <c r="X2045" s="4"/>
    </row>
    <row r="2046" spans="17:24" x14ac:dyDescent="0.3">
      <c r="Q2046" s="4"/>
      <c r="R2046" s="4"/>
      <c r="S2046" s="4"/>
      <c r="T2046" s="4"/>
      <c r="U2046" s="4"/>
      <c r="V2046" s="4"/>
      <c r="W2046" s="4"/>
      <c r="X2046" s="4"/>
    </row>
    <row r="2047" spans="17:24" x14ac:dyDescent="0.3">
      <c r="Q2047" s="4"/>
      <c r="R2047" s="4"/>
      <c r="S2047" s="4"/>
      <c r="T2047" s="4"/>
      <c r="U2047" s="4"/>
      <c r="V2047" s="4"/>
      <c r="W2047" s="4"/>
      <c r="X2047" s="4"/>
    </row>
    <row r="2048" spans="17:24" x14ac:dyDescent="0.3">
      <c r="Q2048" s="4"/>
      <c r="R2048" s="4"/>
      <c r="S2048" s="4"/>
      <c r="T2048" s="4"/>
      <c r="U2048" s="4"/>
      <c r="V2048" s="4"/>
      <c r="W2048" s="4"/>
      <c r="X2048" s="4"/>
    </row>
    <row r="2049" spans="17:24" x14ac:dyDescent="0.3">
      <c r="Q2049" s="4"/>
      <c r="R2049" s="4"/>
      <c r="S2049" s="4"/>
      <c r="T2049" s="4"/>
      <c r="U2049" s="4"/>
      <c r="V2049" s="4"/>
      <c r="W2049" s="4"/>
      <c r="X2049" s="4"/>
    </row>
    <row r="2050" spans="17:24" x14ac:dyDescent="0.3">
      <c r="Q2050" s="4"/>
      <c r="R2050" s="4"/>
      <c r="S2050" s="4"/>
      <c r="T2050" s="4"/>
      <c r="U2050" s="4"/>
      <c r="V2050" s="4"/>
      <c r="W2050" s="4"/>
      <c r="X2050" s="4"/>
    </row>
    <row r="2051" spans="17:24" x14ac:dyDescent="0.3">
      <c r="Q2051" s="4"/>
      <c r="R2051" s="4"/>
      <c r="S2051" s="4"/>
      <c r="T2051" s="4"/>
      <c r="U2051" s="4"/>
      <c r="V2051" s="4"/>
      <c r="W2051" s="4"/>
      <c r="X2051" s="4"/>
    </row>
    <row r="2052" spans="17:24" x14ac:dyDescent="0.3">
      <c r="Q2052" s="4"/>
      <c r="R2052" s="4"/>
      <c r="S2052" s="4"/>
      <c r="T2052" s="4"/>
      <c r="U2052" s="4"/>
      <c r="V2052" s="4"/>
      <c r="W2052" s="4"/>
      <c r="X2052" s="4"/>
    </row>
    <row r="2053" spans="17:24" x14ac:dyDescent="0.3">
      <c r="Q2053" s="4"/>
      <c r="R2053" s="4"/>
      <c r="S2053" s="4"/>
      <c r="T2053" s="4"/>
      <c r="U2053" s="4"/>
      <c r="V2053" s="4"/>
      <c r="W2053" s="4"/>
      <c r="X2053" s="4"/>
    </row>
    <row r="2054" spans="17:24" x14ac:dyDescent="0.3">
      <c r="Q2054" s="4"/>
      <c r="R2054" s="4"/>
      <c r="S2054" s="4"/>
      <c r="T2054" s="4"/>
      <c r="U2054" s="4"/>
      <c r="V2054" s="4"/>
      <c r="W2054" s="4"/>
      <c r="X2054" s="4"/>
    </row>
    <row r="2055" spans="17:24" x14ac:dyDescent="0.3">
      <c r="Q2055" s="4"/>
      <c r="R2055" s="4"/>
      <c r="S2055" s="4"/>
      <c r="T2055" s="4"/>
      <c r="U2055" s="4"/>
      <c r="V2055" s="4"/>
      <c r="W2055" s="4"/>
      <c r="X2055" s="4"/>
    </row>
    <row r="2056" spans="17:24" x14ac:dyDescent="0.3">
      <c r="Q2056" s="4"/>
      <c r="R2056" s="4"/>
      <c r="S2056" s="4"/>
      <c r="T2056" s="4"/>
      <c r="U2056" s="4"/>
      <c r="V2056" s="4"/>
      <c r="W2056" s="4"/>
      <c r="X2056" s="4"/>
    </row>
    <row r="2057" spans="17:24" x14ac:dyDescent="0.3">
      <c r="Q2057" s="4"/>
      <c r="R2057" s="4"/>
      <c r="S2057" s="4"/>
      <c r="T2057" s="4"/>
      <c r="U2057" s="4"/>
      <c r="V2057" s="4"/>
      <c r="W2057" s="4"/>
      <c r="X2057" s="4"/>
    </row>
    <row r="2058" spans="17:24" x14ac:dyDescent="0.3">
      <c r="Q2058" s="4"/>
      <c r="R2058" s="4"/>
      <c r="S2058" s="4"/>
      <c r="T2058" s="4"/>
      <c r="U2058" s="4"/>
      <c r="V2058" s="4"/>
      <c r="W2058" s="4"/>
      <c r="X2058" s="4"/>
    </row>
    <row r="2059" spans="17:24" x14ac:dyDescent="0.3">
      <c r="Q2059" s="4"/>
      <c r="R2059" s="4"/>
      <c r="S2059" s="4"/>
      <c r="T2059" s="4"/>
      <c r="U2059" s="4"/>
      <c r="V2059" s="4"/>
      <c r="W2059" s="4"/>
      <c r="X2059" s="4"/>
    </row>
    <row r="2060" spans="17:24" x14ac:dyDescent="0.3">
      <c r="Q2060" s="4"/>
      <c r="R2060" s="4"/>
      <c r="S2060" s="4"/>
      <c r="T2060" s="4"/>
      <c r="U2060" s="4"/>
      <c r="V2060" s="4"/>
      <c r="W2060" s="4"/>
      <c r="X2060" s="4"/>
    </row>
    <row r="2061" spans="17:24" x14ac:dyDescent="0.3">
      <c r="Q2061" s="4"/>
      <c r="R2061" s="4"/>
      <c r="S2061" s="4"/>
      <c r="T2061" s="4"/>
      <c r="U2061" s="4"/>
      <c r="V2061" s="4"/>
      <c r="W2061" s="4"/>
      <c r="X2061" s="4"/>
    </row>
    <row r="2062" spans="17:24" x14ac:dyDescent="0.3">
      <c r="Q2062" s="4"/>
      <c r="R2062" s="4"/>
      <c r="S2062" s="4"/>
      <c r="T2062" s="4"/>
      <c r="U2062" s="4"/>
      <c r="V2062" s="4"/>
      <c r="W2062" s="4"/>
      <c r="X2062" s="4"/>
    </row>
    <row r="2063" spans="17:24" x14ac:dyDescent="0.3">
      <c r="Q2063" s="4"/>
      <c r="R2063" s="4"/>
      <c r="S2063" s="4"/>
      <c r="T2063" s="4"/>
      <c r="U2063" s="4"/>
      <c r="V2063" s="4"/>
      <c r="W2063" s="4"/>
      <c r="X2063" s="4"/>
    </row>
    <row r="2064" spans="17:24" x14ac:dyDescent="0.3">
      <c r="Q2064" s="4"/>
      <c r="R2064" s="4"/>
      <c r="S2064" s="4"/>
      <c r="T2064" s="4"/>
      <c r="U2064" s="4"/>
      <c r="V2064" s="4"/>
      <c r="W2064" s="4"/>
      <c r="X2064" s="4"/>
    </row>
    <row r="2065" spans="17:24" x14ac:dyDescent="0.3">
      <c r="Q2065" s="4"/>
      <c r="R2065" s="4"/>
      <c r="S2065" s="4"/>
      <c r="T2065" s="4"/>
      <c r="U2065" s="4"/>
      <c r="V2065" s="4"/>
      <c r="W2065" s="4"/>
      <c r="X2065" s="4"/>
    </row>
    <row r="2066" spans="17:24" x14ac:dyDescent="0.3">
      <c r="Q2066" s="4"/>
      <c r="R2066" s="4"/>
      <c r="S2066" s="4"/>
      <c r="T2066" s="4"/>
      <c r="U2066" s="4"/>
      <c r="V2066" s="4"/>
      <c r="W2066" s="4"/>
      <c r="X2066" s="4"/>
    </row>
    <row r="2067" spans="17:24" x14ac:dyDescent="0.3">
      <c r="Q2067" s="4"/>
      <c r="R2067" s="4"/>
      <c r="S2067" s="4"/>
      <c r="T2067" s="4"/>
      <c r="U2067" s="4"/>
      <c r="V2067" s="4"/>
      <c r="W2067" s="4"/>
      <c r="X2067" s="4"/>
    </row>
    <row r="2068" spans="17:24" x14ac:dyDescent="0.3">
      <c r="Q2068" s="4"/>
      <c r="R2068" s="4"/>
      <c r="S2068" s="4"/>
      <c r="T2068" s="4"/>
      <c r="U2068" s="4"/>
      <c r="V2068" s="4"/>
      <c r="W2068" s="4"/>
      <c r="X2068" s="4"/>
    </row>
    <row r="2069" spans="17:24" x14ac:dyDescent="0.3">
      <c r="Q2069" s="4"/>
      <c r="R2069" s="4"/>
      <c r="S2069" s="4"/>
      <c r="T2069" s="4"/>
      <c r="U2069" s="4"/>
      <c r="V2069" s="4"/>
      <c r="W2069" s="4"/>
      <c r="X2069" s="4"/>
    </row>
    <row r="2070" spans="17:24" x14ac:dyDescent="0.3">
      <c r="Q2070" s="4"/>
      <c r="R2070" s="4"/>
      <c r="S2070" s="4"/>
      <c r="T2070" s="4"/>
      <c r="U2070" s="4"/>
      <c r="V2070" s="4"/>
      <c r="W2070" s="4"/>
      <c r="X2070" s="4"/>
    </row>
    <row r="2071" spans="17:24" x14ac:dyDescent="0.3">
      <c r="Q2071" s="4"/>
      <c r="R2071" s="4"/>
      <c r="S2071" s="4"/>
      <c r="T2071" s="4"/>
      <c r="U2071" s="4"/>
      <c r="V2071" s="4"/>
      <c r="W2071" s="4"/>
      <c r="X2071" s="4"/>
    </row>
    <row r="2072" spans="17:24" x14ac:dyDescent="0.3">
      <c r="Q2072" s="4"/>
      <c r="R2072" s="4"/>
      <c r="S2072" s="4"/>
      <c r="T2072" s="4"/>
      <c r="U2072" s="4"/>
      <c r="V2072" s="4"/>
      <c r="W2072" s="4"/>
      <c r="X2072" s="4"/>
    </row>
    <row r="2073" spans="17:24" x14ac:dyDescent="0.3">
      <c r="Q2073" s="4"/>
      <c r="R2073" s="4"/>
      <c r="S2073" s="4"/>
      <c r="T2073" s="4"/>
      <c r="U2073" s="4"/>
      <c r="V2073" s="4"/>
      <c r="W2073" s="4"/>
      <c r="X2073" s="4"/>
    </row>
    <row r="2074" spans="17:24" x14ac:dyDescent="0.3">
      <c r="Q2074" s="4"/>
      <c r="R2074" s="4"/>
      <c r="S2074" s="4"/>
      <c r="T2074" s="4"/>
      <c r="U2074" s="4"/>
      <c r="V2074" s="4"/>
      <c r="W2074" s="4"/>
      <c r="X2074" s="4"/>
    </row>
    <row r="2075" spans="17:24" x14ac:dyDescent="0.3">
      <c r="Q2075" s="4"/>
      <c r="R2075" s="4"/>
      <c r="S2075" s="4"/>
      <c r="T2075" s="4"/>
      <c r="U2075" s="4"/>
      <c r="V2075" s="4"/>
      <c r="W2075" s="4"/>
      <c r="X2075" s="4"/>
    </row>
    <row r="2076" spans="17:24" x14ac:dyDescent="0.3">
      <c r="Q2076" s="4"/>
      <c r="R2076" s="4"/>
      <c r="S2076" s="4"/>
      <c r="T2076" s="4"/>
      <c r="U2076" s="4"/>
      <c r="V2076" s="4"/>
      <c r="W2076" s="4"/>
      <c r="X2076" s="4"/>
    </row>
    <row r="2077" spans="17:24" x14ac:dyDescent="0.3">
      <c r="Q2077" s="4"/>
      <c r="R2077" s="4"/>
      <c r="S2077" s="4"/>
      <c r="T2077" s="4"/>
      <c r="U2077" s="4"/>
      <c r="V2077" s="4"/>
      <c r="W2077" s="4"/>
      <c r="X2077" s="4"/>
    </row>
    <row r="2078" spans="17:24" x14ac:dyDescent="0.3">
      <c r="Q2078" s="4"/>
      <c r="R2078" s="4"/>
      <c r="S2078" s="4"/>
      <c r="T2078" s="4"/>
      <c r="U2078" s="4"/>
      <c r="V2078" s="4"/>
      <c r="W2078" s="4"/>
      <c r="X2078" s="4"/>
    </row>
    <row r="2079" spans="17:24" x14ac:dyDescent="0.3">
      <c r="Q2079" s="4"/>
      <c r="R2079" s="4"/>
      <c r="S2079" s="4"/>
      <c r="T2079" s="4"/>
      <c r="U2079" s="4"/>
      <c r="V2079" s="4"/>
      <c r="W2079" s="4"/>
      <c r="X2079" s="4"/>
    </row>
    <row r="2080" spans="17:24" x14ac:dyDescent="0.3">
      <c r="Q2080" s="4"/>
      <c r="R2080" s="4"/>
      <c r="S2080" s="4"/>
      <c r="T2080" s="4"/>
      <c r="U2080" s="4"/>
      <c r="V2080" s="4"/>
      <c r="W2080" s="4"/>
      <c r="X2080" s="4"/>
    </row>
    <row r="2081" spans="17:24" x14ac:dyDescent="0.3">
      <c r="Q2081" s="4"/>
      <c r="R2081" s="4"/>
      <c r="S2081" s="4"/>
      <c r="T2081" s="4"/>
      <c r="U2081" s="4"/>
      <c r="V2081" s="4"/>
      <c r="W2081" s="4"/>
      <c r="X2081" s="4"/>
    </row>
    <row r="2082" spans="17:24" x14ac:dyDescent="0.3">
      <c r="Q2082" s="4"/>
      <c r="R2082" s="4"/>
      <c r="S2082" s="4"/>
      <c r="T2082" s="4"/>
      <c r="U2082" s="4"/>
      <c r="V2082" s="4"/>
      <c r="W2082" s="4"/>
      <c r="X2082" s="4"/>
    </row>
    <row r="2083" spans="17:24" x14ac:dyDescent="0.3">
      <c r="Q2083" s="4"/>
      <c r="R2083" s="4"/>
      <c r="S2083" s="4"/>
      <c r="T2083" s="4"/>
      <c r="U2083" s="4"/>
      <c r="V2083" s="4"/>
      <c r="W2083" s="4"/>
      <c r="X2083" s="4"/>
    </row>
    <row r="2084" spans="17:24" x14ac:dyDescent="0.3">
      <c r="Q2084" s="4"/>
      <c r="R2084" s="4"/>
      <c r="S2084" s="4"/>
      <c r="T2084" s="4"/>
      <c r="U2084" s="4"/>
      <c r="V2084" s="4"/>
      <c r="W2084" s="4"/>
      <c r="X2084" s="4"/>
    </row>
    <row r="2085" spans="17:24" x14ac:dyDescent="0.3">
      <c r="Q2085" s="4"/>
      <c r="R2085" s="4"/>
      <c r="S2085" s="4"/>
      <c r="T2085" s="4"/>
      <c r="U2085" s="4"/>
      <c r="V2085" s="4"/>
      <c r="W2085" s="4"/>
      <c r="X2085" s="4"/>
    </row>
    <row r="2086" spans="17:24" x14ac:dyDescent="0.3">
      <c r="Q2086" s="4"/>
      <c r="R2086" s="4"/>
      <c r="S2086" s="4"/>
      <c r="T2086" s="4"/>
      <c r="U2086" s="4"/>
      <c r="V2086" s="4"/>
      <c r="W2086" s="4"/>
      <c r="X2086" s="4"/>
    </row>
    <row r="2087" spans="17:24" x14ac:dyDescent="0.3">
      <c r="Q2087" s="4"/>
      <c r="R2087" s="4"/>
      <c r="S2087" s="4"/>
      <c r="T2087" s="4"/>
      <c r="U2087" s="4"/>
      <c r="V2087" s="4"/>
      <c r="W2087" s="4"/>
      <c r="X2087" s="4"/>
    </row>
    <row r="2088" spans="17:24" x14ac:dyDescent="0.3">
      <c r="Q2088" s="4"/>
      <c r="R2088" s="4"/>
      <c r="S2088" s="4"/>
      <c r="T2088" s="4"/>
      <c r="U2088" s="4"/>
      <c r="V2088" s="4"/>
      <c r="W2088" s="4"/>
      <c r="X2088" s="4"/>
    </row>
    <row r="2089" spans="17:24" x14ac:dyDescent="0.3">
      <c r="Q2089" s="4"/>
      <c r="R2089" s="4"/>
      <c r="S2089" s="4"/>
      <c r="T2089" s="4"/>
      <c r="U2089" s="4"/>
      <c r="V2089" s="4"/>
      <c r="W2089" s="4"/>
      <c r="X2089" s="4"/>
    </row>
    <row r="2090" spans="17:24" x14ac:dyDescent="0.3">
      <c r="Q2090" s="4"/>
      <c r="R2090" s="4"/>
      <c r="S2090" s="4"/>
      <c r="T2090" s="4"/>
      <c r="U2090" s="4"/>
      <c r="V2090" s="4"/>
      <c r="W2090" s="4"/>
      <c r="X2090" s="4"/>
    </row>
    <row r="2091" spans="17:24" x14ac:dyDescent="0.3">
      <c r="Q2091" s="4"/>
      <c r="R2091" s="4"/>
      <c r="S2091" s="4"/>
      <c r="T2091" s="4"/>
      <c r="U2091" s="4"/>
      <c r="V2091" s="4"/>
      <c r="W2091" s="4"/>
      <c r="X2091" s="4"/>
    </row>
    <row r="2092" spans="17:24" x14ac:dyDescent="0.3">
      <c r="Q2092" s="4"/>
      <c r="R2092" s="4"/>
      <c r="S2092" s="4"/>
      <c r="T2092" s="4"/>
      <c r="U2092" s="4"/>
      <c r="V2092" s="4"/>
      <c r="W2092" s="4"/>
      <c r="X2092" s="4"/>
    </row>
    <row r="2093" spans="17:24" x14ac:dyDescent="0.3">
      <c r="Q2093" s="4"/>
      <c r="R2093" s="4"/>
      <c r="S2093" s="4"/>
      <c r="T2093" s="4"/>
      <c r="U2093" s="4"/>
      <c r="V2093" s="4"/>
      <c r="W2093" s="4"/>
      <c r="X2093" s="4"/>
    </row>
    <row r="2094" spans="17:24" x14ac:dyDescent="0.3">
      <c r="Q2094" s="4"/>
      <c r="R2094" s="4"/>
      <c r="S2094" s="4"/>
      <c r="T2094" s="4"/>
      <c r="U2094" s="4"/>
      <c r="V2094" s="4"/>
      <c r="W2094" s="4"/>
      <c r="X2094" s="4"/>
    </row>
    <row r="2095" spans="17:24" x14ac:dyDescent="0.3">
      <c r="Q2095" s="4"/>
      <c r="R2095" s="4"/>
      <c r="S2095" s="4"/>
      <c r="T2095" s="4"/>
      <c r="U2095" s="4"/>
      <c r="V2095" s="4"/>
      <c r="W2095" s="4"/>
      <c r="X2095" s="4"/>
    </row>
    <row r="2096" spans="17:24" x14ac:dyDescent="0.3">
      <c r="Q2096" s="4"/>
      <c r="R2096" s="4"/>
      <c r="S2096" s="4"/>
      <c r="T2096" s="4"/>
      <c r="U2096" s="4"/>
      <c r="V2096" s="4"/>
      <c r="W2096" s="4"/>
      <c r="X2096" s="4"/>
    </row>
    <row r="2097" spans="17:24" x14ac:dyDescent="0.3">
      <c r="Q2097" s="4"/>
      <c r="R2097" s="4"/>
      <c r="S2097" s="4"/>
      <c r="T2097" s="4"/>
      <c r="U2097" s="4"/>
      <c r="V2097" s="4"/>
      <c r="W2097" s="4"/>
      <c r="X2097" s="4"/>
    </row>
    <row r="2098" spans="17:24" x14ac:dyDescent="0.3">
      <c r="Q2098" s="4"/>
      <c r="R2098" s="4"/>
      <c r="S2098" s="4"/>
      <c r="T2098" s="4"/>
      <c r="U2098" s="4"/>
      <c r="V2098" s="4"/>
      <c r="W2098" s="4"/>
      <c r="X2098" s="4"/>
    </row>
    <row r="2099" spans="17:24" x14ac:dyDescent="0.3">
      <c r="Q2099" s="4"/>
      <c r="R2099" s="4"/>
      <c r="S2099" s="4"/>
      <c r="T2099" s="4"/>
      <c r="U2099" s="4"/>
      <c r="V2099" s="4"/>
      <c r="W2099" s="4"/>
      <c r="X2099" s="4"/>
    </row>
    <row r="2100" spans="17:24" x14ac:dyDescent="0.3">
      <c r="Q2100" s="4"/>
      <c r="R2100" s="4"/>
      <c r="S2100" s="4"/>
      <c r="T2100" s="4"/>
      <c r="U2100" s="4"/>
      <c r="V2100" s="4"/>
      <c r="W2100" s="4"/>
      <c r="X2100" s="4"/>
    </row>
    <row r="2101" spans="17:24" x14ac:dyDescent="0.3">
      <c r="Q2101" s="4"/>
      <c r="R2101" s="4"/>
      <c r="S2101" s="4"/>
      <c r="T2101" s="4"/>
      <c r="U2101" s="4"/>
      <c r="V2101" s="4"/>
      <c r="W2101" s="4"/>
      <c r="X2101" s="4"/>
    </row>
    <row r="2102" spans="17:24" x14ac:dyDescent="0.3">
      <c r="Q2102" s="4"/>
      <c r="R2102" s="4"/>
      <c r="S2102" s="4"/>
      <c r="T2102" s="4"/>
      <c r="U2102" s="4"/>
      <c r="V2102" s="4"/>
      <c r="W2102" s="4"/>
      <c r="X2102" s="4"/>
    </row>
    <row r="2103" spans="17:24" x14ac:dyDescent="0.3">
      <c r="Q2103" s="4"/>
      <c r="R2103" s="4"/>
      <c r="S2103" s="4"/>
      <c r="T2103" s="4"/>
      <c r="U2103" s="4"/>
      <c r="V2103" s="4"/>
      <c r="W2103" s="4"/>
      <c r="X2103" s="4"/>
    </row>
    <row r="2104" spans="17:24" x14ac:dyDescent="0.3">
      <c r="Q2104" s="4"/>
      <c r="R2104" s="4"/>
      <c r="S2104" s="4"/>
      <c r="T2104" s="4"/>
      <c r="U2104" s="4"/>
      <c r="V2104" s="4"/>
      <c r="W2104" s="4"/>
      <c r="X2104" s="4"/>
    </row>
    <row r="2105" spans="17:24" x14ac:dyDescent="0.3">
      <c r="Q2105" s="4"/>
      <c r="R2105" s="4"/>
      <c r="S2105" s="4"/>
      <c r="T2105" s="4"/>
      <c r="U2105" s="4"/>
      <c r="V2105" s="4"/>
      <c r="W2105" s="4"/>
      <c r="X2105" s="4"/>
    </row>
    <row r="2106" spans="17:24" x14ac:dyDescent="0.3">
      <c r="Q2106" s="4"/>
      <c r="R2106" s="4"/>
      <c r="S2106" s="4"/>
      <c r="T2106" s="4"/>
      <c r="U2106" s="4"/>
      <c r="V2106" s="4"/>
      <c r="W2106" s="4"/>
      <c r="X2106" s="4"/>
    </row>
    <row r="2107" spans="17:24" x14ac:dyDescent="0.3">
      <c r="Q2107" s="4"/>
      <c r="R2107" s="4"/>
      <c r="S2107" s="4"/>
      <c r="T2107" s="4"/>
      <c r="U2107" s="4"/>
      <c r="V2107" s="4"/>
      <c r="W2107" s="4"/>
      <c r="X2107" s="4"/>
    </row>
    <row r="2108" spans="17:24" x14ac:dyDescent="0.3">
      <c r="Q2108" s="4"/>
      <c r="R2108" s="4"/>
      <c r="S2108" s="4"/>
      <c r="T2108" s="4"/>
      <c r="U2108" s="4"/>
      <c r="V2108" s="4"/>
      <c r="W2108" s="4"/>
      <c r="X2108" s="4"/>
    </row>
    <row r="2109" spans="17:24" x14ac:dyDescent="0.3">
      <c r="Q2109" s="4"/>
      <c r="R2109" s="4"/>
      <c r="S2109" s="4"/>
      <c r="T2109" s="4"/>
      <c r="U2109" s="4"/>
      <c r="V2109" s="4"/>
      <c r="W2109" s="4"/>
      <c r="X2109" s="4"/>
    </row>
    <row r="2110" spans="17:24" x14ac:dyDescent="0.3">
      <c r="Q2110" s="4"/>
      <c r="R2110" s="4"/>
      <c r="S2110" s="4"/>
      <c r="T2110" s="4"/>
      <c r="U2110" s="4"/>
      <c r="V2110" s="4"/>
      <c r="W2110" s="4"/>
      <c r="X2110" s="4"/>
    </row>
    <row r="2111" spans="17:24" x14ac:dyDescent="0.3">
      <c r="Q2111" s="4"/>
      <c r="R2111" s="4"/>
      <c r="S2111" s="4"/>
      <c r="T2111" s="4"/>
      <c r="U2111" s="4"/>
      <c r="V2111" s="4"/>
      <c r="W2111" s="4"/>
      <c r="X2111" s="4"/>
    </row>
    <row r="2112" spans="17:24" x14ac:dyDescent="0.3">
      <c r="Q2112" s="4"/>
      <c r="R2112" s="4"/>
      <c r="S2112" s="4"/>
      <c r="T2112" s="4"/>
      <c r="U2112" s="4"/>
      <c r="V2112" s="4"/>
      <c r="W2112" s="4"/>
      <c r="X2112" s="4"/>
    </row>
    <row r="2113" spans="17:24" x14ac:dyDescent="0.3">
      <c r="Q2113" s="4"/>
      <c r="R2113" s="4"/>
      <c r="S2113" s="4"/>
      <c r="T2113" s="4"/>
      <c r="U2113" s="4"/>
      <c r="V2113" s="4"/>
      <c r="W2113" s="4"/>
      <c r="X2113" s="4"/>
    </row>
    <row r="2114" spans="17:24" x14ac:dyDescent="0.3">
      <c r="Q2114" s="4"/>
      <c r="R2114" s="4"/>
      <c r="S2114" s="4"/>
      <c r="T2114" s="4"/>
      <c r="U2114" s="4"/>
      <c r="V2114" s="4"/>
      <c r="W2114" s="4"/>
      <c r="X2114" s="4"/>
    </row>
    <row r="2115" spans="17:24" x14ac:dyDescent="0.3">
      <c r="Q2115" s="4"/>
      <c r="R2115" s="4"/>
      <c r="S2115" s="4"/>
      <c r="T2115" s="4"/>
      <c r="U2115" s="4"/>
      <c r="V2115" s="4"/>
      <c r="W2115" s="4"/>
      <c r="X2115" s="4"/>
    </row>
    <row r="2116" spans="17:24" x14ac:dyDescent="0.3">
      <c r="Q2116" s="4"/>
      <c r="R2116" s="4"/>
      <c r="S2116" s="4"/>
      <c r="T2116" s="4"/>
      <c r="U2116" s="4"/>
      <c r="V2116" s="4"/>
      <c r="W2116" s="4"/>
      <c r="X2116" s="4"/>
    </row>
    <row r="2117" spans="17:24" x14ac:dyDescent="0.3">
      <c r="Q2117" s="4"/>
      <c r="R2117" s="4"/>
      <c r="S2117" s="4"/>
      <c r="T2117" s="4"/>
      <c r="U2117" s="4"/>
      <c r="V2117" s="4"/>
      <c r="W2117" s="4"/>
      <c r="X2117" s="4"/>
    </row>
    <row r="2118" spans="17:24" x14ac:dyDescent="0.3">
      <c r="Q2118" s="4"/>
      <c r="R2118" s="4"/>
      <c r="S2118" s="4"/>
      <c r="T2118" s="4"/>
      <c r="U2118" s="4"/>
      <c r="V2118" s="4"/>
      <c r="W2118" s="4"/>
      <c r="X2118" s="4"/>
    </row>
    <row r="2119" spans="17:24" x14ac:dyDescent="0.3">
      <c r="Q2119" s="4"/>
      <c r="R2119" s="4"/>
      <c r="S2119" s="4"/>
      <c r="T2119" s="4"/>
      <c r="U2119" s="4"/>
      <c r="V2119" s="4"/>
      <c r="W2119" s="4"/>
      <c r="X2119" s="4"/>
    </row>
    <row r="2120" spans="17:24" x14ac:dyDescent="0.3">
      <c r="Q2120" s="4"/>
      <c r="R2120" s="4"/>
      <c r="S2120" s="4"/>
      <c r="T2120" s="4"/>
      <c r="U2120" s="4"/>
      <c r="V2120" s="4"/>
      <c r="W2120" s="4"/>
      <c r="X2120" s="4"/>
    </row>
    <row r="2121" spans="17:24" x14ac:dyDescent="0.3">
      <c r="Q2121" s="4"/>
      <c r="R2121" s="4"/>
      <c r="S2121" s="4"/>
      <c r="T2121" s="4"/>
      <c r="U2121" s="4"/>
      <c r="V2121" s="4"/>
      <c r="W2121" s="4"/>
      <c r="X2121" s="4"/>
    </row>
    <row r="2122" spans="17:24" x14ac:dyDescent="0.3">
      <c r="Q2122" s="4"/>
      <c r="R2122" s="4"/>
      <c r="S2122" s="4"/>
      <c r="T2122" s="4"/>
      <c r="U2122" s="4"/>
      <c r="V2122" s="4"/>
      <c r="W2122" s="4"/>
      <c r="X2122" s="4"/>
    </row>
    <row r="2123" spans="17:24" x14ac:dyDescent="0.3">
      <c r="Q2123" s="4"/>
      <c r="R2123" s="4"/>
      <c r="S2123" s="4"/>
      <c r="T2123" s="4"/>
      <c r="U2123" s="4"/>
      <c r="V2123" s="4"/>
      <c r="W2123" s="4"/>
      <c r="X2123" s="4"/>
    </row>
    <row r="2124" spans="17:24" x14ac:dyDescent="0.3">
      <c r="Q2124" s="4"/>
      <c r="R2124" s="4"/>
      <c r="S2124" s="4"/>
      <c r="T2124" s="4"/>
      <c r="U2124" s="4"/>
      <c r="V2124" s="4"/>
      <c r="W2124" s="4"/>
      <c r="X2124" s="4"/>
    </row>
    <row r="2125" spans="17:24" x14ac:dyDescent="0.3">
      <c r="Q2125" s="4"/>
      <c r="R2125" s="4"/>
      <c r="S2125" s="4"/>
      <c r="T2125" s="4"/>
      <c r="U2125" s="4"/>
      <c r="V2125" s="4"/>
      <c r="W2125" s="4"/>
      <c r="X2125" s="4"/>
    </row>
    <row r="2126" spans="17:24" x14ac:dyDescent="0.3">
      <c r="Q2126" s="4"/>
      <c r="R2126" s="4"/>
      <c r="S2126" s="4"/>
      <c r="T2126" s="4"/>
      <c r="U2126" s="4"/>
      <c r="V2126" s="4"/>
      <c r="W2126" s="4"/>
      <c r="X2126" s="4"/>
    </row>
    <row r="2127" spans="17:24" x14ac:dyDescent="0.3">
      <c r="Q2127" s="4"/>
      <c r="R2127" s="4"/>
      <c r="S2127" s="4"/>
      <c r="T2127" s="4"/>
      <c r="U2127" s="4"/>
      <c r="V2127" s="4"/>
      <c r="W2127" s="4"/>
      <c r="X2127" s="4"/>
    </row>
    <row r="2128" spans="17:24" x14ac:dyDescent="0.3">
      <c r="Q2128" s="4"/>
      <c r="R2128" s="4"/>
      <c r="S2128" s="4"/>
      <c r="T2128" s="4"/>
      <c r="U2128" s="4"/>
      <c r="V2128" s="4"/>
      <c r="W2128" s="4"/>
      <c r="X2128" s="4"/>
    </row>
    <row r="2129" spans="17:24" x14ac:dyDescent="0.3">
      <c r="Q2129" s="4"/>
      <c r="R2129" s="4"/>
      <c r="S2129" s="4"/>
      <c r="T2129" s="4"/>
      <c r="U2129" s="4"/>
      <c r="V2129" s="4"/>
      <c r="W2129" s="4"/>
      <c r="X2129" s="4"/>
    </row>
    <row r="2130" spans="17:24" x14ac:dyDescent="0.3">
      <c r="Q2130" s="4"/>
      <c r="R2130" s="4"/>
      <c r="S2130" s="4"/>
      <c r="T2130" s="4"/>
      <c r="U2130" s="4"/>
      <c r="V2130" s="4"/>
      <c r="W2130" s="4"/>
      <c r="X2130" s="4"/>
    </row>
    <row r="2131" spans="17:24" x14ac:dyDescent="0.3">
      <c r="Q2131" s="4"/>
      <c r="R2131" s="4"/>
      <c r="S2131" s="4"/>
      <c r="T2131" s="4"/>
      <c r="U2131" s="4"/>
      <c r="V2131" s="4"/>
      <c r="W2131" s="4"/>
      <c r="X2131" s="4"/>
    </row>
    <row r="2132" spans="17:24" x14ac:dyDescent="0.3">
      <c r="Q2132" s="4"/>
      <c r="R2132" s="4"/>
      <c r="S2132" s="4"/>
      <c r="T2132" s="4"/>
      <c r="U2132" s="4"/>
      <c r="V2132" s="4"/>
      <c r="W2132" s="4"/>
      <c r="X2132" s="4"/>
    </row>
    <row r="2133" spans="17:24" x14ac:dyDescent="0.3">
      <c r="Q2133" s="4"/>
      <c r="R2133" s="4"/>
      <c r="S2133" s="4"/>
      <c r="T2133" s="4"/>
      <c r="U2133" s="4"/>
      <c r="V2133" s="4"/>
      <c r="W2133" s="4"/>
      <c r="X2133" s="4"/>
    </row>
    <row r="2134" spans="17:24" x14ac:dyDescent="0.3">
      <c r="Q2134" s="4"/>
      <c r="R2134" s="4"/>
      <c r="S2134" s="4"/>
      <c r="T2134" s="4"/>
      <c r="U2134" s="4"/>
      <c r="V2134" s="4"/>
      <c r="W2134" s="4"/>
      <c r="X2134" s="4"/>
    </row>
    <row r="2135" spans="17:24" x14ac:dyDescent="0.3">
      <c r="Q2135" s="4"/>
      <c r="R2135" s="4"/>
      <c r="S2135" s="4"/>
      <c r="T2135" s="4"/>
      <c r="U2135" s="4"/>
      <c r="V2135" s="4"/>
      <c r="W2135" s="4"/>
      <c r="X2135" s="4"/>
    </row>
    <row r="2136" spans="17:24" x14ac:dyDescent="0.3">
      <c r="Q2136" s="4"/>
      <c r="R2136" s="4"/>
      <c r="S2136" s="4"/>
      <c r="T2136" s="4"/>
      <c r="U2136" s="4"/>
      <c r="V2136" s="4"/>
      <c r="W2136" s="4"/>
      <c r="X2136" s="4"/>
    </row>
    <row r="2137" spans="17:24" x14ac:dyDescent="0.3">
      <c r="Q2137" s="4"/>
      <c r="R2137" s="4"/>
      <c r="S2137" s="4"/>
      <c r="T2137" s="4"/>
      <c r="U2137" s="4"/>
      <c r="V2137" s="4"/>
      <c r="W2137" s="4"/>
      <c r="X2137" s="4"/>
    </row>
    <row r="2138" spans="17:24" x14ac:dyDescent="0.3">
      <c r="Q2138" s="4"/>
      <c r="R2138" s="4"/>
      <c r="S2138" s="4"/>
      <c r="T2138" s="4"/>
      <c r="U2138" s="4"/>
      <c r="V2138" s="4"/>
      <c r="W2138" s="4"/>
      <c r="X2138" s="4"/>
    </row>
    <row r="2139" spans="17:24" x14ac:dyDescent="0.3">
      <c r="Q2139" s="4"/>
      <c r="R2139" s="4"/>
      <c r="S2139" s="4"/>
      <c r="T2139" s="4"/>
      <c r="U2139" s="4"/>
      <c r="V2139" s="4"/>
      <c r="W2139" s="4"/>
      <c r="X2139" s="4"/>
    </row>
    <row r="2140" spans="17:24" x14ac:dyDescent="0.3">
      <c r="Q2140" s="4"/>
      <c r="R2140" s="4"/>
      <c r="S2140" s="4"/>
      <c r="T2140" s="4"/>
      <c r="U2140" s="4"/>
      <c r="V2140" s="4"/>
      <c r="W2140" s="4"/>
      <c r="X2140" s="4"/>
    </row>
    <row r="2141" spans="17:24" x14ac:dyDescent="0.3">
      <c r="Q2141" s="4"/>
      <c r="R2141" s="4"/>
      <c r="S2141" s="4"/>
      <c r="T2141" s="4"/>
      <c r="U2141" s="4"/>
      <c r="V2141" s="4"/>
      <c r="W2141" s="4"/>
      <c r="X2141" s="4"/>
    </row>
    <row r="2142" spans="17:24" x14ac:dyDescent="0.3">
      <c r="Q2142" s="4"/>
      <c r="R2142" s="4"/>
      <c r="S2142" s="4"/>
      <c r="T2142" s="4"/>
      <c r="U2142" s="4"/>
      <c r="V2142" s="4"/>
      <c r="W2142" s="4"/>
      <c r="X2142" s="4"/>
    </row>
    <row r="2143" spans="17:24" x14ac:dyDescent="0.3">
      <c r="Q2143" s="4"/>
      <c r="R2143" s="4"/>
      <c r="S2143" s="4"/>
      <c r="T2143" s="4"/>
      <c r="U2143" s="4"/>
      <c r="V2143" s="4"/>
      <c r="W2143" s="4"/>
      <c r="X2143" s="4"/>
    </row>
    <row r="2144" spans="17:24" x14ac:dyDescent="0.3">
      <c r="Q2144" s="4"/>
      <c r="R2144" s="4"/>
      <c r="S2144" s="4"/>
      <c r="T2144" s="4"/>
      <c r="U2144" s="4"/>
      <c r="V2144" s="4"/>
      <c r="W2144" s="4"/>
      <c r="X2144" s="4"/>
    </row>
    <row r="2145" spans="17:24" x14ac:dyDescent="0.3">
      <c r="Q2145" s="4"/>
      <c r="R2145" s="4"/>
      <c r="S2145" s="4"/>
      <c r="T2145" s="4"/>
      <c r="U2145" s="4"/>
      <c r="V2145" s="4"/>
      <c r="W2145" s="4"/>
      <c r="X2145" s="4"/>
    </row>
    <row r="2146" spans="17:24" x14ac:dyDescent="0.3">
      <c r="Q2146" s="4"/>
      <c r="R2146" s="4"/>
      <c r="S2146" s="4"/>
      <c r="T2146" s="4"/>
      <c r="U2146" s="4"/>
      <c r="V2146" s="4"/>
      <c r="W2146" s="4"/>
      <c r="X2146" s="4"/>
    </row>
    <row r="2147" spans="17:24" x14ac:dyDescent="0.3">
      <c r="Q2147" s="4"/>
      <c r="R2147" s="4"/>
      <c r="S2147" s="4"/>
      <c r="T2147" s="4"/>
      <c r="U2147" s="4"/>
      <c r="V2147" s="4"/>
      <c r="W2147" s="4"/>
      <c r="X2147" s="4"/>
    </row>
    <row r="2148" spans="17:24" x14ac:dyDescent="0.3">
      <c r="Q2148" s="4"/>
      <c r="R2148" s="4"/>
      <c r="S2148" s="4"/>
      <c r="T2148" s="4"/>
      <c r="U2148" s="4"/>
      <c r="V2148" s="4"/>
      <c r="W2148" s="4"/>
      <c r="X2148" s="4"/>
    </row>
    <row r="2149" spans="17:24" x14ac:dyDescent="0.3">
      <c r="Q2149" s="4"/>
      <c r="R2149" s="4"/>
      <c r="S2149" s="4"/>
      <c r="T2149" s="4"/>
      <c r="U2149" s="4"/>
      <c r="V2149" s="4"/>
      <c r="W2149" s="4"/>
      <c r="X2149" s="4"/>
    </row>
    <row r="2150" spans="17:24" x14ac:dyDescent="0.3">
      <c r="Q2150" s="4"/>
      <c r="R2150" s="4"/>
      <c r="S2150" s="4"/>
      <c r="T2150" s="4"/>
      <c r="U2150" s="4"/>
      <c r="V2150" s="4"/>
      <c r="W2150" s="4"/>
      <c r="X2150" s="4"/>
    </row>
    <row r="2151" spans="17:24" x14ac:dyDescent="0.3">
      <c r="Q2151" s="4"/>
      <c r="R2151" s="4"/>
      <c r="S2151" s="4"/>
      <c r="T2151" s="4"/>
      <c r="U2151" s="4"/>
      <c r="V2151" s="4"/>
      <c r="W2151" s="4"/>
      <c r="X2151" s="4"/>
    </row>
    <row r="2152" spans="17:24" x14ac:dyDescent="0.3">
      <c r="Q2152" s="4"/>
      <c r="R2152" s="4"/>
      <c r="S2152" s="4"/>
      <c r="T2152" s="4"/>
      <c r="U2152" s="4"/>
      <c r="V2152" s="4"/>
      <c r="W2152" s="4"/>
      <c r="X2152" s="4"/>
    </row>
    <row r="2153" spans="17:24" x14ac:dyDescent="0.3">
      <c r="Q2153" s="4"/>
      <c r="R2153" s="4"/>
      <c r="S2153" s="4"/>
      <c r="T2153" s="4"/>
      <c r="U2153" s="4"/>
      <c r="V2153" s="4"/>
      <c r="W2153" s="4"/>
      <c r="X2153" s="4"/>
    </row>
    <row r="2154" spans="17:24" x14ac:dyDescent="0.3">
      <c r="Q2154" s="4"/>
      <c r="R2154" s="4"/>
      <c r="S2154" s="4"/>
      <c r="T2154" s="4"/>
      <c r="U2154" s="4"/>
      <c r="V2154" s="4"/>
      <c r="W2154" s="4"/>
      <c r="X2154" s="4"/>
    </row>
    <row r="2155" spans="17:24" x14ac:dyDescent="0.3">
      <c r="Q2155" s="4"/>
      <c r="R2155" s="4"/>
      <c r="S2155" s="4"/>
      <c r="T2155" s="4"/>
      <c r="U2155" s="4"/>
      <c r="V2155" s="4"/>
      <c r="W2155" s="4"/>
      <c r="X2155" s="4"/>
    </row>
    <row r="2156" spans="17:24" x14ac:dyDescent="0.3">
      <c r="Q2156" s="4"/>
      <c r="R2156" s="4"/>
      <c r="S2156" s="4"/>
      <c r="T2156" s="4"/>
      <c r="U2156" s="4"/>
      <c r="V2156" s="4"/>
      <c r="W2156" s="4"/>
      <c r="X2156" s="4"/>
    </row>
    <row r="2157" spans="17:24" x14ac:dyDescent="0.3">
      <c r="Q2157" s="4"/>
      <c r="R2157" s="4"/>
      <c r="S2157" s="4"/>
      <c r="T2157" s="4"/>
      <c r="U2157" s="4"/>
      <c r="V2157" s="4"/>
      <c r="W2157" s="4"/>
      <c r="X2157" s="4"/>
    </row>
    <row r="2158" spans="17:24" x14ac:dyDescent="0.3">
      <c r="Q2158" s="4"/>
      <c r="R2158" s="4"/>
      <c r="S2158" s="4"/>
      <c r="T2158" s="4"/>
      <c r="U2158" s="4"/>
      <c r="V2158" s="4"/>
      <c r="W2158" s="4"/>
      <c r="X2158" s="4"/>
    </row>
    <row r="2159" spans="17:24" x14ac:dyDescent="0.3">
      <c r="Q2159" s="4"/>
      <c r="R2159" s="4"/>
      <c r="S2159" s="4"/>
      <c r="T2159" s="4"/>
      <c r="U2159" s="4"/>
      <c r="V2159" s="4"/>
      <c r="W2159" s="4"/>
      <c r="X2159" s="4"/>
    </row>
    <row r="2160" spans="17:24" x14ac:dyDescent="0.3">
      <c r="Q2160" s="4"/>
      <c r="R2160" s="4"/>
      <c r="S2160" s="4"/>
      <c r="T2160" s="4"/>
      <c r="U2160" s="4"/>
      <c r="V2160" s="4"/>
      <c r="W2160" s="4"/>
      <c r="X2160" s="4"/>
    </row>
    <row r="2161" spans="17:24" x14ac:dyDescent="0.3">
      <c r="Q2161" s="4"/>
      <c r="R2161" s="4"/>
      <c r="S2161" s="4"/>
      <c r="T2161" s="4"/>
      <c r="U2161" s="4"/>
      <c r="V2161" s="4"/>
      <c r="W2161" s="4"/>
      <c r="X2161" s="4"/>
    </row>
    <row r="2162" spans="17:24" x14ac:dyDescent="0.3">
      <c r="Q2162" s="4"/>
      <c r="R2162" s="4"/>
      <c r="S2162" s="4"/>
      <c r="T2162" s="4"/>
      <c r="U2162" s="4"/>
      <c r="V2162" s="4"/>
      <c r="W2162" s="4"/>
      <c r="X2162" s="4"/>
    </row>
    <row r="2163" spans="17:24" x14ac:dyDescent="0.3">
      <c r="Q2163" s="4"/>
      <c r="R2163" s="4"/>
      <c r="S2163" s="4"/>
      <c r="T2163" s="4"/>
      <c r="U2163" s="4"/>
      <c r="V2163" s="4"/>
      <c r="W2163" s="4"/>
      <c r="X2163" s="4"/>
    </row>
    <row r="2164" spans="17:24" x14ac:dyDescent="0.3">
      <c r="Q2164" s="4"/>
      <c r="R2164" s="4"/>
      <c r="S2164" s="4"/>
      <c r="T2164" s="4"/>
      <c r="U2164" s="4"/>
      <c r="V2164" s="4"/>
      <c r="W2164" s="4"/>
      <c r="X2164" s="4"/>
    </row>
    <row r="2165" spans="17:24" x14ac:dyDescent="0.3">
      <c r="Q2165" s="4"/>
      <c r="R2165" s="4"/>
      <c r="S2165" s="4"/>
      <c r="T2165" s="4"/>
      <c r="U2165" s="4"/>
      <c r="V2165" s="4"/>
      <c r="W2165" s="4"/>
      <c r="X2165" s="4"/>
    </row>
    <row r="2166" spans="17:24" x14ac:dyDescent="0.3">
      <c r="Q2166" s="4"/>
      <c r="R2166" s="4"/>
      <c r="S2166" s="4"/>
      <c r="T2166" s="4"/>
      <c r="U2166" s="4"/>
      <c r="V2166" s="4"/>
      <c r="W2166" s="4"/>
      <c r="X2166" s="4"/>
    </row>
    <row r="2167" spans="17:24" x14ac:dyDescent="0.3">
      <c r="Q2167" s="4"/>
      <c r="R2167" s="4"/>
      <c r="S2167" s="4"/>
      <c r="T2167" s="4"/>
      <c r="U2167" s="4"/>
      <c r="V2167" s="4"/>
      <c r="W2167" s="4"/>
      <c r="X2167" s="4"/>
    </row>
    <row r="2168" spans="17:24" x14ac:dyDescent="0.3">
      <c r="Q2168" s="4"/>
      <c r="R2168" s="4"/>
      <c r="S2168" s="4"/>
      <c r="T2168" s="4"/>
      <c r="U2168" s="4"/>
      <c r="V2168" s="4"/>
      <c r="W2168" s="4"/>
      <c r="X2168" s="4"/>
    </row>
    <row r="2169" spans="17:24" x14ac:dyDescent="0.3">
      <c r="Q2169" s="4"/>
      <c r="R2169" s="4"/>
      <c r="S2169" s="4"/>
      <c r="T2169" s="4"/>
      <c r="U2169" s="4"/>
      <c r="V2169" s="4"/>
      <c r="W2169" s="4"/>
      <c r="X2169" s="4"/>
    </row>
    <row r="2170" spans="17:24" x14ac:dyDescent="0.3">
      <c r="Q2170" s="4"/>
      <c r="R2170" s="4"/>
      <c r="S2170" s="4"/>
      <c r="T2170" s="4"/>
      <c r="U2170" s="4"/>
      <c r="V2170" s="4"/>
      <c r="W2170" s="4"/>
      <c r="X2170" s="4"/>
    </row>
    <row r="2171" spans="17:24" x14ac:dyDescent="0.3">
      <c r="Q2171" s="4"/>
      <c r="R2171" s="4"/>
      <c r="S2171" s="4"/>
      <c r="T2171" s="4"/>
      <c r="U2171" s="4"/>
      <c r="V2171" s="4"/>
      <c r="W2171" s="4"/>
      <c r="X2171" s="4"/>
    </row>
    <row r="2172" spans="17:24" x14ac:dyDescent="0.3">
      <c r="Q2172" s="4"/>
      <c r="R2172" s="4"/>
      <c r="S2172" s="4"/>
      <c r="T2172" s="4"/>
      <c r="U2172" s="4"/>
      <c r="V2172" s="4"/>
      <c r="W2172" s="4"/>
      <c r="X2172" s="4"/>
    </row>
    <row r="2173" spans="17:24" x14ac:dyDescent="0.3">
      <c r="Q2173" s="4"/>
      <c r="R2173" s="4"/>
      <c r="S2173" s="4"/>
      <c r="T2173" s="4"/>
      <c r="U2173" s="4"/>
      <c r="V2173" s="4"/>
      <c r="W2173" s="4"/>
      <c r="X2173" s="4"/>
    </row>
    <row r="2174" spans="17:24" x14ac:dyDescent="0.3">
      <c r="Q2174" s="4"/>
      <c r="R2174" s="4"/>
      <c r="S2174" s="4"/>
      <c r="T2174" s="4"/>
      <c r="U2174" s="4"/>
      <c r="V2174" s="4"/>
      <c r="W2174" s="4"/>
      <c r="X2174" s="4"/>
    </row>
    <row r="2175" spans="17:24" x14ac:dyDescent="0.3">
      <c r="Q2175" s="4"/>
      <c r="R2175" s="4"/>
      <c r="S2175" s="4"/>
      <c r="T2175" s="4"/>
      <c r="U2175" s="4"/>
      <c r="V2175" s="4"/>
      <c r="W2175" s="4"/>
      <c r="X2175" s="4"/>
    </row>
    <row r="2176" spans="17:24" x14ac:dyDescent="0.3">
      <c r="Q2176" s="4"/>
      <c r="R2176" s="4"/>
      <c r="S2176" s="4"/>
      <c r="T2176" s="4"/>
      <c r="U2176" s="4"/>
      <c r="V2176" s="4"/>
      <c r="W2176" s="4"/>
      <c r="X2176" s="4"/>
    </row>
    <row r="2177" spans="17:24" x14ac:dyDescent="0.3">
      <c r="Q2177" s="4"/>
      <c r="R2177" s="4"/>
      <c r="S2177" s="4"/>
      <c r="T2177" s="4"/>
      <c r="U2177" s="4"/>
      <c r="V2177" s="4"/>
      <c r="W2177" s="4"/>
      <c r="X2177" s="4"/>
    </row>
    <row r="2178" spans="17:24" x14ac:dyDescent="0.3">
      <c r="Q2178" s="4"/>
      <c r="R2178" s="4"/>
      <c r="S2178" s="4"/>
      <c r="T2178" s="4"/>
      <c r="U2178" s="4"/>
      <c r="V2178" s="4"/>
      <c r="W2178" s="4"/>
      <c r="X2178" s="4"/>
    </row>
    <row r="2179" spans="17:24" x14ac:dyDescent="0.3">
      <c r="Q2179" s="4"/>
      <c r="R2179" s="4"/>
      <c r="S2179" s="4"/>
      <c r="T2179" s="4"/>
      <c r="U2179" s="4"/>
      <c r="V2179" s="4"/>
      <c r="W2179" s="4"/>
      <c r="X2179" s="4"/>
    </row>
    <row r="2180" spans="17:24" x14ac:dyDescent="0.3">
      <c r="Q2180" s="4"/>
      <c r="R2180" s="4"/>
      <c r="S2180" s="4"/>
      <c r="T2180" s="4"/>
      <c r="U2180" s="4"/>
      <c r="V2180" s="4"/>
      <c r="W2180" s="4"/>
      <c r="X2180" s="4"/>
    </row>
    <row r="2181" spans="17:24" x14ac:dyDescent="0.3">
      <c r="Q2181" s="4"/>
      <c r="R2181" s="4"/>
      <c r="S2181" s="4"/>
      <c r="T2181" s="4"/>
      <c r="U2181" s="4"/>
      <c r="V2181" s="4"/>
      <c r="W2181" s="4"/>
      <c r="X2181" s="4"/>
    </row>
    <row r="2182" spans="17:24" x14ac:dyDescent="0.3">
      <c r="Q2182" s="4"/>
      <c r="R2182" s="4"/>
      <c r="S2182" s="4"/>
      <c r="T2182" s="4"/>
      <c r="U2182" s="4"/>
      <c r="V2182" s="4"/>
      <c r="W2182" s="4"/>
      <c r="X2182" s="4"/>
    </row>
    <row r="2183" spans="17:24" x14ac:dyDescent="0.3">
      <c r="Q2183" s="4"/>
      <c r="R2183" s="4"/>
      <c r="S2183" s="4"/>
      <c r="T2183" s="4"/>
      <c r="U2183" s="4"/>
      <c r="V2183" s="4"/>
      <c r="W2183" s="4"/>
      <c r="X2183" s="4"/>
    </row>
    <row r="2184" spans="17:24" x14ac:dyDescent="0.3">
      <c r="Q2184" s="4"/>
      <c r="R2184" s="4"/>
      <c r="S2184" s="4"/>
      <c r="T2184" s="4"/>
      <c r="U2184" s="4"/>
      <c r="V2184" s="4"/>
      <c r="W2184" s="4"/>
      <c r="X2184" s="4"/>
    </row>
    <row r="2185" spans="17:24" x14ac:dyDescent="0.3">
      <c r="Q2185" s="4"/>
      <c r="R2185" s="4"/>
      <c r="S2185" s="4"/>
      <c r="T2185" s="4"/>
      <c r="U2185" s="4"/>
      <c r="V2185" s="4"/>
      <c r="W2185" s="4"/>
      <c r="X2185" s="4"/>
    </row>
    <row r="2186" spans="17:24" x14ac:dyDescent="0.3">
      <c r="Q2186" s="4"/>
      <c r="R2186" s="4"/>
      <c r="S2186" s="4"/>
      <c r="T2186" s="4"/>
      <c r="U2186" s="4"/>
      <c r="V2186" s="4"/>
      <c r="W2186" s="4"/>
      <c r="X2186" s="4"/>
    </row>
    <row r="2187" spans="17:24" x14ac:dyDescent="0.3">
      <c r="Q2187" s="4"/>
      <c r="R2187" s="4"/>
      <c r="S2187" s="4"/>
      <c r="T2187" s="4"/>
      <c r="U2187" s="4"/>
      <c r="V2187" s="4"/>
      <c r="W2187" s="4"/>
      <c r="X2187" s="4"/>
    </row>
    <row r="2188" spans="17:24" x14ac:dyDescent="0.3">
      <c r="Q2188" s="4"/>
      <c r="R2188" s="4"/>
      <c r="S2188" s="4"/>
      <c r="T2188" s="4"/>
      <c r="U2188" s="4"/>
      <c r="V2188" s="4"/>
      <c r="W2188" s="4"/>
      <c r="X2188" s="4"/>
    </row>
    <row r="2189" spans="17:24" x14ac:dyDescent="0.3">
      <c r="Q2189" s="4"/>
      <c r="R2189" s="4"/>
      <c r="S2189" s="4"/>
      <c r="T2189" s="4"/>
      <c r="U2189" s="4"/>
      <c r="V2189" s="4"/>
      <c r="W2189" s="4"/>
      <c r="X2189" s="4"/>
    </row>
    <row r="2190" spans="17:24" x14ac:dyDescent="0.3">
      <c r="Q2190" s="4"/>
      <c r="R2190" s="4"/>
      <c r="S2190" s="4"/>
      <c r="T2190" s="4"/>
      <c r="U2190" s="4"/>
      <c r="V2190" s="4"/>
      <c r="W2190" s="4"/>
      <c r="X2190" s="4"/>
    </row>
    <row r="2191" spans="17:24" x14ac:dyDescent="0.3">
      <c r="Q2191" s="4"/>
      <c r="R2191" s="4"/>
      <c r="S2191" s="4"/>
      <c r="T2191" s="4"/>
      <c r="U2191" s="4"/>
      <c r="V2191" s="4"/>
      <c r="W2191" s="4"/>
      <c r="X2191" s="4"/>
    </row>
    <row r="2192" spans="17:24" x14ac:dyDescent="0.3">
      <c r="Q2192" s="4"/>
      <c r="R2192" s="4"/>
      <c r="S2192" s="4"/>
      <c r="T2192" s="4"/>
      <c r="U2192" s="4"/>
      <c r="V2192" s="4"/>
      <c r="W2192" s="4"/>
      <c r="X2192" s="4"/>
    </row>
    <row r="2193" spans="17:24" x14ac:dyDescent="0.3">
      <c r="Q2193" s="4"/>
      <c r="R2193" s="4"/>
      <c r="S2193" s="4"/>
      <c r="T2193" s="4"/>
      <c r="U2193" s="4"/>
      <c r="V2193" s="4"/>
      <c r="W2193" s="4"/>
      <c r="X2193" s="4"/>
    </row>
    <row r="2194" spans="17:24" x14ac:dyDescent="0.3">
      <c r="Q2194" s="4"/>
      <c r="R2194" s="4"/>
      <c r="S2194" s="4"/>
      <c r="T2194" s="4"/>
      <c r="U2194" s="4"/>
      <c r="V2194" s="4"/>
      <c r="W2194" s="4"/>
      <c r="X2194" s="4"/>
    </row>
    <row r="2195" spans="17:24" x14ac:dyDescent="0.3">
      <c r="Q2195" s="4"/>
      <c r="R2195" s="4"/>
      <c r="S2195" s="4"/>
      <c r="T2195" s="4"/>
      <c r="U2195" s="4"/>
      <c r="V2195" s="4"/>
      <c r="W2195" s="4"/>
      <c r="X2195" s="4"/>
    </row>
    <row r="2196" spans="17:24" x14ac:dyDescent="0.3">
      <c r="Q2196" s="4"/>
      <c r="R2196" s="4"/>
      <c r="S2196" s="4"/>
      <c r="T2196" s="4"/>
      <c r="U2196" s="4"/>
      <c r="V2196" s="4"/>
      <c r="W2196" s="4"/>
      <c r="X2196" s="4"/>
    </row>
    <row r="2197" spans="17:24" x14ac:dyDescent="0.3">
      <c r="Q2197" s="4"/>
      <c r="R2197" s="4"/>
      <c r="S2197" s="4"/>
      <c r="T2197" s="4"/>
      <c r="U2197" s="4"/>
      <c r="V2197" s="4"/>
      <c r="W2197" s="4"/>
      <c r="X2197" s="4"/>
    </row>
    <row r="2198" spans="17:24" x14ac:dyDescent="0.3">
      <c r="Q2198" s="4"/>
      <c r="R2198" s="4"/>
      <c r="S2198" s="4"/>
      <c r="T2198" s="4"/>
      <c r="U2198" s="4"/>
      <c r="V2198" s="4"/>
      <c r="W2198" s="4"/>
      <c r="X2198" s="4"/>
    </row>
    <row r="2199" spans="17:24" x14ac:dyDescent="0.3">
      <c r="Q2199" s="4"/>
      <c r="R2199" s="4"/>
      <c r="S2199" s="4"/>
      <c r="T2199" s="4"/>
      <c r="U2199" s="4"/>
      <c r="V2199" s="4"/>
      <c r="W2199" s="4"/>
      <c r="X2199" s="4"/>
    </row>
    <row r="2200" spans="17:24" x14ac:dyDescent="0.3">
      <c r="Q2200" s="4"/>
      <c r="R2200" s="4"/>
      <c r="S2200" s="4"/>
      <c r="T2200" s="4"/>
      <c r="U2200" s="4"/>
      <c r="V2200" s="4"/>
      <c r="W2200" s="4"/>
      <c r="X2200" s="4"/>
    </row>
    <row r="2201" spans="17:24" x14ac:dyDescent="0.3">
      <c r="Q2201" s="4"/>
      <c r="R2201" s="4"/>
      <c r="S2201" s="4"/>
      <c r="T2201" s="4"/>
      <c r="U2201" s="4"/>
      <c r="V2201" s="4"/>
      <c r="W2201" s="4"/>
      <c r="X2201" s="4"/>
    </row>
    <row r="2202" spans="17:24" x14ac:dyDescent="0.3">
      <c r="Q2202" s="4"/>
      <c r="R2202" s="4"/>
      <c r="S2202" s="4"/>
      <c r="T2202" s="4"/>
      <c r="U2202" s="4"/>
      <c r="V2202" s="4"/>
      <c r="W2202" s="4"/>
      <c r="X2202" s="4"/>
    </row>
    <row r="2203" spans="17:24" x14ac:dyDescent="0.3">
      <c r="Q2203" s="4"/>
      <c r="R2203" s="4"/>
      <c r="S2203" s="4"/>
      <c r="T2203" s="4"/>
      <c r="U2203" s="4"/>
      <c r="V2203" s="4"/>
      <c r="W2203" s="4"/>
      <c r="X2203" s="4"/>
    </row>
    <row r="2204" spans="17:24" x14ac:dyDescent="0.3">
      <c r="Q2204" s="4"/>
      <c r="R2204" s="4"/>
      <c r="S2204" s="4"/>
      <c r="T2204" s="4"/>
      <c r="U2204" s="4"/>
      <c r="V2204" s="4"/>
      <c r="W2204" s="4"/>
      <c r="X2204" s="4"/>
    </row>
    <row r="2205" spans="17:24" x14ac:dyDescent="0.3">
      <c r="Q2205" s="4"/>
      <c r="R2205" s="4"/>
      <c r="S2205" s="4"/>
      <c r="T2205" s="4"/>
      <c r="U2205" s="4"/>
      <c r="V2205" s="4"/>
      <c r="W2205" s="4"/>
      <c r="X2205" s="4"/>
    </row>
    <row r="2206" spans="17:24" x14ac:dyDescent="0.3">
      <c r="Q2206" s="4"/>
      <c r="R2206" s="4"/>
      <c r="S2206" s="4"/>
      <c r="T2206" s="4"/>
      <c r="U2206" s="4"/>
      <c r="V2206" s="4"/>
      <c r="W2206" s="4"/>
      <c r="X2206" s="4"/>
    </row>
    <row r="2207" spans="17:24" x14ac:dyDescent="0.3">
      <c r="Q2207" s="4"/>
      <c r="R2207" s="4"/>
      <c r="S2207" s="4"/>
      <c r="T2207" s="4"/>
      <c r="U2207" s="4"/>
      <c r="V2207" s="4"/>
      <c r="W2207" s="4"/>
      <c r="X2207" s="4"/>
    </row>
    <row r="2208" spans="17:24" x14ac:dyDescent="0.3">
      <c r="Q2208" s="4"/>
      <c r="R2208" s="4"/>
      <c r="S2208" s="4"/>
      <c r="T2208" s="4"/>
      <c r="U2208" s="4"/>
      <c r="V2208" s="4"/>
      <c r="W2208" s="4"/>
      <c r="X2208" s="4"/>
    </row>
    <row r="2209" spans="17:24" x14ac:dyDescent="0.3">
      <c r="Q2209" s="4"/>
      <c r="R2209" s="4"/>
      <c r="S2209" s="4"/>
      <c r="T2209" s="4"/>
      <c r="U2209" s="4"/>
      <c r="V2209" s="4"/>
      <c r="W2209" s="4"/>
      <c r="X2209" s="4"/>
    </row>
    <row r="2210" spans="17:24" x14ac:dyDescent="0.3">
      <c r="Q2210" s="4"/>
      <c r="R2210" s="4"/>
      <c r="S2210" s="4"/>
      <c r="T2210" s="4"/>
      <c r="U2210" s="4"/>
      <c r="V2210" s="4"/>
      <c r="W2210" s="4"/>
      <c r="X2210" s="4"/>
    </row>
    <row r="2211" spans="17:24" x14ac:dyDescent="0.3">
      <c r="Q2211" s="4"/>
      <c r="R2211" s="4"/>
      <c r="S2211" s="4"/>
      <c r="T2211" s="4"/>
      <c r="U2211" s="4"/>
      <c r="V2211" s="4"/>
      <c r="W2211" s="4"/>
      <c r="X2211" s="4"/>
    </row>
    <row r="2212" spans="17:24" x14ac:dyDescent="0.3">
      <c r="Q2212" s="4"/>
      <c r="R2212" s="4"/>
      <c r="S2212" s="4"/>
      <c r="T2212" s="4"/>
      <c r="U2212" s="4"/>
      <c r="V2212" s="4"/>
      <c r="W2212" s="4"/>
      <c r="X2212" s="4"/>
    </row>
    <row r="2213" spans="17:24" x14ac:dyDescent="0.3">
      <c r="Q2213" s="4"/>
      <c r="R2213" s="4"/>
      <c r="S2213" s="4"/>
      <c r="T2213" s="4"/>
      <c r="U2213" s="4"/>
      <c r="V2213" s="4"/>
      <c r="W2213" s="4"/>
      <c r="X2213" s="4"/>
    </row>
    <row r="2214" spans="17:24" x14ac:dyDescent="0.3">
      <c r="Q2214" s="4"/>
      <c r="R2214" s="4"/>
      <c r="S2214" s="4"/>
      <c r="T2214" s="4"/>
      <c r="U2214" s="4"/>
      <c r="V2214" s="4"/>
      <c r="W2214" s="4"/>
      <c r="X2214" s="4"/>
    </row>
    <row r="2215" spans="17:24" x14ac:dyDescent="0.3">
      <c r="Q2215" s="4"/>
      <c r="R2215" s="4"/>
      <c r="S2215" s="4"/>
      <c r="T2215" s="4"/>
      <c r="U2215" s="4"/>
      <c r="V2215" s="4"/>
      <c r="W2215" s="4"/>
      <c r="X2215" s="4"/>
    </row>
    <row r="2216" spans="17:24" x14ac:dyDescent="0.3">
      <c r="Q2216" s="4"/>
      <c r="R2216" s="4"/>
      <c r="S2216" s="4"/>
      <c r="T2216" s="4"/>
      <c r="U2216" s="4"/>
      <c r="V2216" s="4"/>
      <c r="W2216" s="4"/>
      <c r="X2216" s="4"/>
    </row>
    <row r="2217" spans="17:24" x14ac:dyDescent="0.3">
      <c r="Q2217" s="4"/>
      <c r="R2217" s="4"/>
      <c r="S2217" s="4"/>
      <c r="T2217" s="4"/>
      <c r="U2217" s="4"/>
      <c r="V2217" s="4"/>
      <c r="W2217" s="4"/>
      <c r="X2217" s="4"/>
    </row>
    <row r="2218" spans="17:24" x14ac:dyDescent="0.3">
      <c r="Q2218" s="4"/>
      <c r="R2218" s="4"/>
      <c r="S2218" s="4"/>
      <c r="T2218" s="4"/>
      <c r="U2218" s="4"/>
      <c r="V2218" s="4"/>
      <c r="W2218" s="4"/>
      <c r="X2218" s="4"/>
    </row>
    <row r="2219" spans="17:24" x14ac:dyDescent="0.3">
      <c r="Q2219" s="4"/>
      <c r="R2219" s="4"/>
      <c r="S2219" s="4"/>
      <c r="T2219" s="4"/>
      <c r="U2219" s="4"/>
      <c r="V2219" s="4"/>
      <c r="W2219" s="4"/>
      <c r="X2219" s="4"/>
    </row>
    <row r="2220" spans="17:24" x14ac:dyDescent="0.3">
      <c r="Q2220" s="4"/>
      <c r="R2220" s="4"/>
      <c r="S2220" s="4"/>
      <c r="T2220" s="4"/>
      <c r="U2220" s="4"/>
      <c r="V2220" s="4"/>
      <c r="W2220" s="4"/>
      <c r="X2220" s="4"/>
    </row>
    <row r="2221" spans="17:24" x14ac:dyDescent="0.3">
      <c r="Q2221" s="4"/>
      <c r="R2221" s="4"/>
      <c r="S2221" s="4"/>
      <c r="T2221" s="4"/>
      <c r="U2221" s="4"/>
      <c r="V2221" s="4"/>
      <c r="W2221" s="4"/>
      <c r="X2221" s="4"/>
    </row>
    <row r="2222" spans="17:24" x14ac:dyDescent="0.3">
      <c r="Q2222" s="4"/>
      <c r="R2222" s="4"/>
      <c r="S2222" s="4"/>
      <c r="T2222" s="4"/>
      <c r="U2222" s="4"/>
      <c r="V2222" s="4"/>
      <c r="W2222" s="4"/>
      <c r="X2222" s="4"/>
    </row>
    <row r="2223" spans="17:24" x14ac:dyDescent="0.3">
      <c r="Q2223" s="4"/>
      <c r="R2223" s="4"/>
      <c r="S2223" s="4"/>
      <c r="T2223" s="4"/>
      <c r="U2223" s="4"/>
      <c r="V2223" s="4"/>
      <c r="W2223" s="4"/>
      <c r="X2223" s="4"/>
    </row>
    <row r="2224" spans="17:24" x14ac:dyDescent="0.3">
      <c r="Q2224" s="4"/>
      <c r="R2224" s="4"/>
      <c r="S2224" s="4"/>
      <c r="T2224" s="4"/>
      <c r="U2224" s="4"/>
      <c r="V2224" s="4"/>
      <c r="W2224" s="4"/>
      <c r="X2224" s="4"/>
    </row>
    <row r="2225" spans="17:24" x14ac:dyDescent="0.3">
      <c r="Q2225" s="4"/>
      <c r="R2225" s="4"/>
      <c r="S2225" s="4"/>
      <c r="T2225" s="4"/>
      <c r="U2225" s="4"/>
      <c r="V2225" s="4"/>
      <c r="W2225" s="4"/>
      <c r="X2225" s="4"/>
    </row>
    <row r="2226" spans="17:24" x14ac:dyDescent="0.3">
      <c r="Q2226" s="4"/>
      <c r="R2226" s="4"/>
      <c r="S2226" s="4"/>
      <c r="T2226" s="4"/>
      <c r="U2226" s="4"/>
      <c r="V2226" s="4"/>
      <c r="W2226" s="4"/>
      <c r="X2226" s="4"/>
    </row>
    <row r="2227" spans="17:24" x14ac:dyDescent="0.3">
      <c r="Q2227" s="4"/>
      <c r="R2227" s="4"/>
      <c r="S2227" s="4"/>
      <c r="T2227" s="4"/>
      <c r="U2227" s="4"/>
      <c r="V2227" s="4"/>
      <c r="W2227" s="4"/>
      <c r="X2227" s="4"/>
    </row>
    <row r="2228" spans="17:24" x14ac:dyDescent="0.3">
      <c r="Q2228" s="4"/>
      <c r="R2228" s="4"/>
      <c r="S2228" s="4"/>
      <c r="T2228" s="4"/>
      <c r="U2228" s="4"/>
      <c r="V2228" s="4"/>
      <c r="W2228" s="4"/>
      <c r="X2228" s="4"/>
    </row>
    <row r="2229" spans="17:24" x14ac:dyDescent="0.3">
      <c r="Q2229" s="4"/>
      <c r="R2229" s="4"/>
      <c r="S2229" s="4"/>
      <c r="T2229" s="4"/>
      <c r="U2229" s="4"/>
      <c r="V2229" s="4"/>
      <c r="W2229" s="4"/>
      <c r="X2229" s="4"/>
    </row>
    <row r="2230" spans="17:24" x14ac:dyDescent="0.3">
      <c r="Q2230" s="4"/>
      <c r="R2230" s="4"/>
      <c r="S2230" s="4"/>
      <c r="T2230" s="4"/>
      <c r="U2230" s="4"/>
      <c r="V2230" s="4"/>
      <c r="W2230" s="4"/>
      <c r="X2230" s="4"/>
    </row>
    <row r="2231" spans="17:24" x14ac:dyDescent="0.3">
      <c r="Q2231" s="4"/>
      <c r="R2231" s="4"/>
      <c r="S2231" s="4"/>
      <c r="T2231" s="4"/>
      <c r="U2231" s="4"/>
      <c r="V2231" s="4"/>
      <c r="W2231" s="4"/>
      <c r="X2231" s="4"/>
    </row>
    <row r="2232" spans="17:24" x14ac:dyDescent="0.3">
      <c r="Q2232" s="4"/>
      <c r="R2232" s="4"/>
      <c r="S2232" s="4"/>
      <c r="T2232" s="4"/>
      <c r="U2232" s="4"/>
      <c r="V2232" s="4"/>
      <c r="W2232" s="4"/>
      <c r="X2232" s="4"/>
    </row>
    <row r="2233" spans="17:24" x14ac:dyDescent="0.3">
      <c r="Q2233" s="4"/>
      <c r="R2233" s="4"/>
      <c r="S2233" s="4"/>
      <c r="T2233" s="4"/>
      <c r="U2233" s="4"/>
      <c r="V2233" s="4"/>
      <c r="W2233" s="4"/>
      <c r="X2233" s="4"/>
    </row>
    <row r="2234" spans="17:24" x14ac:dyDescent="0.3">
      <c r="Q2234" s="4"/>
      <c r="R2234" s="4"/>
      <c r="S2234" s="4"/>
      <c r="T2234" s="4"/>
      <c r="U2234" s="4"/>
      <c r="V2234" s="4"/>
      <c r="W2234" s="4"/>
      <c r="X2234" s="4"/>
    </row>
    <row r="2235" spans="17:24" x14ac:dyDescent="0.3">
      <c r="Q2235" s="4"/>
      <c r="R2235" s="4"/>
      <c r="S2235" s="4"/>
      <c r="T2235" s="4"/>
      <c r="U2235" s="4"/>
      <c r="V2235" s="4"/>
      <c r="W2235" s="4"/>
      <c r="X2235" s="4"/>
    </row>
    <row r="2236" spans="17:24" x14ac:dyDescent="0.3">
      <c r="Q2236" s="4"/>
      <c r="R2236" s="4"/>
      <c r="S2236" s="4"/>
      <c r="T2236" s="4"/>
      <c r="U2236" s="4"/>
      <c r="V2236" s="4"/>
      <c r="W2236" s="4"/>
      <c r="X2236" s="4"/>
    </row>
    <row r="2237" spans="17:24" x14ac:dyDescent="0.3">
      <c r="Q2237" s="4"/>
      <c r="R2237" s="4"/>
      <c r="S2237" s="4"/>
      <c r="T2237" s="4"/>
      <c r="U2237" s="4"/>
      <c r="V2237" s="4"/>
      <c r="W2237" s="4"/>
      <c r="X2237" s="4"/>
    </row>
    <row r="2238" spans="17:24" x14ac:dyDescent="0.3">
      <c r="Q2238" s="4"/>
      <c r="R2238" s="4"/>
      <c r="S2238" s="4"/>
      <c r="T2238" s="4"/>
      <c r="U2238" s="4"/>
      <c r="V2238" s="4"/>
      <c r="W2238" s="4"/>
      <c r="X2238" s="4"/>
    </row>
    <row r="2239" spans="17:24" x14ac:dyDescent="0.3">
      <c r="Q2239" s="4"/>
      <c r="R2239" s="4"/>
      <c r="S2239" s="4"/>
      <c r="T2239" s="4"/>
      <c r="U2239" s="4"/>
      <c r="V2239" s="4"/>
      <c r="W2239" s="4"/>
      <c r="X2239" s="4"/>
    </row>
    <row r="2240" spans="17:24" x14ac:dyDescent="0.3">
      <c r="Q2240" s="4"/>
      <c r="R2240" s="4"/>
      <c r="S2240" s="4"/>
      <c r="T2240" s="4"/>
      <c r="U2240" s="4"/>
      <c r="V2240" s="4"/>
      <c r="W2240" s="4"/>
      <c r="X2240" s="4"/>
    </row>
    <row r="2241" spans="17:24" x14ac:dyDescent="0.3">
      <c r="Q2241" s="4"/>
      <c r="R2241" s="4"/>
      <c r="S2241" s="4"/>
      <c r="T2241" s="4"/>
      <c r="U2241" s="4"/>
      <c r="V2241" s="4"/>
      <c r="W2241" s="4"/>
      <c r="X2241" s="4"/>
    </row>
    <row r="2242" spans="17:24" x14ac:dyDescent="0.3">
      <c r="Q2242" s="4"/>
      <c r="R2242" s="4"/>
      <c r="S2242" s="4"/>
      <c r="T2242" s="4"/>
      <c r="U2242" s="4"/>
      <c r="V2242" s="4"/>
      <c r="W2242" s="4"/>
      <c r="X2242" s="4"/>
    </row>
    <row r="2243" spans="17:24" x14ac:dyDescent="0.3">
      <c r="Q2243" s="4"/>
      <c r="R2243" s="4"/>
      <c r="S2243" s="4"/>
      <c r="T2243" s="4"/>
      <c r="U2243" s="4"/>
      <c r="V2243" s="4"/>
      <c r="W2243" s="4"/>
      <c r="X2243" s="4"/>
    </row>
    <row r="2244" spans="17:24" x14ac:dyDescent="0.3">
      <c r="Q2244" s="4"/>
      <c r="R2244" s="4"/>
      <c r="S2244" s="4"/>
      <c r="T2244" s="4"/>
      <c r="U2244" s="4"/>
      <c r="V2244" s="4"/>
      <c r="W2244" s="4"/>
      <c r="X2244" s="4"/>
    </row>
    <row r="2245" spans="17:24" x14ac:dyDescent="0.3">
      <c r="Q2245" s="4"/>
      <c r="R2245" s="4"/>
      <c r="S2245" s="4"/>
      <c r="T2245" s="4"/>
      <c r="U2245" s="4"/>
      <c r="V2245" s="4"/>
      <c r="W2245" s="4"/>
      <c r="X2245" s="4"/>
    </row>
    <row r="2246" spans="17:24" x14ac:dyDescent="0.3">
      <c r="Q2246" s="4"/>
      <c r="R2246" s="4"/>
      <c r="S2246" s="4"/>
      <c r="T2246" s="4"/>
      <c r="U2246" s="4"/>
      <c r="V2246" s="4"/>
      <c r="W2246" s="4"/>
      <c r="X2246" s="4"/>
    </row>
    <row r="2247" spans="17:24" x14ac:dyDescent="0.3">
      <c r="Q2247" s="4"/>
      <c r="R2247" s="4"/>
      <c r="S2247" s="4"/>
      <c r="T2247" s="4"/>
      <c r="U2247" s="4"/>
      <c r="V2247" s="4"/>
      <c r="W2247" s="4"/>
      <c r="X2247" s="4"/>
    </row>
    <row r="2248" spans="17:24" x14ac:dyDescent="0.3">
      <c r="Q2248" s="4"/>
      <c r="R2248" s="4"/>
      <c r="S2248" s="4"/>
      <c r="T2248" s="4"/>
      <c r="U2248" s="4"/>
      <c r="V2248" s="4"/>
      <c r="W2248" s="4"/>
      <c r="X2248" s="4"/>
    </row>
    <row r="2249" spans="17:24" x14ac:dyDescent="0.3">
      <c r="Q2249" s="4"/>
      <c r="R2249" s="4"/>
      <c r="S2249" s="4"/>
      <c r="T2249" s="4"/>
      <c r="U2249" s="4"/>
      <c r="V2249" s="4"/>
      <c r="W2249" s="4"/>
      <c r="X2249" s="4"/>
    </row>
    <row r="2250" spans="17:24" x14ac:dyDescent="0.3">
      <c r="Q2250" s="4"/>
      <c r="R2250" s="4"/>
      <c r="S2250" s="4"/>
      <c r="T2250" s="4"/>
      <c r="U2250" s="4"/>
      <c r="V2250" s="4"/>
      <c r="W2250" s="4"/>
      <c r="X2250" s="4"/>
    </row>
    <row r="2251" spans="17:24" x14ac:dyDescent="0.3">
      <c r="Q2251" s="4"/>
      <c r="R2251" s="4"/>
      <c r="S2251" s="4"/>
      <c r="T2251" s="4"/>
      <c r="U2251" s="4"/>
      <c r="V2251" s="4"/>
      <c r="W2251" s="4"/>
      <c r="X2251" s="4"/>
    </row>
    <row r="2252" spans="17:24" x14ac:dyDescent="0.3">
      <c r="Q2252" s="4"/>
      <c r="R2252" s="4"/>
      <c r="S2252" s="4"/>
      <c r="T2252" s="4"/>
      <c r="U2252" s="4"/>
      <c r="V2252" s="4"/>
      <c r="W2252" s="4"/>
      <c r="X2252" s="4"/>
    </row>
    <row r="2253" spans="17:24" x14ac:dyDescent="0.3">
      <c r="Q2253" s="4"/>
      <c r="R2253" s="4"/>
      <c r="S2253" s="4"/>
      <c r="T2253" s="4"/>
      <c r="U2253" s="4"/>
      <c r="V2253" s="4"/>
      <c r="W2253" s="4"/>
      <c r="X2253" s="4"/>
    </row>
    <row r="2254" spans="17:24" x14ac:dyDescent="0.3">
      <c r="Q2254" s="4"/>
      <c r="R2254" s="4"/>
      <c r="S2254" s="4"/>
      <c r="T2254" s="4"/>
      <c r="U2254" s="4"/>
      <c r="V2254" s="4"/>
      <c r="W2254" s="4"/>
      <c r="X2254" s="4"/>
    </row>
    <row r="2255" spans="17:24" x14ac:dyDescent="0.3">
      <c r="Q2255" s="4"/>
      <c r="R2255" s="4"/>
      <c r="S2255" s="4"/>
      <c r="T2255" s="4"/>
      <c r="U2255" s="4"/>
      <c r="V2255" s="4"/>
      <c r="W2255" s="4"/>
      <c r="X2255" s="4"/>
    </row>
    <row r="2256" spans="17:24" x14ac:dyDescent="0.3">
      <c r="Q2256" s="4"/>
      <c r="R2256" s="4"/>
      <c r="S2256" s="4"/>
      <c r="T2256" s="4"/>
      <c r="U2256" s="4"/>
      <c r="V2256" s="4"/>
      <c r="W2256" s="4"/>
      <c r="X2256" s="4"/>
    </row>
    <row r="2257" spans="17:24" x14ac:dyDescent="0.3">
      <c r="Q2257" s="4"/>
      <c r="R2257" s="4"/>
      <c r="S2257" s="4"/>
      <c r="T2257" s="4"/>
      <c r="U2257" s="4"/>
      <c r="V2257" s="4"/>
      <c r="W2257" s="4"/>
      <c r="X2257" s="4"/>
    </row>
    <row r="2258" spans="17:24" x14ac:dyDescent="0.3">
      <c r="Q2258" s="4"/>
      <c r="R2258" s="4"/>
      <c r="S2258" s="4"/>
      <c r="T2258" s="4"/>
      <c r="U2258" s="4"/>
      <c r="V2258" s="4"/>
      <c r="W2258" s="4"/>
      <c r="X2258" s="4"/>
    </row>
    <row r="2259" spans="17:24" x14ac:dyDescent="0.3">
      <c r="Q2259" s="4"/>
      <c r="R2259" s="4"/>
      <c r="S2259" s="4"/>
      <c r="T2259" s="4"/>
      <c r="U2259" s="4"/>
      <c r="V2259" s="4"/>
      <c r="W2259" s="4"/>
      <c r="X2259" s="4"/>
    </row>
    <row r="2260" spans="17:24" x14ac:dyDescent="0.3">
      <c r="Q2260" s="4"/>
      <c r="R2260" s="4"/>
      <c r="S2260" s="4"/>
      <c r="T2260" s="4"/>
      <c r="U2260" s="4"/>
      <c r="V2260" s="4"/>
      <c r="W2260" s="4"/>
      <c r="X2260" s="4"/>
    </row>
    <row r="2261" spans="17:24" x14ac:dyDescent="0.3">
      <c r="Q2261" s="4"/>
      <c r="R2261" s="4"/>
      <c r="S2261" s="4"/>
      <c r="T2261" s="4"/>
      <c r="U2261" s="4"/>
      <c r="V2261" s="4"/>
      <c r="W2261" s="4"/>
      <c r="X2261" s="4"/>
    </row>
    <row r="2262" spans="17:24" x14ac:dyDescent="0.3">
      <c r="Q2262" s="4"/>
      <c r="R2262" s="4"/>
      <c r="S2262" s="4"/>
      <c r="T2262" s="4"/>
      <c r="U2262" s="4"/>
      <c r="V2262" s="4"/>
      <c r="W2262" s="4"/>
      <c r="X2262" s="4"/>
    </row>
    <row r="2263" spans="17:24" x14ac:dyDescent="0.3">
      <c r="Q2263" s="4"/>
      <c r="R2263" s="4"/>
      <c r="S2263" s="4"/>
      <c r="T2263" s="4"/>
      <c r="U2263" s="4"/>
      <c r="V2263" s="4"/>
      <c r="W2263" s="4"/>
      <c r="X2263" s="4"/>
    </row>
    <row r="2264" spans="17:24" x14ac:dyDescent="0.3">
      <c r="Q2264" s="4"/>
      <c r="R2264" s="4"/>
      <c r="S2264" s="4"/>
      <c r="T2264" s="4"/>
      <c r="U2264" s="4"/>
      <c r="V2264" s="4"/>
      <c r="W2264" s="4"/>
      <c r="X2264" s="4"/>
    </row>
    <row r="2265" spans="17:24" x14ac:dyDescent="0.3">
      <c r="Q2265" s="4"/>
      <c r="R2265" s="4"/>
      <c r="S2265" s="4"/>
      <c r="T2265" s="4"/>
      <c r="U2265" s="4"/>
      <c r="V2265" s="4"/>
      <c r="W2265" s="4"/>
      <c r="X2265" s="4"/>
    </row>
    <row r="2266" spans="17:24" x14ac:dyDescent="0.3">
      <c r="Q2266" s="4"/>
      <c r="R2266" s="4"/>
      <c r="S2266" s="4"/>
      <c r="T2266" s="4"/>
      <c r="U2266" s="4"/>
      <c r="V2266" s="4"/>
      <c r="W2266" s="4"/>
      <c r="X2266" s="4"/>
    </row>
    <row r="2267" spans="17:24" x14ac:dyDescent="0.3">
      <c r="Q2267" s="4"/>
      <c r="R2267" s="4"/>
      <c r="S2267" s="4"/>
      <c r="T2267" s="4"/>
      <c r="U2267" s="4"/>
      <c r="V2267" s="4"/>
      <c r="W2267" s="4"/>
      <c r="X2267" s="4"/>
    </row>
    <row r="2268" spans="17:24" x14ac:dyDescent="0.3">
      <c r="Q2268" s="4"/>
      <c r="R2268" s="4"/>
      <c r="S2268" s="4"/>
      <c r="T2268" s="4"/>
      <c r="U2268" s="4"/>
      <c r="V2268" s="4"/>
      <c r="W2268" s="4"/>
      <c r="X2268" s="4"/>
    </row>
    <row r="2269" spans="17:24" x14ac:dyDescent="0.3">
      <c r="Q2269" s="4"/>
      <c r="R2269" s="4"/>
      <c r="S2269" s="4"/>
      <c r="T2269" s="4"/>
      <c r="U2269" s="4"/>
      <c r="V2269" s="4"/>
      <c r="W2269" s="4"/>
      <c r="X2269" s="4"/>
    </row>
    <row r="2270" spans="17:24" x14ac:dyDescent="0.3">
      <c r="Q2270" s="4"/>
      <c r="R2270" s="4"/>
      <c r="S2270" s="4"/>
      <c r="T2270" s="4"/>
      <c r="U2270" s="4"/>
      <c r="V2270" s="4"/>
      <c r="W2270" s="4"/>
      <c r="X2270" s="4"/>
    </row>
    <row r="2271" spans="17:24" x14ac:dyDescent="0.3">
      <c r="Q2271" s="4"/>
      <c r="R2271" s="4"/>
      <c r="S2271" s="4"/>
      <c r="T2271" s="4"/>
      <c r="U2271" s="4"/>
      <c r="V2271" s="4"/>
      <c r="W2271" s="4"/>
      <c r="X2271" s="4"/>
    </row>
    <row r="2272" spans="17:24" x14ac:dyDescent="0.3">
      <c r="Q2272" s="4"/>
      <c r="R2272" s="4"/>
      <c r="S2272" s="4"/>
      <c r="T2272" s="4"/>
      <c r="U2272" s="4"/>
      <c r="V2272" s="4"/>
      <c r="W2272" s="4"/>
      <c r="X2272" s="4"/>
    </row>
    <row r="2273" spans="17:24" x14ac:dyDescent="0.3">
      <c r="Q2273" s="4"/>
      <c r="R2273" s="4"/>
      <c r="S2273" s="4"/>
      <c r="T2273" s="4"/>
      <c r="U2273" s="4"/>
      <c r="V2273" s="4"/>
      <c r="W2273" s="4"/>
      <c r="X2273" s="4"/>
    </row>
    <row r="2274" spans="17:24" x14ac:dyDescent="0.3">
      <c r="Q2274" s="4"/>
      <c r="R2274" s="4"/>
      <c r="S2274" s="4"/>
      <c r="T2274" s="4"/>
      <c r="U2274" s="4"/>
      <c r="V2274" s="4"/>
      <c r="W2274" s="4"/>
      <c r="X2274" s="4"/>
    </row>
    <row r="2275" spans="17:24" x14ac:dyDescent="0.3">
      <c r="Q2275" s="4"/>
      <c r="R2275" s="4"/>
      <c r="S2275" s="4"/>
      <c r="T2275" s="4"/>
      <c r="U2275" s="4"/>
      <c r="V2275" s="4"/>
      <c r="W2275" s="4"/>
      <c r="X2275" s="4"/>
    </row>
    <row r="2276" spans="17:24" x14ac:dyDescent="0.3">
      <c r="Q2276" s="4"/>
      <c r="R2276" s="4"/>
      <c r="S2276" s="4"/>
      <c r="T2276" s="4"/>
      <c r="U2276" s="4"/>
      <c r="V2276" s="4"/>
      <c r="W2276" s="4"/>
      <c r="X2276" s="4"/>
    </row>
    <row r="2277" spans="17:24" x14ac:dyDescent="0.3">
      <c r="Q2277" s="4"/>
      <c r="R2277" s="4"/>
      <c r="S2277" s="4"/>
      <c r="T2277" s="4"/>
      <c r="U2277" s="4"/>
      <c r="V2277" s="4"/>
      <c r="W2277" s="4"/>
      <c r="X2277" s="4"/>
    </row>
    <row r="2278" spans="17:24" x14ac:dyDescent="0.3">
      <c r="Q2278" s="4"/>
      <c r="R2278" s="4"/>
      <c r="S2278" s="4"/>
      <c r="T2278" s="4"/>
      <c r="U2278" s="4"/>
      <c r="V2278" s="4"/>
      <c r="W2278" s="4"/>
      <c r="X2278" s="4"/>
    </row>
    <row r="2279" spans="17:24" x14ac:dyDescent="0.3">
      <c r="Q2279" s="4"/>
      <c r="R2279" s="4"/>
      <c r="S2279" s="4"/>
      <c r="T2279" s="4"/>
      <c r="U2279" s="4"/>
      <c r="V2279" s="4"/>
      <c r="W2279" s="4"/>
      <c r="X2279" s="4"/>
    </row>
    <row r="2280" spans="17:24" x14ac:dyDescent="0.3">
      <c r="Q2280" s="4"/>
      <c r="R2280" s="4"/>
      <c r="S2280" s="4"/>
      <c r="T2280" s="4"/>
      <c r="U2280" s="4"/>
      <c r="V2280" s="4"/>
      <c r="W2280" s="4"/>
      <c r="X2280" s="4"/>
    </row>
    <row r="2281" spans="17:24" x14ac:dyDescent="0.3">
      <c r="Q2281" s="4"/>
      <c r="R2281" s="4"/>
      <c r="S2281" s="4"/>
      <c r="T2281" s="4"/>
      <c r="U2281" s="4"/>
      <c r="V2281" s="4"/>
      <c r="W2281" s="4"/>
      <c r="X2281" s="4"/>
    </row>
    <row r="2282" spans="17:24" x14ac:dyDescent="0.3">
      <c r="Q2282" s="4"/>
      <c r="R2282" s="4"/>
      <c r="S2282" s="4"/>
      <c r="T2282" s="4"/>
      <c r="U2282" s="4"/>
      <c r="V2282" s="4"/>
      <c r="W2282" s="4"/>
      <c r="X2282" s="4"/>
    </row>
    <row r="2283" spans="17:24" x14ac:dyDescent="0.3">
      <c r="Q2283" s="4"/>
      <c r="R2283" s="4"/>
      <c r="S2283" s="4"/>
      <c r="T2283" s="4"/>
      <c r="U2283" s="4"/>
      <c r="V2283" s="4"/>
      <c r="W2283" s="4"/>
      <c r="X2283" s="4"/>
    </row>
    <row r="2284" spans="17:24" x14ac:dyDescent="0.3">
      <c r="Q2284" s="4"/>
      <c r="R2284" s="4"/>
      <c r="S2284" s="4"/>
      <c r="T2284" s="4"/>
      <c r="U2284" s="4"/>
      <c r="V2284" s="4"/>
      <c r="W2284" s="4"/>
      <c r="X2284" s="4"/>
    </row>
    <row r="2285" spans="17:24" x14ac:dyDescent="0.3">
      <c r="Q2285" s="4"/>
      <c r="R2285" s="4"/>
      <c r="S2285" s="4"/>
      <c r="T2285" s="4"/>
      <c r="U2285" s="4"/>
      <c r="V2285" s="4"/>
      <c r="W2285" s="4"/>
      <c r="X2285" s="4"/>
    </row>
    <row r="2286" spans="17:24" x14ac:dyDescent="0.3">
      <c r="Q2286" s="4"/>
      <c r="R2286" s="4"/>
      <c r="S2286" s="4"/>
      <c r="T2286" s="4"/>
      <c r="U2286" s="4"/>
      <c r="V2286" s="4"/>
      <c r="W2286" s="4"/>
      <c r="X2286" s="4"/>
    </row>
    <row r="2287" spans="17:24" x14ac:dyDescent="0.3">
      <c r="Q2287" s="4"/>
      <c r="R2287" s="4"/>
      <c r="S2287" s="4"/>
      <c r="T2287" s="4"/>
      <c r="U2287" s="4"/>
      <c r="V2287" s="4"/>
      <c r="W2287" s="4"/>
      <c r="X2287" s="4"/>
    </row>
    <row r="2288" spans="17:24" x14ac:dyDescent="0.3">
      <c r="Q2288" s="4"/>
      <c r="R2288" s="4"/>
      <c r="S2288" s="4"/>
      <c r="T2288" s="4"/>
      <c r="U2288" s="4"/>
      <c r="V2288" s="4"/>
      <c r="W2288" s="4"/>
      <c r="X2288" s="4"/>
    </row>
    <row r="2289" spans="17:24" x14ac:dyDescent="0.3">
      <c r="Q2289" s="4"/>
      <c r="R2289" s="4"/>
      <c r="S2289" s="4"/>
      <c r="T2289" s="4"/>
      <c r="U2289" s="4"/>
      <c r="V2289" s="4"/>
      <c r="W2289" s="4"/>
      <c r="X2289" s="4"/>
    </row>
    <row r="2290" spans="17:24" x14ac:dyDescent="0.3">
      <c r="Q2290" s="4"/>
      <c r="R2290" s="4"/>
      <c r="S2290" s="4"/>
      <c r="T2290" s="4"/>
      <c r="U2290" s="4"/>
      <c r="V2290" s="4"/>
      <c r="W2290" s="4"/>
      <c r="X2290" s="4"/>
    </row>
    <row r="2291" spans="17:24" x14ac:dyDescent="0.3">
      <c r="Q2291" s="4"/>
      <c r="R2291" s="4"/>
      <c r="S2291" s="4"/>
      <c r="T2291" s="4"/>
      <c r="U2291" s="4"/>
      <c r="V2291" s="4"/>
      <c r="W2291" s="4"/>
      <c r="X2291" s="4"/>
    </row>
    <row r="2292" spans="17:24" x14ac:dyDescent="0.3">
      <c r="Q2292" s="4"/>
      <c r="R2292" s="4"/>
      <c r="S2292" s="4"/>
      <c r="T2292" s="4"/>
      <c r="U2292" s="4"/>
      <c r="V2292" s="4"/>
      <c r="W2292" s="4"/>
      <c r="X2292" s="4"/>
    </row>
    <row r="2293" spans="17:24" x14ac:dyDescent="0.3">
      <c r="Q2293" s="4"/>
      <c r="R2293" s="4"/>
      <c r="S2293" s="4"/>
      <c r="T2293" s="4"/>
      <c r="U2293" s="4"/>
      <c r="V2293" s="4"/>
      <c r="W2293" s="4"/>
      <c r="X2293" s="4"/>
    </row>
    <row r="2294" spans="17:24" x14ac:dyDescent="0.3">
      <c r="Q2294" s="4"/>
      <c r="R2294" s="4"/>
      <c r="S2294" s="4"/>
      <c r="T2294" s="4"/>
      <c r="U2294" s="4"/>
      <c r="V2294" s="4"/>
      <c r="W2294" s="4"/>
      <c r="X2294" s="4"/>
    </row>
    <row r="2295" spans="17:24" x14ac:dyDescent="0.3">
      <c r="Q2295" s="4"/>
      <c r="R2295" s="4"/>
      <c r="S2295" s="4"/>
      <c r="T2295" s="4"/>
      <c r="U2295" s="4"/>
      <c r="V2295" s="4"/>
      <c r="W2295" s="4"/>
      <c r="X2295" s="4"/>
    </row>
    <row r="2296" spans="17:24" x14ac:dyDescent="0.3">
      <c r="Q2296" s="4"/>
      <c r="R2296" s="4"/>
      <c r="S2296" s="4"/>
      <c r="T2296" s="4"/>
      <c r="U2296" s="4"/>
      <c r="V2296" s="4"/>
      <c r="W2296" s="4"/>
      <c r="X2296" s="4"/>
    </row>
    <row r="2297" spans="17:24" x14ac:dyDescent="0.3">
      <c r="Q2297" s="4"/>
      <c r="R2297" s="4"/>
      <c r="S2297" s="4"/>
      <c r="T2297" s="4"/>
      <c r="U2297" s="4"/>
      <c r="V2297" s="4"/>
      <c r="W2297" s="4"/>
      <c r="X2297" s="4"/>
    </row>
    <row r="2298" spans="17:24" x14ac:dyDescent="0.3">
      <c r="Q2298" s="4"/>
      <c r="R2298" s="4"/>
      <c r="S2298" s="4"/>
      <c r="T2298" s="4"/>
      <c r="U2298" s="4"/>
      <c r="V2298" s="4"/>
      <c r="W2298" s="4"/>
      <c r="X2298" s="4"/>
    </row>
    <row r="2299" spans="17:24" x14ac:dyDescent="0.3">
      <c r="Q2299" s="4"/>
      <c r="R2299" s="4"/>
      <c r="S2299" s="4"/>
      <c r="T2299" s="4"/>
      <c r="U2299" s="4"/>
      <c r="V2299" s="4"/>
      <c r="W2299" s="4"/>
      <c r="X2299" s="4"/>
    </row>
    <row r="2300" spans="17:24" x14ac:dyDescent="0.3">
      <c r="Q2300" s="4"/>
      <c r="R2300" s="4"/>
      <c r="S2300" s="4"/>
      <c r="T2300" s="4"/>
      <c r="U2300" s="4"/>
      <c r="V2300" s="4"/>
      <c r="W2300" s="4"/>
      <c r="X2300" s="4"/>
    </row>
    <row r="2301" spans="17:24" x14ac:dyDescent="0.3">
      <c r="Q2301" s="4"/>
      <c r="R2301" s="4"/>
      <c r="S2301" s="4"/>
      <c r="T2301" s="4"/>
      <c r="U2301" s="4"/>
      <c r="V2301" s="4"/>
      <c r="W2301" s="4"/>
      <c r="X2301" s="4"/>
    </row>
    <row r="2302" spans="17:24" x14ac:dyDescent="0.3">
      <c r="Q2302" s="4"/>
      <c r="R2302" s="4"/>
      <c r="S2302" s="4"/>
      <c r="T2302" s="4"/>
      <c r="U2302" s="4"/>
      <c r="V2302" s="4"/>
      <c r="W2302" s="4"/>
      <c r="X2302" s="4"/>
    </row>
    <row r="2303" spans="17:24" x14ac:dyDescent="0.3">
      <c r="Q2303" s="4"/>
      <c r="R2303" s="4"/>
      <c r="S2303" s="4"/>
      <c r="T2303" s="4"/>
      <c r="U2303" s="4"/>
      <c r="V2303" s="4"/>
      <c r="W2303" s="4"/>
      <c r="X2303" s="4"/>
    </row>
    <row r="2304" spans="17:24" x14ac:dyDescent="0.3">
      <c r="Q2304" s="4"/>
      <c r="R2304" s="4"/>
      <c r="S2304" s="4"/>
      <c r="T2304" s="4"/>
      <c r="U2304" s="4"/>
      <c r="V2304" s="4"/>
      <c r="W2304" s="4"/>
      <c r="X2304" s="4"/>
    </row>
    <row r="2305" spans="17:24" x14ac:dyDescent="0.3">
      <c r="Q2305" s="4"/>
      <c r="R2305" s="4"/>
      <c r="S2305" s="4"/>
      <c r="T2305" s="4"/>
      <c r="U2305" s="4"/>
      <c r="V2305" s="4"/>
      <c r="W2305" s="4"/>
      <c r="X2305" s="4"/>
    </row>
    <row r="2306" spans="17:24" x14ac:dyDescent="0.3">
      <c r="Q2306" s="4"/>
      <c r="R2306" s="4"/>
      <c r="S2306" s="4"/>
      <c r="T2306" s="4"/>
      <c r="U2306" s="4"/>
      <c r="V2306" s="4"/>
      <c r="W2306" s="4"/>
      <c r="X2306" s="4"/>
    </row>
    <row r="2307" spans="17:24" x14ac:dyDescent="0.3">
      <c r="Q2307" s="4"/>
      <c r="R2307" s="4"/>
      <c r="S2307" s="4"/>
      <c r="T2307" s="4"/>
      <c r="U2307" s="4"/>
      <c r="V2307" s="4"/>
      <c r="W2307" s="4"/>
      <c r="X2307" s="4"/>
    </row>
    <row r="2308" spans="17:24" x14ac:dyDescent="0.3">
      <c r="Q2308" s="4"/>
      <c r="R2308" s="4"/>
      <c r="S2308" s="4"/>
      <c r="T2308" s="4"/>
      <c r="U2308" s="4"/>
      <c r="V2308" s="4"/>
      <c r="W2308" s="4"/>
      <c r="X2308" s="4"/>
    </row>
    <row r="2309" spans="17:24" x14ac:dyDescent="0.3">
      <c r="Q2309" s="4"/>
      <c r="R2309" s="4"/>
      <c r="S2309" s="4"/>
      <c r="T2309" s="4"/>
      <c r="U2309" s="4"/>
      <c r="V2309" s="4"/>
      <c r="W2309" s="4"/>
      <c r="X2309" s="4"/>
    </row>
    <row r="2310" spans="17:24" x14ac:dyDescent="0.3">
      <c r="Q2310" s="4"/>
      <c r="R2310" s="4"/>
      <c r="S2310" s="4"/>
      <c r="T2310" s="4"/>
      <c r="U2310" s="4"/>
      <c r="V2310" s="4"/>
      <c r="W2310" s="4"/>
      <c r="X2310" s="4"/>
    </row>
    <row r="2311" spans="17:24" x14ac:dyDescent="0.3">
      <c r="Q2311" s="4"/>
      <c r="R2311" s="4"/>
      <c r="S2311" s="4"/>
      <c r="T2311" s="4"/>
      <c r="U2311" s="4"/>
      <c r="V2311" s="4"/>
      <c r="W2311" s="4"/>
      <c r="X2311" s="4"/>
    </row>
    <row r="2312" spans="17:24" x14ac:dyDescent="0.3">
      <c r="Q2312" s="4"/>
      <c r="R2312" s="4"/>
      <c r="S2312" s="4"/>
      <c r="T2312" s="4"/>
      <c r="U2312" s="4"/>
      <c r="V2312" s="4"/>
      <c r="W2312" s="4"/>
      <c r="X2312" s="4"/>
    </row>
    <row r="2313" spans="17:24" x14ac:dyDescent="0.3">
      <c r="Q2313" s="4"/>
      <c r="R2313" s="4"/>
      <c r="S2313" s="4"/>
      <c r="T2313" s="4"/>
      <c r="U2313" s="4"/>
      <c r="V2313" s="4"/>
      <c r="W2313" s="4"/>
      <c r="X2313" s="4"/>
    </row>
    <row r="2314" spans="17:24" x14ac:dyDescent="0.3">
      <c r="Q2314" s="4"/>
      <c r="R2314" s="4"/>
      <c r="S2314" s="4"/>
      <c r="T2314" s="4"/>
      <c r="U2314" s="4"/>
      <c r="V2314" s="4"/>
      <c r="W2314" s="4"/>
      <c r="X2314" s="4"/>
    </row>
    <row r="2315" spans="17:24" x14ac:dyDescent="0.3">
      <c r="Q2315" s="4"/>
      <c r="R2315" s="4"/>
      <c r="S2315" s="4"/>
      <c r="T2315" s="4"/>
      <c r="U2315" s="4"/>
      <c r="V2315" s="4"/>
      <c r="W2315" s="4"/>
      <c r="X2315" s="4"/>
    </row>
    <row r="2316" spans="17:24" x14ac:dyDescent="0.3">
      <c r="Q2316" s="4"/>
      <c r="R2316" s="4"/>
      <c r="S2316" s="4"/>
      <c r="T2316" s="4"/>
      <c r="U2316" s="4"/>
      <c r="V2316" s="4"/>
      <c r="W2316" s="4"/>
      <c r="X2316" s="4"/>
    </row>
    <row r="2317" spans="17:24" x14ac:dyDescent="0.3">
      <c r="Q2317" s="4"/>
      <c r="R2317" s="4"/>
      <c r="S2317" s="4"/>
      <c r="T2317" s="4"/>
      <c r="U2317" s="4"/>
      <c r="V2317" s="4"/>
      <c r="W2317" s="4"/>
      <c r="X2317" s="4"/>
    </row>
    <row r="2318" spans="17:24" x14ac:dyDescent="0.3">
      <c r="Q2318" s="4"/>
      <c r="R2318" s="4"/>
      <c r="S2318" s="4"/>
      <c r="T2318" s="4"/>
      <c r="U2318" s="4"/>
      <c r="V2318" s="4"/>
      <c r="W2318" s="4"/>
      <c r="X2318" s="4"/>
    </row>
    <row r="2319" spans="17:24" x14ac:dyDescent="0.3">
      <c r="Q2319" s="4"/>
      <c r="R2319" s="4"/>
      <c r="S2319" s="4"/>
      <c r="T2319" s="4"/>
      <c r="U2319" s="4"/>
      <c r="V2319" s="4"/>
      <c r="W2319" s="4"/>
      <c r="X2319" s="4"/>
    </row>
    <row r="2320" spans="17:24" x14ac:dyDescent="0.3">
      <c r="Q2320" s="4"/>
      <c r="R2320" s="4"/>
      <c r="S2320" s="4"/>
      <c r="T2320" s="4"/>
      <c r="U2320" s="4"/>
      <c r="V2320" s="4"/>
      <c r="W2320" s="4"/>
      <c r="X2320" s="4"/>
    </row>
    <row r="2321" spans="17:24" x14ac:dyDescent="0.3">
      <c r="Q2321" s="4"/>
      <c r="R2321" s="4"/>
      <c r="S2321" s="4"/>
      <c r="T2321" s="4"/>
      <c r="U2321" s="4"/>
      <c r="V2321" s="4"/>
      <c r="W2321" s="4"/>
      <c r="X2321" s="4"/>
    </row>
    <row r="2322" spans="17:24" x14ac:dyDescent="0.3">
      <c r="Q2322" s="4"/>
      <c r="R2322" s="4"/>
      <c r="S2322" s="4"/>
      <c r="T2322" s="4"/>
      <c r="U2322" s="4"/>
      <c r="V2322" s="4"/>
      <c r="W2322" s="4"/>
      <c r="X2322" s="4"/>
    </row>
    <row r="2323" spans="17:24" x14ac:dyDescent="0.3">
      <c r="Q2323" s="4"/>
      <c r="R2323" s="4"/>
      <c r="S2323" s="4"/>
      <c r="T2323" s="4"/>
      <c r="U2323" s="4"/>
      <c r="V2323" s="4"/>
      <c r="W2323" s="4"/>
      <c r="X2323" s="4"/>
    </row>
    <row r="2324" spans="17:24" x14ac:dyDescent="0.3">
      <c r="Q2324" s="4"/>
      <c r="R2324" s="4"/>
      <c r="S2324" s="4"/>
      <c r="T2324" s="4"/>
      <c r="U2324" s="4"/>
      <c r="V2324" s="4"/>
      <c r="W2324" s="4"/>
      <c r="X2324" s="4"/>
    </row>
    <row r="2325" spans="17:24" x14ac:dyDescent="0.3">
      <c r="Q2325" s="4"/>
      <c r="R2325" s="4"/>
      <c r="S2325" s="4"/>
      <c r="T2325" s="4"/>
      <c r="U2325" s="4"/>
      <c r="V2325" s="4"/>
      <c r="W2325" s="4"/>
      <c r="X2325" s="4"/>
    </row>
    <row r="2326" spans="17:24" x14ac:dyDescent="0.3">
      <c r="Q2326" s="4"/>
      <c r="R2326" s="4"/>
      <c r="S2326" s="4"/>
      <c r="T2326" s="4"/>
      <c r="U2326" s="4"/>
      <c r="V2326" s="4"/>
      <c r="W2326" s="4"/>
      <c r="X2326" s="4"/>
    </row>
    <row r="2327" spans="17:24" x14ac:dyDescent="0.3">
      <c r="Q2327" s="4"/>
      <c r="R2327" s="4"/>
      <c r="S2327" s="4"/>
      <c r="T2327" s="4"/>
      <c r="U2327" s="4"/>
      <c r="V2327" s="4"/>
      <c r="W2327" s="4"/>
      <c r="X2327" s="4"/>
    </row>
    <row r="2328" spans="17:24" x14ac:dyDescent="0.3">
      <c r="Q2328" s="4"/>
      <c r="R2328" s="4"/>
      <c r="S2328" s="4"/>
      <c r="T2328" s="4"/>
      <c r="U2328" s="4"/>
      <c r="V2328" s="4"/>
      <c r="W2328" s="4"/>
      <c r="X2328" s="4"/>
    </row>
    <row r="2329" spans="17:24" x14ac:dyDescent="0.3">
      <c r="Q2329" s="4"/>
      <c r="R2329" s="4"/>
      <c r="S2329" s="4"/>
      <c r="T2329" s="4"/>
      <c r="U2329" s="4"/>
      <c r="V2329" s="4"/>
      <c r="W2329" s="4"/>
      <c r="X2329" s="4"/>
    </row>
    <row r="2330" spans="17:24" x14ac:dyDescent="0.3">
      <c r="Q2330" s="4"/>
      <c r="R2330" s="4"/>
      <c r="S2330" s="4"/>
      <c r="T2330" s="4"/>
      <c r="U2330" s="4"/>
      <c r="V2330" s="4"/>
      <c r="W2330" s="4"/>
      <c r="X2330" s="4"/>
    </row>
    <row r="2331" spans="17:24" x14ac:dyDescent="0.3">
      <c r="Q2331" s="4"/>
      <c r="R2331" s="4"/>
      <c r="S2331" s="4"/>
      <c r="T2331" s="4"/>
      <c r="U2331" s="4"/>
      <c r="V2331" s="4"/>
      <c r="W2331" s="4"/>
      <c r="X2331" s="4"/>
    </row>
    <row r="2332" spans="17:24" x14ac:dyDescent="0.3">
      <c r="Q2332" s="4"/>
      <c r="R2332" s="4"/>
      <c r="S2332" s="4"/>
      <c r="T2332" s="4"/>
      <c r="U2332" s="4"/>
      <c r="V2332" s="4"/>
      <c r="W2332" s="4"/>
      <c r="X2332" s="4"/>
    </row>
    <row r="2333" spans="17:24" x14ac:dyDescent="0.3">
      <c r="Q2333" s="4"/>
      <c r="R2333" s="4"/>
      <c r="S2333" s="4"/>
      <c r="T2333" s="4"/>
      <c r="U2333" s="4"/>
      <c r="V2333" s="4"/>
      <c r="W2333" s="4"/>
      <c r="X2333" s="4"/>
    </row>
    <row r="2334" spans="17:24" x14ac:dyDescent="0.3">
      <c r="Q2334" s="4"/>
      <c r="R2334" s="4"/>
      <c r="S2334" s="4"/>
      <c r="T2334" s="4"/>
      <c r="U2334" s="4"/>
      <c r="V2334" s="4"/>
      <c r="W2334" s="4"/>
      <c r="X2334" s="4"/>
    </row>
    <row r="2335" spans="17:24" x14ac:dyDescent="0.3">
      <c r="Q2335" s="4"/>
      <c r="R2335" s="4"/>
      <c r="S2335" s="4"/>
      <c r="T2335" s="4"/>
      <c r="U2335" s="4"/>
      <c r="V2335" s="4"/>
      <c r="W2335" s="4"/>
      <c r="X2335" s="4"/>
    </row>
    <row r="2336" spans="17:24" x14ac:dyDescent="0.3">
      <c r="Q2336" s="4"/>
      <c r="R2336" s="4"/>
      <c r="S2336" s="4"/>
      <c r="T2336" s="4"/>
      <c r="U2336" s="4"/>
      <c r="V2336" s="4"/>
      <c r="W2336" s="4"/>
      <c r="X2336" s="4"/>
    </row>
    <row r="2337" spans="17:24" x14ac:dyDescent="0.3">
      <c r="Q2337" s="4"/>
      <c r="R2337" s="4"/>
      <c r="S2337" s="4"/>
      <c r="T2337" s="4"/>
      <c r="U2337" s="4"/>
      <c r="V2337" s="4"/>
      <c r="W2337" s="4"/>
      <c r="X2337" s="4"/>
    </row>
    <row r="2338" spans="17:24" x14ac:dyDescent="0.3">
      <c r="Q2338" s="4"/>
      <c r="R2338" s="4"/>
      <c r="S2338" s="4"/>
      <c r="T2338" s="4"/>
      <c r="U2338" s="4"/>
      <c r="V2338" s="4"/>
      <c r="W2338" s="4"/>
      <c r="X2338" s="4"/>
    </row>
    <row r="2339" spans="17:24" x14ac:dyDescent="0.3">
      <c r="Q2339" s="4"/>
      <c r="R2339" s="4"/>
      <c r="S2339" s="4"/>
      <c r="T2339" s="4"/>
      <c r="U2339" s="4"/>
      <c r="V2339" s="4"/>
      <c r="W2339" s="4"/>
      <c r="X2339" s="4"/>
    </row>
    <row r="2340" spans="17:24" x14ac:dyDescent="0.3">
      <c r="Q2340" s="4"/>
      <c r="R2340" s="4"/>
      <c r="S2340" s="4"/>
      <c r="T2340" s="4"/>
      <c r="U2340" s="4"/>
      <c r="V2340" s="4"/>
      <c r="W2340" s="4"/>
      <c r="X2340" s="4"/>
    </row>
    <row r="2341" spans="17:24" x14ac:dyDescent="0.3">
      <c r="Q2341" s="4"/>
      <c r="R2341" s="4"/>
      <c r="S2341" s="4"/>
      <c r="T2341" s="4"/>
      <c r="U2341" s="4"/>
      <c r="V2341" s="4"/>
      <c r="W2341" s="4"/>
      <c r="X2341" s="4"/>
    </row>
    <row r="2342" spans="17:24" x14ac:dyDescent="0.3">
      <c r="Q2342" s="4"/>
      <c r="R2342" s="4"/>
      <c r="S2342" s="4"/>
      <c r="T2342" s="4"/>
      <c r="U2342" s="4"/>
      <c r="V2342" s="4"/>
      <c r="W2342" s="4"/>
      <c r="X2342" s="4"/>
    </row>
    <row r="2343" spans="17:24" x14ac:dyDescent="0.3">
      <c r="Q2343" s="4"/>
      <c r="R2343" s="4"/>
      <c r="S2343" s="4"/>
      <c r="T2343" s="4"/>
      <c r="U2343" s="4"/>
      <c r="V2343" s="4"/>
      <c r="W2343" s="4"/>
      <c r="X2343" s="4"/>
    </row>
    <row r="2344" spans="17:24" x14ac:dyDescent="0.3">
      <c r="Q2344" s="4"/>
      <c r="R2344" s="4"/>
      <c r="S2344" s="4"/>
      <c r="T2344" s="4"/>
      <c r="U2344" s="4"/>
      <c r="V2344" s="4"/>
      <c r="W2344" s="4"/>
      <c r="X2344" s="4"/>
    </row>
    <row r="2345" spans="17:24" x14ac:dyDescent="0.3">
      <c r="Q2345" s="4"/>
      <c r="R2345" s="4"/>
      <c r="S2345" s="4"/>
      <c r="T2345" s="4"/>
      <c r="U2345" s="4"/>
      <c r="V2345" s="4"/>
      <c r="W2345" s="4"/>
      <c r="X2345" s="4"/>
    </row>
    <row r="2346" spans="17:24" x14ac:dyDescent="0.3">
      <c r="Q2346" s="4"/>
      <c r="R2346" s="4"/>
      <c r="S2346" s="4"/>
      <c r="T2346" s="4"/>
      <c r="U2346" s="4"/>
      <c r="V2346" s="4"/>
      <c r="W2346" s="4"/>
      <c r="X2346" s="4"/>
    </row>
    <row r="2347" spans="17:24" x14ac:dyDescent="0.3">
      <c r="Q2347" s="4"/>
      <c r="R2347" s="4"/>
      <c r="S2347" s="4"/>
      <c r="T2347" s="4"/>
      <c r="U2347" s="4"/>
      <c r="V2347" s="4"/>
      <c r="W2347" s="4"/>
      <c r="X2347" s="4"/>
    </row>
    <row r="2348" spans="17:24" x14ac:dyDescent="0.3">
      <c r="Q2348" s="4"/>
      <c r="R2348" s="4"/>
      <c r="S2348" s="4"/>
      <c r="T2348" s="4"/>
      <c r="U2348" s="4"/>
      <c r="V2348" s="4"/>
      <c r="W2348" s="4"/>
      <c r="X2348" s="4"/>
    </row>
    <row r="2349" spans="17:24" x14ac:dyDescent="0.3">
      <c r="Q2349" s="4"/>
      <c r="R2349" s="4"/>
      <c r="S2349" s="4"/>
      <c r="T2349" s="4"/>
      <c r="U2349" s="4"/>
      <c r="V2349" s="4"/>
      <c r="W2349" s="4"/>
      <c r="X2349" s="4"/>
    </row>
    <row r="2350" spans="17:24" x14ac:dyDescent="0.3">
      <c r="Q2350" s="4"/>
      <c r="R2350" s="4"/>
      <c r="S2350" s="4"/>
      <c r="T2350" s="4"/>
      <c r="U2350" s="4"/>
      <c r="V2350" s="4"/>
      <c r="W2350" s="4"/>
      <c r="X2350" s="4"/>
    </row>
    <row r="2351" spans="17:24" x14ac:dyDescent="0.3">
      <c r="Q2351" s="4"/>
      <c r="R2351" s="4"/>
      <c r="S2351" s="4"/>
      <c r="T2351" s="4"/>
      <c r="U2351" s="4"/>
      <c r="V2351" s="4"/>
      <c r="W2351" s="4"/>
      <c r="X2351" s="4"/>
    </row>
    <row r="2352" spans="17:24" x14ac:dyDescent="0.3">
      <c r="Q2352" s="4"/>
      <c r="R2352" s="4"/>
      <c r="S2352" s="4"/>
      <c r="T2352" s="4"/>
      <c r="U2352" s="4"/>
      <c r="V2352" s="4"/>
      <c r="W2352" s="4"/>
      <c r="X2352" s="4"/>
    </row>
    <row r="2353" spans="17:24" x14ac:dyDescent="0.3">
      <c r="Q2353" s="4"/>
      <c r="R2353" s="4"/>
      <c r="S2353" s="4"/>
      <c r="T2353" s="4"/>
      <c r="U2353" s="4"/>
      <c r="V2353" s="4"/>
      <c r="W2353" s="4"/>
      <c r="X2353" s="4"/>
    </row>
    <row r="2354" spans="17:24" x14ac:dyDescent="0.3">
      <c r="Q2354" s="4"/>
      <c r="R2354" s="4"/>
      <c r="S2354" s="4"/>
      <c r="T2354" s="4"/>
      <c r="U2354" s="4"/>
      <c r="V2354" s="4"/>
      <c r="W2354" s="4"/>
      <c r="X2354" s="4"/>
    </row>
    <row r="2355" spans="17:24" x14ac:dyDescent="0.3">
      <c r="Q2355" s="4"/>
      <c r="R2355" s="4"/>
      <c r="S2355" s="4"/>
      <c r="T2355" s="4"/>
      <c r="U2355" s="4"/>
      <c r="V2355" s="4"/>
      <c r="W2355" s="4"/>
      <c r="X2355" s="4"/>
    </row>
    <row r="2356" spans="17:24" x14ac:dyDescent="0.3">
      <c r="Q2356" s="4"/>
      <c r="R2356" s="4"/>
      <c r="S2356" s="4"/>
      <c r="T2356" s="4"/>
      <c r="U2356" s="4"/>
      <c r="V2356" s="4"/>
      <c r="W2356" s="4"/>
      <c r="X2356" s="4"/>
    </row>
    <row r="2357" spans="17:24" x14ac:dyDescent="0.3">
      <c r="Q2357" s="4"/>
      <c r="R2357" s="4"/>
      <c r="S2357" s="4"/>
      <c r="T2357" s="4"/>
      <c r="U2357" s="4"/>
      <c r="V2357" s="4"/>
      <c r="W2357" s="4"/>
      <c r="X2357" s="4"/>
    </row>
    <row r="2358" spans="17:24" x14ac:dyDescent="0.3">
      <c r="Q2358" s="4"/>
      <c r="R2358" s="4"/>
      <c r="S2358" s="4"/>
      <c r="T2358" s="4"/>
      <c r="U2358" s="4"/>
      <c r="V2358" s="4"/>
      <c r="W2358" s="4"/>
      <c r="X2358" s="4"/>
    </row>
    <row r="2359" spans="17:24" x14ac:dyDescent="0.3">
      <c r="Q2359" s="4"/>
      <c r="R2359" s="4"/>
      <c r="S2359" s="4"/>
      <c r="T2359" s="4"/>
      <c r="U2359" s="4"/>
      <c r="V2359" s="4"/>
      <c r="W2359" s="4"/>
      <c r="X2359" s="4"/>
    </row>
    <row r="2360" spans="17:24" x14ac:dyDescent="0.3">
      <c r="Q2360" s="4"/>
      <c r="R2360" s="4"/>
      <c r="S2360" s="4"/>
      <c r="T2360" s="4"/>
      <c r="U2360" s="4"/>
      <c r="V2360" s="4"/>
      <c r="W2360" s="4"/>
      <c r="X2360" s="4"/>
    </row>
    <row r="2361" spans="17:24" x14ac:dyDescent="0.3">
      <c r="Q2361" s="4"/>
      <c r="R2361" s="4"/>
      <c r="S2361" s="4"/>
      <c r="T2361" s="4"/>
      <c r="U2361" s="4"/>
      <c r="V2361" s="4"/>
      <c r="W2361" s="4"/>
      <c r="X2361" s="4"/>
    </row>
    <row r="2362" spans="17:24" x14ac:dyDescent="0.3">
      <c r="Q2362" s="4"/>
      <c r="R2362" s="4"/>
      <c r="S2362" s="4"/>
      <c r="T2362" s="4"/>
      <c r="U2362" s="4"/>
      <c r="V2362" s="4"/>
      <c r="W2362" s="4"/>
      <c r="X2362" s="4"/>
    </row>
    <row r="2363" spans="17:24" x14ac:dyDescent="0.3">
      <c r="Q2363" s="4"/>
      <c r="R2363" s="4"/>
      <c r="S2363" s="4"/>
      <c r="T2363" s="4"/>
      <c r="U2363" s="4"/>
      <c r="V2363" s="4"/>
      <c r="W2363" s="4"/>
      <c r="X2363" s="4"/>
    </row>
    <row r="2364" spans="17:24" x14ac:dyDescent="0.3">
      <c r="Q2364" s="4"/>
      <c r="R2364" s="4"/>
      <c r="S2364" s="4"/>
      <c r="T2364" s="4"/>
      <c r="U2364" s="4"/>
      <c r="V2364" s="4"/>
      <c r="W2364" s="4"/>
      <c r="X2364" s="4"/>
    </row>
    <row r="2365" spans="17:24" x14ac:dyDescent="0.3">
      <c r="Q2365" s="4"/>
      <c r="R2365" s="4"/>
      <c r="S2365" s="4"/>
      <c r="T2365" s="4"/>
      <c r="U2365" s="4"/>
      <c r="V2365" s="4"/>
      <c r="W2365" s="4"/>
      <c r="X2365" s="4"/>
    </row>
    <row r="2366" spans="17:24" x14ac:dyDescent="0.3">
      <c r="Q2366" s="4"/>
      <c r="R2366" s="4"/>
      <c r="S2366" s="4"/>
      <c r="T2366" s="4"/>
      <c r="U2366" s="4"/>
      <c r="V2366" s="4"/>
      <c r="W2366" s="4"/>
      <c r="X2366" s="4"/>
    </row>
    <row r="2367" spans="17:24" x14ac:dyDescent="0.3">
      <c r="Q2367" s="4"/>
      <c r="R2367" s="4"/>
      <c r="S2367" s="4"/>
      <c r="T2367" s="4"/>
      <c r="U2367" s="4"/>
      <c r="V2367" s="4"/>
      <c r="W2367" s="4"/>
      <c r="X2367" s="4"/>
    </row>
    <row r="2368" spans="17:24" x14ac:dyDescent="0.3">
      <c r="Q2368" s="4"/>
      <c r="R2368" s="4"/>
      <c r="S2368" s="4"/>
      <c r="T2368" s="4"/>
      <c r="U2368" s="4"/>
      <c r="V2368" s="4"/>
      <c r="W2368" s="4"/>
      <c r="X2368" s="4"/>
    </row>
    <row r="2369" spans="17:24" x14ac:dyDescent="0.3">
      <c r="Q2369" s="4"/>
      <c r="R2369" s="4"/>
      <c r="S2369" s="4"/>
      <c r="T2369" s="4"/>
      <c r="U2369" s="4"/>
      <c r="V2369" s="4"/>
      <c r="W2369" s="4"/>
      <c r="X2369" s="4"/>
    </row>
    <row r="2370" spans="17:24" x14ac:dyDescent="0.3">
      <c r="Q2370" s="4"/>
      <c r="R2370" s="4"/>
      <c r="S2370" s="4"/>
      <c r="T2370" s="4"/>
      <c r="U2370" s="4"/>
      <c r="V2370" s="4"/>
      <c r="W2370" s="4"/>
      <c r="X2370" s="4"/>
    </row>
    <row r="2371" spans="17:24" x14ac:dyDescent="0.3">
      <c r="Q2371" s="4"/>
      <c r="R2371" s="4"/>
      <c r="S2371" s="4"/>
      <c r="T2371" s="4"/>
      <c r="U2371" s="4"/>
      <c r="V2371" s="4"/>
      <c r="W2371" s="4"/>
      <c r="X2371" s="4"/>
    </row>
    <row r="2372" spans="17:24" x14ac:dyDescent="0.3">
      <c r="Q2372" s="4"/>
      <c r="R2372" s="4"/>
      <c r="S2372" s="4"/>
      <c r="T2372" s="4"/>
      <c r="U2372" s="4"/>
      <c r="V2372" s="4"/>
      <c r="W2372" s="4"/>
      <c r="X2372" s="4"/>
    </row>
    <row r="2373" spans="17:24" x14ac:dyDescent="0.3">
      <c r="Q2373" s="4"/>
      <c r="R2373" s="4"/>
      <c r="S2373" s="4"/>
      <c r="T2373" s="4"/>
      <c r="U2373" s="4"/>
      <c r="V2373" s="4"/>
      <c r="W2373" s="4"/>
      <c r="X2373" s="4"/>
    </row>
    <row r="2374" spans="17:24" x14ac:dyDescent="0.3">
      <c r="Q2374" s="4"/>
      <c r="R2374" s="4"/>
      <c r="S2374" s="4"/>
      <c r="T2374" s="4"/>
      <c r="U2374" s="4"/>
      <c r="V2374" s="4"/>
      <c r="W2374" s="4"/>
      <c r="X2374" s="4"/>
    </row>
    <row r="2375" spans="17:24" x14ac:dyDescent="0.3">
      <c r="Q2375" s="4"/>
      <c r="R2375" s="4"/>
      <c r="S2375" s="4"/>
      <c r="T2375" s="4"/>
      <c r="U2375" s="4"/>
      <c r="V2375" s="4"/>
      <c r="W2375" s="4"/>
      <c r="X2375" s="4"/>
    </row>
    <row r="2376" spans="17:24" x14ac:dyDescent="0.3">
      <c r="Q2376" s="4"/>
      <c r="R2376" s="4"/>
      <c r="S2376" s="4"/>
      <c r="T2376" s="4"/>
      <c r="U2376" s="4"/>
      <c r="V2376" s="4"/>
      <c r="W2376" s="4"/>
      <c r="X2376" s="4"/>
    </row>
    <row r="2377" spans="17:24" x14ac:dyDescent="0.3">
      <c r="Q2377" s="4"/>
      <c r="R2377" s="4"/>
      <c r="S2377" s="4"/>
      <c r="T2377" s="4"/>
      <c r="U2377" s="4"/>
      <c r="V2377" s="4"/>
      <c r="W2377" s="4"/>
      <c r="X2377" s="4"/>
    </row>
    <row r="2378" spans="17:24" x14ac:dyDescent="0.3">
      <c r="Q2378" s="4"/>
      <c r="R2378" s="4"/>
      <c r="S2378" s="4"/>
      <c r="T2378" s="4"/>
      <c r="U2378" s="4"/>
      <c r="V2378" s="4"/>
      <c r="W2378" s="4"/>
      <c r="X2378" s="4"/>
    </row>
    <row r="2379" spans="17:24" x14ac:dyDescent="0.3">
      <c r="Q2379" s="4"/>
      <c r="R2379" s="4"/>
      <c r="S2379" s="4"/>
      <c r="T2379" s="4"/>
      <c r="U2379" s="4"/>
      <c r="V2379" s="4"/>
      <c r="W2379" s="4"/>
      <c r="X2379" s="4"/>
    </row>
    <row r="2380" spans="17:24" x14ac:dyDescent="0.3">
      <c r="Q2380" s="4"/>
      <c r="R2380" s="4"/>
      <c r="S2380" s="4"/>
      <c r="T2380" s="4"/>
      <c r="U2380" s="4"/>
      <c r="V2380" s="4"/>
      <c r="W2380" s="4"/>
      <c r="X2380" s="4"/>
    </row>
    <row r="2381" spans="17:24" x14ac:dyDescent="0.3">
      <c r="Q2381" s="4"/>
      <c r="R2381" s="4"/>
      <c r="S2381" s="4"/>
      <c r="T2381" s="4"/>
      <c r="U2381" s="4"/>
      <c r="V2381" s="4"/>
      <c r="W2381" s="4"/>
      <c r="X2381" s="4"/>
    </row>
    <row r="2382" spans="17:24" x14ac:dyDescent="0.3">
      <c r="Q2382" s="4"/>
      <c r="R2382" s="4"/>
      <c r="S2382" s="4"/>
      <c r="T2382" s="4"/>
      <c r="U2382" s="4"/>
      <c r="V2382" s="4"/>
      <c r="W2382" s="4"/>
      <c r="X2382" s="4"/>
    </row>
    <row r="2383" spans="17:24" x14ac:dyDescent="0.3">
      <c r="Q2383" s="4"/>
      <c r="R2383" s="4"/>
      <c r="S2383" s="4"/>
      <c r="T2383" s="4"/>
      <c r="U2383" s="4"/>
      <c r="V2383" s="4"/>
      <c r="W2383" s="4"/>
      <c r="X2383" s="4"/>
    </row>
    <row r="2384" spans="17:24" x14ac:dyDescent="0.3">
      <c r="Q2384" s="4"/>
      <c r="R2384" s="4"/>
      <c r="S2384" s="4"/>
      <c r="T2384" s="4"/>
      <c r="U2384" s="4"/>
      <c r="V2384" s="4"/>
      <c r="W2384" s="4"/>
      <c r="X2384" s="4"/>
    </row>
    <row r="2385" spans="17:24" x14ac:dyDescent="0.3">
      <c r="Q2385" s="4"/>
      <c r="R2385" s="4"/>
      <c r="S2385" s="4"/>
      <c r="T2385" s="4"/>
      <c r="U2385" s="4"/>
      <c r="V2385" s="4"/>
      <c r="W2385" s="4"/>
      <c r="X2385" s="4"/>
    </row>
    <row r="2386" spans="17:24" x14ac:dyDescent="0.3">
      <c r="Q2386" s="4"/>
      <c r="R2386" s="4"/>
      <c r="S2386" s="4"/>
      <c r="T2386" s="4"/>
      <c r="U2386" s="4"/>
      <c r="V2386" s="4"/>
      <c r="W2386" s="4"/>
      <c r="X2386" s="4"/>
    </row>
    <row r="2387" spans="17:24" x14ac:dyDescent="0.3">
      <c r="Q2387" s="4"/>
      <c r="R2387" s="4"/>
      <c r="S2387" s="4"/>
      <c r="T2387" s="4"/>
      <c r="U2387" s="4"/>
      <c r="V2387" s="4"/>
      <c r="W2387" s="4"/>
      <c r="X2387" s="4"/>
    </row>
    <row r="2388" spans="17:24" x14ac:dyDescent="0.3">
      <c r="Q2388" s="4"/>
      <c r="R2388" s="4"/>
      <c r="S2388" s="4"/>
      <c r="T2388" s="4"/>
      <c r="U2388" s="4"/>
      <c r="V2388" s="4"/>
      <c r="W2388" s="4"/>
      <c r="X2388" s="4"/>
    </row>
    <row r="2389" spans="17:24" x14ac:dyDescent="0.3">
      <c r="Q2389" s="4"/>
      <c r="R2389" s="4"/>
      <c r="S2389" s="4"/>
      <c r="T2389" s="4"/>
      <c r="U2389" s="4"/>
      <c r="V2389" s="4"/>
      <c r="W2389" s="4"/>
      <c r="X2389" s="4"/>
    </row>
    <row r="2390" spans="17:24" x14ac:dyDescent="0.3">
      <c r="Q2390" s="4"/>
      <c r="R2390" s="4"/>
      <c r="S2390" s="4"/>
      <c r="T2390" s="4"/>
      <c r="U2390" s="4"/>
      <c r="V2390" s="4"/>
      <c r="W2390" s="4"/>
      <c r="X2390" s="4"/>
    </row>
    <row r="2391" spans="17:24" x14ac:dyDescent="0.3">
      <c r="Q2391" s="4"/>
      <c r="R2391" s="4"/>
      <c r="S2391" s="4"/>
      <c r="T2391" s="4"/>
      <c r="U2391" s="4"/>
      <c r="V2391" s="4"/>
      <c r="W2391" s="4"/>
      <c r="X2391" s="4"/>
    </row>
    <row r="2392" spans="17:24" x14ac:dyDescent="0.3">
      <c r="Q2392" s="4"/>
      <c r="R2392" s="4"/>
      <c r="S2392" s="4"/>
      <c r="T2392" s="4"/>
      <c r="U2392" s="4"/>
      <c r="V2392" s="4"/>
      <c r="W2392" s="4"/>
      <c r="X2392" s="4"/>
    </row>
    <row r="2393" spans="17:24" x14ac:dyDescent="0.3">
      <c r="Q2393" s="4"/>
      <c r="R2393" s="4"/>
      <c r="S2393" s="4"/>
      <c r="T2393" s="4"/>
      <c r="U2393" s="4"/>
      <c r="V2393" s="4"/>
      <c r="W2393" s="4"/>
      <c r="X2393" s="4"/>
    </row>
    <row r="2394" spans="17:24" x14ac:dyDescent="0.3">
      <c r="Q2394" s="4"/>
      <c r="R2394" s="4"/>
      <c r="S2394" s="4"/>
      <c r="T2394" s="4"/>
      <c r="U2394" s="4"/>
      <c r="V2394" s="4"/>
      <c r="W2394" s="4"/>
      <c r="X2394" s="4"/>
    </row>
    <row r="2395" spans="17:24" x14ac:dyDescent="0.3">
      <c r="Q2395" s="4"/>
      <c r="R2395" s="4"/>
      <c r="S2395" s="4"/>
      <c r="T2395" s="4"/>
      <c r="U2395" s="4"/>
      <c r="V2395" s="4"/>
      <c r="W2395" s="4"/>
      <c r="X2395" s="4"/>
    </row>
    <row r="2396" spans="17:24" x14ac:dyDescent="0.3">
      <c r="Q2396" s="4"/>
      <c r="R2396" s="4"/>
      <c r="S2396" s="4"/>
      <c r="T2396" s="4"/>
      <c r="U2396" s="4"/>
      <c r="V2396" s="4"/>
      <c r="W2396" s="4"/>
      <c r="X2396" s="4"/>
    </row>
    <row r="2397" spans="17:24" x14ac:dyDescent="0.3">
      <c r="Q2397" s="4"/>
      <c r="R2397" s="4"/>
      <c r="S2397" s="4"/>
      <c r="T2397" s="4"/>
      <c r="U2397" s="4"/>
      <c r="V2397" s="4"/>
      <c r="W2397" s="4"/>
      <c r="X2397" s="4"/>
    </row>
    <row r="2398" spans="17:24" x14ac:dyDescent="0.3">
      <c r="Q2398" s="4"/>
      <c r="R2398" s="4"/>
      <c r="S2398" s="4"/>
      <c r="T2398" s="4"/>
      <c r="U2398" s="4"/>
      <c r="V2398" s="4"/>
      <c r="W2398" s="4"/>
      <c r="X2398" s="4"/>
    </row>
    <row r="2399" spans="17:24" x14ac:dyDescent="0.3">
      <c r="Q2399" s="4"/>
      <c r="R2399" s="4"/>
      <c r="S2399" s="4"/>
      <c r="T2399" s="4"/>
      <c r="U2399" s="4"/>
      <c r="V2399" s="4"/>
      <c r="W2399" s="4"/>
      <c r="X2399" s="4"/>
    </row>
    <row r="2400" spans="17:24" x14ac:dyDescent="0.3">
      <c r="Q2400" s="4"/>
      <c r="R2400" s="4"/>
      <c r="S2400" s="4"/>
      <c r="T2400" s="4"/>
      <c r="U2400" s="4"/>
      <c r="V2400" s="4"/>
      <c r="W2400" s="4"/>
      <c r="X2400" s="4"/>
    </row>
    <row r="2401" spans="17:24" x14ac:dyDescent="0.3">
      <c r="Q2401" s="4"/>
      <c r="R2401" s="4"/>
      <c r="S2401" s="4"/>
      <c r="T2401" s="4"/>
      <c r="U2401" s="4"/>
      <c r="V2401" s="4"/>
      <c r="W2401" s="4"/>
      <c r="X2401" s="4"/>
    </row>
    <row r="2402" spans="17:24" x14ac:dyDescent="0.3">
      <c r="Q2402" s="4"/>
      <c r="R2402" s="4"/>
      <c r="S2402" s="4"/>
      <c r="T2402" s="4"/>
      <c r="U2402" s="4"/>
      <c r="V2402" s="4"/>
      <c r="W2402" s="4"/>
      <c r="X2402" s="4"/>
    </row>
    <row r="2403" spans="17:24" x14ac:dyDescent="0.3">
      <c r="Q2403" s="4"/>
      <c r="R2403" s="4"/>
      <c r="S2403" s="4"/>
      <c r="T2403" s="4"/>
      <c r="U2403" s="4"/>
      <c r="V2403" s="4"/>
      <c r="W2403" s="4"/>
      <c r="X2403" s="4"/>
    </row>
    <row r="2404" spans="17:24" x14ac:dyDescent="0.3">
      <c r="Q2404" s="4"/>
      <c r="R2404" s="4"/>
      <c r="S2404" s="4"/>
      <c r="T2404" s="4"/>
      <c r="U2404" s="4"/>
      <c r="V2404" s="4"/>
      <c r="W2404" s="4"/>
      <c r="X2404" s="4"/>
    </row>
    <row r="2405" spans="17:24" x14ac:dyDescent="0.3">
      <c r="Q2405" s="4"/>
      <c r="R2405" s="4"/>
      <c r="S2405" s="4"/>
      <c r="T2405" s="4"/>
      <c r="U2405" s="4"/>
      <c r="V2405" s="4"/>
      <c r="W2405" s="4"/>
      <c r="X2405" s="4"/>
    </row>
    <row r="2406" spans="17:24" x14ac:dyDescent="0.3">
      <c r="Q2406" s="4"/>
      <c r="R2406" s="4"/>
      <c r="S2406" s="4"/>
      <c r="T2406" s="4"/>
      <c r="U2406" s="4"/>
      <c r="V2406" s="4"/>
      <c r="W2406" s="4"/>
      <c r="X2406" s="4"/>
    </row>
    <row r="2407" spans="17:24" x14ac:dyDescent="0.3">
      <c r="Q2407" s="4"/>
      <c r="R2407" s="4"/>
      <c r="S2407" s="4"/>
      <c r="T2407" s="4"/>
      <c r="U2407" s="4"/>
      <c r="V2407" s="4"/>
      <c r="W2407" s="4"/>
      <c r="X2407" s="4"/>
    </row>
    <row r="2408" spans="17:24" x14ac:dyDescent="0.3">
      <c r="Q2408" s="4"/>
      <c r="R2408" s="4"/>
      <c r="S2408" s="4"/>
      <c r="T2408" s="4"/>
      <c r="U2408" s="4"/>
      <c r="V2408" s="4"/>
      <c r="W2408" s="4"/>
      <c r="X2408" s="4"/>
    </row>
    <row r="2409" spans="17:24" x14ac:dyDescent="0.3">
      <c r="Q2409" s="4"/>
      <c r="R2409" s="4"/>
      <c r="S2409" s="4"/>
      <c r="T2409" s="4"/>
      <c r="U2409" s="4"/>
      <c r="V2409" s="4"/>
      <c r="W2409" s="4"/>
      <c r="X2409" s="4"/>
    </row>
    <row r="2410" spans="17:24" x14ac:dyDescent="0.3">
      <c r="Q2410" s="4"/>
      <c r="R2410" s="4"/>
      <c r="S2410" s="4"/>
      <c r="T2410" s="4"/>
      <c r="U2410" s="4"/>
      <c r="V2410" s="4"/>
      <c r="W2410" s="4"/>
      <c r="X2410" s="4"/>
    </row>
    <row r="2411" spans="17:24" x14ac:dyDescent="0.3">
      <c r="Q2411" s="4"/>
      <c r="R2411" s="4"/>
      <c r="S2411" s="4"/>
      <c r="T2411" s="4"/>
      <c r="U2411" s="4"/>
      <c r="V2411" s="4"/>
      <c r="W2411" s="4"/>
      <c r="X2411" s="4"/>
    </row>
    <row r="2412" spans="17:24" x14ac:dyDescent="0.3">
      <c r="Q2412" s="4"/>
      <c r="R2412" s="4"/>
      <c r="S2412" s="4"/>
      <c r="T2412" s="4"/>
      <c r="U2412" s="4"/>
      <c r="V2412" s="4"/>
      <c r="W2412" s="4"/>
      <c r="X2412" s="4"/>
    </row>
    <row r="2413" spans="17:24" x14ac:dyDescent="0.3">
      <c r="Q2413" s="4"/>
      <c r="R2413" s="4"/>
      <c r="S2413" s="4"/>
      <c r="T2413" s="4"/>
      <c r="U2413" s="4"/>
      <c r="V2413" s="4"/>
      <c r="W2413" s="4"/>
      <c r="X2413" s="4"/>
    </row>
    <row r="2414" spans="17:24" x14ac:dyDescent="0.3">
      <c r="Q2414" s="4"/>
      <c r="R2414" s="4"/>
      <c r="S2414" s="4"/>
      <c r="T2414" s="4"/>
      <c r="U2414" s="4"/>
      <c r="V2414" s="4"/>
      <c r="W2414" s="4"/>
      <c r="X2414" s="4"/>
    </row>
    <row r="2415" spans="17:24" x14ac:dyDescent="0.3">
      <c r="Q2415" s="4"/>
      <c r="R2415" s="4"/>
      <c r="S2415" s="4"/>
      <c r="T2415" s="4"/>
      <c r="U2415" s="4"/>
      <c r="V2415" s="4"/>
      <c r="W2415" s="4"/>
      <c r="X2415" s="4"/>
    </row>
    <row r="2416" spans="17:24" x14ac:dyDescent="0.3">
      <c r="Q2416" s="4"/>
      <c r="R2416" s="4"/>
      <c r="S2416" s="4"/>
      <c r="T2416" s="4"/>
      <c r="U2416" s="4"/>
      <c r="V2416" s="4"/>
      <c r="W2416" s="4"/>
      <c r="X2416" s="4"/>
    </row>
    <row r="2417" spans="17:24" x14ac:dyDescent="0.3">
      <c r="Q2417" s="4"/>
      <c r="R2417" s="4"/>
      <c r="S2417" s="4"/>
      <c r="T2417" s="4"/>
      <c r="U2417" s="4"/>
      <c r="V2417" s="4"/>
      <c r="W2417" s="4"/>
      <c r="X2417" s="4"/>
    </row>
    <row r="2418" spans="17:24" x14ac:dyDescent="0.3">
      <c r="Q2418" s="4"/>
      <c r="R2418" s="4"/>
      <c r="S2418" s="4"/>
      <c r="T2418" s="4"/>
      <c r="U2418" s="4"/>
      <c r="V2418" s="4"/>
      <c r="W2418" s="4"/>
      <c r="X2418" s="4"/>
    </row>
    <row r="2419" spans="17:24" x14ac:dyDescent="0.3">
      <c r="Q2419" s="4"/>
      <c r="R2419" s="4"/>
      <c r="S2419" s="4"/>
      <c r="T2419" s="4"/>
      <c r="U2419" s="4"/>
      <c r="V2419" s="4"/>
      <c r="W2419" s="4"/>
      <c r="X2419" s="4"/>
    </row>
    <row r="2420" spans="17:24" x14ac:dyDescent="0.3">
      <c r="Q2420" s="4"/>
      <c r="R2420" s="4"/>
      <c r="S2420" s="4"/>
      <c r="T2420" s="4"/>
      <c r="U2420" s="4"/>
      <c r="V2420" s="4"/>
      <c r="W2420" s="4"/>
      <c r="X2420" s="4"/>
    </row>
    <row r="2421" spans="17:24" x14ac:dyDescent="0.3">
      <c r="Q2421" s="4"/>
      <c r="R2421" s="4"/>
      <c r="S2421" s="4"/>
      <c r="T2421" s="4"/>
      <c r="U2421" s="4"/>
      <c r="V2421" s="4"/>
      <c r="W2421" s="4"/>
      <c r="X2421" s="4"/>
    </row>
    <row r="2422" spans="17:24" x14ac:dyDescent="0.3">
      <c r="Q2422" s="4"/>
      <c r="R2422" s="4"/>
      <c r="S2422" s="4"/>
      <c r="T2422" s="4"/>
      <c r="U2422" s="4"/>
      <c r="V2422" s="4"/>
      <c r="W2422" s="4"/>
      <c r="X2422" s="4"/>
    </row>
    <row r="2423" spans="17:24" x14ac:dyDescent="0.3">
      <c r="Q2423" s="4"/>
      <c r="R2423" s="4"/>
      <c r="S2423" s="4"/>
      <c r="T2423" s="4"/>
      <c r="U2423" s="4"/>
      <c r="V2423" s="4"/>
      <c r="W2423" s="4"/>
      <c r="X2423" s="4"/>
    </row>
    <row r="2424" spans="17:24" x14ac:dyDescent="0.3">
      <c r="Q2424" s="4"/>
      <c r="R2424" s="4"/>
      <c r="S2424" s="4"/>
      <c r="T2424" s="4"/>
      <c r="U2424" s="4"/>
      <c r="V2424" s="4"/>
      <c r="W2424" s="4"/>
      <c r="X2424" s="4"/>
    </row>
    <row r="2425" spans="17:24" x14ac:dyDescent="0.3">
      <c r="Q2425" s="4"/>
      <c r="R2425" s="4"/>
      <c r="S2425" s="4"/>
      <c r="T2425" s="4"/>
      <c r="U2425" s="4"/>
      <c r="V2425" s="4"/>
      <c r="W2425" s="4"/>
      <c r="X2425" s="4"/>
    </row>
    <row r="2426" spans="17:24" x14ac:dyDescent="0.3">
      <c r="Q2426" s="4"/>
      <c r="R2426" s="4"/>
      <c r="S2426" s="4"/>
      <c r="T2426" s="4"/>
      <c r="U2426" s="4"/>
      <c r="V2426" s="4"/>
      <c r="W2426" s="4"/>
      <c r="X2426" s="4"/>
    </row>
    <row r="2427" spans="17:24" x14ac:dyDescent="0.3">
      <c r="Q2427" s="4"/>
      <c r="R2427" s="4"/>
      <c r="S2427" s="4"/>
      <c r="T2427" s="4"/>
      <c r="U2427" s="4"/>
      <c r="V2427" s="4"/>
      <c r="W2427" s="4"/>
      <c r="X2427" s="4"/>
    </row>
    <row r="2428" spans="17:24" x14ac:dyDescent="0.3">
      <c r="Q2428" s="4"/>
      <c r="R2428" s="4"/>
      <c r="S2428" s="4"/>
      <c r="T2428" s="4"/>
      <c r="U2428" s="4"/>
      <c r="V2428" s="4"/>
      <c r="W2428" s="4"/>
      <c r="X2428" s="4"/>
    </row>
    <row r="2429" spans="17:24" x14ac:dyDescent="0.3">
      <c r="Q2429" s="4"/>
      <c r="R2429" s="4"/>
      <c r="S2429" s="4"/>
      <c r="T2429" s="4"/>
      <c r="U2429" s="4"/>
      <c r="V2429" s="4"/>
      <c r="W2429" s="4"/>
      <c r="X2429" s="4"/>
    </row>
    <row r="2430" spans="17:24" x14ac:dyDescent="0.3">
      <c r="Q2430" s="4"/>
      <c r="R2430" s="4"/>
      <c r="S2430" s="4"/>
      <c r="T2430" s="4"/>
      <c r="U2430" s="4"/>
      <c r="V2430" s="4"/>
      <c r="W2430" s="4"/>
      <c r="X2430" s="4"/>
    </row>
    <row r="2431" spans="17:24" x14ac:dyDescent="0.3">
      <c r="Q2431" s="4"/>
      <c r="R2431" s="4"/>
      <c r="S2431" s="4"/>
      <c r="T2431" s="4"/>
      <c r="U2431" s="4"/>
      <c r="V2431" s="4"/>
      <c r="W2431" s="4"/>
      <c r="X2431" s="4"/>
    </row>
    <row r="2432" spans="17:24" x14ac:dyDescent="0.3">
      <c r="Q2432" s="4"/>
      <c r="R2432" s="4"/>
      <c r="S2432" s="4"/>
      <c r="T2432" s="4"/>
      <c r="U2432" s="4"/>
      <c r="V2432" s="4"/>
      <c r="W2432" s="4"/>
      <c r="X2432" s="4"/>
    </row>
    <row r="2433" spans="17:24" x14ac:dyDescent="0.3">
      <c r="Q2433" s="4"/>
      <c r="R2433" s="4"/>
      <c r="S2433" s="4"/>
      <c r="T2433" s="4"/>
      <c r="U2433" s="4"/>
      <c r="V2433" s="4"/>
      <c r="W2433" s="4"/>
      <c r="X2433" s="4"/>
    </row>
    <row r="2434" spans="17:24" x14ac:dyDescent="0.3">
      <c r="Q2434" s="4"/>
      <c r="R2434" s="4"/>
      <c r="S2434" s="4"/>
      <c r="T2434" s="4"/>
      <c r="U2434" s="4"/>
      <c r="V2434" s="4"/>
      <c r="W2434" s="4"/>
      <c r="X2434" s="4"/>
    </row>
    <row r="2435" spans="17:24" x14ac:dyDescent="0.3">
      <c r="Q2435" s="4"/>
      <c r="R2435" s="4"/>
      <c r="S2435" s="4"/>
      <c r="T2435" s="4"/>
      <c r="U2435" s="4"/>
      <c r="V2435" s="4"/>
      <c r="W2435" s="4"/>
      <c r="X2435" s="4"/>
    </row>
    <row r="2436" spans="17:24" x14ac:dyDescent="0.3">
      <c r="Q2436" s="4"/>
      <c r="R2436" s="4"/>
      <c r="S2436" s="4"/>
      <c r="T2436" s="4"/>
      <c r="U2436" s="4"/>
      <c r="V2436" s="4"/>
      <c r="W2436" s="4"/>
      <c r="X2436" s="4"/>
    </row>
    <row r="2437" spans="17:24" x14ac:dyDescent="0.3">
      <c r="Q2437" s="4"/>
      <c r="R2437" s="4"/>
      <c r="S2437" s="4"/>
      <c r="T2437" s="4"/>
      <c r="U2437" s="4"/>
      <c r="V2437" s="4"/>
      <c r="W2437" s="4"/>
      <c r="X2437" s="4"/>
    </row>
    <row r="2438" spans="17:24" x14ac:dyDescent="0.3">
      <c r="Q2438" s="4"/>
      <c r="R2438" s="4"/>
      <c r="S2438" s="4"/>
      <c r="T2438" s="4"/>
      <c r="U2438" s="4"/>
      <c r="V2438" s="4"/>
      <c r="W2438" s="4"/>
      <c r="X2438" s="4"/>
    </row>
    <row r="2439" spans="17:24" x14ac:dyDescent="0.3">
      <c r="Q2439" s="4"/>
      <c r="R2439" s="4"/>
      <c r="S2439" s="4"/>
      <c r="T2439" s="4"/>
      <c r="U2439" s="4"/>
      <c r="V2439" s="4"/>
      <c r="W2439" s="4"/>
      <c r="X2439" s="4"/>
    </row>
    <row r="2440" spans="17:24" x14ac:dyDescent="0.3">
      <c r="Q2440" s="4"/>
      <c r="R2440" s="4"/>
      <c r="S2440" s="4"/>
      <c r="T2440" s="4"/>
      <c r="U2440" s="4"/>
      <c r="V2440" s="4"/>
      <c r="W2440" s="4"/>
      <c r="X2440" s="4"/>
    </row>
    <row r="2441" spans="17:24" x14ac:dyDescent="0.3">
      <c r="Q2441" s="4"/>
      <c r="R2441" s="4"/>
      <c r="S2441" s="4"/>
      <c r="T2441" s="4"/>
      <c r="U2441" s="4"/>
      <c r="V2441" s="4"/>
      <c r="W2441" s="4"/>
      <c r="X2441" s="4"/>
    </row>
    <row r="2442" spans="17:24" x14ac:dyDescent="0.3">
      <c r="Q2442" s="4"/>
      <c r="R2442" s="4"/>
      <c r="S2442" s="4"/>
      <c r="T2442" s="4"/>
      <c r="U2442" s="4"/>
      <c r="V2442" s="4"/>
      <c r="W2442" s="4"/>
      <c r="X2442" s="4"/>
    </row>
    <row r="2443" spans="17:24" x14ac:dyDescent="0.3">
      <c r="Q2443" s="4"/>
      <c r="R2443" s="4"/>
      <c r="S2443" s="4"/>
      <c r="T2443" s="4"/>
      <c r="U2443" s="4"/>
      <c r="V2443" s="4"/>
      <c r="W2443" s="4"/>
      <c r="X2443" s="4"/>
    </row>
    <row r="2444" spans="17:24" x14ac:dyDescent="0.3">
      <c r="Q2444" s="4"/>
      <c r="R2444" s="4"/>
      <c r="S2444" s="4"/>
      <c r="T2444" s="4"/>
      <c r="U2444" s="4"/>
      <c r="V2444" s="4"/>
      <c r="W2444" s="4"/>
      <c r="X2444" s="4"/>
    </row>
    <row r="2445" spans="17:24" x14ac:dyDescent="0.3">
      <c r="Q2445" s="4"/>
      <c r="R2445" s="4"/>
      <c r="S2445" s="4"/>
      <c r="T2445" s="4"/>
      <c r="U2445" s="4"/>
      <c r="V2445" s="4"/>
      <c r="W2445" s="4"/>
      <c r="X2445" s="4"/>
    </row>
    <row r="2446" spans="17:24" x14ac:dyDescent="0.3">
      <c r="Q2446" s="4"/>
      <c r="R2446" s="4"/>
      <c r="S2446" s="4"/>
      <c r="T2446" s="4"/>
      <c r="U2446" s="4"/>
      <c r="V2446" s="4"/>
      <c r="W2446" s="4"/>
      <c r="X2446" s="4"/>
    </row>
    <row r="2447" spans="17:24" x14ac:dyDescent="0.3">
      <c r="Q2447" s="4"/>
      <c r="R2447" s="4"/>
      <c r="S2447" s="4"/>
      <c r="T2447" s="4"/>
      <c r="U2447" s="4"/>
      <c r="V2447" s="4"/>
      <c r="W2447" s="4"/>
      <c r="X2447" s="4"/>
    </row>
    <row r="2448" spans="17:24" x14ac:dyDescent="0.3">
      <c r="Q2448" s="4"/>
      <c r="R2448" s="4"/>
      <c r="S2448" s="4"/>
      <c r="T2448" s="4"/>
      <c r="U2448" s="4"/>
      <c r="V2448" s="4"/>
      <c r="W2448" s="4"/>
      <c r="X2448" s="4"/>
    </row>
    <row r="2449" spans="17:24" x14ac:dyDescent="0.3">
      <c r="Q2449" s="4"/>
      <c r="R2449" s="4"/>
      <c r="S2449" s="4"/>
      <c r="T2449" s="4"/>
      <c r="U2449" s="4"/>
      <c r="V2449" s="4"/>
      <c r="W2449" s="4"/>
      <c r="X2449" s="4"/>
    </row>
    <row r="2450" spans="17:24" x14ac:dyDescent="0.3">
      <c r="Q2450" s="4"/>
      <c r="R2450" s="4"/>
      <c r="S2450" s="4"/>
      <c r="T2450" s="4"/>
      <c r="U2450" s="4"/>
      <c r="V2450" s="4"/>
      <c r="W2450" s="4"/>
      <c r="X2450" s="4"/>
    </row>
    <row r="2451" spans="17:24" x14ac:dyDescent="0.3">
      <c r="Q2451" s="4"/>
      <c r="R2451" s="4"/>
      <c r="S2451" s="4"/>
      <c r="T2451" s="4"/>
      <c r="U2451" s="4"/>
      <c r="V2451" s="4"/>
      <c r="W2451" s="4"/>
      <c r="X2451" s="4"/>
    </row>
    <row r="2452" spans="17:24" x14ac:dyDescent="0.3">
      <c r="Q2452" s="4"/>
      <c r="R2452" s="4"/>
      <c r="S2452" s="4"/>
      <c r="T2452" s="4"/>
      <c r="U2452" s="4"/>
      <c r="V2452" s="4"/>
      <c r="W2452" s="4"/>
      <c r="X2452" s="4"/>
    </row>
    <row r="2453" spans="17:24" x14ac:dyDescent="0.3">
      <c r="Q2453" s="4"/>
      <c r="R2453" s="4"/>
      <c r="S2453" s="4"/>
      <c r="T2453" s="4"/>
      <c r="U2453" s="4"/>
      <c r="V2453" s="4"/>
      <c r="W2453" s="4"/>
      <c r="X2453" s="4"/>
    </row>
    <row r="2454" spans="17:24" x14ac:dyDescent="0.3">
      <c r="Q2454" s="4"/>
      <c r="R2454" s="4"/>
      <c r="S2454" s="4"/>
      <c r="T2454" s="4"/>
      <c r="U2454" s="4"/>
      <c r="V2454" s="4"/>
      <c r="W2454" s="4"/>
      <c r="X2454" s="4"/>
    </row>
    <row r="2455" spans="17:24" x14ac:dyDescent="0.3">
      <c r="Q2455" s="4"/>
      <c r="R2455" s="4"/>
      <c r="S2455" s="4"/>
      <c r="T2455" s="4"/>
      <c r="U2455" s="4"/>
      <c r="V2455" s="4"/>
      <c r="W2455" s="4"/>
      <c r="X2455" s="4"/>
    </row>
    <row r="2456" spans="17:24" x14ac:dyDescent="0.3">
      <c r="Q2456" s="4"/>
      <c r="R2456" s="4"/>
      <c r="S2456" s="4"/>
      <c r="T2456" s="4"/>
      <c r="U2456" s="4"/>
      <c r="V2456" s="4"/>
      <c r="W2456" s="4"/>
      <c r="X2456" s="4"/>
    </row>
    <row r="2457" spans="17:24" x14ac:dyDescent="0.3">
      <c r="Q2457" s="4"/>
      <c r="R2457" s="4"/>
      <c r="S2457" s="4"/>
      <c r="T2457" s="4"/>
      <c r="U2457" s="4"/>
      <c r="V2457" s="4"/>
      <c r="W2457" s="4"/>
      <c r="X2457" s="4"/>
    </row>
    <row r="2458" spans="17:24" x14ac:dyDescent="0.3">
      <c r="Q2458" s="4"/>
      <c r="R2458" s="4"/>
      <c r="S2458" s="4"/>
      <c r="T2458" s="4"/>
      <c r="U2458" s="4"/>
      <c r="V2458" s="4"/>
      <c r="W2458" s="4"/>
      <c r="X2458" s="4"/>
    </row>
    <row r="2459" spans="17:24" x14ac:dyDescent="0.3">
      <c r="Q2459" s="4"/>
      <c r="R2459" s="4"/>
      <c r="S2459" s="4"/>
      <c r="T2459" s="4"/>
      <c r="U2459" s="4"/>
      <c r="V2459" s="4"/>
      <c r="W2459" s="4"/>
      <c r="X2459" s="4"/>
    </row>
    <row r="2460" spans="17:24" x14ac:dyDescent="0.3">
      <c r="Q2460" s="4"/>
      <c r="R2460" s="4"/>
      <c r="S2460" s="4"/>
      <c r="T2460" s="4"/>
      <c r="U2460" s="4"/>
      <c r="V2460" s="4"/>
      <c r="W2460" s="4"/>
      <c r="X2460" s="4"/>
    </row>
    <row r="2461" spans="17:24" x14ac:dyDescent="0.3">
      <c r="Q2461" s="4"/>
      <c r="R2461" s="4"/>
      <c r="S2461" s="4"/>
      <c r="T2461" s="4"/>
      <c r="U2461" s="4"/>
      <c r="V2461" s="4"/>
      <c r="W2461" s="4"/>
      <c r="X2461" s="4"/>
    </row>
    <row r="2462" spans="17:24" x14ac:dyDescent="0.3">
      <c r="Q2462" s="4"/>
      <c r="R2462" s="4"/>
      <c r="S2462" s="4"/>
      <c r="T2462" s="4"/>
      <c r="U2462" s="4"/>
      <c r="V2462" s="4"/>
      <c r="W2462" s="4"/>
      <c r="X2462" s="4"/>
    </row>
    <row r="2463" spans="17:24" x14ac:dyDescent="0.3">
      <c r="Q2463" s="4"/>
      <c r="R2463" s="4"/>
      <c r="S2463" s="4"/>
      <c r="T2463" s="4"/>
      <c r="U2463" s="4"/>
      <c r="V2463" s="4"/>
      <c r="W2463" s="4"/>
      <c r="X2463" s="4"/>
    </row>
    <row r="2464" spans="17:24" x14ac:dyDescent="0.3">
      <c r="Q2464" s="4"/>
      <c r="R2464" s="4"/>
      <c r="S2464" s="4"/>
      <c r="T2464" s="4"/>
      <c r="U2464" s="4"/>
      <c r="V2464" s="4"/>
      <c r="W2464" s="4"/>
      <c r="X2464" s="4"/>
    </row>
    <row r="2465" spans="17:24" x14ac:dyDescent="0.3">
      <c r="Q2465" s="4"/>
      <c r="R2465" s="4"/>
      <c r="S2465" s="4"/>
      <c r="T2465" s="4"/>
      <c r="U2465" s="4"/>
      <c r="V2465" s="4"/>
      <c r="W2465" s="4"/>
      <c r="X2465" s="4"/>
    </row>
    <row r="2466" spans="17:24" x14ac:dyDescent="0.3">
      <c r="Q2466" s="4"/>
      <c r="R2466" s="4"/>
      <c r="S2466" s="4"/>
      <c r="T2466" s="4"/>
      <c r="U2466" s="4"/>
      <c r="V2466" s="4"/>
      <c r="W2466" s="4"/>
      <c r="X2466" s="4"/>
    </row>
    <row r="2467" spans="17:24" x14ac:dyDescent="0.3">
      <c r="Q2467" s="4"/>
      <c r="R2467" s="4"/>
      <c r="S2467" s="4"/>
      <c r="T2467" s="4"/>
      <c r="U2467" s="4"/>
      <c r="V2467" s="4"/>
      <c r="W2467" s="4"/>
      <c r="X2467" s="4"/>
    </row>
    <row r="2468" spans="17:24" x14ac:dyDescent="0.3">
      <c r="Q2468" s="4"/>
      <c r="R2468" s="4"/>
      <c r="S2468" s="4"/>
      <c r="T2468" s="4"/>
      <c r="U2468" s="4"/>
      <c r="V2468" s="4"/>
      <c r="W2468" s="4"/>
      <c r="X2468" s="4"/>
    </row>
    <row r="2469" spans="17:24" x14ac:dyDescent="0.3">
      <c r="Q2469" s="4"/>
      <c r="R2469" s="4"/>
      <c r="S2469" s="4"/>
      <c r="T2469" s="4"/>
      <c r="U2469" s="4"/>
      <c r="V2469" s="4"/>
      <c r="W2469" s="4"/>
      <c r="X2469" s="4"/>
    </row>
    <row r="2470" spans="17:24" x14ac:dyDescent="0.3">
      <c r="Q2470" s="4"/>
      <c r="R2470" s="4"/>
      <c r="S2470" s="4"/>
      <c r="T2470" s="4"/>
      <c r="U2470" s="4"/>
      <c r="V2470" s="4"/>
      <c r="W2470" s="4"/>
      <c r="X2470" s="4"/>
    </row>
    <row r="2471" spans="17:24" x14ac:dyDescent="0.3">
      <c r="Q2471" s="4"/>
      <c r="R2471" s="4"/>
      <c r="S2471" s="4"/>
      <c r="T2471" s="4"/>
      <c r="U2471" s="4"/>
      <c r="V2471" s="4"/>
      <c r="W2471" s="4"/>
      <c r="X2471" s="4"/>
    </row>
    <row r="2472" spans="17:24" x14ac:dyDescent="0.3">
      <c r="Q2472" s="4"/>
      <c r="R2472" s="4"/>
      <c r="S2472" s="4"/>
      <c r="T2472" s="4"/>
      <c r="U2472" s="4"/>
      <c r="V2472" s="4"/>
      <c r="W2472" s="4"/>
      <c r="X2472" s="4"/>
    </row>
    <row r="2473" spans="17:24" x14ac:dyDescent="0.3">
      <c r="Q2473" s="4"/>
      <c r="R2473" s="4"/>
      <c r="S2473" s="4"/>
      <c r="T2473" s="4"/>
      <c r="U2473" s="4"/>
      <c r="V2473" s="4"/>
      <c r="W2473" s="4"/>
      <c r="X2473" s="4"/>
    </row>
    <row r="2474" spans="17:24" x14ac:dyDescent="0.3">
      <c r="Q2474" s="4"/>
      <c r="R2474" s="4"/>
      <c r="S2474" s="4"/>
      <c r="T2474" s="4"/>
      <c r="U2474" s="4"/>
      <c r="V2474" s="4"/>
      <c r="W2474" s="4"/>
      <c r="X2474" s="4"/>
    </row>
    <row r="2475" spans="17:24" x14ac:dyDescent="0.3">
      <c r="Q2475" s="4"/>
      <c r="R2475" s="4"/>
      <c r="S2475" s="4"/>
      <c r="T2475" s="4"/>
      <c r="U2475" s="4"/>
      <c r="V2475" s="4"/>
      <c r="W2475" s="4"/>
      <c r="X2475" s="4"/>
    </row>
    <row r="2476" spans="17:24" x14ac:dyDescent="0.3">
      <c r="Q2476" s="4"/>
      <c r="R2476" s="4"/>
      <c r="S2476" s="4"/>
      <c r="T2476" s="4"/>
      <c r="U2476" s="4"/>
      <c r="V2476" s="4"/>
      <c r="W2476" s="4"/>
      <c r="X2476" s="4"/>
    </row>
    <row r="2477" spans="17:24" x14ac:dyDescent="0.3">
      <c r="Q2477" s="4"/>
      <c r="R2477" s="4"/>
      <c r="S2477" s="4"/>
      <c r="T2477" s="4"/>
      <c r="U2477" s="4"/>
      <c r="V2477" s="4"/>
      <c r="W2477" s="4"/>
      <c r="X2477" s="4"/>
    </row>
    <row r="2478" spans="17:24" x14ac:dyDescent="0.3">
      <c r="Q2478" s="4"/>
      <c r="R2478" s="4"/>
      <c r="S2478" s="4"/>
      <c r="T2478" s="4"/>
      <c r="U2478" s="4"/>
      <c r="V2478" s="4"/>
      <c r="W2478" s="4"/>
      <c r="X2478" s="4"/>
    </row>
    <row r="2479" spans="17:24" x14ac:dyDescent="0.3">
      <c r="Q2479" s="4"/>
      <c r="R2479" s="4"/>
      <c r="S2479" s="4"/>
      <c r="T2479" s="4"/>
      <c r="U2479" s="4"/>
      <c r="V2479" s="4"/>
      <c r="W2479" s="4"/>
      <c r="X2479" s="4"/>
    </row>
    <row r="2480" spans="17:24" x14ac:dyDescent="0.3">
      <c r="Q2480" s="4"/>
      <c r="R2480" s="4"/>
      <c r="S2480" s="4"/>
      <c r="T2480" s="4"/>
      <c r="U2480" s="4"/>
      <c r="V2480" s="4"/>
      <c r="W2480" s="4"/>
      <c r="X2480" s="4"/>
    </row>
    <row r="2481" spans="17:24" x14ac:dyDescent="0.3">
      <c r="Q2481" s="4"/>
      <c r="R2481" s="4"/>
      <c r="S2481" s="4"/>
      <c r="T2481" s="4"/>
      <c r="U2481" s="4"/>
      <c r="V2481" s="4"/>
      <c r="W2481" s="4"/>
      <c r="X2481" s="4"/>
    </row>
    <row r="2482" spans="17:24" x14ac:dyDescent="0.3">
      <c r="Q2482" s="4"/>
      <c r="R2482" s="4"/>
      <c r="S2482" s="4"/>
      <c r="T2482" s="4"/>
      <c r="U2482" s="4"/>
      <c r="V2482" s="4"/>
      <c r="W2482" s="4"/>
      <c r="X2482" s="4"/>
    </row>
    <row r="2483" spans="17:24" x14ac:dyDescent="0.3">
      <c r="Q2483" s="4"/>
      <c r="R2483" s="4"/>
      <c r="S2483" s="4"/>
      <c r="T2483" s="4"/>
      <c r="U2483" s="4"/>
      <c r="V2483" s="4"/>
      <c r="W2483" s="4"/>
      <c r="X2483" s="4"/>
    </row>
    <row r="2484" spans="17:24" x14ac:dyDescent="0.3">
      <c r="Q2484" s="4"/>
      <c r="R2484" s="4"/>
      <c r="S2484" s="4"/>
      <c r="T2484" s="4"/>
      <c r="U2484" s="4"/>
      <c r="V2484" s="4"/>
      <c r="W2484" s="4"/>
      <c r="X2484" s="4"/>
    </row>
    <row r="2485" spans="17:24" x14ac:dyDescent="0.3">
      <c r="Q2485" s="4"/>
      <c r="R2485" s="4"/>
      <c r="S2485" s="4"/>
      <c r="T2485" s="4"/>
      <c r="U2485" s="4"/>
      <c r="V2485" s="4"/>
      <c r="W2485" s="4"/>
      <c r="X2485" s="4"/>
    </row>
    <row r="2486" spans="17:24" x14ac:dyDescent="0.3">
      <c r="Q2486" s="4"/>
      <c r="R2486" s="4"/>
      <c r="S2486" s="4"/>
      <c r="T2486" s="4"/>
      <c r="U2486" s="4"/>
      <c r="V2486" s="4"/>
      <c r="W2486" s="4"/>
      <c r="X2486" s="4"/>
    </row>
    <row r="2487" spans="17:24" x14ac:dyDescent="0.3">
      <c r="Q2487" s="4"/>
      <c r="R2487" s="4"/>
      <c r="S2487" s="4"/>
      <c r="T2487" s="4"/>
      <c r="U2487" s="4"/>
      <c r="V2487" s="4"/>
      <c r="W2487" s="4"/>
      <c r="X2487" s="4"/>
    </row>
    <row r="2488" spans="17:24" x14ac:dyDescent="0.3">
      <c r="Q2488" s="4"/>
      <c r="R2488" s="4"/>
      <c r="S2488" s="4"/>
      <c r="T2488" s="4"/>
      <c r="U2488" s="4"/>
      <c r="V2488" s="4"/>
      <c r="W2488" s="4"/>
      <c r="X2488" s="4"/>
    </row>
    <row r="2489" spans="17:24" x14ac:dyDescent="0.3">
      <c r="Q2489" s="4"/>
      <c r="R2489" s="4"/>
      <c r="S2489" s="4"/>
      <c r="T2489" s="4"/>
      <c r="U2489" s="4"/>
      <c r="V2489" s="4"/>
      <c r="W2489" s="4"/>
      <c r="X2489" s="4"/>
    </row>
    <row r="2490" spans="17:24" x14ac:dyDescent="0.3">
      <c r="Q2490" s="4"/>
      <c r="R2490" s="4"/>
      <c r="S2490" s="4"/>
      <c r="T2490" s="4"/>
      <c r="U2490" s="4"/>
      <c r="V2490" s="4"/>
      <c r="W2490" s="4"/>
      <c r="X2490" s="4"/>
    </row>
    <row r="2491" spans="17:24" x14ac:dyDescent="0.3">
      <c r="Q2491" s="4"/>
      <c r="R2491" s="4"/>
      <c r="S2491" s="4"/>
      <c r="T2491" s="4"/>
      <c r="U2491" s="4"/>
      <c r="V2491" s="4"/>
      <c r="W2491" s="4"/>
      <c r="X2491" s="4"/>
    </row>
    <row r="2492" spans="17:24" x14ac:dyDescent="0.3">
      <c r="Q2492" s="4"/>
      <c r="R2492" s="4"/>
      <c r="S2492" s="4"/>
      <c r="T2492" s="4"/>
      <c r="U2492" s="4"/>
      <c r="V2492" s="4"/>
      <c r="W2492" s="4"/>
      <c r="X2492" s="4"/>
    </row>
    <row r="2493" spans="17:24" x14ac:dyDescent="0.3">
      <c r="Q2493" s="4"/>
      <c r="R2493" s="4"/>
      <c r="S2493" s="4"/>
      <c r="T2493" s="4"/>
      <c r="U2493" s="4"/>
      <c r="V2493" s="4"/>
      <c r="W2493" s="4"/>
      <c r="X2493" s="4"/>
    </row>
    <row r="2494" spans="17:24" x14ac:dyDescent="0.3">
      <c r="Q2494" s="4"/>
      <c r="R2494" s="4"/>
      <c r="S2494" s="4"/>
      <c r="T2494" s="4"/>
      <c r="U2494" s="4"/>
      <c r="V2494" s="4"/>
      <c r="W2494" s="4"/>
      <c r="X2494" s="4"/>
    </row>
    <row r="2495" spans="17:24" x14ac:dyDescent="0.3">
      <c r="Q2495" s="4"/>
      <c r="R2495" s="4"/>
      <c r="S2495" s="4"/>
      <c r="T2495" s="4"/>
      <c r="U2495" s="4"/>
      <c r="V2495" s="4"/>
      <c r="W2495" s="4"/>
      <c r="X2495" s="4"/>
    </row>
    <row r="2496" spans="17:24" x14ac:dyDescent="0.3">
      <c r="Q2496" s="4"/>
      <c r="R2496" s="4"/>
      <c r="S2496" s="4"/>
      <c r="T2496" s="4"/>
      <c r="U2496" s="4"/>
      <c r="V2496" s="4"/>
      <c r="W2496" s="4"/>
      <c r="X2496" s="4"/>
    </row>
    <row r="2497" spans="17:24" x14ac:dyDescent="0.3">
      <c r="Q2497" s="4"/>
      <c r="R2497" s="4"/>
      <c r="S2497" s="4"/>
      <c r="T2497" s="4"/>
      <c r="U2497" s="4"/>
      <c r="V2497" s="4"/>
      <c r="W2497" s="4"/>
      <c r="X2497" s="4"/>
    </row>
    <row r="2498" spans="17:24" x14ac:dyDescent="0.3">
      <c r="Q2498" s="4"/>
      <c r="R2498" s="4"/>
      <c r="S2498" s="4"/>
      <c r="T2498" s="4"/>
      <c r="U2498" s="4"/>
      <c r="V2498" s="4"/>
      <c r="W2498" s="4"/>
      <c r="X2498" s="4"/>
    </row>
    <row r="2499" spans="17:24" x14ac:dyDescent="0.3">
      <c r="Q2499" s="4"/>
      <c r="R2499" s="4"/>
      <c r="S2499" s="4"/>
      <c r="T2499" s="4"/>
      <c r="U2499" s="4"/>
      <c r="V2499" s="4"/>
      <c r="W2499" s="4"/>
      <c r="X2499" s="4"/>
    </row>
    <row r="2500" spans="17:24" x14ac:dyDescent="0.3">
      <c r="Q2500" s="4"/>
      <c r="R2500" s="4"/>
      <c r="S2500" s="4"/>
      <c r="T2500" s="4"/>
      <c r="U2500" s="4"/>
      <c r="V2500" s="4"/>
      <c r="W2500" s="4"/>
      <c r="X2500" s="4"/>
    </row>
    <row r="2501" spans="17:24" x14ac:dyDescent="0.3">
      <c r="Q2501" s="4"/>
      <c r="R2501" s="4"/>
      <c r="S2501" s="4"/>
      <c r="T2501" s="4"/>
      <c r="U2501" s="4"/>
      <c r="V2501" s="4"/>
      <c r="W2501" s="4"/>
      <c r="X2501" s="4"/>
    </row>
    <row r="2502" spans="17:24" x14ac:dyDescent="0.3">
      <c r="Q2502" s="4"/>
      <c r="R2502" s="4"/>
      <c r="S2502" s="4"/>
      <c r="T2502" s="4"/>
      <c r="U2502" s="4"/>
      <c r="V2502" s="4"/>
      <c r="W2502" s="4"/>
      <c r="X2502" s="4"/>
    </row>
    <row r="2503" spans="17:24" x14ac:dyDescent="0.3">
      <c r="Q2503" s="4"/>
      <c r="R2503" s="4"/>
      <c r="S2503" s="4"/>
      <c r="T2503" s="4"/>
      <c r="U2503" s="4"/>
      <c r="V2503" s="4"/>
      <c r="W2503" s="4"/>
      <c r="X2503" s="4"/>
    </row>
    <row r="2504" spans="17:24" x14ac:dyDescent="0.3">
      <c r="Q2504" s="4"/>
      <c r="R2504" s="4"/>
      <c r="S2504" s="4"/>
      <c r="T2504" s="4"/>
      <c r="U2504" s="4"/>
      <c r="V2504" s="4"/>
      <c r="W2504" s="4"/>
      <c r="X2504" s="4"/>
    </row>
    <row r="2505" spans="17:24" x14ac:dyDescent="0.3">
      <c r="Q2505" s="4"/>
      <c r="R2505" s="4"/>
      <c r="S2505" s="4"/>
      <c r="T2505" s="4"/>
      <c r="U2505" s="4"/>
      <c r="V2505" s="4"/>
      <c r="W2505" s="4"/>
      <c r="X2505" s="4"/>
    </row>
    <row r="2506" spans="17:24" x14ac:dyDescent="0.3">
      <c r="Q2506" s="4"/>
      <c r="R2506" s="4"/>
      <c r="S2506" s="4"/>
      <c r="T2506" s="4"/>
      <c r="U2506" s="4"/>
      <c r="V2506" s="4"/>
      <c r="W2506" s="4"/>
      <c r="X2506" s="4"/>
    </row>
    <row r="2507" spans="17:24" x14ac:dyDescent="0.3">
      <c r="Q2507" s="4"/>
      <c r="R2507" s="4"/>
      <c r="S2507" s="4"/>
      <c r="T2507" s="4"/>
      <c r="U2507" s="4"/>
      <c r="V2507" s="4"/>
      <c r="W2507" s="4"/>
      <c r="X2507" s="4"/>
    </row>
    <row r="2508" spans="17:24" x14ac:dyDescent="0.3">
      <c r="Q2508" s="4"/>
      <c r="R2508" s="4"/>
      <c r="S2508" s="4"/>
      <c r="T2508" s="4"/>
      <c r="U2508" s="4"/>
      <c r="V2508" s="4"/>
      <c r="W2508" s="4"/>
      <c r="X2508" s="4"/>
    </row>
    <row r="2509" spans="17:24" x14ac:dyDescent="0.3">
      <c r="Q2509" s="4"/>
      <c r="R2509" s="4"/>
      <c r="S2509" s="4"/>
      <c r="T2509" s="4"/>
      <c r="U2509" s="4"/>
      <c r="V2509" s="4"/>
      <c r="W2509" s="4"/>
      <c r="X2509" s="4"/>
    </row>
    <row r="2510" spans="17:24" x14ac:dyDescent="0.3">
      <c r="Q2510" s="4"/>
      <c r="R2510" s="4"/>
      <c r="S2510" s="4"/>
      <c r="T2510" s="4"/>
      <c r="U2510" s="4"/>
      <c r="V2510" s="4"/>
      <c r="W2510" s="4"/>
      <c r="X2510" s="4"/>
    </row>
    <row r="2511" spans="17:24" x14ac:dyDescent="0.3">
      <c r="Q2511" s="4"/>
      <c r="R2511" s="4"/>
      <c r="S2511" s="4"/>
      <c r="T2511" s="4"/>
      <c r="U2511" s="4"/>
      <c r="V2511" s="4"/>
      <c r="W2511" s="4"/>
      <c r="X2511" s="4"/>
    </row>
    <row r="2512" spans="17:24" x14ac:dyDescent="0.3">
      <c r="Q2512" s="4"/>
      <c r="R2512" s="4"/>
      <c r="S2512" s="4"/>
      <c r="T2512" s="4"/>
      <c r="U2512" s="4"/>
      <c r="V2512" s="4"/>
      <c r="W2512" s="4"/>
      <c r="X2512" s="4"/>
    </row>
    <row r="2513" spans="17:24" x14ac:dyDescent="0.3">
      <c r="Q2513" s="4"/>
      <c r="R2513" s="4"/>
      <c r="S2513" s="4"/>
      <c r="T2513" s="4"/>
      <c r="U2513" s="4"/>
      <c r="V2513" s="4"/>
      <c r="W2513" s="4"/>
      <c r="X2513" s="4"/>
    </row>
    <row r="2514" spans="17:24" x14ac:dyDescent="0.3">
      <c r="Q2514" s="4"/>
      <c r="R2514" s="4"/>
      <c r="S2514" s="4"/>
      <c r="T2514" s="4"/>
      <c r="U2514" s="4"/>
      <c r="V2514" s="4"/>
      <c r="W2514" s="4"/>
      <c r="X2514" s="4"/>
    </row>
    <row r="2515" spans="17:24" x14ac:dyDescent="0.3">
      <c r="Q2515" s="4"/>
      <c r="R2515" s="4"/>
      <c r="S2515" s="4"/>
      <c r="T2515" s="4"/>
      <c r="U2515" s="4"/>
      <c r="V2515" s="4"/>
      <c r="W2515" s="4"/>
      <c r="X2515" s="4"/>
    </row>
    <row r="2516" spans="17:24" x14ac:dyDescent="0.3">
      <c r="Q2516" s="4"/>
      <c r="R2516" s="4"/>
      <c r="S2516" s="4"/>
      <c r="T2516" s="4"/>
      <c r="U2516" s="4"/>
      <c r="V2516" s="4"/>
      <c r="W2516" s="4"/>
      <c r="X2516" s="4"/>
    </row>
    <row r="2517" spans="17:24" x14ac:dyDescent="0.3">
      <c r="Q2517" s="4"/>
      <c r="R2517" s="4"/>
      <c r="S2517" s="4"/>
      <c r="T2517" s="4"/>
      <c r="U2517" s="4"/>
      <c r="V2517" s="4"/>
      <c r="W2517" s="4"/>
      <c r="X2517" s="4"/>
    </row>
    <row r="2518" spans="17:24" x14ac:dyDescent="0.3">
      <c r="Q2518" s="4"/>
      <c r="R2518" s="4"/>
      <c r="S2518" s="4"/>
      <c r="T2518" s="4"/>
      <c r="U2518" s="4"/>
      <c r="V2518" s="4"/>
      <c r="W2518" s="4"/>
      <c r="X2518" s="4"/>
    </row>
    <row r="2519" spans="17:24" x14ac:dyDescent="0.3">
      <c r="Q2519" s="4"/>
      <c r="R2519" s="4"/>
      <c r="S2519" s="4"/>
      <c r="T2519" s="4"/>
      <c r="U2519" s="4"/>
      <c r="V2519" s="4"/>
      <c r="W2519" s="4"/>
      <c r="X2519" s="4"/>
    </row>
    <row r="2520" spans="17:24" x14ac:dyDescent="0.3">
      <c r="Q2520" s="4"/>
      <c r="R2520" s="4"/>
      <c r="S2520" s="4"/>
      <c r="T2520" s="4"/>
      <c r="U2520" s="4"/>
      <c r="V2520" s="4"/>
      <c r="W2520" s="4"/>
      <c r="X2520" s="4"/>
    </row>
    <row r="2521" spans="17:24" x14ac:dyDescent="0.3">
      <c r="Q2521" s="4"/>
      <c r="R2521" s="4"/>
      <c r="S2521" s="4"/>
      <c r="T2521" s="4"/>
      <c r="U2521" s="4"/>
      <c r="V2521" s="4"/>
      <c r="W2521" s="4"/>
      <c r="X2521" s="4"/>
    </row>
    <row r="2522" spans="17:24" x14ac:dyDescent="0.3">
      <c r="Q2522" s="4"/>
      <c r="R2522" s="4"/>
      <c r="S2522" s="4"/>
      <c r="T2522" s="4"/>
      <c r="U2522" s="4"/>
      <c r="V2522" s="4"/>
      <c r="W2522" s="4"/>
      <c r="X2522" s="4"/>
    </row>
    <row r="2523" spans="17:24" x14ac:dyDescent="0.3">
      <c r="Q2523" s="4"/>
      <c r="R2523" s="4"/>
      <c r="S2523" s="4"/>
      <c r="T2523" s="4"/>
      <c r="U2523" s="4"/>
      <c r="V2523" s="4"/>
      <c r="W2523" s="4"/>
      <c r="X2523" s="4"/>
    </row>
    <row r="2524" spans="17:24" x14ac:dyDescent="0.3">
      <c r="Q2524" s="4"/>
      <c r="R2524" s="4"/>
      <c r="S2524" s="4"/>
      <c r="T2524" s="4"/>
      <c r="U2524" s="4"/>
      <c r="V2524" s="4"/>
      <c r="W2524" s="4"/>
      <c r="X2524" s="4"/>
    </row>
    <row r="2525" spans="17:24" x14ac:dyDescent="0.3">
      <c r="Q2525" s="4"/>
      <c r="R2525" s="4"/>
      <c r="S2525" s="4"/>
      <c r="T2525" s="4"/>
      <c r="U2525" s="4"/>
      <c r="V2525" s="4"/>
      <c r="W2525" s="4"/>
      <c r="X2525" s="4"/>
    </row>
    <row r="2526" spans="17:24" x14ac:dyDescent="0.3">
      <c r="Q2526" s="4"/>
      <c r="R2526" s="4"/>
      <c r="S2526" s="4"/>
      <c r="T2526" s="4"/>
      <c r="U2526" s="4"/>
      <c r="V2526" s="4"/>
      <c r="W2526" s="4"/>
      <c r="X2526" s="4"/>
    </row>
    <row r="2527" spans="17:24" x14ac:dyDescent="0.3">
      <c r="Q2527" s="4"/>
      <c r="R2527" s="4"/>
      <c r="S2527" s="4"/>
      <c r="T2527" s="4"/>
      <c r="U2527" s="4"/>
      <c r="V2527" s="4"/>
      <c r="W2527" s="4"/>
      <c r="X2527" s="4"/>
    </row>
    <row r="2528" spans="17:24" x14ac:dyDescent="0.3">
      <c r="Q2528" s="4"/>
      <c r="R2528" s="4"/>
      <c r="S2528" s="4"/>
      <c r="T2528" s="4"/>
      <c r="U2528" s="4"/>
      <c r="V2528" s="4"/>
      <c r="W2528" s="4"/>
      <c r="X2528" s="4"/>
    </row>
    <row r="2529" spans="17:24" x14ac:dyDescent="0.3">
      <c r="Q2529" s="4"/>
      <c r="R2529" s="4"/>
      <c r="S2529" s="4"/>
      <c r="T2529" s="4"/>
      <c r="U2529" s="4"/>
      <c r="V2529" s="4"/>
      <c r="W2529" s="4"/>
      <c r="X2529" s="4"/>
    </row>
    <row r="2530" spans="17:24" x14ac:dyDescent="0.3">
      <c r="Q2530" s="4"/>
      <c r="R2530" s="4"/>
      <c r="S2530" s="4"/>
      <c r="T2530" s="4"/>
      <c r="U2530" s="4"/>
      <c r="V2530" s="4"/>
      <c r="W2530" s="4"/>
      <c r="X2530" s="4"/>
    </row>
    <row r="2531" spans="17:24" x14ac:dyDescent="0.3">
      <c r="Q2531" s="4"/>
      <c r="R2531" s="4"/>
      <c r="S2531" s="4"/>
      <c r="T2531" s="4"/>
      <c r="U2531" s="4"/>
      <c r="V2531" s="4"/>
      <c r="W2531" s="4"/>
      <c r="X2531" s="4"/>
    </row>
    <row r="2532" spans="17:24" x14ac:dyDescent="0.3">
      <c r="Q2532" s="4"/>
      <c r="R2532" s="4"/>
      <c r="S2532" s="4"/>
      <c r="T2532" s="4"/>
      <c r="U2532" s="4"/>
      <c r="V2532" s="4"/>
      <c r="W2532" s="4"/>
      <c r="X2532" s="4"/>
    </row>
    <row r="2533" spans="17:24" x14ac:dyDescent="0.3">
      <c r="Q2533" s="4"/>
      <c r="R2533" s="4"/>
      <c r="S2533" s="4"/>
      <c r="T2533" s="4"/>
      <c r="U2533" s="4"/>
      <c r="V2533" s="4"/>
      <c r="W2533" s="4"/>
      <c r="X2533" s="4"/>
    </row>
    <row r="2534" spans="17:24" x14ac:dyDescent="0.3">
      <c r="Q2534" s="4"/>
      <c r="R2534" s="4"/>
      <c r="S2534" s="4"/>
      <c r="T2534" s="4"/>
      <c r="U2534" s="4"/>
      <c r="V2534" s="4"/>
      <c r="W2534" s="4"/>
      <c r="X2534" s="4"/>
    </row>
    <row r="2535" spans="17:24" x14ac:dyDescent="0.3">
      <c r="Q2535" s="4"/>
      <c r="R2535" s="4"/>
      <c r="S2535" s="4"/>
      <c r="T2535" s="4"/>
      <c r="U2535" s="4"/>
      <c r="V2535" s="4"/>
      <c r="W2535" s="4"/>
      <c r="X2535" s="4"/>
    </row>
    <row r="2536" spans="17:24" x14ac:dyDescent="0.3">
      <c r="Q2536" s="4"/>
      <c r="R2536" s="4"/>
      <c r="S2536" s="4"/>
      <c r="T2536" s="4"/>
      <c r="U2536" s="4"/>
      <c r="V2536" s="4"/>
      <c r="W2536" s="4"/>
      <c r="X2536" s="4"/>
    </row>
    <row r="2537" spans="17:24" x14ac:dyDescent="0.3">
      <c r="Q2537" s="4"/>
      <c r="R2537" s="4"/>
      <c r="S2537" s="4"/>
      <c r="T2537" s="4"/>
      <c r="U2537" s="4"/>
      <c r="V2537" s="4"/>
      <c r="W2537" s="4"/>
      <c r="X2537" s="4"/>
    </row>
    <row r="2538" spans="17:24" x14ac:dyDescent="0.3">
      <c r="Q2538" s="4"/>
      <c r="R2538" s="4"/>
      <c r="S2538" s="4"/>
      <c r="T2538" s="4"/>
      <c r="U2538" s="4"/>
      <c r="V2538" s="4"/>
      <c r="W2538" s="4"/>
      <c r="X2538" s="4"/>
    </row>
    <row r="2539" spans="17:24" x14ac:dyDescent="0.3">
      <c r="Q2539" s="4"/>
      <c r="R2539" s="4"/>
      <c r="S2539" s="4"/>
      <c r="T2539" s="4"/>
      <c r="U2539" s="4"/>
      <c r="V2539" s="4"/>
      <c r="W2539" s="4"/>
      <c r="X2539" s="4"/>
    </row>
    <row r="2540" spans="17:24" x14ac:dyDescent="0.3">
      <c r="Q2540" s="4"/>
      <c r="R2540" s="4"/>
      <c r="S2540" s="4"/>
      <c r="T2540" s="4"/>
      <c r="U2540" s="4"/>
      <c r="V2540" s="4"/>
      <c r="W2540" s="4"/>
      <c r="X2540" s="4"/>
    </row>
    <row r="2541" spans="17:24" x14ac:dyDescent="0.3">
      <c r="Q2541" s="4"/>
      <c r="R2541" s="4"/>
      <c r="S2541" s="4"/>
      <c r="T2541" s="4"/>
      <c r="U2541" s="4"/>
      <c r="V2541" s="4"/>
      <c r="W2541" s="4"/>
      <c r="X2541" s="4"/>
    </row>
    <row r="2542" spans="17:24" x14ac:dyDescent="0.3">
      <c r="Q2542" s="4"/>
      <c r="R2542" s="4"/>
      <c r="S2542" s="4"/>
      <c r="T2542" s="4"/>
      <c r="U2542" s="4"/>
      <c r="V2542" s="4"/>
      <c r="W2542" s="4"/>
      <c r="X2542" s="4"/>
    </row>
    <row r="2543" spans="17:24" x14ac:dyDescent="0.3">
      <c r="Q2543" s="4"/>
      <c r="R2543" s="4"/>
      <c r="S2543" s="4"/>
      <c r="T2543" s="4"/>
      <c r="U2543" s="4"/>
      <c r="V2543" s="4"/>
      <c r="W2543" s="4"/>
      <c r="X2543" s="4"/>
    </row>
    <row r="2544" spans="17:24" x14ac:dyDescent="0.3">
      <c r="Q2544" s="4"/>
      <c r="R2544" s="4"/>
      <c r="S2544" s="4"/>
      <c r="T2544" s="4"/>
      <c r="U2544" s="4"/>
      <c r="V2544" s="4"/>
      <c r="W2544" s="4"/>
      <c r="X2544" s="4"/>
    </row>
    <row r="2545" spans="17:24" x14ac:dyDescent="0.3">
      <c r="Q2545" s="4"/>
      <c r="R2545" s="4"/>
      <c r="S2545" s="4"/>
      <c r="T2545" s="4"/>
      <c r="U2545" s="4"/>
      <c r="V2545" s="4"/>
      <c r="W2545" s="4"/>
      <c r="X2545" s="4"/>
    </row>
    <row r="2546" spans="17:24" x14ac:dyDescent="0.3">
      <c r="Q2546" s="4"/>
      <c r="R2546" s="4"/>
      <c r="S2546" s="4"/>
      <c r="T2546" s="4"/>
      <c r="U2546" s="4"/>
      <c r="V2546" s="4"/>
      <c r="W2546" s="4"/>
      <c r="X2546" s="4"/>
    </row>
    <row r="2547" spans="17:24" x14ac:dyDescent="0.3">
      <c r="Q2547" s="4"/>
      <c r="R2547" s="4"/>
      <c r="S2547" s="4"/>
      <c r="T2547" s="4"/>
      <c r="U2547" s="4"/>
      <c r="V2547" s="4"/>
      <c r="W2547" s="4"/>
      <c r="X2547" s="4"/>
    </row>
    <row r="2548" spans="17:24" x14ac:dyDescent="0.3">
      <c r="Q2548" s="4"/>
      <c r="R2548" s="4"/>
      <c r="S2548" s="4"/>
      <c r="T2548" s="4"/>
      <c r="U2548" s="4"/>
      <c r="V2548" s="4"/>
      <c r="W2548" s="4"/>
      <c r="X2548" s="4"/>
    </row>
    <row r="2549" spans="17:24" x14ac:dyDescent="0.3">
      <c r="Q2549" s="4"/>
      <c r="R2549" s="4"/>
      <c r="S2549" s="4"/>
      <c r="T2549" s="4"/>
      <c r="U2549" s="4"/>
      <c r="V2549" s="4"/>
      <c r="W2549" s="4"/>
      <c r="X2549" s="4"/>
    </row>
    <row r="2550" spans="17:24" x14ac:dyDescent="0.3">
      <c r="Q2550" s="4"/>
      <c r="R2550" s="4"/>
      <c r="S2550" s="4"/>
      <c r="T2550" s="4"/>
      <c r="U2550" s="4"/>
      <c r="V2550" s="4"/>
      <c r="W2550" s="4"/>
      <c r="X2550" s="4"/>
    </row>
    <row r="2551" spans="17:24" x14ac:dyDescent="0.3">
      <c r="Q2551" s="4"/>
      <c r="R2551" s="4"/>
      <c r="S2551" s="4"/>
      <c r="T2551" s="4"/>
      <c r="U2551" s="4"/>
      <c r="V2551" s="4"/>
      <c r="W2551" s="4"/>
      <c r="X2551" s="4"/>
    </row>
    <row r="2552" spans="17:24" x14ac:dyDescent="0.3">
      <c r="Q2552" s="4"/>
      <c r="R2552" s="4"/>
      <c r="S2552" s="4"/>
      <c r="T2552" s="4"/>
      <c r="U2552" s="4"/>
      <c r="V2552" s="4"/>
      <c r="W2552" s="4"/>
      <c r="X2552" s="4"/>
    </row>
    <row r="2553" spans="17:24" x14ac:dyDescent="0.3">
      <c r="Q2553" s="4"/>
      <c r="R2553" s="4"/>
      <c r="S2553" s="4"/>
      <c r="T2553" s="4"/>
      <c r="U2553" s="4"/>
      <c r="V2553" s="4"/>
      <c r="W2553" s="4"/>
      <c r="X2553" s="4"/>
    </row>
    <row r="2554" spans="17:24" x14ac:dyDescent="0.3">
      <c r="Q2554" s="4"/>
      <c r="R2554" s="4"/>
      <c r="S2554" s="4"/>
      <c r="T2554" s="4"/>
      <c r="U2554" s="4"/>
      <c r="V2554" s="4"/>
      <c r="W2554" s="4"/>
      <c r="X2554" s="4"/>
    </row>
    <row r="2555" spans="17:24" x14ac:dyDescent="0.3">
      <c r="Q2555" s="4"/>
      <c r="R2555" s="4"/>
      <c r="S2555" s="4"/>
      <c r="T2555" s="4"/>
      <c r="U2555" s="4"/>
      <c r="V2555" s="4"/>
      <c r="W2555" s="4"/>
      <c r="X2555" s="4"/>
    </row>
    <row r="2556" spans="17:24" x14ac:dyDescent="0.3">
      <c r="Q2556" s="4"/>
      <c r="R2556" s="4"/>
      <c r="S2556" s="4"/>
      <c r="T2556" s="4"/>
      <c r="U2556" s="4"/>
      <c r="V2556" s="4"/>
      <c r="W2556" s="4"/>
      <c r="X2556" s="4"/>
    </row>
    <row r="2557" spans="17:24" x14ac:dyDescent="0.3">
      <c r="Q2557" s="4"/>
      <c r="R2557" s="4"/>
      <c r="S2557" s="4"/>
      <c r="T2557" s="4"/>
      <c r="U2557" s="4"/>
      <c r="V2557" s="4"/>
      <c r="W2557" s="4"/>
      <c r="X2557" s="4"/>
    </row>
    <row r="2558" spans="17:24" x14ac:dyDescent="0.3">
      <c r="Q2558" s="4"/>
      <c r="R2558" s="4"/>
      <c r="S2558" s="4"/>
      <c r="T2558" s="4"/>
      <c r="U2558" s="4"/>
      <c r="V2558" s="4"/>
      <c r="W2558" s="4"/>
      <c r="X2558" s="4"/>
    </row>
    <row r="2559" spans="17:24" x14ac:dyDescent="0.3">
      <c r="Q2559" s="4"/>
      <c r="R2559" s="4"/>
      <c r="S2559" s="4"/>
      <c r="T2559" s="4"/>
      <c r="U2559" s="4"/>
      <c r="V2559" s="4"/>
      <c r="W2559" s="4"/>
      <c r="X2559" s="4"/>
    </row>
    <row r="2560" spans="17:24" x14ac:dyDescent="0.3">
      <c r="Q2560" s="4"/>
      <c r="R2560" s="4"/>
      <c r="S2560" s="4"/>
      <c r="T2560" s="4"/>
      <c r="U2560" s="4"/>
      <c r="V2560" s="4"/>
      <c r="W2560" s="4"/>
      <c r="X2560" s="4"/>
    </row>
    <row r="2561" spans="17:24" x14ac:dyDescent="0.3">
      <c r="Q2561" s="4"/>
      <c r="R2561" s="4"/>
      <c r="S2561" s="4"/>
      <c r="T2561" s="4"/>
      <c r="U2561" s="4"/>
      <c r="V2561" s="4"/>
      <c r="W2561" s="4"/>
      <c r="X2561" s="4"/>
    </row>
    <row r="2562" spans="17:24" x14ac:dyDescent="0.3">
      <c r="Q2562" s="4"/>
      <c r="R2562" s="4"/>
      <c r="S2562" s="4"/>
      <c r="T2562" s="4"/>
      <c r="U2562" s="4"/>
      <c r="V2562" s="4"/>
      <c r="W2562" s="4"/>
      <c r="X2562" s="4"/>
    </row>
    <row r="2563" spans="17:24" x14ac:dyDescent="0.3">
      <c r="Q2563" s="4"/>
      <c r="R2563" s="4"/>
      <c r="S2563" s="4"/>
      <c r="T2563" s="4"/>
      <c r="U2563" s="4"/>
      <c r="V2563" s="4"/>
      <c r="W2563" s="4"/>
      <c r="X2563" s="4"/>
    </row>
    <row r="2564" spans="17:24" x14ac:dyDescent="0.3">
      <c r="Q2564" s="4"/>
      <c r="R2564" s="4"/>
      <c r="S2564" s="4"/>
      <c r="T2564" s="4"/>
      <c r="U2564" s="4"/>
      <c r="V2564" s="4"/>
      <c r="W2564" s="4"/>
      <c r="X2564" s="4"/>
    </row>
    <row r="2565" spans="17:24" x14ac:dyDescent="0.3">
      <c r="Q2565" s="4"/>
      <c r="R2565" s="4"/>
      <c r="S2565" s="4"/>
      <c r="T2565" s="4"/>
      <c r="U2565" s="4"/>
      <c r="V2565" s="4"/>
      <c r="W2565" s="4"/>
      <c r="X2565" s="4"/>
    </row>
    <row r="2566" spans="17:24" x14ac:dyDescent="0.3">
      <c r="Q2566" s="4"/>
      <c r="R2566" s="4"/>
      <c r="S2566" s="4"/>
      <c r="T2566" s="4"/>
      <c r="U2566" s="4"/>
      <c r="V2566" s="4"/>
      <c r="W2566" s="4"/>
      <c r="X2566" s="4"/>
    </row>
    <row r="2567" spans="17:24" x14ac:dyDescent="0.3">
      <c r="Q2567" s="4"/>
      <c r="R2567" s="4"/>
      <c r="S2567" s="4"/>
      <c r="T2567" s="4"/>
      <c r="U2567" s="4"/>
      <c r="V2567" s="4"/>
      <c r="W2567" s="4"/>
      <c r="X2567" s="4"/>
    </row>
    <row r="2568" spans="17:24" x14ac:dyDescent="0.3">
      <c r="Q2568" s="4"/>
      <c r="R2568" s="4"/>
      <c r="S2568" s="4"/>
      <c r="T2568" s="4"/>
      <c r="U2568" s="4"/>
      <c r="V2568" s="4"/>
      <c r="W2568" s="4"/>
      <c r="X2568" s="4"/>
    </row>
    <row r="2569" spans="17:24" x14ac:dyDescent="0.3">
      <c r="Q2569" s="4"/>
      <c r="R2569" s="4"/>
      <c r="S2569" s="4"/>
      <c r="T2569" s="4"/>
      <c r="U2569" s="4"/>
      <c r="V2569" s="4"/>
      <c r="W2569" s="4"/>
      <c r="X2569" s="4"/>
    </row>
    <row r="2570" spans="17:24" x14ac:dyDescent="0.3">
      <c r="Q2570" s="4"/>
      <c r="R2570" s="4"/>
      <c r="S2570" s="4"/>
      <c r="T2570" s="4"/>
      <c r="U2570" s="4"/>
      <c r="V2570" s="4"/>
      <c r="W2570" s="4"/>
      <c r="X2570" s="4"/>
    </row>
    <row r="2571" spans="17:24" x14ac:dyDescent="0.3">
      <c r="Q2571" s="4"/>
      <c r="R2571" s="4"/>
      <c r="S2571" s="4"/>
      <c r="T2571" s="4"/>
      <c r="U2571" s="4"/>
      <c r="V2571" s="4"/>
      <c r="W2571" s="4"/>
      <c r="X2571" s="4"/>
    </row>
    <row r="2572" spans="17:24" x14ac:dyDescent="0.3">
      <c r="Q2572" s="4"/>
      <c r="R2572" s="4"/>
      <c r="S2572" s="4"/>
      <c r="T2572" s="4"/>
      <c r="U2572" s="4"/>
      <c r="V2572" s="4"/>
      <c r="W2572" s="4"/>
      <c r="X2572" s="4"/>
    </row>
    <row r="2573" spans="17:24" x14ac:dyDescent="0.3">
      <c r="Q2573" s="4"/>
      <c r="R2573" s="4"/>
      <c r="S2573" s="4"/>
      <c r="T2573" s="4"/>
      <c r="U2573" s="4"/>
      <c r="V2573" s="4"/>
      <c r="W2573" s="4"/>
      <c r="X2573" s="4"/>
    </row>
    <row r="2574" spans="17:24" x14ac:dyDescent="0.3">
      <c r="Q2574" s="4"/>
      <c r="R2574" s="4"/>
      <c r="S2574" s="4"/>
      <c r="T2574" s="4"/>
      <c r="U2574" s="4"/>
      <c r="V2574" s="4"/>
      <c r="W2574" s="4"/>
      <c r="X2574" s="4"/>
    </row>
    <row r="2575" spans="17:24" x14ac:dyDescent="0.3">
      <c r="Q2575" s="4"/>
      <c r="R2575" s="4"/>
      <c r="S2575" s="4"/>
      <c r="T2575" s="4"/>
      <c r="U2575" s="4"/>
      <c r="V2575" s="4"/>
      <c r="W2575" s="4"/>
      <c r="X2575" s="4"/>
    </row>
    <row r="2576" spans="17:24" x14ac:dyDescent="0.3">
      <c r="Q2576" s="4"/>
      <c r="R2576" s="4"/>
      <c r="S2576" s="4"/>
      <c r="T2576" s="4"/>
      <c r="U2576" s="4"/>
      <c r="V2576" s="4"/>
      <c r="W2576" s="4"/>
      <c r="X2576" s="4"/>
    </row>
    <row r="2577" spans="17:24" x14ac:dyDescent="0.3">
      <c r="Q2577" s="4"/>
      <c r="R2577" s="4"/>
      <c r="S2577" s="4"/>
      <c r="T2577" s="4"/>
      <c r="U2577" s="4"/>
      <c r="V2577" s="4"/>
      <c r="W2577" s="4"/>
      <c r="X2577" s="4"/>
    </row>
    <row r="2578" spans="17:24" x14ac:dyDescent="0.3">
      <c r="Q2578" s="4"/>
      <c r="R2578" s="4"/>
      <c r="S2578" s="4"/>
      <c r="T2578" s="4"/>
      <c r="U2578" s="4"/>
      <c r="V2578" s="4"/>
      <c r="W2578" s="4"/>
      <c r="X2578" s="4"/>
    </row>
    <row r="2579" spans="17:24" x14ac:dyDescent="0.3">
      <c r="Q2579" s="4"/>
      <c r="R2579" s="4"/>
      <c r="S2579" s="4"/>
      <c r="T2579" s="4"/>
      <c r="U2579" s="4"/>
      <c r="V2579" s="4"/>
      <c r="W2579" s="4"/>
      <c r="X2579" s="4"/>
    </row>
    <row r="2580" spans="17:24" x14ac:dyDescent="0.3">
      <c r="Q2580" s="4"/>
      <c r="R2580" s="4"/>
      <c r="S2580" s="4"/>
      <c r="T2580" s="4"/>
      <c r="U2580" s="4"/>
      <c r="V2580" s="4"/>
      <c r="W2580" s="4"/>
      <c r="X2580" s="4"/>
    </row>
    <row r="2581" spans="17:24" x14ac:dyDescent="0.3">
      <c r="Q2581" s="4"/>
      <c r="R2581" s="4"/>
      <c r="S2581" s="4"/>
      <c r="T2581" s="4"/>
      <c r="U2581" s="4"/>
      <c r="V2581" s="4"/>
      <c r="W2581" s="4"/>
      <c r="X2581" s="4"/>
    </row>
    <row r="2582" spans="17:24" x14ac:dyDescent="0.3">
      <c r="Q2582" s="4"/>
      <c r="R2582" s="4"/>
      <c r="S2582" s="4"/>
      <c r="T2582" s="4"/>
      <c r="U2582" s="4"/>
      <c r="V2582" s="4"/>
      <c r="W2582" s="4"/>
      <c r="X2582" s="4"/>
    </row>
    <row r="2583" spans="17:24" x14ac:dyDescent="0.3">
      <c r="Q2583" s="4"/>
      <c r="R2583" s="4"/>
      <c r="S2583" s="4"/>
      <c r="T2583" s="4"/>
      <c r="U2583" s="4"/>
      <c r="V2583" s="4"/>
      <c r="W2583" s="4"/>
      <c r="X2583" s="4"/>
    </row>
    <row r="2584" spans="17:24" x14ac:dyDescent="0.3">
      <c r="Q2584" s="4"/>
      <c r="R2584" s="4"/>
      <c r="S2584" s="4"/>
      <c r="T2584" s="4"/>
      <c r="U2584" s="4"/>
      <c r="V2584" s="4"/>
      <c r="W2584" s="4"/>
      <c r="X2584" s="4"/>
    </row>
    <row r="2585" spans="17:24" x14ac:dyDescent="0.3">
      <c r="Q2585" s="4"/>
      <c r="R2585" s="4"/>
      <c r="S2585" s="4"/>
      <c r="T2585" s="4"/>
      <c r="U2585" s="4"/>
      <c r="V2585" s="4"/>
      <c r="W2585" s="4"/>
      <c r="X2585" s="4"/>
    </row>
    <row r="2586" spans="17:24" x14ac:dyDescent="0.3">
      <c r="Q2586" s="4"/>
      <c r="R2586" s="4"/>
      <c r="S2586" s="4"/>
      <c r="T2586" s="4"/>
      <c r="U2586" s="4"/>
      <c r="V2586" s="4"/>
      <c r="W2586" s="4"/>
      <c r="X2586" s="4"/>
    </row>
    <row r="2587" spans="17:24" x14ac:dyDescent="0.3">
      <c r="Q2587" s="4"/>
      <c r="R2587" s="4"/>
      <c r="S2587" s="4"/>
      <c r="T2587" s="4"/>
      <c r="U2587" s="4"/>
      <c r="V2587" s="4"/>
      <c r="W2587" s="4"/>
      <c r="X2587" s="4"/>
    </row>
    <row r="2588" spans="17:24" x14ac:dyDescent="0.3">
      <c r="Q2588" s="4"/>
      <c r="R2588" s="4"/>
      <c r="S2588" s="4"/>
      <c r="T2588" s="4"/>
      <c r="U2588" s="4"/>
      <c r="V2588" s="4"/>
      <c r="W2588" s="4"/>
      <c r="X2588" s="4"/>
    </row>
    <row r="2589" spans="17:24" x14ac:dyDescent="0.3">
      <c r="Q2589" s="4"/>
      <c r="R2589" s="4"/>
      <c r="S2589" s="4"/>
      <c r="T2589" s="4"/>
      <c r="U2589" s="4"/>
      <c r="V2589" s="4"/>
      <c r="W2589" s="4"/>
      <c r="X2589" s="4"/>
    </row>
    <row r="2590" spans="17:24" x14ac:dyDescent="0.3">
      <c r="Q2590" s="4"/>
      <c r="R2590" s="4"/>
      <c r="S2590" s="4"/>
      <c r="T2590" s="4"/>
      <c r="U2590" s="4"/>
      <c r="V2590" s="4"/>
      <c r="W2590" s="4"/>
      <c r="X2590" s="4"/>
    </row>
    <row r="2591" spans="17:24" x14ac:dyDescent="0.3">
      <c r="Q2591" s="4"/>
      <c r="R2591" s="4"/>
      <c r="S2591" s="4"/>
      <c r="T2591" s="4"/>
      <c r="U2591" s="4"/>
      <c r="V2591" s="4"/>
      <c r="W2591" s="4"/>
      <c r="X2591" s="4"/>
    </row>
    <row r="2592" spans="17:24" x14ac:dyDescent="0.3">
      <c r="Q2592" s="4"/>
      <c r="R2592" s="4"/>
      <c r="S2592" s="4"/>
      <c r="T2592" s="4"/>
      <c r="U2592" s="4"/>
      <c r="V2592" s="4"/>
      <c r="W2592" s="4"/>
      <c r="X2592" s="4"/>
    </row>
    <row r="2593" spans="17:24" x14ac:dyDescent="0.3">
      <c r="Q2593" s="4"/>
      <c r="R2593" s="4"/>
      <c r="S2593" s="4"/>
      <c r="T2593" s="4"/>
      <c r="U2593" s="4"/>
      <c r="V2593" s="4"/>
      <c r="W2593" s="4"/>
      <c r="X2593" s="4"/>
    </row>
    <row r="2594" spans="17:24" x14ac:dyDescent="0.3">
      <c r="Q2594" s="4"/>
      <c r="R2594" s="4"/>
      <c r="S2594" s="4"/>
      <c r="T2594" s="4"/>
      <c r="U2594" s="4"/>
      <c r="V2594" s="4"/>
      <c r="W2594" s="4"/>
      <c r="X2594" s="4"/>
    </row>
    <row r="2595" spans="17:24" x14ac:dyDescent="0.3">
      <c r="Q2595" s="4"/>
      <c r="R2595" s="4"/>
      <c r="S2595" s="4"/>
      <c r="T2595" s="4"/>
      <c r="U2595" s="4"/>
      <c r="V2595" s="4"/>
      <c r="W2595" s="4"/>
      <c r="X2595" s="4"/>
    </row>
    <row r="2596" spans="17:24" x14ac:dyDescent="0.3">
      <c r="Q2596" s="4"/>
      <c r="R2596" s="4"/>
      <c r="S2596" s="4"/>
      <c r="T2596" s="4"/>
      <c r="U2596" s="4"/>
      <c r="V2596" s="4"/>
      <c r="W2596" s="4"/>
      <c r="X2596" s="4"/>
    </row>
    <row r="2597" spans="17:24" x14ac:dyDescent="0.3">
      <c r="Q2597" s="4"/>
      <c r="R2597" s="4"/>
      <c r="S2597" s="4"/>
      <c r="T2597" s="4"/>
      <c r="U2597" s="4"/>
      <c r="V2597" s="4"/>
      <c r="W2597" s="4"/>
      <c r="X2597" s="4"/>
    </row>
    <row r="2598" spans="17:24" x14ac:dyDescent="0.3">
      <c r="Q2598" s="4"/>
      <c r="R2598" s="4"/>
      <c r="S2598" s="4"/>
      <c r="T2598" s="4"/>
      <c r="U2598" s="4"/>
      <c r="V2598" s="4"/>
      <c r="W2598" s="4"/>
      <c r="X2598" s="4"/>
    </row>
    <row r="2599" spans="17:24" x14ac:dyDescent="0.3">
      <c r="Q2599" s="4"/>
      <c r="R2599" s="4"/>
      <c r="S2599" s="4"/>
      <c r="T2599" s="4"/>
      <c r="U2599" s="4"/>
      <c r="V2599" s="4"/>
      <c r="W2599" s="4"/>
      <c r="X2599" s="4"/>
    </row>
    <row r="2600" spans="17:24" x14ac:dyDescent="0.3">
      <c r="Q2600" s="4"/>
      <c r="R2600" s="4"/>
      <c r="S2600" s="4"/>
      <c r="T2600" s="4"/>
      <c r="U2600" s="4"/>
      <c r="V2600" s="4"/>
      <c r="W2600" s="4"/>
      <c r="X2600" s="4"/>
    </row>
    <row r="2601" spans="17:24" x14ac:dyDescent="0.3">
      <c r="Q2601" s="4"/>
      <c r="R2601" s="4"/>
      <c r="S2601" s="4"/>
      <c r="T2601" s="4"/>
      <c r="U2601" s="4"/>
      <c r="V2601" s="4"/>
      <c r="W2601" s="4"/>
      <c r="X2601" s="4"/>
    </row>
    <row r="2602" spans="17:24" x14ac:dyDescent="0.3">
      <c r="Q2602" s="4"/>
      <c r="R2602" s="4"/>
      <c r="S2602" s="4"/>
      <c r="T2602" s="4"/>
      <c r="U2602" s="4"/>
      <c r="V2602" s="4"/>
      <c r="W2602" s="4"/>
      <c r="X2602" s="4"/>
    </row>
    <row r="2603" spans="17:24" x14ac:dyDescent="0.3">
      <c r="Q2603" s="4"/>
      <c r="R2603" s="4"/>
      <c r="S2603" s="4"/>
      <c r="T2603" s="4"/>
      <c r="U2603" s="4"/>
      <c r="V2603" s="4"/>
      <c r="W2603" s="4"/>
      <c r="X2603" s="4"/>
    </row>
    <row r="2604" spans="17:24" x14ac:dyDescent="0.3">
      <c r="Q2604" s="4"/>
      <c r="R2604" s="4"/>
      <c r="S2604" s="4"/>
      <c r="T2604" s="4"/>
      <c r="U2604" s="4"/>
      <c r="V2604" s="4"/>
      <c r="W2604" s="4"/>
      <c r="X2604" s="4"/>
    </row>
    <row r="2605" spans="17:24" x14ac:dyDescent="0.3">
      <c r="Q2605" s="4"/>
      <c r="R2605" s="4"/>
      <c r="S2605" s="4"/>
      <c r="T2605" s="4"/>
      <c r="U2605" s="4"/>
      <c r="V2605" s="4"/>
      <c r="W2605" s="4"/>
      <c r="X2605" s="4"/>
    </row>
    <row r="2606" spans="17:24" x14ac:dyDescent="0.3">
      <c r="Q2606" s="4"/>
      <c r="R2606" s="4"/>
      <c r="S2606" s="4"/>
      <c r="T2606" s="4"/>
      <c r="U2606" s="4"/>
      <c r="V2606" s="4"/>
      <c r="W2606" s="4"/>
      <c r="X2606" s="4"/>
    </row>
    <row r="2607" spans="17:24" x14ac:dyDescent="0.3">
      <c r="Q2607" s="4"/>
      <c r="R2607" s="4"/>
      <c r="S2607" s="4"/>
      <c r="T2607" s="4"/>
      <c r="U2607" s="4"/>
      <c r="V2607" s="4"/>
      <c r="W2607" s="4"/>
      <c r="X2607" s="4"/>
    </row>
    <row r="2608" spans="17:24" x14ac:dyDescent="0.3">
      <c r="Q2608" s="4"/>
      <c r="R2608" s="4"/>
      <c r="S2608" s="4"/>
      <c r="T2608" s="4"/>
      <c r="U2608" s="4"/>
      <c r="V2608" s="4"/>
      <c r="W2608" s="4"/>
      <c r="X2608" s="4"/>
    </row>
    <row r="2609" spans="17:24" x14ac:dyDescent="0.3">
      <c r="Q2609" s="4"/>
      <c r="R2609" s="4"/>
      <c r="S2609" s="4"/>
      <c r="T2609" s="4"/>
      <c r="U2609" s="4"/>
      <c r="V2609" s="4"/>
      <c r="W2609" s="4"/>
      <c r="X2609" s="4"/>
    </row>
    <row r="2610" spans="17:24" x14ac:dyDescent="0.3">
      <c r="Q2610" s="4"/>
      <c r="R2610" s="4"/>
      <c r="S2610" s="4"/>
      <c r="T2610" s="4"/>
      <c r="U2610" s="4"/>
      <c r="V2610" s="4"/>
      <c r="W2610" s="4"/>
      <c r="X2610" s="4"/>
    </row>
    <row r="2611" spans="17:24" x14ac:dyDescent="0.3">
      <c r="Q2611" s="4"/>
      <c r="R2611" s="4"/>
      <c r="S2611" s="4"/>
      <c r="T2611" s="4"/>
      <c r="U2611" s="4"/>
      <c r="V2611" s="4"/>
      <c r="W2611" s="4"/>
      <c r="X2611" s="4"/>
    </row>
    <row r="2612" spans="17:24" x14ac:dyDescent="0.3">
      <c r="Q2612" s="4"/>
      <c r="R2612" s="4"/>
      <c r="S2612" s="4"/>
      <c r="T2612" s="4"/>
      <c r="U2612" s="4"/>
      <c r="V2612" s="4"/>
      <c r="W2612" s="4"/>
      <c r="X2612" s="4"/>
    </row>
    <row r="2613" spans="17:24" x14ac:dyDescent="0.3">
      <c r="Q2613" s="4"/>
      <c r="R2613" s="4"/>
      <c r="S2613" s="4"/>
      <c r="T2613" s="4"/>
      <c r="U2613" s="4"/>
      <c r="V2613" s="4"/>
      <c r="W2613" s="4"/>
      <c r="X2613" s="4"/>
    </row>
    <row r="2614" spans="17:24" x14ac:dyDescent="0.3">
      <c r="Q2614" s="4"/>
      <c r="R2614" s="4"/>
      <c r="S2614" s="4"/>
      <c r="T2614" s="4"/>
      <c r="U2614" s="4"/>
      <c r="V2614" s="4"/>
      <c r="W2614" s="4"/>
      <c r="X2614" s="4"/>
    </row>
    <row r="2615" spans="17:24" x14ac:dyDescent="0.3">
      <c r="Q2615" s="4"/>
      <c r="R2615" s="4"/>
      <c r="S2615" s="4"/>
      <c r="T2615" s="4"/>
      <c r="U2615" s="4"/>
      <c r="V2615" s="4"/>
      <c r="W2615" s="4"/>
      <c r="X2615" s="4"/>
    </row>
    <row r="2616" spans="17:24" x14ac:dyDescent="0.3">
      <c r="Q2616" s="4"/>
      <c r="R2616" s="4"/>
      <c r="S2616" s="4"/>
      <c r="T2616" s="4"/>
      <c r="U2616" s="4"/>
      <c r="V2616" s="4"/>
      <c r="W2616" s="4"/>
      <c r="X2616" s="4"/>
    </row>
    <row r="2617" spans="17:24" x14ac:dyDescent="0.3">
      <c r="Q2617" s="4"/>
      <c r="R2617" s="4"/>
      <c r="S2617" s="4"/>
      <c r="T2617" s="4"/>
      <c r="U2617" s="4"/>
      <c r="V2617" s="4"/>
      <c r="W2617" s="4"/>
      <c r="X2617" s="4"/>
    </row>
    <row r="2618" spans="17:24" x14ac:dyDescent="0.3">
      <c r="Q2618" s="4"/>
      <c r="R2618" s="4"/>
      <c r="S2618" s="4"/>
      <c r="T2618" s="4"/>
      <c r="U2618" s="4"/>
      <c r="V2618" s="4"/>
      <c r="W2618" s="4"/>
      <c r="X2618" s="4"/>
    </row>
    <row r="2619" spans="17:24" x14ac:dyDescent="0.3">
      <c r="Q2619" s="4"/>
      <c r="R2619" s="4"/>
      <c r="S2619" s="4"/>
      <c r="T2619" s="4"/>
      <c r="U2619" s="4"/>
      <c r="V2619" s="4"/>
      <c r="W2619" s="4"/>
      <c r="X2619" s="4"/>
    </row>
    <row r="2620" spans="17:24" x14ac:dyDescent="0.3">
      <c r="Q2620" s="4"/>
      <c r="R2620" s="4"/>
      <c r="S2620" s="4"/>
      <c r="T2620" s="4"/>
      <c r="U2620" s="4"/>
      <c r="V2620" s="4"/>
      <c r="W2620" s="4"/>
      <c r="X2620" s="4"/>
    </row>
    <row r="2621" spans="17:24" x14ac:dyDescent="0.3">
      <c r="Q2621" s="4"/>
      <c r="R2621" s="4"/>
      <c r="S2621" s="4"/>
      <c r="T2621" s="4"/>
      <c r="U2621" s="4"/>
      <c r="V2621" s="4"/>
      <c r="W2621" s="4"/>
      <c r="X2621" s="4"/>
    </row>
    <row r="2622" spans="17:24" x14ac:dyDescent="0.3">
      <c r="Q2622" s="4"/>
      <c r="R2622" s="4"/>
      <c r="S2622" s="4"/>
      <c r="T2622" s="4"/>
      <c r="U2622" s="4"/>
      <c r="V2622" s="4"/>
      <c r="W2622" s="4"/>
      <c r="X2622" s="4"/>
    </row>
    <row r="2623" spans="17:24" x14ac:dyDescent="0.3">
      <c r="Q2623" s="4"/>
      <c r="R2623" s="4"/>
      <c r="S2623" s="4"/>
      <c r="T2623" s="4"/>
      <c r="U2623" s="4"/>
      <c r="V2623" s="4"/>
      <c r="W2623" s="4"/>
      <c r="X2623" s="4"/>
    </row>
    <row r="2624" spans="17:24" x14ac:dyDescent="0.3">
      <c r="Q2624" s="4"/>
      <c r="R2624" s="4"/>
      <c r="S2624" s="4"/>
      <c r="T2624" s="4"/>
      <c r="U2624" s="4"/>
      <c r="V2624" s="4"/>
      <c r="W2624" s="4"/>
      <c r="X2624" s="4"/>
    </row>
    <row r="2625" spans="17:24" x14ac:dyDescent="0.3">
      <c r="Q2625" s="4"/>
      <c r="R2625" s="4"/>
      <c r="S2625" s="4"/>
      <c r="T2625" s="4"/>
      <c r="U2625" s="4"/>
      <c r="V2625" s="4"/>
      <c r="W2625" s="4"/>
      <c r="X2625" s="4"/>
    </row>
    <row r="2626" spans="17:24" x14ac:dyDescent="0.3">
      <c r="Q2626" s="4"/>
      <c r="R2626" s="4"/>
      <c r="S2626" s="4"/>
      <c r="T2626" s="4"/>
      <c r="U2626" s="4"/>
      <c r="V2626" s="4"/>
      <c r="W2626" s="4"/>
      <c r="X2626" s="4"/>
    </row>
    <row r="2627" spans="17:24" x14ac:dyDescent="0.3">
      <c r="Q2627" s="4"/>
      <c r="R2627" s="4"/>
      <c r="S2627" s="4"/>
      <c r="T2627" s="4"/>
      <c r="U2627" s="4"/>
      <c r="V2627" s="4"/>
      <c r="W2627" s="4"/>
      <c r="X2627" s="4"/>
    </row>
    <row r="2628" spans="17:24" x14ac:dyDescent="0.3">
      <c r="Q2628" s="4"/>
      <c r="R2628" s="4"/>
      <c r="S2628" s="4"/>
      <c r="T2628" s="4"/>
      <c r="U2628" s="4"/>
      <c r="V2628" s="4"/>
      <c r="W2628" s="4"/>
      <c r="X2628" s="4"/>
    </row>
    <row r="2629" spans="17:24" x14ac:dyDescent="0.3">
      <c r="Q2629" s="4"/>
      <c r="R2629" s="4"/>
      <c r="S2629" s="4"/>
      <c r="T2629" s="4"/>
      <c r="U2629" s="4"/>
      <c r="V2629" s="4"/>
      <c r="W2629" s="4"/>
      <c r="X2629" s="4"/>
    </row>
    <row r="2630" spans="17:24" x14ac:dyDescent="0.3">
      <c r="Q2630" s="4"/>
      <c r="R2630" s="4"/>
      <c r="S2630" s="4"/>
      <c r="T2630" s="4"/>
      <c r="U2630" s="4"/>
      <c r="V2630" s="4"/>
      <c r="W2630" s="4"/>
      <c r="X2630" s="4"/>
    </row>
    <row r="2631" spans="17:24" x14ac:dyDescent="0.3">
      <c r="Q2631" s="4"/>
      <c r="R2631" s="4"/>
      <c r="S2631" s="4"/>
      <c r="T2631" s="4"/>
      <c r="U2631" s="4"/>
      <c r="V2631" s="4"/>
      <c r="W2631" s="4"/>
      <c r="X2631" s="4"/>
    </row>
    <row r="2632" spans="17:24" x14ac:dyDescent="0.3">
      <c r="Q2632" s="4"/>
      <c r="R2632" s="4"/>
      <c r="S2632" s="4"/>
      <c r="T2632" s="4"/>
      <c r="U2632" s="4"/>
      <c r="V2632" s="4"/>
      <c r="W2632" s="4"/>
      <c r="X2632" s="4"/>
    </row>
    <row r="2633" spans="17:24" x14ac:dyDescent="0.3">
      <c r="Q2633" s="4"/>
      <c r="R2633" s="4"/>
      <c r="S2633" s="4"/>
      <c r="T2633" s="4"/>
      <c r="U2633" s="4"/>
      <c r="V2633" s="4"/>
      <c r="W2633" s="4"/>
      <c r="X2633" s="4"/>
    </row>
    <row r="2634" spans="17:24" x14ac:dyDescent="0.3">
      <c r="Q2634" s="4"/>
      <c r="R2634" s="4"/>
      <c r="S2634" s="4"/>
      <c r="T2634" s="4"/>
      <c r="U2634" s="4"/>
      <c r="V2634" s="4"/>
      <c r="W2634" s="4"/>
      <c r="X2634" s="4"/>
    </row>
    <row r="2635" spans="17:24" x14ac:dyDescent="0.3">
      <c r="Q2635" s="4"/>
      <c r="R2635" s="4"/>
      <c r="S2635" s="4"/>
      <c r="T2635" s="4"/>
      <c r="U2635" s="4"/>
      <c r="V2635" s="4"/>
      <c r="W2635" s="4"/>
      <c r="X2635" s="4"/>
    </row>
    <row r="2636" spans="17:24" x14ac:dyDescent="0.3">
      <c r="Q2636" s="4"/>
      <c r="R2636" s="4"/>
      <c r="S2636" s="4"/>
      <c r="T2636" s="4"/>
      <c r="U2636" s="4"/>
      <c r="V2636" s="4"/>
      <c r="W2636" s="4"/>
      <c r="X2636" s="4"/>
    </row>
    <row r="2637" spans="17:24" x14ac:dyDescent="0.3">
      <c r="Q2637" s="4"/>
      <c r="R2637" s="4"/>
      <c r="S2637" s="4"/>
      <c r="T2637" s="4"/>
      <c r="U2637" s="4"/>
      <c r="V2637" s="4"/>
      <c r="W2637" s="4"/>
      <c r="X2637" s="4"/>
    </row>
    <row r="2638" spans="17:24" x14ac:dyDescent="0.3">
      <c r="Q2638" s="4"/>
      <c r="R2638" s="4"/>
      <c r="S2638" s="4"/>
      <c r="T2638" s="4"/>
      <c r="U2638" s="4"/>
      <c r="V2638" s="4"/>
      <c r="W2638" s="4"/>
      <c r="X2638" s="4"/>
    </row>
    <row r="2639" spans="17:24" x14ac:dyDescent="0.3">
      <c r="Q2639" s="4"/>
      <c r="R2639" s="4"/>
      <c r="S2639" s="4"/>
      <c r="T2639" s="4"/>
      <c r="U2639" s="4"/>
      <c r="V2639" s="4"/>
      <c r="W2639" s="4"/>
      <c r="X2639" s="4"/>
    </row>
    <row r="2640" spans="17:24" x14ac:dyDescent="0.3">
      <c r="Q2640" s="4"/>
      <c r="R2640" s="4"/>
      <c r="S2640" s="4"/>
      <c r="T2640" s="4"/>
      <c r="U2640" s="4"/>
      <c r="V2640" s="4"/>
      <c r="W2640" s="4"/>
      <c r="X2640" s="4"/>
    </row>
    <row r="2641" spans="17:24" x14ac:dyDescent="0.3">
      <c r="Q2641" s="4"/>
      <c r="R2641" s="4"/>
      <c r="S2641" s="4"/>
      <c r="T2641" s="4"/>
      <c r="U2641" s="4"/>
      <c r="V2641" s="4"/>
      <c r="W2641" s="4"/>
      <c r="X2641" s="4"/>
    </row>
    <row r="2642" spans="17:24" x14ac:dyDescent="0.3">
      <c r="Q2642" s="4"/>
      <c r="R2642" s="4"/>
      <c r="S2642" s="4"/>
      <c r="T2642" s="4"/>
      <c r="U2642" s="4"/>
      <c r="V2642" s="4"/>
      <c r="W2642" s="4"/>
      <c r="X2642" s="4"/>
    </row>
    <row r="2643" spans="17:24" x14ac:dyDescent="0.3">
      <c r="Q2643" s="4"/>
      <c r="R2643" s="4"/>
      <c r="S2643" s="4"/>
      <c r="T2643" s="4"/>
      <c r="U2643" s="4"/>
      <c r="V2643" s="4"/>
      <c r="W2643" s="4"/>
      <c r="X2643" s="4"/>
    </row>
    <row r="2644" spans="17:24" x14ac:dyDescent="0.3">
      <c r="Q2644" s="4"/>
      <c r="R2644" s="4"/>
      <c r="S2644" s="4"/>
      <c r="T2644" s="4"/>
      <c r="U2644" s="4"/>
      <c r="V2644" s="4"/>
      <c r="W2644" s="4"/>
      <c r="X2644" s="4"/>
    </row>
    <row r="2645" spans="17:24" x14ac:dyDescent="0.3">
      <c r="Q2645" s="4"/>
      <c r="R2645" s="4"/>
      <c r="S2645" s="4"/>
      <c r="T2645" s="4"/>
      <c r="U2645" s="4"/>
      <c r="V2645" s="4"/>
      <c r="W2645" s="4"/>
      <c r="X2645" s="4"/>
    </row>
    <row r="2646" spans="17:24" x14ac:dyDescent="0.3">
      <c r="Q2646" s="4"/>
      <c r="R2646" s="4"/>
      <c r="S2646" s="4"/>
      <c r="T2646" s="4"/>
      <c r="U2646" s="4"/>
      <c r="V2646" s="4"/>
      <c r="W2646" s="4"/>
      <c r="X2646" s="4"/>
    </row>
    <row r="2647" spans="17:24" x14ac:dyDescent="0.3">
      <c r="Q2647" s="4"/>
      <c r="R2647" s="4"/>
      <c r="S2647" s="4"/>
      <c r="T2647" s="4"/>
      <c r="U2647" s="4"/>
      <c r="V2647" s="4"/>
      <c r="W2647" s="4"/>
      <c r="X2647" s="4"/>
    </row>
    <row r="2648" spans="17:24" x14ac:dyDescent="0.3">
      <c r="Q2648" s="4"/>
      <c r="R2648" s="4"/>
      <c r="S2648" s="4"/>
      <c r="T2648" s="4"/>
      <c r="U2648" s="4"/>
      <c r="V2648" s="4"/>
      <c r="W2648" s="4"/>
      <c r="X2648" s="4"/>
    </row>
    <row r="2649" spans="17:24" x14ac:dyDescent="0.3">
      <c r="Q2649" s="4"/>
      <c r="R2649" s="4"/>
      <c r="S2649" s="4"/>
      <c r="T2649" s="4"/>
      <c r="U2649" s="4"/>
      <c r="V2649" s="4"/>
      <c r="W2649" s="4"/>
      <c r="X2649" s="4"/>
    </row>
    <row r="2650" spans="17:24" x14ac:dyDescent="0.3">
      <c r="Q2650" s="4"/>
      <c r="R2650" s="4"/>
      <c r="S2650" s="4"/>
      <c r="T2650" s="4"/>
      <c r="U2650" s="4"/>
      <c r="V2650" s="4"/>
      <c r="W2650" s="4"/>
      <c r="X2650" s="4"/>
    </row>
    <row r="2651" spans="17:24" x14ac:dyDescent="0.3">
      <c r="Q2651" s="4"/>
      <c r="R2651" s="4"/>
      <c r="S2651" s="4"/>
      <c r="T2651" s="4"/>
      <c r="U2651" s="4"/>
      <c r="V2651" s="4"/>
      <c r="W2651" s="4"/>
      <c r="X2651" s="4"/>
    </row>
    <row r="2652" spans="17:24" x14ac:dyDescent="0.3">
      <c r="Q2652" s="4"/>
      <c r="R2652" s="4"/>
      <c r="S2652" s="4"/>
      <c r="T2652" s="4"/>
      <c r="U2652" s="4"/>
      <c r="V2652" s="4"/>
      <c r="W2652" s="4"/>
      <c r="X2652" s="4"/>
    </row>
    <row r="2653" spans="17:24" x14ac:dyDescent="0.3">
      <c r="Q2653" s="4"/>
      <c r="R2653" s="4"/>
      <c r="S2653" s="4"/>
      <c r="T2653" s="4"/>
      <c r="U2653" s="4"/>
      <c r="V2653" s="4"/>
      <c r="W2653" s="4"/>
      <c r="X2653" s="4"/>
    </row>
    <row r="2654" spans="17:24" x14ac:dyDescent="0.3">
      <c r="Q2654" s="4"/>
      <c r="R2654" s="4"/>
      <c r="S2654" s="4"/>
      <c r="T2654" s="4"/>
      <c r="U2654" s="4"/>
      <c r="V2654" s="4"/>
      <c r="W2654" s="4"/>
      <c r="X2654" s="4"/>
    </row>
    <row r="2655" spans="17:24" x14ac:dyDescent="0.3">
      <c r="Q2655" s="4"/>
      <c r="R2655" s="4"/>
      <c r="S2655" s="4"/>
      <c r="T2655" s="4"/>
      <c r="U2655" s="4"/>
      <c r="V2655" s="4"/>
      <c r="W2655" s="4"/>
      <c r="X2655" s="4"/>
    </row>
    <row r="2656" spans="17:24" x14ac:dyDescent="0.3">
      <c r="Q2656" s="4"/>
      <c r="R2656" s="4"/>
      <c r="S2656" s="4"/>
      <c r="T2656" s="4"/>
      <c r="U2656" s="4"/>
      <c r="V2656" s="4"/>
      <c r="W2656" s="4"/>
      <c r="X2656" s="4"/>
    </row>
    <row r="2657" spans="17:24" x14ac:dyDescent="0.3">
      <c r="Q2657" s="4"/>
      <c r="R2657" s="4"/>
      <c r="S2657" s="4"/>
      <c r="T2657" s="4"/>
      <c r="U2657" s="4"/>
      <c r="V2657" s="4"/>
      <c r="W2657" s="4"/>
      <c r="X2657" s="4"/>
    </row>
    <row r="2658" spans="17:24" x14ac:dyDescent="0.3">
      <c r="Q2658" s="4"/>
      <c r="R2658" s="4"/>
      <c r="S2658" s="4"/>
      <c r="T2658" s="4"/>
      <c r="U2658" s="4"/>
      <c r="V2658" s="4"/>
      <c r="W2658" s="4"/>
      <c r="X2658" s="4"/>
    </row>
    <row r="2659" spans="17:24" x14ac:dyDescent="0.3">
      <c r="Q2659" s="4"/>
      <c r="R2659" s="4"/>
      <c r="S2659" s="4"/>
      <c r="T2659" s="4"/>
      <c r="U2659" s="4"/>
      <c r="V2659" s="4"/>
      <c r="W2659" s="4"/>
      <c r="X2659" s="4"/>
    </row>
    <row r="2660" spans="17:24" x14ac:dyDescent="0.3">
      <c r="Q2660" s="4"/>
      <c r="R2660" s="4"/>
      <c r="S2660" s="4"/>
      <c r="T2660" s="4"/>
      <c r="U2660" s="4"/>
      <c r="V2660" s="4"/>
      <c r="W2660" s="4"/>
      <c r="X2660" s="4"/>
    </row>
    <row r="2661" spans="17:24" x14ac:dyDescent="0.3">
      <c r="Q2661" s="4"/>
      <c r="R2661" s="4"/>
      <c r="S2661" s="4"/>
      <c r="T2661" s="4"/>
      <c r="U2661" s="4"/>
      <c r="V2661" s="4"/>
      <c r="W2661" s="4"/>
      <c r="X2661" s="4"/>
    </row>
    <row r="2662" spans="17:24" x14ac:dyDescent="0.3">
      <c r="Q2662" s="4"/>
      <c r="R2662" s="4"/>
      <c r="S2662" s="4"/>
      <c r="T2662" s="4"/>
      <c r="U2662" s="4"/>
      <c r="V2662" s="4"/>
      <c r="W2662" s="4"/>
      <c r="X2662" s="4"/>
    </row>
    <row r="2663" spans="17:24" x14ac:dyDescent="0.3">
      <c r="Q2663" s="4"/>
      <c r="R2663" s="4"/>
      <c r="S2663" s="4"/>
      <c r="T2663" s="4"/>
      <c r="U2663" s="4"/>
      <c r="V2663" s="4"/>
      <c r="W2663" s="4"/>
      <c r="X2663" s="4"/>
    </row>
    <row r="2664" spans="17:24" x14ac:dyDescent="0.3">
      <c r="Q2664" s="4"/>
      <c r="R2664" s="4"/>
      <c r="S2664" s="4"/>
      <c r="T2664" s="4"/>
      <c r="U2664" s="4"/>
      <c r="V2664" s="4"/>
      <c r="W2664" s="4"/>
      <c r="X2664" s="4"/>
    </row>
    <row r="2665" spans="17:24" x14ac:dyDescent="0.3">
      <c r="Q2665" s="4"/>
      <c r="R2665" s="4"/>
      <c r="S2665" s="4"/>
      <c r="T2665" s="4"/>
      <c r="U2665" s="4"/>
      <c r="V2665" s="4"/>
      <c r="W2665" s="4"/>
      <c r="X2665" s="4"/>
    </row>
    <row r="2666" spans="17:24" x14ac:dyDescent="0.3">
      <c r="Q2666" s="4"/>
      <c r="R2666" s="4"/>
      <c r="S2666" s="4"/>
      <c r="T2666" s="4"/>
      <c r="U2666" s="4"/>
      <c r="V2666" s="4"/>
      <c r="W2666" s="4"/>
      <c r="X2666" s="4"/>
    </row>
    <row r="2667" spans="17:24" x14ac:dyDescent="0.3">
      <c r="Q2667" s="4"/>
      <c r="R2667" s="4"/>
      <c r="S2667" s="4"/>
      <c r="T2667" s="4"/>
      <c r="U2667" s="4"/>
      <c r="V2667" s="4"/>
      <c r="W2667" s="4"/>
      <c r="X2667" s="4"/>
    </row>
    <row r="2668" spans="17:24" x14ac:dyDescent="0.3">
      <c r="Q2668" s="4"/>
      <c r="R2668" s="4"/>
      <c r="S2668" s="4"/>
      <c r="T2668" s="4"/>
      <c r="U2668" s="4"/>
      <c r="V2668" s="4"/>
      <c r="W2668" s="4"/>
      <c r="X2668" s="4"/>
    </row>
    <row r="2669" spans="17:24" x14ac:dyDescent="0.3">
      <c r="Q2669" s="4"/>
      <c r="R2669" s="4"/>
      <c r="S2669" s="4"/>
      <c r="T2669" s="4"/>
      <c r="U2669" s="4"/>
      <c r="V2669" s="4"/>
      <c r="W2669" s="4"/>
      <c r="X2669" s="4"/>
    </row>
    <row r="2670" spans="17:24" x14ac:dyDescent="0.3">
      <c r="Q2670" s="4"/>
      <c r="R2670" s="4"/>
      <c r="S2670" s="4"/>
      <c r="T2670" s="4"/>
      <c r="U2670" s="4"/>
      <c r="V2670" s="4"/>
      <c r="W2670" s="4"/>
      <c r="X2670" s="4"/>
    </row>
    <row r="2671" spans="17:24" x14ac:dyDescent="0.3">
      <c r="Q2671" s="4"/>
      <c r="R2671" s="4"/>
      <c r="S2671" s="4"/>
      <c r="T2671" s="4"/>
      <c r="U2671" s="4"/>
      <c r="V2671" s="4"/>
      <c r="W2671" s="4"/>
      <c r="X2671" s="4"/>
    </row>
    <row r="2672" spans="17:24" x14ac:dyDescent="0.3">
      <c r="Q2672" s="4"/>
      <c r="R2672" s="4"/>
      <c r="S2672" s="4"/>
      <c r="T2672" s="4"/>
      <c r="U2672" s="4"/>
      <c r="V2672" s="4"/>
      <c r="W2672" s="4"/>
      <c r="X2672" s="4"/>
    </row>
    <row r="2673" spans="17:24" x14ac:dyDescent="0.3">
      <c r="Q2673" s="4"/>
      <c r="R2673" s="4"/>
      <c r="S2673" s="4"/>
      <c r="T2673" s="4"/>
      <c r="U2673" s="4"/>
      <c r="V2673" s="4"/>
      <c r="W2673" s="4"/>
      <c r="X2673" s="4"/>
    </row>
    <row r="2674" spans="17:24" x14ac:dyDescent="0.3">
      <c r="Q2674" s="4"/>
      <c r="R2674" s="4"/>
      <c r="S2674" s="4"/>
      <c r="T2674" s="4"/>
      <c r="U2674" s="4"/>
      <c r="V2674" s="4"/>
      <c r="W2674" s="4"/>
      <c r="X2674" s="4"/>
    </row>
    <row r="2675" spans="17:24" x14ac:dyDescent="0.3">
      <c r="Q2675" s="4"/>
      <c r="R2675" s="4"/>
      <c r="S2675" s="4"/>
      <c r="T2675" s="4"/>
      <c r="U2675" s="4"/>
      <c r="V2675" s="4"/>
      <c r="W2675" s="4"/>
      <c r="X2675" s="4"/>
    </row>
    <row r="2676" spans="17:24" x14ac:dyDescent="0.3">
      <c r="Q2676" s="4"/>
      <c r="R2676" s="4"/>
      <c r="S2676" s="4"/>
      <c r="T2676" s="4"/>
      <c r="U2676" s="4"/>
      <c r="V2676" s="4"/>
      <c r="W2676" s="4"/>
      <c r="X2676" s="4"/>
    </row>
    <row r="2677" spans="17:24" x14ac:dyDescent="0.3">
      <c r="Q2677" s="4"/>
      <c r="R2677" s="4"/>
      <c r="S2677" s="4"/>
      <c r="T2677" s="4"/>
      <c r="U2677" s="4"/>
      <c r="V2677" s="4"/>
      <c r="W2677" s="4"/>
      <c r="X2677" s="4"/>
    </row>
    <row r="2678" spans="17:24" x14ac:dyDescent="0.3">
      <c r="Q2678" s="4"/>
      <c r="R2678" s="4"/>
      <c r="S2678" s="4"/>
      <c r="T2678" s="4"/>
      <c r="U2678" s="4"/>
      <c r="V2678" s="4"/>
      <c r="W2678" s="4"/>
      <c r="X2678" s="4"/>
    </row>
    <row r="2679" spans="17:24" x14ac:dyDescent="0.3">
      <c r="Q2679" s="4"/>
      <c r="R2679" s="4"/>
      <c r="S2679" s="4"/>
      <c r="T2679" s="4"/>
      <c r="U2679" s="4"/>
      <c r="V2679" s="4"/>
      <c r="W2679" s="4"/>
      <c r="X2679" s="4"/>
    </row>
    <row r="2680" spans="17:24" x14ac:dyDescent="0.3">
      <c r="Q2680" s="4"/>
      <c r="R2680" s="4"/>
      <c r="S2680" s="4"/>
      <c r="T2680" s="4"/>
      <c r="U2680" s="4"/>
      <c r="V2680" s="4"/>
      <c r="W2680" s="4"/>
      <c r="X2680" s="4"/>
    </row>
    <row r="2681" spans="17:24" x14ac:dyDescent="0.3">
      <c r="Q2681" s="4"/>
      <c r="R2681" s="4"/>
      <c r="S2681" s="4"/>
      <c r="T2681" s="4"/>
      <c r="U2681" s="4"/>
      <c r="V2681" s="4"/>
      <c r="W2681" s="4"/>
      <c r="X2681" s="4"/>
    </row>
    <row r="2682" spans="17:24" x14ac:dyDescent="0.3">
      <c r="Q2682" s="4"/>
      <c r="R2682" s="4"/>
      <c r="S2682" s="4"/>
      <c r="T2682" s="4"/>
      <c r="U2682" s="4"/>
      <c r="V2682" s="4"/>
      <c r="W2682" s="4"/>
      <c r="X2682" s="4"/>
    </row>
    <row r="2683" spans="17:24" x14ac:dyDescent="0.3">
      <c r="Q2683" s="4"/>
      <c r="R2683" s="4"/>
      <c r="S2683" s="4"/>
      <c r="T2683" s="4"/>
      <c r="U2683" s="4"/>
      <c r="V2683" s="4"/>
      <c r="W2683" s="4"/>
      <c r="X2683" s="4"/>
    </row>
    <row r="2684" spans="17:24" x14ac:dyDescent="0.3">
      <c r="Q2684" s="4"/>
      <c r="R2684" s="4"/>
      <c r="S2684" s="4"/>
      <c r="T2684" s="4"/>
      <c r="U2684" s="4"/>
      <c r="V2684" s="4"/>
      <c r="W2684" s="4"/>
      <c r="X2684" s="4"/>
    </row>
    <row r="2685" spans="17:24" x14ac:dyDescent="0.3">
      <c r="Q2685" s="4"/>
      <c r="R2685" s="4"/>
      <c r="S2685" s="4"/>
      <c r="T2685" s="4"/>
      <c r="U2685" s="4"/>
      <c r="V2685" s="4"/>
      <c r="W2685" s="4"/>
      <c r="X2685" s="4"/>
    </row>
    <row r="2686" spans="17:24" x14ac:dyDescent="0.3">
      <c r="Q2686" s="4"/>
      <c r="R2686" s="4"/>
      <c r="S2686" s="4"/>
      <c r="T2686" s="4"/>
      <c r="U2686" s="4"/>
      <c r="V2686" s="4"/>
      <c r="W2686" s="4"/>
      <c r="X2686" s="4"/>
    </row>
    <row r="2687" spans="17:24" x14ac:dyDescent="0.3">
      <c r="Q2687" s="4"/>
      <c r="R2687" s="4"/>
      <c r="S2687" s="4"/>
      <c r="T2687" s="4"/>
      <c r="U2687" s="4"/>
      <c r="V2687" s="4"/>
      <c r="W2687" s="4"/>
      <c r="X2687" s="4"/>
    </row>
    <row r="2688" spans="17:24" x14ac:dyDescent="0.3">
      <c r="Q2688" s="4"/>
      <c r="R2688" s="4"/>
      <c r="S2688" s="4"/>
      <c r="T2688" s="4"/>
      <c r="U2688" s="4"/>
      <c r="V2688" s="4"/>
      <c r="W2688" s="4"/>
      <c r="X2688" s="4"/>
    </row>
    <row r="2689" spans="17:24" x14ac:dyDescent="0.3">
      <c r="Q2689" s="4"/>
      <c r="R2689" s="4"/>
      <c r="S2689" s="4"/>
      <c r="T2689" s="4"/>
      <c r="U2689" s="4"/>
      <c r="V2689" s="4"/>
      <c r="W2689" s="4"/>
      <c r="X2689" s="4"/>
    </row>
    <row r="2690" spans="17:24" x14ac:dyDescent="0.3">
      <c r="Q2690" s="4"/>
      <c r="R2690" s="4"/>
      <c r="S2690" s="4"/>
      <c r="T2690" s="4"/>
      <c r="U2690" s="4"/>
      <c r="V2690" s="4"/>
      <c r="W2690" s="4"/>
      <c r="X2690" s="4"/>
    </row>
    <row r="2691" spans="17:24" x14ac:dyDescent="0.3">
      <c r="Q2691" s="4"/>
      <c r="R2691" s="4"/>
      <c r="S2691" s="4"/>
      <c r="T2691" s="4"/>
      <c r="U2691" s="4"/>
      <c r="V2691" s="4"/>
      <c r="W2691" s="4"/>
      <c r="X2691" s="4"/>
    </row>
    <row r="2692" spans="17:24" x14ac:dyDescent="0.3">
      <c r="Q2692" s="4"/>
      <c r="R2692" s="4"/>
      <c r="S2692" s="4"/>
      <c r="T2692" s="4"/>
      <c r="U2692" s="4"/>
      <c r="V2692" s="4"/>
      <c r="W2692" s="4"/>
      <c r="X2692" s="4"/>
    </row>
    <row r="2693" spans="17:24" x14ac:dyDescent="0.3">
      <c r="Q2693" s="4"/>
      <c r="R2693" s="4"/>
      <c r="S2693" s="4"/>
      <c r="T2693" s="4"/>
      <c r="U2693" s="4"/>
      <c r="V2693" s="4"/>
      <c r="W2693" s="4"/>
      <c r="X2693" s="4"/>
    </row>
    <row r="2694" spans="17:24" x14ac:dyDescent="0.3">
      <c r="Q2694" s="4"/>
      <c r="R2694" s="4"/>
      <c r="S2694" s="4"/>
      <c r="T2694" s="4"/>
      <c r="U2694" s="4"/>
      <c r="V2694" s="4"/>
      <c r="W2694" s="4"/>
      <c r="X2694" s="4"/>
    </row>
    <row r="2695" spans="17:24" x14ac:dyDescent="0.3">
      <c r="Q2695" s="4"/>
      <c r="R2695" s="4"/>
      <c r="S2695" s="4"/>
      <c r="T2695" s="4"/>
      <c r="U2695" s="4"/>
      <c r="V2695" s="4"/>
      <c r="W2695" s="4"/>
      <c r="X2695" s="4"/>
    </row>
    <row r="2696" spans="17:24" x14ac:dyDescent="0.3">
      <c r="Q2696" s="4"/>
      <c r="R2696" s="4"/>
      <c r="S2696" s="4"/>
      <c r="T2696" s="4"/>
      <c r="U2696" s="4"/>
      <c r="V2696" s="4"/>
      <c r="W2696" s="4"/>
      <c r="X2696" s="4"/>
    </row>
    <row r="2697" spans="17:24" x14ac:dyDescent="0.3">
      <c r="Q2697" s="4"/>
      <c r="R2697" s="4"/>
      <c r="S2697" s="4"/>
      <c r="T2697" s="4"/>
      <c r="U2697" s="4"/>
      <c r="V2697" s="4"/>
      <c r="W2697" s="4"/>
      <c r="X2697" s="4"/>
    </row>
    <row r="2698" spans="17:24" x14ac:dyDescent="0.3">
      <c r="Q2698" s="4"/>
      <c r="R2698" s="4"/>
      <c r="S2698" s="4"/>
      <c r="T2698" s="4"/>
      <c r="U2698" s="4"/>
      <c r="V2698" s="4"/>
      <c r="W2698" s="4"/>
      <c r="X2698" s="4"/>
    </row>
    <row r="2699" spans="17:24" x14ac:dyDescent="0.3">
      <c r="Q2699" s="4"/>
      <c r="R2699" s="4"/>
      <c r="S2699" s="4"/>
      <c r="T2699" s="4"/>
      <c r="U2699" s="4"/>
      <c r="V2699" s="4"/>
      <c r="W2699" s="4"/>
      <c r="X2699" s="4"/>
    </row>
    <row r="2700" spans="17:24" x14ac:dyDescent="0.3">
      <c r="Q2700" s="4"/>
      <c r="R2700" s="4"/>
      <c r="S2700" s="4"/>
      <c r="T2700" s="4"/>
      <c r="U2700" s="4"/>
      <c r="V2700" s="4"/>
      <c r="W2700" s="4"/>
      <c r="X2700" s="4"/>
    </row>
    <row r="2701" spans="17:24" x14ac:dyDescent="0.3">
      <c r="Q2701" s="4"/>
      <c r="R2701" s="4"/>
      <c r="S2701" s="4"/>
      <c r="T2701" s="4"/>
      <c r="U2701" s="4"/>
      <c r="V2701" s="4"/>
      <c r="W2701" s="4"/>
      <c r="X2701" s="4"/>
    </row>
    <row r="2702" spans="17:24" x14ac:dyDescent="0.3">
      <c r="Q2702" s="4"/>
      <c r="R2702" s="4"/>
      <c r="S2702" s="4"/>
      <c r="T2702" s="4"/>
      <c r="U2702" s="4"/>
      <c r="V2702" s="4"/>
      <c r="W2702" s="4"/>
      <c r="X2702" s="4"/>
    </row>
    <row r="2703" spans="17:24" x14ac:dyDescent="0.3">
      <c r="Q2703" s="4"/>
      <c r="R2703" s="4"/>
      <c r="S2703" s="4"/>
      <c r="T2703" s="4"/>
      <c r="U2703" s="4"/>
      <c r="V2703" s="4"/>
      <c r="W2703" s="4"/>
      <c r="X2703" s="4"/>
    </row>
    <row r="2704" spans="17:24" x14ac:dyDescent="0.3">
      <c r="Q2704" s="4"/>
      <c r="R2704" s="4"/>
      <c r="S2704" s="4"/>
      <c r="T2704" s="4"/>
      <c r="U2704" s="4"/>
      <c r="V2704" s="4"/>
      <c r="W2704" s="4"/>
      <c r="X2704" s="4"/>
    </row>
    <row r="2705" spans="17:24" x14ac:dyDescent="0.3">
      <c r="Q2705" s="4"/>
      <c r="R2705" s="4"/>
      <c r="S2705" s="4"/>
      <c r="T2705" s="4"/>
      <c r="U2705" s="4"/>
      <c r="V2705" s="4"/>
      <c r="W2705" s="4"/>
      <c r="X2705" s="4"/>
    </row>
    <row r="2706" spans="17:24" x14ac:dyDescent="0.3">
      <c r="Q2706" s="4"/>
      <c r="R2706" s="4"/>
      <c r="S2706" s="4"/>
      <c r="T2706" s="4"/>
      <c r="U2706" s="4"/>
      <c r="V2706" s="4"/>
      <c r="W2706" s="4"/>
      <c r="X2706" s="4"/>
    </row>
    <row r="2707" spans="17:24" x14ac:dyDescent="0.3">
      <c r="Q2707" s="4"/>
      <c r="R2707" s="4"/>
      <c r="S2707" s="4"/>
      <c r="T2707" s="4"/>
      <c r="U2707" s="4"/>
      <c r="V2707" s="4"/>
      <c r="W2707" s="4"/>
      <c r="X2707" s="4"/>
    </row>
    <row r="2708" spans="17:24" x14ac:dyDescent="0.3">
      <c r="Q2708" s="4"/>
      <c r="R2708" s="4"/>
      <c r="S2708" s="4"/>
      <c r="T2708" s="4"/>
      <c r="U2708" s="4"/>
      <c r="V2708" s="4"/>
      <c r="W2708" s="4"/>
      <c r="X2708" s="4"/>
    </row>
    <row r="2709" spans="17:24" x14ac:dyDescent="0.3">
      <c r="Q2709" s="4"/>
      <c r="R2709" s="4"/>
      <c r="S2709" s="4"/>
      <c r="T2709" s="4"/>
      <c r="U2709" s="4"/>
      <c r="V2709" s="4"/>
      <c r="W2709" s="4"/>
      <c r="X2709" s="4"/>
    </row>
    <row r="2710" spans="17:24" x14ac:dyDescent="0.3">
      <c r="Q2710" s="4"/>
      <c r="R2710" s="4"/>
      <c r="S2710" s="4"/>
      <c r="T2710" s="4"/>
      <c r="U2710" s="4"/>
      <c r="V2710" s="4"/>
      <c r="W2710" s="4"/>
      <c r="X2710" s="4"/>
    </row>
    <row r="2711" spans="17:24" x14ac:dyDescent="0.3">
      <c r="Q2711" s="4"/>
      <c r="R2711" s="4"/>
      <c r="S2711" s="4"/>
      <c r="T2711" s="4"/>
      <c r="U2711" s="4"/>
      <c r="V2711" s="4"/>
      <c r="W2711" s="4"/>
      <c r="X2711" s="4"/>
    </row>
    <row r="2712" spans="17:24" x14ac:dyDescent="0.3">
      <c r="Q2712" s="4"/>
      <c r="R2712" s="4"/>
      <c r="S2712" s="4"/>
      <c r="T2712" s="4"/>
      <c r="U2712" s="4"/>
      <c r="V2712" s="4"/>
      <c r="W2712" s="4"/>
      <c r="X2712" s="4"/>
    </row>
    <row r="2713" spans="17:24" x14ac:dyDescent="0.3">
      <c r="Q2713" s="4"/>
      <c r="R2713" s="4"/>
      <c r="S2713" s="4"/>
      <c r="T2713" s="4"/>
      <c r="U2713" s="4"/>
      <c r="V2713" s="4"/>
      <c r="W2713" s="4"/>
      <c r="X2713" s="4"/>
    </row>
    <row r="2714" spans="17:24" x14ac:dyDescent="0.3">
      <c r="Q2714" s="4"/>
      <c r="R2714" s="4"/>
      <c r="S2714" s="4"/>
      <c r="T2714" s="4"/>
      <c r="U2714" s="4"/>
      <c r="V2714" s="4"/>
      <c r="W2714" s="4"/>
      <c r="X2714" s="4"/>
    </row>
    <row r="2715" spans="17:24" x14ac:dyDescent="0.3">
      <c r="Q2715" s="4"/>
      <c r="R2715" s="4"/>
      <c r="S2715" s="4"/>
      <c r="T2715" s="4"/>
      <c r="U2715" s="4"/>
      <c r="V2715" s="4"/>
      <c r="W2715" s="4"/>
      <c r="X2715" s="4"/>
    </row>
    <row r="2716" spans="17:24" x14ac:dyDescent="0.3">
      <c r="Q2716" s="4"/>
      <c r="R2716" s="4"/>
      <c r="S2716" s="4"/>
      <c r="T2716" s="4"/>
      <c r="U2716" s="4"/>
      <c r="V2716" s="4"/>
      <c r="W2716" s="4"/>
      <c r="X2716" s="4"/>
    </row>
    <row r="2717" spans="17:24" x14ac:dyDescent="0.3">
      <c r="Q2717" s="4"/>
      <c r="R2717" s="4"/>
      <c r="S2717" s="4"/>
      <c r="T2717" s="4"/>
      <c r="U2717" s="4"/>
      <c r="V2717" s="4"/>
      <c r="W2717" s="4"/>
      <c r="X2717" s="4"/>
    </row>
    <row r="2718" spans="17:24" x14ac:dyDescent="0.3">
      <c r="Q2718" s="4"/>
      <c r="R2718" s="4"/>
      <c r="S2718" s="4"/>
      <c r="T2718" s="4"/>
      <c r="U2718" s="4"/>
      <c r="V2718" s="4"/>
      <c r="W2718" s="4"/>
      <c r="X2718" s="4"/>
    </row>
    <row r="2719" spans="17:24" x14ac:dyDescent="0.3">
      <c r="Q2719" s="4"/>
      <c r="R2719" s="4"/>
      <c r="S2719" s="4"/>
      <c r="T2719" s="4"/>
      <c r="U2719" s="4"/>
      <c r="V2719" s="4"/>
      <c r="W2719" s="4"/>
      <c r="X2719" s="4"/>
    </row>
    <row r="2720" spans="17:24" x14ac:dyDescent="0.3">
      <c r="Q2720" s="4"/>
      <c r="R2720" s="4"/>
      <c r="S2720" s="4"/>
      <c r="T2720" s="4"/>
      <c r="U2720" s="4"/>
      <c r="V2720" s="4"/>
      <c r="W2720" s="4"/>
      <c r="X2720" s="4"/>
    </row>
    <row r="2721" spans="17:24" x14ac:dyDescent="0.3">
      <c r="Q2721" s="4"/>
      <c r="R2721" s="4"/>
      <c r="S2721" s="4"/>
      <c r="T2721" s="4"/>
      <c r="U2721" s="4"/>
      <c r="V2721" s="4"/>
      <c r="W2721" s="4"/>
      <c r="X2721" s="4"/>
    </row>
    <row r="2722" spans="17:24" x14ac:dyDescent="0.3">
      <c r="Q2722" s="4"/>
      <c r="R2722" s="4"/>
      <c r="S2722" s="4"/>
      <c r="T2722" s="4"/>
      <c r="U2722" s="4"/>
      <c r="V2722" s="4"/>
      <c r="W2722" s="4"/>
      <c r="X2722" s="4"/>
    </row>
    <row r="2723" spans="17:24" x14ac:dyDescent="0.3">
      <c r="Q2723" s="4"/>
      <c r="R2723" s="4"/>
      <c r="S2723" s="4"/>
      <c r="T2723" s="4"/>
      <c r="U2723" s="4"/>
      <c r="V2723" s="4"/>
      <c r="W2723" s="4"/>
      <c r="X2723" s="4"/>
    </row>
    <row r="2724" spans="17:24" x14ac:dyDescent="0.3">
      <c r="Q2724" s="4"/>
      <c r="R2724" s="4"/>
      <c r="S2724" s="4"/>
      <c r="T2724" s="4"/>
      <c r="U2724" s="4"/>
      <c r="V2724" s="4"/>
      <c r="W2724" s="4"/>
      <c r="X2724" s="4"/>
    </row>
    <row r="2725" spans="17:24" x14ac:dyDescent="0.3">
      <c r="Q2725" s="4"/>
      <c r="R2725" s="4"/>
      <c r="S2725" s="4"/>
      <c r="T2725" s="4"/>
      <c r="U2725" s="4"/>
      <c r="V2725" s="4"/>
      <c r="W2725" s="4"/>
      <c r="X2725" s="4"/>
    </row>
    <row r="2726" spans="17:24" x14ac:dyDescent="0.3">
      <c r="Q2726" s="4"/>
      <c r="R2726" s="4"/>
      <c r="S2726" s="4"/>
      <c r="T2726" s="4"/>
      <c r="U2726" s="4"/>
      <c r="V2726" s="4"/>
      <c r="W2726" s="4"/>
      <c r="X2726" s="4"/>
    </row>
    <row r="2727" spans="17:24" x14ac:dyDescent="0.3">
      <c r="Q2727" s="4"/>
      <c r="R2727" s="4"/>
      <c r="S2727" s="4"/>
      <c r="T2727" s="4"/>
      <c r="U2727" s="4"/>
      <c r="V2727" s="4"/>
      <c r="W2727" s="4"/>
      <c r="X2727" s="4"/>
    </row>
    <row r="2728" spans="17:24" x14ac:dyDescent="0.3">
      <c r="Q2728" s="4"/>
      <c r="R2728" s="4"/>
      <c r="S2728" s="4"/>
      <c r="T2728" s="4"/>
      <c r="U2728" s="4"/>
      <c r="V2728" s="4"/>
      <c r="W2728" s="4"/>
      <c r="X2728" s="4"/>
    </row>
    <row r="2729" spans="17:24" x14ac:dyDescent="0.3">
      <c r="Q2729" s="4"/>
      <c r="R2729" s="4"/>
      <c r="S2729" s="4"/>
      <c r="T2729" s="4"/>
      <c r="U2729" s="4"/>
      <c r="V2729" s="4"/>
      <c r="W2729" s="4"/>
      <c r="X2729" s="4"/>
    </row>
    <row r="2730" spans="17:24" x14ac:dyDescent="0.3">
      <c r="Q2730" s="4"/>
      <c r="R2730" s="4"/>
      <c r="S2730" s="4"/>
      <c r="T2730" s="4"/>
      <c r="U2730" s="4"/>
      <c r="V2730" s="4"/>
      <c r="W2730" s="4"/>
      <c r="X2730" s="4"/>
    </row>
    <row r="2731" spans="17:24" x14ac:dyDescent="0.3">
      <c r="Q2731" s="4"/>
      <c r="R2731" s="4"/>
      <c r="S2731" s="4"/>
      <c r="T2731" s="4"/>
      <c r="U2731" s="4"/>
      <c r="V2731" s="4"/>
      <c r="W2731" s="4"/>
      <c r="X2731" s="4"/>
    </row>
    <row r="2732" spans="17:24" x14ac:dyDescent="0.3">
      <c r="Q2732" s="4"/>
      <c r="R2732" s="4"/>
      <c r="S2732" s="4"/>
      <c r="T2732" s="4"/>
      <c r="U2732" s="4"/>
      <c r="V2732" s="4"/>
      <c r="W2732" s="4"/>
      <c r="X2732" s="4"/>
    </row>
    <row r="2733" spans="17:24" x14ac:dyDescent="0.3">
      <c r="Q2733" s="4"/>
      <c r="R2733" s="4"/>
      <c r="S2733" s="4"/>
      <c r="T2733" s="4"/>
      <c r="U2733" s="4"/>
      <c r="V2733" s="4"/>
      <c r="W2733" s="4"/>
      <c r="X2733" s="4"/>
    </row>
    <row r="2734" spans="17:24" x14ac:dyDescent="0.3">
      <c r="Q2734" s="4"/>
      <c r="R2734" s="4"/>
      <c r="S2734" s="4"/>
      <c r="T2734" s="4"/>
      <c r="U2734" s="4"/>
      <c r="V2734" s="4"/>
      <c r="W2734" s="4"/>
      <c r="X2734" s="4"/>
    </row>
    <row r="2735" spans="17:24" x14ac:dyDescent="0.3">
      <c r="Q2735" s="4"/>
      <c r="R2735" s="4"/>
      <c r="S2735" s="4"/>
      <c r="T2735" s="4"/>
      <c r="U2735" s="4"/>
      <c r="V2735" s="4"/>
      <c r="W2735" s="4"/>
      <c r="X2735" s="4"/>
    </row>
    <row r="2736" spans="17:24" x14ac:dyDescent="0.3">
      <c r="Q2736" s="4"/>
      <c r="R2736" s="4"/>
      <c r="S2736" s="4"/>
      <c r="T2736" s="4"/>
      <c r="U2736" s="4"/>
      <c r="V2736" s="4"/>
      <c r="W2736" s="4"/>
      <c r="X2736" s="4"/>
    </row>
    <row r="2737" spans="17:24" x14ac:dyDescent="0.3">
      <c r="Q2737" s="4"/>
      <c r="R2737" s="4"/>
      <c r="S2737" s="4"/>
      <c r="T2737" s="4"/>
      <c r="U2737" s="4"/>
      <c r="V2737" s="4"/>
      <c r="W2737" s="4"/>
      <c r="X2737" s="4"/>
    </row>
    <row r="2738" spans="17:24" x14ac:dyDescent="0.3">
      <c r="Q2738" s="4"/>
      <c r="R2738" s="4"/>
      <c r="S2738" s="4"/>
      <c r="T2738" s="4"/>
      <c r="U2738" s="4"/>
      <c r="V2738" s="4"/>
      <c r="W2738" s="4"/>
      <c r="X2738" s="4"/>
    </row>
    <row r="2739" spans="17:24" x14ac:dyDescent="0.3">
      <c r="Q2739" s="4"/>
      <c r="R2739" s="4"/>
      <c r="S2739" s="4"/>
      <c r="T2739" s="4"/>
      <c r="U2739" s="4"/>
      <c r="V2739" s="4"/>
      <c r="W2739" s="4"/>
      <c r="X2739" s="4"/>
    </row>
    <row r="2740" spans="17:24" x14ac:dyDescent="0.3">
      <c r="Q2740" s="4"/>
      <c r="R2740" s="4"/>
      <c r="S2740" s="4"/>
      <c r="T2740" s="4"/>
      <c r="U2740" s="4"/>
      <c r="V2740" s="4"/>
      <c r="W2740" s="4"/>
      <c r="X2740" s="4"/>
    </row>
    <row r="2741" spans="17:24" x14ac:dyDescent="0.3">
      <c r="Q2741" s="4"/>
      <c r="R2741" s="4"/>
      <c r="S2741" s="4"/>
      <c r="T2741" s="4"/>
      <c r="U2741" s="4"/>
      <c r="V2741" s="4"/>
      <c r="W2741" s="4"/>
      <c r="X2741" s="4"/>
    </row>
    <row r="2742" spans="17:24" x14ac:dyDescent="0.3">
      <c r="Q2742" s="4"/>
      <c r="R2742" s="4"/>
      <c r="S2742" s="4"/>
      <c r="T2742" s="4"/>
      <c r="U2742" s="4"/>
      <c r="V2742" s="4"/>
      <c r="W2742" s="4"/>
      <c r="X2742" s="4"/>
    </row>
    <row r="2743" spans="17:24" x14ac:dyDescent="0.3">
      <c r="Q2743" s="4"/>
      <c r="R2743" s="4"/>
      <c r="S2743" s="4"/>
      <c r="T2743" s="4"/>
      <c r="U2743" s="4"/>
      <c r="V2743" s="4"/>
      <c r="W2743" s="4"/>
      <c r="X2743" s="4"/>
    </row>
    <row r="2744" spans="17:24" x14ac:dyDescent="0.3">
      <c r="Q2744" s="4"/>
      <c r="R2744" s="4"/>
      <c r="S2744" s="4"/>
      <c r="T2744" s="4"/>
      <c r="U2744" s="4"/>
      <c r="V2744" s="4"/>
      <c r="W2744" s="4"/>
      <c r="X2744" s="4"/>
    </row>
    <row r="2745" spans="17:24" x14ac:dyDescent="0.3">
      <c r="Q2745" s="4"/>
      <c r="R2745" s="4"/>
      <c r="S2745" s="4"/>
      <c r="T2745" s="4"/>
      <c r="U2745" s="4"/>
      <c r="V2745" s="4"/>
      <c r="W2745" s="4"/>
      <c r="X2745" s="4"/>
    </row>
    <row r="2746" spans="17:24" x14ac:dyDescent="0.3">
      <c r="Q2746" s="4"/>
      <c r="R2746" s="4"/>
      <c r="S2746" s="4"/>
      <c r="T2746" s="4"/>
      <c r="U2746" s="4"/>
      <c r="V2746" s="4"/>
      <c r="W2746" s="4"/>
      <c r="X2746" s="4"/>
    </row>
    <row r="2747" spans="17:24" x14ac:dyDescent="0.3">
      <c r="Q2747" s="4"/>
      <c r="R2747" s="4"/>
      <c r="S2747" s="4"/>
      <c r="T2747" s="4"/>
      <c r="U2747" s="4"/>
      <c r="V2747" s="4"/>
      <c r="W2747" s="4"/>
      <c r="X2747" s="4"/>
    </row>
    <row r="2748" spans="17:24" x14ac:dyDescent="0.3">
      <c r="Q2748" s="4"/>
      <c r="R2748" s="4"/>
      <c r="S2748" s="4"/>
      <c r="T2748" s="4"/>
      <c r="U2748" s="4"/>
      <c r="V2748" s="4"/>
      <c r="W2748" s="4"/>
      <c r="X2748" s="4"/>
    </row>
    <row r="2749" spans="17:24" x14ac:dyDescent="0.3">
      <c r="Q2749" s="4"/>
      <c r="R2749" s="4"/>
      <c r="S2749" s="4"/>
      <c r="T2749" s="4"/>
      <c r="U2749" s="4"/>
      <c r="V2749" s="4"/>
      <c r="W2749" s="4"/>
      <c r="X2749" s="4"/>
    </row>
    <row r="2750" spans="17:24" x14ac:dyDescent="0.3">
      <c r="Q2750" s="4"/>
      <c r="R2750" s="4"/>
      <c r="S2750" s="4"/>
      <c r="T2750" s="4"/>
      <c r="U2750" s="4"/>
      <c r="V2750" s="4"/>
      <c r="W2750" s="4"/>
      <c r="X2750" s="4"/>
    </row>
    <row r="2751" spans="17:24" x14ac:dyDescent="0.3">
      <c r="Q2751" s="4"/>
      <c r="R2751" s="4"/>
      <c r="S2751" s="4"/>
      <c r="T2751" s="4"/>
      <c r="U2751" s="4"/>
      <c r="V2751" s="4"/>
      <c r="W2751" s="4"/>
      <c r="X2751" s="4"/>
    </row>
    <row r="2752" spans="17:24" x14ac:dyDescent="0.3">
      <c r="Q2752" s="4"/>
      <c r="R2752" s="4"/>
      <c r="S2752" s="4"/>
      <c r="T2752" s="4"/>
      <c r="U2752" s="4"/>
      <c r="V2752" s="4"/>
      <c r="W2752" s="4"/>
      <c r="X2752" s="4"/>
    </row>
    <row r="2753" spans="17:24" x14ac:dyDescent="0.3">
      <c r="Q2753" s="4"/>
      <c r="R2753" s="4"/>
      <c r="S2753" s="4"/>
      <c r="T2753" s="4"/>
      <c r="U2753" s="4"/>
      <c r="V2753" s="4"/>
      <c r="W2753" s="4"/>
      <c r="X2753" s="4"/>
    </row>
    <row r="2754" spans="17:24" x14ac:dyDescent="0.3">
      <c r="Q2754" s="4"/>
      <c r="R2754" s="4"/>
      <c r="S2754" s="4"/>
      <c r="T2754" s="4"/>
      <c r="U2754" s="4"/>
      <c r="V2754" s="4"/>
      <c r="W2754" s="4"/>
      <c r="X2754" s="4"/>
    </row>
    <row r="2755" spans="17:24" x14ac:dyDescent="0.3">
      <c r="Q2755" s="4"/>
      <c r="R2755" s="4"/>
      <c r="S2755" s="4"/>
      <c r="T2755" s="4"/>
      <c r="U2755" s="4"/>
      <c r="V2755" s="4"/>
      <c r="W2755" s="4"/>
      <c r="X2755" s="4"/>
    </row>
    <row r="2756" spans="17:24" x14ac:dyDescent="0.3">
      <c r="Q2756" s="4"/>
      <c r="R2756" s="4"/>
      <c r="S2756" s="4"/>
      <c r="T2756" s="4"/>
      <c r="U2756" s="4"/>
      <c r="V2756" s="4"/>
      <c r="W2756" s="4"/>
      <c r="X2756" s="4"/>
    </row>
    <row r="2757" spans="17:24" x14ac:dyDescent="0.3">
      <c r="Q2757" s="4"/>
      <c r="R2757" s="4"/>
      <c r="S2757" s="4"/>
      <c r="T2757" s="4"/>
      <c r="U2757" s="4"/>
      <c r="V2757" s="4"/>
      <c r="W2757" s="4"/>
      <c r="X2757" s="4"/>
    </row>
    <row r="2758" spans="17:24" x14ac:dyDescent="0.3">
      <c r="Q2758" s="4"/>
      <c r="R2758" s="4"/>
      <c r="S2758" s="4"/>
      <c r="T2758" s="4"/>
      <c r="U2758" s="4"/>
      <c r="V2758" s="4"/>
      <c r="W2758" s="4"/>
      <c r="X2758" s="4"/>
    </row>
    <row r="2759" spans="17:24" x14ac:dyDescent="0.3">
      <c r="Q2759" s="4"/>
      <c r="R2759" s="4"/>
      <c r="S2759" s="4"/>
      <c r="T2759" s="4"/>
      <c r="U2759" s="4"/>
      <c r="V2759" s="4"/>
      <c r="W2759" s="4"/>
      <c r="X2759" s="4"/>
    </row>
    <row r="2760" spans="17:24" x14ac:dyDescent="0.3">
      <c r="Q2760" s="4"/>
      <c r="R2760" s="4"/>
      <c r="S2760" s="4"/>
      <c r="T2760" s="4"/>
      <c r="U2760" s="4"/>
      <c r="V2760" s="4"/>
      <c r="W2760" s="4"/>
      <c r="X2760" s="4"/>
    </row>
    <row r="2761" spans="17:24" x14ac:dyDescent="0.3">
      <c r="Q2761" s="4"/>
      <c r="R2761" s="4"/>
      <c r="S2761" s="4"/>
      <c r="T2761" s="4"/>
      <c r="U2761" s="4"/>
      <c r="V2761" s="4"/>
      <c r="W2761" s="4"/>
      <c r="X2761" s="4"/>
    </row>
    <row r="2762" spans="17:24" x14ac:dyDescent="0.3">
      <c r="Q2762" s="4"/>
      <c r="R2762" s="4"/>
      <c r="S2762" s="4"/>
      <c r="T2762" s="4"/>
      <c r="U2762" s="4"/>
      <c r="V2762" s="4"/>
      <c r="W2762" s="4"/>
      <c r="X2762" s="4"/>
    </row>
    <row r="2763" spans="17:24" x14ac:dyDescent="0.3">
      <c r="Q2763" s="4"/>
      <c r="R2763" s="4"/>
      <c r="S2763" s="4"/>
      <c r="T2763" s="4"/>
      <c r="U2763" s="4"/>
      <c r="V2763" s="4"/>
      <c r="W2763" s="4"/>
      <c r="X2763" s="4"/>
    </row>
    <row r="2764" spans="17:24" x14ac:dyDescent="0.3">
      <c r="Q2764" s="4"/>
      <c r="R2764" s="4"/>
      <c r="S2764" s="4"/>
      <c r="T2764" s="4"/>
      <c r="U2764" s="4"/>
      <c r="V2764" s="4"/>
      <c r="W2764" s="4"/>
      <c r="X2764" s="4"/>
    </row>
    <row r="2765" spans="17:24" x14ac:dyDescent="0.3">
      <c r="Q2765" s="4"/>
      <c r="R2765" s="4"/>
      <c r="S2765" s="4"/>
      <c r="T2765" s="4"/>
      <c r="U2765" s="4"/>
      <c r="V2765" s="4"/>
      <c r="W2765" s="4"/>
      <c r="X2765" s="4"/>
    </row>
    <row r="2766" spans="17:24" x14ac:dyDescent="0.3">
      <c r="Q2766" s="4"/>
      <c r="R2766" s="4"/>
      <c r="S2766" s="4"/>
      <c r="T2766" s="4"/>
      <c r="U2766" s="4"/>
      <c r="V2766" s="4"/>
      <c r="W2766" s="4"/>
      <c r="X2766" s="4"/>
    </row>
    <row r="2767" spans="17:24" x14ac:dyDescent="0.3">
      <c r="Q2767" s="4"/>
      <c r="R2767" s="4"/>
      <c r="S2767" s="4"/>
      <c r="T2767" s="4"/>
      <c r="U2767" s="4"/>
      <c r="V2767" s="4"/>
      <c r="W2767" s="4"/>
      <c r="X2767" s="4"/>
    </row>
    <row r="2768" spans="17:24" x14ac:dyDescent="0.3">
      <c r="Q2768" s="4"/>
      <c r="R2768" s="4"/>
      <c r="S2768" s="4"/>
      <c r="T2768" s="4"/>
      <c r="U2768" s="4"/>
      <c r="V2768" s="4"/>
      <c r="W2768" s="4"/>
      <c r="X2768" s="4"/>
    </row>
    <row r="2769" spans="17:24" x14ac:dyDescent="0.3">
      <c r="Q2769" s="4"/>
      <c r="R2769" s="4"/>
      <c r="S2769" s="4"/>
      <c r="T2769" s="4"/>
      <c r="U2769" s="4"/>
      <c r="V2769" s="4"/>
      <c r="W2769" s="4"/>
      <c r="X2769" s="4"/>
    </row>
    <row r="2770" spans="17:24" x14ac:dyDescent="0.3">
      <c r="Q2770" s="4"/>
      <c r="R2770" s="4"/>
      <c r="S2770" s="4"/>
      <c r="T2770" s="4"/>
      <c r="U2770" s="4"/>
      <c r="V2770" s="4"/>
      <c r="W2770" s="4"/>
      <c r="X2770" s="4"/>
    </row>
    <row r="2771" spans="17:24" x14ac:dyDescent="0.3">
      <c r="Q2771" s="4"/>
      <c r="R2771" s="4"/>
      <c r="S2771" s="4"/>
      <c r="T2771" s="4"/>
      <c r="U2771" s="4"/>
      <c r="V2771" s="4"/>
      <c r="W2771" s="4"/>
      <c r="X2771" s="4"/>
    </row>
    <row r="2772" spans="17:24" x14ac:dyDescent="0.3">
      <c r="Q2772" s="4"/>
      <c r="R2772" s="4"/>
      <c r="S2772" s="4"/>
      <c r="T2772" s="4"/>
      <c r="U2772" s="4"/>
      <c r="V2772" s="4"/>
      <c r="W2772" s="4"/>
      <c r="X2772" s="4"/>
    </row>
    <row r="2773" spans="17:24" x14ac:dyDescent="0.3">
      <c r="Q2773" s="4"/>
      <c r="R2773" s="4"/>
      <c r="S2773" s="4"/>
      <c r="T2773" s="4"/>
      <c r="U2773" s="4"/>
      <c r="V2773" s="4"/>
      <c r="W2773" s="4"/>
      <c r="X2773" s="4"/>
    </row>
    <row r="2774" spans="17:24" x14ac:dyDescent="0.3">
      <c r="Q2774" s="4"/>
      <c r="R2774" s="4"/>
      <c r="S2774" s="4"/>
      <c r="T2774" s="4"/>
      <c r="U2774" s="4"/>
      <c r="V2774" s="4"/>
      <c r="W2774" s="4"/>
      <c r="X2774" s="4"/>
    </row>
    <row r="2775" spans="17:24" x14ac:dyDescent="0.3">
      <c r="Q2775" s="4"/>
      <c r="R2775" s="4"/>
      <c r="S2775" s="4"/>
      <c r="T2775" s="4"/>
      <c r="U2775" s="4"/>
      <c r="V2775" s="4"/>
      <c r="W2775" s="4"/>
      <c r="X2775" s="4"/>
    </row>
    <row r="2776" spans="17:24" x14ac:dyDescent="0.3">
      <c r="Q2776" s="4"/>
      <c r="R2776" s="4"/>
      <c r="S2776" s="4"/>
      <c r="T2776" s="4"/>
      <c r="U2776" s="4"/>
      <c r="V2776" s="4"/>
      <c r="W2776" s="4"/>
      <c r="X2776" s="4"/>
    </row>
    <row r="2777" spans="17:24" x14ac:dyDescent="0.3">
      <c r="Q2777" s="4"/>
      <c r="R2777" s="4"/>
      <c r="S2777" s="4"/>
      <c r="T2777" s="4"/>
      <c r="U2777" s="4"/>
      <c r="V2777" s="4"/>
      <c r="W2777" s="4"/>
      <c r="X2777" s="4"/>
    </row>
    <row r="2778" spans="17:24" x14ac:dyDescent="0.3">
      <c r="Q2778" s="4"/>
      <c r="R2778" s="4"/>
      <c r="S2778" s="4"/>
      <c r="T2778" s="4"/>
      <c r="U2778" s="4"/>
      <c r="V2778" s="4"/>
      <c r="W2778" s="4"/>
      <c r="X2778" s="4"/>
    </row>
    <row r="2779" spans="17:24" x14ac:dyDescent="0.3">
      <c r="Q2779" s="4"/>
      <c r="R2779" s="4"/>
      <c r="S2779" s="4"/>
      <c r="T2779" s="4"/>
      <c r="U2779" s="4"/>
      <c r="V2779" s="4"/>
      <c r="W2779" s="4"/>
      <c r="X2779" s="4"/>
    </row>
    <row r="2780" spans="17:24" x14ac:dyDescent="0.3">
      <c r="Q2780" s="4"/>
      <c r="R2780" s="4"/>
      <c r="S2780" s="4"/>
      <c r="T2780" s="4"/>
      <c r="U2780" s="4"/>
      <c r="V2780" s="4"/>
      <c r="W2780" s="4"/>
      <c r="X2780" s="4"/>
    </row>
    <row r="2781" spans="17:24" x14ac:dyDescent="0.3">
      <c r="Q2781" s="4"/>
      <c r="R2781" s="4"/>
      <c r="S2781" s="4"/>
      <c r="T2781" s="4"/>
      <c r="U2781" s="4"/>
      <c r="V2781" s="4"/>
      <c r="W2781" s="4"/>
      <c r="X2781" s="4"/>
    </row>
    <row r="2782" spans="17:24" x14ac:dyDescent="0.3">
      <c r="Q2782" s="4"/>
      <c r="R2782" s="4"/>
      <c r="S2782" s="4"/>
      <c r="T2782" s="4"/>
      <c r="U2782" s="4"/>
      <c r="V2782" s="4"/>
      <c r="W2782" s="4"/>
      <c r="X2782" s="4"/>
    </row>
    <row r="2783" spans="17:24" x14ac:dyDescent="0.3">
      <c r="Q2783" s="4"/>
      <c r="R2783" s="4"/>
      <c r="S2783" s="4"/>
      <c r="T2783" s="4"/>
      <c r="U2783" s="4"/>
      <c r="V2783" s="4"/>
      <c r="W2783" s="4"/>
      <c r="X2783" s="4"/>
    </row>
    <row r="2784" spans="17:24" x14ac:dyDescent="0.3">
      <c r="Q2784" s="4"/>
      <c r="R2784" s="4"/>
      <c r="S2784" s="4"/>
      <c r="T2784" s="4"/>
      <c r="U2784" s="4"/>
      <c r="V2784" s="4"/>
      <c r="W2784" s="4"/>
      <c r="X2784" s="4"/>
    </row>
    <row r="2785" spans="17:24" x14ac:dyDescent="0.3">
      <c r="Q2785" s="4"/>
      <c r="R2785" s="4"/>
      <c r="S2785" s="4"/>
      <c r="T2785" s="4"/>
      <c r="U2785" s="4"/>
      <c r="V2785" s="4"/>
      <c r="W2785" s="4"/>
      <c r="X2785" s="4"/>
    </row>
    <row r="2786" spans="17:24" x14ac:dyDescent="0.3">
      <c r="Q2786" s="4"/>
      <c r="R2786" s="4"/>
      <c r="S2786" s="4"/>
      <c r="T2786" s="4"/>
      <c r="U2786" s="4"/>
      <c r="V2786" s="4"/>
      <c r="W2786" s="4"/>
      <c r="X2786" s="4"/>
    </row>
    <row r="2787" spans="17:24" x14ac:dyDescent="0.3">
      <c r="Q2787" s="4"/>
      <c r="R2787" s="4"/>
      <c r="S2787" s="4"/>
      <c r="T2787" s="4"/>
      <c r="U2787" s="4"/>
      <c r="V2787" s="4"/>
      <c r="W2787" s="4"/>
      <c r="X2787" s="4"/>
    </row>
    <row r="2788" spans="17:24" x14ac:dyDescent="0.3">
      <c r="Q2788" s="4"/>
      <c r="R2788" s="4"/>
      <c r="S2788" s="4"/>
      <c r="T2788" s="4"/>
      <c r="U2788" s="4"/>
      <c r="V2788" s="4"/>
      <c r="W2788" s="4"/>
      <c r="X2788" s="4"/>
    </row>
    <row r="2789" spans="17:24" x14ac:dyDescent="0.3">
      <c r="Q2789" s="4"/>
      <c r="R2789" s="4"/>
      <c r="S2789" s="4"/>
      <c r="T2789" s="4"/>
      <c r="U2789" s="4"/>
      <c r="V2789" s="4"/>
      <c r="W2789" s="4"/>
      <c r="X2789" s="4"/>
    </row>
    <row r="2790" spans="17:24" x14ac:dyDescent="0.3">
      <c r="Q2790" s="4"/>
      <c r="R2790" s="4"/>
      <c r="S2790" s="4"/>
      <c r="T2790" s="4"/>
      <c r="U2790" s="4"/>
      <c r="V2790" s="4"/>
      <c r="W2790" s="4"/>
      <c r="X2790" s="4"/>
    </row>
    <row r="2791" spans="17:24" x14ac:dyDescent="0.3">
      <c r="Q2791" s="4"/>
      <c r="R2791" s="4"/>
      <c r="S2791" s="4"/>
      <c r="T2791" s="4"/>
      <c r="U2791" s="4"/>
      <c r="V2791" s="4"/>
      <c r="W2791" s="4"/>
      <c r="X2791" s="4"/>
    </row>
    <row r="2792" spans="17:24" x14ac:dyDescent="0.3">
      <c r="Q2792" s="4"/>
      <c r="R2792" s="4"/>
      <c r="S2792" s="4"/>
      <c r="T2792" s="4"/>
      <c r="U2792" s="4"/>
      <c r="V2792" s="4"/>
      <c r="W2792" s="4"/>
      <c r="X2792" s="4"/>
    </row>
    <row r="2793" spans="17:24" x14ac:dyDescent="0.3">
      <c r="Q2793" s="4"/>
      <c r="R2793" s="4"/>
      <c r="S2793" s="4"/>
      <c r="T2793" s="4"/>
      <c r="U2793" s="4"/>
      <c r="V2793" s="4"/>
      <c r="W2793" s="4"/>
      <c r="X2793" s="4"/>
    </row>
    <row r="2794" spans="17:24" x14ac:dyDescent="0.3">
      <c r="Q2794" s="4"/>
      <c r="R2794" s="4"/>
      <c r="S2794" s="4"/>
      <c r="T2794" s="4"/>
      <c r="U2794" s="4"/>
      <c r="V2794" s="4"/>
      <c r="W2794" s="4"/>
      <c r="X2794" s="4"/>
    </row>
    <row r="2795" spans="17:24" x14ac:dyDescent="0.3">
      <c r="Q2795" s="4"/>
      <c r="R2795" s="4"/>
      <c r="S2795" s="4"/>
      <c r="T2795" s="4"/>
      <c r="U2795" s="4"/>
      <c r="V2795" s="4"/>
      <c r="W2795" s="4"/>
      <c r="X2795" s="4"/>
    </row>
    <row r="2796" spans="17:24" x14ac:dyDescent="0.3">
      <c r="Q2796" s="4"/>
      <c r="R2796" s="4"/>
      <c r="S2796" s="4"/>
      <c r="T2796" s="4"/>
      <c r="U2796" s="4"/>
      <c r="V2796" s="4"/>
      <c r="W2796" s="4"/>
      <c r="X2796" s="4"/>
    </row>
    <row r="2797" spans="17:24" x14ac:dyDescent="0.3">
      <c r="Q2797" s="4"/>
      <c r="R2797" s="4"/>
      <c r="S2797" s="4"/>
      <c r="T2797" s="4"/>
      <c r="U2797" s="4"/>
      <c r="V2797" s="4"/>
      <c r="W2797" s="4"/>
      <c r="X2797" s="4"/>
    </row>
    <row r="2798" spans="17:24" x14ac:dyDescent="0.3">
      <c r="Q2798" s="4"/>
      <c r="R2798" s="4"/>
      <c r="S2798" s="4"/>
      <c r="T2798" s="4"/>
      <c r="U2798" s="4"/>
      <c r="V2798" s="4"/>
      <c r="W2798" s="4"/>
      <c r="X2798" s="4"/>
    </row>
    <row r="2799" spans="17:24" x14ac:dyDescent="0.3">
      <c r="Q2799" s="4"/>
      <c r="R2799" s="4"/>
      <c r="S2799" s="4"/>
      <c r="T2799" s="4"/>
      <c r="U2799" s="4"/>
      <c r="V2799" s="4"/>
      <c r="W2799" s="4"/>
      <c r="X2799" s="4"/>
    </row>
    <row r="2800" spans="17:24" x14ac:dyDescent="0.3">
      <c r="Q2800" s="4"/>
      <c r="R2800" s="4"/>
      <c r="S2800" s="4"/>
      <c r="T2800" s="4"/>
      <c r="U2800" s="4"/>
      <c r="V2800" s="4"/>
      <c r="W2800" s="4"/>
      <c r="X2800" s="4"/>
    </row>
    <row r="2801" spans="17:24" x14ac:dyDescent="0.3">
      <c r="Q2801" s="4"/>
      <c r="R2801" s="4"/>
      <c r="S2801" s="4"/>
      <c r="T2801" s="4"/>
      <c r="U2801" s="4"/>
      <c r="V2801" s="4"/>
      <c r="W2801" s="4"/>
      <c r="X2801" s="4"/>
    </row>
    <row r="2802" spans="17:24" x14ac:dyDescent="0.3">
      <c r="Q2802" s="4"/>
      <c r="R2802" s="4"/>
      <c r="S2802" s="4"/>
      <c r="T2802" s="4"/>
      <c r="U2802" s="4"/>
      <c r="V2802" s="4"/>
      <c r="W2802" s="4"/>
      <c r="X2802" s="4"/>
    </row>
    <row r="2803" spans="17:24" x14ac:dyDescent="0.3">
      <c r="Q2803" s="4"/>
      <c r="R2803" s="4"/>
      <c r="S2803" s="4"/>
      <c r="T2803" s="4"/>
      <c r="U2803" s="4"/>
      <c r="V2803" s="4"/>
      <c r="W2803" s="4"/>
      <c r="X2803" s="4"/>
    </row>
    <row r="2804" spans="17:24" x14ac:dyDescent="0.3">
      <c r="Q2804" s="4"/>
      <c r="R2804" s="4"/>
      <c r="S2804" s="4"/>
      <c r="T2804" s="4"/>
      <c r="U2804" s="4"/>
      <c r="V2804" s="4"/>
      <c r="W2804" s="4"/>
      <c r="X2804" s="4"/>
    </row>
    <row r="2805" spans="17:24" x14ac:dyDescent="0.3">
      <c r="Q2805" s="4"/>
      <c r="R2805" s="4"/>
      <c r="S2805" s="4"/>
      <c r="T2805" s="4"/>
      <c r="U2805" s="4"/>
      <c r="V2805" s="4"/>
      <c r="W2805" s="4"/>
      <c r="X2805" s="4"/>
    </row>
    <row r="2806" spans="17:24" x14ac:dyDescent="0.3">
      <c r="Q2806" s="4"/>
      <c r="R2806" s="4"/>
      <c r="S2806" s="4"/>
      <c r="T2806" s="4"/>
      <c r="U2806" s="4"/>
      <c r="V2806" s="4"/>
      <c r="W2806" s="4"/>
      <c r="X2806" s="4"/>
    </row>
    <row r="2807" spans="17:24" x14ac:dyDescent="0.3">
      <c r="Q2807" s="4"/>
      <c r="R2807" s="4"/>
      <c r="S2807" s="4"/>
      <c r="T2807" s="4"/>
      <c r="U2807" s="4"/>
      <c r="V2807" s="4"/>
      <c r="W2807" s="4"/>
      <c r="X2807" s="4"/>
    </row>
    <row r="2808" spans="17:24" x14ac:dyDescent="0.3">
      <c r="Q2808" s="4"/>
      <c r="R2808" s="4"/>
      <c r="S2808" s="4"/>
      <c r="T2808" s="4"/>
      <c r="U2808" s="4"/>
      <c r="V2808" s="4"/>
      <c r="W2808" s="4"/>
      <c r="X2808" s="4"/>
    </row>
    <row r="2809" spans="17:24" x14ac:dyDescent="0.3">
      <c r="Q2809" s="4"/>
      <c r="R2809" s="4"/>
      <c r="S2809" s="4"/>
      <c r="T2809" s="4"/>
      <c r="U2809" s="4"/>
      <c r="V2809" s="4"/>
      <c r="W2809" s="4"/>
      <c r="X2809" s="4"/>
    </row>
    <row r="2810" spans="17:24" x14ac:dyDescent="0.3">
      <c r="Q2810" s="4"/>
      <c r="R2810" s="4"/>
      <c r="S2810" s="4"/>
      <c r="T2810" s="4"/>
      <c r="U2810" s="4"/>
      <c r="V2810" s="4"/>
      <c r="W2810" s="4"/>
      <c r="X2810" s="4"/>
    </row>
    <row r="2811" spans="17:24" x14ac:dyDescent="0.3">
      <c r="Q2811" s="4"/>
      <c r="R2811" s="4"/>
      <c r="S2811" s="4"/>
      <c r="T2811" s="4"/>
      <c r="U2811" s="4"/>
      <c r="V2811" s="4"/>
      <c r="W2811" s="4"/>
      <c r="X2811" s="4"/>
    </row>
    <row r="2812" spans="17:24" x14ac:dyDescent="0.3">
      <c r="Q2812" s="4"/>
      <c r="R2812" s="4"/>
      <c r="S2812" s="4"/>
      <c r="T2812" s="4"/>
      <c r="U2812" s="4"/>
      <c r="V2812" s="4"/>
      <c r="W2812" s="4"/>
      <c r="X2812" s="4"/>
    </row>
    <row r="2813" spans="17:24" x14ac:dyDescent="0.3">
      <c r="Q2813" s="4"/>
      <c r="R2813" s="4"/>
      <c r="S2813" s="4"/>
      <c r="T2813" s="4"/>
      <c r="U2813" s="4"/>
      <c r="V2813" s="4"/>
      <c r="W2813" s="4"/>
      <c r="X2813" s="4"/>
    </row>
    <row r="2814" spans="17:24" x14ac:dyDescent="0.3">
      <c r="Q2814" s="4"/>
      <c r="R2814" s="4"/>
      <c r="S2814" s="4"/>
      <c r="T2814" s="4"/>
      <c r="U2814" s="4"/>
      <c r="V2814" s="4"/>
      <c r="W2814" s="4"/>
      <c r="X2814" s="4"/>
    </row>
    <row r="2815" spans="17:24" x14ac:dyDescent="0.3">
      <c r="Q2815" s="4"/>
      <c r="R2815" s="4"/>
      <c r="S2815" s="4"/>
      <c r="T2815" s="4"/>
      <c r="U2815" s="4"/>
      <c r="V2815" s="4"/>
      <c r="W2815" s="4"/>
      <c r="X2815" s="4"/>
    </row>
    <row r="2816" spans="17:24" x14ac:dyDescent="0.3">
      <c r="Q2816" s="4"/>
      <c r="R2816" s="4"/>
      <c r="S2816" s="4"/>
      <c r="T2816" s="4"/>
      <c r="U2816" s="4"/>
      <c r="V2816" s="4"/>
      <c r="W2816" s="4"/>
      <c r="X2816" s="4"/>
    </row>
    <row r="2817" spans="17:24" x14ac:dyDescent="0.3">
      <c r="Q2817" s="4"/>
      <c r="R2817" s="4"/>
      <c r="S2817" s="4"/>
      <c r="T2817" s="4"/>
      <c r="U2817" s="4"/>
      <c r="V2817" s="4"/>
      <c r="W2817" s="4"/>
      <c r="X2817" s="4"/>
    </row>
    <row r="2818" spans="17:24" x14ac:dyDescent="0.3">
      <c r="Q2818" s="4"/>
      <c r="R2818" s="4"/>
      <c r="S2818" s="4"/>
      <c r="T2818" s="4"/>
      <c r="U2818" s="4"/>
      <c r="V2818" s="4"/>
      <c r="W2818" s="4"/>
      <c r="X2818" s="4"/>
    </row>
    <row r="2819" spans="17:24" x14ac:dyDescent="0.3">
      <c r="Q2819" s="4"/>
      <c r="R2819" s="4"/>
      <c r="S2819" s="4"/>
      <c r="T2819" s="4"/>
      <c r="U2819" s="4"/>
      <c r="V2819" s="4"/>
      <c r="W2819" s="4"/>
      <c r="X2819" s="4"/>
    </row>
    <row r="2820" spans="17:24" x14ac:dyDescent="0.3">
      <c r="Q2820" s="4"/>
      <c r="R2820" s="4"/>
      <c r="S2820" s="4"/>
      <c r="T2820" s="4"/>
      <c r="U2820" s="4"/>
      <c r="V2820" s="4"/>
      <c r="W2820" s="4"/>
      <c r="X2820" s="4"/>
    </row>
    <row r="2821" spans="17:24" x14ac:dyDescent="0.3">
      <c r="Q2821" s="4"/>
      <c r="R2821" s="4"/>
      <c r="S2821" s="4"/>
      <c r="T2821" s="4"/>
      <c r="U2821" s="4"/>
      <c r="V2821" s="4"/>
      <c r="W2821" s="4"/>
      <c r="X2821" s="4"/>
    </row>
    <row r="2822" spans="17:24" x14ac:dyDescent="0.3">
      <c r="Q2822" s="4"/>
      <c r="R2822" s="4"/>
      <c r="S2822" s="4"/>
      <c r="T2822" s="4"/>
      <c r="U2822" s="4"/>
      <c r="V2822" s="4"/>
      <c r="W2822" s="4"/>
      <c r="X2822" s="4"/>
    </row>
    <row r="2823" spans="17:24" x14ac:dyDescent="0.3">
      <c r="Q2823" s="4"/>
      <c r="R2823" s="4"/>
      <c r="S2823" s="4"/>
      <c r="T2823" s="4"/>
      <c r="U2823" s="4"/>
      <c r="V2823" s="4"/>
      <c r="W2823" s="4"/>
      <c r="X2823" s="4"/>
    </row>
    <row r="2824" spans="17:24" x14ac:dyDescent="0.3">
      <c r="Q2824" s="4"/>
      <c r="R2824" s="4"/>
      <c r="S2824" s="4"/>
      <c r="T2824" s="4"/>
      <c r="U2824" s="4"/>
      <c r="V2824" s="4"/>
      <c r="W2824" s="4"/>
      <c r="X2824" s="4"/>
    </row>
    <row r="2825" spans="17:24" x14ac:dyDescent="0.3">
      <c r="Q2825" s="4"/>
      <c r="R2825" s="4"/>
      <c r="S2825" s="4"/>
      <c r="T2825" s="4"/>
      <c r="U2825" s="4"/>
      <c r="V2825" s="4"/>
      <c r="W2825" s="4"/>
      <c r="X2825" s="4"/>
    </row>
    <row r="2826" spans="17:24" x14ac:dyDescent="0.3">
      <c r="Q2826" s="4"/>
      <c r="R2826" s="4"/>
      <c r="S2826" s="4"/>
      <c r="T2826" s="4"/>
      <c r="U2826" s="4"/>
      <c r="V2826" s="4"/>
      <c r="W2826" s="4"/>
      <c r="X2826" s="4"/>
    </row>
    <row r="2827" spans="17:24" x14ac:dyDescent="0.3">
      <c r="Q2827" s="4"/>
      <c r="R2827" s="4"/>
      <c r="S2827" s="4"/>
      <c r="T2827" s="4"/>
      <c r="U2827" s="4"/>
      <c r="V2827" s="4"/>
      <c r="W2827" s="4"/>
      <c r="X2827" s="4"/>
    </row>
    <row r="2828" spans="17:24" x14ac:dyDescent="0.3">
      <c r="Q2828" s="4"/>
      <c r="R2828" s="4"/>
      <c r="S2828" s="4"/>
      <c r="T2828" s="4"/>
      <c r="U2828" s="4"/>
      <c r="V2828" s="4"/>
      <c r="W2828" s="4"/>
      <c r="X2828" s="4"/>
    </row>
    <row r="2829" spans="17:24" x14ac:dyDescent="0.3">
      <c r="Q2829" s="4"/>
      <c r="R2829" s="4"/>
      <c r="S2829" s="4"/>
      <c r="T2829" s="4"/>
      <c r="U2829" s="4"/>
      <c r="V2829" s="4"/>
      <c r="W2829" s="4"/>
      <c r="X2829" s="4"/>
    </row>
    <row r="2830" spans="17:24" x14ac:dyDescent="0.3">
      <c r="Q2830" s="4"/>
      <c r="R2830" s="4"/>
      <c r="S2830" s="4"/>
      <c r="T2830" s="4"/>
      <c r="U2830" s="4"/>
      <c r="V2830" s="4"/>
      <c r="W2830" s="4"/>
      <c r="X2830" s="4"/>
    </row>
    <row r="2831" spans="17:24" x14ac:dyDescent="0.3">
      <c r="Q2831" s="4"/>
      <c r="R2831" s="4"/>
      <c r="S2831" s="4"/>
      <c r="T2831" s="4"/>
      <c r="U2831" s="4"/>
      <c r="V2831" s="4"/>
      <c r="W2831" s="4"/>
      <c r="X2831" s="4"/>
    </row>
    <row r="2832" spans="17:24" x14ac:dyDescent="0.3">
      <c r="Q2832" s="4"/>
      <c r="R2832" s="4"/>
      <c r="S2832" s="4"/>
      <c r="T2832" s="4"/>
      <c r="U2832" s="4"/>
      <c r="V2832" s="4"/>
      <c r="W2832" s="4"/>
      <c r="X2832" s="4"/>
    </row>
    <row r="2833" spans="17:24" x14ac:dyDescent="0.3">
      <c r="Q2833" s="4"/>
      <c r="R2833" s="4"/>
      <c r="S2833" s="4"/>
      <c r="T2833" s="4"/>
      <c r="U2833" s="4"/>
      <c r="V2833" s="4"/>
      <c r="W2833" s="4"/>
      <c r="X2833" s="4"/>
    </row>
    <row r="2834" spans="17:24" x14ac:dyDescent="0.3">
      <c r="Q2834" s="4"/>
      <c r="R2834" s="4"/>
      <c r="S2834" s="4"/>
      <c r="T2834" s="4"/>
      <c r="U2834" s="4"/>
      <c r="V2834" s="4"/>
      <c r="W2834" s="4"/>
      <c r="X2834" s="4"/>
    </row>
    <row r="2835" spans="17:24" x14ac:dyDescent="0.3">
      <c r="Q2835" s="4"/>
      <c r="R2835" s="4"/>
      <c r="S2835" s="4"/>
      <c r="T2835" s="4"/>
      <c r="U2835" s="4"/>
      <c r="V2835" s="4"/>
      <c r="W2835" s="4"/>
      <c r="X2835" s="4"/>
    </row>
    <row r="2836" spans="17:24" x14ac:dyDescent="0.3">
      <c r="Q2836" s="4"/>
      <c r="R2836" s="4"/>
      <c r="S2836" s="4"/>
      <c r="T2836" s="4"/>
      <c r="U2836" s="4"/>
      <c r="V2836" s="4"/>
      <c r="W2836" s="4"/>
      <c r="X2836" s="4"/>
    </row>
    <row r="2837" spans="17:24" x14ac:dyDescent="0.3">
      <c r="Q2837" s="4"/>
      <c r="R2837" s="4"/>
      <c r="S2837" s="4"/>
      <c r="T2837" s="4"/>
      <c r="U2837" s="4"/>
      <c r="V2837" s="4"/>
      <c r="W2837" s="4"/>
      <c r="X2837" s="4"/>
    </row>
    <row r="2838" spans="17:24" x14ac:dyDescent="0.3">
      <c r="Q2838" s="4"/>
      <c r="R2838" s="4"/>
      <c r="S2838" s="4"/>
      <c r="T2838" s="4"/>
      <c r="U2838" s="4"/>
      <c r="V2838" s="4"/>
      <c r="W2838" s="4"/>
      <c r="X2838" s="4"/>
    </row>
    <row r="2839" spans="17:24" x14ac:dyDescent="0.3">
      <c r="Q2839" s="4"/>
      <c r="R2839" s="4"/>
      <c r="S2839" s="4"/>
      <c r="T2839" s="4"/>
      <c r="U2839" s="4"/>
      <c r="V2839" s="4"/>
      <c r="W2839" s="4"/>
      <c r="X2839" s="4"/>
    </row>
    <row r="2840" spans="17:24" x14ac:dyDescent="0.3">
      <c r="Q2840" s="4"/>
      <c r="R2840" s="4"/>
      <c r="S2840" s="4"/>
      <c r="T2840" s="4"/>
      <c r="U2840" s="4"/>
      <c r="V2840" s="4"/>
      <c r="W2840" s="4"/>
      <c r="X2840" s="4"/>
    </row>
    <row r="2841" spans="17:24" x14ac:dyDescent="0.3">
      <c r="Q2841" s="4"/>
      <c r="R2841" s="4"/>
      <c r="S2841" s="4"/>
      <c r="T2841" s="4"/>
      <c r="U2841" s="4"/>
      <c r="V2841" s="4"/>
      <c r="W2841" s="4"/>
      <c r="X2841" s="4"/>
    </row>
    <row r="2842" spans="17:24" x14ac:dyDescent="0.3">
      <c r="Q2842" s="4"/>
      <c r="R2842" s="4"/>
      <c r="S2842" s="4"/>
      <c r="T2842" s="4"/>
      <c r="U2842" s="4"/>
      <c r="V2842" s="4"/>
      <c r="W2842" s="4"/>
      <c r="X2842" s="4"/>
    </row>
    <row r="2843" spans="17:24" x14ac:dyDescent="0.3">
      <c r="Q2843" s="4"/>
      <c r="R2843" s="4"/>
      <c r="S2843" s="4"/>
      <c r="T2843" s="4"/>
      <c r="U2843" s="4"/>
      <c r="V2843" s="4"/>
      <c r="W2843" s="4"/>
      <c r="X2843" s="4"/>
    </row>
    <row r="2844" spans="17:24" x14ac:dyDescent="0.3">
      <c r="Q2844" s="4"/>
      <c r="R2844" s="4"/>
      <c r="S2844" s="4"/>
      <c r="T2844" s="4"/>
      <c r="U2844" s="4"/>
      <c r="V2844" s="4"/>
      <c r="W2844" s="4"/>
      <c r="X2844" s="4"/>
    </row>
    <row r="2845" spans="17:24" x14ac:dyDescent="0.3">
      <c r="Q2845" s="4"/>
      <c r="R2845" s="4"/>
      <c r="S2845" s="4"/>
      <c r="T2845" s="4"/>
      <c r="U2845" s="4"/>
      <c r="V2845" s="4"/>
      <c r="W2845" s="4"/>
      <c r="X2845" s="4"/>
    </row>
    <row r="2846" spans="17:24" x14ac:dyDescent="0.3">
      <c r="Q2846" s="4"/>
      <c r="R2846" s="4"/>
      <c r="S2846" s="4"/>
      <c r="T2846" s="4"/>
      <c r="U2846" s="4"/>
      <c r="V2846" s="4"/>
      <c r="W2846" s="4"/>
      <c r="X2846" s="4"/>
    </row>
    <row r="2847" spans="17:24" x14ac:dyDescent="0.3">
      <c r="Q2847" s="4"/>
      <c r="R2847" s="4"/>
      <c r="S2847" s="4"/>
      <c r="T2847" s="4"/>
      <c r="U2847" s="4"/>
      <c r="V2847" s="4"/>
      <c r="W2847" s="4"/>
      <c r="X2847" s="4"/>
    </row>
    <row r="2848" spans="17:24" x14ac:dyDescent="0.3">
      <c r="Q2848" s="4"/>
      <c r="R2848" s="4"/>
      <c r="S2848" s="4"/>
      <c r="T2848" s="4"/>
      <c r="U2848" s="4"/>
      <c r="V2848" s="4"/>
      <c r="W2848" s="4"/>
      <c r="X2848" s="4"/>
    </row>
    <row r="2849" spans="17:24" x14ac:dyDescent="0.3">
      <c r="Q2849" s="4"/>
      <c r="R2849" s="4"/>
      <c r="S2849" s="4"/>
      <c r="T2849" s="4"/>
      <c r="U2849" s="4"/>
      <c r="V2849" s="4"/>
      <c r="W2849" s="4"/>
      <c r="X2849" s="4"/>
    </row>
    <row r="2850" spans="17:24" x14ac:dyDescent="0.3">
      <c r="Q2850" s="4"/>
      <c r="R2850" s="4"/>
      <c r="S2850" s="4"/>
      <c r="T2850" s="4"/>
      <c r="U2850" s="4"/>
      <c r="V2850" s="4"/>
      <c r="W2850" s="4"/>
      <c r="X2850" s="4"/>
    </row>
    <row r="2851" spans="17:24" x14ac:dyDescent="0.3">
      <c r="Q2851" s="4"/>
      <c r="R2851" s="4"/>
      <c r="S2851" s="4"/>
      <c r="T2851" s="4"/>
      <c r="U2851" s="4"/>
      <c r="V2851" s="4"/>
      <c r="W2851" s="4"/>
      <c r="X2851" s="4"/>
    </row>
    <row r="2852" spans="17:24" x14ac:dyDescent="0.3">
      <c r="Q2852" s="4"/>
      <c r="R2852" s="4"/>
      <c r="S2852" s="4"/>
      <c r="T2852" s="4"/>
      <c r="U2852" s="4"/>
      <c r="V2852" s="4"/>
      <c r="W2852" s="4"/>
      <c r="X2852" s="4"/>
    </row>
    <row r="2853" spans="17:24" x14ac:dyDescent="0.3">
      <c r="Q2853" s="4"/>
      <c r="R2853" s="4"/>
      <c r="S2853" s="4"/>
      <c r="T2853" s="4"/>
      <c r="U2853" s="4"/>
      <c r="V2853" s="4"/>
      <c r="W2853" s="4"/>
      <c r="X2853" s="4"/>
    </row>
    <row r="2854" spans="17:24" x14ac:dyDescent="0.3">
      <c r="Q2854" s="4"/>
      <c r="R2854" s="4"/>
      <c r="S2854" s="4"/>
      <c r="T2854" s="4"/>
      <c r="U2854" s="4"/>
      <c r="V2854" s="4"/>
      <c r="W2854" s="4"/>
      <c r="X2854" s="4"/>
    </row>
    <row r="2855" spans="17:24" x14ac:dyDescent="0.3">
      <c r="Q2855" s="4"/>
      <c r="R2855" s="4"/>
      <c r="S2855" s="4"/>
      <c r="T2855" s="4"/>
      <c r="U2855" s="4"/>
      <c r="V2855" s="4"/>
      <c r="W2855" s="4"/>
      <c r="X2855" s="4"/>
    </row>
    <row r="2856" spans="17:24" x14ac:dyDescent="0.3">
      <c r="Q2856" s="4"/>
      <c r="R2856" s="4"/>
      <c r="S2856" s="4"/>
      <c r="T2856" s="4"/>
      <c r="U2856" s="4"/>
      <c r="V2856" s="4"/>
      <c r="W2856" s="4"/>
      <c r="X2856" s="4"/>
    </row>
    <row r="2857" spans="17:24" x14ac:dyDescent="0.3">
      <c r="Q2857" s="4"/>
      <c r="R2857" s="4"/>
      <c r="S2857" s="4"/>
      <c r="T2857" s="4"/>
      <c r="U2857" s="4"/>
      <c r="V2857" s="4"/>
      <c r="W2857" s="4"/>
      <c r="X2857" s="4"/>
    </row>
    <row r="2858" spans="17:24" x14ac:dyDescent="0.3">
      <c r="Q2858" s="4"/>
      <c r="R2858" s="4"/>
      <c r="S2858" s="4"/>
      <c r="T2858" s="4"/>
      <c r="U2858" s="4"/>
      <c r="V2858" s="4"/>
      <c r="W2858" s="4"/>
      <c r="X2858" s="4"/>
    </row>
    <row r="2859" spans="17:24" x14ac:dyDescent="0.3">
      <c r="Q2859" s="4"/>
      <c r="R2859" s="4"/>
      <c r="S2859" s="4"/>
      <c r="T2859" s="4"/>
      <c r="U2859" s="4"/>
      <c r="V2859" s="4"/>
      <c r="W2859" s="4"/>
      <c r="X2859" s="4"/>
    </row>
    <row r="2860" spans="17:24" x14ac:dyDescent="0.3">
      <c r="Q2860" s="4"/>
      <c r="R2860" s="4"/>
      <c r="S2860" s="4"/>
      <c r="T2860" s="4"/>
      <c r="U2860" s="4"/>
      <c r="V2860" s="4"/>
      <c r="W2860" s="4"/>
      <c r="X2860" s="4"/>
    </row>
    <row r="2861" spans="17:24" x14ac:dyDescent="0.3">
      <c r="Q2861" s="4"/>
      <c r="R2861" s="4"/>
      <c r="S2861" s="4"/>
      <c r="T2861" s="4"/>
      <c r="U2861" s="4"/>
      <c r="V2861" s="4"/>
      <c r="W2861" s="4"/>
      <c r="X2861" s="4"/>
    </row>
    <row r="2862" spans="17:24" x14ac:dyDescent="0.3">
      <c r="Q2862" s="4"/>
      <c r="R2862" s="4"/>
      <c r="S2862" s="4"/>
      <c r="T2862" s="4"/>
      <c r="U2862" s="4"/>
      <c r="V2862" s="4"/>
      <c r="W2862" s="4"/>
      <c r="X2862" s="4"/>
    </row>
    <row r="2863" spans="17:24" x14ac:dyDescent="0.3">
      <c r="Q2863" s="4"/>
      <c r="R2863" s="4"/>
      <c r="S2863" s="4"/>
      <c r="T2863" s="4"/>
      <c r="U2863" s="4"/>
      <c r="V2863" s="4"/>
      <c r="W2863" s="4"/>
      <c r="X2863" s="4"/>
    </row>
    <row r="2864" spans="17:24" x14ac:dyDescent="0.3">
      <c r="Q2864" s="4"/>
      <c r="R2864" s="4"/>
      <c r="S2864" s="4"/>
      <c r="T2864" s="4"/>
      <c r="U2864" s="4"/>
      <c r="V2864" s="4"/>
      <c r="W2864" s="4"/>
      <c r="X2864" s="4"/>
    </row>
    <row r="2865" spans="17:24" x14ac:dyDescent="0.3">
      <c r="Q2865" s="4"/>
      <c r="R2865" s="4"/>
      <c r="S2865" s="4"/>
      <c r="T2865" s="4"/>
      <c r="U2865" s="4"/>
      <c r="V2865" s="4"/>
      <c r="W2865" s="4"/>
      <c r="X2865" s="4"/>
    </row>
    <row r="2866" spans="17:24" x14ac:dyDescent="0.3">
      <c r="Q2866" s="4"/>
      <c r="R2866" s="4"/>
      <c r="S2866" s="4"/>
      <c r="T2866" s="4"/>
      <c r="U2866" s="4"/>
      <c r="V2866" s="4"/>
      <c r="W2866" s="4"/>
      <c r="X2866" s="4"/>
    </row>
    <row r="2867" spans="17:24" x14ac:dyDescent="0.3">
      <c r="Q2867" s="4"/>
      <c r="R2867" s="4"/>
      <c r="S2867" s="4"/>
      <c r="T2867" s="4"/>
      <c r="U2867" s="4"/>
      <c r="V2867" s="4"/>
      <c r="W2867" s="4"/>
      <c r="X2867" s="4"/>
    </row>
    <row r="2868" spans="17:24" x14ac:dyDescent="0.3">
      <c r="Q2868" s="4"/>
      <c r="R2868" s="4"/>
      <c r="S2868" s="4"/>
      <c r="T2868" s="4"/>
      <c r="U2868" s="4"/>
      <c r="V2868" s="4"/>
      <c r="W2868" s="4"/>
      <c r="X2868" s="4"/>
    </row>
    <row r="2869" spans="17:24" x14ac:dyDescent="0.3">
      <c r="Q2869" s="4"/>
      <c r="R2869" s="4"/>
      <c r="S2869" s="4"/>
      <c r="T2869" s="4"/>
      <c r="U2869" s="4"/>
      <c r="V2869" s="4"/>
      <c r="W2869" s="4"/>
      <c r="X2869" s="4"/>
    </row>
    <row r="2870" spans="17:24" x14ac:dyDescent="0.3">
      <c r="Q2870" s="4"/>
      <c r="R2870" s="4"/>
      <c r="S2870" s="4"/>
      <c r="T2870" s="4"/>
      <c r="U2870" s="4"/>
      <c r="V2870" s="4"/>
      <c r="W2870" s="4"/>
      <c r="X2870" s="4"/>
    </row>
    <row r="2871" spans="17:24" x14ac:dyDescent="0.3">
      <c r="Q2871" s="4"/>
      <c r="R2871" s="4"/>
      <c r="S2871" s="4"/>
      <c r="T2871" s="4"/>
      <c r="U2871" s="4"/>
      <c r="V2871" s="4"/>
      <c r="W2871" s="4"/>
      <c r="X2871" s="4"/>
    </row>
    <row r="2872" spans="17:24" x14ac:dyDescent="0.3">
      <c r="Q2872" s="4"/>
      <c r="R2872" s="4"/>
      <c r="S2872" s="4"/>
      <c r="T2872" s="4"/>
      <c r="U2872" s="4"/>
      <c r="V2872" s="4"/>
      <c r="W2872" s="4"/>
      <c r="X2872" s="4"/>
    </row>
    <row r="2873" spans="17:24" x14ac:dyDescent="0.3">
      <c r="Q2873" s="4"/>
      <c r="R2873" s="4"/>
      <c r="S2873" s="4"/>
      <c r="T2873" s="4"/>
      <c r="U2873" s="4"/>
      <c r="V2873" s="4"/>
      <c r="W2873" s="4"/>
      <c r="X2873" s="4"/>
    </row>
    <row r="2874" spans="17:24" x14ac:dyDescent="0.3">
      <c r="Q2874" s="4"/>
      <c r="R2874" s="4"/>
      <c r="S2874" s="4"/>
      <c r="T2874" s="4"/>
      <c r="U2874" s="4"/>
      <c r="V2874" s="4"/>
      <c r="W2874" s="4"/>
      <c r="X2874" s="4"/>
    </row>
    <row r="2875" spans="17:24" x14ac:dyDescent="0.3">
      <c r="Q2875" s="4"/>
      <c r="R2875" s="4"/>
      <c r="S2875" s="4"/>
      <c r="T2875" s="4"/>
      <c r="U2875" s="4"/>
      <c r="V2875" s="4"/>
      <c r="W2875" s="4"/>
      <c r="X2875" s="4"/>
    </row>
    <row r="2876" spans="17:24" x14ac:dyDescent="0.3">
      <c r="Q2876" s="4"/>
      <c r="R2876" s="4"/>
      <c r="S2876" s="4"/>
      <c r="T2876" s="4"/>
      <c r="U2876" s="4"/>
      <c r="V2876" s="4"/>
      <c r="W2876" s="4"/>
      <c r="X2876" s="4"/>
    </row>
    <row r="2877" spans="17:24" x14ac:dyDescent="0.3">
      <c r="Q2877" s="4"/>
      <c r="R2877" s="4"/>
      <c r="S2877" s="4"/>
      <c r="T2877" s="4"/>
      <c r="U2877" s="4"/>
      <c r="V2877" s="4"/>
      <c r="W2877" s="4"/>
      <c r="X2877" s="4"/>
    </row>
    <row r="2878" spans="17:24" x14ac:dyDescent="0.3">
      <c r="Q2878" s="4"/>
      <c r="R2878" s="4"/>
      <c r="S2878" s="4"/>
      <c r="T2878" s="4"/>
      <c r="U2878" s="4"/>
      <c r="V2878" s="4"/>
      <c r="W2878" s="4"/>
      <c r="X2878" s="4"/>
    </row>
    <row r="2879" spans="17:24" x14ac:dyDescent="0.3">
      <c r="Q2879" s="4"/>
      <c r="R2879" s="4"/>
      <c r="S2879" s="4"/>
      <c r="T2879" s="4"/>
      <c r="U2879" s="4"/>
      <c r="V2879" s="4"/>
      <c r="W2879" s="4"/>
      <c r="X2879" s="4"/>
    </row>
    <row r="2880" spans="17:24" x14ac:dyDescent="0.3">
      <c r="Q2880" s="4"/>
      <c r="R2880" s="4"/>
      <c r="S2880" s="4"/>
      <c r="T2880" s="4"/>
      <c r="U2880" s="4"/>
      <c r="V2880" s="4"/>
      <c r="W2880" s="4"/>
      <c r="X2880" s="4"/>
    </row>
    <row r="2881" spans="17:24" x14ac:dyDescent="0.3">
      <c r="Q2881" s="4"/>
      <c r="R2881" s="4"/>
      <c r="S2881" s="4"/>
      <c r="T2881" s="4"/>
      <c r="U2881" s="4"/>
      <c r="V2881" s="4"/>
      <c r="W2881" s="4"/>
      <c r="X2881" s="4"/>
    </row>
    <row r="2882" spans="17:24" x14ac:dyDescent="0.3">
      <c r="Q2882" s="4"/>
      <c r="R2882" s="4"/>
      <c r="S2882" s="4"/>
      <c r="T2882" s="4"/>
      <c r="U2882" s="4"/>
      <c r="V2882" s="4"/>
      <c r="W2882" s="4"/>
      <c r="X2882" s="4"/>
    </row>
    <row r="2883" spans="17:24" x14ac:dyDescent="0.3">
      <c r="Q2883" s="4"/>
      <c r="R2883" s="4"/>
      <c r="S2883" s="4"/>
      <c r="T2883" s="4"/>
      <c r="U2883" s="4"/>
      <c r="V2883" s="4"/>
      <c r="W2883" s="4"/>
      <c r="X2883" s="4"/>
    </row>
    <row r="2884" spans="17:24" x14ac:dyDescent="0.3">
      <c r="Q2884" s="4"/>
      <c r="R2884" s="4"/>
      <c r="S2884" s="4"/>
      <c r="T2884" s="4"/>
      <c r="U2884" s="4"/>
      <c r="V2884" s="4"/>
      <c r="W2884" s="4"/>
      <c r="X2884" s="4"/>
    </row>
    <row r="2885" spans="17:24" x14ac:dyDescent="0.3">
      <c r="Q2885" s="4"/>
      <c r="R2885" s="4"/>
      <c r="S2885" s="4"/>
      <c r="T2885" s="4"/>
      <c r="U2885" s="4"/>
      <c r="V2885" s="4"/>
      <c r="W2885" s="4"/>
      <c r="X2885" s="4"/>
    </row>
    <row r="2886" spans="17:24" x14ac:dyDescent="0.3">
      <c r="Q2886" s="4"/>
      <c r="R2886" s="4"/>
      <c r="S2886" s="4"/>
      <c r="T2886" s="4"/>
      <c r="U2886" s="4"/>
      <c r="V2886" s="4"/>
      <c r="W2886" s="4"/>
      <c r="X2886" s="4"/>
    </row>
    <row r="2887" spans="17:24" x14ac:dyDescent="0.3">
      <c r="Q2887" s="4"/>
      <c r="R2887" s="4"/>
      <c r="S2887" s="4"/>
      <c r="T2887" s="4"/>
      <c r="U2887" s="4"/>
      <c r="V2887" s="4"/>
      <c r="W2887" s="4"/>
      <c r="X2887" s="4"/>
    </row>
    <row r="2888" spans="17:24" x14ac:dyDescent="0.3">
      <c r="Q2888" s="4"/>
      <c r="R2888" s="4"/>
      <c r="S2888" s="4"/>
      <c r="T2888" s="4"/>
      <c r="U2888" s="4"/>
      <c r="V2888" s="4"/>
      <c r="W2888" s="4"/>
      <c r="X2888" s="4"/>
    </row>
    <row r="2889" spans="17:24" x14ac:dyDescent="0.3">
      <c r="Q2889" s="4"/>
      <c r="R2889" s="4"/>
      <c r="S2889" s="4"/>
      <c r="T2889" s="4"/>
      <c r="U2889" s="4"/>
      <c r="V2889" s="4"/>
      <c r="W2889" s="4"/>
      <c r="X2889" s="4"/>
    </row>
    <row r="2890" spans="17:24" x14ac:dyDescent="0.3">
      <c r="Q2890" s="4"/>
      <c r="R2890" s="4"/>
      <c r="S2890" s="4"/>
      <c r="T2890" s="4"/>
      <c r="U2890" s="4"/>
      <c r="V2890" s="4"/>
      <c r="W2890" s="4"/>
      <c r="X2890" s="4"/>
    </row>
    <row r="2891" spans="17:24" x14ac:dyDescent="0.3">
      <c r="Q2891" s="4"/>
      <c r="R2891" s="4"/>
      <c r="S2891" s="4"/>
      <c r="T2891" s="4"/>
      <c r="U2891" s="4"/>
      <c r="V2891" s="4"/>
      <c r="W2891" s="4"/>
      <c r="X2891" s="4"/>
    </row>
    <row r="2892" spans="17:24" x14ac:dyDescent="0.3">
      <c r="Q2892" s="4"/>
      <c r="R2892" s="4"/>
      <c r="S2892" s="4"/>
      <c r="T2892" s="4"/>
      <c r="U2892" s="4"/>
      <c r="V2892" s="4"/>
      <c r="W2892" s="4"/>
      <c r="X2892" s="4"/>
    </row>
    <row r="2893" spans="17:24" x14ac:dyDescent="0.3">
      <c r="Q2893" s="4"/>
      <c r="R2893" s="4"/>
      <c r="S2893" s="4"/>
      <c r="T2893" s="4"/>
      <c r="U2893" s="4"/>
      <c r="V2893" s="4"/>
      <c r="W2893" s="4"/>
      <c r="X2893" s="4"/>
    </row>
    <row r="2894" spans="17:24" x14ac:dyDescent="0.3">
      <c r="Q2894" s="4"/>
      <c r="R2894" s="4"/>
      <c r="S2894" s="4"/>
      <c r="T2894" s="4"/>
      <c r="U2894" s="4"/>
      <c r="V2894" s="4"/>
      <c r="W2894" s="4"/>
      <c r="X2894" s="4"/>
    </row>
    <row r="2895" spans="17:24" x14ac:dyDescent="0.3">
      <c r="Q2895" s="4"/>
      <c r="R2895" s="4"/>
      <c r="S2895" s="4"/>
      <c r="T2895" s="4"/>
      <c r="U2895" s="4"/>
      <c r="V2895" s="4"/>
      <c r="W2895" s="4"/>
      <c r="X2895" s="4"/>
    </row>
    <row r="2896" spans="17:24" x14ac:dyDescent="0.3">
      <c r="Q2896" s="4"/>
      <c r="R2896" s="4"/>
      <c r="S2896" s="4"/>
      <c r="T2896" s="4"/>
      <c r="U2896" s="4"/>
      <c r="V2896" s="4"/>
      <c r="W2896" s="4"/>
      <c r="X2896" s="4"/>
    </row>
    <row r="2897" spans="17:24" x14ac:dyDescent="0.3">
      <c r="Q2897" s="4"/>
      <c r="R2897" s="4"/>
      <c r="S2897" s="4"/>
      <c r="T2897" s="4"/>
      <c r="U2897" s="4"/>
      <c r="V2897" s="4"/>
      <c r="W2897" s="4"/>
      <c r="X2897" s="4"/>
    </row>
    <row r="2898" spans="17:24" x14ac:dyDescent="0.3">
      <c r="Q2898" s="4"/>
      <c r="R2898" s="4"/>
      <c r="S2898" s="4"/>
      <c r="T2898" s="4"/>
      <c r="U2898" s="4"/>
      <c r="V2898" s="4"/>
      <c r="W2898" s="4"/>
      <c r="X2898" s="4"/>
    </row>
    <row r="2899" spans="17:24" x14ac:dyDescent="0.3">
      <c r="Q2899" s="4"/>
      <c r="R2899" s="4"/>
      <c r="S2899" s="4"/>
      <c r="T2899" s="4"/>
      <c r="U2899" s="4"/>
      <c r="V2899" s="4"/>
      <c r="W2899" s="4"/>
      <c r="X2899" s="4"/>
    </row>
    <row r="2900" spans="17:24" x14ac:dyDescent="0.3">
      <c r="Q2900" s="4"/>
      <c r="R2900" s="4"/>
      <c r="S2900" s="4"/>
      <c r="T2900" s="4"/>
      <c r="U2900" s="4"/>
      <c r="V2900" s="4"/>
      <c r="W2900" s="4"/>
      <c r="X2900" s="4"/>
    </row>
    <row r="2901" spans="17:24" x14ac:dyDescent="0.3">
      <c r="Q2901" s="4"/>
      <c r="R2901" s="4"/>
      <c r="S2901" s="4"/>
      <c r="T2901" s="4"/>
      <c r="U2901" s="4"/>
      <c r="V2901" s="4"/>
      <c r="W2901" s="4"/>
      <c r="X2901" s="4"/>
    </row>
    <row r="2902" spans="17:24" x14ac:dyDescent="0.3">
      <c r="Q2902" s="4"/>
      <c r="R2902" s="4"/>
      <c r="S2902" s="4"/>
      <c r="T2902" s="4"/>
      <c r="U2902" s="4"/>
      <c r="V2902" s="4"/>
      <c r="W2902" s="4"/>
      <c r="X2902" s="4"/>
    </row>
    <row r="2903" spans="17:24" x14ac:dyDescent="0.3">
      <c r="Q2903" s="4"/>
      <c r="R2903" s="4"/>
      <c r="S2903" s="4"/>
      <c r="T2903" s="4"/>
      <c r="U2903" s="4"/>
      <c r="V2903" s="4"/>
      <c r="W2903" s="4"/>
      <c r="X2903" s="4"/>
    </row>
    <row r="2904" spans="17:24" x14ac:dyDescent="0.3">
      <c r="Q2904" s="4"/>
      <c r="R2904" s="4"/>
      <c r="S2904" s="4"/>
      <c r="T2904" s="4"/>
      <c r="U2904" s="4"/>
      <c r="V2904" s="4"/>
      <c r="W2904" s="4"/>
      <c r="X2904" s="4"/>
    </row>
    <row r="2905" spans="17:24" x14ac:dyDescent="0.3">
      <c r="Q2905" s="4"/>
      <c r="R2905" s="4"/>
      <c r="S2905" s="4"/>
      <c r="T2905" s="4"/>
      <c r="U2905" s="4"/>
      <c r="V2905" s="4"/>
      <c r="W2905" s="4"/>
      <c r="X2905" s="4"/>
    </row>
    <row r="2906" spans="17:24" x14ac:dyDescent="0.3">
      <c r="Q2906" s="4"/>
      <c r="R2906" s="4"/>
      <c r="S2906" s="4"/>
      <c r="T2906" s="4"/>
      <c r="U2906" s="4"/>
      <c r="V2906" s="4"/>
      <c r="W2906" s="4"/>
      <c r="X2906" s="4"/>
    </row>
    <row r="2907" spans="17:24" x14ac:dyDescent="0.3">
      <c r="Q2907" s="4"/>
      <c r="R2907" s="4"/>
      <c r="S2907" s="4"/>
      <c r="T2907" s="4"/>
      <c r="U2907" s="4"/>
      <c r="V2907" s="4"/>
      <c r="W2907" s="4"/>
      <c r="X2907" s="4"/>
    </row>
    <row r="2908" spans="17:24" x14ac:dyDescent="0.3">
      <c r="Q2908" s="4"/>
      <c r="R2908" s="4"/>
      <c r="S2908" s="4"/>
      <c r="T2908" s="4"/>
      <c r="U2908" s="4"/>
      <c r="V2908" s="4"/>
      <c r="W2908" s="4"/>
      <c r="X2908" s="4"/>
    </row>
    <row r="2909" spans="17:24" x14ac:dyDescent="0.3">
      <c r="Q2909" s="4"/>
      <c r="R2909" s="4"/>
      <c r="S2909" s="4"/>
      <c r="T2909" s="4"/>
      <c r="U2909" s="4"/>
      <c r="V2909" s="4"/>
      <c r="W2909" s="4"/>
      <c r="X2909" s="4"/>
    </row>
    <row r="2910" spans="17:24" x14ac:dyDescent="0.3">
      <c r="Q2910" s="4"/>
      <c r="R2910" s="4"/>
      <c r="S2910" s="4"/>
      <c r="T2910" s="4"/>
      <c r="U2910" s="4"/>
      <c r="V2910" s="4"/>
      <c r="W2910" s="4"/>
      <c r="X2910" s="4"/>
    </row>
    <row r="2911" spans="17:24" x14ac:dyDescent="0.3">
      <c r="Q2911" s="4"/>
      <c r="R2911" s="4"/>
      <c r="S2911" s="4"/>
      <c r="T2911" s="4"/>
      <c r="U2911" s="4"/>
      <c r="V2911" s="4"/>
      <c r="W2911" s="4"/>
      <c r="X2911" s="4"/>
    </row>
    <row r="2912" spans="17:24" x14ac:dyDescent="0.3">
      <c r="Q2912" s="4"/>
      <c r="R2912" s="4"/>
      <c r="S2912" s="4"/>
      <c r="T2912" s="4"/>
      <c r="U2912" s="4"/>
      <c r="V2912" s="4"/>
      <c r="W2912" s="4"/>
      <c r="X2912" s="4"/>
    </row>
    <row r="2913" spans="17:24" x14ac:dyDescent="0.3">
      <c r="Q2913" s="4"/>
      <c r="R2913" s="4"/>
      <c r="S2913" s="4"/>
      <c r="T2913" s="4"/>
      <c r="U2913" s="4"/>
      <c r="V2913" s="4"/>
      <c r="W2913" s="4"/>
      <c r="X2913" s="4"/>
    </row>
    <row r="2914" spans="17:24" x14ac:dyDescent="0.3">
      <c r="Q2914" s="4"/>
      <c r="R2914" s="4"/>
      <c r="S2914" s="4"/>
      <c r="T2914" s="4"/>
      <c r="U2914" s="4"/>
      <c r="V2914" s="4"/>
      <c r="W2914" s="4"/>
      <c r="X2914" s="4"/>
    </row>
    <row r="2915" spans="17:24" x14ac:dyDescent="0.3">
      <c r="Q2915" s="4"/>
      <c r="R2915" s="4"/>
      <c r="S2915" s="4"/>
      <c r="T2915" s="4"/>
      <c r="U2915" s="4"/>
      <c r="V2915" s="4"/>
      <c r="W2915" s="4"/>
      <c r="X2915" s="4"/>
    </row>
    <row r="2916" spans="17:24" x14ac:dyDescent="0.3">
      <c r="Q2916" s="4"/>
      <c r="R2916" s="4"/>
      <c r="S2916" s="4"/>
      <c r="T2916" s="4"/>
      <c r="U2916" s="4"/>
      <c r="V2916" s="4"/>
      <c r="W2916" s="4"/>
      <c r="X2916" s="4"/>
    </row>
    <row r="2917" spans="17:24" x14ac:dyDescent="0.3">
      <c r="Q2917" s="4"/>
      <c r="R2917" s="4"/>
      <c r="S2917" s="4"/>
      <c r="T2917" s="4"/>
      <c r="U2917" s="4"/>
      <c r="V2917" s="4"/>
      <c r="W2917" s="4"/>
      <c r="X2917" s="4"/>
    </row>
    <row r="2918" spans="17:24" x14ac:dyDescent="0.3">
      <c r="Q2918" s="4"/>
      <c r="R2918" s="4"/>
      <c r="S2918" s="4"/>
      <c r="T2918" s="4"/>
      <c r="U2918" s="4"/>
      <c r="V2918" s="4"/>
      <c r="W2918" s="4"/>
      <c r="X2918" s="4"/>
    </row>
    <row r="2919" spans="17:24" x14ac:dyDescent="0.3">
      <c r="Q2919" s="4"/>
      <c r="R2919" s="4"/>
      <c r="S2919" s="4"/>
      <c r="T2919" s="4"/>
      <c r="U2919" s="4"/>
      <c r="V2919" s="4"/>
      <c r="W2919" s="4"/>
      <c r="X2919" s="4"/>
    </row>
    <row r="2920" spans="17:24" x14ac:dyDescent="0.3">
      <c r="Q2920" s="4"/>
      <c r="R2920" s="4"/>
      <c r="S2920" s="4"/>
      <c r="T2920" s="4"/>
      <c r="U2920" s="4"/>
      <c r="V2920" s="4"/>
      <c r="W2920" s="4"/>
      <c r="X2920" s="4"/>
    </row>
    <row r="2921" spans="17:24" x14ac:dyDescent="0.3">
      <c r="Q2921" s="4"/>
      <c r="R2921" s="4"/>
      <c r="S2921" s="4"/>
      <c r="T2921" s="4"/>
      <c r="U2921" s="4"/>
      <c r="V2921" s="4"/>
      <c r="W2921" s="4"/>
      <c r="X2921" s="4"/>
    </row>
    <row r="2922" spans="17:24" x14ac:dyDescent="0.3">
      <c r="Q2922" s="4"/>
      <c r="R2922" s="4"/>
      <c r="S2922" s="4"/>
      <c r="T2922" s="4"/>
      <c r="U2922" s="4"/>
      <c r="V2922" s="4"/>
      <c r="W2922" s="4"/>
      <c r="X2922" s="4"/>
    </row>
    <row r="2923" spans="17:24" x14ac:dyDescent="0.3">
      <c r="Q2923" s="4"/>
      <c r="R2923" s="4"/>
      <c r="S2923" s="4"/>
      <c r="T2923" s="4"/>
      <c r="U2923" s="4"/>
      <c r="V2923" s="4"/>
      <c r="W2923" s="4"/>
      <c r="X2923" s="4"/>
    </row>
    <row r="2924" spans="17:24" x14ac:dyDescent="0.3">
      <c r="Q2924" s="4"/>
      <c r="R2924" s="4"/>
      <c r="S2924" s="4"/>
      <c r="T2924" s="4"/>
      <c r="U2924" s="4"/>
      <c r="V2924" s="4"/>
      <c r="W2924" s="4"/>
      <c r="X2924" s="4"/>
    </row>
    <row r="2925" spans="17:24" x14ac:dyDescent="0.3">
      <c r="Q2925" s="4"/>
      <c r="R2925" s="4"/>
      <c r="S2925" s="4"/>
      <c r="T2925" s="4"/>
      <c r="U2925" s="4"/>
      <c r="V2925" s="4"/>
      <c r="W2925" s="4"/>
      <c r="X2925" s="4"/>
    </row>
    <row r="2926" spans="17:24" x14ac:dyDescent="0.3">
      <c r="Q2926" s="4"/>
      <c r="R2926" s="4"/>
      <c r="S2926" s="4"/>
      <c r="T2926" s="4"/>
      <c r="U2926" s="4"/>
      <c r="V2926" s="4"/>
      <c r="W2926" s="4"/>
      <c r="X2926" s="4"/>
    </row>
    <row r="2927" spans="17:24" x14ac:dyDescent="0.3">
      <c r="Q2927" s="4"/>
      <c r="R2927" s="4"/>
      <c r="S2927" s="4"/>
      <c r="T2927" s="4"/>
      <c r="U2927" s="4"/>
      <c r="V2927" s="4"/>
      <c r="W2927" s="4"/>
      <c r="X2927" s="4"/>
    </row>
    <row r="2928" spans="17:24" x14ac:dyDescent="0.3">
      <c r="Q2928" s="4"/>
      <c r="R2928" s="4"/>
      <c r="S2928" s="4"/>
      <c r="T2928" s="4"/>
      <c r="U2928" s="4"/>
      <c r="V2928" s="4"/>
      <c r="W2928" s="4"/>
      <c r="X2928" s="4"/>
    </row>
    <row r="2929" spans="17:24" x14ac:dyDescent="0.3">
      <c r="Q2929" s="4"/>
      <c r="R2929" s="4"/>
      <c r="S2929" s="4"/>
      <c r="T2929" s="4"/>
      <c r="U2929" s="4"/>
      <c r="V2929" s="4"/>
      <c r="W2929" s="4"/>
      <c r="X2929" s="4"/>
    </row>
    <row r="2930" spans="17:24" x14ac:dyDescent="0.3">
      <c r="Q2930" s="4"/>
      <c r="R2930" s="4"/>
      <c r="S2930" s="4"/>
      <c r="T2930" s="4"/>
      <c r="U2930" s="4"/>
      <c r="V2930" s="4"/>
      <c r="W2930" s="4"/>
      <c r="X2930" s="4"/>
    </row>
    <row r="2931" spans="17:24" x14ac:dyDescent="0.3">
      <c r="Q2931" s="4"/>
      <c r="R2931" s="4"/>
      <c r="S2931" s="4"/>
      <c r="T2931" s="4"/>
      <c r="U2931" s="4"/>
      <c r="V2931" s="4"/>
      <c r="W2931" s="4"/>
      <c r="X2931" s="4"/>
    </row>
    <row r="2932" spans="17:24" x14ac:dyDescent="0.3">
      <c r="Q2932" s="4"/>
      <c r="R2932" s="4"/>
      <c r="S2932" s="4"/>
      <c r="T2932" s="4"/>
      <c r="U2932" s="4"/>
      <c r="V2932" s="4"/>
      <c r="W2932" s="4"/>
      <c r="X2932" s="4"/>
    </row>
    <row r="2933" spans="17:24" x14ac:dyDescent="0.3">
      <c r="Q2933" s="4"/>
      <c r="R2933" s="4"/>
      <c r="S2933" s="4"/>
      <c r="T2933" s="4"/>
      <c r="U2933" s="4"/>
      <c r="V2933" s="4"/>
      <c r="W2933" s="4"/>
      <c r="X2933" s="4"/>
    </row>
    <row r="2934" spans="17:24" x14ac:dyDescent="0.3">
      <c r="Q2934" s="4"/>
      <c r="R2934" s="4"/>
      <c r="S2934" s="4"/>
      <c r="T2934" s="4"/>
      <c r="U2934" s="4"/>
      <c r="V2934" s="4"/>
      <c r="W2934" s="4"/>
      <c r="X2934" s="4"/>
    </row>
    <row r="2935" spans="17:24" x14ac:dyDescent="0.3">
      <c r="Q2935" s="4"/>
      <c r="R2935" s="4"/>
      <c r="S2935" s="4"/>
      <c r="T2935" s="4"/>
      <c r="U2935" s="4"/>
      <c r="V2935" s="4"/>
      <c r="W2935" s="4"/>
      <c r="X2935" s="4"/>
    </row>
    <row r="2936" spans="17:24" x14ac:dyDescent="0.3">
      <c r="Q2936" s="4"/>
      <c r="R2936" s="4"/>
      <c r="S2936" s="4"/>
      <c r="T2936" s="4"/>
      <c r="U2936" s="4"/>
      <c r="V2936" s="4"/>
      <c r="W2936" s="4"/>
      <c r="X2936" s="4"/>
    </row>
    <row r="2937" spans="17:24" x14ac:dyDescent="0.3">
      <c r="Q2937" s="4"/>
      <c r="R2937" s="4"/>
      <c r="S2937" s="4"/>
      <c r="T2937" s="4"/>
      <c r="U2937" s="4"/>
      <c r="V2937" s="4"/>
      <c r="W2937" s="4"/>
      <c r="X2937" s="4"/>
    </row>
    <row r="2938" spans="17:24" x14ac:dyDescent="0.3">
      <c r="Q2938" s="4"/>
      <c r="R2938" s="4"/>
      <c r="S2938" s="4"/>
      <c r="T2938" s="4"/>
      <c r="U2938" s="4"/>
      <c r="V2938" s="4"/>
      <c r="W2938" s="4"/>
      <c r="X2938" s="4"/>
    </row>
    <row r="2939" spans="17:24" x14ac:dyDescent="0.3">
      <c r="Q2939" s="4"/>
      <c r="R2939" s="4"/>
      <c r="S2939" s="4"/>
      <c r="T2939" s="4"/>
      <c r="U2939" s="4"/>
      <c r="V2939" s="4"/>
      <c r="W2939" s="4"/>
      <c r="X2939" s="4"/>
    </row>
    <row r="2940" spans="17:24" x14ac:dyDescent="0.3">
      <c r="Q2940" s="4"/>
      <c r="R2940" s="4"/>
      <c r="S2940" s="4"/>
      <c r="T2940" s="4"/>
      <c r="U2940" s="4"/>
      <c r="V2940" s="4"/>
      <c r="W2940" s="4"/>
      <c r="X2940" s="4"/>
    </row>
    <row r="2941" spans="17:24" x14ac:dyDescent="0.3">
      <c r="Q2941" s="4"/>
      <c r="R2941" s="4"/>
      <c r="S2941" s="4"/>
      <c r="T2941" s="4"/>
      <c r="U2941" s="4"/>
      <c r="V2941" s="4"/>
      <c r="W2941" s="4"/>
      <c r="X2941" s="4"/>
    </row>
    <row r="2942" spans="17:24" x14ac:dyDescent="0.3">
      <c r="Q2942" s="4"/>
      <c r="R2942" s="4"/>
      <c r="S2942" s="4"/>
      <c r="T2942" s="4"/>
      <c r="U2942" s="4"/>
      <c r="V2942" s="4"/>
      <c r="W2942" s="4"/>
      <c r="X2942" s="4"/>
    </row>
    <row r="2943" spans="17:24" x14ac:dyDescent="0.3">
      <c r="Q2943" s="4"/>
      <c r="R2943" s="4"/>
      <c r="S2943" s="4"/>
      <c r="T2943" s="4"/>
      <c r="U2943" s="4"/>
      <c r="V2943" s="4"/>
      <c r="W2943" s="4"/>
      <c r="X2943" s="4"/>
    </row>
    <row r="2944" spans="17:24" x14ac:dyDescent="0.3">
      <c r="Q2944" s="4"/>
      <c r="R2944" s="4"/>
      <c r="S2944" s="4"/>
      <c r="T2944" s="4"/>
      <c r="U2944" s="4"/>
      <c r="V2944" s="4"/>
      <c r="W2944" s="4"/>
      <c r="X2944" s="4"/>
    </row>
    <row r="2945" spans="17:24" x14ac:dyDescent="0.3">
      <c r="Q2945" s="4"/>
      <c r="R2945" s="4"/>
      <c r="S2945" s="4"/>
      <c r="T2945" s="4"/>
      <c r="U2945" s="4"/>
      <c r="V2945" s="4"/>
      <c r="W2945" s="4"/>
      <c r="X2945" s="4"/>
    </row>
    <row r="2946" spans="17:24" x14ac:dyDescent="0.3">
      <c r="Q2946" s="4"/>
      <c r="R2946" s="4"/>
      <c r="S2946" s="4"/>
      <c r="T2946" s="4"/>
      <c r="U2946" s="4"/>
      <c r="V2946" s="4"/>
      <c r="W2946" s="4"/>
      <c r="X2946" s="4"/>
    </row>
    <row r="2947" spans="17:24" x14ac:dyDescent="0.3">
      <c r="Q2947" s="4"/>
      <c r="R2947" s="4"/>
      <c r="S2947" s="4"/>
      <c r="T2947" s="4"/>
      <c r="U2947" s="4"/>
      <c r="V2947" s="4"/>
      <c r="W2947" s="4"/>
      <c r="X2947" s="4"/>
    </row>
    <row r="2948" spans="17:24" x14ac:dyDescent="0.3">
      <c r="Q2948" s="4"/>
      <c r="R2948" s="4"/>
      <c r="S2948" s="4"/>
      <c r="T2948" s="4"/>
      <c r="U2948" s="4"/>
      <c r="V2948" s="4"/>
      <c r="W2948" s="4"/>
      <c r="X2948" s="4"/>
    </row>
    <row r="2949" spans="17:24" x14ac:dyDescent="0.3">
      <c r="Q2949" s="4"/>
      <c r="R2949" s="4"/>
      <c r="S2949" s="4"/>
      <c r="T2949" s="4"/>
      <c r="U2949" s="4"/>
      <c r="V2949" s="4"/>
      <c r="W2949" s="4"/>
      <c r="X2949" s="4"/>
    </row>
    <row r="2950" spans="17:24" x14ac:dyDescent="0.3">
      <c r="Q2950" s="4"/>
      <c r="R2950" s="4"/>
      <c r="S2950" s="4"/>
      <c r="T2950" s="4"/>
      <c r="U2950" s="4"/>
      <c r="V2950" s="4"/>
      <c r="W2950" s="4"/>
      <c r="X2950" s="4"/>
    </row>
    <row r="2951" spans="17:24" x14ac:dyDescent="0.3">
      <c r="Q2951" s="4"/>
      <c r="R2951" s="4"/>
      <c r="S2951" s="4"/>
      <c r="T2951" s="4"/>
      <c r="U2951" s="4"/>
      <c r="V2951" s="4"/>
      <c r="W2951" s="4"/>
      <c r="X2951" s="4"/>
    </row>
    <row r="2952" spans="17:24" x14ac:dyDescent="0.3">
      <c r="Q2952" s="4"/>
      <c r="R2952" s="4"/>
      <c r="S2952" s="4"/>
      <c r="T2952" s="4"/>
      <c r="U2952" s="4"/>
      <c r="V2952" s="4"/>
      <c r="W2952" s="4"/>
      <c r="X2952" s="4"/>
    </row>
    <row r="2953" spans="17:24" x14ac:dyDescent="0.3">
      <c r="Q2953" s="4"/>
      <c r="R2953" s="4"/>
      <c r="S2953" s="4"/>
      <c r="T2953" s="4"/>
      <c r="U2953" s="4"/>
      <c r="V2953" s="4"/>
      <c r="W2953" s="4"/>
      <c r="X2953" s="4"/>
    </row>
    <row r="2954" spans="17:24" x14ac:dyDescent="0.3">
      <c r="Q2954" s="4"/>
      <c r="R2954" s="4"/>
      <c r="S2954" s="4"/>
      <c r="T2954" s="4"/>
      <c r="U2954" s="4"/>
      <c r="V2954" s="4"/>
      <c r="W2954" s="4"/>
      <c r="X2954" s="4"/>
    </row>
    <row r="2955" spans="17:24" x14ac:dyDescent="0.3">
      <c r="Q2955" s="4"/>
      <c r="R2955" s="4"/>
      <c r="S2955" s="4"/>
      <c r="T2955" s="4"/>
      <c r="U2955" s="4"/>
      <c r="V2955" s="4"/>
      <c r="W2955" s="4"/>
      <c r="X2955" s="4"/>
    </row>
    <row r="2956" spans="17:24" x14ac:dyDescent="0.3">
      <c r="Q2956" s="4"/>
      <c r="R2956" s="4"/>
      <c r="S2956" s="4"/>
      <c r="T2956" s="4"/>
      <c r="U2956" s="4"/>
      <c r="V2956" s="4"/>
      <c r="W2956" s="4"/>
      <c r="X2956" s="4"/>
    </row>
    <row r="2957" spans="17:24" x14ac:dyDescent="0.3">
      <c r="Q2957" s="4"/>
      <c r="R2957" s="4"/>
      <c r="S2957" s="4"/>
      <c r="T2957" s="4"/>
      <c r="U2957" s="4"/>
      <c r="V2957" s="4"/>
      <c r="W2957" s="4"/>
      <c r="X2957" s="4"/>
    </row>
    <row r="2958" spans="17:24" x14ac:dyDescent="0.3">
      <c r="Q2958" s="4"/>
      <c r="R2958" s="4"/>
      <c r="S2958" s="4"/>
      <c r="T2958" s="4"/>
      <c r="U2958" s="4"/>
      <c r="V2958" s="4"/>
      <c r="W2958" s="4"/>
      <c r="X2958" s="4"/>
    </row>
    <row r="2959" spans="17:24" x14ac:dyDescent="0.3">
      <c r="Q2959" s="4"/>
      <c r="R2959" s="4"/>
      <c r="S2959" s="4"/>
      <c r="T2959" s="4"/>
      <c r="U2959" s="4"/>
      <c r="V2959" s="4"/>
      <c r="W2959" s="4"/>
      <c r="X2959" s="4"/>
    </row>
    <row r="2960" spans="17:24" x14ac:dyDescent="0.3">
      <c r="Q2960" s="4"/>
      <c r="R2960" s="4"/>
      <c r="S2960" s="4"/>
      <c r="T2960" s="4"/>
      <c r="U2960" s="4"/>
      <c r="V2960" s="4"/>
      <c r="W2960" s="4"/>
      <c r="X2960" s="4"/>
    </row>
    <row r="2961" spans="17:24" x14ac:dyDescent="0.3">
      <c r="Q2961" s="4"/>
      <c r="R2961" s="4"/>
      <c r="S2961" s="4"/>
      <c r="T2961" s="4"/>
      <c r="U2961" s="4"/>
      <c r="V2961" s="4"/>
      <c r="W2961" s="4"/>
      <c r="X2961" s="4"/>
    </row>
    <row r="2962" spans="17:24" x14ac:dyDescent="0.3">
      <c r="Q2962" s="4"/>
      <c r="R2962" s="4"/>
      <c r="S2962" s="4"/>
      <c r="T2962" s="4"/>
      <c r="U2962" s="4"/>
      <c r="V2962" s="4"/>
      <c r="W2962" s="4"/>
      <c r="X2962" s="4"/>
    </row>
    <row r="2963" spans="17:24" x14ac:dyDescent="0.3">
      <c r="Q2963" s="4"/>
      <c r="R2963" s="4"/>
      <c r="S2963" s="4"/>
      <c r="T2963" s="4"/>
      <c r="U2963" s="4"/>
      <c r="V2963" s="4"/>
      <c r="W2963" s="4"/>
      <c r="X2963" s="4"/>
    </row>
    <row r="2964" spans="17:24" x14ac:dyDescent="0.3">
      <c r="Q2964" s="4"/>
      <c r="R2964" s="4"/>
      <c r="S2964" s="4"/>
      <c r="T2964" s="4"/>
      <c r="U2964" s="4"/>
      <c r="V2964" s="4"/>
      <c r="W2964" s="4"/>
      <c r="X2964" s="4"/>
    </row>
    <row r="2965" spans="17:24" x14ac:dyDescent="0.3">
      <c r="Q2965" s="4"/>
      <c r="R2965" s="4"/>
      <c r="S2965" s="4"/>
      <c r="T2965" s="4"/>
      <c r="U2965" s="4"/>
      <c r="V2965" s="4"/>
      <c r="W2965" s="4"/>
      <c r="X2965" s="4"/>
    </row>
    <row r="2966" spans="17:24" x14ac:dyDescent="0.3">
      <c r="Q2966" s="4"/>
      <c r="R2966" s="4"/>
      <c r="S2966" s="4"/>
      <c r="T2966" s="4"/>
      <c r="U2966" s="4"/>
      <c r="V2966" s="4"/>
      <c r="W2966" s="4"/>
      <c r="X2966" s="4"/>
    </row>
    <row r="2967" spans="17:24" x14ac:dyDescent="0.3">
      <c r="Q2967" s="4"/>
      <c r="R2967" s="4"/>
      <c r="S2967" s="4"/>
      <c r="T2967" s="4"/>
      <c r="U2967" s="4"/>
      <c r="V2967" s="4"/>
      <c r="W2967" s="4"/>
      <c r="X2967" s="4"/>
    </row>
    <row r="2968" spans="17:24" x14ac:dyDescent="0.3">
      <c r="Q2968" s="4"/>
      <c r="R2968" s="4"/>
      <c r="S2968" s="4"/>
      <c r="T2968" s="4"/>
      <c r="U2968" s="4"/>
      <c r="V2968" s="4"/>
      <c r="W2968" s="4"/>
      <c r="X2968" s="4"/>
    </row>
    <row r="2969" spans="17:24" x14ac:dyDescent="0.3">
      <c r="Q2969" s="4"/>
      <c r="R2969" s="4"/>
      <c r="S2969" s="4"/>
      <c r="T2969" s="4"/>
      <c r="U2969" s="4"/>
      <c r="V2969" s="4"/>
      <c r="W2969" s="4"/>
      <c r="X2969" s="4"/>
    </row>
    <row r="2970" spans="17:24" x14ac:dyDescent="0.3">
      <c r="Q2970" s="4"/>
      <c r="R2970" s="4"/>
      <c r="S2970" s="4"/>
      <c r="T2970" s="4"/>
      <c r="U2970" s="4"/>
      <c r="V2970" s="4"/>
      <c r="W2970" s="4"/>
      <c r="X2970" s="4"/>
    </row>
    <row r="2971" spans="17:24" x14ac:dyDescent="0.3">
      <c r="Q2971" s="4"/>
      <c r="R2971" s="4"/>
      <c r="S2971" s="4"/>
      <c r="T2971" s="4"/>
      <c r="U2971" s="4"/>
      <c r="V2971" s="4"/>
      <c r="W2971" s="4"/>
      <c r="X2971" s="4"/>
    </row>
    <row r="2972" spans="17:24" x14ac:dyDescent="0.3">
      <c r="Q2972" s="4"/>
      <c r="R2972" s="4"/>
      <c r="S2972" s="4"/>
      <c r="T2972" s="4"/>
      <c r="U2972" s="4"/>
      <c r="V2972" s="4"/>
      <c r="W2972" s="4"/>
      <c r="X2972" s="4"/>
    </row>
    <row r="2973" spans="17:24" x14ac:dyDescent="0.3">
      <c r="Q2973" s="4"/>
      <c r="R2973" s="4"/>
      <c r="S2973" s="4"/>
      <c r="T2973" s="4"/>
      <c r="U2973" s="4"/>
      <c r="V2973" s="4"/>
      <c r="W2973" s="4"/>
      <c r="X2973" s="4"/>
    </row>
    <row r="2974" spans="17:24" x14ac:dyDescent="0.3">
      <c r="Q2974" s="4"/>
      <c r="R2974" s="4"/>
      <c r="S2974" s="4"/>
      <c r="T2974" s="4"/>
      <c r="U2974" s="4"/>
      <c r="V2974" s="4"/>
      <c r="W2974" s="4"/>
      <c r="X2974" s="4"/>
    </row>
    <row r="2975" spans="17:24" x14ac:dyDescent="0.3">
      <c r="Q2975" s="4"/>
      <c r="R2975" s="4"/>
      <c r="S2975" s="4"/>
      <c r="T2975" s="4"/>
      <c r="U2975" s="4"/>
      <c r="V2975" s="4"/>
      <c r="W2975" s="4"/>
      <c r="X2975" s="4"/>
    </row>
    <row r="2976" spans="17:24" x14ac:dyDescent="0.3">
      <c r="Q2976" s="4"/>
      <c r="R2976" s="4"/>
      <c r="S2976" s="4"/>
      <c r="T2976" s="4"/>
      <c r="U2976" s="4"/>
      <c r="V2976" s="4"/>
      <c r="W2976" s="4"/>
      <c r="X2976" s="4"/>
    </row>
    <row r="2977" spans="17:24" x14ac:dyDescent="0.3">
      <c r="Q2977" s="4"/>
      <c r="R2977" s="4"/>
      <c r="S2977" s="4"/>
      <c r="T2977" s="4"/>
      <c r="U2977" s="4"/>
      <c r="V2977" s="4"/>
      <c r="W2977" s="4"/>
      <c r="X2977" s="4"/>
    </row>
    <row r="2978" spans="17:24" x14ac:dyDescent="0.3">
      <c r="Q2978" s="4"/>
      <c r="R2978" s="4"/>
      <c r="S2978" s="4"/>
      <c r="T2978" s="4"/>
      <c r="U2978" s="4"/>
      <c r="V2978" s="4"/>
      <c r="W2978" s="4"/>
      <c r="X2978" s="4"/>
    </row>
    <row r="2979" spans="17:24" x14ac:dyDescent="0.3">
      <c r="Q2979" s="4"/>
      <c r="R2979" s="4"/>
      <c r="S2979" s="4"/>
      <c r="T2979" s="4"/>
      <c r="U2979" s="4"/>
      <c r="V2979" s="4"/>
      <c r="W2979" s="4"/>
      <c r="X2979" s="4"/>
    </row>
    <row r="2980" spans="17:24" x14ac:dyDescent="0.3">
      <c r="Q2980" s="4"/>
      <c r="R2980" s="4"/>
      <c r="S2980" s="4"/>
      <c r="T2980" s="4"/>
      <c r="U2980" s="4"/>
      <c r="V2980" s="4"/>
      <c r="W2980" s="4"/>
      <c r="X2980" s="4"/>
    </row>
    <row r="2981" spans="17:24" x14ac:dyDescent="0.3">
      <c r="Q2981" s="4"/>
      <c r="R2981" s="4"/>
      <c r="S2981" s="4"/>
      <c r="T2981" s="4"/>
      <c r="U2981" s="4"/>
      <c r="V2981" s="4"/>
      <c r="W2981" s="4"/>
      <c r="X2981" s="4"/>
    </row>
    <row r="2982" spans="17:24" x14ac:dyDescent="0.3">
      <c r="Q2982" s="4"/>
      <c r="R2982" s="4"/>
      <c r="S2982" s="4"/>
      <c r="T2982" s="4"/>
      <c r="U2982" s="4"/>
      <c r="V2982" s="4"/>
      <c r="W2982" s="4"/>
      <c r="X2982" s="4"/>
    </row>
    <row r="2983" spans="17:24" x14ac:dyDescent="0.3">
      <c r="Q2983" s="4"/>
      <c r="R2983" s="4"/>
      <c r="S2983" s="4"/>
      <c r="T2983" s="4"/>
      <c r="U2983" s="4"/>
      <c r="V2983" s="4"/>
      <c r="W2983" s="4"/>
      <c r="X2983" s="4"/>
    </row>
    <row r="2984" spans="17:24" x14ac:dyDescent="0.3">
      <c r="Q2984" s="4"/>
      <c r="R2984" s="4"/>
      <c r="S2984" s="4"/>
      <c r="T2984" s="4"/>
      <c r="U2984" s="4"/>
      <c r="V2984" s="4"/>
      <c r="W2984" s="4"/>
      <c r="X2984" s="4"/>
    </row>
    <row r="2985" spans="17:24" x14ac:dyDescent="0.3">
      <c r="Q2985" s="4"/>
      <c r="R2985" s="4"/>
      <c r="S2985" s="4"/>
      <c r="T2985" s="4"/>
      <c r="U2985" s="4"/>
      <c r="V2985" s="4"/>
      <c r="W2985" s="4"/>
      <c r="X2985" s="4"/>
    </row>
    <row r="2986" spans="17:24" x14ac:dyDescent="0.3">
      <c r="Q2986" s="4"/>
      <c r="R2986" s="4"/>
      <c r="S2986" s="4"/>
      <c r="T2986" s="4"/>
      <c r="U2986" s="4"/>
      <c r="V2986" s="4"/>
      <c r="W2986" s="4"/>
      <c r="X2986" s="4"/>
    </row>
    <row r="2987" spans="17:24" x14ac:dyDescent="0.3">
      <c r="Q2987" s="4"/>
      <c r="R2987" s="4"/>
      <c r="S2987" s="4"/>
      <c r="T2987" s="4"/>
      <c r="U2987" s="4"/>
      <c r="V2987" s="4"/>
      <c r="W2987" s="4"/>
      <c r="X2987" s="4"/>
    </row>
    <row r="2988" spans="17:24" x14ac:dyDescent="0.3">
      <c r="Q2988" s="4"/>
      <c r="R2988" s="4"/>
      <c r="S2988" s="4"/>
      <c r="T2988" s="4"/>
      <c r="U2988" s="4"/>
      <c r="V2988" s="4"/>
      <c r="W2988" s="4"/>
      <c r="X2988" s="4"/>
    </row>
    <row r="2989" spans="17:24" x14ac:dyDescent="0.3">
      <c r="Q2989" s="4"/>
      <c r="R2989" s="4"/>
      <c r="S2989" s="4"/>
      <c r="T2989" s="4"/>
      <c r="U2989" s="4"/>
      <c r="V2989" s="4"/>
      <c r="W2989" s="4"/>
      <c r="X2989" s="4"/>
    </row>
    <row r="2990" spans="17:24" x14ac:dyDescent="0.3">
      <c r="Q2990" s="4"/>
      <c r="R2990" s="4"/>
      <c r="S2990" s="4"/>
      <c r="T2990" s="4"/>
      <c r="U2990" s="4"/>
      <c r="V2990" s="4"/>
      <c r="W2990" s="4"/>
      <c r="X2990" s="4"/>
    </row>
    <row r="2991" spans="17:24" x14ac:dyDescent="0.3">
      <c r="Q2991" s="4"/>
      <c r="R2991" s="4"/>
      <c r="S2991" s="4"/>
      <c r="T2991" s="4"/>
      <c r="U2991" s="4"/>
      <c r="V2991" s="4"/>
      <c r="W2991" s="4"/>
      <c r="X2991" s="4"/>
    </row>
    <row r="2992" spans="17:24" x14ac:dyDescent="0.3">
      <c r="Q2992" s="4"/>
      <c r="R2992" s="4"/>
      <c r="S2992" s="4"/>
      <c r="T2992" s="4"/>
      <c r="U2992" s="4"/>
      <c r="V2992" s="4"/>
      <c r="W2992" s="4"/>
      <c r="X2992" s="4"/>
    </row>
    <row r="2993" spans="17:24" x14ac:dyDescent="0.3">
      <c r="Q2993" s="4"/>
      <c r="R2993" s="4"/>
      <c r="S2993" s="4"/>
      <c r="T2993" s="4"/>
      <c r="U2993" s="4"/>
      <c r="V2993" s="4"/>
      <c r="W2993" s="4"/>
      <c r="X2993" s="4"/>
    </row>
    <row r="2994" spans="17:24" x14ac:dyDescent="0.3">
      <c r="Q2994" s="4"/>
      <c r="R2994" s="4"/>
      <c r="S2994" s="4"/>
      <c r="T2994" s="4"/>
      <c r="U2994" s="4"/>
      <c r="V2994" s="4"/>
      <c r="W2994" s="4"/>
      <c r="X2994" s="4"/>
    </row>
    <row r="2995" spans="17:24" x14ac:dyDescent="0.3">
      <c r="Q2995" s="4"/>
      <c r="R2995" s="4"/>
      <c r="S2995" s="4"/>
      <c r="T2995" s="4"/>
      <c r="U2995" s="4"/>
      <c r="V2995" s="4"/>
      <c r="W2995" s="4"/>
      <c r="X2995" s="4"/>
    </row>
    <row r="2996" spans="17:24" x14ac:dyDescent="0.3">
      <c r="Q2996" s="4"/>
      <c r="R2996" s="4"/>
      <c r="S2996" s="4"/>
      <c r="T2996" s="4"/>
      <c r="U2996" s="4"/>
      <c r="V2996" s="4"/>
      <c r="W2996" s="4"/>
      <c r="X2996" s="4"/>
    </row>
    <row r="2997" spans="17:24" x14ac:dyDescent="0.3">
      <c r="Q2997" s="4"/>
      <c r="R2997" s="4"/>
      <c r="S2997" s="4"/>
      <c r="T2997" s="4"/>
      <c r="U2997" s="4"/>
      <c r="V2997" s="4"/>
      <c r="W2997" s="4"/>
      <c r="X2997" s="4"/>
    </row>
    <row r="2998" spans="17:24" x14ac:dyDescent="0.3">
      <c r="Q2998" s="4"/>
      <c r="R2998" s="4"/>
      <c r="S2998" s="4"/>
      <c r="T2998" s="4"/>
      <c r="U2998" s="4"/>
      <c r="V2998" s="4"/>
      <c r="W2998" s="4"/>
      <c r="X2998" s="4"/>
    </row>
    <row r="2999" spans="17:24" x14ac:dyDescent="0.3">
      <c r="Q2999" s="4"/>
      <c r="R2999" s="4"/>
      <c r="S2999" s="4"/>
      <c r="T2999" s="4"/>
      <c r="U2999" s="4"/>
      <c r="V2999" s="4"/>
      <c r="W2999" s="4"/>
      <c r="X2999" s="4"/>
    </row>
    <row r="3000" spans="17:24" x14ac:dyDescent="0.3">
      <c r="Q3000" s="4"/>
      <c r="R3000" s="4"/>
      <c r="S3000" s="4"/>
      <c r="T3000" s="4"/>
      <c r="U3000" s="4"/>
      <c r="V3000" s="4"/>
      <c r="W3000" s="4"/>
      <c r="X3000" s="4"/>
    </row>
    <row r="3001" spans="17:24" x14ac:dyDescent="0.3">
      <c r="Q3001" s="4"/>
      <c r="R3001" s="4"/>
      <c r="S3001" s="4"/>
      <c r="T3001" s="4"/>
      <c r="U3001" s="4"/>
      <c r="V3001" s="4"/>
      <c r="W3001" s="4"/>
      <c r="X3001" s="4"/>
    </row>
    <row r="3002" spans="17:24" x14ac:dyDescent="0.3">
      <c r="Q3002" s="4"/>
      <c r="R3002" s="4"/>
      <c r="S3002" s="4"/>
      <c r="T3002" s="4"/>
      <c r="U3002" s="4"/>
      <c r="V3002" s="4"/>
      <c r="W3002" s="4"/>
      <c r="X3002" s="4"/>
    </row>
    <row r="3003" spans="17:24" x14ac:dyDescent="0.3">
      <c r="Q3003" s="4"/>
      <c r="R3003" s="4"/>
      <c r="S3003" s="4"/>
      <c r="T3003" s="4"/>
      <c r="U3003" s="4"/>
      <c r="V3003" s="4"/>
      <c r="W3003" s="4"/>
      <c r="X3003" s="4"/>
    </row>
    <row r="3004" spans="17:24" x14ac:dyDescent="0.3">
      <c r="Q3004" s="4"/>
      <c r="R3004" s="4"/>
      <c r="S3004" s="4"/>
      <c r="T3004" s="4"/>
      <c r="U3004" s="4"/>
      <c r="V3004" s="4"/>
      <c r="W3004" s="4"/>
      <c r="X3004" s="4"/>
    </row>
    <row r="3005" spans="17:24" x14ac:dyDescent="0.3">
      <c r="Q3005" s="4"/>
      <c r="R3005" s="4"/>
      <c r="S3005" s="4"/>
      <c r="T3005" s="4"/>
      <c r="U3005" s="4"/>
      <c r="V3005" s="4"/>
      <c r="W3005" s="4"/>
      <c r="X3005" s="4"/>
    </row>
    <row r="3006" spans="17:24" x14ac:dyDescent="0.3">
      <c r="Q3006" s="4"/>
      <c r="R3006" s="4"/>
      <c r="S3006" s="4"/>
      <c r="T3006" s="4"/>
      <c r="U3006" s="4"/>
      <c r="V3006" s="4"/>
      <c r="W3006" s="4"/>
      <c r="X3006" s="4"/>
    </row>
    <row r="3007" spans="17:24" x14ac:dyDescent="0.3">
      <c r="Q3007" s="4"/>
      <c r="R3007" s="4"/>
      <c r="S3007" s="4"/>
      <c r="T3007" s="4"/>
      <c r="U3007" s="4"/>
      <c r="V3007" s="4"/>
      <c r="W3007" s="4"/>
      <c r="X3007" s="4"/>
    </row>
    <row r="3008" spans="17:24" x14ac:dyDescent="0.3">
      <c r="Q3008" s="4"/>
      <c r="R3008" s="4"/>
      <c r="S3008" s="4"/>
      <c r="T3008" s="4"/>
      <c r="U3008" s="4"/>
      <c r="V3008" s="4"/>
      <c r="W3008" s="4"/>
      <c r="X3008" s="4"/>
    </row>
    <row r="3009" spans="17:24" x14ac:dyDescent="0.3">
      <c r="Q3009" s="4"/>
      <c r="R3009" s="4"/>
      <c r="S3009" s="4"/>
      <c r="T3009" s="4"/>
      <c r="U3009" s="4"/>
      <c r="V3009" s="4"/>
      <c r="W3009" s="4"/>
      <c r="X3009" s="4"/>
    </row>
    <row r="3010" spans="17:24" x14ac:dyDescent="0.3">
      <c r="Q3010" s="4"/>
      <c r="R3010" s="4"/>
      <c r="S3010" s="4"/>
      <c r="T3010" s="4"/>
      <c r="U3010" s="4"/>
      <c r="V3010" s="4"/>
      <c r="W3010" s="4"/>
      <c r="X3010" s="4"/>
    </row>
    <row r="3011" spans="17:24" x14ac:dyDescent="0.3">
      <c r="Q3011" s="4"/>
      <c r="R3011" s="4"/>
      <c r="S3011" s="4"/>
      <c r="T3011" s="4"/>
      <c r="U3011" s="4"/>
      <c r="V3011" s="4"/>
      <c r="W3011" s="4"/>
      <c r="X3011" s="4"/>
    </row>
    <row r="3012" spans="17:24" x14ac:dyDescent="0.3">
      <c r="Q3012" s="4"/>
      <c r="R3012" s="4"/>
      <c r="S3012" s="4"/>
      <c r="T3012" s="4"/>
      <c r="U3012" s="4"/>
      <c r="V3012" s="4"/>
      <c r="W3012" s="4"/>
      <c r="X3012" s="4"/>
    </row>
    <row r="3013" spans="17:24" x14ac:dyDescent="0.3">
      <c r="Q3013" s="4"/>
      <c r="R3013" s="4"/>
      <c r="S3013" s="4"/>
      <c r="T3013" s="4"/>
      <c r="U3013" s="4"/>
      <c r="V3013" s="4"/>
      <c r="W3013" s="4"/>
      <c r="X3013" s="4"/>
    </row>
    <row r="3014" spans="17:24" x14ac:dyDescent="0.3">
      <c r="Q3014" s="4"/>
      <c r="R3014" s="4"/>
      <c r="S3014" s="4"/>
      <c r="T3014" s="4"/>
      <c r="U3014" s="4"/>
      <c r="V3014" s="4"/>
      <c r="W3014" s="4"/>
      <c r="X3014" s="4"/>
    </row>
    <row r="3015" spans="17:24" x14ac:dyDescent="0.3">
      <c r="Q3015" s="4"/>
      <c r="R3015" s="4"/>
      <c r="S3015" s="4"/>
      <c r="T3015" s="4"/>
      <c r="U3015" s="4"/>
      <c r="V3015" s="4"/>
      <c r="W3015" s="4"/>
      <c r="X3015" s="4"/>
    </row>
    <row r="3016" spans="17:24" x14ac:dyDescent="0.3">
      <c r="Q3016" s="4"/>
      <c r="R3016" s="4"/>
      <c r="S3016" s="4"/>
      <c r="T3016" s="4"/>
      <c r="U3016" s="4"/>
      <c r="V3016" s="4"/>
      <c r="W3016" s="4"/>
      <c r="X3016" s="4"/>
    </row>
    <row r="3017" spans="17:24" x14ac:dyDescent="0.3">
      <c r="Q3017" s="4"/>
      <c r="R3017" s="4"/>
      <c r="S3017" s="4"/>
      <c r="T3017" s="4"/>
      <c r="U3017" s="4"/>
      <c r="V3017" s="4"/>
      <c r="W3017" s="4"/>
      <c r="X3017" s="4"/>
    </row>
    <row r="3018" spans="17:24" x14ac:dyDescent="0.3">
      <c r="Q3018" s="4"/>
      <c r="R3018" s="4"/>
      <c r="S3018" s="4"/>
      <c r="T3018" s="4"/>
      <c r="U3018" s="4"/>
      <c r="V3018" s="4"/>
      <c r="W3018" s="4"/>
      <c r="X3018" s="4"/>
    </row>
    <row r="3019" spans="17:24" x14ac:dyDescent="0.3">
      <c r="Q3019" s="4"/>
      <c r="R3019" s="4"/>
      <c r="S3019" s="4"/>
      <c r="T3019" s="4"/>
      <c r="U3019" s="4"/>
      <c r="V3019" s="4"/>
      <c r="W3019" s="4"/>
      <c r="X3019" s="4"/>
    </row>
    <row r="3020" spans="17:24" x14ac:dyDescent="0.3">
      <c r="Q3020" s="4"/>
      <c r="R3020" s="4"/>
      <c r="S3020" s="4"/>
      <c r="T3020" s="4"/>
      <c r="U3020" s="4"/>
      <c r="V3020" s="4"/>
      <c r="W3020" s="4"/>
      <c r="X3020" s="4"/>
    </row>
    <row r="3021" spans="17:24" x14ac:dyDescent="0.3">
      <c r="Q3021" s="4"/>
      <c r="R3021" s="4"/>
      <c r="S3021" s="4"/>
      <c r="T3021" s="4"/>
      <c r="U3021" s="4"/>
      <c r="V3021" s="4"/>
      <c r="W3021" s="4"/>
      <c r="X3021" s="4"/>
    </row>
    <row r="3022" spans="17:24" x14ac:dyDescent="0.3">
      <c r="Q3022" s="4"/>
      <c r="R3022" s="4"/>
      <c r="S3022" s="4"/>
      <c r="T3022" s="4"/>
      <c r="U3022" s="4"/>
      <c r="V3022" s="4"/>
      <c r="W3022" s="4"/>
      <c r="X3022" s="4"/>
    </row>
    <row r="3023" spans="17:24" x14ac:dyDescent="0.3">
      <c r="Q3023" s="4"/>
      <c r="R3023" s="4"/>
      <c r="S3023" s="4"/>
      <c r="T3023" s="4"/>
      <c r="U3023" s="4"/>
      <c r="V3023" s="4"/>
      <c r="W3023" s="4"/>
      <c r="X3023" s="4"/>
    </row>
    <row r="3024" spans="17:24" x14ac:dyDescent="0.3">
      <c r="Q3024" s="4"/>
      <c r="R3024" s="4"/>
      <c r="S3024" s="4"/>
      <c r="T3024" s="4"/>
      <c r="U3024" s="4"/>
      <c r="V3024" s="4"/>
      <c r="W3024" s="4"/>
      <c r="X3024" s="4"/>
    </row>
    <row r="3025" spans="17:24" x14ac:dyDescent="0.3">
      <c r="Q3025" s="4"/>
      <c r="R3025" s="4"/>
      <c r="S3025" s="4"/>
      <c r="T3025" s="4"/>
      <c r="U3025" s="4"/>
      <c r="V3025" s="4"/>
      <c r="W3025" s="4"/>
      <c r="X3025" s="4"/>
    </row>
    <row r="3026" spans="17:24" x14ac:dyDescent="0.3">
      <c r="Q3026" s="4"/>
      <c r="R3026" s="4"/>
      <c r="S3026" s="4"/>
      <c r="T3026" s="4"/>
      <c r="U3026" s="4"/>
      <c r="V3026" s="4"/>
      <c r="W3026" s="4"/>
      <c r="X3026" s="4"/>
    </row>
    <row r="3027" spans="17:24" x14ac:dyDescent="0.3">
      <c r="Q3027" s="4"/>
      <c r="R3027" s="4"/>
      <c r="S3027" s="4"/>
      <c r="T3027" s="4"/>
      <c r="U3027" s="4"/>
      <c r="V3027" s="4"/>
      <c r="W3027" s="4"/>
      <c r="X3027" s="4"/>
    </row>
    <row r="3028" spans="17:24" x14ac:dyDescent="0.3">
      <c r="Q3028" s="4"/>
      <c r="R3028" s="4"/>
      <c r="S3028" s="4"/>
      <c r="T3028" s="4"/>
      <c r="U3028" s="4"/>
      <c r="V3028" s="4"/>
      <c r="W3028" s="4"/>
      <c r="X3028" s="4"/>
    </row>
    <row r="3029" spans="17:24" x14ac:dyDescent="0.3">
      <c r="Q3029" s="4"/>
      <c r="R3029" s="4"/>
      <c r="S3029" s="4"/>
      <c r="T3029" s="4"/>
      <c r="U3029" s="4"/>
      <c r="V3029" s="4"/>
      <c r="W3029" s="4"/>
      <c r="X3029" s="4"/>
    </row>
    <row r="3030" spans="17:24" x14ac:dyDescent="0.3">
      <c r="Q3030" s="4"/>
      <c r="R3030" s="4"/>
      <c r="S3030" s="4"/>
      <c r="T3030" s="4"/>
      <c r="U3030" s="4"/>
      <c r="V3030" s="4"/>
      <c r="W3030" s="4"/>
      <c r="X3030" s="4"/>
    </row>
    <row r="3031" spans="17:24" x14ac:dyDescent="0.3">
      <c r="Q3031" s="4"/>
      <c r="R3031" s="4"/>
      <c r="S3031" s="4"/>
      <c r="T3031" s="4"/>
      <c r="U3031" s="4"/>
      <c r="V3031" s="4"/>
      <c r="W3031" s="4"/>
      <c r="X3031" s="4"/>
    </row>
    <row r="3032" spans="17:24" x14ac:dyDescent="0.3">
      <c r="Q3032" s="4"/>
      <c r="R3032" s="4"/>
      <c r="S3032" s="4"/>
      <c r="T3032" s="4"/>
      <c r="U3032" s="4"/>
      <c r="V3032" s="4"/>
      <c r="W3032" s="4"/>
      <c r="X3032" s="4"/>
    </row>
    <row r="3033" spans="17:24" x14ac:dyDescent="0.3">
      <c r="Q3033" s="4"/>
      <c r="R3033" s="4"/>
      <c r="S3033" s="4"/>
      <c r="T3033" s="4"/>
      <c r="U3033" s="4"/>
      <c r="V3033" s="4"/>
      <c r="W3033" s="4"/>
      <c r="X3033" s="4"/>
    </row>
    <row r="3034" spans="17:24" x14ac:dyDescent="0.3">
      <c r="Q3034" s="4"/>
      <c r="R3034" s="4"/>
      <c r="S3034" s="4"/>
      <c r="T3034" s="4"/>
      <c r="U3034" s="4"/>
      <c r="V3034" s="4"/>
      <c r="W3034" s="4"/>
      <c r="X3034" s="4"/>
    </row>
    <row r="3035" spans="17:24" x14ac:dyDescent="0.3">
      <c r="Q3035" s="4"/>
      <c r="R3035" s="4"/>
      <c r="S3035" s="4"/>
      <c r="T3035" s="4"/>
      <c r="U3035" s="4"/>
      <c r="V3035" s="4"/>
      <c r="W3035" s="4"/>
      <c r="X3035" s="4"/>
    </row>
    <row r="3036" spans="17:24" x14ac:dyDescent="0.3">
      <c r="Q3036" s="4"/>
      <c r="R3036" s="4"/>
      <c r="S3036" s="4"/>
      <c r="T3036" s="4"/>
      <c r="U3036" s="4"/>
      <c r="V3036" s="4"/>
      <c r="W3036" s="4"/>
      <c r="X3036" s="4"/>
    </row>
    <row r="3037" spans="17:24" x14ac:dyDescent="0.3">
      <c r="Q3037" s="4"/>
      <c r="R3037" s="4"/>
      <c r="S3037" s="4"/>
      <c r="T3037" s="4"/>
      <c r="U3037" s="4"/>
      <c r="V3037" s="4"/>
      <c r="W3037" s="4"/>
      <c r="X3037" s="4"/>
    </row>
    <row r="3038" spans="17:24" x14ac:dyDescent="0.3">
      <c r="Q3038" s="4"/>
      <c r="R3038" s="4"/>
      <c r="S3038" s="4"/>
      <c r="T3038" s="4"/>
      <c r="U3038" s="4"/>
      <c r="V3038" s="4"/>
      <c r="W3038" s="4"/>
      <c r="X3038" s="4"/>
    </row>
    <row r="3039" spans="17:24" x14ac:dyDescent="0.3">
      <c r="Q3039" s="4"/>
      <c r="R3039" s="4"/>
      <c r="S3039" s="4"/>
      <c r="T3039" s="4"/>
      <c r="U3039" s="4"/>
      <c r="V3039" s="4"/>
      <c r="W3039" s="4"/>
      <c r="X3039" s="4"/>
    </row>
    <row r="3040" spans="17:24" x14ac:dyDescent="0.3">
      <c r="Q3040" s="4"/>
      <c r="R3040" s="4"/>
      <c r="S3040" s="4"/>
      <c r="T3040" s="4"/>
      <c r="U3040" s="4"/>
      <c r="V3040" s="4"/>
      <c r="W3040" s="4"/>
      <c r="X3040" s="4"/>
    </row>
    <row r="3041" spans="17:24" x14ac:dyDescent="0.3">
      <c r="Q3041" s="4"/>
      <c r="R3041" s="4"/>
      <c r="S3041" s="4"/>
      <c r="T3041" s="4"/>
      <c r="U3041" s="4"/>
      <c r="V3041" s="4"/>
      <c r="W3041" s="4"/>
      <c r="X3041" s="4"/>
    </row>
    <row r="3042" spans="17:24" x14ac:dyDescent="0.3">
      <c r="Q3042" s="4"/>
      <c r="R3042" s="4"/>
      <c r="S3042" s="4"/>
      <c r="T3042" s="4"/>
      <c r="U3042" s="4"/>
      <c r="V3042" s="4"/>
      <c r="W3042" s="4"/>
      <c r="X3042" s="4"/>
    </row>
    <row r="3043" spans="17:24" x14ac:dyDescent="0.3">
      <c r="Q3043" s="4"/>
      <c r="R3043" s="4"/>
      <c r="S3043" s="4"/>
      <c r="T3043" s="4"/>
      <c r="U3043" s="4"/>
      <c r="V3043" s="4"/>
      <c r="W3043" s="4"/>
      <c r="X3043" s="4"/>
    </row>
    <row r="3044" spans="17:24" x14ac:dyDescent="0.3">
      <c r="Q3044" s="4"/>
      <c r="R3044" s="4"/>
      <c r="S3044" s="4"/>
      <c r="T3044" s="4"/>
      <c r="U3044" s="4"/>
      <c r="V3044" s="4"/>
      <c r="W3044" s="4"/>
      <c r="X3044" s="4"/>
    </row>
    <row r="3045" spans="17:24" x14ac:dyDescent="0.3">
      <c r="Q3045" s="4"/>
      <c r="R3045" s="4"/>
      <c r="S3045" s="4"/>
      <c r="T3045" s="4"/>
      <c r="U3045" s="4"/>
      <c r="V3045" s="4"/>
      <c r="W3045" s="4"/>
      <c r="X3045" s="4"/>
    </row>
    <row r="3046" spans="17:24" x14ac:dyDescent="0.3">
      <c r="Q3046" s="4"/>
      <c r="R3046" s="4"/>
      <c r="S3046" s="4"/>
      <c r="T3046" s="4"/>
      <c r="U3046" s="4"/>
      <c r="V3046" s="4"/>
      <c r="W3046" s="4"/>
      <c r="X3046" s="4"/>
    </row>
    <row r="3047" spans="17:24" x14ac:dyDescent="0.3">
      <c r="Q3047" s="4"/>
      <c r="R3047" s="4"/>
      <c r="S3047" s="4"/>
      <c r="T3047" s="4"/>
      <c r="U3047" s="4"/>
      <c r="V3047" s="4"/>
      <c r="W3047" s="4"/>
      <c r="X3047" s="4"/>
    </row>
    <row r="3048" spans="17:24" x14ac:dyDescent="0.3">
      <c r="Q3048" s="4"/>
      <c r="R3048" s="4"/>
      <c r="S3048" s="4"/>
      <c r="T3048" s="4"/>
      <c r="U3048" s="4"/>
      <c r="V3048" s="4"/>
      <c r="W3048" s="4"/>
      <c r="X3048" s="4"/>
    </row>
    <row r="3049" spans="17:24" x14ac:dyDescent="0.3">
      <c r="Q3049" s="4"/>
      <c r="R3049" s="4"/>
      <c r="S3049" s="4"/>
      <c r="T3049" s="4"/>
      <c r="U3049" s="4"/>
      <c r="V3049" s="4"/>
      <c r="W3049" s="4"/>
      <c r="X3049" s="4"/>
    </row>
    <row r="3050" spans="17:24" x14ac:dyDescent="0.3">
      <c r="Q3050" s="4"/>
      <c r="R3050" s="4"/>
      <c r="S3050" s="4"/>
      <c r="T3050" s="4"/>
      <c r="U3050" s="4"/>
      <c r="V3050" s="4"/>
      <c r="W3050" s="4"/>
      <c r="X3050" s="4"/>
    </row>
    <row r="3051" spans="17:24" x14ac:dyDescent="0.3">
      <c r="Q3051" s="4"/>
      <c r="R3051" s="4"/>
      <c r="S3051" s="4"/>
      <c r="T3051" s="4"/>
      <c r="U3051" s="4"/>
      <c r="V3051" s="4"/>
      <c r="W3051" s="4"/>
      <c r="X3051" s="4"/>
    </row>
    <row r="3052" spans="17:24" x14ac:dyDescent="0.3">
      <c r="Q3052" s="4"/>
      <c r="R3052" s="4"/>
      <c r="S3052" s="4"/>
      <c r="T3052" s="4"/>
      <c r="U3052" s="4"/>
      <c r="V3052" s="4"/>
      <c r="W3052" s="4"/>
      <c r="X3052" s="4"/>
    </row>
    <row r="3053" spans="17:24" x14ac:dyDescent="0.3">
      <c r="Q3053" s="4"/>
      <c r="R3053" s="4"/>
      <c r="S3053" s="4"/>
      <c r="T3053" s="4"/>
      <c r="U3053" s="4"/>
      <c r="V3053" s="4"/>
      <c r="W3053" s="4"/>
      <c r="X3053" s="4"/>
    </row>
    <row r="3054" spans="17:24" x14ac:dyDescent="0.3">
      <c r="Q3054" s="4"/>
      <c r="R3054" s="4"/>
      <c r="S3054" s="4"/>
      <c r="T3054" s="4"/>
      <c r="U3054" s="4"/>
      <c r="V3054" s="4"/>
      <c r="W3054" s="4"/>
      <c r="X3054" s="4"/>
    </row>
    <row r="3055" spans="17:24" x14ac:dyDescent="0.3">
      <c r="Q3055" s="4"/>
      <c r="R3055" s="4"/>
      <c r="S3055" s="4"/>
      <c r="T3055" s="4"/>
      <c r="U3055" s="4"/>
      <c r="V3055" s="4"/>
      <c r="W3055" s="4"/>
      <c r="X3055" s="4"/>
    </row>
    <row r="3056" spans="17:24" x14ac:dyDescent="0.3">
      <c r="Q3056" s="4"/>
      <c r="R3056" s="4"/>
      <c r="S3056" s="4"/>
      <c r="T3056" s="4"/>
      <c r="U3056" s="4"/>
      <c r="V3056" s="4"/>
      <c r="W3056" s="4"/>
      <c r="X3056" s="4"/>
    </row>
    <row r="3057" spans="17:24" x14ac:dyDescent="0.3">
      <c r="Q3057" s="4"/>
      <c r="R3057" s="4"/>
      <c r="S3057" s="4"/>
      <c r="T3057" s="4"/>
      <c r="U3057" s="4"/>
      <c r="V3057" s="4"/>
      <c r="W3057" s="4"/>
      <c r="X3057" s="4"/>
    </row>
    <row r="3058" spans="17:24" x14ac:dyDescent="0.3">
      <c r="Q3058" s="4"/>
      <c r="R3058" s="4"/>
      <c r="S3058" s="4"/>
      <c r="T3058" s="4"/>
      <c r="U3058" s="4"/>
      <c r="V3058" s="4"/>
      <c r="W3058" s="4"/>
      <c r="X3058" s="4"/>
    </row>
    <row r="3059" spans="17:24" x14ac:dyDescent="0.3">
      <c r="Q3059" s="4"/>
      <c r="R3059" s="4"/>
      <c r="S3059" s="4"/>
      <c r="T3059" s="4"/>
      <c r="U3059" s="4"/>
      <c r="V3059" s="4"/>
      <c r="W3059" s="4"/>
      <c r="X3059" s="4"/>
    </row>
    <row r="3060" spans="17:24" x14ac:dyDescent="0.3">
      <c r="Q3060" s="4"/>
      <c r="R3060" s="4"/>
      <c r="S3060" s="4"/>
      <c r="T3060" s="4"/>
      <c r="U3060" s="4"/>
      <c r="V3060" s="4"/>
      <c r="W3060" s="4"/>
      <c r="X3060" s="4"/>
    </row>
    <row r="3061" spans="17:24" x14ac:dyDescent="0.3">
      <c r="Q3061" s="4"/>
      <c r="R3061" s="4"/>
      <c r="S3061" s="4"/>
      <c r="T3061" s="4"/>
      <c r="U3061" s="4"/>
      <c r="V3061" s="4"/>
      <c r="W3061" s="4"/>
      <c r="X3061" s="4"/>
    </row>
    <row r="3062" spans="17:24" x14ac:dyDescent="0.3">
      <c r="Q3062" s="4"/>
      <c r="R3062" s="4"/>
      <c r="S3062" s="4"/>
      <c r="T3062" s="4"/>
      <c r="U3062" s="4"/>
      <c r="V3062" s="4"/>
      <c r="W3062" s="4"/>
      <c r="X3062" s="4"/>
    </row>
    <row r="3063" spans="17:24" x14ac:dyDescent="0.3">
      <c r="Q3063" s="4"/>
      <c r="R3063" s="4"/>
      <c r="S3063" s="4"/>
      <c r="T3063" s="4"/>
      <c r="U3063" s="4"/>
      <c r="V3063" s="4"/>
      <c r="W3063" s="4"/>
      <c r="X3063" s="4"/>
    </row>
    <row r="3064" spans="17:24" x14ac:dyDescent="0.3">
      <c r="Q3064" s="4"/>
      <c r="R3064" s="4"/>
      <c r="S3064" s="4"/>
      <c r="T3064" s="4"/>
      <c r="U3064" s="4"/>
      <c r="V3064" s="4"/>
      <c r="W3064" s="4"/>
      <c r="X3064" s="4"/>
    </row>
    <row r="3065" spans="17:24" x14ac:dyDescent="0.3">
      <c r="Q3065" s="4"/>
      <c r="R3065" s="4"/>
      <c r="S3065" s="4"/>
      <c r="T3065" s="4"/>
      <c r="U3065" s="4"/>
      <c r="V3065" s="4"/>
      <c r="W3065" s="4"/>
      <c r="X3065" s="4"/>
    </row>
    <row r="3066" spans="17:24" x14ac:dyDescent="0.3">
      <c r="Q3066" s="4"/>
      <c r="R3066" s="4"/>
      <c r="S3066" s="4"/>
      <c r="T3066" s="4"/>
      <c r="U3066" s="4"/>
      <c r="V3066" s="4"/>
      <c r="W3066" s="4"/>
      <c r="X3066" s="4"/>
    </row>
    <row r="3067" spans="17:24" x14ac:dyDescent="0.3">
      <c r="Q3067" s="4"/>
      <c r="R3067" s="4"/>
      <c r="S3067" s="4"/>
      <c r="T3067" s="4"/>
      <c r="U3067" s="4"/>
      <c r="V3067" s="4"/>
      <c r="W3067" s="4"/>
      <c r="X3067" s="4"/>
    </row>
    <row r="3068" spans="17:24" x14ac:dyDescent="0.3">
      <c r="Q3068" s="4"/>
      <c r="R3068" s="4"/>
      <c r="S3068" s="4"/>
      <c r="T3068" s="4"/>
      <c r="U3068" s="4"/>
      <c r="V3068" s="4"/>
      <c r="W3068" s="4"/>
      <c r="X3068" s="4"/>
    </row>
    <row r="3069" spans="17:24" x14ac:dyDescent="0.3">
      <c r="Q3069" s="4"/>
      <c r="R3069" s="4"/>
      <c r="S3069" s="4"/>
      <c r="T3069" s="4"/>
      <c r="U3069" s="4"/>
      <c r="V3069" s="4"/>
      <c r="W3069" s="4"/>
      <c r="X3069" s="4"/>
    </row>
    <row r="3070" spans="17:24" x14ac:dyDescent="0.3">
      <c r="Q3070" s="4"/>
      <c r="R3070" s="4"/>
      <c r="S3070" s="4"/>
      <c r="T3070" s="4"/>
      <c r="U3070" s="4"/>
      <c r="V3070" s="4"/>
      <c r="W3070" s="4"/>
      <c r="X3070" s="4"/>
    </row>
    <row r="3071" spans="17:24" x14ac:dyDescent="0.3">
      <c r="Q3071" s="4"/>
      <c r="R3071" s="4"/>
      <c r="S3071" s="4"/>
      <c r="T3071" s="4"/>
      <c r="U3071" s="4"/>
      <c r="V3071" s="4"/>
      <c r="W3071" s="4"/>
      <c r="X3071" s="4"/>
    </row>
    <row r="3072" spans="17:24" x14ac:dyDescent="0.3">
      <c r="Q3072" s="4"/>
      <c r="R3072" s="4"/>
      <c r="S3072" s="4"/>
      <c r="T3072" s="4"/>
      <c r="U3072" s="4"/>
      <c r="V3072" s="4"/>
      <c r="W3072" s="4"/>
      <c r="X3072" s="4"/>
    </row>
    <row r="3073" spans="17:24" x14ac:dyDescent="0.3">
      <c r="Q3073" s="4"/>
      <c r="R3073" s="4"/>
      <c r="S3073" s="4"/>
      <c r="T3073" s="4"/>
      <c r="U3073" s="4"/>
      <c r="V3073" s="4"/>
      <c r="W3073" s="4"/>
      <c r="X3073" s="4"/>
    </row>
    <row r="3074" spans="17:24" x14ac:dyDescent="0.3">
      <c r="Q3074" s="4"/>
      <c r="R3074" s="4"/>
      <c r="S3074" s="4"/>
      <c r="T3074" s="4"/>
      <c r="U3074" s="4"/>
      <c r="V3074" s="4"/>
      <c r="W3074" s="4"/>
      <c r="X3074" s="4"/>
    </row>
    <row r="3075" spans="17:24" x14ac:dyDescent="0.3">
      <c r="Q3075" s="4"/>
      <c r="R3075" s="4"/>
      <c r="S3075" s="4"/>
      <c r="T3075" s="4"/>
      <c r="U3075" s="4"/>
      <c r="V3075" s="4"/>
      <c r="W3075" s="4"/>
      <c r="X3075" s="4"/>
    </row>
    <row r="3076" spans="17:24" x14ac:dyDescent="0.3">
      <c r="Q3076" s="4"/>
      <c r="R3076" s="4"/>
      <c r="S3076" s="4"/>
      <c r="T3076" s="4"/>
      <c r="U3076" s="4"/>
      <c r="V3076" s="4"/>
      <c r="W3076" s="4"/>
      <c r="X3076" s="4"/>
    </row>
    <row r="3077" spans="17:24" x14ac:dyDescent="0.3">
      <c r="Q3077" s="4"/>
      <c r="R3077" s="4"/>
      <c r="S3077" s="4"/>
      <c r="T3077" s="4"/>
      <c r="U3077" s="4"/>
      <c r="V3077" s="4"/>
      <c r="W3077" s="4"/>
      <c r="X3077" s="4"/>
    </row>
    <row r="3078" spans="17:24" x14ac:dyDescent="0.3">
      <c r="Q3078" s="4"/>
      <c r="R3078" s="4"/>
      <c r="S3078" s="4"/>
      <c r="T3078" s="4"/>
      <c r="U3078" s="4"/>
      <c r="V3078" s="4"/>
      <c r="W3078" s="4"/>
      <c r="X3078" s="4"/>
    </row>
    <row r="3079" spans="17:24" x14ac:dyDescent="0.3">
      <c r="Q3079" s="4"/>
      <c r="R3079" s="4"/>
      <c r="S3079" s="4"/>
      <c r="T3079" s="4"/>
      <c r="U3079" s="4"/>
      <c r="V3079" s="4"/>
      <c r="W3079" s="4"/>
      <c r="X3079" s="4"/>
    </row>
    <row r="3080" spans="17:24" x14ac:dyDescent="0.3">
      <c r="Q3080" s="4"/>
      <c r="R3080" s="4"/>
      <c r="S3080" s="4"/>
      <c r="T3080" s="4"/>
      <c r="U3080" s="4"/>
      <c r="V3080" s="4"/>
      <c r="W3080" s="4"/>
      <c r="X3080" s="4"/>
    </row>
    <row r="3081" spans="17:24" x14ac:dyDescent="0.3">
      <c r="Q3081" s="4"/>
      <c r="R3081" s="4"/>
      <c r="S3081" s="4"/>
      <c r="T3081" s="4"/>
      <c r="U3081" s="4"/>
      <c r="V3081" s="4"/>
      <c r="W3081" s="4"/>
      <c r="X3081" s="4"/>
    </row>
    <row r="3082" spans="17:24" x14ac:dyDescent="0.3">
      <c r="Q3082" s="4"/>
      <c r="R3082" s="4"/>
      <c r="S3082" s="4"/>
      <c r="T3082" s="4"/>
      <c r="U3082" s="4"/>
      <c r="V3082" s="4"/>
      <c r="W3082" s="4"/>
      <c r="X3082" s="4"/>
    </row>
    <row r="3083" spans="17:24" x14ac:dyDescent="0.3">
      <c r="Q3083" s="4"/>
      <c r="R3083" s="4"/>
      <c r="S3083" s="4"/>
      <c r="T3083" s="4"/>
      <c r="U3083" s="4"/>
      <c r="V3083" s="4"/>
      <c r="W3083" s="4"/>
      <c r="X3083" s="4"/>
    </row>
    <row r="3084" spans="17:24" x14ac:dyDescent="0.3">
      <c r="Q3084" s="4"/>
      <c r="R3084" s="4"/>
      <c r="S3084" s="4"/>
      <c r="T3084" s="4"/>
      <c r="U3084" s="4"/>
      <c r="V3084" s="4"/>
      <c r="W3084" s="4"/>
      <c r="X3084" s="4"/>
    </row>
    <row r="3085" spans="17:24" x14ac:dyDescent="0.3">
      <c r="Q3085" s="4"/>
      <c r="R3085" s="4"/>
      <c r="S3085" s="4"/>
      <c r="T3085" s="4"/>
      <c r="U3085" s="4"/>
      <c r="V3085" s="4"/>
      <c r="W3085" s="4"/>
      <c r="X3085" s="4"/>
    </row>
    <row r="3086" spans="17:24" x14ac:dyDescent="0.3">
      <c r="Q3086" s="4"/>
      <c r="R3086" s="4"/>
      <c r="S3086" s="4"/>
      <c r="T3086" s="4"/>
      <c r="U3086" s="4"/>
      <c r="V3086" s="4"/>
      <c r="W3086" s="4"/>
      <c r="X3086" s="4"/>
    </row>
    <row r="3087" spans="17:24" x14ac:dyDescent="0.3">
      <c r="Q3087" s="4"/>
      <c r="R3087" s="4"/>
      <c r="S3087" s="4"/>
      <c r="T3087" s="4"/>
      <c r="U3087" s="4"/>
      <c r="V3087" s="4"/>
      <c r="W3087" s="4"/>
      <c r="X3087" s="4"/>
    </row>
    <row r="3088" spans="17:24" x14ac:dyDescent="0.3">
      <c r="Q3088" s="4"/>
      <c r="R3088" s="4"/>
      <c r="S3088" s="4"/>
      <c r="T3088" s="4"/>
      <c r="U3088" s="4"/>
      <c r="V3088" s="4"/>
      <c r="W3088" s="4"/>
      <c r="X3088" s="4"/>
    </row>
    <row r="3089" spans="17:24" x14ac:dyDescent="0.3">
      <c r="Q3089" s="4"/>
      <c r="R3089" s="4"/>
      <c r="S3089" s="4"/>
      <c r="T3089" s="4"/>
      <c r="U3089" s="4"/>
      <c r="V3089" s="4"/>
      <c r="W3089" s="4"/>
      <c r="X3089" s="4"/>
    </row>
    <row r="3090" spans="17:24" x14ac:dyDescent="0.3">
      <c r="Q3090" s="4"/>
      <c r="R3090" s="4"/>
      <c r="S3090" s="4"/>
      <c r="T3090" s="4"/>
      <c r="U3090" s="4"/>
      <c r="V3090" s="4"/>
      <c r="W3090" s="4"/>
      <c r="X3090" s="4"/>
    </row>
    <row r="3091" spans="17:24" x14ac:dyDescent="0.3">
      <c r="Q3091" s="4"/>
      <c r="R3091" s="4"/>
      <c r="S3091" s="4"/>
      <c r="T3091" s="4"/>
      <c r="U3091" s="4"/>
      <c r="V3091" s="4"/>
      <c r="W3091" s="4"/>
      <c r="X3091" s="4"/>
    </row>
    <row r="3092" spans="17:24" x14ac:dyDescent="0.3">
      <c r="Q3092" s="4"/>
      <c r="R3092" s="4"/>
      <c r="S3092" s="4"/>
      <c r="T3092" s="4"/>
      <c r="U3092" s="4"/>
      <c r="V3092" s="4"/>
      <c r="W3092" s="4"/>
      <c r="X3092" s="4"/>
    </row>
    <row r="3093" spans="17:24" x14ac:dyDescent="0.3">
      <c r="Q3093" s="4"/>
      <c r="R3093" s="4"/>
      <c r="S3093" s="4"/>
      <c r="T3093" s="4"/>
      <c r="U3093" s="4"/>
      <c r="V3093" s="4"/>
      <c r="W3093" s="4"/>
      <c r="X3093" s="4"/>
    </row>
    <row r="3094" spans="17:24" x14ac:dyDescent="0.3">
      <c r="Q3094" s="4"/>
      <c r="R3094" s="4"/>
      <c r="S3094" s="4"/>
      <c r="T3094" s="4"/>
      <c r="U3094" s="4"/>
      <c r="V3094" s="4"/>
      <c r="W3094" s="4"/>
      <c r="X3094" s="4"/>
    </row>
    <row r="3095" spans="17:24" x14ac:dyDescent="0.3">
      <c r="Q3095" s="4"/>
      <c r="R3095" s="4"/>
      <c r="S3095" s="4"/>
      <c r="T3095" s="4"/>
      <c r="U3095" s="4"/>
      <c r="V3095" s="4"/>
      <c r="W3095" s="4"/>
      <c r="X3095" s="4"/>
    </row>
    <row r="3096" spans="17:24" x14ac:dyDescent="0.3">
      <c r="Q3096" s="4"/>
      <c r="R3096" s="4"/>
      <c r="S3096" s="4"/>
      <c r="T3096" s="4"/>
      <c r="U3096" s="4"/>
      <c r="V3096" s="4"/>
      <c r="W3096" s="4"/>
      <c r="X3096" s="4"/>
    </row>
    <row r="3097" spans="17:24" x14ac:dyDescent="0.3">
      <c r="Q3097" s="4"/>
      <c r="R3097" s="4"/>
      <c r="S3097" s="4"/>
      <c r="T3097" s="4"/>
      <c r="U3097" s="4"/>
      <c r="V3097" s="4"/>
      <c r="W3097" s="4"/>
      <c r="X3097" s="4"/>
    </row>
    <row r="3098" spans="17:24" x14ac:dyDescent="0.3">
      <c r="Q3098" s="4"/>
      <c r="R3098" s="4"/>
      <c r="S3098" s="4"/>
      <c r="T3098" s="4"/>
      <c r="U3098" s="4"/>
      <c r="V3098" s="4"/>
      <c r="W3098" s="4"/>
      <c r="X3098" s="4"/>
    </row>
    <row r="3099" spans="17:24" x14ac:dyDescent="0.3">
      <c r="Q3099" s="4"/>
      <c r="R3099" s="4"/>
      <c r="S3099" s="4"/>
      <c r="T3099" s="4"/>
      <c r="U3099" s="4"/>
      <c r="V3099" s="4"/>
      <c r="W3099" s="4"/>
      <c r="X3099" s="4"/>
    </row>
    <row r="3100" spans="17:24" x14ac:dyDescent="0.3">
      <c r="Q3100" s="4"/>
      <c r="R3100" s="4"/>
      <c r="S3100" s="4"/>
      <c r="T3100" s="4"/>
      <c r="U3100" s="4"/>
      <c r="V3100" s="4"/>
      <c r="W3100" s="4"/>
      <c r="X3100" s="4"/>
    </row>
    <row r="3101" spans="17:24" x14ac:dyDescent="0.3">
      <c r="Q3101" s="4"/>
      <c r="R3101" s="4"/>
      <c r="S3101" s="4"/>
      <c r="T3101" s="4"/>
      <c r="U3101" s="4"/>
      <c r="V3101" s="4"/>
      <c r="W3101" s="4"/>
      <c r="X3101" s="4"/>
    </row>
    <row r="3102" spans="17:24" x14ac:dyDescent="0.3">
      <c r="Q3102" s="4"/>
      <c r="R3102" s="4"/>
      <c r="S3102" s="4"/>
      <c r="T3102" s="4"/>
      <c r="U3102" s="4"/>
      <c r="V3102" s="4"/>
      <c r="W3102" s="4"/>
      <c r="X3102" s="4"/>
    </row>
    <row r="3103" spans="17:24" x14ac:dyDescent="0.3">
      <c r="Q3103" s="4"/>
      <c r="R3103" s="4"/>
      <c r="S3103" s="4"/>
      <c r="T3103" s="4"/>
      <c r="U3103" s="4"/>
      <c r="V3103" s="4"/>
      <c r="W3103" s="4"/>
      <c r="X3103" s="4"/>
    </row>
    <row r="3104" spans="17:24" x14ac:dyDescent="0.3">
      <c r="Q3104" s="4"/>
      <c r="R3104" s="4"/>
      <c r="S3104" s="4"/>
      <c r="T3104" s="4"/>
      <c r="U3104" s="4"/>
      <c r="V3104" s="4"/>
      <c r="W3104" s="4"/>
      <c r="X3104" s="4"/>
    </row>
    <row r="3105" spans="17:24" x14ac:dyDescent="0.3">
      <c r="Q3105" s="4"/>
      <c r="R3105" s="4"/>
      <c r="S3105" s="4"/>
      <c r="T3105" s="4"/>
      <c r="U3105" s="4"/>
      <c r="V3105" s="4"/>
      <c r="W3105" s="4"/>
      <c r="X3105" s="4"/>
    </row>
    <row r="3106" spans="17:24" x14ac:dyDescent="0.3">
      <c r="Q3106" s="4"/>
      <c r="R3106" s="4"/>
      <c r="S3106" s="4"/>
      <c r="T3106" s="4"/>
      <c r="U3106" s="4"/>
      <c r="V3106" s="4"/>
      <c r="W3106" s="4"/>
      <c r="X3106" s="4"/>
    </row>
    <row r="3107" spans="17:24" x14ac:dyDescent="0.3">
      <c r="Q3107" s="4"/>
      <c r="R3107" s="4"/>
      <c r="S3107" s="4"/>
      <c r="T3107" s="4"/>
      <c r="U3107" s="4"/>
      <c r="V3107" s="4"/>
      <c r="W3107" s="4"/>
      <c r="X3107" s="4"/>
    </row>
    <row r="3108" spans="17:24" x14ac:dyDescent="0.3">
      <c r="Q3108" s="4"/>
      <c r="R3108" s="4"/>
      <c r="S3108" s="4"/>
      <c r="T3108" s="4"/>
      <c r="U3108" s="4"/>
      <c r="V3108" s="4"/>
      <c r="W3108" s="4"/>
      <c r="X3108" s="4"/>
    </row>
    <row r="3109" spans="17:24" x14ac:dyDescent="0.3">
      <c r="Q3109" s="4"/>
      <c r="R3109" s="4"/>
      <c r="S3109" s="4"/>
      <c r="T3109" s="4"/>
      <c r="U3109" s="4"/>
      <c r="V3109" s="4"/>
      <c r="W3109" s="4"/>
      <c r="X3109" s="4"/>
    </row>
    <row r="3110" spans="17:24" x14ac:dyDescent="0.3">
      <c r="Q3110" s="4"/>
      <c r="R3110" s="4"/>
      <c r="S3110" s="4"/>
      <c r="T3110" s="4"/>
      <c r="U3110" s="4"/>
      <c r="V3110" s="4"/>
      <c r="W3110" s="4"/>
      <c r="X3110" s="4"/>
    </row>
    <row r="3111" spans="17:24" x14ac:dyDescent="0.3">
      <c r="Q3111" s="4"/>
      <c r="R3111" s="4"/>
      <c r="S3111" s="4"/>
      <c r="T3111" s="4"/>
      <c r="U3111" s="4"/>
      <c r="V3111" s="4"/>
      <c r="W3111" s="4"/>
      <c r="X3111" s="4"/>
    </row>
    <row r="3112" spans="17:24" x14ac:dyDescent="0.3">
      <c r="Q3112" s="4"/>
      <c r="R3112" s="4"/>
      <c r="S3112" s="4"/>
      <c r="T3112" s="4"/>
      <c r="U3112" s="4"/>
      <c r="V3112" s="4"/>
      <c r="W3112" s="4"/>
      <c r="X3112" s="4"/>
    </row>
    <row r="3113" spans="17:24" x14ac:dyDescent="0.3">
      <c r="Q3113" s="4"/>
      <c r="R3113" s="4"/>
      <c r="S3113" s="4"/>
      <c r="T3113" s="4"/>
      <c r="U3113" s="4"/>
      <c r="V3113" s="4"/>
      <c r="W3113" s="4"/>
      <c r="X3113" s="4"/>
    </row>
    <row r="3114" spans="17:24" x14ac:dyDescent="0.3">
      <c r="Q3114" s="4"/>
      <c r="R3114" s="4"/>
      <c r="S3114" s="4"/>
      <c r="T3114" s="4"/>
      <c r="U3114" s="4"/>
      <c r="V3114" s="4"/>
      <c r="W3114" s="4"/>
      <c r="X3114" s="4"/>
    </row>
    <row r="3115" spans="17:24" x14ac:dyDescent="0.3">
      <c r="Q3115" s="4"/>
      <c r="R3115" s="4"/>
      <c r="S3115" s="4"/>
      <c r="T3115" s="4"/>
      <c r="U3115" s="4"/>
      <c r="V3115" s="4"/>
      <c r="W3115" s="4"/>
      <c r="X3115" s="4"/>
    </row>
    <row r="3116" spans="17:24" x14ac:dyDescent="0.3">
      <c r="Q3116" s="4"/>
      <c r="R3116" s="4"/>
      <c r="S3116" s="4"/>
      <c r="T3116" s="4"/>
      <c r="U3116" s="4"/>
      <c r="V3116" s="4"/>
      <c r="W3116" s="4"/>
      <c r="X3116" s="4"/>
    </row>
    <row r="3117" spans="17:24" x14ac:dyDescent="0.3">
      <c r="Q3117" s="4"/>
      <c r="R3117" s="4"/>
      <c r="S3117" s="4"/>
      <c r="T3117" s="4"/>
      <c r="U3117" s="4"/>
      <c r="V3117" s="4"/>
      <c r="W3117" s="4"/>
      <c r="X3117" s="4"/>
    </row>
    <row r="3118" spans="17:24" x14ac:dyDescent="0.3">
      <c r="Q3118" s="4"/>
      <c r="R3118" s="4"/>
      <c r="S3118" s="4"/>
      <c r="T3118" s="4"/>
      <c r="U3118" s="4"/>
      <c r="V3118" s="4"/>
      <c r="W3118" s="4"/>
      <c r="X3118" s="4"/>
    </row>
    <row r="3119" spans="17:24" x14ac:dyDescent="0.3">
      <c r="Q3119" s="4"/>
      <c r="R3119" s="4"/>
      <c r="S3119" s="4"/>
      <c r="T3119" s="4"/>
      <c r="U3119" s="4"/>
      <c r="V3119" s="4"/>
      <c r="W3119" s="4"/>
      <c r="X3119" s="4"/>
    </row>
    <row r="3120" spans="17:24" x14ac:dyDescent="0.3">
      <c r="Q3120" s="4"/>
      <c r="R3120" s="4"/>
      <c r="S3120" s="4"/>
      <c r="T3120" s="4"/>
      <c r="U3120" s="4"/>
      <c r="V3120" s="4"/>
      <c r="W3120" s="4"/>
      <c r="X3120" s="4"/>
    </row>
    <row r="3121" spans="17:24" x14ac:dyDescent="0.3">
      <c r="Q3121" s="4"/>
      <c r="R3121" s="4"/>
      <c r="S3121" s="4"/>
      <c r="T3121" s="4"/>
      <c r="U3121" s="4"/>
      <c r="V3121" s="4"/>
      <c r="W3121" s="4"/>
      <c r="X3121" s="4"/>
    </row>
    <row r="3122" spans="17:24" x14ac:dyDescent="0.3">
      <c r="Q3122" s="4"/>
      <c r="R3122" s="4"/>
      <c r="S3122" s="4"/>
      <c r="T3122" s="4"/>
      <c r="U3122" s="4"/>
      <c r="V3122" s="4"/>
      <c r="W3122" s="4"/>
      <c r="X3122" s="4"/>
    </row>
    <row r="3123" spans="17:24" x14ac:dyDescent="0.3">
      <c r="Q3123" s="4"/>
      <c r="R3123" s="4"/>
      <c r="S3123" s="4"/>
      <c r="T3123" s="4"/>
      <c r="U3123" s="4"/>
      <c r="V3123" s="4"/>
      <c r="W3123" s="4"/>
      <c r="X3123" s="4"/>
    </row>
    <row r="3124" spans="17:24" x14ac:dyDescent="0.3">
      <c r="Q3124" s="4"/>
      <c r="R3124" s="4"/>
      <c r="S3124" s="4"/>
      <c r="T3124" s="4"/>
      <c r="U3124" s="4"/>
      <c r="V3124" s="4"/>
      <c r="W3124" s="4"/>
      <c r="X3124" s="4"/>
    </row>
    <row r="3125" spans="17:24" x14ac:dyDescent="0.3">
      <c r="Q3125" s="4"/>
      <c r="R3125" s="4"/>
      <c r="S3125" s="4"/>
      <c r="T3125" s="4"/>
      <c r="U3125" s="4"/>
      <c r="V3125" s="4"/>
      <c r="W3125" s="4"/>
      <c r="X3125" s="4"/>
    </row>
    <row r="3126" spans="17:24" x14ac:dyDescent="0.3">
      <c r="Q3126" s="4"/>
      <c r="R3126" s="4"/>
      <c r="S3126" s="4"/>
      <c r="T3126" s="4"/>
      <c r="U3126" s="4"/>
      <c r="V3126" s="4"/>
      <c r="W3126" s="4"/>
      <c r="X3126" s="4"/>
    </row>
    <row r="3127" spans="17:24" x14ac:dyDescent="0.3">
      <c r="Q3127" s="4"/>
      <c r="R3127" s="4"/>
      <c r="S3127" s="4"/>
      <c r="T3127" s="4"/>
      <c r="U3127" s="4"/>
      <c r="V3127" s="4"/>
      <c r="W3127" s="4"/>
      <c r="X3127" s="4"/>
    </row>
    <row r="3128" spans="17:24" x14ac:dyDescent="0.3">
      <c r="Q3128" s="4"/>
      <c r="R3128" s="4"/>
      <c r="S3128" s="4"/>
      <c r="T3128" s="4"/>
      <c r="U3128" s="4"/>
      <c r="V3128" s="4"/>
      <c r="W3128" s="4"/>
      <c r="X3128" s="4"/>
    </row>
    <row r="3129" spans="17:24" x14ac:dyDescent="0.3">
      <c r="Q3129" s="4"/>
      <c r="R3129" s="4"/>
      <c r="S3129" s="4"/>
      <c r="T3129" s="4"/>
      <c r="U3129" s="4"/>
      <c r="V3129" s="4"/>
      <c r="W3129" s="4"/>
      <c r="X3129" s="4"/>
    </row>
    <row r="3130" spans="17:24" x14ac:dyDescent="0.3">
      <c r="Q3130" s="4"/>
      <c r="R3130" s="4"/>
      <c r="S3130" s="4"/>
      <c r="T3130" s="4"/>
      <c r="U3130" s="4"/>
      <c r="V3130" s="4"/>
      <c r="W3130" s="4"/>
      <c r="X3130" s="4"/>
    </row>
    <row r="3131" spans="17:24" x14ac:dyDescent="0.3">
      <c r="Q3131" s="4"/>
      <c r="R3131" s="4"/>
      <c r="S3131" s="4"/>
      <c r="T3131" s="4"/>
      <c r="U3131" s="4"/>
      <c r="V3131" s="4"/>
      <c r="W3131" s="4"/>
      <c r="X3131" s="4"/>
    </row>
    <row r="3132" spans="17:24" x14ac:dyDescent="0.3">
      <c r="Q3132" s="4"/>
      <c r="R3132" s="4"/>
      <c r="S3132" s="4"/>
      <c r="T3132" s="4"/>
      <c r="U3132" s="4"/>
      <c r="V3132" s="4"/>
      <c r="W3132" s="4"/>
      <c r="X3132" s="4"/>
    </row>
    <row r="3133" spans="17:24" x14ac:dyDescent="0.3">
      <c r="Q3133" s="4"/>
      <c r="R3133" s="4"/>
      <c r="S3133" s="4"/>
      <c r="T3133" s="4"/>
      <c r="U3133" s="4"/>
      <c r="V3133" s="4"/>
      <c r="W3133" s="4"/>
      <c r="X3133" s="4"/>
    </row>
    <row r="3134" spans="17:24" x14ac:dyDescent="0.3">
      <c r="Q3134" s="4"/>
      <c r="R3134" s="4"/>
      <c r="S3134" s="4"/>
      <c r="T3134" s="4"/>
      <c r="U3134" s="4"/>
      <c r="V3134" s="4"/>
      <c r="W3134" s="4"/>
      <c r="X3134" s="4"/>
    </row>
    <row r="3135" spans="17:24" x14ac:dyDescent="0.3">
      <c r="Q3135" s="4"/>
      <c r="R3135" s="4"/>
      <c r="S3135" s="4"/>
      <c r="T3135" s="4"/>
      <c r="U3135" s="4"/>
      <c r="V3135" s="4"/>
      <c r="W3135" s="4"/>
      <c r="X3135" s="4"/>
    </row>
    <row r="3136" spans="17:24" x14ac:dyDescent="0.3">
      <c r="Q3136" s="4"/>
      <c r="R3136" s="4"/>
      <c r="S3136" s="4"/>
      <c r="T3136" s="4"/>
      <c r="U3136" s="4"/>
      <c r="V3136" s="4"/>
      <c r="W3136" s="4"/>
      <c r="X3136" s="4"/>
    </row>
    <row r="3137" spans="17:24" x14ac:dyDescent="0.3">
      <c r="Q3137" s="4"/>
      <c r="R3137" s="4"/>
      <c r="S3137" s="4"/>
      <c r="T3137" s="4"/>
      <c r="U3137" s="4"/>
      <c r="V3137" s="4"/>
      <c r="W3137" s="4"/>
      <c r="X3137" s="4"/>
    </row>
    <row r="3138" spans="17:24" x14ac:dyDescent="0.3">
      <c r="Q3138" s="4"/>
      <c r="R3138" s="4"/>
      <c r="S3138" s="4"/>
      <c r="T3138" s="4"/>
      <c r="U3138" s="4"/>
      <c r="V3138" s="4"/>
      <c r="W3138" s="4"/>
      <c r="X3138" s="4"/>
    </row>
    <row r="3139" spans="17:24" x14ac:dyDescent="0.3">
      <c r="Q3139" s="4"/>
      <c r="R3139" s="4"/>
      <c r="S3139" s="4"/>
      <c r="T3139" s="4"/>
      <c r="U3139" s="4"/>
      <c r="V3139" s="4"/>
      <c r="W3139" s="4"/>
      <c r="X3139" s="4"/>
    </row>
    <row r="3140" spans="17:24" x14ac:dyDescent="0.3">
      <c r="Q3140" s="4"/>
      <c r="R3140" s="4"/>
      <c r="S3140" s="4"/>
      <c r="T3140" s="4"/>
      <c r="U3140" s="4"/>
      <c r="V3140" s="4"/>
      <c r="W3140" s="4"/>
      <c r="X3140" s="4"/>
    </row>
    <row r="3141" spans="17:24" x14ac:dyDescent="0.3">
      <c r="Q3141" s="4"/>
      <c r="R3141" s="4"/>
      <c r="S3141" s="4"/>
      <c r="T3141" s="4"/>
      <c r="U3141" s="4"/>
      <c r="V3141" s="4"/>
      <c r="W3141" s="4"/>
      <c r="X3141" s="4"/>
    </row>
    <row r="3142" spans="17:24" x14ac:dyDescent="0.3">
      <c r="Q3142" s="4"/>
      <c r="R3142" s="4"/>
      <c r="S3142" s="4"/>
      <c r="T3142" s="4"/>
      <c r="U3142" s="4"/>
      <c r="V3142" s="4"/>
      <c r="W3142" s="4"/>
      <c r="X3142" s="4"/>
    </row>
    <row r="3143" spans="17:24" x14ac:dyDescent="0.3">
      <c r="Q3143" s="4"/>
      <c r="R3143" s="4"/>
      <c r="S3143" s="4"/>
      <c r="T3143" s="4"/>
      <c r="U3143" s="4"/>
      <c r="V3143" s="4"/>
      <c r="W3143" s="4"/>
      <c r="X3143" s="4"/>
    </row>
    <row r="3144" spans="17:24" x14ac:dyDescent="0.3">
      <c r="Q3144" s="4"/>
      <c r="R3144" s="4"/>
      <c r="S3144" s="4"/>
      <c r="T3144" s="4"/>
      <c r="U3144" s="4"/>
      <c r="V3144" s="4"/>
      <c r="W3144" s="4"/>
      <c r="X3144" s="4"/>
    </row>
    <row r="3145" spans="17:24" x14ac:dyDescent="0.3">
      <c r="Q3145" s="4"/>
      <c r="R3145" s="4"/>
      <c r="S3145" s="4"/>
      <c r="T3145" s="4"/>
      <c r="U3145" s="4"/>
      <c r="V3145" s="4"/>
      <c r="W3145" s="4"/>
      <c r="X3145" s="4"/>
    </row>
    <row r="3146" spans="17:24" x14ac:dyDescent="0.3">
      <c r="Q3146" s="4"/>
      <c r="R3146" s="4"/>
      <c r="S3146" s="4"/>
      <c r="T3146" s="4"/>
      <c r="U3146" s="4"/>
      <c r="V3146" s="4"/>
      <c r="W3146" s="4"/>
      <c r="X3146" s="4"/>
    </row>
    <row r="3147" spans="17:24" x14ac:dyDescent="0.3">
      <c r="Q3147" s="4"/>
      <c r="R3147" s="4"/>
      <c r="S3147" s="4"/>
      <c r="T3147" s="4"/>
      <c r="U3147" s="4"/>
      <c r="V3147" s="4"/>
      <c r="W3147" s="4"/>
      <c r="X3147" s="4"/>
    </row>
    <row r="3148" spans="17:24" x14ac:dyDescent="0.3">
      <c r="Q3148" s="4"/>
      <c r="R3148" s="4"/>
      <c r="S3148" s="4"/>
      <c r="T3148" s="4"/>
      <c r="U3148" s="4"/>
      <c r="V3148" s="4"/>
      <c r="W3148" s="4"/>
      <c r="X3148" s="4"/>
    </row>
    <row r="3149" spans="17:24" x14ac:dyDescent="0.3">
      <c r="Q3149" s="4"/>
      <c r="R3149" s="4"/>
      <c r="S3149" s="4"/>
      <c r="T3149" s="4"/>
      <c r="U3149" s="4"/>
      <c r="V3149" s="4"/>
      <c r="W3149" s="4"/>
      <c r="X3149" s="4"/>
    </row>
    <row r="3150" spans="17:24" x14ac:dyDescent="0.3">
      <c r="Q3150" s="4"/>
      <c r="R3150" s="4"/>
      <c r="S3150" s="4"/>
      <c r="T3150" s="4"/>
      <c r="U3150" s="4"/>
      <c r="V3150" s="4"/>
      <c r="W3150" s="4"/>
      <c r="X3150" s="4"/>
    </row>
    <row r="3151" spans="17:24" x14ac:dyDescent="0.3">
      <c r="Q3151" s="4"/>
      <c r="R3151" s="4"/>
      <c r="S3151" s="4"/>
      <c r="T3151" s="4"/>
      <c r="U3151" s="4"/>
      <c r="V3151" s="4"/>
      <c r="W3151" s="4"/>
      <c r="X3151" s="4"/>
    </row>
    <row r="3152" spans="17:24" x14ac:dyDescent="0.3">
      <c r="Q3152" s="4"/>
      <c r="R3152" s="4"/>
      <c r="S3152" s="4"/>
      <c r="T3152" s="4"/>
      <c r="U3152" s="4"/>
      <c r="V3152" s="4"/>
      <c r="W3152" s="4"/>
      <c r="X3152" s="4"/>
    </row>
    <row r="3153" spans="17:24" x14ac:dyDescent="0.3">
      <c r="Q3153" s="4"/>
      <c r="R3153" s="4"/>
      <c r="S3153" s="4"/>
      <c r="T3153" s="4"/>
      <c r="U3153" s="4"/>
      <c r="V3153" s="4"/>
      <c r="W3153" s="4"/>
      <c r="X3153" s="4"/>
    </row>
    <row r="3154" spans="17:24" x14ac:dyDescent="0.3">
      <c r="Q3154" s="4"/>
      <c r="R3154" s="4"/>
      <c r="S3154" s="4"/>
      <c r="T3154" s="4"/>
      <c r="U3154" s="4"/>
      <c r="V3154" s="4"/>
      <c r="W3154" s="4"/>
      <c r="X3154" s="4"/>
    </row>
    <row r="3155" spans="17:24" x14ac:dyDescent="0.3">
      <c r="Q3155" s="4"/>
      <c r="R3155" s="4"/>
      <c r="S3155" s="4"/>
      <c r="T3155" s="4"/>
      <c r="U3155" s="4"/>
      <c r="V3155" s="4"/>
      <c r="W3155" s="4"/>
      <c r="X3155" s="4"/>
    </row>
    <row r="3156" spans="17:24" x14ac:dyDescent="0.3">
      <c r="Q3156" s="4"/>
      <c r="R3156" s="4"/>
      <c r="S3156" s="4"/>
      <c r="T3156" s="4"/>
      <c r="U3156" s="4"/>
      <c r="V3156" s="4"/>
      <c r="W3156" s="4"/>
      <c r="X3156" s="4"/>
    </row>
    <row r="3157" spans="17:24" x14ac:dyDescent="0.3">
      <c r="Q3157" s="4"/>
      <c r="R3157" s="4"/>
      <c r="S3157" s="4"/>
      <c r="T3157" s="4"/>
      <c r="U3157" s="4"/>
      <c r="V3157" s="4"/>
      <c r="W3157" s="4"/>
      <c r="X3157" s="4"/>
    </row>
    <row r="3158" spans="17:24" x14ac:dyDescent="0.3">
      <c r="Q3158" s="4"/>
      <c r="R3158" s="4"/>
      <c r="S3158" s="4"/>
      <c r="T3158" s="4"/>
      <c r="U3158" s="4"/>
      <c r="V3158" s="4"/>
      <c r="W3158" s="4"/>
      <c r="X3158" s="4"/>
    </row>
    <row r="3159" spans="17:24" x14ac:dyDescent="0.3">
      <c r="Q3159" s="4"/>
      <c r="R3159" s="4"/>
      <c r="S3159" s="4"/>
      <c r="T3159" s="4"/>
      <c r="U3159" s="4"/>
      <c r="V3159" s="4"/>
      <c r="W3159" s="4"/>
      <c r="X3159" s="4"/>
    </row>
    <row r="3160" spans="17:24" x14ac:dyDescent="0.3">
      <c r="Q3160" s="4"/>
      <c r="R3160" s="4"/>
      <c r="S3160" s="4"/>
      <c r="T3160" s="4"/>
      <c r="U3160" s="4"/>
      <c r="V3160" s="4"/>
      <c r="W3160" s="4"/>
      <c r="X3160" s="4"/>
    </row>
    <row r="3161" spans="17:24" x14ac:dyDescent="0.3">
      <c r="Q3161" s="4"/>
      <c r="R3161" s="4"/>
      <c r="S3161" s="4"/>
      <c r="T3161" s="4"/>
      <c r="U3161" s="4"/>
      <c r="V3161" s="4"/>
      <c r="W3161" s="4"/>
      <c r="X3161" s="4"/>
    </row>
    <row r="3162" spans="17:24" x14ac:dyDescent="0.3">
      <c r="Q3162" s="4"/>
      <c r="R3162" s="4"/>
      <c r="S3162" s="4"/>
      <c r="T3162" s="4"/>
      <c r="U3162" s="4"/>
      <c r="V3162" s="4"/>
      <c r="W3162" s="4"/>
      <c r="X3162" s="4"/>
    </row>
    <row r="3163" spans="17:24" x14ac:dyDescent="0.3">
      <c r="Q3163" s="4"/>
      <c r="R3163" s="4"/>
      <c r="S3163" s="4"/>
      <c r="T3163" s="4"/>
      <c r="U3163" s="4"/>
      <c r="V3163" s="4"/>
      <c r="W3163" s="4"/>
      <c r="X3163" s="4"/>
    </row>
    <row r="3164" spans="17:24" x14ac:dyDescent="0.3">
      <c r="Q3164" s="4"/>
      <c r="R3164" s="4"/>
      <c r="S3164" s="4"/>
      <c r="T3164" s="4"/>
      <c r="U3164" s="4"/>
      <c r="V3164" s="4"/>
      <c r="W3164" s="4"/>
      <c r="X3164" s="4"/>
    </row>
    <row r="3165" spans="17:24" x14ac:dyDescent="0.3">
      <c r="Q3165" s="4"/>
      <c r="R3165" s="4"/>
      <c r="S3165" s="4"/>
      <c r="T3165" s="4"/>
      <c r="U3165" s="4"/>
      <c r="V3165" s="4"/>
      <c r="W3165" s="4"/>
      <c r="X3165" s="4"/>
    </row>
    <row r="3166" spans="17:24" x14ac:dyDescent="0.3">
      <c r="Q3166" s="4"/>
      <c r="R3166" s="4"/>
      <c r="S3166" s="4"/>
      <c r="T3166" s="4"/>
      <c r="U3166" s="4"/>
      <c r="V3166" s="4"/>
      <c r="W3166" s="4"/>
      <c r="X3166" s="4"/>
    </row>
    <row r="3167" spans="17:24" x14ac:dyDescent="0.3">
      <c r="Q3167" s="4"/>
      <c r="R3167" s="4"/>
      <c r="S3167" s="4"/>
      <c r="T3167" s="4"/>
      <c r="U3167" s="4"/>
      <c r="V3167" s="4"/>
      <c r="W3167" s="4"/>
      <c r="X3167" s="4"/>
    </row>
    <row r="3168" spans="17:24" x14ac:dyDescent="0.3">
      <c r="Q3168" s="4"/>
      <c r="R3168" s="4"/>
      <c r="S3168" s="4"/>
      <c r="T3168" s="4"/>
      <c r="U3168" s="4"/>
      <c r="V3168" s="4"/>
      <c r="W3168" s="4"/>
      <c r="X3168" s="4"/>
    </row>
    <row r="3169" spans="17:24" x14ac:dyDescent="0.3">
      <c r="Q3169" s="4"/>
      <c r="R3169" s="4"/>
      <c r="S3169" s="4"/>
      <c r="T3169" s="4"/>
      <c r="U3169" s="4"/>
      <c r="V3169" s="4"/>
      <c r="W3169" s="4"/>
      <c r="X3169" s="4"/>
    </row>
    <row r="3170" spans="17:24" x14ac:dyDescent="0.3">
      <c r="Q3170" s="4"/>
      <c r="R3170" s="4"/>
      <c r="S3170" s="4"/>
      <c r="T3170" s="4"/>
      <c r="U3170" s="4"/>
      <c r="V3170" s="4"/>
      <c r="W3170" s="4"/>
      <c r="X3170" s="4"/>
    </row>
    <row r="3171" spans="17:24" x14ac:dyDescent="0.3">
      <c r="Q3171" s="4"/>
      <c r="R3171" s="4"/>
      <c r="S3171" s="4"/>
      <c r="T3171" s="4"/>
      <c r="U3171" s="4"/>
      <c r="V3171" s="4"/>
      <c r="W3171" s="4"/>
      <c r="X3171" s="4"/>
    </row>
    <row r="3172" spans="17:24" x14ac:dyDescent="0.3">
      <c r="Q3172" s="4"/>
      <c r="R3172" s="4"/>
      <c r="S3172" s="4"/>
      <c r="T3172" s="4"/>
      <c r="U3172" s="4"/>
      <c r="V3172" s="4"/>
      <c r="W3172" s="4"/>
      <c r="X3172" s="4"/>
    </row>
    <row r="3173" spans="17:24" x14ac:dyDescent="0.3">
      <c r="Q3173" s="4"/>
      <c r="R3173" s="4"/>
      <c r="S3173" s="4"/>
      <c r="T3173" s="4"/>
      <c r="U3173" s="4"/>
      <c r="V3173" s="4"/>
      <c r="W3173" s="4"/>
      <c r="X3173" s="4"/>
    </row>
    <row r="3174" spans="17:24" x14ac:dyDescent="0.3">
      <c r="Q3174" s="4"/>
      <c r="R3174" s="4"/>
      <c r="S3174" s="4"/>
      <c r="T3174" s="4"/>
      <c r="U3174" s="4"/>
      <c r="V3174" s="4"/>
      <c r="W3174" s="4"/>
      <c r="X3174" s="4"/>
    </row>
    <row r="3175" spans="17:24" x14ac:dyDescent="0.3">
      <c r="Q3175" s="4"/>
      <c r="R3175" s="4"/>
      <c r="S3175" s="4"/>
      <c r="T3175" s="4"/>
      <c r="U3175" s="4"/>
      <c r="V3175" s="4"/>
      <c r="W3175" s="4"/>
      <c r="X3175" s="4"/>
    </row>
    <row r="3176" spans="17:24" x14ac:dyDescent="0.3">
      <c r="Q3176" s="4"/>
      <c r="R3176" s="4"/>
      <c r="S3176" s="4"/>
      <c r="T3176" s="4"/>
      <c r="U3176" s="4"/>
      <c r="V3176" s="4"/>
      <c r="W3176" s="4"/>
      <c r="X3176" s="4"/>
    </row>
    <row r="3177" spans="17:24" x14ac:dyDescent="0.3">
      <c r="Q3177" s="4"/>
      <c r="R3177" s="4"/>
      <c r="S3177" s="4"/>
      <c r="T3177" s="4"/>
      <c r="U3177" s="4"/>
      <c r="V3177" s="4"/>
      <c r="W3177" s="4"/>
      <c r="X3177" s="4"/>
    </row>
    <row r="3178" spans="17:24" x14ac:dyDescent="0.3">
      <c r="Q3178" s="4"/>
      <c r="R3178" s="4"/>
      <c r="S3178" s="4"/>
      <c r="T3178" s="4"/>
      <c r="U3178" s="4"/>
      <c r="V3178" s="4"/>
      <c r="W3178" s="4"/>
      <c r="X3178" s="4"/>
    </row>
    <row r="3179" spans="17:24" x14ac:dyDescent="0.3">
      <c r="Q3179" s="4"/>
      <c r="R3179" s="4"/>
      <c r="S3179" s="4"/>
      <c r="T3179" s="4"/>
      <c r="U3179" s="4"/>
      <c r="V3179" s="4"/>
      <c r="W3179" s="4"/>
      <c r="X3179" s="4"/>
    </row>
    <row r="3180" spans="17:24" x14ac:dyDescent="0.3">
      <c r="Q3180" s="4"/>
      <c r="R3180" s="4"/>
      <c r="S3180" s="4"/>
      <c r="T3180" s="4"/>
      <c r="U3180" s="4"/>
      <c r="V3180" s="4"/>
      <c r="W3180" s="4"/>
      <c r="X3180" s="4"/>
    </row>
    <row r="3181" spans="17:24" x14ac:dyDescent="0.3">
      <c r="Q3181" s="4"/>
      <c r="R3181" s="4"/>
      <c r="S3181" s="4"/>
      <c r="T3181" s="4"/>
      <c r="U3181" s="4"/>
      <c r="V3181" s="4"/>
      <c r="W3181" s="4"/>
      <c r="X3181" s="4"/>
    </row>
    <row r="3182" spans="17:24" x14ac:dyDescent="0.3">
      <c r="Q3182" s="4"/>
      <c r="R3182" s="4"/>
      <c r="S3182" s="4"/>
      <c r="T3182" s="4"/>
      <c r="U3182" s="4"/>
      <c r="V3182" s="4"/>
      <c r="W3182" s="4"/>
      <c r="X3182" s="4"/>
    </row>
    <row r="3183" spans="17:24" x14ac:dyDescent="0.3">
      <c r="Q3183" s="4"/>
      <c r="R3183" s="4"/>
      <c r="S3183" s="4"/>
      <c r="T3183" s="4"/>
      <c r="U3183" s="4"/>
      <c r="V3183" s="4"/>
      <c r="W3183" s="4"/>
      <c r="X3183" s="4"/>
    </row>
    <row r="3184" spans="17:24" x14ac:dyDescent="0.3">
      <c r="Q3184" s="4"/>
      <c r="R3184" s="4"/>
      <c r="S3184" s="4"/>
      <c r="T3184" s="4"/>
      <c r="U3184" s="4"/>
      <c r="V3184" s="4"/>
      <c r="W3184" s="4"/>
      <c r="X3184" s="4"/>
    </row>
    <row r="3185" spans="17:24" x14ac:dyDescent="0.3">
      <c r="Q3185" s="4"/>
      <c r="R3185" s="4"/>
      <c r="S3185" s="4"/>
      <c r="T3185" s="4"/>
      <c r="U3185" s="4"/>
      <c r="V3185" s="4"/>
      <c r="W3185" s="4"/>
      <c r="X3185" s="4"/>
    </row>
    <row r="3186" spans="17:24" x14ac:dyDescent="0.3">
      <c r="Q3186" s="4"/>
      <c r="R3186" s="4"/>
      <c r="S3186" s="4"/>
      <c r="T3186" s="4"/>
      <c r="U3186" s="4"/>
      <c r="V3186" s="4"/>
      <c r="W3186" s="4"/>
      <c r="X3186" s="4"/>
    </row>
    <row r="3187" spans="17:24" x14ac:dyDescent="0.3">
      <c r="Q3187" s="4"/>
      <c r="R3187" s="4"/>
      <c r="S3187" s="4"/>
      <c r="T3187" s="4"/>
      <c r="U3187" s="4"/>
      <c r="V3187" s="4"/>
      <c r="W3187" s="4"/>
      <c r="X3187" s="4"/>
    </row>
    <row r="3188" spans="17:24" x14ac:dyDescent="0.3">
      <c r="Q3188" s="4"/>
      <c r="R3188" s="4"/>
      <c r="S3188" s="4"/>
      <c r="T3188" s="4"/>
      <c r="U3188" s="4"/>
      <c r="V3188" s="4"/>
      <c r="W3188" s="4"/>
      <c r="X3188" s="4"/>
    </row>
    <row r="3189" spans="17:24" x14ac:dyDescent="0.3">
      <c r="Q3189" s="4"/>
      <c r="R3189" s="4"/>
      <c r="S3189" s="4"/>
      <c r="T3189" s="4"/>
      <c r="U3189" s="4"/>
      <c r="V3189" s="4"/>
      <c r="W3189" s="4"/>
      <c r="X3189" s="4"/>
    </row>
    <row r="3190" spans="17:24" x14ac:dyDescent="0.3">
      <c r="Q3190" s="4"/>
      <c r="R3190" s="4"/>
      <c r="S3190" s="4"/>
      <c r="T3190" s="4"/>
      <c r="U3190" s="4"/>
      <c r="V3190" s="4"/>
      <c r="W3190" s="4"/>
      <c r="X3190" s="4"/>
    </row>
    <row r="3191" spans="17:24" x14ac:dyDescent="0.3">
      <c r="Q3191" s="4"/>
      <c r="R3191" s="4"/>
      <c r="S3191" s="4"/>
      <c r="T3191" s="4"/>
      <c r="U3191" s="4"/>
      <c r="V3191" s="4"/>
      <c r="W3191" s="4"/>
      <c r="X3191" s="4"/>
    </row>
    <row r="3192" spans="17:24" x14ac:dyDescent="0.3">
      <c r="Q3192" s="4"/>
      <c r="R3192" s="4"/>
      <c r="S3192" s="4"/>
      <c r="T3192" s="4"/>
      <c r="U3192" s="4"/>
      <c r="V3192" s="4"/>
      <c r="W3192" s="4"/>
      <c r="X3192" s="4"/>
    </row>
    <row r="3193" spans="17:24" x14ac:dyDescent="0.3">
      <c r="Q3193" s="4"/>
      <c r="R3193" s="4"/>
      <c r="S3193" s="4"/>
      <c r="T3193" s="4"/>
      <c r="U3193" s="4"/>
      <c r="V3193" s="4"/>
      <c r="W3193" s="4"/>
      <c r="X3193" s="4"/>
    </row>
    <row r="3194" spans="17:24" x14ac:dyDescent="0.3">
      <c r="Q3194" s="4"/>
      <c r="R3194" s="4"/>
      <c r="S3194" s="4"/>
      <c r="T3194" s="4"/>
      <c r="U3194" s="4"/>
      <c r="V3194" s="4"/>
      <c r="W3194" s="4"/>
      <c r="X3194" s="4"/>
    </row>
    <row r="3195" spans="17:24" x14ac:dyDescent="0.3">
      <c r="Q3195" s="4"/>
      <c r="R3195" s="4"/>
      <c r="S3195" s="4"/>
      <c r="T3195" s="4"/>
      <c r="U3195" s="4"/>
      <c r="V3195" s="4"/>
      <c r="W3195" s="4"/>
      <c r="X3195" s="4"/>
    </row>
    <row r="3196" spans="17:24" x14ac:dyDescent="0.3">
      <c r="Q3196" s="4"/>
      <c r="R3196" s="4"/>
      <c r="S3196" s="4"/>
      <c r="T3196" s="4"/>
      <c r="U3196" s="4"/>
      <c r="V3196" s="4"/>
      <c r="W3196" s="4"/>
      <c r="X3196" s="4"/>
    </row>
    <row r="3197" spans="17:24" x14ac:dyDescent="0.3">
      <c r="Q3197" s="4"/>
      <c r="R3197" s="4"/>
      <c r="S3197" s="4"/>
      <c r="T3197" s="4"/>
      <c r="U3197" s="4"/>
      <c r="V3197" s="4"/>
      <c r="W3197" s="4"/>
      <c r="X3197" s="4"/>
    </row>
    <row r="3198" spans="17:24" x14ac:dyDescent="0.3">
      <c r="Q3198" s="4"/>
      <c r="R3198" s="4"/>
      <c r="S3198" s="4"/>
      <c r="T3198" s="4"/>
      <c r="U3198" s="4"/>
      <c r="V3198" s="4"/>
      <c r="W3198" s="4"/>
      <c r="X3198" s="4"/>
    </row>
    <row r="3199" spans="17:24" x14ac:dyDescent="0.3">
      <c r="Q3199" s="4"/>
      <c r="R3199" s="4"/>
      <c r="S3199" s="4"/>
      <c r="T3199" s="4"/>
      <c r="U3199" s="4"/>
      <c r="V3199" s="4"/>
      <c r="W3199" s="4"/>
      <c r="X3199" s="4"/>
    </row>
    <row r="3200" spans="17:24" x14ac:dyDescent="0.3">
      <c r="Q3200" s="4"/>
      <c r="R3200" s="4"/>
      <c r="S3200" s="4"/>
      <c r="T3200" s="4"/>
      <c r="U3200" s="4"/>
      <c r="V3200" s="4"/>
      <c r="W3200" s="4"/>
      <c r="X3200" s="4"/>
    </row>
    <row r="3201" spans="17:24" x14ac:dyDescent="0.3">
      <c r="Q3201" s="4"/>
      <c r="R3201" s="4"/>
      <c r="S3201" s="4"/>
      <c r="T3201" s="4"/>
      <c r="U3201" s="4"/>
      <c r="V3201" s="4"/>
      <c r="W3201" s="4"/>
      <c r="X3201" s="4"/>
    </row>
    <row r="3202" spans="17:24" x14ac:dyDescent="0.3">
      <c r="Q3202" s="4"/>
      <c r="R3202" s="4"/>
      <c r="S3202" s="4"/>
      <c r="T3202" s="4"/>
      <c r="U3202" s="4"/>
      <c r="V3202" s="4"/>
      <c r="W3202" s="4"/>
      <c r="X3202" s="4"/>
    </row>
    <row r="3203" spans="17:24" x14ac:dyDescent="0.3">
      <c r="Q3203" s="4"/>
      <c r="R3203" s="4"/>
      <c r="S3203" s="4"/>
      <c r="T3203" s="4"/>
      <c r="U3203" s="4"/>
      <c r="V3203" s="4"/>
      <c r="W3203" s="4"/>
      <c r="X3203" s="4"/>
    </row>
    <row r="3204" spans="17:24" x14ac:dyDescent="0.3">
      <c r="Q3204" s="4"/>
      <c r="R3204" s="4"/>
      <c r="S3204" s="4"/>
      <c r="T3204" s="4"/>
      <c r="U3204" s="4"/>
      <c r="V3204" s="4"/>
      <c r="W3204" s="4"/>
      <c r="X3204" s="4"/>
    </row>
    <row r="3205" spans="17:24" x14ac:dyDescent="0.3">
      <c r="Q3205" s="4"/>
      <c r="R3205" s="4"/>
      <c r="S3205" s="4"/>
      <c r="T3205" s="4"/>
      <c r="U3205" s="4"/>
      <c r="V3205" s="4"/>
      <c r="W3205" s="4"/>
      <c r="X3205" s="4"/>
    </row>
    <row r="3206" spans="17:24" x14ac:dyDescent="0.3">
      <c r="Q3206" s="4"/>
      <c r="R3206" s="4"/>
      <c r="S3206" s="4"/>
      <c r="T3206" s="4"/>
      <c r="U3206" s="4"/>
      <c r="V3206" s="4"/>
      <c r="W3206" s="4"/>
      <c r="X3206" s="4"/>
    </row>
    <row r="3207" spans="17:24" x14ac:dyDescent="0.3">
      <c r="Q3207" s="4"/>
      <c r="R3207" s="4"/>
      <c r="S3207" s="4"/>
      <c r="T3207" s="4"/>
      <c r="U3207" s="4"/>
      <c r="V3207" s="4"/>
      <c r="W3207" s="4"/>
      <c r="X3207" s="4"/>
    </row>
    <row r="3208" spans="17:24" x14ac:dyDescent="0.3">
      <c r="Q3208" s="4"/>
      <c r="R3208" s="4"/>
      <c r="S3208" s="4"/>
      <c r="T3208" s="4"/>
      <c r="U3208" s="4"/>
      <c r="V3208" s="4"/>
      <c r="W3208" s="4"/>
      <c r="X3208" s="4"/>
    </row>
    <row r="3209" spans="17:24" x14ac:dyDescent="0.3">
      <c r="Q3209" s="4"/>
      <c r="R3209" s="4"/>
      <c r="S3209" s="4"/>
      <c r="T3209" s="4"/>
      <c r="U3209" s="4"/>
      <c r="V3209" s="4"/>
      <c r="W3209" s="4"/>
      <c r="X3209" s="4"/>
    </row>
    <row r="3210" spans="17:24" x14ac:dyDescent="0.3">
      <c r="Q3210" s="4"/>
      <c r="R3210" s="4"/>
      <c r="S3210" s="4"/>
      <c r="T3210" s="4"/>
      <c r="U3210" s="4"/>
      <c r="V3210" s="4"/>
      <c r="W3210" s="4"/>
      <c r="X3210" s="4"/>
    </row>
    <row r="3211" spans="17:24" x14ac:dyDescent="0.3">
      <c r="Q3211" s="4"/>
      <c r="R3211" s="4"/>
      <c r="S3211" s="4"/>
      <c r="T3211" s="4"/>
      <c r="U3211" s="4"/>
      <c r="V3211" s="4"/>
      <c r="W3211" s="4"/>
      <c r="X3211" s="4"/>
    </row>
    <row r="3212" spans="17:24" x14ac:dyDescent="0.3">
      <c r="Q3212" s="4"/>
      <c r="R3212" s="4"/>
      <c r="S3212" s="4"/>
      <c r="T3212" s="4"/>
      <c r="U3212" s="4"/>
      <c r="V3212" s="4"/>
      <c r="W3212" s="4"/>
      <c r="X3212" s="4"/>
    </row>
    <row r="3213" spans="17:24" x14ac:dyDescent="0.3">
      <c r="Q3213" s="4"/>
      <c r="R3213" s="4"/>
      <c r="S3213" s="4"/>
      <c r="T3213" s="4"/>
      <c r="U3213" s="4"/>
      <c r="V3213" s="4"/>
      <c r="W3213" s="4"/>
      <c r="X3213" s="4"/>
    </row>
    <row r="3214" spans="17:24" x14ac:dyDescent="0.3">
      <c r="Q3214" s="4"/>
      <c r="R3214" s="4"/>
      <c r="S3214" s="4"/>
      <c r="T3214" s="4"/>
      <c r="U3214" s="4"/>
      <c r="V3214" s="4"/>
      <c r="W3214" s="4"/>
      <c r="X3214" s="4"/>
    </row>
    <row r="3215" spans="17:24" x14ac:dyDescent="0.3">
      <c r="Q3215" s="4"/>
      <c r="R3215" s="4"/>
      <c r="S3215" s="4"/>
      <c r="T3215" s="4"/>
      <c r="U3215" s="4"/>
      <c r="V3215" s="4"/>
      <c r="W3215" s="4"/>
      <c r="X3215" s="4"/>
    </row>
    <row r="3216" spans="17:24" x14ac:dyDescent="0.3">
      <c r="Q3216" s="4"/>
      <c r="R3216" s="4"/>
      <c r="S3216" s="4"/>
      <c r="T3216" s="4"/>
      <c r="U3216" s="4"/>
      <c r="V3216" s="4"/>
      <c r="W3216" s="4"/>
      <c r="X3216" s="4"/>
    </row>
    <row r="3217" spans="17:24" x14ac:dyDescent="0.3">
      <c r="Q3217" s="4"/>
      <c r="R3217" s="4"/>
      <c r="S3217" s="4"/>
      <c r="T3217" s="4"/>
      <c r="U3217" s="4"/>
      <c r="V3217" s="4"/>
      <c r="W3217" s="4"/>
      <c r="X3217" s="4"/>
    </row>
    <row r="3218" spans="17:24" x14ac:dyDescent="0.3">
      <c r="Q3218" s="4"/>
      <c r="R3218" s="4"/>
      <c r="S3218" s="4"/>
      <c r="T3218" s="4"/>
      <c r="U3218" s="4"/>
      <c r="V3218" s="4"/>
      <c r="W3218" s="4"/>
      <c r="X3218" s="4"/>
    </row>
    <row r="3219" spans="17:24" x14ac:dyDescent="0.3">
      <c r="Q3219" s="4"/>
      <c r="R3219" s="4"/>
      <c r="S3219" s="4"/>
      <c r="T3219" s="4"/>
      <c r="U3219" s="4"/>
      <c r="V3219" s="4"/>
      <c r="W3219" s="4"/>
      <c r="X3219" s="4"/>
    </row>
    <row r="3220" spans="17:24" x14ac:dyDescent="0.3">
      <c r="Q3220" s="4"/>
      <c r="R3220" s="4"/>
      <c r="S3220" s="4"/>
      <c r="T3220" s="4"/>
      <c r="U3220" s="4"/>
      <c r="V3220" s="4"/>
      <c r="W3220" s="4"/>
      <c r="X3220" s="4"/>
    </row>
    <row r="3221" spans="17:24" x14ac:dyDescent="0.3">
      <c r="Q3221" s="4"/>
      <c r="R3221" s="4"/>
      <c r="S3221" s="4"/>
      <c r="T3221" s="4"/>
      <c r="U3221" s="4"/>
      <c r="V3221" s="4"/>
      <c r="W3221" s="4"/>
      <c r="X3221" s="4"/>
    </row>
    <row r="3222" spans="17:24" x14ac:dyDescent="0.3">
      <c r="Q3222" s="4"/>
      <c r="R3222" s="4"/>
      <c r="S3222" s="4"/>
      <c r="T3222" s="4"/>
      <c r="U3222" s="4"/>
      <c r="V3222" s="4"/>
      <c r="W3222" s="4"/>
      <c r="X3222" s="4"/>
    </row>
    <row r="3223" spans="17:24" x14ac:dyDescent="0.3">
      <c r="Q3223" s="4"/>
      <c r="R3223" s="4"/>
      <c r="S3223" s="4"/>
      <c r="T3223" s="4"/>
      <c r="U3223" s="4"/>
      <c r="V3223" s="4"/>
      <c r="W3223" s="4"/>
      <c r="X3223" s="4"/>
    </row>
    <row r="3224" spans="17:24" x14ac:dyDescent="0.3">
      <c r="Q3224" s="4"/>
      <c r="R3224" s="4"/>
      <c r="S3224" s="4"/>
      <c r="T3224" s="4"/>
      <c r="U3224" s="4"/>
      <c r="V3224" s="4"/>
      <c r="W3224" s="4"/>
      <c r="X3224" s="4"/>
    </row>
    <row r="3225" spans="17:24" x14ac:dyDescent="0.3">
      <c r="Q3225" s="4"/>
      <c r="R3225" s="4"/>
      <c r="S3225" s="4"/>
      <c r="T3225" s="4"/>
      <c r="U3225" s="4"/>
      <c r="V3225" s="4"/>
      <c r="W3225" s="4"/>
      <c r="X3225" s="4"/>
    </row>
    <row r="3226" spans="17:24" x14ac:dyDescent="0.3">
      <c r="Q3226" s="4"/>
      <c r="R3226" s="4"/>
      <c r="S3226" s="4"/>
      <c r="T3226" s="4"/>
      <c r="U3226" s="4"/>
      <c r="V3226" s="4"/>
      <c r="W3226" s="4"/>
      <c r="X3226" s="4"/>
    </row>
    <row r="3227" spans="17:24" x14ac:dyDescent="0.3">
      <c r="Q3227" s="4"/>
      <c r="R3227" s="4"/>
      <c r="S3227" s="4"/>
      <c r="T3227" s="4"/>
      <c r="U3227" s="4"/>
      <c r="V3227" s="4"/>
      <c r="W3227" s="4"/>
      <c r="X3227" s="4"/>
    </row>
    <row r="3228" spans="17:24" x14ac:dyDescent="0.3">
      <c r="Q3228" s="4"/>
      <c r="R3228" s="4"/>
      <c r="S3228" s="4"/>
      <c r="T3228" s="4"/>
      <c r="U3228" s="4"/>
      <c r="V3228" s="4"/>
      <c r="W3228" s="4"/>
      <c r="X3228" s="4"/>
    </row>
    <row r="3229" spans="17:24" x14ac:dyDescent="0.3">
      <c r="Q3229" s="4"/>
      <c r="R3229" s="4"/>
      <c r="S3229" s="4"/>
      <c r="T3229" s="4"/>
      <c r="U3229" s="4"/>
      <c r="V3229" s="4"/>
      <c r="W3229" s="4"/>
      <c r="X3229" s="4"/>
    </row>
    <row r="3230" spans="17:24" x14ac:dyDescent="0.3">
      <c r="Q3230" s="4"/>
      <c r="R3230" s="4"/>
      <c r="S3230" s="4"/>
      <c r="T3230" s="4"/>
      <c r="U3230" s="4"/>
      <c r="V3230" s="4"/>
      <c r="W3230" s="4"/>
      <c r="X3230" s="4"/>
    </row>
    <row r="3231" spans="17:24" x14ac:dyDescent="0.3">
      <c r="Q3231" s="4"/>
      <c r="R3231" s="4"/>
      <c r="S3231" s="4"/>
      <c r="T3231" s="4"/>
      <c r="U3231" s="4"/>
      <c r="V3231" s="4"/>
      <c r="W3231" s="4"/>
      <c r="X3231" s="4"/>
    </row>
    <row r="3232" spans="17:24" x14ac:dyDescent="0.3">
      <c r="Q3232" s="4"/>
      <c r="R3232" s="4"/>
      <c r="S3232" s="4"/>
      <c r="T3232" s="4"/>
      <c r="U3232" s="4"/>
      <c r="V3232" s="4"/>
      <c r="W3232" s="4"/>
      <c r="X3232" s="4"/>
    </row>
    <row r="3233" spans="17:24" x14ac:dyDescent="0.3">
      <c r="Q3233" s="4"/>
      <c r="R3233" s="4"/>
      <c r="S3233" s="4"/>
      <c r="T3233" s="4"/>
      <c r="U3233" s="4"/>
      <c r="V3233" s="4"/>
      <c r="W3233" s="4"/>
      <c r="X3233" s="4"/>
    </row>
    <row r="3234" spans="17:24" x14ac:dyDescent="0.3">
      <c r="Q3234" s="4"/>
      <c r="R3234" s="4"/>
      <c r="S3234" s="4"/>
      <c r="T3234" s="4"/>
      <c r="U3234" s="4"/>
      <c r="V3234" s="4"/>
      <c r="W3234" s="4"/>
      <c r="X3234" s="4"/>
    </row>
    <row r="3235" spans="17:24" x14ac:dyDescent="0.3">
      <c r="Q3235" s="4"/>
      <c r="R3235" s="4"/>
      <c r="S3235" s="4"/>
      <c r="T3235" s="4"/>
      <c r="U3235" s="4"/>
      <c r="V3235" s="4"/>
      <c r="W3235" s="4"/>
      <c r="X3235" s="4"/>
    </row>
    <row r="3236" spans="17:24" x14ac:dyDescent="0.3">
      <c r="Q3236" s="4"/>
      <c r="R3236" s="4"/>
      <c r="S3236" s="4"/>
      <c r="T3236" s="4"/>
      <c r="U3236" s="4"/>
      <c r="V3236" s="4"/>
      <c r="W3236" s="4"/>
      <c r="X3236" s="4"/>
    </row>
    <row r="3237" spans="17:24" x14ac:dyDescent="0.3">
      <c r="Q3237" s="4"/>
      <c r="R3237" s="4"/>
      <c r="S3237" s="4"/>
      <c r="T3237" s="4"/>
      <c r="U3237" s="4"/>
      <c r="V3237" s="4"/>
      <c r="W3237" s="4"/>
      <c r="X3237" s="4"/>
    </row>
    <row r="3238" spans="17:24" x14ac:dyDescent="0.3">
      <c r="Q3238" s="4"/>
      <c r="R3238" s="4"/>
      <c r="S3238" s="4"/>
      <c r="T3238" s="4"/>
      <c r="U3238" s="4"/>
      <c r="V3238" s="4"/>
      <c r="W3238" s="4"/>
      <c r="X3238" s="4"/>
    </row>
    <row r="3239" spans="17:24" x14ac:dyDescent="0.3">
      <c r="Q3239" s="4"/>
      <c r="R3239" s="4"/>
      <c r="S3239" s="4"/>
      <c r="T3239" s="4"/>
      <c r="U3239" s="4"/>
      <c r="V3239" s="4"/>
      <c r="W3239" s="4"/>
      <c r="X3239" s="4"/>
    </row>
    <row r="3240" spans="17:24" x14ac:dyDescent="0.3">
      <c r="Q3240" s="4"/>
      <c r="R3240" s="4"/>
      <c r="S3240" s="4"/>
      <c r="T3240" s="4"/>
      <c r="U3240" s="4"/>
      <c r="V3240" s="4"/>
      <c r="W3240" s="4"/>
      <c r="X3240" s="4"/>
    </row>
    <row r="3241" spans="17:24" x14ac:dyDescent="0.3">
      <c r="Q3241" s="4"/>
      <c r="R3241" s="4"/>
      <c r="S3241" s="4"/>
      <c r="T3241" s="4"/>
      <c r="U3241" s="4"/>
      <c r="V3241" s="4"/>
      <c r="W3241" s="4"/>
      <c r="X3241" s="4"/>
    </row>
    <row r="3242" spans="17:24" x14ac:dyDescent="0.3">
      <c r="Q3242" s="4"/>
      <c r="R3242" s="4"/>
      <c r="S3242" s="4"/>
      <c r="T3242" s="4"/>
      <c r="U3242" s="4"/>
      <c r="V3242" s="4"/>
      <c r="W3242" s="4"/>
      <c r="X3242" s="4"/>
    </row>
    <row r="3243" spans="17:24" x14ac:dyDescent="0.3">
      <c r="Q3243" s="4"/>
      <c r="R3243" s="4"/>
      <c r="S3243" s="4"/>
      <c r="T3243" s="4"/>
      <c r="U3243" s="4"/>
      <c r="V3243" s="4"/>
      <c r="W3243" s="4"/>
      <c r="X3243" s="4"/>
    </row>
    <row r="3244" spans="17:24" x14ac:dyDescent="0.3">
      <c r="Q3244" s="4"/>
      <c r="R3244" s="4"/>
      <c r="S3244" s="4"/>
      <c r="T3244" s="4"/>
      <c r="U3244" s="4"/>
      <c r="V3244" s="4"/>
      <c r="W3244" s="4"/>
      <c r="X3244" s="4"/>
    </row>
    <row r="3245" spans="17:24" x14ac:dyDescent="0.3">
      <c r="Q3245" s="4"/>
      <c r="R3245" s="4"/>
      <c r="S3245" s="4"/>
      <c r="T3245" s="4"/>
      <c r="U3245" s="4"/>
      <c r="V3245" s="4"/>
      <c r="W3245" s="4"/>
      <c r="X3245" s="4"/>
    </row>
    <row r="3246" spans="17:24" x14ac:dyDescent="0.3">
      <c r="Q3246" s="4"/>
      <c r="R3246" s="4"/>
      <c r="S3246" s="4"/>
      <c r="T3246" s="4"/>
      <c r="U3246" s="4"/>
      <c r="V3246" s="4"/>
      <c r="W3246" s="4"/>
      <c r="X3246" s="4"/>
    </row>
    <row r="3247" spans="17:24" x14ac:dyDescent="0.3">
      <c r="Q3247" s="4"/>
      <c r="R3247" s="4"/>
      <c r="S3247" s="4"/>
      <c r="T3247" s="4"/>
      <c r="U3247" s="4"/>
      <c r="V3247" s="4"/>
      <c r="W3247" s="4"/>
      <c r="X3247" s="4"/>
    </row>
    <row r="3248" spans="17:24" x14ac:dyDescent="0.3">
      <c r="Q3248" s="4"/>
      <c r="R3248" s="4"/>
      <c r="S3248" s="4"/>
      <c r="T3248" s="4"/>
      <c r="U3248" s="4"/>
      <c r="V3248" s="4"/>
      <c r="W3248" s="4"/>
      <c r="X3248" s="4"/>
    </row>
    <row r="3249" spans="17:24" x14ac:dyDescent="0.3">
      <c r="Q3249" s="4"/>
      <c r="R3249" s="4"/>
      <c r="S3249" s="4"/>
      <c r="T3249" s="4"/>
      <c r="U3249" s="4"/>
      <c r="V3249" s="4"/>
      <c r="W3249" s="4"/>
      <c r="X3249" s="4"/>
    </row>
    <row r="3250" spans="17:24" x14ac:dyDescent="0.3">
      <c r="Q3250" s="4"/>
      <c r="R3250" s="4"/>
      <c r="S3250" s="4"/>
      <c r="T3250" s="4"/>
      <c r="U3250" s="4"/>
      <c r="V3250" s="4"/>
      <c r="W3250" s="4"/>
      <c r="X3250" s="4"/>
    </row>
    <row r="3251" spans="17:24" x14ac:dyDescent="0.3">
      <c r="Q3251" s="4"/>
      <c r="R3251" s="4"/>
      <c r="S3251" s="4"/>
      <c r="T3251" s="4"/>
      <c r="U3251" s="4"/>
      <c r="V3251" s="4"/>
      <c r="W3251" s="4"/>
      <c r="X3251" s="4"/>
    </row>
    <row r="3252" spans="17:24" x14ac:dyDescent="0.3">
      <c r="Q3252" s="4"/>
      <c r="R3252" s="4"/>
      <c r="S3252" s="4"/>
      <c r="T3252" s="4"/>
      <c r="U3252" s="4"/>
      <c r="V3252" s="4"/>
      <c r="W3252" s="4"/>
      <c r="X3252" s="4"/>
    </row>
    <row r="3253" spans="17:24" x14ac:dyDescent="0.3">
      <c r="Q3253" s="4"/>
      <c r="R3253" s="4"/>
      <c r="S3253" s="4"/>
      <c r="T3253" s="4"/>
      <c r="U3253" s="4"/>
      <c r="V3253" s="4"/>
      <c r="W3253" s="4"/>
      <c r="X3253" s="4"/>
    </row>
    <row r="3254" spans="17:24" x14ac:dyDescent="0.3">
      <c r="Q3254" s="4"/>
      <c r="R3254" s="4"/>
      <c r="S3254" s="4"/>
      <c r="T3254" s="4"/>
      <c r="U3254" s="4"/>
      <c r="V3254" s="4"/>
      <c r="W3254" s="4"/>
      <c r="X3254" s="4"/>
    </row>
    <row r="3255" spans="17:24" x14ac:dyDescent="0.3">
      <c r="Q3255" s="4"/>
      <c r="R3255" s="4"/>
      <c r="S3255" s="4"/>
      <c r="T3255" s="4"/>
      <c r="U3255" s="4"/>
      <c r="V3255" s="4"/>
      <c r="W3255" s="4"/>
      <c r="X3255" s="4"/>
    </row>
    <row r="3256" spans="17:24" x14ac:dyDescent="0.3">
      <c r="Q3256" s="4"/>
      <c r="R3256" s="4"/>
      <c r="S3256" s="4"/>
      <c r="T3256" s="4"/>
      <c r="U3256" s="4"/>
      <c r="V3256" s="4"/>
      <c r="W3256" s="4"/>
      <c r="X3256" s="4"/>
    </row>
    <row r="3257" spans="17:24" x14ac:dyDescent="0.3">
      <c r="Q3257" s="4"/>
      <c r="R3257" s="4"/>
      <c r="S3257" s="4"/>
      <c r="T3257" s="4"/>
      <c r="U3257" s="4"/>
      <c r="V3257" s="4"/>
      <c r="W3257" s="4"/>
      <c r="X3257" s="4"/>
    </row>
    <row r="3258" spans="17:24" x14ac:dyDescent="0.3">
      <c r="Q3258" s="4"/>
      <c r="R3258" s="4"/>
      <c r="S3258" s="4"/>
      <c r="T3258" s="4"/>
      <c r="U3258" s="4"/>
      <c r="V3258" s="4"/>
      <c r="W3258" s="4"/>
      <c r="X3258" s="4"/>
    </row>
    <row r="3259" spans="17:24" x14ac:dyDescent="0.3">
      <c r="Q3259" s="4"/>
      <c r="R3259" s="4"/>
      <c r="S3259" s="4"/>
      <c r="T3259" s="4"/>
      <c r="U3259" s="4"/>
      <c r="V3259" s="4"/>
      <c r="W3259" s="4"/>
      <c r="X3259" s="4"/>
    </row>
    <row r="3260" spans="17:24" x14ac:dyDescent="0.3">
      <c r="Q3260" s="4"/>
      <c r="R3260" s="4"/>
      <c r="S3260" s="4"/>
      <c r="T3260" s="4"/>
      <c r="U3260" s="4"/>
      <c r="V3260" s="4"/>
      <c r="W3260" s="4"/>
      <c r="X3260" s="4"/>
    </row>
    <row r="3261" spans="17:24" x14ac:dyDescent="0.3">
      <c r="Q3261" s="4"/>
      <c r="R3261" s="4"/>
      <c r="S3261" s="4"/>
      <c r="T3261" s="4"/>
      <c r="U3261" s="4"/>
      <c r="V3261" s="4"/>
      <c r="W3261" s="4"/>
      <c r="X3261" s="4"/>
    </row>
    <row r="3262" spans="17:24" x14ac:dyDescent="0.3">
      <c r="Q3262" s="4"/>
      <c r="R3262" s="4"/>
      <c r="S3262" s="4"/>
      <c r="T3262" s="4"/>
      <c r="U3262" s="4"/>
      <c r="V3262" s="4"/>
      <c r="W3262" s="4"/>
      <c r="X3262" s="4"/>
    </row>
    <row r="3263" spans="17:24" x14ac:dyDescent="0.3">
      <c r="Q3263" s="4"/>
      <c r="R3263" s="4"/>
      <c r="S3263" s="4"/>
      <c r="T3263" s="4"/>
      <c r="U3263" s="4"/>
      <c r="V3263" s="4"/>
      <c r="W3263" s="4"/>
      <c r="X3263" s="4"/>
    </row>
    <row r="3264" spans="17:24" x14ac:dyDescent="0.3">
      <c r="Q3264" s="4"/>
      <c r="R3264" s="4"/>
      <c r="S3264" s="4"/>
      <c r="T3264" s="4"/>
      <c r="U3264" s="4"/>
      <c r="V3264" s="4"/>
      <c r="W3264" s="4"/>
      <c r="X3264" s="4"/>
    </row>
    <row r="3265" spans="17:24" x14ac:dyDescent="0.3">
      <c r="Q3265" s="4"/>
      <c r="R3265" s="4"/>
      <c r="S3265" s="4"/>
      <c r="T3265" s="4"/>
      <c r="U3265" s="4"/>
      <c r="V3265" s="4"/>
      <c r="W3265" s="4"/>
      <c r="X3265" s="4"/>
    </row>
    <row r="3266" spans="17:24" x14ac:dyDescent="0.3">
      <c r="Q3266" s="4"/>
      <c r="R3266" s="4"/>
      <c r="S3266" s="4"/>
      <c r="T3266" s="4"/>
      <c r="U3266" s="4"/>
      <c r="V3266" s="4"/>
      <c r="W3266" s="4"/>
      <c r="X3266" s="4"/>
    </row>
    <row r="3267" spans="17:24" x14ac:dyDescent="0.3">
      <c r="Q3267" s="4"/>
      <c r="R3267" s="4"/>
      <c r="S3267" s="4"/>
      <c r="T3267" s="4"/>
      <c r="U3267" s="4"/>
      <c r="V3267" s="4"/>
      <c r="W3267" s="4"/>
      <c r="X3267" s="4"/>
    </row>
    <row r="3268" spans="17:24" x14ac:dyDescent="0.3">
      <c r="Q3268" s="4"/>
      <c r="R3268" s="4"/>
      <c r="S3268" s="4"/>
      <c r="T3268" s="4"/>
      <c r="U3268" s="4"/>
      <c r="V3268" s="4"/>
      <c r="W3268" s="4"/>
      <c r="X3268" s="4"/>
    </row>
    <row r="3269" spans="17:24" x14ac:dyDescent="0.3">
      <c r="Q3269" s="4"/>
      <c r="R3269" s="4"/>
      <c r="S3269" s="4"/>
      <c r="T3269" s="4"/>
      <c r="U3269" s="4"/>
      <c r="V3269" s="4"/>
      <c r="W3269" s="4"/>
      <c r="X3269" s="4"/>
    </row>
    <row r="3270" spans="17:24" x14ac:dyDescent="0.3">
      <c r="Q3270" s="4"/>
      <c r="R3270" s="4"/>
      <c r="S3270" s="4"/>
      <c r="T3270" s="4"/>
      <c r="U3270" s="4"/>
      <c r="V3270" s="4"/>
      <c r="W3270" s="4"/>
      <c r="X3270" s="4"/>
    </row>
    <row r="3271" spans="17:24" x14ac:dyDescent="0.3">
      <c r="Q3271" s="4"/>
      <c r="R3271" s="4"/>
      <c r="S3271" s="4"/>
      <c r="T3271" s="4"/>
      <c r="U3271" s="4"/>
      <c r="V3271" s="4"/>
      <c r="W3271" s="4"/>
      <c r="X3271" s="4"/>
    </row>
    <row r="3272" spans="17:24" x14ac:dyDescent="0.3">
      <c r="Q3272" s="4"/>
      <c r="R3272" s="4"/>
      <c r="S3272" s="4"/>
      <c r="T3272" s="4"/>
      <c r="U3272" s="4"/>
      <c r="V3272" s="4"/>
      <c r="W3272" s="4"/>
      <c r="X3272" s="4"/>
    </row>
    <row r="3273" spans="17:24" x14ac:dyDescent="0.3">
      <c r="Q3273" s="4"/>
      <c r="R3273" s="4"/>
      <c r="S3273" s="4"/>
      <c r="T3273" s="4"/>
      <c r="U3273" s="4"/>
      <c r="V3273" s="4"/>
      <c r="W3273" s="4"/>
      <c r="X3273" s="4"/>
    </row>
    <row r="3274" spans="17:24" x14ac:dyDescent="0.3">
      <c r="Q3274" s="4"/>
      <c r="R3274" s="4"/>
      <c r="S3274" s="4"/>
      <c r="T3274" s="4"/>
      <c r="U3274" s="4"/>
      <c r="V3274" s="4"/>
      <c r="W3274" s="4"/>
      <c r="X3274" s="4"/>
    </row>
    <row r="3275" spans="17:24" x14ac:dyDescent="0.3">
      <c r="Q3275" s="4"/>
      <c r="R3275" s="4"/>
      <c r="S3275" s="4"/>
      <c r="T3275" s="4"/>
      <c r="U3275" s="4"/>
      <c r="V3275" s="4"/>
      <c r="W3275" s="4"/>
      <c r="X3275" s="4"/>
    </row>
    <row r="3276" spans="17:24" x14ac:dyDescent="0.3">
      <c r="Q3276" s="4"/>
      <c r="R3276" s="4"/>
      <c r="S3276" s="4"/>
      <c r="T3276" s="4"/>
      <c r="U3276" s="4"/>
      <c r="V3276" s="4"/>
      <c r="W3276" s="4"/>
      <c r="X3276" s="4"/>
    </row>
    <row r="3277" spans="17:24" x14ac:dyDescent="0.3">
      <c r="Q3277" s="4"/>
      <c r="R3277" s="4"/>
      <c r="S3277" s="4"/>
      <c r="T3277" s="4"/>
      <c r="U3277" s="4"/>
      <c r="V3277" s="4"/>
      <c r="W3277" s="4"/>
      <c r="X3277" s="4"/>
    </row>
    <row r="3278" spans="17:24" x14ac:dyDescent="0.3">
      <c r="Q3278" s="4"/>
      <c r="R3278" s="4"/>
      <c r="S3278" s="4"/>
      <c r="T3278" s="4"/>
      <c r="U3278" s="4"/>
      <c r="V3278" s="4"/>
      <c r="W3278" s="4"/>
      <c r="X3278" s="4"/>
    </row>
    <row r="3279" spans="17:24" x14ac:dyDescent="0.3">
      <c r="Q3279" s="4"/>
      <c r="R3279" s="4"/>
      <c r="S3279" s="4"/>
      <c r="T3279" s="4"/>
      <c r="U3279" s="4"/>
      <c r="V3279" s="4"/>
      <c r="W3279" s="4"/>
      <c r="X3279" s="4"/>
    </row>
    <row r="3280" spans="17:24" x14ac:dyDescent="0.3">
      <c r="Q3280" s="4"/>
      <c r="R3280" s="4"/>
      <c r="S3280" s="4"/>
      <c r="T3280" s="4"/>
      <c r="U3280" s="4"/>
      <c r="V3280" s="4"/>
      <c r="W3280" s="4"/>
      <c r="X3280" s="4"/>
    </row>
    <row r="3281" spans="17:24" x14ac:dyDescent="0.3">
      <c r="Q3281" s="4"/>
      <c r="R3281" s="4"/>
      <c r="S3281" s="4"/>
      <c r="T3281" s="4"/>
      <c r="U3281" s="4"/>
      <c r="V3281" s="4"/>
      <c r="W3281" s="4"/>
      <c r="X3281" s="4"/>
    </row>
    <row r="3282" spans="17:24" x14ac:dyDescent="0.3">
      <c r="Q3282" s="4"/>
      <c r="R3282" s="4"/>
      <c r="S3282" s="4"/>
      <c r="T3282" s="4"/>
      <c r="U3282" s="4"/>
      <c r="V3282" s="4"/>
      <c r="W3282" s="4"/>
      <c r="X3282" s="4"/>
    </row>
    <row r="3283" spans="17:24" x14ac:dyDescent="0.3">
      <c r="Q3283" s="4"/>
      <c r="R3283" s="4"/>
      <c r="S3283" s="4"/>
      <c r="T3283" s="4"/>
      <c r="U3283" s="4"/>
      <c r="V3283" s="4"/>
      <c r="W3283" s="4"/>
      <c r="X3283" s="4"/>
    </row>
    <row r="3284" spans="17:24" x14ac:dyDescent="0.3">
      <c r="Q3284" s="4"/>
      <c r="R3284" s="4"/>
      <c r="S3284" s="4"/>
      <c r="T3284" s="4"/>
      <c r="U3284" s="4"/>
      <c r="V3284" s="4"/>
      <c r="W3284" s="4"/>
      <c r="X3284" s="4"/>
    </row>
    <row r="3285" spans="17:24" x14ac:dyDescent="0.3">
      <c r="Q3285" s="4"/>
      <c r="R3285" s="4"/>
      <c r="S3285" s="4"/>
      <c r="T3285" s="4"/>
      <c r="U3285" s="4"/>
      <c r="V3285" s="4"/>
      <c r="W3285" s="4"/>
      <c r="X3285" s="4"/>
    </row>
    <row r="3286" spans="17:24" x14ac:dyDescent="0.3">
      <c r="Q3286" s="4"/>
      <c r="R3286" s="4"/>
      <c r="S3286" s="4"/>
      <c r="T3286" s="4"/>
      <c r="U3286" s="4"/>
      <c r="V3286" s="4"/>
      <c r="W3286" s="4"/>
      <c r="X3286" s="4"/>
    </row>
    <row r="3287" spans="17:24" x14ac:dyDescent="0.3">
      <c r="Q3287" s="4"/>
      <c r="R3287" s="4"/>
      <c r="S3287" s="4"/>
      <c r="T3287" s="4"/>
      <c r="U3287" s="4"/>
      <c r="V3287" s="4"/>
      <c r="W3287" s="4"/>
      <c r="X3287" s="4"/>
    </row>
    <row r="3288" spans="17:24" x14ac:dyDescent="0.3">
      <c r="Q3288" s="4"/>
      <c r="R3288" s="4"/>
      <c r="S3288" s="4"/>
      <c r="T3288" s="4"/>
      <c r="U3288" s="4"/>
      <c r="V3288" s="4"/>
      <c r="W3288" s="4"/>
      <c r="X3288" s="4"/>
    </row>
    <row r="3289" spans="17:24" x14ac:dyDescent="0.3">
      <c r="Q3289" s="4"/>
      <c r="R3289" s="4"/>
      <c r="S3289" s="4"/>
      <c r="T3289" s="4"/>
      <c r="U3289" s="4"/>
      <c r="V3289" s="4"/>
      <c r="W3289" s="4"/>
      <c r="X3289" s="4"/>
    </row>
    <row r="3290" spans="17:24" x14ac:dyDescent="0.3">
      <c r="Q3290" s="4"/>
      <c r="R3290" s="4"/>
      <c r="S3290" s="4"/>
      <c r="T3290" s="4"/>
      <c r="U3290" s="4"/>
      <c r="V3290" s="4"/>
      <c r="W3290" s="4"/>
      <c r="X3290" s="4"/>
    </row>
    <row r="3291" spans="17:24" x14ac:dyDescent="0.3">
      <c r="Q3291" s="4"/>
      <c r="R3291" s="4"/>
      <c r="S3291" s="4"/>
      <c r="T3291" s="4"/>
      <c r="U3291" s="4"/>
      <c r="V3291" s="4"/>
      <c r="W3291" s="4"/>
      <c r="X3291" s="4"/>
    </row>
    <row r="3292" spans="17:24" x14ac:dyDescent="0.3">
      <c r="Q3292" s="4"/>
      <c r="R3292" s="4"/>
      <c r="S3292" s="4"/>
      <c r="T3292" s="4"/>
      <c r="U3292" s="4"/>
      <c r="V3292" s="4"/>
      <c r="W3292" s="4"/>
      <c r="X3292" s="4"/>
    </row>
    <row r="3293" spans="17:24" x14ac:dyDescent="0.3">
      <c r="Q3293" s="4"/>
      <c r="R3293" s="4"/>
      <c r="S3293" s="4"/>
      <c r="T3293" s="4"/>
      <c r="U3293" s="4"/>
      <c r="V3293" s="4"/>
      <c r="W3293" s="4"/>
      <c r="X3293" s="4"/>
    </row>
    <row r="3294" spans="17:24" x14ac:dyDescent="0.3">
      <c r="Q3294" s="4"/>
      <c r="R3294" s="4"/>
      <c r="S3294" s="4"/>
      <c r="T3294" s="4"/>
      <c r="U3294" s="4"/>
      <c r="V3294" s="4"/>
      <c r="W3294" s="4"/>
      <c r="X3294" s="4"/>
    </row>
    <row r="3295" spans="17:24" x14ac:dyDescent="0.3">
      <c r="Q3295" s="4"/>
      <c r="R3295" s="4"/>
      <c r="S3295" s="4"/>
      <c r="T3295" s="4"/>
      <c r="U3295" s="4"/>
      <c r="V3295" s="4"/>
      <c r="W3295" s="4"/>
      <c r="X3295" s="4"/>
    </row>
    <row r="3296" spans="17:24" x14ac:dyDescent="0.3">
      <c r="Q3296" s="4"/>
      <c r="R3296" s="4"/>
      <c r="S3296" s="4"/>
      <c r="T3296" s="4"/>
      <c r="U3296" s="4"/>
      <c r="V3296" s="4"/>
      <c r="W3296" s="4"/>
      <c r="X3296" s="4"/>
    </row>
    <row r="3297" spans="17:24" x14ac:dyDescent="0.3">
      <c r="Q3297" s="4"/>
      <c r="R3297" s="4"/>
      <c r="S3297" s="4"/>
      <c r="T3297" s="4"/>
      <c r="U3297" s="4"/>
      <c r="V3297" s="4"/>
      <c r="W3297" s="4"/>
      <c r="X3297" s="4"/>
    </row>
    <row r="3298" spans="17:24" x14ac:dyDescent="0.3">
      <c r="Q3298" s="4"/>
      <c r="R3298" s="4"/>
      <c r="S3298" s="4"/>
      <c r="T3298" s="4"/>
      <c r="U3298" s="4"/>
      <c r="V3298" s="4"/>
      <c r="W3298" s="4"/>
      <c r="X3298" s="4"/>
    </row>
    <row r="3299" spans="17:24" x14ac:dyDescent="0.3">
      <c r="Q3299" s="4"/>
      <c r="R3299" s="4"/>
      <c r="S3299" s="4"/>
      <c r="T3299" s="4"/>
      <c r="U3299" s="4"/>
      <c r="V3299" s="4"/>
      <c r="W3299" s="4"/>
      <c r="X3299" s="4"/>
    </row>
    <row r="3300" spans="17:24" x14ac:dyDescent="0.3">
      <c r="Q3300" s="4"/>
      <c r="R3300" s="4"/>
      <c r="S3300" s="4"/>
      <c r="T3300" s="4"/>
      <c r="U3300" s="4"/>
      <c r="V3300" s="4"/>
      <c r="W3300" s="4"/>
      <c r="X3300" s="4"/>
    </row>
    <row r="3301" spans="17:24" x14ac:dyDescent="0.3">
      <c r="Q3301" s="4"/>
      <c r="R3301" s="4"/>
      <c r="S3301" s="4"/>
      <c r="T3301" s="4"/>
      <c r="U3301" s="4"/>
      <c r="V3301" s="4"/>
      <c r="W3301" s="4"/>
      <c r="X3301" s="4"/>
    </row>
    <row r="3302" spans="17:24" x14ac:dyDescent="0.3">
      <c r="Q3302" s="4"/>
      <c r="R3302" s="4"/>
      <c r="S3302" s="4"/>
      <c r="T3302" s="4"/>
      <c r="U3302" s="4"/>
      <c r="V3302" s="4"/>
      <c r="W3302" s="4"/>
      <c r="X3302" s="4"/>
    </row>
    <row r="3303" spans="17:24" x14ac:dyDescent="0.3">
      <c r="Q3303" s="4"/>
      <c r="R3303" s="4"/>
      <c r="S3303" s="4"/>
      <c r="T3303" s="4"/>
      <c r="U3303" s="4"/>
      <c r="V3303" s="4"/>
      <c r="W3303" s="4"/>
      <c r="X3303" s="4"/>
    </row>
    <row r="3304" spans="17:24" x14ac:dyDescent="0.3">
      <c r="Q3304" s="4"/>
      <c r="R3304" s="4"/>
      <c r="S3304" s="4"/>
      <c r="T3304" s="4"/>
      <c r="U3304" s="4"/>
      <c r="V3304" s="4"/>
      <c r="W3304" s="4"/>
      <c r="X3304" s="4"/>
    </row>
    <row r="3305" spans="17:24" x14ac:dyDescent="0.3">
      <c r="Q3305" s="4"/>
      <c r="R3305" s="4"/>
      <c r="S3305" s="4"/>
      <c r="T3305" s="4"/>
      <c r="U3305" s="4"/>
      <c r="V3305" s="4"/>
      <c r="W3305" s="4"/>
      <c r="X3305" s="4"/>
    </row>
    <row r="3306" spans="17:24" x14ac:dyDescent="0.3">
      <c r="Q3306" s="4"/>
      <c r="R3306" s="4"/>
      <c r="S3306" s="4"/>
      <c r="T3306" s="4"/>
      <c r="U3306" s="4"/>
      <c r="V3306" s="4"/>
      <c r="W3306" s="4"/>
      <c r="X3306" s="4"/>
    </row>
    <row r="3307" spans="17:24" x14ac:dyDescent="0.3">
      <c r="Q3307" s="4"/>
      <c r="R3307" s="4"/>
      <c r="S3307" s="4"/>
      <c r="T3307" s="4"/>
      <c r="U3307" s="4"/>
      <c r="V3307" s="4"/>
      <c r="W3307" s="4"/>
      <c r="X3307" s="4"/>
    </row>
    <row r="3308" spans="17:24" x14ac:dyDescent="0.3">
      <c r="Q3308" s="4"/>
      <c r="R3308" s="4"/>
      <c r="S3308" s="4"/>
      <c r="T3308" s="4"/>
      <c r="U3308" s="4"/>
      <c r="V3308" s="4"/>
      <c r="W3308" s="4"/>
      <c r="X3308" s="4"/>
    </row>
    <row r="3309" spans="17:24" x14ac:dyDescent="0.3">
      <c r="Q3309" s="4"/>
      <c r="R3309" s="4"/>
      <c r="S3309" s="4"/>
      <c r="T3309" s="4"/>
      <c r="U3309" s="4"/>
      <c r="V3309" s="4"/>
      <c r="W3309" s="4"/>
      <c r="X3309" s="4"/>
    </row>
    <row r="3310" spans="17:24" x14ac:dyDescent="0.3">
      <c r="Q3310" s="4"/>
      <c r="R3310" s="4"/>
      <c r="S3310" s="4"/>
      <c r="T3310" s="4"/>
      <c r="U3310" s="4"/>
      <c r="V3310" s="4"/>
      <c r="W3310" s="4"/>
      <c r="X3310" s="4"/>
    </row>
    <row r="3311" spans="17:24" x14ac:dyDescent="0.3">
      <c r="Q3311" s="4"/>
      <c r="R3311" s="4"/>
      <c r="S3311" s="4"/>
      <c r="T3311" s="4"/>
      <c r="U3311" s="4"/>
      <c r="V3311" s="4"/>
      <c r="W3311" s="4"/>
      <c r="X3311" s="4"/>
    </row>
    <row r="3312" spans="17:24" x14ac:dyDescent="0.3">
      <c r="Q3312" s="4"/>
      <c r="R3312" s="4"/>
      <c r="S3312" s="4"/>
      <c r="T3312" s="4"/>
      <c r="U3312" s="4"/>
      <c r="V3312" s="4"/>
      <c r="W3312" s="4"/>
      <c r="X3312" s="4"/>
    </row>
    <row r="3313" spans="17:24" x14ac:dyDescent="0.3">
      <c r="Q3313" s="4"/>
      <c r="R3313" s="4"/>
      <c r="S3313" s="4"/>
      <c r="T3313" s="4"/>
      <c r="U3313" s="4"/>
      <c r="V3313" s="4"/>
      <c r="W3313" s="4"/>
      <c r="X3313" s="4"/>
    </row>
    <row r="3314" spans="17:24" x14ac:dyDescent="0.3">
      <c r="Q3314" s="4"/>
      <c r="R3314" s="4"/>
      <c r="S3314" s="4"/>
      <c r="T3314" s="4"/>
      <c r="U3314" s="4"/>
      <c r="V3314" s="4"/>
      <c r="W3314" s="4"/>
      <c r="X3314" s="4"/>
    </row>
    <row r="3315" spans="17:24" x14ac:dyDescent="0.3">
      <c r="Q3315" s="4"/>
      <c r="R3315" s="4"/>
      <c r="S3315" s="4"/>
      <c r="T3315" s="4"/>
      <c r="U3315" s="4"/>
      <c r="V3315" s="4"/>
      <c r="W3315" s="4"/>
      <c r="X3315" s="4"/>
    </row>
    <row r="3316" spans="17:24" x14ac:dyDescent="0.3">
      <c r="Q3316" s="4"/>
      <c r="R3316" s="4"/>
      <c r="S3316" s="4"/>
      <c r="T3316" s="4"/>
      <c r="U3316" s="4"/>
      <c r="V3316" s="4"/>
      <c r="W3316" s="4"/>
      <c r="X3316" s="4"/>
    </row>
    <row r="3317" spans="17:24" x14ac:dyDescent="0.3">
      <c r="Q3317" s="4"/>
      <c r="R3317" s="4"/>
      <c r="S3317" s="4"/>
      <c r="T3317" s="4"/>
      <c r="U3317" s="4"/>
      <c r="V3317" s="4"/>
      <c r="W3317" s="4"/>
      <c r="X3317" s="4"/>
    </row>
    <row r="3318" spans="17:24" x14ac:dyDescent="0.3">
      <c r="Q3318" s="4"/>
      <c r="R3318" s="4"/>
      <c r="S3318" s="4"/>
      <c r="T3318" s="4"/>
      <c r="U3318" s="4"/>
      <c r="V3318" s="4"/>
      <c r="W3318" s="4"/>
      <c r="X3318" s="4"/>
    </row>
    <row r="3319" spans="17:24" x14ac:dyDescent="0.3">
      <c r="Q3319" s="4"/>
      <c r="R3319" s="4"/>
      <c r="S3319" s="4"/>
      <c r="T3319" s="4"/>
      <c r="U3319" s="4"/>
      <c r="V3319" s="4"/>
      <c r="W3319" s="4"/>
      <c r="X3319" s="4"/>
    </row>
    <row r="3320" spans="17:24" x14ac:dyDescent="0.3">
      <c r="Q3320" s="4"/>
      <c r="R3320" s="4"/>
      <c r="S3320" s="4"/>
      <c r="T3320" s="4"/>
      <c r="U3320" s="4"/>
      <c r="V3320" s="4"/>
      <c r="W3320" s="4"/>
      <c r="X3320" s="4"/>
    </row>
    <row r="3321" spans="17:24" x14ac:dyDescent="0.3">
      <c r="Q3321" s="4"/>
      <c r="R3321" s="4"/>
      <c r="S3321" s="4"/>
      <c r="T3321" s="4"/>
      <c r="U3321" s="4"/>
      <c r="V3321" s="4"/>
      <c r="W3321" s="4"/>
      <c r="X3321" s="4"/>
    </row>
    <row r="3322" spans="17:24" x14ac:dyDescent="0.3">
      <c r="Q3322" s="4"/>
      <c r="R3322" s="4"/>
      <c r="S3322" s="4"/>
      <c r="T3322" s="4"/>
      <c r="U3322" s="4"/>
      <c r="V3322" s="4"/>
      <c r="W3322" s="4"/>
      <c r="X3322" s="4"/>
    </row>
    <row r="3323" spans="17:24" x14ac:dyDescent="0.3">
      <c r="Q3323" s="4"/>
      <c r="R3323" s="4"/>
      <c r="S3323" s="4"/>
      <c r="T3323" s="4"/>
      <c r="U3323" s="4"/>
      <c r="V3323" s="4"/>
      <c r="W3323" s="4"/>
      <c r="X3323" s="4"/>
    </row>
    <row r="3324" spans="17:24" x14ac:dyDescent="0.3">
      <c r="Q3324" s="4"/>
      <c r="R3324" s="4"/>
      <c r="S3324" s="4"/>
      <c r="T3324" s="4"/>
      <c r="U3324" s="4"/>
      <c r="V3324" s="4"/>
      <c r="W3324" s="4"/>
      <c r="X3324" s="4"/>
    </row>
    <row r="3325" spans="17:24" x14ac:dyDescent="0.3">
      <c r="Q3325" s="4"/>
      <c r="R3325" s="4"/>
      <c r="S3325" s="4"/>
      <c r="T3325" s="4"/>
      <c r="U3325" s="4"/>
      <c r="V3325" s="4"/>
      <c r="W3325" s="4"/>
      <c r="X3325" s="4"/>
    </row>
    <row r="3326" spans="17:24" x14ac:dyDescent="0.3">
      <c r="Q3326" s="4"/>
      <c r="R3326" s="4"/>
      <c r="S3326" s="4"/>
      <c r="T3326" s="4"/>
      <c r="U3326" s="4"/>
      <c r="V3326" s="4"/>
      <c r="W3326" s="4"/>
      <c r="X3326" s="4"/>
    </row>
    <row r="3327" spans="17:24" x14ac:dyDescent="0.3">
      <c r="Q3327" s="4"/>
      <c r="R3327" s="4"/>
      <c r="S3327" s="4"/>
      <c r="T3327" s="4"/>
      <c r="U3327" s="4"/>
      <c r="V3327" s="4"/>
      <c r="W3327" s="4"/>
      <c r="X3327" s="4"/>
    </row>
    <row r="3328" spans="17:24" x14ac:dyDescent="0.3">
      <c r="Q3328" s="4"/>
      <c r="R3328" s="4"/>
      <c r="S3328" s="4"/>
      <c r="T3328" s="4"/>
      <c r="U3328" s="4"/>
      <c r="V3328" s="4"/>
      <c r="W3328" s="4"/>
      <c r="X3328" s="4"/>
    </row>
    <row r="3329" spans="17:24" x14ac:dyDescent="0.3">
      <c r="Q3329" s="4"/>
      <c r="R3329" s="4"/>
      <c r="S3329" s="4"/>
      <c r="T3329" s="4"/>
      <c r="U3329" s="4"/>
      <c r="V3329" s="4"/>
      <c r="W3329" s="4"/>
      <c r="X3329" s="4"/>
    </row>
    <row r="3330" spans="17:24" x14ac:dyDescent="0.3">
      <c r="Q3330" s="4"/>
      <c r="R3330" s="4"/>
      <c r="S3330" s="4"/>
      <c r="T3330" s="4"/>
      <c r="U3330" s="4"/>
      <c r="V3330" s="4"/>
      <c r="W3330" s="4"/>
      <c r="X3330" s="4"/>
    </row>
    <row r="3331" spans="17:24" x14ac:dyDescent="0.3">
      <c r="Q3331" s="4"/>
      <c r="R3331" s="4"/>
      <c r="S3331" s="4"/>
      <c r="T3331" s="4"/>
      <c r="U3331" s="4"/>
      <c r="V3331" s="4"/>
      <c r="W3331" s="4"/>
      <c r="X3331" s="4"/>
    </row>
    <row r="3332" spans="17:24" x14ac:dyDescent="0.3">
      <c r="Q3332" s="4"/>
      <c r="R3332" s="4"/>
      <c r="S3332" s="4"/>
      <c r="T3332" s="4"/>
      <c r="U3332" s="4"/>
      <c r="V3332" s="4"/>
      <c r="W3332" s="4"/>
      <c r="X3332" s="4"/>
    </row>
    <row r="3333" spans="17:24" x14ac:dyDescent="0.3">
      <c r="Q3333" s="4"/>
      <c r="R3333" s="4"/>
      <c r="S3333" s="4"/>
      <c r="T3333" s="4"/>
      <c r="U3333" s="4"/>
      <c r="V3333" s="4"/>
      <c r="W3333" s="4"/>
      <c r="X3333" s="4"/>
    </row>
    <row r="3334" spans="17:24" x14ac:dyDescent="0.3">
      <c r="Q3334" s="4"/>
      <c r="R3334" s="4"/>
      <c r="S3334" s="4"/>
      <c r="T3334" s="4"/>
      <c r="U3334" s="4"/>
      <c r="V3334" s="4"/>
      <c r="W3334" s="4"/>
      <c r="X3334" s="4"/>
    </row>
    <row r="3335" spans="17:24" x14ac:dyDescent="0.3">
      <c r="Q3335" s="4"/>
      <c r="R3335" s="4"/>
      <c r="S3335" s="4"/>
      <c r="T3335" s="4"/>
      <c r="U3335" s="4"/>
      <c r="V3335" s="4"/>
      <c r="W3335" s="4"/>
      <c r="X3335" s="4"/>
    </row>
    <row r="3336" spans="17:24" x14ac:dyDescent="0.3">
      <c r="Q3336" s="4"/>
      <c r="R3336" s="4"/>
      <c r="S3336" s="4"/>
      <c r="T3336" s="4"/>
      <c r="U3336" s="4"/>
      <c r="V3336" s="4"/>
      <c r="W3336" s="4"/>
      <c r="X3336" s="4"/>
    </row>
    <row r="3337" spans="17:24" x14ac:dyDescent="0.3">
      <c r="Q3337" s="4"/>
      <c r="R3337" s="4"/>
      <c r="S3337" s="4"/>
      <c r="T3337" s="4"/>
      <c r="U3337" s="4"/>
      <c r="V3337" s="4"/>
      <c r="W3337" s="4"/>
      <c r="X3337" s="4"/>
    </row>
    <row r="3338" spans="17:24" x14ac:dyDescent="0.3">
      <c r="Q3338" s="4"/>
      <c r="R3338" s="4"/>
      <c r="S3338" s="4"/>
      <c r="T3338" s="4"/>
      <c r="U3338" s="4"/>
      <c r="V3338" s="4"/>
      <c r="W3338" s="4"/>
      <c r="X3338" s="4"/>
    </row>
    <row r="3339" spans="17:24" x14ac:dyDescent="0.3">
      <c r="Q3339" s="4"/>
      <c r="R3339" s="4"/>
      <c r="S3339" s="4"/>
      <c r="T3339" s="4"/>
      <c r="U3339" s="4"/>
      <c r="V3339" s="4"/>
      <c r="W3339" s="4"/>
      <c r="X3339" s="4"/>
    </row>
    <row r="3340" spans="17:24" x14ac:dyDescent="0.3">
      <c r="Q3340" s="4"/>
      <c r="R3340" s="4"/>
      <c r="S3340" s="4"/>
      <c r="T3340" s="4"/>
      <c r="U3340" s="4"/>
      <c r="V3340" s="4"/>
      <c r="W3340" s="4"/>
      <c r="X3340" s="4"/>
    </row>
    <row r="3341" spans="17:24" x14ac:dyDescent="0.3">
      <c r="Q3341" s="4"/>
      <c r="R3341" s="4"/>
      <c r="S3341" s="4"/>
      <c r="T3341" s="4"/>
      <c r="U3341" s="4"/>
      <c r="V3341" s="4"/>
      <c r="W3341" s="4"/>
      <c r="X3341" s="4"/>
    </row>
    <row r="3342" spans="17:24" x14ac:dyDescent="0.3">
      <c r="Q3342" s="4"/>
      <c r="R3342" s="4"/>
      <c r="S3342" s="4"/>
      <c r="T3342" s="4"/>
      <c r="U3342" s="4"/>
      <c r="V3342" s="4"/>
      <c r="W3342" s="4"/>
      <c r="X3342" s="4"/>
    </row>
    <row r="3343" spans="17:24" x14ac:dyDescent="0.3">
      <c r="Q3343" s="4"/>
      <c r="R3343" s="4"/>
      <c r="S3343" s="4"/>
      <c r="T3343" s="4"/>
      <c r="U3343" s="4"/>
      <c r="V3343" s="4"/>
      <c r="W3343" s="4"/>
      <c r="X3343" s="4"/>
    </row>
    <row r="3344" spans="17:24" x14ac:dyDescent="0.3">
      <c r="Q3344" s="4"/>
      <c r="R3344" s="4"/>
      <c r="S3344" s="4"/>
      <c r="T3344" s="4"/>
      <c r="U3344" s="4"/>
      <c r="V3344" s="4"/>
      <c r="W3344" s="4"/>
      <c r="X3344" s="4"/>
    </row>
    <row r="3345" spans="17:24" x14ac:dyDescent="0.3">
      <c r="Q3345" s="4"/>
      <c r="R3345" s="4"/>
      <c r="S3345" s="4"/>
      <c r="T3345" s="4"/>
      <c r="U3345" s="4"/>
      <c r="V3345" s="4"/>
      <c r="W3345" s="4"/>
      <c r="X3345" s="4"/>
    </row>
    <row r="3346" spans="17:24" x14ac:dyDescent="0.3">
      <c r="Q3346" s="4"/>
      <c r="R3346" s="4"/>
      <c r="S3346" s="4"/>
      <c r="T3346" s="4"/>
      <c r="U3346" s="4"/>
      <c r="V3346" s="4"/>
      <c r="W3346" s="4"/>
      <c r="X3346" s="4"/>
    </row>
    <row r="3347" spans="17:24" x14ac:dyDescent="0.3">
      <c r="Q3347" s="4"/>
      <c r="R3347" s="4"/>
      <c r="S3347" s="4"/>
      <c r="T3347" s="4"/>
      <c r="U3347" s="4"/>
      <c r="V3347" s="4"/>
      <c r="W3347" s="4"/>
      <c r="X3347" s="4"/>
    </row>
    <row r="3348" spans="17:24" x14ac:dyDescent="0.3">
      <c r="Q3348" s="4"/>
      <c r="R3348" s="4"/>
      <c r="S3348" s="4"/>
      <c r="T3348" s="4"/>
      <c r="U3348" s="4"/>
      <c r="V3348" s="4"/>
      <c r="W3348" s="4"/>
      <c r="X3348" s="4"/>
    </row>
    <row r="3349" spans="17:24" x14ac:dyDescent="0.3">
      <c r="Q3349" s="4"/>
      <c r="R3349" s="4"/>
      <c r="S3349" s="4"/>
      <c r="T3349" s="4"/>
      <c r="U3349" s="4"/>
      <c r="V3349" s="4"/>
      <c r="W3349" s="4"/>
      <c r="X3349" s="4"/>
    </row>
    <row r="3350" spans="17:24" x14ac:dyDescent="0.3">
      <c r="Q3350" s="4"/>
      <c r="R3350" s="4"/>
      <c r="S3350" s="4"/>
      <c r="T3350" s="4"/>
      <c r="U3350" s="4"/>
      <c r="V3350" s="4"/>
      <c r="W3350" s="4"/>
      <c r="X3350" s="4"/>
    </row>
    <row r="3351" spans="17:24" x14ac:dyDescent="0.3">
      <c r="Q3351" s="4"/>
      <c r="R3351" s="4"/>
      <c r="S3351" s="4"/>
      <c r="T3351" s="4"/>
      <c r="U3351" s="4"/>
      <c r="V3351" s="4"/>
      <c r="W3351" s="4"/>
      <c r="X3351" s="4"/>
    </row>
    <row r="3352" spans="17:24" x14ac:dyDescent="0.3">
      <c r="Q3352" s="4"/>
      <c r="R3352" s="4"/>
      <c r="S3352" s="4"/>
      <c r="T3352" s="4"/>
      <c r="U3352" s="4"/>
      <c r="V3352" s="4"/>
      <c r="W3352" s="4"/>
      <c r="X3352" s="4"/>
    </row>
    <row r="3353" spans="17:24" x14ac:dyDescent="0.3">
      <c r="Q3353" s="4"/>
      <c r="R3353" s="4"/>
      <c r="S3353" s="4"/>
      <c r="T3353" s="4"/>
      <c r="U3353" s="4"/>
      <c r="V3353" s="4"/>
      <c r="W3353" s="4"/>
      <c r="X3353" s="4"/>
    </row>
    <row r="3354" spans="17:24" x14ac:dyDescent="0.3">
      <c r="Q3354" s="4"/>
      <c r="R3354" s="4"/>
      <c r="S3354" s="4"/>
      <c r="T3354" s="4"/>
      <c r="U3354" s="4"/>
      <c r="V3354" s="4"/>
      <c r="W3354" s="4"/>
      <c r="X3354" s="4"/>
    </row>
    <row r="3355" spans="17:24" x14ac:dyDescent="0.3">
      <c r="Q3355" s="4"/>
      <c r="R3355" s="4"/>
      <c r="S3355" s="4"/>
      <c r="T3355" s="4"/>
      <c r="U3355" s="4"/>
      <c r="V3355" s="4"/>
      <c r="W3355" s="4"/>
      <c r="X3355" s="4"/>
    </row>
    <row r="3356" spans="17:24" x14ac:dyDescent="0.3">
      <c r="Q3356" s="4"/>
      <c r="R3356" s="4"/>
      <c r="S3356" s="4"/>
      <c r="T3356" s="4"/>
      <c r="U3356" s="4"/>
      <c r="V3356" s="4"/>
      <c r="W3356" s="4"/>
      <c r="X3356" s="4"/>
    </row>
    <row r="3357" spans="17:24" x14ac:dyDescent="0.3">
      <c r="Q3357" s="4"/>
      <c r="R3357" s="4"/>
      <c r="S3357" s="4"/>
      <c r="T3357" s="4"/>
      <c r="U3357" s="4"/>
      <c r="V3357" s="4"/>
      <c r="W3357" s="4"/>
      <c r="X3357" s="4"/>
    </row>
    <row r="3358" spans="17:24" x14ac:dyDescent="0.3">
      <c r="Q3358" s="4"/>
      <c r="R3358" s="4"/>
      <c r="S3358" s="4"/>
      <c r="T3358" s="4"/>
      <c r="U3358" s="4"/>
      <c r="V3358" s="4"/>
      <c r="W3358" s="4"/>
      <c r="X3358" s="4"/>
    </row>
    <row r="3359" spans="17:24" x14ac:dyDescent="0.3">
      <c r="Q3359" s="4"/>
      <c r="R3359" s="4"/>
      <c r="S3359" s="4"/>
      <c r="T3359" s="4"/>
      <c r="U3359" s="4"/>
      <c r="V3359" s="4"/>
      <c r="W3359" s="4"/>
      <c r="X3359" s="4"/>
    </row>
    <row r="3360" spans="17:24" x14ac:dyDescent="0.3">
      <c r="Q3360" s="4"/>
      <c r="R3360" s="4"/>
      <c r="S3360" s="4"/>
      <c r="T3360" s="4"/>
      <c r="U3360" s="4"/>
      <c r="V3360" s="4"/>
      <c r="W3360" s="4"/>
      <c r="X3360" s="4"/>
    </row>
    <row r="3361" spans="17:24" x14ac:dyDescent="0.3">
      <c r="Q3361" s="4"/>
      <c r="R3361" s="4"/>
      <c r="S3361" s="4"/>
      <c r="T3361" s="4"/>
      <c r="U3361" s="4"/>
      <c r="V3361" s="4"/>
      <c r="W3361" s="4"/>
      <c r="X3361" s="4"/>
    </row>
    <row r="3362" spans="17:24" x14ac:dyDescent="0.3">
      <c r="Q3362" s="4"/>
      <c r="R3362" s="4"/>
      <c r="S3362" s="4"/>
      <c r="T3362" s="4"/>
      <c r="U3362" s="4"/>
      <c r="V3362" s="4"/>
      <c r="W3362" s="4"/>
      <c r="X3362" s="4"/>
    </row>
    <row r="3363" spans="17:24" x14ac:dyDescent="0.3">
      <c r="Q3363" s="4"/>
      <c r="R3363" s="4"/>
      <c r="S3363" s="4"/>
      <c r="T3363" s="4"/>
      <c r="U3363" s="4"/>
      <c r="V3363" s="4"/>
      <c r="W3363" s="4"/>
      <c r="X3363" s="4"/>
    </row>
    <row r="3364" spans="17:24" x14ac:dyDescent="0.3">
      <c r="Q3364" s="4"/>
      <c r="R3364" s="4"/>
      <c r="S3364" s="4"/>
      <c r="T3364" s="4"/>
      <c r="U3364" s="4"/>
      <c r="V3364" s="4"/>
      <c r="W3364" s="4"/>
      <c r="X3364" s="4"/>
    </row>
    <row r="3365" spans="17:24" x14ac:dyDescent="0.3">
      <c r="Q3365" s="4"/>
      <c r="R3365" s="4"/>
      <c r="S3365" s="4"/>
      <c r="T3365" s="4"/>
      <c r="U3365" s="4"/>
      <c r="V3365" s="4"/>
      <c r="W3365" s="4"/>
      <c r="X3365" s="4"/>
    </row>
    <row r="3366" spans="17:24" x14ac:dyDescent="0.3">
      <c r="Q3366" s="4"/>
      <c r="R3366" s="4"/>
      <c r="S3366" s="4"/>
      <c r="T3366" s="4"/>
      <c r="U3366" s="4"/>
      <c r="V3366" s="4"/>
      <c r="W3366" s="4"/>
      <c r="X3366" s="4"/>
    </row>
    <row r="3367" spans="17:24" x14ac:dyDescent="0.3">
      <c r="Q3367" s="4"/>
      <c r="R3367" s="4"/>
      <c r="S3367" s="4"/>
      <c r="T3367" s="4"/>
      <c r="U3367" s="4"/>
      <c r="V3367" s="4"/>
      <c r="W3367" s="4"/>
      <c r="X3367" s="4"/>
    </row>
    <row r="3368" spans="17:24" x14ac:dyDescent="0.3">
      <c r="Q3368" s="4"/>
      <c r="R3368" s="4"/>
      <c r="S3368" s="4"/>
      <c r="T3368" s="4"/>
      <c r="U3368" s="4"/>
      <c r="V3368" s="4"/>
      <c r="W3368" s="4"/>
      <c r="X3368" s="4"/>
    </row>
    <row r="3369" spans="17:24" x14ac:dyDescent="0.3">
      <c r="Q3369" s="4"/>
      <c r="R3369" s="4"/>
      <c r="S3369" s="4"/>
      <c r="T3369" s="4"/>
      <c r="U3369" s="4"/>
      <c r="V3369" s="4"/>
      <c r="W3369" s="4"/>
      <c r="X3369" s="4"/>
    </row>
    <row r="3370" spans="17:24" x14ac:dyDescent="0.3">
      <c r="Q3370" s="4"/>
      <c r="R3370" s="4"/>
      <c r="S3370" s="4"/>
      <c r="T3370" s="4"/>
      <c r="U3370" s="4"/>
      <c r="V3370" s="4"/>
      <c r="W3370" s="4"/>
      <c r="X3370" s="4"/>
    </row>
    <row r="3371" spans="17:24" x14ac:dyDescent="0.3">
      <c r="Q3371" s="4"/>
      <c r="R3371" s="4"/>
      <c r="S3371" s="4"/>
      <c r="T3371" s="4"/>
      <c r="U3371" s="4"/>
      <c r="V3371" s="4"/>
      <c r="W3371" s="4"/>
      <c r="X3371" s="4"/>
    </row>
    <row r="3372" spans="17:24" x14ac:dyDescent="0.3">
      <c r="Q3372" s="4"/>
      <c r="R3372" s="4"/>
      <c r="S3372" s="4"/>
      <c r="T3372" s="4"/>
      <c r="U3372" s="4"/>
      <c r="V3372" s="4"/>
      <c r="W3372" s="4"/>
      <c r="X3372" s="4"/>
    </row>
    <row r="3373" spans="17:24" x14ac:dyDescent="0.3">
      <c r="Q3373" s="4"/>
      <c r="R3373" s="4"/>
      <c r="S3373" s="4"/>
      <c r="T3373" s="4"/>
      <c r="U3373" s="4"/>
      <c r="V3373" s="4"/>
      <c r="W3373" s="4"/>
      <c r="X3373" s="4"/>
    </row>
    <row r="3374" spans="17:24" x14ac:dyDescent="0.3">
      <c r="Q3374" s="4"/>
      <c r="R3374" s="4"/>
      <c r="S3374" s="4"/>
      <c r="T3374" s="4"/>
      <c r="U3374" s="4"/>
      <c r="V3374" s="4"/>
      <c r="W3374" s="4"/>
      <c r="X3374" s="4"/>
    </row>
    <row r="3375" spans="17:24" x14ac:dyDescent="0.3">
      <c r="Q3375" s="4"/>
      <c r="R3375" s="4"/>
      <c r="S3375" s="4"/>
      <c r="T3375" s="4"/>
      <c r="U3375" s="4"/>
      <c r="V3375" s="4"/>
      <c r="W3375" s="4"/>
      <c r="X3375" s="4"/>
    </row>
    <row r="3376" spans="17:24" x14ac:dyDescent="0.3">
      <c r="Q3376" s="4"/>
      <c r="R3376" s="4"/>
      <c r="S3376" s="4"/>
      <c r="T3376" s="4"/>
      <c r="U3376" s="4"/>
      <c r="V3376" s="4"/>
      <c r="W3376" s="4"/>
      <c r="X3376" s="4"/>
    </row>
    <row r="3377" spans="17:24" x14ac:dyDescent="0.3">
      <c r="Q3377" s="4"/>
      <c r="R3377" s="4"/>
      <c r="S3377" s="4"/>
      <c r="T3377" s="4"/>
      <c r="U3377" s="4"/>
      <c r="V3377" s="4"/>
      <c r="W3377" s="4"/>
      <c r="X3377" s="4"/>
    </row>
    <row r="3378" spans="17:24" x14ac:dyDescent="0.3">
      <c r="Q3378" s="4"/>
      <c r="R3378" s="4"/>
      <c r="S3378" s="4"/>
      <c r="T3378" s="4"/>
      <c r="U3378" s="4"/>
      <c r="V3378" s="4"/>
      <c r="W3378" s="4"/>
      <c r="X3378" s="4"/>
    </row>
    <row r="3379" spans="17:24" x14ac:dyDescent="0.3">
      <c r="Q3379" s="4"/>
      <c r="R3379" s="4"/>
      <c r="S3379" s="4"/>
      <c r="T3379" s="4"/>
      <c r="U3379" s="4"/>
      <c r="V3379" s="4"/>
      <c r="W3379" s="4"/>
      <c r="X3379" s="4"/>
    </row>
    <row r="3380" spans="17:24" x14ac:dyDescent="0.3">
      <c r="Q3380" s="4"/>
      <c r="R3380" s="4"/>
      <c r="S3380" s="4"/>
      <c r="T3380" s="4"/>
      <c r="U3380" s="4"/>
      <c r="V3380" s="4"/>
      <c r="W3380" s="4"/>
      <c r="X3380" s="4"/>
    </row>
    <row r="3381" spans="17:24" x14ac:dyDescent="0.3">
      <c r="Q3381" s="4"/>
      <c r="R3381" s="4"/>
      <c r="S3381" s="4"/>
      <c r="T3381" s="4"/>
      <c r="U3381" s="4"/>
      <c r="V3381" s="4"/>
      <c r="W3381" s="4"/>
      <c r="X3381" s="4"/>
    </row>
    <row r="3382" spans="17:24" x14ac:dyDescent="0.3">
      <c r="Q3382" s="4"/>
      <c r="R3382" s="4"/>
      <c r="S3382" s="4"/>
      <c r="T3382" s="4"/>
      <c r="U3382" s="4"/>
      <c r="V3382" s="4"/>
      <c r="W3382" s="4"/>
      <c r="X3382" s="4"/>
    </row>
    <row r="3383" spans="17:24" x14ac:dyDescent="0.3">
      <c r="Q3383" s="4"/>
      <c r="R3383" s="4"/>
      <c r="S3383" s="4"/>
      <c r="T3383" s="4"/>
      <c r="U3383" s="4"/>
      <c r="V3383" s="4"/>
      <c r="W3383" s="4"/>
      <c r="X3383" s="4"/>
    </row>
    <row r="3384" spans="17:24" x14ac:dyDescent="0.3">
      <c r="Q3384" s="4"/>
      <c r="R3384" s="4"/>
      <c r="S3384" s="4"/>
      <c r="T3384" s="4"/>
      <c r="U3384" s="4"/>
      <c r="V3384" s="4"/>
      <c r="W3384" s="4"/>
      <c r="X3384" s="4"/>
    </row>
    <row r="3385" spans="17:24" x14ac:dyDescent="0.3">
      <c r="Q3385" s="4"/>
      <c r="R3385" s="4"/>
      <c r="S3385" s="4"/>
      <c r="T3385" s="4"/>
      <c r="U3385" s="4"/>
      <c r="V3385" s="4"/>
      <c r="W3385" s="4"/>
      <c r="X3385" s="4"/>
    </row>
    <row r="3386" spans="17:24" x14ac:dyDescent="0.3">
      <c r="Q3386" s="4"/>
      <c r="R3386" s="4"/>
      <c r="S3386" s="4"/>
      <c r="T3386" s="4"/>
      <c r="U3386" s="4"/>
      <c r="V3386" s="4"/>
      <c r="W3386" s="4"/>
      <c r="X3386" s="4"/>
    </row>
    <row r="3387" spans="17:24" x14ac:dyDescent="0.3">
      <c r="Q3387" s="4"/>
      <c r="R3387" s="4"/>
      <c r="S3387" s="4"/>
      <c r="T3387" s="4"/>
      <c r="U3387" s="4"/>
      <c r="V3387" s="4"/>
      <c r="W3387" s="4"/>
      <c r="X3387" s="4"/>
    </row>
    <row r="3388" spans="17:24" x14ac:dyDescent="0.3">
      <c r="Q3388" s="4"/>
      <c r="R3388" s="4"/>
      <c r="S3388" s="4"/>
      <c r="T3388" s="4"/>
      <c r="U3388" s="4"/>
      <c r="V3388" s="4"/>
      <c r="W3388" s="4"/>
      <c r="X3388" s="4"/>
    </row>
    <row r="3389" spans="17:24" x14ac:dyDescent="0.3">
      <c r="Q3389" s="4"/>
      <c r="R3389" s="4"/>
      <c r="S3389" s="4"/>
      <c r="T3389" s="4"/>
      <c r="U3389" s="4"/>
      <c r="V3389" s="4"/>
      <c r="W3389" s="4"/>
      <c r="X3389" s="4"/>
    </row>
    <row r="3390" spans="17:24" x14ac:dyDescent="0.3">
      <c r="Q3390" s="4"/>
      <c r="R3390" s="4"/>
      <c r="S3390" s="4"/>
      <c r="T3390" s="4"/>
      <c r="U3390" s="4"/>
      <c r="V3390" s="4"/>
      <c r="W3390" s="4"/>
      <c r="X3390" s="4"/>
    </row>
    <row r="3391" spans="17:24" x14ac:dyDescent="0.3">
      <c r="Q3391" s="4"/>
      <c r="R3391" s="4"/>
      <c r="S3391" s="4"/>
      <c r="T3391" s="4"/>
      <c r="U3391" s="4"/>
      <c r="V3391" s="4"/>
      <c r="W3391" s="4"/>
      <c r="X3391" s="4"/>
    </row>
    <row r="3392" spans="17:24" x14ac:dyDescent="0.3">
      <c r="Q3392" s="4"/>
      <c r="R3392" s="4"/>
      <c r="S3392" s="4"/>
      <c r="T3392" s="4"/>
      <c r="U3392" s="4"/>
      <c r="V3392" s="4"/>
      <c r="W3392" s="4"/>
      <c r="X3392" s="4"/>
    </row>
    <row r="3393" spans="17:24" x14ac:dyDescent="0.3">
      <c r="Q3393" s="4"/>
      <c r="R3393" s="4"/>
      <c r="S3393" s="4"/>
      <c r="T3393" s="4"/>
      <c r="U3393" s="4"/>
      <c r="V3393" s="4"/>
      <c r="W3393" s="4"/>
      <c r="X3393" s="4"/>
    </row>
    <row r="3394" spans="17:24" x14ac:dyDescent="0.3">
      <c r="Q3394" s="4"/>
      <c r="R3394" s="4"/>
      <c r="S3394" s="4"/>
      <c r="T3394" s="4"/>
      <c r="U3394" s="4"/>
      <c r="V3394" s="4"/>
      <c r="W3394" s="4"/>
      <c r="X3394" s="4"/>
    </row>
    <row r="3395" spans="17:24" x14ac:dyDescent="0.3">
      <c r="Q3395" s="4"/>
      <c r="R3395" s="4"/>
      <c r="S3395" s="4"/>
      <c r="T3395" s="4"/>
      <c r="U3395" s="4"/>
      <c r="V3395" s="4"/>
      <c r="W3395" s="4"/>
      <c r="X3395" s="4"/>
    </row>
    <row r="3396" spans="17:24" x14ac:dyDescent="0.3">
      <c r="Q3396" s="4"/>
      <c r="R3396" s="4"/>
      <c r="S3396" s="4"/>
      <c r="T3396" s="4"/>
      <c r="U3396" s="4"/>
      <c r="V3396" s="4"/>
      <c r="W3396" s="4"/>
      <c r="X3396" s="4"/>
    </row>
    <row r="3397" spans="17:24" x14ac:dyDescent="0.3">
      <c r="Q3397" s="4"/>
      <c r="R3397" s="4"/>
      <c r="S3397" s="4"/>
      <c r="T3397" s="4"/>
      <c r="U3397" s="4"/>
      <c r="V3397" s="4"/>
      <c r="W3397" s="4"/>
      <c r="X3397" s="4"/>
    </row>
    <row r="3398" spans="17:24" x14ac:dyDescent="0.3">
      <c r="Q3398" s="4"/>
      <c r="R3398" s="4"/>
      <c r="S3398" s="4"/>
      <c r="T3398" s="4"/>
      <c r="U3398" s="4"/>
      <c r="V3398" s="4"/>
      <c r="W3398" s="4"/>
      <c r="X3398" s="4"/>
    </row>
    <row r="3399" spans="17:24" x14ac:dyDescent="0.3">
      <c r="Q3399" s="4"/>
      <c r="R3399" s="4"/>
      <c r="S3399" s="4"/>
      <c r="T3399" s="4"/>
      <c r="U3399" s="4"/>
      <c r="V3399" s="4"/>
      <c r="W3399" s="4"/>
      <c r="X3399" s="4"/>
    </row>
    <row r="3400" spans="17:24" x14ac:dyDescent="0.3">
      <c r="Q3400" s="4"/>
      <c r="R3400" s="4"/>
      <c r="S3400" s="4"/>
      <c r="T3400" s="4"/>
      <c r="U3400" s="4"/>
      <c r="V3400" s="4"/>
      <c r="W3400" s="4"/>
      <c r="X3400" s="4"/>
    </row>
    <row r="3401" spans="17:24" x14ac:dyDescent="0.3">
      <c r="Q3401" s="4"/>
      <c r="R3401" s="4"/>
      <c r="S3401" s="4"/>
      <c r="T3401" s="4"/>
      <c r="U3401" s="4"/>
      <c r="V3401" s="4"/>
      <c r="W3401" s="4"/>
      <c r="X3401" s="4"/>
    </row>
    <row r="3402" spans="17:24" x14ac:dyDescent="0.3">
      <c r="Q3402" s="4"/>
      <c r="R3402" s="4"/>
      <c r="S3402" s="4"/>
      <c r="T3402" s="4"/>
      <c r="U3402" s="4"/>
      <c r="V3402" s="4"/>
      <c r="W3402" s="4"/>
      <c r="X3402" s="4"/>
    </row>
    <row r="3403" spans="17:24" x14ac:dyDescent="0.3">
      <c r="Q3403" s="4"/>
      <c r="R3403" s="4"/>
      <c r="S3403" s="4"/>
      <c r="T3403" s="4"/>
      <c r="U3403" s="4"/>
      <c r="V3403" s="4"/>
      <c r="W3403" s="4"/>
      <c r="X3403" s="4"/>
    </row>
    <row r="3404" spans="17:24" x14ac:dyDescent="0.3">
      <c r="Q3404" s="4"/>
      <c r="R3404" s="4"/>
      <c r="S3404" s="4"/>
      <c r="T3404" s="4"/>
      <c r="U3404" s="4"/>
      <c r="V3404" s="4"/>
      <c r="W3404" s="4"/>
      <c r="X3404" s="4"/>
    </row>
    <row r="3405" spans="17:24" x14ac:dyDescent="0.3">
      <c r="Q3405" s="4"/>
      <c r="R3405" s="4"/>
      <c r="S3405" s="4"/>
      <c r="T3405" s="4"/>
      <c r="U3405" s="4"/>
      <c r="V3405" s="4"/>
      <c r="W3405" s="4"/>
      <c r="X3405" s="4"/>
    </row>
    <row r="3406" spans="17:24" x14ac:dyDescent="0.3">
      <c r="Q3406" s="4"/>
      <c r="R3406" s="4"/>
      <c r="S3406" s="4"/>
      <c r="T3406" s="4"/>
      <c r="U3406" s="4"/>
      <c r="V3406" s="4"/>
      <c r="W3406" s="4"/>
      <c r="X3406" s="4"/>
    </row>
    <row r="3407" spans="17:24" x14ac:dyDescent="0.3">
      <c r="Q3407" s="4"/>
      <c r="R3407" s="4"/>
      <c r="S3407" s="4"/>
      <c r="T3407" s="4"/>
      <c r="U3407" s="4"/>
      <c r="V3407" s="4"/>
      <c r="W3407" s="4"/>
      <c r="X3407" s="4"/>
    </row>
    <row r="3408" spans="17:24" x14ac:dyDescent="0.3">
      <c r="Q3408" s="4"/>
      <c r="R3408" s="4"/>
      <c r="S3408" s="4"/>
      <c r="T3408" s="4"/>
      <c r="U3408" s="4"/>
      <c r="V3408" s="4"/>
      <c r="W3408" s="4"/>
      <c r="X3408" s="4"/>
    </row>
    <row r="3409" spans="17:24" x14ac:dyDescent="0.3">
      <c r="Q3409" s="4"/>
      <c r="R3409" s="4"/>
      <c r="S3409" s="4"/>
      <c r="T3409" s="4"/>
      <c r="U3409" s="4"/>
      <c r="V3409" s="4"/>
      <c r="W3409" s="4"/>
      <c r="X3409" s="4"/>
    </row>
    <row r="3410" spans="17:24" x14ac:dyDescent="0.3">
      <c r="Q3410" s="4"/>
      <c r="R3410" s="4"/>
      <c r="S3410" s="4"/>
      <c r="T3410" s="4"/>
      <c r="U3410" s="4"/>
      <c r="V3410" s="4"/>
      <c r="W3410" s="4"/>
      <c r="X3410" s="4"/>
    </row>
    <row r="3411" spans="17:24" x14ac:dyDescent="0.3">
      <c r="Q3411" s="4"/>
      <c r="R3411" s="4"/>
      <c r="S3411" s="4"/>
      <c r="T3411" s="4"/>
      <c r="U3411" s="4"/>
      <c r="V3411" s="4"/>
      <c r="W3411" s="4"/>
      <c r="X3411" s="4"/>
    </row>
    <row r="3412" spans="17:24" x14ac:dyDescent="0.3">
      <c r="Q3412" s="4"/>
      <c r="R3412" s="4"/>
      <c r="S3412" s="4"/>
      <c r="T3412" s="4"/>
      <c r="U3412" s="4"/>
      <c r="V3412" s="4"/>
      <c r="W3412" s="4"/>
      <c r="X3412" s="4"/>
    </row>
    <row r="3413" spans="17:24" x14ac:dyDescent="0.3">
      <c r="Q3413" s="4"/>
      <c r="R3413" s="4"/>
      <c r="S3413" s="4"/>
      <c r="T3413" s="4"/>
      <c r="U3413" s="4"/>
      <c r="V3413" s="4"/>
      <c r="W3413" s="4"/>
      <c r="X3413" s="4"/>
    </row>
    <row r="3414" spans="17:24" x14ac:dyDescent="0.3">
      <c r="Q3414" s="4"/>
      <c r="R3414" s="4"/>
      <c r="S3414" s="4"/>
      <c r="T3414" s="4"/>
      <c r="U3414" s="4"/>
      <c r="V3414" s="4"/>
      <c r="W3414" s="4"/>
      <c r="X3414" s="4"/>
    </row>
    <row r="3415" spans="17:24" x14ac:dyDescent="0.3">
      <c r="Q3415" s="4"/>
      <c r="R3415" s="4"/>
      <c r="S3415" s="4"/>
      <c r="T3415" s="4"/>
      <c r="U3415" s="4"/>
      <c r="V3415" s="4"/>
      <c r="W3415" s="4"/>
      <c r="X3415" s="4"/>
    </row>
    <row r="3416" spans="17:24" x14ac:dyDescent="0.3">
      <c r="Q3416" s="4"/>
      <c r="R3416" s="4"/>
      <c r="S3416" s="4"/>
      <c r="T3416" s="4"/>
      <c r="U3416" s="4"/>
      <c r="V3416" s="4"/>
      <c r="W3416" s="4"/>
      <c r="X3416" s="4"/>
    </row>
    <row r="3417" spans="17:24" x14ac:dyDescent="0.3">
      <c r="Q3417" s="4"/>
      <c r="R3417" s="4"/>
      <c r="S3417" s="4"/>
      <c r="T3417" s="4"/>
      <c r="U3417" s="4"/>
      <c r="V3417" s="4"/>
      <c r="W3417" s="4"/>
      <c r="X3417" s="4"/>
    </row>
    <row r="3418" spans="17:24" x14ac:dyDescent="0.3">
      <c r="Q3418" s="4"/>
      <c r="R3418" s="4"/>
      <c r="S3418" s="4"/>
      <c r="T3418" s="4"/>
      <c r="U3418" s="4"/>
      <c r="V3418" s="4"/>
      <c r="W3418" s="4"/>
      <c r="X3418" s="4"/>
    </row>
    <row r="3419" spans="17:24" x14ac:dyDescent="0.3">
      <c r="Q3419" s="4"/>
      <c r="R3419" s="4"/>
      <c r="S3419" s="4"/>
      <c r="T3419" s="4"/>
      <c r="U3419" s="4"/>
      <c r="V3419" s="4"/>
      <c r="W3419" s="4"/>
      <c r="X3419" s="4"/>
    </row>
    <row r="3420" spans="17:24" x14ac:dyDescent="0.3">
      <c r="Q3420" s="4"/>
      <c r="R3420" s="4"/>
      <c r="S3420" s="4"/>
      <c r="T3420" s="4"/>
      <c r="U3420" s="4"/>
      <c r="V3420" s="4"/>
      <c r="W3420" s="4"/>
      <c r="X3420" s="4"/>
    </row>
    <row r="3421" spans="17:24" x14ac:dyDescent="0.3">
      <c r="Q3421" s="4"/>
      <c r="R3421" s="4"/>
      <c r="S3421" s="4"/>
      <c r="T3421" s="4"/>
      <c r="U3421" s="4"/>
      <c r="V3421" s="4"/>
      <c r="W3421" s="4"/>
      <c r="X3421" s="4"/>
    </row>
    <row r="3422" spans="17:24" x14ac:dyDescent="0.3">
      <c r="Q3422" s="4"/>
      <c r="R3422" s="4"/>
      <c r="S3422" s="4"/>
      <c r="T3422" s="4"/>
      <c r="U3422" s="4"/>
      <c r="V3422" s="4"/>
      <c r="W3422" s="4"/>
      <c r="X3422" s="4"/>
    </row>
    <row r="3423" spans="17:24" x14ac:dyDescent="0.3">
      <c r="Q3423" s="4"/>
      <c r="R3423" s="4"/>
      <c r="S3423" s="4"/>
      <c r="T3423" s="4"/>
      <c r="U3423" s="4"/>
      <c r="V3423" s="4"/>
      <c r="W3423" s="4"/>
      <c r="X3423" s="4"/>
    </row>
    <row r="3424" spans="17:24" x14ac:dyDescent="0.3">
      <c r="Q3424" s="4"/>
      <c r="R3424" s="4"/>
      <c r="S3424" s="4"/>
      <c r="T3424" s="4"/>
      <c r="U3424" s="4"/>
      <c r="V3424" s="4"/>
      <c r="W3424" s="4"/>
      <c r="X3424" s="4"/>
    </row>
    <row r="3425" spans="17:24" x14ac:dyDescent="0.3">
      <c r="Q3425" s="4"/>
      <c r="R3425" s="4"/>
      <c r="S3425" s="4"/>
      <c r="T3425" s="4"/>
      <c r="U3425" s="4"/>
      <c r="V3425" s="4"/>
      <c r="W3425" s="4"/>
      <c r="X3425" s="4"/>
    </row>
    <row r="3426" spans="17:24" x14ac:dyDescent="0.3">
      <c r="Q3426" s="4"/>
      <c r="R3426" s="4"/>
      <c r="S3426" s="4"/>
      <c r="T3426" s="4"/>
      <c r="U3426" s="4"/>
      <c r="V3426" s="4"/>
      <c r="W3426" s="4"/>
      <c r="X3426" s="4"/>
    </row>
    <row r="3427" spans="17:24" x14ac:dyDescent="0.3">
      <c r="Q3427" s="4"/>
      <c r="R3427" s="4"/>
      <c r="S3427" s="4"/>
      <c r="T3427" s="4"/>
      <c r="U3427" s="4"/>
      <c r="V3427" s="4"/>
      <c r="W3427" s="4"/>
      <c r="X3427" s="4"/>
    </row>
    <row r="3428" spans="17:24" x14ac:dyDescent="0.3">
      <c r="Q3428" s="4"/>
      <c r="R3428" s="4"/>
      <c r="S3428" s="4"/>
      <c r="T3428" s="4"/>
      <c r="U3428" s="4"/>
      <c r="V3428" s="4"/>
      <c r="W3428" s="4"/>
      <c r="X3428" s="4"/>
    </row>
    <row r="3429" spans="17:24" x14ac:dyDescent="0.3">
      <c r="Q3429" s="4"/>
      <c r="R3429" s="4"/>
      <c r="S3429" s="4"/>
      <c r="T3429" s="4"/>
      <c r="U3429" s="4"/>
      <c r="V3429" s="4"/>
      <c r="W3429" s="4"/>
      <c r="X3429" s="4"/>
    </row>
    <row r="3430" spans="17:24" x14ac:dyDescent="0.3">
      <c r="Q3430" s="4"/>
      <c r="R3430" s="4"/>
      <c r="S3430" s="4"/>
      <c r="T3430" s="4"/>
      <c r="U3430" s="4"/>
      <c r="V3430" s="4"/>
      <c r="W3430" s="4"/>
      <c r="X3430" s="4"/>
    </row>
    <row r="3431" spans="17:24" x14ac:dyDescent="0.3">
      <c r="Q3431" s="4"/>
      <c r="R3431" s="4"/>
      <c r="S3431" s="4"/>
      <c r="T3431" s="4"/>
      <c r="U3431" s="4"/>
      <c r="V3431" s="4"/>
      <c r="W3431" s="4"/>
      <c r="X3431" s="4"/>
    </row>
    <row r="3432" spans="17:24" x14ac:dyDescent="0.3">
      <c r="Q3432" s="4"/>
      <c r="R3432" s="4"/>
      <c r="S3432" s="4"/>
      <c r="T3432" s="4"/>
      <c r="U3432" s="4"/>
      <c r="V3432" s="4"/>
      <c r="W3432" s="4"/>
      <c r="X3432" s="4"/>
    </row>
    <row r="3433" spans="17:24" x14ac:dyDescent="0.3">
      <c r="Q3433" s="4"/>
      <c r="R3433" s="4"/>
      <c r="S3433" s="4"/>
      <c r="T3433" s="4"/>
      <c r="U3433" s="4"/>
      <c r="V3433" s="4"/>
      <c r="W3433" s="4"/>
      <c r="X3433" s="4"/>
    </row>
    <row r="3434" spans="17:24" x14ac:dyDescent="0.3">
      <c r="Q3434" s="4"/>
      <c r="R3434" s="4"/>
      <c r="S3434" s="4"/>
      <c r="T3434" s="4"/>
      <c r="U3434" s="4"/>
      <c r="V3434" s="4"/>
      <c r="W3434" s="4"/>
      <c r="X3434" s="4"/>
    </row>
    <row r="3435" spans="17:24" x14ac:dyDescent="0.3">
      <c r="Q3435" s="4"/>
      <c r="R3435" s="4"/>
      <c r="S3435" s="4"/>
      <c r="T3435" s="4"/>
      <c r="U3435" s="4"/>
      <c r="V3435" s="4"/>
      <c r="W3435" s="4"/>
      <c r="X3435" s="4"/>
    </row>
    <row r="3436" spans="17:24" x14ac:dyDescent="0.3">
      <c r="Q3436" s="4"/>
      <c r="R3436" s="4"/>
      <c r="S3436" s="4"/>
      <c r="T3436" s="4"/>
      <c r="U3436" s="4"/>
      <c r="V3436" s="4"/>
      <c r="W3436" s="4"/>
      <c r="X3436" s="4"/>
    </row>
    <row r="3437" spans="17:24" x14ac:dyDescent="0.3">
      <c r="Q3437" s="4"/>
      <c r="R3437" s="4"/>
      <c r="S3437" s="4"/>
      <c r="T3437" s="4"/>
      <c r="U3437" s="4"/>
      <c r="V3437" s="4"/>
      <c r="W3437" s="4"/>
      <c r="X3437" s="4"/>
    </row>
    <row r="3438" spans="17:24" x14ac:dyDescent="0.3">
      <c r="Q3438" s="4"/>
      <c r="R3438" s="4"/>
      <c r="S3438" s="4"/>
      <c r="T3438" s="4"/>
      <c r="U3438" s="4"/>
      <c r="V3438" s="4"/>
      <c r="W3438" s="4"/>
      <c r="X3438" s="4"/>
    </row>
    <row r="3439" spans="17:24" x14ac:dyDescent="0.3">
      <c r="Q3439" s="4"/>
      <c r="R3439" s="4"/>
      <c r="S3439" s="4"/>
      <c r="T3439" s="4"/>
      <c r="U3439" s="4"/>
      <c r="V3439" s="4"/>
      <c r="W3439" s="4"/>
      <c r="X3439" s="4"/>
    </row>
    <row r="3440" spans="17:24" x14ac:dyDescent="0.3">
      <c r="Q3440" s="4"/>
      <c r="R3440" s="4"/>
      <c r="S3440" s="4"/>
      <c r="T3440" s="4"/>
      <c r="U3440" s="4"/>
      <c r="V3440" s="4"/>
      <c r="W3440" s="4"/>
      <c r="X3440" s="4"/>
    </row>
    <row r="3441" spans="17:24" x14ac:dyDescent="0.3">
      <c r="Q3441" s="4"/>
      <c r="R3441" s="4"/>
      <c r="S3441" s="4"/>
      <c r="T3441" s="4"/>
      <c r="U3441" s="4"/>
      <c r="V3441" s="4"/>
      <c r="W3441" s="4"/>
      <c r="X3441" s="4"/>
    </row>
    <row r="3442" spans="17:24" x14ac:dyDescent="0.3">
      <c r="Q3442" s="4"/>
      <c r="R3442" s="4"/>
      <c r="S3442" s="4"/>
      <c r="T3442" s="4"/>
      <c r="U3442" s="4"/>
      <c r="V3442" s="4"/>
      <c r="W3442" s="4"/>
      <c r="X3442" s="4"/>
    </row>
    <row r="3443" spans="17:24" x14ac:dyDescent="0.3">
      <c r="Q3443" s="4"/>
      <c r="R3443" s="4"/>
      <c r="S3443" s="4"/>
      <c r="T3443" s="4"/>
      <c r="U3443" s="4"/>
      <c r="V3443" s="4"/>
      <c r="W3443" s="4"/>
      <c r="X3443" s="4"/>
    </row>
    <row r="3444" spans="17:24" x14ac:dyDescent="0.3">
      <c r="Q3444" s="4"/>
      <c r="R3444" s="4"/>
      <c r="S3444" s="4"/>
      <c r="T3444" s="4"/>
      <c r="U3444" s="4"/>
      <c r="V3444" s="4"/>
      <c r="W3444" s="4"/>
      <c r="X3444" s="4"/>
    </row>
    <row r="3445" spans="17:24" x14ac:dyDescent="0.3">
      <c r="Q3445" s="4"/>
      <c r="R3445" s="4"/>
      <c r="S3445" s="4"/>
      <c r="T3445" s="4"/>
      <c r="U3445" s="4"/>
      <c r="V3445" s="4"/>
      <c r="W3445" s="4"/>
      <c r="X3445" s="4"/>
    </row>
    <row r="3446" spans="17:24" x14ac:dyDescent="0.3">
      <c r="Q3446" s="4"/>
      <c r="R3446" s="4"/>
      <c r="S3446" s="4"/>
      <c r="T3446" s="4"/>
      <c r="U3446" s="4"/>
      <c r="V3446" s="4"/>
      <c r="W3446" s="4"/>
      <c r="X3446" s="4"/>
    </row>
    <row r="3447" spans="17:24" x14ac:dyDescent="0.3">
      <c r="Q3447" s="4"/>
      <c r="R3447" s="4"/>
      <c r="S3447" s="4"/>
      <c r="T3447" s="4"/>
      <c r="U3447" s="4"/>
      <c r="V3447" s="4"/>
      <c r="W3447" s="4"/>
      <c r="X3447" s="4"/>
    </row>
    <row r="3448" spans="17:24" x14ac:dyDescent="0.3">
      <c r="Q3448" s="4"/>
      <c r="R3448" s="4"/>
      <c r="S3448" s="4"/>
      <c r="T3448" s="4"/>
      <c r="U3448" s="4"/>
      <c r="V3448" s="4"/>
      <c r="W3448" s="4"/>
      <c r="X3448" s="4"/>
    </row>
    <row r="3449" spans="17:24" x14ac:dyDescent="0.3">
      <c r="Q3449" s="4"/>
      <c r="R3449" s="4"/>
      <c r="S3449" s="4"/>
      <c r="T3449" s="4"/>
      <c r="U3449" s="4"/>
      <c r="V3449" s="4"/>
      <c r="W3449" s="4"/>
      <c r="X3449" s="4"/>
    </row>
    <row r="3450" spans="17:24" x14ac:dyDescent="0.3">
      <c r="Q3450" s="4"/>
      <c r="R3450" s="4"/>
      <c r="S3450" s="4"/>
      <c r="T3450" s="4"/>
      <c r="U3450" s="4"/>
      <c r="V3450" s="4"/>
      <c r="W3450" s="4"/>
      <c r="X3450" s="4"/>
    </row>
    <row r="3451" spans="17:24" x14ac:dyDescent="0.3">
      <c r="Q3451" s="4"/>
      <c r="R3451" s="4"/>
      <c r="S3451" s="4"/>
      <c r="T3451" s="4"/>
      <c r="U3451" s="4"/>
      <c r="V3451" s="4"/>
      <c r="W3451" s="4"/>
      <c r="X3451" s="4"/>
    </row>
    <row r="3452" spans="17:24" x14ac:dyDescent="0.3">
      <c r="Q3452" s="4"/>
      <c r="R3452" s="4"/>
      <c r="S3452" s="4"/>
      <c r="T3452" s="4"/>
      <c r="U3452" s="4"/>
      <c r="V3452" s="4"/>
      <c r="W3452" s="4"/>
      <c r="X3452" s="4"/>
    </row>
    <row r="3453" spans="17:24" x14ac:dyDescent="0.3">
      <c r="Q3453" s="4"/>
      <c r="R3453" s="4"/>
      <c r="S3453" s="4"/>
      <c r="T3453" s="4"/>
      <c r="U3453" s="4"/>
      <c r="V3453" s="4"/>
      <c r="W3453" s="4"/>
      <c r="X3453" s="4"/>
    </row>
    <row r="3454" spans="17:24" x14ac:dyDescent="0.3">
      <c r="Q3454" s="4"/>
      <c r="R3454" s="4"/>
      <c r="S3454" s="4"/>
      <c r="T3454" s="4"/>
      <c r="U3454" s="4"/>
      <c r="V3454" s="4"/>
      <c r="W3454" s="4"/>
      <c r="X3454" s="4"/>
    </row>
    <row r="3455" spans="17:24" x14ac:dyDescent="0.3">
      <c r="Q3455" s="4"/>
      <c r="R3455" s="4"/>
      <c r="S3455" s="4"/>
      <c r="T3455" s="4"/>
      <c r="U3455" s="4"/>
      <c r="V3455" s="4"/>
      <c r="W3455" s="4"/>
      <c r="X3455" s="4"/>
    </row>
    <row r="3456" spans="17:24" x14ac:dyDescent="0.3">
      <c r="Q3456" s="4"/>
      <c r="R3456" s="4"/>
      <c r="S3456" s="4"/>
      <c r="T3456" s="4"/>
      <c r="U3456" s="4"/>
      <c r="V3456" s="4"/>
      <c r="W3456" s="4"/>
      <c r="X3456" s="4"/>
    </row>
    <row r="3457" spans="17:24" x14ac:dyDescent="0.3">
      <c r="Q3457" s="4"/>
      <c r="R3457" s="4"/>
      <c r="S3457" s="4"/>
      <c r="T3457" s="4"/>
      <c r="U3457" s="4"/>
      <c r="V3457" s="4"/>
      <c r="W3457" s="4"/>
      <c r="X3457" s="4"/>
    </row>
    <row r="3458" spans="17:24" x14ac:dyDescent="0.3">
      <c r="Q3458" s="4"/>
      <c r="R3458" s="4"/>
      <c r="S3458" s="4"/>
      <c r="T3458" s="4"/>
      <c r="U3458" s="4"/>
      <c r="V3458" s="4"/>
      <c r="W3458" s="4"/>
      <c r="X3458" s="4"/>
    </row>
    <row r="3459" spans="17:24" x14ac:dyDescent="0.3">
      <c r="Q3459" s="4"/>
      <c r="R3459" s="4"/>
      <c r="S3459" s="4"/>
      <c r="T3459" s="4"/>
      <c r="U3459" s="4"/>
      <c r="V3459" s="4"/>
      <c r="W3459" s="4"/>
      <c r="X3459" s="4"/>
    </row>
    <row r="3460" spans="17:24" x14ac:dyDescent="0.3">
      <c r="Q3460" s="4"/>
      <c r="R3460" s="4"/>
      <c r="S3460" s="4"/>
      <c r="T3460" s="4"/>
      <c r="U3460" s="4"/>
      <c r="V3460" s="4"/>
      <c r="W3460" s="4"/>
      <c r="X3460" s="4"/>
    </row>
    <row r="3461" spans="17:24" x14ac:dyDescent="0.3">
      <c r="Q3461" s="4"/>
      <c r="R3461" s="4"/>
      <c r="S3461" s="4"/>
      <c r="T3461" s="4"/>
      <c r="U3461" s="4"/>
      <c r="V3461" s="4"/>
      <c r="W3461" s="4"/>
      <c r="X3461" s="4"/>
    </row>
    <row r="3462" spans="17:24" x14ac:dyDescent="0.3">
      <c r="Q3462" s="4"/>
      <c r="R3462" s="4"/>
      <c r="S3462" s="4"/>
      <c r="T3462" s="4"/>
      <c r="U3462" s="4"/>
      <c r="V3462" s="4"/>
      <c r="W3462" s="4"/>
      <c r="X3462" s="4"/>
    </row>
    <row r="3463" spans="17:24" x14ac:dyDescent="0.3">
      <c r="Q3463" s="4"/>
      <c r="R3463" s="4"/>
      <c r="S3463" s="4"/>
      <c r="T3463" s="4"/>
      <c r="U3463" s="4"/>
      <c r="V3463" s="4"/>
      <c r="W3463" s="4"/>
      <c r="X3463" s="4"/>
    </row>
    <row r="3464" spans="17:24" x14ac:dyDescent="0.3">
      <c r="Q3464" s="4"/>
      <c r="R3464" s="4"/>
      <c r="S3464" s="4"/>
      <c r="T3464" s="4"/>
      <c r="U3464" s="4"/>
      <c r="V3464" s="4"/>
      <c r="W3464" s="4"/>
      <c r="X3464" s="4"/>
    </row>
    <row r="3465" spans="17:24" x14ac:dyDescent="0.3">
      <c r="Q3465" s="4"/>
      <c r="R3465" s="4"/>
      <c r="S3465" s="4"/>
      <c r="T3465" s="4"/>
      <c r="U3465" s="4"/>
      <c r="V3465" s="4"/>
      <c r="W3465" s="4"/>
      <c r="X3465" s="4"/>
    </row>
    <row r="3466" spans="17:24" x14ac:dyDescent="0.3">
      <c r="Q3466" s="4"/>
      <c r="R3466" s="4"/>
      <c r="S3466" s="4"/>
      <c r="T3466" s="4"/>
      <c r="U3466" s="4"/>
      <c r="V3466" s="4"/>
      <c r="W3466" s="4"/>
      <c r="X3466" s="4"/>
    </row>
    <row r="3467" spans="17:24" x14ac:dyDescent="0.3">
      <c r="Q3467" s="4"/>
      <c r="R3467" s="4"/>
      <c r="S3467" s="4"/>
      <c r="T3467" s="4"/>
      <c r="U3467" s="4"/>
      <c r="V3467" s="4"/>
      <c r="W3467" s="4"/>
      <c r="X3467" s="4"/>
    </row>
    <row r="3468" spans="17:24" x14ac:dyDescent="0.3">
      <c r="Q3468" s="4"/>
      <c r="R3468" s="4"/>
      <c r="S3468" s="4"/>
      <c r="T3468" s="4"/>
      <c r="U3468" s="4"/>
      <c r="V3468" s="4"/>
      <c r="W3468" s="4"/>
      <c r="X3468" s="4"/>
    </row>
    <row r="3469" spans="17:24" x14ac:dyDescent="0.3">
      <c r="Q3469" s="4"/>
      <c r="R3469" s="4"/>
      <c r="S3469" s="4"/>
      <c r="T3469" s="4"/>
      <c r="U3469" s="4"/>
      <c r="V3469" s="4"/>
      <c r="W3469" s="4"/>
      <c r="X3469" s="4"/>
    </row>
    <row r="3470" spans="17:24" x14ac:dyDescent="0.3">
      <c r="Q3470" s="4"/>
      <c r="R3470" s="4"/>
      <c r="S3470" s="4"/>
      <c r="T3470" s="4"/>
      <c r="U3470" s="4"/>
      <c r="V3470" s="4"/>
      <c r="W3470" s="4"/>
      <c r="X3470" s="4"/>
    </row>
    <row r="3471" spans="17:24" x14ac:dyDescent="0.3">
      <c r="Q3471" s="4"/>
      <c r="R3471" s="4"/>
      <c r="S3471" s="4"/>
      <c r="T3471" s="4"/>
      <c r="U3471" s="4"/>
      <c r="V3471" s="4"/>
      <c r="W3471" s="4"/>
      <c r="X3471" s="4"/>
    </row>
    <row r="3472" spans="17:24" x14ac:dyDescent="0.3">
      <c r="Q3472" s="4"/>
      <c r="R3472" s="4"/>
      <c r="S3472" s="4"/>
      <c r="T3472" s="4"/>
      <c r="U3472" s="4"/>
      <c r="V3472" s="4"/>
      <c r="W3472" s="4"/>
      <c r="X3472" s="4"/>
    </row>
    <row r="3473" spans="17:24" x14ac:dyDescent="0.3">
      <c r="Q3473" s="4"/>
      <c r="R3473" s="4"/>
      <c r="S3473" s="4"/>
      <c r="T3473" s="4"/>
      <c r="U3473" s="4"/>
      <c r="V3473" s="4"/>
      <c r="W3473" s="4"/>
      <c r="X3473" s="4"/>
    </row>
    <row r="3474" spans="17:24" x14ac:dyDescent="0.3">
      <c r="Q3474" s="4"/>
      <c r="R3474" s="4"/>
      <c r="S3474" s="4"/>
      <c r="T3474" s="4"/>
      <c r="U3474" s="4"/>
      <c r="V3474" s="4"/>
      <c r="W3474" s="4"/>
      <c r="X3474" s="4"/>
    </row>
    <row r="3475" spans="17:24" x14ac:dyDescent="0.3">
      <c r="Q3475" s="4"/>
      <c r="R3475" s="4"/>
      <c r="S3475" s="4"/>
      <c r="T3475" s="4"/>
      <c r="U3475" s="4"/>
      <c r="V3475" s="4"/>
      <c r="W3475" s="4"/>
      <c r="X3475" s="4"/>
    </row>
    <row r="3476" spans="17:24" x14ac:dyDescent="0.3">
      <c r="Q3476" s="4"/>
      <c r="R3476" s="4"/>
      <c r="S3476" s="4"/>
      <c r="T3476" s="4"/>
      <c r="U3476" s="4"/>
      <c r="V3476" s="4"/>
      <c r="W3476" s="4"/>
      <c r="X3476" s="4"/>
    </row>
    <row r="3477" spans="17:24" x14ac:dyDescent="0.3">
      <c r="Q3477" s="4"/>
      <c r="R3477" s="4"/>
      <c r="S3477" s="4"/>
      <c r="T3477" s="4"/>
      <c r="U3477" s="4"/>
      <c r="V3477" s="4"/>
      <c r="W3477" s="4"/>
      <c r="X3477" s="4"/>
    </row>
    <row r="3478" spans="17:24" x14ac:dyDescent="0.3">
      <c r="Q3478" s="4"/>
      <c r="R3478" s="4"/>
      <c r="S3478" s="4"/>
      <c r="T3478" s="4"/>
      <c r="U3478" s="4"/>
      <c r="V3478" s="4"/>
      <c r="W3478" s="4"/>
      <c r="X3478" s="4"/>
    </row>
    <row r="3479" spans="17:24" x14ac:dyDescent="0.3">
      <c r="Q3479" s="4"/>
      <c r="R3479" s="4"/>
      <c r="S3479" s="4"/>
      <c r="T3479" s="4"/>
      <c r="U3479" s="4"/>
      <c r="V3479" s="4"/>
      <c r="W3479" s="4"/>
      <c r="X3479" s="4"/>
    </row>
    <row r="3480" spans="17:24" x14ac:dyDescent="0.3">
      <c r="Q3480" s="4"/>
      <c r="R3480" s="4"/>
      <c r="S3480" s="4"/>
      <c r="T3480" s="4"/>
      <c r="U3480" s="4"/>
      <c r="V3480" s="4"/>
      <c r="W3480" s="4"/>
      <c r="X3480" s="4"/>
    </row>
    <row r="3481" spans="17:24" x14ac:dyDescent="0.3">
      <c r="Q3481" s="4"/>
      <c r="R3481" s="4"/>
      <c r="S3481" s="4"/>
      <c r="T3481" s="4"/>
      <c r="U3481" s="4"/>
      <c r="V3481" s="4"/>
      <c r="W3481" s="4"/>
      <c r="X3481" s="4"/>
    </row>
    <row r="3482" spans="17:24" x14ac:dyDescent="0.3">
      <c r="Q3482" s="4"/>
      <c r="R3482" s="4"/>
      <c r="S3482" s="4"/>
      <c r="T3482" s="4"/>
      <c r="U3482" s="4"/>
      <c r="V3482" s="4"/>
      <c r="W3482" s="4"/>
      <c r="X3482" s="4"/>
    </row>
    <row r="3483" spans="17:24" x14ac:dyDescent="0.3">
      <c r="Q3483" s="4"/>
      <c r="R3483" s="4"/>
      <c r="S3483" s="4"/>
      <c r="T3483" s="4"/>
      <c r="U3483" s="4"/>
      <c r="V3483" s="4"/>
      <c r="W3483" s="4"/>
      <c r="X3483" s="4"/>
    </row>
    <row r="3484" spans="17:24" x14ac:dyDescent="0.3">
      <c r="Q3484" s="4"/>
      <c r="R3484" s="4"/>
      <c r="S3484" s="4"/>
      <c r="T3484" s="4"/>
      <c r="U3484" s="4"/>
      <c r="V3484" s="4"/>
      <c r="W3484" s="4"/>
      <c r="X3484" s="4"/>
    </row>
    <row r="3485" spans="17:24" x14ac:dyDescent="0.3">
      <c r="Q3485" s="4"/>
      <c r="R3485" s="4"/>
      <c r="S3485" s="4"/>
      <c r="T3485" s="4"/>
      <c r="U3485" s="4"/>
      <c r="V3485" s="4"/>
      <c r="W3485" s="4"/>
      <c r="X3485" s="4"/>
    </row>
    <row r="3486" spans="17:24" x14ac:dyDescent="0.3">
      <c r="Q3486" s="4"/>
      <c r="R3486" s="4"/>
      <c r="S3486" s="4"/>
      <c r="T3486" s="4"/>
      <c r="U3486" s="4"/>
      <c r="V3486" s="4"/>
      <c r="W3486" s="4"/>
      <c r="X3486" s="4"/>
    </row>
    <row r="3487" spans="17:24" x14ac:dyDescent="0.3">
      <c r="Q3487" s="4"/>
      <c r="R3487" s="4"/>
      <c r="S3487" s="4"/>
      <c r="T3487" s="4"/>
      <c r="U3487" s="4"/>
      <c r="V3487" s="4"/>
      <c r="W3487" s="4"/>
      <c r="X3487" s="4"/>
    </row>
    <row r="3488" spans="17:24" x14ac:dyDescent="0.3">
      <c r="Q3488" s="4"/>
      <c r="R3488" s="4"/>
      <c r="S3488" s="4"/>
      <c r="T3488" s="4"/>
      <c r="U3488" s="4"/>
      <c r="V3488" s="4"/>
      <c r="W3488" s="4"/>
      <c r="X3488" s="4"/>
    </row>
    <row r="3489" spans="17:24" x14ac:dyDescent="0.3">
      <c r="Q3489" s="4"/>
      <c r="R3489" s="4"/>
      <c r="S3489" s="4"/>
      <c r="T3489" s="4"/>
      <c r="U3489" s="4"/>
      <c r="V3489" s="4"/>
      <c r="W3489" s="4"/>
      <c r="X3489" s="4"/>
    </row>
    <row r="3490" spans="17:24" x14ac:dyDescent="0.3">
      <c r="Q3490" s="4"/>
      <c r="R3490" s="4"/>
      <c r="S3490" s="4"/>
      <c r="T3490" s="4"/>
      <c r="U3490" s="4"/>
      <c r="V3490" s="4"/>
      <c r="W3490" s="4"/>
      <c r="X3490" s="4"/>
    </row>
    <row r="3491" spans="17:24" x14ac:dyDescent="0.3">
      <c r="Q3491" s="4"/>
      <c r="R3491" s="4"/>
      <c r="S3491" s="4"/>
      <c r="T3491" s="4"/>
      <c r="U3491" s="4"/>
      <c r="V3491" s="4"/>
      <c r="W3491" s="4"/>
      <c r="X3491" s="4"/>
    </row>
    <row r="3492" spans="17:24" x14ac:dyDescent="0.3">
      <c r="Q3492" s="4"/>
      <c r="R3492" s="4"/>
      <c r="S3492" s="4"/>
      <c r="T3492" s="4"/>
      <c r="U3492" s="4"/>
      <c r="V3492" s="4"/>
      <c r="W3492" s="4"/>
      <c r="X3492" s="4"/>
    </row>
    <row r="3493" spans="17:24" x14ac:dyDescent="0.3">
      <c r="Q3493" s="4"/>
      <c r="R3493" s="4"/>
      <c r="S3493" s="4"/>
      <c r="T3493" s="4"/>
      <c r="U3493" s="4"/>
      <c r="V3493" s="4"/>
      <c r="W3493" s="4"/>
      <c r="X3493" s="4"/>
    </row>
    <row r="3494" spans="17:24" x14ac:dyDescent="0.3">
      <c r="Q3494" s="4"/>
      <c r="R3494" s="4"/>
      <c r="S3494" s="4"/>
      <c r="T3494" s="4"/>
      <c r="U3494" s="4"/>
      <c r="V3494" s="4"/>
      <c r="W3494" s="4"/>
      <c r="X3494" s="4"/>
    </row>
    <row r="3495" spans="17:24" x14ac:dyDescent="0.3">
      <c r="Q3495" s="4"/>
      <c r="R3495" s="4"/>
      <c r="S3495" s="4"/>
      <c r="T3495" s="4"/>
      <c r="U3495" s="4"/>
      <c r="V3495" s="4"/>
      <c r="W3495" s="4"/>
      <c r="X3495" s="4"/>
    </row>
    <row r="3496" spans="17:24" x14ac:dyDescent="0.3">
      <c r="Q3496" s="4"/>
      <c r="R3496" s="4"/>
      <c r="S3496" s="4"/>
      <c r="T3496" s="4"/>
      <c r="U3496" s="4"/>
      <c r="V3496" s="4"/>
      <c r="W3496" s="4"/>
      <c r="X3496" s="4"/>
    </row>
    <row r="3497" spans="17:24" x14ac:dyDescent="0.3">
      <c r="Q3497" s="4"/>
      <c r="R3497" s="4"/>
      <c r="S3497" s="4"/>
      <c r="T3497" s="4"/>
      <c r="U3497" s="4"/>
      <c r="V3497" s="4"/>
      <c r="W3497" s="4"/>
      <c r="X3497" s="4"/>
    </row>
    <row r="3498" spans="17:24" x14ac:dyDescent="0.3">
      <c r="Q3498" s="4"/>
      <c r="R3498" s="4"/>
      <c r="S3498" s="4"/>
      <c r="T3498" s="4"/>
      <c r="U3498" s="4"/>
      <c r="V3498" s="4"/>
      <c r="W3498" s="4"/>
      <c r="X3498" s="4"/>
    </row>
    <row r="3499" spans="17:24" x14ac:dyDescent="0.3">
      <c r="Q3499" s="4"/>
      <c r="R3499" s="4"/>
      <c r="S3499" s="4"/>
      <c r="T3499" s="4"/>
      <c r="U3499" s="4"/>
      <c r="V3499" s="4"/>
      <c r="W3499" s="4"/>
      <c r="X3499" s="4"/>
    </row>
    <row r="3500" spans="17:24" x14ac:dyDescent="0.3">
      <c r="Q3500" s="4"/>
      <c r="R3500" s="4"/>
      <c r="S3500" s="4"/>
      <c r="T3500" s="4"/>
      <c r="U3500" s="4"/>
      <c r="V3500" s="4"/>
      <c r="W3500" s="4"/>
      <c r="X3500" s="4"/>
    </row>
    <row r="3501" spans="17:24" x14ac:dyDescent="0.3">
      <c r="Q3501" s="4"/>
      <c r="R3501" s="4"/>
      <c r="S3501" s="4"/>
      <c r="T3501" s="4"/>
      <c r="U3501" s="4"/>
      <c r="V3501" s="4"/>
      <c r="W3501" s="4"/>
      <c r="X3501" s="4"/>
    </row>
    <row r="3502" spans="17:24" x14ac:dyDescent="0.3">
      <c r="Q3502" s="4"/>
      <c r="R3502" s="4"/>
      <c r="S3502" s="4"/>
      <c r="T3502" s="4"/>
      <c r="U3502" s="4"/>
      <c r="V3502" s="4"/>
      <c r="W3502" s="4"/>
      <c r="X3502" s="4"/>
    </row>
    <row r="3503" spans="17:24" x14ac:dyDescent="0.3">
      <c r="Q3503" s="4"/>
      <c r="R3503" s="4"/>
      <c r="S3503" s="4"/>
      <c r="T3503" s="4"/>
      <c r="U3503" s="4"/>
      <c r="V3503" s="4"/>
      <c r="W3503" s="4"/>
      <c r="X3503" s="4"/>
    </row>
    <row r="3504" spans="17:24" x14ac:dyDescent="0.3">
      <c r="Q3504" s="4"/>
      <c r="R3504" s="4"/>
      <c r="S3504" s="4"/>
      <c r="T3504" s="4"/>
      <c r="U3504" s="4"/>
      <c r="V3504" s="4"/>
      <c r="W3504" s="4"/>
      <c r="X3504" s="4"/>
    </row>
    <row r="3505" spans="17:24" x14ac:dyDescent="0.3">
      <c r="Q3505" s="4"/>
      <c r="R3505" s="4"/>
      <c r="S3505" s="4"/>
      <c r="T3505" s="4"/>
      <c r="U3505" s="4"/>
      <c r="V3505" s="4"/>
      <c r="W3505" s="4"/>
      <c r="X3505" s="4"/>
    </row>
    <row r="3506" spans="17:24" x14ac:dyDescent="0.3">
      <c r="Q3506" s="4"/>
      <c r="R3506" s="4"/>
      <c r="S3506" s="4"/>
      <c r="T3506" s="4"/>
      <c r="U3506" s="4"/>
      <c r="V3506" s="4"/>
      <c r="W3506" s="4"/>
      <c r="X3506" s="4"/>
    </row>
    <row r="3507" spans="17:24" x14ac:dyDescent="0.3">
      <c r="Q3507" s="4"/>
      <c r="R3507" s="4"/>
      <c r="S3507" s="4"/>
      <c r="T3507" s="4"/>
      <c r="U3507" s="4"/>
      <c r="V3507" s="4"/>
      <c r="W3507" s="4"/>
      <c r="X3507" s="4"/>
    </row>
    <row r="3508" spans="17:24" x14ac:dyDescent="0.3">
      <c r="Q3508" s="4"/>
      <c r="R3508" s="4"/>
      <c r="S3508" s="4"/>
      <c r="T3508" s="4"/>
      <c r="U3508" s="4"/>
      <c r="V3508" s="4"/>
      <c r="W3508" s="4"/>
      <c r="X3508" s="4"/>
    </row>
    <row r="3509" spans="17:24" x14ac:dyDescent="0.3">
      <c r="Q3509" s="4"/>
      <c r="R3509" s="4"/>
      <c r="S3509" s="4"/>
      <c r="T3509" s="4"/>
      <c r="U3509" s="4"/>
      <c r="V3509" s="4"/>
      <c r="W3509" s="4"/>
      <c r="X3509" s="4"/>
    </row>
    <row r="3510" spans="17:24" x14ac:dyDescent="0.3">
      <c r="Q3510" s="4"/>
      <c r="R3510" s="4"/>
      <c r="S3510" s="4"/>
      <c r="T3510" s="4"/>
      <c r="U3510" s="4"/>
      <c r="V3510" s="4"/>
      <c r="W3510" s="4"/>
      <c r="X3510" s="4"/>
    </row>
    <row r="3511" spans="17:24" x14ac:dyDescent="0.3">
      <c r="Q3511" s="4"/>
      <c r="R3511" s="4"/>
      <c r="S3511" s="4"/>
      <c r="T3511" s="4"/>
      <c r="U3511" s="4"/>
      <c r="V3511" s="4"/>
      <c r="W3511" s="4"/>
      <c r="X3511" s="4"/>
    </row>
    <row r="3512" spans="17:24" x14ac:dyDescent="0.3">
      <c r="Q3512" s="4"/>
      <c r="R3512" s="4"/>
      <c r="S3512" s="4"/>
      <c r="T3512" s="4"/>
      <c r="U3512" s="4"/>
      <c r="V3512" s="4"/>
      <c r="W3512" s="4"/>
      <c r="X3512" s="4"/>
    </row>
    <row r="3513" spans="17:24" x14ac:dyDescent="0.3">
      <c r="Q3513" s="4"/>
      <c r="R3513" s="4"/>
      <c r="S3513" s="4"/>
      <c r="T3513" s="4"/>
      <c r="U3513" s="4"/>
      <c r="V3513" s="4"/>
      <c r="W3513" s="4"/>
      <c r="X3513" s="4"/>
    </row>
    <row r="3514" spans="17:24" x14ac:dyDescent="0.3">
      <c r="Q3514" s="4"/>
      <c r="R3514" s="4"/>
      <c r="S3514" s="4"/>
      <c r="T3514" s="4"/>
      <c r="U3514" s="4"/>
      <c r="V3514" s="4"/>
      <c r="W3514" s="4"/>
      <c r="X3514" s="4"/>
    </row>
    <row r="3515" spans="17:24" x14ac:dyDescent="0.3">
      <c r="Q3515" s="4"/>
      <c r="R3515" s="4"/>
      <c r="S3515" s="4"/>
      <c r="T3515" s="4"/>
      <c r="U3515" s="4"/>
      <c r="V3515" s="4"/>
      <c r="W3515" s="4"/>
      <c r="X3515" s="4"/>
    </row>
    <row r="3516" spans="17:24" x14ac:dyDescent="0.3">
      <c r="Q3516" s="4"/>
      <c r="R3516" s="4"/>
      <c r="S3516" s="4"/>
      <c r="T3516" s="4"/>
      <c r="U3516" s="4"/>
      <c r="V3516" s="4"/>
      <c r="W3516" s="4"/>
      <c r="X3516" s="4"/>
    </row>
    <row r="3517" spans="17:24" x14ac:dyDescent="0.3">
      <c r="Q3517" s="4"/>
      <c r="R3517" s="4"/>
      <c r="S3517" s="4"/>
      <c r="T3517" s="4"/>
      <c r="U3517" s="4"/>
      <c r="V3517" s="4"/>
      <c r="W3517" s="4"/>
      <c r="X3517" s="4"/>
    </row>
    <row r="3518" spans="17:24" x14ac:dyDescent="0.3">
      <c r="Q3518" s="4"/>
      <c r="R3518" s="4"/>
      <c r="S3518" s="4"/>
      <c r="T3518" s="4"/>
      <c r="U3518" s="4"/>
      <c r="V3518" s="4"/>
      <c r="W3518" s="4"/>
      <c r="X3518" s="4"/>
    </row>
    <row r="3519" spans="17:24" x14ac:dyDescent="0.3">
      <c r="Q3519" s="4"/>
      <c r="R3519" s="4"/>
      <c r="S3519" s="4"/>
      <c r="T3519" s="4"/>
      <c r="U3519" s="4"/>
      <c r="V3519" s="4"/>
      <c r="W3519" s="4"/>
      <c r="X3519" s="4"/>
    </row>
    <row r="3520" spans="17:24" x14ac:dyDescent="0.3">
      <c r="Q3520" s="4"/>
      <c r="R3520" s="4"/>
      <c r="S3520" s="4"/>
      <c r="T3520" s="4"/>
      <c r="U3520" s="4"/>
      <c r="V3520" s="4"/>
      <c r="W3520" s="4"/>
      <c r="X3520" s="4"/>
    </row>
    <row r="3521" spans="17:24" x14ac:dyDescent="0.3">
      <c r="Q3521" s="4"/>
      <c r="R3521" s="4"/>
      <c r="S3521" s="4"/>
      <c r="T3521" s="4"/>
      <c r="U3521" s="4"/>
      <c r="V3521" s="4"/>
      <c r="W3521" s="4"/>
      <c r="X3521" s="4"/>
    </row>
    <row r="3522" spans="17:24" x14ac:dyDescent="0.3">
      <c r="Q3522" s="4"/>
      <c r="R3522" s="4"/>
      <c r="S3522" s="4"/>
      <c r="T3522" s="4"/>
      <c r="U3522" s="4"/>
      <c r="V3522" s="4"/>
      <c r="W3522" s="4"/>
      <c r="X3522" s="4"/>
    </row>
    <row r="3523" spans="17:24" x14ac:dyDescent="0.3">
      <c r="Q3523" s="4"/>
      <c r="R3523" s="4"/>
      <c r="S3523" s="4"/>
      <c r="T3523" s="4"/>
      <c r="U3523" s="4"/>
      <c r="V3523" s="4"/>
      <c r="W3523" s="4"/>
      <c r="X3523" s="4"/>
    </row>
    <row r="3524" spans="17:24" x14ac:dyDescent="0.3">
      <c r="Q3524" s="4"/>
      <c r="R3524" s="4"/>
      <c r="S3524" s="4"/>
      <c r="T3524" s="4"/>
      <c r="U3524" s="4"/>
      <c r="V3524" s="4"/>
      <c r="W3524" s="4"/>
      <c r="X3524" s="4"/>
    </row>
    <row r="3525" spans="17:24" x14ac:dyDescent="0.3">
      <c r="Q3525" s="4"/>
      <c r="R3525" s="4"/>
      <c r="S3525" s="4"/>
      <c r="T3525" s="4"/>
      <c r="U3525" s="4"/>
      <c r="V3525" s="4"/>
      <c r="W3525" s="4"/>
      <c r="X3525" s="4"/>
    </row>
    <row r="3526" spans="17:24" x14ac:dyDescent="0.3">
      <c r="Q3526" s="4"/>
      <c r="R3526" s="4"/>
      <c r="S3526" s="4"/>
      <c r="T3526" s="4"/>
      <c r="U3526" s="4"/>
      <c r="V3526" s="4"/>
      <c r="W3526" s="4"/>
      <c r="X3526" s="4"/>
    </row>
    <row r="3527" spans="17:24" x14ac:dyDescent="0.3">
      <c r="Q3527" s="4"/>
      <c r="R3527" s="4"/>
      <c r="S3527" s="4"/>
      <c r="T3527" s="4"/>
      <c r="U3527" s="4"/>
      <c r="V3527" s="4"/>
      <c r="W3527" s="4"/>
      <c r="X3527" s="4"/>
    </row>
    <row r="3528" spans="17:24" x14ac:dyDescent="0.3">
      <c r="Q3528" s="4"/>
      <c r="R3528" s="4"/>
      <c r="S3528" s="4"/>
      <c r="T3528" s="4"/>
      <c r="U3528" s="4"/>
      <c r="V3528" s="4"/>
      <c r="W3528" s="4"/>
      <c r="X3528" s="4"/>
    </row>
    <row r="3529" spans="17:24" x14ac:dyDescent="0.3">
      <c r="Q3529" s="4"/>
      <c r="R3529" s="4"/>
      <c r="S3529" s="4"/>
      <c r="T3529" s="4"/>
      <c r="U3529" s="4"/>
      <c r="V3529" s="4"/>
      <c r="W3529" s="4"/>
      <c r="X3529" s="4"/>
    </row>
    <row r="3530" spans="17:24" x14ac:dyDescent="0.3">
      <c r="Q3530" s="4"/>
      <c r="R3530" s="4"/>
      <c r="S3530" s="4"/>
      <c r="T3530" s="4"/>
      <c r="U3530" s="4"/>
      <c r="V3530" s="4"/>
      <c r="W3530" s="4"/>
      <c r="X3530" s="4"/>
    </row>
    <row r="3531" spans="17:24" x14ac:dyDescent="0.3">
      <c r="Q3531" s="4"/>
      <c r="R3531" s="4"/>
      <c r="S3531" s="4"/>
      <c r="T3531" s="4"/>
      <c r="U3531" s="4"/>
      <c r="V3531" s="4"/>
      <c r="W3531" s="4"/>
      <c r="X3531" s="4"/>
    </row>
    <row r="3532" spans="17:24" x14ac:dyDescent="0.3">
      <c r="Q3532" s="4"/>
      <c r="R3532" s="4"/>
      <c r="S3532" s="4"/>
      <c r="T3532" s="4"/>
      <c r="U3532" s="4"/>
      <c r="V3532" s="4"/>
      <c r="W3532" s="4"/>
      <c r="X3532" s="4"/>
    </row>
    <row r="3533" spans="17:24" x14ac:dyDescent="0.3">
      <c r="Q3533" s="4"/>
      <c r="R3533" s="4"/>
      <c r="S3533" s="4"/>
      <c r="T3533" s="4"/>
      <c r="U3533" s="4"/>
      <c r="V3533" s="4"/>
      <c r="W3533" s="4"/>
      <c r="X3533" s="4"/>
    </row>
    <row r="3534" spans="17:24" x14ac:dyDescent="0.3">
      <c r="Q3534" s="4"/>
      <c r="R3534" s="4"/>
      <c r="S3534" s="4"/>
      <c r="T3534" s="4"/>
      <c r="U3534" s="4"/>
      <c r="V3534" s="4"/>
      <c r="W3534" s="4"/>
      <c r="X3534" s="4"/>
    </row>
    <row r="3535" spans="17:24" x14ac:dyDescent="0.3">
      <c r="Q3535" s="4"/>
      <c r="R3535" s="4"/>
      <c r="S3535" s="4"/>
      <c r="T3535" s="4"/>
      <c r="U3535" s="4"/>
      <c r="V3535" s="4"/>
      <c r="W3535" s="4"/>
      <c r="X3535" s="4"/>
    </row>
    <row r="3536" spans="17:24" x14ac:dyDescent="0.3">
      <c r="Q3536" s="4"/>
      <c r="R3536" s="4"/>
      <c r="S3536" s="4"/>
      <c r="T3536" s="4"/>
      <c r="U3536" s="4"/>
      <c r="V3536" s="4"/>
      <c r="W3536" s="4"/>
      <c r="X3536" s="4"/>
    </row>
    <row r="3537" spans="17:24" x14ac:dyDescent="0.3">
      <c r="Q3537" s="4"/>
      <c r="R3537" s="4"/>
      <c r="S3537" s="4"/>
      <c r="T3537" s="4"/>
      <c r="U3537" s="4"/>
      <c r="V3537" s="4"/>
      <c r="W3537" s="4"/>
      <c r="X3537" s="4"/>
    </row>
    <row r="3538" spans="17:24" x14ac:dyDescent="0.3">
      <c r="Q3538" s="4"/>
      <c r="R3538" s="4"/>
      <c r="S3538" s="4"/>
      <c r="T3538" s="4"/>
      <c r="U3538" s="4"/>
      <c r="V3538" s="4"/>
      <c r="W3538" s="4"/>
      <c r="X3538" s="4"/>
    </row>
    <row r="3539" spans="17:24" x14ac:dyDescent="0.3">
      <c r="Q3539" s="4"/>
      <c r="R3539" s="4"/>
      <c r="S3539" s="4"/>
      <c r="T3539" s="4"/>
      <c r="U3539" s="4"/>
      <c r="V3539" s="4"/>
      <c r="W3539" s="4"/>
      <c r="X3539" s="4"/>
    </row>
    <row r="3540" spans="17:24" x14ac:dyDescent="0.3">
      <c r="Q3540" s="4"/>
      <c r="R3540" s="4"/>
      <c r="S3540" s="4"/>
      <c r="T3540" s="4"/>
      <c r="U3540" s="4"/>
      <c r="V3540" s="4"/>
      <c r="W3540" s="4"/>
      <c r="X3540" s="4"/>
    </row>
    <row r="3541" spans="17:24" x14ac:dyDescent="0.3">
      <c r="Q3541" s="4"/>
      <c r="R3541" s="4"/>
      <c r="S3541" s="4"/>
      <c r="T3541" s="4"/>
      <c r="U3541" s="4"/>
      <c r="V3541" s="4"/>
      <c r="W3541" s="4"/>
      <c r="X3541" s="4"/>
    </row>
    <row r="3542" spans="17:24" x14ac:dyDescent="0.3">
      <c r="Q3542" s="4"/>
      <c r="R3542" s="4"/>
      <c r="S3542" s="4"/>
      <c r="T3542" s="4"/>
      <c r="U3542" s="4"/>
      <c r="V3542" s="4"/>
      <c r="W3542" s="4"/>
      <c r="X3542" s="4"/>
    </row>
    <row r="3543" spans="17:24" x14ac:dyDescent="0.3">
      <c r="Q3543" s="4"/>
      <c r="R3543" s="4"/>
      <c r="S3543" s="4"/>
      <c r="T3543" s="4"/>
      <c r="U3543" s="4"/>
      <c r="V3543" s="4"/>
      <c r="W3543" s="4"/>
      <c r="X3543" s="4"/>
    </row>
    <row r="3544" spans="17:24" x14ac:dyDescent="0.3">
      <c r="Q3544" s="4"/>
      <c r="R3544" s="4"/>
      <c r="S3544" s="4"/>
      <c r="T3544" s="4"/>
      <c r="U3544" s="4"/>
      <c r="V3544" s="4"/>
      <c r="W3544" s="4"/>
      <c r="X3544" s="4"/>
    </row>
    <row r="3545" spans="17:24" x14ac:dyDescent="0.3">
      <c r="Q3545" s="4"/>
      <c r="R3545" s="4"/>
      <c r="S3545" s="4"/>
      <c r="T3545" s="4"/>
      <c r="U3545" s="4"/>
      <c r="V3545" s="4"/>
      <c r="W3545" s="4"/>
      <c r="X3545" s="4"/>
    </row>
    <row r="3546" spans="17:24" x14ac:dyDescent="0.3">
      <c r="Q3546" s="4"/>
      <c r="R3546" s="4"/>
      <c r="S3546" s="4"/>
      <c r="T3546" s="4"/>
      <c r="U3546" s="4"/>
      <c r="V3546" s="4"/>
      <c r="W3546" s="4"/>
      <c r="X3546" s="4"/>
    </row>
    <row r="3547" spans="17:24" x14ac:dyDescent="0.3">
      <c r="Q3547" s="4"/>
      <c r="R3547" s="4"/>
      <c r="S3547" s="4"/>
      <c r="T3547" s="4"/>
      <c r="U3547" s="4"/>
      <c r="V3547" s="4"/>
      <c r="W3547" s="4"/>
      <c r="X3547" s="4"/>
    </row>
    <row r="3548" spans="17:24" x14ac:dyDescent="0.3">
      <c r="Q3548" s="4"/>
      <c r="R3548" s="4"/>
      <c r="S3548" s="4"/>
      <c r="T3548" s="4"/>
      <c r="U3548" s="4"/>
      <c r="V3548" s="4"/>
      <c r="W3548" s="4"/>
      <c r="X3548" s="4"/>
    </row>
    <row r="3549" spans="17:24" x14ac:dyDescent="0.3">
      <c r="Q3549" s="4"/>
      <c r="R3549" s="4"/>
      <c r="S3549" s="4"/>
      <c r="T3549" s="4"/>
      <c r="U3549" s="4"/>
      <c r="V3549" s="4"/>
      <c r="W3549" s="4"/>
      <c r="X3549" s="4"/>
    </row>
    <row r="3550" spans="17:24" x14ac:dyDescent="0.3">
      <c r="Q3550" s="4"/>
      <c r="R3550" s="4"/>
      <c r="S3550" s="4"/>
      <c r="T3550" s="4"/>
      <c r="U3550" s="4"/>
      <c r="V3550" s="4"/>
      <c r="W3550" s="4"/>
      <c r="X3550" s="4"/>
    </row>
    <row r="3551" spans="17:24" x14ac:dyDescent="0.3">
      <c r="Q3551" s="4"/>
      <c r="R3551" s="4"/>
      <c r="S3551" s="4"/>
      <c r="T3551" s="4"/>
      <c r="U3551" s="4"/>
      <c r="V3551" s="4"/>
      <c r="W3551" s="4"/>
      <c r="X3551" s="4"/>
    </row>
    <row r="3552" spans="17:24" x14ac:dyDescent="0.3">
      <c r="Q3552" s="4"/>
      <c r="R3552" s="4"/>
      <c r="S3552" s="4"/>
      <c r="T3552" s="4"/>
      <c r="U3552" s="4"/>
      <c r="V3552" s="4"/>
      <c r="W3552" s="4"/>
      <c r="X3552" s="4"/>
    </row>
    <row r="3553" spans="17:24" x14ac:dyDescent="0.3">
      <c r="Q3553" s="4"/>
      <c r="R3553" s="4"/>
      <c r="S3553" s="4"/>
      <c r="T3553" s="4"/>
      <c r="U3553" s="4"/>
      <c r="V3553" s="4"/>
      <c r="W3553" s="4"/>
      <c r="X3553" s="4"/>
    </row>
    <row r="3554" spans="17:24" x14ac:dyDescent="0.3">
      <c r="Q3554" s="4"/>
      <c r="R3554" s="4"/>
      <c r="S3554" s="4"/>
      <c r="T3554" s="4"/>
      <c r="U3554" s="4"/>
      <c r="V3554" s="4"/>
      <c r="W3554" s="4"/>
      <c r="X3554" s="4"/>
    </row>
    <row r="3555" spans="17:24" x14ac:dyDescent="0.3">
      <c r="Q3555" s="4"/>
      <c r="R3555" s="4"/>
      <c r="S3555" s="4"/>
      <c r="T3555" s="4"/>
      <c r="U3555" s="4"/>
      <c r="V3555" s="4"/>
      <c r="W3555" s="4"/>
      <c r="X3555" s="4"/>
    </row>
    <row r="3556" spans="17:24" x14ac:dyDescent="0.3">
      <c r="Q3556" s="4"/>
      <c r="R3556" s="4"/>
      <c r="S3556" s="4"/>
      <c r="T3556" s="4"/>
      <c r="U3556" s="4"/>
      <c r="V3556" s="4"/>
      <c r="W3556" s="4"/>
      <c r="X3556" s="4"/>
    </row>
    <row r="3557" spans="17:24" x14ac:dyDescent="0.3">
      <c r="Q3557" s="4"/>
      <c r="R3557" s="4"/>
      <c r="S3557" s="4"/>
      <c r="T3557" s="4"/>
      <c r="U3557" s="4"/>
      <c r="V3557" s="4"/>
      <c r="W3557" s="4"/>
      <c r="X3557" s="4"/>
    </row>
    <row r="3558" spans="17:24" x14ac:dyDescent="0.3">
      <c r="Q3558" s="4"/>
      <c r="R3558" s="4"/>
      <c r="S3558" s="4"/>
      <c r="T3558" s="4"/>
      <c r="U3558" s="4"/>
      <c r="V3558" s="4"/>
      <c r="W3558" s="4"/>
      <c r="X3558" s="4"/>
    </row>
    <row r="3559" spans="17:24" x14ac:dyDescent="0.3">
      <c r="Q3559" s="4"/>
      <c r="R3559" s="4"/>
      <c r="S3559" s="4"/>
      <c r="T3559" s="4"/>
      <c r="U3559" s="4"/>
      <c r="V3559" s="4"/>
      <c r="W3559" s="4"/>
      <c r="X3559" s="4"/>
    </row>
    <row r="3560" spans="17:24" x14ac:dyDescent="0.3">
      <c r="Q3560" s="4"/>
      <c r="R3560" s="4"/>
      <c r="S3560" s="4"/>
      <c r="T3560" s="4"/>
      <c r="U3560" s="4"/>
      <c r="V3560" s="4"/>
      <c r="W3560" s="4"/>
      <c r="X3560" s="4"/>
    </row>
    <row r="3561" spans="17:24" x14ac:dyDescent="0.3">
      <c r="Q3561" s="4"/>
      <c r="R3561" s="4"/>
      <c r="S3561" s="4"/>
      <c r="T3561" s="4"/>
      <c r="U3561" s="4"/>
      <c r="V3561" s="4"/>
      <c r="W3561" s="4"/>
      <c r="X3561" s="4"/>
    </row>
    <row r="3562" spans="17:24" x14ac:dyDescent="0.3">
      <c r="Q3562" s="4"/>
      <c r="R3562" s="4"/>
      <c r="S3562" s="4"/>
      <c r="T3562" s="4"/>
      <c r="U3562" s="4"/>
      <c r="V3562" s="4"/>
      <c r="W3562" s="4"/>
      <c r="X3562" s="4"/>
    </row>
    <row r="3563" spans="17:24" x14ac:dyDescent="0.3">
      <c r="Q3563" s="4"/>
      <c r="R3563" s="4"/>
      <c r="S3563" s="4"/>
      <c r="T3563" s="4"/>
      <c r="U3563" s="4"/>
      <c r="V3563" s="4"/>
      <c r="W3563" s="4"/>
      <c r="X3563" s="4"/>
    </row>
    <row r="3564" spans="17:24" x14ac:dyDescent="0.3">
      <c r="Q3564" s="4"/>
      <c r="R3564" s="4"/>
      <c r="S3564" s="4"/>
      <c r="T3564" s="4"/>
      <c r="U3564" s="4"/>
      <c r="V3564" s="4"/>
      <c r="W3564" s="4"/>
      <c r="X3564" s="4"/>
    </row>
    <row r="3565" spans="17:24" x14ac:dyDescent="0.3">
      <c r="Q3565" s="4"/>
      <c r="R3565" s="4"/>
      <c r="S3565" s="4"/>
      <c r="T3565" s="4"/>
      <c r="U3565" s="4"/>
      <c r="V3565" s="4"/>
      <c r="W3565" s="4"/>
      <c r="X3565" s="4"/>
    </row>
    <row r="3566" spans="17:24" x14ac:dyDescent="0.3">
      <c r="Q3566" s="4"/>
      <c r="R3566" s="4"/>
      <c r="S3566" s="4"/>
      <c r="T3566" s="4"/>
      <c r="U3566" s="4"/>
      <c r="V3566" s="4"/>
      <c r="W3566" s="4"/>
      <c r="X3566" s="4"/>
    </row>
    <row r="3567" spans="17:24" x14ac:dyDescent="0.3">
      <c r="Q3567" s="4"/>
      <c r="R3567" s="4"/>
      <c r="S3567" s="4"/>
      <c r="T3567" s="4"/>
      <c r="U3567" s="4"/>
      <c r="V3567" s="4"/>
      <c r="W3567" s="4"/>
      <c r="X3567" s="4"/>
    </row>
    <row r="3568" spans="17:24" x14ac:dyDescent="0.3">
      <c r="Q3568" s="4"/>
      <c r="R3568" s="4"/>
      <c r="S3568" s="4"/>
      <c r="T3568" s="4"/>
      <c r="U3568" s="4"/>
      <c r="V3568" s="4"/>
      <c r="W3568" s="4"/>
      <c r="X3568" s="4"/>
    </row>
    <row r="3569" spans="17:24" x14ac:dyDescent="0.3">
      <c r="Q3569" s="4"/>
      <c r="R3569" s="4"/>
      <c r="S3569" s="4"/>
      <c r="T3569" s="4"/>
      <c r="U3569" s="4"/>
      <c r="V3569" s="4"/>
      <c r="W3569" s="4"/>
      <c r="X3569" s="4"/>
    </row>
    <row r="3570" spans="17:24" x14ac:dyDescent="0.3">
      <c r="Q3570" s="4"/>
      <c r="R3570" s="4"/>
      <c r="S3570" s="4"/>
      <c r="T3570" s="4"/>
      <c r="U3570" s="4"/>
      <c r="V3570" s="4"/>
      <c r="W3570" s="4"/>
      <c r="X3570" s="4"/>
    </row>
    <row r="3571" spans="17:24" x14ac:dyDescent="0.3">
      <c r="Q3571" s="4"/>
      <c r="R3571" s="4"/>
      <c r="S3571" s="4"/>
      <c r="T3571" s="4"/>
      <c r="U3571" s="4"/>
      <c r="V3571" s="4"/>
      <c r="W3571" s="4"/>
      <c r="X3571" s="4"/>
    </row>
    <row r="3572" spans="17:24" x14ac:dyDescent="0.3">
      <c r="Q3572" s="4"/>
      <c r="R3572" s="4"/>
      <c r="S3572" s="4"/>
      <c r="T3572" s="4"/>
      <c r="U3572" s="4"/>
      <c r="V3572" s="4"/>
      <c r="W3572" s="4"/>
      <c r="X3572" s="4"/>
    </row>
    <row r="3573" spans="17:24" x14ac:dyDescent="0.3">
      <c r="Q3573" s="4"/>
      <c r="R3573" s="4"/>
      <c r="S3573" s="4"/>
      <c r="T3573" s="4"/>
      <c r="U3573" s="4"/>
      <c r="V3573" s="4"/>
      <c r="W3573" s="4"/>
      <c r="X3573" s="4"/>
    </row>
    <row r="3574" spans="17:24" x14ac:dyDescent="0.3">
      <c r="Q3574" s="4"/>
      <c r="R3574" s="4"/>
      <c r="S3574" s="4"/>
      <c r="T3574" s="4"/>
      <c r="U3574" s="4"/>
      <c r="V3574" s="4"/>
      <c r="W3574" s="4"/>
      <c r="X3574" s="4"/>
    </row>
    <row r="3575" spans="17:24" x14ac:dyDescent="0.3">
      <c r="Q3575" s="4"/>
      <c r="R3575" s="4"/>
      <c r="S3575" s="4"/>
      <c r="T3575" s="4"/>
      <c r="U3575" s="4"/>
      <c r="V3575" s="4"/>
      <c r="W3575" s="4"/>
      <c r="X3575" s="4"/>
    </row>
    <row r="3576" spans="17:24" x14ac:dyDescent="0.3">
      <c r="Q3576" s="4"/>
      <c r="R3576" s="4"/>
      <c r="S3576" s="4"/>
      <c r="T3576" s="4"/>
      <c r="U3576" s="4"/>
      <c r="V3576" s="4"/>
      <c r="W3576" s="4"/>
      <c r="X3576" s="4"/>
    </row>
    <row r="3577" spans="17:24" x14ac:dyDescent="0.3">
      <c r="Q3577" s="4"/>
      <c r="R3577" s="4"/>
      <c r="S3577" s="4"/>
      <c r="T3577" s="4"/>
      <c r="U3577" s="4"/>
      <c r="V3577" s="4"/>
      <c r="W3577" s="4"/>
      <c r="X3577" s="4"/>
    </row>
    <row r="3578" spans="17:24" x14ac:dyDescent="0.3">
      <c r="Q3578" s="4"/>
      <c r="R3578" s="4"/>
      <c r="S3578" s="4"/>
      <c r="T3578" s="4"/>
      <c r="U3578" s="4"/>
      <c r="V3578" s="4"/>
      <c r="W3578" s="4"/>
      <c r="X3578" s="4"/>
    </row>
    <row r="3579" spans="17:24" x14ac:dyDescent="0.3">
      <c r="Q3579" s="4"/>
      <c r="R3579" s="4"/>
      <c r="S3579" s="4"/>
      <c r="T3579" s="4"/>
      <c r="U3579" s="4"/>
      <c r="V3579" s="4"/>
      <c r="W3579" s="4"/>
      <c r="X3579" s="4"/>
    </row>
    <row r="3580" spans="17:24" x14ac:dyDescent="0.3">
      <c r="Q3580" s="4"/>
      <c r="R3580" s="4"/>
      <c r="S3580" s="4"/>
      <c r="T3580" s="4"/>
      <c r="U3580" s="4"/>
      <c r="V3580" s="4"/>
      <c r="W3580" s="4"/>
      <c r="X3580" s="4"/>
    </row>
    <row r="3581" spans="17:24" x14ac:dyDescent="0.3">
      <c r="Q3581" s="4"/>
      <c r="R3581" s="4"/>
      <c r="S3581" s="4"/>
      <c r="T3581" s="4"/>
      <c r="U3581" s="4"/>
      <c r="V3581" s="4"/>
      <c r="W3581" s="4"/>
      <c r="X3581" s="4"/>
    </row>
    <row r="3582" spans="17:24" x14ac:dyDescent="0.3">
      <c r="Q3582" s="4"/>
      <c r="R3582" s="4"/>
      <c r="S3582" s="4"/>
      <c r="T3582" s="4"/>
      <c r="U3582" s="4"/>
      <c r="V3582" s="4"/>
      <c r="W3582" s="4"/>
      <c r="X3582" s="4"/>
    </row>
    <row r="3583" spans="17:24" x14ac:dyDescent="0.3">
      <c r="Q3583" s="4"/>
      <c r="R3583" s="4"/>
      <c r="S3583" s="4"/>
      <c r="T3583" s="4"/>
      <c r="U3583" s="4"/>
      <c r="V3583" s="4"/>
      <c r="W3583" s="4"/>
      <c r="X3583" s="4"/>
    </row>
    <row r="3584" spans="17:24" x14ac:dyDescent="0.3">
      <c r="Q3584" s="4"/>
      <c r="R3584" s="4"/>
      <c r="S3584" s="4"/>
      <c r="T3584" s="4"/>
      <c r="U3584" s="4"/>
      <c r="V3584" s="4"/>
      <c r="W3584" s="4"/>
      <c r="X3584" s="4"/>
    </row>
    <row r="3585" spans="17:24" x14ac:dyDescent="0.3">
      <c r="Q3585" s="4"/>
      <c r="R3585" s="4"/>
      <c r="S3585" s="4"/>
      <c r="T3585" s="4"/>
      <c r="U3585" s="4"/>
      <c r="V3585" s="4"/>
      <c r="W3585" s="4"/>
      <c r="X3585" s="4"/>
    </row>
    <row r="3586" spans="17:24" x14ac:dyDescent="0.3">
      <c r="Q3586" s="4"/>
      <c r="R3586" s="4"/>
      <c r="S3586" s="4"/>
      <c r="T3586" s="4"/>
      <c r="U3586" s="4"/>
      <c r="V3586" s="4"/>
      <c r="W3586" s="4"/>
      <c r="X3586" s="4"/>
    </row>
    <row r="3587" spans="17:24" x14ac:dyDescent="0.3">
      <c r="Q3587" s="4"/>
      <c r="R3587" s="4"/>
      <c r="S3587" s="4"/>
      <c r="T3587" s="4"/>
      <c r="U3587" s="4"/>
      <c r="V3587" s="4"/>
      <c r="W3587" s="4"/>
      <c r="X3587" s="4"/>
    </row>
    <row r="3588" spans="17:24" x14ac:dyDescent="0.3">
      <c r="Q3588" s="4"/>
      <c r="R3588" s="4"/>
      <c r="S3588" s="4"/>
      <c r="T3588" s="4"/>
      <c r="U3588" s="4"/>
      <c r="V3588" s="4"/>
      <c r="W3588" s="4"/>
      <c r="X3588" s="4"/>
    </row>
    <row r="3589" spans="17:24" x14ac:dyDescent="0.3">
      <c r="Q3589" s="4"/>
      <c r="R3589" s="4"/>
      <c r="S3589" s="4"/>
      <c r="T3589" s="4"/>
      <c r="U3589" s="4"/>
      <c r="V3589" s="4"/>
      <c r="W3589" s="4"/>
      <c r="X3589" s="4"/>
    </row>
    <row r="3590" spans="17:24" x14ac:dyDescent="0.3">
      <c r="Q3590" s="4"/>
      <c r="R3590" s="4"/>
      <c r="S3590" s="4"/>
      <c r="T3590" s="4"/>
      <c r="U3590" s="4"/>
      <c r="V3590" s="4"/>
      <c r="W3590" s="4"/>
      <c r="X3590" s="4"/>
    </row>
    <row r="3591" spans="17:24" x14ac:dyDescent="0.3">
      <c r="Q3591" s="4"/>
      <c r="R3591" s="4"/>
      <c r="S3591" s="4"/>
      <c r="T3591" s="4"/>
      <c r="U3591" s="4"/>
      <c r="V3591" s="4"/>
      <c r="W3591" s="4"/>
      <c r="X3591" s="4"/>
    </row>
    <row r="3592" spans="17:24" x14ac:dyDescent="0.3">
      <c r="Q3592" s="4"/>
      <c r="R3592" s="4"/>
      <c r="S3592" s="4"/>
      <c r="T3592" s="4"/>
      <c r="U3592" s="4"/>
      <c r="V3592" s="4"/>
      <c r="W3592" s="4"/>
      <c r="X3592" s="4"/>
    </row>
    <row r="3593" spans="17:24" x14ac:dyDescent="0.3">
      <c r="Q3593" s="4"/>
      <c r="R3593" s="4"/>
      <c r="S3593" s="4"/>
      <c r="T3593" s="4"/>
      <c r="U3593" s="4"/>
      <c r="V3593" s="4"/>
      <c r="W3593" s="4"/>
      <c r="X3593" s="4"/>
    </row>
    <row r="3594" spans="17:24" x14ac:dyDescent="0.3">
      <c r="Q3594" s="4"/>
      <c r="R3594" s="4"/>
      <c r="S3594" s="4"/>
      <c r="T3594" s="4"/>
      <c r="U3594" s="4"/>
      <c r="V3594" s="4"/>
      <c r="W3594" s="4"/>
      <c r="X3594" s="4"/>
    </row>
    <row r="3595" spans="17:24" x14ac:dyDescent="0.3">
      <c r="Q3595" s="4"/>
      <c r="R3595" s="4"/>
      <c r="S3595" s="4"/>
      <c r="T3595" s="4"/>
      <c r="U3595" s="4"/>
      <c r="V3595" s="4"/>
      <c r="W3595" s="4"/>
      <c r="X3595" s="4"/>
    </row>
    <row r="3596" spans="17:24" x14ac:dyDescent="0.3">
      <c r="Q3596" s="4"/>
      <c r="R3596" s="4"/>
      <c r="S3596" s="4"/>
      <c r="T3596" s="4"/>
      <c r="U3596" s="4"/>
      <c r="V3596" s="4"/>
      <c r="W3596" s="4"/>
      <c r="X3596" s="4"/>
    </row>
    <row r="3597" spans="17:24" x14ac:dyDescent="0.3">
      <c r="Q3597" s="4"/>
      <c r="R3597" s="4"/>
      <c r="S3597" s="4"/>
      <c r="T3597" s="4"/>
      <c r="U3597" s="4"/>
      <c r="V3597" s="4"/>
      <c r="W3597" s="4"/>
      <c r="X3597" s="4"/>
    </row>
    <row r="3598" spans="17:24" x14ac:dyDescent="0.3">
      <c r="Q3598" s="4"/>
      <c r="R3598" s="4"/>
      <c r="S3598" s="4"/>
      <c r="T3598" s="4"/>
      <c r="U3598" s="4"/>
      <c r="V3598" s="4"/>
      <c r="W3598" s="4"/>
      <c r="X3598" s="4"/>
    </row>
    <row r="3599" spans="17:24" x14ac:dyDescent="0.3">
      <c r="Q3599" s="4"/>
      <c r="R3599" s="4"/>
      <c r="S3599" s="4"/>
      <c r="T3599" s="4"/>
      <c r="U3599" s="4"/>
      <c r="V3599" s="4"/>
      <c r="W3599" s="4"/>
      <c r="X3599" s="4"/>
    </row>
    <row r="3600" spans="17:24" x14ac:dyDescent="0.3">
      <c r="Q3600" s="4"/>
      <c r="R3600" s="4"/>
      <c r="S3600" s="4"/>
      <c r="T3600" s="4"/>
      <c r="U3600" s="4"/>
      <c r="V3600" s="4"/>
      <c r="W3600" s="4"/>
      <c r="X3600" s="4"/>
    </row>
    <row r="3601" spans="17:24" x14ac:dyDescent="0.3">
      <c r="Q3601" s="4"/>
      <c r="R3601" s="4"/>
      <c r="S3601" s="4"/>
      <c r="T3601" s="4"/>
      <c r="U3601" s="4"/>
      <c r="V3601" s="4"/>
      <c r="W3601" s="4"/>
      <c r="X3601" s="4"/>
    </row>
    <row r="3602" spans="17:24" x14ac:dyDescent="0.3">
      <c r="Q3602" s="4"/>
      <c r="R3602" s="4"/>
      <c r="S3602" s="4"/>
      <c r="T3602" s="4"/>
      <c r="U3602" s="4"/>
      <c r="V3602" s="4"/>
      <c r="W3602" s="4"/>
      <c r="X3602" s="4"/>
    </row>
    <row r="3603" spans="17:24" x14ac:dyDescent="0.3">
      <c r="Q3603" s="4"/>
      <c r="R3603" s="4"/>
      <c r="S3603" s="4"/>
      <c r="T3603" s="4"/>
      <c r="U3603" s="4"/>
      <c r="V3603" s="4"/>
      <c r="W3603" s="4"/>
      <c r="X3603" s="4"/>
    </row>
    <row r="3604" spans="17:24" x14ac:dyDescent="0.3">
      <c r="Q3604" s="4"/>
      <c r="R3604" s="4"/>
      <c r="S3604" s="4"/>
      <c r="T3604" s="4"/>
      <c r="U3604" s="4"/>
      <c r="V3604" s="4"/>
      <c r="W3604" s="4"/>
      <c r="X3604" s="4"/>
    </row>
    <row r="3605" spans="17:24" x14ac:dyDescent="0.3">
      <c r="Q3605" s="4"/>
      <c r="R3605" s="4"/>
      <c r="S3605" s="4"/>
      <c r="T3605" s="4"/>
      <c r="U3605" s="4"/>
      <c r="V3605" s="4"/>
      <c r="W3605" s="4"/>
      <c r="X3605" s="4"/>
    </row>
    <row r="3606" spans="17:24" x14ac:dyDescent="0.3">
      <c r="Q3606" s="4"/>
      <c r="R3606" s="4"/>
      <c r="S3606" s="4"/>
      <c r="T3606" s="4"/>
      <c r="U3606" s="4"/>
      <c r="V3606" s="4"/>
      <c r="W3606" s="4"/>
      <c r="X3606" s="4"/>
    </row>
    <row r="3607" spans="17:24" x14ac:dyDescent="0.3">
      <c r="Q3607" s="4"/>
      <c r="R3607" s="4"/>
      <c r="S3607" s="4"/>
      <c r="T3607" s="4"/>
      <c r="U3607" s="4"/>
      <c r="V3607" s="4"/>
      <c r="W3607" s="4"/>
      <c r="X3607" s="4"/>
    </row>
    <row r="3608" spans="17:24" x14ac:dyDescent="0.3">
      <c r="Q3608" s="4"/>
      <c r="R3608" s="4"/>
      <c r="S3608" s="4"/>
      <c r="T3608" s="4"/>
      <c r="U3608" s="4"/>
      <c r="V3608" s="4"/>
      <c r="W3608" s="4"/>
      <c r="X3608" s="4"/>
    </row>
    <row r="3609" spans="17:24" x14ac:dyDescent="0.3">
      <c r="Q3609" s="4"/>
      <c r="R3609" s="4"/>
      <c r="S3609" s="4"/>
      <c r="T3609" s="4"/>
      <c r="U3609" s="4"/>
      <c r="V3609" s="4"/>
      <c r="W3609" s="4"/>
      <c r="X3609" s="4"/>
    </row>
    <row r="3610" spans="17:24" x14ac:dyDescent="0.3">
      <c r="Q3610" s="4"/>
      <c r="R3610" s="4"/>
      <c r="S3610" s="4"/>
      <c r="T3610" s="4"/>
      <c r="U3610" s="4"/>
      <c r="V3610" s="4"/>
      <c r="W3610" s="4"/>
      <c r="X3610" s="4"/>
    </row>
    <row r="3611" spans="17:24" x14ac:dyDescent="0.3">
      <c r="Q3611" s="4"/>
      <c r="R3611" s="4"/>
      <c r="S3611" s="4"/>
      <c r="T3611" s="4"/>
      <c r="U3611" s="4"/>
      <c r="V3611" s="4"/>
      <c r="W3611" s="4"/>
      <c r="X3611" s="4"/>
    </row>
    <row r="3612" spans="17:24" x14ac:dyDescent="0.3">
      <c r="Q3612" s="4"/>
      <c r="R3612" s="4"/>
      <c r="S3612" s="4"/>
      <c r="T3612" s="4"/>
      <c r="U3612" s="4"/>
      <c r="V3612" s="4"/>
      <c r="W3612" s="4"/>
      <c r="X3612" s="4"/>
    </row>
    <row r="3613" spans="17:24" x14ac:dyDescent="0.3">
      <c r="Q3613" s="4"/>
      <c r="R3613" s="4"/>
      <c r="S3613" s="4"/>
      <c r="T3613" s="4"/>
      <c r="U3613" s="4"/>
      <c r="V3613" s="4"/>
      <c r="W3613" s="4"/>
      <c r="X3613" s="4"/>
    </row>
    <row r="3614" spans="17:24" x14ac:dyDescent="0.3">
      <c r="Q3614" s="4"/>
      <c r="R3614" s="4"/>
      <c r="S3614" s="4"/>
      <c r="T3614" s="4"/>
      <c r="U3614" s="4"/>
      <c r="V3614" s="4"/>
      <c r="W3614" s="4"/>
      <c r="X3614" s="4"/>
    </row>
    <row r="3615" spans="17:24" x14ac:dyDescent="0.3">
      <c r="Q3615" s="4"/>
      <c r="R3615" s="4"/>
      <c r="S3615" s="4"/>
      <c r="T3615" s="4"/>
      <c r="U3615" s="4"/>
      <c r="V3615" s="4"/>
      <c r="W3615" s="4"/>
      <c r="X3615" s="4"/>
    </row>
    <row r="3616" spans="17:24" x14ac:dyDescent="0.3">
      <c r="Q3616" s="4"/>
      <c r="R3616" s="4"/>
      <c r="S3616" s="4"/>
      <c r="T3616" s="4"/>
      <c r="U3616" s="4"/>
      <c r="V3616" s="4"/>
      <c r="W3616" s="4"/>
      <c r="X3616" s="4"/>
    </row>
    <row r="3617" spans="17:24" x14ac:dyDescent="0.3">
      <c r="Q3617" s="4"/>
      <c r="R3617" s="4"/>
      <c r="S3617" s="4"/>
      <c r="T3617" s="4"/>
      <c r="U3617" s="4"/>
      <c r="V3617" s="4"/>
      <c r="W3617" s="4"/>
      <c r="X3617" s="4"/>
    </row>
    <row r="3618" spans="17:24" x14ac:dyDescent="0.3">
      <c r="Q3618" s="4"/>
      <c r="R3618" s="4"/>
      <c r="S3618" s="4"/>
      <c r="T3618" s="4"/>
      <c r="U3618" s="4"/>
      <c r="V3618" s="4"/>
      <c r="W3618" s="4"/>
      <c r="X3618" s="4"/>
    </row>
    <row r="3619" spans="17:24" x14ac:dyDescent="0.3">
      <c r="Q3619" s="4"/>
      <c r="R3619" s="4"/>
      <c r="S3619" s="4"/>
      <c r="T3619" s="4"/>
      <c r="U3619" s="4"/>
      <c r="V3619" s="4"/>
      <c r="W3619" s="4"/>
      <c r="X3619" s="4"/>
    </row>
    <row r="3620" spans="17:24" x14ac:dyDescent="0.3">
      <c r="Q3620" s="4"/>
      <c r="R3620" s="4"/>
      <c r="S3620" s="4"/>
      <c r="T3620" s="4"/>
      <c r="U3620" s="4"/>
      <c r="V3620" s="4"/>
      <c r="W3620" s="4"/>
      <c r="X3620" s="4"/>
    </row>
    <row r="3621" spans="17:24" x14ac:dyDescent="0.3">
      <c r="Q3621" s="4"/>
      <c r="R3621" s="4"/>
      <c r="S3621" s="4"/>
      <c r="T3621" s="4"/>
      <c r="U3621" s="4"/>
      <c r="V3621" s="4"/>
      <c r="W3621" s="4"/>
      <c r="X3621" s="4"/>
    </row>
    <row r="3622" spans="17:24" x14ac:dyDescent="0.3">
      <c r="Q3622" s="4"/>
      <c r="R3622" s="4"/>
      <c r="S3622" s="4"/>
      <c r="T3622" s="4"/>
      <c r="U3622" s="4"/>
      <c r="V3622" s="4"/>
      <c r="W3622" s="4"/>
      <c r="X3622" s="4"/>
    </row>
    <row r="3623" spans="17:24" x14ac:dyDescent="0.3">
      <c r="Q3623" s="4"/>
      <c r="R3623" s="4"/>
      <c r="S3623" s="4"/>
      <c r="T3623" s="4"/>
      <c r="U3623" s="4"/>
      <c r="V3623" s="4"/>
      <c r="W3623" s="4"/>
      <c r="X3623" s="4"/>
    </row>
    <row r="3624" spans="17:24" x14ac:dyDescent="0.3">
      <c r="Q3624" s="4"/>
      <c r="R3624" s="4"/>
      <c r="S3624" s="4"/>
      <c r="T3624" s="4"/>
      <c r="U3624" s="4"/>
      <c r="V3624" s="4"/>
      <c r="W3624" s="4"/>
      <c r="X3624" s="4"/>
    </row>
    <row r="3625" spans="17:24" x14ac:dyDescent="0.3">
      <c r="Q3625" s="4"/>
      <c r="R3625" s="4"/>
      <c r="S3625" s="4"/>
      <c r="T3625" s="4"/>
      <c r="U3625" s="4"/>
      <c r="V3625" s="4"/>
      <c r="W3625" s="4"/>
      <c r="X3625" s="4"/>
    </row>
    <row r="3626" spans="17:24" x14ac:dyDescent="0.3">
      <c r="Q3626" s="4"/>
      <c r="R3626" s="4"/>
      <c r="S3626" s="4"/>
      <c r="T3626" s="4"/>
      <c r="U3626" s="4"/>
      <c r="V3626" s="4"/>
      <c r="W3626" s="4"/>
      <c r="X3626" s="4"/>
    </row>
    <row r="3627" spans="17:24" x14ac:dyDescent="0.3">
      <c r="Q3627" s="4"/>
      <c r="R3627" s="4"/>
      <c r="S3627" s="4"/>
      <c r="T3627" s="4"/>
      <c r="U3627" s="4"/>
      <c r="V3627" s="4"/>
      <c r="W3627" s="4"/>
      <c r="X3627" s="4"/>
    </row>
    <row r="3628" spans="17:24" x14ac:dyDescent="0.3">
      <c r="Q3628" s="4"/>
      <c r="R3628" s="4"/>
      <c r="S3628" s="4"/>
      <c r="T3628" s="4"/>
      <c r="U3628" s="4"/>
      <c r="V3628" s="4"/>
      <c r="W3628" s="4"/>
      <c r="X3628" s="4"/>
    </row>
    <row r="3629" spans="17:24" x14ac:dyDescent="0.3">
      <c r="Q3629" s="4"/>
      <c r="R3629" s="4"/>
      <c r="S3629" s="4"/>
      <c r="T3629" s="4"/>
      <c r="U3629" s="4"/>
      <c r="V3629" s="4"/>
      <c r="W3629" s="4"/>
      <c r="X3629" s="4"/>
    </row>
    <row r="3630" spans="17:24" x14ac:dyDescent="0.3">
      <c r="Q3630" s="4"/>
      <c r="R3630" s="4"/>
      <c r="S3630" s="4"/>
      <c r="T3630" s="4"/>
      <c r="U3630" s="4"/>
      <c r="V3630" s="4"/>
      <c r="W3630" s="4"/>
      <c r="X3630" s="4"/>
    </row>
    <row r="3631" spans="17:24" x14ac:dyDescent="0.3">
      <c r="Q3631" s="4"/>
      <c r="R3631" s="4"/>
      <c r="S3631" s="4"/>
      <c r="T3631" s="4"/>
      <c r="U3631" s="4"/>
      <c r="V3631" s="4"/>
      <c r="W3631" s="4"/>
      <c r="X3631" s="4"/>
    </row>
    <row r="3632" spans="17:24" x14ac:dyDescent="0.3">
      <c r="Q3632" s="4"/>
      <c r="R3632" s="4"/>
      <c r="S3632" s="4"/>
      <c r="T3632" s="4"/>
      <c r="U3632" s="4"/>
      <c r="V3632" s="4"/>
      <c r="W3632" s="4"/>
      <c r="X3632" s="4"/>
    </row>
    <row r="3633" spans="17:24" x14ac:dyDescent="0.3">
      <c r="Q3633" s="4"/>
      <c r="R3633" s="4"/>
      <c r="S3633" s="4"/>
      <c r="T3633" s="4"/>
      <c r="U3633" s="4"/>
      <c r="V3633" s="4"/>
      <c r="W3633" s="4"/>
      <c r="X3633" s="4"/>
    </row>
    <row r="3634" spans="17:24" x14ac:dyDescent="0.3">
      <c r="Q3634" s="4"/>
      <c r="R3634" s="4"/>
      <c r="S3634" s="4"/>
      <c r="T3634" s="4"/>
      <c r="U3634" s="4"/>
      <c r="V3634" s="4"/>
      <c r="W3634" s="4"/>
      <c r="X3634" s="4"/>
    </row>
    <row r="3635" spans="17:24" x14ac:dyDescent="0.3">
      <c r="Q3635" s="4"/>
      <c r="R3635" s="4"/>
      <c r="S3635" s="4"/>
      <c r="T3635" s="4"/>
      <c r="U3635" s="4"/>
      <c r="V3635" s="4"/>
      <c r="W3635" s="4"/>
      <c r="X3635" s="4"/>
    </row>
    <row r="3636" spans="17:24" x14ac:dyDescent="0.3">
      <c r="Q3636" s="4"/>
      <c r="R3636" s="4"/>
      <c r="S3636" s="4"/>
      <c r="T3636" s="4"/>
      <c r="U3636" s="4"/>
      <c r="V3636" s="4"/>
      <c r="W3636" s="4"/>
      <c r="X3636" s="4"/>
    </row>
    <row r="3637" spans="17:24" x14ac:dyDescent="0.3">
      <c r="Q3637" s="4"/>
      <c r="R3637" s="4"/>
      <c r="S3637" s="4"/>
      <c r="T3637" s="4"/>
      <c r="U3637" s="4"/>
      <c r="V3637" s="4"/>
      <c r="W3637" s="4"/>
      <c r="X3637" s="4"/>
    </row>
    <row r="3638" spans="17:24" x14ac:dyDescent="0.3">
      <c r="Q3638" s="4"/>
      <c r="R3638" s="4"/>
      <c r="S3638" s="4"/>
      <c r="T3638" s="4"/>
      <c r="U3638" s="4"/>
      <c r="V3638" s="4"/>
      <c r="W3638" s="4"/>
      <c r="X3638" s="4"/>
    </row>
    <row r="3639" spans="17:24" x14ac:dyDescent="0.3">
      <c r="Q3639" s="4"/>
      <c r="R3639" s="4"/>
      <c r="S3639" s="4"/>
      <c r="T3639" s="4"/>
      <c r="U3639" s="4"/>
      <c r="V3639" s="4"/>
      <c r="W3639" s="4"/>
      <c r="X3639" s="4"/>
    </row>
    <row r="3640" spans="17:24" x14ac:dyDescent="0.3">
      <c r="Q3640" s="4"/>
      <c r="R3640" s="4"/>
      <c r="S3640" s="4"/>
      <c r="T3640" s="4"/>
      <c r="U3640" s="4"/>
      <c r="V3640" s="4"/>
      <c r="W3640" s="4"/>
      <c r="X3640" s="4"/>
    </row>
    <row r="3641" spans="17:24" x14ac:dyDescent="0.3">
      <c r="Q3641" s="4"/>
      <c r="R3641" s="4"/>
      <c r="S3641" s="4"/>
      <c r="T3641" s="4"/>
      <c r="U3641" s="4"/>
      <c r="V3641" s="4"/>
      <c r="W3641" s="4"/>
      <c r="X3641" s="4"/>
    </row>
    <row r="3642" spans="17:24" x14ac:dyDescent="0.3">
      <c r="Q3642" s="4"/>
      <c r="R3642" s="4"/>
      <c r="S3642" s="4"/>
      <c r="T3642" s="4"/>
      <c r="U3642" s="4"/>
      <c r="V3642" s="4"/>
      <c r="W3642" s="4"/>
      <c r="X3642" s="4"/>
    </row>
    <row r="3643" spans="17:24" x14ac:dyDescent="0.3">
      <c r="Q3643" s="4"/>
      <c r="R3643" s="4"/>
      <c r="S3643" s="4"/>
      <c r="T3643" s="4"/>
      <c r="U3643" s="4"/>
      <c r="V3643" s="4"/>
      <c r="W3643" s="4"/>
      <c r="X3643" s="4"/>
    </row>
    <row r="3644" spans="17:24" x14ac:dyDescent="0.3">
      <c r="Q3644" s="4"/>
      <c r="R3644" s="4"/>
      <c r="S3644" s="4"/>
      <c r="T3644" s="4"/>
      <c r="U3644" s="4"/>
      <c r="V3644" s="4"/>
      <c r="W3644" s="4"/>
      <c r="X3644" s="4"/>
    </row>
    <row r="3645" spans="17:24" x14ac:dyDescent="0.3">
      <c r="Q3645" s="4"/>
      <c r="R3645" s="4"/>
      <c r="S3645" s="4"/>
      <c r="T3645" s="4"/>
      <c r="U3645" s="4"/>
      <c r="V3645" s="4"/>
      <c r="W3645" s="4"/>
      <c r="X3645" s="4"/>
    </row>
    <row r="3646" spans="17:24" x14ac:dyDescent="0.3">
      <c r="Q3646" s="4"/>
      <c r="R3646" s="4"/>
      <c r="S3646" s="4"/>
      <c r="T3646" s="4"/>
      <c r="U3646" s="4"/>
      <c r="V3646" s="4"/>
      <c r="W3646" s="4"/>
      <c r="X3646" s="4"/>
    </row>
    <row r="3647" spans="17:24" x14ac:dyDescent="0.3">
      <c r="Q3647" s="4"/>
      <c r="R3647" s="4"/>
      <c r="S3647" s="4"/>
      <c r="T3647" s="4"/>
      <c r="U3647" s="4"/>
      <c r="V3647" s="4"/>
      <c r="W3647" s="4"/>
      <c r="X3647" s="4"/>
    </row>
    <row r="3648" spans="17:24" x14ac:dyDescent="0.3">
      <c r="Q3648" s="4"/>
      <c r="R3648" s="4"/>
      <c r="S3648" s="4"/>
      <c r="T3648" s="4"/>
      <c r="U3648" s="4"/>
      <c r="V3648" s="4"/>
      <c r="W3648" s="4"/>
      <c r="X3648" s="4"/>
    </row>
    <row r="3649" spans="17:24" x14ac:dyDescent="0.3">
      <c r="Q3649" s="4"/>
      <c r="R3649" s="4"/>
      <c r="S3649" s="4"/>
      <c r="T3649" s="4"/>
      <c r="U3649" s="4"/>
      <c r="V3649" s="4"/>
      <c r="W3649" s="4"/>
      <c r="X3649" s="4"/>
    </row>
    <row r="3650" spans="17:24" x14ac:dyDescent="0.3">
      <c r="Q3650" s="4"/>
      <c r="R3650" s="4"/>
      <c r="S3650" s="4"/>
      <c r="T3650" s="4"/>
      <c r="U3650" s="4"/>
      <c r="V3650" s="4"/>
      <c r="W3650" s="4"/>
      <c r="X3650" s="4"/>
    </row>
    <row r="3651" spans="17:24" x14ac:dyDescent="0.3">
      <c r="Q3651" s="4"/>
      <c r="R3651" s="4"/>
      <c r="S3651" s="4"/>
      <c r="T3651" s="4"/>
      <c r="U3651" s="4"/>
      <c r="V3651" s="4"/>
      <c r="W3651" s="4"/>
      <c r="X3651" s="4"/>
    </row>
    <row r="3652" spans="17:24" x14ac:dyDescent="0.3">
      <c r="Q3652" s="4"/>
      <c r="R3652" s="4"/>
      <c r="S3652" s="4"/>
      <c r="T3652" s="4"/>
      <c r="U3652" s="4"/>
      <c r="V3652" s="4"/>
      <c r="W3652" s="4"/>
      <c r="X3652" s="4"/>
    </row>
    <row r="3653" spans="17:24" x14ac:dyDescent="0.3">
      <c r="Q3653" s="4"/>
      <c r="R3653" s="4"/>
      <c r="S3653" s="4"/>
      <c r="T3653" s="4"/>
      <c r="U3653" s="4"/>
      <c r="V3653" s="4"/>
      <c r="W3653" s="4"/>
      <c r="X3653" s="4"/>
    </row>
    <row r="3654" spans="17:24" x14ac:dyDescent="0.3">
      <c r="Q3654" s="4"/>
      <c r="R3654" s="4"/>
      <c r="S3654" s="4"/>
      <c r="T3654" s="4"/>
      <c r="U3654" s="4"/>
      <c r="V3654" s="4"/>
      <c r="W3654" s="4"/>
      <c r="X3654" s="4"/>
    </row>
    <row r="3655" spans="17:24" x14ac:dyDescent="0.3">
      <c r="Q3655" s="4"/>
      <c r="R3655" s="4"/>
      <c r="S3655" s="4"/>
      <c r="T3655" s="4"/>
      <c r="U3655" s="4"/>
      <c r="V3655" s="4"/>
      <c r="W3655" s="4"/>
      <c r="X3655" s="4"/>
    </row>
    <row r="3656" spans="17:24" x14ac:dyDescent="0.3">
      <c r="Q3656" s="4"/>
      <c r="R3656" s="4"/>
      <c r="S3656" s="4"/>
      <c r="T3656" s="4"/>
      <c r="U3656" s="4"/>
      <c r="V3656" s="4"/>
      <c r="W3656" s="4"/>
      <c r="X3656" s="4"/>
    </row>
    <row r="3657" spans="17:24" x14ac:dyDescent="0.3">
      <c r="Q3657" s="4"/>
      <c r="R3657" s="4"/>
      <c r="S3657" s="4"/>
      <c r="T3657" s="4"/>
      <c r="U3657" s="4"/>
      <c r="V3657" s="4"/>
      <c r="W3657" s="4"/>
      <c r="X3657" s="4"/>
    </row>
    <row r="3658" spans="17:24" x14ac:dyDescent="0.3">
      <c r="Q3658" s="4"/>
      <c r="R3658" s="4"/>
      <c r="S3658" s="4"/>
      <c r="T3658" s="4"/>
      <c r="U3658" s="4"/>
      <c r="V3658" s="4"/>
      <c r="W3658" s="4"/>
      <c r="X3658" s="4"/>
    </row>
    <row r="3659" spans="17:24" x14ac:dyDescent="0.3">
      <c r="Q3659" s="4"/>
      <c r="R3659" s="4"/>
      <c r="S3659" s="4"/>
      <c r="T3659" s="4"/>
      <c r="U3659" s="4"/>
      <c r="V3659" s="4"/>
      <c r="W3659" s="4"/>
      <c r="X3659" s="4"/>
    </row>
    <row r="3660" spans="17:24" x14ac:dyDescent="0.3">
      <c r="Q3660" s="4"/>
      <c r="R3660" s="4"/>
      <c r="S3660" s="4"/>
      <c r="T3660" s="4"/>
      <c r="U3660" s="4"/>
      <c r="V3660" s="4"/>
      <c r="W3660" s="4"/>
      <c r="X3660" s="4"/>
    </row>
    <row r="3661" spans="17:24" x14ac:dyDescent="0.3">
      <c r="Q3661" s="4"/>
      <c r="R3661" s="4"/>
      <c r="S3661" s="4"/>
      <c r="T3661" s="4"/>
      <c r="U3661" s="4"/>
      <c r="V3661" s="4"/>
      <c r="W3661" s="4"/>
      <c r="X3661" s="4"/>
    </row>
    <row r="3662" spans="17:24" x14ac:dyDescent="0.3">
      <c r="Q3662" s="4"/>
      <c r="R3662" s="4"/>
      <c r="S3662" s="4"/>
      <c r="T3662" s="4"/>
      <c r="U3662" s="4"/>
      <c r="V3662" s="4"/>
      <c r="W3662" s="4"/>
      <c r="X3662" s="4"/>
    </row>
    <row r="3663" spans="17:24" x14ac:dyDescent="0.3">
      <c r="Q3663" s="4"/>
      <c r="R3663" s="4"/>
      <c r="S3663" s="4"/>
      <c r="T3663" s="4"/>
      <c r="U3663" s="4"/>
      <c r="V3663" s="4"/>
      <c r="W3663" s="4"/>
      <c r="X3663" s="4"/>
    </row>
    <row r="3664" spans="17:24" x14ac:dyDescent="0.3">
      <c r="Q3664" s="4"/>
      <c r="R3664" s="4"/>
      <c r="S3664" s="4"/>
      <c r="T3664" s="4"/>
      <c r="U3664" s="4"/>
      <c r="V3664" s="4"/>
      <c r="W3664" s="4"/>
      <c r="X3664" s="4"/>
    </row>
    <row r="3665" spans="17:24" x14ac:dyDescent="0.3">
      <c r="Q3665" s="4"/>
      <c r="R3665" s="4"/>
      <c r="S3665" s="4"/>
      <c r="T3665" s="4"/>
      <c r="U3665" s="4"/>
      <c r="V3665" s="4"/>
      <c r="W3665" s="4"/>
      <c r="X3665" s="4"/>
    </row>
    <row r="3666" spans="17:24" x14ac:dyDescent="0.3">
      <c r="Q3666" s="4"/>
      <c r="R3666" s="4"/>
      <c r="S3666" s="4"/>
      <c r="T3666" s="4"/>
      <c r="U3666" s="4"/>
      <c r="V3666" s="4"/>
      <c r="W3666" s="4"/>
      <c r="X3666" s="4"/>
    </row>
    <row r="3667" spans="17:24" x14ac:dyDescent="0.3">
      <c r="Q3667" s="4"/>
      <c r="R3667" s="4"/>
      <c r="S3667" s="4"/>
      <c r="T3667" s="4"/>
      <c r="U3667" s="4"/>
      <c r="V3667" s="4"/>
      <c r="W3667" s="4"/>
      <c r="X3667" s="4"/>
    </row>
    <row r="3668" spans="17:24" x14ac:dyDescent="0.3">
      <c r="Q3668" s="4"/>
      <c r="R3668" s="4"/>
      <c r="S3668" s="4"/>
      <c r="T3668" s="4"/>
      <c r="U3668" s="4"/>
      <c r="V3668" s="4"/>
      <c r="W3668" s="4"/>
      <c r="X3668" s="4"/>
    </row>
    <row r="3669" spans="17:24" x14ac:dyDescent="0.3">
      <c r="Q3669" s="4"/>
      <c r="R3669" s="4"/>
      <c r="S3669" s="4"/>
      <c r="T3669" s="4"/>
      <c r="U3669" s="4"/>
      <c r="V3669" s="4"/>
      <c r="W3669" s="4"/>
      <c r="X3669" s="4"/>
    </row>
    <row r="3670" spans="17:24" x14ac:dyDescent="0.3">
      <c r="Q3670" s="4"/>
      <c r="R3670" s="4"/>
      <c r="S3670" s="4"/>
      <c r="T3670" s="4"/>
      <c r="U3670" s="4"/>
      <c r="V3670" s="4"/>
      <c r="W3670" s="4"/>
      <c r="X3670" s="4"/>
    </row>
    <row r="3671" spans="17:24" x14ac:dyDescent="0.3">
      <c r="Q3671" s="4"/>
      <c r="R3671" s="4"/>
      <c r="S3671" s="4"/>
      <c r="T3671" s="4"/>
      <c r="U3671" s="4"/>
      <c r="V3671" s="4"/>
      <c r="W3671" s="4"/>
      <c r="X3671" s="4"/>
    </row>
    <row r="3672" spans="17:24" x14ac:dyDescent="0.3">
      <c r="Q3672" s="4"/>
      <c r="R3672" s="4"/>
      <c r="S3672" s="4"/>
      <c r="T3672" s="4"/>
      <c r="U3672" s="4"/>
      <c r="V3672" s="4"/>
      <c r="W3672" s="4"/>
      <c r="X3672" s="4"/>
    </row>
    <row r="3673" spans="17:24" x14ac:dyDescent="0.3">
      <c r="Q3673" s="4"/>
      <c r="R3673" s="4"/>
      <c r="S3673" s="4"/>
      <c r="T3673" s="4"/>
      <c r="U3673" s="4"/>
      <c r="V3673" s="4"/>
      <c r="W3673" s="4"/>
      <c r="X3673" s="4"/>
    </row>
    <row r="3674" spans="17:24" x14ac:dyDescent="0.3">
      <c r="Q3674" s="4"/>
      <c r="R3674" s="4"/>
      <c r="S3674" s="4"/>
      <c r="T3674" s="4"/>
      <c r="U3674" s="4"/>
      <c r="V3674" s="4"/>
      <c r="W3674" s="4"/>
      <c r="X3674" s="4"/>
    </row>
    <row r="3675" spans="17:24" x14ac:dyDescent="0.3">
      <c r="Q3675" s="4"/>
      <c r="R3675" s="4"/>
      <c r="S3675" s="4"/>
      <c r="T3675" s="4"/>
      <c r="U3675" s="4"/>
      <c r="V3675" s="4"/>
      <c r="W3675" s="4"/>
      <c r="X3675" s="4"/>
    </row>
    <row r="3676" spans="17:24" x14ac:dyDescent="0.3">
      <c r="Q3676" s="4"/>
      <c r="R3676" s="4"/>
      <c r="S3676" s="4"/>
      <c r="T3676" s="4"/>
      <c r="U3676" s="4"/>
      <c r="V3676" s="4"/>
      <c r="W3676" s="4"/>
      <c r="X3676" s="4"/>
    </row>
    <row r="3677" spans="17:24" x14ac:dyDescent="0.3">
      <c r="Q3677" s="4"/>
      <c r="R3677" s="4"/>
      <c r="S3677" s="4"/>
      <c r="T3677" s="4"/>
      <c r="U3677" s="4"/>
      <c r="V3677" s="4"/>
      <c r="W3677" s="4"/>
      <c r="X3677" s="4"/>
    </row>
    <row r="3678" spans="17:24" x14ac:dyDescent="0.3">
      <c r="Q3678" s="4"/>
      <c r="R3678" s="4"/>
      <c r="S3678" s="4"/>
      <c r="T3678" s="4"/>
      <c r="U3678" s="4"/>
      <c r="V3678" s="4"/>
      <c r="W3678" s="4"/>
      <c r="X3678" s="4"/>
    </row>
    <row r="3679" spans="17:24" x14ac:dyDescent="0.3">
      <c r="Q3679" s="4"/>
      <c r="R3679" s="4"/>
      <c r="S3679" s="4"/>
      <c r="T3679" s="4"/>
      <c r="U3679" s="4"/>
      <c r="V3679" s="4"/>
      <c r="W3679" s="4"/>
      <c r="X3679" s="4"/>
    </row>
    <row r="3680" spans="17:24" x14ac:dyDescent="0.3">
      <c r="Q3680" s="4"/>
      <c r="R3680" s="4"/>
      <c r="S3680" s="4"/>
      <c r="T3680" s="4"/>
      <c r="U3680" s="4"/>
      <c r="V3680" s="4"/>
      <c r="W3680" s="4"/>
      <c r="X3680" s="4"/>
    </row>
    <row r="3681" spans="17:24" x14ac:dyDescent="0.3">
      <c r="Q3681" s="4"/>
      <c r="R3681" s="4"/>
      <c r="S3681" s="4"/>
      <c r="T3681" s="4"/>
      <c r="U3681" s="4"/>
      <c r="V3681" s="4"/>
      <c r="W3681" s="4"/>
      <c r="X3681" s="4"/>
    </row>
    <row r="3682" spans="17:24" x14ac:dyDescent="0.3">
      <c r="Q3682" s="4"/>
      <c r="R3682" s="4"/>
      <c r="S3682" s="4"/>
      <c r="T3682" s="4"/>
      <c r="U3682" s="4"/>
      <c r="V3682" s="4"/>
      <c r="W3682" s="4"/>
      <c r="X3682" s="4"/>
    </row>
    <row r="3683" spans="17:24" x14ac:dyDescent="0.3">
      <c r="Q3683" s="4"/>
      <c r="R3683" s="4"/>
      <c r="S3683" s="4"/>
      <c r="T3683" s="4"/>
      <c r="U3683" s="4"/>
      <c r="V3683" s="4"/>
      <c r="W3683" s="4"/>
      <c r="X3683" s="4"/>
    </row>
    <row r="3684" spans="17:24" x14ac:dyDescent="0.3">
      <c r="Q3684" s="4"/>
      <c r="R3684" s="4"/>
      <c r="S3684" s="4"/>
      <c r="T3684" s="4"/>
      <c r="U3684" s="4"/>
      <c r="V3684" s="4"/>
      <c r="W3684" s="4"/>
      <c r="X3684" s="4"/>
    </row>
    <row r="3685" spans="17:24" x14ac:dyDescent="0.3">
      <c r="Q3685" s="4"/>
      <c r="R3685" s="4"/>
      <c r="S3685" s="4"/>
      <c r="T3685" s="4"/>
      <c r="U3685" s="4"/>
      <c r="V3685" s="4"/>
      <c r="W3685" s="4"/>
      <c r="X3685" s="4"/>
    </row>
    <row r="3686" spans="17:24" x14ac:dyDescent="0.3">
      <c r="Q3686" s="4"/>
      <c r="R3686" s="4"/>
      <c r="S3686" s="4"/>
      <c r="T3686" s="4"/>
      <c r="U3686" s="4"/>
      <c r="V3686" s="4"/>
      <c r="W3686" s="4"/>
      <c r="X3686" s="4"/>
    </row>
    <row r="3687" spans="17:24" x14ac:dyDescent="0.3">
      <c r="Q3687" s="4"/>
      <c r="R3687" s="4"/>
      <c r="S3687" s="4"/>
      <c r="T3687" s="4"/>
      <c r="U3687" s="4"/>
      <c r="V3687" s="4"/>
      <c r="W3687" s="4"/>
      <c r="X3687" s="4"/>
    </row>
    <row r="3688" spans="17:24" x14ac:dyDescent="0.3">
      <c r="Q3688" s="4"/>
      <c r="R3688" s="4"/>
      <c r="S3688" s="4"/>
      <c r="T3688" s="4"/>
      <c r="U3688" s="4"/>
      <c r="V3688" s="4"/>
      <c r="W3688" s="4"/>
      <c r="X3688" s="4"/>
    </row>
    <row r="3689" spans="17:24" x14ac:dyDescent="0.3">
      <c r="Q3689" s="4"/>
      <c r="R3689" s="4"/>
      <c r="S3689" s="4"/>
      <c r="T3689" s="4"/>
      <c r="U3689" s="4"/>
      <c r="V3689" s="4"/>
      <c r="W3689" s="4"/>
      <c r="X3689" s="4"/>
    </row>
    <row r="3690" spans="17:24" x14ac:dyDescent="0.3">
      <c r="Q3690" s="4"/>
      <c r="R3690" s="4"/>
      <c r="S3690" s="4"/>
      <c r="T3690" s="4"/>
      <c r="U3690" s="4"/>
      <c r="V3690" s="4"/>
      <c r="W3690" s="4"/>
      <c r="X3690" s="4"/>
    </row>
    <row r="3691" spans="17:24" x14ac:dyDescent="0.3">
      <c r="Q3691" s="4"/>
      <c r="R3691" s="4"/>
      <c r="S3691" s="4"/>
      <c r="T3691" s="4"/>
      <c r="U3691" s="4"/>
      <c r="V3691" s="4"/>
      <c r="W3691" s="4"/>
      <c r="X3691" s="4"/>
    </row>
    <row r="3692" spans="17:24" x14ac:dyDescent="0.3">
      <c r="Q3692" s="4"/>
      <c r="R3692" s="4"/>
      <c r="S3692" s="4"/>
      <c r="T3692" s="4"/>
      <c r="U3692" s="4"/>
      <c r="V3692" s="4"/>
      <c r="W3692" s="4"/>
      <c r="X3692" s="4"/>
    </row>
    <row r="3693" spans="17:24" x14ac:dyDescent="0.3">
      <c r="Q3693" s="4"/>
      <c r="R3693" s="4"/>
      <c r="S3693" s="4"/>
      <c r="T3693" s="4"/>
      <c r="U3693" s="4"/>
      <c r="V3693" s="4"/>
      <c r="W3693" s="4"/>
      <c r="X3693" s="4"/>
    </row>
    <row r="3694" spans="17:24" x14ac:dyDescent="0.3">
      <c r="Q3694" s="4"/>
      <c r="R3694" s="4"/>
      <c r="S3694" s="4"/>
      <c r="T3694" s="4"/>
      <c r="U3694" s="4"/>
      <c r="V3694" s="4"/>
      <c r="W3694" s="4"/>
      <c r="X3694" s="4"/>
    </row>
    <row r="3695" spans="17:24" x14ac:dyDescent="0.3">
      <c r="Q3695" s="4"/>
      <c r="R3695" s="4"/>
      <c r="S3695" s="4"/>
      <c r="T3695" s="4"/>
      <c r="U3695" s="4"/>
      <c r="V3695" s="4"/>
      <c r="W3695" s="4"/>
      <c r="X3695" s="4"/>
    </row>
    <row r="3696" spans="17:24" x14ac:dyDescent="0.3">
      <c r="Q3696" s="4"/>
      <c r="R3696" s="4"/>
      <c r="S3696" s="4"/>
      <c r="T3696" s="4"/>
      <c r="U3696" s="4"/>
      <c r="V3696" s="4"/>
      <c r="W3696" s="4"/>
      <c r="X3696" s="4"/>
    </row>
    <row r="3697" spans="17:24" x14ac:dyDescent="0.3">
      <c r="Q3697" s="4"/>
      <c r="R3697" s="4"/>
      <c r="S3697" s="4"/>
      <c r="T3697" s="4"/>
      <c r="U3697" s="4"/>
      <c r="V3697" s="4"/>
      <c r="W3697" s="4"/>
      <c r="X3697" s="4"/>
    </row>
    <row r="3698" spans="17:24" x14ac:dyDescent="0.3">
      <c r="Q3698" s="4"/>
      <c r="R3698" s="4"/>
      <c r="S3698" s="4"/>
      <c r="T3698" s="4"/>
      <c r="U3698" s="4"/>
      <c r="V3698" s="4"/>
      <c r="W3698" s="4"/>
      <c r="X3698" s="4"/>
    </row>
    <row r="3699" spans="17:24" x14ac:dyDescent="0.3">
      <c r="Q3699" s="4"/>
      <c r="R3699" s="4"/>
      <c r="S3699" s="4"/>
      <c r="T3699" s="4"/>
      <c r="U3699" s="4"/>
      <c r="V3699" s="4"/>
      <c r="W3699" s="4"/>
      <c r="X3699" s="4"/>
    </row>
    <row r="3700" spans="17:24" x14ac:dyDescent="0.3">
      <c r="Q3700" s="4"/>
      <c r="R3700" s="4"/>
      <c r="S3700" s="4"/>
      <c r="T3700" s="4"/>
      <c r="U3700" s="4"/>
      <c r="V3700" s="4"/>
      <c r="W3700" s="4"/>
      <c r="X3700" s="4"/>
    </row>
    <row r="3701" spans="17:24" x14ac:dyDescent="0.3">
      <c r="Q3701" s="4"/>
      <c r="R3701" s="4"/>
      <c r="S3701" s="4"/>
      <c r="T3701" s="4"/>
      <c r="U3701" s="4"/>
      <c r="V3701" s="4"/>
      <c r="W3701" s="4"/>
      <c r="X3701" s="4"/>
    </row>
    <row r="3702" spans="17:24" x14ac:dyDescent="0.3">
      <c r="Q3702" s="4"/>
      <c r="R3702" s="4"/>
      <c r="S3702" s="4"/>
      <c r="T3702" s="4"/>
      <c r="U3702" s="4"/>
      <c r="V3702" s="4"/>
      <c r="W3702" s="4"/>
      <c r="X3702" s="4"/>
    </row>
    <row r="3703" spans="17:24" x14ac:dyDescent="0.3">
      <c r="Q3703" s="4"/>
      <c r="R3703" s="4"/>
      <c r="S3703" s="4"/>
      <c r="T3703" s="4"/>
      <c r="U3703" s="4"/>
      <c r="V3703" s="4"/>
      <c r="W3703" s="4"/>
      <c r="X3703" s="4"/>
    </row>
    <row r="3704" spans="17:24" x14ac:dyDescent="0.3">
      <c r="Q3704" s="4"/>
      <c r="R3704" s="4"/>
      <c r="S3704" s="4"/>
      <c r="T3704" s="4"/>
      <c r="U3704" s="4"/>
      <c r="V3704" s="4"/>
      <c r="W3704" s="4"/>
      <c r="X3704" s="4"/>
    </row>
    <row r="3705" spans="17:24" x14ac:dyDescent="0.3">
      <c r="Q3705" s="4"/>
      <c r="R3705" s="4"/>
      <c r="S3705" s="4"/>
      <c r="T3705" s="4"/>
      <c r="U3705" s="4"/>
      <c r="V3705" s="4"/>
      <c r="W3705" s="4"/>
      <c r="X3705" s="4"/>
    </row>
    <row r="3706" spans="17:24" x14ac:dyDescent="0.3">
      <c r="Q3706" s="4"/>
      <c r="R3706" s="4"/>
      <c r="S3706" s="4"/>
      <c r="T3706" s="4"/>
      <c r="U3706" s="4"/>
      <c r="V3706" s="4"/>
      <c r="W3706" s="4"/>
      <c r="X3706" s="4"/>
    </row>
    <row r="3707" spans="17:24" x14ac:dyDescent="0.3">
      <c r="Q3707" s="4"/>
      <c r="R3707" s="4"/>
      <c r="S3707" s="4"/>
      <c r="T3707" s="4"/>
      <c r="U3707" s="4"/>
      <c r="V3707" s="4"/>
      <c r="W3707" s="4"/>
      <c r="X3707" s="4"/>
    </row>
    <row r="3708" spans="17:24" x14ac:dyDescent="0.3">
      <c r="Q3708" s="4"/>
      <c r="R3708" s="4"/>
      <c r="S3708" s="4"/>
      <c r="T3708" s="4"/>
      <c r="U3708" s="4"/>
      <c r="V3708" s="4"/>
      <c r="W3708" s="4"/>
      <c r="X3708" s="4"/>
    </row>
    <row r="3709" spans="17:24" x14ac:dyDescent="0.3">
      <c r="Q3709" s="4"/>
      <c r="R3709" s="4"/>
      <c r="S3709" s="4"/>
      <c r="T3709" s="4"/>
      <c r="U3709" s="4"/>
      <c r="V3709" s="4"/>
      <c r="W3709" s="4"/>
      <c r="X3709" s="4"/>
    </row>
    <row r="3710" spans="17:24" x14ac:dyDescent="0.3">
      <c r="Q3710" s="4"/>
      <c r="R3710" s="4"/>
      <c r="S3710" s="4"/>
      <c r="T3710" s="4"/>
      <c r="U3710" s="4"/>
      <c r="V3710" s="4"/>
      <c r="W3710" s="4"/>
      <c r="X3710" s="4"/>
    </row>
    <row r="3711" spans="17:24" x14ac:dyDescent="0.3">
      <c r="Q3711" s="4"/>
      <c r="R3711" s="4"/>
      <c r="S3711" s="4"/>
      <c r="T3711" s="4"/>
      <c r="U3711" s="4"/>
      <c r="V3711" s="4"/>
      <c r="W3711" s="4"/>
      <c r="X3711" s="4"/>
    </row>
    <row r="3712" spans="17:24" x14ac:dyDescent="0.3">
      <c r="Q3712" s="4"/>
      <c r="R3712" s="4"/>
      <c r="S3712" s="4"/>
      <c r="T3712" s="4"/>
      <c r="U3712" s="4"/>
      <c r="V3712" s="4"/>
      <c r="W3712" s="4"/>
      <c r="X3712" s="4"/>
    </row>
    <row r="3713" spans="17:24" x14ac:dyDescent="0.3">
      <c r="Q3713" s="4"/>
      <c r="R3713" s="4"/>
      <c r="S3713" s="4"/>
      <c r="T3713" s="4"/>
      <c r="U3713" s="4"/>
      <c r="V3713" s="4"/>
      <c r="W3713" s="4"/>
      <c r="X3713" s="4"/>
    </row>
    <row r="3714" spans="17:24" x14ac:dyDescent="0.3">
      <c r="Q3714" s="4"/>
      <c r="R3714" s="4"/>
      <c r="S3714" s="4"/>
      <c r="T3714" s="4"/>
      <c r="U3714" s="4"/>
      <c r="V3714" s="4"/>
      <c r="W3714" s="4"/>
      <c r="X3714" s="4"/>
    </row>
    <row r="3715" spans="17:24" x14ac:dyDescent="0.3">
      <c r="Q3715" s="4"/>
      <c r="R3715" s="4"/>
      <c r="S3715" s="4"/>
      <c r="T3715" s="4"/>
      <c r="U3715" s="4"/>
      <c r="V3715" s="4"/>
      <c r="W3715" s="4"/>
      <c r="X3715" s="4"/>
    </row>
    <row r="3716" spans="17:24" x14ac:dyDescent="0.3">
      <c r="Q3716" s="4"/>
      <c r="R3716" s="4"/>
      <c r="S3716" s="4"/>
      <c r="T3716" s="4"/>
      <c r="U3716" s="4"/>
      <c r="V3716" s="4"/>
      <c r="W3716" s="4"/>
      <c r="X3716" s="4"/>
    </row>
    <row r="3717" spans="17:24" x14ac:dyDescent="0.3">
      <c r="Q3717" s="4"/>
      <c r="R3717" s="4"/>
      <c r="S3717" s="4"/>
      <c r="T3717" s="4"/>
      <c r="U3717" s="4"/>
      <c r="V3717" s="4"/>
      <c r="W3717" s="4"/>
      <c r="X3717" s="4"/>
    </row>
    <row r="3718" spans="17:24" x14ac:dyDescent="0.3">
      <c r="Q3718" s="4"/>
      <c r="R3718" s="4"/>
      <c r="S3718" s="4"/>
      <c r="T3718" s="4"/>
      <c r="U3718" s="4"/>
      <c r="V3718" s="4"/>
      <c r="W3718" s="4"/>
      <c r="X3718" s="4"/>
    </row>
    <row r="3719" spans="17:24" x14ac:dyDescent="0.3">
      <c r="Q3719" s="4"/>
      <c r="R3719" s="4"/>
      <c r="S3719" s="4"/>
      <c r="T3719" s="4"/>
      <c r="U3719" s="4"/>
      <c r="V3719" s="4"/>
      <c r="W3719" s="4"/>
      <c r="X3719" s="4"/>
    </row>
    <row r="3720" spans="17:24" x14ac:dyDescent="0.3">
      <c r="Q3720" s="4"/>
      <c r="R3720" s="4"/>
      <c r="S3720" s="4"/>
      <c r="T3720" s="4"/>
      <c r="U3720" s="4"/>
      <c r="V3720" s="4"/>
      <c r="W3720" s="4"/>
      <c r="X3720" s="4"/>
    </row>
    <row r="3721" spans="17:24" x14ac:dyDescent="0.3">
      <c r="Q3721" s="4"/>
      <c r="R3721" s="4"/>
      <c r="S3721" s="4"/>
      <c r="T3721" s="4"/>
      <c r="U3721" s="4"/>
      <c r="V3721" s="4"/>
      <c r="W3721" s="4"/>
      <c r="X3721" s="4"/>
    </row>
    <row r="3722" spans="17:24" x14ac:dyDescent="0.3">
      <c r="Q3722" s="4"/>
      <c r="R3722" s="4"/>
      <c r="S3722" s="4"/>
      <c r="T3722" s="4"/>
      <c r="U3722" s="4"/>
      <c r="V3722" s="4"/>
      <c r="W3722" s="4"/>
      <c r="X3722" s="4"/>
    </row>
    <row r="3723" spans="17:24" x14ac:dyDescent="0.3">
      <c r="Q3723" s="4"/>
      <c r="R3723" s="4"/>
      <c r="S3723" s="4"/>
      <c r="T3723" s="4"/>
      <c r="U3723" s="4"/>
      <c r="V3723" s="4"/>
      <c r="W3723" s="4"/>
      <c r="X3723" s="4"/>
    </row>
    <row r="3724" spans="17:24" x14ac:dyDescent="0.3">
      <c r="Q3724" s="4"/>
      <c r="R3724" s="4"/>
      <c r="S3724" s="4"/>
      <c r="T3724" s="4"/>
      <c r="U3724" s="4"/>
      <c r="V3724" s="4"/>
      <c r="W3724" s="4"/>
      <c r="X3724" s="4"/>
    </row>
    <row r="3725" spans="17:24" x14ac:dyDescent="0.3">
      <c r="Q3725" s="4"/>
      <c r="R3725" s="4"/>
      <c r="S3725" s="4"/>
      <c r="T3725" s="4"/>
      <c r="U3725" s="4"/>
      <c r="V3725" s="4"/>
      <c r="W3725" s="4"/>
      <c r="X3725" s="4"/>
    </row>
    <row r="3726" spans="17:24" x14ac:dyDescent="0.3">
      <c r="Q3726" s="4"/>
      <c r="R3726" s="4"/>
      <c r="S3726" s="4"/>
      <c r="T3726" s="4"/>
      <c r="U3726" s="4"/>
      <c r="V3726" s="4"/>
      <c r="W3726" s="4"/>
      <c r="X3726" s="4"/>
    </row>
    <row r="3727" spans="17:24" x14ac:dyDescent="0.3">
      <c r="Q3727" s="4"/>
      <c r="R3727" s="4"/>
      <c r="S3727" s="4"/>
      <c r="T3727" s="4"/>
      <c r="U3727" s="4"/>
      <c r="V3727" s="4"/>
      <c r="W3727" s="4"/>
      <c r="X3727" s="4"/>
    </row>
    <row r="3728" spans="17:24" x14ac:dyDescent="0.3">
      <c r="Q3728" s="4"/>
      <c r="R3728" s="4"/>
      <c r="S3728" s="4"/>
      <c r="T3728" s="4"/>
      <c r="U3728" s="4"/>
      <c r="V3728" s="4"/>
      <c r="W3728" s="4"/>
      <c r="X3728" s="4"/>
    </row>
    <row r="3729" spans="17:24" x14ac:dyDescent="0.3">
      <c r="Q3729" s="4"/>
      <c r="R3729" s="4"/>
      <c r="S3729" s="4"/>
      <c r="T3729" s="4"/>
      <c r="U3729" s="4"/>
      <c r="V3729" s="4"/>
      <c r="W3729" s="4"/>
      <c r="X3729" s="4"/>
    </row>
    <row r="3730" spans="17:24" x14ac:dyDescent="0.3">
      <c r="Q3730" s="4"/>
      <c r="R3730" s="4"/>
      <c r="S3730" s="4"/>
      <c r="T3730" s="4"/>
      <c r="U3730" s="4"/>
      <c r="V3730" s="4"/>
      <c r="W3730" s="4"/>
      <c r="X3730" s="4"/>
    </row>
    <row r="3731" spans="17:24" x14ac:dyDescent="0.3">
      <c r="Q3731" s="4"/>
      <c r="R3731" s="4"/>
      <c r="S3731" s="4"/>
      <c r="T3731" s="4"/>
      <c r="U3731" s="4"/>
      <c r="V3731" s="4"/>
      <c r="W3731" s="4"/>
      <c r="X3731" s="4"/>
    </row>
    <row r="3732" spans="17:24" x14ac:dyDescent="0.3">
      <c r="Q3732" s="4"/>
      <c r="R3732" s="4"/>
      <c r="S3732" s="4"/>
      <c r="T3732" s="4"/>
      <c r="U3732" s="4"/>
      <c r="V3732" s="4"/>
      <c r="W3732" s="4"/>
      <c r="X3732" s="4"/>
    </row>
    <row r="3733" spans="17:24" x14ac:dyDescent="0.3">
      <c r="Q3733" s="4"/>
      <c r="R3733" s="4"/>
      <c r="S3733" s="4"/>
      <c r="T3733" s="4"/>
      <c r="U3733" s="4"/>
      <c r="V3733" s="4"/>
      <c r="W3733" s="4"/>
      <c r="X3733" s="4"/>
    </row>
    <row r="3734" spans="17:24" x14ac:dyDescent="0.3">
      <c r="Q3734" s="4"/>
      <c r="R3734" s="4"/>
      <c r="S3734" s="4"/>
      <c r="T3734" s="4"/>
      <c r="U3734" s="4"/>
      <c r="V3734" s="4"/>
      <c r="W3734" s="4"/>
      <c r="X3734" s="4"/>
    </row>
    <row r="3735" spans="17:24" x14ac:dyDescent="0.3">
      <c r="Q3735" s="4"/>
      <c r="R3735" s="4"/>
      <c r="S3735" s="4"/>
      <c r="T3735" s="4"/>
      <c r="U3735" s="4"/>
      <c r="V3735" s="4"/>
      <c r="W3735" s="4"/>
      <c r="X3735" s="4"/>
    </row>
    <row r="3736" spans="17:24" x14ac:dyDescent="0.3">
      <c r="Q3736" s="4"/>
      <c r="R3736" s="4"/>
      <c r="S3736" s="4"/>
      <c r="T3736" s="4"/>
      <c r="U3736" s="4"/>
      <c r="V3736" s="4"/>
      <c r="W3736" s="4"/>
      <c r="X3736" s="4"/>
    </row>
    <row r="3737" spans="17:24" x14ac:dyDescent="0.3">
      <c r="Q3737" s="4"/>
      <c r="R3737" s="4"/>
      <c r="S3737" s="4"/>
      <c r="T3737" s="4"/>
      <c r="U3737" s="4"/>
      <c r="V3737" s="4"/>
      <c r="W3737" s="4"/>
      <c r="X3737" s="4"/>
    </row>
    <row r="3738" spans="17:24" x14ac:dyDescent="0.3">
      <c r="Q3738" s="4"/>
      <c r="R3738" s="4"/>
      <c r="S3738" s="4"/>
      <c r="T3738" s="4"/>
      <c r="U3738" s="4"/>
      <c r="V3738" s="4"/>
      <c r="W3738" s="4"/>
      <c r="X3738" s="4"/>
    </row>
    <row r="3739" spans="17:24" x14ac:dyDescent="0.3">
      <c r="Q3739" s="4"/>
      <c r="R3739" s="4"/>
      <c r="S3739" s="4"/>
      <c r="T3739" s="4"/>
      <c r="U3739" s="4"/>
      <c r="V3739" s="4"/>
      <c r="W3739" s="4"/>
      <c r="X3739" s="4"/>
    </row>
    <row r="3740" spans="17:24" x14ac:dyDescent="0.3">
      <c r="Q3740" s="4"/>
      <c r="R3740" s="4"/>
      <c r="S3740" s="4"/>
      <c r="T3740" s="4"/>
      <c r="U3740" s="4"/>
      <c r="V3740" s="4"/>
      <c r="W3740" s="4"/>
      <c r="X3740" s="4"/>
    </row>
    <row r="3741" spans="17:24" x14ac:dyDescent="0.3">
      <c r="Q3741" s="4"/>
      <c r="R3741" s="4"/>
      <c r="S3741" s="4"/>
      <c r="T3741" s="4"/>
      <c r="U3741" s="4"/>
      <c r="V3741" s="4"/>
      <c r="W3741" s="4"/>
      <c r="X3741" s="4"/>
    </row>
    <row r="3742" spans="17:24" x14ac:dyDescent="0.3">
      <c r="Q3742" s="4"/>
      <c r="R3742" s="4"/>
      <c r="S3742" s="4"/>
      <c r="T3742" s="4"/>
      <c r="U3742" s="4"/>
      <c r="V3742" s="4"/>
      <c r="W3742" s="4"/>
      <c r="X3742" s="4"/>
    </row>
    <row r="3743" spans="17:24" x14ac:dyDescent="0.3">
      <c r="Q3743" s="4"/>
      <c r="R3743" s="4"/>
      <c r="S3743" s="4"/>
      <c r="T3743" s="4"/>
      <c r="U3743" s="4"/>
      <c r="V3743" s="4"/>
      <c r="W3743" s="4"/>
      <c r="X3743" s="4"/>
    </row>
    <row r="3744" spans="17:24" x14ac:dyDescent="0.3">
      <c r="Q3744" s="4"/>
      <c r="R3744" s="4"/>
      <c r="S3744" s="4"/>
      <c r="T3744" s="4"/>
      <c r="U3744" s="4"/>
      <c r="V3744" s="4"/>
      <c r="W3744" s="4"/>
      <c r="X3744" s="4"/>
    </row>
    <row r="3745" spans="17:24" x14ac:dyDescent="0.3">
      <c r="Q3745" s="4"/>
      <c r="R3745" s="4"/>
      <c r="S3745" s="4"/>
      <c r="T3745" s="4"/>
      <c r="U3745" s="4"/>
      <c r="V3745" s="4"/>
      <c r="W3745" s="4"/>
      <c r="X3745" s="4"/>
    </row>
    <row r="3746" spans="17:24" x14ac:dyDescent="0.3">
      <c r="Q3746" s="4"/>
      <c r="R3746" s="4"/>
      <c r="S3746" s="4"/>
      <c r="T3746" s="4"/>
      <c r="U3746" s="4"/>
      <c r="V3746" s="4"/>
      <c r="W3746" s="4"/>
      <c r="X3746" s="4"/>
    </row>
    <row r="3747" spans="17:24" x14ac:dyDescent="0.3">
      <c r="Q3747" s="4"/>
      <c r="R3747" s="4"/>
      <c r="S3747" s="4"/>
      <c r="T3747" s="4"/>
      <c r="U3747" s="4"/>
      <c r="V3747" s="4"/>
      <c r="W3747" s="4"/>
      <c r="X3747" s="4"/>
    </row>
    <row r="3748" spans="17:24" x14ac:dyDescent="0.3">
      <c r="Q3748" s="4"/>
      <c r="R3748" s="4"/>
      <c r="S3748" s="4"/>
      <c r="T3748" s="4"/>
      <c r="U3748" s="4"/>
      <c r="V3748" s="4"/>
      <c r="W3748" s="4"/>
      <c r="X3748" s="4"/>
    </row>
    <row r="3749" spans="17:24" x14ac:dyDescent="0.3">
      <c r="Q3749" s="4"/>
      <c r="R3749" s="4"/>
      <c r="S3749" s="4"/>
      <c r="T3749" s="4"/>
      <c r="U3749" s="4"/>
      <c r="V3749" s="4"/>
      <c r="W3749" s="4"/>
      <c r="X3749" s="4"/>
    </row>
    <row r="3750" spans="17:24" x14ac:dyDescent="0.3">
      <c r="Q3750" s="4"/>
      <c r="R3750" s="4"/>
      <c r="S3750" s="4"/>
      <c r="T3750" s="4"/>
      <c r="U3750" s="4"/>
      <c r="V3750" s="4"/>
      <c r="W3750" s="4"/>
      <c r="X3750" s="4"/>
    </row>
    <row r="3751" spans="17:24" x14ac:dyDescent="0.3">
      <c r="Q3751" s="4"/>
      <c r="R3751" s="4"/>
      <c r="S3751" s="4"/>
      <c r="T3751" s="4"/>
      <c r="U3751" s="4"/>
      <c r="V3751" s="4"/>
      <c r="W3751" s="4"/>
      <c r="X3751" s="4"/>
    </row>
    <row r="3752" spans="17:24" x14ac:dyDescent="0.3">
      <c r="Q3752" s="4"/>
      <c r="R3752" s="4"/>
      <c r="S3752" s="4"/>
      <c r="T3752" s="4"/>
      <c r="U3752" s="4"/>
      <c r="V3752" s="4"/>
      <c r="W3752" s="4"/>
      <c r="X3752" s="4"/>
    </row>
    <row r="3753" spans="17:24" x14ac:dyDescent="0.3">
      <c r="Q3753" s="4"/>
      <c r="R3753" s="4"/>
      <c r="S3753" s="4"/>
      <c r="T3753" s="4"/>
      <c r="U3753" s="4"/>
      <c r="V3753" s="4"/>
      <c r="W3753" s="4"/>
      <c r="X3753" s="4"/>
    </row>
    <row r="3754" spans="17:24" x14ac:dyDescent="0.3">
      <c r="Q3754" s="4"/>
      <c r="R3754" s="4"/>
      <c r="S3754" s="4"/>
      <c r="T3754" s="4"/>
      <c r="U3754" s="4"/>
      <c r="V3754" s="4"/>
      <c r="W3754" s="4"/>
      <c r="X3754" s="4"/>
    </row>
    <row r="3755" spans="17:24" x14ac:dyDescent="0.3">
      <c r="Q3755" s="4"/>
      <c r="R3755" s="4"/>
      <c r="S3755" s="4"/>
      <c r="T3755" s="4"/>
      <c r="U3755" s="4"/>
      <c r="V3755" s="4"/>
      <c r="W3755" s="4"/>
      <c r="X3755" s="4"/>
    </row>
    <row r="3756" spans="17:24" x14ac:dyDescent="0.3">
      <c r="Q3756" s="4"/>
      <c r="R3756" s="4"/>
      <c r="S3756" s="4"/>
      <c r="T3756" s="4"/>
      <c r="U3756" s="4"/>
      <c r="V3756" s="4"/>
      <c r="W3756" s="4"/>
      <c r="X3756" s="4"/>
    </row>
    <row r="3757" spans="17:24" x14ac:dyDescent="0.3">
      <c r="Q3757" s="4"/>
      <c r="R3757" s="4"/>
      <c r="S3757" s="4"/>
      <c r="T3757" s="4"/>
      <c r="U3757" s="4"/>
      <c r="V3757" s="4"/>
      <c r="W3757" s="4"/>
      <c r="X3757" s="4"/>
    </row>
    <row r="3758" spans="17:24" x14ac:dyDescent="0.3">
      <c r="Q3758" s="4"/>
      <c r="R3758" s="4"/>
      <c r="S3758" s="4"/>
      <c r="T3758" s="4"/>
      <c r="U3758" s="4"/>
      <c r="V3758" s="4"/>
      <c r="W3758" s="4"/>
      <c r="X3758" s="4"/>
    </row>
    <row r="3759" spans="17:24" x14ac:dyDescent="0.3">
      <c r="Q3759" s="4"/>
      <c r="R3759" s="4"/>
      <c r="S3759" s="4"/>
      <c r="T3759" s="4"/>
      <c r="U3759" s="4"/>
      <c r="V3759" s="4"/>
      <c r="W3759" s="4"/>
      <c r="X3759" s="4"/>
    </row>
    <row r="3760" spans="17:24" x14ac:dyDescent="0.3">
      <c r="Q3760" s="4"/>
      <c r="R3760" s="4"/>
      <c r="S3760" s="4"/>
      <c r="T3760" s="4"/>
      <c r="U3760" s="4"/>
      <c r="V3760" s="4"/>
      <c r="W3760" s="4"/>
      <c r="X3760" s="4"/>
    </row>
    <row r="3761" spans="17:24" x14ac:dyDescent="0.3">
      <c r="Q3761" s="4"/>
      <c r="R3761" s="4"/>
      <c r="S3761" s="4"/>
      <c r="T3761" s="4"/>
      <c r="U3761" s="4"/>
      <c r="V3761" s="4"/>
      <c r="W3761" s="4"/>
      <c r="X3761" s="4"/>
    </row>
    <row r="3762" spans="17:24" x14ac:dyDescent="0.3">
      <c r="Q3762" s="4"/>
      <c r="R3762" s="4"/>
      <c r="S3762" s="4"/>
      <c r="T3762" s="4"/>
      <c r="U3762" s="4"/>
      <c r="V3762" s="4"/>
      <c r="W3762" s="4"/>
      <c r="X3762" s="4"/>
    </row>
    <row r="3763" spans="17:24" x14ac:dyDescent="0.3">
      <c r="Q3763" s="4"/>
      <c r="R3763" s="4"/>
      <c r="S3763" s="4"/>
      <c r="T3763" s="4"/>
      <c r="U3763" s="4"/>
      <c r="V3763" s="4"/>
      <c r="W3763" s="4"/>
      <c r="X3763" s="4"/>
    </row>
    <row r="3764" spans="17:24" x14ac:dyDescent="0.3">
      <c r="Q3764" s="4"/>
      <c r="R3764" s="4"/>
      <c r="S3764" s="4"/>
      <c r="T3764" s="4"/>
      <c r="U3764" s="4"/>
      <c r="V3764" s="4"/>
      <c r="W3764" s="4"/>
      <c r="X3764" s="4"/>
    </row>
    <row r="3765" spans="17:24" x14ac:dyDescent="0.3">
      <c r="Q3765" s="4"/>
      <c r="R3765" s="4"/>
      <c r="S3765" s="4"/>
      <c r="T3765" s="4"/>
      <c r="U3765" s="4"/>
      <c r="V3765" s="4"/>
      <c r="W3765" s="4"/>
      <c r="X3765" s="4"/>
    </row>
    <row r="3766" spans="17:24" x14ac:dyDescent="0.3">
      <c r="Q3766" s="4"/>
      <c r="R3766" s="4"/>
      <c r="S3766" s="4"/>
      <c r="T3766" s="4"/>
      <c r="U3766" s="4"/>
      <c r="V3766" s="4"/>
      <c r="W3766" s="4"/>
      <c r="X3766" s="4"/>
    </row>
    <row r="3767" spans="17:24" x14ac:dyDescent="0.3">
      <c r="Q3767" s="4"/>
      <c r="R3767" s="4"/>
      <c r="S3767" s="4"/>
      <c r="T3767" s="4"/>
      <c r="U3767" s="4"/>
      <c r="V3767" s="4"/>
      <c r="W3767" s="4"/>
      <c r="X3767" s="4"/>
    </row>
    <row r="3768" spans="17:24" x14ac:dyDescent="0.3">
      <c r="Q3768" s="4"/>
      <c r="R3768" s="4"/>
      <c r="S3768" s="4"/>
      <c r="T3768" s="4"/>
      <c r="U3768" s="4"/>
      <c r="V3768" s="4"/>
      <c r="W3768" s="4"/>
      <c r="X3768" s="4"/>
    </row>
    <row r="3769" spans="17:24" x14ac:dyDescent="0.3">
      <c r="Q3769" s="4"/>
      <c r="R3769" s="4"/>
      <c r="S3769" s="4"/>
      <c r="T3769" s="4"/>
      <c r="U3769" s="4"/>
      <c r="V3769" s="4"/>
      <c r="W3769" s="4"/>
      <c r="X3769" s="4"/>
    </row>
    <row r="3770" spans="17:24" x14ac:dyDescent="0.3">
      <c r="Q3770" s="4"/>
      <c r="R3770" s="4"/>
      <c r="S3770" s="4"/>
      <c r="T3770" s="4"/>
      <c r="U3770" s="4"/>
      <c r="V3770" s="4"/>
      <c r="W3770" s="4"/>
      <c r="X3770" s="4"/>
    </row>
    <row r="3771" spans="17:24" x14ac:dyDescent="0.3">
      <c r="Q3771" s="4"/>
      <c r="R3771" s="4"/>
      <c r="S3771" s="4"/>
      <c r="T3771" s="4"/>
      <c r="U3771" s="4"/>
      <c r="V3771" s="4"/>
      <c r="W3771" s="4"/>
      <c r="X3771" s="4"/>
    </row>
    <row r="3772" spans="17:24" x14ac:dyDescent="0.3">
      <c r="Q3772" s="4"/>
      <c r="R3772" s="4"/>
      <c r="S3772" s="4"/>
      <c r="T3772" s="4"/>
      <c r="U3772" s="4"/>
      <c r="V3772" s="4"/>
      <c r="W3772" s="4"/>
      <c r="X3772" s="4"/>
    </row>
    <row r="3773" spans="17:24" x14ac:dyDescent="0.3">
      <c r="Q3773" s="4"/>
      <c r="R3773" s="4"/>
      <c r="S3773" s="4"/>
      <c r="T3773" s="4"/>
      <c r="U3773" s="4"/>
      <c r="V3773" s="4"/>
      <c r="W3773" s="4"/>
      <c r="X3773" s="4"/>
    </row>
    <row r="3774" spans="17:24" x14ac:dyDescent="0.3">
      <c r="Q3774" s="4"/>
      <c r="R3774" s="4"/>
      <c r="S3774" s="4"/>
      <c r="T3774" s="4"/>
      <c r="U3774" s="4"/>
      <c r="V3774" s="4"/>
      <c r="W3774" s="4"/>
      <c r="X3774" s="4"/>
    </row>
    <row r="3775" spans="17:24" x14ac:dyDescent="0.3">
      <c r="Q3775" s="4"/>
      <c r="R3775" s="4"/>
      <c r="S3775" s="4"/>
      <c r="T3775" s="4"/>
      <c r="U3775" s="4"/>
      <c r="V3775" s="4"/>
      <c r="W3775" s="4"/>
      <c r="X3775" s="4"/>
    </row>
    <row r="3776" spans="17:24" x14ac:dyDescent="0.3">
      <c r="Q3776" s="4"/>
      <c r="R3776" s="4"/>
      <c r="S3776" s="4"/>
      <c r="T3776" s="4"/>
      <c r="U3776" s="4"/>
      <c r="V3776" s="4"/>
      <c r="W3776" s="4"/>
      <c r="X3776" s="4"/>
    </row>
    <row r="3777" spans="17:24" x14ac:dyDescent="0.3">
      <c r="Q3777" s="4"/>
      <c r="R3777" s="4"/>
      <c r="S3777" s="4"/>
      <c r="T3777" s="4"/>
      <c r="U3777" s="4"/>
      <c r="V3777" s="4"/>
      <c r="W3777" s="4"/>
      <c r="X3777" s="4"/>
    </row>
    <row r="3778" spans="17:24" x14ac:dyDescent="0.3">
      <c r="Q3778" s="4"/>
      <c r="R3778" s="4"/>
      <c r="S3778" s="4"/>
      <c r="T3778" s="4"/>
      <c r="U3778" s="4"/>
      <c r="V3778" s="4"/>
      <c r="W3778" s="4"/>
      <c r="X3778" s="4"/>
    </row>
    <row r="3779" spans="17:24" x14ac:dyDescent="0.3">
      <c r="Q3779" s="4"/>
      <c r="R3779" s="4"/>
      <c r="S3779" s="4"/>
      <c r="T3779" s="4"/>
      <c r="U3779" s="4"/>
      <c r="V3779" s="4"/>
      <c r="W3779" s="4"/>
      <c r="X3779" s="4"/>
    </row>
    <row r="3780" spans="17:24" x14ac:dyDescent="0.3">
      <c r="Q3780" s="4"/>
      <c r="R3780" s="4"/>
      <c r="S3780" s="4"/>
      <c r="T3780" s="4"/>
      <c r="U3780" s="4"/>
      <c r="V3780" s="4"/>
      <c r="W3780" s="4"/>
      <c r="X3780" s="4"/>
    </row>
    <row r="3781" spans="17:24" x14ac:dyDescent="0.3">
      <c r="Q3781" s="4"/>
      <c r="R3781" s="4"/>
      <c r="S3781" s="4"/>
      <c r="T3781" s="4"/>
      <c r="U3781" s="4"/>
      <c r="V3781" s="4"/>
      <c r="W3781" s="4"/>
      <c r="X3781" s="4"/>
    </row>
    <row r="3782" spans="17:24" x14ac:dyDescent="0.3">
      <c r="Q3782" s="4"/>
      <c r="R3782" s="4"/>
      <c r="S3782" s="4"/>
      <c r="T3782" s="4"/>
      <c r="U3782" s="4"/>
      <c r="V3782" s="4"/>
      <c r="W3782" s="4"/>
      <c r="X3782" s="4"/>
    </row>
    <row r="3783" spans="17:24" x14ac:dyDescent="0.3">
      <c r="Q3783" s="4"/>
      <c r="R3783" s="4"/>
      <c r="S3783" s="4"/>
      <c r="T3783" s="4"/>
      <c r="U3783" s="4"/>
      <c r="V3783" s="4"/>
      <c r="W3783" s="4"/>
      <c r="X3783" s="4"/>
    </row>
    <row r="3784" spans="17:24" x14ac:dyDescent="0.3">
      <c r="Q3784" s="4"/>
      <c r="R3784" s="4"/>
      <c r="S3784" s="4"/>
      <c r="T3784" s="4"/>
      <c r="U3784" s="4"/>
      <c r="V3784" s="4"/>
      <c r="W3784" s="4"/>
      <c r="X3784" s="4"/>
    </row>
    <row r="3785" spans="17:24" x14ac:dyDescent="0.3">
      <c r="Q3785" s="4"/>
      <c r="R3785" s="4"/>
      <c r="S3785" s="4"/>
      <c r="T3785" s="4"/>
      <c r="U3785" s="4"/>
      <c r="V3785" s="4"/>
      <c r="W3785" s="4"/>
      <c r="X3785" s="4"/>
    </row>
    <row r="3786" spans="17:24" x14ac:dyDescent="0.3">
      <c r="Q3786" s="4"/>
      <c r="R3786" s="4"/>
      <c r="S3786" s="4"/>
      <c r="T3786" s="4"/>
      <c r="U3786" s="4"/>
      <c r="V3786" s="4"/>
      <c r="W3786" s="4"/>
      <c r="X3786" s="4"/>
    </row>
    <row r="3787" spans="17:24" x14ac:dyDescent="0.3">
      <c r="Q3787" s="4"/>
      <c r="R3787" s="4"/>
      <c r="S3787" s="4"/>
      <c r="T3787" s="4"/>
      <c r="U3787" s="4"/>
      <c r="V3787" s="4"/>
      <c r="W3787" s="4"/>
      <c r="X3787" s="4"/>
    </row>
    <row r="3788" spans="17:24" x14ac:dyDescent="0.3">
      <c r="Q3788" s="4"/>
      <c r="R3788" s="4"/>
      <c r="S3788" s="4"/>
      <c r="T3788" s="4"/>
      <c r="U3788" s="4"/>
      <c r="V3788" s="4"/>
      <c r="W3788" s="4"/>
      <c r="X3788" s="4"/>
    </row>
    <row r="3789" spans="17:24" x14ac:dyDescent="0.3">
      <c r="Q3789" s="4"/>
      <c r="R3789" s="4"/>
      <c r="S3789" s="4"/>
      <c r="T3789" s="4"/>
      <c r="U3789" s="4"/>
      <c r="V3789" s="4"/>
      <c r="W3789" s="4"/>
      <c r="X3789" s="4"/>
    </row>
    <row r="3790" spans="17:24" x14ac:dyDescent="0.3">
      <c r="Q3790" s="4"/>
      <c r="R3790" s="4"/>
      <c r="S3790" s="4"/>
      <c r="T3790" s="4"/>
      <c r="U3790" s="4"/>
      <c r="V3790" s="4"/>
      <c r="W3790" s="4"/>
      <c r="X3790" s="4"/>
    </row>
    <row r="3791" spans="17:24" x14ac:dyDescent="0.3">
      <c r="Q3791" s="4"/>
      <c r="R3791" s="4"/>
      <c r="S3791" s="4"/>
      <c r="T3791" s="4"/>
      <c r="U3791" s="4"/>
      <c r="V3791" s="4"/>
      <c r="W3791" s="4"/>
      <c r="X3791" s="4"/>
    </row>
    <row r="3792" spans="17:24" x14ac:dyDescent="0.3">
      <c r="Q3792" s="4"/>
      <c r="R3792" s="4"/>
      <c r="S3792" s="4"/>
      <c r="T3792" s="4"/>
      <c r="U3792" s="4"/>
      <c r="V3792" s="4"/>
      <c r="W3792" s="4"/>
      <c r="X3792" s="4"/>
    </row>
    <row r="3793" spans="17:24" x14ac:dyDescent="0.3">
      <c r="Q3793" s="4"/>
      <c r="R3793" s="4"/>
      <c r="S3793" s="4"/>
      <c r="T3793" s="4"/>
      <c r="U3793" s="4"/>
      <c r="V3793" s="4"/>
      <c r="W3793" s="4"/>
      <c r="X3793" s="4"/>
    </row>
    <row r="3794" spans="17:24" x14ac:dyDescent="0.3">
      <c r="Q3794" s="4"/>
      <c r="R3794" s="4"/>
      <c r="S3794" s="4"/>
      <c r="T3794" s="4"/>
      <c r="U3794" s="4"/>
      <c r="V3794" s="4"/>
      <c r="W3794" s="4"/>
      <c r="X3794" s="4"/>
    </row>
    <row r="3795" spans="17:24" x14ac:dyDescent="0.3">
      <c r="Q3795" s="4"/>
      <c r="R3795" s="4"/>
      <c r="S3795" s="4"/>
      <c r="T3795" s="4"/>
      <c r="U3795" s="4"/>
      <c r="V3795" s="4"/>
      <c r="W3795" s="4"/>
      <c r="X3795" s="4"/>
    </row>
    <row r="3796" spans="17:24" x14ac:dyDescent="0.3">
      <c r="Q3796" s="4"/>
      <c r="R3796" s="4"/>
      <c r="S3796" s="4"/>
      <c r="T3796" s="4"/>
      <c r="U3796" s="4"/>
      <c r="V3796" s="4"/>
      <c r="W3796" s="4"/>
      <c r="X3796" s="4"/>
    </row>
    <row r="3797" spans="17:24" x14ac:dyDescent="0.3">
      <c r="Q3797" s="4"/>
      <c r="R3797" s="4"/>
      <c r="S3797" s="4"/>
      <c r="T3797" s="4"/>
      <c r="U3797" s="4"/>
      <c r="V3797" s="4"/>
      <c r="W3797" s="4"/>
      <c r="X3797" s="4"/>
    </row>
    <row r="3798" spans="17:24" x14ac:dyDescent="0.3">
      <c r="Q3798" s="4"/>
      <c r="R3798" s="4"/>
      <c r="S3798" s="4"/>
      <c r="T3798" s="4"/>
      <c r="U3798" s="4"/>
      <c r="V3798" s="4"/>
      <c r="W3798" s="4"/>
      <c r="X3798" s="4"/>
    </row>
    <row r="3799" spans="17:24" x14ac:dyDescent="0.3">
      <c r="Q3799" s="4"/>
      <c r="R3799" s="4"/>
      <c r="S3799" s="4"/>
      <c r="T3799" s="4"/>
      <c r="U3799" s="4"/>
      <c r="V3799" s="4"/>
      <c r="W3799" s="4"/>
      <c r="X3799" s="4"/>
    </row>
    <row r="3800" spans="17:24" x14ac:dyDescent="0.3">
      <c r="Q3800" s="4"/>
      <c r="R3800" s="4"/>
      <c r="S3800" s="4"/>
      <c r="T3800" s="4"/>
      <c r="U3800" s="4"/>
      <c r="V3800" s="4"/>
      <c r="W3800" s="4"/>
      <c r="X3800" s="4"/>
    </row>
    <row r="3801" spans="17:24" x14ac:dyDescent="0.3">
      <c r="Q3801" s="4"/>
      <c r="R3801" s="4"/>
      <c r="S3801" s="4"/>
      <c r="T3801" s="4"/>
      <c r="U3801" s="4"/>
      <c r="V3801" s="4"/>
      <c r="W3801" s="4"/>
      <c r="X3801" s="4"/>
    </row>
    <row r="3802" spans="17:24" x14ac:dyDescent="0.3">
      <c r="Q3802" s="4"/>
      <c r="R3802" s="4"/>
      <c r="S3802" s="4"/>
      <c r="T3802" s="4"/>
      <c r="U3802" s="4"/>
      <c r="V3802" s="4"/>
      <c r="W3802" s="4"/>
      <c r="X3802" s="4"/>
    </row>
    <row r="3803" spans="17:24" x14ac:dyDescent="0.3">
      <c r="Q3803" s="4"/>
      <c r="R3803" s="4"/>
      <c r="S3803" s="4"/>
      <c r="T3803" s="4"/>
      <c r="U3803" s="4"/>
      <c r="V3803" s="4"/>
      <c r="W3803" s="4"/>
      <c r="X3803" s="4"/>
    </row>
    <row r="3804" spans="17:24" x14ac:dyDescent="0.3">
      <c r="Q3804" s="4"/>
      <c r="R3804" s="4"/>
      <c r="S3804" s="4"/>
      <c r="T3804" s="4"/>
      <c r="U3804" s="4"/>
      <c r="V3804" s="4"/>
      <c r="W3804" s="4"/>
      <c r="X3804" s="4"/>
    </row>
    <row r="3805" spans="17:24" x14ac:dyDescent="0.3">
      <c r="Q3805" s="4"/>
      <c r="R3805" s="4"/>
      <c r="S3805" s="4"/>
      <c r="T3805" s="4"/>
      <c r="U3805" s="4"/>
      <c r="V3805" s="4"/>
      <c r="W3805" s="4"/>
      <c r="X3805" s="4"/>
    </row>
    <row r="3806" spans="17:24" x14ac:dyDescent="0.3">
      <c r="Q3806" s="4"/>
      <c r="R3806" s="4"/>
      <c r="S3806" s="4"/>
      <c r="T3806" s="4"/>
      <c r="U3806" s="4"/>
      <c r="V3806" s="4"/>
      <c r="W3806" s="4"/>
      <c r="X3806" s="4"/>
    </row>
    <row r="3807" spans="17:24" x14ac:dyDescent="0.3">
      <c r="Q3807" s="4"/>
      <c r="R3807" s="4"/>
      <c r="S3807" s="4"/>
      <c r="T3807" s="4"/>
      <c r="U3807" s="4"/>
      <c r="V3807" s="4"/>
      <c r="W3807" s="4"/>
      <c r="X3807" s="4"/>
    </row>
    <row r="3808" spans="17:24" x14ac:dyDescent="0.3">
      <c r="Q3808" s="4"/>
      <c r="R3808" s="4"/>
      <c r="S3808" s="4"/>
      <c r="T3808" s="4"/>
      <c r="U3808" s="4"/>
      <c r="V3808" s="4"/>
      <c r="W3808" s="4"/>
      <c r="X3808" s="4"/>
    </row>
    <row r="3809" spans="17:24" x14ac:dyDescent="0.3">
      <c r="Q3809" s="4"/>
      <c r="R3809" s="4"/>
      <c r="S3809" s="4"/>
      <c r="T3809" s="4"/>
      <c r="U3809" s="4"/>
      <c r="V3809" s="4"/>
      <c r="W3809" s="4"/>
      <c r="X3809" s="4"/>
    </row>
    <row r="3810" spans="17:24" x14ac:dyDescent="0.3">
      <c r="Q3810" s="4"/>
      <c r="R3810" s="4"/>
      <c r="S3810" s="4"/>
      <c r="T3810" s="4"/>
      <c r="U3810" s="4"/>
      <c r="V3810" s="4"/>
      <c r="W3810" s="4"/>
      <c r="X3810" s="4"/>
    </row>
    <row r="3811" spans="17:24" x14ac:dyDescent="0.3">
      <c r="Q3811" s="4"/>
      <c r="R3811" s="4"/>
      <c r="S3811" s="4"/>
      <c r="T3811" s="4"/>
      <c r="U3811" s="4"/>
      <c r="V3811" s="4"/>
      <c r="W3811" s="4"/>
      <c r="X3811" s="4"/>
    </row>
    <row r="3812" spans="17:24" x14ac:dyDescent="0.3">
      <c r="Q3812" s="4"/>
      <c r="R3812" s="4"/>
      <c r="S3812" s="4"/>
      <c r="T3812" s="4"/>
      <c r="U3812" s="4"/>
      <c r="V3812" s="4"/>
      <c r="W3812" s="4"/>
      <c r="X3812" s="4"/>
    </row>
    <row r="3813" spans="17:24" x14ac:dyDescent="0.3">
      <c r="Q3813" s="4"/>
      <c r="R3813" s="4"/>
      <c r="S3813" s="4"/>
      <c r="T3813" s="4"/>
      <c r="U3813" s="4"/>
      <c r="V3813" s="4"/>
      <c r="W3813" s="4"/>
      <c r="X3813" s="4"/>
    </row>
    <row r="3814" spans="17:24" x14ac:dyDescent="0.3">
      <c r="Q3814" s="4"/>
      <c r="R3814" s="4"/>
      <c r="S3814" s="4"/>
      <c r="T3814" s="4"/>
      <c r="U3814" s="4"/>
      <c r="V3814" s="4"/>
      <c r="W3814" s="4"/>
      <c r="X3814" s="4"/>
    </row>
    <row r="3815" spans="17:24" x14ac:dyDescent="0.3">
      <c r="Q3815" s="4"/>
      <c r="R3815" s="4"/>
      <c r="S3815" s="4"/>
      <c r="T3815" s="4"/>
      <c r="U3815" s="4"/>
      <c r="V3815" s="4"/>
      <c r="W3815" s="4"/>
      <c r="X3815" s="4"/>
    </row>
    <row r="3816" spans="17:24" x14ac:dyDescent="0.3">
      <c r="Q3816" s="4"/>
      <c r="R3816" s="4"/>
      <c r="S3816" s="4"/>
      <c r="T3816" s="4"/>
      <c r="U3816" s="4"/>
      <c r="V3816" s="4"/>
      <c r="W3816" s="4"/>
      <c r="X3816" s="4"/>
    </row>
    <row r="3817" spans="17:24" x14ac:dyDescent="0.3">
      <c r="Q3817" s="4"/>
      <c r="R3817" s="4"/>
      <c r="S3817" s="4"/>
      <c r="T3817" s="4"/>
      <c r="U3817" s="4"/>
      <c r="V3817" s="4"/>
      <c r="W3817" s="4"/>
      <c r="X3817" s="4"/>
    </row>
    <row r="3818" spans="17:24" x14ac:dyDescent="0.3">
      <c r="Q3818" s="4"/>
      <c r="R3818" s="4"/>
      <c r="S3818" s="4"/>
      <c r="T3818" s="4"/>
      <c r="U3818" s="4"/>
      <c r="V3818" s="4"/>
      <c r="W3818" s="4"/>
      <c r="X3818" s="4"/>
    </row>
    <row r="3819" spans="17:24" x14ac:dyDescent="0.3">
      <c r="Q3819" s="4"/>
      <c r="R3819" s="4"/>
      <c r="S3819" s="4"/>
      <c r="T3819" s="4"/>
      <c r="U3819" s="4"/>
      <c r="V3819" s="4"/>
      <c r="W3819" s="4"/>
      <c r="X3819" s="4"/>
    </row>
    <row r="3820" spans="17:24" x14ac:dyDescent="0.3">
      <c r="Q3820" s="4"/>
      <c r="R3820" s="4"/>
      <c r="S3820" s="4"/>
      <c r="T3820" s="4"/>
      <c r="U3820" s="4"/>
      <c r="V3820" s="4"/>
      <c r="W3820" s="4"/>
      <c r="X3820" s="4"/>
    </row>
    <row r="3821" spans="17:24" x14ac:dyDescent="0.3">
      <c r="Q3821" s="4"/>
      <c r="R3821" s="4"/>
      <c r="S3821" s="4"/>
      <c r="T3821" s="4"/>
      <c r="U3821" s="4"/>
      <c r="V3821" s="4"/>
      <c r="W3821" s="4"/>
      <c r="X3821" s="4"/>
    </row>
    <row r="3822" spans="17:24" x14ac:dyDescent="0.3">
      <c r="Q3822" s="4"/>
      <c r="R3822" s="4"/>
      <c r="S3822" s="4"/>
      <c r="T3822" s="4"/>
      <c r="U3822" s="4"/>
      <c r="V3822" s="4"/>
      <c r="W3822" s="4"/>
      <c r="X3822" s="4"/>
    </row>
    <row r="3823" spans="17:24" x14ac:dyDescent="0.3">
      <c r="Q3823" s="4"/>
      <c r="R3823" s="4"/>
      <c r="S3823" s="4"/>
      <c r="T3823" s="4"/>
      <c r="U3823" s="4"/>
      <c r="V3823" s="4"/>
      <c r="W3823" s="4"/>
      <c r="X3823" s="4"/>
    </row>
    <row r="3824" spans="17:24" x14ac:dyDescent="0.3">
      <c r="Q3824" s="4"/>
      <c r="R3824" s="4"/>
      <c r="S3824" s="4"/>
      <c r="T3824" s="4"/>
      <c r="U3824" s="4"/>
      <c r="V3824" s="4"/>
      <c r="W3824" s="4"/>
      <c r="X3824" s="4"/>
    </row>
    <row r="3825" spans="17:24" x14ac:dyDescent="0.3">
      <c r="Q3825" s="4"/>
      <c r="R3825" s="4"/>
      <c r="S3825" s="4"/>
      <c r="T3825" s="4"/>
      <c r="U3825" s="4"/>
      <c r="V3825" s="4"/>
      <c r="W3825" s="4"/>
      <c r="X3825" s="4"/>
    </row>
    <row r="3826" spans="17:24" x14ac:dyDescent="0.3">
      <c r="Q3826" s="4"/>
      <c r="R3826" s="4"/>
      <c r="S3826" s="4"/>
      <c r="T3826" s="4"/>
      <c r="U3826" s="4"/>
      <c r="V3826" s="4"/>
      <c r="W3826" s="4"/>
      <c r="X3826" s="4"/>
    </row>
    <row r="3827" spans="17:24" x14ac:dyDescent="0.3">
      <c r="Q3827" s="4"/>
      <c r="R3827" s="4"/>
      <c r="S3827" s="4"/>
      <c r="T3827" s="4"/>
      <c r="U3827" s="4"/>
      <c r="V3827" s="4"/>
      <c r="W3827" s="4"/>
      <c r="X3827" s="4"/>
    </row>
    <row r="3828" spans="17:24" x14ac:dyDescent="0.3">
      <c r="Q3828" s="4"/>
      <c r="R3828" s="4"/>
      <c r="S3828" s="4"/>
      <c r="T3828" s="4"/>
      <c r="U3828" s="4"/>
      <c r="V3828" s="4"/>
      <c r="W3828" s="4"/>
      <c r="X3828" s="4"/>
    </row>
    <row r="3829" spans="17:24" x14ac:dyDescent="0.3">
      <c r="Q3829" s="4"/>
      <c r="R3829" s="4"/>
      <c r="S3829" s="4"/>
      <c r="T3829" s="4"/>
      <c r="U3829" s="4"/>
      <c r="V3829" s="4"/>
      <c r="W3829" s="4"/>
      <c r="X3829" s="4"/>
    </row>
    <row r="3830" spans="17:24" x14ac:dyDescent="0.3">
      <c r="Q3830" s="4"/>
      <c r="R3830" s="4"/>
      <c r="S3830" s="4"/>
      <c r="T3830" s="4"/>
      <c r="U3830" s="4"/>
      <c r="V3830" s="4"/>
      <c r="W3830" s="4"/>
      <c r="X3830" s="4"/>
    </row>
    <row r="3831" spans="17:24" x14ac:dyDescent="0.3">
      <c r="Q3831" s="4"/>
      <c r="R3831" s="4"/>
      <c r="S3831" s="4"/>
      <c r="T3831" s="4"/>
      <c r="U3831" s="4"/>
      <c r="V3831" s="4"/>
      <c r="W3831" s="4"/>
      <c r="X3831" s="4"/>
    </row>
    <row r="3832" spans="17:24" x14ac:dyDescent="0.3">
      <c r="Q3832" s="4"/>
      <c r="R3832" s="4"/>
      <c r="S3832" s="4"/>
      <c r="T3832" s="4"/>
      <c r="U3832" s="4"/>
      <c r="V3832" s="4"/>
      <c r="W3832" s="4"/>
      <c r="X3832" s="4"/>
    </row>
    <row r="3833" spans="17:24" x14ac:dyDescent="0.3">
      <c r="Q3833" s="4"/>
      <c r="R3833" s="4"/>
      <c r="S3833" s="4"/>
      <c r="T3833" s="4"/>
      <c r="U3833" s="4"/>
      <c r="V3833" s="4"/>
      <c r="W3833" s="4"/>
      <c r="X3833" s="4"/>
    </row>
    <row r="3834" spans="17:24" x14ac:dyDescent="0.3">
      <c r="Q3834" s="4"/>
      <c r="R3834" s="4"/>
      <c r="S3834" s="4"/>
      <c r="T3834" s="4"/>
      <c r="U3834" s="4"/>
      <c r="V3834" s="4"/>
      <c r="W3834" s="4"/>
      <c r="X3834" s="4"/>
    </row>
    <row r="3835" spans="17:24" x14ac:dyDescent="0.3">
      <c r="Q3835" s="4"/>
      <c r="R3835" s="4"/>
      <c r="S3835" s="4"/>
      <c r="T3835" s="4"/>
      <c r="U3835" s="4"/>
      <c r="V3835" s="4"/>
      <c r="W3835" s="4"/>
      <c r="X3835" s="4"/>
    </row>
    <row r="3836" spans="17:24" x14ac:dyDescent="0.3">
      <c r="Q3836" s="4"/>
      <c r="R3836" s="4"/>
      <c r="S3836" s="4"/>
      <c r="T3836" s="4"/>
      <c r="U3836" s="4"/>
      <c r="V3836" s="4"/>
      <c r="W3836" s="4"/>
      <c r="X3836" s="4"/>
    </row>
    <row r="3837" spans="17:24" x14ac:dyDescent="0.3">
      <c r="Q3837" s="4"/>
      <c r="R3837" s="4"/>
      <c r="S3837" s="4"/>
      <c r="T3837" s="4"/>
      <c r="U3837" s="4"/>
      <c r="V3837" s="4"/>
      <c r="W3837" s="4"/>
      <c r="X3837" s="4"/>
    </row>
    <row r="3838" spans="17:24" x14ac:dyDescent="0.3">
      <c r="Q3838" s="4"/>
      <c r="R3838" s="4"/>
      <c r="S3838" s="4"/>
      <c r="T3838" s="4"/>
      <c r="U3838" s="4"/>
      <c r="V3838" s="4"/>
      <c r="W3838" s="4"/>
      <c r="X3838" s="4"/>
    </row>
    <row r="3839" spans="17:24" x14ac:dyDescent="0.3">
      <c r="Q3839" s="4"/>
      <c r="R3839" s="4"/>
      <c r="S3839" s="4"/>
      <c r="T3839" s="4"/>
      <c r="U3839" s="4"/>
      <c r="V3839" s="4"/>
      <c r="W3839" s="4"/>
      <c r="X3839" s="4"/>
    </row>
    <row r="3840" spans="17:24" x14ac:dyDescent="0.3">
      <c r="Q3840" s="4"/>
      <c r="R3840" s="4"/>
      <c r="S3840" s="4"/>
      <c r="T3840" s="4"/>
      <c r="U3840" s="4"/>
      <c r="V3840" s="4"/>
      <c r="W3840" s="4"/>
      <c r="X3840" s="4"/>
    </row>
    <row r="3841" spans="17:24" x14ac:dyDescent="0.3">
      <c r="Q3841" s="4"/>
      <c r="R3841" s="4"/>
      <c r="S3841" s="4"/>
      <c r="T3841" s="4"/>
      <c r="U3841" s="4"/>
      <c r="V3841" s="4"/>
      <c r="W3841" s="4"/>
      <c r="X3841" s="4"/>
    </row>
    <row r="3842" spans="17:24" x14ac:dyDescent="0.3">
      <c r="Q3842" s="4"/>
      <c r="R3842" s="4"/>
      <c r="S3842" s="4"/>
      <c r="T3842" s="4"/>
      <c r="U3842" s="4"/>
      <c r="V3842" s="4"/>
      <c r="W3842" s="4"/>
      <c r="X3842" s="4"/>
    </row>
    <row r="3843" spans="17:24" x14ac:dyDescent="0.3">
      <c r="Q3843" s="4"/>
      <c r="R3843" s="4"/>
      <c r="S3843" s="4"/>
      <c r="T3843" s="4"/>
      <c r="U3843" s="4"/>
      <c r="V3843" s="4"/>
      <c r="W3843" s="4"/>
      <c r="X3843" s="4"/>
    </row>
    <row r="3844" spans="17:24" x14ac:dyDescent="0.3">
      <c r="Q3844" s="4"/>
      <c r="R3844" s="4"/>
      <c r="S3844" s="4"/>
      <c r="T3844" s="4"/>
      <c r="U3844" s="4"/>
      <c r="V3844" s="4"/>
      <c r="W3844" s="4"/>
      <c r="X3844" s="4"/>
    </row>
    <row r="3845" spans="17:24" x14ac:dyDescent="0.3">
      <c r="Q3845" s="4"/>
      <c r="R3845" s="4"/>
      <c r="S3845" s="4"/>
      <c r="T3845" s="4"/>
      <c r="U3845" s="4"/>
      <c r="V3845" s="4"/>
      <c r="W3845" s="4"/>
      <c r="X3845" s="4"/>
    </row>
    <row r="3846" spans="17:24" x14ac:dyDescent="0.3">
      <c r="Q3846" s="4"/>
      <c r="R3846" s="4"/>
      <c r="S3846" s="4"/>
      <c r="T3846" s="4"/>
      <c r="U3846" s="4"/>
      <c r="V3846" s="4"/>
      <c r="W3846" s="4"/>
      <c r="X3846" s="4"/>
    </row>
    <row r="3847" spans="17:24" x14ac:dyDescent="0.3">
      <c r="Q3847" s="4"/>
      <c r="R3847" s="4"/>
      <c r="S3847" s="4"/>
      <c r="T3847" s="4"/>
      <c r="U3847" s="4"/>
      <c r="V3847" s="4"/>
      <c r="W3847" s="4"/>
      <c r="X3847" s="4"/>
    </row>
    <row r="3848" spans="17:24" x14ac:dyDescent="0.3">
      <c r="Q3848" s="4"/>
      <c r="R3848" s="4"/>
      <c r="S3848" s="4"/>
      <c r="T3848" s="4"/>
      <c r="U3848" s="4"/>
      <c r="V3848" s="4"/>
      <c r="W3848" s="4"/>
      <c r="X3848" s="4"/>
    </row>
    <row r="3849" spans="17:24" x14ac:dyDescent="0.3">
      <c r="Q3849" s="4"/>
      <c r="R3849" s="4"/>
      <c r="S3849" s="4"/>
      <c r="T3849" s="4"/>
      <c r="U3849" s="4"/>
      <c r="V3849" s="4"/>
      <c r="W3849" s="4"/>
      <c r="X3849" s="4"/>
    </row>
    <row r="3850" spans="17:24" x14ac:dyDescent="0.3">
      <c r="Q3850" s="4"/>
      <c r="R3850" s="4"/>
      <c r="S3850" s="4"/>
      <c r="T3850" s="4"/>
      <c r="U3850" s="4"/>
      <c r="V3850" s="4"/>
      <c r="W3850" s="4"/>
      <c r="X3850" s="4"/>
    </row>
    <row r="3851" spans="17:24" x14ac:dyDescent="0.3">
      <c r="Q3851" s="4"/>
      <c r="R3851" s="4"/>
      <c r="S3851" s="4"/>
      <c r="T3851" s="4"/>
      <c r="U3851" s="4"/>
      <c r="V3851" s="4"/>
      <c r="W3851" s="4"/>
      <c r="X3851" s="4"/>
    </row>
    <row r="3852" spans="17:24" x14ac:dyDescent="0.3">
      <c r="Q3852" s="4"/>
      <c r="R3852" s="4"/>
      <c r="S3852" s="4"/>
      <c r="T3852" s="4"/>
      <c r="U3852" s="4"/>
      <c r="V3852" s="4"/>
      <c r="W3852" s="4"/>
      <c r="X3852" s="4"/>
    </row>
    <row r="3853" spans="17:24" x14ac:dyDescent="0.3">
      <c r="Q3853" s="4"/>
      <c r="R3853" s="4"/>
      <c r="S3853" s="4"/>
      <c r="T3853" s="4"/>
      <c r="U3853" s="4"/>
      <c r="V3853" s="4"/>
      <c r="W3853" s="4"/>
      <c r="X3853" s="4"/>
    </row>
    <row r="3854" spans="17:24" x14ac:dyDescent="0.3">
      <c r="Q3854" s="4"/>
      <c r="R3854" s="4"/>
      <c r="S3854" s="4"/>
      <c r="T3854" s="4"/>
      <c r="U3854" s="4"/>
      <c r="V3854" s="4"/>
      <c r="W3854" s="4"/>
      <c r="X3854" s="4"/>
    </row>
    <row r="3855" spans="17:24" x14ac:dyDescent="0.3">
      <c r="Q3855" s="4"/>
      <c r="R3855" s="4"/>
      <c r="S3855" s="4"/>
      <c r="T3855" s="4"/>
      <c r="U3855" s="4"/>
      <c r="V3855" s="4"/>
      <c r="W3855" s="4"/>
      <c r="X3855" s="4"/>
    </row>
    <row r="3856" spans="17:24" x14ac:dyDescent="0.3">
      <c r="Q3856" s="4"/>
      <c r="R3856" s="4"/>
      <c r="S3856" s="4"/>
      <c r="T3856" s="4"/>
      <c r="U3856" s="4"/>
      <c r="V3856" s="4"/>
      <c r="W3856" s="4"/>
      <c r="X3856" s="4"/>
    </row>
    <row r="3857" spans="17:24" x14ac:dyDescent="0.3">
      <c r="Q3857" s="4"/>
      <c r="R3857" s="4"/>
      <c r="S3857" s="4"/>
      <c r="T3857" s="4"/>
      <c r="U3857" s="4"/>
      <c r="V3857" s="4"/>
      <c r="W3857" s="4"/>
      <c r="X3857" s="4"/>
    </row>
    <row r="3858" spans="17:24" x14ac:dyDescent="0.3">
      <c r="Q3858" s="4"/>
      <c r="R3858" s="4"/>
      <c r="S3858" s="4"/>
      <c r="T3858" s="4"/>
      <c r="U3858" s="4"/>
      <c r="V3858" s="4"/>
      <c r="W3858" s="4"/>
      <c r="X3858" s="4"/>
    </row>
    <row r="3859" spans="17:24" x14ac:dyDescent="0.3">
      <c r="Q3859" s="4"/>
      <c r="R3859" s="4"/>
      <c r="S3859" s="4"/>
      <c r="T3859" s="4"/>
      <c r="U3859" s="4"/>
      <c r="V3859" s="4"/>
      <c r="W3859" s="4"/>
      <c r="X3859" s="4"/>
    </row>
    <row r="3860" spans="17:24" x14ac:dyDescent="0.3">
      <c r="Q3860" s="4"/>
      <c r="R3860" s="4"/>
      <c r="S3860" s="4"/>
      <c r="T3860" s="4"/>
      <c r="U3860" s="4"/>
      <c r="V3860" s="4"/>
      <c r="W3860" s="4"/>
      <c r="X3860" s="4"/>
    </row>
    <row r="3861" spans="17:24" x14ac:dyDescent="0.3">
      <c r="Q3861" s="4"/>
      <c r="R3861" s="4"/>
      <c r="S3861" s="4"/>
      <c r="T3861" s="4"/>
      <c r="U3861" s="4"/>
      <c r="V3861" s="4"/>
      <c r="W3861" s="4"/>
      <c r="X3861" s="4"/>
    </row>
    <row r="3862" spans="17:24" x14ac:dyDescent="0.3">
      <c r="Q3862" s="4"/>
      <c r="R3862" s="4"/>
      <c r="S3862" s="4"/>
      <c r="T3862" s="4"/>
      <c r="U3862" s="4"/>
      <c r="V3862" s="4"/>
      <c r="W3862" s="4"/>
      <c r="X3862" s="4"/>
    </row>
    <row r="3863" spans="17:24" x14ac:dyDescent="0.3">
      <c r="Q3863" s="4"/>
      <c r="R3863" s="4"/>
      <c r="S3863" s="4"/>
      <c r="T3863" s="4"/>
      <c r="U3863" s="4"/>
      <c r="V3863" s="4"/>
      <c r="W3863" s="4"/>
      <c r="X3863" s="4"/>
    </row>
    <row r="3864" spans="17:24" x14ac:dyDescent="0.3">
      <c r="Q3864" s="4"/>
      <c r="R3864" s="4"/>
      <c r="S3864" s="4"/>
      <c r="T3864" s="4"/>
      <c r="U3864" s="4"/>
      <c r="V3864" s="4"/>
      <c r="W3864" s="4"/>
      <c r="X3864" s="4"/>
    </row>
    <row r="3865" spans="17:24" x14ac:dyDescent="0.3">
      <c r="Q3865" s="4"/>
      <c r="R3865" s="4"/>
      <c r="S3865" s="4"/>
      <c r="T3865" s="4"/>
      <c r="U3865" s="4"/>
      <c r="V3865" s="4"/>
      <c r="W3865" s="4"/>
      <c r="X3865" s="4"/>
    </row>
    <row r="3866" spans="17:24" x14ac:dyDescent="0.3">
      <c r="Q3866" s="4"/>
      <c r="R3866" s="4"/>
      <c r="S3866" s="4"/>
      <c r="T3866" s="4"/>
      <c r="U3866" s="4"/>
      <c r="V3866" s="4"/>
      <c r="W3866" s="4"/>
      <c r="X3866" s="4"/>
    </row>
    <row r="3867" spans="17:24" x14ac:dyDescent="0.3">
      <c r="Q3867" s="4"/>
      <c r="R3867" s="4"/>
      <c r="S3867" s="4"/>
      <c r="T3867" s="4"/>
      <c r="U3867" s="4"/>
      <c r="V3867" s="4"/>
      <c r="W3867" s="4"/>
      <c r="X3867" s="4"/>
    </row>
    <row r="3868" spans="17:24" x14ac:dyDescent="0.3">
      <c r="Q3868" s="4"/>
      <c r="R3868" s="4"/>
      <c r="S3868" s="4"/>
      <c r="T3868" s="4"/>
      <c r="U3868" s="4"/>
      <c r="V3868" s="4"/>
      <c r="W3868" s="4"/>
      <c r="X3868" s="4"/>
    </row>
    <row r="3869" spans="17:24" x14ac:dyDescent="0.3">
      <c r="Q3869" s="4"/>
      <c r="R3869" s="4"/>
      <c r="S3869" s="4"/>
      <c r="T3869" s="4"/>
      <c r="U3869" s="4"/>
      <c r="V3869" s="4"/>
      <c r="W3869" s="4"/>
      <c r="X3869" s="4"/>
    </row>
    <row r="3870" spans="17:24" x14ac:dyDescent="0.3">
      <c r="Q3870" s="4"/>
      <c r="R3870" s="4"/>
      <c r="S3870" s="4"/>
      <c r="T3870" s="4"/>
      <c r="U3870" s="4"/>
      <c r="V3870" s="4"/>
      <c r="W3870" s="4"/>
      <c r="X3870" s="4"/>
    </row>
    <row r="3871" spans="17:24" x14ac:dyDescent="0.3">
      <c r="Q3871" s="4"/>
      <c r="R3871" s="4"/>
      <c r="S3871" s="4"/>
      <c r="T3871" s="4"/>
      <c r="U3871" s="4"/>
      <c r="V3871" s="4"/>
      <c r="W3871" s="4"/>
      <c r="X3871" s="4"/>
    </row>
    <row r="3872" spans="17:24" x14ac:dyDescent="0.3">
      <c r="Q3872" s="4"/>
      <c r="R3872" s="4"/>
      <c r="S3872" s="4"/>
      <c r="T3872" s="4"/>
      <c r="U3872" s="4"/>
      <c r="V3872" s="4"/>
      <c r="W3872" s="4"/>
      <c r="X3872" s="4"/>
    </row>
    <row r="3873" spans="17:24" x14ac:dyDescent="0.3">
      <c r="Q3873" s="4"/>
      <c r="R3873" s="4"/>
      <c r="S3873" s="4"/>
      <c r="T3873" s="4"/>
      <c r="U3873" s="4"/>
      <c r="V3873" s="4"/>
      <c r="W3873" s="4"/>
      <c r="X3873" s="4"/>
    </row>
    <row r="3874" spans="17:24" x14ac:dyDescent="0.3">
      <c r="Q3874" s="4"/>
      <c r="R3874" s="4"/>
      <c r="S3874" s="4"/>
      <c r="T3874" s="4"/>
      <c r="U3874" s="4"/>
      <c r="V3874" s="4"/>
      <c r="W3874" s="4"/>
      <c r="X3874" s="4"/>
    </row>
    <row r="3875" spans="17:24" x14ac:dyDescent="0.3">
      <c r="Q3875" s="4"/>
      <c r="R3875" s="4"/>
      <c r="S3875" s="4"/>
      <c r="T3875" s="4"/>
      <c r="U3875" s="4"/>
      <c r="V3875" s="4"/>
      <c r="W3875" s="4"/>
      <c r="X3875" s="4"/>
    </row>
    <row r="3876" spans="17:24" x14ac:dyDescent="0.3">
      <c r="Q3876" s="4"/>
      <c r="R3876" s="4"/>
      <c r="S3876" s="4"/>
      <c r="T3876" s="4"/>
      <c r="U3876" s="4"/>
      <c r="V3876" s="4"/>
      <c r="W3876" s="4"/>
      <c r="X3876" s="4"/>
    </row>
    <row r="3877" spans="17:24" x14ac:dyDescent="0.3">
      <c r="Q3877" s="4"/>
      <c r="R3877" s="4"/>
      <c r="S3877" s="4"/>
      <c r="T3877" s="4"/>
      <c r="U3877" s="4"/>
      <c r="V3877" s="4"/>
      <c r="W3877" s="4"/>
      <c r="X3877" s="4"/>
    </row>
    <row r="3878" spans="17:24" x14ac:dyDescent="0.3">
      <c r="Q3878" s="4"/>
      <c r="R3878" s="4"/>
      <c r="S3878" s="4"/>
      <c r="T3878" s="4"/>
      <c r="U3878" s="4"/>
      <c r="V3878" s="4"/>
      <c r="W3878" s="4"/>
      <c r="X3878" s="4"/>
    </row>
    <row r="3879" spans="17:24" x14ac:dyDescent="0.3">
      <c r="Q3879" s="4"/>
      <c r="R3879" s="4"/>
      <c r="S3879" s="4"/>
      <c r="T3879" s="4"/>
      <c r="U3879" s="4"/>
      <c r="V3879" s="4"/>
      <c r="W3879" s="4"/>
      <c r="X3879" s="4"/>
    </row>
    <row r="3880" spans="17:24" x14ac:dyDescent="0.3">
      <c r="Q3880" s="4"/>
      <c r="R3880" s="4"/>
      <c r="S3880" s="4"/>
      <c r="T3880" s="4"/>
      <c r="U3880" s="4"/>
      <c r="V3880" s="4"/>
      <c r="W3880" s="4"/>
      <c r="X3880" s="4"/>
    </row>
    <row r="3881" spans="17:24" x14ac:dyDescent="0.3">
      <c r="Q3881" s="4"/>
      <c r="R3881" s="4"/>
      <c r="S3881" s="4"/>
      <c r="T3881" s="4"/>
      <c r="U3881" s="4"/>
      <c r="V3881" s="4"/>
      <c r="W3881" s="4"/>
      <c r="X3881" s="4"/>
    </row>
    <row r="3882" spans="17:24" x14ac:dyDescent="0.3">
      <c r="Q3882" s="4"/>
      <c r="R3882" s="4"/>
      <c r="S3882" s="4"/>
      <c r="T3882" s="4"/>
      <c r="U3882" s="4"/>
      <c r="V3882" s="4"/>
      <c r="W3882" s="4"/>
      <c r="X3882" s="4"/>
    </row>
    <row r="3883" spans="17:24" x14ac:dyDescent="0.3">
      <c r="Q3883" s="4"/>
      <c r="R3883" s="4"/>
      <c r="S3883" s="4"/>
      <c r="T3883" s="4"/>
      <c r="U3883" s="4"/>
      <c r="V3883" s="4"/>
      <c r="W3883" s="4"/>
      <c r="X3883" s="4"/>
    </row>
    <row r="3884" spans="17:24" x14ac:dyDescent="0.3">
      <c r="Q3884" s="4"/>
      <c r="R3884" s="4"/>
      <c r="S3884" s="4"/>
      <c r="T3884" s="4"/>
      <c r="U3884" s="4"/>
      <c r="V3884" s="4"/>
      <c r="W3884" s="4"/>
      <c r="X3884" s="4"/>
    </row>
    <row r="3885" spans="17:24" x14ac:dyDescent="0.3">
      <c r="Q3885" s="4"/>
      <c r="R3885" s="4"/>
      <c r="S3885" s="4"/>
      <c r="T3885" s="4"/>
      <c r="U3885" s="4"/>
      <c r="V3885" s="4"/>
      <c r="W3885" s="4"/>
      <c r="X3885" s="4"/>
    </row>
    <row r="3886" spans="17:24" x14ac:dyDescent="0.3">
      <c r="Q3886" s="4"/>
      <c r="R3886" s="4"/>
      <c r="S3886" s="4"/>
      <c r="T3886" s="4"/>
      <c r="U3886" s="4"/>
      <c r="V3886" s="4"/>
      <c r="W3886" s="4"/>
      <c r="X3886" s="4"/>
    </row>
    <row r="3887" spans="17:24" x14ac:dyDescent="0.3">
      <c r="Q3887" s="4"/>
      <c r="R3887" s="4"/>
      <c r="S3887" s="4"/>
      <c r="T3887" s="4"/>
      <c r="U3887" s="4"/>
      <c r="V3887" s="4"/>
      <c r="W3887" s="4"/>
      <c r="X3887" s="4"/>
    </row>
    <row r="3888" spans="17:24" x14ac:dyDescent="0.3">
      <c r="Q3888" s="4"/>
      <c r="R3888" s="4"/>
      <c r="S3888" s="4"/>
      <c r="T3888" s="4"/>
      <c r="U3888" s="4"/>
      <c r="V3888" s="4"/>
      <c r="W3888" s="4"/>
      <c r="X3888" s="4"/>
    </row>
    <row r="3889" spans="17:24" x14ac:dyDescent="0.3">
      <c r="Q3889" s="4"/>
      <c r="R3889" s="4"/>
      <c r="S3889" s="4"/>
      <c r="T3889" s="4"/>
      <c r="U3889" s="4"/>
      <c r="V3889" s="4"/>
      <c r="W3889" s="4"/>
      <c r="X3889" s="4"/>
    </row>
    <row r="3890" spans="17:24" x14ac:dyDescent="0.3">
      <c r="Q3890" s="4"/>
      <c r="R3890" s="4"/>
      <c r="S3890" s="4"/>
      <c r="T3890" s="4"/>
      <c r="U3890" s="4"/>
      <c r="V3890" s="4"/>
      <c r="W3890" s="4"/>
      <c r="X3890" s="4"/>
    </row>
    <row r="3891" spans="17:24" x14ac:dyDescent="0.3">
      <c r="Q3891" s="4"/>
      <c r="R3891" s="4"/>
      <c r="S3891" s="4"/>
      <c r="T3891" s="4"/>
      <c r="U3891" s="4"/>
      <c r="V3891" s="4"/>
      <c r="W3891" s="4"/>
      <c r="X3891" s="4"/>
    </row>
    <row r="3892" spans="17:24" x14ac:dyDescent="0.3">
      <c r="Q3892" s="4"/>
      <c r="R3892" s="4"/>
      <c r="S3892" s="4"/>
      <c r="T3892" s="4"/>
      <c r="U3892" s="4"/>
      <c r="V3892" s="4"/>
      <c r="W3892" s="4"/>
      <c r="X3892" s="4"/>
    </row>
    <row r="3893" spans="17:24" x14ac:dyDescent="0.3">
      <c r="Q3893" s="4"/>
      <c r="R3893" s="4"/>
      <c r="S3893" s="4"/>
      <c r="T3893" s="4"/>
      <c r="U3893" s="4"/>
      <c r="V3893" s="4"/>
      <c r="W3893" s="4"/>
      <c r="X3893" s="4"/>
    </row>
    <row r="3894" spans="17:24" x14ac:dyDescent="0.3">
      <c r="Q3894" s="4"/>
      <c r="R3894" s="4"/>
      <c r="S3894" s="4"/>
      <c r="T3894" s="4"/>
      <c r="U3894" s="4"/>
      <c r="V3894" s="4"/>
      <c r="W3894" s="4"/>
      <c r="X3894" s="4"/>
    </row>
    <row r="3895" spans="17:24" x14ac:dyDescent="0.3">
      <c r="Q3895" s="4"/>
      <c r="R3895" s="4"/>
      <c r="S3895" s="4"/>
      <c r="T3895" s="4"/>
      <c r="U3895" s="4"/>
      <c r="V3895" s="4"/>
      <c r="W3895" s="4"/>
      <c r="X3895" s="4"/>
    </row>
    <row r="3896" spans="17:24" x14ac:dyDescent="0.3">
      <c r="Q3896" s="4"/>
      <c r="R3896" s="4"/>
      <c r="S3896" s="4"/>
      <c r="T3896" s="4"/>
      <c r="U3896" s="4"/>
      <c r="V3896" s="4"/>
      <c r="W3896" s="4"/>
      <c r="X3896" s="4"/>
    </row>
    <row r="3897" spans="17:24" x14ac:dyDescent="0.3">
      <c r="Q3897" s="4"/>
      <c r="R3897" s="4"/>
      <c r="S3897" s="4"/>
      <c r="T3897" s="4"/>
      <c r="U3897" s="4"/>
      <c r="V3897" s="4"/>
      <c r="W3897" s="4"/>
      <c r="X3897" s="4"/>
    </row>
    <row r="3898" spans="17:24" x14ac:dyDescent="0.3">
      <c r="Q3898" s="4"/>
      <c r="R3898" s="4"/>
      <c r="S3898" s="4"/>
      <c r="T3898" s="4"/>
      <c r="U3898" s="4"/>
      <c r="V3898" s="4"/>
      <c r="W3898" s="4"/>
      <c r="X3898" s="4"/>
    </row>
    <row r="3899" spans="17:24" x14ac:dyDescent="0.3">
      <c r="Q3899" s="4"/>
      <c r="R3899" s="4"/>
      <c r="S3899" s="4"/>
      <c r="T3899" s="4"/>
      <c r="U3899" s="4"/>
      <c r="V3899" s="4"/>
      <c r="W3899" s="4"/>
      <c r="X3899" s="4"/>
    </row>
    <row r="3900" spans="17:24" x14ac:dyDescent="0.3">
      <c r="Q3900" s="4"/>
      <c r="R3900" s="4"/>
      <c r="S3900" s="4"/>
      <c r="T3900" s="4"/>
      <c r="U3900" s="4"/>
      <c r="V3900" s="4"/>
      <c r="W3900" s="4"/>
      <c r="X3900" s="4"/>
    </row>
    <row r="3901" spans="17:24" x14ac:dyDescent="0.3">
      <c r="Q3901" s="4"/>
      <c r="R3901" s="4"/>
      <c r="S3901" s="4"/>
      <c r="T3901" s="4"/>
      <c r="U3901" s="4"/>
      <c r="V3901" s="4"/>
      <c r="W3901" s="4"/>
      <c r="X3901" s="4"/>
    </row>
    <row r="3902" spans="17:24" x14ac:dyDescent="0.3">
      <c r="Q3902" s="4"/>
      <c r="R3902" s="4"/>
      <c r="S3902" s="4"/>
      <c r="T3902" s="4"/>
      <c r="U3902" s="4"/>
      <c r="V3902" s="4"/>
      <c r="W3902" s="4"/>
      <c r="X3902" s="4"/>
    </row>
    <row r="3903" spans="17:24" x14ac:dyDescent="0.3">
      <c r="Q3903" s="4"/>
      <c r="R3903" s="4"/>
      <c r="S3903" s="4"/>
      <c r="T3903" s="4"/>
      <c r="U3903" s="4"/>
      <c r="V3903" s="4"/>
      <c r="W3903" s="4"/>
      <c r="X3903" s="4"/>
    </row>
    <row r="3904" spans="17:24" x14ac:dyDescent="0.3">
      <c r="Q3904" s="4"/>
      <c r="R3904" s="4"/>
      <c r="S3904" s="4"/>
      <c r="T3904" s="4"/>
      <c r="U3904" s="4"/>
      <c r="V3904" s="4"/>
      <c r="W3904" s="4"/>
      <c r="X3904" s="4"/>
    </row>
    <row r="3905" spans="17:24" x14ac:dyDescent="0.3">
      <c r="Q3905" s="4"/>
      <c r="R3905" s="4"/>
      <c r="S3905" s="4"/>
      <c r="T3905" s="4"/>
      <c r="U3905" s="4"/>
      <c r="V3905" s="4"/>
      <c r="W3905" s="4"/>
      <c r="X3905" s="4"/>
    </row>
    <row r="3906" spans="17:24" x14ac:dyDescent="0.3">
      <c r="Q3906" s="4"/>
      <c r="R3906" s="4"/>
      <c r="S3906" s="4"/>
      <c r="T3906" s="4"/>
      <c r="U3906" s="4"/>
      <c r="V3906" s="4"/>
      <c r="W3906" s="4"/>
      <c r="X3906" s="4"/>
    </row>
    <row r="3907" spans="17:24" x14ac:dyDescent="0.3">
      <c r="Q3907" s="4"/>
      <c r="R3907" s="4"/>
      <c r="S3907" s="4"/>
      <c r="T3907" s="4"/>
      <c r="U3907" s="4"/>
      <c r="V3907" s="4"/>
      <c r="W3907" s="4"/>
      <c r="X3907" s="4"/>
    </row>
    <row r="3908" spans="17:24" x14ac:dyDescent="0.3">
      <c r="Q3908" s="4"/>
      <c r="R3908" s="4"/>
      <c r="S3908" s="4"/>
      <c r="T3908" s="4"/>
      <c r="U3908" s="4"/>
      <c r="V3908" s="4"/>
      <c r="W3908" s="4"/>
      <c r="X3908" s="4"/>
    </row>
    <row r="3909" spans="17:24" x14ac:dyDescent="0.3">
      <c r="Q3909" s="4"/>
      <c r="R3909" s="4"/>
      <c r="S3909" s="4"/>
      <c r="T3909" s="4"/>
      <c r="U3909" s="4"/>
      <c r="V3909" s="4"/>
      <c r="W3909" s="4"/>
      <c r="X3909" s="4"/>
    </row>
    <row r="3910" spans="17:24" x14ac:dyDescent="0.3">
      <c r="Q3910" s="4"/>
      <c r="R3910" s="4"/>
      <c r="S3910" s="4"/>
      <c r="T3910" s="4"/>
      <c r="U3910" s="4"/>
      <c r="V3910" s="4"/>
      <c r="W3910" s="4"/>
      <c r="X3910" s="4"/>
    </row>
    <row r="3911" spans="17:24" x14ac:dyDescent="0.3">
      <c r="Q3911" s="4"/>
      <c r="R3911" s="4"/>
      <c r="S3911" s="4"/>
      <c r="T3911" s="4"/>
      <c r="U3911" s="4"/>
      <c r="V3911" s="4"/>
      <c r="W3911" s="4"/>
      <c r="X3911" s="4"/>
    </row>
    <row r="3912" spans="17:24" x14ac:dyDescent="0.3">
      <c r="Q3912" s="4"/>
      <c r="R3912" s="4"/>
      <c r="S3912" s="4"/>
      <c r="T3912" s="4"/>
      <c r="U3912" s="4"/>
      <c r="V3912" s="4"/>
      <c r="W3912" s="4"/>
      <c r="X3912" s="4"/>
    </row>
    <row r="3913" spans="17:24" x14ac:dyDescent="0.3">
      <c r="Q3913" s="4"/>
      <c r="R3913" s="4"/>
      <c r="S3913" s="4"/>
      <c r="T3913" s="4"/>
      <c r="U3913" s="4"/>
      <c r="V3913" s="4"/>
      <c r="W3913" s="4"/>
      <c r="X3913" s="4"/>
    </row>
    <row r="3914" spans="17:24" x14ac:dyDescent="0.3">
      <c r="Q3914" s="4"/>
      <c r="R3914" s="4"/>
      <c r="S3914" s="4"/>
      <c r="T3914" s="4"/>
      <c r="U3914" s="4"/>
      <c r="V3914" s="4"/>
      <c r="W3914" s="4"/>
      <c r="X3914" s="4"/>
    </row>
    <row r="3915" spans="17:24" x14ac:dyDescent="0.3">
      <c r="Q3915" s="4"/>
      <c r="R3915" s="4"/>
      <c r="S3915" s="4"/>
      <c r="T3915" s="4"/>
      <c r="U3915" s="4"/>
      <c r="V3915" s="4"/>
      <c r="W3915" s="4"/>
      <c r="X3915" s="4"/>
    </row>
    <row r="3916" spans="17:24" x14ac:dyDescent="0.3">
      <c r="Q3916" s="4"/>
      <c r="R3916" s="4"/>
      <c r="S3916" s="4"/>
      <c r="T3916" s="4"/>
      <c r="U3916" s="4"/>
      <c r="V3916" s="4"/>
      <c r="W3916" s="4"/>
      <c r="X3916" s="4"/>
    </row>
    <row r="3917" spans="17:24" x14ac:dyDescent="0.3">
      <c r="Q3917" s="4"/>
      <c r="R3917" s="4"/>
      <c r="S3917" s="4"/>
      <c r="T3917" s="4"/>
      <c r="U3917" s="4"/>
      <c r="V3917" s="4"/>
      <c r="W3917" s="4"/>
      <c r="X3917" s="4"/>
    </row>
    <row r="3918" spans="17:24" x14ac:dyDescent="0.3">
      <c r="Q3918" s="4"/>
      <c r="R3918" s="4"/>
      <c r="S3918" s="4"/>
      <c r="T3918" s="4"/>
      <c r="U3918" s="4"/>
      <c r="V3918" s="4"/>
      <c r="W3918" s="4"/>
      <c r="X3918" s="4"/>
    </row>
    <row r="3919" spans="17:24" x14ac:dyDescent="0.3">
      <c r="Q3919" s="4"/>
      <c r="R3919" s="4"/>
      <c r="S3919" s="4"/>
      <c r="T3919" s="4"/>
      <c r="U3919" s="4"/>
      <c r="V3919" s="4"/>
      <c r="W3919" s="4"/>
      <c r="X3919" s="4"/>
    </row>
    <row r="3920" spans="17:24" x14ac:dyDescent="0.3">
      <c r="Q3920" s="4"/>
      <c r="R3920" s="4"/>
      <c r="S3920" s="4"/>
      <c r="T3920" s="4"/>
      <c r="U3920" s="4"/>
      <c r="V3920" s="4"/>
      <c r="W3920" s="4"/>
      <c r="X3920" s="4"/>
    </row>
    <row r="3921" spans="17:24" x14ac:dyDescent="0.3">
      <c r="Q3921" s="4"/>
      <c r="R3921" s="4"/>
      <c r="S3921" s="4"/>
      <c r="T3921" s="4"/>
      <c r="U3921" s="4"/>
      <c r="V3921" s="4"/>
      <c r="W3921" s="4"/>
      <c r="X3921" s="4"/>
    </row>
    <row r="3922" spans="17:24" x14ac:dyDescent="0.3">
      <c r="Q3922" s="4"/>
      <c r="R3922" s="4"/>
      <c r="S3922" s="4"/>
      <c r="T3922" s="4"/>
      <c r="U3922" s="4"/>
      <c r="V3922" s="4"/>
      <c r="W3922" s="4"/>
      <c r="X3922" s="4"/>
    </row>
    <row r="3923" spans="17:24" x14ac:dyDescent="0.3">
      <c r="Q3923" s="4"/>
      <c r="R3923" s="4"/>
      <c r="S3923" s="4"/>
      <c r="T3923" s="4"/>
      <c r="U3923" s="4"/>
      <c r="V3923" s="4"/>
      <c r="W3923" s="4"/>
      <c r="X3923" s="4"/>
    </row>
    <row r="3924" spans="17:24" x14ac:dyDescent="0.3">
      <c r="Q3924" s="4"/>
      <c r="R3924" s="4"/>
      <c r="S3924" s="4"/>
      <c r="T3924" s="4"/>
      <c r="U3924" s="4"/>
      <c r="V3924" s="4"/>
      <c r="W3924" s="4"/>
      <c r="X3924" s="4"/>
    </row>
    <row r="3925" spans="17:24" x14ac:dyDescent="0.3">
      <c r="Q3925" s="4"/>
      <c r="R3925" s="4"/>
      <c r="S3925" s="4"/>
      <c r="T3925" s="4"/>
      <c r="U3925" s="4"/>
      <c r="V3925" s="4"/>
      <c r="W3925" s="4"/>
      <c r="X3925" s="4"/>
    </row>
    <row r="3926" spans="17:24" x14ac:dyDescent="0.3">
      <c r="Q3926" s="4"/>
      <c r="R3926" s="4"/>
      <c r="S3926" s="4"/>
      <c r="T3926" s="4"/>
      <c r="U3926" s="4"/>
      <c r="V3926" s="4"/>
      <c r="W3926" s="4"/>
      <c r="X3926" s="4"/>
    </row>
    <row r="3927" spans="17:24" x14ac:dyDescent="0.3">
      <c r="Q3927" s="4"/>
      <c r="R3927" s="4"/>
      <c r="S3927" s="4"/>
      <c r="T3927" s="4"/>
      <c r="U3927" s="4"/>
      <c r="V3927" s="4"/>
      <c r="W3927" s="4"/>
      <c r="X3927" s="4"/>
    </row>
    <row r="3928" spans="17:24" x14ac:dyDescent="0.3">
      <c r="Q3928" s="4"/>
      <c r="R3928" s="4"/>
      <c r="S3928" s="4"/>
      <c r="T3928" s="4"/>
      <c r="U3928" s="4"/>
      <c r="V3928" s="4"/>
      <c r="W3928" s="4"/>
      <c r="X3928" s="4"/>
    </row>
    <row r="3929" spans="17:24" x14ac:dyDescent="0.3">
      <c r="Q3929" s="4"/>
      <c r="R3929" s="4"/>
      <c r="S3929" s="4"/>
      <c r="T3929" s="4"/>
      <c r="U3929" s="4"/>
      <c r="V3929" s="4"/>
      <c r="W3929" s="4"/>
      <c r="X3929" s="4"/>
    </row>
    <row r="3930" spans="17:24" x14ac:dyDescent="0.3">
      <c r="Q3930" s="4"/>
      <c r="R3930" s="4"/>
      <c r="S3930" s="4"/>
      <c r="T3930" s="4"/>
      <c r="U3930" s="4"/>
      <c r="V3930" s="4"/>
      <c r="W3930" s="4"/>
      <c r="X3930" s="4"/>
    </row>
    <row r="3931" spans="17:24" x14ac:dyDescent="0.3">
      <c r="Q3931" s="4"/>
      <c r="R3931" s="4"/>
      <c r="S3931" s="4"/>
      <c r="T3931" s="4"/>
      <c r="U3931" s="4"/>
      <c r="V3931" s="4"/>
      <c r="W3931" s="4"/>
      <c r="X3931" s="4"/>
    </row>
    <row r="3932" spans="17:24" x14ac:dyDescent="0.3">
      <c r="Q3932" s="4"/>
      <c r="R3932" s="4"/>
      <c r="S3932" s="4"/>
      <c r="T3932" s="4"/>
      <c r="U3932" s="4"/>
      <c r="V3932" s="4"/>
      <c r="W3932" s="4"/>
      <c r="X3932" s="4"/>
    </row>
    <row r="3933" spans="17:24" x14ac:dyDescent="0.3">
      <c r="Q3933" s="4"/>
      <c r="R3933" s="4"/>
      <c r="S3933" s="4"/>
      <c r="T3933" s="4"/>
      <c r="U3933" s="4"/>
      <c r="V3933" s="4"/>
      <c r="W3933" s="4"/>
      <c r="X3933" s="4"/>
    </row>
    <row r="3934" spans="17:24" x14ac:dyDescent="0.3">
      <c r="Q3934" s="4"/>
      <c r="R3934" s="4"/>
      <c r="S3934" s="4"/>
      <c r="T3934" s="4"/>
      <c r="U3934" s="4"/>
      <c r="V3934" s="4"/>
      <c r="W3934" s="4"/>
      <c r="X3934" s="4"/>
    </row>
    <row r="3935" spans="17:24" x14ac:dyDescent="0.3">
      <c r="Q3935" s="4"/>
      <c r="R3935" s="4"/>
      <c r="S3935" s="4"/>
      <c r="T3935" s="4"/>
      <c r="U3935" s="4"/>
      <c r="V3935" s="4"/>
      <c r="W3935" s="4"/>
      <c r="X3935" s="4"/>
    </row>
    <row r="3936" spans="17:24" x14ac:dyDescent="0.3">
      <c r="Q3936" s="4"/>
      <c r="R3936" s="4"/>
      <c r="S3936" s="4"/>
      <c r="T3936" s="4"/>
      <c r="U3936" s="4"/>
      <c r="V3936" s="4"/>
      <c r="W3936" s="4"/>
      <c r="X3936" s="4"/>
    </row>
    <row r="3937" spans="17:24" x14ac:dyDescent="0.3">
      <c r="Q3937" s="4"/>
      <c r="R3937" s="4"/>
      <c r="S3937" s="4"/>
      <c r="T3937" s="4"/>
      <c r="U3937" s="4"/>
      <c r="V3937" s="4"/>
      <c r="W3937" s="4"/>
      <c r="X3937" s="4"/>
    </row>
    <row r="3938" spans="17:24" x14ac:dyDescent="0.3">
      <c r="Q3938" s="4"/>
      <c r="R3938" s="4"/>
      <c r="S3938" s="4"/>
      <c r="T3938" s="4"/>
      <c r="U3938" s="4"/>
      <c r="V3938" s="4"/>
      <c r="W3938" s="4"/>
      <c r="X3938" s="4"/>
    </row>
    <row r="3939" spans="17:24" x14ac:dyDescent="0.3">
      <c r="Q3939" s="4"/>
      <c r="R3939" s="4"/>
      <c r="S3939" s="4"/>
      <c r="T3939" s="4"/>
      <c r="U3939" s="4"/>
      <c r="V3939" s="4"/>
      <c r="W3939" s="4"/>
      <c r="X3939" s="4"/>
    </row>
    <row r="3940" spans="17:24" x14ac:dyDescent="0.3">
      <c r="Q3940" s="4"/>
      <c r="R3940" s="4"/>
      <c r="S3940" s="4"/>
      <c r="T3940" s="4"/>
      <c r="U3940" s="4"/>
      <c r="V3940" s="4"/>
      <c r="W3940" s="4"/>
      <c r="X3940" s="4"/>
    </row>
    <row r="3941" spans="17:24" x14ac:dyDescent="0.3">
      <c r="Q3941" s="4"/>
      <c r="R3941" s="4"/>
      <c r="S3941" s="4"/>
      <c r="T3941" s="4"/>
      <c r="U3941" s="4"/>
      <c r="V3941" s="4"/>
      <c r="W3941" s="4"/>
      <c r="X3941" s="4"/>
    </row>
    <row r="3942" spans="17:24" x14ac:dyDescent="0.3">
      <c r="Q3942" s="4"/>
      <c r="R3942" s="4"/>
      <c r="S3942" s="4"/>
      <c r="T3942" s="4"/>
      <c r="U3942" s="4"/>
      <c r="V3942" s="4"/>
      <c r="W3942" s="4"/>
      <c r="X3942" s="4"/>
    </row>
    <row r="3943" spans="17:24" x14ac:dyDescent="0.3">
      <c r="Q3943" s="4"/>
      <c r="R3943" s="4"/>
      <c r="S3943" s="4"/>
      <c r="T3943" s="4"/>
      <c r="U3943" s="4"/>
      <c r="V3943" s="4"/>
      <c r="W3943" s="4"/>
      <c r="X3943" s="4"/>
    </row>
    <row r="3944" spans="17:24" x14ac:dyDescent="0.3">
      <c r="Q3944" s="4"/>
      <c r="R3944" s="4"/>
      <c r="S3944" s="4"/>
      <c r="T3944" s="4"/>
      <c r="U3944" s="4"/>
      <c r="V3944" s="4"/>
      <c r="W3944" s="4"/>
      <c r="X3944" s="4"/>
    </row>
    <row r="3945" spans="17:24" x14ac:dyDescent="0.3">
      <c r="Q3945" s="4"/>
      <c r="R3945" s="4"/>
      <c r="S3945" s="4"/>
      <c r="T3945" s="4"/>
      <c r="U3945" s="4"/>
      <c r="V3945" s="4"/>
      <c r="W3945" s="4"/>
      <c r="X3945" s="4"/>
    </row>
    <row r="3946" spans="17:24" x14ac:dyDescent="0.3">
      <c r="Q3946" s="4"/>
      <c r="R3946" s="4"/>
      <c r="S3946" s="4"/>
      <c r="T3946" s="4"/>
      <c r="U3946" s="4"/>
      <c r="V3946" s="4"/>
      <c r="W3946" s="4"/>
      <c r="X3946" s="4"/>
    </row>
    <row r="3947" spans="17:24" x14ac:dyDescent="0.3">
      <c r="Q3947" s="4"/>
      <c r="R3947" s="4"/>
      <c r="S3947" s="4"/>
      <c r="T3947" s="4"/>
      <c r="U3947" s="4"/>
      <c r="V3947" s="4"/>
      <c r="W3947" s="4"/>
      <c r="X3947" s="4"/>
    </row>
    <row r="3948" spans="17:24" x14ac:dyDescent="0.3">
      <c r="Q3948" s="4"/>
      <c r="R3948" s="4"/>
      <c r="S3948" s="4"/>
      <c r="T3948" s="4"/>
      <c r="U3948" s="4"/>
      <c r="V3948" s="4"/>
      <c r="W3948" s="4"/>
      <c r="X3948" s="4"/>
    </row>
    <row r="3949" spans="17:24" x14ac:dyDescent="0.3">
      <c r="Q3949" s="4"/>
      <c r="R3949" s="4"/>
      <c r="S3949" s="4"/>
      <c r="T3949" s="4"/>
      <c r="U3949" s="4"/>
      <c r="V3949" s="4"/>
      <c r="W3949" s="4"/>
      <c r="X3949" s="4"/>
    </row>
    <row r="3950" spans="17:24" x14ac:dyDescent="0.3">
      <c r="Q3950" s="4"/>
      <c r="R3950" s="4"/>
      <c r="S3950" s="4"/>
      <c r="T3950" s="4"/>
      <c r="U3950" s="4"/>
      <c r="V3950" s="4"/>
      <c r="W3950" s="4"/>
      <c r="X3950" s="4"/>
    </row>
    <row r="3951" spans="17:24" x14ac:dyDescent="0.3">
      <c r="Q3951" s="4"/>
      <c r="R3951" s="4"/>
      <c r="S3951" s="4"/>
      <c r="T3951" s="4"/>
      <c r="U3951" s="4"/>
      <c r="V3951" s="4"/>
      <c r="W3951" s="4"/>
      <c r="X3951" s="4"/>
    </row>
    <row r="3952" spans="17:24" x14ac:dyDescent="0.3">
      <c r="Q3952" s="4"/>
      <c r="R3952" s="4"/>
      <c r="S3952" s="4"/>
      <c r="T3952" s="4"/>
      <c r="U3952" s="4"/>
      <c r="V3952" s="4"/>
      <c r="W3952" s="4"/>
      <c r="X3952" s="4"/>
    </row>
    <row r="3953" spans="17:24" x14ac:dyDescent="0.3">
      <c r="Q3953" s="4"/>
      <c r="R3953" s="4"/>
      <c r="S3953" s="4"/>
      <c r="T3953" s="4"/>
      <c r="U3953" s="4"/>
      <c r="V3953" s="4"/>
      <c r="W3953" s="4"/>
      <c r="X3953" s="4"/>
    </row>
    <row r="3954" spans="17:24" x14ac:dyDescent="0.3">
      <c r="Q3954" s="4"/>
      <c r="R3954" s="4"/>
      <c r="S3954" s="4"/>
      <c r="T3954" s="4"/>
      <c r="U3954" s="4"/>
      <c r="V3954" s="4"/>
      <c r="W3954" s="4"/>
      <c r="X3954" s="4"/>
    </row>
    <row r="3955" spans="17:24" x14ac:dyDescent="0.3">
      <c r="Q3955" s="4"/>
      <c r="R3955" s="4"/>
      <c r="S3955" s="4"/>
      <c r="T3955" s="4"/>
      <c r="U3955" s="4"/>
      <c r="V3955" s="4"/>
      <c r="W3955" s="4"/>
      <c r="X3955" s="4"/>
    </row>
    <row r="3956" spans="17:24" x14ac:dyDescent="0.3">
      <c r="Q3956" s="4"/>
      <c r="R3956" s="4"/>
      <c r="S3956" s="4"/>
      <c r="T3956" s="4"/>
      <c r="U3956" s="4"/>
      <c r="V3956" s="4"/>
      <c r="W3956" s="4"/>
      <c r="X3956" s="4"/>
    </row>
    <row r="3957" spans="17:24" x14ac:dyDescent="0.3">
      <c r="Q3957" s="4"/>
      <c r="R3957" s="4"/>
      <c r="S3957" s="4"/>
      <c r="T3957" s="4"/>
      <c r="U3957" s="4"/>
      <c r="V3957" s="4"/>
      <c r="W3957" s="4"/>
      <c r="X3957" s="4"/>
    </row>
    <row r="3958" spans="17:24" x14ac:dyDescent="0.3">
      <c r="Q3958" s="4"/>
      <c r="R3958" s="4"/>
      <c r="S3958" s="4"/>
      <c r="T3958" s="4"/>
      <c r="U3958" s="4"/>
      <c r="V3958" s="4"/>
      <c r="W3958" s="4"/>
      <c r="X3958" s="4"/>
    </row>
    <row r="3959" spans="17:24" x14ac:dyDescent="0.3">
      <c r="Q3959" s="4"/>
      <c r="R3959" s="4"/>
      <c r="S3959" s="4"/>
      <c r="T3959" s="4"/>
      <c r="U3959" s="4"/>
      <c r="V3959" s="4"/>
      <c r="W3959" s="4"/>
      <c r="X3959" s="4"/>
    </row>
    <row r="3960" spans="17:24" x14ac:dyDescent="0.3">
      <c r="Q3960" s="4"/>
      <c r="R3960" s="4"/>
      <c r="S3960" s="4"/>
      <c r="T3960" s="4"/>
      <c r="U3960" s="4"/>
      <c r="V3960" s="4"/>
      <c r="W3960" s="4"/>
      <c r="X3960" s="4"/>
    </row>
    <row r="3961" spans="17:24" x14ac:dyDescent="0.3">
      <c r="Q3961" s="4"/>
      <c r="R3961" s="4"/>
      <c r="S3961" s="4"/>
      <c r="T3961" s="4"/>
      <c r="U3961" s="4"/>
      <c r="V3961" s="4"/>
      <c r="W3961" s="4"/>
      <c r="X3961" s="4"/>
    </row>
    <row r="3962" spans="17:24" x14ac:dyDescent="0.3">
      <c r="Q3962" s="4"/>
      <c r="R3962" s="4"/>
      <c r="S3962" s="4"/>
      <c r="T3962" s="4"/>
      <c r="U3962" s="4"/>
      <c r="V3962" s="4"/>
      <c r="W3962" s="4"/>
      <c r="X3962" s="4"/>
    </row>
    <row r="3963" spans="17:24" x14ac:dyDescent="0.3">
      <c r="Q3963" s="4"/>
      <c r="R3963" s="4"/>
      <c r="S3963" s="4"/>
      <c r="T3963" s="4"/>
      <c r="U3963" s="4"/>
      <c r="V3963" s="4"/>
      <c r="W3963" s="4"/>
      <c r="X3963" s="4"/>
    </row>
    <row r="3964" spans="17:24" x14ac:dyDescent="0.3">
      <c r="Q3964" s="4"/>
      <c r="R3964" s="4"/>
      <c r="S3964" s="4"/>
      <c r="T3964" s="4"/>
      <c r="U3964" s="4"/>
      <c r="V3964" s="4"/>
      <c r="W3964" s="4"/>
      <c r="X3964" s="4"/>
    </row>
    <row r="3965" spans="17:24" x14ac:dyDescent="0.3">
      <c r="Q3965" s="4"/>
      <c r="R3965" s="4"/>
      <c r="S3965" s="4"/>
      <c r="T3965" s="4"/>
      <c r="U3965" s="4"/>
      <c r="V3965" s="4"/>
      <c r="W3965" s="4"/>
      <c r="X3965" s="4"/>
    </row>
    <row r="3966" spans="17:24" x14ac:dyDescent="0.3">
      <c r="Q3966" s="4"/>
      <c r="R3966" s="4"/>
      <c r="S3966" s="4"/>
      <c r="T3966" s="4"/>
      <c r="U3966" s="4"/>
      <c r="V3966" s="4"/>
      <c r="W3966" s="4"/>
      <c r="X3966" s="4"/>
    </row>
    <row r="3967" spans="17:24" x14ac:dyDescent="0.3">
      <c r="Q3967" s="4"/>
      <c r="R3967" s="4"/>
      <c r="S3967" s="4"/>
      <c r="T3967" s="4"/>
      <c r="U3967" s="4"/>
      <c r="V3967" s="4"/>
      <c r="W3967" s="4"/>
      <c r="X3967" s="4"/>
    </row>
    <row r="3968" spans="17:24" x14ac:dyDescent="0.3">
      <c r="Q3968" s="4"/>
      <c r="R3968" s="4"/>
      <c r="S3968" s="4"/>
      <c r="T3968" s="4"/>
      <c r="U3968" s="4"/>
      <c r="V3968" s="4"/>
      <c r="W3968" s="4"/>
      <c r="X3968" s="4"/>
    </row>
    <row r="3969" spans="17:24" x14ac:dyDescent="0.3">
      <c r="Q3969" s="4"/>
      <c r="R3969" s="4"/>
      <c r="S3969" s="4"/>
      <c r="T3969" s="4"/>
      <c r="U3969" s="4"/>
      <c r="V3969" s="4"/>
      <c r="W3969" s="4"/>
      <c r="X3969" s="4"/>
    </row>
    <row r="3970" spans="17:24" x14ac:dyDescent="0.3">
      <c r="Q3970" s="4"/>
      <c r="R3970" s="4"/>
      <c r="S3970" s="4"/>
      <c r="T3970" s="4"/>
      <c r="U3970" s="4"/>
      <c r="V3970" s="4"/>
      <c r="W3970" s="4"/>
      <c r="X3970" s="4"/>
    </row>
    <row r="3971" spans="17:24" x14ac:dyDescent="0.3">
      <c r="Q3971" s="4"/>
      <c r="R3971" s="4"/>
      <c r="S3971" s="4"/>
      <c r="T3971" s="4"/>
      <c r="U3971" s="4"/>
      <c r="V3971" s="4"/>
      <c r="W3971" s="4"/>
      <c r="X3971" s="4"/>
    </row>
    <row r="3972" spans="17:24" x14ac:dyDescent="0.3">
      <c r="Q3972" s="4"/>
      <c r="R3972" s="4"/>
      <c r="S3972" s="4"/>
      <c r="T3972" s="4"/>
      <c r="U3972" s="4"/>
      <c r="V3972" s="4"/>
      <c r="W3972" s="4"/>
      <c r="X3972" s="4"/>
    </row>
    <row r="3973" spans="17:24" x14ac:dyDescent="0.3">
      <c r="Q3973" s="4"/>
      <c r="R3973" s="4"/>
      <c r="S3973" s="4"/>
      <c r="T3973" s="4"/>
      <c r="U3973" s="4"/>
      <c r="V3973" s="4"/>
      <c r="W3973" s="4"/>
      <c r="X3973" s="4"/>
    </row>
    <row r="3974" spans="17:24" x14ac:dyDescent="0.3">
      <c r="Q3974" s="4"/>
      <c r="R3974" s="4"/>
      <c r="S3974" s="4"/>
      <c r="T3974" s="4"/>
      <c r="U3974" s="4"/>
      <c r="V3974" s="4"/>
      <c r="W3974" s="4"/>
      <c r="X3974" s="4"/>
    </row>
    <row r="3975" spans="17:24" x14ac:dyDescent="0.3">
      <c r="Q3975" s="4"/>
      <c r="R3975" s="4"/>
      <c r="S3975" s="4"/>
      <c r="T3975" s="4"/>
      <c r="U3975" s="4"/>
      <c r="V3975" s="4"/>
      <c r="W3975" s="4"/>
      <c r="X3975" s="4"/>
    </row>
    <row r="3976" spans="17:24" x14ac:dyDescent="0.3">
      <c r="Q3976" s="4"/>
      <c r="R3976" s="4"/>
      <c r="S3976" s="4"/>
      <c r="T3976" s="4"/>
      <c r="U3976" s="4"/>
      <c r="V3976" s="4"/>
      <c r="W3976" s="4"/>
      <c r="X3976" s="4"/>
    </row>
    <row r="3977" spans="17:24" x14ac:dyDescent="0.3">
      <c r="Q3977" s="4"/>
      <c r="R3977" s="4"/>
      <c r="S3977" s="4"/>
      <c r="T3977" s="4"/>
      <c r="U3977" s="4"/>
      <c r="V3977" s="4"/>
      <c r="W3977" s="4"/>
      <c r="X3977" s="4"/>
    </row>
    <row r="3978" spans="17:24" x14ac:dyDescent="0.3">
      <c r="Q3978" s="4"/>
      <c r="R3978" s="4"/>
      <c r="S3978" s="4"/>
      <c r="T3978" s="4"/>
      <c r="U3978" s="4"/>
      <c r="V3978" s="4"/>
      <c r="W3978" s="4"/>
      <c r="X3978" s="4"/>
    </row>
    <row r="3979" spans="17:24" x14ac:dyDescent="0.3">
      <c r="Q3979" s="4"/>
      <c r="R3979" s="4"/>
      <c r="S3979" s="4"/>
      <c r="T3979" s="4"/>
      <c r="U3979" s="4"/>
      <c r="V3979" s="4"/>
      <c r="W3979" s="4"/>
      <c r="X3979" s="4"/>
    </row>
    <row r="3980" spans="17:24" x14ac:dyDescent="0.3">
      <c r="Q3980" s="4"/>
      <c r="R3980" s="4"/>
      <c r="S3980" s="4"/>
      <c r="T3980" s="4"/>
      <c r="U3980" s="4"/>
      <c r="V3980" s="4"/>
      <c r="W3980" s="4"/>
      <c r="X3980" s="4"/>
    </row>
    <row r="3981" spans="17:24" x14ac:dyDescent="0.3">
      <c r="Q3981" s="4"/>
      <c r="R3981" s="4"/>
      <c r="S3981" s="4"/>
      <c r="T3981" s="4"/>
      <c r="U3981" s="4"/>
      <c r="V3981" s="4"/>
      <c r="W3981" s="4"/>
      <c r="X3981" s="4"/>
    </row>
    <row r="3982" spans="17:24" x14ac:dyDescent="0.3">
      <c r="Q3982" s="4"/>
      <c r="R3982" s="4"/>
      <c r="S3982" s="4"/>
      <c r="T3982" s="4"/>
      <c r="U3982" s="4"/>
      <c r="V3982" s="4"/>
      <c r="W3982" s="4"/>
      <c r="X3982" s="4"/>
    </row>
    <row r="3983" spans="17:24" x14ac:dyDescent="0.3">
      <c r="Q3983" s="4"/>
      <c r="R3983" s="4"/>
      <c r="S3983" s="4"/>
      <c r="T3983" s="4"/>
      <c r="U3983" s="4"/>
      <c r="V3983" s="4"/>
      <c r="W3983" s="4"/>
      <c r="X3983" s="4"/>
    </row>
    <row r="3984" spans="17:24" x14ac:dyDescent="0.3">
      <c r="Q3984" s="4"/>
      <c r="R3984" s="4"/>
      <c r="S3984" s="4"/>
      <c r="T3984" s="4"/>
      <c r="U3984" s="4"/>
      <c r="V3984" s="4"/>
      <c r="W3984" s="4"/>
      <c r="X3984" s="4"/>
    </row>
    <row r="3985" spans="17:24" x14ac:dyDescent="0.3">
      <c r="Q3985" s="4"/>
      <c r="R3985" s="4"/>
      <c r="S3985" s="4"/>
      <c r="T3985" s="4"/>
      <c r="U3985" s="4"/>
      <c r="V3985" s="4"/>
      <c r="W3985" s="4"/>
      <c r="X3985" s="4"/>
    </row>
    <row r="3986" spans="17:24" x14ac:dyDescent="0.3">
      <c r="Q3986" s="4"/>
      <c r="R3986" s="4"/>
      <c r="S3986" s="4"/>
      <c r="T3986" s="4"/>
      <c r="U3986" s="4"/>
      <c r="V3986" s="4"/>
      <c r="W3986" s="4"/>
      <c r="X3986" s="4"/>
    </row>
    <row r="3987" spans="17:24" x14ac:dyDescent="0.3">
      <c r="Q3987" s="4"/>
      <c r="R3987" s="4"/>
      <c r="S3987" s="4"/>
      <c r="T3987" s="4"/>
      <c r="U3987" s="4"/>
      <c r="V3987" s="4"/>
      <c r="W3987" s="4"/>
      <c r="X3987" s="4"/>
    </row>
    <row r="3988" spans="17:24" x14ac:dyDescent="0.3">
      <c r="Q3988" s="4"/>
      <c r="R3988" s="4"/>
      <c r="S3988" s="4"/>
      <c r="T3988" s="4"/>
      <c r="U3988" s="4"/>
      <c r="V3988" s="4"/>
      <c r="W3988" s="4"/>
      <c r="X3988" s="4"/>
    </row>
    <row r="3989" spans="17:24" x14ac:dyDescent="0.3">
      <c r="Q3989" s="4"/>
      <c r="R3989" s="4"/>
      <c r="S3989" s="4"/>
      <c r="T3989" s="4"/>
      <c r="U3989" s="4"/>
      <c r="V3989" s="4"/>
      <c r="W3989" s="4"/>
      <c r="X3989" s="4"/>
    </row>
    <row r="3990" spans="17:24" x14ac:dyDescent="0.3">
      <c r="Q3990" s="4"/>
      <c r="R3990" s="4"/>
      <c r="S3990" s="4"/>
      <c r="T3990" s="4"/>
      <c r="U3990" s="4"/>
      <c r="V3990" s="4"/>
      <c r="W3990" s="4"/>
      <c r="X3990" s="4"/>
    </row>
    <row r="3991" spans="17:24" x14ac:dyDescent="0.3">
      <c r="Q3991" s="4"/>
      <c r="R3991" s="4"/>
      <c r="S3991" s="4"/>
      <c r="T3991" s="4"/>
      <c r="U3991" s="4"/>
      <c r="V3991" s="4"/>
      <c r="W3991" s="4"/>
      <c r="X3991" s="4"/>
    </row>
    <row r="3992" spans="17:24" x14ac:dyDescent="0.3">
      <c r="Q3992" s="4"/>
      <c r="R3992" s="4"/>
      <c r="S3992" s="4"/>
      <c r="T3992" s="4"/>
      <c r="U3992" s="4"/>
      <c r="V3992" s="4"/>
      <c r="W3992" s="4"/>
      <c r="X3992" s="4"/>
    </row>
    <row r="3993" spans="17:24" x14ac:dyDescent="0.3">
      <c r="Q3993" s="4"/>
      <c r="R3993" s="4"/>
      <c r="S3993" s="4"/>
      <c r="T3993" s="4"/>
      <c r="U3993" s="4"/>
      <c r="V3993" s="4"/>
      <c r="W3993" s="4"/>
      <c r="X3993" s="4"/>
    </row>
    <row r="3994" spans="17:24" x14ac:dyDescent="0.3">
      <c r="Q3994" s="4"/>
      <c r="R3994" s="4"/>
      <c r="S3994" s="4"/>
      <c r="T3994" s="4"/>
      <c r="U3994" s="4"/>
      <c r="V3994" s="4"/>
      <c r="W3994" s="4"/>
      <c r="X3994" s="4"/>
    </row>
    <row r="3995" spans="17:24" x14ac:dyDescent="0.3">
      <c r="Q3995" s="4"/>
      <c r="R3995" s="4"/>
      <c r="S3995" s="4"/>
      <c r="T3995" s="4"/>
      <c r="U3995" s="4"/>
      <c r="V3995" s="4"/>
      <c r="W3995" s="4"/>
      <c r="X3995" s="4"/>
    </row>
    <row r="3996" spans="17:24" x14ac:dyDescent="0.3">
      <c r="Q3996" s="4"/>
      <c r="R3996" s="4"/>
      <c r="S3996" s="4"/>
      <c r="T3996" s="4"/>
      <c r="U3996" s="4"/>
      <c r="V3996" s="4"/>
      <c r="W3996" s="4"/>
      <c r="X3996" s="4"/>
    </row>
    <row r="3997" spans="17:24" x14ac:dyDescent="0.3">
      <c r="Q3997" s="4"/>
      <c r="R3997" s="4"/>
      <c r="S3997" s="4"/>
      <c r="T3997" s="4"/>
      <c r="U3997" s="4"/>
      <c r="V3997" s="4"/>
      <c r="W3997" s="4"/>
      <c r="X3997" s="4"/>
    </row>
    <row r="3998" spans="17:24" x14ac:dyDescent="0.3">
      <c r="Q3998" s="4"/>
      <c r="R3998" s="4"/>
      <c r="S3998" s="4"/>
      <c r="T3998" s="4"/>
      <c r="U3998" s="4"/>
      <c r="V3998" s="4"/>
      <c r="W3998" s="4"/>
      <c r="X3998" s="4"/>
    </row>
    <row r="3999" spans="17:24" x14ac:dyDescent="0.3">
      <c r="Q3999" s="4"/>
      <c r="R3999" s="4"/>
      <c r="S3999" s="4"/>
      <c r="T3999" s="4"/>
      <c r="U3999" s="4"/>
      <c r="V3999" s="4"/>
      <c r="W3999" s="4"/>
      <c r="X3999" s="4"/>
    </row>
    <row r="4000" spans="17:24" x14ac:dyDescent="0.3">
      <c r="Q4000" s="4"/>
      <c r="R4000" s="4"/>
      <c r="S4000" s="4"/>
      <c r="T4000" s="4"/>
      <c r="U4000" s="4"/>
      <c r="V4000" s="4"/>
      <c r="W4000" s="4"/>
      <c r="X4000" s="4"/>
    </row>
    <row r="4001" spans="17:24" x14ac:dyDescent="0.3">
      <c r="Q4001" s="4"/>
      <c r="R4001" s="4"/>
      <c r="S4001" s="4"/>
      <c r="T4001" s="4"/>
      <c r="U4001" s="4"/>
      <c r="V4001" s="4"/>
      <c r="W4001" s="4"/>
      <c r="X4001" s="4"/>
    </row>
    <row r="4002" spans="17:24" x14ac:dyDescent="0.3">
      <c r="Q4002" s="4"/>
      <c r="R4002" s="4"/>
      <c r="S4002" s="4"/>
      <c r="T4002" s="4"/>
      <c r="U4002" s="4"/>
      <c r="V4002" s="4"/>
      <c r="W4002" s="4"/>
      <c r="X4002" s="4"/>
    </row>
    <row r="4003" spans="17:24" x14ac:dyDescent="0.3">
      <c r="Q4003" s="4"/>
      <c r="R4003" s="4"/>
      <c r="S4003" s="4"/>
      <c r="T4003" s="4"/>
      <c r="U4003" s="4"/>
      <c r="V4003" s="4"/>
      <c r="W4003" s="4"/>
      <c r="X4003" s="4"/>
    </row>
    <row r="4004" spans="17:24" x14ac:dyDescent="0.3">
      <c r="Q4004" s="4"/>
      <c r="R4004" s="4"/>
      <c r="S4004" s="4"/>
      <c r="T4004" s="4"/>
      <c r="U4004" s="4"/>
      <c r="V4004" s="4"/>
      <c r="W4004" s="4"/>
      <c r="X4004" s="4"/>
    </row>
    <row r="4005" spans="17:24" x14ac:dyDescent="0.3">
      <c r="Q4005" s="4"/>
      <c r="R4005" s="4"/>
      <c r="S4005" s="4"/>
      <c r="T4005" s="4"/>
      <c r="U4005" s="4"/>
      <c r="V4005" s="4"/>
      <c r="W4005" s="4"/>
      <c r="X4005" s="4"/>
    </row>
    <row r="4006" spans="17:24" x14ac:dyDescent="0.3">
      <c r="Q4006" s="4"/>
      <c r="R4006" s="4"/>
      <c r="S4006" s="4"/>
      <c r="T4006" s="4"/>
      <c r="U4006" s="4"/>
      <c r="V4006" s="4"/>
      <c r="W4006" s="4"/>
      <c r="X4006" s="4"/>
    </row>
    <row r="4007" spans="17:24" x14ac:dyDescent="0.3">
      <c r="Q4007" s="4"/>
      <c r="R4007" s="4"/>
      <c r="S4007" s="4"/>
      <c r="T4007" s="4"/>
      <c r="U4007" s="4"/>
      <c r="V4007" s="4"/>
      <c r="W4007" s="4"/>
      <c r="X4007" s="4"/>
    </row>
    <row r="4008" spans="17:24" x14ac:dyDescent="0.3">
      <c r="Q4008" s="4"/>
      <c r="R4008" s="4"/>
      <c r="S4008" s="4"/>
      <c r="T4008" s="4"/>
      <c r="U4008" s="4"/>
      <c r="V4008" s="4"/>
      <c r="W4008" s="4"/>
      <c r="X4008" s="4"/>
    </row>
    <row r="4009" spans="17:24" x14ac:dyDescent="0.3">
      <c r="Q4009" s="4"/>
      <c r="R4009" s="4"/>
      <c r="S4009" s="4"/>
      <c r="T4009" s="4"/>
      <c r="U4009" s="4"/>
      <c r="V4009" s="4"/>
      <c r="W4009" s="4"/>
      <c r="X4009" s="4"/>
    </row>
    <row r="4010" spans="17:24" x14ac:dyDescent="0.3">
      <c r="Q4010" s="4"/>
      <c r="R4010" s="4"/>
      <c r="S4010" s="4"/>
      <c r="T4010" s="4"/>
      <c r="U4010" s="4"/>
      <c r="V4010" s="4"/>
      <c r="W4010" s="4"/>
      <c r="X4010" s="4"/>
    </row>
    <row r="4011" spans="17:24" x14ac:dyDescent="0.3">
      <c r="Q4011" s="4"/>
      <c r="R4011" s="4"/>
      <c r="S4011" s="4"/>
      <c r="T4011" s="4"/>
      <c r="U4011" s="4"/>
      <c r="V4011" s="4"/>
      <c r="W4011" s="4"/>
      <c r="X4011" s="4"/>
    </row>
    <row r="4012" spans="17:24" x14ac:dyDescent="0.3">
      <c r="Q4012" s="4"/>
      <c r="R4012" s="4"/>
      <c r="S4012" s="4"/>
      <c r="T4012" s="4"/>
      <c r="U4012" s="4"/>
      <c r="V4012" s="4"/>
      <c r="W4012" s="4"/>
      <c r="X4012" s="4"/>
    </row>
    <row r="4013" spans="17:24" x14ac:dyDescent="0.3">
      <c r="Q4013" s="4"/>
      <c r="R4013" s="4"/>
      <c r="S4013" s="4"/>
      <c r="T4013" s="4"/>
      <c r="U4013" s="4"/>
      <c r="V4013" s="4"/>
      <c r="W4013" s="4"/>
      <c r="X4013" s="4"/>
    </row>
    <row r="4014" spans="17:24" x14ac:dyDescent="0.3">
      <c r="Q4014" s="4"/>
      <c r="R4014" s="4"/>
      <c r="S4014" s="4"/>
      <c r="T4014" s="4"/>
      <c r="U4014" s="4"/>
      <c r="V4014" s="4"/>
      <c r="W4014" s="4"/>
      <c r="X4014" s="4"/>
    </row>
    <row r="4015" spans="17:24" x14ac:dyDescent="0.3">
      <c r="Q4015" s="4"/>
      <c r="R4015" s="4"/>
      <c r="S4015" s="4"/>
      <c r="T4015" s="4"/>
      <c r="U4015" s="4"/>
      <c r="V4015" s="4"/>
      <c r="W4015" s="4"/>
      <c r="X4015" s="4"/>
    </row>
    <row r="4016" spans="17:24" x14ac:dyDescent="0.3">
      <c r="Q4016" s="4"/>
      <c r="R4016" s="4"/>
      <c r="S4016" s="4"/>
      <c r="T4016" s="4"/>
      <c r="U4016" s="4"/>
      <c r="V4016" s="4"/>
      <c r="W4016" s="4"/>
      <c r="X4016" s="4"/>
    </row>
    <row r="4017" spans="17:24" x14ac:dyDescent="0.3">
      <c r="Q4017" s="4"/>
      <c r="R4017" s="4"/>
      <c r="S4017" s="4"/>
      <c r="T4017" s="4"/>
      <c r="U4017" s="4"/>
      <c r="V4017" s="4"/>
      <c r="W4017" s="4"/>
      <c r="X4017" s="4"/>
    </row>
    <row r="4018" spans="17:24" x14ac:dyDescent="0.3">
      <c r="Q4018" s="4"/>
      <c r="R4018" s="4"/>
      <c r="S4018" s="4"/>
      <c r="T4018" s="4"/>
      <c r="U4018" s="4"/>
      <c r="V4018" s="4"/>
      <c r="W4018" s="4"/>
      <c r="X4018" s="4"/>
    </row>
    <row r="4019" spans="17:24" x14ac:dyDescent="0.3">
      <c r="Q4019" s="4"/>
      <c r="R4019" s="4"/>
      <c r="S4019" s="4"/>
      <c r="T4019" s="4"/>
      <c r="U4019" s="4"/>
      <c r="V4019" s="4"/>
      <c r="W4019" s="4"/>
      <c r="X4019" s="4"/>
    </row>
    <row r="4020" spans="17:24" x14ac:dyDescent="0.3">
      <c r="Q4020" s="4"/>
      <c r="R4020" s="4"/>
      <c r="S4020" s="4"/>
      <c r="T4020" s="4"/>
      <c r="U4020" s="4"/>
      <c r="V4020" s="4"/>
      <c r="W4020" s="4"/>
      <c r="X4020" s="4"/>
    </row>
    <row r="4021" spans="17:24" x14ac:dyDescent="0.3">
      <c r="Q4021" s="4"/>
      <c r="R4021" s="4"/>
      <c r="S4021" s="4"/>
      <c r="T4021" s="4"/>
      <c r="U4021" s="4"/>
      <c r="V4021" s="4"/>
      <c r="W4021" s="4"/>
      <c r="X4021" s="4"/>
    </row>
    <row r="4022" spans="17:24" x14ac:dyDescent="0.3">
      <c r="Q4022" s="4"/>
      <c r="R4022" s="4"/>
      <c r="S4022" s="4"/>
      <c r="T4022" s="4"/>
      <c r="U4022" s="4"/>
      <c r="V4022" s="4"/>
      <c r="W4022" s="4"/>
      <c r="X4022" s="4"/>
    </row>
    <row r="4023" spans="17:24" x14ac:dyDescent="0.3">
      <c r="Q4023" s="4"/>
      <c r="R4023" s="4"/>
      <c r="S4023" s="4"/>
      <c r="T4023" s="4"/>
      <c r="U4023" s="4"/>
      <c r="V4023" s="4"/>
      <c r="W4023" s="4"/>
      <c r="X4023" s="4"/>
    </row>
    <row r="4024" spans="17:24" x14ac:dyDescent="0.3">
      <c r="Q4024" s="4"/>
      <c r="R4024" s="4"/>
      <c r="S4024" s="4"/>
      <c r="T4024" s="4"/>
      <c r="U4024" s="4"/>
      <c r="V4024" s="4"/>
      <c r="W4024" s="4"/>
      <c r="X4024" s="4"/>
    </row>
    <row r="4025" spans="17:24" x14ac:dyDescent="0.3">
      <c r="Q4025" s="4"/>
      <c r="R4025" s="4"/>
      <c r="S4025" s="4"/>
      <c r="T4025" s="4"/>
      <c r="U4025" s="4"/>
      <c r="V4025" s="4"/>
      <c r="W4025" s="4"/>
      <c r="X4025" s="4"/>
    </row>
    <row r="4026" spans="17:24" x14ac:dyDescent="0.3">
      <c r="Q4026" s="4"/>
      <c r="R4026" s="4"/>
      <c r="S4026" s="4"/>
      <c r="T4026" s="4"/>
      <c r="U4026" s="4"/>
      <c r="V4026" s="4"/>
      <c r="W4026" s="4"/>
      <c r="X4026" s="4"/>
    </row>
    <row r="4027" spans="17:24" x14ac:dyDescent="0.3">
      <c r="Q4027" s="4"/>
      <c r="R4027" s="4"/>
      <c r="S4027" s="4"/>
      <c r="T4027" s="4"/>
      <c r="U4027" s="4"/>
      <c r="V4027" s="4"/>
      <c r="W4027" s="4"/>
      <c r="X4027" s="4"/>
    </row>
    <row r="4028" spans="17:24" x14ac:dyDescent="0.3">
      <c r="Q4028" s="4"/>
      <c r="R4028" s="4"/>
      <c r="S4028" s="4"/>
      <c r="T4028" s="4"/>
      <c r="U4028" s="4"/>
      <c r="V4028" s="4"/>
      <c r="W4028" s="4"/>
      <c r="X4028" s="4"/>
    </row>
    <row r="4029" spans="17:24" x14ac:dyDescent="0.3">
      <c r="Q4029" s="4"/>
      <c r="R4029" s="4"/>
      <c r="S4029" s="4"/>
      <c r="T4029" s="4"/>
      <c r="U4029" s="4"/>
      <c r="V4029" s="4"/>
      <c r="W4029" s="4"/>
      <c r="X4029" s="4"/>
    </row>
    <row r="4030" spans="17:24" x14ac:dyDescent="0.3">
      <c r="Q4030" s="4"/>
      <c r="R4030" s="4"/>
      <c r="S4030" s="4"/>
      <c r="T4030" s="4"/>
      <c r="U4030" s="4"/>
      <c r="V4030" s="4"/>
      <c r="W4030" s="4"/>
      <c r="X4030" s="4"/>
    </row>
    <row r="4031" spans="17:24" x14ac:dyDescent="0.3">
      <c r="Q4031" s="4"/>
      <c r="R4031" s="4"/>
      <c r="S4031" s="4"/>
      <c r="T4031" s="4"/>
      <c r="U4031" s="4"/>
      <c r="V4031" s="4"/>
      <c r="W4031" s="4"/>
      <c r="X4031" s="4"/>
    </row>
    <row r="4032" spans="17:24" x14ac:dyDescent="0.3">
      <c r="Q4032" s="4"/>
      <c r="R4032" s="4"/>
      <c r="S4032" s="4"/>
      <c r="T4032" s="4"/>
      <c r="U4032" s="4"/>
      <c r="V4032" s="4"/>
      <c r="W4032" s="4"/>
      <c r="X4032" s="4"/>
    </row>
    <row r="4033" spans="17:24" x14ac:dyDescent="0.3">
      <c r="Q4033" s="4"/>
      <c r="R4033" s="4"/>
      <c r="S4033" s="4"/>
      <c r="T4033" s="4"/>
      <c r="U4033" s="4"/>
      <c r="V4033" s="4"/>
      <c r="W4033" s="4"/>
      <c r="X4033" s="4"/>
    </row>
    <row r="4034" spans="17:24" x14ac:dyDescent="0.3">
      <c r="Q4034" s="4"/>
      <c r="R4034" s="4"/>
      <c r="S4034" s="4"/>
      <c r="T4034" s="4"/>
      <c r="U4034" s="4"/>
      <c r="V4034" s="4"/>
      <c r="W4034" s="4"/>
      <c r="X4034" s="4"/>
    </row>
    <row r="4035" spans="17:24" x14ac:dyDescent="0.3">
      <c r="Q4035" s="4"/>
      <c r="R4035" s="4"/>
      <c r="S4035" s="4"/>
      <c r="T4035" s="4"/>
      <c r="U4035" s="4"/>
      <c r="V4035" s="4"/>
      <c r="W4035" s="4"/>
      <c r="X4035" s="4"/>
    </row>
    <row r="4036" spans="17:24" x14ac:dyDescent="0.3">
      <c r="Q4036" s="4"/>
      <c r="R4036" s="4"/>
      <c r="S4036" s="4"/>
      <c r="T4036" s="4"/>
      <c r="U4036" s="4"/>
      <c r="V4036" s="4"/>
      <c r="W4036" s="4"/>
      <c r="X4036" s="4"/>
    </row>
    <row r="4037" spans="17:24" x14ac:dyDescent="0.3">
      <c r="Q4037" s="4"/>
      <c r="R4037" s="4"/>
      <c r="S4037" s="4"/>
      <c r="T4037" s="4"/>
      <c r="U4037" s="4"/>
      <c r="V4037" s="4"/>
      <c r="W4037" s="4"/>
      <c r="X4037" s="4"/>
    </row>
    <row r="4038" spans="17:24" x14ac:dyDescent="0.3">
      <c r="Q4038" s="4"/>
      <c r="R4038" s="4"/>
      <c r="S4038" s="4"/>
      <c r="T4038" s="4"/>
      <c r="U4038" s="4"/>
      <c r="V4038" s="4"/>
      <c r="W4038" s="4"/>
      <c r="X4038" s="4"/>
    </row>
    <row r="4039" spans="17:24" x14ac:dyDescent="0.3">
      <c r="Q4039" s="4"/>
      <c r="R4039" s="4"/>
      <c r="S4039" s="4"/>
      <c r="T4039" s="4"/>
      <c r="U4039" s="4"/>
      <c r="V4039" s="4"/>
      <c r="W4039" s="4"/>
      <c r="X4039" s="4"/>
    </row>
    <row r="4040" spans="17:24" x14ac:dyDescent="0.3">
      <c r="Q4040" s="4"/>
      <c r="R4040" s="4"/>
      <c r="S4040" s="4"/>
      <c r="T4040" s="4"/>
      <c r="U4040" s="4"/>
      <c r="V4040" s="4"/>
      <c r="W4040" s="4"/>
      <c r="X4040" s="4"/>
    </row>
    <row r="4041" spans="17:24" x14ac:dyDescent="0.3">
      <c r="Q4041" s="4"/>
      <c r="R4041" s="4"/>
      <c r="S4041" s="4"/>
      <c r="T4041" s="4"/>
      <c r="U4041" s="4"/>
      <c r="V4041" s="4"/>
      <c r="W4041" s="4"/>
      <c r="X4041" s="4"/>
    </row>
    <row r="4042" spans="17:24" x14ac:dyDescent="0.3">
      <c r="Q4042" s="4"/>
      <c r="R4042" s="4"/>
      <c r="S4042" s="4"/>
      <c r="T4042" s="4"/>
      <c r="U4042" s="4"/>
      <c r="V4042" s="4"/>
      <c r="W4042" s="4"/>
      <c r="X4042" s="4"/>
    </row>
    <row r="4043" spans="17:24" x14ac:dyDescent="0.3">
      <c r="Q4043" s="4"/>
      <c r="R4043" s="4"/>
      <c r="S4043" s="4"/>
      <c r="T4043" s="4"/>
      <c r="U4043" s="4"/>
      <c r="V4043" s="4"/>
      <c r="W4043" s="4"/>
      <c r="X4043" s="4"/>
    </row>
    <row r="4044" spans="17:24" x14ac:dyDescent="0.3">
      <c r="Q4044" s="4"/>
      <c r="R4044" s="4"/>
      <c r="S4044" s="4"/>
      <c r="T4044" s="4"/>
      <c r="U4044" s="4"/>
      <c r="V4044" s="4"/>
      <c r="W4044" s="4"/>
      <c r="X4044" s="4"/>
    </row>
    <row r="4045" spans="17:24" x14ac:dyDescent="0.3">
      <c r="Q4045" s="4"/>
      <c r="R4045" s="4"/>
      <c r="S4045" s="4"/>
      <c r="T4045" s="4"/>
      <c r="U4045" s="4"/>
      <c r="V4045" s="4"/>
      <c r="W4045" s="4"/>
      <c r="X4045" s="4"/>
    </row>
    <row r="4046" spans="17:24" x14ac:dyDescent="0.3">
      <c r="Q4046" s="4"/>
      <c r="R4046" s="4"/>
      <c r="S4046" s="4"/>
      <c r="T4046" s="4"/>
      <c r="U4046" s="4"/>
      <c r="V4046" s="4"/>
      <c r="W4046" s="4"/>
      <c r="X4046" s="4"/>
    </row>
    <row r="4047" spans="17:24" x14ac:dyDescent="0.3">
      <c r="Q4047" s="4"/>
      <c r="R4047" s="4"/>
      <c r="S4047" s="4"/>
      <c r="T4047" s="4"/>
      <c r="U4047" s="4"/>
      <c r="V4047" s="4"/>
      <c r="W4047" s="4"/>
      <c r="X4047" s="4"/>
    </row>
    <row r="4048" spans="17:24" x14ac:dyDescent="0.3">
      <c r="Q4048" s="4"/>
      <c r="R4048" s="4"/>
      <c r="S4048" s="4"/>
      <c r="T4048" s="4"/>
      <c r="U4048" s="4"/>
      <c r="V4048" s="4"/>
      <c r="W4048" s="4"/>
      <c r="X4048" s="4"/>
    </row>
    <row r="4049" spans="17:24" x14ac:dyDescent="0.3">
      <c r="Q4049" s="4"/>
      <c r="R4049" s="4"/>
      <c r="S4049" s="4"/>
      <c r="T4049" s="4"/>
      <c r="U4049" s="4"/>
      <c r="V4049" s="4"/>
      <c r="W4049" s="4"/>
      <c r="X4049" s="4"/>
    </row>
    <row r="4050" spans="17:24" x14ac:dyDescent="0.3">
      <c r="Q4050" s="4"/>
      <c r="R4050" s="4"/>
      <c r="S4050" s="4"/>
      <c r="T4050" s="4"/>
      <c r="U4050" s="4"/>
      <c r="V4050" s="4"/>
      <c r="W4050" s="4"/>
      <c r="X4050" s="4"/>
    </row>
    <row r="4051" spans="17:24" x14ac:dyDescent="0.3">
      <c r="Q4051" s="4"/>
      <c r="R4051" s="4"/>
      <c r="S4051" s="4"/>
      <c r="T4051" s="4"/>
      <c r="U4051" s="4"/>
      <c r="V4051" s="4"/>
      <c r="W4051" s="4"/>
      <c r="X4051" s="4"/>
    </row>
    <row r="4052" spans="17:24" x14ac:dyDescent="0.3">
      <c r="Q4052" s="4"/>
      <c r="R4052" s="4"/>
      <c r="S4052" s="4"/>
      <c r="T4052" s="4"/>
      <c r="U4052" s="4"/>
      <c r="V4052" s="4"/>
      <c r="W4052" s="4"/>
      <c r="X4052" s="4"/>
    </row>
    <row r="4053" spans="17:24" x14ac:dyDescent="0.3">
      <c r="Q4053" s="4"/>
      <c r="R4053" s="4"/>
      <c r="S4053" s="4"/>
      <c r="T4053" s="4"/>
      <c r="U4053" s="4"/>
      <c r="V4053" s="4"/>
      <c r="W4053" s="4"/>
      <c r="X4053" s="4"/>
    </row>
    <row r="4054" spans="17:24" x14ac:dyDescent="0.3">
      <c r="Q4054" s="4"/>
      <c r="R4054" s="4"/>
      <c r="S4054" s="4"/>
      <c r="T4054" s="4"/>
      <c r="U4054" s="4"/>
      <c r="V4054" s="4"/>
      <c r="W4054" s="4"/>
      <c r="X4054" s="4"/>
    </row>
    <row r="4055" spans="17:24" x14ac:dyDescent="0.3">
      <c r="Q4055" s="4"/>
      <c r="R4055" s="4"/>
      <c r="S4055" s="4"/>
      <c r="T4055" s="4"/>
      <c r="U4055" s="4"/>
      <c r="V4055" s="4"/>
      <c r="W4055" s="4"/>
      <c r="X4055" s="4"/>
    </row>
    <row r="4056" spans="17:24" x14ac:dyDescent="0.3">
      <c r="Q4056" s="4"/>
      <c r="R4056" s="4"/>
      <c r="S4056" s="4"/>
      <c r="T4056" s="4"/>
      <c r="U4056" s="4"/>
      <c r="V4056" s="4"/>
      <c r="W4056" s="4"/>
      <c r="X4056" s="4"/>
    </row>
    <row r="4057" spans="17:24" x14ac:dyDescent="0.3">
      <c r="Q4057" s="4"/>
      <c r="R4057" s="4"/>
      <c r="S4057" s="4"/>
      <c r="T4057" s="4"/>
      <c r="U4057" s="4"/>
      <c r="V4057" s="4"/>
      <c r="W4057" s="4"/>
      <c r="X4057" s="4"/>
    </row>
    <row r="4058" spans="17:24" x14ac:dyDescent="0.3">
      <c r="Q4058" s="4"/>
      <c r="R4058" s="4"/>
      <c r="S4058" s="4"/>
      <c r="T4058" s="4"/>
      <c r="U4058" s="4"/>
      <c r="V4058" s="4"/>
      <c r="W4058" s="4"/>
      <c r="X4058" s="4"/>
    </row>
    <row r="4059" spans="17:24" x14ac:dyDescent="0.3">
      <c r="Q4059" s="4"/>
      <c r="R4059" s="4"/>
      <c r="S4059" s="4"/>
      <c r="T4059" s="4"/>
      <c r="U4059" s="4"/>
      <c r="V4059" s="4"/>
      <c r="W4059" s="4"/>
      <c r="X4059" s="4"/>
    </row>
    <row r="4060" spans="17:24" x14ac:dyDescent="0.3">
      <c r="Q4060" s="4"/>
      <c r="R4060" s="4"/>
      <c r="S4060" s="4"/>
      <c r="T4060" s="4"/>
      <c r="U4060" s="4"/>
      <c r="V4060" s="4"/>
      <c r="W4060" s="4"/>
      <c r="X4060" s="4"/>
    </row>
    <row r="4061" spans="17:24" x14ac:dyDescent="0.3">
      <c r="Q4061" s="4"/>
      <c r="R4061" s="4"/>
      <c r="S4061" s="4"/>
      <c r="T4061" s="4"/>
      <c r="U4061" s="4"/>
      <c r="V4061" s="4"/>
      <c r="W4061" s="4"/>
      <c r="X4061" s="4"/>
    </row>
    <row r="4062" spans="17:24" x14ac:dyDescent="0.3">
      <c r="Q4062" s="4"/>
      <c r="R4062" s="4"/>
      <c r="S4062" s="4"/>
      <c r="T4062" s="4"/>
      <c r="U4062" s="4"/>
      <c r="V4062" s="4"/>
      <c r="W4062" s="4"/>
      <c r="X4062" s="4"/>
    </row>
    <row r="4063" spans="17:24" x14ac:dyDescent="0.3">
      <c r="Q4063" s="4"/>
      <c r="R4063" s="4"/>
      <c r="S4063" s="4"/>
      <c r="T4063" s="4"/>
      <c r="U4063" s="4"/>
      <c r="V4063" s="4"/>
      <c r="W4063" s="4"/>
      <c r="X4063" s="4"/>
    </row>
    <row r="4064" spans="17:24" x14ac:dyDescent="0.3">
      <c r="Q4064" s="4"/>
      <c r="R4064" s="4"/>
      <c r="S4064" s="4"/>
      <c r="T4064" s="4"/>
      <c r="U4064" s="4"/>
      <c r="V4064" s="4"/>
      <c r="W4064" s="4"/>
      <c r="X4064" s="4"/>
    </row>
    <row r="4065" spans="17:24" x14ac:dyDescent="0.3">
      <c r="Q4065" s="4"/>
      <c r="R4065" s="4"/>
      <c r="S4065" s="4"/>
      <c r="T4065" s="4"/>
      <c r="U4065" s="4"/>
      <c r="V4065" s="4"/>
      <c r="W4065" s="4"/>
      <c r="X4065" s="4"/>
    </row>
    <row r="4066" spans="17:24" x14ac:dyDescent="0.3">
      <c r="Q4066" s="4"/>
      <c r="R4066" s="4"/>
      <c r="S4066" s="4"/>
      <c r="T4066" s="4"/>
      <c r="U4066" s="4"/>
      <c r="V4066" s="4"/>
      <c r="W4066" s="4"/>
      <c r="X4066" s="4"/>
    </row>
    <row r="4067" spans="17:24" x14ac:dyDescent="0.3">
      <c r="Q4067" s="4"/>
      <c r="R4067" s="4"/>
      <c r="S4067" s="4"/>
      <c r="T4067" s="4"/>
      <c r="U4067" s="4"/>
      <c r="V4067" s="4"/>
      <c r="W4067" s="4"/>
      <c r="X4067" s="4"/>
    </row>
    <row r="4068" spans="17:24" x14ac:dyDescent="0.3">
      <c r="Q4068" s="4"/>
      <c r="R4068" s="4"/>
      <c r="S4068" s="4"/>
      <c r="T4068" s="4"/>
      <c r="U4068" s="4"/>
      <c r="V4068" s="4"/>
      <c r="W4068" s="4"/>
      <c r="X4068" s="4"/>
    </row>
    <row r="4069" spans="17:24" x14ac:dyDescent="0.3">
      <c r="Q4069" s="4"/>
      <c r="R4069" s="4"/>
      <c r="S4069" s="4"/>
      <c r="T4069" s="4"/>
      <c r="U4069" s="4"/>
      <c r="V4069" s="4"/>
      <c r="W4069" s="4"/>
      <c r="X4069" s="4"/>
    </row>
    <row r="4070" spans="17:24" x14ac:dyDescent="0.3">
      <c r="Q4070" s="4"/>
      <c r="R4070" s="4"/>
      <c r="S4070" s="4"/>
      <c r="T4070" s="4"/>
      <c r="U4070" s="4"/>
      <c r="V4070" s="4"/>
      <c r="W4070" s="4"/>
      <c r="X4070" s="4"/>
    </row>
    <row r="4071" spans="17:24" x14ac:dyDescent="0.3">
      <c r="Q4071" s="4"/>
      <c r="R4071" s="4"/>
      <c r="S4071" s="4"/>
      <c r="T4071" s="4"/>
      <c r="U4071" s="4"/>
      <c r="V4071" s="4"/>
      <c r="W4071" s="4"/>
      <c r="X4071" s="4"/>
    </row>
    <row r="4072" spans="17:24" x14ac:dyDescent="0.3">
      <c r="Q4072" s="4"/>
      <c r="R4072" s="4"/>
      <c r="S4072" s="4"/>
      <c r="T4072" s="4"/>
      <c r="U4072" s="4"/>
      <c r="V4072" s="4"/>
      <c r="W4072" s="4"/>
      <c r="X4072" s="4"/>
    </row>
    <row r="4073" spans="17:24" x14ac:dyDescent="0.3">
      <c r="Q4073" s="4"/>
      <c r="R4073" s="4"/>
      <c r="S4073" s="4"/>
      <c r="T4073" s="4"/>
      <c r="U4073" s="4"/>
      <c r="V4073" s="4"/>
      <c r="W4073" s="4"/>
      <c r="X4073" s="4"/>
    </row>
    <row r="4074" spans="17:24" x14ac:dyDescent="0.3">
      <c r="Q4074" s="4"/>
      <c r="R4074" s="4"/>
      <c r="S4074" s="4"/>
      <c r="T4074" s="4"/>
      <c r="U4074" s="4"/>
      <c r="V4074" s="4"/>
      <c r="W4074" s="4"/>
      <c r="X4074" s="4"/>
    </row>
    <row r="4075" spans="17:24" x14ac:dyDescent="0.3">
      <c r="Q4075" s="4"/>
      <c r="R4075" s="4"/>
      <c r="S4075" s="4"/>
      <c r="T4075" s="4"/>
      <c r="U4075" s="4"/>
      <c r="V4075" s="4"/>
      <c r="W4075" s="4"/>
      <c r="X4075" s="4"/>
    </row>
    <row r="4076" spans="17:24" x14ac:dyDescent="0.3">
      <c r="Q4076" s="4"/>
      <c r="R4076" s="4"/>
      <c r="S4076" s="4"/>
      <c r="T4076" s="4"/>
      <c r="U4076" s="4"/>
      <c r="V4076" s="4"/>
      <c r="W4076" s="4"/>
      <c r="X4076" s="4"/>
    </row>
    <row r="4077" spans="17:24" x14ac:dyDescent="0.3">
      <c r="Q4077" s="4"/>
      <c r="R4077" s="4"/>
      <c r="S4077" s="4"/>
      <c r="T4077" s="4"/>
      <c r="U4077" s="4"/>
      <c r="V4077" s="4"/>
      <c r="W4077" s="4"/>
      <c r="X4077" s="4"/>
    </row>
    <row r="4078" spans="17:24" x14ac:dyDescent="0.3">
      <c r="Q4078" s="4"/>
      <c r="R4078" s="4"/>
      <c r="S4078" s="4"/>
      <c r="T4078" s="4"/>
      <c r="U4078" s="4"/>
      <c r="V4078" s="4"/>
      <c r="W4078" s="4"/>
      <c r="X4078" s="4"/>
    </row>
    <row r="4079" spans="17:24" x14ac:dyDescent="0.3">
      <c r="Q4079" s="4"/>
      <c r="R4079" s="4"/>
      <c r="S4079" s="4"/>
      <c r="T4079" s="4"/>
      <c r="U4079" s="4"/>
      <c r="V4079" s="4"/>
      <c r="W4079" s="4"/>
      <c r="X4079" s="4"/>
    </row>
    <row r="4080" spans="17:24" x14ac:dyDescent="0.3">
      <c r="Q4080" s="4"/>
      <c r="R4080" s="4"/>
      <c r="S4080" s="4"/>
      <c r="T4080" s="4"/>
      <c r="U4080" s="4"/>
      <c r="V4080" s="4"/>
      <c r="W4080" s="4"/>
      <c r="X4080" s="4"/>
    </row>
    <row r="4081" spans="17:24" x14ac:dyDescent="0.3">
      <c r="Q4081" s="4"/>
      <c r="R4081" s="4"/>
      <c r="S4081" s="4"/>
      <c r="T4081" s="4"/>
      <c r="U4081" s="4"/>
      <c r="V4081" s="4"/>
      <c r="W4081" s="4"/>
      <c r="X4081" s="4"/>
    </row>
    <row r="4082" spans="17:24" x14ac:dyDescent="0.3">
      <c r="Q4082" s="4"/>
      <c r="R4082" s="4"/>
      <c r="S4082" s="4"/>
      <c r="T4082" s="4"/>
      <c r="U4082" s="4"/>
      <c r="V4082" s="4"/>
      <c r="W4082" s="4"/>
      <c r="X4082" s="4"/>
    </row>
    <row r="4083" spans="17:24" x14ac:dyDescent="0.3">
      <c r="Q4083" s="4"/>
      <c r="R4083" s="4"/>
      <c r="S4083" s="4"/>
      <c r="T4083" s="4"/>
      <c r="U4083" s="4"/>
      <c r="V4083" s="4"/>
      <c r="W4083" s="4"/>
      <c r="X4083" s="4"/>
    </row>
    <row r="4084" spans="17:24" x14ac:dyDescent="0.3">
      <c r="Q4084" s="4"/>
      <c r="R4084" s="4"/>
      <c r="S4084" s="4"/>
      <c r="T4084" s="4"/>
      <c r="U4084" s="4"/>
      <c r="V4084" s="4"/>
      <c r="W4084" s="4"/>
      <c r="X4084" s="4"/>
    </row>
    <row r="4085" spans="17:24" x14ac:dyDescent="0.3">
      <c r="Q4085" s="4"/>
      <c r="R4085" s="4"/>
      <c r="S4085" s="4"/>
      <c r="T4085" s="4"/>
      <c r="U4085" s="4"/>
      <c r="V4085" s="4"/>
      <c r="W4085" s="4"/>
      <c r="X4085" s="4"/>
    </row>
    <row r="4086" spans="17:24" x14ac:dyDescent="0.3">
      <c r="Q4086" s="4"/>
      <c r="R4086" s="4"/>
      <c r="S4086" s="4"/>
      <c r="T4086" s="4"/>
      <c r="U4086" s="4"/>
      <c r="V4086" s="4"/>
      <c r="W4086" s="4"/>
      <c r="X4086" s="4"/>
    </row>
    <row r="4087" spans="17:24" x14ac:dyDescent="0.3">
      <c r="Q4087" s="4"/>
      <c r="R4087" s="4"/>
      <c r="S4087" s="4"/>
      <c r="T4087" s="4"/>
      <c r="U4087" s="4"/>
      <c r="V4087" s="4"/>
      <c r="W4087" s="4"/>
      <c r="X4087" s="4"/>
    </row>
    <row r="4088" spans="17:24" x14ac:dyDescent="0.3">
      <c r="Q4088" s="4"/>
      <c r="R4088" s="4"/>
      <c r="S4088" s="4"/>
      <c r="T4088" s="4"/>
      <c r="U4088" s="4"/>
      <c r="V4088" s="4"/>
      <c r="W4088" s="4"/>
      <c r="X4088" s="4"/>
    </row>
    <row r="4089" spans="17:24" x14ac:dyDescent="0.3">
      <c r="Q4089" s="4"/>
      <c r="R4089" s="4"/>
      <c r="S4089" s="4"/>
      <c r="T4089" s="4"/>
      <c r="U4089" s="4"/>
      <c r="V4089" s="4"/>
      <c r="W4089" s="4"/>
      <c r="X4089" s="4"/>
    </row>
    <row r="4090" spans="17:24" x14ac:dyDescent="0.3">
      <c r="Q4090" s="4"/>
      <c r="R4090" s="4"/>
      <c r="S4090" s="4"/>
      <c r="T4090" s="4"/>
      <c r="U4090" s="4"/>
      <c r="V4090" s="4"/>
      <c r="W4090" s="4"/>
      <c r="X4090" s="4"/>
    </row>
    <row r="4091" spans="17:24" x14ac:dyDescent="0.3">
      <c r="Q4091" s="4"/>
      <c r="R4091" s="4"/>
      <c r="S4091" s="4"/>
      <c r="T4091" s="4"/>
      <c r="U4091" s="4"/>
      <c r="V4091" s="4"/>
      <c r="W4091" s="4"/>
      <c r="X4091" s="4"/>
    </row>
    <row r="4092" spans="17:24" x14ac:dyDescent="0.3">
      <c r="Q4092" s="4"/>
      <c r="R4092" s="4"/>
      <c r="S4092" s="4"/>
      <c r="T4092" s="4"/>
      <c r="U4092" s="4"/>
      <c r="V4092" s="4"/>
      <c r="W4092" s="4"/>
      <c r="X4092" s="4"/>
    </row>
    <row r="4093" spans="17:24" x14ac:dyDescent="0.3">
      <c r="Q4093" s="4"/>
      <c r="R4093" s="4"/>
      <c r="S4093" s="4"/>
      <c r="T4093" s="4"/>
      <c r="U4093" s="4"/>
      <c r="V4093" s="4"/>
      <c r="W4093" s="4"/>
      <c r="X4093" s="4"/>
    </row>
    <row r="4094" spans="17:24" x14ac:dyDescent="0.3">
      <c r="Q4094" s="4"/>
      <c r="R4094" s="4"/>
      <c r="S4094" s="4"/>
      <c r="T4094" s="4"/>
      <c r="U4094" s="4"/>
      <c r="V4094" s="4"/>
      <c r="W4094" s="4"/>
      <c r="X4094" s="4"/>
    </row>
    <row r="4095" spans="17:24" x14ac:dyDescent="0.3">
      <c r="Q4095" s="4"/>
      <c r="R4095" s="4"/>
      <c r="S4095" s="4"/>
      <c r="T4095" s="4"/>
      <c r="U4095" s="4"/>
      <c r="V4095" s="4"/>
      <c r="W4095" s="4"/>
      <c r="X4095" s="4"/>
    </row>
    <row r="4096" spans="17:24" x14ac:dyDescent="0.3">
      <c r="Q4096" s="4"/>
      <c r="R4096" s="4"/>
      <c r="S4096" s="4"/>
      <c r="T4096" s="4"/>
      <c r="U4096" s="4"/>
      <c r="V4096" s="4"/>
      <c r="W4096" s="4"/>
      <c r="X4096" s="4"/>
    </row>
    <row r="4097" spans="17:24" x14ac:dyDescent="0.3">
      <c r="Q4097" s="4"/>
      <c r="R4097" s="4"/>
      <c r="S4097" s="4"/>
      <c r="T4097" s="4"/>
      <c r="U4097" s="4"/>
      <c r="V4097" s="4"/>
      <c r="W4097" s="4"/>
      <c r="X4097" s="4"/>
    </row>
    <row r="4098" spans="17:24" x14ac:dyDescent="0.3">
      <c r="Q4098" s="4"/>
      <c r="R4098" s="4"/>
      <c r="S4098" s="4"/>
      <c r="T4098" s="4"/>
      <c r="U4098" s="4"/>
      <c r="V4098" s="4"/>
      <c r="W4098" s="4"/>
      <c r="X4098" s="4"/>
    </row>
    <row r="4099" spans="17:24" x14ac:dyDescent="0.3">
      <c r="Q4099" s="4"/>
      <c r="R4099" s="4"/>
      <c r="S4099" s="4"/>
      <c r="T4099" s="4"/>
      <c r="U4099" s="4"/>
      <c r="V4099" s="4"/>
      <c r="W4099" s="4"/>
      <c r="X4099" s="4"/>
    </row>
    <row r="4100" spans="17:24" x14ac:dyDescent="0.3">
      <c r="Q4100" s="4"/>
      <c r="R4100" s="4"/>
      <c r="S4100" s="4"/>
      <c r="T4100" s="4"/>
      <c r="U4100" s="4"/>
      <c r="V4100" s="4"/>
      <c r="W4100" s="4"/>
      <c r="X4100" s="4"/>
    </row>
    <row r="4101" spans="17:24" x14ac:dyDescent="0.3">
      <c r="Q4101" s="4"/>
      <c r="R4101" s="4"/>
      <c r="S4101" s="4"/>
      <c r="T4101" s="4"/>
      <c r="U4101" s="4"/>
      <c r="V4101" s="4"/>
      <c r="W4101" s="4"/>
      <c r="X4101" s="4"/>
    </row>
    <row r="4102" spans="17:24" x14ac:dyDescent="0.3">
      <c r="Q4102" s="4"/>
      <c r="R4102" s="4"/>
      <c r="S4102" s="4"/>
      <c r="T4102" s="4"/>
      <c r="U4102" s="4"/>
      <c r="V4102" s="4"/>
      <c r="W4102" s="4"/>
      <c r="X4102" s="4"/>
    </row>
    <row r="4103" spans="17:24" x14ac:dyDescent="0.3">
      <c r="Q4103" s="4"/>
      <c r="R4103" s="4"/>
      <c r="S4103" s="4"/>
      <c r="T4103" s="4"/>
      <c r="U4103" s="4"/>
      <c r="V4103" s="4"/>
      <c r="W4103" s="4"/>
      <c r="X4103" s="4"/>
    </row>
    <row r="4104" spans="17:24" x14ac:dyDescent="0.3">
      <c r="Q4104" s="4"/>
      <c r="R4104" s="4"/>
      <c r="S4104" s="4"/>
      <c r="T4104" s="4"/>
      <c r="U4104" s="4"/>
      <c r="V4104" s="4"/>
      <c r="W4104" s="4"/>
      <c r="X4104" s="4"/>
    </row>
    <row r="4105" spans="17:24" x14ac:dyDescent="0.3">
      <c r="Q4105" s="4"/>
      <c r="R4105" s="4"/>
      <c r="S4105" s="4"/>
      <c r="T4105" s="4"/>
      <c r="U4105" s="4"/>
      <c r="V4105" s="4"/>
      <c r="W4105" s="4"/>
      <c r="X4105" s="4"/>
    </row>
    <row r="4106" spans="17:24" x14ac:dyDescent="0.3">
      <c r="Q4106" s="4"/>
      <c r="R4106" s="4"/>
      <c r="S4106" s="4"/>
      <c r="T4106" s="4"/>
      <c r="U4106" s="4"/>
      <c r="V4106" s="4"/>
      <c r="W4106" s="4"/>
      <c r="X4106" s="4"/>
    </row>
    <row r="4107" spans="17:24" x14ac:dyDescent="0.3">
      <c r="Q4107" s="4"/>
      <c r="R4107" s="4"/>
      <c r="S4107" s="4"/>
      <c r="T4107" s="4"/>
      <c r="U4107" s="4"/>
      <c r="V4107" s="4"/>
      <c r="W4107" s="4"/>
      <c r="X4107" s="4"/>
    </row>
    <row r="4108" spans="17:24" x14ac:dyDescent="0.3">
      <c r="Q4108" s="4"/>
      <c r="R4108" s="4"/>
      <c r="S4108" s="4"/>
      <c r="T4108" s="4"/>
      <c r="U4108" s="4"/>
      <c r="V4108" s="4"/>
      <c r="W4108" s="4"/>
      <c r="X4108" s="4"/>
    </row>
    <row r="4109" spans="17:24" x14ac:dyDescent="0.3">
      <c r="Q4109" s="4"/>
      <c r="R4109" s="4"/>
      <c r="S4109" s="4"/>
      <c r="T4109" s="4"/>
      <c r="U4109" s="4"/>
      <c r="V4109" s="4"/>
      <c r="W4109" s="4"/>
      <c r="X4109" s="4"/>
    </row>
    <row r="4110" spans="17:24" x14ac:dyDescent="0.3">
      <c r="Q4110" s="4"/>
      <c r="R4110" s="4"/>
      <c r="S4110" s="4"/>
      <c r="T4110" s="4"/>
      <c r="U4110" s="4"/>
      <c r="V4110" s="4"/>
      <c r="W4110" s="4"/>
      <c r="X4110" s="4"/>
    </row>
    <row r="4111" spans="17:24" x14ac:dyDescent="0.3">
      <c r="Q4111" s="4"/>
      <c r="R4111" s="4"/>
      <c r="S4111" s="4"/>
      <c r="T4111" s="4"/>
      <c r="U4111" s="4"/>
      <c r="V4111" s="4"/>
      <c r="W4111" s="4"/>
      <c r="X4111" s="4"/>
    </row>
    <row r="4112" spans="17:24" x14ac:dyDescent="0.3">
      <c r="Q4112" s="4"/>
      <c r="R4112" s="4"/>
      <c r="S4112" s="4"/>
      <c r="T4112" s="4"/>
      <c r="U4112" s="4"/>
      <c r="V4112" s="4"/>
      <c r="W4112" s="4"/>
      <c r="X4112" s="4"/>
    </row>
    <row r="4113" spans="17:24" x14ac:dyDescent="0.3">
      <c r="Q4113" s="4"/>
      <c r="R4113" s="4"/>
      <c r="S4113" s="4"/>
      <c r="T4113" s="4"/>
      <c r="U4113" s="4"/>
      <c r="V4113" s="4"/>
      <c r="W4113" s="4"/>
      <c r="X4113" s="4"/>
    </row>
    <row r="4114" spans="17:24" x14ac:dyDescent="0.3">
      <c r="Q4114" s="4"/>
      <c r="R4114" s="4"/>
      <c r="S4114" s="4"/>
      <c r="T4114" s="4"/>
      <c r="U4114" s="4"/>
      <c r="V4114" s="4"/>
      <c r="W4114" s="4"/>
      <c r="X4114" s="4"/>
    </row>
    <row r="4115" spans="17:24" x14ac:dyDescent="0.3">
      <c r="Q4115" s="4"/>
      <c r="R4115" s="4"/>
      <c r="S4115" s="4"/>
      <c r="T4115" s="4"/>
      <c r="U4115" s="4"/>
      <c r="V4115" s="4"/>
      <c r="W4115" s="4"/>
      <c r="X4115" s="4"/>
    </row>
    <row r="4116" spans="17:24" x14ac:dyDescent="0.3">
      <c r="Q4116" s="4"/>
      <c r="R4116" s="4"/>
      <c r="S4116" s="4"/>
      <c r="T4116" s="4"/>
      <c r="U4116" s="4"/>
      <c r="V4116" s="4"/>
      <c r="W4116" s="4"/>
      <c r="X4116" s="4"/>
    </row>
    <row r="4117" spans="17:24" x14ac:dyDescent="0.3">
      <c r="Q4117" s="4"/>
      <c r="R4117" s="4"/>
      <c r="S4117" s="4"/>
      <c r="T4117" s="4"/>
      <c r="U4117" s="4"/>
      <c r="V4117" s="4"/>
      <c r="W4117" s="4"/>
      <c r="X4117" s="4"/>
    </row>
    <row r="4118" spans="17:24" x14ac:dyDescent="0.3">
      <c r="Q4118" s="4"/>
      <c r="R4118" s="4"/>
      <c r="S4118" s="4"/>
      <c r="T4118" s="4"/>
      <c r="U4118" s="4"/>
      <c r="V4118" s="4"/>
      <c r="W4118" s="4"/>
      <c r="X4118" s="4"/>
    </row>
    <row r="4119" spans="17:24" x14ac:dyDescent="0.3">
      <c r="Q4119" s="4"/>
      <c r="R4119" s="4"/>
      <c r="S4119" s="4"/>
      <c r="T4119" s="4"/>
      <c r="U4119" s="4"/>
      <c r="V4119" s="4"/>
      <c r="W4119" s="4"/>
      <c r="X4119" s="4"/>
    </row>
    <row r="4120" spans="17:24" x14ac:dyDescent="0.3">
      <c r="Q4120" s="4"/>
      <c r="R4120" s="4"/>
      <c r="S4120" s="4"/>
      <c r="T4120" s="4"/>
      <c r="U4120" s="4"/>
      <c r="V4120" s="4"/>
      <c r="W4120" s="4"/>
      <c r="X4120" s="4"/>
    </row>
    <row r="4121" spans="17:24" x14ac:dyDescent="0.3">
      <c r="Q4121" s="4"/>
      <c r="R4121" s="4"/>
      <c r="S4121" s="4"/>
      <c r="T4121" s="4"/>
      <c r="U4121" s="4"/>
      <c r="V4121" s="4"/>
      <c r="W4121" s="4"/>
      <c r="X4121" s="4"/>
    </row>
    <row r="4122" spans="17:24" x14ac:dyDescent="0.3">
      <c r="Q4122" s="4"/>
      <c r="R4122" s="4"/>
      <c r="S4122" s="4"/>
      <c r="T4122" s="4"/>
      <c r="U4122" s="4"/>
      <c r="V4122" s="4"/>
      <c r="W4122" s="4"/>
      <c r="X4122" s="4"/>
    </row>
    <row r="4123" spans="17:24" x14ac:dyDescent="0.3">
      <c r="Q4123" s="4"/>
      <c r="R4123" s="4"/>
      <c r="S4123" s="4"/>
      <c r="T4123" s="4"/>
      <c r="U4123" s="4"/>
      <c r="V4123" s="4"/>
      <c r="W4123" s="4"/>
      <c r="X4123" s="4"/>
    </row>
    <row r="4124" spans="17:24" x14ac:dyDescent="0.3">
      <c r="Q4124" s="4"/>
      <c r="R4124" s="4"/>
      <c r="S4124" s="4"/>
      <c r="T4124" s="4"/>
      <c r="U4124" s="4"/>
      <c r="V4124" s="4"/>
      <c r="W4124" s="4"/>
      <c r="X4124" s="4"/>
    </row>
    <row r="4125" spans="17:24" x14ac:dyDescent="0.3">
      <c r="Q4125" s="4"/>
      <c r="R4125" s="4"/>
      <c r="S4125" s="4"/>
      <c r="T4125" s="4"/>
      <c r="U4125" s="4"/>
      <c r="V4125" s="4"/>
      <c r="W4125" s="4"/>
      <c r="X4125" s="4"/>
    </row>
    <row r="4126" spans="17:24" x14ac:dyDescent="0.3">
      <c r="Q4126" s="4"/>
      <c r="R4126" s="4"/>
      <c r="S4126" s="4"/>
      <c r="T4126" s="4"/>
      <c r="U4126" s="4"/>
      <c r="V4126" s="4"/>
      <c r="W4126" s="4"/>
      <c r="X4126" s="4"/>
    </row>
    <row r="4127" spans="17:24" x14ac:dyDescent="0.3">
      <c r="Q4127" s="4"/>
      <c r="R4127" s="4"/>
      <c r="S4127" s="4"/>
      <c r="T4127" s="4"/>
      <c r="U4127" s="4"/>
      <c r="V4127" s="4"/>
      <c r="W4127" s="4"/>
      <c r="X4127" s="4"/>
    </row>
    <row r="4128" spans="17:24" x14ac:dyDescent="0.3">
      <c r="Q4128" s="4"/>
      <c r="R4128" s="4"/>
      <c r="S4128" s="4"/>
      <c r="T4128" s="4"/>
      <c r="U4128" s="4"/>
      <c r="V4128" s="4"/>
      <c r="W4128" s="4"/>
      <c r="X4128" s="4"/>
    </row>
    <row r="4129" spans="17:24" x14ac:dyDescent="0.3">
      <c r="Q4129" s="4"/>
      <c r="R4129" s="4"/>
      <c r="S4129" s="4"/>
      <c r="T4129" s="4"/>
      <c r="U4129" s="4"/>
      <c r="V4129" s="4"/>
      <c r="W4129" s="4"/>
      <c r="X4129" s="4"/>
    </row>
    <row r="4130" spans="17:24" x14ac:dyDescent="0.3">
      <c r="Q4130" s="4"/>
      <c r="R4130" s="4"/>
      <c r="S4130" s="4"/>
      <c r="T4130" s="4"/>
      <c r="U4130" s="4"/>
      <c r="V4130" s="4"/>
      <c r="W4130" s="4"/>
      <c r="X4130" s="4"/>
    </row>
    <row r="4131" spans="17:24" x14ac:dyDescent="0.3">
      <c r="Q4131" s="4"/>
      <c r="R4131" s="4"/>
      <c r="S4131" s="4"/>
      <c r="T4131" s="4"/>
      <c r="U4131" s="4"/>
      <c r="V4131" s="4"/>
      <c r="W4131" s="4"/>
      <c r="X4131" s="4"/>
    </row>
    <row r="4132" spans="17:24" x14ac:dyDescent="0.3">
      <c r="Q4132" s="4"/>
      <c r="R4132" s="4"/>
      <c r="S4132" s="4"/>
      <c r="T4132" s="4"/>
      <c r="U4132" s="4"/>
      <c r="V4132" s="4"/>
      <c r="W4132" s="4"/>
      <c r="X4132" s="4"/>
    </row>
    <row r="4133" spans="17:24" x14ac:dyDescent="0.3">
      <c r="Q4133" s="4"/>
      <c r="R4133" s="4"/>
      <c r="S4133" s="4"/>
      <c r="T4133" s="4"/>
      <c r="U4133" s="4"/>
      <c r="V4133" s="4"/>
      <c r="W4133" s="4"/>
      <c r="X4133" s="4"/>
    </row>
    <row r="4134" spans="17:24" x14ac:dyDescent="0.3">
      <c r="Q4134" s="4"/>
      <c r="R4134" s="4"/>
      <c r="S4134" s="4"/>
      <c r="T4134" s="4"/>
      <c r="U4134" s="4"/>
      <c r="V4134" s="4"/>
      <c r="W4134" s="4"/>
      <c r="X4134" s="4"/>
    </row>
    <row r="4135" spans="17:24" x14ac:dyDescent="0.3">
      <c r="Q4135" s="4"/>
      <c r="R4135" s="4"/>
      <c r="S4135" s="4"/>
      <c r="T4135" s="4"/>
      <c r="U4135" s="4"/>
      <c r="V4135" s="4"/>
      <c r="W4135" s="4"/>
      <c r="X4135" s="4"/>
    </row>
    <row r="4136" spans="17:24" x14ac:dyDescent="0.3">
      <c r="Q4136" s="4"/>
      <c r="R4136" s="4"/>
      <c r="S4136" s="4"/>
      <c r="T4136" s="4"/>
      <c r="U4136" s="4"/>
      <c r="V4136" s="4"/>
      <c r="W4136" s="4"/>
      <c r="X4136" s="4"/>
    </row>
    <row r="4137" spans="17:24" x14ac:dyDescent="0.3">
      <c r="Q4137" s="4"/>
      <c r="R4137" s="4"/>
      <c r="S4137" s="4"/>
      <c r="T4137" s="4"/>
      <c r="U4137" s="4"/>
      <c r="V4137" s="4"/>
      <c r="W4137" s="4"/>
      <c r="X4137" s="4"/>
    </row>
    <row r="4138" spans="17:24" x14ac:dyDescent="0.3">
      <c r="Q4138" s="4"/>
      <c r="R4138" s="4"/>
      <c r="S4138" s="4"/>
      <c r="T4138" s="4"/>
      <c r="U4138" s="4"/>
      <c r="V4138" s="4"/>
      <c r="W4138" s="4"/>
      <c r="X4138" s="4"/>
    </row>
    <row r="4139" spans="17:24" x14ac:dyDescent="0.3">
      <c r="Q4139" s="4"/>
      <c r="R4139" s="4"/>
      <c r="S4139" s="4"/>
      <c r="T4139" s="4"/>
      <c r="U4139" s="4"/>
      <c r="V4139" s="4"/>
      <c r="W4139" s="4"/>
      <c r="X4139" s="4"/>
    </row>
    <row r="4140" spans="17:24" x14ac:dyDescent="0.3">
      <c r="Q4140" s="4"/>
      <c r="R4140" s="4"/>
      <c r="S4140" s="4"/>
      <c r="T4140" s="4"/>
      <c r="U4140" s="4"/>
      <c r="V4140" s="4"/>
      <c r="W4140" s="4"/>
      <c r="X4140" s="4"/>
    </row>
    <row r="4141" spans="17:24" x14ac:dyDescent="0.3">
      <c r="Q4141" s="4"/>
      <c r="R4141" s="4"/>
      <c r="S4141" s="4"/>
      <c r="T4141" s="4"/>
      <c r="U4141" s="4"/>
      <c r="V4141" s="4"/>
      <c r="W4141" s="4"/>
      <c r="X4141" s="4"/>
    </row>
    <row r="4142" spans="17:24" x14ac:dyDescent="0.3">
      <c r="Q4142" s="4"/>
      <c r="R4142" s="4"/>
      <c r="S4142" s="4"/>
      <c r="T4142" s="4"/>
      <c r="U4142" s="4"/>
      <c r="V4142" s="4"/>
      <c r="W4142" s="4"/>
      <c r="X4142" s="4"/>
    </row>
    <row r="4143" spans="17:24" x14ac:dyDescent="0.3">
      <c r="Q4143" s="4"/>
      <c r="R4143" s="4"/>
      <c r="S4143" s="4"/>
      <c r="T4143" s="4"/>
      <c r="U4143" s="4"/>
      <c r="V4143" s="4"/>
      <c r="W4143" s="4"/>
      <c r="X4143" s="4"/>
    </row>
    <row r="4144" spans="17:24" x14ac:dyDescent="0.3">
      <c r="Q4144" s="4"/>
      <c r="R4144" s="4"/>
      <c r="S4144" s="4"/>
      <c r="T4144" s="4"/>
      <c r="U4144" s="4"/>
      <c r="V4144" s="4"/>
      <c r="W4144" s="4"/>
      <c r="X4144" s="4"/>
    </row>
    <row r="4145" spans="17:24" x14ac:dyDescent="0.3">
      <c r="Q4145" s="4"/>
      <c r="R4145" s="4"/>
      <c r="S4145" s="4"/>
      <c r="T4145" s="4"/>
      <c r="U4145" s="4"/>
      <c r="V4145" s="4"/>
      <c r="W4145" s="4"/>
      <c r="X4145" s="4"/>
    </row>
    <row r="4146" spans="17:24" x14ac:dyDescent="0.3">
      <c r="Q4146" s="4"/>
      <c r="R4146" s="4"/>
      <c r="S4146" s="4"/>
      <c r="T4146" s="4"/>
      <c r="U4146" s="4"/>
      <c r="V4146" s="4"/>
      <c r="W4146" s="4"/>
      <c r="X4146" s="4"/>
    </row>
    <row r="4147" spans="17:24" x14ac:dyDescent="0.3">
      <c r="Q4147" s="4"/>
      <c r="R4147" s="4"/>
      <c r="S4147" s="4"/>
      <c r="T4147" s="4"/>
      <c r="U4147" s="4"/>
      <c r="V4147" s="4"/>
      <c r="W4147" s="4"/>
      <c r="X4147" s="4"/>
    </row>
    <row r="4148" spans="17:24" x14ac:dyDescent="0.3">
      <c r="Q4148" s="4"/>
      <c r="R4148" s="4"/>
      <c r="S4148" s="4"/>
      <c r="T4148" s="4"/>
      <c r="U4148" s="4"/>
      <c r="V4148" s="4"/>
      <c r="W4148" s="4"/>
      <c r="X4148" s="4"/>
    </row>
    <row r="4149" spans="17:24" x14ac:dyDescent="0.3">
      <c r="Q4149" s="4"/>
      <c r="R4149" s="4"/>
      <c r="S4149" s="4"/>
      <c r="T4149" s="4"/>
      <c r="U4149" s="4"/>
      <c r="V4149" s="4"/>
      <c r="W4149" s="4"/>
      <c r="X4149" s="4"/>
    </row>
    <row r="4150" spans="17:24" x14ac:dyDescent="0.3">
      <c r="Q4150" s="4"/>
      <c r="R4150" s="4"/>
      <c r="S4150" s="4"/>
      <c r="T4150" s="4"/>
      <c r="U4150" s="4"/>
      <c r="V4150" s="4"/>
      <c r="W4150" s="4"/>
      <c r="X4150" s="4"/>
    </row>
    <row r="4151" spans="17:24" x14ac:dyDescent="0.3">
      <c r="Q4151" s="4"/>
      <c r="R4151" s="4"/>
      <c r="S4151" s="4"/>
      <c r="T4151" s="4"/>
      <c r="U4151" s="4"/>
      <c r="V4151" s="4"/>
      <c r="W4151" s="4"/>
      <c r="X4151" s="4"/>
    </row>
    <row r="4152" spans="17:24" x14ac:dyDescent="0.3">
      <c r="Q4152" s="4"/>
      <c r="R4152" s="4"/>
      <c r="S4152" s="4"/>
      <c r="T4152" s="4"/>
      <c r="U4152" s="4"/>
      <c r="V4152" s="4"/>
      <c r="W4152" s="4"/>
      <c r="X4152" s="4"/>
    </row>
    <row r="4153" spans="17:24" x14ac:dyDescent="0.3">
      <c r="Q4153" s="4"/>
      <c r="R4153" s="4"/>
      <c r="S4153" s="4"/>
      <c r="T4153" s="4"/>
      <c r="U4153" s="4"/>
      <c r="V4153" s="4"/>
      <c r="W4153" s="4"/>
      <c r="X4153" s="4"/>
    </row>
    <row r="4154" spans="17:24" x14ac:dyDescent="0.3">
      <c r="Q4154" s="4"/>
      <c r="R4154" s="4"/>
      <c r="S4154" s="4"/>
      <c r="T4154" s="4"/>
      <c r="U4154" s="4"/>
      <c r="V4154" s="4"/>
      <c r="W4154" s="4"/>
      <c r="X4154" s="4"/>
    </row>
    <row r="4155" spans="17:24" x14ac:dyDescent="0.3">
      <c r="Q4155" s="4"/>
      <c r="R4155" s="4"/>
      <c r="S4155" s="4"/>
      <c r="T4155" s="4"/>
      <c r="U4155" s="4"/>
      <c r="V4155" s="4"/>
      <c r="W4155" s="4"/>
      <c r="X4155" s="4"/>
    </row>
    <row r="4156" spans="17:24" x14ac:dyDescent="0.3">
      <c r="Q4156" s="4"/>
      <c r="R4156" s="4"/>
      <c r="S4156" s="4"/>
      <c r="T4156" s="4"/>
      <c r="U4156" s="4"/>
      <c r="V4156" s="4"/>
      <c r="W4156" s="4"/>
      <c r="X4156" s="4"/>
    </row>
    <row r="4157" spans="17:24" x14ac:dyDescent="0.3">
      <c r="Q4157" s="4"/>
      <c r="R4157" s="4"/>
      <c r="S4157" s="4"/>
      <c r="T4157" s="4"/>
      <c r="U4157" s="4"/>
      <c r="V4157" s="4"/>
      <c r="W4157" s="4"/>
      <c r="X4157" s="4"/>
    </row>
    <row r="4158" spans="17:24" x14ac:dyDescent="0.3">
      <c r="Q4158" s="4"/>
      <c r="R4158" s="4"/>
      <c r="S4158" s="4"/>
      <c r="T4158" s="4"/>
      <c r="U4158" s="4"/>
      <c r="V4158" s="4"/>
      <c r="W4158" s="4"/>
      <c r="X4158" s="4"/>
    </row>
    <row r="4159" spans="17:24" x14ac:dyDescent="0.3">
      <c r="Q4159" s="4"/>
      <c r="R4159" s="4"/>
      <c r="S4159" s="4"/>
      <c r="T4159" s="4"/>
      <c r="U4159" s="4"/>
      <c r="V4159" s="4"/>
      <c r="W4159" s="4"/>
      <c r="X4159" s="4"/>
    </row>
    <row r="4160" spans="17:24" x14ac:dyDescent="0.3">
      <c r="Q4160" s="4"/>
      <c r="R4160" s="4"/>
      <c r="S4160" s="4"/>
      <c r="T4160" s="4"/>
      <c r="U4160" s="4"/>
      <c r="V4160" s="4"/>
      <c r="W4160" s="4"/>
      <c r="X4160" s="4"/>
    </row>
    <row r="4161" spans="17:24" x14ac:dyDescent="0.3">
      <c r="Q4161" s="4"/>
      <c r="R4161" s="4"/>
      <c r="S4161" s="4"/>
      <c r="T4161" s="4"/>
      <c r="U4161" s="4"/>
      <c r="V4161" s="4"/>
      <c r="W4161" s="4"/>
      <c r="X4161" s="4"/>
    </row>
    <row r="4162" spans="17:24" x14ac:dyDescent="0.3">
      <c r="Q4162" s="4"/>
      <c r="R4162" s="4"/>
      <c r="S4162" s="4"/>
      <c r="T4162" s="4"/>
      <c r="U4162" s="4"/>
      <c r="V4162" s="4"/>
      <c r="W4162" s="4"/>
      <c r="X4162" s="4"/>
    </row>
    <row r="4163" spans="17:24" x14ac:dyDescent="0.3">
      <c r="Q4163" s="4"/>
      <c r="R4163" s="4"/>
      <c r="S4163" s="4"/>
      <c r="T4163" s="4"/>
      <c r="U4163" s="4"/>
      <c r="V4163" s="4"/>
      <c r="W4163" s="4"/>
      <c r="X4163" s="4"/>
    </row>
    <row r="4164" spans="17:24" x14ac:dyDescent="0.3">
      <c r="Q4164" s="4"/>
      <c r="R4164" s="4"/>
      <c r="S4164" s="4"/>
      <c r="T4164" s="4"/>
      <c r="U4164" s="4"/>
      <c r="V4164" s="4"/>
      <c r="W4164" s="4"/>
      <c r="X4164" s="4"/>
    </row>
    <row r="4165" spans="17:24" x14ac:dyDescent="0.3">
      <c r="Q4165" s="4"/>
      <c r="R4165" s="4"/>
      <c r="S4165" s="4"/>
      <c r="T4165" s="4"/>
      <c r="U4165" s="4"/>
      <c r="V4165" s="4"/>
      <c r="W4165" s="4"/>
      <c r="X4165" s="4"/>
    </row>
    <row r="4166" spans="17:24" x14ac:dyDescent="0.3">
      <c r="Q4166" s="4"/>
      <c r="R4166" s="4"/>
      <c r="S4166" s="4"/>
      <c r="T4166" s="4"/>
      <c r="U4166" s="4"/>
      <c r="V4166" s="4"/>
      <c r="W4166" s="4"/>
      <c r="X4166" s="4"/>
    </row>
    <row r="4167" spans="17:24" x14ac:dyDescent="0.3">
      <c r="Q4167" s="4"/>
      <c r="R4167" s="4"/>
      <c r="S4167" s="4"/>
      <c r="T4167" s="4"/>
      <c r="U4167" s="4"/>
      <c r="V4167" s="4"/>
      <c r="W4167" s="4"/>
      <c r="X4167" s="4"/>
    </row>
    <row r="4168" spans="17:24" x14ac:dyDescent="0.3">
      <c r="Q4168" s="4"/>
      <c r="R4168" s="4"/>
      <c r="S4168" s="4"/>
      <c r="T4168" s="4"/>
      <c r="U4168" s="4"/>
      <c r="V4168" s="4"/>
      <c r="W4168" s="4"/>
      <c r="X4168" s="4"/>
    </row>
    <row r="4169" spans="17:24" x14ac:dyDescent="0.3">
      <c r="Q4169" s="4"/>
      <c r="R4169" s="4"/>
      <c r="S4169" s="4"/>
      <c r="T4169" s="4"/>
      <c r="U4169" s="4"/>
      <c r="V4169" s="4"/>
      <c r="W4169" s="4"/>
      <c r="X4169" s="4"/>
    </row>
    <row r="4170" spans="17:24" x14ac:dyDescent="0.3">
      <c r="Q4170" s="4"/>
      <c r="R4170" s="4"/>
      <c r="S4170" s="4"/>
      <c r="T4170" s="4"/>
      <c r="U4170" s="4"/>
      <c r="V4170" s="4"/>
      <c r="W4170" s="4"/>
      <c r="X4170" s="4"/>
    </row>
    <row r="4171" spans="17:24" x14ac:dyDescent="0.3">
      <c r="Q4171" s="4"/>
      <c r="R4171" s="4"/>
      <c r="S4171" s="4"/>
      <c r="T4171" s="4"/>
      <c r="U4171" s="4"/>
      <c r="V4171" s="4"/>
      <c r="W4171" s="4"/>
      <c r="X4171" s="4"/>
    </row>
    <row r="4172" spans="17:24" x14ac:dyDescent="0.3">
      <c r="Q4172" s="4"/>
      <c r="R4172" s="4"/>
      <c r="S4172" s="4"/>
      <c r="T4172" s="4"/>
      <c r="U4172" s="4"/>
      <c r="V4172" s="4"/>
      <c r="W4172" s="4"/>
      <c r="X4172" s="4"/>
    </row>
    <row r="4173" spans="17:24" x14ac:dyDescent="0.3">
      <c r="Q4173" s="4"/>
      <c r="R4173" s="4"/>
      <c r="S4173" s="4"/>
      <c r="T4173" s="4"/>
      <c r="U4173" s="4"/>
      <c r="V4173" s="4"/>
      <c r="W4173" s="4"/>
      <c r="X4173" s="4"/>
    </row>
    <row r="4174" spans="17:24" x14ac:dyDescent="0.3">
      <c r="Q4174" s="4"/>
      <c r="R4174" s="4"/>
      <c r="S4174" s="4"/>
      <c r="T4174" s="4"/>
      <c r="U4174" s="4"/>
      <c r="V4174" s="4"/>
      <c r="W4174" s="4"/>
      <c r="X4174" s="4"/>
    </row>
    <row r="4175" spans="17:24" x14ac:dyDescent="0.3">
      <c r="Q4175" s="4"/>
      <c r="R4175" s="4"/>
      <c r="S4175" s="4"/>
      <c r="T4175" s="4"/>
      <c r="U4175" s="4"/>
      <c r="V4175" s="4"/>
      <c r="W4175" s="4"/>
      <c r="X4175" s="4"/>
    </row>
    <row r="4176" spans="17:24" x14ac:dyDescent="0.3">
      <c r="Q4176" s="4"/>
      <c r="R4176" s="4"/>
      <c r="S4176" s="4"/>
      <c r="T4176" s="4"/>
      <c r="U4176" s="4"/>
      <c r="V4176" s="4"/>
      <c r="W4176" s="4"/>
      <c r="X4176" s="4"/>
    </row>
    <row r="4177" spans="17:24" x14ac:dyDescent="0.3">
      <c r="Q4177" s="4"/>
      <c r="R4177" s="4"/>
      <c r="S4177" s="4"/>
      <c r="T4177" s="4"/>
      <c r="U4177" s="4"/>
      <c r="V4177" s="4"/>
      <c r="W4177" s="4"/>
      <c r="X4177" s="4"/>
    </row>
    <row r="4178" spans="17:24" x14ac:dyDescent="0.3">
      <c r="Q4178" s="4"/>
      <c r="R4178" s="4"/>
      <c r="S4178" s="4"/>
      <c r="T4178" s="4"/>
      <c r="U4178" s="4"/>
      <c r="V4178" s="4"/>
      <c r="W4178" s="4"/>
      <c r="X4178" s="4"/>
    </row>
    <row r="4179" spans="17:24" x14ac:dyDescent="0.3">
      <c r="Q4179" s="4"/>
      <c r="R4179" s="4"/>
      <c r="S4179" s="4"/>
      <c r="T4179" s="4"/>
      <c r="U4179" s="4"/>
      <c r="V4179" s="4"/>
      <c r="W4179" s="4"/>
      <c r="X4179" s="4"/>
    </row>
    <row r="4180" spans="17:24" x14ac:dyDescent="0.3">
      <c r="Q4180" s="4"/>
      <c r="R4180" s="4"/>
      <c r="S4180" s="4"/>
      <c r="T4180" s="4"/>
      <c r="U4180" s="4"/>
      <c r="V4180" s="4"/>
      <c r="W4180" s="4"/>
      <c r="X4180" s="4"/>
    </row>
    <row r="4181" spans="17:24" x14ac:dyDescent="0.3">
      <c r="Q4181" s="4"/>
      <c r="R4181" s="4"/>
      <c r="S4181" s="4"/>
      <c r="T4181" s="4"/>
      <c r="U4181" s="4"/>
      <c r="V4181" s="4"/>
      <c r="W4181" s="4"/>
      <c r="X4181" s="4"/>
    </row>
    <row r="4182" spans="17:24" x14ac:dyDescent="0.3">
      <c r="Q4182" s="4"/>
      <c r="R4182" s="4"/>
      <c r="S4182" s="4"/>
      <c r="T4182" s="4"/>
      <c r="U4182" s="4"/>
      <c r="V4182" s="4"/>
      <c r="W4182" s="4"/>
      <c r="X4182" s="4"/>
    </row>
    <row r="4183" spans="17:24" x14ac:dyDescent="0.3">
      <c r="Q4183" s="4"/>
      <c r="R4183" s="4"/>
      <c r="S4183" s="4"/>
      <c r="T4183" s="4"/>
      <c r="U4183" s="4"/>
      <c r="V4183" s="4"/>
      <c r="W4183" s="4"/>
      <c r="X4183" s="4"/>
    </row>
    <row r="4184" spans="17:24" x14ac:dyDescent="0.3">
      <c r="Q4184" s="4"/>
      <c r="R4184" s="4"/>
      <c r="S4184" s="4"/>
      <c r="T4184" s="4"/>
      <c r="U4184" s="4"/>
      <c r="V4184" s="4"/>
      <c r="W4184" s="4"/>
      <c r="X4184" s="4"/>
    </row>
    <row r="4185" spans="17:24" x14ac:dyDescent="0.3">
      <c r="Q4185" s="4"/>
      <c r="R4185" s="4"/>
      <c r="S4185" s="4"/>
      <c r="T4185" s="4"/>
      <c r="U4185" s="4"/>
      <c r="V4185" s="4"/>
      <c r="W4185" s="4"/>
      <c r="X4185" s="4"/>
    </row>
    <row r="4186" spans="17:24" x14ac:dyDescent="0.3">
      <c r="Q4186" s="4"/>
      <c r="R4186" s="4"/>
      <c r="S4186" s="4"/>
      <c r="T4186" s="4"/>
      <c r="U4186" s="4"/>
      <c r="V4186" s="4"/>
      <c r="W4186" s="4"/>
      <c r="X4186" s="4"/>
    </row>
    <row r="4187" spans="17:24" x14ac:dyDescent="0.3">
      <c r="Q4187" s="4"/>
      <c r="R4187" s="4"/>
      <c r="S4187" s="4"/>
      <c r="T4187" s="4"/>
      <c r="U4187" s="4"/>
      <c r="V4187" s="4"/>
      <c r="W4187" s="4"/>
      <c r="X4187" s="4"/>
    </row>
    <row r="4188" spans="17:24" x14ac:dyDescent="0.3">
      <c r="Q4188" s="4"/>
      <c r="R4188" s="4"/>
      <c r="S4188" s="4"/>
      <c r="T4188" s="4"/>
      <c r="U4188" s="4"/>
      <c r="V4188" s="4"/>
      <c r="W4188" s="4"/>
      <c r="X4188" s="4"/>
    </row>
    <row r="4189" spans="17:24" x14ac:dyDescent="0.3">
      <c r="Q4189" s="4"/>
      <c r="R4189" s="4"/>
      <c r="S4189" s="4"/>
      <c r="T4189" s="4"/>
      <c r="U4189" s="4"/>
      <c r="V4189" s="4"/>
      <c r="W4189" s="4"/>
      <c r="X4189" s="4"/>
    </row>
    <row r="4190" spans="17:24" x14ac:dyDescent="0.3">
      <c r="Q4190" s="4"/>
      <c r="R4190" s="4"/>
      <c r="S4190" s="4"/>
      <c r="T4190" s="4"/>
      <c r="U4190" s="4"/>
      <c r="V4190" s="4"/>
      <c r="W4190" s="4"/>
      <c r="X4190" s="4"/>
    </row>
    <row r="4191" spans="17:24" x14ac:dyDescent="0.3">
      <c r="Q4191" s="4"/>
      <c r="R4191" s="4"/>
      <c r="S4191" s="4"/>
      <c r="T4191" s="4"/>
      <c r="U4191" s="4"/>
      <c r="V4191" s="4"/>
      <c r="W4191" s="4"/>
      <c r="X4191" s="4"/>
    </row>
    <row r="4192" spans="17:24" x14ac:dyDescent="0.3">
      <c r="Q4192" s="4"/>
      <c r="R4192" s="4"/>
      <c r="S4192" s="4"/>
      <c r="T4192" s="4"/>
      <c r="U4192" s="4"/>
      <c r="V4192" s="4"/>
      <c r="W4192" s="4"/>
      <c r="X4192" s="4"/>
    </row>
    <row r="4193" spans="17:24" x14ac:dyDescent="0.3">
      <c r="Q4193" s="4"/>
      <c r="R4193" s="4"/>
      <c r="S4193" s="4"/>
      <c r="T4193" s="4"/>
      <c r="U4193" s="4"/>
      <c r="V4193" s="4"/>
      <c r="W4193" s="4"/>
      <c r="X4193" s="4"/>
    </row>
    <row r="4194" spans="17:24" x14ac:dyDescent="0.3">
      <c r="Q4194" s="4"/>
      <c r="R4194" s="4"/>
      <c r="S4194" s="4"/>
      <c r="T4194" s="4"/>
      <c r="U4194" s="4"/>
      <c r="V4194" s="4"/>
      <c r="W4194" s="4"/>
      <c r="X4194" s="4"/>
    </row>
    <row r="4195" spans="17:24" x14ac:dyDescent="0.3">
      <c r="Q4195" s="4"/>
      <c r="R4195" s="4"/>
      <c r="S4195" s="4"/>
      <c r="T4195" s="4"/>
      <c r="U4195" s="4"/>
      <c r="V4195" s="4"/>
      <c r="W4195" s="4"/>
      <c r="X4195" s="4"/>
    </row>
    <row r="4196" spans="17:24" x14ac:dyDescent="0.3">
      <c r="Q4196" s="4"/>
      <c r="R4196" s="4"/>
      <c r="S4196" s="4"/>
      <c r="T4196" s="4"/>
      <c r="U4196" s="4"/>
      <c r="V4196" s="4"/>
      <c r="W4196" s="4"/>
      <c r="X4196" s="4"/>
    </row>
    <row r="4197" spans="17:24" x14ac:dyDescent="0.3">
      <c r="Q4197" s="4"/>
      <c r="R4197" s="4"/>
      <c r="S4197" s="4"/>
      <c r="T4197" s="4"/>
      <c r="U4197" s="4"/>
      <c r="V4197" s="4"/>
      <c r="W4197" s="4"/>
      <c r="X4197" s="4"/>
    </row>
    <row r="4198" spans="17:24" x14ac:dyDescent="0.3">
      <c r="Q4198" s="4"/>
      <c r="R4198" s="4"/>
      <c r="S4198" s="4"/>
      <c r="T4198" s="4"/>
      <c r="U4198" s="4"/>
      <c r="V4198" s="4"/>
      <c r="W4198" s="4"/>
      <c r="X4198" s="4"/>
    </row>
    <row r="4199" spans="17:24" x14ac:dyDescent="0.3">
      <c r="Q4199" s="4"/>
      <c r="R4199" s="4"/>
      <c r="S4199" s="4"/>
      <c r="T4199" s="4"/>
      <c r="U4199" s="4"/>
      <c r="V4199" s="4"/>
      <c r="W4199" s="4"/>
      <c r="X4199" s="4"/>
    </row>
    <row r="4200" spans="17:24" x14ac:dyDescent="0.3">
      <c r="Q4200" s="4"/>
      <c r="R4200" s="4"/>
      <c r="S4200" s="4"/>
      <c r="T4200" s="4"/>
      <c r="U4200" s="4"/>
      <c r="V4200" s="4"/>
      <c r="W4200" s="4"/>
      <c r="X4200" s="4"/>
    </row>
    <row r="4201" spans="17:24" x14ac:dyDescent="0.3">
      <c r="Q4201" s="4"/>
      <c r="R4201" s="4"/>
      <c r="S4201" s="4"/>
      <c r="T4201" s="4"/>
      <c r="U4201" s="4"/>
      <c r="V4201" s="4"/>
      <c r="W4201" s="4"/>
      <c r="X4201" s="4"/>
    </row>
    <row r="4202" spans="17:24" x14ac:dyDescent="0.3">
      <c r="Q4202" s="4"/>
      <c r="R4202" s="4"/>
      <c r="S4202" s="4"/>
      <c r="T4202" s="4"/>
      <c r="U4202" s="4"/>
      <c r="V4202" s="4"/>
      <c r="W4202" s="4"/>
      <c r="X4202" s="4"/>
    </row>
    <row r="4203" spans="17:24" x14ac:dyDescent="0.3">
      <c r="Q4203" s="4"/>
      <c r="R4203" s="4"/>
      <c r="S4203" s="4"/>
      <c r="T4203" s="4"/>
      <c r="U4203" s="4"/>
      <c r="V4203" s="4"/>
      <c r="W4203" s="4"/>
      <c r="X4203" s="4"/>
    </row>
    <row r="4204" spans="17:24" x14ac:dyDescent="0.3">
      <c r="Q4204" s="4"/>
      <c r="R4204" s="4"/>
      <c r="S4204" s="4"/>
      <c r="T4204" s="4"/>
      <c r="U4204" s="4"/>
      <c r="V4204" s="4"/>
      <c r="W4204" s="4"/>
      <c r="X4204" s="4"/>
    </row>
    <row r="4205" spans="17:24" x14ac:dyDescent="0.3">
      <c r="Q4205" s="4"/>
      <c r="R4205" s="4"/>
      <c r="S4205" s="4"/>
      <c r="T4205" s="4"/>
      <c r="U4205" s="4"/>
      <c r="V4205" s="4"/>
      <c r="W4205" s="4"/>
      <c r="X4205" s="4"/>
    </row>
    <row r="4206" spans="17:24" x14ac:dyDescent="0.3">
      <c r="Q4206" s="4"/>
      <c r="R4206" s="4"/>
      <c r="S4206" s="4"/>
      <c r="T4206" s="4"/>
      <c r="U4206" s="4"/>
      <c r="V4206" s="4"/>
      <c r="W4206" s="4"/>
      <c r="X4206" s="4"/>
    </row>
    <row r="4207" spans="17:24" x14ac:dyDescent="0.3">
      <c r="Q4207" s="4"/>
      <c r="R4207" s="4"/>
      <c r="S4207" s="4"/>
      <c r="T4207" s="4"/>
      <c r="U4207" s="4"/>
      <c r="V4207" s="4"/>
      <c r="W4207" s="4"/>
      <c r="X4207" s="4"/>
    </row>
    <row r="4208" spans="17:24" x14ac:dyDescent="0.3">
      <c r="Q4208" s="4"/>
      <c r="R4208" s="4"/>
      <c r="S4208" s="4"/>
      <c r="T4208" s="4"/>
      <c r="U4208" s="4"/>
      <c r="V4208" s="4"/>
      <c r="W4208" s="4"/>
      <c r="X4208" s="4"/>
    </row>
    <row r="4209" spans="17:24" x14ac:dyDescent="0.3">
      <c r="Q4209" s="4"/>
      <c r="R4209" s="4"/>
      <c r="S4209" s="4"/>
      <c r="T4209" s="4"/>
      <c r="U4209" s="4"/>
      <c r="V4209" s="4"/>
      <c r="W4209" s="4"/>
      <c r="X4209" s="4"/>
    </row>
    <row r="4210" spans="17:24" x14ac:dyDescent="0.3">
      <c r="Q4210" s="4"/>
      <c r="R4210" s="4"/>
      <c r="S4210" s="4"/>
      <c r="T4210" s="4"/>
      <c r="U4210" s="4"/>
      <c r="V4210" s="4"/>
      <c r="W4210" s="4"/>
      <c r="X4210" s="4"/>
    </row>
    <row r="4211" spans="17:24" x14ac:dyDescent="0.3">
      <c r="Q4211" s="4"/>
      <c r="R4211" s="4"/>
      <c r="S4211" s="4"/>
      <c r="T4211" s="4"/>
      <c r="U4211" s="4"/>
      <c r="V4211" s="4"/>
      <c r="W4211" s="4"/>
      <c r="X4211" s="4"/>
    </row>
    <row r="4212" spans="17:24" x14ac:dyDescent="0.3">
      <c r="Q4212" s="4"/>
      <c r="R4212" s="4"/>
      <c r="S4212" s="4"/>
      <c r="T4212" s="4"/>
      <c r="U4212" s="4"/>
      <c r="V4212" s="4"/>
      <c r="W4212" s="4"/>
      <c r="X4212" s="4"/>
    </row>
    <row r="4213" spans="17:24" x14ac:dyDescent="0.3">
      <c r="Q4213" s="4"/>
      <c r="R4213" s="4"/>
      <c r="S4213" s="4"/>
      <c r="T4213" s="4"/>
      <c r="U4213" s="4"/>
      <c r="V4213" s="4"/>
      <c r="W4213" s="4"/>
      <c r="X4213" s="4"/>
    </row>
    <row r="4214" spans="17:24" x14ac:dyDescent="0.3">
      <c r="Q4214" s="4"/>
      <c r="R4214" s="4"/>
      <c r="S4214" s="4"/>
      <c r="T4214" s="4"/>
      <c r="U4214" s="4"/>
      <c r="V4214" s="4"/>
      <c r="W4214" s="4"/>
      <c r="X4214" s="4"/>
    </row>
    <row r="4215" spans="17:24" x14ac:dyDescent="0.3">
      <c r="Q4215" s="4"/>
      <c r="R4215" s="4"/>
      <c r="S4215" s="4"/>
      <c r="T4215" s="4"/>
      <c r="U4215" s="4"/>
      <c r="V4215" s="4"/>
      <c r="W4215" s="4"/>
      <c r="X4215" s="4"/>
    </row>
    <row r="4216" spans="17:24" x14ac:dyDescent="0.3">
      <c r="Q4216" s="4"/>
      <c r="R4216" s="4"/>
      <c r="S4216" s="4"/>
      <c r="T4216" s="4"/>
      <c r="U4216" s="4"/>
      <c r="V4216" s="4"/>
      <c r="W4216" s="4"/>
      <c r="X4216" s="4"/>
    </row>
    <row r="4217" spans="17:24" x14ac:dyDescent="0.3">
      <c r="Q4217" s="4"/>
      <c r="R4217" s="4"/>
      <c r="S4217" s="4"/>
      <c r="T4217" s="4"/>
      <c r="U4217" s="4"/>
      <c r="V4217" s="4"/>
      <c r="W4217" s="4"/>
      <c r="X4217" s="4"/>
    </row>
    <row r="4218" spans="17:24" x14ac:dyDescent="0.3">
      <c r="Q4218" s="4"/>
      <c r="R4218" s="4"/>
      <c r="S4218" s="4"/>
      <c r="T4218" s="4"/>
      <c r="U4218" s="4"/>
      <c r="V4218" s="4"/>
      <c r="W4218" s="4"/>
      <c r="X4218" s="4"/>
    </row>
    <row r="4219" spans="17:24" x14ac:dyDescent="0.3">
      <c r="Q4219" s="4"/>
      <c r="R4219" s="4"/>
      <c r="S4219" s="4"/>
      <c r="T4219" s="4"/>
      <c r="U4219" s="4"/>
      <c r="V4219" s="4"/>
      <c r="W4219" s="4"/>
      <c r="X4219" s="4"/>
    </row>
    <row r="4220" spans="17:24" x14ac:dyDescent="0.3">
      <c r="Q4220" s="4"/>
      <c r="R4220" s="4"/>
      <c r="S4220" s="4"/>
      <c r="T4220" s="4"/>
      <c r="U4220" s="4"/>
      <c r="V4220" s="4"/>
      <c r="W4220" s="4"/>
      <c r="X4220" s="4"/>
    </row>
    <row r="4221" spans="17:24" x14ac:dyDescent="0.3">
      <c r="Q4221" s="4"/>
      <c r="R4221" s="4"/>
      <c r="S4221" s="4"/>
      <c r="T4221" s="4"/>
      <c r="U4221" s="4"/>
      <c r="V4221" s="4"/>
      <c r="W4221" s="4"/>
      <c r="X4221" s="4"/>
    </row>
    <row r="4222" spans="17:24" x14ac:dyDescent="0.3">
      <c r="Q4222" s="4"/>
      <c r="R4222" s="4"/>
      <c r="S4222" s="4"/>
      <c r="T4222" s="4"/>
      <c r="U4222" s="4"/>
      <c r="V4222" s="4"/>
      <c r="W4222" s="4"/>
      <c r="X4222" s="4"/>
    </row>
    <row r="4223" spans="17:24" x14ac:dyDescent="0.3">
      <c r="Q4223" s="4"/>
      <c r="R4223" s="4"/>
      <c r="S4223" s="4"/>
      <c r="T4223" s="4"/>
      <c r="U4223" s="4"/>
      <c r="V4223" s="4"/>
      <c r="W4223" s="4"/>
      <c r="X4223" s="4"/>
    </row>
    <row r="4224" spans="17:24" x14ac:dyDescent="0.3">
      <c r="Q4224" s="4"/>
      <c r="R4224" s="4"/>
      <c r="S4224" s="4"/>
      <c r="T4224" s="4"/>
      <c r="U4224" s="4"/>
      <c r="V4224" s="4"/>
      <c r="W4224" s="4"/>
      <c r="X4224" s="4"/>
    </row>
    <row r="4225" spans="17:24" x14ac:dyDescent="0.3">
      <c r="Q4225" s="4"/>
      <c r="R4225" s="4"/>
      <c r="S4225" s="4"/>
      <c r="T4225" s="4"/>
      <c r="U4225" s="4"/>
      <c r="V4225" s="4"/>
      <c r="W4225" s="4"/>
      <c r="X4225" s="4"/>
    </row>
    <row r="4226" spans="17:24" x14ac:dyDescent="0.3">
      <c r="Q4226" s="4"/>
      <c r="R4226" s="4"/>
      <c r="S4226" s="4"/>
      <c r="T4226" s="4"/>
      <c r="U4226" s="4"/>
      <c r="V4226" s="4"/>
      <c r="W4226" s="4"/>
      <c r="X4226" s="4"/>
    </row>
    <row r="4227" spans="17:24" x14ac:dyDescent="0.3">
      <c r="Q4227" s="4"/>
      <c r="R4227" s="4"/>
      <c r="S4227" s="4"/>
      <c r="T4227" s="4"/>
      <c r="U4227" s="4"/>
      <c r="V4227" s="4"/>
      <c r="W4227" s="4"/>
      <c r="X4227" s="4"/>
    </row>
    <row r="4228" spans="17:24" x14ac:dyDescent="0.3">
      <c r="Q4228" s="4"/>
      <c r="R4228" s="4"/>
      <c r="S4228" s="4"/>
      <c r="T4228" s="4"/>
      <c r="U4228" s="4"/>
      <c r="V4228" s="4"/>
      <c r="W4228" s="4"/>
      <c r="X4228" s="4"/>
    </row>
    <row r="4229" spans="17:24" x14ac:dyDescent="0.3">
      <c r="Q4229" s="4"/>
      <c r="R4229" s="4"/>
      <c r="S4229" s="4"/>
      <c r="T4229" s="4"/>
      <c r="U4229" s="4"/>
      <c r="V4229" s="4"/>
      <c r="W4229" s="4"/>
      <c r="X4229" s="4"/>
    </row>
    <row r="4230" spans="17:24" x14ac:dyDescent="0.3">
      <c r="Q4230" s="4"/>
      <c r="R4230" s="4"/>
      <c r="S4230" s="4"/>
      <c r="T4230" s="4"/>
      <c r="U4230" s="4"/>
      <c r="V4230" s="4"/>
      <c r="W4230" s="4"/>
      <c r="X4230" s="4"/>
    </row>
    <row r="4231" spans="17:24" x14ac:dyDescent="0.3">
      <c r="Q4231" s="4"/>
      <c r="R4231" s="4"/>
      <c r="S4231" s="4"/>
      <c r="T4231" s="4"/>
      <c r="U4231" s="4"/>
      <c r="V4231" s="4"/>
      <c r="W4231" s="4"/>
      <c r="X4231" s="4"/>
    </row>
    <row r="4232" spans="17:24" x14ac:dyDescent="0.3">
      <c r="Q4232" s="4"/>
      <c r="R4232" s="4"/>
      <c r="S4232" s="4"/>
      <c r="T4232" s="4"/>
      <c r="U4232" s="4"/>
      <c r="V4232" s="4"/>
      <c r="W4232" s="4"/>
      <c r="X4232" s="4"/>
    </row>
    <row r="4233" spans="17:24" x14ac:dyDescent="0.3">
      <c r="Q4233" s="4"/>
      <c r="R4233" s="4"/>
      <c r="S4233" s="4"/>
      <c r="T4233" s="4"/>
      <c r="U4233" s="4"/>
      <c r="V4233" s="4"/>
      <c r="W4233" s="4"/>
      <c r="X4233" s="4"/>
    </row>
    <row r="4234" spans="17:24" x14ac:dyDescent="0.3">
      <c r="Q4234" s="4"/>
      <c r="R4234" s="4"/>
      <c r="S4234" s="4"/>
      <c r="T4234" s="4"/>
      <c r="U4234" s="4"/>
      <c r="V4234" s="4"/>
      <c r="W4234" s="4"/>
      <c r="X4234" s="4"/>
    </row>
    <row r="4235" spans="17:24" x14ac:dyDescent="0.3">
      <c r="Q4235" s="4"/>
      <c r="R4235" s="4"/>
      <c r="S4235" s="4"/>
      <c r="T4235" s="4"/>
      <c r="U4235" s="4"/>
      <c r="V4235" s="4"/>
      <c r="W4235" s="4"/>
      <c r="X4235" s="4"/>
    </row>
    <row r="4236" spans="17:24" x14ac:dyDescent="0.3">
      <c r="Q4236" s="4"/>
      <c r="R4236" s="4"/>
      <c r="S4236" s="4"/>
      <c r="T4236" s="4"/>
      <c r="U4236" s="4"/>
      <c r="V4236" s="4"/>
      <c r="W4236" s="4"/>
      <c r="X4236" s="4"/>
    </row>
    <row r="4237" spans="17:24" x14ac:dyDescent="0.3">
      <c r="Q4237" s="4"/>
      <c r="R4237" s="4"/>
      <c r="S4237" s="4"/>
      <c r="T4237" s="4"/>
      <c r="U4237" s="4"/>
      <c r="V4237" s="4"/>
      <c r="W4237" s="4"/>
      <c r="X4237" s="4"/>
    </row>
    <row r="4238" spans="17:24" x14ac:dyDescent="0.3">
      <c r="Q4238" s="4"/>
      <c r="R4238" s="4"/>
      <c r="S4238" s="4"/>
      <c r="T4238" s="4"/>
      <c r="U4238" s="4"/>
      <c r="V4238" s="4"/>
      <c r="W4238" s="4"/>
      <c r="X4238" s="4"/>
    </row>
    <row r="4239" spans="17:24" x14ac:dyDescent="0.3">
      <c r="Q4239" s="4"/>
      <c r="R4239" s="4"/>
      <c r="S4239" s="4"/>
      <c r="T4239" s="4"/>
      <c r="U4239" s="4"/>
      <c r="V4239" s="4"/>
      <c r="W4239" s="4"/>
      <c r="X4239" s="4"/>
    </row>
    <row r="4240" spans="17:24" x14ac:dyDescent="0.3">
      <c r="Q4240" s="4"/>
      <c r="R4240" s="4"/>
      <c r="S4240" s="4"/>
      <c r="T4240" s="4"/>
      <c r="U4240" s="4"/>
      <c r="V4240" s="4"/>
      <c r="W4240" s="4"/>
      <c r="X4240" s="4"/>
    </row>
    <row r="4241" spans="17:24" x14ac:dyDescent="0.3">
      <c r="Q4241" s="4"/>
      <c r="R4241" s="4"/>
      <c r="S4241" s="4"/>
      <c r="T4241" s="4"/>
      <c r="U4241" s="4"/>
      <c r="V4241" s="4"/>
      <c r="W4241" s="4"/>
      <c r="X4241" s="4"/>
    </row>
    <row r="4242" spans="17:24" x14ac:dyDescent="0.3">
      <c r="Q4242" s="4"/>
      <c r="R4242" s="4"/>
      <c r="S4242" s="4"/>
      <c r="T4242" s="4"/>
      <c r="U4242" s="4"/>
      <c r="V4242" s="4"/>
      <c r="W4242" s="4"/>
      <c r="X4242" s="4"/>
    </row>
    <row r="4243" spans="17:24" x14ac:dyDescent="0.3">
      <c r="Q4243" s="4"/>
      <c r="R4243" s="4"/>
      <c r="S4243" s="4"/>
      <c r="T4243" s="4"/>
      <c r="U4243" s="4"/>
      <c r="V4243" s="4"/>
      <c r="W4243" s="4"/>
      <c r="X4243" s="4"/>
    </row>
    <row r="4244" spans="17:24" x14ac:dyDescent="0.3">
      <c r="Q4244" s="4"/>
      <c r="R4244" s="4"/>
      <c r="S4244" s="4"/>
      <c r="T4244" s="4"/>
      <c r="U4244" s="4"/>
      <c r="V4244" s="4"/>
      <c r="W4244" s="4"/>
      <c r="X4244" s="4"/>
    </row>
    <row r="4245" spans="17:24" x14ac:dyDescent="0.3">
      <c r="Q4245" s="4"/>
      <c r="R4245" s="4"/>
      <c r="S4245" s="4"/>
      <c r="T4245" s="4"/>
      <c r="U4245" s="4"/>
      <c r="V4245" s="4"/>
      <c r="W4245" s="4"/>
      <c r="X4245" s="4"/>
    </row>
    <row r="4246" spans="17:24" x14ac:dyDescent="0.3">
      <c r="Q4246" s="4"/>
      <c r="R4246" s="4"/>
      <c r="S4246" s="4"/>
      <c r="T4246" s="4"/>
      <c r="U4246" s="4"/>
      <c r="V4246" s="4"/>
      <c r="W4246" s="4"/>
      <c r="X4246" s="4"/>
    </row>
    <row r="4247" spans="17:24" x14ac:dyDescent="0.3">
      <c r="Q4247" s="4"/>
      <c r="R4247" s="4"/>
      <c r="S4247" s="4"/>
      <c r="T4247" s="4"/>
      <c r="U4247" s="4"/>
      <c r="V4247" s="4"/>
      <c r="W4247" s="4"/>
      <c r="X4247" s="4"/>
    </row>
    <row r="4248" spans="17:24" x14ac:dyDescent="0.3">
      <c r="Q4248" s="4"/>
      <c r="R4248" s="4"/>
      <c r="S4248" s="4"/>
      <c r="T4248" s="4"/>
      <c r="U4248" s="4"/>
      <c r="V4248" s="4"/>
      <c r="W4248" s="4"/>
      <c r="X4248" s="4"/>
    </row>
    <row r="4249" spans="17:24" x14ac:dyDescent="0.3">
      <c r="Q4249" s="4"/>
      <c r="R4249" s="4"/>
      <c r="S4249" s="4"/>
      <c r="T4249" s="4"/>
      <c r="U4249" s="4"/>
      <c r="V4249" s="4"/>
      <c r="W4249" s="4"/>
      <c r="X4249" s="4"/>
    </row>
    <row r="4250" spans="17:24" x14ac:dyDescent="0.3">
      <c r="Q4250" s="4"/>
      <c r="R4250" s="4"/>
      <c r="S4250" s="4"/>
      <c r="T4250" s="4"/>
      <c r="U4250" s="4"/>
      <c r="V4250" s="4"/>
      <c r="W4250" s="4"/>
      <c r="X4250" s="4"/>
    </row>
    <row r="4251" spans="17:24" x14ac:dyDescent="0.3">
      <c r="Q4251" s="4"/>
      <c r="R4251" s="4"/>
      <c r="S4251" s="4"/>
      <c r="T4251" s="4"/>
      <c r="U4251" s="4"/>
      <c r="V4251" s="4"/>
      <c r="W4251" s="4"/>
      <c r="X4251" s="4"/>
    </row>
    <row r="4252" spans="17:24" x14ac:dyDescent="0.3">
      <c r="Q4252" s="4"/>
      <c r="R4252" s="4"/>
      <c r="S4252" s="4"/>
      <c r="T4252" s="4"/>
      <c r="U4252" s="4"/>
      <c r="V4252" s="4"/>
      <c r="W4252" s="4"/>
      <c r="X4252" s="4"/>
    </row>
    <row r="4253" spans="17:24" x14ac:dyDescent="0.3">
      <c r="Q4253" s="4"/>
      <c r="R4253" s="4"/>
      <c r="S4253" s="4"/>
      <c r="T4253" s="4"/>
      <c r="U4253" s="4"/>
      <c r="V4253" s="4"/>
      <c r="W4253" s="4"/>
      <c r="X4253" s="4"/>
    </row>
    <row r="4254" spans="17:24" x14ac:dyDescent="0.3">
      <c r="Q4254" s="4"/>
      <c r="R4254" s="4"/>
      <c r="S4254" s="4"/>
      <c r="T4254" s="4"/>
      <c r="U4254" s="4"/>
      <c r="V4254" s="4"/>
      <c r="W4254" s="4"/>
      <c r="X4254" s="4"/>
    </row>
    <row r="4255" spans="17:24" x14ac:dyDescent="0.3">
      <c r="Q4255" s="4"/>
      <c r="R4255" s="4"/>
      <c r="S4255" s="4"/>
      <c r="T4255" s="4"/>
      <c r="U4255" s="4"/>
      <c r="V4255" s="4"/>
      <c r="W4255" s="4"/>
      <c r="X4255" s="4"/>
    </row>
    <row r="4256" spans="17:24" x14ac:dyDescent="0.3">
      <c r="Q4256" s="4"/>
      <c r="R4256" s="4"/>
      <c r="S4256" s="4"/>
      <c r="T4256" s="4"/>
      <c r="U4256" s="4"/>
      <c r="V4256" s="4"/>
      <c r="W4256" s="4"/>
      <c r="X4256" s="4"/>
    </row>
    <row r="4257" spans="17:24" x14ac:dyDescent="0.3">
      <c r="Q4257" s="4"/>
      <c r="R4257" s="4"/>
      <c r="S4257" s="4"/>
      <c r="T4257" s="4"/>
      <c r="U4257" s="4"/>
      <c r="V4257" s="4"/>
      <c r="W4257" s="4"/>
      <c r="X4257" s="4"/>
    </row>
    <row r="4258" spans="17:24" x14ac:dyDescent="0.3">
      <c r="Q4258" s="4"/>
      <c r="R4258" s="4"/>
      <c r="S4258" s="4"/>
      <c r="T4258" s="4"/>
      <c r="U4258" s="4"/>
      <c r="V4258" s="4"/>
      <c r="W4258" s="4"/>
      <c r="X4258" s="4"/>
    </row>
    <row r="4259" spans="17:24" x14ac:dyDescent="0.3">
      <c r="Q4259" s="4"/>
      <c r="R4259" s="4"/>
      <c r="S4259" s="4"/>
      <c r="T4259" s="4"/>
      <c r="U4259" s="4"/>
      <c r="V4259" s="4"/>
      <c r="W4259" s="4"/>
      <c r="X4259" s="4"/>
    </row>
    <row r="4260" spans="17:24" x14ac:dyDescent="0.3">
      <c r="Q4260" s="4"/>
      <c r="R4260" s="4"/>
      <c r="S4260" s="4"/>
      <c r="T4260" s="4"/>
      <c r="U4260" s="4"/>
      <c r="V4260" s="4"/>
      <c r="W4260" s="4"/>
      <c r="X4260" s="4"/>
    </row>
    <row r="4261" spans="17:24" x14ac:dyDescent="0.3">
      <c r="Q4261" s="4"/>
      <c r="R4261" s="4"/>
      <c r="S4261" s="4"/>
      <c r="T4261" s="4"/>
      <c r="U4261" s="4"/>
      <c r="V4261" s="4"/>
      <c r="W4261" s="4"/>
      <c r="X4261" s="4"/>
    </row>
    <row r="4262" spans="17:24" x14ac:dyDescent="0.3">
      <c r="Q4262" s="4"/>
      <c r="R4262" s="4"/>
      <c r="S4262" s="4"/>
      <c r="T4262" s="4"/>
      <c r="U4262" s="4"/>
      <c r="V4262" s="4"/>
      <c r="W4262" s="4"/>
      <c r="X4262" s="4"/>
    </row>
    <row r="4263" spans="17:24" x14ac:dyDescent="0.3">
      <c r="Q4263" s="4"/>
      <c r="R4263" s="4"/>
      <c r="S4263" s="4"/>
      <c r="T4263" s="4"/>
      <c r="U4263" s="4"/>
      <c r="V4263" s="4"/>
      <c r="W4263" s="4"/>
      <c r="X4263" s="4"/>
    </row>
    <row r="4264" spans="17:24" x14ac:dyDescent="0.3">
      <c r="Q4264" s="4"/>
      <c r="R4264" s="4"/>
      <c r="S4264" s="4"/>
      <c r="T4264" s="4"/>
      <c r="U4264" s="4"/>
      <c r="V4264" s="4"/>
      <c r="W4264" s="4"/>
      <c r="X4264" s="4"/>
    </row>
    <row r="4265" spans="17:24" x14ac:dyDescent="0.3">
      <c r="Q4265" s="4"/>
      <c r="R4265" s="4"/>
      <c r="S4265" s="4"/>
      <c r="T4265" s="4"/>
      <c r="U4265" s="4"/>
      <c r="V4265" s="4"/>
      <c r="W4265" s="4"/>
      <c r="X4265" s="4"/>
    </row>
    <row r="4266" spans="17:24" x14ac:dyDescent="0.3">
      <c r="Q4266" s="4"/>
      <c r="R4266" s="4"/>
      <c r="S4266" s="4"/>
      <c r="T4266" s="4"/>
      <c r="U4266" s="4"/>
      <c r="V4266" s="4"/>
      <c r="W4266" s="4"/>
      <c r="X4266" s="4"/>
    </row>
    <row r="4267" spans="17:24" x14ac:dyDescent="0.3">
      <c r="Q4267" s="4"/>
      <c r="R4267" s="4"/>
      <c r="S4267" s="4"/>
      <c r="T4267" s="4"/>
      <c r="U4267" s="4"/>
      <c r="V4267" s="4"/>
      <c r="W4267" s="4"/>
      <c r="X4267" s="4"/>
    </row>
    <row r="4268" spans="17:24" x14ac:dyDescent="0.3">
      <c r="Q4268" s="4"/>
      <c r="R4268" s="4"/>
      <c r="S4268" s="4"/>
      <c r="T4268" s="4"/>
      <c r="U4268" s="4"/>
      <c r="V4268" s="4"/>
      <c r="W4268" s="4"/>
      <c r="X4268" s="4"/>
    </row>
    <row r="4269" spans="17:24" x14ac:dyDescent="0.3">
      <c r="Q4269" s="4"/>
      <c r="R4269" s="4"/>
      <c r="S4269" s="4"/>
      <c r="T4269" s="4"/>
      <c r="U4269" s="4"/>
      <c r="V4269" s="4"/>
      <c r="W4269" s="4"/>
      <c r="X4269" s="4"/>
    </row>
    <row r="4270" spans="17:24" x14ac:dyDescent="0.3">
      <c r="Q4270" s="4"/>
      <c r="R4270" s="4"/>
      <c r="S4270" s="4"/>
      <c r="T4270" s="4"/>
      <c r="U4270" s="4"/>
      <c r="V4270" s="4"/>
      <c r="W4270" s="4"/>
      <c r="X4270" s="4"/>
    </row>
    <row r="4271" spans="17:24" x14ac:dyDescent="0.3">
      <c r="Q4271" s="4"/>
      <c r="R4271" s="4"/>
      <c r="S4271" s="4"/>
      <c r="T4271" s="4"/>
      <c r="U4271" s="4"/>
      <c r="V4271" s="4"/>
      <c r="W4271" s="4"/>
      <c r="X4271" s="4"/>
    </row>
    <row r="4272" spans="17:24" x14ac:dyDescent="0.3">
      <c r="Q4272" s="4"/>
      <c r="R4272" s="4"/>
      <c r="S4272" s="4"/>
      <c r="T4272" s="4"/>
      <c r="U4272" s="4"/>
      <c r="V4272" s="4"/>
      <c r="W4272" s="4"/>
      <c r="X4272" s="4"/>
    </row>
    <row r="4273" spans="17:24" x14ac:dyDescent="0.3">
      <c r="Q4273" s="4"/>
      <c r="R4273" s="4"/>
      <c r="S4273" s="4"/>
      <c r="T4273" s="4"/>
      <c r="U4273" s="4"/>
      <c r="V4273" s="4"/>
      <c r="W4273" s="4"/>
      <c r="X4273" s="4"/>
    </row>
    <row r="4274" spans="17:24" x14ac:dyDescent="0.3">
      <c r="Q4274" s="4"/>
      <c r="R4274" s="4"/>
      <c r="S4274" s="4"/>
      <c r="T4274" s="4"/>
      <c r="U4274" s="4"/>
      <c r="V4274" s="4"/>
      <c r="W4274" s="4"/>
      <c r="X4274" s="4"/>
    </row>
    <row r="4275" spans="17:24" x14ac:dyDescent="0.3">
      <c r="Q4275" s="4"/>
      <c r="R4275" s="4"/>
      <c r="S4275" s="4"/>
      <c r="T4275" s="4"/>
      <c r="U4275" s="4"/>
      <c r="V4275" s="4"/>
      <c r="W4275" s="4"/>
      <c r="X4275" s="4"/>
    </row>
    <row r="4276" spans="17:24" x14ac:dyDescent="0.3">
      <c r="Q4276" s="4"/>
      <c r="R4276" s="4"/>
      <c r="S4276" s="4"/>
      <c r="T4276" s="4"/>
      <c r="U4276" s="4"/>
      <c r="V4276" s="4"/>
      <c r="W4276" s="4"/>
      <c r="X4276" s="4"/>
    </row>
    <row r="4277" spans="17:24" x14ac:dyDescent="0.3">
      <c r="Q4277" s="4"/>
      <c r="R4277" s="4"/>
      <c r="S4277" s="4"/>
      <c r="T4277" s="4"/>
      <c r="U4277" s="4"/>
      <c r="V4277" s="4"/>
      <c r="W4277" s="4"/>
      <c r="X4277" s="4"/>
    </row>
    <row r="4278" spans="17:24" x14ac:dyDescent="0.3">
      <c r="Q4278" s="4"/>
      <c r="R4278" s="4"/>
      <c r="S4278" s="4"/>
      <c r="T4278" s="4"/>
      <c r="U4278" s="4"/>
      <c r="V4278" s="4"/>
      <c r="W4278" s="4"/>
      <c r="X4278" s="4"/>
    </row>
    <row r="4279" spans="17:24" x14ac:dyDescent="0.3">
      <c r="Q4279" s="4"/>
      <c r="R4279" s="4"/>
      <c r="S4279" s="4"/>
      <c r="T4279" s="4"/>
      <c r="U4279" s="4"/>
      <c r="V4279" s="4"/>
      <c r="W4279" s="4"/>
      <c r="X4279" s="4"/>
    </row>
    <row r="4280" spans="17:24" x14ac:dyDescent="0.3">
      <c r="Q4280" s="4"/>
      <c r="R4280" s="4"/>
      <c r="S4280" s="4"/>
      <c r="T4280" s="4"/>
      <c r="U4280" s="4"/>
      <c r="V4280" s="4"/>
      <c r="W4280" s="4"/>
      <c r="X4280" s="4"/>
    </row>
    <row r="4281" spans="17:24" x14ac:dyDescent="0.3">
      <c r="Q4281" s="4"/>
      <c r="R4281" s="4"/>
      <c r="S4281" s="4"/>
      <c r="T4281" s="4"/>
      <c r="U4281" s="4"/>
      <c r="V4281" s="4"/>
      <c r="W4281" s="4"/>
      <c r="X4281" s="4"/>
    </row>
    <row r="4282" spans="17:24" x14ac:dyDescent="0.3">
      <c r="Q4282" s="4"/>
      <c r="R4282" s="4"/>
      <c r="S4282" s="4"/>
      <c r="T4282" s="4"/>
      <c r="U4282" s="4"/>
      <c r="V4282" s="4"/>
      <c r="W4282" s="4"/>
      <c r="X4282" s="4"/>
    </row>
    <row r="4283" spans="17:24" x14ac:dyDescent="0.3">
      <c r="Q4283" s="4"/>
      <c r="R4283" s="4"/>
      <c r="S4283" s="4"/>
      <c r="T4283" s="4"/>
      <c r="U4283" s="4"/>
      <c r="V4283" s="4"/>
      <c r="W4283" s="4"/>
      <c r="X4283" s="4"/>
    </row>
    <row r="4284" spans="17:24" x14ac:dyDescent="0.3">
      <c r="Q4284" s="4"/>
      <c r="R4284" s="4"/>
      <c r="S4284" s="4"/>
      <c r="T4284" s="4"/>
      <c r="U4284" s="4"/>
      <c r="V4284" s="4"/>
      <c r="W4284" s="4"/>
      <c r="X4284" s="4"/>
    </row>
    <row r="4285" spans="17:24" x14ac:dyDescent="0.3">
      <c r="Q4285" s="4"/>
      <c r="R4285" s="4"/>
      <c r="S4285" s="4"/>
      <c r="T4285" s="4"/>
      <c r="U4285" s="4"/>
      <c r="V4285" s="4"/>
      <c r="W4285" s="4"/>
      <c r="X4285" s="4"/>
    </row>
    <row r="4286" spans="17:24" x14ac:dyDescent="0.3">
      <c r="Q4286" s="4"/>
      <c r="R4286" s="4"/>
      <c r="S4286" s="4"/>
      <c r="T4286" s="4"/>
      <c r="U4286" s="4"/>
      <c r="V4286" s="4"/>
      <c r="W4286" s="4"/>
      <c r="X4286" s="4"/>
    </row>
    <row r="4287" spans="17:24" x14ac:dyDescent="0.3">
      <c r="Q4287" s="4"/>
      <c r="R4287" s="4"/>
      <c r="S4287" s="4"/>
      <c r="T4287" s="4"/>
      <c r="U4287" s="4"/>
      <c r="V4287" s="4"/>
      <c r="W4287" s="4"/>
      <c r="X4287" s="4"/>
    </row>
    <row r="4288" spans="17:24" x14ac:dyDescent="0.3">
      <c r="Q4288" s="4"/>
      <c r="R4288" s="4"/>
      <c r="S4288" s="4"/>
      <c r="T4288" s="4"/>
      <c r="U4288" s="4"/>
      <c r="V4288" s="4"/>
      <c r="W4288" s="4"/>
      <c r="X4288" s="4"/>
    </row>
    <row r="4289" spans="17:24" x14ac:dyDescent="0.3">
      <c r="Q4289" s="4"/>
      <c r="R4289" s="4"/>
      <c r="S4289" s="4"/>
      <c r="T4289" s="4"/>
      <c r="U4289" s="4"/>
      <c r="V4289" s="4"/>
      <c r="W4289" s="4"/>
      <c r="X4289" s="4"/>
    </row>
    <row r="4290" spans="17:24" x14ac:dyDescent="0.3">
      <c r="Q4290" s="4"/>
      <c r="R4290" s="4"/>
      <c r="S4290" s="4"/>
      <c r="T4290" s="4"/>
      <c r="U4290" s="4"/>
      <c r="V4290" s="4"/>
      <c r="W4290" s="4"/>
      <c r="X4290" s="4"/>
    </row>
    <row r="4291" spans="17:24" x14ac:dyDescent="0.3">
      <c r="Q4291" s="4"/>
      <c r="R4291" s="4"/>
      <c r="S4291" s="4"/>
      <c r="T4291" s="4"/>
      <c r="U4291" s="4"/>
      <c r="V4291" s="4"/>
      <c r="W4291" s="4"/>
      <c r="X4291" s="4"/>
    </row>
    <row r="4292" spans="17:24" x14ac:dyDescent="0.3">
      <c r="Q4292" s="4"/>
      <c r="R4292" s="4"/>
      <c r="S4292" s="4"/>
      <c r="T4292" s="4"/>
      <c r="U4292" s="4"/>
      <c r="V4292" s="4"/>
      <c r="W4292" s="4"/>
      <c r="X4292" s="4"/>
    </row>
    <row r="4293" spans="17:24" x14ac:dyDescent="0.3">
      <c r="Q4293" s="4"/>
      <c r="R4293" s="4"/>
      <c r="S4293" s="4"/>
      <c r="T4293" s="4"/>
      <c r="U4293" s="4"/>
      <c r="V4293" s="4"/>
      <c r="W4293" s="4"/>
      <c r="X4293" s="4"/>
    </row>
    <row r="4294" spans="17:24" x14ac:dyDescent="0.3">
      <c r="Q4294" s="4"/>
      <c r="R4294" s="4"/>
      <c r="S4294" s="4"/>
      <c r="T4294" s="4"/>
      <c r="U4294" s="4"/>
      <c r="V4294" s="4"/>
      <c r="W4294" s="4"/>
      <c r="X4294" s="4"/>
    </row>
    <row r="4295" spans="17:24" x14ac:dyDescent="0.3">
      <c r="Q4295" s="4"/>
      <c r="R4295" s="4"/>
      <c r="S4295" s="4"/>
      <c r="T4295" s="4"/>
      <c r="U4295" s="4"/>
      <c r="V4295" s="4"/>
      <c r="W4295" s="4"/>
      <c r="X4295" s="4"/>
    </row>
    <row r="4296" spans="17:24" x14ac:dyDescent="0.3">
      <c r="Q4296" s="4"/>
      <c r="R4296" s="4"/>
      <c r="S4296" s="4"/>
      <c r="T4296" s="4"/>
      <c r="U4296" s="4"/>
      <c r="V4296" s="4"/>
      <c r="W4296" s="4"/>
      <c r="X4296" s="4"/>
    </row>
    <row r="4297" spans="17:24" x14ac:dyDescent="0.3">
      <c r="Q4297" s="4"/>
      <c r="R4297" s="4"/>
      <c r="S4297" s="4"/>
      <c r="T4297" s="4"/>
      <c r="U4297" s="4"/>
      <c r="V4297" s="4"/>
      <c r="W4297" s="4"/>
      <c r="X4297" s="4"/>
    </row>
    <row r="4298" spans="17:24" x14ac:dyDescent="0.3">
      <c r="Q4298" s="4"/>
      <c r="R4298" s="4"/>
      <c r="S4298" s="4"/>
      <c r="T4298" s="4"/>
      <c r="U4298" s="4"/>
      <c r="V4298" s="4"/>
      <c r="W4298" s="4"/>
      <c r="X4298" s="4"/>
    </row>
    <row r="4299" spans="17:24" x14ac:dyDescent="0.3">
      <c r="Q4299" s="4"/>
      <c r="R4299" s="4"/>
      <c r="S4299" s="4"/>
      <c r="T4299" s="4"/>
      <c r="U4299" s="4"/>
      <c r="V4299" s="4"/>
      <c r="W4299" s="4"/>
      <c r="X4299" s="4"/>
    </row>
    <row r="4300" spans="17:24" x14ac:dyDescent="0.3">
      <c r="Q4300" s="4"/>
      <c r="R4300" s="4"/>
      <c r="S4300" s="4"/>
      <c r="T4300" s="4"/>
      <c r="U4300" s="4"/>
      <c r="V4300" s="4"/>
      <c r="W4300" s="4"/>
      <c r="X4300" s="4"/>
    </row>
    <row r="4301" spans="17:24" x14ac:dyDescent="0.3">
      <c r="Q4301" s="4"/>
      <c r="R4301" s="4"/>
      <c r="S4301" s="4"/>
      <c r="T4301" s="4"/>
      <c r="U4301" s="4"/>
      <c r="V4301" s="4"/>
      <c r="W4301" s="4"/>
      <c r="X4301" s="4"/>
    </row>
    <row r="4302" spans="17:24" x14ac:dyDescent="0.3">
      <c r="Q4302" s="4"/>
      <c r="R4302" s="4"/>
      <c r="S4302" s="4"/>
      <c r="T4302" s="4"/>
      <c r="U4302" s="4"/>
      <c r="V4302" s="4"/>
      <c r="W4302" s="4"/>
      <c r="X4302" s="4"/>
    </row>
    <row r="4303" spans="17:24" x14ac:dyDescent="0.3">
      <c r="Q4303" s="4"/>
      <c r="R4303" s="4"/>
      <c r="S4303" s="4"/>
      <c r="T4303" s="4"/>
      <c r="U4303" s="4"/>
      <c r="V4303" s="4"/>
      <c r="W4303" s="4"/>
      <c r="X4303" s="4"/>
    </row>
    <row r="4304" spans="17:24" x14ac:dyDescent="0.3">
      <c r="Q4304" s="4"/>
      <c r="R4304" s="4"/>
      <c r="S4304" s="4"/>
      <c r="T4304" s="4"/>
      <c r="U4304" s="4"/>
      <c r="V4304" s="4"/>
      <c r="W4304" s="4"/>
      <c r="X4304" s="4"/>
    </row>
    <row r="4305" spans="17:24" x14ac:dyDescent="0.3">
      <c r="Q4305" s="4"/>
      <c r="R4305" s="4"/>
      <c r="S4305" s="4"/>
      <c r="T4305" s="4"/>
      <c r="U4305" s="4"/>
      <c r="V4305" s="4"/>
      <c r="W4305" s="4"/>
      <c r="X4305" s="4"/>
    </row>
    <row r="4306" spans="17:24" x14ac:dyDescent="0.3">
      <c r="Q4306" s="4"/>
      <c r="R4306" s="4"/>
      <c r="S4306" s="4"/>
      <c r="T4306" s="4"/>
      <c r="U4306" s="4"/>
      <c r="V4306" s="4"/>
      <c r="W4306" s="4"/>
      <c r="X4306" s="4"/>
    </row>
    <row r="4307" spans="17:24" x14ac:dyDescent="0.3">
      <c r="Q4307" s="4"/>
      <c r="R4307" s="4"/>
      <c r="S4307" s="4"/>
      <c r="T4307" s="4"/>
      <c r="U4307" s="4"/>
      <c r="V4307" s="4"/>
      <c r="W4307" s="4"/>
      <c r="X4307" s="4"/>
    </row>
    <row r="4308" spans="17:24" x14ac:dyDescent="0.3">
      <c r="Q4308" s="4"/>
      <c r="R4308" s="4"/>
      <c r="S4308" s="4"/>
      <c r="T4308" s="4"/>
      <c r="U4308" s="4"/>
      <c r="V4308" s="4"/>
      <c r="W4308" s="4"/>
      <c r="X4308" s="4"/>
    </row>
    <row r="4309" spans="17:24" x14ac:dyDescent="0.3">
      <c r="Q4309" s="4"/>
      <c r="R4309" s="4"/>
      <c r="S4309" s="4"/>
      <c r="T4309" s="4"/>
      <c r="U4309" s="4"/>
      <c r="V4309" s="4"/>
      <c r="W4309" s="4"/>
      <c r="X4309" s="4"/>
    </row>
    <row r="4310" spans="17:24" x14ac:dyDescent="0.3">
      <c r="Q4310" s="4"/>
      <c r="R4310" s="4"/>
      <c r="S4310" s="4"/>
      <c r="T4310" s="4"/>
      <c r="U4310" s="4"/>
      <c r="V4310" s="4"/>
      <c r="W4310" s="4"/>
      <c r="X4310" s="4"/>
    </row>
    <row r="4311" spans="17:24" x14ac:dyDescent="0.3">
      <c r="Q4311" s="4"/>
      <c r="R4311" s="4"/>
      <c r="S4311" s="4"/>
      <c r="T4311" s="4"/>
      <c r="U4311" s="4"/>
      <c r="V4311" s="4"/>
      <c r="W4311" s="4"/>
      <c r="X4311" s="4"/>
    </row>
    <row r="4312" spans="17:24" x14ac:dyDescent="0.3">
      <c r="Q4312" s="4"/>
      <c r="R4312" s="4"/>
      <c r="S4312" s="4"/>
      <c r="T4312" s="4"/>
      <c r="U4312" s="4"/>
      <c r="V4312" s="4"/>
      <c r="W4312" s="4"/>
      <c r="X4312" s="4"/>
    </row>
    <row r="4313" spans="17:24" x14ac:dyDescent="0.3">
      <c r="Q4313" s="4"/>
      <c r="R4313" s="4"/>
      <c r="S4313" s="4"/>
      <c r="T4313" s="4"/>
      <c r="U4313" s="4"/>
      <c r="V4313" s="4"/>
      <c r="W4313" s="4"/>
      <c r="X4313" s="4"/>
    </row>
    <row r="4314" spans="17:24" x14ac:dyDescent="0.3">
      <c r="Q4314" s="4"/>
      <c r="R4314" s="4"/>
      <c r="S4314" s="4"/>
      <c r="T4314" s="4"/>
      <c r="U4314" s="4"/>
      <c r="V4314" s="4"/>
      <c r="W4314" s="4"/>
      <c r="X4314" s="4"/>
    </row>
    <row r="4315" spans="17:24" x14ac:dyDescent="0.3">
      <c r="Q4315" s="4"/>
      <c r="R4315" s="4"/>
      <c r="S4315" s="4"/>
      <c r="T4315" s="4"/>
      <c r="U4315" s="4"/>
      <c r="V4315" s="4"/>
      <c r="W4315" s="4"/>
      <c r="X4315" s="4"/>
    </row>
    <row r="4316" spans="17:24" x14ac:dyDescent="0.3">
      <c r="Q4316" s="4"/>
      <c r="R4316" s="4"/>
      <c r="S4316" s="4"/>
      <c r="T4316" s="4"/>
      <c r="U4316" s="4"/>
      <c r="V4316" s="4"/>
      <c r="W4316" s="4"/>
      <c r="X4316" s="4"/>
    </row>
    <row r="4317" spans="17:24" x14ac:dyDescent="0.3">
      <c r="Q4317" s="4"/>
      <c r="R4317" s="4"/>
      <c r="S4317" s="4"/>
      <c r="T4317" s="4"/>
      <c r="U4317" s="4"/>
      <c r="V4317" s="4"/>
      <c r="W4317" s="4"/>
      <c r="X4317" s="4"/>
    </row>
    <row r="4318" spans="17:24" x14ac:dyDescent="0.3">
      <c r="Q4318" s="4"/>
      <c r="R4318" s="4"/>
      <c r="S4318" s="4"/>
      <c r="T4318" s="4"/>
      <c r="U4318" s="4"/>
      <c r="V4318" s="4"/>
      <c r="W4318" s="4"/>
      <c r="X4318" s="4"/>
    </row>
    <row r="4319" spans="17:24" x14ac:dyDescent="0.3">
      <c r="Q4319" s="4"/>
      <c r="R4319" s="4"/>
      <c r="S4319" s="4"/>
      <c r="T4319" s="4"/>
      <c r="U4319" s="4"/>
      <c r="V4319" s="4"/>
      <c r="W4319" s="4"/>
      <c r="X4319" s="4"/>
    </row>
    <row r="4320" spans="17:24" x14ac:dyDescent="0.3">
      <c r="Q4320" s="4"/>
      <c r="R4320" s="4"/>
      <c r="S4320" s="4"/>
      <c r="T4320" s="4"/>
      <c r="U4320" s="4"/>
      <c r="V4320" s="4"/>
      <c r="W4320" s="4"/>
      <c r="X4320" s="4"/>
    </row>
    <row r="4321" spans="17:24" x14ac:dyDescent="0.3">
      <c r="Q4321" s="4"/>
      <c r="R4321" s="4"/>
      <c r="S4321" s="4"/>
      <c r="T4321" s="4"/>
      <c r="U4321" s="4"/>
      <c r="V4321" s="4"/>
      <c r="W4321" s="4"/>
      <c r="X4321" s="4"/>
    </row>
    <row r="4322" spans="17:24" x14ac:dyDescent="0.3">
      <c r="Q4322" s="4"/>
      <c r="R4322" s="4"/>
      <c r="S4322" s="4"/>
      <c r="T4322" s="4"/>
      <c r="U4322" s="4"/>
      <c r="V4322" s="4"/>
      <c r="W4322" s="4"/>
      <c r="X4322" s="4"/>
    </row>
    <row r="4323" spans="17:24" x14ac:dyDescent="0.3">
      <c r="Q4323" s="4"/>
      <c r="R4323" s="4"/>
      <c r="S4323" s="4"/>
      <c r="T4323" s="4"/>
      <c r="U4323" s="4"/>
      <c r="V4323" s="4"/>
      <c r="W4323" s="4"/>
      <c r="X4323" s="4"/>
    </row>
    <row r="4324" spans="17:24" x14ac:dyDescent="0.3">
      <c r="Q4324" s="4"/>
      <c r="R4324" s="4"/>
      <c r="S4324" s="4"/>
      <c r="T4324" s="4"/>
      <c r="U4324" s="4"/>
      <c r="V4324" s="4"/>
      <c r="W4324" s="4"/>
      <c r="X4324" s="4"/>
    </row>
    <row r="4325" spans="17:24" x14ac:dyDescent="0.3">
      <c r="Q4325" s="4"/>
      <c r="R4325" s="4"/>
      <c r="S4325" s="4"/>
      <c r="T4325" s="4"/>
      <c r="U4325" s="4"/>
      <c r="V4325" s="4"/>
      <c r="W4325" s="4"/>
      <c r="X4325" s="4"/>
    </row>
    <row r="4326" spans="17:24" x14ac:dyDescent="0.3">
      <c r="Q4326" s="4"/>
      <c r="R4326" s="4"/>
      <c r="S4326" s="4"/>
      <c r="T4326" s="4"/>
      <c r="U4326" s="4"/>
      <c r="V4326" s="4"/>
      <c r="W4326" s="4"/>
      <c r="X4326" s="4"/>
    </row>
    <row r="4327" spans="17:24" x14ac:dyDescent="0.3">
      <c r="Q4327" s="4"/>
      <c r="R4327" s="4"/>
      <c r="S4327" s="4"/>
      <c r="T4327" s="4"/>
      <c r="U4327" s="4"/>
      <c r="V4327" s="4"/>
      <c r="W4327" s="4"/>
      <c r="X4327" s="4"/>
    </row>
    <row r="4328" spans="17:24" x14ac:dyDescent="0.3">
      <c r="Q4328" s="4"/>
      <c r="R4328" s="4"/>
      <c r="S4328" s="4"/>
      <c r="T4328" s="4"/>
      <c r="U4328" s="4"/>
      <c r="V4328" s="4"/>
      <c r="W4328" s="4"/>
      <c r="X4328" s="4"/>
    </row>
    <row r="4329" spans="17:24" x14ac:dyDescent="0.3">
      <c r="Q4329" s="4"/>
      <c r="R4329" s="4"/>
      <c r="S4329" s="4"/>
      <c r="T4329" s="4"/>
      <c r="U4329" s="4"/>
      <c r="V4329" s="4"/>
      <c r="W4329" s="4"/>
      <c r="X4329" s="4"/>
    </row>
    <row r="4330" spans="17:24" x14ac:dyDescent="0.3">
      <c r="Q4330" s="4"/>
      <c r="R4330" s="4"/>
      <c r="S4330" s="4"/>
      <c r="T4330" s="4"/>
      <c r="U4330" s="4"/>
      <c r="V4330" s="4"/>
      <c r="W4330" s="4"/>
      <c r="X4330" s="4"/>
    </row>
    <row r="4331" spans="17:24" x14ac:dyDescent="0.3">
      <c r="Q4331" s="4"/>
      <c r="R4331" s="4"/>
      <c r="S4331" s="4"/>
      <c r="T4331" s="4"/>
      <c r="U4331" s="4"/>
      <c r="V4331" s="4"/>
      <c r="W4331" s="4"/>
      <c r="X4331" s="4"/>
    </row>
    <row r="4332" spans="17:24" x14ac:dyDescent="0.3">
      <c r="Q4332" s="4"/>
      <c r="R4332" s="4"/>
      <c r="S4332" s="4"/>
      <c r="T4332" s="4"/>
      <c r="U4332" s="4"/>
      <c r="V4332" s="4"/>
      <c r="W4332" s="4"/>
      <c r="X4332" s="4"/>
    </row>
    <row r="4333" spans="17:24" x14ac:dyDescent="0.3">
      <c r="Q4333" s="4"/>
      <c r="R4333" s="4"/>
      <c r="S4333" s="4"/>
      <c r="T4333" s="4"/>
      <c r="U4333" s="4"/>
      <c r="V4333" s="4"/>
      <c r="W4333" s="4"/>
      <c r="X4333" s="4"/>
    </row>
    <row r="4334" spans="17:24" x14ac:dyDescent="0.3">
      <c r="Q4334" s="4"/>
      <c r="R4334" s="4"/>
      <c r="S4334" s="4"/>
      <c r="T4334" s="4"/>
      <c r="U4334" s="4"/>
      <c r="V4334" s="4"/>
      <c r="W4334" s="4"/>
      <c r="X4334" s="4"/>
    </row>
    <row r="4335" spans="17:24" x14ac:dyDescent="0.3">
      <c r="Q4335" s="4"/>
      <c r="R4335" s="4"/>
      <c r="S4335" s="4"/>
      <c r="T4335" s="4"/>
      <c r="U4335" s="4"/>
      <c r="V4335" s="4"/>
      <c r="W4335" s="4"/>
      <c r="X4335" s="4"/>
    </row>
    <row r="4336" spans="17:24" x14ac:dyDescent="0.3">
      <c r="Q4336" s="4"/>
      <c r="R4336" s="4"/>
      <c r="S4336" s="4"/>
      <c r="T4336" s="4"/>
      <c r="U4336" s="4"/>
      <c r="V4336" s="4"/>
      <c r="W4336" s="4"/>
      <c r="X4336" s="4"/>
    </row>
    <row r="4337" spans="17:24" x14ac:dyDescent="0.3">
      <c r="Q4337" s="4"/>
      <c r="R4337" s="4"/>
      <c r="S4337" s="4"/>
      <c r="T4337" s="4"/>
      <c r="U4337" s="4"/>
      <c r="V4337" s="4"/>
      <c r="W4337" s="4"/>
      <c r="X4337" s="4"/>
    </row>
    <row r="4338" spans="17:24" x14ac:dyDescent="0.3">
      <c r="Q4338" s="4"/>
      <c r="R4338" s="4"/>
      <c r="S4338" s="4"/>
      <c r="T4338" s="4"/>
      <c r="U4338" s="4"/>
      <c r="V4338" s="4"/>
      <c r="W4338" s="4"/>
      <c r="X4338" s="4"/>
    </row>
    <row r="4339" spans="17:24" x14ac:dyDescent="0.3">
      <c r="Q4339" s="4"/>
      <c r="R4339" s="4"/>
      <c r="S4339" s="4"/>
      <c r="T4339" s="4"/>
      <c r="U4339" s="4"/>
      <c r="V4339" s="4"/>
      <c r="W4339" s="4"/>
      <c r="X4339" s="4"/>
    </row>
    <row r="4340" spans="17:24" x14ac:dyDescent="0.3">
      <c r="Q4340" s="4"/>
      <c r="R4340" s="4"/>
      <c r="S4340" s="4"/>
      <c r="T4340" s="4"/>
      <c r="U4340" s="4"/>
      <c r="V4340" s="4"/>
      <c r="W4340" s="4"/>
      <c r="X4340" s="4"/>
    </row>
    <row r="4341" spans="17:24" x14ac:dyDescent="0.3">
      <c r="Q4341" s="4"/>
      <c r="R4341" s="4"/>
      <c r="S4341" s="4"/>
      <c r="T4341" s="4"/>
      <c r="U4341" s="4"/>
      <c r="V4341" s="4"/>
      <c r="W4341" s="4"/>
      <c r="X4341" s="4"/>
    </row>
    <row r="4342" spans="17:24" x14ac:dyDescent="0.3">
      <c r="Q4342" s="4"/>
      <c r="R4342" s="4"/>
      <c r="S4342" s="4"/>
      <c r="T4342" s="4"/>
      <c r="U4342" s="4"/>
      <c r="V4342" s="4"/>
      <c r="W4342" s="4"/>
      <c r="X4342" s="4"/>
    </row>
    <row r="4343" spans="17:24" x14ac:dyDescent="0.3">
      <c r="Q4343" s="4"/>
      <c r="R4343" s="4"/>
      <c r="S4343" s="4"/>
      <c r="T4343" s="4"/>
      <c r="U4343" s="4"/>
      <c r="V4343" s="4"/>
      <c r="W4343" s="4"/>
      <c r="X4343" s="4"/>
    </row>
    <row r="4344" spans="17:24" x14ac:dyDescent="0.3">
      <c r="Q4344" s="4"/>
      <c r="R4344" s="4"/>
      <c r="S4344" s="4"/>
      <c r="T4344" s="4"/>
      <c r="U4344" s="4"/>
      <c r="V4344" s="4"/>
      <c r="W4344" s="4"/>
      <c r="X4344" s="4"/>
    </row>
    <row r="4345" spans="17:24" x14ac:dyDescent="0.3">
      <c r="Q4345" s="4"/>
      <c r="R4345" s="4"/>
      <c r="S4345" s="4"/>
      <c r="T4345" s="4"/>
      <c r="U4345" s="4"/>
      <c r="V4345" s="4"/>
      <c r="W4345" s="4"/>
      <c r="X4345" s="4"/>
    </row>
    <row r="4346" spans="17:24" x14ac:dyDescent="0.3">
      <c r="Q4346" s="4"/>
      <c r="R4346" s="4"/>
      <c r="S4346" s="4"/>
      <c r="T4346" s="4"/>
      <c r="U4346" s="4"/>
      <c r="V4346" s="4"/>
      <c r="W4346" s="4"/>
      <c r="X4346" s="4"/>
    </row>
    <row r="4347" spans="17:24" x14ac:dyDescent="0.3">
      <c r="Q4347" s="4"/>
      <c r="R4347" s="4"/>
      <c r="S4347" s="4"/>
      <c r="T4347" s="4"/>
      <c r="U4347" s="4"/>
      <c r="V4347" s="4"/>
      <c r="W4347" s="4"/>
      <c r="X4347" s="4"/>
    </row>
    <row r="4348" spans="17:24" x14ac:dyDescent="0.3">
      <c r="Q4348" s="4"/>
      <c r="R4348" s="4"/>
      <c r="S4348" s="4"/>
      <c r="T4348" s="4"/>
      <c r="U4348" s="4"/>
      <c r="V4348" s="4"/>
      <c r="W4348" s="4"/>
      <c r="X4348" s="4"/>
    </row>
    <row r="4349" spans="17:24" x14ac:dyDescent="0.3">
      <c r="Q4349" s="4"/>
      <c r="R4349" s="4"/>
      <c r="S4349" s="4"/>
      <c r="T4349" s="4"/>
      <c r="U4349" s="4"/>
      <c r="V4349" s="4"/>
      <c r="W4349" s="4"/>
      <c r="X4349" s="4"/>
    </row>
    <row r="4350" spans="17:24" x14ac:dyDescent="0.3">
      <c r="Q4350" s="4"/>
      <c r="R4350" s="4"/>
      <c r="S4350" s="4"/>
      <c r="T4350" s="4"/>
      <c r="U4350" s="4"/>
      <c r="V4350" s="4"/>
      <c r="W4350" s="4"/>
      <c r="X4350" s="4"/>
    </row>
    <row r="4351" spans="17:24" x14ac:dyDescent="0.3">
      <c r="Q4351" s="4"/>
      <c r="R4351" s="4"/>
      <c r="S4351" s="4"/>
      <c r="T4351" s="4"/>
      <c r="U4351" s="4"/>
      <c r="V4351" s="4"/>
      <c r="W4351" s="4"/>
      <c r="X4351" s="4"/>
    </row>
    <row r="4352" spans="17:24" x14ac:dyDescent="0.3">
      <c r="Q4352" s="4"/>
      <c r="R4352" s="4"/>
      <c r="S4352" s="4"/>
      <c r="T4352" s="4"/>
      <c r="U4352" s="4"/>
      <c r="V4352" s="4"/>
      <c r="W4352" s="4"/>
      <c r="X4352" s="4"/>
    </row>
    <row r="4353" spans="17:24" x14ac:dyDescent="0.3">
      <c r="Q4353" s="4"/>
      <c r="R4353" s="4"/>
      <c r="S4353" s="4"/>
      <c r="T4353" s="4"/>
      <c r="U4353" s="4"/>
      <c r="V4353" s="4"/>
      <c r="W4353" s="4"/>
      <c r="X4353" s="4"/>
    </row>
    <row r="4354" spans="17:24" x14ac:dyDescent="0.3">
      <c r="Q4354" s="4"/>
      <c r="R4354" s="4"/>
      <c r="S4354" s="4"/>
      <c r="T4354" s="4"/>
      <c r="U4354" s="4"/>
      <c r="V4354" s="4"/>
      <c r="W4354" s="4"/>
      <c r="X4354" s="4"/>
    </row>
    <row r="4355" spans="17:24" x14ac:dyDescent="0.3">
      <c r="Q4355" s="4"/>
      <c r="R4355" s="4"/>
      <c r="S4355" s="4"/>
      <c r="T4355" s="4"/>
      <c r="U4355" s="4"/>
      <c r="V4355" s="4"/>
      <c r="W4355" s="4"/>
      <c r="X4355" s="4"/>
    </row>
    <row r="4356" spans="17:24" x14ac:dyDescent="0.3">
      <c r="Q4356" s="4"/>
      <c r="R4356" s="4"/>
      <c r="S4356" s="4"/>
      <c r="T4356" s="4"/>
      <c r="U4356" s="4"/>
      <c r="V4356" s="4"/>
      <c r="W4356" s="4"/>
      <c r="X4356" s="4"/>
    </row>
    <row r="4357" spans="17:24" x14ac:dyDescent="0.3">
      <c r="Q4357" s="4"/>
      <c r="R4357" s="4"/>
      <c r="S4357" s="4"/>
      <c r="T4357" s="4"/>
      <c r="U4357" s="4"/>
      <c r="V4357" s="4"/>
      <c r="W4357" s="4"/>
      <c r="X4357" s="4"/>
    </row>
    <row r="4358" spans="17:24" x14ac:dyDescent="0.3">
      <c r="Q4358" s="4"/>
      <c r="R4358" s="4"/>
      <c r="S4358" s="4"/>
      <c r="T4358" s="4"/>
      <c r="U4358" s="4"/>
      <c r="V4358" s="4"/>
      <c r="W4358" s="4"/>
      <c r="X4358" s="4"/>
    </row>
    <row r="4359" spans="17:24" x14ac:dyDescent="0.3">
      <c r="Q4359" s="4"/>
      <c r="R4359" s="4"/>
      <c r="S4359" s="4"/>
      <c r="T4359" s="4"/>
      <c r="U4359" s="4"/>
      <c r="V4359" s="4"/>
      <c r="W4359" s="4"/>
      <c r="X4359" s="4"/>
    </row>
    <row r="4360" spans="17:24" x14ac:dyDescent="0.3">
      <c r="Q4360" s="4"/>
      <c r="R4360" s="4"/>
      <c r="S4360" s="4"/>
      <c r="T4360" s="4"/>
      <c r="U4360" s="4"/>
      <c r="V4360" s="4"/>
      <c r="W4360" s="4"/>
      <c r="X4360" s="4"/>
    </row>
    <row r="4361" spans="17:24" x14ac:dyDescent="0.3">
      <c r="Q4361" s="4"/>
      <c r="R4361" s="4"/>
      <c r="S4361" s="4"/>
      <c r="T4361" s="4"/>
      <c r="U4361" s="4"/>
      <c r="V4361" s="4"/>
      <c r="W4361" s="4"/>
      <c r="X4361" s="4"/>
    </row>
    <row r="4362" spans="17:24" x14ac:dyDescent="0.3">
      <c r="Q4362" s="4"/>
      <c r="R4362" s="4"/>
      <c r="S4362" s="4"/>
      <c r="T4362" s="4"/>
      <c r="U4362" s="4"/>
      <c r="V4362" s="4"/>
      <c r="W4362" s="4"/>
      <c r="X4362" s="4"/>
    </row>
    <row r="4363" spans="17:24" x14ac:dyDescent="0.3">
      <c r="Q4363" s="4"/>
      <c r="R4363" s="4"/>
      <c r="S4363" s="4"/>
      <c r="T4363" s="4"/>
      <c r="U4363" s="4"/>
      <c r="V4363" s="4"/>
      <c r="W4363" s="4"/>
      <c r="X4363" s="4"/>
    </row>
    <row r="4364" spans="17:24" x14ac:dyDescent="0.3">
      <c r="Q4364" s="4"/>
      <c r="R4364" s="4"/>
      <c r="S4364" s="4"/>
      <c r="T4364" s="4"/>
      <c r="U4364" s="4"/>
      <c r="V4364" s="4"/>
      <c r="W4364" s="4"/>
      <c r="X4364" s="4"/>
    </row>
    <row r="4365" spans="17:24" x14ac:dyDescent="0.3">
      <c r="Q4365" s="4"/>
      <c r="R4365" s="4"/>
      <c r="S4365" s="4"/>
      <c r="T4365" s="4"/>
      <c r="U4365" s="4"/>
      <c r="V4365" s="4"/>
      <c r="W4365" s="4"/>
      <c r="X4365" s="4"/>
    </row>
    <row r="4366" spans="17:24" x14ac:dyDescent="0.3">
      <c r="Q4366" s="4"/>
      <c r="R4366" s="4"/>
      <c r="S4366" s="4"/>
      <c r="T4366" s="4"/>
      <c r="U4366" s="4"/>
      <c r="V4366" s="4"/>
      <c r="W4366" s="4"/>
      <c r="X4366" s="4"/>
    </row>
    <row r="4367" spans="17:24" x14ac:dyDescent="0.3">
      <c r="Q4367" s="4"/>
      <c r="R4367" s="4"/>
      <c r="S4367" s="4"/>
      <c r="T4367" s="4"/>
      <c r="U4367" s="4"/>
      <c r="V4367" s="4"/>
      <c r="W4367" s="4"/>
      <c r="X4367" s="4"/>
    </row>
    <row r="4368" spans="17:24" x14ac:dyDescent="0.3">
      <c r="Q4368" s="4"/>
      <c r="R4368" s="4"/>
      <c r="S4368" s="4"/>
      <c r="T4368" s="4"/>
      <c r="U4368" s="4"/>
      <c r="V4368" s="4"/>
      <c r="W4368" s="4"/>
      <c r="X4368" s="4"/>
    </row>
    <row r="4369" spans="17:24" x14ac:dyDescent="0.3">
      <c r="Q4369" s="4"/>
      <c r="R4369" s="4"/>
      <c r="S4369" s="4"/>
      <c r="T4369" s="4"/>
      <c r="U4369" s="4"/>
      <c r="V4369" s="4"/>
      <c r="W4369" s="4"/>
      <c r="X4369" s="4"/>
    </row>
    <row r="4370" spans="17:24" x14ac:dyDescent="0.3">
      <c r="Q4370" s="4"/>
      <c r="R4370" s="4"/>
      <c r="S4370" s="4"/>
      <c r="T4370" s="4"/>
      <c r="U4370" s="4"/>
      <c r="V4370" s="4"/>
      <c r="W4370" s="4"/>
      <c r="X4370" s="4"/>
    </row>
    <row r="4371" spans="17:24" x14ac:dyDescent="0.3">
      <c r="Q4371" s="4"/>
      <c r="R4371" s="4"/>
      <c r="S4371" s="4"/>
      <c r="T4371" s="4"/>
      <c r="U4371" s="4"/>
      <c r="V4371" s="4"/>
      <c r="W4371" s="4"/>
      <c r="X4371" s="4"/>
    </row>
    <row r="4372" spans="17:24" x14ac:dyDescent="0.3">
      <c r="Q4372" s="4"/>
      <c r="R4372" s="4"/>
      <c r="S4372" s="4"/>
      <c r="T4372" s="4"/>
      <c r="U4372" s="4"/>
      <c r="V4372" s="4"/>
      <c r="W4372" s="4"/>
      <c r="X4372" s="4"/>
    </row>
    <row r="4373" spans="17:24" x14ac:dyDescent="0.3">
      <c r="Q4373" s="4"/>
      <c r="R4373" s="4"/>
      <c r="S4373" s="4"/>
      <c r="T4373" s="4"/>
      <c r="U4373" s="4"/>
      <c r="V4373" s="4"/>
      <c r="W4373" s="4"/>
      <c r="X4373" s="4"/>
    </row>
    <row r="4374" spans="17:24" x14ac:dyDescent="0.3">
      <c r="Q4374" s="4"/>
      <c r="R4374" s="4"/>
      <c r="S4374" s="4"/>
      <c r="T4374" s="4"/>
      <c r="U4374" s="4"/>
      <c r="V4374" s="4"/>
      <c r="W4374" s="4"/>
      <c r="X4374" s="4"/>
    </row>
    <row r="4375" spans="17:24" x14ac:dyDescent="0.3">
      <c r="Q4375" s="4"/>
      <c r="R4375" s="4"/>
      <c r="S4375" s="4"/>
      <c r="T4375" s="4"/>
      <c r="U4375" s="4"/>
      <c r="V4375" s="4"/>
      <c r="W4375" s="4"/>
      <c r="X4375" s="4"/>
    </row>
    <row r="4376" spans="17:24" x14ac:dyDescent="0.3">
      <c r="Q4376" s="4"/>
      <c r="R4376" s="4"/>
      <c r="S4376" s="4"/>
      <c r="T4376" s="4"/>
      <c r="U4376" s="4"/>
      <c r="V4376" s="4"/>
      <c r="W4376" s="4"/>
      <c r="X4376" s="4"/>
    </row>
    <row r="4377" spans="17:24" x14ac:dyDescent="0.3">
      <c r="Q4377" s="4"/>
      <c r="R4377" s="4"/>
      <c r="S4377" s="4"/>
      <c r="T4377" s="4"/>
      <c r="U4377" s="4"/>
      <c r="V4377" s="4"/>
      <c r="W4377" s="4"/>
      <c r="X4377" s="4"/>
    </row>
    <row r="4378" spans="17:24" x14ac:dyDescent="0.3">
      <c r="Q4378" s="4"/>
      <c r="R4378" s="4"/>
      <c r="S4378" s="4"/>
      <c r="T4378" s="4"/>
      <c r="U4378" s="4"/>
      <c r="V4378" s="4"/>
      <c r="W4378" s="4"/>
      <c r="X4378" s="4"/>
    </row>
    <row r="4379" spans="17:24" x14ac:dyDescent="0.3">
      <c r="Q4379" s="4"/>
      <c r="R4379" s="4"/>
      <c r="S4379" s="4"/>
      <c r="T4379" s="4"/>
      <c r="U4379" s="4"/>
      <c r="V4379" s="4"/>
      <c r="W4379" s="4"/>
      <c r="X4379" s="4"/>
    </row>
    <row r="4380" spans="17:24" x14ac:dyDescent="0.3">
      <c r="Q4380" s="4"/>
      <c r="R4380" s="4"/>
      <c r="S4380" s="4"/>
      <c r="T4380" s="4"/>
      <c r="U4380" s="4"/>
      <c r="V4380" s="4"/>
      <c r="W4380" s="4"/>
      <c r="X4380" s="4"/>
    </row>
    <row r="4381" spans="17:24" x14ac:dyDescent="0.3">
      <c r="Q4381" s="4"/>
      <c r="R4381" s="4"/>
      <c r="S4381" s="4"/>
      <c r="T4381" s="4"/>
      <c r="U4381" s="4"/>
      <c r="V4381" s="4"/>
      <c r="W4381" s="4"/>
      <c r="X4381" s="4"/>
    </row>
    <row r="4382" spans="17:24" x14ac:dyDescent="0.3">
      <c r="Q4382" s="4"/>
      <c r="R4382" s="4"/>
      <c r="S4382" s="4"/>
      <c r="T4382" s="4"/>
      <c r="U4382" s="4"/>
      <c r="V4382" s="4"/>
      <c r="W4382" s="4"/>
      <c r="X4382" s="4"/>
    </row>
    <row r="4383" spans="17:24" x14ac:dyDescent="0.3">
      <c r="Q4383" s="4"/>
      <c r="R4383" s="4"/>
      <c r="S4383" s="4"/>
      <c r="T4383" s="4"/>
      <c r="U4383" s="4"/>
      <c r="V4383" s="4"/>
      <c r="W4383" s="4"/>
      <c r="X4383" s="4"/>
    </row>
    <row r="4384" spans="17:24" x14ac:dyDescent="0.3">
      <c r="Q4384" s="4"/>
      <c r="R4384" s="4"/>
      <c r="S4384" s="4"/>
      <c r="T4384" s="4"/>
      <c r="U4384" s="4"/>
      <c r="V4384" s="4"/>
      <c r="W4384" s="4"/>
      <c r="X4384" s="4"/>
    </row>
    <row r="4385" spans="17:24" x14ac:dyDescent="0.3">
      <c r="Q4385" s="4"/>
      <c r="R4385" s="4"/>
      <c r="S4385" s="4"/>
      <c r="T4385" s="4"/>
      <c r="U4385" s="4"/>
      <c r="V4385" s="4"/>
      <c r="W4385" s="4"/>
      <c r="X4385" s="4"/>
    </row>
    <row r="4386" spans="17:24" x14ac:dyDescent="0.3">
      <c r="Q4386" s="4"/>
      <c r="R4386" s="4"/>
      <c r="S4386" s="4"/>
      <c r="T4386" s="4"/>
      <c r="U4386" s="4"/>
      <c r="V4386" s="4"/>
      <c r="W4386" s="4"/>
      <c r="X4386" s="4"/>
    </row>
    <row r="4387" spans="17:24" x14ac:dyDescent="0.3">
      <c r="Q4387" s="4"/>
      <c r="R4387" s="4"/>
      <c r="S4387" s="4"/>
      <c r="T4387" s="4"/>
      <c r="U4387" s="4"/>
      <c r="V4387" s="4"/>
      <c r="W4387" s="4"/>
      <c r="X4387" s="4"/>
    </row>
    <row r="4388" spans="17:24" x14ac:dyDescent="0.3">
      <c r="Q4388" s="4"/>
      <c r="R4388" s="4"/>
      <c r="S4388" s="4"/>
      <c r="T4388" s="4"/>
      <c r="U4388" s="4"/>
      <c r="V4388" s="4"/>
      <c r="W4388" s="4"/>
      <c r="X4388" s="4"/>
    </row>
    <row r="4389" spans="17:24" x14ac:dyDescent="0.3">
      <c r="Q4389" s="4"/>
      <c r="R4389" s="4"/>
      <c r="S4389" s="4"/>
      <c r="T4389" s="4"/>
      <c r="U4389" s="4"/>
      <c r="V4389" s="4"/>
      <c r="W4389" s="4"/>
      <c r="X4389" s="4"/>
    </row>
    <row r="4390" spans="17:24" x14ac:dyDescent="0.3">
      <c r="Q4390" s="4"/>
      <c r="R4390" s="4"/>
      <c r="S4390" s="4"/>
      <c r="T4390" s="4"/>
      <c r="U4390" s="4"/>
      <c r="V4390" s="4"/>
      <c r="W4390" s="4"/>
      <c r="X4390" s="4"/>
    </row>
    <row r="4391" spans="17:24" x14ac:dyDescent="0.3">
      <c r="Q4391" s="4"/>
      <c r="R4391" s="4"/>
      <c r="S4391" s="4"/>
      <c r="T4391" s="4"/>
      <c r="U4391" s="4"/>
      <c r="V4391" s="4"/>
      <c r="W4391" s="4"/>
      <c r="X4391" s="4"/>
    </row>
    <row r="4392" spans="17:24" x14ac:dyDescent="0.3">
      <c r="Q4392" s="4"/>
      <c r="R4392" s="4"/>
      <c r="S4392" s="4"/>
      <c r="T4392" s="4"/>
      <c r="U4392" s="4"/>
      <c r="V4392" s="4"/>
      <c r="W4392" s="4"/>
      <c r="X4392" s="4"/>
    </row>
    <row r="4393" spans="17:24" x14ac:dyDescent="0.3">
      <c r="Q4393" s="4"/>
      <c r="R4393" s="4"/>
      <c r="S4393" s="4"/>
      <c r="T4393" s="4"/>
      <c r="U4393" s="4"/>
      <c r="V4393" s="4"/>
      <c r="W4393" s="4"/>
      <c r="X4393" s="4"/>
    </row>
    <row r="4394" spans="17:24" x14ac:dyDescent="0.3">
      <c r="Q4394" s="4"/>
      <c r="R4394" s="4"/>
      <c r="S4394" s="4"/>
      <c r="T4394" s="4"/>
      <c r="U4394" s="4"/>
      <c r="V4394" s="4"/>
      <c r="W4394" s="4"/>
      <c r="X4394" s="4"/>
    </row>
    <row r="4395" spans="17:24" x14ac:dyDescent="0.3">
      <c r="Q4395" s="4"/>
      <c r="R4395" s="4"/>
      <c r="S4395" s="4"/>
      <c r="T4395" s="4"/>
      <c r="U4395" s="4"/>
      <c r="V4395" s="4"/>
      <c r="W4395" s="4"/>
      <c r="X4395" s="4"/>
    </row>
    <row r="4396" spans="17:24" x14ac:dyDescent="0.3">
      <c r="Q4396" s="4"/>
      <c r="R4396" s="4"/>
      <c r="S4396" s="4"/>
      <c r="T4396" s="4"/>
      <c r="U4396" s="4"/>
      <c r="V4396" s="4"/>
      <c r="W4396" s="4"/>
      <c r="X4396" s="4"/>
    </row>
    <row r="4397" spans="17:24" x14ac:dyDescent="0.3">
      <c r="Q4397" s="4"/>
      <c r="R4397" s="4"/>
      <c r="S4397" s="4"/>
      <c r="T4397" s="4"/>
      <c r="U4397" s="4"/>
      <c r="V4397" s="4"/>
      <c r="W4397" s="4"/>
      <c r="X4397" s="4"/>
    </row>
    <row r="4398" spans="17:24" x14ac:dyDescent="0.3">
      <c r="Q4398" s="4"/>
      <c r="R4398" s="4"/>
      <c r="S4398" s="4"/>
      <c r="T4398" s="4"/>
      <c r="U4398" s="4"/>
      <c r="V4398" s="4"/>
      <c r="W4398" s="4"/>
      <c r="X4398" s="4"/>
    </row>
    <row r="4399" spans="17:24" x14ac:dyDescent="0.3">
      <c r="Q4399" s="4"/>
      <c r="R4399" s="4"/>
      <c r="S4399" s="4"/>
      <c r="T4399" s="4"/>
      <c r="U4399" s="4"/>
      <c r="V4399" s="4"/>
      <c r="W4399" s="4"/>
      <c r="X4399" s="4"/>
    </row>
    <row r="4400" spans="17:24" x14ac:dyDescent="0.3">
      <c r="Q4400" s="4"/>
      <c r="R4400" s="4"/>
      <c r="S4400" s="4"/>
      <c r="T4400" s="4"/>
      <c r="U4400" s="4"/>
      <c r="V4400" s="4"/>
      <c r="W4400" s="4"/>
      <c r="X4400" s="4"/>
    </row>
    <row r="4401" spans="17:24" x14ac:dyDescent="0.3">
      <c r="Q4401" s="4"/>
      <c r="R4401" s="4"/>
      <c r="S4401" s="4"/>
      <c r="T4401" s="4"/>
      <c r="U4401" s="4"/>
      <c r="V4401" s="4"/>
      <c r="W4401" s="4"/>
      <c r="X4401" s="4"/>
    </row>
    <row r="4402" spans="17:24" x14ac:dyDescent="0.3">
      <c r="Q4402" s="4"/>
      <c r="R4402" s="4"/>
      <c r="S4402" s="4"/>
      <c r="T4402" s="4"/>
      <c r="U4402" s="4"/>
      <c r="V4402" s="4"/>
      <c r="W4402" s="4"/>
      <c r="X4402" s="4"/>
    </row>
    <row r="4403" spans="17:24" x14ac:dyDescent="0.3">
      <c r="Q4403" s="4"/>
      <c r="R4403" s="4"/>
      <c r="S4403" s="4"/>
      <c r="T4403" s="4"/>
      <c r="U4403" s="4"/>
      <c r="V4403" s="4"/>
      <c r="W4403" s="4"/>
      <c r="X4403" s="4"/>
    </row>
    <row r="4404" spans="17:24" x14ac:dyDescent="0.3">
      <c r="Q4404" s="4"/>
      <c r="R4404" s="4"/>
      <c r="S4404" s="4"/>
      <c r="T4404" s="4"/>
      <c r="U4404" s="4"/>
      <c r="V4404" s="4"/>
      <c r="W4404" s="4"/>
      <c r="X4404" s="4"/>
    </row>
    <row r="4405" spans="17:24" x14ac:dyDescent="0.3">
      <c r="Q4405" s="4"/>
      <c r="R4405" s="4"/>
      <c r="S4405" s="4"/>
      <c r="T4405" s="4"/>
      <c r="U4405" s="4"/>
      <c r="V4405" s="4"/>
      <c r="W4405" s="4"/>
      <c r="X4405" s="4"/>
    </row>
    <row r="4406" spans="17:24" x14ac:dyDescent="0.3">
      <c r="Q4406" s="4"/>
      <c r="R4406" s="4"/>
      <c r="S4406" s="4"/>
      <c r="T4406" s="4"/>
      <c r="U4406" s="4"/>
      <c r="V4406" s="4"/>
      <c r="W4406" s="4"/>
      <c r="X4406" s="4"/>
    </row>
    <row r="4407" spans="17:24" x14ac:dyDescent="0.3">
      <c r="Q4407" s="4"/>
      <c r="R4407" s="4"/>
      <c r="S4407" s="4"/>
      <c r="T4407" s="4"/>
      <c r="U4407" s="4"/>
      <c r="V4407" s="4"/>
      <c r="W4407" s="4"/>
      <c r="X4407" s="4"/>
    </row>
    <row r="4408" spans="17:24" x14ac:dyDescent="0.3">
      <c r="Q4408" s="4"/>
      <c r="R4408" s="4"/>
      <c r="S4408" s="4"/>
      <c r="T4408" s="4"/>
      <c r="U4408" s="4"/>
      <c r="V4408" s="4"/>
      <c r="W4408" s="4"/>
      <c r="X4408" s="4"/>
    </row>
    <row r="4409" spans="17:24" x14ac:dyDescent="0.3">
      <c r="Q4409" s="4"/>
      <c r="R4409" s="4"/>
      <c r="S4409" s="4"/>
      <c r="T4409" s="4"/>
      <c r="U4409" s="4"/>
      <c r="V4409" s="4"/>
      <c r="W4409" s="4"/>
      <c r="X4409" s="4"/>
    </row>
    <row r="4410" spans="17:24" x14ac:dyDescent="0.3">
      <c r="Q4410" s="4"/>
      <c r="R4410" s="4"/>
      <c r="S4410" s="4"/>
      <c r="T4410" s="4"/>
      <c r="U4410" s="4"/>
      <c r="V4410" s="4"/>
      <c r="W4410" s="4"/>
      <c r="X4410" s="4"/>
    </row>
    <row r="4411" spans="17:24" x14ac:dyDescent="0.3">
      <c r="Q4411" s="4"/>
      <c r="R4411" s="4"/>
      <c r="S4411" s="4"/>
      <c r="T4411" s="4"/>
      <c r="U4411" s="4"/>
      <c r="V4411" s="4"/>
      <c r="W4411" s="4"/>
      <c r="X4411" s="4"/>
    </row>
    <row r="4412" spans="17:24" x14ac:dyDescent="0.3">
      <c r="Q4412" s="4"/>
      <c r="R4412" s="4"/>
      <c r="S4412" s="4"/>
      <c r="T4412" s="4"/>
      <c r="U4412" s="4"/>
      <c r="V4412" s="4"/>
      <c r="W4412" s="4"/>
      <c r="X4412" s="4"/>
    </row>
    <row r="4413" spans="17:24" x14ac:dyDescent="0.3">
      <c r="Q4413" s="4"/>
      <c r="R4413" s="4"/>
      <c r="S4413" s="4"/>
      <c r="T4413" s="4"/>
      <c r="U4413" s="4"/>
      <c r="V4413" s="4"/>
      <c r="W4413" s="4"/>
      <c r="X4413" s="4"/>
    </row>
    <row r="4414" spans="17:24" x14ac:dyDescent="0.3">
      <c r="Q4414" s="4"/>
      <c r="R4414" s="4"/>
      <c r="S4414" s="4"/>
      <c r="T4414" s="4"/>
      <c r="U4414" s="4"/>
      <c r="V4414" s="4"/>
      <c r="W4414" s="4"/>
      <c r="X4414" s="4"/>
    </row>
    <row r="4415" spans="17:24" x14ac:dyDescent="0.3">
      <c r="Q4415" s="4"/>
      <c r="R4415" s="4"/>
      <c r="S4415" s="4"/>
      <c r="T4415" s="4"/>
      <c r="U4415" s="4"/>
      <c r="V4415" s="4"/>
      <c r="W4415" s="4"/>
      <c r="X4415" s="4"/>
    </row>
    <row r="4416" spans="17:24" x14ac:dyDescent="0.3">
      <c r="Q4416" s="4"/>
      <c r="R4416" s="4"/>
      <c r="S4416" s="4"/>
      <c r="T4416" s="4"/>
      <c r="U4416" s="4"/>
      <c r="V4416" s="4"/>
      <c r="W4416" s="4"/>
      <c r="X4416" s="4"/>
    </row>
    <row r="4417" spans="17:24" x14ac:dyDescent="0.3">
      <c r="Q4417" s="4"/>
      <c r="R4417" s="4"/>
      <c r="S4417" s="4"/>
      <c r="T4417" s="4"/>
      <c r="U4417" s="4"/>
      <c r="V4417" s="4"/>
      <c r="W4417" s="4"/>
      <c r="X4417" s="4"/>
    </row>
    <row r="4418" spans="17:24" x14ac:dyDescent="0.3">
      <c r="Q4418" s="4"/>
      <c r="R4418" s="4"/>
      <c r="S4418" s="4"/>
      <c r="T4418" s="4"/>
      <c r="U4418" s="4"/>
      <c r="V4418" s="4"/>
      <c r="W4418" s="4"/>
      <c r="X4418" s="4"/>
    </row>
    <row r="4419" spans="17:24" x14ac:dyDescent="0.3">
      <c r="Q4419" s="4"/>
      <c r="R4419" s="4"/>
      <c r="S4419" s="4"/>
      <c r="T4419" s="4"/>
      <c r="U4419" s="4"/>
      <c r="V4419" s="4"/>
      <c r="W4419" s="4"/>
      <c r="X4419" s="4"/>
    </row>
    <row r="4420" spans="17:24" x14ac:dyDescent="0.3">
      <c r="Q4420" s="4"/>
      <c r="R4420" s="4"/>
      <c r="S4420" s="4"/>
      <c r="T4420" s="4"/>
      <c r="U4420" s="4"/>
      <c r="V4420" s="4"/>
      <c r="W4420" s="4"/>
      <c r="X4420" s="4"/>
    </row>
    <row r="4421" spans="17:24" x14ac:dyDescent="0.3">
      <c r="Q4421" s="4"/>
      <c r="R4421" s="4"/>
      <c r="S4421" s="4"/>
      <c r="T4421" s="4"/>
      <c r="U4421" s="4"/>
      <c r="V4421" s="4"/>
      <c r="W4421" s="4"/>
      <c r="X4421" s="4"/>
    </row>
    <row r="4422" spans="17:24" x14ac:dyDescent="0.3">
      <c r="Q4422" s="4"/>
      <c r="R4422" s="4"/>
      <c r="S4422" s="4"/>
      <c r="T4422" s="4"/>
      <c r="U4422" s="4"/>
      <c r="V4422" s="4"/>
      <c r="W4422" s="4"/>
      <c r="X4422" s="4"/>
    </row>
    <row r="4423" spans="17:24" x14ac:dyDescent="0.3">
      <c r="Q4423" s="4"/>
      <c r="R4423" s="4"/>
      <c r="S4423" s="4"/>
      <c r="T4423" s="4"/>
      <c r="U4423" s="4"/>
      <c r="V4423" s="4"/>
      <c r="W4423" s="4"/>
      <c r="X4423" s="4"/>
    </row>
    <row r="4424" spans="17:24" x14ac:dyDescent="0.3">
      <c r="Q4424" s="4"/>
      <c r="R4424" s="4"/>
      <c r="S4424" s="4"/>
      <c r="T4424" s="4"/>
      <c r="U4424" s="4"/>
      <c r="V4424" s="4"/>
      <c r="W4424" s="4"/>
      <c r="X4424" s="4"/>
    </row>
    <row r="4425" spans="17:24" x14ac:dyDescent="0.3">
      <c r="Q4425" s="4"/>
      <c r="R4425" s="4"/>
      <c r="S4425" s="4"/>
      <c r="T4425" s="4"/>
      <c r="U4425" s="4"/>
      <c r="V4425" s="4"/>
      <c r="W4425" s="4"/>
      <c r="X4425" s="4"/>
    </row>
    <row r="4426" spans="17:24" x14ac:dyDescent="0.3">
      <c r="Q4426" s="4"/>
      <c r="R4426" s="4"/>
      <c r="S4426" s="4"/>
      <c r="T4426" s="4"/>
      <c r="U4426" s="4"/>
      <c r="V4426" s="4"/>
      <c r="W4426" s="4"/>
      <c r="X4426" s="4"/>
    </row>
    <row r="4427" spans="17:24" x14ac:dyDescent="0.3">
      <c r="Q4427" s="4"/>
      <c r="R4427" s="4"/>
      <c r="S4427" s="4"/>
      <c r="T4427" s="4"/>
      <c r="U4427" s="4"/>
      <c r="V4427" s="4"/>
      <c r="W4427" s="4"/>
      <c r="X4427" s="4"/>
    </row>
    <row r="4428" spans="17:24" x14ac:dyDescent="0.3">
      <c r="Q4428" s="4"/>
      <c r="R4428" s="4"/>
      <c r="S4428" s="4"/>
      <c r="T4428" s="4"/>
      <c r="U4428" s="4"/>
      <c r="V4428" s="4"/>
      <c r="W4428" s="4"/>
      <c r="X4428" s="4"/>
    </row>
    <row r="4429" spans="17:24" x14ac:dyDescent="0.3">
      <c r="Q4429" s="4"/>
      <c r="R4429" s="4"/>
      <c r="S4429" s="4"/>
      <c r="T4429" s="4"/>
      <c r="U4429" s="4"/>
      <c r="V4429" s="4"/>
      <c r="W4429" s="4"/>
      <c r="X4429" s="4"/>
    </row>
    <row r="4430" spans="17:24" x14ac:dyDescent="0.3">
      <c r="Q4430" s="4"/>
      <c r="R4430" s="4"/>
      <c r="S4430" s="4"/>
      <c r="T4430" s="4"/>
      <c r="U4430" s="4"/>
      <c r="V4430" s="4"/>
      <c r="W4430" s="4"/>
      <c r="X4430" s="4"/>
    </row>
    <row r="4431" spans="17:24" x14ac:dyDescent="0.3">
      <c r="Q4431" s="4"/>
      <c r="R4431" s="4"/>
      <c r="S4431" s="4"/>
      <c r="T4431" s="4"/>
      <c r="U4431" s="4"/>
      <c r="V4431" s="4"/>
      <c r="W4431" s="4"/>
      <c r="X4431" s="4"/>
    </row>
    <row r="4432" spans="17:24" x14ac:dyDescent="0.3">
      <c r="Q4432" s="4"/>
      <c r="R4432" s="4"/>
      <c r="S4432" s="4"/>
      <c r="T4432" s="4"/>
      <c r="U4432" s="4"/>
      <c r="V4432" s="4"/>
      <c r="W4432" s="4"/>
      <c r="X4432" s="4"/>
    </row>
    <row r="4433" spans="17:24" x14ac:dyDescent="0.3">
      <c r="Q4433" s="4"/>
      <c r="R4433" s="4"/>
      <c r="S4433" s="4"/>
      <c r="T4433" s="4"/>
      <c r="U4433" s="4"/>
      <c r="V4433" s="4"/>
      <c r="W4433" s="4"/>
      <c r="X4433" s="4"/>
    </row>
    <row r="4434" spans="17:24" x14ac:dyDescent="0.3">
      <c r="Q4434" s="4"/>
      <c r="R4434" s="4"/>
      <c r="S4434" s="4"/>
      <c r="T4434" s="4"/>
      <c r="U4434" s="4"/>
      <c r="V4434" s="4"/>
      <c r="W4434" s="4"/>
      <c r="X4434" s="4"/>
    </row>
    <row r="4435" spans="17:24" x14ac:dyDescent="0.3">
      <c r="Q4435" s="4"/>
      <c r="R4435" s="4"/>
      <c r="S4435" s="4"/>
      <c r="T4435" s="4"/>
      <c r="U4435" s="4"/>
      <c r="V4435" s="4"/>
      <c r="W4435" s="4"/>
      <c r="X4435" s="4"/>
    </row>
    <row r="4436" spans="17:24" x14ac:dyDescent="0.3">
      <c r="Q4436" s="4"/>
      <c r="R4436" s="4"/>
      <c r="S4436" s="4"/>
      <c r="T4436" s="4"/>
      <c r="U4436" s="4"/>
      <c r="V4436" s="4"/>
      <c r="W4436" s="4"/>
      <c r="X4436" s="4"/>
    </row>
    <row r="4437" spans="17:24" x14ac:dyDescent="0.3">
      <c r="Q4437" s="4"/>
      <c r="R4437" s="4"/>
      <c r="S4437" s="4"/>
      <c r="T4437" s="4"/>
      <c r="U4437" s="4"/>
      <c r="V4437" s="4"/>
      <c r="W4437" s="4"/>
      <c r="X4437" s="4"/>
    </row>
    <row r="4438" spans="17:24" x14ac:dyDescent="0.3">
      <c r="Q4438" s="4"/>
      <c r="R4438" s="4"/>
      <c r="S4438" s="4"/>
      <c r="T4438" s="4"/>
      <c r="U4438" s="4"/>
      <c r="V4438" s="4"/>
      <c r="W4438" s="4"/>
      <c r="X4438" s="4"/>
    </row>
    <row r="4439" spans="17:24" x14ac:dyDescent="0.3">
      <c r="Q4439" s="4"/>
      <c r="R4439" s="4"/>
      <c r="S4439" s="4"/>
      <c r="T4439" s="4"/>
      <c r="U4439" s="4"/>
      <c r="V4439" s="4"/>
      <c r="W4439" s="4"/>
      <c r="X4439" s="4"/>
    </row>
    <row r="4440" spans="17:24" x14ac:dyDescent="0.3">
      <c r="Q4440" s="4"/>
      <c r="R4440" s="4"/>
      <c r="S4440" s="4"/>
      <c r="T4440" s="4"/>
      <c r="U4440" s="4"/>
      <c r="V4440" s="4"/>
      <c r="W4440" s="4"/>
      <c r="X4440" s="4"/>
    </row>
    <row r="4441" spans="17:24" x14ac:dyDescent="0.3">
      <c r="Q4441" s="4"/>
      <c r="R4441" s="4"/>
      <c r="S4441" s="4"/>
      <c r="T4441" s="4"/>
      <c r="U4441" s="4"/>
      <c r="V4441" s="4"/>
      <c r="W4441" s="4"/>
      <c r="X4441" s="4"/>
    </row>
    <row r="4442" spans="17:24" x14ac:dyDescent="0.3">
      <c r="Q4442" s="4"/>
      <c r="R4442" s="4"/>
      <c r="S4442" s="4"/>
      <c r="T4442" s="4"/>
      <c r="U4442" s="4"/>
      <c r="V4442" s="4"/>
      <c r="W4442" s="4"/>
      <c r="X4442" s="4"/>
    </row>
    <row r="4443" spans="17:24" x14ac:dyDescent="0.3">
      <c r="Q4443" s="4"/>
      <c r="R4443" s="4"/>
      <c r="S4443" s="4"/>
      <c r="T4443" s="4"/>
      <c r="U4443" s="4"/>
      <c r="V4443" s="4"/>
      <c r="W4443" s="4"/>
      <c r="X4443" s="4"/>
    </row>
    <row r="4444" spans="17:24" x14ac:dyDescent="0.3">
      <c r="Q4444" s="4"/>
      <c r="R4444" s="4"/>
      <c r="S4444" s="4"/>
      <c r="T4444" s="4"/>
      <c r="U4444" s="4"/>
      <c r="V4444" s="4"/>
      <c r="W4444" s="4"/>
      <c r="X4444" s="4"/>
    </row>
    <row r="4445" spans="17:24" x14ac:dyDescent="0.3">
      <c r="Q4445" s="4"/>
      <c r="R4445" s="4"/>
      <c r="S4445" s="4"/>
      <c r="T4445" s="4"/>
      <c r="U4445" s="4"/>
      <c r="V4445" s="4"/>
      <c r="W4445" s="4"/>
      <c r="X4445" s="4"/>
    </row>
    <row r="4446" spans="17:24" x14ac:dyDescent="0.3">
      <c r="Q4446" s="4"/>
      <c r="R4446" s="4"/>
      <c r="S4446" s="4"/>
      <c r="T4446" s="4"/>
      <c r="U4446" s="4"/>
      <c r="V4446" s="4"/>
      <c r="W4446" s="4"/>
      <c r="X4446" s="4"/>
    </row>
    <row r="4447" spans="17:24" x14ac:dyDescent="0.3">
      <c r="Q4447" s="4"/>
      <c r="R4447" s="4"/>
      <c r="S4447" s="4"/>
      <c r="T4447" s="4"/>
      <c r="U4447" s="4"/>
      <c r="V4447" s="4"/>
      <c r="W4447" s="4"/>
      <c r="X4447" s="4"/>
    </row>
    <row r="4448" spans="17:24" x14ac:dyDescent="0.3">
      <c r="Q4448" s="4"/>
      <c r="R4448" s="4"/>
      <c r="S4448" s="4"/>
      <c r="T4448" s="4"/>
      <c r="U4448" s="4"/>
      <c r="V4448" s="4"/>
      <c r="W4448" s="4"/>
      <c r="X4448" s="4"/>
    </row>
    <row r="4449" spans="17:24" x14ac:dyDescent="0.3">
      <c r="Q4449" s="4"/>
      <c r="R4449" s="4"/>
      <c r="S4449" s="4"/>
      <c r="T4449" s="4"/>
      <c r="U4449" s="4"/>
      <c r="V4449" s="4"/>
      <c r="W4449" s="4"/>
      <c r="X4449" s="4"/>
    </row>
    <row r="4450" spans="17:24" x14ac:dyDescent="0.3">
      <c r="Q4450" s="4"/>
      <c r="R4450" s="4"/>
      <c r="S4450" s="4"/>
      <c r="T4450" s="4"/>
      <c r="U4450" s="4"/>
      <c r="V4450" s="4"/>
      <c r="W4450" s="4"/>
      <c r="X4450" s="4"/>
    </row>
    <row r="4451" spans="17:24" x14ac:dyDescent="0.3">
      <c r="Q4451" s="4"/>
      <c r="R4451" s="4"/>
      <c r="S4451" s="4"/>
      <c r="T4451" s="4"/>
      <c r="U4451" s="4"/>
      <c r="V4451" s="4"/>
      <c r="W4451" s="4"/>
      <c r="X4451" s="4"/>
    </row>
    <row r="4452" spans="17:24" x14ac:dyDescent="0.3">
      <c r="Q4452" s="4"/>
      <c r="R4452" s="4"/>
      <c r="S4452" s="4"/>
      <c r="T4452" s="4"/>
      <c r="U4452" s="4"/>
      <c r="V4452" s="4"/>
      <c r="W4452" s="4"/>
      <c r="X4452" s="4"/>
    </row>
    <row r="4453" spans="17:24" x14ac:dyDescent="0.3">
      <c r="Q4453" s="4"/>
      <c r="R4453" s="4"/>
      <c r="S4453" s="4"/>
      <c r="T4453" s="4"/>
      <c r="U4453" s="4"/>
      <c r="V4453" s="4"/>
      <c r="W4453" s="4"/>
      <c r="X4453" s="4"/>
    </row>
    <row r="4454" spans="17:24" x14ac:dyDescent="0.3">
      <c r="Q4454" s="4"/>
      <c r="R4454" s="4"/>
      <c r="S4454" s="4"/>
      <c r="T4454" s="4"/>
      <c r="U4454" s="4"/>
      <c r="V4454" s="4"/>
      <c r="W4454" s="4"/>
      <c r="X4454" s="4"/>
    </row>
    <row r="4455" spans="17:24" x14ac:dyDescent="0.3">
      <c r="Q4455" s="4"/>
      <c r="R4455" s="4"/>
      <c r="S4455" s="4"/>
      <c r="T4455" s="4"/>
      <c r="U4455" s="4"/>
      <c r="V4455" s="4"/>
      <c r="W4455" s="4"/>
      <c r="X4455" s="4"/>
    </row>
    <row r="4456" spans="17:24" x14ac:dyDescent="0.3">
      <c r="Q4456" s="4"/>
      <c r="R4456" s="4"/>
      <c r="S4456" s="4"/>
      <c r="T4456" s="4"/>
      <c r="U4456" s="4"/>
      <c r="V4456" s="4"/>
      <c r="W4456" s="4"/>
      <c r="X4456" s="4"/>
    </row>
    <row r="4457" spans="17:24" x14ac:dyDescent="0.3">
      <c r="Q4457" s="4"/>
      <c r="R4457" s="4"/>
      <c r="S4457" s="4"/>
      <c r="T4457" s="4"/>
      <c r="U4457" s="4"/>
      <c r="V4457" s="4"/>
      <c r="W4457" s="4"/>
      <c r="X4457" s="4"/>
    </row>
    <row r="4458" spans="17:24" x14ac:dyDescent="0.3">
      <c r="Q4458" s="4"/>
      <c r="R4458" s="4"/>
      <c r="S4458" s="4"/>
      <c r="T4458" s="4"/>
      <c r="U4458" s="4"/>
      <c r="V4458" s="4"/>
      <c r="W4458" s="4"/>
      <c r="X4458" s="4"/>
    </row>
    <row r="4459" spans="17:24" x14ac:dyDescent="0.3">
      <c r="Q4459" s="4"/>
      <c r="R4459" s="4"/>
      <c r="S4459" s="4"/>
      <c r="T4459" s="4"/>
      <c r="U4459" s="4"/>
      <c r="V4459" s="4"/>
      <c r="W4459" s="4"/>
      <c r="X4459" s="4"/>
    </row>
    <row r="4460" spans="17:24" x14ac:dyDescent="0.3">
      <c r="Q4460" s="4"/>
      <c r="R4460" s="4"/>
      <c r="S4460" s="4"/>
      <c r="T4460" s="4"/>
      <c r="U4460" s="4"/>
      <c r="V4460" s="4"/>
      <c r="W4460" s="4"/>
      <c r="X4460" s="4"/>
    </row>
    <row r="4461" spans="17:24" x14ac:dyDescent="0.3">
      <c r="Q4461" s="4"/>
      <c r="R4461" s="4"/>
      <c r="S4461" s="4"/>
      <c r="T4461" s="4"/>
      <c r="U4461" s="4"/>
      <c r="V4461" s="4"/>
      <c r="W4461" s="4"/>
      <c r="X4461" s="4"/>
    </row>
    <row r="4462" spans="17:24" x14ac:dyDescent="0.3">
      <c r="Q4462" s="4"/>
      <c r="R4462" s="4"/>
      <c r="S4462" s="4"/>
      <c r="T4462" s="4"/>
      <c r="U4462" s="4"/>
      <c r="V4462" s="4"/>
      <c r="W4462" s="4"/>
      <c r="X4462" s="4"/>
    </row>
    <row r="4463" spans="17:24" x14ac:dyDescent="0.3">
      <c r="Q4463" s="4"/>
      <c r="R4463" s="4"/>
      <c r="S4463" s="4"/>
      <c r="T4463" s="4"/>
      <c r="U4463" s="4"/>
      <c r="V4463" s="4"/>
      <c r="W4463" s="4"/>
      <c r="X4463" s="4"/>
    </row>
    <row r="4464" spans="17:24" x14ac:dyDescent="0.3">
      <c r="Q4464" s="4"/>
      <c r="R4464" s="4"/>
      <c r="S4464" s="4"/>
      <c r="T4464" s="4"/>
      <c r="U4464" s="4"/>
      <c r="V4464" s="4"/>
      <c r="W4464" s="4"/>
      <c r="X4464" s="4"/>
    </row>
    <row r="4465" spans="17:24" x14ac:dyDescent="0.3">
      <c r="Q4465" s="4"/>
      <c r="R4465" s="4"/>
      <c r="S4465" s="4"/>
      <c r="T4465" s="4"/>
      <c r="U4465" s="4"/>
      <c r="V4465" s="4"/>
      <c r="W4465" s="4"/>
      <c r="X4465" s="4"/>
    </row>
    <row r="4466" spans="17:24" x14ac:dyDescent="0.3">
      <c r="Q4466" s="4"/>
      <c r="R4466" s="4"/>
      <c r="S4466" s="4"/>
      <c r="T4466" s="4"/>
      <c r="U4466" s="4"/>
      <c r="V4466" s="4"/>
      <c r="W4466" s="4"/>
      <c r="X4466" s="4"/>
    </row>
    <row r="4467" spans="17:24" x14ac:dyDescent="0.3">
      <c r="Q4467" s="4"/>
      <c r="R4467" s="4"/>
      <c r="S4467" s="4"/>
      <c r="T4467" s="4"/>
      <c r="U4467" s="4"/>
      <c r="V4467" s="4"/>
      <c r="W4467" s="4"/>
      <c r="X4467" s="4"/>
    </row>
    <row r="4468" spans="17:24" x14ac:dyDescent="0.3">
      <c r="Q4468" s="4"/>
      <c r="R4468" s="4"/>
      <c r="S4468" s="4"/>
      <c r="T4468" s="4"/>
      <c r="U4468" s="4"/>
      <c r="V4468" s="4"/>
      <c r="W4468" s="4"/>
      <c r="X4468" s="4"/>
    </row>
    <row r="4469" spans="17:24" x14ac:dyDescent="0.3">
      <c r="Q4469" s="4"/>
      <c r="R4469" s="4"/>
      <c r="S4469" s="4"/>
      <c r="T4469" s="4"/>
      <c r="U4469" s="4"/>
      <c r="V4469" s="4"/>
      <c r="W4469" s="4"/>
      <c r="X4469" s="4"/>
    </row>
    <row r="4470" spans="17:24" x14ac:dyDescent="0.3">
      <c r="Q4470" s="4"/>
      <c r="R4470" s="4"/>
      <c r="S4470" s="4"/>
      <c r="T4470" s="4"/>
      <c r="U4470" s="4"/>
      <c r="V4470" s="4"/>
      <c r="W4470" s="4"/>
      <c r="X4470" s="4"/>
    </row>
    <row r="4471" spans="17:24" x14ac:dyDescent="0.3">
      <c r="Q4471" s="4"/>
      <c r="R4471" s="4"/>
      <c r="S4471" s="4"/>
      <c r="T4471" s="4"/>
      <c r="U4471" s="4"/>
      <c r="V4471" s="4"/>
      <c r="W4471" s="4"/>
      <c r="X4471" s="4"/>
    </row>
    <row r="4472" spans="17:24" x14ac:dyDescent="0.3">
      <c r="Q4472" s="4"/>
      <c r="R4472" s="4"/>
      <c r="S4472" s="4"/>
      <c r="T4472" s="4"/>
      <c r="U4472" s="4"/>
      <c r="V4472" s="4"/>
      <c r="W4472" s="4"/>
      <c r="X4472" s="4"/>
    </row>
    <row r="4473" spans="17:24" x14ac:dyDescent="0.3">
      <c r="Q4473" s="4"/>
      <c r="R4473" s="4"/>
      <c r="S4473" s="4"/>
      <c r="T4473" s="4"/>
      <c r="U4473" s="4"/>
      <c r="V4473" s="4"/>
      <c r="W4473" s="4"/>
      <c r="X4473" s="4"/>
    </row>
    <row r="4474" spans="17:24" x14ac:dyDescent="0.3">
      <c r="Q4474" s="4"/>
      <c r="R4474" s="4"/>
      <c r="S4474" s="4"/>
      <c r="T4474" s="4"/>
      <c r="U4474" s="4"/>
      <c r="V4474" s="4"/>
      <c r="W4474" s="4"/>
      <c r="X4474" s="4"/>
    </row>
    <row r="4475" spans="17:24" x14ac:dyDescent="0.3">
      <c r="Q4475" s="4"/>
      <c r="R4475" s="4"/>
      <c r="S4475" s="4"/>
      <c r="T4475" s="4"/>
      <c r="U4475" s="4"/>
      <c r="V4475" s="4"/>
      <c r="W4475" s="4"/>
      <c r="X4475" s="4"/>
    </row>
    <row r="4476" spans="17:24" x14ac:dyDescent="0.3">
      <c r="Q4476" s="4"/>
      <c r="R4476" s="4"/>
      <c r="S4476" s="4"/>
      <c r="T4476" s="4"/>
      <c r="U4476" s="4"/>
      <c r="V4476" s="4"/>
      <c r="W4476" s="4"/>
      <c r="X4476" s="4"/>
    </row>
    <row r="4477" spans="17:24" x14ac:dyDescent="0.3">
      <c r="Q4477" s="4"/>
      <c r="R4477" s="4"/>
      <c r="S4477" s="4"/>
      <c r="T4477" s="4"/>
      <c r="U4477" s="4"/>
      <c r="V4477" s="4"/>
      <c r="W4477" s="4"/>
      <c r="X4477" s="4"/>
    </row>
    <row r="4478" spans="17:24" x14ac:dyDescent="0.3">
      <c r="Q4478" s="4"/>
      <c r="R4478" s="4"/>
      <c r="S4478" s="4"/>
      <c r="T4478" s="4"/>
      <c r="U4478" s="4"/>
      <c r="V4478" s="4"/>
      <c r="W4478" s="4"/>
      <c r="X4478" s="4"/>
    </row>
    <row r="4479" spans="17:24" x14ac:dyDescent="0.3">
      <c r="Q4479" s="4"/>
      <c r="R4479" s="4"/>
      <c r="S4479" s="4"/>
      <c r="T4479" s="4"/>
      <c r="U4479" s="4"/>
      <c r="V4479" s="4"/>
      <c r="W4479" s="4"/>
      <c r="X4479" s="4"/>
    </row>
    <row r="4480" spans="17:24" x14ac:dyDescent="0.3">
      <c r="Q4480" s="4"/>
      <c r="R4480" s="4"/>
      <c r="S4480" s="4"/>
      <c r="T4480" s="4"/>
      <c r="U4480" s="4"/>
      <c r="V4480" s="4"/>
      <c r="W4480" s="4"/>
      <c r="X4480" s="4"/>
    </row>
    <row r="4481" spans="17:24" x14ac:dyDescent="0.3">
      <c r="Q4481" s="4"/>
      <c r="R4481" s="4"/>
      <c r="S4481" s="4"/>
      <c r="T4481" s="4"/>
      <c r="U4481" s="4"/>
      <c r="V4481" s="4"/>
      <c r="W4481" s="4"/>
      <c r="X4481" s="4"/>
    </row>
    <row r="4482" spans="17:24" x14ac:dyDescent="0.3">
      <c r="Q4482" s="4"/>
      <c r="R4482" s="4"/>
      <c r="S4482" s="4"/>
      <c r="T4482" s="4"/>
      <c r="U4482" s="4"/>
      <c r="V4482" s="4"/>
      <c r="W4482" s="4"/>
      <c r="X4482" s="4"/>
    </row>
    <row r="4483" spans="17:24" x14ac:dyDescent="0.3">
      <c r="Q4483" s="4"/>
      <c r="R4483" s="4"/>
      <c r="S4483" s="4"/>
      <c r="T4483" s="4"/>
      <c r="U4483" s="4"/>
      <c r="V4483" s="4"/>
      <c r="W4483" s="4"/>
      <c r="X4483" s="4"/>
    </row>
    <row r="4484" spans="17:24" x14ac:dyDescent="0.3">
      <c r="Q4484" s="4"/>
      <c r="R4484" s="4"/>
      <c r="S4484" s="4"/>
      <c r="T4484" s="4"/>
      <c r="U4484" s="4"/>
      <c r="V4484" s="4"/>
      <c r="W4484" s="4"/>
      <c r="X4484" s="4"/>
    </row>
    <row r="4485" spans="17:24" x14ac:dyDescent="0.3">
      <c r="Q4485" s="4"/>
      <c r="R4485" s="4"/>
      <c r="S4485" s="4"/>
      <c r="T4485" s="4"/>
      <c r="U4485" s="4"/>
      <c r="V4485" s="4"/>
      <c r="W4485" s="4"/>
      <c r="X4485" s="4"/>
    </row>
    <row r="4486" spans="17:24" x14ac:dyDescent="0.3">
      <c r="Q4486" s="4"/>
      <c r="R4486" s="4"/>
      <c r="S4486" s="4"/>
      <c r="T4486" s="4"/>
      <c r="U4486" s="4"/>
      <c r="V4486" s="4"/>
      <c r="W4486" s="4"/>
      <c r="X4486" s="4"/>
    </row>
    <row r="4487" spans="17:24" x14ac:dyDescent="0.3">
      <c r="Q4487" s="4"/>
      <c r="R4487" s="4"/>
      <c r="S4487" s="4"/>
      <c r="T4487" s="4"/>
      <c r="U4487" s="4"/>
      <c r="V4487" s="4"/>
      <c r="W4487" s="4"/>
      <c r="X4487" s="4"/>
    </row>
    <row r="4488" spans="17:24" x14ac:dyDescent="0.3">
      <c r="Q4488" s="4"/>
      <c r="R4488" s="4"/>
      <c r="S4488" s="4"/>
      <c r="T4488" s="4"/>
      <c r="U4488" s="4"/>
      <c r="V4488" s="4"/>
      <c r="W4488" s="4"/>
      <c r="X4488" s="4"/>
    </row>
    <row r="4489" spans="17:24" x14ac:dyDescent="0.3">
      <c r="Q4489" s="4"/>
      <c r="R4489" s="4"/>
      <c r="S4489" s="4"/>
      <c r="T4489" s="4"/>
      <c r="U4489" s="4"/>
      <c r="V4489" s="4"/>
      <c r="W4489" s="4"/>
      <c r="X4489" s="4"/>
    </row>
    <row r="4490" spans="17:24" x14ac:dyDescent="0.3">
      <c r="Q4490" s="4"/>
      <c r="R4490" s="4"/>
      <c r="S4490" s="4"/>
      <c r="T4490" s="4"/>
      <c r="U4490" s="4"/>
      <c r="V4490" s="4"/>
      <c r="W4490" s="4"/>
      <c r="X4490" s="4"/>
    </row>
    <row r="4491" spans="17:24" x14ac:dyDescent="0.3">
      <c r="Q4491" s="4"/>
      <c r="R4491" s="4"/>
      <c r="S4491" s="4"/>
      <c r="T4491" s="4"/>
      <c r="U4491" s="4"/>
      <c r="V4491" s="4"/>
      <c r="W4491" s="4"/>
      <c r="X4491" s="4"/>
    </row>
    <row r="4492" spans="17:24" x14ac:dyDescent="0.3">
      <c r="Q4492" s="4"/>
      <c r="R4492" s="4"/>
      <c r="S4492" s="4"/>
      <c r="T4492" s="4"/>
      <c r="U4492" s="4"/>
      <c r="V4492" s="4"/>
      <c r="W4492" s="4"/>
      <c r="X4492" s="4"/>
    </row>
    <row r="4493" spans="17:24" x14ac:dyDescent="0.3">
      <c r="Q4493" s="4"/>
      <c r="R4493" s="4"/>
      <c r="S4493" s="4"/>
      <c r="T4493" s="4"/>
      <c r="U4493" s="4"/>
      <c r="V4493" s="4"/>
      <c r="W4493" s="4"/>
      <c r="X4493" s="4"/>
    </row>
    <row r="4494" spans="17:24" x14ac:dyDescent="0.3">
      <c r="Q4494" s="4"/>
      <c r="R4494" s="4"/>
      <c r="S4494" s="4"/>
      <c r="T4494" s="4"/>
      <c r="U4494" s="4"/>
      <c r="V4494" s="4"/>
      <c r="W4494" s="4"/>
      <c r="X4494" s="4"/>
    </row>
    <row r="4495" spans="17:24" x14ac:dyDescent="0.3">
      <c r="Q4495" s="4"/>
      <c r="R4495" s="4"/>
      <c r="S4495" s="4"/>
      <c r="T4495" s="4"/>
      <c r="U4495" s="4"/>
      <c r="V4495" s="4"/>
      <c r="W4495" s="4"/>
      <c r="X4495" s="4"/>
    </row>
    <row r="4496" spans="17:24" x14ac:dyDescent="0.3">
      <c r="Q4496" s="4"/>
      <c r="R4496" s="4"/>
      <c r="S4496" s="4"/>
      <c r="T4496" s="4"/>
      <c r="U4496" s="4"/>
      <c r="V4496" s="4"/>
      <c r="W4496" s="4"/>
      <c r="X4496" s="4"/>
    </row>
    <row r="4497" spans="17:24" x14ac:dyDescent="0.3">
      <c r="Q4497" s="4"/>
      <c r="R4497" s="4"/>
      <c r="S4497" s="4"/>
      <c r="T4497" s="4"/>
      <c r="U4497" s="4"/>
      <c r="V4497" s="4"/>
      <c r="W4497" s="4"/>
      <c r="X4497" s="4"/>
    </row>
    <row r="4498" spans="17:24" x14ac:dyDescent="0.3">
      <c r="Q4498" s="4"/>
      <c r="R4498" s="4"/>
      <c r="S4498" s="4"/>
      <c r="T4498" s="4"/>
      <c r="U4498" s="4"/>
      <c r="V4498" s="4"/>
      <c r="W4498" s="4"/>
      <c r="X4498" s="4"/>
    </row>
    <row r="4499" spans="17:24" x14ac:dyDescent="0.3">
      <c r="Q4499" s="4"/>
      <c r="R4499" s="4"/>
      <c r="S4499" s="4"/>
      <c r="T4499" s="4"/>
      <c r="U4499" s="4"/>
      <c r="V4499" s="4"/>
      <c r="W4499" s="4"/>
      <c r="X4499" s="4"/>
    </row>
    <row r="4500" spans="17:24" x14ac:dyDescent="0.3">
      <c r="Q4500" s="4"/>
      <c r="R4500" s="4"/>
      <c r="S4500" s="4"/>
      <c r="T4500" s="4"/>
      <c r="U4500" s="4"/>
      <c r="V4500" s="4"/>
      <c r="W4500" s="4"/>
      <c r="X4500" s="4"/>
    </row>
    <row r="4501" spans="17:24" x14ac:dyDescent="0.3">
      <c r="Q4501" s="4"/>
      <c r="R4501" s="4"/>
      <c r="S4501" s="4"/>
      <c r="T4501" s="4"/>
      <c r="U4501" s="4"/>
      <c r="V4501" s="4"/>
      <c r="W4501" s="4"/>
      <c r="X4501" s="4"/>
    </row>
    <row r="4502" spans="17:24" x14ac:dyDescent="0.3">
      <c r="Q4502" s="4"/>
      <c r="R4502" s="4"/>
      <c r="S4502" s="4"/>
      <c r="T4502" s="4"/>
      <c r="U4502" s="4"/>
      <c r="V4502" s="4"/>
      <c r="W4502" s="4"/>
      <c r="X4502" s="4"/>
    </row>
    <row r="4503" spans="17:24" x14ac:dyDescent="0.3">
      <c r="Q4503" s="4"/>
      <c r="R4503" s="4"/>
      <c r="S4503" s="4"/>
      <c r="T4503" s="4"/>
      <c r="U4503" s="4"/>
      <c r="V4503" s="4"/>
      <c r="W4503" s="4"/>
      <c r="X4503" s="4"/>
    </row>
    <row r="4504" spans="17:24" x14ac:dyDescent="0.3">
      <c r="Q4504" s="4"/>
      <c r="R4504" s="4"/>
      <c r="S4504" s="4"/>
      <c r="T4504" s="4"/>
      <c r="U4504" s="4"/>
      <c r="V4504" s="4"/>
      <c r="W4504" s="4"/>
      <c r="X4504" s="4"/>
    </row>
    <row r="4505" spans="17:24" x14ac:dyDescent="0.3">
      <c r="Q4505" s="4"/>
      <c r="R4505" s="4"/>
      <c r="S4505" s="4"/>
      <c r="T4505" s="4"/>
      <c r="U4505" s="4"/>
      <c r="V4505" s="4"/>
      <c r="W4505" s="4"/>
      <c r="X4505" s="4"/>
    </row>
    <row r="4506" spans="17:24" x14ac:dyDescent="0.3">
      <c r="Q4506" s="4"/>
      <c r="R4506" s="4"/>
      <c r="S4506" s="4"/>
      <c r="T4506" s="4"/>
      <c r="U4506" s="4"/>
      <c r="V4506" s="4"/>
      <c r="W4506" s="4"/>
      <c r="X4506" s="4"/>
    </row>
    <row r="4507" spans="17:24" x14ac:dyDescent="0.3">
      <c r="Q4507" s="4"/>
      <c r="R4507" s="4"/>
      <c r="S4507" s="4"/>
      <c r="T4507" s="4"/>
      <c r="U4507" s="4"/>
      <c r="V4507" s="4"/>
      <c r="W4507" s="4"/>
      <c r="X4507" s="4"/>
    </row>
    <row r="4508" spans="17:24" x14ac:dyDescent="0.3">
      <c r="Q4508" s="4"/>
      <c r="R4508" s="4"/>
      <c r="S4508" s="4"/>
      <c r="T4508" s="4"/>
      <c r="U4508" s="4"/>
      <c r="V4508" s="4"/>
      <c r="W4508" s="4"/>
      <c r="X4508" s="4"/>
    </row>
    <row r="4509" spans="17:24" x14ac:dyDescent="0.3">
      <c r="Q4509" s="4"/>
      <c r="R4509" s="4"/>
      <c r="S4509" s="4"/>
      <c r="T4509" s="4"/>
      <c r="U4509" s="4"/>
      <c r="V4509" s="4"/>
      <c r="W4509" s="4"/>
      <c r="X4509" s="4"/>
    </row>
    <row r="4510" spans="17:24" x14ac:dyDescent="0.3">
      <c r="Q4510" s="4"/>
      <c r="R4510" s="4"/>
      <c r="S4510" s="4"/>
      <c r="T4510" s="4"/>
      <c r="U4510" s="4"/>
      <c r="V4510" s="4"/>
      <c r="W4510" s="4"/>
      <c r="X4510" s="4"/>
    </row>
    <row r="4511" spans="17:24" x14ac:dyDescent="0.3">
      <c r="Q4511" s="4"/>
      <c r="R4511" s="4"/>
      <c r="S4511" s="4"/>
      <c r="T4511" s="4"/>
      <c r="U4511" s="4"/>
      <c r="V4511" s="4"/>
      <c r="W4511" s="4"/>
      <c r="X4511" s="4"/>
    </row>
    <row r="4512" spans="17:24" x14ac:dyDescent="0.3">
      <c r="Q4512" s="4"/>
      <c r="R4512" s="4"/>
      <c r="S4512" s="4"/>
      <c r="T4512" s="4"/>
      <c r="U4512" s="4"/>
      <c r="V4512" s="4"/>
      <c r="W4512" s="4"/>
      <c r="X4512" s="4"/>
    </row>
    <row r="4513" spans="17:24" x14ac:dyDescent="0.3">
      <c r="Q4513" s="4"/>
      <c r="R4513" s="4"/>
      <c r="S4513" s="4"/>
      <c r="T4513" s="4"/>
      <c r="U4513" s="4"/>
      <c r="V4513" s="4"/>
      <c r="W4513" s="4"/>
      <c r="X4513" s="4"/>
    </row>
    <row r="4514" spans="17:24" x14ac:dyDescent="0.3">
      <c r="Q4514" s="4"/>
      <c r="R4514" s="4"/>
      <c r="S4514" s="4"/>
      <c r="T4514" s="4"/>
      <c r="U4514" s="4"/>
      <c r="V4514" s="4"/>
      <c r="W4514" s="4"/>
      <c r="X4514" s="4"/>
    </row>
    <row r="4515" spans="17:24" x14ac:dyDescent="0.3">
      <c r="Q4515" s="4"/>
      <c r="R4515" s="4"/>
      <c r="S4515" s="4"/>
      <c r="T4515" s="4"/>
      <c r="U4515" s="4"/>
      <c r="V4515" s="4"/>
      <c r="W4515" s="4"/>
      <c r="X4515" s="4"/>
    </row>
    <row r="4516" spans="17:24" x14ac:dyDescent="0.3">
      <c r="Q4516" s="4"/>
      <c r="R4516" s="4"/>
      <c r="S4516" s="4"/>
      <c r="T4516" s="4"/>
      <c r="U4516" s="4"/>
      <c r="V4516" s="4"/>
      <c r="W4516" s="4"/>
      <c r="X4516" s="4"/>
    </row>
    <row r="4517" spans="17:24" x14ac:dyDescent="0.3">
      <c r="Q4517" s="4"/>
      <c r="R4517" s="4"/>
      <c r="S4517" s="4"/>
      <c r="T4517" s="4"/>
      <c r="U4517" s="4"/>
      <c r="V4517" s="4"/>
      <c r="W4517" s="4"/>
      <c r="X4517" s="4"/>
    </row>
    <row r="4518" spans="17:24" x14ac:dyDescent="0.3">
      <c r="Q4518" s="4"/>
      <c r="R4518" s="4"/>
      <c r="S4518" s="4"/>
      <c r="T4518" s="4"/>
      <c r="U4518" s="4"/>
      <c r="V4518" s="4"/>
      <c r="W4518" s="4"/>
      <c r="X4518" s="4"/>
    </row>
    <row r="4519" spans="17:24" x14ac:dyDescent="0.3">
      <c r="Q4519" s="4"/>
      <c r="R4519" s="4"/>
      <c r="S4519" s="4"/>
      <c r="T4519" s="4"/>
      <c r="U4519" s="4"/>
      <c r="V4519" s="4"/>
      <c r="W4519" s="4"/>
      <c r="X4519" s="4"/>
    </row>
    <row r="4520" spans="17:24" x14ac:dyDescent="0.3">
      <c r="Q4520" s="4"/>
      <c r="R4520" s="4"/>
      <c r="S4520" s="4"/>
      <c r="T4520" s="4"/>
      <c r="U4520" s="4"/>
      <c r="V4520" s="4"/>
      <c r="W4520" s="4"/>
      <c r="X4520" s="4"/>
    </row>
    <row r="4521" spans="17:24" x14ac:dyDescent="0.3">
      <c r="Q4521" s="4"/>
      <c r="R4521" s="4"/>
      <c r="S4521" s="4"/>
      <c r="T4521" s="4"/>
      <c r="U4521" s="4"/>
      <c r="V4521" s="4"/>
      <c r="W4521" s="4"/>
      <c r="X4521" s="4"/>
    </row>
    <row r="4522" spans="17:24" x14ac:dyDescent="0.3">
      <c r="Q4522" s="4"/>
      <c r="R4522" s="4"/>
      <c r="S4522" s="4"/>
      <c r="T4522" s="4"/>
      <c r="U4522" s="4"/>
      <c r="V4522" s="4"/>
      <c r="W4522" s="4"/>
      <c r="X4522" s="4"/>
    </row>
    <row r="4523" spans="17:24" x14ac:dyDescent="0.3">
      <c r="Q4523" s="4"/>
      <c r="R4523" s="4"/>
      <c r="S4523" s="4"/>
      <c r="T4523" s="4"/>
      <c r="U4523" s="4"/>
      <c r="V4523" s="4"/>
      <c r="W4523" s="4"/>
      <c r="X4523" s="4"/>
    </row>
    <row r="4524" spans="17:24" x14ac:dyDescent="0.3">
      <c r="Q4524" s="4"/>
      <c r="R4524" s="4"/>
      <c r="S4524" s="4"/>
      <c r="T4524" s="4"/>
      <c r="U4524" s="4"/>
      <c r="V4524" s="4"/>
      <c r="W4524" s="4"/>
      <c r="X4524" s="4"/>
    </row>
    <row r="4525" spans="17:24" x14ac:dyDescent="0.3">
      <c r="Q4525" s="4"/>
      <c r="R4525" s="4"/>
      <c r="S4525" s="4"/>
      <c r="T4525" s="4"/>
      <c r="U4525" s="4"/>
      <c r="V4525" s="4"/>
      <c r="W4525" s="4"/>
      <c r="X4525" s="4"/>
    </row>
    <row r="4526" spans="17:24" x14ac:dyDescent="0.3">
      <c r="Q4526" s="4"/>
      <c r="R4526" s="4"/>
      <c r="S4526" s="4"/>
      <c r="T4526" s="4"/>
      <c r="U4526" s="4"/>
      <c r="V4526" s="4"/>
      <c r="W4526" s="4"/>
      <c r="X4526" s="4"/>
    </row>
    <row r="4527" spans="17:24" x14ac:dyDescent="0.3">
      <c r="Q4527" s="4"/>
      <c r="R4527" s="4"/>
      <c r="S4527" s="4"/>
      <c r="T4527" s="4"/>
      <c r="U4527" s="4"/>
      <c r="V4527" s="4"/>
      <c r="W4527" s="4"/>
      <c r="X4527" s="4"/>
    </row>
    <row r="4528" spans="17:24" x14ac:dyDescent="0.3">
      <c r="Q4528" s="4"/>
      <c r="R4528" s="4"/>
      <c r="S4528" s="4"/>
      <c r="T4528" s="4"/>
      <c r="U4528" s="4"/>
      <c r="V4528" s="4"/>
      <c r="W4528" s="4"/>
      <c r="X4528" s="4"/>
    </row>
    <row r="4529" spans="17:24" x14ac:dyDescent="0.3">
      <c r="Q4529" s="4"/>
      <c r="R4529" s="4"/>
      <c r="S4529" s="4"/>
      <c r="T4529" s="4"/>
      <c r="U4529" s="4"/>
      <c r="V4529" s="4"/>
      <c r="W4529" s="4"/>
      <c r="X4529" s="4"/>
    </row>
    <row r="4530" spans="17:24" x14ac:dyDescent="0.3">
      <c r="Q4530" s="4"/>
      <c r="R4530" s="4"/>
      <c r="S4530" s="4"/>
      <c r="T4530" s="4"/>
      <c r="U4530" s="4"/>
      <c r="V4530" s="4"/>
      <c r="W4530" s="4"/>
      <c r="X4530" s="4"/>
    </row>
    <row r="4531" spans="17:24" x14ac:dyDescent="0.3">
      <c r="Q4531" s="4"/>
      <c r="R4531" s="4"/>
      <c r="S4531" s="4"/>
      <c r="T4531" s="4"/>
      <c r="U4531" s="4"/>
      <c r="V4531" s="4"/>
      <c r="W4531" s="4"/>
      <c r="X4531" s="4"/>
    </row>
    <row r="4532" spans="17:24" x14ac:dyDescent="0.3">
      <c r="Q4532" s="4"/>
      <c r="R4532" s="4"/>
      <c r="S4532" s="4"/>
      <c r="T4532" s="4"/>
      <c r="U4532" s="4"/>
      <c r="V4532" s="4"/>
      <c r="W4532" s="4"/>
      <c r="X4532" s="4"/>
    </row>
    <row r="4533" spans="17:24" x14ac:dyDescent="0.3">
      <c r="Q4533" s="4"/>
      <c r="R4533" s="4"/>
      <c r="S4533" s="4"/>
      <c r="T4533" s="4"/>
      <c r="U4533" s="4"/>
      <c r="V4533" s="4"/>
      <c r="W4533" s="4"/>
      <c r="X4533" s="4"/>
    </row>
    <row r="4534" spans="17:24" x14ac:dyDescent="0.3">
      <c r="Q4534" s="4"/>
      <c r="R4534" s="4"/>
      <c r="S4534" s="4"/>
      <c r="T4534" s="4"/>
      <c r="U4534" s="4"/>
      <c r="V4534" s="4"/>
      <c r="W4534" s="4"/>
      <c r="X4534" s="4"/>
    </row>
    <row r="4535" spans="17:24" x14ac:dyDescent="0.3">
      <c r="Q4535" s="4"/>
      <c r="R4535" s="4"/>
      <c r="S4535" s="4"/>
      <c r="T4535" s="4"/>
      <c r="U4535" s="4"/>
      <c r="V4535" s="4"/>
      <c r="W4535" s="4"/>
      <c r="X4535" s="4"/>
    </row>
    <row r="4536" spans="17:24" x14ac:dyDescent="0.3">
      <c r="Q4536" s="4"/>
      <c r="R4536" s="4"/>
      <c r="S4536" s="4"/>
      <c r="T4536" s="4"/>
      <c r="U4536" s="4"/>
      <c r="V4536" s="4"/>
      <c r="W4536" s="4"/>
      <c r="X4536" s="4"/>
    </row>
    <row r="4537" spans="17:24" x14ac:dyDescent="0.3">
      <c r="Q4537" s="4"/>
      <c r="R4537" s="4"/>
      <c r="S4537" s="4"/>
      <c r="T4537" s="4"/>
      <c r="U4537" s="4"/>
      <c r="V4537" s="4"/>
      <c r="W4537" s="4"/>
      <c r="X4537" s="4"/>
    </row>
    <row r="4538" spans="17:24" x14ac:dyDescent="0.3">
      <c r="Q4538" s="4"/>
      <c r="R4538" s="4"/>
      <c r="S4538" s="4"/>
      <c r="T4538" s="4"/>
      <c r="U4538" s="4"/>
      <c r="V4538" s="4"/>
      <c r="W4538" s="4"/>
      <c r="X4538" s="4"/>
    </row>
    <row r="4539" spans="17:24" x14ac:dyDescent="0.3">
      <c r="Q4539" s="4"/>
      <c r="R4539" s="4"/>
      <c r="S4539" s="4"/>
      <c r="T4539" s="4"/>
      <c r="U4539" s="4"/>
      <c r="V4539" s="4"/>
      <c r="W4539" s="4"/>
      <c r="X4539" s="4"/>
    </row>
    <row r="4540" spans="17:24" x14ac:dyDescent="0.3">
      <c r="Q4540" s="4"/>
      <c r="R4540" s="4"/>
      <c r="S4540" s="4"/>
      <c r="T4540" s="4"/>
      <c r="U4540" s="4"/>
      <c r="V4540" s="4"/>
      <c r="W4540" s="4"/>
      <c r="X4540" s="4"/>
    </row>
    <row r="4541" spans="17:24" x14ac:dyDescent="0.3">
      <c r="Q4541" s="4"/>
      <c r="R4541" s="4"/>
      <c r="S4541" s="4"/>
      <c r="T4541" s="4"/>
      <c r="U4541" s="4"/>
      <c r="V4541" s="4"/>
      <c r="W4541" s="4"/>
      <c r="X4541" s="4"/>
    </row>
    <row r="4542" spans="17:24" x14ac:dyDescent="0.3">
      <c r="Q4542" s="4"/>
      <c r="R4542" s="4"/>
      <c r="S4542" s="4"/>
      <c r="T4542" s="4"/>
      <c r="U4542" s="4"/>
      <c r="V4542" s="4"/>
      <c r="W4542" s="4"/>
      <c r="X4542" s="4"/>
    </row>
    <row r="4543" spans="17:24" x14ac:dyDescent="0.3">
      <c r="Q4543" s="4"/>
      <c r="R4543" s="4"/>
      <c r="S4543" s="4"/>
      <c r="T4543" s="4"/>
      <c r="U4543" s="4"/>
      <c r="V4543" s="4"/>
      <c r="W4543" s="4"/>
      <c r="X4543" s="4"/>
    </row>
    <row r="4544" spans="17:24" x14ac:dyDescent="0.3">
      <c r="Q4544" s="4"/>
      <c r="R4544" s="4"/>
      <c r="S4544" s="4"/>
      <c r="T4544" s="4"/>
      <c r="U4544" s="4"/>
      <c r="V4544" s="4"/>
      <c r="W4544" s="4"/>
      <c r="X4544" s="4"/>
    </row>
    <row r="4545" spans="17:24" x14ac:dyDescent="0.3">
      <c r="Q4545" s="4"/>
      <c r="R4545" s="4"/>
      <c r="S4545" s="4"/>
      <c r="T4545" s="4"/>
      <c r="U4545" s="4"/>
      <c r="V4545" s="4"/>
      <c r="W4545" s="4"/>
      <c r="X4545" s="4"/>
    </row>
    <row r="4546" spans="17:24" x14ac:dyDescent="0.3">
      <c r="Q4546" s="4"/>
      <c r="R4546" s="4"/>
      <c r="S4546" s="4"/>
      <c r="T4546" s="4"/>
      <c r="U4546" s="4"/>
      <c r="V4546" s="4"/>
      <c r="W4546" s="4"/>
      <c r="X4546" s="4"/>
    </row>
    <row r="4547" spans="17:24" x14ac:dyDescent="0.3">
      <c r="Q4547" s="4"/>
      <c r="R4547" s="4"/>
      <c r="S4547" s="4"/>
      <c r="T4547" s="4"/>
      <c r="U4547" s="4"/>
      <c r="V4547" s="4"/>
      <c r="W4547" s="4"/>
      <c r="X4547" s="4"/>
    </row>
    <row r="4548" spans="17:24" x14ac:dyDescent="0.3">
      <c r="Q4548" s="4"/>
      <c r="R4548" s="4"/>
      <c r="S4548" s="4"/>
      <c r="T4548" s="4"/>
      <c r="U4548" s="4"/>
      <c r="V4548" s="4"/>
      <c r="W4548" s="4"/>
      <c r="X4548" s="4"/>
    </row>
    <row r="4549" spans="17:24" x14ac:dyDescent="0.3">
      <c r="Q4549" s="4"/>
      <c r="R4549" s="4"/>
      <c r="S4549" s="4"/>
      <c r="T4549" s="4"/>
      <c r="U4549" s="4"/>
      <c r="V4549" s="4"/>
      <c r="W4549" s="4"/>
      <c r="X4549" s="4"/>
    </row>
    <row r="4550" spans="17:24" x14ac:dyDescent="0.3">
      <c r="Q4550" s="4"/>
      <c r="R4550" s="4"/>
      <c r="S4550" s="4"/>
      <c r="T4550" s="4"/>
      <c r="U4550" s="4"/>
      <c r="V4550" s="4"/>
      <c r="W4550" s="4"/>
      <c r="X4550" s="4"/>
    </row>
    <row r="4551" spans="17:24" x14ac:dyDescent="0.3">
      <c r="Q4551" s="4"/>
      <c r="R4551" s="4"/>
      <c r="S4551" s="4"/>
      <c r="T4551" s="4"/>
      <c r="U4551" s="4"/>
      <c r="V4551" s="4"/>
      <c r="W4551" s="4"/>
      <c r="X4551" s="4"/>
    </row>
    <row r="4552" spans="17:24" x14ac:dyDescent="0.3">
      <c r="Q4552" s="4"/>
      <c r="R4552" s="4"/>
      <c r="S4552" s="4"/>
      <c r="T4552" s="4"/>
      <c r="U4552" s="4"/>
      <c r="V4552" s="4"/>
      <c r="W4552" s="4"/>
      <c r="X4552" s="4"/>
    </row>
    <row r="4553" spans="17:24" x14ac:dyDescent="0.3">
      <c r="Q4553" s="4"/>
      <c r="R4553" s="4"/>
      <c r="S4553" s="4"/>
      <c r="T4553" s="4"/>
      <c r="U4553" s="4"/>
      <c r="V4553" s="4"/>
      <c r="W4553" s="4"/>
      <c r="X4553" s="4"/>
    </row>
    <row r="4554" spans="17:24" x14ac:dyDescent="0.3">
      <c r="Q4554" s="4"/>
      <c r="R4554" s="4"/>
      <c r="S4554" s="4"/>
      <c r="T4554" s="4"/>
      <c r="U4554" s="4"/>
      <c r="V4554" s="4"/>
      <c r="W4554" s="4"/>
      <c r="X4554" s="4"/>
    </row>
    <row r="4555" spans="17:24" x14ac:dyDescent="0.3">
      <c r="Q4555" s="4"/>
      <c r="R4555" s="4"/>
      <c r="S4555" s="4"/>
      <c r="T4555" s="4"/>
      <c r="U4555" s="4"/>
      <c r="V4555" s="4"/>
      <c r="W4555" s="4"/>
      <c r="X4555" s="4"/>
    </row>
    <row r="4556" spans="17:24" x14ac:dyDescent="0.3">
      <c r="Q4556" s="4"/>
      <c r="R4556" s="4"/>
      <c r="S4556" s="4"/>
      <c r="T4556" s="4"/>
      <c r="U4556" s="4"/>
      <c r="V4556" s="4"/>
      <c r="W4556" s="4"/>
      <c r="X4556" s="4"/>
    </row>
    <row r="4557" spans="17:24" x14ac:dyDescent="0.3">
      <c r="Q4557" s="4"/>
      <c r="R4557" s="4"/>
      <c r="S4557" s="4"/>
      <c r="T4557" s="4"/>
      <c r="U4557" s="4"/>
      <c r="V4557" s="4"/>
      <c r="W4557" s="4"/>
      <c r="X4557" s="4"/>
    </row>
    <row r="4558" spans="17:24" x14ac:dyDescent="0.3">
      <c r="Q4558" s="4"/>
      <c r="R4558" s="4"/>
      <c r="S4558" s="4"/>
      <c r="T4558" s="4"/>
      <c r="U4558" s="4"/>
      <c r="V4558" s="4"/>
      <c r="W4558" s="4"/>
      <c r="X4558" s="4"/>
    </row>
    <row r="4559" spans="17:24" x14ac:dyDescent="0.3">
      <c r="Q4559" s="4"/>
      <c r="R4559" s="4"/>
      <c r="S4559" s="4"/>
      <c r="T4559" s="4"/>
      <c r="U4559" s="4"/>
      <c r="V4559" s="4"/>
      <c r="W4559" s="4"/>
      <c r="X4559" s="4"/>
    </row>
    <row r="4560" spans="17:24" x14ac:dyDescent="0.3">
      <c r="Q4560" s="4"/>
      <c r="R4560" s="4"/>
      <c r="S4560" s="4"/>
      <c r="T4560" s="4"/>
      <c r="U4560" s="4"/>
      <c r="V4560" s="4"/>
      <c r="W4560" s="4"/>
      <c r="X4560" s="4"/>
    </row>
    <row r="4561" spans="17:24" x14ac:dyDescent="0.3">
      <c r="Q4561" s="4"/>
      <c r="R4561" s="4"/>
      <c r="S4561" s="4"/>
      <c r="T4561" s="4"/>
      <c r="U4561" s="4"/>
      <c r="V4561" s="4"/>
      <c r="W4561" s="4"/>
      <c r="X4561" s="4"/>
    </row>
    <row r="4562" spans="17:24" x14ac:dyDescent="0.3">
      <c r="Q4562" s="4"/>
      <c r="R4562" s="4"/>
      <c r="S4562" s="4"/>
      <c r="T4562" s="4"/>
      <c r="U4562" s="4"/>
      <c r="V4562" s="4"/>
      <c r="W4562" s="4"/>
      <c r="X4562" s="4"/>
    </row>
    <row r="4563" spans="17:24" x14ac:dyDescent="0.3">
      <c r="Q4563" s="4"/>
      <c r="R4563" s="4"/>
      <c r="S4563" s="4"/>
      <c r="T4563" s="4"/>
      <c r="U4563" s="4"/>
      <c r="V4563" s="4"/>
      <c r="W4563" s="4"/>
      <c r="X4563" s="4"/>
    </row>
    <row r="4564" spans="17:24" x14ac:dyDescent="0.3">
      <c r="Q4564" s="4"/>
      <c r="R4564" s="4"/>
      <c r="S4564" s="4"/>
      <c r="T4564" s="4"/>
      <c r="U4564" s="4"/>
      <c r="V4564" s="4"/>
      <c r="W4564" s="4"/>
      <c r="X4564" s="4"/>
    </row>
    <row r="4565" spans="17:24" x14ac:dyDescent="0.3">
      <c r="Q4565" s="4"/>
      <c r="R4565" s="4"/>
      <c r="S4565" s="4"/>
      <c r="T4565" s="4"/>
      <c r="U4565" s="4"/>
      <c r="V4565" s="4"/>
      <c r="W4565" s="4"/>
      <c r="X4565" s="4"/>
    </row>
    <row r="4566" spans="17:24" x14ac:dyDescent="0.3">
      <c r="Q4566" s="4"/>
      <c r="R4566" s="4"/>
      <c r="S4566" s="4"/>
      <c r="T4566" s="4"/>
      <c r="U4566" s="4"/>
      <c r="V4566" s="4"/>
      <c r="W4566" s="4"/>
      <c r="X4566" s="4"/>
    </row>
    <row r="4567" spans="17:24" x14ac:dyDescent="0.3">
      <c r="Q4567" s="4"/>
      <c r="R4567" s="4"/>
      <c r="S4567" s="4"/>
      <c r="T4567" s="4"/>
      <c r="U4567" s="4"/>
      <c r="V4567" s="4"/>
      <c r="W4567" s="4"/>
      <c r="X4567" s="4"/>
    </row>
    <row r="4568" spans="17:24" x14ac:dyDescent="0.3">
      <c r="Q4568" s="4"/>
      <c r="R4568" s="4"/>
      <c r="S4568" s="4"/>
      <c r="T4568" s="4"/>
      <c r="U4568" s="4"/>
      <c r="V4568" s="4"/>
      <c r="W4568" s="4"/>
      <c r="X4568" s="4"/>
    </row>
    <row r="4569" spans="17:24" x14ac:dyDescent="0.3">
      <c r="Q4569" s="4"/>
      <c r="R4569" s="4"/>
      <c r="S4569" s="4"/>
      <c r="T4569" s="4"/>
      <c r="U4569" s="4"/>
      <c r="V4569" s="4"/>
      <c r="W4569" s="4"/>
      <c r="X4569" s="4"/>
    </row>
    <row r="4570" spans="17:24" x14ac:dyDescent="0.3">
      <c r="Q4570" s="4"/>
      <c r="R4570" s="4"/>
      <c r="S4570" s="4"/>
      <c r="T4570" s="4"/>
      <c r="U4570" s="4"/>
      <c r="V4570" s="4"/>
      <c r="W4570" s="4"/>
      <c r="X4570" s="4"/>
    </row>
    <row r="4571" spans="17:24" x14ac:dyDescent="0.3">
      <c r="Q4571" s="4"/>
      <c r="R4571" s="4"/>
      <c r="S4571" s="4"/>
      <c r="T4571" s="4"/>
      <c r="U4571" s="4"/>
      <c r="V4571" s="4"/>
      <c r="W4571" s="4"/>
      <c r="X4571" s="4"/>
    </row>
    <row r="4572" spans="17:24" x14ac:dyDescent="0.3">
      <c r="Q4572" s="4"/>
      <c r="R4572" s="4"/>
      <c r="S4572" s="4"/>
      <c r="T4572" s="4"/>
      <c r="U4572" s="4"/>
      <c r="V4572" s="4"/>
      <c r="W4572" s="4"/>
      <c r="X4572" s="4"/>
    </row>
    <row r="4573" spans="17:24" x14ac:dyDescent="0.3">
      <c r="Q4573" s="4"/>
      <c r="R4573" s="4"/>
      <c r="S4573" s="4"/>
      <c r="T4573" s="4"/>
      <c r="U4573" s="4"/>
      <c r="V4573" s="4"/>
      <c r="W4573" s="4"/>
      <c r="X4573" s="4"/>
    </row>
    <row r="4574" spans="17:24" x14ac:dyDescent="0.3">
      <c r="Q4574" s="4"/>
      <c r="R4574" s="4"/>
      <c r="S4574" s="4"/>
      <c r="T4574" s="4"/>
      <c r="U4574" s="4"/>
      <c r="V4574" s="4"/>
      <c r="W4574" s="4"/>
      <c r="X4574" s="4"/>
    </row>
    <row r="4575" spans="17:24" x14ac:dyDescent="0.3">
      <c r="Q4575" s="4"/>
      <c r="R4575" s="4"/>
      <c r="S4575" s="4"/>
      <c r="T4575" s="4"/>
      <c r="U4575" s="4"/>
      <c r="V4575" s="4"/>
      <c r="W4575" s="4"/>
      <c r="X4575" s="4"/>
    </row>
    <row r="4576" spans="17:24" x14ac:dyDescent="0.3">
      <c r="Q4576" s="4"/>
      <c r="R4576" s="4"/>
      <c r="S4576" s="4"/>
      <c r="T4576" s="4"/>
      <c r="U4576" s="4"/>
      <c r="V4576" s="4"/>
      <c r="W4576" s="4"/>
      <c r="X4576" s="4"/>
    </row>
    <row r="4577" spans="17:24" x14ac:dyDescent="0.3">
      <c r="Q4577" s="4"/>
      <c r="R4577" s="4"/>
      <c r="S4577" s="4"/>
      <c r="T4577" s="4"/>
      <c r="U4577" s="4"/>
      <c r="V4577" s="4"/>
      <c r="W4577" s="4"/>
      <c r="X4577" s="4"/>
    </row>
    <row r="4578" spans="17:24" x14ac:dyDescent="0.3">
      <c r="Q4578" s="4"/>
      <c r="R4578" s="4"/>
      <c r="S4578" s="4"/>
      <c r="T4578" s="4"/>
      <c r="U4578" s="4"/>
      <c r="V4578" s="4"/>
      <c r="W4578" s="4"/>
      <c r="X4578" s="4"/>
    </row>
    <row r="4579" spans="17:24" x14ac:dyDescent="0.3">
      <c r="Q4579" s="4"/>
      <c r="R4579" s="4"/>
      <c r="S4579" s="4"/>
      <c r="T4579" s="4"/>
      <c r="U4579" s="4"/>
      <c r="V4579" s="4"/>
      <c r="W4579" s="4"/>
      <c r="X4579" s="4"/>
    </row>
    <row r="4580" spans="17:24" x14ac:dyDescent="0.3">
      <c r="Q4580" s="4"/>
      <c r="R4580" s="4"/>
      <c r="S4580" s="4"/>
      <c r="T4580" s="4"/>
      <c r="U4580" s="4"/>
      <c r="V4580" s="4"/>
      <c r="W4580" s="4"/>
      <c r="X4580" s="4"/>
    </row>
    <row r="4581" spans="17:24" x14ac:dyDescent="0.3">
      <c r="Q4581" s="4"/>
      <c r="R4581" s="4"/>
      <c r="S4581" s="4"/>
      <c r="T4581" s="4"/>
      <c r="U4581" s="4"/>
      <c r="V4581" s="4"/>
      <c r="W4581" s="4"/>
      <c r="X4581" s="4"/>
    </row>
    <row r="4582" spans="17:24" x14ac:dyDescent="0.3">
      <c r="Q4582" s="4"/>
      <c r="R4582" s="4"/>
      <c r="S4582" s="4"/>
      <c r="T4582" s="4"/>
      <c r="U4582" s="4"/>
      <c r="V4582" s="4"/>
      <c r="W4582" s="4"/>
      <c r="X4582" s="4"/>
    </row>
    <row r="4583" spans="17:24" x14ac:dyDescent="0.3">
      <c r="Q4583" s="4"/>
      <c r="R4583" s="4"/>
      <c r="S4583" s="4"/>
      <c r="T4583" s="4"/>
      <c r="U4583" s="4"/>
      <c r="V4583" s="4"/>
      <c r="W4583" s="4"/>
      <c r="X4583" s="4"/>
    </row>
    <row r="4584" spans="17:24" x14ac:dyDescent="0.3">
      <c r="Q4584" s="4"/>
      <c r="R4584" s="4"/>
      <c r="S4584" s="4"/>
      <c r="T4584" s="4"/>
      <c r="U4584" s="4"/>
      <c r="V4584" s="4"/>
      <c r="W4584" s="4"/>
      <c r="X4584" s="4"/>
    </row>
    <row r="4585" spans="17:24" x14ac:dyDescent="0.3">
      <c r="Q4585" s="4"/>
      <c r="R4585" s="4"/>
      <c r="S4585" s="4"/>
      <c r="T4585" s="4"/>
      <c r="U4585" s="4"/>
      <c r="V4585" s="4"/>
      <c r="W4585" s="4"/>
      <c r="X4585" s="4"/>
    </row>
    <row r="4586" spans="17:24" x14ac:dyDescent="0.3">
      <c r="Q4586" s="4"/>
      <c r="R4586" s="4"/>
      <c r="S4586" s="4"/>
      <c r="T4586" s="4"/>
      <c r="U4586" s="4"/>
      <c r="V4586" s="4"/>
      <c r="W4586" s="4"/>
      <c r="X4586" s="4"/>
    </row>
    <row r="4587" spans="17:24" x14ac:dyDescent="0.3">
      <c r="Q4587" s="4"/>
      <c r="R4587" s="4"/>
      <c r="S4587" s="4"/>
      <c r="T4587" s="4"/>
      <c r="U4587" s="4"/>
      <c r="V4587" s="4"/>
      <c r="W4587" s="4"/>
      <c r="X4587" s="4"/>
    </row>
    <row r="4588" spans="17:24" x14ac:dyDescent="0.3">
      <c r="Q4588" s="4"/>
      <c r="R4588" s="4"/>
      <c r="S4588" s="4"/>
      <c r="T4588" s="4"/>
      <c r="U4588" s="4"/>
      <c r="V4588" s="4"/>
      <c r="W4588" s="4"/>
      <c r="X4588" s="4"/>
    </row>
    <row r="4589" spans="17:24" x14ac:dyDescent="0.3">
      <c r="Q4589" s="4"/>
      <c r="R4589" s="4"/>
      <c r="S4589" s="4"/>
      <c r="T4589" s="4"/>
      <c r="U4589" s="4"/>
      <c r="V4589" s="4"/>
      <c r="W4589" s="4"/>
      <c r="X4589" s="4"/>
    </row>
    <row r="4590" spans="17:24" x14ac:dyDescent="0.3">
      <c r="Q4590" s="4"/>
      <c r="R4590" s="4"/>
      <c r="S4590" s="4"/>
      <c r="T4590" s="4"/>
      <c r="U4590" s="4"/>
      <c r="V4590" s="4"/>
      <c r="W4590" s="4"/>
      <c r="X4590" s="4"/>
    </row>
    <row r="4591" spans="17:24" x14ac:dyDescent="0.3">
      <c r="Q4591" s="4"/>
      <c r="R4591" s="4"/>
      <c r="S4591" s="4"/>
      <c r="T4591" s="4"/>
      <c r="U4591" s="4"/>
      <c r="V4591" s="4"/>
      <c r="W4591" s="4"/>
      <c r="X4591" s="4"/>
    </row>
    <row r="4592" spans="17:24" x14ac:dyDescent="0.3">
      <c r="Q4592" s="4"/>
      <c r="R4592" s="4"/>
      <c r="S4592" s="4"/>
      <c r="T4592" s="4"/>
      <c r="U4592" s="4"/>
      <c r="V4592" s="4"/>
      <c r="W4592" s="4"/>
      <c r="X4592" s="4"/>
    </row>
    <row r="4593" spans="17:24" x14ac:dyDescent="0.3">
      <c r="Q4593" s="4"/>
      <c r="R4593" s="4"/>
      <c r="S4593" s="4"/>
      <c r="T4593" s="4"/>
      <c r="U4593" s="4"/>
      <c r="V4593" s="4"/>
      <c r="W4593" s="4"/>
      <c r="X4593" s="4"/>
    </row>
    <row r="4594" spans="17:24" x14ac:dyDescent="0.3">
      <c r="Q4594" s="4"/>
      <c r="R4594" s="4"/>
      <c r="S4594" s="4"/>
      <c r="T4594" s="4"/>
      <c r="U4594" s="4"/>
      <c r="V4594" s="4"/>
      <c r="W4594" s="4"/>
      <c r="X4594" s="4"/>
    </row>
    <row r="4595" spans="17:24" x14ac:dyDescent="0.3">
      <c r="Q4595" s="4"/>
      <c r="R4595" s="4"/>
      <c r="S4595" s="4"/>
      <c r="T4595" s="4"/>
      <c r="U4595" s="4"/>
      <c r="V4595" s="4"/>
      <c r="W4595" s="4"/>
      <c r="X4595" s="4"/>
    </row>
    <row r="4596" spans="17:24" x14ac:dyDescent="0.3">
      <c r="Q4596" s="4"/>
      <c r="R4596" s="4"/>
      <c r="S4596" s="4"/>
      <c r="T4596" s="4"/>
      <c r="U4596" s="4"/>
      <c r="V4596" s="4"/>
      <c r="W4596" s="4"/>
      <c r="X4596" s="4"/>
    </row>
    <row r="4597" spans="17:24" x14ac:dyDescent="0.3">
      <c r="Q4597" s="4"/>
      <c r="R4597" s="4"/>
      <c r="S4597" s="4"/>
      <c r="T4597" s="4"/>
      <c r="U4597" s="4"/>
      <c r="V4597" s="4"/>
      <c r="W4597" s="4"/>
      <c r="X4597" s="4"/>
    </row>
    <row r="4598" spans="17:24" x14ac:dyDescent="0.3">
      <c r="Q4598" s="4"/>
      <c r="R4598" s="4"/>
      <c r="S4598" s="4"/>
      <c r="T4598" s="4"/>
      <c r="U4598" s="4"/>
      <c r="V4598" s="4"/>
      <c r="W4598" s="4"/>
      <c r="X4598" s="4"/>
    </row>
    <row r="4599" spans="17:24" x14ac:dyDescent="0.3">
      <c r="Q4599" s="4"/>
      <c r="R4599" s="4"/>
      <c r="S4599" s="4"/>
      <c r="T4599" s="4"/>
      <c r="U4599" s="4"/>
      <c r="V4599" s="4"/>
      <c r="W4599" s="4"/>
      <c r="X4599" s="4"/>
    </row>
    <row r="4600" spans="17:24" x14ac:dyDescent="0.3">
      <c r="Q4600" s="4"/>
      <c r="R4600" s="4"/>
      <c r="S4600" s="4"/>
      <c r="T4600" s="4"/>
      <c r="U4600" s="4"/>
      <c r="V4600" s="4"/>
      <c r="W4600" s="4"/>
      <c r="X4600" s="4"/>
    </row>
    <row r="4601" spans="17:24" x14ac:dyDescent="0.3">
      <c r="Q4601" s="4"/>
      <c r="R4601" s="4"/>
      <c r="S4601" s="4"/>
      <c r="T4601" s="4"/>
      <c r="U4601" s="4"/>
      <c r="V4601" s="4"/>
      <c r="W4601" s="4"/>
      <c r="X4601" s="4"/>
    </row>
    <row r="4602" spans="17:24" x14ac:dyDescent="0.3">
      <c r="Q4602" s="4"/>
      <c r="R4602" s="4"/>
      <c r="S4602" s="4"/>
      <c r="T4602" s="4"/>
      <c r="U4602" s="4"/>
      <c r="V4602" s="4"/>
      <c r="W4602" s="4"/>
      <c r="X4602" s="4"/>
    </row>
    <row r="4603" spans="17:24" x14ac:dyDescent="0.3">
      <c r="Q4603" s="4"/>
      <c r="R4603" s="4"/>
      <c r="S4603" s="4"/>
      <c r="T4603" s="4"/>
      <c r="U4603" s="4"/>
      <c r="V4603" s="4"/>
      <c r="W4603" s="4"/>
      <c r="X4603" s="4"/>
    </row>
    <row r="4604" spans="17:24" x14ac:dyDescent="0.3">
      <c r="Q4604" s="4"/>
      <c r="R4604" s="4"/>
      <c r="S4604" s="4"/>
      <c r="T4604" s="4"/>
      <c r="U4604" s="4"/>
      <c r="V4604" s="4"/>
      <c r="W4604" s="4"/>
      <c r="X4604" s="4"/>
    </row>
    <row r="4605" spans="17:24" x14ac:dyDescent="0.3">
      <c r="Q4605" s="4"/>
      <c r="R4605" s="4"/>
      <c r="S4605" s="4"/>
      <c r="T4605" s="4"/>
      <c r="U4605" s="4"/>
      <c r="V4605" s="4"/>
      <c r="W4605" s="4"/>
      <c r="X4605" s="4"/>
    </row>
    <row r="4606" spans="17:24" x14ac:dyDescent="0.3">
      <c r="Q4606" s="4"/>
      <c r="R4606" s="4"/>
      <c r="S4606" s="4"/>
      <c r="T4606" s="4"/>
      <c r="U4606" s="4"/>
      <c r="V4606" s="4"/>
      <c r="W4606" s="4"/>
      <c r="X4606" s="4"/>
    </row>
    <row r="4607" spans="17:24" x14ac:dyDescent="0.3">
      <c r="Q4607" s="4"/>
      <c r="R4607" s="4"/>
      <c r="S4607" s="4"/>
      <c r="T4607" s="4"/>
      <c r="U4607" s="4"/>
      <c r="V4607" s="4"/>
      <c r="W4607" s="4"/>
      <c r="X4607" s="4"/>
    </row>
    <row r="4608" spans="17:24" x14ac:dyDescent="0.3">
      <c r="Q4608" s="4"/>
      <c r="R4608" s="4"/>
      <c r="S4608" s="4"/>
      <c r="T4608" s="4"/>
      <c r="U4608" s="4"/>
      <c r="V4608" s="4"/>
      <c r="W4608" s="4"/>
      <c r="X4608" s="4"/>
    </row>
    <row r="4609" spans="17:24" x14ac:dyDescent="0.3">
      <c r="Q4609" s="4"/>
      <c r="R4609" s="4"/>
      <c r="S4609" s="4"/>
      <c r="T4609" s="4"/>
      <c r="U4609" s="4"/>
      <c r="V4609" s="4"/>
      <c r="W4609" s="4"/>
      <c r="X4609" s="4"/>
    </row>
    <row r="4610" spans="17:24" x14ac:dyDescent="0.3">
      <c r="Q4610" s="4"/>
      <c r="R4610" s="4"/>
      <c r="S4610" s="4"/>
      <c r="T4610" s="4"/>
      <c r="U4610" s="4"/>
      <c r="V4610" s="4"/>
      <c r="W4610" s="4"/>
      <c r="X4610" s="4"/>
    </row>
    <row r="4611" spans="17:24" x14ac:dyDescent="0.3">
      <c r="Q4611" s="4"/>
      <c r="R4611" s="4"/>
      <c r="S4611" s="4"/>
      <c r="T4611" s="4"/>
      <c r="U4611" s="4"/>
      <c r="V4611" s="4"/>
      <c r="W4611" s="4"/>
      <c r="X4611" s="4"/>
    </row>
    <row r="4612" spans="17:24" x14ac:dyDescent="0.3">
      <c r="Q4612" s="4"/>
      <c r="R4612" s="4"/>
      <c r="S4612" s="4"/>
      <c r="T4612" s="4"/>
      <c r="U4612" s="4"/>
      <c r="V4612" s="4"/>
      <c r="W4612" s="4"/>
      <c r="X4612" s="4"/>
    </row>
    <row r="4613" spans="17:24" x14ac:dyDescent="0.3">
      <c r="Q4613" s="4"/>
      <c r="R4613" s="4"/>
      <c r="S4613" s="4"/>
      <c r="T4613" s="4"/>
      <c r="U4613" s="4"/>
      <c r="V4613" s="4"/>
      <c r="W4613" s="4"/>
      <c r="X4613" s="4"/>
    </row>
    <row r="4614" spans="17:24" x14ac:dyDescent="0.3">
      <c r="Q4614" s="4"/>
      <c r="R4614" s="4"/>
      <c r="S4614" s="4"/>
      <c r="T4614" s="4"/>
      <c r="U4614" s="4"/>
      <c r="V4614" s="4"/>
      <c r="W4614" s="4"/>
      <c r="X4614" s="4"/>
    </row>
    <row r="4615" spans="17:24" x14ac:dyDescent="0.3">
      <c r="Q4615" s="4"/>
      <c r="R4615" s="4"/>
      <c r="S4615" s="4"/>
      <c r="T4615" s="4"/>
      <c r="U4615" s="4"/>
      <c r="V4615" s="4"/>
      <c r="W4615" s="4"/>
      <c r="X4615" s="4"/>
    </row>
    <row r="4616" spans="17:24" x14ac:dyDescent="0.3">
      <c r="Q4616" s="4"/>
      <c r="R4616" s="4"/>
      <c r="S4616" s="4"/>
      <c r="T4616" s="4"/>
      <c r="U4616" s="4"/>
      <c r="V4616" s="4"/>
      <c r="W4616" s="4"/>
      <c r="X4616" s="4"/>
    </row>
    <row r="4617" spans="17:24" x14ac:dyDescent="0.3">
      <c r="Q4617" s="4"/>
      <c r="R4617" s="4"/>
      <c r="S4617" s="4"/>
      <c r="T4617" s="4"/>
      <c r="U4617" s="4"/>
      <c r="V4617" s="4"/>
      <c r="W4617" s="4"/>
      <c r="X4617" s="4"/>
    </row>
    <row r="4618" spans="17:24" x14ac:dyDescent="0.3">
      <c r="Q4618" s="4"/>
      <c r="R4618" s="4"/>
      <c r="S4618" s="4"/>
      <c r="T4618" s="4"/>
      <c r="U4618" s="4"/>
      <c r="V4618" s="4"/>
      <c r="W4618" s="4"/>
      <c r="X4618" s="4"/>
    </row>
    <row r="4619" spans="17:24" x14ac:dyDescent="0.3">
      <c r="Q4619" s="4"/>
      <c r="R4619" s="4"/>
      <c r="S4619" s="4"/>
      <c r="T4619" s="4"/>
      <c r="U4619" s="4"/>
      <c r="V4619" s="4"/>
      <c r="W4619" s="4"/>
      <c r="X4619" s="4"/>
    </row>
    <row r="4620" spans="17:24" x14ac:dyDescent="0.3">
      <c r="Q4620" s="4"/>
      <c r="R4620" s="4"/>
      <c r="S4620" s="4"/>
      <c r="T4620" s="4"/>
      <c r="U4620" s="4"/>
      <c r="V4620" s="4"/>
      <c r="W4620" s="4"/>
      <c r="X4620" s="4"/>
    </row>
    <row r="4621" spans="17:24" x14ac:dyDescent="0.3">
      <c r="Q4621" s="4"/>
      <c r="R4621" s="4"/>
      <c r="S4621" s="4"/>
      <c r="T4621" s="4"/>
      <c r="U4621" s="4"/>
      <c r="V4621" s="4"/>
      <c r="W4621" s="4"/>
      <c r="X4621" s="4"/>
    </row>
    <row r="4622" spans="17:24" x14ac:dyDescent="0.3">
      <c r="Q4622" s="4"/>
      <c r="R4622" s="4"/>
      <c r="S4622" s="4"/>
      <c r="T4622" s="4"/>
      <c r="U4622" s="4"/>
      <c r="V4622" s="4"/>
      <c r="W4622" s="4"/>
      <c r="X4622" s="4"/>
    </row>
    <row r="4623" spans="17:24" x14ac:dyDescent="0.3">
      <c r="Q4623" s="4"/>
      <c r="R4623" s="4"/>
      <c r="S4623" s="4"/>
      <c r="T4623" s="4"/>
      <c r="U4623" s="4"/>
      <c r="V4623" s="4"/>
      <c r="W4623" s="4"/>
      <c r="X4623" s="4"/>
    </row>
    <row r="4624" spans="17:24" x14ac:dyDescent="0.3">
      <c r="Q4624" s="4"/>
      <c r="R4624" s="4"/>
      <c r="S4624" s="4"/>
      <c r="T4624" s="4"/>
      <c r="U4624" s="4"/>
      <c r="V4624" s="4"/>
      <c r="W4624" s="4"/>
      <c r="X4624" s="4"/>
    </row>
    <row r="4625" spans="17:24" x14ac:dyDescent="0.3">
      <c r="Q4625" s="4"/>
      <c r="R4625" s="4"/>
      <c r="S4625" s="4"/>
      <c r="T4625" s="4"/>
      <c r="U4625" s="4"/>
      <c r="V4625" s="4"/>
      <c r="W4625" s="4"/>
      <c r="X4625" s="4"/>
    </row>
    <row r="4626" spans="17:24" x14ac:dyDescent="0.3">
      <c r="Q4626" s="4"/>
      <c r="R4626" s="4"/>
      <c r="S4626" s="4"/>
      <c r="T4626" s="4"/>
      <c r="U4626" s="4"/>
      <c r="V4626" s="4"/>
      <c r="W4626" s="4"/>
      <c r="X4626" s="4"/>
    </row>
    <row r="4627" spans="17:24" x14ac:dyDescent="0.3">
      <c r="Q4627" s="4"/>
      <c r="R4627" s="4"/>
      <c r="S4627" s="4"/>
      <c r="T4627" s="4"/>
      <c r="U4627" s="4"/>
      <c r="V4627" s="4"/>
      <c r="W4627" s="4"/>
      <c r="X4627" s="4"/>
    </row>
    <row r="4628" spans="17:24" x14ac:dyDescent="0.3">
      <c r="Q4628" s="4"/>
      <c r="R4628" s="4"/>
      <c r="S4628" s="4"/>
      <c r="T4628" s="4"/>
      <c r="U4628" s="4"/>
      <c r="V4628" s="4"/>
      <c r="W4628" s="4"/>
      <c r="X4628" s="4"/>
    </row>
    <row r="4629" spans="17:24" x14ac:dyDescent="0.3">
      <c r="Q4629" s="4"/>
      <c r="R4629" s="4"/>
      <c r="S4629" s="4"/>
      <c r="T4629" s="4"/>
      <c r="U4629" s="4"/>
      <c r="V4629" s="4"/>
      <c r="W4629" s="4"/>
      <c r="X4629" s="4"/>
    </row>
    <row r="4630" spans="17:24" x14ac:dyDescent="0.3">
      <c r="Q4630" s="4"/>
      <c r="R4630" s="4"/>
      <c r="S4630" s="4"/>
      <c r="T4630" s="4"/>
      <c r="U4630" s="4"/>
      <c r="V4630" s="4"/>
      <c r="W4630" s="4"/>
      <c r="X4630" s="4"/>
    </row>
    <row r="4631" spans="17:24" x14ac:dyDescent="0.3">
      <c r="Q4631" s="4"/>
      <c r="R4631" s="4"/>
      <c r="S4631" s="4"/>
      <c r="T4631" s="4"/>
      <c r="U4631" s="4"/>
      <c r="V4631" s="4"/>
      <c r="W4631" s="4"/>
      <c r="X4631" s="4"/>
    </row>
    <row r="4632" spans="17:24" x14ac:dyDescent="0.3">
      <c r="Q4632" s="4"/>
      <c r="R4632" s="4"/>
      <c r="S4632" s="4"/>
      <c r="T4632" s="4"/>
      <c r="U4632" s="4"/>
      <c r="V4632" s="4"/>
      <c r="W4632" s="4"/>
      <c r="X4632" s="4"/>
    </row>
    <row r="4633" spans="17:24" x14ac:dyDescent="0.3">
      <c r="Q4633" s="4"/>
      <c r="R4633" s="4"/>
      <c r="S4633" s="4"/>
      <c r="T4633" s="4"/>
      <c r="U4633" s="4"/>
      <c r="V4633" s="4"/>
      <c r="W4633" s="4"/>
      <c r="X4633" s="4"/>
    </row>
    <row r="4634" spans="17:24" x14ac:dyDescent="0.3">
      <c r="Q4634" s="4"/>
      <c r="R4634" s="4"/>
      <c r="S4634" s="4"/>
      <c r="T4634" s="4"/>
      <c r="U4634" s="4"/>
      <c r="V4634" s="4"/>
      <c r="W4634" s="4"/>
      <c r="X4634" s="4"/>
    </row>
    <row r="4635" spans="17:24" x14ac:dyDescent="0.3">
      <c r="Q4635" s="4"/>
      <c r="R4635" s="4"/>
      <c r="S4635" s="4"/>
      <c r="T4635" s="4"/>
      <c r="U4635" s="4"/>
      <c r="V4635" s="4"/>
      <c r="W4635" s="4"/>
      <c r="X4635" s="4"/>
    </row>
    <row r="4636" spans="17:24" x14ac:dyDescent="0.3">
      <c r="Q4636" s="4"/>
      <c r="R4636" s="4"/>
      <c r="S4636" s="4"/>
      <c r="T4636" s="4"/>
      <c r="U4636" s="4"/>
      <c r="V4636" s="4"/>
      <c r="W4636" s="4"/>
      <c r="X4636" s="4"/>
    </row>
    <row r="4637" spans="17:24" x14ac:dyDescent="0.3">
      <c r="Q4637" s="4"/>
      <c r="R4637" s="4"/>
      <c r="S4637" s="4"/>
      <c r="T4637" s="4"/>
      <c r="U4637" s="4"/>
      <c r="V4637" s="4"/>
      <c r="W4637" s="4"/>
      <c r="X4637" s="4"/>
    </row>
    <row r="4638" spans="17:24" x14ac:dyDescent="0.3">
      <c r="Q4638" s="4"/>
      <c r="R4638" s="4"/>
      <c r="S4638" s="4"/>
      <c r="T4638" s="4"/>
      <c r="U4638" s="4"/>
      <c r="V4638" s="4"/>
      <c r="W4638" s="4"/>
      <c r="X4638" s="4"/>
    </row>
    <row r="4639" spans="17:24" x14ac:dyDescent="0.3">
      <c r="Q4639" s="4"/>
      <c r="R4639" s="4"/>
      <c r="S4639" s="4"/>
      <c r="T4639" s="4"/>
      <c r="U4639" s="4"/>
      <c r="V4639" s="4"/>
      <c r="W4639" s="4"/>
      <c r="X4639" s="4"/>
    </row>
    <row r="4640" spans="17:24" x14ac:dyDescent="0.3">
      <c r="Q4640" s="4"/>
      <c r="R4640" s="4"/>
      <c r="S4640" s="4"/>
      <c r="T4640" s="4"/>
      <c r="U4640" s="4"/>
      <c r="V4640" s="4"/>
      <c r="W4640" s="4"/>
      <c r="X4640" s="4"/>
    </row>
    <row r="4641" spans="17:24" x14ac:dyDescent="0.3">
      <c r="Q4641" s="4"/>
      <c r="R4641" s="4"/>
      <c r="S4641" s="4"/>
      <c r="T4641" s="4"/>
      <c r="U4641" s="4"/>
      <c r="V4641" s="4"/>
      <c r="W4641" s="4"/>
      <c r="X4641" s="4"/>
    </row>
    <row r="4642" spans="17:24" x14ac:dyDescent="0.3">
      <c r="Q4642" s="4"/>
      <c r="R4642" s="4"/>
      <c r="S4642" s="4"/>
      <c r="T4642" s="4"/>
      <c r="U4642" s="4"/>
      <c r="V4642" s="4"/>
      <c r="W4642" s="4"/>
      <c r="X4642" s="4"/>
    </row>
    <row r="4643" spans="17:24" x14ac:dyDescent="0.3">
      <c r="Q4643" s="4"/>
      <c r="R4643" s="4"/>
      <c r="S4643" s="4"/>
      <c r="T4643" s="4"/>
      <c r="U4643" s="4"/>
      <c r="V4643" s="4"/>
      <c r="W4643" s="4"/>
      <c r="X4643" s="4"/>
    </row>
    <row r="4644" spans="17:24" x14ac:dyDescent="0.3">
      <c r="Q4644" s="4"/>
      <c r="R4644" s="4"/>
      <c r="S4644" s="4"/>
      <c r="T4644" s="4"/>
      <c r="U4644" s="4"/>
      <c r="V4644" s="4"/>
      <c r="W4644" s="4"/>
      <c r="X4644" s="4"/>
    </row>
    <row r="4645" spans="17:24" x14ac:dyDescent="0.3">
      <c r="Q4645" s="4"/>
      <c r="R4645" s="4"/>
      <c r="S4645" s="4"/>
      <c r="T4645" s="4"/>
      <c r="U4645" s="4"/>
      <c r="V4645" s="4"/>
      <c r="W4645" s="4"/>
      <c r="X4645" s="4"/>
    </row>
    <row r="4646" spans="17:24" x14ac:dyDescent="0.3">
      <c r="Q4646" s="4"/>
      <c r="R4646" s="4"/>
      <c r="S4646" s="4"/>
      <c r="T4646" s="4"/>
      <c r="U4646" s="4"/>
      <c r="V4646" s="4"/>
      <c r="W4646" s="4"/>
      <c r="X4646" s="4"/>
    </row>
    <row r="4647" spans="17:24" x14ac:dyDescent="0.3">
      <c r="Q4647" s="4"/>
      <c r="R4647" s="4"/>
      <c r="S4647" s="4"/>
      <c r="T4647" s="4"/>
      <c r="U4647" s="4"/>
      <c r="V4647" s="4"/>
      <c r="W4647" s="4"/>
      <c r="X4647" s="4"/>
    </row>
    <row r="4648" spans="17:24" x14ac:dyDescent="0.3">
      <c r="Q4648" s="4"/>
      <c r="R4648" s="4"/>
      <c r="S4648" s="4"/>
      <c r="T4648" s="4"/>
      <c r="U4648" s="4"/>
      <c r="V4648" s="4"/>
      <c r="W4648" s="4"/>
      <c r="X4648" s="4"/>
    </row>
    <row r="4649" spans="17:24" x14ac:dyDescent="0.3">
      <c r="Q4649" s="4"/>
      <c r="R4649" s="4"/>
      <c r="S4649" s="4"/>
      <c r="T4649" s="4"/>
      <c r="U4649" s="4"/>
      <c r="V4649" s="4"/>
      <c r="W4649" s="4"/>
      <c r="X4649" s="4"/>
    </row>
    <row r="4650" spans="17:24" x14ac:dyDescent="0.3">
      <c r="Q4650" s="4"/>
      <c r="R4650" s="4"/>
      <c r="S4650" s="4"/>
      <c r="T4650" s="4"/>
      <c r="U4650" s="4"/>
      <c r="V4650" s="4"/>
      <c r="W4650" s="4"/>
      <c r="X4650" s="4"/>
    </row>
    <row r="4651" spans="17:24" x14ac:dyDescent="0.3">
      <c r="Q4651" s="4"/>
      <c r="R4651" s="4"/>
      <c r="S4651" s="4"/>
      <c r="T4651" s="4"/>
      <c r="U4651" s="4"/>
      <c r="V4651" s="4"/>
      <c r="W4651" s="4"/>
      <c r="X4651" s="4"/>
    </row>
    <row r="4652" spans="17:24" x14ac:dyDescent="0.3">
      <c r="Q4652" s="4"/>
      <c r="R4652" s="4"/>
      <c r="S4652" s="4"/>
      <c r="T4652" s="4"/>
      <c r="U4652" s="4"/>
      <c r="V4652" s="4"/>
      <c r="W4652" s="4"/>
      <c r="X4652" s="4"/>
    </row>
    <row r="4653" spans="17:24" x14ac:dyDescent="0.3">
      <c r="Q4653" s="4"/>
      <c r="R4653" s="4"/>
      <c r="S4653" s="4"/>
      <c r="T4653" s="4"/>
      <c r="U4653" s="4"/>
      <c r="V4653" s="4"/>
      <c r="W4653" s="4"/>
      <c r="X4653" s="4"/>
    </row>
    <row r="4654" spans="17:24" x14ac:dyDescent="0.3">
      <c r="Q4654" s="4"/>
      <c r="R4654" s="4"/>
      <c r="S4654" s="4"/>
      <c r="T4654" s="4"/>
      <c r="U4654" s="4"/>
      <c r="V4654" s="4"/>
      <c r="W4654" s="4"/>
      <c r="X4654" s="4"/>
    </row>
    <row r="4655" spans="17:24" x14ac:dyDescent="0.3">
      <c r="Q4655" s="4"/>
      <c r="R4655" s="4"/>
      <c r="S4655" s="4"/>
      <c r="T4655" s="4"/>
      <c r="U4655" s="4"/>
      <c r="V4655" s="4"/>
      <c r="W4655" s="4"/>
      <c r="X4655" s="4"/>
    </row>
    <row r="4656" spans="17:24" x14ac:dyDescent="0.3">
      <c r="Q4656" s="4"/>
      <c r="R4656" s="4"/>
      <c r="S4656" s="4"/>
      <c r="T4656" s="4"/>
      <c r="U4656" s="4"/>
      <c r="V4656" s="4"/>
      <c r="W4656" s="4"/>
      <c r="X4656" s="4"/>
    </row>
    <row r="4657" spans="17:24" x14ac:dyDescent="0.3">
      <c r="Q4657" s="4"/>
      <c r="R4657" s="4"/>
      <c r="S4657" s="4"/>
      <c r="T4657" s="4"/>
      <c r="U4657" s="4"/>
      <c r="V4657" s="4"/>
      <c r="W4657" s="4"/>
      <c r="X4657" s="4"/>
    </row>
    <row r="4658" spans="17:24" x14ac:dyDescent="0.3">
      <c r="Q4658" s="4"/>
      <c r="R4658" s="4"/>
      <c r="S4658" s="4"/>
      <c r="T4658" s="4"/>
      <c r="U4658" s="4"/>
      <c r="V4658" s="4"/>
      <c r="W4658" s="4"/>
      <c r="X4658" s="4"/>
    </row>
    <row r="4659" spans="17:24" x14ac:dyDescent="0.3">
      <c r="Q4659" s="4"/>
      <c r="R4659" s="4"/>
      <c r="S4659" s="4"/>
      <c r="T4659" s="4"/>
      <c r="U4659" s="4"/>
      <c r="V4659" s="4"/>
      <c r="W4659" s="4"/>
      <c r="X4659" s="4"/>
    </row>
    <row r="4660" spans="17:24" x14ac:dyDescent="0.3">
      <c r="Q4660" s="4"/>
      <c r="R4660" s="4"/>
      <c r="S4660" s="4"/>
      <c r="T4660" s="4"/>
      <c r="U4660" s="4"/>
      <c r="V4660" s="4"/>
      <c r="W4660" s="4"/>
      <c r="X4660" s="4"/>
    </row>
    <row r="4661" spans="17:24" x14ac:dyDescent="0.3">
      <c r="Q4661" s="4"/>
      <c r="R4661" s="4"/>
      <c r="S4661" s="4"/>
      <c r="T4661" s="4"/>
      <c r="U4661" s="4"/>
      <c r="V4661" s="4"/>
      <c r="W4661" s="4"/>
      <c r="X4661" s="4"/>
    </row>
    <row r="4662" spans="17:24" x14ac:dyDescent="0.3">
      <c r="Q4662" s="4"/>
      <c r="R4662" s="4"/>
      <c r="S4662" s="4"/>
      <c r="T4662" s="4"/>
      <c r="U4662" s="4"/>
      <c r="V4662" s="4"/>
      <c r="W4662" s="4"/>
      <c r="X4662" s="4"/>
    </row>
    <row r="4663" spans="17:24" x14ac:dyDescent="0.3">
      <c r="Q4663" s="4"/>
      <c r="R4663" s="4"/>
      <c r="S4663" s="4"/>
      <c r="T4663" s="4"/>
      <c r="U4663" s="4"/>
      <c r="V4663" s="4"/>
      <c r="W4663" s="4"/>
      <c r="X4663" s="4"/>
    </row>
    <row r="4664" spans="17:24" x14ac:dyDescent="0.3">
      <c r="Q4664" s="4"/>
      <c r="R4664" s="4"/>
      <c r="S4664" s="4"/>
      <c r="T4664" s="4"/>
      <c r="U4664" s="4"/>
      <c r="V4664" s="4"/>
      <c r="W4664" s="4"/>
      <c r="X4664" s="4"/>
    </row>
    <row r="4665" spans="17:24" x14ac:dyDescent="0.3">
      <c r="Q4665" s="4"/>
      <c r="R4665" s="4"/>
      <c r="S4665" s="4"/>
      <c r="T4665" s="4"/>
      <c r="U4665" s="4"/>
      <c r="V4665" s="4"/>
      <c r="W4665" s="4"/>
      <c r="X4665" s="4"/>
    </row>
    <row r="4666" spans="17:24" x14ac:dyDescent="0.3">
      <c r="Q4666" s="4"/>
      <c r="R4666" s="4"/>
      <c r="S4666" s="4"/>
      <c r="T4666" s="4"/>
      <c r="U4666" s="4"/>
      <c r="V4666" s="4"/>
      <c r="W4666" s="4"/>
      <c r="X4666" s="4"/>
    </row>
    <row r="4667" spans="17:24" x14ac:dyDescent="0.3">
      <c r="Q4667" s="4"/>
      <c r="R4667" s="4"/>
      <c r="S4667" s="4"/>
      <c r="T4667" s="4"/>
      <c r="U4667" s="4"/>
      <c r="V4667" s="4"/>
      <c r="W4667" s="4"/>
      <c r="X4667" s="4"/>
    </row>
    <row r="4668" spans="17:24" x14ac:dyDescent="0.3">
      <c r="Q4668" s="4"/>
      <c r="R4668" s="4"/>
      <c r="S4668" s="4"/>
      <c r="T4668" s="4"/>
      <c r="U4668" s="4"/>
      <c r="V4668" s="4"/>
      <c r="W4668" s="4"/>
      <c r="X4668" s="4"/>
    </row>
    <row r="4669" spans="17:24" x14ac:dyDescent="0.3">
      <c r="Q4669" s="4"/>
      <c r="R4669" s="4"/>
      <c r="S4669" s="4"/>
      <c r="T4669" s="4"/>
      <c r="U4669" s="4"/>
      <c r="V4669" s="4"/>
      <c r="W4669" s="4"/>
      <c r="X4669" s="4"/>
    </row>
    <row r="4670" spans="17:24" x14ac:dyDescent="0.3">
      <c r="Q4670" s="4"/>
      <c r="R4670" s="4"/>
      <c r="S4670" s="4"/>
      <c r="T4670" s="4"/>
      <c r="U4670" s="4"/>
      <c r="V4670" s="4"/>
      <c r="W4670" s="4"/>
      <c r="X4670" s="4"/>
    </row>
    <row r="4671" spans="17:24" x14ac:dyDescent="0.3">
      <c r="Q4671" s="4"/>
      <c r="R4671" s="4"/>
      <c r="S4671" s="4"/>
      <c r="T4671" s="4"/>
      <c r="U4671" s="4"/>
      <c r="V4671" s="4"/>
      <c r="W4671" s="4"/>
      <c r="X4671" s="4"/>
    </row>
    <row r="4672" spans="17:24" x14ac:dyDescent="0.3">
      <c r="Q4672" s="4"/>
      <c r="R4672" s="4"/>
      <c r="S4672" s="4"/>
      <c r="T4672" s="4"/>
      <c r="U4672" s="4"/>
      <c r="V4672" s="4"/>
      <c r="W4672" s="4"/>
      <c r="X4672" s="4"/>
    </row>
    <row r="4673" spans="17:24" x14ac:dyDescent="0.3">
      <c r="Q4673" s="4"/>
      <c r="R4673" s="4"/>
      <c r="S4673" s="4"/>
      <c r="T4673" s="4"/>
      <c r="U4673" s="4"/>
      <c r="V4673" s="4"/>
      <c r="W4673" s="4"/>
      <c r="X4673" s="4"/>
    </row>
    <row r="4674" spans="17:24" x14ac:dyDescent="0.3">
      <c r="Q4674" s="4"/>
      <c r="R4674" s="4"/>
      <c r="S4674" s="4"/>
      <c r="T4674" s="4"/>
      <c r="U4674" s="4"/>
      <c r="V4674" s="4"/>
      <c r="W4674" s="4"/>
      <c r="X4674" s="4"/>
    </row>
    <row r="4675" spans="17:24" x14ac:dyDescent="0.3">
      <c r="Q4675" s="4"/>
      <c r="R4675" s="4"/>
      <c r="S4675" s="4"/>
      <c r="T4675" s="4"/>
      <c r="U4675" s="4"/>
      <c r="V4675" s="4"/>
      <c r="W4675" s="4"/>
      <c r="X4675" s="4"/>
    </row>
    <row r="4676" spans="17:24" x14ac:dyDescent="0.3">
      <c r="Q4676" s="4"/>
      <c r="R4676" s="4"/>
      <c r="S4676" s="4"/>
      <c r="T4676" s="4"/>
      <c r="U4676" s="4"/>
      <c r="V4676" s="4"/>
      <c r="W4676" s="4"/>
      <c r="X4676" s="4"/>
    </row>
    <row r="4677" spans="17:24" x14ac:dyDescent="0.3">
      <c r="Q4677" s="4"/>
      <c r="R4677" s="4"/>
      <c r="S4677" s="4"/>
      <c r="T4677" s="4"/>
      <c r="U4677" s="4"/>
      <c r="V4677" s="4"/>
      <c r="W4677" s="4"/>
      <c r="X4677" s="4"/>
    </row>
    <row r="4678" spans="17:24" x14ac:dyDescent="0.3">
      <c r="Q4678" s="4"/>
      <c r="R4678" s="4"/>
      <c r="S4678" s="4"/>
      <c r="T4678" s="4"/>
      <c r="U4678" s="4"/>
      <c r="V4678" s="4"/>
      <c r="W4678" s="4"/>
      <c r="X4678" s="4"/>
    </row>
    <row r="4679" spans="17:24" x14ac:dyDescent="0.3">
      <c r="Q4679" s="4"/>
      <c r="R4679" s="4"/>
      <c r="S4679" s="4"/>
      <c r="T4679" s="4"/>
      <c r="U4679" s="4"/>
      <c r="V4679" s="4"/>
      <c r="W4679" s="4"/>
      <c r="X4679" s="4"/>
    </row>
    <row r="4680" spans="17:24" x14ac:dyDescent="0.3">
      <c r="Q4680" s="4"/>
      <c r="R4680" s="4"/>
      <c r="S4680" s="4"/>
      <c r="T4680" s="4"/>
      <c r="U4680" s="4"/>
      <c r="V4680" s="4"/>
      <c r="W4680" s="4"/>
      <c r="X4680" s="4"/>
    </row>
    <row r="4681" spans="17:24" x14ac:dyDescent="0.3">
      <c r="Q4681" s="4"/>
      <c r="R4681" s="4"/>
      <c r="S4681" s="4"/>
      <c r="T4681" s="4"/>
      <c r="U4681" s="4"/>
      <c r="V4681" s="4"/>
      <c r="W4681" s="4"/>
      <c r="X4681" s="4"/>
    </row>
    <row r="4682" spans="17:24" x14ac:dyDescent="0.3">
      <c r="Q4682" s="4"/>
      <c r="R4682" s="4"/>
      <c r="S4682" s="4"/>
      <c r="T4682" s="4"/>
      <c r="U4682" s="4"/>
      <c r="V4682" s="4"/>
      <c r="W4682" s="4"/>
      <c r="X4682" s="4"/>
    </row>
    <row r="4683" spans="17:24" x14ac:dyDescent="0.3">
      <c r="Q4683" s="4"/>
      <c r="R4683" s="4"/>
      <c r="S4683" s="4"/>
      <c r="T4683" s="4"/>
      <c r="U4683" s="4"/>
      <c r="V4683" s="4"/>
      <c r="W4683" s="4"/>
      <c r="X4683" s="4"/>
    </row>
    <row r="4684" spans="17:24" x14ac:dyDescent="0.3">
      <c r="Q4684" s="4"/>
      <c r="R4684" s="4"/>
      <c r="S4684" s="4"/>
      <c r="T4684" s="4"/>
      <c r="U4684" s="4"/>
      <c r="V4684" s="4"/>
      <c r="W4684" s="4"/>
      <c r="X4684" s="4"/>
    </row>
    <row r="4685" spans="17:24" x14ac:dyDescent="0.3">
      <c r="Q4685" s="4"/>
      <c r="R4685" s="4"/>
      <c r="S4685" s="4"/>
      <c r="T4685" s="4"/>
      <c r="U4685" s="4"/>
      <c r="V4685" s="4"/>
      <c r="W4685" s="4"/>
      <c r="X4685" s="4"/>
    </row>
    <row r="4686" spans="17:24" x14ac:dyDescent="0.3">
      <c r="Q4686" s="4"/>
      <c r="R4686" s="4"/>
      <c r="S4686" s="4"/>
      <c r="T4686" s="4"/>
      <c r="U4686" s="4"/>
      <c r="V4686" s="4"/>
      <c r="W4686" s="4"/>
      <c r="X4686" s="4"/>
    </row>
    <row r="4687" spans="17:24" x14ac:dyDescent="0.3">
      <c r="Q4687" s="4"/>
      <c r="R4687" s="4"/>
      <c r="S4687" s="4"/>
      <c r="T4687" s="4"/>
      <c r="U4687" s="4"/>
      <c r="V4687" s="4"/>
      <c r="W4687" s="4"/>
      <c r="X4687" s="4"/>
    </row>
    <row r="4688" spans="17:24" x14ac:dyDescent="0.3">
      <c r="Q4688" s="4"/>
      <c r="R4688" s="4"/>
      <c r="S4688" s="4"/>
      <c r="T4688" s="4"/>
      <c r="U4688" s="4"/>
      <c r="V4688" s="4"/>
      <c r="W4688" s="4"/>
      <c r="X4688" s="4"/>
    </row>
    <row r="4689" spans="17:24" x14ac:dyDescent="0.3">
      <c r="Q4689" s="4"/>
      <c r="R4689" s="4"/>
      <c r="S4689" s="4"/>
      <c r="T4689" s="4"/>
      <c r="U4689" s="4"/>
      <c r="V4689" s="4"/>
      <c r="W4689" s="4"/>
      <c r="X4689" s="4"/>
    </row>
    <row r="4690" spans="17:24" x14ac:dyDescent="0.3">
      <c r="Q4690" s="4"/>
      <c r="R4690" s="4"/>
      <c r="S4690" s="4"/>
      <c r="T4690" s="4"/>
      <c r="U4690" s="4"/>
      <c r="V4690" s="4"/>
      <c r="W4690" s="4"/>
      <c r="X4690" s="4"/>
    </row>
    <row r="4691" spans="17:24" x14ac:dyDescent="0.3">
      <c r="Q4691" s="4"/>
      <c r="R4691" s="4"/>
      <c r="S4691" s="4"/>
      <c r="T4691" s="4"/>
      <c r="U4691" s="4"/>
      <c r="V4691" s="4"/>
      <c r="W4691" s="4"/>
      <c r="X4691" s="4"/>
    </row>
    <row r="4692" spans="17:24" x14ac:dyDescent="0.3">
      <c r="Q4692" s="4"/>
      <c r="R4692" s="4"/>
      <c r="S4692" s="4"/>
      <c r="T4692" s="4"/>
      <c r="U4692" s="4"/>
      <c r="V4692" s="4"/>
      <c r="W4692" s="4"/>
      <c r="X4692" s="4"/>
    </row>
    <row r="4693" spans="17:24" x14ac:dyDescent="0.3">
      <c r="Q4693" s="4"/>
      <c r="R4693" s="4"/>
      <c r="S4693" s="4"/>
      <c r="T4693" s="4"/>
      <c r="U4693" s="4"/>
      <c r="V4693" s="4"/>
      <c r="W4693" s="4"/>
      <c r="X4693" s="4"/>
    </row>
    <row r="4694" spans="17:24" x14ac:dyDescent="0.3">
      <c r="Q4694" s="4"/>
      <c r="R4694" s="4"/>
      <c r="S4694" s="4"/>
      <c r="T4694" s="4"/>
      <c r="U4694" s="4"/>
      <c r="V4694" s="4"/>
      <c r="W4694" s="4"/>
      <c r="X4694" s="4"/>
    </row>
    <row r="4695" spans="17:24" x14ac:dyDescent="0.3">
      <c r="Q4695" s="4"/>
      <c r="R4695" s="4"/>
      <c r="S4695" s="4"/>
      <c r="T4695" s="4"/>
      <c r="U4695" s="4"/>
      <c r="V4695" s="4"/>
      <c r="W4695" s="4"/>
      <c r="X4695" s="4"/>
    </row>
    <row r="4696" spans="17:24" x14ac:dyDescent="0.3">
      <c r="Q4696" s="4"/>
      <c r="R4696" s="4"/>
      <c r="S4696" s="4"/>
      <c r="T4696" s="4"/>
      <c r="U4696" s="4"/>
      <c r="V4696" s="4"/>
      <c r="W4696" s="4"/>
      <c r="X4696" s="4"/>
    </row>
    <row r="4697" spans="17:24" x14ac:dyDescent="0.3">
      <c r="Q4697" s="4"/>
      <c r="R4697" s="4"/>
      <c r="S4697" s="4"/>
      <c r="T4697" s="4"/>
      <c r="U4697" s="4"/>
      <c r="V4697" s="4"/>
      <c r="W4697" s="4"/>
      <c r="X4697" s="4"/>
    </row>
    <row r="4698" spans="17:24" x14ac:dyDescent="0.3">
      <c r="Q4698" s="4"/>
      <c r="R4698" s="4"/>
      <c r="S4698" s="4"/>
      <c r="T4698" s="4"/>
      <c r="U4698" s="4"/>
      <c r="V4698" s="4"/>
      <c r="W4698" s="4"/>
      <c r="X4698" s="4"/>
    </row>
    <row r="4699" spans="17:24" x14ac:dyDescent="0.3">
      <c r="Q4699" s="4"/>
      <c r="R4699" s="4"/>
      <c r="S4699" s="4"/>
      <c r="T4699" s="4"/>
      <c r="U4699" s="4"/>
      <c r="V4699" s="4"/>
      <c r="W4699" s="4"/>
      <c r="X4699" s="4"/>
    </row>
    <row r="4700" spans="17:24" x14ac:dyDescent="0.3">
      <c r="Q4700" s="4"/>
      <c r="R4700" s="4"/>
      <c r="S4700" s="4"/>
      <c r="T4700" s="4"/>
      <c r="U4700" s="4"/>
      <c r="V4700" s="4"/>
      <c r="W4700" s="4"/>
      <c r="X4700" s="4"/>
    </row>
    <row r="4701" spans="17:24" x14ac:dyDescent="0.3">
      <c r="Q4701" s="4"/>
      <c r="R4701" s="4"/>
      <c r="S4701" s="4"/>
      <c r="T4701" s="4"/>
      <c r="U4701" s="4"/>
      <c r="V4701" s="4"/>
      <c r="W4701" s="4"/>
      <c r="X4701" s="4"/>
    </row>
    <row r="4702" spans="17:24" x14ac:dyDescent="0.3">
      <c r="Q4702" s="4"/>
      <c r="R4702" s="4"/>
      <c r="S4702" s="4"/>
      <c r="T4702" s="4"/>
      <c r="U4702" s="4"/>
      <c r="V4702" s="4"/>
      <c r="W4702" s="4"/>
      <c r="X4702" s="4"/>
    </row>
    <row r="4703" spans="17:24" x14ac:dyDescent="0.3">
      <c r="Q4703" s="4"/>
      <c r="R4703" s="4"/>
      <c r="S4703" s="4"/>
      <c r="T4703" s="4"/>
      <c r="U4703" s="4"/>
      <c r="V4703" s="4"/>
      <c r="W4703" s="4"/>
      <c r="X4703" s="4"/>
    </row>
    <row r="4704" spans="17:24" x14ac:dyDescent="0.3">
      <c r="Q4704" s="4"/>
      <c r="R4704" s="4"/>
      <c r="S4704" s="4"/>
      <c r="T4704" s="4"/>
      <c r="U4704" s="4"/>
      <c r="V4704" s="4"/>
      <c r="W4704" s="4"/>
      <c r="X4704" s="4"/>
    </row>
    <row r="4705" spans="17:24" x14ac:dyDescent="0.3">
      <c r="Q4705" s="4"/>
      <c r="R4705" s="4"/>
      <c r="S4705" s="4"/>
      <c r="T4705" s="4"/>
      <c r="U4705" s="4"/>
      <c r="V4705" s="4"/>
      <c r="W4705" s="4"/>
      <c r="X4705" s="4"/>
    </row>
    <row r="4706" spans="17:24" x14ac:dyDescent="0.3">
      <c r="Q4706" s="4"/>
      <c r="R4706" s="4"/>
      <c r="S4706" s="4"/>
      <c r="T4706" s="4"/>
      <c r="U4706" s="4"/>
      <c r="V4706" s="4"/>
      <c r="W4706" s="4"/>
      <c r="X4706" s="4"/>
    </row>
    <row r="4707" spans="17:24" x14ac:dyDescent="0.3">
      <c r="Q4707" s="4"/>
      <c r="R4707" s="4"/>
      <c r="S4707" s="4"/>
      <c r="T4707" s="4"/>
      <c r="U4707" s="4"/>
      <c r="V4707" s="4"/>
      <c r="W4707" s="4"/>
      <c r="X4707" s="4"/>
    </row>
    <row r="4708" spans="17:24" x14ac:dyDescent="0.3">
      <c r="Q4708" s="4"/>
      <c r="R4708" s="4"/>
      <c r="S4708" s="4"/>
      <c r="T4708" s="4"/>
      <c r="U4708" s="4"/>
      <c r="V4708" s="4"/>
      <c r="W4708" s="4"/>
      <c r="X4708" s="4"/>
    </row>
    <row r="4709" spans="17:24" x14ac:dyDescent="0.3">
      <c r="Q4709" s="4"/>
      <c r="R4709" s="4"/>
      <c r="S4709" s="4"/>
      <c r="T4709" s="4"/>
      <c r="U4709" s="4"/>
      <c r="V4709" s="4"/>
      <c r="W4709" s="4"/>
      <c r="X4709" s="4"/>
    </row>
    <row r="4710" spans="17:24" x14ac:dyDescent="0.3">
      <c r="Q4710" s="4"/>
      <c r="R4710" s="4"/>
      <c r="S4710" s="4"/>
      <c r="T4710" s="4"/>
      <c r="U4710" s="4"/>
      <c r="V4710" s="4"/>
      <c r="W4710" s="4"/>
      <c r="X4710" s="4"/>
    </row>
    <row r="4711" spans="17:24" x14ac:dyDescent="0.3">
      <c r="Q4711" s="4"/>
      <c r="R4711" s="4"/>
      <c r="S4711" s="4"/>
      <c r="T4711" s="4"/>
      <c r="U4711" s="4"/>
      <c r="V4711" s="4"/>
      <c r="W4711" s="4"/>
      <c r="X4711" s="4"/>
    </row>
    <row r="4712" spans="17:24" x14ac:dyDescent="0.3">
      <c r="Q4712" s="4"/>
      <c r="R4712" s="4"/>
      <c r="S4712" s="4"/>
      <c r="T4712" s="4"/>
      <c r="U4712" s="4"/>
      <c r="V4712" s="4"/>
      <c r="W4712" s="4"/>
      <c r="X4712" s="4"/>
    </row>
    <row r="4713" spans="17:24" x14ac:dyDescent="0.3">
      <c r="Q4713" s="4"/>
      <c r="R4713" s="4"/>
      <c r="S4713" s="4"/>
      <c r="T4713" s="4"/>
      <c r="U4713" s="4"/>
      <c r="V4713" s="4"/>
      <c r="W4713" s="4"/>
      <c r="X4713" s="4"/>
    </row>
    <row r="4714" spans="17:24" x14ac:dyDescent="0.3">
      <c r="Q4714" s="4"/>
      <c r="R4714" s="4"/>
      <c r="S4714" s="4"/>
      <c r="T4714" s="4"/>
      <c r="U4714" s="4"/>
      <c r="V4714" s="4"/>
      <c r="W4714" s="4"/>
      <c r="X4714" s="4"/>
    </row>
    <row r="4715" spans="17:24" x14ac:dyDescent="0.3">
      <c r="Q4715" s="4"/>
      <c r="R4715" s="4"/>
      <c r="S4715" s="4"/>
      <c r="T4715" s="4"/>
      <c r="U4715" s="4"/>
      <c r="V4715" s="4"/>
      <c r="W4715" s="4"/>
      <c r="X4715" s="4"/>
    </row>
    <row r="4716" spans="17:24" x14ac:dyDescent="0.3">
      <c r="Q4716" s="4"/>
      <c r="R4716" s="4"/>
      <c r="S4716" s="4"/>
      <c r="T4716" s="4"/>
      <c r="U4716" s="4"/>
      <c r="V4716" s="4"/>
      <c r="W4716" s="4"/>
      <c r="X4716" s="4"/>
    </row>
    <row r="4717" spans="17:24" x14ac:dyDescent="0.3">
      <c r="Q4717" s="4"/>
      <c r="R4717" s="4"/>
      <c r="S4717" s="4"/>
      <c r="T4717" s="4"/>
      <c r="U4717" s="4"/>
      <c r="V4717" s="4"/>
      <c r="W4717" s="4"/>
      <c r="X4717" s="4"/>
    </row>
    <row r="4718" spans="17:24" x14ac:dyDescent="0.3">
      <c r="Q4718" s="4"/>
      <c r="R4718" s="4"/>
      <c r="S4718" s="4"/>
      <c r="T4718" s="4"/>
      <c r="U4718" s="4"/>
      <c r="V4718" s="4"/>
      <c r="W4718" s="4"/>
      <c r="X4718" s="4"/>
    </row>
    <row r="4719" spans="17:24" x14ac:dyDescent="0.3">
      <c r="Q4719" s="4"/>
      <c r="R4719" s="4"/>
      <c r="S4719" s="4"/>
      <c r="T4719" s="4"/>
      <c r="U4719" s="4"/>
      <c r="V4719" s="4"/>
      <c r="W4719" s="4"/>
      <c r="X4719" s="4"/>
    </row>
    <row r="4720" spans="17:24" x14ac:dyDescent="0.3">
      <c r="Q4720" s="4"/>
      <c r="R4720" s="4"/>
      <c r="S4720" s="4"/>
      <c r="T4720" s="4"/>
      <c r="U4720" s="4"/>
      <c r="V4720" s="4"/>
      <c r="W4720" s="4"/>
      <c r="X4720" s="4"/>
    </row>
    <row r="4721" spans="17:24" x14ac:dyDescent="0.3">
      <c r="Q4721" s="4"/>
      <c r="R4721" s="4"/>
      <c r="S4721" s="4"/>
      <c r="T4721" s="4"/>
      <c r="U4721" s="4"/>
      <c r="V4721" s="4"/>
      <c r="W4721" s="4"/>
      <c r="X4721" s="4"/>
    </row>
    <row r="4722" spans="17:24" x14ac:dyDescent="0.3">
      <c r="Q4722" s="4"/>
      <c r="R4722" s="4"/>
      <c r="S4722" s="4"/>
      <c r="T4722" s="4"/>
      <c r="U4722" s="4"/>
      <c r="V4722" s="4"/>
      <c r="W4722" s="4"/>
      <c r="X4722" s="4"/>
    </row>
    <row r="4723" spans="17:24" x14ac:dyDescent="0.3">
      <c r="Q4723" s="4"/>
      <c r="R4723" s="4"/>
      <c r="S4723" s="4"/>
      <c r="T4723" s="4"/>
      <c r="U4723" s="4"/>
      <c r="V4723" s="4"/>
      <c r="W4723" s="4"/>
      <c r="X4723" s="4"/>
    </row>
    <row r="4724" spans="17:24" x14ac:dyDescent="0.3">
      <c r="Q4724" s="4"/>
      <c r="R4724" s="4"/>
      <c r="S4724" s="4"/>
      <c r="T4724" s="4"/>
      <c r="U4724" s="4"/>
      <c r="V4724" s="4"/>
      <c r="W4724" s="4"/>
      <c r="X4724" s="4"/>
    </row>
    <row r="4725" spans="17:24" x14ac:dyDescent="0.3">
      <c r="Q4725" s="4"/>
      <c r="R4725" s="4"/>
      <c r="S4725" s="4"/>
      <c r="T4725" s="4"/>
      <c r="U4725" s="4"/>
      <c r="V4725" s="4"/>
      <c r="W4725" s="4"/>
      <c r="X4725" s="4"/>
    </row>
    <row r="4726" spans="17:24" x14ac:dyDescent="0.3">
      <c r="Q4726" s="4"/>
      <c r="R4726" s="4"/>
      <c r="S4726" s="4"/>
      <c r="T4726" s="4"/>
      <c r="U4726" s="4"/>
      <c r="V4726" s="4"/>
      <c r="W4726" s="4"/>
      <c r="X4726" s="4"/>
    </row>
    <row r="4727" spans="17:24" x14ac:dyDescent="0.3">
      <c r="Q4727" s="4"/>
      <c r="R4727" s="4"/>
      <c r="S4727" s="4"/>
      <c r="T4727" s="4"/>
      <c r="U4727" s="4"/>
      <c r="V4727" s="4"/>
      <c r="W4727" s="4"/>
      <c r="X4727" s="4"/>
    </row>
    <row r="4728" spans="17:24" x14ac:dyDescent="0.3">
      <c r="Q4728" s="4"/>
      <c r="R4728" s="4"/>
      <c r="S4728" s="4"/>
      <c r="T4728" s="4"/>
      <c r="U4728" s="4"/>
      <c r="V4728" s="4"/>
      <c r="W4728" s="4"/>
      <c r="X4728" s="4"/>
    </row>
    <row r="4729" spans="17:24" x14ac:dyDescent="0.3">
      <c r="Q4729" s="4"/>
      <c r="R4729" s="4"/>
      <c r="S4729" s="4"/>
      <c r="T4729" s="4"/>
      <c r="U4729" s="4"/>
      <c r="V4729" s="4"/>
      <c r="W4729" s="4"/>
      <c r="X4729" s="4"/>
    </row>
    <row r="4730" spans="17:24" x14ac:dyDescent="0.3">
      <c r="Q4730" s="4"/>
      <c r="R4730" s="4"/>
      <c r="S4730" s="4"/>
      <c r="T4730" s="4"/>
      <c r="U4730" s="4"/>
      <c r="V4730" s="4"/>
      <c r="W4730" s="4"/>
      <c r="X4730" s="4"/>
    </row>
    <row r="4731" spans="17:24" x14ac:dyDescent="0.3">
      <c r="Q4731" s="4"/>
      <c r="R4731" s="4"/>
      <c r="S4731" s="4"/>
      <c r="T4731" s="4"/>
      <c r="U4731" s="4"/>
      <c r="V4731" s="4"/>
      <c r="W4731" s="4"/>
      <c r="X4731" s="4"/>
    </row>
    <row r="4732" spans="17:24" x14ac:dyDescent="0.3">
      <c r="Q4732" s="4"/>
      <c r="R4732" s="4"/>
      <c r="S4732" s="4"/>
      <c r="T4732" s="4"/>
      <c r="U4732" s="4"/>
      <c r="V4732" s="4"/>
      <c r="W4732" s="4"/>
      <c r="X4732" s="4"/>
    </row>
    <row r="4733" spans="17:24" x14ac:dyDescent="0.3">
      <c r="Q4733" s="4"/>
      <c r="R4733" s="4"/>
      <c r="S4733" s="4"/>
      <c r="T4733" s="4"/>
      <c r="U4733" s="4"/>
      <c r="V4733" s="4"/>
      <c r="W4733" s="4"/>
      <c r="X4733" s="4"/>
    </row>
    <row r="4734" spans="17:24" x14ac:dyDescent="0.3">
      <c r="Q4734" s="4"/>
      <c r="R4734" s="4"/>
      <c r="S4734" s="4"/>
      <c r="T4734" s="4"/>
      <c r="U4734" s="4"/>
      <c r="V4734" s="4"/>
      <c r="W4734" s="4"/>
      <c r="X4734" s="4"/>
    </row>
    <row r="4735" spans="17:24" x14ac:dyDescent="0.3">
      <c r="Q4735" s="4"/>
      <c r="R4735" s="4"/>
      <c r="S4735" s="4"/>
      <c r="T4735" s="4"/>
      <c r="U4735" s="4"/>
      <c r="V4735" s="4"/>
      <c r="W4735" s="4"/>
      <c r="X4735" s="4"/>
    </row>
    <row r="4736" spans="17:24" x14ac:dyDescent="0.3">
      <c r="Q4736" s="4"/>
      <c r="R4736" s="4"/>
      <c r="S4736" s="4"/>
      <c r="T4736" s="4"/>
      <c r="U4736" s="4"/>
      <c r="V4736" s="4"/>
      <c r="W4736" s="4"/>
      <c r="X4736" s="4"/>
    </row>
    <row r="4737" spans="17:24" x14ac:dyDescent="0.3">
      <c r="Q4737" s="4"/>
      <c r="R4737" s="4"/>
      <c r="S4737" s="4"/>
      <c r="T4737" s="4"/>
      <c r="U4737" s="4"/>
      <c r="V4737" s="4"/>
      <c r="W4737" s="4"/>
      <c r="X4737" s="4"/>
    </row>
    <row r="4738" spans="17:24" x14ac:dyDescent="0.3">
      <c r="Q4738" s="4"/>
      <c r="R4738" s="4"/>
      <c r="S4738" s="4"/>
      <c r="T4738" s="4"/>
      <c r="U4738" s="4"/>
      <c r="V4738" s="4"/>
      <c r="W4738" s="4"/>
      <c r="X4738" s="4"/>
    </row>
    <row r="4739" spans="17:24" x14ac:dyDescent="0.3">
      <c r="Q4739" s="4"/>
      <c r="R4739" s="4"/>
      <c r="S4739" s="4"/>
      <c r="T4739" s="4"/>
      <c r="U4739" s="4"/>
      <c r="V4739" s="4"/>
      <c r="W4739" s="4"/>
      <c r="X4739" s="4"/>
    </row>
    <row r="4740" spans="17:24" x14ac:dyDescent="0.3">
      <c r="Q4740" s="4"/>
      <c r="R4740" s="4"/>
      <c r="S4740" s="4"/>
      <c r="T4740" s="4"/>
      <c r="U4740" s="4"/>
      <c r="V4740" s="4"/>
      <c r="W4740" s="4"/>
      <c r="X4740" s="4"/>
    </row>
    <row r="4741" spans="17:24" x14ac:dyDescent="0.3">
      <c r="Q4741" s="4"/>
      <c r="R4741" s="4"/>
      <c r="S4741" s="4"/>
      <c r="T4741" s="4"/>
      <c r="U4741" s="4"/>
      <c r="V4741" s="4"/>
      <c r="W4741" s="4"/>
      <c r="X4741" s="4"/>
    </row>
    <row r="4742" spans="17:24" x14ac:dyDescent="0.3">
      <c r="Q4742" s="4"/>
      <c r="R4742" s="4"/>
      <c r="S4742" s="4"/>
      <c r="T4742" s="4"/>
      <c r="U4742" s="4"/>
      <c r="V4742" s="4"/>
      <c r="W4742" s="4"/>
      <c r="X4742" s="4"/>
    </row>
    <row r="4743" spans="17:24" x14ac:dyDescent="0.3">
      <c r="Q4743" s="4"/>
      <c r="R4743" s="4"/>
      <c r="S4743" s="4"/>
      <c r="T4743" s="4"/>
      <c r="U4743" s="4"/>
      <c r="V4743" s="4"/>
      <c r="W4743" s="4"/>
      <c r="X4743" s="4"/>
    </row>
    <row r="4744" spans="17:24" x14ac:dyDescent="0.3">
      <c r="Q4744" s="4"/>
      <c r="R4744" s="4"/>
      <c r="S4744" s="4"/>
      <c r="T4744" s="4"/>
      <c r="U4744" s="4"/>
      <c r="V4744" s="4"/>
      <c r="W4744" s="4"/>
      <c r="X4744" s="4"/>
    </row>
    <row r="4745" spans="17:24" x14ac:dyDescent="0.3">
      <c r="Q4745" s="4"/>
      <c r="R4745" s="4"/>
      <c r="S4745" s="4"/>
      <c r="T4745" s="4"/>
      <c r="U4745" s="4"/>
      <c r="V4745" s="4"/>
      <c r="W4745" s="4"/>
      <c r="X4745" s="4"/>
    </row>
    <row r="4746" spans="17:24" x14ac:dyDescent="0.3">
      <c r="Q4746" s="4"/>
      <c r="R4746" s="4"/>
      <c r="S4746" s="4"/>
      <c r="T4746" s="4"/>
      <c r="U4746" s="4"/>
      <c r="V4746" s="4"/>
      <c r="W4746" s="4"/>
      <c r="X4746" s="4"/>
    </row>
    <row r="4747" spans="17:24" x14ac:dyDescent="0.3">
      <c r="Q4747" s="4"/>
      <c r="R4747" s="4"/>
      <c r="S4747" s="4"/>
      <c r="T4747" s="4"/>
      <c r="U4747" s="4"/>
      <c r="V4747" s="4"/>
      <c r="W4747" s="4"/>
      <c r="X4747" s="4"/>
    </row>
    <row r="4748" spans="17:24" x14ac:dyDescent="0.3">
      <c r="Q4748" s="4"/>
      <c r="R4748" s="4"/>
      <c r="S4748" s="4"/>
      <c r="T4748" s="4"/>
      <c r="U4748" s="4"/>
      <c r="V4748" s="4"/>
      <c r="W4748" s="4"/>
      <c r="X4748" s="4"/>
    </row>
    <row r="4749" spans="17:24" x14ac:dyDescent="0.3">
      <c r="Q4749" s="4"/>
      <c r="R4749" s="4"/>
      <c r="S4749" s="4"/>
      <c r="T4749" s="4"/>
      <c r="U4749" s="4"/>
      <c r="V4749" s="4"/>
      <c r="W4749" s="4"/>
      <c r="X4749" s="4"/>
    </row>
    <row r="4750" spans="17:24" x14ac:dyDescent="0.3">
      <c r="Q4750" s="4"/>
      <c r="R4750" s="4"/>
      <c r="S4750" s="4"/>
      <c r="T4750" s="4"/>
      <c r="U4750" s="4"/>
      <c r="V4750" s="4"/>
      <c r="W4750" s="4"/>
      <c r="X4750" s="4"/>
    </row>
    <row r="4751" spans="17:24" x14ac:dyDescent="0.3">
      <c r="Q4751" s="4"/>
      <c r="R4751" s="4"/>
      <c r="S4751" s="4"/>
      <c r="T4751" s="4"/>
      <c r="U4751" s="4"/>
      <c r="V4751" s="4"/>
      <c r="W4751" s="4"/>
      <c r="X4751" s="4"/>
    </row>
    <row r="4752" spans="17:24" x14ac:dyDescent="0.3">
      <c r="Q4752" s="4"/>
      <c r="R4752" s="4"/>
      <c r="S4752" s="4"/>
      <c r="T4752" s="4"/>
      <c r="U4752" s="4"/>
      <c r="V4752" s="4"/>
      <c r="W4752" s="4"/>
      <c r="X4752" s="4"/>
    </row>
    <row r="4753" spans="17:24" x14ac:dyDescent="0.3">
      <c r="Q4753" s="4"/>
      <c r="R4753" s="4"/>
      <c r="S4753" s="4"/>
      <c r="T4753" s="4"/>
      <c r="U4753" s="4"/>
      <c r="V4753" s="4"/>
      <c r="W4753" s="4"/>
      <c r="X4753" s="4"/>
    </row>
    <row r="4754" spans="17:24" x14ac:dyDescent="0.3">
      <c r="Q4754" s="4"/>
      <c r="R4754" s="4"/>
      <c r="S4754" s="4"/>
      <c r="T4754" s="4"/>
      <c r="U4754" s="4"/>
      <c r="V4754" s="4"/>
      <c r="W4754" s="4"/>
      <c r="X4754" s="4"/>
    </row>
    <row r="4755" spans="17:24" x14ac:dyDescent="0.3">
      <c r="Q4755" s="4"/>
      <c r="R4755" s="4"/>
      <c r="S4755" s="4"/>
      <c r="T4755" s="4"/>
      <c r="U4755" s="4"/>
      <c r="V4755" s="4"/>
      <c r="W4755" s="4"/>
      <c r="X4755" s="4"/>
    </row>
    <row r="4756" spans="17:24" x14ac:dyDescent="0.3">
      <c r="Q4756" s="4"/>
      <c r="R4756" s="4"/>
      <c r="S4756" s="4"/>
      <c r="T4756" s="4"/>
      <c r="U4756" s="4"/>
      <c r="V4756" s="4"/>
      <c r="W4756" s="4"/>
      <c r="X4756" s="4"/>
    </row>
    <row r="4757" spans="17:24" x14ac:dyDescent="0.3">
      <c r="Q4757" s="4"/>
      <c r="R4757" s="4"/>
      <c r="S4757" s="4"/>
      <c r="T4757" s="4"/>
      <c r="U4757" s="4"/>
      <c r="V4757" s="4"/>
      <c r="W4757" s="4"/>
      <c r="X4757" s="4"/>
    </row>
    <row r="4758" spans="17:24" x14ac:dyDescent="0.3">
      <c r="Q4758" s="4"/>
      <c r="R4758" s="4"/>
      <c r="S4758" s="4"/>
      <c r="T4758" s="4"/>
      <c r="U4758" s="4"/>
      <c r="V4758" s="4"/>
      <c r="W4758" s="4"/>
      <c r="X4758" s="4"/>
    </row>
    <row r="4759" spans="17:24" x14ac:dyDescent="0.3">
      <c r="Q4759" s="4"/>
      <c r="R4759" s="4"/>
      <c r="S4759" s="4"/>
      <c r="T4759" s="4"/>
      <c r="U4759" s="4"/>
      <c r="V4759" s="4"/>
      <c r="W4759" s="4"/>
      <c r="X4759" s="4"/>
    </row>
    <row r="4760" spans="17:24" x14ac:dyDescent="0.3">
      <c r="Q4760" s="4"/>
      <c r="R4760" s="4"/>
      <c r="S4760" s="4"/>
      <c r="T4760" s="4"/>
      <c r="U4760" s="4"/>
      <c r="V4760" s="4"/>
      <c r="W4760" s="4"/>
      <c r="X4760" s="4"/>
    </row>
    <row r="4761" spans="17:24" x14ac:dyDescent="0.3">
      <c r="Q4761" s="4"/>
      <c r="R4761" s="4"/>
      <c r="S4761" s="4"/>
      <c r="T4761" s="4"/>
      <c r="U4761" s="4"/>
      <c r="V4761" s="4"/>
      <c r="W4761" s="4"/>
      <c r="X4761" s="4"/>
    </row>
    <row r="4762" spans="17:24" x14ac:dyDescent="0.3">
      <c r="Q4762" s="4"/>
      <c r="R4762" s="4"/>
      <c r="S4762" s="4"/>
      <c r="T4762" s="4"/>
      <c r="U4762" s="4"/>
      <c r="V4762" s="4"/>
      <c r="W4762" s="4"/>
      <c r="X4762" s="4"/>
    </row>
    <row r="4763" spans="17:24" x14ac:dyDescent="0.3">
      <c r="Q4763" s="4"/>
      <c r="R4763" s="4"/>
      <c r="S4763" s="4"/>
      <c r="T4763" s="4"/>
      <c r="U4763" s="4"/>
      <c r="V4763" s="4"/>
      <c r="W4763" s="4"/>
      <c r="X4763" s="4"/>
    </row>
    <row r="4764" spans="17:24" x14ac:dyDescent="0.3">
      <c r="Q4764" s="4"/>
      <c r="R4764" s="4"/>
      <c r="S4764" s="4"/>
      <c r="T4764" s="4"/>
      <c r="U4764" s="4"/>
      <c r="V4764" s="4"/>
      <c r="W4764" s="4"/>
      <c r="X4764" s="4"/>
    </row>
    <row r="4765" spans="17:24" x14ac:dyDescent="0.3">
      <c r="Q4765" s="4"/>
      <c r="R4765" s="4"/>
      <c r="S4765" s="4"/>
      <c r="T4765" s="4"/>
      <c r="U4765" s="4"/>
      <c r="V4765" s="4"/>
      <c r="W4765" s="4"/>
      <c r="X4765" s="4"/>
    </row>
    <row r="4766" spans="17:24" x14ac:dyDescent="0.3">
      <c r="Q4766" s="4"/>
      <c r="R4766" s="4"/>
      <c r="S4766" s="4"/>
      <c r="T4766" s="4"/>
      <c r="U4766" s="4"/>
      <c r="V4766" s="4"/>
      <c r="W4766" s="4"/>
      <c r="X4766" s="4"/>
    </row>
    <row r="4767" spans="17:24" x14ac:dyDescent="0.3">
      <c r="Q4767" s="4"/>
      <c r="R4767" s="4"/>
      <c r="S4767" s="4"/>
      <c r="T4767" s="4"/>
      <c r="U4767" s="4"/>
      <c r="V4767" s="4"/>
      <c r="W4767" s="4"/>
      <c r="X4767" s="4"/>
    </row>
    <row r="4768" spans="17:24" x14ac:dyDescent="0.3">
      <c r="Q4768" s="4"/>
      <c r="R4768" s="4"/>
      <c r="S4768" s="4"/>
      <c r="T4768" s="4"/>
      <c r="U4768" s="4"/>
      <c r="V4768" s="4"/>
      <c r="W4768" s="4"/>
      <c r="X4768" s="4"/>
    </row>
    <row r="4769" spans="17:24" x14ac:dyDescent="0.3">
      <c r="Q4769" s="4"/>
      <c r="R4769" s="4"/>
      <c r="S4769" s="4"/>
      <c r="T4769" s="4"/>
      <c r="U4769" s="4"/>
      <c r="V4769" s="4"/>
      <c r="W4769" s="4"/>
      <c r="X4769" s="4"/>
    </row>
    <row r="4770" spans="17:24" x14ac:dyDescent="0.3">
      <c r="Q4770" s="4"/>
      <c r="R4770" s="4"/>
      <c r="S4770" s="4"/>
      <c r="T4770" s="4"/>
      <c r="U4770" s="4"/>
      <c r="V4770" s="4"/>
      <c r="W4770" s="4"/>
      <c r="X4770" s="4"/>
    </row>
    <row r="4771" spans="17:24" x14ac:dyDescent="0.3">
      <c r="Q4771" s="4"/>
      <c r="R4771" s="4"/>
      <c r="S4771" s="4"/>
      <c r="T4771" s="4"/>
      <c r="U4771" s="4"/>
      <c r="V4771" s="4"/>
      <c r="W4771" s="4"/>
      <c r="X4771" s="4"/>
    </row>
    <row r="4772" spans="17:24" x14ac:dyDescent="0.3">
      <c r="Q4772" s="4"/>
      <c r="R4772" s="4"/>
      <c r="S4772" s="4"/>
      <c r="T4772" s="4"/>
      <c r="U4772" s="4"/>
      <c r="V4772" s="4"/>
      <c r="W4772" s="4"/>
      <c r="X4772" s="4"/>
    </row>
    <row r="4773" spans="17:24" x14ac:dyDescent="0.3">
      <c r="Q4773" s="4"/>
      <c r="R4773" s="4"/>
      <c r="S4773" s="4"/>
      <c r="T4773" s="4"/>
      <c r="U4773" s="4"/>
      <c r="V4773" s="4"/>
      <c r="W4773" s="4"/>
      <c r="X4773" s="4"/>
    </row>
    <row r="4774" spans="17:24" x14ac:dyDescent="0.3">
      <c r="Q4774" s="4"/>
      <c r="R4774" s="4"/>
      <c r="S4774" s="4"/>
      <c r="T4774" s="4"/>
      <c r="U4774" s="4"/>
      <c r="V4774" s="4"/>
      <c r="W4774" s="4"/>
      <c r="X4774" s="4"/>
    </row>
    <row r="4775" spans="17:24" x14ac:dyDescent="0.3">
      <c r="Q4775" s="4"/>
      <c r="R4775" s="4"/>
      <c r="S4775" s="4"/>
      <c r="T4775" s="4"/>
      <c r="U4775" s="4"/>
      <c r="V4775" s="4"/>
      <c r="W4775" s="4"/>
      <c r="X4775" s="4"/>
    </row>
    <row r="4776" spans="17:24" x14ac:dyDescent="0.3">
      <c r="Q4776" s="4"/>
      <c r="R4776" s="4"/>
      <c r="S4776" s="4"/>
      <c r="T4776" s="4"/>
      <c r="U4776" s="4"/>
      <c r="V4776" s="4"/>
      <c r="W4776" s="4"/>
      <c r="X4776" s="4"/>
    </row>
    <row r="4777" spans="17:24" x14ac:dyDescent="0.3">
      <c r="Q4777" s="4"/>
      <c r="R4777" s="4"/>
      <c r="S4777" s="4"/>
      <c r="T4777" s="4"/>
      <c r="U4777" s="4"/>
      <c r="V4777" s="4"/>
      <c r="W4777" s="4"/>
      <c r="X4777" s="4"/>
    </row>
    <row r="4778" spans="17:24" x14ac:dyDescent="0.3">
      <c r="Q4778" s="4"/>
      <c r="R4778" s="4"/>
      <c r="S4778" s="4"/>
      <c r="T4778" s="4"/>
      <c r="U4778" s="4"/>
      <c r="V4778" s="4"/>
      <c r="W4778" s="4"/>
      <c r="X4778" s="4"/>
    </row>
    <row r="4779" spans="17:24" x14ac:dyDescent="0.3">
      <c r="Q4779" s="4"/>
      <c r="R4779" s="4"/>
      <c r="S4779" s="4"/>
      <c r="T4779" s="4"/>
      <c r="U4779" s="4"/>
      <c r="V4779" s="4"/>
      <c r="W4779" s="4"/>
      <c r="X4779" s="4"/>
    </row>
    <row r="4780" spans="17:24" x14ac:dyDescent="0.3">
      <c r="Q4780" s="4"/>
      <c r="R4780" s="4"/>
      <c r="S4780" s="4"/>
      <c r="T4780" s="4"/>
      <c r="U4780" s="4"/>
      <c r="V4780" s="4"/>
      <c r="W4780" s="4"/>
      <c r="X4780" s="4"/>
    </row>
    <row r="4781" spans="17:24" x14ac:dyDescent="0.3">
      <c r="Q4781" s="4"/>
      <c r="R4781" s="4"/>
      <c r="S4781" s="4"/>
      <c r="T4781" s="4"/>
      <c r="U4781" s="4"/>
      <c r="V4781" s="4"/>
      <c r="W4781" s="4"/>
      <c r="X4781" s="4"/>
    </row>
    <row r="4782" spans="17:24" x14ac:dyDescent="0.3">
      <c r="Q4782" s="4"/>
      <c r="R4782" s="4"/>
      <c r="S4782" s="4"/>
      <c r="T4782" s="4"/>
      <c r="U4782" s="4"/>
      <c r="V4782" s="4"/>
      <c r="W4782" s="4"/>
      <c r="X4782" s="4"/>
    </row>
    <row r="4783" spans="17:24" x14ac:dyDescent="0.3">
      <c r="Q4783" s="4"/>
      <c r="R4783" s="4"/>
      <c r="S4783" s="4"/>
      <c r="T4783" s="4"/>
      <c r="U4783" s="4"/>
      <c r="V4783" s="4"/>
      <c r="W4783" s="4"/>
      <c r="X4783" s="4"/>
    </row>
    <row r="4784" spans="17:24" x14ac:dyDescent="0.3">
      <c r="Q4784" s="4"/>
      <c r="R4784" s="4"/>
      <c r="S4784" s="4"/>
      <c r="T4784" s="4"/>
      <c r="U4784" s="4"/>
      <c r="V4784" s="4"/>
      <c r="W4784" s="4"/>
      <c r="X4784" s="4"/>
    </row>
    <row r="4785" spans="17:24" x14ac:dyDescent="0.3">
      <c r="Q4785" s="4"/>
      <c r="R4785" s="4"/>
      <c r="S4785" s="4"/>
      <c r="T4785" s="4"/>
      <c r="U4785" s="4"/>
      <c r="V4785" s="4"/>
      <c r="W4785" s="4"/>
      <c r="X4785" s="4"/>
    </row>
    <row r="4786" spans="17:24" x14ac:dyDescent="0.3">
      <c r="Q4786" s="4"/>
      <c r="R4786" s="4"/>
      <c r="S4786" s="4"/>
      <c r="T4786" s="4"/>
      <c r="U4786" s="4"/>
      <c r="V4786" s="4"/>
      <c r="W4786" s="4"/>
      <c r="X4786" s="4"/>
    </row>
    <row r="4787" spans="17:24" x14ac:dyDescent="0.3">
      <c r="Q4787" s="4"/>
      <c r="R4787" s="4"/>
      <c r="S4787" s="4"/>
      <c r="T4787" s="4"/>
      <c r="U4787" s="4"/>
      <c r="V4787" s="4"/>
      <c r="W4787" s="4"/>
      <c r="X4787" s="4"/>
    </row>
    <row r="4788" spans="17:24" x14ac:dyDescent="0.3">
      <c r="Q4788" s="4"/>
      <c r="R4788" s="4"/>
      <c r="S4788" s="4"/>
      <c r="T4788" s="4"/>
      <c r="U4788" s="4"/>
      <c r="V4788" s="4"/>
      <c r="W4788" s="4"/>
      <c r="X4788" s="4"/>
    </row>
    <row r="4789" spans="17:24" x14ac:dyDescent="0.3">
      <c r="Q4789" s="4"/>
      <c r="R4789" s="4"/>
      <c r="S4789" s="4"/>
      <c r="T4789" s="4"/>
      <c r="U4789" s="4"/>
      <c r="V4789" s="4"/>
      <c r="W4789" s="4"/>
      <c r="X4789" s="4"/>
    </row>
    <row r="4790" spans="17:24" x14ac:dyDescent="0.3">
      <c r="Q4790" s="4"/>
      <c r="R4790" s="4"/>
      <c r="S4790" s="4"/>
      <c r="T4790" s="4"/>
      <c r="U4790" s="4"/>
      <c r="V4790" s="4"/>
      <c r="W4790" s="4"/>
      <c r="X4790" s="4"/>
    </row>
    <row r="4791" spans="17:24" x14ac:dyDescent="0.3">
      <c r="Q4791" s="4"/>
      <c r="R4791" s="4"/>
      <c r="S4791" s="4"/>
      <c r="T4791" s="4"/>
      <c r="U4791" s="4"/>
      <c r="V4791" s="4"/>
      <c r="W4791" s="4"/>
      <c r="X4791" s="4"/>
    </row>
    <row r="4792" spans="17:24" x14ac:dyDescent="0.3">
      <c r="Q4792" s="4"/>
      <c r="R4792" s="4"/>
      <c r="S4792" s="4"/>
      <c r="T4792" s="4"/>
      <c r="U4792" s="4"/>
      <c r="V4792" s="4"/>
      <c r="W4792" s="4"/>
      <c r="X4792" s="4"/>
    </row>
    <row r="4793" spans="17:24" x14ac:dyDescent="0.3">
      <c r="Q4793" s="4"/>
      <c r="R4793" s="4"/>
      <c r="S4793" s="4"/>
      <c r="T4793" s="4"/>
      <c r="U4793" s="4"/>
      <c r="V4793" s="4"/>
      <c r="W4793" s="4"/>
      <c r="X4793" s="4"/>
    </row>
    <row r="4794" spans="17:24" x14ac:dyDescent="0.3">
      <c r="Q4794" s="4"/>
      <c r="R4794" s="4"/>
      <c r="S4794" s="4"/>
      <c r="T4794" s="4"/>
      <c r="U4794" s="4"/>
      <c r="V4794" s="4"/>
      <c r="W4794" s="4"/>
      <c r="X4794" s="4"/>
    </row>
    <row r="4795" spans="17:24" x14ac:dyDescent="0.3">
      <c r="Q4795" s="4"/>
      <c r="R4795" s="4"/>
      <c r="S4795" s="4"/>
      <c r="T4795" s="4"/>
      <c r="U4795" s="4"/>
      <c r="V4795" s="4"/>
      <c r="W4795" s="4"/>
      <c r="X4795" s="4"/>
    </row>
    <row r="4796" spans="17:24" x14ac:dyDescent="0.3">
      <c r="Q4796" s="4"/>
      <c r="R4796" s="4"/>
      <c r="S4796" s="4"/>
      <c r="T4796" s="4"/>
      <c r="U4796" s="4"/>
      <c r="V4796" s="4"/>
      <c r="W4796" s="4"/>
      <c r="X4796" s="4"/>
    </row>
    <row r="4797" spans="17:24" x14ac:dyDescent="0.3">
      <c r="Q4797" s="4"/>
      <c r="R4797" s="4"/>
      <c r="S4797" s="4"/>
      <c r="T4797" s="4"/>
      <c r="U4797" s="4"/>
      <c r="V4797" s="4"/>
      <c r="W4797" s="4"/>
      <c r="X4797" s="4"/>
    </row>
    <row r="4798" spans="17:24" x14ac:dyDescent="0.3">
      <c r="Q4798" s="4"/>
      <c r="R4798" s="4"/>
      <c r="S4798" s="4"/>
      <c r="T4798" s="4"/>
      <c r="U4798" s="4"/>
      <c r="V4798" s="4"/>
      <c r="W4798" s="4"/>
      <c r="X4798" s="4"/>
    </row>
    <row r="4799" spans="17:24" x14ac:dyDescent="0.3">
      <c r="Q4799" s="4"/>
      <c r="R4799" s="4"/>
      <c r="S4799" s="4"/>
      <c r="T4799" s="4"/>
      <c r="U4799" s="4"/>
      <c r="V4799" s="4"/>
      <c r="W4799" s="4"/>
      <c r="X4799" s="4"/>
    </row>
    <row r="4800" spans="17:24" x14ac:dyDescent="0.3">
      <c r="Q4800" s="4"/>
      <c r="R4800" s="4"/>
      <c r="S4800" s="4"/>
      <c r="T4800" s="4"/>
      <c r="U4800" s="4"/>
      <c r="V4800" s="4"/>
      <c r="W4800" s="4"/>
      <c r="X4800" s="4"/>
    </row>
    <row r="4801" spans="17:24" x14ac:dyDescent="0.3">
      <c r="Q4801" s="4"/>
      <c r="R4801" s="4"/>
      <c r="S4801" s="4"/>
      <c r="T4801" s="4"/>
      <c r="U4801" s="4"/>
      <c r="V4801" s="4"/>
      <c r="W4801" s="4"/>
      <c r="X4801" s="4"/>
    </row>
    <row r="4802" spans="17:24" x14ac:dyDescent="0.3">
      <c r="Q4802" s="4"/>
      <c r="R4802" s="4"/>
      <c r="S4802" s="4"/>
      <c r="T4802" s="4"/>
      <c r="U4802" s="4"/>
      <c r="V4802" s="4"/>
      <c r="W4802" s="4"/>
      <c r="X4802" s="4"/>
    </row>
    <row r="4803" spans="17:24" x14ac:dyDescent="0.3">
      <c r="Q4803" s="4"/>
      <c r="R4803" s="4"/>
      <c r="S4803" s="4"/>
      <c r="T4803" s="4"/>
      <c r="U4803" s="4"/>
      <c r="V4803" s="4"/>
      <c r="W4803" s="4"/>
      <c r="X4803" s="4"/>
    </row>
    <row r="4804" spans="17:24" x14ac:dyDescent="0.3">
      <c r="Q4804" s="4"/>
      <c r="R4804" s="4"/>
      <c r="S4804" s="4"/>
      <c r="T4804" s="4"/>
      <c r="U4804" s="4"/>
      <c r="V4804" s="4"/>
      <c r="W4804" s="4"/>
      <c r="X4804" s="4"/>
    </row>
    <row r="4805" spans="17:24" x14ac:dyDescent="0.3">
      <c r="Q4805" s="4"/>
      <c r="R4805" s="4"/>
      <c r="S4805" s="4"/>
      <c r="T4805" s="4"/>
      <c r="U4805" s="4"/>
      <c r="V4805" s="4"/>
      <c r="W4805" s="4"/>
      <c r="X4805" s="4"/>
    </row>
    <row r="4806" spans="17:24" x14ac:dyDescent="0.3">
      <c r="Q4806" s="4"/>
      <c r="R4806" s="4"/>
      <c r="S4806" s="4"/>
      <c r="T4806" s="4"/>
      <c r="U4806" s="4"/>
      <c r="V4806" s="4"/>
      <c r="W4806" s="4"/>
      <c r="X4806" s="4"/>
    </row>
    <row r="4807" spans="17:24" x14ac:dyDescent="0.3">
      <c r="Q4807" s="4"/>
      <c r="R4807" s="4"/>
      <c r="S4807" s="4"/>
      <c r="T4807" s="4"/>
      <c r="U4807" s="4"/>
      <c r="V4807" s="4"/>
      <c r="W4807" s="4"/>
      <c r="X4807" s="4"/>
    </row>
    <row r="4808" spans="17:24" x14ac:dyDescent="0.3">
      <c r="Q4808" s="4"/>
      <c r="R4808" s="4"/>
      <c r="S4808" s="4"/>
      <c r="T4808" s="4"/>
      <c r="U4808" s="4"/>
      <c r="V4808" s="4"/>
      <c r="W4808" s="4"/>
      <c r="X4808" s="4"/>
    </row>
    <row r="4809" spans="17:24" x14ac:dyDescent="0.3">
      <c r="Q4809" s="4"/>
      <c r="R4809" s="4"/>
      <c r="S4809" s="4"/>
      <c r="T4809" s="4"/>
      <c r="U4809" s="4"/>
      <c r="V4809" s="4"/>
      <c r="W4809" s="4"/>
      <c r="X4809" s="4"/>
    </row>
    <row r="4810" spans="17:24" x14ac:dyDescent="0.3">
      <c r="Q4810" s="4"/>
      <c r="R4810" s="4"/>
      <c r="S4810" s="4"/>
      <c r="T4810" s="4"/>
      <c r="U4810" s="4"/>
      <c r="V4810" s="4"/>
      <c r="W4810" s="4"/>
      <c r="X4810" s="4"/>
    </row>
    <row r="4811" spans="17:24" x14ac:dyDescent="0.3">
      <c r="Q4811" s="4"/>
      <c r="R4811" s="4"/>
      <c r="S4811" s="4"/>
      <c r="T4811" s="4"/>
      <c r="U4811" s="4"/>
      <c r="V4811" s="4"/>
      <c r="W4811" s="4"/>
      <c r="X4811" s="4"/>
    </row>
    <row r="4812" spans="17:24" x14ac:dyDescent="0.3">
      <c r="Q4812" s="4"/>
      <c r="R4812" s="4"/>
      <c r="S4812" s="4"/>
      <c r="T4812" s="4"/>
      <c r="U4812" s="4"/>
      <c r="V4812" s="4"/>
      <c r="W4812" s="4"/>
      <c r="X4812" s="4"/>
    </row>
    <row r="4813" spans="17:24" x14ac:dyDescent="0.3">
      <c r="Q4813" s="4"/>
      <c r="R4813" s="4"/>
      <c r="S4813" s="4"/>
      <c r="T4813" s="4"/>
      <c r="U4813" s="4"/>
      <c r="V4813" s="4"/>
      <c r="W4813" s="4"/>
      <c r="X4813" s="4"/>
    </row>
    <row r="4814" spans="17:24" x14ac:dyDescent="0.3">
      <c r="Q4814" s="4"/>
      <c r="R4814" s="4"/>
      <c r="S4814" s="4"/>
      <c r="T4814" s="4"/>
      <c r="U4814" s="4"/>
      <c r="V4814" s="4"/>
      <c r="W4814" s="4"/>
      <c r="X4814" s="4"/>
    </row>
    <row r="4815" spans="17:24" x14ac:dyDescent="0.3">
      <c r="Q4815" s="4"/>
      <c r="R4815" s="4"/>
      <c r="S4815" s="4"/>
      <c r="T4815" s="4"/>
      <c r="U4815" s="4"/>
      <c r="V4815" s="4"/>
      <c r="W4815" s="4"/>
      <c r="X4815" s="4"/>
    </row>
    <row r="4816" spans="17:24" x14ac:dyDescent="0.3">
      <c r="Q4816" s="4"/>
      <c r="R4816" s="4"/>
      <c r="S4816" s="4"/>
      <c r="T4816" s="4"/>
      <c r="U4816" s="4"/>
      <c r="V4816" s="4"/>
      <c r="W4816" s="4"/>
      <c r="X4816" s="4"/>
    </row>
    <row r="4817" spans="17:24" x14ac:dyDescent="0.3">
      <c r="Q4817" s="4"/>
      <c r="R4817" s="4"/>
      <c r="S4817" s="4"/>
      <c r="T4817" s="4"/>
      <c r="U4817" s="4"/>
      <c r="V4817" s="4"/>
      <c r="W4817" s="4"/>
      <c r="X4817" s="4"/>
    </row>
    <row r="4818" spans="17:24" x14ac:dyDescent="0.3">
      <c r="Q4818" s="4"/>
      <c r="R4818" s="4"/>
      <c r="S4818" s="4"/>
      <c r="T4818" s="4"/>
      <c r="U4818" s="4"/>
      <c r="V4818" s="4"/>
      <c r="W4818" s="4"/>
      <c r="X4818" s="4"/>
    </row>
    <row r="4819" spans="17:24" x14ac:dyDescent="0.3">
      <c r="Q4819" s="4"/>
      <c r="R4819" s="4"/>
      <c r="S4819" s="4"/>
      <c r="T4819" s="4"/>
      <c r="U4819" s="4"/>
      <c r="V4819" s="4"/>
      <c r="W4819" s="4"/>
      <c r="X4819" s="4"/>
    </row>
    <row r="4820" spans="17:24" x14ac:dyDescent="0.3">
      <c r="Q4820" s="4"/>
      <c r="R4820" s="4"/>
      <c r="S4820" s="4"/>
      <c r="T4820" s="4"/>
      <c r="U4820" s="4"/>
      <c r="V4820" s="4"/>
      <c r="W4820" s="4"/>
      <c r="X4820" s="4"/>
    </row>
    <row r="4821" spans="17:24" x14ac:dyDescent="0.3">
      <c r="Q4821" s="4"/>
      <c r="R4821" s="4"/>
      <c r="S4821" s="4"/>
      <c r="T4821" s="4"/>
      <c r="U4821" s="4"/>
      <c r="V4821" s="4"/>
      <c r="W4821" s="4"/>
      <c r="X4821" s="4"/>
    </row>
    <row r="4822" spans="17:24" x14ac:dyDescent="0.3">
      <c r="Q4822" s="4"/>
      <c r="R4822" s="4"/>
      <c r="S4822" s="4"/>
      <c r="T4822" s="4"/>
      <c r="U4822" s="4"/>
      <c r="V4822" s="4"/>
      <c r="W4822" s="4"/>
      <c r="X4822" s="4"/>
    </row>
    <row r="4823" spans="17:24" x14ac:dyDescent="0.3">
      <c r="Q4823" s="4"/>
      <c r="R4823" s="4"/>
      <c r="S4823" s="4"/>
      <c r="T4823" s="4"/>
      <c r="U4823" s="4"/>
      <c r="V4823" s="4"/>
      <c r="W4823" s="4"/>
      <c r="X4823" s="4"/>
    </row>
    <row r="4824" spans="17:24" x14ac:dyDescent="0.3">
      <c r="Q4824" s="4"/>
      <c r="R4824" s="4"/>
      <c r="S4824" s="4"/>
      <c r="T4824" s="4"/>
      <c r="U4824" s="4"/>
      <c r="V4824" s="4"/>
      <c r="W4824" s="4"/>
      <c r="X4824" s="4"/>
    </row>
    <row r="4825" spans="17:24" x14ac:dyDescent="0.3">
      <c r="Q4825" s="4"/>
      <c r="R4825" s="4"/>
      <c r="S4825" s="4"/>
      <c r="T4825" s="4"/>
      <c r="U4825" s="4"/>
      <c r="V4825" s="4"/>
      <c r="W4825" s="4"/>
      <c r="X4825" s="4"/>
    </row>
    <row r="4826" spans="17:24" x14ac:dyDescent="0.3">
      <c r="Q4826" s="4"/>
      <c r="R4826" s="4"/>
      <c r="S4826" s="4"/>
      <c r="T4826" s="4"/>
      <c r="U4826" s="4"/>
      <c r="V4826" s="4"/>
      <c r="W4826" s="4"/>
      <c r="X4826" s="4"/>
    </row>
    <row r="4827" spans="17:24" x14ac:dyDescent="0.3">
      <c r="Q4827" s="4"/>
      <c r="R4827" s="4"/>
      <c r="S4827" s="4"/>
      <c r="T4827" s="4"/>
      <c r="U4827" s="4"/>
      <c r="V4827" s="4"/>
      <c r="W4827" s="4"/>
      <c r="X4827" s="4"/>
    </row>
    <row r="4828" spans="17:24" x14ac:dyDescent="0.3">
      <c r="Q4828" s="4"/>
      <c r="R4828" s="4"/>
      <c r="S4828" s="4"/>
      <c r="T4828" s="4"/>
      <c r="U4828" s="4"/>
      <c r="V4828" s="4"/>
      <c r="W4828" s="4"/>
      <c r="X4828" s="4"/>
    </row>
    <row r="4829" spans="17:24" x14ac:dyDescent="0.3">
      <c r="Q4829" s="4"/>
      <c r="R4829" s="4"/>
      <c r="S4829" s="4"/>
      <c r="T4829" s="4"/>
      <c r="U4829" s="4"/>
      <c r="V4829" s="4"/>
      <c r="W4829" s="4"/>
      <c r="X4829" s="4"/>
    </row>
    <row r="4830" spans="17:24" x14ac:dyDescent="0.3">
      <c r="Q4830" s="4"/>
      <c r="R4830" s="4"/>
      <c r="S4830" s="4"/>
      <c r="T4830" s="4"/>
      <c r="U4830" s="4"/>
      <c r="V4830" s="4"/>
      <c r="W4830" s="4"/>
      <c r="X4830" s="4"/>
    </row>
    <row r="4831" spans="17:24" x14ac:dyDescent="0.3">
      <c r="Q4831" s="4"/>
      <c r="R4831" s="4"/>
      <c r="S4831" s="4"/>
      <c r="T4831" s="4"/>
      <c r="U4831" s="4"/>
      <c r="V4831" s="4"/>
      <c r="W4831" s="4"/>
      <c r="X4831" s="4"/>
    </row>
    <row r="4832" spans="17:24" x14ac:dyDescent="0.3">
      <c r="Q4832" s="4"/>
      <c r="R4832" s="4"/>
      <c r="S4832" s="4"/>
      <c r="T4832" s="4"/>
      <c r="U4832" s="4"/>
      <c r="V4832" s="4"/>
      <c r="W4832" s="4"/>
      <c r="X4832" s="4"/>
    </row>
    <row r="4833" spans="17:24" x14ac:dyDescent="0.3">
      <c r="Q4833" s="4"/>
      <c r="R4833" s="4"/>
      <c r="S4833" s="4"/>
      <c r="T4833" s="4"/>
      <c r="U4833" s="4"/>
      <c r="V4833" s="4"/>
      <c r="W4833" s="4"/>
      <c r="X4833" s="4"/>
    </row>
    <row r="4834" spans="17:24" x14ac:dyDescent="0.3">
      <c r="Q4834" s="4"/>
      <c r="R4834" s="4"/>
      <c r="S4834" s="4"/>
      <c r="T4834" s="4"/>
      <c r="U4834" s="4"/>
      <c r="V4834" s="4"/>
      <c r="W4834" s="4"/>
      <c r="X4834" s="4"/>
    </row>
    <row r="4835" spans="17:24" x14ac:dyDescent="0.3">
      <c r="Q4835" s="4"/>
      <c r="R4835" s="4"/>
      <c r="S4835" s="4"/>
      <c r="T4835" s="4"/>
      <c r="U4835" s="4"/>
      <c r="V4835" s="4"/>
      <c r="W4835" s="4"/>
      <c r="X4835" s="4"/>
    </row>
    <row r="4836" spans="17:24" x14ac:dyDescent="0.3">
      <c r="Q4836" s="4"/>
      <c r="R4836" s="4"/>
      <c r="S4836" s="4"/>
      <c r="T4836" s="4"/>
      <c r="U4836" s="4"/>
      <c r="V4836" s="4"/>
      <c r="W4836" s="4"/>
      <c r="X4836" s="4"/>
    </row>
    <row r="4837" spans="17:24" x14ac:dyDescent="0.3">
      <c r="Q4837" s="4"/>
      <c r="R4837" s="4"/>
      <c r="S4837" s="4"/>
      <c r="T4837" s="4"/>
      <c r="U4837" s="4"/>
      <c r="V4837" s="4"/>
      <c r="W4837" s="4"/>
      <c r="X4837" s="4"/>
    </row>
    <row r="4838" spans="17:24" x14ac:dyDescent="0.3">
      <c r="Q4838" s="4"/>
      <c r="R4838" s="4"/>
      <c r="S4838" s="4"/>
      <c r="T4838" s="4"/>
      <c r="U4838" s="4"/>
      <c r="V4838" s="4"/>
      <c r="W4838" s="4"/>
      <c r="X4838" s="4"/>
    </row>
    <row r="4839" spans="17:24" x14ac:dyDescent="0.3">
      <c r="Q4839" s="4"/>
      <c r="R4839" s="4"/>
      <c r="S4839" s="4"/>
      <c r="T4839" s="4"/>
      <c r="U4839" s="4"/>
      <c r="V4839" s="4"/>
      <c r="W4839" s="4"/>
      <c r="X4839" s="4"/>
    </row>
    <row r="4840" spans="17:24" x14ac:dyDescent="0.3">
      <c r="Q4840" s="4"/>
      <c r="R4840" s="4"/>
      <c r="S4840" s="4"/>
      <c r="T4840" s="4"/>
      <c r="U4840" s="4"/>
      <c r="V4840" s="4"/>
      <c r="W4840" s="4"/>
      <c r="X4840" s="4"/>
    </row>
    <row r="4841" spans="17:24" x14ac:dyDescent="0.3">
      <c r="Q4841" s="4"/>
      <c r="R4841" s="4"/>
      <c r="S4841" s="4"/>
      <c r="T4841" s="4"/>
      <c r="U4841" s="4"/>
      <c r="V4841" s="4"/>
      <c r="W4841" s="4"/>
      <c r="X4841" s="4"/>
    </row>
    <row r="4842" spans="17:24" x14ac:dyDescent="0.3">
      <c r="Q4842" s="4"/>
      <c r="R4842" s="4"/>
      <c r="S4842" s="4"/>
      <c r="T4842" s="4"/>
      <c r="U4842" s="4"/>
      <c r="V4842" s="4"/>
      <c r="W4842" s="4"/>
      <c r="X4842" s="4"/>
    </row>
    <row r="4843" spans="17:24" x14ac:dyDescent="0.3">
      <c r="Q4843" s="4"/>
      <c r="R4843" s="4"/>
      <c r="S4843" s="4"/>
      <c r="T4843" s="4"/>
      <c r="U4843" s="4"/>
      <c r="V4843" s="4"/>
      <c r="W4843" s="4"/>
      <c r="X4843" s="4"/>
    </row>
    <row r="4844" spans="17:24" x14ac:dyDescent="0.3">
      <c r="Q4844" s="4"/>
      <c r="R4844" s="4"/>
      <c r="S4844" s="4"/>
      <c r="T4844" s="4"/>
      <c r="U4844" s="4"/>
      <c r="V4844" s="4"/>
      <c r="W4844" s="4"/>
      <c r="X4844" s="4"/>
    </row>
    <row r="4845" spans="17:24" x14ac:dyDescent="0.3">
      <c r="Q4845" s="4"/>
      <c r="R4845" s="4"/>
      <c r="S4845" s="4"/>
      <c r="T4845" s="4"/>
      <c r="U4845" s="4"/>
      <c r="V4845" s="4"/>
      <c r="W4845" s="4"/>
      <c r="X4845" s="4"/>
    </row>
    <row r="4846" spans="17:24" x14ac:dyDescent="0.3">
      <c r="Q4846" s="4"/>
      <c r="R4846" s="4"/>
      <c r="S4846" s="4"/>
      <c r="T4846" s="4"/>
      <c r="U4846" s="4"/>
      <c r="V4846" s="4"/>
      <c r="W4846" s="4"/>
      <c r="X4846" s="4"/>
    </row>
    <row r="4847" spans="17:24" x14ac:dyDescent="0.3">
      <c r="Q4847" s="4"/>
      <c r="R4847" s="4"/>
      <c r="S4847" s="4"/>
      <c r="T4847" s="4"/>
      <c r="U4847" s="4"/>
      <c r="V4847" s="4"/>
      <c r="W4847" s="4"/>
      <c r="X4847" s="4"/>
    </row>
    <row r="4848" spans="17:24" x14ac:dyDescent="0.3">
      <c r="Q4848" s="4"/>
      <c r="R4848" s="4"/>
      <c r="S4848" s="4"/>
      <c r="T4848" s="4"/>
      <c r="U4848" s="4"/>
      <c r="V4848" s="4"/>
      <c r="W4848" s="4"/>
      <c r="X4848" s="4"/>
    </row>
    <row r="4849" spans="17:24" x14ac:dyDescent="0.3">
      <c r="Q4849" s="4"/>
      <c r="R4849" s="4"/>
      <c r="S4849" s="4"/>
      <c r="T4849" s="4"/>
      <c r="U4849" s="4"/>
      <c r="V4849" s="4"/>
      <c r="W4849" s="4"/>
      <c r="X4849" s="4"/>
    </row>
    <row r="4850" spans="17:24" x14ac:dyDescent="0.3">
      <c r="Q4850" s="4"/>
      <c r="R4850" s="4"/>
      <c r="S4850" s="4"/>
      <c r="T4850" s="4"/>
      <c r="U4850" s="4"/>
      <c r="V4850" s="4"/>
      <c r="W4850" s="4"/>
      <c r="X4850" s="4"/>
    </row>
    <row r="4851" spans="17:24" x14ac:dyDescent="0.3">
      <c r="Q4851" s="4"/>
      <c r="R4851" s="4"/>
      <c r="S4851" s="4"/>
      <c r="T4851" s="4"/>
      <c r="U4851" s="4"/>
      <c r="V4851" s="4"/>
      <c r="W4851" s="4"/>
      <c r="X4851" s="4"/>
    </row>
    <row r="4852" spans="17:24" x14ac:dyDescent="0.3">
      <c r="Q4852" s="4"/>
      <c r="R4852" s="4"/>
      <c r="S4852" s="4"/>
      <c r="T4852" s="4"/>
      <c r="U4852" s="4"/>
      <c r="V4852" s="4"/>
      <c r="W4852" s="4"/>
      <c r="X4852" s="4"/>
    </row>
    <row r="4853" spans="17:24" x14ac:dyDescent="0.3">
      <c r="Q4853" s="4"/>
      <c r="R4853" s="4"/>
      <c r="S4853" s="4"/>
      <c r="T4853" s="4"/>
      <c r="U4853" s="4"/>
      <c r="V4853" s="4"/>
      <c r="W4853" s="4"/>
      <c r="X4853" s="4"/>
    </row>
    <row r="4854" spans="17:24" x14ac:dyDescent="0.3">
      <c r="Q4854" s="4"/>
      <c r="R4854" s="4"/>
      <c r="S4854" s="4"/>
      <c r="T4854" s="4"/>
      <c r="U4854" s="4"/>
      <c r="V4854" s="4"/>
      <c r="W4854" s="4"/>
      <c r="X4854" s="4"/>
    </row>
    <row r="4855" spans="17:24" x14ac:dyDescent="0.3">
      <c r="Q4855" s="4"/>
      <c r="R4855" s="4"/>
      <c r="S4855" s="4"/>
      <c r="T4855" s="4"/>
      <c r="U4855" s="4"/>
      <c r="V4855" s="4"/>
      <c r="W4855" s="4"/>
      <c r="X4855" s="4"/>
    </row>
    <row r="4856" spans="17:24" x14ac:dyDescent="0.3">
      <c r="Q4856" s="4"/>
      <c r="R4856" s="4"/>
      <c r="S4856" s="4"/>
      <c r="T4856" s="4"/>
      <c r="U4856" s="4"/>
      <c r="V4856" s="4"/>
      <c r="W4856" s="4"/>
      <c r="X4856" s="4"/>
    </row>
    <row r="4857" spans="17:24" x14ac:dyDescent="0.3">
      <c r="Q4857" s="4"/>
      <c r="R4857" s="4"/>
      <c r="S4857" s="4"/>
      <c r="T4857" s="4"/>
      <c r="U4857" s="4"/>
      <c r="V4857" s="4"/>
      <c r="W4857" s="4"/>
      <c r="X4857" s="4"/>
    </row>
    <row r="4858" spans="17:24" x14ac:dyDescent="0.3">
      <c r="Q4858" s="4"/>
      <c r="R4858" s="4"/>
      <c r="S4858" s="4"/>
      <c r="T4858" s="4"/>
      <c r="U4858" s="4"/>
      <c r="V4858" s="4"/>
      <c r="W4858" s="4"/>
      <c r="X4858" s="4"/>
    </row>
    <row r="4859" spans="17:24" x14ac:dyDescent="0.3">
      <c r="Q4859" s="4"/>
      <c r="R4859" s="4"/>
      <c r="S4859" s="4"/>
      <c r="T4859" s="4"/>
      <c r="U4859" s="4"/>
      <c r="V4859" s="4"/>
      <c r="W4859" s="4"/>
      <c r="X4859" s="4"/>
    </row>
    <row r="4860" spans="17:24" x14ac:dyDescent="0.3">
      <c r="Q4860" s="4"/>
      <c r="R4860" s="4"/>
      <c r="S4860" s="4"/>
      <c r="T4860" s="4"/>
      <c r="U4860" s="4"/>
      <c r="V4860" s="4"/>
      <c r="W4860" s="4"/>
      <c r="X4860" s="4"/>
    </row>
    <row r="4861" spans="17:24" x14ac:dyDescent="0.3">
      <c r="Q4861" s="4"/>
      <c r="R4861" s="4"/>
      <c r="S4861" s="4"/>
      <c r="T4861" s="4"/>
      <c r="U4861" s="4"/>
      <c r="V4861" s="4"/>
      <c r="W4861" s="4"/>
      <c r="X4861" s="4"/>
    </row>
    <row r="4862" spans="17:24" x14ac:dyDescent="0.3">
      <c r="Q4862" s="4"/>
      <c r="R4862" s="4"/>
      <c r="S4862" s="4"/>
      <c r="T4862" s="4"/>
      <c r="U4862" s="4"/>
      <c r="V4862" s="4"/>
      <c r="W4862" s="4"/>
      <c r="X4862" s="4"/>
    </row>
    <row r="4863" spans="17:24" x14ac:dyDescent="0.3">
      <c r="Q4863" s="4"/>
      <c r="R4863" s="4"/>
      <c r="S4863" s="4"/>
      <c r="T4863" s="4"/>
      <c r="U4863" s="4"/>
      <c r="V4863" s="4"/>
      <c r="W4863" s="4"/>
      <c r="X4863" s="4"/>
    </row>
    <row r="4864" spans="17:24" x14ac:dyDescent="0.3">
      <c r="Q4864" s="4"/>
      <c r="R4864" s="4"/>
      <c r="S4864" s="4"/>
      <c r="T4864" s="4"/>
      <c r="U4864" s="4"/>
      <c r="V4864" s="4"/>
      <c r="W4864" s="4"/>
      <c r="X4864" s="4"/>
    </row>
    <row r="4865" spans="17:24" x14ac:dyDescent="0.3">
      <c r="Q4865" s="4"/>
      <c r="R4865" s="4"/>
      <c r="S4865" s="4"/>
      <c r="T4865" s="4"/>
      <c r="U4865" s="4"/>
      <c r="V4865" s="4"/>
      <c r="W4865" s="4"/>
      <c r="X4865" s="4"/>
    </row>
    <row r="4866" spans="17:24" x14ac:dyDescent="0.3">
      <c r="Q4866" s="4"/>
      <c r="R4866" s="4"/>
      <c r="S4866" s="4"/>
      <c r="T4866" s="4"/>
      <c r="U4866" s="4"/>
      <c r="V4866" s="4"/>
      <c r="W4866" s="4"/>
      <c r="X4866" s="4"/>
    </row>
    <row r="4867" spans="17:24" x14ac:dyDescent="0.3">
      <c r="Q4867" s="4"/>
      <c r="R4867" s="4"/>
      <c r="S4867" s="4"/>
      <c r="T4867" s="4"/>
      <c r="U4867" s="4"/>
      <c r="V4867" s="4"/>
      <c r="W4867" s="4"/>
      <c r="X4867" s="4"/>
    </row>
    <row r="4868" spans="17:24" x14ac:dyDescent="0.3">
      <c r="Q4868" s="4"/>
      <c r="R4868" s="4"/>
      <c r="S4868" s="4"/>
      <c r="T4868" s="4"/>
      <c r="U4868" s="4"/>
      <c r="V4868" s="4"/>
      <c r="W4868" s="4"/>
      <c r="X4868" s="4"/>
    </row>
    <row r="4869" spans="17:24" x14ac:dyDescent="0.3">
      <c r="Q4869" s="4"/>
      <c r="R4869" s="4"/>
      <c r="S4869" s="4"/>
      <c r="T4869" s="4"/>
      <c r="U4869" s="4"/>
      <c r="V4869" s="4"/>
      <c r="W4869" s="4"/>
      <c r="X4869" s="4"/>
    </row>
    <row r="4870" spans="17:24" x14ac:dyDescent="0.3">
      <c r="Q4870" s="4"/>
      <c r="R4870" s="4"/>
      <c r="S4870" s="4"/>
      <c r="T4870" s="4"/>
      <c r="U4870" s="4"/>
      <c r="V4870" s="4"/>
      <c r="W4870" s="4"/>
      <c r="X4870" s="4"/>
    </row>
    <row r="4871" spans="17:24" x14ac:dyDescent="0.3">
      <c r="Q4871" s="4"/>
      <c r="R4871" s="4"/>
      <c r="S4871" s="4"/>
      <c r="T4871" s="4"/>
      <c r="U4871" s="4"/>
      <c r="V4871" s="4"/>
      <c r="W4871" s="4"/>
      <c r="X4871" s="4"/>
    </row>
    <row r="4872" spans="17:24" x14ac:dyDescent="0.3">
      <c r="Q4872" s="4"/>
      <c r="R4872" s="4"/>
      <c r="S4872" s="4"/>
      <c r="T4872" s="4"/>
      <c r="U4872" s="4"/>
      <c r="V4872" s="4"/>
      <c r="W4872" s="4"/>
      <c r="X4872" s="4"/>
    </row>
    <row r="4873" spans="17:24" x14ac:dyDescent="0.3">
      <c r="Q4873" s="4"/>
      <c r="R4873" s="4"/>
      <c r="S4873" s="4"/>
      <c r="T4873" s="4"/>
      <c r="U4873" s="4"/>
      <c r="V4873" s="4"/>
      <c r="W4873" s="4"/>
      <c r="X4873" s="4"/>
    </row>
    <row r="4874" spans="17:24" x14ac:dyDescent="0.3">
      <c r="Q4874" s="4"/>
      <c r="R4874" s="4"/>
      <c r="S4874" s="4"/>
      <c r="T4874" s="4"/>
      <c r="U4874" s="4"/>
      <c r="V4874" s="4"/>
      <c r="W4874" s="4"/>
      <c r="X4874" s="4"/>
    </row>
    <row r="4875" spans="17:24" x14ac:dyDescent="0.3">
      <c r="Q4875" s="4"/>
      <c r="R4875" s="4"/>
      <c r="S4875" s="4"/>
      <c r="T4875" s="4"/>
      <c r="U4875" s="4"/>
      <c r="V4875" s="4"/>
      <c r="W4875" s="4"/>
      <c r="X4875" s="4"/>
    </row>
    <row r="4876" spans="17:24" x14ac:dyDescent="0.3">
      <c r="Q4876" s="4"/>
      <c r="R4876" s="4"/>
      <c r="S4876" s="4"/>
      <c r="T4876" s="4"/>
      <c r="U4876" s="4"/>
      <c r="V4876" s="4"/>
      <c r="W4876" s="4"/>
      <c r="X4876" s="4"/>
    </row>
    <row r="4877" spans="17:24" x14ac:dyDescent="0.3">
      <c r="Q4877" s="4"/>
      <c r="R4877" s="4"/>
      <c r="S4877" s="4"/>
      <c r="T4877" s="4"/>
      <c r="U4877" s="4"/>
      <c r="V4877" s="4"/>
      <c r="W4877" s="4"/>
      <c r="X4877" s="4"/>
    </row>
    <row r="4878" spans="17:24" x14ac:dyDescent="0.3">
      <c r="Q4878" s="4"/>
      <c r="R4878" s="4"/>
      <c r="S4878" s="4"/>
      <c r="T4878" s="4"/>
      <c r="U4878" s="4"/>
      <c r="V4878" s="4"/>
      <c r="W4878" s="4"/>
      <c r="X4878" s="4"/>
    </row>
    <row r="4879" spans="17:24" x14ac:dyDescent="0.3">
      <c r="Q4879" s="4"/>
      <c r="R4879" s="4"/>
      <c r="S4879" s="4"/>
      <c r="T4879" s="4"/>
      <c r="U4879" s="4"/>
      <c r="V4879" s="4"/>
      <c r="W4879" s="4"/>
      <c r="X4879" s="4"/>
    </row>
    <row r="4880" spans="17:24" x14ac:dyDescent="0.3">
      <c r="Q4880" s="4"/>
      <c r="R4880" s="4"/>
      <c r="S4880" s="4"/>
      <c r="T4880" s="4"/>
      <c r="U4880" s="4"/>
      <c r="V4880" s="4"/>
      <c r="W4880" s="4"/>
      <c r="X4880" s="4"/>
    </row>
    <row r="4881" spans="17:24" x14ac:dyDescent="0.3">
      <c r="Q4881" s="4"/>
      <c r="R4881" s="4"/>
      <c r="S4881" s="4"/>
      <c r="T4881" s="4"/>
      <c r="U4881" s="4"/>
      <c r="V4881" s="4"/>
      <c r="W4881" s="4"/>
      <c r="X4881" s="4"/>
    </row>
    <row r="4882" spans="17:24" x14ac:dyDescent="0.3">
      <c r="Q4882" s="4"/>
      <c r="R4882" s="4"/>
      <c r="S4882" s="4"/>
      <c r="T4882" s="4"/>
      <c r="U4882" s="4"/>
      <c r="V4882" s="4"/>
      <c r="W4882" s="4"/>
      <c r="X4882" s="4"/>
    </row>
    <row r="4883" spans="17:24" x14ac:dyDescent="0.3">
      <c r="Q4883" s="4"/>
      <c r="R4883" s="4"/>
      <c r="S4883" s="4"/>
      <c r="T4883" s="4"/>
      <c r="U4883" s="4"/>
      <c r="V4883" s="4"/>
      <c r="W4883" s="4"/>
      <c r="X4883" s="4"/>
    </row>
    <row r="4884" spans="17:24" x14ac:dyDescent="0.3">
      <c r="Q4884" s="4"/>
      <c r="R4884" s="4"/>
      <c r="S4884" s="4"/>
      <c r="T4884" s="4"/>
      <c r="U4884" s="4"/>
      <c r="V4884" s="4"/>
      <c r="W4884" s="4"/>
      <c r="X4884" s="4"/>
    </row>
    <row r="4885" spans="17:24" x14ac:dyDescent="0.3">
      <c r="Q4885" s="4"/>
      <c r="R4885" s="4"/>
      <c r="S4885" s="4"/>
      <c r="T4885" s="4"/>
      <c r="U4885" s="4"/>
      <c r="V4885" s="4"/>
      <c r="W4885" s="4"/>
      <c r="X4885" s="4"/>
    </row>
    <row r="4886" spans="17:24" x14ac:dyDescent="0.3">
      <c r="Q4886" s="4"/>
      <c r="R4886" s="4"/>
      <c r="S4886" s="4"/>
      <c r="T4886" s="4"/>
      <c r="U4886" s="4"/>
      <c r="V4886" s="4"/>
      <c r="W4886" s="4"/>
      <c r="X4886" s="4"/>
    </row>
    <row r="4887" spans="17:24" x14ac:dyDescent="0.3">
      <c r="Q4887" s="4"/>
      <c r="R4887" s="4"/>
      <c r="S4887" s="4"/>
      <c r="T4887" s="4"/>
      <c r="U4887" s="4"/>
      <c r="V4887" s="4"/>
      <c r="W4887" s="4"/>
      <c r="X4887" s="4"/>
    </row>
    <row r="4888" spans="17:24" x14ac:dyDescent="0.3">
      <c r="Q4888" s="4"/>
      <c r="R4888" s="4"/>
      <c r="S4888" s="4"/>
      <c r="T4888" s="4"/>
      <c r="U4888" s="4"/>
      <c r="V4888" s="4"/>
      <c r="W4888" s="4"/>
      <c r="X4888" s="4"/>
    </row>
    <row r="4889" spans="17:24" x14ac:dyDescent="0.3">
      <c r="Q4889" s="4"/>
      <c r="R4889" s="4"/>
      <c r="S4889" s="4"/>
      <c r="T4889" s="4"/>
      <c r="U4889" s="4"/>
      <c r="V4889" s="4"/>
      <c r="W4889" s="4"/>
      <c r="X4889" s="4"/>
    </row>
    <row r="4890" spans="17:24" x14ac:dyDescent="0.3">
      <c r="Q4890" s="4"/>
      <c r="R4890" s="4"/>
      <c r="S4890" s="4"/>
      <c r="T4890" s="4"/>
      <c r="U4890" s="4"/>
      <c r="V4890" s="4"/>
      <c r="W4890" s="4"/>
      <c r="X4890" s="4"/>
    </row>
    <row r="4891" spans="17:24" x14ac:dyDescent="0.3">
      <c r="Q4891" s="4"/>
      <c r="R4891" s="4"/>
      <c r="S4891" s="4"/>
      <c r="T4891" s="4"/>
      <c r="U4891" s="4"/>
      <c r="V4891" s="4"/>
      <c r="W4891" s="4"/>
      <c r="X4891" s="4"/>
    </row>
    <row r="4892" spans="17:24" x14ac:dyDescent="0.3">
      <c r="Q4892" s="4"/>
      <c r="R4892" s="4"/>
      <c r="S4892" s="4"/>
      <c r="T4892" s="4"/>
      <c r="U4892" s="4"/>
      <c r="V4892" s="4"/>
      <c r="W4892" s="4"/>
      <c r="X4892" s="4"/>
    </row>
    <row r="4893" spans="17:24" x14ac:dyDescent="0.3">
      <c r="Q4893" s="4"/>
      <c r="R4893" s="4"/>
      <c r="S4893" s="4"/>
      <c r="T4893" s="4"/>
      <c r="U4893" s="4"/>
      <c r="V4893" s="4"/>
      <c r="W4893" s="4"/>
      <c r="X4893" s="4"/>
    </row>
    <row r="4894" spans="17:24" x14ac:dyDescent="0.3">
      <c r="Q4894" s="4"/>
      <c r="R4894" s="4"/>
      <c r="S4894" s="4"/>
      <c r="T4894" s="4"/>
      <c r="U4894" s="4"/>
      <c r="V4894" s="4"/>
      <c r="W4894" s="4"/>
      <c r="X4894" s="4"/>
    </row>
    <row r="4895" spans="17:24" x14ac:dyDescent="0.3">
      <c r="Q4895" s="4"/>
      <c r="R4895" s="4"/>
      <c r="S4895" s="4"/>
      <c r="T4895" s="4"/>
      <c r="U4895" s="4"/>
      <c r="V4895" s="4"/>
      <c r="W4895" s="4"/>
      <c r="X4895" s="4"/>
    </row>
    <row r="4896" spans="17:24" x14ac:dyDescent="0.3">
      <c r="Q4896" s="4"/>
      <c r="R4896" s="4"/>
      <c r="S4896" s="4"/>
      <c r="T4896" s="4"/>
      <c r="U4896" s="4"/>
      <c r="V4896" s="4"/>
      <c r="W4896" s="4"/>
      <c r="X4896" s="4"/>
    </row>
    <row r="4897" spans="17:24" x14ac:dyDescent="0.3">
      <c r="Q4897" s="4"/>
      <c r="R4897" s="4"/>
      <c r="S4897" s="4"/>
      <c r="T4897" s="4"/>
      <c r="U4897" s="4"/>
      <c r="V4897" s="4"/>
      <c r="W4897" s="4"/>
      <c r="X4897" s="4"/>
    </row>
    <row r="4898" spans="17:24" x14ac:dyDescent="0.3">
      <c r="Q4898" s="4"/>
      <c r="R4898" s="4"/>
      <c r="S4898" s="4"/>
      <c r="T4898" s="4"/>
      <c r="U4898" s="4"/>
      <c r="V4898" s="4"/>
      <c r="W4898" s="4"/>
      <c r="X4898" s="4"/>
    </row>
    <row r="4899" spans="17:24" x14ac:dyDescent="0.3">
      <c r="Q4899" s="4"/>
      <c r="R4899" s="4"/>
      <c r="S4899" s="4"/>
      <c r="T4899" s="4"/>
      <c r="U4899" s="4"/>
      <c r="V4899" s="4"/>
      <c r="W4899" s="4"/>
      <c r="X4899" s="4"/>
    </row>
    <row r="4900" spans="17:24" x14ac:dyDescent="0.3">
      <c r="Q4900" s="4"/>
      <c r="R4900" s="4"/>
      <c r="S4900" s="4"/>
      <c r="T4900" s="4"/>
      <c r="U4900" s="4"/>
      <c r="V4900" s="4"/>
      <c r="W4900" s="4"/>
      <c r="X4900" s="4"/>
    </row>
    <row r="4901" spans="17:24" x14ac:dyDescent="0.3">
      <c r="Q4901" s="4"/>
      <c r="R4901" s="4"/>
      <c r="S4901" s="4"/>
      <c r="T4901" s="4"/>
      <c r="U4901" s="4"/>
      <c r="V4901" s="4"/>
      <c r="W4901" s="4"/>
      <c r="X4901" s="4"/>
    </row>
    <row r="4902" spans="17:24" x14ac:dyDescent="0.3">
      <c r="Q4902" s="4"/>
      <c r="R4902" s="4"/>
      <c r="S4902" s="4"/>
      <c r="T4902" s="4"/>
      <c r="U4902" s="4"/>
      <c r="V4902" s="4"/>
      <c r="W4902" s="4"/>
      <c r="X4902" s="4"/>
    </row>
    <row r="4903" spans="17:24" x14ac:dyDescent="0.3">
      <c r="Q4903" s="4"/>
      <c r="R4903" s="4"/>
      <c r="S4903" s="4"/>
      <c r="T4903" s="4"/>
      <c r="U4903" s="4"/>
      <c r="V4903" s="4"/>
      <c r="W4903" s="4"/>
      <c r="X4903" s="4"/>
    </row>
    <row r="4904" spans="17:24" x14ac:dyDescent="0.3">
      <c r="Q4904" s="4"/>
      <c r="R4904" s="4"/>
      <c r="S4904" s="4"/>
      <c r="T4904" s="4"/>
      <c r="U4904" s="4"/>
      <c r="V4904" s="4"/>
      <c r="W4904" s="4"/>
      <c r="X4904" s="4"/>
    </row>
    <row r="4905" spans="17:24" x14ac:dyDescent="0.3">
      <c r="Q4905" s="4"/>
      <c r="R4905" s="4"/>
      <c r="S4905" s="4"/>
      <c r="T4905" s="4"/>
      <c r="U4905" s="4"/>
      <c r="V4905" s="4"/>
      <c r="W4905" s="4"/>
      <c r="X4905" s="4"/>
    </row>
    <row r="4906" spans="17:24" x14ac:dyDescent="0.3">
      <c r="Q4906" s="4"/>
      <c r="R4906" s="4"/>
      <c r="S4906" s="4"/>
      <c r="T4906" s="4"/>
      <c r="U4906" s="4"/>
      <c r="V4906" s="4"/>
      <c r="W4906" s="4"/>
      <c r="X4906" s="4"/>
    </row>
    <row r="4907" spans="17:24" x14ac:dyDescent="0.3">
      <c r="Q4907" s="4"/>
      <c r="R4907" s="4"/>
      <c r="S4907" s="4"/>
      <c r="T4907" s="4"/>
      <c r="U4907" s="4"/>
      <c r="V4907" s="4"/>
      <c r="W4907" s="4"/>
      <c r="X4907" s="4"/>
    </row>
    <row r="4908" spans="17:24" x14ac:dyDescent="0.3">
      <c r="Q4908" s="4"/>
      <c r="R4908" s="4"/>
      <c r="S4908" s="4"/>
      <c r="T4908" s="4"/>
      <c r="U4908" s="4"/>
      <c r="V4908" s="4"/>
      <c r="W4908" s="4"/>
      <c r="X4908" s="4"/>
    </row>
    <row r="4909" spans="17:24" x14ac:dyDescent="0.3">
      <c r="Q4909" s="4"/>
      <c r="R4909" s="4"/>
      <c r="S4909" s="4"/>
      <c r="T4909" s="4"/>
      <c r="U4909" s="4"/>
      <c r="V4909" s="4"/>
      <c r="W4909" s="4"/>
      <c r="X4909" s="4"/>
    </row>
    <row r="4910" spans="17:24" x14ac:dyDescent="0.3">
      <c r="Q4910" s="4"/>
      <c r="R4910" s="4"/>
      <c r="S4910" s="4"/>
      <c r="T4910" s="4"/>
      <c r="U4910" s="4"/>
      <c r="V4910" s="4"/>
      <c r="W4910" s="4"/>
      <c r="X4910" s="4"/>
    </row>
    <row r="4911" spans="17:24" x14ac:dyDescent="0.3">
      <c r="Q4911" s="4"/>
      <c r="R4911" s="4"/>
      <c r="S4911" s="4"/>
      <c r="T4911" s="4"/>
      <c r="U4911" s="4"/>
      <c r="V4911" s="4"/>
      <c r="W4911" s="4"/>
      <c r="X4911" s="4"/>
    </row>
    <row r="4912" spans="17:24" x14ac:dyDescent="0.3">
      <c r="Q4912" s="4"/>
      <c r="R4912" s="4"/>
      <c r="S4912" s="4"/>
      <c r="T4912" s="4"/>
      <c r="U4912" s="4"/>
      <c r="V4912" s="4"/>
      <c r="W4912" s="4"/>
      <c r="X4912" s="4"/>
    </row>
    <row r="4913" spans="17:24" x14ac:dyDescent="0.3">
      <c r="Q4913" s="4"/>
      <c r="R4913" s="4"/>
      <c r="S4913" s="4"/>
      <c r="T4913" s="4"/>
      <c r="U4913" s="4"/>
      <c r="V4913" s="4"/>
      <c r="W4913" s="4"/>
      <c r="X4913" s="4"/>
    </row>
    <row r="4914" spans="17:24" x14ac:dyDescent="0.3">
      <c r="Q4914" s="4"/>
      <c r="R4914" s="4"/>
      <c r="S4914" s="4"/>
      <c r="T4914" s="4"/>
      <c r="U4914" s="4"/>
      <c r="V4914" s="4"/>
      <c r="W4914" s="4"/>
      <c r="X4914" s="4"/>
    </row>
    <row r="4915" spans="17:24" x14ac:dyDescent="0.3">
      <c r="Q4915" s="4"/>
      <c r="R4915" s="4"/>
      <c r="S4915" s="4"/>
      <c r="T4915" s="4"/>
      <c r="U4915" s="4"/>
      <c r="V4915" s="4"/>
      <c r="W4915" s="4"/>
      <c r="X4915" s="4"/>
    </row>
    <row r="4916" spans="17:24" x14ac:dyDescent="0.3">
      <c r="Q4916" s="4"/>
      <c r="R4916" s="4"/>
      <c r="S4916" s="4"/>
      <c r="T4916" s="4"/>
      <c r="U4916" s="4"/>
      <c r="V4916" s="4"/>
      <c r="W4916" s="4"/>
      <c r="X4916" s="4"/>
    </row>
    <row r="4917" spans="17:24" x14ac:dyDescent="0.3">
      <c r="Q4917" s="4"/>
      <c r="R4917" s="4"/>
      <c r="S4917" s="4"/>
      <c r="T4917" s="4"/>
      <c r="U4917" s="4"/>
      <c r="V4917" s="4"/>
      <c r="W4917" s="4"/>
      <c r="X4917" s="4"/>
    </row>
    <row r="4918" spans="17:24" x14ac:dyDescent="0.3">
      <c r="Q4918" s="4"/>
      <c r="R4918" s="4"/>
      <c r="S4918" s="4"/>
      <c r="T4918" s="4"/>
      <c r="U4918" s="4"/>
      <c r="V4918" s="4"/>
      <c r="W4918" s="4"/>
      <c r="X4918" s="4"/>
    </row>
    <row r="4919" spans="17:24" x14ac:dyDescent="0.3">
      <c r="Q4919" s="4"/>
      <c r="R4919" s="4"/>
      <c r="S4919" s="4"/>
      <c r="T4919" s="4"/>
      <c r="U4919" s="4"/>
      <c r="V4919" s="4"/>
      <c r="W4919" s="4"/>
      <c r="X4919" s="4"/>
    </row>
    <row r="4920" spans="17:24" x14ac:dyDescent="0.3">
      <c r="Q4920" s="4"/>
      <c r="R4920" s="4"/>
      <c r="S4920" s="4"/>
      <c r="T4920" s="4"/>
      <c r="U4920" s="4"/>
      <c r="V4920" s="4"/>
      <c r="W4920" s="4"/>
      <c r="X4920" s="4"/>
    </row>
    <row r="4921" spans="17:24" x14ac:dyDescent="0.3">
      <c r="Q4921" s="4"/>
      <c r="R4921" s="4"/>
      <c r="S4921" s="4"/>
      <c r="T4921" s="4"/>
      <c r="U4921" s="4"/>
      <c r="V4921" s="4"/>
      <c r="W4921" s="4"/>
      <c r="X4921" s="4"/>
    </row>
    <row r="4922" spans="17:24" x14ac:dyDescent="0.3">
      <c r="Q4922" s="4"/>
      <c r="R4922" s="4"/>
      <c r="S4922" s="4"/>
      <c r="T4922" s="4"/>
      <c r="U4922" s="4"/>
      <c r="V4922" s="4"/>
      <c r="W4922" s="4"/>
      <c r="X4922" s="4"/>
    </row>
    <row r="4923" spans="17:24" x14ac:dyDescent="0.3">
      <c r="Q4923" s="4"/>
      <c r="R4923" s="4"/>
      <c r="S4923" s="4"/>
      <c r="T4923" s="4"/>
      <c r="U4923" s="4"/>
      <c r="V4923" s="4"/>
      <c r="W4923" s="4"/>
      <c r="X4923" s="4"/>
    </row>
    <row r="4924" spans="17:24" x14ac:dyDescent="0.3">
      <c r="Q4924" s="4"/>
      <c r="R4924" s="4"/>
      <c r="S4924" s="4"/>
      <c r="T4924" s="4"/>
      <c r="U4924" s="4"/>
      <c r="V4924" s="4"/>
      <c r="W4924" s="4"/>
      <c r="X4924" s="4"/>
    </row>
    <row r="4925" spans="17:24" x14ac:dyDescent="0.3">
      <c r="Q4925" s="4"/>
      <c r="R4925" s="4"/>
      <c r="S4925" s="4"/>
      <c r="T4925" s="4"/>
      <c r="U4925" s="4"/>
      <c r="V4925" s="4"/>
      <c r="W4925" s="4"/>
      <c r="X4925" s="4"/>
    </row>
    <row r="4926" spans="17:24" x14ac:dyDescent="0.3">
      <c r="Q4926" s="4"/>
      <c r="R4926" s="4"/>
      <c r="S4926" s="4"/>
      <c r="T4926" s="4"/>
      <c r="U4926" s="4"/>
      <c r="V4926" s="4"/>
      <c r="W4926" s="4"/>
      <c r="X4926" s="4"/>
    </row>
    <row r="4927" spans="17:24" x14ac:dyDescent="0.3">
      <c r="Q4927" s="4"/>
      <c r="R4927" s="4"/>
      <c r="S4927" s="4"/>
      <c r="T4927" s="4"/>
      <c r="U4927" s="4"/>
      <c r="V4927" s="4"/>
      <c r="W4927" s="4"/>
      <c r="X4927" s="4"/>
    </row>
    <row r="4928" spans="17:24" x14ac:dyDescent="0.3">
      <c r="Q4928" s="4"/>
      <c r="R4928" s="4"/>
      <c r="S4928" s="4"/>
      <c r="T4928" s="4"/>
      <c r="U4928" s="4"/>
      <c r="V4928" s="4"/>
      <c r="W4928" s="4"/>
      <c r="X4928" s="4"/>
    </row>
    <row r="4929" spans="17:24" x14ac:dyDescent="0.3">
      <c r="Q4929" s="4"/>
      <c r="R4929" s="4"/>
      <c r="S4929" s="4"/>
      <c r="T4929" s="4"/>
      <c r="U4929" s="4"/>
      <c r="V4929" s="4"/>
      <c r="W4929" s="4"/>
      <c r="X4929" s="4"/>
    </row>
    <row r="4930" spans="17:24" x14ac:dyDescent="0.3">
      <c r="Q4930" s="4"/>
      <c r="R4930" s="4"/>
      <c r="S4930" s="4"/>
      <c r="T4930" s="4"/>
      <c r="U4930" s="4"/>
      <c r="V4930" s="4"/>
      <c r="W4930" s="4"/>
      <c r="X4930" s="4"/>
    </row>
    <row r="4931" spans="17:24" x14ac:dyDescent="0.3">
      <c r="Q4931" s="4"/>
      <c r="R4931" s="4"/>
      <c r="S4931" s="4"/>
      <c r="T4931" s="4"/>
      <c r="U4931" s="4"/>
      <c r="V4931" s="4"/>
      <c r="W4931" s="4"/>
      <c r="X4931" s="4"/>
    </row>
    <row r="4932" spans="17:24" x14ac:dyDescent="0.3">
      <c r="Q4932" s="4"/>
      <c r="R4932" s="4"/>
      <c r="S4932" s="4"/>
      <c r="T4932" s="4"/>
      <c r="U4932" s="4"/>
      <c r="V4932" s="4"/>
      <c r="W4932" s="4"/>
      <c r="X4932" s="4"/>
    </row>
    <row r="4933" spans="17:24" x14ac:dyDescent="0.3">
      <c r="Q4933" s="4"/>
      <c r="R4933" s="4"/>
      <c r="S4933" s="4"/>
      <c r="T4933" s="4"/>
      <c r="U4933" s="4"/>
      <c r="V4933" s="4"/>
      <c r="W4933" s="4"/>
      <c r="X4933" s="4"/>
    </row>
    <row r="4934" spans="17:24" x14ac:dyDescent="0.3">
      <c r="Q4934" s="4"/>
      <c r="R4934" s="4"/>
      <c r="S4934" s="4"/>
      <c r="T4934" s="4"/>
      <c r="U4934" s="4"/>
      <c r="V4934" s="4"/>
      <c r="W4934" s="4"/>
      <c r="X4934" s="4"/>
    </row>
    <row r="4935" spans="17:24" x14ac:dyDescent="0.3">
      <c r="Q4935" s="4"/>
      <c r="R4935" s="4"/>
      <c r="S4935" s="4"/>
      <c r="T4935" s="4"/>
      <c r="U4935" s="4"/>
      <c r="V4935" s="4"/>
      <c r="W4935" s="4"/>
      <c r="X4935" s="4"/>
    </row>
    <row r="4936" spans="17:24" x14ac:dyDescent="0.3">
      <c r="Q4936" s="4"/>
      <c r="R4936" s="4"/>
      <c r="S4936" s="4"/>
      <c r="T4936" s="4"/>
      <c r="U4936" s="4"/>
      <c r="V4936" s="4"/>
      <c r="W4936" s="4"/>
      <c r="X4936" s="4"/>
    </row>
    <row r="4937" spans="17:24" x14ac:dyDescent="0.3">
      <c r="Q4937" s="4"/>
      <c r="R4937" s="4"/>
      <c r="S4937" s="4"/>
      <c r="T4937" s="4"/>
      <c r="U4937" s="4"/>
      <c r="V4937" s="4"/>
      <c r="W4937" s="4"/>
      <c r="X4937" s="4"/>
    </row>
    <row r="4938" spans="17:24" x14ac:dyDescent="0.3">
      <c r="Q4938" s="4"/>
      <c r="R4938" s="4"/>
      <c r="S4938" s="4"/>
      <c r="T4938" s="4"/>
      <c r="U4938" s="4"/>
      <c r="V4938" s="4"/>
      <c r="W4938" s="4"/>
      <c r="X4938" s="4"/>
    </row>
    <row r="4939" spans="17:24" x14ac:dyDescent="0.3">
      <c r="Q4939" s="4"/>
      <c r="R4939" s="4"/>
      <c r="S4939" s="4"/>
      <c r="T4939" s="4"/>
      <c r="U4939" s="4"/>
      <c r="V4939" s="4"/>
      <c r="W4939" s="4"/>
      <c r="X4939" s="4"/>
    </row>
    <row r="4940" spans="17:24" x14ac:dyDescent="0.3">
      <c r="Q4940" s="4"/>
      <c r="R4940" s="4"/>
      <c r="S4940" s="4"/>
      <c r="T4940" s="4"/>
      <c r="U4940" s="4"/>
      <c r="V4940" s="4"/>
      <c r="W4940" s="4"/>
      <c r="X4940" s="4"/>
    </row>
    <row r="4941" spans="17:24" x14ac:dyDescent="0.3">
      <c r="Q4941" s="4"/>
      <c r="R4941" s="4"/>
      <c r="S4941" s="4"/>
      <c r="T4941" s="4"/>
      <c r="U4941" s="4"/>
      <c r="V4941" s="4"/>
      <c r="W4941" s="4"/>
      <c r="X4941" s="4"/>
    </row>
    <row r="4942" spans="17:24" x14ac:dyDescent="0.3">
      <c r="Q4942" s="4"/>
      <c r="R4942" s="4"/>
      <c r="S4942" s="4"/>
      <c r="T4942" s="4"/>
      <c r="U4942" s="4"/>
      <c r="V4942" s="4"/>
      <c r="W4942" s="4"/>
      <c r="X4942" s="4"/>
    </row>
    <row r="4943" spans="17:24" x14ac:dyDescent="0.3">
      <c r="Q4943" s="4"/>
      <c r="R4943" s="4"/>
      <c r="S4943" s="4"/>
      <c r="T4943" s="4"/>
      <c r="U4943" s="4"/>
      <c r="V4943" s="4"/>
      <c r="W4943" s="4"/>
      <c r="X4943" s="4"/>
    </row>
    <row r="4944" spans="17:24" x14ac:dyDescent="0.3">
      <c r="Q4944" s="4"/>
      <c r="R4944" s="4"/>
      <c r="S4944" s="4"/>
      <c r="T4944" s="4"/>
      <c r="U4944" s="4"/>
      <c r="V4944" s="4"/>
      <c r="W4944" s="4"/>
      <c r="X4944" s="4"/>
    </row>
    <row r="4945" spans="17:24" x14ac:dyDescent="0.3">
      <c r="Q4945" s="4"/>
      <c r="R4945" s="4"/>
      <c r="S4945" s="4"/>
      <c r="T4945" s="4"/>
      <c r="U4945" s="4"/>
      <c r="V4945" s="4"/>
      <c r="W4945" s="4"/>
      <c r="X4945" s="4"/>
    </row>
    <row r="4946" spans="17:24" x14ac:dyDescent="0.3">
      <c r="Q4946" s="4"/>
      <c r="R4946" s="4"/>
      <c r="S4946" s="4"/>
      <c r="T4946" s="4"/>
      <c r="U4946" s="4"/>
      <c r="V4946" s="4"/>
      <c r="W4946" s="4"/>
      <c r="X4946" s="4"/>
    </row>
    <row r="4947" spans="17:24" x14ac:dyDescent="0.3">
      <c r="Q4947" s="4"/>
      <c r="R4947" s="4"/>
      <c r="S4947" s="4"/>
      <c r="T4947" s="4"/>
      <c r="U4947" s="4"/>
      <c r="V4947" s="4"/>
      <c r="W4947" s="4"/>
      <c r="X4947" s="4"/>
    </row>
    <row r="4948" spans="17:24" x14ac:dyDescent="0.3">
      <c r="Q4948" s="4"/>
      <c r="R4948" s="4"/>
      <c r="S4948" s="4"/>
      <c r="T4948" s="4"/>
      <c r="U4948" s="4"/>
      <c r="V4948" s="4"/>
      <c r="W4948" s="4"/>
      <c r="X4948" s="4"/>
    </row>
    <row r="4949" spans="17:24" x14ac:dyDescent="0.3">
      <c r="Q4949" s="4"/>
      <c r="R4949" s="4"/>
      <c r="S4949" s="4"/>
      <c r="T4949" s="4"/>
      <c r="U4949" s="4"/>
      <c r="V4949" s="4"/>
      <c r="W4949" s="4"/>
      <c r="X4949" s="4"/>
    </row>
    <row r="4950" spans="17:24" x14ac:dyDescent="0.3">
      <c r="Q4950" s="4"/>
      <c r="R4950" s="4"/>
      <c r="S4950" s="4"/>
      <c r="T4950" s="4"/>
      <c r="U4950" s="4"/>
      <c r="V4950" s="4"/>
      <c r="W4950" s="4"/>
      <c r="X4950" s="4"/>
    </row>
    <row r="4951" spans="17:24" x14ac:dyDescent="0.3">
      <c r="Q4951" s="4"/>
      <c r="R4951" s="4"/>
      <c r="S4951" s="4"/>
      <c r="T4951" s="4"/>
      <c r="U4951" s="4"/>
      <c r="V4951" s="4"/>
      <c r="W4951" s="4"/>
      <c r="X4951" s="4"/>
    </row>
    <row r="4952" spans="17:24" x14ac:dyDescent="0.3">
      <c r="Q4952" s="4"/>
      <c r="R4952" s="4"/>
      <c r="S4952" s="4"/>
      <c r="T4952" s="4"/>
      <c r="U4952" s="4"/>
      <c r="V4952" s="4"/>
      <c r="W4952" s="4"/>
      <c r="X4952" s="4"/>
    </row>
    <row r="4953" spans="17:24" x14ac:dyDescent="0.3">
      <c r="Q4953" s="4"/>
      <c r="R4953" s="4"/>
      <c r="S4953" s="4"/>
      <c r="T4953" s="4"/>
      <c r="U4953" s="4"/>
      <c r="V4953" s="4"/>
      <c r="W4953" s="4"/>
      <c r="X4953" s="4"/>
    </row>
    <row r="4954" spans="17:24" x14ac:dyDescent="0.3">
      <c r="Q4954" s="4"/>
      <c r="R4954" s="4"/>
      <c r="S4954" s="4"/>
      <c r="T4954" s="4"/>
      <c r="U4954" s="4"/>
      <c r="V4954" s="4"/>
      <c r="W4954" s="4"/>
      <c r="X4954" s="4"/>
    </row>
    <row r="4955" spans="17:24" x14ac:dyDescent="0.3">
      <c r="Q4955" s="4"/>
      <c r="R4955" s="4"/>
      <c r="S4955" s="4"/>
      <c r="T4955" s="4"/>
      <c r="U4955" s="4"/>
      <c r="V4955" s="4"/>
      <c r="W4955" s="4"/>
      <c r="X4955" s="4"/>
    </row>
    <row r="4956" spans="17:24" x14ac:dyDescent="0.3">
      <c r="Q4956" s="4"/>
      <c r="R4956" s="4"/>
      <c r="S4956" s="4"/>
      <c r="T4956" s="4"/>
      <c r="U4956" s="4"/>
      <c r="V4956" s="4"/>
      <c r="W4956" s="4"/>
      <c r="X4956" s="4"/>
    </row>
    <row r="4957" spans="17:24" x14ac:dyDescent="0.3">
      <c r="Q4957" s="4"/>
      <c r="R4957" s="4"/>
      <c r="S4957" s="4"/>
      <c r="T4957" s="4"/>
      <c r="U4957" s="4"/>
      <c r="V4957" s="4"/>
      <c r="W4957" s="4"/>
      <c r="X4957" s="4"/>
    </row>
    <row r="4958" spans="17:24" x14ac:dyDescent="0.3">
      <c r="Q4958" s="4"/>
      <c r="R4958" s="4"/>
      <c r="S4958" s="4"/>
      <c r="T4958" s="4"/>
      <c r="U4958" s="4"/>
      <c r="V4958" s="4"/>
      <c r="W4958" s="4"/>
      <c r="X4958" s="4"/>
    </row>
    <row r="4959" spans="17:24" x14ac:dyDescent="0.3">
      <c r="Q4959" s="4"/>
      <c r="R4959" s="4"/>
      <c r="S4959" s="4"/>
      <c r="T4959" s="4"/>
      <c r="U4959" s="4"/>
      <c r="V4959" s="4"/>
      <c r="W4959" s="4"/>
      <c r="X4959" s="4"/>
    </row>
    <row r="4960" spans="17:24" x14ac:dyDescent="0.3">
      <c r="Q4960" s="4"/>
      <c r="R4960" s="4"/>
      <c r="S4960" s="4"/>
      <c r="T4960" s="4"/>
      <c r="U4960" s="4"/>
      <c r="V4960" s="4"/>
      <c r="W4960" s="4"/>
      <c r="X4960" s="4"/>
    </row>
    <row r="4961" spans="17:24" x14ac:dyDescent="0.3">
      <c r="Q4961" s="4"/>
      <c r="R4961" s="4"/>
      <c r="S4961" s="4"/>
      <c r="T4961" s="4"/>
      <c r="U4961" s="4"/>
      <c r="V4961" s="4"/>
      <c r="W4961" s="4"/>
      <c r="X4961" s="4"/>
    </row>
    <row r="4962" spans="17:24" x14ac:dyDescent="0.3">
      <c r="Q4962" s="4"/>
      <c r="R4962" s="4"/>
      <c r="S4962" s="4"/>
      <c r="T4962" s="4"/>
      <c r="U4962" s="4"/>
      <c r="V4962" s="4"/>
      <c r="W4962" s="4"/>
      <c r="X4962" s="4"/>
    </row>
    <row r="4963" spans="17:24" x14ac:dyDescent="0.3">
      <c r="Q4963" s="4"/>
      <c r="R4963" s="4"/>
      <c r="S4963" s="4"/>
      <c r="T4963" s="4"/>
      <c r="U4963" s="4"/>
      <c r="V4963" s="4"/>
      <c r="W4963" s="4"/>
      <c r="X4963" s="4"/>
    </row>
    <row r="4964" spans="17:24" x14ac:dyDescent="0.3">
      <c r="Q4964" s="4"/>
      <c r="R4964" s="4"/>
      <c r="S4964" s="4"/>
      <c r="T4964" s="4"/>
      <c r="U4964" s="4"/>
      <c r="V4964" s="4"/>
      <c r="W4964" s="4"/>
      <c r="X4964" s="4"/>
    </row>
    <row r="4965" spans="17:24" x14ac:dyDescent="0.3">
      <c r="Q4965" s="4"/>
      <c r="R4965" s="4"/>
      <c r="S4965" s="4"/>
      <c r="T4965" s="4"/>
      <c r="U4965" s="4"/>
      <c r="V4965" s="4"/>
      <c r="W4965" s="4"/>
      <c r="X4965" s="4"/>
    </row>
    <row r="4966" spans="17:24" x14ac:dyDescent="0.3">
      <c r="Q4966" s="4"/>
      <c r="R4966" s="4"/>
      <c r="S4966" s="4"/>
      <c r="T4966" s="4"/>
      <c r="U4966" s="4"/>
      <c r="V4966" s="4"/>
      <c r="W4966" s="4"/>
      <c r="X4966" s="4"/>
    </row>
    <row r="4967" spans="17:24" x14ac:dyDescent="0.3">
      <c r="Q4967" s="4"/>
      <c r="R4967" s="4"/>
      <c r="S4967" s="4"/>
      <c r="T4967" s="4"/>
      <c r="U4967" s="4"/>
      <c r="V4967" s="4"/>
      <c r="W4967" s="4"/>
      <c r="X4967" s="4"/>
    </row>
    <row r="4968" spans="17:24" x14ac:dyDescent="0.3">
      <c r="Q4968" s="4"/>
      <c r="R4968" s="4"/>
      <c r="S4968" s="4"/>
      <c r="T4968" s="4"/>
      <c r="U4968" s="4"/>
      <c r="V4968" s="4"/>
      <c r="W4968" s="4"/>
      <c r="X4968" s="4"/>
    </row>
    <row r="4969" spans="17:24" x14ac:dyDescent="0.3">
      <c r="Q4969" s="4"/>
      <c r="R4969" s="4"/>
      <c r="S4969" s="4"/>
      <c r="T4969" s="4"/>
      <c r="U4969" s="4"/>
      <c r="V4969" s="4"/>
      <c r="W4969" s="4"/>
      <c r="X4969" s="4"/>
    </row>
    <row r="4970" spans="17:24" x14ac:dyDescent="0.3">
      <c r="Q4970" s="4"/>
      <c r="R4970" s="4"/>
      <c r="S4970" s="4"/>
      <c r="T4970" s="4"/>
      <c r="U4970" s="4"/>
      <c r="V4970" s="4"/>
      <c r="W4970" s="4"/>
      <c r="X4970" s="4"/>
    </row>
    <row r="4971" spans="17:24" x14ac:dyDescent="0.3">
      <c r="Q4971" s="4"/>
      <c r="R4971" s="4"/>
      <c r="S4971" s="4"/>
      <c r="T4971" s="4"/>
      <c r="U4971" s="4"/>
      <c r="V4971" s="4"/>
      <c r="W4971" s="4"/>
      <c r="X4971" s="4"/>
    </row>
    <row r="4972" spans="17:24" x14ac:dyDescent="0.3">
      <c r="Q4972" s="4"/>
      <c r="R4972" s="4"/>
      <c r="S4972" s="4"/>
      <c r="T4972" s="4"/>
      <c r="U4972" s="4"/>
      <c r="V4972" s="4"/>
      <c r="W4972" s="4"/>
      <c r="X4972" s="4"/>
    </row>
    <row r="4973" spans="17:24" x14ac:dyDescent="0.3">
      <c r="Q4973" s="4"/>
      <c r="R4973" s="4"/>
      <c r="S4973" s="4"/>
      <c r="T4973" s="4"/>
      <c r="U4973" s="4"/>
      <c r="V4973" s="4"/>
      <c r="W4973" s="4"/>
      <c r="X4973" s="4"/>
    </row>
    <row r="4974" spans="17:24" x14ac:dyDescent="0.3">
      <c r="Q4974" s="4"/>
      <c r="R4974" s="4"/>
      <c r="S4974" s="4"/>
      <c r="T4974" s="4"/>
      <c r="U4974" s="4"/>
      <c r="V4974" s="4"/>
      <c r="W4974" s="4"/>
      <c r="X4974" s="4"/>
    </row>
    <row r="4975" spans="17:24" x14ac:dyDescent="0.3">
      <c r="Q4975" s="4"/>
      <c r="R4975" s="4"/>
      <c r="S4975" s="4"/>
      <c r="T4975" s="4"/>
      <c r="U4975" s="4"/>
      <c r="V4975" s="4"/>
      <c r="W4975" s="4"/>
      <c r="X4975" s="4"/>
    </row>
    <row r="4976" spans="17:24" x14ac:dyDescent="0.3">
      <c r="Q4976" s="4"/>
      <c r="R4976" s="4"/>
      <c r="S4976" s="4"/>
      <c r="T4976" s="4"/>
      <c r="U4976" s="4"/>
      <c r="V4976" s="4"/>
      <c r="W4976" s="4"/>
      <c r="X4976" s="4"/>
    </row>
    <row r="4977" spans="17:24" x14ac:dyDescent="0.3">
      <c r="Q4977" s="4"/>
      <c r="R4977" s="4"/>
      <c r="S4977" s="4"/>
      <c r="T4977" s="4"/>
      <c r="U4977" s="4"/>
      <c r="V4977" s="4"/>
      <c r="W4977" s="4"/>
      <c r="X4977" s="4"/>
    </row>
    <row r="4978" spans="17:24" x14ac:dyDescent="0.3">
      <c r="Q4978" s="4"/>
      <c r="R4978" s="4"/>
      <c r="S4978" s="4"/>
      <c r="T4978" s="4"/>
      <c r="U4978" s="4"/>
      <c r="V4978" s="4"/>
      <c r="W4978" s="4"/>
      <c r="X4978" s="4"/>
    </row>
    <row r="4979" spans="17:24" x14ac:dyDescent="0.3">
      <c r="Q4979" s="4"/>
      <c r="R4979" s="4"/>
      <c r="S4979" s="4"/>
      <c r="T4979" s="4"/>
      <c r="U4979" s="4"/>
      <c r="V4979" s="4"/>
      <c r="W4979" s="4"/>
      <c r="X4979" s="4"/>
    </row>
    <row r="4980" spans="17:24" x14ac:dyDescent="0.3">
      <c r="Q4980" s="4"/>
      <c r="R4980" s="4"/>
      <c r="S4980" s="4"/>
      <c r="T4980" s="4"/>
      <c r="U4980" s="4"/>
      <c r="V4980" s="4"/>
      <c r="W4980" s="4"/>
      <c r="X4980" s="4"/>
    </row>
    <row r="4981" spans="17:24" x14ac:dyDescent="0.3">
      <c r="Q4981" s="4"/>
      <c r="R4981" s="4"/>
      <c r="S4981" s="4"/>
      <c r="T4981" s="4"/>
      <c r="U4981" s="4"/>
      <c r="V4981" s="4"/>
      <c r="W4981" s="4"/>
      <c r="X4981" s="4"/>
    </row>
    <row r="4982" spans="17:24" x14ac:dyDescent="0.3">
      <c r="Q4982" s="4"/>
      <c r="R4982" s="4"/>
      <c r="S4982" s="4"/>
      <c r="T4982" s="4"/>
      <c r="U4982" s="4"/>
      <c r="V4982" s="4"/>
      <c r="W4982" s="4"/>
      <c r="X4982" s="4"/>
    </row>
    <row r="4983" spans="17:24" x14ac:dyDescent="0.3">
      <c r="Q4983" s="4"/>
      <c r="R4983" s="4"/>
      <c r="S4983" s="4"/>
      <c r="T4983" s="4"/>
      <c r="U4983" s="4"/>
      <c r="V4983" s="4"/>
      <c r="W4983" s="4"/>
      <c r="X4983" s="4"/>
    </row>
    <row r="4984" spans="17:24" x14ac:dyDescent="0.3">
      <c r="Q4984" s="4"/>
      <c r="R4984" s="4"/>
      <c r="S4984" s="4"/>
      <c r="T4984" s="4"/>
      <c r="U4984" s="4"/>
      <c r="V4984" s="4"/>
      <c r="W4984" s="4"/>
      <c r="X4984" s="4"/>
    </row>
    <row r="4985" spans="17:24" x14ac:dyDescent="0.3">
      <c r="Q4985" s="4"/>
      <c r="R4985" s="4"/>
      <c r="S4985" s="4"/>
      <c r="T4985" s="4"/>
      <c r="U4985" s="4"/>
      <c r="V4985" s="4"/>
      <c r="W4985" s="4"/>
      <c r="X4985" s="4"/>
    </row>
    <row r="4986" spans="17:24" x14ac:dyDescent="0.3">
      <c r="Q4986" s="4"/>
      <c r="R4986" s="4"/>
      <c r="S4986" s="4"/>
      <c r="T4986" s="4"/>
      <c r="U4986" s="4"/>
      <c r="V4986" s="4"/>
      <c r="W4986" s="4"/>
      <c r="X4986" s="4"/>
    </row>
    <row r="4987" spans="17:24" x14ac:dyDescent="0.3">
      <c r="Q4987" s="4"/>
      <c r="R4987" s="4"/>
      <c r="S4987" s="4"/>
      <c r="T4987" s="4"/>
      <c r="U4987" s="4"/>
      <c r="V4987" s="4"/>
      <c r="W4987" s="4"/>
      <c r="X4987" s="4"/>
    </row>
    <row r="4988" spans="17:24" x14ac:dyDescent="0.3">
      <c r="Q4988" s="4"/>
      <c r="R4988" s="4"/>
      <c r="S4988" s="4"/>
      <c r="T4988" s="4"/>
      <c r="U4988" s="4"/>
      <c r="V4988" s="4"/>
      <c r="W4988" s="4"/>
      <c r="X4988" s="4"/>
    </row>
    <row r="4989" spans="17:24" x14ac:dyDescent="0.3">
      <c r="Q4989" s="4"/>
      <c r="R4989" s="4"/>
      <c r="S4989" s="4"/>
      <c r="T4989" s="4"/>
      <c r="U4989" s="4"/>
      <c r="V4989" s="4"/>
      <c r="W4989" s="4"/>
      <c r="X4989" s="4"/>
    </row>
    <row r="4990" spans="17:24" x14ac:dyDescent="0.3">
      <c r="Q4990" s="4"/>
      <c r="R4990" s="4"/>
      <c r="S4990" s="4"/>
      <c r="T4990" s="4"/>
      <c r="U4990" s="4"/>
      <c r="V4990" s="4"/>
      <c r="W4990" s="4"/>
      <c r="X4990" s="4"/>
    </row>
    <row r="4991" spans="17:24" x14ac:dyDescent="0.3">
      <c r="Q4991" s="4"/>
      <c r="R4991" s="4"/>
      <c r="S4991" s="4"/>
      <c r="T4991" s="4"/>
      <c r="U4991" s="4"/>
      <c r="V4991" s="4"/>
      <c r="W4991" s="4"/>
      <c r="X4991" s="4"/>
    </row>
    <row r="4992" spans="17:24" x14ac:dyDescent="0.3">
      <c r="Q4992" s="4"/>
      <c r="R4992" s="4"/>
      <c r="S4992" s="4"/>
      <c r="T4992" s="4"/>
      <c r="U4992" s="4"/>
      <c r="V4992" s="4"/>
      <c r="W4992" s="4"/>
      <c r="X4992" s="4"/>
    </row>
    <row r="4993" spans="17:24" x14ac:dyDescent="0.3">
      <c r="Q4993" s="4"/>
      <c r="R4993" s="4"/>
      <c r="S4993" s="4"/>
      <c r="T4993" s="4"/>
      <c r="U4993" s="4"/>
      <c r="V4993" s="4"/>
      <c r="W4993" s="4"/>
      <c r="X4993" s="4"/>
    </row>
    <row r="4994" spans="17:24" x14ac:dyDescent="0.3">
      <c r="Q4994" s="4"/>
      <c r="R4994" s="4"/>
      <c r="S4994" s="4"/>
      <c r="T4994" s="4"/>
      <c r="U4994" s="4"/>
      <c r="V4994" s="4"/>
      <c r="W4994" s="4"/>
      <c r="X4994" s="4"/>
    </row>
    <row r="4995" spans="17:24" x14ac:dyDescent="0.3">
      <c r="Q4995" s="4"/>
      <c r="R4995" s="4"/>
      <c r="S4995" s="4"/>
      <c r="T4995" s="4"/>
      <c r="U4995" s="4"/>
      <c r="V4995" s="4"/>
      <c r="W4995" s="4"/>
      <c r="X4995" s="4"/>
    </row>
    <row r="4996" spans="17:24" x14ac:dyDescent="0.3">
      <c r="Q4996" s="4"/>
      <c r="R4996" s="4"/>
      <c r="S4996" s="4"/>
      <c r="T4996" s="4"/>
      <c r="U4996" s="4"/>
      <c r="V4996" s="4"/>
      <c r="W4996" s="4"/>
      <c r="X4996" s="4"/>
    </row>
    <row r="4997" spans="17:24" x14ac:dyDescent="0.3">
      <c r="Q4997" s="4"/>
      <c r="R4997" s="4"/>
      <c r="S4997" s="4"/>
      <c r="T4997" s="4"/>
      <c r="U4997" s="4"/>
      <c r="V4997" s="4"/>
      <c r="W4997" s="4"/>
      <c r="X4997" s="4"/>
    </row>
    <row r="4998" spans="17:24" x14ac:dyDescent="0.3">
      <c r="Q4998" s="4"/>
      <c r="R4998" s="4"/>
      <c r="S4998" s="4"/>
      <c r="T4998" s="4"/>
      <c r="U4998" s="4"/>
      <c r="V4998" s="4"/>
      <c r="W4998" s="4"/>
      <c r="X4998" s="4"/>
    </row>
    <row r="4999" spans="17:24" x14ac:dyDescent="0.3">
      <c r="Q4999" s="4"/>
      <c r="R4999" s="4"/>
      <c r="S4999" s="4"/>
      <c r="T4999" s="4"/>
      <c r="U4999" s="4"/>
      <c r="V4999" s="4"/>
      <c r="W4999" s="4"/>
      <c r="X4999" s="4"/>
    </row>
    <row r="5000" spans="17:24" x14ac:dyDescent="0.3">
      <c r="Q5000" s="4"/>
      <c r="R5000" s="4"/>
      <c r="S5000" s="4"/>
      <c r="T5000" s="4"/>
      <c r="U5000" s="4"/>
      <c r="V5000" s="4"/>
      <c r="W5000" s="4"/>
      <c r="X5000" s="4"/>
    </row>
    <row r="5001" spans="17:24" x14ac:dyDescent="0.3">
      <c r="Q5001" s="4"/>
      <c r="R5001" s="4"/>
      <c r="S5001" s="4"/>
      <c r="T5001" s="4"/>
      <c r="U5001" s="4"/>
      <c r="V5001" s="4"/>
      <c r="W5001" s="4"/>
      <c r="X5001" s="4"/>
    </row>
    <row r="5002" spans="17:24" x14ac:dyDescent="0.3">
      <c r="Q5002" s="4"/>
      <c r="R5002" s="4"/>
      <c r="S5002" s="4"/>
      <c r="T5002" s="4"/>
      <c r="U5002" s="4"/>
      <c r="V5002" s="4"/>
      <c r="W5002" s="4"/>
      <c r="X5002" s="4"/>
    </row>
    <row r="5003" spans="17:24" x14ac:dyDescent="0.3">
      <c r="Q5003" s="4"/>
      <c r="R5003" s="4"/>
      <c r="S5003" s="4"/>
      <c r="T5003" s="4"/>
      <c r="U5003" s="4"/>
      <c r="V5003" s="4"/>
      <c r="W5003" s="4"/>
      <c r="X5003" s="4"/>
    </row>
    <row r="5004" spans="17:24" x14ac:dyDescent="0.3">
      <c r="Q5004" s="4"/>
      <c r="R5004" s="4"/>
      <c r="S5004" s="4"/>
      <c r="T5004" s="4"/>
      <c r="U5004" s="4"/>
      <c r="V5004" s="4"/>
      <c r="W5004" s="4"/>
      <c r="X5004" s="4"/>
    </row>
    <row r="5005" spans="17:24" x14ac:dyDescent="0.3">
      <c r="Q5005" s="4"/>
      <c r="R5005" s="4"/>
      <c r="S5005" s="4"/>
      <c r="T5005" s="4"/>
      <c r="U5005" s="4"/>
      <c r="V5005" s="4"/>
      <c r="W5005" s="4"/>
      <c r="X5005" s="4"/>
    </row>
    <row r="5006" spans="17:24" x14ac:dyDescent="0.3">
      <c r="Q5006" s="4"/>
      <c r="R5006" s="4"/>
      <c r="S5006" s="4"/>
      <c r="T5006" s="4"/>
      <c r="U5006" s="4"/>
      <c r="V5006" s="4"/>
      <c r="W5006" s="4"/>
      <c r="X5006" s="4"/>
    </row>
    <row r="5007" spans="17:24" x14ac:dyDescent="0.3">
      <c r="Q5007" s="4"/>
      <c r="R5007" s="4"/>
      <c r="S5007" s="4"/>
      <c r="T5007" s="4"/>
      <c r="U5007" s="4"/>
      <c r="V5007" s="4"/>
      <c r="W5007" s="4"/>
      <c r="X5007" s="4"/>
    </row>
    <row r="5008" spans="17:24" x14ac:dyDescent="0.3">
      <c r="Q5008" s="4"/>
      <c r="R5008" s="4"/>
      <c r="S5008" s="4"/>
      <c r="T5008" s="4"/>
      <c r="U5008" s="4"/>
      <c r="V5008" s="4"/>
      <c r="W5008" s="4"/>
      <c r="X5008" s="4"/>
    </row>
    <row r="5009" spans="17:24" x14ac:dyDescent="0.3">
      <c r="Q5009" s="4"/>
      <c r="R5009" s="4"/>
      <c r="S5009" s="4"/>
      <c r="T5009" s="4"/>
      <c r="U5009" s="4"/>
      <c r="V5009" s="4"/>
      <c r="W5009" s="4"/>
      <c r="X5009" s="4"/>
    </row>
    <row r="5010" spans="17:24" x14ac:dyDescent="0.3">
      <c r="Q5010" s="4"/>
      <c r="R5010" s="4"/>
      <c r="S5010" s="4"/>
      <c r="T5010" s="4"/>
      <c r="U5010" s="4"/>
      <c r="V5010" s="4"/>
      <c r="W5010" s="4"/>
      <c r="X5010" s="4"/>
    </row>
    <row r="5011" spans="17:24" x14ac:dyDescent="0.3">
      <c r="Q5011" s="4"/>
      <c r="R5011" s="4"/>
      <c r="S5011" s="4"/>
      <c r="T5011" s="4"/>
      <c r="U5011" s="4"/>
      <c r="V5011" s="4"/>
      <c r="W5011" s="4"/>
      <c r="X5011" s="4"/>
    </row>
    <row r="5012" spans="17:24" x14ac:dyDescent="0.3">
      <c r="Q5012" s="4"/>
      <c r="R5012" s="4"/>
      <c r="S5012" s="4"/>
      <c r="T5012" s="4"/>
      <c r="U5012" s="4"/>
      <c r="V5012" s="4"/>
      <c r="W5012" s="4"/>
      <c r="X5012" s="4"/>
    </row>
    <row r="5013" spans="17:24" x14ac:dyDescent="0.3">
      <c r="Q5013" s="4"/>
      <c r="R5013" s="4"/>
      <c r="S5013" s="4"/>
      <c r="T5013" s="4"/>
      <c r="U5013" s="4"/>
      <c r="V5013" s="4"/>
      <c r="W5013" s="4"/>
      <c r="X5013" s="4"/>
    </row>
    <row r="5014" spans="17:24" x14ac:dyDescent="0.3">
      <c r="Q5014" s="4"/>
      <c r="R5014" s="4"/>
      <c r="S5014" s="4"/>
      <c r="T5014" s="4"/>
      <c r="U5014" s="4"/>
      <c r="V5014" s="4"/>
      <c r="W5014" s="4"/>
      <c r="X5014" s="4"/>
    </row>
    <row r="5015" spans="17:24" x14ac:dyDescent="0.3">
      <c r="Q5015" s="4"/>
      <c r="R5015" s="4"/>
      <c r="S5015" s="4"/>
      <c r="T5015" s="4"/>
      <c r="U5015" s="4"/>
      <c r="V5015" s="4"/>
      <c r="W5015" s="4"/>
      <c r="X5015" s="4"/>
    </row>
    <row r="5016" spans="17:24" x14ac:dyDescent="0.3">
      <c r="Q5016" s="4"/>
      <c r="R5016" s="4"/>
      <c r="S5016" s="4"/>
      <c r="T5016" s="4"/>
      <c r="U5016" s="4"/>
      <c r="V5016" s="4"/>
      <c r="W5016" s="4"/>
      <c r="X5016" s="4"/>
    </row>
    <row r="5017" spans="17:24" x14ac:dyDescent="0.3">
      <c r="Q5017" s="4"/>
      <c r="R5017" s="4"/>
      <c r="S5017" s="4"/>
      <c r="T5017" s="4"/>
      <c r="U5017" s="4"/>
      <c r="V5017" s="4"/>
      <c r="W5017" s="4"/>
      <c r="X5017" s="4"/>
    </row>
    <row r="5018" spans="17:24" x14ac:dyDescent="0.3">
      <c r="Q5018" s="4"/>
      <c r="R5018" s="4"/>
      <c r="S5018" s="4"/>
      <c r="T5018" s="4"/>
      <c r="U5018" s="4"/>
      <c r="V5018" s="4"/>
      <c r="W5018" s="4"/>
      <c r="X5018" s="4"/>
    </row>
    <row r="5019" spans="17:24" x14ac:dyDescent="0.3">
      <c r="Q5019" s="4"/>
      <c r="R5019" s="4"/>
      <c r="S5019" s="4"/>
      <c r="T5019" s="4"/>
      <c r="U5019" s="4"/>
      <c r="V5019" s="4"/>
      <c r="W5019" s="4"/>
      <c r="X5019" s="4"/>
    </row>
    <row r="5020" spans="17:24" x14ac:dyDescent="0.3">
      <c r="Q5020" s="4"/>
      <c r="R5020" s="4"/>
      <c r="S5020" s="4"/>
      <c r="T5020" s="4"/>
      <c r="U5020" s="4"/>
      <c r="V5020" s="4"/>
      <c r="W5020" s="4"/>
      <c r="X5020" s="4"/>
    </row>
    <row r="5021" spans="17:24" x14ac:dyDescent="0.3">
      <c r="Q5021" s="4"/>
      <c r="R5021" s="4"/>
      <c r="S5021" s="4"/>
      <c r="T5021" s="4"/>
      <c r="U5021" s="4"/>
      <c r="V5021" s="4"/>
      <c r="W5021" s="4"/>
      <c r="X5021" s="4"/>
    </row>
    <row r="5022" spans="17:24" x14ac:dyDescent="0.3">
      <c r="Q5022" s="4"/>
      <c r="R5022" s="4"/>
      <c r="S5022" s="4"/>
      <c r="T5022" s="4"/>
      <c r="U5022" s="4"/>
      <c r="V5022" s="4"/>
      <c r="W5022" s="4"/>
      <c r="X5022" s="4"/>
    </row>
    <row r="5023" spans="17:24" x14ac:dyDescent="0.3">
      <c r="Q5023" s="4"/>
      <c r="R5023" s="4"/>
      <c r="S5023" s="4"/>
      <c r="T5023" s="4"/>
      <c r="U5023" s="4"/>
      <c r="V5023" s="4"/>
      <c r="W5023" s="4"/>
      <c r="X5023" s="4"/>
    </row>
    <row r="5024" spans="17:24" x14ac:dyDescent="0.3">
      <c r="Q5024" s="4"/>
      <c r="R5024" s="4"/>
      <c r="S5024" s="4"/>
      <c r="T5024" s="4"/>
      <c r="U5024" s="4"/>
      <c r="V5024" s="4"/>
      <c r="W5024" s="4"/>
      <c r="X5024" s="4"/>
    </row>
    <row r="5025" spans="17:24" x14ac:dyDescent="0.3">
      <c r="Q5025" s="4"/>
      <c r="R5025" s="4"/>
      <c r="S5025" s="4"/>
      <c r="T5025" s="4"/>
      <c r="U5025" s="4"/>
      <c r="V5025" s="4"/>
      <c r="W5025" s="4"/>
      <c r="X5025" s="4"/>
    </row>
    <row r="5026" spans="17:24" x14ac:dyDescent="0.3">
      <c r="Q5026" s="4"/>
      <c r="R5026" s="4"/>
      <c r="S5026" s="4"/>
      <c r="T5026" s="4"/>
      <c r="U5026" s="4"/>
      <c r="V5026" s="4"/>
      <c r="W5026" s="4"/>
      <c r="X5026" s="4"/>
    </row>
    <row r="5027" spans="17:24" x14ac:dyDescent="0.3">
      <c r="Q5027" s="4"/>
      <c r="R5027" s="4"/>
      <c r="S5027" s="4"/>
      <c r="T5027" s="4"/>
      <c r="U5027" s="4"/>
      <c r="V5027" s="4"/>
      <c r="W5027" s="4"/>
      <c r="X5027" s="4"/>
    </row>
    <row r="5028" spans="17:24" x14ac:dyDescent="0.3">
      <c r="Q5028" s="4"/>
      <c r="R5028" s="4"/>
      <c r="S5028" s="4"/>
      <c r="T5028" s="4"/>
      <c r="U5028" s="4"/>
      <c r="V5028" s="4"/>
      <c r="W5028" s="4"/>
      <c r="X5028" s="4"/>
    </row>
    <row r="5029" spans="17:24" x14ac:dyDescent="0.3">
      <c r="Q5029" s="4"/>
      <c r="R5029" s="4"/>
      <c r="S5029" s="4"/>
      <c r="T5029" s="4"/>
      <c r="U5029" s="4"/>
      <c r="V5029" s="4"/>
      <c r="W5029" s="4"/>
      <c r="X5029" s="4"/>
    </row>
    <row r="5030" spans="17:24" x14ac:dyDescent="0.3">
      <c r="Q5030" s="4"/>
      <c r="R5030" s="4"/>
      <c r="S5030" s="4"/>
      <c r="T5030" s="4"/>
      <c r="U5030" s="4"/>
      <c r="V5030" s="4"/>
      <c r="W5030" s="4"/>
      <c r="X5030" s="4"/>
    </row>
    <row r="5031" spans="17:24" x14ac:dyDescent="0.3">
      <c r="Q5031" s="4"/>
      <c r="R5031" s="4"/>
      <c r="S5031" s="4"/>
      <c r="T5031" s="4"/>
      <c r="U5031" s="4"/>
      <c r="V5031" s="4"/>
      <c r="W5031" s="4"/>
      <c r="X5031" s="4"/>
    </row>
    <row r="5032" spans="17:24" x14ac:dyDescent="0.3">
      <c r="Q5032" s="4"/>
      <c r="R5032" s="4"/>
      <c r="S5032" s="4"/>
      <c r="T5032" s="4"/>
      <c r="U5032" s="4"/>
      <c r="V5032" s="4"/>
      <c r="W5032" s="4"/>
      <c r="X5032" s="4"/>
    </row>
    <row r="5033" spans="17:24" x14ac:dyDescent="0.3">
      <c r="Q5033" s="4"/>
      <c r="R5033" s="4"/>
      <c r="S5033" s="4"/>
      <c r="T5033" s="4"/>
      <c r="U5033" s="4"/>
      <c r="V5033" s="4"/>
      <c r="W5033" s="4"/>
      <c r="X5033" s="4"/>
    </row>
    <row r="5034" spans="17:24" x14ac:dyDescent="0.3">
      <c r="Q5034" s="4"/>
      <c r="R5034" s="4"/>
      <c r="S5034" s="4"/>
      <c r="T5034" s="4"/>
      <c r="U5034" s="4"/>
      <c r="V5034" s="4"/>
      <c r="W5034" s="4"/>
      <c r="X5034" s="4"/>
    </row>
    <row r="5035" spans="17:24" x14ac:dyDescent="0.3">
      <c r="Q5035" s="4"/>
      <c r="R5035" s="4"/>
      <c r="S5035" s="4"/>
      <c r="T5035" s="4"/>
      <c r="U5035" s="4"/>
      <c r="V5035" s="4"/>
      <c r="W5035" s="4"/>
      <c r="X5035" s="4"/>
    </row>
    <row r="5036" spans="17:24" x14ac:dyDescent="0.3">
      <c r="Q5036" s="4"/>
      <c r="R5036" s="4"/>
      <c r="S5036" s="4"/>
      <c r="T5036" s="4"/>
      <c r="U5036" s="4"/>
      <c r="V5036" s="4"/>
      <c r="W5036" s="4"/>
      <c r="X5036" s="4"/>
    </row>
    <row r="5037" spans="17:24" x14ac:dyDescent="0.3">
      <c r="Q5037" s="4"/>
      <c r="R5037" s="4"/>
      <c r="S5037" s="4"/>
      <c r="T5037" s="4"/>
      <c r="U5037" s="4"/>
      <c r="V5037" s="4"/>
      <c r="W5037" s="4"/>
      <c r="X5037" s="4"/>
    </row>
    <row r="5038" spans="17:24" x14ac:dyDescent="0.3">
      <c r="Q5038" s="4"/>
      <c r="R5038" s="4"/>
      <c r="S5038" s="4"/>
      <c r="T5038" s="4"/>
      <c r="U5038" s="4"/>
      <c r="V5038" s="4"/>
      <c r="W5038" s="4"/>
      <c r="X5038" s="4"/>
    </row>
    <row r="5039" spans="17:24" x14ac:dyDescent="0.3">
      <c r="Q5039" s="4"/>
      <c r="R5039" s="4"/>
      <c r="S5039" s="4"/>
      <c r="T5039" s="4"/>
      <c r="U5039" s="4"/>
      <c r="V5039" s="4"/>
      <c r="W5039" s="4"/>
      <c r="X5039" s="4"/>
    </row>
    <row r="5040" spans="17:24" x14ac:dyDescent="0.3">
      <c r="Q5040" s="4"/>
      <c r="R5040" s="4"/>
      <c r="S5040" s="4"/>
      <c r="T5040" s="4"/>
      <c r="U5040" s="4"/>
      <c r="V5040" s="4"/>
      <c r="W5040" s="4"/>
      <c r="X5040" s="4"/>
    </row>
    <row r="5041" spans="17:24" x14ac:dyDescent="0.3">
      <c r="Q5041" s="4"/>
      <c r="R5041" s="4"/>
      <c r="S5041" s="4"/>
      <c r="T5041" s="4"/>
      <c r="U5041" s="4"/>
      <c r="V5041" s="4"/>
      <c r="W5041" s="4"/>
      <c r="X5041" s="4"/>
    </row>
    <row r="5042" spans="17:24" x14ac:dyDescent="0.3">
      <c r="Q5042" s="4"/>
      <c r="R5042" s="4"/>
      <c r="S5042" s="4"/>
      <c r="T5042" s="4"/>
      <c r="U5042" s="4"/>
      <c r="V5042" s="4"/>
      <c r="W5042" s="4"/>
      <c r="X5042" s="4"/>
    </row>
    <row r="5043" spans="17:24" x14ac:dyDescent="0.3">
      <c r="Q5043" s="4"/>
      <c r="R5043" s="4"/>
      <c r="S5043" s="4"/>
      <c r="T5043" s="4"/>
      <c r="U5043" s="4"/>
      <c r="V5043" s="4"/>
      <c r="W5043" s="4"/>
      <c r="X5043" s="4"/>
    </row>
    <row r="5044" spans="17:24" x14ac:dyDescent="0.3">
      <c r="Q5044" s="4"/>
      <c r="R5044" s="4"/>
      <c r="S5044" s="4"/>
      <c r="T5044" s="4"/>
      <c r="U5044" s="4"/>
      <c r="V5044" s="4"/>
      <c r="W5044" s="4"/>
      <c r="X5044" s="4"/>
    </row>
    <row r="5045" spans="17:24" x14ac:dyDescent="0.3">
      <c r="Q5045" s="4"/>
      <c r="R5045" s="4"/>
      <c r="S5045" s="4"/>
      <c r="T5045" s="4"/>
      <c r="U5045" s="4"/>
      <c r="V5045" s="4"/>
      <c r="W5045" s="4"/>
      <c r="X5045" s="4"/>
    </row>
    <row r="5046" spans="17:24" x14ac:dyDescent="0.3">
      <c r="Q5046" s="4"/>
      <c r="R5046" s="4"/>
      <c r="S5046" s="4"/>
      <c r="T5046" s="4"/>
      <c r="U5046" s="4"/>
      <c r="V5046" s="4"/>
      <c r="W5046" s="4"/>
      <c r="X5046" s="4"/>
    </row>
    <row r="5047" spans="17:24" x14ac:dyDescent="0.3">
      <c r="Q5047" s="4"/>
      <c r="R5047" s="4"/>
      <c r="S5047" s="4"/>
      <c r="T5047" s="4"/>
      <c r="U5047" s="4"/>
      <c r="V5047" s="4"/>
      <c r="W5047" s="4"/>
      <c r="X5047" s="4"/>
    </row>
    <row r="5048" spans="17:24" x14ac:dyDescent="0.3">
      <c r="Q5048" s="4"/>
      <c r="R5048" s="4"/>
      <c r="S5048" s="4"/>
      <c r="T5048" s="4"/>
      <c r="U5048" s="4"/>
      <c r="V5048" s="4"/>
      <c r="W5048" s="4"/>
      <c r="X5048" s="4"/>
    </row>
    <row r="5049" spans="17:24" x14ac:dyDescent="0.3">
      <c r="Q5049" s="4"/>
      <c r="R5049" s="4"/>
      <c r="S5049" s="4"/>
      <c r="T5049" s="4"/>
      <c r="U5049" s="4"/>
      <c r="V5049" s="4"/>
      <c r="W5049" s="4"/>
      <c r="X5049" s="4"/>
    </row>
    <row r="5050" spans="17:24" x14ac:dyDescent="0.3">
      <c r="Q5050" s="4"/>
      <c r="R5050" s="4"/>
      <c r="S5050" s="4"/>
      <c r="T5050" s="4"/>
      <c r="U5050" s="4"/>
      <c r="V5050" s="4"/>
      <c r="W5050" s="4"/>
      <c r="X5050" s="4"/>
    </row>
    <row r="5051" spans="17:24" x14ac:dyDescent="0.3">
      <c r="Q5051" s="4"/>
      <c r="R5051" s="4"/>
      <c r="S5051" s="4"/>
      <c r="T5051" s="4"/>
      <c r="U5051" s="4"/>
      <c r="V5051" s="4"/>
      <c r="W5051" s="4"/>
      <c r="X5051" s="4"/>
    </row>
    <row r="5052" spans="17:24" x14ac:dyDescent="0.3">
      <c r="Q5052" s="4"/>
      <c r="R5052" s="4"/>
      <c r="S5052" s="4"/>
      <c r="T5052" s="4"/>
      <c r="U5052" s="4"/>
      <c r="V5052" s="4"/>
      <c r="W5052" s="4"/>
      <c r="X5052" s="4"/>
    </row>
    <row r="5053" spans="17:24" x14ac:dyDescent="0.3">
      <c r="Q5053" s="4"/>
      <c r="R5053" s="4"/>
      <c r="S5053" s="4"/>
      <c r="T5053" s="4"/>
      <c r="U5053" s="4"/>
      <c r="V5053" s="4"/>
      <c r="W5053" s="4"/>
      <c r="X5053" s="4"/>
    </row>
    <row r="5054" spans="17:24" x14ac:dyDescent="0.3">
      <c r="Q5054" s="4"/>
      <c r="R5054" s="4"/>
      <c r="S5054" s="4"/>
      <c r="T5054" s="4"/>
      <c r="U5054" s="4"/>
      <c r="V5054" s="4"/>
      <c r="W5054" s="4"/>
      <c r="X5054" s="4"/>
    </row>
    <row r="5055" spans="17:24" x14ac:dyDescent="0.3">
      <c r="Q5055" s="4"/>
      <c r="R5055" s="4"/>
      <c r="S5055" s="4"/>
      <c r="T5055" s="4"/>
      <c r="U5055" s="4"/>
      <c r="V5055" s="4"/>
      <c r="W5055" s="4"/>
      <c r="X5055" s="4"/>
    </row>
    <row r="5056" spans="17:24" x14ac:dyDescent="0.3">
      <c r="Q5056" s="4"/>
      <c r="R5056" s="4"/>
      <c r="S5056" s="4"/>
      <c r="T5056" s="4"/>
      <c r="U5056" s="4"/>
      <c r="V5056" s="4"/>
      <c r="W5056" s="4"/>
      <c r="X5056" s="4"/>
    </row>
    <row r="5057" spans="17:24" x14ac:dyDescent="0.3">
      <c r="Q5057" s="4"/>
      <c r="R5057" s="4"/>
      <c r="S5057" s="4"/>
      <c r="T5057" s="4"/>
      <c r="U5057" s="4"/>
      <c r="V5057" s="4"/>
      <c r="W5057" s="4"/>
      <c r="X5057" s="4"/>
    </row>
    <row r="5058" spans="17:24" x14ac:dyDescent="0.3">
      <c r="Q5058" s="4"/>
      <c r="R5058" s="4"/>
      <c r="S5058" s="4"/>
      <c r="T5058" s="4"/>
      <c r="U5058" s="4"/>
      <c r="V5058" s="4"/>
      <c r="W5058" s="4"/>
      <c r="X5058" s="4"/>
    </row>
    <row r="5059" spans="17:24" x14ac:dyDescent="0.3">
      <c r="Q5059" s="4"/>
      <c r="R5059" s="4"/>
      <c r="S5059" s="4"/>
      <c r="T5059" s="4"/>
      <c r="U5059" s="4"/>
      <c r="V5059" s="4"/>
      <c r="W5059" s="4"/>
      <c r="X5059" s="4"/>
    </row>
    <row r="5060" spans="17:24" x14ac:dyDescent="0.3">
      <c r="Q5060" s="4"/>
      <c r="R5060" s="4"/>
      <c r="S5060" s="4"/>
      <c r="T5060" s="4"/>
      <c r="U5060" s="4"/>
      <c r="V5060" s="4"/>
      <c r="W5060" s="4"/>
      <c r="X5060" s="4"/>
    </row>
    <row r="5061" spans="17:24" x14ac:dyDescent="0.3">
      <c r="Q5061" s="4"/>
      <c r="R5061" s="4"/>
      <c r="S5061" s="4"/>
      <c r="T5061" s="4"/>
      <c r="U5061" s="4"/>
      <c r="V5061" s="4"/>
      <c r="W5061" s="4"/>
      <c r="X5061" s="4"/>
    </row>
    <row r="5062" spans="17:24" x14ac:dyDescent="0.3">
      <c r="Q5062" s="4"/>
      <c r="R5062" s="4"/>
      <c r="S5062" s="4"/>
      <c r="T5062" s="4"/>
      <c r="U5062" s="4"/>
      <c r="V5062" s="4"/>
      <c r="W5062" s="4"/>
      <c r="X5062" s="4"/>
    </row>
    <row r="5063" spans="17:24" x14ac:dyDescent="0.3">
      <c r="Q5063" s="4"/>
      <c r="R5063" s="4"/>
      <c r="S5063" s="4"/>
      <c r="T5063" s="4"/>
      <c r="U5063" s="4"/>
      <c r="V5063" s="4"/>
      <c r="W5063" s="4"/>
      <c r="X5063" s="4"/>
    </row>
    <row r="5064" spans="17:24" x14ac:dyDescent="0.3">
      <c r="Q5064" s="4"/>
      <c r="R5064" s="4"/>
      <c r="S5064" s="4"/>
      <c r="T5064" s="4"/>
      <c r="U5064" s="4"/>
      <c r="V5064" s="4"/>
      <c r="W5064" s="4"/>
      <c r="X5064" s="4"/>
    </row>
    <row r="5065" spans="17:24" x14ac:dyDescent="0.3">
      <c r="Q5065" s="4"/>
      <c r="R5065" s="4"/>
      <c r="S5065" s="4"/>
      <c r="T5065" s="4"/>
      <c r="U5065" s="4"/>
      <c r="V5065" s="4"/>
      <c r="W5065" s="4"/>
      <c r="X5065" s="4"/>
    </row>
    <row r="5066" spans="17:24" x14ac:dyDescent="0.3">
      <c r="Q5066" s="4"/>
      <c r="R5066" s="4"/>
      <c r="S5066" s="4"/>
      <c r="T5066" s="4"/>
      <c r="U5066" s="4"/>
      <c r="V5066" s="4"/>
      <c r="W5066" s="4"/>
      <c r="X5066" s="4"/>
    </row>
    <row r="5067" spans="17:24" x14ac:dyDescent="0.3">
      <c r="Q5067" s="4"/>
      <c r="R5067" s="4"/>
      <c r="S5067" s="4"/>
      <c r="T5067" s="4"/>
      <c r="U5067" s="4"/>
      <c r="V5067" s="4"/>
      <c r="W5067" s="4"/>
      <c r="X5067" s="4"/>
    </row>
    <row r="5068" spans="17:24" x14ac:dyDescent="0.3">
      <c r="Q5068" s="4"/>
      <c r="R5068" s="4"/>
      <c r="S5068" s="4"/>
      <c r="T5068" s="4"/>
      <c r="U5068" s="4"/>
      <c r="V5068" s="4"/>
      <c r="W5068" s="4"/>
      <c r="X5068" s="4"/>
    </row>
    <row r="5069" spans="17:24" x14ac:dyDescent="0.3">
      <c r="Q5069" s="4"/>
      <c r="R5069" s="4"/>
      <c r="S5069" s="4"/>
      <c r="T5069" s="4"/>
      <c r="U5069" s="4"/>
      <c r="V5069" s="4"/>
      <c r="W5069" s="4"/>
      <c r="X5069" s="4"/>
    </row>
    <row r="5070" spans="17:24" x14ac:dyDescent="0.3">
      <c r="Q5070" s="4"/>
      <c r="R5070" s="4"/>
      <c r="S5070" s="4"/>
      <c r="T5070" s="4"/>
      <c r="U5070" s="4"/>
      <c r="V5070" s="4"/>
      <c r="W5070" s="4"/>
      <c r="X5070" s="4"/>
    </row>
    <row r="5071" spans="17:24" x14ac:dyDescent="0.3">
      <c r="Q5071" s="4"/>
      <c r="R5071" s="4"/>
      <c r="S5071" s="4"/>
      <c r="T5071" s="4"/>
      <c r="U5071" s="4"/>
      <c r="V5071" s="4"/>
      <c r="W5071" s="4"/>
      <c r="X5071" s="4"/>
    </row>
    <row r="5072" spans="17:24" x14ac:dyDescent="0.3">
      <c r="Q5072" s="4"/>
      <c r="R5072" s="4"/>
      <c r="S5072" s="4"/>
      <c r="T5072" s="4"/>
      <c r="U5072" s="4"/>
      <c r="V5072" s="4"/>
      <c r="W5072" s="4"/>
      <c r="X5072" s="4"/>
    </row>
    <row r="5073" spans="17:24" x14ac:dyDescent="0.3">
      <c r="Q5073" s="4"/>
      <c r="R5073" s="4"/>
      <c r="S5073" s="4"/>
      <c r="T5073" s="4"/>
      <c r="U5073" s="4"/>
      <c r="V5073" s="4"/>
      <c r="W5073" s="4"/>
      <c r="X5073" s="4"/>
    </row>
    <row r="5074" spans="17:24" x14ac:dyDescent="0.3">
      <c r="Q5074" s="4"/>
      <c r="R5074" s="4"/>
      <c r="S5074" s="4"/>
      <c r="T5074" s="4"/>
      <c r="U5074" s="4"/>
      <c r="V5074" s="4"/>
      <c r="W5074" s="4"/>
      <c r="X5074" s="4"/>
    </row>
    <row r="5075" spans="17:24" x14ac:dyDescent="0.3">
      <c r="Q5075" s="4"/>
      <c r="R5075" s="4"/>
      <c r="S5075" s="4"/>
      <c r="T5075" s="4"/>
      <c r="U5075" s="4"/>
      <c r="V5075" s="4"/>
      <c r="W5075" s="4"/>
      <c r="X5075" s="4"/>
    </row>
    <row r="5076" spans="17:24" x14ac:dyDescent="0.3">
      <c r="Q5076" s="4"/>
      <c r="R5076" s="4"/>
      <c r="S5076" s="4"/>
      <c r="T5076" s="4"/>
      <c r="U5076" s="4"/>
      <c r="V5076" s="4"/>
      <c r="W5076" s="4"/>
      <c r="X5076" s="4"/>
    </row>
    <row r="5077" spans="17:24" x14ac:dyDescent="0.3">
      <c r="Q5077" s="4"/>
      <c r="R5077" s="4"/>
      <c r="S5077" s="4"/>
      <c r="T5077" s="4"/>
      <c r="U5077" s="4"/>
      <c r="V5077" s="4"/>
      <c r="W5077" s="4"/>
      <c r="X5077" s="4"/>
    </row>
    <row r="5078" spans="17:24" x14ac:dyDescent="0.3">
      <c r="Q5078" s="4"/>
      <c r="R5078" s="4"/>
      <c r="S5078" s="4"/>
      <c r="T5078" s="4"/>
      <c r="U5078" s="4"/>
      <c r="V5078" s="4"/>
      <c r="W5078" s="4"/>
      <c r="X5078" s="4"/>
    </row>
    <row r="5079" spans="17:24" x14ac:dyDescent="0.3">
      <c r="Q5079" s="4"/>
      <c r="R5079" s="4"/>
      <c r="S5079" s="4"/>
      <c r="T5079" s="4"/>
      <c r="U5079" s="4"/>
      <c r="V5079" s="4"/>
      <c r="W5079" s="4"/>
      <c r="X5079" s="4"/>
    </row>
    <row r="5080" spans="17:24" x14ac:dyDescent="0.3">
      <c r="Q5080" s="4"/>
      <c r="R5080" s="4"/>
      <c r="S5080" s="4"/>
      <c r="T5080" s="4"/>
      <c r="U5080" s="4"/>
      <c r="V5080" s="4"/>
      <c r="W5080" s="4"/>
      <c r="X5080" s="4"/>
    </row>
    <row r="5081" spans="17:24" x14ac:dyDescent="0.3">
      <c r="Q5081" s="4"/>
      <c r="R5081" s="4"/>
      <c r="S5081" s="4"/>
      <c r="T5081" s="4"/>
      <c r="U5081" s="4"/>
      <c r="V5081" s="4"/>
      <c r="W5081" s="4"/>
      <c r="X5081" s="4"/>
    </row>
    <row r="5082" spans="17:24" x14ac:dyDescent="0.3">
      <c r="Q5082" s="4"/>
      <c r="R5082" s="4"/>
      <c r="S5082" s="4"/>
      <c r="T5082" s="4"/>
      <c r="U5082" s="4"/>
      <c r="V5082" s="4"/>
      <c r="W5082" s="4"/>
      <c r="X5082" s="4"/>
    </row>
    <row r="5083" spans="17:24" x14ac:dyDescent="0.3">
      <c r="Q5083" s="4"/>
      <c r="R5083" s="4"/>
      <c r="S5083" s="4"/>
      <c r="T5083" s="4"/>
      <c r="U5083" s="4"/>
      <c r="V5083" s="4"/>
      <c r="W5083" s="4"/>
      <c r="X5083" s="4"/>
    </row>
    <row r="5084" spans="17:24" x14ac:dyDescent="0.3">
      <c r="Q5084" s="4"/>
      <c r="R5084" s="4"/>
      <c r="S5084" s="4"/>
      <c r="T5084" s="4"/>
      <c r="U5084" s="4"/>
      <c r="V5084" s="4"/>
      <c r="W5084" s="4"/>
      <c r="X5084" s="4"/>
    </row>
    <row r="5085" spans="17:24" x14ac:dyDescent="0.3">
      <c r="Q5085" s="4"/>
      <c r="R5085" s="4"/>
      <c r="S5085" s="4"/>
      <c r="T5085" s="4"/>
      <c r="U5085" s="4"/>
      <c r="V5085" s="4"/>
      <c r="W5085" s="4"/>
      <c r="X5085" s="4"/>
    </row>
    <row r="5086" spans="17:24" x14ac:dyDescent="0.3">
      <c r="Q5086" s="4"/>
      <c r="R5086" s="4"/>
      <c r="S5086" s="4"/>
      <c r="T5086" s="4"/>
      <c r="U5086" s="4"/>
      <c r="V5086" s="4"/>
      <c r="W5086" s="4"/>
      <c r="X5086" s="4"/>
    </row>
    <row r="5087" spans="17:24" x14ac:dyDescent="0.3">
      <c r="Q5087" s="4"/>
      <c r="R5087" s="4"/>
      <c r="S5087" s="4"/>
      <c r="T5087" s="4"/>
      <c r="U5087" s="4"/>
      <c r="V5087" s="4"/>
      <c r="W5087" s="4"/>
      <c r="X5087" s="4"/>
    </row>
    <row r="5088" spans="17:24" x14ac:dyDescent="0.3">
      <c r="Q5088" s="4"/>
      <c r="R5088" s="4"/>
      <c r="S5088" s="4"/>
      <c r="T5088" s="4"/>
      <c r="U5088" s="4"/>
      <c r="V5088" s="4"/>
      <c r="W5088" s="4"/>
      <c r="X5088" s="4"/>
    </row>
    <row r="5089" spans="17:24" x14ac:dyDescent="0.3">
      <c r="Q5089" s="4"/>
      <c r="R5089" s="4"/>
      <c r="S5089" s="4"/>
      <c r="T5089" s="4"/>
      <c r="U5089" s="4"/>
      <c r="V5089" s="4"/>
      <c r="W5089" s="4"/>
      <c r="X5089" s="4"/>
    </row>
    <row r="5090" spans="17:24" x14ac:dyDescent="0.3">
      <c r="Q5090" s="4"/>
      <c r="R5090" s="4"/>
      <c r="S5090" s="4"/>
      <c r="T5090" s="4"/>
      <c r="U5090" s="4"/>
      <c r="V5090" s="4"/>
      <c r="W5090" s="4"/>
      <c r="X5090" s="4"/>
    </row>
    <row r="5091" spans="17:24" x14ac:dyDescent="0.3">
      <c r="Q5091" s="4"/>
      <c r="R5091" s="4"/>
      <c r="S5091" s="4"/>
      <c r="T5091" s="4"/>
      <c r="U5091" s="4"/>
      <c r="V5091" s="4"/>
      <c r="W5091" s="4"/>
      <c r="X5091" s="4"/>
    </row>
    <row r="5092" spans="17:24" x14ac:dyDescent="0.3">
      <c r="Q5092" s="4"/>
      <c r="R5092" s="4"/>
      <c r="S5092" s="4"/>
      <c r="T5092" s="4"/>
      <c r="U5092" s="4"/>
      <c r="V5092" s="4"/>
      <c r="W5092" s="4"/>
      <c r="X5092" s="4"/>
    </row>
    <row r="5093" spans="17:24" x14ac:dyDescent="0.3">
      <c r="Q5093" s="4"/>
      <c r="R5093" s="4"/>
      <c r="S5093" s="4"/>
      <c r="T5093" s="4"/>
      <c r="U5093" s="4"/>
      <c r="V5093" s="4"/>
      <c r="W5093" s="4"/>
      <c r="X5093" s="4"/>
    </row>
    <row r="5094" spans="17:24" x14ac:dyDescent="0.3">
      <c r="Q5094" s="4"/>
      <c r="R5094" s="4"/>
      <c r="S5094" s="4"/>
      <c r="T5094" s="4"/>
      <c r="U5094" s="4"/>
      <c r="V5094" s="4"/>
      <c r="W5094" s="4"/>
      <c r="X5094" s="4"/>
    </row>
    <row r="5095" spans="17:24" x14ac:dyDescent="0.3">
      <c r="Q5095" s="4"/>
      <c r="R5095" s="4"/>
      <c r="S5095" s="4"/>
      <c r="T5095" s="4"/>
      <c r="U5095" s="4"/>
      <c r="V5095" s="4"/>
      <c r="W5095" s="4"/>
      <c r="X5095" s="4"/>
    </row>
    <row r="5096" spans="17:24" x14ac:dyDescent="0.3">
      <c r="Q5096" s="4"/>
      <c r="R5096" s="4"/>
      <c r="S5096" s="4"/>
      <c r="T5096" s="4"/>
      <c r="U5096" s="4"/>
      <c r="V5096" s="4"/>
      <c r="W5096" s="4"/>
      <c r="X5096" s="4"/>
    </row>
    <row r="5097" spans="17:24" x14ac:dyDescent="0.3">
      <c r="Q5097" s="4"/>
      <c r="R5097" s="4"/>
      <c r="S5097" s="4"/>
      <c r="T5097" s="4"/>
      <c r="U5097" s="4"/>
      <c r="V5097" s="4"/>
      <c r="W5097" s="4"/>
      <c r="X5097" s="4"/>
    </row>
    <row r="5098" spans="17:24" x14ac:dyDescent="0.3">
      <c r="Q5098" s="4"/>
      <c r="R5098" s="4"/>
      <c r="S5098" s="4"/>
      <c r="T5098" s="4"/>
      <c r="U5098" s="4"/>
      <c r="V5098" s="4"/>
      <c r="W5098" s="4"/>
      <c r="X5098" s="4"/>
    </row>
    <row r="5099" spans="17:24" x14ac:dyDescent="0.3">
      <c r="Q5099" s="4"/>
      <c r="R5099" s="4"/>
      <c r="S5099" s="4"/>
      <c r="T5099" s="4"/>
      <c r="U5099" s="4"/>
      <c r="V5099" s="4"/>
      <c r="W5099" s="4"/>
      <c r="X5099" s="4"/>
    </row>
    <row r="5100" spans="17:24" x14ac:dyDescent="0.3">
      <c r="Q5100" s="4"/>
      <c r="R5100" s="4"/>
      <c r="S5100" s="4"/>
      <c r="T5100" s="4"/>
      <c r="U5100" s="4"/>
      <c r="V5100" s="4"/>
      <c r="W5100" s="4"/>
      <c r="X5100" s="4"/>
    </row>
    <row r="5101" spans="17:24" x14ac:dyDescent="0.3">
      <c r="Q5101" s="4"/>
      <c r="R5101" s="4"/>
      <c r="S5101" s="4"/>
      <c r="T5101" s="4"/>
      <c r="U5101" s="4"/>
      <c r="V5101" s="4"/>
      <c r="W5101" s="4"/>
      <c r="X5101" s="4"/>
    </row>
    <row r="5102" spans="17:24" x14ac:dyDescent="0.3">
      <c r="Q5102" s="4"/>
      <c r="R5102" s="4"/>
      <c r="S5102" s="4"/>
      <c r="T5102" s="4"/>
      <c r="U5102" s="4"/>
      <c r="V5102" s="4"/>
      <c r="W5102" s="4"/>
      <c r="X5102" s="4"/>
    </row>
    <row r="5103" spans="17:24" x14ac:dyDescent="0.3">
      <c r="Q5103" s="4"/>
      <c r="R5103" s="4"/>
      <c r="S5103" s="4"/>
      <c r="T5103" s="4"/>
      <c r="U5103" s="4"/>
      <c r="V5103" s="4"/>
      <c r="W5103" s="4"/>
      <c r="X5103" s="4"/>
    </row>
    <row r="5104" spans="17:24" x14ac:dyDescent="0.3">
      <c r="Q5104" s="4"/>
      <c r="R5104" s="4"/>
      <c r="S5104" s="4"/>
      <c r="T5104" s="4"/>
      <c r="U5104" s="4"/>
      <c r="V5104" s="4"/>
      <c r="W5104" s="4"/>
      <c r="X5104" s="4"/>
    </row>
    <row r="5105" spans="17:24" x14ac:dyDescent="0.3">
      <c r="Q5105" s="4"/>
      <c r="R5105" s="4"/>
      <c r="S5105" s="4"/>
      <c r="T5105" s="4"/>
      <c r="U5105" s="4"/>
      <c r="V5105" s="4"/>
      <c r="W5105" s="4"/>
      <c r="X5105" s="4"/>
    </row>
    <row r="5106" spans="17:24" x14ac:dyDescent="0.3">
      <c r="Q5106" s="4"/>
      <c r="R5106" s="4"/>
      <c r="S5106" s="4"/>
      <c r="T5106" s="4"/>
      <c r="U5106" s="4"/>
      <c r="V5106" s="4"/>
      <c r="W5106" s="4"/>
      <c r="X5106" s="4"/>
    </row>
    <row r="5107" spans="17:24" x14ac:dyDescent="0.3">
      <c r="Q5107" s="4"/>
      <c r="R5107" s="4"/>
      <c r="S5107" s="4"/>
      <c r="T5107" s="4"/>
      <c r="U5107" s="4"/>
      <c r="V5107" s="4"/>
      <c r="W5107" s="4"/>
      <c r="X5107" s="4"/>
    </row>
    <row r="5108" spans="17:24" x14ac:dyDescent="0.3">
      <c r="Q5108" s="4"/>
      <c r="R5108" s="4"/>
      <c r="S5108" s="4"/>
      <c r="T5108" s="4"/>
      <c r="U5108" s="4"/>
      <c r="V5108" s="4"/>
      <c r="W5108" s="4"/>
      <c r="X5108" s="4"/>
    </row>
    <row r="5109" spans="17:24" x14ac:dyDescent="0.3">
      <c r="Q5109" s="4"/>
      <c r="R5109" s="4"/>
      <c r="S5109" s="4"/>
      <c r="T5109" s="4"/>
      <c r="U5109" s="4"/>
      <c r="V5109" s="4"/>
      <c r="W5109" s="4"/>
      <c r="X5109" s="4"/>
    </row>
    <row r="5110" spans="17:24" x14ac:dyDescent="0.3">
      <c r="Q5110" s="4"/>
      <c r="R5110" s="4"/>
      <c r="S5110" s="4"/>
      <c r="T5110" s="4"/>
      <c r="U5110" s="4"/>
      <c r="V5110" s="4"/>
      <c r="W5110" s="4"/>
      <c r="X5110" s="4"/>
    </row>
    <row r="5111" spans="17:24" x14ac:dyDescent="0.3">
      <c r="Q5111" s="4"/>
      <c r="R5111" s="4"/>
      <c r="S5111" s="4"/>
      <c r="T5111" s="4"/>
      <c r="U5111" s="4"/>
      <c r="V5111" s="4"/>
      <c r="W5111" s="4"/>
      <c r="X5111" s="4"/>
    </row>
    <row r="5112" spans="17:24" x14ac:dyDescent="0.3">
      <c r="Q5112" s="4"/>
      <c r="R5112" s="4"/>
      <c r="S5112" s="4"/>
      <c r="T5112" s="4"/>
      <c r="U5112" s="4"/>
      <c r="V5112" s="4"/>
      <c r="W5112" s="4"/>
      <c r="X5112" s="4"/>
    </row>
    <row r="5113" spans="17:24" x14ac:dyDescent="0.3">
      <c r="Q5113" s="4"/>
      <c r="R5113" s="4"/>
      <c r="S5113" s="4"/>
      <c r="T5113" s="4"/>
      <c r="U5113" s="4"/>
      <c r="V5113" s="4"/>
      <c r="W5113" s="4"/>
      <c r="X5113" s="4"/>
    </row>
    <row r="5114" spans="17:24" x14ac:dyDescent="0.3">
      <c r="Q5114" s="4"/>
      <c r="R5114" s="4"/>
      <c r="S5114" s="4"/>
      <c r="T5114" s="4"/>
      <c r="U5114" s="4"/>
      <c r="V5114" s="4"/>
      <c r="W5114" s="4"/>
      <c r="X5114" s="4"/>
    </row>
    <row r="5115" spans="17:24" x14ac:dyDescent="0.3">
      <c r="Q5115" s="4"/>
      <c r="R5115" s="4"/>
      <c r="S5115" s="4"/>
      <c r="T5115" s="4"/>
      <c r="U5115" s="4"/>
      <c r="V5115" s="4"/>
      <c r="W5115" s="4"/>
      <c r="X5115" s="4"/>
    </row>
    <row r="5116" spans="17:24" x14ac:dyDescent="0.3">
      <c r="Q5116" s="4"/>
      <c r="R5116" s="4"/>
      <c r="S5116" s="4"/>
      <c r="T5116" s="4"/>
      <c r="U5116" s="4"/>
      <c r="V5116" s="4"/>
      <c r="W5116" s="4"/>
      <c r="X5116" s="4"/>
    </row>
    <row r="5117" spans="17:24" x14ac:dyDescent="0.3">
      <c r="Q5117" s="4"/>
      <c r="R5117" s="4"/>
      <c r="S5117" s="4"/>
      <c r="T5117" s="4"/>
      <c r="U5117" s="4"/>
      <c r="V5117" s="4"/>
      <c r="W5117" s="4"/>
      <c r="X5117" s="4"/>
    </row>
    <row r="5118" spans="17:24" x14ac:dyDescent="0.3">
      <c r="Q5118" s="4"/>
      <c r="R5118" s="4"/>
      <c r="S5118" s="4"/>
      <c r="T5118" s="4"/>
      <c r="U5118" s="4"/>
      <c r="V5118" s="4"/>
      <c r="W5118" s="4"/>
      <c r="X5118" s="4"/>
    </row>
    <row r="5119" spans="17:24" x14ac:dyDescent="0.3">
      <c r="Q5119" s="4"/>
      <c r="R5119" s="4"/>
      <c r="S5119" s="4"/>
      <c r="T5119" s="4"/>
      <c r="U5119" s="4"/>
      <c r="V5119" s="4"/>
      <c r="W5119" s="4"/>
      <c r="X5119" s="4"/>
    </row>
    <row r="5120" spans="17:24" x14ac:dyDescent="0.3">
      <c r="Q5120" s="4"/>
      <c r="R5120" s="4"/>
      <c r="S5120" s="4"/>
      <c r="T5120" s="4"/>
      <c r="U5120" s="4"/>
      <c r="V5120" s="4"/>
      <c r="W5120" s="4"/>
      <c r="X5120" s="4"/>
    </row>
    <row r="5121" spans="17:24" x14ac:dyDescent="0.3">
      <c r="Q5121" s="4"/>
      <c r="R5121" s="4"/>
      <c r="S5121" s="4"/>
      <c r="T5121" s="4"/>
      <c r="U5121" s="4"/>
      <c r="V5121" s="4"/>
      <c r="W5121" s="4"/>
      <c r="X5121" s="4"/>
    </row>
    <row r="5122" spans="17:24" x14ac:dyDescent="0.3">
      <c r="Q5122" s="4"/>
      <c r="R5122" s="4"/>
      <c r="S5122" s="4"/>
      <c r="T5122" s="4"/>
      <c r="U5122" s="4"/>
      <c r="V5122" s="4"/>
      <c r="W5122" s="4"/>
      <c r="X5122" s="4"/>
    </row>
    <row r="5123" spans="17:24" x14ac:dyDescent="0.3">
      <c r="Q5123" s="4"/>
      <c r="R5123" s="4"/>
      <c r="S5123" s="4"/>
      <c r="T5123" s="4"/>
      <c r="U5123" s="4"/>
      <c r="V5123" s="4"/>
      <c r="W5123" s="4"/>
      <c r="X5123" s="4"/>
    </row>
    <row r="5124" spans="17:24" x14ac:dyDescent="0.3">
      <c r="Q5124" s="4"/>
      <c r="R5124" s="4"/>
      <c r="S5124" s="4"/>
      <c r="T5124" s="4"/>
      <c r="U5124" s="4"/>
      <c r="V5124" s="4"/>
      <c r="W5124" s="4"/>
      <c r="X5124" s="4"/>
    </row>
    <row r="5125" spans="17:24" x14ac:dyDescent="0.3">
      <c r="Q5125" s="4"/>
      <c r="R5125" s="4"/>
      <c r="S5125" s="4"/>
      <c r="T5125" s="4"/>
      <c r="U5125" s="4"/>
      <c r="V5125" s="4"/>
      <c r="W5125" s="4"/>
      <c r="X5125" s="4"/>
    </row>
    <row r="5126" spans="17:24" x14ac:dyDescent="0.3">
      <c r="Q5126" s="4"/>
      <c r="R5126" s="4"/>
      <c r="S5126" s="4"/>
      <c r="T5126" s="4"/>
      <c r="U5126" s="4"/>
      <c r="V5126" s="4"/>
      <c r="W5126" s="4"/>
      <c r="X5126" s="4"/>
    </row>
    <row r="5127" spans="17:24" x14ac:dyDescent="0.3">
      <c r="Q5127" s="4"/>
      <c r="R5127" s="4"/>
      <c r="S5127" s="4"/>
      <c r="T5127" s="4"/>
      <c r="U5127" s="4"/>
      <c r="V5127" s="4"/>
      <c r="W5127" s="4"/>
      <c r="X5127" s="4"/>
    </row>
    <row r="5128" spans="17:24" x14ac:dyDescent="0.3">
      <c r="Q5128" s="4"/>
      <c r="R5128" s="4"/>
      <c r="S5128" s="4"/>
      <c r="T5128" s="4"/>
      <c r="U5128" s="4"/>
      <c r="V5128" s="4"/>
      <c r="W5128" s="4"/>
      <c r="X5128" s="4"/>
    </row>
    <row r="5129" spans="17:24" x14ac:dyDescent="0.3">
      <c r="Q5129" s="4"/>
      <c r="R5129" s="4"/>
      <c r="S5129" s="4"/>
      <c r="T5129" s="4"/>
      <c r="U5129" s="4"/>
      <c r="V5129" s="4"/>
      <c r="W5129" s="4"/>
      <c r="X5129" s="4"/>
    </row>
    <row r="5130" spans="17:24" x14ac:dyDescent="0.3">
      <c r="Q5130" s="4"/>
      <c r="R5130" s="4"/>
      <c r="S5130" s="4"/>
      <c r="T5130" s="4"/>
      <c r="U5130" s="4"/>
      <c r="V5130" s="4"/>
      <c r="W5130" s="4"/>
      <c r="X5130" s="4"/>
    </row>
    <row r="5131" spans="17:24" x14ac:dyDescent="0.3">
      <c r="Q5131" s="4"/>
      <c r="R5131" s="4"/>
      <c r="S5131" s="4"/>
      <c r="T5131" s="4"/>
      <c r="U5131" s="4"/>
      <c r="V5131" s="4"/>
      <c r="W5131" s="4"/>
      <c r="X5131" s="4"/>
    </row>
    <row r="5132" spans="17:24" x14ac:dyDescent="0.3">
      <c r="Q5132" s="4"/>
      <c r="R5132" s="4"/>
      <c r="S5132" s="4"/>
      <c r="T5132" s="4"/>
      <c r="U5132" s="4"/>
      <c r="V5132" s="4"/>
      <c r="W5132" s="4"/>
      <c r="X5132" s="4"/>
    </row>
    <row r="5133" spans="17:24" x14ac:dyDescent="0.3">
      <c r="Q5133" s="4"/>
      <c r="R5133" s="4"/>
      <c r="S5133" s="4"/>
      <c r="T5133" s="4"/>
      <c r="U5133" s="4"/>
      <c r="V5133" s="4"/>
      <c r="W5133" s="4"/>
      <c r="X5133" s="4"/>
    </row>
    <row r="5134" spans="17:24" x14ac:dyDescent="0.3">
      <c r="Q5134" s="4"/>
      <c r="R5134" s="4"/>
      <c r="S5134" s="4"/>
      <c r="T5134" s="4"/>
      <c r="U5134" s="4"/>
      <c r="V5134" s="4"/>
      <c r="W5134" s="4"/>
      <c r="X5134" s="4"/>
    </row>
    <row r="5135" spans="17:24" x14ac:dyDescent="0.3">
      <c r="Q5135" s="4"/>
      <c r="R5135" s="4"/>
      <c r="S5135" s="4"/>
      <c r="T5135" s="4"/>
      <c r="U5135" s="4"/>
      <c r="V5135" s="4"/>
      <c r="W5135" s="4"/>
      <c r="X5135" s="4"/>
    </row>
    <row r="5136" spans="17:24" x14ac:dyDescent="0.3">
      <c r="Q5136" s="4"/>
      <c r="R5136" s="4"/>
      <c r="S5136" s="4"/>
      <c r="T5136" s="4"/>
      <c r="U5136" s="4"/>
      <c r="V5136" s="4"/>
      <c r="W5136" s="4"/>
      <c r="X5136" s="4"/>
    </row>
    <row r="5137" spans="17:24" x14ac:dyDescent="0.3">
      <c r="Q5137" s="4"/>
      <c r="R5137" s="4"/>
      <c r="S5137" s="4"/>
      <c r="T5137" s="4"/>
      <c r="U5137" s="4"/>
      <c r="V5137" s="4"/>
      <c r="W5137" s="4"/>
      <c r="X5137" s="4"/>
    </row>
    <row r="5138" spans="17:24" x14ac:dyDescent="0.3">
      <c r="Q5138" s="4"/>
      <c r="R5138" s="4"/>
      <c r="S5138" s="4"/>
      <c r="T5138" s="4"/>
      <c r="U5138" s="4"/>
      <c r="V5138" s="4"/>
      <c r="W5138" s="4"/>
      <c r="X5138" s="4"/>
    </row>
    <row r="5139" spans="17:24" x14ac:dyDescent="0.3">
      <c r="Q5139" s="4"/>
      <c r="R5139" s="4"/>
      <c r="S5139" s="4"/>
      <c r="T5139" s="4"/>
      <c r="U5139" s="4"/>
      <c r="V5139" s="4"/>
      <c r="W5139" s="4"/>
      <c r="X5139" s="4"/>
    </row>
    <row r="5140" spans="17:24" x14ac:dyDescent="0.3">
      <c r="Q5140" s="4"/>
      <c r="R5140" s="4"/>
      <c r="S5140" s="4"/>
      <c r="T5140" s="4"/>
      <c r="U5140" s="4"/>
      <c r="V5140" s="4"/>
      <c r="W5140" s="4"/>
      <c r="X5140" s="4"/>
    </row>
    <row r="5141" spans="17:24" x14ac:dyDescent="0.3">
      <c r="Q5141" s="4"/>
      <c r="R5141" s="4"/>
      <c r="S5141" s="4"/>
      <c r="T5141" s="4"/>
      <c r="U5141" s="4"/>
      <c r="V5141" s="4"/>
      <c r="W5141" s="4"/>
      <c r="X5141" s="4"/>
    </row>
    <row r="5142" spans="17:24" x14ac:dyDescent="0.3">
      <c r="Q5142" s="4"/>
      <c r="R5142" s="4"/>
      <c r="S5142" s="4"/>
      <c r="T5142" s="4"/>
      <c r="U5142" s="4"/>
      <c r="V5142" s="4"/>
      <c r="W5142" s="4"/>
      <c r="X5142" s="4"/>
    </row>
    <row r="5143" spans="17:24" x14ac:dyDescent="0.3">
      <c r="Q5143" s="4"/>
      <c r="R5143" s="4"/>
      <c r="S5143" s="4"/>
      <c r="T5143" s="4"/>
      <c r="U5143" s="4"/>
      <c r="V5143" s="4"/>
      <c r="W5143" s="4"/>
      <c r="X5143" s="4"/>
    </row>
    <row r="5144" spans="17:24" x14ac:dyDescent="0.3">
      <c r="Q5144" s="4"/>
      <c r="R5144" s="4"/>
      <c r="S5144" s="4"/>
      <c r="T5144" s="4"/>
      <c r="U5144" s="4"/>
      <c r="V5144" s="4"/>
      <c r="W5144" s="4"/>
      <c r="X5144" s="4"/>
    </row>
    <row r="5145" spans="17:24" x14ac:dyDescent="0.3">
      <c r="Q5145" s="4"/>
      <c r="R5145" s="4"/>
      <c r="S5145" s="4"/>
      <c r="T5145" s="4"/>
      <c r="U5145" s="4"/>
      <c r="V5145" s="4"/>
      <c r="W5145" s="4"/>
      <c r="X5145" s="4"/>
    </row>
    <row r="5146" spans="17:24" x14ac:dyDescent="0.3">
      <c r="Q5146" s="4"/>
      <c r="R5146" s="4"/>
      <c r="S5146" s="4"/>
      <c r="T5146" s="4"/>
      <c r="U5146" s="4"/>
      <c r="V5146" s="4"/>
      <c r="W5146" s="4"/>
      <c r="X5146" s="4"/>
    </row>
    <row r="5147" spans="17:24" x14ac:dyDescent="0.3">
      <c r="Q5147" s="4"/>
      <c r="R5147" s="4"/>
      <c r="S5147" s="4"/>
      <c r="T5147" s="4"/>
      <c r="U5147" s="4"/>
      <c r="V5147" s="4"/>
      <c r="W5147" s="4"/>
      <c r="X5147" s="4"/>
    </row>
    <row r="5148" spans="17:24" x14ac:dyDescent="0.3">
      <c r="Q5148" s="4"/>
      <c r="R5148" s="4"/>
      <c r="S5148" s="4"/>
      <c r="T5148" s="4"/>
      <c r="U5148" s="4"/>
      <c r="V5148" s="4"/>
      <c r="W5148" s="4"/>
      <c r="X5148" s="4"/>
    </row>
    <row r="5149" spans="17:24" x14ac:dyDescent="0.3">
      <c r="Q5149" s="4"/>
      <c r="R5149" s="4"/>
      <c r="S5149" s="4"/>
      <c r="T5149" s="4"/>
      <c r="U5149" s="4"/>
      <c r="V5149" s="4"/>
      <c r="W5149" s="4"/>
      <c r="X5149" s="4"/>
    </row>
    <row r="5150" spans="17:24" x14ac:dyDescent="0.3">
      <c r="Q5150" s="4"/>
      <c r="R5150" s="4"/>
      <c r="S5150" s="4"/>
      <c r="T5150" s="4"/>
      <c r="U5150" s="4"/>
      <c r="V5150" s="4"/>
      <c r="W5150" s="4"/>
      <c r="X5150" s="4"/>
    </row>
    <row r="5151" spans="17:24" x14ac:dyDescent="0.3">
      <c r="Q5151" s="4"/>
      <c r="R5151" s="4"/>
      <c r="S5151" s="4"/>
      <c r="T5151" s="4"/>
      <c r="U5151" s="4"/>
      <c r="V5151" s="4"/>
      <c r="W5151" s="4"/>
      <c r="X5151" s="4"/>
    </row>
    <row r="5152" spans="17:24" x14ac:dyDescent="0.3">
      <c r="Q5152" s="4"/>
      <c r="R5152" s="4"/>
      <c r="S5152" s="4"/>
      <c r="T5152" s="4"/>
      <c r="U5152" s="4"/>
      <c r="V5152" s="4"/>
      <c r="W5152" s="4"/>
      <c r="X5152" s="4"/>
    </row>
    <row r="5153" spans="17:24" x14ac:dyDescent="0.3">
      <c r="Q5153" s="4"/>
      <c r="R5153" s="4"/>
      <c r="S5153" s="4"/>
      <c r="T5153" s="4"/>
      <c r="U5153" s="4"/>
      <c r="V5153" s="4"/>
      <c r="W5153" s="4"/>
      <c r="X5153" s="4"/>
    </row>
    <row r="5154" spans="17:24" x14ac:dyDescent="0.3">
      <c r="Q5154" s="4"/>
      <c r="R5154" s="4"/>
      <c r="S5154" s="4"/>
      <c r="T5154" s="4"/>
      <c r="U5154" s="4"/>
      <c r="V5154" s="4"/>
      <c r="W5154" s="4"/>
      <c r="X5154" s="4"/>
    </row>
    <row r="5155" spans="17:24" x14ac:dyDescent="0.3">
      <c r="Q5155" s="4"/>
      <c r="R5155" s="4"/>
      <c r="S5155" s="4"/>
      <c r="T5155" s="4"/>
      <c r="U5155" s="4"/>
      <c r="V5155" s="4"/>
      <c r="W5155" s="4"/>
      <c r="X5155" s="4"/>
    </row>
    <row r="5156" spans="17:24" x14ac:dyDescent="0.3">
      <c r="Q5156" s="4"/>
      <c r="R5156" s="4"/>
      <c r="S5156" s="4"/>
      <c r="T5156" s="4"/>
      <c r="U5156" s="4"/>
      <c r="V5156" s="4"/>
      <c r="W5156" s="4"/>
      <c r="X5156" s="4"/>
    </row>
    <row r="5157" spans="17:24" x14ac:dyDescent="0.3">
      <c r="Q5157" s="4"/>
      <c r="R5157" s="4"/>
      <c r="S5157" s="4"/>
      <c r="T5157" s="4"/>
      <c r="U5157" s="4"/>
      <c r="V5157" s="4"/>
      <c r="W5157" s="4"/>
      <c r="X5157" s="4"/>
    </row>
    <row r="5158" spans="17:24" x14ac:dyDescent="0.3">
      <c r="Q5158" s="4"/>
      <c r="R5158" s="4"/>
      <c r="S5158" s="4"/>
      <c r="T5158" s="4"/>
      <c r="U5158" s="4"/>
      <c r="V5158" s="4"/>
      <c r="W5158" s="4"/>
      <c r="X5158" s="4"/>
    </row>
    <row r="5159" spans="17:24" x14ac:dyDescent="0.3">
      <c r="Q5159" s="4"/>
      <c r="R5159" s="4"/>
      <c r="S5159" s="4"/>
      <c r="T5159" s="4"/>
      <c r="U5159" s="4"/>
      <c r="V5159" s="4"/>
      <c r="W5159" s="4"/>
      <c r="X5159" s="4"/>
    </row>
    <row r="5160" spans="17:24" x14ac:dyDescent="0.3">
      <c r="Q5160" s="4"/>
      <c r="R5160" s="4"/>
      <c r="S5160" s="4"/>
      <c r="T5160" s="4"/>
      <c r="U5160" s="4"/>
      <c r="V5160" s="4"/>
      <c r="W5160" s="4"/>
      <c r="X5160" s="4"/>
    </row>
    <row r="5161" spans="17:24" x14ac:dyDescent="0.3">
      <c r="Q5161" s="4"/>
      <c r="R5161" s="4"/>
      <c r="S5161" s="4"/>
      <c r="T5161" s="4"/>
      <c r="U5161" s="4"/>
      <c r="V5161" s="4"/>
      <c r="W5161" s="4"/>
      <c r="X5161" s="4"/>
    </row>
    <row r="5162" spans="17:24" x14ac:dyDescent="0.3">
      <c r="Q5162" s="4"/>
      <c r="R5162" s="4"/>
      <c r="S5162" s="4"/>
      <c r="T5162" s="4"/>
      <c r="U5162" s="4"/>
      <c r="V5162" s="4"/>
      <c r="W5162" s="4"/>
      <c r="X5162" s="4"/>
    </row>
    <row r="5163" spans="17:24" x14ac:dyDescent="0.3">
      <c r="Q5163" s="4"/>
      <c r="R5163" s="4"/>
      <c r="S5163" s="4"/>
      <c r="T5163" s="4"/>
      <c r="U5163" s="4"/>
      <c r="V5163" s="4"/>
      <c r="W5163" s="4"/>
      <c r="X5163" s="4"/>
    </row>
    <row r="5164" spans="17:24" x14ac:dyDescent="0.3">
      <c r="Q5164" s="4"/>
      <c r="R5164" s="4"/>
      <c r="S5164" s="4"/>
      <c r="T5164" s="4"/>
      <c r="U5164" s="4"/>
      <c r="V5164" s="4"/>
      <c r="W5164" s="4"/>
      <c r="X5164" s="4"/>
    </row>
    <row r="5165" spans="17:24" x14ac:dyDescent="0.3">
      <c r="Q5165" s="4"/>
      <c r="R5165" s="4"/>
      <c r="S5165" s="4"/>
      <c r="T5165" s="4"/>
      <c r="U5165" s="4"/>
      <c r="V5165" s="4"/>
      <c r="W5165" s="4"/>
      <c r="X5165" s="4"/>
    </row>
    <row r="5166" spans="17:24" x14ac:dyDescent="0.3">
      <c r="Q5166" s="4"/>
      <c r="R5166" s="4"/>
      <c r="S5166" s="4"/>
      <c r="T5166" s="4"/>
      <c r="U5166" s="4"/>
      <c r="V5166" s="4"/>
      <c r="W5166" s="4"/>
      <c r="X5166" s="4"/>
    </row>
    <row r="5167" spans="17:24" x14ac:dyDescent="0.3">
      <c r="Q5167" s="4"/>
      <c r="R5167" s="4"/>
      <c r="S5167" s="4"/>
      <c r="T5167" s="4"/>
      <c r="U5167" s="4"/>
      <c r="V5167" s="4"/>
      <c r="W5167" s="4"/>
      <c r="X5167" s="4"/>
    </row>
    <row r="5168" spans="17:24" x14ac:dyDescent="0.3">
      <c r="Q5168" s="4"/>
      <c r="R5168" s="4"/>
      <c r="S5168" s="4"/>
      <c r="T5168" s="4"/>
      <c r="U5168" s="4"/>
      <c r="V5168" s="4"/>
      <c r="W5168" s="4"/>
      <c r="X5168" s="4"/>
    </row>
    <row r="5169" spans="17:24" x14ac:dyDescent="0.3">
      <c r="Q5169" s="4"/>
      <c r="R5169" s="4"/>
      <c r="S5169" s="4"/>
      <c r="T5169" s="4"/>
      <c r="U5169" s="4"/>
      <c r="V5169" s="4"/>
      <c r="W5169" s="4"/>
      <c r="X5169" s="4"/>
    </row>
    <row r="5170" spans="17:24" x14ac:dyDescent="0.3">
      <c r="Q5170" s="4"/>
      <c r="R5170" s="4"/>
      <c r="S5170" s="4"/>
      <c r="T5170" s="4"/>
      <c r="U5170" s="4"/>
      <c r="V5170" s="4"/>
      <c r="W5170" s="4"/>
      <c r="X5170" s="4"/>
    </row>
    <row r="5171" spans="17:24" x14ac:dyDescent="0.3">
      <c r="Q5171" s="4"/>
      <c r="R5171" s="4"/>
      <c r="S5171" s="4"/>
      <c r="T5171" s="4"/>
      <c r="U5171" s="4"/>
      <c r="V5171" s="4"/>
      <c r="W5171" s="4"/>
      <c r="X5171" s="4"/>
    </row>
    <row r="5172" spans="17:24" x14ac:dyDescent="0.3">
      <c r="Q5172" s="4"/>
      <c r="R5172" s="4"/>
      <c r="S5172" s="4"/>
      <c r="T5172" s="4"/>
      <c r="U5172" s="4"/>
      <c r="V5172" s="4"/>
      <c r="W5172" s="4"/>
      <c r="X5172" s="4"/>
    </row>
    <row r="5173" spans="17:24" x14ac:dyDescent="0.3">
      <c r="Q5173" s="4"/>
      <c r="R5173" s="4"/>
      <c r="S5173" s="4"/>
      <c r="T5173" s="4"/>
      <c r="U5173" s="4"/>
      <c r="V5173" s="4"/>
      <c r="W5173" s="4"/>
      <c r="X5173" s="4"/>
    </row>
    <row r="5174" spans="17:24" x14ac:dyDescent="0.3">
      <c r="Q5174" s="4"/>
      <c r="R5174" s="4"/>
      <c r="S5174" s="4"/>
      <c r="T5174" s="4"/>
      <c r="U5174" s="4"/>
      <c r="V5174" s="4"/>
      <c r="W5174" s="4"/>
      <c r="X5174" s="4"/>
    </row>
    <row r="5175" spans="17:24" x14ac:dyDescent="0.3">
      <c r="Q5175" s="4"/>
      <c r="R5175" s="4"/>
      <c r="S5175" s="4"/>
      <c r="T5175" s="4"/>
      <c r="U5175" s="4"/>
      <c r="V5175" s="4"/>
      <c r="W5175" s="4"/>
      <c r="X5175" s="4"/>
    </row>
    <row r="5176" spans="17:24" x14ac:dyDescent="0.3">
      <c r="Q5176" s="4"/>
      <c r="R5176" s="4"/>
      <c r="S5176" s="4"/>
      <c r="T5176" s="4"/>
      <c r="U5176" s="4"/>
      <c r="V5176" s="4"/>
      <c r="W5176" s="4"/>
      <c r="X5176" s="4"/>
    </row>
    <row r="5177" spans="17:24" x14ac:dyDescent="0.3">
      <c r="Q5177" s="4"/>
      <c r="R5177" s="4"/>
      <c r="S5177" s="4"/>
      <c r="T5177" s="4"/>
      <c r="U5177" s="4"/>
      <c r="V5177" s="4"/>
      <c r="W5177" s="4"/>
      <c r="X5177" s="4"/>
    </row>
    <row r="5178" spans="17:24" x14ac:dyDescent="0.3">
      <c r="Q5178" s="4"/>
      <c r="R5178" s="4"/>
      <c r="S5178" s="4"/>
      <c r="T5178" s="4"/>
      <c r="U5178" s="4"/>
      <c r="V5178" s="4"/>
      <c r="W5178" s="4"/>
      <c r="X5178" s="4"/>
    </row>
    <row r="5179" spans="17:24" x14ac:dyDescent="0.3">
      <c r="Q5179" s="4"/>
      <c r="R5179" s="4"/>
      <c r="S5179" s="4"/>
      <c r="T5179" s="4"/>
      <c r="U5179" s="4"/>
      <c r="V5179" s="4"/>
      <c r="W5179" s="4"/>
      <c r="X5179" s="4"/>
    </row>
    <row r="5180" spans="17:24" x14ac:dyDescent="0.3">
      <c r="Q5180" s="4"/>
      <c r="R5180" s="4"/>
      <c r="S5180" s="4"/>
      <c r="T5180" s="4"/>
      <c r="U5180" s="4"/>
      <c r="V5180" s="4"/>
      <c r="W5180" s="4"/>
      <c r="X5180" s="4"/>
    </row>
    <row r="5181" spans="17:24" x14ac:dyDescent="0.3">
      <c r="Q5181" s="4"/>
      <c r="R5181" s="4"/>
      <c r="S5181" s="4"/>
      <c r="T5181" s="4"/>
      <c r="U5181" s="4"/>
      <c r="V5181" s="4"/>
      <c r="W5181" s="4"/>
      <c r="X5181" s="4"/>
    </row>
    <row r="5182" spans="17:24" x14ac:dyDescent="0.3">
      <c r="Q5182" s="4"/>
      <c r="R5182" s="4"/>
      <c r="S5182" s="4"/>
      <c r="T5182" s="4"/>
      <c r="U5182" s="4"/>
      <c r="V5182" s="4"/>
      <c r="W5182" s="4"/>
      <c r="X5182" s="4"/>
    </row>
    <row r="5183" spans="17:24" x14ac:dyDescent="0.3">
      <c r="Q5183" s="4"/>
      <c r="R5183" s="4"/>
      <c r="S5183" s="4"/>
      <c r="T5183" s="4"/>
      <c r="U5183" s="4"/>
      <c r="V5183" s="4"/>
      <c r="W5183" s="4"/>
      <c r="X5183" s="4"/>
    </row>
    <row r="5184" spans="17:24" x14ac:dyDescent="0.3">
      <c r="Q5184" s="4"/>
      <c r="R5184" s="4"/>
      <c r="S5184" s="4"/>
      <c r="T5184" s="4"/>
      <c r="U5184" s="4"/>
      <c r="V5184" s="4"/>
      <c r="W5184" s="4"/>
      <c r="X5184" s="4"/>
    </row>
    <row r="5185" spans="17:24" x14ac:dyDescent="0.3">
      <c r="Q5185" s="4"/>
      <c r="R5185" s="4"/>
      <c r="S5185" s="4"/>
      <c r="T5185" s="4"/>
      <c r="U5185" s="4"/>
      <c r="V5185" s="4"/>
      <c r="W5185" s="4"/>
      <c r="X5185" s="4"/>
    </row>
    <row r="5186" spans="17:24" x14ac:dyDescent="0.3">
      <c r="Q5186" s="4"/>
      <c r="R5186" s="4"/>
      <c r="S5186" s="4"/>
      <c r="T5186" s="4"/>
      <c r="U5186" s="4"/>
      <c r="V5186" s="4"/>
      <c r="W5186" s="4"/>
      <c r="X5186" s="4"/>
    </row>
    <row r="5187" spans="17:24" x14ac:dyDescent="0.3">
      <c r="Q5187" s="4"/>
      <c r="R5187" s="4"/>
      <c r="S5187" s="4"/>
      <c r="T5187" s="4"/>
      <c r="U5187" s="4"/>
      <c r="V5187" s="4"/>
      <c r="W5187" s="4"/>
      <c r="X5187" s="4"/>
    </row>
    <row r="5188" spans="17:24" x14ac:dyDescent="0.3">
      <c r="Q5188" s="4"/>
      <c r="R5188" s="4"/>
      <c r="S5188" s="4"/>
      <c r="T5188" s="4"/>
      <c r="U5188" s="4"/>
      <c r="V5188" s="4"/>
      <c r="W5188" s="4"/>
      <c r="X5188" s="4"/>
    </row>
    <row r="5189" spans="17:24" x14ac:dyDescent="0.3">
      <c r="Q5189" s="4"/>
      <c r="R5189" s="4"/>
      <c r="S5189" s="4"/>
      <c r="T5189" s="4"/>
      <c r="U5189" s="4"/>
      <c r="V5189" s="4"/>
      <c r="W5189" s="4"/>
      <c r="X5189" s="4"/>
    </row>
    <row r="5190" spans="17:24" x14ac:dyDescent="0.3">
      <c r="Q5190" s="4"/>
      <c r="R5190" s="4"/>
      <c r="S5190" s="4"/>
      <c r="T5190" s="4"/>
      <c r="U5190" s="4"/>
      <c r="V5190" s="4"/>
      <c r="W5190" s="4"/>
      <c r="X5190" s="4"/>
    </row>
    <row r="5191" spans="17:24" x14ac:dyDescent="0.3">
      <c r="Q5191" s="4"/>
      <c r="R5191" s="4"/>
      <c r="S5191" s="4"/>
      <c r="T5191" s="4"/>
      <c r="U5191" s="4"/>
      <c r="V5191" s="4"/>
      <c r="W5191" s="4"/>
      <c r="X5191" s="4"/>
    </row>
    <row r="5192" spans="17:24" x14ac:dyDescent="0.3">
      <c r="Q5192" s="4"/>
      <c r="R5192" s="4"/>
      <c r="S5192" s="4"/>
      <c r="T5192" s="4"/>
      <c r="U5192" s="4"/>
      <c r="V5192" s="4"/>
      <c r="W5192" s="4"/>
      <c r="X5192" s="4"/>
    </row>
    <row r="5193" spans="17:24" x14ac:dyDescent="0.3">
      <c r="Q5193" s="4"/>
      <c r="R5193" s="4"/>
      <c r="S5193" s="4"/>
      <c r="T5193" s="4"/>
      <c r="U5193" s="4"/>
      <c r="V5193" s="4"/>
      <c r="W5193" s="4"/>
      <c r="X5193" s="4"/>
    </row>
    <row r="5194" spans="17:24" x14ac:dyDescent="0.3">
      <c r="Q5194" s="4"/>
      <c r="R5194" s="4"/>
      <c r="S5194" s="4"/>
      <c r="T5194" s="4"/>
      <c r="U5194" s="4"/>
      <c r="V5194" s="4"/>
      <c r="W5194" s="4"/>
      <c r="X5194" s="4"/>
    </row>
    <row r="5195" spans="17:24" x14ac:dyDescent="0.3">
      <c r="Q5195" s="4"/>
      <c r="R5195" s="4"/>
      <c r="S5195" s="4"/>
      <c r="T5195" s="4"/>
      <c r="U5195" s="4"/>
      <c r="V5195" s="4"/>
      <c r="W5195" s="4"/>
      <c r="X5195" s="4"/>
    </row>
    <row r="5196" spans="17:24" x14ac:dyDescent="0.3">
      <c r="Q5196" s="4"/>
      <c r="R5196" s="4"/>
      <c r="S5196" s="4"/>
      <c r="T5196" s="4"/>
      <c r="U5196" s="4"/>
      <c r="V5196" s="4"/>
      <c r="W5196" s="4"/>
      <c r="X5196" s="4"/>
    </row>
    <row r="5197" spans="17:24" x14ac:dyDescent="0.3">
      <c r="Q5197" s="4"/>
      <c r="R5197" s="4"/>
      <c r="S5197" s="4"/>
      <c r="T5197" s="4"/>
      <c r="U5197" s="4"/>
      <c r="V5197" s="4"/>
      <c r="W5197" s="4"/>
      <c r="X5197" s="4"/>
    </row>
    <row r="5198" spans="17:24" x14ac:dyDescent="0.3">
      <c r="Q5198" s="4"/>
      <c r="R5198" s="4"/>
      <c r="S5198" s="4"/>
      <c r="T5198" s="4"/>
      <c r="U5198" s="4"/>
      <c r="V5198" s="4"/>
      <c r="W5198" s="4"/>
      <c r="X5198" s="4"/>
    </row>
    <row r="5199" spans="17:24" x14ac:dyDescent="0.3">
      <c r="Q5199" s="4"/>
      <c r="R5199" s="4"/>
      <c r="S5199" s="4"/>
      <c r="T5199" s="4"/>
      <c r="U5199" s="4"/>
      <c r="V5199" s="4"/>
      <c r="W5199" s="4"/>
      <c r="X5199" s="4"/>
    </row>
    <row r="5200" spans="17:24" x14ac:dyDescent="0.3">
      <c r="Q5200" s="4"/>
      <c r="R5200" s="4"/>
      <c r="S5200" s="4"/>
      <c r="T5200" s="4"/>
      <c r="U5200" s="4"/>
      <c r="V5200" s="4"/>
      <c r="W5200" s="4"/>
      <c r="X5200" s="4"/>
    </row>
    <row r="5201" spans="17:24" x14ac:dyDescent="0.3">
      <c r="Q5201" s="4"/>
      <c r="R5201" s="4"/>
      <c r="S5201" s="4"/>
      <c r="T5201" s="4"/>
      <c r="U5201" s="4"/>
      <c r="V5201" s="4"/>
      <c r="W5201" s="4"/>
      <c r="X5201" s="4"/>
    </row>
    <row r="5202" spans="17:24" x14ac:dyDescent="0.3">
      <c r="Q5202" s="4"/>
      <c r="R5202" s="4"/>
      <c r="S5202" s="4"/>
      <c r="T5202" s="4"/>
      <c r="U5202" s="4"/>
      <c r="V5202" s="4"/>
      <c r="W5202" s="4"/>
      <c r="X5202" s="4"/>
    </row>
    <row r="5203" spans="17:24" x14ac:dyDescent="0.3">
      <c r="Q5203" s="4"/>
      <c r="R5203" s="4"/>
      <c r="S5203" s="4"/>
      <c r="T5203" s="4"/>
      <c r="U5203" s="4"/>
      <c r="V5203" s="4"/>
      <c r="W5203" s="4"/>
      <c r="X5203" s="4"/>
    </row>
    <row r="5204" spans="17:24" x14ac:dyDescent="0.3">
      <c r="Q5204" s="4"/>
      <c r="R5204" s="4"/>
      <c r="S5204" s="4"/>
      <c r="T5204" s="4"/>
      <c r="U5204" s="4"/>
      <c r="V5204" s="4"/>
      <c r="W5204" s="4"/>
      <c r="X5204" s="4"/>
    </row>
    <row r="5205" spans="17:24" x14ac:dyDescent="0.3">
      <c r="Q5205" s="4"/>
      <c r="R5205" s="4"/>
      <c r="S5205" s="4"/>
      <c r="T5205" s="4"/>
      <c r="U5205" s="4"/>
      <c r="V5205" s="4"/>
      <c r="W5205" s="4"/>
      <c r="X5205" s="4"/>
    </row>
    <row r="5206" spans="17:24" x14ac:dyDescent="0.3">
      <c r="Q5206" s="4"/>
      <c r="R5206" s="4"/>
      <c r="S5206" s="4"/>
      <c r="T5206" s="4"/>
      <c r="U5206" s="4"/>
      <c r="V5206" s="4"/>
      <c r="W5206" s="4"/>
      <c r="X5206" s="4"/>
    </row>
    <row r="5207" spans="17:24" x14ac:dyDescent="0.3">
      <c r="Q5207" s="4"/>
      <c r="R5207" s="4"/>
      <c r="S5207" s="4"/>
      <c r="T5207" s="4"/>
      <c r="U5207" s="4"/>
      <c r="V5207" s="4"/>
      <c r="W5207" s="4"/>
      <c r="X5207" s="4"/>
    </row>
    <row r="5208" spans="17:24" x14ac:dyDescent="0.3">
      <c r="Q5208" s="4"/>
      <c r="R5208" s="4"/>
      <c r="S5208" s="4"/>
      <c r="T5208" s="4"/>
      <c r="U5208" s="4"/>
      <c r="V5208" s="4"/>
      <c r="W5208" s="4"/>
      <c r="X5208" s="4"/>
    </row>
    <row r="5209" spans="17:24" x14ac:dyDescent="0.3">
      <c r="Q5209" s="4"/>
      <c r="R5209" s="4"/>
      <c r="S5209" s="4"/>
      <c r="T5209" s="4"/>
      <c r="U5209" s="4"/>
      <c r="V5209" s="4"/>
      <c r="W5209" s="4"/>
      <c r="X5209" s="4"/>
    </row>
    <row r="5210" spans="17:24" x14ac:dyDescent="0.3">
      <c r="Q5210" s="4"/>
      <c r="R5210" s="4"/>
      <c r="S5210" s="4"/>
      <c r="T5210" s="4"/>
      <c r="U5210" s="4"/>
      <c r="V5210" s="4"/>
      <c r="W5210" s="4"/>
      <c r="X5210" s="4"/>
    </row>
    <row r="5211" spans="17:24" x14ac:dyDescent="0.3">
      <c r="Q5211" s="4"/>
      <c r="R5211" s="4"/>
      <c r="S5211" s="4"/>
      <c r="T5211" s="4"/>
      <c r="U5211" s="4"/>
      <c r="V5211" s="4"/>
      <c r="W5211" s="4"/>
      <c r="X5211" s="4"/>
    </row>
    <row r="5212" spans="17:24" x14ac:dyDescent="0.3">
      <c r="Q5212" s="4"/>
      <c r="R5212" s="4"/>
      <c r="S5212" s="4"/>
      <c r="T5212" s="4"/>
      <c r="U5212" s="4"/>
      <c r="V5212" s="4"/>
      <c r="W5212" s="4"/>
      <c r="X5212" s="4"/>
    </row>
    <row r="5213" spans="17:24" x14ac:dyDescent="0.3">
      <c r="Q5213" s="4"/>
      <c r="R5213" s="4"/>
      <c r="S5213" s="4"/>
      <c r="T5213" s="4"/>
      <c r="U5213" s="4"/>
      <c r="V5213" s="4"/>
      <c r="W5213" s="4"/>
      <c r="X5213" s="4"/>
    </row>
    <row r="5214" spans="17:24" x14ac:dyDescent="0.3">
      <c r="Q5214" s="4"/>
      <c r="R5214" s="4"/>
      <c r="S5214" s="4"/>
      <c r="T5214" s="4"/>
      <c r="U5214" s="4"/>
      <c r="V5214" s="4"/>
      <c r="W5214" s="4"/>
      <c r="X5214" s="4"/>
    </row>
    <row r="5215" spans="17:24" x14ac:dyDescent="0.3">
      <c r="Q5215" s="4"/>
      <c r="R5215" s="4"/>
      <c r="S5215" s="4"/>
      <c r="T5215" s="4"/>
      <c r="U5215" s="4"/>
      <c r="V5215" s="4"/>
      <c r="W5215" s="4"/>
      <c r="X5215" s="4"/>
    </row>
    <row r="5216" spans="17:24" x14ac:dyDescent="0.3">
      <c r="Q5216" s="4"/>
      <c r="R5216" s="4"/>
      <c r="S5216" s="4"/>
      <c r="T5216" s="4"/>
      <c r="U5216" s="4"/>
      <c r="V5216" s="4"/>
      <c r="W5216" s="4"/>
      <c r="X5216" s="4"/>
    </row>
    <row r="5217" spans="17:24" x14ac:dyDescent="0.3">
      <c r="Q5217" s="4"/>
      <c r="R5217" s="4"/>
      <c r="S5217" s="4"/>
      <c r="T5217" s="4"/>
      <c r="U5217" s="4"/>
      <c r="V5217" s="4"/>
      <c r="W5217" s="4"/>
      <c r="X5217" s="4"/>
    </row>
    <row r="5218" spans="17:24" x14ac:dyDescent="0.3">
      <c r="Q5218" s="4"/>
      <c r="R5218" s="4"/>
      <c r="S5218" s="4"/>
      <c r="T5218" s="4"/>
      <c r="U5218" s="4"/>
      <c r="V5218" s="4"/>
      <c r="W5218" s="4"/>
      <c r="X5218" s="4"/>
    </row>
    <row r="5219" spans="17:24" x14ac:dyDescent="0.3">
      <c r="Q5219" s="4"/>
      <c r="R5219" s="4"/>
      <c r="S5219" s="4"/>
      <c r="T5219" s="4"/>
      <c r="U5219" s="4"/>
      <c r="V5219" s="4"/>
      <c r="W5219" s="4"/>
      <c r="X5219" s="4"/>
    </row>
    <row r="5220" spans="17:24" x14ac:dyDescent="0.3">
      <c r="Q5220" s="4"/>
      <c r="R5220" s="4"/>
      <c r="S5220" s="4"/>
      <c r="T5220" s="4"/>
      <c r="U5220" s="4"/>
      <c r="V5220" s="4"/>
      <c r="W5220" s="4"/>
      <c r="X5220" s="4"/>
    </row>
    <row r="5221" spans="17:24" x14ac:dyDescent="0.3">
      <c r="Q5221" s="4"/>
      <c r="R5221" s="4"/>
      <c r="S5221" s="4"/>
      <c r="T5221" s="4"/>
      <c r="U5221" s="4"/>
      <c r="V5221" s="4"/>
      <c r="W5221" s="4"/>
      <c r="X5221" s="4"/>
    </row>
    <row r="5222" spans="17:24" x14ac:dyDescent="0.3">
      <c r="Q5222" s="4"/>
      <c r="R5222" s="4"/>
      <c r="S5222" s="4"/>
      <c r="T5222" s="4"/>
      <c r="U5222" s="4"/>
      <c r="V5222" s="4"/>
      <c r="W5222" s="4"/>
      <c r="X5222" s="4"/>
    </row>
    <row r="5223" spans="17:24" x14ac:dyDescent="0.3">
      <c r="Q5223" s="4"/>
      <c r="R5223" s="4"/>
      <c r="S5223" s="4"/>
      <c r="T5223" s="4"/>
      <c r="U5223" s="4"/>
      <c r="V5223" s="4"/>
      <c r="W5223" s="4"/>
      <c r="X5223" s="4"/>
    </row>
    <row r="5224" spans="17:24" x14ac:dyDescent="0.3">
      <c r="Q5224" s="4"/>
      <c r="R5224" s="4"/>
      <c r="S5224" s="4"/>
      <c r="T5224" s="4"/>
      <c r="U5224" s="4"/>
      <c r="V5224" s="4"/>
      <c r="W5224" s="4"/>
      <c r="X5224" s="4"/>
    </row>
    <row r="5225" spans="17:24" x14ac:dyDescent="0.3">
      <c r="Q5225" s="4"/>
      <c r="R5225" s="4"/>
      <c r="S5225" s="4"/>
      <c r="T5225" s="4"/>
      <c r="U5225" s="4"/>
      <c r="V5225" s="4"/>
      <c r="W5225" s="4"/>
      <c r="X5225" s="4"/>
    </row>
    <row r="5226" spans="17:24" x14ac:dyDescent="0.3">
      <c r="Q5226" s="4"/>
      <c r="R5226" s="4"/>
      <c r="S5226" s="4"/>
      <c r="T5226" s="4"/>
      <c r="U5226" s="4"/>
      <c r="V5226" s="4"/>
      <c r="W5226" s="4"/>
      <c r="X5226" s="4"/>
    </row>
    <row r="5227" spans="17:24" x14ac:dyDescent="0.3">
      <c r="Q5227" s="4"/>
      <c r="R5227" s="4"/>
      <c r="S5227" s="4"/>
      <c r="T5227" s="4"/>
      <c r="U5227" s="4"/>
      <c r="V5227" s="4"/>
      <c r="W5227" s="4"/>
      <c r="X5227" s="4"/>
    </row>
    <row r="5228" spans="17:24" x14ac:dyDescent="0.3">
      <c r="Q5228" s="4"/>
      <c r="R5228" s="4"/>
      <c r="S5228" s="4"/>
      <c r="T5228" s="4"/>
      <c r="U5228" s="4"/>
      <c r="V5228" s="4"/>
      <c r="W5228" s="4"/>
      <c r="X5228" s="4"/>
    </row>
    <row r="5229" spans="17:24" x14ac:dyDescent="0.3">
      <c r="Q5229" s="4"/>
      <c r="R5229" s="4"/>
      <c r="S5229" s="4"/>
      <c r="T5229" s="4"/>
      <c r="U5229" s="4"/>
      <c r="V5229" s="4"/>
      <c r="W5229" s="4"/>
      <c r="X5229" s="4"/>
    </row>
    <row r="5230" spans="17:24" x14ac:dyDescent="0.3">
      <c r="Q5230" s="4"/>
      <c r="R5230" s="4"/>
      <c r="S5230" s="4"/>
      <c r="T5230" s="4"/>
      <c r="U5230" s="4"/>
      <c r="V5230" s="4"/>
      <c r="W5230" s="4"/>
      <c r="X5230" s="4"/>
    </row>
    <row r="5231" spans="17:24" x14ac:dyDescent="0.3">
      <c r="Q5231" s="4"/>
      <c r="R5231" s="4"/>
      <c r="S5231" s="4"/>
      <c r="T5231" s="4"/>
      <c r="U5231" s="4"/>
      <c r="V5231" s="4"/>
      <c r="W5231" s="4"/>
      <c r="X5231" s="4"/>
    </row>
    <row r="5232" spans="17:24" x14ac:dyDescent="0.3">
      <c r="Q5232" s="4"/>
      <c r="R5232" s="4"/>
      <c r="S5232" s="4"/>
      <c r="T5232" s="4"/>
      <c r="U5232" s="4"/>
      <c r="V5232" s="4"/>
      <c r="W5232" s="4"/>
      <c r="X5232" s="4"/>
    </row>
    <row r="5233" spans="17:24" x14ac:dyDescent="0.3">
      <c r="Q5233" s="4"/>
      <c r="R5233" s="4"/>
      <c r="S5233" s="4"/>
      <c r="T5233" s="4"/>
      <c r="U5233" s="4"/>
      <c r="V5233" s="4"/>
      <c r="W5233" s="4"/>
      <c r="X5233" s="4"/>
    </row>
    <row r="5234" spans="17:24" x14ac:dyDescent="0.3">
      <c r="Q5234" s="4"/>
      <c r="R5234" s="4"/>
      <c r="S5234" s="4"/>
      <c r="T5234" s="4"/>
      <c r="U5234" s="4"/>
      <c r="V5234" s="4"/>
      <c r="W5234" s="4"/>
      <c r="X5234" s="4"/>
    </row>
    <row r="5235" spans="17:24" x14ac:dyDescent="0.3">
      <c r="Q5235" s="4"/>
      <c r="R5235" s="4"/>
      <c r="S5235" s="4"/>
      <c r="T5235" s="4"/>
      <c r="U5235" s="4"/>
      <c r="V5235" s="4"/>
      <c r="W5235" s="4"/>
      <c r="X5235" s="4"/>
    </row>
    <row r="5236" spans="17:24" x14ac:dyDescent="0.3">
      <c r="Q5236" s="4"/>
      <c r="R5236" s="4"/>
      <c r="S5236" s="4"/>
      <c r="T5236" s="4"/>
      <c r="U5236" s="4"/>
      <c r="V5236" s="4"/>
      <c r="W5236" s="4"/>
      <c r="X5236" s="4"/>
    </row>
    <row r="5237" spans="17:24" x14ac:dyDescent="0.3">
      <c r="Q5237" s="4"/>
      <c r="R5237" s="4"/>
      <c r="S5237" s="4"/>
      <c r="T5237" s="4"/>
      <c r="U5237" s="4"/>
      <c r="V5237" s="4"/>
      <c r="W5237" s="4"/>
      <c r="X5237" s="4"/>
    </row>
    <row r="5238" spans="17:24" x14ac:dyDescent="0.3">
      <c r="Q5238" s="4"/>
      <c r="R5238" s="4"/>
      <c r="S5238" s="4"/>
      <c r="T5238" s="4"/>
      <c r="U5238" s="4"/>
      <c r="V5238" s="4"/>
      <c r="W5238" s="4"/>
      <c r="X5238" s="4"/>
    </row>
    <row r="5239" spans="17:24" x14ac:dyDescent="0.3">
      <c r="Q5239" s="4"/>
      <c r="R5239" s="4"/>
      <c r="S5239" s="4"/>
      <c r="T5239" s="4"/>
      <c r="U5239" s="4"/>
      <c r="V5239" s="4"/>
      <c r="W5239" s="4"/>
      <c r="X5239" s="4"/>
    </row>
    <row r="5240" spans="17:24" x14ac:dyDescent="0.3">
      <c r="Q5240" s="4"/>
      <c r="R5240" s="4"/>
      <c r="S5240" s="4"/>
      <c r="T5240" s="4"/>
      <c r="U5240" s="4"/>
      <c r="V5240" s="4"/>
      <c r="W5240" s="4"/>
      <c r="X5240" s="4"/>
    </row>
    <row r="5241" spans="17:24" x14ac:dyDescent="0.3">
      <c r="Q5241" s="4"/>
      <c r="R5241" s="4"/>
      <c r="S5241" s="4"/>
      <c r="T5241" s="4"/>
      <c r="U5241" s="4"/>
      <c r="V5241" s="4"/>
      <c r="W5241" s="4"/>
      <c r="X5241" s="4"/>
    </row>
    <row r="5242" spans="17:24" x14ac:dyDescent="0.3">
      <c r="Q5242" s="4"/>
      <c r="R5242" s="4"/>
      <c r="S5242" s="4"/>
      <c r="T5242" s="4"/>
      <c r="U5242" s="4"/>
      <c r="V5242" s="4"/>
      <c r="W5242" s="4"/>
      <c r="X5242" s="4"/>
    </row>
    <row r="5243" spans="17:24" x14ac:dyDescent="0.3">
      <c r="Q5243" s="4"/>
      <c r="R5243" s="4"/>
      <c r="S5243" s="4"/>
      <c r="T5243" s="4"/>
      <c r="U5243" s="4"/>
      <c r="V5243" s="4"/>
      <c r="W5243" s="4"/>
      <c r="X5243" s="4"/>
    </row>
    <row r="5244" spans="17:24" x14ac:dyDescent="0.3">
      <c r="Q5244" s="4"/>
      <c r="R5244" s="4"/>
      <c r="S5244" s="4"/>
      <c r="T5244" s="4"/>
      <c r="U5244" s="4"/>
      <c r="V5244" s="4"/>
      <c r="W5244" s="4"/>
      <c r="X5244" s="4"/>
    </row>
    <row r="5245" spans="17:24" x14ac:dyDescent="0.3">
      <c r="Q5245" s="4"/>
      <c r="R5245" s="4"/>
      <c r="S5245" s="4"/>
      <c r="T5245" s="4"/>
      <c r="U5245" s="4"/>
      <c r="V5245" s="4"/>
      <c r="W5245" s="4"/>
      <c r="X5245" s="4"/>
    </row>
    <row r="5246" spans="17:24" x14ac:dyDescent="0.3">
      <c r="Q5246" s="4"/>
      <c r="R5246" s="4"/>
      <c r="S5246" s="4"/>
      <c r="T5246" s="4"/>
      <c r="U5246" s="4"/>
      <c r="V5246" s="4"/>
      <c r="W5246" s="4"/>
      <c r="X5246" s="4"/>
    </row>
    <row r="5247" spans="17:24" x14ac:dyDescent="0.3">
      <c r="Q5247" s="4"/>
      <c r="R5247" s="4"/>
      <c r="S5247" s="4"/>
      <c r="T5247" s="4"/>
      <c r="U5247" s="4"/>
      <c r="V5247" s="4"/>
      <c r="W5247" s="4"/>
      <c r="X5247" s="4"/>
    </row>
    <row r="5248" spans="17:24" x14ac:dyDescent="0.3">
      <c r="Q5248" s="4"/>
      <c r="R5248" s="4"/>
      <c r="S5248" s="4"/>
      <c r="T5248" s="4"/>
      <c r="U5248" s="4"/>
      <c r="V5248" s="4"/>
      <c r="W5248" s="4"/>
      <c r="X5248" s="4"/>
    </row>
    <row r="5249" spans="17:24" x14ac:dyDescent="0.3">
      <c r="Q5249" s="4"/>
      <c r="R5249" s="4"/>
      <c r="S5249" s="4"/>
      <c r="T5249" s="4"/>
      <c r="U5249" s="4"/>
      <c r="V5249" s="4"/>
      <c r="W5249" s="4"/>
      <c r="X5249" s="4"/>
    </row>
    <row r="5250" spans="17:24" x14ac:dyDescent="0.3">
      <c r="Q5250" s="4"/>
      <c r="R5250" s="4"/>
      <c r="S5250" s="4"/>
      <c r="T5250" s="4"/>
      <c r="U5250" s="4"/>
      <c r="V5250" s="4"/>
      <c r="W5250" s="4"/>
      <c r="X5250" s="4"/>
    </row>
    <row r="5251" spans="17:24" x14ac:dyDescent="0.3">
      <c r="Q5251" s="4"/>
      <c r="R5251" s="4"/>
      <c r="S5251" s="4"/>
      <c r="T5251" s="4"/>
      <c r="U5251" s="4"/>
      <c r="V5251" s="4"/>
      <c r="W5251" s="4"/>
      <c r="X5251" s="4"/>
    </row>
    <row r="5252" spans="17:24" x14ac:dyDescent="0.3">
      <c r="Q5252" s="4"/>
      <c r="R5252" s="4"/>
      <c r="S5252" s="4"/>
      <c r="T5252" s="4"/>
      <c r="U5252" s="4"/>
      <c r="V5252" s="4"/>
      <c r="W5252" s="4"/>
      <c r="X5252" s="4"/>
    </row>
    <row r="5253" spans="17:24" x14ac:dyDescent="0.3">
      <c r="Q5253" s="4"/>
      <c r="R5253" s="4"/>
      <c r="S5253" s="4"/>
      <c r="T5253" s="4"/>
      <c r="U5253" s="4"/>
      <c r="V5253" s="4"/>
      <c r="W5253" s="4"/>
      <c r="X5253" s="4"/>
    </row>
    <row r="5254" spans="17:24" x14ac:dyDescent="0.3">
      <c r="Q5254" s="4"/>
      <c r="R5254" s="4"/>
      <c r="S5254" s="4"/>
      <c r="T5254" s="4"/>
      <c r="U5254" s="4"/>
      <c r="V5254" s="4"/>
      <c r="W5254" s="4"/>
      <c r="X5254" s="4"/>
    </row>
    <row r="5255" spans="17:24" x14ac:dyDescent="0.3">
      <c r="Q5255" s="4"/>
      <c r="R5255" s="4"/>
      <c r="S5255" s="4"/>
      <c r="T5255" s="4"/>
      <c r="U5255" s="4"/>
      <c r="V5255" s="4"/>
      <c r="W5255" s="4"/>
      <c r="X5255" s="4"/>
    </row>
    <row r="5256" spans="17:24" x14ac:dyDescent="0.3">
      <c r="Q5256" s="4"/>
      <c r="R5256" s="4"/>
      <c r="S5256" s="4"/>
      <c r="T5256" s="4"/>
      <c r="U5256" s="4"/>
      <c r="V5256" s="4"/>
      <c r="W5256" s="4"/>
      <c r="X5256" s="4"/>
    </row>
    <row r="5257" spans="17:24" x14ac:dyDescent="0.3">
      <c r="Q5257" s="4"/>
      <c r="R5257" s="4"/>
      <c r="S5257" s="4"/>
      <c r="T5257" s="4"/>
      <c r="U5257" s="4"/>
      <c r="V5257" s="4"/>
      <c r="W5257" s="4"/>
      <c r="X5257" s="4"/>
    </row>
    <row r="5258" spans="17:24" x14ac:dyDescent="0.3">
      <c r="Q5258" s="4"/>
      <c r="R5258" s="4"/>
      <c r="S5258" s="4"/>
      <c r="T5258" s="4"/>
      <c r="U5258" s="4"/>
      <c r="V5258" s="4"/>
      <c r="W5258" s="4"/>
      <c r="X5258" s="4"/>
    </row>
    <row r="5259" spans="17:24" x14ac:dyDescent="0.3">
      <c r="Q5259" s="4"/>
      <c r="R5259" s="4"/>
      <c r="S5259" s="4"/>
      <c r="T5259" s="4"/>
      <c r="U5259" s="4"/>
      <c r="V5259" s="4"/>
      <c r="W5259" s="4"/>
      <c r="X5259" s="4"/>
    </row>
    <row r="5260" spans="17:24" x14ac:dyDescent="0.3">
      <c r="Q5260" s="4"/>
      <c r="R5260" s="4"/>
      <c r="S5260" s="4"/>
      <c r="T5260" s="4"/>
      <c r="U5260" s="4"/>
      <c r="V5260" s="4"/>
      <c r="W5260" s="4"/>
      <c r="X5260" s="4"/>
    </row>
    <row r="5261" spans="17:24" x14ac:dyDescent="0.3">
      <c r="Q5261" s="4"/>
      <c r="R5261" s="4"/>
      <c r="S5261" s="4"/>
      <c r="T5261" s="4"/>
      <c r="U5261" s="4"/>
      <c r="V5261" s="4"/>
      <c r="W5261" s="4"/>
      <c r="X5261" s="4"/>
    </row>
    <row r="5262" spans="17:24" x14ac:dyDescent="0.3">
      <c r="Q5262" s="4"/>
      <c r="R5262" s="4"/>
      <c r="S5262" s="4"/>
      <c r="T5262" s="4"/>
      <c r="U5262" s="4"/>
      <c r="V5262" s="4"/>
      <c r="W5262" s="4"/>
      <c r="X5262" s="4"/>
    </row>
    <row r="5263" spans="17:24" x14ac:dyDescent="0.3">
      <c r="Q5263" s="4"/>
      <c r="R5263" s="4"/>
      <c r="S5263" s="4"/>
      <c r="T5263" s="4"/>
      <c r="U5263" s="4"/>
      <c r="V5263" s="4"/>
      <c r="W5263" s="4"/>
      <c r="X5263" s="4"/>
    </row>
    <row r="5264" spans="17:24" x14ac:dyDescent="0.3">
      <c r="Q5264" s="4"/>
      <c r="R5264" s="4"/>
      <c r="S5264" s="4"/>
      <c r="T5264" s="4"/>
      <c r="U5264" s="4"/>
      <c r="V5264" s="4"/>
      <c r="W5264" s="4"/>
      <c r="X5264" s="4"/>
    </row>
    <row r="5265" spans="17:24" x14ac:dyDescent="0.3">
      <c r="Q5265" s="4"/>
      <c r="R5265" s="4"/>
      <c r="S5265" s="4"/>
      <c r="T5265" s="4"/>
      <c r="U5265" s="4"/>
      <c r="V5265" s="4"/>
      <c r="W5265" s="4"/>
      <c r="X5265" s="4"/>
    </row>
    <row r="5266" spans="17:24" x14ac:dyDescent="0.3">
      <c r="Q5266" s="4"/>
      <c r="R5266" s="4"/>
      <c r="S5266" s="4"/>
      <c r="T5266" s="4"/>
      <c r="U5266" s="4"/>
      <c r="V5266" s="4"/>
      <c r="W5266" s="4"/>
      <c r="X5266" s="4"/>
    </row>
    <row r="5267" spans="17:24" x14ac:dyDescent="0.3">
      <c r="Q5267" s="4"/>
      <c r="R5267" s="4"/>
      <c r="S5267" s="4"/>
      <c r="T5267" s="4"/>
      <c r="U5267" s="4"/>
      <c r="V5267" s="4"/>
      <c r="W5267" s="4"/>
      <c r="X5267" s="4"/>
    </row>
    <row r="5268" spans="17:24" x14ac:dyDescent="0.3">
      <c r="Q5268" s="4"/>
      <c r="R5268" s="4"/>
      <c r="S5268" s="4"/>
      <c r="T5268" s="4"/>
      <c r="U5268" s="4"/>
      <c r="V5268" s="4"/>
      <c r="W5268" s="4"/>
      <c r="X5268" s="4"/>
    </row>
    <row r="5269" spans="17:24" x14ac:dyDescent="0.3">
      <c r="Q5269" s="4"/>
      <c r="R5269" s="4"/>
      <c r="S5269" s="4"/>
      <c r="T5269" s="4"/>
      <c r="U5269" s="4"/>
      <c r="V5269" s="4"/>
      <c r="W5269" s="4"/>
      <c r="X5269" s="4"/>
    </row>
    <row r="5270" spans="17:24" x14ac:dyDescent="0.3">
      <c r="Q5270" s="4"/>
      <c r="R5270" s="4"/>
      <c r="S5270" s="4"/>
      <c r="T5270" s="4"/>
      <c r="U5270" s="4"/>
      <c r="V5270" s="4"/>
      <c r="W5270" s="4"/>
      <c r="X5270" s="4"/>
    </row>
    <row r="5271" spans="17:24" x14ac:dyDescent="0.3">
      <c r="Q5271" s="4"/>
      <c r="R5271" s="4"/>
      <c r="S5271" s="4"/>
      <c r="T5271" s="4"/>
      <c r="U5271" s="4"/>
      <c r="V5271" s="4"/>
      <c r="W5271" s="4"/>
      <c r="X5271" s="4"/>
    </row>
    <row r="5272" spans="17:24" x14ac:dyDescent="0.3">
      <c r="Q5272" s="4"/>
      <c r="R5272" s="4"/>
      <c r="S5272" s="4"/>
      <c r="T5272" s="4"/>
      <c r="U5272" s="4"/>
      <c r="V5272" s="4"/>
      <c r="W5272" s="4"/>
      <c r="X5272" s="4"/>
    </row>
    <row r="5273" spans="17:24" x14ac:dyDescent="0.3">
      <c r="Q5273" s="4"/>
      <c r="R5273" s="4"/>
      <c r="S5273" s="4"/>
      <c r="T5273" s="4"/>
      <c r="U5273" s="4"/>
      <c r="V5273" s="4"/>
      <c r="W5273" s="4"/>
      <c r="X5273" s="4"/>
    </row>
    <row r="5274" spans="17:24" x14ac:dyDescent="0.3">
      <c r="Q5274" s="4"/>
      <c r="R5274" s="4"/>
      <c r="S5274" s="4"/>
      <c r="T5274" s="4"/>
      <c r="U5274" s="4"/>
      <c r="V5274" s="4"/>
      <c r="W5274" s="4"/>
      <c r="X5274" s="4"/>
    </row>
    <row r="5275" spans="17:24" x14ac:dyDescent="0.3">
      <c r="Q5275" s="4"/>
      <c r="R5275" s="4"/>
      <c r="S5275" s="4"/>
      <c r="T5275" s="4"/>
      <c r="U5275" s="4"/>
      <c r="V5275" s="4"/>
      <c r="W5275" s="4"/>
      <c r="X5275" s="4"/>
    </row>
    <row r="5276" spans="17:24" x14ac:dyDescent="0.3">
      <c r="Q5276" s="4"/>
      <c r="R5276" s="4"/>
      <c r="S5276" s="4"/>
      <c r="T5276" s="4"/>
      <c r="U5276" s="4"/>
      <c r="V5276" s="4"/>
      <c r="W5276" s="4"/>
      <c r="X5276" s="4"/>
    </row>
    <row r="5277" spans="17:24" x14ac:dyDescent="0.3">
      <c r="Q5277" s="4"/>
      <c r="R5277" s="4"/>
      <c r="S5277" s="4"/>
      <c r="T5277" s="4"/>
      <c r="U5277" s="4"/>
      <c r="V5277" s="4"/>
      <c r="W5277" s="4"/>
      <c r="X5277" s="4"/>
    </row>
    <row r="5278" spans="17:24" x14ac:dyDescent="0.3">
      <c r="Q5278" s="4"/>
      <c r="R5278" s="4"/>
      <c r="S5278" s="4"/>
      <c r="T5278" s="4"/>
      <c r="U5278" s="4"/>
      <c r="V5278" s="4"/>
      <c r="W5278" s="4"/>
      <c r="X5278" s="4"/>
    </row>
    <row r="5279" spans="17:24" x14ac:dyDescent="0.3">
      <c r="Q5279" s="4"/>
      <c r="R5279" s="4"/>
      <c r="S5279" s="4"/>
      <c r="T5279" s="4"/>
      <c r="U5279" s="4"/>
      <c r="V5279" s="4"/>
      <c r="W5279" s="4"/>
      <c r="X5279" s="4"/>
    </row>
    <row r="5280" spans="17:24" x14ac:dyDescent="0.3">
      <c r="Q5280" s="4"/>
      <c r="R5280" s="4"/>
      <c r="S5280" s="4"/>
      <c r="T5280" s="4"/>
      <c r="U5280" s="4"/>
      <c r="V5280" s="4"/>
      <c r="W5280" s="4"/>
      <c r="X5280" s="4"/>
    </row>
    <row r="5281" spans="17:24" x14ac:dyDescent="0.3">
      <c r="Q5281" s="4"/>
      <c r="R5281" s="4"/>
      <c r="S5281" s="4"/>
      <c r="T5281" s="4"/>
      <c r="U5281" s="4"/>
      <c r="V5281" s="4"/>
      <c r="W5281" s="4"/>
      <c r="X5281" s="4"/>
    </row>
    <row r="5282" spans="17:24" x14ac:dyDescent="0.3">
      <c r="Q5282" s="4"/>
      <c r="R5282" s="4"/>
      <c r="S5282" s="4"/>
      <c r="T5282" s="4"/>
      <c r="U5282" s="4"/>
      <c r="V5282" s="4"/>
      <c r="W5282" s="4"/>
      <c r="X5282" s="4"/>
    </row>
    <row r="5283" spans="17:24" x14ac:dyDescent="0.3">
      <c r="Q5283" s="4"/>
      <c r="R5283" s="4"/>
      <c r="S5283" s="4"/>
      <c r="T5283" s="4"/>
      <c r="U5283" s="4"/>
      <c r="V5283" s="4"/>
      <c r="W5283" s="4"/>
      <c r="X5283" s="4"/>
    </row>
    <row r="5284" spans="17:24" x14ac:dyDescent="0.3">
      <c r="Q5284" s="4"/>
      <c r="R5284" s="4"/>
      <c r="S5284" s="4"/>
      <c r="T5284" s="4"/>
      <c r="U5284" s="4"/>
      <c r="V5284" s="4"/>
      <c r="W5284" s="4"/>
      <c r="X5284" s="4"/>
    </row>
    <row r="5285" spans="17:24" x14ac:dyDescent="0.3">
      <c r="Q5285" s="4"/>
      <c r="R5285" s="4"/>
      <c r="S5285" s="4"/>
      <c r="T5285" s="4"/>
      <c r="U5285" s="4"/>
      <c r="V5285" s="4"/>
      <c r="W5285" s="4"/>
      <c r="X5285" s="4"/>
    </row>
    <row r="5286" spans="17:24" x14ac:dyDescent="0.3">
      <c r="Q5286" s="4"/>
      <c r="R5286" s="4"/>
      <c r="S5286" s="4"/>
      <c r="T5286" s="4"/>
      <c r="U5286" s="4"/>
      <c r="V5286" s="4"/>
      <c r="W5286" s="4"/>
      <c r="X5286" s="4"/>
    </row>
    <row r="5287" spans="17:24" x14ac:dyDescent="0.3">
      <c r="Q5287" s="4"/>
      <c r="R5287" s="4"/>
      <c r="S5287" s="4"/>
      <c r="T5287" s="4"/>
      <c r="U5287" s="4"/>
      <c r="V5287" s="4"/>
      <c r="W5287" s="4"/>
      <c r="X5287" s="4"/>
    </row>
    <row r="5288" spans="17:24" x14ac:dyDescent="0.3">
      <c r="Q5288" s="4"/>
      <c r="R5288" s="4"/>
      <c r="S5288" s="4"/>
      <c r="T5288" s="4"/>
      <c r="U5288" s="4"/>
      <c r="V5288" s="4"/>
      <c r="W5288" s="4"/>
      <c r="X5288" s="4"/>
    </row>
    <row r="5289" spans="17:24" x14ac:dyDescent="0.3">
      <c r="Q5289" s="4"/>
      <c r="R5289" s="4"/>
      <c r="S5289" s="4"/>
      <c r="T5289" s="4"/>
      <c r="U5289" s="4"/>
      <c r="V5289" s="4"/>
      <c r="W5289" s="4"/>
      <c r="X5289" s="4"/>
    </row>
    <row r="5290" spans="17:24" x14ac:dyDescent="0.3">
      <c r="Q5290" s="4"/>
      <c r="R5290" s="4"/>
      <c r="S5290" s="4"/>
      <c r="T5290" s="4"/>
      <c r="U5290" s="4"/>
      <c r="V5290" s="4"/>
      <c r="W5290" s="4"/>
      <c r="X5290" s="4"/>
    </row>
    <row r="5291" spans="17:24" x14ac:dyDescent="0.3">
      <c r="Q5291" s="4"/>
      <c r="R5291" s="4"/>
      <c r="S5291" s="4"/>
      <c r="T5291" s="4"/>
      <c r="U5291" s="4"/>
      <c r="V5291" s="4"/>
      <c r="W5291" s="4"/>
      <c r="X5291" s="4"/>
    </row>
    <row r="5292" spans="17:24" x14ac:dyDescent="0.3">
      <c r="Q5292" s="4"/>
      <c r="R5292" s="4"/>
      <c r="S5292" s="4"/>
      <c r="T5292" s="4"/>
      <c r="U5292" s="4"/>
      <c r="V5292" s="4"/>
      <c r="W5292" s="4"/>
      <c r="X5292" s="4"/>
    </row>
    <row r="5293" spans="17:24" x14ac:dyDescent="0.3">
      <c r="Q5293" s="4"/>
      <c r="R5293" s="4"/>
      <c r="S5293" s="4"/>
      <c r="T5293" s="4"/>
      <c r="U5293" s="4"/>
      <c r="V5293" s="4"/>
      <c r="W5293" s="4"/>
      <c r="X5293" s="4"/>
    </row>
    <row r="5294" spans="17:24" x14ac:dyDescent="0.3">
      <c r="Q5294" s="4"/>
      <c r="R5294" s="4"/>
      <c r="S5294" s="4"/>
      <c r="T5294" s="4"/>
      <c r="U5294" s="4"/>
      <c r="V5294" s="4"/>
      <c r="W5294" s="4"/>
      <c r="X5294" s="4"/>
    </row>
    <row r="5295" spans="17:24" x14ac:dyDescent="0.3">
      <c r="Q5295" s="4"/>
      <c r="R5295" s="4"/>
      <c r="S5295" s="4"/>
      <c r="T5295" s="4"/>
      <c r="U5295" s="4"/>
      <c r="V5295" s="4"/>
      <c r="W5295" s="4"/>
      <c r="X5295" s="4"/>
    </row>
    <row r="5296" spans="17:24" x14ac:dyDescent="0.3">
      <c r="Q5296" s="4"/>
      <c r="R5296" s="4"/>
      <c r="S5296" s="4"/>
      <c r="T5296" s="4"/>
      <c r="U5296" s="4"/>
      <c r="V5296" s="4"/>
      <c r="W5296" s="4"/>
      <c r="X5296" s="4"/>
    </row>
    <row r="5297" spans="17:24" x14ac:dyDescent="0.3">
      <c r="Q5297" s="4"/>
      <c r="R5297" s="4"/>
      <c r="S5297" s="4"/>
      <c r="T5297" s="4"/>
      <c r="U5297" s="4"/>
      <c r="V5297" s="4"/>
      <c r="W5297" s="4"/>
      <c r="X5297" s="4"/>
    </row>
    <row r="5298" spans="17:24" x14ac:dyDescent="0.3">
      <c r="Q5298" s="4"/>
      <c r="R5298" s="4"/>
      <c r="S5298" s="4"/>
      <c r="T5298" s="4"/>
      <c r="U5298" s="4"/>
      <c r="V5298" s="4"/>
      <c r="W5298" s="4"/>
      <c r="X5298" s="4"/>
    </row>
    <row r="5299" spans="17:24" x14ac:dyDescent="0.3">
      <c r="Q5299" s="4"/>
      <c r="R5299" s="4"/>
      <c r="S5299" s="4"/>
      <c r="T5299" s="4"/>
      <c r="U5299" s="4"/>
      <c r="V5299" s="4"/>
      <c r="W5299" s="4"/>
      <c r="X5299" s="4"/>
    </row>
    <row r="5300" spans="17:24" x14ac:dyDescent="0.3">
      <c r="Q5300" s="4"/>
      <c r="R5300" s="4"/>
      <c r="S5300" s="4"/>
      <c r="T5300" s="4"/>
      <c r="U5300" s="4"/>
      <c r="V5300" s="4"/>
      <c r="W5300" s="4"/>
      <c r="X5300" s="4"/>
    </row>
    <row r="5301" spans="17:24" x14ac:dyDescent="0.3">
      <c r="Q5301" s="4"/>
      <c r="R5301" s="4"/>
      <c r="S5301" s="4"/>
      <c r="T5301" s="4"/>
      <c r="U5301" s="4"/>
      <c r="V5301" s="4"/>
      <c r="W5301" s="4"/>
      <c r="X5301" s="4"/>
    </row>
    <row r="5302" spans="17:24" x14ac:dyDescent="0.3">
      <c r="Q5302" s="4"/>
      <c r="R5302" s="4"/>
      <c r="S5302" s="4"/>
      <c r="T5302" s="4"/>
      <c r="U5302" s="4"/>
      <c r="V5302" s="4"/>
      <c r="W5302" s="4"/>
      <c r="X5302" s="4"/>
    </row>
    <row r="5303" spans="17:24" x14ac:dyDescent="0.3">
      <c r="Q5303" s="4"/>
      <c r="R5303" s="4"/>
      <c r="S5303" s="4"/>
      <c r="T5303" s="4"/>
      <c r="U5303" s="4"/>
      <c r="V5303" s="4"/>
      <c r="W5303" s="4"/>
      <c r="X5303" s="4"/>
    </row>
    <row r="5304" spans="17:24" x14ac:dyDescent="0.3">
      <c r="Q5304" s="4"/>
      <c r="R5304" s="4"/>
      <c r="S5304" s="4"/>
      <c r="T5304" s="4"/>
      <c r="U5304" s="4"/>
      <c r="V5304" s="4"/>
      <c r="W5304" s="4"/>
      <c r="X5304" s="4"/>
    </row>
    <row r="5305" spans="17:24" x14ac:dyDescent="0.3">
      <c r="Q5305" s="4"/>
      <c r="R5305" s="4"/>
      <c r="S5305" s="4"/>
      <c r="T5305" s="4"/>
      <c r="U5305" s="4"/>
      <c r="V5305" s="4"/>
      <c r="W5305" s="4"/>
      <c r="X5305" s="4"/>
    </row>
    <row r="5306" spans="17:24" x14ac:dyDescent="0.3">
      <c r="Q5306" s="4"/>
      <c r="R5306" s="4"/>
      <c r="S5306" s="4"/>
      <c r="T5306" s="4"/>
      <c r="U5306" s="4"/>
      <c r="V5306" s="4"/>
      <c r="W5306" s="4"/>
      <c r="X5306" s="4"/>
    </row>
    <row r="5307" spans="17:24" x14ac:dyDescent="0.3">
      <c r="Q5307" s="4"/>
      <c r="R5307" s="4"/>
      <c r="S5307" s="4"/>
      <c r="T5307" s="4"/>
      <c r="U5307" s="4"/>
      <c r="V5307" s="4"/>
      <c r="W5307" s="4"/>
      <c r="X5307" s="4"/>
    </row>
    <row r="5308" spans="17:24" x14ac:dyDescent="0.3">
      <c r="Q5308" s="4"/>
      <c r="R5308" s="4"/>
      <c r="S5308" s="4"/>
      <c r="T5308" s="4"/>
      <c r="U5308" s="4"/>
      <c r="V5308" s="4"/>
      <c r="W5308" s="4"/>
      <c r="X5308" s="4"/>
    </row>
    <row r="5309" spans="17:24" x14ac:dyDescent="0.3">
      <c r="Q5309" s="4"/>
      <c r="R5309" s="4"/>
      <c r="S5309" s="4"/>
      <c r="T5309" s="4"/>
      <c r="U5309" s="4"/>
      <c r="V5309" s="4"/>
      <c r="W5309" s="4"/>
      <c r="X5309" s="4"/>
    </row>
    <row r="5310" spans="17:24" x14ac:dyDescent="0.3">
      <c r="Q5310" s="4"/>
      <c r="R5310" s="4"/>
      <c r="S5310" s="4"/>
      <c r="T5310" s="4"/>
      <c r="U5310" s="4"/>
      <c r="V5310" s="4"/>
      <c r="W5310" s="4"/>
      <c r="X5310" s="4"/>
    </row>
    <row r="5311" spans="17:24" x14ac:dyDescent="0.3">
      <c r="Q5311" s="4"/>
      <c r="R5311" s="4"/>
      <c r="S5311" s="4"/>
      <c r="T5311" s="4"/>
      <c r="U5311" s="4"/>
      <c r="V5311" s="4"/>
      <c r="W5311" s="4"/>
      <c r="X5311" s="4"/>
    </row>
    <row r="5312" spans="17:24" x14ac:dyDescent="0.3">
      <c r="Q5312" s="4"/>
      <c r="R5312" s="4"/>
      <c r="S5312" s="4"/>
      <c r="T5312" s="4"/>
      <c r="U5312" s="4"/>
      <c r="V5312" s="4"/>
      <c r="W5312" s="4"/>
      <c r="X5312" s="4"/>
    </row>
    <row r="5313" spans="17:24" x14ac:dyDescent="0.3">
      <c r="Q5313" s="4"/>
      <c r="R5313" s="4"/>
      <c r="S5313" s="4"/>
      <c r="T5313" s="4"/>
      <c r="U5313" s="4"/>
      <c r="V5313" s="4"/>
      <c r="W5313" s="4"/>
      <c r="X5313" s="4"/>
    </row>
    <row r="5314" spans="17:24" x14ac:dyDescent="0.3">
      <c r="Q5314" s="4"/>
      <c r="R5314" s="4"/>
      <c r="S5314" s="4"/>
      <c r="T5314" s="4"/>
      <c r="U5314" s="4"/>
      <c r="V5314" s="4"/>
      <c r="W5314" s="4"/>
      <c r="X5314" s="4"/>
    </row>
    <row r="5315" spans="17:24" x14ac:dyDescent="0.3">
      <c r="Q5315" s="4"/>
      <c r="R5315" s="4"/>
      <c r="S5315" s="4"/>
      <c r="T5315" s="4"/>
      <c r="U5315" s="4"/>
      <c r="V5315" s="4"/>
      <c r="W5315" s="4"/>
      <c r="X5315" s="4"/>
    </row>
    <row r="5316" spans="17:24" x14ac:dyDescent="0.3">
      <c r="Q5316" s="4"/>
      <c r="R5316" s="4"/>
      <c r="S5316" s="4"/>
      <c r="T5316" s="4"/>
      <c r="U5316" s="4"/>
      <c r="V5316" s="4"/>
      <c r="W5316" s="4"/>
      <c r="X5316" s="4"/>
    </row>
    <row r="5317" spans="17:24" x14ac:dyDescent="0.3">
      <c r="Q5317" s="4"/>
      <c r="R5317" s="4"/>
      <c r="S5317" s="4"/>
      <c r="T5317" s="4"/>
      <c r="U5317" s="4"/>
      <c r="V5317" s="4"/>
      <c r="W5317" s="4"/>
      <c r="X5317" s="4"/>
    </row>
    <row r="5318" spans="17:24" x14ac:dyDescent="0.3">
      <c r="Q5318" s="4"/>
      <c r="R5318" s="4"/>
      <c r="S5318" s="4"/>
      <c r="T5318" s="4"/>
      <c r="U5318" s="4"/>
      <c r="V5318" s="4"/>
      <c r="W5318" s="4"/>
      <c r="X5318" s="4"/>
    </row>
    <row r="5319" spans="17:24" x14ac:dyDescent="0.3">
      <c r="Q5319" s="4"/>
      <c r="R5319" s="4"/>
      <c r="S5319" s="4"/>
      <c r="T5319" s="4"/>
      <c r="U5319" s="4"/>
      <c r="V5319" s="4"/>
      <c r="W5319" s="4"/>
      <c r="X5319" s="4"/>
    </row>
    <row r="5320" spans="17:24" x14ac:dyDescent="0.3">
      <c r="Q5320" s="4"/>
      <c r="R5320" s="4"/>
      <c r="S5320" s="4"/>
      <c r="T5320" s="4"/>
      <c r="U5320" s="4"/>
      <c r="V5320" s="4"/>
      <c r="W5320" s="4"/>
      <c r="X5320" s="4"/>
    </row>
    <row r="5321" spans="17:24" x14ac:dyDescent="0.3">
      <c r="Q5321" s="4"/>
      <c r="R5321" s="4"/>
      <c r="S5321" s="4"/>
      <c r="T5321" s="4"/>
      <c r="U5321" s="4"/>
      <c r="V5321" s="4"/>
      <c r="W5321" s="4"/>
      <c r="X5321" s="4"/>
    </row>
    <row r="5322" spans="17:24" x14ac:dyDescent="0.3">
      <c r="Q5322" s="4"/>
      <c r="R5322" s="4"/>
      <c r="S5322" s="4"/>
      <c r="T5322" s="4"/>
      <c r="U5322" s="4"/>
      <c r="V5322" s="4"/>
      <c r="W5322" s="4"/>
      <c r="X5322" s="4"/>
    </row>
    <row r="5323" spans="17:24" x14ac:dyDescent="0.3">
      <c r="Q5323" s="4"/>
      <c r="R5323" s="4"/>
      <c r="S5323" s="4"/>
      <c r="T5323" s="4"/>
      <c r="U5323" s="4"/>
      <c r="V5323" s="4"/>
      <c r="W5323" s="4"/>
      <c r="X5323" s="4"/>
    </row>
    <row r="5324" spans="17:24" x14ac:dyDescent="0.3">
      <c r="Q5324" s="4"/>
      <c r="R5324" s="4"/>
      <c r="S5324" s="4"/>
      <c r="T5324" s="4"/>
      <c r="U5324" s="4"/>
      <c r="V5324" s="4"/>
      <c r="W5324" s="4"/>
      <c r="X5324" s="4"/>
    </row>
    <row r="5325" spans="17:24" x14ac:dyDescent="0.3">
      <c r="Q5325" s="4"/>
      <c r="R5325" s="4"/>
      <c r="S5325" s="4"/>
      <c r="T5325" s="4"/>
      <c r="U5325" s="4"/>
      <c r="V5325" s="4"/>
      <c r="W5325" s="4"/>
      <c r="X5325" s="4"/>
    </row>
    <row r="5326" spans="17:24" x14ac:dyDescent="0.3">
      <c r="Q5326" s="4"/>
      <c r="R5326" s="4"/>
      <c r="S5326" s="4"/>
      <c r="T5326" s="4"/>
      <c r="U5326" s="4"/>
      <c r="V5326" s="4"/>
      <c r="W5326" s="4"/>
      <c r="X5326" s="4"/>
    </row>
    <row r="5327" spans="17:24" x14ac:dyDescent="0.3">
      <c r="Q5327" s="4"/>
      <c r="R5327" s="4"/>
      <c r="S5327" s="4"/>
      <c r="T5327" s="4"/>
      <c r="U5327" s="4"/>
      <c r="V5327" s="4"/>
      <c r="W5327" s="4"/>
      <c r="X5327" s="4"/>
    </row>
    <row r="5328" spans="17:24" x14ac:dyDescent="0.3">
      <c r="Q5328" s="4"/>
      <c r="R5328" s="4"/>
      <c r="S5328" s="4"/>
      <c r="T5328" s="4"/>
      <c r="U5328" s="4"/>
      <c r="V5328" s="4"/>
      <c r="W5328" s="4"/>
      <c r="X5328" s="4"/>
    </row>
    <row r="5329" spans="17:24" x14ac:dyDescent="0.3">
      <c r="Q5329" s="4"/>
      <c r="R5329" s="4"/>
      <c r="S5329" s="4"/>
      <c r="T5329" s="4"/>
      <c r="U5329" s="4"/>
      <c r="V5329" s="4"/>
      <c r="W5329" s="4"/>
      <c r="X5329" s="4"/>
    </row>
    <row r="5330" spans="17:24" x14ac:dyDescent="0.3">
      <c r="Q5330" s="4"/>
      <c r="R5330" s="4"/>
      <c r="S5330" s="4"/>
      <c r="T5330" s="4"/>
      <c r="U5330" s="4"/>
      <c r="V5330" s="4"/>
      <c r="W5330" s="4"/>
      <c r="X5330" s="4"/>
    </row>
    <row r="5331" spans="17:24" x14ac:dyDescent="0.3">
      <c r="Q5331" s="4"/>
      <c r="R5331" s="4"/>
      <c r="S5331" s="4"/>
      <c r="T5331" s="4"/>
      <c r="U5331" s="4"/>
      <c r="V5331" s="4"/>
      <c r="W5331" s="4"/>
      <c r="X5331" s="4"/>
    </row>
    <row r="5332" spans="17:24" x14ac:dyDescent="0.3">
      <c r="Q5332" s="4"/>
      <c r="R5332" s="4"/>
      <c r="S5332" s="4"/>
      <c r="T5332" s="4"/>
      <c r="U5332" s="4"/>
      <c r="V5332" s="4"/>
      <c r="W5332" s="4"/>
      <c r="X5332" s="4"/>
    </row>
    <row r="5333" spans="17:24" x14ac:dyDescent="0.3">
      <c r="Q5333" s="4"/>
      <c r="R5333" s="4"/>
      <c r="S5333" s="4"/>
      <c r="T5333" s="4"/>
      <c r="U5333" s="4"/>
      <c r="V5333" s="4"/>
      <c r="W5333" s="4"/>
      <c r="X5333" s="4"/>
    </row>
    <row r="5334" spans="17:24" x14ac:dyDescent="0.3">
      <c r="Q5334" s="4"/>
      <c r="R5334" s="4"/>
      <c r="S5334" s="4"/>
      <c r="T5334" s="4"/>
      <c r="U5334" s="4"/>
      <c r="V5334" s="4"/>
      <c r="W5334" s="4"/>
      <c r="X5334" s="4"/>
    </row>
    <row r="5335" spans="17:24" x14ac:dyDescent="0.3">
      <c r="Q5335" s="4"/>
      <c r="R5335" s="4"/>
      <c r="S5335" s="4"/>
      <c r="T5335" s="4"/>
      <c r="U5335" s="4"/>
      <c r="V5335" s="4"/>
      <c r="W5335" s="4"/>
      <c r="X5335" s="4"/>
    </row>
    <row r="5336" spans="17:24" x14ac:dyDescent="0.3">
      <c r="Q5336" s="4"/>
      <c r="R5336" s="4"/>
      <c r="S5336" s="4"/>
      <c r="T5336" s="4"/>
      <c r="U5336" s="4"/>
      <c r="V5336" s="4"/>
      <c r="W5336" s="4"/>
      <c r="X5336" s="4"/>
    </row>
    <row r="5337" spans="17:24" x14ac:dyDescent="0.3">
      <c r="Q5337" s="4"/>
      <c r="R5337" s="4"/>
      <c r="S5337" s="4"/>
      <c r="T5337" s="4"/>
      <c r="U5337" s="4"/>
      <c r="V5337" s="4"/>
      <c r="W5337" s="4"/>
      <c r="X5337" s="4"/>
    </row>
    <row r="5338" spans="17:24" x14ac:dyDescent="0.3">
      <c r="Q5338" s="4"/>
      <c r="R5338" s="4"/>
      <c r="S5338" s="4"/>
      <c r="T5338" s="4"/>
      <c r="U5338" s="4"/>
      <c r="V5338" s="4"/>
      <c r="W5338" s="4"/>
      <c r="X5338" s="4"/>
    </row>
    <row r="5339" spans="17:24" x14ac:dyDescent="0.3">
      <c r="Q5339" s="4"/>
      <c r="R5339" s="4"/>
      <c r="S5339" s="4"/>
      <c r="T5339" s="4"/>
      <c r="U5339" s="4"/>
      <c r="V5339" s="4"/>
      <c r="W5339" s="4"/>
      <c r="X5339" s="4"/>
    </row>
    <row r="5340" spans="17:24" x14ac:dyDescent="0.3">
      <c r="Q5340" s="4"/>
      <c r="R5340" s="4"/>
      <c r="S5340" s="4"/>
      <c r="T5340" s="4"/>
      <c r="U5340" s="4"/>
      <c r="V5340" s="4"/>
      <c r="W5340" s="4"/>
      <c r="X5340" s="4"/>
    </row>
    <row r="5341" spans="17:24" x14ac:dyDescent="0.3">
      <c r="Q5341" s="4"/>
      <c r="R5341" s="4"/>
      <c r="S5341" s="4"/>
      <c r="T5341" s="4"/>
      <c r="U5341" s="4"/>
      <c r="V5341" s="4"/>
      <c r="W5341" s="4"/>
      <c r="X5341" s="4"/>
    </row>
    <row r="5342" spans="17:24" x14ac:dyDescent="0.3">
      <c r="Q5342" s="4"/>
      <c r="R5342" s="4"/>
      <c r="S5342" s="4"/>
      <c r="T5342" s="4"/>
      <c r="U5342" s="4"/>
      <c r="V5342" s="4"/>
      <c r="W5342" s="4"/>
      <c r="X5342" s="4"/>
    </row>
    <row r="5343" spans="17:24" x14ac:dyDescent="0.3">
      <c r="Q5343" s="4"/>
      <c r="R5343" s="4"/>
      <c r="S5343" s="4"/>
      <c r="T5343" s="4"/>
      <c r="U5343" s="4"/>
      <c r="V5343" s="4"/>
      <c r="W5343" s="4"/>
      <c r="X5343" s="4"/>
    </row>
    <row r="5344" spans="17:24" x14ac:dyDescent="0.3">
      <c r="Q5344" s="4"/>
      <c r="R5344" s="4"/>
      <c r="S5344" s="4"/>
      <c r="T5344" s="4"/>
      <c r="U5344" s="4"/>
      <c r="V5344" s="4"/>
      <c r="W5344" s="4"/>
      <c r="X5344" s="4"/>
    </row>
    <row r="5345" spans="17:24" x14ac:dyDescent="0.3">
      <c r="Q5345" s="4"/>
      <c r="R5345" s="4"/>
      <c r="S5345" s="4"/>
      <c r="T5345" s="4"/>
      <c r="U5345" s="4"/>
      <c r="V5345" s="4"/>
      <c r="W5345" s="4"/>
      <c r="X5345" s="4"/>
    </row>
    <row r="5346" spans="17:24" x14ac:dyDescent="0.3">
      <c r="Q5346" s="4"/>
      <c r="R5346" s="4"/>
      <c r="S5346" s="4"/>
      <c r="T5346" s="4"/>
      <c r="U5346" s="4"/>
      <c r="V5346" s="4"/>
      <c r="W5346" s="4"/>
      <c r="X5346" s="4"/>
    </row>
    <row r="5347" spans="17:24" x14ac:dyDescent="0.3">
      <c r="Q5347" s="4"/>
      <c r="R5347" s="4"/>
      <c r="S5347" s="4"/>
      <c r="T5347" s="4"/>
      <c r="U5347" s="4"/>
      <c r="V5347" s="4"/>
      <c r="W5347" s="4"/>
      <c r="X5347" s="4"/>
    </row>
    <row r="5348" spans="17:24" x14ac:dyDescent="0.3">
      <c r="Q5348" s="4"/>
      <c r="R5348" s="4"/>
      <c r="S5348" s="4"/>
      <c r="T5348" s="4"/>
      <c r="U5348" s="4"/>
      <c r="V5348" s="4"/>
      <c r="W5348" s="4"/>
      <c r="X5348" s="4"/>
    </row>
    <row r="5349" spans="17:24" x14ac:dyDescent="0.3">
      <c r="Q5349" s="4"/>
      <c r="R5349" s="4"/>
      <c r="S5349" s="4"/>
      <c r="T5349" s="4"/>
      <c r="U5349" s="4"/>
      <c r="V5349" s="4"/>
      <c r="W5349" s="4"/>
      <c r="X5349" s="4"/>
    </row>
    <row r="5350" spans="17:24" x14ac:dyDescent="0.3">
      <c r="Q5350" s="4"/>
      <c r="R5350" s="4"/>
      <c r="S5350" s="4"/>
      <c r="T5350" s="4"/>
      <c r="U5350" s="4"/>
      <c r="V5350" s="4"/>
      <c r="W5350" s="4"/>
      <c r="X5350" s="4"/>
    </row>
    <row r="5351" spans="17:24" x14ac:dyDescent="0.3">
      <c r="Q5351" s="4"/>
      <c r="R5351" s="4"/>
      <c r="S5351" s="4"/>
      <c r="T5351" s="4"/>
      <c r="U5351" s="4"/>
      <c r="V5351" s="4"/>
      <c r="W5351" s="4"/>
      <c r="X5351" s="4"/>
    </row>
    <row r="5352" spans="17:24" x14ac:dyDescent="0.3">
      <c r="Q5352" s="4"/>
      <c r="R5352" s="4"/>
      <c r="S5352" s="4"/>
      <c r="T5352" s="4"/>
      <c r="U5352" s="4"/>
      <c r="V5352" s="4"/>
      <c r="W5352" s="4"/>
      <c r="X5352" s="4"/>
    </row>
    <row r="5353" spans="17:24" x14ac:dyDescent="0.3">
      <c r="Q5353" s="4"/>
      <c r="R5353" s="4"/>
      <c r="S5353" s="4"/>
      <c r="T5353" s="4"/>
      <c r="U5353" s="4"/>
      <c r="V5353" s="4"/>
      <c r="W5353" s="4"/>
      <c r="X5353" s="4"/>
    </row>
    <row r="5354" spans="17:24" x14ac:dyDescent="0.3">
      <c r="Q5354" s="4"/>
      <c r="R5354" s="4"/>
      <c r="S5354" s="4"/>
      <c r="T5354" s="4"/>
      <c r="U5354" s="4"/>
      <c r="V5354" s="4"/>
      <c r="W5354" s="4"/>
      <c r="X5354" s="4"/>
    </row>
    <row r="5355" spans="17:24" x14ac:dyDescent="0.3">
      <c r="Q5355" s="4"/>
      <c r="R5355" s="4"/>
      <c r="S5355" s="4"/>
      <c r="T5355" s="4"/>
      <c r="U5355" s="4"/>
      <c r="V5355" s="4"/>
      <c r="W5355" s="4"/>
      <c r="X5355" s="4"/>
    </row>
    <row r="5356" spans="17:24" x14ac:dyDescent="0.3">
      <c r="Q5356" s="4"/>
      <c r="R5356" s="4"/>
      <c r="S5356" s="4"/>
      <c r="T5356" s="4"/>
      <c r="U5356" s="4"/>
      <c r="V5356" s="4"/>
      <c r="W5356" s="4"/>
      <c r="X5356" s="4"/>
    </row>
    <row r="5357" spans="17:24" x14ac:dyDescent="0.3">
      <c r="Q5357" s="4"/>
      <c r="R5357" s="4"/>
      <c r="S5357" s="4"/>
      <c r="T5357" s="4"/>
      <c r="U5357" s="4"/>
      <c r="V5357" s="4"/>
      <c r="W5357" s="4"/>
      <c r="X5357" s="4"/>
    </row>
    <row r="5358" spans="17:24" x14ac:dyDescent="0.3">
      <c r="Q5358" s="4"/>
      <c r="R5358" s="4"/>
      <c r="S5358" s="4"/>
      <c r="T5358" s="4"/>
      <c r="U5358" s="4"/>
      <c r="V5358" s="4"/>
      <c r="W5358" s="4"/>
      <c r="X5358" s="4"/>
    </row>
    <row r="5359" spans="17:24" x14ac:dyDescent="0.3">
      <c r="Q5359" s="4"/>
      <c r="R5359" s="4"/>
      <c r="S5359" s="4"/>
      <c r="T5359" s="4"/>
      <c r="U5359" s="4"/>
      <c r="V5359" s="4"/>
      <c r="W5359" s="4"/>
      <c r="X5359" s="4"/>
    </row>
    <row r="5360" spans="17:24" x14ac:dyDescent="0.3">
      <c r="Q5360" s="4"/>
      <c r="R5360" s="4"/>
      <c r="S5360" s="4"/>
      <c r="T5360" s="4"/>
      <c r="U5360" s="4"/>
      <c r="V5360" s="4"/>
      <c r="W5360" s="4"/>
      <c r="X5360" s="4"/>
    </row>
    <row r="5361" spans="17:24" x14ac:dyDescent="0.3">
      <c r="Q5361" s="4"/>
      <c r="R5361" s="4"/>
      <c r="S5361" s="4"/>
      <c r="T5361" s="4"/>
      <c r="U5361" s="4"/>
      <c r="V5361" s="4"/>
      <c r="W5361" s="4"/>
      <c r="X5361" s="4"/>
    </row>
    <row r="5362" spans="17:24" x14ac:dyDescent="0.3">
      <c r="Q5362" s="4"/>
      <c r="R5362" s="4"/>
      <c r="S5362" s="4"/>
      <c r="T5362" s="4"/>
      <c r="U5362" s="4"/>
      <c r="V5362" s="4"/>
      <c r="W5362" s="4"/>
      <c r="X5362" s="4"/>
    </row>
    <row r="5363" spans="17:24" x14ac:dyDescent="0.3">
      <c r="Q5363" s="4"/>
      <c r="R5363" s="4"/>
      <c r="S5363" s="4"/>
      <c r="T5363" s="4"/>
      <c r="U5363" s="4"/>
      <c r="V5363" s="4"/>
      <c r="W5363" s="4"/>
      <c r="X5363" s="4"/>
    </row>
    <row r="5364" spans="17:24" x14ac:dyDescent="0.3">
      <c r="Q5364" s="4"/>
      <c r="R5364" s="4"/>
      <c r="S5364" s="4"/>
      <c r="T5364" s="4"/>
      <c r="U5364" s="4"/>
      <c r="V5364" s="4"/>
      <c r="W5364" s="4"/>
      <c r="X5364" s="4"/>
    </row>
    <row r="5365" spans="17:24" x14ac:dyDescent="0.3">
      <c r="Q5365" s="4"/>
      <c r="R5365" s="4"/>
      <c r="S5365" s="4"/>
      <c r="T5365" s="4"/>
      <c r="U5365" s="4"/>
      <c r="V5365" s="4"/>
      <c r="W5365" s="4"/>
      <c r="X5365" s="4"/>
    </row>
    <row r="5366" spans="17:24" x14ac:dyDescent="0.3">
      <c r="Q5366" s="4"/>
      <c r="R5366" s="4"/>
      <c r="S5366" s="4"/>
      <c r="T5366" s="4"/>
      <c r="U5366" s="4"/>
      <c r="V5366" s="4"/>
      <c r="W5366" s="4"/>
      <c r="X5366" s="4"/>
    </row>
    <row r="5367" spans="17:24" x14ac:dyDescent="0.3">
      <c r="Q5367" s="4"/>
      <c r="R5367" s="4"/>
      <c r="S5367" s="4"/>
      <c r="T5367" s="4"/>
      <c r="U5367" s="4"/>
      <c r="V5367" s="4"/>
      <c r="W5367" s="4"/>
      <c r="X5367" s="4"/>
    </row>
    <row r="5368" spans="17:24" x14ac:dyDescent="0.3">
      <c r="Q5368" s="4"/>
      <c r="R5368" s="4"/>
      <c r="S5368" s="4"/>
      <c r="T5368" s="4"/>
      <c r="U5368" s="4"/>
      <c r="V5368" s="4"/>
      <c r="W5368" s="4"/>
      <c r="X5368" s="4"/>
    </row>
    <row r="5369" spans="17:24" x14ac:dyDescent="0.3">
      <c r="Q5369" s="4"/>
      <c r="R5369" s="4"/>
      <c r="S5369" s="4"/>
      <c r="T5369" s="4"/>
      <c r="U5369" s="4"/>
      <c r="V5369" s="4"/>
      <c r="W5369" s="4"/>
      <c r="X5369" s="4"/>
    </row>
    <row r="5370" spans="17:24" x14ac:dyDescent="0.3">
      <c r="Q5370" s="4"/>
      <c r="R5370" s="4"/>
      <c r="S5370" s="4"/>
      <c r="T5370" s="4"/>
      <c r="U5370" s="4"/>
      <c r="V5370" s="4"/>
      <c r="W5370" s="4"/>
      <c r="X5370" s="4"/>
    </row>
    <row r="5371" spans="17:24" x14ac:dyDescent="0.3">
      <c r="Q5371" s="4"/>
      <c r="R5371" s="4"/>
      <c r="S5371" s="4"/>
      <c r="T5371" s="4"/>
      <c r="U5371" s="4"/>
      <c r="V5371" s="4"/>
      <c r="W5371" s="4"/>
      <c r="X5371" s="4"/>
    </row>
    <row r="5372" spans="17:24" x14ac:dyDescent="0.3">
      <c r="Q5372" s="4"/>
      <c r="R5372" s="4"/>
      <c r="S5372" s="4"/>
      <c r="T5372" s="4"/>
      <c r="U5372" s="4"/>
      <c r="V5372" s="4"/>
      <c r="W5372" s="4"/>
      <c r="X5372" s="4"/>
    </row>
    <row r="5373" spans="17:24" x14ac:dyDescent="0.3">
      <c r="Q5373" s="4"/>
      <c r="R5373" s="4"/>
      <c r="S5373" s="4"/>
      <c r="T5373" s="4"/>
      <c r="U5373" s="4"/>
      <c r="V5373" s="4"/>
      <c r="W5373" s="4"/>
      <c r="X5373" s="4"/>
    </row>
    <row r="5374" spans="17:24" x14ac:dyDescent="0.3">
      <c r="Q5374" s="4"/>
      <c r="R5374" s="4"/>
      <c r="S5374" s="4"/>
      <c r="T5374" s="4"/>
      <c r="U5374" s="4"/>
      <c r="V5374" s="4"/>
      <c r="W5374" s="4"/>
      <c r="X5374" s="4"/>
    </row>
    <row r="5375" spans="17:24" x14ac:dyDescent="0.3">
      <c r="Q5375" s="4"/>
      <c r="R5375" s="4"/>
      <c r="S5375" s="4"/>
      <c r="T5375" s="4"/>
      <c r="U5375" s="4"/>
      <c r="V5375" s="4"/>
      <c r="W5375" s="4"/>
      <c r="X5375" s="4"/>
    </row>
    <row r="5376" spans="17:24" x14ac:dyDescent="0.3">
      <c r="Q5376" s="4"/>
      <c r="R5376" s="4"/>
      <c r="S5376" s="4"/>
      <c r="T5376" s="4"/>
      <c r="U5376" s="4"/>
      <c r="V5376" s="4"/>
      <c r="W5376" s="4"/>
      <c r="X5376" s="4"/>
    </row>
    <row r="5377" spans="17:24" x14ac:dyDescent="0.3">
      <c r="Q5377" s="4"/>
      <c r="R5377" s="4"/>
      <c r="S5377" s="4"/>
      <c r="T5377" s="4"/>
      <c r="U5377" s="4"/>
      <c r="V5377" s="4"/>
      <c r="W5377" s="4"/>
      <c r="X5377" s="4"/>
    </row>
    <row r="5378" spans="17:24" x14ac:dyDescent="0.3">
      <c r="Q5378" s="4"/>
      <c r="R5378" s="4"/>
      <c r="S5378" s="4"/>
      <c r="T5378" s="4"/>
      <c r="U5378" s="4"/>
      <c r="V5378" s="4"/>
      <c r="W5378" s="4"/>
      <c r="X5378" s="4"/>
    </row>
    <row r="5379" spans="17:24" x14ac:dyDescent="0.3">
      <c r="Q5379" s="4"/>
      <c r="R5379" s="4"/>
      <c r="S5379" s="4"/>
      <c r="T5379" s="4"/>
      <c r="U5379" s="4"/>
      <c r="V5379" s="4"/>
      <c r="W5379" s="4"/>
      <c r="X5379" s="4"/>
    </row>
    <row r="5380" spans="17:24" x14ac:dyDescent="0.3">
      <c r="Q5380" s="4"/>
      <c r="R5380" s="4"/>
      <c r="S5380" s="4"/>
      <c r="T5380" s="4"/>
      <c r="U5380" s="4"/>
      <c r="V5380" s="4"/>
      <c r="W5380" s="4"/>
      <c r="X5380" s="4"/>
    </row>
    <row r="5381" spans="17:24" x14ac:dyDescent="0.3">
      <c r="Q5381" s="4"/>
      <c r="R5381" s="4"/>
      <c r="S5381" s="4"/>
      <c r="T5381" s="4"/>
      <c r="U5381" s="4"/>
      <c r="V5381" s="4"/>
      <c r="W5381" s="4"/>
      <c r="X5381" s="4"/>
    </row>
    <row r="5382" spans="17:24" x14ac:dyDescent="0.3">
      <c r="Q5382" s="4"/>
      <c r="R5382" s="4"/>
      <c r="S5382" s="4"/>
      <c r="T5382" s="4"/>
      <c r="U5382" s="4"/>
      <c r="V5382" s="4"/>
      <c r="W5382" s="4"/>
      <c r="X5382" s="4"/>
    </row>
    <row r="5383" spans="17:24" x14ac:dyDescent="0.3">
      <c r="Q5383" s="4"/>
      <c r="R5383" s="4"/>
      <c r="S5383" s="4"/>
      <c r="T5383" s="4"/>
      <c r="U5383" s="4"/>
      <c r="V5383" s="4"/>
      <c r="W5383" s="4"/>
      <c r="X5383" s="4"/>
    </row>
    <row r="5384" spans="17:24" x14ac:dyDescent="0.3">
      <c r="Q5384" s="4"/>
      <c r="R5384" s="4"/>
      <c r="S5384" s="4"/>
      <c r="T5384" s="4"/>
      <c r="U5384" s="4"/>
      <c r="V5384" s="4"/>
      <c r="W5384" s="4"/>
      <c r="X5384" s="4"/>
    </row>
    <row r="5385" spans="17:24" x14ac:dyDescent="0.3">
      <c r="Q5385" s="4"/>
      <c r="R5385" s="4"/>
      <c r="S5385" s="4"/>
      <c r="T5385" s="4"/>
      <c r="U5385" s="4"/>
      <c r="V5385" s="4"/>
      <c r="W5385" s="4"/>
      <c r="X5385" s="4"/>
    </row>
    <row r="5386" spans="17:24" x14ac:dyDescent="0.3">
      <c r="Q5386" s="4"/>
      <c r="R5386" s="4"/>
      <c r="S5386" s="4"/>
      <c r="T5386" s="4"/>
      <c r="U5386" s="4"/>
      <c r="V5386" s="4"/>
      <c r="W5386" s="4"/>
      <c r="X5386" s="4"/>
    </row>
    <row r="5387" spans="17:24" x14ac:dyDescent="0.3">
      <c r="Q5387" s="4"/>
      <c r="R5387" s="4"/>
      <c r="S5387" s="4"/>
      <c r="T5387" s="4"/>
      <c r="U5387" s="4"/>
      <c r="V5387" s="4"/>
      <c r="W5387" s="4"/>
      <c r="X5387" s="4"/>
    </row>
    <row r="5388" spans="17:24" x14ac:dyDescent="0.3">
      <c r="Q5388" s="4"/>
      <c r="R5388" s="4"/>
      <c r="S5388" s="4"/>
      <c r="T5388" s="4"/>
      <c r="U5388" s="4"/>
      <c r="V5388" s="4"/>
      <c r="W5388" s="4"/>
      <c r="X5388" s="4"/>
    </row>
    <row r="5389" spans="17:24" x14ac:dyDescent="0.3">
      <c r="Q5389" s="4"/>
      <c r="R5389" s="4"/>
      <c r="S5389" s="4"/>
      <c r="T5389" s="4"/>
      <c r="U5389" s="4"/>
      <c r="V5389" s="4"/>
      <c r="W5389" s="4"/>
      <c r="X5389" s="4"/>
    </row>
    <row r="5390" spans="17:24" x14ac:dyDescent="0.3">
      <c r="Q5390" s="4"/>
      <c r="R5390" s="4"/>
      <c r="S5390" s="4"/>
      <c r="T5390" s="4"/>
      <c r="U5390" s="4"/>
      <c r="V5390" s="4"/>
      <c r="W5390" s="4"/>
      <c r="X5390" s="4"/>
    </row>
    <row r="5391" spans="17:24" x14ac:dyDescent="0.3">
      <c r="Q5391" s="4"/>
      <c r="R5391" s="4"/>
      <c r="S5391" s="4"/>
      <c r="T5391" s="4"/>
      <c r="U5391" s="4"/>
      <c r="V5391" s="4"/>
      <c r="W5391" s="4"/>
      <c r="X5391" s="4"/>
    </row>
    <row r="5392" spans="17:24" x14ac:dyDescent="0.3">
      <c r="Q5392" s="4"/>
      <c r="R5392" s="4"/>
      <c r="S5392" s="4"/>
      <c r="T5392" s="4"/>
      <c r="U5392" s="4"/>
      <c r="V5392" s="4"/>
      <c r="W5392" s="4"/>
      <c r="X5392" s="4"/>
    </row>
    <row r="5393" spans="17:24" x14ac:dyDescent="0.3">
      <c r="Q5393" s="4"/>
      <c r="R5393" s="4"/>
      <c r="S5393" s="4"/>
      <c r="T5393" s="4"/>
      <c r="U5393" s="4"/>
      <c r="V5393" s="4"/>
      <c r="W5393" s="4"/>
      <c r="X5393" s="4"/>
    </row>
    <row r="5394" spans="17:24" x14ac:dyDescent="0.3">
      <c r="Q5394" s="4"/>
      <c r="R5394" s="4"/>
      <c r="S5394" s="4"/>
      <c r="T5394" s="4"/>
      <c r="U5394" s="4"/>
      <c r="V5394" s="4"/>
      <c r="W5394" s="4"/>
      <c r="X5394" s="4"/>
    </row>
    <row r="5395" spans="17:24" x14ac:dyDescent="0.3">
      <c r="Q5395" s="4"/>
      <c r="R5395" s="4"/>
      <c r="S5395" s="4"/>
      <c r="T5395" s="4"/>
      <c r="U5395" s="4"/>
      <c r="V5395" s="4"/>
      <c r="W5395" s="4"/>
      <c r="X5395" s="4"/>
    </row>
    <row r="5396" spans="17:24" x14ac:dyDescent="0.3">
      <c r="Q5396" s="4"/>
      <c r="R5396" s="4"/>
      <c r="S5396" s="4"/>
      <c r="T5396" s="4"/>
      <c r="U5396" s="4"/>
      <c r="V5396" s="4"/>
      <c r="W5396" s="4"/>
      <c r="X5396" s="4"/>
    </row>
    <row r="5397" spans="17:24" x14ac:dyDescent="0.3">
      <c r="Q5397" s="4"/>
      <c r="R5397" s="4"/>
      <c r="S5397" s="4"/>
      <c r="T5397" s="4"/>
      <c r="U5397" s="4"/>
      <c r="V5397" s="4"/>
      <c r="W5397" s="4"/>
      <c r="X5397" s="4"/>
    </row>
    <row r="5398" spans="17:24" x14ac:dyDescent="0.3">
      <c r="Q5398" s="4"/>
      <c r="R5398" s="4"/>
      <c r="S5398" s="4"/>
      <c r="T5398" s="4"/>
      <c r="U5398" s="4"/>
      <c r="V5398" s="4"/>
      <c r="W5398" s="4"/>
      <c r="X5398" s="4"/>
    </row>
    <row r="5399" spans="17:24" x14ac:dyDescent="0.3">
      <c r="Q5399" s="4"/>
      <c r="R5399" s="4"/>
      <c r="S5399" s="4"/>
      <c r="T5399" s="4"/>
      <c r="U5399" s="4"/>
      <c r="V5399" s="4"/>
      <c r="W5399" s="4"/>
      <c r="X5399" s="4"/>
    </row>
    <row r="5400" spans="17:24" x14ac:dyDescent="0.3">
      <c r="Q5400" s="4"/>
      <c r="R5400" s="4"/>
      <c r="S5400" s="4"/>
      <c r="T5400" s="4"/>
      <c r="U5400" s="4"/>
      <c r="V5400" s="4"/>
      <c r="W5400" s="4"/>
      <c r="X5400" s="4"/>
    </row>
    <row r="5401" spans="17:24" x14ac:dyDescent="0.3">
      <c r="Q5401" s="4"/>
      <c r="R5401" s="4"/>
      <c r="S5401" s="4"/>
      <c r="T5401" s="4"/>
      <c r="U5401" s="4"/>
      <c r="V5401" s="4"/>
      <c r="W5401" s="4"/>
      <c r="X5401" s="4"/>
    </row>
    <row r="5402" spans="17:24" x14ac:dyDescent="0.3">
      <c r="Q5402" s="4"/>
      <c r="R5402" s="4"/>
      <c r="S5402" s="4"/>
      <c r="T5402" s="4"/>
      <c r="U5402" s="4"/>
      <c r="V5402" s="4"/>
      <c r="W5402" s="4"/>
      <c r="X5402" s="4"/>
    </row>
    <row r="5403" spans="17:24" x14ac:dyDescent="0.3">
      <c r="Q5403" s="4"/>
      <c r="R5403" s="4"/>
      <c r="S5403" s="4"/>
      <c r="T5403" s="4"/>
      <c r="U5403" s="4"/>
      <c r="V5403" s="4"/>
      <c r="W5403" s="4"/>
      <c r="X5403" s="4"/>
    </row>
    <row r="5404" spans="17:24" x14ac:dyDescent="0.3">
      <c r="Q5404" s="4"/>
      <c r="R5404" s="4"/>
      <c r="S5404" s="4"/>
      <c r="T5404" s="4"/>
      <c r="U5404" s="4"/>
      <c r="V5404" s="4"/>
      <c r="W5404" s="4"/>
      <c r="X5404" s="4"/>
    </row>
    <row r="5405" spans="17:24" x14ac:dyDescent="0.3">
      <c r="Q5405" s="4"/>
      <c r="R5405" s="4"/>
      <c r="S5405" s="4"/>
      <c r="T5405" s="4"/>
      <c r="U5405" s="4"/>
      <c r="V5405" s="4"/>
      <c r="W5405" s="4"/>
      <c r="X5405" s="4"/>
    </row>
    <row r="5406" spans="17:24" x14ac:dyDescent="0.3">
      <c r="Q5406" s="4"/>
      <c r="R5406" s="4"/>
      <c r="S5406" s="4"/>
      <c r="T5406" s="4"/>
      <c r="U5406" s="4"/>
      <c r="V5406" s="4"/>
      <c r="W5406" s="4"/>
      <c r="X5406" s="4"/>
    </row>
    <row r="5407" spans="17:24" x14ac:dyDescent="0.3">
      <c r="Q5407" s="4"/>
      <c r="R5407" s="4"/>
      <c r="S5407" s="4"/>
      <c r="T5407" s="4"/>
      <c r="U5407" s="4"/>
      <c r="V5407" s="4"/>
      <c r="W5407" s="4"/>
      <c r="X5407" s="4"/>
    </row>
    <row r="5408" spans="17:24" x14ac:dyDescent="0.3">
      <c r="Q5408" s="4"/>
      <c r="R5408" s="4"/>
      <c r="S5408" s="4"/>
      <c r="T5408" s="4"/>
      <c r="U5408" s="4"/>
      <c r="V5408" s="4"/>
      <c r="W5408" s="4"/>
      <c r="X5408" s="4"/>
    </row>
    <row r="5409" spans="17:24" x14ac:dyDescent="0.3">
      <c r="Q5409" s="4"/>
      <c r="R5409" s="4"/>
      <c r="S5409" s="4"/>
      <c r="T5409" s="4"/>
      <c r="U5409" s="4"/>
      <c r="V5409" s="4"/>
      <c r="W5409" s="4"/>
      <c r="X5409" s="4"/>
    </row>
    <row r="5410" spans="17:24" x14ac:dyDescent="0.3">
      <c r="Q5410" s="4"/>
      <c r="R5410" s="4"/>
      <c r="S5410" s="4"/>
      <c r="T5410" s="4"/>
      <c r="U5410" s="4"/>
      <c r="V5410" s="4"/>
      <c r="W5410" s="4"/>
      <c r="X5410" s="4"/>
    </row>
    <row r="5411" spans="17:24" x14ac:dyDescent="0.3">
      <c r="Q5411" s="4"/>
      <c r="R5411" s="4"/>
      <c r="S5411" s="4"/>
      <c r="T5411" s="4"/>
      <c r="U5411" s="4"/>
      <c r="V5411" s="4"/>
      <c r="W5411" s="4"/>
      <c r="X5411" s="4"/>
    </row>
    <row r="5412" spans="17:24" x14ac:dyDescent="0.3">
      <c r="Q5412" s="4"/>
      <c r="R5412" s="4"/>
      <c r="S5412" s="4"/>
      <c r="T5412" s="4"/>
      <c r="U5412" s="4"/>
      <c r="V5412" s="4"/>
      <c r="W5412" s="4"/>
      <c r="X5412" s="4"/>
    </row>
    <row r="5413" spans="17:24" x14ac:dyDescent="0.3">
      <c r="Q5413" s="4"/>
      <c r="R5413" s="4"/>
      <c r="S5413" s="4"/>
      <c r="T5413" s="4"/>
      <c r="U5413" s="4"/>
      <c r="V5413" s="4"/>
      <c r="W5413" s="4"/>
      <c r="X5413" s="4"/>
    </row>
    <row r="5414" spans="17:24" x14ac:dyDescent="0.3">
      <c r="Q5414" s="4"/>
      <c r="R5414" s="4"/>
      <c r="S5414" s="4"/>
      <c r="T5414" s="4"/>
      <c r="U5414" s="4"/>
      <c r="V5414" s="4"/>
      <c r="W5414" s="4"/>
      <c r="X5414" s="4"/>
    </row>
    <row r="5415" spans="17:24" x14ac:dyDescent="0.3">
      <c r="Q5415" s="4"/>
      <c r="R5415" s="4"/>
      <c r="S5415" s="4"/>
      <c r="T5415" s="4"/>
      <c r="U5415" s="4"/>
      <c r="V5415" s="4"/>
      <c r="W5415" s="4"/>
      <c r="X5415" s="4"/>
    </row>
    <row r="5416" spans="17:24" x14ac:dyDescent="0.3">
      <c r="Q5416" s="4"/>
      <c r="R5416" s="4"/>
      <c r="S5416" s="4"/>
      <c r="T5416" s="4"/>
      <c r="U5416" s="4"/>
      <c r="V5416" s="4"/>
      <c r="W5416" s="4"/>
      <c r="X5416" s="4"/>
    </row>
    <row r="5417" spans="17:24" x14ac:dyDescent="0.3">
      <c r="Q5417" s="4"/>
      <c r="R5417" s="4"/>
      <c r="S5417" s="4"/>
      <c r="T5417" s="4"/>
      <c r="U5417" s="4"/>
      <c r="V5417" s="4"/>
      <c r="W5417" s="4"/>
      <c r="X5417" s="4"/>
    </row>
    <row r="5418" spans="17:24" x14ac:dyDescent="0.3">
      <c r="Q5418" s="4"/>
      <c r="R5418" s="4"/>
      <c r="S5418" s="4"/>
      <c r="T5418" s="4"/>
      <c r="U5418" s="4"/>
      <c r="V5418" s="4"/>
      <c r="W5418" s="4"/>
      <c r="X5418" s="4"/>
    </row>
    <row r="5419" spans="17:24" x14ac:dyDescent="0.3">
      <c r="Q5419" s="4"/>
      <c r="R5419" s="4"/>
      <c r="S5419" s="4"/>
      <c r="T5419" s="4"/>
      <c r="U5419" s="4"/>
      <c r="V5419" s="4"/>
      <c r="W5419" s="4"/>
      <c r="X5419" s="4"/>
    </row>
    <row r="5420" spans="17:24" x14ac:dyDescent="0.3">
      <c r="Q5420" s="4"/>
      <c r="R5420" s="4"/>
      <c r="S5420" s="4"/>
      <c r="T5420" s="4"/>
      <c r="U5420" s="4"/>
      <c r="V5420" s="4"/>
      <c r="W5420" s="4"/>
      <c r="X5420" s="4"/>
    </row>
    <row r="5421" spans="17:24" x14ac:dyDescent="0.3">
      <c r="Q5421" s="4"/>
      <c r="R5421" s="4"/>
      <c r="S5421" s="4"/>
      <c r="T5421" s="4"/>
      <c r="U5421" s="4"/>
      <c r="V5421" s="4"/>
      <c r="W5421" s="4"/>
      <c r="X5421" s="4"/>
    </row>
    <row r="5422" spans="17:24" x14ac:dyDescent="0.3">
      <c r="Q5422" s="4"/>
      <c r="R5422" s="4"/>
      <c r="S5422" s="4"/>
      <c r="T5422" s="4"/>
      <c r="U5422" s="4"/>
      <c r="V5422" s="4"/>
      <c r="W5422" s="4"/>
      <c r="X5422" s="4"/>
    </row>
    <row r="5423" spans="17:24" x14ac:dyDescent="0.3">
      <c r="Q5423" s="4"/>
      <c r="R5423" s="4"/>
      <c r="S5423" s="4"/>
      <c r="T5423" s="4"/>
      <c r="U5423" s="4"/>
      <c r="V5423" s="4"/>
      <c r="W5423" s="4"/>
      <c r="X5423" s="4"/>
    </row>
    <row r="5424" spans="17:24" x14ac:dyDescent="0.3">
      <c r="Q5424" s="4"/>
      <c r="R5424" s="4"/>
      <c r="S5424" s="4"/>
      <c r="T5424" s="4"/>
      <c r="U5424" s="4"/>
      <c r="V5424" s="4"/>
      <c r="W5424" s="4"/>
      <c r="X5424" s="4"/>
    </row>
    <row r="5425" spans="17:24" x14ac:dyDescent="0.3">
      <c r="Q5425" s="4"/>
      <c r="R5425" s="4"/>
      <c r="S5425" s="4"/>
      <c r="T5425" s="4"/>
      <c r="U5425" s="4"/>
      <c r="V5425" s="4"/>
      <c r="W5425" s="4"/>
      <c r="X5425" s="4"/>
    </row>
    <row r="5426" spans="17:24" x14ac:dyDescent="0.3">
      <c r="Q5426" s="4"/>
      <c r="R5426" s="4"/>
      <c r="S5426" s="4"/>
      <c r="T5426" s="4"/>
      <c r="U5426" s="4"/>
      <c r="V5426" s="4"/>
      <c r="W5426" s="4"/>
      <c r="X5426" s="4"/>
    </row>
    <row r="5427" spans="17:24" x14ac:dyDescent="0.3">
      <c r="Q5427" s="4"/>
      <c r="R5427" s="4"/>
      <c r="S5427" s="4"/>
      <c r="T5427" s="4"/>
      <c r="U5427" s="4"/>
      <c r="V5427" s="4"/>
      <c r="W5427" s="4"/>
      <c r="X5427" s="4"/>
    </row>
    <row r="5428" spans="17:24" x14ac:dyDescent="0.3">
      <c r="Q5428" s="4"/>
      <c r="R5428" s="4"/>
      <c r="S5428" s="4"/>
      <c r="T5428" s="4"/>
      <c r="U5428" s="4"/>
      <c r="V5428" s="4"/>
      <c r="W5428" s="4"/>
      <c r="X5428" s="4"/>
    </row>
    <row r="5429" spans="17:24" x14ac:dyDescent="0.3">
      <c r="Q5429" s="4"/>
      <c r="R5429" s="4"/>
      <c r="S5429" s="4"/>
      <c r="T5429" s="4"/>
      <c r="U5429" s="4"/>
      <c r="V5429" s="4"/>
      <c r="W5429" s="4"/>
      <c r="X5429" s="4"/>
    </row>
    <row r="5430" spans="17:24" x14ac:dyDescent="0.3">
      <c r="Q5430" s="4"/>
      <c r="R5430" s="4"/>
      <c r="S5430" s="4"/>
      <c r="T5430" s="4"/>
      <c r="U5430" s="4"/>
      <c r="V5430" s="4"/>
      <c r="W5430" s="4"/>
      <c r="X5430" s="4"/>
    </row>
    <row r="5431" spans="17:24" x14ac:dyDescent="0.3">
      <c r="Q5431" s="4"/>
      <c r="R5431" s="4"/>
      <c r="S5431" s="4"/>
      <c r="T5431" s="4"/>
      <c r="U5431" s="4"/>
      <c r="V5431" s="4"/>
      <c r="W5431" s="4"/>
      <c r="X5431" s="4"/>
    </row>
    <row r="5432" spans="17:24" x14ac:dyDescent="0.3">
      <c r="Q5432" s="4"/>
      <c r="R5432" s="4"/>
      <c r="S5432" s="4"/>
      <c r="T5432" s="4"/>
      <c r="U5432" s="4"/>
      <c r="V5432" s="4"/>
      <c r="W5432" s="4"/>
      <c r="X5432" s="4"/>
    </row>
    <row r="5433" spans="17:24" x14ac:dyDescent="0.3">
      <c r="Q5433" s="4"/>
      <c r="R5433" s="4"/>
      <c r="S5433" s="4"/>
      <c r="T5433" s="4"/>
      <c r="U5433" s="4"/>
      <c r="V5433" s="4"/>
      <c r="W5433" s="4"/>
      <c r="X5433" s="4"/>
    </row>
    <row r="5434" spans="17:24" x14ac:dyDescent="0.3">
      <c r="Q5434" s="4"/>
      <c r="R5434" s="4"/>
      <c r="S5434" s="4"/>
      <c r="T5434" s="4"/>
      <c r="U5434" s="4"/>
      <c r="V5434" s="4"/>
      <c r="W5434" s="4"/>
      <c r="X5434" s="4"/>
    </row>
    <row r="5435" spans="17:24" x14ac:dyDescent="0.3">
      <c r="Q5435" s="4"/>
      <c r="R5435" s="4"/>
      <c r="S5435" s="4"/>
      <c r="T5435" s="4"/>
      <c r="U5435" s="4"/>
      <c r="V5435" s="4"/>
      <c r="W5435" s="4"/>
      <c r="X5435" s="4"/>
    </row>
    <row r="5436" spans="17:24" x14ac:dyDescent="0.3">
      <c r="Q5436" s="4"/>
      <c r="R5436" s="4"/>
      <c r="S5436" s="4"/>
      <c r="T5436" s="4"/>
      <c r="U5436" s="4"/>
      <c r="V5436" s="4"/>
      <c r="W5436" s="4"/>
      <c r="X5436" s="4"/>
    </row>
    <row r="5437" spans="17:24" x14ac:dyDescent="0.3">
      <c r="Q5437" s="4"/>
      <c r="R5437" s="4"/>
      <c r="S5437" s="4"/>
      <c r="T5437" s="4"/>
      <c r="U5437" s="4"/>
      <c r="V5437" s="4"/>
      <c r="W5437" s="4"/>
      <c r="X5437" s="4"/>
    </row>
    <row r="5438" spans="17:24" x14ac:dyDescent="0.3">
      <c r="Q5438" s="4"/>
      <c r="R5438" s="4"/>
      <c r="S5438" s="4"/>
      <c r="T5438" s="4"/>
      <c r="U5438" s="4"/>
      <c r="V5438" s="4"/>
      <c r="W5438" s="4"/>
      <c r="X5438" s="4"/>
    </row>
    <row r="5439" spans="17:24" x14ac:dyDescent="0.3">
      <c r="Q5439" s="4"/>
      <c r="R5439" s="4"/>
      <c r="S5439" s="4"/>
      <c r="T5439" s="4"/>
      <c r="U5439" s="4"/>
      <c r="V5439" s="4"/>
      <c r="W5439" s="4"/>
      <c r="X5439" s="4"/>
    </row>
    <row r="5440" spans="17:24" x14ac:dyDescent="0.3">
      <c r="Q5440" s="4"/>
      <c r="R5440" s="4"/>
      <c r="S5440" s="4"/>
      <c r="T5440" s="4"/>
      <c r="U5440" s="4"/>
      <c r="V5440" s="4"/>
      <c r="W5440" s="4"/>
      <c r="X5440" s="4"/>
    </row>
    <row r="5441" spans="17:24" x14ac:dyDescent="0.3">
      <c r="Q5441" s="4"/>
      <c r="R5441" s="4"/>
      <c r="S5441" s="4"/>
      <c r="T5441" s="4"/>
      <c r="U5441" s="4"/>
      <c r="V5441" s="4"/>
      <c r="W5441" s="4"/>
      <c r="X5441" s="4"/>
    </row>
    <row r="5442" spans="17:24" x14ac:dyDescent="0.3">
      <c r="Q5442" s="4"/>
      <c r="R5442" s="4"/>
      <c r="S5442" s="4"/>
      <c r="T5442" s="4"/>
      <c r="U5442" s="4"/>
      <c r="V5442" s="4"/>
      <c r="W5442" s="4"/>
      <c r="X5442" s="4"/>
    </row>
    <row r="5443" spans="17:24" x14ac:dyDescent="0.3">
      <c r="Q5443" s="4"/>
      <c r="R5443" s="4"/>
      <c r="S5443" s="4"/>
      <c r="T5443" s="4"/>
      <c r="U5443" s="4"/>
      <c r="V5443" s="4"/>
      <c r="W5443" s="4"/>
      <c r="X5443" s="4"/>
    </row>
    <row r="5444" spans="17:24" x14ac:dyDescent="0.3">
      <c r="Q5444" s="4"/>
      <c r="R5444" s="4"/>
      <c r="S5444" s="4"/>
      <c r="T5444" s="4"/>
      <c r="U5444" s="4"/>
      <c r="V5444" s="4"/>
      <c r="W5444" s="4"/>
      <c r="X5444" s="4"/>
    </row>
    <row r="5445" spans="17:24" x14ac:dyDescent="0.3">
      <c r="Q5445" s="4"/>
      <c r="R5445" s="4"/>
      <c r="S5445" s="4"/>
      <c r="T5445" s="4"/>
      <c r="U5445" s="4"/>
      <c r="V5445" s="4"/>
      <c r="W5445" s="4"/>
      <c r="X5445" s="4"/>
    </row>
    <row r="5446" spans="17:24" x14ac:dyDescent="0.3">
      <c r="Q5446" s="4"/>
      <c r="R5446" s="4"/>
      <c r="S5446" s="4"/>
      <c r="T5446" s="4"/>
      <c r="U5446" s="4"/>
      <c r="V5446" s="4"/>
      <c r="W5446" s="4"/>
      <c r="X5446" s="4"/>
    </row>
    <row r="5447" spans="17:24" x14ac:dyDescent="0.3">
      <c r="Q5447" s="4"/>
      <c r="R5447" s="4"/>
      <c r="S5447" s="4"/>
      <c r="T5447" s="4"/>
      <c r="U5447" s="4"/>
      <c r="V5447" s="4"/>
      <c r="W5447" s="4"/>
      <c r="X5447" s="4"/>
    </row>
    <row r="5448" spans="17:24" x14ac:dyDescent="0.3">
      <c r="Q5448" s="4"/>
      <c r="R5448" s="4"/>
      <c r="S5448" s="4"/>
      <c r="T5448" s="4"/>
      <c r="U5448" s="4"/>
      <c r="V5448" s="4"/>
      <c r="W5448" s="4"/>
      <c r="X5448" s="4"/>
    </row>
    <row r="5449" spans="17:24" x14ac:dyDescent="0.3">
      <c r="Q5449" s="4"/>
      <c r="R5449" s="4"/>
      <c r="S5449" s="4"/>
      <c r="T5449" s="4"/>
      <c r="U5449" s="4"/>
      <c r="V5449" s="4"/>
      <c r="W5449" s="4"/>
      <c r="X5449" s="4"/>
    </row>
    <row r="5450" spans="17:24" x14ac:dyDescent="0.3">
      <c r="Q5450" s="4"/>
      <c r="R5450" s="4"/>
      <c r="S5450" s="4"/>
      <c r="T5450" s="4"/>
      <c r="U5450" s="4"/>
      <c r="V5450" s="4"/>
      <c r="W5450" s="4"/>
      <c r="X5450" s="4"/>
    </row>
    <row r="5451" spans="17:24" x14ac:dyDescent="0.3">
      <c r="Q5451" s="4"/>
      <c r="R5451" s="4"/>
      <c r="S5451" s="4"/>
      <c r="T5451" s="4"/>
      <c r="U5451" s="4"/>
      <c r="V5451" s="4"/>
      <c r="W5451" s="4"/>
      <c r="X5451" s="4"/>
    </row>
    <row r="5452" spans="17:24" x14ac:dyDescent="0.3">
      <c r="Q5452" s="4"/>
      <c r="R5452" s="4"/>
      <c r="S5452" s="4"/>
      <c r="T5452" s="4"/>
      <c r="U5452" s="4"/>
      <c r="V5452" s="4"/>
      <c r="W5452" s="4"/>
      <c r="X5452" s="4"/>
    </row>
    <row r="5453" spans="17:24" x14ac:dyDescent="0.3">
      <c r="Q5453" s="4"/>
      <c r="R5453" s="4"/>
      <c r="S5453" s="4"/>
      <c r="T5453" s="4"/>
      <c r="U5453" s="4"/>
      <c r="V5453" s="4"/>
      <c r="W5453" s="4"/>
      <c r="X5453" s="4"/>
    </row>
    <row r="5454" spans="17:24" x14ac:dyDescent="0.3">
      <c r="Q5454" s="4"/>
      <c r="R5454" s="4"/>
      <c r="S5454" s="4"/>
      <c r="T5454" s="4"/>
      <c r="U5454" s="4"/>
      <c r="V5454" s="4"/>
      <c r="W5454" s="4"/>
      <c r="X5454" s="4"/>
    </row>
    <row r="5455" spans="17:24" x14ac:dyDescent="0.3">
      <c r="Q5455" s="4"/>
      <c r="R5455" s="4"/>
      <c r="S5455" s="4"/>
      <c r="T5455" s="4"/>
      <c r="U5455" s="4"/>
      <c r="V5455" s="4"/>
      <c r="W5455" s="4"/>
      <c r="X5455" s="4"/>
    </row>
    <row r="5456" spans="17:24" x14ac:dyDescent="0.3">
      <c r="Q5456" s="4"/>
      <c r="R5456" s="4"/>
      <c r="S5456" s="4"/>
      <c r="T5456" s="4"/>
      <c r="U5456" s="4"/>
      <c r="V5456" s="4"/>
      <c r="W5456" s="4"/>
      <c r="X5456" s="4"/>
    </row>
    <row r="5457" spans="17:24" x14ac:dyDescent="0.3">
      <c r="Q5457" s="4"/>
      <c r="R5457" s="4"/>
      <c r="S5457" s="4"/>
      <c r="T5457" s="4"/>
      <c r="U5457" s="4"/>
      <c r="V5457" s="4"/>
      <c r="W5457" s="4"/>
      <c r="X5457" s="4"/>
    </row>
    <row r="5458" spans="17:24" x14ac:dyDescent="0.3">
      <c r="Q5458" s="4"/>
      <c r="R5458" s="4"/>
      <c r="S5458" s="4"/>
      <c r="T5458" s="4"/>
      <c r="U5458" s="4"/>
      <c r="V5458" s="4"/>
      <c r="W5458" s="4"/>
      <c r="X5458" s="4"/>
    </row>
    <row r="5459" spans="17:24" x14ac:dyDescent="0.3">
      <c r="Q5459" s="4"/>
      <c r="R5459" s="4"/>
      <c r="S5459" s="4"/>
      <c r="T5459" s="4"/>
      <c r="U5459" s="4"/>
      <c r="V5459" s="4"/>
      <c r="W5459" s="4"/>
      <c r="X5459" s="4"/>
    </row>
    <row r="5460" spans="17:24" x14ac:dyDescent="0.3">
      <c r="Q5460" s="4"/>
      <c r="R5460" s="4"/>
      <c r="S5460" s="4"/>
      <c r="T5460" s="4"/>
      <c r="U5460" s="4"/>
      <c r="V5460" s="4"/>
      <c r="W5460" s="4"/>
      <c r="X5460" s="4"/>
    </row>
    <row r="5461" spans="17:24" x14ac:dyDescent="0.3">
      <c r="Q5461" s="4"/>
      <c r="R5461" s="4"/>
      <c r="S5461" s="4"/>
      <c r="T5461" s="4"/>
      <c r="U5461" s="4"/>
      <c r="V5461" s="4"/>
      <c r="W5461" s="4"/>
      <c r="X5461" s="4"/>
    </row>
    <row r="5462" spans="17:24" x14ac:dyDescent="0.3">
      <c r="Q5462" s="4"/>
      <c r="R5462" s="4"/>
      <c r="S5462" s="4"/>
      <c r="T5462" s="4"/>
      <c r="U5462" s="4"/>
      <c r="V5462" s="4"/>
      <c r="W5462" s="4"/>
      <c r="X5462" s="4"/>
    </row>
    <row r="5463" spans="17:24" x14ac:dyDescent="0.3">
      <c r="Q5463" s="4"/>
      <c r="R5463" s="4"/>
      <c r="S5463" s="4"/>
      <c r="T5463" s="4"/>
      <c r="U5463" s="4"/>
      <c r="V5463" s="4"/>
      <c r="W5463" s="4"/>
      <c r="X5463" s="4"/>
    </row>
    <row r="5464" spans="17:24" x14ac:dyDescent="0.3">
      <c r="Q5464" s="4"/>
      <c r="R5464" s="4"/>
      <c r="S5464" s="4"/>
      <c r="T5464" s="4"/>
      <c r="U5464" s="4"/>
      <c r="V5464" s="4"/>
      <c r="W5464" s="4"/>
      <c r="X5464" s="4"/>
    </row>
    <row r="5465" spans="17:24" x14ac:dyDescent="0.3">
      <c r="Q5465" s="4"/>
      <c r="R5465" s="4"/>
      <c r="S5465" s="4"/>
      <c r="T5465" s="4"/>
      <c r="U5465" s="4"/>
      <c r="V5465" s="4"/>
      <c r="W5465" s="4"/>
      <c r="X5465" s="4"/>
    </row>
    <row r="5466" spans="17:24" x14ac:dyDescent="0.3">
      <c r="Q5466" s="4"/>
      <c r="R5466" s="4"/>
      <c r="S5466" s="4"/>
      <c r="T5466" s="4"/>
      <c r="U5466" s="4"/>
      <c r="V5466" s="4"/>
      <c r="W5466" s="4"/>
      <c r="X5466" s="4"/>
    </row>
    <row r="5467" spans="17:24" x14ac:dyDescent="0.3">
      <c r="Q5467" s="4"/>
      <c r="R5467" s="4"/>
      <c r="S5467" s="4"/>
      <c r="T5467" s="4"/>
      <c r="U5467" s="4"/>
      <c r="V5467" s="4"/>
      <c r="W5467" s="4"/>
      <c r="X5467" s="4"/>
    </row>
    <row r="5468" spans="17:24" x14ac:dyDescent="0.3">
      <c r="Q5468" s="4"/>
      <c r="R5468" s="4"/>
      <c r="S5468" s="4"/>
      <c r="T5468" s="4"/>
      <c r="U5468" s="4"/>
      <c r="V5468" s="4"/>
      <c r="W5468" s="4"/>
      <c r="X5468" s="4"/>
    </row>
    <row r="5469" spans="17:24" x14ac:dyDescent="0.3">
      <c r="Q5469" s="4"/>
      <c r="R5469" s="4"/>
      <c r="S5469" s="4"/>
      <c r="T5469" s="4"/>
      <c r="U5469" s="4"/>
      <c r="V5469" s="4"/>
      <c r="W5469" s="4"/>
      <c r="X5469" s="4"/>
    </row>
    <row r="5470" spans="17:24" x14ac:dyDescent="0.3">
      <c r="Q5470" s="4"/>
      <c r="R5470" s="4"/>
      <c r="S5470" s="4"/>
      <c r="T5470" s="4"/>
      <c r="U5470" s="4"/>
      <c r="V5470" s="4"/>
      <c r="W5470" s="4"/>
      <c r="X5470" s="4"/>
    </row>
    <row r="5471" spans="17:24" x14ac:dyDescent="0.3">
      <c r="Q5471" s="4"/>
      <c r="R5471" s="4"/>
      <c r="S5471" s="4"/>
      <c r="T5471" s="4"/>
      <c r="U5471" s="4"/>
      <c r="V5471" s="4"/>
      <c r="W5471" s="4"/>
      <c r="X5471" s="4"/>
    </row>
    <row r="5472" spans="17:24" x14ac:dyDescent="0.3">
      <c r="Q5472" s="4"/>
      <c r="R5472" s="4"/>
      <c r="S5472" s="4"/>
      <c r="T5472" s="4"/>
      <c r="U5472" s="4"/>
      <c r="V5472" s="4"/>
      <c r="W5472" s="4"/>
      <c r="X5472" s="4"/>
    </row>
    <row r="5473" spans="17:24" x14ac:dyDescent="0.3">
      <c r="Q5473" s="4"/>
      <c r="R5473" s="4"/>
      <c r="S5473" s="4"/>
      <c r="T5473" s="4"/>
      <c r="U5473" s="4"/>
      <c r="V5473" s="4"/>
      <c r="W5473" s="4"/>
      <c r="X5473" s="4"/>
    </row>
    <row r="5474" spans="17:24" x14ac:dyDescent="0.3">
      <c r="Q5474" s="4"/>
      <c r="R5474" s="4"/>
      <c r="S5474" s="4"/>
      <c r="T5474" s="4"/>
      <c r="U5474" s="4"/>
      <c r="V5474" s="4"/>
      <c r="W5474" s="4"/>
      <c r="X5474" s="4"/>
    </row>
    <row r="5475" spans="17:24" x14ac:dyDescent="0.3">
      <c r="Q5475" s="4"/>
      <c r="R5475" s="4"/>
      <c r="S5475" s="4"/>
      <c r="T5475" s="4"/>
      <c r="U5475" s="4"/>
      <c r="V5475" s="4"/>
      <c r="W5475" s="4"/>
      <c r="X5475" s="4"/>
    </row>
    <row r="5476" spans="17:24" x14ac:dyDescent="0.3">
      <c r="Q5476" s="4"/>
      <c r="R5476" s="4"/>
      <c r="S5476" s="4"/>
      <c r="T5476" s="4"/>
      <c r="U5476" s="4"/>
      <c r="V5476" s="4"/>
      <c r="W5476" s="4"/>
      <c r="X5476" s="4"/>
    </row>
    <row r="5477" spans="17:24" x14ac:dyDescent="0.3">
      <c r="Q5477" s="4"/>
      <c r="R5477" s="4"/>
      <c r="S5477" s="4"/>
      <c r="T5477" s="4"/>
      <c r="U5477" s="4"/>
      <c r="V5477" s="4"/>
      <c r="W5477" s="4"/>
      <c r="X5477" s="4"/>
    </row>
    <row r="5478" spans="17:24" x14ac:dyDescent="0.3">
      <c r="Q5478" s="4"/>
      <c r="R5478" s="4"/>
      <c r="S5478" s="4"/>
      <c r="T5478" s="4"/>
      <c r="U5478" s="4"/>
      <c r="V5478" s="4"/>
      <c r="W5478" s="4"/>
      <c r="X5478" s="4"/>
    </row>
    <row r="5479" spans="17:24" x14ac:dyDescent="0.3">
      <c r="Q5479" s="4"/>
      <c r="R5479" s="4"/>
      <c r="S5479" s="4"/>
      <c r="T5479" s="4"/>
      <c r="U5479" s="4"/>
      <c r="V5479" s="4"/>
      <c r="W5479" s="4"/>
      <c r="X5479" s="4"/>
    </row>
    <row r="5480" spans="17:24" x14ac:dyDescent="0.3">
      <c r="Q5480" s="4"/>
      <c r="R5480" s="4"/>
      <c r="S5480" s="4"/>
      <c r="T5480" s="4"/>
      <c r="U5480" s="4"/>
      <c r="V5480" s="4"/>
      <c r="W5480" s="4"/>
      <c r="X5480" s="4"/>
    </row>
    <row r="5481" spans="17:24" x14ac:dyDescent="0.3">
      <c r="Q5481" s="4"/>
      <c r="R5481" s="4"/>
      <c r="S5481" s="4"/>
      <c r="T5481" s="4"/>
      <c r="U5481" s="4"/>
      <c r="V5481" s="4"/>
      <c r="W5481" s="4"/>
      <c r="X5481" s="4"/>
    </row>
    <row r="5482" spans="17:24" x14ac:dyDescent="0.3">
      <c r="Q5482" s="4"/>
      <c r="R5482" s="4"/>
      <c r="S5482" s="4"/>
      <c r="T5482" s="4"/>
      <c r="U5482" s="4"/>
      <c r="V5482" s="4"/>
      <c r="W5482" s="4"/>
      <c r="X5482" s="4"/>
    </row>
    <row r="5483" spans="17:24" x14ac:dyDescent="0.3">
      <c r="Q5483" s="4"/>
      <c r="R5483" s="4"/>
      <c r="S5483" s="4"/>
      <c r="T5483" s="4"/>
      <c r="U5483" s="4"/>
      <c r="V5483" s="4"/>
      <c r="W5483" s="4"/>
      <c r="X5483" s="4"/>
    </row>
    <row r="5484" spans="17:24" x14ac:dyDescent="0.3">
      <c r="Q5484" s="4"/>
      <c r="R5484" s="4"/>
      <c r="S5484" s="4"/>
      <c r="T5484" s="4"/>
      <c r="U5484" s="4"/>
      <c r="V5484" s="4"/>
      <c r="W5484" s="4"/>
      <c r="X5484" s="4"/>
    </row>
    <row r="5485" spans="17:24" x14ac:dyDescent="0.3">
      <c r="Q5485" s="4"/>
      <c r="R5485" s="4"/>
      <c r="S5485" s="4"/>
      <c r="T5485" s="4"/>
      <c r="U5485" s="4"/>
      <c r="V5485" s="4"/>
      <c r="W5485" s="4"/>
      <c r="X5485" s="4"/>
    </row>
    <row r="5486" spans="17:24" x14ac:dyDescent="0.3">
      <c r="Q5486" s="4"/>
      <c r="R5486" s="4"/>
      <c r="S5486" s="4"/>
      <c r="T5486" s="4"/>
      <c r="U5486" s="4"/>
      <c r="V5486" s="4"/>
      <c r="W5486" s="4"/>
      <c r="X5486" s="4"/>
    </row>
    <row r="5487" spans="17:24" x14ac:dyDescent="0.3">
      <c r="Q5487" s="4"/>
      <c r="R5487" s="4"/>
      <c r="S5487" s="4"/>
      <c r="T5487" s="4"/>
      <c r="U5487" s="4"/>
      <c r="V5487" s="4"/>
      <c r="W5487" s="4"/>
      <c r="X5487" s="4"/>
    </row>
    <row r="5488" spans="17:24" x14ac:dyDescent="0.3">
      <c r="Q5488" s="4"/>
      <c r="R5488" s="4"/>
      <c r="S5488" s="4"/>
      <c r="T5488" s="4"/>
      <c r="U5488" s="4"/>
      <c r="V5488" s="4"/>
      <c r="W5488" s="4"/>
      <c r="X5488" s="4"/>
    </row>
    <row r="5489" spans="17:24" x14ac:dyDescent="0.3">
      <c r="Q5489" s="4"/>
      <c r="R5489" s="4"/>
      <c r="S5489" s="4"/>
      <c r="T5489" s="4"/>
      <c r="U5489" s="4"/>
      <c r="V5489" s="4"/>
      <c r="W5489" s="4"/>
      <c r="X5489" s="4"/>
    </row>
    <row r="5490" spans="17:24" x14ac:dyDescent="0.3">
      <c r="Q5490" s="4"/>
      <c r="R5490" s="4"/>
      <c r="S5490" s="4"/>
      <c r="T5490" s="4"/>
      <c r="U5490" s="4"/>
      <c r="V5490" s="4"/>
      <c r="W5490" s="4"/>
      <c r="X5490" s="4"/>
    </row>
    <row r="5491" spans="17:24" x14ac:dyDescent="0.3">
      <c r="Q5491" s="4"/>
      <c r="R5491" s="4"/>
      <c r="S5491" s="4"/>
      <c r="T5491" s="4"/>
      <c r="U5491" s="4"/>
      <c r="V5491" s="4"/>
      <c r="W5491" s="4"/>
      <c r="X5491" s="4"/>
    </row>
    <row r="5492" spans="17:24" x14ac:dyDescent="0.3">
      <c r="Q5492" s="4"/>
      <c r="R5492" s="4"/>
      <c r="S5492" s="4"/>
      <c r="T5492" s="4"/>
      <c r="U5492" s="4"/>
      <c r="V5492" s="4"/>
      <c r="W5492" s="4"/>
      <c r="X5492" s="4"/>
    </row>
    <row r="5493" spans="17:24" x14ac:dyDescent="0.3">
      <c r="Q5493" s="4"/>
      <c r="R5493" s="4"/>
      <c r="S5493" s="4"/>
      <c r="T5493" s="4"/>
      <c r="U5493" s="4"/>
      <c r="V5493" s="4"/>
      <c r="W5493" s="4"/>
      <c r="X5493" s="4"/>
    </row>
    <row r="5494" spans="17:24" x14ac:dyDescent="0.3">
      <c r="Q5494" s="4"/>
      <c r="R5494" s="4"/>
      <c r="S5494" s="4"/>
      <c r="T5494" s="4"/>
      <c r="U5494" s="4"/>
      <c r="V5494" s="4"/>
      <c r="W5494" s="4"/>
      <c r="X5494" s="4"/>
    </row>
    <row r="5495" spans="17:24" x14ac:dyDescent="0.3">
      <c r="Q5495" s="4"/>
      <c r="R5495" s="4"/>
      <c r="S5495" s="4"/>
      <c r="T5495" s="4"/>
      <c r="U5495" s="4"/>
      <c r="V5495" s="4"/>
      <c r="W5495" s="4"/>
      <c r="X5495" s="4"/>
    </row>
    <row r="5496" spans="17:24" x14ac:dyDescent="0.3">
      <c r="Q5496" s="4"/>
      <c r="R5496" s="4"/>
      <c r="S5496" s="4"/>
      <c r="T5496" s="4"/>
      <c r="U5496" s="4"/>
      <c r="V5496" s="4"/>
      <c r="W5496" s="4"/>
      <c r="X5496" s="4"/>
    </row>
    <row r="5497" spans="17:24" x14ac:dyDescent="0.3">
      <c r="Q5497" s="4"/>
      <c r="R5497" s="4"/>
      <c r="S5497" s="4"/>
      <c r="T5497" s="4"/>
      <c r="U5497" s="4"/>
      <c r="V5497" s="4"/>
      <c r="W5497" s="4"/>
      <c r="X5497" s="4"/>
    </row>
    <row r="5498" spans="17:24" x14ac:dyDescent="0.3">
      <c r="Q5498" s="4"/>
      <c r="R5498" s="4"/>
      <c r="S5498" s="4"/>
      <c r="T5498" s="4"/>
      <c r="U5498" s="4"/>
      <c r="V5498" s="4"/>
      <c r="W5498" s="4"/>
      <c r="X5498" s="4"/>
    </row>
    <row r="5499" spans="17:24" x14ac:dyDescent="0.3">
      <c r="Q5499" s="4"/>
      <c r="R5499" s="4"/>
      <c r="S5499" s="4"/>
      <c r="T5499" s="4"/>
      <c r="U5499" s="4"/>
      <c r="V5499" s="4"/>
      <c r="W5499" s="4"/>
      <c r="X5499" s="4"/>
    </row>
    <row r="5500" spans="17:24" x14ac:dyDescent="0.3">
      <c r="Q5500" s="4"/>
      <c r="R5500" s="4"/>
      <c r="S5500" s="4"/>
      <c r="T5500" s="4"/>
      <c r="U5500" s="4"/>
      <c r="V5500" s="4"/>
      <c r="W5500" s="4"/>
      <c r="X5500" s="4"/>
    </row>
    <row r="5501" spans="17:24" x14ac:dyDescent="0.3">
      <c r="Q5501" s="4"/>
      <c r="R5501" s="4"/>
      <c r="S5501" s="4"/>
      <c r="T5501" s="4"/>
      <c r="U5501" s="4"/>
      <c r="V5501" s="4"/>
      <c r="W5501" s="4"/>
      <c r="X5501" s="4"/>
    </row>
    <row r="5502" spans="17:24" x14ac:dyDescent="0.3">
      <c r="Q5502" s="4"/>
      <c r="R5502" s="4"/>
      <c r="S5502" s="4"/>
      <c r="T5502" s="4"/>
      <c r="U5502" s="4"/>
      <c r="V5502" s="4"/>
      <c r="W5502" s="4"/>
      <c r="X5502" s="4"/>
    </row>
    <row r="5503" spans="17:24" x14ac:dyDescent="0.3">
      <c r="Q5503" s="4"/>
      <c r="R5503" s="4"/>
      <c r="S5503" s="4"/>
      <c r="T5503" s="4"/>
      <c r="U5503" s="4"/>
      <c r="V5503" s="4"/>
      <c r="W5503" s="4"/>
      <c r="X5503" s="4"/>
    </row>
    <row r="5504" spans="17:24" x14ac:dyDescent="0.3">
      <c r="Q5504" s="4"/>
      <c r="R5504" s="4"/>
      <c r="S5504" s="4"/>
      <c r="T5504" s="4"/>
      <c r="U5504" s="4"/>
      <c r="V5504" s="4"/>
      <c r="W5504" s="4"/>
      <c r="X5504" s="4"/>
    </row>
    <row r="5505" spans="17:24" x14ac:dyDescent="0.3">
      <c r="Q5505" s="4"/>
      <c r="R5505" s="4"/>
      <c r="S5505" s="4"/>
      <c r="T5505" s="4"/>
      <c r="U5505" s="4"/>
      <c r="V5505" s="4"/>
      <c r="W5505" s="4"/>
      <c r="X5505" s="4"/>
    </row>
    <row r="5506" spans="17:24" x14ac:dyDescent="0.3">
      <c r="Q5506" s="4"/>
      <c r="R5506" s="4"/>
      <c r="S5506" s="4"/>
      <c r="T5506" s="4"/>
      <c r="U5506" s="4"/>
      <c r="V5506" s="4"/>
      <c r="W5506" s="4"/>
      <c r="X5506" s="4"/>
    </row>
    <row r="5507" spans="17:24" x14ac:dyDescent="0.3">
      <c r="Q5507" s="4"/>
      <c r="R5507" s="4"/>
      <c r="S5507" s="4"/>
      <c r="T5507" s="4"/>
      <c r="U5507" s="4"/>
      <c r="V5507" s="4"/>
      <c r="W5507" s="4"/>
      <c r="X5507" s="4"/>
    </row>
    <row r="5508" spans="17:24" x14ac:dyDescent="0.3">
      <c r="Q5508" s="4"/>
      <c r="R5508" s="4"/>
      <c r="S5508" s="4"/>
      <c r="T5508" s="4"/>
      <c r="U5508" s="4"/>
      <c r="V5508" s="4"/>
      <c r="W5508" s="4"/>
      <c r="X5508" s="4"/>
    </row>
    <row r="5509" spans="17:24" x14ac:dyDescent="0.3">
      <c r="Q5509" s="4"/>
      <c r="R5509" s="4"/>
      <c r="S5509" s="4"/>
      <c r="T5509" s="4"/>
      <c r="U5509" s="4"/>
      <c r="V5509" s="4"/>
      <c r="W5509" s="4"/>
      <c r="X5509" s="4"/>
    </row>
    <row r="5510" spans="17:24" x14ac:dyDescent="0.3">
      <c r="Q5510" s="4"/>
      <c r="R5510" s="4"/>
      <c r="S5510" s="4"/>
      <c r="T5510" s="4"/>
      <c r="U5510" s="4"/>
      <c r="V5510" s="4"/>
      <c r="W5510" s="4"/>
      <c r="X5510" s="4"/>
    </row>
    <row r="5511" spans="17:24" x14ac:dyDescent="0.3">
      <c r="Q5511" s="4"/>
      <c r="R5511" s="4"/>
      <c r="S5511" s="4"/>
      <c r="T5511" s="4"/>
      <c r="U5511" s="4"/>
      <c r="V5511" s="4"/>
      <c r="W5511" s="4"/>
      <c r="X5511" s="4"/>
    </row>
    <row r="5512" spans="17:24" x14ac:dyDescent="0.3">
      <c r="Q5512" s="4"/>
      <c r="R5512" s="4"/>
      <c r="S5512" s="4"/>
      <c r="T5512" s="4"/>
      <c r="U5512" s="4"/>
      <c r="V5512" s="4"/>
      <c r="W5512" s="4"/>
      <c r="X5512" s="4"/>
    </row>
    <row r="5513" spans="17:24" x14ac:dyDescent="0.3">
      <c r="Q5513" s="4"/>
      <c r="R5513" s="4"/>
      <c r="S5513" s="4"/>
      <c r="T5513" s="4"/>
      <c r="U5513" s="4"/>
      <c r="V5513" s="4"/>
      <c r="W5513" s="4"/>
      <c r="X5513" s="4"/>
    </row>
    <row r="5514" spans="17:24" x14ac:dyDescent="0.3">
      <c r="Q5514" s="4"/>
      <c r="R5514" s="4"/>
      <c r="S5514" s="4"/>
      <c r="T5514" s="4"/>
      <c r="U5514" s="4"/>
      <c r="V5514" s="4"/>
      <c r="W5514" s="4"/>
      <c r="X5514" s="4"/>
    </row>
    <row r="5515" spans="17:24" x14ac:dyDescent="0.3">
      <c r="Q5515" s="4"/>
      <c r="R5515" s="4"/>
      <c r="S5515" s="4"/>
      <c r="T5515" s="4"/>
      <c r="U5515" s="4"/>
      <c r="V5515" s="4"/>
      <c r="W5515" s="4"/>
      <c r="X5515" s="4"/>
    </row>
    <row r="5516" spans="17:24" x14ac:dyDescent="0.3">
      <c r="Q5516" s="4"/>
      <c r="R5516" s="4"/>
      <c r="S5516" s="4"/>
      <c r="T5516" s="4"/>
      <c r="U5516" s="4"/>
      <c r="V5516" s="4"/>
      <c r="W5516" s="4"/>
      <c r="X5516" s="4"/>
    </row>
    <row r="5517" spans="17:24" x14ac:dyDescent="0.3">
      <c r="Q5517" s="4"/>
      <c r="R5517" s="4"/>
      <c r="S5517" s="4"/>
      <c r="T5517" s="4"/>
      <c r="U5517" s="4"/>
      <c r="V5517" s="4"/>
      <c r="W5517" s="4"/>
      <c r="X5517" s="4"/>
    </row>
    <row r="5518" spans="17:24" x14ac:dyDescent="0.3">
      <c r="Q5518" s="4"/>
      <c r="R5518" s="4"/>
      <c r="S5518" s="4"/>
      <c r="T5518" s="4"/>
      <c r="U5518" s="4"/>
      <c r="V5518" s="4"/>
      <c r="W5518" s="4"/>
      <c r="X5518" s="4"/>
    </row>
    <row r="5519" spans="17:24" x14ac:dyDescent="0.3">
      <c r="Q5519" s="4"/>
      <c r="R5519" s="4"/>
      <c r="S5519" s="4"/>
      <c r="T5519" s="4"/>
      <c r="U5519" s="4"/>
      <c r="V5519" s="4"/>
      <c r="W5519" s="4"/>
      <c r="X5519" s="4"/>
    </row>
    <row r="5520" spans="17:24" x14ac:dyDescent="0.3">
      <c r="Q5520" s="4"/>
      <c r="R5520" s="4"/>
      <c r="S5520" s="4"/>
      <c r="T5520" s="4"/>
      <c r="U5520" s="4"/>
      <c r="V5520" s="4"/>
      <c r="W5520" s="4"/>
      <c r="X5520" s="4"/>
    </row>
    <row r="5521" spans="17:24" x14ac:dyDescent="0.3">
      <c r="Q5521" s="4"/>
      <c r="R5521" s="4"/>
      <c r="S5521" s="4"/>
      <c r="T5521" s="4"/>
      <c r="U5521" s="4"/>
      <c r="V5521" s="4"/>
      <c r="W5521" s="4"/>
      <c r="X5521" s="4"/>
    </row>
    <row r="5522" spans="17:24" x14ac:dyDescent="0.3">
      <c r="Q5522" s="4"/>
      <c r="R5522" s="4"/>
      <c r="S5522" s="4"/>
      <c r="T5522" s="4"/>
      <c r="U5522" s="4"/>
      <c r="V5522" s="4"/>
      <c r="W5522" s="4"/>
      <c r="X5522" s="4"/>
    </row>
    <row r="5523" spans="17:24" x14ac:dyDescent="0.3">
      <c r="Q5523" s="4"/>
      <c r="R5523" s="4"/>
      <c r="S5523" s="4"/>
      <c r="T5523" s="4"/>
      <c r="U5523" s="4"/>
      <c r="V5523" s="4"/>
      <c r="W5523" s="4"/>
      <c r="X5523" s="4"/>
    </row>
    <row r="5524" spans="17:24" x14ac:dyDescent="0.3">
      <c r="Q5524" s="4"/>
      <c r="R5524" s="4"/>
      <c r="S5524" s="4"/>
      <c r="T5524" s="4"/>
      <c r="U5524" s="4"/>
      <c r="V5524" s="4"/>
      <c r="W5524" s="4"/>
      <c r="X5524" s="4"/>
    </row>
    <row r="5525" spans="17:24" x14ac:dyDescent="0.3">
      <c r="Q5525" s="4"/>
      <c r="R5525" s="4"/>
      <c r="S5525" s="4"/>
      <c r="T5525" s="4"/>
      <c r="U5525" s="4"/>
      <c r="V5525" s="4"/>
      <c r="W5525" s="4"/>
      <c r="X5525" s="4"/>
    </row>
    <row r="5526" spans="17:24" x14ac:dyDescent="0.3">
      <c r="Q5526" s="4"/>
      <c r="R5526" s="4"/>
      <c r="S5526" s="4"/>
      <c r="T5526" s="4"/>
      <c r="U5526" s="4"/>
      <c r="V5526" s="4"/>
      <c r="W5526" s="4"/>
      <c r="X5526" s="4"/>
    </row>
    <row r="5527" spans="17:24" x14ac:dyDescent="0.3">
      <c r="Q5527" s="4"/>
      <c r="R5527" s="4"/>
      <c r="S5527" s="4"/>
      <c r="T5527" s="4"/>
      <c r="U5527" s="4"/>
      <c r="V5527" s="4"/>
      <c r="W5527" s="4"/>
      <c r="X5527" s="4"/>
    </row>
    <row r="5528" spans="17:24" x14ac:dyDescent="0.3">
      <c r="Q5528" s="4"/>
      <c r="R5528" s="4"/>
      <c r="S5528" s="4"/>
      <c r="T5528" s="4"/>
      <c r="U5528" s="4"/>
      <c r="V5528" s="4"/>
      <c r="W5528" s="4"/>
      <c r="X5528" s="4"/>
    </row>
    <row r="5529" spans="17:24" x14ac:dyDescent="0.3">
      <c r="Q5529" s="4"/>
      <c r="R5529" s="4"/>
      <c r="S5529" s="4"/>
      <c r="T5529" s="4"/>
      <c r="U5529" s="4"/>
      <c r="V5529" s="4"/>
      <c r="W5529" s="4"/>
      <c r="X5529" s="4"/>
    </row>
    <row r="5530" spans="17:24" x14ac:dyDescent="0.3">
      <c r="Q5530" s="4"/>
      <c r="R5530" s="4"/>
      <c r="S5530" s="4"/>
      <c r="T5530" s="4"/>
      <c r="U5530" s="4"/>
      <c r="V5530" s="4"/>
      <c r="W5530" s="4"/>
      <c r="X5530" s="4"/>
    </row>
    <row r="5531" spans="17:24" x14ac:dyDescent="0.3">
      <c r="Q5531" s="4"/>
      <c r="R5531" s="4"/>
      <c r="S5531" s="4"/>
      <c r="T5531" s="4"/>
      <c r="U5531" s="4"/>
      <c r="V5531" s="4"/>
      <c r="W5531" s="4"/>
      <c r="X5531" s="4"/>
    </row>
    <row r="5532" spans="17:24" x14ac:dyDescent="0.3">
      <c r="Q5532" s="4"/>
      <c r="R5532" s="4"/>
      <c r="S5532" s="4"/>
      <c r="T5532" s="4"/>
      <c r="U5532" s="4"/>
      <c r="V5532" s="4"/>
      <c r="W5532" s="4"/>
      <c r="X5532" s="4"/>
    </row>
    <row r="5533" spans="17:24" x14ac:dyDescent="0.3">
      <c r="Q5533" s="4"/>
      <c r="R5533" s="4"/>
      <c r="S5533" s="4"/>
      <c r="T5533" s="4"/>
      <c r="U5533" s="4"/>
      <c r="V5533" s="4"/>
      <c r="W5533" s="4"/>
      <c r="X5533" s="4"/>
    </row>
    <row r="5534" spans="17:24" x14ac:dyDescent="0.3">
      <c r="Q5534" s="4"/>
      <c r="R5534" s="4"/>
      <c r="S5534" s="4"/>
      <c r="T5534" s="4"/>
      <c r="U5534" s="4"/>
      <c r="V5534" s="4"/>
      <c r="W5534" s="4"/>
      <c r="X5534" s="4"/>
    </row>
    <row r="5535" spans="17:24" x14ac:dyDescent="0.3">
      <c r="Q5535" s="4"/>
      <c r="R5535" s="4"/>
      <c r="S5535" s="4"/>
      <c r="T5535" s="4"/>
      <c r="U5535" s="4"/>
      <c r="V5535" s="4"/>
      <c r="W5535" s="4"/>
      <c r="X5535" s="4"/>
    </row>
    <row r="5536" spans="17:24" x14ac:dyDescent="0.3">
      <c r="Q5536" s="4"/>
      <c r="R5536" s="4"/>
      <c r="S5536" s="4"/>
      <c r="T5536" s="4"/>
      <c r="U5536" s="4"/>
      <c r="V5536" s="4"/>
      <c r="W5536" s="4"/>
      <c r="X5536" s="4"/>
    </row>
    <row r="5537" spans="17:24" x14ac:dyDescent="0.3">
      <c r="Q5537" s="4"/>
      <c r="R5537" s="4"/>
      <c r="S5537" s="4"/>
      <c r="T5537" s="4"/>
      <c r="U5537" s="4"/>
      <c r="V5537" s="4"/>
      <c r="W5537" s="4"/>
      <c r="X5537" s="4"/>
    </row>
    <row r="5538" spans="17:24" x14ac:dyDescent="0.3">
      <c r="Q5538" s="4"/>
      <c r="R5538" s="4"/>
      <c r="S5538" s="4"/>
      <c r="T5538" s="4"/>
      <c r="U5538" s="4"/>
      <c r="V5538" s="4"/>
      <c r="W5538" s="4"/>
      <c r="X5538" s="4"/>
    </row>
    <row r="5539" spans="17:24" x14ac:dyDescent="0.3">
      <c r="Q5539" s="4"/>
      <c r="R5539" s="4"/>
      <c r="S5539" s="4"/>
      <c r="T5539" s="4"/>
      <c r="U5539" s="4"/>
      <c r="V5539" s="4"/>
      <c r="W5539" s="4"/>
      <c r="X5539" s="4"/>
    </row>
    <row r="5540" spans="17:24" x14ac:dyDescent="0.3">
      <c r="Q5540" s="4"/>
      <c r="R5540" s="4"/>
      <c r="S5540" s="4"/>
      <c r="T5540" s="4"/>
      <c r="U5540" s="4"/>
      <c r="V5540" s="4"/>
      <c r="W5540" s="4"/>
      <c r="X5540" s="4"/>
    </row>
    <row r="5541" spans="17:24" x14ac:dyDescent="0.3">
      <c r="Q5541" s="4"/>
      <c r="R5541" s="4"/>
      <c r="S5541" s="4"/>
      <c r="T5541" s="4"/>
      <c r="U5541" s="4"/>
      <c r="V5541" s="4"/>
      <c r="W5541" s="4"/>
      <c r="X5541" s="4"/>
    </row>
    <row r="5542" spans="17:24" x14ac:dyDescent="0.3">
      <c r="Q5542" s="4"/>
      <c r="R5542" s="4"/>
      <c r="S5542" s="4"/>
      <c r="T5542" s="4"/>
      <c r="U5542" s="4"/>
      <c r="V5542" s="4"/>
      <c r="W5542" s="4"/>
      <c r="X5542" s="4"/>
    </row>
    <row r="5543" spans="17:24" x14ac:dyDescent="0.3">
      <c r="Q5543" s="4"/>
      <c r="R5543" s="4"/>
      <c r="S5543" s="4"/>
      <c r="T5543" s="4"/>
      <c r="U5543" s="4"/>
      <c r="V5543" s="4"/>
      <c r="W5543" s="4"/>
      <c r="X5543" s="4"/>
    </row>
    <row r="5544" spans="17:24" x14ac:dyDescent="0.3">
      <c r="Q5544" s="4"/>
      <c r="R5544" s="4"/>
      <c r="S5544" s="4"/>
      <c r="T5544" s="4"/>
      <c r="U5544" s="4"/>
      <c r="V5544" s="4"/>
      <c r="W5544" s="4"/>
      <c r="X5544" s="4"/>
    </row>
    <row r="5545" spans="17:24" x14ac:dyDescent="0.3">
      <c r="Q5545" s="4"/>
      <c r="R5545" s="4"/>
      <c r="S5545" s="4"/>
      <c r="T5545" s="4"/>
      <c r="U5545" s="4"/>
      <c r="V5545" s="4"/>
      <c r="W5545" s="4"/>
      <c r="X5545" s="4"/>
    </row>
    <row r="5546" spans="17:24" x14ac:dyDescent="0.3">
      <c r="Q5546" s="4"/>
      <c r="R5546" s="4"/>
      <c r="S5546" s="4"/>
      <c r="T5546" s="4"/>
      <c r="U5546" s="4"/>
      <c r="V5546" s="4"/>
      <c r="W5546" s="4"/>
      <c r="X5546" s="4"/>
    </row>
    <row r="5547" spans="17:24" x14ac:dyDescent="0.3">
      <c r="Q5547" s="4"/>
      <c r="R5547" s="4"/>
      <c r="S5547" s="4"/>
      <c r="T5547" s="4"/>
      <c r="U5547" s="4"/>
      <c r="V5547" s="4"/>
      <c r="W5547" s="4"/>
      <c r="X5547" s="4"/>
    </row>
    <row r="5548" spans="17:24" x14ac:dyDescent="0.3">
      <c r="Q5548" s="4"/>
      <c r="R5548" s="4"/>
      <c r="S5548" s="4"/>
      <c r="T5548" s="4"/>
      <c r="U5548" s="4"/>
      <c r="V5548" s="4"/>
      <c r="W5548" s="4"/>
      <c r="X5548" s="4"/>
    </row>
    <row r="5549" spans="17:24" x14ac:dyDescent="0.3">
      <c r="Q5549" s="4"/>
      <c r="R5549" s="4"/>
      <c r="S5549" s="4"/>
      <c r="T5549" s="4"/>
      <c r="U5549" s="4"/>
      <c r="V5549" s="4"/>
      <c r="W5549" s="4"/>
      <c r="X5549" s="4"/>
    </row>
    <row r="5550" spans="17:24" x14ac:dyDescent="0.3">
      <c r="Q5550" s="4"/>
      <c r="R5550" s="4"/>
      <c r="S5550" s="4"/>
      <c r="T5550" s="4"/>
      <c r="U5550" s="4"/>
      <c r="V5550" s="4"/>
      <c r="W5550" s="4"/>
      <c r="X5550" s="4"/>
    </row>
    <row r="5551" spans="17:24" x14ac:dyDescent="0.3">
      <c r="Q5551" s="4"/>
      <c r="R5551" s="4"/>
      <c r="S5551" s="4"/>
      <c r="T5551" s="4"/>
      <c r="U5551" s="4"/>
      <c r="V5551" s="4"/>
      <c r="W5551" s="4"/>
      <c r="X5551" s="4"/>
    </row>
    <row r="5552" spans="17:24" x14ac:dyDescent="0.3">
      <c r="Q5552" s="4"/>
      <c r="R5552" s="4"/>
      <c r="S5552" s="4"/>
      <c r="T5552" s="4"/>
      <c r="U5552" s="4"/>
      <c r="V5552" s="4"/>
      <c r="W5552" s="4"/>
      <c r="X5552" s="4"/>
    </row>
    <row r="5553" spans="17:24" x14ac:dyDescent="0.3">
      <c r="Q5553" s="4"/>
      <c r="R5553" s="4"/>
      <c r="S5553" s="4"/>
      <c r="T5553" s="4"/>
      <c r="U5553" s="4"/>
      <c r="V5553" s="4"/>
      <c r="W5553" s="4"/>
      <c r="X5553" s="4"/>
    </row>
    <row r="5554" spans="17:24" x14ac:dyDescent="0.3">
      <c r="Q5554" s="4"/>
      <c r="R5554" s="4"/>
      <c r="S5554" s="4"/>
      <c r="T5554" s="4"/>
      <c r="U5554" s="4"/>
      <c r="V5554" s="4"/>
      <c r="W5554" s="4"/>
      <c r="X5554" s="4"/>
    </row>
    <row r="5555" spans="17:24" x14ac:dyDescent="0.3">
      <c r="Q5555" s="4"/>
      <c r="R5555" s="4"/>
      <c r="S5555" s="4"/>
      <c r="T5555" s="4"/>
      <c r="U5555" s="4"/>
      <c r="V5555" s="4"/>
      <c r="W5555" s="4"/>
      <c r="X5555" s="4"/>
    </row>
    <row r="5556" spans="17:24" x14ac:dyDescent="0.3">
      <c r="Q5556" s="4"/>
      <c r="R5556" s="4"/>
      <c r="S5556" s="4"/>
      <c r="T5556" s="4"/>
      <c r="U5556" s="4"/>
      <c r="V5556" s="4"/>
      <c r="W5556" s="4"/>
      <c r="X5556" s="4"/>
    </row>
    <row r="5557" spans="17:24" x14ac:dyDescent="0.3">
      <c r="Q5557" s="4"/>
      <c r="R5557" s="4"/>
      <c r="S5557" s="4"/>
      <c r="T5557" s="4"/>
      <c r="U5557" s="4"/>
      <c r="V5557" s="4"/>
      <c r="W5557" s="4"/>
      <c r="X5557" s="4"/>
    </row>
    <row r="5558" spans="17:24" x14ac:dyDescent="0.3">
      <c r="Q5558" s="4"/>
      <c r="R5558" s="4"/>
      <c r="S5558" s="4"/>
      <c r="T5558" s="4"/>
      <c r="U5558" s="4"/>
      <c r="V5558" s="4"/>
      <c r="W5558" s="4"/>
      <c r="X5558" s="4"/>
    </row>
    <row r="5559" spans="17:24" x14ac:dyDescent="0.3">
      <c r="Q5559" s="4"/>
      <c r="R5559" s="4"/>
      <c r="S5559" s="4"/>
      <c r="T5559" s="4"/>
      <c r="U5559" s="4"/>
      <c r="V5559" s="4"/>
      <c r="W5559" s="4"/>
      <c r="X5559" s="4"/>
    </row>
    <row r="5560" spans="17:24" x14ac:dyDescent="0.3">
      <c r="Q5560" s="4"/>
      <c r="R5560" s="4"/>
      <c r="S5560" s="4"/>
      <c r="T5560" s="4"/>
      <c r="U5560" s="4"/>
      <c r="V5560" s="4"/>
      <c r="W5560" s="4"/>
      <c r="X5560" s="4"/>
    </row>
    <row r="5561" spans="17:24" x14ac:dyDescent="0.3">
      <c r="Q5561" s="4"/>
      <c r="R5561" s="4"/>
      <c r="S5561" s="4"/>
      <c r="T5561" s="4"/>
      <c r="U5561" s="4"/>
      <c r="V5561" s="4"/>
      <c r="W5561" s="4"/>
      <c r="X5561" s="4"/>
    </row>
    <row r="5562" spans="17:24" x14ac:dyDescent="0.3">
      <c r="Q5562" s="4"/>
      <c r="R5562" s="4"/>
      <c r="S5562" s="4"/>
      <c r="T5562" s="4"/>
      <c r="U5562" s="4"/>
      <c r="V5562" s="4"/>
      <c r="W5562" s="4"/>
      <c r="X5562" s="4"/>
    </row>
    <row r="5563" spans="17:24" x14ac:dyDescent="0.3">
      <c r="Q5563" s="4"/>
      <c r="R5563" s="4"/>
      <c r="S5563" s="4"/>
      <c r="T5563" s="4"/>
      <c r="U5563" s="4"/>
      <c r="V5563" s="4"/>
      <c r="W5563" s="4"/>
      <c r="X5563" s="4"/>
    </row>
    <row r="5564" spans="17:24" x14ac:dyDescent="0.3">
      <c r="Q5564" s="4"/>
      <c r="R5564" s="4"/>
      <c r="S5564" s="4"/>
      <c r="T5564" s="4"/>
      <c r="U5564" s="4"/>
      <c r="V5564" s="4"/>
      <c r="W5564" s="4"/>
      <c r="X5564" s="4"/>
    </row>
    <row r="5565" spans="17:24" x14ac:dyDescent="0.3">
      <c r="Q5565" s="4"/>
      <c r="R5565" s="4"/>
      <c r="S5565" s="4"/>
      <c r="T5565" s="4"/>
      <c r="U5565" s="4"/>
      <c r="V5565" s="4"/>
      <c r="W5565" s="4"/>
      <c r="X5565" s="4"/>
    </row>
    <row r="5566" spans="17:24" x14ac:dyDescent="0.3">
      <c r="Q5566" s="4"/>
      <c r="R5566" s="4"/>
      <c r="S5566" s="4"/>
      <c r="T5566" s="4"/>
      <c r="U5566" s="4"/>
      <c r="V5566" s="4"/>
      <c r="W5566" s="4"/>
      <c r="X5566" s="4"/>
    </row>
    <row r="5567" spans="17:24" x14ac:dyDescent="0.3">
      <c r="Q5567" s="4"/>
      <c r="R5567" s="4"/>
      <c r="S5567" s="4"/>
      <c r="T5567" s="4"/>
      <c r="U5567" s="4"/>
      <c r="V5567" s="4"/>
      <c r="W5567" s="4"/>
      <c r="X5567" s="4"/>
    </row>
    <row r="5568" spans="17:24" x14ac:dyDescent="0.3">
      <c r="Q5568" s="4"/>
      <c r="R5568" s="4"/>
      <c r="S5568" s="4"/>
      <c r="T5568" s="4"/>
      <c r="U5568" s="4"/>
      <c r="V5568" s="4"/>
      <c r="W5568" s="4"/>
      <c r="X5568" s="4"/>
    </row>
    <row r="5569" spans="17:24" x14ac:dyDescent="0.3">
      <c r="Q5569" s="4"/>
      <c r="R5569" s="4"/>
      <c r="S5569" s="4"/>
      <c r="T5569" s="4"/>
      <c r="U5569" s="4"/>
      <c r="V5569" s="4"/>
      <c r="W5569" s="4"/>
      <c r="X5569" s="4"/>
    </row>
    <row r="5570" spans="17:24" x14ac:dyDescent="0.3">
      <c r="Q5570" s="4"/>
      <c r="R5570" s="4"/>
      <c r="S5570" s="4"/>
      <c r="T5570" s="4"/>
      <c r="U5570" s="4"/>
      <c r="V5570" s="4"/>
      <c r="W5570" s="4"/>
      <c r="X5570" s="4"/>
    </row>
    <row r="5571" spans="17:24" x14ac:dyDescent="0.3">
      <c r="Q5571" s="4"/>
      <c r="R5571" s="4"/>
      <c r="S5571" s="4"/>
      <c r="T5571" s="4"/>
      <c r="U5571" s="4"/>
      <c r="V5571" s="4"/>
      <c r="W5571" s="4"/>
      <c r="X5571" s="4"/>
    </row>
    <row r="5572" spans="17:24" x14ac:dyDescent="0.3">
      <c r="Q5572" s="4"/>
      <c r="R5572" s="4"/>
      <c r="S5572" s="4"/>
      <c r="T5572" s="4"/>
      <c r="U5572" s="4"/>
      <c r="V5572" s="4"/>
      <c r="W5572" s="4"/>
      <c r="X5572" s="4"/>
    </row>
    <row r="5573" spans="17:24" x14ac:dyDescent="0.3">
      <c r="Q5573" s="4"/>
      <c r="R5573" s="4"/>
      <c r="S5573" s="4"/>
      <c r="T5573" s="4"/>
      <c r="U5573" s="4"/>
      <c r="V5573" s="4"/>
      <c r="W5573" s="4"/>
      <c r="X5573" s="4"/>
    </row>
    <row r="5574" spans="17:24" x14ac:dyDescent="0.3">
      <c r="Q5574" s="4"/>
      <c r="R5574" s="4"/>
      <c r="S5574" s="4"/>
      <c r="T5574" s="4"/>
      <c r="U5574" s="4"/>
      <c r="V5574" s="4"/>
      <c r="W5574" s="4"/>
      <c r="X5574" s="4"/>
    </row>
    <row r="5575" spans="17:24" x14ac:dyDescent="0.3">
      <c r="Q5575" s="4"/>
      <c r="R5575" s="4"/>
      <c r="S5575" s="4"/>
      <c r="T5575" s="4"/>
      <c r="U5575" s="4"/>
      <c r="V5575" s="4"/>
      <c r="W5575" s="4"/>
      <c r="X5575" s="4"/>
    </row>
    <row r="5576" spans="17:24" x14ac:dyDescent="0.3">
      <c r="Q5576" s="4"/>
      <c r="R5576" s="4"/>
      <c r="S5576" s="4"/>
      <c r="T5576" s="4"/>
      <c r="U5576" s="4"/>
      <c r="V5576" s="4"/>
      <c r="W5576" s="4"/>
      <c r="X5576" s="4"/>
    </row>
    <row r="5577" spans="17:24" x14ac:dyDescent="0.3">
      <c r="Q5577" s="4"/>
      <c r="R5577" s="4"/>
      <c r="S5577" s="4"/>
      <c r="T5577" s="4"/>
      <c r="U5577" s="4"/>
      <c r="V5577" s="4"/>
      <c r="W5577" s="4"/>
      <c r="X5577" s="4"/>
    </row>
    <row r="5578" spans="17:24" x14ac:dyDescent="0.3">
      <c r="Q5578" s="4"/>
      <c r="R5578" s="4"/>
      <c r="S5578" s="4"/>
      <c r="T5578" s="4"/>
      <c r="U5578" s="4"/>
      <c r="V5578" s="4"/>
      <c r="W5578" s="4"/>
      <c r="X5578" s="4"/>
    </row>
    <row r="5579" spans="17:24" x14ac:dyDescent="0.3">
      <c r="Q5579" s="4"/>
      <c r="R5579" s="4"/>
      <c r="S5579" s="4"/>
      <c r="T5579" s="4"/>
      <c r="U5579" s="4"/>
      <c r="V5579" s="4"/>
      <c r="W5579" s="4"/>
      <c r="X5579" s="4"/>
    </row>
    <row r="5580" spans="17:24" x14ac:dyDescent="0.3">
      <c r="Q5580" s="4"/>
      <c r="R5580" s="4"/>
      <c r="S5580" s="4"/>
      <c r="T5580" s="4"/>
      <c r="U5580" s="4"/>
      <c r="V5580" s="4"/>
      <c r="W5580" s="4"/>
      <c r="X5580" s="4"/>
    </row>
    <row r="5581" spans="17:24" x14ac:dyDescent="0.3">
      <c r="Q5581" s="4"/>
      <c r="R5581" s="4"/>
      <c r="S5581" s="4"/>
      <c r="T5581" s="4"/>
      <c r="U5581" s="4"/>
      <c r="V5581" s="4"/>
      <c r="W5581" s="4"/>
      <c r="X5581" s="4"/>
    </row>
    <row r="5582" spans="17:24" x14ac:dyDescent="0.3">
      <c r="Q5582" s="4"/>
      <c r="R5582" s="4"/>
      <c r="S5582" s="4"/>
      <c r="T5582" s="4"/>
      <c r="U5582" s="4"/>
      <c r="V5582" s="4"/>
      <c r="W5582" s="4"/>
      <c r="X5582" s="4"/>
    </row>
    <row r="5583" spans="17:24" x14ac:dyDescent="0.3">
      <c r="Q5583" s="4"/>
      <c r="R5583" s="4"/>
      <c r="S5583" s="4"/>
      <c r="T5583" s="4"/>
      <c r="U5583" s="4"/>
      <c r="V5583" s="4"/>
      <c r="W5583" s="4"/>
      <c r="X5583" s="4"/>
    </row>
    <row r="5584" spans="17:24" x14ac:dyDescent="0.3">
      <c r="Q5584" s="4"/>
      <c r="R5584" s="4"/>
      <c r="S5584" s="4"/>
      <c r="T5584" s="4"/>
      <c r="U5584" s="4"/>
      <c r="V5584" s="4"/>
      <c r="W5584" s="4"/>
      <c r="X5584" s="4"/>
    </row>
    <row r="5585" spans="17:24" x14ac:dyDescent="0.3">
      <c r="Q5585" s="4"/>
      <c r="R5585" s="4"/>
      <c r="S5585" s="4"/>
      <c r="T5585" s="4"/>
      <c r="U5585" s="4"/>
      <c r="V5585" s="4"/>
      <c r="W5585" s="4"/>
      <c r="X5585" s="4"/>
    </row>
    <row r="5586" spans="17:24" x14ac:dyDescent="0.3">
      <c r="Q5586" s="4"/>
      <c r="R5586" s="4"/>
      <c r="S5586" s="4"/>
      <c r="T5586" s="4"/>
      <c r="U5586" s="4"/>
      <c r="V5586" s="4"/>
      <c r="W5586" s="4"/>
      <c r="X5586" s="4"/>
    </row>
    <row r="5587" spans="17:24" x14ac:dyDescent="0.3">
      <c r="Q5587" s="4"/>
      <c r="R5587" s="4"/>
      <c r="S5587" s="4"/>
      <c r="T5587" s="4"/>
      <c r="U5587" s="4"/>
      <c r="V5587" s="4"/>
      <c r="W5587" s="4"/>
      <c r="X5587" s="4"/>
    </row>
    <row r="5588" spans="17:24" x14ac:dyDescent="0.3">
      <c r="Q5588" s="4"/>
      <c r="R5588" s="4"/>
      <c r="S5588" s="4"/>
      <c r="T5588" s="4"/>
      <c r="U5588" s="4"/>
      <c r="V5588" s="4"/>
      <c r="W5588" s="4"/>
      <c r="X5588" s="4"/>
    </row>
    <row r="5589" spans="17:24" x14ac:dyDescent="0.3">
      <c r="Q5589" s="4"/>
      <c r="R5589" s="4"/>
      <c r="S5589" s="4"/>
      <c r="T5589" s="4"/>
      <c r="U5589" s="4"/>
      <c r="V5589" s="4"/>
      <c r="W5589" s="4"/>
      <c r="X5589" s="4"/>
    </row>
    <row r="5590" spans="17:24" x14ac:dyDescent="0.3">
      <c r="Q5590" s="4"/>
      <c r="R5590" s="4"/>
      <c r="S5590" s="4"/>
      <c r="T5590" s="4"/>
      <c r="U5590" s="4"/>
      <c r="V5590" s="4"/>
      <c r="W5590" s="4"/>
      <c r="X5590" s="4"/>
    </row>
    <row r="5591" spans="17:24" x14ac:dyDescent="0.3">
      <c r="Q5591" s="4"/>
      <c r="R5591" s="4"/>
      <c r="S5591" s="4"/>
      <c r="T5591" s="4"/>
      <c r="U5591" s="4"/>
      <c r="V5591" s="4"/>
      <c r="W5591" s="4"/>
      <c r="X5591" s="4"/>
    </row>
    <row r="5592" spans="17:24" x14ac:dyDescent="0.3">
      <c r="Q5592" s="4"/>
      <c r="R5592" s="4"/>
      <c r="S5592" s="4"/>
      <c r="T5592" s="4"/>
      <c r="U5592" s="4"/>
      <c r="V5592" s="4"/>
      <c r="W5592" s="4"/>
      <c r="X5592" s="4"/>
    </row>
    <row r="5593" spans="17:24" x14ac:dyDescent="0.3">
      <c r="Q5593" s="4"/>
      <c r="R5593" s="4"/>
      <c r="S5593" s="4"/>
      <c r="T5593" s="4"/>
      <c r="U5593" s="4"/>
      <c r="V5593" s="4"/>
      <c r="W5593" s="4"/>
      <c r="X5593" s="4"/>
    </row>
    <row r="5594" spans="17:24" x14ac:dyDescent="0.3">
      <c r="Q5594" s="4"/>
      <c r="R5594" s="4"/>
      <c r="S5594" s="4"/>
      <c r="T5594" s="4"/>
      <c r="U5594" s="4"/>
      <c r="V5594" s="4"/>
      <c r="W5594" s="4"/>
      <c r="X5594" s="4"/>
    </row>
    <row r="5595" spans="17:24" x14ac:dyDescent="0.3">
      <c r="Q5595" s="4"/>
      <c r="R5595" s="4"/>
      <c r="S5595" s="4"/>
      <c r="T5595" s="4"/>
      <c r="U5595" s="4"/>
      <c r="V5595" s="4"/>
      <c r="W5595" s="4"/>
      <c r="X5595" s="4"/>
    </row>
    <row r="5596" spans="17:24" x14ac:dyDescent="0.3">
      <c r="Q5596" s="4"/>
      <c r="R5596" s="4"/>
      <c r="S5596" s="4"/>
      <c r="T5596" s="4"/>
      <c r="U5596" s="4"/>
      <c r="V5596" s="4"/>
      <c r="W5596" s="4"/>
      <c r="X5596" s="4"/>
    </row>
    <row r="5597" spans="17:24" x14ac:dyDescent="0.3">
      <c r="Q5597" s="4"/>
      <c r="R5597" s="4"/>
      <c r="S5597" s="4"/>
      <c r="T5597" s="4"/>
      <c r="U5597" s="4"/>
      <c r="V5597" s="4"/>
      <c r="W5597" s="4"/>
      <c r="X5597" s="4"/>
    </row>
    <row r="5598" spans="17:24" x14ac:dyDescent="0.3">
      <c r="Q5598" s="4"/>
      <c r="R5598" s="4"/>
      <c r="S5598" s="4"/>
      <c r="T5598" s="4"/>
      <c r="U5598" s="4"/>
      <c r="V5598" s="4"/>
      <c r="W5598" s="4"/>
      <c r="X5598" s="4"/>
    </row>
    <row r="5599" spans="17:24" x14ac:dyDescent="0.3">
      <c r="Q5599" s="4"/>
      <c r="R5599" s="4"/>
      <c r="S5599" s="4"/>
      <c r="T5599" s="4"/>
      <c r="U5599" s="4"/>
      <c r="V5599" s="4"/>
      <c r="W5599" s="4"/>
      <c r="X5599" s="4"/>
    </row>
    <row r="5600" spans="17:24" x14ac:dyDescent="0.3">
      <c r="Q5600" s="4"/>
      <c r="R5600" s="4"/>
      <c r="S5600" s="4"/>
      <c r="T5600" s="4"/>
      <c r="U5600" s="4"/>
      <c r="V5600" s="4"/>
      <c r="W5600" s="4"/>
      <c r="X5600" s="4"/>
    </row>
    <row r="5601" spans="17:24" x14ac:dyDescent="0.3">
      <c r="Q5601" s="4"/>
      <c r="R5601" s="4"/>
      <c r="S5601" s="4"/>
      <c r="T5601" s="4"/>
      <c r="U5601" s="4"/>
      <c r="V5601" s="4"/>
      <c r="W5601" s="4"/>
      <c r="X5601" s="4"/>
    </row>
    <row r="5602" spans="17:24" x14ac:dyDescent="0.3">
      <c r="Q5602" s="4"/>
      <c r="R5602" s="4"/>
      <c r="S5602" s="4"/>
      <c r="T5602" s="4"/>
      <c r="U5602" s="4"/>
      <c r="V5602" s="4"/>
      <c r="W5602" s="4"/>
      <c r="X5602" s="4"/>
    </row>
    <row r="5603" spans="17:24" x14ac:dyDescent="0.3">
      <c r="Q5603" s="4"/>
      <c r="R5603" s="4"/>
      <c r="S5603" s="4"/>
      <c r="T5603" s="4"/>
      <c r="U5603" s="4"/>
      <c r="V5603" s="4"/>
      <c r="W5603" s="4"/>
      <c r="X5603" s="4"/>
    </row>
    <row r="5604" spans="17:24" x14ac:dyDescent="0.3">
      <c r="Q5604" s="4"/>
      <c r="R5604" s="4"/>
      <c r="S5604" s="4"/>
      <c r="T5604" s="4"/>
      <c r="U5604" s="4"/>
      <c r="V5604" s="4"/>
      <c r="W5604" s="4"/>
      <c r="X5604" s="4"/>
    </row>
    <row r="5605" spans="17:24" x14ac:dyDescent="0.3">
      <c r="Q5605" s="4"/>
      <c r="R5605" s="4"/>
      <c r="S5605" s="4"/>
      <c r="T5605" s="4"/>
      <c r="U5605" s="4"/>
      <c r="V5605" s="4"/>
      <c r="W5605" s="4"/>
      <c r="X5605" s="4"/>
    </row>
    <row r="5606" spans="17:24" x14ac:dyDescent="0.3">
      <c r="Q5606" s="4"/>
      <c r="R5606" s="4"/>
      <c r="S5606" s="4"/>
      <c r="T5606" s="4"/>
      <c r="U5606" s="4"/>
      <c r="V5606" s="4"/>
      <c r="W5606" s="4"/>
      <c r="X5606" s="4"/>
    </row>
    <row r="5607" spans="17:24" x14ac:dyDescent="0.3">
      <c r="Q5607" s="4"/>
      <c r="R5607" s="4"/>
      <c r="S5607" s="4"/>
      <c r="T5607" s="4"/>
      <c r="U5607" s="4"/>
      <c r="V5607" s="4"/>
      <c r="W5607" s="4"/>
      <c r="X5607" s="4"/>
    </row>
    <row r="5608" spans="17:24" x14ac:dyDescent="0.3">
      <c r="Q5608" s="4"/>
      <c r="R5608" s="4"/>
      <c r="S5608" s="4"/>
      <c r="T5608" s="4"/>
      <c r="U5608" s="4"/>
      <c r="V5608" s="4"/>
      <c r="W5608" s="4"/>
      <c r="X5608" s="4"/>
    </row>
    <row r="5609" spans="17:24" x14ac:dyDescent="0.3">
      <c r="Q5609" s="4"/>
      <c r="R5609" s="4"/>
      <c r="S5609" s="4"/>
      <c r="T5609" s="4"/>
      <c r="U5609" s="4"/>
      <c r="V5609" s="4"/>
      <c r="W5609" s="4"/>
      <c r="X5609" s="4"/>
    </row>
    <row r="5610" spans="17:24" x14ac:dyDescent="0.3">
      <c r="Q5610" s="4"/>
      <c r="R5610" s="4"/>
      <c r="S5610" s="4"/>
      <c r="T5610" s="4"/>
      <c r="U5610" s="4"/>
      <c r="V5610" s="4"/>
      <c r="W5610" s="4"/>
      <c r="X5610" s="4"/>
    </row>
    <row r="5611" spans="17:24" x14ac:dyDescent="0.3">
      <c r="Q5611" s="4"/>
      <c r="R5611" s="4"/>
      <c r="S5611" s="4"/>
      <c r="T5611" s="4"/>
      <c r="U5611" s="4"/>
      <c r="V5611" s="4"/>
      <c r="W5611" s="4"/>
      <c r="X5611" s="4"/>
    </row>
    <row r="5612" spans="17:24" x14ac:dyDescent="0.3">
      <c r="Q5612" s="4"/>
      <c r="R5612" s="4"/>
      <c r="S5612" s="4"/>
      <c r="T5612" s="4"/>
      <c r="U5612" s="4"/>
      <c r="V5612" s="4"/>
      <c r="W5612" s="4"/>
      <c r="X5612" s="4"/>
    </row>
    <row r="5613" spans="17:24" x14ac:dyDescent="0.3">
      <c r="Q5613" s="4"/>
      <c r="R5613" s="4"/>
      <c r="S5613" s="4"/>
      <c r="T5613" s="4"/>
      <c r="U5613" s="4"/>
      <c r="V5613" s="4"/>
      <c r="W5613" s="4"/>
      <c r="X5613" s="4"/>
    </row>
    <row r="5614" spans="17:24" x14ac:dyDescent="0.3">
      <c r="Q5614" s="4"/>
      <c r="R5614" s="4"/>
      <c r="S5614" s="4"/>
      <c r="T5614" s="4"/>
      <c r="U5614" s="4"/>
      <c r="V5614" s="4"/>
      <c r="W5614" s="4"/>
      <c r="X5614" s="4"/>
    </row>
    <row r="5615" spans="17:24" x14ac:dyDescent="0.3">
      <c r="Q5615" s="4"/>
      <c r="R5615" s="4"/>
      <c r="S5615" s="4"/>
      <c r="T5615" s="4"/>
      <c r="U5615" s="4"/>
      <c r="V5615" s="4"/>
      <c r="W5615" s="4"/>
      <c r="X5615" s="4"/>
    </row>
    <row r="5616" spans="17:24" x14ac:dyDescent="0.3">
      <c r="Q5616" s="4"/>
      <c r="R5616" s="4"/>
      <c r="S5616" s="4"/>
      <c r="T5616" s="4"/>
      <c r="U5616" s="4"/>
      <c r="V5616" s="4"/>
      <c r="W5616" s="4"/>
      <c r="X5616" s="4"/>
    </row>
    <row r="5617" spans="17:24" x14ac:dyDescent="0.3">
      <c r="Q5617" s="4"/>
      <c r="R5617" s="4"/>
      <c r="S5617" s="4"/>
      <c r="T5617" s="4"/>
      <c r="U5617" s="4"/>
      <c r="V5617" s="4"/>
      <c r="W5617" s="4"/>
      <c r="X5617" s="4"/>
    </row>
    <row r="5618" spans="17:24" x14ac:dyDescent="0.3">
      <c r="Q5618" s="4"/>
      <c r="R5618" s="4"/>
      <c r="S5618" s="4"/>
      <c r="T5618" s="4"/>
      <c r="U5618" s="4"/>
      <c r="V5618" s="4"/>
      <c r="W5618" s="4"/>
      <c r="X5618" s="4"/>
    </row>
    <row r="5619" spans="17:24" x14ac:dyDescent="0.3">
      <c r="Q5619" s="4"/>
      <c r="R5619" s="4"/>
      <c r="S5619" s="4"/>
      <c r="T5619" s="4"/>
      <c r="U5619" s="4"/>
      <c r="V5619" s="4"/>
      <c r="W5619" s="4"/>
      <c r="X5619" s="4"/>
    </row>
    <row r="5620" spans="17:24" x14ac:dyDescent="0.3">
      <c r="Q5620" s="4"/>
      <c r="R5620" s="4"/>
      <c r="S5620" s="4"/>
      <c r="T5620" s="4"/>
      <c r="U5620" s="4"/>
      <c r="V5620" s="4"/>
      <c r="W5620" s="4"/>
      <c r="X5620" s="4"/>
    </row>
    <row r="5621" spans="17:24" x14ac:dyDescent="0.3">
      <c r="Q5621" s="4"/>
      <c r="R5621" s="4"/>
      <c r="S5621" s="4"/>
      <c r="T5621" s="4"/>
      <c r="U5621" s="4"/>
      <c r="V5621" s="4"/>
      <c r="W5621" s="4"/>
      <c r="X5621" s="4"/>
    </row>
    <row r="5622" spans="17:24" x14ac:dyDescent="0.3">
      <c r="Q5622" s="4"/>
      <c r="R5622" s="4"/>
      <c r="S5622" s="4"/>
      <c r="T5622" s="4"/>
      <c r="U5622" s="4"/>
      <c r="V5622" s="4"/>
      <c r="W5622" s="4"/>
      <c r="X5622" s="4"/>
    </row>
    <row r="5623" spans="17:24" x14ac:dyDescent="0.3">
      <c r="Q5623" s="4"/>
      <c r="R5623" s="4"/>
      <c r="S5623" s="4"/>
      <c r="T5623" s="4"/>
      <c r="U5623" s="4"/>
      <c r="V5623" s="4"/>
      <c r="W5623" s="4"/>
      <c r="X5623" s="4"/>
    </row>
    <row r="5624" spans="17:24" x14ac:dyDescent="0.3">
      <c r="Q5624" s="4"/>
      <c r="R5624" s="4"/>
      <c r="S5624" s="4"/>
      <c r="T5624" s="4"/>
      <c r="U5624" s="4"/>
      <c r="V5624" s="4"/>
      <c r="W5624" s="4"/>
      <c r="X5624" s="4"/>
    </row>
    <row r="5625" spans="17:24" x14ac:dyDescent="0.3">
      <c r="Q5625" s="4"/>
      <c r="R5625" s="4"/>
      <c r="S5625" s="4"/>
      <c r="T5625" s="4"/>
      <c r="U5625" s="4"/>
      <c r="V5625" s="4"/>
      <c r="W5625" s="4"/>
      <c r="X5625" s="4"/>
    </row>
    <row r="5626" spans="17:24" x14ac:dyDescent="0.3">
      <c r="Q5626" s="4"/>
      <c r="R5626" s="4"/>
      <c r="S5626" s="4"/>
      <c r="T5626" s="4"/>
      <c r="U5626" s="4"/>
      <c r="V5626" s="4"/>
      <c r="W5626" s="4"/>
      <c r="X5626" s="4"/>
    </row>
    <row r="5627" spans="17:24" x14ac:dyDescent="0.3">
      <c r="Q5627" s="4"/>
      <c r="R5627" s="4"/>
      <c r="S5627" s="4"/>
      <c r="T5627" s="4"/>
      <c r="U5627" s="4"/>
      <c r="V5627" s="4"/>
      <c r="W5627" s="4"/>
      <c r="X5627" s="4"/>
    </row>
    <row r="5628" spans="17:24" x14ac:dyDescent="0.3">
      <c r="Q5628" s="4"/>
      <c r="R5628" s="4"/>
      <c r="S5628" s="4"/>
      <c r="T5628" s="4"/>
      <c r="U5628" s="4"/>
      <c r="V5628" s="4"/>
      <c r="W5628" s="4"/>
      <c r="X5628" s="4"/>
    </row>
    <row r="5629" spans="17:24" x14ac:dyDescent="0.3">
      <c r="Q5629" s="4"/>
      <c r="R5629" s="4"/>
      <c r="S5629" s="4"/>
      <c r="T5629" s="4"/>
      <c r="U5629" s="4"/>
      <c r="V5629" s="4"/>
      <c r="W5629" s="4"/>
      <c r="X5629" s="4"/>
    </row>
    <row r="5630" spans="17:24" x14ac:dyDescent="0.3">
      <c r="Q5630" s="4"/>
      <c r="R5630" s="4"/>
      <c r="S5630" s="4"/>
      <c r="T5630" s="4"/>
      <c r="U5630" s="4"/>
      <c r="V5630" s="4"/>
      <c r="W5630" s="4"/>
      <c r="X5630" s="4"/>
    </row>
    <row r="5631" spans="17:24" x14ac:dyDescent="0.3">
      <c r="Q5631" s="4"/>
      <c r="R5631" s="4"/>
      <c r="S5631" s="4"/>
      <c r="T5631" s="4"/>
      <c r="U5631" s="4"/>
      <c r="V5631" s="4"/>
      <c r="W5631" s="4"/>
      <c r="X5631" s="4"/>
    </row>
    <row r="5632" spans="17:24" x14ac:dyDescent="0.3">
      <c r="Q5632" s="4"/>
      <c r="R5632" s="4"/>
      <c r="S5632" s="4"/>
      <c r="T5632" s="4"/>
      <c r="U5632" s="4"/>
      <c r="V5632" s="4"/>
      <c r="W5632" s="4"/>
      <c r="X5632" s="4"/>
    </row>
    <row r="5633" spans="17:24" x14ac:dyDescent="0.3">
      <c r="Q5633" s="4"/>
      <c r="R5633" s="4"/>
      <c r="S5633" s="4"/>
      <c r="T5633" s="4"/>
      <c r="U5633" s="4"/>
      <c r="V5633" s="4"/>
      <c r="W5633" s="4"/>
      <c r="X5633" s="4"/>
    </row>
    <row r="5634" spans="17:24" x14ac:dyDescent="0.3">
      <c r="Q5634" s="4"/>
      <c r="R5634" s="4"/>
      <c r="S5634" s="4"/>
      <c r="T5634" s="4"/>
      <c r="U5634" s="4"/>
      <c r="V5634" s="4"/>
      <c r="W5634" s="4"/>
      <c r="X5634" s="4"/>
    </row>
    <row r="5635" spans="17:24" x14ac:dyDescent="0.3">
      <c r="Q5635" s="4"/>
      <c r="R5635" s="4"/>
      <c r="S5635" s="4"/>
      <c r="T5635" s="4"/>
      <c r="U5635" s="4"/>
      <c r="V5635" s="4"/>
      <c r="W5635" s="4"/>
      <c r="X5635" s="4"/>
    </row>
    <row r="5636" spans="17:24" x14ac:dyDescent="0.3">
      <c r="Q5636" s="4"/>
      <c r="R5636" s="4"/>
      <c r="S5636" s="4"/>
      <c r="T5636" s="4"/>
      <c r="U5636" s="4"/>
      <c r="V5636" s="4"/>
      <c r="W5636" s="4"/>
      <c r="X5636" s="4"/>
    </row>
    <row r="5637" spans="17:24" x14ac:dyDescent="0.3">
      <c r="Q5637" s="4"/>
      <c r="R5637" s="4"/>
      <c r="S5637" s="4"/>
      <c r="T5637" s="4"/>
      <c r="U5637" s="4"/>
      <c r="V5637" s="4"/>
      <c r="W5637" s="4"/>
      <c r="X5637" s="4"/>
    </row>
    <row r="5638" spans="17:24" x14ac:dyDescent="0.3">
      <c r="Q5638" s="4"/>
      <c r="R5638" s="4"/>
      <c r="S5638" s="4"/>
      <c r="T5638" s="4"/>
      <c r="U5638" s="4"/>
      <c r="V5638" s="4"/>
      <c r="W5638" s="4"/>
      <c r="X5638" s="4"/>
    </row>
    <row r="5639" spans="17:24" x14ac:dyDescent="0.3">
      <c r="Q5639" s="4"/>
      <c r="R5639" s="4"/>
      <c r="S5639" s="4"/>
      <c r="T5639" s="4"/>
      <c r="U5639" s="4"/>
      <c r="V5639" s="4"/>
      <c r="W5639" s="4"/>
      <c r="X5639" s="4"/>
    </row>
    <row r="5640" spans="17:24" x14ac:dyDescent="0.3">
      <c r="Q5640" s="4"/>
      <c r="R5640" s="4"/>
      <c r="S5640" s="4"/>
      <c r="T5640" s="4"/>
      <c r="U5640" s="4"/>
      <c r="V5640" s="4"/>
      <c r="W5640" s="4"/>
      <c r="X5640" s="4"/>
    </row>
    <row r="5641" spans="17:24" x14ac:dyDescent="0.3">
      <c r="Q5641" s="4"/>
      <c r="R5641" s="4"/>
      <c r="S5641" s="4"/>
      <c r="T5641" s="4"/>
      <c r="U5641" s="4"/>
      <c r="V5641" s="4"/>
      <c r="W5641" s="4"/>
      <c r="X5641" s="4"/>
    </row>
    <row r="5642" spans="17:24" x14ac:dyDescent="0.3">
      <c r="Q5642" s="4"/>
      <c r="R5642" s="4"/>
      <c r="S5642" s="4"/>
      <c r="T5642" s="4"/>
      <c r="U5642" s="4"/>
      <c r="V5642" s="4"/>
      <c r="W5642" s="4"/>
      <c r="X5642" s="4"/>
    </row>
    <row r="5643" spans="17:24" x14ac:dyDescent="0.3">
      <c r="Q5643" s="4"/>
      <c r="R5643" s="4"/>
      <c r="S5643" s="4"/>
      <c r="T5643" s="4"/>
      <c r="U5643" s="4"/>
      <c r="V5643" s="4"/>
      <c r="W5643" s="4"/>
      <c r="X5643" s="4"/>
    </row>
    <row r="5644" spans="17:24" x14ac:dyDescent="0.3">
      <c r="Q5644" s="4"/>
      <c r="R5644" s="4"/>
      <c r="S5644" s="4"/>
      <c r="T5644" s="4"/>
      <c r="U5644" s="4"/>
      <c r="V5644" s="4"/>
      <c r="W5644" s="4"/>
      <c r="X5644" s="4"/>
    </row>
    <row r="5645" spans="17:24" x14ac:dyDescent="0.3">
      <c r="Q5645" s="4"/>
      <c r="R5645" s="4"/>
      <c r="S5645" s="4"/>
      <c r="T5645" s="4"/>
      <c r="U5645" s="4"/>
      <c r="V5645" s="4"/>
      <c r="W5645" s="4"/>
      <c r="X5645" s="4"/>
    </row>
    <row r="5646" spans="17:24" x14ac:dyDescent="0.3">
      <c r="Q5646" s="4"/>
      <c r="R5646" s="4"/>
      <c r="S5646" s="4"/>
      <c r="T5646" s="4"/>
      <c r="U5646" s="4"/>
      <c r="V5646" s="4"/>
      <c r="W5646" s="4"/>
      <c r="X5646" s="4"/>
    </row>
    <row r="5647" spans="17:24" x14ac:dyDescent="0.3">
      <c r="Q5647" s="4"/>
      <c r="R5647" s="4"/>
      <c r="S5647" s="4"/>
      <c r="T5647" s="4"/>
      <c r="U5647" s="4"/>
      <c r="V5647" s="4"/>
      <c r="W5647" s="4"/>
      <c r="X5647" s="4"/>
    </row>
    <row r="5648" spans="17:24" x14ac:dyDescent="0.3">
      <c r="Q5648" s="4"/>
      <c r="R5648" s="4"/>
      <c r="S5648" s="4"/>
      <c r="T5648" s="4"/>
      <c r="U5648" s="4"/>
      <c r="V5648" s="4"/>
      <c r="W5648" s="4"/>
      <c r="X5648" s="4"/>
    </row>
    <row r="5649" spans="17:24" x14ac:dyDescent="0.3">
      <c r="Q5649" s="4"/>
      <c r="R5649" s="4"/>
      <c r="S5649" s="4"/>
      <c r="T5649" s="4"/>
      <c r="U5649" s="4"/>
      <c r="V5649" s="4"/>
      <c r="W5649" s="4"/>
      <c r="X5649" s="4"/>
    </row>
    <row r="5650" spans="17:24" x14ac:dyDescent="0.3">
      <c r="Q5650" s="4"/>
      <c r="R5650" s="4"/>
      <c r="S5650" s="4"/>
      <c r="T5650" s="4"/>
      <c r="U5650" s="4"/>
      <c r="V5650" s="4"/>
      <c r="W5650" s="4"/>
      <c r="X5650" s="4"/>
    </row>
    <row r="5651" spans="17:24" x14ac:dyDescent="0.3">
      <c r="Q5651" s="4"/>
      <c r="R5651" s="4"/>
      <c r="S5651" s="4"/>
      <c r="T5651" s="4"/>
      <c r="U5651" s="4"/>
      <c r="V5651" s="4"/>
      <c r="W5651" s="4"/>
      <c r="X5651" s="4"/>
    </row>
    <row r="5652" spans="17:24" x14ac:dyDescent="0.3">
      <c r="Q5652" s="4"/>
      <c r="R5652" s="4"/>
      <c r="S5652" s="4"/>
      <c r="T5652" s="4"/>
      <c r="U5652" s="4"/>
      <c r="V5652" s="4"/>
      <c r="W5652" s="4"/>
      <c r="X5652" s="4"/>
    </row>
    <row r="5653" spans="17:24" x14ac:dyDescent="0.3">
      <c r="Q5653" s="4"/>
      <c r="R5653" s="4"/>
      <c r="S5653" s="4"/>
      <c r="T5653" s="4"/>
      <c r="U5653" s="4"/>
      <c r="V5653" s="4"/>
      <c r="W5653" s="4"/>
      <c r="X5653" s="4"/>
    </row>
    <row r="5654" spans="17:24" x14ac:dyDescent="0.3">
      <c r="Q5654" s="4"/>
      <c r="R5654" s="4"/>
      <c r="S5654" s="4"/>
      <c r="T5654" s="4"/>
      <c r="U5654" s="4"/>
      <c r="V5654" s="4"/>
      <c r="W5654" s="4"/>
      <c r="X5654" s="4"/>
    </row>
    <row r="5655" spans="17:24" x14ac:dyDescent="0.3">
      <c r="Q5655" s="4"/>
      <c r="R5655" s="4"/>
      <c r="S5655" s="4"/>
      <c r="T5655" s="4"/>
      <c r="U5655" s="4"/>
      <c r="V5655" s="4"/>
      <c r="W5655" s="4"/>
      <c r="X5655" s="4"/>
    </row>
    <row r="5656" spans="17:24" x14ac:dyDescent="0.3">
      <c r="Q5656" s="4"/>
      <c r="R5656" s="4"/>
      <c r="S5656" s="4"/>
      <c r="T5656" s="4"/>
      <c r="U5656" s="4"/>
      <c r="V5656" s="4"/>
      <c r="W5656" s="4"/>
      <c r="X5656" s="4"/>
    </row>
    <row r="5657" spans="17:24" x14ac:dyDescent="0.3">
      <c r="Q5657" s="4"/>
      <c r="R5657" s="4"/>
      <c r="S5657" s="4"/>
      <c r="T5657" s="4"/>
      <c r="U5657" s="4"/>
      <c r="V5657" s="4"/>
      <c r="W5657" s="4"/>
      <c r="X5657" s="4"/>
    </row>
    <row r="5658" spans="17:24" x14ac:dyDescent="0.3">
      <c r="Q5658" s="4"/>
      <c r="R5658" s="4"/>
      <c r="S5658" s="4"/>
      <c r="T5658" s="4"/>
      <c r="U5658" s="4"/>
      <c r="V5658" s="4"/>
      <c r="W5658" s="4"/>
      <c r="X5658" s="4"/>
    </row>
    <row r="5659" spans="17:24" x14ac:dyDescent="0.3">
      <c r="Q5659" s="4"/>
      <c r="R5659" s="4"/>
      <c r="S5659" s="4"/>
      <c r="T5659" s="4"/>
      <c r="U5659" s="4"/>
      <c r="V5659" s="4"/>
      <c r="W5659" s="4"/>
      <c r="X5659" s="4"/>
    </row>
    <row r="5660" spans="17:24" x14ac:dyDescent="0.3">
      <c r="Q5660" s="4"/>
      <c r="R5660" s="4"/>
      <c r="S5660" s="4"/>
      <c r="T5660" s="4"/>
      <c r="U5660" s="4"/>
      <c r="V5660" s="4"/>
      <c r="W5660" s="4"/>
      <c r="X5660" s="4"/>
    </row>
    <row r="5661" spans="17:24" x14ac:dyDescent="0.3">
      <c r="Q5661" s="4"/>
      <c r="R5661" s="4"/>
      <c r="S5661" s="4"/>
      <c r="T5661" s="4"/>
      <c r="U5661" s="4"/>
      <c r="V5661" s="4"/>
      <c r="W5661" s="4"/>
      <c r="X5661" s="4"/>
    </row>
    <row r="5662" spans="17:24" x14ac:dyDescent="0.3">
      <c r="Q5662" s="4"/>
      <c r="R5662" s="4"/>
      <c r="S5662" s="4"/>
      <c r="T5662" s="4"/>
      <c r="U5662" s="4"/>
      <c r="V5662" s="4"/>
      <c r="W5662" s="4"/>
      <c r="X5662" s="4"/>
    </row>
    <row r="5663" spans="17:24" x14ac:dyDescent="0.3">
      <c r="Q5663" s="4"/>
      <c r="R5663" s="4"/>
      <c r="S5663" s="4"/>
      <c r="T5663" s="4"/>
      <c r="U5663" s="4"/>
      <c r="V5663" s="4"/>
      <c r="W5663" s="4"/>
      <c r="X5663" s="4"/>
    </row>
    <row r="5664" spans="17:24" x14ac:dyDescent="0.3">
      <c r="Q5664" s="4"/>
      <c r="R5664" s="4"/>
      <c r="S5664" s="4"/>
      <c r="T5664" s="4"/>
      <c r="U5664" s="4"/>
      <c r="V5664" s="4"/>
      <c r="W5664" s="4"/>
      <c r="X5664" s="4"/>
    </row>
    <row r="5665" spans="17:24" x14ac:dyDescent="0.3">
      <c r="Q5665" s="4"/>
      <c r="R5665" s="4"/>
      <c r="S5665" s="4"/>
      <c r="T5665" s="4"/>
      <c r="U5665" s="4"/>
      <c r="V5665" s="4"/>
      <c r="W5665" s="4"/>
      <c r="X5665" s="4"/>
    </row>
    <row r="5666" spans="17:24" x14ac:dyDescent="0.3">
      <c r="Q5666" s="4"/>
      <c r="R5666" s="4"/>
      <c r="S5666" s="4"/>
      <c r="T5666" s="4"/>
      <c r="U5666" s="4"/>
      <c r="V5666" s="4"/>
      <c r="W5666" s="4"/>
      <c r="X5666" s="4"/>
    </row>
    <row r="5667" spans="17:24" x14ac:dyDescent="0.3">
      <c r="Q5667" s="4"/>
      <c r="R5667" s="4"/>
      <c r="S5667" s="4"/>
      <c r="T5667" s="4"/>
      <c r="U5667" s="4"/>
      <c r="V5667" s="4"/>
      <c r="W5667" s="4"/>
      <c r="X5667" s="4"/>
    </row>
    <row r="5668" spans="17:24" x14ac:dyDescent="0.3">
      <c r="Q5668" s="4"/>
      <c r="R5668" s="4"/>
      <c r="S5668" s="4"/>
      <c r="T5668" s="4"/>
      <c r="U5668" s="4"/>
      <c r="V5668" s="4"/>
      <c r="W5668" s="4"/>
      <c r="X5668" s="4"/>
    </row>
    <row r="5669" spans="17:24" x14ac:dyDescent="0.3">
      <c r="Q5669" s="4"/>
      <c r="R5669" s="4"/>
      <c r="S5669" s="4"/>
      <c r="T5669" s="4"/>
      <c r="U5669" s="4"/>
      <c r="V5669" s="4"/>
      <c r="W5669" s="4"/>
      <c r="X5669" s="4"/>
    </row>
    <row r="5670" spans="17:24" x14ac:dyDescent="0.3">
      <c r="Q5670" s="4"/>
      <c r="R5670" s="4"/>
      <c r="S5670" s="4"/>
      <c r="T5670" s="4"/>
      <c r="U5670" s="4"/>
      <c r="V5670" s="4"/>
      <c r="W5670" s="4"/>
      <c r="X5670" s="4"/>
    </row>
    <row r="5671" spans="17:24" x14ac:dyDescent="0.3">
      <c r="Q5671" s="4"/>
      <c r="R5671" s="4"/>
      <c r="S5671" s="4"/>
      <c r="T5671" s="4"/>
      <c r="U5671" s="4"/>
      <c r="V5671" s="4"/>
      <c r="W5671" s="4"/>
      <c r="X5671" s="4"/>
    </row>
    <row r="5672" spans="17:24" x14ac:dyDescent="0.3">
      <c r="Q5672" s="4"/>
      <c r="R5672" s="4"/>
      <c r="S5672" s="4"/>
      <c r="T5672" s="4"/>
      <c r="U5672" s="4"/>
      <c r="V5672" s="4"/>
      <c r="W5672" s="4"/>
      <c r="X5672" s="4"/>
    </row>
    <row r="5673" spans="17:24" x14ac:dyDescent="0.3">
      <c r="Q5673" s="4"/>
      <c r="R5673" s="4"/>
      <c r="S5673" s="4"/>
      <c r="T5673" s="4"/>
      <c r="U5673" s="4"/>
      <c r="V5673" s="4"/>
      <c r="W5673" s="4"/>
      <c r="X5673" s="4"/>
    </row>
    <row r="5674" spans="17:24" x14ac:dyDescent="0.3">
      <c r="Q5674" s="4"/>
      <c r="R5674" s="4"/>
      <c r="S5674" s="4"/>
      <c r="T5674" s="4"/>
      <c r="U5674" s="4"/>
      <c r="V5674" s="4"/>
      <c r="W5674" s="4"/>
      <c r="X5674" s="4"/>
    </row>
    <row r="5675" spans="17:24" x14ac:dyDescent="0.3">
      <c r="Q5675" s="4"/>
      <c r="R5675" s="4"/>
      <c r="S5675" s="4"/>
      <c r="T5675" s="4"/>
      <c r="U5675" s="4"/>
      <c r="V5675" s="4"/>
      <c r="W5675" s="4"/>
      <c r="X5675" s="4"/>
    </row>
    <row r="5676" spans="17:24" x14ac:dyDescent="0.3">
      <c r="Q5676" s="4"/>
      <c r="R5676" s="4"/>
      <c r="S5676" s="4"/>
      <c r="T5676" s="4"/>
      <c r="U5676" s="4"/>
      <c r="V5676" s="4"/>
      <c r="W5676" s="4"/>
      <c r="X5676" s="4"/>
    </row>
    <row r="5677" spans="17:24" x14ac:dyDescent="0.3">
      <c r="Q5677" s="4"/>
      <c r="R5677" s="4"/>
      <c r="S5677" s="4"/>
      <c r="T5677" s="4"/>
      <c r="U5677" s="4"/>
      <c r="V5677" s="4"/>
      <c r="W5677" s="4"/>
      <c r="X5677" s="4"/>
    </row>
    <row r="5678" spans="17:24" x14ac:dyDescent="0.3">
      <c r="Q5678" s="4"/>
      <c r="R5678" s="4"/>
      <c r="S5678" s="4"/>
      <c r="T5678" s="4"/>
      <c r="U5678" s="4"/>
      <c r="V5678" s="4"/>
      <c r="W5678" s="4"/>
      <c r="X5678" s="4"/>
    </row>
    <row r="5679" spans="17:24" x14ac:dyDescent="0.3">
      <c r="Q5679" s="4"/>
      <c r="R5679" s="4"/>
      <c r="S5679" s="4"/>
      <c r="T5679" s="4"/>
      <c r="U5679" s="4"/>
      <c r="V5679" s="4"/>
      <c r="W5679" s="4"/>
      <c r="X5679" s="4"/>
    </row>
    <row r="5680" spans="17:24" x14ac:dyDescent="0.3">
      <c r="Q5680" s="4"/>
      <c r="R5680" s="4"/>
      <c r="S5680" s="4"/>
      <c r="T5680" s="4"/>
      <c r="U5680" s="4"/>
      <c r="V5680" s="4"/>
      <c r="W5680" s="4"/>
      <c r="X5680" s="4"/>
    </row>
    <row r="5681" spans="17:24" x14ac:dyDescent="0.3">
      <c r="Q5681" s="4"/>
      <c r="R5681" s="4"/>
      <c r="S5681" s="4"/>
      <c r="T5681" s="4"/>
      <c r="U5681" s="4"/>
      <c r="V5681" s="4"/>
      <c r="W5681" s="4"/>
      <c r="X5681" s="4"/>
    </row>
    <row r="5682" spans="17:24" x14ac:dyDescent="0.3">
      <c r="Q5682" s="4"/>
      <c r="R5682" s="4"/>
      <c r="S5682" s="4"/>
      <c r="T5682" s="4"/>
      <c r="U5682" s="4"/>
      <c r="V5682" s="4"/>
      <c r="W5682" s="4"/>
      <c r="X5682" s="4"/>
    </row>
    <row r="5683" spans="17:24" x14ac:dyDescent="0.3">
      <c r="Q5683" s="4"/>
      <c r="R5683" s="4"/>
      <c r="S5683" s="4"/>
      <c r="T5683" s="4"/>
      <c r="U5683" s="4"/>
      <c r="V5683" s="4"/>
      <c r="W5683" s="4"/>
      <c r="X5683" s="4"/>
    </row>
    <row r="5684" spans="17:24" x14ac:dyDescent="0.3">
      <c r="Q5684" s="4"/>
      <c r="R5684" s="4"/>
      <c r="S5684" s="4"/>
      <c r="T5684" s="4"/>
      <c r="U5684" s="4"/>
      <c r="V5684" s="4"/>
      <c r="W5684" s="4"/>
      <c r="X5684" s="4"/>
    </row>
    <row r="5685" spans="17:24" x14ac:dyDescent="0.3">
      <c r="Q5685" s="4"/>
      <c r="R5685" s="4"/>
      <c r="S5685" s="4"/>
      <c r="T5685" s="4"/>
      <c r="U5685" s="4"/>
      <c r="V5685" s="4"/>
      <c r="W5685" s="4"/>
      <c r="X5685" s="4"/>
    </row>
    <row r="5686" spans="17:24" x14ac:dyDescent="0.3">
      <c r="Q5686" s="4"/>
      <c r="R5686" s="4"/>
      <c r="S5686" s="4"/>
      <c r="T5686" s="4"/>
      <c r="U5686" s="4"/>
      <c r="V5686" s="4"/>
      <c r="W5686" s="4"/>
      <c r="X5686" s="4"/>
    </row>
    <row r="5687" spans="17:24" x14ac:dyDescent="0.3">
      <c r="Q5687" s="4"/>
      <c r="R5687" s="4"/>
      <c r="S5687" s="4"/>
      <c r="T5687" s="4"/>
      <c r="U5687" s="4"/>
      <c r="V5687" s="4"/>
      <c r="W5687" s="4"/>
      <c r="X5687" s="4"/>
    </row>
    <row r="5688" spans="17:24" x14ac:dyDescent="0.3">
      <c r="Q5688" s="4"/>
      <c r="R5688" s="4"/>
      <c r="S5688" s="4"/>
      <c r="T5688" s="4"/>
      <c r="U5688" s="4"/>
      <c r="V5688" s="4"/>
      <c r="W5688" s="4"/>
      <c r="X5688" s="4"/>
    </row>
    <row r="5689" spans="17:24" x14ac:dyDescent="0.3">
      <c r="Q5689" s="4"/>
      <c r="R5689" s="4"/>
      <c r="S5689" s="4"/>
      <c r="T5689" s="4"/>
      <c r="U5689" s="4"/>
      <c r="V5689" s="4"/>
      <c r="W5689" s="4"/>
      <c r="X5689" s="4"/>
    </row>
    <row r="5690" spans="17:24" x14ac:dyDescent="0.3">
      <c r="Q5690" s="4"/>
      <c r="R5690" s="4"/>
      <c r="S5690" s="4"/>
      <c r="T5690" s="4"/>
      <c r="U5690" s="4"/>
      <c r="V5690" s="4"/>
      <c r="W5690" s="4"/>
      <c r="X5690" s="4"/>
    </row>
    <row r="5691" spans="17:24" x14ac:dyDescent="0.3">
      <c r="Q5691" s="4"/>
      <c r="R5691" s="4"/>
      <c r="S5691" s="4"/>
      <c r="T5691" s="4"/>
      <c r="U5691" s="4"/>
      <c r="V5691" s="4"/>
      <c r="W5691" s="4"/>
      <c r="X5691" s="4"/>
    </row>
    <row r="5692" spans="17:24" x14ac:dyDescent="0.3">
      <c r="Q5692" s="4"/>
      <c r="R5692" s="4"/>
      <c r="S5692" s="4"/>
      <c r="T5692" s="4"/>
      <c r="U5692" s="4"/>
      <c r="V5692" s="4"/>
      <c r="W5692" s="4"/>
      <c r="X5692" s="4"/>
    </row>
    <row r="5693" spans="17:24" x14ac:dyDescent="0.3">
      <c r="Q5693" s="4"/>
      <c r="R5693" s="4"/>
      <c r="S5693" s="4"/>
      <c r="T5693" s="4"/>
      <c r="U5693" s="4"/>
      <c r="V5693" s="4"/>
      <c r="W5693" s="4"/>
      <c r="X5693" s="4"/>
    </row>
    <row r="5694" spans="17:24" x14ac:dyDescent="0.3">
      <c r="Q5694" s="4"/>
      <c r="R5694" s="4"/>
      <c r="S5694" s="4"/>
      <c r="T5694" s="4"/>
      <c r="U5694" s="4"/>
      <c r="V5694" s="4"/>
      <c r="W5694" s="4"/>
      <c r="X5694" s="4"/>
    </row>
    <row r="5695" spans="17:24" x14ac:dyDescent="0.3">
      <c r="Q5695" s="4"/>
      <c r="R5695" s="4"/>
      <c r="S5695" s="4"/>
      <c r="T5695" s="4"/>
      <c r="U5695" s="4"/>
      <c r="V5695" s="4"/>
      <c r="W5695" s="4"/>
      <c r="X5695" s="4"/>
    </row>
    <row r="5696" spans="17:24" x14ac:dyDescent="0.3">
      <c r="Q5696" s="4"/>
      <c r="R5696" s="4"/>
      <c r="S5696" s="4"/>
      <c r="T5696" s="4"/>
      <c r="U5696" s="4"/>
      <c r="V5696" s="4"/>
      <c r="W5696" s="4"/>
      <c r="X5696" s="4"/>
    </row>
    <row r="5697" spans="17:24" x14ac:dyDescent="0.3">
      <c r="Q5697" s="4"/>
      <c r="R5697" s="4"/>
      <c r="S5697" s="4"/>
      <c r="T5697" s="4"/>
      <c r="U5697" s="4"/>
      <c r="V5697" s="4"/>
      <c r="W5697" s="4"/>
      <c r="X5697" s="4"/>
    </row>
    <row r="5698" spans="17:24" x14ac:dyDescent="0.3">
      <c r="Q5698" s="4"/>
      <c r="R5698" s="4"/>
      <c r="S5698" s="4"/>
      <c r="T5698" s="4"/>
      <c r="U5698" s="4"/>
      <c r="V5698" s="4"/>
      <c r="W5698" s="4"/>
      <c r="X5698" s="4"/>
    </row>
    <row r="5699" spans="17:24" x14ac:dyDescent="0.3">
      <c r="Q5699" s="4"/>
      <c r="R5699" s="4"/>
      <c r="S5699" s="4"/>
      <c r="T5699" s="4"/>
      <c r="U5699" s="4"/>
      <c r="V5699" s="4"/>
      <c r="W5699" s="4"/>
      <c r="X5699" s="4"/>
    </row>
    <row r="5700" spans="17:24" x14ac:dyDescent="0.3">
      <c r="Q5700" s="4"/>
      <c r="R5700" s="4"/>
      <c r="S5700" s="4"/>
      <c r="T5700" s="4"/>
      <c r="U5700" s="4"/>
      <c r="V5700" s="4"/>
      <c r="W5700" s="4"/>
      <c r="X5700" s="4"/>
    </row>
    <row r="5701" spans="17:24" x14ac:dyDescent="0.3">
      <c r="Q5701" s="4"/>
      <c r="R5701" s="4"/>
      <c r="S5701" s="4"/>
      <c r="T5701" s="4"/>
      <c r="U5701" s="4"/>
      <c r="V5701" s="4"/>
      <c r="W5701" s="4"/>
      <c r="X5701" s="4"/>
    </row>
    <row r="5702" spans="17:24" x14ac:dyDescent="0.3">
      <c r="Q5702" s="4"/>
      <c r="R5702" s="4"/>
      <c r="S5702" s="4"/>
      <c r="T5702" s="4"/>
      <c r="U5702" s="4"/>
      <c r="V5702" s="4"/>
      <c r="W5702" s="4"/>
      <c r="X5702" s="4"/>
    </row>
    <row r="5703" spans="17:24" x14ac:dyDescent="0.3">
      <c r="Q5703" s="4"/>
      <c r="R5703" s="4"/>
      <c r="S5703" s="4"/>
      <c r="T5703" s="4"/>
      <c r="U5703" s="4"/>
      <c r="V5703" s="4"/>
      <c r="W5703" s="4"/>
      <c r="X5703" s="4"/>
    </row>
    <row r="5704" spans="17:24" x14ac:dyDescent="0.3">
      <c r="Q5704" s="4"/>
      <c r="R5704" s="4"/>
      <c r="S5704" s="4"/>
      <c r="T5704" s="4"/>
      <c r="U5704" s="4"/>
      <c r="V5704" s="4"/>
      <c r="W5704" s="4"/>
      <c r="X5704" s="4"/>
    </row>
    <row r="5705" spans="17:24" x14ac:dyDescent="0.3">
      <c r="Q5705" s="4"/>
      <c r="R5705" s="4"/>
      <c r="S5705" s="4"/>
      <c r="T5705" s="4"/>
      <c r="U5705" s="4"/>
      <c r="V5705" s="4"/>
      <c r="W5705" s="4"/>
      <c r="X5705" s="4"/>
    </row>
    <row r="5706" spans="17:24" x14ac:dyDescent="0.3">
      <c r="Q5706" s="4"/>
      <c r="R5706" s="4"/>
      <c r="S5706" s="4"/>
      <c r="T5706" s="4"/>
      <c r="U5706" s="4"/>
      <c r="V5706" s="4"/>
      <c r="W5706" s="4"/>
      <c r="X5706" s="4"/>
    </row>
    <row r="5707" spans="17:24" x14ac:dyDescent="0.3">
      <c r="Q5707" s="4"/>
      <c r="R5707" s="4"/>
      <c r="S5707" s="4"/>
      <c r="T5707" s="4"/>
      <c r="U5707" s="4"/>
      <c r="V5707" s="4"/>
      <c r="W5707" s="4"/>
      <c r="X5707" s="4"/>
    </row>
    <row r="5708" spans="17:24" x14ac:dyDescent="0.3">
      <c r="Q5708" s="4"/>
      <c r="R5708" s="4"/>
      <c r="S5708" s="4"/>
      <c r="T5708" s="4"/>
      <c r="U5708" s="4"/>
      <c r="V5708" s="4"/>
      <c r="W5708" s="4"/>
      <c r="X5708" s="4"/>
    </row>
    <row r="5709" spans="17:24" x14ac:dyDescent="0.3">
      <c r="Q5709" s="4"/>
      <c r="R5709" s="4"/>
      <c r="S5709" s="4"/>
      <c r="T5709" s="4"/>
      <c r="U5709" s="4"/>
      <c r="V5709" s="4"/>
      <c r="W5709" s="4"/>
      <c r="X5709" s="4"/>
    </row>
    <row r="5710" spans="17:24" x14ac:dyDescent="0.3">
      <c r="Q5710" s="4"/>
      <c r="R5710" s="4"/>
      <c r="S5710" s="4"/>
      <c r="T5710" s="4"/>
      <c r="U5710" s="4"/>
      <c r="V5710" s="4"/>
      <c r="W5710" s="4"/>
      <c r="X5710" s="4"/>
    </row>
    <row r="5711" spans="17:24" x14ac:dyDescent="0.3">
      <c r="Q5711" s="4"/>
      <c r="R5711" s="4"/>
      <c r="S5711" s="4"/>
      <c r="T5711" s="4"/>
      <c r="U5711" s="4"/>
      <c r="V5711" s="4"/>
      <c r="W5711" s="4"/>
      <c r="X5711" s="4"/>
    </row>
    <row r="5712" spans="17:24" x14ac:dyDescent="0.3">
      <c r="Q5712" s="4"/>
      <c r="R5712" s="4"/>
      <c r="S5712" s="4"/>
      <c r="T5712" s="4"/>
      <c r="U5712" s="4"/>
      <c r="V5712" s="4"/>
      <c r="W5712" s="4"/>
      <c r="X5712" s="4"/>
    </row>
    <row r="5713" spans="17:24" x14ac:dyDescent="0.3">
      <c r="Q5713" s="4"/>
      <c r="R5713" s="4"/>
      <c r="S5713" s="4"/>
      <c r="T5713" s="4"/>
      <c r="U5713" s="4"/>
      <c r="V5713" s="4"/>
      <c r="W5713" s="4"/>
      <c r="X5713" s="4"/>
    </row>
    <row r="5714" spans="17:24" x14ac:dyDescent="0.3">
      <c r="Q5714" s="4"/>
      <c r="R5714" s="4"/>
      <c r="S5714" s="4"/>
      <c r="T5714" s="4"/>
      <c r="U5714" s="4"/>
      <c r="V5714" s="4"/>
      <c r="W5714" s="4"/>
      <c r="X5714" s="4"/>
    </row>
    <row r="5715" spans="17:24" x14ac:dyDescent="0.3">
      <c r="Q5715" s="4"/>
      <c r="R5715" s="4"/>
      <c r="S5715" s="4"/>
      <c r="T5715" s="4"/>
      <c r="U5715" s="4"/>
      <c r="V5715" s="4"/>
      <c r="W5715" s="4"/>
      <c r="X5715" s="4"/>
    </row>
    <row r="5716" spans="17:24" x14ac:dyDescent="0.3">
      <c r="Q5716" s="4"/>
      <c r="R5716" s="4"/>
      <c r="S5716" s="4"/>
      <c r="T5716" s="4"/>
      <c r="U5716" s="4"/>
      <c r="V5716" s="4"/>
      <c r="W5716" s="4"/>
      <c r="X5716" s="4"/>
    </row>
    <row r="5717" spans="17:24" x14ac:dyDescent="0.3">
      <c r="Q5717" s="4"/>
      <c r="R5717" s="4"/>
      <c r="S5717" s="4"/>
      <c r="T5717" s="4"/>
      <c r="U5717" s="4"/>
      <c r="V5717" s="4"/>
      <c r="W5717" s="4"/>
      <c r="X5717" s="4"/>
    </row>
    <row r="5718" spans="17:24" x14ac:dyDescent="0.3">
      <c r="Q5718" s="4"/>
      <c r="R5718" s="4"/>
      <c r="S5718" s="4"/>
      <c r="T5718" s="4"/>
      <c r="U5718" s="4"/>
      <c r="V5718" s="4"/>
      <c r="W5718" s="4"/>
      <c r="X5718" s="4"/>
    </row>
    <row r="5719" spans="17:24" x14ac:dyDescent="0.3">
      <c r="Q5719" s="4"/>
      <c r="R5719" s="4"/>
      <c r="S5719" s="4"/>
      <c r="T5719" s="4"/>
      <c r="U5719" s="4"/>
      <c r="V5719" s="4"/>
      <c r="W5719" s="4"/>
      <c r="X5719" s="4"/>
    </row>
    <row r="5720" spans="17:24" x14ac:dyDescent="0.3">
      <c r="Q5720" s="4"/>
      <c r="R5720" s="4"/>
      <c r="S5720" s="4"/>
      <c r="T5720" s="4"/>
      <c r="U5720" s="4"/>
      <c r="V5720" s="4"/>
      <c r="W5720" s="4"/>
      <c r="X5720" s="4"/>
    </row>
    <row r="5721" spans="17:24" x14ac:dyDescent="0.3">
      <c r="Q5721" s="4"/>
      <c r="R5721" s="4"/>
      <c r="S5721" s="4"/>
      <c r="T5721" s="4"/>
      <c r="U5721" s="4"/>
      <c r="V5721" s="4"/>
      <c r="W5721" s="4"/>
      <c r="X5721" s="4"/>
    </row>
    <row r="5722" spans="17:24" x14ac:dyDescent="0.3">
      <c r="Q5722" s="4"/>
      <c r="R5722" s="4"/>
      <c r="S5722" s="4"/>
      <c r="T5722" s="4"/>
      <c r="U5722" s="4"/>
      <c r="V5722" s="4"/>
      <c r="W5722" s="4"/>
      <c r="X5722" s="4"/>
    </row>
    <row r="5723" spans="17:24" x14ac:dyDescent="0.3">
      <c r="Q5723" s="4"/>
      <c r="R5723" s="4"/>
      <c r="S5723" s="4"/>
      <c r="T5723" s="4"/>
      <c r="U5723" s="4"/>
      <c r="V5723" s="4"/>
      <c r="W5723" s="4"/>
      <c r="X5723" s="4"/>
    </row>
    <row r="5724" spans="17:24" x14ac:dyDescent="0.3">
      <c r="Q5724" s="4"/>
      <c r="R5724" s="4"/>
      <c r="S5724" s="4"/>
      <c r="T5724" s="4"/>
      <c r="U5724" s="4"/>
      <c r="V5724" s="4"/>
      <c r="W5724" s="4"/>
      <c r="X5724" s="4"/>
    </row>
    <row r="5725" spans="17:24" x14ac:dyDescent="0.3">
      <c r="Q5725" s="4"/>
      <c r="R5725" s="4"/>
      <c r="S5725" s="4"/>
      <c r="T5725" s="4"/>
      <c r="U5725" s="4"/>
      <c r="V5725" s="4"/>
      <c r="W5725" s="4"/>
      <c r="X5725" s="4"/>
    </row>
    <row r="5726" spans="17:24" x14ac:dyDescent="0.3">
      <c r="Q5726" s="4"/>
      <c r="R5726" s="4"/>
      <c r="S5726" s="4"/>
      <c r="T5726" s="4"/>
      <c r="U5726" s="4"/>
      <c r="V5726" s="4"/>
      <c r="W5726" s="4"/>
      <c r="X5726" s="4"/>
    </row>
    <row r="5727" spans="17:24" x14ac:dyDescent="0.3">
      <c r="Q5727" s="4"/>
      <c r="R5727" s="4"/>
      <c r="S5727" s="4"/>
      <c r="T5727" s="4"/>
      <c r="U5727" s="4"/>
      <c r="V5727" s="4"/>
      <c r="W5727" s="4"/>
      <c r="X5727" s="4"/>
    </row>
    <row r="5728" spans="17:24" x14ac:dyDescent="0.3">
      <c r="Q5728" s="4"/>
      <c r="R5728" s="4"/>
      <c r="S5728" s="4"/>
      <c r="T5728" s="4"/>
      <c r="U5728" s="4"/>
      <c r="V5728" s="4"/>
      <c r="W5728" s="4"/>
      <c r="X5728" s="4"/>
    </row>
    <row r="5729" spans="17:24" x14ac:dyDescent="0.3">
      <c r="Q5729" s="4"/>
      <c r="R5729" s="4"/>
      <c r="S5729" s="4"/>
      <c r="T5729" s="4"/>
      <c r="U5729" s="4"/>
      <c r="V5729" s="4"/>
      <c r="W5729" s="4"/>
      <c r="X5729" s="4"/>
    </row>
    <row r="5730" spans="17:24" x14ac:dyDescent="0.3">
      <c r="Q5730" s="4"/>
      <c r="R5730" s="4"/>
      <c r="S5730" s="4"/>
      <c r="T5730" s="4"/>
      <c r="U5730" s="4"/>
      <c r="V5730" s="4"/>
      <c r="W5730" s="4"/>
      <c r="X5730" s="4"/>
    </row>
    <row r="5731" spans="17:24" x14ac:dyDescent="0.3">
      <c r="Q5731" s="4"/>
      <c r="R5731" s="4"/>
      <c r="S5731" s="4"/>
      <c r="T5731" s="4"/>
      <c r="U5731" s="4"/>
      <c r="V5731" s="4"/>
      <c r="W5731" s="4"/>
      <c r="X5731" s="4"/>
    </row>
    <row r="5732" spans="17:24" x14ac:dyDescent="0.3">
      <c r="Q5732" s="4"/>
      <c r="R5732" s="4"/>
      <c r="S5732" s="4"/>
      <c r="T5732" s="4"/>
      <c r="U5732" s="4"/>
      <c r="V5732" s="4"/>
      <c r="W5732" s="4"/>
      <c r="X5732" s="4"/>
    </row>
    <row r="5733" spans="17:24" x14ac:dyDescent="0.3">
      <c r="Q5733" s="4"/>
      <c r="R5733" s="4"/>
      <c r="S5733" s="4"/>
      <c r="T5733" s="4"/>
      <c r="U5733" s="4"/>
      <c r="V5733" s="4"/>
      <c r="W5733" s="4"/>
      <c r="X5733" s="4"/>
    </row>
    <row r="5734" spans="17:24" x14ac:dyDescent="0.3">
      <c r="Q5734" s="4"/>
      <c r="R5734" s="4"/>
      <c r="S5734" s="4"/>
      <c r="T5734" s="4"/>
      <c r="U5734" s="4"/>
      <c r="V5734" s="4"/>
      <c r="W5734" s="4"/>
      <c r="X5734" s="4"/>
    </row>
    <row r="5735" spans="17:24" x14ac:dyDescent="0.3">
      <c r="Q5735" s="4"/>
      <c r="R5735" s="4"/>
      <c r="S5735" s="4"/>
      <c r="T5735" s="4"/>
      <c r="U5735" s="4"/>
      <c r="V5735" s="4"/>
      <c r="W5735" s="4"/>
      <c r="X5735" s="4"/>
    </row>
    <row r="5736" spans="17:24" x14ac:dyDescent="0.3">
      <c r="Q5736" s="4"/>
      <c r="R5736" s="4"/>
      <c r="S5736" s="4"/>
      <c r="T5736" s="4"/>
      <c r="U5736" s="4"/>
      <c r="V5736" s="4"/>
      <c r="W5736" s="4"/>
      <c r="X5736" s="4"/>
    </row>
    <row r="5737" spans="17:24" x14ac:dyDescent="0.3">
      <c r="Q5737" s="4"/>
      <c r="R5737" s="4"/>
      <c r="S5737" s="4"/>
      <c r="T5737" s="4"/>
      <c r="U5737" s="4"/>
      <c r="V5737" s="4"/>
      <c r="W5737" s="4"/>
      <c r="X5737" s="4"/>
    </row>
    <row r="5738" spans="17:24" x14ac:dyDescent="0.3">
      <c r="Q5738" s="4"/>
      <c r="R5738" s="4"/>
      <c r="S5738" s="4"/>
      <c r="T5738" s="4"/>
      <c r="U5738" s="4"/>
      <c r="V5738" s="4"/>
      <c r="W5738" s="4"/>
      <c r="X5738" s="4"/>
    </row>
    <row r="5739" spans="17:24" x14ac:dyDescent="0.3">
      <c r="Q5739" s="4"/>
      <c r="R5739" s="4"/>
      <c r="S5739" s="4"/>
      <c r="T5739" s="4"/>
      <c r="U5739" s="4"/>
      <c r="V5739" s="4"/>
      <c r="W5739" s="4"/>
      <c r="X5739" s="4"/>
    </row>
    <row r="5740" spans="17:24" x14ac:dyDescent="0.3">
      <c r="Q5740" s="4"/>
      <c r="R5740" s="4"/>
      <c r="S5740" s="4"/>
      <c r="T5740" s="4"/>
      <c r="U5740" s="4"/>
      <c r="V5740" s="4"/>
      <c r="W5740" s="4"/>
      <c r="X5740" s="4"/>
    </row>
    <row r="5741" spans="17:24" x14ac:dyDescent="0.3">
      <c r="Q5741" s="4"/>
      <c r="R5741" s="4"/>
      <c r="S5741" s="4"/>
      <c r="T5741" s="4"/>
      <c r="U5741" s="4"/>
      <c r="V5741" s="4"/>
      <c r="W5741" s="4"/>
      <c r="X5741" s="4"/>
    </row>
    <row r="5742" spans="17:24" x14ac:dyDescent="0.3">
      <c r="Q5742" s="4"/>
      <c r="R5742" s="4"/>
      <c r="S5742" s="4"/>
      <c r="T5742" s="4"/>
      <c r="U5742" s="4"/>
      <c r="V5742" s="4"/>
      <c r="W5742" s="4"/>
      <c r="X5742" s="4"/>
    </row>
    <row r="5743" spans="17:24" x14ac:dyDescent="0.3">
      <c r="Q5743" s="4"/>
      <c r="R5743" s="4"/>
      <c r="S5743" s="4"/>
      <c r="T5743" s="4"/>
      <c r="U5743" s="4"/>
      <c r="V5743" s="4"/>
      <c r="W5743" s="4"/>
      <c r="X5743" s="4"/>
    </row>
    <row r="5744" spans="17:24" x14ac:dyDescent="0.3">
      <c r="Q5744" s="4"/>
      <c r="R5744" s="4"/>
      <c r="S5744" s="4"/>
      <c r="T5744" s="4"/>
      <c r="U5744" s="4"/>
      <c r="V5744" s="4"/>
      <c r="W5744" s="4"/>
      <c r="X5744" s="4"/>
    </row>
    <row r="5745" spans="17:24" x14ac:dyDescent="0.3">
      <c r="Q5745" s="4"/>
      <c r="R5745" s="4"/>
      <c r="S5745" s="4"/>
      <c r="T5745" s="4"/>
      <c r="U5745" s="4"/>
      <c r="V5745" s="4"/>
      <c r="W5745" s="4"/>
      <c r="X5745" s="4"/>
    </row>
    <row r="5746" spans="17:24" x14ac:dyDescent="0.3">
      <c r="Q5746" s="4"/>
      <c r="R5746" s="4"/>
      <c r="S5746" s="4"/>
      <c r="T5746" s="4"/>
      <c r="U5746" s="4"/>
      <c r="V5746" s="4"/>
      <c r="W5746" s="4"/>
      <c r="X5746" s="4"/>
    </row>
    <row r="5747" spans="17:24" x14ac:dyDescent="0.3">
      <c r="Q5747" s="4"/>
      <c r="R5747" s="4"/>
      <c r="S5747" s="4"/>
      <c r="T5747" s="4"/>
      <c r="U5747" s="4"/>
      <c r="V5747" s="4"/>
      <c r="W5747" s="4"/>
      <c r="X5747" s="4"/>
    </row>
    <row r="5748" spans="17:24" x14ac:dyDescent="0.3">
      <c r="Q5748" s="4"/>
      <c r="R5748" s="4"/>
      <c r="S5748" s="4"/>
      <c r="T5748" s="4"/>
      <c r="U5748" s="4"/>
      <c r="V5748" s="4"/>
      <c r="W5748" s="4"/>
      <c r="X5748" s="4"/>
    </row>
    <row r="5749" spans="17:24" x14ac:dyDescent="0.3">
      <c r="Q5749" s="4"/>
      <c r="R5749" s="4"/>
      <c r="S5749" s="4"/>
      <c r="T5749" s="4"/>
      <c r="U5749" s="4"/>
      <c r="V5749" s="4"/>
      <c r="W5749" s="4"/>
      <c r="X5749" s="4"/>
    </row>
    <row r="5750" spans="17:24" x14ac:dyDescent="0.3">
      <c r="Q5750" s="4"/>
      <c r="R5750" s="4"/>
      <c r="S5750" s="4"/>
      <c r="T5750" s="4"/>
      <c r="U5750" s="4"/>
      <c r="V5750" s="4"/>
      <c r="W5750" s="4"/>
      <c r="X5750" s="4"/>
    </row>
    <row r="5751" spans="17:24" x14ac:dyDescent="0.3">
      <c r="Q5751" s="4"/>
      <c r="R5751" s="4"/>
      <c r="S5751" s="4"/>
      <c r="T5751" s="4"/>
      <c r="U5751" s="4"/>
      <c r="V5751" s="4"/>
      <c r="W5751" s="4"/>
      <c r="X5751" s="4"/>
    </row>
    <row r="5752" spans="17:24" x14ac:dyDescent="0.3">
      <c r="Q5752" s="4"/>
      <c r="R5752" s="4"/>
      <c r="S5752" s="4"/>
      <c r="T5752" s="4"/>
      <c r="U5752" s="4"/>
      <c r="V5752" s="4"/>
      <c r="W5752" s="4"/>
      <c r="X5752" s="4"/>
    </row>
    <row r="5753" spans="17:24" x14ac:dyDescent="0.3">
      <c r="Q5753" s="4"/>
      <c r="R5753" s="4"/>
      <c r="S5753" s="4"/>
      <c r="T5753" s="4"/>
      <c r="U5753" s="4"/>
      <c r="V5753" s="4"/>
      <c r="W5753" s="4"/>
      <c r="X5753" s="4"/>
    </row>
    <row r="5754" spans="17:24" x14ac:dyDescent="0.3">
      <c r="Q5754" s="4"/>
      <c r="R5754" s="4"/>
      <c r="S5754" s="4"/>
      <c r="T5754" s="4"/>
      <c r="U5754" s="4"/>
      <c r="V5754" s="4"/>
      <c r="W5754" s="4"/>
      <c r="X5754" s="4"/>
    </row>
    <row r="5755" spans="17:24" x14ac:dyDescent="0.3">
      <c r="Q5755" s="4"/>
      <c r="R5755" s="4"/>
      <c r="S5755" s="4"/>
      <c r="T5755" s="4"/>
      <c r="U5755" s="4"/>
      <c r="V5755" s="4"/>
      <c r="W5755" s="4"/>
      <c r="X5755" s="4"/>
    </row>
    <row r="5756" spans="17:24" x14ac:dyDescent="0.3">
      <c r="Q5756" s="4"/>
      <c r="R5756" s="4"/>
      <c r="S5756" s="4"/>
      <c r="T5756" s="4"/>
      <c r="U5756" s="4"/>
      <c r="V5756" s="4"/>
      <c r="W5756" s="4"/>
      <c r="X5756" s="4"/>
    </row>
    <row r="5757" spans="17:24" x14ac:dyDescent="0.3">
      <c r="Q5757" s="4"/>
      <c r="R5757" s="4"/>
      <c r="S5757" s="4"/>
      <c r="T5757" s="4"/>
      <c r="U5757" s="4"/>
      <c r="V5757" s="4"/>
      <c r="W5757" s="4"/>
      <c r="X5757" s="4"/>
    </row>
    <row r="5758" spans="17:24" x14ac:dyDescent="0.3">
      <c r="Q5758" s="4"/>
      <c r="R5758" s="4"/>
      <c r="S5758" s="4"/>
      <c r="T5758" s="4"/>
      <c r="U5758" s="4"/>
      <c r="V5758" s="4"/>
      <c r="W5758" s="4"/>
      <c r="X5758" s="4"/>
    </row>
    <row r="5759" spans="17:24" x14ac:dyDescent="0.3">
      <c r="Q5759" s="4"/>
      <c r="R5759" s="4"/>
      <c r="S5759" s="4"/>
      <c r="T5759" s="4"/>
      <c r="U5759" s="4"/>
      <c r="V5759" s="4"/>
      <c r="W5759" s="4"/>
      <c r="X5759" s="4"/>
    </row>
    <row r="5760" spans="17:24" x14ac:dyDescent="0.3">
      <c r="Q5760" s="4"/>
      <c r="R5760" s="4"/>
      <c r="S5760" s="4"/>
      <c r="T5760" s="4"/>
      <c r="U5760" s="4"/>
      <c r="V5760" s="4"/>
      <c r="W5760" s="4"/>
      <c r="X5760" s="4"/>
    </row>
    <row r="5761" spans="17:24" x14ac:dyDescent="0.3">
      <c r="Q5761" s="4"/>
      <c r="R5761" s="4"/>
      <c r="S5761" s="4"/>
      <c r="T5761" s="4"/>
      <c r="U5761" s="4"/>
      <c r="V5761" s="4"/>
      <c r="W5761" s="4"/>
      <c r="X5761" s="4"/>
    </row>
    <row r="5762" spans="17:24" x14ac:dyDescent="0.3">
      <c r="Q5762" s="4"/>
      <c r="R5762" s="4"/>
      <c r="S5762" s="4"/>
      <c r="T5762" s="4"/>
      <c r="U5762" s="4"/>
      <c r="V5762" s="4"/>
      <c r="W5762" s="4"/>
      <c r="X5762" s="4"/>
    </row>
    <row r="5763" spans="17:24" x14ac:dyDescent="0.3">
      <c r="Q5763" s="4"/>
      <c r="R5763" s="4"/>
      <c r="S5763" s="4"/>
      <c r="T5763" s="4"/>
      <c r="U5763" s="4"/>
      <c r="V5763" s="4"/>
      <c r="W5763" s="4"/>
      <c r="X5763" s="4"/>
    </row>
    <row r="5764" spans="17:24" x14ac:dyDescent="0.3">
      <c r="Q5764" s="4"/>
      <c r="R5764" s="4"/>
      <c r="S5764" s="4"/>
      <c r="T5764" s="4"/>
      <c r="U5764" s="4"/>
      <c r="V5764" s="4"/>
      <c r="W5764" s="4"/>
      <c r="X5764" s="4"/>
    </row>
    <row r="5765" spans="17:24" x14ac:dyDescent="0.3">
      <c r="Q5765" s="4"/>
      <c r="R5765" s="4"/>
      <c r="S5765" s="4"/>
      <c r="T5765" s="4"/>
      <c r="U5765" s="4"/>
      <c r="V5765" s="4"/>
      <c r="W5765" s="4"/>
      <c r="X5765" s="4"/>
    </row>
    <row r="5766" spans="17:24" x14ac:dyDescent="0.3">
      <c r="Q5766" s="4"/>
      <c r="R5766" s="4"/>
      <c r="S5766" s="4"/>
      <c r="T5766" s="4"/>
      <c r="U5766" s="4"/>
      <c r="V5766" s="4"/>
      <c r="W5766" s="4"/>
      <c r="X5766" s="4"/>
    </row>
    <row r="5767" spans="17:24" x14ac:dyDescent="0.3">
      <c r="Q5767" s="4"/>
      <c r="R5767" s="4"/>
      <c r="S5767" s="4"/>
      <c r="T5767" s="4"/>
      <c r="U5767" s="4"/>
      <c r="V5767" s="4"/>
      <c r="W5767" s="4"/>
      <c r="X5767" s="4"/>
    </row>
    <row r="5768" spans="17:24" x14ac:dyDescent="0.3">
      <c r="Q5768" s="4"/>
      <c r="R5768" s="4"/>
      <c r="S5768" s="4"/>
      <c r="T5768" s="4"/>
      <c r="U5768" s="4"/>
      <c r="V5768" s="4"/>
      <c r="W5768" s="4"/>
      <c r="X5768" s="4"/>
    </row>
    <row r="5769" spans="17:24" x14ac:dyDescent="0.3">
      <c r="Q5769" s="4"/>
      <c r="R5769" s="4"/>
      <c r="S5769" s="4"/>
      <c r="T5769" s="4"/>
      <c r="U5769" s="4"/>
      <c r="V5769" s="4"/>
      <c r="W5769" s="4"/>
      <c r="X5769" s="4"/>
    </row>
    <row r="5770" spans="17:24" x14ac:dyDescent="0.3">
      <c r="Q5770" s="4"/>
      <c r="R5770" s="4"/>
      <c r="S5770" s="4"/>
      <c r="T5770" s="4"/>
      <c r="U5770" s="4"/>
      <c r="V5770" s="4"/>
      <c r="W5770" s="4"/>
      <c r="X5770" s="4"/>
    </row>
    <row r="5771" spans="17:24" x14ac:dyDescent="0.3">
      <c r="Q5771" s="4"/>
      <c r="R5771" s="4"/>
      <c r="S5771" s="4"/>
      <c r="T5771" s="4"/>
      <c r="U5771" s="4"/>
      <c r="V5771" s="4"/>
      <c r="W5771" s="4"/>
      <c r="X5771" s="4"/>
    </row>
    <row r="5772" spans="17:24" x14ac:dyDescent="0.3">
      <c r="Q5772" s="4"/>
      <c r="R5772" s="4"/>
      <c r="S5772" s="4"/>
      <c r="T5772" s="4"/>
      <c r="U5772" s="4"/>
      <c r="V5772" s="4"/>
      <c r="W5772" s="4"/>
      <c r="X5772" s="4"/>
    </row>
    <row r="5773" spans="17:24" x14ac:dyDescent="0.3">
      <c r="Q5773" s="4"/>
      <c r="R5773" s="4"/>
      <c r="S5773" s="4"/>
      <c r="T5773" s="4"/>
      <c r="U5773" s="4"/>
      <c r="V5773" s="4"/>
      <c r="W5773" s="4"/>
      <c r="X5773" s="4"/>
    </row>
    <row r="5774" spans="17:24" x14ac:dyDescent="0.3">
      <c r="Q5774" s="4"/>
      <c r="R5774" s="4"/>
      <c r="S5774" s="4"/>
      <c r="T5774" s="4"/>
      <c r="U5774" s="4"/>
      <c r="V5774" s="4"/>
      <c r="W5774" s="4"/>
      <c r="X5774" s="4"/>
    </row>
    <row r="5775" spans="17:24" x14ac:dyDescent="0.3">
      <c r="Q5775" s="4"/>
      <c r="R5775" s="4"/>
      <c r="S5775" s="4"/>
      <c r="T5775" s="4"/>
      <c r="U5775" s="4"/>
      <c r="V5775" s="4"/>
      <c r="W5775" s="4"/>
      <c r="X5775" s="4"/>
    </row>
    <row r="5776" spans="17:24" x14ac:dyDescent="0.3">
      <c r="Q5776" s="4"/>
      <c r="R5776" s="4"/>
      <c r="S5776" s="4"/>
      <c r="T5776" s="4"/>
      <c r="U5776" s="4"/>
      <c r="V5776" s="4"/>
      <c r="W5776" s="4"/>
      <c r="X5776" s="4"/>
    </row>
    <row r="5777" spans="17:24" x14ac:dyDescent="0.3">
      <c r="Q5777" s="4"/>
      <c r="R5777" s="4"/>
      <c r="S5777" s="4"/>
      <c r="T5777" s="4"/>
      <c r="U5777" s="4"/>
      <c r="V5777" s="4"/>
      <c r="W5777" s="4"/>
      <c r="X5777" s="4"/>
    </row>
    <row r="5778" spans="17:24" x14ac:dyDescent="0.3">
      <c r="Q5778" s="4"/>
      <c r="R5778" s="4"/>
      <c r="S5778" s="4"/>
      <c r="T5778" s="4"/>
      <c r="U5778" s="4"/>
      <c r="V5778" s="4"/>
      <c r="W5778" s="4"/>
      <c r="X5778" s="4"/>
    </row>
    <row r="5779" spans="17:24" x14ac:dyDescent="0.3">
      <c r="Q5779" s="4"/>
      <c r="R5779" s="4"/>
      <c r="S5779" s="4"/>
      <c r="T5779" s="4"/>
      <c r="U5779" s="4"/>
      <c r="V5779" s="4"/>
      <c r="W5779" s="4"/>
      <c r="X5779" s="4"/>
    </row>
    <row r="5780" spans="17:24" x14ac:dyDescent="0.3">
      <c r="Q5780" s="4"/>
      <c r="R5780" s="4"/>
      <c r="S5780" s="4"/>
      <c r="T5780" s="4"/>
      <c r="U5780" s="4"/>
      <c r="V5780" s="4"/>
      <c r="W5780" s="4"/>
      <c r="X5780" s="4"/>
    </row>
    <row r="5781" spans="17:24" x14ac:dyDescent="0.3">
      <c r="Q5781" s="4"/>
      <c r="R5781" s="4"/>
      <c r="S5781" s="4"/>
      <c r="T5781" s="4"/>
      <c r="U5781" s="4"/>
      <c r="V5781" s="4"/>
      <c r="W5781" s="4"/>
      <c r="X5781" s="4"/>
    </row>
    <row r="5782" spans="17:24" x14ac:dyDescent="0.3">
      <c r="Q5782" s="4"/>
      <c r="R5782" s="4"/>
      <c r="S5782" s="4"/>
      <c r="T5782" s="4"/>
      <c r="U5782" s="4"/>
      <c r="V5782" s="4"/>
      <c r="W5782" s="4"/>
      <c r="X5782" s="4"/>
    </row>
    <row r="5783" spans="17:24" x14ac:dyDescent="0.3">
      <c r="Q5783" s="4"/>
      <c r="R5783" s="4"/>
      <c r="S5783" s="4"/>
      <c r="T5783" s="4"/>
      <c r="U5783" s="4"/>
      <c r="V5783" s="4"/>
      <c r="W5783" s="4"/>
      <c r="X5783" s="4"/>
    </row>
    <row r="5784" spans="17:24" x14ac:dyDescent="0.3">
      <c r="Q5784" s="4"/>
      <c r="R5784" s="4"/>
      <c r="S5784" s="4"/>
      <c r="T5784" s="4"/>
      <c r="U5784" s="4"/>
      <c r="V5784" s="4"/>
      <c r="W5784" s="4"/>
      <c r="X5784" s="4"/>
    </row>
    <row r="5785" spans="17:24" x14ac:dyDescent="0.3">
      <c r="Q5785" s="4"/>
      <c r="R5785" s="4"/>
      <c r="S5785" s="4"/>
      <c r="T5785" s="4"/>
      <c r="U5785" s="4"/>
      <c r="V5785" s="4"/>
      <c r="W5785" s="4"/>
      <c r="X5785" s="4"/>
    </row>
    <row r="5786" spans="17:24" x14ac:dyDescent="0.3">
      <c r="Q5786" s="4"/>
      <c r="R5786" s="4"/>
      <c r="S5786" s="4"/>
      <c r="T5786" s="4"/>
      <c r="U5786" s="4"/>
      <c r="V5786" s="4"/>
      <c r="W5786" s="4"/>
      <c r="X5786" s="4"/>
    </row>
    <row r="5787" spans="17:24" x14ac:dyDescent="0.3">
      <c r="Q5787" s="4"/>
      <c r="R5787" s="4"/>
      <c r="S5787" s="4"/>
      <c r="T5787" s="4"/>
      <c r="U5787" s="4"/>
      <c r="V5787" s="4"/>
      <c r="W5787" s="4"/>
      <c r="X5787" s="4"/>
    </row>
    <row r="5788" spans="17:24" x14ac:dyDescent="0.3">
      <c r="Q5788" s="4"/>
      <c r="R5788" s="4"/>
      <c r="S5788" s="4"/>
      <c r="T5788" s="4"/>
      <c r="U5788" s="4"/>
      <c r="V5788" s="4"/>
      <c r="W5788" s="4"/>
      <c r="X5788" s="4"/>
    </row>
    <row r="5789" spans="17:24" x14ac:dyDescent="0.3">
      <c r="Q5789" s="4"/>
      <c r="R5789" s="4"/>
      <c r="S5789" s="4"/>
      <c r="T5789" s="4"/>
      <c r="U5789" s="4"/>
      <c r="V5789" s="4"/>
      <c r="W5789" s="4"/>
      <c r="X5789" s="4"/>
    </row>
    <row r="5790" spans="17:24" x14ac:dyDescent="0.3">
      <c r="Q5790" s="4"/>
      <c r="R5790" s="4"/>
      <c r="S5790" s="4"/>
      <c r="T5790" s="4"/>
      <c r="U5790" s="4"/>
      <c r="V5790" s="4"/>
      <c r="W5790" s="4"/>
      <c r="X5790" s="4"/>
    </row>
    <row r="5791" spans="17:24" x14ac:dyDescent="0.3">
      <c r="Q5791" s="4"/>
      <c r="R5791" s="4"/>
      <c r="S5791" s="4"/>
      <c r="T5791" s="4"/>
      <c r="U5791" s="4"/>
      <c r="V5791" s="4"/>
      <c r="W5791" s="4"/>
      <c r="X5791" s="4"/>
    </row>
    <row r="5792" spans="17:24" x14ac:dyDescent="0.3">
      <c r="Q5792" s="4"/>
      <c r="R5792" s="4"/>
      <c r="S5792" s="4"/>
      <c r="T5792" s="4"/>
      <c r="U5792" s="4"/>
      <c r="V5792" s="4"/>
      <c r="W5792" s="4"/>
      <c r="X5792" s="4"/>
    </row>
    <row r="5793" spans="17:24" x14ac:dyDescent="0.3">
      <c r="Q5793" s="4"/>
      <c r="R5793" s="4"/>
      <c r="S5793" s="4"/>
      <c r="T5793" s="4"/>
      <c r="U5793" s="4"/>
      <c r="V5793" s="4"/>
      <c r="W5793" s="4"/>
      <c r="X5793" s="4"/>
    </row>
    <row r="5794" spans="17:24" x14ac:dyDescent="0.3">
      <c r="Q5794" s="4"/>
      <c r="R5794" s="4"/>
      <c r="S5794" s="4"/>
      <c r="T5794" s="4"/>
      <c r="U5794" s="4"/>
      <c r="V5794" s="4"/>
      <c r="W5794" s="4"/>
      <c r="X5794" s="4"/>
    </row>
    <row r="5795" spans="17:24" x14ac:dyDescent="0.3">
      <c r="Q5795" s="4"/>
      <c r="R5795" s="4"/>
      <c r="S5795" s="4"/>
      <c r="T5795" s="4"/>
      <c r="U5795" s="4"/>
      <c r="V5795" s="4"/>
      <c r="W5795" s="4"/>
      <c r="X5795" s="4"/>
    </row>
    <row r="5796" spans="17:24" x14ac:dyDescent="0.3">
      <c r="Q5796" s="4"/>
      <c r="R5796" s="4"/>
      <c r="S5796" s="4"/>
      <c r="T5796" s="4"/>
      <c r="U5796" s="4"/>
      <c r="V5796" s="4"/>
      <c r="W5796" s="4"/>
      <c r="X5796" s="4"/>
    </row>
    <row r="5797" spans="17:24" x14ac:dyDescent="0.3">
      <c r="Q5797" s="4"/>
      <c r="R5797" s="4"/>
      <c r="S5797" s="4"/>
      <c r="T5797" s="4"/>
      <c r="U5797" s="4"/>
      <c r="V5797" s="4"/>
      <c r="W5797" s="4"/>
      <c r="X5797" s="4"/>
    </row>
    <row r="5798" spans="17:24" x14ac:dyDescent="0.3">
      <c r="Q5798" s="4"/>
      <c r="R5798" s="4"/>
      <c r="S5798" s="4"/>
      <c r="T5798" s="4"/>
      <c r="U5798" s="4"/>
      <c r="V5798" s="4"/>
      <c r="W5798" s="4"/>
      <c r="X5798" s="4"/>
    </row>
    <row r="5799" spans="17:24" x14ac:dyDescent="0.3">
      <c r="Q5799" s="4"/>
      <c r="R5799" s="4"/>
      <c r="S5799" s="4"/>
      <c r="T5799" s="4"/>
      <c r="U5799" s="4"/>
      <c r="V5799" s="4"/>
      <c r="W5799" s="4"/>
      <c r="X5799" s="4"/>
    </row>
    <row r="5800" spans="17:24" x14ac:dyDescent="0.3">
      <c r="Q5800" s="4"/>
      <c r="R5800" s="4"/>
      <c r="S5800" s="4"/>
      <c r="T5800" s="4"/>
      <c r="U5800" s="4"/>
      <c r="V5800" s="4"/>
      <c r="W5800" s="4"/>
      <c r="X5800" s="4"/>
    </row>
    <row r="5801" spans="17:24" x14ac:dyDescent="0.3">
      <c r="Q5801" s="4"/>
      <c r="R5801" s="4"/>
      <c r="S5801" s="4"/>
      <c r="T5801" s="4"/>
      <c r="U5801" s="4"/>
      <c r="V5801" s="4"/>
      <c r="W5801" s="4"/>
      <c r="X5801" s="4"/>
    </row>
    <row r="5802" spans="17:24" x14ac:dyDescent="0.3">
      <c r="Q5802" s="4"/>
      <c r="R5802" s="4"/>
      <c r="S5802" s="4"/>
      <c r="T5802" s="4"/>
      <c r="U5802" s="4"/>
      <c r="V5802" s="4"/>
      <c r="W5802" s="4"/>
      <c r="X5802" s="4"/>
    </row>
    <row r="5803" spans="17:24" x14ac:dyDescent="0.3">
      <c r="Q5803" s="4"/>
      <c r="R5803" s="4"/>
      <c r="S5803" s="4"/>
      <c r="T5803" s="4"/>
      <c r="U5803" s="4"/>
      <c r="V5803" s="4"/>
      <c r="W5803" s="4"/>
      <c r="X5803" s="4"/>
    </row>
    <row r="5804" spans="17:24" x14ac:dyDescent="0.3">
      <c r="Q5804" s="4"/>
      <c r="R5804" s="4"/>
      <c r="S5804" s="4"/>
      <c r="T5804" s="4"/>
      <c r="U5804" s="4"/>
      <c r="V5804" s="4"/>
      <c r="W5804" s="4"/>
      <c r="X5804" s="4"/>
    </row>
    <row r="5805" spans="17:24" x14ac:dyDescent="0.3">
      <c r="Q5805" s="4"/>
      <c r="R5805" s="4"/>
      <c r="S5805" s="4"/>
      <c r="T5805" s="4"/>
      <c r="U5805" s="4"/>
      <c r="V5805" s="4"/>
      <c r="W5805" s="4"/>
      <c r="X5805" s="4"/>
    </row>
    <row r="5806" spans="17:24" x14ac:dyDescent="0.3">
      <c r="Q5806" s="4"/>
      <c r="R5806" s="4"/>
      <c r="S5806" s="4"/>
      <c r="T5806" s="4"/>
      <c r="U5806" s="4"/>
      <c r="V5806" s="4"/>
      <c r="W5806" s="4"/>
      <c r="X5806" s="4"/>
    </row>
    <row r="5807" spans="17:24" x14ac:dyDescent="0.3">
      <c r="Q5807" s="4"/>
      <c r="R5807" s="4"/>
      <c r="S5807" s="4"/>
      <c r="T5807" s="4"/>
      <c r="U5807" s="4"/>
      <c r="V5807" s="4"/>
      <c r="W5807" s="4"/>
      <c r="X5807" s="4"/>
    </row>
    <row r="5808" spans="17:24" x14ac:dyDescent="0.3">
      <c r="Q5808" s="4"/>
      <c r="R5808" s="4"/>
      <c r="S5808" s="4"/>
      <c r="T5808" s="4"/>
      <c r="U5808" s="4"/>
      <c r="V5808" s="4"/>
      <c r="W5808" s="4"/>
      <c r="X5808" s="4"/>
    </row>
    <row r="5809" spans="17:24" x14ac:dyDescent="0.3">
      <c r="Q5809" s="4"/>
      <c r="R5809" s="4"/>
      <c r="S5809" s="4"/>
      <c r="T5809" s="4"/>
      <c r="U5809" s="4"/>
      <c r="V5809" s="4"/>
      <c r="W5809" s="4"/>
      <c r="X5809" s="4"/>
    </row>
    <row r="5810" spans="17:24" x14ac:dyDescent="0.3">
      <c r="Q5810" s="4"/>
      <c r="R5810" s="4"/>
      <c r="S5810" s="4"/>
      <c r="T5810" s="4"/>
      <c r="U5810" s="4"/>
      <c r="V5810" s="4"/>
      <c r="W5810" s="4"/>
      <c r="X5810" s="4"/>
    </row>
    <row r="5811" spans="17:24" x14ac:dyDescent="0.3">
      <c r="Q5811" s="4"/>
      <c r="R5811" s="4"/>
      <c r="S5811" s="4"/>
      <c r="T5811" s="4"/>
      <c r="U5811" s="4"/>
      <c r="V5811" s="4"/>
      <c r="W5811" s="4"/>
      <c r="X5811" s="4"/>
    </row>
    <row r="5812" spans="17:24" x14ac:dyDescent="0.3">
      <c r="Q5812" s="4"/>
      <c r="R5812" s="4"/>
      <c r="S5812" s="4"/>
      <c r="T5812" s="4"/>
      <c r="U5812" s="4"/>
      <c r="V5812" s="4"/>
      <c r="W5812" s="4"/>
      <c r="X5812" s="4"/>
    </row>
    <row r="5813" spans="17:24" x14ac:dyDescent="0.3">
      <c r="Q5813" s="4"/>
      <c r="R5813" s="4"/>
      <c r="S5813" s="4"/>
      <c r="T5813" s="4"/>
      <c r="U5813" s="4"/>
      <c r="V5813" s="4"/>
      <c r="W5813" s="4"/>
      <c r="X5813" s="4"/>
    </row>
    <row r="5814" spans="17:24" x14ac:dyDescent="0.3">
      <c r="Q5814" s="4"/>
      <c r="R5814" s="4"/>
      <c r="S5814" s="4"/>
      <c r="T5814" s="4"/>
      <c r="U5814" s="4"/>
      <c r="V5814" s="4"/>
      <c r="W5814" s="4"/>
      <c r="X5814" s="4"/>
    </row>
    <row r="5815" spans="17:24" x14ac:dyDescent="0.3">
      <c r="Q5815" s="4"/>
      <c r="R5815" s="4"/>
      <c r="S5815" s="4"/>
      <c r="T5815" s="4"/>
      <c r="U5815" s="4"/>
      <c r="V5815" s="4"/>
      <c r="W5815" s="4"/>
      <c r="X5815" s="4"/>
    </row>
    <row r="5816" spans="17:24" x14ac:dyDescent="0.3">
      <c r="Q5816" s="4"/>
      <c r="R5816" s="4"/>
      <c r="S5816" s="4"/>
      <c r="T5816" s="4"/>
      <c r="U5816" s="4"/>
      <c r="V5816" s="4"/>
      <c r="W5816" s="4"/>
      <c r="X5816" s="4"/>
    </row>
    <row r="5817" spans="17:24" x14ac:dyDescent="0.3">
      <c r="Q5817" s="4"/>
      <c r="R5817" s="4"/>
      <c r="S5817" s="4"/>
      <c r="T5817" s="4"/>
      <c r="U5817" s="4"/>
      <c r="V5817" s="4"/>
      <c r="W5817" s="4"/>
      <c r="X5817" s="4"/>
    </row>
    <row r="5818" spans="17:24" x14ac:dyDescent="0.3">
      <c r="Q5818" s="4"/>
      <c r="R5818" s="4"/>
      <c r="S5818" s="4"/>
      <c r="T5818" s="4"/>
      <c r="U5818" s="4"/>
      <c r="V5818" s="4"/>
      <c r="W5818" s="4"/>
      <c r="X5818" s="4"/>
    </row>
    <row r="5819" spans="17:24" x14ac:dyDescent="0.3">
      <c r="Q5819" s="4"/>
      <c r="R5819" s="4"/>
      <c r="S5819" s="4"/>
      <c r="T5819" s="4"/>
      <c r="U5819" s="4"/>
      <c r="V5819" s="4"/>
      <c r="W5819" s="4"/>
      <c r="X5819" s="4"/>
    </row>
    <row r="5820" spans="17:24" x14ac:dyDescent="0.3">
      <c r="Q5820" s="4"/>
      <c r="R5820" s="4"/>
      <c r="S5820" s="4"/>
      <c r="T5820" s="4"/>
      <c r="U5820" s="4"/>
      <c r="V5820" s="4"/>
      <c r="W5820" s="4"/>
      <c r="X5820" s="4"/>
    </row>
    <row r="5821" spans="17:24" x14ac:dyDescent="0.3">
      <c r="Q5821" s="4"/>
      <c r="R5821" s="4"/>
      <c r="S5821" s="4"/>
      <c r="T5821" s="4"/>
      <c r="U5821" s="4"/>
      <c r="V5821" s="4"/>
      <c r="W5821" s="4"/>
      <c r="X5821" s="4"/>
    </row>
    <row r="5822" spans="17:24" x14ac:dyDescent="0.3">
      <c r="Q5822" s="4"/>
      <c r="R5822" s="4"/>
      <c r="S5822" s="4"/>
      <c r="T5822" s="4"/>
      <c r="U5822" s="4"/>
      <c r="V5822" s="4"/>
      <c r="W5822" s="4"/>
      <c r="X5822" s="4"/>
    </row>
    <row r="5823" spans="17:24" x14ac:dyDescent="0.3">
      <c r="Q5823" s="4"/>
      <c r="R5823" s="4"/>
      <c r="S5823" s="4"/>
      <c r="T5823" s="4"/>
      <c r="U5823" s="4"/>
      <c r="V5823" s="4"/>
      <c r="W5823" s="4"/>
      <c r="X5823" s="4"/>
    </row>
    <row r="5824" spans="17:24" x14ac:dyDescent="0.3">
      <c r="Q5824" s="4"/>
      <c r="R5824" s="4"/>
      <c r="S5824" s="4"/>
      <c r="T5824" s="4"/>
      <c r="U5824" s="4"/>
      <c r="V5824" s="4"/>
      <c r="W5824" s="4"/>
      <c r="X5824" s="4"/>
    </row>
    <row r="5825" spans="17:24" x14ac:dyDescent="0.3">
      <c r="Q5825" s="4"/>
      <c r="R5825" s="4"/>
      <c r="S5825" s="4"/>
      <c r="T5825" s="4"/>
      <c r="U5825" s="4"/>
      <c r="V5825" s="4"/>
      <c r="W5825" s="4"/>
      <c r="X5825" s="4"/>
    </row>
    <row r="5826" spans="17:24" x14ac:dyDescent="0.3">
      <c r="Q5826" s="4"/>
      <c r="R5826" s="4"/>
      <c r="S5826" s="4"/>
      <c r="T5826" s="4"/>
      <c r="U5826" s="4"/>
      <c r="V5826" s="4"/>
      <c r="W5826" s="4"/>
      <c r="X5826" s="4"/>
    </row>
    <row r="5827" spans="17:24" x14ac:dyDescent="0.3">
      <c r="Q5827" s="4"/>
      <c r="R5827" s="4"/>
      <c r="S5827" s="4"/>
      <c r="T5827" s="4"/>
      <c r="U5827" s="4"/>
      <c r="V5827" s="4"/>
      <c r="W5827" s="4"/>
      <c r="X5827" s="4"/>
    </row>
    <row r="5828" spans="17:24" x14ac:dyDescent="0.3">
      <c r="Q5828" s="4"/>
      <c r="R5828" s="4"/>
      <c r="S5828" s="4"/>
      <c r="T5828" s="4"/>
      <c r="U5828" s="4"/>
      <c r="V5828" s="4"/>
      <c r="W5828" s="4"/>
      <c r="X5828" s="4"/>
    </row>
    <row r="5829" spans="17:24" x14ac:dyDescent="0.3">
      <c r="Q5829" s="4"/>
      <c r="R5829" s="4"/>
      <c r="S5829" s="4"/>
      <c r="T5829" s="4"/>
      <c r="U5829" s="4"/>
      <c r="V5829" s="4"/>
      <c r="W5829" s="4"/>
      <c r="X5829" s="4"/>
    </row>
    <row r="5830" spans="17:24" x14ac:dyDescent="0.3">
      <c r="Q5830" s="4"/>
      <c r="R5830" s="4"/>
      <c r="S5830" s="4"/>
      <c r="T5830" s="4"/>
      <c r="U5830" s="4"/>
      <c r="V5830" s="4"/>
      <c r="W5830" s="4"/>
      <c r="X5830" s="4"/>
    </row>
    <row r="5831" spans="17:24" x14ac:dyDescent="0.3">
      <c r="Q5831" s="4"/>
      <c r="R5831" s="4"/>
      <c r="S5831" s="4"/>
      <c r="T5831" s="4"/>
      <c r="U5831" s="4"/>
      <c r="V5831" s="4"/>
      <c r="W5831" s="4"/>
      <c r="X5831" s="4"/>
    </row>
    <row r="5832" spans="17:24" x14ac:dyDescent="0.3">
      <c r="Q5832" s="4"/>
      <c r="R5832" s="4"/>
      <c r="S5832" s="4"/>
      <c r="T5832" s="4"/>
      <c r="U5832" s="4"/>
      <c r="V5832" s="4"/>
      <c r="W5832" s="4"/>
      <c r="X5832" s="4"/>
    </row>
    <row r="5833" spans="17:24" x14ac:dyDescent="0.3">
      <c r="Q5833" s="4"/>
      <c r="R5833" s="4"/>
      <c r="S5833" s="4"/>
      <c r="T5833" s="4"/>
      <c r="U5833" s="4"/>
      <c r="V5833" s="4"/>
      <c r="W5833" s="4"/>
      <c r="X5833" s="4"/>
    </row>
    <row r="5834" spans="17:24" x14ac:dyDescent="0.3">
      <c r="Q5834" s="4"/>
      <c r="R5834" s="4"/>
      <c r="S5834" s="4"/>
      <c r="T5834" s="4"/>
      <c r="U5834" s="4"/>
      <c r="V5834" s="4"/>
      <c r="W5834" s="4"/>
      <c r="X5834" s="4"/>
    </row>
    <row r="5835" spans="17:24" x14ac:dyDescent="0.3">
      <c r="Q5835" s="4"/>
      <c r="R5835" s="4"/>
      <c r="S5835" s="4"/>
      <c r="T5835" s="4"/>
      <c r="U5835" s="4"/>
      <c r="V5835" s="4"/>
      <c r="W5835" s="4"/>
      <c r="X5835" s="4"/>
    </row>
    <row r="5836" spans="17:24" x14ac:dyDescent="0.3">
      <c r="Q5836" s="4"/>
      <c r="R5836" s="4"/>
      <c r="S5836" s="4"/>
      <c r="T5836" s="4"/>
      <c r="U5836" s="4"/>
      <c r="V5836" s="4"/>
      <c r="W5836" s="4"/>
      <c r="X5836" s="4"/>
    </row>
    <row r="5837" spans="17:24" x14ac:dyDescent="0.3">
      <c r="Q5837" s="4"/>
      <c r="R5837" s="4"/>
      <c r="S5837" s="4"/>
      <c r="T5837" s="4"/>
      <c r="U5837" s="4"/>
      <c r="V5837" s="4"/>
      <c r="W5837" s="4"/>
      <c r="X5837" s="4"/>
    </row>
    <row r="5838" spans="17:24" x14ac:dyDescent="0.3">
      <c r="Q5838" s="4"/>
      <c r="R5838" s="4"/>
      <c r="S5838" s="4"/>
      <c r="T5838" s="4"/>
      <c r="U5838" s="4"/>
      <c r="V5838" s="4"/>
      <c r="W5838" s="4"/>
      <c r="X5838" s="4"/>
    </row>
    <row r="5839" spans="17:24" x14ac:dyDescent="0.3">
      <c r="Q5839" s="4"/>
      <c r="R5839" s="4"/>
      <c r="S5839" s="4"/>
      <c r="T5839" s="4"/>
      <c r="U5839" s="4"/>
      <c r="V5839" s="4"/>
      <c r="W5839" s="4"/>
      <c r="X5839" s="4"/>
    </row>
    <row r="5840" spans="17:24" x14ac:dyDescent="0.3">
      <c r="Q5840" s="4"/>
      <c r="R5840" s="4"/>
      <c r="S5840" s="4"/>
      <c r="T5840" s="4"/>
      <c r="U5840" s="4"/>
      <c r="V5840" s="4"/>
      <c r="W5840" s="4"/>
      <c r="X5840" s="4"/>
    </row>
    <row r="5841" spans="17:24" x14ac:dyDescent="0.3">
      <c r="Q5841" s="4"/>
      <c r="R5841" s="4"/>
      <c r="S5841" s="4"/>
      <c r="T5841" s="4"/>
      <c r="U5841" s="4"/>
      <c r="V5841" s="4"/>
      <c r="W5841" s="4"/>
      <c r="X5841" s="4"/>
    </row>
    <row r="5842" spans="17:24" x14ac:dyDescent="0.3">
      <c r="Q5842" s="4"/>
      <c r="R5842" s="4"/>
      <c r="S5842" s="4"/>
      <c r="T5842" s="4"/>
      <c r="U5842" s="4"/>
      <c r="V5842" s="4"/>
      <c r="W5842" s="4"/>
      <c r="X5842" s="4"/>
    </row>
    <row r="5843" spans="17:24" x14ac:dyDescent="0.3">
      <c r="Q5843" s="4"/>
      <c r="R5843" s="4"/>
      <c r="S5843" s="4"/>
      <c r="T5843" s="4"/>
      <c r="U5843" s="4"/>
      <c r="V5843" s="4"/>
      <c r="W5843" s="4"/>
      <c r="X5843" s="4"/>
    </row>
    <row r="5844" spans="17:24" x14ac:dyDescent="0.3">
      <c r="Q5844" s="4"/>
      <c r="R5844" s="4"/>
      <c r="S5844" s="4"/>
      <c r="T5844" s="4"/>
      <c r="U5844" s="4"/>
      <c r="V5844" s="4"/>
      <c r="W5844" s="4"/>
      <c r="X5844" s="4"/>
    </row>
    <row r="5845" spans="17:24" x14ac:dyDescent="0.3">
      <c r="Q5845" s="4"/>
      <c r="R5845" s="4"/>
      <c r="S5845" s="4"/>
      <c r="T5845" s="4"/>
      <c r="U5845" s="4"/>
      <c r="V5845" s="4"/>
      <c r="W5845" s="4"/>
      <c r="X5845" s="4"/>
    </row>
    <row r="5846" spans="17:24" x14ac:dyDescent="0.3">
      <c r="Q5846" s="4"/>
      <c r="R5846" s="4"/>
      <c r="S5846" s="4"/>
      <c r="T5846" s="4"/>
      <c r="U5846" s="4"/>
      <c r="V5846" s="4"/>
      <c r="W5846" s="4"/>
      <c r="X5846" s="4"/>
    </row>
    <row r="5847" spans="17:24" x14ac:dyDescent="0.3">
      <c r="Q5847" s="4"/>
      <c r="R5847" s="4"/>
      <c r="S5847" s="4"/>
      <c r="T5847" s="4"/>
      <c r="U5847" s="4"/>
      <c r="V5847" s="4"/>
      <c r="W5847" s="4"/>
      <c r="X5847" s="4"/>
    </row>
    <row r="5848" spans="17:24" x14ac:dyDescent="0.3">
      <c r="Q5848" s="4"/>
      <c r="R5848" s="4"/>
      <c r="S5848" s="4"/>
      <c r="T5848" s="4"/>
      <c r="U5848" s="4"/>
      <c r="V5848" s="4"/>
      <c r="W5848" s="4"/>
      <c r="X5848" s="4"/>
    </row>
    <row r="5849" spans="17:24" x14ac:dyDescent="0.3">
      <c r="Q5849" s="4"/>
      <c r="R5849" s="4"/>
      <c r="S5849" s="4"/>
      <c r="T5849" s="4"/>
      <c r="U5849" s="4"/>
      <c r="V5849" s="4"/>
      <c r="W5849" s="4"/>
      <c r="X5849" s="4"/>
    </row>
    <row r="5850" spans="17:24" x14ac:dyDescent="0.3">
      <c r="Q5850" s="4"/>
      <c r="R5850" s="4"/>
      <c r="S5850" s="4"/>
      <c r="T5850" s="4"/>
      <c r="U5850" s="4"/>
      <c r="V5850" s="4"/>
      <c r="W5850" s="4"/>
      <c r="X5850" s="4"/>
    </row>
    <row r="5851" spans="17:24" x14ac:dyDescent="0.3">
      <c r="Q5851" s="4"/>
      <c r="R5851" s="4"/>
      <c r="S5851" s="4"/>
      <c r="T5851" s="4"/>
      <c r="U5851" s="4"/>
      <c r="V5851" s="4"/>
      <c r="W5851" s="4"/>
      <c r="X5851" s="4"/>
    </row>
    <row r="5852" spans="17:24" x14ac:dyDescent="0.3">
      <c r="Q5852" s="4"/>
      <c r="R5852" s="4"/>
      <c r="S5852" s="4"/>
      <c r="T5852" s="4"/>
      <c r="U5852" s="4"/>
      <c r="V5852" s="4"/>
      <c r="W5852" s="4"/>
      <c r="X5852" s="4"/>
    </row>
    <row r="5853" spans="17:24" x14ac:dyDescent="0.3">
      <c r="Q5853" s="4"/>
      <c r="R5853" s="4"/>
      <c r="S5853" s="4"/>
      <c r="T5853" s="4"/>
      <c r="U5853" s="4"/>
      <c r="V5853" s="4"/>
      <c r="W5853" s="4"/>
      <c r="X5853" s="4"/>
    </row>
    <row r="5854" spans="17:24" x14ac:dyDescent="0.3">
      <c r="Q5854" s="4"/>
      <c r="R5854" s="4"/>
      <c r="S5854" s="4"/>
      <c r="T5854" s="4"/>
      <c r="U5854" s="4"/>
      <c r="V5854" s="4"/>
      <c r="W5854" s="4"/>
      <c r="X5854" s="4"/>
    </row>
    <row r="5855" spans="17:24" x14ac:dyDescent="0.3">
      <c r="Q5855" s="4"/>
      <c r="R5855" s="4"/>
      <c r="S5855" s="4"/>
      <c r="T5855" s="4"/>
      <c r="U5855" s="4"/>
      <c r="V5855" s="4"/>
      <c r="W5855" s="4"/>
      <c r="X5855" s="4"/>
    </row>
    <row r="5856" spans="17:24" x14ac:dyDescent="0.3">
      <c r="Q5856" s="4"/>
      <c r="R5856" s="4"/>
      <c r="S5856" s="4"/>
      <c r="T5856" s="4"/>
      <c r="U5856" s="4"/>
      <c r="V5856" s="4"/>
      <c r="W5856" s="4"/>
      <c r="X5856" s="4"/>
    </row>
    <row r="5857" spans="17:24" x14ac:dyDescent="0.3">
      <c r="Q5857" s="4"/>
      <c r="R5857" s="4"/>
      <c r="S5857" s="4"/>
      <c r="T5857" s="4"/>
      <c r="U5857" s="4"/>
      <c r="V5857" s="4"/>
      <c r="W5857" s="4"/>
      <c r="X5857" s="4"/>
    </row>
    <row r="5858" spans="17:24" x14ac:dyDescent="0.3">
      <c r="Q5858" s="4"/>
      <c r="R5858" s="4"/>
      <c r="S5858" s="4"/>
      <c r="T5858" s="4"/>
      <c r="U5858" s="4"/>
      <c r="V5858" s="4"/>
      <c r="W5858" s="4"/>
      <c r="X5858" s="4"/>
    </row>
    <row r="5859" spans="17:24" x14ac:dyDescent="0.3">
      <c r="Q5859" s="4"/>
      <c r="R5859" s="4"/>
      <c r="S5859" s="4"/>
      <c r="T5859" s="4"/>
      <c r="U5859" s="4"/>
      <c r="V5859" s="4"/>
      <c r="W5859" s="4"/>
      <c r="X5859" s="4"/>
    </row>
    <row r="5860" spans="17:24" x14ac:dyDescent="0.3">
      <c r="Q5860" s="4"/>
      <c r="R5860" s="4"/>
      <c r="S5860" s="4"/>
      <c r="T5860" s="4"/>
      <c r="U5860" s="4"/>
      <c r="V5860" s="4"/>
      <c r="W5860" s="4"/>
      <c r="X5860" s="4"/>
    </row>
    <row r="5861" spans="17:24" x14ac:dyDescent="0.3">
      <c r="Q5861" s="4"/>
      <c r="R5861" s="4"/>
      <c r="S5861" s="4"/>
      <c r="T5861" s="4"/>
      <c r="U5861" s="4"/>
      <c r="V5861" s="4"/>
      <c r="W5861" s="4"/>
      <c r="X5861" s="4"/>
    </row>
    <row r="5862" spans="17:24" x14ac:dyDescent="0.3">
      <c r="Q5862" s="4"/>
      <c r="R5862" s="4"/>
      <c r="S5862" s="4"/>
      <c r="T5862" s="4"/>
      <c r="U5862" s="4"/>
      <c r="V5862" s="4"/>
      <c r="W5862" s="4"/>
      <c r="X5862" s="4"/>
    </row>
    <row r="5863" spans="17:24" x14ac:dyDescent="0.3">
      <c r="Q5863" s="4"/>
      <c r="R5863" s="4"/>
      <c r="S5863" s="4"/>
      <c r="T5863" s="4"/>
      <c r="U5863" s="4"/>
      <c r="V5863" s="4"/>
      <c r="W5863" s="4"/>
      <c r="X5863" s="4"/>
    </row>
    <row r="5864" spans="17:24" x14ac:dyDescent="0.3">
      <c r="Q5864" s="4"/>
      <c r="R5864" s="4"/>
      <c r="S5864" s="4"/>
      <c r="T5864" s="4"/>
      <c r="U5864" s="4"/>
      <c r="V5864" s="4"/>
      <c r="W5864" s="4"/>
      <c r="X5864" s="4"/>
    </row>
    <row r="5865" spans="17:24" x14ac:dyDescent="0.3">
      <c r="Q5865" s="4"/>
      <c r="R5865" s="4"/>
      <c r="S5865" s="4"/>
      <c r="T5865" s="4"/>
      <c r="U5865" s="4"/>
      <c r="V5865" s="4"/>
      <c r="W5865" s="4"/>
      <c r="X5865" s="4"/>
    </row>
    <row r="5866" spans="17:24" x14ac:dyDescent="0.3">
      <c r="Q5866" s="4"/>
      <c r="R5866" s="4"/>
      <c r="S5866" s="4"/>
      <c r="T5866" s="4"/>
      <c r="U5866" s="4"/>
      <c r="V5866" s="4"/>
      <c r="W5866" s="4"/>
      <c r="X5866" s="4"/>
    </row>
    <row r="5867" spans="17:24" x14ac:dyDescent="0.3">
      <c r="Q5867" s="4"/>
      <c r="R5867" s="4"/>
      <c r="S5867" s="4"/>
      <c r="T5867" s="4"/>
      <c r="U5867" s="4"/>
      <c r="V5867" s="4"/>
      <c r="W5867" s="4"/>
      <c r="X5867" s="4"/>
    </row>
    <row r="5868" spans="17:24" x14ac:dyDescent="0.3">
      <c r="Q5868" s="4"/>
      <c r="R5868" s="4"/>
      <c r="S5868" s="4"/>
      <c r="T5868" s="4"/>
      <c r="U5868" s="4"/>
      <c r="V5868" s="4"/>
      <c r="W5868" s="4"/>
      <c r="X5868" s="4"/>
    </row>
    <row r="5869" spans="17:24" x14ac:dyDescent="0.3">
      <c r="Q5869" s="4"/>
      <c r="R5869" s="4"/>
      <c r="S5869" s="4"/>
      <c r="T5869" s="4"/>
      <c r="U5869" s="4"/>
      <c r="V5869" s="4"/>
      <c r="W5869" s="4"/>
      <c r="X5869" s="4"/>
    </row>
    <row r="5870" spans="17:24" x14ac:dyDescent="0.3">
      <c r="Q5870" s="4"/>
      <c r="R5870" s="4"/>
      <c r="S5870" s="4"/>
      <c r="T5870" s="4"/>
      <c r="U5870" s="4"/>
      <c r="V5870" s="4"/>
      <c r="W5870" s="4"/>
      <c r="X5870" s="4"/>
    </row>
    <row r="5871" spans="17:24" x14ac:dyDescent="0.3">
      <c r="Q5871" s="4"/>
      <c r="R5871" s="4"/>
      <c r="S5871" s="4"/>
      <c r="T5871" s="4"/>
      <c r="U5871" s="4"/>
      <c r="V5871" s="4"/>
      <c r="W5871" s="4"/>
      <c r="X5871" s="4"/>
    </row>
    <row r="5872" spans="17:24" x14ac:dyDescent="0.3">
      <c r="Q5872" s="4"/>
      <c r="R5872" s="4"/>
      <c r="S5872" s="4"/>
      <c r="T5872" s="4"/>
      <c r="U5872" s="4"/>
      <c r="V5872" s="4"/>
      <c r="W5872" s="4"/>
      <c r="X5872" s="4"/>
    </row>
    <row r="5873" spans="17:24" x14ac:dyDescent="0.3">
      <c r="Q5873" s="4"/>
      <c r="R5873" s="4"/>
      <c r="S5873" s="4"/>
      <c r="T5873" s="4"/>
      <c r="U5873" s="4"/>
      <c r="V5873" s="4"/>
      <c r="W5873" s="4"/>
      <c r="X5873" s="4"/>
    </row>
    <row r="5874" spans="17:24" x14ac:dyDescent="0.3">
      <c r="Q5874" s="4"/>
      <c r="R5874" s="4"/>
      <c r="S5874" s="4"/>
      <c r="T5874" s="4"/>
      <c r="U5874" s="4"/>
      <c r="V5874" s="4"/>
      <c r="W5874" s="4"/>
      <c r="X5874" s="4"/>
    </row>
    <row r="5875" spans="17:24" x14ac:dyDescent="0.3">
      <c r="Q5875" s="4"/>
      <c r="R5875" s="4"/>
      <c r="S5875" s="4"/>
      <c r="T5875" s="4"/>
      <c r="U5875" s="4"/>
      <c r="V5875" s="4"/>
      <c r="W5875" s="4"/>
      <c r="X5875" s="4"/>
    </row>
    <row r="5876" spans="17:24" x14ac:dyDescent="0.3">
      <c r="Q5876" s="4"/>
      <c r="R5876" s="4"/>
      <c r="S5876" s="4"/>
      <c r="T5876" s="4"/>
      <c r="U5876" s="4"/>
      <c r="V5876" s="4"/>
      <c r="W5876" s="4"/>
      <c r="X5876" s="4"/>
    </row>
    <row r="5877" spans="17:24" x14ac:dyDescent="0.3">
      <c r="Q5877" s="4"/>
      <c r="R5877" s="4"/>
      <c r="S5877" s="4"/>
      <c r="T5877" s="4"/>
      <c r="U5877" s="4"/>
      <c r="V5877" s="4"/>
      <c r="W5877" s="4"/>
      <c r="X5877" s="4"/>
    </row>
    <row r="5878" spans="17:24" x14ac:dyDescent="0.3">
      <c r="Q5878" s="4"/>
      <c r="R5878" s="4"/>
      <c r="S5878" s="4"/>
      <c r="T5878" s="4"/>
      <c r="U5878" s="4"/>
      <c r="V5878" s="4"/>
      <c r="W5878" s="4"/>
      <c r="X5878" s="4"/>
    </row>
    <row r="5879" spans="17:24" x14ac:dyDescent="0.3">
      <c r="Q5879" s="4"/>
      <c r="R5879" s="4"/>
      <c r="S5879" s="4"/>
      <c r="T5879" s="4"/>
      <c r="U5879" s="4"/>
      <c r="V5879" s="4"/>
      <c r="W5879" s="4"/>
      <c r="X5879" s="4"/>
    </row>
    <row r="5880" spans="17:24" x14ac:dyDescent="0.3">
      <c r="Q5880" s="4"/>
      <c r="R5880" s="4"/>
      <c r="S5880" s="4"/>
      <c r="T5880" s="4"/>
      <c r="U5880" s="4"/>
      <c r="V5880" s="4"/>
      <c r="W5880" s="4"/>
      <c r="X5880" s="4"/>
    </row>
    <row r="5881" spans="17:24" x14ac:dyDescent="0.3">
      <c r="Q5881" s="4"/>
      <c r="R5881" s="4"/>
      <c r="S5881" s="4"/>
      <c r="T5881" s="4"/>
      <c r="U5881" s="4"/>
      <c r="V5881" s="4"/>
      <c r="W5881" s="4"/>
      <c r="X5881" s="4"/>
    </row>
    <row r="5882" spans="17:24" x14ac:dyDescent="0.3">
      <c r="Q5882" s="4"/>
      <c r="R5882" s="4"/>
      <c r="S5882" s="4"/>
      <c r="T5882" s="4"/>
      <c r="U5882" s="4"/>
      <c r="V5882" s="4"/>
      <c r="W5882" s="4"/>
      <c r="X5882" s="4"/>
    </row>
    <row r="5883" spans="17:24" x14ac:dyDescent="0.3">
      <c r="Q5883" s="4"/>
      <c r="R5883" s="4"/>
      <c r="S5883" s="4"/>
      <c r="T5883" s="4"/>
      <c r="U5883" s="4"/>
      <c r="V5883" s="4"/>
      <c r="W5883" s="4"/>
      <c r="X5883" s="4"/>
    </row>
    <row r="5884" spans="17:24" x14ac:dyDescent="0.3">
      <c r="Q5884" s="4"/>
      <c r="R5884" s="4"/>
      <c r="S5884" s="4"/>
      <c r="T5884" s="4"/>
      <c r="U5884" s="4"/>
      <c r="V5884" s="4"/>
      <c r="W5884" s="4"/>
      <c r="X5884" s="4"/>
    </row>
    <row r="5885" spans="17:24" x14ac:dyDescent="0.3">
      <c r="Q5885" s="4"/>
      <c r="R5885" s="4"/>
      <c r="S5885" s="4"/>
      <c r="T5885" s="4"/>
      <c r="U5885" s="4"/>
      <c r="V5885" s="4"/>
      <c r="W5885" s="4"/>
      <c r="X5885" s="4"/>
    </row>
    <row r="5886" spans="17:24" x14ac:dyDescent="0.3">
      <c r="Q5886" s="4"/>
      <c r="R5886" s="4"/>
      <c r="S5886" s="4"/>
      <c r="T5886" s="4"/>
      <c r="U5886" s="4"/>
      <c r="V5886" s="4"/>
      <c r="W5886" s="4"/>
      <c r="X5886" s="4"/>
    </row>
    <row r="5887" spans="17:24" x14ac:dyDescent="0.3">
      <c r="Q5887" s="4"/>
      <c r="R5887" s="4"/>
      <c r="S5887" s="4"/>
      <c r="T5887" s="4"/>
      <c r="U5887" s="4"/>
      <c r="V5887" s="4"/>
      <c r="W5887" s="4"/>
      <c r="X5887" s="4"/>
    </row>
    <row r="5888" spans="17:24" x14ac:dyDescent="0.3">
      <c r="Q5888" s="4"/>
      <c r="R5888" s="4"/>
      <c r="S5888" s="4"/>
      <c r="T5888" s="4"/>
      <c r="U5888" s="4"/>
      <c r="V5888" s="4"/>
      <c r="W5888" s="4"/>
      <c r="X5888" s="4"/>
    </row>
    <row r="5889" spans="17:24" x14ac:dyDescent="0.3">
      <c r="Q5889" s="4"/>
      <c r="R5889" s="4"/>
      <c r="S5889" s="4"/>
      <c r="T5889" s="4"/>
      <c r="U5889" s="4"/>
      <c r="V5889" s="4"/>
      <c r="W5889" s="4"/>
      <c r="X5889" s="4"/>
    </row>
    <row r="5890" spans="17:24" x14ac:dyDescent="0.3">
      <c r="Q5890" s="4"/>
      <c r="R5890" s="4"/>
      <c r="S5890" s="4"/>
      <c r="T5890" s="4"/>
      <c r="U5890" s="4"/>
      <c r="V5890" s="4"/>
      <c r="W5890" s="4"/>
      <c r="X5890" s="4"/>
    </row>
    <row r="5891" spans="17:24" x14ac:dyDescent="0.3">
      <c r="Q5891" s="4"/>
      <c r="R5891" s="4"/>
      <c r="S5891" s="4"/>
      <c r="T5891" s="4"/>
      <c r="U5891" s="4"/>
      <c r="V5891" s="4"/>
      <c r="W5891" s="4"/>
      <c r="X5891" s="4"/>
    </row>
    <row r="5892" spans="17:24" x14ac:dyDescent="0.3">
      <c r="Q5892" s="4"/>
      <c r="R5892" s="4"/>
      <c r="S5892" s="4"/>
      <c r="T5892" s="4"/>
      <c r="U5892" s="4"/>
      <c r="V5892" s="4"/>
      <c r="W5892" s="4"/>
      <c r="X5892" s="4"/>
    </row>
    <row r="5893" spans="17:24" x14ac:dyDescent="0.3">
      <c r="Q5893" s="4"/>
      <c r="R5893" s="4"/>
      <c r="S5893" s="4"/>
      <c r="T5893" s="4"/>
      <c r="U5893" s="4"/>
      <c r="V5893" s="4"/>
      <c r="W5893" s="4"/>
      <c r="X5893" s="4"/>
    </row>
    <row r="5894" spans="17:24" x14ac:dyDescent="0.3">
      <c r="Q5894" s="4"/>
      <c r="R5894" s="4"/>
      <c r="S5894" s="4"/>
      <c r="T5894" s="4"/>
      <c r="U5894" s="4"/>
      <c r="V5894" s="4"/>
      <c r="W5894" s="4"/>
      <c r="X5894" s="4"/>
    </row>
    <row r="5895" spans="17:24" x14ac:dyDescent="0.3">
      <c r="Q5895" s="4"/>
      <c r="R5895" s="4"/>
      <c r="S5895" s="4"/>
      <c r="T5895" s="4"/>
      <c r="U5895" s="4"/>
      <c r="V5895" s="4"/>
      <c r="W5895" s="4"/>
      <c r="X5895" s="4"/>
    </row>
    <row r="5896" spans="17:24" x14ac:dyDescent="0.3">
      <c r="Q5896" s="4"/>
      <c r="R5896" s="4"/>
      <c r="S5896" s="4"/>
      <c r="T5896" s="4"/>
      <c r="U5896" s="4"/>
      <c r="V5896" s="4"/>
      <c r="W5896" s="4"/>
      <c r="X5896" s="4"/>
    </row>
    <row r="5897" spans="17:24" x14ac:dyDescent="0.3">
      <c r="Q5897" s="4"/>
      <c r="R5897" s="4"/>
      <c r="S5897" s="4"/>
      <c r="T5897" s="4"/>
      <c r="U5897" s="4"/>
      <c r="V5897" s="4"/>
      <c r="W5897" s="4"/>
      <c r="X5897" s="4"/>
    </row>
    <row r="5898" spans="17:24" x14ac:dyDescent="0.3">
      <c r="Q5898" s="4"/>
      <c r="R5898" s="4"/>
      <c r="S5898" s="4"/>
      <c r="T5898" s="4"/>
      <c r="U5898" s="4"/>
      <c r="V5898" s="4"/>
      <c r="W5898" s="4"/>
      <c r="X5898" s="4"/>
    </row>
    <row r="5899" spans="17:24" x14ac:dyDescent="0.3">
      <c r="Q5899" s="4"/>
      <c r="R5899" s="4"/>
      <c r="S5899" s="4"/>
      <c r="T5899" s="4"/>
      <c r="U5899" s="4"/>
      <c r="V5899" s="4"/>
      <c r="W5899" s="4"/>
      <c r="X5899" s="4"/>
    </row>
    <row r="5900" spans="17:24" x14ac:dyDescent="0.3">
      <c r="Q5900" s="4"/>
      <c r="R5900" s="4"/>
      <c r="S5900" s="4"/>
      <c r="T5900" s="4"/>
      <c r="U5900" s="4"/>
      <c r="V5900" s="4"/>
      <c r="W5900" s="4"/>
      <c r="X5900" s="4"/>
    </row>
    <row r="5901" spans="17:24" x14ac:dyDescent="0.3">
      <c r="Q5901" s="4"/>
      <c r="R5901" s="4"/>
      <c r="S5901" s="4"/>
      <c r="T5901" s="4"/>
      <c r="U5901" s="4"/>
      <c r="V5901" s="4"/>
      <c r="W5901" s="4"/>
      <c r="X5901" s="4"/>
    </row>
    <row r="5902" spans="17:24" x14ac:dyDescent="0.3">
      <c r="Q5902" s="4"/>
      <c r="R5902" s="4"/>
      <c r="S5902" s="4"/>
      <c r="T5902" s="4"/>
      <c r="U5902" s="4"/>
      <c r="V5902" s="4"/>
      <c r="W5902" s="4"/>
      <c r="X5902" s="4"/>
    </row>
    <row r="5903" spans="17:24" x14ac:dyDescent="0.3">
      <c r="Q5903" s="4"/>
      <c r="R5903" s="4"/>
      <c r="S5903" s="4"/>
      <c r="T5903" s="4"/>
      <c r="U5903" s="4"/>
      <c r="V5903" s="4"/>
      <c r="W5903" s="4"/>
      <c r="X5903" s="4"/>
    </row>
    <row r="5904" spans="17:24" x14ac:dyDescent="0.3">
      <c r="Q5904" s="4"/>
      <c r="R5904" s="4"/>
      <c r="S5904" s="4"/>
      <c r="T5904" s="4"/>
      <c r="U5904" s="4"/>
      <c r="V5904" s="4"/>
      <c r="W5904" s="4"/>
      <c r="X5904" s="4"/>
    </row>
    <row r="5905" spans="17:24" x14ac:dyDescent="0.3">
      <c r="Q5905" s="4"/>
      <c r="R5905" s="4"/>
      <c r="S5905" s="4"/>
      <c r="T5905" s="4"/>
      <c r="U5905" s="4"/>
      <c r="V5905" s="4"/>
      <c r="W5905" s="4"/>
      <c r="X5905" s="4"/>
    </row>
    <row r="5906" spans="17:24" x14ac:dyDescent="0.3">
      <c r="Q5906" s="4"/>
      <c r="R5906" s="4"/>
      <c r="S5906" s="4"/>
      <c r="T5906" s="4"/>
      <c r="U5906" s="4"/>
      <c r="V5906" s="4"/>
      <c r="W5906" s="4"/>
      <c r="X5906" s="4"/>
    </row>
    <row r="5907" spans="17:24" x14ac:dyDescent="0.3">
      <c r="Q5907" s="4"/>
      <c r="R5907" s="4"/>
      <c r="S5907" s="4"/>
      <c r="T5907" s="4"/>
      <c r="U5907" s="4"/>
      <c r="V5907" s="4"/>
      <c r="W5907" s="4"/>
      <c r="X5907" s="4"/>
    </row>
    <row r="5908" spans="17:24" x14ac:dyDescent="0.3">
      <c r="Q5908" s="4"/>
      <c r="R5908" s="4"/>
      <c r="S5908" s="4"/>
      <c r="T5908" s="4"/>
      <c r="U5908" s="4"/>
      <c r="V5908" s="4"/>
      <c r="W5908" s="4"/>
      <c r="X5908" s="4"/>
    </row>
    <row r="5909" spans="17:24" x14ac:dyDescent="0.3">
      <c r="Q5909" s="4"/>
      <c r="R5909" s="4"/>
      <c r="S5909" s="4"/>
      <c r="T5909" s="4"/>
      <c r="U5909" s="4"/>
      <c r="V5909" s="4"/>
      <c r="W5909" s="4"/>
      <c r="X5909" s="4"/>
    </row>
    <row r="5910" spans="17:24" x14ac:dyDescent="0.3">
      <c r="Q5910" s="4"/>
      <c r="R5910" s="4"/>
      <c r="S5910" s="4"/>
      <c r="T5910" s="4"/>
      <c r="U5910" s="4"/>
      <c r="V5910" s="4"/>
      <c r="W5910" s="4"/>
      <c r="X5910" s="4"/>
    </row>
    <row r="5911" spans="17:24" x14ac:dyDescent="0.3">
      <c r="Q5911" s="4"/>
      <c r="R5911" s="4"/>
      <c r="S5911" s="4"/>
      <c r="T5911" s="4"/>
      <c r="U5911" s="4"/>
      <c r="V5911" s="4"/>
      <c r="W5911" s="4"/>
      <c r="X5911" s="4"/>
    </row>
    <row r="5912" spans="17:24" x14ac:dyDescent="0.3">
      <c r="Q5912" s="4"/>
      <c r="R5912" s="4"/>
      <c r="S5912" s="4"/>
      <c r="T5912" s="4"/>
      <c r="U5912" s="4"/>
      <c r="V5912" s="4"/>
      <c r="W5912" s="4"/>
      <c r="X5912" s="4"/>
    </row>
    <row r="5913" spans="17:24" x14ac:dyDescent="0.3">
      <c r="Q5913" s="4"/>
      <c r="R5913" s="4"/>
      <c r="S5913" s="4"/>
      <c r="T5913" s="4"/>
      <c r="U5913" s="4"/>
      <c r="V5913" s="4"/>
      <c r="W5913" s="4"/>
      <c r="X5913" s="4"/>
    </row>
    <row r="5914" spans="17:24" x14ac:dyDescent="0.3">
      <c r="Q5914" s="4"/>
      <c r="R5914" s="4"/>
      <c r="S5914" s="4"/>
      <c r="T5914" s="4"/>
      <c r="U5914" s="4"/>
      <c r="V5914" s="4"/>
      <c r="W5914" s="4"/>
      <c r="X5914" s="4"/>
    </row>
    <row r="5915" spans="17:24" x14ac:dyDescent="0.3">
      <c r="Q5915" s="4"/>
      <c r="R5915" s="4"/>
      <c r="S5915" s="4"/>
      <c r="T5915" s="4"/>
      <c r="U5915" s="4"/>
      <c r="V5915" s="4"/>
      <c r="W5915" s="4"/>
      <c r="X5915" s="4"/>
    </row>
    <row r="5916" spans="17:24" x14ac:dyDescent="0.3">
      <c r="Q5916" s="4"/>
      <c r="R5916" s="4"/>
      <c r="S5916" s="4"/>
      <c r="T5916" s="4"/>
      <c r="U5916" s="4"/>
      <c r="V5916" s="4"/>
      <c r="W5916" s="4"/>
      <c r="X5916" s="4"/>
    </row>
    <row r="5917" spans="17:24" x14ac:dyDescent="0.3">
      <c r="Q5917" s="4"/>
      <c r="R5917" s="4"/>
      <c r="S5917" s="4"/>
      <c r="T5917" s="4"/>
      <c r="U5917" s="4"/>
      <c r="V5917" s="4"/>
      <c r="W5917" s="4"/>
      <c r="X5917" s="4"/>
    </row>
    <row r="5918" spans="17:24" x14ac:dyDescent="0.3">
      <c r="Q5918" s="4"/>
      <c r="R5918" s="4"/>
      <c r="S5918" s="4"/>
      <c r="T5918" s="4"/>
      <c r="U5918" s="4"/>
      <c r="V5918" s="4"/>
      <c r="W5918" s="4"/>
      <c r="X5918" s="4"/>
    </row>
    <row r="5919" spans="17:24" x14ac:dyDescent="0.3">
      <c r="Q5919" s="4"/>
      <c r="R5919" s="4"/>
      <c r="S5919" s="4"/>
      <c r="T5919" s="4"/>
      <c r="U5919" s="4"/>
      <c r="V5919" s="4"/>
      <c r="W5919" s="4"/>
      <c r="X5919" s="4"/>
    </row>
    <row r="5920" spans="17:24" x14ac:dyDescent="0.3">
      <c r="Q5920" s="4"/>
      <c r="R5920" s="4"/>
      <c r="S5920" s="4"/>
      <c r="T5920" s="4"/>
      <c r="U5920" s="4"/>
      <c r="V5920" s="4"/>
      <c r="W5920" s="4"/>
      <c r="X5920" s="4"/>
    </row>
    <row r="5921" spans="17:24" x14ac:dyDescent="0.3">
      <c r="Q5921" s="4"/>
      <c r="R5921" s="4"/>
      <c r="S5921" s="4"/>
      <c r="T5921" s="4"/>
      <c r="U5921" s="4"/>
      <c r="V5921" s="4"/>
      <c r="W5921" s="4"/>
      <c r="X5921" s="4"/>
    </row>
    <row r="5922" spans="17:24" x14ac:dyDescent="0.3">
      <c r="Q5922" s="4"/>
      <c r="R5922" s="4"/>
      <c r="S5922" s="4"/>
      <c r="T5922" s="4"/>
      <c r="U5922" s="4"/>
      <c r="V5922" s="4"/>
      <c r="W5922" s="4"/>
      <c r="X5922" s="4"/>
    </row>
    <row r="5923" spans="17:24" x14ac:dyDescent="0.3">
      <c r="Q5923" s="4"/>
      <c r="R5923" s="4"/>
      <c r="S5923" s="4"/>
      <c r="T5923" s="4"/>
      <c r="U5923" s="4"/>
      <c r="V5923" s="4"/>
      <c r="W5923" s="4"/>
      <c r="X5923" s="4"/>
    </row>
    <row r="5924" spans="17:24" x14ac:dyDescent="0.3">
      <c r="Q5924" s="4"/>
      <c r="R5924" s="4"/>
      <c r="S5924" s="4"/>
      <c r="T5924" s="4"/>
      <c r="U5924" s="4"/>
      <c r="V5924" s="4"/>
      <c r="W5924" s="4"/>
      <c r="X5924" s="4"/>
    </row>
    <row r="5925" spans="17:24" x14ac:dyDescent="0.3">
      <c r="Q5925" s="4"/>
      <c r="R5925" s="4"/>
      <c r="S5925" s="4"/>
      <c r="T5925" s="4"/>
      <c r="U5925" s="4"/>
      <c r="V5925" s="4"/>
      <c r="W5925" s="4"/>
      <c r="X5925" s="4"/>
    </row>
    <row r="5926" spans="17:24" x14ac:dyDescent="0.3">
      <c r="Q5926" s="4"/>
      <c r="R5926" s="4"/>
      <c r="S5926" s="4"/>
      <c r="T5926" s="4"/>
      <c r="U5926" s="4"/>
      <c r="V5926" s="4"/>
      <c r="W5926" s="4"/>
      <c r="X5926" s="4"/>
    </row>
    <row r="5927" spans="17:24" x14ac:dyDescent="0.3">
      <c r="Q5927" s="4"/>
      <c r="R5927" s="4"/>
      <c r="S5927" s="4"/>
      <c r="T5927" s="4"/>
      <c r="U5927" s="4"/>
      <c r="V5927" s="4"/>
      <c r="W5927" s="4"/>
      <c r="X5927" s="4"/>
    </row>
    <row r="5928" spans="17:24" x14ac:dyDescent="0.3">
      <c r="Q5928" s="4"/>
      <c r="R5928" s="4"/>
      <c r="S5928" s="4"/>
      <c r="T5928" s="4"/>
      <c r="U5928" s="4"/>
      <c r="V5928" s="4"/>
      <c r="W5928" s="4"/>
      <c r="X5928" s="4"/>
    </row>
    <row r="5929" spans="17:24" x14ac:dyDescent="0.3">
      <c r="Q5929" s="4"/>
      <c r="R5929" s="4"/>
      <c r="S5929" s="4"/>
      <c r="T5929" s="4"/>
      <c r="U5929" s="4"/>
      <c r="V5929" s="4"/>
      <c r="W5929" s="4"/>
      <c r="X5929" s="4"/>
    </row>
    <row r="5930" spans="17:24" x14ac:dyDescent="0.3">
      <c r="Q5930" s="4"/>
      <c r="R5930" s="4"/>
      <c r="S5930" s="4"/>
      <c r="T5930" s="4"/>
      <c r="U5930" s="4"/>
      <c r="V5930" s="4"/>
      <c r="W5930" s="4"/>
      <c r="X5930" s="4"/>
    </row>
    <row r="5931" spans="17:24" x14ac:dyDescent="0.3">
      <c r="Q5931" s="4"/>
      <c r="R5931" s="4"/>
      <c r="S5931" s="4"/>
      <c r="T5931" s="4"/>
      <c r="U5931" s="4"/>
      <c r="V5931" s="4"/>
      <c r="W5931" s="4"/>
      <c r="X5931" s="4"/>
    </row>
    <row r="5932" spans="17:24" x14ac:dyDescent="0.3">
      <c r="Q5932" s="4"/>
      <c r="R5932" s="4"/>
      <c r="S5932" s="4"/>
      <c r="T5932" s="4"/>
      <c r="U5932" s="4"/>
      <c r="V5932" s="4"/>
      <c r="W5932" s="4"/>
      <c r="X5932" s="4"/>
    </row>
    <row r="5933" spans="17:24" x14ac:dyDescent="0.3">
      <c r="Q5933" s="4"/>
      <c r="R5933" s="4"/>
      <c r="S5933" s="4"/>
      <c r="T5933" s="4"/>
      <c r="U5933" s="4"/>
      <c r="V5933" s="4"/>
      <c r="W5933" s="4"/>
      <c r="X5933" s="4"/>
    </row>
    <row r="5934" spans="17:24" x14ac:dyDescent="0.3">
      <c r="Q5934" s="4"/>
      <c r="R5934" s="4"/>
      <c r="S5934" s="4"/>
      <c r="T5934" s="4"/>
      <c r="U5934" s="4"/>
      <c r="V5934" s="4"/>
      <c r="W5934" s="4"/>
      <c r="X5934" s="4"/>
    </row>
    <row r="5935" spans="17:24" x14ac:dyDescent="0.3">
      <c r="Q5935" s="4"/>
      <c r="R5935" s="4"/>
      <c r="S5935" s="4"/>
      <c r="T5935" s="4"/>
      <c r="U5935" s="4"/>
      <c r="V5935" s="4"/>
      <c r="W5935" s="4"/>
      <c r="X5935" s="4"/>
    </row>
    <row r="5936" spans="17:24" x14ac:dyDescent="0.3">
      <c r="Q5936" s="4"/>
      <c r="R5936" s="4"/>
      <c r="S5936" s="4"/>
      <c r="T5936" s="4"/>
      <c r="U5936" s="4"/>
      <c r="V5936" s="4"/>
      <c r="W5936" s="4"/>
      <c r="X5936" s="4"/>
    </row>
    <row r="5937" spans="17:24" x14ac:dyDescent="0.3">
      <c r="Q5937" s="4"/>
      <c r="R5937" s="4"/>
      <c r="S5937" s="4"/>
      <c r="T5937" s="4"/>
      <c r="U5937" s="4"/>
      <c r="V5937" s="4"/>
      <c r="W5937" s="4"/>
      <c r="X5937" s="4"/>
    </row>
    <row r="5938" spans="17:24" x14ac:dyDescent="0.3">
      <c r="Q5938" s="4"/>
      <c r="R5938" s="4"/>
      <c r="S5938" s="4"/>
      <c r="T5938" s="4"/>
      <c r="U5938" s="4"/>
      <c r="V5938" s="4"/>
      <c r="W5938" s="4"/>
      <c r="X5938" s="4"/>
    </row>
    <row r="5939" spans="17:24" x14ac:dyDescent="0.3">
      <c r="Q5939" s="4"/>
      <c r="R5939" s="4"/>
      <c r="S5939" s="4"/>
      <c r="T5939" s="4"/>
      <c r="U5939" s="4"/>
      <c r="V5939" s="4"/>
      <c r="W5939" s="4"/>
      <c r="X5939" s="4"/>
    </row>
    <row r="5940" spans="17:24" x14ac:dyDescent="0.3">
      <c r="Q5940" s="4"/>
      <c r="R5940" s="4"/>
      <c r="S5940" s="4"/>
      <c r="T5940" s="4"/>
      <c r="U5940" s="4"/>
      <c r="V5940" s="4"/>
      <c r="W5940" s="4"/>
      <c r="X5940" s="4"/>
    </row>
    <row r="5941" spans="17:24" x14ac:dyDescent="0.3">
      <c r="Q5941" s="4"/>
      <c r="R5941" s="4"/>
      <c r="S5941" s="4"/>
      <c r="T5941" s="4"/>
      <c r="U5941" s="4"/>
      <c r="V5941" s="4"/>
      <c r="W5941" s="4"/>
      <c r="X5941" s="4"/>
    </row>
    <row r="5942" spans="17:24" x14ac:dyDescent="0.3">
      <c r="Q5942" s="4"/>
      <c r="R5942" s="4"/>
      <c r="S5942" s="4"/>
      <c r="T5942" s="4"/>
      <c r="U5942" s="4"/>
      <c r="V5942" s="4"/>
      <c r="W5942" s="4"/>
      <c r="X5942" s="4"/>
    </row>
    <row r="5943" spans="17:24" x14ac:dyDescent="0.3">
      <c r="Q5943" s="4"/>
      <c r="R5943" s="4"/>
      <c r="S5943" s="4"/>
      <c r="T5943" s="4"/>
      <c r="U5943" s="4"/>
      <c r="V5943" s="4"/>
      <c r="W5943" s="4"/>
      <c r="X5943" s="4"/>
    </row>
    <row r="5944" spans="17:24" x14ac:dyDescent="0.3">
      <c r="Q5944" s="4"/>
      <c r="R5944" s="4"/>
      <c r="S5944" s="4"/>
      <c r="T5944" s="4"/>
      <c r="U5944" s="4"/>
      <c r="V5944" s="4"/>
      <c r="W5944" s="4"/>
      <c r="X5944" s="4"/>
    </row>
    <row r="5945" spans="17:24" x14ac:dyDescent="0.3">
      <c r="Q5945" s="4"/>
      <c r="R5945" s="4"/>
      <c r="S5945" s="4"/>
      <c r="T5945" s="4"/>
      <c r="U5945" s="4"/>
      <c r="V5945" s="4"/>
      <c r="W5945" s="4"/>
      <c r="X5945" s="4"/>
    </row>
    <row r="5946" spans="17:24" x14ac:dyDescent="0.3">
      <c r="Q5946" s="4"/>
      <c r="R5946" s="4"/>
      <c r="S5946" s="4"/>
      <c r="T5946" s="4"/>
      <c r="U5946" s="4"/>
      <c r="V5946" s="4"/>
      <c r="W5946" s="4"/>
      <c r="X5946" s="4"/>
    </row>
    <row r="5947" spans="17:24" x14ac:dyDescent="0.3">
      <c r="Q5947" s="4"/>
      <c r="R5947" s="4"/>
      <c r="S5947" s="4"/>
      <c r="T5947" s="4"/>
      <c r="U5947" s="4"/>
      <c r="V5947" s="4"/>
      <c r="W5947" s="4"/>
      <c r="X5947" s="4"/>
    </row>
    <row r="5948" spans="17:24" x14ac:dyDescent="0.3">
      <c r="Q5948" s="4"/>
      <c r="R5948" s="4"/>
      <c r="S5948" s="4"/>
      <c r="T5948" s="4"/>
      <c r="U5948" s="4"/>
      <c r="V5948" s="4"/>
      <c r="W5948" s="4"/>
      <c r="X5948" s="4"/>
    </row>
    <row r="5949" spans="17:24" x14ac:dyDescent="0.3">
      <c r="Q5949" s="4"/>
      <c r="R5949" s="4"/>
      <c r="S5949" s="4"/>
      <c r="T5949" s="4"/>
      <c r="U5949" s="4"/>
      <c r="V5949" s="4"/>
      <c r="W5949" s="4"/>
      <c r="X5949" s="4"/>
    </row>
    <row r="5950" spans="17:24" x14ac:dyDescent="0.3">
      <c r="Q5950" s="4"/>
      <c r="R5950" s="4"/>
      <c r="S5950" s="4"/>
      <c r="T5950" s="4"/>
      <c r="U5950" s="4"/>
      <c r="V5950" s="4"/>
      <c r="W5950" s="4"/>
      <c r="X5950" s="4"/>
    </row>
    <row r="5951" spans="17:24" x14ac:dyDescent="0.3">
      <c r="Q5951" s="4"/>
      <c r="R5951" s="4"/>
      <c r="S5951" s="4"/>
      <c r="T5951" s="4"/>
      <c r="U5951" s="4"/>
      <c r="V5951" s="4"/>
      <c r="W5951" s="4"/>
      <c r="X5951" s="4"/>
    </row>
    <row r="5952" spans="17:24" x14ac:dyDescent="0.3">
      <c r="Q5952" s="4"/>
      <c r="R5952" s="4"/>
      <c r="S5952" s="4"/>
      <c r="T5952" s="4"/>
      <c r="U5952" s="4"/>
      <c r="V5952" s="4"/>
      <c r="W5952" s="4"/>
      <c r="X5952" s="4"/>
    </row>
    <row r="5953" spans="17:24" x14ac:dyDescent="0.3">
      <c r="Q5953" s="4"/>
      <c r="R5953" s="4"/>
      <c r="S5953" s="4"/>
      <c r="T5953" s="4"/>
      <c r="U5953" s="4"/>
      <c r="V5953" s="4"/>
      <c r="W5953" s="4"/>
      <c r="X5953" s="4"/>
    </row>
    <row r="5954" spans="17:24" x14ac:dyDescent="0.3">
      <c r="Q5954" s="4"/>
      <c r="R5954" s="4"/>
      <c r="S5954" s="4"/>
      <c r="T5954" s="4"/>
      <c r="U5954" s="4"/>
      <c r="V5954" s="4"/>
      <c r="W5954" s="4"/>
      <c r="X5954" s="4"/>
    </row>
    <row r="5955" spans="17:24" x14ac:dyDescent="0.3">
      <c r="Q5955" s="4"/>
      <c r="R5955" s="4"/>
      <c r="S5955" s="4"/>
      <c r="T5955" s="4"/>
      <c r="U5955" s="4"/>
      <c r="V5955" s="4"/>
      <c r="W5955" s="4"/>
      <c r="X5955" s="4"/>
    </row>
    <row r="5956" spans="17:24" x14ac:dyDescent="0.3">
      <c r="Q5956" s="4"/>
      <c r="R5956" s="4"/>
      <c r="S5956" s="4"/>
      <c r="T5956" s="4"/>
      <c r="U5956" s="4"/>
      <c r="V5956" s="4"/>
      <c r="W5956" s="4"/>
      <c r="X5956" s="4"/>
    </row>
    <row r="5957" spans="17:24" x14ac:dyDescent="0.3">
      <c r="Q5957" s="4"/>
      <c r="R5957" s="4"/>
      <c r="S5957" s="4"/>
      <c r="T5957" s="4"/>
      <c r="U5957" s="4"/>
      <c r="V5957" s="4"/>
      <c r="W5957" s="4"/>
      <c r="X5957" s="4"/>
    </row>
    <row r="5958" spans="17:24" x14ac:dyDescent="0.3">
      <c r="Q5958" s="4"/>
      <c r="R5958" s="4"/>
      <c r="S5958" s="4"/>
      <c r="T5958" s="4"/>
      <c r="U5958" s="4"/>
      <c r="V5958" s="4"/>
      <c r="W5958" s="4"/>
      <c r="X5958" s="4"/>
    </row>
    <row r="5959" spans="17:24" x14ac:dyDescent="0.3">
      <c r="Q5959" s="4"/>
      <c r="R5959" s="4"/>
      <c r="S5959" s="4"/>
      <c r="T5959" s="4"/>
      <c r="U5959" s="4"/>
      <c r="V5959" s="4"/>
      <c r="W5959" s="4"/>
      <c r="X5959" s="4"/>
    </row>
    <row r="5960" spans="17:24" x14ac:dyDescent="0.3">
      <c r="Q5960" s="4"/>
      <c r="R5960" s="4"/>
      <c r="S5960" s="4"/>
      <c r="T5960" s="4"/>
      <c r="U5960" s="4"/>
      <c r="V5960" s="4"/>
      <c r="W5960" s="4"/>
      <c r="X5960" s="4"/>
    </row>
    <row r="5961" spans="17:24" x14ac:dyDescent="0.3">
      <c r="Q5961" s="4"/>
      <c r="R5961" s="4"/>
      <c r="S5961" s="4"/>
      <c r="T5961" s="4"/>
      <c r="U5961" s="4"/>
      <c r="V5961" s="4"/>
      <c r="W5961" s="4"/>
      <c r="X5961" s="4"/>
    </row>
    <row r="5962" spans="17:24" x14ac:dyDescent="0.3">
      <c r="Q5962" s="4"/>
      <c r="R5962" s="4"/>
      <c r="S5962" s="4"/>
      <c r="T5962" s="4"/>
      <c r="U5962" s="4"/>
      <c r="V5962" s="4"/>
      <c r="W5962" s="4"/>
      <c r="X5962" s="4"/>
    </row>
    <row r="5963" spans="17:24" x14ac:dyDescent="0.3">
      <c r="Q5963" s="4"/>
      <c r="R5963" s="4"/>
      <c r="S5963" s="4"/>
      <c r="T5963" s="4"/>
      <c r="U5963" s="4"/>
      <c r="V5963" s="4"/>
      <c r="W5963" s="4"/>
      <c r="X5963" s="4"/>
    </row>
    <row r="5964" spans="17:24" x14ac:dyDescent="0.3">
      <c r="Q5964" s="4"/>
      <c r="R5964" s="4"/>
      <c r="S5964" s="4"/>
      <c r="T5964" s="4"/>
      <c r="U5964" s="4"/>
      <c r="V5964" s="4"/>
      <c r="W5964" s="4"/>
      <c r="X5964" s="4"/>
    </row>
    <row r="5965" spans="17:24" x14ac:dyDescent="0.3">
      <c r="Q5965" s="4"/>
      <c r="R5965" s="4"/>
      <c r="S5965" s="4"/>
      <c r="T5965" s="4"/>
      <c r="U5965" s="4"/>
      <c r="V5965" s="4"/>
      <c r="W5965" s="4"/>
      <c r="X5965" s="4"/>
    </row>
    <row r="5966" spans="17:24" x14ac:dyDescent="0.3">
      <c r="Q5966" s="4"/>
      <c r="R5966" s="4"/>
      <c r="S5966" s="4"/>
      <c r="T5966" s="4"/>
      <c r="U5966" s="4"/>
      <c r="V5966" s="4"/>
      <c r="W5966" s="4"/>
      <c r="X5966" s="4"/>
    </row>
    <row r="5967" spans="17:24" x14ac:dyDescent="0.3">
      <c r="Q5967" s="4"/>
      <c r="R5967" s="4"/>
      <c r="S5967" s="4"/>
      <c r="T5967" s="4"/>
      <c r="U5967" s="4"/>
      <c r="V5967" s="4"/>
      <c r="W5967" s="4"/>
      <c r="X5967" s="4"/>
    </row>
    <row r="5968" spans="17:24" x14ac:dyDescent="0.3">
      <c r="Q5968" s="4"/>
      <c r="R5968" s="4"/>
      <c r="S5968" s="4"/>
      <c r="T5968" s="4"/>
      <c r="U5968" s="4"/>
      <c r="V5968" s="4"/>
      <c r="W5968" s="4"/>
      <c r="X5968" s="4"/>
    </row>
    <row r="5969" spans="17:24" x14ac:dyDescent="0.3">
      <c r="Q5969" s="4"/>
      <c r="R5969" s="4"/>
      <c r="S5969" s="4"/>
      <c r="T5969" s="4"/>
      <c r="U5969" s="4"/>
      <c r="V5969" s="4"/>
      <c r="W5969" s="4"/>
      <c r="X5969" s="4"/>
    </row>
    <row r="5970" spans="17:24" x14ac:dyDescent="0.3">
      <c r="Q5970" s="4"/>
      <c r="R5970" s="4"/>
      <c r="S5970" s="4"/>
      <c r="T5970" s="4"/>
      <c r="U5970" s="4"/>
      <c r="V5970" s="4"/>
      <c r="W5970" s="4"/>
      <c r="X5970" s="4"/>
    </row>
    <row r="5971" spans="17:24" x14ac:dyDescent="0.3">
      <c r="Q5971" s="4"/>
      <c r="R5971" s="4"/>
      <c r="S5971" s="4"/>
      <c r="T5971" s="4"/>
      <c r="U5971" s="4"/>
      <c r="V5971" s="4"/>
      <c r="W5971" s="4"/>
      <c r="X5971" s="4"/>
    </row>
    <row r="5972" spans="17:24" x14ac:dyDescent="0.3">
      <c r="Q5972" s="4"/>
      <c r="R5972" s="4"/>
      <c r="S5972" s="4"/>
      <c r="T5972" s="4"/>
      <c r="U5972" s="4"/>
      <c r="V5972" s="4"/>
      <c r="W5972" s="4"/>
      <c r="X5972" s="4"/>
    </row>
    <row r="5973" spans="17:24" x14ac:dyDescent="0.3">
      <c r="Q5973" s="4"/>
      <c r="R5973" s="4"/>
      <c r="S5973" s="4"/>
      <c r="T5973" s="4"/>
      <c r="U5973" s="4"/>
      <c r="V5973" s="4"/>
      <c r="W5973" s="4"/>
      <c r="X5973" s="4"/>
    </row>
    <row r="5974" spans="17:24" x14ac:dyDescent="0.3">
      <c r="Q5974" s="4"/>
      <c r="R5974" s="4"/>
      <c r="S5974" s="4"/>
      <c r="T5974" s="4"/>
      <c r="U5974" s="4"/>
      <c r="V5974" s="4"/>
      <c r="W5974" s="4"/>
      <c r="X5974" s="4"/>
    </row>
    <row r="5975" spans="17:24" x14ac:dyDescent="0.3">
      <c r="Q5975" s="4"/>
      <c r="R5975" s="4"/>
      <c r="S5975" s="4"/>
      <c r="T5975" s="4"/>
      <c r="U5975" s="4"/>
      <c r="V5975" s="4"/>
      <c r="W5975" s="4"/>
      <c r="X5975" s="4"/>
    </row>
    <row r="5976" spans="17:24" x14ac:dyDescent="0.3">
      <c r="Q5976" s="4"/>
      <c r="R5976" s="4"/>
      <c r="S5976" s="4"/>
      <c r="T5976" s="4"/>
      <c r="U5976" s="4"/>
      <c r="V5976" s="4"/>
      <c r="W5976" s="4"/>
      <c r="X5976" s="4"/>
    </row>
    <row r="5977" spans="17:24" x14ac:dyDescent="0.3">
      <c r="Q5977" s="4"/>
      <c r="R5977" s="4"/>
      <c r="S5977" s="4"/>
      <c r="T5977" s="4"/>
      <c r="U5977" s="4"/>
      <c r="V5977" s="4"/>
      <c r="W5977" s="4"/>
      <c r="X5977" s="4"/>
    </row>
    <row r="5978" spans="17:24" x14ac:dyDescent="0.3">
      <c r="Q5978" s="4"/>
      <c r="R5978" s="4"/>
      <c r="S5978" s="4"/>
      <c r="T5978" s="4"/>
      <c r="U5978" s="4"/>
      <c r="V5978" s="4"/>
      <c r="W5978" s="4"/>
      <c r="X5978" s="4"/>
    </row>
    <row r="5979" spans="17:24" x14ac:dyDescent="0.3">
      <c r="Q5979" s="4"/>
      <c r="R5979" s="4"/>
      <c r="S5979" s="4"/>
      <c r="T5979" s="4"/>
      <c r="U5979" s="4"/>
      <c r="V5979" s="4"/>
      <c r="W5979" s="4"/>
      <c r="X5979" s="4"/>
    </row>
    <row r="5980" spans="17:24" x14ac:dyDescent="0.3">
      <c r="Q5980" s="4"/>
      <c r="R5980" s="4"/>
      <c r="S5980" s="4"/>
      <c r="T5980" s="4"/>
      <c r="U5980" s="4"/>
      <c r="V5980" s="4"/>
      <c r="W5980" s="4"/>
      <c r="X5980" s="4"/>
    </row>
    <row r="5981" spans="17:24" x14ac:dyDescent="0.3">
      <c r="Q5981" s="4"/>
      <c r="R5981" s="4"/>
      <c r="S5981" s="4"/>
      <c r="T5981" s="4"/>
      <c r="U5981" s="4"/>
      <c r="V5981" s="4"/>
      <c r="W5981" s="4"/>
      <c r="X5981" s="4"/>
    </row>
    <row r="5982" spans="17:24" x14ac:dyDescent="0.3">
      <c r="Q5982" s="4"/>
      <c r="R5982" s="4"/>
      <c r="S5982" s="4"/>
      <c r="T5982" s="4"/>
      <c r="U5982" s="4"/>
      <c r="V5982" s="4"/>
      <c r="W5982" s="4"/>
      <c r="X5982" s="4"/>
    </row>
    <row r="5983" spans="17:24" x14ac:dyDescent="0.3">
      <c r="Q5983" s="4"/>
      <c r="R5983" s="4"/>
      <c r="S5983" s="4"/>
      <c r="T5983" s="4"/>
      <c r="U5983" s="4"/>
      <c r="V5983" s="4"/>
      <c r="W5983" s="4"/>
      <c r="X5983" s="4"/>
    </row>
    <row r="5984" spans="17:24" x14ac:dyDescent="0.3">
      <c r="Q5984" s="4"/>
      <c r="R5984" s="4"/>
      <c r="S5984" s="4"/>
      <c r="T5984" s="4"/>
      <c r="U5984" s="4"/>
      <c r="V5984" s="4"/>
      <c r="W5984" s="4"/>
      <c r="X5984" s="4"/>
    </row>
    <row r="5985" spans="17:24" x14ac:dyDescent="0.3">
      <c r="Q5985" s="4"/>
      <c r="R5985" s="4"/>
      <c r="S5985" s="4"/>
      <c r="T5985" s="4"/>
      <c r="U5985" s="4"/>
      <c r="V5985" s="4"/>
      <c r="W5985" s="4"/>
      <c r="X5985" s="4"/>
    </row>
    <row r="5986" spans="17:24" x14ac:dyDescent="0.3">
      <c r="Q5986" s="4"/>
      <c r="R5986" s="4"/>
      <c r="S5986" s="4"/>
      <c r="T5986" s="4"/>
      <c r="U5986" s="4"/>
      <c r="V5986" s="4"/>
      <c r="W5986" s="4"/>
      <c r="X5986" s="4"/>
    </row>
    <row r="5987" spans="17:24" x14ac:dyDescent="0.3">
      <c r="Q5987" s="4"/>
      <c r="R5987" s="4"/>
      <c r="S5987" s="4"/>
      <c r="T5987" s="4"/>
      <c r="U5987" s="4"/>
      <c r="V5987" s="4"/>
      <c r="W5987" s="4"/>
      <c r="X5987" s="4"/>
    </row>
    <row r="5988" spans="17:24" x14ac:dyDescent="0.3">
      <c r="Q5988" s="4"/>
      <c r="R5988" s="4"/>
      <c r="S5988" s="4"/>
      <c r="T5988" s="4"/>
      <c r="U5988" s="4"/>
      <c r="V5988" s="4"/>
      <c r="W5988" s="4"/>
      <c r="X5988" s="4"/>
    </row>
    <row r="5989" spans="17:24" x14ac:dyDescent="0.3">
      <c r="Q5989" s="4"/>
      <c r="R5989" s="4"/>
      <c r="S5989" s="4"/>
      <c r="T5989" s="4"/>
      <c r="U5989" s="4"/>
      <c r="V5989" s="4"/>
      <c r="W5989" s="4"/>
      <c r="X5989" s="4"/>
    </row>
    <row r="5990" spans="17:24" x14ac:dyDescent="0.3">
      <c r="Q5990" s="4"/>
      <c r="R5990" s="4"/>
      <c r="S5990" s="4"/>
      <c r="T5990" s="4"/>
      <c r="U5990" s="4"/>
      <c r="V5990" s="4"/>
      <c r="W5990" s="4"/>
      <c r="X5990" s="4"/>
    </row>
    <row r="5991" spans="17:24" x14ac:dyDescent="0.3">
      <c r="Q5991" s="4"/>
      <c r="R5991" s="4"/>
      <c r="S5991" s="4"/>
      <c r="T5991" s="4"/>
      <c r="U5991" s="4"/>
      <c r="V5991" s="4"/>
      <c r="W5991" s="4"/>
      <c r="X5991" s="4"/>
    </row>
    <row r="5992" spans="17:24" x14ac:dyDescent="0.3">
      <c r="Q5992" s="4"/>
      <c r="R5992" s="4"/>
      <c r="S5992" s="4"/>
      <c r="T5992" s="4"/>
      <c r="U5992" s="4"/>
      <c r="V5992" s="4"/>
      <c r="W5992" s="4"/>
      <c r="X5992" s="4"/>
    </row>
    <row r="5993" spans="17:24" x14ac:dyDescent="0.3">
      <c r="Q5993" s="4"/>
      <c r="R5993" s="4"/>
      <c r="S5993" s="4"/>
      <c r="T5993" s="4"/>
      <c r="U5993" s="4"/>
      <c r="V5993" s="4"/>
      <c r="W5993" s="4"/>
      <c r="X5993" s="4"/>
    </row>
    <row r="5994" spans="17:24" x14ac:dyDescent="0.3">
      <c r="Q5994" s="4"/>
      <c r="R5994" s="4"/>
      <c r="S5994" s="4"/>
      <c r="T5994" s="4"/>
      <c r="U5994" s="4"/>
      <c r="V5994" s="4"/>
      <c r="W5994" s="4"/>
      <c r="X5994" s="4"/>
    </row>
    <row r="5995" spans="17:24" x14ac:dyDescent="0.3">
      <c r="Q5995" s="4"/>
      <c r="R5995" s="4"/>
      <c r="S5995" s="4"/>
      <c r="T5995" s="4"/>
      <c r="U5995" s="4"/>
      <c r="V5995" s="4"/>
      <c r="W5995" s="4"/>
      <c r="X5995" s="4"/>
    </row>
    <row r="5996" spans="17:24" x14ac:dyDescent="0.3">
      <c r="Q5996" s="4"/>
      <c r="R5996" s="4"/>
      <c r="S5996" s="4"/>
      <c r="T5996" s="4"/>
      <c r="U5996" s="4"/>
      <c r="V5996" s="4"/>
      <c r="W5996" s="4"/>
      <c r="X5996" s="4"/>
    </row>
    <row r="5997" spans="17:24" x14ac:dyDescent="0.3">
      <c r="Q5997" s="4"/>
      <c r="R5997" s="4"/>
      <c r="S5997" s="4"/>
      <c r="T5997" s="4"/>
      <c r="U5997" s="4"/>
      <c r="V5997" s="4"/>
      <c r="W5997" s="4"/>
      <c r="X5997" s="4"/>
    </row>
    <row r="5998" spans="17:24" x14ac:dyDescent="0.3">
      <c r="Q5998" s="4"/>
      <c r="R5998" s="4"/>
      <c r="S5998" s="4"/>
      <c r="T5998" s="4"/>
      <c r="U5998" s="4"/>
      <c r="V5998" s="4"/>
      <c r="W5998" s="4"/>
      <c r="X5998" s="4"/>
    </row>
    <row r="5999" spans="17:24" x14ac:dyDescent="0.3">
      <c r="Q5999" s="4"/>
      <c r="R5999" s="4"/>
      <c r="S5999" s="4"/>
      <c r="T5999" s="4"/>
      <c r="U5999" s="4"/>
      <c r="V5999" s="4"/>
      <c r="W5999" s="4"/>
      <c r="X5999" s="4"/>
    </row>
    <row r="6000" spans="17:24" x14ac:dyDescent="0.3">
      <c r="Q6000" s="4"/>
      <c r="R6000" s="4"/>
      <c r="S6000" s="4"/>
      <c r="T6000" s="4"/>
      <c r="U6000" s="4"/>
      <c r="V6000" s="4"/>
      <c r="W6000" s="4"/>
      <c r="X6000" s="4"/>
    </row>
    <row r="6001" spans="17:24" x14ac:dyDescent="0.3">
      <c r="Q6001" s="4"/>
      <c r="R6001" s="4"/>
      <c r="S6001" s="4"/>
      <c r="T6001" s="4"/>
      <c r="U6001" s="4"/>
      <c r="V6001" s="4"/>
      <c r="W6001" s="4"/>
      <c r="X6001" s="4"/>
    </row>
    <row r="6002" spans="17:24" x14ac:dyDescent="0.3">
      <c r="Q6002" s="4"/>
      <c r="R6002" s="4"/>
      <c r="S6002" s="4"/>
      <c r="T6002" s="4"/>
      <c r="U6002" s="4"/>
      <c r="V6002" s="4"/>
      <c r="W6002" s="4"/>
      <c r="X6002" s="4"/>
    </row>
    <row r="6003" spans="17:24" x14ac:dyDescent="0.3">
      <c r="Q6003" s="4"/>
      <c r="R6003" s="4"/>
      <c r="S6003" s="4"/>
      <c r="T6003" s="4"/>
      <c r="U6003" s="4"/>
      <c r="V6003" s="4"/>
      <c r="W6003" s="4"/>
      <c r="X6003" s="4"/>
    </row>
    <row r="6004" spans="17:24" x14ac:dyDescent="0.3">
      <c r="Q6004" s="4"/>
      <c r="R6004" s="4"/>
      <c r="S6004" s="4"/>
      <c r="T6004" s="4"/>
      <c r="U6004" s="4"/>
      <c r="V6004" s="4"/>
      <c r="W6004" s="4"/>
      <c r="X6004" s="4"/>
    </row>
    <row r="6005" spans="17:24" x14ac:dyDescent="0.3">
      <c r="Q6005" s="4"/>
      <c r="R6005" s="4"/>
      <c r="S6005" s="4"/>
      <c r="T6005" s="4"/>
      <c r="U6005" s="4"/>
      <c r="V6005" s="4"/>
      <c r="W6005" s="4"/>
      <c r="X6005" s="4"/>
    </row>
    <row r="6006" spans="17:24" x14ac:dyDescent="0.3">
      <c r="Q6006" s="4"/>
      <c r="R6006" s="4"/>
      <c r="S6006" s="4"/>
      <c r="T6006" s="4"/>
      <c r="U6006" s="4"/>
      <c r="V6006" s="4"/>
      <c r="W6006" s="4"/>
      <c r="X6006" s="4"/>
    </row>
    <row r="6007" spans="17:24" x14ac:dyDescent="0.3">
      <c r="Q6007" s="4"/>
      <c r="R6007" s="4"/>
      <c r="S6007" s="4"/>
      <c r="T6007" s="4"/>
      <c r="U6007" s="4"/>
      <c r="V6007" s="4"/>
      <c r="W6007" s="4"/>
      <c r="X6007" s="4"/>
    </row>
    <row r="6008" spans="17:24" x14ac:dyDescent="0.3">
      <c r="Q6008" s="4"/>
      <c r="R6008" s="4"/>
      <c r="S6008" s="4"/>
      <c r="T6008" s="4"/>
      <c r="U6008" s="4"/>
      <c r="V6008" s="4"/>
      <c r="W6008" s="4"/>
      <c r="X6008" s="4"/>
    </row>
    <row r="6009" spans="17:24" x14ac:dyDescent="0.3">
      <c r="Q6009" s="4"/>
      <c r="R6009" s="4"/>
      <c r="S6009" s="4"/>
      <c r="T6009" s="4"/>
      <c r="U6009" s="4"/>
      <c r="V6009" s="4"/>
      <c r="W6009" s="4"/>
      <c r="X6009" s="4"/>
    </row>
    <row r="6010" spans="17:24" x14ac:dyDescent="0.3">
      <c r="Q6010" s="4"/>
      <c r="R6010" s="4"/>
      <c r="S6010" s="4"/>
      <c r="T6010" s="4"/>
      <c r="U6010" s="4"/>
      <c r="V6010" s="4"/>
      <c r="W6010" s="4"/>
      <c r="X6010" s="4"/>
    </row>
    <row r="6011" spans="17:24" x14ac:dyDescent="0.3">
      <c r="Q6011" s="4"/>
      <c r="R6011" s="4"/>
      <c r="S6011" s="4"/>
      <c r="T6011" s="4"/>
      <c r="U6011" s="4"/>
      <c r="V6011" s="4"/>
      <c r="W6011" s="4"/>
      <c r="X6011" s="4"/>
    </row>
    <row r="6012" spans="17:24" x14ac:dyDescent="0.3">
      <c r="Q6012" s="4"/>
      <c r="R6012" s="4"/>
      <c r="S6012" s="4"/>
      <c r="T6012" s="4"/>
      <c r="U6012" s="4"/>
      <c r="V6012" s="4"/>
      <c r="W6012" s="4"/>
      <c r="X6012" s="4"/>
    </row>
    <row r="6013" spans="17:24" x14ac:dyDescent="0.3">
      <c r="Q6013" s="4"/>
      <c r="R6013" s="4"/>
      <c r="S6013" s="4"/>
      <c r="T6013" s="4"/>
      <c r="U6013" s="4"/>
      <c r="V6013" s="4"/>
      <c r="W6013" s="4"/>
      <c r="X6013" s="4"/>
    </row>
    <row r="6014" spans="17:24" x14ac:dyDescent="0.3">
      <c r="Q6014" s="4"/>
      <c r="R6014" s="4"/>
      <c r="S6014" s="4"/>
      <c r="T6014" s="4"/>
      <c r="U6014" s="4"/>
      <c r="V6014" s="4"/>
      <c r="W6014" s="4"/>
      <c r="X6014" s="4"/>
    </row>
    <row r="6015" spans="17:24" x14ac:dyDescent="0.3">
      <c r="Q6015" s="4"/>
      <c r="R6015" s="4"/>
      <c r="S6015" s="4"/>
      <c r="T6015" s="4"/>
      <c r="U6015" s="4"/>
      <c r="V6015" s="4"/>
      <c r="W6015" s="4"/>
      <c r="X6015" s="4"/>
    </row>
    <row r="6016" spans="17:24" x14ac:dyDescent="0.3">
      <c r="Q6016" s="4"/>
      <c r="R6016" s="4"/>
      <c r="S6016" s="4"/>
      <c r="T6016" s="4"/>
      <c r="U6016" s="4"/>
      <c r="V6016" s="4"/>
      <c r="W6016" s="4"/>
      <c r="X6016" s="4"/>
    </row>
    <row r="6017" spans="17:24" x14ac:dyDescent="0.3">
      <c r="Q6017" s="4"/>
      <c r="R6017" s="4"/>
      <c r="S6017" s="4"/>
      <c r="T6017" s="4"/>
      <c r="U6017" s="4"/>
      <c r="V6017" s="4"/>
      <c r="W6017" s="4"/>
      <c r="X6017" s="4"/>
    </row>
    <row r="6018" spans="17:24" x14ac:dyDescent="0.3">
      <c r="Q6018" s="4"/>
      <c r="R6018" s="4"/>
      <c r="S6018" s="4"/>
      <c r="T6018" s="4"/>
      <c r="U6018" s="4"/>
      <c r="V6018" s="4"/>
      <c r="W6018" s="4"/>
      <c r="X6018" s="4"/>
    </row>
    <row r="6019" spans="17:24" x14ac:dyDescent="0.3">
      <c r="Q6019" s="4"/>
      <c r="R6019" s="4"/>
      <c r="S6019" s="4"/>
      <c r="T6019" s="4"/>
      <c r="U6019" s="4"/>
      <c r="V6019" s="4"/>
      <c r="W6019" s="4"/>
      <c r="X6019" s="4"/>
    </row>
    <row r="6020" spans="17:24" x14ac:dyDescent="0.3">
      <c r="Q6020" s="4"/>
      <c r="R6020" s="4"/>
      <c r="S6020" s="4"/>
      <c r="T6020" s="4"/>
      <c r="U6020" s="4"/>
      <c r="V6020" s="4"/>
      <c r="W6020" s="4"/>
      <c r="X6020" s="4"/>
    </row>
    <row r="6021" spans="17:24" x14ac:dyDescent="0.3">
      <c r="Q6021" s="4"/>
      <c r="R6021" s="4"/>
      <c r="S6021" s="4"/>
      <c r="T6021" s="4"/>
      <c r="U6021" s="4"/>
      <c r="V6021" s="4"/>
      <c r="W6021" s="4"/>
      <c r="X6021" s="4"/>
    </row>
    <row r="6022" spans="17:24" x14ac:dyDescent="0.3">
      <c r="Q6022" s="4"/>
      <c r="R6022" s="4"/>
      <c r="S6022" s="4"/>
      <c r="T6022" s="4"/>
      <c r="U6022" s="4"/>
      <c r="V6022" s="4"/>
      <c r="W6022" s="4"/>
      <c r="X6022" s="4"/>
    </row>
    <row r="6023" spans="17:24" x14ac:dyDescent="0.3">
      <c r="Q6023" s="4"/>
      <c r="R6023" s="4"/>
      <c r="S6023" s="4"/>
      <c r="T6023" s="4"/>
      <c r="U6023" s="4"/>
      <c r="V6023" s="4"/>
      <c r="W6023" s="4"/>
      <c r="X6023" s="4"/>
    </row>
    <row r="6024" spans="17:24" x14ac:dyDescent="0.3">
      <c r="Q6024" s="4"/>
      <c r="R6024" s="4"/>
      <c r="S6024" s="4"/>
      <c r="T6024" s="4"/>
      <c r="U6024" s="4"/>
      <c r="V6024" s="4"/>
      <c r="W6024" s="4"/>
      <c r="X6024" s="4"/>
    </row>
    <row r="6025" spans="17:24" x14ac:dyDescent="0.3">
      <c r="Q6025" s="4"/>
      <c r="R6025" s="4"/>
      <c r="S6025" s="4"/>
      <c r="T6025" s="4"/>
      <c r="U6025" s="4"/>
      <c r="V6025" s="4"/>
      <c r="W6025" s="4"/>
      <c r="X6025" s="4"/>
    </row>
    <row r="6026" spans="17:24" x14ac:dyDescent="0.3">
      <c r="Q6026" s="4"/>
      <c r="R6026" s="4"/>
      <c r="S6026" s="4"/>
      <c r="T6026" s="4"/>
      <c r="U6026" s="4"/>
      <c r="V6026" s="4"/>
      <c r="W6026" s="4"/>
      <c r="X6026" s="4"/>
    </row>
    <row r="6027" spans="17:24" x14ac:dyDescent="0.3">
      <c r="Q6027" s="4"/>
      <c r="R6027" s="4"/>
      <c r="S6027" s="4"/>
      <c r="T6027" s="4"/>
      <c r="U6027" s="4"/>
      <c r="V6027" s="4"/>
      <c r="W6027" s="4"/>
      <c r="X6027" s="4"/>
    </row>
    <row r="6028" spans="17:24" x14ac:dyDescent="0.3">
      <c r="Q6028" s="4"/>
      <c r="R6028" s="4"/>
      <c r="S6028" s="4"/>
      <c r="T6028" s="4"/>
      <c r="U6028" s="4"/>
      <c r="V6028" s="4"/>
      <c r="W6028" s="4"/>
      <c r="X6028" s="4"/>
    </row>
    <row r="6029" spans="17:24" x14ac:dyDescent="0.3">
      <c r="Q6029" s="4"/>
      <c r="R6029" s="4"/>
      <c r="S6029" s="4"/>
      <c r="T6029" s="4"/>
      <c r="U6029" s="4"/>
      <c r="V6029" s="4"/>
      <c r="W6029" s="4"/>
      <c r="X6029" s="4"/>
    </row>
    <row r="6030" spans="17:24" x14ac:dyDescent="0.3">
      <c r="Q6030" s="4"/>
      <c r="R6030" s="4"/>
      <c r="S6030" s="4"/>
      <c r="T6030" s="4"/>
      <c r="U6030" s="4"/>
      <c r="V6030" s="4"/>
      <c r="W6030" s="4"/>
      <c r="X6030" s="4"/>
    </row>
    <row r="6031" spans="17:24" x14ac:dyDescent="0.3">
      <c r="Q6031" s="4"/>
      <c r="R6031" s="4"/>
      <c r="S6031" s="4"/>
      <c r="T6031" s="4"/>
      <c r="U6031" s="4"/>
      <c r="V6031" s="4"/>
      <c r="W6031" s="4"/>
      <c r="X6031" s="4"/>
    </row>
    <row r="6032" spans="17:24" x14ac:dyDescent="0.3">
      <c r="Q6032" s="4"/>
      <c r="R6032" s="4"/>
      <c r="S6032" s="4"/>
      <c r="T6032" s="4"/>
      <c r="U6032" s="4"/>
      <c r="V6032" s="4"/>
      <c r="W6032" s="4"/>
      <c r="X6032" s="4"/>
    </row>
    <row r="6033" spans="17:24" x14ac:dyDescent="0.3">
      <c r="Q6033" s="4"/>
      <c r="R6033" s="4"/>
      <c r="S6033" s="4"/>
      <c r="T6033" s="4"/>
      <c r="U6033" s="4"/>
      <c r="V6033" s="4"/>
      <c r="W6033" s="4"/>
      <c r="X6033" s="4"/>
    </row>
    <row r="6034" spans="17:24" x14ac:dyDescent="0.3">
      <c r="Q6034" s="4"/>
      <c r="R6034" s="4"/>
      <c r="S6034" s="4"/>
      <c r="T6034" s="4"/>
      <c r="U6034" s="4"/>
      <c r="V6034" s="4"/>
      <c r="W6034" s="4"/>
      <c r="X6034" s="4"/>
    </row>
    <row r="6035" spans="17:24" x14ac:dyDescent="0.3">
      <c r="Q6035" s="4"/>
      <c r="R6035" s="4"/>
      <c r="S6035" s="4"/>
      <c r="T6035" s="4"/>
      <c r="U6035" s="4"/>
      <c r="V6035" s="4"/>
      <c r="W6035" s="4"/>
      <c r="X6035" s="4"/>
    </row>
    <row r="6036" spans="17:24" x14ac:dyDescent="0.3">
      <c r="Q6036" s="4"/>
      <c r="R6036" s="4"/>
      <c r="S6036" s="4"/>
      <c r="T6036" s="4"/>
      <c r="U6036" s="4"/>
      <c r="V6036" s="4"/>
      <c r="W6036" s="4"/>
      <c r="X6036" s="4"/>
    </row>
    <row r="6037" spans="17:24" x14ac:dyDescent="0.3">
      <c r="Q6037" s="4"/>
      <c r="R6037" s="4"/>
      <c r="S6037" s="4"/>
      <c r="T6037" s="4"/>
      <c r="U6037" s="4"/>
      <c r="V6037" s="4"/>
      <c r="W6037" s="4"/>
      <c r="X6037" s="4"/>
    </row>
    <row r="6038" spans="17:24" x14ac:dyDescent="0.3">
      <c r="Q6038" s="4"/>
      <c r="R6038" s="4"/>
      <c r="S6038" s="4"/>
      <c r="T6038" s="4"/>
      <c r="U6038" s="4"/>
      <c r="V6038" s="4"/>
      <c r="W6038" s="4"/>
      <c r="X6038" s="4"/>
    </row>
    <row r="6039" spans="17:24" x14ac:dyDescent="0.3">
      <c r="Q6039" s="4"/>
      <c r="R6039" s="4"/>
      <c r="S6039" s="4"/>
      <c r="T6039" s="4"/>
      <c r="U6039" s="4"/>
      <c r="V6039" s="4"/>
      <c r="W6039" s="4"/>
      <c r="X6039" s="4"/>
    </row>
    <row r="6040" spans="17:24" x14ac:dyDescent="0.3">
      <c r="Q6040" s="4"/>
      <c r="R6040" s="4"/>
      <c r="S6040" s="4"/>
      <c r="T6040" s="4"/>
      <c r="U6040" s="4"/>
      <c r="V6040" s="4"/>
      <c r="W6040" s="4"/>
      <c r="X6040" s="4"/>
    </row>
    <row r="6041" spans="17:24" x14ac:dyDescent="0.3">
      <c r="Q6041" s="4"/>
      <c r="R6041" s="4"/>
      <c r="S6041" s="4"/>
      <c r="T6041" s="4"/>
      <c r="U6041" s="4"/>
      <c r="V6041" s="4"/>
      <c r="W6041" s="4"/>
      <c r="X6041" s="4"/>
    </row>
    <row r="6042" spans="17:24" x14ac:dyDescent="0.3">
      <c r="Q6042" s="4"/>
      <c r="R6042" s="4"/>
      <c r="S6042" s="4"/>
      <c r="T6042" s="4"/>
      <c r="U6042" s="4"/>
      <c r="V6042" s="4"/>
      <c r="W6042" s="4"/>
      <c r="X6042" s="4"/>
    </row>
    <row r="6043" spans="17:24" x14ac:dyDescent="0.3">
      <c r="Q6043" s="4"/>
      <c r="R6043" s="4"/>
      <c r="S6043" s="4"/>
      <c r="T6043" s="4"/>
      <c r="U6043" s="4"/>
      <c r="V6043" s="4"/>
      <c r="W6043" s="4"/>
      <c r="X6043" s="4"/>
    </row>
    <row r="6044" spans="17:24" x14ac:dyDescent="0.3">
      <c r="Q6044" s="4"/>
      <c r="R6044" s="4"/>
      <c r="S6044" s="4"/>
      <c r="T6044" s="4"/>
      <c r="U6044" s="4"/>
      <c r="V6044" s="4"/>
      <c r="W6044" s="4"/>
      <c r="X6044" s="4"/>
    </row>
    <row r="6045" spans="17:24" x14ac:dyDescent="0.3">
      <c r="Q6045" s="4"/>
      <c r="R6045" s="4"/>
      <c r="S6045" s="4"/>
      <c r="T6045" s="4"/>
      <c r="U6045" s="4"/>
      <c r="V6045" s="4"/>
      <c r="W6045" s="4"/>
      <c r="X6045" s="4"/>
    </row>
    <row r="6046" spans="17:24" x14ac:dyDescent="0.3">
      <c r="Q6046" s="4"/>
      <c r="R6046" s="4"/>
      <c r="S6046" s="4"/>
      <c r="T6046" s="4"/>
      <c r="U6046" s="4"/>
      <c r="V6046" s="4"/>
      <c r="W6046" s="4"/>
      <c r="X6046" s="4"/>
    </row>
    <row r="6047" spans="17:24" x14ac:dyDescent="0.3">
      <c r="Q6047" s="4"/>
      <c r="R6047" s="4"/>
      <c r="S6047" s="4"/>
      <c r="T6047" s="4"/>
      <c r="U6047" s="4"/>
      <c r="V6047" s="4"/>
      <c r="W6047" s="4"/>
      <c r="X6047" s="4"/>
    </row>
    <row r="6048" spans="17:24" x14ac:dyDescent="0.3">
      <c r="Q6048" s="4"/>
      <c r="R6048" s="4"/>
      <c r="S6048" s="4"/>
      <c r="T6048" s="4"/>
      <c r="U6048" s="4"/>
      <c r="V6048" s="4"/>
      <c r="W6048" s="4"/>
      <c r="X6048" s="4"/>
    </row>
    <row r="6049" spans="17:24" x14ac:dyDescent="0.3">
      <c r="Q6049" s="4"/>
      <c r="R6049" s="4"/>
      <c r="S6049" s="4"/>
      <c r="T6049" s="4"/>
      <c r="U6049" s="4"/>
      <c r="V6049" s="4"/>
      <c r="W6049" s="4"/>
      <c r="X6049" s="4"/>
    </row>
    <row r="6050" spans="17:24" x14ac:dyDescent="0.3">
      <c r="Q6050" s="4"/>
      <c r="R6050" s="4"/>
      <c r="S6050" s="4"/>
      <c r="T6050" s="4"/>
      <c r="U6050" s="4"/>
      <c r="V6050" s="4"/>
      <c r="W6050" s="4"/>
      <c r="X6050" s="4"/>
    </row>
    <row r="6051" spans="17:24" x14ac:dyDescent="0.3">
      <c r="Q6051" s="4"/>
      <c r="R6051" s="4"/>
      <c r="S6051" s="4"/>
      <c r="T6051" s="4"/>
      <c r="U6051" s="4"/>
      <c r="V6051" s="4"/>
      <c r="W6051" s="4"/>
      <c r="X6051" s="4"/>
    </row>
    <row r="6052" spans="17:24" x14ac:dyDescent="0.3">
      <c r="Q6052" s="4"/>
      <c r="R6052" s="4"/>
      <c r="S6052" s="4"/>
      <c r="T6052" s="4"/>
      <c r="U6052" s="4"/>
      <c r="V6052" s="4"/>
      <c r="W6052" s="4"/>
      <c r="X6052" s="4"/>
    </row>
    <row r="6053" spans="17:24" x14ac:dyDescent="0.3">
      <c r="Q6053" s="4"/>
      <c r="R6053" s="4"/>
      <c r="S6053" s="4"/>
      <c r="T6053" s="4"/>
      <c r="U6053" s="4"/>
      <c r="V6053" s="4"/>
      <c r="W6053" s="4"/>
      <c r="X6053" s="4"/>
    </row>
    <row r="6054" spans="17:24" x14ac:dyDescent="0.3">
      <c r="Q6054" s="4"/>
      <c r="R6054" s="4"/>
      <c r="S6054" s="4"/>
      <c r="T6054" s="4"/>
      <c r="U6054" s="4"/>
      <c r="V6054" s="4"/>
      <c r="W6054" s="4"/>
      <c r="X6054" s="4"/>
    </row>
    <row r="6055" spans="17:24" x14ac:dyDescent="0.3">
      <c r="Q6055" s="4"/>
      <c r="R6055" s="4"/>
      <c r="S6055" s="4"/>
      <c r="T6055" s="4"/>
      <c r="U6055" s="4"/>
      <c r="V6055" s="4"/>
      <c r="W6055" s="4"/>
      <c r="X6055" s="4"/>
    </row>
    <row r="6056" spans="17:24" x14ac:dyDescent="0.3">
      <c r="Q6056" s="4"/>
      <c r="R6056" s="4"/>
      <c r="S6056" s="4"/>
      <c r="T6056" s="4"/>
      <c r="U6056" s="4"/>
      <c r="V6056" s="4"/>
      <c r="W6056" s="4"/>
      <c r="X6056" s="4"/>
    </row>
    <row r="6057" spans="17:24" x14ac:dyDescent="0.3">
      <c r="Q6057" s="4"/>
      <c r="R6057" s="4"/>
      <c r="S6057" s="4"/>
      <c r="T6057" s="4"/>
      <c r="U6057" s="4"/>
      <c r="V6057" s="4"/>
      <c r="W6057" s="4"/>
      <c r="X6057" s="4"/>
    </row>
    <row r="6058" spans="17:24" x14ac:dyDescent="0.3">
      <c r="Q6058" s="4"/>
      <c r="R6058" s="4"/>
      <c r="S6058" s="4"/>
      <c r="T6058" s="4"/>
      <c r="U6058" s="4"/>
      <c r="V6058" s="4"/>
      <c r="W6058" s="4"/>
      <c r="X6058" s="4"/>
    </row>
    <row r="6059" spans="17:24" x14ac:dyDescent="0.3">
      <c r="Q6059" s="4"/>
      <c r="R6059" s="4"/>
      <c r="S6059" s="4"/>
      <c r="T6059" s="4"/>
      <c r="U6059" s="4"/>
      <c r="V6059" s="4"/>
      <c r="W6059" s="4"/>
      <c r="X6059" s="4"/>
    </row>
    <row r="6060" spans="17:24" x14ac:dyDescent="0.3">
      <c r="Q6060" s="4"/>
      <c r="R6060" s="4"/>
      <c r="S6060" s="4"/>
      <c r="T6060" s="4"/>
      <c r="U6060" s="4"/>
      <c r="V6060" s="4"/>
      <c r="W6060" s="4"/>
      <c r="X6060" s="4"/>
    </row>
    <row r="6061" spans="17:24" x14ac:dyDescent="0.3">
      <c r="Q6061" s="4"/>
      <c r="R6061" s="4"/>
      <c r="S6061" s="4"/>
      <c r="T6061" s="4"/>
      <c r="U6061" s="4"/>
      <c r="V6061" s="4"/>
      <c r="W6061" s="4"/>
      <c r="X6061" s="4"/>
    </row>
    <row r="6062" spans="17:24" x14ac:dyDescent="0.3">
      <c r="Q6062" s="4"/>
      <c r="R6062" s="4"/>
      <c r="S6062" s="4"/>
      <c r="T6062" s="4"/>
      <c r="U6062" s="4"/>
      <c r="V6062" s="4"/>
      <c r="W6062" s="4"/>
      <c r="X6062" s="4"/>
    </row>
    <row r="6063" spans="17:24" x14ac:dyDescent="0.3">
      <c r="Q6063" s="4"/>
      <c r="R6063" s="4"/>
      <c r="S6063" s="4"/>
      <c r="T6063" s="4"/>
      <c r="U6063" s="4"/>
      <c r="V6063" s="4"/>
      <c r="W6063" s="4"/>
      <c r="X6063" s="4"/>
    </row>
    <row r="6064" spans="17:24" x14ac:dyDescent="0.3">
      <c r="Q6064" s="4"/>
      <c r="R6064" s="4"/>
      <c r="S6064" s="4"/>
      <c r="T6064" s="4"/>
      <c r="U6064" s="4"/>
      <c r="V6064" s="4"/>
      <c r="W6064" s="4"/>
      <c r="X6064" s="4"/>
    </row>
    <row r="6065" spans="17:24" x14ac:dyDescent="0.3">
      <c r="Q6065" s="4"/>
      <c r="R6065" s="4"/>
      <c r="S6065" s="4"/>
      <c r="T6065" s="4"/>
      <c r="U6065" s="4"/>
      <c r="V6065" s="4"/>
      <c r="W6065" s="4"/>
      <c r="X6065" s="4"/>
    </row>
    <row r="6066" spans="17:24" x14ac:dyDescent="0.3">
      <c r="Q6066" s="4"/>
      <c r="R6066" s="4"/>
      <c r="S6066" s="4"/>
      <c r="T6066" s="4"/>
      <c r="U6066" s="4"/>
      <c r="V6066" s="4"/>
      <c r="W6066" s="4"/>
      <c r="X6066" s="4"/>
    </row>
    <row r="6067" spans="17:24" x14ac:dyDescent="0.3">
      <c r="Q6067" s="4"/>
      <c r="R6067" s="4"/>
      <c r="S6067" s="4"/>
      <c r="T6067" s="4"/>
      <c r="U6067" s="4"/>
      <c r="V6067" s="4"/>
      <c r="W6067" s="4"/>
      <c r="X6067" s="4"/>
    </row>
    <row r="6068" spans="17:24" x14ac:dyDescent="0.3">
      <c r="Q6068" s="4"/>
      <c r="R6068" s="4"/>
      <c r="S6068" s="4"/>
      <c r="T6068" s="4"/>
      <c r="U6068" s="4"/>
      <c r="V6068" s="4"/>
      <c r="W6068" s="4"/>
      <c r="X6068" s="4"/>
    </row>
    <row r="6069" spans="17:24" x14ac:dyDescent="0.3">
      <c r="Q6069" s="4"/>
      <c r="R6069" s="4"/>
      <c r="S6069" s="4"/>
      <c r="T6069" s="4"/>
      <c r="U6069" s="4"/>
      <c r="V6069" s="4"/>
      <c r="W6069" s="4"/>
      <c r="X6069" s="4"/>
    </row>
    <row r="6070" spans="17:24" x14ac:dyDescent="0.3">
      <c r="Q6070" s="4"/>
      <c r="R6070" s="4"/>
      <c r="S6070" s="4"/>
      <c r="T6070" s="4"/>
      <c r="U6070" s="4"/>
      <c r="V6070" s="4"/>
      <c r="W6070" s="4"/>
      <c r="X6070" s="4"/>
    </row>
    <row r="6071" spans="17:24" x14ac:dyDescent="0.3">
      <c r="Q6071" s="4"/>
      <c r="R6071" s="4"/>
      <c r="S6071" s="4"/>
      <c r="T6071" s="4"/>
      <c r="U6071" s="4"/>
      <c r="V6071" s="4"/>
      <c r="W6071" s="4"/>
      <c r="X6071" s="4"/>
    </row>
    <row r="6072" spans="17:24" x14ac:dyDescent="0.3">
      <c r="Q6072" s="4"/>
      <c r="R6072" s="4"/>
      <c r="S6072" s="4"/>
      <c r="T6072" s="4"/>
      <c r="U6072" s="4"/>
      <c r="V6072" s="4"/>
      <c r="W6072" s="4"/>
      <c r="X6072" s="4"/>
    </row>
    <row r="6073" spans="17:24" x14ac:dyDescent="0.3">
      <c r="Q6073" s="4"/>
      <c r="R6073" s="4"/>
      <c r="S6073" s="4"/>
      <c r="T6073" s="4"/>
      <c r="U6073" s="4"/>
      <c r="V6073" s="4"/>
      <c r="W6073" s="4"/>
      <c r="X6073" s="4"/>
    </row>
    <row r="6074" spans="17:24" x14ac:dyDescent="0.3">
      <c r="Q6074" s="4"/>
      <c r="R6074" s="4"/>
      <c r="S6074" s="4"/>
      <c r="T6074" s="4"/>
      <c r="U6074" s="4"/>
      <c r="V6074" s="4"/>
      <c r="W6074" s="4"/>
      <c r="X6074" s="4"/>
    </row>
    <row r="6075" spans="17:24" x14ac:dyDescent="0.3">
      <c r="Q6075" s="4"/>
      <c r="R6075" s="4"/>
      <c r="S6075" s="4"/>
      <c r="T6075" s="4"/>
      <c r="U6075" s="4"/>
      <c r="V6075" s="4"/>
      <c r="W6075" s="4"/>
      <c r="X6075" s="4"/>
    </row>
    <row r="6076" spans="17:24" x14ac:dyDescent="0.3">
      <c r="Q6076" s="4"/>
      <c r="R6076" s="4"/>
      <c r="S6076" s="4"/>
      <c r="T6076" s="4"/>
      <c r="U6076" s="4"/>
      <c r="V6076" s="4"/>
      <c r="W6076" s="4"/>
      <c r="X6076" s="4"/>
    </row>
    <row r="6077" spans="17:24" x14ac:dyDescent="0.3">
      <c r="Q6077" s="4"/>
      <c r="R6077" s="4"/>
      <c r="S6077" s="4"/>
      <c r="T6077" s="4"/>
      <c r="U6077" s="4"/>
      <c r="V6077" s="4"/>
      <c r="W6077" s="4"/>
      <c r="X6077" s="4"/>
    </row>
    <row r="6078" spans="17:24" x14ac:dyDescent="0.3">
      <c r="Q6078" s="4"/>
      <c r="R6078" s="4"/>
      <c r="S6078" s="4"/>
      <c r="T6078" s="4"/>
      <c r="U6078" s="4"/>
      <c r="V6078" s="4"/>
      <c r="W6078" s="4"/>
      <c r="X6078" s="4"/>
    </row>
    <row r="6079" spans="17:24" x14ac:dyDescent="0.3">
      <c r="Q6079" s="4"/>
      <c r="R6079" s="4"/>
      <c r="S6079" s="4"/>
      <c r="T6079" s="4"/>
      <c r="U6079" s="4"/>
      <c r="V6079" s="4"/>
      <c r="W6079" s="4"/>
      <c r="X6079" s="4"/>
    </row>
    <row r="6080" spans="17:24" x14ac:dyDescent="0.3">
      <c r="Q6080" s="4"/>
      <c r="R6080" s="4"/>
      <c r="S6080" s="4"/>
      <c r="T6080" s="4"/>
      <c r="U6080" s="4"/>
      <c r="V6080" s="4"/>
      <c r="W6080" s="4"/>
      <c r="X6080" s="4"/>
    </row>
    <row r="6081" spans="17:24" x14ac:dyDescent="0.3">
      <c r="Q6081" s="4"/>
      <c r="R6081" s="4"/>
      <c r="S6081" s="4"/>
      <c r="T6081" s="4"/>
      <c r="U6081" s="4"/>
      <c r="V6081" s="4"/>
      <c r="W6081" s="4"/>
      <c r="X6081" s="4"/>
    </row>
    <row r="6082" spans="17:24" x14ac:dyDescent="0.3">
      <c r="Q6082" s="4"/>
      <c r="R6082" s="4"/>
      <c r="S6082" s="4"/>
      <c r="T6082" s="4"/>
      <c r="U6082" s="4"/>
      <c r="V6082" s="4"/>
      <c r="W6082" s="4"/>
      <c r="X6082" s="4"/>
    </row>
    <row r="6083" spans="17:24" x14ac:dyDescent="0.3">
      <c r="Q6083" s="4"/>
      <c r="R6083" s="4"/>
      <c r="S6083" s="4"/>
      <c r="T6083" s="4"/>
      <c r="U6083" s="4"/>
      <c r="V6083" s="4"/>
      <c r="W6083" s="4"/>
      <c r="X6083" s="4"/>
    </row>
    <row r="6084" spans="17:24" x14ac:dyDescent="0.3">
      <c r="Q6084" s="4"/>
      <c r="R6084" s="4"/>
      <c r="S6084" s="4"/>
      <c r="T6084" s="4"/>
      <c r="U6084" s="4"/>
      <c r="V6084" s="4"/>
      <c r="W6084" s="4"/>
      <c r="X6084" s="4"/>
    </row>
    <row r="6085" spans="17:24" x14ac:dyDescent="0.3">
      <c r="Q6085" s="4"/>
      <c r="R6085" s="4"/>
      <c r="S6085" s="4"/>
      <c r="T6085" s="4"/>
      <c r="U6085" s="4"/>
      <c r="V6085" s="4"/>
      <c r="W6085" s="4"/>
      <c r="X6085" s="4"/>
    </row>
    <row r="6086" spans="17:24" x14ac:dyDescent="0.3">
      <c r="Q6086" s="4"/>
      <c r="R6086" s="4"/>
      <c r="S6086" s="4"/>
      <c r="T6086" s="4"/>
      <c r="U6086" s="4"/>
      <c r="V6086" s="4"/>
      <c r="W6086" s="4"/>
      <c r="X6086" s="4"/>
    </row>
    <row r="6087" spans="17:24" x14ac:dyDescent="0.3">
      <c r="Q6087" s="4"/>
      <c r="R6087" s="4"/>
      <c r="S6087" s="4"/>
      <c r="T6087" s="4"/>
      <c r="U6087" s="4"/>
      <c r="V6087" s="4"/>
      <c r="W6087" s="4"/>
      <c r="X6087" s="4"/>
    </row>
    <row r="6088" spans="17:24" x14ac:dyDescent="0.3">
      <c r="Q6088" s="4"/>
      <c r="R6088" s="4"/>
      <c r="S6088" s="4"/>
      <c r="T6088" s="4"/>
      <c r="U6088" s="4"/>
      <c r="V6088" s="4"/>
      <c r="W6088" s="4"/>
      <c r="X6088" s="4"/>
    </row>
    <row r="6089" spans="17:24" x14ac:dyDescent="0.3">
      <c r="Q6089" s="4"/>
      <c r="R6089" s="4"/>
      <c r="S6089" s="4"/>
      <c r="T6089" s="4"/>
      <c r="U6089" s="4"/>
      <c r="V6089" s="4"/>
      <c r="W6089" s="4"/>
      <c r="X6089" s="4"/>
    </row>
    <row r="6090" spans="17:24" x14ac:dyDescent="0.3">
      <c r="Q6090" s="4"/>
      <c r="R6090" s="4"/>
      <c r="S6090" s="4"/>
      <c r="T6090" s="4"/>
      <c r="U6090" s="4"/>
      <c r="V6090" s="4"/>
      <c r="W6090" s="4"/>
      <c r="X6090" s="4"/>
    </row>
    <row r="6091" spans="17:24" x14ac:dyDescent="0.3">
      <c r="Q6091" s="4"/>
      <c r="R6091" s="4"/>
      <c r="S6091" s="4"/>
      <c r="T6091" s="4"/>
      <c r="U6091" s="4"/>
      <c r="V6091" s="4"/>
      <c r="W6091" s="4"/>
      <c r="X6091" s="4"/>
    </row>
    <row r="6092" spans="17:24" x14ac:dyDescent="0.3">
      <c r="Q6092" s="4"/>
      <c r="R6092" s="4"/>
      <c r="S6092" s="4"/>
      <c r="T6092" s="4"/>
      <c r="U6092" s="4"/>
      <c r="V6092" s="4"/>
      <c r="W6092" s="4"/>
      <c r="X6092" s="4"/>
    </row>
    <row r="6093" spans="17:24" x14ac:dyDescent="0.3">
      <c r="Q6093" s="4"/>
      <c r="R6093" s="4"/>
      <c r="S6093" s="4"/>
      <c r="T6093" s="4"/>
      <c r="U6093" s="4"/>
      <c r="V6093" s="4"/>
      <c r="W6093" s="4"/>
      <c r="X6093" s="4"/>
    </row>
    <row r="6094" spans="17:24" x14ac:dyDescent="0.3">
      <c r="Q6094" s="4"/>
      <c r="R6094" s="4"/>
      <c r="S6094" s="4"/>
      <c r="T6094" s="4"/>
      <c r="U6094" s="4"/>
      <c r="V6094" s="4"/>
      <c r="W6094" s="4"/>
      <c r="X6094" s="4"/>
    </row>
    <row r="6095" spans="17:24" x14ac:dyDescent="0.3">
      <c r="Q6095" s="4"/>
      <c r="R6095" s="4"/>
      <c r="S6095" s="4"/>
      <c r="T6095" s="4"/>
      <c r="U6095" s="4"/>
      <c r="V6095" s="4"/>
      <c r="W6095" s="4"/>
      <c r="X6095" s="4"/>
    </row>
    <row r="6096" spans="17:24" x14ac:dyDescent="0.3">
      <c r="Q6096" s="4"/>
      <c r="R6096" s="4"/>
      <c r="S6096" s="4"/>
      <c r="T6096" s="4"/>
      <c r="U6096" s="4"/>
      <c r="V6096" s="4"/>
      <c r="W6096" s="4"/>
      <c r="X6096" s="4"/>
    </row>
    <row r="6097" spans="17:24" x14ac:dyDescent="0.3">
      <c r="Q6097" s="4"/>
      <c r="R6097" s="4"/>
      <c r="S6097" s="4"/>
      <c r="T6097" s="4"/>
      <c r="U6097" s="4"/>
      <c r="V6097" s="4"/>
      <c r="W6097" s="4"/>
      <c r="X6097" s="4"/>
    </row>
    <row r="6098" spans="17:24" x14ac:dyDescent="0.3">
      <c r="Q6098" s="4"/>
      <c r="R6098" s="4"/>
      <c r="S6098" s="4"/>
      <c r="T6098" s="4"/>
      <c r="U6098" s="4"/>
      <c r="V6098" s="4"/>
      <c r="W6098" s="4"/>
      <c r="X6098" s="4"/>
    </row>
    <row r="6099" spans="17:24" x14ac:dyDescent="0.3">
      <c r="Q6099" s="4"/>
      <c r="R6099" s="4"/>
      <c r="S6099" s="4"/>
      <c r="T6099" s="4"/>
      <c r="U6099" s="4"/>
      <c r="V6099" s="4"/>
      <c r="W6099" s="4"/>
      <c r="X6099" s="4"/>
    </row>
    <row r="6100" spans="17:24" x14ac:dyDescent="0.3">
      <c r="Q6100" s="4"/>
      <c r="R6100" s="4"/>
      <c r="S6100" s="4"/>
      <c r="T6100" s="4"/>
      <c r="U6100" s="4"/>
      <c r="V6100" s="4"/>
      <c r="W6100" s="4"/>
      <c r="X6100" s="4"/>
    </row>
    <row r="6101" spans="17:24" x14ac:dyDescent="0.3">
      <c r="Q6101" s="4"/>
      <c r="R6101" s="4"/>
      <c r="S6101" s="4"/>
      <c r="T6101" s="4"/>
      <c r="U6101" s="4"/>
      <c r="V6101" s="4"/>
      <c r="W6101" s="4"/>
      <c r="X6101" s="4"/>
    </row>
    <row r="6102" spans="17:24" x14ac:dyDescent="0.3">
      <c r="Q6102" s="4"/>
      <c r="R6102" s="4"/>
      <c r="S6102" s="4"/>
      <c r="T6102" s="4"/>
      <c r="U6102" s="4"/>
      <c r="V6102" s="4"/>
      <c r="W6102" s="4"/>
      <c r="X6102" s="4"/>
    </row>
    <row r="6103" spans="17:24" x14ac:dyDescent="0.3">
      <c r="Q6103" s="4"/>
      <c r="R6103" s="4"/>
      <c r="S6103" s="4"/>
      <c r="T6103" s="4"/>
      <c r="U6103" s="4"/>
      <c r="V6103" s="4"/>
      <c r="W6103" s="4"/>
      <c r="X6103" s="4"/>
    </row>
    <row r="6104" spans="17:24" x14ac:dyDescent="0.3">
      <c r="Q6104" s="4"/>
      <c r="R6104" s="4"/>
      <c r="S6104" s="4"/>
      <c r="T6104" s="4"/>
      <c r="U6104" s="4"/>
      <c r="V6104" s="4"/>
      <c r="W6104" s="4"/>
      <c r="X6104" s="4"/>
    </row>
    <row r="6105" spans="17:24" x14ac:dyDescent="0.3">
      <c r="Q6105" s="4"/>
      <c r="R6105" s="4"/>
      <c r="S6105" s="4"/>
      <c r="T6105" s="4"/>
      <c r="U6105" s="4"/>
      <c r="V6105" s="4"/>
      <c r="W6105" s="4"/>
      <c r="X6105" s="4"/>
    </row>
    <row r="6106" spans="17:24" x14ac:dyDescent="0.3">
      <c r="Q6106" s="4"/>
      <c r="R6106" s="4"/>
      <c r="S6106" s="4"/>
      <c r="T6106" s="4"/>
      <c r="U6106" s="4"/>
      <c r="V6106" s="4"/>
      <c r="W6106" s="4"/>
      <c r="X6106" s="4"/>
    </row>
    <row r="6107" spans="17:24" x14ac:dyDescent="0.3">
      <c r="Q6107" s="4"/>
      <c r="R6107" s="4"/>
      <c r="S6107" s="4"/>
      <c r="T6107" s="4"/>
      <c r="U6107" s="4"/>
      <c r="V6107" s="4"/>
      <c r="W6107" s="4"/>
      <c r="X6107" s="4"/>
    </row>
    <row r="6108" spans="17:24" x14ac:dyDescent="0.3">
      <c r="Q6108" s="4"/>
      <c r="R6108" s="4"/>
      <c r="S6108" s="4"/>
      <c r="T6108" s="4"/>
      <c r="U6108" s="4"/>
      <c r="V6108" s="4"/>
      <c r="W6108" s="4"/>
      <c r="X6108" s="4"/>
    </row>
    <row r="6109" spans="17:24" x14ac:dyDescent="0.3">
      <c r="Q6109" s="4"/>
      <c r="R6109" s="4"/>
      <c r="S6109" s="4"/>
      <c r="T6109" s="4"/>
      <c r="U6109" s="4"/>
      <c r="V6109" s="4"/>
      <c r="W6109" s="4"/>
      <c r="X6109" s="4"/>
    </row>
    <row r="6110" spans="17:24" x14ac:dyDescent="0.3">
      <c r="Q6110" s="4"/>
      <c r="R6110" s="4"/>
      <c r="S6110" s="4"/>
      <c r="T6110" s="4"/>
      <c r="U6110" s="4"/>
      <c r="V6110" s="4"/>
      <c r="W6110" s="4"/>
      <c r="X6110" s="4"/>
    </row>
    <row r="6111" spans="17:24" x14ac:dyDescent="0.3">
      <c r="Q6111" s="4"/>
      <c r="R6111" s="4"/>
      <c r="S6111" s="4"/>
      <c r="T6111" s="4"/>
      <c r="U6111" s="4"/>
      <c r="V6111" s="4"/>
      <c r="W6111" s="4"/>
      <c r="X6111" s="4"/>
    </row>
    <row r="6112" spans="17:24" x14ac:dyDescent="0.3">
      <c r="Q6112" s="4"/>
      <c r="R6112" s="4"/>
      <c r="S6112" s="4"/>
      <c r="T6112" s="4"/>
      <c r="U6112" s="4"/>
      <c r="V6112" s="4"/>
      <c r="W6112" s="4"/>
      <c r="X6112" s="4"/>
    </row>
    <row r="6113" spans="17:24" x14ac:dyDescent="0.3">
      <c r="Q6113" s="4"/>
      <c r="R6113" s="4"/>
      <c r="S6113" s="4"/>
      <c r="T6113" s="4"/>
      <c r="U6113" s="4"/>
      <c r="V6113" s="4"/>
      <c r="W6113" s="4"/>
      <c r="X6113" s="4"/>
    </row>
    <row r="6114" spans="17:24" x14ac:dyDescent="0.3">
      <c r="Q6114" s="4"/>
      <c r="R6114" s="4"/>
      <c r="S6114" s="4"/>
      <c r="T6114" s="4"/>
      <c r="U6114" s="4"/>
      <c r="V6114" s="4"/>
      <c r="W6114" s="4"/>
      <c r="X6114" s="4"/>
    </row>
    <row r="6115" spans="17:24" x14ac:dyDescent="0.3">
      <c r="Q6115" s="4"/>
      <c r="R6115" s="4"/>
      <c r="S6115" s="4"/>
      <c r="T6115" s="4"/>
      <c r="U6115" s="4"/>
      <c r="V6115" s="4"/>
      <c r="W6115" s="4"/>
      <c r="X6115" s="4"/>
    </row>
    <row r="6116" spans="17:24" x14ac:dyDescent="0.3">
      <c r="Q6116" s="4"/>
      <c r="R6116" s="4"/>
      <c r="S6116" s="4"/>
      <c r="T6116" s="4"/>
      <c r="U6116" s="4"/>
      <c r="V6116" s="4"/>
      <c r="W6116" s="4"/>
      <c r="X6116" s="4"/>
    </row>
    <row r="6117" spans="17:24" x14ac:dyDescent="0.3">
      <c r="Q6117" s="4"/>
      <c r="R6117" s="4"/>
      <c r="S6117" s="4"/>
      <c r="T6117" s="4"/>
      <c r="U6117" s="4"/>
      <c r="V6117" s="4"/>
      <c r="W6117" s="4"/>
      <c r="X6117" s="4"/>
    </row>
    <row r="6118" spans="17:24" x14ac:dyDescent="0.3">
      <c r="Q6118" s="4"/>
      <c r="R6118" s="4"/>
      <c r="S6118" s="4"/>
      <c r="T6118" s="4"/>
      <c r="U6118" s="4"/>
      <c r="V6118" s="4"/>
      <c r="W6118" s="4"/>
      <c r="X6118" s="4"/>
    </row>
    <row r="6119" spans="17:24" x14ac:dyDescent="0.3">
      <c r="Q6119" s="4"/>
      <c r="R6119" s="4"/>
      <c r="S6119" s="4"/>
      <c r="T6119" s="4"/>
      <c r="U6119" s="4"/>
      <c r="V6119" s="4"/>
      <c r="W6119" s="4"/>
      <c r="X6119" s="4"/>
    </row>
    <row r="6120" spans="17:24" x14ac:dyDescent="0.3">
      <c r="Q6120" s="4"/>
      <c r="R6120" s="4"/>
      <c r="S6120" s="4"/>
      <c r="T6120" s="4"/>
      <c r="U6120" s="4"/>
      <c r="V6120" s="4"/>
      <c r="W6120" s="4"/>
      <c r="X6120" s="4"/>
    </row>
    <row r="6121" spans="17:24" x14ac:dyDescent="0.3">
      <c r="Q6121" s="4"/>
      <c r="R6121" s="4"/>
      <c r="S6121" s="4"/>
      <c r="T6121" s="4"/>
      <c r="U6121" s="4"/>
      <c r="V6121" s="4"/>
      <c r="W6121" s="4"/>
      <c r="X6121" s="4"/>
    </row>
    <row r="6122" spans="17:24" x14ac:dyDescent="0.3">
      <c r="Q6122" s="4"/>
      <c r="R6122" s="4"/>
      <c r="S6122" s="4"/>
      <c r="T6122" s="4"/>
      <c r="U6122" s="4"/>
      <c r="V6122" s="4"/>
      <c r="W6122" s="4"/>
      <c r="X6122" s="4"/>
    </row>
    <row r="6123" spans="17:24" x14ac:dyDescent="0.3">
      <c r="Q6123" s="4"/>
      <c r="R6123" s="4"/>
      <c r="S6123" s="4"/>
      <c r="T6123" s="4"/>
      <c r="U6123" s="4"/>
      <c r="V6123" s="4"/>
      <c r="W6123" s="4"/>
      <c r="X6123" s="4"/>
    </row>
    <row r="6124" spans="17:24" x14ac:dyDescent="0.3">
      <c r="Q6124" s="4"/>
      <c r="R6124" s="4"/>
      <c r="S6124" s="4"/>
      <c r="T6124" s="4"/>
      <c r="U6124" s="4"/>
      <c r="V6124" s="4"/>
      <c r="W6124" s="4"/>
      <c r="X6124" s="4"/>
    </row>
    <row r="6125" spans="17:24" x14ac:dyDescent="0.3">
      <c r="Q6125" s="4"/>
      <c r="R6125" s="4"/>
      <c r="S6125" s="4"/>
      <c r="T6125" s="4"/>
      <c r="U6125" s="4"/>
      <c r="V6125" s="4"/>
      <c r="W6125" s="4"/>
      <c r="X6125" s="4"/>
    </row>
    <row r="6126" spans="17:24" x14ac:dyDescent="0.3">
      <c r="Q6126" s="4"/>
      <c r="R6126" s="4"/>
      <c r="S6126" s="4"/>
      <c r="T6126" s="4"/>
      <c r="U6126" s="4"/>
      <c r="V6126" s="4"/>
      <c r="W6126" s="4"/>
      <c r="X6126" s="4"/>
    </row>
    <row r="6127" spans="17:24" x14ac:dyDescent="0.3">
      <c r="Q6127" s="4"/>
      <c r="R6127" s="4"/>
      <c r="S6127" s="4"/>
      <c r="T6127" s="4"/>
      <c r="U6127" s="4"/>
      <c r="V6127" s="4"/>
      <c r="W6127" s="4"/>
      <c r="X6127" s="4"/>
    </row>
    <row r="6128" spans="17:24" x14ac:dyDescent="0.3">
      <c r="Q6128" s="4"/>
      <c r="R6128" s="4"/>
      <c r="S6128" s="4"/>
      <c r="T6128" s="4"/>
      <c r="U6128" s="4"/>
      <c r="V6128" s="4"/>
      <c r="W6128" s="4"/>
      <c r="X6128" s="4"/>
    </row>
    <row r="6129" spans="17:24" x14ac:dyDescent="0.3">
      <c r="Q6129" s="4"/>
      <c r="R6129" s="4"/>
      <c r="S6129" s="4"/>
      <c r="T6129" s="4"/>
      <c r="U6129" s="4"/>
      <c r="V6129" s="4"/>
      <c r="W6129" s="4"/>
      <c r="X6129" s="4"/>
    </row>
    <row r="6130" spans="17:24" x14ac:dyDescent="0.3">
      <c r="Q6130" s="4"/>
      <c r="R6130" s="4"/>
      <c r="S6130" s="4"/>
      <c r="T6130" s="4"/>
      <c r="U6130" s="4"/>
      <c r="V6130" s="4"/>
      <c r="W6130" s="4"/>
      <c r="X6130" s="4"/>
    </row>
    <row r="6131" spans="17:24" x14ac:dyDescent="0.3">
      <c r="Q6131" s="4"/>
      <c r="R6131" s="4"/>
      <c r="S6131" s="4"/>
      <c r="T6131" s="4"/>
      <c r="U6131" s="4"/>
      <c r="V6131" s="4"/>
      <c r="W6131" s="4"/>
      <c r="X6131" s="4"/>
    </row>
    <row r="6132" spans="17:24" x14ac:dyDescent="0.3">
      <c r="Q6132" s="4"/>
      <c r="R6132" s="4"/>
      <c r="S6132" s="4"/>
      <c r="T6132" s="4"/>
      <c r="U6132" s="4"/>
      <c r="V6132" s="4"/>
      <c r="W6132" s="4"/>
      <c r="X6132" s="4"/>
    </row>
    <row r="6133" spans="17:24" x14ac:dyDescent="0.3">
      <c r="Q6133" s="4"/>
      <c r="R6133" s="4"/>
      <c r="S6133" s="4"/>
      <c r="T6133" s="4"/>
      <c r="U6133" s="4"/>
      <c r="V6133" s="4"/>
      <c r="W6133" s="4"/>
      <c r="X6133" s="4"/>
    </row>
    <row r="6134" spans="17:24" x14ac:dyDescent="0.3">
      <c r="Q6134" s="4"/>
      <c r="R6134" s="4"/>
      <c r="S6134" s="4"/>
      <c r="T6134" s="4"/>
      <c r="U6134" s="4"/>
      <c r="V6134" s="4"/>
      <c r="W6134" s="4"/>
      <c r="X6134" s="4"/>
    </row>
    <row r="6135" spans="17:24" x14ac:dyDescent="0.3">
      <c r="Q6135" s="4"/>
      <c r="R6135" s="4"/>
      <c r="S6135" s="4"/>
      <c r="T6135" s="4"/>
      <c r="U6135" s="4"/>
      <c r="V6135" s="4"/>
      <c r="W6135" s="4"/>
      <c r="X6135" s="4"/>
    </row>
    <row r="6136" spans="17:24" x14ac:dyDescent="0.3">
      <c r="Q6136" s="4"/>
      <c r="R6136" s="4"/>
      <c r="S6136" s="4"/>
      <c r="T6136" s="4"/>
      <c r="U6136" s="4"/>
      <c r="V6136" s="4"/>
      <c r="W6136" s="4"/>
      <c r="X6136" s="4"/>
    </row>
    <row r="6137" spans="17:24" x14ac:dyDescent="0.3">
      <c r="Q6137" s="4"/>
      <c r="R6137" s="4"/>
      <c r="S6137" s="4"/>
      <c r="T6137" s="4"/>
      <c r="U6137" s="4"/>
      <c r="V6137" s="4"/>
      <c r="W6137" s="4"/>
      <c r="X6137" s="4"/>
    </row>
    <row r="6138" spans="17:24" x14ac:dyDescent="0.3">
      <c r="Q6138" s="4"/>
      <c r="R6138" s="4"/>
      <c r="S6138" s="4"/>
      <c r="T6138" s="4"/>
      <c r="U6138" s="4"/>
      <c r="V6138" s="4"/>
      <c r="W6138" s="4"/>
      <c r="X6138" s="4"/>
    </row>
    <row r="6139" spans="17:24" x14ac:dyDescent="0.3">
      <c r="Q6139" s="4"/>
      <c r="R6139" s="4"/>
      <c r="S6139" s="4"/>
      <c r="T6139" s="4"/>
      <c r="U6139" s="4"/>
      <c r="V6139" s="4"/>
      <c r="W6139" s="4"/>
      <c r="X6139" s="4"/>
    </row>
    <row r="6140" spans="17:24" x14ac:dyDescent="0.3">
      <c r="Q6140" s="4"/>
      <c r="R6140" s="4"/>
      <c r="S6140" s="4"/>
      <c r="T6140" s="4"/>
      <c r="U6140" s="4"/>
      <c r="V6140" s="4"/>
      <c r="W6140" s="4"/>
      <c r="X6140" s="4"/>
    </row>
    <row r="6141" spans="17:24" x14ac:dyDescent="0.3">
      <c r="Q6141" s="4"/>
      <c r="R6141" s="4"/>
      <c r="S6141" s="4"/>
      <c r="T6141" s="4"/>
      <c r="U6141" s="4"/>
      <c r="V6141" s="4"/>
      <c r="W6141" s="4"/>
      <c r="X6141" s="4"/>
    </row>
    <row r="6142" spans="17:24" x14ac:dyDescent="0.3">
      <c r="Q6142" s="4"/>
      <c r="R6142" s="4"/>
      <c r="S6142" s="4"/>
      <c r="T6142" s="4"/>
      <c r="U6142" s="4"/>
      <c r="V6142" s="4"/>
      <c r="W6142" s="4"/>
      <c r="X6142" s="4"/>
    </row>
    <row r="6143" spans="17:24" x14ac:dyDescent="0.3">
      <c r="Q6143" s="4"/>
      <c r="R6143" s="4"/>
      <c r="S6143" s="4"/>
      <c r="T6143" s="4"/>
      <c r="U6143" s="4"/>
      <c r="V6143" s="4"/>
      <c r="W6143" s="4"/>
      <c r="X6143" s="4"/>
    </row>
    <row r="6144" spans="17:24" x14ac:dyDescent="0.3">
      <c r="Q6144" s="4"/>
      <c r="R6144" s="4"/>
      <c r="S6144" s="4"/>
      <c r="T6144" s="4"/>
      <c r="U6144" s="4"/>
      <c r="V6144" s="4"/>
      <c r="W6144" s="4"/>
      <c r="X6144" s="4"/>
    </row>
    <row r="6145" spans="17:24" x14ac:dyDescent="0.3">
      <c r="Q6145" s="4"/>
      <c r="R6145" s="4"/>
      <c r="S6145" s="4"/>
      <c r="T6145" s="4"/>
      <c r="U6145" s="4"/>
      <c r="V6145" s="4"/>
      <c r="W6145" s="4"/>
      <c r="X6145" s="4"/>
    </row>
    <row r="6146" spans="17:24" x14ac:dyDescent="0.3">
      <c r="Q6146" s="4"/>
      <c r="R6146" s="4"/>
      <c r="S6146" s="4"/>
      <c r="T6146" s="4"/>
      <c r="U6146" s="4"/>
      <c r="V6146" s="4"/>
      <c r="W6146" s="4"/>
      <c r="X6146" s="4"/>
    </row>
    <row r="6147" spans="17:24" x14ac:dyDescent="0.3">
      <c r="Q6147" s="4"/>
      <c r="R6147" s="4"/>
      <c r="S6147" s="4"/>
      <c r="T6147" s="4"/>
      <c r="U6147" s="4"/>
      <c r="V6147" s="4"/>
      <c r="W6147" s="4"/>
      <c r="X6147" s="4"/>
    </row>
    <row r="6148" spans="17:24" x14ac:dyDescent="0.3">
      <c r="Q6148" s="4"/>
      <c r="R6148" s="4"/>
      <c r="S6148" s="4"/>
      <c r="T6148" s="4"/>
      <c r="U6148" s="4"/>
      <c r="V6148" s="4"/>
      <c r="W6148" s="4"/>
      <c r="X6148" s="4"/>
    </row>
    <row r="6149" spans="17:24" x14ac:dyDescent="0.3">
      <c r="Q6149" s="4"/>
      <c r="R6149" s="4"/>
      <c r="S6149" s="4"/>
      <c r="T6149" s="4"/>
      <c r="U6149" s="4"/>
      <c r="V6149" s="4"/>
      <c r="W6149" s="4"/>
      <c r="X6149" s="4"/>
    </row>
    <row r="6150" spans="17:24" x14ac:dyDescent="0.3">
      <c r="Q6150" s="4"/>
      <c r="R6150" s="4"/>
      <c r="S6150" s="4"/>
      <c r="T6150" s="4"/>
      <c r="U6150" s="4"/>
      <c r="V6150" s="4"/>
      <c r="W6150" s="4"/>
      <c r="X6150" s="4"/>
    </row>
    <row r="6151" spans="17:24" x14ac:dyDescent="0.3">
      <c r="Q6151" s="4"/>
      <c r="R6151" s="4"/>
      <c r="S6151" s="4"/>
      <c r="T6151" s="4"/>
      <c r="U6151" s="4"/>
      <c r="V6151" s="4"/>
      <c r="W6151" s="4"/>
      <c r="X6151" s="4"/>
    </row>
    <row r="6152" spans="17:24" x14ac:dyDescent="0.3">
      <c r="Q6152" s="4"/>
      <c r="R6152" s="4"/>
      <c r="S6152" s="4"/>
      <c r="T6152" s="4"/>
      <c r="U6152" s="4"/>
      <c r="V6152" s="4"/>
      <c r="W6152" s="4"/>
      <c r="X6152" s="4"/>
    </row>
    <row r="6153" spans="17:24" x14ac:dyDescent="0.3">
      <c r="Q6153" s="4"/>
      <c r="R6153" s="4"/>
      <c r="S6153" s="4"/>
      <c r="T6153" s="4"/>
      <c r="U6153" s="4"/>
      <c r="V6153" s="4"/>
      <c r="W6153" s="4"/>
      <c r="X6153" s="4"/>
    </row>
    <row r="6154" spans="17:24" x14ac:dyDescent="0.3">
      <c r="Q6154" s="4"/>
      <c r="R6154" s="4"/>
      <c r="S6154" s="4"/>
      <c r="T6154" s="4"/>
      <c r="U6154" s="4"/>
      <c r="V6154" s="4"/>
      <c r="W6154" s="4"/>
      <c r="X6154" s="4"/>
    </row>
    <row r="6155" spans="17:24" x14ac:dyDescent="0.3">
      <c r="Q6155" s="4"/>
      <c r="R6155" s="4"/>
      <c r="S6155" s="4"/>
      <c r="T6155" s="4"/>
      <c r="U6155" s="4"/>
      <c r="V6155" s="4"/>
      <c r="W6155" s="4"/>
      <c r="X6155" s="4"/>
    </row>
    <row r="6156" spans="17:24" x14ac:dyDescent="0.3">
      <c r="Q6156" s="4"/>
      <c r="R6156" s="4"/>
      <c r="S6156" s="4"/>
      <c r="T6156" s="4"/>
      <c r="U6156" s="4"/>
      <c r="V6156" s="4"/>
      <c r="W6156" s="4"/>
      <c r="X6156" s="4"/>
    </row>
    <row r="6157" spans="17:24" x14ac:dyDescent="0.3">
      <c r="Q6157" s="4"/>
      <c r="R6157" s="4"/>
      <c r="S6157" s="4"/>
      <c r="T6157" s="4"/>
      <c r="U6157" s="4"/>
      <c r="V6157" s="4"/>
      <c r="W6157" s="4"/>
      <c r="X6157" s="4"/>
    </row>
    <row r="6158" spans="17:24" x14ac:dyDescent="0.3">
      <c r="Q6158" s="4"/>
      <c r="R6158" s="4"/>
      <c r="S6158" s="4"/>
      <c r="T6158" s="4"/>
      <c r="U6158" s="4"/>
      <c r="V6158" s="4"/>
      <c r="W6158" s="4"/>
      <c r="X6158" s="4"/>
    </row>
    <row r="6159" spans="17:24" x14ac:dyDescent="0.3">
      <c r="Q6159" s="4"/>
      <c r="R6159" s="4"/>
      <c r="S6159" s="4"/>
      <c r="T6159" s="4"/>
      <c r="U6159" s="4"/>
      <c r="V6159" s="4"/>
      <c r="W6159" s="4"/>
      <c r="X6159" s="4"/>
    </row>
    <row r="6160" spans="17:24" x14ac:dyDescent="0.3">
      <c r="Q6160" s="4"/>
      <c r="R6160" s="4"/>
      <c r="S6160" s="4"/>
      <c r="T6160" s="4"/>
      <c r="U6160" s="4"/>
      <c r="V6160" s="4"/>
      <c r="W6160" s="4"/>
      <c r="X6160" s="4"/>
    </row>
    <row r="6161" spans="17:24" x14ac:dyDescent="0.3">
      <c r="Q6161" s="4"/>
      <c r="R6161" s="4"/>
      <c r="S6161" s="4"/>
      <c r="T6161" s="4"/>
      <c r="U6161" s="4"/>
      <c r="V6161" s="4"/>
      <c r="W6161" s="4"/>
      <c r="X6161" s="4"/>
    </row>
    <row r="6162" spans="17:24" x14ac:dyDescent="0.3">
      <c r="Q6162" s="4"/>
      <c r="R6162" s="4"/>
      <c r="S6162" s="4"/>
      <c r="T6162" s="4"/>
      <c r="U6162" s="4"/>
      <c r="V6162" s="4"/>
      <c r="W6162" s="4"/>
      <c r="X6162" s="4"/>
    </row>
    <row r="6163" spans="17:24" x14ac:dyDescent="0.3">
      <c r="Q6163" s="4"/>
      <c r="R6163" s="4"/>
      <c r="S6163" s="4"/>
      <c r="T6163" s="4"/>
      <c r="U6163" s="4"/>
      <c r="V6163" s="4"/>
      <c r="W6163" s="4"/>
      <c r="X6163" s="4"/>
    </row>
    <row r="6164" spans="17:24" x14ac:dyDescent="0.3">
      <c r="Q6164" s="4"/>
      <c r="R6164" s="4"/>
      <c r="S6164" s="4"/>
      <c r="T6164" s="4"/>
      <c r="U6164" s="4"/>
      <c r="V6164" s="4"/>
      <c r="W6164" s="4"/>
      <c r="X6164" s="4"/>
    </row>
    <row r="6165" spans="17:24" x14ac:dyDescent="0.3">
      <c r="Q6165" s="4"/>
      <c r="R6165" s="4"/>
      <c r="S6165" s="4"/>
      <c r="T6165" s="4"/>
      <c r="U6165" s="4"/>
      <c r="V6165" s="4"/>
      <c r="W6165" s="4"/>
      <c r="X6165" s="4"/>
    </row>
    <row r="6166" spans="17:24" x14ac:dyDescent="0.3">
      <c r="Q6166" s="4"/>
      <c r="R6166" s="4"/>
      <c r="S6166" s="4"/>
      <c r="T6166" s="4"/>
      <c r="U6166" s="4"/>
      <c r="V6166" s="4"/>
      <c r="W6166" s="4"/>
      <c r="X6166" s="4"/>
    </row>
    <row r="6167" spans="17:24" x14ac:dyDescent="0.3">
      <c r="Q6167" s="4"/>
      <c r="R6167" s="4"/>
      <c r="S6167" s="4"/>
      <c r="T6167" s="4"/>
      <c r="U6167" s="4"/>
      <c r="V6167" s="4"/>
      <c r="W6167" s="4"/>
      <c r="X6167" s="4"/>
    </row>
    <row r="6168" spans="17:24" x14ac:dyDescent="0.3">
      <c r="Q6168" s="4"/>
      <c r="R6168" s="4"/>
      <c r="S6168" s="4"/>
      <c r="T6168" s="4"/>
      <c r="U6168" s="4"/>
      <c r="V6168" s="4"/>
      <c r="W6168" s="4"/>
      <c r="X6168" s="4"/>
    </row>
    <row r="6169" spans="17:24" x14ac:dyDescent="0.3">
      <c r="Q6169" s="4"/>
      <c r="R6169" s="4"/>
      <c r="S6169" s="4"/>
      <c r="T6169" s="4"/>
      <c r="U6169" s="4"/>
      <c r="V6169" s="4"/>
      <c r="W6169" s="4"/>
      <c r="X6169" s="4"/>
    </row>
    <row r="6170" spans="17:24" x14ac:dyDescent="0.3">
      <c r="Q6170" s="4"/>
      <c r="R6170" s="4"/>
      <c r="S6170" s="4"/>
      <c r="T6170" s="4"/>
      <c r="U6170" s="4"/>
      <c r="V6170" s="4"/>
      <c r="W6170" s="4"/>
      <c r="X6170" s="4"/>
    </row>
    <row r="6171" spans="17:24" x14ac:dyDescent="0.3">
      <c r="Q6171" s="4"/>
      <c r="R6171" s="4"/>
      <c r="S6171" s="4"/>
      <c r="T6171" s="4"/>
      <c r="U6171" s="4"/>
      <c r="V6171" s="4"/>
      <c r="W6171" s="4"/>
      <c r="X6171" s="4"/>
    </row>
    <row r="6172" spans="17:24" x14ac:dyDescent="0.3">
      <c r="Q6172" s="4"/>
      <c r="R6172" s="4"/>
      <c r="S6172" s="4"/>
      <c r="T6172" s="4"/>
      <c r="U6172" s="4"/>
      <c r="V6172" s="4"/>
      <c r="W6172" s="4"/>
      <c r="X6172" s="4"/>
    </row>
    <row r="6173" spans="17:24" x14ac:dyDescent="0.3">
      <c r="Q6173" s="4"/>
      <c r="R6173" s="4"/>
      <c r="S6173" s="4"/>
      <c r="T6173" s="4"/>
      <c r="U6173" s="4"/>
      <c r="V6173" s="4"/>
      <c r="W6173" s="4"/>
      <c r="X6173" s="4"/>
    </row>
    <row r="6174" spans="17:24" x14ac:dyDescent="0.3">
      <c r="Q6174" s="4"/>
      <c r="R6174" s="4"/>
      <c r="S6174" s="4"/>
      <c r="T6174" s="4"/>
      <c r="U6174" s="4"/>
      <c r="V6174" s="4"/>
      <c r="W6174" s="4"/>
      <c r="X6174" s="4"/>
    </row>
    <row r="6175" spans="17:24" x14ac:dyDescent="0.3">
      <c r="Q6175" s="4"/>
      <c r="R6175" s="4"/>
      <c r="S6175" s="4"/>
      <c r="T6175" s="4"/>
      <c r="U6175" s="4"/>
      <c r="V6175" s="4"/>
      <c r="W6175" s="4"/>
      <c r="X6175" s="4"/>
    </row>
    <row r="6176" spans="17:24" x14ac:dyDescent="0.3">
      <c r="Q6176" s="4"/>
      <c r="R6176" s="4"/>
      <c r="S6176" s="4"/>
      <c r="T6176" s="4"/>
      <c r="U6176" s="4"/>
      <c r="V6176" s="4"/>
      <c r="W6176" s="4"/>
      <c r="X6176" s="4"/>
    </row>
    <row r="6177" spans="17:24" x14ac:dyDescent="0.3">
      <c r="Q6177" s="4"/>
      <c r="R6177" s="4"/>
      <c r="S6177" s="4"/>
      <c r="T6177" s="4"/>
      <c r="U6177" s="4"/>
      <c r="V6177" s="4"/>
      <c r="W6177" s="4"/>
      <c r="X6177" s="4"/>
    </row>
    <row r="6178" spans="17:24" x14ac:dyDescent="0.3">
      <c r="Q6178" s="4"/>
      <c r="R6178" s="4"/>
      <c r="S6178" s="4"/>
      <c r="T6178" s="4"/>
      <c r="U6178" s="4"/>
      <c r="V6178" s="4"/>
      <c r="W6178" s="4"/>
      <c r="X6178" s="4"/>
    </row>
    <row r="6179" spans="17:24" x14ac:dyDescent="0.3">
      <c r="Q6179" s="4"/>
      <c r="R6179" s="4"/>
      <c r="S6179" s="4"/>
      <c r="T6179" s="4"/>
      <c r="U6179" s="4"/>
      <c r="V6179" s="4"/>
      <c r="W6179" s="4"/>
      <c r="X6179" s="4"/>
    </row>
    <row r="6180" spans="17:24" x14ac:dyDescent="0.3">
      <c r="Q6180" s="4"/>
      <c r="R6180" s="4"/>
      <c r="S6180" s="4"/>
      <c r="T6180" s="4"/>
      <c r="U6180" s="4"/>
      <c r="V6180" s="4"/>
      <c r="W6180" s="4"/>
      <c r="X6180" s="4"/>
    </row>
    <row r="6181" spans="17:24" x14ac:dyDescent="0.3">
      <c r="Q6181" s="4"/>
      <c r="R6181" s="4"/>
      <c r="S6181" s="4"/>
      <c r="T6181" s="4"/>
      <c r="U6181" s="4"/>
      <c r="V6181" s="4"/>
      <c r="W6181" s="4"/>
      <c r="X6181" s="4"/>
    </row>
    <row r="6182" spans="17:24" x14ac:dyDescent="0.3">
      <c r="Q6182" s="4"/>
      <c r="R6182" s="4"/>
      <c r="S6182" s="4"/>
      <c r="T6182" s="4"/>
      <c r="U6182" s="4"/>
      <c r="V6182" s="4"/>
      <c r="W6182" s="4"/>
      <c r="X6182" s="4"/>
    </row>
    <row r="6183" spans="17:24" x14ac:dyDescent="0.3">
      <c r="Q6183" s="4"/>
      <c r="R6183" s="4"/>
      <c r="S6183" s="4"/>
      <c r="T6183" s="4"/>
      <c r="U6183" s="4"/>
      <c r="V6183" s="4"/>
      <c r="W6183" s="4"/>
      <c r="X6183" s="4"/>
    </row>
    <row r="6184" spans="17:24" x14ac:dyDescent="0.3">
      <c r="Q6184" s="4"/>
      <c r="R6184" s="4"/>
      <c r="S6184" s="4"/>
      <c r="T6184" s="4"/>
      <c r="U6184" s="4"/>
      <c r="V6184" s="4"/>
      <c r="W6184" s="4"/>
      <c r="X6184" s="4"/>
    </row>
    <row r="6185" spans="17:24" x14ac:dyDescent="0.3">
      <c r="Q6185" s="4"/>
      <c r="R6185" s="4"/>
      <c r="S6185" s="4"/>
      <c r="T6185" s="4"/>
      <c r="U6185" s="4"/>
      <c r="V6185" s="4"/>
      <c r="W6185" s="4"/>
      <c r="X6185" s="4"/>
    </row>
    <row r="6186" spans="17:24" x14ac:dyDescent="0.3">
      <c r="Q6186" s="4"/>
      <c r="R6186" s="4"/>
      <c r="S6186" s="4"/>
      <c r="T6186" s="4"/>
      <c r="U6186" s="4"/>
      <c r="V6186" s="4"/>
      <c r="W6186" s="4"/>
      <c r="X6186" s="4"/>
    </row>
    <row r="6187" spans="17:24" x14ac:dyDescent="0.3">
      <c r="Q6187" s="4"/>
      <c r="R6187" s="4"/>
      <c r="S6187" s="4"/>
      <c r="T6187" s="4"/>
      <c r="U6187" s="4"/>
      <c r="V6187" s="4"/>
      <c r="W6187" s="4"/>
      <c r="X6187" s="4"/>
    </row>
    <row r="6188" spans="17:24" x14ac:dyDescent="0.3">
      <c r="Q6188" s="4"/>
      <c r="R6188" s="4"/>
      <c r="S6188" s="4"/>
      <c r="T6188" s="4"/>
      <c r="U6188" s="4"/>
      <c r="V6188" s="4"/>
      <c r="W6188" s="4"/>
      <c r="X6188" s="4"/>
    </row>
    <row r="6189" spans="17:24" x14ac:dyDescent="0.3">
      <c r="Q6189" s="4"/>
      <c r="R6189" s="4"/>
      <c r="S6189" s="4"/>
      <c r="T6189" s="4"/>
      <c r="U6189" s="4"/>
      <c r="V6189" s="4"/>
      <c r="W6189" s="4"/>
      <c r="X6189" s="4"/>
    </row>
    <row r="6190" spans="17:24" x14ac:dyDescent="0.3">
      <c r="Q6190" s="4"/>
      <c r="R6190" s="4"/>
      <c r="S6190" s="4"/>
      <c r="T6190" s="4"/>
      <c r="U6190" s="4"/>
      <c r="V6190" s="4"/>
      <c r="W6190" s="4"/>
      <c r="X6190" s="4"/>
    </row>
    <row r="6191" spans="17:24" x14ac:dyDescent="0.3">
      <c r="Q6191" s="4"/>
      <c r="R6191" s="4"/>
      <c r="S6191" s="4"/>
      <c r="T6191" s="4"/>
      <c r="U6191" s="4"/>
      <c r="V6191" s="4"/>
      <c r="W6191" s="4"/>
      <c r="X6191" s="4"/>
    </row>
    <row r="6192" spans="17:24" x14ac:dyDescent="0.3">
      <c r="Q6192" s="4"/>
      <c r="R6192" s="4"/>
      <c r="S6192" s="4"/>
      <c r="T6192" s="4"/>
      <c r="U6192" s="4"/>
      <c r="V6192" s="4"/>
      <c r="W6192" s="4"/>
      <c r="X6192" s="4"/>
    </row>
    <row r="6193" spans="17:24" x14ac:dyDescent="0.3">
      <c r="Q6193" s="4"/>
      <c r="R6193" s="4"/>
      <c r="S6193" s="4"/>
      <c r="T6193" s="4"/>
      <c r="U6193" s="4"/>
      <c r="V6193" s="4"/>
      <c r="W6193" s="4"/>
      <c r="X6193" s="4"/>
    </row>
    <row r="6194" spans="17:24" x14ac:dyDescent="0.3">
      <c r="Q6194" s="4"/>
      <c r="R6194" s="4"/>
      <c r="S6194" s="4"/>
      <c r="T6194" s="4"/>
      <c r="U6194" s="4"/>
      <c r="V6194" s="4"/>
      <c r="W6194" s="4"/>
      <c r="X6194" s="4"/>
    </row>
    <row r="6195" spans="17:24" x14ac:dyDescent="0.3">
      <c r="Q6195" s="4"/>
      <c r="R6195" s="4"/>
      <c r="S6195" s="4"/>
      <c r="T6195" s="4"/>
      <c r="U6195" s="4"/>
      <c r="V6195" s="4"/>
      <c r="W6195" s="4"/>
      <c r="X6195" s="4"/>
    </row>
    <row r="6196" spans="17:24" x14ac:dyDescent="0.3">
      <c r="Q6196" s="4"/>
      <c r="R6196" s="4"/>
      <c r="S6196" s="4"/>
      <c r="T6196" s="4"/>
      <c r="U6196" s="4"/>
      <c r="V6196" s="4"/>
      <c r="W6196" s="4"/>
      <c r="X6196" s="4"/>
    </row>
    <row r="6197" spans="17:24" x14ac:dyDescent="0.3">
      <c r="Q6197" s="4"/>
      <c r="R6197" s="4"/>
      <c r="S6197" s="4"/>
      <c r="T6197" s="4"/>
      <c r="U6197" s="4"/>
      <c r="V6197" s="4"/>
      <c r="W6197" s="4"/>
      <c r="X6197" s="4"/>
    </row>
    <row r="6198" spans="17:24" x14ac:dyDescent="0.3">
      <c r="Q6198" s="4"/>
      <c r="R6198" s="4"/>
      <c r="S6198" s="4"/>
      <c r="T6198" s="4"/>
      <c r="U6198" s="4"/>
      <c r="V6198" s="4"/>
      <c r="W6198" s="4"/>
      <c r="X6198" s="4"/>
    </row>
    <row r="6199" spans="17:24" x14ac:dyDescent="0.3">
      <c r="Q6199" s="4"/>
      <c r="R6199" s="4"/>
      <c r="S6199" s="4"/>
      <c r="T6199" s="4"/>
      <c r="U6199" s="4"/>
      <c r="V6199" s="4"/>
      <c r="W6199" s="4"/>
      <c r="X6199" s="4"/>
    </row>
    <row r="6200" spans="17:24" x14ac:dyDescent="0.3">
      <c r="Q6200" s="4"/>
      <c r="R6200" s="4"/>
      <c r="S6200" s="4"/>
      <c r="T6200" s="4"/>
      <c r="U6200" s="4"/>
      <c r="V6200" s="4"/>
      <c r="W6200" s="4"/>
      <c r="X6200" s="4"/>
    </row>
    <row r="6201" spans="17:24" x14ac:dyDescent="0.3">
      <c r="Q6201" s="4"/>
      <c r="R6201" s="4"/>
      <c r="S6201" s="4"/>
      <c r="T6201" s="4"/>
      <c r="U6201" s="4"/>
      <c r="V6201" s="4"/>
      <c r="W6201" s="4"/>
      <c r="X6201" s="4"/>
    </row>
    <row r="6202" spans="17:24" x14ac:dyDescent="0.3">
      <c r="Q6202" s="4"/>
      <c r="R6202" s="4"/>
      <c r="S6202" s="4"/>
      <c r="T6202" s="4"/>
      <c r="U6202" s="4"/>
      <c r="V6202" s="4"/>
      <c r="W6202" s="4"/>
      <c r="X6202" s="4"/>
    </row>
    <row r="6203" spans="17:24" x14ac:dyDescent="0.3">
      <c r="Q6203" s="4"/>
      <c r="R6203" s="4"/>
      <c r="S6203" s="4"/>
      <c r="T6203" s="4"/>
      <c r="U6203" s="4"/>
      <c r="V6203" s="4"/>
      <c r="W6203" s="4"/>
      <c r="X6203" s="4"/>
    </row>
    <row r="6204" spans="17:24" x14ac:dyDescent="0.3">
      <c r="Q6204" s="4"/>
      <c r="R6204" s="4"/>
      <c r="S6204" s="4"/>
      <c r="T6204" s="4"/>
      <c r="U6204" s="4"/>
      <c r="V6204" s="4"/>
      <c r="W6204" s="4"/>
      <c r="X6204" s="4"/>
    </row>
    <row r="6205" spans="17:24" x14ac:dyDescent="0.3">
      <c r="Q6205" s="4"/>
      <c r="R6205" s="4"/>
      <c r="S6205" s="4"/>
      <c r="T6205" s="4"/>
      <c r="U6205" s="4"/>
      <c r="V6205" s="4"/>
      <c r="W6205" s="4"/>
      <c r="X6205" s="4"/>
    </row>
    <row r="6206" spans="17:24" x14ac:dyDescent="0.3">
      <c r="Q6206" s="4"/>
      <c r="R6206" s="4"/>
      <c r="S6206" s="4"/>
      <c r="T6206" s="4"/>
      <c r="U6206" s="4"/>
      <c r="V6206" s="4"/>
      <c r="W6206" s="4"/>
      <c r="X6206" s="4"/>
    </row>
    <row r="6207" spans="17:24" x14ac:dyDescent="0.3">
      <c r="Q6207" s="4"/>
      <c r="R6207" s="4"/>
      <c r="S6207" s="4"/>
      <c r="T6207" s="4"/>
      <c r="U6207" s="4"/>
      <c r="V6207" s="4"/>
      <c r="W6207" s="4"/>
      <c r="X6207" s="4"/>
    </row>
    <row r="6208" spans="17:24" x14ac:dyDescent="0.3">
      <c r="Q6208" s="4"/>
      <c r="R6208" s="4"/>
      <c r="S6208" s="4"/>
      <c r="T6208" s="4"/>
      <c r="U6208" s="4"/>
      <c r="V6208" s="4"/>
      <c r="W6208" s="4"/>
      <c r="X6208" s="4"/>
    </row>
    <row r="6209" spans="17:24" x14ac:dyDescent="0.3">
      <c r="Q6209" s="4"/>
      <c r="R6209" s="4"/>
      <c r="S6209" s="4"/>
      <c r="T6209" s="4"/>
      <c r="U6209" s="4"/>
      <c r="V6209" s="4"/>
      <c r="W6209" s="4"/>
      <c r="X6209" s="4"/>
    </row>
    <row r="6210" spans="17:24" x14ac:dyDescent="0.3">
      <c r="Q6210" s="4"/>
      <c r="R6210" s="4"/>
      <c r="S6210" s="4"/>
      <c r="T6210" s="4"/>
      <c r="U6210" s="4"/>
      <c r="V6210" s="4"/>
      <c r="W6210" s="4"/>
      <c r="X6210" s="4"/>
    </row>
    <row r="6211" spans="17:24" x14ac:dyDescent="0.3">
      <c r="Q6211" s="4"/>
      <c r="R6211" s="4"/>
      <c r="S6211" s="4"/>
      <c r="T6211" s="4"/>
      <c r="U6211" s="4"/>
      <c r="V6211" s="4"/>
      <c r="W6211" s="4"/>
      <c r="X6211" s="4"/>
    </row>
    <row r="6212" spans="17:24" x14ac:dyDescent="0.3">
      <c r="Q6212" s="4"/>
      <c r="R6212" s="4"/>
      <c r="S6212" s="4"/>
      <c r="T6212" s="4"/>
      <c r="U6212" s="4"/>
      <c r="V6212" s="4"/>
      <c r="W6212" s="4"/>
      <c r="X6212" s="4"/>
    </row>
    <row r="6213" spans="17:24" x14ac:dyDescent="0.3">
      <c r="Q6213" s="4"/>
      <c r="R6213" s="4"/>
      <c r="S6213" s="4"/>
      <c r="T6213" s="4"/>
      <c r="U6213" s="4"/>
      <c r="V6213" s="4"/>
      <c r="W6213" s="4"/>
      <c r="X6213" s="4"/>
    </row>
    <row r="6214" spans="17:24" x14ac:dyDescent="0.3">
      <c r="Q6214" s="4"/>
      <c r="R6214" s="4"/>
      <c r="S6214" s="4"/>
      <c r="T6214" s="4"/>
      <c r="U6214" s="4"/>
      <c r="V6214" s="4"/>
      <c r="W6214" s="4"/>
      <c r="X6214" s="4"/>
    </row>
    <row r="6215" spans="17:24" x14ac:dyDescent="0.3">
      <c r="Q6215" s="4"/>
      <c r="R6215" s="4"/>
      <c r="S6215" s="4"/>
      <c r="T6215" s="4"/>
      <c r="U6215" s="4"/>
      <c r="V6215" s="4"/>
      <c r="W6215" s="4"/>
      <c r="X6215" s="4"/>
    </row>
    <row r="6216" spans="17:24" x14ac:dyDescent="0.3">
      <c r="Q6216" s="4"/>
      <c r="R6216" s="4"/>
      <c r="S6216" s="4"/>
      <c r="T6216" s="4"/>
      <c r="U6216" s="4"/>
      <c r="V6216" s="4"/>
      <c r="W6216" s="4"/>
      <c r="X6216" s="4"/>
    </row>
    <row r="6217" spans="17:24" x14ac:dyDescent="0.3">
      <c r="Q6217" s="4"/>
      <c r="R6217" s="4"/>
      <c r="S6217" s="4"/>
      <c r="T6217" s="4"/>
      <c r="U6217" s="4"/>
      <c r="V6217" s="4"/>
      <c r="W6217" s="4"/>
      <c r="X6217" s="4"/>
    </row>
    <row r="6218" spans="17:24" x14ac:dyDescent="0.3">
      <c r="Q6218" s="4"/>
      <c r="R6218" s="4"/>
      <c r="S6218" s="4"/>
      <c r="T6218" s="4"/>
      <c r="U6218" s="4"/>
      <c r="V6218" s="4"/>
      <c r="W6218" s="4"/>
      <c r="X6218" s="4"/>
    </row>
    <row r="6219" spans="17:24" x14ac:dyDescent="0.3">
      <c r="Q6219" s="4"/>
      <c r="R6219" s="4"/>
      <c r="S6219" s="4"/>
      <c r="T6219" s="4"/>
      <c r="U6219" s="4"/>
      <c r="V6219" s="4"/>
      <c r="W6219" s="4"/>
      <c r="X6219" s="4"/>
    </row>
    <row r="6220" spans="17:24" x14ac:dyDescent="0.3">
      <c r="Q6220" s="4"/>
      <c r="R6220" s="4"/>
      <c r="S6220" s="4"/>
      <c r="T6220" s="4"/>
      <c r="U6220" s="4"/>
      <c r="V6220" s="4"/>
      <c r="W6220" s="4"/>
      <c r="X6220" s="4"/>
    </row>
    <row r="6221" spans="17:24" x14ac:dyDescent="0.3">
      <c r="Q6221" s="4"/>
      <c r="R6221" s="4"/>
      <c r="S6221" s="4"/>
      <c r="T6221" s="4"/>
      <c r="U6221" s="4"/>
      <c r="V6221" s="4"/>
      <c r="W6221" s="4"/>
      <c r="X6221" s="4"/>
    </row>
    <row r="6222" spans="17:24" x14ac:dyDescent="0.3">
      <c r="Q6222" s="4"/>
      <c r="R6222" s="4"/>
      <c r="S6222" s="4"/>
      <c r="T6222" s="4"/>
      <c r="U6222" s="4"/>
      <c r="V6222" s="4"/>
      <c r="W6222" s="4"/>
      <c r="X6222" s="4"/>
    </row>
    <row r="6223" spans="17:24" x14ac:dyDescent="0.3">
      <c r="Q6223" s="4"/>
      <c r="R6223" s="4"/>
      <c r="S6223" s="4"/>
      <c r="T6223" s="4"/>
      <c r="U6223" s="4"/>
      <c r="V6223" s="4"/>
      <c r="W6223" s="4"/>
      <c r="X6223" s="4"/>
    </row>
    <row r="6224" spans="17:24" x14ac:dyDescent="0.3">
      <c r="Q6224" s="4"/>
      <c r="R6224" s="4"/>
      <c r="S6224" s="4"/>
      <c r="T6224" s="4"/>
      <c r="U6224" s="4"/>
      <c r="V6224" s="4"/>
      <c r="W6224" s="4"/>
      <c r="X6224" s="4"/>
    </row>
    <row r="6225" spans="17:24" x14ac:dyDescent="0.3">
      <c r="Q6225" s="4"/>
      <c r="R6225" s="4"/>
      <c r="S6225" s="4"/>
      <c r="T6225" s="4"/>
      <c r="U6225" s="4"/>
      <c r="V6225" s="4"/>
      <c r="W6225" s="4"/>
      <c r="X6225" s="4"/>
    </row>
    <row r="6226" spans="17:24" x14ac:dyDescent="0.3">
      <c r="Q6226" s="4"/>
      <c r="R6226" s="4"/>
      <c r="S6226" s="4"/>
      <c r="T6226" s="4"/>
      <c r="U6226" s="4"/>
      <c r="V6226" s="4"/>
      <c r="W6226" s="4"/>
      <c r="X6226" s="4"/>
    </row>
    <row r="6227" spans="17:24" x14ac:dyDescent="0.3">
      <c r="Q6227" s="4"/>
      <c r="R6227" s="4"/>
      <c r="S6227" s="4"/>
      <c r="T6227" s="4"/>
      <c r="U6227" s="4"/>
      <c r="V6227" s="4"/>
      <c r="W6227" s="4"/>
      <c r="X6227" s="4"/>
    </row>
    <row r="6228" spans="17:24" x14ac:dyDescent="0.3">
      <c r="Q6228" s="4"/>
      <c r="R6228" s="4"/>
      <c r="S6228" s="4"/>
      <c r="T6228" s="4"/>
      <c r="U6228" s="4"/>
      <c r="V6228" s="4"/>
      <c r="W6228" s="4"/>
      <c r="X6228" s="4"/>
    </row>
    <row r="6229" spans="17:24" x14ac:dyDescent="0.3">
      <c r="Q6229" s="4"/>
      <c r="R6229" s="4"/>
      <c r="S6229" s="4"/>
      <c r="T6229" s="4"/>
      <c r="U6229" s="4"/>
      <c r="V6229" s="4"/>
      <c r="W6229" s="4"/>
      <c r="X6229" s="4"/>
    </row>
    <row r="6230" spans="17:24" x14ac:dyDescent="0.3">
      <c r="Q6230" s="4"/>
      <c r="R6230" s="4"/>
      <c r="S6230" s="4"/>
      <c r="T6230" s="4"/>
      <c r="U6230" s="4"/>
      <c r="V6230" s="4"/>
      <c r="W6230" s="4"/>
      <c r="X6230" s="4"/>
    </row>
    <row r="6231" spans="17:24" x14ac:dyDescent="0.3">
      <c r="Q6231" s="4"/>
      <c r="R6231" s="4"/>
      <c r="S6231" s="4"/>
      <c r="T6231" s="4"/>
      <c r="U6231" s="4"/>
      <c r="V6231" s="4"/>
      <c r="W6231" s="4"/>
      <c r="X6231" s="4"/>
    </row>
    <row r="6232" spans="17:24" x14ac:dyDescent="0.3">
      <c r="Q6232" s="4"/>
      <c r="R6232" s="4"/>
      <c r="S6232" s="4"/>
      <c r="T6232" s="4"/>
      <c r="U6232" s="4"/>
      <c r="V6232" s="4"/>
      <c r="W6232" s="4"/>
      <c r="X6232" s="4"/>
    </row>
    <row r="6233" spans="17:24" x14ac:dyDescent="0.3">
      <c r="Q6233" s="4"/>
      <c r="R6233" s="4"/>
      <c r="S6233" s="4"/>
      <c r="T6233" s="4"/>
      <c r="U6233" s="4"/>
      <c r="V6233" s="4"/>
      <c r="W6233" s="4"/>
      <c r="X6233" s="4"/>
    </row>
    <row r="6234" spans="17:24" x14ac:dyDescent="0.3">
      <c r="Q6234" s="4"/>
      <c r="R6234" s="4"/>
      <c r="S6234" s="4"/>
      <c r="T6234" s="4"/>
      <c r="U6234" s="4"/>
      <c r="V6234" s="4"/>
      <c r="W6234" s="4"/>
      <c r="X6234" s="4"/>
    </row>
    <row r="6235" spans="17:24" x14ac:dyDescent="0.3">
      <c r="Q6235" s="4"/>
      <c r="R6235" s="4"/>
      <c r="S6235" s="4"/>
      <c r="T6235" s="4"/>
      <c r="U6235" s="4"/>
      <c r="V6235" s="4"/>
      <c r="W6235" s="4"/>
      <c r="X6235" s="4"/>
    </row>
    <row r="6236" spans="17:24" x14ac:dyDescent="0.3">
      <c r="Q6236" s="4"/>
      <c r="R6236" s="4"/>
      <c r="S6236" s="4"/>
      <c r="T6236" s="4"/>
      <c r="U6236" s="4"/>
      <c r="V6236" s="4"/>
      <c r="W6236" s="4"/>
      <c r="X6236" s="4"/>
    </row>
    <row r="6237" spans="17:24" x14ac:dyDescent="0.3">
      <c r="Q6237" s="4"/>
      <c r="R6237" s="4"/>
      <c r="S6237" s="4"/>
      <c r="T6237" s="4"/>
      <c r="U6237" s="4"/>
      <c r="V6237" s="4"/>
      <c r="W6237" s="4"/>
      <c r="X6237" s="4"/>
    </row>
    <row r="6238" spans="17:24" x14ac:dyDescent="0.3">
      <c r="Q6238" s="4"/>
      <c r="R6238" s="4"/>
      <c r="S6238" s="4"/>
      <c r="T6238" s="4"/>
      <c r="U6238" s="4"/>
      <c r="V6238" s="4"/>
      <c r="W6238" s="4"/>
      <c r="X6238" s="4"/>
    </row>
    <row r="6239" spans="17:24" x14ac:dyDescent="0.3">
      <c r="Q6239" s="4"/>
      <c r="R6239" s="4"/>
      <c r="S6239" s="4"/>
      <c r="T6239" s="4"/>
      <c r="U6239" s="4"/>
      <c r="V6239" s="4"/>
      <c r="W6239" s="4"/>
      <c r="X6239" s="4"/>
    </row>
    <row r="6240" spans="17:24" x14ac:dyDescent="0.3">
      <c r="Q6240" s="4"/>
      <c r="R6240" s="4"/>
      <c r="S6240" s="4"/>
      <c r="T6240" s="4"/>
      <c r="U6240" s="4"/>
      <c r="V6240" s="4"/>
      <c r="W6240" s="4"/>
      <c r="X6240" s="4"/>
    </row>
    <row r="6241" spans="17:24" x14ac:dyDescent="0.3">
      <c r="Q6241" s="4"/>
      <c r="R6241" s="4"/>
      <c r="S6241" s="4"/>
      <c r="T6241" s="4"/>
      <c r="U6241" s="4"/>
      <c r="V6241" s="4"/>
      <c r="W6241" s="4"/>
      <c r="X6241" s="4"/>
    </row>
    <row r="6242" spans="17:24" x14ac:dyDescent="0.3">
      <c r="Q6242" s="4"/>
      <c r="R6242" s="4"/>
      <c r="S6242" s="4"/>
      <c r="T6242" s="4"/>
      <c r="U6242" s="4"/>
      <c r="V6242" s="4"/>
      <c r="W6242" s="4"/>
      <c r="X6242" s="4"/>
    </row>
    <row r="6243" spans="17:24" x14ac:dyDescent="0.3">
      <c r="Q6243" s="4"/>
      <c r="R6243" s="4"/>
      <c r="S6243" s="4"/>
      <c r="T6243" s="4"/>
      <c r="U6243" s="4"/>
      <c r="V6243" s="4"/>
      <c r="W6243" s="4"/>
      <c r="X6243" s="4"/>
    </row>
    <row r="6244" spans="17:24" x14ac:dyDescent="0.3">
      <c r="Q6244" s="4"/>
      <c r="R6244" s="4"/>
      <c r="S6244" s="4"/>
      <c r="T6244" s="4"/>
      <c r="U6244" s="4"/>
      <c r="V6244" s="4"/>
      <c r="W6244" s="4"/>
      <c r="X6244" s="4"/>
    </row>
    <row r="6245" spans="17:24" x14ac:dyDescent="0.3">
      <c r="Q6245" s="4"/>
      <c r="R6245" s="4"/>
      <c r="S6245" s="4"/>
      <c r="T6245" s="4"/>
      <c r="U6245" s="4"/>
      <c r="V6245" s="4"/>
      <c r="W6245" s="4"/>
      <c r="X6245" s="4"/>
    </row>
    <row r="6246" spans="17:24" x14ac:dyDescent="0.3">
      <c r="Q6246" s="4"/>
      <c r="R6246" s="4"/>
      <c r="S6246" s="4"/>
      <c r="T6246" s="4"/>
      <c r="U6246" s="4"/>
      <c r="V6246" s="4"/>
      <c r="W6246" s="4"/>
      <c r="X6246" s="4"/>
    </row>
    <row r="6247" spans="17:24" x14ac:dyDescent="0.3">
      <c r="Q6247" s="4"/>
      <c r="R6247" s="4"/>
      <c r="S6247" s="4"/>
      <c r="T6247" s="4"/>
      <c r="U6247" s="4"/>
      <c r="V6247" s="4"/>
      <c r="W6247" s="4"/>
      <c r="X6247" s="4"/>
    </row>
    <row r="6248" spans="17:24" x14ac:dyDescent="0.3">
      <c r="Q6248" s="4"/>
      <c r="R6248" s="4"/>
      <c r="S6248" s="4"/>
      <c r="T6248" s="4"/>
      <c r="U6248" s="4"/>
      <c r="V6248" s="4"/>
      <c r="W6248" s="4"/>
      <c r="X6248" s="4"/>
    </row>
    <row r="6249" spans="17:24" x14ac:dyDescent="0.3">
      <c r="Q6249" s="4"/>
      <c r="R6249" s="4"/>
      <c r="S6249" s="4"/>
      <c r="T6249" s="4"/>
      <c r="U6249" s="4"/>
      <c r="V6249" s="4"/>
      <c r="W6249" s="4"/>
      <c r="X6249" s="4"/>
    </row>
    <row r="6250" spans="17:24" x14ac:dyDescent="0.3">
      <c r="Q6250" s="4"/>
      <c r="R6250" s="4"/>
      <c r="S6250" s="4"/>
      <c r="T6250" s="4"/>
      <c r="U6250" s="4"/>
      <c r="V6250" s="4"/>
      <c r="W6250" s="4"/>
      <c r="X6250" s="4"/>
    </row>
    <row r="6251" spans="17:24" x14ac:dyDescent="0.3">
      <c r="Q6251" s="4"/>
      <c r="R6251" s="4"/>
      <c r="S6251" s="4"/>
      <c r="T6251" s="4"/>
      <c r="U6251" s="4"/>
      <c r="V6251" s="4"/>
      <c r="W6251" s="4"/>
      <c r="X6251" s="4"/>
    </row>
    <row r="6252" spans="17:24" x14ac:dyDescent="0.3">
      <c r="Q6252" s="4"/>
      <c r="R6252" s="4"/>
      <c r="S6252" s="4"/>
      <c r="T6252" s="4"/>
      <c r="U6252" s="4"/>
      <c r="V6252" s="4"/>
      <c r="W6252" s="4"/>
      <c r="X6252" s="4"/>
    </row>
    <row r="6253" spans="17:24" x14ac:dyDescent="0.3">
      <c r="Q6253" s="4"/>
      <c r="R6253" s="4"/>
      <c r="S6253" s="4"/>
      <c r="T6253" s="4"/>
      <c r="U6253" s="4"/>
      <c r="V6253" s="4"/>
      <c r="W6253" s="4"/>
      <c r="X6253" s="4"/>
    </row>
    <row r="6254" spans="17:24" x14ac:dyDescent="0.3">
      <c r="Q6254" s="4"/>
      <c r="R6254" s="4"/>
      <c r="S6254" s="4"/>
      <c r="T6254" s="4"/>
      <c r="U6254" s="4"/>
      <c r="V6254" s="4"/>
      <c r="W6254" s="4"/>
      <c r="X6254" s="4"/>
    </row>
    <row r="6255" spans="17:24" x14ac:dyDescent="0.3">
      <c r="Q6255" s="4"/>
      <c r="R6255" s="4"/>
      <c r="S6255" s="4"/>
      <c r="T6255" s="4"/>
      <c r="U6255" s="4"/>
      <c r="V6255" s="4"/>
      <c r="W6255" s="4"/>
      <c r="X6255" s="4"/>
    </row>
    <row r="6256" spans="17:24" x14ac:dyDescent="0.3">
      <c r="Q6256" s="4"/>
      <c r="R6256" s="4"/>
      <c r="S6256" s="4"/>
      <c r="T6256" s="4"/>
      <c r="U6256" s="4"/>
      <c r="V6256" s="4"/>
      <c r="W6256" s="4"/>
      <c r="X6256" s="4"/>
    </row>
    <row r="6257" spans="17:24" x14ac:dyDescent="0.3">
      <c r="Q6257" s="4"/>
      <c r="R6257" s="4"/>
      <c r="S6257" s="4"/>
      <c r="T6257" s="4"/>
      <c r="U6257" s="4"/>
      <c r="V6257" s="4"/>
      <c r="W6257" s="4"/>
      <c r="X6257" s="4"/>
    </row>
    <row r="6258" spans="17:24" x14ac:dyDescent="0.3">
      <c r="Q6258" s="4"/>
      <c r="R6258" s="4"/>
      <c r="S6258" s="4"/>
      <c r="T6258" s="4"/>
      <c r="U6258" s="4"/>
      <c r="V6258" s="4"/>
      <c r="W6258" s="4"/>
      <c r="X6258" s="4"/>
    </row>
    <row r="6259" spans="17:24" x14ac:dyDescent="0.3">
      <c r="Q6259" s="4"/>
      <c r="R6259" s="4"/>
      <c r="S6259" s="4"/>
      <c r="T6259" s="4"/>
      <c r="U6259" s="4"/>
      <c r="V6259" s="4"/>
      <c r="W6259" s="4"/>
      <c r="X6259" s="4"/>
    </row>
    <row r="6260" spans="17:24" x14ac:dyDescent="0.3">
      <c r="Q6260" s="4"/>
      <c r="R6260" s="4"/>
      <c r="S6260" s="4"/>
      <c r="T6260" s="4"/>
      <c r="U6260" s="4"/>
      <c r="V6260" s="4"/>
      <c r="W6260" s="4"/>
      <c r="X6260" s="4"/>
    </row>
    <row r="6261" spans="17:24" x14ac:dyDescent="0.3">
      <c r="Q6261" s="4"/>
      <c r="R6261" s="4"/>
      <c r="S6261" s="4"/>
      <c r="T6261" s="4"/>
      <c r="U6261" s="4"/>
      <c r="V6261" s="4"/>
      <c r="W6261" s="4"/>
      <c r="X6261" s="4"/>
    </row>
    <row r="6262" spans="17:24" x14ac:dyDescent="0.3">
      <c r="Q6262" s="4"/>
      <c r="R6262" s="4"/>
      <c r="S6262" s="4"/>
      <c r="T6262" s="4"/>
      <c r="U6262" s="4"/>
      <c r="V6262" s="4"/>
      <c r="W6262" s="4"/>
      <c r="X6262" s="4"/>
    </row>
    <row r="6263" spans="17:24" x14ac:dyDescent="0.3">
      <c r="Q6263" s="4"/>
      <c r="R6263" s="4"/>
      <c r="S6263" s="4"/>
      <c r="T6263" s="4"/>
      <c r="U6263" s="4"/>
      <c r="V6263" s="4"/>
      <c r="W6263" s="4"/>
      <c r="X6263" s="4"/>
    </row>
    <row r="6264" spans="17:24" x14ac:dyDescent="0.3">
      <c r="Q6264" s="4"/>
      <c r="R6264" s="4"/>
      <c r="S6264" s="4"/>
      <c r="T6264" s="4"/>
      <c r="U6264" s="4"/>
      <c r="V6264" s="4"/>
      <c r="W6264" s="4"/>
      <c r="X6264" s="4"/>
    </row>
    <row r="6265" spans="17:24" x14ac:dyDescent="0.3">
      <c r="Q6265" s="4"/>
      <c r="R6265" s="4"/>
      <c r="S6265" s="4"/>
      <c r="T6265" s="4"/>
      <c r="U6265" s="4"/>
      <c r="V6265" s="4"/>
      <c r="W6265" s="4"/>
      <c r="X6265" s="4"/>
    </row>
    <row r="6266" spans="17:24" x14ac:dyDescent="0.3">
      <c r="Q6266" s="4"/>
      <c r="R6266" s="4"/>
      <c r="S6266" s="4"/>
      <c r="T6266" s="4"/>
      <c r="U6266" s="4"/>
      <c r="V6266" s="4"/>
      <c r="W6266" s="4"/>
      <c r="X6266" s="4"/>
    </row>
    <row r="6267" spans="17:24" x14ac:dyDescent="0.3">
      <c r="Q6267" s="4"/>
      <c r="R6267" s="4"/>
      <c r="S6267" s="4"/>
      <c r="T6267" s="4"/>
      <c r="U6267" s="4"/>
      <c r="V6267" s="4"/>
      <c r="W6267" s="4"/>
      <c r="X6267" s="4"/>
    </row>
    <row r="6268" spans="17:24" x14ac:dyDescent="0.3">
      <c r="Q6268" s="4"/>
      <c r="R6268" s="4"/>
      <c r="S6268" s="4"/>
      <c r="T6268" s="4"/>
      <c r="U6268" s="4"/>
      <c r="V6268" s="4"/>
      <c r="W6268" s="4"/>
      <c r="X6268" s="4"/>
    </row>
    <row r="6269" spans="17:24" x14ac:dyDescent="0.3">
      <c r="Q6269" s="4"/>
      <c r="R6269" s="4"/>
      <c r="S6269" s="4"/>
      <c r="T6269" s="4"/>
      <c r="U6269" s="4"/>
      <c r="V6269" s="4"/>
      <c r="W6269" s="4"/>
      <c r="X6269" s="4"/>
    </row>
    <row r="6270" spans="17:24" x14ac:dyDescent="0.3">
      <c r="Q6270" s="4"/>
      <c r="R6270" s="4"/>
      <c r="S6270" s="4"/>
      <c r="T6270" s="4"/>
      <c r="U6270" s="4"/>
      <c r="V6270" s="4"/>
      <c r="W6270" s="4"/>
      <c r="X6270" s="4"/>
    </row>
    <row r="6271" spans="17:24" x14ac:dyDescent="0.3">
      <c r="Q6271" s="4"/>
      <c r="R6271" s="4"/>
      <c r="S6271" s="4"/>
      <c r="T6271" s="4"/>
      <c r="U6271" s="4"/>
      <c r="V6271" s="4"/>
      <c r="W6271" s="4"/>
      <c r="X6271" s="4"/>
    </row>
    <row r="6272" spans="17:24" x14ac:dyDescent="0.3">
      <c r="Q6272" s="4"/>
      <c r="R6272" s="4"/>
      <c r="S6272" s="4"/>
      <c r="T6272" s="4"/>
      <c r="U6272" s="4"/>
      <c r="V6272" s="4"/>
      <c r="W6272" s="4"/>
      <c r="X6272" s="4"/>
    </row>
    <row r="6273" spans="17:24" x14ac:dyDescent="0.3">
      <c r="Q6273" s="4"/>
      <c r="R6273" s="4"/>
      <c r="S6273" s="4"/>
      <c r="T6273" s="4"/>
      <c r="U6273" s="4"/>
      <c r="V6273" s="4"/>
      <c r="W6273" s="4"/>
      <c r="X6273" s="4"/>
    </row>
    <row r="6274" spans="17:24" x14ac:dyDescent="0.3">
      <c r="Q6274" s="4"/>
      <c r="R6274" s="4"/>
      <c r="S6274" s="4"/>
      <c r="T6274" s="4"/>
      <c r="U6274" s="4"/>
      <c r="V6274" s="4"/>
      <c r="W6274" s="4"/>
      <c r="X6274" s="4"/>
    </row>
    <row r="6275" spans="17:24" x14ac:dyDescent="0.3">
      <c r="Q6275" s="4"/>
      <c r="R6275" s="4"/>
      <c r="S6275" s="4"/>
      <c r="T6275" s="4"/>
      <c r="U6275" s="4"/>
      <c r="V6275" s="4"/>
      <c r="W6275" s="4"/>
      <c r="X6275" s="4"/>
    </row>
    <row r="6276" spans="17:24" x14ac:dyDescent="0.3">
      <c r="Q6276" s="4"/>
      <c r="R6276" s="4"/>
      <c r="S6276" s="4"/>
      <c r="T6276" s="4"/>
      <c r="U6276" s="4"/>
      <c r="V6276" s="4"/>
      <c r="W6276" s="4"/>
      <c r="X6276" s="4"/>
    </row>
    <row r="6277" spans="17:24" x14ac:dyDescent="0.3">
      <c r="Q6277" s="4"/>
      <c r="R6277" s="4"/>
      <c r="S6277" s="4"/>
      <c r="T6277" s="4"/>
      <c r="U6277" s="4"/>
      <c r="V6277" s="4"/>
      <c r="W6277" s="4"/>
      <c r="X6277" s="4"/>
    </row>
    <row r="6278" spans="17:24" x14ac:dyDescent="0.3">
      <c r="Q6278" s="4"/>
      <c r="R6278" s="4"/>
      <c r="S6278" s="4"/>
      <c r="T6278" s="4"/>
      <c r="U6278" s="4"/>
      <c r="V6278" s="4"/>
      <c r="W6278" s="4"/>
      <c r="X6278" s="4"/>
    </row>
    <row r="6279" spans="17:24" x14ac:dyDescent="0.3">
      <c r="Q6279" s="4"/>
      <c r="R6279" s="4"/>
      <c r="S6279" s="4"/>
      <c r="T6279" s="4"/>
      <c r="U6279" s="4"/>
      <c r="V6279" s="4"/>
      <c r="W6279" s="4"/>
      <c r="X6279" s="4"/>
    </row>
    <row r="6280" spans="17:24" x14ac:dyDescent="0.3">
      <c r="Q6280" s="4"/>
      <c r="R6280" s="4"/>
      <c r="S6280" s="4"/>
      <c r="T6280" s="4"/>
      <c r="U6280" s="4"/>
      <c r="V6280" s="4"/>
      <c r="W6280" s="4"/>
      <c r="X6280" s="4"/>
    </row>
    <row r="6281" spans="17:24" x14ac:dyDescent="0.3">
      <c r="Q6281" s="4"/>
      <c r="R6281" s="4"/>
      <c r="S6281" s="4"/>
      <c r="T6281" s="4"/>
      <c r="U6281" s="4"/>
      <c r="V6281" s="4"/>
      <c r="W6281" s="4"/>
      <c r="X6281" s="4"/>
    </row>
    <row r="6282" spans="17:24" x14ac:dyDescent="0.3">
      <c r="Q6282" s="4"/>
      <c r="R6282" s="4"/>
      <c r="S6282" s="4"/>
      <c r="T6282" s="4"/>
      <c r="U6282" s="4"/>
      <c r="V6282" s="4"/>
      <c r="W6282" s="4"/>
      <c r="X6282" s="4"/>
    </row>
    <row r="6283" spans="17:24" x14ac:dyDescent="0.3">
      <c r="Q6283" s="4"/>
      <c r="R6283" s="4"/>
      <c r="S6283" s="4"/>
      <c r="T6283" s="4"/>
      <c r="U6283" s="4"/>
      <c r="V6283" s="4"/>
      <c r="W6283" s="4"/>
      <c r="X6283" s="4"/>
    </row>
    <row r="6284" spans="17:24" x14ac:dyDescent="0.3">
      <c r="Q6284" s="4"/>
      <c r="R6284" s="4"/>
      <c r="S6284" s="4"/>
      <c r="T6284" s="4"/>
      <c r="U6284" s="4"/>
      <c r="V6284" s="4"/>
      <c r="W6284" s="4"/>
      <c r="X6284" s="4"/>
    </row>
    <row r="6285" spans="17:24" x14ac:dyDescent="0.3">
      <c r="Q6285" s="4"/>
      <c r="R6285" s="4"/>
      <c r="S6285" s="4"/>
      <c r="T6285" s="4"/>
      <c r="U6285" s="4"/>
      <c r="V6285" s="4"/>
      <c r="W6285" s="4"/>
      <c r="X6285" s="4"/>
    </row>
    <row r="6286" spans="17:24" x14ac:dyDescent="0.3">
      <c r="Q6286" s="4"/>
      <c r="R6286" s="4"/>
      <c r="S6286" s="4"/>
      <c r="T6286" s="4"/>
      <c r="U6286" s="4"/>
      <c r="V6286" s="4"/>
      <c r="W6286" s="4"/>
      <c r="X6286" s="4"/>
    </row>
    <row r="6287" spans="17:24" x14ac:dyDescent="0.3">
      <c r="Q6287" s="4"/>
      <c r="R6287" s="4"/>
      <c r="S6287" s="4"/>
      <c r="T6287" s="4"/>
      <c r="U6287" s="4"/>
      <c r="V6287" s="4"/>
      <c r="W6287" s="4"/>
      <c r="X6287" s="4"/>
    </row>
    <row r="6288" spans="17:24" x14ac:dyDescent="0.3">
      <c r="Q6288" s="4"/>
      <c r="R6288" s="4"/>
      <c r="S6288" s="4"/>
      <c r="T6288" s="4"/>
      <c r="U6288" s="4"/>
      <c r="V6288" s="4"/>
      <c r="W6288" s="4"/>
      <c r="X6288" s="4"/>
    </row>
    <row r="6289" spans="17:24" x14ac:dyDescent="0.3">
      <c r="Q6289" s="4"/>
      <c r="R6289" s="4"/>
      <c r="S6289" s="4"/>
      <c r="T6289" s="4"/>
      <c r="U6289" s="4"/>
      <c r="V6289" s="4"/>
      <c r="W6289" s="4"/>
      <c r="X6289" s="4"/>
    </row>
    <row r="6290" spans="17:24" x14ac:dyDescent="0.3">
      <c r="Q6290" s="4"/>
      <c r="R6290" s="4"/>
      <c r="S6290" s="4"/>
      <c r="T6290" s="4"/>
      <c r="U6290" s="4"/>
      <c r="V6290" s="4"/>
      <c r="W6290" s="4"/>
      <c r="X6290" s="4"/>
    </row>
    <row r="6291" spans="17:24" x14ac:dyDescent="0.3">
      <c r="Q6291" s="4"/>
      <c r="R6291" s="4"/>
      <c r="S6291" s="4"/>
      <c r="T6291" s="4"/>
      <c r="U6291" s="4"/>
      <c r="V6291" s="4"/>
      <c r="W6291" s="4"/>
      <c r="X6291" s="4"/>
    </row>
    <row r="6292" spans="17:24" x14ac:dyDescent="0.3">
      <c r="Q6292" s="4"/>
      <c r="R6292" s="4"/>
      <c r="S6292" s="4"/>
      <c r="T6292" s="4"/>
      <c r="U6292" s="4"/>
      <c r="V6292" s="4"/>
      <c r="W6292" s="4"/>
      <c r="X6292" s="4"/>
    </row>
    <row r="6293" spans="17:24" x14ac:dyDescent="0.3">
      <c r="Q6293" s="4"/>
      <c r="R6293" s="4"/>
      <c r="S6293" s="4"/>
      <c r="T6293" s="4"/>
      <c r="U6293" s="4"/>
      <c r="V6293" s="4"/>
      <c r="W6293" s="4"/>
      <c r="X6293" s="4"/>
    </row>
    <row r="6294" spans="17:24" x14ac:dyDescent="0.3">
      <c r="Q6294" s="4"/>
      <c r="R6294" s="4"/>
      <c r="S6294" s="4"/>
      <c r="T6294" s="4"/>
      <c r="U6294" s="4"/>
      <c r="V6294" s="4"/>
      <c r="W6294" s="4"/>
      <c r="X6294" s="4"/>
    </row>
    <row r="6295" spans="17:24" x14ac:dyDescent="0.3">
      <c r="Q6295" s="4"/>
      <c r="R6295" s="4"/>
      <c r="S6295" s="4"/>
      <c r="T6295" s="4"/>
      <c r="U6295" s="4"/>
      <c r="V6295" s="4"/>
      <c r="W6295" s="4"/>
      <c r="X6295" s="4"/>
    </row>
    <row r="6296" spans="17:24" x14ac:dyDescent="0.3">
      <c r="Q6296" s="4"/>
      <c r="R6296" s="4"/>
      <c r="S6296" s="4"/>
      <c r="T6296" s="4"/>
      <c r="U6296" s="4"/>
      <c r="V6296" s="4"/>
      <c r="W6296" s="4"/>
      <c r="X6296" s="4"/>
    </row>
    <row r="6297" spans="17:24" x14ac:dyDescent="0.3">
      <c r="Q6297" s="4"/>
      <c r="R6297" s="4"/>
      <c r="S6297" s="4"/>
      <c r="T6297" s="4"/>
      <c r="U6297" s="4"/>
      <c r="V6297" s="4"/>
      <c r="W6297" s="4"/>
      <c r="X6297" s="4"/>
    </row>
    <row r="6298" spans="17:24" x14ac:dyDescent="0.3">
      <c r="Q6298" s="4"/>
      <c r="R6298" s="4"/>
      <c r="S6298" s="4"/>
      <c r="T6298" s="4"/>
      <c r="U6298" s="4"/>
      <c r="V6298" s="4"/>
      <c r="W6298" s="4"/>
      <c r="X6298" s="4"/>
    </row>
    <row r="6299" spans="17:24" x14ac:dyDescent="0.3">
      <c r="Q6299" s="4"/>
      <c r="R6299" s="4"/>
      <c r="S6299" s="4"/>
      <c r="T6299" s="4"/>
      <c r="U6299" s="4"/>
      <c r="V6299" s="4"/>
      <c r="W6299" s="4"/>
      <c r="X6299" s="4"/>
    </row>
    <row r="6300" spans="17:24" x14ac:dyDescent="0.3">
      <c r="Q6300" s="4"/>
      <c r="R6300" s="4"/>
      <c r="S6300" s="4"/>
      <c r="T6300" s="4"/>
      <c r="U6300" s="4"/>
      <c r="V6300" s="4"/>
      <c r="W6300" s="4"/>
      <c r="X6300" s="4"/>
    </row>
    <row r="6301" spans="17:24" x14ac:dyDescent="0.3">
      <c r="Q6301" s="4"/>
      <c r="R6301" s="4"/>
      <c r="S6301" s="4"/>
      <c r="T6301" s="4"/>
      <c r="U6301" s="4"/>
      <c r="V6301" s="4"/>
      <c r="W6301" s="4"/>
      <c r="X6301" s="4"/>
    </row>
    <row r="6302" spans="17:24" x14ac:dyDescent="0.3">
      <c r="Q6302" s="4"/>
      <c r="R6302" s="4"/>
      <c r="S6302" s="4"/>
      <c r="T6302" s="4"/>
      <c r="U6302" s="4"/>
      <c r="V6302" s="4"/>
      <c r="W6302" s="4"/>
      <c r="X6302" s="4"/>
    </row>
    <row r="6303" spans="17:24" x14ac:dyDescent="0.3">
      <c r="Q6303" s="4"/>
      <c r="R6303" s="4"/>
      <c r="S6303" s="4"/>
      <c r="T6303" s="4"/>
      <c r="U6303" s="4"/>
      <c r="V6303" s="4"/>
      <c r="W6303" s="4"/>
      <c r="X6303" s="4"/>
    </row>
    <row r="6304" spans="17:24" x14ac:dyDescent="0.3">
      <c r="Q6304" s="4"/>
      <c r="R6304" s="4"/>
      <c r="S6304" s="4"/>
      <c r="T6304" s="4"/>
      <c r="U6304" s="4"/>
      <c r="V6304" s="4"/>
      <c r="W6304" s="4"/>
      <c r="X6304" s="4"/>
    </row>
    <row r="6305" spans="17:24" x14ac:dyDescent="0.3">
      <c r="Q6305" s="4"/>
      <c r="R6305" s="4"/>
      <c r="S6305" s="4"/>
      <c r="T6305" s="4"/>
      <c r="U6305" s="4"/>
      <c r="V6305" s="4"/>
      <c r="W6305" s="4"/>
      <c r="X6305" s="4"/>
    </row>
    <row r="6306" spans="17:24" x14ac:dyDescent="0.3">
      <c r="Q6306" s="4"/>
      <c r="R6306" s="4"/>
      <c r="S6306" s="4"/>
      <c r="T6306" s="4"/>
      <c r="U6306" s="4"/>
      <c r="V6306" s="4"/>
      <c r="W6306" s="4"/>
      <c r="X6306" s="4"/>
    </row>
    <row r="6307" spans="17:24" x14ac:dyDescent="0.3">
      <c r="Q6307" s="4"/>
      <c r="R6307" s="4"/>
      <c r="S6307" s="4"/>
      <c r="T6307" s="4"/>
      <c r="U6307" s="4"/>
      <c r="V6307" s="4"/>
      <c r="W6307" s="4"/>
      <c r="X6307" s="4"/>
    </row>
    <row r="6308" spans="17:24" x14ac:dyDescent="0.3">
      <c r="Q6308" s="4"/>
      <c r="R6308" s="4"/>
      <c r="S6308" s="4"/>
      <c r="T6308" s="4"/>
      <c r="U6308" s="4"/>
      <c r="V6308" s="4"/>
      <c r="W6308" s="4"/>
      <c r="X6308" s="4"/>
    </row>
    <row r="6309" spans="17:24" x14ac:dyDescent="0.3">
      <c r="Q6309" s="4"/>
      <c r="R6309" s="4"/>
      <c r="S6309" s="4"/>
      <c r="T6309" s="4"/>
      <c r="U6309" s="4"/>
      <c r="V6309" s="4"/>
      <c r="W6309" s="4"/>
      <c r="X6309" s="4"/>
    </row>
    <row r="6310" spans="17:24" x14ac:dyDescent="0.3">
      <c r="Q6310" s="4"/>
      <c r="R6310" s="4"/>
      <c r="S6310" s="4"/>
      <c r="T6310" s="4"/>
      <c r="U6310" s="4"/>
      <c r="V6310" s="4"/>
      <c r="W6310" s="4"/>
      <c r="X6310" s="4"/>
    </row>
    <row r="6311" spans="17:24" x14ac:dyDescent="0.3">
      <c r="Q6311" s="4"/>
      <c r="R6311" s="4"/>
      <c r="S6311" s="4"/>
      <c r="T6311" s="4"/>
      <c r="U6311" s="4"/>
      <c r="V6311" s="4"/>
      <c r="W6311" s="4"/>
      <c r="X6311" s="4"/>
    </row>
    <row r="6312" spans="17:24" x14ac:dyDescent="0.3">
      <c r="Q6312" s="4"/>
      <c r="R6312" s="4"/>
      <c r="S6312" s="4"/>
      <c r="T6312" s="4"/>
      <c r="U6312" s="4"/>
      <c r="V6312" s="4"/>
      <c r="W6312" s="4"/>
      <c r="X6312" s="4"/>
    </row>
    <row r="6313" spans="17:24" x14ac:dyDescent="0.3">
      <c r="Q6313" s="4"/>
      <c r="R6313" s="4"/>
      <c r="S6313" s="4"/>
      <c r="T6313" s="4"/>
      <c r="U6313" s="4"/>
      <c r="V6313" s="4"/>
      <c r="W6313" s="4"/>
      <c r="X6313" s="4"/>
    </row>
    <row r="6314" spans="17:24" x14ac:dyDescent="0.3">
      <c r="Q6314" s="4"/>
      <c r="R6314" s="4"/>
      <c r="S6314" s="4"/>
      <c r="T6314" s="4"/>
      <c r="U6314" s="4"/>
      <c r="V6314" s="4"/>
      <c r="W6314" s="4"/>
      <c r="X6314" s="4"/>
    </row>
    <row r="6315" spans="17:24" x14ac:dyDescent="0.3">
      <c r="Q6315" s="4"/>
      <c r="R6315" s="4"/>
      <c r="S6315" s="4"/>
      <c r="T6315" s="4"/>
      <c r="U6315" s="4"/>
      <c r="V6315" s="4"/>
      <c r="W6315" s="4"/>
      <c r="X6315" s="4"/>
    </row>
    <row r="6316" spans="17:24" x14ac:dyDescent="0.3">
      <c r="Q6316" s="4"/>
      <c r="R6316" s="4"/>
      <c r="S6316" s="4"/>
      <c r="T6316" s="4"/>
      <c r="U6316" s="4"/>
      <c r="V6316" s="4"/>
      <c r="W6316" s="4"/>
      <c r="X6316" s="4"/>
    </row>
    <row r="6317" spans="17:24" x14ac:dyDescent="0.3">
      <c r="Q6317" s="4"/>
      <c r="R6317" s="4"/>
      <c r="S6317" s="4"/>
      <c r="T6317" s="4"/>
      <c r="U6317" s="4"/>
      <c r="V6317" s="4"/>
      <c r="W6317" s="4"/>
      <c r="X6317" s="4"/>
    </row>
    <row r="6318" spans="17:24" x14ac:dyDescent="0.3">
      <c r="Q6318" s="4"/>
      <c r="R6318" s="4"/>
      <c r="S6318" s="4"/>
      <c r="T6318" s="4"/>
      <c r="U6318" s="4"/>
      <c r="V6318" s="4"/>
      <c r="W6318" s="4"/>
      <c r="X6318" s="4"/>
    </row>
    <row r="6319" spans="17:24" x14ac:dyDescent="0.3">
      <c r="Q6319" s="4"/>
      <c r="R6319" s="4"/>
      <c r="S6319" s="4"/>
      <c r="T6319" s="4"/>
      <c r="U6319" s="4"/>
      <c r="V6319" s="4"/>
      <c r="W6319" s="4"/>
      <c r="X6319" s="4"/>
    </row>
    <row r="6320" spans="17:24" x14ac:dyDescent="0.3">
      <c r="Q6320" s="4"/>
      <c r="R6320" s="4"/>
      <c r="S6320" s="4"/>
      <c r="T6320" s="4"/>
      <c r="U6320" s="4"/>
      <c r="V6320" s="4"/>
      <c r="W6320" s="4"/>
      <c r="X6320" s="4"/>
    </row>
    <row r="6321" spans="17:24" x14ac:dyDescent="0.3">
      <c r="Q6321" s="4"/>
      <c r="R6321" s="4"/>
      <c r="S6321" s="4"/>
      <c r="T6321" s="4"/>
      <c r="U6321" s="4"/>
      <c r="V6321" s="4"/>
      <c r="W6321" s="4"/>
      <c r="X6321" s="4"/>
    </row>
    <row r="6322" spans="17:24" x14ac:dyDescent="0.3">
      <c r="Q6322" s="4"/>
      <c r="R6322" s="4"/>
      <c r="S6322" s="4"/>
      <c r="T6322" s="4"/>
      <c r="U6322" s="4"/>
      <c r="V6322" s="4"/>
      <c r="W6322" s="4"/>
      <c r="X6322" s="4"/>
    </row>
    <row r="6323" spans="17:24" x14ac:dyDescent="0.3">
      <c r="Q6323" s="4"/>
      <c r="R6323" s="4"/>
      <c r="S6323" s="4"/>
      <c r="T6323" s="4"/>
      <c r="U6323" s="4"/>
      <c r="V6323" s="4"/>
      <c r="W6323" s="4"/>
      <c r="X6323" s="4"/>
    </row>
    <row r="6324" spans="17:24" x14ac:dyDescent="0.3">
      <c r="Q6324" s="4"/>
      <c r="R6324" s="4"/>
      <c r="S6324" s="4"/>
      <c r="T6324" s="4"/>
      <c r="U6324" s="4"/>
      <c r="V6324" s="4"/>
      <c r="W6324" s="4"/>
      <c r="X6324" s="4"/>
    </row>
    <row r="6325" spans="17:24" x14ac:dyDescent="0.3">
      <c r="Q6325" s="4"/>
      <c r="R6325" s="4"/>
      <c r="S6325" s="4"/>
      <c r="T6325" s="4"/>
      <c r="U6325" s="4"/>
      <c r="V6325" s="4"/>
      <c r="W6325" s="4"/>
      <c r="X6325" s="4"/>
    </row>
    <row r="6326" spans="17:24" x14ac:dyDescent="0.3">
      <c r="Q6326" s="4"/>
      <c r="R6326" s="4"/>
      <c r="S6326" s="4"/>
      <c r="T6326" s="4"/>
      <c r="U6326" s="4"/>
      <c r="V6326" s="4"/>
      <c r="W6326" s="4"/>
      <c r="X6326" s="4"/>
    </row>
    <row r="6327" spans="17:24" x14ac:dyDescent="0.3">
      <c r="Q6327" s="4"/>
      <c r="R6327" s="4"/>
      <c r="S6327" s="4"/>
      <c r="T6327" s="4"/>
      <c r="U6327" s="4"/>
      <c r="V6327" s="4"/>
      <c r="W6327" s="4"/>
      <c r="X6327" s="4"/>
    </row>
    <row r="6328" spans="17:24" x14ac:dyDescent="0.3">
      <c r="Q6328" s="4"/>
      <c r="R6328" s="4"/>
      <c r="S6328" s="4"/>
      <c r="T6328" s="4"/>
      <c r="U6328" s="4"/>
      <c r="V6328" s="4"/>
      <c r="W6328" s="4"/>
      <c r="X6328" s="4"/>
    </row>
    <row r="6329" spans="17:24" x14ac:dyDescent="0.3">
      <c r="Q6329" s="4"/>
      <c r="R6329" s="4"/>
      <c r="S6329" s="4"/>
      <c r="T6329" s="4"/>
      <c r="U6329" s="4"/>
      <c r="V6329" s="4"/>
      <c r="W6329" s="4"/>
      <c r="X6329" s="4"/>
    </row>
    <row r="6330" spans="17:24" x14ac:dyDescent="0.3">
      <c r="Q6330" s="4"/>
      <c r="R6330" s="4"/>
      <c r="S6330" s="4"/>
      <c r="T6330" s="4"/>
      <c r="U6330" s="4"/>
      <c r="V6330" s="4"/>
      <c r="W6330" s="4"/>
      <c r="X6330" s="4"/>
    </row>
    <row r="6331" spans="17:24" x14ac:dyDescent="0.3">
      <c r="Q6331" s="4"/>
      <c r="R6331" s="4"/>
      <c r="S6331" s="4"/>
      <c r="T6331" s="4"/>
      <c r="U6331" s="4"/>
      <c r="V6331" s="4"/>
      <c r="W6331" s="4"/>
      <c r="X6331" s="4"/>
    </row>
    <row r="6332" spans="17:24" x14ac:dyDescent="0.3">
      <c r="Q6332" s="4"/>
      <c r="R6332" s="4"/>
      <c r="S6332" s="4"/>
      <c r="T6332" s="4"/>
      <c r="U6332" s="4"/>
      <c r="V6332" s="4"/>
      <c r="W6332" s="4"/>
      <c r="X6332" s="4"/>
    </row>
    <row r="6333" spans="17:24" x14ac:dyDescent="0.3">
      <c r="Q6333" s="4"/>
      <c r="R6333" s="4"/>
      <c r="S6333" s="4"/>
      <c r="T6333" s="4"/>
      <c r="U6333" s="4"/>
      <c r="V6333" s="4"/>
      <c r="W6333" s="4"/>
      <c r="X6333" s="4"/>
    </row>
    <row r="6334" spans="17:24" x14ac:dyDescent="0.3">
      <c r="Q6334" s="4"/>
      <c r="R6334" s="4"/>
      <c r="S6334" s="4"/>
      <c r="T6334" s="4"/>
      <c r="U6334" s="4"/>
      <c r="V6334" s="4"/>
      <c r="W6334" s="4"/>
      <c r="X6334" s="4"/>
    </row>
    <row r="6335" spans="17:24" x14ac:dyDescent="0.3">
      <c r="Q6335" s="4"/>
      <c r="R6335" s="4"/>
      <c r="S6335" s="4"/>
      <c r="T6335" s="4"/>
      <c r="U6335" s="4"/>
      <c r="V6335" s="4"/>
      <c r="W6335" s="4"/>
      <c r="X6335" s="4"/>
    </row>
    <row r="6336" spans="17:24" x14ac:dyDescent="0.3">
      <c r="Q6336" s="4"/>
      <c r="R6336" s="4"/>
      <c r="S6336" s="4"/>
      <c r="T6336" s="4"/>
      <c r="U6336" s="4"/>
      <c r="V6336" s="4"/>
      <c r="W6336" s="4"/>
      <c r="X6336" s="4"/>
    </row>
    <row r="6337" spans="17:24" x14ac:dyDescent="0.3">
      <c r="Q6337" s="4"/>
      <c r="R6337" s="4"/>
      <c r="S6337" s="4"/>
      <c r="T6337" s="4"/>
      <c r="U6337" s="4"/>
      <c r="V6337" s="4"/>
      <c r="W6337" s="4"/>
      <c r="X6337" s="4"/>
    </row>
    <row r="6338" spans="17:24" x14ac:dyDescent="0.3">
      <c r="Q6338" s="4"/>
      <c r="R6338" s="4"/>
      <c r="S6338" s="4"/>
      <c r="T6338" s="4"/>
      <c r="U6338" s="4"/>
      <c r="V6338" s="4"/>
      <c r="W6338" s="4"/>
      <c r="X6338" s="4"/>
    </row>
    <row r="6339" spans="17:24" x14ac:dyDescent="0.3">
      <c r="Q6339" s="4"/>
      <c r="R6339" s="4"/>
      <c r="S6339" s="4"/>
      <c r="T6339" s="4"/>
      <c r="U6339" s="4"/>
      <c r="V6339" s="4"/>
      <c r="W6339" s="4"/>
      <c r="X6339" s="4"/>
    </row>
    <row r="6340" spans="17:24" x14ac:dyDescent="0.3">
      <c r="Q6340" s="4"/>
      <c r="R6340" s="4"/>
      <c r="S6340" s="4"/>
      <c r="T6340" s="4"/>
      <c r="U6340" s="4"/>
      <c r="V6340" s="4"/>
      <c r="W6340" s="4"/>
      <c r="X6340" s="4"/>
    </row>
    <row r="6341" spans="17:24" x14ac:dyDescent="0.3">
      <c r="Q6341" s="4"/>
      <c r="R6341" s="4"/>
      <c r="S6341" s="4"/>
      <c r="T6341" s="4"/>
      <c r="U6341" s="4"/>
      <c r="V6341" s="4"/>
      <c r="W6341" s="4"/>
      <c r="X6341" s="4"/>
    </row>
    <row r="6342" spans="17:24" x14ac:dyDescent="0.3">
      <c r="Q6342" s="4"/>
      <c r="R6342" s="4"/>
      <c r="S6342" s="4"/>
      <c r="T6342" s="4"/>
      <c r="U6342" s="4"/>
      <c r="V6342" s="4"/>
      <c r="W6342" s="4"/>
      <c r="X6342" s="4"/>
    </row>
    <row r="6343" spans="17:24" x14ac:dyDescent="0.3">
      <c r="Q6343" s="4"/>
      <c r="R6343" s="4"/>
      <c r="S6343" s="4"/>
      <c r="T6343" s="4"/>
      <c r="U6343" s="4"/>
      <c r="V6343" s="4"/>
      <c r="W6343" s="4"/>
      <c r="X6343" s="4"/>
    </row>
    <row r="6344" spans="17:24" x14ac:dyDescent="0.3">
      <c r="Q6344" s="4"/>
      <c r="R6344" s="4"/>
      <c r="S6344" s="4"/>
      <c r="T6344" s="4"/>
      <c r="U6344" s="4"/>
      <c r="V6344" s="4"/>
      <c r="W6344" s="4"/>
      <c r="X6344" s="4"/>
    </row>
    <row r="6345" spans="17:24" x14ac:dyDescent="0.3">
      <c r="Q6345" s="4"/>
      <c r="R6345" s="4"/>
      <c r="S6345" s="4"/>
      <c r="T6345" s="4"/>
      <c r="U6345" s="4"/>
      <c r="V6345" s="4"/>
      <c r="W6345" s="4"/>
      <c r="X6345" s="4"/>
    </row>
    <row r="6346" spans="17:24" x14ac:dyDescent="0.3">
      <c r="Q6346" s="4"/>
      <c r="R6346" s="4"/>
      <c r="S6346" s="4"/>
      <c r="T6346" s="4"/>
      <c r="U6346" s="4"/>
      <c r="V6346" s="4"/>
      <c r="W6346" s="4"/>
      <c r="X6346" s="4"/>
    </row>
    <row r="6347" spans="17:24" x14ac:dyDescent="0.3">
      <c r="Q6347" s="4"/>
      <c r="R6347" s="4"/>
      <c r="S6347" s="4"/>
      <c r="T6347" s="4"/>
      <c r="U6347" s="4"/>
      <c r="V6347" s="4"/>
      <c r="W6347" s="4"/>
      <c r="X6347" s="4"/>
    </row>
    <row r="6348" spans="17:24" x14ac:dyDescent="0.3">
      <c r="Q6348" s="4"/>
      <c r="R6348" s="4"/>
      <c r="S6348" s="4"/>
      <c r="T6348" s="4"/>
      <c r="U6348" s="4"/>
      <c r="V6348" s="4"/>
      <c r="W6348" s="4"/>
      <c r="X6348" s="4"/>
    </row>
    <row r="6349" spans="17:24" x14ac:dyDescent="0.3">
      <c r="Q6349" s="4"/>
      <c r="R6349" s="4"/>
      <c r="S6349" s="4"/>
      <c r="T6349" s="4"/>
      <c r="U6349" s="4"/>
      <c r="V6349" s="4"/>
      <c r="W6349" s="4"/>
      <c r="X6349" s="4"/>
    </row>
    <row r="6350" spans="17:24" x14ac:dyDescent="0.3">
      <c r="Q6350" s="4"/>
      <c r="R6350" s="4"/>
      <c r="S6350" s="4"/>
      <c r="T6350" s="4"/>
      <c r="U6350" s="4"/>
      <c r="V6350" s="4"/>
      <c r="W6350" s="4"/>
      <c r="X6350" s="4"/>
    </row>
    <row r="6351" spans="17:24" x14ac:dyDescent="0.3">
      <c r="Q6351" s="4"/>
      <c r="R6351" s="4"/>
      <c r="S6351" s="4"/>
      <c r="T6351" s="4"/>
      <c r="U6351" s="4"/>
      <c r="V6351" s="4"/>
      <c r="W6351" s="4"/>
      <c r="X6351" s="4"/>
    </row>
    <row r="6352" spans="17:24" x14ac:dyDescent="0.3">
      <c r="Q6352" s="4"/>
      <c r="R6352" s="4"/>
      <c r="S6352" s="4"/>
      <c r="T6352" s="4"/>
      <c r="U6352" s="4"/>
      <c r="V6352" s="4"/>
      <c r="W6352" s="4"/>
      <c r="X6352" s="4"/>
    </row>
    <row r="6353" spans="17:24" x14ac:dyDescent="0.3">
      <c r="Q6353" s="4"/>
      <c r="R6353" s="4"/>
      <c r="S6353" s="4"/>
      <c r="T6353" s="4"/>
      <c r="U6353" s="4"/>
      <c r="V6353" s="4"/>
      <c r="W6353" s="4"/>
      <c r="X6353" s="4"/>
    </row>
    <row r="6354" spans="17:24" x14ac:dyDescent="0.3">
      <c r="Q6354" s="4"/>
      <c r="R6354" s="4"/>
      <c r="S6354" s="4"/>
      <c r="T6354" s="4"/>
      <c r="U6354" s="4"/>
      <c r="V6354" s="4"/>
      <c r="W6354" s="4"/>
      <c r="X6354" s="4"/>
    </row>
    <row r="6355" spans="17:24" x14ac:dyDescent="0.3">
      <c r="Q6355" s="4"/>
      <c r="R6355" s="4"/>
      <c r="S6355" s="4"/>
      <c r="T6355" s="4"/>
      <c r="U6355" s="4"/>
      <c r="V6355" s="4"/>
      <c r="W6355" s="4"/>
      <c r="X6355" s="4"/>
    </row>
    <row r="6356" spans="17:24" x14ac:dyDescent="0.3">
      <c r="Q6356" s="4"/>
      <c r="R6356" s="4"/>
      <c r="S6356" s="4"/>
      <c r="T6356" s="4"/>
      <c r="U6356" s="4"/>
      <c r="V6356" s="4"/>
      <c r="W6356" s="4"/>
      <c r="X6356" s="4"/>
    </row>
    <row r="6357" spans="17:24" x14ac:dyDescent="0.3">
      <c r="Q6357" s="4"/>
      <c r="R6357" s="4"/>
      <c r="S6357" s="4"/>
      <c r="T6357" s="4"/>
      <c r="U6357" s="4"/>
      <c r="V6357" s="4"/>
      <c r="W6357" s="4"/>
      <c r="X6357" s="4"/>
    </row>
    <row r="6358" spans="17:24" x14ac:dyDescent="0.3">
      <c r="Q6358" s="4"/>
      <c r="R6358" s="4"/>
      <c r="S6358" s="4"/>
      <c r="T6358" s="4"/>
      <c r="U6358" s="4"/>
      <c r="V6358" s="4"/>
      <c r="W6358" s="4"/>
      <c r="X6358" s="4"/>
    </row>
    <row r="6359" spans="17:24" x14ac:dyDescent="0.3">
      <c r="Q6359" s="4"/>
      <c r="R6359" s="4"/>
      <c r="S6359" s="4"/>
      <c r="T6359" s="4"/>
      <c r="U6359" s="4"/>
      <c r="V6359" s="4"/>
      <c r="W6359" s="4"/>
      <c r="X6359" s="4"/>
    </row>
    <row r="6360" spans="17:24" x14ac:dyDescent="0.3">
      <c r="Q6360" s="4"/>
      <c r="R6360" s="4"/>
      <c r="S6360" s="4"/>
      <c r="T6360" s="4"/>
      <c r="U6360" s="4"/>
      <c r="V6360" s="4"/>
      <c r="W6360" s="4"/>
      <c r="X6360" s="4"/>
    </row>
    <row r="6361" spans="17:24" x14ac:dyDescent="0.3">
      <c r="Q6361" s="4"/>
      <c r="R6361" s="4"/>
      <c r="S6361" s="4"/>
      <c r="T6361" s="4"/>
      <c r="U6361" s="4"/>
      <c r="V6361" s="4"/>
      <c r="W6361" s="4"/>
      <c r="X6361" s="4"/>
    </row>
    <row r="6362" spans="17:24" x14ac:dyDescent="0.3">
      <c r="Q6362" s="4"/>
      <c r="R6362" s="4"/>
      <c r="S6362" s="4"/>
      <c r="T6362" s="4"/>
      <c r="U6362" s="4"/>
      <c r="V6362" s="4"/>
      <c r="W6362" s="4"/>
      <c r="X6362" s="4"/>
    </row>
    <row r="6363" spans="17:24" x14ac:dyDescent="0.3">
      <c r="Q6363" s="4"/>
      <c r="R6363" s="4"/>
      <c r="S6363" s="4"/>
      <c r="T6363" s="4"/>
      <c r="U6363" s="4"/>
      <c r="V6363" s="4"/>
      <c r="W6363" s="4"/>
      <c r="X6363" s="4"/>
    </row>
    <row r="6364" spans="17:24" x14ac:dyDescent="0.3">
      <c r="Q6364" s="4"/>
      <c r="R6364" s="4"/>
      <c r="S6364" s="4"/>
      <c r="T6364" s="4"/>
      <c r="U6364" s="4"/>
      <c r="V6364" s="4"/>
      <c r="W6364" s="4"/>
      <c r="X6364" s="4"/>
    </row>
    <row r="6365" spans="17:24" x14ac:dyDescent="0.3">
      <c r="Q6365" s="4"/>
      <c r="R6365" s="4"/>
      <c r="S6365" s="4"/>
      <c r="T6365" s="4"/>
      <c r="U6365" s="4"/>
      <c r="V6365" s="4"/>
      <c r="W6365" s="4"/>
      <c r="X6365" s="4"/>
    </row>
    <row r="6366" spans="17:24" x14ac:dyDescent="0.3">
      <c r="Q6366" s="4"/>
      <c r="R6366" s="4"/>
      <c r="S6366" s="4"/>
      <c r="T6366" s="4"/>
      <c r="U6366" s="4"/>
      <c r="V6366" s="4"/>
      <c r="W6366" s="4"/>
      <c r="X6366" s="4"/>
    </row>
    <row r="6367" spans="17:24" x14ac:dyDescent="0.3">
      <c r="Q6367" s="4"/>
      <c r="R6367" s="4"/>
      <c r="S6367" s="4"/>
      <c r="T6367" s="4"/>
      <c r="U6367" s="4"/>
      <c r="V6367" s="4"/>
      <c r="W6367" s="4"/>
      <c r="X6367" s="4"/>
    </row>
    <row r="6368" spans="17:24" x14ac:dyDescent="0.3">
      <c r="Q6368" s="4"/>
      <c r="R6368" s="4"/>
      <c r="S6368" s="4"/>
      <c r="T6368" s="4"/>
      <c r="U6368" s="4"/>
      <c r="V6368" s="4"/>
      <c r="W6368" s="4"/>
      <c r="X6368" s="4"/>
    </row>
    <row r="6369" spans="17:24" x14ac:dyDescent="0.3">
      <c r="Q6369" s="4"/>
      <c r="R6369" s="4"/>
      <c r="S6369" s="4"/>
      <c r="T6369" s="4"/>
      <c r="U6369" s="4"/>
      <c r="V6369" s="4"/>
      <c r="W6369" s="4"/>
      <c r="X6369" s="4"/>
    </row>
    <row r="6370" spans="17:24" x14ac:dyDescent="0.3">
      <c r="Q6370" s="4"/>
      <c r="R6370" s="4"/>
      <c r="S6370" s="4"/>
      <c r="T6370" s="4"/>
      <c r="U6370" s="4"/>
      <c r="V6370" s="4"/>
      <c r="W6370" s="4"/>
      <c r="X6370" s="4"/>
    </row>
    <row r="6371" spans="17:24" x14ac:dyDescent="0.3">
      <c r="Q6371" s="4"/>
      <c r="R6371" s="4"/>
      <c r="S6371" s="4"/>
      <c r="T6371" s="4"/>
      <c r="U6371" s="4"/>
      <c r="V6371" s="4"/>
      <c r="W6371" s="4"/>
      <c r="X6371" s="4"/>
    </row>
    <row r="6372" spans="17:24" x14ac:dyDescent="0.3">
      <c r="Q6372" s="4"/>
      <c r="R6372" s="4"/>
      <c r="S6372" s="4"/>
      <c r="T6372" s="4"/>
      <c r="U6372" s="4"/>
      <c r="V6372" s="4"/>
      <c r="W6372" s="4"/>
      <c r="X6372" s="4"/>
    </row>
    <row r="6373" spans="17:24" x14ac:dyDescent="0.3">
      <c r="Q6373" s="4"/>
      <c r="R6373" s="4"/>
      <c r="S6373" s="4"/>
      <c r="T6373" s="4"/>
      <c r="U6373" s="4"/>
      <c r="V6373" s="4"/>
      <c r="W6373" s="4"/>
      <c r="X6373" s="4"/>
    </row>
    <row r="6374" spans="17:24" x14ac:dyDescent="0.3">
      <c r="Q6374" s="4"/>
      <c r="R6374" s="4"/>
      <c r="S6374" s="4"/>
      <c r="T6374" s="4"/>
      <c r="U6374" s="4"/>
      <c r="V6374" s="4"/>
      <c r="W6374" s="4"/>
      <c r="X6374" s="4"/>
    </row>
    <row r="6375" spans="17:24" x14ac:dyDescent="0.3">
      <c r="Q6375" s="4"/>
      <c r="R6375" s="4"/>
      <c r="S6375" s="4"/>
      <c r="T6375" s="4"/>
      <c r="U6375" s="4"/>
      <c r="V6375" s="4"/>
      <c r="W6375" s="4"/>
      <c r="X6375" s="4"/>
    </row>
    <row r="6376" spans="17:24" x14ac:dyDescent="0.3">
      <c r="Q6376" s="4"/>
      <c r="R6376" s="4"/>
      <c r="S6376" s="4"/>
      <c r="T6376" s="4"/>
      <c r="U6376" s="4"/>
      <c r="V6376" s="4"/>
      <c r="W6376" s="4"/>
      <c r="X6376" s="4"/>
    </row>
    <row r="6377" spans="17:24" x14ac:dyDescent="0.3">
      <c r="Q6377" s="4"/>
      <c r="R6377" s="4"/>
      <c r="S6377" s="4"/>
      <c r="T6377" s="4"/>
      <c r="U6377" s="4"/>
      <c r="V6377" s="4"/>
      <c r="W6377" s="4"/>
      <c r="X6377" s="4"/>
    </row>
    <row r="6378" spans="17:24" x14ac:dyDescent="0.3">
      <c r="Q6378" s="4"/>
      <c r="R6378" s="4"/>
      <c r="S6378" s="4"/>
      <c r="T6378" s="4"/>
      <c r="U6378" s="4"/>
      <c r="V6378" s="4"/>
      <c r="W6378" s="4"/>
      <c r="X6378" s="4"/>
    </row>
    <row r="6379" spans="17:24" x14ac:dyDescent="0.3">
      <c r="Q6379" s="4"/>
      <c r="R6379" s="4"/>
      <c r="S6379" s="4"/>
      <c r="T6379" s="4"/>
      <c r="U6379" s="4"/>
      <c r="V6379" s="4"/>
      <c r="W6379" s="4"/>
      <c r="X6379" s="4"/>
    </row>
    <row r="6380" spans="17:24" x14ac:dyDescent="0.3">
      <c r="Q6380" s="4"/>
      <c r="R6380" s="4"/>
      <c r="S6380" s="4"/>
      <c r="T6380" s="4"/>
      <c r="U6380" s="4"/>
      <c r="V6380" s="4"/>
      <c r="W6380" s="4"/>
      <c r="X6380" s="4"/>
    </row>
    <row r="6381" spans="17:24" x14ac:dyDescent="0.3">
      <c r="Q6381" s="4"/>
      <c r="R6381" s="4"/>
      <c r="S6381" s="4"/>
      <c r="T6381" s="4"/>
      <c r="U6381" s="4"/>
      <c r="V6381" s="4"/>
      <c r="W6381" s="4"/>
      <c r="X6381" s="4"/>
    </row>
    <row r="6382" spans="17:24" x14ac:dyDescent="0.3">
      <c r="Q6382" s="4"/>
      <c r="R6382" s="4"/>
      <c r="S6382" s="4"/>
      <c r="T6382" s="4"/>
      <c r="U6382" s="4"/>
      <c r="V6382" s="4"/>
      <c r="W6382" s="4"/>
      <c r="X6382" s="4"/>
    </row>
    <row r="6383" spans="17:24" x14ac:dyDescent="0.3">
      <c r="Q6383" s="4"/>
      <c r="R6383" s="4"/>
      <c r="S6383" s="4"/>
      <c r="T6383" s="4"/>
      <c r="U6383" s="4"/>
      <c r="V6383" s="4"/>
      <c r="W6383" s="4"/>
      <c r="X6383" s="4"/>
    </row>
    <row r="6384" spans="17:24" x14ac:dyDescent="0.3">
      <c r="Q6384" s="4"/>
      <c r="R6384" s="4"/>
      <c r="S6384" s="4"/>
      <c r="T6384" s="4"/>
      <c r="U6384" s="4"/>
      <c r="V6384" s="4"/>
      <c r="W6384" s="4"/>
      <c r="X6384" s="4"/>
    </row>
    <row r="6385" spans="17:24" x14ac:dyDescent="0.3">
      <c r="Q6385" s="4"/>
      <c r="R6385" s="4"/>
      <c r="S6385" s="4"/>
      <c r="T6385" s="4"/>
      <c r="U6385" s="4"/>
      <c r="V6385" s="4"/>
      <c r="W6385" s="4"/>
      <c r="X6385" s="4"/>
    </row>
    <row r="6386" spans="17:24" x14ac:dyDescent="0.3">
      <c r="Q6386" s="4"/>
      <c r="R6386" s="4"/>
      <c r="S6386" s="4"/>
      <c r="T6386" s="4"/>
      <c r="U6386" s="4"/>
      <c r="V6386" s="4"/>
      <c r="W6386" s="4"/>
      <c r="X6386" s="4"/>
    </row>
    <row r="6387" spans="17:24" x14ac:dyDescent="0.3">
      <c r="Q6387" s="4"/>
      <c r="R6387" s="4"/>
      <c r="S6387" s="4"/>
      <c r="T6387" s="4"/>
      <c r="U6387" s="4"/>
      <c r="V6387" s="4"/>
      <c r="W6387" s="4"/>
      <c r="X6387" s="4"/>
    </row>
    <row r="6388" spans="17:24" x14ac:dyDescent="0.3">
      <c r="Q6388" s="4"/>
      <c r="R6388" s="4"/>
      <c r="S6388" s="4"/>
      <c r="T6388" s="4"/>
      <c r="U6388" s="4"/>
      <c r="V6388" s="4"/>
      <c r="W6388" s="4"/>
      <c r="X6388" s="4"/>
    </row>
    <row r="6389" spans="17:24" x14ac:dyDescent="0.3">
      <c r="Q6389" s="4"/>
      <c r="R6389" s="4"/>
      <c r="S6389" s="4"/>
      <c r="T6389" s="4"/>
      <c r="U6389" s="4"/>
      <c r="V6389" s="4"/>
      <c r="W6389" s="4"/>
      <c r="X6389" s="4"/>
    </row>
    <row r="6390" spans="17:24" x14ac:dyDescent="0.3">
      <c r="Q6390" s="4"/>
      <c r="R6390" s="4"/>
      <c r="S6390" s="4"/>
      <c r="T6390" s="4"/>
      <c r="U6390" s="4"/>
      <c r="V6390" s="4"/>
      <c r="W6390" s="4"/>
      <c r="X6390" s="4"/>
    </row>
    <row r="6391" spans="17:24" x14ac:dyDescent="0.3">
      <c r="Q6391" s="4"/>
      <c r="R6391" s="4"/>
      <c r="S6391" s="4"/>
      <c r="T6391" s="4"/>
      <c r="U6391" s="4"/>
      <c r="V6391" s="4"/>
      <c r="W6391" s="4"/>
      <c r="X6391" s="4"/>
    </row>
    <row r="6392" spans="17:24" x14ac:dyDescent="0.3">
      <c r="Q6392" s="4"/>
      <c r="R6392" s="4"/>
      <c r="S6392" s="4"/>
      <c r="T6392" s="4"/>
      <c r="U6392" s="4"/>
      <c r="V6392" s="4"/>
      <c r="W6392" s="4"/>
      <c r="X6392" s="4"/>
    </row>
    <row r="6393" spans="17:24" x14ac:dyDescent="0.3">
      <c r="Q6393" s="4"/>
      <c r="R6393" s="4"/>
      <c r="S6393" s="4"/>
      <c r="T6393" s="4"/>
      <c r="U6393" s="4"/>
      <c r="V6393" s="4"/>
      <c r="W6393" s="4"/>
      <c r="X6393" s="4"/>
    </row>
    <row r="6394" spans="17:24" x14ac:dyDescent="0.3">
      <c r="Q6394" s="4"/>
      <c r="R6394" s="4"/>
      <c r="S6394" s="4"/>
      <c r="T6394" s="4"/>
      <c r="U6394" s="4"/>
      <c r="V6394" s="4"/>
      <c r="W6394" s="4"/>
      <c r="X6394" s="4"/>
    </row>
    <row r="6395" spans="17:24" x14ac:dyDescent="0.3">
      <c r="Q6395" s="4"/>
      <c r="R6395" s="4"/>
      <c r="S6395" s="4"/>
      <c r="T6395" s="4"/>
      <c r="U6395" s="4"/>
      <c r="V6395" s="4"/>
      <c r="W6395" s="4"/>
      <c r="X6395" s="4"/>
    </row>
    <row r="6396" spans="17:24" x14ac:dyDescent="0.3">
      <c r="Q6396" s="4"/>
      <c r="R6396" s="4"/>
      <c r="S6396" s="4"/>
      <c r="T6396" s="4"/>
      <c r="U6396" s="4"/>
      <c r="V6396" s="4"/>
      <c r="W6396" s="4"/>
      <c r="X6396" s="4"/>
    </row>
    <row r="6397" spans="17:24" x14ac:dyDescent="0.3">
      <c r="Q6397" s="4"/>
      <c r="R6397" s="4"/>
      <c r="S6397" s="4"/>
      <c r="T6397" s="4"/>
      <c r="U6397" s="4"/>
      <c r="V6397" s="4"/>
      <c r="W6397" s="4"/>
      <c r="X6397" s="4"/>
    </row>
    <row r="6398" spans="17:24" x14ac:dyDescent="0.3">
      <c r="Q6398" s="4"/>
      <c r="R6398" s="4"/>
      <c r="S6398" s="4"/>
      <c r="T6398" s="4"/>
      <c r="U6398" s="4"/>
      <c r="V6398" s="4"/>
      <c r="W6398" s="4"/>
      <c r="X6398" s="4"/>
    </row>
    <row r="6399" spans="17:24" x14ac:dyDescent="0.3">
      <c r="Q6399" s="4"/>
      <c r="R6399" s="4"/>
      <c r="S6399" s="4"/>
      <c r="T6399" s="4"/>
      <c r="U6399" s="4"/>
      <c r="V6399" s="4"/>
      <c r="W6399" s="4"/>
      <c r="X6399" s="4"/>
    </row>
    <row r="6400" spans="17:24" x14ac:dyDescent="0.3">
      <c r="Q6400" s="4"/>
      <c r="R6400" s="4"/>
      <c r="S6400" s="4"/>
      <c r="T6400" s="4"/>
      <c r="U6400" s="4"/>
      <c r="V6400" s="4"/>
      <c r="W6400" s="4"/>
      <c r="X6400" s="4"/>
    </row>
    <row r="6401" spans="17:24" x14ac:dyDescent="0.3">
      <c r="Q6401" s="4"/>
      <c r="R6401" s="4"/>
      <c r="S6401" s="4"/>
      <c r="T6401" s="4"/>
      <c r="U6401" s="4"/>
      <c r="V6401" s="4"/>
      <c r="W6401" s="4"/>
      <c r="X6401" s="4"/>
    </row>
    <row r="6402" spans="17:24" x14ac:dyDescent="0.3">
      <c r="Q6402" s="4"/>
      <c r="R6402" s="4"/>
      <c r="S6402" s="4"/>
      <c r="T6402" s="4"/>
      <c r="U6402" s="4"/>
      <c r="V6402" s="4"/>
      <c r="W6402" s="4"/>
      <c r="X6402" s="4"/>
    </row>
    <row r="6403" spans="17:24" x14ac:dyDescent="0.3">
      <c r="Q6403" s="4"/>
      <c r="R6403" s="4"/>
      <c r="S6403" s="4"/>
      <c r="T6403" s="4"/>
      <c r="U6403" s="4"/>
      <c r="V6403" s="4"/>
      <c r="W6403" s="4"/>
      <c r="X6403" s="4"/>
    </row>
    <row r="6404" spans="17:24" x14ac:dyDescent="0.3">
      <c r="Q6404" s="4"/>
      <c r="R6404" s="4"/>
      <c r="S6404" s="4"/>
      <c r="T6404" s="4"/>
      <c r="U6404" s="4"/>
      <c r="V6404" s="4"/>
      <c r="W6404" s="4"/>
      <c r="X6404" s="4"/>
    </row>
    <row r="6405" spans="17:24" x14ac:dyDescent="0.3">
      <c r="Q6405" s="4"/>
      <c r="R6405" s="4"/>
      <c r="S6405" s="4"/>
      <c r="T6405" s="4"/>
      <c r="U6405" s="4"/>
      <c r="V6405" s="4"/>
      <c r="W6405" s="4"/>
      <c r="X6405" s="4"/>
    </row>
    <row r="6406" spans="17:24" x14ac:dyDescent="0.3">
      <c r="Q6406" s="4"/>
      <c r="R6406" s="4"/>
      <c r="S6406" s="4"/>
      <c r="T6406" s="4"/>
      <c r="U6406" s="4"/>
      <c r="V6406" s="4"/>
      <c r="W6406" s="4"/>
      <c r="X6406" s="4"/>
    </row>
    <row r="6407" spans="17:24" x14ac:dyDescent="0.3">
      <c r="Q6407" s="4"/>
      <c r="R6407" s="4"/>
      <c r="S6407" s="4"/>
      <c r="T6407" s="4"/>
      <c r="U6407" s="4"/>
      <c r="V6407" s="4"/>
      <c r="W6407" s="4"/>
      <c r="X6407" s="4"/>
    </row>
    <row r="6408" spans="17:24" x14ac:dyDescent="0.3">
      <c r="Q6408" s="4"/>
      <c r="R6408" s="4"/>
      <c r="S6408" s="4"/>
      <c r="T6408" s="4"/>
      <c r="U6408" s="4"/>
      <c r="V6408" s="4"/>
      <c r="W6408" s="4"/>
      <c r="X6408" s="4"/>
    </row>
    <row r="6409" spans="17:24" x14ac:dyDescent="0.3">
      <c r="Q6409" s="4"/>
      <c r="R6409" s="4"/>
      <c r="S6409" s="4"/>
      <c r="T6409" s="4"/>
      <c r="U6409" s="4"/>
      <c r="V6409" s="4"/>
      <c r="W6409" s="4"/>
      <c r="X6409" s="4"/>
    </row>
    <row r="6410" spans="17:24" x14ac:dyDescent="0.3">
      <c r="Q6410" s="4"/>
      <c r="R6410" s="4"/>
      <c r="S6410" s="4"/>
      <c r="T6410" s="4"/>
      <c r="U6410" s="4"/>
      <c r="V6410" s="4"/>
      <c r="W6410" s="4"/>
      <c r="X6410" s="4"/>
    </row>
    <row r="6411" spans="17:24" x14ac:dyDescent="0.3">
      <c r="Q6411" s="4"/>
      <c r="R6411" s="4"/>
      <c r="S6411" s="4"/>
      <c r="T6411" s="4"/>
      <c r="U6411" s="4"/>
      <c r="V6411" s="4"/>
      <c r="W6411" s="4"/>
      <c r="X6411" s="4"/>
    </row>
    <row r="6412" spans="17:24" x14ac:dyDescent="0.3">
      <c r="Q6412" s="4"/>
      <c r="R6412" s="4"/>
      <c r="S6412" s="4"/>
      <c r="T6412" s="4"/>
      <c r="U6412" s="4"/>
      <c r="V6412" s="4"/>
      <c r="W6412" s="4"/>
      <c r="X6412" s="4"/>
    </row>
    <row r="6413" spans="17:24" x14ac:dyDescent="0.3">
      <c r="Q6413" s="4"/>
      <c r="R6413" s="4"/>
      <c r="S6413" s="4"/>
      <c r="T6413" s="4"/>
      <c r="U6413" s="4"/>
      <c r="V6413" s="4"/>
      <c r="W6413" s="4"/>
      <c r="X6413" s="4"/>
    </row>
    <row r="6414" spans="17:24" x14ac:dyDescent="0.3">
      <c r="Q6414" s="4"/>
      <c r="R6414" s="4"/>
      <c r="S6414" s="4"/>
      <c r="T6414" s="4"/>
      <c r="U6414" s="4"/>
      <c r="V6414" s="4"/>
      <c r="W6414" s="4"/>
      <c r="X6414" s="4"/>
    </row>
    <row r="6415" spans="17:24" x14ac:dyDescent="0.3">
      <c r="Q6415" s="4"/>
      <c r="R6415" s="4"/>
      <c r="S6415" s="4"/>
      <c r="T6415" s="4"/>
      <c r="U6415" s="4"/>
      <c r="V6415" s="4"/>
      <c r="W6415" s="4"/>
      <c r="X6415" s="4"/>
    </row>
    <row r="6416" spans="17:24" x14ac:dyDescent="0.3">
      <c r="Q6416" s="4"/>
      <c r="R6416" s="4"/>
      <c r="S6416" s="4"/>
      <c r="T6416" s="4"/>
      <c r="U6416" s="4"/>
      <c r="V6416" s="4"/>
      <c r="W6416" s="4"/>
      <c r="X6416" s="4"/>
    </row>
    <row r="6417" spans="17:24" x14ac:dyDescent="0.3">
      <c r="Q6417" s="4"/>
      <c r="R6417" s="4"/>
      <c r="S6417" s="4"/>
      <c r="T6417" s="4"/>
      <c r="U6417" s="4"/>
      <c r="V6417" s="4"/>
      <c r="W6417" s="4"/>
      <c r="X6417" s="4"/>
    </row>
    <row r="6418" spans="17:24" x14ac:dyDescent="0.3">
      <c r="Q6418" s="4"/>
      <c r="R6418" s="4"/>
      <c r="S6418" s="4"/>
      <c r="T6418" s="4"/>
      <c r="U6418" s="4"/>
      <c r="V6418" s="4"/>
      <c r="W6418" s="4"/>
      <c r="X6418" s="4"/>
    </row>
    <row r="6419" spans="17:24" x14ac:dyDescent="0.3">
      <c r="Q6419" s="4"/>
      <c r="R6419" s="4"/>
      <c r="S6419" s="4"/>
      <c r="T6419" s="4"/>
      <c r="U6419" s="4"/>
      <c r="V6419" s="4"/>
      <c r="W6419" s="4"/>
      <c r="X6419" s="4"/>
    </row>
    <row r="6420" spans="17:24" x14ac:dyDescent="0.3">
      <c r="Q6420" s="4"/>
      <c r="R6420" s="4"/>
      <c r="S6420" s="4"/>
      <c r="T6420" s="4"/>
      <c r="U6420" s="4"/>
      <c r="V6420" s="4"/>
      <c r="W6420" s="4"/>
      <c r="X6420" s="4"/>
    </row>
    <row r="6421" spans="17:24" x14ac:dyDescent="0.3">
      <c r="Q6421" s="4"/>
      <c r="R6421" s="4"/>
      <c r="S6421" s="4"/>
      <c r="T6421" s="4"/>
      <c r="U6421" s="4"/>
      <c r="V6421" s="4"/>
      <c r="W6421" s="4"/>
      <c r="X6421" s="4"/>
    </row>
    <row r="6422" spans="17:24" x14ac:dyDescent="0.3">
      <c r="Q6422" s="4"/>
      <c r="R6422" s="4"/>
      <c r="S6422" s="4"/>
      <c r="T6422" s="4"/>
      <c r="U6422" s="4"/>
      <c r="V6422" s="4"/>
      <c r="W6422" s="4"/>
      <c r="X6422" s="4"/>
    </row>
    <row r="6423" spans="17:24" x14ac:dyDescent="0.3">
      <c r="Q6423" s="4"/>
      <c r="R6423" s="4"/>
      <c r="S6423" s="4"/>
      <c r="T6423" s="4"/>
      <c r="U6423" s="4"/>
      <c r="V6423" s="4"/>
      <c r="W6423" s="4"/>
      <c r="X6423" s="4"/>
    </row>
    <row r="6424" spans="17:24" x14ac:dyDescent="0.3">
      <c r="Q6424" s="4"/>
      <c r="R6424" s="4"/>
      <c r="S6424" s="4"/>
      <c r="T6424" s="4"/>
      <c r="U6424" s="4"/>
      <c r="V6424" s="4"/>
      <c r="W6424" s="4"/>
      <c r="X6424" s="4"/>
    </row>
    <row r="6425" spans="17:24" x14ac:dyDescent="0.3">
      <c r="Q6425" s="4"/>
      <c r="R6425" s="4"/>
      <c r="S6425" s="4"/>
      <c r="T6425" s="4"/>
      <c r="U6425" s="4"/>
      <c r="V6425" s="4"/>
      <c r="W6425" s="4"/>
      <c r="X6425" s="4"/>
    </row>
    <row r="6426" spans="17:24" x14ac:dyDescent="0.3">
      <c r="Q6426" s="4"/>
      <c r="R6426" s="4"/>
      <c r="S6426" s="4"/>
      <c r="T6426" s="4"/>
      <c r="U6426" s="4"/>
      <c r="V6426" s="4"/>
      <c r="W6426" s="4"/>
      <c r="X6426" s="4"/>
    </row>
    <row r="6427" spans="17:24" x14ac:dyDescent="0.3">
      <c r="Q6427" s="4"/>
      <c r="R6427" s="4"/>
      <c r="S6427" s="4"/>
      <c r="T6427" s="4"/>
      <c r="U6427" s="4"/>
      <c r="V6427" s="4"/>
      <c r="W6427" s="4"/>
      <c r="X6427" s="4"/>
    </row>
    <row r="6428" spans="17:24" x14ac:dyDescent="0.3">
      <c r="Q6428" s="4"/>
      <c r="R6428" s="4"/>
      <c r="S6428" s="4"/>
      <c r="T6428" s="4"/>
      <c r="U6428" s="4"/>
      <c r="V6428" s="4"/>
      <c r="W6428" s="4"/>
      <c r="X6428" s="4"/>
    </row>
    <row r="6429" spans="17:24" x14ac:dyDescent="0.3">
      <c r="Q6429" s="4"/>
      <c r="R6429" s="4"/>
      <c r="S6429" s="4"/>
      <c r="T6429" s="4"/>
      <c r="U6429" s="4"/>
      <c r="V6429" s="4"/>
      <c r="W6429" s="4"/>
      <c r="X6429" s="4"/>
    </row>
    <row r="6430" spans="17:24" x14ac:dyDescent="0.3">
      <c r="Q6430" s="4"/>
      <c r="R6430" s="4"/>
      <c r="S6430" s="4"/>
      <c r="T6430" s="4"/>
      <c r="U6430" s="4"/>
      <c r="V6430" s="4"/>
      <c r="W6430" s="4"/>
      <c r="X6430" s="4"/>
    </row>
    <row r="6431" spans="17:24" x14ac:dyDescent="0.3">
      <c r="Q6431" s="4"/>
      <c r="R6431" s="4"/>
      <c r="S6431" s="4"/>
      <c r="T6431" s="4"/>
      <c r="U6431" s="4"/>
      <c r="V6431" s="4"/>
      <c r="W6431" s="4"/>
      <c r="X6431" s="4"/>
    </row>
    <row r="6432" spans="17:24" x14ac:dyDescent="0.3">
      <c r="Q6432" s="4"/>
      <c r="R6432" s="4"/>
      <c r="S6432" s="4"/>
      <c r="T6432" s="4"/>
      <c r="U6432" s="4"/>
      <c r="V6432" s="4"/>
      <c r="W6432" s="4"/>
      <c r="X6432" s="4"/>
    </row>
    <row r="6433" spans="17:24" x14ac:dyDescent="0.3">
      <c r="Q6433" s="4"/>
      <c r="R6433" s="4"/>
      <c r="S6433" s="4"/>
      <c r="T6433" s="4"/>
      <c r="U6433" s="4"/>
      <c r="V6433" s="4"/>
      <c r="W6433" s="4"/>
      <c r="X6433" s="4"/>
    </row>
    <row r="6434" spans="17:24" x14ac:dyDescent="0.3">
      <c r="Q6434" s="4"/>
      <c r="R6434" s="4"/>
      <c r="S6434" s="4"/>
      <c r="T6434" s="4"/>
      <c r="U6434" s="4"/>
      <c r="V6434" s="4"/>
      <c r="W6434" s="4"/>
      <c r="X6434" s="4"/>
    </row>
    <row r="6435" spans="17:24" x14ac:dyDescent="0.3">
      <c r="Q6435" s="4"/>
      <c r="R6435" s="4"/>
      <c r="S6435" s="4"/>
      <c r="T6435" s="4"/>
      <c r="U6435" s="4"/>
      <c r="V6435" s="4"/>
      <c r="W6435" s="4"/>
      <c r="X6435" s="4"/>
    </row>
    <row r="6436" spans="17:24" x14ac:dyDescent="0.3">
      <c r="Q6436" s="4"/>
      <c r="R6436" s="4"/>
      <c r="S6436" s="4"/>
      <c r="T6436" s="4"/>
      <c r="U6436" s="4"/>
      <c r="V6436" s="4"/>
      <c r="W6436" s="4"/>
      <c r="X6436" s="4"/>
    </row>
    <row r="6437" spans="17:24" x14ac:dyDescent="0.3">
      <c r="Q6437" s="4"/>
      <c r="R6437" s="4"/>
      <c r="S6437" s="4"/>
      <c r="T6437" s="4"/>
      <c r="U6437" s="4"/>
      <c r="V6437" s="4"/>
      <c r="W6437" s="4"/>
      <c r="X6437" s="4"/>
    </row>
    <row r="6438" spans="17:24" x14ac:dyDescent="0.3">
      <c r="Q6438" s="4"/>
      <c r="R6438" s="4"/>
      <c r="S6438" s="4"/>
      <c r="T6438" s="4"/>
      <c r="U6438" s="4"/>
      <c r="V6438" s="4"/>
      <c r="W6438" s="4"/>
      <c r="X6438" s="4"/>
    </row>
    <row r="6439" spans="17:24" x14ac:dyDescent="0.3">
      <c r="Q6439" s="4"/>
      <c r="R6439" s="4"/>
      <c r="S6439" s="4"/>
      <c r="T6439" s="4"/>
      <c r="U6439" s="4"/>
      <c r="V6439" s="4"/>
      <c r="W6439" s="4"/>
      <c r="X6439" s="4"/>
    </row>
    <row r="6440" spans="17:24" x14ac:dyDescent="0.3">
      <c r="Q6440" s="4"/>
      <c r="R6440" s="4"/>
      <c r="S6440" s="4"/>
      <c r="T6440" s="4"/>
      <c r="U6440" s="4"/>
      <c r="V6440" s="4"/>
      <c r="W6440" s="4"/>
      <c r="X6440" s="4"/>
    </row>
    <row r="6441" spans="17:24" x14ac:dyDescent="0.3">
      <c r="Q6441" s="4"/>
      <c r="R6441" s="4"/>
      <c r="S6441" s="4"/>
      <c r="T6441" s="4"/>
      <c r="U6441" s="4"/>
      <c r="V6441" s="4"/>
      <c r="W6441" s="4"/>
      <c r="X6441" s="4"/>
    </row>
    <row r="6442" spans="17:24" x14ac:dyDescent="0.3">
      <c r="Q6442" s="4"/>
      <c r="R6442" s="4"/>
      <c r="S6442" s="4"/>
      <c r="T6442" s="4"/>
      <c r="U6442" s="4"/>
      <c r="V6442" s="4"/>
      <c r="W6442" s="4"/>
      <c r="X6442" s="4"/>
    </row>
    <row r="6443" spans="17:24" x14ac:dyDescent="0.3">
      <c r="Q6443" s="4"/>
      <c r="R6443" s="4"/>
      <c r="S6443" s="4"/>
      <c r="T6443" s="4"/>
      <c r="U6443" s="4"/>
      <c r="V6443" s="4"/>
      <c r="W6443" s="4"/>
      <c r="X6443" s="4"/>
    </row>
    <row r="6444" spans="17:24" x14ac:dyDescent="0.3">
      <c r="Q6444" s="4"/>
      <c r="R6444" s="4"/>
      <c r="S6444" s="4"/>
      <c r="T6444" s="4"/>
      <c r="U6444" s="4"/>
      <c r="V6444" s="4"/>
      <c r="W6444" s="4"/>
      <c r="X6444" s="4"/>
    </row>
    <row r="6445" spans="17:24" x14ac:dyDescent="0.3">
      <c r="Q6445" s="4"/>
      <c r="R6445" s="4"/>
      <c r="S6445" s="4"/>
      <c r="T6445" s="4"/>
      <c r="U6445" s="4"/>
      <c r="V6445" s="4"/>
      <c r="W6445" s="4"/>
      <c r="X6445" s="4"/>
    </row>
    <row r="6446" spans="17:24" x14ac:dyDescent="0.3">
      <c r="Q6446" s="4"/>
      <c r="R6446" s="4"/>
      <c r="S6446" s="4"/>
      <c r="T6446" s="4"/>
      <c r="U6446" s="4"/>
      <c r="V6446" s="4"/>
      <c r="W6446" s="4"/>
      <c r="X6446" s="4"/>
    </row>
    <row r="6447" spans="17:24" x14ac:dyDescent="0.3">
      <c r="Q6447" s="4"/>
      <c r="R6447" s="4"/>
      <c r="S6447" s="4"/>
      <c r="T6447" s="4"/>
      <c r="U6447" s="4"/>
      <c r="V6447" s="4"/>
      <c r="W6447" s="4"/>
      <c r="X6447" s="4"/>
    </row>
    <row r="6448" spans="17:24" x14ac:dyDescent="0.3">
      <c r="Q6448" s="4"/>
      <c r="R6448" s="4"/>
      <c r="S6448" s="4"/>
      <c r="T6448" s="4"/>
      <c r="U6448" s="4"/>
      <c r="V6448" s="4"/>
      <c r="W6448" s="4"/>
      <c r="X6448" s="4"/>
    </row>
    <row r="6449" spans="17:24" x14ac:dyDescent="0.3">
      <c r="Q6449" s="4"/>
      <c r="R6449" s="4"/>
      <c r="S6449" s="4"/>
      <c r="T6449" s="4"/>
      <c r="U6449" s="4"/>
      <c r="V6449" s="4"/>
      <c r="W6449" s="4"/>
      <c r="X6449" s="4"/>
    </row>
    <row r="6450" spans="17:24" x14ac:dyDescent="0.3">
      <c r="Q6450" s="4"/>
      <c r="R6450" s="4"/>
      <c r="S6450" s="4"/>
      <c r="T6450" s="4"/>
      <c r="U6450" s="4"/>
      <c r="V6450" s="4"/>
      <c r="W6450" s="4"/>
      <c r="X6450" s="4"/>
    </row>
    <row r="6451" spans="17:24" x14ac:dyDescent="0.3">
      <c r="Q6451" s="4"/>
      <c r="R6451" s="4"/>
      <c r="S6451" s="4"/>
      <c r="T6451" s="4"/>
      <c r="U6451" s="4"/>
      <c r="V6451" s="4"/>
      <c r="W6451" s="4"/>
      <c r="X6451" s="4"/>
    </row>
    <row r="6452" spans="17:24" x14ac:dyDescent="0.3">
      <c r="Q6452" s="4"/>
      <c r="R6452" s="4"/>
      <c r="S6452" s="4"/>
      <c r="T6452" s="4"/>
      <c r="U6452" s="4"/>
      <c r="V6452" s="4"/>
      <c r="W6452" s="4"/>
      <c r="X6452" s="4"/>
    </row>
    <row r="6453" spans="17:24" x14ac:dyDescent="0.3">
      <c r="Q6453" s="4"/>
      <c r="R6453" s="4"/>
      <c r="S6453" s="4"/>
      <c r="T6453" s="4"/>
      <c r="U6453" s="4"/>
      <c r="V6453" s="4"/>
      <c r="W6453" s="4"/>
      <c r="X6453" s="4"/>
    </row>
    <row r="6454" spans="17:24" x14ac:dyDescent="0.3">
      <c r="Q6454" s="4"/>
      <c r="R6454" s="4"/>
      <c r="S6454" s="4"/>
      <c r="T6454" s="4"/>
      <c r="U6454" s="4"/>
      <c r="V6454" s="4"/>
      <c r="W6454" s="4"/>
      <c r="X6454" s="4"/>
    </row>
    <row r="6455" spans="17:24" x14ac:dyDescent="0.3">
      <c r="Q6455" s="4"/>
      <c r="R6455" s="4"/>
      <c r="S6455" s="4"/>
      <c r="T6455" s="4"/>
      <c r="U6455" s="4"/>
      <c r="V6455" s="4"/>
      <c r="W6455" s="4"/>
      <c r="X6455" s="4"/>
    </row>
    <row r="6456" spans="17:24" x14ac:dyDescent="0.3">
      <c r="Q6456" s="4"/>
      <c r="R6456" s="4"/>
      <c r="S6456" s="4"/>
      <c r="T6456" s="4"/>
      <c r="U6456" s="4"/>
      <c r="V6456" s="4"/>
      <c r="W6456" s="4"/>
      <c r="X6456" s="4"/>
    </row>
    <row r="6457" spans="17:24" x14ac:dyDescent="0.3">
      <c r="Q6457" s="4"/>
      <c r="R6457" s="4"/>
      <c r="S6457" s="4"/>
      <c r="T6457" s="4"/>
      <c r="U6457" s="4"/>
      <c r="V6457" s="4"/>
      <c r="W6457" s="4"/>
      <c r="X6457" s="4"/>
    </row>
    <row r="6458" spans="17:24" x14ac:dyDescent="0.3">
      <c r="Q6458" s="4"/>
      <c r="R6458" s="4"/>
      <c r="S6458" s="4"/>
      <c r="T6458" s="4"/>
      <c r="U6458" s="4"/>
      <c r="V6458" s="4"/>
      <c r="W6458" s="4"/>
      <c r="X6458" s="4"/>
    </row>
    <row r="6459" spans="17:24" x14ac:dyDescent="0.3">
      <c r="Q6459" s="4"/>
      <c r="R6459" s="4"/>
      <c r="S6459" s="4"/>
      <c r="T6459" s="4"/>
      <c r="U6459" s="4"/>
      <c r="V6459" s="4"/>
      <c r="W6459" s="4"/>
      <c r="X6459" s="4"/>
    </row>
    <row r="6460" spans="17:24" x14ac:dyDescent="0.3">
      <c r="Q6460" s="4"/>
      <c r="R6460" s="4"/>
      <c r="S6460" s="4"/>
      <c r="T6460" s="4"/>
      <c r="U6460" s="4"/>
      <c r="V6460" s="4"/>
      <c r="W6460" s="4"/>
      <c r="X6460" s="4"/>
    </row>
    <row r="6461" spans="17:24" x14ac:dyDescent="0.3">
      <c r="Q6461" s="4"/>
      <c r="R6461" s="4"/>
      <c r="S6461" s="4"/>
      <c r="T6461" s="4"/>
      <c r="U6461" s="4"/>
      <c r="V6461" s="4"/>
      <c r="W6461" s="4"/>
      <c r="X6461" s="4"/>
    </row>
    <row r="6462" spans="17:24" x14ac:dyDescent="0.3">
      <c r="Q6462" s="4"/>
      <c r="R6462" s="4"/>
      <c r="S6462" s="4"/>
      <c r="T6462" s="4"/>
      <c r="U6462" s="4"/>
      <c r="V6462" s="4"/>
      <c r="W6462" s="4"/>
      <c r="X6462" s="4"/>
    </row>
    <row r="6463" spans="17:24" x14ac:dyDescent="0.3">
      <c r="Q6463" s="4"/>
      <c r="R6463" s="4"/>
      <c r="S6463" s="4"/>
      <c r="T6463" s="4"/>
      <c r="U6463" s="4"/>
      <c r="V6463" s="4"/>
      <c r="W6463" s="4"/>
      <c r="X6463" s="4"/>
    </row>
    <row r="6464" spans="17:24" x14ac:dyDescent="0.3">
      <c r="Q6464" s="4"/>
      <c r="R6464" s="4"/>
      <c r="S6464" s="4"/>
      <c r="T6464" s="4"/>
      <c r="U6464" s="4"/>
      <c r="V6464" s="4"/>
      <c r="W6464" s="4"/>
      <c r="X6464" s="4"/>
    </row>
    <row r="6465" spans="17:24" x14ac:dyDescent="0.3">
      <c r="Q6465" s="4"/>
      <c r="R6465" s="4"/>
      <c r="S6465" s="4"/>
      <c r="T6465" s="4"/>
      <c r="U6465" s="4"/>
      <c r="V6465" s="4"/>
      <c r="W6465" s="4"/>
      <c r="X6465" s="4"/>
    </row>
    <row r="6466" spans="17:24" x14ac:dyDescent="0.3">
      <c r="Q6466" s="4"/>
      <c r="R6466" s="4"/>
      <c r="S6466" s="4"/>
      <c r="T6466" s="4"/>
      <c r="U6466" s="4"/>
      <c r="V6466" s="4"/>
      <c r="W6466" s="4"/>
      <c r="X6466" s="4"/>
    </row>
    <row r="6467" spans="17:24" x14ac:dyDescent="0.3">
      <c r="Q6467" s="4"/>
      <c r="R6467" s="4"/>
      <c r="S6467" s="4"/>
      <c r="T6467" s="4"/>
      <c r="U6467" s="4"/>
      <c r="V6467" s="4"/>
      <c r="W6467" s="4"/>
      <c r="X6467" s="4"/>
    </row>
    <row r="6468" spans="17:24" x14ac:dyDescent="0.3">
      <c r="Q6468" s="4"/>
      <c r="R6468" s="4"/>
      <c r="S6468" s="4"/>
      <c r="T6468" s="4"/>
      <c r="U6468" s="4"/>
      <c r="V6468" s="4"/>
      <c r="W6468" s="4"/>
      <c r="X6468" s="4"/>
    </row>
    <row r="6469" spans="17:24" x14ac:dyDescent="0.3">
      <c r="Q6469" s="4"/>
      <c r="R6469" s="4"/>
      <c r="S6469" s="4"/>
      <c r="T6469" s="4"/>
      <c r="U6469" s="4"/>
      <c r="V6469" s="4"/>
      <c r="W6469" s="4"/>
      <c r="X6469" s="4"/>
    </row>
    <row r="6470" spans="17:24" x14ac:dyDescent="0.3">
      <c r="Q6470" s="4"/>
      <c r="R6470" s="4"/>
      <c r="S6470" s="4"/>
      <c r="T6470" s="4"/>
      <c r="U6470" s="4"/>
      <c r="V6470" s="4"/>
      <c r="W6470" s="4"/>
      <c r="X6470" s="4"/>
    </row>
    <row r="6471" spans="17:24" x14ac:dyDescent="0.3">
      <c r="Q6471" s="4"/>
      <c r="R6471" s="4"/>
      <c r="S6471" s="4"/>
      <c r="T6471" s="4"/>
      <c r="U6471" s="4"/>
      <c r="V6471" s="4"/>
      <c r="W6471" s="4"/>
      <c r="X6471" s="4"/>
    </row>
    <row r="6472" spans="17:24" x14ac:dyDescent="0.3">
      <c r="Q6472" s="4"/>
      <c r="R6472" s="4"/>
      <c r="S6472" s="4"/>
      <c r="T6472" s="4"/>
      <c r="U6472" s="4"/>
      <c r="V6472" s="4"/>
      <c r="W6472" s="4"/>
      <c r="X6472" s="4"/>
    </row>
    <row r="6473" spans="17:24" x14ac:dyDescent="0.3">
      <c r="Q6473" s="4"/>
      <c r="R6473" s="4"/>
      <c r="S6473" s="4"/>
      <c r="T6473" s="4"/>
      <c r="U6473" s="4"/>
      <c r="V6473" s="4"/>
      <c r="W6473" s="4"/>
      <c r="X6473" s="4"/>
    </row>
    <row r="6474" spans="17:24" x14ac:dyDescent="0.3">
      <c r="Q6474" s="4"/>
      <c r="R6474" s="4"/>
      <c r="S6474" s="4"/>
      <c r="T6474" s="4"/>
      <c r="U6474" s="4"/>
      <c r="V6474" s="4"/>
      <c r="W6474" s="4"/>
      <c r="X6474" s="4"/>
    </row>
    <row r="6475" spans="17:24" x14ac:dyDescent="0.3">
      <c r="Q6475" s="4"/>
      <c r="R6475" s="4"/>
      <c r="S6475" s="4"/>
      <c r="T6475" s="4"/>
      <c r="U6475" s="4"/>
      <c r="V6475" s="4"/>
      <c r="W6475" s="4"/>
      <c r="X6475" s="4"/>
    </row>
    <row r="6476" spans="17:24" x14ac:dyDescent="0.3">
      <c r="Q6476" s="4"/>
      <c r="R6476" s="4"/>
      <c r="S6476" s="4"/>
      <c r="T6476" s="4"/>
      <c r="U6476" s="4"/>
      <c r="V6476" s="4"/>
      <c r="W6476" s="4"/>
      <c r="X6476" s="4"/>
    </row>
    <row r="6477" spans="17:24" x14ac:dyDescent="0.3">
      <c r="Q6477" s="4"/>
      <c r="R6477" s="4"/>
      <c r="S6477" s="4"/>
      <c r="T6477" s="4"/>
      <c r="U6477" s="4"/>
      <c r="V6477" s="4"/>
      <c r="W6477" s="4"/>
      <c r="X6477" s="4"/>
    </row>
    <row r="6478" spans="17:24" x14ac:dyDescent="0.3">
      <c r="Q6478" s="4"/>
      <c r="R6478" s="4"/>
      <c r="S6478" s="4"/>
      <c r="T6478" s="4"/>
      <c r="U6478" s="4"/>
      <c r="V6478" s="4"/>
      <c r="W6478" s="4"/>
      <c r="X6478" s="4"/>
    </row>
    <row r="6479" spans="17:24" x14ac:dyDescent="0.3">
      <c r="Q6479" s="4"/>
      <c r="R6479" s="4"/>
      <c r="S6479" s="4"/>
      <c r="T6479" s="4"/>
      <c r="U6479" s="4"/>
      <c r="V6479" s="4"/>
      <c r="W6479" s="4"/>
      <c r="X6479" s="4"/>
    </row>
    <row r="6480" spans="17:24" x14ac:dyDescent="0.3">
      <c r="Q6480" s="4"/>
      <c r="R6480" s="4"/>
      <c r="S6480" s="4"/>
      <c r="T6480" s="4"/>
      <c r="U6480" s="4"/>
      <c r="V6480" s="4"/>
      <c r="W6480" s="4"/>
      <c r="X6480" s="4"/>
    </row>
    <row r="6481" spans="17:24" x14ac:dyDescent="0.3">
      <c r="Q6481" s="4"/>
      <c r="R6481" s="4"/>
      <c r="S6481" s="4"/>
      <c r="T6481" s="4"/>
      <c r="U6481" s="4"/>
      <c r="V6481" s="4"/>
      <c r="W6481" s="4"/>
      <c r="X6481" s="4"/>
    </row>
    <row r="6482" spans="17:24" x14ac:dyDescent="0.3">
      <c r="Q6482" s="4"/>
      <c r="R6482" s="4"/>
      <c r="S6482" s="4"/>
      <c r="T6482" s="4"/>
      <c r="U6482" s="4"/>
      <c r="V6482" s="4"/>
      <c r="W6482" s="4"/>
      <c r="X6482" s="4"/>
    </row>
    <row r="6483" spans="17:24" x14ac:dyDescent="0.3">
      <c r="Q6483" s="4"/>
      <c r="R6483" s="4"/>
      <c r="S6483" s="4"/>
      <c r="T6483" s="4"/>
      <c r="U6483" s="4"/>
      <c r="V6483" s="4"/>
      <c r="W6483" s="4"/>
      <c r="X6483" s="4"/>
    </row>
    <row r="6484" spans="17:24" x14ac:dyDescent="0.3">
      <c r="Q6484" s="4"/>
      <c r="R6484" s="4"/>
      <c r="S6484" s="4"/>
      <c r="T6484" s="4"/>
      <c r="U6484" s="4"/>
      <c r="V6484" s="4"/>
      <c r="W6484" s="4"/>
      <c r="X6484" s="4"/>
    </row>
    <row r="6485" spans="17:24" x14ac:dyDescent="0.3">
      <c r="Q6485" s="4"/>
      <c r="R6485" s="4"/>
      <c r="S6485" s="4"/>
      <c r="T6485" s="4"/>
      <c r="U6485" s="4"/>
      <c r="V6485" s="4"/>
      <c r="W6485" s="4"/>
      <c r="X6485" s="4"/>
    </row>
    <row r="6486" spans="17:24" x14ac:dyDescent="0.3">
      <c r="Q6486" s="4"/>
      <c r="R6486" s="4"/>
      <c r="S6486" s="4"/>
      <c r="T6486" s="4"/>
      <c r="U6486" s="4"/>
      <c r="V6486" s="4"/>
      <c r="W6486" s="4"/>
      <c r="X6486" s="4"/>
    </row>
    <row r="6487" spans="17:24" x14ac:dyDescent="0.3">
      <c r="Q6487" s="4"/>
      <c r="R6487" s="4"/>
      <c r="S6487" s="4"/>
      <c r="T6487" s="4"/>
      <c r="U6487" s="4"/>
      <c r="V6487" s="4"/>
      <c r="W6487" s="4"/>
      <c r="X6487" s="4"/>
    </row>
    <row r="6488" spans="17:24" x14ac:dyDescent="0.3">
      <c r="Q6488" s="4"/>
      <c r="R6488" s="4"/>
      <c r="S6488" s="4"/>
      <c r="T6488" s="4"/>
      <c r="U6488" s="4"/>
      <c r="V6488" s="4"/>
      <c r="W6488" s="4"/>
      <c r="X6488" s="4"/>
    </row>
    <row r="6489" spans="17:24" x14ac:dyDescent="0.3">
      <c r="Q6489" s="4"/>
      <c r="R6489" s="4"/>
      <c r="S6489" s="4"/>
      <c r="T6489" s="4"/>
      <c r="U6489" s="4"/>
      <c r="V6489" s="4"/>
      <c r="W6489" s="4"/>
      <c r="X6489" s="4"/>
    </row>
    <row r="6490" spans="17:24" x14ac:dyDescent="0.3">
      <c r="Q6490" s="4"/>
      <c r="R6490" s="4"/>
      <c r="S6490" s="4"/>
      <c r="T6490" s="4"/>
      <c r="U6490" s="4"/>
      <c r="V6490" s="4"/>
      <c r="W6490" s="4"/>
      <c r="X6490" s="4"/>
    </row>
    <row r="6491" spans="17:24" x14ac:dyDescent="0.3">
      <c r="Q6491" s="4"/>
      <c r="R6491" s="4"/>
      <c r="S6491" s="4"/>
      <c r="T6491" s="4"/>
      <c r="U6491" s="4"/>
      <c r="V6491" s="4"/>
      <c r="W6491" s="4"/>
      <c r="X6491" s="4"/>
    </row>
    <row r="6492" spans="17:24" x14ac:dyDescent="0.3">
      <c r="Q6492" s="4"/>
      <c r="R6492" s="4"/>
      <c r="S6492" s="4"/>
      <c r="T6492" s="4"/>
      <c r="U6492" s="4"/>
      <c r="V6492" s="4"/>
      <c r="W6492" s="4"/>
      <c r="X6492" s="4"/>
    </row>
    <row r="6493" spans="17:24" x14ac:dyDescent="0.3">
      <c r="Q6493" s="4"/>
      <c r="R6493" s="4"/>
      <c r="S6493" s="4"/>
      <c r="T6493" s="4"/>
      <c r="U6493" s="4"/>
      <c r="V6493" s="4"/>
      <c r="W6493" s="4"/>
      <c r="X6493" s="4"/>
    </row>
    <row r="6494" spans="17:24" x14ac:dyDescent="0.3">
      <c r="Q6494" s="4"/>
      <c r="R6494" s="4"/>
      <c r="S6494" s="4"/>
      <c r="T6494" s="4"/>
      <c r="U6494" s="4"/>
      <c r="V6494" s="4"/>
      <c r="W6494" s="4"/>
      <c r="X6494" s="4"/>
    </row>
    <row r="6495" spans="17:24" x14ac:dyDescent="0.3">
      <c r="Q6495" s="4"/>
      <c r="R6495" s="4"/>
      <c r="S6495" s="4"/>
      <c r="T6495" s="4"/>
      <c r="U6495" s="4"/>
      <c r="V6495" s="4"/>
      <c r="W6495" s="4"/>
      <c r="X6495" s="4"/>
    </row>
    <row r="6496" spans="17:24" x14ac:dyDescent="0.3">
      <c r="Q6496" s="4"/>
      <c r="R6496" s="4"/>
      <c r="S6496" s="4"/>
      <c r="T6496" s="4"/>
      <c r="U6496" s="4"/>
      <c r="V6496" s="4"/>
      <c r="W6496" s="4"/>
      <c r="X6496" s="4"/>
    </row>
    <row r="6497" spans="17:24" x14ac:dyDescent="0.3">
      <c r="Q6497" s="4"/>
      <c r="R6497" s="4"/>
      <c r="S6497" s="4"/>
      <c r="T6497" s="4"/>
      <c r="U6497" s="4"/>
      <c r="V6497" s="4"/>
      <c r="W6497" s="4"/>
      <c r="X6497" s="4"/>
    </row>
    <row r="6498" spans="17:24" x14ac:dyDescent="0.3">
      <c r="Q6498" s="4"/>
      <c r="R6498" s="4"/>
      <c r="S6498" s="4"/>
      <c r="T6498" s="4"/>
      <c r="U6498" s="4"/>
      <c r="V6498" s="4"/>
      <c r="W6498" s="4"/>
      <c r="X6498" s="4"/>
    </row>
    <row r="6499" spans="17:24" x14ac:dyDescent="0.3">
      <c r="Q6499" s="4"/>
      <c r="R6499" s="4"/>
      <c r="S6499" s="4"/>
      <c r="T6499" s="4"/>
      <c r="U6499" s="4"/>
      <c r="V6499" s="4"/>
      <c r="W6499" s="4"/>
      <c r="X6499" s="4"/>
    </row>
    <row r="6500" spans="17:24" x14ac:dyDescent="0.3">
      <c r="Q6500" s="4"/>
      <c r="R6500" s="4"/>
      <c r="S6500" s="4"/>
      <c r="T6500" s="4"/>
      <c r="U6500" s="4"/>
      <c r="V6500" s="4"/>
      <c r="W6500" s="4"/>
      <c r="X6500" s="4"/>
    </row>
    <row r="6501" spans="17:24" x14ac:dyDescent="0.3">
      <c r="Q6501" s="4"/>
      <c r="R6501" s="4"/>
      <c r="S6501" s="4"/>
      <c r="T6501" s="4"/>
      <c r="U6501" s="4"/>
      <c r="V6501" s="4"/>
      <c r="W6501" s="4"/>
      <c r="X6501" s="4"/>
    </row>
    <row r="6502" spans="17:24" x14ac:dyDescent="0.3">
      <c r="Q6502" s="4"/>
      <c r="R6502" s="4"/>
      <c r="S6502" s="4"/>
      <c r="T6502" s="4"/>
      <c r="U6502" s="4"/>
      <c r="V6502" s="4"/>
      <c r="W6502" s="4"/>
      <c r="X6502" s="4"/>
    </row>
    <row r="6503" spans="17:24" x14ac:dyDescent="0.3">
      <c r="Q6503" s="4"/>
      <c r="R6503" s="4"/>
      <c r="S6503" s="4"/>
      <c r="T6503" s="4"/>
      <c r="U6503" s="4"/>
      <c r="V6503" s="4"/>
      <c r="W6503" s="4"/>
      <c r="X6503" s="4"/>
    </row>
    <row r="6504" spans="17:24" x14ac:dyDescent="0.3">
      <c r="Q6504" s="4"/>
      <c r="R6504" s="4"/>
      <c r="S6504" s="4"/>
      <c r="T6504" s="4"/>
      <c r="U6504" s="4"/>
      <c r="V6504" s="4"/>
      <c r="W6504" s="4"/>
      <c r="X6504" s="4"/>
    </row>
    <row r="6505" spans="17:24" x14ac:dyDescent="0.3">
      <c r="Q6505" s="4"/>
      <c r="R6505" s="4"/>
      <c r="S6505" s="4"/>
      <c r="T6505" s="4"/>
      <c r="U6505" s="4"/>
      <c r="V6505" s="4"/>
      <c r="W6505" s="4"/>
      <c r="X6505" s="4"/>
    </row>
    <row r="6506" spans="17:24" x14ac:dyDescent="0.3">
      <c r="Q6506" s="4"/>
      <c r="R6506" s="4"/>
      <c r="S6506" s="4"/>
      <c r="T6506" s="4"/>
      <c r="U6506" s="4"/>
      <c r="V6506" s="4"/>
      <c r="W6506" s="4"/>
      <c r="X6506" s="4"/>
    </row>
    <row r="6507" spans="17:24" x14ac:dyDescent="0.3">
      <c r="Q6507" s="4"/>
      <c r="R6507" s="4"/>
      <c r="S6507" s="4"/>
      <c r="T6507" s="4"/>
      <c r="U6507" s="4"/>
      <c r="V6507" s="4"/>
      <c r="W6507" s="4"/>
      <c r="X6507" s="4"/>
    </row>
    <row r="6508" spans="17:24" x14ac:dyDescent="0.3">
      <c r="Q6508" s="4"/>
      <c r="R6508" s="4"/>
      <c r="S6508" s="4"/>
      <c r="T6508" s="4"/>
      <c r="U6508" s="4"/>
      <c r="V6508" s="4"/>
      <c r="W6508" s="4"/>
      <c r="X6508" s="4"/>
    </row>
    <row r="6509" spans="17:24" x14ac:dyDescent="0.3">
      <c r="Q6509" s="4"/>
      <c r="R6509" s="4"/>
      <c r="S6509" s="4"/>
      <c r="T6509" s="4"/>
      <c r="U6509" s="4"/>
      <c r="V6509" s="4"/>
      <c r="W6509" s="4"/>
      <c r="X6509" s="4"/>
    </row>
    <row r="6510" spans="17:24" x14ac:dyDescent="0.3">
      <c r="Q6510" s="4"/>
      <c r="R6510" s="4"/>
      <c r="S6510" s="4"/>
      <c r="T6510" s="4"/>
      <c r="U6510" s="4"/>
      <c r="V6510" s="4"/>
      <c r="W6510" s="4"/>
      <c r="X6510" s="4"/>
    </row>
    <row r="6511" spans="17:24" x14ac:dyDescent="0.3">
      <c r="Q6511" s="4"/>
      <c r="R6511" s="4"/>
      <c r="S6511" s="4"/>
      <c r="T6511" s="4"/>
      <c r="U6511" s="4"/>
      <c r="V6511" s="4"/>
      <c r="W6511" s="4"/>
      <c r="X6511" s="4"/>
    </row>
    <row r="6512" spans="17:24" x14ac:dyDescent="0.3">
      <c r="Q6512" s="4"/>
      <c r="R6512" s="4"/>
      <c r="S6512" s="4"/>
      <c r="T6512" s="4"/>
      <c r="U6512" s="4"/>
      <c r="V6512" s="4"/>
      <c r="W6512" s="4"/>
      <c r="X6512" s="4"/>
    </row>
    <row r="6513" spans="17:24" x14ac:dyDescent="0.3">
      <c r="Q6513" s="4"/>
      <c r="R6513" s="4"/>
      <c r="S6513" s="4"/>
      <c r="T6513" s="4"/>
      <c r="U6513" s="4"/>
      <c r="V6513" s="4"/>
      <c r="W6513" s="4"/>
      <c r="X6513" s="4"/>
    </row>
    <row r="6514" spans="17:24" x14ac:dyDescent="0.3">
      <c r="Q6514" s="4"/>
      <c r="R6514" s="4"/>
      <c r="S6514" s="4"/>
      <c r="T6514" s="4"/>
      <c r="U6514" s="4"/>
      <c r="V6514" s="4"/>
      <c r="W6514" s="4"/>
      <c r="X6514" s="4"/>
    </row>
    <row r="6515" spans="17:24" x14ac:dyDescent="0.3">
      <c r="Q6515" s="4"/>
      <c r="R6515" s="4"/>
      <c r="S6515" s="4"/>
      <c r="T6515" s="4"/>
      <c r="U6515" s="4"/>
      <c r="V6515" s="4"/>
      <c r="W6515" s="4"/>
      <c r="X6515" s="4"/>
    </row>
    <row r="6516" spans="17:24" x14ac:dyDescent="0.3">
      <c r="Q6516" s="4"/>
      <c r="R6516" s="4"/>
      <c r="S6516" s="4"/>
      <c r="T6516" s="4"/>
      <c r="U6516" s="4"/>
      <c r="V6516" s="4"/>
      <c r="W6516" s="4"/>
      <c r="X6516" s="4"/>
    </row>
    <row r="6517" spans="17:24" x14ac:dyDescent="0.3">
      <c r="Q6517" s="4"/>
      <c r="R6517" s="4"/>
      <c r="S6517" s="4"/>
      <c r="T6517" s="4"/>
      <c r="U6517" s="4"/>
      <c r="V6517" s="4"/>
      <c r="W6517" s="4"/>
      <c r="X6517" s="4"/>
    </row>
    <row r="6518" spans="17:24" x14ac:dyDescent="0.3">
      <c r="Q6518" s="4"/>
      <c r="R6518" s="4"/>
      <c r="S6518" s="4"/>
      <c r="T6518" s="4"/>
      <c r="U6518" s="4"/>
      <c r="V6518" s="4"/>
      <c r="W6518" s="4"/>
      <c r="X6518" s="4"/>
    </row>
    <row r="6519" spans="17:24" x14ac:dyDescent="0.3">
      <c r="Q6519" s="4"/>
      <c r="R6519" s="4"/>
      <c r="S6519" s="4"/>
      <c r="T6519" s="4"/>
      <c r="U6519" s="4"/>
      <c r="V6519" s="4"/>
      <c r="W6519" s="4"/>
      <c r="X6519" s="4"/>
    </row>
    <row r="6520" spans="17:24" x14ac:dyDescent="0.3">
      <c r="Q6520" s="4"/>
      <c r="R6520" s="4"/>
      <c r="S6520" s="4"/>
      <c r="T6520" s="4"/>
      <c r="U6520" s="4"/>
      <c r="V6520" s="4"/>
      <c r="W6520" s="4"/>
      <c r="X6520" s="4"/>
    </row>
    <row r="6521" spans="17:24" x14ac:dyDescent="0.3">
      <c r="Q6521" s="4"/>
      <c r="R6521" s="4"/>
      <c r="S6521" s="4"/>
      <c r="T6521" s="4"/>
      <c r="U6521" s="4"/>
      <c r="V6521" s="4"/>
      <c r="W6521" s="4"/>
      <c r="X6521" s="4"/>
    </row>
    <row r="6522" spans="17:24" x14ac:dyDescent="0.3">
      <c r="Q6522" s="4"/>
      <c r="R6522" s="4"/>
      <c r="S6522" s="4"/>
      <c r="T6522" s="4"/>
      <c r="U6522" s="4"/>
      <c r="V6522" s="4"/>
      <c r="W6522" s="4"/>
      <c r="X6522" s="4"/>
    </row>
    <row r="6523" spans="17:24" x14ac:dyDescent="0.3">
      <c r="Q6523" s="4"/>
      <c r="R6523" s="4"/>
      <c r="S6523" s="4"/>
      <c r="T6523" s="4"/>
      <c r="U6523" s="4"/>
      <c r="V6523" s="4"/>
      <c r="W6523" s="4"/>
      <c r="X6523" s="4"/>
    </row>
    <row r="6524" spans="17:24" x14ac:dyDescent="0.3">
      <c r="Q6524" s="4"/>
      <c r="R6524" s="4"/>
      <c r="S6524" s="4"/>
      <c r="T6524" s="4"/>
      <c r="U6524" s="4"/>
      <c r="V6524" s="4"/>
      <c r="W6524" s="4"/>
      <c r="X6524" s="4"/>
    </row>
    <row r="6525" spans="17:24" x14ac:dyDescent="0.3">
      <c r="Q6525" s="4"/>
      <c r="R6525" s="4"/>
      <c r="S6525" s="4"/>
      <c r="T6525" s="4"/>
      <c r="U6525" s="4"/>
      <c r="V6525" s="4"/>
      <c r="W6525" s="4"/>
      <c r="X6525" s="4"/>
    </row>
    <row r="6526" spans="17:24" x14ac:dyDescent="0.3">
      <c r="Q6526" s="4"/>
      <c r="R6526" s="4"/>
      <c r="S6526" s="4"/>
      <c r="T6526" s="4"/>
      <c r="U6526" s="4"/>
      <c r="V6526" s="4"/>
      <c r="W6526" s="4"/>
      <c r="X6526" s="4"/>
    </row>
    <row r="6527" spans="17:24" x14ac:dyDescent="0.3">
      <c r="Q6527" s="4"/>
      <c r="R6527" s="4"/>
      <c r="S6527" s="4"/>
      <c r="T6527" s="4"/>
      <c r="U6527" s="4"/>
      <c r="V6527" s="4"/>
      <c r="W6527" s="4"/>
      <c r="X6527" s="4"/>
    </row>
    <row r="6528" spans="17:24" x14ac:dyDescent="0.3">
      <c r="Q6528" s="4"/>
      <c r="R6528" s="4"/>
      <c r="S6528" s="4"/>
      <c r="T6528" s="4"/>
      <c r="U6528" s="4"/>
      <c r="V6528" s="4"/>
      <c r="W6528" s="4"/>
      <c r="X6528" s="4"/>
    </row>
    <row r="6529" spans="17:24" x14ac:dyDescent="0.3">
      <c r="Q6529" s="4"/>
      <c r="R6529" s="4"/>
      <c r="S6529" s="4"/>
      <c r="T6529" s="4"/>
      <c r="U6529" s="4"/>
      <c r="V6529" s="4"/>
      <c r="W6529" s="4"/>
      <c r="X6529" s="4"/>
    </row>
    <row r="6530" spans="17:24" x14ac:dyDescent="0.3">
      <c r="Q6530" s="4"/>
      <c r="R6530" s="4"/>
      <c r="S6530" s="4"/>
      <c r="T6530" s="4"/>
      <c r="U6530" s="4"/>
      <c r="V6530" s="4"/>
      <c r="W6530" s="4"/>
      <c r="X6530" s="4"/>
    </row>
    <row r="6531" spans="17:24" x14ac:dyDescent="0.3">
      <c r="Q6531" s="4"/>
      <c r="R6531" s="4"/>
      <c r="S6531" s="4"/>
      <c r="T6531" s="4"/>
      <c r="U6531" s="4"/>
      <c r="V6531" s="4"/>
      <c r="W6531" s="4"/>
      <c r="X6531" s="4"/>
    </row>
    <row r="6532" spans="17:24" x14ac:dyDescent="0.3">
      <c r="Q6532" s="4"/>
      <c r="R6532" s="4"/>
      <c r="S6532" s="4"/>
      <c r="T6532" s="4"/>
      <c r="U6532" s="4"/>
      <c r="V6532" s="4"/>
      <c r="W6532" s="4"/>
      <c r="X6532" s="4"/>
    </row>
    <row r="6533" spans="17:24" x14ac:dyDescent="0.3">
      <c r="Q6533" s="4"/>
      <c r="R6533" s="4"/>
      <c r="S6533" s="4"/>
      <c r="T6533" s="4"/>
      <c r="U6533" s="4"/>
      <c r="V6533" s="4"/>
      <c r="W6533" s="4"/>
      <c r="X6533" s="4"/>
    </row>
    <row r="6534" spans="17:24" x14ac:dyDescent="0.3">
      <c r="Q6534" s="4"/>
      <c r="R6534" s="4"/>
      <c r="S6534" s="4"/>
      <c r="T6534" s="4"/>
      <c r="U6534" s="4"/>
      <c r="V6534" s="4"/>
      <c r="W6534" s="4"/>
      <c r="X6534" s="4"/>
    </row>
    <row r="6535" spans="17:24" x14ac:dyDescent="0.3">
      <c r="Q6535" s="4"/>
      <c r="R6535" s="4"/>
      <c r="S6535" s="4"/>
      <c r="T6535" s="4"/>
      <c r="U6535" s="4"/>
      <c r="V6535" s="4"/>
      <c r="W6535" s="4"/>
      <c r="X6535" s="4"/>
    </row>
    <row r="6536" spans="17:24" x14ac:dyDescent="0.3">
      <c r="Q6536" s="4"/>
      <c r="R6536" s="4"/>
      <c r="S6536" s="4"/>
      <c r="T6536" s="4"/>
      <c r="U6536" s="4"/>
      <c r="V6536" s="4"/>
      <c r="W6536" s="4"/>
      <c r="X6536" s="4"/>
    </row>
    <row r="6537" spans="17:24" x14ac:dyDescent="0.3">
      <c r="Q6537" s="4"/>
      <c r="R6537" s="4"/>
      <c r="S6537" s="4"/>
      <c r="T6537" s="4"/>
      <c r="U6537" s="4"/>
      <c r="V6537" s="4"/>
      <c r="W6537" s="4"/>
      <c r="X6537" s="4"/>
    </row>
    <row r="6538" spans="17:24" x14ac:dyDescent="0.3">
      <c r="Q6538" s="4"/>
      <c r="R6538" s="4"/>
      <c r="S6538" s="4"/>
      <c r="T6538" s="4"/>
      <c r="U6538" s="4"/>
      <c r="V6538" s="4"/>
      <c r="W6538" s="4"/>
      <c r="X6538" s="4"/>
    </row>
    <row r="6539" spans="17:24" x14ac:dyDescent="0.3">
      <c r="Q6539" s="4"/>
      <c r="R6539" s="4"/>
      <c r="S6539" s="4"/>
      <c r="T6539" s="4"/>
      <c r="U6539" s="4"/>
      <c r="V6539" s="4"/>
      <c r="W6539" s="4"/>
      <c r="X6539" s="4"/>
    </row>
    <row r="6540" spans="17:24" x14ac:dyDescent="0.3">
      <c r="Q6540" s="4"/>
      <c r="R6540" s="4"/>
      <c r="S6540" s="4"/>
      <c r="T6540" s="4"/>
      <c r="U6540" s="4"/>
      <c r="V6540" s="4"/>
      <c r="W6540" s="4"/>
      <c r="X6540" s="4"/>
    </row>
    <row r="6541" spans="17:24" x14ac:dyDescent="0.3">
      <c r="Q6541" s="4"/>
      <c r="R6541" s="4"/>
      <c r="S6541" s="4"/>
      <c r="T6541" s="4"/>
      <c r="U6541" s="4"/>
      <c r="V6541" s="4"/>
      <c r="W6541" s="4"/>
      <c r="X6541" s="4"/>
    </row>
    <row r="6542" spans="17:24" x14ac:dyDescent="0.3">
      <c r="Q6542" s="4"/>
      <c r="R6542" s="4"/>
      <c r="S6542" s="4"/>
      <c r="T6542" s="4"/>
      <c r="U6542" s="4"/>
      <c r="V6542" s="4"/>
      <c r="W6542" s="4"/>
      <c r="X6542" s="4"/>
    </row>
    <row r="6543" spans="17:24" x14ac:dyDescent="0.3">
      <c r="Q6543" s="4"/>
      <c r="R6543" s="4"/>
      <c r="S6543" s="4"/>
      <c r="T6543" s="4"/>
      <c r="U6543" s="4"/>
      <c r="V6543" s="4"/>
      <c r="W6543" s="4"/>
      <c r="X6543" s="4"/>
    </row>
    <row r="6544" spans="17:24" x14ac:dyDescent="0.3">
      <c r="Q6544" s="4"/>
      <c r="R6544" s="4"/>
      <c r="S6544" s="4"/>
      <c r="T6544" s="4"/>
      <c r="U6544" s="4"/>
      <c r="V6544" s="4"/>
      <c r="W6544" s="4"/>
      <c r="X6544" s="4"/>
    </row>
    <row r="6545" spans="17:24" x14ac:dyDescent="0.3">
      <c r="Q6545" s="4"/>
      <c r="R6545" s="4"/>
      <c r="S6545" s="4"/>
      <c r="T6545" s="4"/>
      <c r="U6545" s="4"/>
      <c r="V6545" s="4"/>
      <c r="W6545" s="4"/>
      <c r="X6545" s="4"/>
    </row>
    <row r="6546" spans="17:24" x14ac:dyDescent="0.3">
      <c r="Q6546" s="4"/>
      <c r="R6546" s="4"/>
      <c r="S6546" s="4"/>
      <c r="T6546" s="4"/>
      <c r="U6546" s="4"/>
      <c r="V6546" s="4"/>
      <c r="W6546" s="4"/>
      <c r="X6546" s="4"/>
    </row>
    <row r="6547" spans="17:24" x14ac:dyDescent="0.3">
      <c r="Q6547" s="4"/>
      <c r="R6547" s="4"/>
      <c r="S6547" s="4"/>
      <c r="T6547" s="4"/>
      <c r="U6547" s="4"/>
      <c r="V6547" s="4"/>
      <c r="W6547" s="4"/>
      <c r="X6547" s="4"/>
    </row>
    <row r="6548" spans="17:24" x14ac:dyDescent="0.3">
      <c r="Q6548" s="4"/>
      <c r="R6548" s="4"/>
      <c r="S6548" s="4"/>
      <c r="T6548" s="4"/>
      <c r="U6548" s="4"/>
      <c r="V6548" s="4"/>
      <c r="W6548" s="4"/>
      <c r="X6548" s="4"/>
    </row>
    <row r="6549" spans="17:24" x14ac:dyDescent="0.3">
      <c r="Q6549" s="4"/>
      <c r="R6549" s="4"/>
      <c r="S6549" s="4"/>
      <c r="T6549" s="4"/>
      <c r="U6549" s="4"/>
      <c r="V6549" s="4"/>
      <c r="W6549" s="4"/>
      <c r="X6549" s="4"/>
    </row>
    <row r="6550" spans="17:24" x14ac:dyDescent="0.3">
      <c r="Q6550" s="4"/>
      <c r="R6550" s="4"/>
      <c r="S6550" s="4"/>
      <c r="T6550" s="4"/>
      <c r="U6550" s="4"/>
      <c r="V6550" s="4"/>
      <c r="W6550" s="4"/>
      <c r="X6550" s="4"/>
    </row>
    <row r="6551" spans="17:24" x14ac:dyDescent="0.3">
      <c r="Q6551" s="4"/>
      <c r="R6551" s="4"/>
      <c r="S6551" s="4"/>
      <c r="T6551" s="4"/>
      <c r="U6551" s="4"/>
      <c r="V6551" s="4"/>
      <c r="W6551" s="4"/>
      <c r="X6551" s="4"/>
    </row>
    <row r="6552" spans="17:24" x14ac:dyDescent="0.3">
      <c r="Q6552" s="4"/>
      <c r="R6552" s="4"/>
      <c r="S6552" s="4"/>
      <c r="T6552" s="4"/>
      <c r="U6552" s="4"/>
      <c r="V6552" s="4"/>
      <c r="W6552" s="4"/>
      <c r="X6552" s="4"/>
    </row>
    <row r="6553" spans="17:24" x14ac:dyDescent="0.3">
      <c r="Q6553" s="4"/>
      <c r="R6553" s="4"/>
      <c r="S6553" s="4"/>
      <c r="T6553" s="4"/>
      <c r="U6553" s="4"/>
      <c r="V6553" s="4"/>
      <c r="W6553" s="4"/>
      <c r="X6553" s="4"/>
    </row>
    <row r="6554" spans="17:24" x14ac:dyDescent="0.3">
      <c r="Q6554" s="4"/>
      <c r="R6554" s="4"/>
      <c r="S6554" s="4"/>
      <c r="T6554" s="4"/>
      <c r="U6554" s="4"/>
      <c r="V6554" s="4"/>
      <c r="W6554" s="4"/>
      <c r="X6554" s="4"/>
    </row>
    <row r="6555" spans="17:24" x14ac:dyDescent="0.3">
      <c r="Q6555" s="4"/>
      <c r="R6555" s="4"/>
      <c r="S6555" s="4"/>
      <c r="T6555" s="4"/>
      <c r="U6555" s="4"/>
      <c r="V6555" s="4"/>
      <c r="W6555" s="4"/>
      <c r="X6555" s="4"/>
    </row>
    <row r="6556" spans="17:24" x14ac:dyDescent="0.3">
      <c r="Q6556" s="4"/>
      <c r="R6556" s="4"/>
      <c r="S6556" s="4"/>
      <c r="T6556" s="4"/>
      <c r="U6556" s="4"/>
      <c r="V6556" s="4"/>
      <c r="W6556" s="4"/>
      <c r="X6556" s="4"/>
    </row>
    <row r="6557" spans="17:24" x14ac:dyDescent="0.3">
      <c r="Q6557" s="4"/>
      <c r="R6557" s="4"/>
      <c r="S6557" s="4"/>
      <c r="T6557" s="4"/>
      <c r="U6557" s="4"/>
      <c r="V6557" s="4"/>
      <c r="W6557" s="4"/>
      <c r="X6557" s="4"/>
    </row>
    <row r="6558" spans="17:24" x14ac:dyDescent="0.3">
      <c r="Q6558" s="4"/>
      <c r="R6558" s="4"/>
      <c r="S6558" s="4"/>
      <c r="T6558" s="4"/>
      <c r="U6558" s="4"/>
      <c r="V6558" s="4"/>
      <c r="W6558" s="4"/>
      <c r="X6558" s="4"/>
    </row>
    <row r="6559" spans="17:24" x14ac:dyDescent="0.3">
      <c r="Q6559" s="4"/>
      <c r="R6559" s="4"/>
      <c r="S6559" s="4"/>
      <c r="T6559" s="4"/>
      <c r="U6559" s="4"/>
      <c r="V6559" s="4"/>
      <c r="W6559" s="4"/>
      <c r="X6559" s="4"/>
    </row>
    <row r="6560" spans="17:24" x14ac:dyDescent="0.3">
      <c r="Q6560" s="4"/>
      <c r="R6560" s="4"/>
      <c r="S6560" s="4"/>
      <c r="T6560" s="4"/>
      <c r="U6560" s="4"/>
      <c r="V6560" s="4"/>
      <c r="W6560" s="4"/>
      <c r="X6560" s="4"/>
    </row>
    <row r="6561" spans="17:24" x14ac:dyDescent="0.3">
      <c r="Q6561" s="4"/>
      <c r="R6561" s="4"/>
      <c r="S6561" s="4"/>
      <c r="T6561" s="4"/>
      <c r="U6561" s="4"/>
      <c r="V6561" s="4"/>
      <c r="W6561" s="4"/>
      <c r="X6561" s="4"/>
    </row>
    <row r="6562" spans="17:24" x14ac:dyDescent="0.3">
      <c r="Q6562" s="4"/>
      <c r="R6562" s="4"/>
      <c r="S6562" s="4"/>
      <c r="T6562" s="4"/>
      <c r="U6562" s="4"/>
      <c r="V6562" s="4"/>
      <c r="W6562" s="4"/>
      <c r="X6562" s="4"/>
    </row>
    <row r="6563" spans="17:24" x14ac:dyDescent="0.3">
      <c r="Q6563" s="4"/>
      <c r="R6563" s="4"/>
      <c r="S6563" s="4"/>
      <c r="T6563" s="4"/>
      <c r="U6563" s="4"/>
      <c r="V6563" s="4"/>
      <c r="W6563" s="4"/>
      <c r="X6563" s="4"/>
    </row>
    <row r="6564" spans="17:24" x14ac:dyDescent="0.3">
      <c r="Q6564" s="4"/>
      <c r="R6564" s="4"/>
      <c r="S6564" s="4"/>
      <c r="T6564" s="4"/>
      <c r="U6564" s="4"/>
      <c r="V6564" s="4"/>
      <c r="W6564" s="4"/>
      <c r="X6564" s="4"/>
    </row>
    <row r="6565" spans="17:24" x14ac:dyDescent="0.3">
      <c r="Q6565" s="4"/>
      <c r="R6565" s="4"/>
      <c r="S6565" s="4"/>
      <c r="T6565" s="4"/>
      <c r="U6565" s="4"/>
      <c r="V6565" s="4"/>
      <c r="W6565" s="4"/>
      <c r="X6565" s="4"/>
    </row>
    <row r="6566" spans="17:24" x14ac:dyDescent="0.3">
      <c r="Q6566" s="4"/>
      <c r="R6566" s="4"/>
      <c r="S6566" s="4"/>
      <c r="T6566" s="4"/>
      <c r="U6566" s="4"/>
      <c r="V6566" s="4"/>
      <c r="W6566" s="4"/>
      <c r="X6566" s="4"/>
    </row>
    <row r="6567" spans="17:24" x14ac:dyDescent="0.3">
      <c r="Q6567" s="4"/>
      <c r="R6567" s="4"/>
      <c r="S6567" s="4"/>
      <c r="T6567" s="4"/>
      <c r="U6567" s="4"/>
      <c r="V6567" s="4"/>
      <c r="W6567" s="4"/>
      <c r="X6567" s="4"/>
    </row>
    <row r="6568" spans="17:24" x14ac:dyDescent="0.3">
      <c r="Q6568" s="4"/>
      <c r="R6568" s="4"/>
      <c r="S6568" s="4"/>
      <c r="T6568" s="4"/>
      <c r="U6568" s="4"/>
      <c r="V6568" s="4"/>
      <c r="W6568" s="4"/>
      <c r="X6568" s="4"/>
    </row>
    <row r="6569" spans="17:24" x14ac:dyDescent="0.3">
      <c r="Q6569" s="4"/>
      <c r="R6569" s="4"/>
      <c r="S6569" s="4"/>
      <c r="T6569" s="4"/>
      <c r="U6569" s="4"/>
      <c r="V6569" s="4"/>
      <c r="W6569" s="4"/>
      <c r="X6569" s="4"/>
    </row>
    <row r="6570" spans="17:24" x14ac:dyDescent="0.3">
      <c r="Q6570" s="4"/>
      <c r="R6570" s="4"/>
      <c r="S6570" s="4"/>
      <c r="T6570" s="4"/>
      <c r="U6570" s="4"/>
      <c r="V6570" s="4"/>
      <c r="W6570" s="4"/>
      <c r="X6570" s="4"/>
    </row>
    <row r="6571" spans="17:24" x14ac:dyDescent="0.3">
      <c r="Q6571" s="4"/>
      <c r="R6571" s="4"/>
      <c r="S6571" s="4"/>
      <c r="T6571" s="4"/>
      <c r="U6571" s="4"/>
      <c r="V6571" s="4"/>
      <c r="W6571" s="4"/>
      <c r="X6571" s="4"/>
    </row>
    <row r="6572" spans="17:24" x14ac:dyDescent="0.3">
      <c r="Q6572" s="4"/>
      <c r="R6572" s="4"/>
      <c r="S6572" s="4"/>
      <c r="T6572" s="4"/>
      <c r="U6572" s="4"/>
      <c r="V6572" s="4"/>
      <c r="W6572" s="4"/>
      <c r="X6572" s="4"/>
    </row>
    <row r="6573" spans="17:24" x14ac:dyDescent="0.3">
      <c r="Q6573" s="4"/>
      <c r="R6573" s="4"/>
      <c r="S6573" s="4"/>
      <c r="T6573" s="4"/>
      <c r="U6573" s="4"/>
      <c r="V6573" s="4"/>
      <c r="W6573" s="4"/>
      <c r="X6573" s="4"/>
    </row>
    <row r="6574" spans="17:24" x14ac:dyDescent="0.3">
      <c r="Q6574" s="4"/>
      <c r="R6574" s="4"/>
      <c r="S6574" s="4"/>
      <c r="T6574" s="4"/>
      <c r="U6574" s="4"/>
      <c r="V6574" s="4"/>
      <c r="W6574" s="4"/>
      <c r="X6574" s="4"/>
    </row>
    <row r="6575" spans="17:24" x14ac:dyDescent="0.3">
      <c r="Q6575" s="4"/>
      <c r="R6575" s="4"/>
      <c r="S6575" s="4"/>
      <c r="T6575" s="4"/>
      <c r="U6575" s="4"/>
      <c r="V6575" s="4"/>
      <c r="W6575" s="4"/>
      <c r="X6575" s="4"/>
    </row>
    <row r="6576" spans="17:24" x14ac:dyDescent="0.3">
      <c r="Q6576" s="4"/>
      <c r="R6576" s="4"/>
      <c r="S6576" s="4"/>
      <c r="T6576" s="4"/>
      <c r="U6576" s="4"/>
      <c r="V6576" s="4"/>
      <c r="W6576" s="4"/>
      <c r="X6576" s="4"/>
    </row>
    <row r="6577" spans="17:24" x14ac:dyDescent="0.3">
      <c r="Q6577" s="4"/>
      <c r="R6577" s="4"/>
      <c r="S6577" s="4"/>
      <c r="T6577" s="4"/>
      <c r="U6577" s="4"/>
      <c r="V6577" s="4"/>
      <c r="W6577" s="4"/>
      <c r="X6577" s="4"/>
    </row>
    <row r="6578" spans="17:24" x14ac:dyDescent="0.3">
      <c r="Q6578" s="4"/>
      <c r="R6578" s="4"/>
      <c r="S6578" s="4"/>
      <c r="T6578" s="4"/>
      <c r="U6578" s="4"/>
      <c r="V6578" s="4"/>
      <c r="W6578" s="4"/>
      <c r="X6578" s="4"/>
    </row>
    <row r="6579" spans="17:24" x14ac:dyDescent="0.3">
      <c r="Q6579" s="4"/>
      <c r="R6579" s="4"/>
      <c r="S6579" s="4"/>
      <c r="T6579" s="4"/>
      <c r="U6579" s="4"/>
      <c r="V6579" s="4"/>
      <c r="W6579" s="4"/>
      <c r="X6579" s="4"/>
    </row>
    <row r="6580" spans="17:24" x14ac:dyDescent="0.3">
      <c r="Q6580" s="4"/>
      <c r="R6580" s="4"/>
      <c r="S6580" s="4"/>
      <c r="T6580" s="4"/>
      <c r="U6580" s="4"/>
      <c r="V6580" s="4"/>
      <c r="W6580" s="4"/>
      <c r="X6580" s="4"/>
    </row>
    <row r="6581" spans="17:24" x14ac:dyDescent="0.3">
      <c r="Q6581" s="4"/>
      <c r="R6581" s="4"/>
      <c r="S6581" s="4"/>
      <c r="T6581" s="4"/>
      <c r="U6581" s="4"/>
      <c r="V6581" s="4"/>
      <c r="W6581" s="4"/>
      <c r="X6581" s="4"/>
    </row>
    <row r="6582" spans="17:24" x14ac:dyDescent="0.3">
      <c r="Q6582" s="4"/>
      <c r="R6582" s="4"/>
      <c r="S6582" s="4"/>
      <c r="T6582" s="4"/>
      <c r="U6582" s="4"/>
      <c r="V6582" s="4"/>
      <c r="W6582" s="4"/>
      <c r="X6582" s="4"/>
    </row>
    <row r="6583" spans="17:24" x14ac:dyDescent="0.3">
      <c r="Q6583" s="4"/>
      <c r="R6583" s="4"/>
      <c r="S6583" s="4"/>
      <c r="T6583" s="4"/>
      <c r="U6583" s="4"/>
      <c r="V6583" s="4"/>
      <c r="W6583" s="4"/>
      <c r="X6583" s="4"/>
    </row>
    <row r="6584" spans="17:24" x14ac:dyDescent="0.3">
      <c r="Q6584" s="4"/>
      <c r="R6584" s="4"/>
      <c r="S6584" s="4"/>
      <c r="T6584" s="4"/>
      <c r="U6584" s="4"/>
      <c r="V6584" s="4"/>
      <c r="W6584" s="4"/>
      <c r="X6584" s="4"/>
    </row>
    <row r="6585" spans="17:24" x14ac:dyDescent="0.3">
      <c r="Q6585" s="4"/>
      <c r="R6585" s="4"/>
      <c r="S6585" s="4"/>
      <c r="T6585" s="4"/>
      <c r="U6585" s="4"/>
      <c r="V6585" s="4"/>
      <c r="W6585" s="4"/>
      <c r="X6585" s="4"/>
    </row>
    <row r="6586" spans="17:24" x14ac:dyDescent="0.3">
      <c r="Q6586" s="4"/>
      <c r="R6586" s="4"/>
      <c r="S6586" s="4"/>
      <c r="T6586" s="4"/>
      <c r="U6586" s="4"/>
      <c r="V6586" s="4"/>
      <c r="W6586" s="4"/>
      <c r="X6586" s="4"/>
    </row>
    <row r="6587" spans="17:24" x14ac:dyDescent="0.3">
      <c r="Q6587" s="4"/>
      <c r="R6587" s="4"/>
      <c r="S6587" s="4"/>
      <c r="T6587" s="4"/>
      <c r="U6587" s="4"/>
      <c r="V6587" s="4"/>
      <c r="W6587" s="4"/>
      <c r="X6587" s="4"/>
    </row>
    <row r="6588" spans="17:24" x14ac:dyDescent="0.3">
      <c r="Q6588" s="4"/>
      <c r="R6588" s="4"/>
      <c r="S6588" s="4"/>
      <c r="T6588" s="4"/>
      <c r="U6588" s="4"/>
      <c r="V6588" s="4"/>
      <c r="W6588" s="4"/>
      <c r="X6588" s="4"/>
    </row>
    <row r="6589" spans="17:24" x14ac:dyDescent="0.3">
      <c r="Q6589" s="4"/>
      <c r="R6589" s="4"/>
      <c r="S6589" s="4"/>
      <c r="T6589" s="4"/>
      <c r="U6589" s="4"/>
      <c r="V6589" s="4"/>
      <c r="W6589" s="4"/>
      <c r="X6589" s="4"/>
    </row>
    <row r="6590" spans="17:24" x14ac:dyDescent="0.3">
      <c r="Q6590" s="4"/>
      <c r="R6590" s="4"/>
      <c r="S6590" s="4"/>
      <c r="T6590" s="4"/>
      <c r="U6590" s="4"/>
      <c r="V6590" s="4"/>
      <c r="W6590" s="4"/>
      <c r="X6590" s="4"/>
    </row>
    <row r="6591" spans="17:24" x14ac:dyDescent="0.3">
      <c r="Q6591" s="4"/>
      <c r="R6591" s="4"/>
      <c r="S6591" s="4"/>
      <c r="T6591" s="4"/>
      <c r="U6591" s="4"/>
      <c r="V6591" s="4"/>
      <c r="W6591" s="4"/>
      <c r="X6591" s="4"/>
    </row>
    <row r="6592" spans="17:24" x14ac:dyDescent="0.3">
      <c r="Q6592" s="4"/>
      <c r="R6592" s="4"/>
      <c r="S6592" s="4"/>
      <c r="T6592" s="4"/>
      <c r="U6592" s="4"/>
      <c r="V6592" s="4"/>
      <c r="W6592" s="4"/>
      <c r="X6592" s="4"/>
    </row>
    <row r="6593" spans="17:24" x14ac:dyDescent="0.3">
      <c r="Q6593" s="4"/>
      <c r="R6593" s="4"/>
      <c r="S6593" s="4"/>
      <c r="T6593" s="4"/>
      <c r="U6593" s="4"/>
      <c r="V6593" s="4"/>
      <c r="W6593" s="4"/>
      <c r="X6593" s="4"/>
    </row>
    <row r="6594" spans="17:24" x14ac:dyDescent="0.3">
      <c r="Q6594" s="4"/>
      <c r="R6594" s="4"/>
      <c r="S6594" s="4"/>
      <c r="T6594" s="4"/>
      <c r="U6594" s="4"/>
      <c r="V6594" s="4"/>
      <c r="W6594" s="4"/>
      <c r="X6594" s="4"/>
    </row>
    <row r="6595" spans="17:24" x14ac:dyDescent="0.3">
      <c r="Q6595" s="4"/>
      <c r="R6595" s="4"/>
      <c r="S6595" s="4"/>
      <c r="T6595" s="4"/>
      <c r="U6595" s="4"/>
      <c r="V6595" s="4"/>
      <c r="W6595" s="4"/>
      <c r="X6595" s="4"/>
    </row>
    <row r="6596" spans="17:24" x14ac:dyDescent="0.3">
      <c r="Q6596" s="4"/>
      <c r="R6596" s="4"/>
      <c r="S6596" s="4"/>
      <c r="T6596" s="4"/>
      <c r="U6596" s="4"/>
      <c r="V6596" s="4"/>
      <c r="W6596" s="4"/>
      <c r="X6596" s="4"/>
    </row>
    <row r="6597" spans="17:24" x14ac:dyDescent="0.3">
      <c r="Q6597" s="4"/>
      <c r="R6597" s="4"/>
      <c r="S6597" s="4"/>
      <c r="T6597" s="4"/>
      <c r="U6597" s="4"/>
      <c r="V6597" s="4"/>
      <c r="W6597" s="4"/>
      <c r="X6597" s="4"/>
    </row>
    <row r="6598" spans="17:24" x14ac:dyDescent="0.3">
      <c r="Q6598" s="4"/>
      <c r="R6598" s="4"/>
      <c r="S6598" s="4"/>
      <c r="T6598" s="4"/>
      <c r="U6598" s="4"/>
      <c r="V6598" s="4"/>
      <c r="W6598" s="4"/>
      <c r="X6598" s="4"/>
    </row>
    <row r="6599" spans="17:24" x14ac:dyDescent="0.3">
      <c r="Q6599" s="4"/>
      <c r="R6599" s="4"/>
      <c r="S6599" s="4"/>
      <c r="T6599" s="4"/>
      <c r="U6599" s="4"/>
      <c r="V6599" s="4"/>
      <c r="W6599" s="4"/>
      <c r="X6599" s="4"/>
    </row>
    <row r="6600" spans="17:24" x14ac:dyDescent="0.3">
      <c r="Q6600" s="4"/>
      <c r="R6600" s="4"/>
      <c r="S6600" s="4"/>
      <c r="T6600" s="4"/>
      <c r="U6600" s="4"/>
      <c r="V6600" s="4"/>
      <c r="W6600" s="4"/>
      <c r="X6600" s="4"/>
    </row>
    <row r="6601" spans="17:24" x14ac:dyDescent="0.3">
      <c r="Q6601" s="4"/>
      <c r="R6601" s="4"/>
      <c r="S6601" s="4"/>
      <c r="T6601" s="4"/>
      <c r="U6601" s="4"/>
      <c r="V6601" s="4"/>
      <c r="W6601" s="4"/>
      <c r="X6601" s="4"/>
    </row>
    <row r="6602" spans="17:24" x14ac:dyDescent="0.3">
      <c r="Q6602" s="4"/>
      <c r="R6602" s="4"/>
      <c r="S6602" s="4"/>
      <c r="T6602" s="4"/>
      <c r="U6602" s="4"/>
      <c r="V6602" s="4"/>
      <c r="W6602" s="4"/>
      <c r="X6602" s="4"/>
    </row>
    <row r="6603" spans="17:24" x14ac:dyDescent="0.3">
      <c r="Q6603" s="4"/>
      <c r="R6603" s="4"/>
      <c r="S6603" s="4"/>
      <c r="T6603" s="4"/>
      <c r="U6603" s="4"/>
      <c r="V6603" s="4"/>
      <c r="W6603" s="4"/>
      <c r="X6603" s="4"/>
    </row>
    <row r="6604" spans="17:24" x14ac:dyDescent="0.3">
      <c r="Q6604" s="4"/>
      <c r="R6604" s="4"/>
      <c r="S6604" s="4"/>
      <c r="T6604" s="4"/>
      <c r="U6604" s="4"/>
      <c r="V6604" s="4"/>
      <c r="W6604" s="4"/>
      <c r="X6604" s="4"/>
    </row>
    <row r="6605" spans="17:24" x14ac:dyDescent="0.3">
      <c r="Q6605" s="4"/>
      <c r="R6605" s="4"/>
      <c r="S6605" s="4"/>
      <c r="T6605" s="4"/>
      <c r="U6605" s="4"/>
      <c r="V6605" s="4"/>
      <c r="W6605" s="4"/>
      <c r="X6605" s="4"/>
    </row>
    <row r="6606" spans="17:24" x14ac:dyDescent="0.3">
      <c r="Q6606" s="4"/>
      <c r="R6606" s="4"/>
      <c r="S6606" s="4"/>
      <c r="T6606" s="4"/>
      <c r="U6606" s="4"/>
      <c r="V6606" s="4"/>
      <c r="W6606" s="4"/>
      <c r="X6606" s="4"/>
    </row>
    <row r="6607" spans="17:24" x14ac:dyDescent="0.3">
      <c r="Q6607" s="4"/>
      <c r="R6607" s="4"/>
      <c r="S6607" s="4"/>
      <c r="T6607" s="4"/>
      <c r="U6607" s="4"/>
      <c r="V6607" s="4"/>
      <c r="W6607" s="4"/>
      <c r="X6607" s="4"/>
    </row>
    <row r="6608" spans="17:24" x14ac:dyDescent="0.3">
      <c r="Q6608" s="4"/>
      <c r="R6608" s="4"/>
      <c r="S6608" s="4"/>
      <c r="T6608" s="4"/>
      <c r="U6608" s="4"/>
      <c r="V6608" s="4"/>
      <c r="W6608" s="4"/>
      <c r="X6608" s="4"/>
    </row>
    <row r="6609" spans="17:24" x14ac:dyDescent="0.3">
      <c r="Q6609" s="4"/>
      <c r="R6609" s="4"/>
      <c r="S6609" s="4"/>
      <c r="T6609" s="4"/>
      <c r="U6609" s="4"/>
      <c r="V6609" s="4"/>
      <c r="W6609" s="4"/>
      <c r="X6609" s="4"/>
    </row>
    <row r="6610" spans="17:24" x14ac:dyDescent="0.3">
      <c r="Q6610" s="4"/>
      <c r="R6610" s="4"/>
      <c r="S6610" s="4"/>
      <c r="T6610" s="4"/>
      <c r="U6610" s="4"/>
      <c r="V6610" s="4"/>
      <c r="W6610" s="4"/>
      <c r="X6610" s="4"/>
    </row>
    <row r="6611" spans="17:24" x14ac:dyDescent="0.3">
      <c r="Q6611" s="4"/>
      <c r="R6611" s="4"/>
      <c r="S6611" s="4"/>
      <c r="T6611" s="4"/>
      <c r="U6611" s="4"/>
      <c r="V6611" s="4"/>
      <c r="W6611" s="4"/>
      <c r="X6611" s="4"/>
    </row>
    <row r="6612" spans="17:24" x14ac:dyDescent="0.3">
      <c r="Q6612" s="4"/>
      <c r="R6612" s="4"/>
      <c r="S6612" s="4"/>
      <c r="T6612" s="4"/>
      <c r="U6612" s="4"/>
      <c r="V6612" s="4"/>
      <c r="W6612" s="4"/>
      <c r="X6612" s="4"/>
    </row>
    <row r="6613" spans="17:24" x14ac:dyDescent="0.3">
      <c r="Q6613" s="4"/>
      <c r="R6613" s="4"/>
      <c r="S6613" s="4"/>
      <c r="T6613" s="4"/>
      <c r="U6613" s="4"/>
      <c r="V6613" s="4"/>
      <c r="W6613" s="4"/>
      <c r="X6613" s="4"/>
    </row>
    <row r="6614" spans="17:24" x14ac:dyDescent="0.3">
      <c r="Q6614" s="4"/>
      <c r="R6614" s="4"/>
      <c r="S6614" s="4"/>
      <c r="T6614" s="4"/>
      <c r="U6614" s="4"/>
      <c r="V6614" s="4"/>
      <c r="W6614" s="4"/>
      <c r="X6614" s="4"/>
    </row>
    <row r="6615" spans="17:24" x14ac:dyDescent="0.3">
      <c r="Q6615" s="4"/>
      <c r="R6615" s="4"/>
      <c r="S6615" s="4"/>
      <c r="T6615" s="4"/>
      <c r="U6615" s="4"/>
      <c r="V6615" s="4"/>
      <c r="W6615" s="4"/>
      <c r="X6615" s="4"/>
    </row>
    <row r="6616" spans="17:24" x14ac:dyDescent="0.3">
      <c r="Q6616" s="4"/>
      <c r="R6616" s="4"/>
      <c r="S6616" s="4"/>
      <c r="T6616" s="4"/>
      <c r="U6616" s="4"/>
      <c r="V6616" s="4"/>
      <c r="W6616" s="4"/>
      <c r="X6616" s="4"/>
    </row>
    <row r="6617" spans="17:24" x14ac:dyDescent="0.3">
      <c r="Q6617" s="4"/>
      <c r="R6617" s="4"/>
      <c r="S6617" s="4"/>
      <c r="T6617" s="4"/>
      <c r="U6617" s="4"/>
      <c r="V6617" s="4"/>
      <c r="W6617" s="4"/>
      <c r="X6617" s="4"/>
    </row>
    <row r="6618" spans="17:24" x14ac:dyDescent="0.3">
      <c r="Q6618" s="4"/>
      <c r="R6618" s="4"/>
      <c r="S6618" s="4"/>
      <c r="T6618" s="4"/>
      <c r="U6618" s="4"/>
      <c r="V6618" s="4"/>
      <c r="W6618" s="4"/>
      <c r="X6618" s="4"/>
    </row>
    <row r="6619" spans="17:24" x14ac:dyDescent="0.3">
      <c r="Q6619" s="4"/>
      <c r="R6619" s="4"/>
      <c r="S6619" s="4"/>
      <c r="T6619" s="4"/>
      <c r="U6619" s="4"/>
      <c r="V6619" s="4"/>
      <c r="W6619" s="4"/>
      <c r="X6619" s="4"/>
    </row>
    <row r="6620" spans="17:24" x14ac:dyDescent="0.3">
      <c r="Q6620" s="4"/>
      <c r="R6620" s="4"/>
      <c r="S6620" s="4"/>
      <c r="T6620" s="4"/>
      <c r="U6620" s="4"/>
      <c r="V6620" s="4"/>
      <c r="W6620" s="4"/>
      <c r="X6620" s="4"/>
    </row>
    <row r="6621" spans="17:24" x14ac:dyDescent="0.3">
      <c r="Q6621" s="4"/>
      <c r="R6621" s="4"/>
      <c r="S6621" s="4"/>
      <c r="T6621" s="4"/>
      <c r="U6621" s="4"/>
      <c r="V6621" s="4"/>
      <c r="W6621" s="4"/>
      <c r="X6621" s="4"/>
    </row>
    <row r="6622" spans="17:24" x14ac:dyDescent="0.3">
      <c r="Q6622" s="4"/>
      <c r="R6622" s="4"/>
      <c r="S6622" s="4"/>
      <c r="T6622" s="4"/>
      <c r="U6622" s="4"/>
      <c r="V6622" s="4"/>
      <c r="W6622" s="4"/>
      <c r="X6622" s="4"/>
    </row>
    <row r="6623" spans="17:24" x14ac:dyDescent="0.3">
      <c r="Q6623" s="4"/>
      <c r="R6623" s="4"/>
      <c r="S6623" s="4"/>
      <c r="T6623" s="4"/>
      <c r="U6623" s="4"/>
      <c r="V6623" s="4"/>
      <c r="W6623" s="4"/>
      <c r="X6623" s="4"/>
    </row>
    <row r="6624" spans="17:24" x14ac:dyDescent="0.3">
      <c r="Q6624" s="4"/>
      <c r="R6624" s="4"/>
      <c r="S6624" s="4"/>
      <c r="T6624" s="4"/>
      <c r="U6624" s="4"/>
      <c r="V6624" s="4"/>
      <c r="W6624" s="4"/>
      <c r="X6624" s="4"/>
    </row>
    <row r="6625" spans="17:24" x14ac:dyDescent="0.3">
      <c r="Q6625" s="4"/>
      <c r="R6625" s="4"/>
      <c r="S6625" s="4"/>
      <c r="T6625" s="4"/>
      <c r="U6625" s="4"/>
      <c r="V6625" s="4"/>
      <c r="W6625" s="4"/>
      <c r="X6625" s="4"/>
    </row>
    <row r="6626" spans="17:24" x14ac:dyDescent="0.3">
      <c r="Q6626" s="4"/>
      <c r="R6626" s="4"/>
      <c r="S6626" s="4"/>
      <c r="T6626" s="4"/>
      <c r="U6626" s="4"/>
      <c r="V6626" s="4"/>
      <c r="W6626" s="4"/>
      <c r="X6626" s="4"/>
    </row>
    <row r="6627" spans="17:24" x14ac:dyDescent="0.3">
      <c r="Q6627" s="4"/>
      <c r="R6627" s="4"/>
      <c r="S6627" s="4"/>
      <c r="T6627" s="4"/>
      <c r="U6627" s="4"/>
      <c r="V6627" s="4"/>
      <c r="W6627" s="4"/>
      <c r="X6627" s="4"/>
    </row>
    <row r="6628" spans="17:24" x14ac:dyDescent="0.3">
      <c r="Q6628" s="4"/>
      <c r="R6628" s="4"/>
      <c r="S6628" s="4"/>
      <c r="T6628" s="4"/>
      <c r="U6628" s="4"/>
      <c r="V6628" s="4"/>
      <c r="W6628" s="4"/>
      <c r="X6628" s="4"/>
    </row>
    <row r="6629" spans="17:24" x14ac:dyDescent="0.3">
      <c r="Q6629" s="4"/>
      <c r="R6629" s="4"/>
      <c r="S6629" s="4"/>
      <c r="T6629" s="4"/>
      <c r="U6629" s="4"/>
      <c r="V6629" s="4"/>
      <c r="W6629" s="4"/>
      <c r="X6629" s="4"/>
    </row>
    <row r="6630" spans="17:24" x14ac:dyDescent="0.3">
      <c r="Q6630" s="4"/>
      <c r="R6630" s="4"/>
      <c r="S6630" s="4"/>
      <c r="T6630" s="4"/>
      <c r="U6630" s="4"/>
      <c r="V6630" s="4"/>
      <c r="W6630" s="4"/>
      <c r="X6630" s="4"/>
    </row>
    <row r="6631" spans="17:24" x14ac:dyDescent="0.3">
      <c r="Q6631" s="4"/>
      <c r="R6631" s="4"/>
      <c r="S6631" s="4"/>
      <c r="T6631" s="4"/>
      <c r="U6631" s="4"/>
      <c r="V6631" s="4"/>
      <c r="W6631" s="4"/>
      <c r="X6631" s="4"/>
    </row>
    <row r="6632" spans="17:24" x14ac:dyDescent="0.3">
      <c r="Q6632" s="4"/>
      <c r="R6632" s="4"/>
      <c r="S6632" s="4"/>
      <c r="T6632" s="4"/>
      <c r="U6632" s="4"/>
      <c r="V6632" s="4"/>
      <c r="W6632" s="4"/>
      <c r="X6632" s="4"/>
    </row>
    <row r="6633" spans="17:24" x14ac:dyDescent="0.3">
      <c r="Q6633" s="4"/>
      <c r="R6633" s="4"/>
      <c r="S6633" s="4"/>
      <c r="T6633" s="4"/>
      <c r="U6633" s="4"/>
      <c r="V6633" s="4"/>
      <c r="W6633" s="4"/>
      <c r="X6633" s="4"/>
    </row>
    <row r="6634" spans="17:24" x14ac:dyDescent="0.3">
      <c r="Q6634" s="4"/>
      <c r="R6634" s="4"/>
      <c r="S6634" s="4"/>
      <c r="T6634" s="4"/>
      <c r="U6634" s="4"/>
      <c r="V6634" s="4"/>
      <c r="W6634" s="4"/>
      <c r="X6634" s="4"/>
    </row>
    <row r="6635" spans="17:24" x14ac:dyDescent="0.3">
      <c r="Q6635" s="4"/>
      <c r="R6635" s="4"/>
      <c r="S6635" s="4"/>
      <c r="T6635" s="4"/>
      <c r="U6635" s="4"/>
      <c r="V6635" s="4"/>
      <c r="W6635" s="4"/>
      <c r="X6635" s="4"/>
    </row>
    <row r="6636" spans="17:24" x14ac:dyDescent="0.3">
      <c r="Q6636" s="4"/>
      <c r="R6636" s="4"/>
      <c r="S6636" s="4"/>
      <c r="T6636" s="4"/>
      <c r="U6636" s="4"/>
      <c r="V6636" s="4"/>
      <c r="W6636" s="4"/>
      <c r="X6636" s="4"/>
    </row>
    <row r="6637" spans="17:24" x14ac:dyDescent="0.3">
      <c r="Q6637" s="4"/>
      <c r="R6637" s="4"/>
      <c r="S6637" s="4"/>
      <c r="T6637" s="4"/>
      <c r="U6637" s="4"/>
      <c r="V6637" s="4"/>
      <c r="W6637" s="4"/>
      <c r="X6637" s="4"/>
    </row>
    <row r="6638" spans="17:24" x14ac:dyDescent="0.3">
      <c r="Q6638" s="4"/>
      <c r="R6638" s="4"/>
      <c r="S6638" s="4"/>
      <c r="T6638" s="4"/>
      <c r="U6638" s="4"/>
      <c r="V6638" s="4"/>
      <c r="W6638" s="4"/>
      <c r="X6638" s="4"/>
    </row>
    <row r="6639" spans="17:24" x14ac:dyDescent="0.3">
      <c r="Q6639" s="4"/>
      <c r="R6639" s="4"/>
      <c r="S6639" s="4"/>
      <c r="T6639" s="4"/>
      <c r="U6639" s="4"/>
      <c r="V6639" s="4"/>
      <c r="W6639" s="4"/>
      <c r="X6639" s="4"/>
    </row>
    <row r="6640" spans="17:24" x14ac:dyDescent="0.3">
      <c r="Q6640" s="4"/>
      <c r="R6640" s="4"/>
      <c r="S6640" s="4"/>
      <c r="T6640" s="4"/>
      <c r="U6640" s="4"/>
      <c r="V6640" s="4"/>
      <c r="W6640" s="4"/>
      <c r="X6640" s="4"/>
    </row>
    <row r="6641" spans="17:24" x14ac:dyDescent="0.3">
      <c r="Q6641" s="4"/>
      <c r="R6641" s="4"/>
      <c r="S6641" s="4"/>
      <c r="T6641" s="4"/>
      <c r="U6641" s="4"/>
      <c r="V6641" s="4"/>
      <c r="W6641" s="4"/>
      <c r="X6641" s="4"/>
    </row>
    <row r="6642" spans="17:24" x14ac:dyDescent="0.3">
      <c r="Q6642" s="4"/>
      <c r="R6642" s="4"/>
      <c r="S6642" s="4"/>
      <c r="T6642" s="4"/>
      <c r="U6642" s="4"/>
      <c r="V6642" s="4"/>
      <c r="W6642" s="4"/>
      <c r="X6642" s="4"/>
    </row>
    <row r="6643" spans="17:24" x14ac:dyDescent="0.3">
      <c r="Q6643" s="4"/>
      <c r="R6643" s="4"/>
      <c r="S6643" s="4"/>
      <c r="T6643" s="4"/>
      <c r="U6643" s="4"/>
      <c r="V6643" s="4"/>
      <c r="W6643" s="4"/>
      <c r="X6643" s="4"/>
    </row>
    <row r="6644" spans="17:24" x14ac:dyDescent="0.3">
      <c r="Q6644" s="4"/>
      <c r="R6644" s="4"/>
      <c r="S6644" s="4"/>
      <c r="T6644" s="4"/>
      <c r="U6644" s="4"/>
      <c r="V6644" s="4"/>
      <c r="W6644" s="4"/>
      <c r="X6644" s="4"/>
    </row>
    <row r="6645" spans="17:24" x14ac:dyDescent="0.3">
      <c r="Q6645" s="4"/>
      <c r="R6645" s="4"/>
      <c r="S6645" s="4"/>
      <c r="T6645" s="4"/>
      <c r="U6645" s="4"/>
      <c r="V6645" s="4"/>
      <c r="W6645" s="4"/>
      <c r="X6645" s="4"/>
    </row>
    <row r="6646" spans="17:24" x14ac:dyDescent="0.3">
      <c r="Q6646" s="4"/>
      <c r="R6646" s="4"/>
      <c r="S6646" s="4"/>
      <c r="T6646" s="4"/>
      <c r="U6646" s="4"/>
      <c r="V6646" s="4"/>
      <c r="W6646" s="4"/>
      <c r="X6646" s="4"/>
    </row>
    <row r="6647" spans="17:24" x14ac:dyDescent="0.3">
      <c r="Q6647" s="4"/>
      <c r="R6647" s="4"/>
      <c r="S6647" s="4"/>
      <c r="T6647" s="4"/>
      <c r="U6647" s="4"/>
      <c r="V6647" s="4"/>
      <c r="W6647" s="4"/>
      <c r="X6647" s="4"/>
    </row>
    <row r="6648" spans="17:24" x14ac:dyDescent="0.3">
      <c r="Q6648" s="4"/>
      <c r="R6648" s="4"/>
      <c r="S6648" s="4"/>
      <c r="T6648" s="4"/>
      <c r="U6648" s="4"/>
      <c r="V6648" s="4"/>
      <c r="W6648" s="4"/>
      <c r="X6648" s="4"/>
    </row>
    <row r="6649" spans="17:24" x14ac:dyDescent="0.3">
      <c r="Q6649" s="4"/>
      <c r="R6649" s="4"/>
      <c r="S6649" s="4"/>
      <c r="T6649" s="4"/>
      <c r="U6649" s="4"/>
      <c r="V6649" s="4"/>
      <c r="W6649" s="4"/>
      <c r="X6649" s="4"/>
    </row>
    <row r="6650" spans="17:24" x14ac:dyDescent="0.3">
      <c r="Q6650" s="4"/>
      <c r="R6650" s="4"/>
      <c r="S6650" s="4"/>
      <c r="T6650" s="4"/>
      <c r="U6650" s="4"/>
      <c r="V6650" s="4"/>
      <c r="W6650" s="4"/>
      <c r="X6650" s="4"/>
    </row>
    <row r="6651" spans="17:24" x14ac:dyDescent="0.3">
      <c r="Q6651" s="4"/>
      <c r="R6651" s="4"/>
      <c r="S6651" s="4"/>
      <c r="T6651" s="4"/>
      <c r="U6651" s="4"/>
      <c r="V6651" s="4"/>
      <c r="W6651" s="4"/>
      <c r="X6651" s="4"/>
    </row>
    <row r="6652" spans="17:24" x14ac:dyDescent="0.3">
      <c r="Q6652" s="4"/>
      <c r="R6652" s="4"/>
      <c r="S6652" s="4"/>
      <c r="T6652" s="4"/>
      <c r="U6652" s="4"/>
      <c r="V6652" s="4"/>
      <c r="W6652" s="4"/>
      <c r="X6652" s="4"/>
    </row>
    <row r="6653" spans="17:24" x14ac:dyDescent="0.3">
      <c r="Q6653" s="4"/>
      <c r="R6653" s="4"/>
      <c r="S6653" s="4"/>
      <c r="T6653" s="4"/>
      <c r="U6653" s="4"/>
      <c r="V6653" s="4"/>
      <c r="W6653" s="4"/>
      <c r="X6653" s="4"/>
    </row>
    <row r="6654" spans="17:24" x14ac:dyDescent="0.3">
      <c r="Q6654" s="4"/>
      <c r="R6654" s="4"/>
      <c r="S6654" s="4"/>
      <c r="T6654" s="4"/>
      <c r="U6654" s="4"/>
      <c r="V6654" s="4"/>
      <c r="W6654" s="4"/>
      <c r="X6654" s="4"/>
    </row>
    <row r="6655" spans="17:24" x14ac:dyDescent="0.3">
      <c r="Q6655" s="4"/>
      <c r="R6655" s="4"/>
      <c r="S6655" s="4"/>
      <c r="T6655" s="4"/>
      <c r="U6655" s="4"/>
      <c r="V6655" s="4"/>
      <c r="W6655" s="4"/>
      <c r="X6655" s="4"/>
    </row>
    <row r="6656" spans="17:24" x14ac:dyDescent="0.3">
      <c r="Q6656" s="4"/>
      <c r="R6656" s="4"/>
      <c r="S6656" s="4"/>
      <c r="T6656" s="4"/>
      <c r="U6656" s="4"/>
      <c r="V6656" s="4"/>
      <c r="W6656" s="4"/>
      <c r="X6656" s="4"/>
    </row>
    <row r="6657" spans="17:24" x14ac:dyDescent="0.3">
      <c r="Q6657" s="4"/>
      <c r="R6657" s="4"/>
      <c r="S6657" s="4"/>
      <c r="T6657" s="4"/>
      <c r="U6657" s="4"/>
      <c r="V6657" s="4"/>
      <c r="W6657" s="4"/>
      <c r="X6657" s="4"/>
    </row>
    <row r="6658" spans="17:24" x14ac:dyDescent="0.3">
      <c r="Q6658" s="4"/>
      <c r="R6658" s="4"/>
      <c r="S6658" s="4"/>
      <c r="T6658" s="4"/>
      <c r="U6658" s="4"/>
      <c r="V6658" s="4"/>
      <c r="W6658" s="4"/>
      <c r="X6658" s="4"/>
    </row>
    <row r="6659" spans="17:24" x14ac:dyDescent="0.3">
      <c r="Q6659" s="4"/>
      <c r="R6659" s="4"/>
      <c r="S6659" s="4"/>
      <c r="T6659" s="4"/>
      <c r="U6659" s="4"/>
      <c r="V6659" s="4"/>
      <c r="W6659" s="4"/>
      <c r="X6659" s="4"/>
    </row>
    <row r="6660" spans="17:24" x14ac:dyDescent="0.3">
      <c r="Q6660" s="4"/>
      <c r="R6660" s="4"/>
      <c r="S6660" s="4"/>
      <c r="T6660" s="4"/>
      <c r="U6660" s="4"/>
      <c r="V6660" s="4"/>
      <c r="W6660" s="4"/>
      <c r="X6660" s="4"/>
    </row>
    <row r="6661" spans="17:24" x14ac:dyDescent="0.3">
      <c r="Q6661" s="4"/>
      <c r="R6661" s="4"/>
      <c r="S6661" s="4"/>
      <c r="T6661" s="4"/>
      <c r="U6661" s="4"/>
      <c r="V6661" s="4"/>
      <c r="W6661" s="4"/>
      <c r="X6661" s="4"/>
    </row>
    <row r="6662" spans="17:24" x14ac:dyDescent="0.3">
      <c r="Q6662" s="4"/>
      <c r="R6662" s="4"/>
      <c r="S6662" s="4"/>
      <c r="T6662" s="4"/>
      <c r="U6662" s="4"/>
      <c r="V6662" s="4"/>
      <c r="W6662" s="4"/>
      <c r="X6662" s="4"/>
    </row>
    <row r="6663" spans="17:24" x14ac:dyDescent="0.3">
      <c r="Q6663" s="4"/>
      <c r="R6663" s="4"/>
      <c r="S6663" s="4"/>
      <c r="T6663" s="4"/>
      <c r="U6663" s="4"/>
      <c r="V6663" s="4"/>
      <c r="W6663" s="4"/>
      <c r="X6663" s="4"/>
    </row>
    <row r="6664" spans="17:24" x14ac:dyDescent="0.3">
      <c r="Q6664" s="4"/>
      <c r="R6664" s="4"/>
      <c r="S6664" s="4"/>
      <c r="T6664" s="4"/>
      <c r="U6664" s="4"/>
      <c r="V6664" s="4"/>
      <c r="W6664" s="4"/>
      <c r="X6664" s="4"/>
    </row>
    <row r="6665" spans="17:24" x14ac:dyDescent="0.3">
      <c r="Q6665" s="4"/>
      <c r="R6665" s="4"/>
      <c r="S6665" s="4"/>
      <c r="T6665" s="4"/>
      <c r="U6665" s="4"/>
      <c r="V6665" s="4"/>
      <c r="W6665" s="4"/>
      <c r="X6665" s="4"/>
    </row>
    <row r="6666" spans="17:24" x14ac:dyDescent="0.3">
      <c r="Q6666" s="4"/>
      <c r="R6666" s="4"/>
      <c r="S6666" s="4"/>
      <c r="T6666" s="4"/>
      <c r="U6666" s="4"/>
      <c r="V6666" s="4"/>
      <c r="W6666" s="4"/>
      <c r="X6666" s="4"/>
    </row>
    <row r="6667" spans="17:24" x14ac:dyDescent="0.3">
      <c r="Q6667" s="4"/>
      <c r="R6667" s="4"/>
      <c r="S6667" s="4"/>
      <c r="T6667" s="4"/>
      <c r="U6667" s="4"/>
      <c r="V6667" s="4"/>
      <c r="W6667" s="4"/>
      <c r="X6667" s="4"/>
    </row>
    <row r="6668" spans="17:24" x14ac:dyDescent="0.3">
      <c r="Q6668" s="4"/>
      <c r="R6668" s="4"/>
      <c r="S6668" s="4"/>
      <c r="T6668" s="4"/>
      <c r="U6668" s="4"/>
      <c r="V6668" s="4"/>
      <c r="W6668" s="4"/>
      <c r="X6668" s="4"/>
    </row>
    <row r="6669" spans="17:24" x14ac:dyDescent="0.3">
      <c r="Q6669" s="4"/>
      <c r="R6669" s="4"/>
      <c r="S6669" s="4"/>
      <c r="T6669" s="4"/>
      <c r="U6669" s="4"/>
      <c r="V6669" s="4"/>
      <c r="W6669" s="4"/>
      <c r="X6669" s="4"/>
    </row>
    <row r="6670" spans="17:24" x14ac:dyDescent="0.3">
      <c r="Q6670" s="4"/>
      <c r="R6670" s="4"/>
      <c r="S6670" s="4"/>
      <c r="T6670" s="4"/>
      <c r="U6670" s="4"/>
      <c r="V6670" s="4"/>
      <c r="W6670" s="4"/>
      <c r="X6670" s="4"/>
    </row>
    <row r="6671" spans="17:24" x14ac:dyDescent="0.3">
      <c r="Q6671" s="4"/>
      <c r="R6671" s="4"/>
      <c r="S6671" s="4"/>
      <c r="T6671" s="4"/>
      <c r="U6671" s="4"/>
      <c r="V6671" s="4"/>
      <c r="W6671" s="4"/>
      <c r="X6671" s="4"/>
    </row>
    <row r="6672" spans="17:24" x14ac:dyDescent="0.3">
      <c r="Q6672" s="4"/>
      <c r="R6672" s="4"/>
      <c r="S6672" s="4"/>
      <c r="T6672" s="4"/>
      <c r="U6672" s="4"/>
      <c r="V6672" s="4"/>
      <c r="W6672" s="4"/>
      <c r="X6672" s="4"/>
    </row>
    <row r="6673" spans="17:24" x14ac:dyDescent="0.3">
      <c r="Q6673" s="4"/>
      <c r="R6673" s="4"/>
      <c r="S6673" s="4"/>
      <c r="T6673" s="4"/>
      <c r="U6673" s="4"/>
      <c r="V6673" s="4"/>
      <c r="W6673" s="4"/>
      <c r="X6673" s="4"/>
    </row>
    <row r="6674" spans="17:24" x14ac:dyDescent="0.3">
      <c r="Q6674" s="4"/>
      <c r="R6674" s="4"/>
      <c r="S6674" s="4"/>
      <c r="T6674" s="4"/>
      <c r="U6674" s="4"/>
      <c r="V6674" s="4"/>
      <c r="W6674" s="4"/>
      <c r="X6674" s="4"/>
    </row>
    <row r="6675" spans="17:24" x14ac:dyDescent="0.3">
      <c r="Q6675" s="4"/>
      <c r="R6675" s="4"/>
      <c r="S6675" s="4"/>
      <c r="T6675" s="4"/>
      <c r="U6675" s="4"/>
      <c r="V6675" s="4"/>
      <c r="W6675" s="4"/>
      <c r="X6675" s="4"/>
    </row>
    <row r="6676" spans="17:24" x14ac:dyDescent="0.3">
      <c r="Q6676" s="4"/>
      <c r="R6676" s="4"/>
      <c r="S6676" s="4"/>
      <c r="T6676" s="4"/>
      <c r="U6676" s="4"/>
      <c r="V6676" s="4"/>
      <c r="W6676" s="4"/>
      <c r="X6676" s="4"/>
    </row>
    <row r="6677" spans="17:24" x14ac:dyDescent="0.3">
      <c r="Q6677" s="4"/>
      <c r="R6677" s="4"/>
      <c r="S6677" s="4"/>
      <c r="T6677" s="4"/>
      <c r="U6677" s="4"/>
      <c r="V6677" s="4"/>
      <c r="W6677" s="4"/>
      <c r="X6677" s="4"/>
    </row>
    <row r="6678" spans="17:24" x14ac:dyDescent="0.3">
      <c r="Q6678" s="4"/>
      <c r="R6678" s="4"/>
      <c r="S6678" s="4"/>
      <c r="T6678" s="4"/>
      <c r="U6678" s="4"/>
      <c r="V6678" s="4"/>
      <c r="W6678" s="4"/>
      <c r="X6678" s="4"/>
    </row>
    <row r="6679" spans="17:24" x14ac:dyDescent="0.3">
      <c r="Q6679" s="4"/>
      <c r="R6679" s="4"/>
      <c r="S6679" s="4"/>
      <c r="T6679" s="4"/>
      <c r="U6679" s="4"/>
      <c r="V6679" s="4"/>
      <c r="W6679" s="4"/>
      <c r="X6679" s="4"/>
    </row>
    <row r="6680" spans="17:24" x14ac:dyDescent="0.3">
      <c r="Q6680" s="4"/>
      <c r="R6680" s="4"/>
      <c r="S6680" s="4"/>
      <c r="T6680" s="4"/>
      <c r="U6680" s="4"/>
      <c r="V6680" s="4"/>
      <c r="W6680" s="4"/>
      <c r="X6680" s="4"/>
    </row>
    <row r="6681" spans="17:24" x14ac:dyDescent="0.3">
      <c r="Q6681" s="4"/>
      <c r="R6681" s="4"/>
      <c r="S6681" s="4"/>
      <c r="T6681" s="4"/>
      <c r="U6681" s="4"/>
      <c r="V6681" s="4"/>
      <c r="W6681" s="4"/>
      <c r="X6681" s="4"/>
    </row>
    <row r="6682" spans="17:24" x14ac:dyDescent="0.3">
      <c r="Q6682" s="4"/>
      <c r="R6682" s="4"/>
      <c r="S6682" s="4"/>
      <c r="T6682" s="4"/>
      <c r="U6682" s="4"/>
      <c r="V6682" s="4"/>
      <c r="W6682" s="4"/>
      <c r="X6682" s="4"/>
    </row>
    <row r="6683" spans="17:24" x14ac:dyDescent="0.3">
      <c r="Q6683" s="4"/>
      <c r="R6683" s="4"/>
      <c r="S6683" s="4"/>
      <c r="T6683" s="4"/>
      <c r="U6683" s="4"/>
      <c r="V6683" s="4"/>
      <c r="W6683" s="4"/>
      <c r="X6683" s="4"/>
    </row>
    <row r="6684" spans="17:24" x14ac:dyDescent="0.3">
      <c r="Q6684" s="4"/>
      <c r="R6684" s="4"/>
      <c r="S6684" s="4"/>
      <c r="T6684" s="4"/>
      <c r="U6684" s="4"/>
      <c r="V6684" s="4"/>
      <c r="W6684" s="4"/>
      <c r="X6684" s="4"/>
    </row>
    <row r="6685" spans="17:24" x14ac:dyDescent="0.3">
      <c r="Q6685" s="4"/>
      <c r="R6685" s="4"/>
      <c r="S6685" s="4"/>
      <c r="T6685" s="4"/>
      <c r="U6685" s="4"/>
      <c r="V6685" s="4"/>
      <c r="W6685" s="4"/>
      <c r="X6685" s="4"/>
    </row>
    <row r="6686" spans="17:24" x14ac:dyDescent="0.3">
      <c r="Q6686" s="4"/>
      <c r="R6686" s="4"/>
      <c r="S6686" s="4"/>
      <c r="T6686" s="4"/>
      <c r="U6686" s="4"/>
      <c r="V6686" s="4"/>
      <c r="W6686" s="4"/>
      <c r="X6686" s="4"/>
    </row>
    <row r="6687" spans="17:24" x14ac:dyDescent="0.3">
      <c r="Q6687" s="4"/>
      <c r="R6687" s="4"/>
      <c r="S6687" s="4"/>
      <c r="T6687" s="4"/>
      <c r="U6687" s="4"/>
      <c r="V6687" s="4"/>
      <c r="W6687" s="4"/>
      <c r="X6687" s="4"/>
    </row>
    <row r="6688" spans="17:24" x14ac:dyDescent="0.3">
      <c r="Q6688" s="4"/>
      <c r="R6688" s="4"/>
      <c r="S6688" s="4"/>
      <c r="T6688" s="4"/>
      <c r="U6688" s="4"/>
      <c r="V6688" s="4"/>
      <c r="W6688" s="4"/>
      <c r="X6688" s="4"/>
    </row>
    <row r="6689" spans="17:24" x14ac:dyDescent="0.3">
      <c r="Q6689" s="4"/>
      <c r="R6689" s="4"/>
      <c r="S6689" s="4"/>
      <c r="T6689" s="4"/>
      <c r="U6689" s="4"/>
      <c r="V6689" s="4"/>
      <c r="W6689" s="4"/>
      <c r="X6689" s="4"/>
    </row>
    <row r="6690" spans="17:24" x14ac:dyDescent="0.3">
      <c r="Q6690" s="4"/>
      <c r="R6690" s="4"/>
      <c r="S6690" s="4"/>
      <c r="T6690" s="4"/>
      <c r="U6690" s="4"/>
      <c r="V6690" s="4"/>
      <c r="W6690" s="4"/>
      <c r="X6690" s="4"/>
    </row>
    <row r="6691" spans="17:24" x14ac:dyDescent="0.3">
      <c r="Q6691" s="4"/>
      <c r="R6691" s="4"/>
      <c r="S6691" s="4"/>
      <c r="T6691" s="4"/>
      <c r="U6691" s="4"/>
      <c r="V6691" s="4"/>
      <c r="W6691" s="4"/>
      <c r="X6691" s="4"/>
    </row>
    <row r="6692" spans="17:24" x14ac:dyDescent="0.3">
      <c r="Q6692" s="4"/>
      <c r="R6692" s="4"/>
      <c r="S6692" s="4"/>
      <c r="T6692" s="4"/>
      <c r="U6692" s="4"/>
      <c r="V6692" s="4"/>
      <c r="W6692" s="4"/>
      <c r="X6692" s="4"/>
    </row>
    <row r="6693" spans="17:24" x14ac:dyDescent="0.3">
      <c r="Q6693" s="4"/>
      <c r="R6693" s="4"/>
      <c r="S6693" s="4"/>
      <c r="T6693" s="4"/>
      <c r="U6693" s="4"/>
      <c r="V6693" s="4"/>
      <c r="W6693" s="4"/>
      <c r="X6693" s="4"/>
    </row>
    <row r="6694" spans="17:24" x14ac:dyDescent="0.3">
      <c r="Q6694" s="4"/>
      <c r="R6694" s="4"/>
      <c r="S6694" s="4"/>
      <c r="T6694" s="4"/>
      <c r="U6694" s="4"/>
      <c r="V6694" s="4"/>
      <c r="W6694" s="4"/>
      <c r="X6694" s="4"/>
    </row>
    <row r="6695" spans="17:24" x14ac:dyDescent="0.3">
      <c r="Q6695" s="4"/>
      <c r="R6695" s="4"/>
      <c r="S6695" s="4"/>
      <c r="T6695" s="4"/>
      <c r="U6695" s="4"/>
      <c r="V6695" s="4"/>
      <c r="W6695" s="4"/>
      <c r="X6695" s="4"/>
    </row>
    <row r="6696" spans="17:24" x14ac:dyDescent="0.3">
      <c r="Q6696" s="4"/>
      <c r="R6696" s="4"/>
      <c r="S6696" s="4"/>
      <c r="T6696" s="4"/>
      <c r="U6696" s="4"/>
      <c r="V6696" s="4"/>
      <c r="W6696" s="4"/>
      <c r="X6696" s="4"/>
    </row>
    <row r="6697" spans="17:24" x14ac:dyDescent="0.3">
      <c r="Q6697" s="4"/>
      <c r="R6697" s="4"/>
      <c r="S6697" s="4"/>
      <c r="T6697" s="4"/>
      <c r="U6697" s="4"/>
      <c r="V6697" s="4"/>
      <c r="W6697" s="4"/>
      <c r="X6697" s="4"/>
    </row>
    <row r="6698" spans="17:24" x14ac:dyDescent="0.3">
      <c r="Q6698" s="4"/>
      <c r="R6698" s="4"/>
      <c r="S6698" s="4"/>
      <c r="T6698" s="4"/>
      <c r="U6698" s="4"/>
      <c r="V6698" s="4"/>
      <c r="W6698" s="4"/>
      <c r="X6698" s="4"/>
    </row>
    <row r="6699" spans="17:24" x14ac:dyDescent="0.3">
      <c r="Q6699" s="4"/>
      <c r="R6699" s="4"/>
      <c r="S6699" s="4"/>
      <c r="T6699" s="4"/>
      <c r="U6699" s="4"/>
      <c r="V6699" s="4"/>
      <c r="W6699" s="4"/>
      <c r="X6699" s="4"/>
    </row>
    <row r="6700" spans="17:24" x14ac:dyDescent="0.3">
      <c r="Q6700" s="4"/>
      <c r="R6700" s="4"/>
      <c r="S6700" s="4"/>
      <c r="T6700" s="4"/>
      <c r="U6700" s="4"/>
      <c r="V6700" s="4"/>
      <c r="W6700" s="4"/>
      <c r="X6700" s="4"/>
    </row>
    <row r="6701" spans="17:24" x14ac:dyDescent="0.3">
      <c r="Q6701" s="4"/>
      <c r="R6701" s="4"/>
      <c r="S6701" s="4"/>
      <c r="T6701" s="4"/>
      <c r="U6701" s="4"/>
      <c r="V6701" s="4"/>
      <c r="W6701" s="4"/>
      <c r="X6701" s="4"/>
    </row>
    <row r="6702" spans="17:24" x14ac:dyDescent="0.3">
      <c r="Q6702" s="4"/>
      <c r="R6702" s="4"/>
      <c r="S6702" s="4"/>
      <c r="T6702" s="4"/>
      <c r="U6702" s="4"/>
      <c r="V6702" s="4"/>
      <c r="W6702" s="4"/>
      <c r="X6702" s="4"/>
    </row>
    <row r="6703" spans="17:24" x14ac:dyDescent="0.3">
      <c r="Q6703" s="4"/>
      <c r="R6703" s="4"/>
      <c r="S6703" s="4"/>
      <c r="T6703" s="4"/>
      <c r="U6703" s="4"/>
      <c r="V6703" s="4"/>
      <c r="W6703" s="4"/>
      <c r="X6703" s="4"/>
    </row>
    <row r="6704" spans="17:24" x14ac:dyDescent="0.3">
      <c r="Q6704" s="4"/>
      <c r="R6704" s="4"/>
      <c r="S6704" s="4"/>
      <c r="T6704" s="4"/>
      <c r="U6704" s="4"/>
      <c r="V6704" s="4"/>
      <c r="W6704" s="4"/>
      <c r="X6704" s="4"/>
    </row>
    <row r="6705" spans="17:24" x14ac:dyDescent="0.3">
      <c r="Q6705" s="4"/>
      <c r="R6705" s="4"/>
      <c r="S6705" s="4"/>
      <c r="T6705" s="4"/>
      <c r="U6705" s="4"/>
      <c r="V6705" s="4"/>
      <c r="W6705" s="4"/>
      <c r="X6705" s="4"/>
    </row>
    <row r="6706" spans="17:24" x14ac:dyDescent="0.3">
      <c r="Q6706" s="4"/>
      <c r="R6706" s="4"/>
      <c r="S6706" s="4"/>
      <c r="T6706" s="4"/>
      <c r="U6706" s="4"/>
      <c r="V6706" s="4"/>
      <c r="W6706" s="4"/>
      <c r="X6706" s="4"/>
    </row>
    <row r="6707" spans="17:24" x14ac:dyDescent="0.3">
      <c r="Q6707" s="4"/>
      <c r="R6707" s="4"/>
      <c r="S6707" s="4"/>
      <c r="T6707" s="4"/>
      <c r="U6707" s="4"/>
      <c r="V6707" s="4"/>
      <c r="W6707" s="4"/>
      <c r="X6707" s="4"/>
    </row>
    <row r="6708" spans="17:24" x14ac:dyDescent="0.3">
      <c r="Q6708" s="4"/>
      <c r="R6708" s="4"/>
      <c r="S6708" s="4"/>
      <c r="T6708" s="4"/>
      <c r="U6708" s="4"/>
      <c r="V6708" s="4"/>
      <c r="W6708" s="4"/>
      <c r="X6708" s="4"/>
    </row>
    <row r="6709" spans="17:24" x14ac:dyDescent="0.3">
      <c r="Q6709" s="4"/>
      <c r="R6709" s="4"/>
      <c r="S6709" s="4"/>
      <c r="T6709" s="4"/>
      <c r="U6709" s="4"/>
      <c r="V6709" s="4"/>
      <c r="W6709" s="4"/>
      <c r="X6709" s="4"/>
    </row>
    <row r="6710" spans="17:24" x14ac:dyDescent="0.3">
      <c r="Q6710" s="4"/>
      <c r="R6710" s="4"/>
      <c r="S6710" s="4"/>
      <c r="T6710" s="4"/>
      <c r="U6710" s="4"/>
      <c r="V6710" s="4"/>
      <c r="W6710" s="4"/>
      <c r="X6710" s="4"/>
    </row>
    <row r="6711" spans="17:24" x14ac:dyDescent="0.3">
      <c r="Q6711" s="4"/>
      <c r="R6711" s="4"/>
      <c r="S6711" s="4"/>
      <c r="T6711" s="4"/>
      <c r="U6711" s="4"/>
      <c r="V6711" s="4"/>
      <c r="W6711" s="4"/>
      <c r="X6711" s="4"/>
    </row>
    <row r="6712" spans="17:24" x14ac:dyDescent="0.3">
      <c r="Q6712" s="4"/>
      <c r="R6712" s="4"/>
      <c r="S6712" s="4"/>
      <c r="T6712" s="4"/>
      <c r="U6712" s="4"/>
      <c r="V6712" s="4"/>
      <c r="W6712" s="4"/>
      <c r="X6712" s="4"/>
    </row>
    <row r="6713" spans="17:24" x14ac:dyDescent="0.3">
      <c r="Q6713" s="4"/>
      <c r="R6713" s="4"/>
      <c r="S6713" s="4"/>
      <c r="T6713" s="4"/>
      <c r="U6713" s="4"/>
      <c r="V6713" s="4"/>
      <c r="W6713" s="4"/>
      <c r="X6713" s="4"/>
    </row>
    <row r="6714" spans="17:24" x14ac:dyDescent="0.3">
      <c r="Q6714" s="4"/>
      <c r="R6714" s="4"/>
      <c r="S6714" s="4"/>
      <c r="T6714" s="4"/>
      <c r="U6714" s="4"/>
      <c r="V6714" s="4"/>
      <c r="W6714" s="4"/>
      <c r="X6714" s="4"/>
    </row>
    <row r="6715" spans="17:24" x14ac:dyDescent="0.3">
      <c r="Q6715" s="4"/>
      <c r="R6715" s="4"/>
      <c r="S6715" s="4"/>
      <c r="T6715" s="4"/>
      <c r="U6715" s="4"/>
      <c r="V6715" s="4"/>
      <c r="W6715" s="4"/>
      <c r="X6715" s="4"/>
    </row>
    <row r="6716" spans="17:24" x14ac:dyDescent="0.3">
      <c r="Q6716" s="4"/>
      <c r="R6716" s="4"/>
      <c r="S6716" s="4"/>
      <c r="T6716" s="4"/>
      <c r="U6716" s="4"/>
      <c r="V6716" s="4"/>
      <c r="W6716" s="4"/>
      <c r="X6716" s="4"/>
    </row>
    <row r="6717" spans="17:24" x14ac:dyDescent="0.3">
      <c r="Q6717" s="4"/>
      <c r="R6717" s="4"/>
      <c r="S6717" s="4"/>
      <c r="T6717" s="4"/>
      <c r="U6717" s="4"/>
      <c r="V6717" s="4"/>
      <c r="W6717" s="4"/>
      <c r="X6717" s="4"/>
    </row>
    <row r="6718" spans="17:24" x14ac:dyDescent="0.3">
      <c r="Q6718" s="4"/>
      <c r="R6718" s="4"/>
      <c r="S6718" s="4"/>
      <c r="T6718" s="4"/>
      <c r="U6718" s="4"/>
      <c r="V6718" s="4"/>
      <c r="W6718" s="4"/>
      <c r="X6718" s="4"/>
    </row>
    <row r="6719" spans="17:24" x14ac:dyDescent="0.3">
      <c r="Q6719" s="4"/>
      <c r="R6719" s="4"/>
      <c r="S6719" s="4"/>
      <c r="T6719" s="4"/>
      <c r="U6719" s="4"/>
      <c r="V6719" s="4"/>
      <c r="W6719" s="4"/>
      <c r="X6719" s="4"/>
    </row>
    <row r="6720" spans="17:24" x14ac:dyDescent="0.3">
      <c r="Q6720" s="4"/>
      <c r="R6720" s="4"/>
      <c r="S6720" s="4"/>
      <c r="T6720" s="4"/>
      <c r="U6720" s="4"/>
      <c r="V6720" s="4"/>
      <c r="W6720" s="4"/>
      <c r="X6720" s="4"/>
    </row>
    <row r="6721" spans="17:24" x14ac:dyDescent="0.3">
      <c r="Q6721" s="4"/>
      <c r="R6721" s="4"/>
      <c r="S6721" s="4"/>
      <c r="T6721" s="4"/>
      <c r="U6721" s="4"/>
      <c r="V6721" s="4"/>
      <c r="W6721" s="4"/>
      <c r="X6721" s="4"/>
    </row>
    <row r="6722" spans="17:24" x14ac:dyDescent="0.3">
      <c r="Q6722" s="4"/>
      <c r="R6722" s="4"/>
      <c r="S6722" s="4"/>
      <c r="T6722" s="4"/>
      <c r="U6722" s="4"/>
      <c r="V6722" s="4"/>
      <c r="W6722" s="4"/>
      <c r="X6722" s="4"/>
    </row>
    <row r="6723" spans="17:24" x14ac:dyDescent="0.3">
      <c r="Q6723" s="4"/>
      <c r="R6723" s="4"/>
      <c r="S6723" s="4"/>
      <c r="T6723" s="4"/>
      <c r="U6723" s="4"/>
      <c r="V6723" s="4"/>
      <c r="W6723" s="4"/>
      <c r="X6723" s="4"/>
    </row>
    <row r="6724" spans="17:24" x14ac:dyDescent="0.3">
      <c r="Q6724" s="4"/>
      <c r="R6724" s="4"/>
      <c r="S6724" s="4"/>
      <c r="T6724" s="4"/>
      <c r="U6724" s="4"/>
      <c r="V6724" s="4"/>
      <c r="W6724" s="4"/>
      <c r="X6724" s="4"/>
    </row>
    <row r="6725" spans="17:24" x14ac:dyDescent="0.3">
      <c r="Q6725" s="4"/>
      <c r="R6725" s="4"/>
      <c r="S6725" s="4"/>
      <c r="T6725" s="4"/>
      <c r="U6725" s="4"/>
      <c r="V6725" s="4"/>
      <c r="W6725" s="4"/>
      <c r="X6725" s="4"/>
    </row>
    <row r="6726" spans="17:24" x14ac:dyDescent="0.3">
      <c r="Q6726" s="4"/>
      <c r="R6726" s="4"/>
      <c r="S6726" s="4"/>
      <c r="T6726" s="4"/>
      <c r="U6726" s="4"/>
      <c r="V6726" s="4"/>
      <c r="W6726" s="4"/>
      <c r="X6726" s="4"/>
    </row>
    <row r="6727" spans="17:24" x14ac:dyDescent="0.3">
      <c r="Q6727" s="4"/>
      <c r="R6727" s="4"/>
      <c r="S6727" s="4"/>
      <c r="T6727" s="4"/>
      <c r="U6727" s="4"/>
      <c r="V6727" s="4"/>
      <c r="W6727" s="4"/>
      <c r="X6727" s="4"/>
    </row>
    <row r="6728" spans="17:24" x14ac:dyDescent="0.3">
      <c r="Q6728" s="4"/>
      <c r="R6728" s="4"/>
      <c r="S6728" s="4"/>
      <c r="T6728" s="4"/>
      <c r="U6728" s="4"/>
      <c r="V6728" s="4"/>
      <c r="W6728" s="4"/>
      <c r="X6728" s="4"/>
    </row>
    <row r="6729" spans="17:24" x14ac:dyDescent="0.3">
      <c r="Q6729" s="4"/>
      <c r="R6729" s="4"/>
      <c r="S6729" s="4"/>
      <c r="T6729" s="4"/>
      <c r="U6729" s="4"/>
      <c r="V6729" s="4"/>
      <c r="W6729" s="4"/>
      <c r="X6729" s="4"/>
    </row>
    <row r="6730" spans="17:24" x14ac:dyDescent="0.3">
      <c r="Q6730" s="4"/>
      <c r="R6730" s="4"/>
      <c r="S6730" s="4"/>
      <c r="T6730" s="4"/>
      <c r="U6730" s="4"/>
      <c r="V6730" s="4"/>
      <c r="W6730" s="4"/>
      <c r="X6730" s="4"/>
    </row>
    <row r="6731" spans="17:24" x14ac:dyDescent="0.3">
      <c r="Q6731" s="4"/>
      <c r="R6731" s="4"/>
      <c r="S6731" s="4"/>
      <c r="T6731" s="4"/>
      <c r="U6731" s="4"/>
      <c r="V6731" s="4"/>
      <c r="W6731" s="4"/>
      <c r="X6731" s="4"/>
    </row>
    <row r="6732" spans="17:24" x14ac:dyDescent="0.3">
      <c r="Q6732" s="4"/>
      <c r="R6732" s="4"/>
      <c r="S6732" s="4"/>
      <c r="T6732" s="4"/>
      <c r="U6732" s="4"/>
      <c r="V6732" s="4"/>
      <c r="W6732" s="4"/>
      <c r="X6732" s="4"/>
    </row>
    <row r="6733" spans="17:24" x14ac:dyDescent="0.3">
      <c r="Q6733" s="4"/>
      <c r="R6733" s="4"/>
      <c r="S6733" s="4"/>
      <c r="T6733" s="4"/>
      <c r="U6733" s="4"/>
      <c r="V6733" s="4"/>
      <c r="W6733" s="4"/>
      <c r="X6733" s="4"/>
    </row>
    <row r="6734" spans="17:24" x14ac:dyDescent="0.3">
      <c r="Q6734" s="4"/>
      <c r="R6734" s="4"/>
      <c r="S6734" s="4"/>
      <c r="T6734" s="4"/>
      <c r="U6734" s="4"/>
      <c r="V6734" s="4"/>
      <c r="W6734" s="4"/>
      <c r="X6734" s="4"/>
    </row>
    <row r="6735" spans="17:24" x14ac:dyDescent="0.3">
      <c r="Q6735" s="4"/>
      <c r="R6735" s="4"/>
      <c r="S6735" s="4"/>
      <c r="T6735" s="4"/>
      <c r="U6735" s="4"/>
      <c r="V6735" s="4"/>
      <c r="W6735" s="4"/>
      <c r="X6735" s="4"/>
    </row>
    <row r="6736" spans="17:24" x14ac:dyDescent="0.3">
      <c r="Q6736" s="4"/>
      <c r="R6736" s="4"/>
      <c r="S6736" s="4"/>
      <c r="T6736" s="4"/>
      <c r="U6736" s="4"/>
      <c r="V6736" s="4"/>
      <c r="W6736" s="4"/>
      <c r="X6736" s="4"/>
    </row>
    <row r="6737" spans="17:24" x14ac:dyDescent="0.3">
      <c r="Q6737" s="4"/>
      <c r="R6737" s="4"/>
      <c r="S6737" s="4"/>
      <c r="T6737" s="4"/>
      <c r="U6737" s="4"/>
      <c r="V6737" s="4"/>
      <c r="W6737" s="4"/>
      <c r="X6737" s="4"/>
    </row>
    <row r="6738" spans="17:24" x14ac:dyDescent="0.3">
      <c r="Q6738" s="4"/>
      <c r="R6738" s="4"/>
      <c r="S6738" s="4"/>
      <c r="T6738" s="4"/>
      <c r="U6738" s="4"/>
      <c r="V6738" s="4"/>
      <c r="W6738" s="4"/>
      <c r="X6738" s="4"/>
    </row>
    <row r="6739" spans="17:24" x14ac:dyDescent="0.3">
      <c r="Q6739" s="4"/>
      <c r="R6739" s="4"/>
      <c r="S6739" s="4"/>
      <c r="T6739" s="4"/>
      <c r="U6739" s="4"/>
      <c r="V6739" s="4"/>
      <c r="W6739" s="4"/>
      <c r="X6739" s="4"/>
    </row>
    <row r="6740" spans="17:24" x14ac:dyDescent="0.3">
      <c r="Q6740" s="4"/>
      <c r="R6740" s="4"/>
      <c r="S6740" s="4"/>
      <c r="T6740" s="4"/>
      <c r="U6740" s="4"/>
      <c r="V6740" s="4"/>
      <c r="W6740" s="4"/>
      <c r="X6740" s="4"/>
    </row>
    <row r="6741" spans="17:24" x14ac:dyDescent="0.3">
      <c r="Q6741" s="4"/>
      <c r="R6741" s="4"/>
      <c r="S6741" s="4"/>
      <c r="T6741" s="4"/>
      <c r="U6741" s="4"/>
      <c r="V6741" s="4"/>
      <c r="W6741" s="4"/>
      <c r="X6741" s="4"/>
    </row>
    <row r="6742" spans="17:24" x14ac:dyDescent="0.3">
      <c r="Q6742" s="4"/>
      <c r="R6742" s="4"/>
      <c r="S6742" s="4"/>
      <c r="T6742" s="4"/>
      <c r="U6742" s="4"/>
      <c r="V6742" s="4"/>
      <c r="W6742" s="4"/>
      <c r="X6742" s="4"/>
    </row>
    <row r="6743" spans="17:24" x14ac:dyDescent="0.3">
      <c r="Q6743" s="4"/>
      <c r="R6743" s="4"/>
      <c r="S6743" s="4"/>
      <c r="T6743" s="4"/>
      <c r="U6743" s="4"/>
      <c r="V6743" s="4"/>
      <c r="W6743" s="4"/>
      <c r="X6743" s="4"/>
    </row>
    <row r="6744" spans="17:24" x14ac:dyDescent="0.3">
      <c r="Q6744" s="4"/>
      <c r="R6744" s="4"/>
      <c r="S6744" s="4"/>
      <c r="T6744" s="4"/>
      <c r="U6744" s="4"/>
      <c r="V6744" s="4"/>
      <c r="W6744" s="4"/>
      <c r="X6744" s="4"/>
    </row>
    <row r="6745" spans="17:24" x14ac:dyDescent="0.3">
      <c r="Q6745" s="4"/>
      <c r="R6745" s="4"/>
      <c r="S6745" s="4"/>
      <c r="T6745" s="4"/>
      <c r="U6745" s="4"/>
      <c r="V6745" s="4"/>
      <c r="W6745" s="4"/>
      <c r="X6745" s="4"/>
    </row>
    <row r="6746" spans="17:24" x14ac:dyDescent="0.3">
      <c r="Q6746" s="4"/>
      <c r="R6746" s="4"/>
      <c r="S6746" s="4"/>
      <c r="T6746" s="4"/>
      <c r="U6746" s="4"/>
      <c r="V6746" s="4"/>
      <c r="W6746" s="4"/>
      <c r="X6746" s="4"/>
    </row>
    <row r="6747" spans="17:24" x14ac:dyDescent="0.3">
      <c r="Q6747" s="4"/>
      <c r="R6747" s="4"/>
      <c r="S6747" s="4"/>
      <c r="T6747" s="4"/>
      <c r="U6747" s="4"/>
      <c r="V6747" s="4"/>
      <c r="W6747" s="4"/>
      <c r="X6747" s="4"/>
    </row>
    <row r="6748" spans="17:24" x14ac:dyDescent="0.3">
      <c r="Q6748" s="4"/>
      <c r="R6748" s="4"/>
      <c r="S6748" s="4"/>
      <c r="T6748" s="4"/>
      <c r="U6748" s="4"/>
      <c r="V6748" s="4"/>
      <c r="W6748" s="4"/>
      <c r="X6748" s="4"/>
    </row>
    <row r="6749" spans="17:24" x14ac:dyDescent="0.3">
      <c r="Q6749" s="4"/>
      <c r="R6749" s="4"/>
      <c r="S6749" s="4"/>
      <c r="T6749" s="4"/>
      <c r="U6749" s="4"/>
      <c r="V6749" s="4"/>
      <c r="W6749" s="4"/>
      <c r="X6749" s="4"/>
    </row>
    <row r="6750" spans="17:24" x14ac:dyDescent="0.3">
      <c r="Q6750" s="4"/>
      <c r="R6750" s="4"/>
      <c r="S6750" s="4"/>
      <c r="T6750" s="4"/>
      <c r="U6750" s="4"/>
      <c r="V6750" s="4"/>
      <c r="W6750" s="4"/>
      <c r="X6750" s="4"/>
    </row>
    <row r="6751" spans="17:24" x14ac:dyDescent="0.3">
      <c r="Q6751" s="4"/>
      <c r="R6751" s="4"/>
      <c r="S6751" s="4"/>
      <c r="T6751" s="4"/>
      <c r="U6751" s="4"/>
      <c r="V6751" s="4"/>
      <c r="W6751" s="4"/>
      <c r="X6751" s="4"/>
    </row>
    <row r="6752" spans="17:24" x14ac:dyDescent="0.3">
      <c r="Q6752" s="4"/>
      <c r="R6752" s="4"/>
      <c r="S6752" s="4"/>
      <c r="T6752" s="4"/>
      <c r="U6752" s="4"/>
      <c r="V6752" s="4"/>
      <c r="W6752" s="4"/>
      <c r="X6752" s="4"/>
    </row>
    <row r="6753" spans="17:24" x14ac:dyDescent="0.3">
      <c r="Q6753" s="4"/>
      <c r="R6753" s="4"/>
      <c r="S6753" s="4"/>
      <c r="T6753" s="4"/>
      <c r="U6753" s="4"/>
      <c r="V6753" s="4"/>
      <c r="W6753" s="4"/>
      <c r="X6753" s="4"/>
    </row>
    <row r="6754" spans="17:24" x14ac:dyDescent="0.3">
      <c r="Q6754" s="4"/>
      <c r="R6754" s="4"/>
      <c r="S6754" s="4"/>
      <c r="T6754" s="4"/>
      <c r="U6754" s="4"/>
      <c r="V6754" s="4"/>
      <c r="W6754" s="4"/>
      <c r="X6754" s="4"/>
    </row>
    <row r="6755" spans="17:24" x14ac:dyDescent="0.3">
      <c r="Q6755" s="4"/>
      <c r="R6755" s="4"/>
      <c r="S6755" s="4"/>
      <c r="T6755" s="4"/>
      <c r="U6755" s="4"/>
      <c r="V6755" s="4"/>
      <c r="W6755" s="4"/>
      <c r="X6755" s="4"/>
    </row>
    <row r="6756" spans="17:24" x14ac:dyDescent="0.3">
      <c r="Q6756" s="4"/>
      <c r="R6756" s="4"/>
      <c r="S6756" s="4"/>
      <c r="T6756" s="4"/>
      <c r="U6756" s="4"/>
      <c r="V6756" s="4"/>
      <c r="W6756" s="4"/>
      <c r="X6756" s="4"/>
    </row>
    <row r="6757" spans="17:24" x14ac:dyDescent="0.3">
      <c r="Q6757" s="4"/>
      <c r="R6757" s="4"/>
      <c r="S6757" s="4"/>
      <c r="T6757" s="4"/>
      <c r="U6757" s="4"/>
      <c r="V6757" s="4"/>
      <c r="W6757" s="4"/>
      <c r="X6757" s="4"/>
    </row>
    <row r="6758" spans="17:24" x14ac:dyDescent="0.3">
      <c r="Q6758" s="4"/>
      <c r="R6758" s="4"/>
      <c r="S6758" s="4"/>
      <c r="T6758" s="4"/>
      <c r="U6758" s="4"/>
      <c r="V6758" s="4"/>
      <c r="W6758" s="4"/>
      <c r="X6758" s="4"/>
    </row>
    <row r="6759" spans="17:24" x14ac:dyDescent="0.3">
      <c r="Q6759" s="4"/>
      <c r="R6759" s="4"/>
      <c r="S6759" s="4"/>
      <c r="T6759" s="4"/>
      <c r="U6759" s="4"/>
      <c r="V6759" s="4"/>
      <c r="W6759" s="4"/>
      <c r="X6759" s="4"/>
    </row>
    <row r="6760" spans="17:24" x14ac:dyDescent="0.3">
      <c r="Q6760" s="4"/>
      <c r="R6760" s="4"/>
      <c r="S6760" s="4"/>
      <c r="T6760" s="4"/>
      <c r="U6760" s="4"/>
      <c r="V6760" s="4"/>
      <c r="W6760" s="4"/>
      <c r="X6760" s="4"/>
    </row>
    <row r="6761" spans="17:24" x14ac:dyDescent="0.3">
      <c r="Q6761" s="4"/>
      <c r="R6761" s="4"/>
      <c r="S6761" s="4"/>
      <c r="T6761" s="4"/>
      <c r="U6761" s="4"/>
      <c r="V6761" s="4"/>
      <c r="W6761" s="4"/>
      <c r="X6761" s="4"/>
    </row>
    <row r="6762" spans="17:24" x14ac:dyDescent="0.3">
      <c r="Q6762" s="4"/>
      <c r="R6762" s="4"/>
      <c r="S6762" s="4"/>
      <c r="T6762" s="4"/>
      <c r="U6762" s="4"/>
      <c r="V6762" s="4"/>
      <c r="W6762" s="4"/>
      <c r="X6762" s="4"/>
    </row>
    <row r="6763" spans="17:24" x14ac:dyDescent="0.3">
      <c r="Q6763" s="4"/>
      <c r="R6763" s="4"/>
      <c r="S6763" s="4"/>
      <c r="T6763" s="4"/>
      <c r="U6763" s="4"/>
      <c r="V6763" s="4"/>
      <c r="W6763" s="4"/>
      <c r="X6763" s="4"/>
    </row>
    <row r="6764" spans="17:24" x14ac:dyDescent="0.3">
      <c r="Q6764" s="4"/>
      <c r="R6764" s="4"/>
      <c r="S6764" s="4"/>
      <c r="T6764" s="4"/>
      <c r="U6764" s="4"/>
      <c r="V6764" s="4"/>
      <c r="W6764" s="4"/>
      <c r="X6764" s="4"/>
    </row>
    <row r="6765" spans="17:24" x14ac:dyDescent="0.3">
      <c r="Q6765" s="4"/>
      <c r="R6765" s="4"/>
      <c r="S6765" s="4"/>
      <c r="T6765" s="4"/>
      <c r="U6765" s="4"/>
      <c r="V6765" s="4"/>
      <c r="W6765" s="4"/>
      <c r="X6765" s="4"/>
    </row>
    <row r="6766" spans="17:24" x14ac:dyDescent="0.3">
      <c r="Q6766" s="4"/>
      <c r="R6766" s="4"/>
      <c r="S6766" s="4"/>
      <c r="T6766" s="4"/>
      <c r="U6766" s="4"/>
      <c r="V6766" s="4"/>
      <c r="W6766" s="4"/>
      <c r="X6766" s="4"/>
    </row>
    <row r="6767" spans="17:24" x14ac:dyDescent="0.3">
      <c r="Q6767" s="4"/>
      <c r="R6767" s="4"/>
      <c r="S6767" s="4"/>
      <c r="T6767" s="4"/>
      <c r="U6767" s="4"/>
      <c r="V6767" s="4"/>
      <c r="W6767" s="4"/>
      <c r="X6767" s="4"/>
    </row>
    <row r="6768" spans="17:24" x14ac:dyDescent="0.3">
      <c r="Q6768" s="4"/>
      <c r="R6768" s="4"/>
      <c r="S6768" s="4"/>
      <c r="T6768" s="4"/>
      <c r="U6768" s="4"/>
      <c r="V6768" s="4"/>
      <c r="W6768" s="4"/>
      <c r="X6768" s="4"/>
    </row>
    <row r="6769" spans="17:24" x14ac:dyDescent="0.3">
      <c r="Q6769" s="4"/>
      <c r="R6769" s="4"/>
      <c r="S6769" s="4"/>
      <c r="T6769" s="4"/>
      <c r="U6769" s="4"/>
      <c r="V6769" s="4"/>
      <c r="W6769" s="4"/>
      <c r="X6769" s="4"/>
    </row>
    <row r="6770" spans="17:24" x14ac:dyDescent="0.3">
      <c r="Q6770" s="4"/>
      <c r="R6770" s="4"/>
      <c r="S6770" s="4"/>
      <c r="T6770" s="4"/>
      <c r="U6770" s="4"/>
      <c r="V6770" s="4"/>
      <c r="W6770" s="4"/>
      <c r="X6770" s="4"/>
    </row>
    <row r="6771" spans="17:24" x14ac:dyDescent="0.3">
      <c r="Q6771" s="4"/>
      <c r="R6771" s="4"/>
      <c r="S6771" s="4"/>
      <c r="T6771" s="4"/>
      <c r="U6771" s="4"/>
      <c r="V6771" s="4"/>
      <c r="W6771" s="4"/>
      <c r="X6771" s="4"/>
    </row>
    <row r="6772" spans="17:24" x14ac:dyDescent="0.3">
      <c r="Q6772" s="4"/>
      <c r="R6772" s="4"/>
      <c r="S6772" s="4"/>
      <c r="T6772" s="4"/>
      <c r="U6772" s="4"/>
      <c r="V6772" s="4"/>
      <c r="W6772" s="4"/>
      <c r="X6772" s="4"/>
    </row>
    <row r="6773" spans="17:24" x14ac:dyDescent="0.3">
      <c r="Q6773" s="4"/>
      <c r="R6773" s="4"/>
      <c r="S6773" s="4"/>
      <c r="T6773" s="4"/>
      <c r="U6773" s="4"/>
      <c r="V6773" s="4"/>
      <c r="W6773" s="4"/>
      <c r="X6773" s="4"/>
    </row>
    <row r="6774" spans="17:24" x14ac:dyDescent="0.3">
      <c r="Q6774" s="4"/>
      <c r="R6774" s="4"/>
      <c r="S6774" s="4"/>
      <c r="T6774" s="4"/>
      <c r="U6774" s="4"/>
      <c r="V6774" s="4"/>
      <c r="W6774" s="4"/>
      <c r="X6774" s="4"/>
    </row>
    <row r="6775" spans="17:24" x14ac:dyDescent="0.3">
      <c r="Q6775" s="4"/>
      <c r="R6775" s="4"/>
      <c r="S6775" s="4"/>
      <c r="T6775" s="4"/>
      <c r="U6775" s="4"/>
      <c r="V6775" s="4"/>
      <c r="W6775" s="4"/>
      <c r="X6775" s="4"/>
    </row>
    <row r="6776" spans="17:24" x14ac:dyDescent="0.3">
      <c r="Q6776" s="4"/>
      <c r="R6776" s="4"/>
      <c r="S6776" s="4"/>
      <c r="T6776" s="4"/>
      <c r="U6776" s="4"/>
      <c r="V6776" s="4"/>
      <c r="W6776" s="4"/>
      <c r="X6776" s="4"/>
    </row>
    <row r="6777" spans="17:24" x14ac:dyDescent="0.3">
      <c r="Q6777" s="4"/>
      <c r="R6777" s="4"/>
      <c r="S6777" s="4"/>
      <c r="T6777" s="4"/>
      <c r="U6777" s="4"/>
      <c r="V6777" s="4"/>
      <c r="W6777" s="4"/>
      <c r="X6777" s="4"/>
    </row>
    <row r="6778" spans="17:24" x14ac:dyDescent="0.3">
      <c r="Q6778" s="4"/>
      <c r="R6778" s="4"/>
      <c r="S6778" s="4"/>
      <c r="T6778" s="4"/>
      <c r="U6778" s="4"/>
      <c r="V6778" s="4"/>
      <c r="W6778" s="4"/>
      <c r="X6778" s="4"/>
    </row>
    <row r="6779" spans="17:24" x14ac:dyDescent="0.3">
      <c r="Q6779" s="4"/>
      <c r="R6779" s="4"/>
      <c r="S6779" s="4"/>
      <c r="T6779" s="4"/>
      <c r="U6779" s="4"/>
      <c r="V6779" s="4"/>
      <c r="W6779" s="4"/>
      <c r="X6779" s="4"/>
    </row>
    <row r="6780" spans="17:24" x14ac:dyDescent="0.3">
      <c r="Q6780" s="4"/>
      <c r="R6780" s="4"/>
      <c r="S6780" s="4"/>
      <c r="T6780" s="4"/>
      <c r="U6780" s="4"/>
      <c r="V6780" s="4"/>
      <c r="W6780" s="4"/>
      <c r="X6780" s="4"/>
    </row>
    <row r="6781" spans="17:24" x14ac:dyDescent="0.3">
      <c r="Q6781" s="4"/>
      <c r="R6781" s="4"/>
      <c r="S6781" s="4"/>
      <c r="T6781" s="4"/>
      <c r="U6781" s="4"/>
      <c r="V6781" s="4"/>
      <c r="W6781" s="4"/>
      <c r="X6781" s="4"/>
    </row>
    <row r="6782" spans="17:24" x14ac:dyDescent="0.3">
      <c r="Q6782" s="4"/>
      <c r="R6782" s="4"/>
      <c r="S6782" s="4"/>
      <c r="T6782" s="4"/>
      <c r="U6782" s="4"/>
      <c r="V6782" s="4"/>
      <c r="W6782" s="4"/>
      <c r="X6782" s="4"/>
    </row>
    <row r="6783" spans="17:24" x14ac:dyDescent="0.3">
      <c r="Q6783" s="4"/>
      <c r="R6783" s="4"/>
      <c r="S6783" s="4"/>
      <c r="T6783" s="4"/>
      <c r="U6783" s="4"/>
      <c r="V6783" s="4"/>
      <c r="W6783" s="4"/>
      <c r="X6783" s="4"/>
    </row>
    <row r="6784" spans="17:24" x14ac:dyDescent="0.3">
      <c r="Q6784" s="4"/>
      <c r="R6784" s="4"/>
      <c r="S6784" s="4"/>
      <c r="T6784" s="4"/>
      <c r="U6784" s="4"/>
      <c r="V6784" s="4"/>
      <c r="W6784" s="4"/>
      <c r="X6784" s="4"/>
    </row>
    <row r="6785" spans="17:24" x14ac:dyDescent="0.3">
      <c r="Q6785" s="4"/>
      <c r="R6785" s="4"/>
      <c r="S6785" s="4"/>
      <c r="T6785" s="4"/>
      <c r="U6785" s="4"/>
      <c r="V6785" s="4"/>
      <c r="W6785" s="4"/>
      <c r="X6785" s="4"/>
    </row>
    <row r="6786" spans="17:24" x14ac:dyDescent="0.3">
      <c r="Q6786" s="4"/>
      <c r="R6786" s="4"/>
      <c r="S6786" s="4"/>
      <c r="T6786" s="4"/>
      <c r="U6786" s="4"/>
      <c r="V6786" s="4"/>
      <c r="W6786" s="4"/>
      <c r="X6786" s="4"/>
    </row>
    <row r="6787" spans="17:24" x14ac:dyDescent="0.3">
      <c r="Q6787" s="4"/>
      <c r="R6787" s="4"/>
      <c r="S6787" s="4"/>
      <c r="T6787" s="4"/>
      <c r="U6787" s="4"/>
      <c r="V6787" s="4"/>
      <c r="W6787" s="4"/>
      <c r="X6787" s="4"/>
    </row>
    <row r="6788" spans="17:24" x14ac:dyDescent="0.3">
      <c r="Q6788" s="4"/>
      <c r="R6788" s="4"/>
      <c r="S6788" s="4"/>
      <c r="T6788" s="4"/>
      <c r="U6788" s="4"/>
      <c r="V6788" s="4"/>
      <c r="W6788" s="4"/>
      <c r="X6788" s="4"/>
    </row>
    <row r="6789" spans="17:24" x14ac:dyDescent="0.3">
      <c r="Q6789" s="4"/>
      <c r="R6789" s="4"/>
      <c r="S6789" s="4"/>
      <c r="T6789" s="4"/>
      <c r="U6789" s="4"/>
      <c r="V6789" s="4"/>
      <c r="W6789" s="4"/>
      <c r="X6789" s="4"/>
    </row>
    <row r="6790" spans="17:24" x14ac:dyDescent="0.3">
      <c r="Q6790" s="4"/>
      <c r="R6790" s="4"/>
      <c r="S6790" s="4"/>
      <c r="T6790" s="4"/>
      <c r="U6790" s="4"/>
      <c r="V6790" s="4"/>
      <c r="W6790" s="4"/>
      <c r="X6790" s="4"/>
    </row>
    <row r="6791" spans="17:24" x14ac:dyDescent="0.3">
      <c r="Q6791" s="4"/>
      <c r="R6791" s="4"/>
      <c r="S6791" s="4"/>
      <c r="T6791" s="4"/>
      <c r="U6791" s="4"/>
      <c r="V6791" s="4"/>
      <c r="W6791" s="4"/>
      <c r="X6791" s="4"/>
    </row>
    <row r="6792" spans="17:24" x14ac:dyDescent="0.3">
      <c r="Q6792" s="4"/>
      <c r="R6792" s="4"/>
      <c r="S6792" s="4"/>
      <c r="T6792" s="4"/>
      <c r="U6792" s="4"/>
      <c r="V6792" s="4"/>
      <c r="W6792" s="4"/>
      <c r="X6792" s="4"/>
    </row>
    <row r="6793" spans="17:24" x14ac:dyDescent="0.3">
      <c r="Q6793" s="4"/>
      <c r="R6793" s="4"/>
      <c r="S6793" s="4"/>
      <c r="T6793" s="4"/>
      <c r="U6793" s="4"/>
      <c r="V6793" s="4"/>
      <c r="W6793" s="4"/>
      <c r="X6793" s="4"/>
    </row>
    <row r="6794" spans="17:24" x14ac:dyDescent="0.3">
      <c r="Q6794" s="4"/>
      <c r="R6794" s="4"/>
      <c r="S6794" s="4"/>
      <c r="T6794" s="4"/>
      <c r="U6794" s="4"/>
      <c r="V6794" s="4"/>
      <c r="W6794" s="4"/>
      <c r="X6794" s="4"/>
    </row>
    <row r="6795" spans="17:24" x14ac:dyDescent="0.3">
      <c r="Q6795" s="4"/>
      <c r="R6795" s="4"/>
      <c r="S6795" s="4"/>
      <c r="T6795" s="4"/>
      <c r="U6795" s="4"/>
      <c r="V6795" s="4"/>
      <c r="W6795" s="4"/>
      <c r="X6795" s="4"/>
    </row>
    <row r="6796" spans="17:24" x14ac:dyDescent="0.3">
      <c r="Q6796" s="4"/>
      <c r="R6796" s="4"/>
      <c r="S6796" s="4"/>
      <c r="T6796" s="4"/>
      <c r="U6796" s="4"/>
      <c r="V6796" s="4"/>
      <c r="W6796" s="4"/>
      <c r="X6796" s="4"/>
    </row>
    <row r="6797" spans="17:24" x14ac:dyDescent="0.3">
      <c r="Q6797" s="4"/>
      <c r="R6797" s="4"/>
      <c r="S6797" s="4"/>
      <c r="T6797" s="4"/>
      <c r="U6797" s="4"/>
      <c r="V6797" s="4"/>
      <c r="W6797" s="4"/>
      <c r="X6797" s="4"/>
    </row>
    <row r="6798" spans="17:24" x14ac:dyDescent="0.3">
      <c r="Q6798" s="4"/>
      <c r="R6798" s="4"/>
      <c r="S6798" s="4"/>
      <c r="T6798" s="4"/>
      <c r="U6798" s="4"/>
      <c r="V6798" s="4"/>
      <c r="W6798" s="4"/>
      <c r="X6798" s="4"/>
    </row>
    <row r="6799" spans="17:24" x14ac:dyDescent="0.3">
      <c r="Q6799" s="4"/>
      <c r="R6799" s="4"/>
      <c r="S6799" s="4"/>
      <c r="T6799" s="4"/>
      <c r="U6799" s="4"/>
      <c r="V6799" s="4"/>
      <c r="W6799" s="4"/>
      <c r="X6799" s="4"/>
    </row>
    <row r="6800" spans="17:24" x14ac:dyDescent="0.3">
      <c r="Q6800" s="4"/>
      <c r="R6800" s="4"/>
      <c r="S6800" s="4"/>
      <c r="T6800" s="4"/>
      <c r="U6800" s="4"/>
      <c r="V6800" s="4"/>
      <c r="W6800" s="4"/>
      <c r="X6800" s="4"/>
    </row>
    <row r="6801" spans="17:24" x14ac:dyDescent="0.3">
      <c r="Q6801" s="4"/>
      <c r="R6801" s="4"/>
      <c r="S6801" s="4"/>
      <c r="T6801" s="4"/>
      <c r="U6801" s="4"/>
      <c r="V6801" s="4"/>
      <c r="W6801" s="4"/>
      <c r="X6801" s="4"/>
    </row>
    <row r="6802" spans="17:24" x14ac:dyDescent="0.3">
      <c r="Q6802" s="4"/>
      <c r="R6802" s="4"/>
      <c r="S6802" s="4"/>
      <c r="T6802" s="4"/>
      <c r="U6802" s="4"/>
      <c r="V6802" s="4"/>
      <c r="W6802" s="4"/>
      <c r="X6802" s="4"/>
    </row>
    <row r="6803" spans="17:24" x14ac:dyDescent="0.3">
      <c r="Q6803" s="4"/>
      <c r="R6803" s="4"/>
      <c r="S6803" s="4"/>
      <c r="T6803" s="4"/>
      <c r="U6803" s="4"/>
      <c r="V6803" s="4"/>
      <c r="W6803" s="4"/>
      <c r="X6803" s="4"/>
    </row>
    <row r="6804" spans="17:24" x14ac:dyDescent="0.3">
      <c r="Q6804" s="4"/>
      <c r="R6804" s="4"/>
      <c r="S6804" s="4"/>
      <c r="T6804" s="4"/>
      <c r="U6804" s="4"/>
      <c r="V6804" s="4"/>
      <c r="W6804" s="4"/>
      <c r="X6804" s="4"/>
    </row>
    <row r="6805" spans="17:24" x14ac:dyDescent="0.3">
      <c r="Q6805" s="4"/>
      <c r="R6805" s="4"/>
      <c r="S6805" s="4"/>
      <c r="T6805" s="4"/>
      <c r="U6805" s="4"/>
      <c r="V6805" s="4"/>
      <c r="W6805" s="4"/>
      <c r="X6805" s="4"/>
    </row>
    <row r="6806" spans="17:24" x14ac:dyDescent="0.3">
      <c r="Q6806" s="4"/>
      <c r="R6806" s="4"/>
      <c r="S6806" s="4"/>
      <c r="T6806" s="4"/>
      <c r="U6806" s="4"/>
      <c r="V6806" s="4"/>
      <c r="W6806" s="4"/>
      <c r="X6806" s="4"/>
    </row>
    <row r="6807" spans="17:24" x14ac:dyDescent="0.3">
      <c r="Q6807" s="4"/>
      <c r="R6807" s="4"/>
      <c r="S6807" s="4"/>
      <c r="T6807" s="4"/>
      <c r="U6807" s="4"/>
      <c r="V6807" s="4"/>
      <c r="W6807" s="4"/>
      <c r="X6807" s="4"/>
    </row>
    <row r="6808" spans="17:24" x14ac:dyDescent="0.3">
      <c r="Q6808" s="4"/>
      <c r="R6808" s="4"/>
      <c r="S6808" s="4"/>
      <c r="T6808" s="4"/>
      <c r="U6808" s="4"/>
      <c r="V6808" s="4"/>
      <c r="W6808" s="4"/>
      <c r="X6808" s="4"/>
    </row>
    <row r="6809" spans="17:24" x14ac:dyDescent="0.3">
      <c r="Q6809" s="4"/>
      <c r="R6809" s="4"/>
      <c r="S6809" s="4"/>
      <c r="T6809" s="4"/>
      <c r="U6809" s="4"/>
      <c r="V6809" s="4"/>
      <c r="W6809" s="4"/>
      <c r="X6809" s="4"/>
    </row>
    <row r="6810" spans="17:24" x14ac:dyDescent="0.3">
      <c r="Q6810" s="4"/>
      <c r="R6810" s="4"/>
      <c r="S6810" s="4"/>
      <c r="T6810" s="4"/>
      <c r="U6810" s="4"/>
      <c r="V6810" s="4"/>
      <c r="W6810" s="4"/>
      <c r="X6810" s="4"/>
    </row>
    <row r="6811" spans="17:24" x14ac:dyDescent="0.3">
      <c r="Q6811" s="4"/>
      <c r="R6811" s="4"/>
      <c r="S6811" s="4"/>
      <c r="T6811" s="4"/>
      <c r="U6811" s="4"/>
      <c r="V6811" s="4"/>
      <c r="W6811" s="4"/>
      <c r="X6811" s="4"/>
    </row>
    <row r="6812" spans="17:24" x14ac:dyDescent="0.3">
      <c r="Q6812" s="4"/>
      <c r="R6812" s="4"/>
      <c r="S6812" s="4"/>
      <c r="T6812" s="4"/>
      <c r="U6812" s="4"/>
      <c r="V6812" s="4"/>
      <c r="W6812" s="4"/>
      <c r="X6812" s="4"/>
    </row>
    <row r="6813" spans="17:24" x14ac:dyDescent="0.3">
      <c r="Q6813" s="4"/>
      <c r="R6813" s="4"/>
      <c r="S6813" s="4"/>
      <c r="T6813" s="4"/>
      <c r="U6813" s="4"/>
      <c r="V6813" s="4"/>
      <c r="W6813" s="4"/>
      <c r="X6813" s="4"/>
    </row>
    <row r="6814" spans="17:24" x14ac:dyDescent="0.3">
      <c r="Q6814" s="4"/>
      <c r="R6814" s="4"/>
      <c r="S6814" s="4"/>
      <c r="T6814" s="4"/>
      <c r="U6814" s="4"/>
      <c r="V6814" s="4"/>
      <c r="W6814" s="4"/>
      <c r="X6814" s="4"/>
    </row>
    <row r="6815" spans="17:24" x14ac:dyDescent="0.3">
      <c r="Q6815" s="4"/>
      <c r="R6815" s="4"/>
      <c r="S6815" s="4"/>
      <c r="T6815" s="4"/>
      <c r="U6815" s="4"/>
      <c r="V6815" s="4"/>
      <c r="W6815" s="4"/>
      <c r="X6815" s="4"/>
    </row>
    <row r="6816" spans="17:24" x14ac:dyDescent="0.3">
      <c r="Q6816" s="4"/>
      <c r="R6816" s="4"/>
      <c r="S6816" s="4"/>
      <c r="T6816" s="4"/>
      <c r="U6816" s="4"/>
      <c r="V6816" s="4"/>
      <c r="W6816" s="4"/>
      <c r="X6816" s="4"/>
    </row>
    <row r="6817" spans="17:24" x14ac:dyDescent="0.3">
      <c r="Q6817" s="4"/>
      <c r="R6817" s="4"/>
      <c r="S6817" s="4"/>
      <c r="T6817" s="4"/>
      <c r="U6817" s="4"/>
      <c r="V6817" s="4"/>
      <c r="W6817" s="4"/>
      <c r="X6817" s="4"/>
    </row>
    <row r="6818" spans="17:24" x14ac:dyDescent="0.3">
      <c r="Q6818" s="4"/>
      <c r="R6818" s="4"/>
      <c r="S6818" s="4"/>
      <c r="T6818" s="4"/>
      <c r="U6818" s="4"/>
      <c r="V6818" s="4"/>
      <c r="W6818" s="4"/>
      <c r="X6818" s="4"/>
    </row>
    <row r="6819" spans="17:24" x14ac:dyDescent="0.3">
      <c r="Q6819" s="4"/>
      <c r="R6819" s="4"/>
      <c r="S6819" s="4"/>
      <c r="T6819" s="4"/>
      <c r="U6819" s="4"/>
      <c r="V6819" s="4"/>
      <c r="W6819" s="4"/>
      <c r="X6819" s="4"/>
    </row>
    <row r="6820" spans="17:24" x14ac:dyDescent="0.3">
      <c r="Q6820" s="4"/>
      <c r="R6820" s="4"/>
      <c r="S6820" s="4"/>
      <c r="T6820" s="4"/>
      <c r="U6820" s="4"/>
      <c r="V6820" s="4"/>
      <c r="W6820" s="4"/>
      <c r="X6820" s="4"/>
    </row>
    <row r="6821" spans="17:24" x14ac:dyDescent="0.3">
      <c r="Q6821" s="4"/>
      <c r="R6821" s="4"/>
      <c r="S6821" s="4"/>
      <c r="T6821" s="4"/>
      <c r="U6821" s="4"/>
      <c r="V6821" s="4"/>
      <c r="W6821" s="4"/>
      <c r="X6821" s="4"/>
    </row>
    <row r="6822" spans="17:24" x14ac:dyDescent="0.3">
      <c r="Q6822" s="4"/>
      <c r="R6822" s="4"/>
      <c r="S6822" s="4"/>
      <c r="T6822" s="4"/>
      <c r="U6822" s="4"/>
      <c r="V6822" s="4"/>
      <c r="W6822" s="4"/>
      <c r="X6822" s="4"/>
    </row>
    <row r="6823" spans="17:24" x14ac:dyDescent="0.3">
      <c r="Q6823" s="4"/>
      <c r="R6823" s="4"/>
      <c r="S6823" s="4"/>
      <c r="T6823" s="4"/>
      <c r="U6823" s="4"/>
      <c r="V6823" s="4"/>
      <c r="W6823" s="4"/>
      <c r="X6823" s="4"/>
    </row>
    <row r="6824" spans="17:24" x14ac:dyDescent="0.3">
      <c r="Q6824" s="4"/>
      <c r="R6824" s="4"/>
      <c r="S6824" s="4"/>
      <c r="T6824" s="4"/>
      <c r="U6824" s="4"/>
      <c r="V6824" s="4"/>
      <c r="W6824" s="4"/>
      <c r="X6824" s="4"/>
    </row>
    <row r="6825" spans="17:24" x14ac:dyDescent="0.3">
      <c r="Q6825" s="4"/>
      <c r="R6825" s="4"/>
      <c r="S6825" s="4"/>
      <c r="T6825" s="4"/>
      <c r="U6825" s="4"/>
      <c r="V6825" s="4"/>
      <c r="W6825" s="4"/>
      <c r="X6825" s="4"/>
    </row>
    <row r="6826" spans="17:24" x14ac:dyDescent="0.3">
      <c r="Q6826" s="4"/>
      <c r="R6826" s="4"/>
      <c r="S6826" s="4"/>
      <c r="T6826" s="4"/>
      <c r="U6826" s="4"/>
      <c r="V6826" s="4"/>
      <c r="W6826" s="4"/>
      <c r="X6826" s="4"/>
    </row>
    <row r="6827" spans="17:24" x14ac:dyDescent="0.3">
      <c r="Q6827" s="4"/>
      <c r="R6827" s="4"/>
      <c r="S6827" s="4"/>
      <c r="T6827" s="4"/>
      <c r="U6827" s="4"/>
      <c r="V6827" s="4"/>
      <c r="W6827" s="4"/>
      <c r="X6827" s="4"/>
    </row>
    <row r="6828" spans="17:24" x14ac:dyDescent="0.3">
      <c r="Q6828" s="4"/>
      <c r="R6828" s="4"/>
      <c r="S6828" s="4"/>
      <c r="T6828" s="4"/>
      <c r="U6828" s="4"/>
      <c r="V6828" s="4"/>
      <c r="W6828" s="4"/>
      <c r="X6828" s="4"/>
    </row>
    <row r="6829" spans="17:24" x14ac:dyDescent="0.3">
      <c r="Q6829" s="4"/>
      <c r="R6829" s="4"/>
      <c r="S6829" s="4"/>
      <c r="T6829" s="4"/>
      <c r="U6829" s="4"/>
      <c r="V6829" s="4"/>
      <c r="W6829" s="4"/>
      <c r="X6829" s="4"/>
    </row>
    <row r="6830" spans="17:24" x14ac:dyDescent="0.3">
      <c r="Q6830" s="4"/>
      <c r="R6830" s="4"/>
      <c r="S6830" s="4"/>
      <c r="T6830" s="4"/>
      <c r="U6830" s="4"/>
      <c r="V6830" s="4"/>
      <c r="W6830" s="4"/>
      <c r="X6830" s="4"/>
    </row>
    <row r="6831" spans="17:24" x14ac:dyDescent="0.3">
      <c r="Q6831" s="4"/>
      <c r="R6831" s="4"/>
      <c r="S6831" s="4"/>
      <c r="T6831" s="4"/>
      <c r="U6831" s="4"/>
      <c r="V6831" s="4"/>
      <c r="W6831" s="4"/>
      <c r="X6831" s="4"/>
    </row>
    <row r="6832" spans="17:24" x14ac:dyDescent="0.3">
      <c r="Q6832" s="4"/>
      <c r="R6832" s="4"/>
      <c r="S6832" s="4"/>
      <c r="T6832" s="4"/>
      <c r="U6832" s="4"/>
      <c r="V6832" s="4"/>
      <c r="W6832" s="4"/>
      <c r="X6832" s="4"/>
    </row>
    <row r="6833" spans="17:24" x14ac:dyDescent="0.3">
      <c r="Q6833" s="4"/>
      <c r="R6833" s="4"/>
      <c r="S6833" s="4"/>
      <c r="T6833" s="4"/>
      <c r="U6833" s="4"/>
      <c r="V6833" s="4"/>
      <c r="W6833" s="4"/>
      <c r="X6833" s="4"/>
    </row>
    <row r="6834" spans="17:24" x14ac:dyDescent="0.3">
      <c r="Q6834" s="4"/>
      <c r="R6834" s="4"/>
      <c r="S6834" s="4"/>
      <c r="T6834" s="4"/>
      <c r="U6834" s="4"/>
      <c r="V6834" s="4"/>
      <c r="W6834" s="4"/>
      <c r="X6834" s="4"/>
    </row>
    <row r="6835" spans="17:24" x14ac:dyDescent="0.3">
      <c r="Q6835" s="4"/>
      <c r="R6835" s="4"/>
      <c r="S6835" s="4"/>
      <c r="T6835" s="4"/>
      <c r="U6835" s="4"/>
      <c r="V6835" s="4"/>
      <c r="W6835" s="4"/>
      <c r="X6835" s="4"/>
    </row>
    <row r="6836" spans="17:24" x14ac:dyDescent="0.3">
      <c r="Q6836" s="4"/>
      <c r="R6836" s="4"/>
      <c r="S6836" s="4"/>
      <c r="T6836" s="4"/>
      <c r="U6836" s="4"/>
      <c r="V6836" s="4"/>
      <c r="W6836" s="4"/>
      <c r="X6836" s="4"/>
    </row>
    <row r="6837" spans="17:24" x14ac:dyDescent="0.3">
      <c r="Q6837" s="4"/>
      <c r="R6837" s="4"/>
      <c r="S6837" s="4"/>
      <c r="T6837" s="4"/>
      <c r="U6837" s="4"/>
      <c r="V6837" s="4"/>
      <c r="W6837" s="4"/>
      <c r="X6837" s="4"/>
    </row>
    <row r="6838" spans="17:24" x14ac:dyDescent="0.3">
      <c r="Q6838" s="4"/>
      <c r="R6838" s="4"/>
      <c r="S6838" s="4"/>
      <c r="T6838" s="4"/>
      <c r="U6838" s="4"/>
      <c r="V6838" s="4"/>
      <c r="W6838" s="4"/>
      <c r="X6838" s="4"/>
    </row>
    <row r="6839" spans="17:24" x14ac:dyDescent="0.3">
      <c r="Q6839" s="4"/>
      <c r="R6839" s="4"/>
      <c r="S6839" s="4"/>
      <c r="T6839" s="4"/>
      <c r="U6839" s="4"/>
      <c r="V6839" s="4"/>
      <c r="W6839" s="4"/>
      <c r="X6839" s="4"/>
    </row>
    <row r="6840" spans="17:24" x14ac:dyDescent="0.3">
      <c r="Q6840" s="4"/>
      <c r="R6840" s="4"/>
      <c r="S6840" s="4"/>
      <c r="T6840" s="4"/>
      <c r="U6840" s="4"/>
      <c r="V6840" s="4"/>
      <c r="W6840" s="4"/>
      <c r="X6840" s="4"/>
    </row>
    <row r="6841" spans="17:24" x14ac:dyDescent="0.3">
      <c r="Q6841" s="4"/>
      <c r="R6841" s="4"/>
      <c r="S6841" s="4"/>
      <c r="T6841" s="4"/>
      <c r="U6841" s="4"/>
      <c r="V6841" s="4"/>
      <c r="W6841" s="4"/>
      <c r="X6841" s="4"/>
    </row>
    <row r="6842" spans="17:24" x14ac:dyDescent="0.3">
      <c r="Q6842" s="4"/>
      <c r="R6842" s="4"/>
      <c r="S6842" s="4"/>
      <c r="T6842" s="4"/>
      <c r="U6842" s="4"/>
      <c r="V6842" s="4"/>
      <c r="W6842" s="4"/>
      <c r="X6842" s="4"/>
    </row>
    <row r="6843" spans="17:24" x14ac:dyDescent="0.3">
      <c r="Q6843" s="4"/>
      <c r="R6843" s="4"/>
      <c r="S6843" s="4"/>
      <c r="T6843" s="4"/>
      <c r="U6843" s="4"/>
      <c r="V6843" s="4"/>
      <c r="W6843" s="4"/>
      <c r="X6843" s="4"/>
    </row>
    <row r="6844" spans="17:24" x14ac:dyDescent="0.3">
      <c r="Q6844" s="4"/>
      <c r="R6844" s="4"/>
      <c r="S6844" s="4"/>
      <c r="T6844" s="4"/>
      <c r="U6844" s="4"/>
      <c r="V6844" s="4"/>
      <c r="W6844" s="4"/>
      <c r="X6844" s="4"/>
    </row>
    <row r="6845" spans="17:24" x14ac:dyDescent="0.3">
      <c r="Q6845" s="4"/>
      <c r="R6845" s="4"/>
      <c r="S6845" s="4"/>
      <c r="T6845" s="4"/>
      <c r="U6845" s="4"/>
      <c r="V6845" s="4"/>
      <c r="W6845" s="4"/>
      <c r="X6845" s="4"/>
    </row>
    <row r="6846" spans="17:24" x14ac:dyDescent="0.3">
      <c r="Q6846" s="4"/>
      <c r="R6846" s="4"/>
      <c r="S6846" s="4"/>
      <c r="T6846" s="4"/>
      <c r="U6846" s="4"/>
      <c r="V6846" s="4"/>
      <c r="W6846" s="4"/>
      <c r="X6846" s="4"/>
    </row>
    <row r="6847" spans="17:24" x14ac:dyDescent="0.3">
      <c r="Q6847" s="4"/>
      <c r="R6847" s="4"/>
      <c r="S6847" s="4"/>
      <c r="T6847" s="4"/>
      <c r="U6847" s="4"/>
      <c r="V6847" s="4"/>
      <c r="W6847" s="4"/>
      <c r="X6847" s="4"/>
    </row>
    <row r="6848" spans="17:24" x14ac:dyDescent="0.3">
      <c r="Q6848" s="4"/>
      <c r="R6848" s="4"/>
      <c r="S6848" s="4"/>
      <c r="T6848" s="4"/>
      <c r="U6848" s="4"/>
      <c r="V6848" s="4"/>
      <c r="W6848" s="4"/>
      <c r="X6848" s="4"/>
    </row>
    <row r="6849" spans="17:24" x14ac:dyDescent="0.3">
      <c r="Q6849" s="4"/>
      <c r="R6849" s="4"/>
      <c r="S6849" s="4"/>
      <c r="T6849" s="4"/>
      <c r="U6849" s="4"/>
      <c r="V6849" s="4"/>
      <c r="W6849" s="4"/>
      <c r="X6849" s="4"/>
    </row>
    <row r="6850" spans="17:24" x14ac:dyDescent="0.3">
      <c r="Q6850" s="4"/>
      <c r="R6850" s="4"/>
      <c r="S6850" s="4"/>
      <c r="T6850" s="4"/>
      <c r="U6850" s="4"/>
      <c r="V6850" s="4"/>
      <c r="W6850" s="4"/>
      <c r="X6850" s="4"/>
    </row>
    <row r="6851" spans="17:24" x14ac:dyDescent="0.3">
      <c r="Q6851" s="4"/>
      <c r="R6851" s="4"/>
      <c r="S6851" s="4"/>
      <c r="T6851" s="4"/>
      <c r="U6851" s="4"/>
      <c r="V6851" s="4"/>
      <c r="W6851" s="4"/>
      <c r="X6851" s="4"/>
    </row>
    <row r="6852" spans="17:24" x14ac:dyDescent="0.3">
      <c r="Q6852" s="4"/>
      <c r="R6852" s="4"/>
      <c r="S6852" s="4"/>
      <c r="T6852" s="4"/>
      <c r="U6852" s="4"/>
      <c r="V6852" s="4"/>
      <c r="W6852" s="4"/>
      <c r="X6852" s="4"/>
    </row>
    <row r="6853" spans="17:24" x14ac:dyDescent="0.3">
      <c r="Q6853" s="4"/>
      <c r="R6853" s="4"/>
      <c r="S6853" s="4"/>
      <c r="T6853" s="4"/>
      <c r="U6853" s="4"/>
      <c r="V6853" s="4"/>
      <c r="W6853" s="4"/>
      <c r="X6853" s="4"/>
    </row>
    <row r="6854" spans="17:24" x14ac:dyDescent="0.3">
      <c r="Q6854" s="4"/>
      <c r="R6854" s="4"/>
      <c r="S6854" s="4"/>
      <c r="T6854" s="4"/>
      <c r="U6854" s="4"/>
      <c r="V6854" s="4"/>
      <c r="W6854" s="4"/>
      <c r="X6854" s="4"/>
    </row>
    <row r="6855" spans="17:24" x14ac:dyDescent="0.3">
      <c r="Q6855" s="4"/>
      <c r="R6855" s="4"/>
      <c r="S6855" s="4"/>
      <c r="T6855" s="4"/>
      <c r="U6855" s="4"/>
      <c r="V6855" s="4"/>
      <c r="W6855" s="4"/>
      <c r="X6855" s="4"/>
    </row>
    <row r="6856" spans="17:24" x14ac:dyDescent="0.3">
      <c r="Q6856" s="4"/>
      <c r="R6856" s="4"/>
      <c r="S6856" s="4"/>
      <c r="T6856" s="4"/>
      <c r="U6856" s="4"/>
      <c r="V6856" s="4"/>
      <c r="W6856" s="4"/>
      <c r="X6856" s="4"/>
    </row>
    <row r="6857" spans="17:24" x14ac:dyDescent="0.3">
      <c r="Q6857" s="4"/>
      <c r="R6857" s="4"/>
      <c r="S6857" s="4"/>
      <c r="T6857" s="4"/>
      <c r="U6857" s="4"/>
      <c r="V6857" s="4"/>
      <c r="W6857" s="4"/>
      <c r="X6857" s="4"/>
    </row>
    <row r="6858" spans="17:24" x14ac:dyDescent="0.3">
      <c r="Q6858" s="4"/>
      <c r="R6858" s="4"/>
      <c r="S6858" s="4"/>
      <c r="T6858" s="4"/>
      <c r="U6858" s="4"/>
      <c r="V6858" s="4"/>
      <c r="W6858" s="4"/>
      <c r="X6858" s="4"/>
    </row>
    <row r="6859" spans="17:24" x14ac:dyDescent="0.3">
      <c r="Q6859" s="4"/>
      <c r="R6859" s="4"/>
      <c r="S6859" s="4"/>
      <c r="T6859" s="4"/>
      <c r="U6859" s="4"/>
      <c r="V6859" s="4"/>
      <c r="W6859" s="4"/>
      <c r="X6859" s="4"/>
    </row>
    <row r="6860" spans="17:24" x14ac:dyDescent="0.3">
      <c r="Q6860" s="4"/>
      <c r="R6860" s="4"/>
      <c r="S6860" s="4"/>
      <c r="T6860" s="4"/>
      <c r="U6860" s="4"/>
      <c r="V6860" s="4"/>
      <c r="W6860" s="4"/>
      <c r="X6860" s="4"/>
    </row>
    <row r="6861" spans="17:24" x14ac:dyDescent="0.3">
      <c r="Q6861" s="4"/>
      <c r="R6861" s="4"/>
      <c r="S6861" s="4"/>
      <c r="T6861" s="4"/>
      <c r="U6861" s="4"/>
      <c r="V6861" s="4"/>
      <c r="W6861" s="4"/>
      <c r="X6861" s="4"/>
    </row>
    <row r="6862" spans="17:24" x14ac:dyDescent="0.3">
      <c r="Q6862" s="4"/>
      <c r="R6862" s="4"/>
      <c r="S6862" s="4"/>
      <c r="T6862" s="4"/>
      <c r="U6862" s="4"/>
      <c r="V6862" s="4"/>
      <c r="W6862" s="4"/>
      <c r="X6862" s="4"/>
    </row>
    <row r="6863" spans="17:24" x14ac:dyDescent="0.3">
      <c r="Q6863" s="4"/>
      <c r="R6863" s="4"/>
      <c r="S6863" s="4"/>
      <c r="T6863" s="4"/>
      <c r="U6863" s="4"/>
      <c r="V6863" s="4"/>
      <c r="W6863" s="4"/>
      <c r="X6863" s="4"/>
    </row>
    <row r="6864" spans="17:24" x14ac:dyDescent="0.3">
      <c r="Q6864" s="4"/>
      <c r="R6864" s="4"/>
      <c r="S6864" s="4"/>
      <c r="T6864" s="4"/>
      <c r="U6864" s="4"/>
      <c r="V6864" s="4"/>
      <c r="W6864" s="4"/>
      <c r="X6864" s="4"/>
    </row>
    <row r="6865" spans="17:24" x14ac:dyDescent="0.3">
      <c r="Q6865" s="4"/>
      <c r="R6865" s="4"/>
      <c r="S6865" s="4"/>
      <c r="T6865" s="4"/>
      <c r="U6865" s="4"/>
      <c r="V6865" s="4"/>
      <c r="W6865" s="4"/>
      <c r="X6865" s="4"/>
    </row>
    <row r="6866" spans="17:24" x14ac:dyDescent="0.3">
      <c r="Q6866" s="4"/>
      <c r="R6866" s="4"/>
      <c r="S6866" s="4"/>
      <c r="T6866" s="4"/>
      <c r="U6866" s="4"/>
      <c r="V6866" s="4"/>
      <c r="W6866" s="4"/>
      <c r="X6866" s="4"/>
    </row>
    <row r="6867" spans="17:24" x14ac:dyDescent="0.3">
      <c r="Q6867" s="4"/>
      <c r="R6867" s="4"/>
      <c r="S6867" s="4"/>
      <c r="T6867" s="4"/>
      <c r="U6867" s="4"/>
      <c r="V6867" s="4"/>
      <c r="W6867" s="4"/>
      <c r="X6867" s="4"/>
    </row>
    <row r="6868" spans="17:24" x14ac:dyDescent="0.3">
      <c r="Q6868" s="4"/>
      <c r="R6868" s="4"/>
      <c r="S6868" s="4"/>
      <c r="T6868" s="4"/>
      <c r="U6868" s="4"/>
      <c r="V6868" s="4"/>
      <c r="W6868" s="4"/>
      <c r="X6868" s="4"/>
    </row>
    <row r="6869" spans="17:24" x14ac:dyDescent="0.3">
      <c r="Q6869" s="4"/>
      <c r="R6869" s="4"/>
      <c r="S6869" s="4"/>
      <c r="T6869" s="4"/>
      <c r="U6869" s="4"/>
      <c r="V6869" s="4"/>
      <c r="W6869" s="4"/>
      <c r="X6869" s="4"/>
    </row>
    <row r="6870" spans="17:24" x14ac:dyDescent="0.3">
      <c r="Q6870" s="4"/>
      <c r="R6870" s="4"/>
      <c r="S6870" s="4"/>
      <c r="T6870" s="4"/>
      <c r="U6870" s="4"/>
      <c r="V6870" s="4"/>
      <c r="W6870" s="4"/>
      <c r="X6870" s="4"/>
    </row>
    <row r="6871" spans="17:24" x14ac:dyDescent="0.3">
      <c r="Q6871" s="4"/>
      <c r="R6871" s="4"/>
      <c r="S6871" s="4"/>
      <c r="T6871" s="4"/>
      <c r="U6871" s="4"/>
      <c r="V6871" s="4"/>
      <c r="W6871" s="4"/>
      <c r="X6871" s="4"/>
    </row>
    <row r="6872" spans="17:24" x14ac:dyDescent="0.3">
      <c r="Q6872" s="4"/>
      <c r="R6872" s="4"/>
      <c r="S6872" s="4"/>
      <c r="T6872" s="4"/>
      <c r="U6872" s="4"/>
      <c r="V6872" s="4"/>
      <c r="W6872" s="4"/>
      <c r="X6872" s="4"/>
    </row>
    <row r="6873" spans="17:24" x14ac:dyDescent="0.3">
      <c r="Q6873" s="4"/>
      <c r="R6873" s="4"/>
      <c r="S6873" s="4"/>
      <c r="T6873" s="4"/>
      <c r="U6873" s="4"/>
      <c r="V6873" s="4"/>
      <c r="W6873" s="4"/>
      <c r="X6873" s="4"/>
    </row>
    <row r="6874" spans="17:24" x14ac:dyDescent="0.3">
      <c r="Q6874" s="4"/>
      <c r="R6874" s="4"/>
      <c r="S6874" s="4"/>
      <c r="T6874" s="4"/>
      <c r="U6874" s="4"/>
      <c r="V6874" s="4"/>
      <c r="W6874" s="4"/>
      <c r="X6874" s="4"/>
    </row>
    <row r="6875" spans="17:24" x14ac:dyDescent="0.3">
      <c r="Q6875" s="4"/>
      <c r="R6875" s="4"/>
      <c r="S6875" s="4"/>
      <c r="T6875" s="4"/>
      <c r="U6875" s="4"/>
      <c r="V6875" s="4"/>
      <c r="W6875" s="4"/>
      <c r="X6875" s="4"/>
    </row>
    <row r="6876" spans="17:24" x14ac:dyDescent="0.3">
      <c r="Q6876" s="4"/>
      <c r="R6876" s="4"/>
      <c r="S6876" s="4"/>
      <c r="T6876" s="4"/>
      <c r="U6876" s="4"/>
      <c r="V6876" s="4"/>
      <c r="W6876" s="4"/>
      <c r="X6876" s="4"/>
    </row>
    <row r="6877" spans="17:24" x14ac:dyDescent="0.3">
      <c r="Q6877" s="4"/>
      <c r="R6877" s="4"/>
      <c r="S6877" s="4"/>
      <c r="T6877" s="4"/>
      <c r="U6877" s="4"/>
      <c r="V6877" s="4"/>
      <c r="W6877" s="4"/>
      <c r="X6877" s="4"/>
    </row>
    <row r="6878" spans="17:24" x14ac:dyDescent="0.3">
      <c r="Q6878" s="4"/>
      <c r="R6878" s="4"/>
      <c r="S6878" s="4"/>
      <c r="T6878" s="4"/>
      <c r="U6878" s="4"/>
      <c r="V6878" s="4"/>
      <c r="W6878" s="4"/>
      <c r="X6878" s="4"/>
    </row>
    <row r="6879" spans="17:24" x14ac:dyDescent="0.3">
      <c r="Q6879" s="4"/>
      <c r="R6879" s="4"/>
      <c r="S6879" s="4"/>
      <c r="T6879" s="4"/>
      <c r="U6879" s="4"/>
      <c r="V6879" s="4"/>
      <c r="W6879" s="4"/>
      <c r="X6879" s="4"/>
    </row>
    <row r="6880" spans="17:24" x14ac:dyDescent="0.3">
      <c r="Q6880" s="4"/>
      <c r="R6880" s="4"/>
      <c r="S6880" s="4"/>
      <c r="T6880" s="4"/>
      <c r="U6880" s="4"/>
      <c r="V6880" s="4"/>
      <c r="W6880" s="4"/>
      <c r="X6880" s="4"/>
    </row>
    <row r="6881" spans="17:24" x14ac:dyDescent="0.3">
      <c r="Q6881" s="4"/>
      <c r="R6881" s="4"/>
      <c r="S6881" s="4"/>
      <c r="T6881" s="4"/>
      <c r="U6881" s="4"/>
      <c r="V6881" s="4"/>
      <c r="W6881" s="4"/>
      <c r="X6881" s="4"/>
    </row>
    <row r="6882" spans="17:24" x14ac:dyDescent="0.3">
      <c r="Q6882" s="4"/>
      <c r="R6882" s="4"/>
      <c r="S6882" s="4"/>
      <c r="T6882" s="4"/>
      <c r="U6882" s="4"/>
      <c r="V6882" s="4"/>
      <c r="W6882" s="4"/>
      <c r="X6882" s="4"/>
    </row>
    <row r="6883" spans="17:24" x14ac:dyDescent="0.3">
      <c r="Q6883" s="4"/>
      <c r="R6883" s="4"/>
      <c r="S6883" s="4"/>
      <c r="T6883" s="4"/>
      <c r="U6883" s="4"/>
      <c r="V6883" s="4"/>
      <c r="W6883" s="4"/>
      <c r="X6883" s="4"/>
    </row>
    <row r="6884" spans="17:24" x14ac:dyDescent="0.3">
      <c r="Q6884" s="4"/>
      <c r="R6884" s="4"/>
      <c r="S6884" s="4"/>
      <c r="T6884" s="4"/>
      <c r="U6884" s="4"/>
      <c r="V6884" s="4"/>
      <c r="W6884" s="4"/>
      <c r="X6884" s="4"/>
    </row>
    <row r="6885" spans="17:24" x14ac:dyDescent="0.3">
      <c r="Q6885" s="4"/>
      <c r="R6885" s="4"/>
      <c r="S6885" s="4"/>
      <c r="T6885" s="4"/>
      <c r="U6885" s="4"/>
      <c r="V6885" s="4"/>
      <c r="W6885" s="4"/>
      <c r="X6885" s="4"/>
    </row>
    <row r="6886" spans="17:24" x14ac:dyDescent="0.3">
      <c r="Q6886" s="4"/>
      <c r="R6886" s="4"/>
      <c r="S6886" s="4"/>
      <c r="T6886" s="4"/>
      <c r="U6886" s="4"/>
      <c r="V6886" s="4"/>
      <c r="W6886" s="4"/>
      <c r="X6886" s="4"/>
    </row>
    <row r="6887" spans="17:24" x14ac:dyDescent="0.3">
      <c r="Q6887" s="4"/>
      <c r="R6887" s="4"/>
      <c r="S6887" s="4"/>
      <c r="T6887" s="4"/>
      <c r="U6887" s="4"/>
      <c r="V6887" s="4"/>
      <c r="W6887" s="4"/>
      <c r="X6887" s="4"/>
    </row>
    <row r="6888" spans="17:24" x14ac:dyDescent="0.3">
      <c r="Q6888" s="4"/>
      <c r="R6888" s="4"/>
      <c r="S6888" s="4"/>
      <c r="T6888" s="4"/>
      <c r="U6888" s="4"/>
      <c r="V6888" s="4"/>
      <c r="W6888" s="4"/>
      <c r="X6888" s="4"/>
    </row>
    <row r="6889" spans="17:24" x14ac:dyDescent="0.3">
      <c r="Q6889" s="4"/>
      <c r="R6889" s="4"/>
      <c r="S6889" s="4"/>
      <c r="T6889" s="4"/>
      <c r="U6889" s="4"/>
      <c r="V6889" s="4"/>
      <c r="W6889" s="4"/>
      <c r="X6889" s="4"/>
    </row>
    <row r="6890" spans="17:24" x14ac:dyDescent="0.3">
      <c r="Q6890" s="4"/>
      <c r="R6890" s="4"/>
      <c r="S6890" s="4"/>
      <c r="T6890" s="4"/>
      <c r="U6890" s="4"/>
      <c r="V6890" s="4"/>
      <c r="W6890" s="4"/>
      <c r="X6890" s="4"/>
    </row>
    <row r="6891" spans="17:24" x14ac:dyDescent="0.3">
      <c r="Q6891" s="4"/>
      <c r="R6891" s="4"/>
      <c r="S6891" s="4"/>
      <c r="T6891" s="4"/>
      <c r="U6891" s="4"/>
      <c r="V6891" s="4"/>
      <c r="W6891" s="4"/>
      <c r="X6891" s="4"/>
    </row>
    <row r="6892" spans="17:24" x14ac:dyDescent="0.3">
      <c r="Q6892" s="4"/>
      <c r="R6892" s="4"/>
      <c r="S6892" s="4"/>
      <c r="T6892" s="4"/>
      <c r="U6892" s="4"/>
      <c r="V6892" s="4"/>
      <c r="W6892" s="4"/>
      <c r="X6892" s="4"/>
    </row>
    <row r="6893" spans="17:24" x14ac:dyDescent="0.3">
      <c r="Q6893" s="4"/>
      <c r="R6893" s="4"/>
      <c r="S6893" s="4"/>
      <c r="T6893" s="4"/>
      <c r="U6893" s="4"/>
      <c r="V6893" s="4"/>
      <c r="W6893" s="4"/>
      <c r="X6893" s="4"/>
    </row>
    <row r="6894" spans="17:24" x14ac:dyDescent="0.3">
      <c r="Q6894" s="4"/>
      <c r="R6894" s="4"/>
      <c r="S6894" s="4"/>
      <c r="T6894" s="4"/>
      <c r="U6894" s="4"/>
      <c r="V6894" s="4"/>
      <c r="W6894" s="4"/>
      <c r="X6894" s="4"/>
    </row>
    <row r="6895" spans="17:24" x14ac:dyDescent="0.3">
      <c r="Q6895" s="4"/>
      <c r="R6895" s="4"/>
      <c r="S6895" s="4"/>
      <c r="T6895" s="4"/>
      <c r="U6895" s="4"/>
      <c r="V6895" s="4"/>
      <c r="W6895" s="4"/>
      <c r="X6895" s="4"/>
    </row>
    <row r="6896" spans="17:24" x14ac:dyDescent="0.3">
      <c r="Q6896" s="4"/>
      <c r="R6896" s="4"/>
      <c r="S6896" s="4"/>
      <c r="T6896" s="4"/>
      <c r="U6896" s="4"/>
      <c r="V6896" s="4"/>
      <c r="W6896" s="4"/>
      <c r="X6896" s="4"/>
    </row>
    <row r="6897" spans="17:24" x14ac:dyDescent="0.3">
      <c r="Q6897" s="4"/>
      <c r="R6897" s="4"/>
      <c r="S6897" s="4"/>
      <c r="T6897" s="4"/>
      <c r="U6897" s="4"/>
      <c r="V6897" s="4"/>
      <c r="W6897" s="4"/>
      <c r="X6897" s="4"/>
    </row>
    <row r="6898" spans="17:24" x14ac:dyDescent="0.3">
      <c r="Q6898" s="4"/>
      <c r="R6898" s="4"/>
      <c r="S6898" s="4"/>
      <c r="T6898" s="4"/>
      <c r="U6898" s="4"/>
      <c r="V6898" s="4"/>
      <c r="W6898" s="4"/>
      <c r="X6898" s="4"/>
    </row>
    <row r="6899" spans="17:24" x14ac:dyDescent="0.3">
      <c r="Q6899" s="4"/>
      <c r="R6899" s="4"/>
      <c r="S6899" s="4"/>
      <c r="T6899" s="4"/>
      <c r="U6899" s="4"/>
      <c r="V6899" s="4"/>
      <c r="W6899" s="4"/>
      <c r="X6899" s="4"/>
    </row>
    <row r="6900" spans="17:24" x14ac:dyDescent="0.3">
      <c r="Q6900" s="4"/>
      <c r="R6900" s="4"/>
      <c r="S6900" s="4"/>
      <c r="T6900" s="4"/>
      <c r="U6900" s="4"/>
      <c r="V6900" s="4"/>
      <c r="W6900" s="4"/>
      <c r="X6900" s="4"/>
    </row>
    <row r="6901" spans="17:24" x14ac:dyDescent="0.3">
      <c r="Q6901" s="4"/>
      <c r="R6901" s="4"/>
      <c r="S6901" s="4"/>
      <c r="T6901" s="4"/>
      <c r="U6901" s="4"/>
      <c r="V6901" s="4"/>
      <c r="W6901" s="4"/>
      <c r="X6901" s="4"/>
    </row>
    <row r="6902" spans="17:24" x14ac:dyDescent="0.3">
      <c r="Q6902" s="4"/>
      <c r="R6902" s="4"/>
      <c r="S6902" s="4"/>
      <c r="T6902" s="4"/>
      <c r="U6902" s="4"/>
      <c r="V6902" s="4"/>
      <c r="W6902" s="4"/>
      <c r="X6902" s="4"/>
    </row>
    <row r="6903" spans="17:24" x14ac:dyDescent="0.3">
      <c r="Q6903" s="4"/>
      <c r="R6903" s="4"/>
      <c r="S6903" s="4"/>
      <c r="T6903" s="4"/>
      <c r="U6903" s="4"/>
      <c r="V6903" s="4"/>
      <c r="W6903" s="4"/>
      <c r="X6903" s="4"/>
    </row>
    <row r="6904" spans="17:24" x14ac:dyDescent="0.3">
      <c r="Q6904" s="4"/>
      <c r="R6904" s="4"/>
      <c r="S6904" s="4"/>
      <c r="T6904" s="4"/>
      <c r="U6904" s="4"/>
      <c r="V6904" s="4"/>
      <c r="W6904" s="4"/>
      <c r="X6904" s="4"/>
    </row>
    <row r="6905" spans="17:24" x14ac:dyDescent="0.3">
      <c r="Q6905" s="4"/>
      <c r="R6905" s="4"/>
      <c r="S6905" s="4"/>
      <c r="T6905" s="4"/>
      <c r="U6905" s="4"/>
      <c r="V6905" s="4"/>
      <c r="W6905" s="4"/>
      <c r="X6905" s="4"/>
    </row>
    <row r="6906" spans="17:24" x14ac:dyDescent="0.3">
      <c r="Q6906" s="4"/>
      <c r="R6906" s="4"/>
      <c r="S6906" s="4"/>
      <c r="T6906" s="4"/>
      <c r="U6906" s="4"/>
      <c r="V6906" s="4"/>
      <c r="W6906" s="4"/>
      <c r="X6906" s="4"/>
    </row>
    <row r="6907" spans="17:24" x14ac:dyDescent="0.3">
      <c r="Q6907" s="4"/>
      <c r="R6907" s="4"/>
      <c r="S6907" s="4"/>
      <c r="T6907" s="4"/>
      <c r="U6907" s="4"/>
      <c r="V6907" s="4"/>
      <c r="W6907" s="4"/>
      <c r="X6907" s="4"/>
    </row>
    <row r="6908" spans="17:24" x14ac:dyDescent="0.3">
      <c r="Q6908" s="4"/>
      <c r="R6908" s="4"/>
      <c r="S6908" s="4"/>
      <c r="T6908" s="4"/>
      <c r="U6908" s="4"/>
      <c r="V6908" s="4"/>
      <c r="W6908" s="4"/>
      <c r="X6908" s="4"/>
    </row>
    <row r="6909" spans="17:24" x14ac:dyDescent="0.3">
      <c r="Q6909" s="4"/>
      <c r="R6909" s="4"/>
      <c r="S6909" s="4"/>
      <c r="T6909" s="4"/>
      <c r="U6909" s="4"/>
      <c r="V6909" s="4"/>
      <c r="W6909" s="4"/>
      <c r="X6909" s="4"/>
    </row>
    <row r="6910" spans="17:24" x14ac:dyDescent="0.3">
      <c r="Q6910" s="4"/>
      <c r="R6910" s="4"/>
      <c r="S6910" s="4"/>
      <c r="T6910" s="4"/>
      <c r="U6910" s="4"/>
      <c r="V6910" s="4"/>
      <c r="W6910" s="4"/>
      <c r="X6910" s="4"/>
    </row>
    <row r="6911" spans="17:24" x14ac:dyDescent="0.3">
      <c r="Q6911" s="4"/>
      <c r="R6911" s="4"/>
      <c r="S6911" s="4"/>
      <c r="T6911" s="4"/>
      <c r="U6911" s="4"/>
      <c r="V6911" s="4"/>
      <c r="W6911" s="4"/>
      <c r="X6911" s="4"/>
    </row>
    <row r="6912" spans="17:24" x14ac:dyDescent="0.3">
      <c r="Q6912" s="4"/>
      <c r="R6912" s="4"/>
      <c r="S6912" s="4"/>
      <c r="T6912" s="4"/>
      <c r="U6912" s="4"/>
      <c r="V6912" s="4"/>
      <c r="W6912" s="4"/>
      <c r="X6912" s="4"/>
    </row>
    <row r="6913" spans="17:24" x14ac:dyDescent="0.3">
      <c r="Q6913" s="4"/>
      <c r="R6913" s="4"/>
      <c r="S6913" s="4"/>
      <c r="T6913" s="4"/>
      <c r="U6913" s="4"/>
      <c r="V6913" s="4"/>
      <c r="W6913" s="4"/>
      <c r="X6913" s="4"/>
    </row>
    <row r="6914" spans="17:24" x14ac:dyDescent="0.3">
      <c r="Q6914" s="4"/>
      <c r="R6914" s="4"/>
      <c r="S6914" s="4"/>
      <c r="T6914" s="4"/>
      <c r="U6914" s="4"/>
      <c r="V6914" s="4"/>
      <c r="W6914" s="4"/>
      <c r="X6914" s="4"/>
    </row>
    <row r="6915" spans="17:24" x14ac:dyDescent="0.3">
      <c r="Q6915" s="4"/>
      <c r="R6915" s="4"/>
      <c r="S6915" s="4"/>
      <c r="T6915" s="4"/>
      <c r="U6915" s="4"/>
      <c r="V6915" s="4"/>
      <c r="W6915" s="4"/>
      <c r="X6915" s="4"/>
    </row>
    <row r="6916" spans="17:24" x14ac:dyDescent="0.3">
      <c r="Q6916" s="4"/>
      <c r="R6916" s="4"/>
      <c r="S6916" s="4"/>
      <c r="T6916" s="4"/>
      <c r="U6916" s="4"/>
      <c r="V6916" s="4"/>
      <c r="W6916" s="4"/>
      <c r="X6916" s="4"/>
    </row>
    <row r="6917" spans="17:24" x14ac:dyDescent="0.3">
      <c r="Q6917" s="4"/>
      <c r="R6917" s="4"/>
      <c r="S6917" s="4"/>
      <c r="T6917" s="4"/>
      <c r="U6917" s="4"/>
      <c r="V6917" s="4"/>
      <c r="W6917" s="4"/>
      <c r="X6917" s="4"/>
    </row>
    <row r="6918" spans="17:24" x14ac:dyDescent="0.3">
      <c r="Q6918" s="4"/>
      <c r="R6918" s="4"/>
      <c r="S6918" s="4"/>
      <c r="T6918" s="4"/>
      <c r="U6918" s="4"/>
      <c r="V6918" s="4"/>
      <c r="W6918" s="4"/>
      <c r="X6918" s="4"/>
    </row>
    <row r="6919" spans="17:24" x14ac:dyDescent="0.3">
      <c r="Q6919" s="4"/>
      <c r="R6919" s="4"/>
      <c r="S6919" s="4"/>
      <c r="T6919" s="4"/>
      <c r="U6919" s="4"/>
      <c r="V6919" s="4"/>
      <c r="W6919" s="4"/>
      <c r="X6919" s="4"/>
    </row>
    <row r="6920" spans="17:24" x14ac:dyDescent="0.3">
      <c r="Q6920" s="4"/>
      <c r="R6920" s="4"/>
      <c r="S6920" s="4"/>
      <c r="T6920" s="4"/>
      <c r="U6920" s="4"/>
      <c r="V6920" s="4"/>
      <c r="W6920" s="4"/>
      <c r="X6920" s="4"/>
    </row>
    <row r="6921" spans="17:24" x14ac:dyDescent="0.3">
      <c r="Q6921" s="4"/>
      <c r="R6921" s="4"/>
      <c r="S6921" s="4"/>
      <c r="T6921" s="4"/>
      <c r="U6921" s="4"/>
      <c r="V6921" s="4"/>
      <c r="W6921" s="4"/>
      <c r="X6921" s="4"/>
    </row>
    <row r="6922" spans="17:24" x14ac:dyDescent="0.3">
      <c r="Q6922" s="4"/>
      <c r="R6922" s="4"/>
      <c r="S6922" s="4"/>
      <c r="T6922" s="4"/>
      <c r="U6922" s="4"/>
      <c r="V6922" s="4"/>
      <c r="W6922" s="4"/>
      <c r="X6922" s="4"/>
    </row>
    <row r="6923" spans="17:24" x14ac:dyDescent="0.3">
      <c r="Q6923" s="4"/>
      <c r="R6923" s="4"/>
      <c r="S6923" s="4"/>
      <c r="T6923" s="4"/>
      <c r="U6923" s="4"/>
      <c r="V6923" s="4"/>
      <c r="W6923" s="4"/>
      <c r="X6923" s="4"/>
    </row>
    <row r="6924" spans="17:24" x14ac:dyDescent="0.3">
      <c r="Q6924" s="4"/>
      <c r="R6924" s="4"/>
      <c r="S6924" s="4"/>
      <c r="T6924" s="4"/>
      <c r="U6924" s="4"/>
      <c r="V6924" s="4"/>
      <c r="W6924" s="4"/>
      <c r="X6924" s="4"/>
    </row>
    <row r="6925" spans="17:24" x14ac:dyDescent="0.3">
      <c r="Q6925" s="4"/>
      <c r="R6925" s="4"/>
      <c r="S6925" s="4"/>
      <c r="T6925" s="4"/>
      <c r="U6925" s="4"/>
      <c r="V6925" s="4"/>
      <c r="W6925" s="4"/>
      <c r="X6925" s="4"/>
    </row>
    <row r="6926" spans="17:24" x14ac:dyDescent="0.3">
      <c r="Q6926" s="4"/>
      <c r="R6926" s="4"/>
      <c r="S6926" s="4"/>
      <c r="T6926" s="4"/>
      <c r="U6926" s="4"/>
      <c r="V6926" s="4"/>
      <c r="W6926" s="4"/>
      <c r="X6926" s="4"/>
    </row>
    <row r="6927" spans="17:24" x14ac:dyDescent="0.3">
      <c r="Q6927" s="4"/>
      <c r="R6927" s="4"/>
      <c r="S6927" s="4"/>
      <c r="T6927" s="4"/>
      <c r="U6927" s="4"/>
      <c r="V6927" s="4"/>
      <c r="W6927" s="4"/>
      <c r="X6927" s="4"/>
    </row>
    <row r="6928" spans="17:24" x14ac:dyDescent="0.3">
      <c r="Q6928" s="4"/>
      <c r="R6928" s="4"/>
      <c r="S6928" s="4"/>
      <c r="T6928" s="4"/>
      <c r="U6928" s="4"/>
      <c r="V6928" s="4"/>
      <c r="W6928" s="4"/>
      <c r="X6928" s="4"/>
    </row>
    <row r="6929" spans="17:24" x14ac:dyDescent="0.3">
      <c r="Q6929" s="4"/>
      <c r="R6929" s="4"/>
      <c r="S6929" s="4"/>
      <c r="T6929" s="4"/>
      <c r="U6929" s="4"/>
      <c r="V6929" s="4"/>
      <c r="W6929" s="4"/>
      <c r="X6929" s="4"/>
    </row>
    <row r="6930" spans="17:24" x14ac:dyDescent="0.3">
      <c r="Q6930" s="4"/>
      <c r="R6930" s="4"/>
      <c r="S6930" s="4"/>
      <c r="T6930" s="4"/>
      <c r="U6930" s="4"/>
      <c r="V6930" s="4"/>
      <c r="W6930" s="4"/>
      <c r="X6930" s="4"/>
    </row>
    <row r="6931" spans="17:24" x14ac:dyDescent="0.3">
      <c r="Q6931" s="4"/>
      <c r="R6931" s="4"/>
      <c r="S6931" s="4"/>
      <c r="T6931" s="4"/>
      <c r="U6931" s="4"/>
      <c r="V6931" s="4"/>
      <c r="W6931" s="4"/>
      <c r="X6931" s="4"/>
    </row>
    <row r="6932" spans="17:24" x14ac:dyDescent="0.3">
      <c r="Q6932" s="4"/>
      <c r="R6932" s="4"/>
      <c r="S6932" s="4"/>
      <c r="T6932" s="4"/>
      <c r="U6932" s="4"/>
      <c r="V6932" s="4"/>
      <c r="W6932" s="4"/>
      <c r="X6932" s="4"/>
    </row>
    <row r="6933" spans="17:24" x14ac:dyDescent="0.3">
      <c r="Q6933" s="4"/>
      <c r="R6933" s="4"/>
      <c r="S6933" s="4"/>
      <c r="T6933" s="4"/>
      <c r="U6933" s="4"/>
      <c r="V6933" s="4"/>
      <c r="W6933" s="4"/>
      <c r="X6933" s="4"/>
    </row>
    <row r="6934" spans="17:24" x14ac:dyDescent="0.3">
      <c r="Q6934" s="4"/>
      <c r="R6934" s="4"/>
      <c r="S6934" s="4"/>
      <c r="T6934" s="4"/>
      <c r="U6934" s="4"/>
      <c r="V6934" s="4"/>
      <c r="W6934" s="4"/>
      <c r="X6934" s="4"/>
    </row>
    <row r="6935" spans="17:24" x14ac:dyDescent="0.3">
      <c r="Q6935" s="4"/>
      <c r="R6935" s="4"/>
      <c r="S6935" s="4"/>
      <c r="T6935" s="4"/>
      <c r="U6935" s="4"/>
      <c r="V6935" s="4"/>
      <c r="W6935" s="4"/>
      <c r="X6935" s="4"/>
    </row>
    <row r="6936" spans="17:24" x14ac:dyDescent="0.3">
      <c r="Q6936" s="4"/>
      <c r="R6936" s="4"/>
      <c r="S6936" s="4"/>
      <c r="T6936" s="4"/>
      <c r="U6936" s="4"/>
      <c r="V6936" s="4"/>
      <c r="W6936" s="4"/>
      <c r="X6936" s="4"/>
    </row>
    <row r="6937" spans="17:24" x14ac:dyDescent="0.3">
      <c r="Q6937" s="4"/>
      <c r="R6937" s="4"/>
      <c r="S6937" s="4"/>
      <c r="T6937" s="4"/>
      <c r="U6937" s="4"/>
      <c r="V6937" s="4"/>
      <c r="W6937" s="4"/>
      <c r="X6937" s="4"/>
    </row>
    <row r="6938" spans="17:24" x14ac:dyDescent="0.3">
      <c r="Q6938" s="4"/>
      <c r="R6938" s="4"/>
      <c r="S6938" s="4"/>
      <c r="T6938" s="4"/>
      <c r="U6938" s="4"/>
      <c r="V6938" s="4"/>
      <c r="W6938" s="4"/>
      <c r="X6938" s="4"/>
    </row>
    <row r="6939" spans="17:24" x14ac:dyDescent="0.3">
      <c r="Q6939" s="4"/>
      <c r="R6939" s="4"/>
      <c r="S6939" s="4"/>
      <c r="T6939" s="4"/>
      <c r="U6939" s="4"/>
      <c r="V6939" s="4"/>
      <c r="W6939" s="4"/>
      <c r="X6939" s="4"/>
    </row>
    <row r="6940" spans="17:24" x14ac:dyDescent="0.3">
      <c r="Q6940" s="4"/>
      <c r="R6940" s="4"/>
      <c r="S6940" s="4"/>
      <c r="T6940" s="4"/>
      <c r="U6940" s="4"/>
      <c r="V6940" s="4"/>
      <c r="W6940" s="4"/>
      <c r="X6940" s="4"/>
    </row>
    <row r="6941" spans="17:24" x14ac:dyDescent="0.3">
      <c r="Q6941" s="4"/>
      <c r="R6941" s="4"/>
      <c r="S6941" s="4"/>
      <c r="T6941" s="4"/>
      <c r="U6941" s="4"/>
      <c r="V6941" s="4"/>
      <c r="W6941" s="4"/>
      <c r="X6941" s="4"/>
    </row>
    <row r="6942" spans="17:24" x14ac:dyDescent="0.3">
      <c r="Q6942" s="4"/>
      <c r="R6942" s="4"/>
      <c r="S6942" s="4"/>
      <c r="T6942" s="4"/>
      <c r="U6942" s="4"/>
      <c r="V6942" s="4"/>
      <c r="W6942" s="4"/>
      <c r="X6942" s="4"/>
    </row>
    <row r="6943" spans="17:24" x14ac:dyDescent="0.3">
      <c r="Q6943" s="4"/>
      <c r="R6943" s="4"/>
      <c r="S6943" s="4"/>
      <c r="T6943" s="4"/>
      <c r="U6943" s="4"/>
      <c r="V6943" s="4"/>
      <c r="W6943" s="4"/>
      <c r="X6943" s="4"/>
    </row>
    <row r="6944" spans="17:24" x14ac:dyDescent="0.3">
      <c r="Q6944" s="4"/>
      <c r="R6944" s="4"/>
      <c r="S6944" s="4"/>
      <c r="T6944" s="4"/>
      <c r="U6944" s="4"/>
      <c r="V6944" s="4"/>
      <c r="W6944" s="4"/>
      <c r="X6944" s="4"/>
    </row>
    <row r="6945" spans="17:24" x14ac:dyDescent="0.3">
      <c r="Q6945" s="4"/>
      <c r="R6945" s="4"/>
      <c r="S6945" s="4"/>
      <c r="T6945" s="4"/>
      <c r="U6945" s="4"/>
      <c r="V6945" s="4"/>
      <c r="W6945" s="4"/>
      <c r="X6945" s="4"/>
    </row>
    <row r="6946" spans="17:24" x14ac:dyDescent="0.3">
      <c r="Q6946" s="4"/>
      <c r="R6946" s="4"/>
      <c r="S6946" s="4"/>
      <c r="T6946" s="4"/>
      <c r="U6946" s="4"/>
      <c r="V6946" s="4"/>
      <c r="W6946" s="4"/>
      <c r="X6946" s="4"/>
    </row>
    <row r="6947" spans="17:24" x14ac:dyDescent="0.3">
      <c r="Q6947" s="4"/>
      <c r="R6947" s="4"/>
      <c r="S6947" s="4"/>
      <c r="T6947" s="4"/>
      <c r="U6947" s="4"/>
      <c r="V6947" s="4"/>
      <c r="W6947" s="4"/>
      <c r="X6947" s="4"/>
    </row>
    <row r="6948" spans="17:24" x14ac:dyDescent="0.3">
      <c r="Q6948" s="4"/>
      <c r="R6948" s="4"/>
      <c r="S6948" s="4"/>
      <c r="T6948" s="4"/>
      <c r="U6948" s="4"/>
      <c r="V6948" s="4"/>
      <c r="W6948" s="4"/>
      <c r="X6948" s="4"/>
    </row>
    <row r="6949" spans="17:24" x14ac:dyDescent="0.3">
      <c r="Q6949" s="4"/>
      <c r="R6949" s="4"/>
      <c r="S6949" s="4"/>
      <c r="T6949" s="4"/>
      <c r="U6949" s="4"/>
      <c r="V6949" s="4"/>
      <c r="W6949" s="4"/>
      <c r="X6949" s="4"/>
    </row>
    <row r="6950" spans="17:24" x14ac:dyDescent="0.3">
      <c r="Q6950" s="4"/>
      <c r="R6950" s="4"/>
      <c r="S6950" s="4"/>
      <c r="T6950" s="4"/>
      <c r="U6950" s="4"/>
      <c r="V6950" s="4"/>
      <c r="W6950" s="4"/>
      <c r="X6950" s="4"/>
    </row>
    <row r="6951" spans="17:24" x14ac:dyDescent="0.3">
      <c r="Q6951" s="4"/>
      <c r="R6951" s="4"/>
      <c r="S6951" s="4"/>
      <c r="T6951" s="4"/>
      <c r="U6951" s="4"/>
      <c r="V6951" s="4"/>
      <c r="W6951" s="4"/>
      <c r="X6951" s="4"/>
    </row>
    <row r="6952" spans="17:24" x14ac:dyDescent="0.3">
      <c r="Q6952" s="4"/>
      <c r="R6952" s="4"/>
      <c r="S6952" s="4"/>
      <c r="T6952" s="4"/>
      <c r="U6952" s="4"/>
      <c r="V6952" s="4"/>
      <c r="W6952" s="4"/>
      <c r="X6952" s="4"/>
    </row>
    <row r="6953" spans="17:24" x14ac:dyDescent="0.3">
      <c r="Q6953" s="4"/>
      <c r="R6953" s="4"/>
      <c r="S6953" s="4"/>
      <c r="T6953" s="4"/>
      <c r="U6953" s="4"/>
      <c r="V6953" s="4"/>
      <c r="W6953" s="4"/>
      <c r="X6953" s="4"/>
    </row>
    <row r="6954" spans="17:24" x14ac:dyDescent="0.3">
      <c r="Q6954" s="4"/>
      <c r="R6954" s="4"/>
      <c r="S6954" s="4"/>
      <c r="T6954" s="4"/>
      <c r="U6954" s="4"/>
      <c r="V6954" s="4"/>
      <c r="W6954" s="4"/>
      <c r="X6954" s="4"/>
    </row>
    <row r="6955" spans="17:24" x14ac:dyDescent="0.3">
      <c r="Q6955" s="4"/>
      <c r="R6955" s="4"/>
      <c r="S6955" s="4"/>
      <c r="T6955" s="4"/>
      <c r="U6955" s="4"/>
      <c r="V6955" s="4"/>
      <c r="W6955" s="4"/>
      <c r="X6955" s="4"/>
    </row>
    <row r="6956" spans="17:24" x14ac:dyDescent="0.3">
      <c r="Q6956" s="4"/>
      <c r="R6956" s="4"/>
      <c r="S6956" s="4"/>
      <c r="T6956" s="4"/>
      <c r="U6956" s="4"/>
      <c r="V6956" s="4"/>
      <c r="W6956" s="4"/>
      <c r="X6956" s="4"/>
    </row>
    <row r="6957" spans="17:24" x14ac:dyDescent="0.3">
      <c r="Q6957" s="4"/>
      <c r="R6957" s="4"/>
      <c r="S6957" s="4"/>
      <c r="T6957" s="4"/>
      <c r="U6957" s="4"/>
      <c r="V6957" s="4"/>
      <c r="W6957" s="4"/>
      <c r="X6957" s="4"/>
    </row>
    <row r="6958" spans="17:24" x14ac:dyDescent="0.3">
      <c r="Q6958" s="4"/>
      <c r="R6958" s="4"/>
      <c r="S6958" s="4"/>
      <c r="T6958" s="4"/>
      <c r="U6958" s="4"/>
      <c r="V6958" s="4"/>
      <c r="W6958" s="4"/>
      <c r="X6958" s="4"/>
    </row>
    <row r="6959" spans="17:24" x14ac:dyDescent="0.3">
      <c r="Q6959" s="4"/>
      <c r="R6959" s="4"/>
      <c r="S6959" s="4"/>
      <c r="T6959" s="4"/>
      <c r="U6959" s="4"/>
      <c r="V6959" s="4"/>
      <c r="W6959" s="4"/>
      <c r="X6959" s="4"/>
    </row>
    <row r="6960" spans="17:24" x14ac:dyDescent="0.3">
      <c r="Q6960" s="4"/>
      <c r="R6960" s="4"/>
      <c r="S6960" s="4"/>
      <c r="T6960" s="4"/>
      <c r="U6960" s="4"/>
      <c r="V6960" s="4"/>
      <c r="W6960" s="4"/>
      <c r="X6960" s="4"/>
    </row>
    <row r="6961" spans="17:24" x14ac:dyDescent="0.3">
      <c r="Q6961" s="4"/>
      <c r="R6961" s="4"/>
      <c r="S6961" s="4"/>
      <c r="T6961" s="4"/>
      <c r="U6961" s="4"/>
      <c r="V6961" s="4"/>
      <c r="W6961" s="4"/>
      <c r="X6961" s="4"/>
    </row>
    <row r="6962" spans="17:24" x14ac:dyDescent="0.3">
      <c r="Q6962" s="4"/>
      <c r="R6962" s="4"/>
      <c r="S6962" s="4"/>
      <c r="T6962" s="4"/>
      <c r="U6962" s="4"/>
      <c r="V6962" s="4"/>
      <c r="W6962" s="4"/>
      <c r="X6962" s="4"/>
    </row>
    <row r="6963" spans="17:24" x14ac:dyDescent="0.3">
      <c r="Q6963" s="4"/>
      <c r="R6963" s="4"/>
      <c r="S6963" s="4"/>
      <c r="T6963" s="4"/>
      <c r="U6963" s="4"/>
      <c r="V6963" s="4"/>
      <c r="W6963" s="4"/>
      <c r="X6963" s="4"/>
    </row>
    <row r="6964" spans="17:24" x14ac:dyDescent="0.3">
      <c r="Q6964" s="4"/>
      <c r="R6964" s="4"/>
      <c r="S6964" s="4"/>
      <c r="T6964" s="4"/>
      <c r="U6964" s="4"/>
      <c r="V6964" s="4"/>
      <c r="W6964" s="4"/>
      <c r="X6964" s="4"/>
    </row>
    <row r="6965" spans="17:24" x14ac:dyDescent="0.3">
      <c r="Q6965" s="4"/>
      <c r="R6965" s="4"/>
      <c r="S6965" s="4"/>
      <c r="T6965" s="4"/>
      <c r="U6965" s="4"/>
      <c r="V6965" s="4"/>
      <c r="W6965" s="4"/>
      <c r="X6965" s="4"/>
    </row>
    <row r="6966" spans="17:24" x14ac:dyDescent="0.3">
      <c r="Q6966" s="4"/>
      <c r="R6966" s="4"/>
      <c r="S6966" s="4"/>
      <c r="T6966" s="4"/>
      <c r="U6966" s="4"/>
      <c r="V6966" s="4"/>
      <c r="W6966" s="4"/>
      <c r="X6966" s="4"/>
    </row>
    <row r="6967" spans="17:24" x14ac:dyDescent="0.3">
      <c r="Q6967" s="4"/>
      <c r="R6967" s="4"/>
      <c r="S6967" s="4"/>
      <c r="T6967" s="4"/>
      <c r="U6967" s="4"/>
      <c r="V6967" s="4"/>
      <c r="W6967" s="4"/>
      <c r="X6967" s="4"/>
    </row>
    <row r="6968" spans="17:24" x14ac:dyDescent="0.3">
      <c r="Q6968" s="4"/>
      <c r="R6968" s="4"/>
      <c r="S6968" s="4"/>
      <c r="T6968" s="4"/>
      <c r="U6968" s="4"/>
      <c r="V6968" s="4"/>
      <c r="W6968" s="4"/>
      <c r="X6968" s="4"/>
    </row>
    <row r="6969" spans="17:24" x14ac:dyDescent="0.3">
      <c r="Q6969" s="4"/>
      <c r="R6969" s="4"/>
      <c r="S6969" s="4"/>
      <c r="T6969" s="4"/>
      <c r="U6969" s="4"/>
      <c r="V6969" s="4"/>
      <c r="W6969" s="4"/>
      <c r="X6969" s="4"/>
    </row>
    <row r="6970" spans="17:24" x14ac:dyDescent="0.3">
      <c r="Q6970" s="4"/>
      <c r="R6970" s="4"/>
      <c r="S6970" s="4"/>
      <c r="T6970" s="4"/>
      <c r="U6970" s="4"/>
      <c r="V6970" s="4"/>
      <c r="W6970" s="4"/>
      <c r="X6970" s="4"/>
    </row>
    <row r="6971" spans="17:24" x14ac:dyDescent="0.3">
      <c r="Q6971" s="4"/>
      <c r="R6971" s="4"/>
      <c r="S6971" s="4"/>
      <c r="T6971" s="4"/>
      <c r="U6971" s="4"/>
      <c r="V6971" s="4"/>
      <c r="W6971" s="4"/>
      <c r="X6971" s="4"/>
    </row>
    <row r="6972" spans="17:24" x14ac:dyDescent="0.3">
      <c r="Q6972" s="4"/>
      <c r="R6972" s="4"/>
      <c r="S6972" s="4"/>
      <c r="T6972" s="4"/>
      <c r="U6972" s="4"/>
      <c r="V6972" s="4"/>
      <c r="W6972" s="4"/>
      <c r="X6972" s="4"/>
    </row>
    <row r="6973" spans="17:24" x14ac:dyDescent="0.3">
      <c r="Q6973" s="4"/>
      <c r="R6973" s="4"/>
      <c r="S6973" s="4"/>
      <c r="T6973" s="4"/>
      <c r="U6973" s="4"/>
      <c r="V6973" s="4"/>
      <c r="W6973" s="4"/>
      <c r="X6973" s="4"/>
    </row>
    <row r="6974" spans="17:24" x14ac:dyDescent="0.3">
      <c r="Q6974" s="4"/>
      <c r="R6974" s="4"/>
      <c r="S6974" s="4"/>
      <c r="T6974" s="4"/>
      <c r="U6974" s="4"/>
      <c r="V6974" s="4"/>
      <c r="W6974" s="4"/>
      <c r="X6974" s="4"/>
    </row>
    <row r="6975" spans="17:24" x14ac:dyDescent="0.3">
      <c r="Q6975" s="4"/>
      <c r="R6975" s="4"/>
      <c r="S6975" s="4"/>
      <c r="T6975" s="4"/>
      <c r="U6975" s="4"/>
      <c r="V6975" s="4"/>
      <c r="W6975" s="4"/>
      <c r="X6975" s="4"/>
    </row>
    <row r="6976" spans="17:24" x14ac:dyDescent="0.3">
      <c r="Q6976" s="4"/>
      <c r="R6976" s="4"/>
      <c r="S6976" s="4"/>
      <c r="T6976" s="4"/>
      <c r="U6976" s="4"/>
      <c r="V6976" s="4"/>
      <c r="W6976" s="4"/>
      <c r="X6976" s="4"/>
    </row>
    <row r="6977" spans="17:24" x14ac:dyDescent="0.3">
      <c r="Q6977" s="4"/>
      <c r="R6977" s="4"/>
      <c r="S6977" s="4"/>
      <c r="T6977" s="4"/>
      <c r="U6977" s="4"/>
      <c r="V6977" s="4"/>
      <c r="W6977" s="4"/>
      <c r="X6977" s="4"/>
    </row>
    <row r="6978" spans="17:24" x14ac:dyDescent="0.3">
      <c r="Q6978" s="4"/>
      <c r="R6978" s="4"/>
      <c r="S6978" s="4"/>
      <c r="T6978" s="4"/>
      <c r="U6978" s="4"/>
      <c r="V6978" s="4"/>
      <c r="W6978" s="4"/>
      <c r="X6978" s="4"/>
    </row>
    <row r="6979" spans="17:24" x14ac:dyDescent="0.3">
      <c r="Q6979" s="4"/>
      <c r="R6979" s="4"/>
      <c r="S6979" s="4"/>
      <c r="T6979" s="4"/>
      <c r="U6979" s="4"/>
      <c r="V6979" s="4"/>
      <c r="W6979" s="4"/>
      <c r="X6979" s="4"/>
    </row>
    <row r="6980" spans="17:24" x14ac:dyDescent="0.3">
      <c r="Q6980" s="4"/>
      <c r="R6980" s="4"/>
      <c r="S6980" s="4"/>
      <c r="T6980" s="4"/>
      <c r="U6980" s="4"/>
      <c r="V6980" s="4"/>
      <c r="W6980" s="4"/>
      <c r="X6980" s="4"/>
    </row>
    <row r="6981" spans="17:24" x14ac:dyDescent="0.3">
      <c r="Q6981" s="4"/>
      <c r="R6981" s="4"/>
      <c r="S6981" s="4"/>
      <c r="T6981" s="4"/>
      <c r="U6981" s="4"/>
      <c r="V6981" s="4"/>
      <c r="W6981" s="4"/>
      <c r="X6981" s="4"/>
    </row>
    <row r="6982" spans="17:24" x14ac:dyDescent="0.3">
      <c r="Q6982" s="4"/>
      <c r="R6982" s="4"/>
      <c r="S6982" s="4"/>
      <c r="T6982" s="4"/>
      <c r="U6982" s="4"/>
      <c r="V6982" s="4"/>
      <c r="W6982" s="4"/>
      <c r="X6982" s="4"/>
    </row>
    <row r="6983" spans="17:24" x14ac:dyDescent="0.3">
      <c r="Q6983" s="4"/>
      <c r="R6983" s="4"/>
      <c r="S6983" s="4"/>
      <c r="T6983" s="4"/>
      <c r="U6983" s="4"/>
      <c r="V6983" s="4"/>
      <c r="W6983" s="4"/>
      <c r="X6983" s="4"/>
    </row>
    <row r="6984" spans="17:24" x14ac:dyDescent="0.3">
      <c r="Q6984" s="4"/>
      <c r="R6984" s="4"/>
      <c r="S6984" s="4"/>
      <c r="T6984" s="4"/>
      <c r="U6984" s="4"/>
      <c r="V6984" s="4"/>
      <c r="W6984" s="4"/>
      <c r="X6984" s="4"/>
    </row>
    <row r="6985" spans="17:24" x14ac:dyDescent="0.3">
      <c r="Q6985" s="4"/>
      <c r="R6985" s="4"/>
      <c r="S6985" s="4"/>
      <c r="T6985" s="4"/>
      <c r="U6985" s="4"/>
      <c r="V6985" s="4"/>
      <c r="W6985" s="4"/>
      <c r="X6985" s="4"/>
    </row>
    <row r="6986" spans="17:24" x14ac:dyDescent="0.3">
      <c r="Q6986" s="4"/>
      <c r="R6986" s="4"/>
      <c r="S6986" s="4"/>
      <c r="T6986" s="4"/>
      <c r="U6986" s="4"/>
      <c r="V6986" s="4"/>
      <c r="W6986" s="4"/>
      <c r="X6986" s="4"/>
    </row>
    <row r="6987" spans="17:24" x14ac:dyDescent="0.3">
      <c r="Q6987" s="4"/>
      <c r="R6987" s="4"/>
      <c r="S6987" s="4"/>
      <c r="T6987" s="4"/>
      <c r="U6987" s="4"/>
      <c r="V6987" s="4"/>
      <c r="W6987" s="4"/>
      <c r="X6987" s="4"/>
    </row>
    <row r="6988" spans="17:24" x14ac:dyDescent="0.3">
      <c r="Q6988" s="4"/>
      <c r="R6988" s="4"/>
      <c r="S6988" s="4"/>
      <c r="T6988" s="4"/>
      <c r="U6988" s="4"/>
      <c r="V6988" s="4"/>
      <c r="W6988" s="4"/>
      <c r="X6988" s="4"/>
    </row>
    <row r="6989" spans="17:24" x14ac:dyDescent="0.3">
      <c r="Q6989" s="4"/>
      <c r="R6989" s="4"/>
      <c r="S6989" s="4"/>
      <c r="T6989" s="4"/>
      <c r="U6989" s="4"/>
      <c r="V6989" s="4"/>
      <c r="W6989" s="4"/>
      <c r="X6989" s="4"/>
    </row>
    <row r="6990" spans="17:24" x14ac:dyDescent="0.3">
      <c r="Q6990" s="4"/>
      <c r="R6990" s="4"/>
      <c r="S6990" s="4"/>
      <c r="T6990" s="4"/>
      <c r="U6990" s="4"/>
      <c r="V6990" s="4"/>
      <c r="W6990" s="4"/>
      <c r="X6990" s="4"/>
    </row>
    <row r="6991" spans="17:24" x14ac:dyDescent="0.3">
      <c r="Q6991" s="4"/>
      <c r="R6991" s="4"/>
      <c r="S6991" s="4"/>
      <c r="T6991" s="4"/>
      <c r="U6991" s="4"/>
      <c r="V6991" s="4"/>
      <c r="W6991" s="4"/>
      <c r="X6991" s="4"/>
    </row>
    <row r="6992" spans="17:24" x14ac:dyDescent="0.3">
      <c r="Q6992" s="4"/>
      <c r="R6992" s="4"/>
      <c r="S6992" s="4"/>
      <c r="T6992" s="4"/>
      <c r="U6992" s="4"/>
      <c r="V6992" s="4"/>
      <c r="W6992" s="4"/>
      <c r="X6992" s="4"/>
    </row>
    <row r="6993" spans="17:24" x14ac:dyDescent="0.3">
      <c r="Q6993" s="4"/>
      <c r="R6993" s="4"/>
      <c r="S6993" s="4"/>
      <c r="T6993" s="4"/>
      <c r="U6993" s="4"/>
      <c r="V6993" s="4"/>
      <c r="W6993" s="4"/>
      <c r="X6993" s="4"/>
    </row>
    <row r="6994" spans="17:24" x14ac:dyDescent="0.3">
      <c r="Q6994" s="4"/>
      <c r="R6994" s="4"/>
      <c r="S6994" s="4"/>
      <c r="T6994" s="4"/>
      <c r="U6994" s="4"/>
      <c r="V6994" s="4"/>
      <c r="W6994" s="4"/>
      <c r="X6994" s="4"/>
    </row>
    <row r="6995" spans="17:24" x14ac:dyDescent="0.3">
      <c r="Q6995" s="4"/>
      <c r="R6995" s="4"/>
      <c r="S6995" s="4"/>
      <c r="T6995" s="4"/>
      <c r="U6995" s="4"/>
      <c r="V6995" s="4"/>
      <c r="W6995" s="4"/>
      <c r="X6995" s="4"/>
    </row>
    <row r="6996" spans="17:24" x14ac:dyDescent="0.3">
      <c r="Q6996" s="4"/>
      <c r="R6996" s="4"/>
      <c r="S6996" s="4"/>
      <c r="T6996" s="4"/>
      <c r="U6996" s="4"/>
      <c r="V6996" s="4"/>
      <c r="W6996" s="4"/>
      <c r="X6996" s="4"/>
    </row>
    <row r="6997" spans="17:24" x14ac:dyDescent="0.3">
      <c r="Q6997" s="4"/>
      <c r="R6997" s="4"/>
      <c r="S6997" s="4"/>
      <c r="T6997" s="4"/>
      <c r="U6997" s="4"/>
      <c r="V6997" s="4"/>
      <c r="W6997" s="4"/>
      <c r="X6997" s="4"/>
    </row>
    <row r="6998" spans="17:24" x14ac:dyDescent="0.3">
      <c r="Q6998" s="4"/>
      <c r="R6998" s="4"/>
      <c r="S6998" s="4"/>
      <c r="T6998" s="4"/>
      <c r="U6998" s="4"/>
      <c r="V6998" s="4"/>
      <c r="W6998" s="4"/>
      <c r="X6998" s="4"/>
    </row>
    <row r="6999" spans="17:24" x14ac:dyDescent="0.3">
      <c r="Q6999" s="4"/>
      <c r="R6999" s="4"/>
      <c r="S6999" s="4"/>
      <c r="T6999" s="4"/>
      <c r="U6999" s="4"/>
      <c r="V6999" s="4"/>
      <c r="W6999" s="4"/>
      <c r="X6999" s="4"/>
    </row>
    <row r="7000" spans="17:24" x14ac:dyDescent="0.3">
      <c r="Q7000" s="4"/>
      <c r="R7000" s="4"/>
      <c r="S7000" s="4"/>
      <c r="T7000" s="4"/>
      <c r="U7000" s="4"/>
      <c r="V7000" s="4"/>
      <c r="W7000" s="4"/>
      <c r="X7000" s="4"/>
    </row>
    <row r="7001" spans="17:24" x14ac:dyDescent="0.3">
      <c r="Q7001" s="4"/>
      <c r="R7001" s="4"/>
      <c r="S7001" s="4"/>
      <c r="T7001" s="4"/>
      <c r="U7001" s="4"/>
      <c r="V7001" s="4"/>
      <c r="W7001" s="4"/>
      <c r="X7001" s="4"/>
    </row>
    <row r="7002" spans="17:24" x14ac:dyDescent="0.3">
      <c r="Q7002" s="4"/>
      <c r="R7002" s="4"/>
      <c r="S7002" s="4"/>
      <c r="T7002" s="4"/>
      <c r="U7002" s="4"/>
      <c r="V7002" s="4"/>
      <c r="W7002" s="4"/>
      <c r="X7002" s="4"/>
    </row>
    <row r="7003" spans="17:24" x14ac:dyDescent="0.3">
      <c r="Q7003" s="4"/>
      <c r="R7003" s="4"/>
      <c r="S7003" s="4"/>
      <c r="T7003" s="4"/>
      <c r="U7003" s="4"/>
      <c r="V7003" s="4"/>
      <c r="W7003" s="4"/>
      <c r="X7003" s="4"/>
    </row>
    <row r="7004" spans="17:24" x14ac:dyDescent="0.3">
      <c r="Q7004" s="4"/>
      <c r="R7004" s="4"/>
      <c r="S7004" s="4"/>
      <c r="T7004" s="4"/>
      <c r="U7004" s="4"/>
      <c r="V7004" s="4"/>
      <c r="W7004" s="4"/>
      <c r="X7004" s="4"/>
    </row>
    <row r="7005" spans="17:24" x14ac:dyDescent="0.3">
      <c r="Q7005" s="4"/>
      <c r="R7005" s="4"/>
      <c r="S7005" s="4"/>
      <c r="T7005" s="4"/>
      <c r="U7005" s="4"/>
      <c r="V7005" s="4"/>
      <c r="W7005" s="4"/>
      <c r="X7005" s="4"/>
    </row>
    <row r="7006" spans="17:24" x14ac:dyDescent="0.3">
      <c r="Q7006" s="4"/>
      <c r="R7006" s="4"/>
      <c r="S7006" s="4"/>
      <c r="T7006" s="4"/>
      <c r="U7006" s="4"/>
      <c r="V7006" s="4"/>
      <c r="W7006" s="4"/>
      <c r="X7006" s="4"/>
    </row>
    <row r="7007" spans="17:24" x14ac:dyDescent="0.3">
      <c r="Q7007" s="4"/>
      <c r="R7007" s="4"/>
      <c r="S7007" s="4"/>
      <c r="T7007" s="4"/>
      <c r="U7007" s="4"/>
      <c r="V7007" s="4"/>
      <c r="W7007" s="4"/>
      <c r="X7007" s="4"/>
    </row>
    <row r="7008" spans="17:24" x14ac:dyDescent="0.3">
      <c r="Q7008" s="4"/>
      <c r="R7008" s="4"/>
      <c r="S7008" s="4"/>
      <c r="T7008" s="4"/>
      <c r="U7008" s="4"/>
      <c r="V7008" s="4"/>
      <c r="W7008" s="4"/>
      <c r="X7008" s="4"/>
    </row>
    <row r="7009" spans="17:24" x14ac:dyDescent="0.3">
      <c r="Q7009" s="4"/>
      <c r="R7009" s="4"/>
      <c r="S7009" s="4"/>
      <c r="T7009" s="4"/>
      <c r="U7009" s="4"/>
      <c r="V7009" s="4"/>
      <c r="W7009" s="4"/>
      <c r="X7009" s="4"/>
    </row>
    <row r="7010" spans="17:24" x14ac:dyDescent="0.3">
      <c r="Q7010" s="4"/>
      <c r="R7010" s="4"/>
      <c r="S7010" s="4"/>
      <c r="T7010" s="4"/>
      <c r="U7010" s="4"/>
      <c r="V7010" s="4"/>
      <c r="W7010" s="4"/>
      <c r="X7010" s="4"/>
    </row>
    <row r="7011" spans="17:24" x14ac:dyDescent="0.3">
      <c r="Q7011" s="4"/>
      <c r="R7011" s="4"/>
      <c r="S7011" s="4"/>
      <c r="T7011" s="4"/>
      <c r="U7011" s="4"/>
      <c r="V7011" s="4"/>
      <c r="W7011" s="4"/>
      <c r="X7011" s="4"/>
    </row>
    <row r="7012" spans="17:24" x14ac:dyDescent="0.3">
      <c r="Q7012" s="4"/>
      <c r="R7012" s="4"/>
      <c r="S7012" s="4"/>
      <c r="T7012" s="4"/>
      <c r="U7012" s="4"/>
      <c r="V7012" s="4"/>
      <c r="W7012" s="4"/>
      <c r="X7012" s="4"/>
    </row>
    <row r="7013" spans="17:24" x14ac:dyDescent="0.3">
      <c r="Q7013" s="4"/>
      <c r="R7013" s="4"/>
      <c r="S7013" s="4"/>
      <c r="T7013" s="4"/>
      <c r="U7013" s="4"/>
      <c r="V7013" s="4"/>
      <c r="W7013" s="4"/>
      <c r="X7013" s="4"/>
    </row>
    <row r="7014" spans="17:24" x14ac:dyDescent="0.3">
      <c r="Q7014" s="4"/>
      <c r="R7014" s="4"/>
      <c r="S7014" s="4"/>
      <c r="T7014" s="4"/>
      <c r="U7014" s="4"/>
      <c r="V7014" s="4"/>
      <c r="W7014" s="4"/>
      <c r="X7014" s="4"/>
    </row>
    <row r="7015" spans="17:24" x14ac:dyDescent="0.3">
      <c r="Q7015" s="4"/>
      <c r="R7015" s="4"/>
      <c r="S7015" s="4"/>
      <c r="T7015" s="4"/>
      <c r="U7015" s="4"/>
      <c r="V7015" s="4"/>
      <c r="W7015" s="4"/>
      <c r="X7015" s="4"/>
    </row>
    <row r="7016" spans="17:24" x14ac:dyDescent="0.3">
      <c r="Q7016" s="4"/>
      <c r="R7016" s="4"/>
      <c r="S7016" s="4"/>
      <c r="T7016" s="4"/>
      <c r="U7016" s="4"/>
      <c r="V7016" s="4"/>
      <c r="W7016" s="4"/>
      <c r="X7016" s="4"/>
    </row>
    <row r="7017" spans="17:24" x14ac:dyDescent="0.3">
      <c r="Q7017" s="4"/>
      <c r="R7017" s="4"/>
      <c r="S7017" s="4"/>
      <c r="T7017" s="4"/>
      <c r="U7017" s="4"/>
      <c r="V7017" s="4"/>
      <c r="W7017" s="4"/>
      <c r="X7017" s="4"/>
    </row>
    <row r="7018" spans="17:24" x14ac:dyDescent="0.3">
      <c r="Q7018" s="4"/>
      <c r="R7018" s="4"/>
      <c r="S7018" s="4"/>
      <c r="T7018" s="4"/>
      <c r="U7018" s="4"/>
      <c r="V7018" s="4"/>
      <c r="W7018" s="4"/>
      <c r="X7018" s="4"/>
    </row>
    <row r="7019" spans="17:24" x14ac:dyDescent="0.3">
      <c r="Q7019" s="4"/>
      <c r="R7019" s="4"/>
      <c r="S7019" s="4"/>
      <c r="T7019" s="4"/>
      <c r="U7019" s="4"/>
      <c r="V7019" s="4"/>
      <c r="W7019" s="4"/>
      <c r="X7019" s="4"/>
    </row>
    <row r="7020" spans="17:24" x14ac:dyDescent="0.3">
      <c r="Q7020" s="4"/>
      <c r="R7020" s="4"/>
      <c r="S7020" s="4"/>
      <c r="T7020" s="4"/>
      <c r="U7020" s="4"/>
      <c r="V7020" s="4"/>
      <c r="W7020" s="4"/>
      <c r="X7020" s="4"/>
    </row>
    <row r="7021" spans="17:24" x14ac:dyDescent="0.3">
      <c r="Q7021" s="4"/>
      <c r="R7021" s="4"/>
      <c r="S7021" s="4"/>
      <c r="T7021" s="4"/>
      <c r="U7021" s="4"/>
      <c r="V7021" s="4"/>
      <c r="W7021" s="4"/>
      <c r="X7021" s="4"/>
    </row>
    <row r="7022" spans="17:24" x14ac:dyDescent="0.3">
      <c r="Q7022" s="4"/>
      <c r="R7022" s="4"/>
      <c r="S7022" s="4"/>
      <c r="T7022" s="4"/>
      <c r="U7022" s="4"/>
      <c r="V7022" s="4"/>
      <c r="W7022" s="4"/>
      <c r="X7022" s="4"/>
    </row>
    <row r="7023" spans="17:24" x14ac:dyDescent="0.3">
      <c r="Q7023" s="4"/>
      <c r="R7023" s="4"/>
      <c r="S7023" s="4"/>
      <c r="T7023" s="4"/>
      <c r="U7023" s="4"/>
      <c r="V7023" s="4"/>
      <c r="W7023" s="4"/>
      <c r="X7023" s="4"/>
    </row>
    <row r="7024" spans="17:24" x14ac:dyDescent="0.3">
      <c r="Q7024" s="4"/>
      <c r="R7024" s="4"/>
      <c r="S7024" s="4"/>
      <c r="T7024" s="4"/>
      <c r="U7024" s="4"/>
      <c r="V7024" s="4"/>
      <c r="W7024" s="4"/>
      <c r="X7024" s="4"/>
    </row>
    <row r="7025" spans="17:24" x14ac:dyDescent="0.3">
      <c r="Q7025" s="4"/>
      <c r="R7025" s="4"/>
      <c r="S7025" s="4"/>
      <c r="T7025" s="4"/>
      <c r="U7025" s="4"/>
      <c r="V7025" s="4"/>
      <c r="W7025" s="4"/>
      <c r="X7025" s="4"/>
    </row>
    <row r="7026" spans="17:24" x14ac:dyDescent="0.3">
      <c r="Q7026" s="4"/>
      <c r="R7026" s="4"/>
      <c r="S7026" s="4"/>
      <c r="T7026" s="4"/>
      <c r="U7026" s="4"/>
      <c r="V7026" s="4"/>
      <c r="W7026" s="4"/>
      <c r="X7026" s="4"/>
    </row>
    <row r="7027" spans="17:24" x14ac:dyDescent="0.3">
      <c r="Q7027" s="4"/>
      <c r="R7027" s="4"/>
      <c r="S7027" s="4"/>
      <c r="T7027" s="4"/>
      <c r="U7027" s="4"/>
      <c r="V7027" s="4"/>
      <c r="W7027" s="4"/>
      <c r="X7027" s="4"/>
    </row>
    <row r="7028" spans="17:24" x14ac:dyDescent="0.3">
      <c r="Q7028" s="4"/>
      <c r="R7028" s="4"/>
      <c r="S7028" s="4"/>
      <c r="T7028" s="4"/>
      <c r="U7028" s="4"/>
      <c r="V7028" s="4"/>
      <c r="W7028" s="4"/>
      <c r="X7028" s="4"/>
    </row>
    <row r="7029" spans="17:24" x14ac:dyDescent="0.3">
      <c r="Q7029" s="4"/>
      <c r="R7029" s="4"/>
      <c r="S7029" s="4"/>
      <c r="T7029" s="4"/>
      <c r="U7029" s="4"/>
      <c r="V7029" s="4"/>
      <c r="W7029" s="4"/>
      <c r="X7029" s="4"/>
    </row>
    <row r="7030" spans="17:24" x14ac:dyDescent="0.3">
      <c r="Q7030" s="4"/>
      <c r="R7030" s="4"/>
      <c r="S7030" s="4"/>
      <c r="T7030" s="4"/>
      <c r="U7030" s="4"/>
      <c r="V7030" s="4"/>
      <c r="W7030" s="4"/>
      <c r="X7030" s="4"/>
    </row>
    <row r="7031" spans="17:24" x14ac:dyDescent="0.3">
      <c r="Q7031" s="4"/>
      <c r="R7031" s="4"/>
      <c r="S7031" s="4"/>
      <c r="T7031" s="4"/>
      <c r="U7031" s="4"/>
      <c r="V7031" s="4"/>
      <c r="W7031" s="4"/>
      <c r="X7031" s="4"/>
    </row>
    <row r="7032" spans="17:24" x14ac:dyDescent="0.3">
      <c r="Q7032" s="4"/>
      <c r="R7032" s="4"/>
      <c r="S7032" s="4"/>
      <c r="T7032" s="4"/>
      <c r="U7032" s="4"/>
      <c r="V7032" s="4"/>
      <c r="W7032" s="4"/>
      <c r="X7032" s="4"/>
    </row>
  </sheetData>
  <autoFilter ref="A3:BH368" xr:uid="{3A8E6FFA-A486-44A6-BD1F-29D92F8EE696}">
    <filterColumn colId="48" showButton="0"/>
    <filterColumn colId="50" showButton="0"/>
    <filterColumn colId="52" showButton="0"/>
  </autoFilter>
  <mergeCells count="91">
    <mergeCell ref="AE2:AF2"/>
    <mergeCell ref="AG2:AH2"/>
    <mergeCell ref="AI2:AJ2"/>
    <mergeCell ref="AK2:AL2"/>
    <mergeCell ref="AO2:AP2"/>
    <mergeCell ref="A338:A368"/>
    <mergeCell ref="A155:A184"/>
    <mergeCell ref="A185:A215"/>
    <mergeCell ref="A216:A246"/>
    <mergeCell ref="A247:A276"/>
    <mergeCell ref="A277:A307"/>
    <mergeCell ref="A308:A337"/>
    <mergeCell ref="A124:A154"/>
    <mergeCell ref="AW28:AX29"/>
    <mergeCell ref="AY28:AZ29"/>
    <mergeCell ref="BA28:BB29"/>
    <mergeCell ref="AW32:BB34"/>
    <mergeCell ref="A35:A62"/>
    <mergeCell ref="AW35:AZ37"/>
    <mergeCell ref="BA35:BB37"/>
    <mergeCell ref="AW38:AZ40"/>
    <mergeCell ref="BA38:BB40"/>
    <mergeCell ref="AW41:AZ43"/>
    <mergeCell ref="BA41:BB43"/>
    <mergeCell ref="AW44:AZ46"/>
    <mergeCell ref="BA44:BB46"/>
    <mergeCell ref="A63:A93"/>
    <mergeCell ref="A94:A123"/>
    <mergeCell ref="AW24:AX25"/>
    <mergeCell ref="AY24:AZ25"/>
    <mergeCell ref="BA24:BB25"/>
    <mergeCell ref="AW26:AX27"/>
    <mergeCell ref="AY26:AZ27"/>
    <mergeCell ref="BA26:BB27"/>
    <mergeCell ref="AW20:AX21"/>
    <mergeCell ref="AY20:AZ21"/>
    <mergeCell ref="BA20:BB21"/>
    <mergeCell ref="AW22:AX23"/>
    <mergeCell ref="AY22:AZ23"/>
    <mergeCell ref="BA22:BB23"/>
    <mergeCell ref="AW16:AX17"/>
    <mergeCell ref="AY16:AZ17"/>
    <mergeCell ref="BA16:BB17"/>
    <mergeCell ref="AW18:AX19"/>
    <mergeCell ref="AY18:AZ19"/>
    <mergeCell ref="BA18:BB19"/>
    <mergeCell ref="AW12:AX13"/>
    <mergeCell ref="AY12:AZ13"/>
    <mergeCell ref="BA12:BB13"/>
    <mergeCell ref="AW14:AX15"/>
    <mergeCell ref="AY14:AZ15"/>
    <mergeCell ref="BA14:BB15"/>
    <mergeCell ref="BA6:BB7"/>
    <mergeCell ref="AW8:AX9"/>
    <mergeCell ref="AY8:AZ9"/>
    <mergeCell ref="BA8:BB9"/>
    <mergeCell ref="AW10:AX11"/>
    <mergeCell ref="AY10:AZ11"/>
    <mergeCell ref="BA10:BB11"/>
    <mergeCell ref="BC2:BH2"/>
    <mergeCell ref="AW3:AX3"/>
    <mergeCell ref="AY3:AZ3"/>
    <mergeCell ref="BA3:BB3"/>
    <mergeCell ref="A4:A34"/>
    <mergeCell ref="AW4:AX5"/>
    <mergeCell ref="AY4:AZ5"/>
    <mergeCell ref="BA4:BB5"/>
    <mergeCell ref="AW6:AX7"/>
    <mergeCell ref="AY6:AZ7"/>
    <mergeCell ref="AM2:AN2"/>
    <mergeCell ref="AA2:AB2"/>
    <mergeCell ref="O2:P2"/>
    <mergeCell ref="Q2:R2"/>
    <mergeCell ref="S2:T2"/>
    <mergeCell ref="U2:V2"/>
    <mergeCell ref="W2:X2"/>
    <mergeCell ref="Y2:Z2"/>
    <mergeCell ref="A1:A3"/>
    <mergeCell ref="C1:AV1"/>
    <mergeCell ref="AW1:BB2"/>
    <mergeCell ref="C2:C3"/>
    <mergeCell ref="D2:D3"/>
    <mergeCell ref="E2:F2"/>
    <mergeCell ref="G2:H2"/>
    <mergeCell ref="I2:J2"/>
    <mergeCell ref="K2:L2"/>
    <mergeCell ref="M2:N2"/>
    <mergeCell ref="AC2:AD2"/>
    <mergeCell ref="AU2:AV2"/>
    <mergeCell ref="AQ2:AR2"/>
    <mergeCell ref="AS2:AT2"/>
  </mergeCells>
  <conditionalFormatting sqref="A1:XFD1048576">
    <cfRule type="cellIs" dxfId="21" priority="2" operator="equal">
      <formula>48</formula>
    </cfRule>
  </conditionalFormatting>
  <conditionalFormatting sqref="E37:T342 E343:AV368 U37:AV318 E4:AV34 E35:AP35 AR35 AT35:AV36 E36:AR36 E262:AB265 E290:AB293 U319:X319 Y319:AV342 U320:V336 W321:X336 E325:AB328 U337:X342">
    <cfRule type="cellIs" dxfId="20" priority="19" operator="equal">
      <formula>10</formula>
    </cfRule>
  </conditionalFormatting>
  <conditionalFormatting sqref="E4:AV34 E35:AP35 AR35 AT35:AV36 E36:AR36 U37:AV318 E37:T368 E262:AB265 E290:AB293 U319:X319 Y319:AV342 U320:V336 W321:X336 E325:AB328 U337:X342 U343:AV368 E346:AB349">
    <cfRule type="cellIs" dxfId="19" priority="5" operator="equal">
      <formula>24</formula>
    </cfRule>
    <cfRule type="cellIs" dxfId="18" priority="14" operator="equal">
      <formula>20</formula>
    </cfRule>
    <cfRule type="cellIs" dxfId="17" priority="15" operator="equal">
      <formula>12</formula>
    </cfRule>
    <cfRule type="cellIs" dxfId="16" priority="16" operator="equal">
      <formula>12</formula>
    </cfRule>
    <cfRule type="cellIs" dxfId="15" priority="17" operator="equal">
      <formula>16</formula>
    </cfRule>
    <cfRule type="cellIs" dxfId="14" priority="18" operator="equal">
      <formula>8.5</formula>
    </cfRule>
  </conditionalFormatting>
  <conditionalFormatting sqref="O177">
    <cfRule type="cellIs" dxfId="13" priority="13" operator="equal">
      <formula>10</formula>
    </cfRule>
  </conditionalFormatting>
  <conditionalFormatting sqref="O219">
    <cfRule type="cellIs" dxfId="12" priority="12" operator="equal">
      <formula>10</formula>
    </cfRule>
  </conditionalFormatting>
  <conditionalFormatting sqref="O261">
    <cfRule type="cellIs" dxfId="11" priority="11" operator="equal">
      <formula>10</formula>
    </cfRule>
  </conditionalFormatting>
  <conditionalFormatting sqref="O302">
    <cfRule type="cellIs" dxfId="10" priority="10" operator="equal">
      <formula>10</formula>
    </cfRule>
  </conditionalFormatting>
  <conditionalFormatting sqref="O344:P344">
    <cfRule type="cellIs" dxfId="9" priority="9" operator="equal">
      <formula>10</formula>
    </cfRule>
  </conditionalFormatting>
  <conditionalFormatting sqref="Q177:Q178">
    <cfRule type="cellIs" dxfId="8" priority="8" operator="equal">
      <formula>10</formula>
    </cfRule>
  </conditionalFormatting>
  <conditionalFormatting sqref="Q189">
    <cfRule type="cellIs" dxfId="7" priority="7" operator="equal">
      <formula>10</formula>
    </cfRule>
  </conditionalFormatting>
  <conditionalFormatting sqref="R273">
    <cfRule type="cellIs" dxfId="6" priority="6" operator="equal">
      <formula>24</formula>
    </cfRule>
  </conditionalFormatting>
  <conditionalFormatting sqref="U187">
    <cfRule type="cellIs" dxfId="5" priority="4" operator="equal">
      <formula>10</formula>
    </cfRule>
  </conditionalFormatting>
  <conditionalFormatting sqref="W185">
    <cfRule type="cellIs" dxfId="4" priority="3" operator="equal">
      <formula>10</formula>
    </cfRule>
  </conditionalFormatting>
  <conditionalFormatting sqref="BF4:BF368">
    <cfRule type="containsText" dxfId="3" priority="20" operator="containsText" text="Ejecutado">
      <formula>NOT(ISERROR(SEARCH("Ejecutado",BF4)))</formula>
    </cfRule>
    <cfRule type="containsText" dxfId="2" priority="21" operator="containsText" text="Programado pendiente">
      <formula>NOT(ISERROR(SEARCH("Programado pendiente",BF4)))</formula>
    </cfRule>
    <cfRule type="containsText" dxfId="1" priority="22" operator="containsText" text="No aplica">
      <formula>NOT(ISERROR(SEARCH("No aplica",BF4)))</formula>
    </cfRule>
  </conditionalFormatting>
  <dataValidations count="1">
    <dataValidation type="list" allowBlank="1" showInputMessage="1" showErrorMessage="1" promptTitle="MTO ejecutado" prompt="Seleccione Sí cuando el mantenimiento haya sido ejecutado." sqref="BE4:BE368" xr:uid="{295FAFFC-EC0B-4DA1-BBE4-BA119E91E030}">
      <formula1>"Sí,No"</formula1>
    </dataValidation>
  </dataValidations>
  <pageMargins left="0.7" right="0.7" top="0.75" bottom="0.75" header="0.3" footer="0.3"/>
  <pageSetup scale="10" orientation="portrait" horizontalDpi="360" verticalDpi="360" r:id="rId1"/>
  <rowBreaks count="2" manualBreakCount="2">
    <brk id="184" max="16383" man="1"/>
    <brk id="337" max="16383" man="1"/>
  </rowBreaks>
  <colBreaks count="1" manualBreakCount="1">
    <brk id="48" max="367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GENERACIÓN PUTUMAYO</vt:lpstr>
      <vt:lpstr>AUXILIARES Y CELDAS </vt:lpstr>
      <vt:lpstr>WINDROCK Y CARGABILIDAD </vt:lpstr>
      <vt:lpstr>'AUXILIARES Y CELDAS '!Área_de_impresión</vt:lpstr>
      <vt:lpstr>'GENERACIÓN PUTUMAYO'!Área_de_impresión</vt:lpstr>
      <vt:lpstr>'WINDROCK Y CARGABILIDAD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Amaya</dc:creator>
  <cp:keywords/>
  <dc:description/>
  <cp:lastModifiedBy>David Cornejo Cárdenas</cp:lastModifiedBy>
  <cp:revision/>
  <dcterms:created xsi:type="dcterms:W3CDTF">2026-01-27T21:11:16Z</dcterms:created>
  <dcterms:modified xsi:type="dcterms:W3CDTF">2026-08-27T13:51:47Z</dcterms:modified>
  <cp:category/>
  <cp:contentStatus/>
</cp:coreProperties>
</file>