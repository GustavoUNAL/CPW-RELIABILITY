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arciaa\Downloads\"/>
    </mc:Choice>
  </mc:AlternateContent>
  <xr:revisionPtr revIDLastSave="0" documentId="13_ncr:1_{2222C4A4-14E4-4859-880D-5485A17C47CB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Hoja1" sheetId="1" r:id="rId1"/>
    <sheet name="REVISAR " sheetId="6" r:id="rId2"/>
    <sheet name="j320" sheetId="7" r:id="rId3"/>
    <sheet name="j420" sheetId="8" r:id="rId4"/>
    <sheet name="jinan" sheetId="9" r:id="rId5"/>
  </sheets>
  <definedNames>
    <definedName name="_xlnm._FilterDatabase" localSheetId="0" hidden="1">Hoja1!$B$3:$G$260</definedName>
    <definedName name="_xlnm._FilterDatabase" localSheetId="1" hidden="1">'REVISAR '!$A$2:$G$84</definedName>
    <definedName name="_xlnm._FilterDatabase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82" i="6"/>
  <c r="D77" i="6"/>
  <c r="D75" i="6"/>
  <c r="D74" i="6"/>
  <c r="D73" i="6"/>
  <c r="D72" i="6"/>
  <c r="D68" i="6"/>
  <c r="D67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4" i="6"/>
  <c r="D43" i="6"/>
  <c r="D39" i="6"/>
  <c r="D35" i="6"/>
  <c r="D32" i="6"/>
  <c r="D31" i="6"/>
  <c r="D30" i="6"/>
  <c r="D28" i="6"/>
  <c r="D24" i="6"/>
  <c r="D23" i="6"/>
  <c r="D22" i="6"/>
  <c r="D19" i="6"/>
  <c r="D18" i="6"/>
  <c r="D16" i="6"/>
  <c r="D15" i="6"/>
  <c r="D14" i="6"/>
  <c r="D11" i="6"/>
  <c r="D7" i="6"/>
  <c r="D261" i="1"/>
  <c r="D260" i="1"/>
  <c r="D259" i="1"/>
  <c r="D258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cellimages.xml><?xml version="1.0" encoding="utf-8"?>
<etc:cellImages xmlns:xdr="http://schemas.openxmlformats.org/drawingml/2006/spreadsheetDrawing" xmlns:a="http://schemas.openxmlformats.org/drawingml/2006/main" xmlns:r="http://schemas.openxmlformats.org/officeDocument/2006/relationships" xmlns:etc="http://www.wps.cn/officeDocument/2017/etCustomData">
  <etc:cellImage>
    <xdr:pic>
      <xdr:nvPicPr>
        <xdr:cNvPr id="2" name="ID_370A6D5A50DF4D80A9F0A1F8F09B0348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3" name="ID_7BC83BD85D864F0EA0A200ECF438BF89" descr=" 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4" name="ID_B9091DCA7CF44622BF95E4DE631AB3E9" descr=" "/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5" name="ID_E0E3415BBFB34E74BA8756E1BA9404C8" descr=" "/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6" name="ID_B7FCBFBB67A445BEB74272CB63F88192" descr=" "/>
        <xdr:cNvPicPr/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7" name="ID_60C662CACB5548AA8127E0F674735251" descr=" "/>
        <xdr:cNvPicPr/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0" y="0"/>
          <a:ext cx="11100521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8" name="ID_71AD36C5E9DB48ADAC223BAE278526E5" descr=" "/>
        <xdr:cNvPicPr/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9" name="ID_C416D3A553124219B04D290E1F22D76E" descr=" "/>
        <xdr:cNvPicPr/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0" name="ID_E91E0E81F7EB4AB381EA4A2930FEA5C9" descr=" "/>
        <xdr:cNvPicPr/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1" name="ID_61177FD344AC41ECB0C14D684BF036B5" descr=" "/>
        <xdr:cNvPicPr/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2" name="ID_D714E8586EA046FEBC39CA7D74836C7B" descr=" "/>
        <xdr:cNvPicPr/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3" name="ID_6CE600C0BB004DD8B05F40B6BE14A2B3" descr=" "/>
        <xdr:cNvPicPr/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4" name="ID_D3D84F4436FE4F60A4B1A14719790D4F" descr=" "/>
        <xdr:cNvPicPr/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0" y="0"/>
          <a:ext cx="11100521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5" name="ID_BDE2F0D3DDCB47AD861477ED8490C636" descr=" "/>
        <xdr:cNvPicPr/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6" name="ID_3841B7244A5940E8AB750D38FA904A45" descr=" "/>
        <xdr:cNvPicPr/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7" name="ID_77B543250621439A81EA1A83570929E7" descr=" "/>
        <xdr:cNvPicPr/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8" name="ID_9441F7F6690B4C758F07715ACB2B367F" descr=" "/>
        <xdr:cNvPicPr/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9" name="ID_9F96EECC1CF049708F00C5BB08561D63" descr=" "/>
        <xdr:cNvPicPr/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0" name="ID_430AB037F65F420A9D49858FA8871295" descr=" "/>
        <xdr:cNvPicPr/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1" name="ID_FC33F4F091CD4886A9409A649832838C" descr=" "/>
        <xdr:cNvPicPr/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2" name="ID_9436853EB2854D3681E3D739F012B82C" descr=" "/>
        <xdr:cNvPicPr/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3" name="ID_F5C94CB2E0424A6893795DE72489E789" descr=" "/>
        <xdr:cNvPicPr/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4" name="ID_2BAEFFB8B4724AF891BD3F24785CD367" descr=" "/>
        <xdr:cNvPicPr/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5" name="ID_3B88ECAFCEFB4D6BA6121FFE15AB46FB" descr=" "/>
        <xdr:cNvPicPr/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6" name="ID_E2F75E9905834117A4C7FC55B427505E" descr=" "/>
        <xdr:cNvPicPr/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0" y="0"/>
          <a:ext cx="11100521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7" name="ID_B9B4107BA6004DD6A057EC4FD5A81539" descr=" "/>
        <xdr:cNvPicPr/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0" y="0"/>
          <a:ext cx="11100521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8" name="ID_C24CF0296F1E41C7912F5DB56A2C219D" descr=" "/>
        <xdr:cNvPicPr/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9" name="ID_D2CF4BD23D2348529B3A31361CEC7E58" descr=" "/>
        <xdr:cNvPicPr/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30" name="ID_53656029E2C44EC5AFAAC65753610E32" descr=" "/>
        <xdr:cNvPicPr/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31" name="ID_19FD5043697E42C6B3854111E2F4D265" descr=" "/>
        <xdr:cNvPicPr/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32" name="ID_90F3D67412A747A5A82216CFA520A7C7" descr=" "/>
        <xdr:cNvPicPr/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0" y="0"/>
          <a:ext cx="11100521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33" name="ID_9BDDFB2198474AC8984A983A111E0190" descr=" "/>
        <xdr:cNvPicPr/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34" name="ID_6C71FA5636294A7C88555FB82A50616D" descr=" "/>
        <xdr:cNvPicPr/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35" name="ID_744EC6902A6146F1BB4A2417DEBF5D24" descr=" "/>
        <xdr:cNvPicPr/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36" name="ID_493F980E95304D719B0120255FED4DA1" descr=" "/>
        <xdr:cNvPicPr/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37" name="ID_E1124566D03749B79517764E03FC317B" descr=" "/>
        <xdr:cNvPicPr/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38" name="ID_1705F29A37104C6FB373085310EA417D" descr=" "/>
        <xdr:cNvPicPr/>
      </xdr:nvPicPr>
      <xdr:blipFill>
        <a:blip xmlns:r="http://schemas.openxmlformats.org/officeDocument/2006/relationships" r:embed="rId36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39" name="ID_60080A5E25CD417D88678AB809523431" descr=" "/>
        <xdr:cNvPicPr/>
      </xdr:nvPicPr>
      <xdr:blipFill>
        <a:blip xmlns:r="http://schemas.openxmlformats.org/officeDocument/2006/relationships" r:embed="rId37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40" name="ID_9EB418901D1343BD856B6F3697267793" descr=" "/>
        <xdr:cNvPicPr/>
      </xdr:nvPicPr>
      <xdr:blipFill>
        <a:blip xmlns:r="http://schemas.openxmlformats.org/officeDocument/2006/relationships" r:embed="rId38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41" name="ID_4B8FBCB512CA4CD1AF7FF0F03F128BF5" descr=" "/>
        <xdr:cNvPicPr/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42" name="ID_0C7AC0A9BE8649DCB3F5D6923F9B1615" descr=" "/>
        <xdr:cNvPicPr/>
      </xdr:nvPicPr>
      <xdr:blipFill>
        <a:blip xmlns:r="http://schemas.openxmlformats.org/officeDocument/2006/relationships" r:embed="rId39"/>
        <a:srcRect/>
        <a:stretch>
          <a:fillRect/>
        </a:stretch>
      </xdr:blipFill>
      <xdr:spPr>
        <a:xfrm>
          <a:off x="0" y="0"/>
          <a:ext cx="11100521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43" name="ID_4621F037D7C744F8A096D6FD0D40B30E" descr=" "/>
        <xdr:cNvPicPr/>
      </xdr:nvPicPr>
      <xdr:blipFill>
        <a:blip xmlns:r="http://schemas.openxmlformats.org/officeDocument/2006/relationships" r:embed="rId40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44" name="ID_5771E60EA0694A7B925B4A2E19EE8D02" descr=" "/>
        <xdr:cNvPicPr/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45" name="ID_64E49A06C97C49A781440108B0807D2E" descr=" "/>
        <xdr:cNvPicPr/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0" y="0"/>
          <a:ext cx="11100521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46" name="ID_999E93DC6FBF4F0D9DE46B6E3B816AAD" descr=" "/>
        <xdr:cNvPicPr/>
      </xdr:nvPicPr>
      <xdr:blipFill>
        <a:blip xmlns:r="http://schemas.openxmlformats.org/officeDocument/2006/relationships" r:embed="rId43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47" name="ID_1267539E27AE4088B0EB25C7FC346256" descr=" "/>
        <xdr:cNvPicPr/>
      </xdr:nvPicPr>
      <xdr:blipFill>
        <a:blip xmlns:r="http://schemas.openxmlformats.org/officeDocument/2006/relationships" r:embed="rId44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48" name="ID_D4AFB2578E974334AFAAD6F2DEA16884" descr=" "/>
        <xdr:cNvPicPr/>
      </xdr:nvPicPr>
      <xdr:blipFill>
        <a:blip xmlns:r="http://schemas.openxmlformats.org/officeDocument/2006/relationships" r:embed="rId45"/>
        <a:srcRect/>
        <a:stretch>
          <a:fillRect/>
        </a:stretch>
      </xdr:blipFill>
      <xdr:spPr>
        <a:xfrm>
          <a:off x="0" y="0"/>
          <a:ext cx="11100521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49" name="ID_45911D21BCE040CDBA8FBBBD355F775A" descr=" "/>
        <xdr:cNvPicPr/>
      </xdr:nvPicPr>
      <xdr:blipFill>
        <a:blip xmlns:r="http://schemas.openxmlformats.org/officeDocument/2006/relationships" r:embed="rId46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50" name="ID_97AF38CD80554EDE8E12F07F4BAFB781" descr=" "/>
        <xdr:cNvPicPr/>
      </xdr:nvPicPr>
      <xdr:blipFill>
        <a:blip xmlns:r="http://schemas.openxmlformats.org/officeDocument/2006/relationships" r:embed="rId47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51" name="ID_42510FF35CF64AC69B6A3DF9928441EF" descr=" "/>
        <xdr:cNvPicPr/>
      </xdr:nvPicPr>
      <xdr:blipFill>
        <a:blip xmlns:r="http://schemas.openxmlformats.org/officeDocument/2006/relationships" r:embed="rId48"/>
        <a:srcRect/>
        <a:stretch>
          <a:fillRect/>
        </a:stretch>
      </xdr:blipFill>
      <xdr:spPr>
        <a:xfrm>
          <a:off x="0" y="0"/>
          <a:ext cx="11100521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52" name="ID_5FB15764F3A245F2B2BA2C2D6FC5DC7A" descr=" "/>
        <xdr:cNvPicPr/>
      </xdr:nvPicPr>
      <xdr:blipFill>
        <a:blip xmlns:r="http://schemas.openxmlformats.org/officeDocument/2006/relationships" r:embed="rId49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53" name="ID_423EAD22902E4FFAAC547D1C2BAF0955" descr=" "/>
        <xdr:cNvPicPr/>
      </xdr:nvPicPr>
      <xdr:blipFill>
        <a:blip xmlns:r="http://schemas.openxmlformats.org/officeDocument/2006/relationships" r:embed="rId50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54" name="ID_D8D38A42B8484F9982CA3E759BF98D9A" descr=" "/>
        <xdr:cNvPicPr/>
      </xdr:nvPicPr>
      <xdr:blipFill>
        <a:blip xmlns:r="http://schemas.openxmlformats.org/officeDocument/2006/relationships" r:embed="rId51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55" name="ID_28C0C7654F8D4D3FBFD330BB28FA24D9" descr=" "/>
        <xdr:cNvPicPr/>
      </xdr:nvPicPr>
      <xdr:blipFill>
        <a:blip xmlns:r="http://schemas.openxmlformats.org/officeDocument/2006/relationships" r:embed="rId52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56" name="ID_9831F4A49E7F4D888943CB7635C3DDEC" descr=" "/>
        <xdr:cNvPicPr/>
      </xdr:nvPicPr>
      <xdr:blipFill>
        <a:blip xmlns:r="http://schemas.openxmlformats.org/officeDocument/2006/relationships" r:embed="rId53"/>
        <a:srcRect/>
        <a:stretch>
          <a:fillRect/>
        </a:stretch>
      </xdr:blipFill>
      <xdr:spPr>
        <a:xfrm>
          <a:off x="0" y="0"/>
          <a:ext cx="11100521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57" name="ID_01C1806A74264240B15CC5D2A4C97681" descr=" "/>
        <xdr:cNvPicPr/>
      </xdr:nvPicPr>
      <xdr:blipFill>
        <a:blip xmlns:r="http://schemas.openxmlformats.org/officeDocument/2006/relationships" r:embed="rId54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58" name="ID_1B097A2699EF4806A66C8F1B157D7831" descr=" "/>
        <xdr:cNvPicPr/>
      </xdr:nvPicPr>
      <xdr:blipFill>
        <a:blip xmlns:r="http://schemas.openxmlformats.org/officeDocument/2006/relationships" r:embed="rId55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59" name="ID_15EA9EDE62644BFD873FE9D1B9A9F5D1" descr=" "/>
        <xdr:cNvPicPr/>
      </xdr:nvPicPr>
      <xdr:blipFill>
        <a:blip xmlns:r="http://schemas.openxmlformats.org/officeDocument/2006/relationships" r:embed="rId56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60" name="ID_200FD247D4124E08927D843322CD889E" descr=" "/>
        <xdr:cNvPicPr/>
      </xdr:nvPicPr>
      <xdr:blipFill>
        <a:blip xmlns:r="http://schemas.openxmlformats.org/officeDocument/2006/relationships" r:embed="rId57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61" name="ID_B783FC2FC1B747A7A9335E97B81F2FDA" descr=" "/>
        <xdr:cNvPicPr/>
      </xdr:nvPicPr>
      <xdr:blipFill>
        <a:blip xmlns:r="http://schemas.openxmlformats.org/officeDocument/2006/relationships" r:embed="rId58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62" name="ID_9694BD170FF54149B15EFF2560A602D5" descr=" "/>
        <xdr:cNvPicPr/>
      </xdr:nvPicPr>
      <xdr:blipFill>
        <a:blip xmlns:r="http://schemas.openxmlformats.org/officeDocument/2006/relationships" r:embed="rId59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63" name="ID_FDBBB465A10246E8B6C62952CD98AC5A" descr=" "/>
        <xdr:cNvPicPr/>
      </xdr:nvPicPr>
      <xdr:blipFill>
        <a:blip xmlns:r="http://schemas.openxmlformats.org/officeDocument/2006/relationships" r:embed="rId60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64" name="ID_C5BE9AF98ADC4E438214DE0474F5F3EB" descr=" "/>
        <xdr:cNvPicPr/>
      </xdr:nvPicPr>
      <xdr:blipFill>
        <a:blip xmlns:r="http://schemas.openxmlformats.org/officeDocument/2006/relationships" r:embed="rId61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65" name="ID_4F59956B0EAA4F67BEA3B1BCF923B7B7" descr=" "/>
        <xdr:cNvPicPr/>
      </xdr:nvPicPr>
      <xdr:blipFill>
        <a:blip xmlns:r="http://schemas.openxmlformats.org/officeDocument/2006/relationships" r:embed="rId62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66" name="ID_AFF5843DD9944E7FAA44AA960B3755F5" descr=" "/>
        <xdr:cNvPicPr/>
      </xdr:nvPicPr>
      <xdr:blipFill>
        <a:blip xmlns:r="http://schemas.openxmlformats.org/officeDocument/2006/relationships" r:embed="rId43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67" name="ID_8E842BAE472241A99B5A188D9CD27FF0" descr=" "/>
        <xdr:cNvPicPr/>
      </xdr:nvPicPr>
      <xdr:blipFill>
        <a:blip xmlns:r="http://schemas.openxmlformats.org/officeDocument/2006/relationships" r:embed="rId63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68" name="ID_F15640227C0744579167F95D99AB6C01" descr=" "/>
        <xdr:cNvPicPr/>
      </xdr:nvPicPr>
      <xdr:blipFill>
        <a:blip xmlns:r="http://schemas.openxmlformats.org/officeDocument/2006/relationships" r:embed="rId64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69" name="ID_5FB62E43FAC5425AAE80889D0F3F0F77" descr=" "/>
        <xdr:cNvPicPr/>
      </xdr:nvPicPr>
      <xdr:blipFill>
        <a:blip xmlns:r="http://schemas.openxmlformats.org/officeDocument/2006/relationships" r:embed="rId65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70" name="ID_94B60198282242F78810284F2B104264" descr=" "/>
        <xdr:cNvPicPr/>
      </xdr:nvPicPr>
      <xdr:blipFill>
        <a:blip xmlns:r="http://schemas.openxmlformats.org/officeDocument/2006/relationships" r:embed="rId66"/>
        <a:srcRect/>
        <a:stretch>
          <a:fillRect/>
        </a:stretch>
      </xdr:blipFill>
      <xdr:spPr>
        <a:xfrm>
          <a:off x="0" y="0"/>
          <a:ext cx="8325390" cy="11100521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71" name="ID_D11FBE988AED420AA5FEE288D24B95F1" descr=" "/>
        <xdr:cNvPicPr/>
      </xdr:nvPicPr>
      <xdr:blipFill>
        <a:blip xmlns:r="http://schemas.openxmlformats.org/officeDocument/2006/relationships" r:embed="rId67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72" name="ID_0E9F15BA09BA45869CB85114FB05BDC3" descr=" "/>
        <xdr:cNvPicPr/>
      </xdr:nvPicPr>
      <xdr:blipFill>
        <a:blip xmlns:r="http://schemas.openxmlformats.org/officeDocument/2006/relationships" r:embed="rId68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73" name="ID_C00951F253CB4583B109A6378184F77E" descr=" "/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74" name="ID_0310A8548C3243BA965965CED23C200A" descr=" "/>
        <xdr:cNvPicPr/>
      </xdr:nvPicPr>
      <xdr:blipFill>
        <a:blip xmlns:r="http://schemas.openxmlformats.org/officeDocument/2006/relationships" r:embed="rId69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75" name="ID_65BC626AD9E24B04B8EEA4E553AFA51F" descr=" "/>
        <xdr:cNvPicPr/>
      </xdr:nvPicPr>
      <xdr:blipFill>
        <a:blip xmlns:r="http://schemas.openxmlformats.org/officeDocument/2006/relationships" r:embed="rId70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76" name="ID_1A8C80C494ED4593B1348B10DB2C798A" descr=" "/>
        <xdr:cNvPicPr/>
      </xdr:nvPicPr>
      <xdr:blipFill>
        <a:blip xmlns:r="http://schemas.openxmlformats.org/officeDocument/2006/relationships" r:embed="rId71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77" name="ID_DE325607E52844C7943CBC7E800FD49A" descr=" "/>
        <xdr:cNvPicPr/>
      </xdr:nvPicPr>
      <xdr:blipFill>
        <a:blip xmlns:r="http://schemas.openxmlformats.org/officeDocument/2006/relationships" r:embed="rId72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78" name="ID_62203FAF437C4E2F9C7CD1B781792FA9" descr=" "/>
        <xdr:cNvPicPr/>
      </xdr:nvPicPr>
      <xdr:blipFill>
        <a:blip xmlns:r="http://schemas.openxmlformats.org/officeDocument/2006/relationships" r:embed="rId73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79" name="ID_54207961CCB8428E8539804B08B57E50" descr=" "/>
        <xdr:cNvPicPr/>
      </xdr:nvPicPr>
      <xdr:blipFill>
        <a:blip xmlns:r="http://schemas.openxmlformats.org/officeDocument/2006/relationships" r:embed="rId74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80" name="ID_2D13C078147A4408907089FC30E281B1" descr=" "/>
        <xdr:cNvPicPr/>
      </xdr:nvPicPr>
      <xdr:blipFill>
        <a:blip xmlns:r="http://schemas.openxmlformats.org/officeDocument/2006/relationships" r:embed="rId75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81" name="ID_6786CBB0FC714894A9EB6FD1B7EB7191" descr=" "/>
        <xdr:cNvPicPr/>
      </xdr:nvPicPr>
      <xdr:blipFill>
        <a:blip xmlns:r="http://schemas.openxmlformats.org/officeDocument/2006/relationships" r:embed="rId76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82" name="ID_8F20C29D5FA2470B8F5BB364DAD78E01" descr=" "/>
        <xdr:cNvPicPr/>
      </xdr:nvPicPr>
      <xdr:blipFill>
        <a:blip xmlns:r="http://schemas.openxmlformats.org/officeDocument/2006/relationships" r:embed="rId77"/>
        <a:srcRect/>
        <a:stretch>
          <a:fillRect/>
        </a:stretch>
      </xdr:blipFill>
      <xdr:spPr>
        <a:xfrm>
          <a:off x="0" y="0"/>
          <a:ext cx="11100521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83" name="ID_BD5D3086FBB2421F9EC703027AD9F997" descr=" "/>
        <xdr:cNvPicPr/>
      </xdr:nvPicPr>
      <xdr:blipFill>
        <a:blip xmlns:r="http://schemas.openxmlformats.org/officeDocument/2006/relationships" r:embed="rId78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84" name="ID_096DB49021A74FACA89A10C47CBF8943" descr=" "/>
        <xdr:cNvPicPr/>
      </xdr:nvPicPr>
      <xdr:blipFill>
        <a:blip xmlns:r="http://schemas.openxmlformats.org/officeDocument/2006/relationships" r:embed="rId79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85" name="ID_F8FFE3E02F9D494584ADDC4FBFB5506D" descr=" "/>
        <xdr:cNvPicPr/>
      </xdr:nvPicPr>
      <xdr:blipFill>
        <a:blip xmlns:r="http://schemas.openxmlformats.org/officeDocument/2006/relationships" r:embed="rId80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86" name="ID_F728E305A3654229BF958FD49FD66B4F" descr=" "/>
        <xdr:cNvPicPr/>
      </xdr:nvPicPr>
      <xdr:blipFill>
        <a:blip xmlns:r="http://schemas.openxmlformats.org/officeDocument/2006/relationships" r:embed="rId81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87" name="ID_F34FEA808303421D97199CE2D0D69119" descr=" "/>
        <xdr:cNvPicPr/>
      </xdr:nvPicPr>
      <xdr:blipFill>
        <a:blip xmlns:r="http://schemas.openxmlformats.org/officeDocument/2006/relationships" r:embed="rId82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88" name="ID_B9BE0BF72BE149B28B3D47172BFB5825" descr=" "/>
        <xdr:cNvPicPr/>
      </xdr:nvPicPr>
      <xdr:blipFill>
        <a:blip xmlns:r="http://schemas.openxmlformats.org/officeDocument/2006/relationships" r:embed="rId83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89" name="ID_346E62A3E0644276B92E23D441A45325" descr=" "/>
        <xdr:cNvPicPr/>
      </xdr:nvPicPr>
      <xdr:blipFill>
        <a:blip xmlns:r="http://schemas.openxmlformats.org/officeDocument/2006/relationships" r:embed="rId81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90" name="ID_1E70667429044313B9F2D78B7EED4743" descr=" "/>
        <xdr:cNvPicPr/>
      </xdr:nvPicPr>
      <xdr:blipFill>
        <a:blip xmlns:r="http://schemas.openxmlformats.org/officeDocument/2006/relationships" r:embed="rId84"/>
        <a:srcRect/>
        <a:stretch>
          <a:fillRect/>
        </a:stretch>
      </xdr:blipFill>
      <xdr:spPr>
        <a:xfrm>
          <a:off x="0" y="0"/>
          <a:ext cx="8325390" cy="11100521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91" name="ID_3D1545FF6DAA4D979390E1FAA3C93659" descr=" "/>
        <xdr:cNvPicPr/>
      </xdr:nvPicPr>
      <xdr:blipFill>
        <a:blip xmlns:r="http://schemas.openxmlformats.org/officeDocument/2006/relationships" r:embed="rId85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92" name="ID_E0AC5C668DBB4748897C0F635C5E6703" descr=" "/>
        <xdr:cNvPicPr/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93" name="ID_95D077C320204DBE9E0B2C0CEA5406C0" descr=" "/>
        <xdr:cNvPicPr/>
      </xdr:nvPicPr>
      <xdr:blipFill>
        <a:blip xmlns:r="http://schemas.openxmlformats.org/officeDocument/2006/relationships" r:embed="rId86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94" name="ID_BC3DF6903D874AA88E6C4D952C992A5D" descr=" "/>
        <xdr:cNvPicPr/>
      </xdr:nvPicPr>
      <xdr:blipFill>
        <a:blip xmlns:r="http://schemas.openxmlformats.org/officeDocument/2006/relationships" r:embed="rId87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95" name="ID_E8E9DB29E93440BF92999F56984A212A" descr=" "/>
        <xdr:cNvPicPr/>
      </xdr:nvPicPr>
      <xdr:blipFill>
        <a:blip xmlns:r="http://schemas.openxmlformats.org/officeDocument/2006/relationships" r:embed="rId88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96" name="ID_F669E896C1DE4354B05F2E2DD8B1E9EB" descr=" "/>
        <xdr:cNvPicPr/>
      </xdr:nvPicPr>
      <xdr:blipFill>
        <a:blip xmlns:r="http://schemas.openxmlformats.org/officeDocument/2006/relationships" r:embed="rId89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97" name="ID_337D41B0C92F48A8B95EF44AAD37FF63" descr=" "/>
        <xdr:cNvPicPr/>
      </xdr:nvPicPr>
      <xdr:blipFill>
        <a:blip xmlns:r="http://schemas.openxmlformats.org/officeDocument/2006/relationships" r:embed="rId90"/>
        <a:srcRect/>
        <a:stretch>
          <a:fillRect/>
        </a:stretch>
      </xdr:blipFill>
      <xdr:spPr>
        <a:xfrm>
          <a:off x="0" y="0"/>
          <a:ext cx="11100521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98" name="ID_0163F661ECEC4634B8953C6DF9B831F7" descr=" "/>
        <xdr:cNvPicPr/>
      </xdr:nvPicPr>
      <xdr:blipFill>
        <a:blip xmlns:r="http://schemas.openxmlformats.org/officeDocument/2006/relationships" r:embed="rId91"/>
        <a:srcRect/>
        <a:stretch>
          <a:fillRect/>
        </a:stretch>
      </xdr:blipFill>
      <xdr:spPr>
        <a:xfrm>
          <a:off x="0" y="0"/>
          <a:ext cx="11100521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99" name="ID_9B6FF453535A4F6C8C2D1D19EF81AB5E" descr=" "/>
        <xdr:cNvPicPr/>
      </xdr:nvPicPr>
      <xdr:blipFill>
        <a:blip xmlns:r="http://schemas.openxmlformats.org/officeDocument/2006/relationships" r:embed="rId92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00" name="ID_AAC20C60723F4C8FA82780D367FD685A" descr=" "/>
        <xdr:cNvPicPr/>
      </xdr:nvPicPr>
      <xdr:blipFill>
        <a:blip xmlns:r="http://schemas.openxmlformats.org/officeDocument/2006/relationships" r:embed="rId93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01" name="ID_173D6506D6D54BB4A9B4E0801FF16C30" descr=" "/>
        <xdr:cNvPicPr/>
      </xdr:nvPicPr>
      <xdr:blipFill>
        <a:blip xmlns:r="http://schemas.openxmlformats.org/officeDocument/2006/relationships" r:embed="rId94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02" name="ID_E39DC52C0A7C4F26AB232CB392B91318" descr=" "/>
        <xdr:cNvPicPr/>
      </xdr:nvPicPr>
      <xdr:blipFill>
        <a:blip xmlns:r="http://schemas.openxmlformats.org/officeDocument/2006/relationships" r:embed="rId95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03" name="ID_B63A8F7153F9439281D0A7631DE80AFA" descr=" "/>
        <xdr:cNvPicPr/>
      </xdr:nvPicPr>
      <xdr:blipFill>
        <a:blip xmlns:r="http://schemas.openxmlformats.org/officeDocument/2006/relationships" r:embed="rId96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04" name="ID_57BAECFB11C546C892A8AACC9F48CEDE" descr=" "/>
        <xdr:cNvPicPr/>
      </xdr:nvPicPr>
      <xdr:blipFill>
        <a:blip xmlns:r="http://schemas.openxmlformats.org/officeDocument/2006/relationships" r:embed="rId97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05" name="ID_2C590C6932D24E4D974565905DCC22A3" descr=" "/>
        <xdr:cNvPicPr/>
      </xdr:nvPicPr>
      <xdr:blipFill>
        <a:blip xmlns:r="http://schemas.openxmlformats.org/officeDocument/2006/relationships" r:embed="rId66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06" name="ID_459D5898F9924B9EB61DB6FB471DC1DF" descr=" "/>
        <xdr:cNvPicPr/>
      </xdr:nvPicPr>
      <xdr:blipFill>
        <a:blip xmlns:r="http://schemas.openxmlformats.org/officeDocument/2006/relationships" r:embed="rId98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07" name="ID_8D2C1346C4BB485C8287FC32E8AAD538" descr=" "/>
        <xdr:cNvPicPr/>
      </xdr:nvPicPr>
      <xdr:blipFill>
        <a:blip xmlns:r="http://schemas.openxmlformats.org/officeDocument/2006/relationships" r:embed="rId99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08" name="ID_5AB1E4C7044A4F4B8F872FBF792E8EBC" descr=" "/>
        <xdr:cNvPicPr/>
      </xdr:nvPicPr>
      <xdr:blipFill>
        <a:blip xmlns:r="http://schemas.openxmlformats.org/officeDocument/2006/relationships" r:embed="rId100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09" name="ID_D878EAF46B3249D6BC3B08F68F95AF77" descr=" "/>
        <xdr:cNvPicPr/>
      </xdr:nvPicPr>
      <xdr:blipFill>
        <a:blip xmlns:r="http://schemas.openxmlformats.org/officeDocument/2006/relationships" r:embed="rId101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10" name="ID_6CECF664D373429AA1C8E5635B0F8592" descr=" "/>
        <xdr:cNvPicPr/>
      </xdr:nvPicPr>
      <xdr:blipFill>
        <a:blip xmlns:r="http://schemas.openxmlformats.org/officeDocument/2006/relationships" r:embed="rId102"/>
        <a:srcRect/>
        <a:stretch>
          <a:fillRect/>
        </a:stretch>
      </xdr:blipFill>
      <xdr:spPr>
        <a:xfrm>
          <a:off x="0" y="0"/>
          <a:ext cx="8325390" cy="11100521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11" name="ID_5F0C18E4F1AC4503800AFF985BDA3160" descr=" "/>
        <xdr:cNvPicPr/>
      </xdr:nvPicPr>
      <xdr:blipFill>
        <a:blip xmlns:r="http://schemas.openxmlformats.org/officeDocument/2006/relationships" r:embed="rId103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12" name="ID_74B5ECB13E62455FBD3F37B9ADEC11F1" descr=" "/>
        <xdr:cNvPicPr/>
      </xdr:nvPicPr>
      <xdr:blipFill>
        <a:blip xmlns:r="http://schemas.openxmlformats.org/officeDocument/2006/relationships" r:embed="rId104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13" name="ID_7B9A89905D4047CDAF0CC57993424A9A" descr=" "/>
        <xdr:cNvPicPr/>
      </xdr:nvPicPr>
      <xdr:blipFill>
        <a:blip xmlns:r="http://schemas.openxmlformats.org/officeDocument/2006/relationships" r:embed="rId105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14" name="ID_84C51C024CEE4B4BAB3C60DCF241E11C" descr=" "/>
        <xdr:cNvPicPr/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15" name="ID_6667BC7C03FE4ED485DD25DC6BF982BF" descr=" "/>
        <xdr:cNvPicPr/>
      </xdr:nvPicPr>
      <xdr:blipFill>
        <a:blip xmlns:r="http://schemas.openxmlformats.org/officeDocument/2006/relationships" r:embed="rId106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16" name="ID_808CFF0EDF6C49399690BC4B78B7CAF5" descr=" "/>
        <xdr:cNvPicPr/>
      </xdr:nvPicPr>
      <xdr:blipFill>
        <a:blip xmlns:r="http://schemas.openxmlformats.org/officeDocument/2006/relationships" r:embed="rId107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17" name="ID_465C1F51AD8F46A097DF714DA4BE79CC" descr=" "/>
        <xdr:cNvPicPr/>
      </xdr:nvPicPr>
      <xdr:blipFill>
        <a:blip xmlns:r="http://schemas.openxmlformats.org/officeDocument/2006/relationships" r:embed="rId107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18" name="ID_5F5FF04BB942409D94D5423B801260DF" descr=" "/>
        <xdr:cNvPicPr/>
      </xdr:nvPicPr>
      <xdr:blipFill>
        <a:blip xmlns:r="http://schemas.openxmlformats.org/officeDocument/2006/relationships" r:embed="rId84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19" name="ID_5684F16DCCFB47878E1119E900F14C9D" descr=" "/>
        <xdr:cNvPicPr/>
      </xdr:nvPicPr>
      <xdr:blipFill>
        <a:blip xmlns:r="http://schemas.openxmlformats.org/officeDocument/2006/relationships" r:embed="rId108"/>
        <a:srcRect/>
        <a:stretch>
          <a:fillRect/>
        </a:stretch>
      </xdr:blipFill>
      <xdr:spPr>
        <a:xfrm>
          <a:off x="0" y="0"/>
          <a:ext cx="11100521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20" name="ID_42592B8B69764DF8BB3D77A55251B8C9" descr=" "/>
        <xdr:cNvPicPr/>
      </xdr:nvPicPr>
      <xdr:blipFill>
        <a:blip xmlns:r="http://schemas.openxmlformats.org/officeDocument/2006/relationships" r:embed="rId109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21" name="ID_DE31E46AC44B400C873F429ED176D487" descr=" "/>
        <xdr:cNvPicPr/>
      </xdr:nvPicPr>
      <xdr:blipFill>
        <a:blip xmlns:r="http://schemas.openxmlformats.org/officeDocument/2006/relationships" r:embed="rId110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22" name="ID_FC6BB3EDEE4C4034975ECAC28036F1B3" descr=" "/>
        <xdr:cNvPicPr/>
      </xdr:nvPicPr>
      <xdr:blipFill>
        <a:blip xmlns:r="http://schemas.openxmlformats.org/officeDocument/2006/relationships" r:embed="rId111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23" name="ID_80E9BE4CB0F94724A91571CE91D72C5C" descr=" "/>
        <xdr:cNvPicPr/>
      </xdr:nvPicPr>
      <xdr:blipFill>
        <a:blip xmlns:r="http://schemas.openxmlformats.org/officeDocument/2006/relationships" r:embed="rId112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24" name="ID_8A76AFB1E8804EE1B47FE4DF6996B6F3" descr=" "/>
        <xdr:cNvPicPr/>
      </xdr:nvPicPr>
      <xdr:blipFill>
        <a:blip xmlns:r="http://schemas.openxmlformats.org/officeDocument/2006/relationships" r:embed="rId113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25" name="ID_5E3B522C80A84A6AA7B6571331814A6E" descr=" "/>
        <xdr:cNvPicPr/>
      </xdr:nvPicPr>
      <xdr:blipFill>
        <a:blip xmlns:r="http://schemas.openxmlformats.org/officeDocument/2006/relationships" r:embed="rId114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26" name="ID_DC2AC84874FE4DE39CEC5CB3441DEBF2" descr=" "/>
        <xdr:cNvPicPr/>
      </xdr:nvPicPr>
      <xdr:blipFill>
        <a:blip xmlns:r="http://schemas.openxmlformats.org/officeDocument/2006/relationships" r:embed="rId115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27" name="ID_A825832F9DEF49D499C628C9368620CC" descr=" "/>
        <xdr:cNvPicPr/>
      </xdr:nvPicPr>
      <xdr:blipFill>
        <a:blip xmlns:r="http://schemas.openxmlformats.org/officeDocument/2006/relationships" r:embed="rId116"/>
        <a:srcRect/>
        <a:stretch>
          <a:fillRect/>
        </a:stretch>
      </xdr:blipFill>
      <xdr:spPr>
        <a:xfrm>
          <a:off x="0" y="0"/>
          <a:ext cx="11100521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28" name="ID_F3F87737B268429F9E7007709AB8DB05" descr=" "/>
        <xdr:cNvPicPr/>
      </xdr:nvPicPr>
      <xdr:blipFill>
        <a:blip xmlns:r="http://schemas.openxmlformats.org/officeDocument/2006/relationships" r:embed="rId117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29" name="ID_0421872EAB5941169DA3FB5A9C6303DF" descr=" "/>
        <xdr:cNvPicPr/>
      </xdr:nvPicPr>
      <xdr:blipFill>
        <a:blip xmlns:r="http://schemas.openxmlformats.org/officeDocument/2006/relationships" r:embed="rId118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30" name="ID_785E86809788490881A0944678C06015" descr=" "/>
        <xdr:cNvPicPr/>
      </xdr:nvPicPr>
      <xdr:blipFill>
        <a:blip xmlns:r="http://schemas.openxmlformats.org/officeDocument/2006/relationships" r:embed="rId119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31" name="ID_A236AF1694524590AFF154411F5FB8C9" descr=" "/>
        <xdr:cNvPicPr/>
      </xdr:nvPicPr>
      <xdr:blipFill>
        <a:blip xmlns:r="http://schemas.openxmlformats.org/officeDocument/2006/relationships" r:embed="rId120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32" name="ID_52E6E55628A448ECB6047CB3FCFCDDC1" descr=" "/>
        <xdr:cNvPicPr/>
      </xdr:nvPicPr>
      <xdr:blipFill>
        <a:blip xmlns:r="http://schemas.openxmlformats.org/officeDocument/2006/relationships" r:embed="rId121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33" name="ID_CC3CB1909F4B4AACB32515C19EC2D00D" descr=" "/>
        <xdr:cNvPicPr/>
      </xdr:nvPicPr>
      <xdr:blipFill>
        <a:blip xmlns:r="http://schemas.openxmlformats.org/officeDocument/2006/relationships" r:embed="rId122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34" name="ID_AEDEC4E9A1CA47029B908B094C6B4541" descr=" "/>
        <xdr:cNvPicPr/>
      </xdr:nvPicPr>
      <xdr:blipFill>
        <a:blip xmlns:r="http://schemas.openxmlformats.org/officeDocument/2006/relationships" r:embed="rId123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35" name="ID_90831F9D83234434B8FB315D3733557D" descr=" "/>
        <xdr:cNvPicPr/>
      </xdr:nvPicPr>
      <xdr:blipFill>
        <a:blip xmlns:r="http://schemas.openxmlformats.org/officeDocument/2006/relationships" r:embed="rId124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36" name="ID_2454EB684D0748938AE3DA5595420377" descr=" "/>
        <xdr:cNvPicPr/>
      </xdr:nvPicPr>
      <xdr:blipFill>
        <a:blip xmlns:r="http://schemas.openxmlformats.org/officeDocument/2006/relationships" r:embed="rId125"/>
        <a:srcRect/>
        <a:stretch>
          <a:fillRect/>
        </a:stretch>
      </xdr:blipFill>
      <xdr:spPr>
        <a:xfrm>
          <a:off x="0" y="0"/>
          <a:ext cx="11100521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37" name="ID_C41E963ADC024598B0AB8C7F5CCA8178" descr=" "/>
        <xdr:cNvPicPr/>
      </xdr:nvPicPr>
      <xdr:blipFill>
        <a:blip xmlns:r="http://schemas.openxmlformats.org/officeDocument/2006/relationships" r:embed="rId126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38" name="ID_EFB25C11F1614F52835C14D3DEC50AA4" descr=" "/>
        <xdr:cNvPicPr/>
      </xdr:nvPicPr>
      <xdr:blipFill>
        <a:blip xmlns:r="http://schemas.openxmlformats.org/officeDocument/2006/relationships" r:embed="rId127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39" name="ID_57006A124EB444059D32F55BA8665826" descr=" "/>
        <xdr:cNvPicPr/>
      </xdr:nvPicPr>
      <xdr:blipFill>
        <a:blip xmlns:r="http://schemas.openxmlformats.org/officeDocument/2006/relationships" r:embed="rId128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40" name="ID_A7F5750D484441EDB18C18D53A938C7C" descr=" "/>
        <xdr:cNvPicPr/>
      </xdr:nvPicPr>
      <xdr:blipFill>
        <a:blip xmlns:r="http://schemas.openxmlformats.org/officeDocument/2006/relationships" r:embed="rId129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41" name="ID_5BA1B099FDF042A081E7710554773A74" descr=" "/>
        <xdr:cNvPicPr/>
      </xdr:nvPicPr>
      <xdr:blipFill>
        <a:blip xmlns:r="http://schemas.openxmlformats.org/officeDocument/2006/relationships" r:embed="rId130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42" name="ID_A0639A61FE4E49E3B478EBAB6F8C2ED7" descr=" "/>
        <xdr:cNvPicPr/>
      </xdr:nvPicPr>
      <xdr:blipFill>
        <a:blip xmlns:r="http://schemas.openxmlformats.org/officeDocument/2006/relationships" r:embed="rId131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43" name="ID_A46D2391AA7F4F0D8D18ECC42935A45F" descr=" "/>
        <xdr:cNvPicPr/>
      </xdr:nvPicPr>
      <xdr:blipFill>
        <a:blip xmlns:r="http://schemas.openxmlformats.org/officeDocument/2006/relationships" r:embed="rId132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44" name="ID_695DBCE25257446083E07B8E3A3CA1B4" descr=" "/>
        <xdr:cNvPicPr/>
      </xdr:nvPicPr>
      <xdr:blipFill>
        <a:blip xmlns:r="http://schemas.openxmlformats.org/officeDocument/2006/relationships" r:embed="rId133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45" name="ID_9FAF15F26F344414BBE514A60511F169" descr=" "/>
        <xdr:cNvPicPr/>
      </xdr:nvPicPr>
      <xdr:blipFill>
        <a:blip xmlns:r="http://schemas.openxmlformats.org/officeDocument/2006/relationships" r:embed="rId134"/>
        <a:srcRect/>
        <a:stretch>
          <a:fillRect/>
        </a:stretch>
      </xdr:blipFill>
      <xdr:spPr>
        <a:xfrm>
          <a:off x="0" y="0"/>
          <a:ext cx="8325390" cy="11100521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46" name="ID_409E90F16A2946FCA4F517FDC3BC710B" descr=" "/>
        <xdr:cNvPicPr/>
      </xdr:nvPicPr>
      <xdr:blipFill>
        <a:blip xmlns:r="http://schemas.openxmlformats.org/officeDocument/2006/relationships" r:embed="rId135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47" name="ID_50DA543A9147400FAE89F1F624F3F49A" descr=" "/>
        <xdr:cNvPicPr/>
      </xdr:nvPicPr>
      <xdr:blipFill>
        <a:blip xmlns:r="http://schemas.openxmlformats.org/officeDocument/2006/relationships" r:embed="rId136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48" name="ID_8D75CB09972A4D698A05BEF383BD82BF" descr=" "/>
        <xdr:cNvPicPr/>
      </xdr:nvPicPr>
      <xdr:blipFill>
        <a:blip xmlns:r="http://schemas.openxmlformats.org/officeDocument/2006/relationships" r:embed="rId137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49" name="ID_C5CD63959FF84EAAAA2267781E65673A" descr=" "/>
        <xdr:cNvPicPr/>
      </xdr:nvPicPr>
      <xdr:blipFill>
        <a:blip xmlns:r="http://schemas.openxmlformats.org/officeDocument/2006/relationships" r:embed="rId138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50" name="ID_25AC778D086B47ED99C27B47D40912E9" descr=" "/>
        <xdr:cNvPicPr/>
      </xdr:nvPicPr>
      <xdr:blipFill>
        <a:blip xmlns:r="http://schemas.openxmlformats.org/officeDocument/2006/relationships" r:embed="rId139"/>
        <a:srcRect/>
        <a:stretch>
          <a:fillRect/>
        </a:stretch>
      </xdr:blipFill>
      <xdr:spPr>
        <a:xfrm>
          <a:off x="0" y="0"/>
          <a:ext cx="11100521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51" name="ID_84DD5A21551443CE8EFA33242DEE0203" descr=" "/>
        <xdr:cNvPicPr/>
      </xdr:nvPicPr>
      <xdr:blipFill>
        <a:blip xmlns:r="http://schemas.openxmlformats.org/officeDocument/2006/relationships" r:embed="rId140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52" name="ID_0E93056CF1734F568D8103CEAAEDBCA1" descr=" "/>
        <xdr:cNvPicPr/>
      </xdr:nvPicPr>
      <xdr:blipFill>
        <a:blip xmlns:r="http://schemas.openxmlformats.org/officeDocument/2006/relationships" r:embed="rId141"/>
        <a:srcRect/>
        <a:stretch>
          <a:fillRect/>
        </a:stretch>
      </xdr:blipFill>
      <xdr:spPr>
        <a:xfrm>
          <a:off x="0" y="0"/>
          <a:ext cx="11100521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53" name="ID_6B246AA2C50940DB9EF95C8DFECF241C" descr=" "/>
        <xdr:cNvPicPr/>
      </xdr:nvPicPr>
      <xdr:blipFill>
        <a:blip xmlns:r="http://schemas.openxmlformats.org/officeDocument/2006/relationships" r:embed="rId142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54" name="ID_8CF2FD9403F64AA3A0BE66DE96D6AB46" descr=" "/>
        <xdr:cNvPicPr/>
      </xdr:nvPicPr>
      <xdr:blipFill>
        <a:blip xmlns:r="http://schemas.openxmlformats.org/officeDocument/2006/relationships" r:embed="rId143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55" name="ID_5A7F67E98DAD42B6A186A356DA5BF25F" descr=" "/>
        <xdr:cNvPicPr/>
      </xdr:nvPicPr>
      <xdr:blipFill>
        <a:blip xmlns:r="http://schemas.openxmlformats.org/officeDocument/2006/relationships" r:embed="rId144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56" name="ID_CDCE4E8E63D1438AB419A8A8D7927CD3" descr=" "/>
        <xdr:cNvPicPr/>
      </xdr:nvPicPr>
      <xdr:blipFill>
        <a:blip xmlns:r="http://schemas.openxmlformats.org/officeDocument/2006/relationships" r:embed="rId74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57" name="ID_18FD5E6705E64FB1917F14E7F4E0739C" descr=" "/>
        <xdr:cNvPicPr/>
      </xdr:nvPicPr>
      <xdr:blipFill>
        <a:blip xmlns:r="http://schemas.openxmlformats.org/officeDocument/2006/relationships" r:embed="rId145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58" name="ID_A816E7849355495C9803D5ED45BFB846" descr=" "/>
        <xdr:cNvPicPr/>
      </xdr:nvPicPr>
      <xdr:blipFill>
        <a:blip xmlns:r="http://schemas.openxmlformats.org/officeDocument/2006/relationships" r:embed="rId146"/>
        <a:srcRect/>
        <a:stretch>
          <a:fillRect/>
        </a:stretch>
      </xdr:blipFill>
      <xdr:spPr>
        <a:xfrm>
          <a:off x="0" y="0"/>
          <a:ext cx="11100521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59" name="ID_1EA0A81F887E4E24B07EF55140652EA9" descr=" "/>
        <xdr:cNvPicPr/>
      </xdr:nvPicPr>
      <xdr:blipFill>
        <a:blip xmlns:r="http://schemas.openxmlformats.org/officeDocument/2006/relationships" r:embed="rId147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60" name="ID_A0F9C20B80FA489E8E6C0C8E40959FC9" descr=" "/>
        <xdr:cNvPicPr/>
      </xdr:nvPicPr>
      <xdr:blipFill>
        <a:blip xmlns:r="http://schemas.openxmlformats.org/officeDocument/2006/relationships" r:embed="rId148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61" name="ID_421AB9897E634AC697A69A500324739D" descr=" "/>
        <xdr:cNvPicPr/>
      </xdr:nvPicPr>
      <xdr:blipFill>
        <a:blip xmlns:r="http://schemas.openxmlformats.org/officeDocument/2006/relationships" r:embed="rId149"/>
        <a:srcRect/>
        <a:stretch>
          <a:fillRect/>
        </a:stretch>
      </xdr:blipFill>
      <xdr:spPr>
        <a:xfrm>
          <a:off x="0" y="0"/>
          <a:ext cx="11100521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62" name="ID_A937B69BC0BA4A7699D278FAC3D0DF81" descr=" "/>
        <xdr:cNvPicPr/>
      </xdr:nvPicPr>
      <xdr:blipFill>
        <a:blip xmlns:r="http://schemas.openxmlformats.org/officeDocument/2006/relationships" r:embed="rId150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63" name="ID_69EA9D08DEDE465F80F8AAC4B40E6D74" descr=" "/>
        <xdr:cNvPicPr/>
      </xdr:nvPicPr>
      <xdr:blipFill>
        <a:blip xmlns:r="http://schemas.openxmlformats.org/officeDocument/2006/relationships" r:embed="rId151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64" name="ID_06270B95D9464817992C6A396C138924" descr=" "/>
        <xdr:cNvPicPr/>
      </xdr:nvPicPr>
      <xdr:blipFill>
        <a:blip xmlns:r="http://schemas.openxmlformats.org/officeDocument/2006/relationships" r:embed="rId152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65" name="ID_BEBB587213D8446090944F808D26EBCD" descr=" "/>
        <xdr:cNvPicPr/>
      </xdr:nvPicPr>
      <xdr:blipFill>
        <a:blip xmlns:r="http://schemas.openxmlformats.org/officeDocument/2006/relationships" r:embed="rId153"/>
        <a:srcRect/>
        <a:stretch>
          <a:fillRect/>
        </a:stretch>
      </xdr:blipFill>
      <xdr:spPr>
        <a:xfrm>
          <a:off x="0" y="0"/>
          <a:ext cx="11100521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66" name="ID_F9B2EBF828C24B28ACF7E57002BF768E" descr=" "/>
        <xdr:cNvPicPr/>
      </xdr:nvPicPr>
      <xdr:blipFill>
        <a:blip xmlns:r="http://schemas.openxmlformats.org/officeDocument/2006/relationships" r:embed="rId154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67" name="ID_927074808E3340548752E065AEF3D1E6" descr=" "/>
        <xdr:cNvPicPr/>
      </xdr:nvPicPr>
      <xdr:blipFill>
        <a:blip xmlns:r="http://schemas.openxmlformats.org/officeDocument/2006/relationships" r:embed="rId155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68" name="ID_EC7F68EA08E54407AE2E82E9F48C4D3B" descr=" "/>
        <xdr:cNvPicPr/>
      </xdr:nvPicPr>
      <xdr:blipFill>
        <a:blip xmlns:r="http://schemas.openxmlformats.org/officeDocument/2006/relationships" r:embed="rId156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69" name="ID_4CA2B8DF94C447669108F7A2EA5535E7" descr=" "/>
        <xdr:cNvPicPr/>
      </xdr:nvPicPr>
      <xdr:blipFill>
        <a:blip xmlns:r="http://schemas.openxmlformats.org/officeDocument/2006/relationships" r:embed="rId157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70" name="ID_04092D4B45674962AFD2FEBFC57E84C5" descr=" "/>
        <xdr:cNvPicPr/>
      </xdr:nvPicPr>
      <xdr:blipFill>
        <a:blip xmlns:r="http://schemas.openxmlformats.org/officeDocument/2006/relationships" r:embed="rId158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71" name="ID_A50683C2427D49268C41FBF19DB437DC" descr=" "/>
        <xdr:cNvPicPr/>
      </xdr:nvPicPr>
      <xdr:blipFill>
        <a:blip xmlns:r="http://schemas.openxmlformats.org/officeDocument/2006/relationships" r:embed="rId159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72" name="ID_688097FD97554F48BCA3E9D9A5F7F38E" descr=" "/>
        <xdr:cNvPicPr/>
      </xdr:nvPicPr>
      <xdr:blipFill>
        <a:blip xmlns:r="http://schemas.openxmlformats.org/officeDocument/2006/relationships" r:embed="rId160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73" name="ID_8ECE0DC76EB842A2AD89BFE3D6891FDB" descr=" "/>
        <xdr:cNvPicPr/>
      </xdr:nvPicPr>
      <xdr:blipFill>
        <a:blip xmlns:r="http://schemas.openxmlformats.org/officeDocument/2006/relationships" r:embed="rId161"/>
        <a:srcRect/>
        <a:stretch>
          <a:fillRect/>
        </a:stretch>
      </xdr:blipFill>
      <xdr:spPr>
        <a:xfrm>
          <a:off x="0" y="0"/>
          <a:ext cx="11100521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74" name="ID_2223514A461C4CE19947517F41A6EF1E" descr=" "/>
        <xdr:cNvPicPr/>
      </xdr:nvPicPr>
      <xdr:blipFill>
        <a:blip xmlns:r="http://schemas.openxmlformats.org/officeDocument/2006/relationships" r:embed="rId162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75" name="ID_9D3FC390414B46F6A68CD1FDFE956067" descr=" "/>
        <xdr:cNvPicPr/>
      </xdr:nvPicPr>
      <xdr:blipFill>
        <a:blip xmlns:r="http://schemas.openxmlformats.org/officeDocument/2006/relationships" r:embed="rId163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76" name="ID_7858F06D52074C00BD87754B837DC44C" descr=" "/>
        <xdr:cNvPicPr/>
      </xdr:nvPicPr>
      <xdr:blipFill>
        <a:blip xmlns:r="http://schemas.openxmlformats.org/officeDocument/2006/relationships" r:embed="rId164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77" name="ID_9C9A422D9ECB4BB6828A5587CAAC8C7B" descr=" "/>
        <xdr:cNvPicPr/>
      </xdr:nvPicPr>
      <xdr:blipFill>
        <a:blip xmlns:r="http://schemas.openxmlformats.org/officeDocument/2006/relationships" r:embed="rId165"/>
        <a:srcRect/>
        <a:stretch>
          <a:fillRect/>
        </a:stretch>
      </xdr:blipFill>
      <xdr:spPr>
        <a:xfrm>
          <a:off x="0" y="0"/>
          <a:ext cx="11100521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78" name="ID_47B0D91FAEB448AD817C77E02B851032" descr=" "/>
        <xdr:cNvPicPr/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79" name="ID_DE746774BC584D829B7EE70DE17EA9D2" descr=" "/>
        <xdr:cNvPicPr/>
      </xdr:nvPicPr>
      <xdr:blipFill>
        <a:blip xmlns:r="http://schemas.openxmlformats.org/officeDocument/2006/relationships" r:embed="rId166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80" name="ID_4A2700E336A949E093C8477972B21CD5" descr=" "/>
        <xdr:cNvPicPr/>
      </xdr:nvPicPr>
      <xdr:blipFill>
        <a:blip xmlns:r="http://schemas.openxmlformats.org/officeDocument/2006/relationships" r:embed="rId167"/>
        <a:srcRect/>
        <a:stretch>
          <a:fillRect/>
        </a:stretch>
      </xdr:blipFill>
      <xdr:spPr>
        <a:xfrm>
          <a:off x="0" y="0"/>
          <a:ext cx="8325390" cy="11100521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81" name="ID_B61F1440F0374ADCAED523F624ED9744" descr=" "/>
        <xdr:cNvPicPr/>
      </xdr:nvPicPr>
      <xdr:blipFill>
        <a:blip xmlns:r="http://schemas.openxmlformats.org/officeDocument/2006/relationships" r:embed="rId168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82" name="ID_5394CAB01685481086B63F6696114458" descr=" "/>
        <xdr:cNvPicPr/>
      </xdr:nvPicPr>
      <xdr:blipFill>
        <a:blip xmlns:r="http://schemas.openxmlformats.org/officeDocument/2006/relationships" r:embed="rId169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83" name="ID_285FFEA053254580B8EB15E1BE572728" descr=" "/>
        <xdr:cNvPicPr/>
      </xdr:nvPicPr>
      <xdr:blipFill>
        <a:blip xmlns:r="http://schemas.openxmlformats.org/officeDocument/2006/relationships" r:embed="rId170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84" name="ID_D2E87383920645D19501147E97B807EB" descr=" "/>
        <xdr:cNvPicPr/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0" y="0"/>
          <a:ext cx="8325390" cy="11100521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85" name="ID_723AF979ABBA416F81559C5C6A0AF984" descr=" "/>
        <xdr:cNvPicPr/>
      </xdr:nvPicPr>
      <xdr:blipFill>
        <a:blip xmlns:r="http://schemas.openxmlformats.org/officeDocument/2006/relationships" r:embed="rId171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86" name="ID_2037230929FE4BD481B828835848E7D4" descr=" "/>
        <xdr:cNvPicPr/>
      </xdr:nvPicPr>
      <xdr:blipFill>
        <a:blip xmlns:r="http://schemas.openxmlformats.org/officeDocument/2006/relationships" r:embed="rId172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87" name="ID_3FCA2B3F364040EBACA35141E3FEC2FA" descr=" "/>
        <xdr:cNvPicPr/>
      </xdr:nvPicPr>
      <xdr:blipFill>
        <a:blip xmlns:r="http://schemas.openxmlformats.org/officeDocument/2006/relationships" r:embed="rId173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88" name="ID_8B91FB15C35141EDBA091C17DF2AB322" descr=" "/>
        <xdr:cNvPicPr/>
      </xdr:nvPicPr>
      <xdr:blipFill>
        <a:blip xmlns:r="http://schemas.openxmlformats.org/officeDocument/2006/relationships" r:embed="rId83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89" name="ID_AECB56CFDAF940D7B736DE844922F71B" descr=" "/>
        <xdr:cNvPicPr/>
      </xdr:nvPicPr>
      <xdr:blipFill>
        <a:blip xmlns:r="http://schemas.openxmlformats.org/officeDocument/2006/relationships" r:embed="rId130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90" name="ID_8B125AFDDF2E4CBBB37ADD7D91DDB43B" descr=" "/>
        <xdr:cNvPicPr/>
      </xdr:nvPicPr>
      <xdr:blipFill>
        <a:blip xmlns:r="http://schemas.openxmlformats.org/officeDocument/2006/relationships" r:embed="rId174"/>
        <a:srcRect/>
        <a:stretch>
          <a:fillRect/>
        </a:stretch>
      </xdr:blipFill>
      <xdr:spPr>
        <a:xfrm>
          <a:off x="0" y="0"/>
          <a:ext cx="11100521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91" name="ID_C82BDB3E92F14D75A4AD778DBDF4D4FB" descr=" "/>
        <xdr:cNvPicPr/>
      </xdr:nvPicPr>
      <xdr:blipFill>
        <a:blip xmlns:r="http://schemas.openxmlformats.org/officeDocument/2006/relationships" r:embed="rId37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92" name="ID_41ACF53DC348418C99D142C597790E51" descr=" "/>
        <xdr:cNvPicPr/>
      </xdr:nvPicPr>
      <xdr:blipFill>
        <a:blip xmlns:r="http://schemas.openxmlformats.org/officeDocument/2006/relationships" r:embed="rId175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93" name="ID_9E73BCC1249442EC8F45CBB7FBA8AFF0" descr=" "/>
        <xdr:cNvPicPr/>
      </xdr:nvPicPr>
      <xdr:blipFill>
        <a:blip xmlns:r="http://schemas.openxmlformats.org/officeDocument/2006/relationships" r:embed="rId115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94" name="ID_D51E06D12ECE4589BD1126BF2FFF0561" descr=" "/>
        <xdr:cNvPicPr/>
      </xdr:nvPicPr>
      <xdr:blipFill>
        <a:blip xmlns:r="http://schemas.openxmlformats.org/officeDocument/2006/relationships" r:embed="rId176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95" name="ID_104A9143D43D40DEBE6FFA4A08456083" descr=" "/>
        <xdr:cNvPicPr/>
      </xdr:nvPicPr>
      <xdr:blipFill>
        <a:blip xmlns:r="http://schemas.openxmlformats.org/officeDocument/2006/relationships" r:embed="rId177"/>
        <a:srcRect/>
        <a:stretch>
          <a:fillRect/>
        </a:stretch>
      </xdr:blipFill>
      <xdr:spPr>
        <a:xfrm>
          <a:off x="0" y="0"/>
          <a:ext cx="11100521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96" name="ID_60A2DAA59DFD42C598CBC88E7DFB1583" descr=" "/>
        <xdr:cNvPicPr/>
      </xdr:nvPicPr>
      <xdr:blipFill>
        <a:blip xmlns:r="http://schemas.openxmlformats.org/officeDocument/2006/relationships" r:embed="rId178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97" name="ID_F560D9354B0B42878FED22A4C77373DE" descr=" "/>
        <xdr:cNvPicPr/>
      </xdr:nvPicPr>
      <xdr:blipFill>
        <a:blip xmlns:r="http://schemas.openxmlformats.org/officeDocument/2006/relationships" r:embed="rId179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98" name="ID_7CDC76D3F24D4C3ABD99AE94008B58DA" descr=" "/>
        <xdr:cNvPicPr/>
      </xdr:nvPicPr>
      <xdr:blipFill>
        <a:blip xmlns:r="http://schemas.openxmlformats.org/officeDocument/2006/relationships" r:embed="rId180"/>
        <a:srcRect/>
        <a:stretch>
          <a:fillRect/>
        </a:stretch>
      </xdr:blipFill>
      <xdr:spPr>
        <a:xfrm>
          <a:off x="0" y="0"/>
          <a:ext cx="11100521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99" name="ID_1628BD10ACCA4656B127B4F1B3A39AA6" descr=" "/>
        <xdr:cNvPicPr/>
      </xdr:nvPicPr>
      <xdr:blipFill>
        <a:blip xmlns:r="http://schemas.openxmlformats.org/officeDocument/2006/relationships" r:embed="rId181"/>
        <a:srcRect/>
        <a:stretch>
          <a:fillRect/>
        </a:stretch>
      </xdr:blipFill>
      <xdr:spPr>
        <a:xfrm>
          <a:off x="0" y="0"/>
          <a:ext cx="11100521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00" name="ID_F14408A8BE8E4A2E830B699294A9BB70" descr=" "/>
        <xdr:cNvPicPr/>
      </xdr:nvPicPr>
      <xdr:blipFill>
        <a:blip xmlns:r="http://schemas.openxmlformats.org/officeDocument/2006/relationships" r:embed="rId182"/>
        <a:srcRect/>
        <a:stretch>
          <a:fillRect/>
        </a:stretch>
      </xdr:blipFill>
      <xdr:spPr>
        <a:xfrm>
          <a:off x="0" y="0"/>
          <a:ext cx="11100521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01" name="ID_038D936BA62547499A8185CEE02EC015" descr=" "/>
        <xdr:cNvPicPr/>
      </xdr:nvPicPr>
      <xdr:blipFill>
        <a:blip xmlns:r="http://schemas.openxmlformats.org/officeDocument/2006/relationships" r:embed="rId183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02" name="ID_872DE02A47BF425190EFDBBAD28093D2" descr=" "/>
        <xdr:cNvPicPr/>
      </xdr:nvPicPr>
      <xdr:blipFill>
        <a:blip xmlns:r="http://schemas.openxmlformats.org/officeDocument/2006/relationships" r:embed="rId184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03" name="ID_3D358238FF0643F4929E933C5DAFCC2E" descr=" "/>
        <xdr:cNvPicPr/>
      </xdr:nvPicPr>
      <xdr:blipFill>
        <a:blip xmlns:r="http://schemas.openxmlformats.org/officeDocument/2006/relationships" r:embed="rId185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04" name="ID_EF72F43E67B94971BB62EA8C99FF269E" descr=" "/>
        <xdr:cNvPicPr/>
      </xdr:nvPicPr>
      <xdr:blipFill>
        <a:blip xmlns:r="http://schemas.openxmlformats.org/officeDocument/2006/relationships" r:embed="rId186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05" name="ID_8E64B61A35D745CEB5C8EAA96205F42E" descr=" "/>
        <xdr:cNvPicPr/>
      </xdr:nvPicPr>
      <xdr:blipFill>
        <a:blip xmlns:r="http://schemas.openxmlformats.org/officeDocument/2006/relationships" r:embed="rId187"/>
        <a:srcRect/>
        <a:stretch>
          <a:fillRect/>
        </a:stretch>
      </xdr:blipFill>
      <xdr:spPr>
        <a:xfrm>
          <a:off x="0" y="0"/>
          <a:ext cx="11100521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06" name="ID_33B11575F3D24AD0BC7B7A869778B246" descr=" "/>
        <xdr:cNvPicPr/>
      </xdr:nvPicPr>
      <xdr:blipFill>
        <a:blip xmlns:r="http://schemas.openxmlformats.org/officeDocument/2006/relationships" r:embed="rId88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07" name="ID_E7103660FB1B449A87B4217DFE393789" descr=" "/>
        <xdr:cNvPicPr/>
      </xdr:nvPicPr>
      <xdr:blipFill>
        <a:blip xmlns:r="http://schemas.openxmlformats.org/officeDocument/2006/relationships" r:embed="rId188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08" name="ID_F5F7A1D0D5C84FD58B66E372BD3AA76C" descr=" "/>
        <xdr:cNvPicPr/>
      </xdr:nvPicPr>
      <xdr:blipFill>
        <a:blip xmlns:r="http://schemas.openxmlformats.org/officeDocument/2006/relationships" r:embed="rId189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09" name="ID_7F120FAE99C843EDBEE1B219E04C2F37" descr=" "/>
        <xdr:cNvPicPr/>
      </xdr:nvPicPr>
      <xdr:blipFill>
        <a:blip xmlns:r="http://schemas.openxmlformats.org/officeDocument/2006/relationships" r:embed="rId190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10" name="ID_8ACF55753F704F16B2DEC676F2358E53" descr=" "/>
        <xdr:cNvPicPr/>
      </xdr:nvPicPr>
      <xdr:blipFill>
        <a:blip xmlns:r="http://schemas.openxmlformats.org/officeDocument/2006/relationships" r:embed="rId191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11" name="ID_193CFF3D3753402A9DB32ED03395E447" descr=" "/>
        <xdr:cNvPicPr/>
      </xdr:nvPicPr>
      <xdr:blipFill>
        <a:blip xmlns:r="http://schemas.openxmlformats.org/officeDocument/2006/relationships" r:embed="rId192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12" name="ID_F4B6159D58AB485CA7F365352B4EA6BC" descr=" "/>
        <xdr:cNvPicPr/>
      </xdr:nvPicPr>
      <xdr:blipFill>
        <a:blip xmlns:r="http://schemas.openxmlformats.org/officeDocument/2006/relationships" r:embed="rId193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13" name="ID_AB77CFD89F464FCB800AA9ADA227B5A3" descr=" "/>
        <xdr:cNvPicPr/>
      </xdr:nvPicPr>
      <xdr:blipFill>
        <a:blip xmlns:r="http://schemas.openxmlformats.org/officeDocument/2006/relationships" r:embed="rId194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14" name="ID_B4557DE43085475387DB3C631A30EE73" descr=" "/>
        <xdr:cNvPicPr/>
      </xdr:nvPicPr>
      <xdr:blipFill>
        <a:blip xmlns:r="http://schemas.openxmlformats.org/officeDocument/2006/relationships" r:embed="rId107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15" name="ID_30980BB0D3704DC48419CF68B362F82A" descr=" "/>
        <xdr:cNvPicPr/>
      </xdr:nvPicPr>
      <xdr:blipFill>
        <a:blip xmlns:r="http://schemas.openxmlformats.org/officeDocument/2006/relationships" r:embed="rId195"/>
        <a:srcRect/>
        <a:stretch>
          <a:fillRect/>
        </a:stretch>
      </xdr:blipFill>
      <xdr:spPr>
        <a:xfrm>
          <a:off x="0" y="0"/>
          <a:ext cx="11100521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16" name="ID_E5527E60F1144239B636463434AFE5DD" descr=" "/>
        <xdr:cNvPicPr/>
      </xdr:nvPicPr>
      <xdr:blipFill>
        <a:blip xmlns:r="http://schemas.openxmlformats.org/officeDocument/2006/relationships" r:embed="rId196"/>
        <a:srcRect/>
        <a:stretch>
          <a:fillRect/>
        </a:stretch>
      </xdr:blipFill>
      <xdr:spPr>
        <a:xfrm>
          <a:off x="0" y="0"/>
          <a:ext cx="11100521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17" name="ID_35E668978F554D3C9A76C4E439739073" descr=" "/>
        <xdr:cNvPicPr/>
      </xdr:nvPicPr>
      <xdr:blipFill>
        <a:blip xmlns:r="http://schemas.openxmlformats.org/officeDocument/2006/relationships" r:embed="rId197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18" name="ID_99518B2058444190AEF74E5F49649DAB" descr=" "/>
        <xdr:cNvPicPr/>
      </xdr:nvPicPr>
      <xdr:blipFill>
        <a:blip xmlns:r="http://schemas.openxmlformats.org/officeDocument/2006/relationships" r:embed="rId89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19" name="ID_886A84648D604C0E9C921AC90518F44E" descr=" "/>
        <xdr:cNvPicPr/>
      </xdr:nvPicPr>
      <xdr:blipFill>
        <a:blip xmlns:r="http://schemas.openxmlformats.org/officeDocument/2006/relationships" r:embed="rId198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20" name="ID_645F88A9721F4C85AD75D9179434A4D9" descr=" "/>
        <xdr:cNvPicPr/>
      </xdr:nvPicPr>
      <xdr:blipFill>
        <a:blip xmlns:r="http://schemas.openxmlformats.org/officeDocument/2006/relationships" r:embed="rId199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21" name="ID_5D04FFE03E4D41E1B815EDE45FEFFC90" descr=" "/>
        <xdr:cNvPicPr/>
      </xdr:nvPicPr>
      <xdr:blipFill>
        <a:blip xmlns:r="http://schemas.openxmlformats.org/officeDocument/2006/relationships" r:embed="rId141"/>
        <a:srcRect/>
        <a:stretch>
          <a:fillRect/>
        </a:stretch>
      </xdr:blipFill>
      <xdr:spPr>
        <a:xfrm>
          <a:off x="0" y="0"/>
          <a:ext cx="11100521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22" name="ID_E202891C6B424A48B4D38948EE3858A2" descr=" "/>
        <xdr:cNvPicPr/>
      </xdr:nvPicPr>
      <xdr:blipFill>
        <a:blip xmlns:r="http://schemas.openxmlformats.org/officeDocument/2006/relationships" r:embed="rId200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23" name="ID_60DE88D1085E4F27980186EFE62FAFD3" descr=" "/>
        <xdr:cNvPicPr/>
      </xdr:nvPicPr>
      <xdr:blipFill>
        <a:blip xmlns:r="http://schemas.openxmlformats.org/officeDocument/2006/relationships" r:embed="rId201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24" name="ID_25F147B087DD4D3EBE84CDBB7FB8AE2D" descr=" "/>
        <xdr:cNvPicPr/>
      </xdr:nvPicPr>
      <xdr:blipFill>
        <a:blip xmlns:r="http://schemas.openxmlformats.org/officeDocument/2006/relationships" r:embed="rId202"/>
        <a:srcRect/>
        <a:stretch>
          <a:fillRect/>
        </a:stretch>
      </xdr:blipFill>
      <xdr:spPr>
        <a:xfrm>
          <a:off x="0" y="0"/>
          <a:ext cx="11100521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25" name="ID_A25EE6DA8B7A45F99B4DF609BD2B8937" descr=" "/>
        <xdr:cNvPicPr/>
      </xdr:nvPicPr>
      <xdr:blipFill>
        <a:blip xmlns:r="http://schemas.openxmlformats.org/officeDocument/2006/relationships" r:embed="rId203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26" name="ID_8A5E0ECBA6F24C779FCA3E7BC29BC553" descr=" "/>
        <xdr:cNvPicPr/>
      </xdr:nvPicPr>
      <xdr:blipFill>
        <a:blip xmlns:r="http://schemas.openxmlformats.org/officeDocument/2006/relationships" r:embed="rId102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27" name="ID_742DA747712048D0BEA7BD324E0BA900" descr=" "/>
        <xdr:cNvPicPr/>
      </xdr:nvPicPr>
      <xdr:blipFill>
        <a:blip xmlns:r="http://schemas.openxmlformats.org/officeDocument/2006/relationships" r:embed="rId185"/>
        <a:srcRect/>
        <a:stretch>
          <a:fillRect/>
        </a:stretch>
      </xdr:blipFill>
      <xdr:spPr>
        <a:xfrm>
          <a:off x="0" y="0"/>
          <a:ext cx="8325390" cy="11100521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28" name="ID_3F767878DF6F49A085F89BC62DC3689C" descr=" "/>
        <xdr:cNvPicPr/>
      </xdr:nvPicPr>
      <xdr:blipFill>
        <a:blip xmlns:r="http://schemas.openxmlformats.org/officeDocument/2006/relationships" r:embed="rId204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29" name="ID_DC3DE6F5897B4F499D34D28D3D3BF9CC" descr=" "/>
        <xdr:cNvPicPr/>
      </xdr:nvPicPr>
      <xdr:blipFill>
        <a:blip xmlns:r="http://schemas.openxmlformats.org/officeDocument/2006/relationships" r:embed="rId99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30" name="ID_59FB013469CA41A5A5C81D711CC9C050" descr=" "/>
        <xdr:cNvPicPr/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31" name="ID_734DA4FE70514B24A091943244D4CFA7" descr=" "/>
        <xdr:cNvPicPr/>
      </xdr:nvPicPr>
      <xdr:blipFill>
        <a:blip xmlns:r="http://schemas.openxmlformats.org/officeDocument/2006/relationships" r:embed="rId205"/>
        <a:srcRect/>
        <a:stretch>
          <a:fillRect/>
        </a:stretch>
      </xdr:blipFill>
      <xdr:spPr>
        <a:xfrm>
          <a:off x="0" y="0"/>
          <a:ext cx="11100521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32" name="ID_1C4BF1EDB4EB4FFEB102180C07460B0C" descr=" "/>
        <xdr:cNvPicPr/>
      </xdr:nvPicPr>
      <xdr:blipFill>
        <a:blip xmlns:r="http://schemas.openxmlformats.org/officeDocument/2006/relationships" r:embed="rId206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33" name="ID_7C62FEC43BBB49CAB1B5E1BCCEE6D06D" descr=" "/>
        <xdr:cNvPicPr/>
      </xdr:nvPicPr>
      <xdr:blipFill>
        <a:blip xmlns:r="http://schemas.openxmlformats.org/officeDocument/2006/relationships" r:embed="rId207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34" name="ID_0CB417B4F88D46189923184D8399A0A0" descr=" "/>
        <xdr:cNvPicPr/>
      </xdr:nvPicPr>
      <xdr:blipFill>
        <a:blip xmlns:r="http://schemas.openxmlformats.org/officeDocument/2006/relationships" r:embed="rId208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35" name="ID_03CBB9CE1D334B7E849D9AF4076B3574" descr=" "/>
        <xdr:cNvPicPr/>
      </xdr:nvPicPr>
      <xdr:blipFill>
        <a:blip xmlns:r="http://schemas.openxmlformats.org/officeDocument/2006/relationships" r:embed="rId209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36" name="ID_B165A147F49C41D5A1A4E5E3112B783C" descr=" "/>
        <xdr:cNvPicPr/>
      </xdr:nvPicPr>
      <xdr:blipFill>
        <a:blip xmlns:r="http://schemas.openxmlformats.org/officeDocument/2006/relationships" r:embed="rId210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37" name="ID_55ACDCAEDCA94CCDAE3B52D5658C4879" descr=" "/>
        <xdr:cNvPicPr/>
      </xdr:nvPicPr>
      <xdr:blipFill>
        <a:blip xmlns:r="http://schemas.openxmlformats.org/officeDocument/2006/relationships" r:embed="rId56"/>
        <a:srcRect/>
        <a:stretch>
          <a:fillRect/>
        </a:stretch>
      </xdr:blipFill>
      <xdr:spPr>
        <a:xfrm>
          <a:off x="0" y="0"/>
          <a:ext cx="8325390" cy="11100521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38" name="ID_052FE247BEE44D0ABEFE2F47C8523AEB" descr=" "/>
        <xdr:cNvPicPr/>
      </xdr:nvPicPr>
      <xdr:blipFill>
        <a:blip xmlns:r="http://schemas.openxmlformats.org/officeDocument/2006/relationships" r:embed="rId70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39" name="ID_B978EC7D97C847619E709313F591E99C" descr=" "/>
        <xdr:cNvPicPr/>
      </xdr:nvPicPr>
      <xdr:blipFill>
        <a:blip xmlns:r="http://schemas.openxmlformats.org/officeDocument/2006/relationships" r:embed="rId211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40" name="ID_8B039E77E26247CCBB1E32CCD503EFAE" descr=" "/>
        <xdr:cNvPicPr/>
      </xdr:nvPicPr>
      <xdr:blipFill>
        <a:blip xmlns:r="http://schemas.openxmlformats.org/officeDocument/2006/relationships" r:embed="rId212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41" name="ID_2C3501B0CD2D4E5AADC77980102BDA39" descr=" "/>
        <xdr:cNvPicPr/>
      </xdr:nvPicPr>
      <xdr:blipFill>
        <a:blip xmlns:r="http://schemas.openxmlformats.org/officeDocument/2006/relationships" r:embed="rId213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42" name="ID_66F11B95FCF149A7A7750AA14BA94EB4" descr=" "/>
        <xdr:cNvPicPr/>
      </xdr:nvPicPr>
      <xdr:blipFill>
        <a:blip xmlns:r="http://schemas.openxmlformats.org/officeDocument/2006/relationships" r:embed="rId214"/>
        <a:srcRect/>
        <a:stretch>
          <a:fillRect/>
        </a:stretch>
      </xdr:blipFill>
      <xdr:spPr>
        <a:xfrm>
          <a:off x="0" y="0"/>
          <a:ext cx="8325390" cy="11100521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43" name="ID_ADF28E886BC148558DB8F0405779AD59" descr=" "/>
        <xdr:cNvPicPr/>
      </xdr:nvPicPr>
      <xdr:blipFill>
        <a:blip xmlns:r="http://schemas.openxmlformats.org/officeDocument/2006/relationships" r:embed="rId213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44" name="ID_6ECE787E2CD54AE8ADE893076B9C7CB7" descr=" "/>
        <xdr:cNvPicPr/>
      </xdr:nvPicPr>
      <xdr:blipFill>
        <a:blip xmlns:r="http://schemas.openxmlformats.org/officeDocument/2006/relationships" r:embed="rId215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45" name="ID_CD6D612E4A384107BEB73F8D2C122688" descr=" "/>
        <xdr:cNvPicPr/>
      </xdr:nvPicPr>
      <xdr:blipFill>
        <a:blip xmlns:r="http://schemas.openxmlformats.org/officeDocument/2006/relationships" r:embed="rId157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46" name="ID_866C57A1B7EE4B9FB4FC0E84610A5FD9" descr=" "/>
        <xdr:cNvPicPr/>
      </xdr:nvPicPr>
      <xdr:blipFill>
        <a:blip xmlns:r="http://schemas.openxmlformats.org/officeDocument/2006/relationships" r:embed="rId216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47" name="ID_2C7C0CAA5DEC4D9D9A1BF62024263F3A" descr=" "/>
        <xdr:cNvPicPr/>
      </xdr:nvPicPr>
      <xdr:blipFill>
        <a:blip xmlns:r="http://schemas.openxmlformats.org/officeDocument/2006/relationships" r:embed="rId126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48" name="ID_24259EE7B4B24C7F843230A309B72E26" descr=" "/>
        <xdr:cNvPicPr/>
      </xdr:nvPicPr>
      <xdr:blipFill>
        <a:blip xmlns:r="http://schemas.openxmlformats.org/officeDocument/2006/relationships" r:embed="rId217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49" name="ID_A9ACF419F27C4AE8A38815E388A64936" descr=" "/>
        <xdr:cNvPicPr/>
      </xdr:nvPicPr>
      <xdr:blipFill>
        <a:blip xmlns:r="http://schemas.openxmlformats.org/officeDocument/2006/relationships" r:embed="rId110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50" name="ID_B6AB255DE8014EA7A7165F5F4C3BB20B" descr=" "/>
        <xdr:cNvPicPr/>
      </xdr:nvPicPr>
      <xdr:blipFill>
        <a:blip xmlns:r="http://schemas.openxmlformats.org/officeDocument/2006/relationships" r:embed="rId218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51" name="ID_75CDE170926048FB9F41314FDE2775DD" descr=" "/>
        <xdr:cNvPicPr/>
      </xdr:nvPicPr>
      <xdr:blipFill>
        <a:blip xmlns:r="http://schemas.openxmlformats.org/officeDocument/2006/relationships" r:embed="rId219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52" name="ID_AF474CE2EDBD48028E272A5A8AF1C8E8" descr=" "/>
        <xdr:cNvPicPr/>
      </xdr:nvPicPr>
      <xdr:blipFill>
        <a:blip xmlns:r="http://schemas.openxmlformats.org/officeDocument/2006/relationships" r:embed="rId220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53" name="ID_D91D8BFD0F174B58BD4A2C3739CB36E0" descr=" "/>
        <xdr:cNvPicPr/>
      </xdr:nvPicPr>
      <xdr:blipFill>
        <a:blip xmlns:r="http://schemas.openxmlformats.org/officeDocument/2006/relationships" r:embed="rId221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54" name="ID_DED27DD340084602852263D14704D264" descr=" "/>
        <xdr:cNvPicPr/>
      </xdr:nvPicPr>
      <xdr:blipFill>
        <a:blip xmlns:r="http://schemas.openxmlformats.org/officeDocument/2006/relationships" r:embed="rId222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55" name="ID_2A1699B4F4F14DB582EC75F0476D0A36" descr=" "/>
        <xdr:cNvPicPr/>
      </xdr:nvPicPr>
      <xdr:blipFill>
        <a:blip xmlns:r="http://schemas.openxmlformats.org/officeDocument/2006/relationships" r:embed="rId223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56" name="ID_4CADD32E69FA4A7D884291A74A8D8FD4" descr=" "/>
        <xdr:cNvPicPr/>
      </xdr:nvPicPr>
      <xdr:blipFill>
        <a:blip xmlns:r="http://schemas.openxmlformats.org/officeDocument/2006/relationships" r:embed="rId224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57" name="ID_5965A9A52C794F7EB632D7DE258894BF" descr=" "/>
        <xdr:cNvPicPr/>
      </xdr:nvPicPr>
      <xdr:blipFill>
        <a:blip xmlns:r="http://schemas.openxmlformats.org/officeDocument/2006/relationships" r:embed="rId225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58" name="ID_9B0201A2EEE24EF1B635A59D1AD6E0EB" descr=" "/>
        <xdr:cNvPicPr/>
      </xdr:nvPicPr>
      <xdr:blipFill>
        <a:blip xmlns:r="http://schemas.openxmlformats.org/officeDocument/2006/relationships" r:embed="rId226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59" name="ID_BBB08CB9994348F6879E8F3ED1D4D6DA" descr=" "/>
        <xdr:cNvPicPr/>
      </xdr:nvPicPr>
      <xdr:blipFill>
        <a:blip xmlns:r="http://schemas.openxmlformats.org/officeDocument/2006/relationships" r:embed="rId227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60" name="ID_B747D6D1E8EE487DB8A9D7F503F052BD" descr=" "/>
        <xdr:cNvPicPr/>
      </xdr:nvPicPr>
      <xdr:blipFill>
        <a:blip xmlns:r="http://schemas.openxmlformats.org/officeDocument/2006/relationships" r:embed="rId157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61" name="ID_A6E0083D6AF847669478AB9C7DF6C281" descr=" "/>
        <xdr:cNvPicPr/>
      </xdr:nvPicPr>
      <xdr:blipFill>
        <a:blip xmlns:r="http://schemas.openxmlformats.org/officeDocument/2006/relationships" r:embed="rId228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62" name="ID_6C1340A58C2746BA9318F2FCFF8771D2" descr=" "/>
        <xdr:cNvPicPr/>
      </xdr:nvPicPr>
      <xdr:blipFill>
        <a:blip xmlns:r="http://schemas.openxmlformats.org/officeDocument/2006/relationships" r:embed="rId229"/>
        <a:srcRect/>
        <a:stretch>
          <a:fillRect/>
        </a:stretch>
      </xdr:blipFill>
      <xdr:spPr>
        <a:xfrm>
          <a:off x="0" y="0"/>
          <a:ext cx="11100521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63" name="ID_36CA9FD556DE4CE99C672CF156D21948" descr=" "/>
        <xdr:cNvPicPr/>
      </xdr:nvPicPr>
      <xdr:blipFill>
        <a:blip xmlns:r="http://schemas.openxmlformats.org/officeDocument/2006/relationships" r:embed="rId230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64" name="ID_6D66FD5724A94B06924ECA568D1163F0" descr=" "/>
        <xdr:cNvPicPr/>
      </xdr:nvPicPr>
      <xdr:blipFill>
        <a:blip xmlns:r="http://schemas.openxmlformats.org/officeDocument/2006/relationships" r:embed="rId231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65" name="ID_E32E2B2FB9664EB79FF14A6FBD5EBF6B" descr=" "/>
        <xdr:cNvPicPr/>
      </xdr:nvPicPr>
      <xdr:blipFill>
        <a:blip xmlns:r="http://schemas.openxmlformats.org/officeDocument/2006/relationships" r:embed="rId232"/>
        <a:srcRect/>
        <a:stretch>
          <a:fillRect/>
        </a:stretch>
      </xdr:blipFill>
      <xdr:spPr>
        <a:xfrm>
          <a:off x="0" y="0"/>
          <a:ext cx="11100521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66" name="ID_31B59CC297994A039D6971D7B0813269" descr=" "/>
        <xdr:cNvPicPr/>
      </xdr:nvPicPr>
      <xdr:blipFill>
        <a:blip xmlns:r="http://schemas.openxmlformats.org/officeDocument/2006/relationships" r:embed="rId233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67" name="ID_52A725B7A42D46DCAD453A7CEBC1450F" descr=" "/>
        <xdr:cNvPicPr/>
      </xdr:nvPicPr>
      <xdr:blipFill>
        <a:blip xmlns:r="http://schemas.openxmlformats.org/officeDocument/2006/relationships" r:embed="rId234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68" name="ID_268CCDC2A1794ECDA0BBA2DC2AF86996" descr=" "/>
        <xdr:cNvPicPr/>
      </xdr:nvPicPr>
      <xdr:blipFill>
        <a:blip xmlns:r="http://schemas.openxmlformats.org/officeDocument/2006/relationships" r:embed="rId166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69" name="ID_ABEC80FE284F499081AFC97346642E5C" descr=" "/>
        <xdr:cNvPicPr/>
      </xdr:nvPicPr>
      <xdr:blipFill>
        <a:blip xmlns:r="http://schemas.openxmlformats.org/officeDocument/2006/relationships" r:embed="rId235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70" name="ID_08CBD7C0EE754495AE066F366F2362E6" descr=" "/>
        <xdr:cNvPicPr/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0" y="0"/>
          <a:ext cx="8325390" cy="11100521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71" name="ID_7D21907057574AB78EBD66C4E4C88C7D" descr=" "/>
        <xdr:cNvPicPr/>
      </xdr:nvPicPr>
      <xdr:blipFill>
        <a:blip xmlns:r="http://schemas.openxmlformats.org/officeDocument/2006/relationships" r:embed="rId126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72" name="ID_B7D34C0FE0B04677AB6A30C9E0D8D5F6" descr=" "/>
        <xdr:cNvPicPr/>
      </xdr:nvPicPr>
      <xdr:blipFill>
        <a:blip xmlns:r="http://schemas.openxmlformats.org/officeDocument/2006/relationships" r:embed="rId236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73" name="ID_1D2B73AABC1E4590BAB2F9421B7E6FC6" descr=" "/>
        <xdr:cNvPicPr/>
      </xdr:nvPicPr>
      <xdr:blipFill>
        <a:blip xmlns:r="http://schemas.openxmlformats.org/officeDocument/2006/relationships" r:embed="rId237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74" name="ID_1A05E6D44F1E4A6DA27594FF8A20E1EC" descr=" "/>
        <xdr:cNvPicPr/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0" y="0"/>
          <a:ext cx="8325390" cy="11100521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75" name="ID_5FD33C5060614C38B581B9473A3A851D" descr=" "/>
        <xdr:cNvPicPr/>
      </xdr:nvPicPr>
      <xdr:blipFill>
        <a:blip xmlns:r="http://schemas.openxmlformats.org/officeDocument/2006/relationships" r:embed="rId238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76" name="ID_EA4828AB507647F5947DC96F67387AFD" descr=" "/>
        <xdr:cNvPicPr/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77" name="ID_9CAA1F0A238D4BF38D92D06A8F325D72" descr=" "/>
        <xdr:cNvPicPr/>
      </xdr:nvPicPr>
      <xdr:blipFill>
        <a:blip xmlns:r="http://schemas.openxmlformats.org/officeDocument/2006/relationships" r:embed="rId239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78" name="ID_81D64713D0BA47AC862A23206C40DC13" descr=" "/>
        <xdr:cNvPicPr/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79" name="ID_B5ED7E2B344845B9856884111556539F" descr=" "/>
        <xdr:cNvPicPr/>
      </xdr:nvPicPr>
      <xdr:blipFill>
        <a:blip xmlns:r="http://schemas.openxmlformats.org/officeDocument/2006/relationships" r:embed="rId240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80" name="ID_7C55F7C017E141C2894B0CDF180D2986" descr=" "/>
        <xdr:cNvPicPr/>
      </xdr:nvPicPr>
      <xdr:blipFill>
        <a:blip xmlns:r="http://schemas.openxmlformats.org/officeDocument/2006/relationships" r:embed="rId241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81" name="ID_85F974627EFF4FD8A0EBAFD7BC0BB5B6" descr=" "/>
        <xdr:cNvPicPr/>
      </xdr:nvPicPr>
      <xdr:blipFill>
        <a:blip xmlns:r="http://schemas.openxmlformats.org/officeDocument/2006/relationships" r:embed="rId242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82" name="ID_026FDBFA2F734ED8AF65BB0F774D75F3" descr=" "/>
        <xdr:cNvPicPr/>
      </xdr:nvPicPr>
      <xdr:blipFill>
        <a:blip xmlns:r="http://schemas.openxmlformats.org/officeDocument/2006/relationships" r:embed="rId243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83" name="ID_A4531082F86D4516B8E2EE42EC25128F" descr=" "/>
        <xdr:cNvPicPr/>
      </xdr:nvPicPr>
      <xdr:blipFill>
        <a:blip xmlns:r="http://schemas.openxmlformats.org/officeDocument/2006/relationships" r:embed="rId244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84" name="ID_EBEA81DA1D7349B3A2F063E1F3B542ED" descr=" "/>
        <xdr:cNvPicPr/>
      </xdr:nvPicPr>
      <xdr:blipFill>
        <a:blip xmlns:r="http://schemas.openxmlformats.org/officeDocument/2006/relationships" r:embed="rId245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85" name="ID_DDEB730B8D174B9FBC11D7D227608BF8" descr=" "/>
        <xdr:cNvPicPr/>
      </xdr:nvPicPr>
      <xdr:blipFill>
        <a:blip xmlns:r="http://schemas.openxmlformats.org/officeDocument/2006/relationships" r:embed="rId246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86" name="ID_BB0DC1D147E74351B43B9F2EA7F259EC" descr=" "/>
        <xdr:cNvPicPr/>
      </xdr:nvPicPr>
      <xdr:blipFill>
        <a:blip xmlns:r="http://schemas.openxmlformats.org/officeDocument/2006/relationships" r:embed="rId93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87" name="ID_09F92D2AED5A460BAF2CA09FA5F3A58F" descr=" "/>
        <xdr:cNvPicPr/>
      </xdr:nvPicPr>
      <xdr:blipFill>
        <a:blip xmlns:r="http://schemas.openxmlformats.org/officeDocument/2006/relationships" r:embed="rId247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88" name="ID_C2535694C85C4DBE9259239F4E162AF7" descr=" "/>
        <xdr:cNvPicPr/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0" y="0"/>
          <a:ext cx="11100521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89" name="ID_E9D30594AD1540BF92276659C8366F8A" descr=" "/>
        <xdr:cNvPicPr/>
      </xdr:nvPicPr>
      <xdr:blipFill>
        <a:blip xmlns:r="http://schemas.openxmlformats.org/officeDocument/2006/relationships" r:embed="rId248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90" name="ID_7BA2F5F72C3C44D1847D12C3DA12096A" descr=" "/>
        <xdr:cNvPicPr/>
      </xdr:nvPicPr>
      <xdr:blipFill>
        <a:blip xmlns:r="http://schemas.openxmlformats.org/officeDocument/2006/relationships" r:embed="rId249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91" name="ID_A5E9654217CD408F9457698A7826B2BF" descr=" "/>
        <xdr:cNvPicPr/>
      </xdr:nvPicPr>
      <xdr:blipFill>
        <a:blip xmlns:r="http://schemas.openxmlformats.org/officeDocument/2006/relationships" r:embed="rId70"/>
        <a:srcRect/>
        <a:stretch>
          <a:fillRect/>
        </a:stretch>
      </xdr:blipFill>
      <xdr:spPr>
        <a:xfrm>
          <a:off x="0" y="0"/>
          <a:ext cx="8325390" cy="11100521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92" name="ID_25F2B97CAF3C42E7A82775BA9FFBC041" descr=" "/>
        <xdr:cNvPicPr/>
      </xdr:nvPicPr>
      <xdr:blipFill>
        <a:blip xmlns:r="http://schemas.openxmlformats.org/officeDocument/2006/relationships" r:embed="rId250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93" name="ID_FA9C2FCDF46049B599B9BDD176D6B24E" descr=" "/>
        <xdr:cNvPicPr/>
      </xdr:nvPicPr>
      <xdr:blipFill>
        <a:blip xmlns:r="http://schemas.openxmlformats.org/officeDocument/2006/relationships" r:embed="rId251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94" name="ID_EF02FF2809994AECBC7EDAE8C4E79A5A" descr=" "/>
        <xdr:cNvPicPr/>
      </xdr:nvPicPr>
      <xdr:blipFill>
        <a:blip xmlns:r="http://schemas.openxmlformats.org/officeDocument/2006/relationships" r:embed="rId198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95" name="ID_59292EA6EC8140A5AD51BF95702BD4E3" descr=" "/>
        <xdr:cNvPicPr/>
      </xdr:nvPicPr>
      <xdr:blipFill>
        <a:blip xmlns:r="http://schemas.openxmlformats.org/officeDocument/2006/relationships" r:embed="rId252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96" name="ID_D4E18522FD4E4D02B3CDA29F5654FA10" descr=" "/>
        <xdr:cNvPicPr/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97" name="ID_9A9FC8F934B5420FBEFF7B00A50F0BCE" descr=" "/>
        <xdr:cNvPicPr/>
      </xdr:nvPicPr>
      <xdr:blipFill>
        <a:blip xmlns:r="http://schemas.openxmlformats.org/officeDocument/2006/relationships" r:embed="rId208"/>
        <a:srcRect/>
        <a:stretch>
          <a:fillRect/>
        </a:stretch>
      </xdr:blipFill>
      <xdr:spPr>
        <a:xfrm>
          <a:off x="0" y="0"/>
          <a:ext cx="8325390" cy="11100521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98" name="ID_AC281499B3CA407591323096C570A4E0" descr=" "/>
        <xdr:cNvPicPr/>
      </xdr:nvPicPr>
      <xdr:blipFill>
        <a:blip xmlns:r="http://schemas.openxmlformats.org/officeDocument/2006/relationships" r:embed="rId129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99" name="ID_C4FF1F8F759C4857864DA1A98027E7CE" descr=" "/>
        <xdr:cNvPicPr/>
      </xdr:nvPicPr>
      <xdr:blipFill>
        <a:blip xmlns:r="http://schemas.openxmlformats.org/officeDocument/2006/relationships" r:embed="rId253"/>
        <a:srcRect/>
        <a:stretch>
          <a:fillRect/>
        </a:stretch>
      </xdr:blipFill>
      <xdr:spPr>
        <a:xfrm>
          <a:off x="0" y="0"/>
          <a:ext cx="11100521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300" name="ID_AC848A22DC9A45D294D9908BBCA4B32E" descr=" "/>
        <xdr:cNvPicPr/>
      </xdr:nvPicPr>
      <xdr:blipFill>
        <a:blip xmlns:r="http://schemas.openxmlformats.org/officeDocument/2006/relationships" r:embed="rId254"/>
        <a:srcRect/>
        <a:stretch>
          <a:fillRect/>
        </a:stretch>
      </xdr:blipFill>
      <xdr:spPr>
        <a:xfrm>
          <a:off x="0" y="0"/>
          <a:ext cx="11100521" cy="832539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301" name="ID_64C37BC5D52742F2A112C2F5C237C797" descr=" "/>
        <xdr:cNvPicPr/>
      </xdr:nvPicPr>
      <xdr:blipFill>
        <a:blip xmlns:r="http://schemas.openxmlformats.org/officeDocument/2006/relationships" r:embed="rId223"/>
        <a:srcRect/>
        <a:stretch>
          <a:fillRect/>
        </a:stretch>
      </xdr:blipFill>
      <xdr:spPr>
        <a:xfrm>
          <a:off x="0" y="0"/>
          <a:ext cx="6244043" cy="8325390"/>
        </a:xfrm>
        <a:noFill/>
        <a:ln w="9525" cap="flat" cmpd="sng">
          <a:noFill/>
          <a:prstDash val="solid"/>
          <a:miter/>
        </a:ln>
        <a:effectLst/>
      </xdr:spPr>
    </xdr:pic>
  </etc:cellImage>
</etc:cellImage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<sst xmlns="http://schemas.openxmlformats.org/spreadsheetml/2006/main" count="762" uniqueCount="354">
  <si>
    <t>INVENTARIO DE PRODUCTOS</t>
  </si>
  <si>
    <t>SALIDAS</t>
  </si>
  <si>
    <t>ENTRADAS</t>
  </si>
  <si>
    <t>CÓDIGO PRODUCTO</t>
  </si>
  <si>
    <t>DESCRIPCIÓN</t>
  </si>
  <si>
    <t>EXISTENCIAS INICIALES</t>
  </si>
  <si>
    <t>STOCK</t>
  </si>
  <si>
    <t>FECHA</t>
  </si>
  <si>
    <t>CANTIDAD</t>
  </si>
  <si>
    <t>1023529A</t>
  </si>
  <si>
    <t xml:space="preserve">filtro de aire j320 </t>
  </si>
  <si>
    <t>materiales</t>
  </si>
  <si>
    <t xml:space="preserve">desengrasante industrial </t>
  </si>
  <si>
    <t xml:space="preserve">scraper ring </t>
  </si>
  <si>
    <t>filtro aire j320</t>
  </si>
  <si>
    <t>prefiltros o guatas</t>
  </si>
  <si>
    <t>aro fuego culata</t>
  </si>
  <si>
    <t>filtro aire j420</t>
  </si>
  <si>
    <t>baterias plus 8d-1600 usadas</t>
  </si>
  <si>
    <t>filtro aceite j420</t>
  </si>
  <si>
    <t>motobombas periféricas 0,5 y 1hp</t>
  </si>
  <si>
    <t>12vb1810b</t>
  </si>
  <si>
    <t>filtro aceite jinan</t>
  </si>
  <si>
    <t xml:space="preserve">materiales </t>
  </si>
  <si>
    <t>anillos de fuego usados</t>
  </si>
  <si>
    <t>217p-5m</t>
  </si>
  <si>
    <t>filtro gas entreda j420</t>
  </si>
  <si>
    <t>aspas de ventilador en aluminio</t>
  </si>
  <si>
    <t>filtro interno de aire 06 j420</t>
  </si>
  <si>
    <t>culata usada j320</t>
  </si>
  <si>
    <t>12vb0337</t>
  </si>
  <si>
    <t>valvula culata de admision jinan</t>
  </si>
  <si>
    <t>filtro de gas entrada jinan</t>
  </si>
  <si>
    <t>30/07/0206</t>
  </si>
  <si>
    <t>rejillas protectoras de ventilador</t>
  </si>
  <si>
    <t>12vb0322</t>
  </si>
  <si>
    <t>valvula culata de escape jinan</t>
  </si>
  <si>
    <t>gasket camisa bujía jinan</t>
  </si>
  <si>
    <t>brazo basculante</t>
  </si>
  <si>
    <t>asiento culata admision jinan</t>
  </si>
  <si>
    <t>vf06-1/2</t>
  </si>
  <si>
    <t>valvula control de flujo</t>
  </si>
  <si>
    <t xml:space="preserve">camisa cilíndrica </t>
  </si>
  <si>
    <t>asiento culata escape jinan</t>
  </si>
  <si>
    <t>guías puente balancines jinan</t>
  </si>
  <si>
    <t>filtros de aire 06</t>
  </si>
  <si>
    <t>12v0102c</t>
  </si>
  <si>
    <t>camisa de piston jinan</t>
  </si>
  <si>
    <t>scrape ring" anillos de fuego j320</t>
  </si>
  <si>
    <t>motor de arranque j320</t>
  </si>
  <si>
    <t>gasket junta de culata j320</t>
  </si>
  <si>
    <t>motor de arranque REPARADO j320</t>
  </si>
  <si>
    <t>gasket flauta de agua a culata j320</t>
  </si>
  <si>
    <t>12vb4603</t>
  </si>
  <si>
    <t>motor de arranque jinan</t>
  </si>
  <si>
    <t>hidroflow j420</t>
  </si>
  <si>
    <t>valvula medenus</t>
  </si>
  <si>
    <t>baterias 8d</t>
  </si>
  <si>
    <t>cinta de cellado de fluidos</t>
  </si>
  <si>
    <t>termocuplas j320</t>
  </si>
  <si>
    <t>termocuplas j420</t>
  </si>
  <si>
    <t>fuente de bateria j320</t>
  </si>
  <si>
    <t>baterias 12 v</t>
  </si>
  <si>
    <t>camisas de piston j320</t>
  </si>
  <si>
    <t>valvula reguladora dn80 j320</t>
  </si>
  <si>
    <t>baypass</t>
  </si>
  <si>
    <t>biela j320</t>
  </si>
  <si>
    <t>scraper ring"anillos de fuego" j320</t>
  </si>
  <si>
    <t>rodamiento tresero j320</t>
  </si>
  <si>
    <t>rodamiento delantero j320</t>
  </si>
  <si>
    <t>juntas flexibles j420</t>
  </si>
  <si>
    <t>válvulas 3 vías lt j320</t>
  </si>
  <si>
    <t>electrobomba 1hp</t>
  </si>
  <si>
    <t>bomba de agua j320</t>
  </si>
  <si>
    <t>valvula de agua 1/2</t>
  </si>
  <si>
    <t xml:space="preserve">materiales eléctricos </t>
  </si>
  <si>
    <t>sensores digitales msa</t>
  </si>
  <si>
    <t>control de nivel</t>
  </si>
  <si>
    <t>filtro aceite j320</t>
  </si>
  <si>
    <t>filtro aceite prelubricacion j320</t>
  </si>
  <si>
    <t>filtro de gas jinan</t>
  </si>
  <si>
    <t>bujías jinan</t>
  </si>
  <si>
    <t>oring sellos culata j320</t>
  </si>
  <si>
    <t>gasket bomba de alta descarga j320</t>
  </si>
  <si>
    <t>gasket tapa valvulas j320</t>
  </si>
  <si>
    <t>oring manifold admision j320</t>
  </si>
  <si>
    <t>eje valvula throttle j320</t>
  </si>
  <si>
    <t>perno de biela j320</t>
  </si>
  <si>
    <t>balancín de admision j320</t>
  </si>
  <si>
    <t>balancín de escape j320</t>
  </si>
  <si>
    <t>accesorios actuador</t>
  </si>
  <si>
    <t>casquete de biela j320 x2</t>
  </si>
  <si>
    <t xml:space="preserve">gasket junta de culata j320 </t>
  </si>
  <si>
    <t>termostato j320</t>
  </si>
  <si>
    <t>enfocador j320</t>
  </si>
  <si>
    <t>filtro niebla j320</t>
  </si>
  <si>
    <t>compensator j320</t>
  </si>
  <si>
    <t>arandelas bujías j420</t>
  </si>
  <si>
    <t>coupling j420</t>
  </si>
  <si>
    <t>puente de culata j420</t>
  </si>
  <si>
    <t>tuerca espárragos culata j420</t>
  </si>
  <si>
    <t>tuerca balancín j420</t>
  </si>
  <si>
    <t>tuerca tornillo regulador j420</t>
  </si>
  <si>
    <t>perno de ajuste puente culata j420</t>
  </si>
  <si>
    <t>tuerca balancin j420</t>
  </si>
  <si>
    <t>tornillo de regulación balancin j420</t>
  </si>
  <si>
    <t>anillos de fuego j420</t>
  </si>
  <si>
    <t>biela j420</t>
  </si>
  <si>
    <t>Ga-251711</t>
  </si>
  <si>
    <t>rodamiento de alternador india j420</t>
  </si>
  <si>
    <t>perno de biela j420</t>
  </si>
  <si>
    <t xml:space="preserve">manguera metálica flexibles </t>
  </si>
  <si>
    <t>camisas j420</t>
  </si>
  <si>
    <t>scrape ring j420</t>
  </si>
  <si>
    <t>piston 12.5 j420</t>
  </si>
  <si>
    <t>gasket múltiple de escape j420</t>
  </si>
  <si>
    <t>o-ring regulador oil j420</t>
  </si>
  <si>
    <t>gasket riel tubería agua j420</t>
  </si>
  <si>
    <t>o-ring camisas j420</t>
  </si>
  <si>
    <t>gasket múltiple escape salida j420</t>
  </si>
  <si>
    <t>o-ring j420</t>
  </si>
  <si>
    <t>o-ring culatin j420</t>
  </si>
  <si>
    <t>transformador de medicion j420</t>
  </si>
  <si>
    <t>o-ring de admision j420</t>
  </si>
  <si>
    <t>culata equipo g56 j420</t>
  </si>
  <si>
    <t>engranajes árbol levas j420</t>
  </si>
  <si>
    <t>empaque intercooler j420</t>
  </si>
  <si>
    <t>switch de nivel j420</t>
  </si>
  <si>
    <t>balancín de admision j420</t>
  </si>
  <si>
    <t>chavetas bulón piston j420</t>
  </si>
  <si>
    <t>anillos de compresion j420</t>
  </si>
  <si>
    <t>anillos lubricación j420</t>
  </si>
  <si>
    <t>anillos rascador j420</t>
  </si>
  <si>
    <t>arandelas de bronce j420</t>
  </si>
  <si>
    <t>arandelas axiales cigueñal</t>
  </si>
  <si>
    <t>bujes de biela j420</t>
  </si>
  <si>
    <t>tornillo de ajuste rociadorj420</t>
  </si>
  <si>
    <t>o-ring rociador piñoneria de reparticion j420</t>
  </si>
  <si>
    <t>rociador aceite piñoneria reparticion j420</t>
  </si>
  <si>
    <t xml:space="preserve">manguera de alta presión </t>
  </si>
  <si>
    <t>empaque carter j420</t>
  </si>
  <si>
    <t>oring salida carter j420</t>
  </si>
  <si>
    <t>oring tapa filtros oil j420</t>
  </si>
  <si>
    <t>oring tubería de aguaj420</t>
  </si>
  <si>
    <t>oring de admision j420</t>
  </si>
  <si>
    <t>gasket by-past j420</t>
  </si>
  <si>
    <t>oring by-past j420</t>
  </si>
  <si>
    <t>filtro de aire j420</t>
  </si>
  <si>
    <t>gasket bomba recirculación agua j420</t>
  </si>
  <si>
    <t>oring valvulas j420</t>
  </si>
  <si>
    <t>oring j420</t>
  </si>
  <si>
    <t>actuador de valvula con posicionador</t>
  </si>
  <si>
    <t>actuador j320</t>
  </si>
  <si>
    <t>bomba de agua ht j420</t>
  </si>
  <si>
    <t>casquete de biela j420</t>
  </si>
  <si>
    <t>valvula magnetica</t>
  </si>
  <si>
    <t>casquete bulón biela j320</t>
  </si>
  <si>
    <t>12vb037001</t>
  </si>
  <si>
    <t>guías puente valvulas jinan</t>
  </si>
  <si>
    <t>z12v0318a</t>
  </si>
  <si>
    <t>resorte grande culata jinan</t>
  </si>
  <si>
    <t>z12v0317a</t>
  </si>
  <si>
    <t>resorte pequeño culata jinan</t>
  </si>
  <si>
    <t>12vb031005a</t>
  </si>
  <si>
    <t>asiento valancin</t>
  </si>
  <si>
    <t>termocuplas jinan</t>
  </si>
  <si>
    <t>12v0316a</t>
  </si>
  <si>
    <t>chavetas o keepers de valvula jinan</t>
  </si>
  <si>
    <t>10vb0351</t>
  </si>
  <si>
    <t>gasket asiento balancin</t>
  </si>
  <si>
    <t>12vb2407</t>
  </si>
  <si>
    <t>gasket tubería agua culata jinan</t>
  </si>
  <si>
    <t>12vb0103</t>
  </si>
  <si>
    <t>gasket salida turbo j320</t>
  </si>
  <si>
    <t>tornillo de regulación balancin j320</t>
  </si>
  <si>
    <t>arandelas bronce intercooler j420</t>
  </si>
  <si>
    <t>oring tubería refrigeracion j420</t>
  </si>
  <si>
    <t>gasket asiento sleeve jinan</t>
  </si>
  <si>
    <t>tornillo regulación balancin jinan</t>
  </si>
  <si>
    <t>z12vb0904b</t>
  </si>
  <si>
    <t>gasket múltiple escape jinan</t>
  </si>
  <si>
    <t>12vb032006b</t>
  </si>
  <si>
    <t>gasket tapa valvulas jinan</t>
  </si>
  <si>
    <t>manómetro de temperatura</t>
  </si>
  <si>
    <t>bomba carcasa de agua</t>
  </si>
  <si>
    <t>reten cigüeñal delantero j320-j420</t>
  </si>
  <si>
    <t>flexibles salida escape j320</t>
  </si>
  <si>
    <t>bomba prelubricacion j420</t>
  </si>
  <si>
    <t>manguera 1" bar1262</t>
  </si>
  <si>
    <t>manguera 1/4 bar1523</t>
  </si>
  <si>
    <t xml:space="preserve">mangueras varias </t>
  </si>
  <si>
    <t>e7593-2-2</t>
  </si>
  <si>
    <t xml:space="preserve">manometro presión </t>
  </si>
  <si>
    <t>regulador de presion agua</t>
  </si>
  <si>
    <t xml:space="preserve">switch de nivel </t>
  </si>
  <si>
    <t>pfq803</t>
  </si>
  <si>
    <t xml:space="preserve">manómetros de presion </t>
  </si>
  <si>
    <t xml:space="preserve">chaquetas </t>
  </si>
  <si>
    <t>pickups jinan</t>
  </si>
  <si>
    <t xml:space="preserve">pickups </t>
  </si>
  <si>
    <t>sensor de temperatura</t>
  </si>
  <si>
    <t>acoples de medicion</t>
  </si>
  <si>
    <t>transductor de presion jinan</t>
  </si>
  <si>
    <t>gasket exosto jinan</t>
  </si>
  <si>
    <t>reductor 1/2-3/4</t>
  </si>
  <si>
    <t>sensor proximidad inductivo</t>
  </si>
  <si>
    <t>conector de 1/2 npft</t>
  </si>
  <si>
    <t>extensiones npft</t>
  </si>
  <si>
    <t>niple1/8</t>
  </si>
  <si>
    <t>vf06-1</t>
  </si>
  <si>
    <t>valvula de control de flujo</t>
  </si>
  <si>
    <t>pn 40 1/4</t>
  </si>
  <si>
    <t>regulador presión de gas</t>
  </si>
  <si>
    <t xml:space="preserve">manómetro de temperatura </t>
  </si>
  <si>
    <t>trotthe</t>
  </si>
  <si>
    <t>repuestos mixer</t>
  </si>
  <si>
    <t>regulador presión gas</t>
  </si>
  <si>
    <t>sensor de oxigeno jinan</t>
  </si>
  <si>
    <t>espárrago culata j320</t>
  </si>
  <si>
    <t>oring varios</t>
  </si>
  <si>
    <t>12vb01130</t>
  </si>
  <si>
    <t>oring agua camisa cilindro jinan</t>
  </si>
  <si>
    <t>hu21-25</t>
  </si>
  <si>
    <t>sellos mecánico bomba agua jinan</t>
  </si>
  <si>
    <t>127-3</t>
  </si>
  <si>
    <t xml:space="preserve">diafragma mezclador jinan </t>
  </si>
  <si>
    <t>Ge29721x012</t>
  </si>
  <si>
    <t>diafragma mezclador jinan</t>
  </si>
  <si>
    <t>12v0114</t>
  </si>
  <si>
    <t>oring camisa jinan</t>
  </si>
  <si>
    <t>12vb01134</t>
  </si>
  <si>
    <t>q/jc12003</t>
  </si>
  <si>
    <t>oring tubos enfriamiento jinan</t>
  </si>
  <si>
    <t>oring grande enfriador aceite jinan</t>
  </si>
  <si>
    <t>oring pequeños tapa enfriador jinan</t>
  </si>
  <si>
    <t>oring enfriador de aceite jinan</t>
  </si>
  <si>
    <t>12vb2002</t>
  </si>
  <si>
    <t>oring conexiones galería aceite jinan</t>
  </si>
  <si>
    <t xml:space="preserve">oring enfriador de aceite jinan </t>
  </si>
  <si>
    <t>tuercas regulador balancin j320</t>
  </si>
  <si>
    <t>automático motor de arranque</t>
  </si>
  <si>
    <t>juntas múltiple admision jinan</t>
  </si>
  <si>
    <t>sellos tipo grommet jinan</t>
  </si>
  <si>
    <t>sellos de valvula jinan</t>
  </si>
  <si>
    <t>esparragos</t>
  </si>
  <si>
    <t>guías lisas</t>
  </si>
  <si>
    <t>sombrerete de valvula</t>
  </si>
  <si>
    <t xml:space="preserve">seguros de válvulas </t>
  </si>
  <si>
    <t>anillo asiento culata no bronce</t>
  </si>
  <si>
    <t xml:space="preserve">gorro bujías usados </t>
  </si>
  <si>
    <t>abrazaderas 60-63</t>
  </si>
  <si>
    <t>jc14033</t>
  </si>
  <si>
    <t>arandelas de sellos m10</t>
  </si>
  <si>
    <t>arandelas de sellos m20</t>
  </si>
  <si>
    <t>arandelas anchas jinan</t>
  </si>
  <si>
    <t>anillos de compresion  superior jinan</t>
  </si>
  <si>
    <t>anillo de compresion inferior</t>
  </si>
  <si>
    <t>anillo de lubricacion</t>
  </si>
  <si>
    <t>arandelas de sellos m27</t>
  </si>
  <si>
    <t>sellos bomba de agua</t>
  </si>
  <si>
    <t>caja de pinturas</t>
  </si>
  <si>
    <t xml:space="preserve">amarras plásticas </t>
  </si>
  <si>
    <t>galón tinner</t>
  </si>
  <si>
    <t>5-as479</t>
  </si>
  <si>
    <t>aerosol galvanizado en frio</t>
  </si>
  <si>
    <t>herramienta</t>
  </si>
  <si>
    <t>pistola de pulverizado</t>
  </si>
  <si>
    <t>espuma poliuretano</t>
  </si>
  <si>
    <t>desplazador de humedad</t>
  </si>
  <si>
    <t>ajustador de correas</t>
  </si>
  <si>
    <t>cinta multi adeciva</t>
  </si>
  <si>
    <t>1150-001</t>
  </si>
  <si>
    <t>manguera espiral de aire</t>
  </si>
  <si>
    <t>caja guantes industriales</t>
  </si>
  <si>
    <t xml:space="preserve">herramienta </t>
  </si>
  <si>
    <t>gancho tensor</t>
  </si>
  <si>
    <t>kit control de derrames</t>
  </si>
  <si>
    <t>ss26pi</t>
  </si>
  <si>
    <t xml:space="preserve">solvente industrial dieléctrico </t>
  </si>
  <si>
    <t>caja filtro j320</t>
  </si>
  <si>
    <t>desengrasante industrial</t>
  </si>
  <si>
    <t>desincrustante quimico</t>
  </si>
  <si>
    <t>material electrico</t>
  </si>
  <si>
    <t>carreto de cable utp amarillo</t>
  </si>
  <si>
    <t>carreto de cable utp negro</t>
  </si>
  <si>
    <t>escalera naranja</t>
  </si>
  <si>
    <t>EQUIPO</t>
  </si>
  <si>
    <t>REVISIÓN</t>
  </si>
  <si>
    <t xml:space="preserve">REVISIÓN </t>
  </si>
  <si>
    <t>sla127</t>
  </si>
  <si>
    <t>cinta multiusos autoadhesiva viaflexfita</t>
  </si>
  <si>
    <t>accesorios actuador j320</t>
  </si>
  <si>
    <t>sensor proximidad inductivo j320-j420</t>
  </si>
  <si>
    <t>valvula control combustible</t>
  </si>
  <si>
    <t>manómetros de presion 0-60</t>
  </si>
  <si>
    <t>gasket escape salida turbo</t>
  </si>
  <si>
    <t>anillo asiento culata de bronce</t>
  </si>
  <si>
    <t>tubo porta bujias</t>
  </si>
  <si>
    <t>sellos valvula culata</t>
  </si>
  <si>
    <t>resistencia termometro pt100</t>
  </si>
  <si>
    <t>oring varios caja</t>
  </si>
  <si>
    <t xml:space="preserve">manómetro transformadores presiones bajas </t>
  </si>
  <si>
    <t>empaques de tapa válvulas j320</t>
  </si>
  <si>
    <t>bujías jinan en cco</t>
  </si>
  <si>
    <t>bomba grundfos</t>
  </si>
  <si>
    <t xml:space="preserve">valvula control combustible </t>
  </si>
  <si>
    <t>manómetro transformadores presión baja</t>
  </si>
  <si>
    <t xml:space="preserve">tubo porta bujias </t>
  </si>
  <si>
    <t>bobina j320 dañada</t>
  </si>
  <si>
    <t>empaque bomba agua ht j320</t>
  </si>
  <si>
    <t>empaque múltiple admisión  j320</t>
  </si>
  <si>
    <t>caja de tarros de pinturas</t>
  </si>
  <si>
    <t>oring</t>
  </si>
  <si>
    <t>p01847</t>
  </si>
  <si>
    <t>bujías usadas j320</t>
  </si>
  <si>
    <t>12vb0390b</t>
  </si>
  <si>
    <t>bujías j420 usadas</t>
  </si>
  <si>
    <t>tornillería múltiple de escape j320-j420</t>
  </si>
  <si>
    <t>super empaque carter j420</t>
  </si>
  <si>
    <t>empaques exosto j420</t>
  </si>
  <si>
    <t>bulón de piston j420</t>
  </si>
  <si>
    <t>termostato j420</t>
  </si>
  <si>
    <t>filtro interno de aire j420</t>
  </si>
  <si>
    <t>filtro de gas entrada j420</t>
  </si>
  <si>
    <t>filtro gas entrada</t>
  </si>
  <si>
    <t xml:space="preserve">par de guantes </t>
  </si>
  <si>
    <t>culata j320+una de segunda</t>
  </si>
  <si>
    <t>flexible turbo j420</t>
  </si>
  <si>
    <t>manguera 3/4 bar1523</t>
  </si>
  <si>
    <t>mangueras cortas metalica</t>
  </si>
  <si>
    <t>manguera de alta presión 2"</t>
  </si>
  <si>
    <t>bomba grndfus</t>
  </si>
  <si>
    <t>bomba grundfus</t>
  </si>
  <si>
    <t xml:space="preserve">motor eléctrico alto rendimiento </t>
  </si>
  <si>
    <t>85u07417</t>
  </si>
  <si>
    <t>valvula de bola bridada</t>
  </si>
  <si>
    <t>f15</t>
  </si>
  <si>
    <t>soporte de guia tipo rodillo</t>
  </si>
  <si>
    <t>oring asiento de turbo j420</t>
  </si>
  <si>
    <t xml:space="preserve"> alternador j420</t>
  </si>
  <si>
    <t xml:space="preserve">kit de calibración </t>
  </si>
  <si>
    <t>chavetas de seguridad jinan</t>
  </si>
  <si>
    <t>esparragos pequeños jinan</t>
  </si>
  <si>
    <t>gasket tuberías 2"1/2</t>
  </si>
  <si>
    <t>gasket tubería 3"</t>
  </si>
  <si>
    <t>gasket tubería 1"1/2</t>
  </si>
  <si>
    <t>gasket tubería 4"</t>
  </si>
  <si>
    <t>caja regulador filtro de gas jinan</t>
  </si>
  <si>
    <t>intercooler j320</t>
  </si>
  <si>
    <t>empaque múltiple de escape</t>
  </si>
  <si>
    <t>filtro gas jinan</t>
  </si>
  <si>
    <t>anillo cobre asiento culata jinan</t>
  </si>
  <si>
    <t>junta múltiple de admisión jinan</t>
  </si>
  <si>
    <t xml:space="preserve">gasket tubería agua jinan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</si>
</sst>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7" x14ac:knownFonts="1">
    <font>
      <sz val="11"/>
      <name val="Aptos Narrow"/>
    </font>
    <font>
      <sz val="11"/>
      <color rgb="FF000000"/>
      <name val="Aptos Narrow"/>
    </font>
    <font>
      <sz val="11"/>
      <color rgb="FF000000"/>
      <name val="Calibri"/>
    </font>
    <font>
      <sz val="11"/>
      <color rgb="FF000000"/>
      <name val="Calibri"/>
    </font>
    <font>
      <sz val="14"/>
      <color rgb="FF9C0006"/>
      <name val="Calibri"/>
    </font>
    <font>
      <sz val="14"/>
      <color rgb="FF006100"/>
      <name val="Calibri"/>
    </font>
    <font>
      <sz val="11"/>
      <color rgb="FFFFFFFF"/>
      <name val="Times New Roman"/>
    </font>
    <font>
      <b/>
      <sz val="11"/>
      <color rgb="FFFFFFFF"/>
      <name val="Times New Roman"/>
    </font>
    <font>
      <b/>
      <sz val="11"/>
      <color rgb="FF000000"/>
      <name val="Calibri"/>
    </font>
    <font>
      <sz val="11"/>
      <color rgb="FF000000"/>
      <name val="Times New Roman"/>
    </font>
    <font>
      <sz val="10"/>
      <color rgb="FF000000"/>
      <name val="Times New Roman"/>
    </font>
    <font>
      <sz val="10"/>
      <color rgb="FF000000"/>
      <name val="Calibri"/>
    </font>
    <font>
      <sz val="11"/>
      <color rgb="FF808080"/>
      <name val="Calibri"/>
    </font>
    <font>
      <sz val="11"/>
      <name val="Aptos Narrow"/>
    </font>
    <font>
      <sz val="11"/>
      <color rgb="FF000000"/>
      <name val="Times New Roman"/>
    </font>
    <font>
      <sz val="11"/>
      <color rgb="FFFFCC00"/>
      <name val="Calibri"/>
    </font>
    <font>
      <b/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4874CB"/>
        <bgColor indexed="64"/>
      </patternFill>
    </fill>
    <fill>
      <patternFill patternType="solid">
        <fgColor rgb="FFCCFECC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E5E5"/>
      </patternFill>
    </fill>
    <fill>
      <patternFill patternType="solid">
        <fgColor rgb="FFFF99CC"/>
      </patternFill>
    </fill>
    <fill>
      <patternFill patternType="solid">
        <fgColor rgb="FFFFE5E5"/>
        <bgColor indexed="64"/>
      </patternFill>
    </fill>
    <fill>
      <patternFill patternType="solid">
        <fgColor rgb="FFCCFECC"/>
      </patternFill>
    </fill>
    <fill>
      <patternFill patternType="solid">
        <fgColor rgb="FF99CCFF"/>
      </patternFill>
    </fill>
    <fill>
      <patternFill patternType="solid">
        <fgColor rgb="FFFFFFCC"/>
      </patternFill>
    </fill>
    <fill>
      <patternFill patternType="solid">
        <fgColor rgb="FFFFFFFF"/>
      </patternFill>
    </fill>
    <fill>
      <patternFill patternType="solid">
        <fgColor rgb="FFE49EDD"/>
        <bgColor indexed="64"/>
      </patternFill>
    </fill>
  </fills>
  <borders count="17">
    <border>
      <left/>
      <right/>
      <top/>
      <bottom/>
      <diagonal/>
    </border>
    <border>
      <left style="thin">
        <color rgb="FF4874CB"/>
      </left>
      <right style="thin">
        <color rgb="FFB5C7EA"/>
      </right>
      <top style="thin">
        <color rgb="FF4874CB"/>
      </top>
      <bottom/>
      <diagonal/>
    </border>
    <border>
      <left style="thin">
        <color rgb="FFB5C7EA"/>
      </left>
      <right style="thin">
        <color rgb="FFB5C7EA"/>
      </right>
      <top style="thin">
        <color rgb="FF4874CB"/>
      </top>
      <bottom/>
      <diagonal/>
    </border>
    <border>
      <left style="thin">
        <color rgb="FFB5C7EA"/>
      </left>
      <right style="thin">
        <color rgb="FF4874CB"/>
      </right>
      <top style="thin">
        <color rgb="FF4874CB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5C7EA"/>
      </right>
      <top style="thin">
        <color rgb="FF4874CB"/>
      </top>
      <bottom/>
      <diagonal/>
    </border>
  </borders>
  <cellStyleXfs count="1">
    <xf numFmtId="0" fontId="0" fillId="0" borderId="0">
      <alignment vertical="center"/>
    </xf>
  </cellStyleXfs>
  <cellXfs count="89">
    <xf numFmtId="0" fontId="0" fillId="0" borderId="0" xfId="0">
      <alignment vertical="center"/>
    </xf>
    <xf numFmtId="0" fontId="1" fillId="2" borderId="0" xfId="0" applyFont="1" applyFill="1" applyAlignment="1"/>
    <xf numFmtId="0" fontId="2" fillId="0" borderId="0" xfId="0" applyFont="1">
      <alignment vertical="center"/>
    </xf>
    <xf numFmtId="0" fontId="2" fillId="2" borderId="0" xfId="0" applyFont="1" applyFill="1" applyAlignment="1" applyProtection="1">
      <protection locked="0"/>
    </xf>
    <xf numFmtId="0" fontId="2" fillId="5" borderId="0" xfId="0" applyFont="1" applyFill="1" applyAlignment="1" applyProtection="1">
      <protection locked="0"/>
    </xf>
    <xf numFmtId="0" fontId="3" fillId="0" borderId="0" xfId="0" applyFont="1" applyAlignment="1" applyProtection="1">
      <protection locked="0"/>
    </xf>
    <xf numFmtId="0" fontId="2" fillId="0" borderId="0" xfId="0" applyFont="1" applyAlignment="1" applyProtection="1"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3" xfId="0" applyFont="1" applyFill="1" applyBorder="1" applyAlignment="1" applyProtection="1">
      <alignment horizontal="center" vertical="center"/>
      <protection locked="0"/>
    </xf>
    <xf numFmtId="0" fontId="7" fillId="7" borderId="1" xfId="0" applyFont="1" applyFill="1" applyBorder="1" applyAlignment="1" applyProtection="1">
      <alignment horizontal="center" vertical="center" wrapText="1"/>
      <protection locked="0"/>
    </xf>
    <xf numFmtId="0" fontId="7" fillId="7" borderId="2" xfId="0" applyFont="1" applyFill="1" applyBorder="1" applyAlignment="1" applyProtection="1">
      <alignment horizontal="center" vertical="center" wrapText="1"/>
      <protection locked="0"/>
    </xf>
    <xf numFmtId="0" fontId="7" fillId="7" borderId="3" xfId="0" applyFont="1" applyFill="1" applyBorder="1" applyAlignment="1" applyProtection="1">
      <alignment horizontal="center" vertical="center" wrapText="1"/>
      <protection locked="0"/>
    </xf>
    <xf numFmtId="0" fontId="8" fillId="8" borderId="4" xfId="0" applyFont="1" applyFill="1" applyBorder="1" applyAlignment="1" applyProtection="1">
      <alignment horizontal="center" vertical="center"/>
      <protection locked="0"/>
    </xf>
    <xf numFmtId="0" fontId="8" fillId="8" borderId="5" xfId="0" applyFont="1" applyFill="1" applyBorder="1" applyAlignment="1" applyProtection="1">
      <alignment horizontal="center" vertical="center"/>
      <protection locked="0"/>
    </xf>
    <xf numFmtId="0" fontId="8" fillId="8" borderId="5" xfId="0" applyFont="1" applyFill="1" applyBorder="1" applyAlignment="1" applyProtection="1">
      <alignment horizontal="center" vertical="center" wrapText="1"/>
      <protection locked="0"/>
    </xf>
    <xf numFmtId="0" fontId="8" fillId="8" borderId="6" xfId="0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/>
      <protection locked="0"/>
    </xf>
    <xf numFmtId="0" fontId="10" fillId="9" borderId="7" xfId="0" applyFont="1" applyFill="1" applyBorder="1" applyAlignment="1" applyProtection="1">
      <alignment horizontal="center" vertical="center" wrapText="1"/>
      <protection locked="0"/>
    </xf>
    <xf numFmtId="164" fontId="10" fillId="9" borderId="7" xfId="0" applyNumberFormat="1" applyFont="1" applyFill="1" applyBorder="1" applyAlignment="1" applyProtection="1">
      <alignment horizontal="center" vertical="center" wrapText="1"/>
      <protection locked="0"/>
    </xf>
    <xf numFmtId="0" fontId="11" fillId="10" borderId="8" xfId="0" applyFont="1" applyFill="1" applyBorder="1" applyAlignment="1" applyProtection="1">
      <alignment horizontal="center" vertical="center"/>
      <protection locked="0"/>
    </xf>
    <xf numFmtId="164" fontId="11" fillId="10" borderId="8" xfId="0" applyNumberFormat="1" applyFont="1" applyFill="1" applyBorder="1" applyAlignment="1" applyProtection="1">
      <alignment horizontal="center" vertical="center"/>
      <protection locked="0"/>
    </xf>
    <xf numFmtId="0" fontId="11" fillId="10" borderId="7" xfId="0" applyFont="1" applyFill="1" applyBorder="1" applyAlignment="1" applyProtection="1">
      <alignment horizontal="center" vertical="center"/>
      <protection locked="0"/>
    </xf>
    <xf numFmtId="164" fontId="11" fillId="10" borderId="7" xfId="0" applyNumberFormat="1" applyFont="1" applyFill="1" applyBorder="1" applyAlignment="1" applyProtection="1">
      <alignment horizontal="center" vertical="center"/>
      <protection locked="0"/>
    </xf>
    <xf numFmtId="0" fontId="11" fillId="11" borderId="7" xfId="0" applyFont="1" applyFill="1" applyBorder="1" applyAlignment="1" applyProtection="1">
      <alignment horizontal="center" vertical="center"/>
      <protection locked="0"/>
    </xf>
    <xf numFmtId="164" fontId="11" fillId="11" borderId="7" xfId="0" applyNumberFormat="1" applyFont="1" applyFill="1" applyBorder="1" applyAlignment="1" applyProtection="1">
      <alignment horizontal="center" vertical="center"/>
      <protection locked="0"/>
    </xf>
    <xf numFmtId="164" fontId="10" fillId="12" borderId="7" xfId="0" applyNumberFormat="1" applyFont="1" applyFill="1" applyBorder="1" applyAlignment="1" applyProtection="1">
      <alignment horizontal="center" vertical="center" wrapText="1"/>
      <protection locked="0"/>
    </xf>
    <xf numFmtId="0" fontId="11" fillId="13" borderId="7" xfId="0" applyFont="1" applyFill="1" applyBorder="1" applyAlignment="1" applyProtection="1">
      <alignment horizontal="center" vertical="center"/>
      <protection locked="0"/>
    </xf>
    <xf numFmtId="164" fontId="11" fillId="13" borderId="7" xfId="0" applyNumberFormat="1" applyFont="1" applyFill="1" applyBorder="1" applyAlignment="1" applyProtection="1">
      <alignment horizontal="center" vertical="center"/>
      <protection locked="0"/>
    </xf>
    <xf numFmtId="0" fontId="11" fillId="14" borderId="7" xfId="0" applyFont="1" applyFill="1" applyBorder="1" applyAlignment="1" applyProtection="1">
      <alignment horizontal="center" vertical="center"/>
      <protection locked="0"/>
    </xf>
    <xf numFmtId="164" fontId="11" fillId="14" borderId="7" xfId="0" applyNumberFormat="1" applyFont="1" applyFill="1" applyBorder="1" applyAlignment="1" applyProtection="1">
      <alignment horizontal="center" vertical="center"/>
      <protection locked="0"/>
    </xf>
    <xf numFmtId="0" fontId="11" fillId="14" borderId="12" xfId="0" applyFont="1" applyFill="1" applyBorder="1" applyAlignment="1" applyProtection="1">
      <alignment horizontal="center" vertical="center"/>
      <protection locked="0"/>
    </xf>
    <xf numFmtId="164" fontId="11" fillId="14" borderId="12" xfId="0" applyNumberFormat="1" applyFont="1" applyFill="1" applyBorder="1" applyAlignment="1" applyProtection="1">
      <alignment horizontal="center" vertical="center"/>
      <protection locked="0"/>
    </xf>
    <xf numFmtId="0" fontId="2" fillId="15" borderId="12" xfId="0" applyFont="1" applyFill="1" applyBorder="1" applyAlignment="1" applyProtection="1">
      <alignment horizontal="center" vertical="center"/>
      <protection locked="0"/>
    </xf>
    <xf numFmtId="164" fontId="2" fillId="15" borderId="12" xfId="0" applyNumberFormat="1" applyFont="1" applyFill="1" applyBorder="1" applyAlignment="1" applyProtection="1">
      <alignment horizontal="center" vertical="center"/>
      <protection locked="0"/>
    </xf>
    <xf numFmtId="0" fontId="2" fillId="14" borderId="13" xfId="0" applyFont="1" applyFill="1" applyBorder="1" applyAlignment="1" applyProtection="1">
      <alignment horizontal="center" vertical="center"/>
      <protection locked="0"/>
    </xf>
    <xf numFmtId="164" fontId="2" fillId="14" borderId="13" xfId="0" applyNumberFormat="1" applyFont="1" applyFill="1" applyBorder="1" applyAlignment="1" applyProtection="1">
      <alignment horizontal="center" vertical="center"/>
      <protection locked="0"/>
    </xf>
    <xf numFmtId="0" fontId="2" fillId="15" borderId="13" xfId="0" applyFont="1" applyFill="1" applyBorder="1" applyAlignment="1" applyProtection="1">
      <alignment horizontal="center" vertical="center"/>
      <protection locked="0"/>
    </xf>
    <xf numFmtId="164" fontId="2" fillId="15" borderId="13" xfId="0" applyNumberFormat="1" applyFont="1" applyFill="1" applyBorder="1" applyAlignment="1" applyProtection="1">
      <alignment horizontal="center" vertical="center"/>
      <protection locked="0"/>
    </xf>
    <xf numFmtId="0" fontId="3" fillId="16" borderId="8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 applyProtection="1">
      <alignment horizontal="center" vertical="center"/>
      <protection locked="0"/>
    </xf>
    <xf numFmtId="0" fontId="9" fillId="2" borderId="8" xfId="0" applyFont="1" applyFill="1" applyBorder="1" applyAlignment="1" applyProtection="1">
      <alignment horizontal="center" vertical="center"/>
      <protection locked="0"/>
    </xf>
    <xf numFmtId="0" fontId="2" fillId="0" borderId="13" xfId="0" applyFont="1" applyBorder="1" applyAlignment="1" applyProtection="1">
      <alignment horizontal="center" vertical="center"/>
      <protection locked="0"/>
    </xf>
    <xf numFmtId="164" fontId="2" fillId="0" borderId="13" xfId="0" applyNumberFormat="1" applyFont="1" applyBorder="1" applyAlignment="1" applyProtection="1">
      <alignment horizontal="center" vertical="center"/>
      <protection locked="0"/>
    </xf>
    <xf numFmtId="0" fontId="3" fillId="2" borderId="7" xfId="0" applyFont="1" applyFill="1" applyBorder="1" applyAlignment="1" applyProtection="1">
      <alignment horizontal="center" vertical="center"/>
      <protection locked="0"/>
    </xf>
    <xf numFmtId="0" fontId="2" fillId="15" borderId="14" xfId="0" applyFont="1" applyFill="1" applyBorder="1" applyAlignment="1" applyProtection="1">
      <alignment horizontal="center" vertical="center"/>
      <protection locked="0"/>
    </xf>
    <xf numFmtId="164" fontId="2" fillId="15" borderId="14" xfId="0" applyNumberFormat="1" applyFont="1" applyFill="1" applyBorder="1" applyAlignment="1" applyProtection="1">
      <alignment horizontal="center" vertical="center"/>
      <protection locked="0"/>
    </xf>
    <xf numFmtId="0" fontId="3" fillId="16" borderId="7" xfId="0" applyFont="1" applyFill="1" applyBorder="1" applyAlignment="1" applyProtection="1">
      <alignment horizontal="center" vertical="center"/>
      <protection locked="0"/>
    </xf>
    <xf numFmtId="0" fontId="2" fillId="5" borderId="13" xfId="0" applyFont="1" applyFill="1" applyBorder="1" applyAlignment="1" applyProtection="1">
      <protection locked="0"/>
    </xf>
    <xf numFmtId="0" fontId="2" fillId="0" borderId="15" xfId="0" applyFont="1" applyBorder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protection locked="0"/>
    </xf>
    <xf numFmtId="0" fontId="3" fillId="16" borderId="7" xfId="0" applyFont="1" applyFill="1" applyBorder="1" applyAlignment="1" applyProtection="1">
      <protection locked="0"/>
    </xf>
    <xf numFmtId="0" fontId="3" fillId="16" borderId="12" xfId="0" applyFont="1" applyFill="1" applyBorder="1" applyAlignment="1" applyProtection="1">
      <alignment horizontal="center" vertical="center"/>
      <protection locked="0"/>
    </xf>
    <xf numFmtId="0" fontId="3" fillId="2" borderId="12" xfId="0" applyFont="1" applyFill="1" applyBorder="1" applyAlignment="1" applyProtection="1">
      <alignment horizontal="center" vertical="center"/>
      <protection locked="0"/>
    </xf>
    <xf numFmtId="0" fontId="9" fillId="2" borderId="12" xfId="0" applyFont="1" applyFill="1" applyBorder="1" applyAlignment="1" applyProtection="1">
      <alignment horizontal="center" vertical="center"/>
      <protection locked="0"/>
    </xf>
    <xf numFmtId="0" fontId="3" fillId="2" borderId="7" xfId="0" applyFont="1" applyFill="1" applyBorder="1" applyAlignment="1" applyProtection="1">
      <protection locked="0"/>
    </xf>
    <xf numFmtId="0" fontId="3" fillId="16" borderId="12" xfId="0" applyFont="1" applyFill="1" applyBorder="1" applyAlignment="1" applyProtection="1">
      <protection locked="0"/>
    </xf>
    <xf numFmtId="0" fontId="13" fillId="16" borderId="13" xfId="0" applyFont="1" applyFill="1" applyBorder="1">
      <alignment vertical="center"/>
    </xf>
    <xf numFmtId="0" fontId="13" fillId="16" borderId="1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7" borderId="14" xfId="0" applyFont="1" applyFill="1" applyBorder="1" applyAlignment="1" applyProtection="1">
      <alignment horizontal="center" vertical="center" wrapText="1"/>
      <protection locked="0"/>
    </xf>
    <xf numFmtId="0" fontId="7" fillId="7" borderId="16" xfId="0" applyFont="1" applyFill="1" applyBorder="1" applyAlignment="1" applyProtection="1">
      <alignment horizontal="center" vertical="center" wrapText="1"/>
      <protection locked="0"/>
    </xf>
    <xf numFmtId="0" fontId="14" fillId="2" borderId="7" xfId="0" applyFont="1" applyFill="1" applyBorder="1" applyAlignment="1" applyProtection="1">
      <alignment horizontal="center" vertical="center" wrapText="1"/>
      <protection locked="0"/>
    </xf>
    <xf numFmtId="0" fontId="14" fillId="17" borderId="7" xfId="0" applyFont="1" applyFill="1" applyBorder="1" applyAlignment="1" applyProtection="1">
      <alignment horizontal="center" vertical="center" wrapText="1"/>
      <protection locked="0"/>
    </xf>
    <xf numFmtId="0" fontId="2" fillId="0" borderId="8" xfId="0" applyFont="1" applyBorder="1" applyAlignment="1" applyProtection="1">
      <alignment horizontal="center" vertical="center"/>
      <protection locked="0"/>
    </xf>
    <xf numFmtId="0" fontId="2" fillId="17" borderId="8" xfId="0" applyFont="1" applyFill="1" applyBorder="1" applyAlignment="1" applyProtection="1">
      <alignment horizontal="center" vertical="center"/>
      <protection locked="0"/>
    </xf>
    <xf numFmtId="0" fontId="14" fillId="2" borderId="8" xfId="0" applyFont="1" applyFill="1" applyBorder="1" applyAlignment="1" applyProtection="1">
      <alignment horizontal="center" vertical="center" wrapText="1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17" borderId="7" xfId="0" applyFont="1" applyFill="1" applyBorder="1" applyAlignment="1" applyProtection="1">
      <alignment horizontal="center" vertical="center"/>
      <protection locked="0"/>
    </xf>
    <xf numFmtId="0" fontId="2" fillId="16" borderId="7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15" fillId="2" borderId="7" xfId="0" applyFont="1" applyFill="1" applyBorder="1" applyAlignment="1" applyProtection="1">
      <alignment horizontal="center" vertical="center"/>
      <protection locked="0"/>
    </xf>
    <xf numFmtId="0" fontId="2" fillId="12" borderId="7" xfId="0" applyFont="1" applyFill="1" applyBorder="1" applyAlignment="1" applyProtection="1">
      <alignment horizontal="center" vertical="center"/>
      <protection locked="0"/>
    </xf>
    <xf numFmtId="0" fontId="14" fillId="12" borderId="7" xfId="0" applyFont="1" applyFill="1" applyBorder="1" applyAlignment="1" applyProtection="1">
      <alignment horizontal="center" vertical="center" wrapText="1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0" fontId="2" fillId="17" borderId="12" xfId="0" applyFont="1" applyFill="1" applyBorder="1" applyAlignment="1" applyProtection="1">
      <alignment horizontal="center" vertical="center"/>
      <protection locked="0"/>
    </xf>
    <xf numFmtId="0" fontId="10" fillId="2" borderId="12" xfId="0" applyFont="1" applyFill="1" applyBorder="1" applyAlignment="1" applyProtection="1">
      <alignment horizontal="center" vertical="center" wrapText="1"/>
      <protection locked="0"/>
    </xf>
    <xf numFmtId="0" fontId="10" fillId="2" borderId="7" xfId="0" applyFont="1" applyFill="1" applyBorder="1" applyAlignment="1" applyProtection="1">
      <alignment horizontal="center" vertical="center" wrapText="1"/>
      <protection locked="0"/>
    </xf>
    <xf numFmtId="0" fontId="2" fillId="16" borderId="12" xfId="0" applyFont="1" applyFill="1" applyBorder="1" applyAlignment="1" applyProtection="1">
      <alignment horizontal="center" vertical="center"/>
      <protection locked="0"/>
    </xf>
    <xf numFmtId="0" fontId="2" fillId="2" borderId="12" xfId="0" applyFont="1" applyFill="1" applyBorder="1" applyAlignment="1" applyProtection="1">
      <alignment horizontal="center" vertical="center"/>
      <protection locked="0"/>
    </xf>
    <xf numFmtId="0" fontId="4" fillId="4" borderId="0" xfId="0" applyFont="1" applyFill="1" applyAlignment="1" applyProtection="1">
      <alignment horizontal="center" vertical="center"/>
      <protection locked="0"/>
    </xf>
    <xf numFmtId="0" fontId="5" fillId="6" borderId="0" xfId="0" applyFont="1" applyFill="1" applyAlignment="1" applyProtection="1">
      <alignment horizontal="center" vertical="center"/>
      <protection locked="0"/>
    </xf>
    <xf numFmtId="0" fontId="10" fillId="2" borderId="9" xfId="0" applyFont="1" applyFill="1" applyBorder="1" applyAlignment="1" applyProtection="1">
      <alignment horizontal="center" vertical="center" wrapText="1"/>
      <protection locked="0"/>
    </xf>
    <xf numFmtId="0" fontId="10" fillId="2" borderId="10" xfId="0" applyFont="1" applyFill="1" applyBorder="1" applyAlignment="1" applyProtection="1">
      <alignment horizontal="center" vertical="center" wrapText="1"/>
      <protection locked="0"/>
    </xf>
    <xf numFmtId="0" fontId="10" fillId="2" borderId="11" xfId="0" applyFont="1" applyFill="1" applyBorder="1" applyAlignment="1" applyProtection="1">
      <alignment horizontal="center" vertical="center" wrapText="1"/>
      <protection locked="0"/>
    </xf>
    <xf numFmtId="0" fontId="11" fillId="0" borderId="9" xfId="0" applyFont="1" applyBorder="1" applyAlignment="1" applyProtection="1">
      <alignment horizontal="center" vertical="center"/>
      <protection locked="0"/>
    </xf>
    <xf numFmtId="0" fontId="11" fillId="0" borderId="10" xfId="0" applyFont="1" applyBorder="1" applyAlignment="1" applyProtection="1">
      <alignment horizontal="center" vertical="center"/>
      <protection locked="0"/>
    </xf>
    <xf numFmtId="0" fontId="11" fillId="0" borderId="11" xfId="0" applyFont="1" applyBorder="1" applyAlignment="1" applyProtection="1">
      <alignment horizontal="center" vertical="center"/>
      <protection locked="0"/>
    </xf>
    <xf numFmtId="0" fontId="16" fillId="3" borderId="0" xfId="0" applyFont="1" applyFill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117" Type="http://schemas.openxmlformats.org/officeDocument/2006/relationships/image" Target="media/image116.jpeg"/><Relationship Id="rId21" Type="http://schemas.openxmlformats.org/officeDocument/2006/relationships/image" Target="media/image20.jpeg"/><Relationship Id="rId42" Type="http://schemas.openxmlformats.org/officeDocument/2006/relationships/image" Target="media/image41.jpeg"/><Relationship Id="rId63" Type="http://schemas.openxmlformats.org/officeDocument/2006/relationships/image" Target="media/image62.jpeg"/><Relationship Id="rId84" Type="http://schemas.openxmlformats.org/officeDocument/2006/relationships/image" Target="media/image83.jpeg"/><Relationship Id="rId138" Type="http://schemas.openxmlformats.org/officeDocument/2006/relationships/image" Target="media/image137.jpeg"/><Relationship Id="rId159" Type="http://schemas.openxmlformats.org/officeDocument/2006/relationships/image" Target="media/image158.jpeg"/><Relationship Id="rId170" Type="http://schemas.openxmlformats.org/officeDocument/2006/relationships/image" Target="media/image169.jpeg"/><Relationship Id="rId191" Type="http://schemas.openxmlformats.org/officeDocument/2006/relationships/image" Target="media/image191.jpeg"/><Relationship Id="rId205" Type="http://schemas.openxmlformats.org/officeDocument/2006/relationships/image" Target="media/image204.jpeg"/><Relationship Id="rId226" Type="http://schemas.openxmlformats.org/officeDocument/2006/relationships/image" Target="media/image225.jpeg"/><Relationship Id="rId247" Type="http://schemas.openxmlformats.org/officeDocument/2006/relationships/image" Target="media/image246.jpeg"/><Relationship Id="rId107" Type="http://schemas.openxmlformats.org/officeDocument/2006/relationships/image" Target="media/image106.jpeg"/><Relationship Id="rId11" Type="http://schemas.openxmlformats.org/officeDocument/2006/relationships/image" Target="media/image10.jpeg"/><Relationship Id="rId32" Type="http://schemas.openxmlformats.org/officeDocument/2006/relationships/image" Target="media/image31.jpeg"/><Relationship Id="rId53" Type="http://schemas.openxmlformats.org/officeDocument/2006/relationships/image" Target="media/image51.jpeg"/><Relationship Id="rId74" Type="http://schemas.openxmlformats.org/officeDocument/2006/relationships/image" Target="media/image72.jpeg"/><Relationship Id="rId128" Type="http://schemas.openxmlformats.org/officeDocument/2006/relationships/image" Target="media/image127.jpeg"/><Relationship Id="rId149" Type="http://schemas.openxmlformats.org/officeDocument/2006/relationships/image" Target="media/image148.jpeg"/><Relationship Id="rId5" Type="http://schemas.openxmlformats.org/officeDocument/2006/relationships/image" Target="media/image2.jpeg"/><Relationship Id="rId95" Type="http://schemas.openxmlformats.org/officeDocument/2006/relationships/image" Target="media/image94.jpeg"/><Relationship Id="rId160" Type="http://schemas.openxmlformats.org/officeDocument/2006/relationships/image" Target="media/image159.jpeg"/><Relationship Id="rId181" Type="http://schemas.openxmlformats.org/officeDocument/2006/relationships/image" Target="media/image180.jpeg"/><Relationship Id="rId216" Type="http://schemas.openxmlformats.org/officeDocument/2006/relationships/image" Target="media/image215.jpeg"/><Relationship Id="rId237" Type="http://schemas.openxmlformats.org/officeDocument/2006/relationships/image" Target="media/image236.jpeg"/><Relationship Id="rId22" Type="http://schemas.openxmlformats.org/officeDocument/2006/relationships/image" Target="media/image21.jpeg"/><Relationship Id="rId43" Type="http://schemas.openxmlformats.org/officeDocument/2006/relationships/image" Target="media/image42.jpeg"/><Relationship Id="rId64" Type="http://schemas.openxmlformats.org/officeDocument/2006/relationships/image" Target="media/image63.jpeg"/><Relationship Id="rId118" Type="http://schemas.openxmlformats.org/officeDocument/2006/relationships/image" Target="media/image117.jpeg"/><Relationship Id="rId139" Type="http://schemas.openxmlformats.org/officeDocument/2006/relationships/image" Target="media/image138.jpeg"/><Relationship Id="rId85" Type="http://schemas.openxmlformats.org/officeDocument/2006/relationships/image" Target="media/image84.jpeg"/><Relationship Id="rId150" Type="http://schemas.openxmlformats.org/officeDocument/2006/relationships/image" Target="media/image149.jpeg"/><Relationship Id="rId171" Type="http://schemas.openxmlformats.org/officeDocument/2006/relationships/image" Target="media/image170.jpeg"/><Relationship Id="rId192" Type="http://schemas.openxmlformats.org/officeDocument/2006/relationships/image" Target="media/image190.jpeg"/><Relationship Id="rId206" Type="http://schemas.openxmlformats.org/officeDocument/2006/relationships/image" Target="media/image205.jpeg"/><Relationship Id="rId227" Type="http://schemas.openxmlformats.org/officeDocument/2006/relationships/image" Target="media/image226.jpeg"/><Relationship Id="rId248" Type="http://schemas.openxmlformats.org/officeDocument/2006/relationships/image" Target="media/image247.jpeg"/><Relationship Id="rId12" Type="http://schemas.openxmlformats.org/officeDocument/2006/relationships/image" Target="media/image11.jpeg"/><Relationship Id="rId33" Type="http://schemas.openxmlformats.org/officeDocument/2006/relationships/image" Target="media/image32.jpeg"/><Relationship Id="rId108" Type="http://schemas.openxmlformats.org/officeDocument/2006/relationships/image" Target="media/image107.jpeg"/><Relationship Id="rId129" Type="http://schemas.openxmlformats.org/officeDocument/2006/relationships/image" Target="media/image128.jpeg"/><Relationship Id="rId54" Type="http://schemas.openxmlformats.org/officeDocument/2006/relationships/image" Target="media/image53.jpeg"/><Relationship Id="rId75" Type="http://schemas.openxmlformats.org/officeDocument/2006/relationships/image" Target="media/image74.jpeg"/><Relationship Id="rId96" Type="http://schemas.openxmlformats.org/officeDocument/2006/relationships/image" Target="media/image95.jpeg"/><Relationship Id="rId140" Type="http://schemas.openxmlformats.org/officeDocument/2006/relationships/image" Target="media/image139.jpeg"/><Relationship Id="rId161" Type="http://schemas.openxmlformats.org/officeDocument/2006/relationships/image" Target="media/image160.jpeg"/><Relationship Id="rId182" Type="http://schemas.openxmlformats.org/officeDocument/2006/relationships/image" Target="media/image179.jpeg"/><Relationship Id="rId217" Type="http://schemas.openxmlformats.org/officeDocument/2006/relationships/image" Target="media/image217.jpeg"/><Relationship Id="rId6" Type="http://schemas.openxmlformats.org/officeDocument/2006/relationships/image" Target="media/image5.jpeg"/><Relationship Id="rId238" Type="http://schemas.openxmlformats.org/officeDocument/2006/relationships/image" Target="media/image237.jpeg"/><Relationship Id="rId23" Type="http://schemas.openxmlformats.org/officeDocument/2006/relationships/image" Target="media/image22.jpeg"/><Relationship Id="rId119" Type="http://schemas.openxmlformats.org/officeDocument/2006/relationships/image" Target="media/image118.jpeg"/><Relationship Id="rId44" Type="http://schemas.openxmlformats.org/officeDocument/2006/relationships/image" Target="media/image43.jpeg"/><Relationship Id="rId65" Type="http://schemas.openxmlformats.org/officeDocument/2006/relationships/image" Target="media/image67.jpeg"/><Relationship Id="rId86" Type="http://schemas.openxmlformats.org/officeDocument/2006/relationships/image" Target="media/image85.jpeg"/><Relationship Id="rId130" Type="http://schemas.openxmlformats.org/officeDocument/2006/relationships/image" Target="media/image129.jpeg"/><Relationship Id="rId151" Type="http://schemas.openxmlformats.org/officeDocument/2006/relationships/image" Target="media/image150.jpeg"/><Relationship Id="rId172" Type="http://schemas.openxmlformats.org/officeDocument/2006/relationships/image" Target="media/image171.jpeg"/><Relationship Id="rId193" Type="http://schemas.openxmlformats.org/officeDocument/2006/relationships/image" Target="media/image193.jpeg"/><Relationship Id="rId207" Type="http://schemas.openxmlformats.org/officeDocument/2006/relationships/image" Target="media/image206.jpeg"/><Relationship Id="rId228" Type="http://schemas.openxmlformats.org/officeDocument/2006/relationships/image" Target="media/image227.jpeg"/><Relationship Id="rId249" Type="http://schemas.openxmlformats.org/officeDocument/2006/relationships/image" Target="media/image249.jpeg"/><Relationship Id="rId13" Type="http://schemas.openxmlformats.org/officeDocument/2006/relationships/image" Target="media/image12.jpeg"/><Relationship Id="rId109" Type="http://schemas.openxmlformats.org/officeDocument/2006/relationships/image" Target="media/image108.jpeg"/><Relationship Id="rId34" Type="http://schemas.openxmlformats.org/officeDocument/2006/relationships/image" Target="media/image33.jpeg"/><Relationship Id="rId55" Type="http://schemas.openxmlformats.org/officeDocument/2006/relationships/image" Target="media/image54.jpeg"/><Relationship Id="rId76" Type="http://schemas.openxmlformats.org/officeDocument/2006/relationships/image" Target="media/image75.jpeg"/><Relationship Id="rId97" Type="http://schemas.openxmlformats.org/officeDocument/2006/relationships/image" Target="media/image96.jpeg"/><Relationship Id="rId120" Type="http://schemas.openxmlformats.org/officeDocument/2006/relationships/image" Target="media/image119.jpeg"/><Relationship Id="rId141" Type="http://schemas.openxmlformats.org/officeDocument/2006/relationships/image" Target="media/image140.jpeg"/><Relationship Id="rId7" Type="http://schemas.openxmlformats.org/officeDocument/2006/relationships/image" Target="media/image6.jpeg"/><Relationship Id="rId162" Type="http://schemas.openxmlformats.org/officeDocument/2006/relationships/image" Target="media/image161.jpeg"/><Relationship Id="rId183" Type="http://schemas.openxmlformats.org/officeDocument/2006/relationships/image" Target="media/image182.jpeg"/><Relationship Id="rId218" Type="http://schemas.openxmlformats.org/officeDocument/2006/relationships/image" Target="media/image216.jpeg"/><Relationship Id="rId239" Type="http://schemas.openxmlformats.org/officeDocument/2006/relationships/image" Target="media/image238.jpeg"/><Relationship Id="rId250" Type="http://schemas.openxmlformats.org/officeDocument/2006/relationships/image" Target="media/image248.jpeg"/><Relationship Id="rId24" Type="http://schemas.openxmlformats.org/officeDocument/2006/relationships/image" Target="media/image23.jpeg"/><Relationship Id="rId45" Type="http://schemas.openxmlformats.org/officeDocument/2006/relationships/image" Target="media/image44.jpeg"/><Relationship Id="rId66" Type="http://schemas.openxmlformats.org/officeDocument/2006/relationships/image" Target="media/image66.jpeg"/><Relationship Id="rId87" Type="http://schemas.openxmlformats.org/officeDocument/2006/relationships/image" Target="media/image86.jpeg"/><Relationship Id="rId110" Type="http://schemas.openxmlformats.org/officeDocument/2006/relationships/image" Target="media/image109.jpeg"/><Relationship Id="rId131" Type="http://schemas.openxmlformats.org/officeDocument/2006/relationships/image" Target="media/image130.jpeg"/><Relationship Id="rId152" Type="http://schemas.openxmlformats.org/officeDocument/2006/relationships/image" Target="media/image151.jpeg"/><Relationship Id="rId173" Type="http://schemas.openxmlformats.org/officeDocument/2006/relationships/image" Target="media/image172.jpeg"/><Relationship Id="rId194" Type="http://schemas.openxmlformats.org/officeDocument/2006/relationships/image" Target="media/image192.jpeg"/><Relationship Id="rId208" Type="http://schemas.openxmlformats.org/officeDocument/2006/relationships/image" Target="media/image207.jpeg"/><Relationship Id="rId229" Type="http://schemas.openxmlformats.org/officeDocument/2006/relationships/image" Target="media/image228.jpeg"/><Relationship Id="rId240" Type="http://schemas.openxmlformats.org/officeDocument/2006/relationships/image" Target="media/image239.jpeg"/><Relationship Id="rId14" Type="http://schemas.openxmlformats.org/officeDocument/2006/relationships/image" Target="media/image13.jpeg"/><Relationship Id="rId35" Type="http://schemas.openxmlformats.org/officeDocument/2006/relationships/image" Target="media/image34.jpeg"/><Relationship Id="rId56" Type="http://schemas.openxmlformats.org/officeDocument/2006/relationships/image" Target="media/image55.jpeg"/><Relationship Id="rId77" Type="http://schemas.openxmlformats.org/officeDocument/2006/relationships/image" Target="media/image76.jpeg"/><Relationship Id="rId100" Type="http://schemas.openxmlformats.org/officeDocument/2006/relationships/image" Target="media/image99.jpeg"/><Relationship Id="rId8" Type="http://schemas.openxmlformats.org/officeDocument/2006/relationships/image" Target="media/image7.jpeg"/><Relationship Id="rId98" Type="http://schemas.openxmlformats.org/officeDocument/2006/relationships/image" Target="media/image97.jpeg"/><Relationship Id="rId121" Type="http://schemas.openxmlformats.org/officeDocument/2006/relationships/image" Target="media/image120.jpeg"/><Relationship Id="rId142" Type="http://schemas.openxmlformats.org/officeDocument/2006/relationships/image" Target="media/image141.jpeg"/><Relationship Id="rId163" Type="http://schemas.openxmlformats.org/officeDocument/2006/relationships/image" Target="media/image162.jpeg"/><Relationship Id="rId184" Type="http://schemas.openxmlformats.org/officeDocument/2006/relationships/image" Target="media/image184.jpeg"/><Relationship Id="rId219" Type="http://schemas.openxmlformats.org/officeDocument/2006/relationships/image" Target="media/image218.jpeg"/><Relationship Id="rId230" Type="http://schemas.openxmlformats.org/officeDocument/2006/relationships/image" Target="media/image229.jpeg"/><Relationship Id="rId251" Type="http://schemas.openxmlformats.org/officeDocument/2006/relationships/image" Target="media/image250.jpeg"/><Relationship Id="rId25" Type="http://schemas.openxmlformats.org/officeDocument/2006/relationships/image" Target="media/image24.jpeg"/><Relationship Id="rId46" Type="http://schemas.openxmlformats.org/officeDocument/2006/relationships/image" Target="media/image45.jpeg"/><Relationship Id="rId67" Type="http://schemas.openxmlformats.org/officeDocument/2006/relationships/image" Target="media/image65.jpeg"/><Relationship Id="rId88" Type="http://schemas.openxmlformats.org/officeDocument/2006/relationships/image" Target="media/image87.jpeg"/><Relationship Id="rId111" Type="http://schemas.openxmlformats.org/officeDocument/2006/relationships/image" Target="media/image110.jpeg"/><Relationship Id="rId132" Type="http://schemas.openxmlformats.org/officeDocument/2006/relationships/image" Target="media/image131.jpeg"/><Relationship Id="rId153" Type="http://schemas.openxmlformats.org/officeDocument/2006/relationships/image" Target="media/image152.jpeg"/><Relationship Id="rId174" Type="http://schemas.openxmlformats.org/officeDocument/2006/relationships/image" Target="media/image173.jpeg"/><Relationship Id="rId195" Type="http://schemas.openxmlformats.org/officeDocument/2006/relationships/image" Target="media/image194.jpeg"/><Relationship Id="rId209" Type="http://schemas.openxmlformats.org/officeDocument/2006/relationships/image" Target="media/image208.jpeg"/><Relationship Id="rId220" Type="http://schemas.openxmlformats.org/officeDocument/2006/relationships/image" Target="media/image219.jpeg"/><Relationship Id="rId241" Type="http://schemas.openxmlformats.org/officeDocument/2006/relationships/image" Target="media/image240.jpeg"/><Relationship Id="rId15" Type="http://schemas.openxmlformats.org/officeDocument/2006/relationships/image" Target="media/image14.jpeg"/><Relationship Id="rId36" Type="http://schemas.openxmlformats.org/officeDocument/2006/relationships/image" Target="media/image35.jpeg"/><Relationship Id="rId57" Type="http://schemas.openxmlformats.org/officeDocument/2006/relationships/image" Target="media/image56.jpeg"/><Relationship Id="rId78" Type="http://schemas.openxmlformats.org/officeDocument/2006/relationships/image" Target="media/image77.jpeg"/><Relationship Id="rId99" Type="http://schemas.openxmlformats.org/officeDocument/2006/relationships/image" Target="media/image98.jpeg"/><Relationship Id="rId101" Type="http://schemas.openxmlformats.org/officeDocument/2006/relationships/image" Target="media/image100.jpeg"/><Relationship Id="rId122" Type="http://schemas.openxmlformats.org/officeDocument/2006/relationships/image" Target="media/image121.jpeg"/><Relationship Id="rId143" Type="http://schemas.openxmlformats.org/officeDocument/2006/relationships/image" Target="media/image142.jpeg"/><Relationship Id="rId164" Type="http://schemas.openxmlformats.org/officeDocument/2006/relationships/image" Target="media/image163.jpeg"/><Relationship Id="rId185" Type="http://schemas.openxmlformats.org/officeDocument/2006/relationships/image" Target="media/image183.jpeg"/><Relationship Id="rId9" Type="http://schemas.openxmlformats.org/officeDocument/2006/relationships/image" Target="media/image8.jpeg"/><Relationship Id="rId210" Type="http://schemas.openxmlformats.org/officeDocument/2006/relationships/image" Target="media/image209.jpeg"/><Relationship Id="rId26" Type="http://schemas.openxmlformats.org/officeDocument/2006/relationships/image" Target="media/image25.jpeg"/><Relationship Id="rId231" Type="http://schemas.openxmlformats.org/officeDocument/2006/relationships/image" Target="media/image230.jpeg"/><Relationship Id="rId252" Type="http://schemas.openxmlformats.org/officeDocument/2006/relationships/image" Target="media/image251.jpeg"/><Relationship Id="rId47" Type="http://schemas.openxmlformats.org/officeDocument/2006/relationships/image" Target="media/image46.jpeg"/><Relationship Id="rId68" Type="http://schemas.openxmlformats.org/officeDocument/2006/relationships/image" Target="media/image64.jpeg"/><Relationship Id="rId89" Type="http://schemas.openxmlformats.org/officeDocument/2006/relationships/image" Target="media/image89.jpeg"/><Relationship Id="rId112" Type="http://schemas.openxmlformats.org/officeDocument/2006/relationships/image" Target="media/image111.jpeg"/><Relationship Id="rId133" Type="http://schemas.openxmlformats.org/officeDocument/2006/relationships/image" Target="media/image132.jpeg"/><Relationship Id="rId154" Type="http://schemas.openxmlformats.org/officeDocument/2006/relationships/image" Target="media/image153.jpeg"/><Relationship Id="rId175" Type="http://schemas.openxmlformats.org/officeDocument/2006/relationships/image" Target="media/image174.jpeg"/><Relationship Id="rId196" Type="http://schemas.openxmlformats.org/officeDocument/2006/relationships/image" Target="media/image195.jpeg"/><Relationship Id="rId200" Type="http://schemas.openxmlformats.org/officeDocument/2006/relationships/image" Target="media/image200.jpeg"/><Relationship Id="rId16" Type="http://schemas.openxmlformats.org/officeDocument/2006/relationships/image" Target="media/image15.jpeg"/><Relationship Id="rId221" Type="http://schemas.openxmlformats.org/officeDocument/2006/relationships/image" Target="media/image220.jpeg"/><Relationship Id="rId242" Type="http://schemas.openxmlformats.org/officeDocument/2006/relationships/image" Target="media/image241.jpeg"/><Relationship Id="rId37" Type="http://schemas.openxmlformats.org/officeDocument/2006/relationships/image" Target="media/image36.jpeg"/><Relationship Id="rId58" Type="http://schemas.openxmlformats.org/officeDocument/2006/relationships/image" Target="media/image57.jpeg"/><Relationship Id="rId79" Type="http://schemas.openxmlformats.org/officeDocument/2006/relationships/image" Target="media/image78.jpeg"/><Relationship Id="rId102" Type="http://schemas.openxmlformats.org/officeDocument/2006/relationships/image" Target="media/image101.jpeg"/><Relationship Id="rId123" Type="http://schemas.openxmlformats.org/officeDocument/2006/relationships/image" Target="media/image122.jpeg"/><Relationship Id="rId144" Type="http://schemas.openxmlformats.org/officeDocument/2006/relationships/image" Target="media/image143.jpeg"/><Relationship Id="rId90" Type="http://schemas.openxmlformats.org/officeDocument/2006/relationships/image" Target="media/image88.jpeg"/><Relationship Id="rId165" Type="http://schemas.openxmlformats.org/officeDocument/2006/relationships/image" Target="media/image164.jpeg"/><Relationship Id="rId186" Type="http://schemas.openxmlformats.org/officeDocument/2006/relationships/image" Target="media/image185.jpeg"/><Relationship Id="rId211" Type="http://schemas.openxmlformats.org/officeDocument/2006/relationships/image" Target="media/image210.jpeg"/><Relationship Id="rId232" Type="http://schemas.openxmlformats.org/officeDocument/2006/relationships/image" Target="media/image231.jpeg"/><Relationship Id="rId253" Type="http://schemas.openxmlformats.org/officeDocument/2006/relationships/image" Target="media/image252.jpeg"/><Relationship Id="rId27" Type="http://schemas.openxmlformats.org/officeDocument/2006/relationships/image" Target="media/image26.jpeg"/><Relationship Id="rId48" Type="http://schemas.openxmlformats.org/officeDocument/2006/relationships/image" Target="media/image47.jpeg"/><Relationship Id="rId69" Type="http://schemas.openxmlformats.org/officeDocument/2006/relationships/image" Target="media/image69.jpeg"/><Relationship Id="rId113" Type="http://schemas.openxmlformats.org/officeDocument/2006/relationships/image" Target="media/image112.jpeg"/><Relationship Id="rId134" Type="http://schemas.openxmlformats.org/officeDocument/2006/relationships/image" Target="media/image133.jpeg"/><Relationship Id="rId80" Type="http://schemas.openxmlformats.org/officeDocument/2006/relationships/image" Target="media/image80.jpeg"/><Relationship Id="rId155" Type="http://schemas.openxmlformats.org/officeDocument/2006/relationships/image" Target="media/image154.jpeg"/><Relationship Id="rId176" Type="http://schemas.openxmlformats.org/officeDocument/2006/relationships/image" Target="media/image176.jpeg"/><Relationship Id="rId197" Type="http://schemas.openxmlformats.org/officeDocument/2006/relationships/image" Target="media/image196.jpeg"/><Relationship Id="rId201" Type="http://schemas.openxmlformats.org/officeDocument/2006/relationships/image" Target="media/image199.jpeg"/><Relationship Id="rId222" Type="http://schemas.openxmlformats.org/officeDocument/2006/relationships/image" Target="media/image221.jpeg"/><Relationship Id="rId243" Type="http://schemas.openxmlformats.org/officeDocument/2006/relationships/image" Target="media/image243.jpeg"/><Relationship Id="rId17" Type="http://schemas.openxmlformats.org/officeDocument/2006/relationships/image" Target="media/image16.jpeg"/><Relationship Id="rId38" Type="http://schemas.openxmlformats.org/officeDocument/2006/relationships/image" Target="media/image37.jpeg"/><Relationship Id="rId59" Type="http://schemas.openxmlformats.org/officeDocument/2006/relationships/image" Target="media/image58.jpeg"/><Relationship Id="rId103" Type="http://schemas.openxmlformats.org/officeDocument/2006/relationships/image" Target="media/image102.jpeg"/><Relationship Id="rId124" Type="http://schemas.openxmlformats.org/officeDocument/2006/relationships/image" Target="media/image123.jpeg"/><Relationship Id="rId70" Type="http://schemas.openxmlformats.org/officeDocument/2006/relationships/image" Target="media/image68.jpeg"/><Relationship Id="rId91" Type="http://schemas.openxmlformats.org/officeDocument/2006/relationships/image" Target="media/image90.jpeg"/><Relationship Id="rId145" Type="http://schemas.openxmlformats.org/officeDocument/2006/relationships/image" Target="media/image144.jpeg"/><Relationship Id="rId166" Type="http://schemas.openxmlformats.org/officeDocument/2006/relationships/image" Target="media/image165.jpeg"/><Relationship Id="rId187" Type="http://schemas.openxmlformats.org/officeDocument/2006/relationships/image" Target="media/image186.jpeg"/><Relationship Id="rId1" Type="http://schemas.openxmlformats.org/officeDocument/2006/relationships/image" Target="media/image0.jpeg"/><Relationship Id="rId212" Type="http://schemas.openxmlformats.org/officeDocument/2006/relationships/image" Target="media/image211.jpeg"/><Relationship Id="rId233" Type="http://schemas.openxmlformats.org/officeDocument/2006/relationships/image" Target="media/image232.jpeg"/><Relationship Id="rId254" Type="http://schemas.openxmlformats.org/officeDocument/2006/relationships/image" Target="media/image253.jpeg"/><Relationship Id="rId28" Type="http://schemas.openxmlformats.org/officeDocument/2006/relationships/image" Target="media/image27.jpeg"/><Relationship Id="rId49" Type="http://schemas.openxmlformats.org/officeDocument/2006/relationships/image" Target="media/image48.jpeg"/><Relationship Id="rId114" Type="http://schemas.openxmlformats.org/officeDocument/2006/relationships/image" Target="media/image113.jpeg"/><Relationship Id="rId60" Type="http://schemas.openxmlformats.org/officeDocument/2006/relationships/image" Target="media/image59.jpeg"/><Relationship Id="rId81" Type="http://schemas.openxmlformats.org/officeDocument/2006/relationships/image" Target="media/image79.jpeg"/><Relationship Id="rId135" Type="http://schemas.openxmlformats.org/officeDocument/2006/relationships/image" Target="media/image134.jpeg"/><Relationship Id="rId156" Type="http://schemas.openxmlformats.org/officeDocument/2006/relationships/image" Target="media/image155.jpeg"/><Relationship Id="rId177" Type="http://schemas.openxmlformats.org/officeDocument/2006/relationships/image" Target="media/image175.jpeg"/><Relationship Id="rId198" Type="http://schemas.openxmlformats.org/officeDocument/2006/relationships/image" Target="media/image198.jpeg"/><Relationship Id="rId202" Type="http://schemas.openxmlformats.org/officeDocument/2006/relationships/image" Target="media/image201.jpeg"/><Relationship Id="rId223" Type="http://schemas.openxmlformats.org/officeDocument/2006/relationships/image" Target="media/image222.jpeg"/><Relationship Id="rId244" Type="http://schemas.openxmlformats.org/officeDocument/2006/relationships/image" Target="media/image242.jpeg"/><Relationship Id="rId18" Type="http://schemas.openxmlformats.org/officeDocument/2006/relationships/image" Target="media/image17.jpeg"/><Relationship Id="rId39" Type="http://schemas.openxmlformats.org/officeDocument/2006/relationships/image" Target="media/image38.jpeg"/><Relationship Id="rId50" Type="http://schemas.openxmlformats.org/officeDocument/2006/relationships/image" Target="media/image50.jpeg"/><Relationship Id="rId104" Type="http://schemas.openxmlformats.org/officeDocument/2006/relationships/image" Target="media/image103.jpeg"/><Relationship Id="rId125" Type="http://schemas.openxmlformats.org/officeDocument/2006/relationships/image" Target="media/image124.jpeg"/><Relationship Id="rId146" Type="http://schemas.openxmlformats.org/officeDocument/2006/relationships/image" Target="media/image145.jpeg"/><Relationship Id="rId167" Type="http://schemas.openxmlformats.org/officeDocument/2006/relationships/image" Target="media/image166.jpeg"/><Relationship Id="rId188" Type="http://schemas.openxmlformats.org/officeDocument/2006/relationships/image" Target="media/image187.jpeg"/><Relationship Id="rId71" Type="http://schemas.openxmlformats.org/officeDocument/2006/relationships/image" Target="media/image70.jpeg"/><Relationship Id="rId92" Type="http://schemas.openxmlformats.org/officeDocument/2006/relationships/image" Target="media/image91.jpeg"/><Relationship Id="rId213" Type="http://schemas.openxmlformats.org/officeDocument/2006/relationships/image" Target="media/image212.jpeg"/><Relationship Id="rId234" Type="http://schemas.openxmlformats.org/officeDocument/2006/relationships/image" Target="media/image233.jpeg"/><Relationship Id="rId2" Type="http://schemas.openxmlformats.org/officeDocument/2006/relationships/image" Target="media/image1.jpeg"/><Relationship Id="rId29" Type="http://schemas.openxmlformats.org/officeDocument/2006/relationships/image" Target="media/image28.jpeg"/><Relationship Id="rId40" Type="http://schemas.openxmlformats.org/officeDocument/2006/relationships/image" Target="media/image39.jpeg"/><Relationship Id="rId115" Type="http://schemas.openxmlformats.org/officeDocument/2006/relationships/image" Target="media/image114.jpeg"/><Relationship Id="rId136" Type="http://schemas.openxmlformats.org/officeDocument/2006/relationships/image" Target="media/image135.jpeg"/><Relationship Id="rId157" Type="http://schemas.openxmlformats.org/officeDocument/2006/relationships/image" Target="media/image156.jpeg"/><Relationship Id="rId178" Type="http://schemas.openxmlformats.org/officeDocument/2006/relationships/image" Target="media/image177.jpeg"/><Relationship Id="rId61" Type="http://schemas.openxmlformats.org/officeDocument/2006/relationships/image" Target="media/image60.jpeg"/><Relationship Id="rId82" Type="http://schemas.openxmlformats.org/officeDocument/2006/relationships/image" Target="media/image81.jpeg"/><Relationship Id="rId199" Type="http://schemas.openxmlformats.org/officeDocument/2006/relationships/image" Target="media/image197.jpeg"/><Relationship Id="rId203" Type="http://schemas.openxmlformats.org/officeDocument/2006/relationships/image" Target="media/image202.jpeg"/><Relationship Id="rId19" Type="http://schemas.openxmlformats.org/officeDocument/2006/relationships/image" Target="media/image19.jpeg"/><Relationship Id="rId224" Type="http://schemas.openxmlformats.org/officeDocument/2006/relationships/image" Target="media/image223.jpeg"/><Relationship Id="rId245" Type="http://schemas.openxmlformats.org/officeDocument/2006/relationships/image" Target="media/image245.jpeg"/><Relationship Id="rId30" Type="http://schemas.openxmlformats.org/officeDocument/2006/relationships/image" Target="media/image29.jpeg"/><Relationship Id="rId105" Type="http://schemas.openxmlformats.org/officeDocument/2006/relationships/image" Target="media/image104.jpeg"/><Relationship Id="rId126" Type="http://schemas.openxmlformats.org/officeDocument/2006/relationships/image" Target="media/image125.jpeg"/><Relationship Id="rId147" Type="http://schemas.openxmlformats.org/officeDocument/2006/relationships/image" Target="media/image146.jpeg"/><Relationship Id="rId168" Type="http://schemas.openxmlformats.org/officeDocument/2006/relationships/image" Target="media/image167.jpeg"/><Relationship Id="rId51" Type="http://schemas.openxmlformats.org/officeDocument/2006/relationships/image" Target="media/image49.jpeg"/><Relationship Id="rId72" Type="http://schemas.openxmlformats.org/officeDocument/2006/relationships/image" Target="media/image71.jpeg"/><Relationship Id="rId93" Type="http://schemas.openxmlformats.org/officeDocument/2006/relationships/image" Target="media/image92.jpeg"/><Relationship Id="rId189" Type="http://schemas.openxmlformats.org/officeDocument/2006/relationships/image" Target="media/image188.jpeg"/><Relationship Id="rId3" Type="http://schemas.openxmlformats.org/officeDocument/2006/relationships/image" Target="media/image4.jpeg"/><Relationship Id="rId214" Type="http://schemas.openxmlformats.org/officeDocument/2006/relationships/image" Target="media/image213.jpeg"/><Relationship Id="rId235" Type="http://schemas.openxmlformats.org/officeDocument/2006/relationships/image" Target="media/image234.jpeg"/><Relationship Id="rId116" Type="http://schemas.openxmlformats.org/officeDocument/2006/relationships/image" Target="media/image115.jpeg"/><Relationship Id="rId137" Type="http://schemas.openxmlformats.org/officeDocument/2006/relationships/image" Target="media/image136.jpeg"/><Relationship Id="rId158" Type="http://schemas.openxmlformats.org/officeDocument/2006/relationships/image" Target="media/image157.jpeg"/><Relationship Id="rId20" Type="http://schemas.openxmlformats.org/officeDocument/2006/relationships/image" Target="media/image18.jpeg"/><Relationship Id="rId41" Type="http://schemas.openxmlformats.org/officeDocument/2006/relationships/image" Target="media/image40.jpeg"/><Relationship Id="rId62" Type="http://schemas.openxmlformats.org/officeDocument/2006/relationships/image" Target="media/image61.jpeg"/><Relationship Id="rId83" Type="http://schemas.openxmlformats.org/officeDocument/2006/relationships/image" Target="media/image82.jpeg"/><Relationship Id="rId179" Type="http://schemas.openxmlformats.org/officeDocument/2006/relationships/image" Target="media/image178.jpeg"/><Relationship Id="rId190" Type="http://schemas.openxmlformats.org/officeDocument/2006/relationships/image" Target="media/image189.jpeg"/><Relationship Id="rId204" Type="http://schemas.openxmlformats.org/officeDocument/2006/relationships/image" Target="media/image203.jpeg"/><Relationship Id="rId225" Type="http://schemas.openxmlformats.org/officeDocument/2006/relationships/image" Target="media/image224.jpeg"/><Relationship Id="rId246" Type="http://schemas.openxmlformats.org/officeDocument/2006/relationships/image" Target="media/image244.jpeg"/><Relationship Id="rId106" Type="http://schemas.openxmlformats.org/officeDocument/2006/relationships/image" Target="media/image105.jpeg"/><Relationship Id="rId127" Type="http://schemas.openxmlformats.org/officeDocument/2006/relationships/image" Target="media/image126.jpeg"/><Relationship Id="rId10" Type="http://schemas.openxmlformats.org/officeDocument/2006/relationships/image" Target="media/image9.jpeg"/><Relationship Id="rId31" Type="http://schemas.openxmlformats.org/officeDocument/2006/relationships/image" Target="media/image30.jpeg"/><Relationship Id="rId52" Type="http://schemas.openxmlformats.org/officeDocument/2006/relationships/image" Target="media/image52.jpeg"/><Relationship Id="rId73" Type="http://schemas.openxmlformats.org/officeDocument/2006/relationships/image" Target="media/image73.jpeg"/><Relationship Id="rId94" Type="http://schemas.openxmlformats.org/officeDocument/2006/relationships/image" Target="media/image93.jpeg"/><Relationship Id="rId148" Type="http://schemas.openxmlformats.org/officeDocument/2006/relationships/image" Target="media/image147.jpeg"/><Relationship Id="rId169" Type="http://schemas.openxmlformats.org/officeDocument/2006/relationships/image" Target="media/image168.jpeg"/><Relationship Id="rId4" Type="http://schemas.openxmlformats.org/officeDocument/2006/relationships/image" Target="media/image3.jpeg"/><Relationship Id="rId180" Type="http://schemas.openxmlformats.org/officeDocument/2006/relationships/image" Target="media/image181.jpeg"/><Relationship Id="rId215" Type="http://schemas.openxmlformats.org/officeDocument/2006/relationships/image" Target="media/image214.jpeg"/><Relationship Id="rId236" Type="http://schemas.openxmlformats.org/officeDocument/2006/relationships/image" Target="media/image235.jpe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www.wps.cn/officeDocument/2020/cellImage" Target="cellimag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1"/>
  <sheetViews>
    <sheetView topLeftCell="A8" zoomScaleNormal="100" workbookViewId="0">
      <selection activeCell="D37" sqref="D37"/>
    </sheetView>
  </sheetViews>
  <sheetFormatPr baseColWidth="10" defaultColWidth="10" defaultRowHeight="14.4" x14ac:dyDescent="0.3"/>
  <cols>
    <col min="2" max="2" width="20.44140625" bestFit="1" customWidth="1"/>
    <col min="3" max="3" width="40.6640625" customWidth="1"/>
    <col min="4" max="4" width="24.33203125" customWidth="1"/>
    <col min="5" max="5" width="11.5546875" bestFit="1" customWidth="1"/>
    <col min="8" max="8" width="11.44140625" style="1"/>
    <col min="10" max="10" width="11.109375" bestFit="1" customWidth="1"/>
    <col min="11" max="11" width="16.33203125" customWidth="1"/>
    <col min="12" max="12" width="28.44140625" customWidth="1"/>
    <col min="13" max="13" width="11.44140625" customWidth="1"/>
    <col min="16" max="16" width="10.33203125" bestFit="1" customWidth="1"/>
    <col min="17" max="17" width="12.6640625" customWidth="1"/>
    <col min="18" max="18" width="28" bestFit="1" customWidth="1"/>
  </cols>
  <sheetData>
    <row r="1" spans="1:19" ht="18" x14ac:dyDescent="0.3">
      <c r="A1" s="2"/>
      <c r="B1" s="88" t="s">
        <v>0</v>
      </c>
      <c r="C1" s="88"/>
      <c r="D1" s="88"/>
      <c r="E1" s="88"/>
      <c r="F1" s="88"/>
      <c r="G1" s="88"/>
      <c r="H1" s="3"/>
      <c r="I1" s="80" t="s">
        <v>1</v>
      </c>
      <c r="J1" s="80"/>
      <c r="K1" s="80"/>
      <c r="L1" s="80"/>
      <c r="M1" s="80"/>
      <c r="N1" s="4"/>
      <c r="O1" s="81" t="s">
        <v>2</v>
      </c>
      <c r="P1" s="81"/>
      <c r="Q1" s="81"/>
      <c r="R1" s="81"/>
      <c r="S1" s="81"/>
    </row>
    <row r="2" spans="1:19" x14ac:dyDescent="0.3">
      <c r="A2" s="2"/>
      <c r="B2" s="5"/>
      <c r="C2" s="5"/>
      <c r="D2" s="5"/>
      <c r="E2" s="5"/>
      <c r="F2" s="5"/>
      <c r="G2" s="5"/>
      <c r="H2" s="3"/>
      <c r="I2" s="6"/>
      <c r="J2" s="6"/>
      <c r="K2" s="6"/>
      <c r="L2" s="6"/>
      <c r="M2" s="6"/>
      <c r="N2" s="4"/>
      <c r="O2" s="6"/>
      <c r="P2" s="6"/>
      <c r="Q2" s="6"/>
      <c r="R2" s="6"/>
      <c r="S2" s="6"/>
    </row>
    <row r="3" spans="1:19" ht="43.2" x14ac:dyDescent="0.3">
      <c r="A3" s="2"/>
      <c r="B3" s="7" t="s">
        <v>3</v>
      </c>
      <c r="C3" s="8" t="s">
        <v>4</v>
      </c>
      <c r="D3" s="8" t="s">
        <v>5</v>
      </c>
      <c r="E3" s="8" t="s">
        <v>2</v>
      </c>
      <c r="F3" s="8" t="s">
        <v>1</v>
      </c>
      <c r="G3" s="9" t="s">
        <v>6</v>
      </c>
      <c r="H3" s="3"/>
      <c r="I3" s="10"/>
      <c r="J3" s="11" t="s">
        <v>7</v>
      </c>
      <c r="K3" s="11" t="s">
        <v>3</v>
      </c>
      <c r="L3" s="11" t="s">
        <v>4</v>
      </c>
      <c r="M3" s="12" t="s">
        <v>8</v>
      </c>
      <c r="N3" s="4"/>
      <c r="O3" s="13"/>
      <c r="P3" s="14" t="s">
        <v>7</v>
      </c>
      <c r="Q3" s="15" t="s">
        <v>3</v>
      </c>
      <c r="R3" s="14" t="s">
        <v>4</v>
      </c>
      <c r="S3" s="16" t="s">
        <v>8</v>
      </c>
    </row>
    <row r="4" spans="1:19" x14ac:dyDescent="0.3">
      <c r="A4" s="2"/>
      <c r="B4" s="17" t="s">
        <v>9</v>
      </c>
      <c r="C4" s="17" t="s">
        <v>10</v>
      </c>
      <c r="D4" s="17" t="e" vm="1">
        <f ca="1">_xlfn.DISPIMG("ID_69EA9D08DEDE465F80F8AAC4B40E6D74",1)</f>
        <v>#NAME?</v>
      </c>
      <c r="E4" s="17">
        <v>11</v>
      </c>
      <c r="F4" s="17"/>
      <c r="G4" s="17">
        <v>11</v>
      </c>
      <c r="H4" s="3"/>
      <c r="I4" s="18">
        <v>1</v>
      </c>
      <c r="J4" s="19">
        <v>46227</v>
      </c>
      <c r="K4" s="18" t="s">
        <v>11</v>
      </c>
      <c r="L4" s="18" t="s">
        <v>12</v>
      </c>
      <c r="M4" s="18">
        <v>2</v>
      </c>
      <c r="N4" s="4"/>
      <c r="O4" s="20">
        <v>1</v>
      </c>
      <c r="P4" s="21">
        <v>46231</v>
      </c>
      <c r="Q4" s="20">
        <v>337459</v>
      </c>
      <c r="R4" s="20" t="s">
        <v>13</v>
      </c>
      <c r="S4" s="20">
        <v>20</v>
      </c>
    </row>
    <row r="5" spans="1:19" x14ac:dyDescent="0.3">
      <c r="A5" s="2"/>
      <c r="B5" s="17">
        <v>464424</v>
      </c>
      <c r="C5" s="17" t="s">
        <v>14</v>
      </c>
      <c r="D5" s="17" t="e" vm="1">
        <f ca="1">_xlfn.DISPIMG("ID_C4FF1F8F759C4857864DA1A98027E7CE",1)</f>
        <v>#NAME?</v>
      </c>
      <c r="E5" s="17">
        <v>5</v>
      </c>
      <c r="F5" s="17"/>
      <c r="G5" s="17">
        <v>5</v>
      </c>
      <c r="H5" s="3"/>
      <c r="I5" s="18">
        <v>2</v>
      </c>
      <c r="J5" s="19">
        <v>46231</v>
      </c>
      <c r="K5" s="18"/>
      <c r="L5" s="18" t="s">
        <v>15</v>
      </c>
      <c r="M5" s="18">
        <v>2</v>
      </c>
      <c r="N5" s="4"/>
      <c r="O5" s="22">
        <v>2</v>
      </c>
      <c r="P5" s="23">
        <v>46231</v>
      </c>
      <c r="Q5" s="22">
        <v>448657</v>
      </c>
      <c r="R5" s="22" t="s">
        <v>16</v>
      </c>
      <c r="S5" s="22">
        <v>20</v>
      </c>
    </row>
    <row r="6" spans="1:19" x14ac:dyDescent="0.3">
      <c r="A6" s="2"/>
      <c r="B6" s="17">
        <v>1237578</v>
      </c>
      <c r="C6" s="17" t="s">
        <v>17</v>
      </c>
      <c r="D6" s="17" t="e" vm="1">
        <f ca="1">_xlfn.DISPIMG("ID_744EC6902A6146F1BB4A2417DEBF5D24",1)</f>
        <v>#NAME?</v>
      </c>
      <c r="E6" s="17">
        <v>2</v>
      </c>
      <c r="F6" s="17"/>
      <c r="G6" s="17">
        <v>2</v>
      </c>
      <c r="H6" s="3"/>
      <c r="I6" s="82"/>
      <c r="J6" s="83"/>
      <c r="K6" s="83"/>
      <c r="L6" s="83"/>
      <c r="M6" s="84"/>
      <c r="N6" s="4"/>
      <c r="O6" s="24">
        <v>3</v>
      </c>
      <c r="P6" s="25">
        <v>46233</v>
      </c>
      <c r="Q6" s="24"/>
      <c r="R6" s="24" t="s">
        <v>18</v>
      </c>
      <c r="S6" s="24">
        <v>3</v>
      </c>
    </row>
    <row r="7" spans="1:19" x14ac:dyDescent="0.3">
      <c r="A7" s="2"/>
      <c r="B7" s="17">
        <v>245488</v>
      </c>
      <c r="C7" s="17" t="s">
        <v>19</v>
      </c>
      <c r="D7" s="17" t="e" vm="1">
        <f ca="1">_xlfn.DISPIMG("ID_8F20C29D5FA2470B8F5BB364DAD78E01",1)</f>
        <v>#NAME?</v>
      </c>
      <c r="E7" s="17">
        <v>3</v>
      </c>
      <c r="F7" s="17">
        <v>2</v>
      </c>
      <c r="G7" s="17">
        <v>1</v>
      </c>
      <c r="H7" s="3"/>
      <c r="I7" s="22">
        <v>3</v>
      </c>
      <c r="J7" s="26">
        <v>46233</v>
      </c>
      <c r="K7" s="22">
        <v>245488</v>
      </c>
      <c r="L7" s="22" t="s">
        <v>19</v>
      </c>
      <c r="M7" s="22">
        <v>1</v>
      </c>
      <c r="N7" s="4"/>
      <c r="O7" s="24">
        <v>4</v>
      </c>
      <c r="P7" s="25">
        <v>46233</v>
      </c>
      <c r="Q7" s="24"/>
      <c r="R7" s="24" t="s">
        <v>20</v>
      </c>
      <c r="S7" s="24">
        <v>2</v>
      </c>
    </row>
    <row r="8" spans="1:19" x14ac:dyDescent="0.3">
      <c r="A8" s="2"/>
      <c r="B8" s="17" t="s">
        <v>21</v>
      </c>
      <c r="C8" s="17" t="s">
        <v>22</v>
      </c>
      <c r="D8" s="17" t="e" vm="1">
        <f ca="1">_xlfn.DISPIMG("ID_7C55F7C017E141C2894B0CDF180D2986",1)</f>
        <v>#NAME?</v>
      </c>
      <c r="E8" s="17">
        <v>72</v>
      </c>
      <c r="F8" s="17">
        <v>20</v>
      </c>
      <c r="G8" s="17">
        <v>52</v>
      </c>
      <c r="H8" s="3"/>
      <c r="I8" s="22">
        <v>4</v>
      </c>
      <c r="J8" s="26">
        <v>46233</v>
      </c>
      <c r="K8" s="22" t="s">
        <v>23</v>
      </c>
      <c r="L8" s="22" t="s">
        <v>12</v>
      </c>
      <c r="M8" s="22">
        <v>1</v>
      </c>
      <c r="N8" s="4"/>
      <c r="O8" s="24">
        <v>5</v>
      </c>
      <c r="P8" s="25">
        <v>46233</v>
      </c>
      <c r="Q8" s="24"/>
      <c r="R8" s="24" t="s">
        <v>24</v>
      </c>
      <c r="S8" s="24">
        <v>21</v>
      </c>
    </row>
    <row r="9" spans="1:19" x14ac:dyDescent="0.3">
      <c r="A9" s="2"/>
      <c r="B9" s="17" t="s">
        <v>25</v>
      </c>
      <c r="C9" s="17" t="s">
        <v>26</v>
      </c>
      <c r="D9" s="17" t="e" vm="1">
        <f ca="1">_xlfn.DISPIMG("ID_AF474CE2EDBD48028E272A5A8AF1C8E8",1)</f>
        <v>#NAME?</v>
      </c>
      <c r="E9" s="17">
        <v>3</v>
      </c>
      <c r="F9" s="17"/>
      <c r="G9" s="17">
        <v>3</v>
      </c>
      <c r="H9" s="3"/>
      <c r="I9" s="85"/>
      <c r="J9" s="86"/>
      <c r="K9" s="86"/>
      <c r="L9" s="86"/>
      <c r="M9" s="87"/>
      <c r="N9" s="4"/>
      <c r="O9" s="24">
        <v>6</v>
      </c>
      <c r="P9" s="25">
        <v>46233</v>
      </c>
      <c r="Q9" s="24"/>
      <c r="R9" s="24" t="s">
        <v>27</v>
      </c>
      <c r="S9" s="24">
        <v>4</v>
      </c>
    </row>
    <row r="10" spans="1:19" x14ac:dyDescent="0.3">
      <c r="A10" s="2"/>
      <c r="B10" s="17">
        <v>1227732</v>
      </c>
      <c r="C10" s="17" t="s">
        <v>28</v>
      </c>
      <c r="D10" s="17" t="e" vm="1">
        <f ca="1">_xlfn.DISPIMG("ID_7F120FAE99C843EDBEE1B219E04C2F37",1)</f>
        <v>#NAME?</v>
      </c>
      <c r="E10" s="17">
        <v>6</v>
      </c>
      <c r="F10" s="17">
        <v>3</v>
      </c>
      <c r="G10" s="17">
        <v>3</v>
      </c>
      <c r="H10" s="3"/>
      <c r="I10" s="27">
        <v>5</v>
      </c>
      <c r="J10" s="28">
        <v>46234</v>
      </c>
      <c r="K10" s="27" t="s">
        <v>21</v>
      </c>
      <c r="L10" s="27" t="s">
        <v>22</v>
      </c>
      <c r="M10" s="27">
        <v>5</v>
      </c>
      <c r="N10" s="4"/>
      <c r="O10" s="24">
        <v>7</v>
      </c>
      <c r="P10" s="25">
        <v>46233</v>
      </c>
      <c r="Q10" s="24"/>
      <c r="R10" s="24" t="s">
        <v>29</v>
      </c>
      <c r="S10" s="24">
        <v>1</v>
      </c>
    </row>
    <row r="11" spans="1:19" x14ac:dyDescent="0.3">
      <c r="A11" s="2"/>
      <c r="B11" s="17" t="s">
        <v>30</v>
      </c>
      <c r="C11" s="17" t="s">
        <v>31</v>
      </c>
      <c r="D11" s="17" t="e" vm="1">
        <f ca="1">_xlfn.DISPIMG("ID_E9D30594AD1540BF92276659C8366F8A",1)</f>
        <v>#NAME?</v>
      </c>
      <c r="E11" s="17">
        <v>56</v>
      </c>
      <c r="F11" s="17"/>
      <c r="G11" s="17">
        <v>56</v>
      </c>
      <c r="H11" s="3"/>
      <c r="I11" s="27">
        <v>6</v>
      </c>
      <c r="J11" s="28">
        <v>46234</v>
      </c>
      <c r="K11" s="27"/>
      <c r="L11" s="27" t="s">
        <v>32</v>
      </c>
      <c r="M11" s="27">
        <v>1</v>
      </c>
      <c r="N11" s="4"/>
      <c r="O11" s="24">
        <v>8</v>
      </c>
      <c r="P11" s="24" t="s">
        <v>33</v>
      </c>
      <c r="Q11" s="24"/>
      <c r="R11" s="24" t="s">
        <v>34</v>
      </c>
      <c r="S11" s="24">
        <v>4</v>
      </c>
    </row>
    <row r="12" spans="1:19" x14ac:dyDescent="0.3">
      <c r="A12" s="2"/>
      <c r="B12" s="17" t="s">
        <v>35</v>
      </c>
      <c r="C12" s="17" t="s">
        <v>36</v>
      </c>
      <c r="D12" s="17" t="e" vm="1">
        <f ca="1">_xlfn.DISPIMG("ID_409E90F16A2946FCA4F517FDC3BC710B",1)</f>
        <v>#NAME?</v>
      </c>
      <c r="E12" s="17">
        <v>52</v>
      </c>
      <c r="F12" s="17"/>
      <c r="G12" s="17">
        <v>52</v>
      </c>
      <c r="H12" s="3"/>
      <c r="I12" s="27">
        <v>7</v>
      </c>
      <c r="J12" s="28">
        <v>46234</v>
      </c>
      <c r="K12" s="27">
        <v>1270306</v>
      </c>
      <c r="L12" s="27" t="s">
        <v>37</v>
      </c>
      <c r="M12" s="27">
        <v>2</v>
      </c>
      <c r="N12" s="4"/>
      <c r="O12" s="24">
        <v>9</v>
      </c>
      <c r="P12" s="25">
        <v>46233</v>
      </c>
      <c r="Q12" s="24"/>
      <c r="R12" s="24" t="s">
        <v>38</v>
      </c>
      <c r="S12" s="24">
        <v>1</v>
      </c>
    </row>
    <row r="13" spans="1:19" x14ac:dyDescent="0.3">
      <c r="A13" s="2"/>
      <c r="B13" s="17">
        <v>127038004</v>
      </c>
      <c r="C13" s="17" t="s">
        <v>39</v>
      </c>
      <c r="D13" s="17" t="e" vm="1">
        <f ca="1">_xlfn.DISPIMG("ID_42510FF35CF64AC69B6A3DF9928441EF",1)</f>
        <v>#NAME?</v>
      </c>
      <c r="E13" s="17">
        <v>97</v>
      </c>
      <c r="F13" s="17"/>
      <c r="G13" s="17">
        <v>97</v>
      </c>
      <c r="H13" s="3"/>
      <c r="I13" s="27">
        <v>8</v>
      </c>
      <c r="J13" s="28">
        <v>46234</v>
      </c>
      <c r="K13" s="27" t="s">
        <v>40</v>
      </c>
      <c r="L13" s="27" t="s">
        <v>41</v>
      </c>
      <c r="M13" s="27">
        <v>1</v>
      </c>
      <c r="N13" s="4"/>
      <c r="O13" s="24">
        <v>10</v>
      </c>
      <c r="P13" s="25">
        <v>46233</v>
      </c>
      <c r="Q13" s="24"/>
      <c r="R13" s="24" t="s">
        <v>42</v>
      </c>
      <c r="S13" s="24">
        <v>1</v>
      </c>
    </row>
    <row r="14" spans="1:19" x14ac:dyDescent="0.3">
      <c r="A14" s="2"/>
      <c r="B14" s="17">
        <v>127038005</v>
      </c>
      <c r="C14" s="17" t="s">
        <v>43</v>
      </c>
      <c r="D14" s="17" t="e" vm="1">
        <f ca="1">_xlfn.DISPIMG("ID_7CDC76D3F24D4C3ABD99AE94008B58DA",1)</f>
        <v>#NAME?</v>
      </c>
      <c r="E14" s="17">
        <v>104</v>
      </c>
      <c r="F14" s="17"/>
      <c r="G14" s="17">
        <v>104</v>
      </c>
      <c r="H14" s="3"/>
      <c r="I14" s="27">
        <v>9</v>
      </c>
      <c r="J14" s="28">
        <v>46234</v>
      </c>
      <c r="K14" s="27"/>
      <c r="L14" s="27" t="s">
        <v>44</v>
      </c>
      <c r="M14" s="27">
        <v>1</v>
      </c>
      <c r="N14" s="4"/>
      <c r="O14" s="24">
        <v>11</v>
      </c>
      <c r="P14" s="25">
        <v>46233</v>
      </c>
      <c r="Q14" s="24"/>
      <c r="R14" s="24" t="s">
        <v>45</v>
      </c>
      <c r="S14" s="24">
        <v>4</v>
      </c>
    </row>
    <row r="15" spans="1:19" x14ac:dyDescent="0.3">
      <c r="A15" s="2"/>
      <c r="B15" s="17" t="s">
        <v>46</v>
      </c>
      <c r="C15" s="17" t="s">
        <v>47</v>
      </c>
      <c r="D15" s="17" t="e" vm="1">
        <f ca="1">_xlfn.DISPIMG("ID_9D3FC390414B46F6A68CD1FDFE956067",1)</f>
        <v>#NAME?</v>
      </c>
      <c r="E15" s="17">
        <v>11</v>
      </c>
      <c r="F15" s="17"/>
      <c r="G15" s="17">
        <v>11</v>
      </c>
      <c r="H15" s="3"/>
      <c r="I15" s="29">
        <v>10</v>
      </c>
      <c r="J15" s="30">
        <v>46240</v>
      </c>
      <c r="K15" s="29">
        <v>1227732</v>
      </c>
      <c r="L15" s="29" t="s">
        <v>322</v>
      </c>
      <c r="M15" s="29">
        <v>3</v>
      </c>
      <c r="N15" s="4"/>
      <c r="O15" s="24">
        <v>12</v>
      </c>
      <c r="P15" s="25">
        <v>46233</v>
      </c>
      <c r="Q15" s="24">
        <v>337459</v>
      </c>
      <c r="R15" s="24" t="s">
        <v>48</v>
      </c>
      <c r="S15" s="24">
        <v>7</v>
      </c>
    </row>
    <row r="16" spans="1:19" x14ac:dyDescent="0.3">
      <c r="A16" s="2"/>
      <c r="B16" s="17">
        <v>1201862</v>
      </c>
      <c r="C16" s="17" t="s">
        <v>49</v>
      </c>
      <c r="D16" s="17" t="e" vm="1">
        <f ca="1">_xlfn.DISPIMG("ID_A4531082F86D4516B8E2EE42EC25128F",1)</f>
        <v>#NAME?</v>
      </c>
      <c r="E16" s="17">
        <v>2</v>
      </c>
      <c r="F16" s="17"/>
      <c r="G16" s="17">
        <v>2</v>
      </c>
      <c r="H16" s="3"/>
      <c r="I16" s="29">
        <v>11</v>
      </c>
      <c r="J16" s="30">
        <v>46240</v>
      </c>
      <c r="K16" s="29">
        <v>245488</v>
      </c>
      <c r="L16" s="29" t="s">
        <v>19</v>
      </c>
      <c r="M16" s="29">
        <v>1</v>
      </c>
      <c r="N16" s="4"/>
      <c r="O16" s="24">
        <v>13</v>
      </c>
      <c r="P16" s="25">
        <v>46233</v>
      </c>
      <c r="Q16" s="24">
        <v>448657</v>
      </c>
      <c r="R16" s="24" t="s">
        <v>50</v>
      </c>
      <c r="S16" s="24">
        <v>16</v>
      </c>
    </row>
    <row r="17" spans="1:19" x14ac:dyDescent="0.3">
      <c r="A17" s="2"/>
      <c r="B17" s="17">
        <v>1238548</v>
      </c>
      <c r="C17" s="17" t="s">
        <v>51</v>
      </c>
      <c r="D17" s="17" t="e" vm="1">
        <f ca="1">_xlfn.DISPIMG("ID_9831F4A49E7F4D888943CB7635C3DDEC",1)</f>
        <v>#NAME?</v>
      </c>
      <c r="E17" s="17">
        <v>2</v>
      </c>
      <c r="F17" s="17"/>
      <c r="G17" s="17">
        <v>2</v>
      </c>
      <c r="H17" s="3"/>
      <c r="I17" s="29">
        <v>12</v>
      </c>
      <c r="J17" s="30">
        <v>46240</v>
      </c>
      <c r="K17" s="29"/>
      <c r="L17" s="29" t="s">
        <v>324</v>
      </c>
      <c r="M17" s="29">
        <v>1</v>
      </c>
      <c r="N17" s="4"/>
      <c r="O17" s="24">
        <v>14</v>
      </c>
      <c r="P17" s="25">
        <v>46233</v>
      </c>
      <c r="Q17" s="24">
        <v>100875</v>
      </c>
      <c r="R17" s="24" t="s">
        <v>52</v>
      </c>
      <c r="S17" s="24">
        <v>17</v>
      </c>
    </row>
    <row r="18" spans="1:19" x14ac:dyDescent="0.3">
      <c r="A18" s="2"/>
      <c r="B18" s="17" t="s">
        <v>53</v>
      </c>
      <c r="C18" s="17" t="s">
        <v>54</v>
      </c>
      <c r="D18" s="17" t="e" vm="1">
        <f ca="1">_xlfn.DISPIMG("ID_8B039E77E26247CCBB1E32CCD503EFAE",1)</f>
        <v>#NAME?</v>
      </c>
      <c r="E18" s="17">
        <v>1</v>
      </c>
      <c r="F18" s="17"/>
      <c r="G18" s="17">
        <v>1</v>
      </c>
      <c r="H18" s="3"/>
      <c r="I18" s="29">
        <v>13</v>
      </c>
      <c r="J18" s="30">
        <v>46240</v>
      </c>
      <c r="K18" s="29"/>
      <c r="L18" s="29" t="s">
        <v>325</v>
      </c>
      <c r="M18" s="29">
        <v>1</v>
      </c>
      <c r="N18" s="4"/>
      <c r="O18" s="24">
        <v>15</v>
      </c>
      <c r="P18" s="25">
        <v>46233</v>
      </c>
      <c r="Q18" s="24"/>
      <c r="R18" s="24" t="s">
        <v>32</v>
      </c>
      <c r="S18" s="24">
        <v>10</v>
      </c>
    </row>
    <row r="19" spans="1:19" x14ac:dyDescent="0.3">
      <c r="A19" s="2"/>
      <c r="B19" s="17">
        <v>102268</v>
      </c>
      <c r="C19" s="17" t="s">
        <v>55</v>
      </c>
      <c r="D19" s="17" t="e" vm="1">
        <f ca="1">_xlfn.DISPIMG("ID_7C62FEC43BBB49CAB1B5E1BCCEE6D06D",1)</f>
        <v>#NAME?</v>
      </c>
      <c r="E19" s="17">
        <v>1</v>
      </c>
      <c r="F19" s="17"/>
      <c r="G19" s="17">
        <v>1</v>
      </c>
      <c r="H19" s="3"/>
      <c r="I19" s="29">
        <v>15</v>
      </c>
      <c r="J19" s="30">
        <v>46240</v>
      </c>
      <c r="K19" s="29">
        <v>1232128</v>
      </c>
      <c r="L19" s="29" t="s">
        <v>331</v>
      </c>
      <c r="M19" s="29">
        <v>1</v>
      </c>
      <c r="N19" s="4"/>
      <c r="O19" s="31">
        <v>16</v>
      </c>
      <c r="P19" s="32">
        <v>46237</v>
      </c>
      <c r="Q19" s="31"/>
      <c r="R19" s="31" t="s">
        <v>302</v>
      </c>
      <c r="S19" s="31">
        <v>60</v>
      </c>
    </row>
    <row r="20" spans="1:19" x14ac:dyDescent="0.3">
      <c r="A20" s="2"/>
      <c r="B20" s="17" t="s">
        <v>11</v>
      </c>
      <c r="C20" s="17" t="s">
        <v>56</v>
      </c>
      <c r="D20" s="17" t="e" vm="1">
        <f ca="1">_xlfn.DISPIMG("ID_31B59CC297994A039D6971D7B0813269",1)</f>
        <v>#NAME?</v>
      </c>
      <c r="E20" s="17">
        <v>1</v>
      </c>
      <c r="F20" s="17"/>
      <c r="G20" s="17">
        <v>1</v>
      </c>
      <c r="H20" s="3"/>
      <c r="I20" s="33">
        <v>16</v>
      </c>
      <c r="J20" s="34">
        <v>46244</v>
      </c>
      <c r="K20" s="33" t="s">
        <v>172</v>
      </c>
      <c r="L20" s="33" t="s">
        <v>351</v>
      </c>
      <c r="M20" s="33">
        <v>5</v>
      </c>
      <c r="N20" s="4"/>
      <c r="O20" s="35">
        <v>17</v>
      </c>
      <c r="P20" s="36">
        <v>46237</v>
      </c>
      <c r="Q20" s="35"/>
      <c r="R20" s="35" t="s">
        <v>303</v>
      </c>
      <c r="S20" s="35">
        <v>8</v>
      </c>
    </row>
    <row r="21" spans="1:19" x14ac:dyDescent="0.3">
      <c r="A21" s="2"/>
      <c r="B21" s="17" t="s">
        <v>11</v>
      </c>
      <c r="C21" s="17" t="s">
        <v>57</v>
      </c>
      <c r="D21" s="17" t="e" vm="1">
        <f ca="1">_xlfn.DISPIMG("ID_BBB08CB9994348F6879E8F3ED1D4D6DA",1)</f>
        <v>#NAME?</v>
      </c>
      <c r="E21" s="17">
        <v>3</v>
      </c>
      <c r="F21" s="17"/>
      <c r="G21" s="17">
        <v>3</v>
      </c>
      <c r="H21" s="3"/>
      <c r="I21" s="37">
        <v>17</v>
      </c>
      <c r="J21" s="38">
        <v>46244</v>
      </c>
      <c r="K21" s="37"/>
      <c r="L21" s="37" t="s">
        <v>350</v>
      </c>
      <c r="M21" s="37">
        <v>2</v>
      </c>
      <c r="N21" s="4"/>
      <c r="O21" s="35">
        <v>18</v>
      </c>
      <c r="P21" s="36">
        <v>46237</v>
      </c>
      <c r="Q21" s="35">
        <v>1232128</v>
      </c>
      <c r="R21" s="35" t="s">
        <v>304</v>
      </c>
      <c r="S21" s="35">
        <v>1</v>
      </c>
    </row>
    <row r="22" spans="1:19" x14ac:dyDescent="0.3">
      <c r="A22" s="2"/>
      <c r="B22" s="39" t="s">
        <v>11</v>
      </c>
      <c r="C22" s="40" t="s">
        <v>290</v>
      </c>
      <c r="D22" s="39" t="e" vm="1">
        <f ca="1">_xlfn.DISPIMG("ID_2BAEFFB8B4724AF891BD3F24785CD367",1)</f>
        <v>#NAME?</v>
      </c>
      <c r="E22" s="39">
        <v>3</v>
      </c>
      <c r="F22" s="39"/>
      <c r="G22" s="41">
        <v>3</v>
      </c>
      <c r="H22" s="3"/>
      <c r="I22" s="37">
        <v>18</v>
      </c>
      <c r="J22" s="38">
        <v>46244</v>
      </c>
      <c r="K22" s="37" t="s">
        <v>21</v>
      </c>
      <c r="L22" s="37" t="s">
        <v>22</v>
      </c>
      <c r="M22" s="37">
        <v>5</v>
      </c>
      <c r="N22" s="4"/>
      <c r="O22" s="42"/>
      <c r="P22" s="43"/>
      <c r="Q22" s="42"/>
      <c r="R22" s="42"/>
      <c r="S22" s="42"/>
    </row>
    <row r="23" spans="1:19" x14ac:dyDescent="0.3">
      <c r="A23" s="2"/>
      <c r="B23" s="44">
        <v>550401</v>
      </c>
      <c r="C23" s="44" t="s">
        <v>59</v>
      </c>
      <c r="D23" s="44" t="e" vm="1">
        <f ca="1">_xlfn.DISPIMG("ID_1267539E27AE4088B0EB25C7FC346256",1)</f>
        <v>#NAME?</v>
      </c>
      <c r="E23" s="44">
        <v>9</v>
      </c>
      <c r="F23" s="44"/>
      <c r="G23" s="17">
        <v>9</v>
      </c>
      <c r="H23" s="3"/>
      <c r="I23" s="37">
        <v>19</v>
      </c>
      <c r="J23" s="38">
        <v>46244</v>
      </c>
      <c r="K23" s="37">
        <v>2770303</v>
      </c>
      <c r="L23" s="37" t="s">
        <v>177</v>
      </c>
      <c r="M23" s="37">
        <v>5</v>
      </c>
      <c r="N23" s="4"/>
      <c r="O23" s="42"/>
      <c r="P23" s="42"/>
      <c r="Q23" s="42"/>
      <c r="R23" s="42"/>
      <c r="S23" s="42"/>
    </row>
    <row r="24" spans="1:19" x14ac:dyDescent="0.3">
      <c r="A24" s="2"/>
      <c r="B24" s="44">
        <v>550401</v>
      </c>
      <c r="C24" s="44" t="s">
        <v>60</v>
      </c>
      <c r="D24" s="44" t="e" vm="1">
        <f ca="1">_xlfn.DISPIMG("ID_25F2B97CAF3C42E7A82775BA9FFBC041",1)</f>
        <v>#NAME?</v>
      </c>
      <c r="E24" s="44">
        <v>34</v>
      </c>
      <c r="F24" s="44"/>
      <c r="G24" s="17">
        <v>34</v>
      </c>
      <c r="H24" s="3"/>
      <c r="I24" s="45">
        <v>20</v>
      </c>
      <c r="J24" s="46">
        <v>46244</v>
      </c>
      <c r="K24" s="45" t="s">
        <v>313</v>
      </c>
      <c r="L24" s="45" t="s">
        <v>352</v>
      </c>
      <c r="M24" s="45">
        <v>6</v>
      </c>
      <c r="N24" s="4"/>
      <c r="O24" s="42"/>
      <c r="P24" s="42"/>
      <c r="Q24" s="42"/>
      <c r="R24" s="42"/>
      <c r="S24" s="42"/>
    </row>
    <row r="25" spans="1:19" x14ac:dyDescent="0.3">
      <c r="A25" s="2"/>
      <c r="B25" s="47"/>
      <c r="C25" s="47" t="s">
        <v>61</v>
      </c>
      <c r="D25" s="47" t="e" vm="1">
        <f ca="1">_xlfn.DISPIMG("ID_927074808E3340548752E065AEF3D1E6",1)</f>
        <v>#NAME?</v>
      </c>
      <c r="E25" s="47">
        <v>1</v>
      </c>
      <c r="F25" s="47"/>
      <c r="G25" s="17">
        <v>1</v>
      </c>
      <c r="H25" s="3"/>
      <c r="I25" s="37">
        <v>21</v>
      </c>
      <c r="J25" s="38">
        <v>46244</v>
      </c>
      <c r="K25" s="37"/>
      <c r="L25" s="37" t="s">
        <v>242</v>
      </c>
      <c r="M25" s="37">
        <v>24</v>
      </c>
      <c r="N25" s="48"/>
      <c r="O25" s="49"/>
      <c r="P25" s="42"/>
      <c r="Q25" s="42"/>
      <c r="R25" s="42"/>
      <c r="S25" s="42"/>
    </row>
    <row r="26" spans="1:19" x14ac:dyDescent="0.3">
      <c r="A26" s="2"/>
      <c r="B26" s="47" t="s">
        <v>289</v>
      </c>
      <c r="C26" s="44" t="s">
        <v>62</v>
      </c>
      <c r="D26" s="47" t="e" vm="1">
        <f ca="1">_xlfn.DISPIMG("ID_74B5ECB13E62455FBD3F37B9ADEC11F1",1)</f>
        <v>#NAME?</v>
      </c>
      <c r="E26" s="47">
        <v>8</v>
      </c>
      <c r="F26" s="47">
        <v>1</v>
      </c>
      <c r="G26" s="17">
        <v>7</v>
      </c>
      <c r="H26" s="3"/>
      <c r="I26" s="37">
        <v>22</v>
      </c>
      <c r="J26" s="38">
        <v>46244</v>
      </c>
      <c r="K26" s="37" t="s">
        <v>170</v>
      </c>
      <c r="L26" s="37" t="s">
        <v>353</v>
      </c>
      <c r="M26" s="37">
        <v>7</v>
      </c>
      <c r="N26" s="48"/>
      <c r="O26" s="49"/>
      <c r="P26" s="42"/>
      <c r="Q26" s="42"/>
      <c r="R26" s="42"/>
      <c r="S26" s="42"/>
    </row>
    <row r="27" spans="1:19" x14ac:dyDescent="0.3">
      <c r="A27" s="2"/>
      <c r="B27" s="44">
        <v>448651</v>
      </c>
      <c r="C27" s="44" t="s">
        <v>63</v>
      </c>
      <c r="D27" s="44" t="e" vm="1">
        <f ca="1">_xlfn.DISPIMG("ID_FC33F4F091CD4886A9409A649832838C",1)</f>
        <v>#NAME?</v>
      </c>
      <c r="E27" s="44">
        <v>5</v>
      </c>
      <c r="F27" s="44"/>
      <c r="G27" s="17">
        <v>5</v>
      </c>
      <c r="H27" s="3"/>
      <c r="I27" s="37">
        <v>23</v>
      </c>
      <c r="J27" s="38">
        <v>46244</v>
      </c>
      <c r="K27" s="37" t="s">
        <v>23</v>
      </c>
      <c r="L27" s="37" t="s">
        <v>12</v>
      </c>
      <c r="M27" s="37">
        <v>1</v>
      </c>
      <c r="N27" s="48"/>
      <c r="O27" s="6"/>
      <c r="P27" s="6"/>
      <c r="Q27" s="6"/>
      <c r="R27" s="6"/>
      <c r="S27" s="6"/>
    </row>
    <row r="28" spans="1:19" x14ac:dyDescent="0.3">
      <c r="A28" s="2"/>
      <c r="B28" s="47"/>
      <c r="C28" s="47" t="s">
        <v>64</v>
      </c>
      <c r="D28" s="47" t="e" vm="1">
        <f ca="1">_xlfn.DISPIMG("ID_4F59956B0EAA4F67BEA3B1BCF923B7B7",1)</f>
        <v>#NAME?</v>
      </c>
      <c r="E28" s="47">
        <v>1</v>
      </c>
      <c r="F28" s="47"/>
      <c r="G28" s="17">
        <v>1</v>
      </c>
      <c r="H28" s="3"/>
      <c r="I28" s="6"/>
      <c r="J28" s="6"/>
      <c r="K28" s="6"/>
      <c r="L28" s="6"/>
      <c r="M28" s="6"/>
      <c r="N28" s="4"/>
      <c r="O28" s="6"/>
      <c r="P28" s="6"/>
      <c r="Q28" s="6"/>
      <c r="R28" s="6"/>
      <c r="S28" s="6"/>
    </row>
    <row r="29" spans="1:19" x14ac:dyDescent="0.3">
      <c r="A29" s="2"/>
      <c r="B29" s="47">
        <v>453448</v>
      </c>
      <c r="C29" s="47" t="s">
        <v>326</v>
      </c>
      <c r="D29" s="47" t="e" vm="1">
        <f ca="1">_xlfn.DISPIMG("ID_C416D3A553124219B04D290E1F22D76E",1)</f>
        <v>#NAME?</v>
      </c>
      <c r="E29" s="47">
        <v>3</v>
      </c>
      <c r="F29" s="47"/>
      <c r="G29" s="17">
        <v>3</v>
      </c>
      <c r="H29" s="3"/>
      <c r="I29" s="6"/>
      <c r="J29" s="6"/>
      <c r="K29" s="6"/>
      <c r="L29" s="6"/>
      <c r="M29" s="6"/>
      <c r="N29" s="4"/>
      <c r="O29" s="6"/>
      <c r="P29" s="6"/>
      <c r="Q29" s="6"/>
      <c r="R29" s="6"/>
      <c r="S29" s="6"/>
    </row>
    <row r="30" spans="1:19" x14ac:dyDescent="0.3">
      <c r="A30" s="2"/>
      <c r="B30" s="47">
        <v>516231</v>
      </c>
      <c r="C30" s="44" t="s">
        <v>65</v>
      </c>
      <c r="D30" s="47" t="e" vm="1">
        <f ca="1">_xlfn.DISPIMG("ID_5F5FF04BB942409D94D5423B801260DF",1)</f>
        <v>#NAME?</v>
      </c>
      <c r="E30" s="47">
        <v>5</v>
      </c>
      <c r="F30" s="47"/>
      <c r="G30" s="17">
        <v>5</v>
      </c>
      <c r="H30" s="3"/>
      <c r="I30" s="6"/>
      <c r="J30" s="6"/>
      <c r="K30" s="6"/>
      <c r="L30" s="6"/>
      <c r="M30" s="6"/>
      <c r="N30" s="4"/>
      <c r="O30" s="6"/>
      <c r="P30" s="6"/>
      <c r="Q30" s="6"/>
      <c r="R30" s="6"/>
      <c r="S30" s="6"/>
    </row>
    <row r="31" spans="1:19" x14ac:dyDescent="0.3">
      <c r="A31" s="2"/>
      <c r="B31" s="47">
        <v>424942</v>
      </c>
      <c r="C31" s="47" t="s">
        <v>66</v>
      </c>
      <c r="D31" s="47" t="e" vm="1">
        <f ca="1">_xlfn.DISPIMG("ID_0163F661ECEC4634B8953C6DF9B831F7",1)</f>
        <v>#NAME?</v>
      </c>
      <c r="E31" s="47">
        <v>4</v>
      </c>
      <c r="F31" s="47"/>
      <c r="G31" s="17">
        <v>4</v>
      </c>
      <c r="H31" s="3"/>
      <c r="I31" s="6"/>
      <c r="J31" s="6"/>
      <c r="K31" s="6"/>
      <c r="L31" s="6"/>
      <c r="M31" s="6"/>
      <c r="N31" s="4"/>
      <c r="O31" s="6"/>
      <c r="P31" s="6"/>
      <c r="Q31" s="6"/>
      <c r="R31" s="6"/>
      <c r="S31" s="6"/>
    </row>
    <row r="32" spans="1:19" x14ac:dyDescent="0.3">
      <c r="A32" s="2"/>
      <c r="B32" s="47">
        <v>337459</v>
      </c>
      <c r="C32" s="47" t="s">
        <v>67</v>
      </c>
      <c r="D32" s="47" t="e" vm="1">
        <f ca="1">_xlfn.DISPIMG("ID_FC6BB3EDEE4C4034975ECAC28036F1B3",1)</f>
        <v>#NAME?</v>
      </c>
      <c r="E32" s="47">
        <v>31</v>
      </c>
      <c r="F32" s="47">
        <v>1</v>
      </c>
      <c r="G32" s="17">
        <v>30</v>
      </c>
      <c r="H32" s="3"/>
      <c r="I32" s="6"/>
      <c r="J32" s="6"/>
      <c r="K32" s="6"/>
      <c r="L32" s="6"/>
      <c r="M32" s="6"/>
      <c r="N32" s="4"/>
      <c r="O32" s="6"/>
      <c r="P32" s="6"/>
      <c r="Q32" s="6"/>
      <c r="R32" s="6"/>
      <c r="S32" s="6"/>
    </row>
    <row r="33" spans="1:19" x14ac:dyDescent="0.3">
      <c r="A33" s="2"/>
      <c r="B33" s="44"/>
      <c r="C33" s="44" t="s">
        <v>68</v>
      </c>
      <c r="D33" s="44" t="e" vm="1">
        <f ca="1">_xlfn.DISPIMG("ID_85F974627EFF4FD8A0EBAFD7BC0BB5B6",1)</f>
        <v>#NAME?</v>
      </c>
      <c r="E33" s="44">
        <v>1</v>
      </c>
      <c r="F33" s="44"/>
      <c r="G33" s="17">
        <v>1</v>
      </c>
      <c r="H33" s="3"/>
      <c r="I33" s="6"/>
      <c r="J33" s="6"/>
      <c r="K33" s="6"/>
      <c r="L33" s="6"/>
      <c r="M33" s="6"/>
      <c r="N33" s="4"/>
      <c r="O33" s="6"/>
      <c r="P33" s="6"/>
      <c r="Q33" s="6"/>
      <c r="R33" s="6"/>
      <c r="S33" s="6"/>
    </row>
    <row r="34" spans="1:19" x14ac:dyDescent="0.3">
      <c r="A34" s="2"/>
      <c r="B34" s="44"/>
      <c r="C34" s="44" t="s">
        <v>69</v>
      </c>
      <c r="D34" s="44" t="e" vm="1">
        <f ca="1">_xlfn.DISPIMG("ID_E39DC52C0A7C4F26AB232CB392B91318",1)</f>
        <v>#NAME?</v>
      </c>
      <c r="E34" s="44">
        <v>1</v>
      </c>
      <c r="F34" s="44"/>
      <c r="G34" s="17">
        <v>1</v>
      </c>
      <c r="H34" s="3"/>
      <c r="I34" s="6"/>
      <c r="J34" s="6"/>
      <c r="K34" s="6"/>
      <c r="L34" s="6"/>
      <c r="M34" s="6"/>
      <c r="N34" s="4"/>
      <c r="O34" s="6"/>
      <c r="P34" s="6"/>
      <c r="Q34" s="6"/>
      <c r="R34" s="6"/>
      <c r="S34" s="6"/>
    </row>
    <row r="35" spans="1:19" x14ac:dyDescent="0.3">
      <c r="A35" s="2"/>
      <c r="B35" s="44">
        <v>249011</v>
      </c>
      <c r="C35" s="44" t="s">
        <v>70</v>
      </c>
      <c r="D35" s="44" t="e" vm="1">
        <f ca="1">_xlfn.DISPIMG("ID_6B246AA2C50940DB9EF95C8DFECF241C",1)</f>
        <v>#NAME?</v>
      </c>
      <c r="E35" s="44">
        <v>8</v>
      </c>
      <c r="F35" s="44"/>
      <c r="G35" s="17">
        <v>8</v>
      </c>
      <c r="H35" s="3"/>
      <c r="I35" s="6"/>
      <c r="J35" s="6"/>
      <c r="K35" s="6"/>
      <c r="L35" s="6"/>
      <c r="M35" s="6"/>
      <c r="N35" s="4"/>
      <c r="O35" s="6"/>
      <c r="P35" s="6"/>
      <c r="Q35" s="6"/>
      <c r="R35" s="6"/>
      <c r="S35" s="6"/>
    </row>
    <row r="36" spans="1:19" x14ac:dyDescent="0.3">
      <c r="A36" s="2"/>
      <c r="B36" s="44">
        <v>1207424</v>
      </c>
      <c r="C36" s="44" t="s">
        <v>71</v>
      </c>
      <c r="D36" s="44" t="e" vm="1">
        <f ca="1">_xlfn.DISPIMG("ID_EC7F68EA08E54407AE2E82E9F48C4D3B",1)</f>
        <v>#NAME?</v>
      </c>
      <c r="E36" s="44">
        <v>1</v>
      </c>
      <c r="F36" s="44"/>
      <c r="G36" s="17">
        <v>1</v>
      </c>
      <c r="H36" s="3"/>
      <c r="I36" s="6"/>
      <c r="J36" s="6"/>
      <c r="K36" s="6"/>
      <c r="L36" s="6"/>
      <c r="M36" s="6"/>
      <c r="N36" s="4"/>
      <c r="O36" s="6"/>
      <c r="P36" s="6"/>
      <c r="Q36" s="6"/>
      <c r="R36" s="6"/>
      <c r="S36" s="6"/>
    </row>
    <row r="37" spans="1:19" x14ac:dyDescent="0.3">
      <c r="A37" s="2"/>
      <c r="B37" s="47" t="s">
        <v>11</v>
      </c>
      <c r="C37" s="44" t="s">
        <v>72</v>
      </c>
      <c r="D37" s="47" t="e" vm="1">
        <f ca="1">_xlfn.DISPIMG("ID_0C7AC0A9BE8649DCB3F5D6923F9B1615",1)</f>
        <v>#NAME?</v>
      </c>
      <c r="E37" s="47">
        <v>1</v>
      </c>
      <c r="F37" s="47"/>
      <c r="G37" s="17">
        <v>1</v>
      </c>
      <c r="H37" s="3"/>
      <c r="I37" s="6"/>
      <c r="J37" s="6"/>
      <c r="K37" s="6"/>
      <c r="L37" s="6"/>
      <c r="M37" s="6"/>
      <c r="N37" s="4"/>
      <c r="O37" s="6"/>
      <c r="P37" s="6"/>
      <c r="Q37" s="6"/>
      <c r="R37" s="6"/>
      <c r="S37" s="6"/>
    </row>
    <row r="38" spans="1:19" x14ac:dyDescent="0.3">
      <c r="A38" s="2"/>
      <c r="B38" s="44"/>
      <c r="C38" s="44" t="s">
        <v>73</v>
      </c>
      <c r="D38" s="44" t="e" vm="1">
        <f ca="1">_xlfn.DISPIMG("ID_465C1F51AD8F46A097DF714DA4BE79CC",1)</f>
        <v>#NAME?</v>
      </c>
      <c r="E38" s="44">
        <v>1</v>
      </c>
      <c r="F38" s="44"/>
      <c r="G38" s="17">
        <v>1</v>
      </c>
      <c r="H38" s="3"/>
      <c r="I38" s="6"/>
      <c r="J38" s="6"/>
      <c r="K38" s="6"/>
      <c r="L38" s="6"/>
      <c r="M38" s="6"/>
      <c r="N38" s="4"/>
      <c r="O38" s="6"/>
      <c r="P38" s="6"/>
      <c r="Q38" s="6"/>
      <c r="R38" s="6"/>
      <c r="S38" s="6"/>
    </row>
    <row r="39" spans="1:19" x14ac:dyDescent="0.3">
      <c r="A39" s="2"/>
      <c r="B39" s="47" t="s">
        <v>23</v>
      </c>
      <c r="C39" s="44" t="s">
        <v>74</v>
      </c>
      <c r="D39" s="47" t="e" vm="1">
        <f ca="1">_xlfn.DISPIMG("ID_6786CBB0FC714894A9EB6FD1B7EB7191",1)</f>
        <v>#NAME?</v>
      </c>
      <c r="E39" s="47">
        <v>34</v>
      </c>
      <c r="F39" s="47"/>
      <c r="G39" s="17">
        <v>34</v>
      </c>
      <c r="H39" s="3"/>
      <c r="I39" s="6"/>
      <c r="J39" s="6"/>
      <c r="K39" s="6"/>
      <c r="L39" s="6"/>
      <c r="M39" s="6"/>
      <c r="N39" s="4"/>
      <c r="O39" s="6"/>
      <c r="P39" s="6"/>
      <c r="Q39" s="6"/>
      <c r="R39" s="6"/>
      <c r="S39" s="6"/>
    </row>
    <row r="40" spans="1:19" x14ac:dyDescent="0.3">
      <c r="A40" s="2"/>
      <c r="B40" s="47" t="s">
        <v>75</v>
      </c>
      <c r="C40" s="44" t="s">
        <v>76</v>
      </c>
      <c r="D40" s="47" t="e" vm="1">
        <f ca="1">_xlfn.DISPIMG("ID_E32E2B2FB9664EB79FF14A6FBD5EBF6B",1)</f>
        <v>#NAME?</v>
      </c>
      <c r="E40" s="47">
        <v>2</v>
      </c>
      <c r="F40" s="47"/>
      <c r="G40" s="17">
        <v>2</v>
      </c>
      <c r="H40" s="3"/>
      <c r="I40" s="6"/>
      <c r="J40" s="6"/>
      <c r="K40" s="6"/>
      <c r="L40" s="6"/>
      <c r="M40" s="6"/>
      <c r="N40" s="4"/>
      <c r="O40" s="6"/>
      <c r="P40" s="6"/>
      <c r="Q40" s="6"/>
      <c r="R40" s="6"/>
      <c r="S40" s="6"/>
    </row>
    <row r="41" spans="1:19" x14ac:dyDescent="0.3">
      <c r="A41" s="2"/>
      <c r="B41" s="47">
        <v>15700759</v>
      </c>
      <c r="C41" s="44" t="s">
        <v>77</v>
      </c>
      <c r="D41" s="47" t="e" vm="1">
        <f ca="1">_xlfn.DISPIMG("ID_5A7F67E98DAD42B6A186A356DA5BF25F",1)</f>
        <v>#NAME?</v>
      </c>
      <c r="E41" s="47">
        <v>2</v>
      </c>
      <c r="F41" s="47"/>
      <c r="G41" s="17">
        <v>2</v>
      </c>
      <c r="H41" s="3"/>
      <c r="I41" s="6"/>
      <c r="J41" s="6"/>
      <c r="K41" s="6"/>
      <c r="L41" s="6"/>
      <c r="M41" s="6"/>
      <c r="N41" s="4"/>
      <c r="O41" s="6"/>
      <c r="P41" s="6"/>
      <c r="Q41" s="6"/>
      <c r="R41" s="6"/>
      <c r="S41" s="6"/>
    </row>
    <row r="42" spans="1:19" x14ac:dyDescent="0.3">
      <c r="A42" s="2"/>
      <c r="B42" s="44">
        <v>225125</v>
      </c>
      <c r="C42" s="44" t="s">
        <v>78</v>
      </c>
      <c r="D42" s="44" t="e" vm="1">
        <f ca="1">_xlfn.DISPIMG("ID_DDEB730B8D174B9FBC11D7D227608BF8",1)</f>
        <v>#NAME?</v>
      </c>
      <c r="E42" s="44">
        <v>22</v>
      </c>
      <c r="F42" s="44">
        <v>3</v>
      </c>
      <c r="G42" s="17">
        <v>19</v>
      </c>
      <c r="H42" s="3"/>
      <c r="I42" s="6"/>
      <c r="J42" s="6"/>
      <c r="K42" s="6"/>
      <c r="L42" s="6"/>
      <c r="M42" s="6"/>
      <c r="N42" s="4"/>
      <c r="O42" s="6"/>
      <c r="P42" s="6"/>
      <c r="Q42" s="6"/>
      <c r="R42" s="6"/>
      <c r="S42" s="6"/>
    </row>
    <row r="43" spans="1:19" x14ac:dyDescent="0.3">
      <c r="A43" s="2"/>
      <c r="B43" s="44"/>
      <c r="C43" s="44" t="s">
        <v>323</v>
      </c>
      <c r="D43" s="44" t="e" vm="1">
        <f ca="1">_xlfn.DISPIMG("ID_6D66FD5724A94B06924ECA568D1163F0",1)</f>
        <v>#NAME?</v>
      </c>
      <c r="E43" s="44">
        <v>15</v>
      </c>
      <c r="F43" s="44">
        <v>1</v>
      </c>
      <c r="G43" s="17">
        <v>14</v>
      </c>
      <c r="H43" s="3"/>
      <c r="I43" s="6"/>
      <c r="J43" s="6"/>
      <c r="K43" s="6"/>
      <c r="L43" s="6"/>
      <c r="M43" s="6"/>
      <c r="N43" s="4"/>
      <c r="O43" s="6"/>
      <c r="P43" s="6"/>
      <c r="Q43" s="6"/>
      <c r="R43" s="6"/>
      <c r="S43" s="6"/>
    </row>
    <row r="44" spans="1:19" x14ac:dyDescent="0.3">
      <c r="A44" s="2"/>
      <c r="B44" s="44">
        <v>235027</v>
      </c>
      <c r="C44" s="44" t="s">
        <v>79</v>
      </c>
      <c r="D44" s="44" t="e" vm="1">
        <f ca="1">_xlfn.DISPIMG("ID_E7103660FB1B449A87B4217DFE393789",1)</f>
        <v>#NAME?</v>
      </c>
      <c r="E44" s="44">
        <v>11</v>
      </c>
      <c r="F44" s="44"/>
      <c r="G44" s="17">
        <v>11</v>
      </c>
      <c r="H44" s="3"/>
      <c r="I44" s="6"/>
      <c r="J44" s="6"/>
      <c r="K44" s="6"/>
      <c r="L44" s="6"/>
      <c r="M44" s="6"/>
      <c r="N44" s="4"/>
      <c r="O44" s="6"/>
      <c r="P44" s="6"/>
      <c r="Q44" s="6"/>
      <c r="R44" s="6"/>
      <c r="S44" s="6"/>
    </row>
    <row r="45" spans="1:19" x14ac:dyDescent="0.3">
      <c r="A45" s="2"/>
      <c r="B45" s="44"/>
      <c r="C45" s="44" t="s">
        <v>80</v>
      </c>
      <c r="D45" s="44" t="e" vm="1">
        <f ca="1">_xlfn.DISPIMG("ID_1D2B73AABC1E4590BAB2F9421B7E6FC6",1)</f>
        <v>#NAME?</v>
      </c>
      <c r="E45" s="44">
        <v>10</v>
      </c>
      <c r="F45" s="44">
        <v>3</v>
      </c>
      <c r="G45" s="17">
        <v>7</v>
      </c>
      <c r="H45" s="3"/>
      <c r="I45" s="6"/>
      <c r="J45" s="6"/>
      <c r="K45" s="6"/>
      <c r="L45" s="6"/>
      <c r="M45" s="6"/>
      <c r="N45" s="4"/>
      <c r="O45" s="6"/>
      <c r="P45" s="6"/>
      <c r="Q45" s="6"/>
      <c r="R45" s="6"/>
      <c r="S45" s="6"/>
    </row>
    <row r="46" spans="1:19" x14ac:dyDescent="0.3">
      <c r="A46" s="2"/>
      <c r="B46" s="44"/>
      <c r="C46" s="44" t="s">
        <v>81</v>
      </c>
      <c r="D46" s="44" t="e" vm="1">
        <f ca="1">_xlfn.DISPIMG("ID_59292EA6EC8140A5AD51BF95702BD4E3",1)</f>
        <v>#NAME?</v>
      </c>
      <c r="E46" s="44">
        <v>15</v>
      </c>
      <c r="F46" s="44"/>
      <c r="G46" s="17">
        <v>15</v>
      </c>
      <c r="H46" s="3"/>
      <c r="I46" s="6"/>
      <c r="J46" s="6"/>
      <c r="K46" s="6"/>
      <c r="L46" s="6"/>
      <c r="M46" s="6"/>
      <c r="N46" s="4"/>
      <c r="O46" s="6"/>
      <c r="P46" s="6"/>
      <c r="Q46" s="6"/>
      <c r="R46" s="6"/>
      <c r="S46" s="6"/>
    </row>
    <row r="47" spans="1:19" x14ac:dyDescent="0.3">
      <c r="A47" s="2"/>
      <c r="B47" s="44"/>
      <c r="C47" s="44" t="s">
        <v>308</v>
      </c>
      <c r="D47" s="44" t="e" vm="1">
        <f ca="1">_xlfn.DISPIMG("ID_30980BB0D3704DC48419CF68B362F82A",1)</f>
        <v>#NAME?</v>
      </c>
      <c r="E47" s="44">
        <v>1</v>
      </c>
      <c r="F47" s="44"/>
      <c r="G47" s="17">
        <v>1</v>
      </c>
      <c r="H47" s="3"/>
      <c r="I47" s="6"/>
      <c r="J47" s="6"/>
      <c r="K47" s="6"/>
      <c r="L47" s="6"/>
      <c r="M47" s="6"/>
      <c r="N47" s="4"/>
      <c r="O47" s="6"/>
      <c r="P47" s="6"/>
      <c r="Q47" s="6"/>
      <c r="R47" s="6"/>
      <c r="S47" s="6"/>
    </row>
    <row r="48" spans="1:19" x14ac:dyDescent="0.3">
      <c r="A48" s="2"/>
      <c r="B48" s="47">
        <v>1251252</v>
      </c>
      <c r="C48" s="47" t="s">
        <v>82</v>
      </c>
      <c r="D48" s="47" t="e" vm="1">
        <f ca="1">_xlfn.DISPIMG("ID_645F88A9721F4C85AD75D9179434A4D9",1)</f>
        <v>#NAME?</v>
      </c>
      <c r="E48" s="47">
        <v>148</v>
      </c>
      <c r="F48" s="47"/>
      <c r="G48" s="17">
        <v>148</v>
      </c>
      <c r="H48" s="3"/>
      <c r="I48" s="6"/>
      <c r="J48" s="6"/>
      <c r="K48" s="6"/>
      <c r="L48" s="6"/>
      <c r="M48" s="6"/>
      <c r="N48" s="4"/>
      <c r="O48" s="6"/>
      <c r="P48" s="6"/>
      <c r="Q48" s="6"/>
      <c r="R48" s="6"/>
      <c r="S48" s="6"/>
    </row>
    <row r="49" spans="1:19" x14ac:dyDescent="0.3">
      <c r="A49" s="2"/>
      <c r="B49" s="47">
        <v>505738</v>
      </c>
      <c r="C49" s="47" t="s">
        <v>83</v>
      </c>
      <c r="D49" s="47" t="e" vm="1">
        <f ca="1">_xlfn.DISPIMG("ID_7B9A89905D4047CDAF0CC57993424A9A",1)</f>
        <v>#NAME?</v>
      </c>
      <c r="E49" s="47">
        <v>12</v>
      </c>
      <c r="F49" s="47"/>
      <c r="G49" s="17">
        <v>12</v>
      </c>
      <c r="H49" s="3"/>
      <c r="I49" s="6"/>
      <c r="J49" s="6"/>
      <c r="K49" s="6"/>
      <c r="L49" s="6"/>
      <c r="M49" s="6"/>
      <c r="N49" s="4"/>
      <c r="O49" s="6"/>
      <c r="P49" s="6"/>
      <c r="Q49" s="6"/>
      <c r="R49" s="6"/>
      <c r="S49" s="6"/>
    </row>
    <row r="50" spans="1:19" x14ac:dyDescent="0.3">
      <c r="A50" s="2"/>
      <c r="B50" s="47">
        <v>100875</v>
      </c>
      <c r="C50" s="47" t="s">
        <v>52</v>
      </c>
      <c r="D50" s="47" t="e" vm="1">
        <f ca="1">_xlfn.DISPIMG("ID_B61F1440F0374ADCAED523F624ED9744",1)</f>
        <v>#NAME?</v>
      </c>
      <c r="E50" s="47">
        <v>30</v>
      </c>
      <c r="F50" s="47"/>
      <c r="G50" s="17">
        <v>30</v>
      </c>
      <c r="H50" s="3"/>
      <c r="I50" s="6"/>
      <c r="J50" s="6"/>
      <c r="K50" s="6"/>
      <c r="L50" s="6"/>
      <c r="M50" s="6"/>
      <c r="N50" s="4"/>
      <c r="O50" s="6"/>
      <c r="P50" s="6"/>
      <c r="Q50" s="6"/>
      <c r="R50" s="6"/>
      <c r="S50" s="6"/>
    </row>
    <row r="51" spans="1:19" x14ac:dyDescent="0.3">
      <c r="A51" s="2"/>
      <c r="B51" s="44">
        <v>100548</v>
      </c>
      <c r="C51" s="44" t="s">
        <v>84</v>
      </c>
      <c r="D51" s="44" t="e" vm="1">
        <f ca="1">_xlfn.DISPIMG("ID_866C57A1B7EE4B9FB4FC0E84610A5FD9",1)</f>
        <v>#NAME?</v>
      </c>
      <c r="E51" s="44">
        <v>85</v>
      </c>
      <c r="F51" s="44"/>
      <c r="G51" s="17">
        <v>85</v>
      </c>
      <c r="H51" s="3"/>
      <c r="I51" s="6"/>
      <c r="J51" s="6"/>
      <c r="K51" s="6"/>
      <c r="L51" s="6"/>
      <c r="M51" s="6"/>
      <c r="N51" s="4"/>
      <c r="O51" s="6"/>
      <c r="P51" s="6"/>
      <c r="Q51" s="6"/>
      <c r="R51" s="6"/>
      <c r="S51" s="6"/>
    </row>
    <row r="52" spans="1:19" x14ac:dyDescent="0.3">
      <c r="A52" s="2"/>
      <c r="B52" s="44">
        <v>102131</v>
      </c>
      <c r="C52" s="44" t="s">
        <v>85</v>
      </c>
      <c r="D52" s="44" t="e" vm="1">
        <f ca="1">_xlfn.DISPIMG("ID_60A2DAA59DFD42C598CBC88E7DFB1583",1)</f>
        <v>#NAME?</v>
      </c>
      <c r="E52" s="44">
        <v>7</v>
      </c>
      <c r="F52" s="44"/>
      <c r="G52" s="17">
        <v>7</v>
      </c>
      <c r="H52" s="3"/>
      <c r="I52" s="6"/>
      <c r="J52" s="6"/>
      <c r="K52" s="6"/>
      <c r="L52" s="6"/>
      <c r="M52" s="6"/>
      <c r="N52" s="4"/>
      <c r="O52" s="6"/>
      <c r="P52" s="6"/>
      <c r="Q52" s="6"/>
      <c r="R52" s="6"/>
      <c r="S52" s="6"/>
    </row>
    <row r="53" spans="1:19" x14ac:dyDescent="0.3">
      <c r="A53" s="2"/>
      <c r="B53" s="44">
        <v>234272</v>
      </c>
      <c r="C53" s="44" t="s">
        <v>86</v>
      </c>
      <c r="D53" s="44" t="e" vm="1">
        <f ca="1">_xlfn.DISPIMG("ID_ABEC80FE284F499081AFC97346642E5C",1)</f>
        <v>#NAME?</v>
      </c>
      <c r="E53" s="44">
        <v>3</v>
      </c>
      <c r="F53" s="44"/>
      <c r="G53" s="17">
        <v>3</v>
      </c>
      <c r="H53" s="3"/>
      <c r="I53" s="6"/>
      <c r="J53" s="6"/>
      <c r="K53" s="6"/>
      <c r="L53" s="6"/>
      <c r="M53" s="6"/>
      <c r="N53" s="4"/>
      <c r="O53" s="6"/>
      <c r="P53" s="6"/>
      <c r="Q53" s="6"/>
      <c r="R53" s="6"/>
      <c r="S53" s="6"/>
    </row>
    <row r="54" spans="1:19" x14ac:dyDescent="0.3">
      <c r="A54" s="2"/>
      <c r="B54" s="44">
        <v>379058</v>
      </c>
      <c r="C54" s="44" t="s">
        <v>87</v>
      </c>
      <c r="D54" s="44" t="e" vm="1">
        <f ca="1">_xlfn.DISPIMG("ID_5F0C18E4F1AC4503800AFF985BDA3160",1)</f>
        <v>#NAME?</v>
      </c>
      <c r="E54" s="44">
        <v>4</v>
      </c>
      <c r="F54" s="44"/>
      <c r="G54" s="17">
        <v>4</v>
      </c>
      <c r="H54" s="3"/>
      <c r="I54" s="6"/>
      <c r="J54" s="6"/>
      <c r="K54" s="6"/>
      <c r="L54" s="6"/>
      <c r="M54" s="6"/>
      <c r="N54" s="4"/>
      <c r="O54" s="6"/>
      <c r="P54" s="6"/>
      <c r="Q54" s="6"/>
      <c r="R54" s="6"/>
      <c r="S54" s="6"/>
    </row>
    <row r="55" spans="1:19" x14ac:dyDescent="0.3">
      <c r="A55" s="2"/>
      <c r="B55" s="44">
        <v>242329</v>
      </c>
      <c r="C55" s="44" t="s">
        <v>88</v>
      </c>
      <c r="D55" s="44" t="e" vm="1">
        <f ca="1">_xlfn.DISPIMG("ID_DED27DD340084602852263D14704D264",1)</f>
        <v>#NAME?</v>
      </c>
      <c r="E55" s="44">
        <v>4</v>
      </c>
      <c r="F55" s="44"/>
      <c r="G55" s="17">
        <v>4</v>
      </c>
      <c r="H55" s="3"/>
      <c r="I55" s="6"/>
      <c r="J55" s="6"/>
      <c r="K55" s="6"/>
      <c r="L55" s="6"/>
      <c r="M55" s="6"/>
      <c r="N55" s="4"/>
      <c r="O55" s="6"/>
      <c r="P55" s="6"/>
      <c r="Q55" s="6"/>
      <c r="R55" s="6"/>
      <c r="S55" s="6"/>
    </row>
    <row r="56" spans="1:19" x14ac:dyDescent="0.3">
      <c r="A56" s="2"/>
      <c r="B56" s="44">
        <v>242328</v>
      </c>
      <c r="C56" s="44" t="s">
        <v>89</v>
      </c>
      <c r="D56" s="44" t="e" vm="1">
        <f ca="1">_xlfn.DISPIMG("ID_19FD5043697E42C6B3854111E2F4D265",1)</f>
        <v>#NAME?</v>
      </c>
      <c r="E56" s="44">
        <v>3</v>
      </c>
      <c r="F56" s="44"/>
      <c r="G56" s="17">
        <v>3</v>
      </c>
      <c r="H56" s="3"/>
      <c r="I56" s="6"/>
      <c r="J56" s="6"/>
      <c r="K56" s="6"/>
      <c r="L56" s="6"/>
      <c r="M56" s="6"/>
      <c r="N56" s="4"/>
      <c r="O56" s="6"/>
      <c r="P56" s="6"/>
      <c r="Q56" s="6"/>
      <c r="R56" s="6"/>
      <c r="S56" s="6"/>
    </row>
    <row r="57" spans="1:19" x14ac:dyDescent="0.3">
      <c r="A57" s="2"/>
      <c r="B57" s="47">
        <v>1101733</v>
      </c>
      <c r="C57" s="44" t="s">
        <v>291</v>
      </c>
      <c r="D57" s="47" t="e" vm="1">
        <f ca="1">_xlfn.DISPIMG("ID_15EA9EDE62644BFD873FE9D1B9A9F5D1",1)</f>
        <v>#NAME?</v>
      </c>
      <c r="E57" s="47">
        <v>13</v>
      </c>
      <c r="F57" s="47"/>
      <c r="G57" s="17">
        <v>13</v>
      </c>
      <c r="H57" s="3"/>
      <c r="I57" s="6"/>
      <c r="J57" s="6"/>
      <c r="K57" s="6"/>
      <c r="L57" s="6"/>
      <c r="M57" s="6"/>
      <c r="N57" s="4"/>
      <c r="O57" s="6"/>
      <c r="P57" s="6"/>
      <c r="Q57" s="6"/>
      <c r="R57" s="6"/>
      <c r="S57" s="6"/>
    </row>
    <row r="58" spans="1:19" x14ac:dyDescent="0.3">
      <c r="A58" s="2"/>
      <c r="B58" s="47"/>
      <c r="C58" s="44" t="s">
        <v>310</v>
      </c>
      <c r="D58" s="47" t="e" vm="1">
        <f ca="1">_xlfn.DISPIMG("ID_D11FBE988AED420AA5FEE288D24B95F1",1)</f>
        <v>#NAME?</v>
      </c>
      <c r="E58" s="47">
        <v>20</v>
      </c>
      <c r="F58" s="47"/>
      <c r="G58" s="17">
        <v>20</v>
      </c>
      <c r="H58" s="3"/>
      <c r="I58" s="6"/>
      <c r="J58" s="6"/>
      <c r="K58" s="6"/>
      <c r="L58" s="6"/>
      <c r="M58" s="6"/>
      <c r="N58" s="4"/>
      <c r="O58" s="6"/>
      <c r="P58" s="6"/>
      <c r="Q58" s="6"/>
      <c r="R58" s="6"/>
      <c r="S58" s="6"/>
    </row>
    <row r="59" spans="1:19" x14ac:dyDescent="0.3">
      <c r="A59" s="2"/>
      <c r="B59" s="47"/>
      <c r="C59" s="44" t="s">
        <v>349</v>
      </c>
      <c r="D59" s="47" t="e" vm="1">
        <f ca="1">_xlfn.DISPIMG("ID_4A2700E336A949E093C8477972B21CD5",1)</f>
        <v>#NAME?</v>
      </c>
      <c r="E59" s="47">
        <v>9</v>
      </c>
      <c r="F59" s="47">
        <v>9</v>
      </c>
      <c r="G59" s="17"/>
      <c r="H59" s="3"/>
      <c r="I59" s="6"/>
      <c r="J59" s="6"/>
      <c r="K59" s="6"/>
      <c r="L59" s="6"/>
      <c r="M59" s="6"/>
      <c r="N59" s="4"/>
      <c r="O59" s="6"/>
      <c r="P59" s="6"/>
      <c r="Q59" s="6"/>
      <c r="R59" s="6"/>
      <c r="S59" s="6"/>
    </row>
    <row r="60" spans="1:19" x14ac:dyDescent="0.3">
      <c r="A60" s="2"/>
      <c r="B60" s="44">
        <v>482681</v>
      </c>
      <c r="C60" s="44" t="s">
        <v>91</v>
      </c>
      <c r="D60" s="44" t="e" vm="1">
        <f ca="1">_xlfn.DISPIMG("ID_64E49A06C97C49A781440108B0807D2E",1)</f>
        <v>#NAME?</v>
      </c>
      <c r="E60" s="44">
        <v>2</v>
      </c>
      <c r="F60" s="44">
        <v>1</v>
      </c>
      <c r="G60" s="17">
        <v>1</v>
      </c>
      <c r="H60" s="3"/>
      <c r="I60" s="6"/>
      <c r="J60" s="6"/>
      <c r="K60" s="6"/>
      <c r="L60" s="6"/>
      <c r="M60" s="6"/>
      <c r="N60" s="4"/>
      <c r="O60" s="6"/>
      <c r="P60" s="6"/>
      <c r="Q60" s="6"/>
      <c r="R60" s="6"/>
      <c r="S60" s="6"/>
    </row>
    <row r="61" spans="1:19" x14ac:dyDescent="0.3">
      <c r="A61" s="2"/>
      <c r="B61" s="44">
        <v>448657</v>
      </c>
      <c r="C61" s="44" t="s">
        <v>92</v>
      </c>
      <c r="D61" s="44" t="e" vm="1">
        <f ca="1">_xlfn.DISPIMG("ID_1628BD10ACCA4656B127B4F1B3A39AA6",1)</f>
        <v>#NAME?</v>
      </c>
      <c r="E61" s="44">
        <v>43</v>
      </c>
      <c r="F61" s="44"/>
      <c r="G61" s="17">
        <v>43</v>
      </c>
      <c r="H61" s="3"/>
      <c r="I61" s="6"/>
      <c r="J61" s="6"/>
      <c r="K61" s="6"/>
      <c r="L61" s="6"/>
      <c r="M61" s="6"/>
      <c r="N61" s="4"/>
      <c r="O61" s="6"/>
      <c r="P61" s="6"/>
      <c r="Q61" s="6"/>
      <c r="R61" s="6"/>
      <c r="S61" s="6"/>
    </row>
    <row r="62" spans="1:19" x14ac:dyDescent="0.3">
      <c r="A62" s="2"/>
      <c r="B62" s="44">
        <v>321540</v>
      </c>
      <c r="C62" s="44" t="s">
        <v>93</v>
      </c>
      <c r="D62" s="44" t="e" vm="1">
        <f ca="1">_xlfn.DISPIMG("ID_8ACF55753F704F16B2DEC676F2358E53",1)</f>
        <v>#NAME?</v>
      </c>
      <c r="E62" s="44">
        <v>1</v>
      </c>
      <c r="F62" s="44"/>
      <c r="G62" s="17">
        <v>1</v>
      </c>
      <c r="H62" s="3"/>
      <c r="I62" s="6"/>
      <c r="J62" s="6"/>
      <c r="K62" s="6"/>
      <c r="L62" s="6"/>
      <c r="M62" s="6"/>
      <c r="N62" s="4"/>
      <c r="O62" s="6"/>
      <c r="P62" s="6"/>
      <c r="Q62" s="6"/>
      <c r="R62" s="6"/>
      <c r="S62" s="6"/>
    </row>
    <row r="63" spans="1:19" x14ac:dyDescent="0.3">
      <c r="A63" s="2"/>
      <c r="B63" s="44"/>
      <c r="C63" s="44" t="s">
        <v>94</v>
      </c>
      <c r="D63" s="44" t="e" vm="1">
        <f ca="1">_xlfn.DISPIMG("ID_8B125AFDDF2E4CBBB37ADD7D91DDB43B",1)</f>
        <v>#NAME?</v>
      </c>
      <c r="E63" s="44">
        <v>1</v>
      </c>
      <c r="F63" s="44"/>
      <c r="G63" s="17">
        <v>1</v>
      </c>
      <c r="H63" s="3"/>
      <c r="I63" s="6"/>
      <c r="J63" s="6"/>
      <c r="K63" s="6"/>
      <c r="L63" s="6"/>
      <c r="M63" s="6"/>
      <c r="N63" s="4"/>
      <c r="O63" s="6"/>
      <c r="P63" s="6"/>
      <c r="Q63" s="6"/>
      <c r="R63" s="6"/>
      <c r="S63" s="6"/>
    </row>
    <row r="64" spans="1:19" x14ac:dyDescent="0.3">
      <c r="A64" s="2"/>
      <c r="B64" s="44">
        <v>9010789</v>
      </c>
      <c r="C64" s="44" t="s">
        <v>95</v>
      </c>
      <c r="D64" s="44" t="e" vm="1">
        <f ca="1">_xlfn.DISPIMG("ID_C5CD63959FF84EAAAA2267781E65673A",1)</f>
        <v>#NAME?</v>
      </c>
      <c r="E64" s="44">
        <v>3</v>
      </c>
      <c r="F64" s="44"/>
      <c r="G64" s="17">
        <v>3</v>
      </c>
      <c r="H64" s="3"/>
      <c r="I64" s="6"/>
      <c r="J64" s="6"/>
      <c r="K64" s="6"/>
      <c r="L64" s="6"/>
      <c r="M64" s="6"/>
      <c r="N64" s="4"/>
      <c r="O64" s="6"/>
      <c r="P64" s="6"/>
      <c r="Q64" s="6"/>
      <c r="R64" s="6"/>
      <c r="S64" s="6"/>
    </row>
    <row r="65" spans="1:19" x14ac:dyDescent="0.3">
      <c r="A65" s="2"/>
      <c r="B65" s="47">
        <v>105174</v>
      </c>
      <c r="C65" s="47" t="s">
        <v>96</v>
      </c>
      <c r="D65" s="47" t="e" vm="1">
        <f ca="1">_xlfn.DISPIMG("ID_F5F7A1D0D5C84FD58B66E372BD3AA76C",1)</f>
        <v>#NAME?</v>
      </c>
      <c r="E65" s="47">
        <v>1</v>
      </c>
      <c r="F65" s="47"/>
      <c r="G65" s="17">
        <v>1</v>
      </c>
      <c r="H65" s="3"/>
      <c r="I65" s="6"/>
      <c r="J65" s="6"/>
      <c r="K65" s="6"/>
      <c r="L65" s="6"/>
      <c r="M65" s="6"/>
      <c r="N65" s="4"/>
      <c r="O65" s="6"/>
      <c r="P65" s="6"/>
      <c r="Q65" s="6"/>
      <c r="R65" s="6"/>
      <c r="S65" s="6"/>
    </row>
    <row r="66" spans="1:19" x14ac:dyDescent="0.3">
      <c r="A66" s="2"/>
      <c r="B66" s="44">
        <v>102981</v>
      </c>
      <c r="C66" s="44" t="s">
        <v>97</v>
      </c>
      <c r="D66" s="44" t="e" vm="1">
        <f ca="1">_xlfn.DISPIMG("ID_84DD5A21551443CE8EFA33242DEE0203",1)</f>
        <v>#NAME?</v>
      </c>
      <c r="E66" s="44">
        <v>188</v>
      </c>
      <c r="F66" s="44"/>
      <c r="G66" s="17">
        <v>188</v>
      </c>
      <c r="H66" s="3"/>
      <c r="I66" s="6"/>
      <c r="J66" s="6"/>
      <c r="K66" s="6"/>
      <c r="L66" s="6"/>
      <c r="M66" s="6"/>
      <c r="N66" s="4"/>
      <c r="O66" s="6"/>
      <c r="P66" s="6"/>
      <c r="Q66" s="6"/>
      <c r="R66" s="6"/>
      <c r="S66" s="6"/>
    </row>
    <row r="67" spans="1:19" x14ac:dyDescent="0.3">
      <c r="A67" s="2"/>
      <c r="B67" s="44">
        <v>1254664</v>
      </c>
      <c r="C67" s="44" t="s">
        <v>316</v>
      </c>
      <c r="D67" s="44" t="e" vm="1">
        <f ca="1">_xlfn.DISPIMG("ID_F560D9354B0B42878FED22A4C77373DE",1)</f>
        <v>#NAME?</v>
      </c>
      <c r="E67" s="44">
        <v>9</v>
      </c>
      <c r="F67" s="44"/>
      <c r="G67" s="17">
        <v>9</v>
      </c>
      <c r="H67" s="3"/>
      <c r="I67" s="6"/>
      <c r="J67" s="6"/>
      <c r="K67" s="6"/>
      <c r="L67" s="6"/>
      <c r="M67" s="6"/>
      <c r="N67" s="4"/>
      <c r="O67" s="6"/>
      <c r="P67" s="6"/>
      <c r="Q67" s="6"/>
      <c r="R67" s="6"/>
      <c r="S67" s="6"/>
    </row>
    <row r="68" spans="1:19" x14ac:dyDescent="0.3">
      <c r="A68" s="2"/>
      <c r="B68" s="44">
        <v>334304</v>
      </c>
      <c r="C68" s="44" t="s">
        <v>98</v>
      </c>
      <c r="D68" s="44" t="e" vm="1">
        <f ca="1">_xlfn.DISPIMG("ID_2223514A461C4CE19947517F41A6EF1E",1)</f>
        <v>#NAME?</v>
      </c>
      <c r="E68" s="44">
        <v>1</v>
      </c>
      <c r="F68" s="44"/>
      <c r="G68" s="17">
        <v>1</v>
      </c>
      <c r="H68" s="3"/>
      <c r="I68" s="6"/>
      <c r="J68" s="6"/>
      <c r="K68" s="6"/>
      <c r="L68" s="6"/>
      <c r="M68" s="6"/>
      <c r="N68" s="4"/>
      <c r="O68" s="6"/>
      <c r="P68" s="6"/>
      <c r="Q68" s="6"/>
      <c r="R68" s="6"/>
      <c r="S68" s="6"/>
    </row>
    <row r="69" spans="1:19" x14ac:dyDescent="0.3">
      <c r="A69" s="2"/>
      <c r="B69" s="44">
        <v>21993199</v>
      </c>
      <c r="C69" s="44" t="s">
        <v>99</v>
      </c>
      <c r="D69" s="44" t="e" vm="1">
        <f ca="1">_xlfn.DISPIMG("ID_E5527E60F1144239B636463434AFE5DD",1)</f>
        <v>#NAME?</v>
      </c>
      <c r="E69" s="44">
        <v>8</v>
      </c>
      <c r="F69" s="44"/>
      <c r="G69" s="17">
        <v>8</v>
      </c>
      <c r="H69" s="3"/>
      <c r="I69" s="6"/>
      <c r="J69" s="6"/>
      <c r="K69" s="6"/>
      <c r="L69" s="6"/>
      <c r="M69" s="6"/>
      <c r="N69" s="4"/>
      <c r="O69" s="6"/>
      <c r="P69" s="6"/>
      <c r="Q69" s="6"/>
      <c r="R69" s="6"/>
      <c r="S69" s="6"/>
    </row>
    <row r="70" spans="1:19" x14ac:dyDescent="0.3">
      <c r="A70" s="2"/>
      <c r="B70" s="44">
        <v>291723</v>
      </c>
      <c r="C70" s="44" t="s">
        <v>100</v>
      </c>
      <c r="D70" s="44" t="e" vm="1">
        <f ca="1">_xlfn.DISPIMG("ID_50DA543A9147400FAE89F1F624F3F49A",1)</f>
        <v>#NAME?</v>
      </c>
      <c r="E70" s="44">
        <v>7</v>
      </c>
      <c r="F70" s="44"/>
      <c r="G70" s="17">
        <v>7</v>
      </c>
      <c r="H70" s="3"/>
      <c r="I70" s="6"/>
      <c r="J70" s="6"/>
      <c r="K70" s="6"/>
      <c r="L70" s="6"/>
      <c r="M70" s="6"/>
      <c r="N70" s="4"/>
      <c r="O70" s="6"/>
      <c r="P70" s="6"/>
      <c r="Q70" s="6"/>
      <c r="R70" s="6"/>
      <c r="S70" s="6"/>
    </row>
    <row r="71" spans="1:19" x14ac:dyDescent="0.3">
      <c r="A71" s="2"/>
      <c r="B71" s="44">
        <v>101823</v>
      </c>
      <c r="C71" s="44" t="s">
        <v>101</v>
      </c>
      <c r="D71" s="44" t="e" vm="1">
        <f ca="1">_xlfn.DISPIMG("ID_5FD33C5060614C38B581B9473A3A851D",1)</f>
        <v>#NAME?</v>
      </c>
      <c r="E71" s="44">
        <v>8</v>
      </c>
      <c r="F71" s="44"/>
      <c r="G71" s="17">
        <v>8</v>
      </c>
      <c r="H71" s="3"/>
      <c r="I71" s="6"/>
      <c r="J71" s="6"/>
      <c r="K71" s="6"/>
      <c r="L71" s="6"/>
      <c r="M71" s="6"/>
      <c r="N71" s="4"/>
      <c r="O71" s="6"/>
      <c r="P71" s="6"/>
      <c r="Q71" s="6"/>
      <c r="R71" s="6"/>
      <c r="S71" s="6"/>
    </row>
    <row r="72" spans="1:19" x14ac:dyDescent="0.3">
      <c r="A72" s="2"/>
      <c r="B72" s="44">
        <v>113807</v>
      </c>
      <c r="C72" s="44" t="s">
        <v>102</v>
      </c>
      <c r="D72" s="44" t="e" vm="1">
        <f ca="1">_xlfn.DISPIMG("ID_423EAD22902E4FFAAC547D1C2BAF0955",1)</f>
        <v>#NAME?</v>
      </c>
      <c r="E72" s="44">
        <v>12</v>
      </c>
      <c r="F72" s="44"/>
      <c r="G72" s="17">
        <v>12</v>
      </c>
      <c r="H72" s="3"/>
      <c r="I72" s="6"/>
      <c r="J72" s="6"/>
      <c r="K72" s="6"/>
      <c r="L72" s="6"/>
      <c r="M72" s="6"/>
      <c r="N72" s="4"/>
      <c r="O72" s="6"/>
      <c r="P72" s="6"/>
      <c r="Q72" s="6"/>
      <c r="R72" s="6"/>
      <c r="S72" s="6"/>
    </row>
    <row r="73" spans="1:19" x14ac:dyDescent="0.3">
      <c r="A73" s="2"/>
      <c r="B73" s="47">
        <v>281881</v>
      </c>
      <c r="C73" s="47" t="s">
        <v>103</v>
      </c>
      <c r="D73" s="47" t="e" vm="1">
        <f ca="1">_xlfn.DISPIMG("ID_A46D2391AA7F4F0D8D18ECC42935A45F",1)</f>
        <v>#NAME?</v>
      </c>
      <c r="E73" s="47">
        <v>12</v>
      </c>
      <c r="F73" s="47"/>
      <c r="G73" s="17">
        <v>12</v>
      </c>
      <c r="H73" s="3"/>
      <c r="I73" s="6"/>
      <c r="J73" s="6"/>
      <c r="K73" s="6"/>
      <c r="L73" s="6"/>
      <c r="M73" s="6"/>
      <c r="N73" s="4"/>
      <c r="O73" s="6"/>
      <c r="P73" s="6"/>
      <c r="Q73" s="6"/>
      <c r="R73" s="6"/>
      <c r="S73" s="6"/>
    </row>
    <row r="74" spans="1:19" x14ac:dyDescent="0.3">
      <c r="A74" s="2"/>
      <c r="B74" s="47">
        <v>161400</v>
      </c>
      <c r="C74" s="47" t="s">
        <v>104</v>
      </c>
      <c r="D74" s="47" t="e" vm="1">
        <f ca="1">_xlfn.DISPIMG("ID_193CFF3D3753402A9DB32ED03395E447",1)</f>
        <v>#NAME?</v>
      </c>
      <c r="E74" s="47">
        <v>12</v>
      </c>
      <c r="F74" s="47"/>
      <c r="G74" s="17">
        <v>12</v>
      </c>
      <c r="H74" s="3"/>
      <c r="I74" s="6"/>
      <c r="J74" s="6"/>
      <c r="K74" s="6"/>
      <c r="L74" s="6"/>
      <c r="M74" s="6"/>
      <c r="N74" s="4"/>
      <c r="O74" s="6"/>
      <c r="P74" s="6"/>
      <c r="Q74" s="6"/>
      <c r="R74" s="6"/>
      <c r="S74" s="6"/>
    </row>
    <row r="75" spans="1:19" x14ac:dyDescent="0.3">
      <c r="A75" s="2"/>
      <c r="B75" s="47">
        <v>121209</v>
      </c>
      <c r="C75" s="47" t="s">
        <v>105</v>
      </c>
      <c r="D75" s="47" t="e" vm="1">
        <f ca="1">_xlfn.DISPIMG("ID_80E9BE4CB0F94724A91571CE91D72C5C",1)</f>
        <v>#NAME?</v>
      </c>
      <c r="E75" s="47">
        <v>8</v>
      </c>
      <c r="F75" s="47"/>
      <c r="G75" s="17">
        <v>8</v>
      </c>
      <c r="H75" s="3"/>
      <c r="I75" s="6"/>
      <c r="J75" s="6"/>
      <c r="K75" s="6"/>
      <c r="L75" s="6"/>
      <c r="M75" s="6"/>
      <c r="N75" s="4"/>
      <c r="O75" s="6"/>
      <c r="P75" s="6"/>
      <c r="Q75" s="6"/>
      <c r="R75" s="6"/>
      <c r="S75" s="6"/>
    </row>
    <row r="76" spans="1:19" x14ac:dyDescent="0.3">
      <c r="A76" s="2"/>
      <c r="B76" s="44">
        <v>448559</v>
      </c>
      <c r="C76" s="44" t="s">
        <v>106</v>
      </c>
      <c r="D76" s="44" t="e" vm="1">
        <f ca="1">_xlfn.DISPIMG("ID_3FCA2B3F364040EBACA35141E3FEC2FA",1)</f>
        <v>#NAME?</v>
      </c>
      <c r="E76" s="44">
        <v>10</v>
      </c>
      <c r="F76" s="44"/>
      <c r="G76" s="17">
        <v>10</v>
      </c>
      <c r="H76" s="3"/>
      <c r="I76" s="6"/>
      <c r="J76" s="6"/>
      <c r="K76" s="6"/>
      <c r="L76" s="6"/>
      <c r="M76" s="6"/>
      <c r="N76" s="4"/>
      <c r="O76" s="6"/>
      <c r="P76" s="6"/>
      <c r="Q76" s="6"/>
      <c r="R76" s="6"/>
      <c r="S76" s="6"/>
    </row>
    <row r="77" spans="1:19" x14ac:dyDescent="0.3">
      <c r="A77" s="2"/>
      <c r="B77" s="44">
        <v>11020200</v>
      </c>
      <c r="C77" s="44" t="s">
        <v>107</v>
      </c>
      <c r="D77" s="44" t="e" vm="1">
        <f ca="1">_xlfn.DISPIMG("ID_A816E7849355495C9803D5ED45BFB846",1)</f>
        <v>#NAME?</v>
      </c>
      <c r="E77" s="44">
        <v>1</v>
      </c>
      <c r="F77" s="44"/>
      <c r="G77" s="17">
        <v>1</v>
      </c>
      <c r="H77" s="3"/>
      <c r="I77" s="6"/>
      <c r="J77" s="6"/>
      <c r="K77" s="6"/>
      <c r="L77" s="6"/>
      <c r="M77" s="6"/>
      <c r="N77" s="4"/>
      <c r="O77" s="6"/>
      <c r="P77" s="6"/>
      <c r="Q77" s="6"/>
      <c r="R77" s="6"/>
      <c r="S77" s="6"/>
    </row>
    <row r="78" spans="1:19" x14ac:dyDescent="0.3">
      <c r="A78" s="2"/>
      <c r="B78" s="44" t="s">
        <v>108</v>
      </c>
      <c r="C78" s="44" t="s">
        <v>109</v>
      </c>
      <c r="D78" s="44" t="e" vm="1">
        <f ca="1">_xlfn.DISPIMG("ID_6C1340A58C2746BA9318F2FCFF8771D2",1)</f>
        <v>#NAME?</v>
      </c>
      <c r="E78" s="44">
        <v>1</v>
      </c>
      <c r="F78" s="44"/>
      <c r="G78" s="17">
        <v>1</v>
      </c>
      <c r="H78" s="3"/>
      <c r="I78" s="6"/>
      <c r="J78" s="6"/>
      <c r="K78" s="6"/>
      <c r="L78" s="6"/>
      <c r="M78" s="6"/>
      <c r="N78" s="4"/>
      <c r="O78" s="6"/>
      <c r="P78" s="6"/>
      <c r="Q78" s="6"/>
      <c r="R78" s="6"/>
      <c r="S78" s="6"/>
    </row>
    <row r="79" spans="1:19" x14ac:dyDescent="0.3">
      <c r="A79" s="2"/>
      <c r="B79" s="44">
        <v>1103091</v>
      </c>
      <c r="C79" s="44" t="s">
        <v>110</v>
      </c>
      <c r="D79" s="44"/>
      <c r="E79" s="44">
        <v>2</v>
      </c>
      <c r="F79" s="44"/>
      <c r="G79" s="17">
        <v>2</v>
      </c>
      <c r="H79" s="3"/>
      <c r="I79" s="6"/>
      <c r="J79" s="6"/>
      <c r="K79" s="6"/>
      <c r="L79" s="6"/>
      <c r="M79" s="6"/>
      <c r="N79" s="4"/>
      <c r="O79" s="6"/>
      <c r="P79" s="6"/>
      <c r="Q79" s="6"/>
      <c r="R79" s="6"/>
      <c r="S79" s="6"/>
    </row>
    <row r="80" spans="1:19" x14ac:dyDescent="0.3">
      <c r="A80" s="2"/>
      <c r="B80" s="47" t="s">
        <v>11</v>
      </c>
      <c r="C80" s="44" t="s">
        <v>111</v>
      </c>
      <c r="D80" s="47" t="e" vm="1">
        <f ca="1">_xlfn.DISPIMG("ID_E202891C6B424A48B4D38948EE3858A2",1)</f>
        <v>#NAME?</v>
      </c>
      <c r="E80" s="47">
        <v>6</v>
      </c>
      <c r="F80" s="47"/>
      <c r="G80" s="17">
        <v>6</v>
      </c>
      <c r="H80" s="3"/>
      <c r="I80" s="6"/>
      <c r="J80" s="6"/>
      <c r="K80" s="6"/>
      <c r="L80" s="6"/>
      <c r="M80" s="6"/>
      <c r="N80" s="4"/>
      <c r="O80" s="6"/>
      <c r="P80" s="6"/>
      <c r="Q80" s="6"/>
      <c r="R80" s="6"/>
      <c r="S80" s="6"/>
    </row>
    <row r="81" spans="1:19" x14ac:dyDescent="0.3">
      <c r="A81" s="2"/>
      <c r="B81" s="44">
        <v>448556</v>
      </c>
      <c r="C81" s="44" t="s">
        <v>112</v>
      </c>
      <c r="D81" s="44" t="e" vm="1">
        <f ca="1">_xlfn.DISPIMG("ID_41ACF53DC348418C99D142C597790E51",1)</f>
        <v>#NAME?</v>
      </c>
      <c r="E81" s="44">
        <v>5</v>
      </c>
      <c r="F81" s="44"/>
      <c r="G81" s="17">
        <v>5</v>
      </c>
      <c r="H81" s="3"/>
      <c r="I81" s="6"/>
      <c r="J81" s="6"/>
      <c r="K81" s="6"/>
      <c r="L81" s="6"/>
      <c r="M81" s="6"/>
      <c r="N81" s="4"/>
      <c r="O81" s="6"/>
      <c r="P81" s="6"/>
      <c r="Q81" s="6"/>
      <c r="R81" s="6"/>
      <c r="S81" s="6"/>
    </row>
    <row r="82" spans="1:19" x14ac:dyDescent="0.3">
      <c r="A82" s="2"/>
      <c r="B82" s="44">
        <v>421782</v>
      </c>
      <c r="C82" s="44" t="s">
        <v>113</v>
      </c>
      <c r="D82" s="44" t="e" vm="1">
        <f ca="1">_xlfn.DISPIMG("ID_8ECE0DC76EB842A2AD89BFE3D6891FDB",1)</f>
        <v>#NAME?</v>
      </c>
      <c r="E82" s="44">
        <v>60</v>
      </c>
      <c r="F82" s="44"/>
      <c r="G82" s="17">
        <v>60</v>
      </c>
      <c r="H82" s="3"/>
      <c r="I82" s="6"/>
      <c r="J82" s="6"/>
      <c r="K82" s="6"/>
      <c r="L82" s="6"/>
      <c r="M82" s="6"/>
      <c r="N82" s="4"/>
      <c r="O82" s="6"/>
      <c r="P82" s="6"/>
      <c r="Q82" s="6"/>
      <c r="R82" s="6"/>
      <c r="S82" s="6"/>
    </row>
    <row r="83" spans="1:19" x14ac:dyDescent="0.3">
      <c r="A83" s="2"/>
      <c r="B83" s="44">
        <v>1238548</v>
      </c>
      <c r="C83" s="44" t="s">
        <v>49</v>
      </c>
      <c r="D83" s="44" t="e" vm="1">
        <f ca="1">_xlfn.DISPIMG("ID_BEBB587213D8446090944F808D26EBCD",1)</f>
        <v>#NAME?</v>
      </c>
      <c r="E83" s="44">
        <v>1</v>
      </c>
      <c r="F83" s="44"/>
      <c r="G83" s="17">
        <v>1</v>
      </c>
      <c r="H83" s="3"/>
      <c r="I83" s="6"/>
      <c r="J83" s="6"/>
      <c r="K83" s="6"/>
      <c r="L83" s="6"/>
      <c r="M83" s="6"/>
      <c r="N83" s="4"/>
      <c r="O83" s="6"/>
      <c r="P83" s="6"/>
      <c r="Q83" s="6"/>
      <c r="R83" s="6"/>
      <c r="S83" s="6"/>
    </row>
    <row r="84" spans="1:19" x14ac:dyDescent="0.3">
      <c r="A84" s="2"/>
      <c r="B84" s="44">
        <v>1102352</v>
      </c>
      <c r="C84" s="44" t="s">
        <v>114</v>
      </c>
      <c r="D84" s="44" t="e" vm="1">
        <f ca="1">_xlfn.DISPIMG("ID_B9B4107BA6004DD6A057EC4FD5A81539",1)</f>
        <v>#NAME?</v>
      </c>
      <c r="E84" s="44">
        <v>1</v>
      </c>
      <c r="F84" s="44"/>
      <c r="G84" s="17">
        <v>1</v>
      </c>
      <c r="H84" s="3"/>
      <c r="I84" s="6"/>
      <c r="J84" s="6"/>
      <c r="K84" s="6"/>
      <c r="L84" s="6"/>
      <c r="M84" s="6"/>
      <c r="N84" s="4"/>
      <c r="O84" s="6"/>
      <c r="P84" s="6"/>
      <c r="Q84" s="6"/>
      <c r="R84" s="6"/>
      <c r="S84" s="6"/>
    </row>
    <row r="85" spans="1:19" x14ac:dyDescent="0.3">
      <c r="A85" s="2"/>
      <c r="B85" s="47">
        <v>7001950</v>
      </c>
      <c r="C85" s="47" t="s">
        <v>115</v>
      </c>
      <c r="D85" s="47" t="e" vm="1">
        <f ca="1">_xlfn.DISPIMG("ID_DE325607E52844C7943CBC7E800FD49A",1)</f>
        <v>#NAME?</v>
      </c>
      <c r="E85" s="47">
        <v>20</v>
      </c>
      <c r="F85" s="47"/>
      <c r="G85" s="17">
        <v>20</v>
      </c>
      <c r="H85" s="3"/>
      <c r="I85" s="6"/>
      <c r="J85" s="6"/>
      <c r="K85" s="6"/>
      <c r="L85" s="6"/>
      <c r="M85" s="6"/>
      <c r="N85" s="4"/>
      <c r="O85" s="6"/>
      <c r="P85" s="6"/>
      <c r="Q85" s="6"/>
      <c r="R85" s="6"/>
      <c r="S85" s="6"/>
    </row>
    <row r="86" spans="1:19" x14ac:dyDescent="0.3">
      <c r="A86" s="2"/>
      <c r="B86" s="47">
        <v>306099</v>
      </c>
      <c r="C86" s="47" t="s">
        <v>115</v>
      </c>
      <c r="D86" s="47" t="e" vm="1">
        <f ca="1">_xlfn.DISPIMG("ID_F8FFE3E02F9D494584ADDC4FBFB5506D",1)</f>
        <v>#NAME?</v>
      </c>
      <c r="E86" s="47">
        <v>20</v>
      </c>
      <c r="F86" s="47"/>
      <c r="G86" s="17">
        <v>20</v>
      </c>
      <c r="H86" s="3"/>
      <c r="I86" s="6"/>
      <c r="J86" s="6"/>
      <c r="K86" s="6"/>
      <c r="L86" s="6"/>
      <c r="M86" s="6"/>
      <c r="N86" s="4"/>
      <c r="O86" s="6"/>
      <c r="P86" s="6"/>
      <c r="Q86" s="6"/>
      <c r="R86" s="6"/>
      <c r="S86" s="6"/>
    </row>
    <row r="87" spans="1:19" x14ac:dyDescent="0.3">
      <c r="A87" s="2"/>
      <c r="B87" s="47">
        <v>456731</v>
      </c>
      <c r="C87" s="47" t="s">
        <v>116</v>
      </c>
      <c r="D87" s="47" t="e" vm="1">
        <f ca="1">_xlfn.DISPIMG("ID_03CBB9CE1D334B7E849D9AF4076B3574",1)</f>
        <v>#NAME?</v>
      </c>
      <c r="E87" s="47">
        <v>2</v>
      </c>
      <c r="F87" s="47"/>
      <c r="G87" s="17">
        <v>2</v>
      </c>
      <c r="H87" s="3"/>
      <c r="I87" s="6"/>
      <c r="J87" s="6"/>
      <c r="K87" s="6"/>
      <c r="L87" s="6"/>
      <c r="M87" s="6"/>
      <c r="N87" s="4"/>
      <c r="O87" s="6"/>
      <c r="P87" s="6"/>
      <c r="Q87" s="6"/>
      <c r="R87" s="6"/>
      <c r="S87" s="6"/>
    </row>
    <row r="88" spans="1:19" x14ac:dyDescent="0.3">
      <c r="A88" s="2"/>
      <c r="B88" s="47">
        <v>290213</v>
      </c>
      <c r="C88" s="47" t="s">
        <v>117</v>
      </c>
      <c r="D88" s="47" t="e" vm="1">
        <f ca="1">_xlfn.DISPIMG("ID_BD5D3086FBB2421F9EC703027AD9F997",1)</f>
        <v>#NAME?</v>
      </c>
      <c r="E88" s="47">
        <v>97</v>
      </c>
      <c r="F88" s="47"/>
      <c r="G88" s="17">
        <v>97</v>
      </c>
      <c r="H88" s="3"/>
      <c r="I88" s="6"/>
      <c r="J88" s="6"/>
      <c r="K88" s="6"/>
      <c r="L88" s="6"/>
      <c r="M88" s="6"/>
      <c r="N88" s="4"/>
      <c r="O88" s="6"/>
      <c r="P88" s="6"/>
      <c r="Q88" s="6"/>
      <c r="R88" s="6"/>
      <c r="S88" s="6"/>
    </row>
    <row r="89" spans="1:19" x14ac:dyDescent="0.3">
      <c r="A89" s="2"/>
      <c r="B89" s="44">
        <v>348964</v>
      </c>
      <c r="C89" s="44" t="s">
        <v>118</v>
      </c>
      <c r="D89" s="44" t="e" vm="1">
        <f ca="1">_xlfn.DISPIMG("ID_1C4BF1EDB4EB4FFEB102180C07460B0C",1)</f>
        <v>#NAME?</v>
      </c>
      <c r="E89" s="44">
        <v>56</v>
      </c>
      <c r="F89" s="44"/>
      <c r="G89" s="17">
        <v>56</v>
      </c>
      <c r="H89" s="3"/>
      <c r="I89" s="6"/>
      <c r="J89" s="6"/>
      <c r="K89" s="6"/>
      <c r="L89" s="6"/>
      <c r="M89" s="6"/>
      <c r="N89" s="4"/>
      <c r="O89" s="6"/>
      <c r="P89" s="6"/>
      <c r="Q89" s="6"/>
      <c r="R89" s="6"/>
      <c r="S89" s="6"/>
    </row>
    <row r="90" spans="1:19" x14ac:dyDescent="0.3">
      <c r="A90" s="2"/>
      <c r="B90" s="44">
        <v>319742</v>
      </c>
      <c r="C90" s="44" t="s">
        <v>120</v>
      </c>
      <c r="D90" s="44" t="e" vm="1">
        <f ca="1">_xlfn.DISPIMG("ID_C24CF0296F1E41C7912F5DB56A2C219D",1)</f>
        <v>#NAME?</v>
      </c>
      <c r="E90" s="44">
        <v>1</v>
      </c>
      <c r="F90" s="44"/>
      <c r="G90" s="17">
        <v>1</v>
      </c>
      <c r="H90" s="3"/>
      <c r="I90" s="6"/>
      <c r="J90" s="6"/>
      <c r="K90" s="6"/>
      <c r="L90" s="6"/>
      <c r="M90" s="6"/>
      <c r="N90" s="4"/>
      <c r="O90" s="6"/>
      <c r="P90" s="6"/>
      <c r="Q90" s="6"/>
      <c r="R90" s="6"/>
      <c r="S90" s="6"/>
    </row>
    <row r="91" spans="1:19" x14ac:dyDescent="0.3">
      <c r="A91" s="2"/>
      <c r="B91" s="44">
        <v>456732</v>
      </c>
      <c r="C91" s="44" t="s">
        <v>121</v>
      </c>
      <c r="D91" s="44" t="e" vm="1">
        <f ca="1">_xlfn.DISPIMG("ID_A50683C2427D49268C41FBF19DB437DC",1)</f>
        <v>#NAME?</v>
      </c>
      <c r="E91" s="44">
        <v>18</v>
      </c>
      <c r="F91" s="44"/>
      <c r="G91" s="17">
        <v>18</v>
      </c>
      <c r="H91" s="3"/>
      <c r="I91" s="6"/>
      <c r="J91" s="6"/>
      <c r="K91" s="6"/>
      <c r="L91" s="6"/>
      <c r="M91" s="6"/>
      <c r="N91" s="4"/>
      <c r="O91" s="6"/>
      <c r="P91" s="6"/>
      <c r="Q91" s="6"/>
      <c r="R91" s="6"/>
      <c r="S91" s="6"/>
    </row>
    <row r="92" spans="1:19" x14ac:dyDescent="0.3">
      <c r="A92" s="2"/>
      <c r="B92" s="47">
        <v>415442</v>
      </c>
      <c r="C92" s="47" t="s">
        <v>122</v>
      </c>
      <c r="D92" s="47" t="e" vm="1">
        <f ca="1">_xlfn.DISPIMG("ID_3F767878DF6F49A085F89BC62DC3689C",1)</f>
        <v>#NAME?</v>
      </c>
      <c r="E92" s="47">
        <v>1</v>
      </c>
      <c r="F92" s="47"/>
      <c r="G92" s="17">
        <v>1</v>
      </c>
      <c r="H92" s="3"/>
      <c r="I92" s="6"/>
      <c r="J92" s="6"/>
      <c r="K92" s="6"/>
      <c r="L92" s="6"/>
      <c r="M92" s="6"/>
      <c r="N92" s="4"/>
      <c r="O92" s="6"/>
      <c r="P92" s="6"/>
      <c r="Q92" s="6"/>
      <c r="R92" s="6"/>
      <c r="S92" s="6"/>
    </row>
    <row r="93" spans="1:19" x14ac:dyDescent="0.3">
      <c r="A93" s="2"/>
      <c r="B93" s="44">
        <v>456747</v>
      </c>
      <c r="C93" s="44" t="s">
        <v>123</v>
      </c>
      <c r="D93" s="44" t="e" vm="1">
        <f ca="1">_xlfn.DISPIMG("ID_A236AF1694524590AFF154411F5FB8C9",1)</f>
        <v>#NAME?</v>
      </c>
      <c r="E93" s="44">
        <v>5</v>
      </c>
      <c r="F93" s="44"/>
      <c r="G93" s="17">
        <v>5</v>
      </c>
      <c r="H93" s="3"/>
      <c r="I93" s="6"/>
      <c r="J93" s="6"/>
      <c r="K93" s="6"/>
      <c r="L93" s="6"/>
      <c r="M93" s="6"/>
      <c r="N93" s="4"/>
      <c r="O93" s="6"/>
      <c r="P93" s="6"/>
      <c r="Q93" s="6"/>
      <c r="R93" s="6"/>
      <c r="S93" s="6"/>
    </row>
    <row r="94" spans="1:19" x14ac:dyDescent="0.3">
      <c r="A94" s="2"/>
      <c r="B94" s="47">
        <v>107744</v>
      </c>
      <c r="C94" s="47" t="s">
        <v>319</v>
      </c>
      <c r="D94" s="47" t="e" vm="1">
        <f ca="1">_xlfn.DISPIMG("ID_B6AB255DE8014EA7A7165F5F4C3BB20B",1)</f>
        <v>#NAME?</v>
      </c>
      <c r="E94" s="47">
        <v>10</v>
      </c>
      <c r="F94" s="47"/>
      <c r="G94" s="17">
        <v>10</v>
      </c>
      <c r="H94" s="3"/>
      <c r="I94" s="6"/>
      <c r="J94" s="6"/>
      <c r="K94" s="6"/>
      <c r="L94" s="6"/>
      <c r="M94" s="6"/>
      <c r="N94" s="4"/>
      <c r="O94" s="6"/>
      <c r="P94" s="6"/>
      <c r="Q94" s="6"/>
      <c r="R94" s="6"/>
      <c r="S94" s="6"/>
    </row>
    <row r="95" spans="1:19" x14ac:dyDescent="0.3">
      <c r="A95" s="2"/>
      <c r="B95" s="47">
        <v>1247730</v>
      </c>
      <c r="C95" s="47" t="s">
        <v>124</v>
      </c>
      <c r="D95" s="47" t="e" vm="1">
        <f ca="1">_xlfn.DISPIMG("ID_BC3DF6903D874AA88E6C4D952C992A5D",1)</f>
        <v>#NAME?</v>
      </c>
      <c r="E95" s="47">
        <v>1</v>
      </c>
      <c r="F95" s="47"/>
      <c r="G95" s="17">
        <v>1</v>
      </c>
      <c r="H95" s="3"/>
      <c r="I95" s="6"/>
      <c r="J95" s="6"/>
      <c r="K95" s="6"/>
      <c r="L95" s="6"/>
      <c r="M95" s="6"/>
      <c r="N95" s="4"/>
      <c r="O95" s="6"/>
      <c r="P95" s="6"/>
      <c r="Q95" s="6"/>
      <c r="R95" s="6"/>
      <c r="S95" s="6"/>
    </row>
    <row r="96" spans="1:19" x14ac:dyDescent="0.3">
      <c r="A96" s="2"/>
      <c r="B96" s="44" t="s">
        <v>334</v>
      </c>
      <c r="C96" s="44" t="s">
        <v>333</v>
      </c>
      <c r="D96" s="44" t="e" vm="1">
        <f ca="1">_xlfn.DISPIMG("ID_8CF2FD9403F64AA3A0BE66DE96D6AB46",1)</f>
        <v>#NAME?</v>
      </c>
      <c r="E96" s="44">
        <v>1</v>
      </c>
      <c r="F96" s="44"/>
      <c r="G96" s="17">
        <v>1</v>
      </c>
      <c r="H96" s="3"/>
      <c r="I96" s="6"/>
      <c r="J96" s="6"/>
      <c r="K96" s="6"/>
      <c r="L96" s="6"/>
      <c r="M96" s="6"/>
      <c r="N96" s="4"/>
      <c r="O96" s="6"/>
      <c r="P96" s="6"/>
      <c r="Q96" s="6"/>
      <c r="R96" s="6"/>
      <c r="S96" s="6"/>
    </row>
    <row r="97" spans="1:19" x14ac:dyDescent="0.3">
      <c r="A97" s="2"/>
      <c r="B97" s="44">
        <v>9013876</v>
      </c>
      <c r="C97" s="44" t="s">
        <v>125</v>
      </c>
      <c r="D97" s="44" t="e" vm="1">
        <f ca="1">_xlfn.DISPIMG("ID_B783FC2FC1B747A7A9335E97B81F2FDA",1)</f>
        <v>#NAME?</v>
      </c>
      <c r="E97" s="44">
        <v>2</v>
      </c>
      <c r="F97" s="44"/>
      <c r="G97" s="17">
        <v>2</v>
      </c>
      <c r="H97" s="3"/>
      <c r="I97" s="6"/>
      <c r="J97" s="6"/>
      <c r="K97" s="6"/>
      <c r="L97" s="6"/>
      <c r="M97" s="6"/>
      <c r="N97" s="4"/>
      <c r="O97" s="6"/>
      <c r="P97" s="6"/>
      <c r="Q97" s="6"/>
      <c r="R97" s="6"/>
      <c r="S97" s="6"/>
    </row>
    <row r="98" spans="1:19" x14ac:dyDescent="0.3">
      <c r="A98" s="2"/>
      <c r="B98" s="44">
        <v>22355251</v>
      </c>
      <c r="C98" s="44" t="s">
        <v>107</v>
      </c>
      <c r="D98" s="44" t="e" vm="1">
        <f ca="1">_xlfn.DISPIMG("ID_370A6D5A50DF4D80A9F0A1F8F09B0348",1)</f>
        <v>#NAME?</v>
      </c>
      <c r="E98" s="44">
        <v>1</v>
      </c>
      <c r="F98" s="44"/>
      <c r="G98" s="17">
        <v>1</v>
      </c>
      <c r="H98" s="3"/>
      <c r="I98" s="6"/>
      <c r="J98" s="6"/>
      <c r="K98" s="6"/>
      <c r="L98" s="6"/>
      <c r="M98" s="6"/>
      <c r="N98" s="4"/>
      <c r="O98" s="6"/>
      <c r="P98" s="6"/>
      <c r="Q98" s="6"/>
      <c r="R98" s="6"/>
      <c r="S98" s="6"/>
    </row>
    <row r="99" spans="1:19" x14ac:dyDescent="0.3">
      <c r="A99" s="2"/>
      <c r="B99" s="44">
        <v>303923</v>
      </c>
      <c r="C99" s="44" t="s">
        <v>126</v>
      </c>
      <c r="D99" s="44" t="e" vm="1">
        <f ca="1">_xlfn.DISPIMG("ID_9CAA1F0A238D4BF38D92D06A8F325D72",1)</f>
        <v>#NAME?</v>
      </c>
      <c r="E99" s="44">
        <v>9</v>
      </c>
      <c r="F99" s="44"/>
      <c r="G99" s="17">
        <v>9</v>
      </c>
      <c r="H99" s="3"/>
      <c r="I99" s="6"/>
      <c r="J99" s="6"/>
      <c r="K99" s="6"/>
      <c r="L99" s="6"/>
      <c r="M99" s="6"/>
      <c r="N99" s="4"/>
      <c r="O99" s="6"/>
      <c r="P99" s="6"/>
      <c r="Q99" s="6"/>
      <c r="R99" s="6"/>
      <c r="S99" s="6"/>
    </row>
    <row r="100" spans="1:19" x14ac:dyDescent="0.3">
      <c r="A100" s="2"/>
      <c r="B100" s="44">
        <v>1252080</v>
      </c>
      <c r="C100" s="44" t="s">
        <v>127</v>
      </c>
      <c r="D100" s="44" t="e" vm="1">
        <f ca="1">_xlfn.DISPIMG("ID_052FE247BEE44D0ABEFE2F47C8523AEB",1)</f>
        <v>#NAME?</v>
      </c>
      <c r="E100" s="44">
        <v>1</v>
      </c>
      <c r="F100" s="44"/>
      <c r="G100" s="17">
        <v>1</v>
      </c>
      <c r="H100" s="3"/>
      <c r="I100" s="6"/>
      <c r="J100" s="6"/>
      <c r="K100" s="6"/>
      <c r="L100" s="6"/>
      <c r="M100" s="6"/>
      <c r="N100" s="4"/>
      <c r="O100" s="6"/>
      <c r="P100" s="6"/>
      <c r="Q100" s="6"/>
      <c r="R100" s="6"/>
      <c r="S100" s="6"/>
    </row>
    <row r="101" spans="1:19" x14ac:dyDescent="0.3">
      <c r="A101" s="2"/>
      <c r="B101" s="44">
        <v>276617</v>
      </c>
      <c r="C101" s="44" t="s">
        <v>128</v>
      </c>
      <c r="D101" s="44" t="e" vm="1">
        <f ca="1">_xlfn.DISPIMG("ID_FDBBB465A10246E8B6C62952CD98AC5A",1)</f>
        <v>#NAME?</v>
      </c>
      <c r="E101" s="44">
        <v>5</v>
      </c>
      <c r="F101" s="44"/>
      <c r="G101" s="17">
        <v>5</v>
      </c>
      <c r="H101" s="3"/>
      <c r="I101" s="6"/>
      <c r="J101" s="6"/>
      <c r="K101" s="6"/>
      <c r="L101" s="6"/>
      <c r="M101" s="6"/>
      <c r="N101" s="4"/>
      <c r="O101" s="6"/>
      <c r="P101" s="6"/>
      <c r="Q101" s="6"/>
      <c r="R101" s="6"/>
      <c r="S101" s="6"/>
    </row>
    <row r="102" spans="1:19" x14ac:dyDescent="0.3">
      <c r="A102" s="2"/>
      <c r="B102" s="44">
        <v>277937</v>
      </c>
      <c r="C102" s="44" t="s">
        <v>129</v>
      </c>
      <c r="D102" s="44" t="e" vm="1">
        <f ca="1">_xlfn.DISPIMG("ID_B7D34C0FE0B04677AB6A30C9E0D8D5F6",1)</f>
        <v>#NAME?</v>
      </c>
      <c r="E102" s="44">
        <v>2</v>
      </c>
      <c r="F102" s="44"/>
      <c r="G102" s="17">
        <v>2</v>
      </c>
      <c r="H102" s="3"/>
      <c r="I102" s="6"/>
      <c r="J102" s="6"/>
      <c r="K102" s="6"/>
      <c r="L102" s="6"/>
      <c r="M102" s="6"/>
      <c r="N102" s="4"/>
      <c r="O102" s="6"/>
      <c r="P102" s="6"/>
      <c r="Q102" s="6"/>
      <c r="R102" s="6"/>
      <c r="S102" s="6"/>
    </row>
    <row r="103" spans="1:19" x14ac:dyDescent="0.3">
      <c r="A103" s="2"/>
      <c r="B103" s="44">
        <v>372382</v>
      </c>
      <c r="C103" s="44" t="s">
        <v>130</v>
      </c>
      <c r="D103" s="44" t="e" vm="1">
        <f ca="1">_xlfn.DISPIMG("ID_24259EE7B4B24C7F843230A309B72E26",1)</f>
        <v>#NAME?</v>
      </c>
      <c r="E103" s="44">
        <v>3</v>
      </c>
      <c r="F103" s="44"/>
      <c r="G103" s="17">
        <v>3</v>
      </c>
      <c r="H103" s="3"/>
      <c r="I103" s="6"/>
      <c r="J103" s="6"/>
      <c r="K103" s="6"/>
      <c r="L103" s="6"/>
      <c r="M103" s="6"/>
      <c r="N103" s="4"/>
      <c r="O103" s="6"/>
      <c r="P103" s="6"/>
      <c r="Q103" s="6"/>
      <c r="R103" s="6"/>
      <c r="S103" s="6"/>
    </row>
    <row r="104" spans="1:19" x14ac:dyDescent="0.3">
      <c r="A104" s="2"/>
      <c r="B104" s="44">
        <v>525691</v>
      </c>
      <c r="C104" s="44" t="s">
        <v>131</v>
      </c>
      <c r="D104" s="44" t="e" vm="1">
        <f ca="1">_xlfn.DISPIMG("ID_52E6E55628A448ECB6047CB3FCFCDDC1",1)</f>
        <v>#NAME?</v>
      </c>
      <c r="E104" s="44">
        <v>3</v>
      </c>
      <c r="F104" s="44"/>
      <c r="G104" s="17">
        <v>3</v>
      </c>
      <c r="H104" s="3"/>
      <c r="I104" s="6"/>
      <c r="J104" s="6"/>
      <c r="K104" s="6"/>
      <c r="L104" s="6"/>
      <c r="M104" s="6"/>
      <c r="N104" s="4"/>
      <c r="O104" s="6"/>
      <c r="P104" s="6"/>
      <c r="Q104" s="6"/>
      <c r="R104" s="6"/>
      <c r="S104" s="6"/>
    </row>
    <row r="105" spans="1:19" x14ac:dyDescent="0.3">
      <c r="A105" s="2"/>
      <c r="B105" s="44">
        <v>574332</v>
      </c>
      <c r="C105" s="44" t="s">
        <v>132</v>
      </c>
      <c r="D105" s="44" t="e" vm="1">
        <f ca="1">_xlfn.DISPIMG("ID_3D1545FF6DAA4D979390E1FAA3C93659",1)</f>
        <v>#NAME?</v>
      </c>
      <c r="E105" s="44">
        <v>3</v>
      </c>
      <c r="F105" s="44"/>
      <c r="G105" s="17">
        <v>3</v>
      </c>
      <c r="H105" s="3"/>
      <c r="I105" s="6"/>
      <c r="J105" s="6"/>
      <c r="K105" s="6"/>
      <c r="L105" s="6"/>
      <c r="M105" s="6"/>
      <c r="N105" s="4"/>
      <c r="O105" s="6"/>
      <c r="P105" s="6"/>
      <c r="Q105" s="6"/>
      <c r="R105" s="6"/>
      <c r="S105" s="6"/>
    </row>
    <row r="106" spans="1:19" x14ac:dyDescent="0.3">
      <c r="A106" s="2"/>
      <c r="B106" s="44">
        <v>100639</v>
      </c>
      <c r="C106" s="44" t="s">
        <v>133</v>
      </c>
      <c r="D106" s="44" t="e" vm="1">
        <f ca="1">_xlfn.DISPIMG("ID_9B0201A2EEE24EF1B635A59D1AD6E0EB",1)</f>
        <v>#NAME?</v>
      </c>
      <c r="E106" s="44">
        <v>20</v>
      </c>
      <c r="F106" s="44"/>
      <c r="G106" s="17">
        <v>20</v>
      </c>
      <c r="H106" s="3"/>
      <c r="I106" s="6"/>
      <c r="J106" s="6"/>
      <c r="K106" s="6"/>
      <c r="L106" s="6"/>
      <c r="M106" s="6"/>
      <c r="N106" s="4"/>
      <c r="O106" s="6"/>
      <c r="P106" s="6"/>
      <c r="Q106" s="6"/>
      <c r="R106" s="6"/>
      <c r="S106" s="6"/>
    </row>
    <row r="107" spans="1:19" x14ac:dyDescent="0.3">
      <c r="A107" s="2"/>
      <c r="B107" s="44">
        <v>344227</v>
      </c>
      <c r="C107" s="44" t="s">
        <v>134</v>
      </c>
      <c r="D107" s="44" t="e" vm="1">
        <f ca="1">_xlfn.DISPIMG("ID_7BC83BD85D864F0EA0A200ECF438BF89",1)</f>
        <v>#NAME?</v>
      </c>
      <c r="E107" s="44">
        <v>4</v>
      </c>
      <c r="F107" s="44"/>
      <c r="G107" s="17">
        <v>4</v>
      </c>
      <c r="H107" s="3"/>
      <c r="I107" s="6"/>
      <c r="J107" s="6"/>
      <c r="K107" s="6"/>
      <c r="L107" s="6"/>
      <c r="M107" s="6"/>
      <c r="N107" s="4"/>
      <c r="O107" s="6"/>
      <c r="P107" s="6"/>
      <c r="Q107" s="6"/>
      <c r="R107" s="6"/>
      <c r="S107" s="6"/>
    </row>
    <row r="108" spans="1:19" x14ac:dyDescent="0.3">
      <c r="A108" s="2"/>
      <c r="B108" s="44">
        <v>277872</v>
      </c>
      <c r="C108" s="44" t="s">
        <v>135</v>
      </c>
      <c r="D108" s="44" t="e" vm="1">
        <f ca="1">_xlfn.DISPIMG("ID_F4B6159D58AB485CA7F365352B4EA6BC",1)</f>
        <v>#NAME?</v>
      </c>
      <c r="E108" s="44">
        <v>2</v>
      </c>
      <c r="F108" s="44"/>
      <c r="G108" s="17">
        <v>2</v>
      </c>
      <c r="H108" s="3"/>
      <c r="I108" s="6"/>
      <c r="J108" s="6"/>
      <c r="K108" s="6"/>
      <c r="L108" s="6"/>
      <c r="M108" s="6"/>
      <c r="N108" s="4"/>
      <c r="O108" s="6"/>
      <c r="P108" s="6"/>
      <c r="Q108" s="6"/>
      <c r="R108" s="6"/>
      <c r="S108" s="6"/>
    </row>
    <row r="109" spans="1:19" x14ac:dyDescent="0.3">
      <c r="A109" s="2"/>
      <c r="B109" s="44">
        <v>101363</v>
      </c>
      <c r="C109" s="44" t="s">
        <v>136</v>
      </c>
      <c r="D109" s="44" t="e" vm="1">
        <f ca="1">_xlfn.DISPIMG("ID_5965A9A52C794F7EB632D7DE258894BF",1)</f>
        <v>#NAME?</v>
      </c>
      <c r="E109" s="44">
        <v>20</v>
      </c>
      <c r="F109" s="44"/>
      <c r="G109" s="17">
        <v>20</v>
      </c>
      <c r="H109" s="3"/>
      <c r="I109" s="6"/>
      <c r="J109" s="6"/>
      <c r="K109" s="6"/>
      <c r="L109" s="6"/>
      <c r="M109" s="6"/>
      <c r="N109" s="4"/>
      <c r="O109" s="6"/>
      <c r="P109" s="6"/>
      <c r="Q109" s="6"/>
      <c r="R109" s="6"/>
      <c r="S109" s="6"/>
    </row>
    <row r="110" spans="1:19" x14ac:dyDescent="0.3">
      <c r="A110" s="2"/>
      <c r="B110" s="44">
        <v>456748</v>
      </c>
      <c r="C110" s="44" t="s">
        <v>137</v>
      </c>
      <c r="D110" s="44" t="e" vm="1">
        <f ca="1">_xlfn.DISPIMG("ID_A0F9C20B80FA489E8E6C0C8E40959FC9",1)</f>
        <v>#NAME?</v>
      </c>
      <c r="E110" s="44">
        <v>4</v>
      </c>
      <c r="F110" s="44"/>
      <c r="G110" s="17">
        <v>4</v>
      </c>
      <c r="H110" s="3"/>
      <c r="I110" s="6"/>
      <c r="J110" s="6"/>
      <c r="K110" s="6"/>
      <c r="L110" s="6"/>
      <c r="M110" s="6"/>
      <c r="N110" s="4"/>
      <c r="O110" s="6"/>
      <c r="P110" s="6"/>
      <c r="Q110" s="6"/>
      <c r="R110" s="6"/>
      <c r="S110" s="6"/>
    </row>
    <row r="111" spans="1:19" x14ac:dyDescent="0.3">
      <c r="A111" s="2"/>
      <c r="B111" s="47">
        <v>9014144</v>
      </c>
      <c r="C111" s="47" t="s">
        <v>138</v>
      </c>
      <c r="D111" s="47" t="e" vm="1">
        <f ca="1">_xlfn.DISPIMG("ID_09F92D2AED5A460BAF2CA09FA5F3A58F",1)</f>
        <v>#NAME?</v>
      </c>
      <c r="E111" s="47">
        <v>1</v>
      </c>
      <c r="F111" s="47"/>
      <c r="G111" s="17">
        <v>1</v>
      </c>
      <c r="H111" s="3"/>
      <c r="I111" s="6"/>
      <c r="J111" s="6"/>
      <c r="K111" s="6"/>
      <c r="L111" s="6"/>
      <c r="M111" s="6"/>
      <c r="N111" s="4"/>
      <c r="O111" s="6"/>
      <c r="P111" s="6"/>
      <c r="Q111" s="6"/>
      <c r="R111" s="6"/>
      <c r="S111" s="6"/>
    </row>
    <row r="112" spans="1:19" x14ac:dyDescent="0.3">
      <c r="A112" s="2"/>
      <c r="B112" s="47" t="s">
        <v>23</v>
      </c>
      <c r="C112" s="44" t="s">
        <v>330</v>
      </c>
      <c r="D112" s="47" t="e" vm="1">
        <f ca="1">_xlfn.DISPIMG("ID_EFB25C11F1614F52835C14D3DEC50AA4",1)</f>
        <v>#NAME?</v>
      </c>
      <c r="E112" s="47">
        <v>1</v>
      </c>
      <c r="F112" s="47"/>
      <c r="G112" s="17">
        <v>1</v>
      </c>
      <c r="H112" s="3"/>
      <c r="I112" s="6"/>
      <c r="J112" s="6"/>
      <c r="K112" s="6"/>
      <c r="L112" s="6"/>
      <c r="M112" s="6"/>
      <c r="N112" s="4"/>
      <c r="O112" s="6"/>
      <c r="P112" s="6"/>
      <c r="Q112" s="6"/>
      <c r="R112" s="6"/>
      <c r="S112" s="6"/>
    </row>
    <row r="113" spans="1:19" x14ac:dyDescent="0.3">
      <c r="A113" s="2"/>
      <c r="B113" s="47">
        <v>326960</v>
      </c>
      <c r="C113" s="47" t="s">
        <v>339</v>
      </c>
      <c r="D113" s="47" t="e" vm="1">
        <f ca="1">_xlfn.DISPIMG("ID_D3D84F4436FE4F60A4B1A14719790D4F",1)</f>
        <v>#NAME?</v>
      </c>
      <c r="E113" s="47">
        <v>1</v>
      </c>
      <c r="F113" s="47"/>
      <c r="G113" s="17">
        <v>1</v>
      </c>
      <c r="H113" s="3"/>
      <c r="I113" s="6"/>
      <c r="J113" s="6"/>
      <c r="K113" s="6"/>
      <c r="L113" s="6"/>
      <c r="M113" s="6"/>
      <c r="N113" s="4"/>
      <c r="O113" s="6"/>
      <c r="P113" s="6"/>
      <c r="Q113" s="6"/>
      <c r="R113" s="6"/>
      <c r="S113" s="6"/>
    </row>
    <row r="114" spans="1:19" x14ac:dyDescent="0.3">
      <c r="A114" s="2"/>
      <c r="B114" s="47">
        <v>352496</v>
      </c>
      <c r="C114" s="47" t="s">
        <v>140</v>
      </c>
      <c r="D114" s="47" t="e" vm="1">
        <f ca="1">_xlfn.DISPIMG("ID_104A9143D43D40DEBE6FFA4A08456083",1)</f>
        <v>#NAME?</v>
      </c>
      <c r="E114" s="47">
        <v>4</v>
      </c>
      <c r="F114" s="47"/>
      <c r="G114" s="17">
        <v>4</v>
      </c>
      <c r="H114" s="3"/>
      <c r="I114" s="6"/>
      <c r="J114" s="6"/>
      <c r="K114" s="6"/>
      <c r="L114" s="6"/>
      <c r="M114" s="6"/>
      <c r="N114" s="4"/>
      <c r="O114" s="6"/>
      <c r="P114" s="6"/>
      <c r="Q114" s="6"/>
      <c r="R114" s="6"/>
      <c r="S114" s="6"/>
    </row>
    <row r="115" spans="1:19" x14ac:dyDescent="0.3">
      <c r="A115" s="2"/>
      <c r="B115" s="47">
        <v>352495</v>
      </c>
      <c r="C115" s="47" t="s">
        <v>140</v>
      </c>
      <c r="D115" s="47" t="e" vm="1">
        <f ca="1">_xlfn.DISPIMG("ID_5FB15764F3A245F2B2BA2C2D6FC5DC7A",1)</f>
        <v>#NAME?</v>
      </c>
      <c r="E115" s="47">
        <v>4</v>
      </c>
      <c r="F115" s="47"/>
      <c r="G115" s="17">
        <v>4</v>
      </c>
      <c r="H115" s="3"/>
      <c r="I115" s="6"/>
      <c r="J115" s="6"/>
      <c r="K115" s="6"/>
      <c r="L115" s="6"/>
      <c r="M115" s="6"/>
      <c r="N115" s="4"/>
      <c r="O115" s="6"/>
      <c r="P115" s="6"/>
      <c r="Q115" s="6"/>
      <c r="R115" s="6"/>
      <c r="S115" s="6"/>
    </row>
    <row r="116" spans="1:19" x14ac:dyDescent="0.3">
      <c r="A116" s="2"/>
      <c r="B116" s="44">
        <v>352954</v>
      </c>
      <c r="C116" s="44" t="s">
        <v>140</v>
      </c>
      <c r="D116" s="44" t="e" vm="1">
        <f ca="1">_xlfn.DISPIMG("ID_D714E8586EA046FEBC39CA7D74836C7B",1)</f>
        <v>#NAME?</v>
      </c>
      <c r="E116" s="44">
        <v>1</v>
      </c>
      <c r="F116" s="44"/>
      <c r="G116" s="17">
        <v>1</v>
      </c>
      <c r="H116" s="3"/>
      <c r="I116" s="6"/>
      <c r="J116" s="6"/>
      <c r="K116" s="6"/>
      <c r="L116" s="6"/>
      <c r="M116" s="6"/>
      <c r="N116" s="4"/>
      <c r="O116" s="6"/>
      <c r="P116" s="6"/>
      <c r="Q116" s="6"/>
      <c r="R116" s="6"/>
      <c r="S116" s="6"/>
    </row>
    <row r="117" spans="1:19" x14ac:dyDescent="0.3">
      <c r="A117" s="2"/>
      <c r="B117" s="44">
        <v>352953</v>
      </c>
      <c r="C117" s="44" t="s">
        <v>140</v>
      </c>
      <c r="D117" s="44" t="e" vm="1">
        <f ca="1">_xlfn.DISPIMG("ID_4CADD32E69FA4A7D884291A74A8D8FD4",1)</f>
        <v>#NAME?</v>
      </c>
      <c r="E117" s="44">
        <v>1</v>
      </c>
      <c r="F117" s="44"/>
      <c r="G117" s="17">
        <v>1</v>
      </c>
      <c r="H117" s="3"/>
      <c r="I117" s="6"/>
      <c r="J117" s="6"/>
      <c r="K117" s="6"/>
      <c r="L117" s="6"/>
      <c r="M117" s="6"/>
      <c r="N117" s="4"/>
      <c r="O117" s="6"/>
      <c r="P117" s="6"/>
      <c r="Q117" s="6"/>
      <c r="R117" s="6"/>
      <c r="S117" s="6"/>
    </row>
    <row r="118" spans="1:19" x14ac:dyDescent="0.3">
      <c r="A118" s="2"/>
      <c r="B118" s="44">
        <v>302612</v>
      </c>
      <c r="C118" s="44" t="s">
        <v>141</v>
      </c>
      <c r="D118" s="44" t="e" vm="1">
        <f ca="1">_xlfn.DISPIMG("ID_8D75CB09972A4D698A05BEF383BD82BF",1)</f>
        <v>#NAME?</v>
      </c>
      <c r="E118" s="44">
        <v>1</v>
      </c>
      <c r="F118" s="44"/>
      <c r="G118" s="17">
        <v>1</v>
      </c>
      <c r="H118" s="3"/>
      <c r="I118" s="6"/>
      <c r="J118" s="6"/>
      <c r="K118" s="6"/>
      <c r="L118" s="6"/>
      <c r="M118" s="6"/>
      <c r="N118" s="4"/>
      <c r="O118" s="6"/>
      <c r="P118" s="6"/>
      <c r="Q118" s="6"/>
      <c r="R118" s="6"/>
      <c r="S118" s="6"/>
    </row>
    <row r="119" spans="1:19" x14ac:dyDescent="0.3">
      <c r="A119" s="2"/>
      <c r="B119" s="44">
        <v>162817</v>
      </c>
      <c r="C119" s="44" t="s">
        <v>142</v>
      </c>
      <c r="D119" s="44" t="e" vm="1">
        <f ca="1">_xlfn.DISPIMG("ID_2037230929FE4BD481B828835848E7D4",1)</f>
        <v>#NAME?</v>
      </c>
      <c r="E119" s="44">
        <v>2</v>
      </c>
      <c r="F119" s="44"/>
      <c r="G119" s="17">
        <v>2</v>
      </c>
      <c r="H119" s="3"/>
      <c r="I119" s="6"/>
      <c r="J119" s="6"/>
      <c r="K119" s="6"/>
      <c r="L119" s="6"/>
      <c r="M119" s="6"/>
      <c r="N119" s="4"/>
      <c r="O119" s="6"/>
      <c r="P119" s="6"/>
      <c r="Q119" s="6"/>
      <c r="R119" s="6"/>
      <c r="S119" s="6"/>
    </row>
    <row r="120" spans="1:19" x14ac:dyDescent="0.3">
      <c r="A120" s="2"/>
      <c r="B120" s="44">
        <v>468727</v>
      </c>
      <c r="C120" s="44" t="s">
        <v>143</v>
      </c>
      <c r="D120" s="44" t="e" vm="1">
        <f ca="1">_xlfn.DISPIMG("ID_01C1806A74264240B15CC5D2A4C97681",1)</f>
        <v>#NAME?</v>
      </c>
      <c r="E120" s="44">
        <v>3</v>
      </c>
      <c r="F120" s="44"/>
      <c r="G120" s="17">
        <v>3</v>
      </c>
      <c r="H120" s="3"/>
      <c r="I120" s="6"/>
      <c r="J120" s="6"/>
      <c r="K120" s="6"/>
      <c r="L120" s="6"/>
      <c r="M120" s="6"/>
      <c r="N120" s="4"/>
      <c r="O120" s="6"/>
      <c r="P120" s="6"/>
      <c r="Q120" s="6"/>
      <c r="R120" s="6"/>
      <c r="S120" s="6"/>
    </row>
    <row r="121" spans="1:19" x14ac:dyDescent="0.3">
      <c r="A121" s="2"/>
      <c r="B121" s="47">
        <v>225040</v>
      </c>
      <c r="C121" s="47" t="s">
        <v>144</v>
      </c>
      <c r="D121" s="47" t="e" vm="1">
        <f ca="1">_xlfn.DISPIMG("ID_18FD5E6705E64FB1917F14E7F4E0739C",1)</f>
        <v>#NAME?</v>
      </c>
      <c r="E121" s="47">
        <v>20</v>
      </c>
      <c r="F121" s="47"/>
      <c r="G121" s="17">
        <v>20</v>
      </c>
      <c r="H121" s="3"/>
      <c r="I121" s="6"/>
      <c r="J121" s="6"/>
      <c r="K121" s="6"/>
      <c r="L121" s="6"/>
      <c r="M121" s="6"/>
      <c r="N121" s="4"/>
      <c r="O121" s="6"/>
      <c r="P121" s="6"/>
      <c r="Q121" s="6"/>
      <c r="R121" s="6"/>
      <c r="S121" s="6"/>
    </row>
    <row r="122" spans="1:19" x14ac:dyDescent="0.3">
      <c r="A122" s="2"/>
      <c r="B122" s="47">
        <v>107725</v>
      </c>
      <c r="C122" s="47" t="s">
        <v>145</v>
      </c>
      <c r="D122" s="47" t="e" vm="1">
        <f ca="1">_xlfn.DISPIMG("ID_872DE02A47BF425190EFDBBAD28093D2",1)</f>
        <v>#NAME?</v>
      </c>
      <c r="E122" s="47">
        <v>7</v>
      </c>
      <c r="F122" s="47"/>
      <c r="G122" s="17">
        <v>7</v>
      </c>
      <c r="H122" s="3"/>
      <c r="I122" s="6"/>
      <c r="J122" s="6"/>
      <c r="K122" s="6"/>
      <c r="L122" s="6"/>
      <c r="M122" s="6"/>
      <c r="N122" s="4"/>
      <c r="O122" s="6"/>
      <c r="P122" s="6"/>
      <c r="Q122" s="6"/>
      <c r="R122" s="6"/>
      <c r="S122" s="6"/>
    </row>
    <row r="123" spans="1:19" x14ac:dyDescent="0.3">
      <c r="A123" s="2"/>
      <c r="B123" s="44">
        <v>301384</v>
      </c>
      <c r="C123" s="44" t="s">
        <v>146</v>
      </c>
      <c r="D123" s="44" t="e" vm="1">
        <f ca="1">_xlfn.DISPIMG("ID_F9B2EBF828C24B28ACF7E57002BF768E",1)</f>
        <v>#NAME?</v>
      </c>
      <c r="E123" s="44">
        <v>2</v>
      </c>
      <c r="F123" s="44"/>
      <c r="G123" s="17">
        <v>2</v>
      </c>
      <c r="H123" s="3"/>
      <c r="I123" s="6"/>
      <c r="J123" s="6"/>
      <c r="K123" s="6"/>
      <c r="L123" s="6"/>
      <c r="M123" s="6"/>
      <c r="N123" s="4"/>
      <c r="O123" s="6"/>
      <c r="P123" s="6"/>
      <c r="Q123" s="6"/>
      <c r="R123" s="6"/>
      <c r="S123" s="6"/>
    </row>
    <row r="124" spans="1:19" x14ac:dyDescent="0.3">
      <c r="A124" s="2"/>
      <c r="B124" s="44">
        <v>323220</v>
      </c>
      <c r="C124" s="44" t="s">
        <v>146</v>
      </c>
      <c r="D124" s="44" t="e" vm="1">
        <f ca="1">_xlfn.DISPIMG("ID_B165A147F49C41D5A1A4E5E3112B783C",1)</f>
        <v>#NAME?</v>
      </c>
      <c r="E124" s="44">
        <v>2</v>
      </c>
      <c r="F124" s="44"/>
      <c r="G124" s="17">
        <v>2</v>
      </c>
      <c r="H124" s="3"/>
      <c r="I124" s="6"/>
      <c r="J124" s="6"/>
      <c r="K124" s="6"/>
      <c r="L124" s="6"/>
      <c r="M124" s="6"/>
      <c r="N124" s="4"/>
      <c r="O124" s="6"/>
      <c r="P124" s="6"/>
      <c r="Q124" s="6"/>
      <c r="R124" s="6"/>
      <c r="S124" s="6"/>
    </row>
    <row r="125" spans="1:19" x14ac:dyDescent="0.3">
      <c r="A125" s="2"/>
      <c r="B125" s="44">
        <v>1102429</v>
      </c>
      <c r="C125" s="44" t="s">
        <v>320</v>
      </c>
      <c r="D125" s="44" t="e" vm="1">
        <f ca="1">_xlfn.DISPIMG("ID_5684F16DCCFB47878E1119E900F14C9D",1)</f>
        <v>#NAME?</v>
      </c>
      <c r="E125" s="44">
        <v>1</v>
      </c>
      <c r="F125" s="44"/>
      <c r="G125" s="17">
        <v>1</v>
      </c>
      <c r="H125" s="3"/>
      <c r="I125" s="6"/>
      <c r="J125" s="6"/>
      <c r="K125" s="6"/>
      <c r="L125" s="6"/>
      <c r="M125" s="6"/>
      <c r="N125" s="4"/>
      <c r="O125" s="6"/>
      <c r="P125" s="6"/>
      <c r="Q125" s="6"/>
      <c r="R125" s="6"/>
      <c r="S125" s="6"/>
    </row>
    <row r="126" spans="1:19" x14ac:dyDescent="0.3">
      <c r="A126" s="2"/>
      <c r="B126" s="47">
        <v>1101290</v>
      </c>
      <c r="C126" s="47" t="s">
        <v>341</v>
      </c>
      <c r="D126" s="47" t="e" vm="1">
        <f ca="1">_xlfn.DISPIMG("ID_25AC778D086B47ED99C27B47D40912E9",1)</f>
        <v>#NAME?</v>
      </c>
      <c r="E126" s="47"/>
      <c r="F126" s="47"/>
      <c r="G126" s="17"/>
      <c r="H126" s="3"/>
      <c r="I126" s="6"/>
      <c r="J126" s="6"/>
      <c r="K126" s="6"/>
      <c r="L126" s="6"/>
      <c r="M126" s="6"/>
      <c r="N126" s="4"/>
      <c r="O126" s="6"/>
      <c r="P126" s="6"/>
      <c r="Q126" s="6"/>
      <c r="R126" s="6"/>
      <c r="S126" s="6"/>
    </row>
    <row r="127" spans="1:19" x14ac:dyDescent="0.3">
      <c r="A127" s="2"/>
      <c r="B127" s="47">
        <v>282904</v>
      </c>
      <c r="C127" s="47" t="s">
        <v>321</v>
      </c>
      <c r="D127" s="47" t="e" vm="1">
        <f ca="1">_xlfn.DISPIMG("ID_7BA2F5F72C3C44D1847D12C3DA12096A",1)</f>
        <v>#NAME?</v>
      </c>
      <c r="E127" s="47"/>
      <c r="F127" s="47"/>
      <c r="G127" s="17"/>
      <c r="H127" s="3"/>
      <c r="I127" s="6"/>
      <c r="J127" s="6"/>
      <c r="K127" s="6"/>
      <c r="L127" s="6"/>
      <c r="M127" s="6"/>
      <c r="N127" s="4"/>
      <c r="O127" s="6"/>
      <c r="P127" s="6"/>
      <c r="Q127" s="6"/>
      <c r="R127" s="6"/>
      <c r="S127" s="6"/>
    </row>
    <row r="128" spans="1:19" x14ac:dyDescent="0.3">
      <c r="A128" s="2"/>
      <c r="B128" s="44">
        <v>103143</v>
      </c>
      <c r="C128" s="44" t="s">
        <v>309</v>
      </c>
      <c r="D128" s="44" t="e" vm="1">
        <f ca="1">_xlfn.DISPIMG("ID_AC848A22DC9A45D294D9908BBCA4B32E",1)</f>
        <v>#NAME?</v>
      </c>
      <c r="E128" s="44">
        <v>6</v>
      </c>
      <c r="F128" s="44"/>
      <c r="G128" s="17">
        <v>6</v>
      </c>
      <c r="H128" s="3"/>
      <c r="I128" s="6"/>
      <c r="J128" s="6"/>
      <c r="K128" s="6"/>
      <c r="L128" s="6"/>
      <c r="M128" s="6"/>
      <c r="N128" s="4"/>
      <c r="O128" s="6"/>
      <c r="P128" s="6"/>
      <c r="Q128" s="6"/>
      <c r="R128" s="6"/>
      <c r="S128" s="6"/>
    </row>
    <row r="129" spans="1:19" x14ac:dyDescent="0.3">
      <c r="A129" s="2"/>
      <c r="B129" s="44">
        <v>1227733</v>
      </c>
      <c r="C129" s="44" t="s">
        <v>147</v>
      </c>
      <c r="D129" s="44" t="e" vm="1">
        <f ca="1">_xlfn.DISPIMG("ID_734DA4FE70514B24A091943244D4CFA7",1)</f>
        <v>#NAME?</v>
      </c>
      <c r="E129" s="44">
        <v>1</v>
      </c>
      <c r="F129" s="44"/>
      <c r="G129" s="17">
        <v>1</v>
      </c>
      <c r="H129" s="3"/>
      <c r="I129" s="6"/>
      <c r="J129" s="6"/>
      <c r="K129" s="6"/>
      <c r="L129" s="6"/>
      <c r="M129" s="6"/>
      <c r="N129" s="4"/>
      <c r="O129" s="6"/>
      <c r="P129" s="6"/>
      <c r="Q129" s="6"/>
      <c r="R129" s="6"/>
      <c r="S129" s="6"/>
    </row>
    <row r="130" spans="1:19" x14ac:dyDescent="0.3">
      <c r="A130" s="2"/>
      <c r="B130" s="47">
        <v>100606</v>
      </c>
      <c r="C130" s="47" t="s">
        <v>148</v>
      </c>
      <c r="D130" s="47" t="e" vm="1">
        <f ca="1">_xlfn.DISPIMG("ID_C5BE9AF98ADC4E438214DE0474F5F3EB",1)</f>
        <v>#NAME?</v>
      </c>
      <c r="E130" s="47">
        <v>11</v>
      </c>
      <c r="F130" s="47"/>
      <c r="G130" s="17">
        <v>11</v>
      </c>
      <c r="H130" s="3"/>
      <c r="I130" s="6"/>
      <c r="J130" s="6"/>
      <c r="K130" s="6"/>
      <c r="L130" s="6"/>
      <c r="M130" s="6"/>
      <c r="N130" s="4"/>
      <c r="O130" s="6"/>
      <c r="P130" s="6"/>
      <c r="Q130" s="6"/>
      <c r="R130" s="6"/>
      <c r="S130" s="6"/>
    </row>
    <row r="131" spans="1:19" x14ac:dyDescent="0.3">
      <c r="A131" s="2"/>
      <c r="B131" s="47">
        <v>456737</v>
      </c>
      <c r="C131" s="47" t="s">
        <v>149</v>
      </c>
      <c r="D131" s="47" t="e" vm="1">
        <f ca="1">_xlfn.DISPIMG("ID_BDE2F0D3DDCB47AD861477ED8490C636",1)</f>
        <v>#NAME?</v>
      </c>
      <c r="E131" s="47">
        <v>60</v>
      </c>
      <c r="F131" s="47"/>
      <c r="G131" s="17">
        <v>60</v>
      </c>
      <c r="H131" s="3"/>
      <c r="I131" s="6"/>
      <c r="J131" s="6"/>
      <c r="K131" s="6"/>
      <c r="L131" s="6"/>
      <c r="M131" s="6"/>
      <c r="N131" s="4"/>
      <c r="O131" s="6"/>
      <c r="P131" s="6"/>
      <c r="Q131" s="6"/>
      <c r="R131" s="6"/>
      <c r="S131" s="6"/>
    </row>
    <row r="132" spans="1:19" x14ac:dyDescent="0.3">
      <c r="A132" s="2"/>
      <c r="B132" s="47">
        <v>376511</v>
      </c>
      <c r="C132" s="47" t="s">
        <v>338</v>
      </c>
      <c r="D132" s="47" t="e" vm="1">
        <f ca="1">_xlfn.DISPIMG("ID_FA9C2FCDF46049B599B9BDD176D6B24E",1)</f>
        <v>#NAME?</v>
      </c>
      <c r="E132" s="47">
        <v>16</v>
      </c>
      <c r="F132" s="47"/>
      <c r="G132" s="17">
        <v>16</v>
      </c>
      <c r="H132" s="50"/>
      <c r="I132" s="6"/>
      <c r="J132" s="6"/>
      <c r="K132" s="6"/>
      <c r="L132" s="6"/>
      <c r="M132" s="6"/>
      <c r="N132" s="4"/>
      <c r="O132" s="6"/>
      <c r="P132" s="6"/>
      <c r="Q132" s="6"/>
      <c r="R132" s="6"/>
      <c r="S132" s="6"/>
    </row>
    <row r="133" spans="1:19" x14ac:dyDescent="0.3">
      <c r="A133" s="2"/>
      <c r="B133" s="47">
        <v>236907</v>
      </c>
      <c r="C133" s="47" t="s">
        <v>312</v>
      </c>
      <c r="D133" s="47" t="e" vm="1">
        <f ca="1">_xlfn.DISPIMG("ID_60DE88D1085E4F27980186EFE62FAFD3",1)</f>
        <v>#NAME?</v>
      </c>
      <c r="E133" s="47">
        <v>2</v>
      </c>
      <c r="F133" s="47"/>
      <c r="G133" s="17">
        <v>2</v>
      </c>
      <c r="H133" s="3"/>
      <c r="I133" s="6"/>
      <c r="J133" s="6"/>
      <c r="K133" s="6"/>
      <c r="L133" s="6"/>
      <c r="M133" s="6"/>
      <c r="N133" s="4"/>
      <c r="O133" s="6"/>
      <c r="P133" s="6"/>
      <c r="Q133" s="6"/>
      <c r="R133" s="6"/>
      <c r="S133" s="6"/>
    </row>
    <row r="134" spans="1:19" x14ac:dyDescent="0.3">
      <c r="A134" s="2"/>
      <c r="B134" s="44">
        <v>513686</v>
      </c>
      <c r="C134" s="44" t="s">
        <v>150</v>
      </c>
      <c r="D134" s="44" t="e" vm="1">
        <f ca="1">_xlfn.DISPIMG("ID_F34FEA808303421D97199CE2D0D69119",1)</f>
        <v>#NAME?</v>
      </c>
      <c r="E134" s="44">
        <v>2</v>
      </c>
      <c r="F134" s="44"/>
      <c r="G134" s="17">
        <v>2</v>
      </c>
      <c r="H134" s="3"/>
      <c r="I134" s="6"/>
      <c r="J134" s="6"/>
      <c r="K134" s="6"/>
      <c r="L134" s="6"/>
      <c r="M134" s="6"/>
      <c r="N134" s="4"/>
      <c r="O134" s="6"/>
      <c r="P134" s="6"/>
      <c r="Q134" s="6"/>
      <c r="R134" s="6"/>
      <c r="S134" s="6"/>
    </row>
    <row r="135" spans="1:19" x14ac:dyDescent="0.3">
      <c r="A135" s="2"/>
      <c r="B135" s="47">
        <v>513685</v>
      </c>
      <c r="C135" s="47" t="s">
        <v>150</v>
      </c>
      <c r="D135" s="47" t="e" vm="1">
        <f ca="1">_xlfn.DISPIMG("ID_5394CAB01685481086B63F6696114458",1)</f>
        <v>#NAME?</v>
      </c>
      <c r="E135" s="47">
        <v>6</v>
      </c>
      <c r="F135" s="47"/>
      <c r="G135" s="17">
        <v>6</v>
      </c>
      <c r="H135" s="3"/>
      <c r="I135" s="6"/>
      <c r="J135" s="6"/>
      <c r="K135" s="6"/>
      <c r="L135" s="6"/>
      <c r="M135" s="6"/>
      <c r="N135" s="4"/>
      <c r="O135" s="6"/>
      <c r="P135" s="6"/>
      <c r="Q135" s="6"/>
      <c r="R135" s="6"/>
      <c r="S135" s="6"/>
    </row>
    <row r="136" spans="1:19" x14ac:dyDescent="0.3">
      <c r="A136" s="2"/>
      <c r="B136" s="44"/>
      <c r="C136" s="44" t="s">
        <v>318</v>
      </c>
      <c r="D136" s="44" t="e" vm="1">
        <f ca="1">_xlfn.DISPIMG("ID_75CDE170926048FB9F41314FDE2775DD",1)</f>
        <v>#NAME?</v>
      </c>
      <c r="E136" s="44">
        <v>3</v>
      </c>
      <c r="F136" s="44"/>
      <c r="G136" s="17">
        <v>3</v>
      </c>
      <c r="H136" s="3"/>
      <c r="I136" s="6"/>
      <c r="J136" s="6"/>
      <c r="K136" s="6"/>
      <c r="L136" s="6"/>
      <c r="M136" s="6"/>
      <c r="N136" s="4"/>
      <c r="O136" s="6"/>
      <c r="P136" s="6"/>
      <c r="Q136" s="6"/>
      <c r="R136" s="6"/>
      <c r="S136" s="6"/>
    </row>
    <row r="137" spans="1:19" x14ac:dyDescent="0.3">
      <c r="A137" s="2"/>
      <c r="B137" s="47"/>
      <c r="C137" s="44" t="s">
        <v>151</v>
      </c>
      <c r="D137" s="47" t="e" vm="1">
        <f ca="1">_xlfn.DISPIMG("ID_53656029E2C44EC5AFAAC65753610E32",1)</f>
        <v>#NAME?</v>
      </c>
      <c r="E137" s="47">
        <v>2</v>
      </c>
      <c r="F137" s="47"/>
      <c r="G137" s="17">
        <v>2</v>
      </c>
      <c r="H137" s="3"/>
      <c r="I137" s="6"/>
      <c r="J137" s="6"/>
      <c r="K137" s="6"/>
      <c r="L137" s="6"/>
      <c r="M137" s="6"/>
      <c r="N137" s="4"/>
      <c r="O137" s="6"/>
      <c r="P137" s="6"/>
      <c r="Q137" s="6"/>
      <c r="R137" s="6"/>
      <c r="S137" s="6"/>
    </row>
    <row r="138" spans="1:19" x14ac:dyDescent="0.3">
      <c r="A138" s="2"/>
      <c r="B138" s="44">
        <v>8404213</v>
      </c>
      <c r="C138" s="44" t="s">
        <v>152</v>
      </c>
      <c r="D138" s="44" t="e" vm="1">
        <f ca="1">_xlfn.DISPIMG("ID_2454EB684D0748938AE3DA5595420377",1)</f>
        <v>#NAME?</v>
      </c>
      <c r="E138" s="44">
        <v>1</v>
      </c>
      <c r="F138" s="44"/>
      <c r="G138" s="17">
        <v>1</v>
      </c>
      <c r="H138" s="3"/>
      <c r="I138" s="6"/>
      <c r="J138" s="6"/>
      <c r="K138" s="6"/>
      <c r="L138" s="6"/>
      <c r="M138" s="6"/>
      <c r="N138" s="4"/>
      <c r="O138" s="6"/>
      <c r="P138" s="6"/>
      <c r="Q138" s="6"/>
      <c r="R138" s="6"/>
      <c r="S138" s="6"/>
    </row>
    <row r="139" spans="1:19" x14ac:dyDescent="0.3">
      <c r="A139" s="2"/>
      <c r="B139" s="47">
        <v>1204119</v>
      </c>
      <c r="C139" s="47" t="s">
        <v>153</v>
      </c>
      <c r="D139" s="47" t="e" vm="1">
        <f ca="1">_xlfn.DISPIMG("ID_2D13C078147A4408907089FC30E281B1",1)</f>
        <v>#NAME?</v>
      </c>
      <c r="E139" s="47">
        <v>1</v>
      </c>
      <c r="F139" s="47"/>
      <c r="G139" s="17">
        <v>1</v>
      </c>
      <c r="H139" s="3"/>
      <c r="I139" s="6"/>
      <c r="J139" s="6"/>
      <c r="K139" s="6"/>
      <c r="L139" s="6"/>
      <c r="M139" s="6"/>
      <c r="N139" s="4"/>
      <c r="O139" s="6"/>
      <c r="P139" s="6"/>
      <c r="Q139" s="6"/>
      <c r="R139" s="6"/>
      <c r="S139" s="6"/>
    </row>
    <row r="140" spans="1:19" x14ac:dyDescent="0.3">
      <c r="A140" s="2"/>
      <c r="B140" s="44">
        <v>351228</v>
      </c>
      <c r="C140" s="44" t="s">
        <v>154</v>
      </c>
      <c r="D140" s="44" t="e" vm="1">
        <f ca="1">_xlfn.DISPIMG("ID_337D41B0C92F48A8B95EF44AAD37FF63",1)</f>
        <v>#NAME?</v>
      </c>
      <c r="E140" s="44">
        <v>1</v>
      </c>
      <c r="F140" s="44"/>
      <c r="G140" s="17">
        <v>1</v>
      </c>
      <c r="H140" s="3"/>
      <c r="I140" s="6"/>
      <c r="J140" s="6"/>
      <c r="K140" s="6"/>
      <c r="L140" s="6"/>
      <c r="M140" s="6"/>
      <c r="N140" s="4"/>
      <c r="O140" s="6"/>
      <c r="P140" s="6"/>
      <c r="Q140" s="6"/>
      <c r="R140" s="6"/>
      <c r="S140" s="6"/>
    </row>
    <row r="141" spans="1:19" x14ac:dyDescent="0.3">
      <c r="A141" s="2"/>
      <c r="B141" s="47">
        <v>659643</v>
      </c>
      <c r="C141" s="44" t="s">
        <v>155</v>
      </c>
      <c r="D141" s="47" t="e" vm="1">
        <f ca="1">_xlfn.DISPIMG("ID_2C590C6932D24E4D974565905DCC22A3",1)</f>
        <v>#NAME?</v>
      </c>
      <c r="E141" s="47">
        <v>1</v>
      </c>
      <c r="F141" s="47"/>
      <c r="G141" s="17">
        <v>1</v>
      </c>
      <c r="H141" s="3"/>
      <c r="I141" s="6"/>
      <c r="J141" s="6"/>
      <c r="K141" s="6"/>
      <c r="L141" s="6"/>
      <c r="M141" s="6"/>
      <c r="N141" s="4"/>
      <c r="O141" s="6"/>
      <c r="P141" s="6"/>
      <c r="Q141" s="6"/>
      <c r="R141" s="6"/>
      <c r="S141" s="6"/>
    </row>
    <row r="142" spans="1:19" x14ac:dyDescent="0.3">
      <c r="A142" s="2"/>
      <c r="B142" s="44">
        <v>190308</v>
      </c>
      <c r="C142" s="44" t="s">
        <v>156</v>
      </c>
      <c r="D142" s="44" t="e" vm="1">
        <f ca="1">_xlfn.DISPIMG("ID_06270B95D9464817992C6A396C138924",1)</f>
        <v>#NAME?</v>
      </c>
      <c r="E142" s="44">
        <v>1</v>
      </c>
      <c r="F142" s="44"/>
      <c r="G142" s="17">
        <v>1</v>
      </c>
      <c r="H142" s="3"/>
      <c r="I142" s="6"/>
      <c r="J142" s="6"/>
      <c r="K142" s="6"/>
      <c r="L142" s="6"/>
      <c r="M142" s="6"/>
      <c r="N142" s="4"/>
      <c r="O142" s="6"/>
      <c r="P142" s="6"/>
      <c r="Q142" s="6"/>
      <c r="R142" s="6"/>
      <c r="S142" s="6"/>
    </row>
    <row r="143" spans="1:19" x14ac:dyDescent="0.3">
      <c r="A143" s="2"/>
      <c r="B143" s="44" t="s">
        <v>23</v>
      </c>
      <c r="C143" s="44" t="s">
        <v>15</v>
      </c>
      <c r="D143" s="44"/>
      <c r="E143" s="44">
        <v>2</v>
      </c>
      <c r="F143" s="44">
        <v>2</v>
      </c>
      <c r="G143" s="17">
        <v>0</v>
      </c>
      <c r="H143" s="3"/>
      <c r="I143" s="6"/>
      <c r="J143" s="6"/>
      <c r="K143" s="6"/>
      <c r="L143" s="6"/>
      <c r="M143" s="6"/>
      <c r="N143" s="4"/>
      <c r="O143" s="6"/>
      <c r="P143" s="6"/>
      <c r="Q143" s="6"/>
      <c r="R143" s="6"/>
      <c r="S143" s="6"/>
    </row>
    <row r="144" spans="1:19" x14ac:dyDescent="0.3">
      <c r="A144" s="2"/>
      <c r="B144" s="44" t="s">
        <v>157</v>
      </c>
      <c r="C144" s="44" t="s">
        <v>158</v>
      </c>
      <c r="D144" s="44" t="e" vm="1">
        <f ca="1">_xlfn.DISPIMG("ID_9B6FF453535A4F6C8C2D1D19EF81AB5E",1)</f>
        <v>#NAME?</v>
      </c>
      <c r="E144" s="44">
        <v>30</v>
      </c>
      <c r="F144" s="44">
        <v>1</v>
      </c>
      <c r="G144" s="17">
        <v>29</v>
      </c>
      <c r="H144" s="3"/>
      <c r="I144" s="6"/>
      <c r="J144" s="6"/>
      <c r="K144" s="6"/>
      <c r="L144" s="6"/>
      <c r="M144" s="6"/>
      <c r="N144" s="4"/>
      <c r="O144" s="6"/>
      <c r="P144" s="6"/>
      <c r="Q144" s="6"/>
      <c r="R144" s="6"/>
      <c r="S144" s="6"/>
    </row>
    <row r="145" spans="1:19" x14ac:dyDescent="0.3">
      <c r="A145" s="2"/>
      <c r="B145" s="44" t="s">
        <v>159</v>
      </c>
      <c r="C145" s="44" t="s">
        <v>160</v>
      </c>
      <c r="D145" s="44" t="e" vm="1">
        <f ca="1">_xlfn.DISPIMG("ID_5AB1E4C7044A4F4B8F872FBF792E8EBC",1)</f>
        <v>#NAME?</v>
      </c>
      <c r="E145" s="44">
        <v>32</v>
      </c>
      <c r="F145" s="44"/>
      <c r="G145" s="17">
        <v>32</v>
      </c>
      <c r="H145" s="3"/>
      <c r="I145" s="6"/>
      <c r="J145" s="6"/>
      <c r="K145" s="6"/>
      <c r="L145" s="6"/>
      <c r="M145" s="6"/>
      <c r="N145" s="4"/>
      <c r="O145" s="6"/>
      <c r="P145" s="6"/>
      <c r="Q145" s="6"/>
      <c r="R145" s="6"/>
      <c r="S145" s="6"/>
    </row>
    <row r="146" spans="1:19" x14ac:dyDescent="0.3">
      <c r="A146" s="2"/>
      <c r="B146" s="44" t="s">
        <v>161</v>
      </c>
      <c r="C146" s="44" t="s">
        <v>162</v>
      </c>
      <c r="D146" s="44" t="e" vm="1">
        <f ca="1">_xlfn.DISPIMG("ID_A937B69BC0BA4A7699D278FAC3D0DF81",1)</f>
        <v>#NAME?</v>
      </c>
      <c r="E146" s="44">
        <v>57</v>
      </c>
      <c r="F146" s="44"/>
      <c r="G146" s="17">
        <v>57</v>
      </c>
      <c r="H146" s="3"/>
      <c r="I146" s="6"/>
      <c r="J146" s="6"/>
      <c r="K146" s="6"/>
      <c r="L146" s="6"/>
      <c r="M146" s="6"/>
      <c r="N146" s="4"/>
      <c r="O146" s="6"/>
      <c r="P146" s="6"/>
      <c r="Q146" s="6"/>
      <c r="R146" s="6"/>
      <c r="S146" s="6"/>
    </row>
    <row r="147" spans="1:19" x14ac:dyDescent="0.3">
      <c r="A147" s="2"/>
      <c r="B147" s="44" t="s">
        <v>163</v>
      </c>
      <c r="C147" s="44" t="s">
        <v>164</v>
      </c>
      <c r="D147" s="44" t="e" vm="1">
        <f ca="1">_xlfn.DISPIMG("ID_D4E18522FD4E4D02B3CDA29F5654FA10",1)</f>
        <v>#NAME?</v>
      </c>
      <c r="E147" s="44">
        <v>1</v>
      </c>
      <c r="F147" s="44"/>
      <c r="G147" s="17">
        <v>1</v>
      </c>
      <c r="H147" s="3"/>
      <c r="I147" s="6"/>
      <c r="J147" s="6"/>
      <c r="K147" s="6"/>
      <c r="L147" s="6"/>
      <c r="M147" s="6"/>
      <c r="N147" s="4"/>
      <c r="O147" s="6"/>
      <c r="P147" s="6"/>
      <c r="Q147" s="6"/>
      <c r="R147" s="6"/>
      <c r="S147" s="6"/>
    </row>
    <row r="148" spans="1:19" x14ac:dyDescent="0.3">
      <c r="A148" s="2"/>
      <c r="B148" s="44">
        <v>1002510</v>
      </c>
      <c r="C148" s="44" t="s">
        <v>342</v>
      </c>
      <c r="D148" s="44" t="e" vm="1">
        <f ca="1">_xlfn.DISPIMG("ID_421AB9897E634AC697A69A500324739D",1)</f>
        <v>#NAME?</v>
      </c>
      <c r="E148" s="44">
        <v>4</v>
      </c>
      <c r="F148" s="44"/>
      <c r="G148" s="17">
        <v>4</v>
      </c>
      <c r="H148" s="3"/>
      <c r="I148" s="6"/>
      <c r="J148" s="6"/>
      <c r="K148" s="6"/>
      <c r="L148" s="6"/>
      <c r="M148" s="6"/>
      <c r="N148" s="4"/>
      <c r="O148" s="6"/>
      <c r="P148" s="6"/>
      <c r="Q148" s="6"/>
      <c r="R148" s="6"/>
      <c r="S148" s="6"/>
    </row>
    <row r="149" spans="1:19" x14ac:dyDescent="0.3">
      <c r="A149" s="2"/>
      <c r="B149" s="44"/>
      <c r="C149" s="44" t="s">
        <v>165</v>
      </c>
      <c r="D149" s="44" t="e" vm="1">
        <f ca="1">_xlfn.DISPIMG("ID_459D5898F9924B9EB61DB6FB471DC1DF",1)</f>
        <v>#NAME?</v>
      </c>
      <c r="E149" s="44">
        <v>1</v>
      </c>
      <c r="F149" s="44"/>
      <c r="G149" s="17">
        <v>1</v>
      </c>
      <c r="H149" s="3"/>
      <c r="I149" s="6"/>
      <c r="J149" s="6"/>
      <c r="K149" s="6"/>
      <c r="L149" s="6"/>
      <c r="M149" s="6"/>
      <c r="N149" s="4"/>
      <c r="O149" s="6"/>
      <c r="P149" s="6"/>
      <c r="Q149" s="6"/>
      <c r="R149" s="6"/>
      <c r="S149" s="6"/>
    </row>
    <row r="150" spans="1:19" x14ac:dyDescent="0.3">
      <c r="A150" s="2"/>
      <c r="B150" s="47" t="s">
        <v>166</v>
      </c>
      <c r="C150" s="47" t="s">
        <v>167</v>
      </c>
      <c r="D150" s="47" t="e" vm="1">
        <f ca="1">_xlfn.DISPIMG("ID_723AF979ABBA416F81559C5C6A0AF984",1)</f>
        <v>#NAME?</v>
      </c>
      <c r="E150" s="47">
        <v>80</v>
      </c>
      <c r="F150" s="47"/>
      <c r="G150" s="17">
        <v>80</v>
      </c>
      <c r="H150" s="3"/>
      <c r="I150" s="6"/>
      <c r="J150" s="6"/>
      <c r="K150" s="6"/>
      <c r="L150" s="6"/>
      <c r="M150" s="6"/>
      <c r="N150" s="4"/>
      <c r="O150" s="6"/>
      <c r="P150" s="6"/>
      <c r="Q150" s="6"/>
      <c r="R150" s="6"/>
      <c r="S150" s="6"/>
    </row>
    <row r="151" spans="1:19" x14ac:dyDescent="0.3">
      <c r="A151" s="2"/>
      <c r="B151" s="44"/>
      <c r="C151" s="44" t="s">
        <v>298</v>
      </c>
      <c r="D151" s="44" t="e" vm="1">
        <f ca="1">_xlfn.DISPIMG("ID_CD6D612E4A384107BEB73F8D2C122688",1)</f>
        <v>#NAME?</v>
      </c>
      <c r="E151" s="44">
        <v>15</v>
      </c>
      <c r="F151" s="44"/>
      <c r="G151" s="17">
        <v>15</v>
      </c>
      <c r="H151" s="3"/>
      <c r="I151" s="6"/>
      <c r="J151" s="6"/>
      <c r="K151" s="6"/>
      <c r="L151" s="6"/>
      <c r="M151" s="6"/>
      <c r="N151" s="4"/>
      <c r="O151" s="6"/>
      <c r="P151" s="6"/>
      <c r="Q151" s="6"/>
      <c r="R151" s="6"/>
      <c r="S151" s="6"/>
    </row>
    <row r="152" spans="1:19" x14ac:dyDescent="0.3">
      <c r="A152" s="2"/>
      <c r="B152" s="44" t="s">
        <v>170</v>
      </c>
      <c r="C152" s="44" t="s">
        <v>171</v>
      </c>
      <c r="D152" s="51" t="e" vm="1">
        <f ca="1">_xlfn.DISPIMG("ID_200FD247D4124E08927D843322CD889E",1)</f>
        <v>#NAME?</v>
      </c>
      <c r="E152" s="44">
        <v>16</v>
      </c>
      <c r="F152" s="44">
        <v>7</v>
      </c>
      <c r="G152" s="17">
        <v>9</v>
      </c>
      <c r="H152" s="3"/>
      <c r="I152" s="6"/>
      <c r="J152" s="6"/>
      <c r="K152" s="6"/>
      <c r="L152" s="6"/>
      <c r="M152" s="6"/>
      <c r="N152" s="4"/>
      <c r="O152" s="6"/>
      <c r="P152" s="6"/>
      <c r="Q152" s="6"/>
      <c r="R152" s="6"/>
      <c r="S152" s="6"/>
    </row>
    <row r="153" spans="1:19" x14ac:dyDescent="0.3">
      <c r="A153" s="2"/>
      <c r="B153" s="44" t="s">
        <v>172</v>
      </c>
      <c r="C153" s="44" t="s">
        <v>351</v>
      </c>
      <c r="D153" s="44" t="e" vm="1">
        <f ca="1">_xlfn.DISPIMG("ID_47B0D91FAEB448AD817C77E02B851032",1)</f>
        <v>#NAME?</v>
      </c>
      <c r="E153" s="44">
        <v>16</v>
      </c>
      <c r="F153" s="44"/>
      <c r="G153" s="17">
        <v>16</v>
      </c>
      <c r="H153" s="3"/>
      <c r="I153" s="6"/>
      <c r="J153" s="6"/>
      <c r="K153" s="6"/>
      <c r="L153" s="6"/>
      <c r="M153" s="6"/>
      <c r="N153" s="4"/>
      <c r="O153" s="6"/>
      <c r="P153" s="6"/>
      <c r="Q153" s="6"/>
      <c r="R153" s="6"/>
      <c r="S153" s="6"/>
    </row>
    <row r="154" spans="1:19" x14ac:dyDescent="0.3">
      <c r="A154" s="2"/>
      <c r="B154" s="44">
        <v>268630</v>
      </c>
      <c r="C154" s="44" t="s">
        <v>173</v>
      </c>
      <c r="D154" s="44" t="e" vm="1">
        <f ca="1">_xlfn.DISPIMG("ID_D51E06D12ECE4589BD1126BF2FFF0561",1)</f>
        <v>#NAME?</v>
      </c>
      <c r="E154" s="44">
        <v>14</v>
      </c>
      <c r="F154" s="44"/>
      <c r="G154" s="17">
        <v>14</v>
      </c>
      <c r="H154" s="3"/>
      <c r="I154" s="6"/>
      <c r="J154" s="6"/>
      <c r="K154" s="6"/>
      <c r="L154" s="6"/>
      <c r="M154" s="6"/>
      <c r="N154" s="4"/>
      <c r="O154" s="6"/>
      <c r="P154" s="6"/>
      <c r="Q154" s="6"/>
      <c r="R154" s="6"/>
      <c r="S154" s="6"/>
    </row>
    <row r="155" spans="1:19" x14ac:dyDescent="0.3">
      <c r="A155" s="2"/>
      <c r="B155" s="44">
        <v>100653</v>
      </c>
      <c r="C155" s="44" t="s">
        <v>174</v>
      </c>
      <c r="D155" s="44" t="e" vm="1">
        <f ca="1">_xlfn.DISPIMG("ID_038D936BA62547499A8185CEE02EC015",1)</f>
        <v>#NAME?</v>
      </c>
      <c r="E155" s="44">
        <v>18</v>
      </c>
      <c r="F155" s="44"/>
      <c r="G155" s="17">
        <v>18</v>
      </c>
      <c r="H155" s="3"/>
      <c r="I155" s="6"/>
      <c r="J155" s="6"/>
      <c r="K155" s="6"/>
      <c r="L155" s="6"/>
      <c r="M155" s="6"/>
      <c r="N155" s="4"/>
      <c r="O155" s="6"/>
      <c r="P155" s="6"/>
      <c r="Q155" s="6"/>
      <c r="R155" s="6"/>
      <c r="S155" s="6"/>
    </row>
    <row r="156" spans="1:19" x14ac:dyDescent="0.3">
      <c r="A156" s="2"/>
      <c r="B156" s="44">
        <v>356298</v>
      </c>
      <c r="C156" s="44" t="s">
        <v>119</v>
      </c>
      <c r="D156" s="44" t="e" vm="1">
        <f ca="1">_xlfn.DISPIMG("ID_D878EAF46B3249D6BC3B08F68F95AF77",1)</f>
        <v>#NAME?</v>
      </c>
      <c r="E156" s="44">
        <v>4</v>
      </c>
      <c r="F156" s="44"/>
      <c r="G156" s="17">
        <v>4</v>
      </c>
      <c r="H156" s="3"/>
      <c r="I156" s="6"/>
      <c r="J156" s="6"/>
      <c r="K156" s="6"/>
      <c r="L156" s="6"/>
      <c r="M156" s="6"/>
      <c r="N156" s="4"/>
      <c r="O156" s="6"/>
      <c r="P156" s="6"/>
      <c r="Q156" s="6"/>
      <c r="R156" s="6"/>
      <c r="S156" s="6"/>
    </row>
    <row r="157" spans="1:19" x14ac:dyDescent="0.3">
      <c r="A157" s="2"/>
      <c r="B157" s="44">
        <v>100834</v>
      </c>
      <c r="C157" s="44" t="s">
        <v>175</v>
      </c>
      <c r="D157" s="44" t="e" vm="1">
        <f ca="1">_xlfn.DISPIMG("ID_AB77CFD89F464FCB800AA9ADA227B5A3",1)</f>
        <v>#NAME?</v>
      </c>
      <c r="E157" s="44">
        <v>2</v>
      </c>
      <c r="F157" s="44"/>
      <c r="G157" s="17">
        <v>2</v>
      </c>
      <c r="H157" s="3"/>
      <c r="I157" s="6"/>
      <c r="J157" s="6"/>
      <c r="K157" s="6"/>
      <c r="L157" s="6"/>
      <c r="M157" s="6"/>
      <c r="N157" s="4"/>
      <c r="O157" s="6"/>
      <c r="P157" s="6"/>
      <c r="Q157" s="6"/>
      <c r="R157" s="6"/>
      <c r="S157" s="6"/>
    </row>
    <row r="158" spans="1:19" x14ac:dyDescent="0.3">
      <c r="A158" s="2"/>
      <c r="B158" s="44">
        <v>100017</v>
      </c>
      <c r="C158" s="44" t="s">
        <v>176</v>
      </c>
      <c r="D158" s="44" t="e" vm="1">
        <f ca="1">_xlfn.DISPIMG("ID_04092D4B45674962AFD2FEBFC57E84C5",1)</f>
        <v>#NAME?</v>
      </c>
      <c r="E158" s="44">
        <v>6</v>
      </c>
      <c r="F158" s="44"/>
      <c r="G158" s="17">
        <v>6</v>
      </c>
      <c r="H158" s="3"/>
      <c r="I158" s="6"/>
      <c r="J158" s="6"/>
      <c r="K158" s="6"/>
      <c r="L158" s="6"/>
      <c r="M158" s="6"/>
      <c r="N158" s="4"/>
      <c r="O158" s="6"/>
      <c r="P158" s="6"/>
      <c r="Q158" s="6"/>
      <c r="R158" s="6"/>
      <c r="S158" s="6"/>
    </row>
    <row r="159" spans="1:19" x14ac:dyDescent="0.3">
      <c r="A159" s="2"/>
      <c r="B159" s="44">
        <v>1270303</v>
      </c>
      <c r="C159" s="44" t="s">
        <v>177</v>
      </c>
      <c r="D159" s="44" t="e" vm="1">
        <f ca="1">_xlfn.DISPIMG("ID_0310A8548C3243BA965965CED23C200A",1)</f>
        <v>#NAME?</v>
      </c>
      <c r="E159" s="44">
        <v>10</v>
      </c>
      <c r="F159" s="44">
        <v>5</v>
      </c>
      <c r="G159" s="17">
        <v>5</v>
      </c>
      <c r="H159" s="3"/>
      <c r="I159" s="6"/>
      <c r="J159" s="6"/>
      <c r="K159" s="6"/>
      <c r="L159" s="6"/>
      <c r="M159" s="6"/>
      <c r="N159" s="4"/>
      <c r="O159" s="6"/>
      <c r="P159" s="6"/>
      <c r="Q159" s="6"/>
      <c r="R159" s="6"/>
      <c r="S159" s="6"/>
    </row>
    <row r="160" spans="1:19" x14ac:dyDescent="0.3">
      <c r="A160" s="2"/>
      <c r="B160" s="44" t="s">
        <v>315</v>
      </c>
      <c r="C160" s="44" t="s">
        <v>178</v>
      </c>
      <c r="D160" s="44" t="e" vm="1">
        <f ca="1">_xlfn.DISPIMG("ID_62203FAF437C4E2F9C7CD1B781792FA9",1)</f>
        <v>#NAME?</v>
      </c>
      <c r="E160" s="44">
        <v>65</v>
      </c>
      <c r="F160" s="44"/>
      <c r="G160" s="17">
        <v>65</v>
      </c>
      <c r="H160" s="3"/>
      <c r="I160" s="6"/>
      <c r="J160" s="6"/>
      <c r="K160" s="6"/>
      <c r="L160" s="6"/>
      <c r="M160" s="6"/>
      <c r="N160" s="4"/>
      <c r="O160" s="6"/>
      <c r="P160" s="6"/>
      <c r="Q160" s="6"/>
      <c r="R160" s="6"/>
      <c r="S160" s="6"/>
    </row>
    <row r="161" spans="1:19" x14ac:dyDescent="0.3">
      <c r="A161" s="2"/>
      <c r="B161" s="44" t="s">
        <v>179</v>
      </c>
      <c r="C161" s="44" t="s">
        <v>180</v>
      </c>
      <c r="D161" s="44" t="e" vm="1">
        <f ca="1">_xlfn.DISPIMG("ID_97AF38CD80554EDE8E12F07F4BAFB781",1)</f>
        <v>#NAME?</v>
      </c>
      <c r="E161" s="44">
        <v>13</v>
      </c>
      <c r="F161" s="44"/>
      <c r="G161" s="17">
        <v>13</v>
      </c>
      <c r="H161" s="3"/>
      <c r="I161" s="6"/>
      <c r="J161" s="6"/>
      <c r="K161" s="6"/>
      <c r="L161" s="6"/>
      <c r="M161" s="6"/>
      <c r="N161" s="4"/>
      <c r="O161" s="6"/>
      <c r="P161" s="6"/>
      <c r="Q161" s="6"/>
      <c r="R161" s="6"/>
      <c r="S161" s="6"/>
    </row>
    <row r="162" spans="1:19" x14ac:dyDescent="0.3">
      <c r="A162" s="2"/>
      <c r="B162" s="44" t="s">
        <v>181</v>
      </c>
      <c r="C162" s="44" t="s">
        <v>182</v>
      </c>
      <c r="D162" s="44" t="e" vm="1">
        <f ca="1">_xlfn.DISPIMG("ID_9EB418901D1343BD856B6F3697267793",1)</f>
        <v>#NAME?</v>
      </c>
      <c r="E162" s="44">
        <v>23</v>
      </c>
      <c r="F162" s="44"/>
      <c r="G162" s="17">
        <v>23</v>
      </c>
      <c r="H162" s="3"/>
      <c r="I162" s="6"/>
      <c r="J162" s="6"/>
      <c r="K162" s="6"/>
      <c r="L162" s="6"/>
      <c r="M162" s="6"/>
      <c r="N162" s="4"/>
      <c r="O162" s="6"/>
      <c r="P162" s="6"/>
      <c r="Q162" s="6"/>
      <c r="R162" s="6"/>
      <c r="S162" s="6"/>
    </row>
    <row r="163" spans="1:19" x14ac:dyDescent="0.3">
      <c r="A163" s="2"/>
      <c r="B163" s="44">
        <v>351248</v>
      </c>
      <c r="C163" s="44" t="s">
        <v>327</v>
      </c>
      <c r="D163" s="44" t="e" vm="1">
        <f ca="1">_xlfn.DISPIMG("ID_F5C94CB2E0424A6893795DE72489E789",1)</f>
        <v>#NAME?</v>
      </c>
      <c r="E163" s="44">
        <v>2</v>
      </c>
      <c r="F163" s="44"/>
      <c r="G163" s="17">
        <v>2</v>
      </c>
      <c r="H163" s="3"/>
      <c r="I163" s="6"/>
      <c r="J163" s="6"/>
      <c r="K163" s="6"/>
      <c r="L163" s="6"/>
      <c r="M163" s="6"/>
      <c r="N163" s="4"/>
      <c r="O163" s="6"/>
      <c r="P163" s="6"/>
      <c r="Q163" s="6"/>
      <c r="R163" s="6"/>
      <c r="S163" s="6"/>
    </row>
    <row r="164" spans="1:19" x14ac:dyDescent="0.3">
      <c r="A164" s="2"/>
      <c r="B164" s="44"/>
      <c r="C164" s="44" t="s">
        <v>343</v>
      </c>
      <c r="D164" s="44" t="e" vm="1">
        <f ca="1">_xlfn.DISPIMG("ID_A0639A61FE4E49E3B478EBAB6F8C2ED7",1)</f>
        <v>#NAME?</v>
      </c>
      <c r="E164" s="44">
        <v>13</v>
      </c>
      <c r="F164" s="44"/>
      <c r="G164" s="17">
        <v>13</v>
      </c>
      <c r="H164" s="3"/>
      <c r="I164" s="6"/>
      <c r="J164" s="6"/>
      <c r="K164" s="6"/>
      <c r="L164" s="6"/>
      <c r="M164" s="6"/>
      <c r="N164" s="4"/>
      <c r="O164" s="6"/>
      <c r="P164" s="6"/>
      <c r="Q164" s="6"/>
      <c r="R164" s="6"/>
      <c r="S164" s="6"/>
    </row>
    <row r="165" spans="1:19" x14ac:dyDescent="0.3">
      <c r="A165" s="2"/>
      <c r="B165" s="44"/>
      <c r="C165" s="44" t="s">
        <v>346</v>
      </c>
      <c r="D165" s="44" t="e" vm="1">
        <f ca="1">_xlfn.DISPIMG("ID_F14408A8BE8E4A2E830B699294A9BB70",1)</f>
        <v>#NAME?</v>
      </c>
      <c r="E165" s="44">
        <v>14</v>
      </c>
      <c r="F165" s="44"/>
      <c r="G165" s="17">
        <v>14</v>
      </c>
      <c r="H165" s="3"/>
      <c r="I165" s="6"/>
      <c r="J165" s="6"/>
      <c r="K165" s="6"/>
      <c r="L165" s="6"/>
      <c r="M165" s="6"/>
      <c r="N165" s="4"/>
      <c r="O165" s="6"/>
      <c r="P165" s="6"/>
      <c r="Q165" s="6"/>
      <c r="R165" s="6"/>
      <c r="S165" s="6"/>
    </row>
    <row r="166" spans="1:19" x14ac:dyDescent="0.3">
      <c r="A166" s="2"/>
      <c r="B166" s="44"/>
      <c r="C166" s="44" t="s">
        <v>345</v>
      </c>
      <c r="D166" s="44" t="e" vm="1">
        <f ca="1">_xlfn.DISPIMG("ID_60C662CACB5548AA8127E0F674735251",1)</f>
        <v>#NAME?</v>
      </c>
      <c r="E166" s="44">
        <v>8</v>
      </c>
      <c r="F166" s="44"/>
      <c r="G166" s="17">
        <v>8</v>
      </c>
      <c r="H166" s="3"/>
      <c r="I166" s="6"/>
      <c r="J166" s="6"/>
      <c r="K166" s="6"/>
      <c r="L166" s="6"/>
      <c r="M166" s="6"/>
      <c r="N166" s="4"/>
      <c r="O166" s="6"/>
      <c r="P166" s="6"/>
      <c r="Q166" s="6"/>
      <c r="R166" s="6"/>
      <c r="S166" s="6"/>
    </row>
    <row r="167" spans="1:19" x14ac:dyDescent="0.3">
      <c r="A167" s="2"/>
      <c r="B167" s="52"/>
      <c r="C167" s="53" t="s">
        <v>344</v>
      </c>
      <c r="D167" s="52" t="e" vm="1">
        <f ca="1">_xlfn.DISPIMG("ID_F3F87737B268429F9E7007709AB8DB05",1)</f>
        <v>#NAME?</v>
      </c>
      <c r="E167" s="52">
        <v>20</v>
      </c>
      <c r="F167" s="52"/>
      <c r="G167" s="54">
        <v>20</v>
      </c>
      <c r="H167" s="3"/>
      <c r="I167" s="6"/>
      <c r="J167" s="6"/>
      <c r="K167" s="6"/>
      <c r="L167" s="6"/>
      <c r="M167" s="6"/>
      <c r="N167" s="4"/>
      <c r="O167" s="6"/>
      <c r="P167" s="6"/>
      <c r="Q167" s="6"/>
      <c r="R167" s="6"/>
      <c r="S167" s="6"/>
    </row>
    <row r="168" spans="1:19" x14ac:dyDescent="0.3">
      <c r="A168" s="2"/>
      <c r="B168" s="47">
        <v>21389452</v>
      </c>
      <c r="C168" s="44" t="s">
        <v>305</v>
      </c>
      <c r="D168" s="47" t="e" vm="1">
        <f ca="1">_xlfn.DISPIMG("ID_3B88ECAFCEFB4D6BA6121FFE15AB46FB",1)</f>
        <v>#NAME?</v>
      </c>
      <c r="E168" s="47">
        <v>1</v>
      </c>
      <c r="F168" s="47"/>
      <c r="G168" s="17">
        <v>1</v>
      </c>
      <c r="H168" s="3"/>
      <c r="I168" s="6"/>
      <c r="J168" s="6"/>
      <c r="K168" s="6"/>
      <c r="L168" s="6"/>
      <c r="M168" s="6"/>
      <c r="N168" s="4"/>
      <c r="O168" s="6"/>
      <c r="P168" s="6"/>
      <c r="Q168" s="6"/>
      <c r="R168" s="6"/>
      <c r="S168" s="6"/>
    </row>
    <row r="169" spans="1:19" x14ac:dyDescent="0.3">
      <c r="A169" s="2"/>
      <c r="B169" s="47">
        <v>3098964</v>
      </c>
      <c r="C169" s="44" t="s">
        <v>184</v>
      </c>
      <c r="D169" s="47" t="e" vm="1">
        <f ca="1">_xlfn.DISPIMG("ID_B4557DE43085475387DB3C631A30EE73",1)</f>
        <v>#NAME?</v>
      </c>
      <c r="E169" s="47">
        <v>1</v>
      </c>
      <c r="F169" s="47"/>
      <c r="G169" s="17">
        <v>1</v>
      </c>
      <c r="H169" s="3"/>
      <c r="I169" s="6"/>
      <c r="J169" s="6"/>
      <c r="K169" s="6"/>
      <c r="L169" s="6"/>
      <c r="M169" s="6"/>
      <c r="N169" s="4"/>
      <c r="O169" s="6"/>
      <c r="P169" s="6"/>
      <c r="Q169" s="6"/>
      <c r="R169" s="6"/>
      <c r="S169" s="6"/>
    </row>
    <row r="170" spans="1:19" x14ac:dyDescent="0.3">
      <c r="A170" s="2"/>
      <c r="B170" s="44">
        <v>395571</v>
      </c>
      <c r="C170" s="44" t="s">
        <v>185</v>
      </c>
      <c r="D170" s="44" t="e" vm="1">
        <f ca="1">_xlfn.DISPIMG("ID_1A8C80C494ED4593B1348B10DB2C798A",1)</f>
        <v>#NAME?</v>
      </c>
      <c r="E170" s="44">
        <v>12</v>
      </c>
      <c r="F170" s="44"/>
      <c r="G170" s="17">
        <v>12</v>
      </c>
      <c r="H170" s="3"/>
      <c r="I170" s="6"/>
      <c r="J170" s="6"/>
      <c r="K170" s="6"/>
      <c r="L170" s="6"/>
      <c r="M170" s="6"/>
      <c r="N170" s="4"/>
      <c r="O170" s="6"/>
      <c r="P170" s="6"/>
      <c r="Q170" s="6"/>
      <c r="R170" s="6"/>
      <c r="S170" s="6"/>
    </row>
    <row r="171" spans="1:19" x14ac:dyDescent="0.3">
      <c r="A171" s="2"/>
      <c r="B171" s="47">
        <v>100099</v>
      </c>
      <c r="C171" s="44" t="s">
        <v>295</v>
      </c>
      <c r="D171" s="47" t="e" vm="1">
        <f ca="1">_xlfn.DISPIMG("ID_886A84648D604C0E9C921AC90518F44E",1)</f>
        <v>#NAME?</v>
      </c>
      <c r="E171" s="47">
        <v>8</v>
      </c>
      <c r="F171" s="47"/>
      <c r="G171" s="17">
        <v>8</v>
      </c>
      <c r="H171" s="3"/>
      <c r="I171" s="6"/>
      <c r="J171" s="6"/>
      <c r="K171" s="6"/>
      <c r="L171" s="6"/>
      <c r="M171" s="6"/>
      <c r="N171" s="4"/>
      <c r="O171" s="6"/>
      <c r="P171" s="6"/>
      <c r="Q171" s="6"/>
      <c r="R171" s="6"/>
      <c r="S171" s="6"/>
    </row>
    <row r="172" spans="1:19" x14ac:dyDescent="0.3">
      <c r="A172" s="2"/>
      <c r="B172" s="44">
        <v>23824</v>
      </c>
      <c r="C172" s="44" t="s">
        <v>186</v>
      </c>
      <c r="D172" s="44" t="e" vm="1">
        <f ca="1">_xlfn.DISPIMG("ID_285FFEA053254580B8EB15E1BE572728",1)</f>
        <v>#NAME?</v>
      </c>
      <c r="E172" s="44">
        <v>1</v>
      </c>
      <c r="F172" s="44"/>
      <c r="G172" s="17">
        <v>1</v>
      </c>
      <c r="H172" s="3"/>
      <c r="I172" s="6"/>
      <c r="J172" s="6"/>
      <c r="K172" s="6"/>
      <c r="L172" s="6"/>
      <c r="M172" s="6"/>
      <c r="N172" s="4"/>
      <c r="O172" s="6"/>
      <c r="P172" s="6"/>
      <c r="Q172" s="6"/>
      <c r="R172" s="6"/>
      <c r="S172" s="6"/>
    </row>
    <row r="173" spans="1:19" x14ac:dyDescent="0.3">
      <c r="A173" s="2"/>
      <c r="B173" s="44">
        <v>1247616</v>
      </c>
      <c r="C173" s="44" t="s">
        <v>187</v>
      </c>
      <c r="D173" s="44" t="e" vm="1">
        <f ca="1">_xlfn.DISPIMG("ID_8E64B61A35D745CEB5C8EAA96205F42E",1)</f>
        <v>#NAME?</v>
      </c>
      <c r="E173" s="44">
        <v>1</v>
      </c>
      <c r="F173" s="44"/>
      <c r="G173" s="17">
        <v>1</v>
      </c>
      <c r="H173" s="3"/>
      <c r="I173" s="6"/>
      <c r="J173" s="6"/>
      <c r="K173" s="6"/>
      <c r="L173" s="6"/>
      <c r="M173" s="6"/>
      <c r="N173" s="4"/>
      <c r="O173" s="6"/>
      <c r="P173" s="6"/>
      <c r="Q173" s="6"/>
      <c r="R173" s="6"/>
      <c r="S173" s="6"/>
    </row>
    <row r="174" spans="1:19" x14ac:dyDescent="0.3">
      <c r="A174" s="2"/>
      <c r="B174" s="47" t="s">
        <v>23</v>
      </c>
      <c r="C174" s="44" t="s">
        <v>188</v>
      </c>
      <c r="D174" s="47" t="e" vm="1">
        <f ca="1">_xlfn.DISPIMG("ID_45911D21BCE040CDBA8FBBBD355F775A",1)</f>
        <v>#NAME?</v>
      </c>
      <c r="E174" s="47">
        <v>3</v>
      </c>
      <c r="F174" s="47"/>
      <c r="G174" s="17">
        <v>3</v>
      </c>
      <c r="H174" s="3"/>
      <c r="I174" s="6"/>
      <c r="J174" s="6"/>
      <c r="K174" s="6"/>
      <c r="L174" s="6"/>
      <c r="M174" s="6"/>
      <c r="N174" s="4"/>
      <c r="O174" s="6"/>
      <c r="P174" s="6"/>
      <c r="Q174" s="6"/>
      <c r="R174" s="6"/>
      <c r="S174" s="6"/>
    </row>
    <row r="175" spans="1:19" x14ac:dyDescent="0.3">
      <c r="A175" s="2"/>
      <c r="B175" s="47" t="s">
        <v>23</v>
      </c>
      <c r="C175" s="44" t="s">
        <v>328</v>
      </c>
      <c r="D175" s="47" t="e" vm="1">
        <f ca="1">_xlfn.DISPIMG("ID_77B543250621439A81EA1A83570929E7",1)</f>
        <v>#NAME?</v>
      </c>
      <c r="E175" s="47">
        <v>2</v>
      </c>
      <c r="F175" s="47"/>
      <c r="G175" s="17">
        <v>2</v>
      </c>
      <c r="H175" s="3"/>
      <c r="I175" s="6"/>
      <c r="J175" s="6"/>
      <c r="K175" s="6"/>
      <c r="L175" s="6"/>
      <c r="M175" s="6"/>
      <c r="N175" s="4"/>
      <c r="O175" s="6"/>
      <c r="P175" s="6"/>
      <c r="Q175" s="6"/>
      <c r="R175" s="6"/>
      <c r="S175" s="6"/>
    </row>
    <row r="176" spans="1:19" x14ac:dyDescent="0.3">
      <c r="A176" s="2"/>
      <c r="B176" s="47" t="s">
        <v>23</v>
      </c>
      <c r="C176" s="44" t="s">
        <v>190</v>
      </c>
      <c r="D176" s="47" t="e" vm="1">
        <f ca="1">_xlfn.DISPIMG("ID_8A76AFB1E8804EE1B47FE4DF6996B6F3",1)</f>
        <v>#NAME?</v>
      </c>
      <c r="E176" s="47">
        <v>5</v>
      </c>
      <c r="F176" s="47"/>
      <c r="G176" s="17">
        <v>5</v>
      </c>
      <c r="H176" s="3"/>
      <c r="I176" s="6"/>
      <c r="J176" s="6"/>
      <c r="K176" s="6"/>
      <c r="L176" s="6"/>
      <c r="M176" s="6"/>
      <c r="N176" s="4"/>
      <c r="O176" s="6"/>
      <c r="P176" s="6"/>
      <c r="Q176" s="6"/>
      <c r="R176" s="6"/>
      <c r="S176" s="6"/>
    </row>
    <row r="177" spans="1:19" x14ac:dyDescent="0.3">
      <c r="A177" s="2"/>
      <c r="B177" s="47" t="s">
        <v>191</v>
      </c>
      <c r="C177" s="44" t="s">
        <v>192</v>
      </c>
      <c r="D177" s="47" t="e" vm="1">
        <f ca="1">_xlfn.DISPIMG("ID_C2535694C85C4DBE9259239F4E162AF7",1)</f>
        <v>#NAME?</v>
      </c>
      <c r="E177" s="47">
        <v>1</v>
      </c>
      <c r="F177" s="47"/>
      <c r="G177" s="17">
        <v>1</v>
      </c>
      <c r="H177" s="3"/>
      <c r="I177" s="6"/>
      <c r="J177" s="6"/>
      <c r="K177" s="6"/>
      <c r="L177" s="6"/>
      <c r="M177" s="6"/>
      <c r="N177" s="4"/>
      <c r="O177" s="6"/>
      <c r="P177" s="6"/>
      <c r="Q177" s="6"/>
      <c r="R177" s="6"/>
      <c r="S177" s="6"/>
    </row>
    <row r="178" spans="1:19" x14ac:dyDescent="0.3">
      <c r="A178" s="2"/>
      <c r="B178" s="47"/>
      <c r="C178" s="44" t="s">
        <v>340</v>
      </c>
      <c r="D178" s="47" t="e" vm="1">
        <f ca="1">_xlfn.DISPIMG("ID_90F3D67412A747A5A82216CFA520A7C7",1)</f>
        <v>#NAME?</v>
      </c>
      <c r="E178" s="47">
        <v>1</v>
      </c>
      <c r="F178" s="47"/>
      <c r="G178" s="17">
        <v>1</v>
      </c>
      <c r="H178" s="3"/>
      <c r="I178" s="6"/>
      <c r="J178" s="6"/>
      <c r="K178" s="6"/>
      <c r="L178" s="6"/>
      <c r="M178" s="6"/>
      <c r="N178" s="4"/>
      <c r="O178" s="6"/>
      <c r="P178" s="6"/>
      <c r="Q178" s="6"/>
      <c r="R178" s="6"/>
      <c r="S178" s="6"/>
    </row>
    <row r="179" spans="1:19" x14ac:dyDescent="0.3">
      <c r="A179" s="2"/>
      <c r="B179" s="47">
        <v>1252080</v>
      </c>
      <c r="C179" s="44" t="s">
        <v>194</v>
      </c>
      <c r="D179" s="47" t="e" vm="1">
        <f ca="1">_xlfn.DISPIMG("ID_65BC626AD9E24B04B8EEA4E553AFA51F",1)</f>
        <v>#NAME?</v>
      </c>
      <c r="E179" s="47">
        <v>1</v>
      </c>
      <c r="F179" s="47"/>
      <c r="G179" s="17">
        <v>1</v>
      </c>
      <c r="H179" s="3"/>
      <c r="I179" s="6"/>
      <c r="J179" s="6"/>
      <c r="K179" s="6"/>
      <c r="L179" s="6"/>
      <c r="M179" s="6"/>
      <c r="N179" s="4"/>
      <c r="O179" s="6"/>
      <c r="P179" s="6"/>
      <c r="Q179" s="6"/>
      <c r="R179" s="6"/>
      <c r="S179" s="6"/>
    </row>
    <row r="180" spans="1:19" x14ac:dyDescent="0.3">
      <c r="A180" s="2"/>
      <c r="B180" s="47"/>
      <c r="C180" s="44" t="s">
        <v>306</v>
      </c>
      <c r="D180" s="47" t="e" vm="1">
        <f ca="1">_xlfn.DISPIMG("ID_346E62A3E0644276B92E23D441A45325",1)</f>
        <v>#NAME?</v>
      </c>
      <c r="E180" s="47">
        <v>2</v>
      </c>
      <c r="F180" s="47"/>
      <c r="G180" s="17">
        <v>2</v>
      </c>
      <c r="H180" s="3"/>
      <c r="I180" s="6"/>
      <c r="J180" s="6"/>
      <c r="K180" s="6"/>
      <c r="L180" s="6"/>
      <c r="M180" s="6"/>
      <c r="N180" s="4"/>
      <c r="O180" s="6"/>
      <c r="P180" s="6"/>
      <c r="Q180" s="6"/>
      <c r="R180" s="6"/>
      <c r="S180" s="6"/>
    </row>
    <row r="181" spans="1:19" x14ac:dyDescent="0.3">
      <c r="A181" s="2"/>
      <c r="B181" s="47" t="s">
        <v>195</v>
      </c>
      <c r="C181" s="44" t="s">
        <v>196</v>
      </c>
      <c r="D181" s="47" t="e" vm="1">
        <f ca="1">_xlfn.DISPIMG("ID_8A5E0ECBA6F24C779FCA3E7BC29BC553",1)</f>
        <v>#NAME?</v>
      </c>
      <c r="E181" s="47">
        <v>2</v>
      </c>
      <c r="F181" s="47"/>
      <c r="G181" s="17">
        <v>2</v>
      </c>
      <c r="H181" s="3"/>
      <c r="I181" s="6"/>
      <c r="J181" s="6"/>
      <c r="K181" s="6"/>
      <c r="L181" s="6"/>
      <c r="M181" s="6"/>
      <c r="N181" s="4"/>
      <c r="O181" s="6"/>
      <c r="P181" s="6"/>
      <c r="Q181" s="6"/>
      <c r="R181" s="6"/>
      <c r="S181" s="6"/>
    </row>
    <row r="182" spans="1:19" x14ac:dyDescent="0.3">
      <c r="A182" s="2"/>
      <c r="B182" s="47">
        <v>4002777</v>
      </c>
      <c r="C182" s="44" t="s">
        <v>197</v>
      </c>
      <c r="D182" s="47" t="e" vm="1">
        <f ca="1">_xlfn.DISPIMG("ID_57006A124EB444059D32F55BA8665826",1)</f>
        <v>#NAME?</v>
      </c>
      <c r="E182" s="47">
        <v>12</v>
      </c>
      <c r="F182" s="47"/>
      <c r="G182" s="17">
        <v>12</v>
      </c>
      <c r="H182" s="3"/>
      <c r="I182" s="6"/>
      <c r="J182" s="6"/>
      <c r="K182" s="6"/>
      <c r="L182" s="6"/>
      <c r="M182" s="6"/>
      <c r="N182" s="4"/>
      <c r="O182" s="6"/>
      <c r="P182" s="6"/>
      <c r="Q182" s="6"/>
      <c r="R182" s="6"/>
      <c r="S182" s="6"/>
    </row>
    <row r="183" spans="1:19" x14ac:dyDescent="0.3">
      <c r="A183" s="2"/>
      <c r="B183" s="47"/>
      <c r="C183" s="47" t="s">
        <v>198</v>
      </c>
      <c r="D183" s="47" t="e" vm="1">
        <f ca="1">_xlfn.DISPIMG("ID_6667BC7C03FE4ED485DD25DC6BF982BF",1)</f>
        <v>#NAME?</v>
      </c>
      <c r="E183" s="47">
        <v>3</v>
      </c>
      <c r="F183" s="47"/>
      <c r="G183" s="17">
        <v>3</v>
      </c>
      <c r="H183" s="3"/>
      <c r="I183" s="6"/>
      <c r="J183" s="6"/>
      <c r="K183" s="6"/>
      <c r="L183" s="6"/>
      <c r="M183" s="6"/>
      <c r="N183" s="4"/>
      <c r="O183" s="6"/>
      <c r="P183" s="6"/>
      <c r="Q183" s="6"/>
      <c r="R183" s="6"/>
      <c r="S183" s="6"/>
    </row>
    <row r="184" spans="1:19" x14ac:dyDescent="0.3">
      <c r="A184" s="2"/>
      <c r="B184" s="47">
        <v>179609</v>
      </c>
      <c r="C184" s="44" t="s">
        <v>299</v>
      </c>
      <c r="D184" s="47" t="e" vm="1">
        <f ca="1">_xlfn.DISPIMG("ID_AFF5843DD9944E7FAA44AA960B3755F5",1)</f>
        <v>#NAME?</v>
      </c>
      <c r="E184" s="47">
        <v>1</v>
      </c>
      <c r="F184" s="47"/>
      <c r="G184" s="17">
        <v>1</v>
      </c>
      <c r="H184" s="3"/>
      <c r="I184" s="6"/>
      <c r="J184" s="6"/>
      <c r="K184" s="6"/>
      <c r="L184" s="6"/>
      <c r="M184" s="6"/>
      <c r="N184" s="4"/>
      <c r="O184" s="6"/>
      <c r="P184" s="6"/>
      <c r="Q184" s="6"/>
      <c r="R184" s="6"/>
      <c r="S184" s="6"/>
    </row>
    <row r="185" spans="1:19" x14ac:dyDescent="0.3">
      <c r="A185" s="2"/>
      <c r="B185" s="47">
        <v>460138</v>
      </c>
      <c r="C185" s="44" t="s">
        <v>201</v>
      </c>
      <c r="D185" s="47" t="e" vm="1">
        <f ca="1">_xlfn.DISPIMG("ID_688097FD97554F48BCA3E9D9A5F7F38E",1)</f>
        <v>#NAME?</v>
      </c>
      <c r="E185" s="47">
        <v>6</v>
      </c>
      <c r="F185" s="47"/>
      <c r="G185" s="17">
        <v>6</v>
      </c>
      <c r="H185" s="3"/>
      <c r="I185" s="6"/>
      <c r="J185" s="6"/>
      <c r="K185" s="6"/>
      <c r="L185" s="6"/>
      <c r="M185" s="6"/>
      <c r="N185" s="4"/>
      <c r="O185" s="6"/>
      <c r="P185" s="6"/>
      <c r="Q185" s="6"/>
      <c r="R185" s="6"/>
      <c r="S185" s="6"/>
    </row>
    <row r="186" spans="1:19" x14ac:dyDescent="0.3">
      <c r="A186" s="2"/>
      <c r="B186" s="44"/>
      <c r="C186" s="44" t="s">
        <v>202</v>
      </c>
      <c r="D186" s="44" t="e" vm="1">
        <f ca="1">_xlfn.DISPIMG("ID_42592B8B69764DF8BB3D77A55251B8C9",1)</f>
        <v>#NAME?</v>
      </c>
      <c r="E186" s="44">
        <v>1</v>
      </c>
      <c r="F186" s="44"/>
      <c r="G186" s="17">
        <v>1</v>
      </c>
      <c r="H186" s="3"/>
      <c r="I186" s="6"/>
      <c r="J186" s="6"/>
      <c r="K186" s="6"/>
      <c r="L186" s="6"/>
      <c r="M186" s="6"/>
      <c r="N186" s="4"/>
      <c r="O186" s="6"/>
      <c r="P186" s="6"/>
      <c r="Q186" s="6"/>
      <c r="R186" s="6"/>
      <c r="S186" s="6"/>
    </row>
    <row r="187" spans="1:19" x14ac:dyDescent="0.3">
      <c r="A187" s="2"/>
      <c r="B187" s="47" t="s">
        <v>23</v>
      </c>
      <c r="C187" s="44" t="s">
        <v>204</v>
      </c>
      <c r="D187" s="47" t="e" vm="1">
        <f ca="1">_xlfn.DISPIMG("ID_35E668978F554D3C9A76C4E439739073",1)</f>
        <v>#NAME?</v>
      </c>
      <c r="E187" s="47">
        <v>9</v>
      </c>
      <c r="F187" s="47"/>
      <c r="G187" s="17">
        <v>9</v>
      </c>
      <c r="H187" s="3"/>
      <c r="I187" s="6"/>
      <c r="J187" s="6"/>
      <c r="K187" s="6"/>
      <c r="L187" s="6"/>
      <c r="M187" s="6"/>
      <c r="N187" s="4"/>
      <c r="O187" s="6"/>
      <c r="P187" s="6"/>
      <c r="Q187" s="6"/>
      <c r="R187" s="6"/>
      <c r="S187" s="6"/>
    </row>
    <row r="188" spans="1:19" x14ac:dyDescent="0.3">
      <c r="A188" s="2"/>
      <c r="B188" s="47"/>
      <c r="C188" s="44" t="s">
        <v>205</v>
      </c>
      <c r="D188" s="47" t="e" vm="1">
        <f ca="1">_xlfn.DISPIMG("ID_6C71FA5636294A7C88555FB82A50616D",1)</f>
        <v>#NAME?</v>
      </c>
      <c r="E188" s="47">
        <v>5</v>
      </c>
      <c r="F188" s="47"/>
      <c r="G188" s="17">
        <v>5</v>
      </c>
      <c r="H188" s="3"/>
      <c r="I188" s="6"/>
      <c r="J188" s="6"/>
      <c r="K188" s="6"/>
      <c r="L188" s="6"/>
      <c r="M188" s="6"/>
      <c r="N188" s="4"/>
      <c r="O188" s="6"/>
      <c r="P188" s="6"/>
      <c r="Q188" s="6"/>
      <c r="R188" s="6"/>
      <c r="S188" s="6"/>
    </row>
    <row r="189" spans="1:19" x14ac:dyDescent="0.3">
      <c r="A189" s="2"/>
      <c r="B189" s="47" t="s">
        <v>23</v>
      </c>
      <c r="C189" s="44" t="s">
        <v>206</v>
      </c>
      <c r="D189" s="47" t="e" vm="1">
        <f ca="1">_xlfn.DISPIMG("ID_1B097A2699EF4806A66C8F1B157D7831",1)</f>
        <v>#NAME?</v>
      </c>
      <c r="E189" s="47">
        <v>2</v>
      </c>
      <c r="F189" s="47"/>
      <c r="G189" s="17">
        <v>2</v>
      </c>
      <c r="H189" s="3"/>
      <c r="I189" s="6"/>
      <c r="J189" s="6"/>
      <c r="K189" s="6"/>
      <c r="L189" s="6"/>
      <c r="M189" s="6"/>
      <c r="N189" s="4"/>
      <c r="O189" s="6"/>
      <c r="P189" s="6"/>
      <c r="Q189" s="6"/>
      <c r="R189" s="6"/>
      <c r="S189" s="6"/>
    </row>
    <row r="190" spans="1:19" x14ac:dyDescent="0.3">
      <c r="A190" s="2"/>
      <c r="B190" s="47" t="s">
        <v>23</v>
      </c>
      <c r="C190" s="44" t="s">
        <v>207</v>
      </c>
      <c r="D190" s="47" t="e" vm="1">
        <f ca="1">_xlfn.DISPIMG("ID_5FB62E43FAC5425AAE80889D0F3F0F77",1)</f>
        <v>#NAME?</v>
      </c>
      <c r="E190" s="47">
        <v>2</v>
      </c>
      <c r="F190" s="47"/>
      <c r="G190" s="17">
        <v>2</v>
      </c>
      <c r="H190" s="3"/>
      <c r="I190" s="6"/>
      <c r="J190" s="6"/>
      <c r="K190" s="6"/>
      <c r="L190" s="6"/>
      <c r="M190" s="6"/>
      <c r="N190" s="4"/>
      <c r="O190" s="6"/>
      <c r="P190" s="6"/>
      <c r="Q190" s="6"/>
      <c r="R190" s="6"/>
      <c r="S190" s="6"/>
    </row>
    <row r="191" spans="1:19" x14ac:dyDescent="0.3">
      <c r="A191" s="2"/>
      <c r="B191" s="47" t="s">
        <v>23</v>
      </c>
      <c r="C191" s="44" t="s">
        <v>208</v>
      </c>
      <c r="D191" s="47" t="e" vm="1">
        <f ca="1">_xlfn.DISPIMG("ID_6ECE787E2CD54AE8ADE893076B9C7CB7",1)</f>
        <v>#NAME?</v>
      </c>
      <c r="E191" s="47">
        <v>2</v>
      </c>
      <c r="F191" s="47"/>
      <c r="G191" s="17">
        <v>2</v>
      </c>
      <c r="H191" s="3"/>
      <c r="I191" s="6"/>
      <c r="J191" s="6"/>
      <c r="K191" s="6"/>
      <c r="L191" s="6"/>
      <c r="M191" s="6"/>
      <c r="N191" s="4"/>
      <c r="O191" s="6"/>
      <c r="P191" s="6"/>
      <c r="Q191" s="6"/>
      <c r="R191" s="6"/>
      <c r="S191" s="6"/>
    </row>
    <row r="192" spans="1:19" x14ac:dyDescent="0.3">
      <c r="A192" s="2"/>
      <c r="B192" s="47" t="s">
        <v>209</v>
      </c>
      <c r="C192" s="44" t="s">
        <v>210</v>
      </c>
      <c r="D192" s="47" t="e" vm="1">
        <f ca="1">_xlfn.DISPIMG("ID_5BA1B099FDF042A081E7710554773A74",1)</f>
        <v>#NAME?</v>
      </c>
      <c r="E192" s="47">
        <v>2</v>
      </c>
      <c r="F192" s="47"/>
      <c r="G192" s="17">
        <v>2</v>
      </c>
      <c r="H192" s="3"/>
      <c r="I192" s="6"/>
      <c r="J192" s="6"/>
      <c r="K192" s="6"/>
      <c r="L192" s="6"/>
      <c r="M192" s="6"/>
      <c r="N192" s="4"/>
      <c r="O192" s="6"/>
      <c r="P192" s="6"/>
      <c r="Q192" s="6"/>
      <c r="R192" s="6"/>
      <c r="S192" s="6"/>
    </row>
    <row r="193" spans="1:19" x14ac:dyDescent="0.3">
      <c r="A193" s="2"/>
      <c r="B193" s="47" t="s">
        <v>211</v>
      </c>
      <c r="C193" s="44" t="s">
        <v>212</v>
      </c>
      <c r="D193" s="47" t="e" vm="1">
        <f ca="1">_xlfn.DISPIMG("ID_D2CF4BD23D2348529B3A31361CEC7E58",1)</f>
        <v>#NAME?</v>
      </c>
      <c r="E193" s="47">
        <v>4</v>
      </c>
      <c r="F193" s="47"/>
      <c r="G193" s="17">
        <v>4</v>
      </c>
      <c r="H193" s="3"/>
      <c r="I193" s="6"/>
      <c r="J193" s="6"/>
      <c r="K193" s="6"/>
      <c r="L193" s="6"/>
      <c r="M193" s="6"/>
      <c r="N193" s="4"/>
      <c r="O193" s="6"/>
      <c r="P193" s="6"/>
      <c r="Q193" s="6"/>
      <c r="R193" s="6"/>
      <c r="S193" s="6"/>
    </row>
    <row r="194" spans="1:19" x14ac:dyDescent="0.3">
      <c r="A194" s="2"/>
      <c r="B194" s="47" t="s">
        <v>23</v>
      </c>
      <c r="C194" s="44" t="s">
        <v>213</v>
      </c>
      <c r="D194" s="47" t="e" vm="1">
        <f ca="1">_xlfn.DISPIMG("ID_430AB037F65F420A9D49858FA8871295",1)</f>
        <v>#NAME?</v>
      </c>
      <c r="E194" s="47">
        <v>1</v>
      </c>
      <c r="F194" s="47"/>
      <c r="G194" s="17">
        <v>1</v>
      </c>
      <c r="H194" s="3"/>
      <c r="I194" s="6"/>
      <c r="J194" s="6"/>
      <c r="K194" s="6"/>
      <c r="L194" s="6"/>
      <c r="M194" s="6"/>
      <c r="N194" s="4"/>
      <c r="O194" s="6"/>
      <c r="P194" s="6"/>
      <c r="Q194" s="6"/>
      <c r="R194" s="6"/>
      <c r="S194" s="6"/>
    </row>
    <row r="195" spans="1:19" x14ac:dyDescent="0.3">
      <c r="A195" s="2"/>
      <c r="B195" s="47"/>
      <c r="C195" s="44" t="s">
        <v>214</v>
      </c>
      <c r="D195" s="47" t="e" vm="1">
        <f ca="1">_xlfn.DISPIMG("ID_0CB417B4F88D46189923184D8399A0A0",1)</f>
        <v>#NAME?</v>
      </c>
      <c r="E195" s="47">
        <v>1</v>
      </c>
      <c r="F195" s="47"/>
      <c r="G195" s="17">
        <v>1</v>
      </c>
      <c r="H195" s="3"/>
      <c r="I195" s="6"/>
      <c r="J195" s="6"/>
      <c r="K195" s="6"/>
      <c r="L195" s="6"/>
      <c r="M195" s="6"/>
      <c r="N195" s="4"/>
      <c r="O195" s="6"/>
      <c r="P195" s="6"/>
      <c r="Q195" s="6"/>
      <c r="R195" s="6"/>
      <c r="S195" s="6"/>
    </row>
    <row r="196" spans="1:19" x14ac:dyDescent="0.3">
      <c r="A196" s="2"/>
      <c r="B196" s="47"/>
      <c r="C196" s="44" t="s">
        <v>215</v>
      </c>
      <c r="D196" s="47" t="e" vm="1">
        <f ca="1">_xlfn.DISPIMG("ID_3D358238FF0643F4929E933C5DAFCC2E",1)</f>
        <v>#NAME?</v>
      </c>
      <c r="E196" s="47">
        <v>1</v>
      </c>
      <c r="F196" s="47"/>
      <c r="G196" s="17">
        <v>1</v>
      </c>
      <c r="H196" s="3"/>
      <c r="I196" s="6"/>
      <c r="J196" s="6"/>
      <c r="K196" s="6"/>
      <c r="L196" s="6"/>
      <c r="M196" s="6"/>
      <c r="N196" s="4"/>
      <c r="O196" s="6"/>
      <c r="P196" s="6"/>
      <c r="Q196" s="6"/>
      <c r="R196" s="6"/>
      <c r="S196" s="6"/>
    </row>
    <row r="197" spans="1:19" x14ac:dyDescent="0.3">
      <c r="A197" s="2"/>
      <c r="B197" s="47" t="s">
        <v>336</v>
      </c>
      <c r="C197" s="44" t="s">
        <v>335</v>
      </c>
      <c r="D197" s="47" t="e" vm="1">
        <f ca="1">_xlfn.DISPIMG("ID_0421872EAB5941169DA3FB5A9C6303DF",1)</f>
        <v>#NAME?</v>
      </c>
      <c r="E197" s="47">
        <v>2</v>
      </c>
      <c r="F197" s="47"/>
      <c r="G197" s="17">
        <v>2</v>
      </c>
      <c r="H197" s="3"/>
      <c r="I197" s="6"/>
      <c r="J197" s="6"/>
      <c r="K197" s="6"/>
      <c r="L197" s="6"/>
      <c r="M197" s="6"/>
      <c r="N197" s="4"/>
      <c r="O197" s="6"/>
      <c r="P197" s="6"/>
      <c r="Q197" s="6"/>
      <c r="R197" s="6"/>
      <c r="S197" s="6"/>
    </row>
    <row r="198" spans="1:19" x14ac:dyDescent="0.3">
      <c r="A198" s="2"/>
      <c r="B198" s="44"/>
      <c r="C198" s="44" t="s">
        <v>203</v>
      </c>
      <c r="D198" s="44" t="e" vm="1">
        <f ca="1">_xlfn.DISPIMG("ID_9694BD170FF54149B15EFF2560A602D5",1)</f>
        <v>#NAME?</v>
      </c>
      <c r="E198" s="44">
        <v>19</v>
      </c>
      <c r="F198" s="44"/>
      <c r="G198" s="17">
        <v>19</v>
      </c>
      <c r="H198" s="3"/>
      <c r="I198" s="6"/>
      <c r="J198" s="6"/>
      <c r="K198" s="6"/>
      <c r="L198" s="6"/>
      <c r="M198" s="6"/>
      <c r="N198" s="4"/>
      <c r="O198" s="6"/>
      <c r="P198" s="6"/>
      <c r="Q198" s="6"/>
      <c r="R198" s="6"/>
      <c r="S198" s="6"/>
    </row>
    <row r="199" spans="1:19" x14ac:dyDescent="0.3">
      <c r="A199" s="2"/>
      <c r="B199" s="44"/>
      <c r="C199" s="44" t="s">
        <v>217</v>
      </c>
      <c r="D199" s="44" t="e" vm="1">
        <f ca="1">_xlfn.DISPIMG("ID_CC3CB1909F4B4AACB32515C19EC2D00D",1)</f>
        <v>#NAME?</v>
      </c>
      <c r="E199" s="44">
        <v>1</v>
      </c>
      <c r="F199" s="44"/>
      <c r="G199" s="17">
        <v>1</v>
      </c>
      <c r="H199" s="3"/>
      <c r="I199" s="6"/>
      <c r="J199" s="6"/>
      <c r="K199" s="6"/>
      <c r="L199" s="6"/>
      <c r="M199" s="6"/>
      <c r="N199" s="4"/>
      <c r="O199" s="6"/>
      <c r="P199" s="6"/>
      <c r="Q199" s="6"/>
      <c r="R199" s="6"/>
      <c r="S199" s="6"/>
    </row>
    <row r="200" spans="1:19" x14ac:dyDescent="0.3">
      <c r="A200" s="2"/>
      <c r="B200" s="44"/>
      <c r="C200" s="44" t="s">
        <v>218</v>
      </c>
      <c r="D200" s="44" t="e" vm="1">
        <f ca="1">_xlfn.DISPIMG("ID_9441F7F6690B4C758F07715ACB2B367F",1)</f>
        <v>#NAME?</v>
      </c>
      <c r="E200" s="44">
        <v>2</v>
      </c>
      <c r="F200" s="44"/>
      <c r="G200" s="17">
        <v>2</v>
      </c>
      <c r="H200" s="3"/>
      <c r="I200" s="6"/>
      <c r="J200" s="6"/>
      <c r="K200" s="6"/>
      <c r="L200" s="6"/>
      <c r="M200" s="6"/>
      <c r="N200" s="4"/>
      <c r="O200" s="6"/>
      <c r="P200" s="6"/>
      <c r="Q200" s="6"/>
      <c r="R200" s="6"/>
      <c r="S200" s="6"/>
    </row>
    <row r="201" spans="1:19" x14ac:dyDescent="0.3">
      <c r="A201" s="2"/>
      <c r="B201" s="47"/>
      <c r="C201" s="44" t="s">
        <v>219</v>
      </c>
      <c r="D201" s="47" t="e" vm="1">
        <f ca="1">_xlfn.DISPIMG("ID_60080A5E25CD417D88678AB809523431",1)</f>
        <v>#NAME?</v>
      </c>
      <c r="E201" s="47">
        <v>395</v>
      </c>
      <c r="F201" s="47"/>
      <c r="G201" s="17">
        <v>395</v>
      </c>
      <c r="H201" s="3"/>
      <c r="I201" s="6"/>
      <c r="J201" s="6"/>
      <c r="K201" s="6"/>
      <c r="L201" s="6"/>
      <c r="M201" s="6"/>
      <c r="N201" s="4"/>
      <c r="O201" s="6"/>
      <c r="P201" s="6"/>
      <c r="Q201" s="6"/>
      <c r="R201" s="6"/>
      <c r="S201" s="6"/>
    </row>
    <row r="202" spans="1:19" x14ac:dyDescent="0.3">
      <c r="A202" s="2"/>
      <c r="B202" s="44" t="s">
        <v>220</v>
      </c>
      <c r="C202" s="44" t="s">
        <v>221</v>
      </c>
      <c r="D202" s="44" t="e" vm="1">
        <f ca="1">_xlfn.DISPIMG("ID_5771E60EA0694A7B925B4A2E19EE8D02",1)</f>
        <v>#NAME?</v>
      </c>
      <c r="E202" s="44">
        <v>3</v>
      </c>
      <c r="F202" s="44"/>
      <c r="G202" s="17">
        <v>3</v>
      </c>
      <c r="H202" s="3"/>
      <c r="I202" s="6"/>
      <c r="J202" s="6"/>
      <c r="K202" s="6"/>
      <c r="L202" s="6"/>
      <c r="M202" s="6"/>
      <c r="N202" s="4"/>
      <c r="O202" s="6"/>
      <c r="P202" s="6"/>
      <c r="Q202" s="6"/>
      <c r="R202" s="6"/>
      <c r="S202" s="6"/>
    </row>
    <row r="203" spans="1:19" x14ac:dyDescent="0.3">
      <c r="A203" s="2"/>
      <c r="B203" s="44" t="s">
        <v>222</v>
      </c>
      <c r="C203" s="44" t="s">
        <v>223</v>
      </c>
      <c r="D203" s="44" t="e" vm="1">
        <f ca="1">_xlfn.DISPIMG("ID_B978EC7D97C847619E709313F591E99C",1)</f>
        <v>#NAME?</v>
      </c>
      <c r="E203" s="44">
        <v>4</v>
      </c>
      <c r="F203" s="44"/>
      <c r="G203" s="17">
        <v>4</v>
      </c>
      <c r="H203" s="3"/>
      <c r="I203" s="6"/>
      <c r="J203" s="6"/>
      <c r="K203" s="6"/>
      <c r="L203" s="6"/>
      <c r="M203" s="6"/>
      <c r="N203" s="4"/>
      <c r="O203" s="6"/>
      <c r="P203" s="6"/>
      <c r="Q203" s="6"/>
      <c r="R203" s="6"/>
      <c r="S203" s="6"/>
    </row>
    <row r="204" spans="1:19" x14ac:dyDescent="0.3">
      <c r="A204" s="2"/>
      <c r="B204" s="44" t="s">
        <v>224</v>
      </c>
      <c r="C204" s="44" t="s">
        <v>225</v>
      </c>
      <c r="D204" s="44" t="e" vm="1">
        <f ca="1">_xlfn.DISPIMG("ID_28C0C7654F8D4D3FBFD330BB28FA24D9",1)</f>
        <v>#NAME?</v>
      </c>
      <c r="E204" s="44">
        <v>6</v>
      </c>
      <c r="F204" s="44"/>
      <c r="G204" s="17">
        <v>6</v>
      </c>
      <c r="H204" s="3"/>
      <c r="I204" s="6"/>
      <c r="J204" s="6"/>
      <c r="K204" s="6"/>
      <c r="L204" s="6"/>
      <c r="M204" s="6"/>
      <c r="N204" s="4"/>
      <c r="O204" s="6"/>
      <c r="P204" s="6"/>
      <c r="Q204" s="6"/>
      <c r="R204" s="6"/>
      <c r="S204" s="6"/>
    </row>
    <row r="205" spans="1:19" x14ac:dyDescent="0.3">
      <c r="A205" s="2"/>
      <c r="B205" s="44" t="s">
        <v>226</v>
      </c>
      <c r="C205" s="44" t="s">
        <v>227</v>
      </c>
      <c r="D205" s="44" t="e" vm="1">
        <f ca="1">_xlfn.DISPIMG("ID_096DB49021A74FACA89A10C47CBF8943",1)</f>
        <v>#NAME?</v>
      </c>
      <c r="E205" s="44">
        <v>3</v>
      </c>
      <c r="F205" s="44"/>
      <c r="G205" s="17">
        <v>3</v>
      </c>
      <c r="H205" s="3"/>
      <c r="I205" s="6"/>
      <c r="J205" s="6"/>
      <c r="K205" s="6"/>
      <c r="L205" s="6"/>
      <c r="M205" s="6"/>
      <c r="N205" s="4"/>
      <c r="O205" s="6"/>
      <c r="P205" s="6"/>
      <c r="Q205" s="6"/>
      <c r="R205" s="6"/>
      <c r="S205" s="6"/>
    </row>
    <row r="206" spans="1:19" x14ac:dyDescent="0.3">
      <c r="A206" s="2"/>
      <c r="B206" s="44" t="s">
        <v>228</v>
      </c>
      <c r="C206" s="44" t="s">
        <v>229</v>
      </c>
      <c r="D206" s="44" t="e" vm="1">
        <f ca="1">_xlfn.DISPIMG("ID_695DBCE25257446083E07B8E3A3CA1B4",1)</f>
        <v>#NAME?</v>
      </c>
      <c r="E206" s="44">
        <v>8</v>
      </c>
      <c r="F206" s="44"/>
      <c r="G206" s="17">
        <v>8</v>
      </c>
      <c r="H206" s="3"/>
      <c r="I206" s="6"/>
      <c r="J206" s="6"/>
      <c r="K206" s="6"/>
      <c r="L206" s="6"/>
      <c r="M206" s="6"/>
      <c r="N206" s="4"/>
      <c r="O206" s="6"/>
      <c r="P206" s="6"/>
      <c r="Q206" s="6"/>
      <c r="R206" s="6"/>
      <c r="S206" s="6"/>
    </row>
    <row r="207" spans="1:19" x14ac:dyDescent="0.3">
      <c r="A207" s="2"/>
      <c r="B207" s="44" t="s">
        <v>230</v>
      </c>
      <c r="C207" s="44" t="s">
        <v>229</v>
      </c>
      <c r="D207" s="44" t="e" vm="1">
        <f ca="1">_xlfn.DISPIMG("ID_57BAECFB11C546C892A8AACC9F48CEDE",1)</f>
        <v>#NAME?</v>
      </c>
      <c r="E207" s="44">
        <v>6</v>
      </c>
      <c r="F207" s="44"/>
      <c r="G207" s="17">
        <v>6</v>
      </c>
      <c r="H207" s="3"/>
      <c r="I207" s="6"/>
      <c r="J207" s="6"/>
      <c r="K207" s="6"/>
      <c r="L207" s="6"/>
      <c r="M207" s="6"/>
      <c r="N207" s="4"/>
      <c r="O207" s="6"/>
      <c r="P207" s="6"/>
      <c r="Q207" s="6"/>
      <c r="R207" s="6"/>
      <c r="S207" s="6"/>
    </row>
    <row r="208" spans="1:19" x14ac:dyDescent="0.3">
      <c r="A208" s="2"/>
      <c r="B208" s="44" t="s">
        <v>231</v>
      </c>
      <c r="C208" s="44" t="s">
        <v>232</v>
      </c>
      <c r="D208" s="44" t="e" vm="1">
        <f ca="1">_xlfn.DISPIMG("ID_173D6506D6D54BB4A9B4E0801FF16C30",1)</f>
        <v>#NAME?</v>
      </c>
      <c r="E208" s="44">
        <v>6</v>
      </c>
      <c r="F208" s="44"/>
      <c r="G208" s="17">
        <v>6</v>
      </c>
      <c r="H208" s="3"/>
      <c r="I208" s="6"/>
      <c r="J208" s="6"/>
      <c r="K208" s="6"/>
      <c r="L208" s="6"/>
      <c r="M208" s="6"/>
      <c r="N208" s="4"/>
      <c r="O208" s="6"/>
      <c r="P208" s="6"/>
      <c r="Q208" s="6"/>
      <c r="R208" s="6"/>
      <c r="S208" s="6"/>
    </row>
    <row r="209" spans="1:19" x14ac:dyDescent="0.3">
      <c r="A209" s="2"/>
      <c r="B209" s="44" t="s">
        <v>231</v>
      </c>
      <c r="C209" s="44" t="s">
        <v>233</v>
      </c>
      <c r="D209" s="44" t="e" vm="1">
        <f ca="1">_xlfn.DISPIMG("ID_90831F9D83234434B8FB315D3733557D",1)</f>
        <v>#NAME?</v>
      </c>
      <c r="E209" s="44">
        <v>6</v>
      </c>
      <c r="F209" s="44"/>
      <c r="G209" s="17">
        <v>6</v>
      </c>
      <c r="H209" s="3"/>
      <c r="I209" s="6"/>
      <c r="J209" s="6"/>
      <c r="K209" s="6"/>
      <c r="L209" s="6"/>
      <c r="M209" s="6"/>
      <c r="N209" s="4"/>
      <c r="O209" s="6"/>
      <c r="P209" s="6"/>
      <c r="Q209" s="6"/>
      <c r="R209" s="6"/>
      <c r="S209" s="6"/>
    </row>
    <row r="210" spans="1:19" x14ac:dyDescent="0.3">
      <c r="A210" s="2"/>
      <c r="B210" s="44">
        <v>1270308</v>
      </c>
      <c r="C210" s="44" t="s">
        <v>234</v>
      </c>
      <c r="D210" s="44" t="e" vm="1">
        <f ca="1">_xlfn.DISPIMG("ID_EF72F43E67B94971BB62EA8C99FF269E",1)</f>
        <v>#NAME?</v>
      </c>
      <c r="E210" s="44">
        <v>4</v>
      </c>
      <c r="F210" s="44"/>
      <c r="G210" s="17">
        <v>4</v>
      </c>
      <c r="H210" s="3"/>
      <c r="I210" s="6"/>
      <c r="J210" s="6"/>
      <c r="K210" s="6"/>
      <c r="L210" s="6"/>
      <c r="M210" s="6"/>
      <c r="N210" s="4"/>
      <c r="O210" s="6"/>
      <c r="P210" s="6"/>
      <c r="Q210" s="6"/>
      <c r="R210" s="6"/>
      <c r="S210" s="6"/>
    </row>
    <row r="211" spans="1:19" x14ac:dyDescent="0.3">
      <c r="A211" s="2"/>
      <c r="B211" s="44"/>
      <c r="C211" s="44" t="s">
        <v>337</v>
      </c>
      <c r="D211" s="44" t="e" vm="1">
        <f ca="1">_xlfn.DISPIMG("ID_1705F29A37104C6FB373085310EA417D",1)</f>
        <v>#NAME?</v>
      </c>
      <c r="E211" s="44">
        <v>4</v>
      </c>
      <c r="F211" s="44"/>
      <c r="G211" s="17">
        <v>4</v>
      </c>
      <c r="H211" s="3"/>
      <c r="I211" s="6"/>
      <c r="J211" s="6"/>
      <c r="K211" s="6"/>
      <c r="L211" s="6"/>
      <c r="M211" s="6"/>
      <c r="N211" s="4"/>
      <c r="O211" s="6"/>
      <c r="P211" s="6"/>
      <c r="Q211" s="6"/>
      <c r="R211" s="6"/>
      <c r="S211" s="6"/>
    </row>
    <row r="212" spans="1:19" x14ac:dyDescent="0.3">
      <c r="A212" s="2"/>
      <c r="B212" s="44" t="s">
        <v>236</v>
      </c>
      <c r="C212" s="44" t="s">
        <v>237</v>
      </c>
      <c r="D212" s="44" t="e" vm="1">
        <f ca="1">_xlfn.DISPIMG("ID_B7FCBFBB67A445BEB74272CB63F88192",1)</f>
        <v>#NAME?</v>
      </c>
      <c r="E212" s="44">
        <v>4</v>
      </c>
      <c r="F212" s="44"/>
      <c r="G212" s="17">
        <v>4</v>
      </c>
      <c r="H212" s="3"/>
      <c r="I212" s="6"/>
      <c r="J212" s="6"/>
      <c r="K212" s="6"/>
      <c r="L212" s="6"/>
      <c r="M212" s="6"/>
      <c r="N212" s="4"/>
      <c r="O212" s="6"/>
      <c r="P212" s="6"/>
      <c r="Q212" s="6"/>
      <c r="R212" s="6"/>
      <c r="S212" s="6"/>
    </row>
    <row r="213" spans="1:19" x14ac:dyDescent="0.3">
      <c r="A213" s="2"/>
      <c r="B213" s="44" t="s">
        <v>231</v>
      </c>
      <c r="C213" s="44" t="s">
        <v>235</v>
      </c>
      <c r="D213" s="44" t="e" vm="1">
        <f ca="1">_xlfn.DISPIMG("ID_D8D38A42B8484F9982CA3E759BF98D9A",1)</f>
        <v>#NAME?</v>
      </c>
      <c r="E213" s="44">
        <v>12</v>
      </c>
      <c r="F213" s="44"/>
      <c r="G213" s="17">
        <v>12</v>
      </c>
      <c r="H213" s="3"/>
      <c r="I213" s="6"/>
      <c r="J213" s="6"/>
      <c r="K213" s="6"/>
      <c r="L213" s="6"/>
      <c r="M213" s="6"/>
      <c r="N213" s="4"/>
      <c r="O213" s="6"/>
      <c r="P213" s="6"/>
      <c r="Q213" s="6"/>
      <c r="R213" s="6"/>
      <c r="S213" s="6"/>
    </row>
    <row r="214" spans="1:19" x14ac:dyDescent="0.3">
      <c r="A214" s="2"/>
      <c r="B214" s="44" t="s">
        <v>236</v>
      </c>
      <c r="C214" s="44" t="s">
        <v>238</v>
      </c>
      <c r="D214" s="44" t="e" vm="1">
        <f ca="1">_xlfn.DISPIMG("ID_52A725B7A42D46DCAD453A7CEBC1450F",1)</f>
        <v>#NAME?</v>
      </c>
      <c r="E214" s="44">
        <v>4</v>
      </c>
      <c r="F214" s="44"/>
      <c r="G214" s="17">
        <v>4</v>
      </c>
      <c r="H214" s="3"/>
      <c r="I214" s="6"/>
      <c r="J214" s="6"/>
      <c r="K214" s="6"/>
      <c r="L214" s="6"/>
      <c r="M214" s="6"/>
      <c r="N214" s="4"/>
      <c r="O214" s="6"/>
      <c r="P214" s="6"/>
      <c r="Q214" s="6"/>
      <c r="R214" s="6"/>
      <c r="S214" s="6"/>
    </row>
    <row r="215" spans="1:19" x14ac:dyDescent="0.3">
      <c r="A215" s="2"/>
      <c r="B215" s="44">
        <v>101819</v>
      </c>
      <c r="C215" s="44" t="s">
        <v>239</v>
      </c>
      <c r="D215" s="44" t="e" vm="1">
        <f ca="1">_xlfn.DISPIMG("ID_EBEA81DA1D7349B3A2F063E1F3B542ED",1)</f>
        <v>#NAME?</v>
      </c>
      <c r="E215" s="44">
        <v>8</v>
      </c>
      <c r="F215" s="44"/>
      <c r="G215" s="17">
        <v>8</v>
      </c>
      <c r="H215" s="3"/>
      <c r="I215" s="6"/>
      <c r="J215" s="6"/>
      <c r="K215" s="6"/>
      <c r="L215" s="6"/>
      <c r="M215" s="6"/>
      <c r="N215" s="4"/>
      <c r="O215" s="6"/>
      <c r="P215" s="6"/>
      <c r="Q215" s="6"/>
      <c r="R215" s="6"/>
      <c r="S215" s="6"/>
    </row>
    <row r="216" spans="1:19" x14ac:dyDescent="0.3">
      <c r="A216" s="2"/>
      <c r="B216" s="47"/>
      <c r="C216" s="44" t="s">
        <v>240</v>
      </c>
      <c r="D216" s="47" t="e" vm="1">
        <f ca="1">_xlfn.DISPIMG("ID_8D2C1346C4BB485C8287FC32E8AAD538",1)</f>
        <v>#NAME?</v>
      </c>
      <c r="E216" s="47">
        <v>3</v>
      </c>
      <c r="F216" s="47"/>
      <c r="G216" s="17">
        <v>3</v>
      </c>
      <c r="H216" s="3"/>
      <c r="I216" s="6"/>
      <c r="J216" s="6"/>
      <c r="K216" s="6"/>
      <c r="L216" s="6"/>
      <c r="M216" s="6"/>
      <c r="N216" s="4"/>
      <c r="O216" s="6"/>
      <c r="P216" s="6"/>
      <c r="Q216" s="6"/>
      <c r="R216" s="6"/>
      <c r="S216" s="6"/>
    </row>
    <row r="217" spans="1:19" x14ac:dyDescent="0.3">
      <c r="A217" s="2"/>
      <c r="B217" s="47" t="s">
        <v>313</v>
      </c>
      <c r="C217" s="47" t="s">
        <v>241</v>
      </c>
      <c r="D217" s="47" t="e" vm="1">
        <f ca="1">_xlfn.DISPIMG("ID_785E86809788490881A0944678C06015",1)</f>
        <v>#NAME?</v>
      </c>
      <c r="E217" s="47">
        <v>15</v>
      </c>
      <c r="F217" s="47">
        <v>6</v>
      </c>
      <c r="G217" s="17">
        <v>9</v>
      </c>
      <c r="H217" s="3"/>
      <c r="I217" s="6"/>
      <c r="J217" s="6"/>
      <c r="K217" s="6"/>
      <c r="L217" s="6"/>
      <c r="M217" s="6"/>
      <c r="N217" s="4"/>
      <c r="O217" s="6"/>
      <c r="P217" s="6"/>
      <c r="Q217" s="6"/>
      <c r="R217" s="6"/>
      <c r="S217" s="6"/>
    </row>
    <row r="218" spans="1:19" x14ac:dyDescent="0.3">
      <c r="A218" s="2"/>
      <c r="B218" s="47"/>
      <c r="C218" s="47" t="s">
        <v>242</v>
      </c>
      <c r="D218" s="47" t="e" vm="1">
        <f ca="1">_xlfn.DISPIMG("ID_B5ED7E2B344845B9856884111556539F",1)</f>
        <v>#NAME?</v>
      </c>
      <c r="E218" s="47">
        <v>183</v>
      </c>
      <c r="F218" s="47">
        <v>24</v>
      </c>
      <c r="G218" s="17">
        <v>159</v>
      </c>
      <c r="H218" s="3"/>
      <c r="I218" s="6"/>
      <c r="J218" s="6"/>
      <c r="K218" s="6"/>
      <c r="L218" s="6"/>
      <c r="M218" s="6"/>
      <c r="N218" s="4"/>
      <c r="O218" s="6"/>
      <c r="P218" s="6"/>
      <c r="Q218" s="6"/>
      <c r="R218" s="6"/>
      <c r="S218" s="6"/>
    </row>
    <row r="219" spans="1:19" x14ac:dyDescent="0.3">
      <c r="A219" s="2"/>
      <c r="B219" s="47"/>
      <c r="C219" s="47" t="s">
        <v>243</v>
      </c>
      <c r="D219" s="47" t="e" vm="1">
        <f ca="1">_xlfn.DISPIMG("ID_B747D6D1E8EE487DB8A9D7F503F052BD",1)</f>
        <v>#NAME?</v>
      </c>
      <c r="E219" s="47">
        <v>66</v>
      </c>
      <c r="F219" s="47"/>
      <c r="G219" s="17">
        <v>66</v>
      </c>
      <c r="H219" s="3"/>
      <c r="I219" s="6"/>
      <c r="J219" s="6"/>
      <c r="K219" s="6"/>
      <c r="L219" s="6"/>
      <c r="M219" s="6"/>
      <c r="N219" s="4"/>
      <c r="O219" s="6"/>
      <c r="P219" s="6"/>
      <c r="Q219" s="6"/>
      <c r="R219" s="6"/>
      <c r="S219" s="6"/>
    </row>
    <row r="220" spans="1:19" x14ac:dyDescent="0.3">
      <c r="A220" s="2"/>
      <c r="B220" s="47"/>
      <c r="C220" s="44" t="s">
        <v>307</v>
      </c>
      <c r="D220" s="47" t="e" vm="1">
        <f ca="1">_xlfn.DISPIMG("ID_2A1699B4F4F14DB582EC75F0476D0A36",1)</f>
        <v>#NAME?</v>
      </c>
      <c r="E220" s="47">
        <v>1</v>
      </c>
      <c r="F220" s="47"/>
      <c r="G220" s="17">
        <v>1</v>
      </c>
      <c r="H220" s="3"/>
      <c r="I220" s="6"/>
      <c r="J220" s="6"/>
      <c r="K220" s="6"/>
      <c r="L220" s="6"/>
      <c r="M220" s="6"/>
      <c r="N220" s="4"/>
      <c r="O220" s="6"/>
      <c r="P220" s="6"/>
      <c r="Q220" s="6"/>
      <c r="R220" s="6"/>
      <c r="S220" s="6"/>
    </row>
    <row r="221" spans="1:19" x14ac:dyDescent="0.3">
      <c r="A221" s="2"/>
      <c r="B221" s="47"/>
      <c r="C221" s="44" t="s">
        <v>244</v>
      </c>
      <c r="D221" s="47" t="e" vm="1">
        <f ca="1">_xlfn.DISPIMG("ID_268CCDC2A1794ECDA0BBA2DC2AF86996",1)</f>
        <v>#NAME?</v>
      </c>
      <c r="E221" s="47">
        <v>10</v>
      </c>
      <c r="F221" s="47"/>
      <c r="G221" s="17">
        <v>10</v>
      </c>
      <c r="H221" s="3"/>
      <c r="I221" s="6"/>
      <c r="J221" s="6"/>
      <c r="K221" s="6"/>
      <c r="L221" s="6"/>
      <c r="M221" s="6"/>
      <c r="N221" s="4"/>
      <c r="O221" s="6"/>
      <c r="P221" s="6"/>
      <c r="Q221" s="6"/>
      <c r="R221" s="6"/>
      <c r="S221" s="6"/>
    </row>
    <row r="222" spans="1:19" x14ac:dyDescent="0.3">
      <c r="A222" s="2"/>
      <c r="B222" s="52"/>
      <c r="C222" s="53" t="s">
        <v>245</v>
      </c>
      <c r="D222" s="52" t="e" vm="1">
        <f ca="1">_xlfn.DISPIMG("ID_BB0DC1D147E74351B43B9F2EA7F259EC",1)</f>
        <v>#NAME?</v>
      </c>
      <c r="E222" s="52">
        <v>2</v>
      </c>
      <c r="F222" s="52"/>
      <c r="G222" s="54">
        <v>2</v>
      </c>
      <c r="H222" s="3"/>
      <c r="I222" s="6"/>
      <c r="J222" s="6"/>
      <c r="K222" s="6"/>
      <c r="L222" s="6"/>
      <c r="M222" s="6"/>
      <c r="N222" s="4"/>
      <c r="O222" s="6"/>
      <c r="P222" s="6"/>
      <c r="Q222" s="6"/>
      <c r="R222" s="6"/>
      <c r="S222" s="6"/>
    </row>
    <row r="223" spans="1:19" x14ac:dyDescent="0.3">
      <c r="A223" s="2"/>
      <c r="B223" s="47"/>
      <c r="C223" s="44" t="s">
        <v>246</v>
      </c>
      <c r="D223" s="47" t="e" vm="1">
        <f ca="1">_xlfn.DISPIMG("ID_81D64713D0BA47AC862A23206C40DC13",1)</f>
        <v>#NAME?</v>
      </c>
      <c r="E223" s="47">
        <v>3</v>
      </c>
      <c r="F223" s="47"/>
      <c r="G223" s="17">
        <v>3</v>
      </c>
      <c r="H223" s="3"/>
      <c r="I223" s="6"/>
      <c r="J223" s="6"/>
      <c r="K223" s="6"/>
      <c r="L223" s="6"/>
      <c r="M223" s="6"/>
      <c r="N223" s="4"/>
      <c r="O223" s="6"/>
      <c r="P223" s="6"/>
      <c r="Q223" s="6"/>
      <c r="R223" s="6"/>
      <c r="S223" s="6"/>
    </row>
    <row r="224" spans="1:19" x14ac:dyDescent="0.3">
      <c r="A224" s="2"/>
      <c r="B224" s="47"/>
      <c r="C224" s="44" t="s">
        <v>247</v>
      </c>
      <c r="D224" s="47" t="e" vm="1">
        <f ca="1">_xlfn.DISPIMG("ID_F669E896C1DE4354B05F2E2DD8B1E9EB",1)</f>
        <v>#NAME?</v>
      </c>
      <c r="E224" s="47">
        <v>23</v>
      </c>
      <c r="F224" s="47"/>
      <c r="G224" s="17">
        <v>23</v>
      </c>
      <c r="H224" s="3"/>
      <c r="I224" s="6"/>
      <c r="J224" s="6"/>
      <c r="K224" s="6"/>
      <c r="L224" s="6"/>
      <c r="M224" s="6"/>
      <c r="N224" s="4"/>
      <c r="O224" s="6"/>
      <c r="P224" s="6"/>
      <c r="Q224" s="6"/>
      <c r="R224" s="6"/>
      <c r="S224" s="6"/>
    </row>
    <row r="225" spans="1:19" x14ac:dyDescent="0.3">
      <c r="A225" s="2"/>
      <c r="B225" s="47" t="s">
        <v>172</v>
      </c>
      <c r="C225" s="44" t="s">
        <v>248</v>
      </c>
      <c r="D225" s="47" t="e" vm="1">
        <f ca="1">_xlfn.DISPIMG("ID_61177FD344AC41ECB0C14D684BF036B5",1)</f>
        <v>#NAME?</v>
      </c>
      <c r="E225" s="47">
        <v>12</v>
      </c>
      <c r="F225" s="47"/>
      <c r="G225" s="17">
        <v>12</v>
      </c>
      <c r="H225" s="3"/>
      <c r="I225" s="6"/>
      <c r="J225" s="6"/>
      <c r="K225" s="6"/>
      <c r="L225" s="6"/>
      <c r="M225" s="6"/>
      <c r="N225" s="4"/>
      <c r="O225" s="6"/>
      <c r="P225" s="6"/>
      <c r="Q225" s="6"/>
      <c r="R225" s="6"/>
      <c r="S225" s="6"/>
    </row>
    <row r="226" spans="1:19" x14ac:dyDescent="0.3">
      <c r="A226" s="2"/>
      <c r="B226" s="47"/>
      <c r="C226" s="47" t="s">
        <v>314</v>
      </c>
      <c r="D226" s="47" t="e" vm="1">
        <f ca="1">_xlfn.DISPIMG("ID_7858F06D52074C00BD87754B837DC44C",1)</f>
        <v>#NAME?</v>
      </c>
      <c r="E226" s="47">
        <v>4</v>
      </c>
      <c r="F226" s="47"/>
      <c r="G226" s="17">
        <v>4</v>
      </c>
      <c r="H226" s="3"/>
      <c r="I226" s="6"/>
      <c r="J226" s="6"/>
      <c r="K226" s="6"/>
      <c r="L226" s="6"/>
      <c r="M226" s="6"/>
      <c r="N226" s="4"/>
      <c r="O226" s="6"/>
      <c r="P226" s="6"/>
      <c r="Q226" s="6"/>
      <c r="R226" s="6"/>
      <c r="S226" s="6"/>
    </row>
    <row r="227" spans="1:19" x14ac:dyDescent="0.3">
      <c r="A227" s="2"/>
      <c r="B227" s="47"/>
      <c r="C227" s="47" t="s">
        <v>249</v>
      </c>
      <c r="D227" s="47" t="e" vm="1">
        <f ca="1">_xlfn.DISPIMG("ID_F15640227C0744579167F95D99AB6C01",1)</f>
        <v>#NAME?</v>
      </c>
      <c r="E227" s="47">
        <v>4</v>
      </c>
      <c r="F227" s="47"/>
      <c r="G227" s="17">
        <v>4</v>
      </c>
      <c r="H227" s="3"/>
      <c r="I227" s="6"/>
      <c r="J227" s="6"/>
      <c r="K227" s="6"/>
      <c r="L227" s="6"/>
      <c r="M227" s="6"/>
      <c r="N227" s="4"/>
      <c r="O227" s="6"/>
      <c r="P227" s="6"/>
      <c r="Q227" s="6"/>
      <c r="R227" s="6"/>
      <c r="S227" s="6"/>
    </row>
    <row r="228" spans="1:19" x14ac:dyDescent="0.3">
      <c r="A228" s="2"/>
      <c r="B228" s="47">
        <v>110908</v>
      </c>
      <c r="C228" s="44" t="s">
        <v>250</v>
      </c>
      <c r="D228" s="47" t="e" vm="1">
        <f ca="1">_xlfn.DISPIMG("ID_2C3501B0CD2D4E5AADC77980102BDA39",1)</f>
        <v>#NAME?</v>
      </c>
      <c r="E228" s="47">
        <v>4</v>
      </c>
      <c r="F228" s="47"/>
      <c r="G228" s="17">
        <v>4</v>
      </c>
      <c r="H228" s="3"/>
      <c r="I228" s="6"/>
      <c r="J228" s="6"/>
      <c r="K228" s="6"/>
      <c r="L228" s="6"/>
      <c r="M228" s="6"/>
      <c r="N228" s="4"/>
      <c r="O228" s="6"/>
      <c r="P228" s="6"/>
      <c r="Q228" s="6"/>
      <c r="R228" s="6"/>
      <c r="S228" s="6"/>
    </row>
    <row r="229" spans="1:19" x14ac:dyDescent="0.3">
      <c r="A229" s="2"/>
      <c r="B229" s="47" t="s">
        <v>251</v>
      </c>
      <c r="C229" s="44" t="s">
        <v>252</v>
      </c>
      <c r="D229" s="47" t="e" vm="1">
        <f ca="1">_xlfn.DISPIMG("ID_DC2AC84874FE4DE39CEC5CB3441DEBF2",1)</f>
        <v>#NAME?</v>
      </c>
      <c r="E229" s="47">
        <v>10</v>
      </c>
      <c r="F229" s="47"/>
      <c r="G229" s="17">
        <v>10</v>
      </c>
      <c r="H229" s="3"/>
      <c r="I229" s="6"/>
      <c r="J229" s="6"/>
      <c r="K229" s="6"/>
      <c r="L229" s="6"/>
      <c r="M229" s="6"/>
      <c r="N229" s="4"/>
      <c r="O229" s="6"/>
      <c r="P229" s="6"/>
      <c r="Q229" s="6"/>
      <c r="R229" s="6"/>
      <c r="S229" s="6"/>
    </row>
    <row r="230" spans="1:19" x14ac:dyDescent="0.3">
      <c r="A230" s="2"/>
      <c r="B230" s="47" t="s">
        <v>251</v>
      </c>
      <c r="C230" s="44" t="s">
        <v>253</v>
      </c>
      <c r="D230" s="47" t="e" vm="1">
        <f ca="1">_xlfn.DISPIMG("ID_71AD36C5E9DB48ADAC223BAE278526E5",1)</f>
        <v>#NAME?</v>
      </c>
      <c r="E230" s="47">
        <v>3</v>
      </c>
      <c r="F230" s="47"/>
      <c r="G230" s="17">
        <v>3</v>
      </c>
      <c r="H230" s="3"/>
      <c r="I230" s="6"/>
      <c r="J230" s="6"/>
      <c r="K230" s="6"/>
      <c r="L230" s="6"/>
      <c r="M230" s="6"/>
      <c r="N230" s="4"/>
      <c r="O230" s="6"/>
      <c r="P230" s="6"/>
      <c r="Q230" s="6"/>
      <c r="R230" s="6"/>
      <c r="S230" s="6"/>
    </row>
    <row r="231" spans="1:19" x14ac:dyDescent="0.3">
      <c r="A231" s="2"/>
      <c r="B231" s="47">
        <v>1100201</v>
      </c>
      <c r="C231" s="47" t="s">
        <v>254</v>
      </c>
      <c r="D231" s="47" t="e" vm="1">
        <f ca="1">_xlfn.DISPIMG("ID_1EA0A81F887E4E24B07EF55140652EA9",1)</f>
        <v>#NAME?</v>
      </c>
      <c r="E231" s="47">
        <v>4</v>
      </c>
      <c r="F231" s="47"/>
      <c r="G231" s="17">
        <v>4</v>
      </c>
      <c r="H231" s="3"/>
      <c r="I231" s="6"/>
      <c r="J231" s="6"/>
      <c r="K231" s="6"/>
      <c r="L231" s="6"/>
      <c r="M231" s="6"/>
      <c r="N231" s="4"/>
      <c r="O231" s="6"/>
      <c r="P231" s="6"/>
      <c r="Q231" s="6"/>
      <c r="R231" s="6"/>
      <c r="S231" s="6"/>
    </row>
    <row r="232" spans="1:19" x14ac:dyDescent="0.3">
      <c r="A232" s="2"/>
      <c r="B232" s="47">
        <v>1222234</v>
      </c>
      <c r="C232" s="47" t="s">
        <v>255</v>
      </c>
      <c r="D232" s="47" t="e" vm="1">
        <f ca="1">_xlfn.DISPIMG("ID_AEDEC4E9A1CA47029B908B094C6B4541",1)</f>
        <v>#NAME?</v>
      </c>
      <c r="E232" s="47">
        <v>1</v>
      </c>
      <c r="F232" s="47"/>
      <c r="G232" s="17">
        <v>1</v>
      </c>
      <c r="H232" s="3"/>
      <c r="I232" s="6"/>
      <c r="J232" s="6"/>
      <c r="K232" s="6"/>
      <c r="L232" s="6"/>
      <c r="M232" s="6"/>
      <c r="N232" s="4"/>
      <c r="O232" s="6"/>
      <c r="P232" s="6"/>
      <c r="Q232" s="6"/>
      <c r="R232" s="6"/>
      <c r="S232" s="6"/>
    </row>
    <row r="233" spans="1:19" x14ac:dyDescent="0.3">
      <c r="A233" s="2"/>
      <c r="B233" s="47">
        <v>1222235</v>
      </c>
      <c r="C233" s="44" t="s">
        <v>256</v>
      </c>
      <c r="D233" s="47" t="e" vm="1">
        <f ca="1">_xlfn.DISPIMG("ID_E0AC5C668DBB4748897C0F635C5E6703",1)</f>
        <v>#NAME?</v>
      </c>
      <c r="E233" s="47">
        <v>1</v>
      </c>
      <c r="F233" s="47"/>
      <c r="G233" s="17">
        <v>1</v>
      </c>
      <c r="H233" s="3"/>
      <c r="I233" s="6"/>
      <c r="J233" s="6"/>
      <c r="K233" s="6"/>
      <c r="L233" s="6"/>
      <c r="M233" s="6"/>
      <c r="N233" s="4"/>
      <c r="O233" s="6"/>
      <c r="P233" s="6"/>
      <c r="Q233" s="6"/>
      <c r="R233" s="6"/>
      <c r="S233" s="6"/>
    </row>
    <row r="234" spans="1:19" x14ac:dyDescent="0.3">
      <c r="A234" s="2"/>
      <c r="B234" s="47">
        <v>1222236</v>
      </c>
      <c r="C234" s="44" t="s">
        <v>257</v>
      </c>
      <c r="D234" s="47" t="e" vm="1">
        <f ca="1">_xlfn.DISPIMG("ID_B9BE0BF72BE149B28B3D47172BFB5825",1)</f>
        <v>#NAME?</v>
      </c>
      <c r="E234" s="47">
        <v>1</v>
      </c>
      <c r="F234" s="47"/>
      <c r="G234" s="17">
        <v>1</v>
      </c>
      <c r="H234" s="3"/>
      <c r="I234" s="6"/>
      <c r="J234" s="6"/>
      <c r="K234" s="6"/>
      <c r="L234" s="6"/>
      <c r="M234" s="6"/>
      <c r="N234" s="4"/>
      <c r="O234" s="6"/>
      <c r="P234" s="6"/>
      <c r="Q234" s="6"/>
      <c r="R234" s="6"/>
      <c r="S234" s="6"/>
    </row>
    <row r="235" spans="1:19" x14ac:dyDescent="0.3">
      <c r="A235" s="2"/>
      <c r="B235" s="47" t="s">
        <v>251</v>
      </c>
      <c r="C235" s="44" t="s">
        <v>258</v>
      </c>
      <c r="D235" s="47" t="e" vm="1">
        <f ca="1">_xlfn.DISPIMG("ID_EA4828AB507647F5947DC96F67387AFD",1)</f>
        <v>#NAME?</v>
      </c>
      <c r="E235" s="47">
        <v>1</v>
      </c>
      <c r="F235" s="47"/>
      <c r="G235" s="17">
        <v>1</v>
      </c>
      <c r="H235" s="3"/>
      <c r="I235" s="6"/>
      <c r="J235" s="6"/>
      <c r="K235" s="6"/>
      <c r="L235" s="6"/>
      <c r="M235" s="6"/>
      <c r="N235" s="4"/>
      <c r="O235" s="6"/>
      <c r="P235" s="6"/>
      <c r="Q235" s="6"/>
      <c r="R235" s="6"/>
      <c r="S235" s="6"/>
    </row>
    <row r="236" spans="1:19" x14ac:dyDescent="0.3">
      <c r="A236" s="2"/>
      <c r="B236" s="47"/>
      <c r="C236" s="44" t="s">
        <v>259</v>
      </c>
      <c r="D236" s="47" t="e" vm="1">
        <f ca="1">_xlfn.DISPIMG("ID_E0E3415BBFB34E74BA8756E1BA9404C8",1)</f>
        <v>#NAME?</v>
      </c>
      <c r="E236" s="47">
        <v>3</v>
      </c>
      <c r="F236" s="47"/>
      <c r="G236" s="17">
        <v>3</v>
      </c>
      <c r="H236" s="3"/>
      <c r="I236" s="6"/>
      <c r="J236" s="6"/>
      <c r="K236" s="6"/>
      <c r="L236" s="6"/>
      <c r="M236" s="6"/>
      <c r="N236" s="4"/>
      <c r="O236" s="6"/>
      <c r="P236" s="6"/>
      <c r="Q236" s="6"/>
      <c r="R236" s="6"/>
      <c r="S236" s="6"/>
    </row>
    <row r="237" spans="1:19" x14ac:dyDescent="0.3">
      <c r="A237" s="2"/>
      <c r="B237" s="47" t="s">
        <v>11</v>
      </c>
      <c r="C237" s="44" t="s">
        <v>311</v>
      </c>
      <c r="D237" s="47" t="e" vm="1">
        <f ca="1">_xlfn.DISPIMG("ID_25F147B087DD4D3EBE84CDBB7FB8AE2D",1)</f>
        <v>#NAME?</v>
      </c>
      <c r="E237" s="47"/>
      <c r="F237" s="47"/>
      <c r="G237" s="17">
        <v>0</v>
      </c>
      <c r="H237" s="3"/>
      <c r="I237" s="6"/>
      <c r="J237" s="6"/>
      <c r="K237" s="6"/>
      <c r="L237" s="6"/>
      <c r="M237" s="6"/>
      <c r="N237" s="4"/>
      <c r="O237" s="6"/>
      <c r="P237" s="6"/>
      <c r="Q237" s="6"/>
      <c r="R237" s="6"/>
      <c r="S237" s="6"/>
    </row>
    <row r="238" spans="1:19" x14ac:dyDescent="0.3">
      <c r="A238" s="2"/>
      <c r="B238" s="47" t="s">
        <v>11</v>
      </c>
      <c r="C238" s="44" t="s">
        <v>261</v>
      </c>
      <c r="D238" s="47" t="e" vm="1">
        <f ca="1">_xlfn.DISPIMG("ID_95D077C320204DBE9E0B2C0CEA5406C0",1)</f>
        <v>#NAME?</v>
      </c>
      <c r="E238" s="47">
        <v>7</v>
      </c>
      <c r="F238" s="47"/>
      <c r="G238" s="17">
        <v>7</v>
      </c>
      <c r="H238" s="3"/>
      <c r="I238" s="6"/>
      <c r="J238" s="6"/>
      <c r="K238" s="6"/>
      <c r="L238" s="6"/>
      <c r="M238" s="6"/>
      <c r="N238" s="4"/>
      <c r="O238" s="6"/>
      <c r="P238" s="6"/>
      <c r="Q238" s="6"/>
      <c r="R238" s="6"/>
      <c r="S238" s="6"/>
    </row>
    <row r="239" spans="1:19" x14ac:dyDescent="0.3">
      <c r="A239" s="2"/>
      <c r="B239" s="47" t="s">
        <v>11</v>
      </c>
      <c r="C239" s="44" t="s">
        <v>262</v>
      </c>
      <c r="D239" s="47" t="e" vm="1">
        <f ca="1">_xlfn.DISPIMG("ID_A25EE6DA8B7A45F99B4DF609BD2B8937",1)</f>
        <v>#NAME?</v>
      </c>
      <c r="E239" s="47">
        <v>1</v>
      </c>
      <c r="F239" s="47"/>
      <c r="G239" s="17">
        <v>1</v>
      </c>
      <c r="H239" s="3"/>
      <c r="I239" s="6"/>
      <c r="J239" s="6"/>
      <c r="K239" s="6"/>
      <c r="L239" s="6"/>
      <c r="M239" s="6"/>
      <c r="N239" s="4"/>
      <c r="O239" s="6"/>
      <c r="P239" s="6"/>
      <c r="Q239" s="6"/>
      <c r="R239" s="6"/>
      <c r="S239" s="6"/>
    </row>
    <row r="240" spans="1:19" x14ac:dyDescent="0.3">
      <c r="A240" s="2"/>
      <c r="B240" s="47" t="s">
        <v>263</v>
      </c>
      <c r="C240" s="44" t="s">
        <v>264</v>
      </c>
      <c r="D240" s="47" t="e" vm="1">
        <f ca="1">_xlfn.DISPIMG("ID_C41E963ADC024598B0AB8C7F5CCA8178",1)</f>
        <v>#NAME?</v>
      </c>
      <c r="E240" s="47">
        <v>4</v>
      </c>
      <c r="F240" s="47"/>
      <c r="G240" s="17">
        <v>4</v>
      </c>
      <c r="H240" s="3"/>
      <c r="I240" s="6"/>
      <c r="J240" s="6"/>
      <c r="K240" s="6"/>
      <c r="L240" s="6"/>
      <c r="M240" s="6"/>
      <c r="N240" s="4"/>
      <c r="O240" s="6"/>
      <c r="P240" s="6"/>
      <c r="Q240" s="6"/>
      <c r="R240" s="6"/>
      <c r="S240" s="6"/>
    </row>
    <row r="241" spans="1:19" x14ac:dyDescent="0.3">
      <c r="A241" s="2"/>
      <c r="B241" s="47" t="s">
        <v>265</v>
      </c>
      <c r="C241" s="44" t="s">
        <v>266</v>
      </c>
      <c r="D241" s="47" t="e" vm="1">
        <f ca="1">_xlfn.DISPIMG("ID_DE31E46AC44B400C873F429ED176D487",1)</f>
        <v>#NAME?</v>
      </c>
      <c r="E241" s="47">
        <v>1</v>
      </c>
      <c r="F241" s="47"/>
      <c r="G241" s="17">
        <v>1</v>
      </c>
      <c r="H241" s="3"/>
      <c r="I241" s="6"/>
      <c r="J241" s="6"/>
      <c r="K241" s="6"/>
      <c r="L241" s="6"/>
      <c r="M241" s="6"/>
      <c r="N241" s="4"/>
      <c r="O241" s="6"/>
      <c r="P241" s="6"/>
      <c r="Q241" s="6"/>
      <c r="R241" s="6"/>
      <c r="S241" s="6"/>
    </row>
    <row r="242" spans="1:19" x14ac:dyDescent="0.3">
      <c r="A242" s="2"/>
      <c r="B242" s="47" t="s">
        <v>11</v>
      </c>
      <c r="C242" s="44" t="s">
        <v>267</v>
      </c>
      <c r="D242" s="47" t="e" vm="1">
        <f ca="1">_xlfn.DISPIMG("ID_9F96EECC1CF049708F00C5BB08561D63",1)</f>
        <v>#NAME?</v>
      </c>
      <c r="E242" s="47">
        <v>1</v>
      </c>
      <c r="F242" s="47"/>
      <c r="G242" s="17">
        <v>1</v>
      </c>
      <c r="H242" s="3"/>
      <c r="I242" s="6"/>
      <c r="J242" s="6"/>
      <c r="K242" s="6"/>
      <c r="L242" s="6"/>
      <c r="M242" s="6"/>
      <c r="N242" s="4"/>
      <c r="O242" s="6"/>
      <c r="P242" s="6"/>
      <c r="Q242" s="6"/>
      <c r="R242" s="6"/>
      <c r="S242" s="6"/>
    </row>
    <row r="243" spans="1:19" x14ac:dyDescent="0.3">
      <c r="A243" s="2"/>
      <c r="B243" s="47" t="s">
        <v>11</v>
      </c>
      <c r="C243" s="44" t="s">
        <v>268</v>
      </c>
      <c r="D243" s="47" t="e" vm="1">
        <f ca="1">_xlfn.DISPIMG("ID_A7F5750D484441EDB18C18D53A938C7C",1)</f>
        <v>#NAME?</v>
      </c>
      <c r="E243" s="47">
        <v>4</v>
      </c>
      <c r="F243" s="47"/>
      <c r="G243" s="17">
        <v>4</v>
      </c>
      <c r="H243" s="3"/>
      <c r="I243" s="6"/>
      <c r="J243" s="6"/>
      <c r="K243" s="6"/>
      <c r="L243" s="6"/>
      <c r="M243" s="6"/>
      <c r="N243" s="4"/>
      <c r="O243" s="6"/>
      <c r="P243" s="6"/>
      <c r="Q243" s="6"/>
      <c r="R243" s="6"/>
      <c r="S243" s="6"/>
    </row>
    <row r="244" spans="1:19" x14ac:dyDescent="0.3">
      <c r="A244" s="2"/>
      <c r="B244" s="47" t="s">
        <v>11</v>
      </c>
      <c r="C244" s="44" t="s">
        <v>269</v>
      </c>
      <c r="D244" s="47" t="e" vm="1">
        <f ca="1">_xlfn.DISPIMG("ID_5E3B522C80A84A6AA7B6571331814A6E",1)</f>
        <v>#NAME?</v>
      </c>
      <c r="E244" s="47">
        <v>1</v>
      </c>
      <c r="F244" s="47"/>
      <c r="G244" s="17">
        <v>1</v>
      </c>
      <c r="H244" s="3"/>
      <c r="I244" s="6"/>
      <c r="J244" s="6"/>
      <c r="K244" s="6"/>
      <c r="L244" s="6"/>
      <c r="M244" s="6"/>
      <c r="N244" s="4"/>
      <c r="O244" s="6"/>
      <c r="P244" s="6"/>
      <c r="Q244" s="6"/>
      <c r="R244" s="6"/>
      <c r="S244" s="6"/>
    </row>
    <row r="245" spans="1:19" x14ac:dyDescent="0.3">
      <c r="A245" s="2"/>
      <c r="B245" s="47">
        <v>7974243</v>
      </c>
      <c r="C245" s="44" t="s">
        <v>270</v>
      </c>
      <c r="D245" s="47" t="e" vm="1">
        <f ca="1">_xlfn.DISPIMG("ID_E91E0E81F7EB4AB381EA4A2930FEA5C9",1)</f>
        <v>#NAME?</v>
      </c>
      <c r="E245" s="47">
        <v>3</v>
      </c>
      <c r="F245" s="47"/>
      <c r="G245" s="17">
        <v>3</v>
      </c>
      <c r="H245" s="3"/>
      <c r="I245" s="6"/>
      <c r="J245" s="6"/>
      <c r="K245" s="6"/>
      <c r="L245" s="6"/>
      <c r="M245" s="6"/>
      <c r="N245" s="4"/>
      <c r="O245" s="6"/>
      <c r="P245" s="6"/>
      <c r="Q245" s="6"/>
      <c r="R245" s="6"/>
      <c r="S245" s="6"/>
    </row>
    <row r="246" spans="1:19" x14ac:dyDescent="0.3">
      <c r="A246" s="2"/>
      <c r="B246" s="47" t="s">
        <v>271</v>
      </c>
      <c r="C246" s="44" t="s">
        <v>272</v>
      </c>
      <c r="D246" s="47" t="e" vm="1">
        <f ca="1">_xlfn.DISPIMG("ID_CDCE4E8E63D1438AB419A8A8D7927CD3",1)</f>
        <v>#NAME?</v>
      </c>
      <c r="E246" s="47">
        <v>2</v>
      </c>
      <c r="F246" s="47"/>
      <c r="G246" s="17">
        <v>2</v>
      </c>
      <c r="H246" s="3"/>
      <c r="I246" s="6"/>
      <c r="J246" s="6"/>
      <c r="K246" s="6"/>
      <c r="L246" s="6"/>
      <c r="M246" s="6"/>
      <c r="N246" s="4"/>
      <c r="O246" s="6"/>
      <c r="P246" s="6"/>
      <c r="Q246" s="6"/>
      <c r="R246" s="6"/>
      <c r="S246" s="6"/>
    </row>
    <row r="247" spans="1:19" x14ac:dyDescent="0.3">
      <c r="A247" s="2"/>
      <c r="B247" s="47">
        <v>477549</v>
      </c>
      <c r="C247" s="44" t="s">
        <v>273</v>
      </c>
      <c r="D247" s="47" t="e" vm="1">
        <f ca="1">_xlfn.DISPIMG("ID_A6E0083D6AF847669478AB9C7DF6C281",1)</f>
        <v>#NAME?</v>
      </c>
      <c r="E247" s="47"/>
      <c r="F247" s="47"/>
      <c r="G247" s="17"/>
      <c r="H247" s="3"/>
      <c r="I247" s="6"/>
      <c r="J247" s="6"/>
      <c r="K247" s="6"/>
      <c r="L247" s="6"/>
      <c r="M247" s="6"/>
      <c r="N247" s="4"/>
      <c r="O247" s="6"/>
      <c r="P247" s="6"/>
      <c r="Q247" s="6"/>
      <c r="R247" s="6"/>
      <c r="S247" s="6"/>
    </row>
    <row r="248" spans="1:19" x14ac:dyDescent="0.3">
      <c r="A248" s="2"/>
      <c r="B248" s="47" t="s">
        <v>274</v>
      </c>
      <c r="C248" s="44" t="s">
        <v>275</v>
      </c>
      <c r="D248" s="47" t="e" vm="1">
        <f ca="1">_xlfn.DISPIMG("ID_33B11575F3D24AD0BC7B7A869778B246",1)</f>
        <v>#NAME?</v>
      </c>
      <c r="E248" s="47">
        <v>8</v>
      </c>
      <c r="F248" s="47"/>
      <c r="G248" s="17">
        <v>8</v>
      </c>
      <c r="H248" s="3"/>
      <c r="I248" s="6"/>
      <c r="J248" s="6"/>
      <c r="K248" s="6"/>
      <c r="L248" s="6"/>
      <c r="M248" s="6"/>
      <c r="N248" s="4"/>
      <c r="O248" s="6"/>
      <c r="P248" s="6"/>
      <c r="Q248" s="6"/>
      <c r="R248" s="6"/>
      <c r="S248" s="6"/>
    </row>
    <row r="249" spans="1:19" x14ac:dyDescent="0.3">
      <c r="A249" s="2"/>
      <c r="B249" s="47" t="s">
        <v>11</v>
      </c>
      <c r="C249" s="44" t="s">
        <v>276</v>
      </c>
      <c r="D249" s="47" t="e" vm="1">
        <f ca="1">_xlfn.DISPIMG("ID_E1124566D03749B79517764E03FC317B",1)</f>
        <v>#NAME?</v>
      </c>
      <c r="E249" s="47">
        <v>1</v>
      </c>
      <c r="F249" s="47"/>
      <c r="G249" s="17">
        <v>1</v>
      </c>
      <c r="H249" s="3"/>
      <c r="I249" s="6"/>
      <c r="J249" s="6"/>
      <c r="K249" s="6"/>
      <c r="L249" s="6"/>
      <c r="M249" s="6"/>
      <c r="N249" s="4"/>
      <c r="O249" s="6"/>
      <c r="P249" s="6"/>
      <c r="Q249" s="6"/>
      <c r="R249" s="6"/>
      <c r="S249" s="6"/>
    </row>
    <row r="250" spans="1:19" x14ac:dyDescent="0.3">
      <c r="A250" s="2"/>
      <c r="B250" s="47" t="s">
        <v>277</v>
      </c>
      <c r="C250" s="44" t="s">
        <v>278</v>
      </c>
      <c r="D250" s="47" t="e" vm="1">
        <f ca="1">_xlfn.DISPIMG("ID_0E9F15BA09BA45869CB85114FB05BDC3",1)</f>
        <v>#NAME?</v>
      </c>
      <c r="E250" s="47">
        <v>1</v>
      </c>
      <c r="F250" s="47"/>
      <c r="G250" s="17">
        <v>1</v>
      </c>
      <c r="H250" s="3"/>
      <c r="I250" s="6"/>
      <c r="J250" s="6"/>
      <c r="K250" s="6"/>
      <c r="L250" s="6"/>
      <c r="M250" s="6"/>
      <c r="N250" s="4"/>
      <c r="O250" s="6"/>
      <c r="P250" s="6"/>
      <c r="Q250" s="6"/>
      <c r="R250" s="6"/>
      <c r="S250" s="6"/>
    </row>
    <row r="251" spans="1:19" x14ac:dyDescent="0.3">
      <c r="A251" s="2"/>
      <c r="B251" s="44">
        <v>624770</v>
      </c>
      <c r="C251" s="44" t="s">
        <v>279</v>
      </c>
      <c r="D251" s="44" t="e" vm="1">
        <f ca="1">_xlfn.DISPIMG("ID_D4AFB2578E974334AFAAD6F2DEA16884",1)</f>
        <v>#NAME?</v>
      </c>
      <c r="E251" s="44">
        <v>1</v>
      </c>
      <c r="F251" s="44"/>
      <c r="G251" s="17">
        <v>1</v>
      </c>
      <c r="H251" s="3"/>
      <c r="I251" s="6"/>
      <c r="J251" s="6"/>
      <c r="K251" s="6"/>
      <c r="L251" s="6"/>
      <c r="M251" s="6"/>
      <c r="N251" s="4"/>
      <c r="O251" s="6"/>
      <c r="P251" s="6"/>
      <c r="Q251" s="6"/>
      <c r="R251" s="6"/>
      <c r="S251" s="6"/>
    </row>
    <row r="252" spans="1:19" x14ac:dyDescent="0.3">
      <c r="A252" s="2"/>
      <c r="B252" s="47" t="s">
        <v>11</v>
      </c>
      <c r="C252" s="44" t="s">
        <v>280</v>
      </c>
      <c r="D252" s="47" t="e" vm="1">
        <f ca="1">_xlfn.DISPIMG("ID_026FDBFA2F734ED8AF65BB0F774D75F3",1)</f>
        <v>#NAME?</v>
      </c>
      <c r="E252" s="47">
        <v>10</v>
      </c>
      <c r="F252" s="47">
        <v>4</v>
      </c>
      <c r="G252" s="17">
        <v>6</v>
      </c>
      <c r="H252" s="3"/>
      <c r="I252" s="6"/>
      <c r="J252" s="6"/>
      <c r="K252" s="6"/>
      <c r="L252" s="6"/>
      <c r="M252" s="6"/>
      <c r="N252" s="4"/>
      <c r="O252" s="6"/>
      <c r="P252" s="6"/>
      <c r="Q252" s="6"/>
      <c r="R252" s="6"/>
      <c r="S252" s="6"/>
    </row>
    <row r="253" spans="1:19" x14ac:dyDescent="0.3">
      <c r="A253" s="2"/>
      <c r="B253" s="47" t="s">
        <v>11</v>
      </c>
      <c r="C253" s="44" t="s">
        <v>281</v>
      </c>
      <c r="D253" s="47" t="e" vm="1">
        <f ca="1">_xlfn.DISPIMG("ID_6CE600C0BB004DD8B05F40B6BE14A2B3",1)</f>
        <v>#NAME?</v>
      </c>
      <c r="E253" s="47">
        <v>2</v>
      </c>
      <c r="F253" s="47">
        <v>1</v>
      </c>
      <c r="G253" s="17">
        <v>2</v>
      </c>
      <c r="H253" s="3"/>
      <c r="I253" s="6"/>
      <c r="J253" s="6"/>
      <c r="K253" s="6"/>
      <c r="L253" s="6"/>
      <c r="M253" s="6"/>
      <c r="N253" s="4"/>
      <c r="O253" s="6"/>
      <c r="P253" s="6"/>
      <c r="Q253" s="6"/>
      <c r="R253" s="6"/>
      <c r="S253" s="6"/>
    </row>
    <row r="254" spans="1:19" x14ac:dyDescent="0.3">
      <c r="A254" s="2"/>
      <c r="B254" s="47" t="s">
        <v>282</v>
      </c>
      <c r="C254" s="44" t="s">
        <v>283</v>
      </c>
      <c r="D254" s="47" t="e" vm="1">
        <f ca="1">_xlfn.DISPIMG("ID_4621F037D7C744F8A096D6FD0D40B30E",1)</f>
        <v>#NAME?</v>
      </c>
      <c r="E254" s="47">
        <v>1</v>
      </c>
      <c r="F254" s="47"/>
      <c r="G254" s="17">
        <v>1</v>
      </c>
      <c r="H254" s="3"/>
      <c r="I254" s="6"/>
      <c r="J254" s="6"/>
      <c r="K254" s="6"/>
      <c r="L254" s="6"/>
      <c r="M254" s="6"/>
      <c r="N254" s="4"/>
      <c r="O254" s="6"/>
      <c r="P254" s="6"/>
      <c r="Q254" s="6"/>
      <c r="R254" s="6"/>
      <c r="S254" s="6"/>
    </row>
    <row r="255" spans="1:19" x14ac:dyDescent="0.3">
      <c r="A255" s="2"/>
      <c r="B255" s="52" t="s">
        <v>282</v>
      </c>
      <c r="C255" s="53" t="s">
        <v>284</v>
      </c>
      <c r="D255" s="52" t="e" vm="1">
        <f ca="1">_xlfn.DISPIMG("ID_B9091DCA7CF44622BF95E4DE631AB3E9",1)</f>
        <v>#NAME?</v>
      </c>
      <c r="E255" s="52">
        <v>1</v>
      </c>
      <c r="F255" s="52"/>
      <c r="G255" s="54">
        <v>1</v>
      </c>
      <c r="H255" s="3"/>
      <c r="I255" s="6"/>
      <c r="J255" s="6"/>
      <c r="K255" s="6"/>
      <c r="L255" s="6"/>
      <c r="M255" s="6"/>
      <c r="N255" s="4"/>
      <c r="O255" s="6"/>
      <c r="P255" s="6"/>
      <c r="Q255" s="6"/>
      <c r="R255" s="6"/>
      <c r="S255" s="6"/>
    </row>
    <row r="256" spans="1:19" x14ac:dyDescent="0.3">
      <c r="A256" s="2"/>
      <c r="B256" s="47" t="s">
        <v>274</v>
      </c>
      <c r="C256" s="44" t="s">
        <v>285</v>
      </c>
      <c r="D256" s="47" t="e" vm="1">
        <f ca="1">_xlfn.DISPIMG("ID_5D04FFE03E4D41E1B815EDE45FEFFC90",1)</f>
        <v>#NAME?</v>
      </c>
      <c r="E256" s="47">
        <v>1</v>
      </c>
      <c r="F256" s="47"/>
      <c r="G256" s="17">
        <v>1</v>
      </c>
      <c r="H256" s="3"/>
      <c r="I256" s="6"/>
      <c r="J256" s="6"/>
      <c r="K256" s="6"/>
      <c r="L256" s="6"/>
      <c r="M256" s="6"/>
      <c r="N256" s="4"/>
      <c r="O256" s="6"/>
      <c r="P256" s="6"/>
      <c r="Q256" s="6"/>
      <c r="R256" s="6"/>
      <c r="S256" s="6"/>
    </row>
    <row r="257" spans="1:19" x14ac:dyDescent="0.3">
      <c r="A257" s="2"/>
      <c r="B257" s="47">
        <v>1232128</v>
      </c>
      <c r="C257" s="47" t="s">
        <v>332</v>
      </c>
      <c r="D257" s="51"/>
      <c r="E257" s="47">
        <v>1</v>
      </c>
      <c r="F257" s="47">
        <v>1</v>
      </c>
      <c r="G257" s="17">
        <v>0</v>
      </c>
      <c r="H257" s="3"/>
      <c r="I257" s="6"/>
      <c r="J257" s="6"/>
      <c r="K257" s="6"/>
      <c r="L257" s="6"/>
      <c r="M257" s="6"/>
      <c r="N257" s="4"/>
      <c r="O257" s="6"/>
      <c r="P257" s="6"/>
      <c r="Q257" s="6"/>
      <c r="R257" s="6"/>
      <c r="S257" s="6"/>
    </row>
    <row r="258" spans="1:19" x14ac:dyDescent="0.3">
      <c r="A258" s="2"/>
      <c r="B258" s="44"/>
      <c r="C258" s="55" t="s">
        <v>347</v>
      </c>
      <c r="D258" s="55" t="e" vm="1">
        <f ca="1">_xlfn.DISPIMG("ID_A825832F9DEF49D499C628C9368620CC",1)</f>
        <v>#NAME?</v>
      </c>
      <c r="E258" s="44"/>
      <c r="F258" s="55"/>
      <c r="G258" s="17"/>
      <c r="H258" s="3"/>
      <c r="I258" s="6"/>
      <c r="J258" s="6"/>
      <c r="K258" s="6"/>
      <c r="L258" s="6"/>
      <c r="M258" s="6"/>
      <c r="N258" s="4"/>
      <c r="O258" s="6"/>
      <c r="P258" s="6"/>
      <c r="Q258" s="6"/>
      <c r="R258" s="6"/>
      <c r="S258" s="6"/>
    </row>
    <row r="259" spans="1:19" x14ac:dyDescent="0.3">
      <c r="A259" s="2"/>
      <c r="B259" s="51"/>
      <c r="C259" s="51" t="s">
        <v>317</v>
      </c>
      <c r="D259" s="51" t="e" vm="1">
        <f ca="1">_xlfn.DISPIMG("ID_B63A8F7153F9439281D0A7631DE80AFA",1)</f>
        <v>#NAME?</v>
      </c>
      <c r="E259" s="47">
        <v>48</v>
      </c>
      <c r="F259" s="51"/>
      <c r="G259" s="17">
        <v>48</v>
      </c>
      <c r="H259" s="3"/>
      <c r="I259" s="6"/>
      <c r="J259" s="6"/>
      <c r="K259" s="6"/>
      <c r="L259" s="6"/>
      <c r="M259" s="6"/>
      <c r="N259" s="4"/>
      <c r="O259" s="6"/>
      <c r="P259" s="6"/>
      <c r="Q259" s="6"/>
      <c r="R259" s="6"/>
      <c r="S259" s="6"/>
    </row>
    <row r="260" spans="1:19" x14ac:dyDescent="0.3">
      <c r="A260" s="2"/>
      <c r="B260" s="56"/>
      <c r="C260" s="56" t="s">
        <v>329</v>
      </c>
      <c r="D260" s="56" t="e" vm="1">
        <f ca="1">_xlfn.DISPIMG("ID_D91D8BFD0F174B58BD4A2C3739CB36E0",1)</f>
        <v>#NAME?</v>
      </c>
      <c r="E260" s="52">
        <v>3</v>
      </c>
      <c r="F260" s="56"/>
      <c r="G260" s="54">
        <v>3</v>
      </c>
      <c r="H260" s="3"/>
      <c r="I260" s="6"/>
      <c r="J260" s="6"/>
      <c r="K260" s="6"/>
      <c r="L260" s="6"/>
      <c r="M260" s="6"/>
      <c r="N260" s="4"/>
      <c r="O260" s="6"/>
      <c r="P260" s="6"/>
      <c r="Q260" s="6"/>
      <c r="R260" s="6"/>
      <c r="S260" s="6"/>
    </row>
    <row r="261" spans="1:19" x14ac:dyDescent="0.3">
      <c r="B261" s="57"/>
      <c r="C261" s="57" t="s">
        <v>348</v>
      </c>
      <c r="D261" s="57" t="e" vm="1">
        <f ca="1">_xlfn.DISPIMG("ID_9C9A422D9ECB4BB6828A5587CAAC8C7B",1)</f>
        <v>#NAME?</v>
      </c>
      <c r="E261" s="58">
        <v>1</v>
      </c>
      <c r="F261" s="58"/>
      <c r="G261" s="58">
        <v>1</v>
      </c>
      <c r="H261" s="59"/>
    </row>
  </sheetData>
  <mergeCells count="5">
    <mergeCell ref="B1:G1"/>
    <mergeCell ref="I1:M1"/>
    <mergeCell ref="O1:S1"/>
    <mergeCell ref="I6:M6"/>
    <mergeCell ref="I9:M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84"/>
  <sheetViews>
    <sheetView tabSelected="1" zoomScale="90" zoomScaleNormal="90" workbookViewId="0">
      <selection activeCell="E23" sqref="E23"/>
    </sheetView>
  </sheetViews>
  <sheetFormatPr baseColWidth="10" defaultColWidth="10" defaultRowHeight="14.4" x14ac:dyDescent="0.3"/>
  <cols>
    <col min="2" max="2" width="18.44140625" bestFit="1" customWidth="1"/>
    <col min="3" max="3" width="31.77734375" bestFit="1" customWidth="1"/>
    <col min="4" max="4" width="16.77734375" hidden="1" customWidth="1"/>
    <col min="5" max="5" width="14.109375" customWidth="1"/>
    <col min="8" max="8" width="0" hidden="1" customWidth="1"/>
  </cols>
  <sheetData>
    <row r="2" spans="1:8" ht="27.6" x14ac:dyDescent="0.3">
      <c r="A2" s="60" t="s">
        <v>286</v>
      </c>
      <c r="B2" s="61" t="s">
        <v>3</v>
      </c>
      <c r="C2" s="61" t="s">
        <v>4</v>
      </c>
      <c r="D2" s="11" t="s">
        <v>5</v>
      </c>
      <c r="E2" s="11" t="s">
        <v>2</v>
      </c>
      <c r="F2" s="11" t="s">
        <v>1</v>
      </c>
      <c r="G2" s="12" t="s">
        <v>6</v>
      </c>
    </row>
    <row r="3" spans="1:8" x14ac:dyDescent="0.3">
      <c r="B3" s="62" t="s">
        <v>11</v>
      </c>
      <c r="C3" s="63" t="s">
        <v>56</v>
      </c>
      <c r="D3" s="62"/>
      <c r="E3" s="62">
        <v>1</v>
      </c>
      <c r="F3" s="62"/>
      <c r="G3" s="62">
        <v>1</v>
      </c>
    </row>
    <row r="4" spans="1:8" x14ac:dyDescent="0.3">
      <c r="B4" s="62" t="s">
        <v>11</v>
      </c>
      <c r="C4" s="63" t="s">
        <v>57</v>
      </c>
      <c r="D4" s="62"/>
      <c r="E4" s="62">
        <v>3</v>
      </c>
      <c r="F4" s="62"/>
      <c r="G4" s="62">
        <v>3</v>
      </c>
    </row>
    <row r="5" spans="1:8" x14ac:dyDescent="0.3">
      <c r="B5" s="64" t="s">
        <v>11</v>
      </c>
      <c r="C5" s="65" t="s">
        <v>58</v>
      </c>
      <c r="D5" s="64"/>
      <c r="E5" s="64">
        <v>3</v>
      </c>
      <c r="F5" s="64"/>
      <c r="G5" s="66">
        <v>3</v>
      </c>
    </row>
    <row r="6" spans="1:8" x14ac:dyDescent="0.3">
      <c r="B6" s="67" t="s">
        <v>23</v>
      </c>
      <c r="C6" s="68" t="s">
        <v>62</v>
      </c>
      <c r="D6" s="67"/>
      <c r="E6" s="67">
        <v>8</v>
      </c>
      <c r="F6" s="67">
        <v>1</v>
      </c>
      <c r="G6" s="62">
        <v>7</v>
      </c>
    </row>
    <row r="7" spans="1:8" x14ac:dyDescent="0.3">
      <c r="B7" s="69">
        <v>516231</v>
      </c>
      <c r="C7" s="70" t="s">
        <v>65</v>
      </c>
      <c r="D7" s="69" t="e" vm="1">
        <f ca="1">_xlfn.DISPIMG("ID_1E70667429044313B9F2D78B7EED4743",1)</f>
        <v>#NAME?</v>
      </c>
      <c r="E7" s="69">
        <v>4</v>
      </c>
      <c r="F7" s="69"/>
      <c r="G7" s="62">
        <v>4</v>
      </c>
      <c r="H7" t="s">
        <v>287</v>
      </c>
    </row>
    <row r="8" spans="1:8" x14ac:dyDescent="0.3">
      <c r="B8" s="67" t="s">
        <v>11</v>
      </c>
      <c r="C8" s="68" t="s">
        <v>72</v>
      </c>
      <c r="D8" s="67"/>
      <c r="E8" s="67">
        <v>1</v>
      </c>
      <c r="F8" s="67"/>
      <c r="G8" s="62">
        <v>1</v>
      </c>
    </row>
    <row r="9" spans="1:8" x14ac:dyDescent="0.3">
      <c r="B9" s="67" t="s">
        <v>75</v>
      </c>
      <c r="C9" s="68" t="s">
        <v>76</v>
      </c>
      <c r="D9" s="67"/>
      <c r="E9" s="67">
        <v>2</v>
      </c>
      <c r="F9" s="67"/>
      <c r="G9" s="62">
        <v>2</v>
      </c>
    </row>
    <row r="10" spans="1:8" x14ac:dyDescent="0.3">
      <c r="B10" s="67" t="s">
        <v>75</v>
      </c>
      <c r="C10" s="68" t="s">
        <v>77</v>
      </c>
      <c r="D10" s="67"/>
      <c r="E10" s="67">
        <v>2</v>
      </c>
      <c r="F10" s="67"/>
      <c r="G10" s="62">
        <v>2</v>
      </c>
    </row>
    <row r="11" spans="1:8" x14ac:dyDescent="0.3">
      <c r="B11" s="69">
        <v>585704</v>
      </c>
      <c r="C11" s="70" t="s">
        <v>90</v>
      </c>
      <c r="D11" s="69" t="e" vm="1">
        <f ca="1">_xlfn.DISPIMG("ID_55ACDCAEDCA94CCDAE3B52D5658C4879",1)</f>
        <v>#NAME?</v>
      </c>
      <c r="E11" s="69">
        <v>13</v>
      </c>
      <c r="F11" s="69"/>
      <c r="G11" s="62">
        <v>13</v>
      </c>
      <c r="H11" t="s">
        <v>288</v>
      </c>
    </row>
    <row r="12" spans="1:8" x14ac:dyDescent="0.3">
      <c r="B12" s="69"/>
      <c r="C12" s="71"/>
      <c r="D12" s="69"/>
      <c r="E12" s="69"/>
      <c r="F12" s="69"/>
      <c r="G12" s="62"/>
    </row>
    <row r="13" spans="1:8" x14ac:dyDescent="0.3">
      <c r="B13" s="67" t="s">
        <v>11</v>
      </c>
      <c r="C13" s="68" t="s">
        <v>111</v>
      </c>
      <c r="D13" s="67"/>
      <c r="E13" s="67">
        <v>6</v>
      </c>
      <c r="F13" s="67"/>
      <c r="G13" s="62">
        <v>6</v>
      </c>
    </row>
    <row r="14" spans="1:8" x14ac:dyDescent="0.3">
      <c r="B14" s="70">
        <v>344227</v>
      </c>
      <c r="C14" s="70" t="s">
        <v>134</v>
      </c>
      <c r="D14" s="70" t="e" vm="1">
        <f ca="1">_xlfn.DISPIMG("ID_66F11B95FCF149A7A7750AA14BA94EB4",1)</f>
        <v>#NAME?</v>
      </c>
      <c r="E14" s="70">
        <v>4</v>
      </c>
      <c r="F14" s="70"/>
      <c r="G14" s="62">
        <v>4</v>
      </c>
    </row>
    <row r="15" spans="1:8" x14ac:dyDescent="0.3">
      <c r="B15" s="69"/>
      <c r="C15" s="70" t="s">
        <v>151</v>
      </c>
      <c r="D15" s="69" t="e" vm="1">
        <f ca="1">_xlfn.DISPIMG("ID_84C51C024CEE4B4BAB3C60DCF241E11C",1)</f>
        <v>#NAME?</v>
      </c>
      <c r="E15" s="69">
        <v>2</v>
      </c>
      <c r="F15" s="69"/>
      <c r="G15" s="62">
        <v>2</v>
      </c>
    </row>
    <row r="16" spans="1:8" x14ac:dyDescent="0.3">
      <c r="B16" s="69">
        <v>659643</v>
      </c>
      <c r="C16" s="70" t="s">
        <v>155</v>
      </c>
      <c r="D16" s="69" t="e" vm="1">
        <f ca="1">_xlfn.DISPIMG("ID_94B60198282242F78810284F2B104264",1)</f>
        <v>#NAME?</v>
      </c>
      <c r="E16" s="69">
        <v>1</v>
      </c>
      <c r="F16" s="69"/>
      <c r="G16" s="62">
        <v>1</v>
      </c>
    </row>
    <row r="17" spans="2:7" x14ac:dyDescent="0.3">
      <c r="B17" s="72" t="s">
        <v>23</v>
      </c>
      <c r="C17" s="68" t="s">
        <v>15</v>
      </c>
      <c r="D17" s="72"/>
      <c r="E17" s="72">
        <v>2</v>
      </c>
      <c r="F17" s="72">
        <v>2</v>
      </c>
      <c r="G17" s="73"/>
    </row>
    <row r="18" spans="2:7" x14ac:dyDescent="0.3">
      <c r="B18" s="70" t="s">
        <v>163</v>
      </c>
      <c r="C18" s="70" t="s">
        <v>164</v>
      </c>
      <c r="D18" s="70" t="e" vm="1">
        <f ca="1">_xlfn.DISPIMG("ID_493F980E95304D719B0120255FED4DA1",1)</f>
        <v>#NAME?</v>
      </c>
      <c r="E18" s="70">
        <v>1</v>
      </c>
      <c r="F18" s="70"/>
      <c r="G18" s="62">
        <v>1</v>
      </c>
    </row>
    <row r="19" spans="2:7" x14ac:dyDescent="0.3">
      <c r="B19" s="70"/>
      <c r="C19" s="70" t="s">
        <v>298</v>
      </c>
      <c r="D19" s="70" t="e" vm="1">
        <f ca="1">_xlfn.DISPIMG("ID_4CA2B8DF94C447669108F7A2EA5535E7",1)</f>
        <v>#NAME?</v>
      </c>
      <c r="E19" s="70">
        <v>75</v>
      </c>
      <c r="F19" s="70"/>
      <c r="G19" s="62">
        <v>75</v>
      </c>
    </row>
    <row r="20" spans="2:7" x14ac:dyDescent="0.3">
      <c r="B20" s="70" t="s">
        <v>168</v>
      </c>
      <c r="C20" s="70" t="s">
        <v>169</v>
      </c>
      <c r="D20" s="70"/>
      <c r="E20" s="70"/>
      <c r="F20" s="70"/>
      <c r="G20" s="62">
        <v>0</v>
      </c>
    </row>
    <row r="21" spans="2:7" x14ac:dyDescent="0.3">
      <c r="B21" s="74" t="s">
        <v>23</v>
      </c>
      <c r="C21" s="75" t="s">
        <v>183</v>
      </c>
      <c r="D21" s="74"/>
      <c r="E21" s="74">
        <v>1</v>
      </c>
      <c r="F21" s="74"/>
      <c r="G21" s="76">
        <v>1</v>
      </c>
    </row>
    <row r="22" spans="2:7" x14ac:dyDescent="0.3">
      <c r="B22" s="69">
        <v>21389452</v>
      </c>
      <c r="C22" s="70" t="s">
        <v>293</v>
      </c>
      <c r="D22" s="69" t="e" vm="1">
        <f ca="1">_xlfn.DISPIMG("ID_D2E87383920645D19501147E97B807EB",1)</f>
        <v>#NAME?</v>
      </c>
      <c r="E22" s="69">
        <v>1</v>
      </c>
      <c r="F22" s="69"/>
      <c r="G22" s="77">
        <v>1</v>
      </c>
    </row>
    <row r="23" spans="2:7" x14ac:dyDescent="0.3">
      <c r="B23" s="69">
        <v>3098964</v>
      </c>
      <c r="C23" s="70" t="s">
        <v>184</v>
      </c>
      <c r="D23" s="69" t="e" vm="1">
        <f ca="1">_xlfn.DISPIMG("ID_808CFF0EDF6C49399690BC4B78B7CAF5",1)</f>
        <v>#NAME?</v>
      </c>
      <c r="E23" s="69">
        <v>1</v>
      </c>
      <c r="F23" s="69"/>
      <c r="G23" s="77">
        <v>1</v>
      </c>
    </row>
    <row r="24" spans="2:7" x14ac:dyDescent="0.3">
      <c r="B24" s="69">
        <v>100099</v>
      </c>
      <c r="C24" s="70" t="s">
        <v>295</v>
      </c>
      <c r="D24" s="69" t="e" vm="1">
        <f ca="1">_xlfn.DISPIMG("ID_EF02FF2809994AECBC7EDAE8C4E79A5A",1)</f>
        <v>#NAME?</v>
      </c>
      <c r="E24" s="69">
        <v>8</v>
      </c>
      <c r="F24" s="69"/>
      <c r="G24" s="77">
        <v>8</v>
      </c>
    </row>
    <row r="25" spans="2:7" x14ac:dyDescent="0.3">
      <c r="B25" s="67" t="s">
        <v>23</v>
      </c>
      <c r="C25" s="68" t="s">
        <v>188</v>
      </c>
      <c r="D25" s="67"/>
      <c r="E25" s="67">
        <v>3</v>
      </c>
      <c r="F25" s="67"/>
      <c r="G25" s="77">
        <v>3</v>
      </c>
    </row>
    <row r="26" spans="2:7" x14ac:dyDescent="0.3">
      <c r="B26" s="67" t="s">
        <v>23</v>
      </c>
      <c r="C26" s="68" t="s">
        <v>189</v>
      </c>
      <c r="D26" s="67"/>
      <c r="E26" s="67">
        <v>2</v>
      </c>
      <c r="F26" s="67"/>
      <c r="G26" s="77">
        <v>2</v>
      </c>
    </row>
    <row r="27" spans="2:7" x14ac:dyDescent="0.3">
      <c r="B27" s="67" t="s">
        <v>23</v>
      </c>
      <c r="C27" s="68" t="s">
        <v>190</v>
      </c>
      <c r="D27" s="67"/>
      <c r="E27" s="67">
        <v>5</v>
      </c>
      <c r="F27" s="67"/>
      <c r="G27" s="77">
        <v>5</v>
      </c>
    </row>
    <row r="28" spans="2:7" x14ac:dyDescent="0.3">
      <c r="B28" s="69" t="s">
        <v>191</v>
      </c>
      <c r="C28" s="70" t="s">
        <v>192</v>
      </c>
      <c r="D28" s="69" t="e" vm="1">
        <f ca="1">_xlfn.DISPIMG("ID_E2F75E9905834117A4C7FC55B427505E",1)</f>
        <v>#NAME?</v>
      </c>
      <c r="E28" s="69">
        <v>1</v>
      </c>
      <c r="F28" s="69"/>
      <c r="G28" s="77">
        <v>1</v>
      </c>
    </row>
    <row r="29" spans="2:7" x14ac:dyDescent="0.3">
      <c r="B29" s="67" t="s">
        <v>23</v>
      </c>
      <c r="C29" s="68" t="s">
        <v>193</v>
      </c>
      <c r="D29" s="67"/>
      <c r="E29" s="67">
        <v>2</v>
      </c>
      <c r="F29" s="67"/>
      <c r="G29" s="77">
        <v>2</v>
      </c>
    </row>
    <row r="30" spans="2:7" x14ac:dyDescent="0.3">
      <c r="B30" s="69">
        <v>1252080</v>
      </c>
      <c r="C30" s="70" t="s">
        <v>194</v>
      </c>
      <c r="D30" s="69" t="e" vm="1">
        <f ca="1">_xlfn.DISPIMG("ID_A5E9654217CD408F9457698A7826B2BF",1)</f>
        <v>#NAME?</v>
      </c>
      <c r="E30" s="69">
        <v>1</v>
      </c>
      <c r="F30" s="69"/>
      <c r="G30" s="77">
        <v>1</v>
      </c>
    </row>
    <row r="31" spans="2:7" x14ac:dyDescent="0.3">
      <c r="B31" s="69"/>
      <c r="C31" s="70" t="s">
        <v>301</v>
      </c>
      <c r="D31" s="69" t="e" vm="1">
        <f ca="1">_xlfn.DISPIMG("ID_F728E305A3654229BF958FD49FD66B4F",1)</f>
        <v>#NAME?</v>
      </c>
      <c r="E31" s="69">
        <v>2</v>
      </c>
      <c r="F31" s="69"/>
      <c r="G31" s="77">
        <v>2</v>
      </c>
    </row>
    <row r="32" spans="2:7" x14ac:dyDescent="0.3">
      <c r="B32" s="69" t="s">
        <v>195</v>
      </c>
      <c r="C32" s="70" t="s">
        <v>294</v>
      </c>
      <c r="D32" s="69" t="e" vm="1">
        <f ca="1">_xlfn.DISPIMG("ID_6CECF664D373429AA1C8E5635B0F8592",1)</f>
        <v>#NAME?</v>
      </c>
      <c r="E32" s="69">
        <v>2</v>
      </c>
      <c r="F32" s="69"/>
      <c r="G32" s="77">
        <v>2</v>
      </c>
    </row>
    <row r="33" spans="2:7" x14ac:dyDescent="0.3">
      <c r="B33" s="67" t="s">
        <v>23</v>
      </c>
      <c r="C33" s="68" t="s">
        <v>197</v>
      </c>
      <c r="D33" s="67"/>
      <c r="E33" s="67">
        <v>12</v>
      </c>
      <c r="F33" s="67"/>
      <c r="G33" s="77">
        <v>12</v>
      </c>
    </row>
    <row r="34" spans="2:7" x14ac:dyDescent="0.3">
      <c r="B34" s="67" t="s">
        <v>23</v>
      </c>
      <c r="C34" s="68" t="s">
        <v>199</v>
      </c>
      <c r="D34" s="67"/>
      <c r="E34" s="67">
        <v>6</v>
      </c>
      <c r="F34" s="67"/>
      <c r="G34" s="77">
        <v>6</v>
      </c>
    </row>
    <row r="35" spans="2:7" x14ac:dyDescent="0.3">
      <c r="B35" s="69">
        <v>179609</v>
      </c>
      <c r="C35" s="70" t="s">
        <v>299</v>
      </c>
      <c r="D35" s="69" t="e" vm="1">
        <f ca="1">_xlfn.DISPIMG("ID_999E93DC6FBF4F0D9DE46B6E3B816AAD",1)</f>
        <v>#NAME?</v>
      </c>
      <c r="E35" s="69">
        <v>1</v>
      </c>
      <c r="F35" s="69"/>
      <c r="G35" s="77">
        <v>1</v>
      </c>
    </row>
    <row r="36" spans="2:7" x14ac:dyDescent="0.3">
      <c r="B36" s="67" t="s">
        <v>23</v>
      </c>
      <c r="C36" s="68" t="s">
        <v>200</v>
      </c>
      <c r="D36" s="67"/>
      <c r="E36" s="67">
        <v>1</v>
      </c>
      <c r="F36" s="67"/>
      <c r="G36" s="77">
        <v>1</v>
      </c>
    </row>
    <row r="37" spans="2:7" x14ac:dyDescent="0.3">
      <c r="B37" s="67" t="s">
        <v>23</v>
      </c>
      <c r="C37" s="68" t="s">
        <v>201</v>
      </c>
      <c r="D37" s="67"/>
      <c r="E37" s="67">
        <v>1</v>
      </c>
      <c r="F37" s="67"/>
      <c r="G37" s="77">
        <v>1</v>
      </c>
    </row>
    <row r="38" spans="2:7" x14ac:dyDescent="0.3">
      <c r="B38" s="67" t="s">
        <v>23</v>
      </c>
      <c r="C38" s="68" t="s">
        <v>204</v>
      </c>
      <c r="D38" s="67"/>
      <c r="E38" s="67">
        <v>9</v>
      </c>
      <c r="F38" s="67"/>
      <c r="G38" s="77">
        <v>9</v>
      </c>
    </row>
    <row r="39" spans="2:7" x14ac:dyDescent="0.3">
      <c r="B39" s="69"/>
      <c r="C39" s="70" t="s">
        <v>292</v>
      </c>
      <c r="D39" s="69" t="e" vm="1">
        <f ca="1">_xlfn.DISPIMG("ID_9FAF15F26F344414BBE514A60511F169",1)</f>
        <v>#NAME?</v>
      </c>
      <c r="E39" s="69">
        <v>5</v>
      </c>
      <c r="F39" s="69"/>
      <c r="G39" s="77">
        <v>5</v>
      </c>
    </row>
    <row r="40" spans="2:7" x14ac:dyDescent="0.3">
      <c r="B40" s="67" t="s">
        <v>23</v>
      </c>
      <c r="C40" s="68" t="s">
        <v>206</v>
      </c>
      <c r="D40" s="67"/>
      <c r="E40" s="67">
        <v>2</v>
      </c>
      <c r="F40" s="67"/>
      <c r="G40" s="77">
        <v>2</v>
      </c>
    </row>
    <row r="41" spans="2:7" x14ac:dyDescent="0.3">
      <c r="B41" s="67" t="s">
        <v>23</v>
      </c>
      <c r="C41" s="68" t="s">
        <v>207</v>
      </c>
      <c r="D41" s="67"/>
      <c r="E41" s="67">
        <v>2</v>
      </c>
      <c r="F41" s="67"/>
      <c r="G41" s="77">
        <v>2</v>
      </c>
    </row>
    <row r="42" spans="2:7" x14ac:dyDescent="0.3">
      <c r="B42" s="67" t="s">
        <v>23</v>
      </c>
      <c r="C42" s="68" t="s">
        <v>208</v>
      </c>
      <c r="D42" s="67"/>
      <c r="E42" s="67">
        <v>2</v>
      </c>
      <c r="F42" s="67"/>
      <c r="G42" s="77">
        <v>2</v>
      </c>
    </row>
    <row r="43" spans="2:7" x14ac:dyDescent="0.3">
      <c r="B43" s="69" t="s">
        <v>209</v>
      </c>
      <c r="C43" s="70" t="s">
        <v>210</v>
      </c>
      <c r="D43" s="69" t="e" vm="1">
        <f ca="1">_xlfn.DISPIMG("ID_AECB56CFDAF940D7B736DE844922F71B",1)</f>
        <v>#NAME?</v>
      </c>
      <c r="E43" s="69">
        <v>2</v>
      </c>
      <c r="F43" s="69">
        <v>1</v>
      </c>
      <c r="G43" s="77">
        <v>2</v>
      </c>
    </row>
    <row r="44" spans="2:7" x14ac:dyDescent="0.3">
      <c r="B44" s="69" t="s">
        <v>211</v>
      </c>
      <c r="C44" s="70" t="s">
        <v>212</v>
      </c>
      <c r="D44" s="69" t="e" vm="1">
        <f ca="1">_xlfn.DISPIMG("ID_08CBD7C0EE754495AE066F366F2362E6",1)</f>
        <v>#NAME?</v>
      </c>
      <c r="E44" s="69">
        <v>4</v>
      </c>
      <c r="F44" s="69"/>
      <c r="G44" s="77">
        <v>4</v>
      </c>
    </row>
    <row r="45" spans="2:7" x14ac:dyDescent="0.3">
      <c r="B45" s="67" t="s">
        <v>23</v>
      </c>
      <c r="C45" s="68" t="s">
        <v>213</v>
      </c>
      <c r="D45" s="67"/>
      <c r="E45" s="67">
        <v>1</v>
      </c>
      <c r="F45" s="67"/>
      <c r="G45" s="77">
        <v>1</v>
      </c>
    </row>
    <row r="46" spans="2:7" x14ac:dyDescent="0.3">
      <c r="B46" s="69"/>
      <c r="C46" s="70" t="s">
        <v>214</v>
      </c>
      <c r="D46" s="69" t="e" vm="1">
        <f ca="1">_xlfn.DISPIMG("ID_9A9FC8F934B5420FBEFF7B00A50F0BCE",1)</f>
        <v>#NAME?</v>
      </c>
      <c r="E46" s="69">
        <v>1</v>
      </c>
      <c r="F46" s="69"/>
      <c r="G46" s="77">
        <v>1</v>
      </c>
    </row>
    <row r="47" spans="2:7" x14ac:dyDescent="0.3">
      <c r="B47" s="69"/>
      <c r="C47" s="70" t="s">
        <v>215</v>
      </c>
      <c r="D47" s="69" t="e" vm="1">
        <f ca="1">_xlfn.DISPIMG("ID_742DA747712048D0BEA7BD324E0BA900",1)</f>
        <v>#NAME?</v>
      </c>
      <c r="E47" s="69">
        <v>1</v>
      </c>
      <c r="F47" s="69"/>
      <c r="G47" s="77">
        <v>1</v>
      </c>
    </row>
    <row r="48" spans="2:7" x14ac:dyDescent="0.3">
      <c r="B48" s="69"/>
      <c r="C48" s="70" t="s">
        <v>216</v>
      </c>
      <c r="D48" s="69" t="e" vm="1">
        <f ca="1">_xlfn.DISPIMG("ID_8E842BAE472241A99B5A188D9CD27FF0",1)</f>
        <v>#NAME?</v>
      </c>
      <c r="E48" s="69">
        <v>1</v>
      </c>
      <c r="F48" s="69"/>
      <c r="G48" s="77">
        <v>1</v>
      </c>
    </row>
    <row r="49" spans="2:7" x14ac:dyDescent="0.3">
      <c r="B49" s="69"/>
      <c r="C49" s="70" t="s">
        <v>300</v>
      </c>
      <c r="D49" s="69" t="e" vm="1">
        <f ca="1">_xlfn.DISPIMG("ID_C82BDB3E92F14D75A4AD778DBDF4D4FB",1)</f>
        <v>#NAME?</v>
      </c>
      <c r="E49" s="69">
        <v>395</v>
      </c>
      <c r="F49" s="69"/>
      <c r="G49" s="77">
        <v>395</v>
      </c>
    </row>
    <row r="50" spans="2:7" x14ac:dyDescent="0.3">
      <c r="B50" s="69"/>
      <c r="C50" s="70" t="s">
        <v>240</v>
      </c>
      <c r="D50" s="69" t="e" vm="1">
        <f ca="1">_xlfn.DISPIMG("ID_DC3DE6F5897B4F499D34D28D3D3BF9CC",1)</f>
        <v>#NAME?</v>
      </c>
      <c r="E50" s="69">
        <v>3</v>
      </c>
      <c r="F50" s="69"/>
      <c r="G50" s="77">
        <v>3</v>
      </c>
    </row>
    <row r="51" spans="2:7" x14ac:dyDescent="0.3">
      <c r="B51" s="69"/>
      <c r="C51" s="70" t="s">
        <v>297</v>
      </c>
      <c r="D51" s="69" t="e" vm="1">
        <f ca="1">_xlfn.DISPIMG("ID_64C37BC5D52742F2A112C2F5C237C797",1)</f>
        <v>#NAME?</v>
      </c>
      <c r="E51" s="69">
        <v>1</v>
      </c>
      <c r="F51" s="69"/>
      <c r="G51" s="77">
        <v>1</v>
      </c>
    </row>
    <row r="52" spans="2:7" x14ac:dyDescent="0.3">
      <c r="B52" s="69"/>
      <c r="C52" s="70" t="s">
        <v>244</v>
      </c>
      <c r="D52" s="69" t="e" vm="1">
        <f ca="1">_xlfn.DISPIMG("ID_DE746774BC584D829B7EE70DE17EA9D2",1)</f>
        <v>#NAME?</v>
      </c>
      <c r="E52" s="69">
        <v>10</v>
      </c>
      <c r="F52" s="69"/>
      <c r="G52" s="77">
        <v>10</v>
      </c>
    </row>
    <row r="53" spans="2:7" x14ac:dyDescent="0.3">
      <c r="B53" s="78"/>
      <c r="C53" s="79" t="s">
        <v>245</v>
      </c>
      <c r="D53" s="78" t="e" vm="1">
        <f ca="1">_xlfn.DISPIMG("ID_AAC20C60723F4C8FA82780D367FD685A",1)</f>
        <v>#NAME?</v>
      </c>
      <c r="E53" s="78">
        <v>2</v>
      </c>
      <c r="F53" s="78"/>
      <c r="G53" s="76">
        <v>2</v>
      </c>
    </row>
    <row r="54" spans="2:7" x14ac:dyDescent="0.3">
      <c r="B54" s="69"/>
      <c r="C54" s="70" t="s">
        <v>246</v>
      </c>
      <c r="D54" s="69" t="e" vm="1">
        <f ca="1">_xlfn.DISPIMG("ID_3841B7244A5940E8AB750D38FA904A45",1)</f>
        <v>#NAME?</v>
      </c>
      <c r="E54" s="69">
        <v>3</v>
      </c>
      <c r="F54" s="69"/>
      <c r="G54" s="77">
        <v>3</v>
      </c>
    </row>
    <row r="55" spans="2:7" x14ac:dyDescent="0.3">
      <c r="B55" s="69"/>
      <c r="C55" s="70" t="s">
        <v>247</v>
      </c>
      <c r="D55" s="69" t="e" vm="1">
        <f ca="1">_xlfn.DISPIMG("ID_99518B2058444190AEF74E5F49649DAB",1)</f>
        <v>#NAME?</v>
      </c>
      <c r="E55" s="69">
        <v>23</v>
      </c>
      <c r="F55" s="69"/>
      <c r="G55" s="77">
        <v>23</v>
      </c>
    </row>
    <row r="56" spans="2:7" x14ac:dyDescent="0.3">
      <c r="B56" s="69" t="s">
        <v>172</v>
      </c>
      <c r="C56" s="70" t="s">
        <v>296</v>
      </c>
      <c r="D56" s="69" t="e" vm="1">
        <f ca="1">_xlfn.DISPIMG("ID_4B8FBCB512CA4CD1AF7FF0F03F128BF5",1)</f>
        <v>#NAME?</v>
      </c>
      <c r="E56" s="69">
        <v>12</v>
      </c>
      <c r="F56" s="69"/>
      <c r="G56" s="77">
        <v>12</v>
      </c>
    </row>
    <row r="57" spans="2:7" x14ac:dyDescent="0.3">
      <c r="B57" s="69">
        <v>110908</v>
      </c>
      <c r="C57" s="70" t="s">
        <v>250</v>
      </c>
      <c r="D57" s="69" t="e" vm="1">
        <f ca="1">_xlfn.DISPIMG("ID_ADF28E886BC148558DB8F0405779AD59",1)</f>
        <v>#NAME?</v>
      </c>
      <c r="E57" s="69">
        <v>4</v>
      </c>
      <c r="F57" s="69"/>
      <c r="G57" s="77">
        <v>4</v>
      </c>
    </row>
    <row r="58" spans="2:7" x14ac:dyDescent="0.3">
      <c r="B58" s="69" t="s">
        <v>251</v>
      </c>
      <c r="C58" s="70" t="s">
        <v>252</v>
      </c>
      <c r="D58" s="69" t="e" vm="1">
        <f ca="1">_xlfn.DISPIMG("ID_9E73BCC1249442EC8F45CBB7FBA8AFF0",1)</f>
        <v>#NAME?</v>
      </c>
      <c r="E58" s="69">
        <v>10</v>
      </c>
      <c r="F58" s="69"/>
      <c r="G58" s="77">
        <v>10</v>
      </c>
    </row>
    <row r="59" spans="2:7" x14ac:dyDescent="0.3">
      <c r="B59" s="69" t="s">
        <v>251</v>
      </c>
      <c r="C59" s="70" t="s">
        <v>253</v>
      </c>
      <c r="D59" s="69" t="e" vm="1">
        <f ca="1">_xlfn.DISPIMG("ID_59FB013469CA41A5A5C81D711CC9C050",1)</f>
        <v>#NAME?</v>
      </c>
      <c r="E59" s="69">
        <v>3</v>
      </c>
      <c r="F59" s="69"/>
      <c r="G59" s="77">
        <v>3</v>
      </c>
    </row>
    <row r="60" spans="2:7" x14ac:dyDescent="0.3">
      <c r="B60" s="69">
        <v>1222235</v>
      </c>
      <c r="C60" s="70" t="s">
        <v>256</v>
      </c>
      <c r="D60" s="69" t="e" vm="1">
        <f ca="1">_xlfn.DISPIMG("ID_9BDDFB2198474AC8984A983A111E0190",1)</f>
        <v>#NAME?</v>
      </c>
      <c r="E60" s="69">
        <v>1</v>
      </c>
      <c r="F60" s="69"/>
      <c r="G60" s="77">
        <v>1</v>
      </c>
    </row>
    <row r="61" spans="2:7" x14ac:dyDescent="0.3">
      <c r="B61" s="69">
        <v>1222236</v>
      </c>
      <c r="C61" s="70" t="s">
        <v>257</v>
      </c>
      <c r="D61" s="69" t="e" vm="1">
        <f ca="1">_xlfn.DISPIMG("ID_8B91FB15C35141EDBA091C17DF2AB322",1)</f>
        <v>#NAME?</v>
      </c>
      <c r="E61" s="69">
        <v>1</v>
      </c>
      <c r="F61" s="69"/>
      <c r="G61" s="77">
        <v>1</v>
      </c>
    </row>
    <row r="62" spans="2:7" x14ac:dyDescent="0.3">
      <c r="B62" s="69" t="s">
        <v>251</v>
      </c>
      <c r="C62" s="70" t="s">
        <v>258</v>
      </c>
      <c r="D62" s="69" t="e" vm="1">
        <f ca="1">_xlfn.DISPIMG("ID_9436853EB2854D3681E3D739F012B82C",1)</f>
        <v>#NAME?</v>
      </c>
      <c r="E62" s="69">
        <v>1</v>
      </c>
      <c r="F62" s="69"/>
      <c r="G62" s="77">
        <v>1</v>
      </c>
    </row>
    <row r="63" spans="2:7" x14ac:dyDescent="0.3">
      <c r="B63" s="69"/>
      <c r="C63" s="70" t="s">
        <v>259</v>
      </c>
      <c r="D63" s="69" t="e" vm="1">
        <f ca="1">_xlfn.DISPIMG("ID_C00951F253CB4583B109A6378184F77E",1)</f>
        <v>#NAME?</v>
      </c>
      <c r="E63" s="69">
        <v>3</v>
      </c>
      <c r="F63" s="69"/>
      <c r="G63" s="77">
        <v>3</v>
      </c>
    </row>
    <row r="64" spans="2:7" x14ac:dyDescent="0.3">
      <c r="B64" s="67" t="s">
        <v>11</v>
      </c>
      <c r="C64" s="68" t="s">
        <v>260</v>
      </c>
      <c r="D64" s="67" t="e" vm="1">
        <f ca="1">_xlfn.DISPIMG("ID_7D21907057574AB78EBD66C4E4C88C7D",1)</f>
        <v>#NAME?</v>
      </c>
      <c r="E64" s="67"/>
      <c r="F64" s="67"/>
      <c r="G64" s="77">
        <v>0</v>
      </c>
    </row>
    <row r="65" spans="2:7" x14ac:dyDescent="0.3">
      <c r="B65" s="67" t="s">
        <v>11</v>
      </c>
      <c r="C65" s="68" t="s">
        <v>261</v>
      </c>
      <c r="D65" s="67"/>
      <c r="E65" s="67">
        <v>7</v>
      </c>
      <c r="F65" s="67"/>
      <c r="G65" s="77">
        <v>7</v>
      </c>
    </row>
    <row r="66" spans="2:7" x14ac:dyDescent="0.3">
      <c r="B66" s="67" t="s">
        <v>11</v>
      </c>
      <c r="C66" s="68" t="s">
        <v>262</v>
      </c>
      <c r="D66" s="67"/>
      <c r="E66" s="67">
        <v>1</v>
      </c>
      <c r="F66" s="67"/>
      <c r="G66" s="77">
        <v>1</v>
      </c>
    </row>
    <row r="67" spans="2:7" x14ac:dyDescent="0.3">
      <c r="B67" s="69" t="s">
        <v>263</v>
      </c>
      <c r="C67" s="70" t="s">
        <v>264</v>
      </c>
      <c r="D67" s="69" t="e" vm="1">
        <f ca="1">_xlfn.DISPIMG("ID_2C7C0CAA5DEC4D9D9A1BF62024263F3A",1)</f>
        <v>#NAME?</v>
      </c>
      <c r="E67" s="69">
        <v>4</v>
      </c>
      <c r="F67" s="69"/>
      <c r="G67" s="77">
        <v>4</v>
      </c>
    </row>
    <row r="68" spans="2:7" x14ac:dyDescent="0.3">
      <c r="B68" s="69" t="s">
        <v>265</v>
      </c>
      <c r="C68" s="70" t="s">
        <v>266</v>
      </c>
      <c r="D68" s="69" t="e" vm="1">
        <f ca="1">_xlfn.DISPIMG("ID_A9ACF419F27C4AE8A38815E388A64936",1)</f>
        <v>#NAME?</v>
      </c>
      <c r="E68" s="69">
        <v>1</v>
      </c>
      <c r="F68" s="69"/>
      <c r="G68" s="77">
        <v>1</v>
      </c>
    </row>
    <row r="69" spans="2:7" x14ac:dyDescent="0.3">
      <c r="B69" s="67" t="s">
        <v>11</v>
      </c>
      <c r="C69" s="68" t="s">
        <v>267</v>
      </c>
      <c r="D69" s="67"/>
      <c r="E69" s="67">
        <v>1</v>
      </c>
      <c r="F69" s="67"/>
      <c r="G69" s="77">
        <v>1</v>
      </c>
    </row>
    <row r="70" spans="2:7" x14ac:dyDescent="0.3">
      <c r="B70" s="67" t="s">
        <v>11</v>
      </c>
      <c r="C70" s="68" t="s">
        <v>268</v>
      </c>
      <c r="D70" s="67"/>
      <c r="E70" s="67">
        <v>4</v>
      </c>
      <c r="F70" s="67"/>
      <c r="G70" s="77">
        <v>4</v>
      </c>
    </row>
    <row r="71" spans="2:7" x14ac:dyDescent="0.3">
      <c r="B71" s="67" t="s">
        <v>11</v>
      </c>
      <c r="C71" s="68" t="s">
        <v>269</v>
      </c>
      <c r="D71" s="67"/>
      <c r="E71" s="67">
        <v>1</v>
      </c>
      <c r="F71" s="67"/>
      <c r="G71" s="77">
        <v>1</v>
      </c>
    </row>
    <row r="72" spans="2:7" x14ac:dyDescent="0.3">
      <c r="B72" s="69">
        <v>7974243</v>
      </c>
      <c r="C72" s="70" t="s">
        <v>270</v>
      </c>
      <c r="D72" s="69" t="e" vm="1">
        <f ca="1">_xlfn.DISPIMG("ID_1A05E6D44F1E4A6DA27594FF8A20E1EC",1)</f>
        <v>#NAME?</v>
      </c>
      <c r="E72" s="69">
        <v>3</v>
      </c>
      <c r="F72" s="69"/>
      <c r="G72" s="77">
        <v>3</v>
      </c>
    </row>
    <row r="73" spans="2:7" x14ac:dyDescent="0.3">
      <c r="B73" s="69" t="s">
        <v>271</v>
      </c>
      <c r="C73" s="70" t="s">
        <v>272</v>
      </c>
      <c r="D73" s="69" t="e" vm="1">
        <f ca="1">_xlfn.DISPIMG("ID_54207961CCB8428E8539804B08B57E50",1)</f>
        <v>#NAME?</v>
      </c>
      <c r="E73" s="69">
        <v>2</v>
      </c>
      <c r="F73" s="69"/>
      <c r="G73" s="77">
        <v>2</v>
      </c>
    </row>
    <row r="74" spans="2:7" x14ac:dyDescent="0.3">
      <c r="B74" s="69">
        <v>477549</v>
      </c>
      <c r="C74" s="70" t="s">
        <v>273</v>
      </c>
      <c r="D74" s="69" t="e" vm="1">
        <f ca="1">_xlfn.DISPIMG("ID_36CA9FD556DE4CE99C672CF156D21948",1)</f>
        <v>#NAME?</v>
      </c>
      <c r="E74" s="69"/>
      <c r="F74" s="69"/>
      <c r="G74" s="77">
        <v>0</v>
      </c>
    </row>
    <row r="75" spans="2:7" x14ac:dyDescent="0.3">
      <c r="B75" s="69" t="s">
        <v>274</v>
      </c>
      <c r="C75" s="70" t="s">
        <v>275</v>
      </c>
      <c r="D75" s="69" t="e" vm="1">
        <f ca="1">_xlfn.DISPIMG("ID_E8E9DB29E93440BF92999F56984A212A",1)</f>
        <v>#NAME?</v>
      </c>
      <c r="E75" s="69">
        <v>8</v>
      </c>
      <c r="F75" s="69"/>
      <c r="G75" s="77">
        <v>8</v>
      </c>
    </row>
    <row r="76" spans="2:7" x14ac:dyDescent="0.3">
      <c r="B76" s="67" t="s">
        <v>11</v>
      </c>
      <c r="C76" s="68" t="s">
        <v>276</v>
      </c>
      <c r="D76" s="67"/>
      <c r="E76" s="67">
        <v>1</v>
      </c>
      <c r="F76" s="67"/>
      <c r="G76" s="77">
        <v>1</v>
      </c>
    </row>
    <row r="77" spans="2:7" x14ac:dyDescent="0.3">
      <c r="B77" s="69" t="s">
        <v>277</v>
      </c>
      <c r="C77" s="70" t="s">
        <v>278</v>
      </c>
      <c r="D77" s="69" t="e" vm="1">
        <f ca="1">_xlfn.DISPIMG("ID_AC281499B3CA407591323096C570A4E0",1)</f>
        <v>#NAME?</v>
      </c>
      <c r="E77" s="69">
        <v>4</v>
      </c>
      <c r="F77" s="69"/>
      <c r="G77" s="77">
        <v>4</v>
      </c>
    </row>
    <row r="78" spans="2:7" x14ac:dyDescent="0.3">
      <c r="B78" s="67" t="s">
        <v>11</v>
      </c>
      <c r="C78" s="68" t="s">
        <v>280</v>
      </c>
      <c r="D78" s="67"/>
      <c r="E78" s="67">
        <v>10</v>
      </c>
      <c r="F78" s="67">
        <v>3</v>
      </c>
      <c r="G78" s="77">
        <v>7</v>
      </c>
    </row>
    <row r="79" spans="2:7" x14ac:dyDescent="0.3">
      <c r="B79" s="67" t="s">
        <v>11</v>
      </c>
      <c r="C79" s="68" t="s">
        <v>281</v>
      </c>
      <c r="D79" s="67"/>
      <c r="E79" s="67">
        <v>2</v>
      </c>
      <c r="F79" s="67"/>
      <c r="G79" s="77">
        <v>2</v>
      </c>
    </row>
    <row r="80" spans="2:7" x14ac:dyDescent="0.3">
      <c r="B80" s="67" t="s">
        <v>282</v>
      </c>
      <c r="C80" s="68" t="s">
        <v>283</v>
      </c>
      <c r="D80" s="67"/>
      <c r="E80" s="67">
        <v>1</v>
      </c>
      <c r="F80" s="67"/>
      <c r="G80" s="77">
        <v>1</v>
      </c>
    </row>
    <row r="81" spans="2:7" x14ac:dyDescent="0.3">
      <c r="B81" s="74" t="s">
        <v>282</v>
      </c>
      <c r="C81" s="75" t="s">
        <v>284</v>
      </c>
      <c r="D81" s="74"/>
      <c r="E81" s="74">
        <v>1</v>
      </c>
      <c r="F81" s="74"/>
      <c r="G81" s="76">
        <v>1</v>
      </c>
    </row>
    <row r="82" spans="2:7" x14ac:dyDescent="0.3">
      <c r="B82" s="69" t="s">
        <v>274</v>
      </c>
      <c r="C82" s="70" t="s">
        <v>285</v>
      </c>
      <c r="D82" s="69" t="e" vm="1">
        <f ca="1">_xlfn.DISPIMG("ID_0E93056CF1734F568D8103CEAAEDBCA1",1)</f>
        <v>#NAME?</v>
      </c>
      <c r="E82" s="69">
        <v>1</v>
      </c>
      <c r="F82" s="69"/>
      <c r="G82" s="77">
        <v>1</v>
      </c>
    </row>
    <row r="83" spans="2:7" x14ac:dyDescent="0.3">
      <c r="B83" s="67" t="s">
        <v>23</v>
      </c>
      <c r="C83" s="68" t="s">
        <v>74</v>
      </c>
      <c r="D83" s="67"/>
      <c r="E83" s="67">
        <v>34</v>
      </c>
      <c r="F83" s="67"/>
      <c r="G83" s="62">
        <v>34</v>
      </c>
    </row>
    <row r="84" spans="2:7" x14ac:dyDescent="0.3">
      <c r="B84" s="67" t="s">
        <v>23</v>
      </c>
      <c r="C84" s="68" t="s">
        <v>139</v>
      </c>
      <c r="D84" s="67"/>
      <c r="E84" s="67">
        <v>1</v>
      </c>
      <c r="F84" s="67"/>
      <c r="G84" s="6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"/>
  <sheetViews>
    <sheetView zoomScaleNormal="100" workbookViewId="0">
      <selection activeCell="E1" sqref="E1:F1"/>
    </sheetView>
  </sheetViews>
  <sheetFormatPr baseColWidth="10" defaultColWidth="10" defaultRowHeight="14.4" x14ac:dyDescent="0.3"/>
  <cols>
    <col min="1" max="1" width="23.5546875" customWidth="1"/>
    <col min="2" max="2" width="30.33203125" customWidth="1"/>
    <col min="3" max="3" width="24.33203125" hidden="1" customWidth="1"/>
    <col min="4" max="4" width="11.5546875" bestFit="1" customWidth="1"/>
  </cols>
  <sheetData>
    <row r="1" spans="1:6" x14ac:dyDescent="0.3">
      <c r="A1" s="7" t="s">
        <v>3</v>
      </c>
      <c r="B1" s="8" t="s">
        <v>4</v>
      </c>
      <c r="C1" s="8" t="s">
        <v>5</v>
      </c>
      <c r="D1" s="8" t="s">
        <v>2</v>
      </c>
      <c r="E1" s="8" t="s">
        <v>1</v>
      </c>
      <c r="F1" s="9" t="s">
        <v>6</v>
      </c>
    </row>
    <row r="2" spans="1:6" x14ac:dyDescent="0.3">
      <c r="A2" s="17" t="s">
        <v>9</v>
      </c>
      <c r="B2" s="17" t="s">
        <v>10</v>
      </c>
      <c r="C2" s="17"/>
      <c r="D2" s="17">
        <v>11</v>
      </c>
      <c r="E2" s="17"/>
      <c r="F2" s="17">
        <v>11</v>
      </c>
    </row>
    <row r="3" spans="1:6" x14ac:dyDescent="0.3">
      <c r="A3" s="17">
        <v>464424</v>
      </c>
      <c r="B3" s="17" t="s">
        <v>14</v>
      </c>
      <c r="C3" s="17"/>
      <c r="D3" s="17">
        <v>5</v>
      </c>
      <c r="E3" s="17"/>
      <c r="F3" s="17">
        <v>5</v>
      </c>
    </row>
    <row r="4" spans="1:6" x14ac:dyDescent="0.3">
      <c r="A4" s="17">
        <v>1201862</v>
      </c>
      <c r="B4" s="17" t="s">
        <v>49</v>
      </c>
      <c r="C4" s="17"/>
      <c r="D4" s="17">
        <v>2</v>
      </c>
      <c r="E4" s="17"/>
      <c r="F4" s="17">
        <v>2</v>
      </c>
    </row>
    <row r="5" spans="1:6" x14ac:dyDescent="0.3">
      <c r="A5" s="17">
        <v>1238548</v>
      </c>
      <c r="B5" s="17" t="s">
        <v>51</v>
      </c>
      <c r="C5" s="17"/>
      <c r="D5" s="17">
        <v>2</v>
      </c>
      <c r="E5" s="17"/>
      <c r="F5" s="17">
        <v>2</v>
      </c>
    </row>
    <row r="6" spans="1:6" x14ac:dyDescent="0.3">
      <c r="A6" s="44">
        <v>550401</v>
      </c>
      <c r="B6" s="44" t="s">
        <v>59</v>
      </c>
      <c r="C6" s="44"/>
      <c r="D6" s="44">
        <v>9</v>
      </c>
      <c r="E6" s="44"/>
      <c r="F6" s="17">
        <v>9</v>
      </c>
    </row>
    <row r="7" spans="1:6" x14ac:dyDescent="0.3">
      <c r="A7" s="47"/>
      <c r="B7" s="47" t="s">
        <v>61</v>
      </c>
      <c r="C7" s="47"/>
      <c r="D7" s="47">
        <v>1</v>
      </c>
      <c r="E7" s="47"/>
      <c r="F7" s="17">
        <v>1</v>
      </c>
    </row>
    <row r="8" spans="1:6" x14ac:dyDescent="0.3">
      <c r="A8" s="44">
        <v>448651</v>
      </c>
      <c r="B8" s="44" t="s">
        <v>63</v>
      </c>
      <c r="C8" s="44"/>
      <c r="D8" s="44">
        <v>5</v>
      </c>
      <c r="E8" s="44"/>
      <c r="F8" s="17">
        <v>5</v>
      </c>
    </row>
    <row r="9" spans="1:6" x14ac:dyDescent="0.3">
      <c r="A9" s="47"/>
      <c r="B9" s="47" t="s">
        <v>64</v>
      </c>
      <c r="C9" s="47"/>
      <c r="D9" s="47">
        <v>1</v>
      </c>
      <c r="E9" s="47"/>
      <c r="F9" s="17">
        <v>1</v>
      </c>
    </row>
    <row r="10" spans="1:6" x14ac:dyDescent="0.3">
      <c r="A10" s="47">
        <v>453448</v>
      </c>
      <c r="B10" s="47" t="s">
        <v>326</v>
      </c>
      <c r="C10" s="47"/>
      <c r="D10" s="47">
        <v>3</v>
      </c>
      <c r="E10" s="47"/>
      <c r="F10" s="17">
        <v>3</v>
      </c>
    </row>
    <row r="11" spans="1:6" x14ac:dyDescent="0.3">
      <c r="A11" s="47">
        <v>424942</v>
      </c>
      <c r="B11" s="47" t="s">
        <v>66</v>
      </c>
      <c r="C11" s="47"/>
      <c r="D11" s="47">
        <v>4</v>
      </c>
      <c r="E11" s="47"/>
      <c r="F11" s="17">
        <v>4</v>
      </c>
    </row>
    <row r="12" spans="1:6" x14ac:dyDescent="0.3">
      <c r="A12" s="47">
        <v>337459</v>
      </c>
      <c r="B12" s="47" t="s">
        <v>67</v>
      </c>
      <c r="C12" s="47"/>
      <c r="D12" s="47">
        <v>31</v>
      </c>
      <c r="E12" s="47">
        <v>1</v>
      </c>
      <c r="F12" s="17">
        <v>30</v>
      </c>
    </row>
    <row r="13" spans="1:6" x14ac:dyDescent="0.3">
      <c r="A13" s="44"/>
      <c r="B13" s="44" t="s">
        <v>68</v>
      </c>
      <c r="C13" s="44"/>
      <c r="D13" s="44">
        <v>1</v>
      </c>
      <c r="E13" s="44"/>
      <c r="F13" s="17">
        <v>1</v>
      </c>
    </row>
    <row r="14" spans="1:6" x14ac:dyDescent="0.3">
      <c r="A14" s="44"/>
      <c r="B14" s="44" t="s">
        <v>69</v>
      </c>
      <c r="C14" s="44"/>
      <c r="D14" s="44">
        <v>1</v>
      </c>
      <c r="E14" s="44"/>
      <c r="F14" s="17">
        <v>1</v>
      </c>
    </row>
    <row r="15" spans="1:6" x14ac:dyDescent="0.3">
      <c r="A15" s="44">
        <v>1207424</v>
      </c>
      <c r="B15" s="44" t="s">
        <v>71</v>
      </c>
      <c r="C15" s="44"/>
      <c r="D15" s="44">
        <v>1</v>
      </c>
      <c r="E15" s="44"/>
      <c r="F15" s="17">
        <v>1</v>
      </c>
    </row>
    <row r="16" spans="1:6" x14ac:dyDescent="0.3">
      <c r="A16" s="44"/>
      <c r="B16" s="44" t="s">
        <v>73</v>
      </c>
      <c r="C16" s="44"/>
      <c r="D16" s="44">
        <v>1</v>
      </c>
      <c r="E16" s="44"/>
      <c r="F16" s="17">
        <v>1</v>
      </c>
    </row>
    <row r="17" spans="1:6" x14ac:dyDescent="0.3">
      <c r="A17" s="44">
        <v>225125</v>
      </c>
      <c r="B17" s="44" t="s">
        <v>78</v>
      </c>
      <c r="C17" s="44"/>
      <c r="D17" s="44">
        <v>22</v>
      </c>
      <c r="E17" s="44">
        <v>3</v>
      </c>
      <c r="F17" s="17">
        <v>19</v>
      </c>
    </row>
    <row r="18" spans="1:6" x14ac:dyDescent="0.3">
      <c r="A18" s="44">
        <v>235027</v>
      </c>
      <c r="B18" s="44" t="s">
        <v>79</v>
      </c>
      <c r="C18" s="44"/>
      <c r="D18" s="44">
        <v>11</v>
      </c>
      <c r="E18" s="44"/>
      <c r="F18" s="17">
        <v>11</v>
      </c>
    </row>
    <row r="19" spans="1:6" x14ac:dyDescent="0.3">
      <c r="A19" s="44"/>
      <c r="B19" s="44" t="s">
        <v>308</v>
      </c>
      <c r="C19" s="44"/>
      <c r="D19" s="44">
        <v>1</v>
      </c>
      <c r="E19" s="44"/>
      <c r="F19" s="17">
        <v>1</v>
      </c>
    </row>
    <row r="20" spans="1:6" x14ac:dyDescent="0.3">
      <c r="A20" s="47">
        <v>1251252</v>
      </c>
      <c r="B20" s="47" t="s">
        <v>82</v>
      </c>
      <c r="C20" s="47"/>
      <c r="D20" s="47">
        <v>148</v>
      </c>
      <c r="E20" s="47"/>
      <c r="F20" s="17">
        <v>148</v>
      </c>
    </row>
    <row r="21" spans="1:6" x14ac:dyDescent="0.3">
      <c r="A21" s="47">
        <v>505738</v>
      </c>
      <c r="B21" s="47" t="s">
        <v>83</v>
      </c>
      <c r="C21" s="47"/>
      <c r="D21" s="47">
        <v>12</v>
      </c>
      <c r="E21" s="47"/>
      <c r="F21" s="17">
        <v>12</v>
      </c>
    </row>
    <row r="22" spans="1:6" x14ac:dyDescent="0.3">
      <c r="A22" s="47">
        <v>100875</v>
      </c>
      <c r="B22" s="47" t="s">
        <v>52</v>
      </c>
      <c r="C22" s="47"/>
      <c r="D22" s="47">
        <v>30</v>
      </c>
      <c r="E22" s="47"/>
      <c r="F22" s="17">
        <v>30</v>
      </c>
    </row>
    <row r="23" spans="1:6" x14ac:dyDescent="0.3">
      <c r="A23" s="44">
        <v>100548</v>
      </c>
      <c r="B23" s="44" t="s">
        <v>84</v>
      </c>
      <c r="C23" s="44"/>
      <c r="D23" s="44">
        <v>85</v>
      </c>
      <c r="E23" s="44"/>
      <c r="F23" s="17">
        <v>85</v>
      </c>
    </row>
    <row r="24" spans="1:6" x14ac:dyDescent="0.3">
      <c r="A24" s="44">
        <v>102131</v>
      </c>
      <c r="B24" s="44" t="s">
        <v>85</v>
      </c>
      <c r="C24" s="44"/>
      <c r="D24" s="44">
        <v>7</v>
      </c>
      <c r="E24" s="44"/>
      <c r="F24" s="17">
        <v>7</v>
      </c>
    </row>
    <row r="25" spans="1:6" x14ac:dyDescent="0.3">
      <c r="A25" s="44">
        <v>234272</v>
      </c>
      <c r="B25" s="44" t="s">
        <v>86</v>
      </c>
      <c r="C25" s="44"/>
      <c r="D25" s="44">
        <v>3</v>
      </c>
      <c r="E25" s="44"/>
      <c r="F25" s="17">
        <v>3</v>
      </c>
    </row>
    <row r="26" spans="1:6" x14ac:dyDescent="0.3">
      <c r="A26" s="44">
        <v>379058</v>
      </c>
      <c r="B26" s="44" t="s">
        <v>87</v>
      </c>
      <c r="C26" s="44"/>
      <c r="D26" s="44">
        <v>4</v>
      </c>
      <c r="E26" s="44"/>
      <c r="F26" s="17">
        <v>4</v>
      </c>
    </row>
    <row r="27" spans="1:6" x14ac:dyDescent="0.3">
      <c r="A27" s="44">
        <v>242329</v>
      </c>
      <c r="B27" s="44" t="s">
        <v>88</v>
      </c>
      <c r="C27" s="44"/>
      <c r="D27" s="44">
        <v>4</v>
      </c>
      <c r="E27" s="44"/>
      <c r="F27" s="17">
        <v>4</v>
      </c>
    </row>
    <row r="28" spans="1:6" x14ac:dyDescent="0.3">
      <c r="A28" s="44">
        <v>242328</v>
      </c>
      <c r="B28" s="44" t="s">
        <v>89</v>
      </c>
      <c r="C28" s="44"/>
      <c r="D28" s="44">
        <v>3</v>
      </c>
      <c r="E28" s="44"/>
      <c r="F28" s="17">
        <v>3</v>
      </c>
    </row>
    <row r="29" spans="1:6" x14ac:dyDescent="0.3">
      <c r="A29" s="47">
        <v>1101733</v>
      </c>
      <c r="B29" s="44" t="s">
        <v>291</v>
      </c>
      <c r="C29" s="47"/>
      <c r="D29" s="47">
        <v>13</v>
      </c>
      <c r="E29" s="47"/>
      <c r="F29" s="17">
        <v>13</v>
      </c>
    </row>
    <row r="30" spans="1:6" x14ac:dyDescent="0.3">
      <c r="A30" s="47"/>
      <c r="B30" s="44" t="s">
        <v>310</v>
      </c>
      <c r="C30" s="47"/>
      <c r="D30" s="47">
        <v>20</v>
      </c>
      <c r="E30" s="47"/>
      <c r="F30" s="17">
        <v>20</v>
      </c>
    </row>
    <row r="31" spans="1:6" x14ac:dyDescent="0.3">
      <c r="A31" s="44">
        <v>482681</v>
      </c>
      <c r="B31" s="44" t="s">
        <v>91</v>
      </c>
      <c r="C31" s="44"/>
      <c r="D31" s="44">
        <v>2</v>
      </c>
      <c r="E31" s="44">
        <v>1</v>
      </c>
      <c r="F31" s="17">
        <v>1</v>
      </c>
    </row>
    <row r="32" spans="1:6" x14ac:dyDescent="0.3">
      <c r="A32" s="44">
        <v>448657</v>
      </c>
      <c r="B32" s="44" t="s">
        <v>92</v>
      </c>
      <c r="C32" s="44"/>
      <c r="D32" s="44">
        <v>43</v>
      </c>
      <c r="E32" s="44"/>
      <c r="F32" s="17">
        <v>43</v>
      </c>
    </row>
    <row r="33" spans="1:6" x14ac:dyDescent="0.3">
      <c r="A33" s="44">
        <v>321540</v>
      </c>
      <c r="B33" s="44" t="s">
        <v>93</v>
      </c>
      <c r="C33" s="44"/>
      <c r="D33" s="44">
        <v>1</v>
      </c>
      <c r="E33" s="44"/>
      <c r="F33" s="17">
        <v>1</v>
      </c>
    </row>
    <row r="34" spans="1:6" x14ac:dyDescent="0.3">
      <c r="A34" s="44"/>
      <c r="B34" s="44" t="s">
        <v>94</v>
      </c>
      <c r="C34" s="44"/>
      <c r="D34" s="44">
        <v>1</v>
      </c>
      <c r="E34" s="44"/>
      <c r="F34" s="17">
        <v>1</v>
      </c>
    </row>
    <row r="35" spans="1:6" x14ac:dyDescent="0.3">
      <c r="A35" s="44">
        <v>9010789</v>
      </c>
      <c r="B35" s="44" t="s">
        <v>95</v>
      </c>
      <c r="C35" s="44"/>
      <c r="D35" s="44">
        <v>3</v>
      </c>
      <c r="E35" s="44"/>
      <c r="F35" s="17">
        <v>3</v>
      </c>
    </row>
    <row r="36" spans="1:6" x14ac:dyDescent="0.3">
      <c r="A36" s="47">
        <v>105174</v>
      </c>
      <c r="B36" s="47" t="s">
        <v>96</v>
      </c>
      <c r="C36" s="47"/>
      <c r="D36" s="47">
        <v>1</v>
      </c>
      <c r="E36" s="47"/>
      <c r="F36" s="17">
        <v>1</v>
      </c>
    </row>
    <row r="37" spans="1:6" x14ac:dyDescent="0.3">
      <c r="A37" s="44">
        <v>1238548</v>
      </c>
      <c r="B37" s="44" t="s">
        <v>49</v>
      </c>
      <c r="C37" s="44"/>
      <c r="D37" s="44">
        <v>1</v>
      </c>
      <c r="E37" s="44"/>
      <c r="F37" s="17">
        <v>1</v>
      </c>
    </row>
    <row r="38" spans="1:6" x14ac:dyDescent="0.3">
      <c r="A38" s="44">
        <v>103143</v>
      </c>
      <c r="B38" s="44" t="s">
        <v>309</v>
      </c>
      <c r="C38" s="44"/>
      <c r="D38" s="44">
        <v>6</v>
      </c>
      <c r="E38" s="44"/>
      <c r="F38" s="17">
        <v>6</v>
      </c>
    </row>
    <row r="39" spans="1:6" x14ac:dyDescent="0.3">
      <c r="A39" s="44">
        <v>8404213</v>
      </c>
      <c r="B39" s="44" t="s">
        <v>152</v>
      </c>
      <c r="C39" s="44"/>
      <c r="D39" s="44">
        <v>1</v>
      </c>
      <c r="E39" s="44"/>
      <c r="F39" s="17">
        <v>1</v>
      </c>
    </row>
    <row r="40" spans="1:6" x14ac:dyDescent="0.3">
      <c r="A40" s="44">
        <v>190308</v>
      </c>
      <c r="B40" s="44" t="s">
        <v>156</v>
      </c>
      <c r="C40" s="44"/>
      <c r="D40" s="44">
        <v>1</v>
      </c>
      <c r="E40" s="44"/>
      <c r="F40" s="17">
        <v>1</v>
      </c>
    </row>
    <row r="41" spans="1:6" x14ac:dyDescent="0.3">
      <c r="A41" s="44">
        <v>268630</v>
      </c>
      <c r="B41" s="44" t="s">
        <v>173</v>
      </c>
      <c r="C41" s="44"/>
      <c r="D41" s="44">
        <v>14</v>
      </c>
      <c r="E41" s="44"/>
      <c r="F41" s="17">
        <v>14</v>
      </c>
    </row>
    <row r="42" spans="1:6" x14ac:dyDescent="0.3">
      <c r="A42" s="44">
        <v>100653</v>
      </c>
      <c r="B42" s="44" t="s">
        <v>174</v>
      </c>
      <c r="C42" s="44"/>
      <c r="D42" s="44">
        <v>18</v>
      </c>
      <c r="E42" s="44"/>
      <c r="F42" s="17">
        <v>18</v>
      </c>
    </row>
    <row r="43" spans="1:6" x14ac:dyDescent="0.3">
      <c r="A43" s="44">
        <v>395571</v>
      </c>
      <c r="B43" s="44" t="s">
        <v>185</v>
      </c>
      <c r="C43" s="44"/>
      <c r="D43" s="44">
        <v>12</v>
      </c>
      <c r="E43" s="44"/>
      <c r="F43" s="17">
        <v>12</v>
      </c>
    </row>
    <row r="44" spans="1:6" x14ac:dyDescent="0.3">
      <c r="A44" s="44">
        <v>23824</v>
      </c>
      <c r="B44" s="44" t="s">
        <v>186</v>
      </c>
      <c r="C44" s="44"/>
      <c r="D44" s="44">
        <v>1</v>
      </c>
      <c r="E44" s="44"/>
      <c r="F44" s="17">
        <v>1</v>
      </c>
    </row>
    <row r="45" spans="1:6" x14ac:dyDescent="0.3">
      <c r="A45" s="44"/>
      <c r="B45" s="44" t="s">
        <v>218</v>
      </c>
      <c r="C45" s="44"/>
      <c r="D45" s="44">
        <v>2</v>
      </c>
      <c r="E45" s="44"/>
      <c r="F45" s="17">
        <v>2</v>
      </c>
    </row>
    <row r="46" spans="1:6" x14ac:dyDescent="0.3">
      <c r="A46" s="44">
        <v>101819</v>
      </c>
      <c r="B46" s="44" t="s">
        <v>239</v>
      </c>
      <c r="C46" s="44"/>
      <c r="D46" s="44">
        <v>8</v>
      </c>
      <c r="E46" s="44"/>
      <c r="F46" s="17">
        <v>8</v>
      </c>
    </row>
    <row r="47" spans="1:6" x14ac:dyDescent="0.3">
      <c r="A47" s="47"/>
      <c r="B47" s="47" t="s">
        <v>314</v>
      </c>
      <c r="C47" s="47"/>
      <c r="D47" s="47">
        <v>4</v>
      </c>
      <c r="E47" s="47"/>
      <c r="F47" s="17">
        <v>4</v>
      </c>
    </row>
    <row r="48" spans="1:6" x14ac:dyDescent="0.3">
      <c r="A48" s="44">
        <v>624770</v>
      </c>
      <c r="B48" s="44" t="s">
        <v>279</v>
      </c>
      <c r="C48" s="44"/>
      <c r="D48" s="44">
        <v>1</v>
      </c>
      <c r="E48" s="44"/>
      <c r="F48" s="17">
        <v>1</v>
      </c>
    </row>
    <row r="49" spans="1:6" x14ac:dyDescent="0.3">
      <c r="A49" s="51"/>
      <c r="B49" s="51" t="s">
        <v>317</v>
      </c>
      <c r="C49" s="51"/>
      <c r="D49" s="47">
        <v>48</v>
      </c>
      <c r="E49" s="51"/>
      <c r="F49" s="17">
        <v>48</v>
      </c>
    </row>
    <row r="50" spans="1:6" x14ac:dyDescent="0.3">
      <c r="A50" s="57"/>
      <c r="B50" s="57" t="s">
        <v>348</v>
      </c>
      <c r="C50" s="57"/>
      <c r="D50" s="58">
        <v>1</v>
      </c>
      <c r="E50" s="58"/>
      <c r="F50" s="5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1"/>
  <sheetViews>
    <sheetView topLeftCell="A19" zoomScale="110" zoomScaleNormal="110" workbookViewId="0">
      <selection activeCell="E8" sqref="E8"/>
    </sheetView>
  </sheetViews>
  <sheetFormatPr baseColWidth="10" defaultColWidth="10" defaultRowHeight="14.4" x14ac:dyDescent="0.3"/>
  <cols>
    <col min="2" max="2" width="39.109375" bestFit="1" customWidth="1"/>
    <col min="3" max="3" width="7.21875" hidden="1" customWidth="1"/>
    <col min="4" max="4" width="11.5546875" bestFit="1" customWidth="1"/>
  </cols>
  <sheetData>
    <row r="1" spans="1:6" x14ac:dyDescent="0.3">
      <c r="A1" s="7" t="s">
        <v>3</v>
      </c>
      <c r="B1" s="8" t="s">
        <v>4</v>
      </c>
      <c r="C1" s="8" t="s">
        <v>5</v>
      </c>
      <c r="D1" s="8" t="s">
        <v>2</v>
      </c>
      <c r="E1" s="8" t="s">
        <v>1</v>
      </c>
      <c r="F1" s="9" t="s">
        <v>6</v>
      </c>
    </row>
    <row r="2" spans="1:6" x14ac:dyDescent="0.3">
      <c r="A2" s="17">
        <v>1237578</v>
      </c>
      <c r="B2" s="17" t="s">
        <v>17</v>
      </c>
      <c r="C2" s="17"/>
      <c r="D2" s="17">
        <v>2</v>
      </c>
      <c r="E2" s="17"/>
      <c r="F2" s="17">
        <v>2</v>
      </c>
    </row>
    <row r="3" spans="1:6" x14ac:dyDescent="0.3">
      <c r="A3" s="17">
        <v>245488</v>
      </c>
      <c r="B3" s="17" t="s">
        <v>19</v>
      </c>
      <c r="C3" s="17"/>
      <c r="D3" s="17">
        <v>3</v>
      </c>
      <c r="E3" s="17">
        <v>2</v>
      </c>
      <c r="F3" s="17">
        <v>1</v>
      </c>
    </row>
    <row r="4" spans="1:6" x14ac:dyDescent="0.3">
      <c r="A4" s="17" t="s">
        <v>25</v>
      </c>
      <c r="B4" s="17" t="s">
        <v>26</v>
      </c>
      <c r="C4" s="17"/>
      <c r="D4" s="17">
        <v>3</v>
      </c>
      <c r="E4" s="17"/>
      <c r="F4" s="17">
        <v>3</v>
      </c>
    </row>
    <row r="5" spans="1:6" x14ac:dyDescent="0.3">
      <c r="A5" s="17">
        <v>1227732</v>
      </c>
      <c r="B5" s="17" t="s">
        <v>28</v>
      </c>
      <c r="C5" s="17"/>
      <c r="D5" s="17">
        <v>6</v>
      </c>
      <c r="E5" s="17">
        <v>3</v>
      </c>
      <c r="F5" s="17">
        <v>3</v>
      </c>
    </row>
    <row r="6" spans="1:6" x14ac:dyDescent="0.3">
      <c r="A6" s="17">
        <v>102268</v>
      </c>
      <c r="B6" s="17" t="s">
        <v>55</v>
      </c>
      <c r="C6" s="17"/>
      <c r="D6" s="17">
        <v>1</v>
      </c>
      <c r="E6" s="17"/>
      <c r="F6" s="17">
        <v>1</v>
      </c>
    </row>
    <row r="7" spans="1:6" x14ac:dyDescent="0.3">
      <c r="A7" s="44">
        <v>550401</v>
      </c>
      <c r="B7" s="44" t="s">
        <v>60</v>
      </c>
      <c r="C7" s="44"/>
      <c r="D7" s="44">
        <v>34</v>
      </c>
      <c r="E7" s="44"/>
      <c r="F7" s="17">
        <v>34</v>
      </c>
    </row>
    <row r="8" spans="1:6" x14ac:dyDescent="0.3">
      <c r="A8" s="44">
        <v>249011</v>
      </c>
      <c r="B8" s="44" t="s">
        <v>70</v>
      </c>
      <c r="C8" s="44"/>
      <c r="D8" s="44">
        <v>8</v>
      </c>
      <c r="E8" s="44"/>
      <c r="F8" s="17">
        <v>8</v>
      </c>
    </row>
    <row r="9" spans="1:6" x14ac:dyDescent="0.3">
      <c r="A9" s="44"/>
      <c r="B9" s="44" t="s">
        <v>323</v>
      </c>
      <c r="C9" s="44"/>
      <c r="D9" s="44">
        <v>15</v>
      </c>
      <c r="E9" s="44">
        <v>1</v>
      </c>
      <c r="F9" s="17">
        <v>14</v>
      </c>
    </row>
    <row r="10" spans="1:6" x14ac:dyDescent="0.3">
      <c r="A10" s="44">
        <v>102981</v>
      </c>
      <c r="B10" s="44" t="s">
        <v>97</v>
      </c>
      <c r="C10" s="44"/>
      <c r="D10" s="44">
        <v>188</v>
      </c>
      <c r="E10" s="44"/>
      <c r="F10" s="17">
        <v>188</v>
      </c>
    </row>
    <row r="11" spans="1:6" x14ac:dyDescent="0.3">
      <c r="A11" s="44">
        <v>1254664</v>
      </c>
      <c r="B11" s="44" t="s">
        <v>316</v>
      </c>
      <c r="C11" s="44"/>
      <c r="D11" s="44">
        <v>9</v>
      </c>
      <c r="E11" s="44"/>
      <c r="F11" s="17">
        <v>9</v>
      </c>
    </row>
    <row r="12" spans="1:6" x14ac:dyDescent="0.3">
      <c r="A12" s="44">
        <v>334304</v>
      </c>
      <c r="B12" s="44" t="s">
        <v>98</v>
      </c>
      <c r="C12" s="44"/>
      <c r="D12" s="44">
        <v>1</v>
      </c>
      <c r="E12" s="44"/>
      <c r="F12" s="17">
        <v>1</v>
      </c>
    </row>
    <row r="13" spans="1:6" x14ac:dyDescent="0.3">
      <c r="A13" s="44">
        <v>21993199</v>
      </c>
      <c r="B13" s="44" t="s">
        <v>99</v>
      </c>
      <c r="C13" s="44"/>
      <c r="D13" s="44">
        <v>8</v>
      </c>
      <c r="E13" s="44"/>
      <c r="F13" s="17">
        <v>8</v>
      </c>
    </row>
    <row r="14" spans="1:6" x14ac:dyDescent="0.3">
      <c r="A14" s="44">
        <v>291723</v>
      </c>
      <c r="B14" s="44" t="s">
        <v>100</v>
      </c>
      <c r="C14" s="44"/>
      <c r="D14" s="44">
        <v>7</v>
      </c>
      <c r="E14" s="44"/>
      <c r="F14" s="17">
        <v>7</v>
      </c>
    </row>
    <row r="15" spans="1:6" x14ac:dyDescent="0.3">
      <c r="A15" s="44">
        <v>101823</v>
      </c>
      <c r="B15" s="44" t="s">
        <v>101</v>
      </c>
      <c r="C15" s="44"/>
      <c r="D15" s="44">
        <v>8</v>
      </c>
      <c r="E15" s="44"/>
      <c r="F15" s="17">
        <v>8</v>
      </c>
    </row>
    <row r="16" spans="1:6" x14ac:dyDescent="0.3">
      <c r="A16" s="44">
        <v>113807</v>
      </c>
      <c r="B16" s="44" t="s">
        <v>102</v>
      </c>
      <c r="C16" s="44"/>
      <c r="D16" s="44">
        <v>12</v>
      </c>
      <c r="E16" s="44"/>
      <c r="F16" s="17">
        <v>12</v>
      </c>
    </row>
    <row r="17" spans="1:6" x14ac:dyDescent="0.3">
      <c r="A17" s="47">
        <v>281881</v>
      </c>
      <c r="B17" s="47" t="s">
        <v>103</v>
      </c>
      <c r="C17" s="47"/>
      <c r="D17" s="47">
        <v>12</v>
      </c>
      <c r="E17" s="47"/>
      <c r="F17" s="17">
        <v>12</v>
      </c>
    </row>
    <row r="18" spans="1:6" x14ac:dyDescent="0.3">
      <c r="A18" s="47">
        <v>161400</v>
      </c>
      <c r="B18" s="47" t="s">
        <v>104</v>
      </c>
      <c r="C18" s="47"/>
      <c r="D18" s="47">
        <v>12</v>
      </c>
      <c r="E18" s="47"/>
      <c r="F18" s="17">
        <v>12</v>
      </c>
    </row>
    <row r="19" spans="1:6" x14ac:dyDescent="0.3">
      <c r="A19" s="47">
        <v>121209</v>
      </c>
      <c r="B19" s="47" t="s">
        <v>105</v>
      </c>
      <c r="C19" s="47"/>
      <c r="D19" s="47">
        <v>8</v>
      </c>
      <c r="E19" s="47"/>
      <c r="F19" s="17">
        <v>8</v>
      </c>
    </row>
    <row r="20" spans="1:6" x14ac:dyDescent="0.3">
      <c r="A20" s="44">
        <v>448559</v>
      </c>
      <c r="B20" s="44" t="s">
        <v>106</v>
      </c>
      <c r="C20" s="44"/>
      <c r="D20" s="44">
        <v>10</v>
      </c>
      <c r="E20" s="44"/>
      <c r="F20" s="17">
        <v>10</v>
      </c>
    </row>
    <row r="21" spans="1:6" x14ac:dyDescent="0.3">
      <c r="A21" s="44">
        <v>11020200</v>
      </c>
      <c r="B21" s="44" t="s">
        <v>107</v>
      </c>
      <c r="C21" s="44"/>
      <c r="D21" s="44">
        <v>1</v>
      </c>
      <c r="E21" s="44"/>
      <c r="F21" s="17">
        <v>1</v>
      </c>
    </row>
    <row r="22" spans="1:6" x14ac:dyDescent="0.3">
      <c r="A22" s="44" t="s">
        <v>108</v>
      </c>
      <c r="B22" s="44" t="s">
        <v>109</v>
      </c>
      <c r="C22" s="44"/>
      <c r="D22" s="44">
        <v>1</v>
      </c>
      <c r="E22" s="44"/>
      <c r="F22" s="17">
        <v>1</v>
      </c>
    </row>
    <row r="23" spans="1:6" x14ac:dyDescent="0.3">
      <c r="A23" s="44">
        <v>1103091</v>
      </c>
      <c r="B23" s="44" t="s">
        <v>110</v>
      </c>
      <c r="C23" s="44"/>
      <c r="D23" s="44">
        <v>2</v>
      </c>
      <c r="E23" s="44"/>
      <c r="F23" s="17">
        <v>2</v>
      </c>
    </row>
    <row r="24" spans="1:6" x14ac:dyDescent="0.3">
      <c r="A24" s="44">
        <v>448556</v>
      </c>
      <c r="B24" s="44" t="s">
        <v>112</v>
      </c>
      <c r="C24" s="44"/>
      <c r="D24" s="44">
        <v>5</v>
      </c>
      <c r="E24" s="44"/>
      <c r="F24" s="17">
        <v>5</v>
      </c>
    </row>
    <row r="25" spans="1:6" x14ac:dyDescent="0.3">
      <c r="A25" s="44">
        <v>421782</v>
      </c>
      <c r="B25" s="44" t="s">
        <v>113</v>
      </c>
      <c r="C25" s="44"/>
      <c r="D25" s="44">
        <v>60</v>
      </c>
      <c r="E25" s="44"/>
      <c r="F25" s="17">
        <v>60</v>
      </c>
    </row>
    <row r="26" spans="1:6" x14ac:dyDescent="0.3">
      <c r="A26" s="44">
        <v>1102352</v>
      </c>
      <c r="B26" s="44" t="s">
        <v>114</v>
      </c>
      <c r="C26" s="44"/>
      <c r="D26" s="44">
        <v>1</v>
      </c>
      <c r="E26" s="44"/>
      <c r="F26" s="17">
        <v>1</v>
      </c>
    </row>
    <row r="27" spans="1:6" x14ac:dyDescent="0.3">
      <c r="A27" s="47">
        <v>7001950</v>
      </c>
      <c r="B27" s="47" t="s">
        <v>115</v>
      </c>
      <c r="C27" s="47"/>
      <c r="D27" s="47">
        <v>20</v>
      </c>
      <c r="E27" s="47"/>
      <c r="F27" s="17">
        <v>20</v>
      </c>
    </row>
    <row r="28" spans="1:6" x14ac:dyDescent="0.3">
      <c r="A28" s="47">
        <v>306099</v>
      </c>
      <c r="B28" s="47" t="s">
        <v>115</v>
      </c>
      <c r="C28" s="47"/>
      <c r="D28" s="47">
        <v>20</v>
      </c>
      <c r="E28" s="47"/>
      <c r="F28" s="17">
        <v>20</v>
      </c>
    </row>
    <row r="29" spans="1:6" x14ac:dyDescent="0.3">
      <c r="A29" s="47">
        <v>456731</v>
      </c>
      <c r="B29" s="47" t="s">
        <v>116</v>
      </c>
      <c r="C29" s="47"/>
      <c r="D29" s="47">
        <v>2</v>
      </c>
      <c r="E29" s="47"/>
      <c r="F29" s="17">
        <v>2</v>
      </c>
    </row>
    <row r="30" spans="1:6" x14ac:dyDescent="0.3">
      <c r="A30" s="47">
        <v>290213</v>
      </c>
      <c r="B30" s="47" t="s">
        <v>117</v>
      </c>
      <c r="C30" s="47"/>
      <c r="D30" s="47">
        <v>97</v>
      </c>
      <c r="E30" s="47"/>
      <c r="F30" s="17">
        <v>97</v>
      </c>
    </row>
    <row r="31" spans="1:6" x14ac:dyDescent="0.3">
      <c r="A31" s="44">
        <v>348964</v>
      </c>
      <c r="B31" s="44" t="s">
        <v>118</v>
      </c>
      <c r="C31" s="44"/>
      <c r="D31" s="44">
        <v>56</v>
      </c>
      <c r="E31" s="44"/>
      <c r="F31" s="17">
        <v>56</v>
      </c>
    </row>
    <row r="32" spans="1:6" x14ac:dyDescent="0.3">
      <c r="A32" s="44">
        <v>319742</v>
      </c>
      <c r="B32" s="44" t="s">
        <v>120</v>
      </c>
      <c r="C32" s="44"/>
      <c r="D32" s="44">
        <v>1</v>
      </c>
      <c r="E32" s="44"/>
      <c r="F32" s="17">
        <v>1</v>
      </c>
    </row>
    <row r="33" spans="1:6" x14ac:dyDescent="0.3">
      <c r="A33" s="44">
        <v>456732</v>
      </c>
      <c r="B33" s="44" t="s">
        <v>121</v>
      </c>
      <c r="C33" s="44"/>
      <c r="D33" s="44">
        <v>18</v>
      </c>
      <c r="E33" s="44"/>
      <c r="F33" s="17">
        <v>18</v>
      </c>
    </row>
    <row r="34" spans="1:6" x14ac:dyDescent="0.3">
      <c r="A34" s="47">
        <v>415442</v>
      </c>
      <c r="B34" s="47" t="s">
        <v>122</v>
      </c>
      <c r="C34" s="47"/>
      <c r="D34" s="47">
        <v>1</v>
      </c>
      <c r="E34" s="47"/>
      <c r="F34" s="17">
        <v>1</v>
      </c>
    </row>
    <row r="35" spans="1:6" x14ac:dyDescent="0.3">
      <c r="A35" s="44">
        <v>456747</v>
      </c>
      <c r="B35" s="44" t="s">
        <v>123</v>
      </c>
      <c r="C35" s="44"/>
      <c r="D35" s="44">
        <v>5</v>
      </c>
      <c r="E35" s="44"/>
      <c r="F35" s="17">
        <v>5</v>
      </c>
    </row>
    <row r="36" spans="1:6" x14ac:dyDescent="0.3">
      <c r="A36" s="47">
        <v>107744</v>
      </c>
      <c r="B36" s="47" t="s">
        <v>319</v>
      </c>
      <c r="C36" s="47"/>
      <c r="D36" s="47">
        <v>10</v>
      </c>
      <c r="E36" s="47"/>
      <c r="F36" s="17">
        <v>10</v>
      </c>
    </row>
    <row r="37" spans="1:6" x14ac:dyDescent="0.3">
      <c r="A37" s="47">
        <v>1247730</v>
      </c>
      <c r="B37" s="47" t="s">
        <v>124</v>
      </c>
      <c r="C37" s="47"/>
      <c r="D37" s="47">
        <v>1</v>
      </c>
      <c r="E37" s="47"/>
      <c r="F37" s="17">
        <v>1</v>
      </c>
    </row>
    <row r="38" spans="1:6" x14ac:dyDescent="0.3">
      <c r="A38" s="44">
        <v>9013876</v>
      </c>
      <c r="B38" s="44" t="s">
        <v>125</v>
      </c>
      <c r="C38" s="44"/>
      <c r="D38" s="44">
        <v>2</v>
      </c>
      <c r="E38" s="44"/>
      <c r="F38" s="17">
        <v>2</v>
      </c>
    </row>
    <row r="39" spans="1:6" x14ac:dyDescent="0.3">
      <c r="A39" s="44">
        <v>22355251</v>
      </c>
      <c r="B39" s="44" t="s">
        <v>107</v>
      </c>
      <c r="C39" s="44"/>
      <c r="D39" s="44">
        <v>1</v>
      </c>
      <c r="E39" s="44"/>
      <c r="F39" s="17">
        <v>1</v>
      </c>
    </row>
    <row r="40" spans="1:6" x14ac:dyDescent="0.3">
      <c r="A40" s="44">
        <v>303923</v>
      </c>
      <c r="B40" s="44" t="s">
        <v>126</v>
      </c>
      <c r="C40" s="44"/>
      <c r="D40" s="44">
        <v>9</v>
      </c>
      <c r="E40" s="44"/>
      <c r="F40" s="17">
        <v>9</v>
      </c>
    </row>
    <row r="41" spans="1:6" x14ac:dyDescent="0.3">
      <c r="A41" s="44">
        <v>1252080</v>
      </c>
      <c r="B41" s="44" t="s">
        <v>127</v>
      </c>
      <c r="C41" s="44"/>
      <c r="D41" s="44">
        <v>1</v>
      </c>
      <c r="E41" s="44"/>
      <c r="F41" s="17">
        <v>1</v>
      </c>
    </row>
    <row r="42" spans="1:6" x14ac:dyDescent="0.3">
      <c r="A42" s="44">
        <v>276617</v>
      </c>
      <c r="B42" s="44" t="s">
        <v>128</v>
      </c>
      <c r="C42" s="44"/>
      <c r="D42" s="44">
        <v>5</v>
      </c>
      <c r="E42" s="44"/>
      <c r="F42" s="17">
        <v>5</v>
      </c>
    </row>
    <row r="43" spans="1:6" x14ac:dyDescent="0.3">
      <c r="A43" s="44">
        <v>277937</v>
      </c>
      <c r="B43" s="44" t="s">
        <v>129</v>
      </c>
      <c r="C43" s="44"/>
      <c r="D43" s="44">
        <v>2</v>
      </c>
      <c r="E43" s="44"/>
      <c r="F43" s="17">
        <v>2</v>
      </c>
    </row>
    <row r="44" spans="1:6" x14ac:dyDescent="0.3">
      <c r="A44" s="44">
        <v>372382</v>
      </c>
      <c r="B44" s="44" t="s">
        <v>130</v>
      </c>
      <c r="C44" s="44"/>
      <c r="D44" s="44">
        <v>3</v>
      </c>
      <c r="E44" s="44"/>
      <c r="F44" s="17">
        <v>3</v>
      </c>
    </row>
    <row r="45" spans="1:6" x14ac:dyDescent="0.3">
      <c r="A45" s="44">
        <v>525691</v>
      </c>
      <c r="B45" s="44" t="s">
        <v>131</v>
      </c>
      <c r="C45" s="44"/>
      <c r="D45" s="44">
        <v>3</v>
      </c>
      <c r="E45" s="44"/>
      <c r="F45" s="17">
        <v>3</v>
      </c>
    </row>
    <row r="46" spans="1:6" x14ac:dyDescent="0.3">
      <c r="A46" s="44">
        <v>574332</v>
      </c>
      <c r="B46" s="44" t="s">
        <v>132</v>
      </c>
      <c r="C46" s="44"/>
      <c r="D46" s="44">
        <v>3</v>
      </c>
      <c r="E46" s="44"/>
      <c r="F46" s="17">
        <v>3</v>
      </c>
    </row>
    <row r="47" spans="1:6" x14ac:dyDescent="0.3">
      <c r="A47" s="44">
        <v>100639</v>
      </c>
      <c r="B47" s="44" t="s">
        <v>133</v>
      </c>
      <c r="C47" s="44"/>
      <c r="D47" s="44">
        <v>20</v>
      </c>
      <c r="E47" s="44"/>
      <c r="F47" s="17">
        <v>20</v>
      </c>
    </row>
    <row r="48" spans="1:6" x14ac:dyDescent="0.3">
      <c r="A48" s="44">
        <v>277872</v>
      </c>
      <c r="B48" s="44" t="s">
        <v>135</v>
      </c>
      <c r="C48" s="44"/>
      <c r="D48" s="44">
        <v>2</v>
      </c>
      <c r="E48" s="44"/>
      <c r="F48" s="17">
        <v>2</v>
      </c>
    </row>
    <row r="49" spans="1:6" x14ac:dyDescent="0.3">
      <c r="A49" s="44">
        <v>101363</v>
      </c>
      <c r="B49" s="44" t="s">
        <v>136</v>
      </c>
      <c r="C49" s="44"/>
      <c r="D49" s="44">
        <v>20</v>
      </c>
      <c r="E49" s="44"/>
      <c r="F49" s="17">
        <v>20</v>
      </c>
    </row>
    <row r="50" spans="1:6" x14ac:dyDescent="0.3">
      <c r="A50" s="44">
        <v>456748</v>
      </c>
      <c r="B50" s="44" t="s">
        <v>137</v>
      </c>
      <c r="C50" s="44"/>
      <c r="D50" s="44">
        <v>4</v>
      </c>
      <c r="E50" s="44"/>
      <c r="F50" s="17">
        <v>4</v>
      </c>
    </row>
    <row r="51" spans="1:6" x14ac:dyDescent="0.3">
      <c r="A51" s="47">
        <v>9014144</v>
      </c>
      <c r="B51" s="47" t="s">
        <v>138</v>
      </c>
      <c r="C51" s="47"/>
      <c r="D51" s="47">
        <v>1</v>
      </c>
      <c r="E51" s="47"/>
      <c r="F51" s="17">
        <v>1</v>
      </c>
    </row>
    <row r="52" spans="1:6" x14ac:dyDescent="0.3">
      <c r="A52" s="47">
        <v>326960</v>
      </c>
      <c r="B52" s="47" t="s">
        <v>339</v>
      </c>
      <c r="C52" s="47"/>
      <c r="D52" s="47">
        <v>1</v>
      </c>
      <c r="E52" s="47"/>
      <c r="F52" s="17">
        <v>1</v>
      </c>
    </row>
    <row r="53" spans="1:6" x14ac:dyDescent="0.3">
      <c r="A53" s="47">
        <v>352496</v>
      </c>
      <c r="B53" s="47" t="s">
        <v>140</v>
      </c>
      <c r="C53" s="47"/>
      <c r="D53" s="47">
        <v>4</v>
      </c>
      <c r="E53" s="47"/>
      <c r="F53" s="17">
        <v>4</v>
      </c>
    </row>
    <row r="54" spans="1:6" x14ac:dyDescent="0.3">
      <c r="A54" s="47">
        <v>352495</v>
      </c>
      <c r="B54" s="47" t="s">
        <v>140</v>
      </c>
      <c r="C54" s="47"/>
      <c r="D54" s="47">
        <v>4</v>
      </c>
      <c r="E54" s="47"/>
      <c r="F54" s="17">
        <v>4</v>
      </c>
    </row>
    <row r="55" spans="1:6" x14ac:dyDescent="0.3">
      <c r="A55" s="44">
        <v>352954</v>
      </c>
      <c r="B55" s="44" t="s">
        <v>140</v>
      </c>
      <c r="C55" s="44"/>
      <c r="D55" s="44">
        <v>1</v>
      </c>
      <c r="E55" s="44"/>
      <c r="F55" s="17">
        <v>1</v>
      </c>
    </row>
    <row r="56" spans="1:6" x14ac:dyDescent="0.3">
      <c r="A56" s="44">
        <v>352953</v>
      </c>
      <c r="B56" s="44" t="s">
        <v>140</v>
      </c>
      <c r="C56" s="44"/>
      <c r="D56" s="44">
        <v>1</v>
      </c>
      <c r="E56" s="44"/>
      <c r="F56" s="17">
        <v>1</v>
      </c>
    </row>
    <row r="57" spans="1:6" x14ac:dyDescent="0.3">
      <c r="A57" s="44">
        <v>302612</v>
      </c>
      <c r="B57" s="44" t="s">
        <v>141</v>
      </c>
      <c r="C57" s="44"/>
      <c r="D57" s="44">
        <v>1</v>
      </c>
      <c r="E57" s="44"/>
      <c r="F57" s="17">
        <v>1</v>
      </c>
    </row>
    <row r="58" spans="1:6" x14ac:dyDescent="0.3">
      <c r="A58" s="44">
        <v>162817</v>
      </c>
      <c r="B58" s="44" t="s">
        <v>142</v>
      </c>
      <c r="C58" s="44"/>
      <c r="D58" s="44">
        <v>2</v>
      </c>
      <c r="E58" s="44"/>
      <c r="F58" s="17">
        <v>2</v>
      </c>
    </row>
    <row r="59" spans="1:6" x14ac:dyDescent="0.3">
      <c r="A59" s="44">
        <v>468727</v>
      </c>
      <c r="B59" s="44" t="s">
        <v>143</v>
      </c>
      <c r="C59" s="44"/>
      <c r="D59" s="44">
        <v>3</v>
      </c>
      <c r="E59" s="44"/>
      <c r="F59" s="17">
        <v>3</v>
      </c>
    </row>
    <row r="60" spans="1:6" x14ac:dyDescent="0.3">
      <c r="A60" s="47">
        <v>225040</v>
      </c>
      <c r="B60" s="47" t="s">
        <v>144</v>
      </c>
      <c r="C60" s="47"/>
      <c r="D60" s="47">
        <v>20</v>
      </c>
      <c r="E60" s="47"/>
      <c r="F60" s="17">
        <v>20</v>
      </c>
    </row>
    <row r="61" spans="1:6" x14ac:dyDescent="0.3">
      <c r="A61" s="47">
        <v>107725</v>
      </c>
      <c r="B61" s="47" t="s">
        <v>145</v>
      </c>
      <c r="C61" s="47"/>
      <c r="D61" s="47">
        <v>7</v>
      </c>
      <c r="E61" s="47"/>
      <c r="F61" s="17">
        <v>7</v>
      </c>
    </row>
    <row r="62" spans="1:6" x14ac:dyDescent="0.3">
      <c r="A62" s="44">
        <v>301384</v>
      </c>
      <c r="B62" s="44" t="s">
        <v>146</v>
      </c>
      <c r="C62" s="44"/>
      <c r="D62" s="44">
        <v>2</v>
      </c>
      <c r="E62" s="44"/>
      <c r="F62" s="17">
        <v>2</v>
      </c>
    </row>
    <row r="63" spans="1:6" x14ac:dyDescent="0.3">
      <c r="A63" s="44">
        <v>323220</v>
      </c>
      <c r="B63" s="44" t="s">
        <v>146</v>
      </c>
      <c r="C63" s="44"/>
      <c r="D63" s="44">
        <v>2</v>
      </c>
      <c r="E63" s="44"/>
      <c r="F63" s="17">
        <v>2</v>
      </c>
    </row>
    <row r="64" spans="1:6" x14ac:dyDescent="0.3">
      <c r="A64" s="44">
        <v>1102429</v>
      </c>
      <c r="B64" s="44" t="s">
        <v>320</v>
      </c>
      <c r="C64" s="44"/>
      <c r="D64" s="44">
        <v>1</v>
      </c>
      <c r="E64" s="44"/>
      <c r="F64" s="17">
        <v>1</v>
      </c>
    </row>
    <row r="65" spans="1:6" x14ac:dyDescent="0.3">
      <c r="A65" s="47">
        <v>282904</v>
      </c>
      <c r="B65" s="47" t="s">
        <v>321</v>
      </c>
      <c r="C65" s="47"/>
      <c r="D65" s="47"/>
      <c r="E65" s="47"/>
      <c r="F65" s="17"/>
    </row>
    <row r="66" spans="1:6" x14ac:dyDescent="0.3">
      <c r="A66" s="44">
        <v>1227733</v>
      </c>
      <c r="B66" s="44" t="s">
        <v>147</v>
      </c>
      <c r="C66" s="44"/>
      <c r="D66" s="44">
        <v>1</v>
      </c>
      <c r="E66" s="44"/>
      <c r="F66" s="17">
        <v>1</v>
      </c>
    </row>
    <row r="67" spans="1:6" x14ac:dyDescent="0.3">
      <c r="A67" s="47">
        <v>100606</v>
      </c>
      <c r="B67" s="47" t="s">
        <v>148</v>
      </c>
      <c r="C67" s="47"/>
      <c r="D67" s="47">
        <v>11</v>
      </c>
      <c r="E67" s="47"/>
      <c r="F67" s="17">
        <v>11</v>
      </c>
    </row>
    <row r="68" spans="1:6" x14ac:dyDescent="0.3">
      <c r="A68" s="47">
        <v>456737</v>
      </c>
      <c r="B68" s="47" t="s">
        <v>149</v>
      </c>
      <c r="C68" s="47"/>
      <c r="D68" s="47">
        <v>60</v>
      </c>
      <c r="E68" s="47"/>
      <c r="F68" s="17">
        <v>60</v>
      </c>
    </row>
    <row r="69" spans="1:6" x14ac:dyDescent="0.3">
      <c r="A69" s="47">
        <v>376511</v>
      </c>
      <c r="B69" s="47" t="s">
        <v>338</v>
      </c>
      <c r="C69" s="47"/>
      <c r="D69" s="47">
        <v>16</v>
      </c>
      <c r="E69" s="47"/>
      <c r="F69" s="17">
        <v>16</v>
      </c>
    </row>
    <row r="70" spans="1:6" x14ac:dyDescent="0.3">
      <c r="A70" s="44">
        <v>513686</v>
      </c>
      <c r="B70" s="44" t="s">
        <v>150</v>
      </c>
      <c r="C70" s="44"/>
      <c r="D70" s="44">
        <v>2</v>
      </c>
      <c r="E70" s="44"/>
      <c r="F70" s="17">
        <v>2</v>
      </c>
    </row>
    <row r="71" spans="1:6" x14ac:dyDescent="0.3">
      <c r="A71" s="47">
        <v>513685</v>
      </c>
      <c r="B71" s="47" t="s">
        <v>150</v>
      </c>
      <c r="C71" s="47"/>
      <c r="D71" s="47">
        <v>6</v>
      </c>
      <c r="E71" s="47"/>
      <c r="F71" s="17">
        <v>6</v>
      </c>
    </row>
    <row r="72" spans="1:6" x14ac:dyDescent="0.3">
      <c r="A72" s="44"/>
      <c r="B72" s="44" t="s">
        <v>318</v>
      </c>
      <c r="C72" s="44"/>
      <c r="D72" s="44">
        <v>3</v>
      </c>
      <c r="E72" s="44"/>
      <c r="F72" s="17">
        <v>3</v>
      </c>
    </row>
    <row r="73" spans="1:6" x14ac:dyDescent="0.3">
      <c r="A73" s="47">
        <v>1204119</v>
      </c>
      <c r="B73" s="47" t="s">
        <v>153</v>
      </c>
      <c r="C73" s="47"/>
      <c r="D73" s="47">
        <v>1</v>
      </c>
      <c r="E73" s="47"/>
      <c r="F73" s="17">
        <v>1</v>
      </c>
    </row>
    <row r="74" spans="1:6" x14ac:dyDescent="0.3">
      <c r="A74" s="44">
        <v>351228</v>
      </c>
      <c r="B74" s="44" t="s">
        <v>154</v>
      </c>
      <c r="C74" s="44"/>
      <c r="D74" s="44">
        <v>1</v>
      </c>
      <c r="E74" s="44"/>
      <c r="F74" s="17">
        <v>1</v>
      </c>
    </row>
    <row r="75" spans="1:6" x14ac:dyDescent="0.3">
      <c r="A75" s="44">
        <v>356298</v>
      </c>
      <c r="B75" s="44" t="s">
        <v>119</v>
      </c>
      <c r="C75" s="44"/>
      <c r="D75" s="44">
        <v>4</v>
      </c>
      <c r="E75" s="44"/>
      <c r="F75" s="17">
        <v>4</v>
      </c>
    </row>
    <row r="76" spans="1:6" x14ac:dyDescent="0.3">
      <c r="A76" s="44">
        <v>100834</v>
      </c>
      <c r="B76" s="44" t="s">
        <v>175</v>
      </c>
      <c r="C76" s="44"/>
      <c r="D76" s="44">
        <v>2</v>
      </c>
      <c r="E76" s="44"/>
      <c r="F76" s="17">
        <v>2</v>
      </c>
    </row>
    <row r="77" spans="1:6" x14ac:dyDescent="0.3">
      <c r="A77" s="44">
        <v>100017</v>
      </c>
      <c r="B77" s="44" t="s">
        <v>176</v>
      </c>
      <c r="C77" s="44"/>
      <c r="D77" s="44">
        <v>6</v>
      </c>
      <c r="E77" s="44"/>
      <c r="F77" s="17">
        <v>6</v>
      </c>
    </row>
    <row r="78" spans="1:6" x14ac:dyDescent="0.3">
      <c r="A78" s="44">
        <v>351248</v>
      </c>
      <c r="B78" s="44" t="s">
        <v>327</v>
      </c>
      <c r="C78" s="44"/>
      <c r="D78" s="44">
        <v>2</v>
      </c>
      <c r="E78" s="44"/>
      <c r="F78" s="17">
        <v>2</v>
      </c>
    </row>
    <row r="79" spans="1:6" x14ac:dyDescent="0.3">
      <c r="A79" s="44">
        <v>395571</v>
      </c>
      <c r="B79" s="44" t="s">
        <v>185</v>
      </c>
      <c r="C79" s="44"/>
      <c r="D79" s="44">
        <v>12</v>
      </c>
      <c r="E79" s="44"/>
      <c r="F79" s="17">
        <v>12</v>
      </c>
    </row>
    <row r="80" spans="1:6" x14ac:dyDescent="0.3">
      <c r="A80" s="44">
        <v>1247616</v>
      </c>
      <c r="B80" s="44" t="s">
        <v>187</v>
      </c>
      <c r="C80" s="44"/>
      <c r="D80" s="44">
        <v>1</v>
      </c>
      <c r="E80" s="44"/>
      <c r="F80" s="17">
        <v>1</v>
      </c>
    </row>
    <row r="81" spans="1:6" x14ac:dyDescent="0.3">
      <c r="A81" s="51"/>
      <c r="B81" s="51" t="s">
        <v>317</v>
      </c>
      <c r="C81" s="51"/>
      <c r="D81" s="47">
        <v>48</v>
      </c>
      <c r="E81" s="51"/>
      <c r="F81" s="17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5"/>
  <sheetViews>
    <sheetView zoomScaleNormal="100" workbookViewId="0">
      <selection activeCell="B2" sqref="B2"/>
    </sheetView>
  </sheetViews>
  <sheetFormatPr baseColWidth="10" defaultColWidth="10" defaultRowHeight="14.4" x14ac:dyDescent="0.3"/>
  <cols>
    <col min="1" max="1" width="20.44140625" bestFit="1" customWidth="1"/>
    <col min="2" max="2" width="36.88671875" bestFit="1" customWidth="1"/>
    <col min="3" max="3" width="24.33203125" hidden="1" customWidth="1"/>
    <col min="4" max="4" width="11.5546875" bestFit="1" customWidth="1"/>
  </cols>
  <sheetData>
    <row r="1" spans="1:6" x14ac:dyDescent="0.3">
      <c r="A1" s="7" t="s">
        <v>3</v>
      </c>
      <c r="B1" s="8" t="s">
        <v>4</v>
      </c>
      <c r="C1" s="8" t="s">
        <v>5</v>
      </c>
      <c r="D1" s="8" t="s">
        <v>2</v>
      </c>
      <c r="E1" s="8" t="s">
        <v>1</v>
      </c>
      <c r="F1" s="9" t="s">
        <v>6</v>
      </c>
    </row>
    <row r="2" spans="1:6" x14ac:dyDescent="0.3">
      <c r="A2" s="17" t="s">
        <v>21</v>
      </c>
      <c r="B2" s="17" t="s">
        <v>22</v>
      </c>
      <c r="C2" s="17"/>
      <c r="D2" s="17">
        <v>72</v>
      </c>
      <c r="E2" s="17">
        <v>20</v>
      </c>
      <c r="F2" s="17">
        <v>52</v>
      </c>
    </row>
    <row r="3" spans="1:6" x14ac:dyDescent="0.3">
      <c r="A3" s="17" t="s">
        <v>30</v>
      </c>
      <c r="B3" s="17" t="s">
        <v>31</v>
      </c>
      <c r="C3" s="17"/>
      <c r="D3" s="17">
        <v>56</v>
      </c>
      <c r="E3" s="17"/>
      <c r="F3" s="17">
        <v>56</v>
      </c>
    </row>
    <row r="4" spans="1:6" x14ac:dyDescent="0.3">
      <c r="A4" s="17" t="s">
        <v>35</v>
      </c>
      <c r="B4" s="17" t="s">
        <v>36</v>
      </c>
      <c r="C4" s="17"/>
      <c r="D4" s="17">
        <v>52</v>
      </c>
      <c r="E4" s="17"/>
      <c r="F4" s="17">
        <v>52</v>
      </c>
    </row>
    <row r="5" spans="1:6" x14ac:dyDescent="0.3">
      <c r="A5" s="17">
        <v>127038004</v>
      </c>
      <c r="B5" s="17" t="s">
        <v>39</v>
      </c>
      <c r="C5" s="17"/>
      <c r="D5" s="17">
        <v>97</v>
      </c>
      <c r="E5" s="17"/>
      <c r="F5" s="17">
        <v>97</v>
      </c>
    </row>
    <row r="6" spans="1:6" x14ac:dyDescent="0.3">
      <c r="A6" s="17">
        <v>127038005</v>
      </c>
      <c r="B6" s="17" t="s">
        <v>43</v>
      </c>
      <c r="C6" s="17"/>
      <c r="D6" s="17">
        <v>104</v>
      </c>
      <c r="E6" s="17"/>
      <c r="F6" s="17">
        <v>104</v>
      </c>
    </row>
    <row r="7" spans="1:6" x14ac:dyDescent="0.3">
      <c r="A7" s="17" t="s">
        <v>46</v>
      </c>
      <c r="B7" s="17" t="s">
        <v>47</v>
      </c>
      <c r="C7" s="17"/>
      <c r="D7" s="17">
        <v>11</v>
      </c>
      <c r="E7" s="17"/>
      <c r="F7" s="17">
        <v>11</v>
      </c>
    </row>
    <row r="8" spans="1:6" x14ac:dyDescent="0.3">
      <c r="A8" s="17" t="s">
        <v>53</v>
      </c>
      <c r="B8" s="17" t="s">
        <v>54</v>
      </c>
      <c r="C8" s="17"/>
      <c r="D8" s="17">
        <v>1</v>
      </c>
      <c r="E8" s="17"/>
      <c r="F8" s="17">
        <v>1</v>
      </c>
    </row>
    <row r="9" spans="1:6" x14ac:dyDescent="0.3">
      <c r="A9" s="44"/>
      <c r="B9" s="44" t="s">
        <v>80</v>
      </c>
      <c r="C9" s="44"/>
      <c r="D9" s="44">
        <v>10</v>
      </c>
      <c r="E9" s="44">
        <v>3</v>
      </c>
      <c r="F9" s="17">
        <v>7</v>
      </c>
    </row>
    <row r="10" spans="1:6" x14ac:dyDescent="0.3">
      <c r="A10" s="44"/>
      <c r="B10" s="44" t="s">
        <v>81</v>
      </c>
      <c r="C10" s="44"/>
      <c r="D10" s="44">
        <v>15</v>
      </c>
      <c r="E10" s="44"/>
      <c r="F10" s="17">
        <v>15</v>
      </c>
    </row>
    <row r="11" spans="1:6" x14ac:dyDescent="0.3">
      <c r="A11" s="47">
        <v>1101290</v>
      </c>
      <c r="B11" s="47" t="s">
        <v>341</v>
      </c>
      <c r="C11" s="47"/>
      <c r="D11" s="47"/>
      <c r="E11" s="47"/>
      <c r="F11" s="17"/>
    </row>
    <row r="12" spans="1:6" x14ac:dyDescent="0.3">
      <c r="A12" s="44" t="s">
        <v>157</v>
      </c>
      <c r="B12" s="44" t="s">
        <v>158</v>
      </c>
      <c r="C12" s="44"/>
      <c r="D12" s="44">
        <v>30</v>
      </c>
      <c r="E12" s="44">
        <v>1</v>
      </c>
      <c r="F12" s="17">
        <v>29</v>
      </c>
    </row>
    <row r="13" spans="1:6" x14ac:dyDescent="0.3">
      <c r="A13" s="44" t="s">
        <v>159</v>
      </c>
      <c r="B13" s="44" t="s">
        <v>160</v>
      </c>
      <c r="C13" s="44"/>
      <c r="D13" s="44">
        <v>32</v>
      </c>
      <c r="E13" s="44"/>
      <c r="F13" s="17">
        <v>32</v>
      </c>
    </row>
    <row r="14" spans="1:6" x14ac:dyDescent="0.3">
      <c r="A14" s="44" t="s">
        <v>161</v>
      </c>
      <c r="B14" s="44" t="s">
        <v>162</v>
      </c>
      <c r="C14" s="44"/>
      <c r="D14" s="44">
        <v>57</v>
      </c>
      <c r="E14" s="44"/>
      <c r="F14" s="17">
        <v>57</v>
      </c>
    </row>
    <row r="15" spans="1:6" x14ac:dyDescent="0.3">
      <c r="A15" s="44">
        <v>1002510</v>
      </c>
      <c r="B15" s="44" t="s">
        <v>342</v>
      </c>
      <c r="C15" s="44"/>
      <c r="D15" s="44">
        <v>4</v>
      </c>
      <c r="E15" s="44"/>
      <c r="F15" s="17">
        <v>4</v>
      </c>
    </row>
    <row r="16" spans="1:6" x14ac:dyDescent="0.3">
      <c r="A16" s="44"/>
      <c r="B16" s="44" t="s">
        <v>165</v>
      </c>
      <c r="C16" s="44"/>
      <c r="D16" s="44">
        <v>1</v>
      </c>
      <c r="E16" s="44"/>
      <c r="F16" s="17">
        <v>1</v>
      </c>
    </row>
    <row r="17" spans="1:6" x14ac:dyDescent="0.3">
      <c r="A17" s="47" t="s">
        <v>166</v>
      </c>
      <c r="B17" s="47" t="s">
        <v>167</v>
      </c>
      <c r="C17" s="47"/>
      <c r="D17" s="47">
        <v>80</v>
      </c>
      <c r="E17" s="47"/>
      <c r="F17" s="17">
        <v>80</v>
      </c>
    </row>
    <row r="18" spans="1:6" x14ac:dyDescent="0.3">
      <c r="A18" s="44" t="s">
        <v>170</v>
      </c>
      <c r="B18" s="44" t="s">
        <v>171</v>
      </c>
      <c r="C18" s="51"/>
      <c r="D18" s="44">
        <v>16</v>
      </c>
      <c r="E18" s="44">
        <v>7</v>
      </c>
      <c r="F18" s="17">
        <v>9</v>
      </c>
    </row>
    <row r="19" spans="1:6" x14ac:dyDescent="0.3">
      <c r="A19" s="44" t="s">
        <v>172</v>
      </c>
      <c r="B19" s="44" t="s">
        <v>351</v>
      </c>
      <c r="C19" s="44"/>
      <c r="D19" s="44">
        <v>16</v>
      </c>
      <c r="E19" s="44"/>
      <c r="F19" s="17">
        <v>16</v>
      </c>
    </row>
    <row r="20" spans="1:6" x14ac:dyDescent="0.3">
      <c r="A20" s="44">
        <v>1270303</v>
      </c>
      <c r="B20" s="44" t="s">
        <v>177</v>
      </c>
      <c r="C20" s="44"/>
      <c r="D20" s="44">
        <v>10</v>
      </c>
      <c r="E20" s="44">
        <v>5</v>
      </c>
      <c r="F20" s="17">
        <v>5</v>
      </c>
    </row>
    <row r="21" spans="1:6" x14ac:dyDescent="0.3">
      <c r="A21" s="44" t="s">
        <v>315</v>
      </c>
      <c r="B21" s="44" t="s">
        <v>178</v>
      </c>
      <c r="C21" s="44"/>
      <c r="D21" s="44">
        <v>65</v>
      </c>
      <c r="E21" s="44"/>
      <c r="F21" s="17">
        <v>65</v>
      </c>
    </row>
    <row r="22" spans="1:6" x14ac:dyDescent="0.3">
      <c r="A22" s="44" t="s">
        <v>179</v>
      </c>
      <c r="B22" s="44" t="s">
        <v>180</v>
      </c>
      <c r="C22" s="44"/>
      <c r="D22" s="44">
        <v>13</v>
      </c>
      <c r="E22" s="44"/>
      <c r="F22" s="17">
        <v>13</v>
      </c>
    </row>
    <row r="23" spans="1:6" x14ac:dyDescent="0.3">
      <c r="A23" s="44" t="s">
        <v>181</v>
      </c>
      <c r="B23" s="44" t="s">
        <v>182</v>
      </c>
      <c r="C23" s="44"/>
      <c r="D23" s="44">
        <v>23</v>
      </c>
      <c r="E23" s="44"/>
      <c r="F23" s="17">
        <v>23</v>
      </c>
    </row>
    <row r="24" spans="1:6" x14ac:dyDescent="0.3">
      <c r="A24" s="47"/>
      <c r="B24" s="47" t="s">
        <v>198</v>
      </c>
      <c r="C24" s="47"/>
      <c r="D24" s="47">
        <v>3</v>
      </c>
      <c r="E24" s="47"/>
      <c r="F24" s="17">
        <v>3</v>
      </c>
    </row>
    <row r="25" spans="1:6" x14ac:dyDescent="0.3">
      <c r="A25" s="44"/>
      <c r="B25" s="44" t="s">
        <v>202</v>
      </c>
      <c r="C25" s="44"/>
      <c r="D25" s="44">
        <v>1</v>
      </c>
      <c r="E25" s="44"/>
      <c r="F25" s="17">
        <v>1</v>
      </c>
    </row>
    <row r="26" spans="1:6" x14ac:dyDescent="0.3">
      <c r="A26" s="44"/>
      <c r="B26" s="44" t="s">
        <v>203</v>
      </c>
      <c r="C26" s="44"/>
      <c r="D26" s="44">
        <v>19</v>
      </c>
      <c r="E26" s="44"/>
      <c r="F26" s="17">
        <v>19</v>
      </c>
    </row>
    <row r="27" spans="1:6" x14ac:dyDescent="0.3">
      <c r="A27" s="44"/>
      <c r="B27" s="44" t="s">
        <v>217</v>
      </c>
      <c r="C27" s="44"/>
      <c r="D27" s="44">
        <v>1</v>
      </c>
      <c r="E27" s="44"/>
      <c r="F27" s="17">
        <v>1</v>
      </c>
    </row>
    <row r="28" spans="1:6" x14ac:dyDescent="0.3">
      <c r="A28" s="44" t="s">
        <v>220</v>
      </c>
      <c r="B28" s="44" t="s">
        <v>221</v>
      </c>
      <c r="C28" s="44"/>
      <c r="D28" s="44">
        <v>3</v>
      </c>
      <c r="E28" s="44"/>
      <c r="F28" s="17">
        <v>3</v>
      </c>
    </row>
    <row r="29" spans="1:6" x14ac:dyDescent="0.3">
      <c r="A29" s="44" t="s">
        <v>222</v>
      </c>
      <c r="B29" s="44" t="s">
        <v>223</v>
      </c>
      <c r="C29" s="44"/>
      <c r="D29" s="44">
        <v>4</v>
      </c>
      <c r="E29" s="44"/>
      <c r="F29" s="17">
        <v>4</v>
      </c>
    </row>
    <row r="30" spans="1:6" x14ac:dyDescent="0.3">
      <c r="A30" s="44" t="s">
        <v>224</v>
      </c>
      <c r="B30" s="44" t="s">
        <v>225</v>
      </c>
      <c r="C30" s="44"/>
      <c r="D30" s="44">
        <v>6</v>
      </c>
      <c r="E30" s="44"/>
      <c r="F30" s="17">
        <v>6</v>
      </c>
    </row>
    <row r="31" spans="1:6" x14ac:dyDescent="0.3">
      <c r="A31" s="44" t="s">
        <v>226</v>
      </c>
      <c r="B31" s="44" t="s">
        <v>227</v>
      </c>
      <c r="C31" s="44"/>
      <c r="D31" s="44">
        <v>3</v>
      </c>
      <c r="E31" s="44"/>
      <c r="F31" s="17">
        <v>3</v>
      </c>
    </row>
    <row r="32" spans="1:6" x14ac:dyDescent="0.3">
      <c r="A32" s="44" t="s">
        <v>228</v>
      </c>
      <c r="B32" s="44" t="s">
        <v>229</v>
      </c>
      <c r="C32" s="44"/>
      <c r="D32" s="44">
        <v>8</v>
      </c>
      <c r="E32" s="44"/>
      <c r="F32" s="17">
        <v>8</v>
      </c>
    </row>
    <row r="33" spans="1:6" x14ac:dyDescent="0.3">
      <c r="A33" s="44" t="s">
        <v>230</v>
      </c>
      <c r="B33" s="44" t="s">
        <v>229</v>
      </c>
      <c r="C33" s="44"/>
      <c r="D33" s="44">
        <v>6</v>
      </c>
      <c r="E33" s="44"/>
      <c r="F33" s="17">
        <v>6</v>
      </c>
    </row>
    <row r="34" spans="1:6" x14ac:dyDescent="0.3">
      <c r="A34" s="44" t="s">
        <v>231</v>
      </c>
      <c r="B34" s="44" t="s">
        <v>232</v>
      </c>
      <c r="C34" s="44"/>
      <c r="D34" s="44">
        <v>6</v>
      </c>
      <c r="E34" s="44"/>
      <c r="F34" s="17">
        <v>6</v>
      </c>
    </row>
    <row r="35" spans="1:6" x14ac:dyDescent="0.3">
      <c r="A35" s="44" t="s">
        <v>231</v>
      </c>
      <c r="B35" s="44" t="s">
        <v>233</v>
      </c>
      <c r="C35" s="44"/>
      <c r="D35" s="44">
        <v>6</v>
      </c>
      <c r="E35" s="44"/>
      <c r="F35" s="17">
        <v>6</v>
      </c>
    </row>
    <row r="36" spans="1:6" x14ac:dyDescent="0.3">
      <c r="A36" s="44">
        <v>1270308</v>
      </c>
      <c r="B36" s="44" t="s">
        <v>234</v>
      </c>
      <c r="C36" s="44"/>
      <c r="D36" s="44">
        <v>4</v>
      </c>
      <c r="E36" s="44"/>
      <c r="F36" s="17">
        <v>4</v>
      </c>
    </row>
    <row r="37" spans="1:6" x14ac:dyDescent="0.3">
      <c r="A37" s="44" t="s">
        <v>236</v>
      </c>
      <c r="B37" s="44" t="s">
        <v>237</v>
      </c>
      <c r="C37" s="44"/>
      <c r="D37" s="44">
        <v>4</v>
      </c>
      <c r="E37" s="44"/>
      <c r="F37" s="17">
        <v>4</v>
      </c>
    </row>
    <row r="38" spans="1:6" x14ac:dyDescent="0.3">
      <c r="A38" s="44" t="s">
        <v>231</v>
      </c>
      <c r="B38" s="44" t="s">
        <v>235</v>
      </c>
      <c r="C38" s="44"/>
      <c r="D38" s="44">
        <v>12</v>
      </c>
      <c r="E38" s="44"/>
      <c r="F38" s="17">
        <v>12</v>
      </c>
    </row>
    <row r="39" spans="1:6" x14ac:dyDescent="0.3">
      <c r="A39" s="44" t="s">
        <v>236</v>
      </c>
      <c r="B39" s="44" t="s">
        <v>238</v>
      </c>
      <c r="C39" s="44"/>
      <c r="D39" s="44">
        <v>4</v>
      </c>
      <c r="E39" s="44"/>
      <c r="F39" s="17">
        <v>4</v>
      </c>
    </row>
    <row r="40" spans="1:6" x14ac:dyDescent="0.3">
      <c r="A40" s="47" t="s">
        <v>313</v>
      </c>
      <c r="B40" s="47" t="s">
        <v>241</v>
      </c>
      <c r="C40" s="47"/>
      <c r="D40" s="47">
        <v>15</v>
      </c>
      <c r="E40" s="47">
        <v>6</v>
      </c>
      <c r="F40" s="17">
        <v>9</v>
      </c>
    </row>
    <row r="41" spans="1:6" x14ac:dyDescent="0.3">
      <c r="A41" s="47"/>
      <c r="B41" s="47" t="s">
        <v>242</v>
      </c>
      <c r="C41" s="47"/>
      <c r="D41" s="47">
        <v>183</v>
      </c>
      <c r="E41" s="47">
        <v>24</v>
      </c>
      <c r="F41" s="17">
        <v>159</v>
      </c>
    </row>
    <row r="42" spans="1:6" x14ac:dyDescent="0.3">
      <c r="A42" s="47"/>
      <c r="B42" s="47" t="s">
        <v>243</v>
      </c>
      <c r="C42" s="47"/>
      <c r="D42" s="47">
        <v>66</v>
      </c>
      <c r="E42" s="47"/>
      <c r="F42" s="17">
        <v>66</v>
      </c>
    </row>
    <row r="43" spans="1:6" x14ac:dyDescent="0.3">
      <c r="A43" s="47">
        <v>1100201</v>
      </c>
      <c r="B43" s="47" t="s">
        <v>254</v>
      </c>
      <c r="C43" s="47"/>
      <c r="D43" s="47">
        <v>4</v>
      </c>
      <c r="E43" s="47"/>
      <c r="F43" s="17">
        <v>4</v>
      </c>
    </row>
    <row r="44" spans="1:6" x14ac:dyDescent="0.3">
      <c r="A44" s="47">
        <v>1222234</v>
      </c>
      <c r="B44" s="47" t="s">
        <v>255</v>
      </c>
      <c r="C44" s="47"/>
      <c r="D44" s="47">
        <v>1</v>
      </c>
      <c r="E44" s="47"/>
      <c r="F44" s="17">
        <v>1</v>
      </c>
    </row>
    <row r="45" spans="1:6" x14ac:dyDescent="0.3">
      <c r="A45" s="44"/>
      <c r="B45" s="55" t="s">
        <v>347</v>
      </c>
      <c r="C45" s="55"/>
      <c r="D45" s="44"/>
      <c r="E45" s="55"/>
      <c r="F45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REVISAR </vt:lpstr>
      <vt:lpstr>j320</vt:lpstr>
      <vt:lpstr>j420</vt:lpstr>
      <vt:lpstr>jinan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 Mantenimiento</dc:creator>
  <cp:lastModifiedBy>Jennifer Garcia Aguirre</cp:lastModifiedBy>
  <dcterms:created xsi:type="dcterms:W3CDTF">2026-08-04T18:41:56Z</dcterms:created>
  <dcterms:modified xsi:type="dcterms:W3CDTF">2026-08-11T21:31:47Z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6d350a5f05aa410da993a27c5fe4014e_23</vt:lpwstr>
  </property>
</Properties>
</file>