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opowercomco-my.sharepoint.com/personal/tec_op_copower_com_co/Documents/O&amp;M COLOMBIA/03.- Atención al cliente/4. Informes mensuales/8. Agosto 2026/"/>
    </mc:Choice>
  </mc:AlternateContent>
  <xr:revisionPtr revIDLastSave="6" documentId="8_{95AF5D01-CC8E-4E38-A088-9DDB414521C4}" xr6:coauthVersionLast="47" xr6:coauthVersionMax="47" xr10:uidLastSave="{EC201419-5FD3-4308-B93D-7A8128EE5623}"/>
  <bookViews>
    <workbookView xWindow="-108" yWindow="-108" windowWidth="23256" windowHeight="12456" activeTab="1" xr2:uid="{1DBAFC61-BB7B-47B3-8B79-0572CDF2FBBF}"/>
  </bookViews>
  <sheets>
    <sheet name="REPORTE DIARIO DE OPERACIONES" sheetId="3" r:id="rId1"/>
    <sheet name="Hoja1" sheetId="4" r:id="rId2"/>
    <sheet name="Dashboard" sheetId="6" r:id="rId3"/>
    <sheet name="Hoja2" sheetId="8" r:id="rId4"/>
  </sheets>
  <externalReferences>
    <externalReference r:id="rId5"/>
    <externalReference r:id="rId6"/>
  </externalReferences>
  <definedNames>
    <definedName name="_xlnm._FilterDatabase" localSheetId="0" hidden="1">'REPORTE DIARIO DE OPERACIONES'!$A$2:$Y$332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32" i="3" l="1"/>
  <c r="M332" i="3"/>
  <c r="L332" i="3"/>
  <c r="Q331" i="3"/>
  <c r="M331" i="3"/>
  <c r="L331" i="3"/>
  <c r="M330" i="3"/>
  <c r="Q330" i="3" s="1"/>
  <c r="L330" i="3"/>
  <c r="M329" i="3"/>
  <c r="Q329" i="3" s="1"/>
  <c r="L329" i="3"/>
  <c r="M328" i="3"/>
  <c r="Q328" i="3" s="1"/>
  <c r="L328" i="3"/>
  <c r="M327" i="3"/>
  <c r="Q327" i="3" s="1"/>
  <c r="L327" i="3"/>
  <c r="M326" i="3"/>
  <c r="Q326" i="3" s="1"/>
  <c r="L326" i="3"/>
  <c r="M325" i="3"/>
  <c r="Q325" i="3" s="1"/>
  <c r="L325" i="3"/>
  <c r="M324" i="3"/>
  <c r="Q324" i="3" s="1"/>
  <c r="L324" i="3"/>
  <c r="Q323" i="3"/>
  <c r="M323" i="3"/>
  <c r="L323" i="3"/>
  <c r="M322" i="3"/>
  <c r="Q322" i="3" s="1"/>
  <c r="L322" i="3"/>
  <c r="M321" i="3"/>
  <c r="Q321" i="3" s="1"/>
  <c r="L321" i="3"/>
  <c r="Q320" i="3"/>
  <c r="M320" i="3"/>
  <c r="L320" i="3"/>
  <c r="M319" i="3"/>
  <c r="Q319" i="3" s="1"/>
  <c r="L319" i="3"/>
  <c r="M318" i="3"/>
  <c r="Q318" i="3" s="1"/>
  <c r="L318" i="3"/>
  <c r="M317" i="3"/>
  <c r="Q317" i="3" s="1"/>
  <c r="L317" i="3"/>
  <c r="M316" i="3"/>
  <c r="Q316" i="3" s="1"/>
  <c r="L316" i="3"/>
  <c r="M315" i="3"/>
  <c r="Q315" i="3" s="1"/>
  <c r="L315" i="3"/>
  <c r="M314" i="3"/>
  <c r="Q314" i="3" s="1"/>
  <c r="L314" i="3"/>
  <c r="M313" i="3"/>
  <c r="Q313" i="3" s="1"/>
  <c r="L313" i="3"/>
  <c r="Q312" i="3"/>
  <c r="M312" i="3"/>
  <c r="L312" i="3"/>
  <c r="M311" i="3"/>
  <c r="Q311" i="3" s="1"/>
  <c r="L311" i="3"/>
  <c r="M310" i="3"/>
  <c r="Q310" i="3" s="1"/>
  <c r="L310" i="3"/>
  <c r="M309" i="3"/>
  <c r="Q309" i="3" s="1"/>
  <c r="L309" i="3"/>
  <c r="Q308" i="3"/>
  <c r="M308" i="3"/>
  <c r="L308" i="3"/>
  <c r="Q307" i="3"/>
  <c r="M307" i="3"/>
  <c r="L307" i="3"/>
  <c r="M306" i="3"/>
  <c r="Q306" i="3" s="1"/>
  <c r="L306" i="3"/>
  <c r="M305" i="3"/>
  <c r="Q305" i="3" s="1"/>
  <c r="L305" i="3"/>
  <c r="M304" i="3"/>
  <c r="Q304" i="3" s="1"/>
  <c r="L304" i="3"/>
  <c r="M303" i="3"/>
  <c r="Q303" i="3" s="1"/>
  <c r="L303" i="3"/>
  <c r="M302" i="3"/>
  <c r="Q302" i="3" s="1"/>
  <c r="L302" i="3"/>
  <c r="Q301" i="3"/>
  <c r="L301" i="3"/>
  <c r="M300" i="3"/>
  <c r="Q300" i="3" s="1"/>
  <c r="L300" i="3"/>
  <c r="Q299" i="3"/>
  <c r="M299" i="3"/>
  <c r="L299" i="3"/>
  <c r="Q298" i="3"/>
  <c r="M298" i="3"/>
  <c r="L298" i="3"/>
  <c r="M297" i="3"/>
  <c r="Q297" i="3" s="1"/>
  <c r="L297" i="3"/>
  <c r="M296" i="3"/>
  <c r="Q296" i="3" s="1"/>
  <c r="L296" i="3"/>
  <c r="M295" i="3"/>
  <c r="Q295" i="3" s="1"/>
  <c r="L295" i="3"/>
  <c r="Q294" i="3"/>
  <c r="L294" i="3"/>
  <c r="M293" i="3"/>
  <c r="Q293" i="3" s="1"/>
  <c r="L293" i="3"/>
  <c r="M292" i="3"/>
  <c r="Q292" i="3" s="1"/>
  <c r="L292" i="3"/>
  <c r="Q291" i="3"/>
  <c r="L291" i="3"/>
  <c r="M290" i="3"/>
  <c r="Q290" i="3" s="1"/>
  <c r="L290" i="3"/>
  <c r="M289" i="3"/>
  <c r="Q289" i="3" s="1"/>
  <c r="L289" i="3"/>
  <c r="Q288" i="3"/>
  <c r="L288" i="3"/>
  <c r="M287" i="3"/>
  <c r="Q287" i="3" s="1"/>
  <c r="L287" i="3"/>
  <c r="Q286" i="3"/>
  <c r="L286" i="3"/>
  <c r="M285" i="3"/>
  <c r="Q285" i="3" s="1"/>
  <c r="L285" i="3"/>
  <c r="M284" i="3"/>
  <c r="Q284" i="3" s="1"/>
  <c r="L284" i="3"/>
  <c r="M283" i="3"/>
  <c r="Q283" i="3" s="1"/>
  <c r="L283" i="3"/>
  <c r="M282" i="3"/>
  <c r="Q282" i="3" s="1"/>
  <c r="L282" i="3"/>
  <c r="M281" i="3"/>
  <c r="Q281" i="3" s="1"/>
  <c r="L281" i="3"/>
  <c r="M280" i="3"/>
  <c r="Q280" i="3" s="1"/>
  <c r="L280" i="3"/>
  <c r="Q279" i="3"/>
  <c r="L279" i="3"/>
  <c r="M278" i="3"/>
  <c r="Q278" i="3" s="1"/>
  <c r="L278" i="3"/>
  <c r="M277" i="3"/>
  <c r="Q277" i="3" s="1"/>
  <c r="L277" i="3"/>
  <c r="Q276" i="3"/>
  <c r="L276" i="3"/>
  <c r="M275" i="3"/>
  <c r="Q275" i="3" s="1"/>
  <c r="L275" i="3"/>
  <c r="M274" i="3"/>
  <c r="Q274" i="3" s="1"/>
  <c r="L274" i="3"/>
  <c r="Q273" i="3"/>
  <c r="L273" i="3"/>
  <c r="M272" i="3"/>
  <c r="Q272" i="3" s="1"/>
  <c r="L272" i="3"/>
  <c r="M271" i="3"/>
  <c r="Q271" i="3" s="1"/>
  <c r="L271" i="3"/>
  <c r="M270" i="3"/>
  <c r="Q270" i="3" s="1"/>
  <c r="L270" i="3"/>
  <c r="M269" i="3"/>
  <c r="Q269" i="3" s="1"/>
  <c r="L269" i="3"/>
  <c r="M268" i="3"/>
  <c r="Q268" i="3" s="1"/>
  <c r="L268" i="3"/>
  <c r="M267" i="3"/>
  <c r="Q267" i="3" s="1"/>
  <c r="L267" i="3"/>
  <c r="M266" i="3"/>
  <c r="Q266" i="3" s="1"/>
  <c r="L266" i="3"/>
  <c r="M265" i="3"/>
  <c r="Q265" i="3" s="1"/>
  <c r="L265" i="3"/>
  <c r="Q264" i="3"/>
  <c r="L264" i="3"/>
  <c r="M263" i="3"/>
  <c r="Q263" i="3" s="1"/>
  <c r="L263" i="3"/>
  <c r="M262" i="3"/>
  <c r="Q262" i="3" s="1"/>
  <c r="L262" i="3"/>
  <c r="Q261" i="3"/>
  <c r="L261" i="3"/>
  <c r="M260" i="3"/>
  <c r="Q260" i="3" s="1"/>
  <c r="L260" i="3"/>
  <c r="M259" i="3"/>
  <c r="Q259" i="3" s="1"/>
  <c r="L259" i="3"/>
  <c r="M258" i="3"/>
  <c r="Q258" i="3" s="1"/>
  <c r="L258" i="3"/>
  <c r="Q257" i="3"/>
  <c r="M257" i="3"/>
  <c r="L257" i="3"/>
  <c r="M256" i="3"/>
  <c r="Q256" i="3" s="1"/>
  <c r="L256" i="3"/>
  <c r="M255" i="3"/>
  <c r="Q255" i="3" s="1"/>
  <c r="L255" i="3"/>
  <c r="M254" i="3"/>
  <c r="Q254" i="3" s="1"/>
  <c r="L254" i="3"/>
  <c r="M253" i="3"/>
  <c r="Q253" i="3" s="1"/>
  <c r="L253" i="3"/>
  <c r="M252" i="3"/>
  <c r="Q252" i="3" s="1"/>
  <c r="L252" i="3"/>
  <c r="M251" i="3"/>
  <c r="Q251" i="3" s="1"/>
  <c r="L251" i="3"/>
  <c r="M250" i="3"/>
  <c r="Q250" i="3" s="1"/>
  <c r="L250" i="3"/>
  <c r="Q249" i="3"/>
  <c r="L249" i="3"/>
  <c r="M248" i="3"/>
  <c r="Q248" i="3" s="1"/>
  <c r="L248" i="3"/>
  <c r="M247" i="3"/>
  <c r="Q247" i="3" s="1"/>
  <c r="L247" i="3"/>
  <c r="M246" i="3"/>
  <c r="Q246" i="3" s="1"/>
  <c r="L246" i="3"/>
  <c r="M245" i="3"/>
  <c r="Q245" i="3" s="1"/>
  <c r="L245" i="3"/>
  <c r="Q244" i="3"/>
  <c r="M244" i="3"/>
  <c r="L244" i="3"/>
  <c r="M243" i="3"/>
  <c r="Q243" i="3" s="1"/>
  <c r="L243" i="3"/>
  <c r="M242" i="3"/>
  <c r="Q242" i="3" s="1"/>
  <c r="L242" i="3"/>
  <c r="Q241" i="3"/>
  <c r="M241" i="3"/>
  <c r="L241" i="3"/>
  <c r="M240" i="3"/>
  <c r="Q240" i="3" s="1"/>
  <c r="L240" i="3"/>
  <c r="M239" i="3"/>
  <c r="Q239" i="3" s="1"/>
  <c r="L239" i="3"/>
  <c r="M238" i="3"/>
  <c r="Q238" i="3" s="1"/>
  <c r="L238" i="3"/>
  <c r="M237" i="3"/>
  <c r="Q237" i="3" s="1"/>
  <c r="L237" i="3"/>
  <c r="M236" i="3"/>
  <c r="Q236" i="3" s="1"/>
  <c r="L236" i="3"/>
  <c r="M235" i="3"/>
  <c r="Q235" i="3" s="1"/>
  <c r="L235" i="3"/>
  <c r="M234" i="3"/>
  <c r="Q234" i="3" s="1"/>
  <c r="L234" i="3"/>
  <c r="Q233" i="3"/>
  <c r="M233" i="3"/>
  <c r="L233" i="3"/>
  <c r="M232" i="3"/>
  <c r="Q232" i="3" s="1"/>
  <c r="L232" i="3"/>
  <c r="M231" i="3"/>
  <c r="Q231" i="3" s="1"/>
  <c r="L231" i="3"/>
  <c r="M230" i="3"/>
  <c r="Q230" i="3" s="1"/>
  <c r="L230" i="3"/>
  <c r="Q229" i="3"/>
  <c r="M229" i="3"/>
  <c r="L229" i="3"/>
  <c r="Q228" i="3"/>
  <c r="M228" i="3"/>
  <c r="L228" i="3"/>
  <c r="M227" i="3"/>
  <c r="Q227" i="3" s="1"/>
  <c r="L227" i="3"/>
  <c r="M226" i="3"/>
  <c r="Q226" i="3" s="1"/>
  <c r="L226" i="3"/>
  <c r="M225" i="3"/>
  <c r="Q225" i="3" s="1"/>
  <c r="L225" i="3"/>
  <c r="M224" i="3"/>
  <c r="Q224" i="3" s="1"/>
  <c r="L224" i="3"/>
  <c r="M223" i="3"/>
  <c r="Q223" i="3" s="1"/>
  <c r="L223" i="3"/>
  <c r="M222" i="3"/>
  <c r="Q222" i="3" s="1"/>
  <c r="L222" i="3"/>
  <c r="M221" i="3"/>
  <c r="Q221" i="3" s="1"/>
  <c r="L221" i="3"/>
  <c r="Q220" i="3"/>
  <c r="M220" i="3"/>
  <c r="L220" i="3"/>
  <c r="M219" i="3"/>
  <c r="Q219" i="3" s="1"/>
  <c r="L219" i="3"/>
  <c r="M218" i="3"/>
  <c r="Q218" i="3" s="1"/>
  <c r="L218" i="3"/>
  <c r="Q217" i="3"/>
  <c r="M217" i="3"/>
  <c r="L217" i="3"/>
  <c r="M216" i="3"/>
  <c r="Q216" i="3" s="1"/>
  <c r="L216" i="3"/>
  <c r="M215" i="3"/>
  <c r="Q215" i="3" s="1"/>
  <c r="L215" i="3"/>
  <c r="M214" i="3"/>
  <c r="Q214" i="3" s="1"/>
  <c r="L214" i="3"/>
  <c r="M213" i="3"/>
  <c r="Q213" i="3" s="1"/>
  <c r="L213" i="3"/>
  <c r="M212" i="3"/>
  <c r="Q212" i="3" s="1"/>
  <c r="L212" i="3"/>
  <c r="M211" i="3"/>
  <c r="Q211" i="3" s="1"/>
  <c r="L211" i="3"/>
  <c r="M210" i="3"/>
  <c r="Q210" i="3" s="1"/>
  <c r="L210" i="3"/>
  <c r="Q209" i="3"/>
  <c r="M209" i="3"/>
  <c r="L209" i="3"/>
  <c r="M208" i="3"/>
  <c r="Q208" i="3" s="1"/>
  <c r="L208" i="3"/>
  <c r="M207" i="3"/>
  <c r="Q207" i="3" s="1"/>
  <c r="L207" i="3"/>
  <c r="M206" i="3"/>
  <c r="Q206" i="3" s="1"/>
  <c r="L206" i="3"/>
  <c r="Q205" i="3"/>
  <c r="M205" i="3"/>
  <c r="L205" i="3"/>
  <c r="Q204" i="3"/>
  <c r="M204" i="3"/>
  <c r="L204" i="3"/>
  <c r="M203" i="3"/>
  <c r="Q203" i="3" s="1"/>
  <c r="L203" i="3"/>
  <c r="M202" i="3"/>
  <c r="Q202" i="3" s="1"/>
  <c r="L202" i="3"/>
  <c r="M201" i="3"/>
  <c r="Q201" i="3" s="1"/>
  <c r="L201" i="3"/>
  <c r="M200" i="3"/>
  <c r="Q200" i="3" s="1"/>
  <c r="L200" i="3"/>
  <c r="M199" i="3"/>
  <c r="Q199" i="3" s="1"/>
  <c r="L199" i="3"/>
  <c r="M198" i="3"/>
  <c r="Q198" i="3" s="1"/>
  <c r="L198" i="3"/>
  <c r="M197" i="3"/>
  <c r="Q197" i="3" s="1"/>
  <c r="L197" i="3"/>
  <c r="M196" i="3"/>
  <c r="Q196" i="3" s="1"/>
  <c r="L196" i="3"/>
  <c r="M195" i="3"/>
  <c r="Q195" i="3" s="1"/>
  <c r="L195" i="3"/>
  <c r="M194" i="3"/>
  <c r="Q194" i="3" s="1"/>
  <c r="L194" i="3"/>
  <c r="M193" i="3"/>
  <c r="Q193" i="3" s="1"/>
  <c r="L193" i="3"/>
  <c r="M192" i="3"/>
  <c r="Q192" i="3" s="1"/>
  <c r="L192" i="3"/>
  <c r="M191" i="3"/>
  <c r="Q191" i="3" s="1"/>
  <c r="L191" i="3"/>
  <c r="M190" i="3"/>
  <c r="Q190" i="3" s="1"/>
  <c r="L190" i="3"/>
  <c r="Q189" i="3"/>
  <c r="M189" i="3"/>
  <c r="L189" i="3"/>
  <c r="Q188" i="3"/>
  <c r="M188" i="3"/>
  <c r="L188" i="3"/>
  <c r="M187" i="3"/>
  <c r="Q187" i="3" s="1"/>
  <c r="L187" i="3"/>
  <c r="M186" i="3"/>
  <c r="Q186" i="3" s="1"/>
  <c r="L186" i="3"/>
  <c r="M185" i="3"/>
  <c r="Q185" i="3" s="1"/>
  <c r="L185" i="3"/>
  <c r="M184" i="3"/>
  <c r="Q184" i="3" s="1"/>
  <c r="L184" i="3"/>
  <c r="M183" i="3"/>
  <c r="Q183" i="3" s="1"/>
  <c r="L183" i="3"/>
  <c r="M182" i="3"/>
  <c r="Q182" i="3" s="1"/>
  <c r="L182" i="3"/>
  <c r="Q181" i="3"/>
  <c r="M181" i="3"/>
  <c r="L181" i="3"/>
  <c r="M180" i="3"/>
  <c r="Q180" i="3" s="1"/>
  <c r="L180" i="3"/>
  <c r="M179" i="3"/>
  <c r="Q179" i="3" s="1"/>
  <c r="L179" i="3"/>
  <c r="M178" i="3"/>
  <c r="Q178" i="3" s="1"/>
  <c r="L178" i="3"/>
  <c r="M177" i="3"/>
  <c r="Q177" i="3" s="1"/>
  <c r="L177" i="3"/>
  <c r="Q176" i="3"/>
  <c r="M176" i="3"/>
  <c r="L176" i="3"/>
  <c r="M175" i="3"/>
  <c r="Q175" i="3" s="1"/>
  <c r="L175" i="3"/>
  <c r="M174" i="3"/>
  <c r="Q174" i="3" s="1"/>
  <c r="L174" i="3"/>
  <c r="Q173" i="3"/>
  <c r="M173" i="3"/>
  <c r="L173" i="3"/>
  <c r="M172" i="3"/>
  <c r="Q172" i="3" s="1"/>
  <c r="L172" i="3"/>
  <c r="M171" i="3"/>
  <c r="Q171" i="3" s="1"/>
  <c r="L171" i="3"/>
  <c r="M170" i="3"/>
  <c r="Q170" i="3" s="1"/>
  <c r="L170" i="3"/>
  <c r="M169" i="3"/>
  <c r="Q169" i="3" s="1"/>
  <c r="L169" i="3"/>
  <c r="M168" i="3"/>
  <c r="Q168" i="3" s="1"/>
  <c r="L168" i="3"/>
  <c r="M167" i="3"/>
  <c r="Q167" i="3" s="1"/>
  <c r="L167" i="3"/>
  <c r="M166" i="3"/>
  <c r="Q166" i="3" s="1"/>
  <c r="L166" i="3"/>
  <c r="M165" i="3"/>
  <c r="Q165" i="3" s="1"/>
  <c r="L165" i="3"/>
  <c r="M164" i="3"/>
  <c r="Q164" i="3" s="1"/>
  <c r="L164" i="3"/>
  <c r="M163" i="3"/>
  <c r="Q163" i="3" s="1"/>
  <c r="L163" i="3"/>
  <c r="M162" i="3"/>
  <c r="Q162" i="3" s="1"/>
  <c r="L162" i="3"/>
  <c r="Q161" i="3"/>
  <c r="M161" i="3"/>
  <c r="L161" i="3"/>
  <c r="M160" i="3"/>
  <c r="Q160" i="3" s="1"/>
  <c r="L160" i="3"/>
  <c r="M159" i="3"/>
  <c r="Q159" i="3" s="1"/>
  <c r="L159" i="3"/>
  <c r="M158" i="3"/>
  <c r="Q158" i="3" s="1"/>
  <c r="L158" i="3"/>
  <c r="M157" i="3"/>
  <c r="Q157" i="3" s="1"/>
  <c r="L157" i="3"/>
  <c r="M156" i="3"/>
  <c r="Q156" i="3" s="1"/>
  <c r="L156" i="3"/>
  <c r="M155" i="3"/>
  <c r="Q155" i="3" s="1"/>
  <c r="L155" i="3"/>
  <c r="M154" i="3"/>
  <c r="Q154" i="3" s="1"/>
  <c r="L154" i="3"/>
  <c r="M153" i="3"/>
  <c r="Q153" i="3" s="1"/>
  <c r="L153" i="3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5" i="4"/>
  <c r="D18" i="8"/>
  <c r="F9" i="8"/>
  <c r="F3" i="8"/>
  <c r="F4" i="8"/>
  <c r="F5" i="8"/>
  <c r="F6" i="8"/>
  <c r="F7" i="8"/>
  <c r="F8" i="8"/>
  <c r="F10" i="8"/>
  <c r="F11" i="8"/>
  <c r="F12" i="8"/>
  <c r="F13" i="8"/>
  <c r="F14" i="8"/>
  <c r="F15" i="8"/>
  <c r="F16" i="8"/>
  <c r="F2" i="8"/>
  <c r="L18" i="4"/>
  <c r="L14" i="4"/>
  <c r="B26" i="4"/>
  <c r="B25" i="4"/>
  <c r="L19" i="4"/>
  <c r="L5" i="4"/>
  <c r="L13" i="4"/>
  <c r="L15" i="4"/>
  <c r="L8" i="4"/>
  <c r="E24" i="4"/>
  <c r="L9" i="4"/>
  <c r="E25" i="4"/>
  <c r="L10" i="4"/>
  <c r="E22" i="4"/>
  <c r="L11" i="4"/>
  <c r="H6" i="6"/>
  <c r="L12" i="4"/>
  <c r="B24" i="4"/>
  <c r="L16" i="4"/>
  <c r="E23" i="4"/>
  <c r="L17" i="4"/>
  <c r="L7" i="4"/>
  <c r="L6" i="4"/>
  <c r="L6" i="6" l="1"/>
  <c r="D6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11" i="6"/>
  <c r="B25" i="6"/>
  <c r="C25" i="6"/>
  <c r="D25" i="6"/>
  <c r="F25" i="6"/>
  <c r="G25" i="6"/>
  <c r="H25" i="6"/>
  <c r="A25" i="6"/>
  <c r="I26" i="6" l="1"/>
  <c r="N19" i="4" l="1"/>
  <c r="E25" i="6" s="1"/>
  <c r="O19" i="4"/>
  <c r="N20" i="4"/>
  <c r="O20" i="4"/>
  <c r="O5" i="4"/>
  <c r="B36" i="6"/>
  <c r="B35" i="6"/>
  <c r="B34" i="6"/>
  <c r="B33" i="6"/>
  <c r="B32" i="6"/>
  <c r="F36" i="6"/>
  <c r="F35" i="6"/>
  <c r="F34" i="6"/>
  <c r="F33" i="6"/>
  <c r="F32" i="6"/>
  <c r="C36" i="6"/>
  <c r="C35" i="6"/>
  <c r="C34" i="6"/>
  <c r="C33" i="6"/>
  <c r="C32" i="6"/>
  <c r="J6" i="6"/>
  <c r="I6" i="6"/>
  <c r="F6" i="6"/>
  <c r="E6" i="6"/>
  <c r="C6" i="6"/>
  <c r="B6" i="6"/>
  <c r="A6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11" i="6"/>
  <c r="N6" i="4"/>
  <c r="N7" i="4"/>
  <c r="N8" i="4"/>
  <c r="N9" i="4"/>
  <c r="M9" i="4" s="1"/>
  <c r="N10" i="4"/>
  <c r="N11" i="4"/>
  <c r="N12" i="4"/>
  <c r="N13" i="4"/>
  <c r="M13" i="4" s="1"/>
  <c r="N14" i="4"/>
  <c r="N15" i="4"/>
  <c r="N16" i="4"/>
  <c r="N17" i="4"/>
  <c r="N18" i="4"/>
  <c r="N5" i="4"/>
  <c r="M20" i="4" l="1"/>
  <c r="M19" i="4"/>
  <c r="M15" i="4"/>
  <c r="M14" i="4"/>
  <c r="M11" i="4"/>
  <c r="M12" i="4"/>
  <c r="M10" i="4"/>
  <c r="M8" i="4"/>
  <c r="M7" i="4"/>
  <c r="M18" i="4"/>
  <c r="M6" i="4"/>
  <c r="M17" i="4"/>
  <c r="M16" i="4"/>
  <c r="M5" i="4"/>
  <c r="L64" i="6"/>
  <c r="E17" i="6" l="1"/>
  <c r="E18" i="6"/>
  <c r="E19" i="6"/>
  <c r="E20" i="6"/>
  <c r="E21" i="6"/>
  <c r="E22" i="6"/>
  <c r="E23" i="6"/>
  <c r="E11" i="6"/>
  <c r="I36" i="6"/>
  <c r="I35" i="6"/>
  <c r="I34" i="6"/>
  <c r="I33" i="6"/>
  <c r="N26" i="6"/>
  <c r="M26" i="6"/>
  <c r="O26" i="6" s="1"/>
  <c r="L26" i="6"/>
  <c r="N20" i="6"/>
  <c r="M20" i="6"/>
  <c r="O20" i="6" s="1"/>
  <c r="L20" i="6"/>
  <c r="N19" i="6"/>
  <c r="M19" i="6"/>
  <c r="O19" i="6" s="1"/>
  <c r="L19" i="6"/>
  <c r="O12" i="6"/>
  <c r="N12" i="6"/>
  <c r="M12" i="6"/>
  <c r="P12" i="6" s="1"/>
  <c r="O13" i="6"/>
  <c r="N13" i="6"/>
  <c r="M13" i="6"/>
  <c r="P13" i="6" s="1"/>
  <c r="L13" i="6"/>
  <c r="L12" i="6"/>
  <c r="O11" i="6"/>
  <c r="N11" i="6"/>
  <c r="M11" i="6"/>
  <c r="P11" i="6" s="1"/>
  <c r="L11" i="6"/>
  <c r="E12" i="6"/>
  <c r="E14" i="6"/>
  <c r="E24" i="6"/>
  <c r="B12" i="6"/>
  <c r="C12" i="6"/>
  <c r="D12" i="6"/>
  <c r="F12" i="6"/>
  <c r="K47" i="6" s="1"/>
  <c r="L47" i="6" s="1"/>
  <c r="G12" i="6"/>
  <c r="H12" i="6"/>
  <c r="B13" i="6"/>
  <c r="C13" i="6"/>
  <c r="D13" i="6"/>
  <c r="F13" i="6"/>
  <c r="G13" i="6"/>
  <c r="H13" i="6"/>
  <c r="B14" i="6"/>
  <c r="C14" i="6"/>
  <c r="D14" i="6"/>
  <c r="F14" i="6"/>
  <c r="K49" i="6" s="1"/>
  <c r="L49" i="6" s="1"/>
  <c r="G14" i="6"/>
  <c r="H14" i="6"/>
  <c r="B15" i="6"/>
  <c r="C15" i="6"/>
  <c r="D15" i="6"/>
  <c r="F15" i="6"/>
  <c r="G15" i="6"/>
  <c r="H15" i="6"/>
  <c r="B16" i="6"/>
  <c r="C16" i="6"/>
  <c r="D16" i="6"/>
  <c r="F16" i="6"/>
  <c r="G16" i="6"/>
  <c r="H16" i="6"/>
  <c r="B17" i="6"/>
  <c r="C17" i="6"/>
  <c r="D17" i="6"/>
  <c r="F17" i="6"/>
  <c r="G17" i="6"/>
  <c r="H17" i="6"/>
  <c r="B18" i="6"/>
  <c r="C18" i="6"/>
  <c r="D18" i="6"/>
  <c r="F18" i="6"/>
  <c r="K53" i="6" s="1"/>
  <c r="L53" i="6" s="1"/>
  <c r="G18" i="6"/>
  <c r="H18" i="6"/>
  <c r="B19" i="6"/>
  <c r="C19" i="6"/>
  <c r="D19" i="6"/>
  <c r="F19" i="6"/>
  <c r="K54" i="6" s="1"/>
  <c r="L54" i="6" s="1"/>
  <c r="G19" i="6"/>
  <c r="H19" i="6"/>
  <c r="B20" i="6"/>
  <c r="C20" i="6"/>
  <c r="D20" i="6"/>
  <c r="F20" i="6"/>
  <c r="K55" i="6" s="1"/>
  <c r="L55" i="6" s="1"/>
  <c r="G20" i="6"/>
  <c r="H20" i="6"/>
  <c r="B21" i="6"/>
  <c r="C21" i="6"/>
  <c r="D21" i="6"/>
  <c r="F21" i="6"/>
  <c r="K56" i="6" s="1"/>
  <c r="L56" i="6" s="1"/>
  <c r="G21" i="6"/>
  <c r="H21" i="6"/>
  <c r="B22" i="6"/>
  <c r="C22" i="6"/>
  <c r="D22" i="6"/>
  <c r="F22" i="6"/>
  <c r="K57" i="6" s="1"/>
  <c r="L57" i="6" s="1"/>
  <c r="G22" i="6"/>
  <c r="H22" i="6"/>
  <c r="B23" i="6"/>
  <c r="C23" i="6"/>
  <c r="D23" i="6"/>
  <c r="F23" i="6"/>
  <c r="K58" i="6" s="1"/>
  <c r="L58" i="6" s="1"/>
  <c r="G23" i="6"/>
  <c r="H23" i="6"/>
  <c r="B24" i="6"/>
  <c r="C24" i="6"/>
  <c r="D24" i="6"/>
  <c r="F24" i="6"/>
  <c r="K59" i="6" s="1"/>
  <c r="L59" i="6" s="1"/>
  <c r="G24" i="6"/>
  <c r="H24" i="6"/>
  <c r="H11" i="6"/>
  <c r="G11" i="6"/>
  <c r="F11" i="6"/>
  <c r="D11" i="6"/>
  <c r="D26" i="6" s="1"/>
  <c r="C11" i="6"/>
  <c r="C26" i="6" s="1"/>
  <c r="B11" i="6"/>
  <c r="K6" i="6"/>
  <c r="B85" i="6"/>
  <c r="C84" i="6"/>
  <c r="C83" i="6"/>
  <c r="C82" i="6"/>
  <c r="C81" i="6"/>
  <c r="C80" i="6"/>
  <c r="I32" i="6"/>
  <c r="O18" i="4"/>
  <c r="O17" i="4"/>
  <c r="O16" i="4"/>
  <c r="O15" i="4"/>
  <c r="O14" i="4"/>
  <c r="O13" i="4"/>
  <c r="O12" i="4"/>
  <c r="O11" i="4"/>
  <c r="O10" i="4"/>
  <c r="E16" i="6"/>
  <c r="O9" i="4"/>
  <c r="E15" i="6"/>
  <c r="O8" i="4"/>
  <c r="O7" i="4"/>
  <c r="E13" i="6"/>
  <c r="O6" i="4"/>
  <c r="B26" i="6" l="1"/>
  <c r="E26" i="6"/>
  <c r="H26" i="6"/>
  <c r="F26" i="6"/>
  <c r="G26" i="6"/>
  <c r="K46" i="6"/>
  <c r="L46" i="6" s="1"/>
  <c r="K50" i="6"/>
  <c r="L50" i="6" s="1"/>
  <c r="K48" i="6"/>
  <c r="L48" i="6" s="1"/>
  <c r="K52" i="6"/>
  <c r="L52" i="6" s="1"/>
  <c r="K51" i="6"/>
  <c r="L51" i="6" s="1"/>
  <c r="F37" i="6"/>
  <c r="I37" i="6" s="1"/>
  <c r="N21" i="6"/>
  <c r="L21" i="6"/>
  <c r="M14" i="6"/>
  <c r="N14" i="6"/>
  <c r="L14" i="6"/>
  <c r="O14" i="6"/>
  <c r="O21" i="6"/>
  <c r="P14" i="6"/>
  <c r="M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Carlos Pabon Velazco</author>
  </authors>
  <commentList>
    <comment ref="L4" authorId="0" shapeId="0" xr:uid="{11B72EAF-E9E7-4744-8B31-167EB26A8358}">
      <text>
        <r>
          <rPr>
            <b/>
            <sz val="9"/>
            <color indexed="81"/>
            <rFont val="Tahoma"/>
            <family val="2"/>
          </rPr>
          <t>Juan Carlos Pabon Velazco:</t>
        </r>
        <r>
          <rPr>
            <sz val="9"/>
            <color indexed="81"/>
            <rFont val="Tahoma"/>
            <family val="2"/>
          </rPr>
          <t xml:space="preserve">
Calculo disponibilidad Operacional,Incluye tanto el mantenimiento preventivo como el correctivo.
</t>
        </r>
      </text>
    </comment>
    <comment ref="M4" authorId="0" shapeId="0" xr:uid="{B62DB2EA-B3EC-493E-9F8D-74C4E04C04F6}">
      <text>
        <r>
          <rPr>
            <b/>
            <sz val="9"/>
            <color indexed="81"/>
            <rFont val="Tahoma"/>
            <family val="2"/>
          </rPr>
          <t>Juan Carlos Pabon Velazco:</t>
        </r>
        <r>
          <rPr>
            <sz val="9"/>
            <color indexed="81"/>
            <rFont val="Tahoma"/>
            <family val="2"/>
          </rPr>
          <t xml:space="preserve">
Confiabillidad en 24 hrs de trabajo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<sst xmlns="http://schemas.openxmlformats.org/spreadsheetml/2006/main" count="3023" uniqueCount="325">
  <si>
    <t>Fecha</t>
  </si>
  <si>
    <t>Cuenca</t>
  </si>
  <si>
    <t>Campo</t>
  </si>
  <si>
    <t>Contratista</t>
  </si>
  <si>
    <t>Unidad</t>
  </si>
  <si>
    <t>TAG de la unidad</t>
  </si>
  <si>
    <t>capacidad instalada</t>
  </si>
  <si>
    <t>Capacidad Entregada (kW)</t>
  </si>
  <si>
    <t>Horometro inicial</t>
  </si>
  <si>
    <t>Horometro final</t>
  </si>
  <si>
    <t>KWH generados</t>
  </si>
  <si>
    <t>Potencia promedio</t>
  </si>
  <si>
    <t xml:space="preserve">Horas Operacion </t>
  </si>
  <si>
    <t>Horas StandBy</t>
  </si>
  <si>
    <t>Horas MMT Preventivo</t>
  </si>
  <si>
    <t>Horas MMT Correctivo</t>
  </si>
  <si>
    <t>total horas</t>
  </si>
  <si>
    <t>Horas Paradas Externas</t>
  </si>
  <si>
    <t>Numero de fallas</t>
  </si>
  <si>
    <t>Tipo de combustible Primario</t>
  </si>
  <si>
    <t>Tipo de combustible Secundario</t>
  </si>
  <si>
    <t>Consumo de combustible Primario</t>
  </si>
  <si>
    <t>Consumo de combustible secundario</t>
  </si>
  <si>
    <t>Eficiencia</t>
  </si>
  <si>
    <t>Observaciones</t>
  </si>
  <si>
    <t>PUTN</t>
  </si>
  <si>
    <t>COSTAYACO</t>
  </si>
  <si>
    <t>COPOWER</t>
  </si>
  <si>
    <t>J320</t>
  </si>
  <si>
    <t>CPW-01</t>
  </si>
  <si>
    <t>GAS</t>
  </si>
  <si>
    <t>NO APLICA</t>
  </si>
  <si>
    <t>CPW-02</t>
  </si>
  <si>
    <t>CPW-03</t>
  </si>
  <si>
    <t>J420</t>
  </si>
  <si>
    <t>CPW-04</t>
  </si>
  <si>
    <t>CPW-05</t>
  </si>
  <si>
    <t>CUMMINS</t>
  </si>
  <si>
    <t>DIESEL</t>
  </si>
  <si>
    <t>G101V</t>
  </si>
  <si>
    <t>G102J</t>
  </si>
  <si>
    <t>G102K</t>
  </si>
  <si>
    <t>VONU</t>
  </si>
  <si>
    <t>JINAN</t>
  </si>
  <si>
    <t>JIN-01</t>
  </si>
  <si>
    <t>JIN-02</t>
  </si>
  <si>
    <t>CPW-06</t>
  </si>
  <si>
    <t>CPW-07</t>
  </si>
  <si>
    <t>Etiquetas de fila</t>
  </si>
  <si>
    <t>Total general</t>
  </si>
  <si>
    <t>Suma de Horas StandBy</t>
  </si>
  <si>
    <t>Suma de Horas MMT Preventivo</t>
  </si>
  <si>
    <t>Suma de Horas MMT Correctivo</t>
  </si>
  <si>
    <t>Suma de Horas Paradas Externas</t>
  </si>
  <si>
    <t>Suma de Numero de fallas</t>
  </si>
  <si>
    <t xml:space="preserve">Suma de Horas Operacion </t>
  </si>
  <si>
    <t>Suma de KWH generados</t>
  </si>
  <si>
    <t>Suma de Consumo de combustible Primario</t>
  </si>
  <si>
    <t>Disponibilidad</t>
  </si>
  <si>
    <t>Horas Totales Junio</t>
  </si>
  <si>
    <t>Confiabilidad</t>
  </si>
  <si>
    <t>MTBF</t>
  </si>
  <si>
    <t>MTTR</t>
  </si>
  <si>
    <t>CPW05</t>
  </si>
  <si>
    <t>Suma de total horas</t>
  </si>
  <si>
    <t>🔑 KPIs BÁSICOS OPERATIVOS</t>
  </si>
  <si>
    <t>⚙️ KPIs AVANZADOS DE CONFIABILIDAD</t>
  </si>
  <si>
    <t>📋 RESUMEN EJECUTIVO - MAYO 2026</t>
  </si>
  <si>
    <t>Total KWH</t>
  </si>
  <si>
    <t>Horas Operación</t>
  </si>
  <si>
    <t>Disponibilidad (%)</t>
  </si>
  <si>
    <t>Total Fallas</t>
  </si>
  <si>
    <t>Hrs MMT Total</t>
  </si>
  <si>
    <t>MTBF (Hrs)</t>
  </si>
  <si>
    <t>MTTR (Hrs)</t>
  </si>
  <si>
    <t>Confiabilidad (%)</t>
  </si>
  <si>
    <t>Indisponibilidad (%)</t>
  </si>
  <si>
    <t>% Unid. c/Fallas</t>
  </si>
  <si>
    <t>🔍 PANORAMA GENERAL</t>
  </si>
  <si>
    <t>• Período: Mayo 2026 (31 días)</t>
  </si>
  <si>
    <t>• Flota: 16 unidades de generación</t>
  </si>
  <si>
    <t>📋 INDICADORES POR UNIDAD</t>
  </si>
  <si>
    <t>📊 RESUMEN POR TIPO DE UNIDAD</t>
  </si>
  <si>
    <t>• Generación total: 4,056,740 KWH</t>
  </si>
  <si>
    <t>• Disponibilidad global: 57.3%</t>
  </si>
  <si>
    <t>KWH Generados</t>
  </si>
  <si>
    <t>Hrs Operación</t>
  </si>
  <si>
    <t>Hrs StandBy</t>
  </si>
  <si>
    <t>Fallas</t>
  </si>
  <si>
    <t>Hrs MMT Prev</t>
  </si>
  <si>
    <t>Hrs MMT Corr</t>
  </si>
  <si>
    <t>% del Total KWH</t>
  </si>
  <si>
    <t>Tipo Unidad</t>
  </si>
  <si>
    <t>Cantidad</t>
  </si>
  <si>
    <t>KWH Total</t>
  </si>
  <si>
    <t>Hrs Op Total</t>
  </si>
  <si>
    <t>Disp. Prom</t>
  </si>
  <si>
    <t>% Generación</t>
  </si>
  <si>
    <t>CPW (J320/J420)</t>
  </si>
  <si>
    <t>🎯 HALLAZGOS CLAVE</t>
  </si>
  <si>
    <t>CUMMINS (G10x)</t>
  </si>
  <si>
    <t>JINAN (JIN)</t>
  </si>
  <si>
    <t>✅ FORTALEZAS:</t>
  </si>
  <si>
    <t>TOTAL</t>
  </si>
  <si>
    <t>• CPW aporta ~79% de la generación</t>
  </si>
  <si>
    <t>• 81% unidades sin fallas (13/16)</t>
  </si>
  <si>
    <t>📍 RESUMEN POR CAMPO</t>
  </si>
  <si>
    <t>• MTBF excelente: 2,141 hrs</t>
  </si>
  <si>
    <t>⚠️ ÁREAS DE MEJORA:</t>
  </si>
  <si>
    <t>• CUMMINS solo 13.5% disponibilidad</t>
  </si>
  <si>
    <t>• CPW-04: 23 hrs MMT correctivo</t>
  </si>
  <si>
    <t>• 42.7% de indisponibilidad</t>
  </si>
  <si>
    <t>🌎 RESUMEN POR CUENCA</t>
  </si>
  <si>
    <t>💡 RECOMENDACIONES:</t>
  </si>
  <si>
    <t>• Inspección técnica CPW-04</t>
  </si>
  <si>
    <t>• Plan recuperación CUMMINS</t>
  </si>
  <si>
    <t>• Meta: Disponibilidad ≥75%</t>
  </si>
  <si>
    <t>🏆 TOP 5 GENERADORES</t>
  </si>
  <si>
    <t>⚠️ ANÁLISIS DE FALLAS</t>
  </si>
  <si>
    <t>Ranking</t>
  </si>
  <si>
    <t>Métrica</t>
  </si>
  <si>
    <t>Valor</t>
  </si>
  <si>
    <t>Descripción</t>
  </si>
  <si>
    <t>Estado</t>
  </si>
  <si>
    <t>Suma total período</t>
  </si>
  <si>
    <t>Unidades c/Fallas</t>
  </si>
  <si>
    <t>Unidades</t>
  </si>
  <si>
    <t>Conteo &gt;0 fallas</t>
  </si>
  <si>
    <t>Tasa de Fallas</t>
  </si>
  <si>
    <t>Fallas/Unid</t>
  </si>
  <si>
    <t>Total/16 unidades</t>
  </si>
  <si>
    <t>Horas</t>
  </si>
  <si>
    <t>Hrs Op / Fallas</t>
  </si>
  <si>
    <t>Hrs MMT Corr / Fallas</t>
  </si>
  <si>
    <t>Indisponibilidad</t>
  </si>
  <si>
    <t>%</t>
  </si>
  <si>
    <t>100% - Disponibilidad</t>
  </si>
  <si>
    <t xml:space="preserve">📍 RESUMEN PRUEBA DE CARGABILIDAD </t>
  </si>
  <si>
    <t>EQUIPO</t>
  </si>
  <si>
    <t>CARGA (KW)</t>
  </si>
  <si>
    <t xml:space="preserve">KW GENERADOS </t>
  </si>
  <si>
    <t xml:space="preserve">KW INICIALES </t>
  </si>
  <si>
    <t>KW FINALES</t>
  </si>
  <si>
    <t>TIEMPO PRUEBA</t>
  </si>
  <si>
    <t>COMPORTAMIENTO</t>
  </si>
  <si>
    <t>JINAN 10</t>
  </si>
  <si>
    <t>9:30 - 10:30</t>
  </si>
  <si>
    <t xml:space="preserve">ESTABLE </t>
  </si>
  <si>
    <t>JINAN 01</t>
  </si>
  <si>
    <t>11:14 - 12:28</t>
  </si>
  <si>
    <t>JINAN 02</t>
  </si>
  <si>
    <t>12:28 - 13:38</t>
  </si>
  <si>
    <t>CPW 04</t>
  </si>
  <si>
    <t>11:14 - 12:20</t>
  </si>
  <si>
    <t xml:space="preserve">SE SUSPENDE </t>
  </si>
  <si>
    <t xml:space="preserve">PENDIENTES </t>
  </si>
  <si>
    <t>CPW 01</t>
  </si>
  <si>
    <t>CPW 02</t>
  </si>
  <si>
    <t>CPW 03</t>
  </si>
  <si>
    <t>CPW 05</t>
  </si>
  <si>
    <t>CPW 06</t>
  </si>
  <si>
    <t>Tiempo medio falla</t>
  </si>
  <si>
    <t>Tiempo medio Reparación</t>
  </si>
  <si>
    <t>CPW-10</t>
  </si>
  <si>
    <t>CPW-11</t>
  </si>
  <si>
    <t>CPW-12</t>
  </si>
  <si>
    <t>Promedio de KWH generados2</t>
  </si>
  <si>
    <t>📊 DASHBOARD DE GENERACIÓN - INDICADORES OPERATIVOS | JULIO 2026</t>
  </si>
  <si>
    <t>(Todas)</t>
  </si>
  <si>
    <t>promedio</t>
  </si>
  <si>
    <t>DISPONIBILIDAD TENIENDO ENCUENTA MMT PREVENTIVOS Y MMT CORRECTIVOS</t>
  </si>
  <si>
    <t>Calculo de disponibilidad utilizando horas operacionales y de standby</t>
  </si>
  <si>
    <t>24 horas de stand by por trabajos en linea de gas moqueta</t>
  </si>
  <si>
    <t>00:23 ingresa en linea equipo CPW-10 a peticion de operador CCM y sale a las 3:01 por lluvias en la zona y controlar presion de gas CYC-----04:50 Ingresa en linea equipo CpW10 con gas CYC a pteticion de operador de CCM-----19:04 Sale de linea CPW-10 por peticion de operador de CCM.</t>
  </si>
  <si>
    <t>18:00 hrs. EQUIPO:CPW-02, A solicitud del CCM, Ingresan con gas Moqueta----19:54. EQUIPO:CPW-02, A solicitud del CCM, sale de linea para recuperar presion de gas moqueta 119 psi</t>
  </si>
  <si>
    <t>14:20 hrs. EQUIPO:CPW-04, A solicitud del CCM, Ingresan con gas Moqueta</t>
  </si>
  <si>
    <t>14:42 hrs. EQUIPO:CPW-05, A solicitud del CCM, Ingresan con gas Moqueta</t>
  </si>
  <si>
    <t>8:24 EQUIPO:G102J, A solicitud del CCM, entran en linea.  Por inicio de maniobras para pasar equipos de reparto de carga a carga base para cambio de control de frontera</t>
  </si>
  <si>
    <t>8:23 EQUIPO:G102K, A solicitud del CCM, entran en linea. Por inicio de maniobras para pasar equipos de reparto de carga a carga base para cambio de control de frontera</t>
  </si>
  <si>
    <t xml:space="preserve">POR PETICION D CCM BAJA PRESIÓN DE GAS </t>
  </si>
  <si>
    <t xml:space="preserve">10:17 hrs. Generador CPW01  parada manual a solicitud de CCM por parada de MRU por cambio de filtros, 12:32 hrs. Equipo ingresa en linea con gas MRU-----22:44 Sale de linea equipo CPW-01 por salida de MRU </t>
  </si>
  <si>
    <t xml:space="preserve">12:43 hrs. Generador CPW02 ingresa a linea a solicitud de CCM con gas MRU-----22:44 Sale de linea equipo CPW-02 por salida de MRU </t>
  </si>
  <si>
    <t>10:32 hrs. Generador CPW06  parada manual a solicitud de CCM por parada de MRU por cambio de filtros, 12:50 hrs. Equipo ingresa en linea con gas MRU----22:44 Sale de linea equipo CPW-06 por salida de MRU</t>
  </si>
  <si>
    <t>22:44 Sale de linea equipo CPW-07 por salida de MRU</t>
  </si>
  <si>
    <t xml:space="preserve">10:12hrs. Generador G101V ingresa a linea a solicitud de CCM por salida de generacion asociada a la MRU, 13:00hrs sale de linea a solicitud de CCM </t>
  </si>
  <si>
    <t xml:space="preserve">10:10hrs. Generador G102J ingresa a linea a solicitud de CCM por salida de generacion asociada a la MRU, 12:56hrs sale de linea a solicitud de CCM </t>
  </si>
  <si>
    <t xml:space="preserve">10:10hrs. Generador G102k ingresa a linea a solicitud de CCM por salida de generacion asociada a la MRU, 12:56hrs sale de linea a solicitud de CCM </t>
  </si>
  <si>
    <t>09:00 hrs. EQUIPO: Jinan-01, A solicitud de Copower, se inicia mantenimiento preventivo programado.----20:50 Ingresa en linea jinan 01 campo Vonu-----Sale de linea por vector Shift a la hora de evento salida de generacion por MRU</t>
  </si>
  <si>
    <t>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</t>
  </si>
  <si>
    <t>07:37 hrs. EQUIPO: Jinan-10, A solicitud del CCM, entra en linea con suministro de gas Costayaco.----19:57 A solicitud del CCM. ingresa equipo CPW10 con gas CYC.----23:36 Sale de linea CPW 10 por naja presion de gas CYC 13 psi</t>
  </si>
  <si>
    <t>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</t>
  </si>
  <si>
    <t>22:47 Sale de linea CPW12 por baja presion de gas CYC15 psi</t>
  </si>
  <si>
    <t>01:03 ingresa equipo CPW01 alineado con gas MRU,,,,08:41 hrs. Generador CPW01  parada manual a solicitud de CCM  por mantenimiento programado  a la MRU, 15:55  hrs. Equipo ingresa en linea con gas MRU---23:42 Sale de linea equipo CPW01 a peticion de operador de ccm</t>
  </si>
  <si>
    <t>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</t>
  </si>
  <si>
    <t>0:55 Ingresa equipo CPW03 alineado con gas MRU ---08:41 hrs. Generador CPW03  parada manual a solicitud de CCM  por mantenimiento programado  a la MRU,  15:57   hrs. Equipo ingresa en linea con gas MRU----23:45 Sale de linea equipo CPW03 a peticion de operador de ccm</t>
  </si>
  <si>
    <t>03:53 ingresa en linea equipo Cpw06 una vez estabiliza presion de gas MRU ,,,08:38 hrs. Generador CPW06  parada manual a solicitud de CCM  por mantenimiento programado  a la MRU,  16:32  hrs. Equipo ingresa en linea con gas MRU</t>
  </si>
  <si>
    <t>0:55 Ingresa equipo CPW07 alineado con gas MRU ,,,,08:37hrs. Generador CPW07  parada manual a solicitud de CCM  por mantenimiento programado  a la MRU, 16:05  hrs. Equipo ingresa en linea con gas MRU</t>
  </si>
  <si>
    <t>14:10hrs. Generador G101V ingresa a linea a solicitud de CCM  ,  16:19  hrs sale de linea a solicitud de CCM ,,,</t>
  </si>
  <si>
    <t>08:34hrs. Generador G102J ingresa a linea a solicitud de CCM por mantenimiento programado  a la MRU, 16:14  hrs sale de linea a solicitud de CCM ,,,</t>
  </si>
  <si>
    <t>08:34hrs. Generador G102k ingresa a linea a solicitud de CCM  por mantenimiento programado  a la MRU, 16:14  hrs sale de linea a solicitud de CCM ,,,</t>
  </si>
  <si>
    <t>05:50 Ingres en linea equipo CPW10 con gas CYC,,,</t>
  </si>
  <si>
    <t>7:01:00 p. m.ingresa en linea equipo cpw 11 con gas tratado MRU,,,09:01hrs. Generador CPW011 ingresa a linea a solicitud de CCM con gas CYC. 14:05 Parada manual por ingreso de la MRU----23:37 Sale de linea equipo CPW11 a peticion de operador de ccm</t>
  </si>
  <si>
    <t>09:22hrs. Generador CPW012 ingresa a linea a solicitud de CCM con gas CYC. 14:07 Parada manual por ingreso de la MRU,,,</t>
  </si>
  <si>
    <t>01:26 Ingresa en linea equipo CPW-01 con gas tratado MRU peticion operador de CCM
6:00 Sale de linea equipo cpw-01 a peticion del operador de ccm</t>
  </si>
  <si>
    <t>01:48 Ingresa equipo cpw-02 con gas MQT para controlar presion  177 psi
3:37 Sale de linea el equipo cpw-02 a peticion del operador de ccm
15:47 a solicitud de ccm ingresa en linea equipo CPW02, alineado con gas MRU. 16:48 sale de linea por solicitud de ccm, a causa salida sistema de inyección.
 20:29 hrs. Equipo CPW02. A solicitud del CCM, entra en linea con suministro de gas Moqueta. A las 23:15 pasa a operar con gas tratado.</t>
  </si>
  <si>
    <t>2:55 Ingresa equipo cpw-03 con gas MRU a petion del operador de ccm
20:04 hrs. EQUIPO: CPW03, 06, 07 &amp; 11, FDL por apagado de la MRU. Ingresa a als 23:10 hrs.</t>
  </si>
  <si>
    <t>20:04 hrs. EQUIPO: CPW03, 06, 07 &amp; 11, FDL por apagado de la MRU. Ingresa a las 23:43 hrs.</t>
  </si>
  <si>
    <t>20:04 hrs. EQUIPO: CPW03, 06, 07 &amp; 11, FDL por apagado de la MRU. Ingresa a las 23:46 hrs.</t>
  </si>
  <si>
    <t>20:10 hrs. A solicitud del CCM. por salida de la MRU. FDL a las 20:51 hrs.</t>
  </si>
  <si>
    <t>20:25 hrs. A solicitud del CCM. por salida de la MRU. FDL a las 20:49 hrs.</t>
  </si>
  <si>
    <t>FDL desde la 10:30 del 04-08-2026 // 16:15 A solicitud del CCM, ingresa en linea equipo JINAN01 alineado con gas VONU</t>
  </si>
  <si>
    <t xml:space="preserve">01:21Sale de linea jinan 10 por peticion de operador CCM
22:43 hrs. Ingresa en linea a solicitud del CCM equipo Jinan-10. FDL a las 23:48 hrs. </t>
  </si>
  <si>
    <t>4:00 Ingresa equipo jinan-11 con gas tratado MRU a peticion del operador dr ccm
20:04 hrs. EQUIPO: CPW03, 06, 07 &amp; 11, FDL por apagado de la MRU</t>
  </si>
  <si>
    <t>Equipo disponible desde el dia anterio. 
04:28 hrs. En coordinacion con el CCM se hace rotacion de equipos, entra en linea el CPW-01, FDL equipo CPW-02, queda disponible con suministro de gas Moqueta</t>
  </si>
  <si>
    <t>04:28 hrs. En coordinacion con el CCM se hace rotacion de equipos, entra en linea el CPW-01, FDL equipo CPW-02, queda disponible con suministro de gas Moqueta
07:10 En coordinación de CCM ingresa en linea CPW02, alineado con gas MQT como respaldo de carga. por mantenimiento preventivo programado equipo CPW06. 08:32 En coordinación de CCM sale de linea CPW02, por caída de presión de gas MQT 110 psi.
09:38 En coordinación de CCM ingresa en linea Equipo CPW02, alineado con gas MOQUETA</t>
  </si>
  <si>
    <t>15:07 sale de linea parada manual equipo cpw-04 por baja presión de gas MQT, 15:56 revisión y arranque manual del equipo, ingresa alineado con gas MQT.</t>
  </si>
  <si>
    <t>18:12 Horas. FDL eqipo cpw05, a solicitud del CCM, por baja presion en gas Moqueta. 110 PSI.</t>
  </si>
  <si>
    <t>07:13 sale de linea equipo CPW06 parada manual por mantenimiento preventivo programado, como respaldo de carga ingresa CPW02. 16:02 ingresa en linea equipo cpw06 alineado con gas MOQUETA, se finaliza mantenimiento preventivo correctivo.</t>
  </si>
  <si>
    <t>Equipo disponible desde el dia anterior
Equipo Jinan-10 Disponible por baja presion en gas Costayaco</t>
  </si>
  <si>
    <t>Equipo disponible desde el dia anterior
11:32 A solicitud de CCM ingresa en linea equipo CPW011, alineado con gas tratado MRU.</t>
  </si>
  <si>
    <t>Equipo disponible desde el dia anterior
Equipo Jinan-12 Disponible por bajo suministro en gas tratado MRU</t>
  </si>
  <si>
    <t>06:40 A solocitud de CCM Sale de linea equipo CPW01 por apagado de MRU por cambio de filtro  presión aceite Quincy en 78 psig, a 4 del disparo. 09.35 A solicitud de CCM, ingresa en linea equipo CPW-01 alineado con gas MRU.
14:23 sale de linea equipo CPW01 por sd alta temperatura en cilindro 19, 14:49 equipo ingres en linea alineado con gas MRU.
17:17 hrs. FDL Equipo CPW01, por apagado de la MRU, ingresa a las 20:21 hrs</t>
  </si>
  <si>
    <t>06:41 A solocitud de CCM Sale de linea equipo CPW02 por apagado de MRU por cambio de filtro  presión aceite Quincy en 78 psig, a 4 del disparo.
09:32 A solicitud de CCM, ingresa en linea equipo CPW-02 alineado con gas MRU.
17:17 hrs. FDL Equipo CPW02, por apagado de la MRU, ingresa a las 20:18 hrs</t>
  </si>
  <si>
    <t>06:43 A solocitud de CCM Sale de linea equipo CPW03 por apagado de MRU por cambio de filtro  presión aceite Quincy en 78 psig, a 4 del disparo.
17:03 Equipo CPW03  ingresa en linea se finalizo mantenimiento preventivo, 17:17 sale de linea por protección apagado de MRU.
17:17 hrs. FDL Equipo CPW03, por apagado de la MRU, ingresa a las 20:14 hrs</t>
  </si>
  <si>
    <t>12:48 Sale de linea equipo CPW04 por detonación, 12:58 Equipo ingresa en linea.</t>
  </si>
  <si>
    <t>01:00 hrs. EQUIPO: CPW05, Ingresa en linea a solicitud del CCM, por estabilidad en gas Moqueta 160 PSI.
03:50 EQUIPO: CPW05, FDL,  a solicitud del CCM, por baja presion en gas Moqueta 105 PSI.
09:09 A solicitud de CCM, ingresa en linea equipo CPW-05 alineado con gas MQT</t>
  </si>
  <si>
    <t>11:34 Sale de linea equipo CPW06 parada manual, por baja presión de gas MQT.
14:01 A solicitud de CCM, ingresa en linea equipo CPW-06 alineado con gas MQT.
18:12 hrs. FDL Equipo CPW06, por baja presion de gas Moqueta 100 PSI, ingresa en linea a las 20:47 hrs</t>
  </si>
  <si>
    <t>06:46 A solocitud de CCM Sale de linea equipo CPW07 por apagado de MRU por cambio de filtro  presión aceite Quincy en 78 psig, a 4 del disparo.
09:29 A solicitud de CCM, ingresa en linea equipo CPW-07 alineado con gas MRU.
10:35 Sale de linea equipo CPW07 por detonación, se informo a ccm antes de salir de linea que equipos gas MRU y gas MQT, presentan altas vibraciones KNOCK. 10:50 equipo ingresa en linea con gas MRU.
17:17 hrs. FDL Equipo CPW07, por apagado de la MRU, ingresa a las 20:15 hrs</t>
  </si>
  <si>
    <t>17:55 Ingresa en linea equipo Diesel G101V como respaldo de carga, por salida equipos por apagado MRU. FDL a las 20:45 hrs.</t>
  </si>
  <si>
    <t>06:34 A solocitud de CCM Ingresa en linea equipos DIESEL G102J, como respaldo de carga.
10:24  A solicitud de CCM sale de linea parada manual equipo Diesel G102J.
17:30 Ingresa en linea equipo Diesel G102J como respaldo de carga. por salida equipos por apagado MRU. FDL a als 20:50 hrs</t>
  </si>
  <si>
    <t>06:34  A solocitud de CCM Ingresa en linea equipos DIESEL G102K como respaldo de carga.
10:26  A solicitud de CCM sale de linea parada manual equipo Diesel G102K.
17:41 Ingresa en linea equipo Diesel G102K como respaldo de carga, por salida equipos por apagado MRU. FDL a las 20:52 hrs</t>
  </si>
  <si>
    <t>06:54 A solocitud de CCM Ingresa en linea equipos CPW10, alineado con gas Costayaco.
09:10 A solicitud de CCM sale de linea parada manual equipo CPW10, en stand by disponible.
10:52 A solicitud de CCM, ingresa en linea equipo CPW-10 alineado con gas CYC.</t>
  </si>
  <si>
    <t>06:47 A solocitud de CCM Sale de linea equipo CPW11 por apagado de MRU por cambio de filtro  presión aceite Quincy en 78 psig, a 4 del disparo. 
10:12  A solicitud de CCM, ingresa en linea equipo CPW-11 alineado con gas MRU.
17:17 salen de linea Equipo CPW011 por protección apagado de MRU.</t>
  </si>
  <si>
    <t>06:58 A solocitud de CCM Ingresa en linea equipos CPW12, alineado con gas Costayaco.
08:17 A solicitud de CCM sale de linea parada manual equipo CPW12.
10:13  A solicitud de CCM, ingresa en linea equipo CPW-12 alineado con gas MRU.
12:48 sale de linea equipo CPW12 por sobrecarga del generador al momento de la salida de linea equipo CPW04: 12:56 Equipo ingresa en linea.
17:02 sale de linea equipo CPW12 parada manual por rotación de equipo, ingresa en linea CPW03.</t>
  </si>
  <si>
    <t>15:41 CPW-01 sale de linea por falla de comunicación CAN</t>
  </si>
  <si>
    <t>15:39 CPW-04 sale de linea a petición de CCM por baja de presión gas MQT 119psi
17:16 hrs. EQUIPO: CPW-04. A solicitud del CCM, entra en linea por estabilidad en presión gas Moqueta</t>
  </si>
  <si>
    <t>02:42 hrs. EQUIPO: CPW-06, A solicitud del CCM, FDL para recuperar presión de gas Moqueta 105 PSI
07:50 CPW-06 ingresa en linea con 800KW a peticion de CCM por recuperación de presión gas MQT 177psi
09:50 CPW-06 sale de linea a petición de CCM por baja de presión gas MQT 119psi
 13:20 CPW-06 ingresa en linea con 800KW a petición de CCM por recuperación de presión gas MQT 180psi</t>
  </si>
  <si>
    <t>Equipo disponible ppr baja presion en suministro de gas
2:52 hrs. EQUIPO: Jinan-11, A solicitud del CCM, ingresa en linea con suministro de gas tratado.</t>
  </si>
  <si>
    <t xml:space="preserve">Equipo disponible por baja presion en suministro de gas
11:23 CPW-12 ingresa en linea a petición de CCM alineado con gas CYC
15:46 cpw-12 sale de linea por que asume carga por la salida del CPW-01 y sale por alta temperatura de cilindro </t>
  </si>
  <si>
    <t>00:07 hrs. EQUIPO: CPW-06, FDL a solicitu del CCM, por baja presion en gas Moqueta, 100 PSI
04:14 hrs. Equipo CPW06. ingresa en linea A solicitud del CCM, entra en linea por estabilidad en presión gas Moqueta 170 PSI.
 05:38 hrs sale equipo de linea por potencia inversa al momento de pasar equipo a operación a modo isla. 6:16 equipo ingresa en linea en carga base con gas MQT
16:34 A solicitud de ccm sale de linea equipo CPW06 parada manual por caída de presión de gas MQT.
19:54 hrs. EQUIPO: CPW06, A solicitud del CCM, ingresa en linea por estabilidad de presión en gas Moqueta, 170 PSI.</t>
  </si>
  <si>
    <t>04:30 hrs. Equipos diesel G102J &amp; G102K, A solicitud del CCM, entran en linea por operación en modo isla.
15:58 A solicitud de ccm sale de linea equipo G102J parada manual.</t>
  </si>
  <si>
    <t>04:30 hrs. Equipos diesel G102J &amp; G102K, A solicitud del CCM, entran en linea por operación en modo isla.
08:32 hrs sale de linea equipo G102K a peticion de CCM.
14:53 Ingresa equipo G102K en linea a peticion del CCM. 15:15 sale equipo con parada manual por orden de CCM.</t>
  </si>
  <si>
    <t>10:59 hrs. Generador CPW01  parada manual a solicitud de CCM  por mantenimiento programado  a la MRU, Ingresa en linea a las 22:01 hrs.</t>
  </si>
  <si>
    <t>10:59 hrs. Generador CPW02  parada manual a solicitud de CCM  por mantenimiento programado  a la MRU, Ingresa en linea a las 21:46 hrs.</t>
  </si>
  <si>
    <t>11:01 hrs. Generador CPW03  parada manual a solicitud de CCM  por mantenimiento programado  a la MRU,  Ingresa en linea a las 21:44 hrs.</t>
  </si>
  <si>
    <t>13:11 hrs A solicitud del CCM. parada manual del generador CPW05 por baja presión de gas MQT 120 psi. 15:41 hrs  equipo ingresa a linea por estabilidad del gas MQT 180 psi.</t>
  </si>
  <si>
    <t xml:space="preserve">02:29 hrs. Equipo CPW-06. A solicitud del CCM, FDL por baja presión en gas Moqueta, 100 PSI.
10:51 hrs. Generador CPW06  ingresa a linea a solicitud de CCM  por estabilidad gas MQT 180 psi, </t>
  </si>
  <si>
    <t>11:04 hrs. Generador CPW07  parada manual a solicitud de CCM  por mantenimiento programado  a la MRU, Ingresa en linea a las 21:37 hrs.</t>
  </si>
  <si>
    <t>08:41 hrs  a solicitud del CCM. Generador G102J ingresa a linea como respaldo por caída de tensión en el SIN. 11:20 hrs sale de linea a solicitud de CCM
21:22 hrs. EQUIPO:G102J. A solicitud del CCM. ingresa a linea Por salida de equipo Jinan-11 alineado a gas Costayaco. FDL a las 21:56 hrs.</t>
  </si>
  <si>
    <t>9:19 hrs generador JINAN 02  parada manual por mantenimiento programado, 16:12 finaliza mantenimiento programado equipo ingresa a linea.</t>
  </si>
  <si>
    <t>11:05 hrs. A solicitud de CCM Generador CPW011 se realiza cambio de gas MRU a gas CYC
21:19 hrs. EQUIPO: Jinan-11, FDL A solicitud del CCM, FDL por prioridad gas Costayaco a MRU</t>
  </si>
  <si>
    <t>22:13 hrs. EQUIPO: Jinan-12, A solicitud del CCM, FDL por prioridad gas Costayaco a MRU. Ingresa en linea a las 22:49 hrs, A solicitud del CCM, Ingresa en linea con suministro de gas tratado.</t>
  </si>
  <si>
    <t>18:15 hrs. EQUIPO: CPW01, FDL por salida de operación de la MRU. Ingresa en linea a las 19:36 hrs</t>
  </si>
  <si>
    <t>18:15 hrs. EQUIPO: CPW02, FDL por salida de operación de la MRU. Ingresa en linea a las 19:29 hrs.</t>
  </si>
  <si>
    <t>18:15 hrs. EQUIPO: CPW03, FDL por salida de operación de la MRU. Ingresa en linea a las 19:26 hrs.</t>
  </si>
  <si>
    <t>00:16 hrs. EQUIPO: CPW06, A solicitud del CCM. FDL para recuperar presión en gas Moqueta, 100 PSI. Ingresa en linea a las 03:29 hrs.
6:55 hrs. EQUIPO: CPW06, A solicitud del CCM. FDL para recuperar presión en gas Moqueta, 100 PSI, 10:38 hrs. Ingresa a linea por estabilidad de gas MQT 160 psi
14:41 EQUIPO: CPW06, A solicitud del CCM. FDL para recuperar presión en gas Moqueta, 100 PSI.
16:31 A solicitud del CCM, ingresa en linea equipo CPW06. se estabiliza presión de gas MQT 170 psi.</t>
  </si>
  <si>
    <t>18:15 hrs. EQUIPO: CPW07, FDL por salida de operación de la MRU. Ingresa en linea a las 19:25 hrs.</t>
  </si>
  <si>
    <t>10:45 hrs Ingresa en linea equipo Diesel G101V como respaldo de carga, por salida de la TURBINA por mantenimiento programado, 11:47 hrs sale de linea a solicitud de CCM
18:19 hrs. EQUIPO:G101V, A solicitud del CCM, entran en linea como respaldo de carga por salida de equipos asociados a gas tratado.</t>
  </si>
  <si>
    <t>10:45 hrs Ingresa en linea equipo Diesel G102J como respaldo de carga. por salida de la TURBINA por mantenimiento programado, 16:43 A solicitud del CCM, sale de linea parada manual equipo DIESEL G102J.
18:19 hrs. EQUIPO:G102J, A solicitud del CCM, entran en linea como respaldo de carga por salida de equipos asociados a gas tratado. FDL a las 21:08 hrs.</t>
  </si>
  <si>
    <t>10:47 hrs Ingresa en linea equipo Diesel G102K como respaldo de carga, por salida de la TURBINA por mantenimiento programado</t>
  </si>
  <si>
    <t>00:04 hrs. EQUIPO: CPW-11, A solicitud del CCM. Ingresa en linea con suministro de gas Costayaco.
9:06 hrs  EQUIPO: CPW011 sale de linea por mantenimiento programado M2
15:31 Ingresa en linea equipo CPW11, se finaliza mantenimiento programado.
18:57 hrs. FDL EQUIPO: Jinan-11, A solicitud del CCM, para recuperar presión en gas Costayaco.</t>
  </si>
  <si>
    <t>18:15 hrs. EQUIPO: CPW12, FDL por salida de operación de la MRU. Ingresa en linea a las 20:08 hrs.</t>
  </si>
  <si>
    <t>01:12 hrs. EQUIPO: CPW-06, A solicitud del CCM. FDL por caída de presión en gas Moqueta, 100 PSI
08:40 hrs. Generador CPW06  ingresa a linea a solicitud de CCM  por estabilidad gas MQT 170 psi, 11:41 hrs parada manual a solicitud de CCM por estabilidad gas MQT 120 psi
13:54 hrs. Generador CPW06  ingresa a linea a solicitud de CCM  por estabilidad gas MQT 180 psi, hrs parada manual a solicitud de CCM por estabilidad gas MQT 120 psi,</t>
  </si>
  <si>
    <t>12:40 hrs Ingresa en linea equipo Diesel G102J como respaldo de carga por salida generadores CPW010 - 012 por estabilidad gas CYC.</t>
  </si>
  <si>
    <t xml:space="preserve">14:01 hrs. A solicitud de CCM parada manual del generador G102K por ingreso del generador CPW06	</t>
  </si>
  <si>
    <t>12:45 hrs A solicitud de de CCM parada manual generador CPW010 por estabilidad gas CYC 20 psi, 12:58 hrs a solicitud de CCM ingresa a linea por estabilidad de gas CYC 23 psi.</t>
  </si>
  <si>
    <t>01:06 hrs. EQUIPO:JINAN-11, A solicitud del CCM.  Ingresa en linea con suministro de gas tratado.</t>
  </si>
  <si>
    <t xml:space="preserve">12:50 hrs A solicitud de de CCM parada manual generador CPW012 por estabilidad gas CYC 20 psi, 13:10 hrs a solicitud de CCM ingresa a linea por estabilidad de gas CYC 23 psi.  Equipo venia operando con gas CYC a petición de CCM ingresa a linea con gas CYC	</t>
  </si>
  <si>
    <t xml:space="preserve">08:09 hrs A solicitud de CCM parada manual generador CPW04 por estabilidad gas MQT 120 psi, 9:56 hrs ingresa a linea por estabilidad del gas MQT 180psi.
17:15 hrs A solicitud de CCM parada manual generador CPW04 por estabilidad gas MQT 120 psi. 19:23 A solicitud de CCM. ingresa en linea equipo CPW04 se estabiliza presión de gas MQT 180 psi.	</t>
  </si>
  <si>
    <t xml:space="preserve">01:01 En coordinación con CCM. FDL parda manual Equipo CPW06 por caída de presión en gas Moqueta, 100 PSI. 04:37 En coordinación con CCM, ingresa en linea Equipo CPW06 se estabiliza presión en gas Moqueta, 170 PSI. 3:13 A solicitud de CCM FDL Equipo CPW06 por caída de presión de gas MQT 115 psi ingresa en linea equipo DIESEL G102J, como respaldo de carga.	</t>
  </si>
  <si>
    <t xml:space="preserve">10:05 hrs A solicitud de CCM parada manual del generador G102J por ingreso de generador CPW04. 15:00 hrs A solicitud de CCM ingresa a linea .  19:41 A solicitud de CCM FDL Equipo Diesel G102J por el ingreso en linea equipo CPW04.  23:10 A solicitud de CCM. ingresa en linea equipo DIESEL G102J por caída de presión de gas MQT 115 psi.	</t>
  </si>
  <si>
    <t>08:04 hrs A solicitud de CCM  Ingresa en linea equipo Diesel G102K como respaldo de carga, por parada manual de generador CPW04 por estabilidad de gas MQT.</t>
  </si>
  <si>
    <t>23:33 en coordinación con CCM, FDL parada manual equipo CPW12 por caida de presión de gas CYC 15 PSI.  23:41 equipo CPW12 ingresa en linea alineado con gas tratado MRU.</t>
  </si>
  <si>
    <t xml:space="preserve">16:42 hrs. Generador CPW01  sale de linea por parada de la MRU, 18:10 hrs ingresan a linea por ingreso de la MRU			</t>
  </si>
  <si>
    <t>21:06 En coordinación con CCM. FDL Equipo CPW02 por caída de presión en gas Moqueta, 120 PSI.</t>
  </si>
  <si>
    <t xml:space="preserve">16:42 hrs. Generador CPW03  sale de linea por parada de la MRU, 18:07 hrs ingresan a linea por ingreso de la MRU			</t>
  </si>
  <si>
    <t xml:space="preserve">01:45 A solicitud de CCM. ingresa en linea equipo CPW06 se estabiliza presión de gas MQT 185 psi.   06:05 A solicitud de CCM FDL Equipo CPW06 por inestabilidad de presión de gas MQT 120 psi. 08:45 hrs ingresa a linea por estabilidad del gas 180 psi.	13:43 A solicitud de CCM FDL Equipo CPW06 por inestabilidad de presión de gas MQT 120 psi. 15:37hrs ingresa a linea con gas MRU.	15:40 hrs a solicitud de CCM se realiza cambio de gas MRU a gas MQT por ingreso de generador CPW06 con gas MRU,  16:42 hrs. Generador CPW06  sale de linea por parada de la MRU,  18:09 hrs ingresan a linea por ingreso de la MRU									</t>
  </si>
  <si>
    <t xml:space="preserve">16:42 hrs. Generador CPW07  sale de linea por parada de la MRU, 18:05 hrs ingresan a linea por ingreso de la MRU			</t>
  </si>
  <si>
    <t xml:space="preserve">01:47 A solicitud de CCM FDL Equipo Diesel G102J por el ingreso en linea equipo CPW06.	06:02 A solicitud de CCM ingresa en linea Equipo Diesel G102J por salida de linea equipo CPW06, 08:51 parada manual por ingreso de genrador CPW06.  13:40 A solicitud de CCM ingresa en linea Equipo Diesel G102J por salida de linea equipo CPW06, 15:42 hrs parada manual por ingreso de genrador CPW06,   16:46 hrs A solicitud de CCM ingresa en linea Equipo Diesel G102J por salida MRU. 18.44 FDL parada manual G102J por solicitud de CCM.  21:03 En coordinación con CCM ingresa en linea equipo G102J por salida de linea equipo CPW02 a causa caída de presión de gas MQT.									</t>
  </si>
  <si>
    <t xml:space="preserve">11:55 hrs a solicitud de CCM parada manual genrador CPW011por estabilidad de gas CYC 19psi. 14:15 hrs ingresa a linea a solicitud de CCM por estabilidad del gas CYC 23 psi.  15:40 hrs a solicitud de CCM parada manual genrador CPW011por ingreso de generador CPW06 con gas MRU. 16:15 hrs ingresa a linea a solicitud de CCM por estabilidad del gas MRU 46 psi. 16:42 hrs. Generador CPW011  sale de linea por parada de la MRU, 16:57 hrs. A solicitud de CCM ingresa a linea con gas CYC								</t>
  </si>
  <si>
    <t xml:space="preserve">03:00 En coordinación con CCM. FDL Equipo CPW02 por caída de presión en gas Moqueta, 110 PSI.  07:13 hrs Ingresa a linea a solicitud de CCM generador CPW02 por estabilidad de gas MQT 180 psi.  21:38 En coordinación con CCM. FDL Equipo CPW02 por caída de presión en gas Moqueta, 120 PSI.					</t>
  </si>
  <si>
    <t xml:space="preserve">03:00 En coordinación con CCM ingresa en linea equipo G102J por salida de linea equipo CPW02 por caída de presión de gas MQT.  14:32 hrs Sale de linea a solicitud de CCM generador G102J, 15:13 A solicitud de CCM ingresa a linea por inicio pruebas TURBINA .  18:52 A solicitud de CCM. FDL Equipo G102J parada manual. 21:16 En coordinación con CCM ingresa en linea equipo G102J por salida de linea equipo CPW02 por caída de presión de gas MQT.			</t>
  </si>
  <si>
    <t>04:19 En coordinación con CCM. FDL Equipo CPW02 por caída de presión en gas Moqueta, 120 PSI./ 7:14 Ingresa en linea CPW 02  con gas moqueta 176 psi / 11:50 En coordinación con CCM. FDL Equipo CPW02 por caída de presión entrada gas MQT  130 PSI.  13:27 En coordinación con CCM, ingresa en linea Equipo CPW02 alineado con gas MQT psi</t>
  </si>
  <si>
    <t>00:19 sale de linea equipo G101V finaliza mantenimiento de turbina</t>
  </si>
  <si>
    <t xml:space="preserve">00:10 En coordinación con CCM sale de linea equipo G102J por ingreso en linea equipo CPW02 a causa de estabilización de presion de gas MQT. 00:39 En coordinación con CCM ingresa equipo G102J delastre de turbina para cambio de aplicativo- 1:22 en coordinacion con ccm sale equipo G102J  por ingreso de turbina en reparto - 16:40 ingresa equipo G102J por 10 min maniobra de la turbina </t>
  </si>
  <si>
    <t xml:space="preserve"> 00:12 En coordinación con CCM sale de linea equipo G102K finaliza mantenimiento de turbina.  00:46 En coordinación con CCM ingresa equipo G102K delastre de turbina para cambio de aplicativo- 01:43 En coordinación con CCM sale equipo G102K ingresa en linea Turbina en reparto de carga.</t>
  </si>
  <si>
    <t>04:34 En coordinación con CCM. FDL Equipo CPW10 por caída de presión entrada gas CYC 15 PSI- 8:36:00 a. m. ingresa en linea equipo CPW 10 con gas CYC</t>
  </si>
  <si>
    <t xml:space="preserve">8:33  Ingresa en linea equipo CPW11  con gas tratado MRU / 04:34 En coordinación con CCM. FDL Equipo CPW11 por caída de presión entrada gas CYC 15 PSI. 06:00:34 En coordinación con CCM, ingresa en linea Equipo CPW11 alineado con gas CYC. </t>
  </si>
  <si>
    <t>04:19 En coordinación con CCM. FDL Equipo CPW12 por caída de presión entrada gas MRU  16 PSI.  06:04 En coordinación con CCM, ingresa en linea Equipo CPW12 alineado con gas MRU.- 7:12 Sale de linea equipo Cpw12 por baja presion de gas costayaco 13 psi- 8:40  Ingresa en linea equipo CPW 12  con gas cyc /  20:28 ingresa equipo CPW 12 en coordinacion con CCM  por aumento de presion cyc 23 PSI</t>
  </si>
  <si>
    <t>08:03 En coordinación con CCM. FDL Equipo CPW02 por caída de presión en gas Moqueta, 120 PSI. / 08:34 En coordinacion con CCM, Ingresa en linea equipo CPW02 con gas tratado MRU / 10:20 Cambio de gas MRU a MQT equipo cpw 02 / 15:50 En coordinación con CCM. FDL Equipo CPW02 por caída de presión en gas Moqueta, 120 PSI./ 19:55  A solicitud de CCM ingresa equipo CPW 02 por aumento de presión MQT 186 PSI</t>
  </si>
  <si>
    <t xml:space="preserve">08:34 Sale para mantenimiento programado M1 equipo CPW07 </t>
  </si>
  <si>
    <t>8:05Ingresa en linea CPW 02  con gas moqueta 176 psi</t>
  </si>
  <si>
    <t>11:45 Sale de linea equipo cpw04 por potencia inversa no realiza apertura de el breaker</t>
  </si>
  <si>
    <t>10:50 Se realiza maniobra de inyeccion de quimica por anular en costayaco 19 sale de linea equipo Jinan 02 / 12:50 Ingresa equipo Jinan 02 finaliza maniobra de inyeccion de quimica por anular en costayaco 19</t>
  </si>
  <si>
    <t>10:00 Se realiza mantenimiento preventivo M1 a equipo CPW 10 / 17:05 Ingresa en linea equipo CPW10  apeticion de operador de CCM  con gas CYC / 17:45 ingresa en linea equipo una vez establecida la presion</t>
  </si>
  <si>
    <t>07:26 hrs. EQUIPO: CPW-01, FDL por mantenimiento se manal de la MRU. Ingresa a mantenimiento preventivo programado a las 9:00 horas, y se termina a las 14:30 horas. Ingresa en linea a las 15:50 hrs.</t>
  </si>
  <si>
    <t xml:space="preserve"> 22:49 CPW 02 A solicitud de CCM sale de linea por baja presion gas MQT 120 PSI</t>
  </si>
  <si>
    <t xml:space="preserve">07:19 hrs. EQUIPO: CPW-03, FDL por mantenimiento se manal de la MRU. Ingresa en linea a las 15:42 hrs. / </t>
  </si>
  <si>
    <t>07:26 hrs. EQUIPO: CPW-04, FDL por mantenimiento se manal de la MRU. Ingresa en linea a las 17:59 hrs.</t>
  </si>
  <si>
    <t>08:57 hrs. EQUIPO: CPW-06, FDL. A solicitud de CCM. FDL equipo 06 por baja presión en gas Moqueta 110 PSI. Ingresa en linea a las 11:29 hrs.</t>
  </si>
  <si>
    <t>07:55 hrs. EQUIPO: CPW-07, FDL por mantenimiento se manal de la MRU. Ingresa en linea a las 15:48 hrs.</t>
  </si>
  <si>
    <t xml:space="preserve">07:12 hrs. EQUIPO: G102J, A solicitud de CCM. por salida de linea de equipos con gas tratado, equipo queda sale de linea a las 08:10 Hrs. / 08:36 hrs. EQUIPO: G102J, A solicitud de CCM. por salida de linea de equipo CPW-06 por baja presion n gas Moqueta, equipo queda sale de linea a las 11:46 Hrs. </t>
  </si>
  <si>
    <t>07:55 hrs. EQUIPO: CPW-11,  por mantenimiento se manal de la MRU. Ingresa en linea a las 08:10 hrs. Con gas Costayaco / 13:44 hrs. EQUIPO: Jinan 11, A solicitud de CCM. FDL por baja presión en gas Costayaco 14PSI.</t>
  </si>
  <si>
    <t>13:13 hrs. EQUIPO: Jinan 12, A solicitud de CCM. FDL por baja presión en gas Costayaco 14PSI.</t>
  </si>
  <si>
    <t>15:18 hrs. EQUIPO: CPW-01. FDL MRU &amp; CHILLER, FDL generacion a gas tratado. Ingresa en linea a las 16:33 hrs.</t>
  </si>
  <si>
    <t xml:space="preserve">01:32 CPW 02 A solicitud de CCM ingresa en linea por aumento de presion gas MQT 178 PSI / 04:45 CPW 02 A solicitud de CCM sale de linea por baja presion de gas MQT 120 PSI / 07:27 hrs. EQUIPO: CPW-02. A solicitud de CCM. por estabilidad de presión en gas Moqueta 170 PSI. / </t>
  </si>
  <si>
    <t>15:18 hrs. EQUIPO: CPW-03. FDL MRU &amp; CHILLER, FDL generacion a gas tratado. Ingresa en linea a las 16:26 hrs.</t>
  </si>
  <si>
    <t>11:41 hrs. EQUIPO: CPW-04. A solicitud de CCM. FDL para recuperar presión en gas Moqueta 115 PSI. / 20:28 CPW 04 A solicitud de CCM ingresa a linea por  alta presión de gas MQT 180PSI.</t>
  </si>
  <si>
    <t>15:18 hrs. EQUIPO: CPW-06. FDL MRU &amp; CHILLER, FDL generacion a gas tratado. Ingresa en linea a las 16:33 hrs.</t>
  </si>
  <si>
    <t>15:18 hrs. EQUIPO: CPW-07. FDL MRU &amp; CHILLER, FDL generacion a gas tratado. Ingresa en linea a las 16:27 hrs.</t>
  </si>
  <si>
    <t>01:36 CPW 10 a solicitud de CCM sale de linea equipo por baja presion CYC 17 PSI / 02:12 CPW 10 A solicitud de CCM ingresa en linea por aumento de presion gas CYC 23 PSI / 19:12  CPW 10 a solicitud de CCM sale de linea equipo por baja presion CYC 17 PSI  / 20:16 CPW 10 A solicitud de operador de CCM ingresa equipo por aumento de presión de gas CYC</t>
  </si>
  <si>
    <t>15:18 hrs. EQUIPO: CPW-11. FDL MRU &amp; CHILLER, FDL generacion a gas tratado. Ingresa en linea a las 16:53 hrs.</t>
  </si>
  <si>
    <t>08:00 hrs. Equipo Jinan-12, se inicia mantenimiento preventivo programado, se termina a las 15:00 hrs / 15:18 hrs. EQUIPO: CPW-12. FDL MRU &amp; CHILLER, FDL generacion a gas tratado. Ingresa en linea a las 16:52 hrs.</t>
  </si>
  <si>
    <t>02:12 CPW 02 A solicitud de CCM sale de linea por baja presion de gas MQT 120 PSI / 05:13 CPW 02 A solicitud de CCM ingresa en linea por incremento de presión gas MQT 178 PSI</t>
  </si>
  <si>
    <t>10:22 hrs. EQUIPO: CPW 03. A solicitud del CCM. FDL por pruebas de quema de gas Moqueta en TEA. Ingresa en linea a las 13:28 horas. / CPW 03  las 19:40 horas, FDL por rotación de equipos sale por baja presión de gas MQT 120psi. / A las 22:30 horas, A solicitud de CCM ingresa en linea Equipo CPW-03 por alta presión de MQT 180 psi.
equipos CPW-02 alineado con gas MQT y CPW-03 gas tratado MRU</t>
  </si>
  <si>
    <t>10:27 hrs. EQUIPO: CPW 04. A solicitud del CCM. FDL por pruebas de quema de gas Moqueta en TEA. Ingresa en linea a las 11:59 horas.</t>
  </si>
  <si>
    <t>10:30 hrs. EQUIPO: CPW 05. A solicitud del CCM. FDL por pruebas de quema de gas Moqueta en TEA. Ingresa en linea a las 11:49 hrs.</t>
  </si>
  <si>
    <t>08:45 hrs. EQUIPO: Jinan-01. A solicitud de Copower, se inicia el mantenimiento preventivo programado. Entra en linea a las 16:50 horas.</t>
  </si>
  <si>
    <t>JINAN 10 A las 20:08 horas, A solicitud de CCM FDL Equipo JINAN-10 por inestabilidad de presión de gas CYC 20 psi.</t>
  </si>
  <si>
    <t>12:55 hrs. Equipo Jinan-12, A solicitud del CCM. Ingresa en linea con gas CYC.</t>
  </si>
  <si>
    <t>3:17 Sale de linea equipo cpw02 por baja presion de has MQT 120 psi-----06:40 hrs. EQUIPO: CPW-02. A solicitud del CCM. Ingresa en linea con suministro de gas CYC</t>
  </si>
  <si>
    <t>15:58 hrs. Equipo CPW-04. A solicitud del CCM, FDL por baja presión de gas Moqueta 100 PSI---20:55 ingresa en linea equipo cpw 04 a peticion de CCM 177 psi gas MQT</t>
  </si>
  <si>
    <t xml:space="preserve">A las 00:25 horas, A solicitud de CCM Equipo JINAN-10 ingresa en linea por aumento de presión de gas CYC 23 psi.-----A las 03:10 horas, A solicitud de CCM Equipo JINAN-10 sal de  linea por baja de presión de gas CYC 18 psi.---10:56 hrs. Equipo Jinan-10. Ingresa en linea a solicitud del CCM, con gas CYC. FDL a las 11:20 hrs. Por baja presion en gas----13:03 hrs. Equipo Jinan-10. Ingresa en linea a solicitud del CCM, con gas CYC. </t>
  </si>
  <si>
    <t>4:05:00 a. m. Sale de linea jinan 11 y jinan 10 por salida de inyeccion y apagado de pozos por salida de el SIN-----4:37 ingresa en linea jinan 11 con gas tratado MRU a peticion de operasdor de CCM</t>
  </si>
  <si>
    <t xml:space="preserve">4:05:00 a. m. Sale de linea jinan 11 y jinan 10 por salida de inyeccion y apagado de pozos por salida de el SIN---14:24 hrs. Equipo Jinan-12. Ingresa en linea a solicitud del CCM, con gas CYC.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</si>
</sst>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5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D1F9"/>
        <bgColor indexed="64"/>
      </patternFill>
    </fill>
    <fill>
      <patternFill patternType="solid">
        <fgColor rgb="FFD9C6E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4"/>
        <bgColor rgb="FF000000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3" xfId="1" applyFill="1" applyBorder="1" applyAlignment="1">
      <alignment horizontal="center" vertical="center"/>
    </xf>
    <xf numFmtId="3" fontId="3" fillId="2" borderId="3" xfId="1" applyNumberFormat="1" applyFill="1" applyBorder="1" applyAlignment="1">
      <alignment horizontal="center" vertical="center"/>
    </xf>
    <xf numFmtId="164" fontId="3" fillId="2" borderId="3" xfId="1" applyNumberFormat="1" applyFill="1" applyBorder="1" applyAlignment="1">
      <alignment horizontal="center" vertical="center"/>
    </xf>
    <xf numFmtId="9" fontId="3" fillId="2" borderId="3" xfId="1" applyNumberFormat="1" applyFill="1" applyBorder="1" applyAlignment="1">
      <alignment horizontal="center" vertical="center"/>
    </xf>
    <xf numFmtId="0" fontId="3" fillId="3" borderId="3" xfId="1" applyFill="1" applyBorder="1" applyAlignment="1">
      <alignment horizontal="center" vertical="center"/>
    </xf>
    <xf numFmtId="164" fontId="3" fillId="3" borderId="3" xfId="1" applyNumberFormat="1" applyFill="1" applyBorder="1" applyAlignment="1">
      <alignment horizontal="center" vertical="center"/>
    </xf>
    <xf numFmtId="9" fontId="3" fillId="3" borderId="3" xfId="1" applyNumberFormat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/>
    </xf>
    <xf numFmtId="164" fontId="3" fillId="4" borderId="3" xfId="1" applyNumberFormat="1" applyFill="1" applyBorder="1" applyAlignment="1">
      <alignment horizontal="center" vertical="center"/>
    </xf>
    <xf numFmtId="3" fontId="3" fillId="4" borderId="3" xfId="1" applyNumberFormat="1" applyFill="1" applyBorder="1" applyAlignment="1">
      <alignment horizontal="center" vertical="center"/>
    </xf>
    <xf numFmtId="9" fontId="3" fillId="4" borderId="3" xfId="1" applyNumberForma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3" fontId="3" fillId="2" borderId="4" xfId="1" applyNumberForma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6" borderId="0" xfId="0" applyFill="1"/>
    <xf numFmtId="0" fontId="5" fillId="11" borderId="0" xfId="0" applyFont="1" applyFill="1"/>
    <xf numFmtId="0" fontId="5" fillId="12" borderId="0" xfId="0" applyFont="1" applyFill="1"/>
    <xf numFmtId="3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5" fillId="15" borderId="5" xfId="0" applyFont="1" applyFill="1" applyBorder="1"/>
    <xf numFmtId="0" fontId="5" fillId="16" borderId="5" xfId="0" applyFont="1" applyFill="1" applyBorder="1"/>
    <xf numFmtId="3" fontId="0" fillId="0" borderId="5" xfId="0" applyNumberFormat="1" applyBorder="1"/>
    <xf numFmtId="165" fontId="0" fillId="0" borderId="5" xfId="0" applyNumberFormat="1" applyBorder="1"/>
    <xf numFmtId="0" fontId="5" fillId="17" borderId="5" xfId="0" applyFont="1" applyFill="1" applyBorder="1"/>
    <xf numFmtId="3" fontId="5" fillId="17" borderId="5" xfId="0" applyNumberFormat="1" applyFont="1" applyFill="1" applyBorder="1"/>
    <xf numFmtId="165" fontId="5" fillId="17" borderId="5" xfId="0" applyNumberFormat="1" applyFont="1" applyFill="1" applyBorder="1"/>
    <xf numFmtId="0" fontId="5" fillId="19" borderId="5" xfId="0" applyFont="1" applyFill="1" applyBorder="1"/>
    <xf numFmtId="0" fontId="5" fillId="19" borderId="0" xfId="0" applyFont="1" applyFill="1"/>
    <xf numFmtId="0" fontId="5" fillId="20" borderId="5" xfId="0" applyFont="1" applyFill="1" applyBorder="1"/>
    <xf numFmtId="3" fontId="5" fillId="20" borderId="5" xfId="0" applyNumberFormat="1" applyFont="1" applyFill="1" applyBorder="1"/>
    <xf numFmtId="165" fontId="5" fillId="20" borderId="5" xfId="0" applyNumberFormat="1" applyFont="1" applyFill="1" applyBorder="1"/>
    <xf numFmtId="0" fontId="5" fillId="15" borderId="0" xfId="0" applyFont="1" applyFill="1"/>
    <xf numFmtId="0" fontId="5" fillId="22" borderId="5" xfId="0" applyFont="1" applyFill="1" applyBorder="1"/>
    <xf numFmtId="0" fontId="5" fillId="24" borderId="5" xfId="0" applyFont="1" applyFill="1" applyBorder="1"/>
    <xf numFmtId="0" fontId="5" fillId="25" borderId="5" xfId="0" applyFont="1" applyFill="1" applyBorder="1"/>
    <xf numFmtId="2" fontId="0" fillId="0" borderId="5" xfId="0" applyNumberFormat="1" applyBorder="1"/>
    <xf numFmtId="166" fontId="0" fillId="0" borderId="5" xfId="0" applyNumberFormat="1" applyBorder="1"/>
    <xf numFmtId="0" fontId="5" fillId="19" borderId="5" xfId="0" applyFont="1" applyFill="1" applyBorder="1" applyAlignment="1">
      <alignment vertical="top"/>
    </xf>
    <xf numFmtId="0" fontId="5" fillId="19" borderId="5" xfId="0" applyFont="1" applyFill="1" applyBorder="1" applyAlignment="1">
      <alignment vertical="top" wrapText="1"/>
    </xf>
    <xf numFmtId="165" fontId="10" fillId="26" borderId="0" xfId="0" applyNumberFormat="1" applyFont="1" applyFill="1" applyAlignment="1">
      <alignment horizontal="center"/>
    </xf>
    <xf numFmtId="3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26" borderId="5" xfId="0" applyNumberFormat="1" applyFill="1" applyBorder="1"/>
    <xf numFmtId="0" fontId="0" fillId="26" borderId="5" xfId="0" applyFill="1" applyBorder="1"/>
    <xf numFmtId="3" fontId="0" fillId="26" borderId="5" xfId="0" applyNumberFormat="1" applyFill="1" applyBorder="1"/>
    <xf numFmtId="165" fontId="0" fillId="26" borderId="5" xfId="0" applyNumberFormat="1" applyFill="1" applyBorder="1" applyAlignment="1">
      <alignment horizontal="right"/>
    </xf>
    <xf numFmtId="1" fontId="0" fillId="26" borderId="5" xfId="0" applyNumberFormat="1" applyFill="1" applyBorder="1"/>
    <xf numFmtId="166" fontId="10" fillId="26" borderId="0" xfId="0" applyNumberFormat="1" applyFont="1" applyFill="1" applyAlignment="1">
      <alignment horizontal="center"/>
    </xf>
    <xf numFmtId="165" fontId="5" fillId="22" borderId="5" xfId="0" applyNumberFormat="1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/>
    </xf>
    <xf numFmtId="3" fontId="5" fillId="22" borderId="5" xfId="0" applyNumberFormat="1" applyFont="1" applyFill="1" applyBorder="1" applyAlignment="1">
      <alignment horizontal="center"/>
    </xf>
    <xf numFmtId="0" fontId="5" fillId="26" borderId="0" xfId="0" applyFont="1" applyFill="1"/>
    <xf numFmtId="9" fontId="0" fillId="0" borderId="5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20" fontId="4" fillId="4" borderId="3" xfId="1" applyNumberFormat="1" applyFont="1" applyFill="1" applyBorder="1" applyAlignment="1">
      <alignment horizontal="center" wrapText="1"/>
    </xf>
    <xf numFmtId="3" fontId="0" fillId="0" borderId="0" xfId="0" applyNumberFormat="1"/>
    <xf numFmtId="3" fontId="13" fillId="28" borderId="6" xfId="0" applyNumberFormat="1" applyFont="1" applyFill="1" applyBorder="1" applyAlignment="1">
      <alignment horizontal="center" wrapText="1" readingOrder="1"/>
    </xf>
    <xf numFmtId="3" fontId="13" fillId="29" borderId="6" xfId="0" applyNumberFormat="1" applyFont="1" applyFill="1" applyBorder="1" applyAlignment="1">
      <alignment horizontal="center" wrapText="1" readingOrder="1"/>
    </xf>
    <xf numFmtId="3" fontId="13" fillId="27" borderId="7" xfId="0" applyNumberFormat="1" applyFont="1" applyFill="1" applyBorder="1" applyAlignment="1">
      <alignment horizontal="center" wrapText="1" readingOrder="1"/>
    </xf>
    <xf numFmtId="10" fontId="0" fillId="0" borderId="0" xfId="0" applyNumberFormat="1"/>
    <xf numFmtId="0" fontId="5" fillId="24" borderId="5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3" fontId="14" fillId="2" borderId="3" xfId="1" applyNumberFormat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164" fontId="14" fillId="30" borderId="3" xfId="1" applyNumberFormat="1" applyFont="1" applyFill="1" applyBorder="1" applyAlignment="1">
      <alignment horizontal="center" vertical="center"/>
    </xf>
    <xf numFmtId="164" fontId="14" fillId="31" borderId="3" xfId="1" applyNumberFormat="1" applyFont="1" applyFill="1" applyBorder="1" applyAlignment="1">
      <alignment horizontal="center" vertical="center"/>
    </xf>
    <xf numFmtId="164" fontId="14" fillId="32" borderId="3" xfId="1" applyNumberFormat="1" applyFont="1" applyFill="1" applyBorder="1" applyAlignment="1">
      <alignment horizontal="center" vertical="center"/>
    </xf>
    <xf numFmtId="164" fontId="3" fillId="30" borderId="3" xfId="1" applyNumberFormat="1" applyFill="1" applyBorder="1" applyAlignment="1">
      <alignment horizontal="center" vertical="center"/>
    </xf>
    <xf numFmtId="0" fontId="3" fillId="30" borderId="3" xfId="1" applyFill="1" applyBorder="1" applyAlignment="1">
      <alignment horizontal="center" vertical="center"/>
    </xf>
    <xf numFmtId="164" fontId="3" fillId="32" borderId="3" xfId="1" applyNumberFormat="1" applyFill="1" applyBorder="1" applyAlignment="1">
      <alignment horizontal="center" vertical="center"/>
    </xf>
    <xf numFmtId="0" fontId="3" fillId="32" borderId="3" xfId="1" applyFill="1" applyBorder="1" applyAlignment="1">
      <alignment horizontal="center" vertical="center"/>
    </xf>
    <xf numFmtId="164" fontId="3" fillId="31" borderId="3" xfId="1" applyNumberForma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2" fillId="5" borderId="5" xfId="0" applyFont="1" applyFill="1" applyBorder="1" applyAlignment="1">
      <alignment horizontal="center" vertical="center"/>
    </xf>
    <xf numFmtId="0" fontId="11" fillId="23" borderId="0" xfId="0" applyFont="1" applyFill="1"/>
    <xf numFmtId="0" fontId="0" fillId="0" borderId="0" xfId="0"/>
    <xf numFmtId="0" fontId="8" fillId="7" borderId="0" xfId="0" applyFont="1" applyFill="1" applyAlignment="1">
      <alignment horizontal="center"/>
    </xf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0" fontId="9" fillId="13" borderId="0" xfId="0" applyFont="1" applyFill="1"/>
    <xf numFmtId="0" fontId="9" fillId="14" borderId="0" xfId="0" applyFont="1" applyFill="1"/>
    <xf numFmtId="0" fontId="9" fillId="18" borderId="0" xfId="0" applyFont="1" applyFill="1"/>
    <xf numFmtId="0" fontId="9" fillId="21" borderId="0" xfId="0" applyFont="1" applyFill="1"/>
    <xf numFmtId="0" fontId="11" fillId="2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6" borderId="0" xfId="0" applyFont="1" applyFill="1"/>
    <xf numFmtId="0" fontId="9" fillId="18" borderId="0" xfId="0" applyFont="1" applyFill="1" applyAlignment="1">
      <alignment horizontal="center"/>
    </xf>
  </cellXfs>
  <cellStyles count="2">
    <cellStyle name="Normal" xfId="0" builtinId="0"/>
    <cellStyle name="Normal 40" xfId="1" xr:uid="{CD8D998C-9824-457D-8E1A-87E3D1E997A9}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 Generados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</c:strRef>
          </c:cat>
          <c:val>
            <c:numRef>
              <c:f>Dashboard!$B$11:$B$26</c:f>
              <c:numCache>
                <c:formatCode>#,##0</c:formatCode>
                <c:ptCount val="16"/>
                <c:pt idx="0">
                  <c:v>292328</c:v>
                </c:pt>
                <c:pt idx="1">
                  <c:v>243012</c:v>
                </c:pt>
                <c:pt idx="2">
                  <c:v>287674</c:v>
                </c:pt>
                <c:pt idx="3">
                  <c:v>342171</c:v>
                </c:pt>
                <c:pt idx="4">
                  <c:v>366816</c:v>
                </c:pt>
                <c:pt idx="5">
                  <c:v>338404</c:v>
                </c:pt>
                <c:pt idx="6">
                  <c:v>284496</c:v>
                </c:pt>
                <c:pt idx="7">
                  <c:v>143331</c:v>
                </c:pt>
                <c:pt idx="8">
                  <c:v>166590</c:v>
                </c:pt>
                <c:pt idx="9">
                  <c:v>104796</c:v>
                </c:pt>
                <c:pt idx="10">
                  <c:v>38427</c:v>
                </c:pt>
                <c:pt idx="11">
                  <c:v>85209</c:v>
                </c:pt>
                <c:pt idx="12">
                  <c:v>91530</c:v>
                </c:pt>
                <c:pt idx="13">
                  <c:v>174954</c:v>
                </c:pt>
                <c:pt idx="14">
                  <c:v>175295</c:v>
                </c:pt>
                <c:pt idx="15">
                  <c:v>3135033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A-4ED5-8FBF-D1F34682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8511"/>
        <c:axId val="1885538991"/>
      </c:barChart>
      <c:catAx>
        <c:axId val="18855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991"/>
        <c:crosses val="autoZero"/>
        <c:auto val="1"/>
        <c:lblAlgn val="ctr"/>
        <c:lblOffset val="100"/>
        <c:noMultiLvlLbl val="0"/>
      </c:catAx>
      <c:valAx>
        <c:axId val="188553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Disponibilidad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A-4817-BACC-3F6C1924DF5B}"/>
            </c:ext>
          </c:extLst>
        </c:ser>
        <c:ser>
          <c:idx val="1"/>
          <c:order val="1"/>
          <c:tx>
            <c:v>Disponibilidad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</c:strRef>
          </c:cat>
          <c:val>
            <c:numRef>
              <c:f>Dashboard!$E$11:$E$26</c:f>
              <c:numCache>
                <c:formatCode>0%</c:formatCode>
                <c:ptCount val="16"/>
                <c:pt idx="0">
                  <c:v>0.98863636363636365</c:v>
                </c:pt>
                <c:pt idx="1">
                  <c:v>1</c:v>
                </c:pt>
                <c:pt idx="2">
                  <c:v>0.9867424242424242</c:v>
                </c:pt>
                <c:pt idx="3">
                  <c:v>1</c:v>
                </c:pt>
                <c:pt idx="4">
                  <c:v>1</c:v>
                </c:pt>
                <c:pt idx="5">
                  <c:v>0.98484848484848486</c:v>
                </c:pt>
                <c:pt idx="6">
                  <c:v>0.98863636363636365</c:v>
                </c:pt>
                <c:pt idx="7">
                  <c:v>0.98484848484848486</c:v>
                </c:pt>
                <c:pt idx="8">
                  <c:v>0.9867424242424242</c:v>
                </c:pt>
                <c:pt idx="9">
                  <c:v>0.98484848484848486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0.96969696969696972</c:v>
                </c:pt>
                <c:pt idx="14">
                  <c:v>0.9867424242424242</c:v>
                </c:pt>
                <c:pt idx="15" formatCode="0.0%">
                  <c:v>0.99078282828282827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A-4817-BACC-3F6C1924D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6111"/>
        <c:axId val="1885546671"/>
      </c:barChart>
      <c:catAx>
        <c:axId val="18855361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46671"/>
        <c:crosses val="autoZero"/>
        <c:auto val="1"/>
        <c:lblAlgn val="ctr"/>
        <c:lblOffset val="100"/>
        <c:noMultiLvlLbl val="0"/>
      </c:catAx>
      <c:valAx>
        <c:axId val="188554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KWH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3-4AFC-875B-F549552D7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3-4AFC-875B-F549552D7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3-4AFC-875B-F549552D7935}"/>
              </c:ext>
            </c:extLst>
          </c:dPt>
          <c:cat>
            <c:strRef>
              <c:f>Dashboard!$K$11:$K$13</c:f>
              <c:strCache>
                <c:ptCount val="3"/>
                <c:pt idx="0">
                  <c:v>CPW (J320/J420)</c:v>
                </c:pt>
                <c:pt idx="1">
                  <c:v>CUMMINS (G10x)</c:v>
                </c:pt>
                <c:pt idx="2">
                  <c:v>JINAN (JIN)</c:v>
                </c:pt>
              </c:strCache>
            </c:strRef>
          </c:cat>
          <c:val>
            <c:numRef>
              <c:f>Dashboard!$L$11:$L$13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A3-4AFC-875B-F549552D793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3A3-4AFC-875B-F549552D7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3A3-4AFC-875B-F549552D7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3A3-4AFC-875B-F549552D7935}"/>
              </c:ext>
            </c:extLst>
          </c:dPt>
          <c:cat>
            <c:strRef>
              <c:f>Dashboard!$K$11:$K$13</c:f>
              <c:strCache>
                <c:ptCount val="3"/>
                <c:pt idx="0">
                  <c:v>CPW (J320/J420)</c:v>
                </c:pt>
                <c:pt idx="1">
                  <c:v>CUMMINS (G10x)</c:v>
                </c:pt>
                <c:pt idx="2">
                  <c:v>JINAN (JIN)</c:v>
                </c:pt>
              </c:strCache>
            </c:strRef>
          </c:cat>
          <c:val>
            <c:numRef>
              <c:f>Dashboard!$M$11:$M$13</c:f>
              <c:numCache>
                <c:formatCode>#,##0</c:formatCode>
                <c:ptCount val="3"/>
                <c:pt idx="0">
                  <c:v>2569618</c:v>
                </c:pt>
                <c:pt idx="1">
                  <c:v>215166</c:v>
                </c:pt>
                <c:pt idx="2">
                  <c:v>350249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A3-4AFC-875B-F549552D7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Horas Operación vs StandBy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Dashboard!$A$11:$A$26</c:f>
              <c:strCache>
                <c:ptCount val="16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  <c:pt idx="15">
                  <c:v>TOTAL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6BF-4B54-9CA7-70C038B55689}"/>
            </c:ext>
          </c:extLst>
        </c:ser>
        <c:ser>
          <c:idx val="1"/>
          <c:order val="1"/>
          <c:tx>
            <c:v>Hrs Operación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(Dashboard!$A$11:$A$18,Dashboard!$A$20:$A$26)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CPW-12</c:v>
                </c:pt>
                <c:pt idx="9">
                  <c:v>G101V</c:v>
                </c:pt>
                <c:pt idx="10">
                  <c:v>G102J</c:v>
                </c:pt>
                <c:pt idx="11">
                  <c:v>G102K</c:v>
                </c:pt>
                <c:pt idx="12">
                  <c:v>JIN-01</c:v>
                </c:pt>
                <c:pt idx="13">
                  <c:v>JIN-02</c:v>
                </c:pt>
                <c:pt idx="14">
                  <c:v>TOTAL</c:v>
                </c:pt>
              </c:strCache>
              <c:extLst/>
            </c:strRef>
          </c:cat>
          <c:val>
            <c:numRef>
              <c:f>Dashboard!$C$11:$C$26</c:f>
              <c:numCache>
                <c:formatCode>#,##0</c:formatCode>
                <c:ptCount val="16"/>
                <c:pt idx="0">
                  <c:v>465</c:v>
                </c:pt>
                <c:pt idx="1">
                  <c:v>386</c:v>
                </c:pt>
                <c:pt idx="2">
                  <c:v>459</c:v>
                </c:pt>
                <c:pt idx="3">
                  <c:v>453</c:v>
                </c:pt>
                <c:pt idx="4">
                  <c:v>474</c:v>
                </c:pt>
                <c:pt idx="5">
                  <c:v>441</c:v>
                </c:pt>
                <c:pt idx="6">
                  <c:v>480</c:v>
                </c:pt>
                <c:pt idx="7">
                  <c:v>392</c:v>
                </c:pt>
                <c:pt idx="8">
                  <c:v>456</c:v>
                </c:pt>
                <c:pt idx="9">
                  <c:v>295</c:v>
                </c:pt>
                <c:pt idx="10">
                  <c:v>110</c:v>
                </c:pt>
                <c:pt idx="11">
                  <c:v>110</c:v>
                </c:pt>
                <c:pt idx="12">
                  <c:v>120</c:v>
                </c:pt>
                <c:pt idx="13">
                  <c:v>489</c:v>
                </c:pt>
                <c:pt idx="14">
                  <c:v>508</c:v>
                </c:pt>
                <c:pt idx="15">
                  <c:v>5638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F-4B54-9CA7-70C038B55689}"/>
            </c:ext>
          </c:extLst>
        </c:ser>
        <c:ser>
          <c:idx val="2"/>
          <c:order val="2"/>
          <c:tx>
            <c:v>Hrs StandBy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CPW-01</c:v>
              </c:pt>
              <c:pt idx="1">
                <c:v>CPW-02</c:v>
              </c:pt>
              <c:pt idx="2">
                <c:v>CPW-03</c:v>
              </c:pt>
              <c:pt idx="3">
                <c:v>CPW-04</c:v>
              </c:pt>
              <c:pt idx="4">
                <c:v>CPW-05</c:v>
              </c:pt>
              <c:pt idx="5">
                <c:v>CPW-06</c:v>
              </c:pt>
              <c:pt idx="6">
                <c:v>CPW-07</c:v>
              </c:pt>
              <c:pt idx="7">
                <c:v>CPW-10</c:v>
              </c:pt>
              <c:pt idx="8">
                <c:v>CPW-12</c:v>
              </c:pt>
              <c:pt idx="9">
                <c:v>G101V</c:v>
              </c:pt>
              <c:pt idx="10">
                <c:v>G102J</c:v>
              </c:pt>
              <c:pt idx="11">
                <c:v>G102K</c:v>
              </c:pt>
              <c:pt idx="12">
                <c:v>JIN-01</c:v>
              </c:pt>
              <c:pt idx="13">
                <c:v>JIN-02</c:v>
              </c:pt>
              <c:pt idx="14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Dashboard!$D$11:$D$26</c:f>
              <c:numCache>
                <c:formatCode>#,##0</c:formatCode>
                <c:ptCount val="16"/>
                <c:pt idx="0">
                  <c:v>57</c:v>
                </c:pt>
                <c:pt idx="1">
                  <c:v>142</c:v>
                </c:pt>
                <c:pt idx="2">
                  <c:v>62</c:v>
                </c:pt>
                <c:pt idx="3">
                  <c:v>75</c:v>
                </c:pt>
                <c:pt idx="4">
                  <c:v>54</c:v>
                </c:pt>
                <c:pt idx="5">
                  <c:v>79</c:v>
                </c:pt>
                <c:pt idx="6">
                  <c:v>42</c:v>
                </c:pt>
                <c:pt idx="7">
                  <c:v>128</c:v>
                </c:pt>
                <c:pt idx="8">
                  <c:v>65</c:v>
                </c:pt>
                <c:pt idx="9">
                  <c:v>225</c:v>
                </c:pt>
                <c:pt idx="10">
                  <c:v>418</c:v>
                </c:pt>
                <c:pt idx="11">
                  <c:v>418</c:v>
                </c:pt>
                <c:pt idx="12">
                  <c:v>408</c:v>
                </c:pt>
                <c:pt idx="13">
                  <c:v>23</c:v>
                </c:pt>
                <c:pt idx="14">
                  <c:v>13</c:v>
                </c:pt>
                <c:pt idx="15">
                  <c:v>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F-4B54-9CA7-70C038B5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488191"/>
        <c:axId val="1855480031"/>
        <c:extLst/>
      </c:barChart>
      <c:catAx>
        <c:axId val="18554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0031"/>
        <c:crosses val="autoZero"/>
        <c:auto val="1"/>
        <c:lblAlgn val="ctr"/>
        <c:lblOffset val="100"/>
        <c:noMultiLvlLbl val="0"/>
      </c:catAx>
      <c:valAx>
        <c:axId val="18554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Dashboard!$N$45</c:f>
              <c:strCache>
                <c:ptCount val="1"/>
                <c:pt idx="0">
                  <c:v>Fallas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Dashboard!$M$46:$M$63</c:f>
              <c:numCache>
                <c:formatCode>General</c:formatCode>
                <c:ptCount val="18"/>
              </c:numCache>
            </c:numRef>
          </c:cat>
          <c:val>
            <c:numRef>
              <c:f>Dashboard!$N$46:$N$50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76E8-46FC-A387-8F968327B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2226031"/>
        <c:axId val="1702231311"/>
        <c:axId val="0"/>
      </c:bar3DChart>
      <c:catAx>
        <c:axId val="170222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2231311"/>
        <c:crosses val="autoZero"/>
        <c:auto val="1"/>
        <c:lblAlgn val="ctr"/>
        <c:lblOffset val="100"/>
        <c:noMultiLvlLbl val="0"/>
      </c:catAx>
      <c:valAx>
        <c:axId val="170223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2226031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KWH Generados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Dashboard!$B$11:$B$25</c:f>
              <c:numCache>
                <c:formatCode>#,##0</c:formatCode>
                <c:ptCount val="15"/>
                <c:pt idx="0">
                  <c:v>292328</c:v>
                </c:pt>
                <c:pt idx="1">
                  <c:v>243012</c:v>
                </c:pt>
                <c:pt idx="2">
                  <c:v>287674</c:v>
                </c:pt>
                <c:pt idx="3">
                  <c:v>342171</c:v>
                </c:pt>
                <c:pt idx="4">
                  <c:v>366816</c:v>
                </c:pt>
                <c:pt idx="5">
                  <c:v>338404</c:v>
                </c:pt>
                <c:pt idx="6">
                  <c:v>284496</c:v>
                </c:pt>
                <c:pt idx="7">
                  <c:v>143331</c:v>
                </c:pt>
                <c:pt idx="8">
                  <c:v>166590</c:v>
                </c:pt>
                <c:pt idx="9">
                  <c:v>104796</c:v>
                </c:pt>
                <c:pt idx="10">
                  <c:v>38427</c:v>
                </c:pt>
                <c:pt idx="11">
                  <c:v>85209</c:v>
                </c:pt>
                <c:pt idx="12">
                  <c:v>91530</c:v>
                </c:pt>
                <c:pt idx="13">
                  <c:v>174954</c:v>
                </c:pt>
                <c:pt idx="14">
                  <c:v>175295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6-4C25-A1D1-D40FDEAA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8511"/>
        <c:axId val="1885538991"/>
      </c:barChart>
      <c:catAx>
        <c:axId val="18855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991"/>
        <c:crosses val="autoZero"/>
        <c:auto val="1"/>
        <c:lblAlgn val="ctr"/>
        <c:lblOffset val="100"/>
        <c:noMultiLvlLbl val="0"/>
      </c:catAx>
      <c:valAx>
        <c:axId val="188553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Disponibilidad por 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[2]Dashboard!$A$11:$A$25</c:f>
              <c:strCache>
                <c:ptCount val="1"/>
                <c:pt idx="0">
                  <c:v>CPW-01 CPW-02 CPW-03 CPW-04 CPW-05 CPW-06 CPW-07 G101V G102A G102E G102I G102J G102K JIN-01 JIN-02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Dashboard!$A$11:$A$25</c15:sqref>
                  </c15:fullRef>
                </c:ext>
              </c:extLst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[2]Dashboard!$A$26</c15:sqref>
                  </c15:fullRef>
                </c:ext>
              </c:extLst>
              <c:f>[1]Dashboard!$A$26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E-4C0E-A4EE-65722939F534}"/>
            </c:ext>
          </c:extLst>
        </c:ser>
        <c:ser>
          <c:idx val="1"/>
          <c:order val="1"/>
          <c:tx>
            <c:v>Disponibilidad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Dashboard!$A$11:$A$25</c15:sqref>
                  </c15:fullRef>
                </c:ext>
              </c:extLst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Dashboard!$E$11:$E$26</c15:sqref>
                  </c15:fullRef>
                </c:ext>
              </c:extLst>
              <c:f>Dashboard!$E$11:$E$25</c:f>
              <c:numCache>
                <c:formatCode>0%</c:formatCode>
                <c:ptCount val="15"/>
                <c:pt idx="0">
                  <c:v>0.98863636363636365</c:v>
                </c:pt>
                <c:pt idx="1">
                  <c:v>1</c:v>
                </c:pt>
                <c:pt idx="2">
                  <c:v>0.9867424242424242</c:v>
                </c:pt>
                <c:pt idx="3">
                  <c:v>1</c:v>
                </c:pt>
                <c:pt idx="4">
                  <c:v>1</c:v>
                </c:pt>
                <c:pt idx="5">
                  <c:v>0.98484848484848486</c:v>
                </c:pt>
                <c:pt idx="6">
                  <c:v>0.98863636363636365</c:v>
                </c:pt>
                <c:pt idx="7">
                  <c:v>0.98484848484848486</c:v>
                </c:pt>
                <c:pt idx="8">
                  <c:v>0.9867424242424242</c:v>
                </c:pt>
                <c:pt idx="9">
                  <c:v>0.98484848484848486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0.96969696969696972</c:v>
                </c:pt>
                <c:pt idx="14">
                  <c:v>0.9867424242424242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E-4C0E-A4EE-65722939F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5536111"/>
        <c:axId val="1885546671"/>
      </c:barChart>
      <c:catAx>
        <c:axId val="188553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46671"/>
        <c:crosses val="autoZero"/>
        <c:auto val="1"/>
        <c:lblAlgn val="ctr"/>
        <c:lblOffset val="100"/>
        <c:noMultiLvlLbl val="0"/>
      </c:catAx>
      <c:valAx>
        <c:axId val="188554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53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Horas Operación vs StandBy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cat>
          <c:val>
            <c:numRef>
              <c:f>Dashboard!$A$26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B-4C93-AA68-2CBE2AB8D434}"/>
            </c:ext>
          </c:extLst>
        </c:ser>
        <c:ser>
          <c:idx val="1"/>
          <c:order val="1"/>
          <c:tx>
            <c:v>Hrs Operación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cat>
          <c:val>
            <c:numRef>
              <c:f>Dashboard!$C$11:$C$24</c:f>
              <c:numCache>
                <c:formatCode>#,##0</c:formatCode>
                <c:ptCount val="14"/>
                <c:pt idx="0">
                  <c:v>465</c:v>
                </c:pt>
                <c:pt idx="1">
                  <c:v>386</c:v>
                </c:pt>
                <c:pt idx="2">
                  <c:v>459</c:v>
                </c:pt>
                <c:pt idx="3">
                  <c:v>453</c:v>
                </c:pt>
                <c:pt idx="4">
                  <c:v>474</c:v>
                </c:pt>
                <c:pt idx="5">
                  <c:v>441</c:v>
                </c:pt>
                <c:pt idx="6">
                  <c:v>480</c:v>
                </c:pt>
                <c:pt idx="7">
                  <c:v>392</c:v>
                </c:pt>
                <c:pt idx="8">
                  <c:v>456</c:v>
                </c:pt>
                <c:pt idx="9">
                  <c:v>295</c:v>
                </c:pt>
                <c:pt idx="10">
                  <c:v>110</c:v>
                </c:pt>
                <c:pt idx="11">
                  <c:v>110</c:v>
                </c:pt>
                <c:pt idx="12">
                  <c:v>120</c:v>
                </c:pt>
                <c:pt idx="13">
                  <c:v>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B-4C93-AA68-2CBE2AB8D434}"/>
            </c:ext>
          </c:extLst>
        </c:ser>
        <c:ser>
          <c:idx val="2"/>
          <c:order val="2"/>
          <c:tx>
            <c:v>Hrs StandBy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Dashboard!$A$11:$A$24</c:f>
              <c:strCache>
                <c:ptCount val="14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</c:strCache>
            </c:strRef>
          </c:cat>
          <c:val>
            <c:numRef>
              <c:f>Dashboard!$D$11:$D$24</c:f>
              <c:numCache>
                <c:formatCode>#,##0</c:formatCode>
                <c:ptCount val="14"/>
                <c:pt idx="0">
                  <c:v>57</c:v>
                </c:pt>
                <c:pt idx="1">
                  <c:v>142</c:v>
                </c:pt>
                <c:pt idx="2">
                  <c:v>62</c:v>
                </c:pt>
                <c:pt idx="3">
                  <c:v>75</c:v>
                </c:pt>
                <c:pt idx="4">
                  <c:v>54</c:v>
                </c:pt>
                <c:pt idx="5">
                  <c:v>79</c:v>
                </c:pt>
                <c:pt idx="6">
                  <c:v>42</c:v>
                </c:pt>
                <c:pt idx="7">
                  <c:v>128</c:v>
                </c:pt>
                <c:pt idx="8">
                  <c:v>65</c:v>
                </c:pt>
                <c:pt idx="9">
                  <c:v>225</c:v>
                </c:pt>
                <c:pt idx="10">
                  <c:v>418</c:v>
                </c:pt>
                <c:pt idx="11">
                  <c:v>418</c:v>
                </c:pt>
                <c:pt idx="12">
                  <c:v>408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B-4C93-AA68-2CBE2AB8D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488191"/>
        <c:axId val="1855480031"/>
      </c:barChart>
      <c:catAx>
        <c:axId val="18554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0031"/>
        <c:crosses val="autoZero"/>
        <c:auto val="1"/>
        <c:lblAlgn val="ctr"/>
        <c:lblOffset val="100"/>
        <c:noMultiLvlLbl val="0"/>
      </c:catAx>
      <c:valAx>
        <c:axId val="18554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Horas Mantenimiento (Prev vs Corr)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Dashboard!$G$11:$G$25</c:f>
              <c:numCache>
                <c:formatCode>General</c:formatCode>
                <c:ptCount val="15"/>
                <c:pt idx="0">
                  <c:v>6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1-4347-895C-2404F7926B6A}"/>
            </c:ext>
          </c:extLst>
        </c:ser>
        <c:ser>
          <c:idx val="1"/>
          <c:order val="1"/>
          <c:tx>
            <c:v>MMT Preventivo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Dashboard!$G$11:$G$25</c:f>
              <c:numCache>
                <c:formatCode>General</c:formatCode>
                <c:ptCount val="15"/>
                <c:pt idx="0">
                  <c:v>6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1-4347-895C-2404F7926B6A}"/>
            </c:ext>
          </c:extLst>
        </c:ser>
        <c:ser>
          <c:idx val="2"/>
          <c:order val="2"/>
          <c:tx>
            <c:v>MMT Correctivo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Dashboard!$A$11:$A$25</c:f>
              <c:strCache>
                <c:ptCount val="15"/>
                <c:pt idx="0">
                  <c:v>CPW-01</c:v>
                </c:pt>
                <c:pt idx="1">
                  <c:v>CPW-02</c:v>
                </c:pt>
                <c:pt idx="2">
                  <c:v>CPW-03</c:v>
                </c:pt>
                <c:pt idx="3">
                  <c:v>CPW-04</c:v>
                </c:pt>
                <c:pt idx="4">
                  <c:v>CPW-05</c:v>
                </c:pt>
                <c:pt idx="5">
                  <c:v>CPW-06</c:v>
                </c:pt>
                <c:pt idx="6">
                  <c:v>CPW-07</c:v>
                </c:pt>
                <c:pt idx="7">
                  <c:v>CPW-10</c:v>
                </c:pt>
                <c:pt idx="8">
                  <c:v>CPW-11</c:v>
                </c:pt>
                <c:pt idx="9">
                  <c:v>CPW-12</c:v>
                </c:pt>
                <c:pt idx="10">
                  <c:v>G101V</c:v>
                </c:pt>
                <c:pt idx="11">
                  <c:v>G102J</c:v>
                </c:pt>
                <c:pt idx="12">
                  <c:v>G102K</c:v>
                </c:pt>
                <c:pt idx="13">
                  <c:v>JIN-01</c:v>
                </c:pt>
                <c:pt idx="14">
                  <c:v>JIN-02</c:v>
                </c:pt>
              </c:strCache>
            </c:strRef>
          </c:cat>
          <c:val>
            <c:numRef>
              <c:f>Dashboard!$H$11:$H$25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11-4347-895C-2404F792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459391"/>
        <c:axId val="1855446431"/>
      </c:barChart>
      <c:catAx>
        <c:axId val="185545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46431"/>
        <c:crosses val="autoZero"/>
        <c:auto val="1"/>
        <c:lblAlgn val="ctr"/>
        <c:lblOffset val="100"/>
        <c:noMultiLvlLbl val="0"/>
      </c:catAx>
      <c:valAx>
        <c:axId val="18554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545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795782819718406E-3"/>
          <c:y val="0.69476489857372481"/>
          <c:w val="0.86303527337301877"/>
          <c:h val="0.30523510142627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62753</xdr:rowOff>
    </xdr:from>
    <xdr:to>
      <xdr:col>4</xdr:col>
      <xdr:colOff>1021080</xdr:colOff>
      <xdr:row>55</xdr:row>
      <xdr:rowOff>89647</xdr:rowOff>
    </xdr:to>
    <xdr:graphicFrame macro="">
      <xdr:nvGraphicFramePr>
        <xdr:cNvPr id="2" name="Gráfico 11">
          <a:extLst>
            <a:ext uri="{FF2B5EF4-FFF2-40B4-BE49-F238E27FC236}">
              <a16:creationId xmlns:a16="http://schemas.microsoft.com/office/drawing/2014/main" id="{BE6ECA2A-C63E-465E-B7A3-C55FD3B50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1101763</xdr:colOff>
      <xdr:row>38</xdr:row>
      <xdr:rowOff>0</xdr:rowOff>
    </xdr:from>
    <xdr:to>
      <xdr:col>9</xdr:col>
      <xdr:colOff>1105797</xdr:colOff>
      <xdr:row>55</xdr:row>
      <xdr:rowOff>71717</xdr:rowOff>
    </xdr:to>
    <xdr:graphicFrame macro="">
      <xdr:nvGraphicFramePr>
        <xdr:cNvPr id="3" name="Gráfico 12">
          <a:extLst>
            <a:ext uri="{FF2B5EF4-FFF2-40B4-BE49-F238E27FC236}">
              <a16:creationId xmlns:a16="http://schemas.microsoft.com/office/drawing/2014/main" id="{F96F0AB2-FACC-4A20-8DD6-9AA5388AF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1285339</xdr:colOff>
      <xdr:row>27</xdr:row>
      <xdr:rowOff>105841</xdr:rowOff>
    </xdr:from>
    <xdr:to>
      <xdr:col>15</xdr:col>
      <xdr:colOff>864854</xdr:colOff>
      <xdr:row>40</xdr:row>
      <xdr:rowOff>106122</xdr:rowOff>
    </xdr:to>
    <xdr:graphicFrame macro="">
      <xdr:nvGraphicFramePr>
        <xdr:cNvPr id="4" name="Gráfico 13">
          <a:extLst>
            <a:ext uri="{FF2B5EF4-FFF2-40B4-BE49-F238E27FC236}">
              <a16:creationId xmlns:a16="http://schemas.microsoft.com/office/drawing/2014/main" id="{08602CED-2517-4D9C-9A4E-39992DEAF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162560</xdr:rowOff>
    </xdr:from>
    <xdr:to>
      <xdr:col>4</xdr:col>
      <xdr:colOff>1021080</xdr:colOff>
      <xdr:row>73</xdr:row>
      <xdr:rowOff>141402</xdr:rowOff>
    </xdr:to>
    <xdr:graphicFrame macro="">
      <xdr:nvGraphicFramePr>
        <xdr:cNvPr id="17" name="Gráfico 14">
          <a:extLst>
            <a:ext uri="{FF2B5EF4-FFF2-40B4-BE49-F238E27FC236}">
              <a16:creationId xmlns:a16="http://schemas.microsoft.com/office/drawing/2014/main" id="{63828878-F79A-42CF-B9EB-748A63301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47961</xdr:colOff>
      <xdr:row>44</xdr:row>
      <xdr:rowOff>107832</xdr:rowOff>
    </xdr:from>
    <xdr:to>
      <xdr:col>17</xdr:col>
      <xdr:colOff>1611407</xdr:colOff>
      <xdr:row>59</xdr:row>
      <xdr:rowOff>161620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5767C48-4ACF-4871-B04C-1ED9EB329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37</xdr:row>
      <xdr:rowOff>62753</xdr:rowOff>
    </xdr:from>
    <xdr:to>
      <xdr:col>4</xdr:col>
      <xdr:colOff>1021080</xdr:colOff>
      <xdr:row>55</xdr:row>
      <xdr:rowOff>89647</xdr:rowOff>
    </xdr:to>
    <xdr:graphicFrame macro="">
      <xdr:nvGraphicFramePr>
        <xdr:cNvPr id="8" name="Gráfico 11">
          <a:extLst>
            <a:ext uri="{FF2B5EF4-FFF2-40B4-BE49-F238E27FC236}">
              <a16:creationId xmlns:a16="http://schemas.microsoft.com/office/drawing/2014/main" id="{6A641CF2-17DE-45C0-9D5B-71142E6CD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1101763</xdr:colOff>
      <xdr:row>38</xdr:row>
      <xdr:rowOff>0</xdr:rowOff>
    </xdr:from>
    <xdr:to>
      <xdr:col>9</xdr:col>
      <xdr:colOff>1105797</xdr:colOff>
      <xdr:row>55</xdr:row>
      <xdr:rowOff>71717</xdr:rowOff>
    </xdr:to>
    <xdr:graphicFrame macro="">
      <xdr:nvGraphicFramePr>
        <xdr:cNvPr id="9" name="Gráfico 12">
          <a:extLst>
            <a:ext uri="{FF2B5EF4-FFF2-40B4-BE49-F238E27FC236}">
              <a16:creationId xmlns:a16="http://schemas.microsoft.com/office/drawing/2014/main" id="{E33C9020-E4DD-4FDB-BFCE-D4433F758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142238</xdr:colOff>
      <xdr:row>63</xdr:row>
      <xdr:rowOff>48260</xdr:rowOff>
    </xdr:from>
    <xdr:to>
      <xdr:col>20</xdr:col>
      <xdr:colOff>1299029</xdr:colOff>
      <xdr:row>78</xdr:row>
      <xdr:rowOff>53340</xdr:rowOff>
    </xdr:to>
    <xdr:graphicFrame macro="">
      <xdr:nvGraphicFramePr>
        <xdr:cNvPr id="10" name="Gráfico 14">
          <a:extLst>
            <a:ext uri="{FF2B5EF4-FFF2-40B4-BE49-F238E27FC236}">
              <a16:creationId xmlns:a16="http://schemas.microsoft.com/office/drawing/2014/main" id="{CBB57021-AE08-4C05-AB2F-0961CA98D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225332</xdr:colOff>
      <xdr:row>62</xdr:row>
      <xdr:rowOff>85997</xdr:rowOff>
    </xdr:from>
    <xdr:to>
      <xdr:col>13</xdr:col>
      <xdr:colOff>533399</xdr:colOff>
      <xdr:row>78</xdr:row>
      <xdr:rowOff>63136</xdr:rowOff>
    </xdr:to>
    <xdr:graphicFrame macro="">
      <xdr:nvGraphicFramePr>
        <xdr:cNvPr id="12" name="Gráfico 15">
          <a:extLst>
            <a:ext uri="{FF2B5EF4-FFF2-40B4-BE49-F238E27FC236}">
              <a16:creationId xmlns:a16="http://schemas.microsoft.com/office/drawing/2014/main" id="{CC32D71D-CE04-4535-9D40-B4C2DF573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5_Mayo%202026/Dashboard%20mes%20de%20Mayo%202026.xlsx" TargetMode="External"/><Relationship Id="rId2" Type="http://schemas.openxmlformats.org/officeDocument/2006/relationships/externalLinkPath" Target="https://copowercomco-my.sharepoint.com/personal/tec_op_copower_com_co/Documents/O&amp;M%20COLOMBIA/03.-%20Atenci&#243;n%20al%20cliente/4.%20Informes%20mensuales/5_Mayo%202026/Dashboard%20mes%20de%20Mayo%202026.xlsx" TargetMode="External"/><Relationship Id="rId1" Type="http://schemas.openxmlformats.org/officeDocument/2006/relationships/externalLinkPath" Target="/personal/tec_op_copower_com_co/Documents/O&amp;M%20COLOMBIA/03.-%20Atenci&#243;n%20al%20cliente/4.%20Informes%20mensuales/5_Mayo%202026/Dashboard%20mes%20de%20May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rganizar/13.%20Informes%20gerenciales/5_Mayo%202026/Dashboard%20mes%20de%20Mayo%202026.xlsx" TargetMode="External"/><Relationship Id="rId2" Type="http://schemas.openxmlformats.org/officeDocument/2006/relationships/externalLinkPath" Target="https://copowercomco-my.sharepoint.com/personal/tec_op_copower_com_co/Documents/O&amp;M%20COLOMBIA/Organizar/13.%20Informes%20gerenciales/5_Mayo%202026/Dashboard%20mes%20de%20Mayo%202026.xlsx" TargetMode="External"/><Relationship Id="rId1" Type="http://schemas.openxmlformats.org/officeDocument/2006/relationships/externalLinkPath" Target="/personal/tec_op_copower_com_co/Documents/O&amp;M%20COLOMBIA/Organizar/13.%20Informes%20gerenciales/5_Mayo%202026/Dashboard%20mes%20de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E DIARIO DE OPERACIONES"/>
      <sheetName val="Hoja1"/>
      <sheetName val="Hoja2"/>
      <sheetName val="Dashboard"/>
    </sheetNames>
    <sheetDataSet>
      <sheetData sheetId="0"/>
      <sheetData sheetId="1"/>
      <sheetData sheetId="2"/>
      <sheetData sheetId="3">
        <row r="26">
          <cell r="A26" t="str">
            <v>JIN-10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E DIARIO DE OPERACIONES"/>
      <sheetName val="Hoja1"/>
      <sheetName val="Hoja2"/>
      <sheetName val="Dashboard"/>
    </sheetNames>
    <sheetDataSet>
      <sheetData sheetId="0" refreshError="1"/>
      <sheetData sheetId="1" refreshError="1"/>
      <sheetData sheetId="2" refreshError="1"/>
      <sheetData sheetId="3">
        <row r="11">
          <cell r="A11" t="str">
            <v>CPW-01</v>
          </cell>
        </row>
        <row r="12">
          <cell r="A12" t="str">
            <v>CPW-02</v>
          </cell>
        </row>
        <row r="13">
          <cell r="A13" t="str">
            <v>CPW-03</v>
          </cell>
        </row>
        <row r="14">
          <cell r="A14" t="str">
            <v>CPW-04</v>
          </cell>
        </row>
        <row r="15">
          <cell r="A15" t="str">
            <v>CPW-05</v>
          </cell>
        </row>
        <row r="16">
          <cell r="A16" t="str">
            <v>CPW-06</v>
          </cell>
        </row>
        <row r="17">
          <cell r="A17" t="str">
            <v>CPW-07</v>
          </cell>
        </row>
        <row r="18">
          <cell r="A18" t="str">
            <v>G101V</v>
          </cell>
        </row>
        <row r="19">
          <cell r="A19" t="str">
            <v>G102A</v>
          </cell>
        </row>
        <row r="20">
          <cell r="A20" t="str">
            <v>G102E</v>
          </cell>
        </row>
        <row r="21">
          <cell r="A21" t="str">
            <v>G102I</v>
          </cell>
        </row>
        <row r="22">
          <cell r="A22" t="str">
            <v>G102J</v>
          </cell>
        </row>
        <row r="23">
          <cell r="A23" t="str">
            <v>G102K</v>
          </cell>
        </row>
        <row r="24">
          <cell r="A24" t="str">
            <v>JIN-01</v>
          </cell>
        </row>
        <row r="25">
          <cell r="A25" t="str">
            <v>JIN-02</v>
          </cell>
        </row>
        <row r="26">
          <cell r="A26" t="str">
            <v>JIN-10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rlos Pabon Velazco" refreshedDate="46260.882808333336" createdVersion="8" refreshedVersion="8" minRefreshableVersion="3" recordCount="330" xr:uid="{B3088337-F8C8-4E01-BC5A-2BC281436E22}">
  <cacheSource type="worksheet">
    <worksheetSource ref="A2:Z332" sheet="REPORTE DIARIO DE OPERACIONES"/>
  </cacheSource>
  <cacheFields count="26">
    <cacheField name="Fecha" numFmtId="14">
      <sharedItems containsSemiMixedTypes="0" containsNonDate="0" containsDate="1" containsString="0" minDate="2026-08-01T00:00:00" maxDate="2026-08-23T00:00:00"/>
    </cacheField>
    <cacheField name="Cuenca" numFmtId="0">
      <sharedItems/>
    </cacheField>
    <cacheField name="Campo" numFmtId="0">
      <sharedItems/>
    </cacheField>
    <cacheField name="Contratista" numFmtId="0">
      <sharedItems/>
    </cacheField>
    <cacheField name="Unidad" numFmtId="0">
      <sharedItems/>
    </cacheField>
    <cacheField name="TAG de la unidad" numFmtId="0">
      <sharedItems containsBlank="1" count="16">
        <s v="CPW-01"/>
        <s v="CPW-02"/>
        <s v="CPW-03"/>
        <s v="CPW-04"/>
        <s v="CPW-05"/>
        <s v="CPW-06"/>
        <s v="CPW-07"/>
        <s v="G101V"/>
        <s v="G102J"/>
        <s v="G102K"/>
        <s v="JIN-01"/>
        <s v="JIN-02"/>
        <s v="CPW-10"/>
        <s v="CPW-11"/>
        <s v="CPW-12"/>
        <m u="1"/>
      </sharedItems>
    </cacheField>
    <cacheField name="capacidad instalada" numFmtId="0">
      <sharedItems containsSemiMixedTypes="0" containsString="0" containsNumber="1" containsInteger="1" minValue="500" maxValue="1300"/>
    </cacheField>
    <cacheField name="Capacidad Entregada (kW)" numFmtId="0">
      <sharedItems containsSemiMixedTypes="0" containsString="0" containsNumber="1" containsInteger="1" minValue="350" maxValue="1040"/>
    </cacheField>
    <cacheField name="Horometro inicial" numFmtId="0">
      <sharedItems containsSemiMixedTypes="0" containsString="0" containsNumber="1" containsInteger="1" minValue="516" maxValue="16654"/>
    </cacheField>
    <cacheField name="Horometro final" numFmtId="0">
      <sharedItems containsSemiMixedTypes="0" containsString="0" containsNumber="1" containsInteger="1" minValue="540" maxValue="16678"/>
    </cacheField>
    <cacheField name="KWH generados" numFmtId="0">
      <sharedItems containsSemiMixedTypes="0" containsString="0" containsNumber="1" containsInteger="1" minValue="0" maxValue="20730"/>
    </cacheField>
    <cacheField name="Potencia promedio" numFmtId="164">
      <sharedItems containsSemiMixedTypes="0" containsString="0" containsNumber="1" minValue="0" maxValue="863.75"/>
    </cacheField>
    <cacheField name="Horas Operacion " numFmtId="0">
      <sharedItems containsSemiMixedTypes="0" containsString="0" containsNumber="1" containsInteger="1" minValue="0" maxValue="24"/>
    </cacheField>
    <cacheField name="Horas StandBy" numFmtId="0">
      <sharedItems containsString="0" containsBlank="1" containsNumber="1" containsInteger="1" minValue="0" maxValue="24"/>
    </cacheField>
    <cacheField name="Horas MMT Preventivo" numFmtId="0">
      <sharedItems containsString="0" containsBlank="1" containsNumber="1" containsInteger="1" minValue="0" maxValue="8"/>
    </cacheField>
    <cacheField name="Horas MMT Correctivo" numFmtId="0">
      <sharedItems containsSemiMixedTypes="0" containsString="0" containsNumber="1" containsInteger="1" minValue="0" maxValue="0"/>
    </cacheField>
    <cacheField name="total horas" numFmtId="0">
      <sharedItems containsSemiMixedTypes="0" containsString="0" containsNumber="1" containsInteger="1" minValue="24" maxValue="24"/>
    </cacheField>
    <cacheField name="Horas Paradas Externas" numFmtId="0">
      <sharedItems containsSemiMixedTypes="0" containsString="0" containsNumber="1" containsInteger="1" minValue="0" maxValue="24"/>
    </cacheField>
    <cacheField name="Numero de fallas" numFmtId="0">
      <sharedItems containsSemiMixedTypes="0" containsString="0" containsNumber="1" containsInteger="1" minValue="0" maxValue="0"/>
    </cacheField>
    <cacheField name="Tipo de combustible Primario" numFmtId="0">
      <sharedItems containsBlank="1" count="3">
        <s v="GAS"/>
        <s v="DIESEL"/>
        <m u="1"/>
      </sharedItems>
    </cacheField>
    <cacheField name="Tipo de combustible Secundario" numFmtId="0">
      <sharedItems/>
    </cacheField>
    <cacheField name="Consumo de combustible Primario" numFmtId="0">
      <sharedItems containsString="0" containsBlank="1" containsNumber="1" minValue="0" maxValue="182424"/>
    </cacheField>
    <cacheField name="Consumo de combustible secundario" numFmtId="0">
      <sharedItems/>
    </cacheField>
    <cacheField name="Eficiencia" numFmtId="9">
      <sharedItems containsSemiMixedTypes="0" containsString="0" containsNumber="1" containsInteger="1" minValue="1" maxValue="1"/>
    </cacheField>
    <cacheField name="Observaciones" numFmtId="0">
      <sharedItems containsBlank="1" longText="1"/>
    </cacheField>
    <cacheField name="Campo26" caption="Campo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d v="2026-08-01T00:00:00"/>
    <s v="PUTN"/>
    <s v="COSTAYACO"/>
    <s v="COPOWER"/>
    <s v="J320"/>
    <x v="0"/>
    <n v="1050"/>
    <n v="700"/>
    <n v="16215"/>
    <n v="16239"/>
    <n v="14497"/>
    <n v="604.04166666666663"/>
    <n v="24"/>
    <n v="0"/>
    <n v="0"/>
    <n v="0"/>
    <n v="24"/>
    <n v="0"/>
    <n v="0"/>
    <x v="0"/>
    <s v="NO APLICA"/>
    <n v="127574"/>
    <s v="NO APLICA"/>
    <n v="1"/>
    <m/>
    <m/>
  </r>
  <r>
    <d v="2026-08-01T00:00:00"/>
    <s v="PUTN"/>
    <s v="COSTAYACO"/>
    <s v="COPOWER"/>
    <s v="J320"/>
    <x v="1"/>
    <n v="1050"/>
    <n v="700"/>
    <n v="14045"/>
    <n v="14045"/>
    <n v="0"/>
    <n v="0"/>
    <n v="0"/>
    <n v="24"/>
    <n v="0"/>
    <n v="0"/>
    <n v="24"/>
    <n v="0"/>
    <n v="0"/>
    <x v="0"/>
    <s v="NO APLICA"/>
    <n v="0"/>
    <s v="NO APLICA"/>
    <n v="1"/>
    <s v="24 horas de stand by por trabajos en linea de gas moqueta"/>
    <m/>
  </r>
  <r>
    <d v="2026-08-01T00:00:00"/>
    <s v="PUTN"/>
    <s v="COSTAYACO"/>
    <s v="COPOWER"/>
    <s v="J320"/>
    <x v="2"/>
    <n v="1050"/>
    <n v="700"/>
    <n v="12472"/>
    <n v="12496"/>
    <n v="14497"/>
    <n v="604.04166666666663"/>
    <n v="24"/>
    <n v="0"/>
    <n v="0"/>
    <n v="0"/>
    <n v="24"/>
    <n v="0"/>
    <n v="0"/>
    <x v="0"/>
    <s v="NO APLICA"/>
    <n v="127574"/>
    <s v="NO APLICA"/>
    <n v="1"/>
    <m/>
    <m/>
  </r>
  <r>
    <d v="2026-08-01T00:00:00"/>
    <s v="PUTN"/>
    <s v="COSTAYACO"/>
    <s v="COPOWER"/>
    <s v="J420"/>
    <x v="3"/>
    <n v="1300"/>
    <n v="1040"/>
    <n v="3934"/>
    <n v="3934"/>
    <n v="0"/>
    <n v="0"/>
    <n v="0"/>
    <n v="24"/>
    <n v="0"/>
    <n v="0"/>
    <n v="24"/>
    <n v="0"/>
    <n v="0"/>
    <x v="0"/>
    <s v="NO APLICA"/>
    <n v="0"/>
    <s v="NO APLICA"/>
    <n v="1"/>
    <s v="24 horas de stand by por trabajos en linea de gas moqueta"/>
    <m/>
  </r>
  <r>
    <d v="2026-08-01T00:00:00"/>
    <s v="PUTN"/>
    <s v="COSTAYACO"/>
    <s v="COPOWER"/>
    <s v="J420"/>
    <x v="4"/>
    <n v="1300"/>
    <n v="1040"/>
    <n v="3927"/>
    <n v="3927"/>
    <n v="0"/>
    <n v="0"/>
    <n v="0"/>
    <n v="24"/>
    <n v="0"/>
    <n v="0"/>
    <n v="24"/>
    <n v="0"/>
    <n v="0"/>
    <x v="0"/>
    <s v="NO APLICA"/>
    <n v="0"/>
    <s v="NO APLICA"/>
    <n v="1"/>
    <s v="24 horas de stand by por trabajos en linea de gas moqueta"/>
    <m/>
  </r>
  <r>
    <d v="2026-08-01T00:00:00"/>
    <s v="PUTN"/>
    <s v="COSTAYACO"/>
    <s v="COPOWER"/>
    <s v="J420"/>
    <x v="5"/>
    <n v="1300"/>
    <n v="1040"/>
    <n v="2369"/>
    <n v="2393"/>
    <n v="19335"/>
    <n v="805.625"/>
    <n v="24"/>
    <n v="0"/>
    <n v="0"/>
    <n v="0"/>
    <n v="24"/>
    <n v="0"/>
    <n v="0"/>
    <x v="0"/>
    <s v="NO APLICA"/>
    <n v="170148"/>
    <s v="NO APLICA"/>
    <n v="1"/>
    <m/>
    <m/>
  </r>
  <r>
    <d v="2026-08-01T00:00:00"/>
    <s v="PUTN"/>
    <s v="COSTAYACO"/>
    <s v="COPOWER"/>
    <s v="J320"/>
    <x v="6"/>
    <n v="1050"/>
    <n v="740"/>
    <n v="1341"/>
    <n v="1365"/>
    <n v="14011"/>
    <n v="583.79166666666663"/>
    <n v="24"/>
    <n v="0"/>
    <n v="0"/>
    <n v="0"/>
    <n v="24"/>
    <n v="0"/>
    <n v="0"/>
    <x v="0"/>
    <s v="NO APLICA"/>
    <n v="123297"/>
    <s v="NO APLICA"/>
    <n v="1"/>
    <m/>
    <m/>
  </r>
  <r>
    <d v="2026-08-01T00:00:00"/>
    <s v="PUTN"/>
    <s v="COSTAYACO"/>
    <s v="COPOWER"/>
    <s v="CUMMINS"/>
    <x v="7"/>
    <n v="500"/>
    <n v="360"/>
    <n v="15228"/>
    <n v="1522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1T00:00:00"/>
    <s v="PUTN"/>
    <s v="COSTAYACO"/>
    <s v="COPOWER"/>
    <s v="CUMMINS"/>
    <x v="8"/>
    <n v="1000"/>
    <n v="800"/>
    <n v="3531"/>
    <n v="353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1T00:00:00"/>
    <s v="PUTN"/>
    <s v="COSTAYACO"/>
    <s v="COPOWER"/>
    <s v="CUMMINS"/>
    <x v="9"/>
    <n v="1000"/>
    <n v="800"/>
    <n v="2406"/>
    <n v="240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1T00:00:00"/>
    <s v="PUTN"/>
    <s v="VONU"/>
    <s v="COPOWER"/>
    <s v="JINAN"/>
    <x v="10"/>
    <n v="600"/>
    <n v="350"/>
    <n v="6385"/>
    <n v="6409"/>
    <n v="8406"/>
    <n v="350.25"/>
    <n v="24"/>
    <n v="0"/>
    <n v="0"/>
    <n v="0"/>
    <n v="24"/>
    <n v="0"/>
    <n v="0"/>
    <x v="0"/>
    <s v="NO APLICA"/>
    <n v="73973"/>
    <s v="NO APLICA"/>
    <n v="1"/>
    <m/>
    <m/>
  </r>
  <r>
    <d v="2026-08-01T00:00:00"/>
    <s v="PUTN"/>
    <s v="VONU"/>
    <s v="COPOWER"/>
    <s v="JINAN"/>
    <x v="11"/>
    <n v="600"/>
    <n v="350"/>
    <n v="6295"/>
    <n v="6319"/>
    <n v="8397"/>
    <n v="349.875"/>
    <n v="24"/>
    <n v="0"/>
    <n v="0"/>
    <n v="0"/>
    <n v="24"/>
    <n v="0"/>
    <n v="0"/>
    <x v="0"/>
    <s v="NO APLICA"/>
    <n v="73894"/>
    <s v="NO APLICA"/>
    <n v="1"/>
    <m/>
    <m/>
  </r>
  <r>
    <d v="2026-08-01T00:00:00"/>
    <s v="PUTN"/>
    <s v="COSTAYACO"/>
    <s v="COPOWER"/>
    <s v="JINAN"/>
    <x v="12"/>
    <n v="600"/>
    <n v="450"/>
    <n v="4373"/>
    <n v="4391"/>
    <n v="5831"/>
    <n v="242.95833333333334"/>
    <n v="18"/>
    <n v="6"/>
    <n v="0"/>
    <n v="0"/>
    <n v="24"/>
    <n v="0"/>
    <n v="0"/>
    <x v="0"/>
    <s v="NO APLICA"/>
    <n v="51313"/>
    <s v="NO APLICA"/>
    <n v="1"/>
    <s v="00:23 ingresa en linea equipo CPW-10 a peticion de operador CCM y sale a las 3:01 por lluvias en la zona y controlar presion de gas CYC-----04:50 Ingresa en linea equipo CpW10 con gas CYC a pteticion de operador de CCM-----19:04 Sale de linea CPW-10 por peticion de operador de CCM."/>
    <m/>
  </r>
  <r>
    <d v="2026-08-01T00:00:00"/>
    <s v="PUTN"/>
    <s v="COSTAYACO"/>
    <s v="COPOWER"/>
    <s v="JINAN"/>
    <x v="13"/>
    <n v="600"/>
    <n v="450"/>
    <n v="516"/>
    <n v="540"/>
    <n v="8364"/>
    <n v="348.5"/>
    <n v="24"/>
    <n v="0"/>
    <n v="0"/>
    <n v="0"/>
    <n v="24"/>
    <n v="0"/>
    <n v="0"/>
    <x v="0"/>
    <s v="NO APLICA"/>
    <n v="73603"/>
    <s v="NO APLICA"/>
    <n v="1"/>
    <m/>
    <m/>
  </r>
  <r>
    <d v="2026-08-01T00:00:00"/>
    <s v="PUTN"/>
    <s v="COSTAYACO"/>
    <s v="COPOWER"/>
    <s v="JINAN"/>
    <x v="14"/>
    <n v="600"/>
    <n v="450"/>
    <n v="651"/>
    <n v="651"/>
    <n v="0"/>
    <n v="0"/>
    <n v="0"/>
    <n v="24"/>
    <n v="0"/>
    <n v="0"/>
    <n v="24"/>
    <n v="0"/>
    <n v="0"/>
    <x v="0"/>
    <s v="NO APLICA"/>
    <n v="0"/>
    <s v="NO APLICA"/>
    <n v="1"/>
    <m/>
    <m/>
  </r>
  <r>
    <d v="2026-08-02T00:00:00"/>
    <s v="PUTN"/>
    <s v="COSTAYACO"/>
    <s v="COPOWER"/>
    <s v="J320"/>
    <x v="0"/>
    <n v="1050"/>
    <n v="700"/>
    <n v="16239"/>
    <n v="16263"/>
    <n v="14766"/>
    <n v="615.25"/>
    <n v="24"/>
    <n v="0"/>
    <n v="0"/>
    <n v="0"/>
    <n v="24"/>
    <n v="0"/>
    <n v="0"/>
    <x v="0"/>
    <s v="NO APLICA"/>
    <n v="129941"/>
    <s v="NO APLICA"/>
    <n v="1"/>
    <m/>
    <m/>
  </r>
  <r>
    <d v="2026-08-02T00:00:00"/>
    <s v="PUTN"/>
    <s v="COSTAYACO"/>
    <s v="COPOWER"/>
    <s v="J320"/>
    <x v="1"/>
    <n v="1050"/>
    <n v="700"/>
    <n v="14045"/>
    <n v="14047"/>
    <n v="1017"/>
    <n v="42.375"/>
    <n v="2"/>
    <n v="22"/>
    <n v="0"/>
    <n v="0"/>
    <n v="24"/>
    <n v="0"/>
    <n v="0"/>
    <x v="0"/>
    <s v="NO APLICA"/>
    <n v="8950"/>
    <s v="NO APLICA"/>
    <n v="1"/>
    <s v="18:00 hrs. EQUIPO:CPW-02, A solicitud del CCM, Ingresan con gas Moqueta----19:54. EQUIPO:CPW-02, A solicitud del CCM, sale de linea para recuperar presion de gas moqueta 119 psi"/>
    <m/>
  </r>
  <r>
    <d v="2026-08-02T00:00:00"/>
    <s v="PUTN"/>
    <s v="COSTAYACO"/>
    <s v="COPOWER"/>
    <s v="J320"/>
    <x v="2"/>
    <n v="1050"/>
    <n v="700"/>
    <n v="12496"/>
    <n v="12520"/>
    <n v="14761"/>
    <n v="615.04166666666663"/>
    <n v="24"/>
    <n v="0"/>
    <n v="0"/>
    <n v="0"/>
    <n v="24"/>
    <n v="0"/>
    <n v="0"/>
    <x v="0"/>
    <s v="NO APLICA"/>
    <n v="129897"/>
    <s v="NO APLICA"/>
    <n v="1"/>
    <m/>
    <m/>
  </r>
  <r>
    <d v="2026-08-02T00:00:00"/>
    <s v="PUTN"/>
    <s v="COSTAYACO"/>
    <s v="COPOWER"/>
    <s v="J420"/>
    <x v="3"/>
    <n v="1300"/>
    <n v="1040"/>
    <n v="3934"/>
    <n v="3944"/>
    <n v="7899"/>
    <n v="329.125"/>
    <n v="10"/>
    <n v="14"/>
    <n v="0"/>
    <n v="0"/>
    <n v="24"/>
    <n v="0"/>
    <n v="0"/>
    <x v="0"/>
    <s v="NO APLICA"/>
    <n v="69511"/>
    <s v="NO APLICA"/>
    <n v="1"/>
    <s v="14:20 hrs. EQUIPO:CPW-04, A solicitud del CCM, Ingresan con gas Moqueta"/>
    <m/>
  </r>
  <r>
    <d v="2026-08-02T00:00:00"/>
    <s v="PUTN"/>
    <s v="COSTAYACO"/>
    <s v="COPOWER"/>
    <s v="J420"/>
    <x v="4"/>
    <n v="1300"/>
    <n v="1040"/>
    <n v="3927"/>
    <n v="3936"/>
    <n v="7668"/>
    <n v="319.5"/>
    <n v="9"/>
    <n v="15"/>
    <n v="0"/>
    <n v="0"/>
    <n v="24"/>
    <n v="0"/>
    <n v="0"/>
    <x v="0"/>
    <s v="NO APLICA"/>
    <n v="67478"/>
    <s v="NO APLICA"/>
    <n v="1"/>
    <s v="14:42 hrs. EQUIPO:CPW-05, A solicitud del CCM, Ingresan con gas Moqueta"/>
    <m/>
  </r>
  <r>
    <d v="2026-08-02T00:00:00"/>
    <s v="PUTN"/>
    <s v="COSTAYACO"/>
    <s v="COPOWER"/>
    <s v="J420"/>
    <x v="5"/>
    <n v="1300"/>
    <n v="1040"/>
    <n v="2393"/>
    <n v="2417"/>
    <n v="19533"/>
    <n v="813.875"/>
    <n v="24"/>
    <n v="0"/>
    <n v="0"/>
    <n v="0"/>
    <n v="24"/>
    <n v="0"/>
    <n v="0"/>
    <x v="0"/>
    <s v="NO APLICA"/>
    <n v="171890"/>
    <s v="NO APLICA"/>
    <n v="1"/>
    <m/>
    <m/>
  </r>
  <r>
    <d v="2026-08-02T00:00:00"/>
    <s v="PUTN"/>
    <s v="COSTAYACO"/>
    <s v="COPOWER"/>
    <s v="J320"/>
    <x v="6"/>
    <n v="1050"/>
    <n v="740"/>
    <n v="1365"/>
    <n v="1389"/>
    <n v="14313"/>
    <n v="596.375"/>
    <n v="24"/>
    <n v="0"/>
    <n v="0"/>
    <n v="0"/>
    <n v="24"/>
    <n v="0"/>
    <n v="0"/>
    <x v="0"/>
    <s v="NO APLICA"/>
    <n v="125954"/>
    <s v="NO APLICA"/>
    <n v="1"/>
    <m/>
    <m/>
  </r>
  <r>
    <d v="2026-08-02T00:00:00"/>
    <s v="PUTN"/>
    <s v="COSTAYACO"/>
    <s v="COPOWER"/>
    <s v="CUMMINS"/>
    <x v="7"/>
    <n v="500"/>
    <n v="360"/>
    <n v="15228"/>
    <n v="1522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2T00:00:00"/>
    <s v="PUTN"/>
    <s v="COSTAYACO"/>
    <s v="COPOWER"/>
    <s v="CUMMINS"/>
    <x v="8"/>
    <n v="1000"/>
    <n v="800"/>
    <n v="3531"/>
    <n v="3533"/>
    <n v="2159"/>
    <n v="89.958333333333329"/>
    <n v="2"/>
    <n v="22"/>
    <n v="0"/>
    <n v="0"/>
    <n v="24"/>
    <n v="0"/>
    <n v="0"/>
    <x v="1"/>
    <s v="NO APLICA"/>
    <n v="151"/>
    <s v="NO APLICA"/>
    <n v="1"/>
    <s v="8:24 EQUIPO:G102J, A solicitud del CCM, entran en linea.  Por inicio de maniobras para pasar equipos de reparto de carga a carga base para cambio de control de frontera"/>
    <m/>
  </r>
  <r>
    <d v="2026-08-02T00:00:00"/>
    <s v="PUTN"/>
    <s v="COSTAYACO"/>
    <s v="COPOWER"/>
    <s v="CUMMINS"/>
    <x v="9"/>
    <n v="1000"/>
    <n v="800"/>
    <n v="2406"/>
    <n v="2409"/>
    <n v="2166"/>
    <n v="90.25"/>
    <n v="3"/>
    <n v="21"/>
    <n v="0"/>
    <n v="0"/>
    <n v="24"/>
    <n v="0"/>
    <n v="0"/>
    <x v="1"/>
    <s v="NO APLICA"/>
    <n v="152"/>
    <s v="NO APLICA"/>
    <n v="1"/>
    <s v="8:23 EQUIPO:G102K, A solicitud del CCM, entran en linea. Por inicio de maniobras para pasar equipos de reparto de carga a carga base para cambio de control de frontera"/>
    <m/>
  </r>
  <r>
    <d v="2026-08-02T00:00:00"/>
    <s v="PUTN"/>
    <s v="VONU"/>
    <s v="COPOWER"/>
    <s v="JINAN"/>
    <x v="10"/>
    <n v="600"/>
    <n v="350"/>
    <n v="6409"/>
    <n v="6433"/>
    <n v="8399"/>
    <n v="349.95833333333331"/>
    <n v="24"/>
    <n v="0"/>
    <n v="0"/>
    <n v="0"/>
    <n v="24"/>
    <n v="0"/>
    <n v="0"/>
    <x v="0"/>
    <s v="NO APLICA"/>
    <n v="73911"/>
    <s v="NO APLICA"/>
    <n v="1"/>
    <m/>
    <m/>
  </r>
  <r>
    <d v="2026-08-02T00:00:00"/>
    <s v="PUTN"/>
    <s v="VONU"/>
    <s v="COPOWER"/>
    <s v="JINAN"/>
    <x v="11"/>
    <n v="600"/>
    <n v="350"/>
    <n v="6319"/>
    <n v="6343"/>
    <n v="8401"/>
    <n v="350.04166666666669"/>
    <n v="24"/>
    <n v="0"/>
    <n v="0"/>
    <n v="0"/>
    <n v="24"/>
    <n v="0"/>
    <n v="0"/>
    <x v="0"/>
    <s v="NO APLICA"/>
    <n v="73929"/>
    <s v="NO APLICA"/>
    <n v="1"/>
    <m/>
    <m/>
  </r>
  <r>
    <d v="2026-08-02T00:00:00"/>
    <s v="PUTN"/>
    <s v="COSTAYACO"/>
    <s v="COPOWER"/>
    <s v="JINAN"/>
    <x v="12"/>
    <n v="600"/>
    <n v="450"/>
    <n v="4391"/>
    <n v="4391"/>
    <n v="0"/>
    <n v="0"/>
    <n v="0"/>
    <n v="24"/>
    <n v="0"/>
    <n v="0"/>
    <n v="24"/>
    <n v="0"/>
    <n v="0"/>
    <x v="0"/>
    <s v="NO APLICA"/>
    <n v="0"/>
    <s v="NO APLICA"/>
    <n v="1"/>
    <s v="POR PETICION D CCM BAJA PRESIÓN DE GAS "/>
    <m/>
  </r>
  <r>
    <d v="2026-08-02T00:00:00"/>
    <s v="PUTN"/>
    <s v="COSTAYACO"/>
    <s v="COPOWER"/>
    <s v="JINAN"/>
    <x v="13"/>
    <n v="600"/>
    <n v="450"/>
    <n v="540"/>
    <n v="564"/>
    <n v="8479"/>
    <n v="353.29166666666669"/>
    <n v="24"/>
    <n v="0"/>
    <n v="0"/>
    <n v="0"/>
    <n v="24"/>
    <n v="0"/>
    <n v="0"/>
    <x v="0"/>
    <s v="NO APLICA"/>
    <n v="74611"/>
    <s v="NO APLICA"/>
    <n v="1"/>
    <m/>
    <m/>
  </r>
  <r>
    <d v="2026-08-02T00:00:00"/>
    <s v="PUTN"/>
    <s v="COSTAYACO"/>
    <s v="COPOWER"/>
    <s v="JINAN"/>
    <x v="14"/>
    <n v="600"/>
    <n v="450"/>
    <n v="651"/>
    <n v="651"/>
    <n v="0"/>
    <n v="0"/>
    <n v="0"/>
    <n v="24"/>
    <n v="0"/>
    <n v="0"/>
    <n v="24"/>
    <n v="0"/>
    <n v="0"/>
    <x v="0"/>
    <s v="NO APLICA"/>
    <n v="0"/>
    <s v="NO APLICA"/>
    <n v="1"/>
    <s v="POR PETICION D CCM BAJA PRESIÓN DE GAS "/>
    <m/>
  </r>
  <r>
    <d v="2026-08-03T00:00:00"/>
    <s v="PUTN"/>
    <s v="COSTAYACO"/>
    <s v="COPOWER"/>
    <s v="J320"/>
    <x v="0"/>
    <n v="1050"/>
    <n v="700"/>
    <n v="16263"/>
    <n v="16283"/>
    <n v="13376"/>
    <n v="557.33333333333337"/>
    <n v="20"/>
    <n v="4"/>
    <n v="0"/>
    <n v="0"/>
    <n v="24"/>
    <n v="0"/>
    <n v="0"/>
    <x v="0"/>
    <s v="NO APLICA"/>
    <n v="117709"/>
    <s v="NO APLICA"/>
    <n v="1"/>
    <s v="10:17 hrs. Generador CPW01  parada manual a solicitud de CCM por parada de MRU por cambio de filtros, 12:32 hrs. Equipo ingresa en linea con gas MRU-----22:44 Sale de linea equipo CPW-01 por salida de MRU "/>
    <m/>
  </r>
  <r>
    <d v="2026-08-03T00:00:00"/>
    <s v="PUTN"/>
    <s v="COSTAYACO"/>
    <s v="COPOWER"/>
    <s v="J320"/>
    <x v="1"/>
    <n v="1050"/>
    <n v="700"/>
    <n v="14047"/>
    <n v="14057"/>
    <n v="6521"/>
    <n v="271.70833333333331"/>
    <n v="10"/>
    <n v="14"/>
    <n v="0"/>
    <n v="0"/>
    <n v="24"/>
    <n v="0"/>
    <n v="0"/>
    <x v="0"/>
    <s v="NO APLICA"/>
    <n v="57385"/>
    <s v="NO APLICA"/>
    <n v="1"/>
    <s v="12:43 hrs. Generador CPW02 ingresa a linea a solicitud de CCM con gas MRU-----22:44 Sale de linea equipo CPW-02 por salida de MRU "/>
    <m/>
  </r>
  <r>
    <d v="2026-08-03T00:00:00"/>
    <s v="PUTN"/>
    <s v="COSTAYACO"/>
    <s v="COPOWER"/>
    <s v="J320"/>
    <x v="2"/>
    <n v="1050"/>
    <n v="700"/>
    <n v="12520"/>
    <n v="12530"/>
    <n v="6799"/>
    <n v="283.29166666666669"/>
    <n v="10"/>
    <n v="14"/>
    <n v="0"/>
    <n v="0"/>
    <n v="24"/>
    <n v="0"/>
    <n v="0"/>
    <x v="0"/>
    <s v="NO APLICA"/>
    <n v="59831"/>
    <s v="NO APLICA"/>
    <n v="1"/>
    <s v="12:43 hrs. Generador CPW02 ingresa a linea a solicitud de CCM con gas MRU-----22:44 Sale de linea equipo CPW-02 por salida de MRU "/>
    <m/>
  </r>
  <r>
    <d v="2026-08-03T00:00:00"/>
    <s v="PUTN"/>
    <s v="COSTAYACO"/>
    <s v="COPOWER"/>
    <s v="J420"/>
    <x v="3"/>
    <n v="1300"/>
    <n v="1040"/>
    <n v="3944"/>
    <n v="3968"/>
    <n v="20730"/>
    <n v="863.75"/>
    <n v="24"/>
    <n v="0"/>
    <n v="0"/>
    <n v="0"/>
    <n v="24"/>
    <n v="0"/>
    <n v="0"/>
    <x v="0"/>
    <s v="NO APLICA"/>
    <n v="182424"/>
    <s v="NO APLICA"/>
    <n v="1"/>
    <m/>
    <m/>
  </r>
  <r>
    <d v="2026-08-03T00:00:00"/>
    <s v="PUTN"/>
    <s v="COSTAYACO"/>
    <s v="COPOWER"/>
    <s v="J420"/>
    <x v="4"/>
    <n v="1300"/>
    <n v="1040"/>
    <n v="3936"/>
    <n v="3960"/>
    <n v="20558"/>
    <n v="856.58333333333337"/>
    <n v="24"/>
    <n v="0"/>
    <n v="0"/>
    <n v="0"/>
    <n v="24"/>
    <n v="0"/>
    <n v="0"/>
    <x v="0"/>
    <s v="NO APLICA"/>
    <n v="180910"/>
    <s v="NO APLICA"/>
    <n v="1"/>
    <m/>
    <m/>
  </r>
  <r>
    <d v="2026-08-03T00:00:00"/>
    <s v="PUTN"/>
    <s v="COSTAYACO"/>
    <s v="COPOWER"/>
    <s v="J420"/>
    <x v="5"/>
    <n v="1300"/>
    <n v="1040"/>
    <n v="2417"/>
    <n v="2438"/>
    <n v="17807"/>
    <n v="741.95833333333337"/>
    <n v="21"/>
    <n v="3"/>
    <n v="0"/>
    <n v="0"/>
    <n v="24"/>
    <n v="0"/>
    <n v="0"/>
    <x v="0"/>
    <s v="NO APLICA"/>
    <n v="156702"/>
    <s v="NO APLICA"/>
    <n v="1"/>
    <s v="10:32 hrs. Generador CPW06  parada manual a solicitud de CCM por parada de MRU por cambio de filtros, 12:50 hrs. Equipo ingresa en linea con gas MRU----22:44 Sale de linea equipo CPW-06 por salida de MRU"/>
    <m/>
  </r>
  <r>
    <d v="2026-08-03T00:00:00"/>
    <s v="PUTN"/>
    <s v="COSTAYACO"/>
    <s v="COPOWER"/>
    <s v="J320"/>
    <x v="6"/>
    <n v="1050"/>
    <n v="740"/>
    <n v="1389"/>
    <n v="1410"/>
    <n v="12724"/>
    <n v="530.16666666666663"/>
    <n v="21"/>
    <n v="3"/>
    <n v="0"/>
    <n v="0"/>
    <n v="24"/>
    <n v="0"/>
    <n v="0"/>
    <x v="0"/>
    <s v="NO APLICA"/>
    <n v="111971"/>
    <s v="NO APLICA"/>
    <n v="1"/>
    <s v="22:44 Sale de linea equipo CPW-07 por salida de MRU"/>
    <m/>
  </r>
  <r>
    <d v="2026-08-03T00:00:00"/>
    <s v="PUTN"/>
    <s v="COSTAYACO"/>
    <s v="COPOWER"/>
    <s v="CUMMINS"/>
    <x v="7"/>
    <n v="500"/>
    <n v="360"/>
    <n v="15228"/>
    <n v="15231"/>
    <n v="1007"/>
    <n v="41.958333333333336"/>
    <n v="3"/>
    <n v="21"/>
    <n v="0"/>
    <n v="0"/>
    <n v="24"/>
    <n v="0"/>
    <n v="0"/>
    <x v="1"/>
    <s v="NO APLICA"/>
    <n v="70"/>
    <s v="NO APLICA"/>
    <n v="1"/>
    <s v="10:12hrs. Generador G101V ingresa a linea a solicitud de CCM por salida de generacion asociada a la MRU, 13:00hrs sale de linea a solicitud de CCM "/>
    <m/>
  </r>
  <r>
    <d v="2026-08-03T00:00:00"/>
    <s v="PUTN"/>
    <s v="COSTAYACO"/>
    <s v="COPOWER"/>
    <s v="CUMMINS"/>
    <x v="8"/>
    <n v="1000"/>
    <n v="800"/>
    <n v="3533"/>
    <n v="3537"/>
    <n v="2679"/>
    <n v="111.625"/>
    <n v="4"/>
    <n v="20"/>
    <n v="0"/>
    <n v="0"/>
    <n v="24"/>
    <n v="0"/>
    <n v="0"/>
    <x v="1"/>
    <s v="NO APLICA"/>
    <n v="188"/>
    <s v="NO APLICA"/>
    <n v="1"/>
    <s v="10:10hrs. Generador G102J ingresa a linea a solicitud de CCM por salida de generacion asociada a la MRU, 12:56hrs sale de linea a solicitud de CCM "/>
    <m/>
  </r>
  <r>
    <d v="2026-08-03T00:00:00"/>
    <s v="PUTN"/>
    <s v="COSTAYACO"/>
    <s v="COPOWER"/>
    <s v="CUMMINS"/>
    <x v="9"/>
    <n v="1000"/>
    <n v="800"/>
    <n v="2409"/>
    <n v="2412"/>
    <n v="2171"/>
    <n v="90.458333333333329"/>
    <n v="3"/>
    <n v="21"/>
    <n v="0"/>
    <n v="0"/>
    <n v="24"/>
    <n v="0"/>
    <n v="0"/>
    <x v="1"/>
    <s v="NO APLICA"/>
    <n v="152"/>
    <s v="NO APLICA"/>
    <n v="1"/>
    <s v="10:10hrs. Generador G102k ingresa a linea a solicitud de CCM por salida de generacion asociada a la MRU, 12:56hrs sale de linea a solicitud de CCM "/>
    <m/>
  </r>
  <r>
    <d v="2026-08-03T00:00:00"/>
    <s v="PUTN"/>
    <s v="VONU"/>
    <s v="COPOWER"/>
    <s v="JINAN"/>
    <x v="10"/>
    <n v="600"/>
    <n v="350"/>
    <n v="6433"/>
    <n v="6445"/>
    <n v="3969"/>
    <n v="165.375"/>
    <n v="12"/>
    <n v="4"/>
    <n v="8"/>
    <n v="0"/>
    <n v="24"/>
    <n v="0"/>
    <n v="0"/>
    <x v="0"/>
    <s v="NO APLICA"/>
    <n v="34927"/>
    <s v="NO APLICA"/>
    <n v="1"/>
    <s v="09:00 hrs. EQUIPO: Jinan-01, A solicitud de Copower, se inicia mantenimiento preventivo programado.----20:50 Ingresa en linea jinan 01 campo Vonu-----Sale de linea por vector Shift a la hora de evento salida de generacion por MRU"/>
    <m/>
  </r>
  <r>
    <d v="2026-08-03T00:00:00"/>
    <s v="PUTN"/>
    <s v="VONU"/>
    <s v="COPOWER"/>
    <s v="JINAN"/>
    <x v="11"/>
    <n v="600"/>
    <n v="350"/>
    <n v="6343"/>
    <n v="6356"/>
    <n v="3307"/>
    <n v="137.79166666666666"/>
    <n v="13"/>
    <n v="11"/>
    <n v="0"/>
    <n v="0"/>
    <n v="24"/>
    <n v="0"/>
    <n v="0"/>
    <x v="0"/>
    <s v="NO APLICA"/>
    <n v="29102"/>
    <s v="NO APLICA"/>
    <n v="1"/>
    <s v="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"/>
    <m/>
  </r>
  <r>
    <d v="2026-08-03T00:00:00"/>
    <s v="PUTN"/>
    <s v="COSTAYACO"/>
    <s v="COPOWER"/>
    <s v="JINAN"/>
    <x v="12"/>
    <n v="600"/>
    <n v="450"/>
    <n v="4391"/>
    <n v="4399"/>
    <n v="3079"/>
    <n v="128.29166666666666"/>
    <n v="8"/>
    <n v="16"/>
    <n v="0"/>
    <n v="0"/>
    <n v="24"/>
    <n v="0"/>
    <n v="0"/>
    <x v="0"/>
    <s v="NO APLICA"/>
    <n v="27095"/>
    <s v="NO APLICA"/>
    <n v="1"/>
    <s v="07:37 hrs. EQUIPO: Jinan-10, A solicitud del CCM, entra en linea con suministro de gas Costayaco.----19:57 A solicitud del CCM. ingresa equipo CPW10 con gas CYC.----23:36 Sale de linea CPW 10 por naja presion de gas CYC 13 psi"/>
    <m/>
  </r>
  <r>
    <d v="2026-08-03T00:00:00"/>
    <s v="PUTN"/>
    <s v="COSTAYACO"/>
    <s v="COPOWER"/>
    <s v="JINAN"/>
    <x v="13"/>
    <n v="600"/>
    <n v="450"/>
    <n v="564"/>
    <n v="585"/>
    <n v="7733"/>
    <n v="322.20833333333331"/>
    <n v="21"/>
    <n v="3"/>
    <n v="0"/>
    <n v="0"/>
    <n v="24"/>
    <n v="0"/>
    <n v="0"/>
    <x v="0"/>
    <s v="NO APLICA"/>
    <n v="68050"/>
    <s v="NO APLICA"/>
    <n v="1"/>
    <s v="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"/>
    <m/>
  </r>
  <r>
    <d v="2026-08-03T00:00:00"/>
    <s v="PUTN"/>
    <s v="COSTAYACO"/>
    <s v="COPOWER"/>
    <s v="JINAN"/>
    <x v="14"/>
    <n v="600"/>
    <n v="450"/>
    <n v="651"/>
    <n v="653"/>
    <n v="712"/>
    <n v="29.666666666666668"/>
    <n v="2"/>
    <n v="22"/>
    <n v="0"/>
    <n v="0"/>
    <n v="24"/>
    <n v="0"/>
    <n v="0"/>
    <x v="0"/>
    <s v="NO APLICA"/>
    <n v="6266"/>
    <s v="NO APLICA"/>
    <n v="1"/>
    <s v="22:47 Sale de linea CPW12 por baja presion de gas CYC15 psi"/>
    <m/>
  </r>
  <r>
    <d v="2026-08-04T00:00:00"/>
    <s v="PUTN"/>
    <s v="COSTAYACO"/>
    <s v="COPOWER"/>
    <s v="J320"/>
    <x v="0"/>
    <n v="1050"/>
    <n v="700"/>
    <n v="16283"/>
    <n v="16299"/>
    <n v="9540"/>
    <n v="397.5"/>
    <n v="16"/>
    <n v="8"/>
    <n v="0"/>
    <n v="0"/>
    <n v="24"/>
    <n v="0"/>
    <n v="0"/>
    <x v="0"/>
    <s v="NO APLICA"/>
    <n v="83952.000000000015"/>
    <s v="NO APLICA"/>
    <n v="1"/>
    <s v="01:03 ingresa equipo CPW01 alineado con gas MRU,,,,08:41 hrs. Generador CPW01  parada manual a solicitud de CCM  por mantenimiento programado  a la MRU, 15:55  hrs. Equipo ingresa en linea con gas MRU---23:42 Sale de linea equipo CPW01 a peticion de operador de ccm"/>
    <m/>
  </r>
  <r>
    <d v="2026-08-04T00:00:00"/>
    <s v="PUTN"/>
    <s v="COSTAYACO"/>
    <s v="COPOWER"/>
    <s v="J320"/>
    <x v="1"/>
    <n v="1050"/>
    <n v="700"/>
    <n v="14057"/>
    <n v="14064"/>
    <n v="3647"/>
    <n v="151.95833333333334"/>
    <n v="7"/>
    <n v="17"/>
    <n v="0"/>
    <n v="0"/>
    <n v="24"/>
    <n v="0"/>
    <n v="0"/>
    <x v="0"/>
    <s v="NO APLICA"/>
    <n v="32093.599999999999"/>
    <s v="NO APLICA"/>
    <n v="1"/>
    <s v="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"/>
    <m/>
  </r>
  <r>
    <d v="2026-08-04T00:00:00"/>
    <s v="PUTN"/>
    <s v="COSTAYACO"/>
    <s v="COPOWER"/>
    <s v="J320"/>
    <x v="2"/>
    <n v="1050"/>
    <n v="700"/>
    <n v="12530"/>
    <n v="12546"/>
    <n v="9642"/>
    <n v="401.75"/>
    <n v="16"/>
    <n v="8"/>
    <n v="0"/>
    <n v="0"/>
    <n v="24"/>
    <n v="0"/>
    <n v="0"/>
    <x v="0"/>
    <s v="NO APLICA"/>
    <n v="84849.599999999991"/>
    <s v="NO APLICA"/>
    <n v="1"/>
    <s v="0:55 Ingresa equipo CPW03 alineado con gas MRU ---08:41 hrs. Generador CPW03  parada manual a solicitud de CCM  por mantenimiento programado  a la MRU,  15:57   hrs. Equipo ingresa en linea con gas MRU----23:45 Sale de linea equipo CPW03 a peticion de operador de ccm"/>
    <m/>
  </r>
  <r>
    <d v="2026-08-04T00:00:00"/>
    <s v="PUTN"/>
    <s v="COSTAYACO"/>
    <s v="COPOWER"/>
    <s v="J420"/>
    <x v="3"/>
    <n v="1300"/>
    <n v="1040"/>
    <n v="3968"/>
    <n v="3992"/>
    <n v="19289"/>
    <n v="803.70833333333337"/>
    <n v="24"/>
    <n v="0"/>
    <n v="0"/>
    <n v="0"/>
    <n v="24"/>
    <n v="0"/>
    <n v="0"/>
    <x v="0"/>
    <s v="NO APLICA"/>
    <n v="169743.20000000004"/>
    <s v="NO APLICA"/>
    <n v="1"/>
    <m/>
    <m/>
  </r>
  <r>
    <d v="2026-08-04T00:00:00"/>
    <s v="PUTN"/>
    <s v="COSTAYACO"/>
    <s v="COPOWER"/>
    <s v="J420"/>
    <x v="4"/>
    <n v="1300"/>
    <n v="1040"/>
    <n v="3960"/>
    <n v="3984"/>
    <n v="19341"/>
    <n v="805.875"/>
    <n v="24"/>
    <n v="0"/>
    <n v="0"/>
    <n v="0"/>
    <n v="24"/>
    <n v="0"/>
    <n v="0"/>
    <x v="0"/>
    <s v="NO APLICA"/>
    <n v="170200.80000000002"/>
    <s v="NO APLICA"/>
    <n v="1"/>
    <m/>
    <m/>
  </r>
  <r>
    <d v="2026-08-04T00:00:00"/>
    <s v="PUTN"/>
    <s v="COSTAYACO"/>
    <s v="COPOWER"/>
    <s v="J420"/>
    <x v="5"/>
    <n v="1300"/>
    <n v="1040"/>
    <n v="2438"/>
    <n v="2451"/>
    <n v="10036"/>
    <n v="418.16666666666669"/>
    <n v="13"/>
    <n v="11"/>
    <n v="0"/>
    <n v="0"/>
    <n v="24"/>
    <n v="0"/>
    <n v="0"/>
    <x v="0"/>
    <s v="NO APLICA"/>
    <n v="88316.800000000017"/>
    <s v="NO APLICA"/>
    <n v="1"/>
    <s v="03:53 ingresa en linea equipo Cpw06 una vez estabiliza presion de gas MRU ,,,08:38 hrs. Generador CPW06  parada manual a solicitud de CCM  por mantenimiento programado  a la MRU,  16:32  hrs. Equipo ingresa en linea con gas MRU"/>
    <m/>
  </r>
  <r>
    <d v="2026-08-04T00:00:00"/>
    <s v="PUTN"/>
    <s v="COSTAYACO"/>
    <s v="COPOWER"/>
    <s v="J320"/>
    <x v="6"/>
    <n v="1050"/>
    <n v="740"/>
    <n v="1410"/>
    <n v="1426"/>
    <n v="8621"/>
    <n v="359.20833333333331"/>
    <n v="16"/>
    <n v="8"/>
    <n v="0"/>
    <n v="0"/>
    <n v="24"/>
    <n v="0"/>
    <n v="0"/>
    <x v="0"/>
    <s v="NO APLICA"/>
    <n v="75864.800000000003"/>
    <s v="NO APLICA"/>
    <n v="1"/>
    <s v="0:55 Ingresa equipo CPW07 alineado con gas MRU ,,,,08:37hrs. Generador CPW07  parada manual a solicitud de CCM  por mantenimiento programado  a la MRU, 16:05  hrs. Equipo ingresa en linea con gas MRU"/>
    <m/>
  </r>
  <r>
    <d v="2026-08-04T00:00:00"/>
    <s v="PUTN"/>
    <s v="COSTAYACO"/>
    <s v="COPOWER"/>
    <s v="CUMMINS"/>
    <x v="7"/>
    <n v="500"/>
    <n v="360"/>
    <n v="15231"/>
    <n v="15233"/>
    <n v="750"/>
    <n v="31.25"/>
    <n v="2"/>
    <n v="22"/>
    <n v="0"/>
    <n v="0"/>
    <n v="24"/>
    <n v="0"/>
    <n v="0"/>
    <x v="1"/>
    <s v="NO APLICA"/>
    <n v="53"/>
    <s v="NO APLICA"/>
    <n v="1"/>
    <s v="14:10hrs. Generador G101V ingresa a linea a solicitud de CCM  ,  16:19  hrs sale de linea a solicitud de CCM ,,,"/>
    <m/>
  </r>
  <r>
    <d v="2026-08-04T00:00:00"/>
    <s v="PUTN"/>
    <s v="COSTAYACO"/>
    <s v="COPOWER"/>
    <s v="CUMMINS"/>
    <x v="8"/>
    <n v="1000"/>
    <n v="800"/>
    <n v="3537"/>
    <n v="3546"/>
    <n v="6779"/>
    <n v="282.45833333333331"/>
    <n v="9"/>
    <n v="15"/>
    <n v="0"/>
    <n v="0"/>
    <n v="24"/>
    <n v="0"/>
    <n v="0"/>
    <x v="1"/>
    <s v="NO APLICA"/>
    <n v="475"/>
    <s v="NO APLICA"/>
    <n v="1"/>
    <s v="08:34hrs. Generador G102J ingresa a linea a solicitud de CCM por mantenimiento programado  a la MRU, 16:14  hrs sale de linea a solicitud de CCM ,,,"/>
    <m/>
  </r>
  <r>
    <d v="2026-08-04T00:00:00"/>
    <s v="PUTN"/>
    <s v="COSTAYACO"/>
    <s v="COPOWER"/>
    <s v="CUMMINS"/>
    <x v="9"/>
    <n v="1000"/>
    <n v="800"/>
    <n v="2412"/>
    <n v="2420"/>
    <n v="5930"/>
    <n v="247.08333333333334"/>
    <n v="8"/>
    <n v="16"/>
    <n v="0"/>
    <n v="0"/>
    <n v="24"/>
    <n v="0"/>
    <n v="0"/>
    <x v="1"/>
    <s v="NO APLICA"/>
    <n v="415"/>
    <s v="NO APLICA"/>
    <n v="1"/>
    <s v="08:34hrs. Generador G102k ingresa a linea a solicitud de CCM  por mantenimiento programado  a la MRU, 16:14  hrs sale de linea a solicitud de CCM ,,,"/>
    <m/>
  </r>
  <r>
    <d v="2026-08-04T00:00:00"/>
    <s v="PUTN"/>
    <s v="VONU"/>
    <s v="COPOWER"/>
    <s v="JINAN"/>
    <x v="10"/>
    <n v="600"/>
    <n v="350"/>
    <n v="6445"/>
    <n v="6467"/>
    <n v="7692"/>
    <n v="320.5"/>
    <n v="22"/>
    <n v="2"/>
    <n v="0"/>
    <n v="0"/>
    <n v="24"/>
    <n v="0"/>
    <n v="0"/>
    <x v="0"/>
    <s v="NO APLICA"/>
    <n v="67689.60000000002"/>
    <s v="NO APLICA"/>
    <n v="1"/>
    <m/>
    <m/>
  </r>
  <r>
    <d v="2026-08-04T00:00:00"/>
    <s v="PUTN"/>
    <s v="VONU"/>
    <s v="COPOWER"/>
    <s v="JINAN"/>
    <x v="11"/>
    <n v="600"/>
    <n v="350"/>
    <n v="6356"/>
    <n v="6380"/>
    <n v="9175"/>
    <n v="382.29166666666669"/>
    <n v="24"/>
    <n v="0"/>
    <n v="0"/>
    <n v="0"/>
    <n v="24"/>
    <n v="0"/>
    <n v="0"/>
    <x v="0"/>
    <s v="NO APLICA"/>
    <n v="80740.000000000015"/>
    <s v="NO APLICA"/>
    <n v="1"/>
    <m/>
    <m/>
  </r>
  <r>
    <d v="2026-08-04T00:00:00"/>
    <s v="PUTN"/>
    <s v="COSTAYACO"/>
    <s v="COPOWER"/>
    <s v="JINAN"/>
    <x v="12"/>
    <n v="600"/>
    <n v="450"/>
    <n v="4399"/>
    <n v="4417"/>
    <n v="6472"/>
    <n v="269.66666666666669"/>
    <n v="18"/>
    <n v="6"/>
    <n v="0"/>
    <n v="0"/>
    <n v="24"/>
    <n v="0"/>
    <n v="0"/>
    <x v="0"/>
    <s v="NO APLICA"/>
    <n v="56953.600000000006"/>
    <s v="NO APLICA"/>
    <n v="1"/>
    <s v="05:50 Ingres en linea equipo CPW10 con gas CYC,,,"/>
    <m/>
  </r>
  <r>
    <d v="2026-08-04T00:00:00"/>
    <s v="PUTN"/>
    <s v="COSTAYACO"/>
    <s v="COPOWER"/>
    <s v="JINAN"/>
    <x v="13"/>
    <n v="600"/>
    <n v="450"/>
    <n v="585"/>
    <n v="595"/>
    <n v="3362"/>
    <n v="140.08333333333334"/>
    <n v="10"/>
    <n v="14"/>
    <n v="0"/>
    <n v="0"/>
    <n v="24"/>
    <n v="0"/>
    <n v="0"/>
    <x v="0"/>
    <s v="NO APLICA"/>
    <n v="29585.600000000006"/>
    <s v="NO APLICA"/>
    <n v="1"/>
    <s v="7:01:00 p. m.ingresa en linea equipo cpw 11 con gas tratado MRU,,,09:01hrs. Generador CPW011 ingresa a linea a solicitud de CCM con gas CYC. 14:05 Parada manual por ingreso de la MRU----23:37 Sale de linea equipo CPW11 a peticion de operador de ccm"/>
    <m/>
  </r>
  <r>
    <d v="2026-08-04T00:00:00"/>
    <s v="PUTN"/>
    <s v="COSTAYACO"/>
    <s v="COPOWER"/>
    <s v="JINAN"/>
    <x v="14"/>
    <n v="600"/>
    <n v="450"/>
    <n v="653"/>
    <n v="658"/>
    <n v="1657"/>
    <n v="69.041666666666671"/>
    <n v="5"/>
    <n v="19"/>
    <n v="0"/>
    <n v="0"/>
    <n v="24"/>
    <n v="0"/>
    <n v="0"/>
    <x v="0"/>
    <s v="NO APLICA"/>
    <n v="14581.599999999999"/>
    <s v="NO APLICA"/>
    <n v="1"/>
    <s v="09:22hrs. Generador CPW012 ingresa a linea a solicitud de CCM con gas CYC. 14:07 Parada manual por ingreso de la MRU,,,"/>
    <m/>
  </r>
  <r>
    <d v="2026-08-05T00:00:00"/>
    <s v="PUTN"/>
    <s v="COSTAYACO"/>
    <s v="COPOWER"/>
    <s v="J320"/>
    <x v="0"/>
    <n v="1050"/>
    <n v="700"/>
    <n v="16299"/>
    <n v="16304"/>
    <n v="2743"/>
    <n v="114.29166666666667"/>
    <n v="5"/>
    <n v="19"/>
    <n v="0"/>
    <n v="0"/>
    <n v="24"/>
    <n v="19"/>
    <n v="0"/>
    <x v="0"/>
    <s v="NO APLICA"/>
    <n v="24138"/>
    <s v="NO APLICA"/>
    <n v="1"/>
    <s v="01:26 Ingresa en linea equipo CPW-01 con gas tratado MRU peticion operador de CCM_x000a_6:00 Sale de linea equipo cpw-01 a peticion del operador de ccm"/>
    <m/>
  </r>
  <r>
    <d v="2026-08-05T00:00:00"/>
    <s v="PUTN"/>
    <s v="COSTAYACO"/>
    <s v="COPOWER"/>
    <s v="J320"/>
    <x v="1"/>
    <n v="1050"/>
    <n v="700"/>
    <n v="14064"/>
    <n v="14071"/>
    <n v="4107"/>
    <n v="171.125"/>
    <n v="7"/>
    <n v="17"/>
    <n v="0"/>
    <n v="0"/>
    <n v="24"/>
    <n v="17"/>
    <n v="0"/>
    <x v="0"/>
    <s v="NO APLICA"/>
    <n v="36142"/>
    <s v="NO APLICA"/>
    <n v="1"/>
    <s v="01:48 Ingresa equipo cpw-02 con gas MQT para controlar presion  177 psi_x000a_3:37 Sale de linea el equipo cpw-02 a peticion del operador de ccm_x000a_15:47 a solicitud de ccm ingresa en linea equipo CPW02, alineado con gas MRU. 16:48 sale de linea por solicitud de ccm, a causa salida sistema de inyección._x000a_ 20:29 hrs. Equipo CPW02. A solicitud del CCM, entra en linea con suministro de gas Moqueta. A las 23:15 pasa a operar con gas tratado."/>
    <m/>
  </r>
  <r>
    <d v="2026-08-05T00:00:00"/>
    <s v="PUTN"/>
    <s v="COSTAYACO"/>
    <s v="COPOWER"/>
    <s v="J320"/>
    <x v="2"/>
    <n v="1050"/>
    <n v="700"/>
    <n v="12546"/>
    <n v="12564"/>
    <n v="10992"/>
    <n v="458"/>
    <n v="18"/>
    <n v="6"/>
    <n v="0"/>
    <n v="0"/>
    <n v="24"/>
    <n v="6"/>
    <n v="0"/>
    <x v="0"/>
    <s v="NO APLICA"/>
    <n v="96730"/>
    <s v="NO APLICA"/>
    <n v="1"/>
    <s v="2:55 Ingresa equipo cpw-03 con gas MRU a petion del operador de ccm_x000a_20:04 hrs. EQUIPO: CPW03, 06, 07 &amp; 11, FDL por apagado de la MRU. Ingresa a als 23:10 hrs."/>
    <m/>
  </r>
  <r>
    <d v="2026-08-05T00:00:00"/>
    <s v="PUTN"/>
    <s v="COSTAYACO"/>
    <s v="COPOWER"/>
    <s v="J420"/>
    <x v="3"/>
    <n v="1300"/>
    <n v="1040"/>
    <n v="3992"/>
    <n v="4016"/>
    <n v="18426"/>
    <n v="767.75"/>
    <n v="24"/>
    <n v="0"/>
    <n v="0"/>
    <n v="0"/>
    <n v="24"/>
    <n v="0"/>
    <n v="0"/>
    <x v="0"/>
    <s v="NO APLICA"/>
    <n v="162149"/>
    <s v="NO APLICA"/>
    <n v="1"/>
    <m/>
    <m/>
  </r>
  <r>
    <d v="2026-08-05T00:00:00"/>
    <s v="PUTN"/>
    <s v="COSTAYACO"/>
    <s v="COPOWER"/>
    <s v="J420"/>
    <x v="4"/>
    <n v="1300"/>
    <n v="1040"/>
    <n v="3984"/>
    <n v="4008"/>
    <n v="18357"/>
    <n v="764.875"/>
    <n v="24"/>
    <n v="0"/>
    <n v="0"/>
    <n v="0"/>
    <n v="24"/>
    <n v="0"/>
    <n v="0"/>
    <x v="0"/>
    <s v="NO APLICA"/>
    <n v="161542"/>
    <s v="NO APLICA"/>
    <n v="1"/>
    <m/>
    <m/>
  </r>
  <r>
    <d v="2026-08-05T00:00:00"/>
    <s v="PUTN"/>
    <s v="COSTAYACO"/>
    <s v="COPOWER"/>
    <s v="J420"/>
    <x v="5"/>
    <n v="1300"/>
    <n v="1040"/>
    <n v="2451"/>
    <n v="2471"/>
    <n v="15618"/>
    <n v="650.75"/>
    <n v="20"/>
    <n v="4"/>
    <n v="0"/>
    <n v="0"/>
    <n v="24"/>
    <n v="4"/>
    <n v="0"/>
    <x v="0"/>
    <s v="NO APLICA"/>
    <n v="137438"/>
    <s v="NO APLICA"/>
    <n v="1"/>
    <s v="20:04 hrs. EQUIPO: CPW03, 06, 07 &amp; 11, FDL por apagado de la MRU. Ingresa a las 23:43 hrs."/>
    <m/>
  </r>
  <r>
    <d v="2026-08-05T00:00:00"/>
    <s v="PUTN"/>
    <s v="COSTAYACO"/>
    <s v="COPOWER"/>
    <s v="J320"/>
    <x v="6"/>
    <n v="1050"/>
    <n v="740"/>
    <n v="1426"/>
    <n v="1446"/>
    <n v="11687"/>
    <n v="486.95833333333331"/>
    <n v="20"/>
    <n v="4"/>
    <n v="0"/>
    <n v="0"/>
    <n v="24"/>
    <n v="4"/>
    <n v="0"/>
    <x v="0"/>
    <s v="NO APLICA"/>
    <n v="102846"/>
    <s v="NO APLICA"/>
    <n v="1"/>
    <s v="20:04 hrs. EQUIPO: CPW03, 06, 07 &amp; 11, FDL por apagado de la MRU. Ingresa a las 23:46 hrs."/>
    <m/>
  </r>
  <r>
    <d v="2026-08-05T00:00:00"/>
    <s v="PUTN"/>
    <s v="COSTAYACO"/>
    <s v="COPOWER"/>
    <s v="CUMMINS"/>
    <x v="7"/>
    <n v="500"/>
    <n v="360"/>
    <n v="15233"/>
    <n v="15233"/>
    <n v="0"/>
    <n v="0"/>
    <n v="0"/>
    <n v="24"/>
    <n v="0"/>
    <n v="0"/>
    <n v="24"/>
    <n v="0"/>
    <n v="0"/>
    <x v="1"/>
    <s v="NO APLICA"/>
    <n v="37"/>
    <s v="NO APLICA"/>
    <n v="1"/>
    <s v="20:10 hrs. A solicitud del CCM. por salida de la MRU. FDL a las 20:51 hrs."/>
    <m/>
  </r>
  <r>
    <d v="2026-08-05T00:00:00"/>
    <s v="PUTN"/>
    <s v="COSTAYACO"/>
    <s v="COPOWER"/>
    <s v="CUMMINS"/>
    <x v="8"/>
    <n v="1000"/>
    <n v="800"/>
    <n v="3546"/>
    <n v="3547"/>
    <n v="535"/>
    <n v="22.291666666666668"/>
    <n v="1"/>
    <n v="23"/>
    <n v="0"/>
    <n v="0"/>
    <n v="24"/>
    <n v="0"/>
    <n v="0"/>
    <x v="1"/>
    <s v="NO APLICA"/>
    <n v="15"/>
    <s v="NO APLICA"/>
    <n v="1"/>
    <s v="20:25 hrs. A solicitud del CCM. por salida de la MRU. FDL a las 20:49 hrs."/>
    <m/>
  </r>
  <r>
    <d v="2026-08-05T00:00:00"/>
    <s v="PUTN"/>
    <s v="COSTAYACO"/>
    <s v="COPOWER"/>
    <s v="CUMMINS"/>
    <x v="9"/>
    <n v="1000"/>
    <n v="800"/>
    <n v="2420"/>
    <n v="2420"/>
    <n v="273"/>
    <n v="11.375"/>
    <n v="0"/>
    <n v="24"/>
    <n v="0"/>
    <n v="0"/>
    <n v="24"/>
    <n v="0"/>
    <n v="0"/>
    <x v="1"/>
    <s v="NO APLICA"/>
    <n v="0"/>
    <s v="NO APLICA"/>
    <n v="1"/>
    <m/>
    <m/>
  </r>
  <r>
    <d v="2026-08-05T00:00:00"/>
    <s v="PUTN"/>
    <s v="VONU"/>
    <s v="COPOWER"/>
    <s v="JINAN"/>
    <x v="10"/>
    <n v="600"/>
    <n v="350"/>
    <n v="6467"/>
    <n v="6474"/>
    <n v="2437"/>
    <n v="101.54166666666667"/>
    <n v="7"/>
    <n v="17"/>
    <n v="0"/>
    <n v="0"/>
    <n v="24"/>
    <n v="17"/>
    <n v="0"/>
    <x v="0"/>
    <s v="NO APLICA"/>
    <n v="21446"/>
    <s v="NO APLICA"/>
    <n v="1"/>
    <s v="FDL desde la 10:30 del 04-08-2026 // 16:15 A solicitud del CCM, ingresa en linea equipo JINAN01 alineado con gas VONU"/>
    <m/>
  </r>
  <r>
    <d v="2026-08-05T00:00:00"/>
    <s v="PUTN"/>
    <s v="VONU"/>
    <s v="COPOWER"/>
    <s v="JINAN"/>
    <x v="11"/>
    <n v="600"/>
    <n v="350"/>
    <n v="6380"/>
    <n v="6404"/>
    <n v="8373"/>
    <n v="348.875"/>
    <n v="24"/>
    <n v="0"/>
    <n v="0"/>
    <n v="0"/>
    <n v="24"/>
    <n v="0"/>
    <n v="0"/>
    <x v="0"/>
    <s v="NO APLICA"/>
    <n v="73682"/>
    <s v="NO APLICA"/>
    <n v="1"/>
    <m/>
    <m/>
  </r>
  <r>
    <d v="2026-08-05T00:00:00"/>
    <s v="PUTN"/>
    <s v="COSTAYACO"/>
    <s v="COPOWER"/>
    <s v="JINAN"/>
    <x v="12"/>
    <n v="600"/>
    <n v="450"/>
    <n v="4417"/>
    <n v="4420"/>
    <n v="787"/>
    <n v="32.791666666666664"/>
    <n v="3"/>
    <n v="21"/>
    <n v="0"/>
    <n v="0"/>
    <n v="24"/>
    <n v="21"/>
    <n v="0"/>
    <x v="0"/>
    <s v="NO APLICA"/>
    <n v="6926"/>
    <s v="NO APLICA"/>
    <n v="1"/>
    <s v="01:21Sale de linea jinan 10 por peticion de operador CCM_x000a_22:43 hrs. Ingresa en linea a solicitud del CCM equipo Jinan-10. FDL a las 23:48 hrs. "/>
    <m/>
  </r>
  <r>
    <d v="2026-08-05T00:00:00"/>
    <s v="PUTN"/>
    <s v="COSTAYACO"/>
    <s v="COPOWER"/>
    <s v="JINAN"/>
    <x v="13"/>
    <n v="600"/>
    <n v="450"/>
    <n v="595"/>
    <n v="611"/>
    <n v="5705"/>
    <n v="237.70833333333334"/>
    <n v="16"/>
    <n v="8"/>
    <n v="0"/>
    <n v="0"/>
    <n v="24"/>
    <n v="8"/>
    <n v="0"/>
    <x v="0"/>
    <s v="NO APLICA"/>
    <n v="50204"/>
    <s v="NO APLICA"/>
    <n v="1"/>
    <s v="4:00 Ingresa equipo jinan-11 con gas tratado MRU a peticion del operador dr ccm_x000a_20:04 hrs. EQUIPO: CPW03, 06, 07 &amp; 11, FDL por apagado de la MRU"/>
    <m/>
  </r>
  <r>
    <d v="2026-08-05T00:00:00"/>
    <s v="PUTN"/>
    <s v="COSTAYACO"/>
    <s v="COPOWER"/>
    <s v="JINAN"/>
    <x v="14"/>
    <n v="600"/>
    <n v="450"/>
    <n v="658"/>
    <n v="658"/>
    <n v="0"/>
    <n v="0"/>
    <n v="0"/>
    <n v="24"/>
    <n v="0"/>
    <n v="0"/>
    <n v="24"/>
    <n v="24"/>
    <n v="0"/>
    <x v="0"/>
    <s v="NO APLICA"/>
    <n v="0"/>
    <s v="NO APLICA"/>
    <n v="1"/>
    <m/>
    <m/>
  </r>
  <r>
    <d v="2026-08-06T00:00:00"/>
    <s v="PUTN"/>
    <s v="COSTAYACO"/>
    <s v="COPOWER"/>
    <s v="J320"/>
    <x v="0"/>
    <n v="1050"/>
    <n v="700"/>
    <n v="16304"/>
    <n v="16324"/>
    <n v="12332"/>
    <n v="513.83333333333337"/>
    <n v="20"/>
    <n v="4"/>
    <n v="0"/>
    <n v="0"/>
    <n v="24"/>
    <n v="4"/>
    <n v="0"/>
    <x v="0"/>
    <s v="NO APLICA"/>
    <n v="108522"/>
    <s v="NO APLICA"/>
    <n v="1"/>
    <s v="Equipo disponible desde el dia anterio. _x000a_04:28 hrs. En coordinacion con el CCM se hace rotacion de equipos, entra en linea el CPW-01, FDL equipo CPW-02, queda disponible con suministro de gas Moqueta"/>
    <m/>
  </r>
  <r>
    <d v="2026-08-06T00:00:00"/>
    <s v="PUTN"/>
    <s v="COSTAYACO"/>
    <s v="COPOWER"/>
    <s v="J320"/>
    <x v="1"/>
    <n v="1050"/>
    <n v="700"/>
    <n v="14071"/>
    <n v="14092"/>
    <n v="12638"/>
    <n v="526.58333333333337"/>
    <n v="21"/>
    <n v="3"/>
    <n v="0"/>
    <n v="0"/>
    <n v="24"/>
    <n v="3"/>
    <n v="0"/>
    <x v="0"/>
    <s v="NO APLICA"/>
    <n v="111214"/>
    <s v="NO APLICA"/>
    <n v="1"/>
    <s v="04:28 hrs. En coordinacion con el CCM se hace rotacion de equipos, entra en linea el CPW-01, FDL equipo CPW-02, queda disponible con suministro de gas Moqueta_x000a_07:10 En coordinación de CCM ingresa en linea CPW02, alineado con gas MQT como respaldo de carga. por mantenimiento preventivo programado equipo CPW06. 08:32 En coordinación de CCM sale de linea CPW02, por caída de presión de gas MQT 110 psi._x000a_09:38 En coordinación de CCM ingresa en linea Equipo CPW02, alineado con gas MOQUETA"/>
    <m/>
  </r>
  <r>
    <d v="2026-08-06T00:00:00"/>
    <s v="PUTN"/>
    <s v="COSTAYACO"/>
    <s v="COPOWER"/>
    <s v="J320"/>
    <x v="2"/>
    <n v="1050"/>
    <n v="700"/>
    <n v="12564"/>
    <n v="12588"/>
    <n v="14965"/>
    <n v="623.54166666666663"/>
    <n v="24"/>
    <n v="0"/>
    <n v="0"/>
    <n v="0"/>
    <n v="24"/>
    <n v="0"/>
    <n v="0"/>
    <x v="0"/>
    <s v="NO APLICA"/>
    <n v="131692"/>
    <s v="NO APLICA"/>
    <n v="1"/>
    <m/>
    <m/>
  </r>
  <r>
    <d v="2026-08-06T00:00:00"/>
    <s v="PUTN"/>
    <s v="COSTAYACO"/>
    <s v="COPOWER"/>
    <s v="J420"/>
    <x v="3"/>
    <n v="1300"/>
    <n v="1040"/>
    <n v="4016"/>
    <n v="4039"/>
    <n v="18708"/>
    <n v="779.5"/>
    <n v="23"/>
    <n v="1"/>
    <n v="0"/>
    <n v="0"/>
    <n v="24"/>
    <n v="1"/>
    <n v="0"/>
    <x v="0"/>
    <s v="NO APLICA"/>
    <n v="164630"/>
    <s v="NO APLICA"/>
    <n v="1"/>
    <s v="15:07 sale de linea parada manual equipo cpw-04 por baja presión de gas MQT, 15:56 revisión y arranque manual del equipo, ingresa alineado con gas MQT."/>
    <m/>
  </r>
  <r>
    <d v="2026-08-06T00:00:00"/>
    <s v="PUTN"/>
    <s v="COSTAYACO"/>
    <s v="COPOWER"/>
    <s v="J420"/>
    <x v="4"/>
    <n v="1300"/>
    <n v="1040"/>
    <n v="4008"/>
    <n v="4026"/>
    <n v="14592"/>
    <n v="608"/>
    <n v="18"/>
    <n v="6"/>
    <n v="0"/>
    <n v="0"/>
    <n v="24"/>
    <n v="6"/>
    <n v="0"/>
    <x v="0"/>
    <s v="NO APLICA"/>
    <n v="128410"/>
    <s v="NO APLICA"/>
    <n v="1"/>
    <s v="18:12 Horas. FDL eqipo cpw05, a solicitud del CCM, por baja presion en gas Moqueta. 110 PSI."/>
    <m/>
  </r>
  <r>
    <d v="2026-08-06T00:00:00"/>
    <s v="PUTN"/>
    <s v="COSTAYACO"/>
    <s v="COPOWER"/>
    <s v="J420"/>
    <x v="5"/>
    <n v="1300"/>
    <n v="1040"/>
    <n v="2471"/>
    <n v="2487"/>
    <n v="12136"/>
    <n v="505.66666666666669"/>
    <n v="16"/>
    <n v="0"/>
    <n v="8"/>
    <n v="0"/>
    <n v="24"/>
    <n v="0"/>
    <n v="0"/>
    <x v="0"/>
    <s v="NO APLICA"/>
    <n v="106797"/>
    <s v="NO APLICA"/>
    <n v="1"/>
    <s v="07:13 sale de linea equipo CPW06 parada manual por mantenimiento preventivo programado, como respaldo de carga ingresa CPW02. 16:02 ingresa en linea equipo cpw06 alineado con gas MOQUETA, se finaliza mantenimiento preventivo correctivo."/>
    <m/>
  </r>
  <r>
    <d v="2026-08-06T00:00:00"/>
    <s v="PUTN"/>
    <s v="COSTAYACO"/>
    <s v="COPOWER"/>
    <s v="J320"/>
    <x v="6"/>
    <n v="1050"/>
    <n v="740"/>
    <n v="1446"/>
    <n v="1470"/>
    <n v="13880"/>
    <n v="578.33333333333337"/>
    <n v="24"/>
    <n v="0"/>
    <n v="0"/>
    <n v="0"/>
    <n v="24"/>
    <n v="0"/>
    <n v="0"/>
    <x v="0"/>
    <s v="NO APLICA"/>
    <n v="122144"/>
    <s v="NO APLICA"/>
    <n v="1"/>
    <m/>
    <m/>
  </r>
  <r>
    <d v="2026-08-06T00:00:00"/>
    <s v="PUTN"/>
    <s v="COSTAYACO"/>
    <s v="COPOWER"/>
    <s v="CUMMINS"/>
    <x v="7"/>
    <n v="500"/>
    <n v="360"/>
    <n v="15233"/>
    <n v="15233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6T00:00:00"/>
    <s v="PUTN"/>
    <s v="COSTAYACO"/>
    <s v="COPOWER"/>
    <s v="CUMMINS"/>
    <x v="8"/>
    <n v="1000"/>
    <n v="800"/>
    <n v="3547"/>
    <n v="3547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6T00:00:00"/>
    <s v="PUTN"/>
    <s v="COSTAYACO"/>
    <s v="COPOWER"/>
    <s v="CUMMINS"/>
    <x v="9"/>
    <n v="1000"/>
    <n v="800"/>
    <n v="2420"/>
    <n v="2420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6T00:00:00"/>
    <s v="PUTN"/>
    <s v="VONU"/>
    <s v="COPOWER"/>
    <s v="JINAN"/>
    <x v="10"/>
    <n v="600"/>
    <n v="350"/>
    <n v="6474"/>
    <n v="6498"/>
    <n v="8397"/>
    <n v="349.875"/>
    <n v="24"/>
    <n v="0"/>
    <n v="0"/>
    <n v="0"/>
    <n v="24"/>
    <n v="0"/>
    <n v="0"/>
    <x v="0"/>
    <s v="NO APLICA"/>
    <n v="73894"/>
    <s v="NO APLICA"/>
    <n v="1"/>
    <m/>
    <m/>
  </r>
  <r>
    <d v="2026-08-06T00:00:00"/>
    <s v="PUTN"/>
    <s v="VONU"/>
    <s v="COPOWER"/>
    <s v="JINAN"/>
    <x v="11"/>
    <n v="600"/>
    <n v="350"/>
    <n v="6404"/>
    <n v="6428"/>
    <n v="8398"/>
    <n v="349.91666666666669"/>
    <n v="24"/>
    <n v="0"/>
    <n v="0"/>
    <n v="0"/>
    <n v="24"/>
    <n v="0"/>
    <n v="0"/>
    <x v="0"/>
    <s v="NO APLICA"/>
    <n v="73902"/>
    <s v="NO APLICA"/>
    <n v="1"/>
    <m/>
    <m/>
  </r>
  <r>
    <d v="2026-08-06T00:00:00"/>
    <s v="PUTN"/>
    <s v="COSTAYACO"/>
    <s v="COPOWER"/>
    <s v="JINAN"/>
    <x v="12"/>
    <n v="600"/>
    <n v="450"/>
    <n v="4420"/>
    <n v="4420"/>
    <n v="0"/>
    <n v="0"/>
    <n v="0"/>
    <n v="24"/>
    <n v="0"/>
    <n v="0"/>
    <n v="24"/>
    <n v="24"/>
    <n v="0"/>
    <x v="0"/>
    <s v="NO APLICA"/>
    <n v="0"/>
    <s v="NO APLICA"/>
    <n v="1"/>
    <s v="Equipo disponible desde el dia anterior_x000a_Equipo Jinan-10 Disponible por baja presion en gas Costayaco"/>
    <m/>
  </r>
  <r>
    <d v="2026-08-06T00:00:00"/>
    <s v="PUTN"/>
    <s v="COSTAYACO"/>
    <s v="COPOWER"/>
    <s v="JINAN"/>
    <x v="13"/>
    <n v="600"/>
    <n v="450"/>
    <n v="611"/>
    <n v="623"/>
    <n v="4672"/>
    <n v="194.66666666666666"/>
    <n v="12"/>
    <n v="12"/>
    <n v="0"/>
    <n v="0"/>
    <n v="24"/>
    <n v="12"/>
    <n v="0"/>
    <x v="0"/>
    <s v="NO APLICA"/>
    <n v="41114"/>
    <s v="NO APLICA"/>
    <n v="1"/>
    <s v="Equipo disponible desde el dia anterior_x000a_11:32 A solicitud de CCM ingresa en linea equipo CPW011, alineado con gas tratado MRU."/>
    <m/>
  </r>
  <r>
    <d v="2026-08-06T00:00:00"/>
    <s v="PUTN"/>
    <s v="COSTAYACO"/>
    <s v="COPOWER"/>
    <s v="JINAN"/>
    <x v="14"/>
    <n v="600"/>
    <n v="450"/>
    <n v="658"/>
    <n v="658"/>
    <n v="0"/>
    <n v="0"/>
    <n v="0"/>
    <n v="24"/>
    <n v="0"/>
    <n v="0"/>
    <n v="24"/>
    <n v="24"/>
    <n v="0"/>
    <x v="0"/>
    <s v="NO APLICA"/>
    <n v="0"/>
    <s v="NO APLICA"/>
    <n v="1"/>
    <s v="Equipo disponible desde el dia anterior_x000a_Equipo Jinan-12 Disponible por bajo suministro en gas tratado MRU"/>
    <m/>
  </r>
  <r>
    <d v="2026-08-07T00:00:00"/>
    <s v="PUTN"/>
    <s v="COSTAYACO"/>
    <s v="COPOWER"/>
    <s v="J320"/>
    <x v="0"/>
    <n v="1050"/>
    <n v="700"/>
    <n v="16324"/>
    <n v="16341"/>
    <n v="10328"/>
    <n v="430.33333333333331"/>
    <n v="17"/>
    <n v="7"/>
    <n v="0"/>
    <n v="0"/>
    <n v="24"/>
    <n v="7"/>
    <n v="0"/>
    <x v="0"/>
    <s v="NO APLICA"/>
    <n v="90886"/>
    <s v="NO APLICA"/>
    <n v="1"/>
    <s v="06:40 A solocitud de CCM Sale de linea equipo CPW01 por apagado de MRU por cambio de filtro  presión aceite Quincy en 78 psig, a 4 del disparo. 09.35 A solicitud de CCM, ingresa en linea equipo CPW-01 alineado con gas MRU._x000a_14:23 sale de linea equipo CPW01 por sd alta temperatura en cilindro 19, 14:49 equipo ingres en linea alineado con gas MRU._x000a_17:17 hrs. FDL Equipo CPW01, por apagado de la MRU, ingresa a las 20:21 hrs"/>
    <m/>
  </r>
  <r>
    <d v="2026-08-07T00:00:00"/>
    <s v="PUTN"/>
    <s v="COSTAYACO"/>
    <s v="COPOWER"/>
    <s v="J320"/>
    <x v="1"/>
    <n v="1050"/>
    <n v="700"/>
    <n v="14092"/>
    <n v="14110"/>
    <n v="11921"/>
    <n v="496.70833333333331"/>
    <n v="18"/>
    <n v="6"/>
    <n v="0"/>
    <n v="0"/>
    <n v="24"/>
    <n v="6"/>
    <n v="0"/>
    <x v="0"/>
    <s v="NO APLICA"/>
    <n v="104905"/>
    <s v="NO APLICA"/>
    <n v="1"/>
    <s v="06:41 A solocitud de CCM Sale de linea equipo CPW02 por apagado de MRU por cambio de filtro  presión aceite Quincy en 78 psig, a 4 del disparo._x000a_09:32 A solicitud de CCM, ingresa en linea equipo CPW-02 alineado con gas MRU._x000a_17:17 hrs. FDL Equipo CPW02, por apagado de la MRU, ingresa a las 20:18 hrs"/>
    <m/>
  </r>
  <r>
    <d v="2026-08-07T00:00:00"/>
    <s v="PUTN"/>
    <s v="COSTAYACO"/>
    <s v="COPOWER"/>
    <s v="J320"/>
    <x v="2"/>
    <n v="1050"/>
    <n v="700"/>
    <n v="12588"/>
    <n v="12599"/>
    <n v="6904"/>
    <n v="287.66666666666669"/>
    <n v="11"/>
    <n v="6"/>
    <n v="7"/>
    <n v="0"/>
    <n v="24"/>
    <n v="6"/>
    <n v="0"/>
    <x v="0"/>
    <s v="NO APLICA"/>
    <n v="60755"/>
    <s v="NO APLICA"/>
    <n v="1"/>
    <s v="06:43 A solocitud de CCM Sale de linea equipo CPW03 por apagado de MRU por cambio de filtro  presión aceite Quincy en 78 psig, a 4 del disparo._x000a_17:03 Equipo CPW03  ingresa en linea se finalizo mantenimiento preventivo, 17:17 sale de linea por protección apagado de MRU._x000a_17:17 hrs. FDL Equipo CPW03, por apagado de la MRU, ingresa a las 20:14 hrs"/>
    <m/>
  </r>
  <r>
    <d v="2026-08-07T00:00:00"/>
    <s v="PUTN"/>
    <s v="COSTAYACO"/>
    <s v="COPOWER"/>
    <s v="J420"/>
    <x v="3"/>
    <n v="1300"/>
    <n v="1040"/>
    <n v="4039"/>
    <n v="4063"/>
    <n v="17671"/>
    <n v="736.29166666666663"/>
    <n v="24"/>
    <n v="0"/>
    <n v="0"/>
    <n v="0"/>
    <n v="24"/>
    <n v="0"/>
    <n v="0"/>
    <x v="0"/>
    <s v="NO APLICA"/>
    <n v="155505"/>
    <s v="NO APLICA"/>
    <n v="1"/>
    <s v="12:48 Sale de linea equipo CPW04 por detonación, 12:58 Equipo ingresa en linea."/>
    <m/>
  </r>
  <r>
    <d v="2026-08-07T00:00:00"/>
    <s v="PUTN"/>
    <s v="COSTAYACO"/>
    <s v="COPOWER"/>
    <s v="J420"/>
    <x v="4"/>
    <n v="1300"/>
    <n v="1040"/>
    <n v="4026"/>
    <n v="4044"/>
    <n v="13100"/>
    <n v="545.83333333333337"/>
    <n v="18"/>
    <n v="6"/>
    <n v="0"/>
    <n v="0"/>
    <n v="24"/>
    <n v="6"/>
    <n v="0"/>
    <x v="0"/>
    <s v="NO APLICA"/>
    <n v="115280"/>
    <s v="NO APLICA"/>
    <n v="1"/>
    <s v="01:00 hrs. EQUIPO: CPW05, Ingresa en linea a solicitud del CCM, por estabilidad en gas Moqueta 160 PSI._x000a_03:50 EQUIPO: CPW05, FDL,  a solicitud del CCM, por baja presion en gas Moqueta 105 PSI._x000a_09:09 A solicitud de CCM, ingresa en linea equipo CPW-05 alineado con gas MQT"/>
    <m/>
  </r>
  <r>
    <d v="2026-08-07T00:00:00"/>
    <s v="PUTN"/>
    <s v="COSTAYACO"/>
    <s v="COPOWER"/>
    <s v="J420"/>
    <x v="5"/>
    <n v="1300"/>
    <n v="1040"/>
    <n v="2487"/>
    <n v="2506"/>
    <n v="14705"/>
    <n v="612.70833333333337"/>
    <n v="19"/>
    <n v="5"/>
    <n v="0"/>
    <n v="0"/>
    <n v="24"/>
    <n v="5"/>
    <n v="0"/>
    <x v="0"/>
    <s v="NO APLICA"/>
    <n v="129404"/>
    <s v="NO APLICA"/>
    <n v="1"/>
    <s v="11:34 Sale de linea equipo CPW06 parada manual, por baja presión de gas MQT._x000a_14:01 A solicitud de CCM, ingresa en linea equipo CPW-06 alineado con gas MQT._x000a_18:12 hrs. FDL Equipo CPW06, por baja presion de gas Moqueta 100 PSI, ingresa en linea a las 20:47 hrs"/>
    <m/>
  </r>
  <r>
    <d v="2026-08-07T00:00:00"/>
    <s v="PUTN"/>
    <s v="COSTAYACO"/>
    <s v="COPOWER"/>
    <s v="J320"/>
    <x v="6"/>
    <n v="1050"/>
    <n v="740"/>
    <n v="1470"/>
    <n v="1488"/>
    <n v="11066"/>
    <n v="461.08333333333331"/>
    <n v="18"/>
    <n v="6"/>
    <n v="0"/>
    <n v="0"/>
    <n v="24"/>
    <n v="6"/>
    <n v="0"/>
    <x v="0"/>
    <s v="NO APLICA"/>
    <n v="97381"/>
    <s v="NO APLICA"/>
    <n v="1"/>
    <s v="06:46 A solocitud de CCM Sale de linea equipo CPW07 por apagado de MRU por cambio de filtro  presión aceite Quincy en 78 psig, a 4 del disparo._x000a_09:29 A solicitud de CCM, ingresa en linea equipo CPW-07 alineado con gas MRU._x000a_10:35 Sale de linea equipo CPW07 por detonación, se informo a ccm antes de salir de linea que equipos gas MRU y gas MQT, presentan altas vibraciones KNOCK. 10:50 equipo ingresa en linea con gas MRU._x000a_17:17 hrs. FDL Equipo CPW07, por apagado de la MRU, ingresa a las 20:15 hrs"/>
    <m/>
  </r>
  <r>
    <d v="2026-08-07T00:00:00"/>
    <s v="PUTN"/>
    <s v="COSTAYACO"/>
    <s v="COPOWER"/>
    <s v="CUMMINS"/>
    <x v="7"/>
    <n v="500"/>
    <n v="360"/>
    <n v="15233"/>
    <n v="15235"/>
    <n v="925"/>
    <n v="38.541666666666664"/>
    <n v="2"/>
    <n v="22"/>
    <n v="0"/>
    <n v="0"/>
    <n v="24"/>
    <n v="0"/>
    <n v="0"/>
    <x v="1"/>
    <s v="NO APLICA"/>
    <n v="65"/>
    <s v="NO APLICA"/>
    <n v="1"/>
    <s v="17:55 Ingresa en linea equipo Diesel G101V como respaldo de carga, por salida equipos por apagado MRU. FDL a las 20:45 hrs."/>
    <m/>
  </r>
  <r>
    <d v="2026-08-07T00:00:00"/>
    <s v="PUTN"/>
    <s v="COSTAYACO"/>
    <s v="COPOWER"/>
    <s v="CUMMINS"/>
    <x v="8"/>
    <n v="1000"/>
    <n v="800"/>
    <n v="3547"/>
    <n v="3554"/>
    <n v="5432"/>
    <n v="226.33333333333334"/>
    <n v="7"/>
    <n v="17"/>
    <n v="0"/>
    <n v="0"/>
    <n v="24"/>
    <n v="0"/>
    <n v="0"/>
    <x v="1"/>
    <s v="NO APLICA"/>
    <n v="380"/>
    <s v="NO APLICA"/>
    <n v="1"/>
    <s v="06:34 A solocitud de CCM Ingresa en linea equipos DIESEL G102J, como respaldo de carga._x000a_10:24  A solicitud de CCM sale de linea parada manual equipo Diesel G102J._x000a_17:30 Ingresa en linea equipo Diesel G102J como respaldo de carga. por salida equipos por apagado MRU. FDL a als 20:50 hrs"/>
    <m/>
  </r>
  <r>
    <d v="2026-08-07T00:00:00"/>
    <s v="PUTN"/>
    <s v="COSTAYACO"/>
    <s v="COPOWER"/>
    <s v="CUMMINS"/>
    <x v="9"/>
    <n v="1000"/>
    <n v="800"/>
    <n v="2420"/>
    <n v="2428"/>
    <n v="5300"/>
    <n v="220.83333333333334"/>
    <n v="8"/>
    <n v="16"/>
    <n v="0"/>
    <n v="0"/>
    <n v="24"/>
    <n v="0"/>
    <n v="0"/>
    <x v="1"/>
    <s v="NO APLICA"/>
    <n v="371"/>
    <s v="NO APLICA"/>
    <n v="1"/>
    <s v="06:34  A solocitud de CCM Ingresa en linea equipos DIESEL G102K como respaldo de carga._x000a_10:26  A solicitud de CCM sale de linea parada manual equipo Diesel G102K._x000a_17:41 Ingresa en linea equipo Diesel G102K como respaldo de carga, por salida equipos por apagado MRU. FDL a las 20:52 hrs"/>
    <m/>
  </r>
  <r>
    <d v="2026-08-07T00:00:00"/>
    <s v="PUTN"/>
    <s v="VONU"/>
    <s v="COPOWER"/>
    <s v="JINAN"/>
    <x v="10"/>
    <n v="600"/>
    <n v="350"/>
    <n v="6498"/>
    <n v="6522"/>
    <n v="8908"/>
    <n v="371.16666666666669"/>
    <n v="24"/>
    <n v="0"/>
    <n v="0"/>
    <n v="0"/>
    <n v="24"/>
    <n v="0"/>
    <n v="0"/>
    <x v="0"/>
    <s v="NO APLICA"/>
    <n v="78390"/>
    <s v="NO APLICA"/>
    <n v="1"/>
    <m/>
    <m/>
  </r>
  <r>
    <d v="2026-08-07T00:00:00"/>
    <s v="PUTN"/>
    <s v="VONU"/>
    <s v="COPOWER"/>
    <s v="JINAN"/>
    <x v="11"/>
    <n v="600"/>
    <n v="350"/>
    <n v="6428"/>
    <n v="6452"/>
    <n v="8271"/>
    <n v="344.625"/>
    <n v="24"/>
    <n v="0"/>
    <n v="0"/>
    <n v="0"/>
    <n v="24"/>
    <n v="0"/>
    <n v="0"/>
    <x v="0"/>
    <s v="NO APLICA"/>
    <n v="72785"/>
    <s v="NO APLICA"/>
    <n v="1"/>
    <m/>
    <m/>
  </r>
  <r>
    <d v="2026-08-07T00:00:00"/>
    <s v="PUTN"/>
    <s v="COSTAYACO"/>
    <s v="COPOWER"/>
    <s v="JINAN"/>
    <x v="12"/>
    <n v="600"/>
    <n v="450"/>
    <n v="4420"/>
    <n v="4435"/>
    <n v="5373"/>
    <n v="223.875"/>
    <n v="15"/>
    <n v="9"/>
    <n v="0"/>
    <n v="0"/>
    <n v="24"/>
    <n v="9"/>
    <n v="0"/>
    <x v="0"/>
    <s v="NO APLICA"/>
    <n v="47282"/>
    <s v="NO APLICA"/>
    <n v="1"/>
    <s v="06:54 A solocitud de CCM Ingresa en linea equipos CPW10, alineado con gas Costayaco._x000a_09:10 A solicitud de CCM sale de linea parada manual equipo CPW10, en stand by disponible._x000a_10:52 A solicitud de CCM, ingresa en linea equipo CPW-10 alineado con gas CYC."/>
    <m/>
  </r>
  <r>
    <d v="2026-08-07T00:00:00"/>
    <s v="PUTN"/>
    <s v="COSTAYACO"/>
    <s v="COPOWER"/>
    <s v="JINAN"/>
    <x v="13"/>
    <n v="600"/>
    <n v="450"/>
    <n v="623"/>
    <n v="637"/>
    <n v="5448"/>
    <n v="227"/>
    <n v="14"/>
    <n v="10"/>
    <n v="0"/>
    <n v="0"/>
    <n v="24"/>
    <n v="10"/>
    <n v="0"/>
    <x v="0"/>
    <s v="NO APLICA"/>
    <n v="47942"/>
    <s v="NO APLICA"/>
    <n v="1"/>
    <s v="06:47 A solocitud de CCM Sale de linea equipo CPW11 por apagado de MRU por cambio de filtro  presión aceite Quincy en 78 psig, a 4 del disparo. _x000a_10:12  A solicitud de CCM, ingresa en linea equipo CPW-11 alineado con gas MRU._x000a_17:17 salen de linea Equipo CPW011 por protección apagado de MRU."/>
    <m/>
  </r>
  <r>
    <d v="2026-08-07T00:00:00"/>
    <s v="PUTN"/>
    <s v="COSTAYACO"/>
    <s v="COPOWER"/>
    <s v="JINAN"/>
    <x v="14"/>
    <n v="600"/>
    <n v="450"/>
    <n v="658"/>
    <n v="666"/>
    <n v="2955"/>
    <n v="123.125"/>
    <n v="8"/>
    <n v="16"/>
    <n v="0"/>
    <n v="0"/>
    <n v="24"/>
    <n v="16"/>
    <n v="0"/>
    <x v="0"/>
    <s v="NO APLICA"/>
    <n v="26004"/>
    <s v="NO APLICA"/>
    <n v="1"/>
    <s v="06:58 A solocitud de CCM Ingresa en linea equipos CPW12, alineado con gas Costayaco._x000a_08:17 A solicitud de CCM sale de linea parada manual equipo CPW12._x000a_10:13  A solicitud de CCM, ingresa en linea equipo CPW-12 alineado con gas MRU._x000a_12:48 sale de linea equipo CPW12 por sobrecarga del generador al momento de la salida de linea equipo CPW04: 12:56 Equipo ingresa en linea._x000a_17:02 sale de linea equipo CPW12 parada manual por rotación de equipo, ingresa en linea CPW03."/>
    <m/>
  </r>
  <r>
    <d v="2026-08-08T00:00:00"/>
    <s v="PUTN"/>
    <s v="COSTAYACO"/>
    <s v="COPOWER"/>
    <s v="J320"/>
    <x v="0"/>
    <n v="1050"/>
    <n v="700"/>
    <n v="16341"/>
    <n v="16365"/>
    <n v="15481"/>
    <n v="645.04166666666663"/>
    <n v="24"/>
    <n v="0"/>
    <n v="0"/>
    <n v="0"/>
    <n v="24"/>
    <n v="0"/>
    <n v="0"/>
    <x v="0"/>
    <s v="NO APLICA"/>
    <n v="136233"/>
    <s v="NO APLICA"/>
    <n v="1"/>
    <s v="15:41 CPW-01 sale de linea por falla de comunicación CAN"/>
    <m/>
  </r>
  <r>
    <d v="2026-08-08T00:00:00"/>
    <s v="PUTN"/>
    <s v="COSTAYACO"/>
    <s v="COPOWER"/>
    <s v="J320"/>
    <x v="1"/>
    <n v="1050"/>
    <n v="700"/>
    <n v="14110"/>
    <n v="14134"/>
    <n v="15663"/>
    <n v="652.625"/>
    <n v="24"/>
    <n v="0"/>
    <n v="0"/>
    <n v="0"/>
    <n v="24"/>
    <n v="0"/>
    <n v="0"/>
    <x v="0"/>
    <s v="NO APLICA"/>
    <n v="137834"/>
    <s v="NO APLICA"/>
    <n v="1"/>
    <m/>
    <m/>
  </r>
  <r>
    <d v="2026-08-08T00:00:00"/>
    <s v="PUTN"/>
    <s v="COSTAYACO"/>
    <s v="COPOWER"/>
    <s v="J320"/>
    <x v="2"/>
    <n v="1050"/>
    <n v="700"/>
    <n v="12599"/>
    <n v="12623"/>
    <n v="15657"/>
    <n v="652.375"/>
    <n v="24"/>
    <n v="0"/>
    <n v="0"/>
    <n v="0"/>
    <n v="24"/>
    <n v="0"/>
    <n v="0"/>
    <x v="0"/>
    <s v="NO APLICA"/>
    <n v="137782"/>
    <s v="NO APLICA"/>
    <n v="1"/>
    <m/>
    <m/>
  </r>
  <r>
    <d v="2026-08-08T00:00:00"/>
    <s v="PUTN"/>
    <s v="COSTAYACO"/>
    <s v="COPOWER"/>
    <s v="J420"/>
    <x v="3"/>
    <n v="1300"/>
    <n v="1040"/>
    <n v="4063"/>
    <n v="4083"/>
    <n v="15780"/>
    <n v="657.5"/>
    <n v="20"/>
    <n v="4"/>
    <n v="0"/>
    <n v="0"/>
    <n v="24"/>
    <n v="4"/>
    <n v="0"/>
    <x v="0"/>
    <s v="NO APLICA"/>
    <n v="138864"/>
    <s v="NO APLICA"/>
    <n v="1"/>
    <s v="15:39 CPW-04 sale de linea a petición de CCM por baja de presión gas MQT 119psi_x000a_17:16 hrs. EQUIPO: CPW-04. A solicitud del CCM, entra en linea por estabilidad en presión gas Moqueta"/>
    <m/>
  </r>
  <r>
    <d v="2026-08-08T00:00:00"/>
    <s v="PUTN"/>
    <s v="COSTAYACO"/>
    <s v="COPOWER"/>
    <s v="J420"/>
    <x v="4"/>
    <n v="1300"/>
    <n v="1040"/>
    <n v="4044"/>
    <n v="4068"/>
    <n v="18971"/>
    <n v="790.45833333333337"/>
    <n v="24"/>
    <n v="0"/>
    <n v="0"/>
    <n v="0"/>
    <n v="24"/>
    <n v="0"/>
    <n v="0"/>
    <x v="0"/>
    <s v="NO APLICA"/>
    <n v="166945"/>
    <s v="NO APLICA"/>
    <n v="1"/>
    <m/>
    <m/>
  </r>
  <r>
    <d v="2026-08-08T00:00:00"/>
    <s v="PUTN"/>
    <s v="COSTAYACO"/>
    <s v="COPOWER"/>
    <s v="J420"/>
    <x v="5"/>
    <n v="1300"/>
    <n v="1040"/>
    <n v="2506"/>
    <n v="2522"/>
    <n v="11825"/>
    <n v="492.70833333333331"/>
    <n v="16"/>
    <n v="8"/>
    <n v="0"/>
    <n v="0"/>
    <n v="24"/>
    <n v="8"/>
    <n v="0"/>
    <x v="0"/>
    <s v="NO APLICA"/>
    <n v="104060"/>
    <s v="NO APLICA"/>
    <n v="1"/>
    <s v="02:42 hrs. EQUIPO: CPW-06, A solicitud del CCM, FDL para recuperar presión de gas Moqueta 105 PSI_x000a_07:50 CPW-06 ingresa en linea con 800KW a peticion de CCM por recuperación de presión gas MQT 177psi_x000a_09:50 CPW-06 sale de linea a petición de CCM por baja de presión gas MQT 119psi_x000a_ 13:20 CPW-06 ingresa en linea con 800KW a petición de CCM por recuperación de presión gas MQT 180psi"/>
    <m/>
  </r>
  <r>
    <d v="2026-08-08T00:00:00"/>
    <s v="PUTN"/>
    <s v="COSTAYACO"/>
    <s v="COPOWER"/>
    <s v="J320"/>
    <x v="6"/>
    <n v="1050"/>
    <n v="740"/>
    <n v="1488"/>
    <n v="1512"/>
    <n v="14296"/>
    <n v="595.66666666666663"/>
    <n v="24"/>
    <n v="0"/>
    <n v="0"/>
    <n v="0"/>
    <n v="24"/>
    <n v="0"/>
    <n v="0"/>
    <x v="0"/>
    <s v="NO APLICA"/>
    <n v="125805"/>
    <s v="NO APLICA"/>
    <n v="1"/>
    <m/>
    <m/>
  </r>
  <r>
    <d v="2026-08-08T00:00:00"/>
    <s v="PUTN"/>
    <s v="COSTAYACO"/>
    <s v="COPOWER"/>
    <s v="CUMMINS"/>
    <x v="7"/>
    <n v="500"/>
    <n v="360"/>
    <n v="15235"/>
    <n v="15235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8T00:00:00"/>
    <s v="PUTN"/>
    <s v="COSTAYACO"/>
    <s v="COPOWER"/>
    <s v="CUMMINS"/>
    <x v="8"/>
    <n v="1000"/>
    <n v="800"/>
    <n v="3554"/>
    <n v="3554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8T00:00:00"/>
    <s v="PUTN"/>
    <s v="COSTAYACO"/>
    <s v="COPOWER"/>
    <s v="CUMMINS"/>
    <x v="9"/>
    <n v="1000"/>
    <n v="800"/>
    <n v="2428"/>
    <n v="242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8T00:00:00"/>
    <s v="PUTN"/>
    <s v="VONU"/>
    <s v="COPOWER"/>
    <s v="JINAN"/>
    <x v="10"/>
    <n v="600"/>
    <n v="350"/>
    <n v="6522"/>
    <n v="6546"/>
    <n v="8910"/>
    <n v="371.25"/>
    <n v="24"/>
    <n v="0"/>
    <n v="0"/>
    <n v="0"/>
    <n v="24"/>
    <n v="0"/>
    <n v="0"/>
    <x v="0"/>
    <s v="NO APLICA"/>
    <n v="78408"/>
    <s v="NO APLICA"/>
    <n v="1"/>
    <m/>
    <m/>
  </r>
  <r>
    <d v="2026-08-08T00:00:00"/>
    <s v="PUTN"/>
    <s v="VONU"/>
    <s v="COPOWER"/>
    <s v="JINAN"/>
    <x v="11"/>
    <n v="600"/>
    <n v="350"/>
    <n v="6452"/>
    <n v="6476"/>
    <n v="8395"/>
    <n v="349.79166666666669"/>
    <n v="24"/>
    <n v="0"/>
    <n v="0"/>
    <n v="0"/>
    <n v="24"/>
    <n v="0"/>
    <n v="0"/>
    <x v="0"/>
    <s v="NO APLICA"/>
    <n v="73876"/>
    <s v="NO APLICA"/>
    <n v="1"/>
    <m/>
    <m/>
  </r>
  <r>
    <d v="2026-08-08T00:00:00"/>
    <s v="PUTN"/>
    <s v="COSTAYACO"/>
    <s v="COPOWER"/>
    <s v="JINAN"/>
    <x v="12"/>
    <n v="600"/>
    <n v="450"/>
    <n v="4435"/>
    <n v="4459"/>
    <n v="9034"/>
    <n v="376.41666666666669"/>
    <n v="24"/>
    <n v="0"/>
    <n v="0"/>
    <n v="0"/>
    <n v="24"/>
    <n v="0"/>
    <n v="0"/>
    <x v="0"/>
    <s v="NO APLICA"/>
    <n v="79499"/>
    <s v="NO APLICA"/>
    <n v="1"/>
    <m/>
    <m/>
  </r>
  <r>
    <d v="2026-08-08T00:00:00"/>
    <s v="PUTN"/>
    <s v="COSTAYACO"/>
    <s v="COPOWER"/>
    <s v="JINAN"/>
    <x v="13"/>
    <n v="600"/>
    <n v="450"/>
    <n v="637"/>
    <n v="658"/>
    <n v="7908"/>
    <n v="329.5"/>
    <n v="21"/>
    <n v="3"/>
    <n v="0"/>
    <n v="0"/>
    <n v="24"/>
    <n v="3"/>
    <n v="0"/>
    <x v="0"/>
    <s v="NO APLICA"/>
    <n v="69590"/>
    <s v="NO APLICA"/>
    <n v="1"/>
    <s v="Equipo disponible ppr baja presion en suministro de gas_x000a_2:52 hrs. EQUIPO: Jinan-11, A solicitud del CCM, ingresa en linea con suministro de gas tratado."/>
    <m/>
  </r>
  <r>
    <d v="2026-08-08T00:00:00"/>
    <s v="PUTN"/>
    <s v="COSTAYACO"/>
    <s v="COPOWER"/>
    <s v="JINAN"/>
    <x v="14"/>
    <n v="600"/>
    <n v="450"/>
    <n v="666"/>
    <n v="679"/>
    <n v="4735"/>
    <n v="197.29166666666666"/>
    <n v="13"/>
    <n v="11"/>
    <n v="0"/>
    <n v="0"/>
    <n v="24"/>
    <n v="11"/>
    <n v="0"/>
    <x v="0"/>
    <s v="NO APLICA"/>
    <n v="41668"/>
    <s v="NO APLICA"/>
    <n v="1"/>
    <s v="Equipo disponible por baja presion en suministro de gas_x000a_11:23 CPW-12 ingresa en linea a petición de CCM alineado con gas CYC_x000a_15:46 cpw-12 sale de linea por que asume carga por la salida del CPW-01 y sale por alta temperatura de cilindro "/>
    <m/>
  </r>
  <r>
    <d v="2026-08-09T00:00:00"/>
    <s v="PUTN"/>
    <s v="COSTAYACO"/>
    <s v="COPOWER"/>
    <s v="J320"/>
    <x v="0"/>
    <n v="1050"/>
    <n v="700"/>
    <n v="16365"/>
    <n v="16389"/>
    <n v="14946"/>
    <n v="622.75"/>
    <n v="24"/>
    <n v="0"/>
    <n v="0"/>
    <n v="0"/>
    <n v="24"/>
    <n v="0"/>
    <n v="0"/>
    <x v="0"/>
    <s v="NO APLICA"/>
    <n v="131525"/>
    <s v="NO APLICA"/>
    <n v="1"/>
    <m/>
    <m/>
  </r>
  <r>
    <d v="2026-08-09T00:00:00"/>
    <s v="PUTN"/>
    <s v="COSTAYACO"/>
    <s v="COPOWER"/>
    <s v="J320"/>
    <x v="1"/>
    <n v="1050"/>
    <n v="700"/>
    <n v="14134"/>
    <n v="14158"/>
    <n v="14943"/>
    <n v="622.625"/>
    <n v="24"/>
    <n v="0"/>
    <n v="0"/>
    <n v="0"/>
    <n v="24"/>
    <n v="0"/>
    <n v="0"/>
    <x v="0"/>
    <s v="NO APLICA"/>
    <n v="131498"/>
    <s v="NO APLICA"/>
    <n v="1"/>
    <m/>
    <m/>
  </r>
  <r>
    <d v="2026-08-09T00:00:00"/>
    <s v="PUTN"/>
    <s v="COSTAYACO"/>
    <s v="COPOWER"/>
    <s v="J320"/>
    <x v="2"/>
    <n v="1050"/>
    <n v="700"/>
    <n v="12623"/>
    <n v="12647"/>
    <n v="14945"/>
    <n v="622.70833333333337"/>
    <n v="24"/>
    <n v="0"/>
    <n v="0"/>
    <n v="0"/>
    <n v="24"/>
    <n v="0"/>
    <n v="0"/>
    <x v="0"/>
    <s v="NO APLICA"/>
    <n v="131516"/>
    <s v="NO APLICA"/>
    <n v="1"/>
    <m/>
    <m/>
  </r>
  <r>
    <d v="2026-08-09T00:00:00"/>
    <s v="PUTN"/>
    <s v="COSTAYACO"/>
    <s v="COPOWER"/>
    <s v="J420"/>
    <x v="3"/>
    <n v="1300"/>
    <n v="1040"/>
    <n v="4083"/>
    <n v="4107"/>
    <n v="18474"/>
    <n v="769.75"/>
    <n v="24"/>
    <n v="0"/>
    <n v="0"/>
    <n v="0"/>
    <n v="24"/>
    <n v="0"/>
    <n v="0"/>
    <x v="0"/>
    <s v="NO APLICA"/>
    <n v="162571"/>
    <s v="NO APLICA"/>
    <n v="1"/>
    <m/>
    <m/>
  </r>
  <r>
    <d v="2026-08-09T00:00:00"/>
    <s v="PUTN"/>
    <s v="COSTAYACO"/>
    <s v="COPOWER"/>
    <s v="J420"/>
    <x v="4"/>
    <n v="1300"/>
    <n v="1040"/>
    <n v="4068"/>
    <n v="4092"/>
    <n v="18506"/>
    <n v="771.08333333333337"/>
    <n v="24"/>
    <n v="0"/>
    <n v="0"/>
    <n v="0"/>
    <n v="24"/>
    <n v="0"/>
    <n v="0"/>
    <x v="0"/>
    <s v="NO APLICA"/>
    <n v="162853"/>
    <s v="NO APLICA"/>
    <n v="1"/>
    <m/>
    <m/>
  </r>
  <r>
    <d v="2026-08-09T00:00:00"/>
    <s v="PUTN"/>
    <s v="COSTAYACO"/>
    <s v="COPOWER"/>
    <s v="J420"/>
    <x v="5"/>
    <n v="1300"/>
    <n v="1040"/>
    <n v="2522"/>
    <n v="2538"/>
    <n v="9392"/>
    <n v="391.33333333333331"/>
    <n v="16"/>
    <n v="8"/>
    <n v="0"/>
    <n v="0"/>
    <n v="24"/>
    <n v="8"/>
    <n v="0"/>
    <x v="0"/>
    <s v="NO APLICA"/>
    <n v="82650"/>
    <s v="NO APLICA"/>
    <n v="1"/>
    <s v="00:07 hrs. EQUIPO: CPW-06, FDL a solicitu del CCM, por baja presion en gas Moqueta, 100 PSI_x000a_04:14 hrs. Equipo CPW06. ingresa en linea A solicitud del CCM, entra en linea por estabilidad en presión gas Moqueta 170 PSI._x000a_ 05:38 hrs sale equipo de linea por potencia inversa al momento de pasar equipo a operación a modo isla. 6:16 equipo ingresa en linea en carga base con gas MQT_x000a_16:34 A solicitud de ccm sale de linea equipo CPW06 parada manual por caída de presión de gas MQT._x000a_19:54 hrs. EQUIPO: CPW06, A solicitud del CCM, ingresa en linea por estabilidad de presión en gas Moqueta, 170 PSI."/>
    <m/>
  </r>
  <r>
    <d v="2026-08-09T00:00:00"/>
    <s v="PUTN"/>
    <s v="COSTAYACO"/>
    <s v="COPOWER"/>
    <s v="J320"/>
    <x v="6"/>
    <n v="1050"/>
    <n v="740"/>
    <n v="1512"/>
    <n v="1536"/>
    <n v="13427"/>
    <n v="559.45833333333337"/>
    <n v="24"/>
    <n v="0"/>
    <n v="0"/>
    <n v="0"/>
    <n v="24"/>
    <n v="0"/>
    <n v="0"/>
    <x v="0"/>
    <s v="NO APLICA"/>
    <n v="118158"/>
    <s v="NO APLICA"/>
    <n v="1"/>
    <m/>
    <m/>
  </r>
  <r>
    <d v="2026-08-09T00:00:00"/>
    <s v="PUTN"/>
    <s v="COSTAYACO"/>
    <s v="COPOWER"/>
    <s v="CUMMINS"/>
    <x v="7"/>
    <n v="500"/>
    <n v="360"/>
    <n v="15235"/>
    <n v="15235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09T00:00:00"/>
    <s v="PUTN"/>
    <s v="COSTAYACO"/>
    <s v="COPOWER"/>
    <s v="CUMMINS"/>
    <x v="8"/>
    <n v="1000"/>
    <n v="800"/>
    <n v="3554"/>
    <n v="3566"/>
    <n v="9476"/>
    <n v="394.83333333333331"/>
    <n v="12"/>
    <n v="12"/>
    <n v="0"/>
    <n v="0"/>
    <n v="24"/>
    <n v="0"/>
    <n v="0"/>
    <x v="1"/>
    <s v="NO APLICA"/>
    <n v="663"/>
    <s v="NO APLICA"/>
    <n v="1"/>
    <s v="04:30 hrs. Equipos diesel G102J &amp; G102K, A solicitud del CCM, entran en linea por operación en modo isla._x000a_15:58 A solicitud de ccm sale de linea equipo G102J parada manual."/>
    <m/>
  </r>
  <r>
    <d v="2026-08-09T00:00:00"/>
    <s v="PUTN"/>
    <s v="COSTAYACO"/>
    <s v="COPOWER"/>
    <s v="CUMMINS"/>
    <x v="9"/>
    <n v="1000"/>
    <n v="800"/>
    <n v="2428"/>
    <n v="2433"/>
    <n v="3728"/>
    <n v="155.33333333333334"/>
    <n v="5"/>
    <n v="19"/>
    <n v="0"/>
    <n v="0"/>
    <n v="24"/>
    <n v="0"/>
    <n v="0"/>
    <x v="1"/>
    <s v="NO APLICA"/>
    <n v="261"/>
    <s v="NO APLICA"/>
    <n v="1"/>
    <s v="04:30 hrs. Equipos diesel G102J &amp; G102K, A solicitud del CCM, entran en linea por operación en modo isla._x000a_08:32 hrs sale de linea equipo G102K a peticion de CCM._x000a_14:53 Ingresa equipo G102K en linea a peticion del CCM. 15:15 sale equipo con parada manual por orden de CCM."/>
    <m/>
  </r>
  <r>
    <d v="2026-08-09T00:00:00"/>
    <s v="PUTN"/>
    <s v="VONU"/>
    <s v="COPOWER"/>
    <s v="JINAN"/>
    <x v="10"/>
    <n v="600"/>
    <n v="350"/>
    <n v="6546"/>
    <n v="6570"/>
    <n v="9546"/>
    <n v="397.75"/>
    <n v="24"/>
    <n v="0"/>
    <n v="0"/>
    <n v="0"/>
    <n v="24"/>
    <n v="0"/>
    <n v="0"/>
    <x v="0"/>
    <s v="NO APLICA"/>
    <n v="84005"/>
    <s v="NO APLICA"/>
    <n v="1"/>
    <m/>
    <m/>
  </r>
  <r>
    <d v="2026-08-09T00:00:00"/>
    <s v="PUTN"/>
    <s v="VONU"/>
    <s v="COPOWER"/>
    <s v="JINAN"/>
    <x v="11"/>
    <n v="600"/>
    <n v="350"/>
    <n v="6476"/>
    <n v="6500"/>
    <n v="8395"/>
    <n v="349.79166666666669"/>
    <n v="24"/>
    <n v="0"/>
    <n v="0"/>
    <n v="0"/>
    <n v="24"/>
    <n v="0"/>
    <n v="0"/>
    <x v="0"/>
    <s v="NO APLICA"/>
    <n v="73876"/>
    <s v="NO APLICA"/>
    <n v="1"/>
    <m/>
    <m/>
  </r>
  <r>
    <d v="2026-08-09T00:00:00"/>
    <s v="PUTN"/>
    <s v="COSTAYACO"/>
    <s v="COPOWER"/>
    <s v="JINAN"/>
    <x v="12"/>
    <n v="600"/>
    <n v="450"/>
    <n v="4459"/>
    <n v="4483"/>
    <n v="8772"/>
    <n v="365.5"/>
    <n v="24"/>
    <n v="0"/>
    <n v="0"/>
    <n v="0"/>
    <n v="24"/>
    <n v="0"/>
    <n v="0"/>
    <x v="0"/>
    <s v="NO APLICA"/>
    <n v="77194"/>
    <s v="NO APLICA"/>
    <n v="1"/>
    <m/>
    <m/>
  </r>
  <r>
    <d v="2026-08-09T00:00:00"/>
    <s v="PUTN"/>
    <s v="COSTAYACO"/>
    <s v="COPOWER"/>
    <s v="JINAN"/>
    <x v="13"/>
    <n v="600"/>
    <n v="450"/>
    <n v="658"/>
    <n v="682"/>
    <n v="8771"/>
    <n v="365.45833333333331"/>
    <n v="24"/>
    <n v="0"/>
    <n v="0"/>
    <n v="0"/>
    <n v="24"/>
    <n v="0"/>
    <n v="0"/>
    <x v="0"/>
    <s v="NO APLICA"/>
    <n v="77185"/>
    <s v="NO APLICA"/>
    <n v="1"/>
    <m/>
    <m/>
  </r>
  <r>
    <d v="2026-08-09T00:00:00"/>
    <s v="PUTN"/>
    <s v="COSTAYACO"/>
    <s v="COPOWER"/>
    <s v="JINAN"/>
    <x v="14"/>
    <n v="600"/>
    <n v="450"/>
    <n v="679"/>
    <n v="703"/>
    <n v="8601"/>
    <n v="358.375"/>
    <n v="24"/>
    <n v="0"/>
    <n v="0"/>
    <n v="0"/>
    <n v="24"/>
    <n v="0"/>
    <n v="0"/>
    <x v="0"/>
    <s v="NO APLICA"/>
    <n v="75689"/>
    <s v="NO APLICA"/>
    <n v="1"/>
    <m/>
    <m/>
  </r>
  <r>
    <d v="2026-08-10T00:00:00"/>
    <s v="PUTN"/>
    <s v="COSTAYACO"/>
    <s v="COPOWER"/>
    <s v="J320"/>
    <x v="0"/>
    <n v="1050"/>
    <n v="700"/>
    <n v="16389"/>
    <n v="16402"/>
    <n v="8575"/>
    <n v="357.29166666666669"/>
    <n v="13"/>
    <n v="11"/>
    <n v="0"/>
    <n v="0"/>
    <n v="24"/>
    <n v="11"/>
    <n v="0"/>
    <x v="0"/>
    <s v="NO APLICA"/>
    <n v="75460"/>
    <s v="NO APLICA"/>
    <n v="1"/>
    <s v="10:59 hrs. Generador CPW01  parada manual a solicitud de CCM  por mantenimiento programado  a la MRU, Ingresa en linea a las 22:01 hrs."/>
    <m/>
  </r>
  <r>
    <d v="2026-08-10T00:00:00"/>
    <s v="PUTN"/>
    <s v="COSTAYACO"/>
    <s v="COPOWER"/>
    <s v="J320"/>
    <x v="1"/>
    <n v="1050"/>
    <n v="700"/>
    <n v="14158"/>
    <n v="14172"/>
    <n v="8740"/>
    <n v="364.16666666666669"/>
    <n v="14"/>
    <n v="10"/>
    <n v="0"/>
    <n v="0"/>
    <n v="24"/>
    <n v="10"/>
    <n v="0"/>
    <x v="0"/>
    <s v="NO APLICA"/>
    <n v="76912"/>
    <s v="NO APLICA"/>
    <n v="1"/>
    <s v="10:59 hrs. Generador CPW02  parada manual a solicitud de CCM  por mantenimiento programado  a la MRU, Ingresa en linea a las 21:46 hrs."/>
    <m/>
  </r>
  <r>
    <d v="2026-08-10T00:00:00"/>
    <s v="PUTN"/>
    <s v="COSTAYACO"/>
    <s v="COPOWER"/>
    <s v="J320"/>
    <x v="2"/>
    <n v="1050"/>
    <n v="700"/>
    <n v="12647"/>
    <n v="12660"/>
    <n v="8526"/>
    <n v="355.25"/>
    <n v="13"/>
    <n v="11"/>
    <n v="0"/>
    <n v="0"/>
    <n v="24"/>
    <n v="11"/>
    <n v="0"/>
    <x v="0"/>
    <s v="NO APLICA"/>
    <n v="75029"/>
    <s v="NO APLICA"/>
    <n v="1"/>
    <s v="11:01 hrs. Generador CPW03  parada manual a solicitud de CCM  por mantenimiento programado  a la MRU,  Ingresa en linea a las 21:44 hrs."/>
    <m/>
  </r>
  <r>
    <d v="2026-08-10T00:00:00"/>
    <s v="PUTN"/>
    <s v="COSTAYACO"/>
    <s v="COPOWER"/>
    <s v="J420"/>
    <x v="3"/>
    <n v="1300"/>
    <n v="1040"/>
    <n v="4107"/>
    <n v="4131"/>
    <n v="18261"/>
    <n v="760.875"/>
    <n v="24"/>
    <n v="0"/>
    <n v="0"/>
    <n v="0"/>
    <n v="24"/>
    <n v="0"/>
    <n v="0"/>
    <x v="0"/>
    <s v="NO APLICA"/>
    <n v="160697"/>
    <s v="NO APLICA"/>
    <n v="1"/>
    <m/>
    <m/>
  </r>
  <r>
    <d v="2026-08-10T00:00:00"/>
    <s v="PUTN"/>
    <s v="COSTAYACO"/>
    <s v="COPOWER"/>
    <s v="J420"/>
    <x v="4"/>
    <n v="1300"/>
    <n v="1040"/>
    <n v="4092"/>
    <n v="4114"/>
    <n v="16840"/>
    <n v="701.66666666666663"/>
    <n v="22"/>
    <n v="2"/>
    <n v="0"/>
    <n v="0"/>
    <n v="24"/>
    <n v="2"/>
    <n v="0"/>
    <x v="0"/>
    <s v="NO APLICA"/>
    <n v="148192"/>
    <s v="NO APLICA"/>
    <n v="1"/>
    <s v="13:11 hrs A solicitud del CCM. parada manual del generador CPW05 por baja presión de gas MQT 120 psi. 15:41 hrs  equipo ingresa a linea por estabilidad del gas MQT 180 psi."/>
    <m/>
  </r>
  <r>
    <d v="2026-08-10T00:00:00"/>
    <s v="PUTN"/>
    <s v="COSTAYACO"/>
    <s v="COPOWER"/>
    <s v="J420"/>
    <x v="5"/>
    <n v="1300"/>
    <n v="1040"/>
    <n v="2538"/>
    <n v="2554"/>
    <n v="11723"/>
    <n v="488.45833333333331"/>
    <n v="16"/>
    <n v="8"/>
    <n v="0"/>
    <n v="0"/>
    <n v="24"/>
    <n v="8"/>
    <n v="0"/>
    <x v="0"/>
    <s v="NO APLICA"/>
    <n v="103162"/>
    <s v="NO APLICA"/>
    <n v="1"/>
    <s v="02:29 hrs. Equipo CPW-06. A solicitud del CCM, FDL por baja presión en gas Moqueta, 100 PSI._x000a_10:51 hrs. Generador CPW06  ingresa a linea a solicitud de CCM  por estabilidad gas MQT 180 psi, "/>
    <m/>
  </r>
  <r>
    <d v="2026-08-10T00:00:00"/>
    <s v="PUTN"/>
    <s v="COSTAYACO"/>
    <s v="COPOWER"/>
    <s v="J320"/>
    <x v="6"/>
    <n v="1050"/>
    <n v="740"/>
    <n v="1536"/>
    <n v="1550"/>
    <n v="8318"/>
    <n v="346.58333333333331"/>
    <n v="14"/>
    <n v="10"/>
    <n v="0"/>
    <n v="0"/>
    <n v="24"/>
    <n v="10"/>
    <n v="0"/>
    <x v="0"/>
    <s v="NO APLICA"/>
    <n v="73198"/>
    <s v="NO APLICA"/>
    <n v="1"/>
    <s v="11:04 hrs. Generador CPW07  parada manual a solicitud de CCM  por mantenimiento programado  a la MRU, Ingresa en linea a las 21:37 hrs."/>
    <m/>
  </r>
  <r>
    <d v="2026-08-10T00:00:00"/>
    <s v="PUTN"/>
    <s v="COSTAYACO"/>
    <s v="COPOWER"/>
    <s v="CUMMINS"/>
    <x v="7"/>
    <n v="500"/>
    <n v="360"/>
    <n v="15235"/>
    <n v="15235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0T00:00:00"/>
    <s v="PUTN"/>
    <s v="COSTAYACO"/>
    <s v="COPOWER"/>
    <s v="CUMMINS"/>
    <x v="8"/>
    <n v="1000"/>
    <n v="800"/>
    <n v="3566"/>
    <n v="3569"/>
    <n v="2433"/>
    <n v="101.375"/>
    <n v="3"/>
    <n v="21"/>
    <n v="0"/>
    <n v="0"/>
    <n v="24"/>
    <n v="0"/>
    <n v="0"/>
    <x v="1"/>
    <s v="NO APLICA"/>
    <n v="170"/>
    <s v="NO APLICA"/>
    <n v="1"/>
    <s v="08:41 hrs  a solicitud del CCM. Generador G102J ingresa a linea como respaldo por caída de tensión en el SIN. 11:20 hrs sale de linea a solicitud de CCM_x000a_21:22 hrs. EQUIPO:G102J. A solicitud del CCM. ingresa a linea Por salida de equipo Jinan-11 alineado a gas Costayaco. FDL a las 21:56 hrs."/>
    <m/>
  </r>
  <r>
    <d v="2026-08-10T00:00:00"/>
    <s v="PUTN"/>
    <s v="COSTAYACO"/>
    <s v="COPOWER"/>
    <s v="CUMMINS"/>
    <x v="9"/>
    <n v="1000"/>
    <n v="800"/>
    <n v="2433"/>
    <n v="2433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0T00:00:00"/>
    <s v="PUTN"/>
    <s v="VONU"/>
    <s v="COPOWER"/>
    <s v="JINAN"/>
    <x v="10"/>
    <n v="600"/>
    <n v="350"/>
    <n v="6570"/>
    <n v="6594"/>
    <n v="8399"/>
    <n v="349.95833333333331"/>
    <n v="24"/>
    <n v="0"/>
    <n v="0"/>
    <n v="0"/>
    <n v="24"/>
    <n v="0"/>
    <n v="0"/>
    <x v="0"/>
    <s v="NO APLICA"/>
    <n v="73911"/>
    <s v="NO APLICA"/>
    <n v="1"/>
    <m/>
    <m/>
  </r>
  <r>
    <d v="2026-08-10T00:00:00"/>
    <s v="PUTN"/>
    <s v="VONU"/>
    <s v="COPOWER"/>
    <s v="JINAN"/>
    <x v="11"/>
    <n v="600"/>
    <n v="350"/>
    <n v="6500"/>
    <n v="6517"/>
    <n v="5810"/>
    <n v="242.08333333333334"/>
    <n v="17"/>
    <n v="0"/>
    <n v="7"/>
    <n v="0"/>
    <n v="24"/>
    <n v="0"/>
    <n v="0"/>
    <x v="0"/>
    <s v="NO APLICA"/>
    <n v="51128"/>
    <s v="NO APLICA"/>
    <n v="1"/>
    <s v="9:19 hrs generador JINAN 02  parada manual por mantenimiento programado, 16:12 finaliza mantenimiento programado equipo ingresa a linea."/>
    <m/>
  </r>
  <r>
    <d v="2026-08-10T00:00:00"/>
    <s v="PUTN"/>
    <s v="COSTAYACO"/>
    <s v="COPOWER"/>
    <s v="JINAN"/>
    <x v="12"/>
    <n v="600"/>
    <n v="450"/>
    <n v="4483"/>
    <n v="4507"/>
    <n v="9219"/>
    <n v="384.125"/>
    <n v="24"/>
    <n v="0"/>
    <n v="0"/>
    <n v="0"/>
    <n v="24"/>
    <n v="0"/>
    <n v="0"/>
    <x v="0"/>
    <s v="NO APLICA"/>
    <n v="81127"/>
    <s v="NO APLICA"/>
    <n v="1"/>
    <m/>
    <m/>
  </r>
  <r>
    <d v="2026-08-10T00:00:00"/>
    <s v="PUTN"/>
    <s v="COSTAYACO"/>
    <s v="COPOWER"/>
    <s v="JINAN"/>
    <x v="13"/>
    <n v="600"/>
    <n v="450"/>
    <n v="682"/>
    <n v="705"/>
    <n v="8250"/>
    <n v="343.75"/>
    <n v="23"/>
    <n v="1"/>
    <n v="0"/>
    <n v="0"/>
    <n v="24"/>
    <n v="1"/>
    <n v="0"/>
    <x v="0"/>
    <s v="NO APLICA"/>
    <n v="72600"/>
    <s v="NO APLICA"/>
    <n v="1"/>
    <s v="11:05 hrs. A solicitud de CCM Generador CPW011 se realiza cambio de gas MRU a gas CYC_x000a_21:19 hrs. EQUIPO: Jinan-11, FDL A solicitud del CCM, FDL por prioridad gas Costayaco a MRU"/>
    <m/>
  </r>
  <r>
    <d v="2026-08-10T00:00:00"/>
    <s v="PUTN"/>
    <s v="COSTAYACO"/>
    <s v="COPOWER"/>
    <s v="JINAN"/>
    <x v="14"/>
    <n v="600"/>
    <n v="450"/>
    <n v="703"/>
    <n v="725"/>
    <n v="8122"/>
    <n v="338.41666666666669"/>
    <n v="22"/>
    <n v="2"/>
    <n v="0"/>
    <n v="0"/>
    <n v="24"/>
    <n v="2"/>
    <n v="0"/>
    <x v="0"/>
    <s v="NO APLICA"/>
    <n v="71474"/>
    <s v="NO APLICA"/>
    <n v="1"/>
    <s v="22:13 hrs. EQUIPO: Jinan-12, A solicitud del CCM, FDL por prioridad gas Costayaco a MRU. Ingresa en linea a las 22:49 hrs, A solicitud del CCM, Ingresa en linea con suministro de gas tratado."/>
    <m/>
  </r>
  <r>
    <d v="2026-08-11T00:00:00"/>
    <s v="PUTN"/>
    <s v="COSTAYACO"/>
    <s v="COPOWER"/>
    <s v="J320"/>
    <x v="0"/>
    <n v="1050"/>
    <n v="700"/>
    <n v="16402"/>
    <n v="16424"/>
    <n v="14469"/>
    <n v="602.875"/>
    <n v="22"/>
    <n v="2"/>
    <n v="0"/>
    <n v="0"/>
    <n v="24"/>
    <n v="2"/>
    <n v="0"/>
    <x v="0"/>
    <s v="NO APLICA"/>
    <n v="127327"/>
    <s v="NO APLICA"/>
    <n v="1"/>
    <s v="18:15 hrs. EQUIPO: CPW01, FDL por salida de operación de la MRU. Ingresa en linea a las 19:36 hrs"/>
    <m/>
  </r>
  <r>
    <d v="2026-08-11T00:00:00"/>
    <s v="PUTN"/>
    <s v="COSTAYACO"/>
    <s v="COPOWER"/>
    <s v="J320"/>
    <x v="1"/>
    <n v="1050"/>
    <n v="700"/>
    <n v="14172"/>
    <n v="14194"/>
    <n v="14676"/>
    <n v="611.5"/>
    <n v="22"/>
    <n v="2"/>
    <n v="0"/>
    <n v="0"/>
    <n v="24"/>
    <n v="2"/>
    <n v="0"/>
    <x v="0"/>
    <s v="NO APLICA"/>
    <n v="129149"/>
    <s v="NO APLICA"/>
    <n v="1"/>
    <s v="18:15 hrs. EQUIPO: CPW02, FDL por salida de operación de la MRU. Ingresa en linea a las 19:29 hrs."/>
    <m/>
  </r>
  <r>
    <d v="2026-08-11T00:00:00"/>
    <s v="PUTN"/>
    <s v="COSTAYACO"/>
    <s v="COPOWER"/>
    <s v="J320"/>
    <x v="2"/>
    <n v="1050"/>
    <n v="700"/>
    <n v="12660"/>
    <n v="12683"/>
    <n v="14695"/>
    <n v="612.29166666666663"/>
    <n v="23"/>
    <n v="1"/>
    <n v="0"/>
    <n v="0"/>
    <n v="24"/>
    <n v="1"/>
    <n v="0"/>
    <x v="0"/>
    <s v="NO APLICA"/>
    <n v="129316"/>
    <s v="NO APLICA"/>
    <n v="1"/>
    <s v="18:15 hrs. EQUIPO: CPW03, FDL por salida de operación de la MRU. Ingresa en linea a las 19:26 hrs."/>
    <m/>
  </r>
  <r>
    <d v="2026-08-11T00:00:00"/>
    <s v="PUTN"/>
    <s v="COSTAYACO"/>
    <s v="COPOWER"/>
    <s v="J420"/>
    <x v="3"/>
    <n v="1300"/>
    <n v="1040"/>
    <n v="4131"/>
    <n v="4155"/>
    <n v="17905"/>
    <n v="746.04166666666663"/>
    <n v="24"/>
    <n v="0"/>
    <n v="0"/>
    <n v="0"/>
    <n v="24"/>
    <n v="0"/>
    <n v="0"/>
    <x v="0"/>
    <s v="NO APLICA"/>
    <n v="157564"/>
    <s v="NO APLICA"/>
    <n v="1"/>
    <m/>
    <m/>
  </r>
  <r>
    <d v="2026-08-11T00:00:00"/>
    <s v="PUTN"/>
    <s v="COSTAYACO"/>
    <s v="COPOWER"/>
    <s v="J420"/>
    <x v="4"/>
    <n v="1300"/>
    <n v="1040"/>
    <n v="4114"/>
    <n v="4138"/>
    <n v="17977"/>
    <n v="749.04166666666663"/>
    <n v="24"/>
    <n v="0"/>
    <n v="0"/>
    <n v="0"/>
    <n v="24"/>
    <n v="0"/>
    <n v="0"/>
    <x v="0"/>
    <s v="NO APLICA"/>
    <n v="158198"/>
    <s v="NO APLICA"/>
    <n v="1"/>
    <m/>
    <m/>
  </r>
  <r>
    <d v="2026-08-11T00:00:00"/>
    <s v="PUTN"/>
    <s v="COSTAYACO"/>
    <s v="COPOWER"/>
    <s v="J420"/>
    <x v="5"/>
    <n v="1300"/>
    <n v="1040"/>
    <n v="2554"/>
    <n v="2570"/>
    <n v="10726"/>
    <n v="446.91666666666669"/>
    <n v="16"/>
    <n v="8"/>
    <n v="0"/>
    <n v="0"/>
    <n v="24"/>
    <n v="8"/>
    <n v="0"/>
    <x v="0"/>
    <s v="NO APLICA"/>
    <n v="94389"/>
    <s v="NO APLICA"/>
    <n v="1"/>
    <s v="00:16 hrs. EQUIPO: CPW06, A solicitud del CCM. FDL para recuperar presión en gas Moqueta, 100 PSI. Ingresa en linea a las 03:29 hrs._x000a_6:55 hrs. EQUIPO: CPW06, A solicitud del CCM. FDL para recuperar presión en gas Moqueta, 100 PSI, 10:38 hrs. Ingresa a linea por estabilidad de gas MQT 160 psi_x000a_14:41 EQUIPO: CPW06, A solicitud del CCM. FDL para recuperar presión en gas Moqueta, 100 PSI._x000a_16:31 A solicitud del CCM, ingresa en linea equipo CPW06. se estabiliza presión de gas MQT 170 psi."/>
    <m/>
  </r>
  <r>
    <d v="2026-08-11T00:00:00"/>
    <s v="PUTN"/>
    <s v="COSTAYACO"/>
    <s v="COPOWER"/>
    <s v="J320"/>
    <x v="6"/>
    <n v="1050"/>
    <n v="740"/>
    <n v="1550"/>
    <n v="1573"/>
    <n v="13858"/>
    <n v="577.41666666666663"/>
    <n v="23"/>
    <n v="1"/>
    <n v="0"/>
    <n v="0"/>
    <n v="24"/>
    <n v="1"/>
    <n v="0"/>
    <x v="0"/>
    <s v="NO APLICA"/>
    <n v="121950"/>
    <s v="NO APLICA"/>
    <n v="1"/>
    <s v="18:15 hrs. EQUIPO: CPW07, FDL por salida de operación de la MRU. Ingresa en linea a las 19:25 hrs."/>
    <m/>
  </r>
  <r>
    <d v="2026-08-11T00:00:00"/>
    <s v="PUTN"/>
    <s v="COSTAYACO"/>
    <s v="COPOWER"/>
    <s v="CUMMINS"/>
    <x v="7"/>
    <n v="500"/>
    <n v="360"/>
    <n v="15235"/>
    <n v="15242"/>
    <n v="2351"/>
    <n v="97.958333333333329"/>
    <n v="7"/>
    <n v="17"/>
    <n v="0"/>
    <n v="0"/>
    <n v="24"/>
    <n v="0"/>
    <n v="0"/>
    <x v="1"/>
    <s v="NO APLICA"/>
    <n v="165"/>
    <s v="NO APLICA"/>
    <n v="1"/>
    <s v="10:45 hrs Ingresa en linea equipo Diesel G101V como respaldo de carga, por salida de la TURBINA por mantenimiento programado, 11:47 hrs sale de linea a solicitud de CCM_x000a_18:19 hrs. EQUIPO:G101V, A solicitud del CCM, entran en linea como respaldo de carga por salida de equipos asociados a gas tratado."/>
    <m/>
  </r>
  <r>
    <d v="2026-08-11T00:00:00"/>
    <s v="PUTN"/>
    <s v="COSTAYACO"/>
    <s v="COPOWER"/>
    <s v="CUMMINS"/>
    <x v="8"/>
    <n v="1000"/>
    <n v="800"/>
    <n v="3569"/>
    <n v="3578"/>
    <n v="6957"/>
    <n v="289.875"/>
    <n v="9"/>
    <n v="15"/>
    <n v="0"/>
    <n v="0"/>
    <n v="24"/>
    <n v="0"/>
    <n v="0"/>
    <x v="1"/>
    <s v="NO APLICA"/>
    <n v="487"/>
    <s v="NO APLICA"/>
    <n v="1"/>
    <s v="10:45 hrs Ingresa en linea equipo Diesel G102J como respaldo de carga. por salida de la TURBINA por mantenimiento programado, 16:43 A solicitud del CCM, sale de linea parada manual equipo DIESEL G102J._x000a_18:19 hrs. EQUIPO:G102J, A solicitud del CCM, entran en linea como respaldo de carga por salida de equipos asociados a gas tratado. FDL a las 21:08 hrs."/>
    <m/>
  </r>
  <r>
    <d v="2026-08-11T00:00:00"/>
    <s v="PUTN"/>
    <s v="COSTAYACO"/>
    <s v="COPOWER"/>
    <s v="CUMMINS"/>
    <x v="9"/>
    <n v="1000"/>
    <n v="800"/>
    <n v="2433"/>
    <n v="2446"/>
    <n v="10564"/>
    <n v="440.16666666666669"/>
    <n v="13"/>
    <n v="11"/>
    <n v="0"/>
    <n v="0"/>
    <n v="24"/>
    <n v="0"/>
    <n v="0"/>
    <x v="1"/>
    <s v="NO APLICA"/>
    <n v="739"/>
    <s v="NO APLICA"/>
    <n v="1"/>
    <s v="10:47 hrs Ingresa en linea equipo Diesel G102K como respaldo de carga, por salida de la TURBINA por mantenimiento programado"/>
    <m/>
  </r>
  <r>
    <d v="2026-08-11T00:00:00"/>
    <s v="PUTN"/>
    <s v="VONU"/>
    <s v="COPOWER"/>
    <s v="JINAN"/>
    <x v="10"/>
    <n v="600"/>
    <n v="350"/>
    <n v="6594"/>
    <n v="6618"/>
    <n v="10102"/>
    <n v="420.91666666666669"/>
    <n v="24"/>
    <n v="0"/>
    <n v="0"/>
    <n v="0"/>
    <n v="24"/>
    <n v="0"/>
    <n v="0"/>
    <x v="0"/>
    <s v="NO APLICA"/>
    <n v="88898"/>
    <s v="NO APLICA"/>
    <n v="1"/>
    <m/>
    <m/>
  </r>
  <r>
    <d v="2026-08-11T00:00:00"/>
    <s v="PUTN"/>
    <s v="VONU"/>
    <s v="COPOWER"/>
    <s v="JINAN"/>
    <x v="11"/>
    <n v="600"/>
    <n v="350"/>
    <n v="6517"/>
    <n v="6541"/>
    <n v="8431"/>
    <n v="351.29166666666669"/>
    <n v="24"/>
    <n v="0"/>
    <n v="0"/>
    <n v="0"/>
    <n v="24"/>
    <n v="0"/>
    <n v="0"/>
    <x v="0"/>
    <s v="NO APLICA"/>
    <n v="74193"/>
    <s v="NO APLICA"/>
    <n v="1"/>
    <m/>
    <m/>
  </r>
  <r>
    <d v="2026-08-11T00:00:00"/>
    <s v="PUTN"/>
    <s v="COSTAYACO"/>
    <s v="COPOWER"/>
    <s v="JINAN"/>
    <x v="12"/>
    <n v="600"/>
    <n v="450"/>
    <n v="4507"/>
    <n v="4531"/>
    <n v="8903"/>
    <n v="370.95833333333331"/>
    <n v="24"/>
    <n v="0"/>
    <n v="0"/>
    <n v="0"/>
    <n v="24"/>
    <n v="0"/>
    <n v="0"/>
    <x v="0"/>
    <s v="NO APLICA"/>
    <n v="78346"/>
    <s v="NO APLICA"/>
    <n v="1"/>
    <m/>
    <m/>
  </r>
  <r>
    <d v="2026-08-11T00:00:00"/>
    <s v="PUTN"/>
    <s v="COSTAYACO"/>
    <s v="COPOWER"/>
    <s v="JINAN"/>
    <x v="13"/>
    <n v="600"/>
    <n v="450"/>
    <n v="705"/>
    <n v="717"/>
    <n v="4620"/>
    <n v="192.5"/>
    <n v="12"/>
    <n v="5"/>
    <n v="7"/>
    <n v="0"/>
    <n v="24"/>
    <n v="5"/>
    <n v="0"/>
    <x v="0"/>
    <s v="NO APLICA"/>
    <n v="40656"/>
    <s v="NO APLICA"/>
    <n v="1"/>
    <s v="00:04 hrs. EQUIPO: CPW-11, A solicitud del CCM. Ingresa en linea con suministro de gas Costayaco._x000a_9:06 hrs  EQUIPO: CPW011 sale de linea por mantenimiento programado M2_x000a_15:31 Ingresa en linea equipo CPW11, se finaliza mantenimiento programado._x000a_18:57 hrs. FDL EQUIPO: Jinan-11, A solicitud del CCM, para recuperar presión en gas Costayaco."/>
    <m/>
  </r>
  <r>
    <d v="2026-08-11T00:00:00"/>
    <s v="PUTN"/>
    <s v="COSTAYACO"/>
    <s v="COPOWER"/>
    <s v="JINAN"/>
    <x v="14"/>
    <n v="600"/>
    <n v="450"/>
    <n v="725"/>
    <n v="748"/>
    <n v="8307"/>
    <n v="346.125"/>
    <n v="23"/>
    <n v="1"/>
    <n v="0"/>
    <n v="0"/>
    <n v="24"/>
    <n v="1"/>
    <n v="0"/>
    <x v="0"/>
    <s v="NO APLICA"/>
    <n v="73102"/>
    <s v="NO APLICA"/>
    <n v="1"/>
    <s v="18:15 hrs. EQUIPO: CPW12, FDL por salida de operación de la MRU. Ingresa en linea a las 20:08 hrs."/>
    <m/>
  </r>
  <r>
    <d v="2026-08-12T00:00:00"/>
    <s v="PUTN"/>
    <s v="COSTAYACO"/>
    <s v="COPOWER"/>
    <s v="J320"/>
    <x v="0"/>
    <n v="1050"/>
    <n v="700"/>
    <n v="16424"/>
    <n v="16448"/>
    <n v="15411"/>
    <n v="642.125"/>
    <n v="24"/>
    <n v="0"/>
    <n v="0"/>
    <n v="0"/>
    <n v="24"/>
    <n v="0"/>
    <n v="0"/>
    <x v="0"/>
    <s v="NO APLICA"/>
    <n v="135616.80000000002"/>
    <s v="NO APLICA"/>
    <n v="1"/>
    <m/>
    <m/>
  </r>
  <r>
    <d v="2026-08-12T00:00:00"/>
    <s v="PUTN"/>
    <s v="COSTAYACO"/>
    <s v="COPOWER"/>
    <s v="J320"/>
    <x v="1"/>
    <n v="1050"/>
    <n v="700"/>
    <n v="14194"/>
    <n v="14218"/>
    <n v="15408"/>
    <n v="642"/>
    <n v="24"/>
    <n v="0"/>
    <n v="0"/>
    <n v="0"/>
    <n v="24"/>
    <n v="0"/>
    <n v="0"/>
    <x v="0"/>
    <s v="NO APLICA"/>
    <n v="135590.40000000002"/>
    <s v="NO APLICA"/>
    <n v="1"/>
    <m/>
    <m/>
  </r>
  <r>
    <d v="2026-08-12T00:00:00"/>
    <s v="PUTN"/>
    <s v="COSTAYACO"/>
    <s v="COPOWER"/>
    <s v="J320"/>
    <x v="2"/>
    <n v="1050"/>
    <n v="700"/>
    <n v="12683"/>
    <n v="12707"/>
    <n v="15413"/>
    <n v="642.20833333333337"/>
    <n v="24"/>
    <n v="0"/>
    <n v="0"/>
    <n v="0"/>
    <n v="24"/>
    <n v="0"/>
    <n v="0"/>
    <x v="0"/>
    <s v="NO APLICA"/>
    <n v="135634.4"/>
    <s v="NO APLICA"/>
    <n v="1"/>
    <m/>
    <m/>
  </r>
  <r>
    <d v="2026-08-12T00:00:00"/>
    <s v="PUTN"/>
    <s v="COSTAYACO"/>
    <s v="COPOWER"/>
    <s v="J420"/>
    <x v="3"/>
    <n v="1300"/>
    <n v="1040"/>
    <n v="4155"/>
    <n v="4179"/>
    <n v="18100"/>
    <n v="754.16666666666663"/>
    <n v="24"/>
    <n v="0"/>
    <n v="0"/>
    <n v="0"/>
    <n v="24"/>
    <n v="0"/>
    <n v="0"/>
    <x v="0"/>
    <s v="NO APLICA"/>
    <n v="159280"/>
    <s v="NO APLICA"/>
    <n v="1"/>
    <m/>
    <m/>
  </r>
  <r>
    <d v="2026-08-12T00:00:00"/>
    <s v="PUTN"/>
    <s v="COSTAYACO"/>
    <s v="COPOWER"/>
    <s v="J420"/>
    <x v="4"/>
    <n v="1300"/>
    <n v="1040"/>
    <n v="4138"/>
    <n v="4162"/>
    <n v="18264"/>
    <n v="761"/>
    <n v="24"/>
    <n v="0"/>
    <n v="0"/>
    <n v="0"/>
    <n v="24"/>
    <n v="0"/>
    <n v="0"/>
    <x v="0"/>
    <s v="NO APLICA"/>
    <n v="160723.20000000001"/>
    <s v="NO APLICA"/>
    <n v="1"/>
    <m/>
    <m/>
  </r>
  <r>
    <d v="2026-08-12T00:00:00"/>
    <s v="PUTN"/>
    <s v="COSTAYACO"/>
    <s v="COPOWER"/>
    <s v="J420"/>
    <x v="5"/>
    <n v="1300"/>
    <n v="1040"/>
    <n v="2570"/>
    <n v="2585"/>
    <n v="10501"/>
    <n v="437.54166666666669"/>
    <n v="15"/>
    <n v="9"/>
    <n v="0"/>
    <n v="0"/>
    <n v="24"/>
    <n v="0"/>
    <n v="0"/>
    <x v="0"/>
    <s v="NO APLICA"/>
    <n v="92408.8"/>
    <s v="NO APLICA"/>
    <n v="1"/>
    <s v="01:12 hrs. EQUIPO: CPW-06, A solicitud del CCM. FDL por caída de presión en gas Moqueta, 100 PSI_x000a_08:40 hrs. Generador CPW06  ingresa a linea a solicitud de CCM  por estabilidad gas MQT 170 psi, 11:41 hrs parada manual a solicitud de CCM por estabilidad gas MQT 120 psi_x000a_13:54 hrs. Generador CPW06  ingresa a linea a solicitud de CCM  por estabilidad gas MQT 180 psi, hrs parada manual a solicitud de CCM por estabilidad gas MQT 120 psi,"/>
    <m/>
  </r>
  <r>
    <d v="2026-08-12T00:00:00"/>
    <s v="PUTN"/>
    <s v="COSTAYACO"/>
    <s v="COPOWER"/>
    <s v="J320"/>
    <x v="6"/>
    <n v="1050"/>
    <n v="740"/>
    <n v="1573"/>
    <n v="1597"/>
    <n v="14540"/>
    <n v="605.83333333333337"/>
    <n v="24"/>
    <n v="0"/>
    <n v="0"/>
    <n v="0"/>
    <n v="24"/>
    <n v="0"/>
    <n v="0"/>
    <x v="0"/>
    <s v="NO APLICA"/>
    <n v="127952.00000000003"/>
    <s v="NO APLICA"/>
    <n v="1"/>
    <m/>
    <m/>
  </r>
  <r>
    <d v="2026-08-12T00:00:00"/>
    <s v="PUTN"/>
    <s v="COSTAYACO"/>
    <s v="COPOWER"/>
    <s v="CUMMINS"/>
    <x v="7"/>
    <n v="500"/>
    <n v="360"/>
    <n v="15242"/>
    <n v="15266"/>
    <n v="8639"/>
    <n v="359.95833333333331"/>
    <n v="24"/>
    <n v="0"/>
    <n v="0"/>
    <n v="0"/>
    <n v="24"/>
    <n v="0"/>
    <n v="0"/>
    <x v="1"/>
    <s v="NO APLICA"/>
    <n v="605"/>
    <s v="NO APLICA"/>
    <n v="1"/>
    <m/>
    <m/>
  </r>
  <r>
    <d v="2026-08-12T00:00:00"/>
    <s v="PUTN"/>
    <s v="COSTAYACO"/>
    <s v="COPOWER"/>
    <s v="CUMMINS"/>
    <x v="8"/>
    <n v="1000"/>
    <n v="800"/>
    <n v="3578"/>
    <n v="3590"/>
    <n v="8996"/>
    <n v="374.83333333333331"/>
    <n v="12"/>
    <n v="12"/>
    <n v="0"/>
    <n v="0"/>
    <n v="24"/>
    <n v="0"/>
    <n v="0"/>
    <x v="1"/>
    <s v="NO APLICA"/>
    <n v="630"/>
    <s v="NO APLICA"/>
    <n v="1"/>
    <s v="12:40 hrs Ingresa en linea equipo Diesel G102J como respaldo de carga por salida generadores CPW010 - 012 por estabilidad gas CYC."/>
    <m/>
  </r>
  <r>
    <d v="2026-08-12T00:00:00"/>
    <s v="PUTN"/>
    <s v="COSTAYACO"/>
    <s v="COPOWER"/>
    <s v="CUMMINS"/>
    <x v="9"/>
    <n v="1000"/>
    <n v="800"/>
    <n v="2446"/>
    <n v="2460"/>
    <n v="11194"/>
    <n v="466.41666666666669"/>
    <n v="14"/>
    <n v="10"/>
    <n v="0"/>
    <n v="0"/>
    <n v="24"/>
    <n v="0"/>
    <n v="0"/>
    <x v="1"/>
    <s v="NO APLICA"/>
    <n v="784"/>
    <s v="NO APLICA"/>
    <n v="1"/>
    <s v="14:01 hrs. A solicitud de CCM parada manual del generador G102K por ingreso del generador CPW06_x0009_"/>
    <m/>
  </r>
  <r>
    <d v="2026-08-12T00:00:00"/>
    <s v="PUTN"/>
    <s v="VONU"/>
    <s v="COPOWER"/>
    <s v="JINAN"/>
    <x v="10"/>
    <n v="600"/>
    <n v="350"/>
    <n v="6618"/>
    <n v="6642"/>
    <n v="9788"/>
    <n v="407.83333333333331"/>
    <n v="24"/>
    <n v="0"/>
    <n v="0"/>
    <n v="0"/>
    <n v="24"/>
    <n v="0"/>
    <n v="0"/>
    <x v="0"/>
    <s v="NO APLICA"/>
    <n v="86134.400000000009"/>
    <s v="NO APLICA"/>
    <n v="1"/>
    <m/>
    <m/>
  </r>
  <r>
    <d v="2026-08-12T00:00:00"/>
    <s v="PUTN"/>
    <s v="VONU"/>
    <s v="COPOWER"/>
    <s v="JINAN"/>
    <x v="11"/>
    <n v="600"/>
    <n v="350"/>
    <n v="6541"/>
    <n v="6565"/>
    <n v="8400"/>
    <n v="350"/>
    <n v="24"/>
    <n v="0"/>
    <n v="0"/>
    <n v="0"/>
    <n v="24"/>
    <n v="0"/>
    <n v="0"/>
    <x v="0"/>
    <s v="NO APLICA"/>
    <n v="73920"/>
    <s v="NO APLICA"/>
    <n v="1"/>
    <m/>
    <m/>
  </r>
  <r>
    <d v="2026-08-12T00:00:00"/>
    <s v="PUTN"/>
    <s v="COSTAYACO"/>
    <s v="COPOWER"/>
    <s v="JINAN"/>
    <x v="12"/>
    <n v="600"/>
    <n v="450"/>
    <n v="4531"/>
    <n v="4555"/>
    <n v="8816"/>
    <n v="367.33333333333331"/>
    <n v="24"/>
    <n v="0"/>
    <n v="0"/>
    <n v="0"/>
    <n v="24"/>
    <n v="0"/>
    <n v="0"/>
    <x v="0"/>
    <s v="NO APLICA"/>
    <n v="77580.800000000017"/>
    <s v="NO APLICA"/>
    <n v="1"/>
    <s v="12:45 hrs A solicitud de de CCM parada manual generador CPW010 por estabilidad gas CYC 20 psi, 12:58 hrs a solicitud de CCM ingresa a linea por estabilidad de gas CYC 23 psi."/>
    <m/>
  </r>
  <r>
    <d v="2026-08-12T00:00:00"/>
    <s v="PUTN"/>
    <s v="COSTAYACO"/>
    <s v="COPOWER"/>
    <s v="JINAN"/>
    <x v="13"/>
    <n v="600"/>
    <n v="450"/>
    <n v="717"/>
    <n v="740"/>
    <n v="8464"/>
    <n v="352.66666666666669"/>
    <n v="23"/>
    <n v="1"/>
    <n v="0"/>
    <n v="0"/>
    <n v="24"/>
    <n v="0"/>
    <n v="0"/>
    <x v="0"/>
    <s v="NO APLICA"/>
    <n v="74483.199999999983"/>
    <s v="NO APLICA"/>
    <n v="1"/>
    <s v="01:06 hrs. EQUIPO:JINAN-11, A solicitud del CCM.  Ingresa en linea con suministro de gas tratado."/>
    <m/>
  </r>
  <r>
    <d v="2026-08-12T00:00:00"/>
    <s v="PUTN"/>
    <s v="COSTAYACO"/>
    <s v="COPOWER"/>
    <s v="JINAN"/>
    <x v="14"/>
    <n v="600"/>
    <n v="450"/>
    <n v="748"/>
    <n v="772"/>
    <n v="8764"/>
    <n v="365.16666666666669"/>
    <n v="24"/>
    <n v="0"/>
    <n v="0"/>
    <n v="0"/>
    <n v="24"/>
    <n v="0"/>
    <n v="0"/>
    <x v="0"/>
    <s v="NO APLICA"/>
    <n v="77123.200000000012"/>
    <s v="NO APLICA"/>
    <n v="1"/>
    <s v="12:50 hrs A solicitud de de CCM parada manual generador CPW012 por estabilidad gas CYC 20 psi, 13:10 hrs a solicitud de CCM ingresa a linea por estabilidad de gas CYC 23 psi.  Equipo venia operando con gas CYC a petición de CCM ingresa a linea con gas CYC_x0009_"/>
    <m/>
  </r>
  <r>
    <d v="2026-08-13T00:00:00"/>
    <s v="PUTN"/>
    <s v="COSTAYACO"/>
    <s v="COPOWER"/>
    <s v="J320"/>
    <x v="0"/>
    <n v="1050"/>
    <n v="700"/>
    <n v="16448"/>
    <n v="16472"/>
    <n v="15344"/>
    <n v="639.33333333333337"/>
    <n v="24"/>
    <n v="0"/>
    <n v="0"/>
    <n v="0"/>
    <n v="24"/>
    <n v="0"/>
    <n v="0"/>
    <x v="0"/>
    <s v="NO APLICA"/>
    <n v="135027.19999999998"/>
    <s v="NO APLICA"/>
    <n v="1"/>
    <m/>
    <m/>
  </r>
  <r>
    <d v="2026-08-13T00:00:00"/>
    <s v="PUTN"/>
    <s v="COSTAYACO"/>
    <s v="COPOWER"/>
    <s v="J320"/>
    <x v="1"/>
    <n v="1050"/>
    <n v="700"/>
    <n v="14218"/>
    <n v="14242"/>
    <n v="15497"/>
    <n v="645.70833333333337"/>
    <n v="24"/>
    <n v="0"/>
    <n v="0"/>
    <n v="0"/>
    <n v="24"/>
    <n v="0"/>
    <n v="0"/>
    <x v="0"/>
    <s v="NO APLICA"/>
    <n v="136373.59999999998"/>
    <s v="NO APLICA"/>
    <n v="1"/>
    <m/>
    <m/>
  </r>
  <r>
    <d v="2026-08-13T00:00:00"/>
    <s v="PUTN"/>
    <s v="COSTAYACO"/>
    <s v="COPOWER"/>
    <s v="J320"/>
    <x v="2"/>
    <n v="1050"/>
    <n v="700"/>
    <n v="12707"/>
    <n v="12731"/>
    <n v="15498"/>
    <n v="645.75"/>
    <n v="24"/>
    <n v="0"/>
    <n v="0"/>
    <n v="0"/>
    <n v="24"/>
    <n v="0"/>
    <n v="0"/>
    <x v="0"/>
    <s v="NO APLICA"/>
    <n v="136382.39999999999"/>
    <s v="NO APLICA"/>
    <n v="1"/>
    <m/>
    <m/>
  </r>
  <r>
    <d v="2026-08-13T00:00:00"/>
    <s v="PUTN"/>
    <s v="COSTAYACO"/>
    <s v="COPOWER"/>
    <s v="J420"/>
    <x v="3"/>
    <n v="1300"/>
    <n v="1040"/>
    <n v="4179"/>
    <n v="4199"/>
    <n v="14596"/>
    <n v="608.16666666666663"/>
    <n v="20"/>
    <n v="4"/>
    <n v="0"/>
    <n v="0"/>
    <n v="24"/>
    <n v="0"/>
    <n v="0"/>
    <x v="0"/>
    <s v="NO APLICA"/>
    <n v="128444.80000000002"/>
    <s v="NO APLICA"/>
    <n v="1"/>
    <s v="08:09 hrs A solicitud de CCM parada manual generador CPW04 por estabilidad gas MQT 120 psi, 9:56 hrs ingresa a linea por estabilidad del gas MQT 180psi._x000a_17:15 hrs A solicitud de CCM parada manual generador CPW04 por estabilidad gas MQT 120 psi. 19:23 A solicitud de CCM. ingresa en linea equipo CPW04 se estabiliza presión de gas MQT 180 psi._x0009_"/>
    <m/>
  </r>
  <r>
    <d v="2026-08-13T00:00:00"/>
    <s v="PUTN"/>
    <s v="COSTAYACO"/>
    <s v="COPOWER"/>
    <s v="J420"/>
    <x v="4"/>
    <n v="1300"/>
    <n v="1040"/>
    <n v="4162"/>
    <n v="4186"/>
    <n v="18165"/>
    <n v="756.875"/>
    <n v="24"/>
    <n v="0"/>
    <n v="0"/>
    <n v="0"/>
    <n v="24"/>
    <n v="0"/>
    <n v="0"/>
    <x v="0"/>
    <s v="NO APLICA"/>
    <n v="159852.00000000003"/>
    <s v="NO APLICA"/>
    <n v="1"/>
    <m/>
    <m/>
  </r>
  <r>
    <d v="2026-08-13T00:00:00"/>
    <s v="PUTN"/>
    <s v="COSTAYACO"/>
    <s v="COPOWER"/>
    <s v="J420"/>
    <x v="5"/>
    <n v="1300"/>
    <n v="1040"/>
    <n v="2585"/>
    <n v="2605"/>
    <n v="14117"/>
    <n v="588.20833333333337"/>
    <n v="20"/>
    <n v="4"/>
    <n v="0"/>
    <n v="0"/>
    <n v="24"/>
    <n v="0"/>
    <n v="0"/>
    <x v="0"/>
    <s v="NO APLICA"/>
    <n v="124229.6"/>
    <s v="NO APLICA"/>
    <n v="1"/>
    <s v="01:01 En coordinación con CCM. FDL parda manual Equipo CPW06 por caída de presión en gas Moqueta, 100 PSI. 04:37 En coordinación con CCM, ingresa en linea Equipo CPW06 se estabiliza presión en gas Moqueta, 170 PSI. 3:13 A solicitud de CCM FDL Equipo CPW06 por caída de presión de gas MQT 115 psi ingresa en linea equipo DIESEL G102J, como respaldo de carga._x0009_"/>
    <m/>
  </r>
  <r>
    <d v="2026-08-13T00:00:00"/>
    <s v="PUTN"/>
    <s v="COSTAYACO"/>
    <s v="COPOWER"/>
    <s v="J320"/>
    <x v="6"/>
    <n v="1050"/>
    <n v="740"/>
    <n v="1597"/>
    <n v="1621"/>
    <n v="14537"/>
    <n v="605.70833333333337"/>
    <n v="24"/>
    <n v="0"/>
    <n v="0"/>
    <n v="0"/>
    <n v="24"/>
    <n v="0"/>
    <n v="0"/>
    <x v="0"/>
    <s v="NO APLICA"/>
    <n v="127925.6"/>
    <s v="NO APLICA"/>
    <n v="1"/>
    <m/>
    <m/>
  </r>
  <r>
    <d v="2026-08-13T00:00:00"/>
    <s v="PUTN"/>
    <s v="COSTAYACO"/>
    <s v="COPOWER"/>
    <s v="CUMMINS"/>
    <x v="7"/>
    <n v="500"/>
    <n v="360"/>
    <n v="15266"/>
    <n v="15290"/>
    <n v="8640"/>
    <n v="360"/>
    <n v="24"/>
    <n v="0"/>
    <n v="0"/>
    <n v="0"/>
    <n v="24"/>
    <n v="0"/>
    <n v="0"/>
    <x v="1"/>
    <s v="NO APLICA"/>
    <n v="605"/>
    <s v="NO APLICA"/>
    <n v="1"/>
    <m/>
    <m/>
  </r>
  <r>
    <d v="2026-08-13T00:00:00"/>
    <s v="PUTN"/>
    <s v="COSTAYACO"/>
    <s v="COPOWER"/>
    <s v="CUMMINS"/>
    <x v="8"/>
    <n v="1000"/>
    <n v="800"/>
    <n v="3590"/>
    <n v="3605"/>
    <n v="12121"/>
    <n v="505.04166666666669"/>
    <n v="15"/>
    <n v="9"/>
    <n v="0"/>
    <n v="0"/>
    <n v="24"/>
    <n v="0"/>
    <n v="0"/>
    <x v="1"/>
    <s v="NO APLICA"/>
    <n v="848"/>
    <s v="NO APLICA"/>
    <n v="1"/>
    <s v="10:05 hrs A solicitud de CCM parada manual del generador G102J por ingreso de generador CPW04. 15:00 hrs A solicitud de CCM ingresa a linea .  19:41 A solicitud de CCM FDL Equipo Diesel G102J por el ingreso en linea equipo CPW04.  23:10 A solicitud de CCM. ingresa en linea equipo DIESEL G102J por caída de presión de gas MQT 115 psi._x0009_"/>
    <m/>
  </r>
  <r>
    <d v="2026-08-13T00:00:00"/>
    <s v="PUTN"/>
    <s v="COSTAYACO"/>
    <s v="COPOWER"/>
    <s v="CUMMINS"/>
    <x v="9"/>
    <n v="1000"/>
    <n v="800"/>
    <n v="2460"/>
    <n v="2476"/>
    <n v="12084"/>
    <n v="503.5"/>
    <n v="16"/>
    <n v="8"/>
    <n v="0"/>
    <n v="0"/>
    <n v="24"/>
    <n v="0"/>
    <n v="0"/>
    <x v="1"/>
    <s v="NO APLICA"/>
    <n v="846"/>
    <s v="NO APLICA"/>
    <n v="1"/>
    <s v="08:04 hrs A solicitud de CCM  Ingresa en linea equipo Diesel G102K como respaldo de carga, por parada manual de generador CPW04 por estabilidad de gas MQT."/>
    <m/>
  </r>
  <r>
    <d v="2026-08-13T00:00:00"/>
    <s v="PUTN"/>
    <s v="VONU"/>
    <s v="COPOWER"/>
    <s v="JINAN"/>
    <x v="10"/>
    <n v="600"/>
    <n v="350"/>
    <n v="6642"/>
    <n v="6666"/>
    <n v="8449"/>
    <n v="352.04166666666669"/>
    <n v="24"/>
    <n v="0"/>
    <n v="0"/>
    <n v="0"/>
    <n v="24"/>
    <n v="0"/>
    <n v="0"/>
    <x v="0"/>
    <s v="NO APLICA"/>
    <n v="74351.200000000012"/>
    <s v="NO APLICA"/>
    <n v="1"/>
    <m/>
    <m/>
  </r>
  <r>
    <d v="2026-08-13T00:00:00"/>
    <s v="PUTN"/>
    <s v="VONU"/>
    <s v="COPOWER"/>
    <s v="JINAN"/>
    <x v="11"/>
    <n v="600"/>
    <n v="350"/>
    <n v="6565"/>
    <n v="6589"/>
    <n v="8166"/>
    <n v="340.25"/>
    <n v="24"/>
    <n v="0"/>
    <n v="0"/>
    <n v="0"/>
    <n v="24"/>
    <n v="0"/>
    <n v="0"/>
    <x v="0"/>
    <s v="NO APLICA"/>
    <n v="71860.800000000003"/>
    <s v="NO APLICA"/>
    <n v="1"/>
    <m/>
    <m/>
  </r>
  <r>
    <d v="2026-08-13T00:00:00"/>
    <s v="PUTN"/>
    <s v="COSTAYACO"/>
    <s v="COPOWER"/>
    <s v="JINAN"/>
    <x v="12"/>
    <n v="600"/>
    <n v="450"/>
    <n v="4555"/>
    <n v="4579"/>
    <n v="8941"/>
    <n v="372.54166666666669"/>
    <n v="24"/>
    <n v="0"/>
    <n v="0"/>
    <n v="0"/>
    <n v="24"/>
    <n v="0"/>
    <n v="0"/>
    <x v="0"/>
    <s v="NO APLICA"/>
    <n v="78680.800000000017"/>
    <s v="NO APLICA"/>
    <n v="1"/>
    <m/>
    <m/>
  </r>
  <r>
    <d v="2026-08-13T00:00:00"/>
    <s v="PUTN"/>
    <s v="COSTAYACO"/>
    <s v="COPOWER"/>
    <s v="JINAN"/>
    <x v="13"/>
    <n v="600"/>
    <n v="450"/>
    <n v="740"/>
    <n v="764"/>
    <n v="8941"/>
    <n v="372.54166666666669"/>
    <n v="24"/>
    <n v="0"/>
    <n v="0"/>
    <n v="0"/>
    <n v="24"/>
    <n v="0"/>
    <n v="0"/>
    <x v="0"/>
    <s v="NO APLICA"/>
    <n v="78680.800000000017"/>
    <s v="NO APLICA"/>
    <n v="1"/>
    <m/>
    <m/>
  </r>
  <r>
    <d v="2026-08-13T00:00:00"/>
    <s v="PUTN"/>
    <s v="COSTAYACO"/>
    <s v="COPOWER"/>
    <s v="JINAN"/>
    <x v="14"/>
    <n v="600"/>
    <n v="450"/>
    <n v="772"/>
    <n v="796"/>
    <n v="8878"/>
    <n v="369.91666666666669"/>
    <n v="24"/>
    <n v="0"/>
    <n v="0"/>
    <n v="0"/>
    <n v="24"/>
    <n v="0"/>
    <n v="0"/>
    <x v="0"/>
    <s v="NO APLICA"/>
    <n v="78126.400000000023"/>
    <s v="NO APLICA"/>
    <n v="1"/>
    <s v="23:33 en coordinación con CCM, FDL parada manual equipo CPW12 por caida de presión de gas CYC 15 PSI.  23:41 equipo CPW12 ingresa en linea alineado con gas tratado MRU."/>
    <m/>
  </r>
  <r>
    <d v="2026-08-14T00:00:00"/>
    <s v="PUTN"/>
    <s v="COSTAYACO"/>
    <s v="COPOWER"/>
    <s v="J320"/>
    <x v="0"/>
    <n v="1050"/>
    <n v="700"/>
    <n v="16472"/>
    <n v="16495"/>
    <n v="14573"/>
    <n v="607.20833333333337"/>
    <n v="23"/>
    <n v="1"/>
    <n v="0"/>
    <n v="0"/>
    <n v="24"/>
    <n v="0"/>
    <n v="0"/>
    <x v="0"/>
    <s v="NO APLICA"/>
    <n v="128242.39999999997"/>
    <s v="NO APLICA"/>
    <n v="1"/>
    <s v="16:42 hrs. Generador CPW01  sale de linea por parada de la MRU, 18:10 hrs ingresan a linea por ingreso de la MRU_x0009__x0009__x0009_"/>
    <m/>
  </r>
  <r>
    <d v="2026-08-14T00:00:00"/>
    <s v="PUTN"/>
    <s v="COSTAYACO"/>
    <s v="COPOWER"/>
    <s v="J320"/>
    <x v="1"/>
    <n v="1050"/>
    <n v="700"/>
    <n v="14242"/>
    <n v="14265"/>
    <n v="13649"/>
    <n v="568.70833333333337"/>
    <n v="23"/>
    <n v="1"/>
    <n v="0"/>
    <n v="0"/>
    <n v="24"/>
    <n v="0"/>
    <n v="0"/>
    <x v="0"/>
    <s v="NO APLICA"/>
    <n v="120111.20000000006"/>
    <s v="NO APLICA"/>
    <n v="1"/>
    <s v="21:06 En coordinación con CCM. FDL Equipo CPW02 por caída de presión en gas Moqueta, 120 PSI."/>
    <m/>
  </r>
  <r>
    <d v="2026-08-14T00:00:00"/>
    <s v="PUTN"/>
    <s v="COSTAYACO"/>
    <s v="COPOWER"/>
    <s v="J320"/>
    <x v="2"/>
    <n v="1050"/>
    <n v="700"/>
    <n v="12731"/>
    <n v="12754"/>
    <n v="14613"/>
    <n v="608.875"/>
    <n v="23"/>
    <n v="1"/>
    <n v="0"/>
    <n v="0"/>
    <n v="24"/>
    <n v="0"/>
    <n v="0"/>
    <x v="0"/>
    <s v="NO APLICA"/>
    <n v="128594.39999999998"/>
    <s v="NO APLICA"/>
    <n v="1"/>
    <s v="16:42 hrs. Generador CPW03  sale de linea por parada de la MRU, 18:07 hrs ingresan a linea por ingreso de la MRU_x0009__x0009__x0009_"/>
    <m/>
  </r>
  <r>
    <d v="2026-08-14T00:00:00"/>
    <s v="PUTN"/>
    <s v="COSTAYACO"/>
    <s v="COPOWER"/>
    <s v="J420"/>
    <x v="3"/>
    <n v="1300"/>
    <n v="1040"/>
    <n v="4199"/>
    <n v="4223"/>
    <n v="18434"/>
    <n v="768.08333333333337"/>
    <n v="24"/>
    <n v="0"/>
    <n v="0"/>
    <n v="0"/>
    <n v="24"/>
    <n v="0"/>
    <n v="0"/>
    <x v="0"/>
    <s v="NO APLICA"/>
    <n v="162219.20000000004"/>
    <s v="NO APLICA"/>
    <n v="1"/>
    <m/>
    <m/>
  </r>
  <r>
    <d v="2026-08-14T00:00:00"/>
    <s v="PUTN"/>
    <s v="COSTAYACO"/>
    <s v="COPOWER"/>
    <s v="J420"/>
    <x v="4"/>
    <n v="1300"/>
    <n v="1040"/>
    <n v="4186"/>
    <n v="4210"/>
    <n v="18508"/>
    <n v="771.16666666666663"/>
    <n v="24"/>
    <n v="0"/>
    <n v="0"/>
    <n v="0"/>
    <n v="24"/>
    <n v="0"/>
    <n v="0"/>
    <x v="0"/>
    <s v="NO APLICA"/>
    <n v="162870.39999999999"/>
    <s v="NO APLICA"/>
    <n v="1"/>
    <m/>
    <m/>
  </r>
  <r>
    <d v="2026-08-14T00:00:00"/>
    <s v="PUTN"/>
    <s v="COSTAYACO"/>
    <s v="COPOWER"/>
    <s v="J420"/>
    <x v="5"/>
    <n v="1300"/>
    <n v="1040"/>
    <n v="2605"/>
    <n v="2621"/>
    <n v="12361"/>
    <n v="515.04166666666663"/>
    <n v="16"/>
    <n v="8"/>
    <n v="0"/>
    <n v="0"/>
    <n v="24"/>
    <n v="0"/>
    <n v="0"/>
    <x v="0"/>
    <s v="NO APLICA"/>
    <n v="108776.79999999999"/>
    <s v="NO APLICA"/>
    <n v="1"/>
    <s v="01:45 A solicitud de CCM. ingresa en linea equipo CPW06 se estabiliza presión de gas MQT 185 psi.   06:05 A solicitud de CCM FDL Equipo CPW06 por inestabilidad de presión de gas MQT 120 psi. 08:45 hrs ingresa a linea por estabilidad del gas 180 psi._x0009_13:43 A solicitud de CCM FDL Equipo CPW06 por inestabilidad de presión de gas MQT 120 psi. 15:37hrs ingresa a linea con gas MRU._x0009_15:40 hrs a solicitud de CCM se realiza cambio de gas MRU a gas MQT por ingreso de generador CPW06 con gas MRU,  16:42 hrs. Generador CPW06  sale de linea por parada de la MRU,  18:09 hrs ingresan a linea por ingreso de la MRU_x0009__x0009__x0009__x0009__x0009__x0009__x0009__x0009__x0009_"/>
    <m/>
  </r>
  <r>
    <d v="2026-08-14T00:00:00"/>
    <s v="PUTN"/>
    <s v="COSTAYACO"/>
    <s v="COPOWER"/>
    <s v="J320"/>
    <x v="6"/>
    <n v="1050"/>
    <n v="740"/>
    <n v="1621"/>
    <n v="1643"/>
    <n v="13460"/>
    <n v="560.83333333333337"/>
    <n v="22"/>
    <n v="2"/>
    <n v="0"/>
    <n v="0"/>
    <n v="24"/>
    <n v="0"/>
    <n v="0"/>
    <x v="0"/>
    <s v="NO APLICA"/>
    <n v="118448.00000000001"/>
    <s v="NO APLICA"/>
    <n v="1"/>
    <s v="16:42 hrs. Generador CPW07  sale de linea por parada de la MRU, 18:05 hrs ingresan a linea por ingreso de la MRU_x0009__x0009__x0009_"/>
    <m/>
  </r>
  <r>
    <d v="2026-08-14T00:00:00"/>
    <s v="PUTN"/>
    <s v="COSTAYACO"/>
    <s v="COPOWER"/>
    <s v="CUMMINS"/>
    <x v="7"/>
    <n v="500"/>
    <n v="360"/>
    <n v="15290"/>
    <n v="15314"/>
    <n v="8640"/>
    <n v="360"/>
    <n v="24"/>
    <n v="0"/>
    <n v="0"/>
    <n v="0"/>
    <n v="24"/>
    <n v="0"/>
    <n v="0"/>
    <x v="1"/>
    <s v="NO APLICA"/>
    <m/>
    <s v="NO APLICA"/>
    <n v="1"/>
    <m/>
    <m/>
  </r>
  <r>
    <d v="2026-08-14T00:00:00"/>
    <s v="PUTN"/>
    <s v="COSTAYACO"/>
    <s v="COPOWER"/>
    <s v="CUMMINS"/>
    <x v="8"/>
    <n v="1000"/>
    <n v="800"/>
    <n v="3605"/>
    <n v="3617"/>
    <n v="9245"/>
    <n v="385.20833333333331"/>
    <n v="12"/>
    <n v="12"/>
    <n v="0"/>
    <n v="0"/>
    <n v="24"/>
    <n v="0"/>
    <n v="0"/>
    <x v="1"/>
    <s v="NO APLICA"/>
    <m/>
    <s v="NO APLICA"/>
    <n v="1"/>
    <s v="01:47 A solicitud de CCM FDL Equipo Diesel G102J por el ingreso en linea equipo CPW06._x0009_06:02 A solicitud de CCM ingresa en linea Equipo Diesel G102J por salida de linea equipo CPW06, 08:51 parada manual por ingreso de genrador CPW06.  13:40 A solicitud de CCM ingresa en linea Equipo Diesel G102J por salida de linea equipo CPW06, 15:42 hrs parada manual por ingreso de genrador CPW06,   16:46 hrs A solicitud de CCM ingresa en linea Equipo Diesel G102J por salida MRU. 18.44 FDL parada manual G102J por solicitud de CCM.  21:03 En coordinación con CCM ingresa en linea equipo G102J por salida de linea equipo CPW02 a causa caída de presión de gas MQT._x0009__x0009__x0009__x0009__x0009__x0009__x0009__x0009__x0009_"/>
    <m/>
  </r>
  <r>
    <d v="2026-08-14T00:00:00"/>
    <s v="PUTN"/>
    <s v="COSTAYACO"/>
    <s v="COPOWER"/>
    <s v="CUMMINS"/>
    <x v="9"/>
    <n v="1000"/>
    <n v="800"/>
    <n v="2476"/>
    <n v="2500"/>
    <n v="18038"/>
    <n v="751.58333333333337"/>
    <n v="24"/>
    <n v="0"/>
    <n v="0"/>
    <n v="0"/>
    <n v="24"/>
    <n v="0"/>
    <n v="0"/>
    <x v="1"/>
    <s v="NO APLICA"/>
    <m/>
    <s v="NO APLICA"/>
    <n v="1"/>
    <m/>
    <m/>
  </r>
  <r>
    <d v="2026-08-14T00:00:00"/>
    <s v="PUTN"/>
    <s v="VONU"/>
    <s v="COPOWER"/>
    <s v="JINAN"/>
    <x v="10"/>
    <n v="600"/>
    <n v="350"/>
    <n v="6666"/>
    <n v="6690"/>
    <n v="8054"/>
    <n v="335.58333333333331"/>
    <n v="24"/>
    <n v="0"/>
    <n v="0"/>
    <n v="0"/>
    <n v="24"/>
    <n v="0"/>
    <n v="0"/>
    <x v="0"/>
    <s v="NO APLICA"/>
    <n v="70875.200000000012"/>
    <s v="NO APLICA"/>
    <n v="1"/>
    <m/>
    <m/>
  </r>
  <r>
    <d v="2026-08-14T00:00:00"/>
    <s v="PUTN"/>
    <s v="VONU"/>
    <s v="COPOWER"/>
    <s v="JINAN"/>
    <x v="11"/>
    <n v="600"/>
    <n v="350"/>
    <n v="6589"/>
    <n v="6613"/>
    <n v="8395"/>
    <n v="349.79166666666669"/>
    <n v="24"/>
    <n v="0"/>
    <n v="0"/>
    <n v="0"/>
    <n v="24"/>
    <n v="0"/>
    <n v="0"/>
    <x v="0"/>
    <s v="NO APLICA"/>
    <n v="73876"/>
    <s v="NO APLICA"/>
    <n v="1"/>
    <m/>
    <m/>
  </r>
  <r>
    <d v="2026-08-14T00:00:00"/>
    <s v="PUTN"/>
    <s v="COSTAYACO"/>
    <s v="COPOWER"/>
    <s v="JINAN"/>
    <x v="12"/>
    <n v="600"/>
    <n v="450"/>
    <n v="4579"/>
    <n v="4603"/>
    <n v="8960"/>
    <n v="373.33333333333331"/>
    <n v="24"/>
    <n v="0"/>
    <n v="0"/>
    <n v="0"/>
    <n v="24"/>
    <n v="0"/>
    <n v="0"/>
    <x v="0"/>
    <s v="NO APLICA"/>
    <n v="78848"/>
    <s v="NO APLICA"/>
    <n v="1"/>
    <m/>
    <m/>
  </r>
  <r>
    <d v="2026-08-14T00:00:00"/>
    <s v="PUTN"/>
    <s v="COSTAYACO"/>
    <s v="COPOWER"/>
    <s v="JINAN"/>
    <x v="13"/>
    <n v="600"/>
    <n v="450"/>
    <n v="764"/>
    <n v="786"/>
    <n v="7608"/>
    <n v="317"/>
    <n v="22"/>
    <n v="2"/>
    <n v="0"/>
    <n v="0"/>
    <n v="24"/>
    <n v="0"/>
    <n v="0"/>
    <x v="0"/>
    <s v="NO APLICA"/>
    <n v="66950.400000000009"/>
    <s v="NO APLICA"/>
    <n v="1"/>
    <s v="11:55 hrs a solicitud de CCM parada manual genrador CPW011por estabilidad de gas CYC 19psi. 14:15 hrs ingresa a linea a solicitud de CCM por estabilidad del gas CYC 23 psi.  15:40 hrs a solicitud de CCM parada manual genrador CPW011por ingreso de generador CPW06 con gas MRU. 16:15 hrs ingresa a linea a solicitud de CCM por estabilidad del gas MRU 46 psi. 16:42 hrs. Generador CPW011  sale de linea por parada de la MRU, 16:57 hrs. A solicitud de CCM ingresa a linea con gas CYC_x0009__x0009__x0009__x0009__x0009__x0009__x0009__x0009_"/>
    <m/>
  </r>
  <r>
    <d v="2026-08-14T00:00:00"/>
    <s v="PUTN"/>
    <s v="COSTAYACO"/>
    <s v="COPOWER"/>
    <s v="JINAN"/>
    <x v="14"/>
    <n v="600"/>
    <n v="450"/>
    <n v="796"/>
    <n v="819"/>
    <n v="8399"/>
    <n v="349.95833333333331"/>
    <n v="23"/>
    <n v="1"/>
    <n v="0"/>
    <n v="0"/>
    <n v="24"/>
    <n v="0"/>
    <n v="0"/>
    <x v="0"/>
    <s v="NO APLICA"/>
    <n v="73911.200000000012"/>
    <s v="NO APLICA"/>
    <n v="1"/>
    <m/>
    <m/>
  </r>
  <r>
    <d v="2026-08-15T00:00:00"/>
    <s v="PUTN"/>
    <s v="COSTAYACO"/>
    <s v="COPOWER"/>
    <s v="J320"/>
    <x v="0"/>
    <n v="1050"/>
    <n v="700"/>
    <n v="16495"/>
    <n v="16519"/>
    <n v="15113"/>
    <n v="629.70833333333337"/>
    <n v="24"/>
    <n v="0"/>
    <n v="0"/>
    <n v="0"/>
    <n v="24"/>
    <n v="0"/>
    <n v="0"/>
    <x v="0"/>
    <s v="NO APLICA"/>
    <n v="132994.4"/>
    <s v="NO APLICA"/>
    <n v="1"/>
    <m/>
    <m/>
  </r>
  <r>
    <d v="2026-08-15T00:00:00"/>
    <s v="PUTN"/>
    <s v="COSTAYACO"/>
    <s v="COPOWER"/>
    <s v="J320"/>
    <x v="1"/>
    <n v="1050"/>
    <n v="700"/>
    <n v="14265"/>
    <n v="14283"/>
    <n v="11073"/>
    <n v="461.375"/>
    <n v="18"/>
    <n v="6"/>
    <n v="0"/>
    <n v="0"/>
    <n v="24"/>
    <n v="0"/>
    <n v="0"/>
    <x v="0"/>
    <s v="NO APLICA"/>
    <n v="97442.400000000009"/>
    <s v="NO APLICA"/>
    <n v="1"/>
    <s v="03:00 En coordinación con CCM. FDL Equipo CPW02 por caída de presión en gas Moqueta, 110 PSI.  07:13 hrs Ingresa a linea a solicitud de CCM generador CPW02 por estabilidad de gas MQT 180 psi.  21:38 En coordinación con CCM. FDL Equipo CPW02 por caída de presión en gas Moqueta, 120 PSI._x0009__x0009__x0009__x0009__x0009_"/>
    <m/>
  </r>
  <r>
    <d v="2026-08-15T00:00:00"/>
    <s v="PUTN"/>
    <s v="COSTAYACO"/>
    <s v="COPOWER"/>
    <s v="J320"/>
    <x v="2"/>
    <n v="1050"/>
    <n v="700"/>
    <n v="12754"/>
    <n v="12778"/>
    <n v="15117"/>
    <n v="629.875"/>
    <n v="24"/>
    <n v="0"/>
    <n v="0"/>
    <n v="0"/>
    <n v="24"/>
    <n v="0"/>
    <n v="0"/>
    <x v="0"/>
    <s v="NO APLICA"/>
    <n v="133029.6"/>
    <s v="NO APLICA"/>
    <n v="1"/>
    <m/>
    <m/>
  </r>
  <r>
    <d v="2026-08-15T00:00:00"/>
    <s v="PUTN"/>
    <s v="COSTAYACO"/>
    <s v="COPOWER"/>
    <s v="J420"/>
    <x v="3"/>
    <n v="1300"/>
    <n v="1040"/>
    <n v="4223"/>
    <n v="4247"/>
    <n v="17569"/>
    <n v="732.04166666666663"/>
    <n v="24"/>
    <n v="0"/>
    <n v="0"/>
    <n v="0"/>
    <n v="24"/>
    <n v="0"/>
    <n v="0"/>
    <x v="0"/>
    <s v="NO APLICA"/>
    <n v="154607.19999999998"/>
    <s v="NO APLICA"/>
    <n v="1"/>
    <m/>
    <m/>
  </r>
  <r>
    <d v="2026-08-15T00:00:00"/>
    <s v="PUTN"/>
    <s v="COSTAYACO"/>
    <s v="COPOWER"/>
    <s v="J420"/>
    <x v="4"/>
    <n v="1300"/>
    <n v="1040"/>
    <n v="4210"/>
    <n v="4234"/>
    <n v="19075"/>
    <n v="794.79166666666663"/>
    <n v="24"/>
    <n v="0"/>
    <n v="0"/>
    <n v="0"/>
    <n v="24"/>
    <n v="0"/>
    <n v="0"/>
    <x v="0"/>
    <s v="NO APLICA"/>
    <n v="167860"/>
    <s v="NO APLICA"/>
    <n v="1"/>
    <m/>
    <m/>
  </r>
  <r>
    <d v="2026-08-15T00:00:00"/>
    <s v="PUTN"/>
    <s v="COSTAYACO"/>
    <s v="COPOWER"/>
    <s v="J420"/>
    <x v="5"/>
    <n v="1300"/>
    <n v="1040"/>
    <n v="2621"/>
    <n v="2645"/>
    <n v="18730"/>
    <n v="780.41666666666663"/>
    <n v="24"/>
    <n v="0"/>
    <n v="0"/>
    <n v="0"/>
    <n v="24"/>
    <n v="0"/>
    <n v="0"/>
    <x v="0"/>
    <s v="NO APLICA"/>
    <n v="164824.00000000003"/>
    <s v="NO APLICA"/>
    <n v="1"/>
    <m/>
    <m/>
  </r>
  <r>
    <d v="2026-08-15T00:00:00"/>
    <s v="PUTN"/>
    <s v="COSTAYACO"/>
    <s v="COPOWER"/>
    <s v="J320"/>
    <x v="6"/>
    <n v="1050"/>
    <n v="740"/>
    <n v="1643"/>
    <n v="1667"/>
    <n v="14341"/>
    <n v="597.54166666666663"/>
    <n v="24"/>
    <n v="0"/>
    <n v="0"/>
    <n v="0"/>
    <n v="24"/>
    <n v="0"/>
    <n v="0"/>
    <x v="0"/>
    <s v="NO APLICA"/>
    <n v="126200.8"/>
    <s v="NO APLICA"/>
    <n v="1"/>
    <m/>
    <m/>
  </r>
  <r>
    <d v="2026-08-15T00:00:00"/>
    <s v="PUTN"/>
    <s v="COSTAYACO"/>
    <s v="COPOWER"/>
    <s v="CUMMINS"/>
    <x v="7"/>
    <n v="500"/>
    <n v="360"/>
    <n v="15314"/>
    <n v="15338"/>
    <n v="7475"/>
    <n v="311.45833333333331"/>
    <n v="24"/>
    <n v="0"/>
    <n v="0"/>
    <n v="0"/>
    <n v="24"/>
    <n v="0"/>
    <n v="0"/>
    <x v="1"/>
    <s v="NO APLICA"/>
    <n v="523"/>
    <s v="NO APLICA"/>
    <n v="1"/>
    <m/>
    <m/>
  </r>
  <r>
    <d v="2026-08-15T00:00:00"/>
    <s v="PUTN"/>
    <s v="COSTAYACO"/>
    <s v="COPOWER"/>
    <s v="CUMMINS"/>
    <x v="8"/>
    <n v="1000"/>
    <n v="800"/>
    <n v="3617"/>
    <n v="3636"/>
    <n v="14562"/>
    <n v="606.75"/>
    <n v="19"/>
    <n v="5"/>
    <n v="0"/>
    <n v="0"/>
    <n v="24"/>
    <n v="0"/>
    <n v="0"/>
    <x v="1"/>
    <s v="NO APLICA"/>
    <n v="1019"/>
    <s v="NO APLICA"/>
    <n v="1"/>
    <s v="03:00 En coordinación con CCM ingresa en linea equipo G102J por salida de linea equipo CPW02 por caída de presión de gas MQT.  14:32 hrs Sale de linea a solicitud de CCM generador G102J, 15:13 A solicitud de CCM ingresa a linea por inicio pruebas TURBINA .  18:52 A solicitud de CCM. FDL Equipo G102J parada manual. 21:16 En coordinación con CCM ingresa en linea equipo G102J por salida de linea equipo CPW02 por caída de presión de gas MQT._x0009__x0009__x0009_"/>
    <m/>
  </r>
  <r>
    <d v="2026-08-15T00:00:00"/>
    <s v="PUTN"/>
    <s v="COSTAYACO"/>
    <s v="COPOWER"/>
    <s v="CUMMINS"/>
    <x v="9"/>
    <n v="1000"/>
    <n v="800"/>
    <n v="2500"/>
    <n v="2524"/>
    <n v="19204"/>
    <n v="800.16666666666663"/>
    <n v="24"/>
    <n v="0"/>
    <n v="0"/>
    <n v="0"/>
    <n v="24"/>
    <n v="0"/>
    <n v="0"/>
    <x v="1"/>
    <s v="NO APLICA"/>
    <n v="1344"/>
    <s v="NO APLICA"/>
    <n v="1"/>
    <m/>
    <m/>
  </r>
  <r>
    <d v="2026-08-15T00:00:00"/>
    <s v="PUTN"/>
    <s v="VONU"/>
    <s v="COPOWER"/>
    <s v="JINAN"/>
    <x v="10"/>
    <n v="600"/>
    <n v="350"/>
    <n v="6690"/>
    <n v="6714"/>
    <n v="8086"/>
    <n v="336.91666666666669"/>
    <n v="24"/>
    <n v="0"/>
    <n v="0"/>
    <n v="0"/>
    <n v="24"/>
    <n v="0"/>
    <n v="0"/>
    <x v="0"/>
    <s v="NO APLICA"/>
    <n v="71156.800000000003"/>
    <s v="NO APLICA"/>
    <n v="1"/>
    <m/>
    <m/>
  </r>
  <r>
    <d v="2026-08-15T00:00:00"/>
    <s v="PUTN"/>
    <s v="VONU"/>
    <s v="COPOWER"/>
    <s v="JINAN"/>
    <x v="11"/>
    <n v="600"/>
    <n v="350"/>
    <n v="6613"/>
    <n v="6637"/>
    <n v="7196"/>
    <n v="299.83333333333331"/>
    <n v="24"/>
    <n v="0"/>
    <n v="0"/>
    <n v="0"/>
    <n v="24"/>
    <n v="0"/>
    <n v="0"/>
    <x v="0"/>
    <s v="NO APLICA"/>
    <n v="63324.800000000003"/>
    <s v="NO APLICA"/>
    <n v="1"/>
    <m/>
    <m/>
  </r>
  <r>
    <d v="2026-08-15T00:00:00"/>
    <s v="PUTN"/>
    <s v="COSTAYACO"/>
    <s v="COPOWER"/>
    <s v="JINAN"/>
    <x v="12"/>
    <n v="600"/>
    <n v="450"/>
    <n v="4603"/>
    <n v="4627"/>
    <n v="8718"/>
    <n v="363.25"/>
    <n v="24"/>
    <n v="0"/>
    <n v="0"/>
    <n v="0"/>
    <n v="24"/>
    <n v="0"/>
    <n v="0"/>
    <x v="0"/>
    <s v="NO APLICA"/>
    <n v="76718.400000000023"/>
    <s v="NO APLICA"/>
    <n v="1"/>
    <m/>
    <m/>
  </r>
  <r>
    <d v="2026-08-15T00:00:00"/>
    <s v="PUTN"/>
    <s v="COSTAYACO"/>
    <s v="COPOWER"/>
    <s v="JINAN"/>
    <x v="13"/>
    <n v="600"/>
    <n v="450"/>
    <n v="786"/>
    <n v="810"/>
    <n v="8716"/>
    <n v="363.16666666666669"/>
    <n v="24"/>
    <n v="0"/>
    <n v="0"/>
    <n v="0"/>
    <n v="24"/>
    <n v="0"/>
    <n v="0"/>
    <x v="0"/>
    <s v="NO APLICA"/>
    <n v="76700.800000000003"/>
    <s v="NO APLICA"/>
    <n v="1"/>
    <m/>
    <m/>
  </r>
  <r>
    <d v="2026-08-15T00:00:00"/>
    <s v="PUTN"/>
    <s v="COSTAYACO"/>
    <s v="COPOWER"/>
    <s v="JINAN"/>
    <x v="14"/>
    <n v="600"/>
    <n v="450"/>
    <n v="819"/>
    <n v="843"/>
    <n v="8523"/>
    <n v="355.125"/>
    <n v="24"/>
    <n v="0"/>
    <n v="0"/>
    <n v="0"/>
    <n v="24"/>
    <n v="0"/>
    <n v="0"/>
    <x v="0"/>
    <s v="NO APLICA"/>
    <n v="75002.399999999994"/>
    <s v="NO APLICA"/>
    <n v="1"/>
    <m/>
    <m/>
  </r>
  <r>
    <d v="2026-08-16T00:00:00"/>
    <s v="PUTN"/>
    <s v="COSTAYACO"/>
    <s v="COPOWER"/>
    <s v="J320"/>
    <x v="0"/>
    <n v="1050"/>
    <n v="700"/>
    <n v="16519"/>
    <n v="16543"/>
    <n v="15318"/>
    <n v="638.25"/>
    <n v="24"/>
    <n v="0"/>
    <n v="0"/>
    <n v="0"/>
    <n v="24"/>
    <n v="0"/>
    <n v="0"/>
    <x v="0"/>
    <s v="NO APLICA"/>
    <n v="134798.39999999999"/>
    <s v="NO APLICA"/>
    <n v="1"/>
    <m/>
    <m/>
  </r>
  <r>
    <d v="2026-08-16T00:00:00"/>
    <s v="PUTN"/>
    <s v="COSTAYACO"/>
    <s v="COPOWER"/>
    <s v="J320"/>
    <x v="1"/>
    <n v="1050"/>
    <n v="700"/>
    <n v="14283"/>
    <n v="14302"/>
    <n v="11783"/>
    <n v="490.95833333333331"/>
    <n v="19"/>
    <n v="5"/>
    <n v="0"/>
    <n v="0"/>
    <n v="24"/>
    <n v="0"/>
    <n v="0"/>
    <x v="0"/>
    <s v="NO APLICA"/>
    <n v="103690.4"/>
    <s v="NO APLICA"/>
    <n v="1"/>
    <s v="04:19 En coordinación con CCM. FDL Equipo CPW02 por caída de presión en gas Moqueta, 120 PSI./ 7:14 Ingresa en linea CPW 02  con gas moqueta 176 psi / 11:50 En coordinación con CCM. FDL Equipo CPW02 por caída de presión entrada gas MQT  130 PSI.  13:27 En coordinación con CCM, ingresa en linea Equipo CPW02 alineado con gas MQT psi"/>
    <m/>
  </r>
  <r>
    <d v="2026-08-16T00:00:00"/>
    <s v="PUTN"/>
    <s v="COSTAYACO"/>
    <s v="COPOWER"/>
    <s v="J320"/>
    <x v="2"/>
    <n v="1050"/>
    <n v="700"/>
    <n v="12778"/>
    <n v="12802"/>
    <n v="15320"/>
    <n v="638.33333333333337"/>
    <n v="24"/>
    <n v="0"/>
    <n v="0"/>
    <n v="0"/>
    <n v="24"/>
    <n v="0"/>
    <n v="0"/>
    <x v="0"/>
    <s v="NO APLICA"/>
    <n v="134816.00000000003"/>
    <s v="NO APLICA"/>
    <n v="1"/>
    <m/>
    <m/>
  </r>
  <r>
    <d v="2026-08-16T00:00:00"/>
    <s v="PUTN"/>
    <s v="COSTAYACO"/>
    <s v="COPOWER"/>
    <s v="J420"/>
    <x v="3"/>
    <n v="1300"/>
    <n v="1040"/>
    <n v="4247"/>
    <n v="4271"/>
    <n v="18094"/>
    <n v="753.91666666666663"/>
    <n v="24"/>
    <n v="0"/>
    <n v="0"/>
    <n v="0"/>
    <n v="24"/>
    <n v="0"/>
    <n v="0"/>
    <x v="0"/>
    <s v="NO APLICA"/>
    <n v="159227.20000000007"/>
    <s v="NO APLICA"/>
    <n v="1"/>
    <m/>
    <m/>
  </r>
  <r>
    <d v="2026-08-16T00:00:00"/>
    <s v="PUTN"/>
    <s v="COSTAYACO"/>
    <s v="COPOWER"/>
    <s v="J420"/>
    <x v="4"/>
    <n v="1300"/>
    <n v="1040"/>
    <n v="4234"/>
    <n v="4258"/>
    <n v="18433"/>
    <n v="768.04166666666663"/>
    <n v="24"/>
    <n v="0"/>
    <n v="0"/>
    <n v="0"/>
    <n v="24"/>
    <n v="0"/>
    <n v="0"/>
    <x v="0"/>
    <s v="NO APLICA"/>
    <n v="162210.4"/>
    <s v="NO APLICA"/>
    <n v="1"/>
    <m/>
    <m/>
  </r>
  <r>
    <d v="2026-08-16T00:00:00"/>
    <s v="PUTN"/>
    <s v="COSTAYACO"/>
    <s v="COPOWER"/>
    <s v="J420"/>
    <x v="5"/>
    <n v="1300"/>
    <n v="1040"/>
    <n v="2645"/>
    <n v="2669"/>
    <n v="18348"/>
    <n v="764.5"/>
    <n v="24"/>
    <n v="0"/>
    <n v="0"/>
    <n v="0"/>
    <n v="24"/>
    <n v="0"/>
    <n v="0"/>
    <x v="0"/>
    <s v="NO APLICA"/>
    <n v="161462.39999999999"/>
    <s v="NO APLICA"/>
    <n v="1"/>
    <m/>
    <m/>
  </r>
  <r>
    <d v="2026-08-16T00:00:00"/>
    <s v="PUTN"/>
    <s v="COSTAYACO"/>
    <s v="COPOWER"/>
    <s v="J320"/>
    <x v="6"/>
    <n v="1050"/>
    <n v="740"/>
    <n v="1667"/>
    <n v="1691"/>
    <n v="14534"/>
    <n v="605.58333333333337"/>
    <n v="24"/>
    <n v="0"/>
    <n v="0"/>
    <n v="0"/>
    <n v="24"/>
    <n v="0"/>
    <n v="0"/>
    <x v="0"/>
    <s v="NO APLICA"/>
    <n v="127899.2"/>
    <s v="NO APLICA"/>
    <n v="1"/>
    <m/>
    <m/>
  </r>
  <r>
    <d v="2026-08-16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s v="00:19 sale de linea equipo G101V finaliza mantenimiento de turbina"/>
    <m/>
  </r>
  <r>
    <d v="2026-08-16T00:00:00"/>
    <s v="PUTN"/>
    <s v="COSTAYACO"/>
    <s v="COPOWER"/>
    <s v="CUMMINS"/>
    <x v="8"/>
    <n v="1000"/>
    <n v="800"/>
    <n v="3636"/>
    <n v="3637"/>
    <n v="759"/>
    <n v="31.625"/>
    <n v="1"/>
    <n v="23"/>
    <n v="0"/>
    <n v="0"/>
    <n v="24"/>
    <n v="0"/>
    <n v="0"/>
    <x v="1"/>
    <s v="NO APLICA"/>
    <n v="53"/>
    <s v="NO APLICA"/>
    <n v="1"/>
    <s v="00:10 En coordinación con CCM sale de linea equipo G102J por ingreso en linea equipo CPW02 a causa de estabilización de presion de gas MQT. 00:39 En coordinación con CCM ingresa equipo G102J delastre de turbina para cambio de aplicativo- 1:22 en coordinacion con ccm sale equipo G102J  por ingreso de turbina en reparto - 16:40 ingresa equipo G102J por 10 min maniobra de la turbina "/>
    <m/>
  </r>
  <r>
    <d v="2026-08-16T00:00:00"/>
    <s v="PUTN"/>
    <s v="COSTAYACO"/>
    <s v="COPOWER"/>
    <s v="CUMMINS"/>
    <x v="9"/>
    <n v="1000"/>
    <n v="800"/>
    <n v="2524"/>
    <n v="2526"/>
    <n v="878"/>
    <n v="36.583333333333336"/>
    <n v="2"/>
    <n v="22"/>
    <n v="0"/>
    <n v="0"/>
    <n v="24"/>
    <n v="0"/>
    <n v="0"/>
    <x v="1"/>
    <s v="NO APLICA"/>
    <n v="61"/>
    <s v="NO APLICA"/>
    <n v="1"/>
    <s v=" 00:12 En coordinación con CCM sale de linea equipo G102K finaliza mantenimiento de turbina.  00:46 En coordinación con CCM ingresa equipo G102K delastre de turbina para cambio de aplicativo- 01:43 En coordinación con CCM sale equipo G102K ingresa en linea Turbina en reparto de carga."/>
    <m/>
  </r>
  <r>
    <d v="2026-08-16T00:00:00"/>
    <s v="PUTN"/>
    <s v="VONU"/>
    <s v="COPOWER"/>
    <s v="JINAN"/>
    <x v="10"/>
    <n v="600"/>
    <n v="350"/>
    <n v="6714"/>
    <n v="6738"/>
    <n v="9539"/>
    <n v="397.45833333333331"/>
    <n v="24"/>
    <n v="0"/>
    <n v="0"/>
    <n v="0"/>
    <n v="24"/>
    <n v="0"/>
    <n v="0"/>
    <x v="0"/>
    <s v="NO APLICA"/>
    <n v="83943.2"/>
    <s v="NO APLICA"/>
    <n v="1"/>
    <m/>
    <m/>
  </r>
  <r>
    <d v="2026-08-16T00:00:00"/>
    <s v="PUTN"/>
    <s v="VONU"/>
    <s v="COPOWER"/>
    <s v="JINAN"/>
    <x v="11"/>
    <n v="600"/>
    <n v="350"/>
    <n v="6637"/>
    <n v="6661"/>
    <n v="8400"/>
    <n v="350"/>
    <n v="24"/>
    <n v="0"/>
    <n v="0"/>
    <n v="0"/>
    <n v="24"/>
    <n v="0"/>
    <n v="0"/>
    <x v="0"/>
    <s v="NO APLICA"/>
    <n v="73920.000000000015"/>
    <s v="NO APLICA"/>
    <n v="1"/>
    <m/>
    <m/>
  </r>
  <r>
    <d v="2026-08-16T00:00:00"/>
    <s v="PUTN"/>
    <s v="COSTAYACO"/>
    <s v="COPOWER"/>
    <s v="JINAN"/>
    <x v="12"/>
    <n v="600"/>
    <n v="450"/>
    <n v="4627"/>
    <n v="4648"/>
    <n v="7358"/>
    <n v="306.58333333333331"/>
    <n v="21"/>
    <n v="3"/>
    <n v="0"/>
    <n v="0"/>
    <n v="24"/>
    <n v="0"/>
    <n v="0"/>
    <x v="0"/>
    <s v="NO APLICA"/>
    <n v="64750.399999999987"/>
    <s v="NO APLICA"/>
    <n v="1"/>
    <s v="04:34 En coordinación con CCM. FDL Equipo CPW10 por caída de presión entrada gas CYC 15 PSI- 8:36:00 a. m. ingresa en linea equipo CPW 10 con gas CYC"/>
    <m/>
  </r>
  <r>
    <d v="2026-08-16T00:00:00"/>
    <s v="PUTN"/>
    <s v="COSTAYACO"/>
    <s v="COPOWER"/>
    <s v="JINAN"/>
    <x v="13"/>
    <n v="600"/>
    <n v="450"/>
    <n v="810"/>
    <n v="832"/>
    <n v="8149"/>
    <n v="339.54166666666669"/>
    <n v="22"/>
    <n v="2"/>
    <n v="0"/>
    <n v="0"/>
    <n v="24"/>
    <n v="0"/>
    <n v="0"/>
    <x v="0"/>
    <s v="NO APLICA"/>
    <n v="71711.199999999997"/>
    <s v="NO APLICA"/>
    <n v="1"/>
    <s v="8:33  Ingresa en linea equipo CPW11  con gas tratado MRU / 04:34 En coordinación con CCM. FDL Equipo CPW11 por caída de presión entrada gas CYC 15 PSI. 06:00:34 En coordinación con CCM, ingresa en linea Equipo CPW11 alineado con gas CYC. "/>
    <m/>
  </r>
  <r>
    <d v="2026-08-16T00:00:00"/>
    <s v="PUTN"/>
    <s v="COSTAYACO"/>
    <s v="COPOWER"/>
    <s v="JINAN"/>
    <x v="14"/>
    <n v="600"/>
    <n v="450"/>
    <n v="843"/>
    <n v="860"/>
    <n v="5906"/>
    <n v="246.08333333333334"/>
    <n v="17"/>
    <n v="7"/>
    <n v="0"/>
    <n v="0"/>
    <n v="24"/>
    <n v="0"/>
    <n v="0"/>
    <x v="0"/>
    <s v="NO APLICA"/>
    <n v="51972.80000000001"/>
    <s v="NO APLICA"/>
    <n v="1"/>
    <s v="04:19 En coordinación con CCM. FDL Equipo CPW12 por caída de presión entrada gas MRU  16 PSI.  06:04 En coordinación con CCM, ingresa en linea Equipo CPW12 alineado con gas MRU.- 7:12 Sale de linea equipo Cpw12 por baja presion de gas costayaco 13 psi- 8:40  Ingresa en linea equipo CPW 12  con gas cyc /  20:28 ingresa equipo CPW 12 en coordinacion con CCM  por aumento de presion cyc 23 PSI"/>
    <m/>
  </r>
  <r>
    <d v="2026-08-17T00:00:00"/>
    <s v="PUTN"/>
    <s v="COSTAYACO"/>
    <s v="COPOWER"/>
    <s v="J320"/>
    <x v="0"/>
    <n v="1050"/>
    <n v="700"/>
    <n v="16543"/>
    <n v="16567"/>
    <n v="15486"/>
    <n v="645.25"/>
    <n v="24"/>
    <n v="0"/>
    <n v="0"/>
    <n v="0"/>
    <n v="24"/>
    <n v="0"/>
    <n v="0"/>
    <x v="0"/>
    <s v="NO APLICA"/>
    <n v="136276.80000000002"/>
    <s v="NO APLICA"/>
    <n v="1"/>
    <m/>
    <m/>
  </r>
  <r>
    <d v="2026-08-17T00:00:00"/>
    <s v="PUTN"/>
    <s v="COSTAYACO"/>
    <s v="COPOWER"/>
    <s v="J320"/>
    <x v="1"/>
    <n v="1050"/>
    <n v="700"/>
    <n v="14302"/>
    <n v="14322"/>
    <n v="11818"/>
    <n v="492.41666666666669"/>
    <n v="20"/>
    <n v="4"/>
    <n v="0"/>
    <n v="0"/>
    <n v="24"/>
    <n v="0"/>
    <n v="0"/>
    <x v="0"/>
    <s v="NO APLICA"/>
    <n v="103998.39999999999"/>
    <s v="NO APLICA"/>
    <n v="1"/>
    <s v="08:03 En coordinación con CCM. FDL Equipo CPW02 por caída de presión en gas Moqueta, 120 PSI. / 08:34 En coordinacion con CCM, Ingresa en linea equipo CPW02 con gas tratado MRU / 10:20 Cambio de gas MRU a MQT equipo cpw 02 / 15:50 En coordinación con CCM. FDL Equipo CPW02 por caída de presión en gas Moqueta, 120 PSI./ 19:55  A solicitud de CCM ingresa equipo CPW 02 por aumento de presión MQT 186 PSI"/>
    <m/>
  </r>
  <r>
    <d v="2026-08-17T00:00:00"/>
    <s v="PUTN"/>
    <s v="COSTAYACO"/>
    <s v="COPOWER"/>
    <s v="J320"/>
    <x v="2"/>
    <n v="1050"/>
    <n v="700"/>
    <n v="12802"/>
    <n v="12826"/>
    <n v="15482"/>
    <n v="645.08333333333337"/>
    <n v="24"/>
    <n v="0"/>
    <n v="0"/>
    <n v="0"/>
    <n v="24"/>
    <n v="0"/>
    <n v="0"/>
    <x v="0"/>
    <s v="NO APLICA"/>
    <n v="136241.60000000003"/>
    <s v="NO APLICA"/>
    <n v="1"/>
    <m/>
    <m/>
  </r>
  <r>
    <d v="2026-08-17T00:00:00"/>
    <s v="PUTN"/>
    <s v="COSTAYACO"/>
    <s v="COPOWER"/>
    <s v="J420"/>
    <x v="3"/>
    <n v="1300"/>
    <n v="1040"/>
    <n v="4271"/>
    <n v="4295"/>
    <n v="16962"/>
    <n v="706.75"/>
    <n v="24"/>
    <n v="0"/>
    <n v="0"/>
    <n v="0"/>
    <n v="24"/>
    <n v="0"/>
    <n v="0"/>
    <x v="0"/>
    <s v="NO APLICA"/>
    <n v="149265.60000000003"/>
    <s v="NO APLICA"/>
    <n v="1"/>
    <m/>
    <m/>
  </r>
  <r>
    <d v="2026-08-17T00:00:00"/>
    <s v="PUTN"/>
    <s v="COSTAYACO"/>
    <s v="COPOWER"/>
    <s v="J420"/>
    <x v="4"/>
    <n v="1300"/>
    <n v="1040"/>
    <n v="4258"/>
    <n v="4282"/>
    <n v="18006"/>
    <n v="750.25"/>
    <n v="24"/>
    <n v="0"/>
    <n v="0"/>
    <n v="0"/>
    <n v="24"/>
    <n v="0"/>
    <n v="0"/>
    <x v="0"/>
    <s v="NO APLICA"/>
    <n v="158452.80000000002"/>
    <s v="NO APLICA"/>
    <n v="1"/>
    <m/>
    <m/>
  </r>
  <r>
    <d v="2026-08-17T00:00:00"/>
    <s v="PUTN"/>
    <s v="COSTAYACO"/>
    <s v="COPOWER"/>
    <s v="J420"/>
    <x v="5"/>
    <n v="1300"/>
    <n v="1040"/>
    <n v="2669"/>
    <n v="2693"/>
    <n v="19666"/>
    <n v="819.41666666666663"/>
    <n v="24"/>
    <n v="0"/>
    <n v="0"/>
    <n v="0"/>
    <n v="24"/>
    <n v="0"/>
    <n v="0"/>
    <x v="0"/>
    <s v="NO APLICA"/>
    <n v="173060.8"/>
    <s v="NO APLICA"/>
    <n v="1"/>
    <m/>
    <m/>
  </r>
  <r>
    <d v="2026-08-17T00:00:00"/>
    <s v="PUTN"/>
    <s v="COSTAYACO"/>
    <s v="COPOWER"/>
    <s v="J320"/>
    <x v="6"/>
    <n v="1050"/>
    <n v="740"/>
    <n v="1691"/>
    <n v="1708"/>
    <n v="10030"/>
    <n v="417.91666666666669"/>
    <n v="18"/>
    <n v="0"/>
    <n v="6"/>
    <n v="0"/>
    <n v="24"/>
    <n v="0"/>
    <n v="0"/>
    <x v="0"/>
    <s v="NO APLICA"/>
    <n v="88264.000000000029"/>
    <s v="NO APLICA"/>
    <n v="1"/>
    <s v="08:34 Sale para mantenimiento programado M1 equipo CPW07 "/>
    <m/>
  </r>
  <r>
    <d v="2026-08-17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7T00:00:00"/>
    <s v="PUTN"/>
    <s v="COSTAYACO"/>
    <s v="COPOWER"/>
    <s v="CUMMINS"/>
    <x v="8"/>
    <n v="1000"/>
    <n v="800"/>
    <n v="3637"/>
    <n v="3637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7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7T00:00:00"/>
    <s v="PUTN"/>
    <s v="VONU"/>
    <s v="COPOWER"/>
    <s v="JINAN"/>
    <x v="10"/>
    <n v="600"/>
    <n v="350"/>
    <n v="6738"/>
    <n v="6762"/>
    <n v="7262"/>
    <n v="302.58333333333331"/>
    <n v="24"/>
    <n v="0"/>
    <n v="0"/>
    <n v="0"/>
    <n v="24"/>
    <n v="0"/>
    <n v="0"/>
    <x v="0"/>
    <s v="NO APLICA"/>
    <n v="63905.600000000006"/>
    <s v="NO APLICA"/>
    <n v="1"/>
    <m/>
    <m/>
  </r>
  <r>
    <d v="2026-08-17T00:00:00"/>
    <s v="PUTN"/>
    <s v="VONU"/>
    <s v="COPOWER"/>
    <s v="JINAN"/>
    <x v="11"/>
    <n v="600"/>
    <n v="350"/>
    <n v="6661"/>
    <n v="6685"/>
    <n v="8397"/>
    <n v="349.875"/>
    <n v="24"/>
    <n v="0"/>
    <n v="0"/>
    <n v="0"/>
    <n v="24"/>
    <n v="0"/>
    <n v="0"/>
    <x v="0"/>
    <s v="NO APLICA"/>
    <n v="73893.60000000002"/>
    <s v="NO APLICA"/>
    <n v="1"/>
    <m/>
    <m/>
  </r>
  <r>
    <d v="2026-08-17T00:00:00"/>
    <s v="PUTN"/>
    <s v="COSTAYACO"/>
    <s v="COPOWER"/>
    <s v="JINAN"/>
    <x v="12"/>
    <n v="600"/>
    <n v="450"/>
    <n v="4648"/>
    <n v="4672"/>
    <n v="8932"/>
    <n v="372.16666666666669"/>
    <n v="24"/>
    <n v="0"/>
    <n v="0"/>
    <n v="0"/>
    <n v="24"/>
    <n v="0"/>
    <n v="0"/>
    <x v="0"/>
    <s v="NO APLICA"/>
    <n v="78601.60000000002"/>
    <s v="NO APLICA"/>
    <n v="1"/>
    <m/>
    <m/>
  </r>
  <r>
    <d v="2026-08-17T00:00:00"/>
    <s v="PUTN"/>
    <s v="COSTAYACO"/>
    <s v="COPOWER"/>
    <s v="JINAN"/>
    <x v="13"/>
    <n v="600"/>
    <n v="450"/>
    <n v="832"/>
    <n v="856"/>
    <n v="8931"/>
    <n v="372.125"/>
    <n v="24"/>
    <n v="0"/>
    <n v="0"/>
    <n v="0"/>
    <n v="24"/>
    <n v="0"/>
    <n v="0"/>
    <x v="0"/>
    <s v="NO APLICA"/>
    <n v="78592.800000000003"/>
    <s v="NO APLICA"/>
    <n v="1"/>
    <m/>
    <m/>
  </r>
  <r>
    <d v="2026-08-17T00:00:00"/>
    <s v="PUTN"/>
    <s v="COSTAYACO"/>
    <s v="COPOWER"/>
    <s v="JINAN"/>
    <x v="14"/>
    <n v="600"/>
    <n v="450"/>
    <n v="860"/>
    <n v="884"/>
    <n v="7944"/>
    <n v="331"/>
    <n v="24"/>
    <n v="0"/>
    <n v="0"/>
    <n v="0"/>
    <n v="24"/>
    <n v="0"/>
    <n v="0"/>
    <x v="0"/>
    <s v="NO APLICA"/>
    <n v="69907.199999999997"/>
    <s v="NO APLICA"/>
    <n v="1"/>
    <m/>
    <m/>
  </r>
  <r>
    <d v="2026-08-18T00:00:00"/>
    <s v="PUTN"/>
    <s v="COSTAYACO"/>
    <s v="COPOWER"/>
    <s v="J320"/>
    <x v="0"/>
    <n v="1050"/>
    <n v="700"/>
    <n v="16567"/>
    <n v="16591"/>
    <n v="14918"/>
    <n v="621.58333333333337"/>
    <n v="24"/>
    <n v="0"/>
    <n v="0"/>
    <n v="0"/>
    <n v="24"/>
    <n v="0"/>
    <n v="0"/>
    <x v="0"/>
    <s v="NO APLICA"/>
    <n v="131278.39999999999"/>
    <s v="NO APLICA"/>
    <n v="1"/>
    <m/>
    <m/>
  </r>
  <r>
    <d v="2026-08-18T00:00:00"/>
    <s v="PUTN"/>
    <s v="COSTAYACO"/>
    <s v="COPOWER"/>
    <s v="J320"/>
    <x v="1"/>
    <n v="1050"/>
    <n v="700"/>
    <n v="14322"/>
    <n v="14346"/>
    <n v="14801"/>
    <n v="616.70833333333337"/>
    <n v="24"/>
    <m/>
    <n v="0"/>
    <n v="0"/>
    <n v="24"/>
    <n v="0"/>
    <n v="0"/>
    <x v="0"/>
    <s v="NO APLICA"/>
    <n v="130248.80000000006"/>
    <s v="NO APLICA"/>
    <n v="1"/>
    <s v="8:05Ingresa en linea CPW 02  con gas moqueta 176 psi"/>
    <m/>
  </r>
  <r>
    <d v="2026-08-18T00:00:00"/>
    <s v="PUTN"/>
    <s v="COSTAYACO"/>
    <s v="COPOWER"/>
    <s v="J320"/>
    <x v="2"/>
    <n v="1050"/>
    <n v="700"/>
    <n v="12826"/>
    <n v="12850"/>
    <n v="14940"/>
    <n v="622.5"/>
    <n v="24"/>
    <n v="0"/>
    <n v="0"/>
    <n v="0"/>
    <n v="24"/>
    <n v="0"/>
    <n v="0"/>
    <x v="0"/>
    <s v="NO APLICA"/>
    <n v="131472"/>
    <s v="NO APLICA"/>
    <n v="1"/>
    <m/>
    <m/>
  </r>
  <r>
    <d v="2026-08-18T00:00:00"/>
    <s v="PUTN"/>
    <s v="COSTAYACO"/>
    <s v="COPOWER"/>
    <s v="J420"/>
    <x v="3"/>
    <n v="1300"/>
    <n v="1040"/>
    <n v="4295"/>
    <n v="4316"/>
    <n v="14852"/>
    <n v="618.83333333333337"/>
    <n v="20"/>
    <n v="4"/>
    <n v="0"/>
    <n v="0"/>
    <n v="24"/>
    <n v="0"/>
    <n v="0"/>
    <x v="0"/>
    <s v="NO APLICA"/>
    <n v="130697.59999999999"/>
    <s v="NO APLICA"/>
    <n v="1"/>
    <s v="11:45 Sale de linea equipo cpw04 por potencia inversa no realiza apertura de el breaker"/>
    <m/>
  </r>
  <r>
    <d v="2026-08-18T00:00:00"/>
    <s v="PUTN"/>
    <s v="COSTAYACO"/>
    <s v="COPOWER"/>
    <s v="J420"/>
    <x v="4"/>
    <n v="1300"/>
    <n v="1040"/>
    <n v="4282"/>
    <n v="4306"/>
    <n v="18318"/>
    <n v="763.25"/>
    <n v="24"/>
    <n v="0"/>
    <n v="0"/>
    <n v="0"/>
    <n v="24"/>
    <n v="0"/>
    <n v="0"/>
    <x v="0"/>
    <s v="NO APLICA"/>
    <n v="161198.40000000005"/>
    <s v="NO APLICA"/>
    <n v="1"/>
    <m/>
    <m/>
  </r>
  <r>
    <d v="2026-08-18T00:00:00"/>
    <s v="PUTN"/>
    <s v="COSTAYACO"/>
    <s v="COPOWER"/>
    <s v="J420"/>
    <x v="5"/>
    <n v="1300"/>
    <n v="1040"/>
    <n v="2693"/>
    <n v="2717"/>
    <n v="17728"/>
    <n v="738.66666666666663"/>
    <n v="24"/>
    <n v="0"/>
    <n v="0"/>
    <n v="0"/>
    <n v="24"/>
    <n v="0"/>
    <n v="0"/>
    <x v="0"/>
    <s v="NO APLICA"/>
    <n v="156006.39999999997"/>
    <s v="NO APLICA"/>
    <n v="1"/>
    <m/>
    <m/>
  </r>
  <r>
    <d v="2026-08-18T00:00:00"/>
    <s v="PUTN"/>
    <s v="COSTAYACO"/>
    <s v="COPOWER"/>
    <s v="J320"/>
    <x v="6"/>
    <n v="1050"/>
    <n v="740"/>
    <n v="1708"/>
    <n v="1732"/>
    <n v="14175"/>
    <n v="590.625"/>
    <n v="24"/>
    <n v="0"/>
    <m/>
    <n v="0"/>
    <n v="24"/>
    <n v="0"/>
    <n v="0"/>
    <x v="0"/>
    <s v="NO APLICA"/>
    <n v="124739.99999999997"/>
    <s v="NO APLICA"/>
    <n v="1"/>
    <m/>
    <m/>
  </r>
  <r>
    <d v="2026-08-18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8T00:00:00"/>
    <s v="PUTN"/>
    <s v="COSTAYACO"/>
    <s v="COPOWER"/>
    <s v="CUMMINS"/>
    <x v="8"/>
    <n v="1000"/>
    <n v="800"/>
    <n v="3637"/>
    <n v="3637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8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8T00:00:00"/>
    <s v="PUTN"/>
    <s v="VONU"/>
    <s v="COPOWER"/>
    <s v="JINAN"/>
    <x v="10"/>
    <n v="600"/>
    <n v="350"/>
    <n v="6762"/>
    <n v="6786"/>
    <n v="7574"/>
    <n v="315.58333333333331"/>
    <n v="24"/>
    <n v="0"/>
    <n v="0"/>
    <n v="0"/>
    <n v="24"/>
    <n v="0"/>
    <n v="0"/>
    <x v="0"/>
    <s v="NO APLICA"/>
    <n v="66651.200000000012"/>
    <s v="NO APLICA"/>
    <n v="1"/>
    <m/>
    <m/>
  </r>
  <r>
    <d v="2026-08-18T00:00:00"/>
    <s v="PUTN"/>
    <s v="VONU"/>
    <s v="COPOWER"/>
    <s v="JINAN"/>
    <x v="11"/>
    <n v="600"/>
    <n v="350"/>
    <n v="6685"/>
    <n v="6707"/>
    <n v="7391"/>
    <n v="307.95833333333331"/>
    <n v="22"/>
    <n v="2"/>
    <n v="0"/>
    <n v="0"/>
    <n v="24"/>
    <n v="0"/>
    <n v="0"/>
    <x v="0"/>
    <s v="NO APLICA"/>
    <n v="65040.800000000003"/>
    <s v="NO APLICA"/>
    <n v="1"/>
    <s v="10:50 Se realiza maniobra de inyeccion de quimica por anular en costayaco 19 sale de linea equipo Jinan 02 / 12:50 Ingresa equipo Jinan 02 finaliza maniobra de inyeccion de quimica por anular en costayaco 19"/>
    <m/>
  </r>
  <r>
    <d v="2026-08-18T00:00:00"/>
    <s v="PUTN"/>
    <s v="COSTAYACO"/>
    <s v="COPOWER"/>
    <s v="JINAN"/>
    <x v="12"/>
    <n v="600"/>
    <n v="450"/>
    <n v="4672"/>
    <n v="4684"/>
    <n v="4273"/>
    <n v="178.04166666666666"/>
    <n v="12"/>
    <n v="4"/>
    <n v="8"/>
    <n v="0"/>
    <n v="24"/>
    <n v="0"/>
    <n v="0"/>
    <x v="0"/>
    <s v="NO APLICA"/>
    <n v="37602.400000000001"/>
    <s v="NO APLICA"/>
    <n v="1"/>
    <s v="10:00 Se realiza mantenimiento preventivo M1 a equipo CPW 10 / 17:05 Ingresa en linea equipo CPW10  apeticion de operador de CCM  con gas CYC / 17:45 ingresa en linea equipo una vez establecida la presion"/>
    <m/>
  </r>
  <r>
    <d v="2026-08-18T00:00:00"/>
    <s v="PUTN"/>
    <s v="COSTAYACO"/>
    <s v="COPOWER"/>
    <s v="JINAN"/>
    <x v="13"/>
    <n v="600"/>
    <n v="450"/>
    <n v="856"/>
    <n v="880"/>
    <n v="8620"/>
    <n v="359.16666666666669"/>
    <n v="24"/>
    <n v="0"/>
    <n v="0"/>
    <n v="0"/>
    <n v="24"/>
    <n v="0"/>
    <n v="0"/>
    <x v="0"/>
    <s v="NO APLICA"/>
    <n v="75856.000000000015"/>
    <s v="NO APLICA"/>
    <n v="1"/>
    <m/>
    <m/>
  </r>
  <r>
    <d v="2026-08-18T00:00:00"/>
    <s v="PUTN"/>
    <s v="COSTAYACO"/>
    <s v="COPOWER"/>
    <s v="JINAN"/>
    <x v="14"/>
    <n v="600"/>
    <n v="450"/>
    <n v="884"/>
    <n v="908"/>
    <n v="7662"/>
    <n v="319.25"/>
    <n v="24"/>
    <n v="0"/>
    <n v="0"/>
    <n v="0"/>
    <n v="24"/>
    <n v="0"/>
    <n v="0"/>
    <x v="0"/>
    <s v="NO APLICA"/>
    <n v="67425.599999999991"/>
    <s v="NO APLICA"/>
    <n v="1"/>
    <m/>
    <m/>
  </r>
  <r>
    <d v="2026-08-19T00:00:00"/>
    <s v="PUTN"/>
    <s v="COSTAYACO"/>
    <s v="COPOWER"/>
    <s v="J320"/>
    <x v="0"/>
    <n v="1050"/>
    <n v="700"/>
    <n v="16591"/>
    <n v="16607"/>
    <n v="9516"/>
    <n v="396.5"/>
    <n v="18"/>
    <n v="0"/>
    <n v="6"/>
    <n v="0"/>
    <n v="24"/>
    <n v="0"/>
    <n v="0"/>
    <x v="0"/>
    <s v="NO APLICA"/>
    <n v="83740.800000000003"/>
    <s v="NO APLICA"/>
    <n v="1"/>
    <s v="07:26 hrs. EQUIPO: CPW-01, FDL por mantenimiento se manal de la MRU. Ingresa a mantenimiento preventivo programado a las 9:00 horas, y se termina a las 14:30 horas. Ingresa en linea a las 15:50 hrs."/>
    <m/>
  </r>
  <r>
    <d v="2026-08-19T00:00:00"/>
    <s v="PUTN"/>
    <s v="COSTAYACO"/>
    <s v="COPOWER"/>
    <s v="J320"/>
    <x v="1"/>
    <n v="1050"/>
    <n v="700"/>
    <n v="14346"/>
    <n v="14369"/>
    <n v="14448"/>
    <n v="602"/>
    <n v="23"/>
    <n v="1"/>
    <n v="0"/>
    <n v="0"/>
    <n v="24"/>
    <n v="0"/>
    <n v="0"/>
    <x v="0"/>
    <s v="NO APLICA"/>
    <n v="127142.40000000005"/>
    <s v="NO APLICA"/>
    <n v="1"/>
    <s v=" 22:49 CPW 02 A solicitud de CCM sale de linea por baja presion gas MQT 120 PSI"/>
    <m/>
  </r>
  <r>
    <d v="2026-08-19T00:00:00"/>
    <s v="PUTN"/>
    <s v="COSTAYACO"/>
    <s v="COPOWER"/>
    <s v="J320"/>
    <x v="2"/>
    <n v="1050"/>
    <n v="700"/>
    <n v="12850"/>
    <n v="12866"/>
    <n v="9800"/>
    <n v="408.33333333333331"/>
    <n v="16"/>
    <n v="8"/>
    <n v="0"/>
    <n v="0"/>
    <n v="24"/>
    <n v="0"/>
    <n v="0"/>
    <x v="0"/>
    <s v="NO APLICA"/>
    <n v="86240.000000000015"/>
    <s v="NO APLICA"/>
    <n v="1"/>
    <s v="07:19 hrs. EQUIPO: CPW-03, FDL por mantenimiento se manal de la MRU. Ingresa en linea a las 15:42 hrs. / "/>
    <m/>
  </r>
  <r>
    <d v="2026-08-19T00:00:00"/>
    <s v="PUTN"/>
    <s v="COSTAYACO"/>
    <s v="COPOWER"/>
    <s v="J420"/>
    <x v="3"/>
    <n v="1300"/>
    <n v="1040"/>
    <n v="4316"/>
    <n v="4330"/>
    <n v="9721"/>
    <n v="405.04166666666669"/>
    <n v="14"/>
    <n v="10"/>
    <n v="0"/>
    <n v="0"/>
    <n v="24"/>
    <n v="0"/>
    <n v="0"/>
    <x v="0"/>
    <s v="NO APLICA"/>
    <n v="85544.8"/>
    <s v="NO APLICA"/>
    <n v="1"/>
    <s v="07:26 hrs. EQUIPO: CPW-04, FDL por mantenimiento se manal de la MRU. Ingresa en linea a las 17:59 hrs."/>
    <m/>
  </r>
  <r>
    <d v="2026-08-19T00:00:00"/>
    <s v="PUTN"/>
    <s v="COSTAYACO"/>
    <s v="COPOWER"/>
    <s v="J420"/>
    <x v="4"/>
    <n v="1300"/>
    <n v="1040"/>
    <n v="4306"/>
    <n v="4330"/>
    <n v="17759"/>
    <n v="739.95833333333337"/>
    <n v="24"/>
    <n v="0"/>
    <n v="0"/>
    <n v="0"/>
    <n v="24"/>
    <n v="0"/>
    <n v="0"/>
    <x v="0"/>
    <s v="NO APLICA"/>
    <n v="156279.19999999998"/>
    <s v="NO APLICA"/>
    <n v="1"/>
    <m/>
    <m/>
  </r>
  <r>
    <d v="2026-08-19T00:00:00"/>
    <s v="PUTN"/>
    <s v="COSTAYACO"/>
    <s v="COPOWER"/>
    <s v="J420"/>
    <x v="5"/>
    <n v="1300"/>
    <n v="1040"/>
    <n v="2717"/>
    <n v="2739"/>
    <n v="16249"/>
    <n v="677.04166666666663"/>
    <n v="22"/>
    <n v="2"/>
    <n v="0"/>
    <n v="0"/>
    <n v="24"/>
    <n v="0"/>
    <n v="0"/>
    <x v="0"/>
    <s v="NO APLICA"/>
    <n v="142991.20000000001"/>
    <s v="NO APLICA"/>
    <n v="1"/>
    <s v="08:57 hrs. EQUIPO: CPW-06, FDL. A solicitud de CCM. FDL equipo 06 por baja presión en gas Moqueta 110 PSI. Ingresa en linea a las 11:29 hrs."/>
    <m/>
  </r>
  <r>
    <d v="2026-08-19T00:00:00"/>
    <s v="PUTN"/>
    <s v="COSTAYACO"/>
    <s v="COPOWER"/>
    <s v="J320"/>
    <x v="6"/>
    <n v="1050"/>
    <n v="740"/>
    <n v="1732"/>
    <n v="1749"/>
    <n v="9663"/>
    <n v="402.625"/>
    <n v="17"/>
    <n v="7"/>
    <m/>
    <n v="0"/>
    <n v="24"/>
    <n v="0"/>
    <n v="0"/>
    <x v="0"/>
    <s v="NO APLICA"/>
    <n v="85034.39999999998"/>
    <s v="NO APLICA"/>
    <n v="1"/>
    <s v="07:55 hrs. EQUIPO: CPW-07, FDL por mantenimiento se manal de la MRU. Ingresa en linea a las 15:48 hrs."/>
    <m/>
  </r>
  <r>
    <d v="2026-08-19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9T00:00:00"/>
    <s v="PUTN"/>
    <s v="COSTAYACO"/>
    <s v="COPOWER"/>
    <s v="CUMMINS"/>
    <x v="8"/>
    <n v="1000"/>
    <n v="800"/>
    <n v="3637"/>
    <n v="3641"/>
    <n v="3076"/>
    <n v="128.16666666666666"/>
    <n v="4"/>
    <n v="20"/>
    <n v="0"/>
    <n v="0"/>
    <n v="24"/>
    <n v="0"/>
    <n v="0"/>
    <x v="1"/>
    <s v="NO APLICA"/>
    <n v="215"/>
    <s v="NO APLICA"/>
    <n v="1"/>
    <s v="07:12 hrs. EQUIPO: G102J, A solicitud de CCM. por salida de linea de equipos con gas tratado, equipo queda sale de linea a las 08:10 Hrs. / 08:36 hrs. EQUIPO: G102J, A solicitud de CCM. por salida de linea de equipo CPW-06 por baja presion n gas Moqueta, equipo queda sale de linea a las 11:46 Hrs. "/>
    <m/>
  </r>
  <r>
    <d v="2026-08-19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19T00:00:00"/>
    <s v="PUTN"/>
    <s v="VONU"/>
    <s v="COPOWER"/>
    <s v="JINAN"/>
    <x v="10"/>
    <n v="600"/>
    <n v="350"/>
    <n v="6786"/>
    <n v="6810"/>
    <n v="8308"/>
    <n v="346.16666666666669"/>
    <n v="24"/>
    <n v="0"/>
    <n v="0"/>
    <n v="0"/>
    <n v="24"/>
    <n v="0"/>
    <n v="0"/>
    <x v="0"/>
    <s v="NO APLICA"/>
    <n v="73110.400000000009"/>
    <s v="NO APLICA"/>
    <n v="1"/>
    <m/>
    <m/>
  </r>
  <r>
    <d v="2026-08-19T00:00:00"/>
    <s v="PUTN"/>
    <s v="VONU"/>
    <s v="COPOWER"/>
    <s v="JINAN"/>
    <x v="11"/>
    <n v="600"/>
    <n v="350"/>
    <n v="6707"/>
    <n v="6731"/>
    <n v="8397"/>
    <n v="349.875"/>
    <n v="24"/>
    <n v="0"/>
    <n v="0"/>
    <n v="0"/>
    <n v="24"/>
    <n v="0"/>
    <n v="0"/>
    <x v="0"/>
    <s v="NO APLICA"/>
    <n v="73893.600000000006"/>
    <s v="NO APLICA"/>
    <n v="1"/>
    <m/>
    <m/>
  </r>
  <r>
    <d v="2026-08-19T00:00:00"/>
    <s v="PUTN"/>
    <s v="COSTAYACO"/>
    <s v="COPOWER"/>
    <s v="JINAN"/>
    <x v="12"/>
    <n v="600"/>
    <n v="450"/>
    <n v="4684"/>
    <n v="4708"/>
    <n v="8930"/>
    <n v="372.08333333333331"/>
    <n v="24"/>
    <n v="0"/>
    <n v="0"/>
    <n v="0"/>
    <n v="24"/>
    <n v="0"/>
    <n v="0"/>
    <x v="0"/>
    <s v="NO APLICA"/>
    <n v="78584.000000000029"/>
    <s v="NO APLICA"/>
    <n v="1"/>
    <m/>
    <m/>
  </r>
  <r>
    <d v="2026-08-19T00:00:00"/>
    <s v="PUTN"/>
    <s v="COSTAYACO"/>
    <s v="COPOWER"/>
    <s v="JINAN"/>
    <x v="13"/>
    <n v="600"/>
    <n v="450"/>
    <n v="880"/>
    <n v="902"/>
    <n v="7788"/>
    <n v="324.5"/>
    <n v="22"/>
    <n v="2"/>
    <n v="0"/>
    <n v="0"/>
    <n v="24"/>
    <n v="0"/>
    <n v="0"/>
    <x v="0"/>
    <s v="NO APLICA"/>
    <n v="68534.399999999994"/>
    <s v="NO APLICA"/>
    <n v="1"/>
    <s v="07:55 hrs. EQUIPO: CPW-11,  por mantenimiento se manal de la MRU. Ingresa en linea a las 08:10 hrs. Con gas Costayaco / 13:44 hrs. EQUIPO: Jinan 11, A solicitud de CCM. FDL por baja presión en gas Costayaco 14PSI."/>
    <m/>
  </r>
  <r>
    <d v="2026-08-19T00:00:00"/>
    <s v="PUTN"/>
    <s v="COSTAYACO"/>
    <s v="COPOWER"/>
    <s v="JINAN"/>
    <x v="14"/>
    <n v="600"/>
    <n v="450"/>
    <n v="908"/>
    <n v="921"/>
    <n v="4406"/>
    <n v="183.58333333333334"/>
    <n v="13"/>
    <n v="11"/>
    <n v="0"/>
    <n v="0"/>
    <n v="24"/>
    <n v="0"/>
    <n v="0"/>
    <x v="0"/>
    <s v="NO APLICA"/>
    <n v="38772.80000000001"/>
    <s v="NO APLICA"/>
    <n v="1"/>
    <s v="13:13 hrs. EQUIPO: Jinan 12, A solicitud de CCM. FDL por baja presión en gas Costayaco 14PSI."/>
    <m/>
  </r>
  <r>
    <d v="2026-08-20T00:00:00"/>
    <s v="PUTN"/>
    <s v="COSTAYACO"/>
    <s v="COPOWER"/>
    <s v="J320"/>
    <x v="0"/>
    <n v="1050"/>
    <n v="700"/>
    <n v="16607"/>
    <n v="16630"/>
    <n v="14740"/>
    <n v="614.16666666666663"/>
    <n v="23"/>
    <n v="1"/>
    <n v="0"/>
    <n v="0"/>
    <n v="24"/>
    <n v="0"/>
    <n v="0"/>
    <x v="0"/>
    <s v="NO APLICA"/>
    <n v="129711.99999999999"/>
    <s v="NO APLICA"/>
    <n v="1"/>
    <s v="15:18 hrs. EQUIPO: CPW-01. FDL MRU &amp; CHILLER, FDL generacion a gas tratado. Ingresa en linea a las 16:33 hrs."/>
    <m/>
  </r>
  <r>
    <d v="2026-08-20T00:00:00"/>
    <s v="PUTN"/>
    <s v="COSTAYACO"/>
    <s v="COPOWER"/>
    <s v="J320"/>
    <x v="1"/>
    <n v="1050"/>
    <n v="700"/>
    <n v="14369"/>
    <n v="14388"/>
    <n v="12756"/>
    <n v="531.5"/>
    <n v="19"/>
    <n v="5"/>
    <n v="0"/>
    <n v="0"/>
    <n v="24"/>
    <n v="0"/>
    <n v="0"/>
    <x v="0"/>
    <s v="NO APLICA"/>
    <n v="112252.80000000002"/>
    <s v="NO APLICA"/>
    <n v="1"/>
    <s v="01:32 CPW 02 A solicitud de CCM ingresa en linea por aumento de presion gas MQT 178 PSI / 04:45 CPW 02 A solicitud de CCM sale de linea por baja presion de gas MQT 120 PSI / 07:27 hrs. EQUIPO: CPW-02. A solicitud de CCM. por estabilidad de presión en gas Moqueta 170 PSI. / "/>
    <m/>
  </r>
  <r>
    <d v="2026-08-20T00:00:00"/>
    <s v="PUTN"/>
    <s v="COSTAYACO"/>
    <s v="COPOWER"/>
    <s v="J320"/>
    <x v="2"/>
    <n v="1050"/>
    <n v="700"/>
    <n v="12866"/>
    <n v="12889"/>
    <n v="14438"/>
    <n v="601.58333333333337"/>
    <n v="23"/>
    <n v="1"/>
    <n v="0"/>
    <n v="0"/>
    <n v="24"/>
    <n v="0"/>
    <n v="0"/>
    <x v="0"/>
    <s v="NO APLICA"/>
    <n v="127054.40000000002"/>
    <s v="NO APLICA"/>
    <n v="1"/>
    <s v="15:18 hrs. EQUIPO: CPW-03. FDL MRU &amp; CHILLER, FDL generacion a gas tratado. Ingresa en linea a las 16:26 hrs."/>
    <m/>
  </r>
  <r>
    <d v="2026-08-20T00:00:00"/>
    <s v="PUTN"/>
    <s v="COSTAYACO"/>
    <s v="COPOWER"/>
    <s v="J420"/>
    <x v="3"/>
    <n v="1300"/>
    <n v="1040"/>
    <n v="4330"/>
    <n v="4347"/>
    <n v="11543"/>
    <n v="480.95833333333331"/>
    <n v="16"/>
    <n v="8"/>
    <n v="0"/>
    <n v="0"/>
    <n v="24"/>
    <n v="0"/>
    <n v="0"/>
    <x v="0"/>
    <s v="NO APLICA"/>
    <n v="101578.40000000002"/>
    <s v="NO APLICA"/>
    <n v="1"/>
    <s v="11:41 hrs. EQUIPO: CPW-04. A solicitud de CCM. FDL para recuperar presión en gas Moqueta 115 PSI. / 20:28 CPW 04 A solicitud de CCM ingresa a linea por  alta presión de gas MQT 180PSI."/>
    <m/>
  </r>
  <r>
    <d v="2026-08-20T00:00:00"/>
    <s v="PUTN"/>
    <s v="COSTAYACO"/>
    <s v="COPOWER"/>
    <s v="J420"/>
    <x v="4"/>
    <n v="1300"/>
    <n v="1040"/>
    <n v="4330"/>
    <n v="4354"/>
    <n v="18714"/>
    <n v="779.75"/>
    <n v="24"/>
    <n v="0"/>
    <n v="0"/>
    <n v="0"/>
    <n v="24"/>
    <n v="0"/>
    <n v="0"/>
    <x v="0"/>
    <s v="NO APLICA"/>
    <n v="164683.20000000001"/>
    <s v="NO APLICA"/>
    <n v="1"/>
    <m/>
    <m/>
  </r>
  <r>
    <d v="2026-08-20T00:00:00"/>
    <s v="PUTN"/>
    <s v="COSTAYACO"/>
    <s v="COPOWER"/>
    <s v="J420"/>
    <x v="5"/>
    <n v="1300"/>
    <n v="1040"/>
    <n v="2739"/>
    <n v="2762"/>
    <n v="19018"/>
    <n v="792.41666666666663"/>
    <n v="23"/>
    <n v="1"/>
    <n v="0"/>
    <n v="0"/>
    <n v="24"/>
    <n v="0"/>
    <n v="0"/>
    <x v="0"/>
    <s v="NO APLICA"/>
    <n v="167358.40000000005"/>
    <s v="NO APLICA"/>
    <n v="1"/>
    <s v="15:18 hrs. EQUIPO: CPW-06. FDL MRU &amp; CHILLER, FDL generacion a gas tratado. Ingresa en linea a las 16:33 hrs."/>
    <m/>
  </r>
  <r>
    <d v="2026-08-20T00:00:00"/>
    <s v="PUTN"/>
    <s v="COSTAYACO"/>
    <s v="COPOWER"/>
    <s v="J320"/>
    <x v="6"/>
    <n v="1050"/>
    <n v="740"/>
    <n v="1749"/>
    <n v="1772"/>
    <n v="13977"/>
    <n v="582.375"/>
    <n v="23"/>
    <n v="1"/>
    <m/>
    <n v="0"/>
    <n v="24"/>
    <n v="0"/>
    <n v="0"/>
    <x v="0"/>
    <s v="NO APLICA"/>
    <n v="122997.59999999998"/>
    <s v="NO APLICA"/>
    <n v="1"/>
    <s v="15:18 hrs. EQUIPO: CPW-07. FDL MRU &amp; CHILLER, FDL generacion a gas tratado. Ingresa en linea a las 16:27 hrs."/>
    <m/>
  </r>
  <r>
    <d v="2026-08-20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0T00:00:00"/>
    <s v="PUTN"/>
    <s v="COSTAYACO"/>
    <s v="COPOWER"/>
    <s v="CUMMINS"/>
    <x v="8"/>
    <n v="1000"/>
    <n v="800"/>
    <n v="3641"/>
    <n v="364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0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0T00:00:00"/>
    <s v="PUTN"/>
    <s v="VONU"/>
    <s v="COPOWER"/>
    <s v="JINAN"/>
    <x v="10"/>
    <n v="600"/>
    <n v="350"/>
    <n v="6810"/>
    <n v="6834"/>
    <n v="7756"/>
    <n v="323.16666666666669"/>
    <n v="24"/>
    <n v="0"/>
    <n v="0"/>
    <n v="0"/>
    <n v="24"/>
    <n v="0"/>
    <n v="0"/>
    <x v="0"/>
    <s v="NO APLICA"/>
    <n v="68252.800000000003"/>
    <s v="NO APLICA"/>
    <n v="1"/>
    <m/>
    <m/>
  </r>
  <r>
    <d v="2026-08-20T00:00:00"/>
    <s v="PUTN"/>
    <s v="VONU"/>
    <s v="COPOWER"/>
    <s v="JINAN"/>
    <x v="11"/>
    <n v="600"/>
    <n v="350"/>
    <n v="6731"/>
    <n v="6755"/>
    <n v="8398"/>
    <n v="349.91666666666669"/>
    <n v="24"/>
    <n v="0"/>
    <n v="0"/>
    <n v="0"/>
    <n v="24"/>
    <n v="0"/>
    <n v="0"/>
    <x v="0"/>
    <s v="NO APLICA"/>
    <n v="73902.399999999994"/>
    <s v="NO APLICA"/>
    <n v="1"/>
    <m/>
    <m/>
  </r>
  <r>
    <d v="2026-08-20T00:00:00"/>
    <s v="PUTN"/>
    <s v="COSTAYACO"/>
    <s v="COPOWER"/>
    <s v="JINAN"/>
    <x v="12"/>
    <n v="600"/>
    <n v="450"/>
    <n v="4708"/>
    <n v="4731"/>
    <n v="8217"/>
    <n v="342.375"/>
    <n v="23"/>
    <n v="1"/>
    <n v="0"/>
    <n v="0"/>
    <n v="24"/>
    <n v="0"/>
    <n v="0"/>
    <x v="0"/>
    <s v="NO APLICA"/>
    <n v="72309.600000000006"/>
    <s v="NO APLICA"/>
    <n v="1"/>
    <s v="01:36 CPW 10 a solicitud de CCM sale de linea equipo por baja presion CYC 17 PSI / 02:12 CPW 10 A solicitud de CCM ingresa en linea por aumento de presion gas CYC 23 PSI / 19:12  CPW 10 a solicitud de CCM sale de linea equipo por baja presion CYC 17 PSI  / 20:16 CPW 10 A solicitud de operador de CCM ingresa equipo por aumento de presión de gas CYC"/>
    <m/>
  </r>
  <r>
    <d v="2026-08-20T00:00:00"/>
    <s v="PUTN"/>
    <s v="COSTAYACO"/>
    <s v="COPOWER"/>
    <s v="JINAN"/>
    <x v="13"/>
    <n v="600"/>
    <n v="450"/>
    <n v="902"/>
    <n v="924"/>
    <n v="8399"/>
    <n v="349.95833333333331"/>
    <n v="22"/>
    <n v="2"/>
    <n v="0"/>
    <n v="0"/>
    <n v="24"/>
    <n v="0"/>
    <n v="0"/>
    <x v="0"/>
    <s v="NO APLICA"/>
    <n v="73911.199999999997"/>
    <s v="NO APLICA"/>
    <n v="1"/>
    <s v="15:18 hrs. EQUIPO: CPW-11. FDL MRU &amp; CHILLER, FDL generacion a gas tratado. Ingresa en linea a las 16:53 hrs."/>
    <m/>
  </r>
  <r>
    <d v="2026-08-20T00:00:00"/>
    <s v="PUTN"/>
    <s v="COSTAYACO"/>
    <s v="COPOWER"/>
    <s v="JINAN"/>
    <x v="14"/>
    <n v="600"/>
    <n v="450"/>
    <n v="921"/>
    <n v="921"/>
    <n v="0"/>
    <n v="0"/>
    <n v="0"/>
    <n v="16"/>
    <n v="8"/>
    <n v="0"/>
    <n v="24"/>
    <n v="0"/>
    <n v="0"/>
    <x v="0"/>
    <s v="NO APLICA"/>
    <n v="0"/>
    <s v="NO APLICA"/>
    <n v="1"/>
    <s v="08:00 hrs. Equipo Jinan-12, se inicia mantenimiento preventivo programado, se termina a las 15:00 hrs / 15:18 hrs. EQUIPO: CPW-12. FDL MRU &amp; CHILLER, FDL generacion a gas tratado. Ingresa en linea a las 16:52 hrs."/>
    <m/>
  </r>
  <r>
    <d v="2026-08-21T00:00:00"/>
    <s v="PUTN"/>
    <s v="COSTAYACO"/>
    <s v="COPOWER"/>
    <s v="J320"/>
    <x v="0"/>
    <n v="1050"/>
    <n v="700"/>
    <n v="16630"/>
    <n v="16654"/>
    <n v="15600"/>
    <n v="650"/>
    <n v="24"/>
    <n v="0"/>
    <n v="0"/>
    <n v="0"/>
    <n v="24"/>
    <n v="0"/>
    <n v="0"/>
    <x v="0"/>
    <s v="NO APLICA"/>
    <n v="137280"/>
    <s v="NO APLICA"/>
    <n v="1"/>
    <m/>
    <m/>
  </r>
  <r>
    <d v="2026-08-21T00:00:00"/>
    <s v="PUTN"/>
    <s v="COSTAYACO"/>
    <s v="COPOWER"/>
    <s v="J320"/>
    <x v="1"/>
    <n v="1050"/>
    <n v="700"/>
    <n v="14388"/>
    <n v="14410"/>
    <n v="14697"/>
    <n v="612.375"/>
    <n v="22"/>
    <n v="2"/>
    <n v="0"/>
    <n v="0"/>
    <n v="24"/>
    <n v="0"/>
    <n v="0"/>
    <x v="0"/>
    <s v="NO APLICA"/>
    <n v="129333.60000000003"/>
    <s v="NO APLICA"/>
    <n v="1"/>
    <s v="02:12 CPW 02 A solicitud de CCM sale de linea por baja presion de gas MQT 120 PSI / 05:13 CPW 02 A solicitud de CCM ingresa en linea por incremento de presión gas MQT 178 PSI"/>
    <m/>
  </r>
  <r>
    <d v="2026-08-21T00:00:00"/>
    <s v="PUTN"/>
    <s v="COSTAYACO"/>
    <s v="COPOWER"/>
    <s v="J320"/>
    <x v="2"/>
    <n v="1050"/>
    <n v="700"/>
    <n v="12889"/>
    <n v="12907"/>
    <n v="9369"/>
    <n v="390.375"/>
    <n v="18"/>
    <n v="6"/>
    <n v="0"/>
    <n v="0"/>
    <n v="24"/>
    <n v="0"/>
    <n v="0"/>
    <x v="0"/>
    <s v="NO APLICA"/>
    <n v="82447.199999999997"/>
    <s v="NO APLICA"/>
    <n v="1"/>
    <s v="10:22 hrs. EQUIPO: CPW 03. A solicitud del CCM. FDL por pruebas de quema de gas Moqueta en TEA. Ingresa en linea a las 13:28 horas. / CPW 03  las 19:40 horas, FDL por rotación de equipos sale por baja presión de gas MQT 120psi. / A las 22:30 horas, A solicitud de CCM ingresa en linea Equipo CPW-03 por alta presión de MQT 180 psi._x000a_equipos CPW-02 alineado con gas MQT y CPW-03 gas tratado MRU"/>
    <m/>
  </r>
  <r>
    <d v="2026-08-21T00:00:00"/>
    <s v="PUTN"/>
    <s v="COSTAYACO"/>
    <s v="COPOWER"/>
    <s v="J420"/>
    <x v="3"/>
    <n v="1300"/>
    <n v="1040"/>
    <n v="4347"/>
    <n v="4370"/>
    <n v="16201"/>
    <n v="675.04166666666663"/>
    <n v="23"/>
    <n v="1"/>
    <n v="0"/>
    <n v="0"/>
    <n v="24"/>
    <n v="0"/>
    <n v="0"/>
    <x v="0"/>
    <s v="NO APLICA"/>
    <n v="142568.79999999999"/>
    <s v="NO APLICA"/>
    <n v="1"/>
    <s v="10:27 hrs. EQUIPO: CPW 04. A solicitud del CCM. FDL por pruebas de quema de gas Moqueta en TEA. Ingresa en linea a las 11:59 horas."/>
    <m/>
  </r>
  <r>
    <d v="2026-08-21T00:00:00"/>
    <s v="PUTN"/>
    <s v="COSTAYACO"/>
    <s v="COPOWER"/>
    <s v="J420"/>
    <x v="4"/>
    <n v="1300"/>
    <n v="1040"/>
    <n v="4354"/>
    <n v="4377"/>
    <n v="17700"/>
    <n v="737.5"/>
    <n v="23"/>
    <n v="1"/>
    <n v="0"/>
    <n v="0"/>
    <n v="24"/>
    <n v="0"/>
    <n v="0"/>
    <x v="0"/>
    <s v="NO APLICA"/>
    <n v="155760.00000000006"/>
    <s v="NO APLICA"/>
    <n v="1"/>
    <s v="10:30 hrs. EQUIPO: CPW 05. A solicitud del CCM. FDL por pruebas de quema de gas Moqueta en TEA. Ingresa en linea a las 11:49 hrs."/>
    <m/>
  </r>
  <r>
    <d v="2026-08-21T00:00:00"/>
    <s v="PUTN"/>
    <s v="COSTAYACO"/>
    <s v="COPOWER"/>
    <s v="J420"/>
    <x v="5"/>
    <n v="1300"/>
    <n v="1040"/>
    <n v="2762"/>
    <n v="2786"/>
    <n v="19605"/>
    <n v="816.875"/>
    <n v="24"/>
    <n v="0"/>
    <n v="0"/>
    <n v="0"/>
    <n v="24"/>
    <n v="0"/>
    <n v="0"/>
    <x v="0"/>
    <s v="NO APLICA"/>
    <n v="172524"/>
    <s v="NO APLICA"/>
    <n v="1"/>
    <m/>
    <m/>
  </r>
  <r>
    <d v="2026-08-21T00:00:00"/>
    <s v="PUTN"/>
    <s v="COSTAYACO"/>
    <s v="COPOWER"/>
    <s v="J320"/>
    <x v="6"/>
    <n v="1050"/>
    <n v="740"/>
    <n v="1772"/>
    <n v="1796"/>
    <n v="14608"/>
    <n v="608.66666666666663"/>
    <n v="24"/>
    <n v="0"/>
    <m/>
    <n v="0"/>
    <n v="24"/>
    <n v="0"/>
    <n v="0"/>
    <x v="0"/>
    <s v="NO APLICA"/>
    <n v="128550.39999999999"/>
    <s v="NO APLICA"/>
    <n v="1"/>
    <m/>
    <m/>
  </r>
  <r>
    <d v="2026-08-21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1T00:00:00"/>
    <s v="PUTN"/>
    <s v="COSTAYACO"/>
    <s v="COPOWER"/>
    <s v="CUMMINS"/>
    <x v="8"/>
    <n v="1000"/>
    <n v="800"/>
    <n v="3641"/>
    <n v="364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1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1T00:00:00"/>
    <s v="PUTN"/>
    <s v="VONU"/>
    <s v="COPOWER"/>
    <s v="JINAN"/>
    <x v="10"/>
    <n v="600"/>
    <n v="350"/>
    <n v="6834"/>
    <n v="6850"/>
    <n v="5375"/>
    <n v="223.95833333333334"/>
    <n v="16"/>
    <n v="0"/>
    <n v="8"/>
    <n v="0"/>
    <n v="24"/>
    <n v="0"/>
    <n v="0"/>
    <x v="0"/>
    <s v="NO APLICA"/>
    <n v="47300"/>
    <s v="NO APLICA"/>
    <n v="1"/>
    <s v="08:45 hrs. EQUIPO: Jinan-01. A solicitud de Copower, se inicia el mantenimiento preventivo programado. Entra en linea a las 16:50 horas."/>
    <m/>
  </r>
  <r>
    <d v="2026-08-21T00:00:00"/>
    <s v="PUTN"/>
    <s v="VONU"/>
    <s v="COPOWER"/>
    <s v="JINAN"/>
    <x v="11"/>
    <n v="600"/>
    <n v="350"/>
    <n v="6755"/>
    <n v="6779"/>
    <n v="8404"/>
    <n v="350.16666666666669"/>
    <n v="24"/>
    <n v="0"/>
    <n v="0"/>
    <n v="0"/>
    <n v="24"/>
    <n v="0"/>
    <n v="0"/>
    <x v="0"/>
    <s v="NO APLICA"/>
    <n v="73955.200000000012"/>
    <s v="NO APLICA"/>
    <n v="1"/>
    <m/>
    <m/>
  </r>
  <r>
    <d v="2026-08-21T00:00:00"/>
    <s v="PUTN"/>
    <s v="COSTAYACO"/>
    <s v="COPOWER"/>
    <s v="JINAN"/>
    <x v="12"/>
    <n v="600"/>
    <n v="450"/>
    <n v="4731"/>
    <n v="4751"/>
    <n v="7607"/>
    <n v="316.95833333333331"/>
    <n v="20"/>
    <n v="4"/>
    <n v="0"/>
    <n v="0"/>
    <n v="24"/>
    <n v="0"/>
    <n v="0"/>
    <x v="0"/>
    <s v="NO APLICA"/>
    <n v="66941.600000000006"/>
    <s v="NO APLICA"/>
    <n v="1"/>
    <s v="JINAN 10 A las 20:08 horas, A solicitud de CCM FDL Equipo JINAN-10 por inestabilidad de presión de gas CYC 20 psi."/>
    <m/>
  </r>
  <r>
    <d v="2026-08-21T00:00:00"/>
    <s v="PUTN"/>
    <s v="COSTAYACO"/>
    <s v="COPOWER"/>
    <s v="JINAN"/>
    <x v="13"/>
    <n v="600"/>
    <n v="450"/>
    <n v="924"/>
    <n v="948"/>
    <n v="9095"/>
    <n v="378.95833333333331"/>
    <n v="24"/>
    <n v="0"/>
    <n v="0"/>
    <n v="0"/>
    <n v="24"/>
    <n v="0"/>
    <n v="0"/>
    <x v="0"/>
    <s v="NO APLICA"/>
    <n v="80036"/>
    <s v="NO APLICA"/>
    <n v="1"/>
    <m/>
    <m/>
  </r>
  <r>
    <d v="2026-08-21T00:00:00"/>
    <s v="PUTN"/>
    <s v="COSTAYACO"/>
    <s v="COPOWER"/>
    <s v="JINAN"/>
    <x v="14"/>
    <n v="600"/>
    <n v="450"/>
    <n v="921"/>
    <n v="932"/>
    <n v="4256"/>
    <n v="177.33333333333334"/>
    <n v="11"/>
    <n v="13"/>
    <n v="0"/>
    <n v="0"/>
    <n v="24"/>
    <n v="0"/>
    <n v="0"/>
    <x v="0"/>
    <s v="NO APLICA"/>
    <n v="37452.800000000003"/>
    <s v="NO APLICA"/>
    <n v="1"/>
    <s v="12:55 hrs. Equipo Jinan-12, A solicitud del CCM. Ingresa en linea con gas CYC."/>
    <m/>
  </r>
  <r>
    <d v="2026-08-22T00:00:00"/>
    <s v="PUTN"/>
    <s v="COSTAYACO"/>
    <s v="COPOWER"/>
    <s v="J320"/>
    <x v="0"/>
    <n v="1050"/>
    <n v="700"/>
    <n v="16654"/>
    <n v="16678"/>
    <n v="15256"/>
    <n v="635.66666666666663"/>
    <n v="24"/>
    <n v="0"/>
    <n v="0"/>
    <n v="0"/>
    <n v="24"/>
    <n v="0"/>
    <n v="0"/>
    <x v="0"/>
    <s v="NO APLICA"/>
    <n v="134253"/>
    <s v="NO APLICA"/>
    <n v="1"/>
    <m/>
    <m/>
  </r>
  <r>
    <d v="2026-08-22T00:00:00"/>
    <s v="PUTN"/>
    <s v="COSTAYACO"/>
    <s v="COPOWER"/>
    <s v="J320"/>
    <x v="1"/>
    <n v="1050"/>
    <n v="700"/>
    <n v="14410"/>
    <n v="14431"/>
    <n v="13209"/>
    <n v="550.375"/>
    <n v="21"/>
    <n v="3"/>
    <n v="0"/>
    <n v="0"/>
    <n v="24"/>
    <n v="0"/>
    <n v="0"/>
    <x v="0"/>
    <s v="NO APLICA"/>
    <n v="116239"/>
    <s v="NO APLICA"/>
    <n v="1"/>
    <s v="3:17 Sale de linea equipo cpw02 por baja presion de has MQT 120 psi-----06:40 hrs. EQUIPO: CPW-02. A solicitud del CCM. Ingresa en linea con suministro de gas CYC"/>
    <m/>
  </r>
  <r>
    <d v="2026-08-22T00:00:00"/>
    <s v="PUTN"/>
    <s v="COSTAYACO"/>
    <s v="COPOWER"/>
    <s v="J320"/>
    <x v="2"/>
    <n v="1050"/>
    <n v="700"/>
    <n v="12907"/>
    <n v="12931"/>
    <n v="15301"/>
    <n v="637.54166666666663"/>
    <n v="24"/>
    <n v="0"/>
    <n v="0"/>
    <n v="0"/>
    <n v="24"/>
    <n v="0"/>
    <n v="0"/>
    <x v="0"/>
    <s v="NO APLICA"/>
    <n v="134649"/>
    <s v="NO APLICA"/>
    <n v="1"/>
    <m/>
    <m/>
  </r>
  <r>
    <d v="2026-08-22T00:00:00"/>
    <s v="PUTN"/>
    <s v="COSTAYACO"/>
    <s v="COPOWER"/>
    <s v="J420"/>
    <x v="3"/>
    <n v="1300"/>
    <n v="1040"/>
    <n v="4370"/>
    <n v="4389"/>
    <n v="12956"/>
    <n v="539.83333333333337"/>
    <n v="19"/>
    <n v="5"/>
    <n v="0"/>
    <n v="0"/>
    <n v="24"/>
    <n v="0"/>
    <n v="0"/>
    <x v="0"/>
    <s v="NO APLICA"/>
    <n v="114013"/>
    <s v="NO APLICA"/>
    <n v="1"/>
    <s v="15:58 hrs. Equipo CPW-04. A solicitud del CCM, FDL por baja presión de gas Moqueta 100 PSI---20:55 ingresa en linea equipo cpw 04 a peticion de CCM 177 psi gas MQT"/>
    <m/>
  </r>
  <r>
    <d v="2026-08-22T00:00:00"/>
    <s v="PUTN"/>
    <s v="COSTAYACO"/>
    <s v="COPOWER"/>
    <s v="J420"/>
    <x v="4"/>
    <n v="1300"/>
    <n v="1040"/>
    <n v="4377"/>
    <n v="4401"/>
    <n v="17964"/>
    <n v="748.5"/>
    <n v="24"/>
    <n v="0"/>
    <n v="0"/>
    <n v="0"/>
    <n v="24"/>
    <n v="0"/>
    <n v="0"/>
    <x v="0"/>
    <s v="NO APLICA"/>
    <n v="158083"/>
    <s v="NO APLICA"/>
    <n v="1"/>
    <m/>
    <m/>
  </r>
  <r>
    <d v="2026-08-22T00:00:00"/>
    <s v="PUTN"/>
    <s v="COSTAYACO"/>
    <s v="COPOWER"/>
    <s v="J420"/>
    <x v="5"/>
    <n v="1300"/>
    <n v="1040"/>
    <n v="2786"/>
    <n v="2810"/>
    <n v="19245"/>
    <n v="801.875"/>
    <n v="24"/>
    <n v="0"/>
    <n v="0"/>
    <n v="0"/>
    <n v="24"/>
    <n v="0"/>
    <n v="0"/>
    <x v="0"/>
    <s v="NO APLICA"/>
    <n v="169356"/>
    <s v="NO APLICA"/>
    <n v="1"/>
    <m/>
    <m/>
  </r>
  <r>
    <d v="2026-08-22T00:00:00"/>
    <s v="PUTN"/>
    <s v="COSTAYACO"/>
    <s v="COPOWER"/>
    <s v="J320"/>
    <x v="6"/>
    <n v="1050"/>
    <n v="740"/>
    <n v="1796"/>
    <n v="1820"/>
    <n v="14430"/>
    <n v="601.25"/>
    <n v="24"/>
    <n v="0"/>
    <n v="0"/>
    <n v="0"/>
    <n v="24"/>
    <n v="0"/>
    <n v="0"/>
    <x v="0"/>
    <s v="NO APLICA"/>
    <n v="126984"/>
    <s v="NO APLICA"/>
    <n v="1"/>
    <m/>
    <m/>
  </r>
  <r>
    <d v="2026-08-22T00:00:00"/>
    <s v="PUTN"/>
    <s v="COSTAYACO"/>
    <s v="COPOWER"/>
    <s v="CUMMINS"/>
    <x v="7"/>
    <n v="500"/>
    <n v="360"/>
    <n v="15338"/>
    <n v="15338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2T00:00:00"/>
    <s v="PUTN"/>
    <s v="COSTAYACO"/>
    <s v="COPOWER"/>
    <s v="CUMMINS"/>
    <x v="8"/>
    <n v="1000"/>
    <n v="800"/>
    <n v="3641"/>
    <n v="3641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2T00:00:00"/>
    <s v="PUTN"/>
    <s v="COSTAYACO"/>
    <s v="COPOWER"/>
    <s v="CUMMINS"/>
    <x v="9"/>
    <n v="1000"/>
    <n v="800"/>
    <n v="2526"/>
    <n v="2526"/>
    <n v="0"/>
    <n v="0"/>
    <n v="0"/>
    <n v="24"/>
    <n v="0"/>
    <n v="0"/>
    <n v="24"/>
    <n v="0"/>
    <n v="0"/>
    <x v="1"/>
    <s v="NO APLICA"/>
    <n v="0"/>
    <s v="NO APLICA"/>
    <n v="1"/>
    <m/>
    <m/>
  </r>
  <r>
    <d v="2026-08-22T00:00:00"/>
    <s v="PUTN"/>
    <s v="VONU"/>
    <s v="COPOWER"/>
    <s v="JINAN"/>
    <x v="10"/>
    <n v="600"/>
    <n v="350"/>
    <n v="6850"/>
    <n v="6874"/>
    <n v="9598"/>
    <n v="399.91666666666669"/>
    <n v="24"/>
    <n v="0"/>
    <n v="0"/>
    <n v="0"/>
    <n v="24"/>
    <n v="0"/>
    <n v="0"/>
    <x v="0"/>
    <s v="NO APLICA"/>
    <n v="84462"/>
    <s v="NO APLICA"/>
    <n v="1"/>
    <m/>
    <m/>
  </r>
  <r>
    <d v="2026-08-22T00:00:00"/>
    <s v="PUTN"/>
    <s v="VONU"/>
    <s v="COPOWER"/>
    <s v="JINAN"/>
    <x v="11"/>
    <n v="600"/>
    <n v="350"/>
    <n v="6779"/>
    <n v="6803"/>
    <n v="8398"/>
    <n v="349.91666666666669"/>
    <n v="24"/>
    <n v="0"/>
    <n v="0"/>
    <n v="0"/>
    <n v="24"/>
    <n v="0"/>
    <n v="0"/>
    <x v="0"/>
    <s v="NO APLICA"/>
    <n v="73902"/>
    <s v="NO APLICA"/>
    <n v="1"/>
    <m/>
    <m/>
  </r>
  <r>
    <d v="2026-08-22T00:00:00"/>
    <s v="PUTN"/>
    <s v="COSTAYACO"/>
    <s v="COPOWER"/>
    <s v="JINAN"/>
    <x v="12"/>
    <n v="600"/>
    <n v="450"/>
    <n v="4751"/>
    <n v="4765"/>
    <n v="5109"/>
    <n v="212.875"/>
    <n v="14"/>
    <n v="10"/>
    <n v="0"/>
    <n v="0"/>
    <n v="24"/>
    <n v="0"/>
    <n v="0"/>
    <x v="0"/>
    <s v="NO APLICA"/>
    <n v="44959"/>
    <s v="NO APLICA"/>
    <n v="1"/>
    <s v="A las 00:25 horas, A solicitud de CCM Equipo JINAN-10 ingresa en linea por aumento de presión de gas CYC 23 psi.-----A las 03:10 horas, A solicitud de CCM Equipo JINAN-10 sal de  linea por baja de presión de gas CYC 18 psi.---10:56 hrs. Equipo Jinan-10. Ingresa en linea a solicitud del CCM, con gas CYC. FDL a las 11:20 hrs. Por baja presion en gas----13:03 hrs. Equipo Jinan-10. Ingresa en linea a solicitud del CCM, con gas CYC. "/>
    <m/>
  </r>
  <r>
    <d v="2026-08-22T00:00:00"/>
    <s v="PUTN"/>
    <s v="COSTAYACO"/>
    <s v="COPOWER"/>
    <s v="JINAN"/>
    <x v="13"/>
    <n v="600"/>
    <n v="450"/>
    <n v="948"/>
    <n v="972"/>
    <n v="8567"/>
    <n v="356.95833333333331"/>
    <n v="24"/>
    <n v="0"/>
    <n v="0"/>
    <n v="0"/>
    <n v="24"/>
    <n v="0"/>
    <n v="0"/>
    <x v="0"/>
    <s v="NO APLICA"/>
    <n v="75390"/>
    <s v="NO APLICA"/>
    <n v="1"/>
    <s v="4:05:00 a. m. Sale de linea jinan 11 y jinan 10 por salida de inyeccion y apagado de pozos por salida de el SIN-----4:37 ingresa en linea jinan 11 con gas tratado MRU a peticion de operasdor de CCM"/>
    <m/>
  </r>
  <r>
    <d v="2026-08-22T00:00:00"/>
    <s v="PUTN"/>
    <s v="COSTAYACO"/>
    <s v="COPOWER"/>
    <s v="JINAN"/>
    <x v="14"/>
    <n v="600"/>
    <n v="450"/>
    <n v="932"/>
    <n v="946"/>
    <n v="4969"/>
    <n v="207.04166666666666"/>
    <n v="14"/>
    <n v="10"/>
    <n v="0"/>
    <n v="0"/>
    <n v="24"/>
    <n v="0"/>
    <n v="0"/>
    <x v="0"/>
    <s v="NO APLICA"/>
    <n v="43727"/>
    <s v="NO APLICA"/>
    <n v="1"/>
    <s v="4:05:00 a. m. Sale de linea jinan 11 y jinan 10 por salida de inyeccion y apagado de pozos por salida de el SIN---14:24 hrs. Equipo Jinan-12. Ingresa en linea a solicitud del CCM, con gas CYC.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B4E3D-B16D-43CD-AFE7-A95F8A984C51}" name="Resume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K20" firstHeaderRow="0" firstDataRow="1" firstDataCol="1" rowPageCount="1" colPageCount="1"/>
  <pivotFields count="26">
    <pivotField numFmtId="14" showAll="0"/>
    <pivotField showAll="0"/>
    <pivotField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12"/>
        <item x="13"/>
        <item x="14"/>
        <item x="7"/>
        <item x="8"/>
        <item x="9"/>
        <item x="10"/>
        <item x="11"/>
        <item m="1" x="15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showAll="0">
      <items count="4">
        <item x="1"/>
        <item x="0"/>
        <item m="1" x="2"/>
        <item t="default"/>
      </items>
    </pivotField>
    <pivotField showAll="0"/>
    <pivotField dataField="1" showAll="0"/>
    <pivotField showAll="0"/>
    <pivotField numFmtId="9" showAll="0"/>
    <pivotField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9" hier="-1"/>
  </pageFields>
  <dataFields count="10">
    <dataField name="Suma de Horas Operacion " fld="12" baseField="0" baseItem="0"/>
    <dataField name="Suma de Horas StandBy" fld="13" baseField="0" baseItem="0"/>
    <dataField name="Suma de Numero de fallas" fld="18" baseField="0" baseItem="0"/>
    <dataField name="Suma de Horas MMT Preventivo" fld="14" baseField="0" baseItem="0"/>
    <dataField name="Suma de Horas MMT Correctivo" fld="15" baseField="0" baseItem="0"/>
    <dataField name="Suma de total horas" fld="16" baseField="0" baseItem="0"/>
    <dataField name="Suma de KWH generados" fld="10" baseField="0" baseItem="0"/>
    <dataField name="Suma de Horas Paradas Externas" fld="17" baseField="0" baseItem="0"/>
    <dataField name="Suma de Consumo de combustible Primario" fld="21" baseField="0" baseItem="0"/>
    <dataField name="Promedio de KWH generados2" fld="10" subtotal="average" baseField="0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7D69-4357-4326-B377-30D7548D0BA3}">
  <dimension ref="A1:Z332"/>
  <sheetViews>
    <sheetView topLeftCell="A308" zoomScale="70" zoomScaleNormal="70" workbookViewId="0">
      <selection activeCell="M3" sqref="M3:M332"/>
    </sheetView>
  </sheetViews>
  <sheetFormatPr baseColWidth="10" defaultRowHeight="14.4" x14ac:dyDescent="0.3"/>
  <cols>
    <col min="1" max="1" width="14.33203125" customWidth="1"/>
    <col min="2" max="2" width="15" customWidth="1"/>
    <col min="3" max="3" width="14.44140625" customWidth="1"/>
    <col min="4" max="4" width="11.5546875" customWidth="1"/>
    <col min="6" max="6" width="20.6640625" customWidth="1"/>
    <col min="7" max="7" width="20.44140625" customWidth="1"/>
    <col min="8" max="8" width="18.5546875" customWidth="1"/>
    <col min="9" max="9" width="16.44140625" customWidth="1"/>
    <col min="10" max="10" width="12" customWidth="1"/>
    <col min="11" max="11" width="19.33203125" customWidth="1"/>
    <col min="12" max="12" width="16.77734375" customWidth="1"/>
    <col min="13" max="13" width="19.109375" style="29" customWidth="1"/>
    <col min="14" max="14" width="11.5546875" customWidth="1"/>
    <col min="15" max="15" width="27.88671875" bestFit="1" customWidth="1"/>
    <col min="16" max="16" width="27.33203125" bestFit="1" customWidth="1"/>
    <col min="17" max="17" width="16.5546875" bestFit="1" customWidth="1"/>
    <col min="18" max="18" width="28.88671875" bestFit="1" customWidth="1"/>
    <col min="19" max="19" width="22.33203125" bestFit="1" customWidth="1"/>
    <col min="20" max="20" width="34.109375" bestFit="1" customWidth="1"/>
    <col min="21" max="21" width="32.109375" bestFit="1" customWidth="1"/>
    <col min="22" max="22" width="34.33203125" bestFit="1" customWidth="1"/>
    <col min="23" max="23" width="36.5546875" bestFit="1" customWidth="1"/>
    <col min="25" max="25" width="56.44140625" customWidth="1"/>
  </cols>
  <sheetData>
    <row r="1" spans="1:26" ht="15" thickBot="1" x14ac:dyDescent="0.35"/>
    <row r="2" spans="1:26" ht="16.2" thickBot="1" x14ac:dyDescent="0.3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0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6" x14ac:dyDescent="0.3">
      <c r="A3" s="3">
        <v>46235</v>
      </c>
      <c r="B3" s="4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>
        <v>1050</v>
      </c>
      <c r="H3" s="5">
        <v>700</v>
      </c>
      <c r="I3" s="6">
        <v>16215</v>
      </c>
      <c r="J3" s="6">
        <v>16239</v>
      </c>
      <c r="K3" s="5">
        <v>14497</v>
      </c>
      <c r="L3" s="7">
        <v>604.04166666666663</v>
      </c>
      <c r="M3" s="6">
        <v>24</v>
      </c>
      <c r="N3" s="5">
        <v>0</v>
      </c>
      <c r="O3" s="5">
        <v>0</v>
      </c>
      <c r="P3" s="5">
        <v>0</v>
      </c>
      <c r="Q3" s="5">
        <v>24</v>
      </c>
      <c r="R3" s="5">
        <v>0</v>
      </c>
      <c r="S3" s="5">
        <v>0</v>
      </c>
      <c r="T3" s="5" t="s">
        <v>30</v>
      </c>
      <c r="U3" s="5" t="s">
        <v>31</v>
      </c>
      <c r="V3" s="6">
        <v>127574</v>
      </c>
      <c r="W3" s="5" t="s">
        <v>31</v>
      </c>
      <c r="X3" s="8">
        <v>1</v>
      </c>
      <c r="Y3" s="18"/>
    </row>
    <row r="4" spans="1:26" x14ac:dyDescent="0.3">
      <c r="A4" s="3">
        <v>46235</v>
      </c>
      <c r="B4" s="4" t="s">
        <v>25</v>
      </c>
      <c r="C4" s="5" t="s">
        <v>26</v>
      </c>
      <c r="D4" s="5" t="s">
        <v>27</v>
      </c>
      <c r="E4" s="5" t="s">
        <v>28</v>
      </c>
      <c r="F4" s="5" t="s">
        <v>32</v>
      </c>
      <c r="G4" s="5">
        <v>1050</v>
      </c>
      <c r="H4" s="5">
        <v>700</v>
      </c>
      <c r="I4" s="6">
        <v>14045</v>
      </c>
      <c r="J4" s="6">
        <v>14045</v>
      </c>
      <c r="K4" s="5">
        <v>0</v>
      </c>
      <c r="L4" s="7">
        <v>0</v>
      </c>
      <c r="M4" s="6">
        <v>0</v>
      </c>
      <c r="N4" s="5">
        <v>24</v>
      </c>
      <c r="O4" s="5">
        <v>0</v>
      </c>
      <c r="P4" s="5">
        <v>0</v>
      </c>
      <c r="Q4" s="5">
        <v>24</v>
      </c>
      <c r="R4" s="5">
        <v>0</v>
      </c>
      <c r="S4" s="5">
        <v>0</v>
      </c>
      <c r="T4" s="5" t="s">
        <v>30</v>
      </c>
      <c r="U4" s="5" t="s">
        <v>31</v>
      </c>
      <c r="V4" s="6">
        <v>0</v>
      </c>
      <c r="W4" s="5" t="s">
        <v>31</v>
      </c>
      <c r="X4" s="8">
        <v>1</v>
      </c>
      <c r="Y4" s="18" t="s">
        <v>172</v>
      </c>
    </row>
    <row r="5" spans="1:26" x14ac:dyDescent="0.3">
      <c r="A5" s="3">
        <v>46235</v>
      </c>
      <c r="B5" s="4" t="s">
        <v>25</v>
      </c>
      <c r="C5" s="5" t="s">
        <v>26</v>
      </c>
      <c r="D5" s="5" t="s">
        <v>27</v>
      </c>
      <c r="E5" s="5" t="s">
        <v>28</v>
      </c>
      <c r="F5" s="5" t="s">
        <v>33</v>
      </c>
      <c r="G5" s="5">
        <v>1050</v>
      </c>
      <c r="H5" s="5">
        <v>700</v>
      </c>
      <c r="I5" s="6">
        <v>12472</v>
      </c>
      <c r="J5" s="6">
        <v>12496</v>
      </c>
      <c r="K5" s="5">
        <v>14497</v>
      </c>
      <c r="L5" s="7">
        <v>604.04166666666663</v>
      </c>
      <c r="M5" s="6">
        <v>24</v>
      </c>
      <c r="N5" s="5">
        <v>0</v>
      </c>
      <c r="O5" s="5">
        <v>0</v>
      </c>
      <c r="P5" s="5">
        <v>0</v>
      </c>
      <c r="Q5" s="5">
        <v>24</v>
      </c>
      <c r="R5" s="5">
        <v>0</v>
      </c>
      <c r="S5" s="5">
        <v>0</v>
      </c>
      <c r="T5" s="5" t="s">
        <v>30</v>
      </c>
      <c r="U5" s="5" t="s">
        <v>31</v>
      </c>
      <c r="V5" s="6">
        <v>127574</v>
      </c>
      <c r="W5" s="5" t="s">
        <v>31</v>
      </c>
      <c r="X5" s="8">
        <v>1</v>
      </c>
      <c r="Y5" s="18"/>
    </row>
    <row r="6" spans="1:26" x14ac:dyDescent="0.3">
      <c r="A6" s="3">
        <v>46235</v>
      </c>
      <c r="B6" s="4" t="s">
        <v>25</v>
      </c>
      <c r="C6" s="5" t="s">
        <v>26</v>
      </c>
      <c r="D6" s="5" t="s">
        <v>27</v>
      </c>
      <c r="E6" s="5" t="s">
        <v>34</v>
      </c>
      <c r="F6" s="5" t="s">
        <v>35</v>
      </c>
      <c r="G6" s="5">
        <v>1300</v>
      </c>
      <c r="H6" s="5">
        <v>1040</v>
      </c>
      <c r="I6" s="6">
        <v>3934</v>
      </c>
      <c r="J6" s="6">
        <v>3934</v>
      </c>
      <c r="K6" s="5">
        <v>0</v>
      </c>
      <c r="L6" s="7">
        <v>0</v>
      </c>
      <c r="M6" s="6">
        <v>0</v>
      </c>
      <c r="N6" s="5">
        <v>24</v>
      </c>
      <c r="O6" s="5">
        <v>0</v>
      </c>
      <c r="P6" s="5">
        <v>0</v>
      </c>
      <c r="Q6" s="5">
        <v>24</v>
      </c>
      <c r="R6" s="5">
        <v>0</v>
      </c>
      <c r="S6" s="5">
        <v>0</v>
      </c>
      <c r="T6" s="5" t="s">
        <v>30</v>
      </c>
      <c r="U6" s="5" t="s">
        <v>31</v>
      </c>
      <c r="V6" s="6">
        <v>0</v>
      </c>
      <c r="W6" s="5" t="s">
        <v>31</v>
      </c>
      <c r="X6" s="8">
        <v>1</v>
      </c>
      <c r="Y6" s="18" t="s">
        <v>172</v>
      </c>
    </row>
    <row r="7" spans="1:26" x14ac:dyDescent="0.3">
      <c r="A7" s="3">
        <v>46235</v>
      </c>
      <c r="B7" s="4" t="s">
        <v>25</v>
      </c>
      <c r="C7" s="5" t="s">
        <v>26</v>
      </c>
      <c r="D7" s="5" t="s">
        <v>27</v>
      </c>
      <c r="E7" s="5" t="s">
        <v>34</v>
      </c>
      <c r="F7" s="5" t="s">
        <v>36</v>
      </c>
      <c r="G7" s="5">
        <v>1300</v>
      </c>
      <c r="H7" s="5">
        <v>1040</v>
      </c>
      <c r="I7" s="6">
        <v>3927</v>
      </c>
      <c r="J7" s="6">
        <v>3927</v>
      </c>
      <c r="K7" s="5">
        <v>0</v>
      </c>
      <c r="L7" s="7">
        <v>0</v>
      </c>
      <c r="M7" s="6">
        <v>0</v>
      </c>
      <c r="N7" s="5">
        <v>24</v>
      </c>
      <c r="O7" s="5">
        <v>0</v>
      </c>
      <c r="P7" s="5">
        <v>0</v>
      </c>
      <c r="Q7" s="5">
        <v>24</v>
      </c>
      <c r="R7" s="5">
        <v>0</v>
      </c>
      <c r="S7" s="5">
        <v>0</v>
      </c>
      <c r="T7" s="5" t="s">
        <v>30</v>
      </c>
      <c r="U7" s="5" t="s">
        <v>31</v>
      </c>
      <c r="V7" s="6">
        <v>0</v>
      </c>
      <c r="W7" s="5" t="s">
        <v>31</v>
      </c>
      <c r="X7" s="8">
        <v>1</v>
      </c>
      <c r="Y7" s="18" t="s">
        <v>172</v>
      </c>
    </row>
    <row r="8" spans="1:26" x14ac:dyDescent="0.3">
      <c r="A8" s="3">
        <v>46235</v>
      </c>
      <c r="B8" s="4" t="s">
        <v>25</v>
      </c>
      <c r="C8" s="5" t="s">
        <v>26</v>
      </c>
      <c r="D8" s="5" t="s">
        <v>27</v>
      </c>
      <c r="E8" s="5" t="s">
        <v>34</v>
      </c>
      <c r="F8" s="5" t="s">
        <v>46</v>
      </c>
      <c r="G8" s="5">
        <v>1300</v>
      </c>
      <c r="H8" s="5">
        <v>1040</v>
      </c>
      <c r="I8" s="6">
        <v>2369</v>
      </c>
      <c r="J8" s="6">
        <v>2393</v>
      </c>
      <c r="K8" s="5">
        <v>19335</v>
      </c>
      <c r="L8" s="7">
        <v>805.625</v>
      </c>
      <c r="M8" s="6">
        <v>24</v>
      </c>
      <c r="N8" s="5">
        <v>0</v>
      </c>
      <c r="O8" s="5">
        <v>0</v>
      </c>
      <c r="P8" s="5">
        <v>0</v>
      </c>
      <c r="Q8" s="5">
        <v>24</v>
      </c>
      <c r="R8" s="5">
        <v>0</v>
      </c>
      <c r="S8" s="5">
        <v>0</v>
      </c>
      <c r="T8" s="5" t="s">
        <v>30</v>
      </c>
      <c r="U8" s="5" t="s">
        <v>31</v>
      </c>
      <c r="V8" s="6">
        <v>170148</v>
      </c>
      <c r="W8" s="5" t="s">
        <v>31</v>
      </c>
      <c r="X8" s="8">
        <v>1</v>
      </c>
      <c r="Y8" s="18"/>
    </row>
    <row r="9" spans="1:26" x14ac:dyDescent="0.3">
      <c r="A9" s="3">
        <v>46235</v>
      </c>
      <c r="B9" s="4" t="s">
        <v>25</v>
      </c>
      <c r="C9" s="5" t="s">
        <v>26</v>
      </c>
      <c r="D9" s="5" t="s">
        <v>27</v>
      </c>
      <c r="E9" s="5" t="s">
        <v>28</v>
      </c>
      <c r="F9" s="5" t="s">
        <v>47</v>
      </c>
      <c r="G9" s="5">
        <v>1050</v>
      </c>
      <c r="H9" s="5">
        <v>740</v>
      </c>
      <c r="I9" s="6">
        <v>1341</v>
      </c>
      <c r="J9" s="6">
        <v>1365</v>
      </c>
      <c r="K9" s="5">
        <v>14011</v>
      </c>
      <c r="L9" s="7">
        <v>583.79166666666663</v>
      </c>
      <c r="M9" s="6">
        <v>24</v>
      </c>
      <c r="N9" s="5">
        <v>0</v>
      </c>
      <c r="O9" s="5">
        <v>0</v>
      </c>
      <c r="P9" s="5">
        <v>0</v>
      </c>
      <c r="Q9" s="5">
        <v>24</v>
      </c>
      <c r="R9" s="5">
        <v>0</v>
      </c>
      <c r="S9" s="5">
        <v>0</v>
      </c>
      <c r="T9" s="5" t="s">
        <v>30</v>
      </c>
      <c r="U9" s="5" t="s">
        <v>31</v>
      </c>
      <c r="V9" s="19">
        <v>123297</v>
      </c>
      <c r="W9" s="5" t="s">
        <v>31</v>
      </c>
      <c r="X9" s="8">
        <v>1</v>
      </c>
      <c r="Y9" s="18"/>
    </row>
    <row r="10" spans="1:26" x14ac:dyDescent="0.3">
      <c r="A10" s="3">
        <v>46235</v>
      </c>
      <c r="B10" s="4" t="s">
        <v>25</v>
      </c>
      <c r="C10" s="9" t="s">
        <v>26</v>
      </c>
      <c r="D10" s="9" t="s">
        <v>27</v>
      </c>
      <c r="E10" s="9" t="s">
        <v>37</v>
      </c>
      <c r="F10" s="9" t="s">
        <v>39</v>
      </c>
      <c r="G10" s="9">
        <v>500</v>
      </c>
      <c r="H10" s="9">
        <v>360</v>
      </c>
      <c r="I10" s="9">
        <v>15228</v>
      </c>
      <c r="J10" s="9">
        <v>15228</v>
      </c>
      <c r="K10" s="9">
        <v>0</v>
      </c>
      <c r="L10" s="10">
        <v>0</v>
      </c>
      <c r="M10" s="9">
        <v>0</v>
      </c>
      <c r="N10" s="9">
        <v>24</v>
      </c>
      <c r="O10" s="9">
        <v>0</v>
      </c>
      <c r="P10" s="9">
        <v>0</v>
      </c>
      <c r="Q10" s="9">
        <v>24</v>
      </c>
      <c r="R10" s="9">
        <v>0</v>
      </c>
      <c r="S10" s="9">
        <v>0</v>
      </c>
      <c r="T10" s="9" t="s">
        <v>38</v>
      </c>
      <c r="U10" s="9" t="s">
        <v>31</v>
      </c>
      <c r="V10" s="16">
        <v>0</v>
      </c>
      <c r="W10" s="9" t="s">
        <v>31</v>
      </c>
      <c r="X10" s="11">
        <v>1</v>
      </c>
      <c r="Y10" s="20"/>
    </row>
    <row r="11" spans="1:26" x14ac:dyDescent="0.3">
      <c r="A11" s="3">
        <v>46235</v>
      </c>
      <c r="B11" s="4" t="s">
        <v>25</v>
      </c>
      <c r="C11" s="9" t="s">
        <v>26</v>
      </c>
      <c r="D11" s="9" t="s">
        <v>27</v>
      </c>
      <c r="E11" s="9" t="s">
        <v>37</v>
      </c>
      <c r="F11" s="9" t="s">
        <v>40</v>
      </c>
      <c r="G11" s="9">
        <v>1000</v>
      </c>
      <c r="H11" s="9">
        <v>800</v>
      </c>
      <c r="I11" s="9">
        <v>3531</v>
      </c>
      <c r="J11" s="9">
        <v>3531</v>
      </c>
      <c r="K11" s="9">
        <v>0</v>
      </c>
      <c r="L11" s="10">
        <v>0</v>
      </c>
      <c r="M11" s="9">
        <v>0</v>
      </c>
      <c r="N11" s="9">
        <v>24</v>
      </c>
      <c r="O11" s="9">
        <v>0</v>
      </c>
      <c r="P11" s="9">
        <v>0</v>
      </c>
      <c r="Q11" s="9">
        <v>24</v>
      </c>
      <c r="R11" s="9">
        <v>0</v>
      </c>
      <c r="S11" s="9">
        <v>0</v>
      </c>
      <c r="T11" s="9" t="s">
        <v>38</v>
      </c>
      <c r="U11" s="9" t="s">
        <v>31</v>
      </c>
      <c r="V11" s="16">
        <v>0</v>
      </c>
      <c r="W11" s="9" t="s">
        <v>31</v>
      </c>
      <c r="X11" s="11">
        <v>1</v>
      </c>
      <c r="Y11" s="20"/>
    </row>
    <row r="12" spans="1:26" x14ac:dyDescent="0.3">
      <c r="A12" s="3">
        <v>46235</v>
      </c>
      <c r="B12" s="4" t="s">
        <v>25</v>
      </c>
      <c r="C12" s="9" t="s">
        <v>26</v>
      </c>
      <c r="D12" s="9" t="s">
        <v>27</v>
      </c>
      <c r="E12" s="9" t="s">
        <v>37</v>
      </c>
      <c r="F12" s="9" t="s">
        <v>41</v>
      </c>
      <c r="G12" s="9">
        <v>1000</v>
      </c>
      <c r="H12" s="9">
        <v>800</v>
      </c>
      <c r="I12" s="9">
        <v>2406</v>
      </c>
      <c r="J12" s="9">
        <v>2406</v>
      </c>
      <c r="K12" s="9">
        <v>0</v>
      </c>
      <c r="L12" s="10">
        <v>0</v>
      </c>
      <c r="M12" s="9">
        <v>0</v>
      </c>
      <c r="N12" s="9">
        <v>24</v>
      </c>
      <c r="O12" s="9">
        <v>0</v>
      </c>
      <c r="P12" s="9">
        <v>0</v>
      </c>
      <c r="Q12" s="9">
        <v>24</v>
      </c>
      <c r="R12" s="9">
        <v>0</v>
      </c>
      <c r="S12" s="9">
        <v>0</v>
      </c>
      <c r="T12" s="9" t="s">
        <v>38</v>
      </c>
      <c r="U12" s="9" t="s">
        <v>31</v>
      </c>
      <c r="V12" s="16">
        <v>0</v>
      </c>
      <c r="W12" s="9" t="s">
        <v>31</v>
      </c>
      <c r="X12" s="11">
        <v>1</v>
      </c>
      <c r="Y12" s="20"/>
    </row>
    <row r="13" spans="1:26" x14ac:dyDescent="0.3">
      <c r="A13" s="3">
        <v>46235</v>
      </c>
      <c r="B13" s="4" t="s">
        <v>25</v>
      </c>
      <c r="C13" s="12" t="s">
        <v>42</v>
      </c>
      <c r="D13" s="12" t="s">
        <v>27</v>
      </c>
      <c r="E13" s="12" t="s">
        <v>43</v>
      </c>
      <c r="F13" s="12" t="s">
        <v>44</v>
      </c>
      <c r="G13" s="12">
        <v>600</v>
      </c>
      <c r="H13" s="12">
        <v>350</v>
      </c>
      <c r="I13" s="12">
        <v>6385</v>
      </c>
      <c r="J13" s="12">
        <v>6409</v>
      </c>
      <c r="K13" s="12">
        <v>8406</v>
      </c>
      <c r="L13" s="13">
        <v>350.25</v>
      </c>
      <c r="M13" s="12">
        <v>24</v>
      </c>
      <c r="N13" s="12">
        <v>0</v>
      </c>
      <c r="O13" s="12">
        <v>0</v>
      </c>
      <c r="P13" s="12">
        <v>0</v>
      </c>
      <c r="Q13" s="12">
        <v>24</v>
      </c>
      <c r="R13" s="12">
        <v>0</v>
      </c>
      <c r="S13" s="12">
        <v>0</v>
      </c>
      <c r="T13" s="12" t="s">
        <v>30</v>
      </c>
      <c r="U13" s="12" t="s">
        <v>31</v>
      </c>
      <c r="V13" s="14">
        <v>73973</v>
      </c>
      <c r="W13" s="12" t="s">
        <v>31</v>
      </c>
      <c r="X13" s="15">
        <v>1</v>
      </c>
      <c r="Y13" s="17"/>
    </row>
    <row r="14" spans="1:26" x14ac:dyDescent="0.3">
      <c r="A14" s="3">
        <v>46235</v>
      </c>
      <c r="B14" s="4" t="s">
        <v>25</v>
      </c>
      <c r="C14" s="12" t="s">
        <v>42</v>
      </c>
      <c r="D14" s="12" t="s">
        <v>27</v>
      </c>
      <c r="E14" s="12" t="s">
        <v>43</v>
      </c>
      <c r="F14" s="12" t="s">
        <v>45</v>
      </c>
      <c r="G14" s="12">
        <v>600</v>
      </c>
      <c r="H14" s="12">
        <v>350</v>
      </c>
      <c r="I14" s="12">
        <v>6295</v>
      </c>
      <c r="J14" s="12">
        <v>6319</v>
      </c>
      <c r="K14" s="12">
        <v>8397</v>
      </c>
      <c r="L14" s="13">
        <v>349.875</v>
      </c>
      <c r="M14" s="12">
        <v>24</v>
      </c>
      <c r="N14" s="12">
        <v>0</v>
      </c>
      <c r="O14" s="12">
        <v>0</v>
      </c>
      <c r="P14" s="12">
        <v>0</v>
      </c>
      <c r="Q14" s="12">
        <v>24</v>
      </c>
      <c r="R14" s="12">
        <v>0</v>
      </c>
      <c r="S14" s="12">
        <v>0</v>
      </c>
      <c r="T14" s="12" t="s">
        <v>30</v>
      </c>
      <c r="U14" s="12" t="s">
        <v>31</v>
      </c>
      <c r="V14" s="14">
        <v>73894</v>
      </c>
      <c r="W14" s="12" t="s">
        <v>31</v>
      </c>
      <c r="X14" s="15">
        <v>1</v>
      </c>
      <c r="Y14" s="17"/>
    </row>
    <row r="15" spans="1:26" ht="40.799999999999997" x14ac:dyDescent="0.3">
      <c r="A15" s="3">
        <v>46235</v>
      </c>
      <c r="B15" s="4" t="s">
        <v>25</v>
      </c>
      <c r="C15" s="12" t="s">
        <v>26</v>
      </c>
      <c r="D15" s="12" t="s">
        <v>27</v>
      </c>
      <c r="E15" s="12" t="s">
        <v>43</v>
      </c>
      <c r="F15" s="12" t="s">
        <v>163</v>
      </c>
      <c r="G15" s="12">
        <v>600</v>
      </c>
      <c r="H15" s="12">
        <v>450</v>
      </c>
      <c r="I15" s="12">
        <v>4373</v>
      </c>
      <c r="J15" s="12">
        <v>4391</v>
      </c>
      <c r="K15" s="12">
        <v>5831</v>
      </c>
      <c r="L15" s="13">
        <v>242.95833333333334</v>
      </c>
      <c r="M15" s="12">
        <v>18</v>
      </c>
      <c r="N15" s="12">
        <v>6</v>
      </c>
      <c r="O15" s="12">
        <v>0</v>
      </c>
      <c r="P15" s="12">
        <v>0</v>
      </c>
      <c r="Q15" s="12">
        <v>24</v>
      </c>
      <c r="R15" s="12">
        <v>0</v>
      </c>
      <c r="S15" s="12">
        <v>0</v>
      </c>
      <c r="T15" s="12" t="s">
        <v>30</v>
      </c>
      <c r="U15" s="12" t="s">
        <v>31</v>
      </c>
      <c r="V15" s="14">
        <v>51313</v>
      </c>
      <c r="W15" s="12" t="s">
        <v>31</v>
      </c>
      <c r="X15" s="15">
        <v>1</v>
      </c>
      <c r="Y15" s="17" t="s">
        <v>173</v>
      </c>
    </row>
    <row r="16" spans="1:26" x14ac:dyDescent="0.3">
      <c r="A16" s="3">
        <v>46235</v>
      </c>
      <c r="B16" s="4" t="s">
        <v>25</v>
      </c>
      <c r="C16" s="12" t="s">
        <v>26</v>
      </c>
      <c r="D16" s="12" t="s">
        <v>27</v>
      </c>
      <c r="E16" s="12" t="s">
        <v>43</v>
      </c>
      <c r="F16" s="12" t="s">
        <v>164</v>
      </c>
      <c r="G16" s="12">
        <v>600</v>
      </c>
      <c r="H16" s="12">
        <v>450</v>
      </c>
      <c r="I16" s="12">
        <v>516</v>
      </c>
      <c r="J16" s="12">
        <v>540</v>
      </c>
      <c r="K16" s="12">
        <v>8364</v>
      </c>
      <c r="L16" s="13">
        <v>348.5</v>
      </c>
      <c r="M16" s="12">
        <v>24</v>
      </c>
      <c r="N16" s="12">
        <v>0</v>
      </c>
      <c r="O16" s="12">
        <v>0</v>
      </c>
      <c r="P16" s="12">
        <v>0</v>
      </c>
      <c r="Q16" s="12">
        <v>24</v>
      </c>
      <c r="R16" s="12">
        <v>0</v>
      </c>
      <c r="S16" s="12">
        <v>0</v>
      </c>
      <c r="T16" s="12" t="s">
        <v>30</v>
      </c>
      <c r="U16" s="12" t="s">
        <v>31</v>
      </c>
      <c r="V16" s="14">
        <v>73603</v>
      </c>
      <c r="W16" s="12" t="s">
        <v>31</v>
      </c>
      <c r="X16" s="15">
        <v>1</v>
      </c>
      <c r="Y16" s="76"/>
      <c r="Z16" s="96"/>
    </row>
    <row r="17" spans="1:26" x14ac:dyDescent="0.3">
      <c r="A17" s="3">
        <v>46235</v>
      </c>
      <c r="B17" s="4" t="s">
        <v>25</v>
      </c>
      <c r="C17" s="12" t="s">
        <v>26</v>
      </c>
      <c r="D17" s="12" t="s">
        <v>27</v>
      </c>
      <c r="E17" s="12" t="s">
        <v>43</v>
      </c>
      <c r="F17" s="12" t="s">
        <v>165</v>
      </c>
      <c r="G17" s="12">
        <v>600</v>
      </c>
      <c r="H17" s="12">
        <v>450</v>
      </c>
      <c r="I17" s="12">
        <v>651</v>
      </c>
      <c r="J17" s="12">
        <v>651</v>
      </c>
      <c r="K17" s="12">
        <v>0</v>
      </c>
      <c r="L17" s="13">
        <v>0</v>
      </c>
      <c r="M17" s="12">
        <v>0</v>
      </c>
      <c r="N17" s="12">
        <v>24</v>
      </c>
      <c r="O17" s="12">
        <v>0</v>
      </c>
      <c r="P17" s="12">
        <v>0</v>
      </c>
      <c r="Q17" s="12">
        <v>24</v>
      </c>
      <c r="R17" s="12">
        <v>0</v>
      </c>
      <c r="S17" s="12">
        <v>0</v>
      </c>
      <c r="T17" s="12" t="s">
        <v>30</v>
      </c>
      <c r="U17" s="12" t="s">
        <v>31</v>
      </c>
      <c r="V17" s="14">
        <v>0</v>
      </c>
      <c r="W17" s="12" t="s">
        <v>31</v>
      </c>
      <c r="X17" s="15">
        <v>1</v>
      </c>
      <c r="Y17" s="17"/>
      <c r="Z17" s="96"/>
    </row>
    <row r="18" spans="1:26" x14ac:dyDescent="0.3">
      <c r="A18" s="3">
        <v>46236</v>
      </c>
      <c r="B18" s="4" t="s">
        <v>25</v>
      </c>
      <c r="C18" s="5" t="s">
        <v>26</v>
      </c>
      <c r="D18" s="5" t="s">
        <v>27</v>
      </c>
      <c r="E18" s="5" t="s">
        <v>28</v>
      </c>
      <c r="F18" s="5" t="s">
        <v>29</v>
      </c>
      <c r="G18" s="5">
        <v>1050</v>
      </c>
      <c r="H18" s="5">
        <v>700</v>
      </c>
      <c r="I18" s="6">
        <v>16239</v>
      </c>
      <c r="J18" s="6">
        <v>16263</v>
      </c>
      <c r="K18" s="5">
        <v>14766</v>
      </c>
      <c r="L18" s="7">
        <v>615.25</v>
      </c>
      <c r="M18" s="6">
        <v>24</v>
      </c>
      <c r="N18" s="5">
        <v>0</v>
      </c>
      <c r="O18" s="5">
        <v>0</v>
      </c>
      <c r="P18" s="5">
        <v>0</v>
      </c>
      <c r="Q18" s="5">
        <v>24</v>
      </c>
      <c r="R18" s="5">
        <v>0</v>
      </c>
      <c r="S18" s="5">
        <v>0</v>
      </c>
      <c r="T18" s="5" t="s">
        <v>30</v>
      </c>
      <c r="U18" s="5" t="s">
        <v>31</v>
      </c>
      <c r="V18" s="6">
        <v>129941</v>
      </c>
      <c r="W18" s="5" t="s">
        <v>31</v>
      </c>
      <c r="X18" s="8">
        <v>1</v>
      </c>
      <c r="Y18" s="18"/>
      <c r="Z18" s="96"/>
    </row>
    <row r="19" spans="1:26" ht="30.6" x14ac:dyDescent="0.3">
      <c r="A19" s="3">
        <v>46236</v>
      </c>
      <c r="B19" s="4" t="s">
        <v>25</v>
      </c>
      <c r="C19" s="5" t="s">
        <v>26</v>
      </c>
      <c r="D19" s="5" t="s">
        <v>27</v>
      </c>
      <c r="E19" s="5" t="s">
        <v>28</v>
      </c>
      <c r="F19" s="5" t="s">
        <v>32</v>
      </c>
      <c r="G19" s="5">
        <v>1050</v>
      </c>
      <c r="H19" s="5">
        <v>700</v>
      </c>
      <c r="I19" s="6">
        <v>14045</v>
      </c>
      <c r="J19" s="6">
        <v>14047</v>
      </c>
      <c r="K19" s="5">
        <v>1017</v>
      </c>
      <c r="L19" s="7">
        <v>42.375</v>
      </c>
      <c r="M19" s="6">
        <v>2</v>
      </c>
      <c r="N19" s="5">
        <v>22</v>
      </c>
      <c r="O19" s="5">
        <v>0</v>
      </c>
      <c r="P19" s="5">
        <v>0</v>
      </c>
      <c r="Q19" s="5">
        <v>24</v>
      </c>
      <c r="R19" s="5">
        <v>0</v>
      </c>
      <c r="S19" s="5">
        <v>0</v>
      </c>
      <c r="T19" s="5" t="s">
        <v>30</v>
      </c>
      <c r="U19" s="5" t="s">
        <v>31</v>
      </c>
      <c r="V19" s="6">
        <v>8950</v>
      </c>
      <c r="W19" s="5" t="s">
        <v>31</v>
      </c>
      <c r="X19" s="8">
        <v>1</v>
      </c>
      <c r="Y19" s="18" t="s">
        <v>174</v>
      </c>
      <c r="Z19" s="96"/>
    </row>
    <row r="20" spans="1:26" x14ac:dyDescent="0.3">
      <c r="A20" s="3">
        <v>46236</v>
      </c>
      <c r="B20" s="4" t="s">
        <v>25</v>
      </c>
      <c r="C20" s="5" t="s">
        <v>26</v>
      </c>
      <c r="D20" s="5" t="s">
        <v>27</v>
      </c>
      <c r="E20" s="5" t="s">
        <v>28</v>
      </c>
      <c r="F20" s="5" t="s">
        <v>33</v>
      </c>
      <c r="G20" s="5">
        <v>1050</v>
      </c>
      <c r="H20" s="5">
        <v>700</v>
      </c>
      <c r="I20" s="6">
        <v>12496</v>
      </c>
      <c r="J20" s="6">
        <v>12520</v>
      </c>
      <c r="K20" s="5">
        <v>14761</v>
      </c>
      <c r="L20" s="7">
        <v>615.04166666666663</v>
      </c>
      <c r="M20" s="6">
        <v>24</v>
      </c>
      <c r="N20" s="5">
        <v>0</v>
      </c>
      <c r="O20" s="5">
        <v>0</v>
      </c>
      <c r="P20" s="5">
        <v>0</v>
      </c>
      <c r="Q20" s="5">
        <v>24</v>
      </c>
      <c r="R20" s="5">
        <v>0</v>
      </c>
      <c r="S20" s="5">
        <v>0</v>
      </c>
      <c r="T20" s="5" t="s">
        <v>30</v>
      </c>
      <c r="U20" s="5" t="s">
        <v>31</v>
      </c>
      <c r="V20" s="6">
        <v>129897</v>
      </c>
      <c r="W20" s="5" t="s">
        <v>31</v>
      </c>
      <c r="X20" s="8">
        <v>1</v>
      </c>
      <c r="Y20" s="18"/>
      <c r="Z20" s="96"/>
    </row>
    <row r="21" spans="1:26" x14ac:dyDescent="0.3">
      <c r="A21" s="3">
        <v>46236</v>
      </c>
      <c r="B21" s="4" t="s">
        <v>25</v>
      </c>
      <c r="C21" s="5" t="s">
        <v>26</v>
      </c>
      <c r="D21" s="5" t="s">
        <v>27</v>
      </c>
      <c r="E21" s="5" t="s">
        <v>34</v>
      </c>
      <c r="F21" s="5" t="s">
        <v>35</v>
      </c>
      <c r="G21" s="5">
        <v>1300</v>
      </c>
      <c r="H21" s="5">
        <v>1040</v>
      </c>
      <c r="I21" s="6">
        <v>3934</v>
      </c>
      <c r="J21" s="6">
        <v>3944</v>
      </c>
      <c r="K21" s="5">
        <v>7899</v>
      </c>
      <c r="L21" s="7">
        <v>329.125</v>
      </c>
      <c r="M21" s="6">
        <v>10</v>
      </c>
      <c r="N21" s="5">
        <v>14</v>
      </c>
      <c r="O21" s="5">
        <v>0</v>
      </c>
      <c r="P21" s="5">
        <v>0</v>
      </c>
      <c r="Q21" s="5">
        <v>24</v>
      </c>
      <c r="R21" s="5">
        <v>0</v>
      </c>
      <c r="S21" s="5">
        <v>0</v>
      </c>
      <c r="T21" s="5" t="s">
        <v>30</v>
      </c>
      <c r="U21" s="5" t="s">
        <v>31</v>
      </c>
      <c r="V21" s="6">
        <v>69511</v>
      </c>
      <c r="W21" s="5" t="s">
        <v>31</v>
      </c>
      <c r="X21" s="8">
        <v>1</v>
      </c>
      <c r="Y21" s="18" t="s">
        <v>175</v>
      </c>
      <c r="Z21" s="96"/>
    </row>
    <row r="22" spans="1:26" x14ac:dyDescent="0.3">
      <c r="A22" s="3">
        <v>46236</v>
      </c>
      <c r="B22" s="4" t="s">
        <v>25</v>
      </c>
      <c r="C22" s="5" t="s">
        <v>26</v>
      </c>
      <c r="D22" s="5" t="s">
        <v>27</v>
      </c>
      <c r="E22" s="5" t="s">
        <v>34</v>
      </c>
      <c r="F22" s="5" t="s">
        <v>36</v>
      </c>
      <c r="G22" s="5">
        <v>1300</v>
      </c>
      <c r="H22" s="5">
        <v>1040</v>
      </c>
      <c r="I22" s="6">
        <v>3927</v>
      </c>
      <c r="J22" s="6">
        <v>3936</v>
      </c>
      <c r="K22" s="5">
        <v>7668</v>
      </c>
      <c r="L22" s="7">
        <v>319.5</v>
      </c>
      <c r="M22" s="6">
        <v>9</v>
      </c>
      <c r="N22" s="5">
        <v>15</v>
      </c>
      <c r="O22" s="5">
        <v>0</v>
      </c>
      <c r="P22" s="5">
        <v>0</v>
      </c>
      <c r="Q22" s="5">
        <v>24</v>
      </c>
      <c r="R22" s="5">
        <v>0</v>
      </c>
      <c r="S22" s="5">
        <v>0</v>
      </c>
      <c r="T22" s="5" t="s">
        <v>30</v>
      </c>
      <c r="U22" s="5" t="s">
        <v>31</v>
      </c>
      <c r="V22" s="6">
        <v>67478</v>
      </c>
      <c r="W22" s="5" t="s">
        <v>31</v>
      </c>
      <c r="X22" s="8">
        <v>1</v>
      </c>
      <c r="Y22" s="18" t="s">
        <v>176</v>
      </c>
      <c r="Z22" s="96"/>
    </row>
    <row r="23" spans="1:26" x14ac:dyDescent="0.3">
      <c r="A23" s="3">
        <v>46236</v>
      </c>
      <c r="B23" s="4" t="s">
        <v>25</v>
      </c>
      <c r="C23" s="5" t="s">
        <v>26</v>
      </c>
      <c r="D23" s="5" t="s">
        <v>27</v>
      </c>
      <c r="E23" s="5" t="s">
        <v>34</v>
      </c>
      <c r="F23" s="5" t="s">
        <v>46</v>
      </c>
      <c r="G23" s="5">
        <v>1300</v>
      </c>
      <c r="H23" s="5">
        <v>1040</v>
      </c>
      <c r="I23" s="6">
        <v>2393</v>
      </c>
      <c r="J23" s="6">
        <v>2417</v>
      </c>
      <c r="K23" s="5">
        <v>19533</v>
      </c>
      <c r="L23" s="7">
        <v>813.875</v>
      </c>
      <c r="M23" s="6">
        <v>24</v>
      </c>
      <c r="N23" s="5">
        <v>0</v>
      </c>
      <c r="O23" s="5">
        <v>0</v>
      </c>
      <c r="P23" s="5">
        <v>0</v>
      </c>
      <c r="Q23" s="5">
        <v>24</v>
      </c>
      <c r="R23" s="5">
        <v>0</v>
      </c>
      <c r="S23" s="5">
        <v>0</v>
      </c>
      <c r="T23" s="5" t="s">
        <v>30</v>
      </c>
      <c r="U23" s="5" t="s">
        <v>31</v>
      </c>
      <c r="V23" s="6">
        <v>171890</v>
      </c>
      <c r="W23" s="5" t="s">
        <v>31</v>
      </c>
      <c r="X23" s="8">
        <v>1</v>
      </c>
      <c r="Y23" s="18"/>
      <c r="Z23" s="96"/>
    </row>
    <row r="24" spans="1:26" x14ac:dyDescent="0.3">
      <c r="A24" s="3">
        <v>46236</v>
      </c>
      <c r="B24" s="4" t="s">
        <v>25</v>
      </c>
      <c r="C24" s="5" t="s">
        <v>26</v>
      </c>
      <c r="D24" s="5" t="s">
        <v>27</v>
      </c>
      <c r="E24" s="5" t="s">
        <v>28</v>
      </c>
      <c r="F24" s="5" t="s">
        <v>47</v>
      </c>
      <c r="G24" s="5">
        <v>1050</v>
      </c>
      <c r="H24" s="5">
        <v>740</v>
      </c>
      <c r="I24" s="6">
        <v>1365</v>
      </c>
      <c r="J24" s="6">
        <v>1389</v>
      </c>
      <c r="K24" s="5">
        <v>14313</v>
      </c>
      <c r="L24" s="7">
        <v>596.375</v>
      </c>
      <c r="M24" s="6">
        <v>24</v>
      </c>
      <c r="N24" s="5">
        <v>0</v>
      </c>
      <c r="O24" s="5">
        <v>0</v>
      </c>
      <c r="P24" s="5">
        <v>0</v>
      </c>
      <c r="Q24" s="5">
        <v>24</v>
      </c>
      <c r="R24" s="5">
        <v>0</v>
      </c>
      <c r="S24" s="5">
        <v>0</v>
      </c>
      <c r="T24" s="5" t="s">
        <v>30</v>
      </c>
      <c r="U24" s="5" t="s">
        <v>31</v>
      </c>
      <c r="V24" s="19">
        <v>125954</v>
      </c>
      <c r="W24" s="5" t="s">
        <v>31</v>
      </c>
      <c r="X24" s="8">
        <v>1</v>
      </c>
      <c r="Y24" s="18"/>
      <c r="Z24" s="96"/>
    </row>
    <row r="25" spans="1:26" x14ac:dyDescent="0.3">
      <c r="A25" s="3">
        <v>46236</v>
      </c>
      <c r="B25" s="4" t="s">
        <v>25</v>
      </c>
      <c r="C25" s="9" t="s">
        <v>26</v>
      </c>
      <c r="D25" s="9" t="s">
        <v>27</v>
      </c>
      <c r="E25" s="9" t="s">
        <v>37</v>
      </c>
      <c r="F25" s="9" t="s">
        <v>39</v>
      </c>
      <c r="G25" s="9">
        <v>500</v>
      </c>
      <c r="H25" s="9">
        <v>360</v>
      </c>
      <c r="I25" s="9">
        <v>15228</v>
      </c>
      <c r="J25" s="9">
        <v>15228</v>
      </c>
      <c r="K25" s="9">
        <v>0</v>
      </c>
      <c r="L25" s="10">
        <v>0</v>
      </c>
      <c r="M25" s="9">
        <v>0</v>
      </c>
      <c r="N25" s="9">
        <v>24</v>
      </c>
      <c r="O25" s="9">
        <v>0</v>
      </c>
      <c r="P25" s="9">
        <v>0</v>
      </c>
      <c r="Q25" s="9">
        <v>24</v>
      </c>
      <c r="R25" s="9">
        <v>0</v>
      </c>
      <c r="S25" s="9">
        <v>0</v>
      </c>
      <c r="T25" s="9" t="s">
        <v>38</v>
      </c>
      <c r="U25" s="9" t="s">
        <v>31</v>
      </c>
      <c r="V25" s="16">
        <v>0</v>
      </c>
      <c r="W25" s="9" t="s">
        <v>31</v>
      </c>
      <c r="X25" s="11">
        <v>1</v>
      </c>
      <c r="Y25" s="20"/>
      <c r="Z25" s="96"/>
    </row>
    <row r="26" spans="1:26" ht="20.399999999999999" x14ac:dyDescent="0.3">
      <c r="A26" s="3">
        <v>46236</v>
      </c>
      <c r="B26" s="4" t="s">
        <v>25</v>
      </c>
      <c r="C26" s="9" t="s">
        <v>26</v>
      </c>
      <c r="D26" s="9" t="s">
        <v>27</v>
      </c>
      <c r="E26" s="9" t="s">
        <v>37</v>
      </c>
      <c r="F26" s="9" t="s">
        <v>40</v>
      </c>
      <c r="G26" s="9">
        <v>1000</v>
      </c>
      <c r="H26" s="9">
        <v>800</v>
      </c>
      <c r="I26" s="9">
        <v>3531</v>
      </c>
      <c r="J26" s="9">
        <v>3533</v>
      </c>
      <c r="K26" s="9">
        <v>2159</v>
      </c>
      <c r="L26" s="10">
        <v>89.958333333333329</v>
      </c>
      <c r="M26" s="9">
        <v>2</v>
      </c>
      <c r="N26" s="9">
        <v>22</v>
      </c>
      <c r="O26" s="9">
        <v>0</v>
      </c>
      <c r="P26" s="9">
        <v>0</v>
      </c>
      <c r="Q26" s="9">
        <v>24</v>
      </c>
      <c r="R26" s="9">
        <v>0</v>
      </c>
      <c r="S26" s="9">
        <v>0</v>
      </c>
      <c r="T26" s="9" t="s">
        <v>38</v>
      </c>
      <c r="U26" s="9" t="s">
        <v>31</v>
      </c>
      <c r="V26" s="16">
        <v>151</v>
      </c>
      <c r="W26" s="9" t="s">
        <v>31</v>
      </c>
      <c r="X26" s="11">
        <v>1</v>
      </c>
      <c r="Y26" s="20" t="s">
        <v>177</v>
      </c>
      <c r="Z26" s="96"/>
    </row>
    <row r="27" spans="1:26" ht="20.399999999999999" x14ac:dyDescent="0.3">
      <c r="A27" s="3">
        <v>46236</v>
      </c>
      <c r="B27" s="4" t="s">
        <v>25</v>
      </c>
      <c r="C27" s="9" t="s">
        <v>26</v>
      </c>
      <c r="D27" s="9" t="s">
        <v>27</v>
      </c>
      <c r="E27" s="9" t="s">
        <v>37</v>
      </c>
      <c r="F27" s="9" t="s">
        <v>41</v>
      </c>
      <c r="G27" s="9">
        <v>1000</v>
      </c>
      <c r="H27" s="9">
        <v>800</v>
      </c>
      <c r="I27" s="9">
        <v>2406</v>
      </c>
      <c r="J27" s="9">
        <v>2409</v>
      </c>
      <c r="K27" s="9">
        <v>2166</v>
      </c>
      <c r="L27" s="10">
        <v>90.25</v>
      </c>
      <c r="M27" s="9">
        <v>3</v>
      </c>
      <c r="N27" s="9">
        <v>21</v>
      </c>
      <c r="O27" s="9">
        <v>0</v>
      </c>
      <c r="P27" s="9">
        <v>0</v>
      </c>
      <c r="Q27" s="9">
        <v>24</v>
      </c>
      <c r="R27" s="9">
        <v>0</v>
      </c>
      <c r="S27" s="9">
        <v>0</v>
      </c>
      <c r="T27" s="9" t="s">
        <v>38</v>
      </c>
      <c r="U27" s="9" t="s">
        <v>31</v>
      </c>
      <c r="V27" s="16">
        <v>152</v>
      </c>
      <c r="W27" s="9" t="s">
        <v>31</v>
      </c>
      <c r="X27" s="11">
        <v>1</v>
      </c>
      <c r="Y27" s="20" t="s">
        <v>178</v>
      </c>
      <c r="Z27" s="96"/>
    </row>
    <row r="28" spans="1:26" x14ac:dyDescent="0.3">
      <c r="A28" s="3">
        <v>46236</v>
      </c>
      <c r="B28" s="4" t="s">
        <v>25</v>
      </c>
      <c r="C28" s="12" t="s">
        <v>42</v>
      </c>
      <c r="D28" s="12" t="s">
        <v>27</v>
      </c>
      <c r="E28" s="12" t="s">
        <v>43</v>
      </c>
      <c r="F28" s="12" t="s">
        <v>44</v>
      </c>
      <c r="G28" s="12">
        <v>600</v>
      </c>
      <c r="H28" s="12">
        <v>350</v>
      </c>
      <c r="I28" s="12">
        <v>6409</v>
      </c>
      <c r="J28" s="12">
        <v>6433</v>
      </c>
      <c r="K28" s="12">
        <v>8399</v>
      </c>
      <c r="L28" s="13">
        <v>349.95833333333331</v>
      </c>
      <c r="M28" s="12">
        <v>24</v>
      </c>
      <c r="N28" s="12">
        <v>0</v>
      </c>
      <c r="O28" s="12">
        <v>0</v>
      </c>
      <c r="P28" s="12">
        <v>0</v>
      </c>
      <c r="Q28" s="12">
        <v>24</v>
      </c>
      <c r="R28" s="12">
        <v>0</v>
      </c>
      <c r="S28" s="12">
        <v>0</v>
      </c>
      <c r="T28" s="12" t="s">
        <v>30</v>
      </c>
      <c r="U28" s="12" t="s">
        <v>31</v>
      </c>
      <c r="V28" s="14">
        <v>73911</v>
      </c>
      <c r="W28" s="12" t="s">
        <v>31</v>
      </c>
      <c r="X28" s="15">
        <v>1</v>
      </c>
      <c r="Y28" s="17"/>
      <c r="Z28" s="96"/>
    </row>
    <row r="29" spans="1:26" x14ac:dyDescent="0.3">
      <c r="A29" s="3">
        <v>46236</v>
      </c>
      <c r="B29" s="4" t="s">
        <v>25</v>
      </c>
      <c r="C29" s="12" t="s">
        <v>42</v>
      </c>
      <c r="D29" s="12" t="s">
        <v>27</v>
      </c>
      <c r="E29" s="12" t="s">
        <v>43</v>
      </c>
      <c r="F29" s="12" t="s">
        <v>45</v>
      </c>
      <c r="G29" s="12">
        <v>600</v>
      </c>
      <c r="H29" s="12">
        <v>350</v>
      </c>
      <c r="I29" s="12">
        <v>6319</v>
      </c>
      <c r="J29" s="12">
        <v>6343</v>
      </c>
      <c r="K29" s="12">
        <v>8401</v>
      </c>
      <c r="L29" s="13">
        <v>350.04166666666669</v>
      </c>
      <c r="M29" s="12">
        <v>24</v>
      </c>
      <c r="N29" s="12">
        <v>0</v>
      </c>
      <c r="O29" s="12">
        <v>0</v>
      </c>
      <c r="P29" s="12">
        <v>0</v>
      </c>
      <c r="Q29" s="12">
        <v>24</v>
      </c>
      <c r="R29" s="12">
        <v>0</v>
      </c>
      <c r="S29" s="12">
        <v>0</v>
      </c>
      <c r="T29" s="12" t="s">
        <v>30</v>
      </c>
      <c r="U29" s="12" t="s">
        <v>31</v>
      </c>
      <c r="V29" s="14">
        <v>73929</v>
      </c>
      <c r="W29" s="12" t="s">
        <v>31</v>
      </c>
      <c r="X29" s="15">
        <v>1</v>
      </c>
      <c r="Y29" s="17"/>
      <c r="Z29" s="96"/>
    </row>
    <row r="30" spans="1:26" x14ac:dyDescent="0.3">
      <c r="A30" s="3">
        <v>46236</v>
      </c>
      <c r="B30" s="4" t="s">
        <v>25</v>
      </c>
      <c r="C30" s="12" t="s">
        <v>26</v>
      </c>
      <c r="D30" s="12" t="s">
        <v>27</v>
      </c>
      <c r="E30" s="12" t="s">
        <v>43</v>
      </c>
      <c r="F30" s="12" t="s">
        <v>163</v>
      </c>
      <c r="G30" s="12">
        <v>600</v>
      </c>
      <c r="H30" s="12">
        <v>450</v>
      </c>
      <c r="I30" s="12">
        <v>4391</v>
      </c>
      <c r="J30" s="12">
        <v>4391</v>
      </c>
      <c r="K30" s="12">
        <v>0</v>
      </c>
      <c r="L30" s="13">
        <v>0</v>
      </c>
      <c r="M30" s="12">
        <v>0</v>
      </c>
      <c r="N30" s="12">
        <v>24</v>
      </c>
      <c r="O30" s="12">
        <v>0</v>
      </c>
      <c r="P30" s="12">
        <v>0</v>
      </c>
      <c r="Q30" s="12">
        <v>24</v>
      </c>
      <c r="R30" s="12">
        <v>0</v>
      </c>
      <c r="S30" s="12">
        <v>0</v>
      </c>
      <c r="T30" s="12" t="s">
        <v>30</v>
      </c>
      <c r="U30" s="12" t="s">
        <v>31</v>
      </c>
      <c r="V30" s="14">
        <v>0</v>
      </c>
      <c r="W30" s="12" t="s">
        <v>31</v>
      </c>
      <c r="X30" s="15">
        <v>1</v>
      </c>
      <c r="Y30" s="17" t="s">
        <v>179</v>
      </c>
      <c r="Z30" s="96"/>
    </row>
    <row r="31" spans="1:26" s="31" customFormat="1" x14ac:dyDescent="0.3">
      <c r="A31" s="3">
        <v>46236</v>
      </c>
      <c r="B31" s="4" t="s">
        <v>25</v>
      </c>
      <c r="C31" s="12" t="s">
        <v>26</v>
      </c>
      <c r="D31" s="12" t="s">
        <v>27</v>
      </c>
      <c r="E31" s="12" t="s">
        <v>43</v>
      </c>
      <c r="F31" s="12" t="s">
        <v>164</v>
      </c>
      <c r="G31" s="12">
        <v>600</v>
      </c>
      <c r="H31" s="12">
        <v>450</v>
      </c>
      <c r="I31" s="12">
        <v>540</v>
      </c>
      <c r="J31" s="12">
        <v>564</v>
      </c>
      <c r="K31" s="12">
        <v>8479</v>
      </c>
      <c r="L31" s="13">
        <v>353.29166666666669</v>
      </c>
      <c r="M31" s="12">
        <v>24</v>
      </c>
      <c r="N31" s="12">
        <v>0</v>
      </c>
      <c r="O31" s="12">
        <v>0</v>
      </c>
      <c r="P31" s="12">
        <v>0</v>
      </c>
      <c r="Q31" s="12">
        <v>24</v>
      </c>
      <c r="R31" s="12">
        <v>0</v>
      </c>
      <c r="S31" s="12">
        <v>0</v>
      </c>
      <c r="T31" s="12" t="s">
        <v>30</v>
      </c>
      <c r="U31" s="12" t="s">
        <v>31</v>
      </c>
      <c r="V31" s="14">
        <v>74611</v>
      </c>
      <c r="W31" s="12" t="s">
        <v>31</v>
      </c>
      <c r="X31" s="15">
        <v>1</v>
      </c>
      <c r="Y31" s="76"/>
      <c r="Z31" s="96"/>
    </row>
    <row r="32" spans="1:26" x14ac:dyDescent="0.3">
      <c r="A32" s="3">
        <v>46236</v>
      </c>
      <c r="B32" s="4" t="s">
        <v>25</v>
      </c>
      <c r="C32" s="12" t="s">
        <v>26</v>
      </c>
      <c r="D32" s="12" t="s">
        <v>27</v>
      </c>
      <c r="E32" s="12" t="s">
        <v>43</v>
      </c>
      <c r="F32" s="12" t="s">
        <v>165</v>
      </c>
      <c r="G32" s="12">
        <v>600</v>
      </c>
      <c r="H32" s="12">
        <v>450</v>
      </c>
      <c r="I32" s="12">
        <v>651</v>
      </c>
      <c r="J32" s="12">
        <v>651</v>
      </c>
      <c r="K32" s="12">
        <v>0</v>
      </c>
      <c r="L32" s="13">
        <v>0</v>
      </c>
      <c r="M32" s="12">
        <v>0</v>
      </c>
      <c r="N32" s="12">
        <v>24</v>
      </c>
      <c r="O32" s="12">
        <v>0</v>
      </c>
      <c r="P32" s="12">
        <v>0</v>
      </c>
      <c r="Q32" s="12">
        <v>24</v>
      </c>
      <c r="R32" s="12">
        <v>0</v>
      </c>
      <c r="S32" s="12">
        <v>0</v>
      </c>
      <c r="T32" s="12" t="s">
        <v>30</v>
      </c>
      <c r="U32" s="12" t="s">
        <v>31</v>
      </c>
      <c r="V32" s="14">
        <v>0</v>
      </c>
      <c r="W32" s="12" t="s">
        <v>31</v>
      </c>
      <c r="X32" s="15">
        <v>1</v>
      </c>
      <c r="Y32" s="17" t="s">
        <v>179</v>
      </c>
      <c r="Z32" s="96"/>
    </row>
    <row r="33" spans="1:26" ht="30.6" x14ac:dyDescent="0.3">
      <c r="A33" s="3">
        <v>46237</v>
      </c>
      <c r="B33" s="4" t="s">
        <v>25</v>
      </c>
      <c r="C33" s="5" t="s">
        <v>26</v>
      </c>
      <c r="D33" s="5" t="s">
        <v>27</v>
      </c>
      <c r="E33" s="5" t="s">
        <v>28</v>
      </c>
      <c r="F33" s="5" t="s">
        <v>29</v>
      </c>
      <c r="G33" s="5">
        <v>1050</v>
      </c>
      <c r="H33" s="5">
        <v>700</v>
      </c>
      <c r="I33" s="6">
        <v>16263</v>
      </c>
      <c r="J33" s="6">
        <v>16283</v>
      </c>
      <c r="K33" s="5">
        <v>13376</v>
      </c>
      <c r="L33" s="7">
        <v>557.33333333333337</v>
      </c>
      <c r="M33" s="6">
        <v>20</v>
      </c>
      <c r="N33" s="5">
        <v>4</v>
      </c>
      <c r="O33" s="5">
        <v>0</v>
      </c>
      <c r="P33" s="5">
        <v>0</v>
      </c>
      <c r="Q33" s="5">
        <v>24</v>
      </c>
      <c r="R33" s="5">
        <v>0</v>
      </c>
      <c r="S33" s="5">
        <v>0</v>
      </c>
      <c r="T33" s="5" t="s">
        <v>30</v>
      </c>
      <c r="U33" s="5" t="s">
        <v>31</v>
      </c>
      <c r="V33" s="6">
        <v>117709</v>
      </c>
      <c r="W33" s="5" t="s">
        <v>31</v>
      </c>
      <c r="X33" s="8">
        <v>1</v>
      </c>
      <c r="Y33" s="18" t="s">
        <v>180</v>
      </c>
      <c r="Z33" s="96"/>
    </row>
    <row r="34" spans="1:26" ht="20.399999999999999" x14ac:dyDescent="0.3">
      <c r="A34" s="3">
        <v>46237</v>
      </c>
      <c r="B34" s="4" t="s">
        <v>25</v>
      </c>
      <c r="C34" s="5" t="s">
        <v>26</v>
      </c>
      <c r="D34" s="5" t="s">
        <v>27</v>
      </c>
      <c r="E34" s="5" t="s">
        <v>28</v>
      </c>
      <c r="F34" s="5" t="s">
        <v>32</v>
      </c>
      <c r="G34" s="5">
        <v>1050</v>
      </c>
      <c r="H34" s="5">
        <v>700</v>
      </c>
      <c r="I34" s="6">
        <v>14047</v>
      </c>
      <c r="J34" s="6">
        <v>14057</v>
      </c>
      <c r="K34" s="5">
        <v>6521</v>
      </c>
      <c r="L34" s="7">
        <v>271.70833333333331</v>
      </c>
      <c r="M34" s="6">
        <v>10</v>
      </c>
      <c r="N34" s="5">
        <v>14</v>
      </c>
      <c r="O34" s="5">
        <v>0</v>
      </c>
      <c r="P34" s="5">
        <v>0</v>
      </c>
      <c r="Q34" s="5">
        <v>24</v>
      </c>
      <c r="R34" s="5">
        <v>0</v>
      </c>
      <c r="S34" s="5">
        <v>0</v>
      </c>
      <c r="T34" s="5" t="s">
        <v>30</v>
      </c>
      <c r="U34" s="5" t="s">
        <v>31</v>
      </c>
      <c r="V34" s="6">
        <v>57385</v>
      </c>
      <c r="W34" s="5" t="s">
        <v>31</v>
      </c>
      <c r="X34" s="8">
        <v>1</v>
      </c>
      <c r="Y34" s="18" t="s">
        <v>181</v>
      </c>
      <c r="Z34" s="96"/>
    </row>
    <row r="35" spans="1:26" ht="20.399999999999999" x14ac:dyDescent="0.3">
      <c r="A35" s="3">
        <v>46237</v>
      </c>
      <c r="B35" s="4" t="s">
        <v>25</v>
      </c>
      <c r="C35" s="5" t="s">
        <v>26</v>
      </c>
      <c r="D35" s="5" t="s">
        <v>27</v>
      </c>
      <c r="E35" s="5" t="s">
        <v>28</v>
      </c>
      <c r="F35" s="5" t="s">
        <v>33</v>
      </c>
      <c r="G35" s="5">
        <v>1050</v>
      </c>
      <c r="H35" s="5">
        <v>700</v>
      </c>
      <c r="I35" s="6">
        <v>12520</v>
      </c>
      <c r="J35" s="6">
        <v>12530</v>
      </c>
      <c r="K35" s="5">
        <v>6799</v>
      </c>
      <c r="L35" s="7">
        <v>283.29166666666669</v>
      </c>
      <c r="M35" s="6">
        <v>10</v>
      </c>
      <c r="N35" s="5">
        <v>14</v>
      </c>
      <c r="O35" s="5">
        <v>0</v>
      </c>
      <c r="P35" s="5">
        <v>0</v>
      </c>
      <c r="Q35" s="5">
        <v>24</v>
      </c>
      <c r="R35" s="5">
        <v>0</v>
      </c>
      <c r="S35" s="5">
        <v>0</v>
      </c>
      <c r="T35" s="5" t="s">
        <v>30</v>
      </c>
      <c r="U35" s="5" t="s">
        <v>31</v>
      </c>
      <c r="V35" s="6">
        <v>59831</v>
      </c>
      <c r="W35" s="5" t="s">
        <v>31</v>
      </c>
      <c r="X35" s="8">
        <v>1</v>
      </c>
      <c r="Y35" s="18" t="s">
        <v>181</v>
      </c>
      <c r="Z35" s="96"/>
    </row>
    <row r="36" spans="1:26" x14ac:dyDescent="0.3">
      <c r="A36" s="3">
        <v>46237</v>
      </c>
      <c r="B36" s="4" t="s">
        <v>25</v>
      </c>
      <c r="C36" s="5" t="s">
        <v>26</v>
      </c>
      <c r="D36" s="5" t="s">
        <v>27</v>
      </c>
      <c r="E36" s="5" t="s">
        <v>34</v>
      </c>
      <c r="F36" s="5" t="s">
        <v>35</v>
      </c>
      <c r="G36" s="5">
        <v>1300</v>
      </c>
      <c r="H36" s="5">
        <v>1040</v>
      </c>
      <c r="I36" s="6">
        <v>3944</v>
      </c>
      <c r="J36" s="6">
        <v>3968</v>
      </c>
      <c r="K36" s="5">
        <v>20730</v>
      </c>
      <c r="L36" s="7">
        <v>863.75</v>
      </c>
      <c r="M36" s="6">
        <v>24</v>
      </c>
      <c r="N36" s="5">
        <v>0</v>
      </c>
      <c r="O36" s="5">
        <v>0</v>
      </c>
      <c r="P36" s="5">
        <v>0</v>
      </c>
      <c r="Q36" s="5">
        <v>24</v>
      </c>
      <c r="R36" s="5">
        <v>0</v>
      </c>
      <c r="S36" s="5">
        <v>0</v>
      </c>
      <c r="T36" s="5" t="s">
        <v>30</v>
      </c>
      <c r="U36" s="5" t="s">
        <v>31</v>
      </c>
      <c r="V36" s="6">
        <v>182424</v>
      </c>
      <c r="W36" s="5" t="s">
        <v>31</v>
      </c>
      <c r="X36" s="8">
        <v>1</v>
      </c>
      <c r="Y36" s="18"/>
      <c r="Z36" s="96"/>
    </row>
    <row r="37" spans="1:26" x14ac:dyDescent="0.3">
      <c r="A37" s="3">
        <v>46237</v>
      </c>
      <c r="B37" s="4" t="s">
        <v>25</v>
      </c>
      <c r="C37" s="5" t="s">
        <v>26</v>
      </c>
      <c r="D37" s="5" t="s">
        <v>27</v>
      </c>
      <c r="E37" s="5" t="s">
        <v>34</v>
      </c>
      <c r="F37" s="5" t="s">
        <v>36</v>
      </c>
      <c r="G37" s="5">
        <v>1300</v>
      </c>
      <c r="H37" s="5">
        <v>1040</v>
      </c>
      <c r="I37" s="6">
        <v>3936</v>
      </c>
      <c r="J37" s="6">
        <v>3960</v>
      </c>
      <c r="K37" s="5">
        <v>20558</v>
      </c>
      <c r="L37" s="7">
        <v>856.58333333333337</v>
      </c>
      <c r="M37" s="6">
        <v>24</v>
      </c>
      <c r="N37" s="5">
        <v>0</v>
      </c>
      <c r="O37" s="5">
        <v>0</v>
      </c>
      <c r="P37" s="5">
        <v>0</v>
      </c>
      <c r="Q37" s="5">
        <v>24</v>
      </c>
      <c r="R37" s="5">
        <v>0</v>
      </c>
      <c r="S37" s="5">
        <v>0</v>
      </c>
      <c r="T37" s="5" t="s">
        <v>30</v>
      </c>
      <c r="U37" s="5" t="s">
        <v>31</v>
      </c>
      <c r="V37" s="6">
        <v>180910</v>
      </c>
      <c r="W37" s="5" t="s">
        <v>31</v>
      </c>
      <c r="X37" s="8">
        <v>1</v>
      </c>
      <c r="Y37" s="18"/>
      <c r="Z37" s="96"/>
    </row>
    <row r="38" spans="1:26" ht="30.6" x14ac:dyDescent="0.3">
      <c r="A38" s="3">
        <v>46237</v>
      </c>
      <c r="B38" s="4" t="s">
        <v>25</v>
      </c>
      <c r="C38" s="5" t="s">
        <v>26</v>
      </c>
      <c r="D38" s="5" t="s">
        <v>27</v>
      </c>
      <c r="E38" s="5" t="s">
        <v>34</v>
      </c>
      <c r="F38" s="5" t="s">
        <v>46</v>
      </c>
      <c r="G38" s="5">
        <v>1300</v>
      </c>
      <c r="H38" s="5">
        <v>1040</v>
      </c>
      <c r="I38" s="6">
        <v>2417</v>
      </c>
      <c r="J38" s="6">
        <v>2438</v>
      </c>
      <c r="K38" s="5">
        <v>17807</v>
      </c>
      <c r="L38" s="7">
        <v>741.95833333333337</v>
      </c>
      <c r="M38" s="6">
        <v>21</v>
      </c>
      <c r="N38" s="5">
        <v>3</v>
      </c>
      <c r="O38" s="5">
        <v>0</v>
      </c>
      <c r="P38" s="5">
        <v>0</v>
      </c>
      <c r="Q38" s="5">
        <v>24</v>
      </c>
      <c r="R38" s="5">
        <v>0</v>
      </c>
      <c r="S38" s="5">
        <v>0</v>
      </c>
      <c r="T38" s="5" t="s">
        <v>30</v>
      </c>
      <c r="U38" s="5" t="s">
        <v>31</v>
      </c>
      <c r="V38" s="6">
        <v>156702</v>
      </c>
      <c r="W38" s="5" t="s">
        <v>31</v>
      </c>
      <c r="X38" s="8">
        <v>1</v>
      </c>
      <c r="Y38" s="18" t="s">
        <v>182</v>
      </c>
      <c r="Z38" s="96"/>
    </row>
    <row r="39" spans="1:26" x14ac:dyDescent="0.3">
      <c r="A39" s="3">
        <v>46237</v>
      </c>
      <c r="B39" s="4" t="s">
        <v>25</v>
      </c>
      <c r="C39" s="5" t="s">
        <v>26</v>
      </c>
      <c r="D39" s="5" t="s">
        <v>27</v>
      </c>
      <c r="E39" s="5" t="s">
        <v>28</v>
      </c>
      <c r="F39" s="5" t="s">
        <v>47</v>
      </c>
      <c r="G39" s="5">
        <v>1050</v>
      </c>
      <c r="H39" s="5">
        <v>740</v>
      </c>
      <c r="I39" s="6">
        <v>1389</v>
      </c>
      <c r="J39" s="6">
        <v>1410</v>
      </c>
      <c r="K39" s="5">
        <v>12724</v>
      </c>
      <c r="L39" s="7">
        <v>530.16666666666663</v>
      </c>
      <c r="M39" s="6">
        <v>21</v>
      </c>
      <c r="N39" s="5">
        <v>3</v>
      </c>
      <c r="O39" s="5">
        <v>0</v>
      </c>
      <c r="P39" s="5">
        <v>0</v>
      </c>
      <c r="Q39" s="5">
        <v>24</v>
      </c>
      <c r="R39" s="5">
        <v>0</v>
      </c>
      <c r="S39" s="5">
        <v>0</v>
      </c>
      <c r="T39" s="5" t="s">
        <v>30</v>
      </c>
      <c r="U39" s="5" t="s">
        <v>31</v>
      </c>
      <c r="V39" s="19">
        <v>111971</v>
      </c>
      <c r="W39" s="5" t="s">
        <v>31</v>
      </c>
      <c r="X39" s="8">
        <v>1</v>
      </c>
      <c r="Y39" s="18" t="s">
        <v>183</v>
      </c>
      <c r="Z39" s="96"/>
    </row>
    <row r="40" spans="1:26" ht="20.399999999999999" x14ac:dyDescent="0.3">
      <c r="A40" s="3">
        <v>46237</v>
      </c>
      <c r="B40" s="4" t="s">
        <v>25</v>
      </c>
      <c r="C40" s="9" t="s">
        <v>26</v>
      </c>
      <c r="D40" s="9" t="s">
        <v>27</v>
      </c>
      <c r="E40" s="9" t="s">
        <v>37</v>
      </c>
      <c r="F40" s="9" t="s">
        <v>39</v>
      </c>
      <c r="G40" s="9">
        <v>500</v>
      </c>
      <c r="H40" s="9">
        <v>360</v>
      </c>
      <c r="I40" s="9">
        <v>15228</v>
      </c>
      <c r="J40" s="9">
        <v>15231</v>
      </c>
      <c r="K40" s="9">
        <v>1007</v>
      </c>
      <c r="L40" s="10">
        <v>41.958333333333336</v>
      </c>
      <c r="M40" s="9">
        <v>3</v>
      </c>
      <c r="N40" s="9">
        <v>21</v>
      </c>
      <c r="O40" s="9">
        <v>0</v>
      </c>
      <c r="P40" s="9">
        <v>0</v>
      </c>
      <c r="Q40" s="9">
        <v>24</v>
      </c>
      <c r="R40" s="9">
        <v>0</v>
      </c>
      <c r="S40" s="9">
        <v>0</v>
      </c>
      <c r="T40" s="9" t="s">
        <v>38</v>
      </c>
      <c r="U40" s="9" t="s">
        <v>31</v>
      </c>
      <c r="V40" s="16">
        <v>70</v>
      </c>
      <c r="W40" s="9" t="s">
        <v>31</v>
      </c>
      <c r="X40" s="11">
        <v>1</v>
      </c>
      <c r="Y40" s="20" t="s">
        <v>184</v>
      </c>
      <c r="Z40" s="96"/>
    </row>
    <row r="41" spans="1:26" ht="20.399999999999999" x14ac:dyDescent="0.3">
      <c r="A41" s="3">
        <v>46237</v>
      </c>
      <c r="B41" s="4" t="s">
        <v>25</v>
      </c>
      <c r="C41" s="9" t="s">
        <v>26</v>
      </c>
      <c r="D41" s="9" t="s">
        <v>27</v>
      </c>
      <c r="E41" s="9" t="s">
        <v>37</v>
      </c>
      <c r="F41" s="9" t="s">
        <v>40</v>
      </c>
      <c r="G41" s="9">
        <v>1000</v>
      </c>
      <c r="H41" s="9">
        <v>800</v>
      </c>
      <c r="I41" s="9">
        <v>3533</v>
      </c>
      <c r="J41" s="9">
        <v>3537</v>
      </c>
      <c r="K41" s="9">
        <v>2679</v>
      </c>
      <c r="L41" s="10">
        <v>111.625</v>
      </c>
      <c r="M41" s="9">
        <v>4</v>
      </c>
      <c r="N41" s="9">
        <v>20</v>
      </c>
      <c r="O41" s="9">
        <v>0</v>
      </c>
      <c r="P41" s="9">
        <v>0</v>
      </c>
      <c r="Q41" s="9">
        <v>24</v>
      </c>
      <c r="R41" s="9">
        <v>0</v>
      </c>
      <c r="S41" s="9">
        <v>0</v>
      </c>
      <c r="T41" s="9" t="s">
        <v>38</v>
      </c>
      <c r="U41" s="9" t="s">
        <v>31</v>
      </c>
      <c r="V41" s="16">
        <v>188</v>
      </c>
      <c r="W41" s="9" t="s">
        <v>31</v>
      </c>
      <c r="X41" s="11">
        <v>1</v>
      </c>
      <c r="Y41" s="20" t="s">
        <v>185</v>
      </c>
      <c r="Z41" s="96"/>
    </row>
    <row r="42" spans="1:26" ht="20.399999999999999" x14ac:dyDescent="0.3">
      <c r="A42" s="3">
        <v>46237</v>
      </c>
      <c r="B42" s="4" t="s">
        <v>25</v>
      </c>
      <c r="C42" s="9" t="s">
        <v>26</v>
      </c>
      <c r="D42" s="9" t="s">
        <v>27</v>
      </c>
      <c r="E42" s="9" t="s">
        <v>37</v>
      </c>
      <c r="F42" s="9" t="s">
        <v>41</v>
      </c>
      <c r="G42" s="9">
        <v>1000</v>
      </c>
      <c r="H42" s="9">
        <v>800</v>
      </c>
      <c r="I42" s="9">
        <v>2409</v>
      </c>
      <c r="J42" s="9">
        <v>2412</v>
      </c>
      <c r="K42" s="9">
        <v>2171</v>
      </c>
      <c r="L42" s="10">
        <v>90.458333333333329</v>
      </c>
      <c r="M42" s="9">
        <v>3</v>
      </c>
      <c r="N42" s="9">
        <v>21</v>
      </c>
      <c r="O42" s="9">
        <v>0</v>
      </c>
      <c r="P42" s="9">
        <v>0</v>
      </c>
      <c r="Q42" s="9">
        <v>24</v>
      </c>
      <c r="R42" s="9">
        <v>0</v>
      </c>
      <c r="S42" s="9">
        <v>0</v>
      </c>
      <c r="T42" s="9" t="s">
        <v>38</v>
      </c>
      <c r="U42" s="9" t="s">
        <v>31</v>
      </c>
      <c r="V42" s="16">
        <v>152</v>
      </c>
      <c r="W42" s="9" t="s">
        <v>31</v>
      </c>
      <c r="X42" s="11">
        <v>1</v>
      </c>
      <c r="Y42" s="20" t="s">
        <v>186</v>
      </c>
      <c r="Z42" s="96"/>
    </row>
    <row r="43" spans="1:26" ht="30.6" x14ac:dyDescent="0.3">
      <c r="A43" s="3">
        <v>46237</v>
      </c>
      <c r="B43" s="4" t="s">
        <v>25</v>
      </c>
      <c r="C43" s="12" t="s">
        <v>42</v>
      </c>
      <c r="D43" s="12" t="s">
        <v>27</v>
      </c>
      <c r="E43" s="12" t="s">
        <v>43</v>
      </c>
      <c r="F43" s="12" t="s">
        <v>44</v>
      </c>
      <c r="G43" s="12">
        <v>600</v>
      </c>
      <c r="H43" s="12">
        <v>350</v>
      </c>
      <c r="I43" s="12">
        <v>6433</v>
      </c>
      <c r="J43" s="12">
        <v>6445</v>
      </c>
      <c r="K43" s="12">
        <v>3969</v>
      </c>
      <c r="L43" s="13">
        <v>165.375</v>
      </c>
      <c r="M43" s="12">
        <v>12</v>
      </c>
      <c r="N43" s="12">
        <v>4</v>
      </c>
      <c r="O43" s="12">
        <v>8</v>
      </c>
      <c r="P43" s="12">
        <v>0</v>
      </c>
      <c r="Q43" s="12">
        <v>24</v>
      </c>
      <c r="R43" s="12">
        <v>0</v>
      </c>
      <c r="S43" s="12">
        <v>0</v>
      </c>
      <c r="T43" s="12" t="s">
        <v>30</v>
      </c>
      <c r="U43" s="12" t="s">
        <v>31</v>
      </c>
      <c r="V43" s="14">
        <v>34927</v>
      </c>
      <c r="W43" s="12" t="s">
        <v>31</v>
      </c>
      <c r="X43" s="15">
        <v>1</v>
      </c>
      <c r="Y43" s="17" t="s">
        <v>187</v>
      </c>
      <c r="Z43" s="96"/>
    </row>
    <row r="44" spans="1:26" ht="40.799999999999997" x14ac:dyDescent="0.3">
      <c r="A44" s="3">
        <v>46237</v>
      </c>
      <c r="B44" s="4" t="s">
        <v>25</v>
      </c>
      <c r="C44" s="12" t="s">
        <v>42</v>
      </c>
      <c r="D44" s="12" t="s">
        <v>27</v>
      </c>
      <c r="E44" s="12" t="s">
        <v>43</v>
      </c>
      <c r="F44" s="12" t="s">
        <v>45</v>
      </c>
      <c r="G44" s="12">
        <v>600</v>
      </c>
      <c r="H44" s="12">
        <v>350</v>
      </c>
      <c r="I44" s="12">
        <v>6343</v>
      </c>
      <c r="J44" s="12">
        <v>6356</v>
      </c>
      <c r="K44" s="12">
        <v>3307</v>
      </c>
      <c r="L44" s="13">
        <v>137.79166666666666</v>
      </c>
      <c r="M44" s="12">
        <v>13</v>
      </c>
      <c r="N44" s="12">
        <v>11</v>
      </c>
      <c r="O44" s="12">
        <v>0</v>
      </c>
      <c r="P44" s="12">
        <v>0</v>
      </c>
      <c r="Q44" s="12">
        <v>24</v>
      </c>
      <c r="R44" s="12">
        <v>0</v>
      </c>
      <c r="S44" s="12">
        <v>0</v>
      </c>
      <c r="T44" s="12" t="s">
        <v>30</v>
      </c>
      <c r="U44" s="12" t="s">
        <v>31</v>
      </c>
      <c r="V44" s="14">
        <v>29102</v>
      </c>
      <c r="W44" s="12" t="s">
        <v>31</v>
      </c>
      <c r="X44" s="15">
        <v>1</v>
      </c>
      <c r="Y44" s="17" t="s">
        <v>188</v>
      </c>
      <c r="Z44" s="96"/>
    </row>
    <row r="45" spans="1:26" s="31" customFormat="1" ht="30.6" x14ac:dyDescent="0.3">
      <c r="A45" s="3">
        <v>46237</v>
      </c>
      <c r="B45" s="4" t="s">
        <v>25</v>
      </c>
      <c r="C45" s="12" t="s">
        <v>26</v>
      </c>
      <c r="D45" s="12" t="s">
        <v>27</v>
      </c>
      <c r="E45" s="12" t="s">
        <v>43</v>
      </c>
      <c r="F45" s="12" t="s">
        <v>163</v>
      </c>
      <c r="G45" s="12">
        <v>600</v>
      </c>
      <c r="H45" s="12">
        <v>450</v>
      </c>
      <c r="I45" s="12">
        <v>4391</v>
      </c>
      <c r="J45" s="12">
        <v>4399</v>
      </c>
      <c r="K45" s="12">
        <v>3079</v>
      </c>
      <c r="L45" s="13">
        <v>128.29166666666666</v>
      </c>
      <c r="M45" s="12">
        <v>8</v>
      </c>
      <c r="N45" s="12">
        <v>16</v>
      </c>
      <c r="O45" s="12">
        <v>0</v>
      </c>
      <c r="P45" s="12">
        <v>0</v>
      </c>
      <c r="Q45" s="12">
        <v>24</v>
      </c>
      <c r="R45" s="12">
        <v>0</v>
      </c>
      <c r="S45" s="12">
        <v>0</v>
      </c>
      <c r="T45" s="12" t="s">
        <v>30</v>
      </c>
      <c r="U45" s="12" t="s">
        <v>31</v>
      </c>
      <c r="V45" s="14">
        <v>27095</v>
      </c>
      <c r="W45" s="12" t="s">
        <v>31</v>
      </c>
      <c r="X45" s="15">
        <v>1</v>
      </c>
      <c r="Y45" s="17" t="s">
        <v>189</v>
      </c>
      <c r="Z45" s="96"/>
    </row>
    <row r="46" spans="1:26" ht="52.2" x14ac:dyDescent="0.3">
      <c r="A46" s="3">
        <v>46237</v>
      </c>
      <c r="B46" s="4" t="s">
        <v>25</v>
      </c>
      <c r="C46" s="12" t="s">
        <v>26</v>
      </c>
      <c r="D46" s="12" t="s">
        <v>27</v>
      </c>
      <c r="E46" s="12" t="s">
        <v>43</v>
      </c>
      <c r="F46" s="12" t="s">
        <v>164</v>
      </c>
      <c r="G46" s="12">
        <v>600</v>
      </c>
      <c r="H46" s="12">
        <v>450</v>
      </c>
      <c r="I46" s="12">
        <v>564</v>
      </c>
      <c r="J46" s="12">
        <v>585</v>
      </c>
      <c r="K46" s="12">
        <v>7733</v>
      </c>
      <c r="L46" s="13">
        <v>322.20833333333331</v>
      </c>
      <c r="M46" s="12">
        <v>21</v>
      </c>
      <c r="N46" s="12">
        <v>3</v>
      </c>
      <c r="O46" s="12">
        <v>0</v>
      </c>
      <c r="P46" s="12">
        <v>0</v>
      </c>
      <c r="Q46" s="12">
        <v>24</v>
      </c>
      <c r="R46" s="12">
        <v>0</v>
      </c>
      <c r="S46" s="12">
        <v>0</v>
      </c>
      <c r="T46" s="12" t="s">
        <v>30</v>
      </c>
      <c r="U46" s="12" t="s">
        <v>31</v>
      </c>
      <c r="V46" s="14">
        <v>68050</v>
      </c>
      <c r="W46" s="12" t="s">
        <v>31</v>
      </c>
      <c r="X46" s="15">
        <v>1</v>
      </c>
      <c r="Y46" s="76" t="s">
        <v>190</v>
      </c>
      <c r="Z46" s="96"/>
    </row>
    <row r="47" spans="1:26" x14ac:dyDescent="0.3">
      <c r="A47" s="3">
        <v>46237</v>
      </c>
      <c r="B47" s="4" t="s">
        <v>25</v>
      </c>
      <c r="C47" s="12" t="s">
        <v>26</v>
      </c>
      <c r="D47" s="12" t="s">
        <v>27</v>
      </c>
      <c r="E47" s="12" t="s">
        <v>43</v>
      </c>
      <c r="F47" s="12" t="s">
        <v>165</v>
      </c>
      <c r="G47" s="12">
        <v>600</v>
      </c>
      <c r="H47" s="12">
        <v>450</v>
      </c>
      <c r="I47" s="12">
        <v>651</v>
      </c>
      <c r="J47" s="12">
        <v>653</v>
      </c>
      <c r="K47" s="12">
        <v>712</v>
      </c>
      <c r="L47" s="13">
        <v>29.666666666666668</v>
      </c>
      <c r="M47" s="12">
        <v>2</v>
      </c>
      <c r="N47" s="12">
        <v>22</v>
      </c>
      <c r="O47" s="12">
        <v>0</v>
      </c>
      <c r="P47" s="12">
        <v>0</v>
      </c>
      <c r="Q47" s="12">
        <v>24</v>
      </c>
      <c r="R47" s="12">
        <v>0</v>
      </c>
      <c r="S47" s="12">
        <v>0</v>
      </c>
      <c r="T47" s="12" t="s">
        <v>30</v>
      </c>
      <c r="U47" s="12" t="s">
        <v>31</v>
      </c>
      <c r="V47" s="14">
        <v>6266</v>
      </c>
      <c r="W47" s="12" t="s">
        <v>31</v>
      </c>
      <c r="X47" s="15">
        <v>1</v>
      </c>
      <c r="Y47" s="17" t="s">
        <v>191</v>
      </c>
      <c r="Z47" s="96"/>
    </row>
    <row r="48" spans="1:26" ht="40.799999999999997" x14ac:dyDescent="0.3">
      <c r="A48" s="3">
        <v>46238</v>
      </c>
      <c r="B48" s="4" t="s">
        <v>25</v>
      </c>
      <c r="C48" s="5" t="s">
        <v>26</v>
      </c>
      <c r="D48" s="5" t="s">
        <v>27</v>
      </c>
      <c r="E48" s="5" t="s">
        <v>28</v>
      </c>
      <c r="F48" s="5" t="s">
        <v>29</v>
      </c>
      <c r="G48" s="5">
        <v>1050</v>
      </c>
      <c r="H48" s="5">
        <v>700</v>
      </c>
      <c r="I48" s="6">
        <v>16283</v>
      </c>
      <c r="J48" s="6">
        <v>16299</v>
      </c>
      <c r="K48" s="5">
        <v>9540</v>
      </c>
      <c r="L48" s="7">
        <v>397.5</v>
      </c>
      <c r="M48" s="6">
        <v>16</v>
      </c>
      <c r="N48" s="5">
        <v>8</v>
      </c>
      <c r="O48" s="5">
        <v>0</v>
      </c>
      <c r="P48" s="5">
        <v>0</v>
      </c>
      <c r="Q48" s="5">
        <v>24</v>
      </c>
      <c r="R48" s="5">
        <v>0</v>
      </c>
      <c r="S48" s="5">
        <v>0</v>
      </c>
      <c r="T48" s="5" t="s">
        <v>30</v>
      </c>
      <c r="U48" s="5" t="s">
        <v>31</v>
      </c>
      <c r="V48" s="6">
        <v>83952.000000000015</v>
      </c>
      <c r="W48" s="5" t="s">
        <v>31</v>
      </c>
      <c r="X48" s="8">
        <v>1</v>
      </c>
      <c r="Y48" s="18" t="s">
        <v>192</v>
      </c>
      <c r="Z48" s="96"/>
    </row>
    <row r="49" spans="1:26" ht="40.799999999999997" x14ac:dyDescent="0.3">
      <c r="A49" s="3">
        <v>46238</v>
      </c>
      <c r="B49" s="4" t="s">
        <v>25</v>
      </c>
      <c r="C49" s="5" t="s">
        <v>26</v>
      </c>
      <c r="D49" s="5" t="s">
        <v>27</v>
      </c>
      <c r="E49" s="5" t="s">
        <v>28</v>
      </c>
      <c r="F49" s="5" t="s">
        <v>32</v>
      </c>
      <c r="G49" s="5">
        <v>1050</v>
      </c>
      <c r="H49" s="5">
        <v>700</v>
      </c>
      <c r="I49" s="6">
        <v>14057</v>
      </c>
      <c r="J49" s="6">
        <v>14064</v>
      </c>
      <c r="K49" s="5">
        <v>3647</v>
      </c>
      <c r="L49" s="7">
        <v>151.95833333333334</v>
      </c>
      <c r="M49" s="6">
        <v>7</v>
      </c>
      <c r="N49" s="5">
        <v>17</v>
      </c>
      <c r="O49" s="5">
        <v>0</v>
      </c>
      <c r="P49" s="5">
        <v>0</v>
      </c>
      <c r="Q49" s="5">
        <v>24</v>
      </c>
      <c r="R49" s="5">
        <v>0</v>
      </c>
      <c r="S49" s="5">
        <v>0</v>
      </c>
      <c r="T49" s="5" t="s">
        <v>30</v>
      </c>
      <c r="U49" s="5" t="s">
        <v>31</v>
      </c>
      <c r="V49" s="6">
        <v>32093.599999999999</v>
      </c>
      <c r="W49" s="5" t="s">
        <v>31</v>
      </c>
      <c r="X49" s="8">
        <v>1</v>
      </c>
      <c r="Y49" s="18" t="s">
        <v>193</v>
      </c>
      <c r="Z49" s="96"/>
    </row>
    <row r="50" spans="1:26" ht="40.799999999999997" x14ac:dyDescent="0.3">
      <c r="A50" s="3">
        <v>46238</v>
      </c>
      <c r="B50" s="4" t="s">
        <v>25</v>
      </c>
      <c r="C50" s="5" t="s">
        <v>26</v>
      </c>
      <c r="D50" s="5" t="s">
        <v>27</v>
      </c>
      <c r="E50" s="5" t="s">
        <v>28</v>
      </c>
      <c r="F50" s="5" t="s">
        <v>33</v>
      </c>
      <c r="G50" s="5">
        <v>1050</v>
      </c>
      <c r="H50" s="5">
        <v>700</v>
      </c>
      <c r="I50" s="6">
        <v>12530</v>
      </c>
      <c r="J50" s="6">
        <v>12546</v>
      </c>
      <c r="K50" s="5">
        <v>9642</v>
      </c>
      <c r="L50" s="7">
        <v>401.75</v>
      </c>
      <c r="M50" s="6">
        <v>16</v>
      </c>
      <c r="N50" s="5">
        <v>8</v>
      </c>
      <c r="O50" s="5">
        <v>0</v>
      </c>
      <c r="P50" s="5">
        <v>0</v>
      </c>
      <c r="Q50" s="5">
        <v>24</v>
      </c>
      <c r="R50" s="5">
        <v>0</v>
      </c>
      <c r="S50" s="5">
        <v>0</v>
      </c>
      <c r="T50" s="5" t="s">
        <v>30</v>
      </c>
      <c r="U50" s="5" t="s">
        <v>31</v>
      </c>
      <c r="V50" s="6">
        <v>84849.599999999991</v>
      </c>
      <c r="W50" s="5" t="s">
        <v>31</v>
      </c>
      <c r="X50" s="8">
        <v>1</v>
      </c>
      <c r="Y50" s="18" t="s">
        <v>194</v>
      </c>
      <c r="Z50" s="96"/>
    </row>
    <row r="51" spans="1:26" x14ac:dyDescent="0.3">
      <c r="A51" s="3">
        <v>46238</v>
      </c>
      <c r="B51" s="4" t="s">
        <v>25</v>
      </c>
      <c r="C51" s="5" t="s">
        <v>26</v>
      </c>
      <c r="D51" s="5" t="s">
        <v>27</v>
      </c>
      <c r="E51" s="5" t="s">
        <v>34</v>
      </c>
      <c r="F51" s="5" t="s">
        <v>35</v>
      </c>
      <c r="G51" s="5">
        <v>1300</v>
      </c>
      <c r="H51" s="5">
        <v>1040</v>
      </c>
      <c r="I51" s="6">
        <v>3968</v>
      </c>
      <c r="J51" s="6">
        <v>3992</v>
      </c>
      <c r="K51" s="5">
        <v>19289</v>
      </c>
      <c r="L51" s="7">
        <v>803.70833333333337</v>
      </c>
      <c r="M51" s="6">
        <v>24</v>
      </c>
      <c r="N51" s="5">
        <v>0</v>
      </c>
      <c r="O51" s="5">
        <v>0</v>
      </c>
      <c r="P51" s="5">
        <v>0</v>
      </c>
      <c r="Q51" s="5">
        <v>24</v>
      </c>
      <c r="R51" s="5">
        <v>0</v>
      </c>
      <c r="S51" s="5">
        <v>0</v>
      </c>
      <c r="T51" s="5" t="s">
        <v>30</v>
      </c>
      <c r="U51" s="5" t="s">
        <v>31</v>
      </c>
      <c r="V51" s="6">
        <v>169743.20000000004</v>
      </c>
      <c r="W51" s="5" t="s">
        <v>31</v>
      </c>
      <c r="X51" s="8">
        <v>1</v>
      </c>
      <c r="Y51" s="18"/>
      <c r="Z51" s="96"/>
    </row>
    <row r="52" spans="1:26" x14ac:dyDescent="0.3">
      <c r="A52" s="3">
        <v>46238</v>
      </c>
      <c r="B52" s="4" t="s">
        <v>25</v>
      </c>
      <c r="C52" s="5" t="s">
        <v>26</v>
      </c>
      <c r="D52" s="5" t="s">
        <v>27</v>
      </c>
      <c r="E52" s="5" t="s">
        <v>34</v>
      </c>
      <c r="F52" s="5" t="s">
        <v>36</v>
      </c>
      <c r="G52" s="5">
        <v>1300</v>
      </c>
      <c r="H52" s="5">
        <v>1040</v>
      </c>
      <c r="I52" s="6">
        <v>3960</v>
      </c>
      <c r="J52" s="6">
        <v>3984</v>
      </c>
      <c r="K52" s="5">
        <v>19341</v>
      </c>
      <c r="L52" s="7">
        <v>805.875</v>
      </c>
      <c r="M52" s="6">
        <v>24</v>
      </c>
      <c r="N52" s="5">
        <v>0</v>
      </c>
      <c r="O52" s="5">
        <v>0</v>
      </c>
      <c r="P52" s="5">
        <v>0</v>
      </c>
      <c r="Q52" s="5">
        <v>24</v>
      </c>
      <c r="R52" s="5">
        <v>0</v>
      </c>
      <c r="S52" s="5">
        <v>0</v>
      </c>
      <c r="T52" s="5" t="s">
        <v>30</v>
      </c>
      <c r="U52" s="5" t="s">
        <v>31</v>
      </c>
      <c r="V52" s="6">
        <v>170200.80000000002</v>
      </c>
      <c r="W52" s="5" t="s">
        <v>31</v>
      </c>
      <c r="X52" s="8">
        <v>1</v>
      </c>
      <c r="Y52" s="18"/>
      <c r="Z52" s="96"/>
    </row>
    <row r="53" spans="1:26" ht="30.6" x14ac:dyDescent="0.3">
      <c r="A53" s="3">
        <v>46238</v>
      </c>
      <c r="B53" s="4" t="s">
        <v>25</v>
      </c>
      <c r="C53" s="5" t="s">
        <v>26</v>
      </c>
      <c r="D53" s="5" t="s">
        <v>27</v>
      </c>
      <c r="E53" s="5" t="s">
        <v>34</v>
      </c>
      <c r="F53" s="5" t="s">
        <v>46</v>
      </c>
      <c r="G53" s="5">
        <v>1300</v>
      </c>
      <c r="H53" s="5">
        <v>1040</v>
      </c>
      <c r="I53" s="6">
        <v>2438</v>
      </c>
      <c r="J53" s="6">
        <v>2451</v>
      </c>
      <c r="K53" s="5">
        <v>10036</v>
      </c>
      <c r="L53" s="7">
        <v>418.16666666666669</v>
      </c>
      <c r="M53" s="6">
        <v>13</v>
      </c>
      <c r="N53" s="5">
        <v>11</v>
      </c>
      <c r="O53" s="5">
        <v>0</v>
      </c>
      <c r="P53" s="5">
        <v>0</v>
      </c>
      <c r="Q53" s="5">
        <v>24</v>
      </c>
      <c r="R53" s="5">
        <v>0</v>
      </c>
      <c r="S53" s="5">
        <v>0</v>
      </c>
      <c r="T53" s="5" t="s">
        <v>30</v>
      </c>
      <c r="U53" s="5" t="s">
        <v>31</v>
      </c>
      <c r="V53" s="6">
        <v>88316.800000000017</v>
      </c>
      <c r="W53" s="5" t="s">
        <v>31</v>
      </c>
      <c r="X53" s="8">
        <v>1</v>
      </c>
      <c r="Y53" s="18" t="s">
        <v>195</v>
      </c>
      <c r="Z53" s="96"/>
    </row>
    <row r="54" spans="1:26" ht="30.6" x14ac:dyDescent="0.3">
      <c r="A54" s="3">
        <v>46238</v>
      </c>
      <c r="B54" s="4" t="s">
        <v>25</v>
      </c>
      <c r="C54" s="5" t="s">
        <v>26</v>
      </c>
      <c r="D54" s="5" t="s">
        <v>27</v>
      </c>
      <c r="E54" s="5" t="s">
        <v>28</v>
      </c>
      <c r="F54" s="5" t="s">
        <v>47</v>
      </c>
      <c r="G54" s="5">
        <v>1050</v>
      </c>
      <c r="H54" s="5">
        <v>740</v>
      </c>
      <c r="I54" s="6">
        <v>1410</v>
      </c>
      <c r="J54" s="6">
        <v>1426</v>
      </c>
      <c r="K54" s="5">
        <v>8621</v>
      </c>
      <c r="L54" s="7">
        <v>359.20833333333331</v>
      </c>
      <c r="M54" s="6">
        <v>16</v>
      </c>
      <c r="N54" s="5">
        <v>8</v>
      </c>
      <c r="O54" s="5">
        <v>0</v>
      </c>
      <c r="P54" s="5">
        <v>0</v>
      </c>
      <c r="Q54" s="5">
        <v>24</v>
      </c>
      <c r="R54" s="5">
        <v>0</v>
      </c>
      <c r="S54" s="5">
        <v>0</v>
      </c>
      <c r="T54" s="5" t="s">
        <v>30</v>
      </c>
      <c r="U54" s="5" t="s">
        <v>31</v>
      </c>
      <c r="V54" s="19">
        <v>75864.800000000003</v>
      </c>
      <c r="W54" s="5" t="s">
        <v>31</v>
      </c>
      <c r="X54" s="8">
        <v>1</v>
      </c>
      <c r="Y54" s="18" t="s">
        <v>196</v>
      </c>
      <c r="Z54" s="96"/>
    </row>
    <row r="55" spans="1:26" ht="20.399999999999999" x14ac:dyDescent="0.3">
      <c r="A55" s="3">
        <v>46238</v>
      </c>
      <c r="B55" s="4" t="s">
        <v>25</v>
      </c>
      <c r="C55" s="9" t="s">
        <v>26</v>
      </c>
      <c r="D55" s="9" t="s">
        <v>27</v>
      </c>
      <c r="E55" s="9" t="s">
        <v>37</v>
      </c>
      <c r="F55" s="9" t="s">
        <v>39</v>
      </c>
      <c r="G55" s="9">
        <v>500</v>
      </c>
      <c r="H55" s="9">
        <v>360</v>
      </c>
      <c r="I55" s="9">
        <v>15231</v>
      </c>
      <c r="J55" s="9">
        <v>15233</v>
      </c>
      <c r="K55" s="9">
        <v>750</v>
      </c>
      <c r="L55" s="10">
        <v>31.25</v>
      </c>
      <c r="M55" s="9">
        <v>2</v>
      </c>
      <c r="N55" s="9">
        <v>22</v>
      </c>
      <c r="O55" s="9">
        <v>0</v>
      </c>
      <c r="P55" s="9">
        <v>0</v>
      </c>
      <c r="Q55" s="9">
        <v>24</v>
      </c>
      <c r="R55" s="9">
        <v>0</v>
      </c>
      <c r="S55" s="9">
        <v>0</v>
      </c>
      <c r="T55" s="9" t="s">
        <v>38</v>
      </c>
      <c r="U55" s="9" t="s">
        <v>31</v>
      </c>
      <c r="V55" s="16">
        <v>53</v>
      </c>
      <c r="W55" s="9" t="s">
        <v>31</v>
      </c>
      <c r="X55" s="11">
        <v>1</v>
      </c>
      <c r="Y55" s="20" t="s">
        <v>197</v>
      </c>
      <c r="Z55" s="96"/>
    </row>
    <row r="56" spans="1:26" ht="20.399999999999999" x14ac:dyDescent="0.3">
      <c r="A56" s="3">
        <v>46238</v>
      </c>
      <c r="B56" s="4" t="s">
        <v>25</v>
      </c>
      <c r="C56" s="9" t="s">
        <v>26</v>
      </c>
      <c r="D56" s="9" t="s">
        <v>27</v>
      </c>
      <c r="E56" s="9" t="s">
        <v>37</v>
      </c>
      <c r="F56" s="9" t="s">
        <v>40</v>
      </c>
      <c r="G56" s="9">
        <v>1000</v>
      </c>
      <c r="H56" s="9">
        <v>800</v>
      </c>
      <c r="I56" s="9">
        <v>3537</v>
      </c>
      <c r="J56" s="9">
        <v>3546</v>
      </c>
      <c r="K56" s="9">
        <v>6779</v>
      </c>
      <c r="L56" s="10">
        <v>282.45833333333331</v>
      </c>
      <c r="M56" s="9">
        <v>9</v>
      </c>
      <c r="N56" s="9">
        <v>15</v>
      </c>
      <c r="O56" s="9">
        <v>0</v>
      </c>
      <c r="P56" s="9">
        <v>0</v>
      </c>
      <c r="Q56" s="9">
        <v>24</v>
      </c>
      <c r="R56" s="9">
        <v>0</v>
      </c>
      <c r="S56" s="9">
        <v>0</v>
      </c>
      <c r="T56" s="9" t="s">
        <v>38</v>
      </c>
      <c r="U56" s="9" t="s">
        <v>31</v>
      </c>
      <c r="V56" s="16">
        <v>475</v>
      </c>
      <c r="W56" s="9" t="s">
        <v>31</v>
      </c>
      <c r="X56" s="11">
        <v>1</v>
      </c>
      <c r="Y56" s="20" t="s">
        <v>198</v>
      </c>
      <c r="Z56" s="96"/>
    </row>
    <row r="57" spans="1:26" ht="20.399999999999999" x14ac:dyDescent="0.3">
      <c r="A57" s="3">
        <v>46238</v>
      </c>
      <c r="B57" s="4" t="s">
        <v>25</v>
      </c>
      <c r="C57" s="9" t="s">
        <v>26</v>
      </c>
      <c r="D57" s="9" t="s">
        <v>27</v>
      </c>
      <c r="E57" s="9" t="s">
        <v>37</v>
      </c>
      <c r="F57" s="9" t="s">
        <v>41</v>
      </c>
      <c r="G57" s="9">
        <v>1000</v>
      </c>
      <c r="H57" s="9">
        <v>800</v>
      </c>
      <c r="I57" s="9">
        <v>2412</v>
      </c>
      <c r="J57" s="9">
        <v>2420</v>
      </c>
      <c r="K57" s="9">
        <v>5930</v>
      </c>
      <c r="L57" s="10">
        <v>247.08333333333334</v>
      </c>
      <c r="M57" s="9">
        <v>8</v>
      </c>
      <c r="N57" s="9">
        <v>16</v>
      </c>
      <c r="O57" s="9">
        <v>0</v>
      </c>
      <c r="P57" s="9">
        <v>0</v>
      </c>
      <c r="Q57" s="9">
        <v>24</v>
      </c>
      <c r="R57" s="9">
        <v>0</v>
      </c>
      <c r="S57" s="9">
        <v>0</v>
      </c>
      <c r="T57" s="9" t="s">
        <v>38</v>
      </c>
      <c r="U57" s="9" t="s">
        <v>31</v>
      </c>
      <c r="V57" s="16">
        <v>415</v>
      </c>
      <c r="W57" s="9" t="s">
        <v>31</v>
      </c>
      <c r="X57" s="11">
        <v>1</v>
      </c>
      <c r="Y57" s="20" t="s">
        <v>199</v>
      </c>
      <c r="Z57" s="96"/>
    </row>
    <row r="58" spans="1:26" x14ac:dyDescent="0.3">
      <c r="A58" s="3">
        <v>46238</v>
      </c>
      <c r="B58" s="4" t="s">
        <v>25</v>
      </c>
      <c r="C58" s="12" t="s">
        <v>42</v>
      </c>
      <c r="D58" s="12" t="s">
        <v>27</v>
      </c>
      <c r="E58" s="12" t="s">
        <v>43</v>
      </c>
      <c r="F58" s="12" t="s">
        <v>44</v>
      </c>
      <c r="G58" s="12">
        <v>600</v>
      </c>
      <c r="H58" s="12">
        <v>350</v>
      </c>
      <c r="I58" s="12">
        <v>6445</v>
      </c>
      <c r="J58" s="12">
        <v>6467</v>
      </c>
      <c r="K58" s="12">
        <v>7692</v>
      </c>
      <c r="L58" s="13">
        <v>320.5</v>
      </c>
      <c r="M58" s="12">
        <v>22</v>
      </c>
      <c r="N58" s="12">
        <v>2</v>
      </c>
      <c r="O58" s="12">
        <v>0</v>
      </c>
      <c r="P58" s="12">
        <v>0</v>
      </c>
      <c r="Q58" s="12">
        <v>24</v>
      </c>
      <c r="R58" s="12">
        <v>0</v>
      </c>
      <c r="S58" s="12">
        <v>0</v>
      </c>
      <c r="T58" s="12" t="s">
        <v>30</v>
      </c>
      <c r="U58" s="12" t="s">
        <v>31</v>
      </c>
      <c r="V58" s="14">
        <v>67689.60000000002</v>
      </c>
      <c r="W58" s="12" t="s">
        <v>31</v>
      </c>
      <c r="X58" s="15">
        <v>1</v>
      </c>
      <c r="Y58" s="17"/>
      <c r="Z58" s="96"/>
    </row>
    <row r="59" spans="1:26" x14ac:dyDescent="0.3">
      <c r="A59" s="3">
        <v>46238</v>
      </c>
      <c r="B59" s="4" t="s">
        <v>25</v>
      </c>
      <c r="C59" s="12" t="s">
        <v>42</v>
      </c>
      <c r="D59" s="12" t="s">
        <v>27</v>
      </c>
      <c r="E59" s="12" t="s">
        <v>43</v>
      </c>
      <c r="F59" s="12" t="s">
        <v>45</v>
      </c>
      <c r="G59" s="12">
        <v>600</v>
      </c>
      <c r="H59" s="12">
        <v>350</v>
      </c>
      <c r="I59" s="12">
        <v>6356</v>
      </c>
      <c r="J59" s="12">
        <v>6380</v>
      </c>
      <c r="K59" s="12">
        <v>9175</v>
      </c>
      <c r="L59" s="13">
        <v>382.29166666666669</v>
      </c>
      <c r="M59" s="12">
        <v>24</v>
      </c>
      <c r="N59" s="12">
        <v>0</v>
      </c>
      <c r="O59" s="12">
        <v>0</v>
      </c>
      <c r="P59" s="12">
        <v>0</v>
      </c>
      <c r="Q59" s="12">
        <v>24</v>
      </c>
      <c r="R59" s="12">
        <v>0</v>
      </c>
      <c r="S59" s="12">
        <v>0</v>
      </c>
      <c r="T59" s="12" t="s">
        <v>30</v>
      </c>
      <c r="U59" s="12" t="s">
        <v>31</v>
      </c>
      <c r="V59" s="14">
        <v>80740.000000000015</v>
      </c>
      <c r="W59" s="12" t="s">
        <v>31</v>
      </c>
      <c r="X59" s="15">
        <v>1</v>
      </c>
      <c r="Y59" s="17"/>
      <c r="Z59" s="96"/>
    </row>
    <row r="60" spans="1:26" x14ac:dyDescent="0.3">
      <c r="A60" s="3">
        <v>46238</v>
      </c>
      <c r="B60" s="4" t="s">
        <v>25</v>
      </c>
      <c r="C60" s="12" t="s">
        <v>26</v>
      </c>
      <c r="D60" s="12" t="s">
        <v>27</v>
      </c>
      <c r="E60" s="12" t="s">
        <v>43</v>
      </c>
      <c r="F60" s="12" t="s">
        <v>163</v>
      </c>
      <c r="G60" s="12">
        <v>600</v>
      </c>
      <c r="H60" s="12">
        <v>450</v>
      </c>
      <c r="I60" s="12">
        <v>4399</v>
      </c>
      <c r="J60" s="12">
        <v>4417</v>
      </c>
      <c r="K60" s="12">
        <v>6472</v>
      </c>
      <c r="L60" s="13">
        <v>269.66666666666669</v>
      </c>
      <c r="M60" s="12">
        <v>18</v>
      </c>
      <c r="N60" s="12">
        <v>6</v>
      </c>
      <c r="O60" s="12">
        <v>0</v>
      </c>
      <c r="P60" s="12">
        <v>0</v>
      </c>
      <c r="Q60" s="12">
        <v>24</v>
      </c>
      <c r="R60" s="12">
        <v>0</v>
      </c>
      <c r="S60" s="12">
        <v>0</v>
      </c>
      <c r="T60" s="12" t="s">
        <v>30</v>
      </c>
      <c r="U60" s="12" t="s">
        <v>31</v>
      </c>
      <c r="V60" s="14">
        <v>56953.600000000006</v>
      </c>
      <c r="W60" s="12" t="s">
        <v>31</v>
      </c>
      <c r="X60" s="15">
        <v>1</v>
      </c>
      <c r="Y60" s="17" t="s">
        <v>200</v>
      </c>
      <c r="Z60" s="96"/>
    </row>
    <row r="61" spans="1:26" ht="31.8" x14ac:dyDescent="0.3">
      <c r="A61" s="3">
        <v>46238</v>
      </c>
      <c r="B61" s="4" t="s">
        <v>25</v>
      </c>
      <c r="C61" s="12" t="s">
        <v>26</v>
      </c>
      <c r="D61" s="12" t="s">
        <v>27</v>
      </c>
      <c r="E61" s="12" t="s">
        <v>43</v>
      </c>
      <c r="F61" s="12" t="s">
        <v>164</v>
      </c>
      <c r="G61" s="12">
        <v>600</v>
      </c>
      <c r="H61" s="12">
        <v>450</v>
      </c>
      <c r="I61" s="12">
        <v>585</v>
      </c>
      <c r="J61" s="12">
        <v>595</v>
      </c>
      <c r="K61" s="12">
        <v>3362</v>
      </c>
      <c r="L61" s="13">
        <v>140.08333333333334</v>
      </c>
      <c r="M61" s="12">
        <v>10</v>
      </c>
      <c r="N61" s="12">
        <v>14</v>
      </c>
      <c r="O61" s="12">
        <v>0</v>
      </c>
      <c r="P61" s="12">
        <v>0</v>
      </c>
      <c r="Q61" s="12">
        <v>24</v>
      </c>
      <c r="R61" s="12">
        <v>0</v>
      </c>
      <c r="S61" s="12">
        <v>0</v>
      </c>
      <c r="T61" s="12" t="s">
        <v>30</v>
      </c>
      <c r="U61" s="12" t="s">
        <v>31</v>
      </c>
      <c r="V61" s="14">
        <v>29585.600000000006</v>
      </c>
      <c r="W61" s="12" t="s">
        <v>31</v>
      </c>
      <c r="X61" s="15">
        <v>1</v>
      </c>
      <c r="Y61" s="76" t="s">
        <v>201</v>
      </c>
      <c r="Z61" s="96"/>
    </row>
    <row r="62" spans="1:26" ht="20.399999999999999" x14ac:dyDescent="0.3">
      <c r="A62" s="3">
        <v>46238</v>
      </c>
      <c r="B62" s="4" t="s">
        <v>25</v>
      </c>
      <c r="C62" s="12" t="s">
        <v>26</v>
      </c>
      <c r="D62" s="12" t="s">
        <v>27</v>
      </c>
      <c r="E62" s="12" t="s">
        <v>43</v>
      </c>
      <c r="F62" s="12" t="s">
        <v>165</v>
      </c>
      <c r="G62" s="12">
        <v>600</v>
      </c>
      <c r="H62" s="12">
        <v>450</v>
      </c>
      <c r="I62" s="12">
        <v>653</v>
      </c>
      <c r="J62" s="12">
        <v>658</v>
      </c>
      <c r="K62" s="12">
        <v>1657</v>
      </c>
      <c r="L62" s="13">
        <v>69.041666666666671</v>
      </c>
      <c r="M62" s="12">
        <v>5</v>
      </c>
      <c r="N62" s="12">
        <v>19</v>
      </c>
      <c r="O62" s="12">
        <v>0</v>
      </c>
      <c r="P62" s="12">
        <v>0</v>
      </c>
      <c r="Q62" s="12">
        <v>24</v>
      </c>
      <c r="R62" s="12">
        <v>0</v>
      </c>
      <c r="S62" s="12">
        <v>0</v>
      </c>
      <c r="T62" s="12" t="s">
        <v>30</v>
      </c>
      <c r="U62" s="12" t="s">
        <v>31</v>
      </c>
      <c r="V62" s="14">
        <v>14581.599999999999</v>
      </c>
      <c r="W62" s="12" t="s">
        <v>31</v>
      </c>
      <c r="X62" s="15">
        <v>1</v>
      </c>
      <c r="Y62" s="17" t="s">
        <v>202</v>
      </c>
      <c r="Z62" s="96"/>
    </row>
    <row r="63" spans="1:26" ht="20.399999999999999" x14ac:dyDescent="0.3">
      <c r="A63" s="3">
        <v>46239</v>
      </c>
      <c r="B63" s="4" t="s">
        <v>25</v>
      </c>
      <c r="C63" s="5" t="s">
        <v>26</v>
      </c>
      <c r="D63" s="5" t="s">
        <v>27</v>
      </c>
      <c r="E63" s="5" t="s">
        <v>28</v>
      </c>
      <c r="F63" s="5" t="s">
        <v>29</v>
      </c>
      <c r="G63" s="5">
        <v>1050</v>
      </c>
      <c r="H63" s="5">
        <v>700</v>
      </c>
      <c r="I63" s="6">
        <v>16299</v>
      </c>
      <c r="J63" s="6">
        <v>16304</v>
      </c>
      <c r="K63" s="5">
        <v>2743</v>
      </c>
      <c r="L63" s="7">
        <v>114.29166666666667</v>
      </c>
      <c r="M63" s="6">
        <v>5</v>
      </c>
      <c r="N63" s="5">
        <v>19</v>
      </c>
      <c r="O63" s="5">
        <v>0</v>
      </c>
      <c r="P63" s="5">
        <v>0</v>
      </c>
      <c r="Q63" s="5">
        <v>24</v>
      </c>
      <c r="R63" s="5">
        <v>19</v>
      </c>
      <c r="S63" s="5">
        <v>0</v>
      </c>
      <c r="T63" s="5" t="s">
        <v>30</v>
      </c>
      <c r="U63" s="5" t="s">
        <v>31</v>
      </c>
      <c r="V63" s="6">
        <v>24138</v>
      </c>
      <c r="W63" s="5" t="s">
        <v>31</v>
      </c>
      <c r="X63" s="8">
        <v>1</v>
      </c>
      <c r="Y63" s="18" t="s">
        <v>203</v>
      </c>
      <c r="Z63" s="96"/>
    </row>
    <row r="64" spans="1:26" ht="61.2" x14ac:dyDescent="0.3">
      <c r="A64" s="3">
        <v>46239</v>
      </c>
      <c r="B64" s="4" t="s">
        <v>25</v>
      </c>
      <c r="C64" s="5" t="s">
        <v>26</v>
      </c>
      <c r="D64" s="5" t="s">
        <v>27</v>
      </c>
      <c r="E64" s="5" t="s">
        <v>28</v>
      </c>
      <c r="F64" s="5" t="s">
        <v>32</v>
      </c>
      <c r="G64" s="5">
        <v>1050</v>
      </c>
      <c r="H64" s="5">
        <v>700</v>
      </c>
      <c r="I64" s="6">
        <v>14064</v>
      </c>
      <c r="J64" s="6">
        <v>14071</v>
      </c>
      <c r="K64" s="5">
        <v>4107</v>
      </c>
      <c r="L64" s="7">
        <v>171.125</v>
      </c>
      <c r="M64" s="6">
        <v>7</v>
      </c>
      <c r="N64" s="5">
        <v>17</v>
      </c>
      <c r="O64" s="5">
        <v>0</v>
      </c>
      <c r="P64" s="5">
        <v>0</v>
      </c>
      <c r="Q64" s="5">
        <v>24</v>
      </c>
      <c r="R64" s="5">
        <v>17</v>
      </c>
      <c r="S64" s="5">
        <v>0</v>
      </c>
      <c r="T64" s="5" t="s">
        <v>30</v>
      </c>
      <c r="U64" s="5" t="s">
        <v>31</v>
      </c>
      <c r="V64" s="6">
        <v>36142</v>
      </c>
      <c r="W64" s="5" t="s">
        <v>31</v>
      </c>
      <c r="X64" s="8">
        <v>1</v>
      </c>
      <c r="Y64" s="18" t="s">
        <v>204</v>
      </c>
      <c r="Z64" s="96"/>
    </row>
    <row r="65" spans="1:26" ht="30.6" x14ac:dyDescent="0.3">
      <c r="A65" s="3">
        <v>46239</v>
      </c>
      <c r="B65" s="4" t="s">
        <v>25</v>
      </c>
      <c r="C65" s="5" t="s">
        <v>26</v>
      </c>
      <c r="D65" s="5" t="s">
        <v>27</v>
      </c>
      <c r="E65" s="5" t="s">
        <v>28</v>
      </c>
      <c r="F65" s="5" t="s">
        <v>33</v>
      </c>
      <c r="G65" s="5">
        <v>1050</v>
      </c>
      <c r="H65" s="5">
        <v>700</v>
      </c>
      <c r="I65" s="6">
        <v>12546</v>
      </c>
      <c r="J65" s="6">
        <v>12564</v>
      </c>
      <c r="K65" s="5">
        <v>10992</v>
      </c>
      <c r="L65" s="7">
        <v>458</v>
      </c>
      <c r="M65" s="6">
        <v>18</v>
      </c>
      <c r="N65" s="5">
        <v>6</v>
      </c>
      <c r="O65" s="5">
        <v>0</v>
      </c>
      <c r="P65" s="5">
        <v>0</v>
      </c>
      <c r="Q65" s="5">
        <v>24</v>
      </c>
      <c r="R65" s="5">
        <v>6</v>
      </c>
      <c r="S65" s="5">
        <v>0</v>
      </c>
      <c r="T65" s="5" t="s">
        <v>30</v>
      </c>
      <c r="U65" s="5" t="s">
        <v>31</v>
      </c>
      <c r="V65" s="6">
        <v>96730</v>
      </c>
      <c r="W65" s="5" t="s">
        <v>31</v>
      </c>
      <c r="X65" s="8">
        <v>1</v>
      </c>
      <c r="Y65" s="18" t="s">
        <v>205</v>
      </c>
      <c r="Z65" s="96"/>
    </row>
    <row r="66" spans="1:26" x14ac:dyDescent="0.3">
      <c r="A66" s="3">
        <v>46239</v>
      </c>
      <c r="B66" s="4" t="s">
        <v>25</v>
      </c>
      <c r="C66" s="5" t="s">
        <v>26</v>
      </c>
      <c r="D66" s="5" t="s">
        <v>27</v>
      </c>
      <c r="E66" s="5" t="s">
        <v>34</v>
      </c>
      <c r="F66" s="5" t="s">
        <v>35</v>
      </c>
      <c r="G66" s="5">
        <v>1300</v>
      </c>
      <c r="H66" s="5">
        <v>1040</v>
      </c>
      <c r="I66" s="6">
        <v>3992</v>
      </c>
      <c r="J66" s="6">
        <v>4016</v>
      </c>
      <c r="K66" s="5">
        <v>18426</v>
      </c>
      <c r="L66" s="7">
        <v>767.75</v>
      </c>
      <c r="M66" s="6">
        <v>24</v>
      </c>
      <c r="N66" s="5">
        <v>0</v>
      </c>
      <c r="O66" s="5">
        <v>0</v>
      </c>
      <c r="P66" s="5">
        <v>0</v>
      </c>
      <c r="Q66" s="5">
        <v>24</v>
      </c>
      <c r="R66" s="5">
        <v>0</v>
      </c>
      <c r="S66" s="5">
        <v>0</v>
      </c>
      <c r="T66" s="5" t="s">
        <v>30</v>
      </c>
      <c r="U66" s="5" t="s">
        <v>31</v>
      </c>
      <c r="V66" s="6">
        <v>162149</v>
      </c>
      <c r="W66" s="5" t="s">
        <v>31</v>
      </c>
      <c r="X66" s="8">
        <v>1</v>
      </c>
      <c r="Y66" s="18"/>
      <c r="Z66" s="96"/>
    </row>
    <row r="67" spans="1:26" x14ac:dyDescent="0.3">
      <c r="A67" s="3">
        <v>46239</v>
      </c>
      <c r="B67" s="4" t="s">
        <v>25</v>
      </c>
      <c r="C67" s="5" t="s">
        <v>26</v>
      </c>
      <c r="D67" s="5" t="s">
        <v>27</v>
      </c>
      <c r="E67" s="5" t="s">
        <v>34</v>
      </c>
      <c r="F67" s="5" t="s">
        <v>36</v>
      </c>
      <c r="G67" s="5">
        <v>1300</v>
      </c>
      <c r="H67" s="5">
        <v>1040</v>
      </c>
      <c r="I67" s="6">
        <v>3984</v>
      </c>
      <c r="J67" s="6">
        <v>4008</v>
      </c>
      <c r="K67" s="5">
        <v>18357</v>
      </c>
      <c r="L67" s="7">
        <v>764.875</v>
      </c>
      <c r="M67" s="6">
        <v>24</v>
      </c>
      <c r="N67" s="5">
        <v>0</v>
      </c>
      <c r="O67" s="5">
        <v>0</v>
      </c>
      <c r="P67" s="5">
        <v>0</v>
      </c>
      <c r="Q67" s="5">
        <v>24</v>
      </c>
      <c r="R67" s="5">
        <v>0</v>
      </c>
      <c r="S67" s="5">
        <v>0</v>
      </c>
      <c r="T67" s="5" t="s">
        <v>30</v>
      </c>
      <c r="U67" s="5" t="s">
        <v>31</v>
      </c>
      <c r="V67" s="6">
        <v>161542</v>
      </c>
      <c r="W67" s="5" t="s">
        <v>31</v>
      </c>
      <c r="X67" s="8">
        <v>1</v>
      </c>
      <c r="Y67" s="18"/>
      <c r="Z67" s="96"/>
    </row>
    <row r="68" spans="1:26" ht="20.399999999999999" x14ac:dyDescent="0.3">
      <c r="A68" s="3">
        <v>46239</v>
      </c>
      <c r="B68" s="4" t="s">
        <v>25</v>
      </c>
      <c r="C68" s="5" t="s">
        <v>26</v>
      </c>
      <c r="D68" s="5" t="s">
        <v>27</v>
      </c>
      <c r="E68" s="5" t="s">
        <v>34</v>
      </c>
      <c r="F68" s="5" t="s">
        <v>46</v>
      </c>
      <c r="G68" s="5">
        <v>1300</v>
      </c>
      <c r="H68" s="5">
        <v>1040</v>
      </c>
      <c r="I68" s="6">
        <v>2451</v>
      </c>
      <c r="J68" s="6">
        <v>2471</v>
      </c>
      <c r="K68" s="5">
        <v>15618</v>
      </c>
      <c r="L68" s="7">
        <v>650.75</v>
      </c>
      <c r="M68" s="6">
        <v>20</v>
      </c>
      <c r="N68" s="5">
        <v>4</v>
      </c>
      <c r="O68" s="5">
        <v>0</v>
      </c>
      <c r="P68" s="5">
        <v>0</v>
      </c>
      <c r="Q68" s="5">
        <v>24</v>
      </c>
      <c r="R68" s="5">
        <v>4</v>
      </c>
      <c r="S68" s="5">
        <v>0</v>
      </c>
      <c r="T68" s="5" t="s">
        <v>30</v>
      </c>
      <c r="U68" s="5" t="s">
        <v>31</v>
      </c>
      <c r="V68" s="6">
        <v>137438</v>
      </c>
      <c r="W68" s="5" t="s">
        <v>31</v>
      </c>
      <c r="X68" s="8">
        <v>1</v>
      </c>
      <c r="Y68" s="18" t="s">
        <v>206</v>
      </c>
      <c r="Z68" s="96"/>
    </row>
    <row r="69" spans="1:26" ht="20.399999999999999" x14ac:dyDescent="0.3">
      <c r="A69" s="3">
        <v>46239</v>
      </c>
      <c r="B69" s="4" t="s">
        <v>25</v>
      </c>
      <c r="C69" s="5" t="s">
        <v>26</v>
      </c>
      <c r="D69" s="5" t="s">
        <v>27</v>
      </c>
      <c r="E69" s="5" t="s">
        <v>28</v>
      </c>
      <c r="F69" s="5" t="s">
        <v>47</v>
      </c>
      <c r="G69" s="5">
        <v>1050</v>
      </c>
      <c r="H69" s="5">
        <v>740</v>
      </c>
      <c r="I69" s="6">
        <v>1426</v>
      </c>
      <c r="J69" s="6">
        <v>1446</v>
      </c>
      <c r="K69" s="5">
        <v>11687</v>
      </c>
      <c r="L69" s="7">
        <v>486.95833333333331</v>
      </c>
      <c r="M69" s="6">
        <v>20</v>
      </c>
      <c r="N69" s="5">
        <v>4</v>
      </c>
      <c r="O69" s="5">
        <v>0</v>
      </c>
      <c r="P69" s="5">
        <v>0</v>
      </c>
      <c r="Q69" s="5">
        <v>24</v>
      </c>
      <c r="R69" s="5">
        <v>4</v>
      </c>
      <c r="S69" s="5">
        <v>0</v>
      </c>
      <c r="T69" s="5" t="s">
        <v>30</v>
      </c>
      <c r="U69" s="5" t="s">
        <v>31</v>
      </c>
      <c r="V69" s="19">
        <v>102846</v>
      </c>
      <c r="W69" s="5" t="s">
        <v>31</v>
      </c>
      <c r="X69" s="8">
        <v>1</v>
      </c>
      <c r="Y69" s="18" t="s">
        <v>207</v>
      </c>
      <c r="Z69" s="96"/>
    </row>
    <row r="70" spans="1:26" x14ac:dyDescent="0.3">
      <c r="A70" s="3">
        <v>46239</v>
      </c>
      <c r="B70" s="4" t="s">
        <v>25</v>
      </c>
      <c r="C70" s="9" t="s">
        <v>26</v>
      </c>
      <c r="D70" s="9" t="s">
        <v>27</v>
      </c>
      <c r="E70" s="9" t="s">
        <v>37</v>
      </c>
      <c r="F70" s="9" t="s">
        <v>39</v>
      </c>
      <c r="G70" s="9">
        <v>500</v>
      </c>
      <c r="H70" s="9">
        <v>360</v>
      </c>
      <c r="I70" s="9">
        <v>15233</v>
      </c>
      <c r="J70" s="9">
        <v>15233</v>
      </c>
      <c r="K70" s="9">
        <v>0</v>
      </c>
      <c r="L70" s="10">
        <v>0</v>
      </c>
      <c r="M70" s="9">
        <v>0</v>
      </c>
      <c r="N70" s="9">
        <v>24</v>
      </c>
      <c r="O70" s="9">
        <v>0</v>
      </c>
      <c r="P70" s="9">
        <v>0</v>
      </c>
      <c r="Q70" s="9">
        <v>24</v>
      </c>
      <c r="R70" s="9">
        <v>0</v>
      </c>
      <c r="S70" s="9">
        <v>0</v>
      </c>
      <c r="T70" s="9" t="s">
        <v>38</v>
      </c>
      <c r="U70" s="9" t="s">
        <v>31</v>
      </c>
      <c r="V70" s="16">
        <v>37</v>
      </c>
      <c r="W70" s="9" t="s">
        <v>31</v>
      </c>
      <c r="X70" s="11">
        <v>1</v>
      </c>
      <c r="Y70" s="20" t="s">
        <v>208</v>
      </c>
      <c r="Z70" s="96"/>
    </row>
    <row r="71" spans="1:26" x14ac:dyDescent="0.3">
      <c r="A71" s="3">
        <v>46239</v>
      </c>
      <c r="B71" s="4" t="s">
        <v>25</v>
      </c>
      <c r="C71" s="9" t="s">
        <v>26</v>
      </c>
      <c r="D71" s="9" t="s">
        <v>27</v>
      </c>
      <c r="E71" s="9" t="s">
        <v>37</v>
      </c>
      <c r="F71" s="9" t="s">
        <v>40</v>
      </c>
      <c r="G71" s="9">
        <v>1000</v>
      </c>
      <c r="H71" s="9">
        <v>800</v>
      </c>
      <c r="I71" s="9">
        <v>3546</v>
      </c>
      <c r="J71" s="9">
        <v>3547</v>
      </c>
      <c r="K71" s="9">
        <v>535</v>
      </c>
      <c r="L71" s="10">
        <v>22.291666666666668</v>
      </c>
      <c r="M71" s="9">
        <v>1</v>
      </c>
      <c r="N71" s="9">
        <v>23</v>
      </c>
      <c r="O71" s="9">
        <v>0</v>
      </c>
      <c r="P71" s="9">
        <v>0</v>
      </c>
      <c r="Q71" s="9">
        <v>24</v>
      </c>
      <c r="R71" s="9">
        <v>0</v>
      </c>
      <c r="S71" s="9">
        <v>0</v>
      </c>
      <c r="T71" s="9" t="s">
        <v>38</v>
      </c>
      <c r="U71" s="9" t="s">
        <v>31</v>
      </c>
      <c r="V71" s="16">
        <v>15</v>
      </c>
      <c r="W71" s="9" t="s">
        <v>31</v>
      </c>
      <c r="X71" s="11">
        <v>1</v>
      </c>
      <c r="Y71" s="20" t="s">
        <v>209</v>
      </c>
      <c r="Z71" s="96"/>
    </row>
    <row r="72" spans="1:26" x14ac:dyDescent="0.3">
      <c r="A72" s="3">
        <v>46239</v>
      </c>
      <c r="B72" s="4" t="s">
        <v>25</v>
      </c>
      <c r="C72" s="9" t="s">
        <v>26</v>
      </c>
      <c r="D72" s="9" t="s">
        <v>27</v>
      </c>
      <c r="E72" s="9" t="s">
        <v>37</v>
      </c>
      <c r="F72" s="9" t="s">
        <v>41</v>
      </c>
      <c r="G72" s="9">
        <v>1000</v>
      </c>
      <c r="H72" s="9">
        <v>800</v>
      </c>
      <c r="I72" s="9">
        <v>2420</v>
      </c>
      <c r="J72" s="9">
        <v>2420</v>
      </c>
      <c r="K72" s="9">
        <v>273</v>
      </c>
      <c r="L72" s="10">
        <v>11.375</v>
      </c>
      <c r="M72" s="9">
        <v>0</v>
      </c>
      <c r="N72" s="9">
        <v>24</v>
      </c>
      <c r="O72" s="9">
        <v>0</v>
      </c>
      <c r="P72" s="9">
        <v>0</v>
      </c>
      <c r="Q72" s="9">
        <v>24</v>
      </c>
      <c r="R72" s="9">
        <v>0</v>
      </c>
      <c r="S72" s="9">
        <v>0</v>
      </c>
      <c r="T72" s="9" t="s">
        <v>38</v>
      </c>
      <c r="U72" s="9" t="s">
        <v>31</v>
      </c>
      <c r="V72" s="16">
        <v>0</v>
      </c>
      <c r="W72" s="9" t="s">
        <v>31</v>
      </c>
      <c r="X72" s="11">
        <v>1</v>
      </c>
      <c r="Y72" s="20"/>
      <c r="Z72" s="96"/>
    </row>
    <row r="73" spans="1:26" ht="20.399999999999999" x14ac:dyDescent="0.3">
      <c r="A73" s="3">
        <v>46239</v>
      </c>
      <c r="B73" s="4" t="s">
        <v>25</v>
      </c>
      <c r="C73" s="12" t="s">
        <v>42</v>
      </c>
      <c r="D73" s="12" t="s">
        <v>27</v>
      </c>
      <c r="E73" s="12" t="s">
        <v>43</v>
      </c>
      <c r="F73" s="12" t="s">
        <v>44</v>
      </c>
      <c r="G73" s="12">
        <v>600</v>
      </c>
      <c r="H73" s="12">
        <v>350</v>
      </c>
      <c r="I73" s="12">
        <v>6467</v>
      </c>
      <c r="J73" s="12">
        <v>6474</v>
      </c>
      <c r="K73" s="12">
        <v>2437</v>
      </c>
      <c r="L73" s="13">
        <v>101.54166666666667</v>
      </c>
      <c r="M73" s="12">
        <v>7</v>
      </c>
      <c r="N73" s="12">
        <v>17</v>
      </c>
      <c r="O73" s="12">
        <v>0</v>
      </c>
      <c r="P73" s="12">
        <v>0</v>
      </c>
      <c r="Q73" s="12">
        <v>24</v>
      </c>
      <c r="R73" s="12">
        <v>17</v>
      </c>
      <c r="S73" s="12">
        <v>0</v>
      </c>
      <c r="T73" s="12" t="s">
        <v>30</v>
      </c>
      <c r="U73" s="12" t="s">
        <v>31</v>
      </c>
      <c r="V73" s="14">
        <v>21446</v>
      </c>
      <c r="W73" s="12" t="s">
        <v>31</v>
      </c>
      <c r="X73" s="15">
        <v>1</v>
      </c>
      <c r="Y73" s="17" t="s">
        <v>210</v>
      </c>
      <c r="Z73" s="96"/>
    </row>
    <row r="74" spans="1:26" x14ac:dyDescent="0.3">
      <c r="A74" s="3">
        <v>46239</v>
      </c>
      <c r="B74" s="4" t="s">
        <v>25</v>
      </c>
      <c r="C74" s="12" t="s">
        <v>42</v>
      </c>
      <c r="D74" s="12" t="s">
        <v>27</v>
      </c>
      <c r="E74" s="12" t="s">
        <v>43</v>
      </c>
      <c r="F74" s="12" t="s">
        <v>45</v>
      </c>
      <c r="G74" s="12">
        <v>600</v>
      </c>
      <c r="H74" s="12">
        <v>350</v>
      </c>
      <c r="I74" s="12">
        <v>6380</v>
      </c>
      <c r="J74" s="12">
        <v>6404</v>
      </c>
      <c r="K74" s="12">
        <v>8373</v>
      </c>
      <c r="L74" s="13">
        <v>348.875</v>
      </c>
      <c r="M74" s="12">
        <v>24</v>
      </c>
      <c r="N74" s="12">
        <v>0</v>
      </c>
      <c r="O74" s="12">
        <v>0</v>
      </c>
      <c r="P74" s="12">
        <v>0</v>
      </c>
      <c r="Q74" s="12">
        <v>24</v>
      </c>
      <c r="R74" s="12">
        <v>0</v>
      </c>
      <c r="S74" s="12">
        <v>0</v>
      </c>
      <c r="T74" s="12" t="s">
        <v>30</v>
      </c>
      <c r="U74" s="12" t="s">
        <v>31</v>
      </c>
      <c r="V74" s="14">
        <v>73682</v>
      </c>
      <c r="W74" s="12" t="s">
        <v>31</v>
      </c>
      <c r="X74" s="15">
        <v>1</v>
      </c>
      <c r="Y74" s="17"/>
      <c r="Z74" s="96"/>
    </row>
    <row r="75" spans="1:26" ht="20.399999999999999" x14ac:dyDescent="0.3">
      <c r="A75" s="3">
        <v>46239</v>
      </c>
      <c r="B75" s="4" t="s">
        <v>25</v>
      </c>
      <c r="C75" s="12" t="s">
        <v>26</v>
      </c>
      <c r="D75" s="12" t="s">
        <v>27</v>
      </c>
      <c r="E75" s="12" t="s">
        <v>43</v>
      </c>
      <c r="F75" s="12" t="s">
        <v>163</v>
      </c>
      <c r="G75" s="12">
        <v>600</v>
      </c>
      <c r="H75" s="12">
        <v>450</v>
      </c>
      <c r="I75" s="12">
        <v>4417</v>
      </c>
      <c r="J75" s="12">
        <v>4420</v>
      </c>
      <c r="K75" s="12">
        <v>787</v>
      </c>
      <c r="L75" s="13">
        <v>32.791666666666664</v>
      </c>
      <c r="M75" s="12">
        <v>3</v>
      </c>
      <c r="N75" s="12">
        <v>21</v>
      </c>
      <c r="O75" s="12">
        <v>0</v>
      </c>
      <c r="P75" s="12">
        <v>0</v>
      </c>
      <c r="Q75" s="12">
        <v>24</v>
      </c>
      <c r="R75" s="12">
        <v>21</v>
      </c>
      <c r="S75" s="12">
        <v>0</v>
      </c>
      <c r="T75" s="12" t="s">
        <v>30</v>
      </c>
      <c r="U75" s="12" t="s">
        <v>31</v>
      </c>
      <c r="V75" s="14">
        <v>6926</v>
      </c>
      <c r="W75" s="12" t="s">
        <v>31</v>
      </c>
      <c r="X75" s="15">
        <v>1</v>
      </c>
      <c r="Y75" s="17" t="s">
        <v>211</v>
      </c>
      <c r="Z75" s="96"/>
    </row>
    <row r="76" spans="1:26" ht="21.6" x14ac:dyDescent="0.3">
      <c r="A76" s="3">
        <v>46239</v>
      </c>
      <c r="B76" s="4" t="s">
        <v>25</v>
      </c>
      <c r="C76" s="12" t="s">
        <v>26</v>
      </c>
      <c r="D76" s="12" t="s">
        <v>27</v>
      </c>
      <c r="E76" s="12" t="s">
        <v>43</v>
      </c>
      <c r="F76" s="12" t="s">
        <v>164</v>
      </c>
      <c r="G76" s="12">
        <v>600</v>
      </c>
      <c r="H76" s="12">
        <v>450</v>
      </c>
      <c r="I76" s="12">
        <v>595</v>
      </c>
      <c r="J76" s="12">
        <v>611</v>
      </c>
      <c r="K76" s="12">
        <v>5705</v>
      </c>
      <c r="L76" s="13">
        <v>237.70833333333334</v>
      </c>
      <c r="M76" s="12">
        <v>16</v>
      </c>
      <c r="N76" s="12">
        <v>8</v>
      </c>
      <c r="O76" s="12">
        <v>0</v>
      </c>
      <c r="P76" s="12">
        <v>0</v>
      </c>
      <c r="Q76" s="12">
        <v>24</v>
      </c>
      <c r="R76" s="12">
        <v>8</v>
      </c>
      <c r="S76" s="12">
        <v>0</v>
      </c>
      <c r="T76" s="12" t="s">
        <v>30</v>
      </c>
      <c r="U76" s="12" t="s">
        <v>31</v>
      </c>
      <c r="V76" s="14">
        <v>50204</v>
      </c>
      <c r="W76" s="12" t="s">
        <v>31</v>
      </c>
      <c r="X76" s="15">
        <v>1</v>
      </c>
      <c r="Y76" s="76" t="s">
        <v>212</v>
      </c>
      <c r="Z76" s="96"/>
    </row>
    <row r="77" spans="1:26" x14ac:dyDescent="0.3">
      <c r="A77" s="3">
        <v>46239</v>
      </c>
      <c r="B77" s="4" t="s">
        <v>25</v>
      </c>
      <c r="C77" s="12" t="s">
        <v>26</v>
      </c>
      <c r="D77" s="12" t="s">
        <v>27</v>
      </c>
      <c r="E77" s="12" t="s">
        <v>43</v>
      </c>
      <c r="F77" s="12" t="s">
        <v>165</v>
      </c>
      <c r="G77" s="12">
        <v>600</v>
      </c>
      <c r="H77" s="12">
        <v>450</v>
      </c>
      <c r="I77" s="12">
        <v>658</v>
      </c>
      <c r="J77" s="12">
        <v>658</v>
      </c>
      <c r="K77" s="12">
        <v>0</v>
      </c>
      <c r="L77" s="13">
        <v>0</v>
      </c>
      <c r="M77" s="12">
        <v>0</v>
      </c>
      <c r="N77" s="12">
        <v>24</v>
      </c>
      <c r="O77" s="12">
        <v>0</v>
      </c>
      <c r="P77" s="12">
        <v>0</v>
      </c>
      <c r="Q77" s="12">
        <v>24</v>
      </c>
      <c r="R77" s="12">
        <v>24</v>
      </c>
      <c r="S77" s="12">
        <v>0</v>
      </c>
      <c r="T77" s="12" t="s">
        <v>30</v>
      </c>
      <c r="U77" s="12" t="s">
        <v>31</v>
      </c>
      <c r="V77" s="14">
        <v>0</v>
      </c>
      <c r="W77" s="12" t="s">
        <v>31</v>
      </c>
      <c r="X77" s="15">
        <v>1</v>
      </c>
      <c r="Y77" s="17"/>
      <c r="Z77" s="96"/>
    </row>
    <row r="78" spans="1:26" ht="30.6" x14ac:dyDescent="0.3">
      <c r="A78" s="3">
        <v>46240</v>
      </c>
      <c r="B78" s="4" t="s">
        <v>25</v>
      </c>
      <c r="C78" s="5" t="s">
        <v>26</v>
      </c>
      <c r="D78" s="5" t="s">
        <v>27</v>
      </c>
      <c r="E78" s="5" t="s">
        <v>28</v>
      </c>
      <c r="F78" s="5" t="s">
        <v>29</v>
      </c>
      <c r="G78" s="5">
        <v>1050</v>
      </c>
      <c r="H78" s="5">
        <v>700</v>
      </c>
      <c r="I78" s="6">
        <v>16304</v>
      </c>
      <c r="J78" s="6">
        <v>16324</v>
      </c>
      <c r="K78" s="5">
        <v>12332</v>
      </c>
      <c r="L78" s="7">
        <v>513.83333333333337</v>
      </c>
      <c r="M78" s="6">
        <v>20</v>
      </c>
      <c r="N78" s="5">
        <v>4</v>
      </c>
      <c r="O78" s="5">
        <v>0</v>
      </c>
      <c r="P78" s="5">
        <v>0</v>
      </c>
      <c r="Q78" s="5">
        <v>24</v>
      </c>
      <c r="R78" s="5">
        <v>4</v>
      </c>
      <c r="S78" s="5">
        <v>0</v>
      </c>
      <c r="T78" s="5" t="s">
        <v>30</v>
      </c>
      <c r="U78" s="5" t="s">
        <v>31</v>
      </c>
      <c r="V78" s="6">
        <v>108522</v>
      </c>
      <c r="W78" s="5" t="s">
        <v>31</v>
      </c>
      <c r="X78" s="8">
        <v>1</v>
      </c>
      <c r="Y78" s="18" t="s">
        <v>213</v>
      </c>
      <c r="Z78" s="96"/>
    </row>
    <row r="79" spans="1:26" ht="71.400000000000006" x14ac:dyDescent="0.3">
      <c r="A79" s="3">
        <v>46240</v>
      </c>
      <c r="B79" s="4" t="s">
        <v>25</v>
      </c>
      <c r="C79" s="5" t="s">
        <v>26</v>
      </c>
      <c r="D79" s="5" t="s">
        <v>27</v>
      </c>
      <c r="E79" s="5" t="s">
        <v>28</v>
      </c>
      <c r="F79" s="5" t="s">
        <v>32</v>
      </c>
      <c r="G79" s="5">
        <v>1050</v>
      </c>
      <c r="H79" s="5">
        <v>700</v>
      </c>
      <c r="I79" s="6">
        <v>14071</v>
      </c>
      <c r="J79" s="6">
        <v>14092</v>
      </c>
      <c r="K79" s="5">
        <v>12638</v>
      </c>
      <c r="L79" s="7">
        <v>526.58333333333337</v>
      </c>
      <c r="M79" s="6">
        <v>21</v>
      </c>
      <c r="N79" s="5">
        <v>3</v>
      </c>
      <c r="O79" s="5">
        <v>0</v>
      </c>
      <c r="P79" s="5">
        <v>0</v>
      </c>
      <c r="Q79" s="5">
        <v>24</v>
      </c>
      <c r="R79" s="5">
        <v>3</v>
      </c>
      <c r="S79" s="5">
        <v>0</v>
      </c>
      <c r="T79" s="5" t="s">
        <v>30</v>
      </c>
      <c r="U79" s="5" t="s">
        <v>31</v>
      </c>
      <c r="V79" s="6">
        <v>111214</v>
      </c>
      <c r="W79" s="5" t="s">
        <v>31</v>
      </c>
      <c r="X79" s="8">
        <v>1</v>
      </c>
      <c r="Y79" s="18" t="s">
        <v>214</v>
      </c>
      <c r="Z79" s="96"/>
    </row>
    <row r="80" spans="1:26" x14ac:dyDescent="0.3">
      <c r="A80" s="3">
        <v>46240</v>
      </c>
      <c r="B80" s="4" t="s">
        <v>25</v>
      </c>
      <c r="C80" s="5" t="s">
        <v>26</v>
      </c>
      <c r="D80" s="5" t="s">
        <v>27</v>
      </c>
      <c r="E80" s="5" t="s">
        <v>28</v>
      </c>
      <c r="F80" s="5" t="s">
        <v>33</v>
      </c>
      <c r="G80" s="5">
        <v>1050</v>
      </c>
      <c r="H80" s="5">
        <v>700</v>
      </c>
      <c r="I80" s="6">
        <v>12564</v>
      </c>
      <c r="J80" s="6">
        <v>12588</v>
      </c>
      <c r="K80" s="5">
        <v>14965</v>
      </c>
      <c r="L80" s="7">
        <v>623.54166666666663</v>
      </c>
      <c r="M80" s="6">
        <v>24</v>
      </c>
      <c r="N80" s="5">
        <v>0</v>
      </c>
      <c r="O80" s="5">
        <v>0</v>
      </c>
      <c r="P80" s="5">
        <v>0</v>
      </c>
      <c r="Q80" s="5">
        <v>24</v>
      </c>
      <c r="R80" s="5">
        <v>0</v>
      </c>
      <c r="S80" s="5">
        <v>0</v>
      </c>
      <c r="T80" s="5" t="s">
        <v>30</v>
      </c>
      <c r="U80" s="5" t="s">
        <v>31</v>
      </c>
      <c r="V80" s="6">
        <v>131692</v>
      </c>
      <c r="W80" s="5" t="s">
        <v>31</v>
      </c>
      <c r="X80" s="8">
        <v>1</v>
      </c>
      <c r="Y80" s="18"/>
      <c r="Z80" s="96"/>
    </row>
    <row r="81" spans="1:26" ht="20.399999999999999" x14ac:dyDescent="0.3">
      <c r="A81" s="3">
        <v>46240</v>
      </c>
      <c r="B81" s="4" t="s">
        <v>25</v>
      </c>
      <c r="C81" s="5" t="s">
        <v>26</v>
      </c>
      <c r="D81" s="5" t="s">
        <v>27</v>
      </c>
      <c r="E81" s="5" t="s">
        <v>34</v>
      </c>
      <c r="F81" s="5" t="s">
        <v>35</v>
      </c>
      <c r="G81" s="5">
        <v>1300</v>
      </c>
      <c r="H81" s="5">
        <v>1040</v>
      </c>
      <c r="I81" s="6">
        <v>4016</v>
      </c>
      <c r="J81" s="6">
        <v>4039</v>
      </c>
      <c r="K81" s="5">
        <v>18708</v>
      </c>
      <c r="L81" s="7">
        <v>779.5</v>
      </c>
      <c r="M81" s="6">
        <v>23</v>
      </c>
      <c r="N81" s="5">
        <v>1</v>
      </c>
      <c r="O81" s="5">
        <v>0</v>
      </c>
      <c r="P81" s="5">
        <v>0</v>
      </c>
      <c r="Q81" s="5">
        <v>24</v>
      </c>
      <c r="R81" s="5">
        <v>1</v>
      </c>
      <c r="S81" s="5">
        <v>0</v>
      </c>
      <c r="T81" s="5" t="s">
        <v>30</v>
      </c>
      <c r="U81" s="5" t="s">
        <v>31</v>
      </c>
      <c r="V81" s="6">
        <v>164630</v>
      </c>
      <c r="W81" s="5" t="s">
        <v>31</v>
      </c>
      <c r="X81" s="8">
        <v>1</v>
      </c>
      <c r="Y81" s="18" t="s">
        <v>215</v>
      </c>
      <c r="Z81" s="96"/>
    </row>
    <row r="82" spans="1:26" ht="20.399999999999999" x14ac:dyDescent="0.3">
      <c r="A82" s="3">
        <v>46240</v>
      </c>
      <c r="B82" s="4" t="s">
        <v>25</v>
      </c>
      <c r="C82" s="5" t="s">
        <v>26</v>
      </c>
      <c r="D82" s="5" t="s">
        <v>27</v>
      </c>
      <c r="E82" s="5" t="s">
        <v>34</v>
      </c>
      <c r="F82" s="5" t="s">
        <v>36</v>
      </c>
      <c r="G82" s="5">
        <v>1300</v>
      </c>
      <c r="H82" s="5">
        <v>1040</v>
      </c>
      <c r="I82" s="6">
        <v>4008</v>
      </c>
      <c r="J82" s="6">
        <v>4026</v>
      </c>
      <c r="K82" s="5">
        <v>14592</v>
      </c>
      <c r="L82" s="7">
        <v>608</v>
      </c>
      <c r="M82" s="6">
        <v>18</v>
      </c>
      <c r="N82" s="5">
        <v>6</v>
      </c>
      <c r="O82" s="5">
        <v>0</v>
      </c>
      <c r="P82" s="5">
        <v>0</v>
      </c>
      <c r="Q82" s="5">
        <v>24</v>
      </c>
      <c r="R82" s="5">
        <v>6</v>
      </c>
      <c r="S82" s="5">
        <v>0</v>
      </c>
      <c r="T82" s="5" t="s">
        <v>30</v>
      </c>
      <c r="U82" s="5" t="s">
        <v>31</v>
      </c>
      <c r="V82" s="6">
        <v>128410</v>
      </c>
      <c r="W82" s="5" t="s">
        <v>31</v>
      </c>
      <c r="X82" s="8">
        <v>1</v>
      </c>
      <c r="Y82" s="18" t="s">
        <v>216</v>
      </c>
      <c r="Z82" s="96"/>
    </row>
    <row r="83" spans="1:26" ht="30.6" x14ac:dyDescent="0.3">
      <c r="A83" s="3">
        <v>46240</v>
      </c>
      <c r="B83" s="4" t="s">
        <v>25</v>
      </c>
      <c r="C83" s="5" t="s">
        <v>26</v>
      </c>
      <c r="D83" s="5" t="s">
        <v>27</v>
      </c>
      <c r="E83" s="5" t="s">
        <v>34</v>
      </c>
      <c r="F83" s="5" t="s">
        <v>46</v>
      </c>
      <c r="G83" s="5">
        <v>1300</v>
      </c>
      <c r="H83" s="5">
        <v>1040</v>
      </c>
      <c r="I83" s="6">
        <v>2471</v>
      </c>
      <c r="J83" s="6">
        <v>2487</v>
      </c>
      <c r="K83" s="5">
        <v>12136</v>
      </c>
      <c r="L83" s="7">
        <v>505.66666666666669</v>
      </c>
      <c r="M83" s="6">
        <v>16</v>
      </c>
      <c r="N83" s="5">
        <v>0</v>
      </c>
      <c r="O83" s="5">
        <v>8</v>
      </c>
      <c r="P83" s="5">
        <v>0</v>
      </c>
      <c r="Q83" s="5">
        <v>24</v>
      </c>
      <c r="R83" s="5">
        <v>0</v>
      </c>
      <c r="S83" s="5">
        <v>0</v>
      </c>
      <c r="T83" s="5" t="s">
        <v>30</v>
      </c>
      <c r="U83" s="5" t="s">
        <v>31</v>
      </c>
      <c r="V83" s="6">
        <v>106797</v>
      </c>
      <c r="W83" s="5" t="s">
        <v>31</v>
      </c>
      <c r="X83" s="8">
        <v>1</v>
      </c>
      <c r="Y83" s="18" t="s">
        <v>217</v>
      </c>
      <c r="Z83" s="96"/>
    </row>
    <row r="84" spans="1:26" x14ac:dyDescent="0.3">
      <c r="A84" s="3">
        <v>46240</v>
      </c>
      <c r="B84" s="4" t="s">
        <v>25</v>
      </c>
      <c r="C84" s="5" t="s">
        <v>26</v>
      </c>
      <c r="D84" s="5" t="s">
        <v>27</v>
      </c>
      <c r="E84" s="5" t="s">
        <v>28</v>
      </c>
      <c r="F84" s="5" t="s">
        <v>47</v>
      </c>
      <c r="G84" s="5">
        <v>1050</v>
      </c>
      <c r="H84" s="5">
        <v>740</v>
      </c>
      <c r="I84" s="6">
        <v>1446</v>
      </c>
      <c r="J84" s="6">
        <v>1470</v>
      </c>
      <c r="K84" s="5">
        <v>13880</v>
      </c>
      <c r="L84" s="7">
        <v>578.33333333333337</v>
      </c>
      <c r="M84" s="6">
        <v>24</v>
      </c>
      <c r="N84" s="5">
        <v>0</v>
      </c>
      <c r="O84" s="5">
        <v>0</v>
      </c>
      <c r="P84" s="5">
        <v>0</v>
      </c>
      <c r="Q84" s="5">
        <v>24</v>
      </c>
      <c r="R84" s="5">
        <v>0</v>
      </c>
      <c r="S84" s="5">
        <v>0</v>
      </c>
      <c r="T84" s="5" t="s">
        <v>30</v>
      </c>
      <c r="U84" s="5" t="s">
        <v>31</v>
      </c>
      <c r="V84" s="19">
        <v>122144</v>
      </c>
      <c r="W84" s="5" t="s">
        <v>31</v>
      </c>
      <c r="X84" s="8">
        <v>1</v>
      </c>
      <c r="Y84" s="18"/>
      <c r="Z84" s="96"/>
    </row>
    <row r="85" spans="1:26" x14ac:dyDescent="0.3">
      <c r="A85" s="3">
        <v>46240</v>
      </c>
      <c r="B85" s="4" t="s">
        <v>25</v>
      </c>
      <c r="C85" s="9" t="s">
        <v>26</v>
      </c>
      <c r="D85" s="9" t="s">
        <v>27</v>
      </c>
      <c r="E85" s="9" t="s">
        <v>37</v>
      </c>
      <c r="F85" s="9" t="s">
        <v>39</v>
      </c>
      <c r="G85" s="9">
        <v>500</v>
      </c>
      <c r="H85" s="9">
        <v>360</v>
      </c>
      <c r="I85" s="9">
        <v>15233</v>
      </c>
      <c r="J85" s="9">
        <v>15233</v>
      </c>
      <c r="K85" s="9">
        <v>0</v>
      </c>
      <c r="L85" s="10">
        <v>0</v>
      </c>
      <c r="M85" s="9">
        <v>0</v>
      </c>
      <c r="N85" s="9">
        <v>24</v>
      </c>
      <c r="O85" s="9">
        <v>0</v>
      </c>
      <c r="P85" s="9">
        <v>0</v>
      </c>
      <c r="Q85" s="9">
        <v>24</v>
      </c>
      <c r="R85" s="9">
        <v>0</v>
      </c>
      <c r="S85" s="9">
        <v>0</v>
      </c>
      <c r="T85" s="9" t="s">
        <v>38</v>
      </c>
      <c r="U85" s="9" t="s">
        <v>31</v>
      </c>
      <c r="V85" s="16">
        <v>0</v>
      </c>
      <c r="W85" s="9" t="s">
        <v>31</v>
      </c>
      <c r="X85" s="11">
        <v>1</v>
      </c>
      <c r="Y85" s="20"/>
      <c r="Z85" s="96"/>
    </row>
    <row r="86" spans="1:26" x14ac:dyDescent="0.3">
      <c r="A86" s="3">
        <v>46240</v>
      </c>
      <c r="B86" s="4" t="s">
        <v>25</v>
      </c>
      <c r="C86" s="9" t="s">
        <v>26</v>
      </c>
      <c r="D86" s="9" t="s">
        <v>27</v>
      </c>
      <c r="E86" s="9" t="s">
        <v>37</v>
      </c>
      <c r="F86" s="9" t="s">
        <v>40</v>
      </c>
      <c r="G86" s="9">
        <v>1000</v>
      </c>
      <c r="H86" s="9">
        <v>800</v>
      </c>
      <c r="I86" s="9">
        <v>3547</v>
      </c>
      <c r="J86" s="9">
        <v>3547</v>
      </c>
      <c r="K86" s="9">
        <v>0</v>
      </c>
      <c r="L86" s="10">
        <v>0</v>
      </c>
      <c r="M86" s="9">
        <v>0</v>
      </c>
      <c r="N86" s="9">
        <v>24</v>
      </c>
      <c r="O86" s="9">
        <v>0</v>
      </c>
      <c r="P86" s="9">
        <v>0</v>
      </c>
      <c r="Q86" s="9">
        <v>24</v>
      </c>
      <c r="R86" s="9">
        <v>0</v>
      </c>
      <c r="S86" s="9">
        <v>0</v>
      </c>
      <c r="T86" s="9" t="s">
        <v>38</v>
      </c>
      <c r="U86" s="9" t="s">
        <v>31</v>
      </c>
      <c r="V86" s="16">
        <v>0</v>
      </c>
      <c r="W86" s="9" t="s">
        <v>31</v>
      </c>
      <c r="X86" s="11">
        <v>1</v>
      </c>
      <c r="Y86" s="20"/>
      <c r="Z86" s="96"/>
    </row>
    <row r="87" spans="1:26" x14ac:dyDescent="0.3">
      <c r="A87" s="3">
        <v>46240</v>
      </c>
      <c r="B87" s="4" t="s">
        <v>25</v>
      </c>
      <c r="C87" s="9" t="s">
        <v>26</v>
      </c>
      <c r="D87" s="9" t="s">
        <v>27</v>
      </c>
      <c r="E87" s="9" t="s">
        <v>37</v>
      </c>
      <c r="F87" s="9" t="s">
        <v>41</v>
      </c>
      <c r="G87" s="9">
        <v>1000</v>
      </c>
      <c r="H87" s="9">
        <v>800</v>
      </c>
      <c r="I87" s="9">
        <v>2420</v>
      </c>
      <c r="J87" s="9">
        <v>2420</v>
      </c>
      <c r="K87" s="9">
        <v>0</v>
      </c>
      <c r="L87" s="10">
        <v>0</v>
      </c>
      <c r="M87" s="9">
        <v>0</v>
      </c>
      <c r="N87" s="9">
        <v>24</v>
      </c>
      <c r="O87" s="9">
        <v>0</v>
      </c>
      <c r="P87" s="9">
        <v>0</v>
      </c>
      <c r="Q87" s="9">
        <v>24</v>
      </c>
      <c r="R87" s="9">
        <v>0</v>
      </c>
      <c r="S87" s="9">
        <v>0</v>
      </c>
      <c r="T87" s="9" t="s">
        <v>38</v>
      </c>
      <c r="U87" s="9" t="s">
        <v>31</v>
      </c>
      <c r="V87" s="16">
        <v>0</v>
      </c>
      <c r="W87" s="9" t="s">
        <v>31</v>
      </c>
      <c r="X87" s="11">
        <v>1</v>
      </c>
      <c r="Y87" s="20"/>
      <c r="Z87" s="96"/>
    </row>
    <row r="88" spans="1:26" x14ac:dyDescent="0.3">
      <c r="A88" s="3">
        <v>46240</v>
      </c>
      <c r="B88" s="4" t="s">
        <v>25</v>
      </c>
      <c r="C88" s="12" t="s">
        <v>42</v>
      </c>
      <c r="D88" s="12" t="s">
        <v>27</v>
      </c>
      <c r="E88" s="12" t="s">
        <v>43</v>
      </c>
      <c r="F88" s="12" t="s">
        <v>44</v>
      </c>
      <c r="G88" s="12">
        <v>600</v>
      </c>
      <c r="H88" s="12">
        <v>350</v>
      </c>
      <c r="I88" s="12">
        <v>6474</v>
      </c>
      <c r="J88" s="12">
        <v>6498</v>
      </c>
      <c r="K88" s="12">
        <v>8397</v>
      </c>
      <c r="L88" s="13">
        <v>349.875</v>
      </c>
      <c r="M88" s="12">
        <v>24</v>
      </c>
      <c r="N88" s="12">
        <v>0</v>
      </c>
      <c r="O88" s="12">
        <v>0</v>
      </c>
      <c r="P88" s="12">
        <v>0</v>
      </c>
      <c r="Q88" s="12">
        <v>24</v>
      </c>
      <c r="R88" s="12">
        <v>0</v>
      </c>
      <c r="S88" s="12">
        <v>0</v>
      </c>
      <c r="T88" s="12" t="s">
        <v>30</v>
      </c>
      <c r="U88" s="12" t="s">
        <v>31</v>
      </c>
      <c r="V88" s="14">
        <v>73894</v>
      </c>
      <c r="W88" s="12" t="s">
        <v>31</v>
      </c>
      <c r="X88" s="15">
        <v>1</v>
      </c>
      <c r="Y88" s="17"/>
      <c r="Z88" s="96"/>
    </row>
    <row r="89" spans="1:26" x14ac:dyDescent="0.3">
      <c r="A89" s="3">
        <v>46240</v>
      </c>
      <c r="B89" s="4" t="s">
        <v>25</v>
      </c>
      <c r="C89" s="12" t="s">
        <v>42</v>
      </c>
      <c r="D89" s="12" t="s">
        <v>27</v>
      </c>
      <c r="E89" s="12" t="s">
        <v>43</v>
      </c>
      <c r="F89" s="12" t="s">
        <v>45</v>
      </c>
      <c r="G89" s="12">
        <v>600</v>
      </c>
      <c r="H89" s="12">
        <v>350</v>
      </c>
      <c r="I89" s="12">
        <v>6404</v>
      </c>
      <c r="J89" s="12">
        <v>6428</v>
      </c>
      <c r="K89" s="12">
        <v>8398</v>
      </c>
      <c r="L89" s="13">
        <v>349.91666666666669</v>
      </c>
      <c r="M89" s="12">
        <v>24</v>
      </c>
      <c r="N89" s="12">
        <v>0</v>
      </c>
      <c r="O89" s="12">
        <v>0</v>
      </c>
      <c r="P89" s="12">
        <v>0</v>
      </c>
      <c r="Q89" s="12">
        <v>24</v>
      </c>
      <c r="R89" s="12">
        <v>0</v>
      </c>
      <c r="S89" s="12">
        <v>0</v>
      </c>
      <c r="T89" s="12" t="s">
        <v>30</v>
      </c>
      <c r="U89" s="12" t="s">
        <v>31</v>
      </c>
      <c r="V89" s="14">
        <v>73902</v>
      </c>
      <c r="W89" s="12" t="s">
        <v>31</v>
      </c>
      <c r="X89" s="15">
        <v>1</v>
      </c>
      <c r="Y89" s="17"/>
      <c r="Z89" s="96"/>
    </row>
    <row r="90" spans="1:26" ht="20.399999999999999" x14ac:dyDescent="0.3">
      <c r="A90" s="3">
        <v>46240</v>
      </c>
      <c r="B90" s="4" t="s">
        <v>25</v>
      </c>
      <c r="C90" s="12" t="s">
        <v>26</v>
      </c>
      <c r="D90" s="12" t="s">
        <v>27</v>
      </c>
      <c r="E90" s="12" t="s">
        <v>43</v>
      </c>
      <c r="F90" s="12" t="s">
        <v>163</v>
      </c>
      <c r="G90" s="12">
        <v>600</v>
      </c>
      <c r="H90" s="12">
        <v>450</v>
      </c>
      <c r="I90" s="12">
        <v>4420</v>
      </c>
      <c r="J90" s="12">
        <v>4420</v>
      </c>
      <c r="K90" s="12">
        <v>0</v>
      </c>
      <c r="L90" s="13">
        <v>0</v>
      </c>
      <c r="M90" s="12">
        <v>0</v>
      </c>
      <c r="N90" s="12">
        <v>24</v>
      </c>
      <c r="O90" s="12">
        <v>0</v>
      </c>
      <c r="P90" s="12">
        <v>0</v>
      </c>
      <c r="Q90" s="12">
        <v>24</v>
      </c>
      <c r="R90" s="12">
        <v>24</v>
      </c>
      <c r="S90" s="12">
        <v>0</v>
      </c>
      <c r="T90" s="12" t="s">
        <v>30</v>
      </c>
      <c r="U90" s="12" t="s">
        <v>31</v>
      </c>
      <c r="V90" s="14">
        <v>0</v>
      </c>
      <c r="W90" s="12" t="s">
        <v>31</v>
      </c>
      <c r="X90" s="15">
        <v>1</v>
      </c>
      <c r="Y90" s="17" t="s">
        <v>218</v>
      </c>
      <c r="Z90" s="96"/>
    </row>
    <row r="91" spans="1:26" ht="31.8" x14ac:dyDescent="0.3">
      <c r="A91" s="3">
        <v>46240</v>
      </c>
      <c r="B91" s="4" t="s">
        <v>25</v>
      </c>
      <c r="C91" s="12" t="s">
        <v>26</v>
      </c>
      <c r="D91" s="12" t="s">
        <v>27</v>
      </c>
      <c r="E91" s="12" t="s">
        <v>43</v>
      </c>
      <c r="F91" s="12" t="s">
        <v>164</v>
      </c>
      <c r="G91" s="12">
        <v>600</v>
      </c>
      <c r="H91" s="12">
        <v>450</v>
      </c>
      <c r="I91" s="12">
        <v>611</v>
      </c>
      <c r="J91" s="12">
        <v>623</v>
      </c>
      <c r="K91" s="12">
        <v>4672</v>
      </c>
      <c r="L91" s="13">
        <v>194.66666666666666</v>
      </c>
      <c r="M91" s="12">
        <v>12</v>
      </c>
      <c r="N91" s="12">
        <v>12</v>
      </c>
      <c r="O91" s="12">
        <v>0</v>
      </c>
      <c r="P91" s="12">
        <v>0</v>
      </c>
      <c r="Q91" s="12">
        <v>24</v>
      </c>
      <c r="R91" s="12">
        <v>12</v>
      </c>
      <c r="S91" s="12">
        <v>0</v>
      </c>
      <c r="T91" s="12" t="s">
        <v>30</v>
      </c>
      <c r="U91" s="12" t="s">
        <v>31</v>
      </c>
      <c r="V91" s="14">
        <v>41114</v>
      </c>
      <c r="W91" s="12" t="s">
        <v>31</v>
      </c>
      <c r="X91" s="15">
        <v>1</v>
      </c>
      <c r="Y91" s="76" t="s">
        <v>219</v>
      </c>
      <c r="Z91" s="96"/>
    </row>
    <row r="92" spans="1:26" ht="20.399999999999999" x14ac:dyDescent="0.3">
      <c r="A92" s="3">
        <v>46240</v>
      </c>
      <c r="B92" s="4" t="s">
        <v>25</v>
      </c>
      <c r="C92" s="12" t="s">
        <v>26</v>
      </c>
      <c r="D92" s="12" t="s">
        <v>27</v>
      </c>
      <c r="E92" s="12" t="s">
        <v>43</v>
      </c>
      <c r="F92" s="12" t="s">
        <v>165</v>
      </c>
      <c r="G92" s="12">
        <v>600</v>
      </c>
      <c r="H92" s="12">
        <v>450</v>
      </c>
      <c r="I92" s="12">
        <v>658</v>
      </c>
      <c r="J92" s="12">
        <v>658</v>
      </c>
      <c r="K92" s="12">
        <v>0</v>
      </c>
      <c r="L92" s="13">
        <v>0</v>
      </c>
      <c r="M92" s="12">
        <v>0</v>
      </c>
      <c r="N92" s="12">
        <v>24</v>
      </c>
      <c r="O92" s="12">
        <v>0</v>
      </c>
      <c r="P92" s="12">
        <v>0</v>
      </c>
      <c r="Q92" s="12">
        <v>24</v>
      </c>
      <c r="R92" s="12">
        <v>24</v>
      </c>
      <c r="S92" s="12">
        <v>0</v>
      </c>
      <c r="T92" s="12" t="s">
        <v>30</v>
      </c>
      <c r="U92" s="12" t="s">
        <v>31</v>
      </c>
      <c r="V92" s="14">
        <v>0</v>
      </c>
      <c r="W92" s="12" t="s">
        <v>31</v>
      </c>
      <c r="X92" s="15">
        <v>1</v>
      </c>
      <c r="Y92" s="17" t="s">
        <v>220</v>
      </c>
      <c r="Z92" s="96"/>
    </row>
    <row r="93" spans="1:26" ht="61.2" x14ac:dyDescent="0.3">
      <c r="A93" s="3">
        <v>46241</v>
      </c>
      <c r="B93" s="4" t="s">
        <v>25</v>
      </c>
      <c r="C93" s="5" t="s">
        <v>26</v>
      </c>
      <c r="D93" s="5" t="s">
        <v>27</v>
      </c>
      <c r="E93" s="5" t="s">
        <v>28</v>
      </c>
      <c r="F93" s="5" t="s">
        <v>29</v>
      </c>
      <c r="G93" s="5">
        <v>1050</v>
      </c>
      <c r="H93" s="5">
        <v>700</v>
      </c>
      <c r="I93" s="6">
        <v>16324</v>
      </c>
      <c r="J93" s="6">
        <v>16341</v>
      </c>
      <c r="K93" s="5">
        <v>10328</v>
      </c>
      <c r="L93" s="7">
        <v>430.33333333333331</v>
      </c>
      <c r="M93" s="6">
        <v>17</v>
      </c>
      <c r="N93" s="5">
        <v>7</v>
      </c>
      <c r="O93" s="5">
        <v>0</v>
      </c>
      <c r="P93" s="5">
        <v>0</v>
      </c>
      <c r="Q93" s="5">
        <v>24</v>
      </c>
      <c r="R93" s="5">
        <v>7</v>
      </c>
      <c r="S93" s="5">
        <v>0</v>
      </c>
      <c r="T93" s="5" t="s">
        <v>30</v>
      </c>
      <c r="U93" s="5" t="s">
        <v>31</v>
      </c>
      <c r="V93" s="6">
        <v>90886</v>
      </c>
      <c r="W93" s="5" t="s">
        <v>31</v>
      </c>
      <c r="X93" s="8">
        <v>1</v>
      </c>
      <c r="Y93" s="18" t="s">
        <v>221</v>
      </c>
      <c r="Z93" s="96"/>
    </row>
    <row r="94" spans="1:26" ht="40.799999999999997" x14ac:dyDescent="0.3">
      <c r="A94" s="3">
        <v>46241</v>
      </c>
      <c r="B94" s="4" t="s">
        <v>25</v>
      </c>
      <c r="C94" s="5" t="s">
        <v>26</v>
      </c>
      <c r="D94" s="5" t="s">
        <v>27</v>
      </c>
      <c r="E94" s="5" t="s">
        <v>28</v>
      </c>
      <c r="F94" s="5" t="s">
        <v>32</v>
      </c>
      <c r="G94" s="5">
        <v>1050</v>
      </c>
      <c r="H94" s="5">
        <v>700</v>
      </c>
      <c r="I94" s="6">
        <v>14092</v>
      </c>
      <c r="J94" s="6">
        <v>14110</v>
      </c>
      <c r="K94" s="5">
        <v>11921</v>
      </c>
      <c r="L94" s="7">
        <v>496.70833333333331</v>
      </c>
      <c r="M94" s="6">
        <v>18</v>
      </c>
      <c r="N94" s="5">
        <v>6</v>
      </c>
      <c r="O94" s="5">
        <v>0</v>
      </c>
      <c r="P94" s="5">
        <v>0</v>
      </c>
      <c r="Q94" s="5">
        <v>24</v>
      </c>
      <c r="R94" s="5">
        <v>6</v>
      </c>
      <c r="S94" s="5">
        <v>0</v>
      </c>
      <c r="T94" s="5" t="s">
        <v>30</v>
      </c>
      <c r="U94" s="5" t="s">
        <v>31</v>
      </c>
      <c r="V94" s="6">
        <v>104905</v>
      </c>
      <c r="W94" s="5" t="s">
        <v>31</v>
      </c>
      <c r="X94" s="8">
        <v>1</v>
      </c>
      <c r="Y94" s="18" t="s">
        <v>222</v>
      </c>
      <c r="Z94" s="96"/>
    </row>
    <row r="95" spans="1:26" ht="51" x14ac:dyDescent="0.3">
      <c r="A95" s="3">
        <v>46241</v>
      </c>
      <c r="B95" s="4" t="s">
        <v>25</v>
      </c>
      <c r="C95" s="5" t="s">
        <v>26</v>
      </c>
      <c r="D95" s="5" t="s">
        <v>27</v>
      </c>
      <c r="E95" s="5" t="s">
        <v>28</v>
      </c>
      <c r="F95" s="5" t="s">
        <v>33</v>
      </c>
      <c r="G95" s="5">
        <v>1050</v>
      </c>
      <c r="H95" s="5">
        <v>700</v>
      </c>
      <c r="I95" s="6">
        <v>12588</v>
      </c>
      <c r="J95" s="6">
        <v>12599</v>
      </c>
      <c r="K95" s="5">
        <v>6904</v>
      </c>
      <c r="L95" s="7">
        <v>287.66666666666669</v>
      </c>
      <c r="M95" s="6">
        <v>11</v>
      </c>
      <c r="N95" s="5">
        <v>6</v>
      </c>
      <c r="O95" s="5">
        <v>7</v>
      </c>
      <c r="P95" s="5">
        <v>0</v>
      </c>
      <c r="Q95" s="5">
        <v>24</v>
      </c>
      <c r="R95" s="5">
        <v>6</v>
      </c>
      <c r="S95" s="5">
        <v>0</v>
      </c>
      <c r="T95" s="5" t="s">
        <v>30</v>
      </c>
      <c r="U95" s="5" t="s">
        <v>31</v>
      </c>
      <c r="V95" s="6">
        <v>60755</v>
      </c>
      <c r="W95" s="5" t="s">
        <v>31</v>
      </c>
      <c r="X95" s="8">
        <v>1</v>
      </c>
      <c r="Y95" s="18" t="s">
        <v>223</v>
      </c>
      <c r="Z95" s="96"/>
    </row>
    <row r="96" spans="1:26" x14ac:dyDescent="0.3">
      <c r="A96" s="3">
        <v>46241</v>
      </c>
      <c r="B96" s="4" t="s">
        <v>25</v>
      </c>
      <c r="C96" s="5" t="s">
        <v>26</v>
      </c>
      <c r="D96" s="5" t="s">
        <v>27</v>
      </c>
      <c r="E96" s="5" t="s">
        <v>34</v>
      </c>
      <c r="F96" s="5" t="s">
        <v>35</v>
      </c>
      <c r="G96" s="5">
        <v>1300</v>
      </c>
      <c r="H96" s="5">
        <v>1040</v>
      </c>
      <c r="I96" s="6">
        <v>4039</v>
      </c>
      <c r="J96" s="6">
        <v>4063</v>
      </c>
      <c r="K96" s="5">
        <v>17671</v>
      </c>
      <c r="L96" s="7">
        <v>736.29166666666663</v>
      </c>
      <c r="M96" s="6">
        <v>24</v>
      </c>
      <c r="N96" s="5">
        <v>0</v>
      </c>
      <c r="O96" s="5">
        <v>0</v>
      </c>
      <c r="P96" s="5">
        <v>0</v>
      </c>
      <c r="Q96" s="5">
        <v>24</v>
      </c>
      <c r="R96" s="5">
        <v>0</v>
      </c>
      <c r="S96" s="5">
        <v>0</v>
      </c>
      <c r="T96" s="5" t="s">
        <v>30</v>
      </c>
      <c r="U96" s="5" t="s">
        <v>31</v>
      </c>
      <c r="V96" s="6">
        <v>155505</v>
      </c>
      <c r="W96" s="5" t="s">
        <v>31</v>
      </c>
      <c r="X96" s="8">
        <v>1</v>
      </c>
      <c r="Y96" s="18" t="s">
        <v>224</v>
      </c>
      <c r="Z96" s="96"/>
    </row>
    <row r="97" spans="1:26" ht="51" x14ac:dyDescent="0.3">
      <c r="A97" s="3">
        <v>46241</v>
      </c>
      <c r="B97" s="4" t="s">
        <v>25</v>
      </c>
      <c r="C97" s="5" t="s">
        <v>26</v>
      </c>
      <c r="D97" s="5" t="s">
        <v>27</v>
      </c>
      <c r="E97" s="5" t="s">
        <v>34</v>
      </c>
      <c r="F97" s="5" t="s">
        <v>36</v>
      </c>
      <c r="G97" s="5">
        <v>1300</v>
      </c>
      <c r="H97" s="5">
        <v>1040</v>
      </c>
      <c r="I97" s="6">
        <v>4026</v>
      </c>
      <c r="J97" s="6">
        <v>4044</v>
      </c>
      <c r="K97" s="5">
        <v>13100</v>
      </c>
      <c r="L97" s="7">
        <v>545.83333333333337</v>
      </c>
      <c r="M97" s="6">
        <v>18</v>
      </c>
      <c r="N97" s="5">
        <v>6</v>
      </c>
      <c r="O97" s="5">
        <v>0</v>
      </c>
      <c r="P97" s="5">
        <v>0</v>
      </c>
      <c r="Q97" s="5">
        <v>24</v>
      </c>
      <c r="R97" s="5">
        <v>6</v>
      </c>
      <c r="S97" s="5">
        <v>0</v>
      </c>
      <c r="T97" s="5" t="s">
        <v>30</v>
      </c>
      <c r="U97" s="5" t="s">
        <v>31</v>
      </c>
      <c r="V97" s="6">
        <v>115280</v>
      </c>
      <c r="W97" s="5" t="s">
        <v>31</v>
      </c>
      <c r="X97" s="8">
        <v>1</v>
      </c>
      <c r="Y97" s="18" t="s">
        <v>225</v>
      </c>
      <c r="Z97" s="96"/>
    </row>
    <row r="98" spans="1:26" ht="40.799999999999997" x14ac:dyDescent="0.3">
      <c r="A98" s="3">
        <v>46241</v>
      </c>
      <c r="B98" s="4" t="s">
        <v>25</v>
      </c>
      <c r="C98" s="5" t="s">
        <v>26</v>
      </c>
      <c r="D98" s="5" t="s">
        <v>27</v>
      </c>
      <c r="E98" s="5" t="s">
        <v>34</v>
      </c>
      <c r="F98" s="5" t="s">
        <v>46</v>
      </c>
      <c r="G98" s="5">
        <v>1300</v>
      </c>
      <c r="H98" s="5">
        <v>1040</v>
      </c>
      <c r="I98" s="6">
        <v>2487</v>
      </c>
      <c r="J98" s="6">
        <v>2506</v>
      </c>
      <c r="K98" s="5">
        <v>14705</v>
      </c>
      <c r="L98" s="7">
        <v>612.70833333333337</v>
      </c>
      <c r="M98" s="6">
        <v>19</v>
      </c>
      <c r="N98" s="5">
        <v>5</v>
      </c>
      <c r="O98" s="5">
        <v>0</v>
      </c>
      <c r="P98" s="5">
        <v>0</v>
      </c>
      <c r="Q98" s="5">
        <v>24</v>
      </c>
      <c r="R98" s="5">
        <v>5</v>
      </c>
      <c r="S98" s="5">
        <v>0</v>
      </c>
      <c r="T98" s="5" t="s">
        <v>30</v>
      </c>
      <c r="U98" s="5" t="s">
        <v>31</v>
      </c>
      <c r="V98" s="6">
        <v>129404</v>
      </c>
      <c r="W98" s="5" t="s">
        <v>31</v>
      </c>
      <c r="X98" s="8">
        <v>1</v>
      </c>
      <c r="Y98" s="18" t="s">
        <v>226</v>
      </c>
      <c r="Z98" s="96"/>
    </row>
    <row r="99" spans="1:26" ht="71.400000000000006" x14ac:dyDescent="0.3">
      <c r="A99" s="3">
        <v>46241</v>
      </c>
      <c r="B99" s="4" t="s">
        <v>25</v>
      </c>
      <c r="C99" s="5" t="s">
        <v>26</v>
      </c>
      <c r="D99" s="5" t="s">
        <v>27</v>
      </c>
      <c r="E99" s="5" t="s">
        <v>28</v>
      </c>
      <c r="F99" s="5" t="s">
        <v>47</v>
      </c>
      <c r="G99" s="5">
        <v>1050</v>
      </c>
      <c r="H99" s="5">
        <v>740</v>
      </c>
      <c r="I99" s="6">
        <v>1470</v>
      </c>
      <c r="J99" s="6">
        <v>1488</v>
      </c>
      <c r="K99" s="5">
        <v>11066</v>
      </c>
      <c r="L99" s="7">
        <v>461.08333333333331</v>
      </c>
      <c r="M99" s="6">
        <v>18</v>
      </c>
      <c r="N99" s="5">
        <v>6</v>
      </c>
      <c r="O99" s="5">
        <v>0</v>
      </c>
      <c r="P99" s="5">
        <v>0</v>
      </c>
      <c r="Q99" s="5">
        <v>24</v>
      </c>
      <c r="R99" s="5">
        <v>6</v>
      </c>
      <c r="S99" s="5">
        <v>0</v>
      </c>
      <c r="T99" s="5" t="s">
        <v>30</v>
      </c>
      <c r="U99" s="5" t="s">
        <v>31</v>
      </c>
      <c r="V99" s="19">
        <v>97381</v>
      </c>
      <c r="W99" s="5" t="s">
        <v>31</v>
      </c>
      <c r="X99" s="8">
        <v>1</v>
      </c>
      <c r="Y99" s="18" t="s">
        <v>227</v>
      </c>
      <c r="Z99" s="96"/>
    </row>
    <row r="100" spans="1:26" ht="20.399999999999999" x14ac:dyDescent="0.3">
      <c r="A100" s="3">
        <v>46241</v>
      </c>
      <c r="B100" s="4" t="s">
        <v>25</v>
      </c>
      <c r="C100" s="9" t="s">
        <v>26</v>
      </c>
      <c r="D100" s="9" t="s">
        <v>27</v>
      </c>
      <c r="E100" s="9" t="s">
        <v>37</v>
      </c>
      <c r="F100" s="9" t="s">
        <v>39</v>
      </c>
      <c r="G100" s="9">
        <v>500</v>
      </c>
      <c r="H100" s="9">
        <v>360</v>
      </c>
      <c r="I100" s="9">
        <v>15233</v>
      </c>
      <c r="J100" s="9">
        <v>15235</v>
      </c>
      <c r="K100" s="9">
        <v>925</v>
      </c>
      <c r="L100" s="10">
        <v>38.541666666666664</v>
      </c>
      <c r="M100" s="9">
        <v>2</v>
      </c>
      <c r="N100" s="9">
        <v>22</v>
      </c>
      <c r="O100" s="9">
        <v>0</v>
      </c>
      <c r="P100" s="9">
        <v>0</v>
      </c>
      <c r="Q100" s="9">
        <v>24</v>
      </c>
      <c r="R100" s="9">
        <v>0</v>
      </c>
      <c r="S100" s="9">
        <v>0</v>
      </c>
      <c r="T100" s="9" t="s">
        <v>38</v>
      </c>
      <c r="U100" s="9" t="s">
        <v>31</v>
      </c>
      <c r="V100" s="16">
        <v>65</v>
      </c>
      <c r="W100" s="9" t="s">
        <v>31</v>
      </c>
      <c r="X100" s="11">
        <v>1</v>
      </c>
      <c r="Y100" s="20" t="s">
        <v>228</v>
      </c>
      <c r="Z100" s="96"/>
    </row>
    <row r="101" spans="1:26" ht="51" x14ac:dyDescent="0.3">
      <c r="A101" s="3">
        <v>46241</v>
      </c>
      <c r="B101" s="4" t="s">
        <v>25</v>
      </c>
      <c r="C101" s="9" t="s">
        <v>26</v>
      </c>
      <c r="D101" s="9" t="s">
        <v>27</v>
      </c>
      <c r="E101" s="9" t="s">
        <v>37</v>
      </c>
      <c r="F101" s="9" t="s">
        <v>40</v>
      </c>
      <c r="G101" s="9">
        <v>1000</v>
      </c>
      <c r="H101" s="9">
        <v>800</v>
      </c>
      <c r="I101" s="9">
        <v>3547</v>
      </c>
      <c r="J101" s="9">
        <v>3554</v>
      </c>
      <c r="K101" s="9">
        <v>5432</v>
      </c>
      <c r="L101" s="10">
        <v>226.33333333333334</v>
      </c>
      <c r="M101" s="9">
        <v>7</v>
      </c>
      <c r="N101" s="9">
        <v>17</v>
      </c>
      <c r="O101" s="9">
        <v>0</v>
      </c>
      <c r="P101" s="9">
        <v>0</v>
      </c>
      <c r="Q101" s="9">
        <v>24</v>
      </c>
      <c r="R101" s="9">
        <v>0</v>
      </c>
      <c r="S101" s="9">
        <v>0</v>
      </c>
      <c r="T101" s="9" t="s">
        <v>38</v>
      </c>
      <c r="U101" s="9" t="s">
        <v>31</v>
      </c>
      <c r="V101" s="16">
        <v>380</v>
      </c>
      <c r="W101" s="9" t="s">
        <v>31</v>
      </c>
      <c r="X101" s="11">
        <v>1</v>
      </c>
      <c r="Y101" s="20" t="s">
        <v>229</v>
      </c>
      <c r="Z101" s="96"/>
    </row>
    <row r="102" spans="1:26" ht="51" x14ac:dyDescent="0.3">
      <c r="A102" s="3">
        <v>46241</v>
      </c>
      <c r="B102" s="4" t="s">
        <v>25</v>
      </c>
      <c r="C102" s="9" t="s">
        <v>26</v>
      </c>
      <c r="D102" s="9" t="s">
        <v>27</v>
      </c>
      <c r="E102" s="9" t="s">
        <v>37</v>
      </c>
      <c r="F102" s="9" t="s">
        <v>41</v>
      </c>
      <c r="G102" s="9">
        <v>1000</v>
      </c>
      <c r="H102" s="9">
        <v>800</v>
      </c>
      <c r="I102" s="9">
        <v>2420</v>
      </c>
      <c r="J102" s="9">
        <v>2428</v>
      </c>
      <c r="K102" s="9">
        <v>5300</v>
      </c>
      <c r="L102" s="10">
        <v>220.83333333333334</v>
      </c>
      <c r="M102" s="9">
        <v>8</v>
      </c>
      <c r="N102" s="9">
        <v>16</v>
      </c>
      <c r="O102" s="9">
        <v>0</v>
      </c>
      <c r="P102" s="9">
        <v>0</v>
      </c>
      <c r="Q102" s="9">
        <v>24</v>
      </c>
      <c r="R102" s="9">
        <v>0</v>
      </c>
      <c r="S102" s="9">
        <v>0</v>
      </c>
      <c r="T102" s="9" t="s">
        <v>38</v>
      </c>
      <c r="U102" s="9" t="s">
        <v>31</v>
      </c>
      <c r="V102" s="16">
        <v>371</v>
      </c>
      <c r="W102" s="9" t="s">
        <v>31</v>
      </c>
      <c r="X102" s="11">
        <v>1</v>
      </c>
      <c r="Y102" s="20" t="s">
        <v>230</v>
      </c>
      <c r="Z102" s="96"/>
    </row>
    <row r="103" spans="1:26" x14ac:dyDescent="0.3">
      <c r="A103" s="3">
        <v>46241</v>
      </c>
      <c r="B103" s="4" t="s">
        <v>25</v>
      </c>
      <c r="C103" s="12" t="s">
        <v>42</v>
      </c>
      <c r="D103" s="12" t="s">
        <v>27</v>
      </c>
      <c r="E103" s="12" t="s">
        <v>43</v>
      </c>
      <c r="F103" s="12" t="s">
        <v>44</v>
      </c>
      <c r="G103" s="12">
        <v>600</v>
      </c>
      <c r="H103" s="12">
        <v>350</v>
      </c>
      <c r="I103" s="12">
        <v>6498</v>
      </c>
      <c r="J103" s="12">
        <v>6522</v>
      </c>
      <c r="K103" s="12">
        <v>8908</v>
      </c>
      <c r="L103" s="13">
        <v>371.16666666666669</v>
      </c>
      <c r="M103" s="12">
        <v>24</v>
      </c>
      <c r="N103" s="12">
        <v>0</v>
      </c>
      <c r="O103" s="12">
        <v>0</v>
      </c>
      <c r="P103" s="12">
        <v>0</v>
      </c>
      <c r="Q103" s="12">
        <v>24</v>
      </c>
      <c r="R103" s="12">
        <v>0</v>
      </c>
      <c r="S103" s="12">
        <v>0</v>
      </c>
      <c r="T103" s="12" t="s">
        <v>30</v>
      </c>
      <c r="U103" s="12" t="s">
        <v>31</v>
      </c>
      <c r="V103" s="14">
        <v>78390</v>
      </c>
      <c r="W103" s="12" t="s">
        <v>31</v>
      </c>
      <c r="X103" s="15">
        <v>1</v>
      </c>
      <c r="Y103" s="17"/>
      <c r="Z103" s="96"/>
    </row>
    <row r="104" spans="1:26" x14ac:dyDescent="0.3">
      <c r="A104" s="3">
        <v>46241</v>
      </c>
      <c r="B104" s="4" t="s">
        <v>25</v>
      </c>
      <c r="C104" s="12" t="s">
        <v>42</v>
      </c>
      <c r="D104" s="12" t="s">
        <v>27</v>
      </c>
      <c r="E104" s="12" t="s">
        <v>43</v>
      </c>
      <c r="F104" s="12" t="s">
        <v>45</v>
      </c>
      <c r="G104" s="12">
        <v>600</v>
      </c>
      <c r="H104" s="12">
        <v>350</v>
      </c>
      <c r="I104" s="12">
        <v>6428</v>
      </c>
      <c r="J104" s="12">
        <v>6452</v>
      </c>
      <c r="K104" s="12">
        <v>8271</v>
      </c>
      <c r="L104" s="13">
        <v>344.625</v>
      </c>
      <c r="M104" s="12">
        <v>24</v>
      </c>
      <c r="N104" s="12">
        <v>0</v>
      </c>
      <c r="O104" s="12">
        <v>0</v>
      </c>
      <c r="P104" s="12">
        <v>0</v>
      </c>
      <c r="Q104" s="12">
        <v>24</v>
      </c>
      <c r="R104" s="12">
        <v>0</v>
      </c>
      <c r="S104" s="12">
        <v>0</v>
      </c>
      <c r="T104" s="12" t="s">
        <v>30</v>
      </c>
      <c r="U104" s="12" t="s">
        <v>31</v>
      </c>
      <c r="V104" s="14">
        <v>72785</v>
      </c>
      <c r="W104" s="12" t="s">
        <v>31</v>
      </c>
      <c r="X104" s="15">
        <v>1</v>
      </c>
      <c r="Y104" s="17"/>
      <c r="Z104" s="96"/>
    </row>
    <row r="105" spans="1:26" ht="40.799999999999997" x14ac:dyDescent="0.3">
      <c r="A105" s="3">
        <v>46241</v>
      </c>
      <c r="B105" s="4" t="s">
        <v>25</v>
      </c>
      <c r="C105" s="12" t="s">
        <v>26</v>
      </c>
      <c r="D105" s="12" t="s">
        <v>27</v>
      </c>
      <c r="E105" s="12" t="s">
        <v>43</v>
      </c>
      <c r="F105" s="12" t="s">
        <v>163</v>
      </c>
      <c r="G105" s="12">
        <v>600</v>
      </c>
      <c r="H105" s="12">
        <v>450</v>
      </c>
      <c r="I105" s="12">
        <v>4420</v>
      </c>
      <c r="J105" s="12">
        <v>4435</v>
      </c>
      <c r="K105" s="12">
        <v>5373</v>
      </c>
      <c r="L105" s="13">
        <v>223.875</v>
      </c>
      <c r="M105" s="12">
        <v>15</v>
      </c>
      <c r="N105" s="12">
        <v>9</v>
      </c>
      <c r="O105" s="12">
        <v>0</v>
      </c>
      <c r="P105" s="12">
        <v>0</v>
      </c>
      <c r="Q105" s="12">
        <v>24</v>
      </c>
      <c r="R105" s="12">
        <v>9</v>
      </c>
      <c r="S105" s="12">
        <v>0</v>
      </c>
      <c r="T105" s="12" t="s">
        <v>30</v>
      </c>
      <c r="U105" s="12" t="s">
        <v>31</v>
      </c>
      <c r="V105" s="14">
        <v>47282</v>
      </c>
      <c r="W105" s="12" t="s">
        <v>31</v>
      </c>
      <c r="X105" s="15">
        <v>1</v>
      </c>
      <c r="Y105" s="17" t="s">
        <v>231</v>
      </c>
      <c r="Z105" s="96"/>
    </row>
    <row r="106" spans="1:26" ht="42" x14ac:dyDescent="0.3">
      <c r="A106" s="3">
        <v>46241</v>
      </c>
      <c r="B106" s="4" t="s">
        <v>25</v>
      </c>
      <c r="C106" s="12" t="s">
        <v>26</v>
      </c>
      <c r="D106" s="12" t="s">
        <v>27</v>
      </c>
      <c r="E106" s="12" t="s">
        <v>43</v>
      </c>
      <c r="F106" s="12" t="s">
        <v>164</v>
      </c>
      <c r="G106" s="12">
        <v>600</v>
      </c>
      <c r="H106" s="12">
        <v>450</v>
      </c>
      <c r="I106" s="12">
        <v>623</v>
      </c>
      <c r="J106" s="12">
        <v>637</v>
      </c>
      <c r="K106" s="12">
        <v>5448</v>
      </c>
      <c r="L106" s="13">
        <v>227</v>
      </c>
      <c r="M106" s="12">
        <v>14</v>
      </c>
      <c r="N106" s="12">
        <v>10</v>
      </c>
      <c r="O106" s="12">
        <v>0</v>
      </c>
      <c r="P106" s="12">
        <v>0</v>
      </c>
      <c r="Q106" s="12">
        <v>24</v>
      </c>
      <c r="R106" s="12">
        <v>10</v>
      </c>
      <c r="S106" s="12">
        <v>0</v>
      </c>
      <c r="T106" s="12" t="s">
        <v>30</v>
      </c>
      <c r="U106" s="12" t="s">
        <v>31</v>
      </c>
      <c r="V106" s="14">
        <v>47942</v>
      </c>
      <c r="W106" s="12" t="s">
        <v>31</v>
      </c>
      <c r="X106" s="15">
        <v>1</v>
      </c>
      <c r="Y106" s="76" t="s">
        <v>232</v>
      </c>
      <c r="Z106" s="96"/>
    </row>
    <row r="107" spans="1:26" ht="71.400000000000006" x14ac:dyDescent="0.3">
      <c r="A107" s="3">
        <v>46241</v>
      </c>
      <c r="B107" s="4" t="s">
        <v>25</v>
      </c>
      <c r="C107" s="12" t="s">
        <v>26</v>
      </c>
      <c r="D107" s="12" t="s">
        <v>27</v>
      </c>
      <c r="E107" s="12" t="s">
        <v>43</v>
      </c>
      <c r="F107" s="12" t="s">
        <v>165</v>
      </c>
      <c r="G107" s="12">
        <v>600</v>
      </c>
      <c r="H107" s="12">
        <v>450</v>
      </c>
      <c r="I107" s="12">
        <v>658</v>
      </c>
      <c r="J107" s="12">
        <v>666</v>
      </c>
      <c r="K107" s="12">
        <v>2955</v>
      </c>
      <c r="L107" s="13">
        <v>123.125</v>
      </c>
      <c r="M107" s="12">
        <v>8</v>
      </c>
      <c r="N107" s="12">
        <v>16</v>
      </c>
      <c r="O107" s="12">
        <v>0</v>
      </c>
      <c r="P107" s="12">
        <v>0</v>
      </c>
      <c r="Q107" s="12">
        <v>24</v>
      </c>
      <c r="R107" s="12">
        <v>16</v>
      </c>
      <c r="S107" s="12">
        <v>0</v>
      </c>
      <c r="T107" s="12" t="s">
        <v>30</v>
      </c>
      <c r="U107" s="12" t="s">
        <v>31</v>
      </c>
      <c r="V107" s="14">
        <v>26004</v>
      </c>
      <c r="W107" s="12" t="s">
        <v>31</v>
      </c>
      <c r="X107" s="15">
        <v>1</v>
      </c>
      <c r="Y107" s="17" t="s">
        <v>233</v>
      </c>
      <c r="Z107" s="96"/>
    </row>
    <row r="108" spans="1:26" x14ac:dyDescent="0.3">
      <c r="A108" s="3">
        <v>46242</v>
      </c>
      <c r="B108" s="4" t="s">
        <v>25</v>
      </c>
      <c r="C108" s="5" t="s">
        <v>26</v>
      </c>
      <c r="D108" s="5" t="s">
        <v>27</v>
      </c>
      <c r="E108" s="5" t="s">
        <v>28</v>
      </c>
      <c r="F108" s="5" t="s">
        <v>29</v>
      </c>
      <c r="G108" s="5">
        <v>1050</v>
      </c>
      <c r="H108" s="5">
        <v>700</v>
      </c>
      <c r="I108" s="6">
        <v>16341</v>
      </c>
      <c r="J108" s="6">
        <v>16365</v>
      </c>
      <c r="K108" s="5">
        <v>15481</v>
      </c>
      <c r="L108" s="7">
        <v>645.04166666666663</v>
      </c>
      <c r="M108" s="6">
        <v>24</v>
      </c>
      <c r="N108" s="5">
        <v>0</v>
      </c>
      <c r="O108" s="5">
        <v>0</v>
      </c>
      <c r="P108" s="5">
        <v>0</v>
      </c>
      <c r="Q108" s="5">
        <v>24</v>
      </c>
      <c r="R108" s="5">
        <v>0</v>
      </c>
      <c r="S108" s="5">
        <v>0</v>
      </c>
      <c r="T108" s="5" t="s">
        <v>30</v>
      </c>
      <c r="U108" s="5" t="s">
        <v>31</v>
      </c>
      <c r="V108" s="6">
        <v>136233</v>
      </c>
      <c r="W108" s="5" t="s">
        <v>31</v>
      </c>
      <c r="X108" s="8">
        <v>1</v>
      </c>
      <c r="Y108" s="18" t="s">
        <v>234</v>
      </c>
      <c r="Z108" s="96"/>
    </row>
    <row r="109" spans="1:26" x14ac:dyDescent="0.3">
      <c r="A109" s="3">
        <v>46242</v>
      </c>
      <c r="B109" s="4" t="s">
        <v>25</v>
      </c>
      <c r="C109" s="5" t="s">
        <v>26</v>
      </c>
      <c r="D109" s="5" t="s">
        <v>27</v>
      </c>
      <c r="E109" s="5" t="s">
        <v>28</v>
      </c>
      <c r="F109" s="5" t="s">
        <v>32</v>
      </c>
      <c r="G109" s="5">
        <v>1050</v>
      </c>
      <c r="H109" s="5">
        <v>700</v>
      </c>
      <c r="I109" s="6">
        <v>14110</v>
      </c>
      <c r="J109" s="6">
        <v>14134</v>
      </c>
      <c r="K109" s="5">
        <v>15663</v>
      </c>
      <c r="L109" s="7">
        <v>652.625</v>
      </c>
      <c r="M109" s="6">
        <v>24</v>
      </c>
      <c r="N109" s="5">
        <v>0</v>
      </c>
      <c r="O109" s="5">
        <v>0</v>
      </c>
      <c r="P109" s="5">
        <v>0</v>
      </c>
      <c r="Q109" s="5">
        <v>24</v>
      </c>
      <c r="R109" s="5">
        <v>0</v>
      </c>
      <c r="S109" s="5">
        <v>0</v>
      </c>
      <c r="T109" s="5" t="s">
        <v>30</v>
      </c>
      <c r="U109" s="5" t="s">
        <v>31</v>
      </c>
      <c r="V109" s="6">
        <v>137834</v>
      </c>
      <c r="W109" s="5" t="s">
        <v>31</v>
      </c>
      <c r="X109" s="8">
        <v>1</v>
      </c>
      <c r="Y109" s="18"/>
      <c r="Z109" s="96"/>
    </row>
    <row r="110" spans="1:26" x14ac:dyDescent="0.3">
      <c r="A110" s="3">
        <v>46242</v>
      </c>
      <c r="B110" s="4" t="s">
        <v>25</v>
      </c>
      <c r="C110" s="5" t="s">
        <v>26</v>
      </c>
      <c r="D110" s="5" t="s">
        <v>27</v>
      </c>
      <c r="E110" s="5" t="s">
        <v>28</v>
      </c>
      <c r="F110" s="5" t="s">
        <v>33</v>
      </c>
      <c r="G110" s="5">
        <v>1050</v>
      </c>
      <c r="H110" s="5">
        <v>700</v>
      </c>
      <c r="I110" s="6">
        <v>12599</v>
      </c>
      <c r="J110" s="6">
        <v>12623</v>
      </c>
      <c r="K110" s="5">
        <v>15657</v>
      </c>
      <c r="L110" s="7">
        <v>652.375</v>
      </c>
      <c r="M110" s="6">
        <v>24</v>
      </c>
      <c r="N110" s="5">
        <v>0</v>
      </c>
      <c r="O110" s="5">
        <v>0</v>
      </c>
      <c r="P110" s="5">
        <v>0</v>
      </c>
      <c r="Q110" s="5">
        <v>24</v>
      </c>
      <c r="R110" s="5">
        <v>0</v>
      </c>
      <c r="S110" s="5">
        <v>0</v>
      </c>
      <c r="T110" s="5" t="s">
        <v>30</v>
      </c>
      <c r="U110" s="5" t="s">
        <v>31</v>
      </c>
      <c r="V110" s="6">
        <v>137782</v>
      </c>
      <c r="W110" s="5" t="s">
        <v>31</v>
      </c>
      <c r="X110" s="8">
        <v>1</v>
      </c>
      <c r="Y110" s="18"/>
      <c r="Z110" s="96"/>
    </row>
    <row r="111" spans="1:26" ht="30.6" x14ac:dyDescent="0.3">
      <c r="A111" s="3">
        <v>46242</v>
      </c>
      <c r="B111" s="4" t="s">
        <v>25</v>
      </c>
      <c r="C111" s="5" t="s">
        <v>26</v>
      </c>
      <c r="D111" s="5" t="s">
        <v>27</v>
      </c>
      <c r="E111" s="5" t="s">
        <v>34</v>
      </c>
      <c r="F111" s="5" t="s">
        <v>35</v>
      </c>
      <c r="G111" s="5">
        <v>1300</v>
      </c>
      <c r="H111" s="5">
        <v>1040</v>
      </c>
      <c r="I111" s="6">
        <v>4063</v>
      </c>
      <c r="J111" s="6">
        <v>4083</v>
      </c>
      <c r="K111" s="5">
        <v>15780</v>
      </c>
      <c r="L111" s="7">
        <v>657.5</v>
      </c>
      <c r="M111" s="6">
        <v>20</v>
      </c>
      <c r="N111" s="5">
        <v>4</v>
      </c>
      <c r="O111" s="5">
        <v>0</v>
      </c>
      <c r="P111" s="5">
        <v>0</v>
      </c>
      <c r="Q111" s="5">
        <v>24</v>
      </c>
      <c r="R111" s="5">
        <v>4</v>
      </c>
      <c r="S111" s="5">
        <v>0</v>
      </c>
      <c r="T111" s="5" t="s">
        <v>30</v>
      </c>
      <c r="U111" s="5" t="s">
        <v>31</v>
      </c>
      <c r="V111" s="6">
        <v>138864</v>
      </c>
      <c r="W111" s="5" t="s">
        <v>31</v>
      </c>
      <c r="X111" s="8">
        <v>1</v>
      </c>
      <c r="Y111" s="18" t="s">
        <v>235</v>
      </c>
      <c r="Z111" s="96"/>
    </row>
    <row r="112" spans="1:26" x14ac:dyDescent="0.3">
      <c r="A112" s="3">
        <v>46242</v>
      </c>
      <c r="B112" s="4" t="s">
        <v>25</v>
      </c>
      <c r="C112" s="5" t="s">
        <v>26</v>
      </c>
      <c r="D112" s="5" t="s">
        <v>27</v>
      </c>
      <c r="E112" s="5" t="s">
        <v>34</v>
      </c>
      <c r="F112" s="5" t="s">
        <v>36</v>
      </c>
      <c r="G112" s="5">
        <v>1300</v>
      </c>
      <c r="H112" s="5">
        <v>1040</v>
      </c>
      <c r="I112" s="6">
        <v>4044</v>
      </c>
      <c r="J112" s="6">
        <v>4068</v>
      </c>
      <c r="K112" s="5">
        <v>18971</v>
      </c>
      <c r="L112" s="7">
        <v>790.45833333333337</v>
      </c>
      <c r="M112" s="6">
        <v>24</v>
      </c>
      <c r="N112" s="5">
        <v>0</v>
      </c>
      <c r="O112" s="5">
        <v>0</v>
      </c>
      <c r="P112" s="5">
        <v>0</v>
      </c>
      <c r="Q112" s="5">
        <v>24</v>
      </c>
      <c r="R112" s="5">
        <v>0</v>
      </c>
      <c r="S112" s="5">
        <v>0</v>
      </c>
      <c r="T112" s="5" t="s">
        <v>30</v>
      </c>
      <c r="U112" s="5" t="s">
        <v>31</v>
      </c>
      <c r="V112" s="6">
        <v>166945</v>
      </c>
      <c r="W112" s="5" t="s">
        <v>31</v>
      </c>
      <c r="X112" s="8">
        <v>1</v>
      </c>
      <c r="Y112" s="18"/>
      <c r="Z112" s="96"/>
    </row>
    <row r="113" spans="1:26" ht="71.400000000000006" x14ac:dyDescent="0.3">
      <c r="A113" s="3">
        <v>46242</v>
      </c>
      <c r="B113" s="4" t="s">
        <v>25</v>
      </c>
      <c r="C113" s="5" t="s">
        <v>26</v>
      </c>
      <c r="D113" s="5" t="s">
        <v>27</v>
      </c>
      <c r="E113" s="5" t="s">
        <v>34</v>
      </c>
      <c r="F113" s="5" t="s">
        <v>46</v>
      </c>
      <c r="G113" s="5">
        <v>1300</v>
      </c>
      <c r="H113" s="5">
        <v>1040</v>
      </c>
      <c r="I113" s="6">
        <v>2506</v>
      </c>
      <c r="J113" s="6">
        <v>2522</v>
      </c>
      <c r="K113" s="5">
        <v>11825</v>
      </c>
      <c r="L113" s="7">
        <v>492.70833333333331</v>
      </c>
      <c r="M113" s="6">
        <v>16</v>
      </c>
      <c r="N113" s="5">
        <v>8</v>
      </c>
      <c r="O113" s="5">
        <v>0</v>
      </c>
      <c r="P113" s="5">
        <v>0</v>
      </c>
      <c r="Q113" s="5">
        <v>24</v>
      </c>
      <c r="R113" s="5">
        <v>8</v>
      </c>
      <c r="S113" s="5">
        <v>0</v>
      </c>
      <c r="T113" s="5" t="s">
        <v>30</v>
      </c>
      <c r="U113" s="5" t="s">
        <v>31</v>
      </c>
      <c r="V113" s="6">
        <v>104060</v>
      </c>
      <c r="W113" s="5" t="s">
        <v>31</v>
      </c>
      <c r="X113" s="8">
        <v>1</v>
      </c>
      <c r="Y113" s="18" t="s">
        <v>236</v>
      </c>
      <c r="Z113" s="96"/>
    </row>
    <row r="114" spans="1:26" s="31" customFormat="1" x14ac:dyDescent="0.3">
      <c r="A114" s="3">
        <v>46242</v>
      </c>
      <c r="B114" s="4" t="s">
        <v>25</v>
      </c>
      <c r="C114" s="5" t="s">
        <v>26</v>
      </c>
      <c r="D114" s="5" t="s">
        <v>27</v>
      </c>
      <c r="E114" s="5" t="s">
        <v>28</v>
      </c>
      <c r="F114" s="5" t="s">
        <v>47</v>
      </c>
      <c r="G114" s="5">
        <v>1050</v>
      </c>
      <c r="H114" s="5">
        <v>740</v>
      </c>
      <c r="I114" s="6">
        <v>1488</v>
      </c>
      <c r="J114" s="6">
        <v>1512</v>
      </c>
      <c r="K114" s="5">
        <v>14296</v>
      </c>
      <c r="L114" s="7">
        <v>595.66666666666663</v>
      </c>
      <c r="M114" s="6">
        <v>24</v>
      </c>
      <c r="N114" s="5">
        <v>0</v>
      </c>
      <c r="O114" s="5">
        <v>0</v>
      </c>
      <c r="P114" s="5">
        <v>0</v>
      </c>
      <c r="Q114" s="5">
        <v>24</v>
      </c>
      <c r="R114" s="5">
        <v>0</v>
      </c>
      <c r="S114" s="5">
        <v>0</v>
      </c>
      <c r="T114" s="5" t="s">
        <v>30</v>
      </c>
      <c r="U114" s="5" t="s">
        <v>31</v>
      </c>
      <c r="V114" s="19">
        <v>125805</v>
      </c>
      <c r="W114" s="5" t="s">
        <v>31</v>
      </c>
      <c r="X114" s="8">
        <v>1</v>
      </c>
      <c r="Y114" s="18"/>
      <c r="Z114" s="96"/>
    </row>
    <row r="115" spans="1:26" x14ac:dyDescent="0.3">
      <c r="A115" s="3">
        <v>46242</v>
      </c>
      <c r="B115" s="4" t="s">
        <v>25</v>
      </c>
      <c r="C115" s="9" t="s">
        <v>26</v>
      </c>
      <c r="D115" s="9" t="s">
        <v>27</v>
      </c>
      <c r="E115" s="9" t="s">
        <v>37</v>
      </c>
      <c r="F115" s="9" t="s">
        <v>39</v>
      </c>
      <c r="G115" s="9">
        <v>500</v>
      </c>
      <c r="H115" s="9">
        <v>360</v>
      </c>
      <c r="I115" s="9">
        <v>15235</v>
      </c>
      <c r="J115" s="9">
        <v>15235</v>
      </c>
      <c r="K115" s="9">
        <v>0</v>
      </c>
      <c r="L115" s="10">
        <v>0</v>
      </c>
      <c r="M115" s="9">
        <v>0</v>
      </c>
      <c r="N115" s="9">
        <v>24</v>
      </c>
      <c r="O115" s="9">
        <v>0</v>
      </c>
      <c r="P115" s="9">
        <v>0</v>
      </c>
      <c r="Q115" s="9">
        <v>24</v>
      </c>
      <c r="R115" s="9">
        <v>0</v>
      </c>
      <c r="S115" s="9">
        <v>0</v>
      </c>
      <c r="T115" s="9" t="s">
        <v>38</v>
      </c>
      <c r="U115" s="9" t="s">
        <v>31</v>
      </c>
      <c r="V115" s="16">
        <v>0</v>
      </c>
      <c r="W115" s="9" t="s">
        <v>31</v>
      </c>
      <c r="X115" s="11">
        <v>1</v>
      </c>
      <c r="Y115" s="20"/>
      <c r="Z115" s="96"/>
    </row>
    <row r="116" spans="1:26" x14ac:dyDescent="0.3">
      <c r="A116" s="3">
        <v>46242</v>
      </c>
      <c r="B116" s="4" t="s">
        <v>25</v>
      </c>
      <c r="C116" s="9" t="s">
        <v>26</v>
      </c>
      <c r="D116" s="9" t="s">
        <v>27</v>
      </c>
      <c r="E116" s="9" t="s">
        <v>37</v>
      </c>
      <c r="F116" s="9" t="s">
        <v>40</v>
      </c>
      <c r="G116" s="9">
        <v>1000</v>
      </c>
      <c r="H116" s="9">
        <v>800</v>
      </c>
      <c r="I116" s="9">
        <v>3554</v>
      </c>
      <c r="J116" s="9">
        <v>3554</v>
      </c>
      <c r="K116" s="9">
        <v>0</v>
      </c>
      <c r="L116" s="10">
        <v>0</v>
      </c>
      <c r="M116" s="9">
        <v>0</v>
      </c>
      <c r="N116" s="9">
        <v>24</v>
      </c>
      <c r="O116" s="9">
        <v>0</v>
      </c>
      <c r="P116" s="9">
        <v>0</v>
      </c>
      <c r="Q116" s="9">
        <v>24</v>
      </c>
      <c r="R116" s="9">
        <v>0</v>
      </c>
      <c r="S116" s="9">
        <v>0</v>
      </c>
      <c r="T116" s="9" t="s">
        <v>38</v>
      </c>
      <c r="U116" s="9" t="s">
        <v>31</v>
      </c>
      <c r="V116" s="16">
        <v>0</v>
      </c>
      <c r="W116" s="9" t="s">
        <v>31</v>
      </c>
      <c r="X116" s="11">
        <v>1</v>
      </c>
      <c r="Y116" s="20"/>
      <c r="Z116" s="96"/>
    </row>
    <row r="117" spans="1:26" x14ac:dyDescent="0.3">
      <c r="A117" s="3">
        <v>46242</v>
      </c>
      <c r="B117" s="4" t="s">
        <v>25</v>
      </c>
      <c r="C117" s="9" t="s">
        <v>26</v>
      </c>
      <c r="D117" s="9" t="s">
        <v>27</v>
      </c>
      <c r="E117" s="9" t="s">
        <v>37</v>
      </c>
      <c r="F117" s="9" t="s">
        <v>41</v>
      </c>
      <c r="G117" s="9">
        <v>1000</v>
      </c>
      <c r="H117" s="9">
        <v>800</v>
      </c>
      <c r="I117" s="9">
        <v>2428</v>
      </c>
      <c r="J117" s="9">
        <v>2428</v>
      </c>
      <c r="K117" s="9">
        <v>0</v>
      </c>
      <c r="L117" s="10">
        <v>0</v>
      </c>
      <c r="M117" s="9">
        <v>0</v>
      </c>
      <c r="N117" s="9">
        <v>24</v>
      </c>
      <c r="O117" s="9">
        <v>0</v>
      </c>
      <c r="P117" s="9">
        <v>0</v>
      </c>
      <c r="Q117" s="9">
        <v>24</v>
      </c>
      <c r="R117" s="9">
        <v>0</v>
      </c>
      <c r="S117" s="9">
        <v>0</v>
      </c>
      <c r="T117" s="9" t="s">
        <v>38</v>
      </c>
      <c r="U117" s="9" t="s">
        <v>31</v>
      </c>
      <c r="V117" s="16">
        <v>0</v>
      </c>
      <c r="W117" s="9" t="s">
        <v>31</v>
      </c>
      <c r="X117" s="11">
        <v>1</v>
      </c>
      <c r="Y117" s="20"/>
      <c r="Z117" s="96"/>
    </row>
    <row r="118" spans="1:26" x14ac:dyDescent="0.3">
      <c r="A118" s="3">
        <v>46242</v>
      </c>
      <c r="B118" s="4" t="s">
        <v>25</v>
      </c>
      <c r="C118" s="12" t="s">
        <v>42</v>
      </c>
      <c r="D118" s="12" t="s">
        <v>27</v>
      </c>
      <c r="E118" s="12" t="s">
        <v>43</v>
      </c>
      <c r="F118" s="12" t="s">
        <v>44</v>
      </c>
      <c r="G118" s="12">
        <v>600</v>
      </c>
      <c r="H118" s="12">
        <v>350</v>
      </c>
      <c r="I118" s="12">
        <v>6522</v>
      </c>
      <c r="J118" s="12">
        <v>6546</v>
      </c>
      <c r="K118" s="12">
        <v>8910</v>
      </c>
      <c r="L118" s="13">
        <v>371.25</v>
      </c>
      <c r="M118" s="12">
        <v>24</v>
      </c>
      <c r="N118" s="12">
        <v>0</v>
      </c>
      <c r="O118" s="12">
        <v>0</v>
      </c>
      <c r="P118" s="12">
        <v>0</v>
      </c>
      <c r="Q118" s="12">
        <v>24</v>
      </c>
      <c r="R118" s="12">
        <v>0</v>
      </c>
      <c r="S118" s="12">
        <v>0</v>
      </c>
      <c r="T118" s="12" t="s">
        <v>30</v>
      </c>
      <c r="U118" s="12" t="s">
        <v>31</v>
      </c>
      <c r="V118" s="14">
        <v>78408</v>
      </c>
      <c r="W118" s="12" t="s">
        <v>31</v>
      </c>
      <c r="X118" s="15">
        <v>1</v>
      </c>
      <c r="Y118" s="17"/>
      <c r="Z118" s="96"/>
    </row>
    <row r="119" spans="1:26" x14ac:dyDescent="0.3">
      <c r="A119" s="3">
        <v>46242</v>
      </c>
      <c r="B119" s="4" t="s">
        <v>25</v>
      </c>
      <c r="C119" s="12" t="s">
        <v>42</v>
      </c>
      <c r="D119" s="12" t="s">
        <v>27</v>
      </c>
      <c r="E119" s="12" t="s">
        <v>43</v>
      </c>
      <c r="F119" s="12" t="s">
        <v>45</v>
      </c>
      <c r="G119" s="12">
        <v>600</v>
      </c>
      <c r="H119" s="12">
        <v>350</v>
      </c>
      <c r="I119" s="12">
        <v>6452</v>
      </c>
      <c r="J119" s="12">
        <v>6476</v>
      </c>
      <c r="K119" s="12">
        <v>8395</v>
      </c>
      <c r="L119" s="13">
        <v>349.79166666666669</v>
      </c>
      <c r="M119" s="12">
        <v>24</v>
      </c>
      <c r="N119" s="12">
        <v>0</v>
      </c>
      <c r="O119" s="12">
        <v>0</v>
      </c>
      <c r="P119" s="12">
        <v>0</v>
      </c>
      <c r="Q119" s="12">
        <v>24</v>
      </c>
      <c r="R119" s="12">
        <v>0</v>
      </c>
      <c r="S119" s="12">
        <v>0</v>
      </c>
      <c r="T119" s="12" t="s">
        <v>30</v>
      </c>
      <c r="U119" s="12" t="s">
        <v>31</v>
      </c>
      <c r="V119" s="14">
        <v>73876</v>
      </c>
      <c r="W119" s="12" t="s">
        <v>31</v>
      </c>
      <c r="X119" s="15">
        <v>1</v>
      </c>
      <c r="Y119" s="17"/>
      <c r="Z119" s="96"/>
    </row>
    <row r="120" spans="1:26" x14ac:dyDescent="0.3">
      <c r="A120" s="3">
        <v>46242</v>
      </c>
      <c r="B120" s="4" t="s">
        <v>25</v>
      </c>
      <c r="C120" s="12" t="s">
        <v>26</v>
      </c>
      <c r="D120" s="12" t="s">
        <v>27</v>
      </c>
      <c r="E120" s="12" t="s">
        <v>43</v>
      </c>
      <c r="F120" s="12" t="s">
        <v>163</v>
      </c>
      <c r="G120" s="12">
        <v>600</v>
      </c>
      <c r="H120" s="12">
        <v>450</v>
      </c>
      <c r="I120" s="12">
        <v>4435</v>
      </c>
      <c r="J120" s="12">
        <v>4459</v>
      </c>
      <c r="K120" s="12">
        <v>9034</v>
      </c>
      <c r="L120" s="13">
        <v>376.41666666666669</v>
      </c>
      <c r="M120" s="12">
        <v>24</v>
      </c>
      <c r="N120" s="12">
        <v>0</v>
      </c>
      <c r="O120" s="12">
        <v>0</v>
      </c>
      <c r="P120" s="12">
        <v>0</v>
      </c>
      <c r="Q120" s="12">
        <v>24</v>
      </c>
      <c r="R120" s="12">
        <v>0</v>
      </c>
      <c r="S120" s="12">
        <v>0</v>
      </c>
      <c r="T120" s="12" t="s">
        <v>30</v>
      </c>
      <c r="U120" s="12" t="s">
        <v>31</v>
      </c>
      <c r="V120" s="14">
        <v>79499</v>
      </c>
      <c r="W120" s="12" t="s">
        <v>31</v>
      </c>
      <c r="X120" s="15">
        <v>1</v>
      </c>
      <c r="Y120" s="17"/>
      <c r="Z120" s="96"/>
    </row>
    <row r="121" spans="1:26" ht="31.8" x14ac:dyDescent="0.3">
      <c r="A121" s="3">
        <v>46242</v>
      </c>
      <c r="B121" s="4" t="s">
        <v>25</v>
      </c>
      <c r="C121" s="12" t="s">
        <v>26</v>
      </c>
      <c r="D121" s="12" t="s">
        <v>27</v>
      </c>
      <c r="E121" s="12" t="s">
        <v>43</v>
      </c>
      <c r="F121" s="12" t="s">
        <v>164</v>
      </c>
      <c r="G121" s="12">
        <v>600</v>
      </c>
      <c r="H121" s="12">
        <v>450</v>
      </c>
      <c r="I121" s="12">
        <v>637</v>
      </c>
      <c r="J121" s="12">
        <v>658</v>
      </c>
      <c r="K121" s="12">
        <v>7908</v>
      </c>
      <c r="L121" s="13">
        <v>329.5</v>
      </c>
      <c r="M121" s="12">
        <v>21</v>
      </c>
      <c r="N121" s="12">
        <v>3</v>
      </c>
      <c r="O121" s="12">
        <v>0</v>
      </c>
      <c r="P121" s="12">
        <v>0</v>
      </c>
      <c r="Q121" s="12">
        <v>24</v>
      </c>
      <c r="R121" s="12">
        <v>3</v>
      </c>
      <c r="S121" s="12">
        <v>0</v>
      </c>
      <c r="T121" s="12" t="s">
        <v>30</v>
      </c>
      <c r="U121" s="12" t="s">
        <v>31</v>
      </c>
      <c r="V121" s="14">
        <v>69590</v>
      </c>
      <c r="W121" s="12" t="s">
        <v>31</v>
      </c>
      <c r="X121" s="15">
        <v>1</v>
      </c>
      <c r="Y121" s="76" t="s">
        <v>237</v>
      </c>
      <c r="Z121" s="96"/>
    </row>
    <row r="122" spans="1:26" ht="40.799999999999997" x14ac:dyDescent="0.3">
      <c r="A122" s="3">
        <v>46242</v>
      </c>
      <c r="B122" s="4" t="s">
        <v>25</v>
      </c>
      <c r="C122" s="12" t="s">
        <v>26</v>
      </c>
      <c r="D122" s="12" t="s">
        <v>27</v>
      </c>
      <c r="E122" s="12" t="s">
        <v>43</v>
      </c>
      <c r="F122" s="12" t="s">
        <v>165</v>
      </c>
      <c r="G122" s="12">
        <v>600</v>
      </c>
      <c r="H122" s="12">
        <v>450</v>
      </c>
      <c r="I122" s="12">
        <v>666</v>
      </c>
      <c r="J122" s="12">
        <v>679</v>
      </c>
      <c r="K122" s="12">
        <v>4735</v>
      </c>
      <c r="L122" s="13">
        <v>197.29166666666666</v>
      </c>
      <c r="M122" s="12">
        <v>13</v>
      </c>
      <c r="N122" s="12">
        <v>11</v>
      </c>
      <c r="O122" s="12">
        <v>0</v>
      </c>
      <c r="P122" s="12">
        <v>0</v>
      </c>
      <c r="Q122" s="12">
        <v>24</v>
      </c>
      <c r="R122" s="12">
        <v>11</v>
      </c>
      <c r="S122" s="12">
        <v>0</v>
      </c>
      <c r="T122" s="12" t="s">
        <v>30</v>
      </c>
      <c r="U122" s="12" t="s">
        <v>31</v>
      </c>
      <c r="V122" s="14">
        <v>41668</v>
      </c>
      <c r="W122" s="12" t="s">
        <v>31</v>
      </c>
      <c r="X122" s="15">
        <v>1</v>
      </c>
      <c r="Y122" s="17" t="s">
        <v>238</v>
      </c>
      <c r="Z122" s="96"/>
    </row>
    <row r="123" spans="1:26" x14ac:dyDescent="0.3">
      <c r="A123" s="3">
        <v>46243</v>
      </c>
      <c r="B123" s="4" t="s">
        <v>25</v>
      </c>
      <c r="C123" s="5" t="s">
        <v>26</v>
      </c>
      <c r="D123" s="5" t="s">
        <v>27</v>
      </c>
      <c r="E123" s="5" t="s">
        <v>28</v>
      </c>
      <c r="F123" s="5" t="s">
        <v>29</v>
      </c>
      <c r="G123" s="5">
        <v>1050</v>
      </c>
      <c r="H123" s="5">
        <v>700</v>
      </c>
      <c r="I123" s="6">
        <v>16365</v>
      </c>
      <c r="J123" s="6">
        <v>16389</v>
      </c>
      <c r="K123" s="5">
        <v>14946</v>
      </c>
      <c r="L123" s="7">
        <v>622.75</v>
      </c>
      <c r="M123" s="6">
        <v>24</v>
      </c>
      <c r="N123" s="5">
        <v>0</v>
      </c>
      <c r="O123" s="5">
        <v>0</v>
      </c>
      <c r="P123" s="5">
        <v>0</v>
      </c>
      <c r="Q123" s="5">
        <v>24</v>
      </c>
      <c r="R123" s="5">
        <v>0</v>
      </c>
      <c r="S123" s="5">
        <v>0</v>
      </c>
      <c r="T123" s="5" t="s">
        <v>30</v>
      </c>
      <c r="U123" s="5" t="s">
        <v>31</v>
      </c>
      <c r="V123" s="6">
        <v>131525</v>
      </c>
      <c r="W123" s="5" t="s">
        <v>31</v>
      </c>
      <c r="X123" s="8">
        <v>1</v>
      </c>
      <c r="Y123" s="18"/>
      <c r="Z123" s="96"/>
    </row>
    <row r="124" spans="1:26" x14ac:dyDescent="0.3">
      <c r="A124" s="3">
        <v>46243</v>
      </c>
      <c r="B124" s="4" t="s">
        <v>25</v>
      </c>
      <c r="C124" s="5" t="s">
        <v>26</v>
      </c>
      <c r="D124" s="5" t="s">
        <v>27</v>
      </c>
      <c r="E124" s="5" t="s">
        <v>28</v>
      </c>
      <c r="F124" s="5" t="s">
        <v>32</v>
      </c>
      <c r="G124" s="5">
        <v>1050</v>
      </c>
      <c r="H124" s="5">
        <v>700</v>
      </c>
      <c r="I124" s="6">
        <v>14134</v>
      </c>
      <c r="J124" s="6">
        <v>14158</v>
      </c>
      <c r="K124" s="5">
        <v>14943</v>
      </c>
      <c r="L124" s="7">
        <v>622.625</v>
      </c>
      <c r="M124" s="6">
        <v>24</v>
      </c>
      <c r="N124" s="5">
        <v>0</v>
      </c>
      <c r="O124" s="5">
        <v>0</v>
      </c>
      <c r="P124" s="5">
        <v>0</v>
      </c>
      <c r="Q124" s="5">
        <v>24</v>
      </c>
      <c r="R124" s="5">
        <v>0</v>
      </c>
      <c r="S124" s="5">
        <v>0</v>
      </c>
      <c r="T124" s="5" t="s">
        <v>30</v>
      </c>
      <c r="U124" s="5" t="s">
        <v>31</v>
      </c>
      <c r="V124" s="6">
        <v>131498</v>
      </c>
      <c r="W124" s="5" t="s">
        <v>31</v>
      </c>
      <c r="X124" s="8">
        <v>1</v>
      </c>
      <c r="Y124" s="18"/>
      <c r="Z124" s="96"/>
    </row>
    <row r="125" spans="1:26" x14ac:dyDescent="0.3">
      <c r="A125" s="3">
        <v>46243</v>
      </c>
      <c r="B125" s="4" t="s">
        <v>25</v>
      </c>
      <c r="C125" s="5" t="s">
        <v>26</v>
      </c>
      <c r="D125" s="5" t="s">
        <v>27</v>
      </c>
      <c r="E125" s="5" t="s">
        <v>28</v>
      </c>
      <c r="F125" s="5" t="s">
        <v>33</v>
      </c>
      <c r="G125" s="5">
        <v>1050</v>
      </c>
      <c r="H125" s="5">
        <v>700</v>
      </c>
      <c r="I125" s="6">
        <v>12623</v>
      </c>
      <c r="J125" s="6">
        <v>12647</v>
      </c>
      <c r="K125" s="5">
        <v>14945</v>
      </c>
      <c r="L125" s="7">
        <v>622.70833333333337</v>
      </c>
      <c r="M125" s="6">
        <v>24</v>
      </c>
      <c r="N125" s="5">
        <v>0</v>
      </c>
      <c r="O125" s="5">
        <v>0</v>
      </c>
      <c r="P125" s="5">
        <v>0</v>
      </c>
      <c r="Q125" s="5">
        <v>24</v>
      </c>
      <c r="R125" s="5">
        <v>0</v>
      </c>
      <c r="S125" s="5">
        <v>0</v>
      </c>
      <c r="T125" s="5" t="s">
        <v>30</v>
      </c>
      <c r="U125" s="5" t="s">
        <v>31</v>
      </c>
      <c r="V125" s="6">
        <v>131516</v>
      </c>
      <c r="W125" s="5" t="s">
        <v>31</v>
      </c>
      <c r="X125" s="8">
        <v>1</v>
      </c>
      <c r="Y125" s="18"/>
      <c r="Z125" s="96"/>
    </row>
    <row r="126" spans="1:26" x14ac:dyDescent="0.3">
      <c r="A126" s="3">
        <v>46243</v>
      </c>
      <c r="B126" s="4" t="s">
        <v>25</v>
      </c>
      <c r="C126" s="5" t="s">
        <v>26</v>
      </c>
      <c r="D126" s="5" t="s">
        <v>27</v>
      </c>
      <c r="E126" s="5" t="s">
        <v>34</v>
      </c>
      <c r="F126" s="5" t="s">
        <v>35</v>
      </c>
      <c r="G126" s="5">
        <v>1300</v>
      </c>
      <c r="H126" s="5">
        <v>1040</v>
      </c>
      <c r="I126" s="6">
        <v>4083</v>
      </c>
      <c r="J126" s="6">
        <v>4107</v>
      </c>
      <c r="K126" s="5">
        <v>18474</v>
      </c>
      <c r="L126" s="7">
        <v>769.75</v>
      </c>
      <c r="M126" s="6">
        <v>24</v>
      </c>
      <c r="N126" s="5">
        <v>0</v>
      </c>
      <c r="O126" s="5">
        <v>0</v>
      </c>
      <c r="P126" s="5">
        <v>0</v>
      </c>
      <c r="Q126" s="5">
        <v>24</v>
      </c>
      <c r="R126" s="5">
        <v>0</v>
      </c>
      <c r="S126" s="5">
        <v>0</v>
      </c>
      <c r="T126" s="5" t="s">
        <v>30</v>
      </c>
      <c r="U126" s="5" t="s">
        <v>31</v>
      </c>
      <c r="V126" s="6">
        <v>162571</v>
      </c>
      <c r="W126" s="5" t="s">
        <v>31</v>
      </c>
      <c r="X126" s="8">
        <v>1</v>
      </c>
      <c r="Y126" s="18"/>
      <c r="Z126" s="96"/>
    </row>
    <row r="127" spans="1:26" x14ac:dyDescent="0.3">
      <c r="A127" s="3">
        <v>46243</v>
      </c>
      <c r="B127" s="4" t="s">
        <v>25</v>
      </c>
      <c r="C127" s="5" t="s">
        <v>26</v>
      </c>
      <c r="D127" s="5" t="s">
        <v>27</v>
      </c>
      <c r="E127" s="5" t="s">
        <v>34</v>
      </c>
      <c r="F127" s="5" t="s">
        <v>36</v>
      </c>
      <c r="G127" s="5">
        <v>1300</v>
      </c>
      <c r="H127" s="5">
        <v>1040</v>
      </c>
      <c r="I127" s="6">
        <v>4068</v>
      </c>
      <c r="J127" s="6">
        <v>4092</v>
      </c>
      <c r="K127" s="5">
        <v>18506</v>
      </c>
      <c r="L127" s="7">
        <v>771.08333333333337</v>
      </c>
      <c r="M127" s="6">
        <v>24</v>
      </c>
      <c r="N127" s="5">
        <v>0</v>
      </c>
      <c r="O127" s="5">
        <v>0</v>
      </c>
      <c r="P127" s="5">
        <v>0</v>
      </c>
      <c r="Q127" s="5">
        <v>24</v>
      </c>
      <c r="R127" s="5">
        <v>0</v>
      </c>
      <c r="S127" s="5">
        <v>0</v>
      </c>
      <c r="T127" s="5" t="s">
        <v>30</v>
      </c>
      <c r="U127" s="5" t="s">
        <v>31</v>
      </c>
      <c r="V127" s="6">
        <v>162853</v>
      </c>
      <c r="W127" s="5" t="s">
        <v>31</v>
      </c>
      <c r="X127" s="8">
        <v>1</v>
      </c>
      <c r="Y127" s="18"/>
      <c r="Z127" s="96"/>
    </row>
    <row r="128" spans="1:26" ht="102" x14ac:dyDescent="0.3">
      <c r="A128" s="3">
        <v>46243</v>
      </c>
      <c r="B128" s="4" t="s">
        <v>25</v>
      </c>
      <c r="C128" s="5" t="s">
        <v>26</v>
      </c>
      <c r="D128" s="5" t="s">
        <v>27</v>
      </c>
      <c r="E128" s="5" t="s">
        <v>34</v>
      </c>
      <c r="F128" s="5" t="s">
        <v>46</v>
      </c>
      <c r="G128" s="5">
        <v>1300</v>
      </c>
      <c r="H128" s="5">
        <v>1040</v>
      </c>
      <c r="I128" s="6">
        <v>2522</v>
      </c>
      <c r="J128" s="6">
        <v>2538</v>
      </c>
      <c r="K128" s="5">
        <v>9392</v>
      </c>
      <c r="L128" s="7">
        <v>391.33333333333331</v>
      </c>
      <c r="M128" s="6">
        <v>16</v>
      </c>
      <c r="N128" s="5">
        <v>8</v>
      </c>
      <c r="O128" s="5">
        <v>0</v>
      </c>
      <c r="P128" s="5">
        <v>0</v>
      </c>
      <c r="Q128" s="5">
        <v>24</v>
      </c>
      <c r="R128" s="5">
        <v>8</v>
      </c>
      <c r="S128" s="5">
        <v>0</v>
      </c>
      <c r="T128" s="5" t="s">
        <v>30</v>
      </c>
      <c r="U128" s="5" t="s">
        <v>31</v>
      </c>
      <c r="V128" s="6">
        <v>82650</v>
      </c>
      <c r="W128" s="5" t="s">
        <v>31</v>
      </c>
      <c r="X128" s="8">
        <v>1</v>
      </c>
      <c r="Y128" s="18" t="s">
        <v>239</v>
      </c>
      <c r="Z128" s="96"/>
    </row>
    <row r="129" spans="1:26" x14ac:dyDescent="0.3">
      <c r="A129" s="3">
        <v>46243</v>
      </c>
      <c r="B129" s="4" t="s">
        <v>25</v>
      </c>
      <c r="C129" s="5" t="s">
        <v>26</v>
      </c>
      <c r="D129" s="5" t="s">
        <v>27</v>
      </c>
      <c r="E129" s="5" t="s">
        <v>28</v>
      </c>
      <c r="F129" s="5" t="s">
        <v>47</v>
      </c>
      <c r="G129" s="5">
        <v>1050</v>
      </c>
      <c r="H129" s="5">
        <v>740</v>
      </c>
      <c r="I129" s="6">
        <v>1512</v>
      </c>
      <c r="J129" s="6">
        <v>1536</v>
      </c>
      <c r="K129" s="5">
        <v>13427</v>
      </c>
      <c r="L129" s="7">
        <v>559.45833333333337</v>
      </c>
      <c r="M129" s="6">
        <v>24</v>
      </c>
      <c r="N129" s="5">
        <v>0</v>
      </c>
      <c r="O129" s="5">
        <v>0</v>
      </c>
      <c r="P129" s="5">
        <v>0</v>
      </c>
      <c r="Q129" s="5">
        <v>24</v>
      </c>
      <c r="R129" s="5">
        <v>0</v>
      </c>
      <c r="S129" s="5">
        <v>0</v>
      </c>
      <c r="T129" s="5" t="s">
        <v>30</v>
      </c>
      <c r="U129" s="5" t="s">
        <v>31</v>
      </c>
      <c r="V129" s="19">
        <v>118158</v>
      </c>
      <c r="W129" s="5" t="s">
        <v>31</v>
      </c>
      <c r="X129" s="8">
        <v>1</v>
      </c>
      <c r="Y129" s="18"/>
      <c r="Z129" s="96"/>
    </row>
    <row r="130" spans="1:26" x14ac:dyDescent="0.3">
      <c r="A130" s="3">
        <v>46243</v>
      </c>
      <c r="B130" s="4" t="s">
        <v>25</v>
      </c>
      <c r="C130" s="9" t="s">
        <v>26</v>
      </c>
      <c r="D130" s="9" t="s">
        <v>27</v>
      </c>
      <c r="E130" s="9" t="s">
        <v>37</v>
      </c>
      <c r="F130" s="9" t="s">
        <v>39</v>
      </c>
      <c r="G130" s="9">
        <v>500</v>
      </c>
      <c r="H130" s="9">
        <v>360</v>
      </c>
      <c r="I130" s="9">
        <v>15235</v>
      </c>
      <c r="J130" s="9">
        <v>15235</v>
      </c>
      <c r="K130" s="9">
        <v>0</v>
      </c>
      <c r="L130" s="10">
        <v>0</v>
      </c>
      <c r="M130" s="9">
        <v>0</v>
      </c>
      <c r="N130" s="9">
        <v>24</v>
      </c>
      <c r="O130" s="9">
        <v>0</v>
      </c>
      <c r="P130" s="9">
        <v>0</v>
      </c>
      <c r="Q130" s="9">
        <v>24</v>
      </c>
      <c r="R130" s="9">
        <v>0</v>
      </c>
      <c r="S130" s="9">
        <v>0</v>
      </c>
      <c r="T130" s="9" t="s">
        <v>38</v>
      </c>
      <c r="U130" s="9" t="s">
        <v>31</v>
      </c>
      <c r="V130" s="16">
        <v>0</v>
      </c>
      <c r="W130" s="9" t="s">
        <v>31</v>
      </c>
      <c r="X130" s="11">
        <v>1</v>
      </c>
      <c r="Y130" s="20"/>
      <c r="Z130" s="96"/>
    </row>
    <row r="131" spans="1:26" ht="30.6" x14ac:dyDescent="0.3">
      <c r="A131" s="3">
        <v>46243</v>
      </c>
      <c r="B131" s="4" t="s">
        <v>25</v>
      </c>
      <c r="C131" s="9" t="s">
        <v>26</v>
      </c>
      <c r="D131" s="9" t="s">
        <v>27</v>
      </c>
      <c r="E131" s="9" t="s">
        <v>37</v>
      </c>
      <c r="F131" s="9" t="s">
        <v>40</v>
      </c>
      <c r="G131" s="9">
        <v>1000</v>
      </c>
      <c r="H131" s="9">
        <v>800</v>
      </c>
      <c r="I131" s="9">
        <v>3554</v>
      </c>
      <c r="J131" s="9">
        <v>3566</v>
      </c>
      <c r="K131" s="9">
        <v>9476</v>
      </c>
      <c r="L131" s="10">
        <v>394.83333333333331</v>
      </c>
      <c r="M131" s="9">
        <v>12</v>
      </c>
      <c r="N131" s="9">
        <v>12</v>
      </c>
      <c r="O131" s="9">
        <v>0</v>
      </c>
      <c r="P131" s="9">
        <v>0</v>
      </c>
      <c r="Q131" s="9">
        <v>24</v>
      </c>
      <c r="R131" s="9">
        <v>0</v>
      </c>
      <c r="S131" s="9">
        <v>0</v>
      </c>
      <c r="T131" s="9" t="s">
        <v>38</v>
      </c>
      <c r="U131" s="9" t="s">
        <v>31</v>
      </c>
      <c r="V131" s="16">
        <v>663</v>
      </c>
      <c r="W131" s="9" t="s">
        <v>31</v>
      </c>
      <c r="X131" s="11">
        <v>1</v>
      </c>
      <c r="Y131" s="20" t="s">
        <v>240</v>
      </c>
      <c r="Z131" s="96"/>
    </row>
    <row r="132" spans="1:26" ht="51" x14ac:dyDescent="0.3">
      <c r="A132" s="3">
        <v>46243</v>
      </c>
      <c r="B132" s="4" t="s">
        <v>25</v>
      </c>
      <c r="C132" s="9" t="s">
        <v>26</v>
      </c>
      <c r="D132" s="9" t="s">
        <v>27</v>
      </c>
      <c r="E132" s="9" t="s">
        <v>37</v>
      </c>
      <c r="F132" s="9" t="s">
        <v>41</v>
      </c>
      <c r="G132" s="9">
        <v>1000</v>
      </c>
      <c r="H132" s="9">
        <v>800</v>
      </c>
      <c r="I132" s="9">
        <v>2428</v>
      </c>
      <c r="J132" s="9">
        <v>2433</v>
      </c>
      <c r="K132" s="9">
        <v>3728</v>
      </c>
      <c r="L132" s="10">
        <v>155.33333333333334</v>
      </c>
      <c r="M132" s="9">
        <v>5</v>
      </c>
      <c r="N132" s="9">
        <v>19</v>
      </c>
      <c r="O132" s="9">
        <v>0</v>
      </c>
      <c r="P132" s="9">
        <v>0</v>
      </c>
      <c r="Q132" s="9">
        <v>24</v>
      </c>
      <c r="R132" s="9">
        <v>0</v>
      </c>
      <c r="S132" s="9">
        <v>0</v>
      </c>
      <c r="T132" s="9" t="s">
        <v>38</v>
      </c>
      <c r="U132" s="9" t="s">
        <v>31</v>
      </c>
      <c r="V132" s="16">
        <v>261</v>
      </c>
      <c r="W132" s="9" t="s">
        <v>31</v>
      </c>
      <c r="X132" s="11">
        <v>1</v>
      </c>
      <c r="Y132" s="20" t="s">
        <v>241</v>
      </c>
      <c r="Z132" s="96"/>
    </row>
    <row r="133" spans="1:26" x14ac:dyDescent="0.3">
      <c r="A133" s="3">
        <v>46243</v>
      </c>
      <c r="B133" s="4" t="s">
        <v>25</v>
      </c>
      <c r="C133" s="12" t="s">
        <v>42</v>
      </c>
      <c r="D133" s="12" t="s">
        <v>27</v>
      </c>
      <c r="E133" s="12" t="s">
        <v>43</v>
      </c>
      <c r="F133" s="12" t="s">
        <v>44</v>
      </c>
      <c r="G133" s="12">
        <v>600</v>
      </c>
      <c r="H133" s="12">
        <v>350</v>
      </c>
      <c r="I133" s="12">
        <v>6546</v>
      </c>
      <c r="J133" s="12">
        <v>6570</v>
      </c>
      <c r="K133" s="12">
        <v>9546</v>
      </c>
      <c r="L133" s="13">
        <v>397.75</v>
      </c>
      <c r="M133" s="12">
        <v>24</v>
      </c>
      <c r="N133" s="12">
        <v>0</v>
      </c>
      <c r="O133" s="12">
        <v>0</v>
      </c>
      <c r="P133" s="12">
        <v>0</v>
      </c>
      <c r="Q133" s="12">
        <v>24</v>
      </c>
      <c r="R133" s="12">
        <v>0</v>
      </c>
      <c r="S133" s="12">
        <v>0</v>
      </c>
      <c r="T133" s="12" t="s">
        <v>30</v>
      </c>
      <c r="U133" s="12" t="s">
        <v>31</v>
      </c>
      <c r="V133" s="14">
        <v>84005</v>
      </c>
      <c r="W133" s="12" t="s">
        <v>31</v>
      </c>
      <c r="X133" s="15">
        <v>1</v>
      </c>
      <c r="Y133" s="17"/>
      <c r="Z133" s="96"/>
    </row>
    <row r="134" spans="1:26" x14ac:dyDescent="0.3">
      <c r="A134" s="3">
        <v>46243</v>
      </c>
      <c r="B134" s="4" t="s">
        <v>25</v>
      </c>
      <c r="C134" s="12" t="s">
        <v>42</v>
      </c>
      <c r="D134" s="12" t="s">
        <v>27</v>
      </c>
      <c r="E134" s="12" t="s">
        <v>43</v>
      </c>
      <c r="F134" s="12" t="s">
        <v>45</v>
      </c>
      <c r="G134" s="12">
        <v>600</v>
      </c>
      <c r="H134" s="12">
        <v>350</v>
      </c>
      <c r="I134" s="12">
        <v>6476</v>
      </c>
      <c r="J134" s="12">
        <v>6500</v>
      </c>
      <c r="K134" s="12">
        <v>8395</v>
      </c>
      <c r="L134" s="13">
        <v>349.79166666666669</v>
      </c>
      <c r="M134" s="12">
        <v>24</v>
      </c>
      <c r="N134" s="12">
        <v>0</v>
      </c>
      <c r="O134" s="12">
        <v>0</v>
      </c>
      <c r="P134" s="12">
        <v>0</v>
      </c>
      <c r="Q134" s="12">
        <v>24</v>
      </c>
      <c r="R134" s="12">
        <v>0</v>
      </c>
      <c r="S134" s="12">
        <v>0</v>
      </c>
      <c r="T134" s="12" t="s">
        <v>30</v>
      </c>
      <c r="U134" s="12" t="s">
        <v>31</v>
      </c>
      <c r="V134" s="14">
        <v>73876</v>
      </c>
      <c r="W134" s="12" t="s">
        <v>31</v>
      </c>
      <c r="X134" s="15">
        <v>1</v>
      </c>
      <c r="Y134" s="17"/>
      <c r="Z134" s="96"/>
    </row>
    <row r="135" spans="1:26" x14ac:dyDescent="0.3">
      <c r="A135" s="3">
        <v>46243</v>
      </c>
      <c r="B135" s="4" t="s">
        <v>25</v>
      </c>
      <c r="C135" s="12" t="s">
        <v>26</v>
      </c>
      <c r="D135" s="12" t="s">
        <v>27</v>
      </c>
      <c r="E135" s="12" t="s">
        <v>43</v>
      </c>
      <c r="F135" s="12" t="s">
        <v>163</v>
      </c>
      <c r="G135" s="12">
        <v>600</v>
      </c>
      <c r="H135" s="12">
        <v>450</v>
      </c>
      <c r="I135" s="12">
        <v>4459</v>
      </c>
      <c r="J135" s="12">
        <v>4483</v>
      </c>
      <c r="K135" s="12">
        <v>8772</v>
      </c>
      <c r="L135" s="13">
        <v>365.5</v>
      </c>
      <c r="M135" s="12">
        <v>24</v>
      </c>
      <c r="N135" s="12">
        <v>0</v>
      </c>
      <c r="O135" s="12">
        <v>0</v>
      </c>
      <c r="P135" s="12">
        <v>0</v>
      </c>
      <c r="Q135" s="12">
        <v>24</v>
      </c>
      <c r="R135" s="12">
        <v>0</v>
      </c>
      <c r="S135" s="12">
        <v>0</v>
      </c>
      <c r="T135" s="12" t="s">
        <v>30</v>
      </c>
      <c r="U135" s="12" t="s">
        <v>31</v>
      </c>
      <c r="V135" s="14">
        <v>77194</v>
      </c>
      <c r="W135" s="12" t="s">
        <v>31</v>
      </c>
      <c r="X135" s="15">
        <v>1</v>
      </c>
      <c r="Y135" s="17"/>
      <c r="Z135" s="96"/>
    </row>
    <row r="136" spans="1:26" x14ac:dyDescent="0.3">
      <c r="A136" s="3">
        <v>46243</v>
      </c>
      <c r="B136" s="4" t="s">
        <v>25</v>
      </c>
      <c r="C136" s="12" t="s">
        <v>26</v>
      </c>
      <c r="D136" s="12" t="s">
        <v>27</v>
      </c>
      <c r="E136" s="12" t="s">
        <v>43</v>
      </c>
      <c r="F136" s="12" t="s">
        <v>164</v>
      </c>
      <c r="G136" s="12">
        <v>600</v>
      </c>
      <c r="H136" s="12">
        <v>450</v>
      </c>
      <c r="I136" s="12">
        <v>658</v>
      </c>
      <c r="J136" s="12">
        <v>682</v>
      </c>
      <c r="K136" s="12">
        <v>8771</v>
      </c>
      <c r="L136" s="13">
        <v>365.45833333333331</v>
      </c>
      <c r="M136" s="12">
        <v>24</v>
      </c>
      <c r="N136" s="12">
        <v>0</v>
      </c>
      <c r="O136" s="12">
        <v>0</v>
      </c>
      <c r="P136" s="12">
        <v>0</v>
      </c>
      <c r="Q136" s="12">
        <v>24</v>
      </c>
      <c r="R136" s="12">
        <v>0</v>
      </c>
      <c r="S136" s="12">
        <v>0</v>
      </c>
      <c r="T136" s="12" t="s">
        <v>30</v>
      </c>
      <c r="U136" s="12" t="s">
        <v>31</v>
      </c>
      <c r="V136" s="14">
        <v>77185</v>
      </c>
      <c r="W136" s="12" t="s">
        <v>31</v>
      </c>
      <c r="X136" s="15">
        <v>1</v>
      </c>
      <c r="Y136" s="76"/>
      <c r="Z136" s="96"/>
    </row>
    <row r="137" spans="1:26" x14ac:dyDescent="0.3">
      <c r="A137" s="3">
        <v>46243</v>
      </c>
      <c r="B137" s="4" t="s">
        <v>25</v>
      </c>
      <c r="C137" s="12" t="s">
        <v>26</v>
      </c>
      <c r="D137" s="12" t="s">
        <v>27</v>
      </c>
      <c r="E137" s="12" t="s">
        <v>43</v>
      </c>
      <c r="F137" s="12" t="s">
        <v>165</v>
      </c>
      <c r="G137" s="12">
        <v>600</v>
      </c>
      <c r="H137" s="12">
        <v>450</v>
      </c>
      <c r="I137" s="12">
        <v>679</v>
      </c>
      <c r="J137" s="12">
        <v>703</v>
      </c>
      <c r="K137" s="12">
        <v>8601</v>
      </c>
      <c r="L137" s="13">
        <v>358.375</v>
      </c>
      <c r="M137" s="12">
        <v>24</v>
      </c>
      <c r="N137" s="12">
        <v>0</v>
      </c>
      <c r="O137" s="12">
        <v>0</v>
      </c>
      <c r="P137" s="12">
        <v>0</v>
      </c>
      <c r="Q137" s="12">
        <v>24</v>
      </c>
      <c r="R137" s="12">
        <v>0</v>
      </c>
      <c r="S137" s="12">
        <v>0</v>
      </c>
      <c r="T137" s="12" t="s">
        <v>30</v>
      </c>
      <c r="U137" s="12" t="s">
        <v>31</v>
      </c>
      <c r="V137" s="14">
        <v>75689</v>
      </c>
      <c r="W137" s="12" t="s">
        <v>31</v>
      </c>
      <c r="X137" s="15">
        <v>1</v>
      </c>
      <c r="Y137" s="17"/>
      <c r="Z137" s="96"/>
    </row>
    <row r="138" spans="1:26" ht="20.399999999999999" x14ac:dyDescent="0.3">
      <c r="A138" s="3">
        <v>46244</v>
      </c>
      <c r="B138" s="4" t="s">
        <v>25</v>
      </c>
      <c r="C138" s="5" t="s">
        <v>26</v>
      </c>
      <c r="D138" s="5" t="s">
        <v>27</v>
      </c>
      <c r="E138" s="5" t="s">
        <v>28</v>
      </c>
      <c r="F138" s="5" t="s">
        <v>29</v>
      </c>
      <c r="G138" s="5">
        <v>1050</v>
      </c>
      <c r="H138" s="5">
        <v>700</v>
      </c>
      <c r="I138" s="6">
        <v>16389</v>
      </c>
      <c r="J138" s="6">
        <v>16402</v>
      </c>
      <c r="K138" s="5">
        <v>8575</v>
      </c>
      <c r="L138" s="7">
        <v>357.29166666666669</v>
      </c>
      <c r="M138" s="6">
        <v>13</v>
      </c>
      <c r="N138" s="5">
        <v>11</v>
      </c>
      <c r="O138" s="5">
        <v>0</v>
      </c>
      <c r="P138" s="5">
        <v>0</v>
      </c>
      <c r="Q138" s="5">
        <v>24</v>
      </c>
      <c r="R138" s="5">
        <v>11</v>
      </c>
      <c r="S138" s="5">
        <v>0</v>
      </c>
      <c r="T138" s="5" t="s">
        <v>30</v>
      </c>
      <c r="U138" s="5" t="s">
        <v>31</v>
      </c>
      <c r="V138" s="6">
        <v>75460</v>
      </c>
      <c r="W138" s="5" t="s">
        <v>31</v>
      </c>
      <c r="X138" s="8">
        <v>1</v>
      </c>
      <c r="Y138" s="18" t="s">
        <v>242</v>
      </c>
      <c r="Z138" s="96"/>
    </row>
    <row r="139" spans="1:26" ht="20.399999999999999" x14ac:dyDescent="0.3">
      <c r="A139" s="3">
        <v>46244</v>
      </c>
      <c r="B139" s="4" t="s">
        <v>25</v>
      </c>
      <c r="C139" s="5" t="s">
        <v>26</v>
      </c>
      <c r="D139" s="5" t="s">
        <v>27</v>
      </c>
      <c r="E139" s="5" t="s">
        <v>28</v>
      </c>
      <c r="F139" s="5" t="s">
        <v>32</v>
      </c>
      <c r="G139" s="5">
        <v>1050</v>
      </c>
      <c r="H139" s="5">
        <v>700</v>
      </c>
      <c r="I139" s="6">
        <v>14158</v>
      </c>
      <c r="J139" s="6">
        <v>14172</v>
      </c>
      <c r="K139" s="5">
        <v>8740</v>
      </c>
      <c r="L139" s="7">
        <v>364.16666666666669</v>
      </c>
      <c r="M139" s="6">
        <v>14</v>
      </c>
      <c r="N139" s="5">
        <v>10</v>
      </c>
      <c r="O139" s="5">
        <v>0</v>
      </c>
      <c r="P139" s="5">
        <v>0</v>
      </c>
      <c r="Q139" s="5">
        <v>24</v>
      </c>
      <c r="R139" s="5">
        <v>10</v>
      </c>
      <c r="S139" s="5">
        <v>0</v>
      </c>
      <c r="T139" s="5" t="s">
        <v>30</v>
      </c>
      <c r="U139" s="5" t="s">
        <v>31</v>
      </c>
      <c r="V139" s="6">
        <v>76912</v>
      </c>
      <c r="W139" s="5" t="s">
        <v>31</v>
      </c>
      <c r="X139" s="8">
        <v>1</v>
      </c>
      <c r="Y139" s="18" t="s">
        <v>243</v>
      </c>
      <c r="Z139" s="96"/>
    </row>
    <row r="140" spans="1:26" ht="20.399999999999999" x14ac:dyDescent="0.3">
      <c r="A140" s="3">
        <v>46244</v>
      </c>
      <c r="B140" s="4" t="s">
        <v>25</v>
      </c>
      <c r="C140" s="5" t="s">
        <v>26</v>
      </c>
      <c r="D140" s="5" t="s">
        <v>27</v>
      </c>
      <c r="E140" s="5" t="s">
        <v>28</v>
      </c>
      <c r="F140" s="5" t="s">
        <v>33</v>
      </c>
      <c r="G140" s="5">
        <v>1050</v>
      </c>
      <c r="H140" s="5">
        <v>700</v>
      </c>
      <c r="I140" s="6">
        <v>12647</v>
      </c>
      <c r="J140" s="6">
        <v>12660</v>
      </c>
      <c r="K140" s="5">
        <v>8526</v>
      </c>
      <c r="L140" s="7">
        <v>355.25</v>
      </c>
      <c r="M140" s="6">
        <v>13</v>
      </c>
      <c r="N140" s="5">
        <v>11</v>
      </c>
      <c r="O140" s="5">
        <v>0</v>
      </c>
      <c r="P140" s="5">
        <v>0</v>
      </c>
      <c r="Q140" s="5">
        <v>24</v>
      </c>
      <c r="R140" s="5">
        <v>11</v>
      </c>
      <c r="S140" s="5">
        <v>0</v>
      </c>
      <c r="T140" s="5" t="s">
        <v>30</v>
      </c>
      <c r="U140" s="5" t="s">
        <v>31</v>
      </c>
      <c r="V140" s="6">
        <v>75029</v>
      </c>
      <c r="W140" s="5" t="s">
        <v>31</v>
      </c>
      <c r="X140" s="8">
        <v>1</v>
      </c>
      <c r="Y140" s="18" t="s">
        <v>244</v>
      </c>
      <c r="Z140" s="96"/>
    </row>
    <row r="141" spans="1:26" x14ac:dyDescent="0.3">
      <c r="A141" s="3">
        <v>46244</v>
      </c>
      <c r="B141" s="4" t="s">
        <v>25</v>
      </c>
      <c r="C141" s="5" t="s">
        <v>26</v>
      </c>
      <c r="D141" s="5" t="s">
        <v>27</v>
      </c>
      <c r="E141" s="5" t="s">
        <v>34</v>
      </c>
      <c r="F141" s="5" t="s">
        <v>35</v>
      </c>
      <c r="G141" s="5">
        <v>1300</v>
      </c>
      <c r="H141" s="5">
        <v>1040</v>
      </c>
      <c r="I141" s="6">
        <v>4107</v>
      </c>
      <c r="J141" s="6">
        <v>4131</v>
      </c>
      <c r="K141" s="5">
        <v>18261</v>
      </c>
      <c r="L141" s="7">
        <v>760.875</v>
      </c>
      <c r="M141" s="6">
        <v>24</v>
      </c>
      <c r="N141" s="5">
        <v>0</v>
      </c>
      <c r="O141" s="5">
        <v>0</v>
      </c>
      <c r="P141" s="5">
        <v>0</v>
      </c>
      <c r="Q141" s="5">
        <v>24</v>
      </c>
      <c r="R141" s="5">
        <v>0</v>
      </c>
      <c r="S141" s="5">
        <v>0</v>
      </c>
      <c r="T141" s="5" t="s">
        <v>30</v>
      </c>
      <c r="U141" s="5" t="s">
        <v>31</v>
      </c>
      <c r="V141" s="6">
        <v>160697</v>
      </c>
      <c r="W141" s="5" t="s">
        <v>31</v>
      </c>
      <c r="X141" s="8">
        <v>1</v>
      </c>
      <c r="Y141" s="18"/>
      <c r="Z141" s="96"/>
    </row>
    <row r="142" spans="1:26" ht="20.399999999999999" x14ac:dyDescent="0.3">
      <c r="A142" s="3">
        <v>46244</v>
      </c>
      <c r="B142" s="4" t="s">
        <v>25</v>
      </c>
      <c r="C142" s="5" t="s">
        <v>26</v>
      </c>
      <c r="D142" s="5" t="s">
        <v>27</v>
      </c>
      <c r="E142" s="5" t="s">
        <v>34</v>
      </c>
      <c r="F142" s="5" t="s">
        <v>36</v>
      </c>
      <c r="G142" s="5">
        <v>1300</v>
      </c>
      <c r="H142" s="5">
        <v>1040</v>
      </c>
      <c r="I142" s="6">
        <v>4092</v>
      </c>
      <c r="J142" s="6">
        <v>4114</v>
      </c>
      <c r="K142" s="5">
        <v>16840</v>
      </c>
      <c r="L142" s="7">
        <v>701.66666666666663</v>
      </c>
      <c r="M142" s="6">
        <v>22</v>
      </c>
      <c r="N142" s="5">
        <v>2</v>
      </c>
      <c r="O142" s="5">
        <v>0</v>
      </c>
      <c r="P142" s="5">
        <v>0</v>
      </c>
      <c r="Q142" s="5">
        <v>24</v>
      </c>
      <c r="R142" s="5">
        <v>2</v>
      </c>
      <c r="S142" s="5">
        <v>0</v>
      </c>
      <c r="T142" s="5" t="s">
        <v>30</v>
      </c>
      <c r="U142" s="5" t="s">
        <v>31</v>
      </c>
      <c r="V142" s="6">
        <v>148192</v>
      </c>
      <c r="W142" s="5" t="s">
        <v>31</v>
      </c>
      <c r="X142" s="8">
        <v>1</v>
      </c>
      <c r="Y142" s="18" t="s">
        <v>245</v>
      </c>
      <c r="Z142" s="96"/>
    </row>
    <row r="143" spans="1:26" ht="40.799999999999997" x14ac:dyDescent="0.3">
      <c r="A143" s="3">
        <v>46244</v>
      </c>
      <c r="B143" s="4" t="s">
        <v>25</v>
      </c>
      <c r="C143" s="5" t="s">
        <v>26</v>
      </c>
      <c r="D143" s="5" t="s">
        <v>27</v>
      </c>
      <c r="E143" s="5" t="s">
        <v>34</v>
      </c>
      <c r="F143" s="5" t="s">
        <v>46</v>
      </c>
      <c r="G143" s="5">
        <v>1300</v>
      </c>
      <c r="H143" s="5">
        <v>1040</v>
      </c>
      <c r="I143" s="6">
        <v>2538</v>
      </c>
      <c r="J143" s="6">
        <v>2554</v>
      </c>
      <c r="K143" s="5">
        <v>11723</v>
      </c>
      <c r="L143" s="7">
        <v>488.45833333333331</v>
      </c>
      <c r="M143" s="6">
        <v>16</v>
      </c>
      <c r="N143" s="5">
        <v>8</v>
      </c>
      <c r="O143" s="5">
        <v>0</v>
      </c>
      <c r="P143" s="5">
        <v>0</v>
      </c>
      <c r="Q143" s="5">
        <v>24</v>
      </c>
      <c r="R143" s="5">
        <v>8</v>
      </c>
      <c r="S143" s="5">
        <v>0</v>
      </c>
      <c r="T143" s="5" t="s">
        <v>30</v>
      </c>
      <c r="U143" s="5" t="s">
        <v>31</v>
      </c>
      <c r="V143" s="6">
        <v>103162</v>
      </c>
      <c r="W143" s="5" t="s">
        <v>31</v>
      </c>
      <c r="X143" s="8">
        <v>1</v>
      </c>
      <c r="Y143" s="18" t="s">
        <v>246</v>
      </c>
      <c r="Z143" s="96"/>
    </row>
    <row r="144" spans="1:26" ht="20.399999999999999" x14ac:dyDescent="0.3">
      <c r="A144" s="3">
        <v>46244</v>
      </c>
      <c r="B144" s="4" t="s">
        <v>25</v>
      </c>
      <c r="C144" s="5" t="s">
        <v>26</v>
      </c>
      <c r="D144" s="5" t="s">
        <v>27</v>
      </c>
      <c r="E144" s="5" t="s">
        <v>28</v>
      </c>
      <c r="F144" s="5" t="s">
        <v>47</v>
      </c>
      <c r="G144" s="5">
        <v>1050</v>
      </c>
      <c r="H144" s="5">
        <v>740</v>
      </c>
      <c r="I144" s="6">
        <v>1536</v>
      </c>
      <c r="J144" s="6">
        <v>1550</v>
      </c>
      <c r="K144" s="5">
        <v>8318</v>
      </c>
      <c r="L144" s="7">
        <v>346.58333333333331</v>
      </c>
      <c r="M144" s="6">
        <v>14</v>
      </c>
      <c r="N144" s="5">
        <v>10</v>
      </c>
      <c r="O144" s="5">
        <v>0</v>
      </c>
      <c r="P144" s="5">
        <v>0</v>
      </c>
      <c r="Q144" s="5">
        <v>24</v>
      </c>
      <c r="R144" s="5">
        <v>10</v>
      </c>
      <c r="S144" s="5">
        <v>0</v>
      </c>
      <c r="T144" s="5" t="s">
        <v>30</v>
      </c>
      <c r="U144" s="5" t="s">
        <v>31</v>
      </c>
      <c r="V144" s="19">
        <v>73198</v>
      </c>
      <c r="W144" s="5" t="s">
        <v>31</v>
      </c>
      <c r="X144" s="8">
        <v>1</v>
      </c>
      <c r="Y144" s="18" t="s">
        <v>247</v>
      </c>
      <c r="Z144" s="96"/>
    </row>
    <row r="145" spans="1:26" x14ac:dyDescent="0.3">
      <c r="A145" s="3">
        <v>46244</v>
      </c>
      <c r="B145" s="4" t="s">
        <v>25</v>
      </c>
      <c r="C145" s="9" t="s">
        <v>26</v>
      </c>
      <c r="D145" s="9" t="s">
        <v>27</v>
      </c>
      <c r="E145" s="9" t="s">
        <v>37</v>
      </c>
      <c r="F145" s="9" t="s">
        <v>39</v>
      </c>
      <c r="G145" s="9">
        <v>500</v>
      </c>
      <c r="H145" s="9">
        <v>360</v>
      </c>
      <c r="I145" s="9">
        <v>15235</v>
      </c>
      <c r="J145" s="9">
        <v>15235</v>
      </c>
      <c r="K145" s="9">
        <v>0</v>
      </c>
      <c r="L145" s="10">
        <v>0</v>
      </c>
      <c r="M145" s="9">
        <v>0</v>
      </c>
      <c r="N145" s="9">
        <v>24</v>
      </c>
      <c r="O145" s="9">
        <v>0</v>
      </c>
      <c r="P145" s="9">
        <v>0</v>
      </c>
      <c r="Q145" s="9">
        <v>24</v>
      </c>
      <c r="R145" s="9">
        <v>0</v>
      </c>
      <c r="S145" s="9">
        <v>0</v>
      </c>
      <c r="T145" s="9" t="s">
        <v>38</v>
      </c>
      <c r="U145" s="9" t="s">
        <v>31</v>
      </c>
      <c r="V145" s="16">
        <v>0</v>
      </c>
      <c r="W145" s="9" t="s">
        <v>31</v>
      </c>
      <c r="X145" s="11">
        <v>1</v>
      </c>
      <c r="Y145" s="20"/>
      <c r="Z145" s="96"/>
    </row>
    <row r="146" spans="1:26" ht="40.799999999999997" x14ac:dyDescent="0.3">
      <c r="A146" s="3">
        <v>46244</v>
      </c>
      <c r="B146" s="4" t="s">
        <v>25</v>
      </c>
      <c r="C146" s="9" t="s">
        <v>26</v>
      </c>
      <c r="D146" s="9" t="s">
        <v>27</v>
      </c>
      <c r="E146" s="9" t="s">
        <v>37</v>
      </c>
      <c r="F146" s="9" t="s">
        <v>40</v>
      </c>
      <c r="G146" s="9">
        <v>1000</v>
      </c>
      <c r="H146" s="9">
        <v>800</v>
      </c>
      <c r="I146" s="9">
        <v>3566</v>
      </c>
      <c r="J146" s="9">
        <v>3569</v>
      </c>
      <c r="K146" s="9">
        <v>2433</v>
      </c>
      <c r="L146" s="10">
        <v>101.375</v>
      </c>
      <c r="M146" s="9">
        <v>3</v>
      </c>
      <c r="N146" s="9">
        <v>21</v>
      </c>
      <c r="O146" s="9">
        <v>0</v>
      </c>
      <c r="P146" s="9">
        <v>0</v>
      </c>
      <c r="Q146" s="9">
        <v>24</v>
      </c>
      <c r="R146" s="9">
        <v>0</v>
      </c>
      <c r="S146" s="9">
        <v>0</v>
      </c>
      <c r="T146" s="9" t="s">
        <v>38</v>
      </c>
      <c r="U146" s="9" t="s">
        <v>31</v>
      </c>
      <c r="V146" s="16">
        <v>170</v>
      </c>
      <c r="W146" s="9" t="s">
        <v>31</v>
      </c>
      <c r="X146" s="11">
        <v>1</v>
      </c>
      <c r="Y146" s="20" t="s">
        <v>248</v>
      </c>
      <c r="Z146" s="96"/>
    </row>
    <row r="147" spans="1:26" x14ac:dyDescent="0.3">
      <c r="A147" s="3">
        <v>46244</v>
      </c>
      <c r="B147" s="4" t="s">
        <v>25</v>
      </c>
      <c r="C147" s="9" t="s">
        <v>26</v>
      </c>
      <c r="D147" s="9" t="s">
        <v>27</v>
      </c>
      <c r="E147" s="9" t="s">
        <v>37</v>
      </c>
      <c r="F147" s="9" t="s">
        <v>41</v>
      </c>
      <c r="G147" s="9">
        <v>1000</v>
      </c>
      <c r="H147" s="9">
        <v>800</v>
      </c>
      <c r="I147" s="9">
        <v>2433</v>
      </c>
      <c r="J147" s="9">
        <v>2433</v>
      </c>
      <c r="K147" s="9">
        <v>0</v>
      </c>
      <c r="L147" s="10">
        <v>0</v>
      </c>
      <c r="M147" s="9">
        <v>0</v>
      </c>
      <c r="N147" s="9">
        <v>24</v>
      </c>
      <c r="O147" s="9">
        <v>0</v>
      </c>
      <c r="P147" s="9">
        <v>0</v>
      </c>
      <c r="Q147" s="9">
        <v>24</v>
      </c>
      <c r="R147" s="9">
        <v>0</v>
      </c>
      <c r="S147" s="9">
        <v>0</v>
      </c>
      <c r="T147" s="9" t="s">
        <v>38</v>
      </c>
      <c r="U147" s="9" t="s">
        <v>31</v>
      </c>
      <c r="V147" s="16">
        <v>0</v>
      </c>
      <c r="W147" s="9" t="s">
        <v>31</v>
      </c>
      <c r="X147" s="11">
        <v>1</v>
      </c>
      <c r="Y147" s="20"/>
      <c r="Z147" s="96"/>
    </row>
    <row r="148" spans="1:26" x14ac:dyDescent="0.3">
      <c r="A148" s="3">
        <v>46244</v>
      </c>
      <c r="B148" s="4" t="s">
        <v>25</v>
      </c>
      <c r="C148" s="12" t="s">
        <v>42</v>
      </c>
      <c r="D148" s="12" t="s">
        <v>27</v>
      </c>
      <c r="E148" s="12" t="s">
        <v>43</v>
      </c>
      <c r="F148" s="12" t="s">
        <v>44</v>
      </c>
      <c r="G148" s="12">
        <v>600</v>
      </c>
      <c r="H148" s="12">
        <v>350</v>
      </c>
      <c r="I148" s="12">
        <v>6570</v>
      </c>
      <c r="J148" s="12">
        <v>6594</v>
      </c>
      <c r="K148" s="12">
        <v>8399</v>
      </c>
      <c r="L148" s="13">
        <v>349.95833333333331</v>
      </c>
      <c r="M148" s="12">
        <v>24</v>
      </c>
      <c r="N148" s="12">
        <v>0</v>
      </c>
      <c r="O148" s="12">
        <v>0</v>
      </c>
      <c r="P148" s="12">
        <v>0</v>
      </c>
      <c r="Q148" s="12">
        <v>24</v>
      </c>
      <c r="R148" s="12">
        <v>0</v>
      </c>
      <c r="S148" s="12">
        <v>0</v>
      </c>
      <c r="T148" s="12" t="s">
        <v>30</v>
      </c>
      <c r="U148" s="12" t="s">
        <v>31</v>
      </c>
      <c r="V148" s="14">
        <v>73911</v>
      </c>
      <c r="W148" s="12" t="s">
        <v>31</v>
      </c>
      <c r="X148" s="15">
        <v>1</v>
      </c>
      <c r="Y148" s="17"/>
      <c r="Z148" s="96"/>
    </row>
    <row r="149" spans="1:26" ht="20.399999999999999" x14ac:dyDescent="0.3">
      <c r="A149" s="3">
        <v>46244</v>
      </c>
      <c r="B149" s="4" t="s">
        <v>25</v>
      </c>
      <c r="C149" s="12" t="s">
        <v>42</v>
      </c>
      <c r="D149" s="12" t="s">
        <v>27</v>
      </c>
      <c r="E149" s="12" t="s">
        <v>43</v>
      </c>
      <c r="F149" s="12" t="s">
        <v>45</v>
      </c>
      <c r="G149" s="12">
        <v>600</v>
      </c>
      <c r="H149" s="12">
        <v>350</v>
      </c>
      <c r="I149" s="12">
        <v>6500</v>
      </c>
      <c r="J149" s="12">
        <v>6517</v>
      </c>
      <c r="K149" s="12">
        <v>5810</v>
      </c>
      <c r="L149" s="13">
        <v>242.08333333333334</v>
      </c>
      <c r="M149" s="12">
        <v>17</v>
      </c>
      <c r="N149" s="12">
        <v>0</v>
      </c>
      <c r="O149" s="12">
        <v>7</v>
      </c>
      <c r="P149" s="12">
        <v>0</v>
      </c>
      <c r="Q149" s="12">
        <v>24</v>
      </c>
      <c r="R149" s="12">
        <v>0</v>
      </c>
      <c r="S149" s="12">
        <v>0</v>
      </c>
      <c r="T149" s="12" t="s">
        <v>30</v>
      </c>
      <c r="U149" s="12" t="s">
        <v>31</v>
      </c>
      <c r="V149" s="14">
        <v>51128</v>
      </c>
      <c r="W149" s="12" t="s">
        <v>31</v>
      </c>
      <c r="X149" s="15">
        <v>1</v>
      </c>
      <c r="Y149" s="17" t="s">
        <v>249</v>
      </c>
      <c r="Z149" s="96"/>
    </row>
    <row r="150" spans="1:26" x14ac:dyDescent="0.3">
      <c r="A150" s="3">
        <v>46244</v>
      </c>
      <c r="B150" s="4" t="s">
        <v>25</v>
      </c>
      <c r="C150" s="12" t="s">
        <v>26</v>
      </c>
      <c r="D150" s="12" t="s">
        <v>27</v>
      </c>
      <c r="E150" s="12" t="s">
        <v>43</v>
      </c>
      <c r="F150" s="12" t="s">
        <v>163</v>
      </c>
      <c r="G150" s="12">
        <v>600</v>
      </c>
      <c r="H150" s="12">
        <v>450</v>
      </c>
      <c r="I150" s="12">
        <v>4483</v>
      </c>
      <c r="J150" s="12">
        <v>4507</v>
      </c>
      <c r="K150" s="12">
        <v>9219</v>
      </c>
      <c r="L150" s="13">
        <v>384.125</v>
      </c>
      <c r="M150" s="12">
        <v>24</v>
      </c>
      <c r="N150" s="12">
        <v>0</v>
      </c>
      <c r="O150" s="12">
        <v>0</v>
      </c>
      <c r="P150" s="12">
        <v>0</v>
      </c>
      <c r="Q150" s="12">
        <v>24</v>
      </c>
      <c r="R150" s="12">
        <v>0</v>
      </c>
      <c r="S150" s="12">
        <v>0</v>
      </c>
      <c r="T150" s="12" t="s">
        <v>30</v>
      </c>
      <c r="U150" s="12" t="s">
        <v>31</v>
      </c>
      <c r="V150" s="14">
        <v>81127</v>
      </c>
      <c r="W150" s="12" t="s">
        <v>31</v>
      </c>
      <c r="X150" s="15">
        <v>1</v>
      </c>
      <c r="Y150" s="17"/>
      <c r="Z150" s="96"/>
    </row>
    <row r="151" spans="1:26" ht="42" x14ac:dyDescent="0.3">
      <c r="A151" s="3">
        <v>46244</v>
      </c>
      <c r="B151" s="4" t="s">
        <v>25</v>
      </c>
      <c r="C151" s="12" t="s">
        <v>26</v>
      </c>
      <c r="D151" s="12" t="s">
        <v>27</v>
      </c>
      <c r="E151" s="12" t="s">
        <v>43</v>
      </c>
      <c r="F151" s="12" t="s">
        <v>164</v>
      </c>
      <c r="G151" s="12">
        <v>600</v>
      </c>
      <c r="H151" s="12">
        <v>450</v>
      </c>
      <c r="I151" s="12">
        <v>682</v>
      </c>
      <c r="J151" s="12">
        <v>705</v>
      </c>
      <c r="K151" s="12">
        <v>8250</v>
      </c>
      <c r="L151" s="13">
        <v>343.75</v>
      </c>
      <c r="M151" s="12">
        <v>23</v>
      </c>
      <c r="N151" s="12">
        <v>1</v>
      </c>
      <c r="O151" s="12">
        <v>0</v>
      </c>
      <c r="P151" s="12">
        <v>0</v>
      </c>
      <c r="Q151" s="12">
        <v>24</v>
      </c>
      <c r="R151" s="12">
        <v>1</v>
      </c>
      <c r="S151" s="12">
        <v>0</v>
      </c>
      <c r="T151" s="12" t="s">
        <v>30</v>
      </c>
      <c r="U151" s="12" t="s">
        <v>31</v>
      </c>
      <c r="V151" s="14">
        <v>72600</v>
      </c>
      <c r="W151" s="12" t="s">
        <v>31</v>
      </c>
      <c r="X151" s="15">
        <v>1</v>
      </c>
      <c r="Y151" s="76" t="s">
        <v>250</v>
      </c>
      <c r="Z151" s="96"/>
    </row>
    <row r="152" spans="1:26" ht="30.6" x14ac:dyDescent="0.3">
      <c r="A152" s="3">
        <v>46244</v>
      </c>
      <c r="B152" s="4" t="s">
        <v>25</v>
      </c>
      <c r="C152" s="12" t="s">
        <v>26</v>
      </c>
      <c r="D152" s="12" t="s">
        <v>27</v>
      </c>
      <c r="E152" s="12" t="s">
        <v>43</v>
      </c>
      <c r="F152" s="12" t="s">
        <v>165</v>
      </c>
      <c r="G152" s="12">
        <v>600</v>
      </c>
      <c r="H152" s="12">
        <v>450</v>
      </c>
      <c r="I152" s="12">
        <v>703</v>
      </c>
      <c r="J152" s="12">
        <v>725</v>
      </c>
      <c r="K152" s="12">
        <v>8122</v>
      </c>
      <c r="L152" s="13">
        <v>338.41666666666669</v>
      </c>
      <c r="M152" s="12">
        <v>22</v>
      </c>
      <c r="N152" s="12">
        <v>2</v>
      </c>
      <c r="O152" s="12">
        <v>0</v>
      </c>
      <c r="P152" s="12">
        <v>0</v>
      </c>
      <c r="Q152" s="12">
        <v>24</v>
      </c>
      <c r="R152" s="12">
        <v>2</v>
      </c>
      <c r="S152" s="12">
        <v>0</v>
      </c>
      <c r="T152" s="12" t="s">
        <v>30</v>
      </c>
      <c r="U152" s="12" t="s">
        <v>31</v>
      </c>
      <c r="V152" s="14">
        <v>71474</v>
      </c>
      <c r="W152" s="12" t="s">
        <v>31</v>
      </c>
      <c r="X152" s="15">
        <v>1</v>
      </c>
      <c r="Y152" s="17" t="s">
        <v>251</v>
      </c>
      <c r="Z152" s="96"/>
    </row>
    <row r="153" spans="1:26" ht="20.399999999999999" x14ac:dyDescent="0.3">
      <c r="A153" s="3">
        <v>46245</v>
      </c>
      <c r="B153" s="4" t="s">
        <v>25</v>
      </c>
      <c r="C153" s="5" t="s">
        <v>26</v>
      </c>
      <c r="D153" s="5" t="s">
        <v>27</v>
      </c>
      <c r="E153" s="5" t="s">
        <v>28</v>
      </c>
      <c r="F153" s="5" t="s">
        <v>29</v>
      </c>
      <c r="G153" s="5">
        <v>1050</v>
      </c>
      <c r="H153" s="5">
        <v>700</v>
      </c>
      <c r="I153" s="6">
        <v>16402</v>
      </c>
      <c r="J153" s="6">
        <v>16424</v>
      </c>
      <c r="K153" s="5">
        <v>14469</v>
      </c>
      <c r="L153" s="7">
        <f t="shared" ref="L153:L216" si="0">K153/24</f>
        <v>602.875</v>
      </c>
      <c r="M153" s="6">
        <f t="shared" ref="M153:M216" si="1">J153-I153</f>
        <v>22</v>
      </c>
      <c r="N153" s="5">
        <v>2</v>
      </c>
      <c r="O153" s="5">
        <v>0</v>
      </c>
      <c r="P153" s="5">
        <v>0</v>
      </c>
      <c r="Q153" s="5">
        <f t="shared" ref="Q153:Q216" si="2">SUM(M153:P153)</f>
        <v>24</v>
      </c>
      <c r="R153" s="5">
        <v>2</v>
      </c>
      <c r="S153" s="5">
        <v>0</v>
      </c>
      <c r="T153" s="5" t="s">
        <v>30</v>
      </c>
      <c r="U153" s="5" t="s">
        <v>31</v>
      </c>
      <c r="V153" s="6">
        <v>127327</v>
      </c>
      <c r="W153" s="5" t="s">
        <v>31</v>
      </c>
      <c r="X153" s="8">
        <v>1</v>
      </c>
      <c r="Y153" s="18" t="s">
        <v>252</v>
      </c>
      <c r="Z153" s="96"/>
    </row>
    <row r="154" spans="1:26" ht="20.399999999999999" x14ac:dyDescent="0.3">
      <c r="A154" s="3">
        <v>46245</v>
      </c>
      <c r="B154" s="4" t="s">
        <v>25</v>
      </c>
      <c r="C154" s="5" t="s">
        <v>26</v>
      </c>
      <c r="D154" s="5" t="s">
        <v>27</v>
      </c>
      <c r="E154" s="5" t="s">
        <v>28</v>
      </c>
      <c r="F154" s="5" t="s">
        <v>32</v>
      </c>
      <c r="G154" s="5">
        <v>1050</v>
      </c>
      <c r="H154" s="5">
        <v>700</v>
      </c>
      <c r="I154" s="6">
        <v>14172</v>
      </c>
      <c r="J154" s="6">
        <v>14194</v>
      </c>
      <c r="K154" s="5">
        <v>14676</v>
      </c>
      <c r="L154" s="7">
        <f t="shared" si="0"/>
        <v>611.5</v>
      </c>
      <c r="M154" s="6">
        <f t="shared" si="1"/>
        <v>22</v>
      </c>
      <c r="N154" s="5">
        <v>2</v>
      </c>
      <c r="O154" s="5">
        <v>0</v>
      </c>
      <c r="P154" s="5">
        <v>0</v>
      </c>
      <c r="Q154" s="5">
        <f t="shared" si="2"/>
        <v>24</v>
      </c>
      <c r="R154" s="5">
        <v>2</v>
      </c>
      <c r="S154" s="5">
        <v>0</v>
      </c>
      <c r="T154" s="5" t="s">
        <v>30</v>
      </c>
      <c r="U154" s="5" t="s">
        <v>31</v>
      </c>
      <c r="V154" s="6">
        <v>129149</v>
      </c>
      <c r="W154" s="5" t="s">
        <v>31</v>
      </c>
      <c r="X154" s="8">
        <v>1</v>
      </c>
      <c r="Y154" s="18" t="s">
        <v>253</v>
      </c>
      <c r="Z154" s="96"/>
    </row>
    <row r="155" spans="1:26" ht="20.399999999999999" x14ac:dyDescent="0.3">
      <c r="A155" s="3">
        <v>46245</v>
      </c>
      <c r="B155" s="4" t="s">
        <v>25</v>
      </c>
      <c r="C155" s="5" t="s">
        <v>26</v>
      </c>
      <c r="D155" s="5" t="s">
        <v>27</v>
      </c>
      <c r="E155" s="5" t="s">
        <v>28</v>
      </c>
      <c r="F155" s="5" t="s">
        <v>33</v>
      </c>
      <c r="G155" s="5">
        <v>1050</v>
      </c>
      <c r="H155" s="5">
        <v>700</v>
      </c>
      <c r="I155" s="6">
        <v>12660</v>
      </c>
      <c r="J155" s="6">
        <v>12683</v>
      </c>
      <c r="K155" s="5">
        <v>14695</v>
      </c>
      <c r="L155" s="7">
        <f t="shared" si="0"/>
        <v>612.29166666666663</v>
      </c>
      <c r="M155" s="6">
        <f t="shared" si="1"/>
        <v>23</v>
      </c>
      <c r="N155" s="5">
        <v>1</v>
      </c>
      <c r="O155" s="5">
        <v>0</v>
      </c>
      <c r="P155" s="5">
        <v>0</v>
      </c>
      <c r="Q155" s="5">
        <f t="shared" si="2"/>
        <v>24</v>
      </c>
      <c r="R155" s="5">
        <v>1</v>
      </c>
      <c r="S155" s="5">
        <v>0</v>
      </c>
      <c r="T155" s="5" t="s">
        <v>30</v>
      </c>
      <c r="U155" s="5" t="s">
        <v>31</v>
      </c>
      <c r="V155" s="6">
        <v>129316</v>
      </c>
      <c r="W155" s="5" t="s">
        <v>31</v>
      </c>
      <c r="X155" s="8">
        <v>1</v>
      </c>
      <c r="Y155" s="18" t="s">
        <v>254</v>
      </c>
      <c r="Z155" s="96"/>
    </row>
    <row r="156" spans="1:26" x14ac:dyDescent="0.3">
      <c r="A156" s="3">
        <v>46245</v>
      </c>
      <c r="B156" s="4" t="s">
        <v>25</v>
      </c>
      <c r="C156" s="5" t="s">
        <v>26</v>
      </c>
      <c r="D156" s="5" t="s">
        <v>27</v>
      </c>
      <c r="E156" s="5" t="s">
        <v>34</v>
      </c>
      <c r="F156" s="5" t="s">
        <v>35</v>
      </c>
      <c r="G156" s="5">
        <v>1300</v>
      </c>
      <c r="H156" s="5">
        <v>1040</v>
      </c>
      <c r="I156" s="6">
        <v>4131</v>
      </c>
      <c r="J156" s="6">
        <v>4155</v>
      </c>
      <c r="K156" s="5">
        <v>17905</v>
      </c>
      <c r="L156" s="7">
        <f t="shared" si="0"/>
        <v>746.04166666666663</v>
      </c>
      <c r="M156" s="6">
        <f t="shared" si="1"/>
        <v>24</v>
      </c>
      <c r="N156" s="5">
        <v>0</v>
      </c>
      <c r="O156" s="5">
        <v>0</v>
      </c>
      <c r="P156" s="5">
        <v>0</v>
      </c>
      <c r="Q156" s="5">
        <f t="shared" si="2"/>
        <v>24</v>
      </c>
      <c r="R156" s="5">
        <v>0</v>
      </c>
      <c r="S156" s="5">
        <v>0</v>
      </c>
      <c r="T156" s="5" t="s">
        <v>30</v>
      </c>
      <c r="U156" s="5" t="s">
        <v>31</v>
      </c>
      <c r="V156" s="6">
        <v>157564</v>
      </c>
      <c r="W156" s="5" t="s">
        <v>31</v>
      </c>
      <c r="X156" s="8">
        <v>1</v>
      </c>
      <c r="Y156" s="18"/>
      <c r="Z156" s="96"/>
    </row>
    <row r="157" spans="1:26" x14ac:dyDescent="0.3">
      <c r="A157" s="3">
        <v>46245</v>
      </c>
      <c r="B157" s="4" t="s">
        <v>25</v>
      </c>
      <c r="C157" s="5" t="s">
        <v>26</v>
      </c>
      <c r="D157" s="5" t="s">
        <v>27</v>
      </c>
      <c r="E157" s="5" t="s">
        <v>34</v>
      </c>
      <c r="F157" s="5" t="s">
        <v>36</v>
      </c>
      <c r="G157" s="5">
        <v>1300</v>
      </c>
      <c r="H157" s="5">
        <v>1040</v>
      </c>
      <c r="I157" s="6">
        <v>4114</v>
      </c>
      <c r="J157" s="6">
        <v>4138</v>
      </c>
      <c r="K157" s="5">
        <v>17977</v>
      </c>
      <c r="L157" s="7">
        <f t="shared" si="0"/>
        <v>749.04166666666663</v>
      </c>
      <c r="M157" s="6">
        <f t="shared" si="1"/>
        <v>24</v>
      </c>
      <c r="N157" s="5">
        <v>0</v>
      </c>
      <c r="O157" s="5">
        <v>0</v>
      </c>
      <c r="P157" s="5">
        <v>0</v>
      </c>
      <c r="Q157" s="5">
        <f t="shared" si="2"/>
        <v>24</v>
      </c>
      <c r="R157" s="5">
        <v>0</v>
      </c>
      <c r="S157" s="5">
        <v>0</v>
      </c>
      <c r="T157" s="5" t="s">
        <v>30</v>
      </c>
      <c r="U157" s="5" t="s">
        <v>31</v>
      </c>
      <c r="V157" s="6">
        <v>158198</v>
      </c>
      <c r="W157" s="5" t="s">
        <v>31</v>
      </c>
      <c r="X157" s="8">
        <v>1</v>
      </c>
      <c r="Y157" s="18"/>
      <c r="Z157" s="96"/>
    </row>
    <row r="158" spans="1:26" ht="81.599999999999994" x14ac:dyDescent="0.3">
      <c r="A158" s="3">
        <v>46245</v>
      </c>
      <c r="B158" s="4" t="s">
        <v>25</v>
      </c>
      <c r="C158" s="5" t="s">
        <v>26</v>
      </c>
      <c r="D158" s="5" t="s">
        <v>27</v>
      </c>
      <c r="E158" s="5" t="s">
        <v>34</v>
      </c>
      <c r="F158" s="5" t="s">
        <v>46</v>
      </c>
      <c r="G158" s="5">
        <v>1300</v>
      </c>
      <c r="H158" s="5">
        <v>1040</v>
      </c>
      <c r="I158" s="6">
        <v>2554</v>
      </c>
      <c r="J158" s="6">
        <v>2570</v>
      </c>
      <c r="K158" s="5">
        <v>10726</v>
      </c>
      <c r="L158" s="7">
        <f t="shared" si="0"/>
        <v>446.91666666666669</v>
      </c>
      <c r="M158" s="6">
        <f t="shared" si="1"/>
        <v>16</v>
      </c>
      <c r="N158" s="5">
        <v>8</v>
      </c>
      <c r="O158" s="5">
        <v>0</v>
      </c>
      <c r="P158" s="5">
        <v>0</v>
      </c>
      <c r="Q158" s="5">
        <f t="shared" si="2"/>
        <v>24</v>
      </c>
      <c r="R158" s="5">
        <v>8</v>
      </c>
      <c r="S158" s="5">
        <v>0</v>
      </c>
      <c r="T158" s="5" t="s">
        <v>30</v>
      </c>
      <c r="U158" s="5" t="s">
        <v>31</v>
      </c>
      <c r="V158" s="6">
        <v>94389</v>
      </c>
      <c r="W158" s="5" t="s">
        <v>31</v>
      </c>
      <c r="X158" s="8">
        <v>1</v>
      </c>
      <c r="Y158" s="18" t="s">
        <v>255</v>
      </c>
      <c r="Z158" s="96"/>
    </row>
    <row r="159" spans="1:26" ht="20.399999999999999" x14ac:dyDescent="0.3">
      <c r="A159" s="3">
        <v>46245</v>
      </c>
      <c r="B159" s="4" t="s">
        <v>25</v>
      </c>
      <c r="C159" s="5" t="s">
        <v>26</v>
      </c>
      <c r="D159" s="5" t="s">
        <v>27</v>
      </c>
      <c r="E159" s="5" t="s">
        <v>28</v>
      </c>
      <c r="F159" s="5" t="s">
        <v>47</v>
      </c>
      <c r="G159" s="5">
        <v>1050</v>
      </c>
      <c r="H159" s="5">
        <v>740</v>
      </c>
      <c r="I159" s="6">
        <v>1550</v>
      </c>
      <c r="J159" s="6">
        <v>1573</v>
      </c>
      <c r="K159" s="5">
        <v>13858</v>
      </c>
      <c r="L159" s="7">
        <f t="shared" si="0"/>
        <v>577.41666666666663</v>
      </c>
      <c r="M159" s="6">
        <f t="shared" si="1"/>
        <v>23</v>
      </c>
      <c r="N159" s="5">
        <v>1</v>
      </c>
      <c r="O159" s="5">
        <v>0</v>
      </c>
      <c r="P159" s="5">
        <v>0</v>
      </c>
      <c r="Q159" s="5">
        <f t="shared" si="2"/>
        <v>24</v>
      </c>
      <c r="R159" s="5">
        <v>1</v>
      </c>
      <c r="S159" s="5">
        <v>0</v>
      </c>
      <c r="T159" s="5" t="s">
        <v>30</v>
      </c>
      <c r="U159" s="5" t="s">
        <v>31</v>
      </c>
      <c r="V159" s="19">
        <v>121950</v>
      </c>
      <c r="W159" s="5" t="s">
        <v>31</v>
      </c>
      <c r="X159" s="8">
        <v>1</v>
      </c>
      <c r="Y159" s="18" t="s">
        <v>256</v>
      </c>
      <c r="Z159" s="96"/>
    </row>
    <row r="160" spans="1:26" ht="40.799999999999997" x14ac:dyDescent="0.3">
      <c r="A160" s="3">
        <v>46245</v>
      </c>
      <c r="B160" s="4" t="s">
        <v>25</v>
      </c>
      <c r="C160" s="9" t="s">
        <v>26</v>
      </c>
      <c r="D160" s="9" t="s">
        <v>27</v>
      </c>
      <c r="E160" s="9" t="s">
        <v>37</v>
      </c>
      <c r="F160" s="9" t="s">
        <v>39</v>
      </c>
      <c r="G160" s="9">
        <v>500</v>
      </c>
      <c r="H160" s="9">
        <v>360</v>
      </c>
      <c r="I160" s="9">
        <v>15235</v>
      </c>
      <c r="J160" s="9">
        <v>15242</v>
      </c>
      <c r="K160" s="9">
        <v>2351</v>
      </c>
      <c r="L160" s="10">
        <f t="shared" si="0"/>
        <v>97.958333333333329</v>
      </c>
      <c r="M160" s="9">
        <f t="shared" si="1"/>
        <v>7</v>
      </c>
      <c r="N160" s="9">
        <v>17</v>
      </c>
      <c r="O160" s="9">
        <v>0</v>
      </c>
      <c r="P160" s="9">
        <v>0</v>
      </c>
      <c r="Q160" s="9">
        <f t="shared" si="2"/>
        <v>24</v>
      </c>
      <c r="R160" s="9">
        <v>0</v>
      </c>
      <c r="S160" s="9">
        <v>0</v>
      </c>
      <c r="T160" s="9" t="s">
        <v>38</v>
      </c>
      <c r="U160" s="9" t="s">
        <v>31</v>
      </c>
      <c r="V160" s="16">
        <v>165</v>
      </c>
      <c r="W160" s="9" t="s">
        <v>31</v>
      </c>
      <c r="X160" s="11">
        <v>1</v>
      </c>
      <c r="Y160" s="20" t="s">
        <v>257</v>
      </c>
      <c r="Z160" s="96"/>
    </row>
    <row r="161" spans="1:26" ht="51" x14ac:dyDescent="0.3">
      <c r="A161" s="3">
        <v>46245</v>
      </c>
      <c r="B161" s="4" t="s">
        <v>25</v>
      </c>
      <c r="C161" s="9" t="s">
        <v>26</v>
      </c>
      <c r="D161" s="9" t="s">
        <v>27</v>
      </c>
      <c r="E161" s="9" t="s">
        <v>37</v>
      </c>
      <c r="F161" s="9" t="s">
        <v>40</v>
      </c>
      <c r="G161" s="9">
        <v>1000</v>
      </c>
      <c r="H161" s="9">
        <v>800</v>
      </c>
      <c r="I161" s="9">
        <v>3569</v>
      </c>
      <c r="J161" s="9">
        <v>3578</v>
      </c>
      <c r="K161" s="9">
        <v>6957</v>
      </c>
      <c r="L161" s="10">
        <f t="shared" si="0"/>
        <v>289.875</v>
      </c>
      <c r="M161" s="9">
        <f t="shared" si="1"/>
        <v>9</v>
      </c>
      <c r="N161" s="9">
        <v>15</v>
      </c>
      <c r="O161" s="9">
        <v>0</v>
      </c>
      <c r="P161" s="9">
        <v>0</v>
      </c>
      <c r="Q161" s="9">
        <f t="shared" si="2"/>
        <v>24</v>
      </c>
      <c r="R161" s="9">
        <v>0</v>
      </c>
      <c r="S161" s="9">
        <v>0</v>
      </c>
      <c r="T161" s="9" t="s">
        <v>38</v>
      </c>
      <c r="U161" s="9" t="s">
        <v>31</v>
      </c>
      <c r="V161" s="16">
        <v>487</v>
      </c>
      <c r="W161" s="9" t="s">
        <v>31</v>
      </c>
      <c r="X161" s="11">
        <v>1</v>
      </c>
      <c r="Y161" s="20" t="s">
        <v>258</v>
      </c>
      <c r="Z161" s="96"/>
    </row>
    <row r="162" spans="1:26" ht="20.399999999999999" x14ac:dyDescent="0.3">
      <c r="A162" s="3">
        <v>46245</v>
      </c>
      <c r="B162" s="4" t="s">
        <v>25</v>
      </c>
      <c r="C162" s="9" t="s">
        <v>26</v>
      </c>
      <c r="D162" s="9" t="s">
        <v>27</v>
      </c>
      <c r="E162" s="9" t="s">
        <v>37</v>
      </c>
      <c r="F162" s="9" t="s">
        <v>41</v>
      </c>
      <c r="G162" s="9">
        <v>1000</v>
      </c>
      <c r="H162" s="9">
        <v>800</v>
      </c>
      <c r="I162" s="9">
        <v>2433</v>
      </c>
      <c r="J162" s="9">
        <v>2446</v>
      </c>
      <c r="K162" s="9">
        <v>10564</v>
      </c>
      <c r="L162" s="10">
        <f t="shared" si="0"/>
        <v>440.16666666666669</v>
      </c>
      <c r="M162" s="9">
        <f t="shared" si="1"/>
        <v>13</v>
      </c>
      <c r="N162" s="9">
        <v>11</v>
      </c>
      <c r="O162" s="9">
        <v>0</v>
      </c>
      <c r="P162" s="9">
        <v>0</v>
      </c>
      <c r="Q162" s="9">
        <f t="shared" si="2"/>
        <v>24</v>
      </c>
      <c r="R162" s="9">
        <v>0</v>
      </c>
      <c r="S162" s="9">
        <v>0</v>
      </c>
      <c r="T162" s="9" t="s">
        <v>38</v>
      </c>
      <c r="U162" s="9" t="s">
        <v>31</v>
      </c>
      <c r="V162" s="16">
        <v>739</v>
      </c>
      <c r="W162" s="9" t="s">
        <v>31</v>
      </c>
      <c r="X162" s="11">
        <v>1</v>
      </c>
      <c r="Y162" s="20" t="s">
        <v>259</v>
      </c>
      <c r="Z162" s="96"/>
    </row>
    <row r="163" spans="1:26" x14ac:dyDescent="0.3">
      <c r="A163" s="3">
        <v>46245</v>
      </c>
      <c r="B163" s="4" t="s">
        <v>25</v>
      </c>
      <c r="C163" s="12" t="s">
        <v>42</v>
      </c>
      <c r="D163" s="12" t="s">
        <v>27</v>
      </c>
      <c r="E163" s="12" t="s">
        <v>43</v>
      </c>
      <c r="F163" s="12" t="s">
        <v>44</v>
      </c>
      <c r="G163" s="12">
        <v>600</v>
      </c>
      <c r="H163" s="12">
        <v>350</v>
      </c>
      <c r="I163" s="12">
        <v>6594</v>
      </c>
      <c r="J163" s="12">
        <v>6618</v>
      </c>
      <c r="K163" s="12">
        <v>10102</v>
      </c>
      <c r="L163" s="13">
        <f t="shared" si="0"/>
        <v>420.91666666666669</v>
      </c>
      <c r="M163" s="12">
        <f t="shared" si="1"/>
        <v>24</v>
      </c>
      <c r="N163" s="12">
        <v>0</v>
      </c>
      <c r="O163" s="12">
        <v>0</v>
      </c>
      <c r="P163" s="12">
        <v>0</v>
      </c>
      <c r="Q163" s="12">
        <f t="shared" si="2"/>
        <v>24</v>
      </c>
      <c r="R163" s="12">
        <v>0</v>
      </c>
      <c r="S163" s="12">
        <v>0</v>
      </c>
      <c r="T163" s="12" t="s">
        <v>30</v>
      </c>
      <c r="U163" s="12" t="s">
        <v>31</v>
      </c>
      <c r="V163" s="14">
        <v>88898</v>
      </c>
      <c r="W163" s="12" t="s">
        <v>31</v>
      </c>
      <c r="X163" s="15">
        <v>1</v>
      </c>
      <c r="Y163" s="17"/>
      <c r="Z163" s="96"/>
    </row>
    <row r="164" spans="1:26" x14ac:dyDescent="0.3">
      <c r="A164" s="3">
        <v>46245</v>
      </c>
      <c r="B164" s="4" t="s">
        <v>25</v>
      </c>
      <c r="C164" s="12" t="s">
        <v>42</v>
      </c>
      <c r="D164" s="12" t="s">
        <v>27</v>
      </c>
      <c r="E164" s="12" t="s">
        <v>43</v>
      </c>
      <c r="F164" s="12" t="s">
        <v>45</v>
      </c>
      <c r="G164" s="12">
        <v>600</v>
      </c>
      <c r="H164" s="12">
        <v>350</v>
      </c>
      <c r="I164" s="12">
        <v>6517</v>
      </c>
      <c r="J164" s="12">
        <v>6541</v>
      </c>
      <c r="K164" s="12">
        <v>8431</v>
      </c>
      <c r="L164" s="13">
        <f t="shared" si="0"/>
        <v>351.29166666666669</v>
      </c>
      <c r="M164" s="12">
        <f t="shared" si="1"/>
        <v>24</v>
      </c>
      <c r="N164" s="12">
        <v>0</v>
      </c>
      <c r="O164" s="12">
        <v>0</v>
      </c>
      <c r="P164" s="12">
        <v>0</v>
      </c>
      <c r="Q164" s="12">
        <f t="shared" si="2"/>
        <v>24</v>
      </c>
      <c r="R164" s="12">
        <v>0</v>
      </c>
      <c r="S164" s="12">
        <v>0</v>
      </c>
      <c r="T164" s="12" t="s">
        <v>30</v>
      </c>
      <c r="U164" s="12" t="s">
        <v>31</v>
      </c>
      <c r="V164" s="14">
        <v>74193</v>
      </c>
      <c r="W164" s="12" t="s">
        <v>31</v>
      </c>
      <c r="X164" s="15">
        <v>1</v>
      </c>
      <c r="Y164" s="17"/>
      <c r="Z164" s="96"/>
    </row>
    <row r="165" spans="1:26" x14ac:dyDescent="0.3">
      <c r="A165" s="3">
        <v>46245</v>
      </c>
      <c r="B165" s="4" t="s">
        <v>25</v>
      </c>
      <c r="C165" s="12" t="s">
        <v>26</v>
      </c>
      <c r="D165" s="12" t="s">
        <v>27</v>
      </c>
      <c r="E165" s="12" t="s">
        <v>43</v>
      </c>
      <c r="F165" s="12" t="s">
        <v>163</v>
      </c>
      <c r="G165" s="12">
        <v>600</v>
      </c>
      <c r="H165" s="12">
        <v>450</v>
      </c>
      <c r="I165" s="12">
        <v>4507</v>
      </c>
      <c r="J165" s="12">
        <v>4531</v>
      </c>
      <c r="K165" s="12">
        <v>8903</v>
      </c>
      <c r="L165" s="13">
        <f t="shared" si="0"/>
        <v>370.95833333333331</v>
      </c>
      <c r="M165" s="12">
        <f t="shared" si="1"/>
        <v>24</v>
      </c>
      <c r="N165" s="12">
        <v>0</v>
      </c>
      <c r="O165" s="12">
        <v>0</v>
      </c>
      <c r="P165" s="12">
        <v>0</v>
      </c>
      <c r="Q165" s="12">
        <f t="shared" si="2"/>
        <v>24</v>
      </c>
      <c r="R165" s="12">
        <v>0</v>
      </c>
      <c r="S165" s="12">
        <v>0</v>
      </c>
      <c r="T165" s="12" t="s">
        <v>30</v>
      </c>
      <c r="U165" s="12" t="s">
        <v>31</v>
      </c>
      <c r="V165" s="14">
        <v>78346</v>
      </c>
      <c r="W165" s="12" t="s">
        <v>31</v>
      </c>
      <c r="X165" s="15">
        <v>1</v>
      </c>
      <c r="Y165" s="17"/>
      <c r="Z165" s="96"/>
    </row>
    <row r="166" spans="1:26" ht="62.4" x14ac:dyDescent="0.3">
      <c r="A166" s="3">
        <v>46245</v>
      </c>
      <c r="B166" s="4" t="s">
        <v>25</v>
      </c>
      <c r="C166" s="12" t="s">
        <v>26</v>
      </c>
      <c r="D166" s="12" t="s">
        <v>27</v>
      </c>
      <c r="E166" s="12" t="s">
        <v>43</v>
      </c>
      <c r="F166" s="12" t="s">
        <v>164</v>
      </c>
      <c r="G166" s="12">
        <v>600</v>
      </c>
      <c r="H166" s="12">
        <v>450</v>
      </c>
      <c r="I166" s="12">
        <v>705</v>
      </c>
      <c r="J166" s="12">
        <v>717</v>
      </c>
      <c r="K166" s="12">
        <v>4620</v>
      </c>
      <c r="L166" s="13">
        <f t="shared" si="0"/>
        <v>192.5</v>
      </c>
      <c r="M166" s="12">
        <f t="shared" si="1"/>
        <v>12</v>
      </c>
      <c r="N166" s="12">
        <v>5</v>
      </c>
      <c r="O166" s="12">
        <v>7</v>
      </c>
      <c r="P166" s="12">
        <v>0</v>
      </c>
      <c r="Q166" s="12">
        <f t="shared" si="2"/>
        <v>24</v>
      </c>
      <c r="R166" s="12">
        <v>5</v>
      </c>
      <c r="S166" s="12">
        <v>0</v>
      </c>
      <c r="T166" s="12" t="s">
        <v>30</v>
      </c>
      <c r="U166" s="12" t="s">
        <v>31</v>
      </c>
      <c r="V166" s="14">
        <v>40656</v>
      </c>
      <c r="W166" s="12" t="s">
        <v>31</v>
      </c>
      <c r="X166" s="15">
        <v>1</v>
      </c>
      <c r="Y166" s="76" t="s">
        <v>260</v>
      </c>
      <c r="Z166" s="96"/>
    </row>
    <row r="167" spans="1:26" ht="20.399999999999999" x14ac:dyDescent="0.3">
      <c r="A167" s="3">
        <v>46245</v>
      </c>
      <c r="B167" s="4" t="s">
        <v>25</v>
      </c>
      <c r="C167" s="12" t="s">
        <v>26</v>
      </c>
      <c r="D167" s="12" t="s">
        <v>27</v>
      </c>
      <c r="E167" s="12" t="s">
        <v>43</v>
      </c>
      <c r="F167" s="12" t="s">
        <v>165</v>
      </c>
      <c r="G167" s="12">
        <v>600</v>
      </c>
      <c r="H167" s="12">
        <v>450</v>
      </c>
      <c r="I167" s="12">
        <v>725</v>
      </c>
      <c r="J167" s="12">
        <v>748</v>
      </c>
      <c r="K167" s="12">
        <v>8307</v>
      </c>
      <c r="L167" s="13">
        <f t="shared" si="0"/>
        <v>346.125</v>
      </c>
      <c r="M167" s="12">
        <f t="shared" si="1"/>
        <v>23</v>
      </c>
      <c r="N167" s="12">
        <v>1</v>
      </c>
      <c r="O167" s="12">
        <v>0</v>
      </c>
      <c r="P167" s="12">
        <v>0</v>
      </c>
      <c r="Q167" s="12">
        <f t="shared" si="2"/>
        <v>24</v>
      </c>
      <c r="R167" s="12">
        <v>1</v>
      </c>
      <c r="S167" s="12">
        <v>0</v>
      </c>
      <c r="T167" s="12" t="s">
        <v>30</v>
      </c>
      <c r="U167" s="12" t="s">
        <v>31</v>
      </c>
      <c r="V167" s="14">
        <v>73102</v>
      </c>
      <c r="W167" s="12" t="s">
        <v>31</v>
      </c>
      <c r="X167" s="15">
        <v>1</v>
      </c>
      <c r="Y167" s="17" t="s">
        <v>261</v>
      </c>
      <c r="Z167" s="96"/>
    </row>
    <row r="168" spans="1:26" x14ac:dyDescent="0.3">
      <c r="A168" s="3">
        <v>46246</v>
      </c>
      <c r="B168" s="4" t="s">
        <v>25</v>
      </c>
      <c r="C168" s="5" t="s">
        <v>26</v>
      </c>
      <c r="D168" s="5" t="s">
        <v>27</v>
      </c>
      <c r="E168" s="5" t="s">
        <v>28</v>
      </c>
      <c r="F168" s="5" t="s">
        <v>29</v>
      </c>
      <c r="G168" s="5">
        <v>1050</v>
      </c>
      <c r="H168" s="5">
        <v>700</v>
      </c>
      <c r="I168" s="6">
        <v>16424</v>
      </c>
      <c r="J168" s="6">
        <v>16448</v>
      </c>
      <c r="K168" s="5">
        <v>15411</v>
      </c>
      <c r="L168" s="7">
        <f t="shared" si="0"/>
        <v>642.125</v>
      </c>
      <c r="M168" s="6">
        <f t="shared" si="1"/>
        <v>24</v>
      </c>
      <c r="N168" s="5">
        <v>0</v>
      </c>
      <c r="O168" s="5">
        <v>0</v>
      </c>
      <c r="P168" s="5">
        <v>0</v>
      </c>
      <c r="Q168" s="5">
        <f t="shared" si="2"/>
        <v>24</v>
      </c>
      <c r="R168" s="5">
        <v>0</v>
      </c>
      <c r="S168" s="5">
        <v>0</v>
      </c>
      <c r="T168" s="5" t="s">
        <v>30</v>
      </c>
      <c r="U168" s="5" t="s">
        <v>31</v>
      </c>
      <c r="V168" s="6">
        <v>135616.80000000002</v>
      </c>
      <c r="W168" s="5" t="s">
        <v>31</v>
      </c>
      <c r="X168" s="8">
        <v>1</v>
      </c>
      <c r="Y168" s="18"/>
      <c r="Z168" s="96"/>
    </row>
    <row r="169" spans="1:26" x14ac:dyDescent="0.3">
      <c r="A169" s="3">
        <v>46246</v>
      </c>
      <c r="B169" s="4" t="s">
        <v>25</v>
      </c>
      <c r="C169" s="5" t="s">
        <v>26</v>
      </c>
      <c r="D169" s="5" t="s">
        <v>27</v>
      </c>
      <c r="E169" s="5" t="s">
        <v>28</v>
      </c>
      <c r="F169" s="5" t="s">
        <v>32</v>
      </c>
      <c r="G169" s="5">
        <v>1050</v>
      </c>
      <c r="H169" s="5">
        <v>700</v>
      </c>
      <c r="I169" s="6">
        <v>14194</v>
      </c>
      <c r="J169" s="6">
        <v>14218</v>
      </c>
      <c r="K169" s="5">
        <v>15408</v>
      </c>
      <c r="L169" s="7">
        <f t="shared" si="0"/>
        <v>642</v>
      </c>
      <c r="M169" s="6">
        <f t="shared" si="1"/>
        <v>24</v>
      </c>
      <c r="N169" s="5">
        <v>0</v>
      </c>
      <c r="O169" s="5">
        <v>0</v>
      </c>
      <c r="P169" s="5">
        <v>0</v>
      </c>
      <c r="Q169" s="5">
        <f t="shared" si="2"/>
        <v>24</v>
      </c>
      <c r="R169" s="5">
        <v>0</v>
      </c>
      <c r="S169" s="5">
        <v>0</v>
      </c>
      <c r="T169" s="5" t="s">
        <v>30</v>
      </c>
      <c r="U169" s="5" t="s">
        <v>31</v>
      </c>
      <c r="V169" s="6">
        <v>135590.40000000002</v>
      </c>
      <c r="W169" s="5" t="s">
        <v>31</v>
      </c>
      <c r="X169" s="8">
        <v>1</v>
      </c>
      <c r="Y169" s="18"/>
      <c r="Z169" s="96"/>
    </row>
    <row r="170" spans="1:26" x14ac:dyDescent="0.3">
      <c r="A170" s="3">
        <v>46246</v>
      </c>
      <c r="B170" s="4" t="s">
        <v>25</v>
      </c>
      <c r="C170" s="5" t="s">
        <v>26</v>
      </c>
      <c r="D170" s="5" t="s">
        <v>27</v>
      </c>
      <c r="E170" s="5" t="s">
        <v>28</v>
      </c>
      <c r="F170" s="5" t="s">
        <v>33</v>
      </c>
      <c r="G170" s="5">
        <v>1050</v>
      </c>
      <c r="H170" s="5">
        <v>700</v>
      </c>
      <c r="I170" s="6">
        <v>12683</v>
      </c>
      <c r="J170" s="6">
        <v>12707</v>
      </c>
      <c r="K170" s="5">
        <v>15413</v>
      </c>
      <c r="L170" s="7">
        <f t="shared" si="0"/>
        <v>642.20833333333337</v>
      </c>
      <c r="M170" s="6">
        <f t="shared" si="1"/>
        <v>24</v>
      </c>
      <c r="N170" s="5">
        <v>0</v>
      </c>
      <c r="O170" s="5">
        <v>0</v>
      </c>
      <c r="P170" s="5">
        <v>0</v>
      </c>
      <c r="Q170" s="5">
        <f t="shared" si="2"/>
        <v>24</v>
      </c>
      <c r="R170" s="5">
        <v>0</v>
      </c>
      <c r="S170" s="5">
        <v>0</v>
      </c>
      <c r="T170" s="5" t="s">
        <v>30</v>
      </c>
      <c r="U170" s="5" t="s">
        <v>31</v>
      </c>
      <c r="V170" s="6">
        <v>135634.4</v>
      </c>
      <c r="W170" s="5" t="s">
        <v>31</v>
      </c>
      <c r="X170" s="8">
        <v>1</v>
      </c>
      <c r="Y170" s="18"/>
      <c r="Z170" s="96"/>
    </row>
    <row r="171" spans="1:26" x14ac:dyDescent="0.3">
      <c r="A171" s="3">
        <v>46246</v>
      </c>
      <c r="B171" s="4" t="s">
        <v>25</v>
      </c>
      <c r="C171" s="5" t="s">
        <v>26</v>
      </c>
      <c r="D171" s="5" t="s">
        <v>27</v>
      </c>
      <c r="E171" s="5" t="s">
        <v>34</v>
      </c>
      <c r="F171" s="5" t="s">
        <v>35</v>
      </c>
      <c r="G171" s="5">
        <v>1300</v>
      </c>
      <c r="H171" s="5">
        <v>1040</v>
      </c>
      <c r="I171" s="6">
        <v>4155</v>
      </c>
      <c r="J171" s="6">
        <v>4179</v>
      </c>
      <c r="K171" s="5">
        <v>18100</v>
      </c>
      <c r="L171" s="7">
        <f t="shared" si="0"/>
        <v>754.16666666666663</v>
      </c>
      <c r="M171" s="6">
        <f t="shared" si="1"/>
        <v>24</v>
      </c>
      <c r="N171" s="5">
        <v>0</v>
      </c>
      <c r="O171" s="5">
        <v>0</v>
      </c>
      <c r="P171" s="5">
        <v>0</v>
      </c>
      <c r="Q171" s="5">
        <f t="shared" si="2"/>
        <v>24</v>
      </c>
      <c r="R171" s="5">
        <v>0</v>
      </c>
      <c r="S171" s="5">
        <v>0</v>
      </c>
      <c r="T171" s="5" t="s">
        <v>30</v>
      </c>
      <c r="U171" s="5" t="s">
        <v>31</v>
      </c>
      <c r="V171" s="6">
        <v>159280</v>
      </c>
      <c r="W171" s="5" t="s">
        <v>31</v>
      </c>
      <c r="X171" s="8">
        <v>1</v>
      </c>
      <c r="Y171" s="18"/>
      <c r="Z171" s="96"/>
    </row>
    <row r="172" spans="1:26" x14ac:dyDescent="0.3">
      <c r="A172" s="3">
        <v>46246</v>
      </c>
      <c r="B172" s="4" t="s">
        <v>25</v>
      </c>
      <c r="C172" s="5" t="s">
        <v>26</v>
      </c>
      <c r="D172" s="5" t="s">
        <v>27</v>
      </c>
      <c r="E172" s="5" t="s">
        <v>34</v>
      </c>
      <c r="F172" s="5" t="s">
        <v>36</v>
      </c>
      <c r="G172" s="5">
        <v>1300</v>
      </c>
      <c r="H172" s="5">
        <v>1040</v>
      </c>
      <c r="I172" s="6">
        <v>4138</v>
      </c>
      <c r="J172" s="6">
        <v>4162</v>
      </c>
      <c r="K172" s="5">
        <v>18264</v>
      </c>
      <c r="L172" s="7">
        <f t="shared" si="0"/>
        <v>761</v>
      </c>
      <c r="M172" s="6">
        <f t="shared" si="1"/>
        <v>24</v>
      </c>
      <c r="N172" s="5">
        <v>0</v>
      </c>
      <c r="O172" s="5">
        <v>0</v>
      </c>
      <c r="P172" s="5">
        <v>0</v>
      </c>
      <c r="Q172" s="5">
        <f t="shared" si="2"/>
        <v>24</v>
      </c>
      <c r="R172" s="5">
        <v>0</v>
      </c>
      <c r="S172" s="5">
        <v>0</v>
      </c>
      <c r="T172" s="5" t="s">
        <v>30</v>
      </c>
      <c r="U172" s="5" t="s">
        <v>31</v>
      </c>
      <c r="V172" s="6">
        <v>160723.20000000001</v>
      </c>
      <c r="W172" s="5" t="s">
        <v>31</v>
      </c>
      <c r="X172" s="8">
        <v>1</v>
      </c>
      <c r="Y172" s="18"/>
      <c r="Z172" s="96"/>
    </row>
    <row r="173" spans="1:26" ht="71.400000000000006" x14ac:dyDescent="0.3">
      <c r="A173" s="3">
        <v>46246</v>
      </c>
      <c r="B173" s="4" t="s">
        <v>25</v>
      </c>
      <c r="C173" s="5" t="s">
        <v>26</v>
      </c>
      <c r="D173" s="5" t="s">
        <v>27</v>
      </c>
      <c r="E173" s="5" t="s">
        <v>34</v>
      </c>
      <c r="F173" s="5" t="s">
        <v>46</v>
      </c>
      <c r="G173" s="5">
        <v>1300</v>
      </c>
      <c r="H173" s="5">
        <v>1040</v>
      </c>
      <c r="I173" s="6">
        <v>2570</v>
      </c>
      <c r="J173" s="6">
        <v>2585</v>
      </c>
      <c r="K173" s="5">
        <v>10501</v>
      </c>
      <c r="L173" s="7">
        <f t="shared" si="0"/>
        <v>437.54166666666669</v>
      </c>
      <c r="M173" s="6">
        <f t="shared" si="1"/>
        <v>15</v>
      </c>
      <c r="N173" s="5">
        <v>9</v>
      </c>
      <c r="O173" s="5">
        <v>0</v>
      </c>
      <c r="P173" s="5">
        <v>0</v>
      </c>
      <c r="Q173" s="5">
        <f t="shared" si="2"/>
        <v>24</v>
      </c>
      <c r="R173" s="5">
        <v>0</v>
      </c>
      <c r="S173" s="5">
        <v>0</v>
      </c>
      <c r="T173" s="5" t="s">
        <v>30</v>
      </c>
      <c r="U173" s="5" t="s">
        <v>31</v>
      </c>
      <c r="V173" s="6">
        <v>92408.8</v>
      </c>
      <c r="W173" s="5" t="s">
        <v>31</v>
      </c>
      <c r="X173" s="8">
        <v>1</v>
      </c>
      <c r="Y173" s="18" t="s">
        <v>262</v>
      </c>
      <c r="Z173" s="96"/>
    </row>
    <row r="174" spans="1:26" x14ac:dyDescent="0.3">
      <c r="A174" s="3">
        <v>46246</v>
      </c>
      <c r="B174" s="4" t="s">
        <v>25</v>
      </c>
      <c r="C174" s="5" t="s">
        <v>26</v>
      </c>
      <c r="D174" s="5" t="s">
        <v>27</v>
      </c>
      <c r="E174" s="5" t="s">
        <v>28</v>
      </c>
      <c r="F174" s="5" t="s">
        <v>47</v>
      </c>
      <c r="G174" s="5">
        <v>1050</v>
      </c>
      <c r="H174" s="5">
        <v>740</v>
      </c>
      <c r="I174" s="6">
        <v>1573</v>
      </c>
      <c r="J174" s="6">
        <v>1597</v>
      </c>
      <c r="K174" s="5">
        <v>14540</v>
      </c>
      <c r="L174" s="7">
        <f t="shared" si="0"/>
        <v>605.83333333333337</v>
      </c>
      <c r="M174" s="6">
        <f t="shared" si="1"/>
        <v>24</v>
      </c>
      <c r="N174" s="5">
        <v>0</v>
      </c>
      <c r="O174" s="5">
        <v>0</v>
      </c>
      <c r="P174" s="5">
        <v>0</v>
      </c>
      <c r="Q174" s="5">
        <f t="shared" si="2"/>
        <v>24</v>
      </c>
      <c r="R174" s="5">
        <v>0</v>
      </c>
      <c r="S174" s="5">
        <v>0</v>
      </c>
      <c r="T174" s="5" t="s">
        <v>30</v>
      </c>
      <c r="U174" s="5" t="s">
        <v>31</v>
      </c>
      <c r="V174" s="19">
        <v>127952.00000000003</v>
      </c>
      <c r="W174" s="5" t="s">
        <v>31</v>
      </c>
      <c r="X174" s="8">
        <v>1</v>
      </c>
      <c r="Y174" s="18"/>
      <c r="Z174" s="96"/>
    </row>
    <row r="175" spans="1:26" x14ac:dyDescent="0.3">
      <c r="A175" s="3">
        <v>46246</v>
      </c>
      <c r="B175" s="4" t="s">
        <v>25</v>
      </c>
      <c r="C175" s="9" t="s">
        <v>26</v>
      </c>
      <c r="D175" s="9" t="s">
        <v>27</v>
      </c>
      <c r="E175" s="9" t="s">
        <v>37</v>
      </c>
      <c r="F175" s="9" t="s">
        <v>39</v>
      </c>
      <c r="G175" s="9">
        <v>500</v>
      </c>
      <c r="H175" s="9">
        <v>360</v>
      </c>
      <c r="I175" s="9">
        <v>15242</v>
      </c>
      <c r="J175" s="9">
        <v>15266</v>
      </c>
      <c r="K175" s="9">
        <v>8639</v>
      </c>
      <c r="L175" s="10">
        <f t="shared" si="0"/>
        <v>359.95833333333331</v>
      </c>
      <c r="M175" s="9">
        <f t="shared" si="1"/>
        <v>24</v>
      </c>
      <c r="N175" s="9">
        <v>0</v>
      </c>
      <c r="O175" s="9">
        <v>0</v>
      </c>
      <c r="P175" s="9">
        <v>0</v>
      </c>
      <c r="Q175" s="9">
        <f t="shared" si="2"/>
        <v>24</v>
      </c>
      <c r="R175" s="9">
        <v>0</v>
      </c>
      <c r="S175" s="9">
        <v>0</v>
      </c>
      <c r="T175" s="9" t="s">
        <v>38</v>
      </c>
      <c r="U175" s="9" t="s">
        <v>31</v>
      </c>
      <c r="V175" s="16">
        <v>605</v>
      </c>
      <c r="W175" s="9" t="s">
        <v>31</v>
      </c>
      <c r="X175" s="11">
        <v>1</v>
      </c>
      <c r="Y175" s="20"/>
      <c r="Z175" s="96"/>
    </row>
    <row r="176" spans="1:26" ht="20.399999999999999" x14ac:dyDescent="0.3">
      <c r="A176" s="3">
        <v>46246</v>
      </c>
      <c r="B176" s="4" t="s">
        <v>25</v>
      </c>
      <c r="C176" s="9" t="s">
        <v>26</v>
      </c>
      <c r="D176" s="9" t="s">
        <v>27</v>
      </c>
      <c r="E176" s="9" t="s">
        <v>37</v>
      </c>
      <c r="F176" s="9" t="s">
        <v>40</v>
      </c>
      <c r="G176" s="9">
        <v>1000</v>
      </c>
      <c r="H176" s="9">
        <v>800</v>
      </c>
      <c r="I176" s="9">
        <v>3578</v>
      </c>
      <c r="J176" s="9">
        <v>3590</v>
      </c>
      <c r="K176" s="9">
        <v>8996</v>
      </c>
      <c r="L176" s="10">
        <f t="shared" si="0"/>
        <v>374.83333333333331</v>
      </c>
      <c r="M176" s="9">
        <f t="shared" si="1"/>
        <v>12</v>
      </c>
      <c r="N176" s="9">
        <v>12</v>
      </c>
      <c r="O176" s="9">
        <v>0</v>
      </c>
      <c r="P176" s="9">
        <v>0</v>
      </c>
      <c r="Q176" s="9">
        <f t="shared" si="2"/>
        <v>24</v>
      </c>
      <c r="R176" s="9">
        <v>0</v>
      </c>
      <c r="S176" s="9">
        <v>0</v>
      </c>
      <c r="T176" s="9" t="s">
        <v>38</v>
      </c>
      <c r="U176" s="9" t="s">
        <v>31</v>
      </c>
      <c r="V176" s="16">
        <v>630</v>
      </c>
      <c r="W176" s="9" t="s">
        <v>31</v>
      </c>
      <c r="X176" s="11">
        <v>1</v>
      </c>
      <c r="Y176" s="20" t="s">
        <v>263</v>
      </c>
      <c r="Z176" s="96"/>
    </row>
    <row r="177" spans="1:26" ht="20.399999999999999" x14ac:dyDescent="0.3">
      <c r="A177" s="3">
        <v>46246</v>
      </c>
      <c r="B177" s="4" t="s">
        <v>25</v>
      </c>
      <c r="C177" s="9" t="s">
        <v>26</v>
      </c>
      <c r="D177" s="9" t="s">
        <v>27</v>
      </c>
      <c r="E177" s="9" t="s">
        <v>37</v>
      </c>
      <c r="F177" s="9" t="s">
        <v>41</v>
      </c>
      <c r="G177" s="9">
        <v>1000</v>
      </c>
      <c r="H177" s="9">
        <v>800</v>
      </c>
      <c r="I177" s="9">
        <v>2446</v>
      </c>
      <c r="J177" s="9">
        <v>2460</v>
      </c>
      <c r="K177" s="9">
        <v>11194</v>
      </c>
      <c r="L177" s="10">
        <f t="shared" si="0"/>
        <v>466.41666666666669</v>
      </c>
      <c r="M177" s="9">
        <f t="shared" si="1"/>
        <v>14</v>
      </c>
      <c r="N177" s="9">
        <v>10</v>
      </c>
      <c r="O177" s="9">
        <v>0</v>
      </c>
      <c r="P177" s="9">
        <v>0</v>
      </c>
      <c r="Q177" s="9">
        <f t="shared" si="2"/>
        <v>24</v>
      </c>
      <c r="R177" s="9">
        <v>0</v>
      </c>
      <c r="S177" s="9">
        <v>0</v>
      </c>
      <c r="T177" s="9" t="s">
        <v>38</v>
      </c>
      <c r="U177" s="9" t="s">
        <v>31</v>
      </c>
      <c r="V177" s="16">
        <v>784</v>
      </c>
      <c r="W177" s="9" t="s">
        <v>31</v>
      </c>
      <c r="X177" s="11">
        <v>1</v>
      </c>
      <c r="Y177" s="20" t="s">
        <v>264</v>
      </c>
      <c r="Z177" s="96"/>
    </row>
    <row r="178" spans="1:26" x14ac:dyDescent="0.3">
      <c r="A178" s="3">
        <v>46246</v>
      </c>
      <c r="B178" s="4" t="s">
        <v>25</v>
      </c>
      <c r="C178" s="12" t="s">
        <v>42</v>
      </c>
      <c r="D178" s="12" t="s">
        <v>27</v>
      </c>
      <c r="E178" s="12" t="s">
        <v>43</v>
      </c>
      <c r="F178" s="12" t="s">
        <v>44</v>
      </c>
      <c r="G178" s="12">
        <v>600</v>
      </c>
      <c r="H178" s="12">
        <v>350</v>
      </c>
      <c r="I178" s="12">
        <v>6618</v>
      </c>
      <c r="J178" s="12">
        <v>6642</v>
      </c>
      <c r="K178" s="12">
        <v>9788</v>
      </c>
      <c r="L178" s="13">
        <f t="shared" si="0"/>
        <v>407.83333333333331</v>
      </c>
      <c r="M178" s="12">
        <f t="shared" si="1"/>
        <v>24</v>
      </c>
      <c r="N178" s="12">
        <v>0</v>
      </c>
      <c r="O178" s="12">
        <v>0</v>
      </c>
      <c r="P178" s="12">
        <v>0</v>
      </c>
      <c r="Q178" s="12">
        <f t="shared" si="2"/>
        <v>24</v>
      </c>
      <c r="R178" s="12">
        <v>0</v>
      </c>
      <c r="S178" s="12">
        <v>0</v>
      </c>
      <c r="T178" s="12" t="s">
        <v>30</v>
      </c>
      <c r="U178" s="12" t="s">
        <v>31</v>
      </c>
      <c r="V178" s="14">
        <v>86134.400000000009</v>
      </c>
      <c r="W178" s="12" t="s">
        <v>31</v>
      </c>
      <c r="X178" s="15">
        <v>1</v>
      </c>
      <c r="Y178" s="17"/>
      <c r="Z178" s="96"/>
    </row>
    <row r="179" spans="1:26" x14ac:dyDescent="0.3">
      <c r="A179" s="3">
        <v>46246</v>
      </c>
      <c r="B179" s="4" t="s">
        <v>25</v>
      </c>
      <c r="C179" s="12" t="s">
        <v>42</v>
      </c>
      <c r="D179" s="12" t="s">
        <v>27</v>
      </c>
      <c r="E179" s="12" t="s">
        <v>43</v>
      </c>
      <c r="F179" s="12" t="s">
        <v>45</v>
      </c>
      <c r="G179" s="12">
        <v>600</v>
      </c>
      <c r="H179" s="12">
        <v>350</v>
      </c>
      <c r="I179" s="12">
        <v>6541</v>
      </c>
      <c r="J179" s="12">
        <v>6565</v>
      </c>
      <c r="K179" s="12">
        <v>8400</v>
      </c>
      <c r="L179" s="13">
        <f t="shared" si="0"/>
        <v>350</v>
      </c>
      <c r="M179" s="12">
        <f t="shared" si="1"/>
        <v>24</v>
      </c>
      <c r="N179" s="12">
        <v>0</v>
      </c>
      <c r="O179" s="12">
        <v>0</v>
      </c>
      <c r="P179" s="12">
        <v>0</v>
      </c>
      <c r="Q179" s="12">
        <f t="shared" si="2"/>
        <v>24</v>
      </c>
      <c r="R179" s="12">
        <v>0</v>
      </c>
      <c r="S179" s="12">
        <v>0</v>
      </c>
      <c r="T179" s="12" t="s">
        <v>30</v>
      </c>
      <c r="U179" s="12" t="s">
        <v>31</v>
      </c>
      <c r="V179" s="14">
        <v>73920</v>
      </c>
      <c r="W179" s="12" t="s">
        <v>31</v>
      </c>
      <c r="X179" s="15">
        <v>1</v>
      </c>
      <c r="Y179" s="17"/>
      <c r="Z179" s="96"/>
    </row>
    <row r="180" spans="1:26" ht="30.6" x14ac:dyDescent="0.3">
      <c r="A180" s="3">
        <v>46246</v>
      </c>
      <c r="B180" s="4" t="s">
        <v>25</v>
      </c>
      <c r="C180" s="12" t="s">
        <v>26</v>
      </c>
      <c r="D180" s="12" t="s">
        <v>27</v>
      </c>
      <c r="E180" s="12" t="s">
        <v>43</v>
      </c>
      <c r="F180" s="12" t="s">
        <v>163</v>
      </c>
      <c r="G180" s="12">
        <v>600</v>
      </c>
      <c r="H180" s="12">
        <v>450</v>
      </c>
      <c r="I180" s="12">
        <v>4531</v>
      </c>
      <c r="J180" s="12">
        <v>4555</v>
      </c>
      <c r="K180" s="12">
        <v>8816</v>
      </c>
      <c r="L180" s="13">
        <f t="shared" si="0"/>
        <v>367.33333333333331</v>
      </c>
      <c r="M180" s="12">
        <f t="shared" si="1"/>
        <v>24</v>
      </c>
      <c r="N180" s="12">
        <v>0</v>
      </c>
      <c r="O180" s="12">
        <v>0</v>
      </c>
      <c r="P180" s="12">
        <v>0</v>
      </c>
      <c r="Q180" s="12">
        <f t="shared" si="2"/>
        <v>24</v>
      </c>
      <c r="R180" s="12">
        <v>0</v>
      </c>
      <c r="S180" s="12">
        <v>0</v>
      </c>
      <c r="T180" s="12" t="s">
        <v>30</v>
      </c>
      <c r="U180" s="12" t="s">
        <v>31</v>
      </c>
      <c r="V180" s="14">
        <v>77580.800000000017</v>
      </c>
      <c r="W180" s="12" t="s">
        <v>31</v>
      </c>
      <c r="X180" s="15">
        <v>1</v>
      </c>
      <c r="Y180" s="17" t="s">
        <v>265</v>
      </c>
      <c r="Z180" s="96"/>
    </row>
    <row r="181" spans="1:26" ht="21.6" x14ac:dyDescent="0.3">
      <c r="A181" s="3">
        <v>46246</v>
      </c>
      <c r="B181" s="4" t="s">
        <v>25</v>
      </c>
      <c r="C181" s="12" t="s">
        <v>26</v>
      </c>
      <c r="D181" s="12" t="s">
        <v>27</v>
      </c>
      <c r="E181" s="12" t="s">
        <v>43</v>
      </c>
      <c r="F181" s="12" t="s">
        <v>164</v>
      </c>
      <c r="G181" s="12">
        <v>600</v>
      </c>
      <c r="H181" s="12">
        <v>450</v>
      </c>
      <c r="I181" s="12">
        <v>717</v>
      </c>
      <c r="J181" s="12">
        <v>740</v>
      </c>
      <c r="K181" s="12">
        <v>8464</v>
      </c>
      <c r="L181" s="13">
        <f t="shared" si="0"/>
        <v>352.66666666666669</v>
      </c>
      <c r="M181" s="12">
        <f t="shared" si="1"/>
        <v>23</v>
      </c>
      <c r="N181" s="12">
        <v>1</v>
      </c>
      <c r="O181" s="12">
        <v>0</v>
      </c>
      <c r="P181" s="12">
        <v>0</v>
      </c>
      <c r="Q181" s="12">
        <f t="shared" si="2"/>
        <v>24</v>
      </c>
      <c r="R181" s="12">
        <v>0</v>
      </c>
      <c r="S181" s="12">
        <v>0</v>
      </c>
      <c r="T181" s="12" t="s">
        <v>30</v>
      </c>
      <c r="U181" s="12" t="s">
        <v>31</v>
      </c>
      <c r="V181" s="14">
        <v>74483.199999999983</v>
      </c>
      <c r="W181" s="12" t="s">
        <v>31</v>
      </c>
      <c r="X181" s="15">
        <v>1</v>
      </c>
      <c r="Y181" s="76" t="s">
        <v>266</v>
      </c>
      <c r="Z181" s="96"/>
    </row>
    <row r="182" spans="1:26" ht="30.6" x14ac:dyDescent="0.3">
      <c r="A182" s="3">
        <v>46246</v>
      </c>
      <c r="B182" s="4" t="s">
        <v>25</v>
      </c>
      <c r="C182" s="12" t="s">
        <v>26</v>
      </c>
      <c r="D182" s="12" t="s">
        <v>27</v>
      </c>
      <c r="E182" s="12" t="s">
        <v>43</v>
      </c>
      <c r="F182" s="12" t="s">
        <v>165</v>
      </c>
      <c r="G182" s="12">
        <v>600</v>
      </c>
      <c r="H182" s="12">
        <v>450</v>
      </c>
      <c r="I182" s="12">
        <v>748</v>
      </c>
      <c r="J182" s="12">
        <v>772</v>
      </c>
      <c r="K182" s="12">
        <v>8764</v>
      </c>
      <c r="L182" s="13">
        <f t="shared" si="0"/>
        <v>365.16666666666669</v>
      </c>
      <c r="M182" s="12">
        <f t="shared" si="1"/>
        <v>24</v>
      </c>
      <c r="N182" s="12">
        <v>0</v>
      </c>
      <c r="O182" s="12">
        <v>0</v>
      </c>
      <c r="P182" s="12">
        <v>0</v>
      </c>
      <c r="Q182" s="12">
        <f t="shared" si="2"/>
        <v>24</v>
      </c>
      <c r="R182" s="12">
        <v>0</v>
      </c>
      <c r="S182" s="12">
        <v>0</v>
      </c>
      <c r="T182" s="12" t="s">
        <v>30</v>
      </c>
      <c r="U182" s="12" t="s">
        <v>31</v>
      </c>
      <c r="V182" s="14">
        <v>77123.200000000012</v>
      </c>
      <c r="W182" s="12" t="s">
        <v>31</v>
      </c>
      <c r="X182" s="15">
        <v>1</v>
      </c>
      <c r="Y182" s="17" t="s">
        <v>267</v>
      </c>
      <c r="Z182" s="96"/>
    </row>
    <row r="183" spans="1:26" x14ac:dyDescent="0.3">
      <c r="A183" s="3">
        <v>46247</v>
      </c>
      <c r="B183" s="4" t="s">
        <v>25</v>
      </c>
      <c r="C183" s="5" t="s">
        <v>26</v>
      </c>
      <c r="D183" s="5" t="s">
        <v>27</v>
      </c>
      <c r="E183" s="5" t="s">
        <v>28</v>
      </c>
      <c r="F183" s="5" t="s">
        <v>29</v>
      </c>
      <c r="G183" s="5">
        <v>1050</v>
      </c>
      <c r="H183" s="5">
        <v>700</v>
      </c>
      <c r="I183" s="6">
        <v>16448</v>
      </c>
      <c r="J183" s="6">
        <v>16472</v>
      </c>
      <c r="K183" s="5">
        <v>15344</v>
      </c>
      <c r="L183" s="7">
        <f t="shared" si="0"/>
        <v>639.33333333333337</v>
      </c>
      <c r="M183" s="6">
        <f t="shared" si="1"/>
        <v>24</v>
      </c>
      <c r="N183" s="5">
        <v>0</v>
      </c>
      <c r="O183" s="5">
        <v>0</v>
      </c>
      <c r="P183" s="5">
        <v>0</v>
      </c>
      <c r="Q183" s="5">
        <f t="shared" si="2"/>
        <v>24</v>
      </c>
      <c r="R183" s="5">
        <v>0</v>
      </c>
      <c r="S183" s="5">
        <v>0</v>
      </c>
      <c r="T183" s="5" t="s">
        <v>30</v>
      </c>
      <c r="U183" s="5" t="s">
        <v>31</v>
      </c>
      <c r="V183" s="6">
        <v>135027.19999999998</v>
      </c>
      <c r="W183" s="5" t="s">
        <v>31</v>
      </c>
      <c r="X183" s="8">
        <v>1</v>
      </c>
      <c r="Y183" s="18"/>
      <c r="Z183" s="96"/>
    </row>
    <row r="184" spans="1:26" x14ac:dyDescent="0.3">
      <c r="A184" s="3">
        <v>46247</v>
      </c>
      <c r="B184" s="4" t="s">
        <v>25</v>
      </c>
      <c r="C184" s="5" t="s">
        <v>26</v>
      </c>
      <c r="D184" s="5" t="s">
        <v>27</v>
      </c>
      <c r="E184" s="5" t="s">
        <v>28</v>
      </c>
      <c r="F184" s="5" t="s">
        <v>32</v>
      </c>
      <c r="G184" s="5">
        <v>1050</v>
      </c>
      <c r="H184" s="5">
        <v>700</v>
      </c>
      <c r="I184" s="6">
        <v>14218</v>
      </c>
      <c r="J184" s="6">
        <v>14242</v>
      </c>
      <c r="K184" s="5">
        <v>15497</v>
      </c>
      <c r="L184" s="7">
        <f t="shared" si="0"/>
        <v>645.70833333333337</v>
      </c>
      <c r="M184" s="6">
        <f t="shared" si="1"/>
        <v>24</v>
      </c>
      <c r="N184" s="5">
        <v>0</v>
      </c>
      <c r="O184" s="5">
        <v>0</v>
      </c>
      <c r="P184" s="5">
        <v>0</v>
      </c>
      <c r="Q184" s="5">
        <f t="shared" si="2"/>
        <v>24</v>
      </c>
      <c r="R184" s="5">
        <v>0</v>
      </c>
      <c r="S184" s="5">
        <v>0</v>
      </c>
      <c r="T184" s="5" t="s">
        <v>30</v>
      </c>
      <c r="U184" s="5" t="s">
        <v>31</v>
      </c>
      <c r="V184" s="6">
        <v>136373.59999999998</v>
      </c>
      <c r="W184" s="5" t="s">
        <v>31</v>
      </c>
      <c r="X184" s="8">
        <v>1</v>
      </c>
      <c r="Y184" s="18"/>
      <c r="Z184" s="96"/>
    </row>
    <row r="185" spans="1:26" x14ac:dyDescent="0.3">
      <c r="A185" s="3">
        <v>46247</v>
      </c>
      <c r="B185" s="4" t="s">
        <v>25</v>
      </c>
      <c r="C185" s="5" t="s">
        <v>26</v>
      </c>
      <c r="D185" s="5" t="s">
        <v>27</v>
      </c>
      <c r="E185" s="5" t="s">
        <v>28</v>
      </c>
      <c r="F185" s="5" t="s">
        <v>33</v>
      </c>
      <c r="G185" s="5">
        <v>1050</v>
      </c>
      <c r="H185" s="5">
        <v>700</v>
      </c>
      <c r="I185" s="6">
        <v>12707</v>
      </c>
      <c r="J185" s="6">
        <v>12731</v>
      </c>
      <c r="K185" s="5">
        <v>15498</v>
      </c>
      <c r="L185" s="7">
        <f t="shared" si="0"/>
        <v>645.75</v>
      </c>
      <c r="M185" s="6">
        <f t="shared" si="1"/>
        <v>24</v>
      </c>
      <c r="N185" s="5">
        <v>0</v>
      </c>
      <c r="O185" s="5">
        <v>0</v>
      </c>
      <c r="P185" s="5">
        <v>0</v>
      </c>
      <c r="Q185" s="5">
        <f t="shared" si="2"/>
        <v>24</v>
      </c>
      <c r="R185" s="5">
        <v>0</v>
      </c>
      <c r="S185" s="5">
        <v>0</v>
      </c>
      <c r="T185" s="5" t="s">
        <v>30</v>
      </c>
      <c r="U185" s="5" t="s">
        <v>31</v>
      </c>
      <c r="V185" s="6">
        <v>136382.39999999999</v>
      </c>
      <c r="W185" s="5" t="s">
        <v>31</v>
      </c>
      <c r="X185" s="8">
        <v>1</v>
      </c>
      <c r="Y185" s="18"/>
      <c r="Z185" s="96"/>
    </row>
    <row r="186" spans="1:26" ht="51" x14ac:dyDescent="0.3">
      <c r="A186" s="3">
        <v>46247</v>
      </c>
      <c r="B186" s="4" t="s">
        <v>25</v>
      </c>
      <c r="C186" s="5" t="s">
        <v>26</v>
      </c>
      <c r="D186" s="5" t="s">
        <v>27</v>
      </c>
      <c r="E186" s="5" t="s">
        <v>34</v>
      </c>
      <c r="F186" s="5" t="s">
        <v>35</v>
      </c>
      <c r="G186" s="5">
        <v>1300</v>
      </c>
      <c r="H186" s="5">
        <v>1040</v>
      </c>
      <c r="I186" s="6">
        <v>4179</v>
      </c>
      <c r="J186" s="6">
        <v>4199</v>
      </c>
      <c r="K186" s="5">
        <v>14596</v>
      </c>
      <c r="L186" s="7">
        <f t="shared" si="0"/>
        <v>608.16666666666663</v>
      </c>
      <c r="M186" s="6">
        <f t="shared" si="1"/>
        <v>20</v>
      </c>
      <c r="N186" s="5">
        <v>4</v>
      </c>
      <c r="O186" s="5">
        <v>0</v>
      </c>
      <c r="P186" s="5">
        <v>0</v>
      </c>
      <c r="Q186" s="5">
        <f t="shared" si="2"/>
        <v>24</v>
      </c>
      <c r="R186" s="5">
        <v>0</v>
      </c>
      <c r="S186" s="5">
        <v>0</v>
      </c>
      <c r="T186" s="5" t="s">
        <v>30</v>
      </c>
      <c r="U186" s="5" t="s">
        <v>31</v>
      </c>
      <c r="V186" s="6">
        <v>128444.80000000002</v>
      </c>
      <c r="W186" s="5" t="s">
        <v>31</v>
      </c>
      <c r="X186" s="8">
        <v>1</v>
      </c>
      <c r="Y186" s="18" t="s">
        <v>268</v>
      </c>
      <c r="Z186" s="96"/>
    </row>
    <row r="187" spans="1:26" x14ac:dyDescent="0.3">
      <c r="A187" s="3">
        <v>46247</v>
      </c>
      <c r="B187" s="4" t="s">
        <v>25</v>
      </c>
      <c r="C187" s="5" t="s">
        <v>26</v>
      </c>
      <c r="D187" s="5" t="s">
        <v>27</v>
      </c>
      <c r="E187" s="5" t="s">
        <v>34</v>
      </c>
      <c r="F187" s="5" t="s">
        <v>36</v>
      </c>
      <c r="G187" s="5">
        <v>1300</v>
      </c>
      <c r="H187" s="5">
        <v>1040</v>
      </c>
      <c r="I187" s="6">
        <v>4162</v>
      </c>
      <c r="J187" s="6">
        <v>4186</v>
      </c>
      <c r="K187" s="5">
        <v>18165</v>
      </c>
      <c r="L187" s="7">
        <f t="shared" si="0"/>
        <v>756.875</v>
      </c>
      <c r="M187" s="6">
        <f t="shared" si="1"/>
        <v>24</v>
      </c>
      <c r="N187" s="5">
        <v>0</v>
      </c>
      <c r="O187" s="5">
        <v>0</v>
      </c>
      <c r="P187" s="5">
        <v>0</v>
      </c>
      <c r="Q187" s="5">
        <f t="shared" si="2"/>
        <v>24</v>
      </c>
      <c r="R187" s="5">
        <v>0</v>
      </c>
      <c r="S187" s="5">
        <v>0</v>
      </c>
      <c r="T187" s="5" t="s">
        <v>30</v>
      </c>
      <c r="U187" s="5" t="s">
        <v>31</v>
      </c>
      <c r="V187" s="6">
        <v>159852.00000000003</v>
      </c>
      <c r="W187" s="5" t="s">
        <v>31</v>
      </c>
      <c r="X187" s="8">
        <v>1</v>
      </c>
      <c r="Y187" s="18"/>
      <c r="Z187" s="96"/>
    </row>
    <row r="188" spans="1:26" ht="51" x14ac:dyDescent="0.3">
      <c r="A188" s="3">
        <v>46247</v>
      </c>
      <c r="B188" s="4" t="s">
        <v>25</v>
      </c>
      <c r="C188" s="5" t="s">
        <v>26</v>
      </c>
      <c r="D188" s="5" t="s">
        <v>27</v>
      </c>
      <c r="E188" s="5" t="s">
        <v>34</v>
      </c>
      <c r="F188" s="5" t="s">
        <v>46</v>
      </c>
      <c r="G188" s="5">
        <v>1300</v>
      </c>
      <c r="H188" s="5">
        <v>1040</v>
      </c>
      <c r="I188" s="6">
        <v>2585</v>
      </c>
      <c r="J188" s="6">
        <v>2605</v>
      </c>
      <c r="K188" s="5">
        <v>14117</v>
      </c>
      <c r="L188" s="7">
        <f t="shared" si="0"/>
        <v>588.20833333333337</v>
      </c>
      <c r="M188" s="6">
        <f t="shared" si="1"/>
        <v>20</v>
      </c>
      <c r="N188" s="5">
        <v>4</v>
      </c>
      <c r="O188" s="5">
        <v>0</v>
      </c>
      <c r="P188" s="5">
        <v>0</v>
      </c>
      <c r="Q188" s="5">
        <f t="shared" si="2"/>
        <v>24</v>
      </c>
      <c r="R188" s="5">
        <v>0</v>
      </c>
      <c r="S188" s="5">
        <v>0</v>
      </c>
      <c r="T188" s="5" t="s">
        <v>30</v>
      </c>
      <c r="U188" s="5" t="s">
        <v>31</v>
      </c>
      <c r="V188" s="6">
        <v>124229.6</v>
      </c>
      <c r="W188" s="5" t="s">
        <v>31</v>
      </c>
      <c r="X188" s="8">
        <v>1</v>
      </c>
      <c r="Y188" s="18" t="s">
        <v>269</v>
      </c>
      <c r="Z188" s="96"/>
    </row>
    <row r="189" spans="1:26" x14ac:dyDescent="0.3">
      <c r="A189" s="3">
        <v>46247</v>
      </c>
      <c r="B189" s="4" t="s">
        <v>25</v>
      </c>
      <c r="C189" s="5" t="s">
        <v>26</v>
      </c>
      <c r="D189" s="5" t="s">
        <v>27</v>
      </c>
      <c r="E189" s="5" t="s">
        <v>28</v>
      </c>
      <c r="F189" s="5" t="s">
        <v>47</v>
      </c>
      <c r="G189" s="5">
        <v>1050</v>
      </c>
      <c r="H189" s="5">
        <v>740</v>
      </c>
      <c r="I189" s="6">
        <v>1597</v>
      </c>
      <c r="J189" s="6">
        <v>1621</v>
      </c>
      <c r="K189" s="5">
        <v>14537</v>
      </c>
      <c r="L189" s="7">
        <f t="shared" si="0"/>
        <v>605.70833333333337</v>
      </c>
      <c r="M189" s="6">
        <f t="shared" si="1"/>
        <v>24</v>
      </c>
      <c r="N189" s="5">
        <v>0</v>
      </c>
      <c r="O189" s="5">
        <v>0</v>
      </c>
      <c r="P189" s="5">
        <v>0</v>
      </c>
      <c r="Q189" s="5">
        <f t="shared" si="2"/>
        <v>24</v>
      </c>
      <c r="R189" s="5">
        <v>0</v>
      </c>
      <c r="S189" s="5">
        <v>0</v>
      </c>
      <c r="T189" s="5" t="s">
        <v>30</v>
      </c>
      <c r="U189" s="5" t="s">
        <v>31</v>
      </c>
      <c r="V189" s="19">
        <v>127925.6</v>
      </c>
      <c r="W189" s="5" t="s">
        <v>31</v>
      </c>
      <c r="X189" s="8">
        <v>1</v>
      </c>
      <c r="Y189" s="18"/>
      <c r="Z189" s="96"/>
    </row>
    <row r="190" spans="1:26" x14ac:dyDescent="0.3">
      <c r="A190" s="3">
        <v>46247</v>
      </c>
      <c r="B190" s="4" t="s">
        <v>25</v>
      </c>
      <c r="C190" s="9" t="s">
        <v>26</v>
      </c>
      <c r="D190" s="9" t="s">
        <v>27</v>
      </c>
      <c r="E190" s="9" t="s">
        <v>37</v>
      </c>
      <c r="F190" s="9" t="s">
        <v>39</v>
      </c>
      <c r="G190" s="9">
        <v>500</v>
      </c>
      <c r="H190" s="9">
        <v>360</v>
      </c>
      <c r="I190" s="9">
        <v>15266</v>
      </c>
      <c r="J190" s="9">
        <v>15290</v>
      </c>
      <c r="K190" s="9">
        <v>8640</v>
      </c>
      <c r="L190" s="10">
        <f t="shared" si="0"/>
        <v>360</v>
      </c>
      <c r="M190" s="9">
        <f t="shared" si="1"/>
        <v>24</v>
      </c>
      <c r="N190" s="9">
        <v>0</v>
      </c>
      <c r="O190" s="9">
        <v>0</v>
      </c>
      <c r="P190" s="9">
        <v>0</v>
      </c>
      <c r="Q190" s="9">
        <f t="shared" si="2"/>
        <v>24</v>
      </c>
      <c r="R190" s="9">
        <v>0</v>
      </c>
      <c r="S190" s="9">
        <v>0</v>
      </c>
      <c r="T190" s="9" t="s">
        <v>38</v>
      </c>
      <c r="U190" s="9" t="s">
        <v>31</v>
      </c>
      <c r="V190" s="16">
        <v>605</v>
      </c>
      <c r="W190" s="9" t="s">
        <v>31</v>
      </c>
      <c r="X190" s="11">
        <v>1</v>
      </c>
      <c r="Y190" s="20"/>
      <c r="Z190" s="96"/>
    </row>
    <row r="191" spans="1:26" ht="40.799999999999997" x14ac:dyDescent="0.3">
      <c r="A191" s="3">
        <v>46247</v>
      </c>
      <c r="B191" s="4" t="s">
        <v>25</v>
      </c>
      <c r="C191" s="9" t="s">
        <v>26</v>
      </c>
      <c r="D191" s="9" t="s">
        <v>27</v>
      </c>
      <c r="E191" s="9" t="s">
        <v>37</v>
      </c>
      <c r="F191" s="9" t="s">
        <v>40</v>
      </c>
      <c r="G191" s="9">
        <v>1000</v>
      </c>
      <c r="H191" s="9">
        <v>800</v>
      </c>
      <c r="I191" s="9">
        <v>3590</v>
      </c>
      <c r="J191" s="9">
        <v>3605</v>
      </c>
      <c r="K191" s="9">
        <v>12121</v>
      </c>
      <c r="L191" s="10">
        <f t="shared" si="0"/>
        <v>505.04166666666669</v>
      </c>
      <c r="M191" s="9">
        <f t="shared" si="1"/>
        <v>15</v>
      </c>
      <c r="N191" s="9">
        <v>9</v>
      </c>
      <c r="O191" s="9">
        <v>0</v>
      </c>
      <c r="P191" s="9">
        <v>0</v>
      </c>
      <c r="Q191" s="9">
        <f t="shared" si="2"/>
        <v>24</v>
      </c>
      <c r="R191" s="9">
        <v>0</v>
      </c>
      <c r="S191" s="9">
        <v>0</v>
      </c>
      <c r="T191" s="9" t="s">
        <v>38</v>
      </c>
      <c r="U191" s="9" t="s">
        <v>31</v>
      </c>
      <c r="V191" s="16">
        <v>848</v>
      </c>
      <c r="W191" s="9" t="s">
        <v>31</v>
      </c>
      <c r="X191" s="11">
        <v>1</v>
      </c>
      <c r="Y191" s="20" t="s">
        <v>270</v>
      </c>
      <c r="Z191" s="96"/>
    </row>
    <row r="192" spans="1:26" ht="20.399999999999999" x14ac:dyDescent="0.3">
      <c r="A192" s="3">
        <v>46247</v>
      </c>
      <c r="B192" s="4" t="s">
        <v>25</v>
      </c>
      <c r="C192" s="9" t="s">
        <v>26</v>
      </c>
      <c r="D192" s="9" t="s">
        <v>27</v>
      </c>
      <c r="E192" s="9" t="s">
        <v>37</v>
      </c>
      <c r="F192" s="9" t="s">
        <v>41</v>
      </c>
      <c r="G192" s="9">
        <v>1000</v>
      </c>
      <c r="H192" s="9">
        <v>800</v>
      </c>
      <c r="I192" s="9">
        <v>2460</v>
      </c>
      <c r="J192" s="9">
        <v>2476</v>
      </c>
      <c r="K192" s="9">
        <v>12084</v>
      </c>
      <c r="L192" s="10">
        <f t="shared" si="0"/>
        <v>503.5</v>
      </c>
      <c r="M192" s="9">
        <f t="shared" si="1"/>
        <v>16</v>
      </c>
      <c r="N192" s="9">
        <v>8</v>
      </c>
      <c r="O192" s="9">
        <v>0</v>
      </c>
      <c r="P192" s="9">
        <v>0</v>
      </c>
      <c r="Q192" s="9">
        <f t="shared" si="2"/>
        <v>24</v>
      </c>
      <c r="R192" s="9">
        <v>0</v>
      </c>
      <c r="S192" s="9">
        <v>0</v>
      </c>
      <c r="T192" s="9" t="s">
        <v>38</v>
      </c>
      <c r="U192" s="9" t="s">
        <v>31</v>
      </c>
      <c r="V192" s="16">
        <v>846</v>
      </c>
      <c r="W192" s="9" t="s">
        <v>31</v>
      </c>
      <c r="X192" s="11">
        <v>1</v>
      </c>
      <c r="Y192" s="20" t="s">
        <v>271</v>
      </c>
      <c r="Z192" s="96"/>
    </row>
    <row r="193" spans="1:26" x14ac:dyDescent="0.3">
      <c r="A193" s="3">
        <v>46247</v>
      </c>
      <c r="B193" s="4" t="s">
        <v>25</v>
      </c>
      <c r="C193" s="12" t="s">
        <v>42</v>
      </c>
      <c r="D193" s="12" t="s">
        <v>27</v>
      </c>
      <c r="E193" s="12" t="s">
        <v>43</v>
      </c>
      <c r="F193" s="12" t="s">
        <v>44</v>
      </c>
      <c r="G193" s="12">
        <v>600</v>
      </c>
      <c r="H193" s="12">
        <v>350</v>
      </c>
      <c r="I193" s="12">
        <v>6642</v>
      </c>
      <c r="J193" s="12">
        <v>6666</v>
      </c>
      <c r="K193" s="12">
        <v>8449</v>
      </c>
      <c r="L193" s="13">
        <f t="shared" si="0"/>
        <v>352.04166666666669</v>
      </c>
      <c r="M193" s="12">
        <f t="shared" si="1"/>
        <v>24</v>
      </c>
      <c r="N193" s="12">
        <v>0</v>
      </c>
      <c r="O193" s="12">
        <v>0</v>
      </c>
      <c r="P193" s="12">
        <v>0</v>
      </c>
      <c r="Q193" s="12">
        <f t="shared" si="2"/>
        <v>24</v>
      </c>
      <c r="R193" s="12">
        <v>0</v>
      </c>
      <c r="S193" s="12">
        <v>0</v>
      </c>
      <c r="T193" s="12" t="s">
        <v>30</v>
      </c>
      <c r="U193" s="12" t="s">
        <v>31</v>
      </c>
      <c r="V193" s="14">
        <v>74351.200000000012</v>
      </c>
      <c r="W193" s="12" t="s">
        <v>31</v>
      </c>
      <c r="X193" s="15">
        <v>1</v>
      </c>
      <c r="Y193" s="17"/>
      <c r="Z193" s="96"/>
    </row>
    <row r="194" spans="1:26" x14ac:dyDescent="0.3">
      <c r="A194" s="3">
        <v>46247</v>
      </c>
      <c r="B194" s="4" t="s">
        <v>25</v>
      </c>
      <c r="C194" s="12" t="s">
        <v>42</v>
      </c>
      <c r="D194" s="12" t="s">
        <v>27</v>
      </c>
      <c r="E194" s="12" t="s">
        <v>43</v>
      </c>
      <c r="F194" s="12" t="s">
        <v>45</v>
      </c>
      <c r="G194" s="12">
        <v>600</v>
      </c>
      <c r="H194" s="12">
        <v>350</v>
      </c>
      <c r="I194" s="12">
        <v>6565</v>
      </c>
      <c r="J194" s="12">
        <v>6589</v>
      </c>
      <c r="K194" s="12">
        <v>8166</v>
      </c>
      <c r="L194" s="13">
        <f t="shared" si="0"/>
        <v>340.25</v>
      </c>
      <c r="M194" s="12">
        <f t="shared" si="1"/>
        <v>24</v>
      </c>
      <c r="N194" s="12">
        <v>0</v>
      </c>
      <c r="O194" s="12">
        <v>0</v>
      </c>
      <c r="P194" s="12">
        <v>0</v>
      </c>
      <c r="Q194" s="12">
        <f t="shared" si="2"/>
        <v>24</v>
      </c>
      <c r="R194" s="12">
        <v>0</v>
      </c>
      <c r="S194" s="12">
        <v>0</v>
      </c>
      <c r="T194" s="12" t="s">
        <v>30</v>
      </c>
      <c r="U194" s="12" t="s">
        <v>31</v>
      </c>
      <c r="V194" s="14">
        <v>71860.800000000003</v>
      </c>
      <c r="W194" s="12" t="s">
        <v>31</v>
      </c>
      <c r="X194" s="15">
        <v>1</v>
      </c>
      <c r="Y194" s="17"/>
      <c r="Z194" s="96"/>
    </row>
    <row r="195" spans="1:26" x14ac:dyDescent="0.3">
      <c r="A195" s="3">
        <v>46247</v>
      </c>
      <c r="B195" s="4" t="s">
        <v>25</v>
      </c>
      <c r="C195" s="12" t="s">
        <v>26</v>
      </c>
      <c r="D195" s="12" t="s">
        <v>27</v>
      </c>
      <c r="E195" s="12" t="s">
        <v>43</v>
      </c>
      <c r="F195" s="12" t="s">
        <v>163</v>
      </c>
      <c r="G195" s="12">
        <v>600</v>
      </c>
      <c r="H195" s="12">
        <v>450</v>
      </c>
      <c r="I195" s="12">
        <v>4555</v>
      </c>
      <c r="J195" s="12">
        <v>4579</v>
      </c>
      <c r="K195" s="12">
        <v>8941</v>
      </c>
      <c r="L195" s="13">
        <f t="shared" si="0"/>
        <v>372.54166666666669</v>
      </c>
      <c r="M195" s="12">
        <f t="shared" si="1"/>
        <v>24</v>
      </c>
      <c r="N195" s="12">
        <v>0</v>
      </c>
      <c r="O195" s="12">
        <v>0</v>
      </c>
      <c r="P195" s="12">
        <v>0</v>
      </c>
      <c r="Q195" s="12">
        <f t="shared" si="2"/>
        <v>24</v>
      </c>
      <c r="R195" s="12">
        <v>0</v>
      </c>
      <c r="S195" s="12">
        <v>0</v>
      </c>
      <c r="T195" s="12" t="s">
        <v>30</v>
      </c>
      <c r="U195" s="12" t="s">
        <v>31</v>
      </c>
      <c r="V195" s="14">
        <v>78680.800000000017</v>
      </c>
      <c r="W195" s="12" t="s">
        <v>31</v>
      </c>
      <c r="X195" s="15">
        <v>1</v>
      </c>
      <c r="Y195" s="17"/>
      <c r="Z195" s="96"/>
    </row>
    <row r="196" spans="1:26" x14ac:dyDescent="0.3">
      <c r="A196" s="3">
        <v>46247</v>
      </c>
      <c r="B196" s="4" t="s">
        <v>25</v>
      </c>
      <c r="C196" s="12" t="s">
        <v>26</v>
      </c>
      <c r="D196" s="12" t="s">
        <v>27</v>
      </c>
      <c r="E196" s="12" t="s">
        <v>43</v>
      </c>
      <c r="F196" s="12" t="s">
        <v>164</v>
      </c>
      <c r="G196" s="12">
        <v>600</v>
      </c>
      <c r="H196" s="12">
        <v>450</v>
      </c>
      <c r="I196" s="12">
        <v>740</v>
      </c>
      <c r="J196" s="12">
        <v>764</v>
      </c>
      <c r="K196" s="12">
        <v>8941</v>
      </c>
      <c r="L196" s="13">
        <f t="shared" si="0"/>
        <v>372.54166666666669</v>
      </c>
      <c r="M196" s="12">
        <f t="shared" si="1"/>
        <v>24</v>
      </c>
      <c r="N196" s="12">
        <v>0</v>
      </c>
      <c r="O196" s="12">
        <v>0</v>
      </c>
      <c r="P196" s="12">
        <v>0</v>
      </c>
      <c r="Q196" s="12">
        <f t="shared" si="2"/>
        <v>24</v>
      </c>
      <c r="R196" s="12">
        <v>0</v>
      </c>
      <c r="S196" s="12">
        <v>0</v>
      </c>
      <c r="T196" s="12" t="s">
        <v>30</v>
      </c>
      <c r="U196" s="12" t="s">
        <v>31</v>
      </c>
      <c r="V196" s="14">
        <v>78680.800000000017</v>
      </c>
      <c r="W196" s="12" t="s">
        <v>31</v>
      </c>
      <c r="X196" s="15">
        <v>1</v>
      </c>
      <c r="Y196" s="76"/>
      <c r="Z196" s="96"/>
    </row>
    <row r="197" spans="1:26" ht="20.399999999999999" x14ac:dyDescent="0.3">
      <c r="A197" s="3">
        <v>46247</v>
      </c>
      <c r="B197" s="4" t="s">
        <v>25</v>
      </c>
      <c r="C197" s="12" t="s">
        <v>26</v>
      </c>
      <c r="D197" s="12" t="s">
        <v>27</v>
      </c>
      <c r="E197" s="12" t="s">
        <v>43</v>
      </c>
      <c r="F197" s="12" t="s">
        <v>165</v>
      </c>
      <c r="G197" s="12">
        <v>600</v>
      </c>
      <c r="H197" s="12">
        <v>450</v>
      </c>
      <c r="I197" s="12">
        <v>772</v>
      </c>
      <c r="J197" s="12">
        <v>796</v>
      </c>
      <c r="K197" s="12">
        <v>8878</v>
      </c>
      <c r="L197" s="13">
        <f t="shared" si="0"/>
        <v>369.91666666666669</v>
      </c>
      <c r="M197" s="12">
        <f t="shared" si="1"/>
        <v>24</v>
      </c>
      <c r="N197" s="12">
        <v>0</v>
      </c>
      <c r="O197" s="12">
        <v>0</v>
      </c>
      <c r="P197" s="12">
        <v>0</v>
      </c>
      <c r="Q197" s="12">
        <f t="shared" si="2"/>
        <v>24</v>
      </c>
      <c r="R197" s="12">
        <v>0</v>
      </c>
      <c r="S197" s="12">
        <v>0</v>
      </c>
      <c r="T197" s="12" t="s">
        <v>30</v>
      </c>
      <c r="U197" s="12" t="s">
        <v>31</v>
      </c>
      <c r="V197" s="14">
        <v>78126.400000000023</v>
      </c>
      <c r="W197" s="12" t="s">
        <v>31</v>
      </c>
      <c r="X197" s="15">
        <v>1</v>
      </c>
      <c r="Y197" s="17" t="s">
        <v>272</v>
      </c>
      <c r="Z197" s="96"/>
    </row>
    <row r="198" spans="1:26" ht="20.399999999999999" x14ac:dyDescent="0.3">
      <c r="A198" s="3">
        <v>46248</v>
      </c>
      <c r="B198" s="4" t="s">
        <v>25</v>
      </c>
      <c r="C198" s="5" t="s">
        <v>26</v>
      </c>
      <c r="D198" s="5" t="s">
        <v>27</v>
      </c>
      <c r="E198" s="5" t="s">
        <v>28</v>
      </c>
      <c r="F198" s="5" t="s">
        <v>29</v>
      </c>
      <c r="G198" s="5">
        <v>1050</v>
      </c>
      <c r="H198" s="5">
        <v>700</v>
      </c>
      <c r="I198" s="6">
        <v>16472</v>
      </c>
      <c r="J198" s="6">
        <v>16495</v>
      </c>
      <c r="K198" s="5">
        <v>14573</v>
      </c>
      <c r="L198" s="7">
        <f t="shared" si="0"/>
        <v>607.20833333333337</v>
      </c>
      <c r="M198" s="6">
        <f t="shared" si="1"/>
        <v>23</v>
      </c>
      <c r="N198" s="5">
        <v>1</v>
      </c>
      <c r="O198" s="5">
        <v>0</v>
      </c>
      <c r="P198" s="5">
        <v>0</v>
      </c>
      <c r="Q198" s="5">
        <f t="shared" si="2"/>
        <v>24</v>
      </c>
      <c r="R198" s="5">
        <v>0</v>
      </c>
      <c r="S198" s="5">
        <v>0</v>
      </c>
      <c r="T198" s="5" t="s">
        <v>30</v>
      </c>
      <c r="U198" s="5" t="s">
        <v>31</v>
      </c>
      <c r="V198" s="6">
        <v>128242.39999999997</v>
      </c>
      <c r="W198" s="5" t="s">
        <v>31</v>
      </c>
      <c r="X198" s="8">
        <v>1</v>
      </c>
      <c r="Y198" s="18" t="s">
        <v>273</v>
      </c>
      <c r="Z198" s="96"/>
    </row>
    <row r="199" spans="1:26" ht="20.399999999999999" x14ac:dyDescent="0.3">
      <c r="A199" s="3">
        <v>46248</v>
      </c>
      <c r="B199" s="4" t="s">
        <v>25</v>
      </c>
      <c r="C199" s="5" t="s">
        <v>26</v>
      </c>
      <c r="D199" s="5" t="s">
        <v>27</v>
      </c>
      <c r="E199" s="5" t="s">
        <v>28</v>
      </c>
      <c r="F199" s="5" t="s">
        <v>32</v>
      </c>
      <c r="G199" s="5">
        <v>1050</v>
      </c>
      <c r="H199" s="5">
        <v>700</v>
      </c>
      <c r="I199" s="6">
        <v>14242</v>
      </c>
      <c r="J199" s="6">
        <v>14265</v>
      </c>
      <c r="K199" s="5">
        <v>13649</v>
      </c>
      <c r="L199" s="7">
        <f t="shared" si="0"/>
        <v>568.70833333333337</v>
      </c>
      <c r="M199" s="6">
        <f t="shared" si="1"/>
        <v>23</v>
      </c>
      <c r="N199" s="5">
        <v>1</v>
      </c>
      <c r="O199" s="5">
        <v>0</v>
      </c>
      <c r="P199" s="5">
        <v>0</v>
      </c>
      <c r="Q199" s="5">
        <f t="shared" si="2"/>
        <v>24</v>
      </c>
      <c r="R199" s="5">
        <v>0</v>
      </c>
      <c r="S199" s="5">
        <v>0</v>
      </c>
      <c r="T199" s="5" t="s">
        <v>30</v>
      </c>
      <c r="U199" s="5" t="s">
        <v>31</v>
      </c>
      <c r="V199" s="6">
        <v>120111.20000000006</v>
      </c>
      <c r="W199" s="5" t="s">
        <v>31</v>
      </c>
      <c r="X199" s="8">
        <v>1</v>
      </c>
      <c r="Y199" s="18" t="s">
        <v>274</v>
      </c>
      <c r="Z199" s="96"/>
    </row>
    <row r="200" spans="1:26" ht="20.399999999999999" x14ac:dyDescent="0.3">
      <c r="A200" s="3">
        <v>46248</v>
      </c>
      <c r="B200" s="4" t="s">
        <v>25</v>
      </c>
      <c r="C200" s="5" t="s">
        <v>26</v>
      </c>
      <c r="D200" s="5" t="s">
        <v>27</v>
      </c>
      <c r="E200" s="5" t="s">
        <v>28</v>
      </c>
      <c r="F200" s="5" t="s">
        <v>33</v>
      </c>
      <c r="G200" s="5">
        <v>1050</v>
      </c>
      <c r="H200" s="5">
        <v>700</v>
      </c>
      <c r="I200" s="6">
        <v>12731</v>
      </c>
      <c r="J200" s="6">
        <v>12754</v>
      </c>
      <c r="K200" s="5">
        <v>14613</v>
      </c>
      <c r="L200" s="7">
        <f t="shared" si="0"/>
        <v>608.875</v>
      </c>
      <c r="M200" s="6">
        <f t="shared" si="1"/>
        <v>23</v>
      </c>
      <c r="N200" s="5">
        <v>1</v>
      </c>
      <c r="O200" s="5">
        <v>0</v>
      </c>
      <c r="P200" s="5">
        <v>0</v>
      </c>
      <c r="Q200" s="5">
        <f t="shared" si="2"/>
        <v>24</v>
      </c>
      <c r="R200" s="5">
        <v>0</v>
      </c>
      <c r="S200" s="5">
        <v>0</v>
      </c>
      <c r="T200" s="5" t="s">
        <v>30</v>
      </c>
      <c r="U200" s="5" t="s">
        <v>31</v>
      </c>
      <c r="V200" s="6">
        <v>128594.39999999998</v>
      </c>
      <c r="W200" s="5" t="s">
        <v>31</v>
      </c>
      <c r="X200" s="8">
        <v>1</v>
      </c>
      <c r="Y200" s="18" t="s">
        <v>275</v>
      </c>
      <c r="Z200" s="96"/>
    </row>
    <row r="201" spans="1:26" x14ac:dyDescent="0.3">
      <c r="A201" s="3">
        <v>46248</v>
      </c>
      <c r="B201" s="4" t="s">
        <v>25</v>
      </c>
      <c r="C201" s="5" t="s">
        <v>26</v>
      </c>
      <c r="D201" s="5" t="s">
        <v>27</v>
      </c>
      <c r="E201" s="5" t="s">
        <v>34</v>
      </c>
      <c r="F201" s="5" t="s">
        <v>35</v>
      </c>
      <c r="G201" s="5">
        <v>1300</v>
      </c>
      <c r="H201" s="5">
        <v>1040</v>
      </c>
      <c r="I201" s="6">
        <v>4199</v>
      </c>
      <c r="J201" s="6">
        <v>4223</v>
      </c>
      <c r="K201" s="5">
        <v>18434</v>
      </c>
      <c r="L201" s="7">
        <f t="shared" si="0"/>
        <v>768.08333333333337</v>
      </c>
      <c r="M201" s="6">
        <f t="shared" si="1"/>
        <v>24</v>
      </c>
      <c r="N201" s="5">
        <v>0</v>
      </c>
      <c r="O201" s="5">
        <v>0</v>
      </c>
      <c r="P201" s="5">
        <v>0</v>
      </c>
      <c r="Q201" s="5">
        <f t="shared" si="2"/>
        <v>24</v>
      </c>
      <c r="R201" s="5">
        <v>0</v>
      </c>
      <c r="S201" s="5">
        <v>0</v>
      </c>
      <c r="T201" s="5" t="s">
        <v>30</v>
      </c>
      <c r="U201" s="5" t="s">
        <v>31</v>
      </c>
      <c r="V201" s="6">
        <v>162219.20000000004</v>
      </c>
      <c r="W201" s="5" t="s">
        <v>31</v>
      </c>
      <c r="X201" s="8">
        <v>1</v>
      </c>
      <c r="Y201" s="18"/>
      <c r="Z201" s="96"/>
    </row>
    <row r="202" spans="1:26" x14ac:dyDescent="0.3">
      <c r="A202" s="3">
        <v>46248</v>
      </c>
      <c r="B202" s="4" t="s">
        <v>25</v>
      </c>
      <c r="C202" s="5" t="s">
        <v>26</v>
      </c>
      <c r="D202" s="5" t="s">
        <v>27</v>
      </c>
      <c r="E202" s="5" t="s">
        <v>34</v>
      </c>
      <c r="F202" s="5" t="s">
        <v>36</v>
      </c>
      <c r="G202" s="5">
        <v>1300</v>
      </c>
      <c r="H202" s="5">
        <v>1040</v>
      </c>
      <c r="I202" s="6">
        <v>4186</v>
      </c>
      <c r="J202" s="6">
        <v>4210</v>
      </c>
      <c r="K202" s="5">
        <v>18508</v>
      </c>
      <c r="L202" s="7">
        <f t="shared" si="0"/>
        <v>771.16666666666663</v>
      </c>
      <c r="M202" s="6">
        <f t="shared" si="1"/>
        <v>24</v>
      </c>
      <c r="N202" s="5">
        <v>0</v>
      </c>
      <c r="O202" s="5">
        <v>0</v>
      </c>
      <c r="P202" s="5">
        <v>0</v>
      </c>
      <c r="Q202" s="5">
        <f t="shared" si="2"/>
        <v>24</v>
      </c>
      <c r="R202" s="5">
        <v>0</v>
      </c>
      <c r="S202" s="5">
        <v>0</v>
      </c>
      <c r="T202" s="5" t="s">
        <v>30</v>
      </c>
      <c r="U202" s="5" t="s">
        <v>31</v>
      </c>
      <c r="V202" s="6">
        <v>162870.39999999999</v>
      </c>
      <c r="W202" s="5" t="s">
        <v>31</v>
      </c>
      <c r="X202" s="8">
        <v>1</v>
      </c>
      <c r="Y202" s="18"/>
      <c r="Z202" s="96"/>
    </row>
    <row r="203" spans="1:26" ht="81.599999999999994" x14ac:dyDescent="0.3">
      <c r="A203" s="3">
        <v>46248</v>
      </c>
      <c r="B203" s="4" t="s">
        <v>25</v>
      </c>
      <c r="C203" s="5" t="s">
        <v>26</v>
      </c>
      <c r="D203" s="5" t="s">
        <v>27</v>
      </c>
      <c r="E203" s="5" t="s">
        <v>34</v>
      </c>
      <c r="F203" s="5" t="s">
        <v>46</v>
      </c>
      <c r="G203" s="5">
        <v>1300</v>
      </c>
      <c r="H203" s="5">
        <v>1040</v>
      </c>
      <c r="I203" s="6">
        <v>2605</v>
      </c>
      <c r="J203" s="6">
        <v>2621</v>
      </c>
      <c r="K203" s="5">
        <v>12361</v>
      </c>
      <c r="L203" s="7">
        <f t="shared" si="0"/>
        <v>515.04166666666663</v>
      </c>
      <c r="M203" s="6">
        <f t="shared" si="1"/>
        <v>16</v>
      </c>
      <c r="N203" s="5">
        <v>8</v>
      </c>
      <c r="O203" s="5">
        <v>0</v>
      </c>
      <c r="P203" s="5">
        <v>0</v>
      </c>
      <c r="Q203" s="5">
        <f t="shared" si="2"/>
        <v>24</v>
      </c>
      <c r="R203" s="5">
        <v>0</v>
      </c>
      <c r="S203" s="5">
        <v>0</v>
      </c>
      <c r="T203" s="5" t="s">
        <v>30</v>
      </c>
      <c r="U203" s="5" t="s">
        <v>31</v>
      </c>
      <c r="V203" s="6">
        <v>108776.79999999999</v>
      </c>
      <c r="W203" s="5" t="s">
        <v>31</v>
      </c>
      <c r="X203" s="8">
        <v>1</v>
      </c>
      <c r="Y203" s="18" t="s">
        <v>276</v>
      </c>
      <c r="Z203" s="96"/>
    </row>
    <row r="204" spans="1:26" ht="20.399999999999999" x14ac:dyDescent="0.3">
      <c r="A204" s="3">
        <v>46248</v>
      </c>
      <c r="B204" s="4" t="s">
        <v>25</v>
      </c>
      <c r="C204" s="5" t="s">
        <v>26</v>
      </c>
      <c r="D204" s="5" t="s">
        <v>27</v>
      </c>
      <c r="E204" s="5" t="s">
        <v>28</v>
      </c>
      <c r="F204" s="5" t="s">
        <v>47</v>
      </c>
      <c r="G204" s="5">
        <v>1050</v>
      </c>
      <c r="H204" s="5">
        <v>740</v>
      </c>
      <c r="I204" s="6">
        <v>1621</v>
      </c>
      <c r="J204" s="6">
        <v>1643</v>
      </c>
      <c r="K204" s="5">
        <v>13460</v>
      </c>
      <c r="L204" s="7">
        <f t="shared" si="0"/>
        <v>560.83333333333337</v>
      </c>
      <c r="M204" s="6">
        <f t="shared" si="1"/>
        <v>22</v>
      </c>
      <c r="N204" s="5">
        <v>2</v>
      </c>
      <c r="O204" s="5">
        <v>0</v>
      </c>
      <c r="P204" s="5">
        <v>0</v>
      </c>
      <c r="Q204" s="5">
        <f t="shared" si="2"/>
        <v>24</v>
      </c>
      <c r="R204" s="5">
        <v>0</v>
      </c>
      <c r="S204" s="5">
        <v>0</v>
      </c>
      <c r="T204" s="5" t="s">
        <v>30</v>
      </c>
      <c r="U204" s="5" t="s">
        <v>31</v>
      </c>
      <c r="V204" s="19">
        <v>118448.00000000001</v>
      </c>
      <c r="W204" s="5" t="s">
        <v>31</v>
      </c>
      <c r="X204" s="8">
        <v>1</v>
      </c>
      <c r="Y204" s="18" t="s">
        <v>277</v>
      </c>
      <c r="Z204" s="96"/>
    </row>
    <row r="205" spans="1:26" x14ac:dyDescent="0.3">
      <c r="A205" s="3">
        <v>46248</v>
      </c>
      <c r="B205" s="4" t="s">
        <v>25</v>
      </c>
      <c r="C205" s="9" t="s">
        <v>26</v>
      </c>
      <c r="D205" s="9" t="s">
        <v>27</v>
      </c>
      <c r="E205" s="9" t="s">
        <v>37</v>
      </c>
      <c r="F205" s="9" t="s">
        <v>39</v>
      </c>
      <c r="G205" s="9">
        <v>500</v>
      </c>
      <c r="H205" s="9">
        <v>360</v>
      </c>
      <c r="I205" s="9">
        <v>15290</v>
      </c>
      <c r="J205" s="9">
        <v>15314</v>
      </c>
      <c r="K205" s="9">
        <v>8640</v>
      </c>
      <c r="L205" s="10">
        <f t="shared" si="0"/>
        <v>360</v>
      </c>
      <c r="M205" s="9">
        <f t="shared" si="1"/>
        <v>24</v>
      </c>
      <c r="N205" s="9">
        <v>0</v>
      </c>
      <c r="O205" s="9">
        <v>0</v>
      </c>
      <c r="P205" s="9">
        <v>0</v>
      </c>
      <c r="Q205" s="9">
        <f t="shared" si="2"/>
        <v>24</v>
      </c>
      <c r="R205" s="9">
        <v>0</v>
      </c>
      <c r="S205" s="9">
        <v>0</v>
      </c>
      <c r="T205" s="9" t="s">
        <v>38</v>
      </c>
      <c r="U205" s="9" t="s">
        <v>31</v>
      </c>
      <c r="V205" s="16"/>
      <c r="W205" s="9" t="s">
        <v>31</v>
      </c>
      <c r="X205" s="11">
        <v>1</v>
      </c>
      <c r="Y205" s="20"/>
      <c r="Z205" s="96"/>
    </row>
    <row r="206" spans="1:26" ht="81.599999999999994" x14ac:dyDescent="0.3">
      <c r="A206" s="3">
        <v>46248</v>
      </c>
      <c r="B206" s="4" t="s">
        <v>25</v>
      </c>
      <c r="C206" s="9" t="s">
        <v>26</v>
      </c>
      <c r="D206" s="9" t="s">
        <v>27</v>
      </c>
      <c r="E206" s="9" t="s">
        <v>37</v>
      </c>
      <c r="F206" s="9" t="s">
        <v>40</v>
      </c>
      <c r="G206" s="9">
        <v>1000</v>
      </c>
      <c r="H206" s="9">
        <v>800</v>
      </c>
      <c r="I206" s="9">
        <v>3605</v>
      </c>
      <c r="J206" s="9">
        <v>3617</v>
      </c>
      <c r="K206" s="9">
        <v>9245</v>
      </c>
      <c r="L206" s="10">
        <f t="shared" si="0"/>
        <v>385.20833333333331</v>
      </c>
      <c r="M206" s="9">
        <f t="shared" si="1"/>
        <v>12</v>
      </c>
      <c r="N206" s="9">
        <v>12</v>
      </c>
      <c r="O206" s="9">
        <v>0</v>
      </c>
      <c r="P206" s="9">
        <v>0</v>
      </c>
      <c r="Q206" s="9">
        <f t="shared" si="2"/>
        <v>24</v>
      </c>
      <c r="R206" s="9">
        <v>0</v>
      </c>
      <c r="S206" s="9">
        <v>0</v>
      </c>
      <c r="T206" s="9" t="s">
        <v>38</v>
      </c>
      <c r="U206" s="9" t="s">
        <v>31</v>
      </c>
      <c r="V206" s="16"/>
      <c r="W206" s="9" t="s">
        <v>31</v>
      </c>
      <c r="X206" s="11">
        <v>1</v>
      </c>
      <c r="Y206" s="20" t="s">
        <v>278</v>
      </c>
      <c r="Z206" s="96"/>
    </row>
    <row r="207" spans="1:26" x14ac:dyDescent="0.3">
      <c r="A207" s="3">
        <v>46248</v>
      </c>
      <c r="B207" s="4" t="s">
        <v>25</v>
      </c>
      <c r="C207" s="9" t="s">
        <v>26</v>
      </c>
      <c r="D207" s="9" t="s">
        <v>27</v>
      </c>
      <c r="E207" s="9" t="s">
        <v>37</v>
      </c>
      <c r="F207" s="9" t="s">
        <v>41</v>
      </c>
      <c r="G207" s="9">
        <v>1000</v>
      </c>
      <c r="H207" s="9">
        <v>800</v>
      </c>
      <c r="I207" s="9">
        <v>2476</v>
      </c>
      <c r="J207" s="9">
        <v>2500</v>
      </c>
      <c r="K207" s="9">
        <v>18038</v>
      </c>
      <c r="L207" s="10">
        <f t="shared" si="0"/>
        <v>751.58333333333337</v>
      </c>
      <c r="M207" s="9">
        <f t="shared" si="1"/>
        <v>24</v>
      </c>
      <c r="N207" s="9">
        <v>0</v>
      </c>
      <c r="O207" s="9">
        <v>0</v>
      </c>
      <c r="P207" s="9">
        <v>0</v>
      </c>
      <c r="Q207" s="9">
        <f t="shared" si="2"/>
        <v>24</v>
      </c>
      <c r="R207" s="9">
        <v>0</v>
      </c>
      <c r="S207" s="9">
        <v>0</v>
      </c>
      <c r="T207" s="9" t="s">
        <v>38</v>
      </c>
      <c r="U207" s="9" t="s">
        <v>31</v>
      </c>
      <c r="V207" s="16"/>
      <c r="W207" s="9" t="s">
        <v>31</v>
      </c>
      <c r="X207" s="11">
        <v>1</v>
      </c>
      <c r="Y207" s="20"/>
      <c r="Z207" s="96"/>
    </row>
    <row r="208" spans="1:26" x14ac:dyDescent="0.3">
      <c r="A208" s="3">
        <v>46248</v>
      </c>
      <c r="B208" s="4" t="s">
        <v>25</v>
      </c>
      <c r="C208" s="12" t="s">
        <v>42</v>
      </c>
      <c r="D208" s="12" t="s">
        <v>27</v>
      </c>
      <c r="E208" s="12" t="s">
        <v>43</v>
      </c>
      <c r="F208" s="12" t="s">
        <v>44</v>
      </c>
      <c r="G208" s="12">
        <v>600</v>
      </c>
      <c r="H208" s="12">
        <v>350</v>
      </c>
      <c r="I208" s="12">
        <v>6666</v>
      </c>
      <c r="J208" s="12">
        <v>6690</v>
      </c>
      <c r="K208" s="12">
        <v>8054</v>
      </c>
      <c r="L208" s="13">
        <f t="shared" si="0"/>
        <v>335.58333333333331</v>
      </c>
      <c r="M208" s="12">
        <f t="shared" si="1"/>
        <v>24</v>
      </c>
      <c r="N208" s="12">
        <v>0</v>
      </c>
      <c r="O208" s="12">
        <v>0</v>
      </c>
      <c r="P208" s="12">
        <v>0</v>
      </c>
      <c r="Q208" s="12">
        <f t="shared" si="2"/>
        <v>24</v>
      </c>
      <c r="R208" s="12">
        <v>0</v>
      </c>
      <c r="S208" s="12">
        <v>0</v>
      </c>
      <c r="T208" s="12" t="s">
        <v>30</v>
      </c>
      <c r="U208" s="12" t="s">
        <v>31</v>
      </c>
      <c r="V208" s="14">
        <v>70875.200000000012</v>
      </c>
      <c r="W208" s="12" t="s">
        <v>31</v>
      </c>
      <c r="X208" s="15">
        <v>1</v>
      </c>
      <c r="Y208" s="17"/>
      <c r="Z208" s="96"/>
    </row>
    <row r="209" spans="1:26" x14ac:dyDescent="0.3">
      <c r="A209" s="3">
        <v>46248</v>
      </c>
      <c r="B209" s="4" t="s">
        <v>25</v>
      </c>
      <c r="C209" s="12" t="s">
        <v>42</v>
      </c>
      <c r="D209" s="12" t="s">
        <v>27</v>
      </c>
      <c r="E209" s="12" t="s">
        <v>43</v>
      </c>
      <c r="F209" s="12" t="s">
        <v>45</v>
      </c>
      <c r="G209" s="12">
        <v>600</v>
      </c>
      <c r="H209" s="12">
        <v>350</v>
      </c>
      <c r="I209" s="12">
        <v>6589</v>
      </c>
      <c r="J209" s="12">
        <v>6613</v>
      </c>
      <c r="K209" s="12">
        <v>8395</v>
      </c>
      <c r="L209" s="13">
        <f t="shared" si="0"/>
        <v>349.79166666666669</v>
      </c>
      <c r="M209" s="12">
        <f t="shared" si="1"/>
        <v>24</v>
      </c>
      <c r="N209" s="12">
        <v>0</v>
      </c>
      <c r="O209" s="12">
        <v>0</v>
      </c>
      <c r="P209" s="12">
        <v>0</v>
      </c>
      <c r="Q209" s="12">
        <f t="shared" si="2"/>
        <v>24</v>
      </c>
      <c r="R209" s="12">
        <v>0</v>
      </c>
      <c r="S209" s="12">
        <v>0</v>
      </c>
      <c r="T209" s="12" t="s">
        <v>30</v>
      </c>
      <c r="U209" s="12" t="s">
        <v>31</v>
      </c>
      <c r="V209" s="14">
        <v>73876</v>
      </c>
      <c r="W209" s="12" t="s">
        <v>31</v>
      </c>
      <c r="X209" s="15">
        <v>1</v>
      </c>
      <c r="Y209" s="17"/>
      <c r="Z209" s="96"/>
    </row>
    <row r="210" spans="1:26" x14ac:dyDescent="0.3">
      <c r="A210" s="3">
        <v>46248</v>
      </c>
      <c r="B210" s="4" t="s">
        <v>25</v>
      </c>
      <c r="C210" s="12" t="s">
        <v>26</v>
      </c>
      <c r="D210" s="12" t="s">
        <v>27</v>
      </c>
      <c r="E210" s="12" t="s">
        <v>43</v>
      </c>
      <c r="F210" s="12" t="s">
        <v>163</v>
      </c>
      <c r="G210" s="12">
        <v>600</v>
      </c>
      <c r="H210" s="12">
        <v>450</v>
      </c>
      <c r="I210" s="12">
        <v>4579</v>
      </c>
      <c r="J210" s="12">
        <v>4603</v>
      </c>
      <c r="K210" s="12">
        <v>8960</v>
      </c>
      <c r="L210" s="13">
        <f t="shared" si="0"/>
        <v>373.33333333333331</v>
      </c>
      <c r="M210" s="12">
        <f t="shared" si="1"/>
        <v>24</v>
      </c>
      <c r="N210" s="12">
        <v>0</v>
      </c>
      <c r="O210" s="12">
        <v>0</v>
      </c>
      <c r="P210" s="12">
        <v>0</v>
      </c>
      <c r="Q210" s="12">
        <f t="shared" si="2"/>
        <v>24</v>
      </c>
      <c r="R210" s="12">
        <v>0</v>
      </c>
      <c r="S210" s="12">
        <v>0</v>
      </c>
      <c r="T210" s="12" t="s">
        <v>30</v>
      </c>
      <c r="U210" s="12" t="s">
        <v>31</v>
      </c>
      <c r="V210" s="14">
        <v>78848</v>
      </c>
      <c r="W210" s="12" t="s">
        <v>31</v>
      </c>
      <c r="X210" s="15">
        <v>1</v>
      </c>
      <c r="Y210" s="17"/>
      <c r="Z210" s="96"/>
    </row>
    <row r="211" spans="1:26" ht="62.4" x14ac:dyDescent="0.3">
      <c r="A211" s="3">
        <v>46248</v>
      </c>
      <c r="B211" s="4" t="s">
        <v>25</v>
      </c>
      <c r="C211" s="12" t="s">
        <v>26</v>
      </c>
      <c r="D211" s="12" t="s">
        <v>27</v>
      </c>
      <c r="E211" s="12" t="s">
        <v>43</v>
      </c>
      <c r="F211" s="12" t="s">
        <v>164</v>
      </c>
      <c r="G211" s="12">
        <v>600</v>
      </c>
      <c r="H211" s="12">
        <v>450</v>
      </c>
      <c r="I211" s="12">
        <v>764</v>
      </c>
      <c r="J211" s="12">
        <v>786</v>
      </c>
      <c r="K211" s="12">
        <v>7608</v>
      </c>
      <c r="L211" s="13">
        <f t="shared" si="0"/>
        <v>317</v>
      </c>
      <c r="M211" s="12">
        <f t="shared" si="1"/>
        <v>22</v>
      </c>
      <c r="N211" s="12">
        <v>2</v>
      </c>
      <c r="O211" s="12">
        <v>0</v>
      </c>
      <c r="P211" s="12">
        <v>0</v>
      </c>
      <c r="Q211" s="12">
        <f t="shared" si="2"/>
        <v>24</v>
      </c>
      <c r="R211" s="12">
        <v>0</v>
      </c>
      <c r="S211" s="12">
        <v>0</v>
      </c>
      <c r="T211" s="12" t="s">
        <v>30</v>
      </c>
      <c r="U211" s="12" t="s">
        <v>31</v>
      </c>
      <c r="V211" s="14">
        <v>66950.400000000009</v>
      </c>
      <c r="W211" s="12" t="s">
        <v>31</v>
      </c>
      <c r="X211" s="15">
        <v>1</v>
      </c>
      <c r="Y211" s="76" t="s">
        <v>279</v>
      </c>
      <c r="Z211" s="96"/>
    </row>
    <row r="212" spans="1:26" x14ac:dyDescent="0.3">
      <c r="A212" s="3">
        <v>46248</v>
      </c>
      <c r="B212" s="4" t="s">
        <v>25</v>
      </c>
      <c r="C212" s="12" t="s">
        <v>26</v>
      </c>
      <c r="D212" s="12" t="s">
        <v>27</v>
      </c>
      <c r="E212" s="12" t="s">
        <v>43</v>
      </c>
      <c r="F212" s="12" t="s">
        <v>165</v>
      </c>
      <c r="G212" s="12">
        <v>600</v>
      </c>
      <c r="H212" s="12">
        <v>450</v>
      </c>
      <c r="I212" s="12">
        <v>796</v>
      </c>
      <c r="J212" s="12">
        <v>819</v>
      </c>
      <c r="K212" s="12">
        <v>8399</v>
      </c>
      <c r="L212" s="13">
        <f t="shared" si="0"/>
        <v>349.95833333333331</v>
      </c>
      <c r="M212" s="12">
        <f t="shared" si="1"/>
        <v>23</v>
      </c>
      <c r="N212" s="12">
        <v>1</v>
      </c>
      <c r="O212" s="12">
        <v>0</v>
      </c>
      <c r="P212" s="12">
        <v>0</v>
      </c>
      <c r="Q212" s="12">
        <f t="shared" si="2"/>
        <v>24</v>
      </c>
      <c r="R212" s="12">
        <v>0</v>
      </c>
      <c r="S212" s="12">
        <v>0</v>
      </c>
      <c r="T212" s="12" t="s">
        <v>30</v>
      </c>
      <c r="U212" s="12" t="s">
        <v>31</v>
      </c>
      <c r="V212" s="14">
        <v>73911.200000000012</v>
      </c>
      <c r="W212" s="12" t="s">
        <v>31</v>
      </c>
      <c r="X212" s="15">
        <v>1</v>
      </c>
      <c r="Y212" s="17"/>
      <c r="Z212" s="96"/>
    </row>
    <row r="213" spans="1:26" x14ac:dyDescent="0.3">
      <c r="A213" s="3">
        <v>46249</v>
      </c>
      <c r="B213" s="4" t="s">
        <v>25</v>
      </c>
      <c r="C213" s="5" t="s">
        <v>26</v>
      </c>
      <c r="D213" s="5" t="s">
        <v>27</v>
      </c>
      <c r="E213" s="5" t="s">
        <v>28</v>
      </c>
      <c r="F213" s="5" t="s">
        <v>29</v>
      </c>
      <c r="G213" s="5">
        <v>1050</v>
      </c>
      <c r="H213" s="5">
        <v>700</v>
      </c>
      <c r="I213" s="6">
        <v>16495</v>
      </c>
      <c r="J213" s="6">
        <v>16519</v>
      </c>
      <c r="K213" s="5">
        <v>15113</v>
      </c>
      <c r="L213" s="7">
        <f t="shared" si="0"/>
        <v>629.70833333333337</v>
      </c>
      <c r="M213" s="6">
        <f t="shared" si="1"/>
        <v>24</v>
      </c>
      <c r="N213" s="5">
        <v>0</v>
      </c>
      <c r="O213" s="5">
        <v>0</v>
      </c>
      <c r="P213" s="5">
        <v>0</v>
      </c>
      <c r="Q213" s="5">
        <f t="shared" si="2"/>
        <v>24</v>
      </c>
      <c r="R213" s="5">
        <v>0</v>
      </c>
      <c r="S213" s="5">
        <v>0</v>
      </c>
      <c r="T213" s="5" t="s">
        <v>30</v>
      </c>
      <c r="U213" s="5" t="s">
        <v>31</v>
      </c>
      <c r="V213" s="6">
        <v>132994.4</v>
      </c>
      <c r="W213" s="5" t="s">
        <v>31</v>
      </c>
      <c r="X213" s="8">
        <v>1</v>
      </c>
      <c r="Y213" s="18"/>
      <c r="Z213" s="96"/>
    </row>
    <row r="214" spans="1:26" ht="40.799999999999997" x14ac:dyDescent="0.3">
      <c r="A214" s="3">
        <v>46249</v>
      </c>
      <c r="B214" s="4" t="s">
        <v>25</v>
      </c>
      <c r="C214" s="5" t="s">
        <v>26</v>
      </c>
      <c r="D214" s="5" t="s">
        <v>27</v>
      </c>
      <c r="E214" s="5" t="s">
        <v>28</v>
      </c>
      <c r="F214" s="5" t="s">
        <v>32</v>
      </c>
      <c r="G214" s="5">
        <v>1050</v>
      </c>
      <c r="H214" s="5">
        <v>700</v>
      </c>
      <c r="I214" s="6">
        <v>14265</v>
      </c>
      <c r="J214" s="6">
        <v>14283</v>
      </c>
      <c r="K214" s="5">
        <v>11073</v>
      </c>
      <c r="L214" s="7">
        <f t="shared" si="0"/>
        <v>461.375</v>
      </c>
      <c r="M214" s="6">
        <f t="shared" si="1"/>
        <v>18</v>
      </c>
      <c r="N214" s="5">
        <v>6</v>
      </c>
      <c r="O214" s="5">
        <v>0</v>
      </c>
      <c r="P214" s="5">
        <v>0</v>
      </c>
      <c r="Q214" s="5">
        <f t="shared" si="2"/>
        <v>24</v>
      </c>
      <c r="R214" s="5">
        <v>0</v>
      </c>
      <c r="S214" s="5">
        <v>0</v>
      </c>
      <c r="T214" s="5" t="s">
        <v>30</v>
      </c>
      <c r="U214" s="5" t="s">
        <v>31</v>
      </c>
      <c r="V214" s="6">
        <v>97442.400000000009</v>
      </c>
      <c r="W214" s="5" t="s">
        <v>31</v>
      </c>
      <c r="X214" s="8">
        <v>1</v>
      </c>
      <c r="Y214" s="18" t="s">
        <v>280</v>
      </c>
      <c r="Z214" s="96"/>
    </row>
    <row r="215" spans="1:26" x14ac:dyDescent="0.3">
      <c r="A215" s="3">
        <v>46249</v>
      </c>
      <c r="B215" s="4" t="s">
        <v>25</v>
      </c>
      <c r="C215" s="5" t="s">
        <v>26</v>
      </c>
      <c r="D215" s="5" t="s">
        <v>27</v>
      </c>
      <c r="E215" s="5" t="s">
        <v>28</v>
      </c>
      <c r="F215" s="5" t="s">
        <v>33</v>
      </c>
      <c r="G215" s="5">
        <v>1050</v>
      </c>
      <c r="H215" s="5">
        <v>700</v>
      </c>
      <c r="I215" s="6">
        <v>12754</v>
      </c>
      <c r="J215" s="6">
        <v>12778</v>
      </c>
      <c r="K215" s="5">
        <v>15117</v>
      </c>
      <c r="L215" s="7">
        <f t="shared" si="0"/>
        <v>629.875</v>
      </c>
      <c r="M215" s="6">
        <f t="shared" si="1"/>
        <v>24</v>
      </c>
      <c r="N215" s="5">
        <v>0</v>
      </c>
      <c r="O215" s="5">
        <v>0</v>
      </c>
      <c r="P215" s="5">
        <v>0</v>
      </c>
      <c r="Q215" s="5">
        <f t="shared" si="2"/>
        <v>24</v>
      </c>
      <c r="R215" s="5">
        <v>0</v>
      </c>
      <c r="S215" s="5">
        <v>0</v>
      </c>
      <c r="T215" s="5" t="s">
        <v>30</v>
      </c>
      <c r="U215" s="5" t="s">
        <v>31</v>
      </c>
      <c r="V215" s="6">
        <v>133029.6</v>
      </c>
      <c r="W215" s="5" t="s">
        <v>31</v>
      </c>
      <c r="X215" s="8">
        <v>1</v>
      </c>
      <c r="Y215" s="18"/>
      <c r="Z215" s="96"/>
    </row>
    <row r="216" spans="1:26" x14ac:dyDescent="0.3">
      <c r="A216" s="3">
        <v>46249</v>
      </c>
      <c r="B216" s="4" t="s">
        <v>25</v>
      </c>
      <c r="C216" s="5" t="s">
        <v>26</v>
      </c>
      <c r="D216" s="5" t="s">
        <v>27</v>
      </c>
      <c r="E216" s="5" t="s">
        <v>34</v>
      </c>
      <c r="F216" s="5" t="s">
        <v>35</v>
      </c>
      <c r="G216" s="5">
        <v>1300</v>
      </c>
      <c r="H216" s="5">
        <v>1040</v>
      </c>
      <c r="I216" s="6">
        <v>4223</v>
      </c>
      <c r="J216" s="6">
        <v>4247</v>
      </c>
      <c r="K216" s="5">
        <v>17569</v>
      </c>
      <c r="L216" s="7">
        <f t="shared" si="0"/>
        <v>732.04166666666663</v>
      </c>
      <c r="M216" s="6">
        <f t="shared" si="1"/>
        <v>24</v>
      </c>
      <c r="N216" s="5">
        <v>0</v>
      </c>
      <c r="O216" s="5">
        <v>0</v>
      </c>
      <c r="P216" s="5">
        <v>0</v>
      </c>
      <c r="Q216" s="5">
        <f t="shared" si="2"/>
        <v>24</v>
      </c>
      <c r="R216" s="5">
        <v>0</v>
      </c>
      <c r="S216" s="5">
        <v>0</v>
      </c>
      <c r="T216" s="5" t="s">
        <v>30</v>
      </c>
      <c r="U216" s="5" t="s">
        <v>31</v>
      </c>
      <c r="V216" s="6">
        <v>154607.19999999998</v>
      </c>
      <c r="W216" s="5" t="s">
        <v>31</v>
      </c>
      <c r="X216" s="8">
        <v>1</v>
      </c>
      <c r="Y216" s="18"/>
      <c r="Z216" s="96"/>
    </row>
    <row r="217" spans="1:26" x14ac:dyDescent="0.3">
      <c r="A217" s="3">
        <v>46249</v>
      </c>
      <c r="B217" s="4" t="s">
        <v>25</v>
      </c>
      <c r="C217" s="5" t="s">
        <v>26</v>
      </c>
      <c r="D217" s="5" t="s">
        <v>27</v>
      </c>
      <c r="E217" s="5" t="s">
        <v>34</v>
      </c>
      <c r="F217" s="5" t="s">
        <v>36</v>
      </c>
      <c r="G217" s="5">
        <v>1300</v>
      </c>
      <c r="H217" s="5">
        <v>1040</v>
      </c>
      <c r="I217" s="6">
        <v>4210</v>
      </c>
      <c r="J217" s="6">
        <v>4234</v>
      </c>
      <c r="K217" s="5">
        <v>19075</v>
      </c>
      <c r="L217" s="7">
        <f t="shared" ref="L217:L280" si="3">K217/24</f>
        <v>794.79166666666663</v>
      </c>
      <c r="M217" s="6">
        <f t="shared" ref="M217:M248" si="4">J217-I217</f>
        <v>24</v>
      </c>
      <c r="N217" s="5">
        <v>0</v>
      </c>
      <c r="O217" s="5">
        <v>0</v>
      </c>
      <c r="P217" s="5">
        <v>0</v>
      </c>
      <c r="Q217" s="5">
        <f t="shared" ref="Q217:Q280" si="5">SUM(M217:P217)</f>
        <v>24</v>
      </c>
      <c r="R217" s="5">
        <v>0</v>
      </c>
      <c r="S217" s="5">
        <v>0</v>
      </c>
      <c r="T217" s="5" t="s">
        <v>30</v>
      </c>
      <c r="U217" s="5" t="s">
        <v>31</v>
      </c>
      <c r="V217" s="6">
        <v>167860</v>
      </c>
      <c r="W217" s="5" t="s">
        <v>31</v>
      </c>
      <c r="X217" s="8">
        <v>1</v>
      </c>
      <c r="Y217" s="18"/>
      <c r="Z217" s="96"/>
    </row>
    <row r="218" spans="1:26" x14ac:dyDescent="0.3">
      <c r="A218" s="3">
        <v>46249</v>
      </c>
      <c r="B218" s="4" t="s">
        <v>25</v>
      </c>
      <c r="C218" s="5" t="s">
        <v>26</v>
      </c>
      <c r="D218" s="5" t="s">
        <v>27</v>
      </c>
      <c r="E218" s="5" t="s">
        <v>34</v>
      </c>
      <c r="F218" s="5" t="s">
        <v>46</v>
      </c>
      <c r="G218" s="5">
        <v>1300</v>
      </c>
      <c r="H218" s="5">
        <v>1040</v>
      </c>
      <c r="I218" s="6">
        <v>2621</v>
      </c>
      <c r="J218" s="6">
        <v>2645</v>
      </c>
      <c r="K218" s="5">
        <v>18730</v>
      </c>
      <c r="L218" s="7">
        <f t="shared" si="3"/>
        <v>780.41666666666663</v>
      </c>
      <c r="M218" s="6">
        <f t="shared" si="4"/>
        <v>24</v>
      </c>
      <c r="N218" s="5">
        <v>0</v>
      </c>
      <c r="O218" s="5">
        <v>0</v>
      </c>
      <c r="P218" s="5">
        <v>0</v>
      </c>
      <c r="Q218" s="5">
        <f t="shared" si="5"/>
        <v>24</v>
      </c>
      <c r="R218" s="5">
        <v>0</v>
      </c>
      <c r="S218" s="5">
        <v>0</v>
      </c>
      <c r="T218" s="5" t="s">
        <v>30</v>
      </c>
      <c r="U218" s="5" t="s">
        <v>31</v>
      </c>
      <c r="V218" s="6">
        <v>164824.00000000003</v>
      </c>
      <c r="W218" s="5" t="s">
        <v>31</v>
      </c>
      <c r="X218" s="8">
        <v>1</v>
      </c>
      <c r="Y218" s="18"/>
      <c r="Z218" s="96"/>
    </row>
    <row r="219" spans="1:26" x14ac:dyDescent="0.3">
      <c r="A219" s="3">
        <v>46249</v>
      </c>
      <c r="B219" s="4" t="s">
        <v>25</v>
      </c>
      <c r="C219" s="5" t="s">
        <v>26</v>
      </c>
      <c r="D219" s="5" t="s">
        <v>27</v>
      </c>
      <c r="E219" s="5" t="s">
        <v>28</v>
      </c>
      <c r="F219" s="5" t="s">
        <v>47</v>
      </c>
      <c r="G219" s="5">
        <v>1050</v>
      </c>
      <c r="H219" s="5">
        <v>740</v>
      </c>
      <c r="I219" s="6">
        <v>1643</v>
      </c>
      <c r="J219" s="6">
        <v>1667</v>
      </c>
      <c r="K219" s="5">
        <v>14341</v>
      </c>
      <c r="L219" s="7">
        <f t="shared" si="3"/>
        <v>597.54166666666663</v>
      </c>
      <c r="M219" s="6">
        <f t="shared" si="4"/>
        <v>24</v>
      </c>
      <c r="N219" s="5">
        <v>0</v>
      </c>
      <c r="O219" s="5">
        <v>0</v>
      </c>
      <c r="P219" s="5">
        <v>0</v>
      </c>
      <c r="Q219" s="5">
        <f t="shared" si="5"/>
        <v>24</v>
      </c>
      <c r="R219" s="5">
        <v>0</v>
      </c>
      <c r="S219" s="5">
        <v>0</v>
      </c>
      <c r="T219" s="5" t="s">
        <v>30</v>
      </c>
      <c r="U219" s="5" t="s">
        <v>31</v>
      </c>
      <c r="V219" s="19">
        <v>126200.8</v>
      </c>
      <c r="W219" s="5" t="s">
        <v>31</v>
      </c>
      <c r="X219" s="8">
        <v>1</v>
      </c>
      <c r="Y219" s="18"/>
      <c r="Z219" s="96"/>
    </row>
    <row r="220" spans="1:26" x14ac:dyDescent="0.3">
      <c r="A220" s="3">
        <v>46249</v>
      </c>
      <c r="B220" s="4" t="s">
        <v>25</v>
      </c>
      <c r="C220" s="9" t="s">
        <v>26</v>
      </c>
      <c r="D220" s="9" t="s">
        <v>27</v>
      </c>
      <c r="E220" s="9" t="s">
        <v>37</v>
      </c>
      <c r="F220" s="9" t="s">
        <v>39</v>
      </c>
      <c r="G220" s="9">
        <v>500</v>
      </c>
      <c r="H220" s="9">
        <v>360</v>
      </c>
      <c r="I220" s="9">
        <v>15314</v>
      </c>
      <c r="J220" s="9">
        <v>15338</v>
      </c>
      <c r="K220" s="9">
        <v>7475</v>
      </c>
      <c r="L220" s="10">
        <f t="shared" si="3"/>
        <v>311.45833333333331</v>
      </c>
      <c r="M220" s="9">
        <f t="shared" si="4"/>
        <v>24</v>
      </c>
      <c r="N220" s="9">
        <v>0</v>
      </c>
      <c r="O220" s="9">
        <v>0</v>
      </c>
      <c r="P220" s="9">
        <v>0</v>
      </c>
      <c r="Q220" s="9">
        <f t="shared" si="5"/>
        <v>24</v>
      </c>
      <c r="R220" s="9">
        <v>0</v>
      </c>
      <c r="S220" s="9">
        <v>0</v>
      </c>
      <c r="T220" s="9" t="s">
        <v>38</v>
      </c>
      <c r="U220" s="9" t="s">
        <v>31</v>
      </c>
      <c r="V220" s="16">
        <v>523</v>
      </c>
      <c r="W220" s="9" t="s">
        <v>31</v>
      </c>
      <c r="X220" s="11">
        <v>1</v>
      </c>
      <c r="Y220" s="20"/>
      <c r="Z220" s="96"/>
    </row>
    <row r="221" spans="1:26" ht="61.2" x14ac:dyDescent="0.3">
      <c r="A221" s="3">
        <v>46249</v>
      </c>
      <c r="B221" s="4" t="s">
        <v>25</v>
      </c>
      <c r="C221" s="9" t="s">
        <v>26</v>
      </c>
      <c r="D221" s="9" t="s">
        <v>27</v>
      </c>
      <c r="E221" s="9" t="s">
        <v>37</v>
      </c>
      <c r="F221" s="9" t="s">
        <v>40</v>
      </c>
      <c r="G221" s="9">
        <v>1000</v>
      </c>
      <c r="H221" s="9">
        <v>800</v>
      </c>
      <c r="I221" s="9">
        <v>3617</v>
      </c>
      <c r="J221" s="9">
        <v>3636</v>
      </c>
      <c r="K221" s="9">
        <v>14562</v>
      </c>
      <c r="L221" s="10">
        <f t="shared" si="3"/>
        <v>606.75</v>
      </c>
      <c r="M221" s="9">
        <f t="shared" si="4"/>
        <v>19</v>
      </c>
      <c r="N221" s="9">
        <v>5</v>
      </c>
      <c r="O221" s="9">
        <v>0</v>
      </c>
      <c r="P221" s="9">
        <v>0</v>
      </c>
      <c r="Q221" s="9">
        <f t="shared" si="5"/>
        <v>24</v>
      </c>
      <c r="R221" s="9">
        <v>0</v>
      </c>
      <c r="S221" s="9">
        <v>0</v>
      </c>
      <c r="T221" s="9" t="s">
        <v>38</v>
      </c>
      <c r="U221" s="9" t="s">
        <v>31</v>
      </c>
      <c r="V221" s="16">
        <v>1019</v>
      </c>
      <c r="W221" s="9" t="s">
        <v>31</v>
      </c>
      <c r="X221" s="11">
        <v>1</v>
      </c>
      <c r="Y221" s="20" t="s">
        <v>281</v>
      </c>
      <c r="Z221" s="96"/>
    </row>
    <row r="222" spans="1:26" x14ac:dyDescent="0.3">
      <c r="A222" s="3">
        <v>46249</v>
      </c>
      <c r="B222" s="4" t="s">
        <v>25</v>
      </c>
      <c r="C222" s="9" t="s">
        <v>26</v>
      </c>
      <c r="D222" s="9" t="s">
        <v>27</v>
      </c>
      <c r="E222" s="9" t="s">
        <v>37</v>
      </c>
      <c r="F222" s="9" t="s">
        <v>41</v>
      </c>
      <c r="G222" s="9">
        <v>1000</v>
      </c>
      <c r="H222" s="9">
        <v>800</v>
      </c>
      <c r="I222" s="9">
        <v>2500</v>
      </c>
      <c r="J222" s="9">
        <v>2524</v>
      </c>
      <c r="K222" s="9">
        <v>19204</v>
      </c>
      <c r="L222" s="10">
        <f t="shared" si="3"/>
        <v>800.16666666666663</v>
      </c>
      <c r="M222" s="9">
        <f t="shared" si="4"/>
        <v>24</v>
      </c>
      <c r="N222" s="9">
        <v>0</v>
      </c>
      <c r="O222" s="9">
        <v>0</v>
      </c>
      <c r="P222" s="9">
        <v>0</v>
      </c>
      <c r="Q222" s="9">
        <f t="shared" si="5"/>
        <v>24</v>
      </c>
      <c r="R222" s="9">
        <v>0</v>
      </c>
      <c r="S222" s="9">
        <v>0</v>
      </c>
      <c r="T222" s="9" t="s">
        <v>38</v>
      </c>
      <c r="U222" s="9" t="s">
        <v>31</v>
      </c>
      <c r="V222" s="16">
        <v>1344</v>
      </c>
      <c r="W222" s="9" t="s">
        <v>31</v>
      </c>
      <c r="X222" s="11">
        <v>1</v>
      </c>
      <c r="Y222" s="20"/>
      <c r="Z222" s="96"/>
    </row>
    <row r="223" spans="1:26" x14ac:dyDescent="0.3">
      <c r="A223" s="3">
        <v>46249</v>
      </c>
      <c r="B223" s="4" t="s">
        <v>25</v>
      </c>
      <c r="C223" s="12" t="s">
        <v>42</v>
      </c>
      <c r="D223" s="12" t="s">
        <v>27</v>
      </c>
      <c r="E223" s="12" t="s">
        <v>43</v>
      </c>
      <c r="F223" s="12" t="s">
        <v>44</v>
      </c>
      <c r="G223" s="12">
        <v>600</v>
      </c>
      <c r="H223" s="12">
        <v>350</v>
      </c>
      <c r="I223" s="12">
        <v>6690</v>
      </c>
      <c r="J223" s="12">
        <v>6714</v>
      </c>
      <c r="K223" s="12">
        <v>8086</v>
      </c>
      <c r="L223" s="13">
        <f t="shared" si="3"/>
        <v>336.91666666666669</v>
      </c>
      <c r="M223" s="12">
        <f t="shared" si="4"/>
        <v>24</v>
      </c>
      <c r="N223" s="12">
        <v>0</v>
      </c>
      <c r="O223" s="12">
        <v>0</v>
      </c>
      <c r="P223" s="12">
        <v>0</v>
      </c>
      <c r="Q223" s="12">
        <f t="shared" si="5"/>
        <v>24</v>
      </c>
      <c r="R223" s="12">
        <v>0</v>
      </c>
      <c r="S223" s="12">
        <v>0</v>
      </c>
      <c r="T223" s="12" t="s">
        <v>30</v>
      </c>
      <c r="U223" s="12" t="s">
        <v>31</v>
      </c>
      <c r="V223" s="14">
        <v>71156.800000000003</v>
      </c>
      <c r="W223" s="12" t="s">
        <v>31</v>
      </c>
      <c r="X223" s="15">
        <v>1</v>
      </c>
      <c r="Y223" s="17"/>
      <c r="Z223" s="96"/>
    </row>
    <row r="224" spans="1:26" x14ac:dyDescent="0.3">
      <c r="A224" s="3">
        <v>46249</v>
      </c>
      <c r="B224" s="4" t="s">
        <v>25</v>
      </c>
      <c r="C224" s="12" t="s">
        <v>42</v>
      </c>
      <c r="D224" s="12" t="s">
        <v>27</v>
      </c>
      <c r="E224" s="12" t="s">
        <v>43</v>
      </c>
      <c r="F224" s="12" t="s">
        <v>45</v>
      </c>
      <c r="G224" s="12">
        <v>600</v>
      </c>
      <c r="H224" s="12">
        <v>350</v>
      </c>
      <c r="I224" s="12">
        <v>6613</v>
      </c>
      <c r="J224" s="12">
        <v>6637</v>
      </c>
      <c r="K224" s="12">
        <v>7196</v>
      </c>
      <c r="L224" s="13">
        <f t="shared" si="3"/>
        <v>299.83333333333331</v>
      </c>
      <c r="M224" s="12">
        <f t="shared" si="4"/>
        <v>24</v>
      </c>
      <c r="N224" s="12">
        <v>0</v>
      </c>
      <c r="O224" s="12">
        <v>0</v>
      </c>
      <c r="P224" s="12">
        <v>0</v>
      </c>
      <c r="Q224" s="12">
        <f t="shared" si="5"/>
        <v>24</v>
      </c>
      <c r="R224" s="12">
        <v>0</v>
      </c>
      <c r="S224" s="12">
        <v>0</v>
      </c>
      <c r="T224" s="12" t="s">
        <v>30</v>
      </c>
      <c r="U224" s="12" t="s">
        <v>31</v>
      </c>
      <c r="V224" s="14">
        <v>63324.800000000003</v>
      </c>
      <c r="W224" s="12" t="s">
        <v>31</v>
      </c>
      <c r="X224" s="15">
        <v>1</v>
      </c>
      <c r="Y224" s="17"/>
      <c r="Z224" s="96"/>
    </row>
    <row r="225" spans="1:26" x14ac:dyDescent="0.3">
      <c r="A225" s="3">
        <v>46249</v>
      </c>
      <c r="B225" s="4" t="s">
        <v>25</v>
      </c>
      <c r="C225" s="12" t="s">
        <v>26</v>
      </c>
      <c r="D225" s="12" t="s">
        <v>27</v>
      </c>
      <c r="E225" s="12" t="s">
        <v>43</v>
      </c>
      <c r="F225" s="12" t="s">
        <v>163</v>
      </c>
      <c r="G225" s="12">
        <v>600</v>
      </c>
      <c r="H225" s="12">
        <v>450</v>
      </c>
      <c r="I225" s="12">
        <v>4603</v>
      </c>
      <c r="J225" s="12">
        <v>4627</v>
      </c>
      <c r="K225" s="12">
        <v>8718</v>
      </c>
      <c r="L225" s="13">
        <f t="shared" si="3"/>
        <v>363.25</v>
      </c>
      <c r="M225" s="12">
        <f t="shared" si="4"/>
        <v>24</v>
      </c>
      <c r="N225" s="12">
        <v>0</v>
      </c>
      <c r="O225" s="12">
        <v>0</v>
      </c>
      <c r="P225" s="12">
        <v>0</v>
      </c>
      <c r="Q225" s="12">
        <f t="shared" si="5"/>
        <v>24</v>
      </c>
      <c r="R225" s="12">
        <v>0</v>
      </c>
      <c r="S225" s="12">
        <v>0</v>
      </c>
      <c r="T225" s="12" t="s">
        <v>30</v>
      </c>
      <c r="U225" s="12" t="s">
        <v>31</v>
      </c>
      <c r="V225" s="14">
        <v>76718.400000000023</v>
      </c>
      <c r="W225" s="12" t="s">
        <v>31</v>
      </c>
      <c r="X225" s="15">
        <v>1</v>
      </c>
      <c r="Y225" s="17"/>
      <c r="Z225" s="96"/>
    </row>
    <row r="226" spans="1:26" x14ac:dyDescent="0.3">
      <c r="A226" s="3">
        <v>46249</v>
      </c>
      <c r="B226" s="4" t="s">
        <v>25</v>
      </c>
      <c r="C226" s="12" t="s">
        <v>26</v>
      </c>
      <c r="D226" s="12" t="s">
        <v>27</v>
      </c>
      <c r="E226" s="12" t="s">
        <v>43</v>
      </c>
      <c r="F226" s="12" t="s">
        <v>164</v>
      </c>
      <c r="G226" s="12">
        <v>600</v>
      </c>
      <c r="H226" s="12">
        <v>450</v>
      </c>
      <c r="I226" s="12">
        <v>786</v>
      </c>
      <c r="J226" s="12">
        <v>810</v>
      </c>
      <c r="K226" s="12">
        <v>8716</v>
      </c>
      <c r="L226" s="13">
        <f t="shared" si="3"/>
        <v>363.16666666666669</v>
      </c>
      <c r="M226" s="12">
        <f t="shared" si="4"/>
        <v>24</v>
      </c>
      <c r="N226" s="12">
        <v>0</v>
      </c>
      <c r="O226" s="12">
        <v>0</v>
      </c>
      <c r="P226" s="12">
        <v>0</v>
      </c>
      <c r="Q226" s="12">
        <f t="shared" si="5"/>
        <v>24</v>
      </c>
      <c r="R226" s="12">
        <v>0</v>
      </c>
      <c r="S226" s="12">
        <v>0</v>
      </c>
      <c r="T226" s="12" t="s">
        <v>30</v>
      </c>
      <c r="U226" s="12" t="s">
        <v>31</v>
      </c>
      <c r="V226" s="14">
        <v>76700.800000000003</v>
      </c>
      <c r="W226" s="12" t="s">
        <v>31</v>
      </c>
      <c r="X226" s="15">
        <v>1</v>
      </c>
      <c r="Y226" s="76"/>
      <c r="Z226" s="96"/>
    </row>
    <row r="227" spans="1:26" x14ac:dyDescent="0.3">
      <c r="A227" s="3">
        <v>46249</v>
      </c>
      <c r="B227" s="4" t="s">
        <v>25</v>
      </c>
      <c r="C227" s="12" t="s">
        <v>26</v>
      </c>
      <c r="D227" s="12" t="s">
        <v>27</v>
      </c>
      <c r="E227" s="12" t="s">
        <v>43</v>
      </c>
      <c r="F227" s="12" t="s">
        <v>165</v>
      </c>
      <c r="G227" s="12">
        <v>600</v>
      </c>
      <c r="H227" s="12">
        <v>450</v>
      </c>
      <c r="I227" s="12">
        <v>819</v>
      </c>
      <c r="J227" s="12">
        <v>843</v>
      </c>
      <c r="K227" s="12">
        <v>8523</v>
      </c>
      <c r="L227" s="13">
        <f t="shared" si="3"/>
        <v>355.125</v>
      </c>
      <c r="M227" s="12">
        <f t="shared" si="4"/>
        <v>24</v>
      </c>
      <c r="N227" s="12">
        <v>0</v>
      </c>
      <c r="O227" s="12">
        <v>0</v>
      </c>
      <c r="P227" s="12">
        <v>0</v>
      </c>
      <c r="Q227" s="12">
        <f t="shared" si="5"/>
        <v>24</v>
      </c>
      <c r="R227" s="12">
        <v>0</v>
      </c>
      <c r="S227" s="12">
        <v>0</v>
      </c>
      <c r="T227" s="12" t="s">
        <v>30</v>
      </c>
      <c r="U227" s="12" t="s">
        <v>31</v>
      </c>
      <c r="V227" s="14">
        <v>75002.399999999994</v>
      </c>
      <c r="W227" s="12" t="s">
        <v>31</v>
      </c>
      <c r="X227" s="15">
        <v>1</v>
      </c>
      <c r="Y227" s="17"/>
      <c r="Z227" s="96"/>
    </row>
    <row r="228" spans="1:26" x14ac:dyDescent="0.3">
      <c r="A228" s="3">
        <v>46250</v>
      </c>
      <c r="B228" s="4" t="s">
        <v>25</v>
      </c>
      <c r="C228" s="5" t="s">
        <v>26</v>
      </c>
      <c r="D228" s="5" t="s">
        <v>27</v>
      </c>
      <c r="E228" s="5" t="s">
        <v>28</v>
      </c>
      <c r="F228" s="5" t="s">
        <v>29</v>
      </c>
      <c r="G228" s="5">
        <v>1050</v>
      </c>
      <c r="H228" s="5">
        <v>700</v>
      </c>
      <c r="I228" s="6">
        <v>16519</v>
      </c>
      <c r="J228" s="85">
        <v>16543</v>
      </c>
      <c r="K228" s="86">
        <v>15318</v>
      </c>
      <c r="L228" s="87">
        <f t="shared" si="3"/>
        <v>638.25</v>
      </c>
      <c r="M228" s="6">
        <f t="shared" si="4"/>
        <v>24</v>
      </c>
      <c r="N228" s="5">
        <v>0</v>
      </c>
      <c r="O228" s="5">
        <v>0</v>
      </c>
      <c r="P228" s="5">
        <v>0</v>
      </c>
      <c r="Q228" s="5">
        <f t="shared" si="5"/>
        <v>24</v>
      </c>
      <c r="R228" s="5">
        <v>0</v>
      </c>
      <c r="S228" s="5">
        <v>0</v>
      </c>
      <c r="T228" s="5" t="s">
        <v>30</v>
      </c>
      <c r="U228" s="5" t="s">
        <v>31</v>
      </c>
      <c r="V228" s="6">
        <v>134798.39999999999</v>
      </c>
      <c r="W228" s="5" t="s">
        <v>31</v>
      </c>
      <c r="X228" s="8">
        <v>1</v>
      </c>
      <c r="Y228" s="18"/>
      <c r="Z228" s="96"/>
    </row>
    <row r="229" spans="1:26" ht="51" x14ac:dyDescent="0.3">
      <c r="A229" s="3">
        <v>46250</v>
      </c>
      <c r="B229" s="4" t="s">
        <v>25</v>
      </c>
      <c r="C229" s="5" t="s">
        <v>26</v>
      </c>
      <c r="D229" s="5" t="s">
        <v>27</v>
      </c>
      <c r="E229" s="5" t="s">
        <v>28</v>
      </c>
      <c r="F229" s="5" t="s">
        <v>32</v>
      </c>
      <c r="G229" s="5">
        <v>1050</v>
      </c>
      <c r="H229" s="5">
        <v>700</v>
      </c>
      <c r="I229" s="6">
        <v>14283</v>
      </c>
      <c r="J229" s="85">
        <v>14302</v>
      </c>
      <c r="K229" s="86">
        <v>11783</v>
      </c>
      <c r="L229" s="87">
        <f t="shared" si="3"/>
        <v>490.95833333333331</v>
      </c>
      <c r="M229" s="6">
        <f t="shared" si="4"/>
        <v>19</v>
      </c>
      <c r="N229" s="5">
        <v>5</v>
      </c>
      <c r="O229" s="5">
        <v>0</v>
      </c>
      <c r="P229" s="5">
        <v>0</v>
      </c>
      <c r="Q229" s="5">
        <f t="shared" si="5"/>
        <v>24</v>
      </c>
      <c r="R229" s="5">
        <v>0</v>
      </c>
      <c r="S229" s="5">
        <v>0</v>
      </c>
      <c r="T229" s="5" t="s">
        <v>30</v>
      </c>
      <c r="U229" s="5" t="s">
        <v>31</v>
      </c>
      <c r="V229" s="6">
        <v>103690.4</v>
      </c>
      <c r="W229" s="5" t="s">
        <v>31</v>
      </c>
      <c r="X229" s="8">
        <v>1</v>
      </c>
      <c r="Y229" s="18" t="s">
        <v>282</v>
      </c>
      <c r="Z229" s="96"/>
    </row>
    <row r="230" spans="1:26" x14ac:dyDescent="0.3">
      <c r="A230" s="3">
        <v>46250</v>
      </c>
      <c r="B230" s="4" t="s">
        <v>25</v>
      </c>
      <c r="C230" s="5" t="s">
        <v>26</v>
      </c>
      <c r="D230" s="5" t="s">
        <v>27</v>
      </c>
      <c r="E230" s="5" t="s">
        <v>28</v>
      </c>
      <c r="F230" s="5" t="s">
        <v>33</v>
      </c>
      <c r="G230" s="5">
        <v>1050</v>
      </c>
      <c r="H230" s="5">
        <v>700</v>
      </c>
      <c r="I230" s="6">
        <v>12778</v>
      </c>
      <c r="J230" s="6">
        <v>12802</v>
      </c>
      <c r="K230" s="5">
        <v>15320</v>
      </c>
      <c r="L230" s="87">
        <f t="shared" si="3"/>
        <v>638.33333333333337</v>
      </c>
      <c r="M230" s="6">
        <f t="shared" si="4"/>
        <v>24</v>
      </c>
      <c r="N230" s="5">
        <v>0</v>
      </c>
      <c r="O230" s="5">
        <v>0</v>
      </c>
      <c r="P230" s="5">
        <v>0</v>
      </c>
      <c r="Q230" s="5">
        <f t="shared" si="5"/>
        <v>24</v>
      </c>
      <c r="R230" s="5">
        <v>0</v>
      </c>
      <c r="S230" s="5">
        <v>0</v>
      </c>
      <c r="T230" s="5" t="s">
        <v>30</v>
      </c>
      <c r="U230" s="5" t="s">
        <v>31</v>
      </c>
      <c r="V230" s="6">
        <v>134816.00000000003</v>
      </c>
      <c r="W230" s="5" t="s">
        <v>31</v>
      </c>
      <c r="X230" s="8">
        <v>1</v>
      </c>
      <c r="Y230" s="18"/>
      <c r="Z230" s="96"/>
    </row>
    <row r="231" spans="1:26" x14ac:dyDescent="0.3">
      <c r="A231" s="3">
        <v>46250</v>
      </c>
      <c r="B231" s="4" t="s">
        <v>25</v>
      </c>
      <c r="C231" s="5" t="s">
        <v>26</v>
      </c>
      <c r="D231" s="5" t="s">
        <v>27</v>
      </c>
      <c r="E231" s="5" t="s">
        <v>34</v>
      </c>
      <c r="F231" s="5" t="s">
        <v>35</v>
      </c>
      <c r="G231" s="5">
        <v>1300</v>
      </c>
      <c r="H231" s="5">
        <v>1040</v>
      </c>
      <c r="I231" s="6">
        <v>4247</v>
      </c>
      <c r="J231" s="6">
        <v>4271</v>
      </c>
      <c r="K231" s="5">
        <v>18094</v>
      </c>
      <c r="L231" s="87">
        <f t="shared" si="3"/>
        <v>753.91666666666663</v>
      </c>
      <c r="M231" s="6">
        <f t="shared" si="4"/>
        <v>24</v>
      </c>
      <c r="N231" s="5">
        <v>0</v>
      </c>
      <c r="O231" s="5">
        <v>0</v>
      </c>
      <c r="P231" s="5">
        <v>0</v>
      </c>
      <c r="Q231" s="5">
        <f t="shared" si="5"/>
        <v>24</v>
      </c>
      <c r="R231" s="5">
        <v>0</v>
      </c>
      <c r="S231" s="5">
        <v>0</v>
      </c>
      <c r="T231" s="5" t="s">
        <v>30</v>
      </c>
      <c r="U231" s="5" t="s">
        <v>31</v>
      </c>
      <c r="V231" s="6">
        <v>159227.20000000007</v>
      </c>
      <c r="W231" s="5" t="s">
        <v>31</v>
      </c>
      <c r="X231" s="8">
        <v>1</v>
      </c>
      <c r="Y231" s="18"/>
      <c r="Z231" s="96"/>
    </row>
    <row r="232" spans="1:26" x14ac:dyDescent="0.3">
      <c r="A232" s="3">
        <v>46250</v>
      </c>
      <c r="B232" s="4" t="s">
        <v>25</v>
      </c>
      <c r="C232" s="5" t="s">
        <v>26</v>
      </c>
      <c r="D232" s="5" t="s">
        <v>27</v>
      </c>
      <c r="E232" s="5" t="s">
        <v>34</v>
      </c>
      <c r="F232" s="5" t="s">
        <v>36</v>
      </c>
      <c r="G232" s="5">
        <v>1300</v>
      </c>
      <c r="H232" s="5">
        <v>1040</v>
      </c>
      <c r="I232" s="6">
        <v>4234</v>
      </c>
      <c r="J232" s="6">
        <v>4258</v>
      </c>
      <c r="K232" s="5">
        <v>18433</v>
      </c>
      <c r="L232" s="87">
        <f t="shared" si="3"/>
        <v>768.04166666666663</v>
      </c>
      <c r="M232" s="6">
        <f t="shared" si="4"/>
        <v>24</v>
      </c>
      <c r="N232" s="5">
        <v>0</v>
      </c>
      <c r="O232" s="5">
        <v>0</v>
      </c>
      <c r="P232" s="5">
        <v>0</v>
      </c>
      <c r="Q232" s="5">
        <f t="shared" si="5"/>
        <v>24</v>
      </c>
      <c r="R232" s="5">
        <v>0</v>
      </c>
      <c r="S232" s="5">
        <v>0</v>
      </c>
      <c r="T232" s="5" t="s">
        <v>30</v>
      </c>
      <c r="U232" s="5" t="s">
        <v>31</v>
      </c>
      <c r="V232" s="6">
        <v>162210.4</v>
      </c>
      <c r="W232" s="5" t="s">
        <v>31</v>
      </c>
      <c r="X232" s="8">
        <v>1</v>
      </c>
      <c r="Y232" s="18"/>
      <c r="Z232" s="96"/>
    </row>
    <row r="233" spans="1:26" x14ac:dyDescent="0.3">
      <c r="A233" s="3">
        <v>46250</v>
      </c>
      <c r="B233" s="4" t="s">
        <v>25</v>
      </c>
      <c r="C233" s="5" t="s">
        <v>26</v>
      </c>
      <c r="D233" s="5" t="s">
        <v>27</v>
      </c>
      <c r="E233" s="5" t="s">
        <v>34</v>
      </c>
      <c r="F233" s="5" t="s">
        <v>46</v>
      </c>
      <c r="G233" s="5">
        <v>1300</v>
      </c>
      <c r="H233" s="5">
        <v>1040</v>
      </c>
      <c r="I233" s="6">
        <v>2645</v>
      </c>
      <c r="J233" s="6">
        <v>2669</v>
      </c>
      <c r="K233" s="5">
        <v>18348</v>
      </c>
      <c r="L233" s="87">
        <f t="shared" si="3"/>
        <v>764.5</v>
      </c>
      <c r="M233" s="6">
        <f t="shared" si="4"/>
        <v>24</v>
      </c>
      <c r="N233" s="5">
        <v>0</v>
      </c>
      <c r="O233" s="5">
        <v>0</v>
      </c>
      <c r="P233" s="5">
        <v>0</v>
      </c>
      <c r="Q233" s="5">
        <f t="shared" si="5"/>
        <v>24</v>
      </c>
      <c r="R233" s="5">
        <v>0</v>
      </c>
      <c r="S233" s="5">
        <v>0</v>
      </c>
      <c r="T233" s="5" t="s">
        <v>30</v>
      </c>
      <c r="U233" s="5" t="s">
        <v>31</v>
      </c>
      <c r="V233" s="6">
        <v>161462.39999999999</v>
      </c>
      <c r="W233" s="5" t="s">
        <v>31</v>
      </c>
      <c r="X233" s="8">
        <v>1</v>
      </c>
      <c r="Y233" s="18"/>
      <c r="Z233" s="96"/>
    </row>
    <row r="234" spans="1:26" x14ac:dyDescent="0.3">
      <c r="A234" s="3">
        <v>46250</v>
      </c>
      <c r="B234" s="4" t="s">
        <v>25</v>
      </c>
      <c r="C234" s="5" t="s">
        <v>26</v>
      </c>
      <c r="D234" s="5" t="s">
        <v>27</v>
      </c>
      <c r="E234" s="5" t="s">
        <v>28</v>
      </c>
      <c r="F234" s="5" t="s">
        <v>47</v>
      </c>
      <c r="G234" s="5">
        <v>1050</v>
      </c>
      <c r="H234" s="5">
        <v>740</v>
      </c>
      <c r="I234" s="6">
        <v>1667</v>
      </c>
      <c r="J234" s="6">
        <v>1691</v>
      </c>
      <c r="K234" s="86">
        <v>14534</v>
      </c>
      <c r="L234" s="87">
        <f t="shared" si="3"/>
        <v>605.58333333333337</v>
      </c>
      <c r="M234" s="6">
        <f t="shared" si="4"/>
        <v>24</v>
      </c>
      <c r="N234" s="5">
        <v>0</v>
      </c>
      <c r="O234" s="5">
        <v>0</v>
      </c>
      <c r="P234" s="5">
        <v>0</v>
      </c>
      <c r="Q234" s="5">
        <f t="shared" si="5"/>
        <v>24</v>
      </c>
      <c r="R234" s="5">
        <v>0</v>
      </c>
      <c r="S234" s="5">
        <v>0</v>
      </c>
      <c r="T234" s="5" t="s">
        <v>30</v>
      </c>
      <c r="U234" s="5" t="s">
        <v>31</v>
      </c>
      <c r="V234" s="19">
        <v>127899.2</v>
      </c>
      <c r="W234" s="5" t="s">
        <v>31</v>
      </c>
      <c r="X234" s="8">
        <v>1</v>
      </c>
      <c r="Y234" s="18"/>
      <c r="Z234" s="96"/>
    </row>
    <row r="235" spans="1:26" x14ac:dyDescent="0.3">
      <c r="A235" s="3">
        <v>46250</v>
      </c>
      <c r="B235" s="4" t="s">
        <v>25</v>
      </c>
      <c r="C235" s="9" t="s">
        <v>26</v>
      </c>
      <c r="D235" s="9" t="s">
        <v>27</v>
      </c>
      <c r="E235" s="9" t="s">
        <v>37</v>
      </c>
      <c r="F235" s="9" t="s">
        <v>39</v>
      </c>
      <c r="G235" s="9">
        <v>500</v>
      </c>
      <c r="H235" s="9">
        <v>360</v>
      </c>
      <c r="I235" s="9">
        <v>15338</v>
      </c>
      <c r="J235" s="9">
        <v>15338</v>
      </c>
      <c r="K235" s="9">
        <v>0</v>
      </c>
      <c r="L235" s="10">
        <f t="shared" si="3"/>
        <v>0</v>
      </c>
      <c r="M235" s="9">
        <f t="shared" si="4"/>
        <v>0</v>
      </c>
      <c r="N235" s="9">
        <v>24</v>
      </c>
      <c r="O235" s="9">
        <v>0</v>
      </c>
      <c r="P235" s="9">
        <v>0</v>
      </c>
      <c r="Q235" s="9">
        <f t="shared" si="5"/>
        <v>24</v>
      </c>
      <c r="R235" s="9">
        <v>0</v>
      </c>
      <c r="S235" s="9">
        <v>0</v>
      </c>
      <c r="T235" s="9" t="s">
        <v>38</v>
      </c>
      <c r="U235" s="9" t="s">
        <v>31</v>
      </c>
      <c r="V235" s="16">
        <v>0</v>
      </c>
      <c r="W235" s="9" t="s">
        <v>31</v>
      </c>
      <c r="X235" s="11">
        <v>1</v>
      </c>
      <c r="Y235" s="20" t="s">
        <v>283</v>
      </c>
      <c r="Z235" s="96"/>
    </row>
    <row r="236" spans="1:26" ht="51" x14ac:dyDescent="0.3">
      <c r="A236" s="3">
        <v>46250</v>
      </c>
      <c r="B236" s="4" t="s">
        <v>25</v>
      </c>
      <c r="C236" s="9" t="s">
        <v>26</v>
      </c>
      <c r="D236" s="9" t="s">
        <v>27</v>
      </c>
      <c r="E236" s="9" t="s">
        <v>37</v>
      </c>
      <c r="F236" s="9" t="s">
        <v>40</v>
      </c>
      <c r="G236" s="9">
        <v>1000</v>
      </c>
      <c r="H236" s="9">
        <v>800</v>
      </c>
      <c r="I236" s="9">
        <v>3636</v>
      </c>
      <c r="J236" s="9">
        <v>3637</v>
      </c>
      <c r="K236" s="9">
        <v>759</v>
      </c>
      <c r="L236" s="10">
        <f t="shared" si="3"/>
        <v>31.625</v>
      </c>
      <c r="M236" s="9">
        <f t="shared" si="4"/>
        <v>1</v>
      </c>
      <c r="N236" s="9">
        <v>23</v>
      </c>
      <c r="O236" s="9">
        <v>0</v>
      </c>
      <c r="P236" s="9">
        <v>0</v>
      </c>
      <c r="Q236" s="9">
        <f t="shared" si="5"/>
        <v>24</v>
      </c>
      <c r="R236" s="9">
        <v>0</v>
      </c>
      <c r="S236" s="9">
        <v>0</v>
      </c>
      <c r="T236" s="9" t="s">
        <v>38</v>
      </c>
      <c r="U236" s="9" t="s">
        <v>31</v>
      </c>
      <c r="V236" s="16">
        <v>53</v>
      </c>
      <c r="W236" s="9" t="s">
        <v>31</v>
      </c>
      <c r="X236" s="11">
        <v>1</v>
      </c>
      <c r="Y236" s="20" t="s">
        <v>284</v>
      </c>
      <c r="Z236" s="96"/>
    </row>
    <row r="237" spans="1:26" ht="40.799999999999997" x14ac:dyDescent="0.3">
      <c r="A237" s="3">
        <v>46250</v>
      </c>
      <c r="B237" s="4" t="s">
        <v>25</v>
      </c>
      <c r="C237" s="9" t="s">
        <v>26</v>
      </c>
      <c r="D237" s="9" t="s">
        <v>27</v>
      </c>
      <c r="E237" s="9" t="s">
        <v>37</v>
      </c>
      <c r="F237" s="9" t="s">
        <v>41</v>
      </c>
      <c r="G237" s="9">
        <v>1000</v>
      </c>
      <c r="H237" s="9">
        <v>800</v>
      </c>
      <c r="I237" s="9">
        <v>2524</v>
      </c>
      <c r="J237" s="9">
        <v>2526</v>
      </c>
      <c r="K237" s="9">
        <v>878</v>
      </c>
      <c r="L237" s="10">
        <f t="shared" si="3"/>
        <v>36.583333333333336</v>
      </c>
      <c r="M237" s="9">
        <f t="shared" si="4"/>
        <v>2</v>
      </c>
      <c r="N237" s="9">
        <v>22</v>
      </c>
      <c r="O237" s="9">
        <v>0</v>
      </c>
      <c r="P237" s="9">
        <v>0</v>
      </c>
      <c r="Q237" s="9">
        <f t="shared" si="5"/>
        <v>24</v>
      </c>
      <c r="R237" s="9">
        <v>0</v>
      </c>
      <c r="S237" s="9">
        <v>0</v>
      </c>
      <c r="T237" s="9" t="s">
        <v>38</v>
      </c>
      <c r="U237" s="9" t="s">
        <v>31</v>
      </c>
      <c r="V237" s="16">
        <v>61</v>
      </c>
      <c r="W237" s="9" t="s">
        <v>31</v>
      </c>
      <c r="X237" s="11">
        <v>1</v>
      </c>
      <c r="Y237" s="20" t="s">
        <v>285</v>
      </c>
      <c r="Z237" s="96"/>
    </row>
    <row r="238" spans="1:26" x14ac:dyDescent="0.3">
      <c r="A238" s="3">
        <v>46250</v>
      </c>
      <c r="B238" s="4" t="s">
        <v>25</v>
      </c>
      <c r="C238" s="12" t="s">
        <v>42</v>
      </c>
      <c r="D238" s="12" t="s">
        <v>27</v>
      </c>
      <c r="E238" s="12" t="s">
        <v>43</v>
      </c>
      <c r="F238" s="12" t="s">
        <v>44</v>
      </c>
      <c r="G238" s="12">
        <v>600</v>
      </c>
      <c r="H238" s="12">
        <v>350</v>
      </c>
      <c r="I238" s="12">
        <v>6714</v>
      </c>
      <c r="J238" s="12">
        <v>6738</v>
      </c>
      <c r="K238" s="12">
        <v>9539</v>
      </c>
      <c r="L238" s="88">
        <f t="shared" si="3"/>
        <v>397.45833333333331</v>
      </c>
      <c r="M238" s="12">
        <f t="shared" si="4"/>
        <v>24</v>
      </c>
      <c r="N238" s="12">
        <v>0</v>
      </c>
      <c r="O238" s="12">
        <v>0</v>
      </c>
      <c r="P238" s="12">
        <v>0</v>
      </c>
      <c r="Q238" s="12">
        <f t="shared" si="5"/>
        <v>24</v>
      </c>
      <c r="R238" s="12">
        <v>0</v>
      </c>
      <c r="S238" s="12">
        <v>0</v>
      </c>
      <c r="T238" s="12" t="s">
        <v>30</v>
      </c>
      <c r="U238" s="12" t="s">
        <v>31</v>
      </c>
      <c r="V238" s="14">
        <v>83943.2</v>
      </c>
      <c r="W238" s="12" t="s">
        <v>31</v>
      </c>
      <c r="X238" s="15">
        <v>1</v>
      </c>
      <c r="Y238" s="17"/>
      <c r="Z238" s="96"/>
    </row>
    <row r="239" spans="1:26" x14ac:dyDescent="0.3">
      <c r="A239" s="3">
        <v>46250</v>
      </c>
      <c r="B239" s="4" t="s">
        <v>25</v>
      </c>
      <c r="C239" s="12" t="s">
        <v>42</v>
      </c>
      <c r="D239" s="12" t="s">
        <v>27</v>
      </c>
      <c r="E239" s="12" t="s">
        <v>43</v>
      </c>
      <c r="F239" s="12" t="s">
        <v>45</v>
      </c>
      <c r="G239" s="12">
        <v>600</v>
      </c>
      <c r="H239" s="12">
        <v>350</v>
      </c>
      <c r="I239" s="12">
        <v>6637</v>
      </c>
      <c r="J239" s="12">
        <v>6661</v>
      </c>
      <c r="K239" s="12">
        <v>8400</v>
      </c>
      <c r="L239" s="88">
        <f t="shared" si="3"/>
        <v>350</v>
      </c>
      <c r="M239" s="12">
        <f t="shared" si="4"/>
        <v>24</v>
      </c>
      <c r="N239" s="12">
        <v>0</v>
      </c>
      <c r="O239" s="12">
        <v>0</v>
      </c>
      <c r="P239" s="12">
        <v>0</v>
      </c>
      <c r="Q239" s="12">
        <f t="shared" si="5"/>
        <v>24</v>
      </c>
      <c r="R239" s="12">
        <v>0</v>
      </c>
      <c r="S239" s="12">
        <v>0</v>
      </c>
      <c r="T239" s="12" t="s">
        <v>30</v>
      </c>
      <c r="U239" s="12" t="s">
        <v>31</v>
      </c>
      <c r="V239" s="14">
        <v>73920.000000000015</v>
      </c>
      <c r="W239" s="12" t="s">
        <v>31</v>
      </c>
      <c r="X239" s="15">
        <v>1</v>
      </c>
      <c r="Y239" s="17"/>
      <c r="Z239" s="96"/>
    </row>
    <row r="240" spans="1:26" ht="20.399999999999999" x14ac:dyDescent="0.3">
      <c r="A240" s="3">
        <v>46250</v>
      </c>
      <c r="B240" s="4" t="s">
        <v>25</v>
      </c>
      <c r="C240" s="12" t="s">
        <v>26</v>
      </c>
      <c r="D240" s="12" t="s">
        <v>27</v>
      </c>
      <c r="E240" s="12" t="s">
        <v>43</v>
      </c>
      <c r="F240" s="12" t="s">
        <v>163</v>
      </c>
      <c r="G240" s="12">
        <v>600</v>
      </c>
      <c r="H240" s="12">
        <v>450</v>
      </c>
      <c r="I240" s="12">
        <v>4627</v>
      </c>
      <c r="J240" s="12">
        <v>4648</v>
      </c>
      <c r="K240" s="12">
        <v>7358</v>
      </c>
      <c r="L240" s="88">
        <f t="shared" si="3"/>
        <v>306.58333333333331</v>
      </c>
      <c r="M240" s="12">
        <f t="shared" si="4"/>
        <v>21</v>
      </c>
      <c r="N240" s="12">
        <v>3</v>
      </c>
      <c r="O240" s="12">
        <v>0</v>
      </c>
      <c r="P240" s="12">
        <v>0</v>
      </c>
      <c r="Q240" s="12">
        <f t="shared" si="5"/>
        <v>24</v>
      </c>
      <c r="R240" s="12">
        <v>0</v>
      </c>
      <c r="S240" s="12">
        <v>0</v>
      </c>
      <c r="T240" s="12" t="s">
        <v>30</v>
      </c>
      <c r="U240" s="12" t="s">
        <v>31</v>
      </c>
      <c r="V240" s="14">
        <v>64750.399999999987</v>
      </c>
      <c r="W240" s="12" t="s">
        <v>31</v>
      </c>
      <c r="X240" s="15">
        <v>1</v>
      </c>
      <c r="Y240" s="17" t="s">
        <v>286</v>
      </c>
      <c r="Z240" s="96"/>
    </row>
    <row r="241" spans="1:26" ht="31.8" x14ac:dyDescent="0.3">
      <c r="A241" s="3">
        <v>46250</v>
      </c>
      <c r="B241" s="4" t="s">
        <v>25</v>
      </c>
      <c r="C241" s="12" t="s">
        <v>26</v>
      </c>
      <c r="D241" s="12" t="s">
        <v>27</v>
      </c>
      <c r="E241" s="12" t="s">
        <v>43</v>
      </c>
      <c r="F241" s="12" t="s">
        <v>164</v>
      </c>
      <c r="G241" s="12">
        <v>600</v>
      </c>
      <c r="H241" s="12">
        <v>450</v>
      </c>
      <c r="I241" s="12">
        <v>810</v>
      </c>
      <c r="J241" s="12">
        <v>832</v>
      </c>
      <c r="K241" s="12">
        <v>8149</v>
      </c>
      <c r="L241" s="88">
        <f t="shared" si="3"/>
        <v>339.54166666666669</v>
      </c>
      <c r="M241" s="12">
        <f t="shared" si="4"/>
        <v>22</v>
      </c>
      <c r="N241" s="12">
        <v>2</v>
      </c>
      <c r="O241" s="12">
        <v>0</v>
      </c>
      <c r="P241" s="12">
        <v>0</v>
      </c>
      <c r="Q241" s="12">
        <f t="shared" si="5"/>
        <v>24</v>
      </c>
      <c r="R241" s="12">
        <v>0</v>
      </c>
      <c r="S241" s="12">
        <v>0</v>
      </c>
      <c r="T241" s="12" t="s">
        <v>30</v>
      </c>
      <c r="U241" s="12" t="s">
        <v>31</v>
      </c>
      <c r="V241" s="14">
        <v>71711.199999999997</v>
      </c>
      <c r="W241" s="12" t="s">
        <v>31</v>
      </c>
      <c r="X241" s="15">
        <v>1</v>
      </c>
      <c r="Y241" s="76" t="s">
        <v>287</v>
      </c>
      <c r="Z241" s="96"/>
    </row>
    <row r="242" spans="1:26" ht="51" x14ac:dyDescent="0.3">
      <c r="A242" s="3">
        <v>46250</v>
      </c>
      <c r="B242" s="4" t="s">
        <v>25</v>
      </c>
      <c r="C242" s="12" t="s">
        <v>26</v>
      </c>
      <c r="D242" s="12" t="s">
        <v>27</v>
      </c>
      <c r="E242" s="12" t="s">
        <v>43</v>
      </c>
      <c r="F242" s="12" t="s">
        <v>165</v>
      </c>
      <c r="G242" s="12">
        <v>600</v>
      </c>
      <c r="H242" s="12">
        <v>450</v>
      </c>
      <c r="I242" s="12">
        <v>843</v>
      </c>
      <c r="J242" s="12">
        <v>860</v>
      </c>
      <c r="K242" s="12">
        <v>5906</v>
      </c>
      <c r="L242" s="88">
        <f t="shared" si="3"/>
        <v>246.08333333333334</v>
      </c>
      <c r="M242" s="12">
        <f t="shared" si="4"/>
        <v>17</v>
      </c>
      <c r="N242" s="12">
        <v>7</v>
      </c>
      <c r="O242" s="12">
        <v>0</v>
      </c>
      <c r="P242" s="12">
        <v>0</v>
      </c>
      <c r="Q242" s="12">
        <f t="shared" si="5"/>
        <v>24</v>
      </c>
      <c r="R242" s="12">
        <v>0</v>
      </c>
      <c r="S242" s="12">
        <v>0</v>
      </c>
      <c r="T242" s="12" t="s">
        <v>30</v>
      </c>
      <c r="U242" s="12" t="s">
        <v>31</v>
      </c>
      <c r="V242" s="14">
        <v>51972.80000000001</v>
      </c>
      <c r="W242" s="12" t="s">
        <v>31</v>
      </c>
      <c r="X242" s="15">
        <v>1</v>
      </c>
      <c r="Y242" s="17" t="s">
        <v>288</v>
      </c>
      <c r="Z242" s="96"/>
    </row>
    <row r="243" spans="1:26" x14ac:dyDescent="0.3">
      <c r="A243" s="3">
        <v>46251</v>
      </c>
      <c r="B243" s="4" t="s">
        <v>25</v>
      </c>
      <c r="C243" s="5" t="s">
        <v>26</v>
      </c>
      <c r="D243" s="5" t="s">
        <v>27</v>
      </c>
      <c r="E243" s="5" t="s">
        <v>28</v>
      </c>
      <c r="F243" s="5" t="s">
        <v>29</v>
      </c>
      <c r="G243" s="5">
        <v>1050</v>
      </c>
      <c r="H243" s="5">
        <v>700</v>
      </c>
      <c r="I243" s="85">
        <v>16543</v>
      </c>
      <c r="J243" s="85">
        <v>16567</v>
      </c>
      <c r="K243" s="86">
        <v>15486</v>
      </c>
      <c r="L243" s="87">
        <f t="shared" si="3"/>
        <v>645.25</v>
      </c>
      <c r="M243" s="6">
        <f t="shared" si="4"/>
        <v>24</v>
      </c>
      <c r="N243" s="5">
        <v>0</v>
      </c>
      <c r="O243" s="5">
        <v>0</v>
      </c>
      <c r="P243" s="5">
        <v>0</v>
      </c>
      <c r="Q243" s="5">
        <f t="shared" si="5"/>
        <v>24</v>
      </c>
      <c r="R243" s="5">
        <v>0</v>
      </c>
      <c r="S243" s="5">
        <v>0</v>
      </c>
      <c r="T243" s="5" t="s">
        <v>30</v>
      </c>
      <c r="U243" s="5" t="s">
        <v>31</v>
      </c>
      <c r="V243" s="6">
        <v>136276.80000000002</v>
      </c>
      <c r="W243" s="5" t="s">
        <v>31</v>
      </c>
      <c r="X243" s="8">
        <v>1</v>
      </c>
      <c r="Y243" s="18"/>
      <c r="Z243" s="96"/>
    </row>
    <row r="244" spans="1:26" ht="61.2" x14ac:dyDescent="0.3">
      <c r="A244" s="3">
        <v>46251</v>
      </c>
      <c r="B244" s="4" t="s">
        <v>25</v>
      </c>
      <c r="C244" s="5" t="s">
        <v>26</v>
      </c>
      <c r="D244" s="5" t="s">
        <v>27</v>
      </c>
      <c r="E244" s="5" t="s">
        <v>28</v>
      </c>
      <c r="F244" s="5" t="s">
        <v>32</v>
      </c>
      <c r="G244" s="5">
        <v>1050</v>
      </c>
      <c r="H244" s="5">
        <v>700</v>
      </c>
      <c r="I244" s="85">
        <v>14302</v>
      </c>
      <c r="J244" s="85">
        <v>14322</v>
      </c>
      <c r="K244" s="86">
        <v>11818</v>
      </c>
      <c r="L244" s="87">
        <f t="shared" si="3"/>
        <v>492.41666666666669</v>
      </c>
      <c r="M244" s="6">
        <f t="shared" si="4"/>
        <v>20</v>
      </c>
      <c r="N244" s="5">
        <v>4</v>
      </c>
      <c r="O244" s="5">
        <v>0</v>
      </c>
      <c r="P244" s="5">
        <v>0</v>
      </c>
      <c r="Q244" s="5">
        <f t="shared" si="5"/>
        <v>24</v>
      </c>
      <c r="R244" s="5">
        <v>0</v>
      </c>
      <c r="S244" s="5">
        <v>0</v>
      </c>
      <c r="T244" s="5" t="s">
        <v>30</v>
      </c>
      <c r="U244" s="5" t="s">
        <v>31</v>
      </c>
      <c r="V244" s="6">
        <v>103998.39999999999</v>
      </c>
      <c r="W244" s="5" t="s">
        <v>31</v>
      </c>
      <c r="X244" s="8">
        <v>1</v>
      </c>
      <c r="Y244" s="18" t="s">
        <v>289</v>
      </c>
      <c r="Z244" s="96"/>
    </row>
    <row r="245" spans="1:26" x14ac:dyDescent="0.3">
      <c r="A245" s="3">
        <v>46251</v>
      </c>
      <c r="B245" s="4" t="s">
        <v>25</v>
      </c>
      <c r="C245" s="5" t="s">
        <v>26</v>
      </c>
      <c r="D245" s="5" t="s">
        <v>27</v>
      </c>
      <c r="E245" s="5" t="s">
        <v>28</v>
      </c>
      <c r="F245" s="5" t="s">
        <v>33</v>
      </c>
      <c r="G245" s="5">
        <v>1050</v>
      </c>
      <c r="H245" s="5">
        <v>700</v>
      </c>
      <c r="I245" s="6">
        <v>12802</v>
      </c>
      <c r="J245" s="6">
        <v>12826</v>
      </c>
      <c r="K245" s="5">
        <v>15482</v>
      </c>
      <c r="L245" s="87">
        <f t="shared" si="3"/>
        <v>645.08333333333337</v>
      </c>
      <c r="M245" s="6">
        <f t="shared" si="4"/>
        <v>24</v>
      </c>
      <c r="N245" s="5">
        <v>0</v>
      </c>
      <c r="O245" s="5">
        <v>0</v>
      </c>
      <c r="P245" s="5">
        <v>0</v>
      </c>
      <c r="Q245" s="5">
        <f t="shared" si="5"/>
        <v>24</v>
      </c>
      <c r="R245" s="5">
        <v>0</v>
      </c>
      <c r="S245" s="5">
        <v>0</v>
      </c>
      <c r="T245" s="5" t="s">
        <v>30</v>
      </c>
      <c r="U245" s="5" t="s">
        <v>31</v>
      </c>
      <c r="V245" s="6">
        <v>136241.60000000003</v>
      </c>
      <c r="W245" s="5" t="s">
        <v>31</v>
      </c>
      <c r="X245" s="8">
        <v>1</v>
      </c>
      <c r="Y245" s="18"/>
      <c r="Z245" s="96"/>
    </row>
    <row r="246" spans="1:26" x14ac:dyDescent="0.3">
      <c r="A246" s="3">
        <v>46251</v>
      </c>
      <c r="B246" s="4" t="s">
        <v>25</v>
      </c>
      <c r="C246" s="5" t="s">
        <v>26</v>
      </c>
      <c r="D246" s="5" t="s">
        <v>27</v>
      </c>
      <c r="E246" s="5" t="s">
        <v>34</v>
      </c>
      <c r="F246" s="5" t="s">
        <v>35</v>
      </c>
      <c r="G246" s="5">
        <v>1300</v>
      </c>
      <c r="H246" s="5">
        <v>1040</v>
      </c>
      <c r="I246" s="6">
        <v>4271</v>
      </c>
      <c r="J246" s="6">
        <v>4295</v>
      </c>
      <c r="K246" s="5">
        <v>16962</v>
      </c>
      <c r="L246" s="87">
        <f t="shared" si="3"/>
        <v>706.75</v>
      </c>
      <c r="M246" s="6">
        <f t="shared" si="4"/>
        <v>24</v>
      </c>
      <c r="N246" s="5">
        <v>0</v>
      </c>
      <c r="O246" s="5">
        <v>0</v>
      </c>
      <c r="P246" s="5">
        <v>0</v>
      </c>
      <c r="Q246" s="5">
        <f t="shared" si="5"/>
        <v>24</v>
      </c>
      <c r="R246" s="5">
        <v>0</v>
      </c>
      <c r="S246" s="5">
        <v>0</v>
      </c>
      <c r="T246" s="5" t="s">
        <v>30</v>
      </c>
      <c r="U246" s="5" t="s">
        <v>31</v>
      </c>
      <c r="V246" s="6">
        <v>149265.60000000003</v>
      </c>
      <c r="W246" s="5" t="s">
        <v>31</v>
      </c>
      <c r="X246" s="8">
        <v>1</v>
      </c>
      <c r="Y246" s="18"/>
      <c r="Z246" s="96"/>
    </row>
    <row r="247" spans="1:26" x14ac:dyDescent="0.3">
      <c r="A247" s="3">
        <v>46251</v>
      </c>
      <c r="B247" s="4" t="s">
        <v>25</v>
      </c>
      <c r="C247" s="5" t="s">
        <v>26</v>
      </c>
      <c r="D247" s="5" t="s">
        <v>27</v>
      </c>
      <c r="E247" s="5" t="s">
        <v>34</v>
      </c>
      <c r="F247" s="5" t="s">
        <v>36</v>
      </c>
      <c r="G247" s="5">
        <v>1300</v>
      </c>
      <c r="H247" s="5">
        <v>1040</v>
      </c>
      <c r="I247" s="6">
        <v>4258</v>
      </c>
      <c r="J247" s="6">
        <v>4282</v>
      </c>
      <c r="K247" s="5">
        <v>18006</v>
      </c>
      <c r="L247" s="87">
        <f t="shared" si="3"/>
        <v>750.25</v>
      </c>
      <c r="M247" s="6">
        <f t="shared" si="4"/>
        <v>24</v>
      </c>
      <c r="N247" s="5">
        <v>0</v>
      </c>
      <c r="O247" s="5">
        <v>0</v>
      </c>
      <c r="P247" s="5">
        <v>0</v>
      </c>
      <c r="Q247" s="5">
        <f t="shared" si="5"/>
        <v>24</v>
      </c>
      <c r="R247" s="5">
        <v>0</v>
      </c>
      <c r="S247" s="5">
        <v>0</v>
      </c>
      <c r="T247" s="5" t="s">
        <v>30</v>
      </c>
      <c r="U247" s="5" t="s">
        <v>31</v>
      </c>
      <c r="V247" s="6">
        <v>158452.80000000002</v>
      </c>
      <c r="W247" s="5" t="s">
        <v>31</v>
      </c>
      <c r="X247" s="8">
        <v>1</v>
      </c>
      <c r="Y247" s="18"/>
      <c r="Z247" s="96"/>
    </row>
    <row r="248" spans="1:26" x14ac:dyDescent="0.3">
      <c r="A248" s="3">
        <v>46251</v>
      </c>
      <c r="B248" s="4" t="s">
        <v>25</v>
      </c>
      <c r="C248" s="5" t="s">
        <v>26</v>
      </c>
      <c r="D248" s="5" t="s">
        <v>27</v>
      </c>
      <c r="E248" s="5" t="s">
        <v>34</v>
      </c>
      <c r="F248" s="5" t="s">
        <v>46</v>
      </c>
      <c r="G248" s="5">
        <v>1300</v>
      </c>
      <c r="H248" s="5">
        <v>1040</v>
      </c>
      <c r="I248" s="6">
        <v>2669</v>
      </c>
      <c r="J248" s="6">
        <v>2693</v>
      </c>
      <c r="K248" s="5">
        <v>19666</v>
      </c>
      <c r="L248" s="87">
        <f t="shared" si="3"/>
        <v>819.41666666666663</v>
      </c>
      <c r="M248" s="6">
        <f t="shared" si="4"/>
        <v>24</v>
      </c>
      <c r="N248" s="5">
        <v>0</v>
      </c>
      <c r="O248" s="5">
        <v>0</v>
      </c>
      <c r="P248" s="5">
        <v>0</v>
      </c>
      <c r="Q248" s="5">
        <f t="shared" si="5"/>
        <v>24</v>
      </c>
      <c r="R248" s="5">
        <v>0</v>
      </c>
      <c r="S248" s="5">
        <v>0</v>
      </c>
      <c r="T248" s="5" t="s">
        <v>30</v>
      </c>
      <c r="U248" s="5" t="s">
        <v>31</v>
      </c>
      <c r="V248" s="6">
        <v>173060.8</v>
      </c>
      <c r="W248" s="5" t="s">
        <v>31</v>
      </c>
      <c r="X248" s="8">
        <v>1</v>
      </c>
      <c r="Y248" s="18"/>
      <c r="Z248" s="96"/>
    </row>
    <row r="249" spans="1:26" x14ac:dyDescent="0.3">
      <c r="A249" s="3">
        <v>46251</v>
      </c>
      <c r="B249" s="4" t="s">
        <v>25</v>
      </c>
      <c r="C249" s="5" t="s">
        <v>26</v>
      </c>
      <c r="D249" s="5" t="s">
        <v>27</v>
      </c>
      <c r="E249" s="5" t="s">
        <v>28</v>
      </c>
      <c r="F249" s="5" t="s">
        <v>47</v>
      </c>
      <c r="G249" s="5">
        <v>1050</v>
      </c>
      <c r="H249" s="5">
        <v>740</v>
      </c>
      <c r="I249" s="6">
        <v>1691</v>
      </c>
      <c r="J249" s="6">
        <v>1708</v>
      </c>
      <c r="K249" s="86">
        <v>10030</v>
      </c>
      <c r="L249" s="87">
        <f t="shared" si="3"/>
        <v>417.91666666666669</v>
      </c>
      <c r="M249" s="6">
        <v>18</v>
      </c>
      <c r="N249" s="5">
        <v>0</v>
      </c>
      <c r="O249" s="5">
        <v>6</v>
      </c>
      <c r="P249" s="5">
        <v>0</v>
      </c>
      <c r="Q249" s="5">
        <f t="shared" si="5"/>
        <v>24</v>
      </c>
      <c r="R249" s="5">
        <v>0</v>
      </c>
      <c r="S249" s="5">
        <v>0</v>
      </c>
      <c r="T249" s="5" t="s">
        <v>30</v>
      </c>
      <c r="U249" s="5" t="s">
        <v>31</v>
      </c>
      <c r="V249" s="19">
        <v>88264.000000000029</v>
      </c>
      <c r="W249" s="5" t="s">
        <v>31</v>
      </c>
      <c r="X249" s="8">
        <v>1</v>
      </c>
      <c r="Y249" s="18" t="s">
        <v>290</v>
      </c>
      <c r="Z249" s="96"/>
    </row>
    <row r="250" spans="1:26" x14ac:dyDescent="0.3">
      <c r="A250" s="3">
        <v>46251</v>
      </c>
      <c r="B250" s="4" t="s">
        <v>25</v>
      </c>
      <c r="C250" s="9" t="s">
        <v>26</v>
      </c>
      <c r="D250" s="9" t="s">
        <v>27</v>
      </c>
      <c r="E250" s="9" t="s">
        <v>37</v>
      </c>
      <c r="F250" s="9" t="s">
        <v>39</v>
      </c>
      <c r="G250" s="9">
        <v>500</v>
      </c>
      <c r="H250" s="9">
        <v>360</v>
      </c>
      <c r="I250" s="9">
        <v>15338</v>
      </c>
      <c r="J250" s="9">
        <v>15338</v>
      </c>
      <c r="K250" s="9">
        <v>0</v>
      </c>
      <c r="L250" s="89">
        <f t="shared" si="3"/>
        <v>0</v>
      </c>
      <c r="M250" s="9">
        <f t="shared" ref="M250:M260" si="6">J250-I250</f>
        <v>0</v>
      </c>
      <c r="N250" s="9">
        <v>24</v>
      </c>
      <c r="O250" s="9">
        <v>0</v>
      </c>
      <c r="P250" s="9">
        <v>0</v>
      </c>
      <c r="Q250" s="9">
        <f t="shared" si="5"/>
        <v>24</v>
      </c>
      <c r="R250" s="9">
        <v>0</v>
      </c>
      <c r="S250" s="9">
        <v>0</v>
      </c>
      <c r="T250" s="9" t="s">
        <v>38</v>
      </c>
      <c r="U250" s="9" t="s">
        <v>31</v>
      </c>
      <c r="V250" s="16">
        <v>0</v>
      </c>
      <c r="W250" s="9" t="s">
        <v>31</v>
      </c>
      <c r="X250" s="11">
        <v>1</v>
      </c>
      <c r="Y250" s="20"/>
      <c r="Z250" s="96"/>
    </row>
    <row r="251" spans="1:26" x14ac:dyDescent="0.3">
      <c r="A251" s="3">
        <v>46251</v>
      </c>
      <c r="B251" s="4" t="s">
        <v>25</v>
      </c>
      <c r="C251" s="9" t="s">
        <v>26</v>
      </c>
      <c r="D251" s="9" t="s">
        <v>27</v>
      </c>
      <c r="E251" s="9" t="s">
        <v>37</v>
      </c>
      <c r="F251" s="9" t="s">
        <v>40</v>
      </c>
      <c r="G251" s="9">
        <v>1000</v>
      </c>
      <c r="H251" s="9">
        <v>800</v>
      </c>
      <c r="I251" s="9">
        <v>3637</v>
      </c>
      <c r="J251" s="9">
        <v>3637</v>
      </c>
      <c r="K251" s="9">
        <v>0</v>
      </c>
      <c r="L251" s="89">
        <f t="shared" si="3"/>
        <v>0</v>
      </c>
      <c r="M251" s="9">
        <f t="shared" si="6"/>
        <v>0</v>
      </c>
      <c r="N251" s="9">
        <v>24</v>
      </c>
      <c r="O251" s="9">
        <v>0</v>
      </c>
      <c r="P251" s="9">
        <v>0</v>
      </c>
      <c r="Q251" s="9">
        <f t="shared" si="5"/>
        <v>24</v>
      </c>
      <c r="R251" s="9">
        <v>0</v>
      </c>
      <c r="S251" s="9">
        <v>0</v>
      </c>
      <c r="T251" s="9" t="s">
        <v>38</v>
      </c>
      <c r="U251" s="9" t="s">
        <v>31</v>
      </c>
      <c r="V251" s="16">
        <v>0</v>
      </c>
      <c r="W251" s="9" t="s">
        <v>31</v>
      </c>
      <c r="X251" s="11">
        <v>1</v>
      </c>
      <c r="Y251" s="20"/>
      <c r="Z251" s="96"/>
    </row>
    <row r="252" spans="1:26" x14ac:dyDescent="0.3">
      <c r="A252" s="3">
        <v>46251</v>
      </c>
      <c r="B252" s="4" t="s">
        <v>25</v>
      </c>
      <c r="C252" s="9" t="s">
        <v>26</v>
      </c>
      <c r="D252" s="9" t="s">
        <v>27</v>
      </c>
      <c r="E252" s="9" t="s">
        <v>37</v>
      </c>
      <c r="F252" s="9" t="s">
        <v>41</v>
      </c>
      <c r="G252" s="9">
        <v>1000</v>
      </c>
      <c r="H252" s="9">
        <v>800</v>
      </c>
      <c r="I252" s="9">
        <v>2526</v>
      </c>
      <c r="J252" s="9">
        <v>2526</v>
      </c>
      <c r="K252" s="9">
        <v>0</v>
      </c>
      <c r="L252" s="89">
        <f t="shared" si="3"/>
        <v>0</v>
      </c>
      <c r="M252" s="9">
        <f t="shared" si="6"/>
        <v>0</v>
      </c>
      <c r="N252" s="9">
        <v>24</v>
      </c>
      <c r="O252" s="9">
        <v>0</v>
      </c>
      <c r="P252" s="9">
        <v>0</v>
      </c>
      <c r="Q252" s="9">
        <f t="shared" si="5"/>
        <v>24</v>
      </c>
      <c r="R252" s="9">
        <v>0</v>
      </c>
      <c r="S252" s="9">
        <v>0</v>
      </c>
      <c r="T252" s="9" t="s">
        <v>38</v>
      </c>
      <c r="U252" s="9" t="s">
        <v>31</v>
      </c>
      <c r="V252" s="16">
        <v>0</v>
      </c>
      <c r="W252" s="9" t="s">
        <v>31</v>
      </c>
      <c r="X252" s="11">
        <v>1</v>
      </c>
      <c r="Y252" s="20"/>
      <c r="Z252" s="96"/>
    </row>
    <row r="253" spans="1:26" x14ac:dyDescent="0.3">
      <c r="A253" s="3">
        <v>46251</v>
      </c>
      <c r="B253" s="4" t="s">
        <v>25</v>
      </c>
      <c r="C253" s="12" t="s">
        <v>42</v>
      </c>
      <c r="D253" s="12" t="s">
        <v>27</v>
      </c>
      <c r="E253" s="12" t="s">
        <v>43</v>
      </c>
      <c r="F253" s="12" t="s">
        <v>44</v>
      </c>
      <c r="G253" s="12">
        <v>600</v>
      </c>
      <c r="H253" s="12">
        <v>350</v>
      </c>
      <c r="I253" s="12">
        <v>6738</v>
      </c>
      <c r="J253" s="12">
        <v>6762</v>
      </c>
      <c r="K253" s="12">
        <v>7262</v>
      </c>
      <c r="L253" s="88">
        <f t="shared" si="3"/>
        <v>302.58333333333331</v>
      </c>
      <c r="M253" s="12">
        <f t="shared" si="6"/>
        <v>24</v>
      </c>
      <c r="N253" s="12">
        <v>0</v>
      </c>
      <c r="O253" s="12">
        <v>0</v>
      </c>
      <c r="P253" s="12">
        <v>0</v>
      </c>
      <c r="Q253" s="12">
        <f t="shared" si="5"/>
        <v>24</v>
      </c>
      <c r="R253" s="12">
        <v>0</v>
      </c>
      <c r="S253" s="12">
        <v>0</v>
      </c>
      <c r="T253" s="12" t="s">
        <v>30</v>
      </c>
      <c r="U253" s="12" t="s">
        <v>31</v>
      </c>
      <c r="V253" s="14">
        <v>63905.600000000006</v>
      </c>
      <c r="W253" s="12" t="s">
        <v>31</v>
      </c>
      <c r="X253" s="15">
        <v>1</v>
      </c>
      <c r="Y253" s="17"/>
      <c r="Z253" s="96"/>
    </row>
    <row r="254" spans="1:26" x14ac:dyDescent="0.3">
      <c r="A254" s="3">
        <v>46251</v>
      </c>
      <c r="B254" s="4" t="s">
        <v>25</v>
      </c>
      <c r="C254" s="12" t="s">
        <v>42</v>
      </c>
      <c r="D254" s="12" t="s">
        <v>27</v>
      </c>
      <c r="E254" s="12" t="s">
        <v>43</v>
      </c>
      <c r="F254" s="12" t="s">
        <v>45</v>
      </c>
      <c r="G254" s="12">
        <v>600</v>
      </c>
      <c r="H254" s="12">
        <v>350</v>
      </c>
      <c r="I254" s="12">
        <v>6661</v>
      </c>
      <c r="J254" s="12">
        <v>6685</v>
      </c>
      <c r="K254" s="12">
        <v>8397</v>
      </c>
      <c r="L254" s="88">
        <f t="shared" si="3"/>
        <v>349.875</v>
      </c>
      <c r="M254" s="12">
        <f t="shared" si="6"/>
        <v>24</v>
      </c>
      <c r="N254" s="12">
        <v>0</v>
      </c>
      <c r="O254" s="12">
        <v>0</v>
      </c>
      <c r="P254" s="12">
        <v>0</v>
      </c>
      <c r="Q254" s="12">
        <f t="shared" si="5"/>
        <v>24</v>
      </c>
      <c r="R254" s="12">
        <v>0</v>
      </c>
      <c r="S254" s="12">
        <v>0</v>
      </c>
      <c r="T254" s="12" t="s">
        <v>30</v>
      </c>
      <c r="U254" s="12" t="s">
        <v>31</v>
      </c>
      <c r="V254" s="14">
        <v>73893.60000000002</v>
      </c>
      <c r="W254" s="12" t="s">
        <v>31</v>
      </c>
      <c r="X254" s="15">
        <v>1</v>
      </c>
      <c r="Y254" s="17"/>
      <c r="Z254" s="96"/>
    </row>
    <row r="255" spans="1:26" x14ac:dyDescent="0.3">
      <c r="A255" s="3">
        <v>46251</v>
      </c>
      <c r="B255" s="4" t="s">
        <v>25</v>
      </c>
      <c r="C255" s="12" t="s">
        <v>26</v>
      </c>
      <c r="D255" s="12" t="s">
        <v>27</v>
      </c>
      <c r="E255" s="12" t="s">
        <v>43</v>
      </c>
      <c r="F255" s="12" t="s">
        <v>163</v>
      </c>
      <c r="G255" s="12">
        <v>600</v>
      </c>
      <c r="H255" s="12">
        <v>450</v>
      </c>
      <c r="I255" s="12">
        <v>4648</v>
      </c>
      <c r="J255" s="12">
        <v>4672</v>
      </c>
      <c r="K255" s="12">
        <v>8932</v>
      </c>
      <c r="L255" s="88">
        <f t="shared" si="3"/>
        <v>372.16666666666669</v>
      </c>
      <c r="M255" s="12">
        <f t="shared" si="6"/>
        <v>24</v>
      </c>
      <c r="N255" s="12">
        <v>0</v>
      </c>
      <c r="O255" s="12">
        <v>0</v>
      </c>
      <c r="P255" s="12">
        <v>0</v>
      </c>
      <c r="Q255" s="12">
        <f t="shared" si="5"/>
        <v>24</v>
      </c>
      <c r="R255" s="12">
        <v>0</v>
      </c>
      <c r="S255" s="12">
        <v>0</v>
      </c>
      <c r="T255" s="12" t="s">
        <v>30</v>
      </c>
      <c r="U255" s="12" t="s">
        <v>31</v>
      </c>
      <c r="V255" s="14">
        <v>78601.60000000002</v>
      </c>
      <c r="W255" s="12" t="s">
        <v>31</v>
      </c>
      <c r="X255" s="15">
        <v>1</v>
      </c>
      <c r="Y255" s="17"/>
      <c r="Z255" s="96"/>
    </row>
    <row r="256" spans="1:26" x14ac:dyDescent="0.3">
      <c r="A256" s="3">
        <v>46251</v>
      </c>
      <c r="B256" s="4" t="s">
        <v>25</v>
      </c>
      <c r="C256" s="12" t="s">
        <v>26</v>
      </c>
      <c r="D256" s="12" t="s">
        <v>27</v>
      </c>
      <c r="E256" s="12" t="s">
        <v>43</v>
      </c>
      <c r="F256" s="12" t="s">
        <v>164</v>
      </c>
      <c r="G256" s="12">
        <v>600</v>
      </c>
      <c r="H256" s="12">
        <v>450</v>
      </c>
      <c r="I256" s="12">
        <v>832</v>
      </c>
      <c r="J256" s="12">
        <v>856</v>
      </c>
      <c r="K256" s="12">
        <v>8931</v>
      </c>
      <c r="L256" s="88">
        <f t="shared" si="3"/>
        <v>372.125</v>
      </c>
      <c r="M256" s="12">
        <f t="shared" si="6"/>
        <v>24</v>
      </c>
      <c r="N256" s="12">
        <v>0</v>
      </c>
      <c r="O256" s="12">
        <v>0</v>
      </c>
      <c r="P256" s="12">
        <v>0</v>
      </c>
      <c r="Q256" s="12">
        <f t="shared" si="5"/>
        <v>24</v>
      </c>
      <c r="R256" s="12">
        <v>0</v>
      </c>
      <c r="S256" s="12">
        <v>0</v>
      </c>
      <c r="T256" s="12" t="s">
        <v>30</v>
      </c>
      <c r="U256" s="12" t="s">
        <v>31</v>
      </c>
      <c r="V256" s="14">
        <v>78592.800000000003</v>
      </c>
      <c r="W256" s="12" t="s">
        <v>31</v>
      </c>
      <c r="X256" s="15">
        <v>1</v>
      </c>
      <c r="Y256" s="76"/>
      <c r="Z256" s="96"/>
    </row>
    <row r="257" spans="1:26" x14ac:dyDescent="0.3">
      <c r="A257" s="3">
        <v>46251</v>
      </c>
      <c r="B257" s="4" t="s">
        <v>25</v>
      </c>
      <c r="C257" s="12" t="s">
        <v>26</v>
      </c>
      <c r="D257" s="12" t="s">
        <v>27</v>
      </c>
      <c r="E257" s="12" t="s">
        <v>43</v>
      </c>
      <c r="F257" s="12" t="s">
        <v>165</v>
      </c>
      <c r="G257" s="12">
        <v>600</v>
      </c>
      <c r="H257" s="12">
        <v>450</v>
      </c>
      <c r="I257" s="12">
        <v>860</v>
      </c>
      <c r="J257" s="12">
        <v>884</v>
      </c>
      <c r="K257" s="12">
        <v>7944</v>
      </c>
      <c r="L257" s="88">
        <f t="shared" si="3"/>
        <v>331</v>
      </c>
      <c r="M257" s="12">
        <f t="shared" si="6"/>
        <v>24</v>
      </c>
      <c r="N257" s="12">
        <v>0</v>
      </c>
      <c r="O257" s="12">
        <v>0</v>
      </c>
      <c r="P257" s="12">
        <v>0</v>
      </c>
      <c r="Q257" s="12">
        <f t="shared" si="5"/>
        <v>24</v>
      </c>
      <c r="R257" s="12">
        <v>0</v>
      </c>
      <c r="S257" s="12">
        <v>0</v>
      </c>
      <c r="T257" s="12" t="s">
        <v>30</v>
      </c>
      <c r="U257" s="12" t="s">
        <v>31</v>
      </c>
      <c r="V257" s="14">
        <v>69907.199999999997</v>
      </c>
      <c r="W257" s="12" t="s">
        <v>31</v>
      </c>
      <c r="X257" s="15">
        <v>1</v>
      </c>
      <c r="Y257" s="17"/>
      <c r="Z257" s="96"/>
    </row>
    <row r="258" spans="1:26" x14ac:dyDescent="0.3">
      <c r="A258" s="3">
        <v>46252</v>
      </c>
      <c r="B258" s="4" t="s">
        <v>25</v>
      </c>
      <c r="C258" s="5" t="s">
        <v>26</v>
      </c>
      <c r="D258" s="5" t="s">
        <v>27</v>
      </c>
      <c r="E258" s="5" t="s">
        <v>28</v>
      </c>
      <c r="F258" s="5" t="s">
        <v>29</v>
      </c>
      <c r="G258" s="5">
        <v>1050</v>
      </c>
      <c r="H258" s="5">
        <v>700</v>
      </c>
      <c r="I258" s="85">
        <v>16567</v>
      </c>
      <c r="J258" s="85">
        <v>16591</v>
      </c>
      <c r="K258" s="86">
        <v>14918</v>
      </c>
      <c r="L258" s="87">
        <f t="shared" si="3"/>
        <v>621.58333333333337</v>
      </c>
      <c r="M258" s="6">
        <f t="shared" si="6"/>
        <v>24</v>
      </c>
      <c r="N258" s="5">
        <v>0</v>
      </c>
      <c r="O258" s="5">
        <v>0</v>
      </c>
      <c r="P258" s="5">
        <v>0</v>
      </c>
      <c r="Q258" s="5">
        <f t="shared" si="5"/>
        <v>24</v>
      </c>
      <c r="R258" s="5">
        <v>0</v>
      </c>
      <c r="S258" s="5">
        <v>0</v>
      </c>
      <c r="T258" s="5" t="s">
        <v>30</v>
      </c>
      <c r="U258" s="5" t="s">
        <v>31</v>
      </c>
      <c r="V258" s="6">
        <v>131278.39999999999</v>
      </c>
      <c r="W258" s="5" t="s">
        <v>31</v>
      </c>
      <c r="X258" s="8">
        <v>1</v>
      </c>
      <c r="Y258" s="18"/>
      <c r="Z258" s="96"/>
    </row>
    <row r="259" spans="1:26" x14ac:dyDescent="0.3">
      <c r="A259" s="3">
        <v>46252</v>
      </c>
      <c r="B259" s="4" t="s">
        <v>25</v>
      </c>
      <c r="C259" s="5" t="s">
        <v>26</v>
      </c>
      <c r="D259" s="5" t="s">
        <v>27</v>
      </c>
      <c r="E259" s="5" t="s">
        <v>28</v>
      </c>
      <c r="F259" s="5" t="s">
        <v>32</v>
      </c>
      <c r="G259" s="5">
        <v>1050</v>
      </c>
      <c r="H259" s="5">
        <v>700</v>
      </c>
      <c r="I259" s="85">
        <v>14322</v>
      </c>
      <c r="J259" s="85">
        <v>14346</v>
      </c>
      <c r="K259" s="86">
        <v>14801</v>
      </c>
      <c r="L259" s="87">
        <f t="shared" si="3"/>
        <v>616.70833333333337</v>
      </c>
      <c r="M259" s="6">
        <f t="shared" si="6"/>
        <v>24</v>
      </c>
      <c r="N259" s="5"/>
      <c r="O259" s="5">
        <v>0</v>
      </c>
      <c r="P259" s="5">
        <v>0</v>
      </c>
      <c r="Q259" s="5">
        <f t="shared" si="5"/>
        <v>24</v>
      </c>
      <c r="R259" s="5">
        <v>0</v>
      </c>
      <c r="S259" s="5">
        <v>0</v>
      </c>
      <c r="T259" s="5" t="s">
        <v>30</v>
      </c>
      <c r="U259" s="5" t="s">
        <v>31</v>
      </c>
      <c r="V259" s="6">
        <v>130248.80000000006</v>
      </c>
      <c r="W259" s="5" t="s">
        <v>31</v>
      </c>
      <c r="X259" s="8">
        <v>1</v>
      </c>
      <c r="Y259" s="18" t="s">
        <v>291</v>
      </c>
      <c r="Z259" s="96"/>
    </row>
    <row r="260" spans="1:26" x14ac:dyDescent="0.3">
      <c r="A260" s="3">
        <v>46252</v>
      </c>
      <c r="B260" s="4" t="s">
        <v>25</v>
      </c>
      <c r="C260" s="5" t="s">
        <v>26</v>
      </c>
      <c r="D260" s="5" t="s">
        <v>27</v>
      </c>
      <c r="E260" s="5" t="s">
        <v>28</v>
      </c>
      <c r="F260" s="5" t="s">
        <v>33</v>
      </c>
      <c r="G260" s="5">
        <v>1050</v>
      </c>
      <c r="H260" s="5">
        <v>700</v>
      </c>
      <c r="I260" s="6">
        <v>12826</v>
      </c>
      <c r="J260" s="6">
        <v>12850</v>
      </c>
      <c r="K260" s="5">
        <v>14940</v>
      </c>
      <c r="L260" s="87">
        <f t="shared" si="3"/>
        <v>622.5</v>
      </c>
      <c r="M260" s="6">
        <f t="shared" si="6"/>
        <v>24</v>
      </c>
      <c r="N260" s="5">
        <v>0</v>
      </c>
      <c r="O260" s="5">
        <v>0</v>
      </c>
      <c r="P260" s="5">
        <v>0</v>
      </c>
      <c r="Q260" s="5">
        <f t="shared" si="5"/>
        <v>24</v>
      </c>
      <c r="R260" s="5">
        <v>0</v>
      </c>
      <c r="S260" s="5">
        <v>0</v>
      </c>
      <c r="T260" s="5" t="s">
        <v>30</v>
      </c>
      <c r="U260" s="5" t="s">
        <v>31</v>
      </c>
      <c r="V260" s="6">
        <v>131472</v>
      </c>
      <c r="W260" s="5" t="s">
        <v>31</v>
      </c>
      <c r="X260" s="8">
        <v>1</v>
      </c>
      <c r="Y260" s="18"/>
      <c r="Z260" s="96"/>
    </row>
    <row r="261" spans="1:26" x14ac:dyDescent="0.3">
      <c r="A261" s="3">
        <v>46252</v>
      </c>
      <c r="B261" s="4" t="s">
        <v>25</v>
      </c>
      <c r="C261" s="5" t="s">
        <v>26</v>
      </c>
      <c r="D261" s="5" t="s">
        <v>27</v>
      </c>
      <c r="E261" s="5" t="s">
        <v>34</v>
      </c>
      <c r="F261" s="5" t="s">
        <v>35</v>
      </c>
      <c r="G261" s="5">
        <v>1300</v>
      </c>
      <c r="H261" s="5">
        <v>1040</v>
      </c>
      <c r="I261" s="6">
        <v>4295</v>
      </c>
      <c r="J261" s="6">
        <v>4316</v>
      </c>
      <c r="K261" s="5">
        <v>14852</v>
      </c>
      <c r="L261" s="87">
        <f t="shared" si="3"/>
        <v>618.83333333333337</v>
      </c>
      <c r="M261" s="6">
        <v>20</v>
      </c>
      <c r="N261" s="5">
        <v>4</v>
      </c>
      <c r="O261" s="5">
        <v>0</v>
      </c>
      <c r="P261" s="5">
        <v>0</v>
      </c>
      <c r="Q261" s="5">
        <f t="shared" si="5"/>
        <v>24</v>
      </c>
      <c r="R261" s="5">
        <v>0</v>
      </c>
      <c r="S261" s="5">
        <v>0</v>
      </c>
      <c r="T261" s="5" t="s">
        <v>30</v>
      </c>
      <c r="U261" s="5" t="s">
        <v>31</v>
      </c>
      <c r="V261" s="6">
        <v>130697.59999999999</v>
      </c>
      <c r="W261" s="5" t="s">
        <v>31</v>
      </c>
      <c r="X261" s="8">
        <v>1</v>
      </c>
      <c r="Y261" s="18" t="s">
        <v>292</v>
      </c>
      <c r="Z261" s="96"/>
    </row>
    <row r="262" spans="1:26" x14ac:dyDescent="0.3">
      <c r="A262" s="3">
        <v>46252</v>
      </c>
      <c r="B262" s="4" t="s">
        <v>25</v>
      </c>
      <c r="C262" s="5" t="s">
        <v>26</v>
      </c>
      <c r="D262" s="5" t="s">
        <v>27</v>
      </c>
      <c r="E262" s="5" t="s">
        <v>34</v>
      </c>
      <c r="F262" s="5" t="s">
        <v>36</v>
      </c>
      <c r="G262" s="5">
        <v>1300</v>
      </c>
      <c r="H262" s="5">
        <v>1040</v>
      </c>
      <c r="I262" s="6">
        <v>4282</v>
      </c>
      <c r="J262" s="6">
        <v>4306</v>
      </c>
      <c r="K262" s="5">
        <v>18318</v>
      </c>
      <c r="L262" s="87">
        <f t="shared" si="3"/>
        <v>763.25</v>
      </c>
      <c r="M262" s="6">
        <f>J262-I262</f>
        <v>24</v>
      </c>
      <c r="N262" s="5">
        <v>0</v>
      </c>
      <c r="O262" s="5">
        <v>0</v>
      </c>
      <c r="P262" s="5">
        <v>0</v>
      </c>
      <c r="Q262" s="5">
        <f t="shared" si="5"/>
        <v>24</v>
      </c>
      <c r="R262" s="5">
        <v>0</v>
      </c>
      <c r="S262" s="5">
        <v>0</v>
      </c>
      <c r="T262" s="5" t="s">
        <v>30</v>
      </c>
      <c r="U262" s="5" t="s">
        <v>31</v>
      </c>
      <c r="V262" s="6">
        <v>161198.40000000005</v>
      </c>
      <c r="W262" s="5" t="s">
        <v>31</v>
      </c>
      <c r="X262" s="8">
        <v>1</v>
      </c>
      <c r="Y262" s="18"/>
      <c r="Z262" s="96"/>
    </row>
    <row r="263" spans="1:26" x14ac:dyDescent="0.3">
      <c r="A263" s="3">
        <v>46252</v>
      </c>
      <c r="B263" s="4" t="s">
        <v>25</v>
      </c>
      <c r="C263" s="5" t="s">
        <v>26</v>
      </c>
      <c r="D263" s="5" t="s">
        <v>27</v>
      </c>
      <c r="E263" s="5" t="s">
        <v>34</v>
      </c>
      <c r="F263" s="5" t="s">
        <v>46</v>
      </c>
      <c r="G263" s="5">
        <v>1300</v>
      </c>
      <c r="H263" s="5">
        <v>1040</v>
      </c>
      <c r="I263" s="6">
        <v>2693</v>
      </c>
      <c r="J263" s="6">
        <v>2717</v>
      </c>
      <c r="K263" s="5">
        <v>17728</v>
      </c>
      <c r="L263" s="87">
        <f t="shared" si="3"/>
        <v>738.66666666666663</v>
      </c>
      <c r="M263" s="6">
        <f>J263-I263</f>
        <v>24</v>
      </c>
      <c r="N263" s="5">
        <v>0</v>
      </c>
      <c r="O263" s="5">
        <v>0</v>
      </c>
      <c r="P263" s="5">
        <v>0</v>
      </c>
      <c r="Q263" s="5">
        <f t="shared" si="5"/>
        <v>24</v>
      </c>
      <c r="R263" s="5">
        <v>0</v>
      </c>
      <c r="S263" s="5">
        <v>0</v>
      </c>
      <c r="T263" s="5" t="s">
        <v>30</v>
      </c>
      <c r="U263" s="5" t="s">
        <v>31</v>
      </c>
      <c r="V263" s="6">
        <v>156006.39999999997</v>
      </c>
      <c r="W263" s="5" t="s">
        <v>31</v>
      </c>
      <c r="X263" s="8">
        <v>1</v>
      </c>
      <c r="Y263" s="18"/>
      <c r="Z263" s="96"/>
    </row>
    <row r="264" spans="1:26" x14ac:dyDescent="0.3">
      <c r="A264" s="3">
        <v>46252</v>
      </c>
      <c r="B264" s="4" t="s">
        <v>25</v>
      </c>
      <c r="C264" s="5" t="s">
        <v>26</v>
      </c>
      <c r="D264" s="5" t="s">
        <v>27</v>
      </c>
      <c r="E264" s="5" t="s">
        <v>28</v>
      </c>
      <c r="F264" s="5" t="s">
        <v>47</v>
      </c>
      <c r="G264" s="5">
        <v>1050</v>
      </c>
      <c r="H264" s="5">
        <v>740</v>
      </c>
      <c r="I264" s="6">
        <v>1708</v>
      </c>
      <c r="J264" s="6">
        <v>1732</v>
      </c>
      <c r="K264" s="86">
        <v>14175</v>
      </c>
      <c r="L264" s="87">
        <f t="shared" si="3"/>
        <v>590.625</v>
      </c>
      <c r="M264" s="6">
        <v>24</v>
      </c>
      <c r="N264" s="5">
        <v>0</v>
      </c>
      <c r="O264" s="5"/>
      <c r="P264" s="5">
        <v>0</v>
      </c>
      <c r="Q264" s="5">
        <f t="shared" si="5"/>
        <v>24</v>
      </c>
      <c r="R264" s="5">
        <v>0</v>
      </c>
      <c r="S264" s="5">
        <v>0</v>
      </c>
      <c r="T264" s="5" t="s">
        <v>30</v>
      </c>
      <c r="U264" s="5" t="s">
        <v>31</v>
      </c>
      <c r="V264" s="19">
        <v>124739.99999999997</v>
      </c>
      <c r="W264" s="5" t="s">
        <v>31</v>
      </c>
      <c r="X264" s="8">
        <v>1</v>
      </c>
      <c r="Y264" s="18"/>
      <c r="Z264" s="96"/>
    </row>
    <row r="265" spans="1:26" x14ac:dyDescent="0.3">
      <c r="A265" s="3">
        <v>46252</v>
      </c>
      <c r="B265" s="4" t="s">
        <v>25</v>
      </c>
      <c r="C265" s="9" t="s">
        <v>26</v>
      </c>
      <c r="D265" s="9" t="s">
        <v>27</v>
      </c>
      <c r="E265" s="9" t="s">
        <v>37</v>
      </c>
      <c r="F265" s="9" t="s">
        <v>39</v>
      </c>
      <c r="G265" s="9">
        <v>500</v>
      </c>
      <c r="H265" s="9">
        <v>360</v>
      </c>
      <c r="I265" s="9">
        <v>15338</v>
      </c>
      <c r="J265" s="9">
        <v>15338</v>
      </c>
      <c r="K265" s="9">
        <v>0</v>
      </c>
      <c r="L265" s="89">
        <f t="shared" si="3"/>
        <v>0</v>
      </c>
      <c r="M265" s="9">
        <f t="shared" ref="M265:M272" si="7">J265-I265</f>
        <v>0</v>
      </c>
      <c r="N265" s="9">
        <v>24</v>
      </c>
      <c r="O265" s="9">
        <v>0</v>
      </c>
      <c r="P265" s="9">
        <v>0</v>
      </c>
      <c r="Q265" s="9">
        <f t="shared" si="5"/>
        <v>24</v>
      </c>
      <c r="R265" s="9">
        <v>0</v>
      </c>
      <c r="S265" s="9">
        <v>0</v>
      </c>
      <c r="T265" s="9" t="s">
        <v>38</v>
      </c>
      <c r="U265" s="9" t="s">
        <v>31</v>
      </c>
      <c r="V265" s="16">
        <v>0</v>
      </c>
      <c r="W265" s="9" t="s">
        <v>31</v>
      </c>
      <c r="X265" s="11">
        <v>1</v>
      </c>
      <c r="Y265" s="20"/>
      <c r="Z265" s="96"/>
    </row>
    <row r="266" spans="1:26" x14ac:dyDescent="0.3">
      <c r="A266" s="3">
        <v>46252</v>
      </c>
      <c r="B266" s="4" t="s">
        <v>25</v>
      </c>
      <c r="C266" s="9" t="s">
        <v>26</v>
      </c>
      <c r="D266" s="9" t="s">
        <v>27</v>
      </c>
      <c r="E266" s="9" t="s">
        <v>37</v>
      </c>
      <c r="F266" s="9" t="s">
        <v>40</v>
      </c>
      <c r="G266" s="9">
        <v>1000</v>
      </c>
      <c r="H266" s="9">
        <v>800</v>
      </c>
      <c r="I266" s="9">
        <v>3637</v>
      </c>
      <c r="J266" s="9">
        <v>3637</v>
      </c>
      <c r="K266" s="9">
        <v>0</v>
      </c>
      <c r="L266" s="89">
        <f t="shared" si="3"/>
        <v>0</v>
      </c>
      <c r="M266" s="9">
        <f t="shared" si="7"/>
        <v>0</v>
      </c>
      <c r="N266" s="9">
        <v>24</v>
      </c>
      <c r="O266" s="9">
        <v>0</v>
      </c>
      <c r="P266" s="9">
        <v>0</v>
      </c>
      <c r="Q266" s="9">
        <f t="shared" si="5"/>
        <v>24</v>
      </c>
      <c r="R266" s="9">
        <v>0</v>
      </c>
      <c r="S266" s="9">
        <v>0</v>
      </c>
      <c r="T266" s="9" t="s">
        <v>38</v>
      </c>
      <c r="U266" s="9" t="s">
        <v>31</v>
      </c>
      <c r="V266" s="16">
        <v>0</v>
      </c>
      <c r="W266" s="9" t="s">
        <v>31</v>
      </c>
      <c r="X266" s="11">
        <v>1</v>
      </c>
      <c r="Y266" s="20"/>
      <c r="Z266" s="96"/>
    </row>
    <row r="267" spans="1:26" x14ac:dyDescent="0.3">
      <c r="A267" s="3">
        <v>46252</v>
      </c>
      <c r="B267" s="4" t="s">
        <v>25</v>
      </c>
      <c r="C267" s="9" t="s">
        <v>26</v>
      </c>
      <c r="D267" s="9" t="s">
        <v>27</v>
      </c>
      <c r="E267" s="9" t="s">
        <v>37</v>
      </c>
      <c r="F267" s="9" t="s">
        <v>41</v>
      </c>
      <c r="G267" s="9">
        <v>1000</v>
      </c>
      <c r="H267" s="9">
        <v>800</v>
      </c>
      <c r="I267" s="9">
        <v>2526</v>
      </c>
      <c r="J267" s="9">
        <v>2526</v>
      </c>
      <c r="K267" s="9">
        <v>0</v>
      </c>
      <c r="L267" s="89">
        <f t="shared" si="3"/>
        <v>0</v>
      </c>
      <c r="M267" s="9">
        <f t="shared" si="7"/>
        <v>0</v>
      </c>
      <c r="N267" s="9">
        <v>24</v>
      </c>
      <c r="O267" s="9">
        <v>0</v>
      </c>
      <c r="P267" s="9">
        <v>0</v>
      </c>
      <c r="Q267" s="9">
        <f t="shared" si="5"/>
        <v>24</v>
      </c>
      <c r="R267" s="9">
        <v>0</v>
      </c>
      <c r="S267" s="9">
        <v>0</v>
      </c>
      <c r="T267" s="9" t="s">
        <v>38</v>
      </c>
      <c r="U267" s="9" t="s">
        <v>31</v>
      </c>
      <c r="V267" s="16">
        <v>0</v>
      </c>
      <c r="W267" s="9" t="s">
        <v>31</v>
      </c>
      <c r="X267" s="11">
        <v>1</v>
      </c>
      <c r="Y267" s="20"/>
      <c r="Z267" s="96"/>
    </row>
    <row r="268" spans="1:26" x14ac:dyDescent="0.3">
      <c r="A268" s="3">
        <v>46252</v>
      </c>
      <c r="B268" s="4" t="s">
        <v>25</v>
      </c>
      <c r="C268" s="12" t="s">
        <v>42</v>
      </c>
      <c r="D268" s="12" t="s">
        <v>27</v>
      </c>
      <c r="E268" s="12" t="s">
        <v>43</v>
      </c>
      <c r="F268" s="12" t="s">
        <v>44</v>
      </c>
      <c r="G268" s="12">
        <v>600</v>
      </c>
      <c r="H268" s="12">
        <v>350</v>
      </c>
      <c r="I268" s="12">
        <v>6762</v>
      </c>
      <c r="J268" s="12">
        <v>6786</v>
      </c>
      <c r="K268" s="12">
        <v>7574</v>
      </c>
      <c r="L268" s="88">
        <f t="shared" si="3"/>
        <v>315.58333333333331</v>
      </c>
      <c r="M268" s="12">
        <f t="shared" si="7"/>
        <v>24</v>
      </c>
      <c r="N268" s="12">
        <v>0</v>
      </c>
      <c r="O268" s="12">
        <v>0</v>
      </c>
      <c r="P268" s="12">
        <v>0</v>
      </c>
      <c r="Q268" s="12">
        <f t="shared" si="5"/>
        <v>24</v>
      </c>
      <c r="R268" s="12">
        <v>0</v>
      </c>
      <c r="S268" s="12">
        <v>0</v>
      </c>
      <c r="T268" s="12" t="s">
        <v>30</v>
      </c>
      <c r="U268" s="12" t="s">
        <v>31</v>
      </c>
      <c r="V268" s="14">
        <v>66651.200000000012</v>
      </c>
      <c r="W268" s="12" t="s">
        <v>31</v>
      </c>
      <c r="X268" s="15">
        <v>1</v>
      </c>
      <c r="Y268" s="17"/>
      <c r="Z268" s="96"/>
    </row>
    <row r="269" spans="1:26" ht="30.6" x14ac:dyDescent="0.3">
      <c r="A269" s="3">
        <v>46252</v>
      </c>
      <c r="B269" s="4" t="s">
        <v>25</v>
      </c>
      <c r="C269" s="12" t="s">
        <v>42</v>
      </c>
      <c r="D269" s="12" t="s">
        <v>27</v>
      </c>
      <c r="E269" s="12" t="s">
        <v>43</v>
      </c>
      <c r="F269" s="12" t="s">
        <v>45</v>
      </c>
      <c r="G269" s="12">
        <v>600</v>
      </c>
      <c r="H269" s="12">
        <v>350</v>
      </c>
      <c r="I269" s="12">
        <v>6685</v>
      </c>
      <c r="J269" s="12">
        <v>6707</v>
      </c>
      <c r="K269" s="12">
        <v>7391</v>
      </c>
      <c r="L269" s="88">
        <f t="shared" si="3"/>
        <v>307.95833333333331</v>
      </c>
      <c r="M269" s="12">
        <f t="shared" si="7"/>
        <v>22</v>
      </c>
      <c r="N269" s="12">
        <v>2</v>
      </c>
      <c r="O269" s="12">
        <v>0</v>
      </c>
      <c r="P269" s="12">
        <v>0</v>
      </c>
      <c r="Q269" s="12">
        <f t="shared" si="5"/>
        <v>24</v>
      </c>
      <c r="R269" s="12">
        <v>0</v>
      </c>
      <c r="S269" s="12">
        <v>0</v>
      </c>
      <c r="T269" s="12" t="s">
        <v>30</v>
      </c>
      <c r="U269" s="12" t="s">
        <v>31</v>
      </c>
      <c r="V269" s="14">
        <v>65040.800000000003</v>
      </c>
      <c r="W269" s="12" t="s">
        <v>31</v>
      </c>
      <c r="X269" s="15">
        <v>1</v>
      </c>
      <c r="Y269" s="17" t="s">
        <v>293</v>
      </c>
      <c r="Z269" s="96"/>
    </row>
    <row r="270" spans="1:26" ht="30.6" x14ac:dyDescent="0.3">
      <c r="A270" s="3">
        <v>46252</v>
      </c>
      <c r="B270" s="4" t="s">
        <v>25</v>
      </c>
      <c r="C270" s="12" t="s">
        <v>26</v>
      </c>
      <c r="D270" s="12" t="s">
        <v>27</v>
      </c>
      <c r="E270" s="12" t="s">
        <v>43</v>
      </c>
      <c r="F270" s="12" t="s">
        <v>163</v>
      </c>
      <c r="G270" s="12">
        <v>600</v>
      </c>
      <c r="H270" s="12">
        <v>450</v>
      </c>
      <c r="I270" s="12">
        <v>4672</v>
      </c>
      <c r="J270" s="12">
        <v>4684</v>
      </c>
      <c r="K270" s="12">
        <v>4273</v>
      </c>
      <c r="L270" s="88">
        <f t="shared" si="3"/>
        <v>178.04166666666666</v>
      </c>
      <c r="M270" s="12">
        <f t="shared" si="7"/>
        <v>12</v>
      </c>
      <c r="N270" s="12">
        <v>4</v>
      </c>
      <c r="O270" s="12">
        <v>8</v>
      </c>
      <c r="P270" s="12">
        <v>0</v>
      </c>
      <c r="Q270" s="12">
        <f t="shared" si="5"/>
        <v>24</v>
      </c>
      <c r="R270" s="12">
        <v>0</v>
      </c>
      <c r="S270" s="12">
        <v>0</v>
      </c>
      <c r="T270" s="12" t="s">
        <v>30</v>
      </c>
      <c r="U270" s="12" t="s">
        <v>31</v>
      </c>
      <c r="V270" s="14">
        <v>37602.400000000001</v>
      </c>
      <c r="W270" s="12" t="s">
        <v>31</v>
      </c>
      <c r="X270" s="15">
        <v>1</v>
      </c>
      <c r="Y270" s="17" t="s">
        <v>294</v>
      </c>
      <c r="Z270" s="96"/>
    </row>
    <row r="271" spans="1:26" x14ac:dyDescent="0.3">
      <c r="A271" s="3">
        <v>46252</v>
      </c>
      <c r="B271" s="4" t="s">
        <v>25</v>
      </c>
      <c r="C271" s="12" t="s">
        <v>26</v>
      </c>
      <c r="D271" s="12" t="s">
        <v>27</v>
      </c>
      <c r="E271" s="12" t="s">
        <v>43</v>
      </c>
      <c r="F271" s="12" t="s">
        <v>164</v>
      </c>
      <c r="G271" s="12">
        <v>600</v>
      </c>
      <c r="H271" s="12">
        <v>450</v>
      </c>
      <c r="I271" s="12">
        <v>856</v>
      </c>
      <c r="J271" s="12">
        <v>880</v>
      </c>
      <c r="K271" s="12">
        <v>8620</v>
      </c>
      <c r="L271" s="88">
        <f t="shared" si="3"/>
        <v>359.16666666666669</v>
      </c>
      <c r="M271" s="12">
        <f t="shared" si="7"/>
        <v>24</v>
      </c>
      <c r="N271" s="12">
        <v>0</v>
      </c>
      <c r="O271" s="12">
        <v>0</v>
      </c>
      <c r="P271" s="12">
        <v>0</v>
      </c>
      <c r="Q271" s="12">
        <f t="shared" si="5"/>
        <v>24</v>
      </c>
      <c r="R271" s="12">
        <v>0</v>
      </c>
      <c r="S271" s="12">
        <v>0</v>
      </c>
      <c r="T271" s="12" t="s">
        <v>30</v>
      </c>
      <c r="U271" s="12" t="s">
        <v>31</v>
      </c>
      <c r="V271" s="14">
        <v>75856.000000000015</v>
      </c>
      <c r="W271" s="12" t="s">
        <v>31</v>
      </c>
      <c r="X271" s="15">
        <v>1</v>
      </c>
      <c r="Y271" s="76"/>
      <c r="Z271" s="96"/>
    </row>
    <row r="272" spans="1:26" x14ac:dyDescent="0.3">
      <c r="A272" s="3">
        <v>46252</v>
      </c>
      <c r="B272" s="4" t="s">
        <v>25</v>
      </c>
      <c r="C272" s="12" t="s">
        <v>26</v>
      </c>
      <c r="D272" s="12" t="s">
        <v>27</v>
      </c>
      <c r="E272" s="12" t="s">
        <v>43</v>
      </c>
      <c r="F272" s="12" t="s">
        <v>165</v>
      </c>
      <c r="G272" s="12">
        <v>600</v>
      </c>
      <c r="H272" s="12">
        <v>450</v>
      </c>
      <c r="I272" s="12">
        <v>884</v>
      </c>
      <c r="J272" s="12">
        <v>908</v>
      </c>
      <c r="K272" s="12">
        <v>7662</v>
      </c>
      <c r="L272" s="88">
        <f t="shared" si="3"/>
        <v>319.25</v>
      </c>
      <c r="M272" s="12">
        <f t="shared" si="7"/>
        <v>24</v>
      </c>
      <c r="N272" s="12">
        <v>0</v>
      </c>
      <c r="O272" s="12">
        <v>0</v>
      </c>
      <c r="P272" s="12">
        <v>0</v>
      </c>
      <c r="Q272" s="12">
        <f t="shared" si="5"/>
        <v>24</v>
      </c>
      <c r="R272" s="12">
        <v>0</v>
      </c>
      <c r="S272" s="12">
        <v>0</v>
      </c>
      <c r="T272" s="12" t="s">
        <v>30</v>
      </c>
      <c r="U272" s="12" t="s">
        <v>31</v>
      </c>
      <c r="V272" s="14">
        <v>67425.599999999991</v>
      </c>
      <c r="W272" s="12" t="s">
        <v>31</v>
      </c>
      <c r="X272" s="15">
        <v>1</v>
      </c>
      <c r="Y272" s="17"/>
      <c r="Z272" s="96"/>
    </row>
    <row r="273" spans="1:26" ht="30.6" x14ac:dyDescent="0.3">
      <c r="A273" s="3">
        <v>46253</v>
      </c>
      <c r="B273" s="4" t="s">
        <v>25</v>
      </c>
      <c r="C273" s="5" t="s">
        <v>26</v>
      </c>
      <c r="D273" s="5" t="s">
        <v>27</v>
      </c>
      <c r="E273" s="5" t="s">
        <v>28</v>
      </c>
      <c r="F273" s="5" t="s">
        <v>29</v>
      </c>
      <c r="G273" s="5">
        <v>1050</v>
      </c>
      <c r="H273" s="5">
        <v>700</v>
      </c>
      <c r="I273" s="85">
        <v>16591</v>
      </c>
      <c r="J273" s="85">
        <v>16607</v>
      </c>
      <c r="K273" s="86">
        <v>9516</v>
      </c>
      <c r="L273" s="87">
        <f t="shared" si="3"/>
        <v>396.5</v>
      </c>
      <c r="M273" s="6">
        <v>18</v>
      </c>
      <c r="N273" s="5">
        <v>0</v>
      </c>
      <c r="O273" s="5">
        <v>6</v>
      </c>
      <c r="P273" s="5">
        <v>0</v>
      </c>
      <c r="Q273" s="5">
        <f t="shared" si="5"/>
        <v>24</v>
      </c>
      <c r="R273" s="5">
        <v>0</v>
      </c>
      <c r="S273" s="5">
        <v>0</v>
      </c>
      <c r="T273" s="5" t="s">
        <v>30</v>
      </c>
      <c r="U273" s="5" t="s">
        <v>31</v>
      </c>
      <c r="V273" s="6">
        <v>83740.800000000003</v>
      </c>
      <c r="W273" s="5" t="s">
        <v>31</v>
      </c>
      <c r="X273" s="8">
        <v>1</v>
      </c>
      <c r="Y273" s="18" t="s">
        <v>295</v>
      </c>
      <c r="Z273" s="96"/>
    </row>
    <row r="274" spans="1:26" x14ac:dyDescent="0.3">
      <c r="A274" s="3">
        <v>46253</v>
      </c>
      <c r="B274" s="4" t="s">
        <v>25</v>
      </c>
      <c r="C274" s="5" t="s">
        <v>26</v>
      </c>
      <c r="D274" s="5" t="s">
        <v>27</v>
      </c>
      <c r="E274" s="5" t="s">
        <v>28</v>
      </c>
      <c r="F274" s="5" t="s">
        <v>32</v>
      </c>
      <c r="G274" s="5">
        <v>1050</v>
      </c>
      <c r="H274" s="5">
        <v>700</v>
      </c>
      <c r="I274" s="85">
        <v>14346</v>
      </c>
      <c r="J274" s="85">
        <v>14369</v>
      </c>
      <c r="K274" s="86">
        <v>14448</v>
      </c>
      <c r="L274" s="87">
        <f t="shared" si="3"/>
        <v>602</v>
      </c>
      <c r="M274" s="6">
        <f>J274-I274</f>
        <v>23</v>
      </c>
      <c r="N274" s="5">
        <v>1</v>
      </c>
      <c r="O274" s="5">
        <v>0</v>
      </c>
      <c r="P274" s="5">
        <v>0</v>
      </c>
      <c r="Q274" s="5">
        <f t="shared" si="5"/>
        <v>24</v>
      </c>
      <c r="R274" s="5">
        <v>0</v>
      </c>
      <c r="S274" s="5">
        <v>0</v>
      </c>
      <c r="T274" s="5" t="s">
        <v>30</v>
      </c>
      <c r="U274" s="5" t="s">
        <v>31</v>
      </c>
      <c r="V274" s="6">
        <v>127142.40000000005</v>
      </c>
      <c r="W274" s="5" t="s">
        <v>31</v>
      </c>
      <c r="X274" s="8">
        <v>1</v>
      </c>
      <c r="Y274" s="18" t="s">
        <v>296</v>
      </c>
      <c r="Z274" s="96"/>
    </row>
    <row r="275" spans="1:26" ht="20.399999999999999" x14ac:dyDescent="0.3">
      <c r="A275" s="3">
        <v>46253</v>
      </c>
      <c r="B275" s="4" t="s">
        <v>25</v>
      </c>
      <c r="C275" s="5" t="s">
        <v>26</v>
      </c>
      <c r="D275" s="5" t="s">
        <v>27</v>
      </c>
      <c r="E275" s="5" t="s">
        <v>28</v>
      </c>
      <c r="F275" s="5" t="s">
        <v>33</v>
      </c>
      <c r="G275" s="5">
        <v>1050</v>
      </c>
      <c r="H275" s="5">
        <v>700</v>
      </c>
      <c r="I275" s="6">
        <v>12850</v>
      </c>
      <c r="J275" s="6">
        <v>12866</v>
      </c>
      <c r="K275" s="5">
        <v>9800</v>
      </c>
      <c r="L275" s="87">
        <f t="shared" si="3"/>
        <v>408.33333333333331</v>
      </c>
      <c r="M275" s="6">
        <f>J275-I275</f>
        <v>16</v>
      </c>
      <c r="N275" s="5">
        <v>8</v>
      </c>
      <c r="O275" s="5">
        <v>0</v>
      </c>
      <c r="P275" s="5">
        <v>0</v>
      </c>
      <c r="Q275" s="5">
        <f t="shared" si="5"/>
        <v>24</v>
      </c>
      <c r="R275" s="5">
        <v>0</v>
      </c>
      <c r="S275" s="5">
        <v>0</v>
      </c>
      <c r="T275" s="5" t="s">
        <v>30</v>
      </c>
      <c r="U275" s="5" t="s">
        <v>31</v>
      </c>
      <c r="V275" s="6">
        <v>86240.000000000015</v>
      </c>
      <c r="W275" s="5" t="s">
        <v>31</v>
      </c>
      <c r="X275" s="8">
        <v>1</v>
      </c>
      <c r="Y275" s="18" t="s">
        <v>297</v>
      </c>
      <c r="Z275" s="96"/>
    </row>
    <row r="276" spans="1:26" ht="20.399999999999999" x14ac:dyDescent="0.3">
      <c r="A276" s="3">
        <v>46253</v>
      </c>
      <c r="B276" s="4" t="s">
        <v>25</v>
      </c>
      <c r="C276" s="5" t="s">
        <v>26</v>
      </c>
      <c r="D276" s="5" t="s">
        <v>27</v>
      </c>
      <c r="E276" s="5" t="s">
        <v>34</v>
      </c>
      <c r="F276" s="5" t="s">
        <v>35</v>
      </c>
      <c r="G276" s="5">
        <v>1300</v>
      </c>
      <c r="H276" s="5">
        <v>1040</v>
      </c>
      <c r="I276" s="6">
        <v>4316</v>
      </c>
      <c r="J276" s="6">
        <v>4330</v>
      </c>
      <c r="K276" s="5">
        <v>9721</v>
      </c>
      <c r="L276" s="87">
        <f t="shared" si="3"/>
        <v>405.04166666666669</v>
      </c>
      <c r="M276" s="6">
        <v>14</v>
      </c>
      <c r="N276" s="5">
        <v>10</v>
      </c>
      <c r="O276" s="5">
        <v>0</v>
      </c>
      <c r="P276" s="5">
        <v>0</v>
      </c>
      <c r="Q276" s="5">
        <f t="shared" si="5"/>
        <v>24</v>
      </c>
      <c r="R276" s="5">
        <v>0</v>
      </c>
      <c r="S276" s="5">
        <v>0</v>
      </c>
      <c r="T276" s="5" t="s">
        <v>30</v>
      </c>
      <c r="U276" s="5" t="s">
        <v>31</v>
      </c>
      <c r="V276" s="6">
        <v>85544.8</v>
      </c>
      <c r="W276" s="5" t="s">
        <v>31</v>
      </c>
      <c r="X276" s="8">
        <v>1</v>
      </c>
      <c r="Y276" s="18" t="s">
        <v>298</v>
      </c>
      <c r="Z276" s="96"/>
    </row>
    <row r="277" spans="1:26" x14ac:dyDescent="0.3">
      <c r="A277" s="3">
        <v>46253</v>
      </c>
      <c r="B277" s="4" t="s">
        <v>25</v>
      </c>
      <c r="C277" s="5" t="s">
        <v>26</v>
      </c>
      <c r="D277" s="5" t="s">
        <v>27</v>
      </c>
      <c r="E277" s="5" t="s">
        <v>34</v>
      </c>
      <c r="F277" s="5" t="s">
        <v>36</v>
      </c>
      <c r="G277" s="5">
        <v>1300</v>
      </c>
      <c r="H277" s="5">
        <v>1040</v>
      </c>
      <c r="I277" s="6">
        <v>4306</v>
      </c>
      <c r="J277" s="6">
        <v>4330</v>
      </c>
      <c r="K277" s="5">
        <v>17759</v>
      </c>
      <c r="L277" s="87">
        <f t="shared" si="3"/>
        <v>739.95833333333337</v>
      </c>
      <c r="M277" s="6">
        <f>J277-I277</f>
        <v>24</v>
      </c>
      <c r="N277" s="5">
        <v>0</v>
      </c>
      <c r="O277" s="5">
        <v>0</v>
      </c>
      <c r="P277" s="5">
        <v>0</v>
      </c>
      <c r="Q277" s="5">
        <f t="shared" si="5"/>
        <v>24</v>
      </c>
      <c r="R277" s="5">
        <v>0</v>
      </c>
      <c r="S277" s="5">
        <v>0</v>
      </c>
      <c r="T277" s="5" t="s">
        <v>30</v>
      </c>
      <c r="U277" s="5" t="s">
        <v>31</v>
      </c>
      <c r="V277" s="6">
        <v>156279.19999999998</v>
      </c>
      <c r="W277" s="5" t="s">
        <v>31</v>
      </c>
      <c r="X277" s="8">
        <v>1</v>
      </c>
      <c r="Y277" s="18"/>
      <c r="Z277" s="96"/>
    </row>
    <row r="278" spans="1:26" ht="20.399999999999999" x14ac:dyDescent="0.3">
      <c r="A278" s="3">
        <v>46253</v>
      </c>
      <c r="B278" s="4" t="s">
        <v>25</v>
      </c>
      <c r="C278" s="5" t="s">
        <v>26</v>
      </c>
      <c r="D278" s="5" t="s">
        <v>27</v>
      </c>
      <c r="E278" s="5" t="s">
        <v>34</v>
      </c>
      <c r="F278" s="5" t="s">
        <v>46</v>
      </c>
      <c r="G278" s="5">
        <v>1300</v>
      </c>
      <c r="H278" s="5">
        <v>1040</v>
      </c>
      <c r="I278" s="6">
        <v>2717</v>
      </c>
      <c r="J278" s="6">
        <v>2739</v>
      </c>
      <c r="K278" s="5">
        <v>16249</v>
      </c>
      <c r="L278" s="87">
        <f t="shared" si="3"/>
        <v>677.04166666666663</v>
      </c>
      <c r="M278" s="6">
        <f>J278-I278</f>
        <v>22</v>
      </c>
      <c r="N278" s="5">
        <v>2</v>
      </c>
      <c r="O278" s="5">
        <v>0</v>
      </c>
      <c r="P278" s="5">
        <v>0</v>
      </c>
      <c r="Q278" s="5">
        <f t="shared" si="5"/>
        <v>24</v>
      </c>
      <c r="R278" s="5">
        <v>0</v>
      </c>
      <c r="S278" s="5">
        <v>0</v>
      </c>
      <c r="T278" s="5" t="s">
        <v>30</v>
      </c>
      <c r="U278" s="5" t="s">
        <v>31</v>
      </c>
      <c r="V278" s="6">
        <v>142991.20000000001</v>
      </c>
      <c r="W278" s="5" t="s">
        <v>31</v>
      </c>
      <c r="X278" s="8">
        <v>1</v>
      </c>
      <c r="Y278" s="18" t="s">
        <v>299</v>
      </c>
      <c r="Z278" s="96"/>
    </row>
    <row r="279" spans="1:26" ht="20.399999999999999" x14ac:dyDescent="0.3">
      <c r="A279" s="3">
        <v>46253</v>
      </c>
      <c r="B279" s="4" t="s">
        <v>25</v>
      </c>
      <c r="C279" s="5" t="s">
        <v>26</v>
      </c>
      <c r="D279" s="5" t="s">
        <v>27</v>
      </c>
      <c r="E279" s="5" t="s">
        <v>28</v>
      </c>
      <c r="F279" s="5" t="s">
        <v>47</v>
      </c>
      <c r="G279" s="5">
        <v>1050</v>
      </c>
      <c r="H279" s="5">
        <v>740</v>
      </c>
      <c r="I279" s="6">
        <v>1732</v>
      </c>
      <c r="J279" s="6">
        <v>1749</v>
      </c>
      <c r="K279" s="86">
        <v>9663</v>
      </c>
      <c r="L279" s="87">
        <f t="shared" si="3"/>
        <v>402.625</v>
      </c>
      <c r="M279" s="6">
        <v>17</v>
      </c>
      <c r="N279" s="5">
        <v>7</v>
      </c>
      <c r="O279" s="5"/>
      <c r="P279" s="5">
        <v>0</v>
      </c>
      <c r="Q279" s="5">
        <f t="shared" si="5"/>
        <v>24</v>
      </c>
      <c r="R279" s="5">
        <v>0</v>
      </c>
      <c r="S279" s="5">
        <v>0</v>
      </c>
      <c r="T279" s="5" t="s">
        <v>30</v>
      </c>
      <c r="U279" s="5" t="s">
        <v>31</v>
      </c>
      <c r="V279" s="19">
        <v>85034.39999999998</v>
      </c>
      <c r="W279" s="5" t="s">
        <v>31</v>
      </c>
      <c r="X279" s="8">
        <v>1</v>
      </c>
      <c r="Y279" s="18" t="s">
        <v>300</v>
      </c>
      <c r="Z279" s="96"/>
    </row>
    <row r="280" spans="1:26" x14ac:dyDescent="0.3">
      <c r="A280" s="3">
        <v>46253</v>
      </c>
      <c r="B280" s="4" t="s">
        <v>25</v>
      </c>
      <c r="C280" s="9" t="s">
        <v>26</v>
      </c>
      <c r="D280" s="9" t="s">
        <v>27</v>
      </c>
      <c r="E280" s="9" t="s">
        <v>37</v>
      </c>
      <c r="F280" s="9" t="s">
        <v>39</v>
      </c>
      <c r="G280" s="9">
        <v>500</v>
      </c>
      <c r="H280" s="9">
        <v>360</v>
      </c>
      <c r="I280" s="9">
        <v>15338</v>
      </c>
      <c r="J280" s="9">
        <v>15338</v>
      </c>
      <c r="K280" s="9">
        <v>0</v>
      </c>
      <c r="L280" s="89">
        <f t="shared" si="3"/>
        <v>0</v>
      </c>
      <c r="M280" s="9">
        <f t="shared" ref="M280:M285" si="8">J280-I280</f>
        <v>0</v>
      </c>
      <c r="N280" s="9">
        <v>24</v>
      </c>
      <c r="O280" s="9">
        <v>0</v>
      </c>
      <c r="P280" s="9">
        <v>0</v>
      </c>
      <c r="Q280" s="9">
        <f t="shared" si="5"/>
        <v>24</v>
      </c>
      <c r="R280" s="9">
        <v>0</v>
      </c>
      <c r="S280" s="9">
        <v>0</v>
      </c>
      <c r="T280" s="9" t="s">
        <v>38</v>
      </c>
      <c r="U280" s="9" t="s">
        <v>31</v>
      </c>
      <c r="V280" s="16">
        <v>0</v>
      </c>
      <c r="W280" s="9" t="s">
        <v>31</v>
      </c>
      <c r="X280" s="11">
        <v>1</v>
      </c>
      <c r="Y280" s="20"/>
      <c r="Z280" s="96"/>
    </row>
    <row r="281" spans="1:26" ht="40.799999999999997" x14ac:dyDescent="0.3">
      <c r="A281" s="3">
        <v>46253</v>
      </c>
      <c r="B281" s="4" t="s">
        <v>25</v>
      </c>
      <c r="C281" s="9" t="s">
        <v>26</v>
      </c>
      <c r="D281" s="9" t="s">
        <v>27</v>
      </c>
      <c r="E281" s="9" t="s">
        <v>37</v>
      </c>
      <c r="F281" s="9" t="s">
        <v>40</v>
      </c>
      <c r="G281" s="9">
        <v>1000</v>
      </c>
      <c r="H281" s="9">
        <v>800</v>
      </c>
      <c r="I281" s="9">
        <v>3637</v>
      </c>
      <c r="J281" s="9">
        <v>3641</v>
      </c>
      <c r="K281" s="9">
        <v>3076</v>
      </c>
      <c r="L281" s="89">
        <f t="shared" ref="L281:L332" si="9">K281/24</f>
        <v>128.16666666666666</v>
      </c>
      <c r="M281" s="9">
        <f t="shared" si="8"/>
        <v>4</v>
      </c>
      <c r="N281" s="9">
        <v>20</v>
      </c>
      <c r="O281" s="9">
        <v>0</v>
      </c>
      <c r="P281" s="9">
        <v>0</v>
      </c>
      <c r="Q281" s="9">
        <f t="shared" ref="Q281:Q332" si="10">SUM(M281:P281)</f>
        <v>24</v>
      </c>
      <c r="R281" s="9">
        <v>0</v>
      </c>
      <c r="S281" s="9">
        <v>0</v>
      </c>
      <c r="T281" s="9" t="s">
        <v>38</v>
      </c>
      <c r="U281" s="9" t="s">
        <v>31</v>
      </c>
      <c r="V281" s="16">
        <v>215</v>
      </c>
      <c r="W281" s="9" t="s">
        <v>31</v>
      </c>
      <c r="X281" s="11">
        <v>1</v>
      </c>
      <c r="Y281" s="20" t="s">
        <v>301</v>
      </c>
      <c r="Z281" s="96"/>
    </row>
    <row r="282" spans="1:26" x14ac:dyDescent="0.3">
      <c r="A282" s="3">
        <v>46253</v>
      </c>
      <c r="B282" s="4" t="s">
        <v>25</v>
      </c>
      <c r="C282" s="9" t="s">
        <v>26</v>
      </c>
      <c r="D282" s="9" t="s">
        <v>27</v>
      </c>
      <c r="E282" s="9" t="s">
        <v>37</v>
      </c>
      <c r="F282" s="9" t="s">
        <v>41</v>
      </c>
      <c r="G282" s="9">
        <v>1000</v>
      </c>
      <c r="H282" s="9">
        <v>800</v>
      </c>
      <c r="I282" s="9">
        <v>2526</v>
      </c>
      <c r="J282" s="9">
        <v>2526</v>
      </c>
      <c r="K282" s="9">
        <v>0</v>
      </c>
      <c r="L282" s="89">
        <f t="shared" si="9"/>
        <v>0</v>
      </c>
      <c r="M282" s="9">
        <f t="shared" si="8"/>
        <v>0</v>
      </c>
      <c r="N282" s="9">
        <v>24</v>
      </c>
      <c r="O282" s="9">
        <v>0</v>
      </c>
      <c r="P282" s="9">
        <v>0</v>
      </c>
      <c r="Q282" s="9">
        <f t="shared" si="10"/>
        <v>24</v>
      </c>
      <c r="R282" s="9">
        <v>0</v>
      </c>
      <c r="S282" s="9">
        <v>0</v>
      </c>
      <c r="T282" s="9" t="s">
        <v>38</v>
      </c>
      <c r="U282" s="9" t="s">
        <v>31</v>
      </c>
      <c r="V282" s="16">
        <v>0</v>
      </c>
      <c r="W282" s="9" t="s">
        <v>31</v>
      </c>
      <c r="X282" s="11">
        <v>1</v>
      </c>
      <c r="Y282" s="20"/>
      <c r="Z282" s="96"/>
    </row>
    <row r="283" spans="1:26" x14ac:dyDescent="0.3">
      <c r="A283" s="3">
        <v>46253</v>
      </c>
      <c r="B283" s="4" t="s">
        <v>25</v>
      </c>
      <c r="C283" s="12" t="s">
        <v>42</v>
      </c>
      <c r="D283" s="12" t="s">
        <v>27</v>
      </c>
      <c r="E283" s="12" t="s">
        <v>43</v>
      </c>
      <c r="F283" s="12" t="s">
        <v>44</v>
      </c>
      <c r="G283" s="12">
        <v>600</v>
      </c>
      <c r="H283" s="12">
        <v>350</v>
      </c>
      <c r="I283" s="12">
        <v>6786</v>
      </c>
      <c r="J283" s="12">
        <v>6810</v>
      </c>
      <c r="K283" s="12">
        <v>8308</v>
      </c>
      <c r="L283" s="88">
        <f t="shared" si="9"/>
        <v>346.16666666666669</v>
      </c>
      <c r="M283" s="12">
        <f t="shared" si="8"/>
        <v>24</v>
      </c>
      <c r="N283" s="12">
        <v>0</v>
      </c>
      <c r="O283" s="12">
        <v>0</v>
      </c>
      <c r="P283" s="12">
        <v>0</v>
      </c>
      <c r="Q283" s="12">
        <f t="shared" si="10"/>
        <v>24</v>
      </c>
      <c r="R283" s="12">
        <v>0</v>
      </c>
      <c r="S283" s="12">
        <v>0</v>
      </c>
      <c r="T283" s="12" t="s">
        <v>30</v>
      </c>
      <c r="U283" s="12" t="s">
        <v>31</v>
      </c>
      <c r="V283" s="14">
        <v>73110.400000000009</v>
      </c>
      <c r="W283" s="12" t="s">
        <v>31</v>
      </c>
      <c r="X283" s="15">
        <v>1</v>
      </c>
      <c r="Y283" s="17"/>
      <c r="Z283" s="96"/>
    </row>
    <row r="284" spans="1:26" x14ac:dyDescent="0.3">
      <c r="A284" s="3">
        <v>46253</v>
      </c>
      <c r="B284" s="4" t="s">
        <v>25</v>
      </c>
      <c r="C284" s="12" t="s">
        <v>42</v>
      </c>
      <c r="D284" s="12" t="s">
        <v>27</v>
      </c>
      <c r="E284" s="12" t="s">
        <v>43</v>
      </c>
      <c r="F284" s="12" t="s">
        <v>45</v>
      </c>
      <c r="G284" s="12">
        <v>600</v>
      </c>
      <c r="H284" s="12">
        <v>350</v>
      </c>
      <c r="I284" s="12">
        <v>6707</v>
      </c>
      <c r="J284" s="12">
        <v>6731</v>
      </c>
      <c r="K284" s="12">
        <v>8397</v>
      </c>
      <c r="L284" s="88">
        <f t="shared" si="9"/>
        <v>349.875</v>
      </c>
      <c r="M284" s="12">
        <f t="shared" si="8"/>
        <v>24</v>
      </c>
      <c r="N284" s="12">
        <v>0</v>
      </c>
      <c r="O284" s="12">
        <v>0</v>
      </c>
      <c r="P284" s="12">
        <v>0</v>
      </c>
      <c r="Q284" s="12">
        <f t="shared" si="10"/>
        <v>24</v>
      </c>
      <c r="R284" s="12">
        <v>0</v>
      </c>
      <c r="S284" s="12">
        <v>0</v>
      </c>
      <c r="T284" s="12" t="s">
        <v>30</v>
      </c>
      <c r="U284" s="12" t="s">
        <v>31</v>
      </c>
      <c r="V284" s="14">
        <v>73893.600000000006</v>
      </c>
      <c r="W284" s="12" t="s">
        <v>31</v>
      </c>
      <c r="X284" s="15">
        <v>1</v>
      </c>
      <c r="Y284" s="17"/>
      <c r="Z284" s="96"/>
    </row>
    <row r="285" spans="1:26" x14ac:dyDescent="0.3">
      <c r="A285" s="3">
        <v>46253</v>
      </c>
      <c r="B285" s="4" t="s">
        <v>25</v>
      </c>
      <c r="C285" s="12" t="s">
        <v>26</v>
      </c>
      <c r="D285" s="12" t="s">
        <v>27</v>
      </c>
      <c r="E285" s="12" t="s">
        <v>43</v>
      </c>
      <c r="F285" s="12" t="s">
        <v>163</v>
      </c>
      <c r="G285" s="12">
        <v>600</v>
      </c>
      <c r="H285" s="12">
        <v>450</v>
      </c>
      <c r="I285" s="12">
        <v>4684</v>
      </c>
      <c r="J285" s="12">
        <v>4708</v>
      </c>
      <c r="K285" s="12">
        <v>8930</v>
      </c>
      <c r="L285" s="88">
        <f t="shared" si="9"/>
        <v>372.08333333333331</v>
      </c>
      <c r="M285" s="12">
        <f t="shared" si="8"/>
        <v>24</v>
      </c>
      <c r="N285" s="12">
        <v>0</v>
      </c>
      <c r="O285" s="12">
        <v>0</v>
      </c>
      <c r="P285" s="12">
        <v>0</v>
      </c>
      <c r="Q285" s="12">
        <f t="shared" si="10"/>
        <v>24</v>
      </c>
      <c r="R285" s="12">
        <v>0</v>
      </c>
      <c r="S285" s="12">
        <v>0</v>
      </c>
      <c r="T285" s="12" t="s">
        <v>30</v>
      </c>
      <c r="U285" s="12" t="s">
        <v>31</v>
      </c>
      <c r="V285" s="14">
        <v>78584.000000000029</v>
      </c>
      <c r="W285" s="12" t="s">
        <v>31</v>
      </c>
      <c r="X285" s="15">
        <v>1</v>
      </c>
      <c r="Y285" s="17"/>
      <c r="Z285" s="96"/>
    </row>
    <row r="286" spans="1:26" ht="31.8" x14ac:dyDescent="0.3">
      <c r="A286" s="3">
        <v>46253</v>
      </c>
      <c r="B286" s="4" t="s">
        <v>25</v>
      </c>
      <c r="C286" s="12" t="s">
        <v>26</v>
      </c>
      <c r="D286" s="12" t="s">
        <v>27</v>
      </c>
      <c r="E286" s="12" t="s">
        <v>43</v>
      </c>
      <c r="F286" s="12" t="s">
        <v>164</v>
      </c>
      <c r="G286" s="12">
        <v>600</v>
      </c>
      <c r="H286" s="12">
        <v>450</v>
      </c>
      <c r="I286" s="12">
        <v>880</v>
      </c>
      <c r="J286" s="12">
        <v>902</v>
      </c>
      <c r="K286" s="12">
        <v>7788</v>
      </c>
      <c r="L286" s="88">
        <f t="shared" si="9"/>
        <v>324.5</v>
      </c>
      <c r="M286" s="12">
        <v>22</v>
      </c>
      <c r="N286" s="12">
        <v>2</v>
      </c>
      <c r="O286" s="12">
        <v>0</v>
      </c>
      <c r="P286" s="12">
        <v>0</v>
      </c>
      <c r="Q286" s="12">
        <f t="shared" si="10"/>
        <v>24</v>
      </c>
      <c r="R286" s="12">
        <v>0</v>
      </c>
      <c r="S286" s="12">
        <v>0</v>
      </c>
      <c r="T286" s="12" t="s">
        <v>30</v>
      </c>
      <c r="U286" s="12" t="s">
        <v>31</v>
      </c>
      <c r="V286" s="14">
        <v>68534.399999999994</v>
      </c>
      <c r="W286" s="12" t="s">
        <v>31</v>
      </c>
      <c r="X286" s="15">
        <v>1</v>
      </c>
      <c r="Y286" s="76" t="s">
        <v>302</v>
      </c>
      <c r="Z286" s="96"/>
    </row>
    <row r="287" spans="1:26" ht="20.399999999999999" x14ac:dyDescent="0.3">
      <c r="A287" s="3">
        <v>46253</v>
      </c>
      <c r="B287" s="4" t="s">
        <v>25</v>
      </c>
      <c r="C287" s="12" t="s">
        <v>26</v>
      </c>
      <c r="D287" s="12" t="s">
        <v>27</v>
      </c>
      <c r="E287" s="12" t="s">
        <v>43</v>
      </c>
      <c r="F287" s="12" t="s">
        <v>165</v>
      </c>
      <c r="G287" s="12">
        <v>600</v>
      </c>
      <c r="H287" s="12">
        <v>450</v>
      </c>
      <c r="I287" s="12">
        <v>908</v>
      </c>
      <c r="J287" s="12">
        <v>921</v>
      </c>
      <c r="K287" s="12">
        <v>4406</v>
      </c>
      <c r="L287" s="88">
        <f t="shared" si="9"/>
        <v>183.58333333333334</v>
      </c>
      <c r="M287" s="12">
        <f>J287-I287</f>
        <v>13</v>
      </c>
      <c r="N287" s="12">
        <v>11</v>
      </c>
      <c r="O287" s="12">
        <v>0</v>
      </c>
      <c r="P287" s="12">
        <v>0</v>
      </c>
      <c r="Q287" s="12">
        <f t="shared" si="10"/>
        <v>24</v>
      </c>
      <c r="R287" s="12">
        <v>0</v>
      </c>
      <c r="S287" s="12">
        <v>0</v>
      </c>
      <c r="T287" s="12" t="s">
        <v>30</v>
      </c>
      <c r="U287" s="12" t="s">
        <v>31</v>
      </c>
      <c r="V287" s="14">
        <v>38772.80000000001</v>
      </c>
      <c r="W287" s="12" t="s">
        <v>31</v>
      </c>
      <c r="X287" s="15">
        <v>1</v>
      </c>
      <c r="Y287" s="17" t="s">
        <v>303</v>
      </c>
      <c r="Z287" s="96"/>
    </row>
    <row r="288" spans="1:26" ht="20.399999999999999" x14ac:dyDescent="0.3">
      <c r="A288" s="3">
        <v>46254</v>
      </c>
      <c r="B288" s="4" t="s">
        <v>25</v>
      </c>
      <c r="C288" s="5" t="s">
        <v>26</v>
      </c>
      <c r="D288" s="5" t="s">
        <v>27</v>
      </c>
      <c r="E288" s="5" t="s">
        <v>28</v>
      </c>
      <c r="F288" s="5" t="s">
        <v>29</v>
      </c>
      <c r="G288" s="5">
        <v>1050</v>
      </c>
      <c r="H288" s="5">
        <v>700</v>
      </c>
      <c r="I288" s="85">
        <v>16607</v>
      </c>
      <c r="J288" s="85">
        <v>16630</v>
      </c>
      <c r="K288" s="86">
        <v>14740</v>
      </c>
      <c r="L288" s="87">
        <f t="shared" si="9"/>
        <v>614.16666666666663</v>
      </c>
      <c r="M288" s="6">
        <v>23</v>
      </c>
      <c r="N288" s="5">
        <v>1</v>
      </c>
      <c r="O288" s="5">
        <v>0</v>
      </c>
      <c r="P288" s="5">
        <v>0</v>
      </c>
      <c r="Q288" s="5">
        <f t="shared" si="10"/>
        <v>24</v>
      </c>
      <c r="R288" s="5">
        <v>0</v>
      </c>
      <c r="S288" s="5">
        <v>0</v>
      </c>
      <c r="T288" s="5" t="s">
        <v>30</v>
      </c>
      <c r="U288" s="5" t="s">
        <v>31</v>
      </c>
      <c r="V288" s="6">
        <v>129711.99999999999</v>
      </c>
      <c r="W288" s="5" t="s">
        <v>31</v>
      </c>
      <c r="X288" s="8">
        <v>1</v>
      </c>
      <c r="Y288" s="18" t="s">
        <v>304</v>
      </c>
      <c r="Z288" s="96"/>
    </row>
    <row r="289" spans="1:26" ht="40.799999999999997" x14ac:dyDescent="0.3">
      <c r="A289" s="3">
        <v>46254</v>
      </c>
      <c r="B289" s="4" t="s">
        <v>25</v>
      </c>
      <c r="C289" s="5" t="s">
        <v>26</v>
      </c>
      <c r="D289" s="5" t="s">
        <v>27</v>
      </c>
      <c r="E289" s="5" t="s">
        <v>28</v>
      </c>
      <c r="F289" s="5" t="s">
        <v>32</v>
      </c>
      <c r="G289" s="5">
        <v>1050</v>
      </c>
      <c r="H289" s="5">
        <v>700</v>
      </c>
      <c r="I289" s="85">
        <v>14369</v>
      </c>
      <c r="J289" s="85">
        <v>14388</v>
      </c>
      <c r="K289" s="86">
        <v>12756</v>
      </c>
      <c r="L289" s="87">
        <f t="shared" si="9"/>
        <v>531.5</v>
      </c>
      <c r="M289" s="6">
        <f>J289-I289</f>
        <v>19</v>
      </c>
      <c r="N289" s="5">
        <v>5</v>
      </c>
      <c r="O289" s="5">
        <v>0</v>
      </c>
      <c r="P289" s="5">
        <v>0</v>
      </c>
      <c r="Q289" s="5">
        <f t="shared" si="10"/>
        <v>24</v>
      </c>
      <c r="R289" s="5">
        <v>0</v>
      </c>
      <c r="S289" s="5">
        <v>0</v>
      </c>
      <c r="T289" s="5" t="s">
        <v>30</v>
      </c>
      <c r="U289" s="5" t="s">
        <v>31</v>
      </c>
      <c r="V289" s="6">
        <v>112252.80000000002</v>
      </c>
      <c r="W289" s="5" t="s">
        <v>31</v>
      </c>
      <c r="X289" s="8">
        <v>1</v>
      </c>
      <c r="Y289" s="18" t="s">
        <v>305</v>
      </c>
      <c r="Z289" s="96"/>
    </row>
    <row r="290" spans="1:26" ht="20.399999999999999" x14ac:dyDescent="0.3">
      <c r="A290" s="3">
        <v>46254</v>
      </c>
      <c r="B290" s="4" t="s">
        <v>25</v>
      </c>
      <c r="C290" s="5" t="s">
        <v>26</v>
      </c>
      <c r="D290" s="5" t="s">
        <v>27</v>
      </c>
      <c r="E290" s="5" t="s">
        <v>28</v>
      </c>
      <c r="F290" s="5" t="s">
        <v>33</v>
      </c>
      <c r="G290" s="5">
        <v>1050</v>
      </c>
      <c r="H290" s="5">
        <v>700</v>
      </c>
      <c r="I290" s="6">
        <v>12866</v>
      </c>
      <c r="J290" s="6">
        <v>12889</v>
      </c>
      <c r="K290" s="5">
        <v>14438</v>
      </c>
      <c r="L290" s="87">
        <f t="shared" si="9"/>
        <v>601.58333333333337</v>
      </c>
      <c r="M290" s="6">
        <f>J290-I290</f>
        <v>23</v>
      </c>
      <c r="N290" s="5">
        <v>1</v>
      </c>
      <c r="O290" s="5">
        <v>0</v>
      </c>
      <c r="P290" s="5">
        <v>0</v>
      </c>
      <c r="Q290" s="5">
        <f t="shared" si="10"/>
        <v>24</v>
      </c>
      <c r="R290" s="5">
        <v>0</v>
      </c>
      <c r="S290" s="5">
        <v>0</v>
      </c>
      <c r="T290" s="5" t="s">
        <v>30</v>
      </c>
      <c r="U290" s="5" t="s">
        <v>31</v>
      </c>
      <c r="V290" s="6">
        <v>127054.40000000002</v>
      </c>
      <c r="W290" s="5" t="s">
        <v>31</v>
      </c>
      <c r="X290" s="8">
        <v>1</v>
      </c>
      <c r="Y290" s="18" t="s">
        <v>306</v>
      </c>
      <c r="Z290" s="96"/>
    </row>
    <row r="291" spans="1:26" ht="30.6" x14ac:dyDescent="0.3">
      <c r="A291" s="3">
        <v>46254</v>
      </c>
      <c r="B291" s="4" t="s">
        <v>25</v>
      </c>
      <c r="C291" s="5" t="s">
        <v>26</v>
      </c>
      <c r="D291" s="5" t="s">
        <v>27</v>
      </c>
      <c r="E291" s="5" t="s">
        <v>34</v>
      </c>
      <c r="F291" s="5" t="s">
        <v>35</v>
      </c>
      <c r="G291" s="5">
        <v>1300</v>
      </c>
      <c r="H291" s="5">
        <v>1040</v>
      </c>
      <c r="I291" s="6">
        <v>4330</v>
      </c>
      <c r="J291" s="6">
        <v>4347</v>
      </c>
      <c r="K291" s="5">
        <v>11543</v>
      </c>
      <c r="L291" s="87">
        <f t="shared" si="9"/>
        <v>480.95833333333331</v>
      </c>
      <c r="M291" s="6">
        <v>16</v>
      </c>
      <c r="N291" s="5">
        <v>8</v>
      </c>
      <c r="O291" s="5">
        <v>0</v>
      </c>
      <c r="P291" s="5">
        <v>0</v>
      </c>
      <c r="Q291" s="5">
        <f t="shared" si="10"/>
        <v>24</v>
      </c>
      <c r="R291" s="5">
        <v>0</v>
      </c>
      <c r="S291" s="5">
        <v>0</v>
      </c>
      <c r="T291" s="5" t="s">
        <v>30</v>
      </c>
      <c r="U291" s="5" t="s">
        <v>31</v>
      </c>
      <c r="V291" s="6">
        <v>101578.40000000002</v>
      </c>
      <c r="W291" s="5" t="s">
        <v>31</v>
      </c>
      <c r="X291" s="8">
        <v>1</v>
      </c>
      <c r="Y291" s="18" t="s">
        <v>307</v>
      </c>
      <c r="Z291" s="96"/>
    </row>
    <row r="292" spans="1:26" x14ac:dyDescent="0.3">
      <c r="A292" s="3">
        <v>46254</v>
      </c>
      <c r="B292" s="4" t="s">
        <v>25</v>
      </c>
      <c r="C292" s="5" t="s">
        <v>26</v>
      </c>
      <c r="D292" s="5" t="s">
        <v>27</v>
      </c>
      <c r="E292" s="5" t="s">
        <v>34</v>
      </c>
      <c r="F292" s="5" t="s">
        <v>36</v>
      </c>
      <c r="G292" s="5">
        <v>1300</v>
      </c>
      <c r="H292" s="5">
        <v>1040</v>
      </c>
      <c r="I292" s="6">
        <v>4330</v>
      </c>
      <c r="J292" s="6">
        <v>4354</v>
      </c>
      <c r="K292" s="5">
        <v>18714</v>
      </c>
      <c r="L292" s="87">
        <f t="shared" si="9"/>
        <v>779.75</v>
      </c>
      <c r="M292" s="6">
        <f>J292-I292</f>
        <v>24</v>
      </c>
      <c r="N292" s="5">
        <v>0</v>
      </c>
      <c r="O292" s="5">
        <v>0</v>
      </c>
      <c r="P292" s="5">
        <v>0</v>
      </c>
      <c r="Q292" s="5">
        <f t="shared" si="10"/>
        <v>24</v>
      </c>
      <c r="R292" s="5">
        <v>0</v>
      </c>
      <c r="S292" s="5">
        <v>0</v>
      </c>
      <c r="T292" s="5" t="s">
        <v>30</v>
      </c>
      <c r="U292" s="5" t="s">
        <v>31</v>
      </c>
      <c r="V292" s="6">
        <v>164683.20000000001</v>
      </c>
      <c r="W292" s="5" t="s">
        <v>31</v>
      </c>
      <c r="X292" s="8">
        <v>1</v>
      </c>
      <c r="Y292" s="18"/>
      <c r="Z292" s="96"/>
    </row>
    <row r="293" spans="1:26" ht="20.399999999999999" x14ac:dyDescent="0.3">
      <c r="A293" s="3">
        <v>46254</v>
      </c>
      <c r="B293" s="4" t="s">
        <v>25</v>
      </c>
      <c r="C293" s="5" t="s">
        <v>26</v>
      </c>
      <c r="D293" s="5" t="s">
        <v>27</v>
      </c>
      <c r="E293" s="5" t="s">
        <v>34</v>
      </c>
      <c r="F293" s="5" t="s">
        <v>46</v>
      </c>
      <c r="G293" s="5">
        <v>1300</v>
      </c>
      <c r="H293" s="5">
        <v>1040</v>
      </c>
      <c r="I293" s="6">
        <v>2739</v>
      </c>
      <c r="J293" s="6">
        <v>2762</v>
      </c>
      <c r="K293" s="5">
        <v>19018</v>
      </c>
      <c r="L293" s="87">
        <f t="shared" si="9"/>
        <v>792.41666666666663</v>
      </c>
      <c r="M293" s="6">
        <f>J293-I293</f>
        <v>23</v>
      </c>
      <c r="N293" s="5">
        <v>1</v>
      </c>
      <c r="O293" s="5">
        <v>0</v>
      </c>
      <c r="P293" s="5">
        <v>0</v>
      </c>
      <c r="Q293" s="5">
        <f t="shared" si="10"/>
        <v>24</v>
      </c>
      <c r="R293" s="5">
        <v>0</v>
      </c>
      <c r="S293" s="5">
        <v>0</v>
      </c>
      <c r="T293" s="5" t="s">
        <v>30</v>
      </c>
      <c r="U293" s="5" t="s">
        <v>31</v>
      </c>
      <c r="V293" s="6">
        <v>167358.40000000005</v>
      </c>
      <c r="W293" s="5" t="s">
        <v>31</v>
      </c>
      <c r="X293" s="8">
        <v>1</v>
      </c>
      <c r="Y293" s="18" t="s">
        <v>308</v>
      </c>
      <c r="Z293" s="96"/>
    </row>
    <row r="294" spans="1:26" ht="20.399999999999999" x14ac:dyDescent="0.3">
      <c r="A294" s="3">
        <v>46254</v>
      </c>
      <c r="B294" s="4" t="s">
        <v>25</v>
      </c>
      <c r="C294" s="5" t="s">
        <v>26</v>
      </c>
      <c r="D294" s="5" t="s">
        <v>27</v>
      </c>
      <c r="E294" s="5" t="s">
        <v>28</v>
      </c>
      <c r="F294" s="5" t="s">
        <v>47</v>
      </c>
      <c r="G294" s="5">
        <v>1050</v>
      </c>
      <c r="H294" s="5">
        <v>740</v>
      </c>
      <c r="I294" s="6">
        <v>1749</v>
      </c>
      <c r="J294" s="6">
        <v>1772</v>
      </c>
      <c r="K294" s="86">
        <v>13977</v>
      </c>
      <c r="L294" s="87">
        <f t="shared" si="9"/>
        <v>582.375</v>
      </c>
      <c r="M294" s="6">
        <v>23</v>
      </c>
      <c r="N294" s="5">
        <v>1</v>
      </c>
      <c r="O294" s="5"/>
      <c r="P294" s="5">
        <v>0</v>
      </c>
      <c r="Q294" s="5">
        <f t="shared" si="10"/>
        <v>24</v>
      </c>
      <c r="R294" s="5">
        <v>0</v>
      </c>
      <c r="S294" s="5">
        <v>0</v>
      </c>
      <c r="T294" s="5" t="s">
        <v>30</v>
      </c>
      <c r="U294" s="5" t="s">
        <v>31</v>
      </c>
      <c r="V294" s="19">
        <v>122997.59999999998</v>
      </c>
      <c r="W294" s="5" t="s">
        <v>31</v>
      </c>
      <c r="X294" s="8">
        <v>1</v>
      </c>
      <c r="Y294" s="18" t="s">
        <v>309</v>
      </c>
      <c r="Z294" s="96"/>
    </row>
    <row r="295" spans="1:26" x14ac:dyDescent="0.3">
      <c r="A295" s="3">
        <v>46254</v>
      </c>
      <c r="B295" s="4" t="s">
        <v>25</v>
      </c>
      <c r="C295" s="9" t="s">
        <v>26</v>
      </c>
      <c r="D295" s="9" t="s">
        <v>27</v>
      </c>
      <c r="E295" s="9" t="s">
        <v>37</v>
      </c>
      <c r="F295" s="9" t="s">
        <v>39</v>
      </c>
      <c r="G295" s="9">
        <v>500</v>
      </c>
      <c r="H295" s="9">
        <v>360</v>
      </c>
      <c r="I295" s="9">
        <v>15338</v>
      </c>
      <c r="J295" s="9">
        <v>15338</v>
      </c>
      <c r="K295" s="9">
        <v>0</v>
      </c>
      <c r="L295" s="89">
        <f t="shared" si="9"/>
        <v>0</v>
      </c>
      <c r="M295" s="9">
        <f t="shared" ref="M295:M300" si="11">J295-I295</f>
        <v>0</v>
      </c>
      <c r="N295" s="9">
        <v>24</v>
      </c>
      <c r="O295" s="9">
        <v>0</v>
      </c>
      <c r="P295" s="9">
        <v>0</v>
      </c>
      <c r="Q295" s="9">
        <f t="shared" si="10"/>
        <v>24</v>
      </c>
      <c r="R295" s="9">
        <v>0</v>
      </c>
      <c r="S295" s="9">
        <v>0</v>
      </c>
      <c r="T295" s="9" t="s">
        <v>38</v>
      </c>
      <c r="U295" s="9" t="s">
        <v>31</v>
      </c>
      <c r="V295" s="16">
        <v>0</v>
      </c>
      <c r="W295" s="9" t="s">
        <v>31</v>
      </c>
      <c r="X295" s="11">
        <v>1</v>
      </c>
      <c r="Y295" s="20"/>
      <c r="Z295" s="96"/>
    </row>
    <row r="296" spans="1:26" x14ac:dyDescent="0.3">
      <c r="A296" s="3">
        <v>46254</v>
      </c>
      <c r="B296" s="4" t="s">
        <v>25</v>
      </c>
      <c r="C296" s="9" t="s">
        <v>26</v>
      </c>
      <c r="D296" s="9" t="s">
        <v>27</v>
      </c>
      <c r="E296" s="9" t="s">
        <v>37</v>
      </c>
      <c r="F296" s="9" t="s">
        <v>40</v>
      </c>
      <c r="G296" s="9">
        <v>1000</v>
      </c>
      <c r="H296" s="9">
        <v>800</v>
      </c>
      <c r="I296" s="9">
        <v>3641</v>
      </c>
      <c r="J296" s="9">
        <v>3641</v>
      </c>
      <c r="K296" s="9">
        <v>0</v>
      </c>
      <c r="L296" s="89">
        <f t="shared" si="9"/>
        <v>0</v>
      </c>
      <c r="M296" s="9">
        <f t="shared" si="11"/>
        <v>0</v>
      </c>
      <c r="N296" s="9">
        <v>24</v>
      </c>
      <c r="O296" s="9">
        <v>0</v>
      </c>
      <c r="P296" s="9">
        <v>0</v>
      </c>
      <c r="Q296" s="9">
        <f t="shared" si="10"/>
        <v>24</v>
      </c>
      <c r="R296" s="9">
        <v>0</v>
      </c>
      <c r="S296" s="9">
        <v>0</v>
      </c>
      <c r="T296" s="9" t="s">
        <v>38</v>
      </c>
      <c r="U296" s="9" t="s">
        <v>31</v>
      </c>
      <c r="V296" s="16">
        <v>0</v>
      </c>
      <c r="W296" s="9" t="s">
        <v>31</v>
      </c>
      <c r="X296" s="11">
        <v>1</v>
      </c>
      <c r="Y296" s="20"/>
      <c r="Z296" s="96"/>
    </row>
    <row r="297" spans="1:26" x14ac:dyDescent="0.3">
      <c r="A297" s="3">
        <v>46254</v>
      </c>
      <c r="B297" s="4" t="s">
        <v>25</v>
      </c>
      <c r="C297" s="9" t="s">
        <v>26</v>
      </c>
      <c r="D297" s="9" t="s">
        <v>27</v>
      </c>
      <c r="E297" s="9" t="s">
        <v>37</v>
      </c>
      <c r="F297" s="9" t="s">
        <v>41</v>
      </c>
      <c r="G297" s="9">
        <v>1000</v>
      </c>
      <c r="H297" s="9">
        <v>800</v>
      </c>
      <c r="I297" s="9">
        <v>2526</v>
      </c>
      <c r="J297" s="9">
        <v>2526</v>
      </c>
      <c r="K297" s="9">
        <v>0</v>
      </c>
      <c r="L297" s="89">
        <f t="shared" si="9"/>
        <v>0</v>
      </c>
      <c r="M297" s="9">
        <f t="shared" si="11"/>
        <v>0</v>
      </c>
      <c r="N297" s="9">
        <v>24</v>
      </c>
      <c r="O297" s="9">
        <v>0</v>
      </c>
      <c r="P297" s="9">
        <v>0</v>
      </c>
      <c r="Q297" s="9">
        <f t="shared" si="10"/>
        <v>24</v>
      </c>
      <c r="R297" s="9">
        <v>0</v>
      </c>
      <c r="S297" s="9">
        <v>0</v>
      </c>
      <c r="T297" s="9" t="s">
        <v>38</v>
      </c>
      <c r="U297" s="9" t="s">
        <v>31</v>
      </c>
      <c r="V297" s="16">
        <v>0</v>
      </c>
      <c r="W297" s="9" t="s">
        <v>31</v>
      </c>
      <c r="X297" s="11">
        <v>1</v>
      </c>
      <c r="Y297" s="20"/>
      <c r="Z297" s="96"/>
    </row>
    <row r="298" spans="1:26" x14ac:dyDescent="0.3">
      <c r="A298" s="3">
        <v>46254</v>
      </c>
      <c r="B298" s="4" t="s">
        <v>25</v>
      </c>
      <c r="C298" s="12" t="s">
        <v>42</v>
      </c>
      <c r="D298" s="12" t="s">
        <v>27</v>
      </c>
      <c r="E298" s="12" t="s">
        <v>43</v>
      </c>
      <c r="F298" s="12" t="s">
        <v>44</v>
      </c>
      <c r="G298" s="12">
        <v>600</v>
      </c>
      <c r="H298" s="12">
        <v>350</v>
      </c>
      <c r="I298" s="12">
        <v>6810</v>
      </c>
      <c r="J298" s="12">
        <v>6834</v>
      </c>
      <c r="K298" s="12">
        <v>7756</v>
      </c>
      <c r="L298" s="88">
        <f t="shared" si="9"/>
        <v>323.16666666666669</v>
      </c>
      <c r="M298" s="12">
        <f t="shared" si="11"/>
        <v>24</v>
      </c>
      <c r="N298" s="12">
        <v>0</v>
      </c>
      <c r="O298" s="12">
        <v>0</v>
      </c>
      <c r="P298" s="12">
        <v>0</v>
      </c>
      <c r="Q298" s="12">
        <f t="shared" si="10"/>
        <v>24</v>
      </c>
      <c r="R298" s="12">
        <v>0</v>
      </c>
      <c r="S298" s="12">
        <v>0</v>
      </c>
      <c r="T298" s="12" t="s">
        <v>30</v>
      </c>
      <c r="U298" s="12" t="s">
        <v>31</v>
      </c>
      <c r="V298" s="14">
        <v>68252.800000000003</v>
      </c>
      <c r="W298" s="12" t="s">
        <v>31</v>
      </c>
      <c r="X298" s="15">
        <v>1</v>
      </c>
      <c r="Y298" s="17"/>
      <c r="Z298" s="96"/>
    </row>
    <row r="299" spans="1:26" x14ac:dyDescent="0.3">
      <c r="A299" s="3">
        <v>46254</v>
      </c>
      <c r="B299" s="4" t="s">
        <v>25</v>
      </c>
      <c r="C299" s="12" t="s">
        <v>42</v>
      </c>
      <c r="D299" s="12" t="s">
        <v>27</v>
      </c>
      <c r="E299" s="12" t="s">
        <v>43</v>
      </c>
      <c r="F299" s="12" t="s">
        <v>45</v>
      </c>
      <c r="G299" s="12">
        <v>600</v>
      </c>
      <c r="H299" s="12">
        <v>350</v>
      </c>
      <c r="I299" s="12">
        <v>6731</v>
      </c>
      <c r="J299" s="12">
        <v>6755</v>
      </c>
      <c r="K299" s="12">
        <v>8398</v>
      </c>
      <c r="L299" s="88">
        <f t="shared" si="9"/>
        <v>349.91666666666669</v>
      </c>
      <c r="M299" s="12">
        <f t="shared" si="11"/>
        <v>24</v>
      </c>
      <c r="N299" s="12">
        <v>0</v>
      </c>
      <c r="O299" s="12">
        <v>0</v>
      </c>
      <c r="P299" s="12">
        <v>0</v>
      </c>
      <c r="Q299" s="12">
        <f t="shared" si="10"/>
        <v>24</v>
      </c>
      <c r="R299" s="12">
        <v>0</v>
      </c>
      <c r="S299" s="12">
        <v>0</v>
      </c>
      <c r="T299" s="12" t="s">
        <v>30</v>
      </c>
      <c r="U299" s="12" t="s">
        <v>31</v>
      </c>
      <c r="V299" s="14">
        <v>73902.399999999994</v>
      </c>
      <c r="W299" s="12" t="s">
        <v>31</v>
      </c>
      <c r="X299" s="15">
        <v>1</v>
      </c>
      <c r="Y299" s="17"/>
      <c r="Z299" s="96"/>
    </row>
    <row r="300" spans="1:26" ht="51" x14ac:dyDescent="0.3">
      <c r="A300" s="3">
        <v>46254</v>
      </c>
      <c r="B300" s="4" t="s">
        <v>25</v>
      </c>
      <c r="C300" s="12" t="s">
        <v>26</v>
      </c>
      <c r="D300" s="12" t="s">
        <v>27</v>
      </c>
      <c r="E300" s="12" t="s">
        <v>43</v>
      </c>
      <c r="F300" s="12" t="s">
        <v>163</v>
      </c>
      <c r="G300" s="12">
        <v>600</v>
      </c>
      <c r="H300" s="12">
        <v>450</v>
      </c>
      <c r="I300" s="12">
        <v>4708</v>
      </c>
      <c r="J300" s="12">
        <v>4731</v>
      </c>
      <c r="K300" s="12">
        <v>8217</v>
      </c>
      <c r="L300" s="88">
        <f t="shared" si="9"/>
        <v>342.375</v>
      </c>
      <c r="M300" s="12">
        <f t="shared" si="11"/>
        <v>23</v>
      </c>
      <c r="N300" s="12">
        <v>1</v>
      </c>
      <c r="O300" s="12">
        <v>0</v>
      </c>
      <c r="P300" s="12">
        <v>0</v>
      </c>
      <c r="Q300" s="12">
        <f t="shared" si="10"/>
        <v>24</v>
      </c>
      <c r="R300" s="12">
        <v>0</v>
      </c>
      <c r="S300" s="12">
        <v>0</v>
      </c>
      <c r="T300" s="12" t="s">
        <v>30</v>
      </c>
      <c r="U300" s="12" t="s">
        <v>31</v>
      </c>
      <c r="V300" s="14">
        <v>72309.600000000006</v>
      </c>
      <c r="W300" s="12" t="s">
        <v>31</v>
      </c>
      <c r="X300" s="15">
        <v>1</v>
      </c>
      <c r="Y300" s="17" t="s">
        <v>310</v>
      </c>
      <c r="Z300" s="96"/>
    </row>
    <row r="301" spans="1:26" ht="21.6" x14ac:dyDescent="0.3">
      <c r="A301" s="3">
        <v>46254</v>
      </c>
      <c r="B301" s="4" t="s">
        <v>25</v>
      </c>
      <c r="C301" s="12" t="s">
        <v>26</v>
      </c>
      <c r="D301" s="12" t="s">
        <v>27</v>
      </c>
      <c r="E301" s="12" t="s">
        <v>43</v>
      </c>
      <c r="F301" s="12" t="s">
        <v>164</v>
      </c>
      <c r="G301" s="12">
        <v>600</v>
      </c>
      <c r="H301" s="12">
        <v>450</v>
      </c>
      <c r="I301" s="12">
        <v>902</v>
      </c>
      <c r="J301" s="12">
        <v>924</v>
      </c>
      <c r="K301" s="12">
        <v>8399</v>
      </c>
      <c r="L301" s="88">
        <f t="shared" si="9"/>
        <v>349.95833333333331</v>
      </c>
      <c r="M301" s="12">
        <v>22</v>
      </c>
      <c r="N301" s="12">
        <v>2</v>
      </c>
      <c r="O301" s="12">
        <v>0</v>
      </c>
      <c r="P301" s="12">
        <v>0</v>
      </c>
      <c r="Q301" s="12">
        <f t="shared" si="10"/>
        <v>24</v>
      </c>
      <c r="R301" s="12">
        <v>0</v>
      </c>
      <c r="S301" s="12">
        <v>0</v>
      </c>
      <c r="T301" s="12" t="s">
        <v>30</v>
      </c>
      <c r="U301" s="12" t="s">
        <v>31</v>
      </c>
      <c r="V301" s="14">
        <v>73911.199999999997</v>
      </c>
      <c r="W301" s="12" t="s">
        <v>31</v>
      </c>
      <c r="X301" s="15">
        <v>1</v>
      </c>
      <c r="Y301" s="76" t="s">
        <v>311</v>
      </c>
      <c r="Z301" s="96"/>
    </row>
    <row r="302" spans="1:26" ht="30.6" x14ac:dyDescent="0.3">
      <c r="A302" s="3">
        <v>46254</v>
      </c>
      <c r="B302" s="4" t="s">
        <v>25</v>
      </c>
      <c r="C302" s="12" t="s">
        <v>26</v>
      </c>
      <c r="D302" s="12" t="s">
        <v>27</v>
      </c>
      <c r="E302" s="12" t="s">
        <v>43</v>
      </c>
      <c r="F302" s="12" t="s">
        <v>165</v>
      </c>
      <c r="G302" s="12">
        <v>600</v>
      </c>
      <c r="H302" s="12">
        <v>450</v>
      </c>
      <c r="I302" s="12">
        <v>921</v>
      </c>
      <c r="J302" s="12">
        <v>921</v>
      </c>
      <c r="K302" s="12">
        <v>0</v>
      </c>
      <c r="L302" s="88">
        <f t="shared" si="9"/>
        <v>0</v>
      </c>
      <c r="M302" s="12">
        <f t="shared" ref="M302:M332" si="12">J302-I302</f>
        <v>0</v>
      </c>
      <c r="N302" s="12">
        <v>16</v>
      </c>
      <c r="O302" s="12">
        <v>8</v>
      </c>
      <c r="P302" s="12">
        <v>0</v>
      </c>
      <c r="Q302" s="12">
        <f t="shared" si="10"/>
        <v>24</v>
      </c>
      <c r="R302" s="12">
        <v>0</v>
      </c>
      <c r="S302" s="12">
        <v>0</v>
      </c>
      <c r="T302" s="12" t="s">
        <v>30</v>
      </c>
      <c r="U302" s="12" t="s">
        <v>31</v>
      </c>
      <c r="V302" s="14">
        <v>0</v>
      </c>
      <c r="W302" s="12" t="s">
        <v>31</v>
      </c>
      <c r="X302" s="15">
        <v>1</v>
      </c>
      <c r="Y302" s="17" t="s">
        <v>312</v>
      </c>
      <c r="Z302" s="96"/>
    </row>
    <row r="303" spans="1:26" x14ac:dyDescent="0.3">
      <c r="A303" s="3">
        <v>46255</v>
      </c>
      <c r="B303" s="4" t="s">
        <v>25</v>
      </c>
      <c r="C303" s="5" t="s">
        <v>26</v>
      </c>
      <c r="D303" s="5" t="s">
        <v>27</v>
      </c>
      <c r="E303" s="5" t="s">
        <v>28</v>
      </c>
      <c r="F303" s="5" t="s">
        <v>29</v>
      </c>
      <c r="G303" s="5">
        <v>1050</v>
      </c>
      <c r="H303" s="5">
        <v>700</v>
      </c>
      <c r="I303" s="6">
        <v>16630</v>
      </c>
      <c r="J303" s="6">
        <v>16654</v>
      </c>
      <c r="K303" s="5">
        <v>15600</v>
      </c>
      <c r="L303" s="90">
        <f t="shared" si="9"/>
        <v>650</v>
      </c>
      <c r="M303" s="91">
        <f t="shared" si="12"/>
        <v>24</v>
      </c>
      <c r="N303" s="5">
        <v>0</v>
      </c>
      <c r="O303" s="5">
        <v>0</v>
      </c>
      <c r="P303" s="5">
        <v>0</v>
      </c>
      <c r="Q303" s="5">
        <f t="shared" si="10"/>
        <v>24</v>
      </c>
      <c r="R303" s="5">
        <v>0</v>
      </c>
      <c r="S303" s="5">
        <v>0</v>
      </c>
      <c r="T303" s="5" t="s">
        <v>30</v>
      </c>
      <c r="U303" s="5" t="s">
        <v>31</v>
      </c>
      <c r="V303" s="6">
        <v>137280</v>
      </c>
      <c r="W303" s="5" t="s">
        <v>31</v>
      </c>
      <c r="X303" s="8">
        <v>1</v>
      </c>
      <c r="Y303" s="18"/>
      <c r="Z303" s="96"/>
    </row>
    <row r="304" spans="1:26" ht="30.6" x14ac:dyDescent="0.3">
      <c r="A304" s="3">
        <v>46255</v>
      </c>
      <c r="B304" s="4" t="s">
        <v>25</v>
      </c>
      <c r="C304" s="5" t="s">
        <v>26</v>
      </c>
      <c r="D304" s="5" t="s">
        <v>27</v>
      </c>
      <c r="E304" s="5" t="s">
        <v>28</v>
      </c>
      <c r="F304" s="5" t="s">
        <v>32</v>
      </c>
      <c r="G304" s="5">
        <v>1050</v>
      </c>
      <c r="H304" s="5">
        <v>700</v>
      </c>
      <c r="I304" s="6">
        <v>14388</v>
      </c>
      <c r="J304" s="6">
        <v>14410</v>
      </c>
      <c r="K304" s="5">
        <v>14697</v>
      </c>
      <c r="L304" s="90">
        <f t="shared" si="9"/>
        <v>612.375</v>
      </c>
      <c r="M304" s="91">
        <f t="shared" si="12"/>
        <v>22</v>
      </c>
      <c r="N304" s="5">
        <v>2</v>
      </c>
      <c r="O304" s="5">
        <v>0</v>
      </c>
      <c r="P304" s="5">
        <v>0</v>
      </c>
      <c r="Q304" s="5">
        <f t="shared" si="10"/>
        <v>24</v>
      </c>
      <c r="R304" s="5">
        <v>0</v>
      </c>
      <c r="S304" s="5">
        <v>0</v>
      </c>
      <c r="T304" s="5" t="s">
        <v>30</v>
      </c>
      <c r="U304" s="5" t="s">
        <v>31</v>
      </c>
      <c r="V304" s="6">
        <v>129333.60000000003</v>
      </c>
      <c r="W304" s="5" t="s">
        <v>31</v>
      </c>
      <c r="X304" s="8">
        <v>1</v>
      </c>
      <c r="Y304" s="18" t="s">
        <v>313</v>
      </c>
      <c r="Z304" s="96"/>
    </row>
    <row r="305" spans="1:26" ht="51" x14ac:dyDescent="0.3">
      <c r="A305" s="3">
        <v>46255</v>
      </c>
      <c r="B305" s="4" t="s">
        <v>25</v>
      </c>
      <c r="C305" s="5" t="s">
        <v>26</v>
      </c>
      <c r="D305" s="5" t="s">
        <v>27</v>
      </c>
      <c r="E305" s="5" t="s">
        <v>28</v>
      </c>
      <c r="F305" s="5" t="s">
        <v>33</v>
      </c>
      <c r="G305" s="5">
        <v>1050</v>
      </c>
      <c r="H305" s="5">
        <v>700</v>
      </c>
      <c r="I305" s="6">
        <v>12889</v>
      </c>
      <c r="J305" s="6">
        <v>12907</v>
      </c>
      <c r="K305" s="5">
        <v>9369</v>
      </c>
      <c r="L305" s="90">
        <f t="shared" si="9"/>
        <v>390.375</v>
      </c>
      <c r="M305" s="91">
        <f t="shared" si="12"/>
        <v>18</v>
      </c>
      <c r="N305" s="5">
        <v>6</v>
      </c>
      <c r="O305" s="5">
        <v>0</v>
      </c>
      <c r="P305" s="5">
        <v>0</v>
      </c>
      <c r="Q305" s="5">
        <f t="shared" si="10"/>
        <v>24</v>
      </c>
      <c r="R305" s="5">
        <v>0</v>
      </c>
      <c r="S305" s="5">
        <v>0</v>
      </c>
      <c r="T305" s="5" t="s">
        <v>30</v>
      </c>
      <c r="U305" s="5" t="s">
        <v>31</v>
      </c>
      <c r="V305" s="6">
        <v>82447.199999999997</v>
      </c>
      <c r="W305" s="5" t="s">
        <v>31</v>
      </c>
      <c r="X305" s="8">
        <v>1</v>
      </c>
      <c r="Y305" s="18" t="s">
        <v>314</v>
      </c>
      <c r="Z305" s="96"/>
    </row>
    <row r="306" spans="1:26" ht="20.399999999999999" x14ac:dyDescent="0.3">
      <c r="A306" s="3">
        <v>46255</v>
      </c>
      <c r="B306" s="4" t="s">
        <v>25</v>
      </c>
      <c r="C306" s="5" t="s">
        <v>26</v>
      </c>
      <c r="D306" s="5" t="s">
        <v>27</v>
      </c>
      <c r="E306" s="5" t="s">
        <v>34</v>
      </c>
      <c r="F306" s="5" t="s">
        <v>35</v>
      </c>
      <c r="G306" s="5">
        <v>1300</v>
      </c>
      <c r="H306" s="5">
        <v>1040</v>
      </c>
      <c r="I306" s="6">
        <v>4347</v>
      </c>
      <c r="J306" s="6">
        <v>4370</v>
      </c>
      <c r="K306" s="5">
        <v>16201</v>
      </c>
      <c r="L306" s="90">
        <f t="shared" si="9"/>
        <v>675.04166666666663</v>
      </c>
      <c r="M306" s="91">
        <f t="shared" si="12"/>
        <v>23</v>
      </c>
      <c r="N306" s="5">
        <v>1</v>
      </c>
      <c r="O306" s="5">
        <v>0</v>
      </c>
      <c r="P306" s="5">
        <v>0</v>
      </c>
      <c r="Q306" s="5">
        <f t="shared" si="10"/>
        <v>24</v>
      </c>
      <c r="R306" s="5">
        <v>0</v>
      </c>
      <c r="S306" s="5">
        <v>0</v>
      </c>
      <c r="T306" s="5" t="s">
        <v>30</v>
      </c>
      <c r="U306" s="5" t="s">
        <v>31</v>
      </c>
      <c r="V306" s="6">
        <v>142568.79999999999</v>
      </c>
      <c r="W306" s="5" t="s">
        <v>31</v>
      </c>
      <c r="X306" s="8">
        <v>1</v>
      </c>
      <c r="Y306" s="18" t="s">
        <v>315</v>
      </c>
      <c r="Z306" s="96"/>
    </row>
    <row r="307" spans="1:26" ht="20.399999999999999" x14ac:dyDescent="0.3">
      <c r="A307" s="3">
        <v>46255</v>
      </c>
      <c r="B307" s="4" t="s">
        <v>25</v>
      </c>
      <c r="C307" s="5" t="s">
        <v>26</v>
      </c>
      <c r="D307" s="5" t="s">
        <v>27</v>
      </c>
      <c r="E307" s="5" t="s">
        <v>34</v>
      </c>
      <c r="F307" s="5" t="s">
        <v>36</v>
      </c>
      <c r="G307" s="5">
        <v>1300</v>
      </c>
      <c r="H307" s="5">
        <v>1040</v>
      </c>
      <c r="I307" s="6">
        <v>4354</v>
      </c>
      <c r="J307" s="6">
        <v>4377</v>
      </c>
      <c r="K307" s="5">
        <v>17700</v>
      </c>
      <c r="L307" s="90">
        <f t="shared" si="9"/>
        <v>737.5</v>
      </c>
      <c r="M307" s="91">
        <f t="shared" si="12"/>
        <v>23</v>
      </c>
      <c r="N307" s="5">
        <v>1</v>
      </c>
      <c r="O307" s="5">
        <v>0</v>
      </c>
      <c r="P307" s="5">
        <v>0</v>
      </c>
      <c r="Q307" s="5">
        <f t="shared" si="10"/>
        <v>24</v>
      </c>
      <c r="R307" s="5">
        <v>0</v>
      </c>
      <c r="S307" s="5">
        <v>0</v>
      </c>
      <c r="T307" s="5" t="s">
        <v>30</v>
      </c>
      <c r="U307" s="5" t="s">
        <v>31</v>
      </c>
      <c r="V307" s="6">
        <v>155760.00000000006</v>
      </c>
      <c r="W307" s="5" t="s">
        <v>31</v>
      </c>
      <c r="X307" s="8">
        <v>1</v>
      </c>
      <c r="Y307" s="18" t="s">
        <v>316</v>
      </c>
      <c r="Z307" s="96"/>
    </row>
    <row r="308" spans="1:26" x14ac:dyDescent="0.3">
      <c r="A308" s="3">
        <v>46255</v>
      </c>
      <c r="B308" s="4" t="s">
        <v>25</v>
      </c>
      <c r="C308" s="5" t="s">
        <v>26</v>
      </c>
      <c r="D308" s="5" t="s">
        <v>27</v>
      </c>
      <c r="E308" s="5" t="s">
        <v>34</v>
      </c>
      <c r="F308" s="5" t="s">
        <v>46</v>
      </c>
      <c r="G308" s="5">
        <v>1300</v>
      </c>
      <c r="H308" s="5">
        <v>1040</v>
      </c>
      <c r="I308" s="6">
        <v>2762</v>
      </c>
      <c r="J308" s="6">
        <v>2786</v>
      </c>
      <c r="K308" s="5">
        <v>19605</v>
      </c>
      <c r="L308" s="90">
        <f t="shared" si="9"/>
        <v>816.875</v>
      </c>
      <c r="M308" s="91">
        <f t="shared" si="12"/>
        <v>24</v>
      </c>
      <c r="N308" s="5">
        <v>0</v>
      </c>
      <c r="O308" s="5">
        <v>0</v>
      </c>
      <c r="P308" s="5">
        <v>0</v>
      </c>
      <c r="Q308" s="5">
        <f t="shared" si="10"/>
        <v>24</v>
      </c>
      <c r="R308" s="5">
        <v>0</v>
      </c>
      <c r="S308" s="5">
        <v>0</v>
      </c>
      <c r="T308" s="5" t="s">
        <v>30</v>
      </c>
      <c r="U308" s="5" t="s">
        <v>31</v>
      </c>
      <c r="V308" s="6">
        <v>172524</v>
      </c>
      <c r="W308" s="5" t="s">
        <v>31</v>
      </c>
      <c r="X308" s="8">
        <v>1</v>
      </c>
      <c r="Y308" s="18"/>
      <c r="Z308" s="96"/>
    </row>
    <row r="309" spans="1:26" x14ac:dyDescent="0.3">
      <c r="A309" s="3">
        <v>46255</v>
      </c>
      <c r="B309" s="4" t="s">
        <v>25</v>
      </c>
      <c r="C309" s="5" t="s">
        <v>26</v>
      </c>
      <c r="D309" s="5" t="s">
        <v>27</v>
      </c>
      <c r="E309" s="5" t="s">
        <v>28</v>
      </c>
      <c r="F309" s="5" t="s">
        <v>47</v>
      </c>
      <c r="G309" s="5">
        <v>1050</v>
      </c>
      <c r="H309" s="5">
        <v>740</v>
      </c>
      <c r="I309" s="6">
        <v>1772</v>
      </c>
      <c r="J309" s="6">
        <v>1796</v>
      </c>
      <c r="K309" s="5">
        <v>14608</v>
      </c>
      <c r="L309" s="90">
        <f t="shared" si="9"/>
        <v>608.66666666666663</v>
      </c>
      <c r="M309" s="91">
        <f t="shared" si="12"/>
        <v>24</v>
      </c>
      <c r="N309" s="5">
        <v>0</v>
      </c>
      <c r="O309" s="5"/>
      <c r="P309" s="5">
        <v>0</v>
      </c>
      <c r="Q309" s="5">
        <f t="shared" si="10"/>
        <v>24</v>
      </c>
      <c r="R309" s="5">
        <v>0</v>
      </c>
      <c r="S309" s="5">
        <v>0</v>
      </c>
      <c r="T309" s="5" t="s">
        <v>30</v>
      </c>
      <c r="U309" s="5" t="s">
        <v>31</v>
      </c>
      <c r="V309" s="19">
        <v>128550.39999999999</v>
      </c>
      <c r="W309" s="5" t="s">
        <v>31</v>
      </c>
      <c r="X309" s="8">
        <v>1</v>
      </c>
      <c r="Y309" s="18"/>
      <c r="Z309" s="96"/>
    </row>
    <row r="310" spans="1:26" x14ac:dyDescent="0.3">
      <c r="A310" s="3">
        <v>46255</v>
      </c>
      <c r="B310" s="4" t="s">
        <v>25</v>
      </c>
      <c r="C310" s="9" t="s">
        <v>26</v>
      </c>
      <c r="D310" s="9" t="s">
        <v>27</v>
      </c>
      <c r="E310" s="9" t="s">
        <v>37</v>
      </c>
      <c r="F310" s="9" t="s">
        <v>39</v>
      </c>
      <c r="G310" s="9">
        <v>500</v>
      </c>
      <c r="H310" s="9">
        <v>360</v>
      </c>
      <c r="I310" s="9">
        <v>15338</v>
      </c>
      <c r="J310" s="9">
        <v>15338</v>
      </c>
      <c r="K310" s="9">
        <v>0</v>
      </c>
      <c r="L310" s="92">
        <f t="shared" si="9"/>
        <v>0</v>
      </c>
      <c r="M310" s="93">
        <f t="shared" si="12"/>
        <v>0</v>
      </c>
      <c r="N310" s="9">
        <v>24</v>
      </c>
      <c r="O310" s="9">
        <v>0</v>
      </c>
      <c r="P310" s="9">
        <v>0</v>
      </c>
      <c r="Q310" s="9">
        <f t="shared" si="10"/>
        <v>24</v>
      </c>
      <c r="R310" s="9">
        <v>0</v>
      </c>
      <c r="S310" s="9">
        <v>0</v>
      </c>
      <c r="T310" s="9" t="s">
        <v>38</v>
      </c>
      <c r="U310" s="9" t="s">
        <v>31</v>
      </c>
      <c r="V310" s="16">
        <v>0</v>
      </c>
      <c r="W310" s="9" t="s">
        <v>31</v>
      </c>
      <c r="X310" s="11">
        <v>1</v>
      </c>
      <c r="Y310" s="20"/>
      <c r="Z310" s="96"/>
    </row>
    <row r="311" spans="1:26" x14ac:dyDescent="0.3">
      <c r="A311" s="3">
        <v>46255</v>
      </c>
      <c r="B311" s="4" t="s">
        <v>25</v>
      </c>
      <c r="C311" s="9" t="s">
        <v>26</v>
      </c>
      <c r="D311" s="9" t="s">
        <v>27</v>
      </c>
      <c r="E311" s="9" t="s">
        <v>37</v>
      </c>
      <c r="F311" s="9" t="s">
        <v>40</v>
      </c>
      <c r="G311" s="9">
        <v>1000</v>
      </c>
      <c r="H311" s="9">
        <v>800</v>
      </c>
      <c r="I311" s="9">
        <v>3641</v>
      </c>
      <c r="J311" s="9">
        <v>3641</v>
      </c>
      <c r="K311" s="9">
        <v>0</v>
      </c>
      <c r="L311" s="92">
        <f t="shared" si="9"/>
        <v>0</v>
      </c>
      <c r="M311" s="93">
        <f t="shared" si="12"/>
        <v>0</v>
      </c>
      <c r="N311" s="9">
        <v>24</v>
      </c>
      <c r="O311" s="9">
        <v>0</v>
      </c>
      <c r="P311" s="9">
        <v>0</v>
      </c>
      <c r="Q311" s="9">
        <f t="shared" si="10"/>
        <v>24</v>
      </c>
      <c r="R311" s="9">
        <v>0</v>
      </c>
      <c r="S311" s="9">
        <v>0</v>
      </c>
      <c r="T311" s="9" t="s">
        <v>38</v>
      </c>
      <c r="U311" s="9" t="s">
        <v>31</v>
      </c>
      <c r="V311" s="16">
        <v>0</v>
      </c>
      <c r="W311" s="9" t="s">
        <v>31</v>
      </c>
      <c r="X311" s="11">
        <v>1</v>
      </c>
      <c r="Y311" s="20"/>
      <c r="Z311" s="96"/>
    </row>
    <row r="312" spans="1:26" x14ac:dyDescent="0.3">
      <c r="A312" s="3">
        <v>46255</v>
      </c>
      <c r="B312" s="4" t="s">
        <v>25</v>
      </c>
      <c r="C312" s="9" t="s">
        <v>26</v>
      </c>
      <c r="D312" s="9" t="s">
        <v>27</v>
      </c>
      <c r="E312" s="9" t="s">
        <v>37</v>
      </c>
      <c r="F312" s="9" t="s">
        <v>41</v>
      </c>
      <c r="G312" s="9">
        <v>1000</v>
      </c>
      <c r="H312" s="9">
        <v>800</v>
      </c>
      <c r="I312" s="9">
        <v>2526</v>
      </c>
      <c r="J312" s="9">
        <v>2526</v>
      </c>
      <c r="K312" s="9">
        <v>0</v>
      </c>
      <c r="L312" s="92">
        <f t="shared" si="9"/>
        <v>0</v>
      </c>
      <c r="M312" s="93">
        <f t="shared" si="12"/>
        <v>0</v>
      </c>
      <c r="N312" s="9">
        <v>24</v>
      </c>
      <c r="O312" s="9">
        <v>0</v>
      </c>
      <c r="P312" s="9">
        <v>0</v>
      </c>
      <c r="Q312" s="9">
        <f t="shared" si="10"/>
        <v>24</v>
      </c>
      <c r="R312" s="9">
        <v>0</v>
      </c>
      <c r="S312" s="9">
        <v>0</v>
      </c>
      <c r="T312" s="9" t="s">
        <v>38</v>
      </c>
      <c r="U312" s="9" t="s">
        <v>31</v>
      </c>
      <c r="V312" s="16">
        <v>0</v>
      </c>
      <c r="W312" s="9" t="s">
        <v>31</v>
      </c>
      <c r="X312" s="11">
        <v>1</v>
      </c>
      <c r="Y312" s="20"/>
      <c r="Z312" s="96"/>
    </row>
    <row r="313" spans="1:26" ht="20.399999999999999" x14ac:dyDescent="0.3">
      <c r="A313" s="3">
        <v>46255</v>
      </c>
      <c r="B313" s="4" t="s">
        <v>25</v>
      </c>
      <c r="C313" s="12" t="s">
        <v>42</v>
      </c>
      <c r="D313" s="12" t="s">
        <v>27</v>
      </c>
      <c r="E313" s="12" t="s">
        <v>43</v>
      </c>
      <c r="F313" s="12" t="s">
        <v>44</v>
      </c>
      <c r="G313" s="12">
        <v>600</v>
      </c>
      <c r="H313" s="12">
        <v>350</v>
      </c>
      <c r="I313" s="12">
        <v>6834</v>
      </c>
      <c r="J313" s="12">
        <v>6850</v>
      </c>
      <c r="K313" s="12">
        <v>5375</v>
      </c>
      <c r="L313" s="94">
        <f t="shared" si="9"/>
        <v>223.95833333333334</v>
      </c>
      <c r="M313" s="12">
        <f t="shared" si="12"/>
        <v>16</v>
      </c>
      <c r="N313" s="12">
        <v>0</v>
      </c>
      <c r="O313" s="12">
        <v>8</v>
      </c>
      <c r="P313" s="12">
        <v>0</v>
      </c>
      <c r="Q313" s="12">
        <f t="shared" si="10"/>
        <v>24</v>
      </c>
      <c r="R313" s="12">
        <v>0</v>
      </c>
      <c r="S313" s="12">
        <v>0</v>
      </c>
      <c r="T313" s="12" t="s">
        <v>30</v>
      </c>
      <c r="U313" s="12" t="s">
        <v>31</v>
      </c>
      <c r="V313" s="14">
        <v>47300</v>
      </c>
      <c r="W313" s="12" t="s">
        <v>31</v>
      </c>
      <c r="X313" s="15">
        <v>1</v>
      </c>
      <c r="Y313" s="17" t="s">
        <v>317</v>
      </c>
      <c r="Z313" s="96"/>
    </row>
    <row r="314" spans="1:26" x14ac:dyDescent="0.3">
      <c r="A314" s="3">
        <v>46255</v>
      </c>
      <c r="B314" s="4" t="s">
        <v>25</v>
      </c>
      <c r="C314" s="12" t="s">
        <v>42</v>
      </c>
      <c r="D314" s="12" t="s">
        <v>27</v>
      </c>
      <c r="E314" s="12" t="s">
        <v>43</v>
      </c>
      <c r="F314" s="12" t="s">
        <v>45</v>
      </c>
      <c r="G314" s="12">
        <v>600</v>
      </c>
      <c r="H314" s="12">
        <v>350</v>
      </c>
      <c r="I314" s="12">
        <v>6755</v>
      </c>
      <c r="J314" s="12">
        <v>6779</v>
      </c>
      <c r="K314" s="12">
        <v>8404</v>
      </c>
      <c r="L314" s="94">
        <f t="shared" si="9"/>
        <v>350.16666666666669</v>
      </c>
      <c r="M314" s="12">
        <f t="shared" si="12"/>
        <v>24</v>
      </c>
      <c r="N314" s="12">
        <v>0</v>
      </c>
      <c r="O314" s="12">
        <v>0</v>
      </c>
      <c r="P314" s="12">
        <v>0</v>
      </c>
      <c r="Q314" s="12">
        <f t="shared" si="10"/>
        <v>24</v>
      </c>
      <c r="R314" s="12">
        <v>0</v>
      </c>
      <c r="S314" s="12">
        <v>0</v>
      </c>
      <c r="T314" s="12" t="s">
        <v>30</v>
      </c>
      <c r="U314" s="12" t="s">
        <v>31</v>
      </c>
      <c r="V314" s="14">
        <v>73955.200000000012</v>
      </c>
      <c r="W314" s="12" t="s">
        <v>31</v>
      </c>
      <c r="X314" s="15">
        <v>1</v>
      </c>
      <c r="Y314" s="17"/>
      <c r="Z314" s="96"/>
    </row>
    <row r="315" spans="1:26" ht="20.399999999999999" x14ac:dyDescent="0.3">
      <c r="A315" s="3">
        <v>46255</v>
      </c>
      <c r="B315" s="4" t="s">
        <v>25</v>
      </c>
      <c r="C315" s="12" t="s">
        <v>26</v>
      </c>
      <c r="D315" s="12" t="s">
        <v>27</v>
      </c>
      <c r="E315" s="12" t="s">
        <v>43</v>
      </c>
      <c r="F315" s="12" t="s">
        <v>163</v>
      </c>
      <c r="G315" s="12">
        <v>600</v>
      </c>
      <c r="H315" s="12">
        <v>450</v>
      </c>
      <c r="I315" s="12">
        <v>4731</v>
      </c>
      <c r="J315" s="12">
        <v>4751</v>
      </c>
      <c r="K315" s="12">
        <v>7607</v>
      </c>
      <c r="L315" s="94">
        <f t="shared" si="9"/>
        <v>316.95833333333331</v>
      </c>
      <c r="M315" s="12">
        <f t="shared" si="12"/>
        <v>20</v>
      </c>
      <c r="N315" s="12">
        <v>4</v>
      </c>
      <c r="O315" s="12">
        <v>0</v>
      </c>
      <c r="P315" s="12">
        <v>0</v>
      </c>
      <c r="Q315" s="12">
        <f t="shared" si="10"/>
        <v>24</v>
      </c>
      <c r="R315" s="12">
        <v>0</v>
      </c>
      <c r="S315" s="12">
        <v>0</v>
      </c>
      <c r="T315" s="12" t="s">
        <v>30</v>
      </c>
      <c r="U315" s="12" t="s">
        <v>31</v>
      </c>
      <c r="V315" s="14">
        <v>66941.600000000006</v>
      </c>
      <c r="W315" s="12" t="s">
        <v>31</v>
      </c>
      <c r="X315" s="15">
        <v>1</v>
      </c>
      <c r="Y315" s="17" t="s">
        <v>318</v>
      </c>
      <c r="Z315" s="96"/>
    </row>
    <row r="316" spans="1:26" x14ac:dyDescent="0.3">
      <c r="A316" s="3">
        <v>46255</v>
      </c>
      <c r="B316" s="4" t="s">
        <v>25</v>
      </c>
      <c r="C316" s="12" t="s">
        <v>26</v>
      </c>
      <c r="D316" s="12" t="s">
        <v>27</v>
      </c>
      <c r="E316" s="12" t="s">
        <v>43</v>
      </c>
      <c r="F316" s="12" t="s">
        <v>164</v>
      </c>
      <c r="G316" s="12">
        <v>600</v>
      </c>
      <c r="H316" s="12">
        <v>450</v>
      </c>
      <c r="I316" s="12">
        <v>924</v>
      </c>
      <c r="J316" s="12">
        <v>948</v>
      </c>
      <c r="K316" s="12">
        <v>9095</v>
      </c>
      <c r="L316" s="94">
        <f t="shared" si="9"/>
        <v>378.95833333333331</v>
      </c>
      <c r="M316" s="12">
        <f t="shared" si="12"/>
        <v>24</v>
      </c>
      <c r="N316" s="12">
        <v>0</v>
      </c>
      <c r="O316" s="12">
        <v>0</v>
      </c>
      <c r="P316" s="12">
        <v>0</v>
      </c>
      <c r="Q316" s="12">
        <f t="shared" si="10"/>
        <v>24</v>
      </c>
      <c r="R316" s="12">
        <v>0</v>
      </c>
      <c r="S316" s="12">
        <v>0</v>
      </c>
      <c r="T316" s="12" t="s">
        <v>30</v>
      </c>
      <c r="U316" s="12" t="s">
        <v>31</v>
      </c>
      <c r="V316" s="14">
        <v>80036</v>
      </c>
      <c r="W316" s="12" t="s">
        <v>31</v>
      </c>
      <c r="X316" s="15">
        <v>1</v>
      </c>
      <c r="Y316" s="76"/>
      <c r="Z316" s="96"/>
    </row>
    <row r="317" spans="1:26" x14ac:dyDescent="0.3">
      <c r="A317" s="3">
        <v>46255</v>
      </c>
      <c r="B317" s="4" t="s">
        <v>25</v>
      </c>
      <c r="C317" s="12" t="s">
        <v>26</v>
      </c>
      <c r="D317" s="12" t="s">
        <v>27</v>
      </c>
      <c r="E317" s="12" t="s">
        <v>43</v>
      </c>
      <c r="F317" s="12" t="s">
        <v>165</v>
      </c>
      <c r="G317" s="12">
        <v>600</v>
      </c>
      <c r="H317" s="12">
        <v>450</v>
      </c>
      <c r="I317" s="12">
        <v>921</v>
      </c>
      <c r="J317" s="12">
        <v>932</v>
      </c>
      <c r="K317" s="12">
        <v>4256</v>
      </c>
      <c r="L317" s="94">
        <f t="shared" si="9"/>
        <v>177.33333333333334</v>
      </c>
      <c r="M317" s="12">
        <f t="shared" si="12"/>
        <v>11</v>
      </c>
      <c r="N317" s="12">
        <v>13</v>
      </c>
      <c r="O317" s="12">
        <v>0</v>
      </c>
      <c r="P317" s="12">
        <v>0</v>
      </c>
      <c r="Q317" s="12">
        <f t="shared" si="10"/>
        <v>24</v>
      </c>
      <c r="R317" s="12">
        <v>0</v>
      </c>
      <c r="S317" s="12">
        <v>0</v>
      </c>
      <c r="T317" s="12" t="s">
        <v>30</v>
      </c>
      <c r="U317" s="12" t="s">
        <v>31</v>
      </c>
      <c r="V317" s="14">
        <v>37452.800000000003</v>
      </c>
      <c r="W317" s="12" t="s">
        <v>31</v>
      </c>
      <c r="X317" s="15">
        <v>1</v>
      </c>
      <c r="Y317" s="17" t="s">
        <v>319</v>
      </c>
      <c r="Z317" s="96"/>
    </row>
    <row r="318" spans="1:26" x14ac:dyDescent="0.3">
      <c r="A318" s="3">
        <v>46256</v>
      </c>
      <c r="B318" s="4" t="s">
        <v>25</v>
      </c>
      <c r="C318" s="5" t="s">
        <v>26</v>
      </c>
      <c r="D318" s="5" t="s">
        <v>27</v>
      </c>
      <c r="E318" s="5" t="s">
        <v>28</v>
      </c>
      <c r="F318" s="5" t="s">
        <v>29</v>
      </c>
      <c r="G318" s="5">
        <v>1050</v>
      </c>
      <c r="H318" s="5">
        <v>700</v>
      </c>
      <c r="I318" s="6">
        <v>16654</v>
      </c>
      <c r="J318" s="6">
        <v>16678</v>
      </c>
      <c r="K318" s="5">
        <v>15256</v>
      </c>
      <c r="L318" s="90">
        <f t="shared" si="9"/>
        <v>635.66666666666663</v>
      </c>
      <c r="M318" s="91">
        <f t="shared" si="12"/>
        <v>24</v>
      </c>
      <c r="N318" s="5">
        <v>0</v>
      </c>
      <c r="O318" s="5">
        <v>0</v>
      </c>
      <c r="P318" s="5">
        <v>0</v>
      </c>
      <c r="Q318" s="5">
        <f t="shared" si="10"/>
        <v>24</v>
      </c>
      <c r="R318" s="5">
        <v>0</v>
      </c>
      <c r="S318" s="5">
        <v>0</v>
      </c>
      <c r="T318" s="5" t="s">
        <v>30</v>
      </c>
      <c r="U318" s="5" t="s">
        <v>31</v>
      </c>
      <c r="V318" s="6">
        <v>134253</v>
      </c>
      <c r="W318" s="5" t="s">
        <v>31</v>
      </c>
      <c r="X318" s="8">
        <v>1</v>
      </c>
      <c r="Y318" s="18"/>
      <c r="Z318" s="96"/>
    </row>
    <row r="319" spans="1:26" ht="20.399999999999999" x14ac:dyDescent="0.3">
      <c r="A319" s="3">
        <v>46256</v>
      </c>
      <c r="B319" s="4" t="s">
        <v>25</v>
      </c>
      <c r="C319" s="5" t="s">
        <v>26</v>
      </c>
      <c r="D319" s="5" t="s">
        <v>27</v>
      </c>
      <c r="E319" s="5" t="s">
        <v>28</v>
      </c>
      <c r="F319" s="5" t="s">
        <v>32</v>
      </c>
      <c r="G319" s="5">
        <v>1050</v>
      </c>
      <c r="H319" s="5">
        <v>700</v>
      </c>
      <c r="I319" s="6">
        <v>14410</v>
      </c>
      <c r="J319" s="6">
        <v>14431</v>
      </c>
      <c r="K319" s="5">
        <v>13209</v>
      </c>
      <c r="L319" s="90">
        <f t="shared" si="9"/>
        <v>550.375</v>
      </c>
      <c r="M319" s="91">
        <f t="shared" si="12"/>
        <v>21</v>
      </c>
      <c r="N319" s="5">
        <v>3</v>
      </c>
      <c r="O319" s="5">
        <v>0</v>
      </c>
      <c r="P319" s="5">
        <v>0</v>
      </c>
      <c r="Q319" s="5">
        <f t="shared" si="10"/>
        <v>24</v>
      </c>
      <c r="R319" s="5">
        <v>0</v>
      </c>
      <c r="S319" s="5">
        <v>0</v>
      </c>
      <c r="T319" s="5" t="s">
        <v>30</v>
      </c>
      <c r="U319" s="5" t="s">
        <v>31</v>
      </c>
      <c r="V319" s="6">
        <v>116239</v>
      </c>
      <c r="W319" s="5" t="s">
        <v>31</v>
      </c>
      <c r="X319" s="8">
        <v>1</v>
      </c>
      <c r="Y319" s="18" t="s">
        <v>320</v>
      </c>
      <c r="Z319" s="96"/>
    </row>
    <row r="320" spans="1:26" x14ac:dyDescent="0.3">
      <c r="A320" s="3">
        <v>46256</v>
      </c>
      <c r="B320" s="4" t="s">
        <v>25</v>
      </c>
      <c r="C320" s="5" t="s">
        <v>26</v>
      </c>
      <c r="D320" s="5" t="s">
        <v>27</v>
      </c>
      <c r="E320" s="5" t="s">
        <v>28</v>
      </c>
      <c r="F320" s="5" t="s">
        <v>33</v>
      </c>
      <c r="G320" s="5">
        <v>1050</v>
      </c>
      <c r="H320" s="5">
        <v>700</v>
      </c>
      <c r="I320" s="6">
        <v>12907</v>
      </c>
      <c r="J320" s="6">
        <v>12931</v>
      </c>
      <c r="K320" s="5">
        <v>15301</v>
      </c>
      <c r="L320" s="90">
        <f t="shared" si="9"/>
        <v>637.54166666666663</v>
      </c>
      <c r="M320" s="91">
        <f t="shared" si="12"/>
        <v>24</v>
      </c>
      <c r="N320" s="5">
        <v>0</v>
      </c>
      <c r="O320" s="5">
        <v>0</v>
      </c>
      <c r="P320" s="5">
        <v>0</v>
      </c>
      <c r="Q320" s="5">
        <f t="shared" si="10"/>
        <v>24</v>
      </c>
      <c r="R320" s="5">
        <v>0</v>
      </c>
      <c r="S320" s="5">
        <v>0</v>
      </c>
      <c r="T320" s="5" t="s">
        <v>30</v>
      </c>
      <c r="U320" s="5" t="s">
        <v>31</v>
      </c>
      <c r="V320" s="6">
        <v>134649</v>
      </c>
      <c r="W320" s="5" t="s">
        <v>31</v>
      </c>
      <c r="X320" s="8">
        <v>1</v>
      </c>
      <c r="Y320" s="18"/>
      <c r="Z320" s="96"/>
    </row>
    <row r="321" spans="1:26" ht="20.399999999999999" x14ac:dyDescent="0.3">
      <c r="A321" s="3">
        <v>46256</v>
      </c>
      <c r="B321" s="4" t="s">
        <v>25</v>
      </c>
      <c r="C321" s="5" t="s">
        <v>26</v>
      </c>
      <c r="D321" s="5" t="s">
        <v>27</v>
      </c>
      <c r="E321" s="5" t="s">
        <v>34</v>
      </c>
      <c r="F321" s="5" t="s">
        <v>35</v>
      </c>
      <c r="G321" s="5">
        <v>1300</v>
      </c>
      <c r="H321" s="5">
        <v>1040</v>
      </c>
      <c r="I321" s="6">
        <v>4370</v>
      </c>
      <c r="J321" s="6">
        <v>4389</v>
      </c>
      <c r="K321" s="5">
        <v>12956</v>
      </c>
      <c r="L321" s="90">
        <f t="shared" si="9"/>
        <v>539.83333333333337</v>
      </c>
      <c r="M321" s="91">
        <f t="shared" si="12"/>
        <v>19</v>
      </c>
      <c r="N321" s="5">
        <v>5</v>
      </c>
      <c r="O321" s="5">
        <v>0</v>
      </c>
      <c r="P321" s="5">
        <v>0</v>
      </c>
      <c r="Q321" s="5">
        <f t="shared" si="10"/>
        <v>24</v>
      </c>
      <c r="R321" s="5">
        <v>0</v>
      </c>
      <c r="S321" s="5">
        <v>0</v>
      </c>
      <c r="T321" s="5" t="s">
        <v>30</v>
      </c>
      <c r="U321" s="5" t="s">
        <v>31</v>
      </c>
      <c r="V321" s="6">
        <v>114013</v>
      </c>
      <c r="W321" s="5" t="s">
        <v>31</v>
      </c>
      <c r="X321" s="8">
        <v>1</v>
      </c>
      <c r="Y321" s="18" t="s">
        <v>321</v>
      </c>
      <c r="Z321" s="96"/>
    </row>
    <row r="322" spans="1:26" x14ac:dyDescent="0.3">
      <c r="A322" s="3">
        <v>46256</v>
      </c>
      <c r="B322" s="4" t="s">
        <v>25</v>
      </c>
      <c r="C322" s="5" t="s">
        <v>26</v>
      </c>
      <c r="D322" s="5" t="s">
        <v>27</v>
      </c>
      <c r="E322" s="5" t="s">
        <v>34</v>
      </c>
      <c r="F322" s="5" t="s">
        <v>36</v>
      </c>
      <c r="G322" s="5">
        <v>1300</v>
      </c>
      <c r="H322" s="5">
        <v>1040</v>
      </c>
      <c r="I322" s="6">
        <v>4377</v>
      </c>
      <c r="J322" s="6">
        <v>4401</v>
      </c>
      <c r="K322" s="5">
        <v>17964</v>
      </c>
      <c r="L322" s="90">
        <f t="shared" si="9"/>
        <v>748.5</v>
      </c>
      <c r="M322" s="91">
        <f t="shared" si="12"/>
        <v>24</v>
      </c>
      <c r="N322" s="5">
        <v>0</v>
      </c>
      <c r="O322" s="5">
        <v>0</v>
      </c>
      <c r="P322" s="5">
        <v>0</v>
      </c>
      <c r="Q322" s="5">
        <f t="shared" si="10"/>
        <v>24</v>
      </c>
      <c r="R322" s="5">
        <v>0</v>
      </c>
      <c r="S322" s="5">
        <v>0</v>
      </c>
      <c r="T322" s="5" t="s">
        <v>30</v>
      </c>
      <c r="U322" s="5" t="s">
        <v>31</v>
      </c>
      <c r="V322" s="6">
        <v>158083</v>
      </c>
      <c r="W322" s="5" t="s">
        <v>31</v>
      </c>
      <c r="X322" s="8">
        <v>1</v>
      </c>
      <c r="Y322" s="18"/>
      <c r="Z322" s="96"/>
    </row>
    <row r="323" spans="1:26" x14ac:dyDescent="0.3">
      <c r="A323" s="3">
        <v>46256</v>
      </c>
      <c r="B323" s="4" t="s">
        <v>25</v>
      </c>
      <c r="C323" s="5" t="s">
        <v>26</v>
      </c>
      <c r="D323" s="5" t="s">
        <v>27</v>
      </c>
      <c r="E323" s="5" t="s">
        <v>34</v>
      </c>
      <c r="F323" s="5" t="s">
        <v>46</v>
      </c>
      <c r="G323" s="5">
        <v>1300</v>
      </c>
      <c r="H323" s="5">
        <v>1040</v>
      </c>
      <c r="I323" s="6">
        <v>2786</v>
      </c>
      <c r="J323" s="6">
        <v>2810</v>
      </c>
      <c r="K323" s="5">
        <v>19245</v>
      </c>
      <c r="L323" s="90">
        <f t="shared" si="9"/>
        <v>801.875</v>
      </c>
      <c r="M323" s="91">
        <f t="shared" si="12"/>
        <v>24</v>
      </c>
      <c r="N323" s="5">
        <v>0</v>
      </c>
      <c r="O323" s="5">
        <v>0</v>
      </c>
      <c r="P323" s="5">
        <v>0</v>
      </c>
      <c r="Q323" s="5">
        <f t="shared" si="10"/>
        <v>24</v>
      </c>
      <c r="R323" s="5">
        <v>0</v>
      </c>
      <c r="S323" s="5">
        <v>0</v>
      </c>
      <c r="T323" s="5" t="s">
        <v>30</v>
      </c>
      <c r="U323" s="5" t="s">
        <v>31</v>
      </c>
      <c r="V323" s="6">
        <v>169356</v>
      </c>
      <c r="W323" s="5" t="s">
        <v>31</v>
      </c>
      <c r="X323" s="8">
        <v>1</v>
      </c>
      <c r="Y323" s="18"/>
      <c r="Z323" s="96"/>
    </row>
    <row r="324" spans="1:26" x14ac:dyDescent="0.3">
      <c r="A324" s="3">
        <v>46256</v>
      </c>
      <c r="B324" s="4" t="s">
        <v>25</v>
      </c>
      <c r="C324" s="5" t="s">
        <v>26</v>
      </c>
      <c r="D324" s="5" t="s">
        <v>27</v>
      </c>
      <c r="E324" s="5" t="s">
        <v>28</v>
      </c>
      <c r="F324" s="5" t="s">
        <v>47</v>
      </c>
      <c r="G324" s="5">
        <v>1050</v>
      </c>
      <c r="H324" s="5">
        <v>740</v>
      </c>
      <c r="I324" s="6">
        <v>1796</v>
      </c>
      <c r="J324" s="6">
        <v>1820</v>
      </c>
      <c r="K324" s="5">
        <v>14430</v>
      </c>
      <c r="L324" s="90">
        <f t="shared" si="9"/>
        <v>601.25</v>
      </c>
      <c r="M324" s="91">
        <f t="shared" si="12"/>
        <v>24</v>
      </c>
      <c r="N324" s="5">
        <v>0</v>
      </c>
      <c r="O324" s="5">
        <v>0</v>
      </c>
      <c r="P324" s="5">
        <v>0</v>
      </c>
      <c r="Q324" s="5">
        <f t="shared" si="10"/>
        <v>24</v>
      </c>
      <c r="R324" s="5">
        <v>0</v>
      </c>
      <c r="S324" s="5">
        <v>0</v>
      </c>
      <c r="T324" s="5" t="s">
        <v>30</v>
      </c>
      <c r="U324" s="5" t="s">
        <v>31</v>
      </c>
      <c r="V324" s="19">
        <v>126984</v>
      </c>
      <c r="W324" s="5" t="s">
        <v>31</v>
      </c>
      <c r="X324" s="8">
        <v>1</v>
      </c>
      <c r="Y324" s="18"/>
      <c r="Z324" s="96"/>
    </row>
    <row r="325" spans="1:26" x14ac:dyDescent="0.3">
      <c r="A325" s="3">
        <v>46256</v>
      </c>
      <c r="B325" s="4" t="s">
        <v>25</v>
      </c>
      <c r="C325" s="9" t="s">
        <v>26</v>
      </c>
      <c r="D325" s="9" t="s">
        <v>27</v>
      </c>
      <c r="E325" s="9" t="s">
        <v>37</v>
      </c>
      <c r="F325" s="9" t="s">
        <v>39</v>
      </c>
      <c r="G325" s="9">
        <v>500</v>
      </c>
      <c r="H325" s="9">
        <v>360</v>
      </c>
      <c r="I325" s="9">
        <v>15338</v>
      </c>
      <c r="J325" s="9">
        <v>15338</v>
      </c>
      <c r="K325" s="9">
        <v>0</v>
      </c>
      <c r="L325" s="92">
        <f t="shared" si="9"/>
        <v>0</v>
      </c>
      <c r="M325" s="93">
        <f t="shared" si="12"/>
        <v>0</v>
      </c>
      <c r="N325" s="9">
        <v>24</v>
      </c>
      <c r="O325" s="9">
        <v>0</v>
      </c>
      <c r="P325" s="9">
        <v>0</v>
      </c>
      <c r="Q325" s="9">
        <f t="shared" si="10"/>
        <v>24</v>
      </c>
      <c r="R325" s="9">
        <v>0</v>
      </c>
      <c r="S325" s="9">
        <v>0</v>
      </c>
      <c r="T325" s="9" t="s">
        <v>38</v>
      </c>
      <c r="U325" s="9" t="s">
        <v>31</v>
      </c>
      <c r="V325" s="16">
        <v>0</v>
      </c>
      <c r="W325" s="9" t="s">
        <v>31</v>
      </c>
      <c r="X325" s="11">
        <v>1</v>
      </c>
      <c r="Y325" s="20"/>
      <c r="Z325" s="96"/>
    </row>
    <row r="326" spans="1:26" x14ac:dyDescent="0.3">
      <c r="A326" s="3">
        <v>46256</v>
      </c>
      <c r="B326" s="4" t="s">
        <v>25</v>
      </c>
      <c r="C326" s="9" t="s">
        <v>26</v>
      </c>
      <c r="D326" s="9" t="s">
        <v>27</v>
      </c>
      <c r="E326" s="9" t="s">
        <v>37</v>
      </c>
      <c r="F326" s="9" t="s">
        <v>40</v>
      </c>
      <c r="G326" s="9">
        <v>1000</v>
      </c>
      <c r="H326" s="9">
        <v>800</v>
      </c>
      <c r="I326" s="9">
        <v>3641</v>
      </c>
      <c r="J326" s="9">
        <v>3641</v>
      </c>
      <c r="K326" s="9">
        <v>0</v>
      </c>
      <c r="L326" s="92">
        <f t="shared" si="9"/>
        <v>0</v>
      </c>
      <c r="M326" s="93">
        <f t="shared" si="12"/>
        <v>0</v>
      </c>
      <c r="N326" s="9">
        <v>24</v>
      </c>
      <c r="O326" s="9">
        <v>0</v>
      </c>
      <c r="P326" s="9">
        <v>0</v>
      </c>
      <c r="Q326" s="9">
        <f t="shared" si="10"/>
        <v>24</v>
      </c>
      <c r="R326" s="9">
        <v>0</v>
      </c>
      <c r="S326" s="9">
        <v>0</v>
      </c>
      <c r="T326" s="9" t="s">
        <v>38</v>
      </c>
      <c r="U326" s="9" t="s">
        <v>31</v>
      </c>
      <c r="V326" s="16">
        <v>0</v>
      </c>
      <c r="W326" s="9" t="s">
        <v>31</v>
      </c>
      <c r="X326" s="11">
        <v>1</v>
      </c>
      <c r="Y326" s="20"/>
      <c r="Z326" s="96"/>
    </row>
    <row r="327" spans="1:26" x14ac:dyDescent="0.3">
      <c r="A327" s="3">
        <v>46256</v>
      </c>
      <c r="B327" s="4" t="s">
        <v>25</v>
      </c>
      <c r="C327" s="9" t="s">
        <v>26</v>
      </c>
      <c r="D327" s="9" t="s">
        <v>27</v>
      </c>
      <c r="E327" s="9" t="s">
        <v>37</v>
      </c>
      <c r="F327" s="9" t="s">
        <v>41</v>
      </c>
      <c r="G327" s="9">
        <v>1000</v>
      </c>
      <c r="H327" s="9">
        <v>800</v>
      </c>
      <c r="I327" s="9">
        <v>2526</v>
      </c>
      <c r="J327" s="9">
        <v>2526</v>
      </c>
      <c r="K327" s="9">
        <v>0</v>
      </c>
      <c r="L327" s="92">
        <f t="shared" si="9"/>
        <v>0</v>
      </c>
      <c r="M327" s="93">
        <f t="shared" si="12"/>
        <v>0</v>
      </c>
      <c r="N327" s="9">
        <v>24</v>
      </c>
      <c r="O327" s="9">
        <v>0</v>
      </c>
      <c r="P327" s="9">
        <v>0</v>
      </c>
      <c r="Q327" s="9">
        <f t="shared" si="10"/>
        <v>24</v>
      </c>
      <c r="R327" s="9">
        <v>0</v>
      </c>
      <c r="S327" s="9">
        <v>0</v>
      </c>
      <c r="T327" s="9" t="s">
        <v>38</v>
      </c>
      <c r="U327" s="9" t="s">
        <v>31</v>
      </c>
      <c r="V327" s="16">
        <v>0</v>
      </c>
      <c r="W327" s="9" t="s">
        <v>31</v>
      </c>
      <c r="X327" s="11">
        <v>1</v>
      </c>
      <c r="Y327" s="20"/>
      <c r="Z327" s="96"/>
    </row>
    <row r="328" spans="1:26" x14ac:dyDescent="0.3">
      <c r="A328" s="3">
        <v>46256</v>
      </c>
      <c r="B328" s="4" t="s">
        <v>25</v>
      </c>
      <c r="C328" s="12" t="s">
        <v>42</v>
      </c>
      <c r="D328" s="12" t="s">
        <v>27</v>
      </c>
      <c r="E328" s="12" t="s">
        <v>43</v>
      </c>
      <c r="F328" s="12" t="s">
        <v>44</v>
      </c>
      <c r="G328" s="12">
        <v>600</v>
      </c>
      <c r="H328" s="12">
        <v>350</v>
      </c>
      <c r="I328" s="12">
        <v>6850</v>
      </c>
      <c r="J328" s="12">
        <v>6874</v>
      </c>
      <c r="K328" s="12">
        <v>9598</v>
      </c>
      <c r="L328" s="94">
        <f t="shared" si="9"/>
        <v>399.91666666666669</v>
      </c>
      <c r="M328" s="12">
        <f t="shared" si="12"/>
        <v>24</v>
      </c>
      <c r="N328" s="12">
        <v>0</v>
      </c>
      <c r="O328" s="12">
        <v>0</v>
      </c>
      <c r="P328" s="12">
        <v>0</v>
      </c>
      <c r="Q328" s="12">
        <f t="shared" si="10"/>
        <v>24</v>
      </c>
      <c r="R328" s="12">
        <v>0</v>
      </c>
      <c r="S328" s="12">
        <v>0</v>
      </c>
      <c r="T328" s="12" t="s">
        <v>30</v>
      </c>
      <c r="U328" s="12" t="s">
        <v>31</v>
      </c>
      <c r="V328" s="14">
        <v>84462</v>
      </c>
      <c r="W328" s="12" t="s">
        <v>31</v>
      </c>
      <c r="X328" s="15">
        <v>1</v>
      </c>
      <c r="Y328" s="17"/>
      <c r="Z328" s="96"/>
    </row>
    <row r="329" spans="1:26" x14ac:dyDescent="0.3">
      <c r="A329" s="3">
        <v>46256</v>
      </c>
      <c r="B329" s="4" t="s">
        <v>25</v>
      </c>
      <c r="C329" s="12" t="s">
        <v>42</v>
      </c>
      <c r="D329" s="12" t="s">
        <v>27</v>
      </c>
      <c r="E329" s="12" t="s">
        <v>43</v>
      </c>
      <c r="F329" s="12" t="s">
        <v>45</v>
      </c>
      <c r="G329" s="12">
        <v>600</v>
      </c>
      <c r="H329" s="12">
        <v>350</v>
      </c>
      <c r="I329" s="12">
        <v>6779</v>
      </c>
      <c r="J329" s="12">
        <v>6803</v>
      </c>
      <c r="K329" s="12">
        <v>8398</v>
      </c>
      <c r="L329" s="94">
        <f t="shared" si="9"/>
        <v>349.91666666666669</v>
      </c>
      <c r="M329" s="12">
        <f t="shared" si="12"/>
        <v>24</v>
      </c>
      <c r="N329" s="12">
        <v>0</v>
      </c>
      <c r="O329" s="12">
        <v>0</v>
      </c>
      <c r="P329" s="12">
        <v>0</v>
      </c>
      <c r="Q329" s="12">
        <f t="shared" si="10"/>
        <v>24</v>
      </c>
      <c r="R329" s="12">
        <v>0</v>
      </c>
      <c r="S329" s="12">
        <v>0</v>
      </c>
      <c r="T329" s="12" t="s">
        <v>30</v>
      </c>
      <c r="U329" s="12" t="s">
        <v>31</v>
      </c>
      <c r="V329" s="14">
        <v>73902</v>
      </c>
      <c r="W329" s="12" t="s">
        <v>31</v>
      </c>
      <c r="X329" s="15">
        <v>1</v>
      </c>
      <c r="Y329" s="17"/>
      <c r="Z329" s="96"/>
    </row>
    <row r="330" spans="1:26" ht="51" x14ac:dyDescent="0.3">
      <c r="A330" s="3">
        <v>46256</v>
      </c>
      <c r="B330" s="4" t="s">
        <v>25</v>
      </c>
      <c r="C330" s="12" t="s">
        <v>26</v>
      </c>
      <c r="D330" s="12" t="s">
        <v>27</v>
      </c>
      <c r="E330" s="12" t="s">
        <v>43</v>
      </c>
      <c r="F330" s="12" t="s">
        <v>163</v>
      </c>
      <c r="G330" s="12">
        <v>600</v>
      </c>
      <c r="H330" s="12">
        <v>450</v>
      </c>
      <c r="I330" s="12">
        <v>4751</v>
      </c>
      <c r="J330" s="12">
        <v>4765</v>
      </c>
      <c r="K330" s="12">
        <v>5109</v>
      </c>
      <c r="L330" s="94">
        <f t="shared" si="9"/>
        <v>212.875</v>
      </c>
      <c r="M330" s="12">
        <f t="shared" si="12"/>
        <v>14</v>
      </c>
      <c r="N330" s="12">
        <v>10</v>
      </c>
      <c r="O330" s="12">
        <v>0</v>
      </c>
      <c r="P330" s="12">
        <v>0</v>
      </c>
      <c r="Q330" s="12">
        <f t="shared" si="10"/>
        <v>24</v>
      </c>
      <c r="R330" s="12">
        <v>0</v>
      </c>
      <c r="S330" s="12">
        <v>0</v>
      </c>
      <c r="T330" s="12" t="s">
        <v>30</v>
      </c>
      <c r="U330" s="12" t="s">
        <v>31</v>
      </c>
      <c r="V330" s="14">
        <v>44959</v>
      </c>
      <c r="W330" s="12" t="s">
        <v>31</v>
      </c>
      <c r="X330" s="15">
        <v>1</v>
      </c>
      <c r="Y330" s="17" t="s">
        <v>322</v>
      </c>
      <c r="Z330" s="96"/>
    </row>
    <row r="331" spans="1:26" ht="31.8" x14ac:dyDescent="0.3">
      <c r="A331" s="3">
        <v>46256</v>
      </c>
      <c r="B331" s="4" t="s">
        <v>25</v>
      </c>
      <c r="C331" s="12" t="s">
        <v>26</v>
      </c>
      <c r="D331" s="12" t="s">
        <v>27</v>
      </c>
      <c r="E331" s="12" t="s">
        <v>43</v>
      </c>
      <c r="F331" s="12" t="s">
        <v>164</v>
      </c>
      <c r="G331" s="12">
        <v>600</v>
      </c>
      <c r="H331" s="12">
        <v>450</v>
      </c>
      <c r="I331" s="12">
        <v>948</v>
      </c>
      <c r="J331" s="12">
        <v>972</v>
      </c>
      <c r="K331" s="12">
        <v>8567</v>
      </c>
      <c r="L331" s="94">
        <f t="shared" si="9"/>
        <v>356.95833333333331</v>
      </c>
      <c r="M331" s="12">
        <f t="shared" si="12"/>
        <v>24</v>
      </c>
      <c r="N331" s="12">
        <v>0</v>
      </c>
      <c r="O331" s="12">
        <v>0</v>
      </c>
      <c r="P331" s="12">
        <v>0</v>
      </c>
      <c r="Q331" s="12">
        <f t="shared" si="10"/>
        <v>24</v>
      </c>
      <c r="R331" s="12">
        <v>0</v>
      </c>
      <c r="S331" s="12">
        <v>0</v>
      </c>
      <c r="T331" s="12" t="s">
        <v>30</v>
      </c>
      <c r="U331" s="12" t="s">
        <v>31</v>
      </c>
      <c r="V331" s="14">
        <v>75390</v>
      </c>
      <c r="W331" s="12" t="s">
        <v>31</v>
      </c>
      <c r="X331" s="15">
        <v>1</v>
      </c>
      <c r="Y331" s="76" t="s">
        <v>323</v>
      </c>
      <c r="Z331" s="96"/>
    </row>
    <row r="332" spans="1:26" ht="30.6" x14ac:dyDescent="0.3">
      <c r="A332" s="3">
        <v>46256</v>
      </c>
      <c r="B332" s="4" t="s">
        <v>25</v>
      </c>
      <c r="C332" s="12" t="s">
        <v>26</v>
      </c>
      <c r="D332" s="12" t="s">
        <v>27</v>
      </c>
      <c r="E332" s="12" t="s">
        <v>43</v>
      </c>
      <c r="F332" s="12" t="s">
        <v>165</v>
      </c>
      <c r="G332" s="12">
        <v>600</v>
      </c>
      <c r="H332" s="12">
        <v>450</v>
      </c>
      <c r="I332" s="12">
        <v>932</v>
      </c>
      <c r="J332" s="12">
        <v>946</v>
      </c>
      <c r="K332" s="12">
        <v>4969</v>
      </c>
      <c r="L332" s="94">
        <f t="shared" si="9"/>
        <v>207.04166666666666</v>
      </c>
      <c r="M332" s="12">
        <f t="shared" si="12"/>
        <v>14</v>
      </c>
      <c r="N332" s="12">
        <v>10</v>
      </c>
      <c r="O332" s="12">
        <v>0</v>
      </c>
      <c r="P332" s="12">
        <v>0</v>
      </c>
      <c r="Q332" s="12">
        <f t="shared" si="10"/>
        <v>24</v>
      </c>
      <c r="R332" s="12">
        <v>0</v>
      </c>
      <c r="S332" s="12">
        <v>0</v>
      </c>
      <c r="T332" s="12" t="s">
        <v>30</v>
      </c>
      <c r="U332" s="12" t="s">
        <v>31</v>
      </c>
      <c r="V332" s="14">
        <v>43727</v>
      </c>
      <c r="W332" s="12" t="s">
        <v>31</v>
      </c>
      <c r="X332" s="15">
        <v>1</v>
      </c>
      <c r="Y332" s="17" t="s">
        <v>324</v>
      </c>
      <c r="Z332" s="96"/>
    </row>
  </sheetData>
  <autoFilter ref="A2:Y332" xr:uid="{2C7B7D69-4357-4326-B377-30D7548D0BA3}"/>
  <mergeCells count="22">
    <mergeCell ref="Z181:Z195"/>
    <mergeCell ref="Z16:Z30"/>
    <mergeCell ref="Z31:Z45"/>
    <mergeCell ref="Z46:Z60"/>
    <mergeCell ref="Z61:Z75"/>
    <mergeCell ref="Z76:Z90"/>
    <mergeCell ref="Z91:Z105"/>
    <mergeCell ref="Z106:Z120"/>
    <mergeCell ref="Z121:Z135"/>
    <mergeCell ref="Z136:Z150"/>
    <mergeCell ref="Z151:Z165"/>
    <mergeCell ref="Z166:Z180"/>
    <mergeCell ref="Z271:Z285"/>
    <mergeCell ref="Z286:Z300"/>
    <mergeCell ref="Z301:Z315"/>
    <mergeCell ref="Z316:Z330"/>
    <mergeCell ref="Z331:Z332"/>
    <mergeCell ref="Z196:Z210"/>
    <mergeCell ref="Z211:Z225"/>
    <mergeCell ref="Z226:Z240"/>
    <mergeCell ref="Z241:Z255"/>
    <mergeCell ref="Z256:Z2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03D1-FD6E-44F2-85B9-9C7B9C41E52B}">
  <dimension ref="A2:P28"/>
  <sheetViews>
    <sheetView tabSelected="1" topLeftCell="I4" zoomScale="115" zoomScaleNormal="115" workbookViewId="0">
      <selection activeCell="P4" sqref="P4"/>
    </sheetView>
  </sheetViews>
  <sheetFormatPr baseColWidth="10" defaultRowHeight="14.4" x14ac:dyDescent="0.3"/>
  <cols>
    <col min="1" max="1" width="25.33203125" bestFit="1" customWidth="1"/>
    <col min="2" max="2" width="23.33203125" bestFit="1" customWidth="1"/>
    <col min="3" max="3" width="21.21875" bestFit="1" customWidth="1"/>
    <col min="4" max="4" width="23.21875" bestFit="1" customWidth="1"/>
    <col min="5" max="5" width="28.44140625" bestFit="1" customWidth="1"/>
    <col min="6" max="6" width="28" bestFit="1" customWidth="1"/>
    <col min="7" max="7" width="17.88671875" bestFit="1" customWidth="1"/>
    <col min="8" max="8" width="22.33203125" bestFit="1" customWidth="1"/>
    <col min="9" max="9" width="28.5546875" bestFit="1" customWidth="1"/>
    <col min="10" max="10" width="38.21875" bestFit="1" customWidth="1"/>
    <col min="11" max="11" width="26.88671875" bestFit="1" customWidth="1"/>
    <col min="12" max="12" width="24.21875" customWidth="1"/>
    <col min="13" max="13" width="14.109375" customWidth="1"/>
    <col min="15" max="15" width="12.77734375" customWidth="1"/>
    <col min="16" max="16" width="22.5546875" customWidth="1"/>
  </cols>
  <sheetData>
    <row r="2" spans="1:16" x14ac:dyDescent="0.3">
      <c r="A2" s="21" t="s">
        <v>19</v>
      </c>
      <c r="B2" t="s">
        <v>168</v>
      </c>
      <c r="C2" t="s">
        <v>59</v>
      </c>
      <c r="D2" s="25">
        <v>744</v>
      </c>
      <c r="N2" s="95" t="s">
        <v>161</v>
      </c>
      <c r="O2" s="95" t="s">
        <v>162</v>
      </c>
    </row>
    <row r="3" spans="1:16" x14ac:dyDescent="0.3">
      <c r="L3" t="e" vm="1">
        <v>#VALUE!</v>
      </c>
      <c r="N3" s="95"/>
      <c r="O3" s="95"/>
    </row>
    <row r="4" spans="1:16" ht="58.8" customHeight="1" x14ac:dyDescent="0.3">
      <c r="A4" s="21" t="s">
        <v>48</v>
      </c>
      <c r="B4" t="s">
        <v>55</v>
      </c>
      <c r="C4" t="s">
        <v>50</v>
      </c>
      <c r="D4" t="s">
        <v>54</v>
      </c>
      <c r="E4" t="s">
        <v>51</v>
      </c>
      <c r="F4" t="s">
        <v>52</v>
      </c>
      <c r="G4" t="s">
        <v>64</v>
      </c>
      <c r="H4" t="s">
        <v>56</v>
      </c>
      <c r="I4" t="s">
        <v>53</v>
      </c>
      <c r="J4" t="s">
        <v>57</v>
      </c>
      <c r="K4" t="s">
        <v>166</v>
      </c>
      <c r="L4" s="84" t="s">
        <v>171</v>
      </c>
      <c r="M4" s="27" t="s">
        <v>60</v>
      </c>
      <c r="N4" s="27" t="s">
        <v>61</v>
      </c>
      <c r="O4" s="27" t="s">
        <v>62</v>
      </c>
      <c r="P4" s="83" t="s">
        <v>170</v>
      </c>
    </row>
    <row r="5" spans="1:16" x14ac:dyDescent="0.3">
      <c r="A5" s="22" t="s">
        <v>29</v>
      </c>
      <c r="B5">
        <v>465</v>
      </c>
      <c r="C5">
        <v>57</v>
      </c>
      <c r="D5">
        <v>0</v>
      </c>
      <c r="E5">
        <v>6</v>
      </c>
      <c r="F5">
        <v>0</v>
      </c>
      <c r="G5">
        <v>528</v>
      </c>
      <c r="H5">
        <v>292328</v>
      </c>
      <c r="I5">
        <v>43</v>
      </c>
      <c r="J5">
        <v>2572487.1999999997</v>
      </c>
      <c r="K5" s="23">
        <v>13287.636363636364</v>
      </c>
      <c r="L5" s="26">
        <f>(SUM(B5:C5)/GETPIVOTDATA("Suma de total horas",$A$4,"TAG de la unidad",A5))</f>
        <v>0.98863636363636365</v>
      </c>
      <c r="M5" s="26">
        <f t="shared" ref="M5:M18" si="0">IFERROR(EXP((-1/N5)*1.6),1)</f>
        <v>1</v>
      </c>
      <c r="N5" s="25">
        <f>IFERROR(((G5-E5-F5-C5)/D5),0)</f>
        <v>0</v>
      </c>
      <c r="O5" s="74">
        <f>IFERROR(F5/D5,0)</f>
        <v>0</v>
      </c>
      <c r="P5" s="26">
        <f>((G5-(E5+F5))/G5)</f>
        <v>0.98863636363636365</v>
      </c>
    </row>
    <row r="6" spans="1:16" x14ac:dyDescent="0.3">
      <c r="A6" s="22" t="s">
        <v>32</v>
      </c>
      <c r="B6">
        <v>386</v>
      </c>
      <c r="C6">
        <v>142</v>
      </c>
      <c r="D6">
        <v>0</v>
      </c>
      <c r="E6">
        <v>0</v>
      </c>
      <c r="F6">
        <v>0</v>
      </c>
      <c r="G6">
        <v>528</v>
      </c>
      <c r="H6">
        <v>243012</v>
      </c>
      <c r="I6">
        <v>38</v>
      </c>
      <c r="J6">
        <v>2138505.6</v>
      </c>
      <c r="K6" s="23">
        <v>11046</v>
      </c>
      <c r="L6" s="26">
        <f t="shared" ref="L6:L19" si="1">(SUM(B6:C6)/GETPIVOTDATA("Suma de total horas",$A$4,"TAG de la unidad",A6))</f>
        <v>1</v>
      </c>
      <c r="M6" s="26">
        <f t="shared" si="0"/>
        <v>1</v>
      </c>
      <c r="N6" s="25">
        <f t="shared" ref="N6:N18" si="2">IFERROR(((G6-E6-F6-C6)/D6),0)</f>
        <v>0</v>
      </c>
      <c r="O6" s="74">
        <f t="shared" ref="O6:O18" si="3">IFERROR(F6/D6,0)</f>
        <v>0</v>
      </c>
      <c r="P6" s="26">
        <f t="shared" ref="P6:P19" si="4">((G6-(E6+F6))/G6)</f>
        <v>1</v>
      </c>
    </row>
    <row r="7" spans="1:16" x14ac:dyDescent="0.3">
      <c r="A7" s="22" t="s">
        <v>33</v>
      </c>
      <c r="B7">
        <v>459</v>
      </c>
      <c r="C7">
        <v>62</v>
      </c>
      <c r="D7">
        <v>0</v>
      </c>
      <c r="E7">
        <v>7</v>
      </c>
      <c r="F7">
        <v>0</v>
      </c>
      <c r="G7">
        <v>528</v>
      </c>
      <c r="H7">
        <v>287674</v>
      </c>
      <c r="I7">
        <v>24</v>
      </c>
      <c r="J7">
        <v>2531532.6</v>
      </c>
      <c r="K7" s="23">
        <v>13076.09090909091</v>
      </c>
      <c r="L7" s="26">
        <f t="shared" si="1"/>
        <v>0.9867424242424242</v>
      </c>
      <c r="M7" s="26">
        <f t="shared" si="0"/>
        <v>1</v>
      </c>
      <c r="N7" s="25">
        <f t="shared" si="2"/>
        <v>0</v>
      </c>
      <c r="O7" s="74">
        <f t="shared" si="3"/>
        <v>0</v>
      </c>
      <c r="P7" s="26">
        <f t="shared" si="4"/>
        <v>0.9867424242424242</v>
      </c>
    </row>
    <row r="8" spans="1:16" x14ac:dyDescent="0.3">
      <c r="A8" s="22" t="s">
        <v>35</v>
      </c>
      <c r="B8">
        <v>453</v>
      </c>
      <c r="C8">
        <v>75</v>
      </c>
      <c r="D8">
        <v>0</v>
      </c>
      <c r="E8">
        <v>0</v>
      </c>
      <c r="F8">
        <v>0</v>
      </c>
      <c r="G8">
        <v>528</v>
      </c>
      <c r="H8">
        <v>342171</v>
      </c>
      <c r="I8">
        <v>5</v>
      </c>
      <c r="J8">
        <v>3011104.8000000003</v>
      </c>
      <c r="K8" s="23">
        <v>15553.227272727272</v>
      </c>
      <c r="L8" s="26">
        <f t="shared" si="1"/>
        <v>1</v>
      </c>
      <c r="M8" s="26">
        <f t="shared" si="0"/>
        <v>1</v>
      </c>
      <c r="N8" s="25">
        <f t="shared" si="2"/>
        <v>0</v>
      </c>
      <c r="O8" s="74">
        <f t="shared" si="3"/>
        <v>0</v>
      </c>
      <c r="P8" s="26">
        <f t="shared" si="4"/>
        <v>1</v>
      </c>
    </row>
    <row r="9" spans="1:16" x14ac:dyDescent="0.3">
      <c r="A9" s="22" t="s">
        <v>36</v>
      </c>
      <c r="B9">
        <v>474</v>
      </c>
      <c r="C9">
        <v>54</v>
      </c>
      <c r="D9">
        <v>0</v>
      </c>
      <c r="E9">
        <v>0</v>
      </c>
      <c r="F9">
        <v>0</v>
      </c>
      <c r="G9">
        <v>528</v>
      </c>
      <c r="H9">
        <v>366816</v>
      </c>
      <c r="I9">
        <v>14</v>
      </c>
      <c r="J9">
        <v>3227981.4</v>
      </c>
      <c r="K9" s="23">
        <v>16673.454545454544</v>
      </c>
      <c r="L9" s="26">
        <f t="shared" si="1"/>
        <v>1</v>
      </c>
      <c r="M9" s="26">
        <f t="shared" si="0"/>
        <v>1</v>
      </c>
      <c r="N9" s="25">
        <f t="shared" si="2"/>
        <v>0</v>
      </c>
      <c r="O9" s="74">
        <f t="shared" si="3"/>
        <v>0</v>
      </c>
      <c r="P9" s="26">
        <f t="shared" si="4"/>
        <v>1</v>
      </c>
    </row>
    <row r="10" spans="1:16" x14ac:dyDescent="0.3">
      <c r="A10" s="22" t="s">
        <v>46</v>
      </c>
      <c r="B10">
        <v>441</v>
      </c>
      <c r="C10">
        <v>79</v>
      </c>
      <c r="D10">
        <v>0</v>
      </c>
      <c r="E10">
        <v>8</v>
      </c>
      <c r="F10">
        <v>0</v>
      </c>
      <c r="G10">
        <v>528</v>
      </c>
      <c r="H10">
        <v>338404</v>
      </c>
      <c r="I10">
        <v>41</v>
      </c>
      <c r="J10">
        <v>2977955.2</v>
      </c>
      <c r="K10" s="23">
        <v>15382</v>
      </c>
      <c r="L10" s="26">
        <f t="shared" si="1"/>
        <v>0.98484848484848486</v>
      </c>
      <c r="M10" s="26">
        <f t="shared" si="0"/>
        <v>1</v>
      </c>
      <c r="N10" s="25">
        <f t="shared" si="2"/>
        <v>0</v>
      </c>
      <c r="O10" s="74">
        <f t="shared" si="3"/>
        <v>0</v>
      </c>
      <c r="P10" s="26">
        <f t="shared" si="4"/>
        <v>0.98484848484848486</v>
      </c>
    </row>
    <row r="11" spans="1:16" x14ac:dyDescent="0.3">
      <c r="A11" s="22" t="s">
        <v>47</v>
      </c>
      <c r="B11">
        <v>480</v>
      </c>
      <c r="C11">
        <v>42</v>
      </c>
      <c r="D11">
        <v>0</v>
      </c>
      <c r="E11">
        <v>6</v>
      </c>
      <c r="F11">
        <v>0</v>
      </c>
      <c r="G11">
        <v>528</v>
      </c>
      <c r="H11">
        <v>284496</v>
      </c>
      <c r="I11">
        <v>21</v>
      </c>
      <c r="J11">
        <v>2503564.8000000003</v>
      </c>
      <c r="K11" s="23">
        <v>12931.636363636364</v>
      </c>
      <c r="L11" s="26">
        <f t="shared" si="1"/>
        <v>0.98863636363636365</v>
      </c>
      <c r="M11" s="26">
        <f t="shared" si="0"/>
        <v>1</v>
      </c>
      <c r="N11" s="25">
        <f t="shared" si="2"/>
        <v>0</v>
      </c>
      <c r="O11" s="74">
        <f t="shared" si="3"/>
        <v>0</v>
      </c>
      <c r="P11" s="26">
        <f t="shared" si="4"/>
        <v>0.98863636363636365</v>
      </c>
    </row>
    <row r="12" spans="1:16" x14ac:dyDescent="0.3">
      <c r="A12" s="22" t="s">
        <v>163</v>
      </c>
      <c r="B12">
        <v>392</v>
      </c>
      <c r="C12">
        <v>128</v>
      </c>
      <c r="D12">
        <v>0</v>
      </c>
      <c r="E12">
        <v>8</v>
      </c>
      <c r="F12">
        <v>0</v>
      </c>
      <c r="G12">
        <v>528</v>
      </c>
      <c r="H12">
        <v>143331</v>
      </c>
      <c r="I12">
        <v>54</v>
      </c>
      <c r="J12">
        <v>1261312.2000000004</v>
      </c>
      <c r="K12" s="23">
        <v>6515.045454545455</v>
      </c>
      <c r="L12" s="26">
        <f t="shared" si="1"/>
        <v>0.98484848484848486</v>
      </c>
      <c r="M12" s="26">
        <f t="shared" si="0"/>
        <v>1</v>
      </c>
      <c r="N12" s="25">
        <f t="shared" si="2"/>
        <v>0</v>
      </c>
      <c r="O12" s="74">
        <f t="shared" si="3"/>
        <v>0</v>
      </c>
      <c r="P12" s="26">
        <f t="shared" si="4"/>
        <v>0.98484848484848486</v>
      </c>
    </row>
    <row r="13" spans="1:16" x14ac:dyDescent="0.3">
      <c r="A13" s="22" t="s">
        <v>164</v>
      </c>
      <c r="B13">
        <v>456</v>
      </c>
      <c r="C13">
        <v>65</v>
      </c>
      <c r="D13">
        <v>0</v>
      </c>
      <c r="E13">
        <v>7</v>
      </c>
      <c r="F13">
        <v>0</v>
      </c>
      <c r="G13">
        <v>528</v>
      </c>
      <c r="H13">
        <v>166590</v>
      </c>
      <c r="I13">
        <v>39</v>
      </c>
      <c r="J13">
        <v>1465987.4</v>
      </c>
      <c r="K13" s="23">
        <v>7572.272727272727</v>
      </c>
      <c r="L13" s="26">
        <f t="shared" si="1"/>
        <v>0.9867424242424242</v>
      </c>
      <c r="M13" s="26">
        <f t="shared" si="0"/>
        <v>1</v>
      </c>
      <c r="N13" s="25">
        <f t="shared" si="2"/>
        <v>0</v>
      </c>
      <c r="O13" s="74">
        <f t="shared" si="3"/>
        <v>0</v>
      </c>
      <c r="P13" s="26">
        <f t="shared" si="4"/>
        <v>0.9867424242424242</v>
      </c>
    </row>
    <row r="14" spans="1:16" x14ac:dyDescent="0.3">
      <c r="A14" s="22" t="s">
        <v>165</v>
      </c>
      <c r="B14">
        <v>295</v>
      </c>
      <c r="C14">
        <v>225</v>
      </c>
      <c r="D14">
        <v>0</v>
      </c>
      <c r="E14">
        <v>8</v>
      </c>
      <c r="F14">
        <v>0</v>
      </c>
      <c r="G14">
        <v>528</v>
      </c>
      <c r="H14">
        <v>104796</v>
      </c>
      <c r="I14">
        <v>78</v>
      </c>
      <c r="J14">
        <v>922206.00000000012</v>
      </c>
      <c r="K14" s="23">
        <v>4763.454545454545</v>
      </c>
      <c r="L14" s="26">
        <f t="shared" si="1"/>
        <v>0.98484848484848486</v>
      </c>
      <c r="M14" s="26">
        <f t="shared" si="0"/>
        <v>1</v>
      </c>
      <c r="N14" s="25">
        <f t="shared" si="2"/>
        <v>0</v>
      </c>
      <c r="O14" s="74">
        <f t="shared" si="3"/>
        <v>0</v>
      </c>
      <c r="P14" s="26">
        <f t="shared" si="4"/>
        <v>0.98484848484848486</v>
      </c>
    </row>
    <row r="15" spans="1:16" x14ac:dyDescent="0.3">
      <c r="A15" s="22" t="s">
        <v>39</v>
      </c>
      <c r="B15">
        <v>110</v>
      </c>
      <c r="C15">
        <v>418</v>
      </c>
      <c r="D15">
        <v>0</v>
      </c>
      <c r="E15">
        <v>0</v>
      </c>
      <c r="F15">
        <v>0</v>
      </c>
      <c r="G15">
        <v>528</v>
      </c>
      <c r="H15">
        <v>38427</v>
      </c>
      <c r="I15">
        <v>0</v>
      </c>
      <c r="J15">
        <v>2123</v>
      </c>
      <c r="K15" s="23">
        <v>1746.6818181818182</v>
      </c>
      <c r="L15" s="26">
        <f t="shared" si="1"/>
        <v>1</v>
      </c>
      <c r="M15" s="26">
        <f t="shared" si="0"/>
        <v>1</v>
      </c>
      <c r="N15" s="25">
        <f t="shared" si="2"/>
        <v>0</v>
      </c>
      <c r="O15" s="74">
        <f t="shared" si="3"/>
        <v>0</v>
      </c>
      <c r="P15" s="26">
        <f t="shared" si="4"/>
        <v>1</v>
      </c>
    </row>
    <row r="16" spans="1:16" x14ac:dyDescent="0.3">
      <c r="A16" s="22" t="s">
        <v>40</v>
      </c>
      <c r="B16">
        <v>110</v>
      </c>
      <c r="C16">
        <v>418</v>
      </c>
      <c r="D16">
        <v>0</v>
      </c>
      <c r="E16">
        <v>0</v>
      </c>
      <c r="F16">
        <v>0</v>
      </c>
      <c r="G16">
        <v>528</v>
      </c>
      <c r="H16">
        <v>85209</v>
      </c>
      <c r="I16">
        <v>0</v>
      </c>
      <c r="J16">
        <v>5294</v>
      </c>
      <c r="K16" s="23">
        <v>3873.1363636363635</v>
      </c>
      <c r="L16" s="26">
        <f t="shared" si="1"/>
        <v>1</v>
      </c>
      <c r="M16" s="26">
        <f t="shared" si="0"/>
        <v>1</v>
      </c>
      <c r="N16" s="25">
        <f t="shared" si="2"/>
        <v>0</v>
      </c>
      <c r="O16" s="74">
        <f t="shared" si="3"/>
        <v>0</v>
      </c>
      <c r="P16" s="26">
        <f t="shared" si="4"/>
        <v>1</v>
      </c>
    </row>
    <row r="17" spans="1:16" x14ac:dyDescent="0.3">
      <c r="A17" s="22" t="s">
        <v>41</v>
      </c>
      <c r="B17">
        <v>120</v>
      </c>
      <c r="C17">
        <v>408</v>
      </c>
      <c r="D17">
        <v>0</v>
      </c>
      <c r="E17">
        <v>0</v>
      </c>
      <c r="F17">
        <v>0</v>
      </c>
      <c r="G17">
        <v>528</v>
      </c>
      <c r="H17">
        <v>91530</v>
      </c>
      <c r="I17">
        <v>0</v>
      </c>
      <c r="J17">
        <v>5125</v>
      </c>
      <c r="K17" s="23">
        <v>4160.454545454545</v>
      </c>
      <c r="L17" s="26">
        <f t="shared" si="1"/>
        <v>1</v>
      </c>
      <c r="M17" s="26">
        <f t="shared" si="0"/>
        <v>1</v>
      </c>
      <c r="N17" s="25">
        <f t="shared" si="2"/>
        <v>0</v>
      </c>
      <c r="O17" s="74">
        <f t="shared" si="3"/>
        <v>0</v>
      </c>
      <c r="P17" s="26">
        <f t="shared" si="4"/>
        <v>1</v>
      </c>
    </row>
    <row r="18" spans="1:16" x14ac:dyDescent="0.3">
      <c r="A18" s="22" t="s">
        <v>44</v>
      </c>
      <c r="B18">
        <v>489</v>
      </c>
      <c r="C18">
        <v>23</v>
      </c>
      <c r="D18">
        <v>0</v>
      </c>
      <c r="E18">
        <v>16</v>
      </c>
      <c r="F18">
        <v>0</v>
      </c>
      <c r="G18">
        <v>528</v>
      </c>
      <c r="H18">
        <v>174954</v>
      </c>
      <c r="I18">
        <v>17</v>
      </c>
      <c r="J18">
        <v>1539595.4000000001</v>
      </c>
      <c r="K18" s="23">
        <v>7952.454545454545</v>
      </c>
      <c r="L18" s="26">
        <f t="shared" si="1"/>
        <v>0.96969696969696972</v>
      </c>
      <c r="M18" s="26">
        <f t="shared" si="0"/>
        <v>1</v>
      </c>
      <c r="N18" s="25">
        <f t="shared" si="2"/>
        <v>0</v>
      </c>
      <c r="O18" s="74">
        <f t="shared" si="3"/>
        <v>0</v>
      </c>
      <c r="P18" s="26">
        <f t="shared" si="4"/>
        <v>0.96969696969696972</v>
      </c>
    </row>
    <row r="19" spans="1:16" x14ac:dyDescent="0.3">
      <c r="A19" s="22" t="s">
        <v>45</v>
      </c>
      <c r="B19">
        <v>508</v>
      </c>
      <c r="C19">
        <v>13</v>
      </c>
      <c r="D19">
        <v>0</v>
      </c>
      <c r="E19">
        <v>7</v>
      </c>
      <c r="F19">
        <v>0</v>
      </c>
      <c r="G19">
        <v>528</v>
      </c>
      <c r="H19">
        <v>175295</v>
      </c>
      <c r="I19">
        <v>0</v>
      </c>
      <c r="J19">
        <v>1542596.2000000002</v>
      </c>
      <c r="K19" s="23">
        <v>7967.954545454545</v>
      </c>
      <c r="L19" s="26">
        <f t="shared" si="1"/>
        <v>0.9867424242424242</v>
      </c>
      <c r="M19" s="26">
        <f t="shared" ref="M19:M20" si="5">IFERROR(EXP((-1/N19)*1.6),1)</f>
        <v>1</v>
      </c>
      <c r="N19" s="25">
        <f t="shared" ref="N19:N20" si="6">IFERROR(((G19-E19-F19-C19)/D19),0)</f>
        <v>0</v>
      </c>
      <c r="O19" s="74">
        <f t="shared" ref="O19:O20" si="7">IFERROR(F19/D19,0)</f>
        <v>0</v>
      </c>
      <c r="P19" s="26">
        <f t="shared" si="4"/>
        <v>0.9867424242424242</v>
      </c>
    </row>
    <row r="20" spans="1:16" x14ac:dyDescent="0.3">
      <c r="A20" s="22" t="s">
        <v>49</v>
      </c>
      <c r="B20">
        <v>5638</v>
      </c>
      <c r="C20">
        <v>2209</v>
      </c>
      <c r="D20">
        <v>0</v>
      </c>
      <c r="E20">
        <v>73</v>
      </c>
      <c r="F20">
        <v>0</v>
      </c>
      <c r="G20">
        <v>7920</v>
      </c>
      <c r="H20">
        <v>3135033</v>
      </c>
      <c r="I20">
        <v>374</v>
      </c>
      <c r="J20">
        <v>25707370.800000008</v>
      </c>
      <c r="K20" s="23">
        <v>9500.1</v>
      </c>
      <c r="L20" s="26"/>
      <c r="M20" s="26">
        <f t="shared" si="5"/>
        <v>1</v>
      </c>
      <c r="N20" s="25">
        <f t="shared" si="6"/>
        <v>0</v>
      </c>
      <c r="O20" s="74">
        <f t="shared" si="7"/>
        <v>0</v>
      </c>
    </row>
    <row r="21" spans="1:16" x14ac:dyDescent="0.3">
      <c r="L21" s="26"/>
      <c r="M21" s="73"/>
      <c r="N21" s="25"/>
      <c r="O21" s="25"/>
    </row>
    <row r="22" spans="1:16" x14ac:dyDescent="0.3">
      <c r="E22" s="81">
        <f>SUM(B5:C5)/GETPIVOTDATA("Suma de total horas",$A$4,"TAG de la unidad","CPW-01")</f>
        <v>0.98863636363636365</v>
      </c>
      <c r="L22" s="73"/>
      <c r="M22" s="73"/>
      <c r="N22" s="25"/>
      <c r="O22" s="25"/>
    </row>
    <row r="23" spans="1:16" x14ac:dyDescent="0.3">
      <c r="C23" s="75"/>
      <c r="E23" s="81">
        <f t="shared" ref="E23:E25" si="8">SUM(B6:C6)/GETPIVOTDATA("Suma de total horas",$A$4,"TAG de la unidad","CPW-01")</f>
        <v>1</v>
      </c>
      <c r="L23" s="26"/>
      <c r="N23" s="25"/>
      <c r="O23" s="25"/>
    </row>
    <row r="24" spans="1:16" x14ac:dyDescent="0.3">
      <c r="B24">
        <f>GETPIVOTDATA("Suma de Horas Operacion ",$A$4)/GETPIVOTDATA("Suma de total horas",$A$4)</f>
        <v>0.71186868686868687</v>
      </c>
      <c r="E24" s="81">
        <f t="shared" si="8"/>
        <v>0.9867424242424242</v>
      </c>
      <c r="K24" t="s">
        <v>169</v>
      </c>
    </row>
    <row r="25" spans="1:16" x14ac:dyDescent="0.3">
      <c r="B25">
        <f>GETPIVOTDATA("Suma de Horas StandBy",$A$4)/GETPIVOTDATA("Suma de total horas",$A$4)</f>
        <v>0.27891414141414139</v>
      </c>
      <c r="E25" s="81">
        <f t="shared" si="8"/>
        <v>1</v>
      </c>
    </row>
    <row r="26" spans="1:16" x14ac:dyDescent="0.3">
      <c r="B26">
        <f>GETPIVOTDATA("Suma de Horas MMT Preventivo",$A$4)/GETPIVOTDATA("Suma de total horas",$A$4)</f>
        <v>9.2171717171717175E-3</v>
      </c>
    </row>
    <row r="28" spans="1:16" x14ac:dyDescent="0.3">
      <c r="C28" s="23"/>
    </row>
  </sheetData>
  <mergeCells count="2">
    <mergeCell ref="N2:N3"/>
    <mergeCell ref="O2:O3"/>
  </mergeCells>
  <pageMargins left="0.7" right="0.7" top="0.75" bottom="0.75" header="0.3" footer="0.3"/>
  <pageSetup orientation="portrait" horizontalDpi="300" verticalDpi="300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D4DA-E852-46A9-88ED-9239D1E63C80}">
  <dimension ref="A1:V94"/>
  <sheetViews>
    <sheetView showWhiteSpace="0" topLeftCell="A46" zoomScaleNormal="100" workbookViewId="0">
      <selection activeCell="D6" sqref="D6"/>
    </sheetView>
  </sheetViews>
  <sheetFormatPr baseColWidth="10" defaultRowHeight="14.4" x14ac:dyDescent="0.3"/>
  <cols>
    <col min="1" max="1" width="15.77734375" customWidth="1"/>
    <col min="2" max="2" width="15.109375" bestFit="1" customWidth="1"/>
    <col min="3" max="3" width="19.33203125" customWidth="1"/>
    <col min="4" max="4" width="16.6640625" bestFit="1" customWidth="1"/>
    <col min="5" max="5" width="16.109375" bestFit="1" customWidth="1"/>
    <col min="6" max="6" width="15" bestFit="1" customWidth="1"/>
    <col min="7" max="7" width="18" customWidth="1"/>
    <col min="8" max="8" width="13.88671875" customWidth="1"/>
    <col min="9" max="9" width="15.33203125" customWidth="1"/>
    <col min="10" max="10" width="19.88671875" customWidth="1"/>
    <col min="11" max="11" width="18.5546875" customWidth="1"/>
    <col min="12" max="16" width="13.88671875" customWidth="1"/>
    <col min="17" max="17" width="15.77734375" customWidth="1"/>
    <col min="18" max="18" width="37" customWidth="1"/>
    <col min="21" max="21" width="37" customWidth="1"/>
  </cols>
  <sheetData>
    <row r="1" spans="1:22" ht="34.950000000000003" customHeight="1" x14ac:dyDescent="0.4">
      <c r="A1" s="99" t="s">
        <v>167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3" spans="1:22" ht="15.6" x14ac:dyDescent="0.3">
      <c r="A3" s="100" t="s">
        <v>65</v>
      </c>
      <c r="B3" s="98"/>
      <c r="C3" s="98"/>
      <c r="D3" s="98"/>
      <c r="E3" s="98"/>
      <c r="F3" s="98"/>
      <c r="H3" s="101" t="s">
        <v>66</v>
      </c>
      <c r="I3" s="101"/>
      <c r="J3" s="101"/>
      <c r="K3" s="101"/>
      <c r="L3" s="101"/>
      <c r="R3" s="102" t="s">
        <v>67</v>
      </c>
      <c r="S3" s="102"/>
      <c r="T3" s="102"/>
      <c r="U3" s="102"/>
      <c r="V3" s="102"/>
    </row>
    <row r="5" spans="1:22" x14ac:dyDescent="0.3">
      <c r="A5" s="32" t="s">
        <v>68</v>
      </c>
      <c r="B5" s="32" t="s">
        <v>69</v>
      </c>
      <c r="C5" s="32" t="s">
        <v>13</v>
      </c>
      <c r="D5" s="32" t="s">
        <v>70</v>
      </c>
      <c r="E5" s="32" t="s">
        <v>71</v>
      </c>
      <c r="F5" s="32" t="s">
        <v>72</v>
      </c>
      <c r="H5" s="71" t="s">
        <v>73</v>
      </c>
      <c r="I5" s="33" t="s">
        <v>74</v>
      </c>
      <c r="J5" s="33" t="s">
        <v>75</v>
      </c>
      <c r="K5" s="33" t="s">
        <v>76</v>
      </c>
      <c r="L5" s="33" t="s">
        <v>77</v>
      </c>
      <c r="R5" s="24" t="s">
        <v>78</v>
      </c>
    </row>
    <row r="6" spans="1:22" ht="18" x14ac:dyDescent="0.35">
      <c r="A6" s="34">
        <f>Hoja1!H19</f>
        <v>175295</v>
      </c>
      <c r="B6" s="34">
        <f>Hoja1!B19</f>
        <v>508</v>
      </c>
      <c r="C6" s="34">
        <f>Hoja1!C19</f>
        <v>13</v>
      </c>
      <c r="D6" s="58">
        <f>Hoja1!B20/Hoja1!G20</f>
        <v>0.71186868686868687</v>
      </c>
      <c r="E6" s="36">
        <f>Hoja1!D19</f>
        <v>0</v>
      </c>
      <c r="F6" s="36">
        <f>Hoja1!F19</f>
        <v>0</v>
      </c>
      <c r="H6" s="67" t="e">
        <f>(GETPIVOTDATA("Suma de total horas",Hoja1!$A$4)-GETPIVOTDATA("Suma de Horas StandBy",Hoja1!$A$4)-GETPIVOTDATA("Suma de Horas MMT Preventivo",Hoja1!$A$4)-GETPIVOTDATA("Suma de Horas MMT Correctivo",Hoja1!$A$4))/GETPIVOTDATA("Suma de Numero de fallas",Hoja1!$A$4)</f>
        <v>#DIV/0!</v>
      </c>
      <c r="I6" s="37" t="str">
        <f>IF(Hoja1!D19&gt;0,Hoja1!F19/Hoja1!D19,"N/A")</f>
        <v>N/A</v>
      </c>
      <c r="J6" s="58">
        <f>COUNTIF(Hoja1!D5:D19,0)/COUNT(Hoja1!D5:D19)</f>
        <v>1</v>
      </c>
      <c r="K6" s="35">
        <f>1-D6</f>
        <v>0.28813131313131313</v>
      </c>
      <c r="L6" s="35">
        <f>COUNTIF(Hoja1!D5:D20,"&gt;0")/COUNT(Hoja1!D5:D20)</f>
        <v>0</v>
      </c>
      <c r="R6" t="s">
        <v>79</v>
      </c>
    </row>
    <row r="7" spans="1:22" x14ac:dyDescent="0.3">
      <c r="R7" t="s">
        <v>80</v>
      </c>
    </row>
    <row r="8" spans="1:22" ht="15.6" x14ac:dyDescent="0.3">
      <c r="A8" s="103" t="s">
        <v>81</v>
      </c>
      <c r="B8" s="98"/>
      <c r="C8" s="98"/>
      <c r="D8" s="98"/>
      <c r="E8" s="98"/>
      <c r="F8" s="98"/>
      <c r="G8" s="98"/>
      <c r="H8" s="98"/>
      <c r="I8" s="98"/>
      <c r="K8" s="104" t="s">
        <v>82</v>
      </c>
      <c r="L8" s="98"/>
      <c r="M8" s="98"/>
      <c r="N8" s="98"/>
      <c r="O8" s="98"/>
      <c r="P8" s="98"/>
      <c r="R8" t="s">
        <v>83</v>
      </c>
    </row>
    <row r="9" spans="1:22" x14ac:dyDescent="0.3">
      <c r="R9" t="s">
        <v>84</v>
      </c>
    </row>
    <row r="10" spans="1:22" x14ac:dyDescent="0.3">
      <c r="A10" s="38" t="s">
        <v>4</v>
      </c>
      <c r="B10" s="38" t="s">
        <v>85</v>
      </c>
      <c r="C10" s="38" t="s">
        <v>86</v>
      </c>
      <c r="D10" s="38" t="s">
        <v>87</v>
      </c>
      <c r="E10" s="38" t="s">
        <v>58</v>
      </c>
      <c r="F10" s="38" t="s">
        <v>88</v>
      </c>
      <c r="G10" s="38" t="s">
        <v>89</v>
      </c>
      <c r="H10" s="38" t="s">
        <v>90</v>
      </c>
      <c r="I10" s="38" t="s">
        <v>91</v>
      </c>
      <c r="K10" s="39" t="s">
        <v>92</v>
      </c>
      <c r="L10" s="39" t="s">
        <v>93</v>
      </c>
      <c r="M10" s="39" t="s">
        <v>94</v>
      </c>
      <c r="N10" s="39" t="s">
        <v>95</v>
      </c>
      <c r="O10" s="39" t="s">
        <v>96</v>
      </c>
      <c r="P10" s="39" t="s">
        <v>97</v>
      </c>
    </row>
    <row r="11" spans="1:22" x14ac:dyDescent="0.3">
      <c r="A11" s="28" t="str">
        <f>Hoja1!A5</f>
        <v>CPW-01</v>
      </c>
      <c r="B11" s="59">
        <f>Hoja1!H5</f>
        <v>292328</v>
      </c>
      <c r="C11" s="59">
        <f>Hoja1!B5</f>
        <v>465</v>
      </c>
      <c r="D11" s="59">
        <f>Hoja1!C5</f>
        <v>57</v>
      </c>
      <c r="E11" s="72">
        <f>Hoja1!L5</f>
        <v>0.98863636363636365</v>
      </c>
      <c r="F11" s="61">
        <f>Hoja1!D5</f>
        <v>0</v>
      </c>
      <c r="G11" s="61">
        <f>Hoja1!E5</f>
        <v>6</v>
      </c>
      <c r="H11" s="61">
        <f>Hoja1!F5</f>
        <v>0</v>
      </c>
      <c r="I11" s="60">
        <f>Hoja1!H5/Hoja1!$H$20</f>
        <v>9.3245589440366344E-2</v>
      </c>
      <c r="K11" s="28" t="s">
        <v>98</v>
      </c>
      <c r="L11" s="28">
        <f>COUNTIF(Hoja1!A5:A22,"CPW*")</f>
        <v>10</v>
      </c>
      <c r="M11" s="40">
        <f>SUMIF(Hoja1!A5:A22,"CPW*",Hoja1!H5:H22)</f>
        <v>2569618</v>
      </c>
      <c r="N11" s="40">
        <f>SUMIF(Hoja1!A5:A22,"CPW*",Hoja1!B5:B22)</f>
        <v>4301</v>
      </c>
      <c r="O11" s="62">
        <f>SUMIF(Hoja1!A5:A22,"CPW*",Hoja1!B5:B22)/SUMIF(Hoja1!A5:A22,"CPW*",Hoja1!G5:G22)</f>
        <v>0.81458333333333333</v>
      </c>
      <c r="P11" s="41">
        <f>M11/Hoja1!$H$20</f>
        <v>0.81964623657868996</v>
      </c>
      <c r="R11" s="24" t="s">
        <v>99</v>
      </c>
    </row>
    <row r="12" spans="1:22" x14ac:dyDescent="0.3">
      <c r="A12" s="28" t="str">
        <f>Hoja1!A6</f>
        <v>CPW-02</v>
      </c>
      <c r="B12" s="59">
        <f>Hoja1!H6</f>
        <v>243012</v>
      </c>
      <c r="C12" s="59">
        <f>Hoja1!B6</f>
        <v>386</v>
      </c>
      <c r="D12" s="59">
        <f>Hoja1!C6</f>
        <v>142</v>
      </c>
      <c r="E12" s="72">
        <f>Hoja1!L6</f>
        <v>1</v>
      </c>
      <c r="F12" s="61">
        <f>Hoja1!D6</f>
        <v>0</v>
      </c>
      <c r="G12" s="61">
        <f>Hoja1!E6</f>
        <v>0</v>
      </c>
      <c r="H12" s="61">
        <f>Hoja1!F6</f>
        <v>0</v>
      </c>
      <c r="I12" s="60">
        <f>Hoja1!H6/Hoja1!$H$20</f>
        <v>7.7514973526594463E-2</v>
      </c>
      <c r="K12" s="28" t="s">
        <v>100</v>
      </c>
      <c r="L12" s="28">
        <f>COUNTIF(Hoja1!A6:A23,"G10*")</f>
        <v>3</v>
      </c>
      <c r="M12" s="40">
        <f>SUMIF(Hoja1!A6:A22,"G10*",Hoja1!H6:H22)</f>
        <v>215166</v>
      </c>
      <c r="N12" s="40">
        <f>SUMIF(Hoja1!A6:A22,"G10*",Hoja1!B6:B22)</f>
        <v>340</v>
      </c>
      <c r="O12" s="62">
        <f>SUMIF(Hoja1!A6:A22,"G10*",Hoja1!B6:B22)/SUMIF(Hoja1!A6:A22,"G10*",Hoja1!G6:G22)</f>
        <v>0.21464646464646464</v>
      </c>
      <c r="P12" s="41">
        <f>M12/Hoja1!$H$20</f>
        <v>6.8632770372752061E-2</v>
      </c>
    </row>
    <row r="13" spans="1:22" x14ac:dyDescent="0.3">
      <c r="A13" s="28" t="str">
        <f>Hoja1!A7</f>
        <v>CPW-03</v>
      </c>
      <c r="B13" s="59">
        <f>Hoja1!H7</f>
        <v>287674</v>
      </c>
      <c r="C13" s="59">
        <f>Hoja1!B7</f>
        <v>459</v>
      </c>
      <c r="D13" s="59">
        <f>Hoja1!C7</f>
        <v>62</v>
      </c>
      <c r="E13" s="72">
        <f>Hoja1!L7</f>
        <v>0.9867424242424242</v>
      </c>
      <c r="F13" s="61">
        <f>Hoja1!D7</f>
        <v>0</v>
      </c>
      <c r="G13" s="61">
        <f>Hoja1!E7</f>
        <v>7</v>
      </c>
      <c r="H13" s="61">
        <f>Hoja1!F7</f>
        <v>0</v>
      </c>
      <c r="I13" s="60">
        <f>Hoja1!H7/Hoja1!$H$20</f>
        <v>9.1761075561246089E-2</v>
      </c>
      <c r="K13" s="28" t="s">
        <v>101</v>
      </c>
      <c r="L13" s="28">
        <f>COUNTIF(Hoja1!A7:A24,"JIN*")</f>
        <v>2</v>
      </c>
      <c r="M13" s="40">
        <f>SUMIF(Hoja1!A7:A24,"JIN*",Hoja1!H7:H24)</f>
        <v>350249</v>
      </c>
      <c r="N13" s="40">
        <f>SUMIF(Hoja1!A7:A24,"JIN*",Hoja1!B7:B24)</f>
        <v>997</v>
      </c>
      <c r="O13" s="62">
        <f>SUMIF(Hoja1!A7:A24,"JIN*",Hoja1!B7:B24)/SUMIF(Hoja1!A7:A24,"JIN*",Hoja1!G7:G24)</f>
        <v>0.94412878787878785</v>
      </c>
      <c r="P13" s="41">
        <f>M13/Hoja1!$H$20</f>
        <v>0.11172099304855802</v>
      </c>
      <c r="R13" s="24" t="s">
        <v>102</v>
      </c>
    </row>
    <row r="14" spans="1:22" x14ac:dyDescent="0.3">
      <c r="A14" s="28" t="str">
        <f>Hoja1!A8</f>
        <v>CPW-04</v>
      </c>
      <c r="B14" s="59">
        <f>Hoja1!H8</f>
        <v>342171</v>
      </c>
      <c r="C14" s="59">
        <f>Hoja1!B8</f>
        <v>453</v>
      </c>
      <c r="D14" s="59">
        <f>Hoja1!C8</f>
        <v>75</v>
      </c>
      <c r="E14" s="72">
        <f>Hoja1!L8</f>
        <v>1</v>
      </c>
      <c r="F14" s="61">
        <f>Hoja1!D8</f>
        <v>0</v>
      </c>
      <c r="G14" s="61">
        <f>Hoja1!E8</f>
        <v>0</v>
      </c>
      <c r="H14" s="61">
        <f>Hoja1!F8</f>
        <v>0</v>
      </c>
      <c r="I14" s="60">
        <f>Hoja1!H8/Hoja1!$H$20</f>
        <v>0.10914430565802656</v>
      </c>
      <c r="K14" s="42" t="s">
        <v>103</v>
      </c>
      <c r="L14" s="42">
        <f>SUM(L11:L13)</f>
        <v>15</v>
      </c>
      <c r="M14" s="43">
        <f>SUM(M11:M13)</f>
        <v>3135033</v>
      </c>
      <c r="N14" s="43">
        <f>SUM(N11:N13)</f>
        <v>5638</v>
      </c>
      <c r="O14" s="44">
        <f>AVERAGE(O11:O13)</f>
        <v>0.65778619528619531</v>
      </c>
      <c r="P14" s="44">
        <f>SUM(P11:P13)</f>
        <v>1</v>
      </c>
      <c r="R14" t="s">
        <v>104</v>
      </c>
    </row>
    <row r="15" spans="1:22" x14ac:dyDescent="0.3">
      <c r="A15" s="28" t="str">
        <f>Hoja1!A9</f>
        <v>CPW-05</v>
      </c>
      <c r="B15" s="59">
        <f>Hoja1!H9</f>
        <v>366816</v>
      </c>
      <c r="C15" s="59">
        <f>Hoja1!B9</f>
        <v>474</v>
      </c>
      <c r="D15" s="59">
        <f>Hoja1!C9</f>
        <v>54</v>
      </c>
      <c r="E15" s="72">
        <f>Hoja1!L9</f>
        <v>1</v>
      </c>
      <c r="F15" s="61">
        <f>Hoja1!D9</f>
        <v>0</v>
      </c>
      <c r="G15" s="61">
        <f>Hoja1!E9</f>
        <v>0</v>
      </c>
      <c r="H15" s="61">
        <f>Hoja1!F9</f>
        <v>0</v>
      </c>
      <c r="I15" s="60">
        <f>Hoja1!H9/Hoja1!$H$20</f>
        <v>0.11700546692809932</v>
      </c>
      <c r="R15" s="24" t="s">
        <v>105</v>
      </c>
    </row>
    <row r="16" spans="1:22" ht="15.6" x14ac:dyDescent="0.3">
      <c r="A16" s="28" t="str">
        <f>Hoja1!A10</f>
        <v>CPW-06</v>
      </c>
      <c r="B16" s="59">
        <f>Hoja1!H10</f>
        <v>338404</v>
      </c>
      <c r="C16" s="59">
        <f>Hoja1!B10</f>
        <v>441</v>
      </c>
      <c r="D16" s="59">
        <f>Hoja1!C10</f>
        <v>79</v>
      </c>
      <c r="E16" s="72">
        <f>Hoja1!L10</f>
        <v>0.98484848484848486</v>
      </c>
      <c r="F16" s="61">
        <f>Hoja1!D10</f>
        <v>0</v>
      </c>
      <c r="G16" s="61">
        <f>Hoja1!E10</f>
        <v>8</v>
      </c>
      <c r="H16" s="61">
        <f>Hoja1!F10</f>
        <v>0</v>
      </c>
      <c r="I16" s="60">
        <f>Hoja1!H10/Hoja1!$H$20</f>
        <v>0.10794272340992901</v>
      </c>
      <c r="K16" s="105" t="s">
        <v>106</v>
      </c>
      <c r="L16" s="98"/>
      <c r="M16" s="98"/>
      <c r="N16" s="98"/>
      <c r="O16" s="98"/>
      <c r="P16" s="98"/>
      <c r="R16" t="s">
        <v>107</v>
      </c>
    </row>
    <row r="17" spans="1:18" x14ac:dyDescent="0.3">
      <c r="A17" s="28" t="str">
        <f>Hoja1!A11</f>
        <v>CPW-07</v>
      </c>
      <c r="B17" s="59">
        <f>Hoja1!H11</f>
        <v>284496</v>
      </c>
      <c r="C17" s="59">
        <f>Hoja1!B11</f>
        <v>480</v>
      </c>
      <c r="D17" s="59">
        <f>Hoja1!C11</f>
        <v>42</v>
      </c>
      <c r="E17" s="72">
        <f>Hoja1!L11</f>
        <v>0.98863636363636365</v>
      </c>
      <c r="F17" s="61">
        <f>Hoja1!D11</f>
        <v>0</v>
      </c>
      <c r="G17" s="61">
        <f>Hoja1!E11</f>
        <v>6</v>
      </c>
      <c r="H17" s="61">
        <f>Hoja1!F11</f>
        <v>0</v>
      </c>
      <c r="I17" s="60">
        <f>Hoja1!H11/Hoja1!$H$20</f>
        <v>9.0747370123376692E-2</v>
      </c>
    </row>
    <row r="18" spans="1:18" x14ac:dyDescent="0.3">
      <c r="A18" s="28" t="str">
        <f>Hoja1!A12</f>
        <v>CPW-10</v>
      </c>
      <c r="B18" s="59">
        <f>Hoja1!H12</f>
        <v>143331</v>
      </c>
      <c r="C18" s="59">
        <f>Hoja1!B12</f>
        <v>392</v>
      </c>
      <c r="D18" s="59">
        <f>Hoja1!C12</f>
        <v>128</v>
      </c>
      <c r="E18" s="72">
        <f>Hoja1!L12</f>
        <v>0.98484848484848486</v>
      </c>
      <c r="F18" s="61">
        <f>Hoja1!D12</f>
        <v>0</v>
      </c>
      <c r="G18" s="61">
        <f>Hoja1!E12</f>
        <v>8</v>
      </c>
      <c r="H18" s="61">
        <f>Hoja1!F12</f>
        <v>0</v>
      </c>
      <c r="I18" s="60">
        <f>Hoja1!H12/Hoja1!$H$20</f>
        <v>4.5719135970817532E-2</v>
      </c>
      <c r="K18" s="45" t="s">
        <v>2</v>
      </c>
      <c r="L18" s="45" t="s">
        <v>94</v>
      </c>
      <c r="M18" s="45" t="s">
        <v>86</v>
      </c>
      <c r="N18" s="45" t="s">
        <v>88</v>
      </c>
      <c r="O18" s="45" t="s">
        <v>58</v>
      </c>
      <c r="R18" s="46" t="s">
        <v>108</v>
      </c>
    </row>
    <row r="19" spans="1:18" x14ac:dyDescent="0.3">
      <c r="A19" s="28" t="str">
        <f>Hoja1!A13</f>
        <v>CPW-11</v>
      </c>
      <c r="B19" s="59">
        <f>Hoja1!H13</f>
        <v>166590</v>
      </c>
      <c r="C19" s="59">
        <f>Hoja1!B13</f>
        <v>456</v>
      </c>
      <c r="D19" s="59">
        <f>Hoja1!C13</f>
        <v>65</v>
      </c>
      <c r="E19" s="72">
        <f>Hoja1!L13</f>
        <v>0.9867424242424242</v>
      </c>
      <c r="F19" s="61">
        <f>Hoja1!D13</f>
        <v>0</v>
      </c>
      <c r="G19" s="61">
        <f>Hoja1!E13</f>
        <v>7</v>
      </c>
      <c r="H19" s="61">
        <f>Hoja1!F13</f>
        <v>0</v>
      </c>
      <c r="I19" s="60">
        <f>Hoja1!H13/Hoja1!$H$20</f>
        <v>5.3138196631423017E-2</v>
      </c>
      <c r="K19" s="28" t="s">
        <v>26</v>
      </c>
      <c r="L19" s="40">
        <f>SUMIF('REPORTE DIARIO DE OPERACIONES'!C:C,"COSTAYACO",'REPORTE DIARIO DE OPERACIONES'!K:K)</f>
        <v>2784784</v>
      </c>
      <c r="M19" s="40">
        <f>SUMIF('REPORTE DIARIO DE OPERACIONES'!C:C,"COSTAYACO",'REPORTE DIARIO DE OPERACIONES'!M:M)</f>
        <v>4641</v>
      </c>
      <c r="N19" s="28">
        <f>SUMIF('REPORTE DIARIO DE OPERACIONES'!C:C,"COSTAYACO",'REPORTE DIARIO DE OPERACIONES'!S:S)</f>
        <v>0</v>
      </c>
      <c r="O19" s="41">
        <f>M19/SUMIF('REPORTE DIARIO DE OPERACIONES'!C:C,"COSTAYACO",'REPORTE DIARIO DE OPERACIONES'!Q:Q)</f>
        <v>0.67613636363636365</v>
      </c>
      <c r="R19" t="s">
        <v>109</v>
      </c>
    </row>
    <row r="20" spans="1:18" x14ac:dyDescent="0.3">
      <c r="A20" s="28" t="str">
        <f>Hoja1!A14</f>
        <v>CPW-12</v>
      </c>
      <c r="B20" s="59">
        <f>Hoja1!H14</f>
        <v>104796</v>
      </c>
      <c r="C20" s="59">
        <f>Hoja1!B14</f>
        <v>295</v>
      </c>
      <c r="D20" s="59">
        <f>Hoja1!C14</f>
        <v>225</v>
      </c>
      <c r="E20" s="72">
        <f>Hoja1!L14</f>
        <v>0.98484848484848486</v>
      </c>
      <c r="F20" s="61">
        <f>Hoja1!D14</f>
        <v>0</v>
      </c>
      <c r="G20" s="61">
        <f>Hoja1!E14</f>
        <v>8</v>
      </c>
      <c r="H20" s="61">
        <f>Hoja1!F14</f>
        <v>0</v>
      </c>
      <c r="I20" s="60">
        <f>Hoja1!H14/Hoja1!$H$20</f>
        <v>3.3427399328810892E-2</v>
      </c>
      <c r="K20" s="28" t="s">
        <v>42</v>
      </c>
      <c r="L20" s="40">
        <f>SUMIF('REPORTE DIARIO DE OPERACIONES'!C:C,"VONU",'REPORTE DIARIO DE OPERACIONES'!K:K)</f>
        <v>350249</v>
      </c>
      <c r="M20" s="40">
        <f>SUMIF('REPORTE DIARIO DE OPERACIONES'!C:C,"VONU",'REPORTE DIARIO DE OPERACIONES'!M:M)</f>
        <v>997</v>
      </c>
      <c r="N20" s="28">
        <f>SUMIF('REPORTE DIARIO DE OPERACIONES'!C:C,"VONU",'REPORTE DIARIO DE OPERACIONES'!S:S)</f>
        <v>0</v>
      </c>
      <c r="O20" s="41">
        <f>M20/SUMIF('REPORTE DIARIO DE OPERACIONES'!C:C,"VONU",'REPORTE DIARIO DE OPERACIONES'!Q:Q)</f>
        <v>0.94412878787878785</v>
      </c>
      <c r="R20" t="s">
        <v>110</v>
      </c>
    </row>
    <row r="21" spans="1:18" x14ac:dyDescent="0.3">
      <c r="A21" s="28" t="str">
        <f>Hoja1!A15</f>
        <v>G101V</v>
      </c>
      <c r="B21" s="59">
        <f>Hoja1!H15</f>
        <v>38427</v>
      </c>
      <c r="C21" s="59">
        <f>Hoja1!B15</f>
        <v>110</v>
      </c>
      <c r="D21" s="59">
        <f>Hoja1!C15</f>
        <v>418</v>
      </c>
      <c r="E21" s="72">
        <f>Hoja1!L15</f>
        <v>1</v>
      </c>
      <c r="F21" s="61">
        <f>Hoja1!D15</f>
        <v>0</v>
      </c>
      <c r="G21" s="61">
        <f>Hoja1!E15</f>
        <v>0</v>
      </c>
      <c r="H21" s="61">
        <f>Hoja1!F15</f>
        <v>0</v>
      </c>
      <c r="I21" s="60">
        <f>Hoja1!H15/Hoja1!$H$20</f>
        <v>1.2257287243866332E-2</v>
      </c>
      <c r="K21" s="47" t="s">
        <v>103</v>
      </c>
      <c r="L21" s="48">
        <f>SUM(L19:L20)</f>
        <v>3135033</v>
      </c>
      <c r="M21" s="48">
        <f>SUM(M19:M20)</f>
        <v>5638</v>
      </c>
      <c r="N21" s="47">
        <f>SUM(N19:N20)</f>
        <v>0</v>
      </c>
      <c r="O21" s="49">
        <f>AVERAGE(O19:O20)</f>
        <v>0.81013257575757569</v>
      </c>
      <c r="R21" t="s">
        <v>111</v>
      </c>
    </row>
    <row r="22" spans="1:18" x14ac:dyDescent="0.3">
      <c r="A22" s="28" t="str">
        <f>Hoja1!A16</f>
        <v>G102J</v>
      </c>
      <c r="B22" s="59">
        <f>Hoja1!H16</f>
        <v>85209</v>
      </c>
      <c r="C22" s="59">
        <f>Hoja1!B16</f>
        <v>110</v>
      </c>
      <c r="D22" s="59">
        <f>Hoja1!C16</f>
        <v>418</v>
      </c>
      <c r="E22" s="72">
        <f>Hoja1!L16</f>
        <v>1</v>
      </c>
      <c r="F22" s="61">
        <f>Hoja1!D16</f>
        <v>0</v>
      </c>
      <c r="G22" s="61">
        <f>Hoja1!E16</f>
        <v>0</v>
      </c>
      <c r="H22" s="61">
        <f>Hoja1!F16</f>
        <v>0</v>
      </c>
      <c r="I22" s="60">
        <f>Hoja1!H16/Hoja1!$H$20</f>
        <v>2.7179618204975834E-2</v>
      </c>
    </row>
    <row r="23" spans="1:18" ht="15.6" x14ac:dyDescent="0.3">
      <c r="A23" s="28" t="str">
        <f>Hoja1!A17</f>
        <v>G102K</v>
      </c>
      <c r="B23" s="59">
        <f>Hoja1!H17</f>
        <v>91530</v>
      </c>
      <c r="C23" s="59">
        <f>Hoja1!B17</f>
        <v>120</v>
      </c>
      <c r="D23" s="59">
        <f>Hoja1!C17</f>
        <v>408</v>
      </c>
      <c r="E23" s="72">
        <f>Hoja1!L17</f>
        <v>1</v>
      </c>
      <c r="F23" s="61">
        <f>Hoja1!D17</f>
        <v>0</v>
      </c>
      <c r="G23" s="61">
        <f>Hoja1!E17</f>
        <v>0</v>
      </c>
      <c r="H23" s="61">
        <f>Hoja1!F17</f>
        <v>0</v>
      </c>
      <c r="I23" s="60">
        <f>Hoja1!H17/Hoja1!$H$20</f>
        <v>2.9195864923909891E-2</v>
      </c>
      <c r="K23" s="106" t="s">
        <v>112</v>
      </c>
      <c r="L23" s="98"/>
      <c r="M23" s="98"/>
      <c r="N23" s="98"/>
      <c r="O23" s="98"/>
      <c r="R23" s="24" t="s">
        <v>113</v>
      </c>
    </row>
    <row r="24" spans="1:18" x14ac:dyDescent="0.3">
      <c r="A24" s="28" t="str">
        <f>Hoja1!A18</f>
        <v>JIN-01</v>
      </c>
      <c r="B24" s="59">
        <f>Hoja1!H18</f>
        <v>174954</v>
      </c>
      <c r="C24" s="59">
        <f>Hoja1!B18</f>
        <v>489</v>
      </c>
      <c r="D24" s="59">
        <f>Hoja1!C18</f>
        <v>23</v>
      </c>
      <c r="E24" s="72">
        <f>Hoja1!L18</f>
        <v>0.96969696969696972</v>
      </c>
      <c r="F24" s="61">
        <f>Hoja1!D18</f>
        <v>0</v>
      </c>
      <c r="G24" s="61">
        <f>Hoja1!E18</f>
        <v>16</v>
      </c>
      <c r="H24" s="61">
        <f>Hoja1!F18</f>
        <v>0</v>
      </c>
      <c r="I24" s="60">
        <f>Hoja1!H18/Hoja1!$H$20</f>
        <v>5.5806111131844548E-2</v>
      </c>
      <c r="R24" t="s">
        <v>114</v>
      </c>
    </row>
    <row r="25" spans="1:18" x14ac:dyDescent="0.3">
      <c r="A25" s="28" t="str">
        <f>Hoja1!A19</f>
        <v>JIN-02</v>
      </c>
      <c r="B25" s="59">
        <f>Hoja1!H19</f>
        <v>175295</v>
      </c>
      <c r="C25" s="59">
        <f>Hoja1!B19</f>
        <v>508</v>
      </c>
      <c r="D25" s="59">
        <f>Hoja1!C19</f>
        <v>13</v>
      </c>
      <c r="E25" s="72">
        <f>Hoja1!L19</f>
        <v>0.9867424242424242</v>
      </c>
      <c r="F25" s="61">
        <f>Hoja1!D19</f>
        <v>0</v>
      </c>
      <c r="G25" s="61">
        <f>Hoja1!E19</f>
        <v>7</v>
      </c>
      <c r="H25" s="61">
        <f>Hoja1!F19</f>
        <v>0</v>
      </c>
      <c r="I25" s="60">
        <f>Hoja1!H19/Hoja1!$H$20</f>
        <v>5.5914881916713476E-2</v>
      </c>
      <c r="K25" s="38" t="s">
        <v>1</v>
      </c>
      <c r="L25" s="38" t="s">
        <v>94</v>
      </c>
      <c r="M25" s="38" t="s">
        <v>86</v>
      </c>
      <c r="N25" s="38" t="s">
        <v>88</v>
      </c>
      <c r="O25" s="38" t="s">
        <v>58</v>
      </c>
      <c r="R25" s="50" t="s">
        <v>115</v>
      </c>
    </row>
    <row r="26" spans="1:18" x14ac:dyDescent="0.3">
      <c r="A26" s="51" t="s">
        <v>103</v>
      </c>
      <c r="B26" s="70">
        <f>SUM(B11:B25)</f>
        <v>3135033</v>
      </c>
      <c r="C26" s="70">
        <f>SUM(C11:C25)</f>
        <v>5638</v>
      </c>
      <c r="D26" s="70">
        <f>SUM(D11:D25)</f>
        <v>2209</v>
      </c>
      <c r="E26" s="68">
        <f>AVERAGE(E11:E25)</f>
        <v>0.99078282828282827</v>
      </c>
      <c r="F26" s="69">
        <f>SUM(F11:F25)</f>
        <v>0</v>
      </c>
      <c r="G26" s="69">
        <f>SUM(G11:G25)</f>
        <v>73</v>
      </c>
      <c r="H26" s="69">
        <f>SUM(H11:H25)</f>
        <v>0</v>
      </c>
      <c r="I26" s="68">
        <f>SUM(I11:I25)</f>
        <v>1</v>
      </c>
      <c r="K26" s="28" t="s">
        <v>25</v>
      </c>
      <c r="L26" s="40">
        <f>SUMIF('REPORTE DIARIO DE OPERACIONES'!B:B,"PUTN",'REPORTE DIARIO DE OPERACIONES'!K:K)</f>
        <v>3135033</v>
      </c>
      <c r="M26" s="40">
        <f>SUMIF('REPORTE DIARIO DE OPERACIONES'!B:B,"PUTN",'REPORTE DIARIO DE OPERACIONES'!M:M)</f>
        <v>5638</v>
      </c>
      <c r="N26" s="28">
        <f>SUMIF('REPORTE DIARIO DE OPERACIONES'!B:B,"PUTN",'REPORTE DIARIO DE OPERACIONES'!S:S)</f>
        <v>0</v>
      </c>
      <c r="O26" s="41">
        <f>M26/SUMIF('REPORTE DIARIO DE OPERACIONES'!B:B,"PUTN",'REPORTE DIARIO DE OPERACIONES'!Q:Q)</f>
        <v>0.71186868686868687</v>
      </c>
      <c r="R26" t="s">
        <v>116</v>
      </c>
    </row>
    <row r="29" spans="1:18" ht="15.6" x14ac:dyDescent="0.3">
      <c r="A29" s="107" t="s">
        <v>117</v>
      </c>
      <c r="B29" s="108"/>
      <c r="C29" s="108"/>
      <c r="E29" s="109" t="s">
        <v>118</v>
      </c>
      <c r="F29" s="98"/>
      <c r="G29" s="98"/>
      <c r="H29" s="98"/>
      <c r="I29" s="98"/>
    </row>
    <row r="30" spans="1:18" x14ac:dyDescent="0.3">
      <c r="A30" s="25"/>
      <c r="B30" s="25"/>
      <c r="C30" s="25"/>
    </row>
    <row r="31" spans="1:18" x14ac:dyDescent="0.3">
      <c r="A31" s="82" t="s">
        <v>119</v>
      </c>
      <c r="B31" s="82" t="s">
        <v>4</v>
      </c>
      <c r="C31" s="82" t="s">
        <v>85</v>
      </c>
      <c r="E31" s="53" t="s">
        <v>120</v>
      </c>
      <c r="F31" s="53" t="s">
        <v>121</v>
      </c>
      <c r="G31" s="53" t="s">
        <v>4</v>
      </c>
      <c r="H31" s="53" t="s">
        <v>122</v>
      </c>
      <c r="I31" s="53" t="s">
        <v>123</v>
      </c>
    </row>
    <row r="32" spans="1:18" x14ac:dyDescent="0.3">
      <c r="A32" s="61">
        <v>1</v>
      </c>
      <c r="B32" s="61" t="str">
        <f>INDEX(Hoja1!$A$5:$A$18,MATCH(LARGE(Hoja1!$H$5:$H$18,1),Hoja1!$H$5:$H$18,0))</f>
        <v>CPW-05</v>
      </c>
      <c r="C32" s="59">
        <f>LARGE(Hoja1!$H$5:$H$18,1)</f>
        <v>366816</v>
      </c>
      <c r="E32" s="28" t="s">
        <v>71</v>
      </c>
      <c r="F32" s="28">
        <f>Hoja1!D19</f>
        <v>0</v>
      </c>
      <c r="G32" s="28" t="s">
        <v>88</v>
      </c>
      <c r="H32" s="63" t="s">
        <v>124</v>
      </c>
      <c r="I32" s="63" t="str">
        <f>IF(F32&lt;=2,"✅ Bueno",IF(F32&lt;=5,"⚠️ Moderado","🔴 Crítico"))</f>
        <v>✅ Bueno</v>
      </c>
      <c r="R32" s="78">
        <v>14043</v>
      </c>
    </row>
    <row r="33" spans="1:18" x14ac:dyDescent="0.3">
      <c r="A33" s="61">
        <v>2</v>
      </c>
      <c r="B33" s="61" t="str">
        <f>INDEX(Hoja1!$A$5:$A$18,MATCH(LARGE(Hoja1!$H$5:$H$18,2),Hoja1!$H$5:$H$18,0))</f>
        <v>CPW-04</v>
      </c>
      <c r="C33" s="59">
        <f>LARGE(Hoja1!$H$5:$H$18,2)</f>
        <v>342171</v>
      </c>
      <c r="E33" s="28" t="s">
        <v>125</v>
      </c>
      <c r="F33" s="28">
        <f>COUNTIF(Hoja1!D5:D19,"&gt;0")</f>
        <v>0</v>
      </c>
      <c r="G33" s="28" t="s">
        <v>126</v>
      </c>
      <c r="H33" s="63" t="s">
        <v>127</v>
      </c>
      <c r="I33" s="63" t="str">
        <f>IF(F33&lt;=2,"✅ Bueno",IF(F33&lt;=4,"⚠️ Moderado","🔴 Crítico"))</f>
        <v>✅ Bueno</v>
      </c>
      <c r="R33" s="79">
        <v>78853</v>
      </c>
    </row>
    <row r="34" spans="1:18" x14ac:dyDescent="0.3">
      <c r="A34" s="61">
        <v>3</v>
      </c>
      <c r="B34" s="61" t="str">
        <f>INDEX(Hoja1!$A$5:$A$18,MATCH(LARGE(Hoja1!$H$5:$H$18,3),Hoja1!$H$5:$H$18,0))</f>
        <v>CPW-06</v>
      </c>
      <c r="C34" s="59">
        <f>LARGE(Hoja1!$H$5:$H$18,3)</f>
        <v>338404</v>
      </c>
      <c r="E34" s="28" t="s">
        <v>128</v>
      </c>
      <c r="F34" s="54">
        <f>Hoja1!D19/18</f>
        <v>0</v>
      </c>
      <c r="G34" s="28" t="s">
        <v>129</v>
      </c>
      <c r="H34" s="63" t="s">
        <v>130</v>
      </c>
      <c r="I34" s="63" t="str">
        <f>IF(F34&lt;=0.15,"✅ Bueno",IF(F34&lt;=0.3,"⚠️ Moderado","🔴 Crítico"))</f>
        <v>✅ Bueno</v>
      </c>
      <c r="R34" s="80">
        <v>40185</v>
      </c>
    </row>
    <row r="35" spans="1:18" x14ac:dyDescent="0.3">
      <c r="A35" s="61">
        <v>4</v>
      </c>
      <c r="B35" s="61" t="str">
        <f>INDEX(Hoja1!$A$5:$A$18,MATCH(LARGE(Hoja1!$H$5:$H$18,4),Hoja1!$H$5:$H$18,0))</f>
        <v>CPW-01</v>
      </c>
      <c r="C35" s="59">
        <f>LARGE(Hoja1!$H$5:$H$18,4)</f>
        <v>292328</v>
      </c>
      <c r="E35" s="28" t="s">
        <v>61</v>
      </c>
      <c r="F35" s="55" t="str">
        <f>IF(Hoja1!D19&gt;0,Hoja1!B19/Hoja1!D19,"N/A")</f>
        <v>N/A</v>
      </c>
      <c r="G35" s="28" t="s">
        <v>131</v>
      </c>
      <c r="H35" s="63" t="s">
        <v>132</v>
      </c>
      <c r="I35" s="63" t="str">
        <f>IF(F35&gt;2000,"✅ Excelente",IF(F35&gt;1000,"⚠️ Aceptable","🔴 Bajo"))</f>
        <v>✅ Excelente</v>
      </c>
      <c r="R35" s="77"/>
    </row>
    <row r="36" spans="1:18" x14ac:dyDescent="0.3">
      <c r="A36" s="61">
        <v>5</v>
      </c>
      <c r="B36" s="61" t="str">
        <f>INDEX(Hoja1!$A$5:$A$18,MATCH(LARGE(Hoja1!$H$5:$H$18,5),Hoja1!$H$5:$H$18,0))</f>
        <v>CPW-03</v>
      </c>
      <c r="C36" s="59">
        <f>LARGE(Hoja1!$H$5:$H$18,5)</f>
        <v>287674</v>
      </c>
      <c r="E36" s="28" t="s">
        <v>62</v>
      </c>
      <c r="F36" s="55" t="str">
        <f>IF(Hoja1!D19&gt;0,Hoja1!F19/Hoja1!D19,"N/A")</f>
        <v>N/A</v>
      </c>
      <c r="G36" s="28" t="s">
        <v>131</v>
      </c>
      <c r="H36" s="63" t="s">
        <v>133</v>
      </c>
      <c r="I36" s="63" t="str">
        <f>IF(F36&lt;20,"✅ Bueno",IF(F36&lt;40,"⚠️ Moderado","🔴 Alto"))</f>
        <v>🔴 Alto</v>
      </c>
      <c r="R36" s="77"/>
    </row>
    <row r="37" spans="1:18" x14ac:dyDescent="0.3">
      <c r="E37" s="28" t="s">
        <v>134</v>
      </c>
      <c r="F37" s="41">
        <f>1-D6</f>
        <v>0.28813131313131313</v>
      </c>
      <c r="G37" s="28" t="s">
        <v>135</v>
      </c>
      <c r="H37" s="63" t="s">
        <v>136</v>
      </c>
      <c r="I37" s="63" t="str">
        <f>IF(F37&lt;0.3,"✅ Bueno",IF(F37&lt;0.5,"⚠️ Regular","🔴 Crítico"))</f>
        <v>✅ Bueno</v>
      </c>
      <c r="R37" s="77"/>
    </row>
    <row r="38" spans="1:18" x14ac:dyDescent="0.3">
      <c r="R38" s="77"/>
    </row>
    <row r="39" spans="1:18" x14ac:dyDescent="0.3">
      <c r="R39" s="77"/>
    </row>
    <row r="40" spans="1:18" x14ac:dyDescent="0.3">
      <c r="R40" s="77"/>
    </row>
    <row r="45" spans="1:18" x14ac:dyDescent="0.3">
      <c r="K45" s="25" t="s">
        <v>4</v>
      </c>
      <c r="L45" s="25" t="s">
        <v>88</v>
      </c>
      <c r="M45" s="25" t="s">
        <v>4</v>
      </c>
      <c r="N45" s="25" t="s">
        <v>88</v>
      </c>
    </row>
    <row r="46" spans="1:18" x14ac:dyDescent="0.3">
      <c r="K46" s="25" t="str">
        <f t="shared" ref="K46:K59" si="0">IF(F11&lt;&gt;0,A11," ")</f>
        <v xml:space="preserve"> </v>
      </c>
      <c r="L46" s="25">
        <f t="shared" ref="L46:L59" si="1">IF(K46&lt;&gt;0,F11," ")</f>
        <v>0</v>
      </c>
      <c r="N46" s="25"/>
    </row>
    <row r="47" spans="1:18" x14ac:dyDescent="0.3">
      <c r="K47" s="25" t="str">
        <f t="shared" si="0"/>
        <v xml:space="preserve"> </v>
      </c>
      <c r="L47" s="25">
        <f t="shared" si="1"/>
        <v>0</v>
      </c>
      <c r="N47" s="25"/>
    </row>
    <row r="48" spans="1:18" x14ac:dyDescent="0.3">
      <c r="K48" s="25" t="str">
        <f t="shared" si="0"/>
        <v xml:space="preserve"> </v>
      </c>
      <c r="L48" s="25">
        <f t="shared" si="1"/>
        <v>0</v>
      </c>
      <c r="N48" s="25"/>
    </row>
    <row r="49" spans="11:14" x14ac:dyDescent="0.3">
      <c r="K49" s="25" t="str">
        <f t="shared" si="0"/>
        <v xml:space="preserve"> </v>
      </c>
      <c r="L49" s="25">
        <f t="shared" si="1"/>
        <v>0</v>
      </c>
      <c r="N49" s="25"/>
    </row>
    <row r="50" spans="11:14" x14ac:dyDescent="0.3">
      <c r="K50" s="25" t="str">
        <f t="shared" si="0"/>
        <v xml:space="preserve"> </v>
      </c>
      <c r="L50" s="25">
        <f t="shared" si="1"/>
        <v>0</v>
      </c>
      <c r="N50" s="25"/>
    </row>
    <row r="51" spans="11:14" x14ac:dyDescent="0.3">
      <c r="K51" s="25" t="str">
        <f t="shared" si="0"/>
        <v xml:space="preserve"> </v>
      </c>
      <c r="L51" s="25">
        <f t="shared" si="1"/>
        <v>0</v>
      </c>
    </row>
    <row r="52" spans="11:14" x14ac:dyDescent="0.3">
      <c r="K52" s="25" t="str">
        <f t="shared" si="0"/>
        <v xml:space="preserve"> </v>
      </c>
      <c r="L52" s="25">
        <f t="shared" si="1"/>
        <v>0</v>
      </c>
    </row>
    <row r="53" spans="11:14" x14ac:dyDescent="0.3">
      <c r="K53" s="25" t="str">
        <f t="shared" si="0"/>
        <v xml:space="preserve"> </v>
      </c>
      <c r="L53" s="25">
        <f t="shared" si="1"/>
        <v>0</v>
      </c>
    </row>
    <row r="54" spans="11:14" x14ac:dyDescent="0.3">
      <c r="K54" s="25" t="str">
        <f t="shared" si="0"/>
        <v xml:space="preserve"> </v>
      </c>
      <c r="L54" s="25">
        <f t="shared" si="1"/>
        <v>0</v>
      </c>
    </row>
    <row r="55" spans="11:14" x14ac:dyDescent="0.3">
      <c r="K55" s="25" t="str">
        <f t="shared" si="0"/>
        <v xml:space="preserve"> </v>
      </c>
      <c r="L55" s="25">
        <f t="shared" si="1"/>
        <v>0</v>
      </c>
    </row>
    <row r="56" spans="11:14" x14ac:dyDescent="0.3">
      <c r="K56" s="25" t="str">
        <f t="shared" si="0"/>
        <v xml:space="preserve"> </v>
      </c>
      <c r="L56" s="25">
        <f t="shared" si="1"/>
        <v>0</v>
      </c>
    </row>
    <row r="57" spans="11:14" x14ac:dyDescent="0.3">
      <c r="K57" s="25" t="str">
        <f t="shared" si="0"/>
        <v xml:space="preserve"> </v>
      </c>
      <c r="L57" s="25">
        <f t="shared" si="1"/>
        <v>0</v>
      </c>
    </row>
    <row r="58" spans="11:14" x14ac:dyDescent="0.3">
      <c r="K58" s="25" t="str">
        <f t="shared" si="0"/>
        <v xml:space="preserve"> </v>
      </c>
      <c r="L58" s="25">
        <f t="shared" si="1"/>
        <v>0</v>
      </c>
    </row>
    <row r="59" spans="11:14" x14ac:dyDescent="0.3">
      <c r="K59" s="25" t="str">
        <f t="shared" si="0"/>
        <v xml:space="preserve"> </v>
      </c>
      <c r="L59" s="25">
        <f t="shared" si="1"/>
        <v>0</v>
      </c>
    </row>
    <row r="60" spans="11:14" x14ac:dyDescent="0.3">
      <c r="K60" s="25"/>
      <c r="L60" s="25"/>
    </row>
    <row r="61" spans="11:14" x14ac:dyDescent="0.3">
      <c r="K61" s="25"/>
      <c r="L61" s="25"/>
    </row>
    <row r="62" spans="11:14" x14ac:dyDescent="0.3">
      <c r="K62" s="25"/>
      <c r="L62" s="25"/>
    </row>
    <row r="63" spans="11:14" x14ac:dyDescent="0.3">
      <c r="K63" s="25"/>
      <c r="L63" s="25"/>
    </row>
    <row r="64" spans="11:14" x14ac:dyDescent="0.3">
      <c r="K64" s="25"/>
      <c r="L64" s="25" t="str">
        <f>IF(K64&lt;&gt;0,F26," ")</f>
        <v xml:space="preserve"> </v>
      </c>
    </row>
    <row r="77" spans="1:7" ht="15.6" x14ac:dyDescent="0.3">
      <c r="A77" s="110" t="s">
        <v>137</v>
      </c>
      <c r="B77" s="110"/>
      <c r="C77" s="110"/>
      <c r="D77" s="110"/>
      <c r="E77" s="110"/>
      <c r="F77" s="110"/>
      <c r="G77" s="110"/>
    </row>
    <row r="79" spans="1:7" ht="29.4" customHeight="1" x14ac:dyDescent="0.3">
      <c r="A79" s="56" t="s">
        <v>138</v>
      </c>
      <c r="B79" s="56" t="s">
        <v>139</v>
      </c>
      <c r="C79" s="57" t="s">
        <v>140</v>
      </c>
      <c r="D79" s="56" t="s">
        <v>141</v>
      </c>
      <c r="E79" s="56" t="s">
        <v>142</v>
      </c>
      <c r="F79" s="56" t="s">
        <v>143</v>
      </c>
      <c r="G79" s="56" t="s">
        <v>144</v>
      </c>
    </row>
    <row r="80" spans="1:7" x14ac:dyDescent="0.3">
      <c r="A80" s="63" t="s">
        <v>145</v>
      </c>
      <c r="B80" s="64">
        <v>455</v>
      </c>
      <c r="C80" s="64">
        <f>E80-D80</f>
        <v>464</v>
      </c>
      <c r="D80" s="63">
        <v>1162570</v>
      </c>
      <c r="E80" s="63">
        <v>1163034</v>
      </c>
      <c r="F80" s="65" t="s">
        <v>146</v>
      </c>
      <c r="G80" s="62" t="s">
        <v>147</v>
      </c>
    </row>
    <row r="81" spans="1:7" x14ac:dyDescent="0.3">
      <c r="A81" s="63" t="s">
        <v>148</v>
      </c>
      <c r="B81" s="64">
        <v>455</v>
      </c>
      <c r="C81" s="64">
        <f>E81-D81</f>
        <v>562</v>
      </c>
      <c r="D81" s="63">
        <v>1622906</v>
      </c>
      <c r="E81" s="66">
        <v>1623468</v>
      </c>
      <c r="F81" s="65" t="s">
        <v>149</v>
      </c>
      <c r="G81" s="62" t="s">
        <v>147</v>
      </c>
    </row>
    <row r="82" spans="1:7" x14ac:dyDescent="0.3">
      <c r="A82" s="63" t="s">
        <v>150</v>
      </c>
      <c r="B82" s="64">
        <v>455</v>
      </c>
      <c r="C82" s="64">
        <f>E82-D82</f>
        <v>603</v>
      </c>
      <c r="D82" s="63">
        <v>1585525</v>
      </c>
      <c r="E82" s="63">
        <v>1586128</v>
      </c>
      <c r="F82" s="65" t="s">
        <v>151</v>
      </c>
      <c r="G82" s="62" t="s">
        <v>147</v>
      </c>
    </row>
    <row r="83" spans="1:7" x14ac:dyDescent="0.3">
      <c r="A83" s="63" t="s">
        <v>152</v>
      </c>
      <c r="B83" s="64">
        <v>1050</v>
      </c>
      <c r="C83" s="64">
        <f>E83-D83</f>
        <v>1077</v>
      </c>
      <c r="D83" s="63">
        <v>2240831</v>
      </c>
      <c r="E83" s="63">
        <v>2241908</v>
      </c>
      <c r="F83" s="65" t="s">
        <v>153</v>
      </c>
      <c r="G83" s="62" t="s">
        <v>147</v>
      </c>
    </row>
    <row r="84" spans="1:7" x14ac:dyDescent="0.3">
      <c r="A84" s="63" t="s">
        <v>63</v>
      </c>
      <c r="B84" s="64">
        <v>1050</v>
      </c>
      <c r="C84" s="64">
        <f>E84-D84</f>
        <v>550</v>
      </c>
      <c r="D84" s="63">
        <v>2240450</v>
      </c>
      <c r="E84" s="63">
        <v>2241000</v>
      </c>
      <c r="F84" s="65" t="s">
        <v>154</v>
      </c>
      <c r="G84" s="62" t="s">
        <v>147</v>
      </c>
    </row>
    <row r="85" spans="1:7" x14ac:dyDescent="0.3">
      <c r="A85" s="47" t="s">
        <v>103</v>
      </c>
      <c r="B85" s="48">
        <f>SUM(B80:B84)</f>
        <v>3465</v>
      </c>
      <c r="C85" s="48"/>
      <c r="D85" s="47"/>
      <c r="E85" s="49"/>
      <c r="F85" s="49"/>
      <c r="G85" s="49"/>
    </row>
    <row r="87" spans="1:7" ht="15.6" x14ac:dyDescent="0.3">
      <c r="A87" s="97" t="s">
        <v>155</v>
      </c>
      <c r="B87" s="98"/>
      <c r="C87" s="98"/>
    </row>
    <row r="89" spans="1:7" x14ac:dyDescent="0.3">
      <c r="A89" s="52" t="s">
        <v>119</v>
      </c>
      <c r="B89" s="52" t="s">
        <v>4</v>
      </c>
    </row>
    <row r="90" spans="1:7" x14ac:dyDescent="0.3">
      <c r="A90" s="28">
        <v>1</v>
      </c>
      <c r="B90" s="28" t="s">
        <v>156</v>
      </c>
    </row>
    <row r="91" spans="1:7" x14ac:dyDescent="0.3">
      <c r="A91" s="28">
        <v>2</v>
      </c>
      <c r="B91" s="28" t="s">
        <v>157</v>
      </c>
    </row>
    <row r="92" spans="1:7" x14ac:dyDescent="0.3">
      <c r="A92" s="28">
        <v>3</v>
      </c>
      <c r="B92" s="28" t="s">
        <v>158</v>
      </c>
    </row>
    <row r="93" spans="1:7" x14ac:dyDescent="0.3">
      <c r="A93" s="28">
        <v>4</v>
      </c>
      <c r="B93" s="28" t="s">
        <v>159</v>
      </c>
    </row>
    <row r="94" spans="1:7" x14ac:dyDescent="0.3">
      <c r="A94" s="28">
        <v>5</v>
      </c>
      <c r="B94" s="28" t="s">
        <v>160</v>
      </c>
    </row>
  </sheetData>
  <mergeCells count="12">
    <mergeCell ref="A87:C87"/>
    <mergeCell ref="A1:L1"/>
    <mergeCell ref="A3:F3"/>
    <mergeCell ref="H3:L3"/>
    <mergeCell ref="R3:V3"/>
    <mergeCell ref="A8:I8"/>
    <mergeCell ref="K8:P8"/>
    <mergeCell ref="K16:P16"/>
    <mergeCell ref="K23:O23"/>
    <mergeCell ref="A29:C29"/>
    <mergeCell ref="E29:I29"/>
    <mergeCell ref="A77:G77"/>
  </mergeCells>
  <conditionalFormatting sqref="R32:R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5:R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DD6F-25EF-46EC-8CA8-70C5D130DC79}">
  <dimension ref="A2:F18"/>
  <sheetViews>
    <sheetView workbookViewId="0">
      <selection activeCell="D3" sqref="D3"/>
    </sheetView>
  </sheetViews>
  <sheetFormatPr baseColWidth="10" defaultRowHeight="14.4" x14ac:dyDescent="0.3"/>
  <sheetData>
    <row r="2" spans="1:6" x14ac:dyDescent="0.3">
      <c r="A2" s="25" t="s">
        <v>29</v>
      </c>
      <c r="B2" s="25">
        <v>435240</v>
      </c>
      <c r="C2" t="s">
        <v>29</v>
      </c>
      <c r="D2">
        <v>371766</v>
      </c>
      <c r="F2" s="81">
        <f>(B2-D2)/B2</f>
        <v>0.14583677970774744</v>
      </c>
    </row>
    <row r="3" spans="1:6" x14ac:dyDescent="0.3">
      <c r="A3" s="25" t="s">
        <v>32</v>
      </c>
      <c r="B3" s="25">
        <v>397129</v>
      </c>
      <c r="C3" t="s">
        <v>32</v>
      </c>
      <c r="D3">
        <v>407223</v>
      </c>
      <c r="F3" s="81">
        <f t="shared" ref="F3:F16" si="0">(B3-D3)/B3</f>
        <v>-2.5417433629878451E-2</v>
      </c>
    </row>
    <row r="4" spans="1:6" x14ac:dyDescent="0.3">
      <c r="A4" s="25" t="s">
        <v>33</v>
      </c>
      <c r="B4" s="25">
        <v>409861</v>
      </c>
      <c r="C4" t="s">
        <v>33</v>
      </c>
      <c r="D4">
        <v>394942</v>
      </c>
      <c r="F4" s="81">
        <f t="shared" si="0"/>
        <v>3.6400145415152942E-2</v>
      </c>
    </row>
    <row r="5" spans="1:6" x14ac:dyDescent="0.3">
      <c r="A5" s="25" t="s">
        <v>35</v>
      </c>
      <c r="B5" s="25">
        <v>438156</v>
      </c>
      <c r="C5" t="s">
        <v>35</v>
      </c>
      <c r="D5">
        <v>585130</v>
      </c>
      <c r="F5" s="81">
        <f t="shared" si="0"/>
        <v>-0.33543760669715811</v>
      </c>
    </row>
    <row r="6" spans="1:6" x14ac:dyDescent="0.3">
      <c r="A6" s="25" t="s">
        <v>36</v>
      </c>
      <c r="B6" s="25">
        <v>431557</v>
      </c>
      <c r="C6" t="s">
        <v>36</v>
      </c>
      <c r="D6">
        <v>587407</v>
      </c>
      <c r="F6" s="81">
        <f t="shared" si="0"/>
        <v>-0.36113421865477791</v>
      </c>
    </row>
    <row r="7" spans="1:6" x14ac:dyDescent="0.3">
      <c r="A7" s="25" t="s">
        <v>46</v>
      </c>
      <c r="B7" s="25">
        <v>457101</v>
      </c>
      <c r="C7" t="s">
        <v>46</v>
      </c>
      <c r="D7">
        <v>560828</v>
      </c>
      <c r="F7" s="81">
        <f t="shared" si="0"/>
        <v>-0.22692359019122688</v>
      </c>
    </row>
    <row r="8" spans="1:6" x14ac:dyDescent="0.3">
      <c r="A8" s="25" t="s">
        <v>47</v>
      </c>
      <c r="B8" s="25">
        <v>439734</v>
      </c>
      <c r="C8" t="s">
        <v>47</v>
      </c>
      <c r="D8">
        <v>401031</v>
      </c>
      <c r="F8" s="81">
        <f t="shared" si="0"/>
        <v>8.8014572446069667E-2</v>
      </c>
    </row>
    <row r="9" spans="1:6" x14ac:dyDescent="0.3">
      <c r="A9" s="25" t="s">
        <v>163</v>
      </c>
      <c r="B9" s="25">
        <v>224679</v>
      </c>
      <c r="C9" t="s">
        <v>163</v>
      </c>
      <c r="D9">
        <v>172764</v>
      </c>
      <c r="F9" s="81">
        <f t="shared" si="0"/>
        <v>0.23106298318935015</v>
      </c>
    </row>
    <row r="10" spans="1:6" x14ac:dyDescent="0.3">
      <c r="A10" s="25" t="s">
        <v>164</v>
      </c>
      <c r="B10" s="25">
        <v>132155</v>
      </c>
      <c r="F10" s="81">
        <f t="shared" si="0"/>
        <v>1</v>
      </c>
    </row>
    <row r="11" spans="1:6" x14ac:dyDescent="0.3">
      <c r="A11" s="25" t="s">
        <v>165</v>
      </c>
      <c r="B11" s="25">
        <v>150342</v>
      </c>
      <c r="F11" s="81">
        <f t="shared" si="0"/>
        <v>1</v>
      </c>
    </row>
    <row r="12" spans="1:6" x14ac:dyDescent="0.3">
      <c r="A12" s="25" t="s">
        <v>39</v>
      </c>
      <c r="B12" s="25">
        <v>14043</v>
      </c>
      <c r="C12" t="s">
        <v>39</v>
      </c>
      <c r="D12">
        <v>8062</v>
      </c>
      <c r="F12" s="81">
        <f t="shared" si="0"/>
        <v>0.42590614541052479</v>
      </c>
    </row>
    <row r="13" spans="1:6" x14ac:dyDescent="0.3">
      <c r="A13" s="25" t="s">
        <v>40</v>
      </c>
      <c r="B13" s="25">
        <v>78853</v>
      </c>
      <c r="C13" t="s">
        <v>40</v>
      </c>
      <c r="D13">
        <v>47005</v>
      </c>
      <c r="F13" s="81">
        <f t="shared" si="0"/>
        <v>0.40389078411728152</v>
      </c>
    </row>
    <row r="14" spans="1:6" x14ac:dyDescent="0.3">
      <c r="A14" s="25" t="s">
        <v>41</v>
      </c>
      <c r="B14" s="25">
        <v>40185</v>
      </c>
      <c r="C14" t="s">
        <v>41</v>
      </c>
      <c r="D14">
        <v>54949</v>
      </c>
      <c r="F14" s="81">
        <f t="shared" si="0"/>
        <v>-0.36740077143212641</v>
      </c>
    </row>
    <row r="15" spans="1:6" x14ac:dyDescent="0.3">
      <c r="A15" s="25" t="s">
        <v>44</v>
      </c>
      <c r="B15" s="25">
        <v>256282</v>
      </c>
      <c r="C15" t="s">
        <v>44</v>
      </c>
      <c r="D15">
        <v>268214</v>
      </c>
      <c r="F15" s="81">
        <f t="shared" si="0"/>
        <v>-4.6558088355795571E-2</v>
      </c>
    </row>
    <row r="16" spans="1:6" x14ac:dyDescent="0.3">
      <c r="A16" s="25" t="s">
        <v>45</v>
      </c>
      <c r="B16" s="25">
        <v>226600</v>
      </c>
      <c r="C16" t="s">
        <v>45</v>
      </c>
      <c r="D16">
        <v>248282</v>
      </c>
      <c r="F16" s="81">
        <f t="shared" si="0"/>
        <v>-9.5684024713150934E-2</v>
      </c>
    </row>
    <row r="18" spans="4:4" x14ac:dyDescent="0.3">
      <c r="D18">
        <f>B2-D2</f>
        <v>63474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 DE OPERACIONES</vt:lpstr>
      <vt:lpstr>Hoja1</vt:lpstr>
      <vt:lpstr>Dashboard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Operacioncostayacoj320</dc:creator>
  <cp:lastModifiedBy>Juan Carlos Pabón</cp:lastModifiedBy>
  <dcterms:created xsi:type="dcterms:W3CDTF">2026-07-01T05:47:53Z</dcterms:created>
  <dcterms:modified xsi:type="dcterms:W3CDTF">2026-08-27T02:16:11Z</dcterms:modified>
</cp:coreProperties>
</file>