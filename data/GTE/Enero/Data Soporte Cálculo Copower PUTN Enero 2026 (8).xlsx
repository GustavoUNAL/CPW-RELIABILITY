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powercomco-my.sharepoint.com/personal/tec_op_copower_com_co/Documents/O&amp;M COLOMBIA/Organizar/1. Gestión de actividades/1. Costayaco/2. Informes/KPI/Enero 2026/"/>
    </mc:Choice>
  </mc:AlternateContent>
  <xr:revisionPtr revIDLastSave="136" documentId="8_{3791570F-C4A4-44F3-AE99-8C3CF3722CE5}" xr6:coauthVersionLast="47" xr6:coauthVersionMax="47" xr10:uidLastSave="{88195931-AC0A-4ADD-82F3-EE365A8BDBEE}"/>
  <bookViews>
    <workbookView xWindow="-108" yWindow="-108" windowWidth="23256" windowHeight="13896" xr2:uid="{F79339F7-575E-4882-BAF2-A64DDFE0A9DA}"/>
  </bookViews>
  <sheets>
    <sheet name="Hoja2" sheetId="2" r:id="rId1"/>
    <sheet name="Hoja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C25" i="2"/>
  <c r="B24" i="2"/>
  <c r="C24" i="2"/>
  <c r="C20" i="2"/>
  <c r="B22" i="2"/>
  <c r="B23" i="2"/>
  <c r="C23" i="2"/>
  <c r="C22" i="2"/>
  <c r="C21" i="2"/>
  <c r="B21" i="2" s="1"/>
  <c r="B20" i="2"/>
</calcChain>
</file>

<file path=xl/sharedStrings.xml><?xml version="1.0" encoding="utf-8"?>
<sst xmlns="http://schemas.openxmlformats.org/spreadsheetml/2006/main" count="1152" uniqueCount="33">
  <si>
    <t>Fecha</t>
  </si>
  <si>
    <t>Contratista</t>
  </si>
  <si>
    <t>Locacion</t>
  </si>
  <si>
    <t>Equipo_Tag</t>
  </si>
  <si>
    <t>Horas_oper_dia</t>
  </si>
  <si>
    <t>Horas en Stand By</t>
  </si>
  <si>
    <t>Horas_PP</t>
  </si>
  <si>
    <t>Horas_PF_contr</t>
  </si>
  <si>
    <t>Horas_PF_cli</t>
  </si>
  <si>
    <t>Falla_evento</t>
  </si>
  <si>
    <t>COPOWER</t>
  </si>
  <si>
    <t>COSTAYACO</t>
  </si>
  <si>
    <t>CPW01</t>
  </si>
  <si>
    <t>CPW02</t>
  </si>
  <si>
    <t>CPW03</t>
  </si>
  <si>
    <t>G102I</t>
  </si>
  <si>
    <t>G102E</t>
  </si>
  <si>
    <t>G102A</t>
  </si>
  <si>
    <t>G101V</t>
  </si>
  <si>
    <t>G102J</t>
  </si>
  <si>
    <t>G102K</t>
  </si>
  <si>
    <t>VONU</t>
  </si>
  <si>
    <t>JIN-01</t>
  </si>
  <si>
    <t>JIN-02</t>
  </si>
  <si>
    <t>JIN-03</t>
  </si>
  <si>
    <t>Etiquetas de fila</t>
  </si>
  <si>
    <t>Total general</t>
  </si>
  <si>
    <t>Suma de Horas_oper_dia</t>
  </si>
  <si>
    <t>Suma de Horas en Stand By</t>
  </si>
  <si>
    <t>Suma de Horas_PP</t>
  </si>
  <si>
    <t>Suma de Horas_PF_contr</t>
  </si>
  <si>
    <t>Suma de Horas_PF_cli</t>
  </si>
  <si>
    <t>Suma de Falla_evento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</si>
</sst>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3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POWER_USER" refreshedDate="46215.536366203705" createdVersion="8" refreshedVersion="8" minRefreshableVersion="3" recordCount="372" xr:uid="{E457F1A3-E43E-41A5-B0A1-128B229BE92D}">
  <cacheSource type="worksheet">
    <worksheetSource ref="A1:J373" sheet="Hoja1"/>
  </cacheSource>
  <cacheFields count="10">
    <cacheField name="Fecha" numFmtId="164">
      <sharedItems containsSemiMixedTypes="0" containsNonDate="0" containsDate="1" containsString="0" minDate="2026-01-01T00:00:00" maxDate="2026-02-01T00:00:00"/>
    </cacheField>
    <cacheField name="Contratista" numFmtId="0">
      <sharedItems/>
    </cacheField>
    <cacheField name="Locacion" numFmtId="0">
      <sharedItems/>
    </cacheField>
    <cacheField name="Equipo_Tag" numFmtId="0">
      <sharedItems count="12">
        <s v="CPW01"/>
        <s v="CPW02"/>
        <s v="CPW03"/>
        <s v="G102I"/>
        <s v="G102E"/>
        <s v="G102A"/>
        <s v="G101V"/>
        <s v="G102J"/>
        <s v="G102K"/>
        <s v="JIN-01"/>
        <s v="JIN-02"/>
        <s v="JIN-03"/>
      </sharedItems>
    </cacheField>
    <cacheField name="Horas_oper_dia" numFmtId="0">
      <sharedItems containsSemiMixedTypes="0" containsString="0" containsNumber="1" containsInteger="1" minValue="0" maxValue="24"/>
    </cacheField>
    <cacheField name="Horas en Stand By" numFmtId="0">
      <sharedItems containsSemiMixedTypes="0" containsString="0" containsNumber="1" containsInteger="1" minValue="0" maxValue="24"/>
    </cacheField>
    <cacheField name="Horas_PP" numFmtId="0">
      <sharedItems containsSemiMixedTypes="0" containsString="0" containsNumber="1" containsInteger="1" minValue="0" maxValue="7"/>
    </cacheField>
    <cacheField name="Horas_PF_contr" numFmtId="0">
      <sharedItems containsSemiMixedTypes="0" containsString="0" containsNumber="1" containsInteger="1" minValue="0" maxValue="1"/>
    </cacheField>
    <cacheField name="Horas_PF_cli" numFmtId="0">
      <sharedItems containsSemiMixedTypes="0" containsString="0" containsNumber="1" containsInteger="1" minValue="0" maxValue="2"/>
    </cacheField>
    <cacheField name="Falla_evento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d v="2026-01-01T00:00:00"/>
    <s v="COPOWER"/>
    <s v="COSTAYACO"/>
    <x v="0"/>
    <n v="24"/>
    <n v="0"/>
    <n v="0"/>
    <n v="0"/>
    <n v="0"/>
    <n v="0"/>
  </r>
  <r>
    <d v="2026-01-01T00:00:00"/>
    <s v="COPOWER"/>
    <s v="COSTAYACO"/>
    <x v="1"/>
    <n v="24"/>
    <n v="0"/>
    <n v="0"/>
    <n v="0"/>
    <n v="0"/>
    <n v="0"/>
  </r>
  <r>
    <d v="2026-01-01T00:00:00"/>
    <s v="COPOWER"/>
    <s v="COSTAYACO"/>
    <x v="2"/>
    <n v="24"/>
    <n v="0"/>
    <n v="0"/>
    <n v="0"/>
    <n v="0"/>
    <n v="0"/>
  </r>
  <r>
    <d v="2026-01-01T00:00:00"/>
    <s v="COPOWER"/>
    <s v="COSTAYACO"/>
    <x v="3"/>
    <n v="24"/>
    <n v="0"/>
    <n v="0"/>
    <n v="0"/>
    <n v="0"/>
    <n v="0"/>
  </r>
  <r>
    <d v="2026-01-01T00:00:00"/>
    <s v="COPOWER"/>
    <s v="COSTAYACO"/>
    <x v="4"/>
    <n v="15"/>
    <n v="9"/>
    <n v="0"/>
    <n v="0"/>
    <n v="0"/>
    <n v="0"/>
  </r>
  <r>
    <d v="2026-01-01T00:00:00"/>
    <s v="COPOWER"/>
    <s v="COSTAYACO"/>
    <x v="5"/>
    <n v="24"/>
    <n v="0"/>
    <n v="0"/>
    <n v="0"/>
    <n v="0"/>
    <n v="0"/>
  </r>
  <r>
    <d v="2026-01-01T00:00:00"/>
    <s v="COPOWER"/>
    <s v="COSTAYACO"/>
    <x v="6"/>
    <n v="24"/>
    <n v="0"/>
    <n v="0"/>
    <n v="0"/>
    <n v="0"/>
    <n v="0"/>
  </r>
  <r>
    <d v="2026-01-01T00:00:00"/>
    <s v="COPOWER"/>
    <s v="COSTAYACO"/>
    <x v="7"/>
    <n v="24"/>
    <n v="0"/>
    <n v="0"/>
    <n v="0"/>
    <n v="0"/>
    <n v="0"/>
  </r>
  <r>
    <d v="2026-01-01T00:00:00"/>
    <s v="COPOWER"/>
    <s v="COSTAYACO"/>
    <x v="8"/>
    <n v="0"/>
    <n v="24"/>
    <n v="0"/>
    <n v="0"/>
    <n v="0"/>
    <n v="0"/>
  </r>
  <r>
    <d v="2026-01-01T00:00:00"/>
    <s v="COPOWER"/>
    <s v="VONU"/>
    <x v="9"/>
    <n v="0"/>
    <n v="24"/>
    <n v="0"/>
    <n v="0"/>
    <n v="0"/>
    <n v="0"/>
  </r>
  <r>
    <d v="2026-01-01T00:00:00"/>
    <s v="COPOWER"/>
    <s v="VONU"/>
    <x v="10"/>
    <n v="24"/>
    <n v="0"/>
    <n v="0"/>
    <n v="0"/>
    <n v="0"/>
    <n v="0"/>
  </r>
  <r>
    <d v="2026-01-01T00:00:00"/>
    <s v="COPOWER"/>
    <s v="VONU"/>
    <x v="11"/>
    <n v="24"/>
    <n v="0"/>
    <n v="0"/>
    <n v="0"/>
    <n v="0"/>
    <n v="0"/>
  </r>
  <r>
    <d v="2026-01-02T00:00:00"/>
    <s v="COPOWER"/>
    <s v="COSTAYACO"/>
    <x v="0"/>
    <n v="24"/>
    <n v="0"/>
    <n v="0"/>
    <n v="0"/>
    <n v="0"/>
    <n v="0"/>
  </r>
  <r>
    <d v="2026-01-02T00:00:00"/>
    <s v="COPOWER"/>
    <s v="COSTAYACO"/>
    <x v="1"/>
    <n v="24"/>
    <n v="0"/>
    <n v="0"/>
    <n v="0"/>
    <n v="0"/>
    <n v="0"/>
  </r>
  <r>
    <d v="2026-01-02T00:00:00"/>
    <s v="COPOWER"/>
    <s v="COSTAYACO"/>
    <x v="2"/>
    <n v="24"/>
    <n v="0"/>
    <n v="0"/>
    <n v="0"/>
    <n v="0"/>
    <n v="0"/>
  </r>
  <r>
    <d v="2026-01-02T00:00:00"/>
    <s v="COPOWER"/>
    <s v="COSTAYACO"/>
    <x v="3"/>
    <n v="19"/>
    <n v="0"/>
    <n v="5"/>
    <n v="0"/>
    <n v="0"/>
    <n v="0"/>
  </r>
  <r>
    <d v="2026-01-02T00:00:00"/>
    <s v="COPOWER"/>
    <s v="COSTAYACO"/>
    <x v="4"/>
    <n v="12"/>
    <n v="12"/>
    <n v="0"/>
    <n v="0"/>
    <n v="0"/>
    <n v="0"/>
  </r>
  <r>
    <d v="2026-01-02T00:00:00"/>
    <s v="COPOWER"/>
    <s v="COSTAYACO"/>
    <x v="5"/>
    <n v="11"/>
    <n v="13"/>
    <n v="0"/>
    <n v="0"/>
    <n v="0"/>
    <n v="0"/>
  </r>
  <r>
    <d v="2026-01-02T00:00:00"/>
    <s v="COPOWER"/>
    <s v="COSTAYACO"/>
    <x v="6"/>
    <n v="24"/>
    <n v="0"/>
    <n v="0"/>
    <n v="0"/>
    <n v="0"/>
    <n v="0"/>
  </r>
  <r>
    <d v="2026-01-02T00:00:00"/>
    <s v="COPOWER"/>
    <s v="COSTAYACO"/>
    <x v="7"/>
    <n v="21"/>
    <n v="3"/>
    <n v="0"/>
    <n v="0"/>
    <n v="0"/>
    <n v="0"/>
  </r>
  <r>
    <d v="2026-01-02T00:00:00"/>
    <s v="COPOWER"/>
    <s v="COSTAYACO"/>
    <x v="8"/>
    <n v="17"/>
    <n v="7"/>
    <n v="0"/>
    <n v="0"/>
    <n v="0"/>
    <n v="0"/>
  </r>
  <r>
    <d v="2026-01-02T00:00:00"/>
    <s v="COPOWER"/>
    <s v="VONU"/>
    <x v="9"/>
    <n v="7"/>
    <n v="17"/>
    <n v="0"/>
    <n v="0"/>
    <n v="0"/>
    <n v="0"/>
  </r>
  <r>
    <d v="2026-01-02T00:00:00"/>
    <s v="COPOWER"/>
    <s v="VONU"/>
    <x v="10"/>
    <n v="19"/>
    <n v="5"/>
    <n v="0"/>
    <n v="0"/>
    <n v="0"/>
    <n v="0"/>
  </r>
  <r>
    <d v="2026-01-02T00:00:00"/>
    <s v="COPOWER"/>
    <s v="VONU"/>
    <x v="11"/>
    <n v="23"/>
    <n v="1"/>
    <n v="0"/>
    <n v="0"/>
    <n v="0"/>
    <n v="0"/>
  </r>
  <r>
    <d v="2026-01-03T00:00:00"/>
    <s v="COPOWER"/>
    <s v="COSTAYACO"/>
    <x v="0"/>
    <n v="20"/>
    <n v="0"/>
    <n v="4"/>
    <n v="0"/>
    <n v="0"/>
    <n v="0"/>
  </r>
  <r>
    <d v="2026-01-03T00:00:00"/>
    <s v="COPOWER"/>
    <s v="COSTAYACO"/>
    <x v="1"/>
    <n v="24"/>
    <n v="0"/>
    <n v="0"/>
    <n v="0"/>
    <n v="0"/>
    <n v="0"/>
  </r>
  <r>
    <d v="2026-01-03T00:00:00"/>
    <s v="COPOWER"/>
    <s v="COSTAYACO"/>
    <x v="2"/>
    <n v="24"/>
    <n v="0"/>
    <n v="0"/>
    <n v="0"/>
    <n v="0"/>
    <n v="0"/>
  </r>
  <r>
    <d v="2026-01-03T00:00:00"/>
    <s v="COPOWER"/>
    <s v="COSTAYACO"/>
    <x v="3"/>
    <n v="24"/>
    <n v="0"/>
    <n v="0"/>
    <n v="0"/>
    <n v="0"/>
    <n v="0"/>
  </r>
  <r>
    <d v="2026-01-03T00:00:00"/>
    <s v="COPOWER"/>
    <s v="COSTAYACO"/>
    <x v="4"/>
    <n v="0"/>
    <n v="24"/>
    <n v="0"/>
    <n v="0"/>
    <n v="0"/>
    <n v="0"/>
  </r>
  <r>
    <d v="2026-01-03T00:00:00"/>
    <s v="COPOWER"/>
    <s v="COSTAYACO"/>
    <x v="5"/>
    <n v="0"/>
    <n v="24"/>
    <n v="0"/>
    <n v="0"/>
    <n v="0"/>
    <n v="0"/>
  </r>
  <r>
    <d v="2026-01-03T00:00:00"/>
    <s v="COPOWER"/>
    <s v="COSTAYACO"/>
    <x v="6"/>
    <n v="24"/>
    <n v="0"/>
    <n v="0"/>
    <n v="0"/>
    <n v="0"/>
    <n v="0"/>
  </r>
  <r>
    <d v="2026-01-03T00:00:00"/>
    <s v="COPOWER"/>
    <s v="COSTAYACO"/>
    <x v="7"/>
    <n v="24"/>
    <n v="0"/>
    <n v="0"/>
    <n v="0"/>
    <n v="0"/>
    <n v="0"/>
  </r>
  <r>
    <d v="2026-01-03T00:00:00"/>
    <s v="COPOWER"/>
    <s v="COSTAYACO"/>
    <x v="8"/>
    <n v="10"/>
    <n v="14"/>
    <n v="0"/>
    <n v="0"/>
    <n v="0"/>
    <n v="0"/>
  </r>
  <r>
    <d v="2026-01-03T00:00:00"/>
    <s v="COPOWER"/>
    <s v="VONU"/>
    <x v="9"/>
    <n v="16"/>
    <n v="8"/>
    <n v="0"/>
    <n v="0"/>
    <n v="0"/>
    <n v="0"/>
  </r>
  <r>
    <d v="2026-01-03T00:00:00"/>
    <s v="COPOWER"/>
    <s v="VONU"/>
    <x v="10"/>
    <n v="7"/>
    <n v="17"/>
    <n v="0"/>
    <n v="0"/>
    <n v="0"/>
    <n v="0"/>
  </r>
  <r>
    <d v="2026-01-03T00:00:00"/>
    <s v="COPOWER"/>
    <s v="VONU"/>
    <x v="11"/>
    <n v="13"/>
    <n v="11"/>
    <n v="0"/>
    <n v="0"/>
    <n v="0"/>
    <n v="0"/>
  </r>
  <r>
    <d v="2026-01-04T00:00:00"/>
    <s v="COPOWER"/>
    <s v="COSTAYACO"/>
    <x v="0"/>
    <n v="22"/>
    <n v="2"/>
    <n v="0"/>
    <n v="0"/>
    <n v="0"/>
    <n v="0"/>
  </r>
  <r>
    <d v="2026-01-04T00:00:00"/>
    <s v="COPOWER"/>
    <s v="COSTAYACO"/>
    <x v="1"/>
    <n v="24"/>
    <n v="0"/>
    <n v="0"/>
    <n v="0"/>
    <n v="0"/>
    <n v="0"/>
  </r>
  <r>
    <d v="2026-01-04T00:00:00"/>
    <s v="COPOWER"/>
    <s v="COSTAYACO"/>
    <x v="2"/>
    <n v="24"/>
    <n v="0"/>
    <n v="0"/>
    <n v="0"/>
    <n v="0"/>
    <n v="0"/>
  </r>
  <r>
    <d v="2026-01-04T00:00:00"/>
    <s v="COPOWER"/>
    <s v="COSTAYACO"/>
    <x v="3"/>
    <n v="24"/>
    <n v="0"/>
    <n v="0"/>
    <n v="0"/>
    <n v="0"/>
    <n v="0"/>
  </r>
  <r>
    <d v="2026-01-04T00:00:00"/>
    <s v="COPOWER"/>
    <s v="COSTAYACO"/>
    <x v="4"/>
    <n v="0"/>
    <n v="24"/>
    <n v="0"/>
    <n v="0"/>
    <n v="0"/>
    <n v="0"/>
  </r>
  <r>
    <d v="2026-01-04T00:00:00"/>
    <s v="COPOWER"/>
    <s v="COSTAYACO"/>
    <x v="5"/>
    <n v="0"/>
    <n v="24"/>
    <n v="0"/>
    <n v="0"/>
    <n v="0"/>
    <n v="0"/>
  </r>
  <r>
    <d v="2026-01-04T00:00:00"/>
    <s v="COPOWER"/>
    <s v="COSTAYACO"/>
    <x v="6"/>
    <n v="24"/>
    <n v="0"/>
    <n v="0"/>
    <n v="0"/>
    <n v="0"/>
    <n v="0"/>
  </r>
  <r>
    <d v="2026-01-04T00:00:00"/>
    <s v="COPOWER"/>
    <s v="COSTAYACO"/>
    <x v="7"/>
    <n v="24"/>
    <n v="0"/>
    <n v="0"/>
    <n v="0"/>
    <n v="0"/>
    <n v="0"/>
  </r>
  <r>
    <d v="2026-01-04T00:00:00"/>
    <s v="COPOWER"/>
    <s v="COSTAYACO"/>
    <x v="8"/>
    <n v="24"/>
    <n v="0"/>
    <n v="0"/>
    <n v="0"/>
    <n v="0"/>
    <n v="0"/>
  </r>
  <r>
    <d v="2026-01-04T00:00:00"/>
    <s v="COPOWER"/>
    <s v="VONU"/>
    <x v="9"/>
    <n v="0"/>
    <n v="24"/>
    <n v="0"/>
    <n v="0"/>
    <n v="0"/>
    <n v="0"/>
  </r>
  <r>
    <d v="2026-01-04T00:00:00"/>
    <s v="COPOWER"/>
    <s v="VONU"/>
    <x v="10"/>
    <n v="24"/>
    <n v="0"/>
    <n v="0"/>
    <n v="0"/>
    <n v="0"/>
    <n v="0"/>
  </r>
  <r>
    <d v="2026-01-04T00:00:00"/>
    <s v="COPOWER"/>
    <s v="VONU"/>
    <x v="11"/>
    <n v="24"/>
    <n v="0"/>
    <n v="0"/>
    <n v="0"/>
    <n v="0"/>
    <n v="0"/>
  </r>
  <r>
    <d v="2026-01-05T00:00:00"/>
    <s v="COPOWER"/>
    <s v="COSTAYACO"/>
    <x v="0"/>
    <n v="24"/>
    <n v="0"/>
    <n v="0"/>
    <n v="0"/>
    <n v="0"/>
    <n v="0"/>
  </r>
  <r>
    <d v="2026-01-05T00:00:00"/>
    <s v="COPOWER"/>
    <s v="COSTAYACO"/>
    <x v="1"/>
    <n v="24"/>
    <n v="0"/>
    <n v="0"/>
    <n v="0"/>
    <n v="0"/>
    <n v="0"/>
  </r>
  <r>
    <d v="2026-01-05T00:00:00"/>
    <s v="COPOWER"/>
    <s v="COSTAYACO"/>
    <x v="2"/>
    <n v="24"/>
    <n v="0"/>
    <n v="0"/>
    <n v="0"/>
    <n v="0"/>
    <n v="0"/>
  </r>
  <r>
    <d v="2026-01-05T00:00:00"/>
    <s v="COPOWER"/>
    <s v="COSTAYACO"/>
    <x v="3"/>
    <n v="20"/>
    <n v="4"/>
    <n v="0"/>
    <n v="0"/>
    <n v="0"/>
    <n v="0"/>
  </r>
  <r>
    <d v="2026-01-05T00:00:00"/>
    <s v="COPOWER"/>
    <s v="COSTAYACO"/>
    <x v="4"/>
    <n v="10"/>
    <n v="14"/>
    <n v="0"/>
    <n v="0"/>
    <n v="0"/>
    <n v="0"/>
  </r>
  <r>
    <d v="2026-01-05T00:00:00"/>
    <s v="COPOWER"/>
    <s v="COSTAYACO"/>
    <x v="5"/>
    <n v="13"/>
    <n v="11"/>
    <n v="0"/>
    <n v="0"/>
    <n v="0"/>
    <n v="0"/>
  </r>
  <r>
    <d v="2026-01-05T00:00:00"/>
    <s v="COPOWER"/>
    <s v="COSTAYACO"/>
    <x v="6"/>
    <n v="23"/>
    <n v="1"/>
    <n v="0"/>
    <n v="0"/>
    <n v="0"/>
    <n v="0"/>
  </r>
  <r>
    <d v="2026-01-05T00:00:00"/>
    <s v="COPOWER"/>
    <s v="COSTAYACO"/>
    <x v="7"/>
    <n v="18"/>
    <n v="6"/>
    <n v="0"/>
    <n v="0"/>
    <n v="0"/>
    <n v="0"/>
  </r>
  <r>
    <d v="2026-01-05T00:00:00"/>
    <s v="COPOWER"/>
    <s v="COSTAYACO"/>
    <x v="8"/>
    <n v="24"/>
    <n v="0"/>
    <n v="0"/>
    <n v="0"/>
    <n v="0"/>
    <n v="0"/>
  </r>
  <r>
    <d v="2026-01-05T00:00:00"/>
    <s v="COPOWER"/>
    <s v="VONU"/>
    <x v="9"/>
    <n v="0"/>
    <n v="24"/>
    <n v="0"/>
    <n v="0"/>
    <n v="0"/>
    <n v="0"/>
  </r>
  <r>
    <d v="2026-01-05T00:00:00"/>
    <s v="COPOWER"/>
    <s v="VONU"/>
    <x v="10"/>
    <n v="24"/>
    <n v="0"/>
    <n v="0"/>
    <n v="0"/>
    <n v="0"/>
    <n v="0"/>
  </r>
  <r>
    <d v="2026-01-05T00:00:00"/>
    <s v="COPOWER"/>
    <s v="VONU"/>
    <x v="11"/>
    <n v="24"/>
    <n v="0"/>
    <n v="0"/>
    <n v="0"/>
    <n v="0"/>
    <n v="0"/>
  </r>
  <r>
    <d v="2026-01-06T00:00:00"/>
    <s v="COPOWER"/>
    <s v="COSTAYACO"/>
    <x v="0"/>
    <n v="20"/>
    <n v="4"/>
    <n v="0"/>
    <n v="0"/>
    <n v="0"/>
    <n v="0"/>
  </r>
  <r>
    <d v="2026-01-06T00:00:00"/>
    <s v="COPOWER"/>
    <s v="COSTAYACO"/>
    <x v="1"/>
    <n v="22"/>
    <n v="2"/>
    <n v="0"/>
    <n v="0"/>
    <n v="0"/>
    <n v="0"/>
  </r>
  <r>
    <d v="2026-01-06T00:00:00"/>
    <s v="COPOWER"/>
    <s v="COSTAYACO"/>
    <x v="2"/>
    <n v="21"/>
    <n v="3"/>
    <n v="0"/>
    <n v="0"/>
    <n v="0"/>
    <n v="0"/>
  </r>
  <r>
    <d v="2026-01-06T00:00:00"/>
    <s v="COPOWER"/>
    <s v="COSTAYACO"/>
    <x v="3"/>
    <n v="24"/>
    <n v="0"/>
    <n v="0"/>
    <n v="0"/>
    <n v="0"/>
    <n v="0"/>
  </r>
  <r>
    <d v="2026-01-06T00:00:00"/>
    <s v="COPOWER"/>
    <s v="COSTAYACO"/>
    <x v="4"/>
    <n v="6"/>
    <n v="18"/>
    <n v="0"/>
    <n v="0"/>
    <n v="0"/>
    <n v="0"/>
  </r>
  <r>
    <d v="2026-01-06T00:00:00"/>
    <s v="COPOWER"/>
    <s v="COSTAYACO"/>
    <x v="5"/>
    <n v="6"/>
    <n v="18"/>
    <n v="0"/>
    <n v="0"/>
    <n v="0"/>
    <n v="0"/>
  </r>
  <r>
    <d v="2026-01-06T00:00:00"/>
    <s v="COPOWER"/>
    <s v="COSTAYACO"/>
    <x v="6"/>
    <n v="24"/>
    <n v="0"/>
    <n v="0"/>
    <n v="0"/>
    <n v="0"/>
    <n v="0"/>
  </r>
  <r>
    <d v="2026-01-06T00:00:00"/>
    <s v="COPOWER"/>
    <s v="COSTAYACO"/>
    <x v="7"/>
    <n v="24"/>
    <n v="0"/>
    <n v="0"/>
    <n v="0"/>
    <n v="0"/>
    <n v="0"/>
  </r>
  <r>
    <d v="2026-01-06T00:00:00"/>
    <s v="COPOWER"/>
    <s v="COSTAYACO"/>
    <x v="8"/>
    <n v="24"/>
    <n v="0"/>
    <n v="0"/>
    <n v="0"/>
    <n v="0"/>
    <n v="0"/>
  </r>
  <r>
    <d v="2026-01-06T00:00:00"/>
    <s v="COPOWER"/>
    <s v="VONU"/>
    <x v="9"/>
    <n v="0"/>
    <n v="24"/>
    <n v="0"/>
    <n v="0"/>
    <n v="0"/>
    <n v="0"/>
  </r>
  <r>
    <d v="2026-01-06T00:00:00"/>
    <s v="COPOWER"/>
    <s v="VONU"/>
    <x v="10"/>
    <n v="24"/>
    <n v="0"/>
    <n v="0"/>
    <n v="0"/>
    <n v="0"/>
    <n v="0"/>
  </r>
  <r>
    <d v="2026-01-06T00:00:00"/>
    <s v="COPOWER"/>
    <s v="VONU"/>
    <x v="11"/>
    <n v="24"/>
    <n v="0"/>
    <n v="0"/>
    <n v="0"/>
    <n v="0"/>
    <n v="0"/>
  </r>
  <r>
    <d v="2026-01-07T00:00:00"/>
    <s v="COPOWER"/>
    <s v="COSTAYACO"/>
    <x v="0"/>
    <n v="24"/>
    <n v="0"/>
    <n v="0"/>
    <n v="0"/>
    <n v="0"/>
    <n v="0"/>
  </r>
  <r>
    <d v="2026-01-07T00:00:00"/>
    <s v="COPOWER"/>
    <s v="COSTAYACO"/>
    <x v="1"/>
    <n v="24"/>
    <n v="0"/>
    <n v="0"/>
    <n v="0"/>
    <n v="0"/>
    <n v="0"/>
  </r>
  <r>
    <d v="2026-01-07T00:00:00"/>
    <s v="COPOWER"/>
    <s v="COSTAYACO"/>
    <x v="2"/>
    <n v="17"/>
    <n v="7"/>
    <n v="0"/>
    <n v="0"/>
    <n v="0"/>
    <n v="0"/>
  </r>
  <r>
    <d v="2026-01-07T00:00:00"/>
    <s v="COPOWER"/>
    <s v="COSTAYACO"/>
    <x v="3"/>
    <n v="7"/>
    <n v="17"/>
    <n v="0"/>
    <n v="0"/>
    <n v="0"/>
    <n v="0"/>
  </r>
  <r>
    <d v="2026-01-07T00:00:00"/>
    <s v="COPOWER"/>
    <s v="COSTAYACO"/>
    <x v="4"/>
    <n v="24"/>
    <n v="0"/>
    <n v="0"/>
    <n v="0"/>
    <n v="0"/>
    <n v="0"/>
  </r>
  <r>
    <d v="2026-01-07T00:00:00"/>
    <s v="COPOWER"/>
    <s v="COSTAYACO"/>
    <x v="5"/>
    <n v="24"/>
    <n v="0"/>
    <n v="0"/>
    <n v="0"/>
    <n v="0"/>
    <n v="0"/>
  </r>
  <r>
    <d v="2026-01-07T00:00:00"/>
    <s v="COPOWER"/>
    <s v="COSTAYACO"/>
    <x v="6"/>
    <n v="24"/>
    <n v="0"/>
    <n v="0"/>
    <n v="0"/>
    <n v="0"/>
    <n v="0"/>
  </r>
  <r>
    <d v="2026-01-07T00:00:00"/>
    <s v="COPOWER"/>
    <s v="COSTAYACO"/>
    <x v="7"/>
    <n v="24"/>
    <n v="0"/>
    <n v="0"/>
    <n v="0"/>
    <n v="0"/>
    <n v="0"/>
  </r>
  <r>
    <d v="2026-01-07T00:00:00"/>
    <s v="COPOWER"/>
    <s v="COSTAYACO"/>
    <x v="8"/>
    <n v="24"/>
    <n v="0"/>
    <n v="0"/>
    <n v="0"/>
    <n v="0"/>
    <n v="0"/>
  </r>
  <r>
    <d v="2026-01-07T00:00:00"/>
    <s v="COPOWER"/>
    <s v="VONU"/>
    <x v="9"/>
    <n v="24"/>
    <n v="0"/>
    <n v="0"/>
    <n v="0"/>
    <n v="0"/>
    <n v="0"/>
  </r>
  <r>
    <d v="2026-01-07T00:00:00"/>
    <s v="COPOWER"/>
    <s v="VONU"/>
    <x v="10"/>
    <n v="24"/>
    <n v="0"/>
    <n v="0"/>
    <n v="0"/>
    <n v="0"/>
    <n v="0"/>
  </r>
  <r>
    <d v="2026-01-07T00:00:00"/>
    <s v="COPOWER"/>
    <s v="VONU"/>
    <x v="11"/>
    <n v="24"/>
    <n v="0"/>
    <n v="0"/>
    <n v="0"/>
    <n v="0"/>
    <n v="0"/>
  </r>
  <r>
    <d v="2026-01-08T00:00:00"/>
    <s v="COPOWER"/>
    <s v="COSTAYACO"/>
    <x v="0"/>
    <n v="23"/>
    <n v="0"/>
    <n v="0"/>
    <n v="1"/>
    <n v="0"/>
    <n v="1"/>
  </r>
  <r>
    <d v="2026-01-08T00:00:00"/>
    <s v="COPOWER"/>
    <s v="COSTAYACO"/>
    <x v="1"/>
    <n v="24"/>
    <n v="0"/>
    <n v="0"/>
    <n v="0"/>
    <n v="0"/>
    <n v="0"/>
  </r>
  <r>
    <d v="2026-01-08T00:00:00"/>
    <s v="COPOWER"/>
    <s v="COSTAYACO"/>
    <x v="2"/>
    <n v="24"/>
    <n v="0"/>
    <n v="0"/>
    <n v="0"/>
    <n v="0"/>
    <n v="0"/>
  </r>
  <r>
    <d v="2026-01-08T00:00:00"/>
    <s v="COPOWER"/>
    <s v="COSTAYACO"/>
    <x v="3"/>
    <n v="24"/>
    <n v="0"/>
    <n v="0"/>
    <n v="0"/>
    <n v="0"/>
    <n v="0"/>
  </r>
  <r>
    <d v="2026-01-08T00:00:00"/>
    <s v="COPOWER"/>
    <s v="COSTAYACO"/>
    <x v="4"/>
    <n v="4"/>
    <n v="20"/>
    <n v="0"/>
    <n v="0"/>
    <n v="0"/>
    <n v="0"/>
  </r>
  <r>
    <d v="2026-01-08T00:00:00"/>
    <s v="COPOWER"/>
    <s v="COSTAYACO"/>
    <x v="5"/>
    <n v="4"/>
    <n v="20"/>
    <n v="0"/>
    <n v="0"/>
    <n v="0"/>
    <n v="0"/>
  </r>
  <r>
    <d v="2026-01-08T00:00:00"/>
    <s v="COPOWER"/>
    <s v="COSTAYACO"/>
    <x v="6"/>
    <n v="0"/>
    <n v="24"/>
    <n v="0"/>
    <n v="0"/>
    <n v="0"/>
    <n v="0"/>
  </r>
  <r>
    <d v="2026-01-08T00:00:00"/>
    <s v="COPOWER"/>
    <s v="COSTAYACO"/>
    <x v="7"/>
    <n v="24"/>
    <n v="0"/>
    <n v="0"/>
    <n v="0"/>
    <n v="0"/>
    <n v="0"/>
  </r>
  <r>
    <d v="2026-01-08T00:00:00"/>
    <s v="COPOWER"/>
    <s v="COSTAYACO"/>
    <x v="8"/>
    <n v="24"/>
    <n v="0"/>
    <n v="0"/>
    <n v="0"/>
    <n v="0"/>
    <n v="0"/>
  </r>
  <r>
    <d v="2026-01-08T00:00:00"/>
    <s v="COPOWER"/>
    <s v="VONU"/>
    <x v="9"/>
    <n v="0"/>
    <n v="24"/>
    <n v="0"/>
    <n v="0"/>
    <n v="0"/>
    <n v="0"/>
  </r>
  <r>
    <d v="2026-01-08T00:00:00"/>
    <s v="COPOWER"/>
    <s v="VONU"/>
    <x v="10"/>
    <n v="24"/>
    <n v="0"/>
    <n v="0"/>
    <n v="0"/>
    <n v="0"/>
    <n v="0"/>
  </r>
  <r>
    <d v="2026-01-08T00:00:00"/>
    <s v="COPOWER"/>
    <s v="VONU"/>
    <x v="11"/>
    <n v="24"/>
    <n v="0"/>
    <n v="0"/>
    <n v="0"/>
    <n v="0"/>
    <n v="0"/>
  </r>
  <r>
    <d v="2026-01-09T00:00:00"/>
    <s v="COPOWER"/>
    <s v="COSTAYACO"/>
    <x v="0"/>
    <n v="24"/>
    <n v="0"/>
    <n v="0"/>
    <n v="0"/>
    <n v="0"/>
    <n v="0"/>
  </r>
  <r>
    <d v="2026-01-09T00:00:00"/>
    <s v="COPOWER"/>
    <s v="COSTAYACO"/>
    <x v="1"/>
    <n v="24"/>
    <n v="0"/>
    <n v="0"/>
    <n v="0"/>
    <n v="0"/>
    <n v="0"/>
  </r>
  <r>
    <d v="2026-01-09T00:00:00"/>
    <s v="COPOWER"/>
    <s v="COSTAYACO"/>
    <x v="2"/>
    <n v="24"/>
    <n v="0"/>
    <n v="0"/>
    <n v="0"/>
    <n v="0"/>
    <n v="0"/>
  </r>
  <r>
    <d v="2026-01-09T00:00:00"/>
    <s v="COPOWER"/>
    <s v="COSTAYACO"/>
    <x v="3"/>
    <n v="24"/>
    <n v="0"/>
    <n v="0"/>
    <n v="0"/>
    <n v="0"/>
    <n v="0"/>
  </r>
  <r>
    <d v="2026-01-09T00:00:00"/>
    <s v="COPOWER"/>
    <s v="COSTAYACO"/>
    <x v="4"/>
    <n v="0"/>
    <n v="24"/>
    <n v="0"/>
    <n v="0"/>
    <n v="0"/>
    <n v="0"/>
  </r>
  <r>
    <d v="2026-01-09T00:00:00"/>
    <s v="COPOWER"/>
    <s v="COSTAYACO"/>
    <x v="5"/>
    <n v="0"/>
    <n v="24"/>
    <n v="0"/>
    <n v="0"/>
    <n v="0"/>
    <n v="0"/>
  </r>
  <r>
    <d v="2026-01-09T00:00:00"/>
    <s v="COPOWER"/>
    <s v="COSTAYACO"/>
    <x v="6"/>
    <n v="0"/>
    <n v="24"/>
    <n v="0"/>
    <n v="0"/>
    <n v="0"/>
    <n v="0"/>
  </r>
  <r>
    <d v="2026-01-09T00:00:00"/>
    <s v="COPOWER"/>
    <s v="COSTAYACO"/>
    <x v="7"/>
    <n v="24"/>
    <n v="0"/>
    <n v="0"/>
    <n v="0"/>
    <n v="0"/>
    <n v="0"/>
  </r>
  <r>
    <d v="2026-01-09T00:00:00"/>
    <s v="COPOWER"/>
    <s v="COSTAYACO"/>
    <x v="8"/>
    <n v="24"/>
    <n v="0"/>
    <n v="0"/>
    <n v="0"/>
    <n v="0"/>
    <n v="0"/>
  </r>
  <r>
    <d v="2026-01-09T00:00:00"/>
    <s v="COPOWER"/>
    <s v="VONU"/>
    <x v="9"/>
    <n v="24"/>
    <n v="0"/>
    <n v="0"/>
    <n v="0"/>
    <n v="0"/>
    <n v="0"/>
  </r>
  <r>
    <d v="2026-01-09T00:00:00"/>
    <s v="COPOWER"/>
    <s v="VONU"/>
    <x v="10"/>
    <n v="24"/>
    <n v="0"/>
    <n v="0"/>
    <n v="0"/>
    <n v="0"/>
    <n v="0"/>
  </r>
  <r>
    <d v="2026-01-09T00:00:00"/>
    <s v="COPOWER"/>
    <s v="VONU"/>
    <x v="11"/>
    <n v="24"/>
    <n v="0"/>
    <n v="0"/>
    <n v="0"/>
    <n v="0"/>
    <n v="0"/>
  </r>
  <r>
    <d v="2026-01-10T00:00:00"/>
    <s v="COPOWER"/>
    <s v="COSTAYACO"/>
    <x v="0"/>
    <n v="24"/>
    <n v="0"/>
    <n v="0"/>
    <n v="0"/>
    <n v="0"/>
    <n v="0"/>
  </r>
  <r>
    <d v="2026-01-10T00:00:00"/>
    <s v="COPOWER"/>
    <s v="COSTAYACO"/>
    <x v="1"/>
    <n v="24"/>
    <n v="0"/>
    <n v="0"/>
    <n v="0"/>
    <n v="0"/>
    <n v="0"/>
  </r>
  <r>
    <d v="2026-01-10T00:00:00"/>
    <s v="COPOWER"/>
    <s v="COSTAYACO"/>
    <x v="2"/>
    <n v="24"/>
    <n v="0"/>
    <n v="0"/>
    <n v="0"/>
    <n v="0"/>
    <n v="0"/>
  </r>
  <r>
    <d v="2026-01-10T00:00:00"/>
    <s v="COPOWER"/>
    <s v="COSTAYACO"/>
    <x v="3"/>
    <n v="24"/>
    <n v="0"/>
    <n v="0"/>
    <n v="0"/>
    <n v="0"/>
    <n v="0"/>
  </r>
  <r>
    <d v="2026-01-10T00:00:00"/>
    <s v="COPOWER"/>
    <s v="COSTAYACO"/>
    <x v="4"/>
    <n v="0"/>
    <n v="24"/>
    <n v="0"/>
    <n v="0"/>
    <n v="0"/>
    <n v="0"/>
  </r>
  <r>
    <d v="2026-01-10T00:00:00"/>
    <s v="COPOWER"/>
    <s v="COSTAYACO"/>
    <x v="5"/>
    <n v="0"/>
    <n v="24"/>
    <n v="0"/>
    <n v="0"/>
    <n v="0"/>
    <n v="0"/>
  </r>
  <r>
    <d v="2026-01-10T00:00:00"/>
    <s v="COPOWER"/>
    <s v="COSTAYACO"/>
    <x v="6"/>
    <n v="0"/>
    <n v="24"/>
    <n v="0"/>
    <n v="0"/>
    <n v="0"/>
    <n v="0"/>
  </r>
  <r>
    <d v="2026-01-10T00:00:00"/>
    <s v="COPOWER"/>
    <s v="COSTAYACO"/>
    <x v="7"/>
    <n v="24"/>
    <n v="0"/>
    <n v="0"/>
    <n v="0"/>
    <n v="0"/>
    <n v="0"/>
  </r>
  <r>
    <d v="2026-01-10T00:00:00"/>
    <s v="COPOWER"/>
    <s v="COSTAYACO"/>
    <x v="8"/>
    <n v="24"/>
    <n v="0"/>
    <n v="0"/>
    <n v="0"/>
    <n v="0"/>
    <n v="0"/>
  </r>
  <r>
    <d v="2026-01-10T00:00:00"/>
    <s v="COPOWER"/>
    <s v="VONU"/>
    <x v="9"/>
    <n v="0"/>
    <n v="24"/>
    <n v="0"/>
    <n v="0"/>
    <n v="0"/>
    <n v="0"/>
  </r>
  <r>
    <d v="2026-01-10T00:00:00"/>
    <s v="COPOWER"/>
    <s v="VONU"/>
    <x v="10"/>
    <n v="24"/>
    <n v="0"/>
    <n v="0"/>
    <n v="0"/>
    <n v="0"/>
    <n v="0"/>
  </r>
  <r>
    <d v="2026-01-10T00:00:00"/>
    <s v="COPOWER"/>
    <s v="VONU"/>
    <x v="11"/>
    <n v="24"/>
    <n v="0"/>
    <n v="0"/>
    <n v="0"/>
    <n v="0"/>
    <n v="0"/>
  </r>
  <r>
    <d v="2026-01-11T00:00:00"/>
    <s v="COPOWER"/>
    <s v="COSTAYACO"/>
    <x v="0"/>
    <n v="24"/>
    <n v="0"/>
    <n v="0"/>
    <n v="0"/>
    <n v="0"/>
    <n v="0"/>
  </r>
  <r>
    <d v="2026-01-11T00:00:00"/>
    <s v="COPOWER"/>
    <s v="COSTAYACO"/>
    <x v="1"/>
    <n v="20"/>
    <n v="4"/>
    <n v="0"/>
    <n v="0"/>
    <n v="0"/>
    <n v="0"/>
  </r>
  <r>
    <d v="2026-01-11T00:00:00"/>
    <s v="COPOWER"/>
    <s v="COSTAYACO"/>
    <x v="2"/>
    <n v="24"/>
    <n v="0"/>
    <n v="0"/>
    <n v="0"/>
    <n v="0"/>
    <n v="0"/>
  </r>
  <r>
    <d v="2026-01-11T00:00:00"/>
    <s v="COPOWER"/>
    <s v="COSTAYACO"/>
    <x v="3"/>
    <n v="14"/>
    <n v="10"/>
    <n v="0"/>
    <n v="0"/>
    <n v="0"/>
    <n v="0"/>
  </r>
  <r>
    <d v="2026-01-11T00:00:00"/>
    <s v="COPOWER"/>
    <s v="COSTAYACO"/>
    <x v="4"/>
    <n v="2"/>
    <n v="22"/>
    <n v="0"/>
    <n v="0"/>
    <n v="0"/>
    <n v="0"/>
  </r>
  <r>
    <d v="2026-01-11T00:00:00"/>
    <s v="COPOWER"/>
    <s v="COSTAYACO"/>
    <x v="5"/>
    <n v="22"/>
    <n v="2"/>
    <n v="0"/>
    <n v="0"/>
    <n v="0"/>
    <n v="0"/>
  </r>
  <r>
    <d v="2026-01-11T00:00:00"/>
    <s v="COPOWER"/>
    <s v="COSTAYACO"/>
    <x v="6"/>
    <n v="19"/>
    <n v="5"/>
    <n v="0"/>
    <n v="0"/>
    <n v="0"/>
    <n v="0"/>
  </r>
  <r>
    <d v="2026-01-11T00:00:00"/>
    <s v="COPOWER"/>
    <s v="COSTAYACO"/>
    <x v="7"/>
    <n v="24"/>
    <n v="0"/>
    <n v="0"/>
    <n v="0"/>
    <n v="0"/>
    <n v="0"/>
  </r>
  <r>
    <d v="2026-01-11T00:00:00"/>
    <s v="COPOWER"/>
    <s v="COSTAYACO"/>
    <x v="8"/>
    <n v="24"/>
    <n v="0"/>
    <n v="0"/>
    <n v="0"/>
    <n v="0"/>
    <n v="0"/>
  </r>
  <r>
    <d v="2026-01-11T00:00:00"/>
    <s v="COPOWER"/>
    <s v="VONU"/>
    <x v="9"/>
    <n v="18"/>
    <n v="6"/>
    <n v="0"/>
    <n v="0"/>
    <n v="0"/>
    <n v="0"/>
  </r>
  <r>
    <d v="2026-01-11T00:00:00"/>
    <s v="COPOWER"/>
    <s v="VONU"/>
    <x v="10"/>
    <n v="24"/>
    <n v="0"/>
    <n v="0"/>
    <n v="0"/>
    <n v="0"/>
    <n v="0"/>
  </r>
  <r>
    <d v="2026-01-11T00:00:00"/>
    <s v="COPOWER"/>
    <s v="VONU"/>
    <x v="11"/>
    <n v="18"/>
    <n v="6"/>
    <n v="0"/>
    <n v="0"/>
    <n v="0"/>
    <n v="0"/>
  </r>
  <r>
    <d v="2026-01-12T00:00:00"/>
    <s v="COPOWER"/>
    <s v="COSTAYACO"/>
    <x v="0"/>
    <n v="24"/>
    <n v="0"/>
    <n v="0"/>
    <n v="0"/>
    <n v="0"/>
    <n v="0"/>
  </r>
  <r>
    <d v="2026-01-12T00:00:00"/>
    <s v="COPOWER"/>
    <s v="COSTAYACO"/>
    <x v="1"/>
    <n v="24"/>
    <n v="0"/>
    <n v="0"/>
    <n v="0"/>
    <n v="0"/>
    <n v="0"/>
  </r>
  <r>
    <d v="2026-01-12T00:00:00"/>
    <s v="COPOWER"/>
    <s v="COSTAYACO"/>
    <x v="2"/>
    <n v="24"/>
    <n v="0"/>
    <n v="0"/>
    <n v="0"/>
    <n v="0"/>
    <n v="0"/>
  </r>
  <r>
    <d v="2026-01-12T00:00:00"/>
    <s v="COPOWER"/>
    <s v="COSTAYACO"/>
    <x v="3"/>
    <n v="1"/>
    <n v="23"/>
    <n v="0"/>
    <n v="0"/>
    <n v="0"/>
    <n v="0"/>
  </r>
  <r>
    <d v="2026-01-12T00:00:00"/>
    <s v="COPOWER"/>
    <s v="COSTAYACO"/>
    <x v="4"/>
    <n v="1"/>
    <n v="23"/>
    <n v="0"/>
    <n v="0"/>
    <n v="0"/>
    <n v="0"/>
  </r>
  <r>
    <d v="2026-01-12T00:00:00"/>
    <s v="COPOWER"/>
    <s v="COSTAYACO"/>
    <x v="5"/>
    <n v="24"/>
    <n v="0"/>
    <n v="0"/>
    <n v="0"/>
    <n v="0"/>
    <n v="0"/>
  </r>
  <r>
    <d v="2026-01-12T00:00:00"/>
    <s v="COPOWER"/>
    <s v="COSTAYACO"/>
    <x v="6"/>
    <n v="24"/>
    <n v="0"/>
    <n v="0"/>
    <n v="0"/>
    <n v="0"/>
    <n v="0"/>
  </r>
  <r>
    <d v="2026-01-12T00:00:00"/>
    <s v="COPOWER"/>
    <s v="COSTAYACO"/>
    <x v="7"/>
    <n v="24"/>
    <n v="0"/>
    <n v="0"/>
    <n v="0"/>
    <n v="0"/>
    <n v="0"/>
  </r>
  <r>
    <d v="2026-01-12T00:00:00"/>
    <s v="COPOWER"/>
    <s v="COSTAYACO"/>
    <x v="8"/>
    <n v="24"/>
    <n v="0"/>
    <n v="0"/>
    <n v="0"/>
    <n v="0"/>
    <n v="0"/>
  </r>
  <r>
    <d v="2026-01-12T00:00:00"/>
    <s v="COPOWER"/>
    <s v="VONU"/>
    <x v="9"/>
    <n v="24"/>
    <n v="0"/>
    <n v="0"/>
    <n v="0"/>
    <n v="0"/>
    <n v="0"/>
  </r>
  <r>
    <d v="2026-01-12T00:00:00"/>
    <s v="COPOWER"/>
    <s v="VONU"/>
    <x v="10"/>
    <n v="24"/>
    <n v="0"/>
    <n v="0"/>
    <n v="0"/>
    <n v="0"/>
    <n v="0"/>
  </r>
  <r>
    <d v="2026-01-12T00:00:00"/>
    <s v="COPOWER"/>
    <s v="VONU"/>
    <x v="11"/>
    <n v="0"/>
    <n v="24"/>
    <n v="0"/>
    <n v="0"/>
    <n v="0"/>
    <n v="0"/>
  </r>
  <r>
    <d v="2026-01-13T00:00:00"/>
    <s v="COPOWER"/>
    <s v="COSTAYACO"/>
    <x v="0"/>
    <n v="20"/>
    <n v="4"/>
    <n v="0"/>
    <n v="0"/>
    <n v="0"/>
    <n v="0"/>
  </r>
  <r>
    <d v="2026-01-13T00:00:00"/>
    <s v="COPOWER"/>
    <s v="COSTAYACO"/>
    <x v="1"/>
    <n v="21"/>
    <n v="3"/>
    <n v="0"/>
    <n v="0"/>
    <n v="0"/>
    <n v="0"/>
  </r>
  <r>
    <d v="2026-01-13T00:00:00"/>
    <s v="COPOWER"/>
    <s v="COSTAYACO"/>
    <x v="2"/>
    <n v="20"/>
    <n v="4"/>
    <n v="0"/>
    <n v="0"/>
    <n v="0"/>
    <n v="0"/>
  </r>
  <r>
    <d v="2026-01-13T00:00:00"/>
    <s v="COPOWER"/>
    <s v="COSTAYACO"/>
    <x v="3"/>
    <n v="1"/>
    <n v="23"/>
    <n v="0"/>
    <n v="0"/>
    <n v="0"/>
    <n v="0"/>
  </r>
  <r>
    <d v="2026-01-13T00:00:00"/>
    <s v="COPOWER"/>
    <s v="COSTAYACO"/>
    <x v="4"/>
    <n v="1"/>
    <n v="23"/>
    <n v="0"/>
    <n v="0"/>
    <n v="0"/>
    <n v="0"/>
  </r>
  <r>
    <d v="2026-01-13T00:00:00"/>
    <s v="COPOWER"/>
    <s v="COSTAYACO"/>
    <x v="5"/>
    <n v="24"/>
    <n v="0"/>
    <n v="0"/>
    <n v="0"/>
    <n v="0"/>
    <n v="0"/>
  </r>
  <r>
    <d v="2026-01-13T00:00:00"/>
    <s v="COPOWER"/>
    <s v="COSTAYACO"/>
    <x v="6"/>
    <n v="24"/>
    <n v="0"/>
    <n v="0"/>
    <n v="0"/>
    <n v="0"/>
    <n v="0"/>
  </r>
  <r>
    <d v="2026-01-13T00:00:00"/>
    <s v="COPOWER"/>
    <s v="COSTAYACO"/>
    <x v="7"/>
    <n v="24"/>
    <n v="0"/>
    <n v="0"/>
    <n v="0"/>
    <n v="0"/>
    <n v="0"/>
  </r>
  <r>
    <d v="2026-01-13T00:00:00"/>
    <s v="COPOWER"/>
    <s v="COSTAYACO"/>
    <x v="8"/>
    <n v="24"/>
    <n v="0"/>
    <n v="0"/>
    <n v="0"/>
    <n v="0"/>
    <n v="0"/>
  </r>
  <r>
    <d v="2026-01-13T00:00:00"/>
    <s v="COPOWER"/>
    <s v="VONU"/>
    <x v="9"/>
    <n v="24"/>
    <n v="0"/>
    <n v="0"/>
    <n v="0"/>
    <n v="0"/>
    <n v="0"/>
  </r>
  <r>
    <d v="2026-01-13T00:00:00"/>
    <s v="COPOWER"/>
    <s v="VONU"/>
    <x v="10"/>
    <n v="24"/>
    <n v="0"/>
    <n v="0"/>
    <n v="0"/>
    <n v="0"/>
    <n v="0"/>
  </r>
  <r>
    <d v="2026-01-13T00:00:00"/>
    <s v="COPOWER"/>
    <s v="VONU"/>
    <x v="11"/>
    <n v="0"/>
    <n v="24"/>
    <n v="0"/>
    <n v="0"/>
    <n v="0"/>
    <n v="0"/>
  </r>
  <r>
    <d v="2026-01-14T00:00:00"/>
    <s v="COPOWER"/>
    <s v="COSTAYACO"/>
    <x v="0"/>
    <n v="24"/>
    <n v="0"/>
    <n v="0"/>
    <n v="0"/>
    <n v="0"/>
    <n v="0"/>
  </r>
  <r>
    <d v="2026-01-14T00:00:00"/>
    <s v="COPOWER"/>
    <s v="COSTAYACO"/>
    <x v="1"/>
    <n v="24"/>
    <n v="0"/>
    <n v="0"/>
    <n v="0"/>
    <n v="0"/>
    <n v="0"/>
  </r>
  <r>
    <d v="2026-01-14T00:00:00"/>
    <s v="COPOWER"/>
    <s v="COSTAYACO"/>
    <x v="2"/>
    <n v="24"/>
    <n v="0"/>
    <n v="0"/>
    <n v="0"/>
    <n v="0"/>
    <n v="0"/>
  </r>
  <r>
    <d v="2026-01-14T00:00:00"/>
    <s v="COPOWER"/>
    <s v="COSTAYACO"/>
    <x v="3"/>
    <n v="3"/>
    <n v="21"/>
    <n v="0"/>
    <n v="0"/>
    <n v="0"/>
    <n v="0"/>
  </r>
  <r>
    <d v="2026-01-14T00:00:00"/>
    <s v="COPOWER"/>
    <s v="COSTAYACO"/>
    <x v="4"/>
    <n v="3"/>
    <n v="21"/>
    <n v="0"/>
    <n v="0"/>
    <n v="0"/>
    <n v="0"/>
  </r>
  <r>
    <d v="2026-01-14T00:00:00"/>
    <s v="COPOWER"/>
    <s v="COSTAYACO"/>
    <x v="5"/>
    <n v="24"/>
    <n v="0"/>
    <n v="0"/>
    <n v="0"/>
    <n v="0"/>
    <n v="0"/>
  </r>
  <r>
    <d v="2026-01-14T00:00:00"/>
    <s v="COPOWER"/>
    <s v="COSTAYACO"/>
    <x v="6"/>
    <n v="24"/>
    <n v="0"/>
    <n v="0"/>
    <n v="0"/>
    <n v="0"/>
    <n v="0"/>
  </r>
  <r>
    <d v="2026-01-14T00:00:00"/>
    <s v="COPOWER"/>
    <s v="COSTAYACO"/>
    <x v="7"/>
    <n v="24"/>
    <n v="0"/>
    <n v="0"/>
    <n v="0"/>
    <n v="0"/>
    <n v="0"/>
  </r>
  <r>
    <d v="2026-01-14T00:00:00"/>
    <s v="COPOWER"/>
    <s v="COSTAYACO"/>
    <x v="8"/>
    <n v="24"/>
    <n v="0"/>
    <n v="0"/>
    <n v="0"/>
    <n v="0"/>
    <n v="0"/>
  </r>
  <r>
    <d v="2026-01-14T00:00:00"/>
    <s v="COPOWER"/>
    <s v="VONU"/>
    <x v="9"/>
    <n v="24"/>
    <n v="0"/>
    <n v="0"/>
    <n v="0"/>
    <n v="0"/>
    <n v="0"/>
  </r>
  <r>
    <d v="2026-01-14T00:00:00"/>
    <s v="COPOWER"/>
    <s v="VONU"/>
    <x v="10"/>
    <n v="0"/>
    <n v="24"/>
    <n v="0"/>
    <n v="0"/>
    <n v="0"/>
    <n v="0"/>
  </r>
  <r>
    <d v="2026-01-14T00:00:00"/>
    <s v="COPOWER"/>
    <s v="VONU"/>
    <x v="11"/>
    <n v="24"/>
    <n v="0"/>
    <n v="0"/>
    <n v="0"/>
    <n v="0"/>
    <n v="0"/>
  </r>
  <r>
    <d v="2026-01-15T00:00:00"/>
    <s v="COPOWER"/>
    <s v="COSTAYACO"/>
    <x v="0"/>
    <n v="24"/>
    <n v="0"/>
    <n v="0"/>
    <n v="0"/>
    <n v="0"/>
    <n v="0"/>
  </r>
  <r>
    <d v="2026-01-15T00:00:00"/>
    <s v="COPOWER"/>
    <s v="COSTAYACO"/>
    <x v="1"/>
    <n v="24"/>
    <n v="0"/>
    <n v="0"/>
    <n v="0"/>
    <n v="0"/>
    <n v="0"/>
  </r>
  <r>
    <d v="2026-01-15T00:00:00"/>
    <s v="COPOWER"/>
    <s v="COSTAYACO"/>
    <x v="2"/>
    <n v="24"/>
    <n v="0"/>
    <n v="0"/>
    <n v="0"/>
    <n v="0"/>
    <n v="0"/>
  </r>
  <r>
    <d v="2026-01-15T00:00:00"/>
    <s v="COPOWER"/>
    <s v="COSTAYACO"/>
    <x v="3"/>
    <n v="3"/>
    <n v="21"/>
    <n v="0"/>
    <n v="0"/>
    <n v="0"/>
    <n v="0"/>
  </r>
  <r>
    <d v="2026-01-15T00:00:00"/>
    <s v="COPOWER"/>
    <s v="COSTAYACO"/>
    <x v="4"/>
    <n v="3"/>
    <n v="21"/>
    <n v="0"/>
    <n v="0"/>
    <n v="0"/>
    <n v="0"/>
  </r>
  <r>
    <d v="2026-01-15T00:00:00"/>
    <s v="COPOWER"/>
    <s v="COSTAYACO"/>
    <x v="5"/>
    <n v="24"/>
    <n v="0"/>
    <n v="0"/>
    <n v="0"/>
    <n v="0"/>
    <n v="0"/>
  </r>
  <r>
    <d v="2026-01-15T00:00:00"/>
    <s v="COPOWER"/>
    <s v="COSTAYACO"/>
    <x v="6"/>
    <n v="24"/>
    <n v="0"/>
    <n v="0"/>
    <n v="0"/>
    <n v="0"/>
    <n v="0"/>
  </r>
  <r>
    <d v="2026-01-15T00:00:00"/>
    <s v="COPOWER"/>
    <s v="COSTAYACO"/>
    <x v="7"/>
    <n v="24"/>
    <n v="0"/>
    <n v="0"/>
    <n v="0"/>
    <n v="0"/>
    <n v="0"/>
  </r>
  <r>
    <d v="2026-01-15T00:00:00"/>
    <s v="COPOWER"/>
    <s v="COSTAYACO"/>
    <x v="8"/>
    <n v="24"/>
    <n v="0"/>
    <n v="0"/>
    <n v="0"/>
    <n v="0"/>
    <n v="0"/>
  </r>
  <r>
    <d v="2026-01-15T00:00:00"/>
    <s v="COPOWER"/>
    <s v="VONU"/>
    <x v="9"/>
    <n v="24"/>
    <n v="0"/>
    <n v="0"/>
    <n v="0"/>
    <n v="0"/>
    <n v="0"/>
  </r>
  <r>
    <d v="2026-01-15T00:00:00"/>
    <s v="COPOWER"/>
    <s v="VONU"/>
    <x v="10"/>
    <n v="0"/>
    <n v="24"/>
    <n v="0"/>
    <n v="0"/>
    <n v="0"/>
    <n v="0"/>
  </r>
  <r>
    <d v="2026-01-15T00:00:00"/>
    <s v="COPOWER"/>
    <s v="VONU"/>
    <x v="11"/>
    <n v="24"/>
    <n v="0"/>
    <n v="0"/>
    <n v="0"/>
    <n v="0"/>
    <n v="0"/>
  </r>
  <r>
    <d v="2026-01-16T00:00:00"/>
    <s v="COPOWER"/>
    <s v="COSTAYACO"/>
    <x v="0"/>
    <n v="24"/>
    <n v="0"/>
    <n v="0"/>
    <n v="0"/>
    <n v="0"/>
    <n v="0"/>
  </r>
  <r>
    <d v="2026-01-16T00:00:00"/>
    <s v="COPOWER"/>
    <s v="COSTAYACO"/>
    <x v="1"/>
    <n v="24"/>
    <n v="0"/>
    <n v="0"/>
    <n v="0"/>
    <n v="0"/>
    <n v="0"/>
  </r>
  <r>
    <d v="2026-01-16T00:00:00"/>
    <s v="COPOWER"/>
    <s v="COSTAYACO"/>
    <x v="2"/>
    <n v="24"/>
    <n v="0"/>
    <n v="0"/>
    <n v="0"/>
    <n v="0"/>
    <n v="0"/>
  </r>
  <r>
    <d v="2026-01-16T00:00:00"/>
    <s v="COPOWER"/>
    <s v="COSTAYACO"/>
    <x v="3"/>
    <n v="3"/>
    <n v="21"/>
    <n v="0"/>
    <n v="0"/>
    <n v="0"/>
    <n v="0"/>
  </r>
  <r>
    <d v="2026-01-16T00:00:00"/>
    <s v="COPOWER"/>
    <s v="COSTAYACO"/>
    <x v="4"/>
    <n v="3"/>
    <n v="21"/>
    <n v="0"/>
    <n v="0"/>
    <n v="0"/>
    <n v="0"/>
  </r>
  <r>
    <d v="2026-01-16T00:00:00"/>
    <s v="COPOWER"/>
    <s v="COSTAYACO"/>
    <x v="5"/>
    <n v="24"/>
    <n v="0"/>
    <n v="0"/>
    <n v="0"/>
    <n v="0"/>
    <n v="0"/>
  </r>
  <r>
    <d v="2026-01-16T00:00:00"/>
    <s v="COPOWER"/>
    <s v="COSTAYACO"/>
    <x v="6"/>
    <n v="24"/>
    <n v="0"/>
    <n v="0"/>
    <n v="0"/>
    <n v="0"/>
    <n v="0"/>
  </r>
  <r>
    <d v="2026-01-16T00:00:00"/>
    <s v="COPOWER"/>
    <s v="COSTAYACO"/>
    <x v="7"/>
    <n v="24"/>
    <n v="0"/>
    <n v="0"/>
    <n v="0"/>
    <n v="0"/>
    <n v="0"/>
  </r>
  <r>
    <d v="2026-01-16T00:00:00"/>
    <s v="COPOWER"/>
    <s v="COSTAYACO"/>
    <x v="8"/>
    <n v="24"/>
    <n v="0"/>
    <n v="0"/>
    <n v="0"/>
    <n v="0"/>
    <n v="0"/>
  </r>
  <r>
    <d v="2026-01-16T00:00:00"/>
    <s v="COPOWER"/>
    <s v="VONU"/>
    <x v="9"/>
    <n v="24"/>
    <n v="0"/>
    <n v="0"/>
    <n v="0"/>
    <n v="0"/>
    <n v="0"/>
  </r>
  <r>
    <d v="2026-01-16T00:00:00"/>
    <s v="COPOWER"/>
    <s v="VONU"/>
    <x v="10"/>
    <n v="0"/>
    <n v="24"/>
    <n v="0"/>
    <n v="0"/>
    <n v="0"/>
    <n v="2"/>
  </r>
  <r>
    <d v="2026-01-16T00:00:00"/>
    <s v="COPOWER"/>
    <s v="VONU"/>
    <x v="11"/>
    <n v="24"/>
    <n v="0"/>
    <n v="0"/>
    <n v="0"/>
    <n v="0"/>
    <n v="0"/>
  </r>
  <r>
    <d v="2026-01-17T00:00:00"/>
    <s v="COPOWER"/>
    <s v="COSTAYACO"/>
    <x v="0"/>
    <n v="24"/>
    <n v="0"/>
    <n v="0"/>
    <n v="0"/>
    <n v="0"/>
    <n v="0"/>
  </r>
  <r>
    <d v="2026-01-17T00:00:00"/>
    <s v="COPOWER"/>
    <s v="COSTAYACO"/>
    <x v="1"/>
    <n v="24"/>
    <n v="0"/>
    <n v="0"/>
    <n v="0"/>
    <n v="0"/>
    <n v="0"/>
  </r>
  <r>
    <d v="2026-01-17T00:00:00"/>
    <s v="COPOWER"/>
    <s v="COSTAYACO"/>
    <x v="2"/>
    <n v="24"/>
    <n v="0"/>
    <n v="0"/>
    <n v="0"/>
    <n v="0"/>
    <n v="1"/>
  </r>
  <r>
    <d v="2026-01-17T00:00:00"/>
    <s v="COPOWER"/>
    <s v="COSTAYACO"/>
    <x v="3"/>
    <n v="3"/>
    <n v="21"/>
    <n v="0"/>
    <n v="0"/>
    <n v="0"/>
    <n v="0"/>
  </r>
  <r>
    <d v="2026-01-17T00:00:00"/>
    <s v="COPOWER"/>
    <s v="COSTAYACO"/>
    <x v="4"/>
    <n v="4"/>
    <n v="20"/>
    <n v="0"/>
    <n v="0"/>
    <n v="0"/>
    <n v="0"/>
  </r>
  <r>
    <d v="2026-01-17T00:00:00"/>
    <s v="COPOWER"/>
    <s v="COSTAYACO"/>
    <x v="5"/>
    <n v="24"/>
    <n v="0"/>
    <n v="0"/>
    <n v="0"/>
    <n v="0"/>
    <n v="0"/>
  </r>
  <r>
    <d v="2026-01-17T00:00:00"/>
    <s v="COPOWER"/>
    <s v="COSTAYACO"/>
    <x v="6"/>
    <n v="23"/>
    <n v="1"/>
    <n v="0"/>
    <n v="0"/>
    <n v="0"/>
    <n v="0"/>
  </r>
  <r>
    <d v="2026-01-17T00:00:00"/>
    <s v="COPOWER"/>
    <s v="COSTAYACO"/>
    <x v="7"/>
    <n v="23"/>
    <n v="1"/>
    <n v="0"/>
    <n v="0"/>
    <n v="0"/>
    <n v="0"/>
  </r>
  <r>
    <d v="2026-01-17T00:00:00"/>
    <s v="COPOWER"/>
    <s v="COSTAYACO"/>
    <x v="8"/>
    <n v="23"/>
    <n v="1"/>
    <n v="0"/>
    <n v="0"/>
    <n v="0"/>
    <n v="0"/>
  </r>
  <r>
    <d v="2026-01-17T00:00:00"/>
    <s v="COPOWER"/>
    <s v="VONU"/>
    <x v="9"/>
    <n v="21"/>
    <n v="3"/>
    <n v="0"/>
    <n v="0"/>
    <n v="0"/>
    <n v="0"/>
  </r>
  <r>
    <d v="2026-01-17T00:00:00"/>
    <s v="COPOWER"/>
    <s v="VONU"/>
    <x v="10"/>
    <n v="4"/>
    <n v="20"/>
    <n v="0"/>
    <n v="0"/>
    <n v="0"/>
    <n v="0"/>
  </r>
  <r>
    <d v="2026-01-17T00:00:00"/>
    <s v="COPOWER"/>
    <s v="VONU"/>
    <x v="11"/>
    <n v="24"/>
    <n v="0"/>
    <n v="0"/>
    <n v="0"/>
    <n v="0"/>
    <n v="0"/>
  </r>
  <r>
    <d v="2026-01-18T00:00:00"/>
    <s v="COPOWER"/>
    <s v="COSTAYACO"/>
    <x v="0"/>
    <n v="20"/>
    <n v="4"/>
    <n v="0"/>
    <n v="0"/>
    <n v="0"/>
    <n v="0"/>
  </r>
  <r>
    <d v="2026-01-18T00:00:00"/>
    <s v="COPOWER"/>
    <s v="COSTAYACO"/>
    <x v="1"/>
    <n v="21"/>
    <n v="3"/>
    <n v="0"/>
    <n v="0"/>
    <n v="0"/>
    <n v="0"/>
  </r>
  <r>
    <d v="2026-01-18T00:00:00"/>
    <s v="COPOWER"/>
    <s v="COSTAYACO"/>
    <x v="2"/>
    <n v="20"/>
    <n v="4"/>
    <n v="0"/>
    <n v="0"/>
    <n v="0"/>
    <n v="0"/>
  </r>
  <r>
    <d v="2026-01-18T00:00:00"/>
    <s v="COPOWER"/>
    <s v="COSTAYACO"/>
    <x v="3"/>
    <n v="0"/>
    <n v="24"/>
    <n v="0"/>
    <n v="0"/>
    <n v="0"/>
    <n v="0"/>
  </r>
  <r>
    <d v="2026-01-18T00:00:00"/>
    <s v="COPOWER"/>
    <s v="COSTAYACO"/>
    <x v="4"/>
    <n v="0"/>
    <n v="24"/>
    <n v="0"/>
    <n v="0"/>
    <n v="0"/>
    <n v="0"/>
  </r>
  <r>
    <d v="2026-01-18T00:00:00"/>
    <s v="COPOWER"/>
    <s v="COSTAYACO"/>
    <x v="5"/>
    <n v="22"/>
    <n v="2"/>
    <n v="0"/>
    <n v="0"/>
    <n v="0"/>
    <n v="0"/>
  </r>
  <r>
    <d v="2026-01-18T00:00:00"/>
    <s v="COPOWER"/>
    <s v="COSTAYACO"/>
    <x v="6"/>
    <n v="22"/>
    <n v="2"/>
    <n v="0"/>
    <n v="0"/>
    <n v="0"/>
    <n v="0"/>
  </r>
  <r>
    <d v="2026-01-18T00:00:00"/>
    <s v="COPOWER"/>
    <s v="COSTAYACO"/>
    <x v="7"/>
    <n v="21"/>
    <n v="3"/>
    <n v="0"/>
    <n v="0"/>
    <n v="0"/>
    <n v="0"/>
  </r>
  <r>
    <d v="2026-01-18T00:00:00"/>
    <s v="COPOWER"/>
    <s v="COSTAYACO"/>
    <x v="8"/>
    <n v="22"/>
    <n v="2"/>
    <n v="0"/>
    <n v="0"/>
    <n v="0"/>
    <n v="0"/>
  </r>
  <r>
    <d v="2026-01-18T00:00:00"/>
    <s v="COPOWER"/>
    <s v="VONU"/>
    <x v="9"/>
    <n v="23"/>
    <n v="1"/>
    <n v="0"/>
    <n v="0"/>
    <n v="0"/>
    <n v="0"/>
  </r>
  <r>
    <d v="2026-01-18T00:00:00"/>
    <s v="COPOWER"/>
    <s v="VONU"/>
    <x v="10"/>
    <n v="1"/>
    <n v="23"/>
    <n v="0"/>
    <n v="0"/>
    <n v="0"/>
    <n v="0"/>
  </r>
  <r>
    <d v="2026-01-18T00:00:00"/>
    <s v="COPOWER"/>
    <s v="VONU"/>
    <x v="11"/>
    <n v="24"/>
    <n v="0"/>
    <n v="0"/>
    <n v="0"/>
    <n v="0"/>
    <n v="0"/>
  </r>
  <r>
    <d v="2026-01-19T00:00:00"/>
    <s v="COPOWER"/>
    <s v="COSTAYACO"/>
    <x v="0"/>
    <n v="23"/>
    <n v="1"/>
    <n v="0"/>
    <n v="0"/>
    <n v="0"/>
    <n v="0"/>
  </r>
  <r>
    <d v="2026-01-19T00:00:00"/>
    <s v="COPOWER"/>
    <s v="COSTAYACO"/>
    <x v="1"/>
    <n v="24"/>
    <n v="0"/>
    <n v="0"/>
    <n v="0"/>
    <n v="0"/>
    <n v="0"/>
  </r>
  <r>
    <d v="2026-01-19T00:00:00"/>
    <s v="COPOWER"/>
    <s v="COSTAYACO"/>
    <x v="2"/>
    <n v="24"/>
    <n v="0"/>
    <n v="0"/>
    <n v="0"/>
    <n v="0"/>
    <n v="0"/>
  </r>
  <r>
    <d v="2026-01-19T00:00:00"/>
    <s v="COPOWER"/>
    <s v="COSTAYACO"/>
    <x v="3"/>
    <n v="0"/>
    <n v="24"/>
    <n v="0"/>
    <n v="0"/>
    <n v="0"/>
    <n v="0"/>
  </r>
  <r>
    <d v="2026-01-19T00:00:00"/>
    <s v="COPOWER"/>
    <s v="COSTAYACO"/>
    <x v="4"/>
    <n v="0"/>
    <n v="24"/>
    <n v="0"/>
    <n v="0"/>
    <n v="0"/>
    <n v="0"/>
  </r>
  <r>
    <d v="2026-01-19T00:00:00"/>
    <s v="COPOWER"/>
    <s v="COSTAYACO"/>
    <x v="5"/>
    <n v="24"/>
    <n v="0"/>
    <n v="0"/>
    <n v="0"/>
    <n v="0"/>
    <n v="0"/>
  </r>
  <r>
    <d v="2026-01-19T00:00:00"/>
    <s v="COPOWER"/>
    <s v="COSTAYACO"/>
    <x v="6"/>
    <n v="24"/>
    <n v="0"/>
    <n v="0"/>
    <n v="0"/>
    <n v="0"/>
    <n v="0"/>
  </r>
  <r>
    <d v="2026-01-19T00:00:00"/>
    <s v="COPOWER"/>
    <s v="COSTAYACO"/>
    <x v="7"/>
    <n v="24"/>
    <n v="0"/>
    <n v="0"/>
    <n v="0"/>
    <n v="0"/>
    <n v="0"/>
  </r>
  <r>
    <d v="2026-01-19T00:00:00"/>
    <s v="COPOWER"/>
    <s v="COSTAYACO"/>
    <x v="8"/>
    <n v="24"/>
    <n v="0"/>
    <n v="0"/>
    <n v="0"/>
    <n v="0"/>
    <n v="0"/>
  </r>
  <r>
    <d v="2026-01-19T00:00:00"/>
    <s v="COPOWER"/>
    <s v="VONU"/>
    <x v="9"/>
    <n v="24"/>
    <n v="0"/>
    <n v="0"/>
    <n v="0"/>
    <n v="0"/>
    <n v="0"/>
  </r>
  <r>
    <d v="2026-01-19T00:00:00"/>
    <s v="COPOWER"/>
    <s v="VONU"/>
    <x v="10"/>
    <n v="1"/>
    <n v="23"/>
    <n v="0"/>
    <n v="0"/>
    <n v="0"/>
    <n v="0"/>
  </r>
  <r>
    <d v="2026-01-19T00:00:00"/>
    <s v="COPOWER"/>
    <s v="VONU"/>
    <x v="11"/>
    <n v="24"/>
    <n v="0"/>
    <n v="0"/>
    <n v="0"/>
    <n v="0"/>
    <n v="0"/>
  </r>
  <r>
    <d v="2026-01-20T00:00:00"/>
    <s v="COPOWER"/>
    <s v="COSTAYACO"/>
    <x v="0"/>
    <n v="17"/>
    <n v="7"/>
    <n v="0"/>
    <n v="0"/>
    <n v="0"/>
    <n v="0"/>
  </r>
  <r>
    <d v="2026-01-20T00:00:00"/>
    <s v="COPOWER"/>
    <s v="COSTAYACO"/>
    <x v="1"/>
    <n v="23"/>
    <n v="1"/>
    <n v="0"/>
    <n v="0"/>
    <n v="0"/>
    <n v="0"/>
  </r>
  <r>
    <d v="2026-01-20T00:00:00"/>
    <s v="COPOWER"/>
    <s v="COSTAYACO"/>
    <x v="2"/>
    <n v="24"/>
    <n v="0"/>
    <n v="0"/>
    <n v="0"/>
    <n v="0"/>
    <n v="0"/>
  </r>
  <r>
    <d v="2026-01-20T00:00:00"/>
    <s v="COPOWER"/>
    <s v="COSTAYACO"/>
    <x v="3"/>
    <n v="11"/>
    <n v="13"/>
    <n v="0"/>
    <n v="0"/>
    <n v="0"/>
    <n v="0"/>
  </r>
  <r>
    <d v="2026-01-20T00:00:00"/>
    <s v="COPOWER"/>
    <s v="COSTAYACO"/>
    <x v="4"/>
    <n v="10"/>
    <n v="14"/>
    <n v="0"/>
    <n v="0"/>
    <n v="0"/>
    <n v="0"/>
  </r>
  <r>
    <d v="2026-01-20T00:00:00"/>
    <s v="COPOWER"/>
    <s v="COSTAYACO"/>
    <x v="5"/>
    <n v="24"/>
    <n v="0"/>
    <n v="0"/>
    <n v="0"/>
    <n v="0"/>
    <n v="0"/>
  </r>
  <r>
    <d v="2026-01-20T00:00:00"/>
    <s v="COPOWER"/>
    <s v="COSTAYACO"/>
    <x v="6"/>
    <n v="24"/>
    <n v="0"/>
    <n v="0"/>
    <n v="0"/>
    <n v="0"/>
    <n v="0"/>
  </r>
  <r>
    <d v="2026-01-20T00:00:00"/>
    <s v="COPOWER"/>
    <s v="COSTAYACO"/>
    <x v="7"/>
    <n v="24"/>
    <n v="0"/>
    <n v="0"/>
    <n v="0"/>
    <n v="0"/>
    <n v="0"/>
  </r>
  <r>
    <d v="2026-01-20T00:00:00"/>
    <s v="COPOWER"/>
    <s v="COSTAYACO"/>
    <x v="8"/>
    <n v="24"/>
    <n v="0"/>
    <n v="0"/>
    <n v="0"/>
    <n v="0"/>
    <n v="0"/>
  </r>
  <r>
    <d v="2026-01-20T00:00:00"/>
    <s v="COPOWER"/>
    <s v="VONU"/>
    <x v="9"/>
    <n v="24"/>
    <n v="0"/>
    <n v="0"/>
    <n v="0"/>
    <n v="0"/>
    <n v="0"/>
  </r>
  <r>
    <d v="2026-01-20T00:00:00"/>
    <s v="COPOWER"/>
    <s v="VONU"/>
    <x v="10"/>
    <n v="14"/>
    <n v="10"/>
    <n v="0"/>
    <n v="0"/>
    <n v="0"/>
    <n v="0"/>
  </r>
  <r>
    <d v="2026-01-20T00:00:00"/>
    <s v="COPOWER"/>
    <s v="VONU"/>
    <x v="11"/>
    <n v="0"/>
    <n v="24"/>
    <n v="0"/>
    <n v="0"/>
    <n v="0"/>
    <n v="0"/>
  </r>
  <r>
    <d v="2026-01-21T00:00:00"/>
    <s v="COPOWER"/>
    <s v="COSTAYACO"/>
    <x v="0"/>
    <n v="24"/>
    <n v="0"/>
    <n v="0"/>
    <n v="0"/>
    <n v="0"/>
    <n v="0"/>
  </r>
  <r>
    <d v="2026-01-21T00:00:00"/>
    <s v="COPOWER"/>
    <s v="COSTAYACO"/>
    <x v="1"/>
    <n v="24"/>
    <n v="0"/>
    <n v="0"/>
    <n v="0"/>
    <n v="0"/>
    <n v="0"/>
  </r>
  <r>
    <d v="2026-01-21T00:00:00"/>
    <s v="COPOWER"/>
    <s v="COSTAYACO"/>
    <x v="2"/>
    <n v="24"/>
    <n v="0"/>
    <n v="0"/>
    <n v="0"/>
    <n v="0"/>
    <n v="0"/>
  </r>
  <r>
    <d v="2026-01-21T00:00:00"/>
    <s v="COPOWER"/>
    <s v="COSTAYACO"/>
    <x v="3"/>
    <n v="5"/>
    <n v="19"/>
    <n v="0"/>
    <n v="0"/>
    <n v="0"/>
    <n v="0"/>
  </r>
  <r>
    <d v="2026-01-21T00:00:00"/>
    <s v="COPOWER"/>
    <s v="COSTAYACO"/>
    <x v="4"/>
    <n v="5"/>
    <n v="19"/>
    <n v="0"/>
    <n v="0"/>
    <n v="0"/>
    <n v="0"/>
  </r>
  <r>
    <d v="2026-01-21T00:00:00"/>
    <s v="COPOWER"/>
    <s v="COSTAYACO"/>
    <x v="5"/>
    <n v="24"/>
    <n v="0"/>
    <n v="0"/>
    <n v="0"/>
    <n v="0"/>
    <n v="0"/>
  </r>
  <r>
    <d v="2026-01-21T00:00:00"/>
    <s v="COPOWER"/>
    <s v="COSTAYACO"/>
    <x v="6"/>
    <n v="24"/>
    <n v="0"/>
    <n v="0"/>
    <n v="0"/>
    <n v="0"/>
    <n v="0"/>
  </r>
  <r>
    <d v="2026-01-21T00:00:00"/>
    <s v="COPOWER"/>
    <s v="COSTAYACO"/>
    <x v="7"/>
    <n v="19"/>
    <n v="5"/>
    <n v="0"/>
    <n v="0"/>
    <n v="0"/>
    <n v="0"/>
  </r>
  <r>
    <d v="2026-01-21T00:00:00"/>
    <s v="COPOWER"/>
    <s v="COSTAYACO"/>
    <x v="8"/>
    <n v="24"/>
    <n v="0"/>
    <n v="0"/>
    <n v="0"/>
    <n v="0"/>
    <n v="0"/>
  </r>
  <r>
    <d v="2026-01-21T00:00:00"/>
    <s v="COPOWER"/>
    <s v="VONU"/>
    <x v="9"/>
    <n v="23"/>
    <n v="1"/>
    <n v="0"/>
    <n v="0"/>
    <n v="0"/>
    <n v="0"/>
  </r>
  <r>
    <d v="2026-01-21T00:00:00"/>
    <s v="COPOWER"/>
    <s v="VONU"/>
    <x v="10"/>
    <n v="23"/>
    <n v="1"/>
    <n v="0"/>
    <n v="0"/>
    <n v="0"/>
    <n v="0"/>
  </r>
  <r>
    <d v="2026-01-21T00:00:00"/>
    <s v="COPOWER"/>
    <s v="VONU"/>
    <x v="11"/>
    <n v="0"/>
    <n v="24"/>
    <n v="0"/>
    <n v="0"/>
    <n v="0"/>
    <n v="0"/>
  </r>
  <r>
    <d v="2026-01-22T00:00:00"/>
    <s v="COPOWER"/>
    <s v="COSTAYACO"/>
    <x v="0"/>
    <n v="24"/>
    <n v="0"/>
    <n v="0"/>
    <n v="0"/>
    <n v="0"/>
    <n v="0"/>
  </r>
  <r>
    <d v="2026-01-22T00:00:00"/>
    <s v="COPOWER"/>
    <s v="COSTAYACO"/>
    <x v="1"/>
    <n v="24"/>
    <n v="0"/>
    <n v="0"/>
    <n v="0"/>
    <n v="0"/>
    <n v="0"/>
  </r>
  <r>
    <d v="2026-01-22T00:00:00"/>
    <s v="COPOWER"/>
    <s v="COSTAYACO"/>
    <x v="2"/>
    <n v="24"/>
    <n v="0"/>
    <n v="0"/>
    <n v="0"/>
    <n v="0"/>
    <n v="0"/>
  </r>
  <r>
    <d v="2026-01-22T00:00:00"/>
    <s v="COPOWER"/>
    <s v="COSTAYACO"/>
    <x v="3"/>
    <n v="10"/>
    <n v="14"/>
    <n v="0"/>
    <n v="0"/>
    <n v="0"/>
    <n v="0"/>
  </r>
  <r>
    <d v="2026-01-22T00:00:00"/>
    <s v="COPOWER"/>
    <s v="COSTAYACO"/>
    <x v="4"/>
    <n v="0"/>
    <n v="24"/>
    <n v="0"/>
    <n v="0"/>
    <n v="0"/>
    <n v="0"/>
  </r>
  <r>
    <d v="2026-01-22T00:00:00"/>
    <s v="COPOWER"/>
    <s v="COSTAYACO"/>
    <x v="5"/>
    <n v="15"/>
    <n v="9"/>
    <n v="0"/>
    <n v="0"/>
    <n v="0"/>
    <n v="0"/>
  </r>
  <r>
    <d v="2026-01-22T00:00:00"/>
    <s v="COPOWER"/>
    <s v="COSTAYACO"/>
    <x v="6"/>
    <n v="24"/>
    <n v="0"/>
    <n v="0"/>
    <n v="0"/>
    <n v="0"/>
    <n v="0"/>
  </r>
  <r>
    <d v="2026-01-22T00:00:00"/>
    <s v="COPOWER"/>
    <s v="COSTAYACO"/>
    <x v="7"/>
    <n v="24"/>
    <n v="0"/>
    <n v="0"/>
    <n v="0"/>
    <n v="0"/>
    <n v="0"/>
  </r>
  <r>
    <d v="2026-01-22T00:00:00"/>
    <s v="COPOWER"/>
    <s v="COSTAYACO"/>
    <x v="8"/>
    <n v="24"/>
    <n v="0"/>
    <n v="0"/>
    <n v="0"/>
    <n v="0"/>
    <n v="0"/>
  </r>
  <r>
    <d v="2026-01-22T00:00:00"/>
    <s v="COPOWER"/>
    <s v="VONU"/>
    <x v="9"/>
    <n v="24"/>
    <n v="0"/>
    <n v="0"/>
    <n v="0"/>
    <n v="0"/>
    <n v="0"/>
  </r>
  <r>
    <d v="2026-01-22T00:00:00"/>
    <s v="COPOWER"/>
    <s v="VONU"/>
    <x v="10"/>
    <n v="24"/>
    <n v="0"/>
    <n v="0"/>
    <n v="0"/>
    <n v="0"/>
    <n v="0"/>
  </r>
  <r>
    <d v="2026-01-22T00:00:00"/>
    <s v="COPOWER"/>
    <s v="VONU"/>
    <x v="11"/>
    <n v="0"/>
    <n v="24"/>
    <n v="0"/>
    <n v="0"/>
    <n v="0"/>
    <n v="0"/>
  </r>
  <r>
    <d v="2026-01-23T00:00:00"/>
    <s v="COPOWER"/>
    <s v="COSTAYACO"/>
    <x v="0"/>
    <n v="24"/>
    <n v="0"/>
    <n v="0"/>
    <n v="0"/>
    <n v="0"/>
    <n v="0"/>
  </r>
  <r>
    <d v="2026-01-23T00:00:00"/>
    <s v="COPOWER"/>
    <s v="COSTAYACO"/>
    <x v="1"/>
    <n v="24"/>
    <n v="0"/>
    <n v="0"/>
    <n v="0"/>
    <n v="0"/>
    <n v="0"/>
  </r>
  <r>
    <d v="2026-01-23T00:00:00"/>
    <s v="COPOWER"/>
    <s v="COSTAYACO"/>
    <x v="2"/>
    <n v="24"/>
    <n v="0"/>
    <n v="0"/>
    <n v="0"/>
    <n v="0"/>
    <n v="0"/>
  </r>
  <r>
    <d v="2026-01-23T00:00:00"/>
    <s v="COPOWER"/>
    <s v="COSTAYACO"/>
    <x v="3"/>
    <n v="10"/>
    <n v="14"/>
    <n v="0"/>
    <n v="0"/>
    <n v="0"/>
    <n v="0"/>
  </r>
  <r>
    <d v="2026-01-23T00:00:00"/>
    <s v="COPOWER"/>
    <s v="COSTAYACO"/>
    <x v="4"/>
    <n v="0"/>
    <n v="24"/>
    <n v="0"/>
    <n v="0"/>
    <n v="0"/>
    <n v="0"/>
  </r>
  <r>
    <d v="2026-01-23T00:00:00"/>
    <s v="COPOWER"/>
    <s v="COSTAYACO"/>
    <x v="5"/>
    <n v="15"/>
    <n v="9"/>
    <n v="0"/>
    <n v="0"/>
    <n v="0"/>
    <n v="0"/>
  </r>
  <r>
    <d v="2026-01-23T00:00:00"/>
    <s v="COPOWER"/>
    <s v="COSTAYACO"/>
    <x v="6"/>
    <n v="24"/>
    <n v="0"/>
    <n v="0"/>
    <n v="0"/>
    <n v="0"/>
    <n v="0"/>
  </r>
  <r>
    <d v="2026-01-23T00:00:00"/>
    <s v="COPOWER"/>
    <s v="COSTAYACO"/>
    <x v="7"/>
    <n v="24"/>
    <n v="0"/>
    <n v="0"/>
    <n v="0"/>
    <n v="0"/>
    <n v="0"/>
  </r>
  <r>
    <d v="2026-01-23T00:00:00"/>
    <s v="COPOWER"/>
    <s v="COSTAYACO"/>
    <x v="8"/>
    <n v="24"/>
    <n v="0"/>
    <n v="0"/>
    <n v="0"/>
    <n v="0"/>
    <n v="0"/>
  </r>
  <r>
    <d v="2026-01-23T00:00:00"/>
    <s v="COPOWER"/>
    <s v="VONU"/>
    <x v="9"/>
    <n v="24"/>
    <n v="0"/>
    <n v="0"/>
    <n v="0"/>
    <n v="0"/>
    <n v="0"/>
  </r>
  <r>
    <d v="2026-01-23T00:00:00"/>
    <s v="COPOWER"/>
    <s v="VONU"/>
    <x v="10"/>
    <n v="24"/>
    <n v="0"/>
    <n v="0"/>
    <n v="0"/>
    <n v="0"/>
    <n v="0"/>
  </r>
  <r>
    <d v="2026-01-23T00:00:00"/>
    <s v="COPOWER"/>
    <s v="VONU"/>
    <x v="11"/>
    <n v="0"/>
    <n v="24"/>
    <n v="0"/>
    <n v="0"/>
    <n v="0"/>
    <n v="0"/>
  </r>
  <r>
    <d v="2026-01-24T00:00:00"/>
    <s v="COPOWER"/>
    <s v="COSTAYACO"/>
    <x v="0"/>
    <n v="21"/>
    <n v="3"/>
    <n v="0"/>
    <n v="0"/>
    <n v="0"/>
    <n v="0"/>
  </r>
  <r>
    <d v="2026-01-24T00:00:00"/>
    <s v="COPOWER"/>
    <s v="COSTAYACO"/>
    <x v="1"/>
    <n v="19"/>
    <n v="5"/>
    <n v="0"/>
    <n v="0"/>
    <n v="0"/>
    <n v="0"/>
  </r>
  <r>
    <d v="2026-01-24T00:00:00"/>
    <s v="COPOWER"/>
    <s v="COSTAYACO"/>
    <x v="2"/>
    <n v="19"/>
    <n v="5"/>
    <n v="0"/>
    <n v="0"/>
    <n v="0"/>
    <n v="1"/>
  </r>
  <r>
    <d v="2026-01-24T00:00:00"/>
    <s v="COPOWER"/>
    <s v="COSTAYACO"/>
    <x v="3"/>
    <n v="24"/>
    <n v="0"/>
    <n v="0"/>
    <n v="0"/>
    <n v="0"/>
    <n v="0"/>
  </r>
  <r>
    <d v="2026-01-24T00:00:00"/>
    <s v="COPOWER"/>
    <s v="COSTAYACO"/>
    <x v="4"/>
    <n v="0"/>
    <n v="24"/>
    <n v="0"/>
    <n v="0"/>
    <n v="0"/>
    <n v="0"/>
  </r>
  <r>
    <d v="2026-01-24T00:00:00"/>
    <s v="COPOWER"/>
    <s v="COSTAYACO"/>
    <x v="5"/>
    <n v="0"/>
    <n v="24"/>
    <n v="0"/>
    <n v="0"/>
    <n v="0"/>
    <n v="0"/>
  </r>
  <r>
    <d v="2026-01-24T00:00:00"/>
    <s v="COPOWER"/>
    <s v="COSTAYACO"/>
    <x v="6"/>
    <n v="23"/>
    <n v="1"/>
    <n v="0"/>
    <n v="0"/>
    <n v="0"/>
    <n v="0"/>
  </r>
  <r>
    <d v="2026-01-24T00:00:00"/>
    <s v="COPOWER"/>
    <s v="COSTAYACO"/>
    <x v="7"/>
    <n v="23"/>
    <n v="1"/>
    <n v="0"/>
    <n v="0"/>
    <n v="0"/>
    <n v="0"/>
  </r>
  <r>
    <d v="2026-01-24T00:00:00"/>
    <s v="COPOWER"/>
    <s v="COSTAYACO"/>
    <x v="8"/>
    <n v="23"/>
    <n v="1"/>
    <n v="0"/>
    <n v="0"/>
    <n v="0"/>
    <n v="0"/>
  </r>
  <r>
    <d v="2026-01-24T00:00:00"/>
    <s v="COPOWER"/>
    <s v="VONU"/>
    <x v="9"/>
    <n v="20"/>
    <n v="4"/>
    <n v="0"/>
    <n v="0"/>
    <n v="0"/>
    <n v="0"/>
  </r>
  <r>
    <d v="2026-01-24T00:00:00"/>
    <s v="COPOWER"/>
    <s v="VONU"/>
    <x v="10"/>
    <n v="13"/>
    <n v="4"/>
    <n v="7"/>
    <n v="0"/>
    <n v="0"/>
    <n v="0"/>
  </r>
  <r>
    <d v="2026-01-24T00:00:00"/>
    <s v="COPOWER"/>
    <s v="VONU"/>
    <x v="11"/>
    <n v="0"/>
    <n v="24"/>
    <n v="0"/>
    <n v="0"/>
    <n v="0"/>
    <n v="0"/>
  </r>
  <r>
    <d v="2026-01-25T00:00:00"/>
    <s v="COPOWER"/>
    <s v="COSTAYACO"/>
    <x v="0"/>
    <n v="24"/>
    <n v="0"/>
    <n v="0"/>
    <n v="0"/>
    <n v="0"/>
    <n v="0"/>
  </r>
  <r>
    <d v="2026-01-25T00:00:00"/>
    <s v="COPOWER"/>
    <s v="COSTAYACO"/>
    <x v="1"/>
    <n v="24"/>
    <n v="0"/>
    <n v="0"/>
    <n v="0"/>
    <n v="0"/>
    <n v="0"/>
  </r>
  <r>
    <d v="2026-01-25T00:00:00"/>
    <s v="COPOWER"/>
    <s v="COSTAYACO"/>
    <x v="2"/>
    <n v="23"/>
    <n v="0"/>
    <n v="0"/>
    <n v="1"/>
    <n v="0"/>
    <n v="1"/>
  </r>
  <r>
    <d v="2026-01-25T00:00:00"/>
    <s v="COPOWER"/>
    <s v="COSTAYACO"/>
    <x v="3"/>
    <n v="23"/>
    <n v="1"/>
    <n v="0"/>
    <n v="0"/>
    <n v="0"/>
    <n v="0"/>
  </r>
  <r>
    <d v="2026-01-25T00:00:00"/>
    <s v="COPOWER"/>
    <s v="COSTAYACO"/>
    <x v="4"/>
    <n v="0"/>
    <n v="24"/>
    <n v="0"/>
    <n v="0"/>
    <n v="0"/>
    <n v="0"/>
  </r>
  <r>
    <d v="2026-01-25T00:00:00"/>
    <s v="COPOWER"/>
    <s v="COSTAYACO"/>
    <x v="5"/>
    <n v="0"/>
    <n v="24"/>
    <n v="0"/>
    <n v="0"/>
    <n v="0"/>
    <n v="0"/>
  </r>
  <r>
    <d v="2026-01-25T00:00:00"/>
    <s v="COPOWER"/>
    <s v="COSTAYACO"/>
    <x v="6"/>
    <n v="23"/>
    <n v="1"/>
    <n v="0"/>
    <n v="0"/>
    <n v="0"/>
    <n v="0"/>
  </r>
  <r>
    <d v="2026-01-25T00:00:00"/>
    <s v="COPOWER"/>
    <s v="COSTAYACO"/>
    <x v="7"/>
    <n v="24"/>
    <n v="0"/>
    <n v="0"/>
    <n v="0"/>
    <n v="0"/>
    <n v="0"/>
  </r>
  <r>
    <d v="2026-01-25T00:00:00"/>
    <s v="COPOWER"/>
    <s v="COSTAYACO"/>
    <x v="8"/>
    <n v="24"/>
    <n v="0"/>
    <n v="0"/>
    <n v="0"/>
    <n v="0"/>
    <n v="0"/>
  </r>
  <r>
    <d v="2026-01-25T00:00:00"/>
    <s v="COPOWER"/>
    <s v="VONU"/>
    <x v="9"/>
    <n v="24"/>
    <n v="0"/>
    <n v="0"/>
    <n v="0"/>
    <n v="0"/>
    <n v="0"/>
  </r>
  <r>
    <d v="2026-01-25T00:00:00"/>
    <s v="COPOWER"/>
    <s v="VONU"/>
    <x v="10"/>
    <n v="24"/>
    <n v="0"/>
    <n v="0"/>
    <n v="0"/>
    <n v="0"/>
    <n v="0"/>
  </r>
  <r>
    <d v="2026-01-25T00:00:00"/>
    <s v="COPOWER"/>
    <s v="VONU"/>
    <x v="11"/>
    <n v="0"/>
    <n v="24"/>
    <n v="0"/>
    <n v="0"/>
    <n v="0"/>
    <n v="0"/>
  </r>
  <r>
    <d v="2026-01-26T00:00:00"/>
    <s v="COPOWER"/>
    <s v="COSTAYACO"/>
    <x v="0"/>
    <n v="24"/>
    <n v="0"/>
    <n v="0"/>
    <n v="0"/>
    <n v="0"/>
    <n v="0"/>
  </r>
  <r>
    <d v="2026-01-26T00:00:00"/>
    <s v="COPOWER"/>
    <s v="COSTAYACO"/>
    <x v="1"/>
    <n v="24"/>
    <n v="0"/>
    <n v="0"/>
    <n v="0"/>
    <n v="0"/>
    <n v="0"/>
  </r>
  <r>
    <d v="2026-01-26T00:00:00"/>
    <s v="COPOWER"/>
    <s v="COSTAYACO"/>
    <x v="2"/>
    <n v="24"/>
    <n v="0"/>
    <n v="0"/>
    <n v="0"/>
    <n v="0"/>
    <n v="0"/>
  </r>
  <r>
    <d v="2026-01-26T00:00:00"/>
    <s v="COPOWER"/>
    <s v="COSTAYACO"/>
    <x v="3"/>
    <n v="24"/>
    <n v="0"/>
    <n v="0"/>
    <n v="0"/>
    <n v="0"/>
    <n v="0"/>
  </r>
  <r>
    <d v="2026-01-26T00:00:00"/>
    <s v="COPOWER"/>
    <s v="COSTAYACO"/>
    <x v="4"/>
    <n v="2"/>
    <n v="22"/>
    <n v="0"/>
    <n v="0"/>
    <n v="0"/>
    <n v="0"/>
  </r>
  <r>
    <d v="2026-01-26T00:00:00"/>
    <s v="COPOWER"/>
    <s v="COSTAYACO"/>
    <x v="5"/>
    <n v="7"/>
    <n v="17"/>
    <n v="0"/>
    <n v="0"/>
    <n v="0"/>
    <n v="0"/>
  </r>
  <r>
    <d v="2026-01-26T00:00:00"/>
    <s v="COPOWER"/>
    <s v="COSTAYACO"/>
    <x v="6"/>
    <n v="18"/>
    <n v="6"/>
    <n v="0"/>
    <n v="0"/>
    <n v="0"/>
    <n v="0"/>
  </r>
  <r>
    <d v="2026-01-26T00:00:00"/>
    <s v="COPOWER"/>
    <s v="COSTAYACO"/>
    <x v="7"/>
    <n v="24"/>
    <n v="0"/>
    <n v="0"/>
    <n v="0"/>
    <n v="0"/>
    <n v="0"/>
  </r>
  <r>
    <d v="2026-01-26T00:00:00"/>
    <s v="COPOWER"/>
    <s v="COSTAYACO"/>
    <x v="8"/>
    <n v="23"/>
    <n v="1"/>
    <n v="0"/>
    <n v="0"/>
    <n v="0"/>
    <n v="0"/>
  </r>
  <r>
    <d v="2026-01-26T00:00:00"/>
    <s v="COPOWER"/>
    <s v="VONU"/>
    <x v="9"/>
    <n v="24"/>
    <n v="0"/>
    <n v="0"/>
    <n v="0"/>
    <n v="0"/>
    <n v="0"/>
  </r>
  <r>
    <d v="2026-01-26T00:00:00"/>
    <s v="COPOWER"/>
    <s v="VONU"/>
    <x v="10"/>
    <n v="24"/>
    <n v="0"/>
    <n v="0"/>
    <n v="0"/>
    <n v="0"/>
    <n v="0"/>
  </r>
  <r>
    <d v="2026-01-26T00:00:00"/>
    <s v="COPOWER"/>
    <s v="VONU"/>
    <x v="11"/>
    <n v="0"/>
    <n v="24"/>
    <n v="0"/>
    <n v="0"/>
    <n v="0"/>
    <n v="0"/>
  </r>
  <r>
    <d v="2026-01-27T00:00:00"/>
    <s v="COPOWER"/>
    <s v="COSTAYACO"/>
    <x v="0"/>
    <n v="24"/>
    <n v="0"/>
    <n v="0"/>
    <n v="0"/>
    <n v="0"/>
    <n v="0"/>
  </r>
  <r>
    <d v="2026-01-27T00:00:00"/>
    <s v="COPOWER"/>
    <s v="COSTAYACO"/>
    <x v="1"/>
    <n v="22"/>
    <n v="0"/>
    <n v="2"/>
    <n v="0"/>
    <n v="0"/>
    <n v="0"/>
  </r>
  <r>
    <d v="2026-01-27T00:00:00"/>
    <s v="COPOWER"/>
    <s v="COSTAYACO"/>
    <x v="2"/>
    <n v="23"/>
    <n v="0"/>
    <n v="1"/>
    <n v="0"/>
    <n v="0"/>
    <n v="0"/>
  </r>
  <r>
    <d v="2026-01-27T00:00:00"/>
    <s v="COPOWER"/>
    <s v="COSTAYACO"/>
    <x v="3"/>
    <n v="24"/>
    <n v="0"/>
    <n v="0"/>
    <n v="0"/>
    <n v="0"/>
    <n v="0"/>
  </r>
  <r>
    <d v="2026-01-27T00:00:00"/>
    <s v="COPOWER"/>
    <s v="COSTAYACO"/>
    <x v="4"/>
    <n v="24"/>
    <n v="0"/>
    <n v="0"/>
    <n v="0"/>
    <n v="0"/>
    <n v="0"/>
  </r>
  <r>
    <d v="2026-01-27T00:00:00"/>
    <s v="COPOWER"/>
    <s v="COSTAYACO"/>
    <x v="5"/>
    <n v="24"/>
    <n v="0"/>
    <n v="0"/>
    <n v="0"/>
    <n v="0"/>
    <n v="0"/>
  </r>
  <r>
    <d v="2026-01-27T00:00:00"/>
    <s v="COPOWER"/>
    <s v="COSTAYACO"/>
    <x v="6"/>
    <n v="24"/>
    <n v="0"/>
    <n v="0"/>
    <n v="0"/>
    <n v="0"/>
    <n v="0"/>
  </r>
  <r>
    <d v="2026-01-27T00:00:00"/>
    <s v="COPOWER"/>
    <s v="COSTAYACO"/>
    <x v="7"/>
    <n v="24"/>
    <n v="0"/>
    <n v="0"/>
    <n v="0"/>
    <n v="0"/>
    <n v="0"/>
  </r>
  <r>
    <d v="2026-01-27T00:00:00"/>
    <s v="COPOWER"/>
    <s v="COSTAYACO"/>
    <x v="8"/>
    <n v="24"/>
    <n v="0"/>
    <n v="0"/>
    <n v="0"/>
    <n v="0"/>
    <n v="0"/>
  </r>
  <r>
    <d v="2026-01-27T00:00:00"/>
    <s v="COPOWER"/>
    <s v="VONU"/>
    <x v="9"/>
    <n v="23"/>
    <n v="0"/>
    <n v="1"/>
    <n v="0"/>
    <n v="0"/>
    <n v="0"/>
  </r>
  <r>
    <d v="2026-01-27T00:00:00"/>
    <s v="COPOWER"/>
    <s v="VONU"/>
    <x v="10"/>
    <n v="23"/>
    <n v="0"/>
    <n v="1"/>
    <n v="0"/>
    <n v="0"/>
    <n v="0"/>
  </r>
  <r>
    <d v="2026-01-27T00:00:00"/>
    <s v="COPOWER"/>
    <s v="VONU"/>
    <x v="11"/>
    <n v="0"/>
    <n v="24"/>
    <n v="0"/>
    <n v="0"/>
    <n v="0"/>
    <n v="0"/>
  </r>
  <r>
    <d v="2026-01-28T00:00:00"/>
    <s v="COPOWER"/>
    <s v="COSTAYACO"/>
    <x v="0"/>
    <n v="24"/>
    <n v="0"/>
    <n v="0"/>
    <n v="0"/>
    <n v="0"/>
    <n v="0"/>
  </r>
  <r>
    <d v="2026-01-28T00:00:00"/>
    <s v="COPOWER"/>
    <s v="COSTAYACO"/>
    <x v="1"/>
    <n v="24"/>
    <n v="0"/>
    <n v="0"/>
    <n v="0"/>
    <n v="0"/>
    <n v="0"/>
  </r>
  <r>
    <d v="2026-01-28T00:00:00"/>
    <s v="COPOWER"/>
    <s v="COSTAYACO"/>
    <x v="2"/>
    <n v="24"/>
    <n v="0"/>
    <n v="0"/>
    <n v="0"/>
    <n v="0"/>
    <n v="0"/>
  </r>
  <r>
    <d v="2026-01-28T00:00:00"/>
    <s v="COPOWER"/>
    <s v="COSTAYACO"/>
    <x v="3"/>
    <n v="24"/>
    <n v="0"/>
    <n v="0"/>
    <n v="0"/>
    <n v="0"/>
    <n v="0"/>
  </r>
  <r>
    <d v="2026-01-28T00:00:00"/>
    <s v="COPOWER"/>
    <s v="COSTAYACO"/>
    <x v="4"/>
    <n v="1"/>
    <n v="23"/>
    <n v="0"/>
    <n v="0"/>
    <n v="0"/>
    <n v="0"/>
  </r>
  <r>
    <d v="2026-01-28T00:00:00"/>
    <s v="COPOWER"/>
    <s v="COSTAYACO"/>
    <x v="5"/>
    <n v="1"/>
    <n v="23"/>
    <n v="0"/>
    <n v="0"/>
    <n v="0"/>
    <n v="0"/>
  </r>
  <r>
    <d v="2026-01-28T00:00:00"/>
    <s v="COPOWER"/>
    <s v="COSTAYACO"/>
    <x v="6"/>
    <n v="24"/>
    <n v="0"/>
    <n v="0"/>
    <n v="0"/>
    <n v="0"/>
    <n v="0"/>
  </r>
  <r>
    <d v="2026-01-28T00:00:00"/>
    <s v="COPOWER"/>
    <s v="COSTAYACO"/>
    <x v="7"/>
    <n v="24"/>
    <n v="0"/>
    <n v="0"/>
    <n v="0"/>
    <n v="0"/>
    <n v="0"/>
  </r>
  <r>
    <d v="2026-01-28T00:00:00"/>
    <s v="COPOWER"/>
    <s v="COSTAYACO"/>
    <x v="8"/>
    <n v="24"/>
    <n v="0"/>
    <n v="0"/>
    <n v="0"/>
    <n v="0"/>
    <n v="0"/>
  </r>
  <r>
    <d v="2026-01-28T00:00:00"/>
    <s v="COPOWER"/>
    <s v="VONU"/>
    <x v="9"/>
    <n v="21"/>
    <n v="3"/>
    <n v="0"/>
    <n v="0"/>
    <n v="0"/>
    <n v="0"/>
  </r>
  <r>
    <d v="2026-01-28T00:00:00"/>
    <s v="COPOWER"/>
    <s v="VONU"/>
    <x v="10"/>
    <n v="21"/>
    <n v="3"/>
    <n v="0"/>
    <n v="0"/>
    <n v="0"/>
    <n v="0"/>
  </r>
  <r>
    <d v="2026-01-28T00:00:00"/>
    <s v="COPOWER"/>
    <s v="VONU"/>
    <x v="11"/>
    <n v="0"/>
    <n v="24"/>
    <n v="0"/>
    <n v="0"/>
    <n v="0"/>
    <n v="0"/>
  </r>
  <r>
    <d v="2026-01-29T00:00:00"/>
    <s v="COPOWER"/>
    <s v="COSTAYACO"/>
    <x v="0"/>
    <n v="23"/>
    <n v="0"/>
    <n v="0"/>
    <n v="0"/>
    <n v="1"/>
    <n v="0"/>
  </r>
  <r>
    <d v="2026-01-29T00:00:00"/>
    <s v="COPOWER"/>
    <s v="COSTAYACO"/>
    <x v="1"/>
    <n v="23"/>
    <n v="0"/>
    <n v="0"/>
    <n v="0"/>
    <n v="1"/>
    <n v="0"/>
  </r>
  <r>
    <d v="2026-01-29T00:00:00"/>
    <s v="COPOWER"/>
    <s v="COSTAYACO"/>
    <x v="2"/>
    <n v="22"/>
    <n v="0"/>
    <n v="0"/>
    <n v="0"/>
    <n v="2"/>
    <n v="0"/>
  </r>
  <r>
    <d v="2026-01-29T00:00:00"/>
    <s v="COPOWER"/>
    <s v="COSTAYACO"/>
    <x v="3"/>
    <n v="24"/>
    <n v="0"/>
    <n v="0"/>
    <n v="0"/>
    <n v="0"/>
    <n v="0"/>
  </r>
  <r>
    <d v="2026-01-29T00:00:00"/>
    <s v="COPOWER"/>
    <s v="COSTAYACO"/>
    <x v="4"/>
    <n v="10"/>
    <n v="14"/>
    <n v="0"/>
    <n v="0"/>
    <n v="0"/>
    <n v="0"/>
  </r>
  <r>
    <d v="2026-01-29T00:00:00"/>
    <s v="COPOWER"/>
    <s v="COSTAYACO"/>
    <x v="5"/>
    <n v="10"/>
    <n v="14"/>
    <n v="0"/>
    <n v="0"/>
    <n v="0"/>
    <n v="0"/>
  </r>
  <r>
    <d v="2026-01-29T00:00:00"/>
    <s v="COPOWER"/>
    <s v="COSTAYACO"/>
    <x v="6"/>
    <n v="23"/>
    <n v="1"/>
    <n v="0"/>
    <n v="0"/>
    <n v="0"/>
    <n v="0"/>
  </r>
  <r>
    <d v="2026-01-29T00:00:00"/>
    <s v="COPOWER"/>
    <s v="COSTAYACO"/>
    <x v="7"/>
    <n v="24"/>
    <n v="0"/>
    <n v="0"/>
    <n v="0"/>
    <n v="0"/>
    <n v="0"/>
  </r>
  <r>
    <d v="2026-01-29T00:00:00"/>
    <s v="COPOWER"/>
    <s v="COSTAYACO"/>
    <x v="8"/>
    <n v="24"/>
    <n v="0"/>
    <n v="0"/>
    <n v="0"/>
    <n v="0"/>
    <n v="0"/>
  </r>
  <r>
    <d v="2026-01-29T00:00:00"/>
    <s v="COPOWER"/>
    <s v="VONU"/>
    <x v="9"/>
    <n v="23"/>
    <n v="1"/>
    <n v="0"/>
    <n v="0"/>
    <n v="0"/>
    <n v="0"/>
  </r>
  <r>
    <d v="2026-01-29T00:00:00"/>
    <s v="COPOWER"/>
    <s v="VONU"/>
    <x v="10"/>
    <n v="23"/>
    <n v="1"/>
    <n v="0"/>
    <n v="0"/>
    <n v="0"/>
    <n v="0"/>
  </r>
  <r>
    <d v="2026-01-29T00:00:00"/>
    <s v="COPOWER"/>
    <s v="VONU"/>
    <x v="11"/>
    <n v="0"/>
    <n v="24"/>
    <n v="0"/>
    <n v="0"/>
    <n v="0"/>
    <n v="0"/>
  </r>
  <r>
    <d v="2026-01-30T00:00:00"/>
    <s v="COPOWER"/>
    <s v="COSTAYACO"/>
    <x v="0"/>
    <n v="24"/>
    <n v="0"/>
    <n v="0"/>
    <n v="0"/>
    <n v="0"/>
    <n v="0"/>
  </r>
  <r>
    <d v="2026-01-30T00:00:00"/>
    <s v="COPOWER"/>
    <s v="COSTAYACO"/>
    <x v="1"/>
    <n v="23"/>
    <n v="0"/>
    <n v="0"/>
    <n v="0"/>
    <n v="1"/>
    <n v="0"/>
  </r>
  <r>
    <d v="2026-01-30T00:00:00"/>
    <s v="COPOWER"/>
    <s v="COSTAYACO"/>
    <x v="2"/>
    <n v="24"/>
    <n v="0"/>
    <n v="0"/>
    <n v="0"/>
    <n v="0"/>
    <n v="0"/>
  </r>
  <r>
    <d v="2026-01-30T00:00:00"/>
    <s v="COPOWER"/>
    <s v="COSTAYACO"/>
    <x v="3"/>
    <n v="24"/>
    <n v="0"/>
    <n v="0"/>
    <n v="0"/>
    <n v="0"/>
    <n v="0"/>
  </r>
  <r>
    <d v="2026-01-30T00:00:00"/>
    <s v="COPOWER"/>
    <s v="COSTAYACO"/>
    <x v="4"/>
    <n v="6"/>
    <n v="18"/>
    <n v="0"/>
    <n v="0"/>
    <n v="0"/>
    <n v="0"/>
  </r>
  <r>
    <d v="2026-01-30T00:00:00"/>
    <s v="COPOWER"/>
    <s v="COSTAYACO"/>
    <x v="5"/>
    <n v="8"/>
    <n v="16"/>
    <n v="0"/>
    <n v="0"/>
    <n v="0"/>
    <n v="0"/>
  </r>
  <r>
    <d v="2026-01-30T00:00:00"/>
    <s v="COPOWER"/>
    <s v="COSTAYACO"/>
    <x v="6"/>
    <n v="24"/>
    <n v="0"/>
    <n v="0"/>
    <n v="0"/>
    <n v="0"/>
    <n v="0"/>
  </r>
  <r>
    <d v="2026-01-30T00:00:00"/>
    <s v="COPOWER"/>
    <s v="COSTAYACO"/>
    <x v="7"/>
    <n v="24"/>
    <n v="0"/>
    <n v="0"/>
    <n v="0"/>
    <n v="0"/>
    <n v="0"/>
  </r>
  <r>
    <d v="2026-01-30T00:00:00"/>
    <s v="COPOWER"/>
    <s v="COSTAYACO"/>
    <x v="8"/>
    <n v="20"/>
    <n v="0"/>
    <n v="4"/>
    <n v="0"/>
    <n v="0"/>
    <n v="0"/>
  </r>
  <r>
    <d v="2026-01-30T00:00:00"/>
    <s v="COPOWER"/>
    <s v="VONU"/>
    <x v="9"/>
    <n v="24"/>
    <n v="0"/>
    <n v="0"/>
    <n v="0"/>
    <n v="0"/>
    <n v="0"/>
  </r>
  <r>
    <d v="2026-01-30T00:00:00"/>
    <s v="COPOWER"/>
    <s v="VONU"/>
    <x v="10"/>
    <n v="24"/>
    <n v="0"/>
    <n v="0"/>
    <n v="0"/>
    <n v="0"/>
    <n v="0"/>
  </r>
  <r>
    <d v="2026-01-30T00:00:00"/>
    <s v="COPOWER"/>
    <s v="VONU"/>
    <x v="11"/>
    <n v="0"/>
    <n v="24"/>
    <n v="0"/>
    <n v="0"/>
    <n v="0"/>
    <n v="0"/>
  </r>
  <r>
    <d v="2026-01-31T00:00:00"/>
    <s v="COPOWER"/>
    <s v="COSTAYACO"/>
    <x v="0"/>
    <n v="24"/>
    <n v="0"/>
    <n v="0"/>
    <n v="0"/>
    <n v="0"/>
    <n v="0"/>
  </r>
  <r>
    <d v="2026-01-31T00:00:00"/>
    <s v="COPOWER"/>
    <s v="COSTAYACO"/>
    <x v="1"/>
    <n v="24"/>
    <n v="0"/>
    <n v="0"/>
    <n v="0"/>
    <n v="0"/>
    <n v="0"/>
  </r>
  <r>
    <d v="2026-01-31T00:00:00"/>
    <s v="COPOWER"/>
    <s v="COSTAYACO"/>
    <x v="2"/>
    <n v="24"/>
    <n v="0"/>
    <n v="0"/>
    <n v="0"/>
    <n v="0"/>
    <n v="0"/>
  </r>
  <r>
    <d v="2026-01-31T00:00:00"/>
    <s v="COPOWER"/>
    <s v="COSTAYACO"/>
    <x v="3"/>
    <n v="18"/>
    <n v="6"/>
    <n v="0"/>
    <n v="0"/>
    <n v="0"/>
    <n v="0"/>
  </r>
  <r>
    <d v="2026-01-31T00:00:00"/>
    <s v="COPOWER"/>
    <s v="COSTAYACO"/>
    <x v="4"/>
    <n v="0"/>
    <n v="24"/>
    <n v="0"/>
    <n v="0"/>
    <n v="0"/>
    <n v="0"/>
  </r>
  <r>
    <d v="2026-01-31T00:00:00"/>
    <s v="COPOWER"/>
    <s v="COSTAYACO"/>
    <x v="5"/>
    <n v="2"/>
    <n v="22"/>
    <n v="0"/>
    <n v="0"/>
    <n v="0"/>
    <n v="0"/>
  </r>
  <r>
    <d v="2026-01-31T00:00:00"/>
    <s v="COPOWER"/>
    <s v="COSTAYACO"/>
    <x v="6"/>
    <n v="1"/>
    <n v="23"/>
    <n v="0"/>
    <n v="0"/>
    <n v="0"/>
    <n v="0"/>
  </r>
  <r>
    <d v="2026-01-31T00:00:00"/>
    <s v="COPOWER"/>
    <s v="COSTAYACO"/>
    <x v="7"/>
    <n v="24"/>
    <n v="0"/>
    <n v="0"/>
    <n v="0"/>
    <n v="0"/>
    <n v="0"/>
  </r>
  <r>
    <d v="2026-01-31T00:00:00"/>
    <s v="COPOWER"/>
    <s v="COSTAYACO"/>
    <x v="8"/>
    <n v="21"/>
    <n v="3"/>
    <n v="0"/>
    <n v="0"/>
    <n v="0"/>
    <n v="0"/>
  </r>
  <r>
    <d v="2026-01-31T00:00:00"/>
    <s v="COPOWER"/>
    <s v="VONU"/>
    <x v="9"/>
    <n v="24"/>
    <n v="0"/>
    <n v="0"/>
    <n v="0"/>
    <n v="0"/>
    <n v="0"/>
  </r>
  <r>
    <d v="2026-01-31T00:00:00"/>
    <s v="COPOWER"/>
    <s v="VONU"/>
    <x v="10"/>
    <n v="24"/>
    <n v="0"/>
    <n v="0"/>
    <n v="0"/>
    <n v="0"/>
    <n v="0"/>
  </r>
  <r>
    <d v="2026-01-31T00:00:00"/>
    <s v="COPOWER"/>
    <s v="VONU"/>
    <x v="11"/>
    <n v="0"/>
    <n v="24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169B5-90F8-4719-A8DE-F604E4F606CF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6" firstHeaderRow="0" firstDataRow="1" firstDataCol="1"/>
  <pivotFields count="10">
    <pivotField numFmtId="164" showAll="0"/>
    <pivotField showAll="0"/>
    <pivotField showAll="0"/>
    <pivotField axis="axisRow" showAll="0">
      <items count="13">
        <item x="0"/>
        <item x="1"/>
        <item x="2"/>
        <item x="6"/>
        <item x="5"/>
        <item x="4"/>
        <item x="3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Horas_oper_dia" fld="4" baseField="0" baseItem="0"/>
    <dataField name="Suma de Horas en Stand By" fld="5" baseField="0" baseItem="0"/>
    <dataField name="Suma de Horas_PP" fld="6" baseField="0" baseItem="0"/>
    <dataField name="Suma de Horas_PF_contr" fld="7" baseField="0" baseItem="0"/>
    <dataField name="Suma de Horas_PF_cli" fld="8" baseField="0" baseItem="0"/>
    <dataField name="Suma de Falla_even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EF79-BBD2-43FA-9180-F854FB636D75}">
  <dimension ref="A3:G25"/>
  <sheetViews>
    <sheetView tabSelected="1" workbookViewId="0">
      <selection activeCell="B24" sqref="B24"/>
    </sheetView>
  </sheetViews>
  <sheetFormatPr baseColWidth="10" defaultRowHeight="14.4" x14ac:dyDescent="0.3"/>
  <cols>
    <col min="1" max="1" width="16.5546875" bestFit="1" customWidth="1"/>
    <col min="2" max="2" width="21.6640625" bestFit="1" customWidth="1"/>
    <col min="3" max="3" width="23.5546875" bestFit="1" customWidth="1"/>
    <col min="4" max="4" width="16.5546875" bestFit="1" customWidth="1"/>
    <col min="5" max="5" width="21.6640625" bestFit="1" customWidth="1"/>
    <col min="6" max="6" width="19.33203125" bestFit="1" customWidth="1"/>
    <col min="7" max="7" width="19.109375" bestFit="1" customWidth="1"/>
  </cols>
  <sheetData>
    <row r="3" spans="1:7" x14ac:dyDescent="0.3">
      <c r="A3" s="4" t="s">
        <v>25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</row>
    <row r="4" spans="1:7" x14ac:dyDescent="0.3">
      <c r="A4" s="5" t="s">
        <v>12</v>
      </c>
      <c r="B4" s="6">
        <v>713</v>
      </c>
      <c r="C4" s="6">
        <v>25</v>
      </c>
      <c r="D4" s="6">
        <v>4</v>
      </c>
      <c r="E4" s="6">
        <v>1</v>
      </c>
      <c r="F4" s="6">
        <v>1</v>
      </c>
      <c r="G4" s="6">
        <v>1</v>
      </c>
    </row>
    <row r="5" spans="1:7" x14ac:dyDescent="0.3">
      <c r="A5" s="5" t="s">
        <v>13</v>
      </c>
      <c r="B5" s="6">
        <v>722</v>
      </c>
      <c r="C5" s="6">
        <v>18</v>
      </c>
      <c r="D5" s="6">
        <v>2</v>
      </c>
      <c r="E5" s="6">
        <v>0</v>
      </c>
      <c r="F5" s="6">
        <v>2</v>
      </c>
      <c r="G5" s="6">
        <v>0</v>
      </c>
    </row>
    <row r="6" spans="1:7" x14ac:dyDescent="0.3">
      <c r="A6" s="5" t="s">
        <v>14</v>
      </c>
      <c r="B6" s="6">
        <v>717</v>
      </c>
      <c r="C6" s="6">
        <v>23</v>
      </c>
      <c r="D6" s="6">
        <v>1</v>
      </c>
      <c r="E6" s="6">
        <v>1</v>
      </c>
      <c r="F6" s="6">
        <v>2</v>
      </c>
      <c r="G6" s="6">
        <v>3</v>
      </c>
    </row>
    <row r="7" spans="1:7" x14ac:dyDescent="0.3">
      <c r="A7" s="5" t="s">
        <v>18</v>
      </c>
      <c r="B7" s="6">
        <v>631</v>
      </c>
      <c r="C7" s="6">
        <v>113</v>
      </c>
      <c r="D7" s="6">
        <v>0</v>
      </c>
      <c r="E7" s="6">
        <v>0</v>
      </c>
      <c r="F7" s="6">
        <v>0</v>
      </c>
      <c r="G7" s="6">
        <v>0</v>
      </c>
    </row>
    <row r="8" spans="1:7" x14ac:dyDescent="0.3">
      <c r="A8" s="5" t="s">
        <v>17</v>
      </c>
      <c r="B8" s="6">
        <v>424</v>
      </c>
      <c r="C8" s="6">
        <v>320</v>
      </c>
      <c r="D8" s="6">
        <v>0</v>
      </c>
      <c r="E8" s="6">
        <v>0</v>
      </c>
      <c r="F8" s="6">
        <v>0</v>
      </c>
      <c r="G8" s="6">
        <v>0</v>
      </c>
    </row>
    <row r="9" spans="1:7" x14ac:dyDescent="0.3">
      <c r="A9" s="5" t="s">
        <v>16</v>
      </c>
      <c r="B9" s="6">
        <v>146</v>
      </c>
      <c r="C9" s="6">
        <v>598</v>
      </c>
      <c r="D9" s="6">
        <v>0</v>
      </c>
      <c r="E9" s="6">
        <v>0</v>
      </c>
      <c r="F9" s="6">
        <v>0</v>
      </c>
      <c r="G9" s="6">
        <v>0</v>
      </c>
    </row>
    <row r="10" spans="1:7" x14ac:dyDescent="0.3">
      <c r="A10" s="5" t="s">
        <v>15</v>
      </c>
      <c r="B10" s="6">
        <v>463</v>
      </c>
      <c r="C10" s="6">
        <v>276</v>
      </c>
      <c r="D10" s="6">
        <v>5</v>
      </c>
      <c r="E10" s="6">
        <v>0</v>
      </c>
      <c r="F10" s="6">
        <v>0</v>
      </c>
      <c r="G10" s="6">
        <v>0</v>
      </c>
    </row>
    <row r="11" spans="1:7" x14ac:dyDescent="0.3">
      <c r="A11" s="5" t="s">
        <v>19</v>
      </c>
      <c r="B11" s="6">
        <v>725</v>
      </c>
      <c r="C11" s="6">
        <v>19</v>
      </c>
      <c r="D11" s="6">
        <v>0</v>
      </c>
      <c r="E11" s="6">
        <v>0</v>
      </c>
      <c r="F11" s="6">
        <v>0</v>
      </c>
      <c r="G11" s="6">
        <v>0</v>
      </c>
    </row>
    <row r="12" spans="1:7" x14ac:dyDescent="0.3">
      <c r="A12" s="5" t="s">
        <v>20</v>
      </c>
      <c r="B12" s="6">
        <v>687</v>
      </c>
      <c r="C12" s="6">
        <v>53</v>
      </c>
      <c r="D12" s="6">
        <v>4</v>
      </c>
      <c r="E12" s="6">
        <v>0</v>
      </c>
      <c r="F12" s="6">
        <v>0</v>
      </c>
      <c r="G12" s="6">
        <v>0</v>
      </c>
    </row>
    <row r="13" spans="1:7" x14ac:dyDescent="0.3">
      <c r="A13" s="5" t="s">
        <v>22</v>
      </c>
      <c r="B13" s="6">
        <v>555</v>
      </c>
      <c r="C13" s="6">
        <v>188</v>
      </c>
      <c r="D13" s="6">
        <v>1</v>
      </c>
      <c r="E13" s="6">
        <v>0</v>
      </c>
      <c r="F13" s="6">
        <v>0</v>
      </c>
      <c r="G13" s="6">
        <v>0</v>
      </c>
    </row>
    <row r="14" spans="1:7" x14ac:dyDescent="0.3">
      <c r="A14" s="5" t="s">
        <v>23</v>
      </c>
      <c r="B14" s="6">
        <v>557</v>
      </c>
      <c r="C14" s="6">
        <v>179</v>
      </c>
      <c r="D14" s="6">
        <v>8</v>
      </c>
      <c r="E14" s="6">
        <v>0</v>
      </c>
      <c r="F14" s="6">
        <v>0</v>
      </c>
      <c r="G14" s="6">
        <v>2</v>
      </c>
    </row>
    <row r="15" spans="1:7" x14ac:dyDescent="0.3">
      <c r="A15" s="5" t="s">
        <v>24</v>
      </c>
      <c r="B15" s="6">
        <v>390</v>
      </c>
      <c r="C15" s="6">
        <v>354</v>
      </c>
      <c r="D15" s="6">
        <v>0</v>
      </c>
      <c r="E15" s="6">
        <v>0</v>
      </c>
      <c r="F15" s="6">
        <v>0</v>
      </c>
      <c r="G15" s="6">
        <v>0</v>
      </c>
    </row>
    <row r="16" spans="1:7" x14ac:dyDescent="0.3">
      <c r="A16" s="5" t="s">
        <v>26</v>
      </c>
      <c r="B16" s="6">
        <v>6730</v>
      </c>
      <c r="C16" s="6">
        <v>2166</v>
      </c>
      <c r="D16" s="6">
        <v>25</v>
      </c>
      <c r="E16" s="6">
        <v>2</v>
      </c>
      <c r="F16" s="6">
        <v>5</v>
      </c>
      <c r="G16" s="6">
        <v>6</v>
      </c>
    </row>
    <row r="20" spans="1:7" x14ac:dyDescent="0.3">
      <c r="A20" s="5" t="s">
        <v>18</v>
      </c>
      <c r="B20" s="7">
        <f>(631/24)+C20</f>
        <v>29.493333333333336</v>
      </c>
      <c r="C20" s="6">
        <f>(113/24)*0.68</f>
        <v>3.2016666666666667</v>
      </c>
      <c r="D20" s="6">
        <v>0</v>
      </c>
      <c r="E20" s="6">
        <v>0</v>
      </c>
      <c r="F20" s="6">
        <v>0</v>
      </c>
      <c r="G20" s="6">
        <v>0</v>
      </c>
    </row>
    <row r="21" spans="1:7" x14ac:dyDescent="0.3">
      <c r="A21" s="5" t="s">
        <v>17</v>
      </c>
      <c r="B21" s="7">
        <f>424/24+C21</f>
        <v>27</v>
      </c>
      <c r="C21" s="6">
        <f>+(320/24)*0.7</f>
        <v>9.3333333333333339</v>
      </c>
      <c r="D21" s="6">
        <v>0</v>
      </c>
      <c r="E21" s="6">
        <v>0</v>
      </c>
      <c r="F21" s="6">
        <v>0</v>
      </c>
      <c r="G21" s="6">
        <v>0</v>
      </c>
    </row>
    <row r="22" spans="1:7" x14ac:dyDescent="0.3">
      <c r="A22" s="5" t="s">
        <v>16</v>
      </c>
      <c r="B22" s="7">
        <f>(146/24)+C22</f>
        <v>23.524999999999999</v>
      </c>
      <c r="C22" s="6">
        <f>+(598/24)*0.7</f>
        <v>17.441666666666666</v>
      </c>
      <c r="D22" s="6">
        <v>0</v>
      </c>
      <c r="E22" s="6">
        <v>0</v>
      </c>
      <c r="F22" s="6">
        <v>0</v>
      </c>
      <c r="G22" s="6">
        <v>0</v>
      </c>
    </row>
    <row r="23" spans="1:7" x14ac:dyDescent="0.3">
      <c r="A23" s="5" t="s">
        <v>15</v>
      </c>
      <c r="B23" s="7">
        <f>(463/24)+C23</f>
        <v>27.341666666666669</v>
      </c>
      <c r="C23" s="6">
        <f>+(276/24)*0.7</f>
        <v>8.0499999999999989</v>
      </c>
      <c r="D23" s="6">
        <v>5</v>
      </c>
      <c r="E23" s="6">
        <v>0</v>
      </c>
      <c r="F23" s="6">
        <v>0</v>
      </c>
      <c r="G23" s="6">
        <v>0</v>
      </c>
    </row>
    <row r="24" spans="1:7" x14ac:dyDescent="0.3">
      <c r="A24" s="5" t="s">
        <v>19</v>
      </c>
      <c r="B24" s="8">
        <f>(725/24)+C24</f>
        <v>30.762499999999999</v>
      </c>
      <c r="C24" s="6">
        <f>+(19/24)*0.7</f>
        <v>0.55416666666666659</v>
      </c>
      <c r="D24" s="6">
        <v>0</v>
      </c>
      <c r="E24" s="6">
        <v>0</v>
      </c>
      <c r="F24" s="6">
        <v>0</v>
      </c>
      <c r="G24" s="6">
        <v>0</v>
      </c>
    </row>
    <row r="25" spans="1:7" x14ac:dyDescent="0.3">
      <c r="A25" s="5" t="s">
        <v>20</v>
      </c>
      <c r="B25" s="6">
        <f>(687/24)+C25</f>
        <v>30.14875</v>
      </c>
      <c r="C25" s="6">
        <f>+(53/24)*0.69</f>
        <v>1.5237499999999999</v>
      </c>
      <c r="D25" s="6">
        <v>4</v>
      </c>
      <c r="E25" s="6">
        <v>0</v>
      </c>
      <c r="F25" s="6">
        <v>0</v>
      </c>
      <c r="G25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9E84-2168-4D9A-8ACB-FB754B9DA559}">
  <dimension ref="A1:J373"/>
  <sheetViews>
    <sheetView workbookViewId="0">
      <selection sqref="A1:J373"/>
    </sheetView>
  </sheetViews>
  <sheetFormatPr baseColWidth="10" defaultRowHeight="14.4" x14ac:dyDescent="0.3"/>
  <cols>
    <col min="1" max="1" width="13.21875" customWidth="1"/>
    <col min="2" max="2" width="13" customWidth="1"/>
    <col min="3" max="3" width="14.77734375" customWidth="1"/>
    <col min="4" max="4" width="13.44140625" customWidth="1"/>
    <col min="5" max="6" width="16" customWidth="1"/>
    <col min="7" max="7" width="10" customWidth="1"/>
    <col min="8" max="8" width="16" customWidth="1"/>
    <col min="9" max="10" width="14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46023</v>
      </c>
      <c r="B2" t="s">
        <v>10</v>
      </c>
      <c r="C2" t="s">
        <v>11</v>
      </c>
      <c r="D2" t="s">
        <v>12</v>
      </c>
      <c r="E2">
        <v>24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s="2">
        <v>46023</v>
      </c>
      <c r="B3" t="s">
        <v>10</v>
      </c>
      <c r="C3" t="s">
        <v>11</v>
      </c>
      <c r="D3" t="s">
        <v>13</v>
      </c>
      <c r="E3">
        <v>24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s="2">
        <v>46023</v>
      </c>
      <c r="B4" t="s">
        <v>10</v>
      </c>
      <c r="C4" t="s">
        <v>11</v>
      </c>
      <c r="D4" t="s">
        <v>14</v>
      </c>
      <c r="E4">
        <v>24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s="2">
        <v>46023</v>
      </c>
      <c r="B5" t="s">
        <v>10</v>
      </c>
      <c r="C5" t="s">
        <v>11</v>
      </c>
      <c r="D5" t="s">
        <v>15</v>
      </c>
      <c r="E5">
        <v>24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2">
        <v>46023</v>
      </c>
      <c r="B6" t="s">
        <v>10</v>
      </c>
      <c r="C6" t="s">
        <v>11</v>
      </c>
      <c r="D6" t="s">
        <v>16</v>
      </c>
      <c r="E6">
        <v>15</v>
      </c>
      <c r="F6">
        <v>9</v>
      </c>
      <c r="G6">
        <v>0</v>
      </c>
      <c r="H6">
        <v>0</v>
      </c>
      <c r="I6">
        <v>0</v>
      </c>
      <c r="J6">
        <v>0</v>
      </c>
    </row>
    <row r="7" spans="1:10" x14ac:dyDescent="0.3">
      <c r="A7" s="2">
        <v>46023</v>
      </c>
      <c r="B7" t="s">
        <v>10</v>
      </c>
      <c r="C7" t="s">
        <v>11</v>
      </c>
      <c r="D7" t="s">
        <v>17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s="2">
        <v>46023</v>
      </c>
      <c r="B8" t="s">
        <v>10</v>
      </c>
      <c r="C8" t="s">
        <v>11</v>
      </c>
      <c r="D8" t="s">
        <v>18</v>
      </c>
      <c r="E8">
        <v>24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s="2">
        <v>46023</v>
      </c>
      <c r="B9" t="s">
        <v>10</v>
      </c>
      <c r="C9" t="s">
        <v>11</v>
      </c>
      <c r="D9" t="s">
        <v>19</v>
      </c>
      <c r="E9">
        <v>24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s="2">
        <v>46023</v>
      </c>
      <c r="B10" t="s">
        <v>10</v>
      </c>
      <c r="C10" t="s">
        <v>11</v>
      </c>
      <c r="D10" t="s">
        <v>20</v>
      </c>
      <c r="E10">
        <v>0</v>
      </c>
      <c r="F10">
        <v>24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s="2">
        <v>46023</v>
      </c>
      <c r="B11" t="s">
        <v>10</v>
      </c>
      <c r="C11" t="s">
        <v>21</v>
      </c>
      <c r="D11" t="s">
        <v>22</v>
      </c>
      <c r="E11">
        <v>0</v>
      </c>
      <c r="F11">
        <v>24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s="2">
        <v>46023</v>
      </c>
      <c r="B12" t="s">
        <v>10</v>
      </c>
      <c r="C12" t="s">
        <v>21</v>
      </c>
      <c r="D12" t="s">
        <v>23</v>
      </c>
      <c r="E12">
        <v>24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s="2">
        <v>46023</v>
      </c>
      <c r="B13" t="s">
        <v>10</v>
      </c>
      <c r="C13" t="s">
        <v>21</v>
      </c>
      <c r="D13" t="s">
        <v>24</v>
      </c>
      <c r="E13">
        <v>24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s="2">
        <v>46024</v>
      </c>
      <c r="B14" t="s">
        <v>10</v>
      </c>
      <c r="C14" t="s">
        <v>11</v>
      </c>
      <c r="D14" t="s">
        <v>12</v>
      </c>
      <c r="E14">
        <v>24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s="2">
        <v>46024</v>
      </c>
      <c r="B15" t="s">
        <v>10</v>
      </c>
      <c r="C15" t="s">
        <v>11</v>
      </c>
      <c r="D15" t="s">
        <v>13</v>
      </c>
      <c r="E15">
        <v>24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s="2">
        <v>46024</v>
      </c>
      <c r="B16" t="s">
        <v>10</v>
      </c>
      <c r="C16" t="s">
        <v>11</v>
      </c>
      <c r="D16" t="s">
        <v>14</v>
      </c>
      <c r="E16">
        <v>24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s="2">
        <v>46024</v>
      </c>
      <c r="B17" t="s">
        <v>10</v>
      </c>
      <c r="C17" t="s">
        <v>11</v>
      </c>
      <c r="D17" t="s">
        <v>15</v>
      </c>
      <c r="E17">
        <v>19</v>
      </c>
      <c r="F17">
        <v>0</v>
      </c>
      <c r="G17">
        <v>5</v>
      </c>
      <c r="H17">
        <v>0</v>
      </c>
      <c r="I17">
        <v>0</v>
      </c>
      <c r="J17">
        <v>0</v>
      </c>
    </row>
    <row r="18" spans="1:10" x14ac:dyDescent="0.3">
      <c r="A18" s="2">
        <v>46024</v>
      </c>
      <c r="B18" t="s">
        <v>10</v>
      </c>
      <c r="C18" t="s">
        <v>11</v>
      </c>
      <c r="D18" t="s">
        <v>16</v>
      </c>
      <c r="E18">
        <v>12</v>
      </c>
      <c r="F18">
        <v>12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2">
        <v>46024</v>
      </c>
      <c r="B19" t="s">
        <v>10</v>
      </c>
      <c r="C19" t="s">
        <v>11</v>
      </c>
      <c r="D19" t="s">
        <v>17</v>
      </c>
      <c r="E19">
        <v>11</v>
      </c>
      <c r="F19">
        <v>13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s="2">
        <v>46024</v>
      </c>
      <c r="B20" t="s">
        <v>10</v>
      </c>
      <c r="C20" t="s">
        <v>11</v>
      </c>
      <c r="D20" t="s">
        <v>18</v>
      </c>
      <c r="E20">
        <v>24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s="2">
        <v>46024</v>
      </c>
      <c r="B21" t="s">
        <v>10</v>
      </c>
      <c r="C21" t="s">
        <v>11</v>
      </c>
      <c r="D21" t="s">
        <v>19</v>
      </c>
      <c r="E21">
        <v>21</v>
      </c>
      <c r="F21">
        <v>3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s="2">
        <v>46024</v>
      </c>
      <c r="B22" t="s">
        <v>10</v>
      </c>
      <c r="C22" t="s">
        <v>11</v>
      </c>
      <c r="D22" t="s">
        <v>20</v>
      </c>
      <c r="E22">
        <v>17</v>
      </c>
      <c r="F22">
        <v>7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s="2">
        <v>46024</v>
      </c>
      <c r="B23" t="s">
        <v>10</v>
      </c>
      <c r="C23" t="s">
        <v>21</v>
      </c>
      <c r="D23" t="s">
        <v>22</v>
      </c>
      <c r="E23">
        <v>7</v>
      </c>
      <c r="F23">
        <v>17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2">
        <v>46024</v>
      </c>
      <c r="B24" t="s">
        <v>10</v>
      </c>
      <c r="C24" t="s">
        <v>21</v>
      </c>
      <c r="D24" t="s">
        <v>23</v>
      </c>
      <c r="E24">
        <v>19</v>
      </c>
      <c r="F24">
        <v>5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s="2">
        <v>46024</v>
      </c>
      <c r="B25" t="s">
        <v>10</v>
      </c>
      <c r="C25" t="s">
        <v>21</v>
      </c>
      <c r="D25" t="s">
        <v>24</v>
      </c>
      <c r="E25">
        <v>23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s="2">
        <v>46025</v>
      </c>
      <c r="B26" t="s">
        <v>10</v>
      </c>
      <c r="C26" t="s">
        <v>11</v>
      </c>
      <c r="D26" t="s">
        <v>12</v>
      </c>
      <c r="E26">
        <v>20</v>
      </c>
      <c r="F26">
        <v>0</v>
      </c>
      <c r="G26">
        <v>4</v>
      </c>
      <c r="H26">
        <v>0</v>
      </c>
      <c r="I26">
        <v>0</v>
      </c>
      <c r="J26">
        <v>0</v>
      </c>
    </row>
    <row r="27" spans="1:10" x14ac:dyDescent="0.3">
      <c r="A27" s="2">
        <v>46025</v>
      </c>
      <c r="B27" t="s">
        <v>10</v>
      </c>
      <c r="C27" t="s">
        <v>11</v>
      </c>
      <c r="D27" t="s">
        <v>13</v>
      </c>
      <c r="E27">
        <v>24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">
      <c r="A28" s="2">
        <v>46025</v>
      </c>
      <c r="B28" t="s">
        <v>10</v>
      </c>
      <c r="C28" t="s">
        <v>11</v>
      </c>
      <c r="D28" t="s">
        <v>14</v>
      </c>
      <c r="E28">
        <v>24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s="2">
        <v>46025</v>
      </c>
      <c r="B29" t="s">
        <v>10</v>
      </c>
      <c r="C29" t="s">
        <v>11</v>
      </c>
      <c r="D29" t="s">
        <v>15</v>
      </c>
      <c r="E29">
        <v>24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s="2">
        <v>46025</v>
      </c>
      <c r="B30" t="s">
        <v>10</v>
      </c>
      <c r="C30" t="s">
        <v>11</v>
      </c>
      <c r="D30" t="s">
        <v>16</v>
      </c>
      <c r="E30">
        <v>0</v>
      </c>
      <c r="F30">
        <v>24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s="2">
        <v>46025</v>
      </c>
      <c r="B31" t="s">
        <v>10</v>
      </c>
      <c r="C31" t="s">
        <v>11</v>
      </c>
      <c r="D31" t="s">
        <v>17</v>
      </c>
      <c r="E31">
        <v>0</v>
      </c>
      <c r="F31">
        <v>24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s="2">
        <v>46025</v>
      </c>
      <c r="B32" t="s">
        <v>10</v>
      </c>
      <c r="C32" t="s">
        <v>11</v>
      </c>
      <c r="D32" t="s">
        <v>18</v>
      </c>
      <c r="E32">
        <v>24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2">
        <v>46025</v>
      </c>
      <c r="B33" t="s">
        <v>10</v>
      </c>
      <c r="C33" t="s">
        <v>11</v>
      </c>
      <c r="D33" t="s">
        <v>19</v>
      </c>
      <c r="E33">
        <v>24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s="2">
        <v>46025</v>
      </c>
      <c r="B34" t="s">
        <v>10</v>
      </c>
      <c r="C34" t="s">
        <v>11</v>
      </c>
      <c r="D34" t="s">
        <v>20</v>
      </c>
      <c r="E34">
        <v>10</v>
      </c>
      <c r="F34">
        <v>14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s="2">
        <v>46025</v>
      </c>
      <c r="B35" t="s">
        <v>10</v>
      </c>
      <c r="C35" t="s">
        <v>21</v>
      </c>
      <c r="D35" t="s">
        <v>22</v>
      </c>
      <c r="E35">
        <v>16</v>
      </c>
      <c r="F35">
        <v>8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s="2">
        <v>46025</v>
      </c>
      <c r="B36" t="s">
        <v>10</v>
      </c>
      <c r="C36" t="s">
        <v>21</v>
      </c>
      <c r="D36" t="s">
        <v>23</v>
      </c>
      <c r="E36">
        <v>7</v>
      </c>
      <c r="F36">
        <v>17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s="2">
        <v>46025</v>
      </c>
      <c r="B37" t="s">
        <v>10</v>
      </c>
      <c r="C37" t="s">
        <v>21</v>
      </c>
      <c r="D37" t="s">
        <v>24</v>
      </c>
      <c r="E37">
        <v>13</v>
      </c>
      <c r="F37">
        <v>11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s="2">
        <v>46026</v>
      </c>
      <c r="B38" t="s">
        <v>10</v>
      </c>
      <c r="C38" t="s">
        <v>11</v>
      </c>
      <c r="D38" t="s">
        <v>12</v>
      </c>
      <c r="E38">
        <v>22</v>
      </c>
      <c r="F38">
        <v>2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s="2">
        <v>46026</v>
      </c>
      <c r="B39" t="s">
        <v>10</v>
      </c>
      <c r="C39" t="s">
        <v>11</v>
      </c>
      <c r="D39" t="s">
        <v>13</v>
      </c>
      <c r="E39">
        <v>24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s="2">
        <v>46026</v>
      </c>
      <c r="B40" t="s">
        <v>10</v>
      </c>
      <c r="C40" t="s">
        <v>11</v>
      </c>
      <c r="D40" t="s">
        <v>14</v>
      </c>
      <c r="E40" s="3">
        <v>24</v>
      </c>
      <c r="F40">
        <v>0</v>
      </c>
      <c r="G40">
        <v>0</v>
      </c>
      <c r="H40" s="3">
        <v>0</v>
      </c>
      <c r="I40">
        <v>0</v>
      </c>
      <c r="J40">
        <v>0</v>
      </c>
    </row>
    <row r="41" spans="1:10" x14ac:dyDescent="0.3">
      <c r="A41" s="2">
        <v>46026</v>
      </c>
      <c r="B41" t="s">
        <v>10</v>
      </c>
      <c r="C41" t="s">
        <v>11</v>
      </c>
      <c r="D41" t="s">
        <v>15</v>
      </c>
      <c r="E41">
        <v>24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s="2">
        <v>46026</v>
      </c>
      <c r="B42" t="s">
        <v>10</v>
      </c>
      <c r="C42" t="s">
        <v>11</v>
      </c>
      <c r="D42" t="s">
        <v>16</v>
      </c>
      <c r="E42">
        <v>0</v>
      </c>
      <c r="F42">
        <v>24</v>
      </c>
      <c r="G42">
        <v>0</v>
      </c>
      <c r="H42">
        <v>0</v>
      </c>
      <c r="I42">
        <v>0</v>
      </c>
      <c r="J42">
        <v>0</v>
      </c>
    </row>
    <row r="43" spans="1:10" x14ac:dyDescent="0.3">
      <c r="A43" s="2">
        <v>46026</v>
      </c>
      <c r="B43" t="s">
        <v>10</v>
      </c>
      <c r="C43" t="s">
        <v>11</v>
      </c>
      <c r="D43" t="s">
        <v>17</v>
      </c>
      <c r="E43">
        <v>0</v>
      </c>
      <c r="F43">
        <v>24</v>
      </c>
      <c r="G43">
        <v>0</v>
      </c>
      <c r="H43">
        <v>0</v>
      </c>
      <c r="I43">
        <v>0</v>
      </c>
      <c r="J43">
        <v>0</v>
      </c>
    </row>
    <row r="44" spans="1:10" x14ac:dyDescent="0.3">
      <c r="A44" s="2">
        <v>46026</v>
      </c>
      <c r="B44" t="s">
        <v>10</v>
      </c>
      <c r="C44" t="s">
        <v>11</v>
      </c>
      <c r="D44" t="s">
        <v>18</v>
      </c>
      <c r="E44">
        <v>24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">
      <c r="A45" s="2">
        <v>46026</v>
      </c>
      <c r="B45" t="s">
        <v>10</v>
      </c>
      <c r="C45" t="s">
        <v>11</v>
      </c>
      <c r="D45" t="s">
        <v>19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s="2">
        <v>46026</v>
      </c>
      <c r="B46" t="s">
        <v>10</v>
      </c>
      <c r="C46" t="s">
        <v>11</v>
      </c>
      <c r="D46" t="s">
        <v>20</v>
      </c>
      <c r="E46">
        <v>24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s="2">
        <v>46026</v>
      </c>
      <c r="B47" t="s">
        <v>10</v>
      </c>
      <c r="C47" t="s">
        <v>21</v>
      </c>
      <c r="D47" t="s">
        <v>22</v>
      </c>
      <c r="E47">
        <v>0</v>
      </c>
      <c r="F47">
        <v>24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s="2">
        <v>46026</v>
      </c>
      <c r="B48" t="s">
        <v>10</v>
      </c>
      <c r="C48" t="s">
        <v>21</v>
      </c>
      <c r="D48" t="s">
        <v>23</v>
      </c>
      <c r="E48">
        <v>24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s="2">
        <v>46026</v>
      </c>
      <c r="B49" t="s">
        <v>10</v>
      </c>
      <c r="C49" t="s">
        <v>21</v>
      </c>
      <c r="D49" t="s">
        <v>24</v>
      </c>
      <c r="E49">
        <v>24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s="2">
        <v>46027</v>
      </c>
      <c r="B50" t="s">
        <v>10</v>
      </c>
      <c r="C50" t="s">
        <v>11</v>
      </c>
      <c r="D50" t="s">
        <v>12</v>
      </c>
      <c r="E50">
        <v>24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s="2">
        <v>46027</v>
      </c>
      <c r="B51" t="s">
        <v>10</v>
      </c>
      <c r="C51" t="s">
        <v>11</v>
      </c>
      <c r="D51" t="s">
        <v>13</v>
      </c>
      <c r="E51">
        <v>24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s="2">
        <v>46027</v>
      </c>
      <c r="B52" t="s">
        <v>10</v>
      </c>
      <c r="C52" t="s">
        <v>11</v>
      </c>
      <c r="D52" t="s">
        <v>14</v>
      </c>
      <c r="E52" s="3">
        <v>24</v>
      </c>
      <c r="F52">
        <v>0</v>
      </c>
      <c r="G52">
        <v>0</v>
      </c>
      <c r="H52" s="3">
        <v>0</v>
      </c>
      <c r="I52">
        <v>0</v>
      </c>
      <c r="J52">
        <v>0</v>
      </c>
    </row>
    <row r="53" spans="1:10" x14ac:dyDescent="0.3">
      <c r="A53" s="2">
        <v>46027</v>
      </c>
      <c r="B53" t="s">
        <v>10</v>
      </c>
      <c r="C53" t="s">
        <v>11</v>
      </c>
      <c r="D53" t="s">
        <v>15</v>
      </c>
      <c r="E53">
        <v>20</v>
      </c>
      <c r="F53">
        <v>4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s="2">
        <v>46027</v>
      </c>
      <c r="B54" t="s">
        <v>10</v>
      </c>
      <c r="C54" t="s">
        <v>11</v>
      </c>
      <c r="D54" t="s">
        <v>16</v>
      </c>
      <c r="E54">
        <v>10</v>
      </c>
      <c r="F54">
        <v>14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s="2">
        <v>46027</v>
      </c>
      <c r="B55" t="s">
        <v>10</v>
      </c>
      <c r="C55" t="s">
        <v>11</v>
      </c>
      <c r="D55" t="s">
        <v>17</v>
      </c>
      <c r="E55">
        <v>13</v>
      </c>
      <c r="F55">
        <v>11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s="2">
        <v>46027</v>
      </c>
      <c r="B56" t="s">
        <v>10</v>
      </c>
      <c r="C56" t="s">
        <v>11</v>
      </c>
      <c r="D56" t="s">
        <v>18</v>
      </c>
      <c r="E56">
        <v>23</v>
      </c>
      <c r="F56">
        <v>1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s="2">
        <v>46027</v>
      </c>
      <c r="B57" t="s">
        <v>10</v>
      </c>
      <c r="C57" t="s">
        <v>11</v>
      </c>
      <c r="D57" t="s">
        <v>19</v>
      </c>
      <c r="E57">
        <v>18</v>
      </c>
      <c r="F57">
        <v>6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s="2">
        <v>46027</v>
      </c>
      <c r="B58" t="s">
        <v>10</v>
      </c>
      <c r="C58" t="s">
        <v>11</v>
      </c>
      <c r="D58" t="s">
        <v>20</v>
      </c>
      <c r="E58">
        <v>24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s="2">
        <v>46027</v>
      </c>
      <c r="B59" t="s">
        <v>10</v>
      </c>
      <c r="C59" t="s">
        <v>21</v>
      </c>
      <c r="D59" t="s">
        <v>22</v>
      </c>
      <c r="E59">
        <v>0</v>
      </c>
      <c r="F59">
        <v>24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s="2">
        <v>46027</v>
      </c>
      <c r="B60" t="s">
        <v>10</v>
      </c>
      <c r="C60" t="s">
        <v>21</v>
      </c>
      <c r="D60" t="s">
        <v>23</v>
      </c>
      <c r="E60">
        <v>24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 s="2">
        <v>46027</v>
      </c>
      <c r="B61" t="s">
        <v>10</v>
      </c>
      <c r="C61" t="s">
        <v>21</v>
      </c>
      <c r="D61" t="s">
        <v>24</v>
      </c>
      <c r="E61">
        <v>24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s="2">
        <v>46028</v>
      </c>
      <c r="B62" t="s">
        <v>10</v>
      </c>
      <c r="C62" t="s">
        <v>11</v>
      </c>
      <c r="D62" t="s">
        <v>12</v>
      </c>
      <c r="E62">
        <v>20</v>
      </c>
      <c r="F62">
        <v>4</v>
      </c>
      <c r="G62">
        <v>0</v>
      </c>
      <c r="H62">
        <v>0</v>
      </c>
      <c r="I62">
        <v>0</v>
      </c>
      <c r="J62">
        <v>0</v>
      </c>
    </row>
    <row r="63" spans="1:10" x14ac:dyDescent="0.3">
      <c r="A63" s="2">
        <v>46028</v>
      </c>
      <c r="B63" t="s">
        <v>10</v>
      </c>
      <c r="C63" t="s">
        <v>11</v>
      </c>
      <c r="D63" t="s">
        <v>13</v>
      </c>
      <c r="E63">
        <v>22</v>
      </c>
      <c r="F63">
        <v>2</v>
      </c>
      <c r="G63">
        <v>0</v>
      </c>
      <c r="H63">
        <v>0</v>
      </c>
      <c r="I63">
        <v>0</v>
      </c>
      <c r="J63">
        <v>0</v>
      </c>
    </row>
    <row r="64" spans="1:10" x14ac:dyDescent="0.3">
      <c r="A64" s="2">
        <v>46028</v>
      </c>
      <c r="B64" t="s">
        <v>10</v>
      </c>
      <c r="C64" t="s">
        <v>11</v>
      </c>
      <c r="D64" t="s">
        <v>14</v>
      </c>
      <c r="E64">
        <v>21</v>
      </c>
      <c r="F64">
        <v>3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s="2">
        <v>46028</v>
      </c>
      <c r="B65" t="s">
        <v>10</v>
      </c>
      <c r="C65" t="s">
        <v>11</v>
      </c>
      <c r="D65" t="s">
        <v>15</v>
      </c>
      <c r="E65">
        <v>24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 s="2">
        <v>46028</v>
      </c>
      <c r="B66" t="s">
        <v>10</v>
      </c>
      <c r="C66" t="s">
        <v>11</v>
      </c>
      <c r="D66" t="s">
        <v>16</v>
      </c>
      <c r="E66">
        <v>6</v>
      </c>
      <c r="F66">
        <v>18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s="2">
        <v>46028</v>
      </c>
      <c r="B67" t="s">
        <v>10</v>
      </c>
      <c r="C67" t="s">
        <v>11</v>
      </c>
      <c r="D67" t="s">
        <v>17</v>
      </c>
      <c r="E67">
        <v>6</v>
      </c>
      <c r="F67">
        <v>18</v>
      </c>
      <c r="G67">
        <v>0</v>
      </c>
      <c r="H67">
        <v>0</v>
      </c>
      <c r="I67">
        <v>0</v>
      </c>
      <c r="J67">
        <v>0</v>
      </c>
    </row>
    <row r="68" spans="1:10" x14ac:dyDescent="0.3">
      <c r="A68" s="2">
        <v>46028</v>
      </c>
      <c r="B68" t="s">
        <v>10</v>
      </c>
      <c r="C68" t="s">
        <v>11</v>
      </c>
      <c r="D68" t="s">
        <v>18</v>
      </c>
      <c r="E68">
        <v>24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">
      <c r="A69" s="2">
        <v>46028</v>
      </c>
      <c r="B69" t="s">
        <v>10</v>
      </c>
      <c r="C69" t="s">
        <v>11</v>
      </c>
      <c r="D69" t="s">
        <v>19</v>
      </c>
      <c r="E69">
        <v>24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 s="2">
        <v>46028</v>
      </c>
      <c r="B70" t="s">
        <v>10</v>
      </c>
      <c r="C70" t="s">
        <v>11</v>
      </c>
      <c r="D70" t="s">
        <v>20</v>
      </c>
      <c r="E70">
        <v>24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 s="2">
        <v>46028</v>
      </c>
      <c r="B71" t="s">
        <v>10</v>
      </c>
      <c r="C71" t="s">
        <v>21</v>
      </c>
      <c r="D71" t="s">
        <v>22</v>
      </c>
      <c r="E71">
        <v>0</v>
      </c>
      <c r="F71">
        <v>24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s="2">
        <v>46028</v>
      </c>
      <c r="B72" t="s">
        <v>10</v>
      </c>
      <c r="C72" t="s">
        <v>21</v>
      </c>
      <c r="D72" t="s">
        <v>23</v>
      </c>
      <c r="E72">
        <v>24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s="2">
        <v>46028</v>
      </c>
      <c r="B73" t="s">
        <v>10</v>
      </c>
      <c r="C73" t="s">
        <v>21</v>
      </c>
      <c r="D73" t="s">
        <v>24</v>
      </c>
      <c r="E73">
        <v>24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s="2">
        <v>46029</v>
      </c>
      <c r="B74" t="s">
        <v>10</v>
      </c>
      <c r="C74" t="s">
        <v>11</v>
      </c>
      <c r="D74" t="s">
        <v>12</v>
      </c>
      <c r="E74">
        <v>24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s="2">
        <v>46029</v>
      </c>
      <c r="B75" t="s">
        <v>10</v>
      </c>
      <c r="C75" t="s">
        <v>11</v>
      </c>
      <c r="D75" t="s">
        <v>13</v>
      </c>
      <c r="E75">
        <v>24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">
      <c r="A76" s="2">
        <v>46029</v>
      </c>
      <c r="B76" t="s">
        <v>10</v>
      </c>
      <c r="C76" t="s">
        <v>11</v>
      </c>
      <c r="D76" t="s">
        <v>14</v>
      </c>
      <c r="E76">
        <v>17</v>
      </c>
      <c r="F76">
        <v>7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s="2">
        <v>46029</v>
      </c>
      <c r="B77" t="s">
        <v>10</v>
      </c>
      <c r="C77" t="s">
        <v>11</v>
      </c>
      <c r="D77" t="s">
        <v>15</v>
      </c>
      <c r="E77">
        <v>7</v>
      </c>
      <c r="F77">
        <v>17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s="2">
        <v>46029</v>
      </c>
      <c r="B78" t="s">
        <v>10</v>
      </c>
      <c r="C78" t="s">
        <v>11</v>
      </c>
      <c r="D78" t="s">
        <v>16</v>
      </c>
      <c r="E78">
        <v>24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s="2">
        <v>46029</v>
      </c>
      <c r="B79" t="s">
        <v>10</v>
      </c>
      <c r="C79" t="s">
        <v>11</v>
      </c>
      <c r="D79" t="s">
        <v>17</v>
      </c>
      <c r="E79">
        <v>24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">
      <c r="A80" s="2">
        <v>46029</v>
      </c>
      <c r="B80" t="s">
        <v>10</v>
      </c>
      <c r="C80" t="s">
        <v>11</v>
      </c>
      <c r="D80" t="s">
        <v>18</v>
      </c>
      <c r="E80">
        <v>24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3">
      <c r="A81" s="2">
        <v>46029</v>
      </c>
      <c r="B81" t="s">
        <v>10</v>
      </c>
      <c r="C81" t="s">
        <v>11</v>
      </c>
      <c r="D81" t="s">
        <v>19</v>
      </c>
      <c r="E81">
        <v>24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 s="2">
        <v>46029</v>
      </c>
      <c r="B82" t="s">
        <v>10</v>
      </c>
      <c r="C82" t="s">
        <v>11</v>
      </c>
      <c r="D82" t="s">
        <v>20</v>
      </c>
      <c r="E82">
        <v>24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 s="2">
        <v>46029</v>
      </c>
      <c r="B83" t="s">
        <v>10</v>
      </c>
      <c r="C83" t="s">
        <v>21</v>
      </c>
      <c r="D83" t="s">
        <v>22</v>
      </c>
      <c r="E83">
        <v>24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">
      <c r="A84" s="2">
        <v>46029</v>
      </c>
      <c r="B84" t="s">
        <v>10</v>
      </c>
      <c r="C84" t="s">
        <v>21</v>
      </c>
      <c r="D84" t="s">
        <v>23</v>
      </c>
      <c r="E84">
        <v>24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">
      <c r="A85" s="2">
        <v>46029</v>
      </c>
      <c r="B85" t="s">
        <v>10</v>
      </c>
      <c r="C85" t="s">
        <v>21</v>
      </c>
      <c r="D85" t="s">
        <v>24</v>
      </c>
      <c r="E85">
        <v>24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">
      <c r="A86" s="2">
        <v>46030</v>
      </c>
      <c r="B86" t="s">
        <v>10</v>
      </c>
      <c r="C86" t="s">
        <v>11</v>
      </c>
      <c r="D86" t="s">
        <v>12</v>
      </c>
      <c r="E86">
        <v>23</v>
      </c>
      <c r="F86">
        <v>0</v>
      </c>
      <c r="G86">
        <v>0</v>
      </c>
      <c r="H86">
        <v>1</v>
      </c>
      <c r="I86">
        <v>0</v>
      </c>
      <c r="J86">
        <v>1</v>
      </c>
    </row>
    <row r="87" spans="1:10" x14ac:dyDescent="0.3">
      <c r="A87" s="2">
        <v>46030</v>
      </c>
      <c r="B87" t="s">
        <v>10</v>
      </c>
      <c r="C87" t="s">
        <v>11</v>
      </c>
      <c r="D87" t="s">
        <v>13</v>
      </c>
      <c r="E87">
        <v>24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">
      <c r="A88" s="2">
        <v>46030</v>
      </c>
      <c r="B88" t="s">
        <v>10</v>
      </c>
      <c r="C88" t="s">
        <v>11</v>
      </c>
      <c r="D88" t="s">
        <v>14</v>
      </c>
      <c r="E88">
        <v>24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s="2">
        <v>46030</v>
      </c>
      <c r="B89" t="s">
        <v>10</v>
      </c>
      <c r="C89" t="s">
        <v>11</v>
      </c>
      <c r="D89" t="s">
        <v>15</v>
      </c>
      <c r="E89">
        <v>24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">
      <c r="A90" s="2">
        <v>46030</v>
      </c>
      <c r="B90" t="s">
        <v>10</v>
      </c>
      <c r="C90" t="s">
        <v>11</v>
      </c>
      <c r="D90" t="s">
        <v>16</v>
      </c>
      <c r="E90">
        <v>4</v>
      </c>
      <c r="F90">
        <v>20</v>
      </c>
      <c r="G90">
        <v>0</v>
      </c>
      <c r="H90">
        <v>0</v>
      </c>
      <c r="I90">
        <v>0</v>
      </c>
      <c r="J90">
        <v>0</v>
      </c>
    </row>
    <row r="91" spans="1:10" x14ac:dyDescent="0.3">
      <c r="A91" s="2">
        <v>46030</v>
      </c>
      <c r="B91" t="s">
        <v>10</v>
      </c>
      <c r="C91" t="s">
        <v>11</v>
      </c>
      <c r="D91" t="s">
        <v>17</v>
      </c>
      <c r="E91">
        <v>4</v>
      </c>
      <c r="F91">
        <v>20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 s="2">
        <v>46030</v>
      </c>
      <c r="B92" t="s">
        <v>10</v>
      </c>
      <c r="C92" t="s">
        <v>11</v>
      </c>
      <c r="D92" t="s">
        <v>18</v>
      </c>
      <c r="E92">
        <v>0</v>
      </c>
      <c r="F92">
        <v>24</v>
      </c>
      <c r="G92">
        <v>0</v>
      </c>
      <c r="H92">
        <v>0</v>
      </c>
      <c r="I92">
        <v>0</v>
      </c>
      <c r="J92">
        <v>0</v>
      </c>
    </row>
    <row r="93" spans="1:10" x14ac:dyDescent="0.3">
      <c r="A93" s="2">
        <v>46030</v>
      </c>
      <c r="B93" t="s">
        <v>10</v>
      </c>
      <c r="C93" t="s">
        <v>11</v>
      </c>
      <c r="D93" t="s">
        <v>19</v>
      </c>
      <c r="E93">
        <v>24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">
      <c r="A94" s="2">
        <v>46030</v>
      </c>
      <c r="B94" t="s">
        <v>10</v>
      </c>
      <c r="C94" t="s">
        <v>11</v>
      </c>
      <c r="D94" t="s">
        <v>20</v>
      </c>
      <c r="E94">
        <v>24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">
      <c r="A95" s="2">
        <v>46030</v>
      </c>
      <c r="B95" t="s">
        <v>10</v>
      </c>
      <c r="C95" t="s">
        <v>21</v>
      </c>
      <c r="D95" t="s">
        <v>22</v>
      </c>
      <c r="E95">
        <v>0</v>
      </c>
      <c r="F95">
        <v>24</v>
      </c>
      <c r="G95">
        <v>0</v>
      </c>
      <c r="H95">
        <v>0</v>
      </c>
      <c r="I95">
        <v>0</v>
      </c>
      <c r="J95">
        <v>0</v>
      </c>
    </row>
    <row r="96" spans="1:10" x14ac:dyDescent="0.3">
      <c r="A96" s="2">
        <v>46030</v>
      </c>
      <c r="B96" t="s">
        <v>10</v>
      </c>
      <c r="C96" t="s">
        <v>21</v>
      </c>
      <c r="D96" t="s">
        <v>23</v>
      </c>
      <c r="E96">
        <v>24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">
      <c r="A97" s="2">
        <v>46030</v>
      </c>
      <c r="B97" t="s">
        <v>10</v>
      </c>
      <c r="C97" t="s">
        <v>21</v>
      </c>
      <c r="D97" t="s">
        <v>24</v>
      </c>
      <c r="E97">
        <v>24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 s="2">
        <v>46031</v>
      </c>
      <c r="B98" t="s">
        <v>10</v>
      </c>
      <c r="C98" t="s">
        <v>11</v>
      </c>
      <c r="D98" t="s">
        <v>12</v>
      </c>
      <c r="E98">
        <v>24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">
      <c r="A99" s="2">
        <v>46031</v>
      </c>
      <c r="B99" t="s">
        <v>10</v>
      </c>
      <c r="C99" t="s">
        <v>11</v>
      </c>
      <c r="D99" t="s">
        <v>13</v>
      </c>
      <c r="E99">
        <v>24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 s="2">
        <v>46031</v>
      </c>
      <c r="B100" t="s">
        <v>10</v>
      </c>
      <c r="C100" t="s">
        <v>11</v>
      </c>
      <c r="D100" t="s">
        <v>14</v>
      </c>
      <c r="E100">
        <v>24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A101" s="2">
        <v>46031</v>
      </c>
      <c r="B101" t="s">
        <v>10</v>
      </c>
      <c r="C101" t="s">
        <v>11</v>
      </c>
      <c r="D101" t="s">
        <v>15</v>
      </c>
      <c r="E101">
        <v>24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s="2">
        <v>46031</v>
      </c>
      <c r="B102" t="s">
        <v>10</v>
      </c>
      <c r="C102" t="s">
        <v>11</v>
      </c>
      <c r="D102" t="s">
        <v>16</v>
      </c>
      <c r="E102">
        <v>0</v>
      </c>
      <c r="F102">
        <v>24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 s="2">
        <v>46031</v>
      </c>
      <c r="B103" t="s">
        <v>10</v>
      </c>
      <c r="C103" t="s">
        <v>11</v>
      </c>
      <c r="D103" t="s">
        <v>17</v>
      </c>
      <c r="E103">
        <v>0</v>
      </c>
      <c r="F103">
        <v>24</v>
      </c>
      <c r="G103">
        <v>0</v>
      </c>
      <c r="H103">
        <v>0</v>
      </c>
      <c r="I103">
        <v>0</v>
      </c>
      <c r="J103">
        <v>0</v>
      </c>
    </row>
    <row r="104" spans="1:10" x14ac:dyDescent="0.3">
      <c r="A104" s="2">
        <v>46031</v>
      </c>
      <c r="B104" t="s">
        <v>10</v>
      </c>
      <c r="C104" t="s">
        <v>11</v>
      </c>
      <c r="D104" t="s">
        <v>18</v>
      </c>
      <c r="E104">
        <v>0</v>
      </c>
      <c r="F104">
        <v>24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A105" s="2">
        <v>46031</v>
      </c>
      <c r="B105" t="s">
        <v>10</v>
      </c>
      <c r="C105" t="s">
        <v>11</v>
      </c>
      <c r="D105" t="s">
        <v>19</v>
      </c>
      <c r="E105">
        <v>24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3">
      <c r="A106" s="2">
        <v>46031</v>
      </c>
      <c r="B106" t="s">
        <v>10</v>
      </c>
      <c r="C106" t="s">
        <v>11</v>
      </c>
      <c r="D106" t="s">
        <v>20</v>
      </c>
      <c r="E106">
        <v>24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 s="2">
        <v>46031</v>
      </c>
      <c r="B107" t="s">
        <v>10</v>
      </c>
      <c r="C107" t="s">
        <v>21</v>
      </c>
      <c r="D107" t="s">
        <v>22</v>
      </c>
      <c r="E107">
        <v>24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3">
      <c r="A108" s="2">
        <v>46031</v>
      </c>
      <c r="B108" t="s">
        <v>10</v>
      </c>
      <c r="C108" t="s">
        <v>21</v>
      </c>
      <c r="D108" t="s">
        <v>23</v>
      </c>
      <c r="E108">
        <v>24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A109" s="2">
        <v>46031</v>
      </c>
      <c r="B109" t="s">
        <v>10</v>
      </c>
      <c r="C109" t="s">
        <v>21</v>
      </c>
      <c r="D109" t="s">
        <v>24</v>
      </c>
      <c r="E109">
        <v>24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 s="2">
        <v>46032</v>
      </c>
      <c r="B110" t="s">
        <v>10</v>
      </c>
      <c r="C110" t="s">
        <v>11</v>
      </c>
      <c r="D110" t="s">
        <v>12</v>
      </c>
      <c r="E110">
        <v>24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A111" s="2">
        <v>46032</v>
      </c>
      <c r="B111" t="s">
        <v>10</v>
      </c>
      <c r="C111" t="s">
        <v>11</v>
      </c>
      <c r="D111" t="s">
        <v>13</v>
      </c>
      <c r="E111">
        <v>24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 s="2">
        <v>46032</v>
      </c>
      <c r="B112" t="s">
        <v>10</v>
      </c>
      <c r="C112" t="s">
        <v>11</v>
      </c>
      <c r="D112" t="s">
        <v>14</v>
      </c>
      <c r="E112">
        <v>24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s="2">
        <v>46032</v>
      </c>
      <c r="B113" t="s">
        <v>10</v>
      </c>
      <c r="C113" t="s">
        <v>11</v>
      </c>
      <c r="D113" t="s">
        <v>15</v>
      </c>
      <c r="E113">
        <v>24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 s="2">
        <v>46032</v>
      </c>
      <c r="B114" t="s">
        <v>10</v>
      </c>
      <c r="C114" t="s">
        <v>11</v>
      </c>
      <c r="D114" t="s">
        <v>16</v>
      </c>
      <c r="E114">
        <v>0</v>
      </c>
      <c r="F114">
        <v>24</v>
      </c>
      <c r="G114">
        <v>0</v>
      </c>
      <c r="H114">
        <v>0</v>
      </c>
      <c r="I114">
        <v>0</v>
      </c>
      <c r="J114">
        <v>0</v>
      </c>
    </row>
    <row r="115" spans="1:10" x14ac:dyDescent="0.3">
      <c r="A115" s="2">
        <v>46032</v>
      </c>
      <c r="B115" t="s">
        <v>10</v>
      </c>
      <c r="C115" t="s">
        <v>11</v>
      </c>
      <c r="D115" t="s">
        <v>17</v>
      </c>
      <c r="E115">
        <v>0</v>
      </c>
      <c r="F115">
        <v>24</v>
      </c>
      <c r="G115">
        <v>0</v>
      </c>
      <c r="H115">
        <v>0</v>
      </c>
      <c r="I115">
        <v>0</v>
      </c>
      <c r="J115">
        <v>0</v>
      </c>
    </row>
    <row r="116" spans="1:10" x14ac:dyDescent="0.3">
      <c r="A116" s="2">
        <v>46032</v>
      </c>
      <c r="B116" t="s">
        <v>10</v>
      </c>
      <c r="C116" t="s">
        <v>11</v>
      </c>
      <c r="D116" t="s">
        <v>18</v>
      </c>
      <c r="E116">
        <v>0</v>
      </c>
      <c r="F116">
        <v>24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 s="2">
        <v>46032</v>
      </c>
      <c r="B117" t="s">
        <v>10</v>
      </c>
      <c r="C117" t="s">
        <v>11</v>
      </c>
      <c r="D117" t="s">
        <v>19</v>
      </c>
      <c r="E117">
        <v>24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 s="2">
        <v>46032</v>
      </c>
      <c r="B118" t="s">
        <v>10</v>
      </c>
      <c r="C118" t="s">
        <v>11</v>
      </c>
      <c r="D118" t="s">
        <v>20</v>
      </c>
      <c r="E118">
        <v>24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3">
      <c r="A119" s="2">
        <v>46032</v>
      </c>
      <c r="B119" t="s">
        <v>10</v>
      </c>
      <c r="C119" t="s">
        <v>21</v>
      </c>
      <c r="D119" t="s">
        <v>22</v>
      </c>
      <c r="E119">
        <v>0</v>
      </c>
      <c r="F119">
        <v>24</v>
      </c>
      <c r="G119">
        <v>0</v>
      </c>
      <c r="H119">
        <v>0</v>
      </c>
      <c r="I119">
        <v>0</v>
      </c>
      <c r="J119">
        <v>0</v>
      </c>
    </row>
    <row r="120" spans="1:10" x14ac:dyDescent="0.3">
      <c r="A120" s="2">
        <v>46032</v>
      </c>
      <c r="B120" t="s">
        <v>10</v>
      </c>
      <c r="C120" t="s">
        <v>21</v>
      </c>
      <c r="D120" t="s">
        <v>23</v>
      </c>
      <c r="E120">
        <v>24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 s="2">
        <v>46032</v>
      </c>
      <c r="B121" t="s">
        <v>10</v>
      </c>
      <c r="C121" t="s">
        <v>21</v>
      </c>
      <c r="D121" t="s">
        <v>24</v>
      </c>
      <c r="E121">
        <v>24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 s="2">
        <v>46033</v>
      </c>
      <c r="B122" t="s">
        <v>10</v>
      </c>
      <c r="C122" t="s">
        <v>11</v>
      </c>
      <c r="D122" t="s">
        <v>12</v>
      </c>
      <c r="E122">
        <v>24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s="2">
        <v>46033</v>
      </c>
      <c r="B123" t="s">
        <v>10</v>
      </c>
      <c r="C123" t="s">
        <v>11</v>
      </c>
      <c r="D123" t="s">
        <v>13</v>
      </c>
      <c r="E123">
        <v>20</v>
      </c>
      <c r="F123">
        <v>4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 s="2">
        <v>46033</v>
      </c>
      <c r="B124" t="s">
        <v>10</v>
      </c>
      <c r="C124" t="s">
        <v>11</v>
      </c>
      <c r="D124" t="s">
        <v>14</v>
      </c>
      <c r="E124">
        <v>24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 s="2">
        <v>46033</v>
      </c>
      <c r="B125" t="s">
        <v>10</v>
      </c>
      <c r="C125" t="s">
        <v>11</v>
      </c>
      <c r="D125" t="s">
        <v>15</v>
      </c>
      <c r="E125">
        <v>14</v>
      </c>
      <c r="F125">
        <v>10</v>
      </c>
      <c r="G125">
        <v>0</v>
      </c>
      <c r="H125">
        <v>0</v>
      </c>
      <c r="I125">
        <v>0</v>
      </c>
      <c r="J125">
        <v>0</v>
      </c>
    </row>
    <row r="126" spans="1:10" x14ac:dyDescent="0.3">
      <c r="A126" s="2">
        <v>46033</v>
      </c>
      <c r="B126" t="s">
        <v>10</v>
      </c>
      <c r="C126" t="s">
        <v>11</v>
      </c>
      <c r="D126" t="s">
        <v>16</v>
      </c>
      <c r="E126">
        <v>2</v>
      </c>
      <c r="F126">
        <v>22</v>
      </c>
      <c r="G126">
        <v>0</v>
      </c>
      <c r="H126">
        <v>0</v>
      </c>
      <c r="I126">
        <v>0</v>
      </c>
      <c r="J126">
        <v>0</v>
      </c>
    </row>
    <row r="127" spans="1:10" x14ac:dyDescent="0.3">
      <c r="A127" s="2">
        <v>46033</v>
      </c>
      <c r="B127" t="s">
        <v>10</v>
      </c>
      <c r="C127" t="s">
        <v>11</v>
      </c>
      <c r="D127" t="s">
        <v>17</v>
      </c>
      <c r="E127">
        <v>22</v>
      </c>
      <c r="F127">
        <v>2</v>
      </c>
      <c r="G127">
        <v>0</v>
      </c>
      <c r="H127">
        <v>0</v>
      </c>
      <c r="I127">
        <v>0</v>
      </c>
      <c r="J127">
        <v>0</v>
      </c>
    </row>
    <row r="128" spans="1:10" x14ac:dyDescent="0.3">
      <c r="A128" s="2">
        <v>46033</v>
      </c>
      <c r="B128" t="s">
        <v>10</v>
      </c>
      <c r="C128" t="s">
        <v>11</v>
      </c>
      <c r="D128" t="s">
        <v>18</v>
      </c>
      <c r="E128">
        <v>19</v>
      </c>
      <c r="F128">
        <v>5</v>
      </c>
      <c r="G128">
        <v>0</v>
      </c>
      <c r="H128">
        <v>0</v>
      </c>
      <c r="I128">
        <v>0</v>
      </c>
      <c r="J128">
        <v>0</v>
      </c>
    </row>
    <row r="129" spans="1:10" x14ac:dyDescent="0.3">
      <c r="A129" s="2">
        <v>46033</v>
      </c>
      <c r="B129" t="s">
        <v>10</v>
      </c>
      <c r="C129" t="s">
        <v>11</v>
      </c>
      <c r="D129" t="s">
        <v>19</v>
      </c>
      <c r="E129">
        <v>24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 s="2">
        <v>46033</v>
      </c>
      <c r="B130" t="s">
        <v>10</v>
      </c>
      <c r="C130" t="s">
        <v>11</v>
      </c>
      <c r="D130" t="s">
        <v>20</v>
      </c>
      <c r="E130">
        <v>24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 s="2">
        <v>46033</v>
      </c>
      <c r="B131" t="s">
        <v>10</v>
      </c>
      <c r="C131" t="s">
        <v>21</v>
      </c>
      <c r="D131" t="s">
        <v>22</v>
      </c>
      <c r="E131">
        <v>18</v>
      </c>
      <c r="F131">
        <v>6</v>
      </c>
      <c r="G131">
        <v>0</v>
      </c>
      <c r="H131">
        <v>0</v>
      </c>
      <c r="I131">
        <v>0</v>
      </c>
      <c r="J131">
        <v>0</v>
      </c>
    </row>
    <row r="132" spans="1:10" x14ac:dyDescent="0.3">
      <c r="A132" s="2">
        <v>46033</v>
      </c>
      <c r="B132" t="s">
        <v>10</v>
      </c>
      <c r="C132" t="s">
        <v>21</v>
      </c>
      <c r="D132" t="s">
        <v>23</v>
      </c>
      <c r="E132">
        <v>24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 s="2">
        <v>46033</v>
      </c>
      <c r="B133" t="s">
        <v>10</v>
      </c>
      <c r="C133" t="s">
        <v>21</v>
      </c>
      <c r="D133" t="s">
        <v>24</v>
      </c>
      <c r="E133">
        <v>18</v>
      </c>
      <c r="F133">
        <v>6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 s="2">
        <v>46034</v>
      </c>
      <c r="B134" t="s">
        <v>10</v>
      </c>
      <c r="C134" t="s">
        <v>11</v>
      </c>
      <c r="D134" t="s">
        <v>12</v>
      </c>
      <c r="E134">
        <v>24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 s="2">
        <v>46034</v>
      </c>
      <c r="B135" t="s">
        <v>10</v>
      </c>
      <c r="C135" t="s">
        <v>11</v>
      </c>
      <c r="D135" t="s">
        <v>13</v>
      </c>
      <c r="E135">
        <v>24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">
      <c r="A136" s="2">
        <v>46034</v>
      </c>
      <c r="B136" t="s">
        <v>10</v>
      </c>
      <c r="C136" t="s">
        <v>11</v>
      </c>
      <c r="D136" t="s">
        <v>14</v>
      </c>
      <c r="E136">
        <v>24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 s="2">
        <v>46034</v>
      </c>
      <c r="B137" t="s">
        <v>10</v>
      </c>
      <c r="C137" t="s">
        <v>11</v>
      </c>
      <c r="D137" t="s">
        <v>15</v>
      </c>
      <c r="E137">
        <v>1</v>
      </c>
      <c r="F137">
        <v>23</v>
      </c>
      <c r="G137">
        <v>0</v>
      </c>
      <c r="H137">
        <v>0</v>
      </c>
      <c r="I137">
        <v>0</v>
      </c>
      <c r="J137">
        <v>0</v>
      </c>
    </row>
    <row r="138" spans="1:10" x14ac:dyDescent="0.3">
      <c r="A138" s="2">
        <v>46034</v>
      </c>
      <c r="B138" t="s">
        <v>10</v>
      </c>
      <c r="C138" t="s">
        <v>11</v>
      </c>
      <c r="D138" t="s">
        <v>16</v>
      </c>
      <c r="E138">
        <v>1</v>
      </c>
      <c r="F138">
        <v>23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 s="2">
        <v>46034</v>
      </c>
      <c r="B139" t="s">
        <v>10</v>
      </c>
      <c r="C139" t="s">
        <v>11</v>
      </c>
      <c r="D139" t="s">
        <v>17</v>
      </c>
      <c r="E139">
        <v>24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 s="2">
        <v>46034</v>
      </c>
      <c r="B140" t="s">
        <v>10</v>
      </c>
      <c r="C140" t="s">
        <v>11</v>
      </c>
      <c r="D140" t="s">
        <v>18</v>
      </c>
      <c r="E140">
        <v>24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 s="2">
        <v>46034</v>
      </c>
      <c r="B141" t="s">
        <v>10</v>
      </c>
      <c r="C141" t="s">
        <v>11</v>
      </c>
      <c r="D141" t="s">
        <v>19</v>
      </c>
      <c r="E141">
        <v>24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">
      <c r="A142" s="2">
        <v>46034</v>
      </c>
      <c r="B142" t="s">
        <v>10</v>
      </c>
      <c r="C142" t="s">
        <v>11</v>
      </c>
      <c r="D142" t="s">
        <v>20</v>
      </c>
      <c r="E142">
        <v>24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s="2">
        <v>46034</v>
      </c>
      <c r="B143" t="s">
        <v>10</v>
      </c>
      <c r="C143" t="s">
        <v>21</v>
      </c>
      <c r="D143" t="s">
        <v>22</v>
      </c>
      <c r="E143">
        <v>24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">
      <c r="A144" s="2">
        <v>46034</v>
      </c>
      <c r="B144" t="s">
        <v>10</v>
      </c>
      <c r="C144" t="s">
        <v>21</v>
      </c>
      <c r="D144" t="s">
        <v>23</v>
      </c>
      <c r="E144">
        <v>24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s="2">
        <v>46034</v>
      </c>
      <c r="B145" t="s">
        <v>10</v>
      </c>
      <c r="C145" t="s">
        <v>21</v>
      </c>
      <c r="D145" t="s">
        <v>24</v>
      </c>
      <c r="E145">
        <v>0</v>
      </c>
      <c r="F145">
        <v>24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A146" s="2">
        <v>46035</v>
      </c>
      <c r="B146" t="s">
        <v>10</v>
      </c>
      <c r="C146" t="s">
        <v>11</v>
      </c>
      <c r="D146" t="s">
        <v>12</v>
      </c>
      <c r="E146">
        <v>20</v>
      </c>
      <c r="F146">
        <v>4</v>
      </c>
      <c r="G146">
        <v>0</v>
      </c>
      <c r="H146">
        <v>0</v>
      </c>
      <c r="I146">
        <v>0</v>
      </c>
      <c r="J146">
        <v>0</v>
      </c>
    </row>
    <row r="147" spans="1:10" x14ac:dyDescent="0.3">
      <c r="A147" s="2">
        <v>46035</v>
      </c>
      <c r="B147" t="s">
        <v>10</v>
      </c>
      <c r="C147" t="s">
        <v>11</v>
      </c>
      <c r="D147" t="s">
        <v>13</v>
      </c>
      <c r="E147">
        <v>21</v>
      </c>
      <c r="F147">
        <v>3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A148" s="2">
        <v>46035</v>
      </c>
      <c r="B148" t="s">
        <v>10</v>
      </c>
      <c r="C148" t="s">
        <v>11</v>
      </c>
      <c r="D148" t="s">
        <v>14</v>
      </c>
      <c r="E148">
        <v>20</v>
      </c>
      <c r="F148">
        <v>4</v>
      </c>
      <c r="G148">
        <v>0</v>
      </c>
      <c r="H148">
        <v>0</v>
      </c>
      <c r="I148">
        <v>0</v>
      </c>
      <c r="J148">
        <v>0</v>
      </c>
    </row>
    <row r="149" spans="1:10" x14ac:dyDescent="0.3">
      <c r="A149" s="2">
        <v>46035</v>
      </c>
      <c r="B149" t="s">
        <v>10</v>
      </c>
      <c r="C149" t="s">
        <v>11</v>
      </c>
      <c r="D149" t="s">
        <v>15</v>
      </c>
      <c r="E149">
        <v>1</v>
      </c>
      <c r="F149">
        <v>23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 s="2">
        <v>46035</v>
      </c>
      <c r="B150" t="s">
        <v>10</v>
      </c>
      <c r="C150" t="s">
        <v>11</v>
      </c>
      <c r="D150" t="s">
        <v>16</v>
      </c>
      <c r="E150">
        <v>1</v>
      </c>
      <c r="F150">
        <v>23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 s="2">
        <v>46035</v>
      </c>
      <c r="B151" t="s">
        <v>10</v>
      </c>
      <c r="C151" t="s">
        <v>11</v>
      </c>
      <c r="D151" t="s">
        <v>17</v>
      </c>
      <c r="E151">
        <v>24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 s="2">
        <v>46035</v>
      </c>
      <c r="B152" t="s">
        <v>10</v>
      </c>
      <c r="C152" t="s">
        <v>11</v>
      </c>
      <c r="D152" t="s">
        <v>18</v>
      </c>
      <c r="E152">
        <v>24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3">
      <c r="A153" s="2">
        <v>46035</v>
      </c>
      <c r="B153" t="s">
        <v>10</v>
      </c>
      <c r="C153" t="s">
        <v>11</v>
      </c>
      <c r="D153" t="s">
        <v>19</v>
      </c>
      <c r="E153">
        <v>24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A154" s="2">
        <v>46035</v>
      </c>
      <c r="B154" t="s">
        <v>10</v>
      </c>
      <c r="C154" t="s">
        <v>11</v>
      </c>
      <c r="D154" t="s">
        <v>20</v>
      </c>
      <c r="E154">
        <v>24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 s="2">
        <v>46035</v>
      </c>
      <c r="B155" t="s">
        <v>10</v>
      </c>
      <c r="C155" t="s">
        <v>21</v>
      </c>
      <c r="D155" t="s">
        <v>22</v>
      </c>
      <c r="E155">
        <v>24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 s="2">
        <v>46035</v>
      </c>
      <c r="B156" t="s">
        <v>10</v>
      </c>
      <c r="C156" t="s">
        <v>21</v>
      </c>
      <c r="D156" t="s">
        <v>23</v>
      </c>
      <c r="E156">
        <v>24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s="2">
        <v>46035</v>
      </c>
      <c r="B157" t="s">
        <v>10</v>
      </c>
      <c r="C157" t="s">
        <v>21</v>
      </c>
      <c r="D157" t="s">
        <v>24</v>
      </c>
      <c r="E157">
        <v>0</v>
      </c>
      <c r="F157">
        <v>24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 s="2">
        <v>46036</v>
      </c>
      <c r="B158" t="s">
        <v>10</v>
      </c>
      <c r="C158" t="s">
        <v>11</v>
      </c>
      <c r="D158" t="s">
        <v>12</v>
      </c>
      <c r="E158">
        <v>24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s="2">
        <v>46036</v>
      </c>
      <c r="B159" t="s">
        <v>10</v>
      </c>
      <c r="C159" t="s">
        <v>11</v>
      </c>
      <c r="D159" t="s">
        <v>13</v>
      </c>
      <c r="E159">
        <v>24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 s="2">
        <v>46036</v>
      </c>
      <c r="B160" t="s">
        <v>10</v>
      </c>
      <c r="C160" t="s">
        <v>11</v>
      </c>
      <c r="D160" t="s">
        <v>14</v>
      </c>
      <c r="E160">
        <v>24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 s="2">
        <v>46036</v>
      </c>
      <c r="B161" t="s">
        <v>10</v>
      </c>
      <c r="C161" t="s">
        <v>11</v>
      </c>
      <c r="D161" t="s">
        <v>15</v>
      </c>
      <c r="E161">
        <v>3</v>
      </c>
      <c r="F161">
        <v>21</v>
      </c>
      <c r="G161">
        <v>0</v>
      </c>
      <c r="H161">
        <v>0</v>
      </c>
      <c r="I161">
        <v>0</v>
      </c>
      <c r="J161">
        <v>0</v>
      </c>
    </row>
    <row r="162" spans="1:10" x14ac:dyDescent="0.3">
      <c r="A162" s="2">
        <v>46036</v>
      </c>
      <c r="B162" t="s">
        <v>10</v>
      </c>
      <c r="C162" t="s">
        <v>11</v>
      </c>
      <c r="D162" t="s">
        <v>16</v>
      </c>
      <c r="E162">
        <v>3</v>
      </c>
      <c r="F162">
        <v>21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 s="2">
        <v>46036</v>
      </c>
      <c r="B163" t="s">
        <v>10</v>
      </c>
      <c r="C163" t="s">
        <v>11</v>
      </c>
      <c r="D163" t="s">
        <v>17</v>
      </c>
      <c r="E163">
        <v>24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 s="2">
        <v>46036</v>
      </c>
      <c r="B164" t="s">
        <v>10</v>
      </c>
      <c r="C164" t="s">
        <v>11</v>
      </c>
      <c r="D164" t="s">
        <v>18</v>
      </c>
      <c r="E164">
        <v>24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s="2">
        <v>46036</v>
      </c>
      <c r="B165" t="s">
        <v>10</v>
      </c>
      <c r="C165" t="s">
        <v>11</v>
      </c>
      <c r="D165" t="s">
        <v>19</v>
      </c>
      <c r="E165">
        <v>24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3">
      <c r="A166" s="2">
        <v>46036</v>
      </c>
      <c r="B166" t="s">
        <v>10</v>
      </c>
      <c r="C166" t="s">
        <v>11</v>
      </c>
      <c r="D166" t="s">
        <v>20</v>
      </c>
      <c r="E166">
        <v>24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s="2">
        <v>46036</v>
      </c>
      <c r="B167" t="s">
        <v>10</v>
      </c>
      <c r="C167" t="s">
        <v>21</v>
      </c>
      <c r="D167" t="s">
        <v>22</v>
      </c>
      <c r="E167">
        <v>24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 s="2">
        <v>46036</v>
      </c>
      <c r="B168" t="s">
        <v>10</v>
      </c>
      <c r="C168" t="s">
        <v>21</v>
      </c>
      <c r="D168" t="s">
        <v>23</v>
      </c>
      <c r="E168">
        <v>0</v>
      </c>
      <c r="F168">
        <v>24</v>
      </c>
      <c r="G168">
        <v>0</v>
      </c>
      <c r="H168">
        <v>0</v>
      </c>
      <c r="I168">
        <v>0</v>
      </c>
      <c r="J168">
        <v>0</v>
      </c>
    </row>
    <row r="169" spans="1:10" x14ac:dyDescent="0.3">
      <c r="A169" s="2">
        <v>46036</v>
      </c>
      <c r="B169" t="s">
        <v>10</v>
      </c>
      <c r="C169" t="s">
        <v>21</v>
      </c>
      <c r="D169" t="s">
        <v>24</v>
      </c>
      <c r="E169">
        <v>24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">
      <c r="A170" s="2">
        <v>46037</v>
      </c>
      <c r="B170" t="s">
        <v>10</v>
      </c>
      <c r="C170" t="s">
        <v>11</v>
      </c>
      <c r="D170" t="s">
        <v>12</v>
      </c>
      <c r="E170">
        <v>24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s="2">
        <v>46037</v>
      </c>
      <c r="B171" t="s">
        <v>10</v>
      </c>
      <c r="C171" t="s">
        <v>11</v>
      </c>
      <c r="D171" t="s">
        <v>13</v>
      </c>
      <c r="E171">
        <v>24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 s="2">
        <v>46037</v>
      </c>
      <c r="B172" t="s">
        <v>10</v>
      </c>
      <c r="C172" t="s">
        <v>11</v>
      </c>
      <c r="D172" t="s">
        <v>14</v>
      </c>
      <c r="E172">
        <v>24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 s="2">
        <v>46037</v>
      </c>
      <c r="B173" t="s">
        <v>10</v>
      </c>
      <c r="C173" t="s">
        <v>11</v>
      </c>
      <c r="D173" t="s">
        <v>15</v>
      </c>
      <c r="E173">
        <v>3</v>
      </c>
      <c r="F173">
        <v>21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 s="2">
        <v>46037</v>
      </c>
      <c r="B174" t="s">
        <v>10</v>
      </c>
      <c r="C174" t="s">
        <v>11</v>
      </c>
      <c r="D174" t="s">
        <v>16</v>
      </c>
      <c r="E174">
        <v>3</v>
      </c>
      <c r="F174">
        <v>21</v>
      </c>
      <c r="G174">
        <v>0</v>
      </c>
      <c r="H174">
        <v>0</v>
      </c>
      <c r="I174">
        <v>0</v>
      </c>
      <c r="J174">
        <v>0</v>
      </c>
    </row>
    <row r="175" spans="1:10" x14ac:dyDescent="0.3">
      <c r="A175" s="2">
        <v>46037</v>
      </c>
      <c r="B175" t="s">
        <v>10</v>
      </c>
      <c r="C175" t="s">
        <v>11</v>
      </c>
      <c r="D175" t="s">
        <v>17</v>
      </c>
      <c r="E175">
        <v>24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3">
      <c r="A176" s="2">
        <v>46037</v>
      </c>
      <c r="B176" t="s">
        <v>10</v>
      </c>
      <c r="C176" t="s">
        <v>11</v>
      </c>
      <c r="D176" t="s">
        <v>18</v>
      </c>
      <c r="E176">
        <v>24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s="2">
        <v>46037</v>
      </c>
      <c r="B177" t="s">
        <v>10</v>
      </c>
      <c r="C177" t="s">
        <v>11</v>
      </c>
      <c r="D177" t="s">
        <v>19</v>
      </c>
      <c r="E177">
        <v>24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 s="2">
        <v>46037</v>
      </c>
      <c r="B178" t="s">
        <v>10</v>
      </c>
      <c r="C178" t="s">
        <v>11</v>
      </c>
      <c r="D178" t="s">
        <v>20</v>
      </c>
      <c r="E178">
        <v>24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3">
      <c r="A179" s="2">
        <v>46037</v>
      </c>
      <c r="B179" t="s">
        <v>10</v>
      </c>
      <c r="C179" t="s">
        <v>21</v>
      </c>
      <c r="D179" t="s">
        <v>22</v>
      </c>
      <c r="E179">
        <v>24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">
      <c r="A180" s="2">
        <v>46037</v>
      </c>
      <c r="B180" t="s">
        <v>10</v>
      </c>
      <c r="C180" t="s">
        <v>21</v>
      </c>
      <c r="D180" t="s">
        <v>23</v>
      </c>
      <c r="E180">
        <v>0</v>
      </c>
      <c r="F180">
        <v>24</v>
      </c>
      <c r="G180">
        <v>0</v>
      </c>
      <c r="H180">
        <v>0</v>
      </c>
      <c r="I180">
        <v>0</v>
      </c>
      <c r="J180">
        <v>0</v>
      </c>
    </row>
    <row r="181" spans="1:10" x14ac:dyDescent="0.3">
      <c r="A181" s="2">
        <v>46037</v>
      </c>
      <c r="B181" t="s">
        <v>10</v>
      </c>
      <c r="C181" t="s">
        <v>21</v>
      </c>
      <c r="D181" t="s">
        <v>24</v>
      </c>
      <c r="E181">
        <v>24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 s="2">
        <v>46038</v>
      </c>
      <c r="B182" t="s">
        <v>10</v>
      </c>
      <c r="C182" t="s">
        <v>11</v>
      </c>
      <c r="D182" t="s">
        <v>12</v>
      </c>
      <c r="E182">
        <v>24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">
      <c r="A183" s="2">
        <v>46038</v>
      </c>
      <c r="B183" t="s">
        <v>10</v>
      </c>
      <c r="C183" t="s">
        <v>11</v>
      </c>
      <c r="D183" t="s">
        <v>13</v>
      </c>
      <c r="E183">
        <v>24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3">
      <c r="A184" s="2">
        <v>46038</v>
      </c>
      <c r="B184" t="s">
        <v>10</v>
      </c>
      <c r="C184" t="s">
        <v>11</v>
      </c>
      <c r="D184" t="s">
        <v>14</v>
      </c>
      <c r="E184">
        <v>24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 s="2">
        <v>46038</v>
      </c>
      <c r="B185" t="s">
        <v>10</v>
      </c>
      <c r="C185" t="s">
        <v>11</v>
      </c>
      <c r="D185" t="s">
        <v>15</v>
      </c>
      <c r="E185">
        <v>3</v>
      </c>
      <c r="F185">
        <v>21</v>
      </c>
      <c r="G185">
        <v>0</v>
      </c>
      <c r="H185">
        <v>0</v>
      </c>
      <c r="I185">
        <v>0</v>
      </c>
      <c r="J185">
        <v>0</v>
      </c>
    </row>
    <row r="186" spans="1:10" x14ac:dyDescent="0.3">
      <c r="A186" s="2">
        <v>46038</v>
      </c>
      <c r="B186" t="s">
        <v>10</v>
      </c>
      <c r="C186" t="s">
        <v>11</v>
      </c>
      <c r="D186" t="s">
        <v>16</v>
      </c>
      <c r="E186">
        <v>3</v>
      </c>
      <c r="F186">
        <v>21</v>
      </c>
      <c r="G186">
        <v>0</v>
      </c>
      <c r="H186">
        <v>0</v>
      </c>
      <c r="I186">
        <v>0</v>
      </c>
      <c r="J186">
        <v>0</v>
      </c>
    </row>
    <row r="187" spans="1:10" x14ac:dyDescent="0.3">
      <c r="A187" s="2">
        <v>46038</v>
      </c>
      <c r="B187" t="s">
        <v>10</v>
      </c>
      <c r="C187" t="s">
        <v>11</v>
      </c>
      <c r="D187" t="s">
        <v>17</v>
      </c>
      <c r="E187">
        <v>24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">
      <c r="A188" s="2">
        <v>46038</v>
      </c>
      <c r="B188" t="s">
        <v>10</v>
      </c>
      <c r="C188" t="s">
        <v>11</v>
      </c>
      <c r="D188" t="s">
        <v>18</v>
      </c>
      <c r="E188">
        <v>24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s="2">
        <v>46038</v>
      </c>
      <c r="B189" t="s">
        <v>10</v>
      </c>
      <c r="C189" t="s">
        <v>11</v>
      </c>
      <c r="D189" t="s">
        <v>19</v>
      </c>
      <c r="E189">
        <v>24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3">
      <c r="A190" s="2">
        <v>46038</v>
      </c>
      <c r="B190" t="s">
        <v>10</v>
      </c>
      <c r="C190" t="s">
        <v>11</v>
      </c>
      <c r="D190" t="s">
        <v>20</v>
      </c>
      <c r="E190">
        <v>24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3">
      <c r="A191" s="2">
        <v>46038</v>
      </c>
      <c r="B191" t="s">
        <v>10</v>
      </c>
      <c r="C191" t="s">
        <v>21</v>
      </c>
      <c r="D191" t="s">
        <v>22</v>
      </c>
      <c r="E191">
        <v>24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">
      <c r="A192" s="2">
        <v>46038</v>
      </c>
      <c r="B192" t="s">
        <v>10</v>
      </c>
      <c r="C192" t="s">
        <v>21</v>
      </c>
      <c r="D192" t="s">
        <v>23</v>
      </c>
      <c r="E192">
        <v>0</v>
      </c>
      <c r="F192">
        <v>24</v>
      </c>
      <c r="G192">
        <v>0</v>
      </c>
      <c r="H192">
        <v>0</v>
      </c>
      <c r="I192">
        <v>0</v>
      </c>
      <c r="J192">
        <v>2</v>
      </c>
    </row>
    <row r="193" spans="1:10" x14ac:dyDescent="0.3">
      <c r="A193" s="2">
        <v>46038</v>
      </c>
      <c r="B193" t="s">
        <v>10</v>
      </c>
      <c r="C193" t="s">
        <v>21</v>
      </c>
      <c r="D193" t="s">
        <v>24</v>
      </c>
      <c r="E193">
        <v>24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">
      <c r="A194" s="2">
        <v>46039</v>
      </c>
      <c r="B194" t="s">
        <v>10</v>
      </c>
      <c r="C194" t="s">
        <v>11</v>
      </c>
      <c r="D194" t="s">
        <v>12</v>
      </c>
      <c r="E194">
        <v>24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A195" s="2">
        <v>46039</v>
      </c>
      <c r="B195" t="s">
        <v>10</v>
      </c>
      <c r="C195" t="s">
        <v>11</v>
      </c>
      <c r="D195" t="s">
        <v>13</v>
      </c>
      <c r="E195">
        <v>24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3">
      <c r="A196" s="2">
        <v>46039</v>
      </c>
      <c r="B196" t="s">
        <v>10</v>
      </c>
      <c r="C196" t="s">
        <v>11</v>
      </c>
      <c r="D196" t="s">
        <v>14</v>
      </c>
      <c r="E196">
        <v>24</v>
      </c>
      <c r="F196">
        <v>0</v>
      </c>
      <c r="G196">
        <v>0</v>
      </c>
      <c r="H196">
        <v>0</v>
      </c>
      <c r="I196">
        <v>0</v>
      </c>
      <c r="J196">
        <v>1</v>
      </c>
    </row>
    <row r="197" spans="1:10" x14ac:dyDescent="0.3">
      <c r="A197" s="2">
        <v>46039</v>
      </c>
      <c r="B197" t="s">
        <v>10</v>
      </c>
      <c r="C197" t="s">
        <v>11</v>
      </c>
      <c r="D197" t="s">
        <v>15</v>
      </c>
      <c r="E197">
        <v>3</v>
      </c>
      <c r="F197">
        <v>21</v>
      </c>
      <c r="G197">
        <v>0</v>
      </c>
      <c r="H197">
        <v>0</v>
      </c>
      <c r="I197">
        <v>0</v>
      </c>
      <c r="J197">
        <v>0</v>
      </c>
    </row>
    <row r="198" spans="1:10" x14ac:dyDescent="0.3">
      <c r="A198" s="2">
        <v>46039</v>
      </c>
      <c r="B198" t="s">
        <v>10</v>
      </c>
      <c r="C198" t="s">
        <v>11</v>
      </c>
      <c r="D198" t="s">
        <v>16</v>
      </c>
      <c r="E198">
        <v>4</v>
      </c>
      <c r="F198">
        <v>20</v>
      </c>
      <c r="G198">
        <v>0</v>
      </c>
      <c r="H198">
        <v>0</v>
      </c>
      <c r="I198">
        <v>0</v>
      </c>
      <c r="J198">
        <v>0</v>
      </c>
    </row>
    <row r="199" spans="1:10" x14ac:dyDescent="0.3">
      <c r="A199" s="2">
        <v>46039</v>
      </c>
      <c r="B199" t="s">
        <v>10</v>
      </c>
      <c r="C199" t="s">
        <v>11</v>
      </c>
      <c r="D199" t="s">
        <v>17</v>
      </c>
      <c r="E199">
        <v>24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3">
      <c r="A200" s="2">
        <v>46039</v>
      </c>
      <c r="B200" t="s">
        <v>10</v>
      </c>
      <c r="C200" t="s">
        <v>11</v>
      </c>
      <c r="D200" t="s">
        <v>18</v>
      </c>
      <c r="E200">
        <v>23</v>
      </c>
      <c r="F200">
        <v>1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s="2">
        <v>46039</v>
      </c>
      <c r="B201" t="s">
        <v>10</v>
      </c>
      <c r="C201" t="s">
        <v>11</v>
      </c>
      <c r="D201" t="s">
        <v>19</v>
      </c>
      <c r="E201">
        <v>23</v>
      </c>
      <c r="F201">
        <v>1</v>
      </c>
      <c r="G201">
        <v>0</v>
      </c>
      <c r="H201">
        <v>0</v>
      </c>
      <c r="I201">
        <v>0</v>
      </c>
      <c r="J201">
        <v>0</v>
      </c>
    </row>
    <row r="202" spans="1:10" x14ac:dyDescent="0.3">
      <c r="A202" s="2">
        <v>46039</v>
      </c>
      <c r="B202" t="s">
        <v>10</v>
      </c>
      <c r="C202" t="s">
        <v>11</v>
      </c>
      <c r="D202" t="s">
        <v>20</v>
      </c>
      <c r="E202">
        <v>23</v>
      </c>
      <c r="F202">
        <v>1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A203" s="2">
        <v>46039</v>
      </c>
      <c r="B203" t="s">
        <v>10</v>
      </c>
      <c r="C203" t="s">
        <v>21</v>
      </c>
      <c r="D203" t="s">
        <v>22</v>
      </c>
      <c r="E203">
        <v>21</v>
      </c>
      <c r="F203">
        <v>3</v>
      </c>
      <c r="G203">
        <v>0</v>
      </c>
      <c r="H203">
        <v>0</v>
      </c>
      <c r="I203">
        <v>0</v>
      </c>
      <c r="J203">
        <v>0</v>
      </c>
    </row>
    <row r="204" spans="1:10" x14ac:dyDescent="0.3">
      <c r="A204" s="2">
        <v>46039</v>
      </c>
      <c r="B204" t="s">
        <v>10</v>
      </c>
      <c r="C204" t="s">
        <v>21</v>
      </c>
      <c r="D204" t="s">
        <v>23</v>
      </c>
      <c r="E204">
        <v>4</v>
      </c>
      <c r="F204">
        <v>20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s="2">
        <v>46039</v>
      </c>
      <c r="B205" t="s">
        <v>10</v>
      </c>
      <c r="C205" t="s">
        <v>21</v>
      </c>
      <c r="D205" t="s">
        <v>24</v>
      </c>
      <c r="E205">
        <v>24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A206" s="2">
        <v>46040</v>
      </c>
      <c r="B206" t="s">
        <v>10</v>
      </c>
      <c r="C206" t="s">
        <v>11</v>
      </c>
      <c r="D206" t="s">
        <v>12</v>
      </c>
      <c r="E206">
        <v>20</v>
      </c>
      <c r="F206">
        <v>4</v>
      </c>
      <c r="G206">
        <v>0</v>
      </c>
      <c r="H206">
        <v>0</v>
      </c>
      <c r="I206">
        <v>0</v>
      </c>
      <c r="J206">
        <v>0</v>
      </c>
    </row>
    <row r="207" spans="1:10" x14ac:dyDescent="0.3">
      <c r="A207" s="2">
        <v>46040</v>
      </c>
      <c r="B207" t="s">
        <v>10</v>
      </c>
      <c r="C207" t="s">
        <v>11</v>
      </c>
      <c r="D207" t="s">
        <v>13</v>
      </c>
      <c r="E207">
        <v>21</v>
      </c>
      <c r="F207">
        <v>3</v>
      </c>
      <c r="G207">
        <v>0</v>
      </c>
      <c r="H207">
        <v>0</v>
      </c>
      <c r="I207">
        <v>0</v>
      </c>
      <c r="J207">
        <v>0</v>
      </c>
    </row>
    <row r="208" spans="1:10" x14ac:dyDescent="0.3">
      <c r="A208" s="2">
        <v>46040</v>
      </c>
      <c r="B208" t="s">
        <v>10</v>
      </c>
      <c r="C208" t="s">
        <v>11</v>
      </c>
      <c r="D208" t="s">
        <v>14</v>
      </c>
      <c r="E208">
        <v>20</v>
      </c>
      <c r="F208">
        <v>4</v>
      </c>
      <c r="G208">
        <v>0</v>
      </c>
      <c r="H208">
        <v>0</v>
      </c>
      <c r="I208">
        <v>0</v>
      </c>
      <c r="J208">
        <v>0</v>
      </c>
    </row>
    <row r="209" spans="1:10" x14ac:dyDescent="0.3">
      <c r="A209" s="2">
        <v>46040</v>
      </c>
      <c r="B209" t="s">
        <v>10</v>
      </c>
      <c r="C209" t="s">
        <v>11</v>
      </c>
      <c r="D209" t="s">
        <v>15</v>
      </c>
      <c r="E209">
        <v>0</v>
      </c>
      <c r="F209">
        <v>24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 s="2">
        <v>46040</v>
      </c>
      <c r="B210" t="s">
        <v>10</v>
      </c>
      <c r="C210" t="s">
        <v>11</v>
      </c>
      <c r="D210" t="s">
        <v>16</v>
      </c>
      <c r="E210">
        <v>0</v>
      </c>
      <c r="F210">
        <v>24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s="2">
        <v>46040</v>
      </c>
      <c r="B211" t="s">
        <v>10</v>
      </c>
      <c r="C211" t="s">
        <v>11</v>
      </c>
      <c r="D211" t="s">
        <v>17</v>
      </c>
      <c r="E211">
        <v>22</v>
      </c>
      <c r="F211">
        <v>2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s="2">
        <v>46040</v>
      </c>
      <c r="B212" t="s">
        <v>10</v>
      </c>
      <c r="C212" t="s">
        <v>11</v>
      </c>
      <c r="D212" t="s">
        <v>18</v>
      </c>
      <c r="E212">
        <v>22</v>
      </c>
      <c r="F212">
        <v>2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s="2">
        <v>46040</v>
      </c>
      <c r="B213" t="s">
        <v>10</v>
      </c>
      <c r="C213" t="s">
        <v>11</v>
      </c>
      <c r="D213" t="s">
        <v>19</v>
      </c>
      <c r="E213">
        <v>21</v>
      </c>
      <c r="F213">
        <v>3</v>
      </c>
      <c r="G213">
        <v>0</v>
      </c>
      <c r="H213">
        <v>0</v>
      </c>
      <c r="I213">
        <v>0</v>
      </c>
      <c r="J213">
        <v>0</v>
      </c>
    </row>
    <row r="214" spans="1:10" x14ac:dyDescent="0.3">
      <c r="A214" s="2">
        <v>46040</v>
      </c>
      <c r="B214" t="s">
        <v>10</v>
      </c>
      <c r="C214" t="s">
        <v>11</v>
      </c>
      <c r="D214" t="s">
        <v>20</v>
      </c>
      <c r="E214">
        <v>22</v>
      </c>
      <c r="F214">
        <v>2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 s="2">
        <v>46040</v>
      </c>
      <c r="B215" t="s">
        <v>10</v>
      </c>
      <c r="C215" t="s">
        <v>21</v>
      </c>
      <c r="D215" t="s">
        <v>22</v>
      </c>
      <c r="E215">
        <v>23</v>
      </c>
      <c r="F215">
        <v>1</v>
      </c>
      <c r="G215">
        <v>0</v>
      </c>
      <c r="H215">
        <v>0</v>
      </c>
      <c r="I215">
        <v>0</v>
      </c>
      <c r="J215">
        <v>0</v>
      </c>
    </row>
    <row r="216" spans="1:10" x14ac:dyDescent="0.3">
      <c r="A216" s="2">
        <v>46040</v>
      </c>
      <c r="B216" t="s">
        <v>10</v>
      </c>
      <c r="C216" t="s">
        <v>21</v>
      </c>
      <c r="D216" t="s">
        <v>23</v>
      </c>
      <c r="E216">
        <v>1</v>
      </c>
      <c r="F216">
        <v>23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s="2">
        <v>46040</v>
      </c>
      <c r="B217" t="s">
        <v>10</v>
      </c>
      <c r="C217" t="s">
        <v>21</v>
      </c>
      <c r="D217" t="s">
        <v>24</v>
      </c>
      <c r="E217">
        <v>24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3">
      <c r="A218" s="2">
        <v>46041</v>
      </c>
      <c r="B218" t="s">
        <v>10</v>
      </c>
      <c r="C218" t="s">
        <v>11</v>
      </c>
      <c r="D218" t="s">
        <v>12</v>
      </c>
      <c r="E218">
        <v>23</v>
      </c>
      <c r="F218">
        <v>1</v>
      </c>
      <c r="G218">
        <v>0</v>
      </c>
      <c r="H218">
        <v>0</v>
      </c>
      <c r="I218">
        <v>0</v>
      </c>
      <c r="J218">
        <v>0</v>
      </c>
    </row>
    <row r="219" spans="1:10" x14ac:dyDescent="0.3">
      <c r="A219" s="2">
        <v>46041</v>
      </c>
      <c r="B219" t="s">
        <v>10</v>
      </c>
      <c r="C219" t="s">
        <v>11</v>
      </c>
      <c r="D219" t="s">
        <v>13</v>
      </c>
      <c r="E219">
        <v>24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">
      <c r="A220" s="2">
        <v>46041</v>
      </c>
      <c r="B220" t="s">
        <v>10</v>
      </c>
      <c r="C220" t="s">
        <v>11</v>
      </c>
      <c r="D220" t="s">
        <v>14</v>
      </c>
      <c r="E220">
        <v>24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">
      <c r="A221" s="2">
        <v>46041</v>
      </c>
      <c r="B221" t="s">
        <v>10</v>
      </c>
      <c r="C221" t="s">
        <v>11</v>
      </c>
      <c r="D221" t="s">
        <v>15</v>
      </c>
      <c r="E221">
        <v>0</v>
      </c>
      <c r="F221">
        <v>24</v>
      </c>
      <c r="G221">
        <v>0</v>
      </c>
      <c r="H221">
        <v>0</v>
      </c>
      <c r="I221">
        <v>0</v>
      </c>
      <c r="J221">
        <v>0</v>
      </c>
    </row>
    <row r="222" spans="1:10" x14ac:dyDescent="0.3">
      <c r="A222" s="2">
        <v>46041</v>
      </c>
      <c r="B222" t="s">
        <v>10</v>
      </c>
      <c r="C222" t="s">
        <v>11</v>
      </c>
      <c r="D222" t="s">
        <v>16</v>
      </c>
      <c r="E222">
        <v>0</v>
      </c>
      <c r="F222">
        <v>24</v>
      </c>
      <c r="G222">
        <v>0</v>
      </c>
      <c r="H222">
        <v>0</v>
      </c>
      <c r="I222">
        <v>0</v>
      </c>
      <c r="J222">
        <v>0</v>
      </c>
    </row>
    <row r="223" spans="1:10" x14ac:dyDescent="0.3">
      <c r="A223" s="2">
        <v>46041</v>
      </c>
      <c r="B223" t="s">
        <v>10</v>
      </c>
      <c r="C223" t="s">
        <v>11</v>
      </c>
      <c r="D223" t="s">
        <v>17</v>
      </c>
      <c r="E223">
        <v>24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3">
      <c r="A224" s="2">
        <v>46041</v>
      </c>
      <c r="B224" t="s">
        <v>10</v>
      </c>
      <c r="C224" t="s">
        <v>11</v>
      </c>
      <c r="D224" t="s">
        <v>18</v>
      </c>
      <c r="E224">
        <v>24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 s="2">
        <v>46041</v>
      </c>
      <c r="B225" t="s">
        <v>10</v>
      </c>
      <c r="C225" t="s">
        <v>11</v>
      </c>
      <c r="D225" t="s">
        <v>19</v>
      </c>
      <c r="E225">
        <v>24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3">
      <c r="A226" s="2">
        <v>46041</v>
      </c>
      <c r="B226" t="s">
        <v>10</v>
      </c>
      <c r="C226" t="s">
        <v>11</v>
      </c>
      <c r="D226" t="s">
        <v>20</v>
      </c>
      <c r="E226">
        <v>24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s="2">
        <v>46041</v>
      </c>
      <c r="B227" t="s">
        <v>10</v>
      </c>
      <c r="C227" t="s">
        <v>21</v>
      </c>
      <c r="D227" t="s">
        <v>22</v>
      </c>
      <c r="E227">
        <v>24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3">
      <c r="A228" s="2">
        <v>46041</v>
      </c>
      <c r="B228" t="s">
        <v>10</v>
      </c>
      <c r="C228" t="s">
        <v>21</v>
      </c>
      <c r="D228" t="s">
        <v>23</v>
      </c>
      <c r="E228">
        <v>1</v>
      </c>
      <c r="F228">
        <v>23</v>
      </c>
      <c r="G228">
        <v>0</v>
      </c>
      <c r="H228">
        <v>0</v>
      </c>
      <c r="I228">
        <v>0</v>
      </c>
      <c r="J228">
        <v>0</v>
      </c>
    </row>
    <row r="229" spans="1:10" x14ac:dyDescent="0.3">
      <c r="A229" s="2">
        <v>46041</v>
      </c>
      <c r="B229" t="s">
        <v>10</v>
      </c>
      <c r="C229" t="s">
        <v>21</v>
      </c>
      <c r="D229" t="s">
        <v>24</v>
      </c>
      <c r="E229">
        <v>24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 s="2">
        <v>46042</v>
      </c>
      <c r="B230" t="s">
        <v>10</v>
      </c>
      <c r="C230" t="s">
        <v>11</v>
      </c>
      <c r="D230" t="s">
        <v>12</v>
      </c>
      <c r="E230">
        <v>17</v>
      </c>
      <c r="F230">
        <v>7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s="2">
        <v>46042</v>
      </c>
      <c r="B231" t="s">
        <v>10</v>
      </c>
      <c r="C231" t="s">
        <v>11</v>
      </c>
      <c r="D231" t="s">
        <v>13</v>
      </c>
      <c r="E231">
        <v>23</v>
      </c>
      <c r="F231">
        <v>1</v>
      </c>
      <c r="G231">
        <v>0</v>
      </c>
      <c r="H231">
        <v>0</v>
      </c>
      <c r="I231">
        <v>0</v>
      </c>
      <c r="J231">
        <v>0</v>
      </c>
    </row>
    <row r="232" spans="1:10" x14ac:dyDescent="0.3">
      <c r="A232" s="2">
        <v>46042</v>
      </c>
      <c r="B232" t="s">
        <v>10</v>
      </c>
      <c r="C232" t="s">
        <v>11</v>
      </c>
      <c r="D232" t="s">
        <v>14</v>
      </c>
      <c r="E232">
        <v>24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3">
      <c r="A233" s="2">
        <v>46042</v>
      </c>
      <c r="B233" t="s">
        <v>10</v>
      </c>
      <c r="C233" t="s">
        <v>11</v>
      </c>
      <c r="D233" t="s">
        <v>15</v>
      </c>
      <c r="E233">
        <v>11</v>
      </c>
      <c r="F233">
        <v>13</v>
      </c>
      <c r="G233">
        <v>0</v>
      </c>
      <c r="H233">
        <v>0</v>
      </c>
      <c r="I233">
        <v>0</v>
      </c>
      <c r="J233">
        <v>0</v>
      </c>
    </row>
    <row r="234" spans="1:10" x14ac:dyDescent="0.3">
      <c r="A234" s="2">
        <v>46042</v>
      </c>
      <c r="B234" t="s">
        <v>10</v>
      </c>
      <c r="C234" t="s">
        <v>11</v>
      </c>
      <c r="D234" t="s">
        <v>16</v>
      </c>
      <c r="E234">
        <v>10</v>
      </c>
      <c r="F234">
        <v>14</v>
      </c>
      <c r="G234">
        <v>0</v>
      </c>
      <c r="H234">
        <v>0</v>
      </c>
      <c r="I234">
        <v>0</v>
      </c>
      <c r="J234">
        <v>0</v>
      </c>
    </row>
    <row r="235" spans="1:10" x14ac:dyDescent="0.3">
      <c r="A235" s="2">
        <v>46042</v>
      </c>
      <c r="B235" t="s">
        <v>10</v>
      </c>
      <c r="C235" t="s">
        <v>11</v>
      </c>
      <c r="D235" t="s">
        <v>17</v>
      </c>
      <c r="E235">
        <v>24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 s="2">
        <v>46042</v>
      </c>
      <c r="B236" t="s">
        <v>10</v>
      </c>
      <c r="C236" t="s">
        <v>11</v>
      </c>
      <c r="D236" t="s">
        <v>18</v>
      </c>
      <c r="E236">
        <v>24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 s="2">
        <v>46042</v>
      </c>
      <c r="B237" t="s">
        <v>10</v>
      </c>
      <c r="C237" t="s">
        <v>11</v>
      </c>
      <c r="D237" t="s">
        <v>19</v>
      </c>
      <c r="E237">
        <v>24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 s="2">
        <v>46042</v>
      </c>
      <c r="B238" t="s">
        <v>10</v>
      </c>
      <c r="C238" t="s">
        <v>11</v>
      </c>
      <c r="D238" t="s">
        <v>20</v>
      </c>
      <c r="E238">
        <v>24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3">
      <c r="A239" s="2">
        <v>46042</v>
      </c>
      <c r="B239" t="s">
        <v>10</v>
      </c>
      <c r="C239" t="s">
        <v>21</v>
      </c>
      <c r="D239" t="s">
        <v>22</v>
      </c>
      <c r="E239">
        <v>24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 s="2">
        <v>46042</v>
      </c>
      <c r="B240" t="s">
        <v>10</v>
      </c>
      <c r="C240" t="s">
        <v>21</v>
      </c>
      <c r="D240" t="s">
        <v>23</v>
      </c>
      <c r="E240">
        <v>14</v>
      </c>
      <c r="F240">
        <v>10</v>
      </c>
      <c r="G240">
        <v>0</v>
      </c>
      <c r="H240">
        <v>0</v>
      </c>
      <c r="I240">
        <v>0</v>
      </c>
      <c r="J240">
        <v>0</v>
      </c>
    </row>
    <row r="241" spans="1:10" x14ac:dyDescent="0.3">
      <c r="A241" s="2">
        <v>46042</v>
      </c>
      <c r="B241" t="s">
        <v>10</v>
      </c>
      <c r="C241" t="s">
        <v>21</v>
      </c>
      <c r="D241" t="s">
        <v>24</v>
      </c>
      <c r="E241">
        <v>0</v>
      </c>
      <c r="F241">
        <v>24</v>
      </c>
      <c r="G241">
        <v>0</v>
      </c>
      <c r="H241">
        <v>0</v>
      </c>
      <c r="I241">
        <v>0</v>
      </c>
      <c r="J241">
        <v>0</v>
      </c>
    </row>
    <row r="242" spans="1:10" x14ac:dyDescent="0.3">
      <c r="A242" s="2">
        <v>46043</v>
      </c>
      <c r="B242" t="s">
        <v>10</v>
      </c>
      <c r="C242" t="s">
        <v>11</v>
      </c>
      <c r="D242" t="s">
        <v>12</v>
      </c>
      <c r="E242">
        <v>24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3">
      <c r="A243" s="2">
        <v>46043</v>
      </c>
      <c r="B243" t="s">
        <v>10</v>
      </c>
      <c r="C243" t="s">
        <v>11</v>
      </c>
      <c r="D243" t="s">
        <v>13</v>
      </c>
      <c r="E243">
        <v>24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3">
      <c r="A244" s="2">
        <v>46043</v>
      </c>
      <c r="B244" t="s">
        <v>10</v>
      </c>
      <c r="C244" t="s">
        <v>11</v>
      </c>
      <c r="D244" t="s">
        <v>14</v>
      </c>
      <c r="E244">
        <v>24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3">
      <c r="A245" s="2">
        <v>46043</v>
      </c>
      <c r="B245" t="s">
        <v>10</v>
      </c>
      <c r="C245" t="s">
        <v>11</v>
      </c>
      <c r="D245" t="s">
        <v>15</v>
      </c>
      <c r="E245">
        <v>5</v>
      </c>
      <c r="F245">
        <v>19</v>
      </c>
      <c r="G245">
        <v>0</v>
      </c>
      <c r="H245">
        <v>0</v>
      </c>
      <c r="I245">
        <v>0</v>
      </c>
      <c r="J245">
        <v>0</v>
      </c>
    </row>
    <row r="246" spans="1:10" x14ac:dyDescent="0.3">
      <c r="A246" s="2">
        <v>46043</v>
      </c>
      <c r="B246" t="s">
        <v>10</v>
      </c>
      <c r="C246" t="s">
        <v>11</v>
      </c>
      <c r="D246" t="s">
        <v>16</v>
      </c>
      <c r="E246">
        <v>5</v>
      </c>
      <c r="F246">
        <v>19</v>
      </c>
      <c r="G246">
        <v>0</v>
      </c>
      <c r="H246">
        <v>0</v>
      </c>
      <c r="I246">
        <v>0</v>
      </c>
      <c r="J246">
        <v>0</v>
      </c>
    </row>
    <row r="247" spans="1:10" x14ac:dyDescent="0.3">
      <c r="A247" s="2">
        <v>46043</v>
      </c>
      <c r="B247" t="s">
        <v>10</v>
      </c>
      <c r="C247" t="s">
        <v>11</v>
      </c>
      <c r="D247" t="s">
        <v>17</v>
      </c>
      <c r="E247">
        <v>24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A248" s="2">
        <v>46043</v>
      </c>
      <c r="B248" t="s">
        <v>10</v>
      </c>
      <c r="C248" t="s">
        <v>11</v>
      </c>
      <c r="D248" t="s">
        <v>18</v>
      </c>
      <c r="E248">
        <v>24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 s="2">
        <v>46043</v>
      </c>
      <c r="B249" t="s">
        <v>10</v>
      </c>
      <c r="C249" t="s">
        <v>11</v>
      </c>
      <c r="D249" t="s">
        <v>19</v>
      </c>
      <c r="E249">
        <v>19</v>
      </c>
      <c r="F249">
        <v>5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A250" s="2">
        <v>46043</v>
      </c>
      <c r="B250" t="s">
        <v>10</v>
      </c>
      <c r="C250" t="s">
        <v>11</v>
      </c>
      <c r="D250" t="s">
        <v>20</v>
      </c>
      <c r="E250">
        <v>24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">
      <c r="A251" s="2">
        <v>46043</v>
      </c>
      <c r="B251" t="s">
        <v>10</v>
      </c>
      <c r="C251" t="s">
        <v>21</v>
      </c>
      <c r="D251" t="s">
        <v>22</v>
      </c>
      <c r="E251">
        <v>23</v>
      </c>
      <c r="F251">
        <v>1</v>
      </c>
      <c r="G251">
        <v>0</v>
      </c>
      <c r="H251">
        <v>0</v>
      </c>
      <c r="I251">
        <v>0</v>
      </c>
      <c r="J251">
        <v>0</v>
      </c>
    </row>
    <row r="252" spans="1:10" x14ac:dyDescent="0.3">
      <c r="A252" s="2">
        <v>46043</v>
      </c>
      <c r="B252" t="s">
        <v>10</v>
      </c>
      <c r="C252" t="s">
        <v>21</v>
      </c>
      <c r="D252" t="s">
        <v>23</v>
      </c>
      <c r="E252">
        <v>23</v>
      </c>
      <c r="F252">
        <v>1</v>
      </c>
      <c r="G252">
        <v>0</v>
      </c>
      <c r="H252">
        <v>0</v>
      </c>
      <c r="I252">
        <v>0</v>
      </c>
      <c r="J252">
        <v>0</v>
      </c>
    </row>
    <row r="253" spans="1:10" x14ac:dyDescent="0.3">
      <c r="A253" s="2">
        <v>46043</v>
      </c>
      <c r="B253" t="s">
        <v>10</v>
      </c>
      <c r="C253" t="s">
        <v>21</v>
      </c>
      <c r="D253" t="s">
        <v>24</v>
      </c>
      <c r="E253">
        <v>0</v>
      </c>
      <c r="F253">
        <v>24</v>
      </c>
      <c r="G253">
        <v>0</v>
      </c>
      <c r="H253">
        <v>0</v>
      </c>
      <c r="I253">
        <v>0</v>
      </c>
      <c r="J253">
        <v>0</v>
      </c>
    </row>
    <row r="254" spans="1:10" x14ac:dyDescent="0.3">
      <c r="A254" s="2">
        <v>46044</v>
      </c>
      <c r="B254" t="s">
        <v>10</v>
      </c>
      <c r="C254" t="s">
        <v>11</v>
      </c>
      <c r="D254" t="s">
        <v>12</v>
      </c>
      <c r="E254">
        <v>24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">
      <c r="A255" s="2">
        <v>46044</v>
      </c>
      <c r="B255" t="s">
        <v>10</v>
      </c>
      <c r="C255" t="s">
        <v>11</v>
      </c>
      <c r="D255" t="s">
        <v>13</v>
      </c>
      <c r="E255">
        <v>24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3">
      <c r="A256" s="2">
        <v>46044</v>
      </c>
      <c r="B256" t="s">
        <v>10</v>
      </c>
      <c r="C256" t="s">
        <v>11</v>
      </c>
      <c r="D256" t="s">
        <v>14</v>
      </c>
      <c r="E256">
        <v>24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3">
      <c r="A257" s="2">
        <v>46044</v>
      </c>
      <c r="B257" t="s">
        <v>10</v>
      </c>
      <c r="C257" t="s">
        <v>11</v>
      </c>
      <c r="D257" t="s">
        <v>15</v>
      </c>
      <c r="E257">
        <v>10</v>
      </c>
      <c r="F257">
        <v>14</v>
      </c>
      <c r="G257">
        <v>0</v>
      </c>
      <c r="H257">
        <v>0</v>
      </c>
      <c r="I257">
        <v>0</v>
      </c>
      <c r="J257">
        <v>0</v>
      </c>
    </row>
    <row r="258" spans="1:10" x14ac:dyDescent="0.3">
      <c r="A258" s="2">
        <v>46044</v>
      </c>
      <c r="B258" t="s">
        <v>10</v>
      </c>
      <c r="C258" t="s">
        <v>11</v>
      </c>
      <c r="D258" t="s">
        <v>16</v>
      </c>
      <c r="E258">
        <v>0</v>
      </c>
      <c r="F258">
        <v>24</v>
      </c>
      <c r="G258">
        <v>0</v>
      </c>
      <c r="H258">
        <v>0</v>
      </c>
      <c r="I258">
        <v>0</v>
      </c>
      <c r="J258">
        <v>0</v>
      </c>
    </row>
    <row r="259" spans="1:10" x14ac:dyDescent="0.3">
      <c r="A259" s="2">
        <v>46044</v>
      </c>
      <c r="B259" t="s">
        <v>10</v>
      </c>
      <c r="C259" t="s">
        <v>11</v>
      </c>
      <c r="D259" t="s">
        <v>17</v>
      </c>
      <c r="E259">
        <v>15</v>
      </c>
      <c r="F259">
        <v>9</v>
      </c>
      <c r="G259">
        <v>0</v>
      </c>
      <c r="H259">
        <v>0</v>
      </c>
      <c r="I259">
        <v>0</v>
      </c>
      <c r="J259">
        <v>0</v>
      </c>
    </row>
    <row r="260" spans="1:10" x14ac:dyDescent="0.3">
      <c r="A260" s="2">
        <v>46044</v>
      </c>
      <c r="B260" t="s">
        <v>10</v>
      </c>
      <c r="C260" t="s">
        <v>11</v>
      </c>
      <c r="D260" t="s">
        <v>18</v>
      </c>
      <c r="E260">
        <v>24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3">
      <c r="A261" s="2">
        <v>46044</v>
      </c>
      <c r="B261" t="s">
        <v>10</v>
      </c>
      <c r="C261" t="s">
        <v>11</v>
      </c>
      <c r="D261" t="s">
        <v>19</v>
      </c>
      <c r="E261">
        <v>24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">
      <c r="A262" s="2">
        <v>46044</v>
      </c>
      <c r="B262" t="s">
        <v>10</v>
      </c>
      <c r="C262" t="s">
        <v>11</v>
      </c>
      <c r="D262" t="s">
        <v>20</v>
      </c>
      <c r="E262">
        <v>24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">
      <c r="A263" s="2">
        <v>46044</v>
      </c>
      <c r="B263" t="s">
        <v>10</v>
      </c>
      <c r="C263" t="s">
        <v>21</v>
      </c>
      <c r="D263" t="s">
        <v>22</v>
      </c>
      <c r="E263">
        <v>24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">
      <c r="A264" s="2">
        <v>46044</v>
      </c>
      <c r="B264" t="s">
        <v>10</v>
      </c>
      <c r="C264" t="s">
        <v>21</v>
      </c>
      <c r="D264" t="s">
        <v>23</v>
      </c>
      <c r="E264">
        <v>24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">
      <c r="A265" s="2">
        <v>46044</v>
      </c>
      <c r="B265" t="s">
        <v>10</v>
      </c>
      <c r="C265" t="s">
        <v>21</v>
      </c>
      <c r="D265" t="s">
        <v>24</v>
      </c>
      <c r="E265">
        <v>0</v>
      </c>
      <c r="F265">
        <v>24</v>
      </c>
      <c r="G265">
        <v>0</v>
      </c>
      <c r="H265">
        <v>0</v>
      </c>
      <c r="I265">
        <v>0</v>
      </c>
      <c r="J265">
        <v>0</v>
      </c>
    </row>
    <row r="266" spans="1:10" x14ac:dyDescent="0.3">
      <c r="A266" s="2">
        <v>46045</v>
      </c>
      <c r="B266" t="s">
        <v>10</v>
      </c>
      <c r="C266" t="s">
        <v>11</v>
      </c>
      <c r="D266" t="s">
        <v>12</v>
      </c>
      <c r="E266">
        <v>24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3">
      <c r="A267" s="2">
        <v>46045</v>
      </c>
      <c r="B267" t="s">
        <v>10</v>
      </c>
      <c r="C267" t="s">
        <v>11</v>
      </c>
      <c r="D267" t="s">
        <v>13</v>
      </c>
      <c r="E267">
        <v>24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3">
      <c r="A268" s="2">
        <v>46045</v>
      </c>
      <c r="B268" t="s">
        <v>10</v>
      </c>
      <c r="C268" t="s">
        <v>11</v>
      </c>
      <c r="D268" t="s">
        <v>14</v>
      </c>
      <c r="E268">
        <v>24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">
      <c r="A269" s="2">
        <v>46045</v>
      </c>
      <c r="B269" t="s">
        <v>10</v>
      </c>
      <c r="C269" t="s">
        <v>11</v>
      </c>
      <c r="D269" t="s">
        <v>15</v>
      </c>
      <c r="E269">
        <v>10</v>
      </c>
      <c r="F269">
        <v>14</v>
      </c>
      <c r="G269">
        <v>0</v>
      </c>
      <c r="H269">
        <v>0</v>
      </c>
      <c r="I269">
        <v>0</v>
      </c>
      <c r="J269">
        <v>0</v>
      </c>
    </row>
    <row r="270" spans="1:10" x14ac:dyDescent="0.3">
      <c r="A270" s="2">
        <v>46045</v>
      </c>
      <c r="B270" t="s">
        <v>10</v>
      </c>
      <c r="C270" t="s">
        <v>11</v>
      </c>
      <c r="D270" t="s">
        <v>16</v>
      </c>
      <c r="E270">
        <v>0</v>
      </c>
      <c r="F270">
        <v>24</v>
      </c>
      <c r="G270">
        <v>0</v>
      </c>
      <c r="H270">
        <v>0</v>
      </c>
      <c r="I270">
        <v>0</v>
      </c>
      <c r="J270">
        <v>0</v>
      </c>
    </row>
    <row r="271" spans="1:10" x14ac:dyDescent="0.3">
      <c r="A271" s="2">
        <v>46045</v>
      </c>
      <c r="B271" t="s">
        <v>10</v>
      </c>
      <c r="C271" t="s">
        <v>11</v>
      </c>
      <c r="D271" t="s">
        <v>17</v>
      </c>
      <c r="E271">
        <v>15</v>
      </c>
      <c r="F271">
        <v>9</v>
      </c>
      <c r="G271">
        <v>0</v>
      </c>
      <c r="H271">
        <v>0</v>
      </c>
      <c r="I271">
        <v>0</v>
      </c>
      <c r="J271">
        <v>0</v>
      </c>
    </row>
    <row r="272" spans="1:10" x14ac:dyDescent="0.3">
      <c r="A272" s="2">
        <v>46045</v>
      </c>
      <c r="B272" t="s">
        <v>10</v>
      </c>
      <c r="C272" t="s">
        <v>11</v>
      </c>
      <c r="D272" t="s">
        <v>18</v>
      </c>
      <c r="E272">
        <v>24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">
      <c r="A273" s="2">
        <v>46045</v>
      </c>
      <c r="B273" t="s">
        <v>10</v>
      </c>
      <c r="C273" t="s">
        <v>11</v>
      </c>
      <c r="D273" t="s">
        <v>19</v>
      </c>
      <c r="E273">
        <v>24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">
      <c r="A274" s="2">
        <v>46045</v>
      </c>
      <c r="B274" t="s">
        <v>10</v>
      </c>
      <c r="C274" t="s">
        <v>11</v>
      </c>
      <c r="D274" t="s">
        <v>20</v>
      </c>
      <c r="E274">
        <v>24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3">
      <c r="A275" s="2">
        <v>46045</v>
      </c>
      <c r="B275" t="s">
        <v>10</v>
      </c>
      <c r="C275" t="s">
        <v>21</v>
      </c>
      <c r="D275" t="s">
        <v>22</v>
      </c>
      <c r="E275">
        <v>24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 s="2">
        <v>46045</v>
      </c>
      <c r="B276" t="s">
        <v>10</v>
      </c>
      <c r="C276" t="s">
        <v>21</v>
      </c>
      <c r="D276" t="s">
        <v>23</v>
      </c>
      <c r="E276">
        <v>24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3">
      <c r="A277" s="2">
        <v>46045</v>
      </c>
      <c r="B277" t="s">
        <v>10</v>
      </c>
      <c r="C277" t="s">
        <v>21</v>
      </c>
      <c r="D277" t="s">
        <v>24</v>
      </c>
      <c r="E277">
        <v>0</v>
      </c>
      <c r="F277">
        <v>24</v>
      </c>
      <c r="G277">
        <v>0</v>
      </c>
      <c r="H277">
        <v>0</v>
      </c>
      <c r="I277">
        <v>0</v>
      </c>
      <c r="J277">
        <v>0</v>
      </c>
    </row>
    <row r="278" spans="1:10" x14ac:dyDescent="0.3">
      <c r="A278" s="2">
        <v>46046</v>
      </c>
      <c r="B278" t="s">
        <v>10</v>
      </c>
      <c r="C278" t="s">
        <v>11</v>
      </c>
      <c r="D278" t="s">
        <v>12</v>
      </c>
      <c r="E278">
        <v>21</v>
      </c>
      <c r="F278">
        <v>3</v>
      </c>
      <c r="G278">
        <v>0</v>
      </c>
      <c r="H278">
        <v>0</v>
      </c>
      <c r="I278">
        <v>0</v>
      </c>
      <c r="J278">
        <v>0</v>
      </c>
    </row>
    <row r="279" spans="1:10" x14ac:dyDescent="0.3">
      <c r="A279" s="2">
        <v>46046</v>
      </c>
      <c r="B279" t="s">
        <v>10</v>
      </c>
      <c r="C279" t="s">
        <v>11</v>
      </c>
      <c r="D279" t="s">
        <v>13</v>
      </c>
      <c r="E279">
        <v>19</v>
      </c>
      <c r="F279">
        <v>5</v>
      </c>
      <c r="G279">
        <v>0</v>
      </c>
      <c r="H279">
        <v>0</v>
      </c>
      <c r="I279">
        <v>0</v>
      </c>
      <c r="J279">
        <v>0</v>
      </c>
    </row>
    <row r="280" spans="1:10" x14ac:dyDescent="0.3">
      <c r="A280" s="2">
        <v>46046</v>
      </c>
      <c r="B280" t="s">
        <v>10</v>
      </c>
      <c r="C280" t="s">
        <v>11</v>
      </c>
      <c r="D280" t="s">
        <v>14</v>
      </c>
      <c r="E280">
        <v>19</v>
      </c>
      <c r="F280">
        <v>5</v>
      </c>
      <c r="G280">
        <v>0</v>
      </c>
      <c r="H280">
        <v>0</v>
      </c>
      <c r="I280">
        <v>0</v>
      </c>
      <c r="J280">
        <v>1</v>
      </c>
    </row>
    <row r="281" spans="1:10" x14ac:dyDescent="0.3">
      <c r="A281" s="2">
        <v>46046</v>
      </c>
      <c r="B281" t="s">
        <v>10</v>
      </c>
      <c r="C281" t="s">
        <v>11</v>
      </c>
      <c r="D281" t="s">
        <v>15</v>
      </c>
      <c r="E281">
        <v>24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3">
      <c r="A282" s="2">
        <v>46046</v>
      </c>
      <c r="B282" t="s">
        <v>10</v>
      </c>
      <c r="C282" t="s">
        <v>11</v>
      </c>
      <c r="D282" t="s">
        <v>16</v>
      </c>
      <c r="E282">
        <v>0</v>
      </c>
      <c r="F282">
        <v>24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s="2">
        <v>46046</v>
      </c>
      <c r="B283" t="s">
        <v>10</v>
      </c>
      <c r="C283" t="s">
        <v>11</v>
      </c>
      <c r="D283" t="s">
        <v>17</v>
      </c>
      <c r="E283">
        <v>0</v>
      </c>
      <c r="F283">
        <v>24</v>
      </c>
      <c r="G283">
        <v>0</v>
      </c>
      <c r="H283">
        <v>0</v>
      </c>
      <c r="I283">
        <v>0</v>
      </c>
      <c r="J283">
        <v>0</v>
      </c>
    </row>
    <row r="284" spans="1:10" x14ac:dyDescent="0.3">
      <c r="A284" s="2">
        <v>46046</v>
      </c>
      <c r="B284" t="s">
        <v>10</v>
      </c>
      <c r="C284" t="s">
        <v>11</v>
      </c>
      <c r="D284" t="s">
        <v>18</v>
      </c>
      <c r="E284">
        <v>23</v>
      </c>
      <c r="F284">
        <v>1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s="2">
        <v>46046</v>
      </c>
      <c r="B285" t="s">
        <v>10</v>
      </c>
      <c r="C285" t="s">
        <v>11</v>
      </c>
      <c r="D285" t="s">
        <v>19</v>
      </c>
      <c r="E285">
        <v>23</v>
      </c>
      <c r="F285">
        <v>1</v>
      </c>
      <c r="G285">
        <v>0</v>
      </c>
      <c r="H285">
        <v>0</v>
      </c>
      <c r="I285">
        <v>0</v>
      </c>
      <c r="J285">
        <v>0</v>
      </c>
    </row>
    <row r="286" spans="1:10" x14ac:dyDescent="0.3">
      <c r="A286" s="2">
        <v>46046</v>
      </c>
      <c r="B286" t="s">
        <v>10</v>
      </c>
      <c r="C286" t="s">
        <v>11</v>
      </c>
      <c r="D286" t="s">
        <v>20</v>
      </c>
      <c r="E286">
        <v>23</v>
      </c>
      <c r="F286">
        <v>1</v>
      </c>
      <c r="G286">
        <v>0</v>
      </c>
      <c r="H286">
        <v>0</v>
      </c>
      <c r="I286">
        <v>0</v>
      </c>
      <c r="J286">
        <v>0</v>
      </c>
    </row>
    <row r="287" spans="1:10" x14ac:dyDescent="0.3">
      <c r="A287" s="2">
        <v>46046</v>
      </c>
      <c r="B287" t="s">
        <v>10</v>
      </c>
      <c r="C287" t="s">
        <v>21</v>
      </c>
      <c r="D287" t="s">
        <v>22</v>
      </c>
      <c r="E287">
        <v>20</v>
      </c>
      <c r="F287">
        <v>4</v>
      </c>
      <c r="G287">
        <v>0</v>
      </c>
      <c r="H287">
        <v>0</v>
      </c>
      <c r="I287">
        <v>0</v>
      </c>
      <c r="J287">
        <v>0</v>
      </c>
    </row>
    <row r="288" spans="1:10" x14ac:dyDescent="0.3">
      <c r="A288" s="2">
        <v>46046</v>
      </c>
      <c r="B288" t="s">
        <v>10</v>
      </c>
      <c r="C288" t="s">
        <v>21</v>
      </c>
      <c r="D288" t="s">
        <v>23</v>
      </c>
      <c r="E288">
        <v>13</v>
      </c>
      <c r="F288">
        <v>4</v>
      </c>
      <c r="G288">
        <v>7</v>
      </c>
      <c r="H288">
        <v>0</v>
      </c>
      <c r="I288">
        <v>0</v>
      </c>
      <c r="J288">
        <v>0</v>
      </c>
    </row>
    <row r="289" spans="1:10" x14ac:dyDescent="0.3">
      <c r="A289" s="2">
        <v>46046</v>
      </c>
      <c r="B289" t="s">
        <v>10</v>
      </c>
      <c r="C289" t="s">
        <v>21</v>
      </c>
      <c r="D289" t="s">
        <v>24</v>
      </c>
      <c r="E289">
        <v>0</v>
      </c>
      <c r="F289">
        <v>24</v>
      </c>
      <c r="G289">
        <v>0</v>
      </c>
      <c r="H289">
        <v>0</v>
      </c>
      <c r="I289">
        <v>0</v>
      </c>
      <c r="J289">
        <v>0</v>
      </c>
    </row>
    <row r="290" spans="1:10" x14ac:dyDescent="0.3">
      <c r="A290" s="2">
        <v>46047</v>
      </c>
      <c r="B290" t="s">
        <v>10</v>
      </c>
      <c r="C290" t="s">
        <v>11</v>
      </c>
      <c r="D290" t="s">
        <v>12</v>
      </c>
      <c r="E290">
        <v>24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">
      <c r="A291" s="2">
        <v>46047</v>
      </c>
      <c r="B291" t="s">
        <v>10</v>
      </c>
      <c r="C291" t="s">
        <v>11</v>
      </c>
      <c r="D291" t="s">
        <v>13</v>
      </c>
      <c r="E291">
        <v>24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3">
      <c r="A292" s="2">
        <v>46047</v>
      </c>
      <c r="B292" t="s">
        <v>10</v>
      </c>
      <c r="C292" t="s">
        <v>11</v>
      </c>
      <c r="D292" t="s">
        <v>14</v>
      </c>
      <c r="E292">
        <v>23</v>
      </c>
      <c r="F292">
        <v>0</v>
      </c>
      <c r="G292">
        <v>0</v>
      </c>
      <c r="H292">
        <v>1</v>
      </c>
      <c r="I292">
        <v>0</v>
      </c>
      <c r="J292">
        <v>1</v>
      </c>
    </row>
    <row r="293" spans="1:10" x14ac:dyDescent="0.3">
      <c r="A293" s="2">
        <v>46047</v>
      </c>
      <c r="B293" t="s">
        <v>10</v>
      </c>
      <c r="C293" t="s">
        <v>11</v>
      </c>
      <c r="D293" t="s">
        <v>15</v>
      </c>
      <c r="E293">
        <v>23</v>
      </c>
      <c r="F293">
        <v>1</v>
      </c>
      <c r="G293">
        <v>0</v>
      </c>
      <c r="H293">
        <v>0</v>
      </c>
      <c r="I293">
        <v>0</v>
      </c>
      <c r="J293">
        <v>0</v>
      </c>
    </row>
    <row r="294" spans="1:10" x14ac:dyDescent="0.3">
      <c r="A294" s="2">
        <v>46047</v>
      </c>
      <c r="B294" t="s">
        <v>10</v>
      </c>
      <c r="C294" t="s">
        <v>11</v>
      </c>
      <c r="D294" t="s">
        <v>16</v>
      </c>
      <c r="E294">
        <v>0</v>
      </c>
      <c r="F294">
        <v>24</v>
      </c>
      <c r="G294">
        <v>0</v>
      </c>
      <c r="H294">
        <v>0</v>
      </c>
      <c r="I294">
        <v>0</v>
      </c>
      <c r="J294">
        <v>0</v>
      </c>
    </row>
    <row r="295" spans="1:10" x14ac:dyDescent="0.3">
      <c r="A295" s="2">
        <v>46047</v>
      </c>
      <c r="B295" t="s">
        <v>10</v>
      </c>
      <c r="C295" t="s">
        <v>11</v>
      </c>
      <c r="D295" t="s">
        <v>17</v>
      </c>
      <c r="E295">
        <v>0</v>
      </c>
      <c r="F295">
        <v>24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A296" s="2">
        <v>46047</v>
      </c>
      <c r="B296" t="s">
        <v>10</v>
      </c>
      <c r="C296" t="s">
        <v>11</v>
      </c>
      <c r="D296" t="s">
        <v>18</v>
      </c>
      <c r="E296">
        <v>23</v>
      </c>
      <c r="F296">
        <v>1</v>
      </c>
      <c r="G296">
        <v>0</v>
      </c>
      <c r="H296">
        <v>0</v>
      </c>
      <c r="I296">
        <v>0</v>
      </c>
      <c r="J296">
        <v>0</v>
      </c>
    </row>
    <row r="297" spans="1:10" x14ac:dyDescent="0.3">
      <c r="A297" s="2">
        <v>46047</v>
      </c>
      <c r="B297" t="s">
        <v>10</v>
      </c>
      <c r="C297" t="s">
        <v>11</v>
      </c>
      <c r="D297" t="s">
        <v>19</v>
      </c>
      <c r="E297">
        <v>24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">
      <c r="A298" s="2">
        <v>46047</v>
      </c>
      <c r="B298" t="s">
        <v>10</v>
      </c>
      <c r="C298" t="s">
        <v>11</v>
      </c>
      <c r="D298" t="s">
        <v>20</v>
      </c>
      <c r="E298">
        <v>24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">
      <c r="A299" s="2">
        <v>46047</v>
      </c>
      <c r="B299" t="s">
        <v>10</v>
      </c>
      <c r="C299" t="s">
        <v>21</v>
      </c>
      <c r="D299" t="s">
        <v>22</v>
      </c>
      <c r="E299">
        <v>24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">
      <c r="A300" s="2">
        <v>46047</v>
      </c>
      <c r="B300" t="s">
        <v>10</v>
      </c>
      <c r="C300" t="s">
        <v>21</v>
      </c>
      <c r="D300" t="s">
        <v>23</v>
      </c>
      <c r="E300">
        <v>24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">
      <c r="A301" s="2">
        <v>46047</v>
      </c>
      <c r="B301" t="s">
        <v>10</v>
      </c>
      <c r="C301" t="s">
        <v>21</v>
      </c>
      <c r="D301" t="s">
        <v>24</v>
      </c>
      <c r="E301">
        <v>0</v>
      </c>
      <c r="F301">
        <v>24</v>
      </c>
      <c r="G301">
        <v>0</v>
      </c>
      <c r="H301">
        <v>0</v>
      </c>
      <c r="I301">
        <v>0</v>
      </c>
      <c r="J301">
        <v>0</v>
      </c>
    </row>
    <row r="302" spans="1:10" x14ac:dyDescent="0.3">
      <c r="A302" s="2">
        <v>46048</v>
      </c>
      <c r="B302" t="s">
        <v>10</v>
      </c>
      <c r="C302" t="s">
        <v>11</v>
      </c>
      <c r="D302" t="s">
        <v>12</v>
      </c>
      <c r="E302">
        <v>24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3">
      <c r="A303" s="2">
        <v>46048</v>
      </c>
      <c r="B303" t="s">
        <v>10</v>
      </c>
      <c r="C303" t="s">
        <v>11</v>
      </c>
      <c r="D303" t="s">
        <v>13</v>
      </c>
      <c r="E303">
        <v>24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3">
      <c r="A304" s="2">
        <v>46048</v>
      </c>
      <c r="B304" t="s">
        <v>10</v>
      </c>
      <c r="C304" t="s">
        <v>11</v>
      </c>
      <c r="D304" t="s">
        <v>14</v>
      </c>
      <c r="E304">
        <v>24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3">
      <c r="A305" s="2">
        <v>46048</v>
      </c>
      <c r="B305" t="s">
        <v>10</v>
      </c>
      <c r="C305" t="s">
        <v>11</v>
      </c>
      <c r="D305" t="s">
        <v>15</v>
      </c>
      <c r="E305">
        <v>24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">
      <c r="A306" s="2">
        <v>46048</v>
      </c>
      <c r="B306" t="s">
        <v>10</v>
      </c>
      <c r="C306" t="s">
        <v>11</v>
      </c>
      <c r="D306" t="s">
        <v>16</v>
      </c>
      <c r="E306">
        <v>2</v>
      </c>
      <c r="F306">
        <v>22</v>
      </c>
      <c r="G306">
        <v>0</v>
      </c>
      <c r="H306">
        <v>0</v>
      </c>
      <c r="I306">
        <v>0</v>
      </c>
      <c r="J306">
        <v>0</v>
      </c>
    </row>
    <row r="307" spans="1:10" x14ac:dyDescent="0.3">
      <c r="A307" s="2">
        <v>46048</v>
      </c>
      <c r="B307" t="s">
        <v>10</v>
      </c>
      <c r="C307" t="s">
        <v>11</v>
      </c>
      <c r="D307" t="s">
        <v>17</v>
      </c>
      <c r="E307">
        <v>7</v>
      </c>
      <c r="F307">
        <v>17</v>
      </c>
      <c r="G307">
        <v>0</v>
      </c>
      <c r="H307">
        <v>0</v>
      </c>
      <c r="I307">
        <v>0</v>
      </c>
      <c r="J307">
        <v>0</v>
      </c>
    </row>
    <row r="308" spans="1:10" x14ac:dyDescent="0.3">
      <c r="A308" s="2">
        <v>46048</v>
      </c>
      <c r="B308" t="s">
        <v>10</v>
      </c>
      <c r="C308" t="s">
        <v>11</v>
      </c>
      <c r="D308" t="s">
        <v>18</v>
      </c>
      <c r="E308">
        <v>18</v>
      </c>
      <c r="F308">
        <v>6</v>
      </c>
      <c r="G308">
        <v>0</v>
      </c>
      <c r="H308">
        <v>0</v>
      </c>
      <c r="I308">
        <v>0</v>
      </c>
      <c r="J308">
        <v>0</v>
      </c>
    </row>
    <row r="309" spans="1:10" x14ac:dyDescent="0.3">
      <c r="A309" s="2">
        <v>46048</v>
      </c>
      <c r="B309" t="s">
        <v>10</v>
      </c>
      <c r="C309" t="s">
        <v>11</v>
      </c>
      <c r="D309" t="s">
        <v>19</v>
      </c>
      <c r="E309">
        <v>24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3">
      <c r="A310" s="2">
        <v>46048</v>
      </c>
      <c r="B310" t="s">
        <v>10</v>
      </c>
      <c r="C310" t="s">
        <v>11</v>
      </c>
      <c r="D310" t="s">
        <v>20</v>
      </c>
      <c r="E310">
        <v>23</v>
      </c>
      <c r="F310">
        <v>1</v>
      </c>
      <c r="G310">
        <v>0</v>
      </c>
      <c r="H310">
        <v>0</v>
      </c>
      <c r="I310">
        <v>0</v>
      </c>
      <c r="J310">
        <v>0</v>
      </c>
    </row>
    <row r="311" spans="1:10" x14ac:dyDescent="0.3">
      <c r="A311" s="2">
        <v>46048</v>
      </c>
      <c r="B311" t="s">
        <v>10</v>
      </c>
      <c r="C311" t="s">
        <v>21</v>
      </c>
      <c r="D311" t="s">
        <v>22</v>
      </c>
      <c r="E311">
        <v>24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">
      <c r="A312" s="2">
        <v>46048</v>
      </c>
      <c r="B312" t="s">
        <v>10</v>
      </c>
      <c r="C312" t="s">
        <v>21</v>
      </c>
      <c r="D312" t="s">
        <v>23</v>
      </c>
      <c r="E312">
        <v>24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">
      <c r="A313" s="2">
        <v>46048</v>
      </c>
      <c r="B313" t="s">
        <v>10</v>
      </c>
      <c r="C313" t="s">
        <v>21</v>
      </c>
      <c r="D313" t="s">
        <v>24</v>
      </c>
      <c r="E313">
        <v>0</v>
      </c>
      <c r="F313">
        <v>24</v>
      </c>
      <c r="G313">
        <v>0</v>
      </c>
      <c r="H313">
        <v>0</v>
      </c>
      <c r="I313">
        <v>0</v>
      </c>
      <c r="J313">
        <v>0</v>
      </c>
    </row>
    <row r="314" spans="1:10" x14ac:dyDescent="0.3">
      <c r="A314" s="2">
        <v>46049</v>
      </c>
      <c r="B314" t="s">
        <v>10</v>
      </c>
      <c r="C314" t="s">
        <v>11</v>
      </c>
      <c r="D314" t="s">
        <v>12</v>
      </c>
      <c r="E314">
        <v>24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">
      <c r="A315" s="2">
        <v>46049</v>
      </c>
      <c r="B315" t="s">
        <v>10</v>
      </c>
      <c r="C315" t="s">
        <v>11</v>
      </c>
      <c r="D315" t="s">
        <v>13</v>
      </c>
      <c r="E315">
        <v>22</v>
      </c>
      <c r="F315">
        <v>0</v>
      </c>
      <c r="G315">
        <v>2</v>
      </c>
      <c r="H315">
        <v>0</v>
      </c>
      <c r="I315">
        <v>0</v>
      </c>
      <c r="J315">
        <v>0</v>
      </c>
    </row>
    <row r="316" spans="1:10" x14ac:dyDescent="0.3">
      <c r="A316" s="2">
        <v>46049</v>
      </c>
      <c r="B316" t="s">
        <v>10</v>
      </c>
      <c r="C316" t="s">
        <v>11</v>
      </c>
      <c r="D316" t="s">
        <v>14</v>
      </c>
      <c r="E316">
        <v>23</v>
      </c>
      <c r="F316">
        <v>0</v>
      </c>
      <c r="G316">
        <v>1</v>
      </c>
      <c r="H316">
        <v>0</v>
      </c>
      <c r="I316">
        <v>0</v>
      </c>
      <c r="J316">
        <v>0</v>
      </c>
    </row>
    <row r="317" spans="1:10" x14ac:dyDescent="0.3">
      <c r="A317" s="2">
        <v>46049</v>
      </c>
      <c r="B317" t="s">
        <v>10</v>
      </c>
      <c r="C317" t="s">
        <v>11</v>
      </c>
      <c r="D317" t="s">
        <v>15</v>
      </c>
      <c r="E317">
        <v>24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">
      <c r="A318" s="2">
        <v>46049</v>
      </c>
      <c r="B318" t="s">
        <v>10</v>
      </c>
      <c r="C318" t="s">
        <v>11</v>
      </c>
      <c r="D318" t="s">
        <v>16</v>
      </c>
      <c r="E318">
        <v>24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">
      <c r="A319" s="2">
        <v>46049</v>
      </c>
      <c r="B319" t="s">
        <v>10</v>
      </c>
      <c r="C319" t="s">
        <v>11</v>
      </c>
      <c r="D319" t="s">
        <v>17</v>
      </c>
      <c r="E319">
        <v>24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3">
      <c r="A320" s="2">
        <v>46049</v>
      </c>
      <c r="B320" t="s">
        <v>10</v>
      </c>
      <c r="C320" t="s">
        <v>11</v>
      </c>
      <c r="D320" t="s">
        <v>18</v>
      </c>
      <c r="E320">
        <v>24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">
      <c r="A321" s="2">
        <v>46049</v>
      </c>
      <c r="B321" t="s">
        <v>10</v>
      </c>
      <c r="C321" t="s">
        <v>11</v>
      </c>
      <c r="D321" t="s">
        <v>19</v>
      </c>
      <c r="E321">
        <v>24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3">
      <c r="A322" s="2">
        <v>46049</v>
      </c>
      <c r="B322" t="s">
        <v>10</v>
      </c>
      <c r="C322" t="s">
        <v>11</v>
      </c>
      <c r="D322" t="s">
        <v>20</v>
      </c>
      <c r="E322">
        <v>24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">
      <c r="A323" s="2">
        <v>46049</v>
      </c>
      <c r="B323" t="s">
        <v>10</v>
      </c>
      <c r="C323" t="s">
        <v>21</v>
      </c>
      <c r="D323" t="s">
        <v>22</v>
      </c>
      <c r="E323">
        <v>23</v>
      </c>
      <c r="F323">
        <v>0</v>
      </c>
      <c r="G323">
        <v>1</v>
      </c>
      <c r="H323">
        <v>0</v>
      </c>
      <c r="I323">
        <v>0</v>
      </c>
      <c r="J323">
        <v>0</v>
      </c>
    </row>
    <row r="324" spans="1:10" x14ac:dyDescent="0.3">
      <c r="A324" s="2">
        <v>46049</v>
      </c>
      <c r="B324" t="s">
        <v>10</v>
      </c>
      <c r="C324" t="s">
        <v>21</v>
      </c>
      <c r="D324" t="s">
        <v>23</v>
      </c>
      <c r="E324">
        <v>23</v>
      </c>
      <c r="F324">
        <v>0</v>
      </c>
      <c r="G324">
        <v>1</v>
      </c>
      <c r="H324">
        <v>0</v>
      </c>
      <c r="I324">
        <v>0</v>
      </c>
      <c r="J324">
        <v>0</v>
      </c>
    </row>
    <row r="325" spans="1:10" x14ac:dyDescent="0.3">
      <c r="A325" s="2">
        <v>46049</v>
      </c>
      <c r="B325" t="s">
        <v>10</v>
      </c>
      <c r="C325" t="s">
        <v>21</v>
      </c>
      <c r="D325" t="s">
        <v>24</v>
      </c>
      <c r="E325">
        <v>0</v>
      </c>
      <c r="F325">
        <v>24</v>
      </c>
      <c r="G325">
        <v>0</v>
      </c>
      <c r="H325">
        <v>0</v>
      </c>
      <c r="I325">
        <v>0</v>
      </c>
      <c r="J325">
        <v>0</v>
      </c>
    </row>
    <row r="326" spans="1:10" x14ac:dyDescent="0.3">
      <c r="A326" s="2">
        <v>46050</v>
      </c>
      <c r="B326" t="s">
        <v>10</v>
      </c>
      <c r="C326" t="s">
        <v>11</v>
      </c>
      <c r="D326" t="s">
        <v>12</v>
      </c>
      <c r="E326">
        <v>24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">
      <c r="A327" s="2">
        <v>46050</v>
      </c>
      <c r="B327" t="s">
        <v>10</v>
      </c>
      <c r="C327" t="s">
        <v>11</v>
      </c>
      <c r="D327" t="s">
        <v>13</v>
      </c>
      <c r="E327">
        <v>24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3">
      <c r="A328" s="2">
        <v>46050</v>
      </c>
      <c r="B328" t="s">
        <v>10</v>
      </c>
      <c r="C328" t="s">
        <v>11</v>
      </c>
      <c r="D328" t="s">
        <v>14</v>
      </c>
      <c r="E328">
        <v>24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">
      <c r="A329" s="2">
        <v>46050</v>
      </c>
      <c r="B329" t="s">
        <v>10</v>
      </c>
      <c r="C329" t="s">
        <v>11</v>
      </c>
      <c r="D329" t="s">
        <v>15</v>
      </c>
      <c r="E329">
        <v>24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">
      <c r="A330" s="2">
        <v>46050</v>
      </c>
      <c r="B330" t="s">
        <v>10</v>
      </c>
      <c r="C330" t="s">
        <v>11</v>
      </c>
      <c r="D330" t="s">
        <v>16</v>
      </c>
      <c r="E330">
        <v>1</v>
      </c>
      <c r="F330">
        <v>23</v>
      </c>
      <c r="G330">
        <v>0</v>
      </c>
      <c r="H330">
        <v>0</v>
      </c>
      <c r="I330">
        <v>0</v>
      </c>
      <c r="J330">
        <v>0</v>
      </c>
    </row>
    <row r="331" spans="1:10" x14ac:dyDescent="0.3">
      <c r="A331" s="2">
        <v>46050</v>
      </c>
      <c r="B331" t="s">
        <v>10</v>
      </c>
      <c r="C331" t="s">
        <v>11</v>
      </c>
      <c r="D331" t="s">
        <v>17</v>
      </c>
      <c r="E331">
        <v>1</v>
      </c>
      <c r="F331">
        <v>23</v>
      </c>
      <c r="G331">
        <v>0</v>
      </c>
      <c r="H331">
        <v>0</v>
      </c>
      <c r="I331">
        <v>0</v>
      </c>
      <c r="J331">
        <v>0</v>
      </c>
    </row>
    <row r="332" spans="1:10" x14ac:dyDescent="0.3">
      <c r="A332" s="2">
        <v>46050</v>
      </c>
      <c r="B332" t="s">
        <v>10</v>
      </c>
      <c r="C332" t="s">
        <v>11</v>
      </c>
      <c r="D332" t="s">
        <v>18</v>
      </c>
      <c r="E332">
        <v>24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3">
      <c r="A333" s="2">
        <v>46050</v>
      </c>
      <c r="B333" t="s">
        <v>10</v>
      </c>
      <c r="C333" t="s">
        <v>11</v>
      </c>
      <c r="D333" t="s">
        <v>19</v>
      </c>
      <c r="E333">
        <v>24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">
      <c r="A334" s="2">
        <v>46050</v>
      </c>
      <c r="B334" t="s">
        <v>10</v>
      </c>
      <c r="C334" t="s">
        <v>11</v>
      </c>
      <c r="D334" t="s">
        <v>20</v>
      </c>
      <c r="E334">
        <v>24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3">
      <c r="A335" s="2">
        <v>46050</v>
      </c>
      <c r="B335" t="s">
        <v>10</v>
      </c>
      <c r="C335" t="s">
        <v>21</v>
      </c>
      <c r="D335" t="s">
        <v>22</v>
      </c>
      <c r="E335">
        <v>21</v>
      </c>
      <c r="F335">
        <v>3</v>
      </c>
      <c r="G335">
        <v>0</v>
      </c>
      <c r="H335">
        <v>0</v>
      </c>
      <c r="I335">
        <v>0</v>
      </c>
      <c r="J335">
        <v>0</v>
      </c>
    </row>
    <row r="336" spans="1:10" x14ac:dyDescent="0.3">
      <c r="A336" s="2">
        <v>46050</v>
      </c>
      <c r="B336" t="s">
        <v>10</v>
      </c>
      <c r="C336" t="s">
        <v>21</v>
      </c>
      <c r="D336" t="s">
        <v>23</v>
      </c>
      <c r="E336">
        <v>21</v>
      </c>
      <c r="F336">
        <v>3</v>
      </c>
      <c r="G336">
        <v>0</v>
      </c>
      <c r="H336">
        <v>0</v>
      </c>
      <c r="I336">
        <v>0</v>
      </c>
      <c r="J336">
        <v>0</v>
      </c>
    </row>
    <row r="337" spans="1:10" x14ac:dyDescent="0.3">
      <c r="A337" s="2">
        <v>46050</v>
      </c>
      <c r="B337" t="s">
        <v>10</v>
      </c>
      <c r="C337" t="s">
        <v>21</v>
      </c>
      <c r="D337" t="s">
        <v>24</v>
      </c>
      <c r="E337">
        <v>0</v>
      </c>
      <c r="F337">
        <v>24</v>
      </c>
      <c r="G337">
        <v>0</v>
      </c>
      <c r="H337">
        <v>0</v>
      </c>
      <c r="I337">
        <v>0</v>
      </c>
      <c r="J337">
        <v>0</v>
      </c>
    </row>
    <row r="338" spans="1:10" x14ac:dyDescent="0.3">
      <c r="A338" s="2">
        <v>46051</v>
      </c>
      <c r="B338" t="s">
        <v>10</v>
      </c>
      <c r="C338" t="s">
        <v>11</v>
      </c>
      <c r="D338" t="s">
        <v>12</v>
      </c>
      <c r="E338">
        <v>23</v>
      </c>
      <c r="F338">
        <v>0</v>
      </c>
      <c r="G338">
        <v>0</v>
      </c>
      <c r="H338">
        <v>0</v>
      </c>
      <c r="I338">
        <v>1</v>
      </c>
      <c r="J338">
        <v>0</v>
      </c>
    </row>
    <row r="339" spans="1:10" x14ac:dyDescent="0.3">
      <c r="A339" s="2">
        <v>46051</v>
      </c>
      <c r="B339" t="s">
        <v>10</v>
      </c>
      <c r="C339" t="s">
        <v>11</v>
      </c>
      <c r="D339" t="s">
        <v>13</v>
      </c>
      <c r="E339">
        <v>23</v>
      </c>
      <c r="F339">
        <v>0</v>
      </c>
      <c r="G339">
        <v>0</v>
      </c>
      <c r="H339">
        <v>0</v>
      </c>
      <c r="I339">
        <v>1</v>
      </c>
      <c r="J339">
        <v>0</v>
      </c>
    </row>
    <row r="340" spans="1:10" x14ac:dyDescent="0.3">
      <c r="A340" s="2">
        <v>46051</v>
      </c>
      <c r="B340" t="s">
        <v>10</v>
      </c>
      <c r="C340" t="s">
        <v>11</v>
      </c>
      <c r="D340" t="s">
        <v>14</v>
      </c>
      <c r="E340">
        <v>22</v>
      </c>
      <c r="F340">
        <v>0</v>
      </c>
      <c r="G340">
        <v>0</v>
      </c>
      <c r="H340">
        <v>0</v>
      </c>
      <c r="I340">
        <v>2</v>
      </c>
      <c r="J340">
        <v>0</v>
      </c>
    </row>
    <row r="341" spans="1:10" x14ac:dyDescent="0.3">
      <c r="A341" s="2">
        <v>46051</v>
      </c>
      <c r="B341" t="s">
        <v>10</v>
      </c>
      <c r="C341" t="s">
        <v>11</v>
      </c>
      <c r="D341" t="s">
        <v>15</v>
      </c>
      <c r="E341">
        <v>24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">
      <c r="A342" s="2">
        <v>46051</v>
      </c>
      <c r="B342" t="s">
        <v>10</v>
      </c>
      <c r="C342" t="s">
        <v>11</v>
      </c>
      <c r="D342" t="s">
        <v>16</v>
      </c>
      <c r="E342">
        <v>10</v>
      </c>
      <c r="F342">
        <v>14</v>
      </c>
      <c r="G342">
        <v>0</v>
      </c>
      <c r="H342">
        <v>0</v>
      </c>
      <c r="I342">
        <v>0</v>
      </c>
      <c r="J342">
        <v>0</v>
      </c>
    </row>
    <row r="343" spans="1:10" x14ac:dyDescent="0.3">
      <c r="A343" s="2">
        <v>46051</v>
      </c>
      <c r="B343" t="s">
        <v>10</v>
      </c>
      <c r="C343" t="s">
        <v>11</v>
      </c>
      <c r="D343" t="s">
        <v>17</v>
      </c>
      <c r="E343">
        <v>10</v>
      </c>
      <c r="F343">
        <v>14</v>
      </c>
      <c r="G343">
        <v>0</v>
      </c>
      <c r="H343">
        <v>0</v>
      </c>
      <c r="I343">
        <v>0</v>
      </c>
      <c r="J343">
        <v>0</v>
      </c>
    </row>
    <row r="344" spans="1:10" x14ac:dyDescent="0.3">
      <c r="A344" s="2">
        <v>46051</v>
      </c>
      <c r="B344" t="s">
        <v>10</v>
      </c>
      <c r="C344" t="s">
        <v>11</v>
      </c>
      <c r="D344" t="s">
        <v>18</v>
      </c>
      <c r="E344">
        <v>23</v>
      </c>
      <c r="F344">
        <v>1</v>
      </c>
      <c r="G344">
        <v>0</v>
      </c>
      <c r="H344">
        <v>0</v>
      </c>
      <c r="I344">
        <v>0</v>
      </c>
      <c r="J344">
        <v>0</v>
      </c>
    </row>
    <row r="345" spans="1:10" x14ac:dyDescent="0.3">
      <c r="A345" s="2">
        <v>46051</v>
      </c>
      <c r="B345" t="s">
        <v>10</v>
      </c>
      <c r="C345" t="s">
        <v>11</v>
      </c>
      <c r="D345" t="s">
        <v>19</v>
      </c>
      <c r="E345">
        <v>24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">
      <c r="A346" s="2">
        <v>46051</v>
      </c>
      <c r="B346" t="s">
        <v>10</v>
      </c>
      <c r="C346" t="s">
        <v>11</v>
      </c>
      <c r="D346" t="s">
        <v>20</v>
      </c>
      <c r="E346">
        <v>24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">
      <c r="A347" s="2">
        <v>46051</v>
      </c>
      <c r="B347" t="s">
        <v>10</v>
      </c>
      <c r="C347" t="s">
        <v>21</v>
      </c>
      <c r="D347" t="s">
        <v>22</v>
      </c>
      <c r="E347">
        <v>23</v>
      </c>
      <c r="F347">
        <v>1</v>
      </c>
      <c r="G347">
        <v>0</v>
      </c>
      <c r="H347">
        <v>0</v>
      </c>
      <c r="I347">
        <v>0</v>
      </c>
      <c r="J347">
        <v>0</v>
      </c>
    </row>
    <row r="348" spans="1:10" x14ac:dyDescent="0.3">
      <c r="A348" s="2">
        <v>46051</v>
      </c>
      <c r="B348" t="s">
        <v>10</v>
      </c>
      <c r="C348" t="s">
        <v>21</v>
      </c>
      <c r="D348" t="s">
        <v>23</v>
      </c>
      <c r="E348">
        <v>23</v>
      </c>
      <c r="F348">
        <v>1</v>
      </c>
      <c r="G348">
        <v>0</v>
      </c>
      <c r="H348">
        <v>0</v>
      </c>
      <c r="I348">
        <v>0</v>
      </c>
      <c r="J348">
        <v>0</v>
      </c>
    </row>
    <row r="349" spans="1:10" x14ac:dyDescent="0.3">
      <c r="A349" s="2">
        <v>46051</v>
      </c>
      <c r="B349" t="s">
        <v>10</v>
      </c>
      <c r="C349" t="s">
        <v>21</v>
      </c>
      <c r="D349" t="s">
        <v>24</v>
      </c>
      <c r="E349">
        <v>0</v>
      </c>
      <c r="F349">
        <v>24</v>
      </c>
      <c r="G349">
        <v>0</v>
      </c>
      <c r="H349">
        <v>0</v>
      </c>
      <c r="I349">
        <v>0</v>
      </c>
      <c r="J349">
        <v>0</v>
      </c>
    </row>
    <row r="350" spans="1:10" x14ac:dyDescent="0.3">
      <c r="A350" s="2">
        <v>46052</v>
      </c>
      <c r="B350" t="s">
        <v>10</v>
      </c>
      <c r="C350" t="s">
        <v>11</v>
      </c>
      <c r="D350" t="s">
        <v>12</v>
      </c>
      <c r="E350">
        <v>24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A351" s="2">
        <v>46052</v>
      </c>
      <c r="B351" t="s">
        <v>10</v>
      </c>
      <c r="C351" t="s">
        <v>11</v>
      </c>
      <c r="D351" t="s">
        <v>13</v>
      </c>
      <c r="E351">
        <v>23</v>
      </c>
      <c r="F351">
        <v>0</v>
      </c>
      <c r="G351">
        <v>0</v>
      </c>
      <c r="H351">
        <v>0</v>
      </c>
      <c r="I351">
        <v>1</v>
      </c>
      <c r="J351">
        <v>0</v>
      </c>
    </row>
    <row r="352" spans="1:10" x14ac:dyDescent="0.3">
      <c r="A352" s="2">
        <v>46052</v>
      </c>
      <c r="B352" t="s">
        <v>10</v>
      </c>
      <c r="C352" t="s">
        <v>11</v>
      </c>
      <c r="D352" t="s">
        <v>14</v>
      </c>
      <c r="E352">
        <v>24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">
      <c r="A353" s="2">
        <v>46052</v>
      </c>
      <c r="B353" t="s">
        <v>10</v>
      </c>
      <c r="C353" t="s">
        <v>11</v>
      </c>
      <c r="D353" t="s">
        <v>15</v>
      </c>
      <c r="E353">
        <v>24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">
      <c r="A354" s="2">
        <v>46052</v>
      </c>
      <c r="B354" t="s">
        <v>10</v>
      </c>
      <c r="C354" t="s">
        <v>11</v>
      </c>
      <c r="D354" t="s">
        <v>16</v>
      </c>
      <c r="E354">
        <v>6</v>
      </c>
      <c r="F354">
        <v>18</v>
      </c>
      <c r="G354">
        <v>0</v>
      </c>
      <c r="H354">
        <v>0</v>
      </c>
      <c r="I354">
        <v>0</v>
      </c>
      <c r="J354">
        <v>0</v>
      </c>
    </row>
    <row r="355" spans="1:10" x14ac:dyDescent="0.3">
      <c r="A355" s="2">
        <v>46052</v>
      </c>
      <c r="B355" t="s">
        <v>10</v>
      </c>
      <c r="C355" t="s">
        <v>11</v>
      </c>
      <c r="D355" t="s">
        <v>17</v>
      </c>
      <c r="E355">
        <v>8</v>
      </c>
      <c r="F355">
        <v>16</v>
      </c>
      <c r="G355">
        <v>0</v>
      </c>
      <c r="H355">
        <v>0</v>
      </c>
      <c r="I355">
        <v>0</v>
      </c>
      <c r="J355">
        <v>0</v>
      </c>
    </row>
    <row r="356" spans="1:10" x14ac:dyDescent="0.3">
      <c r="A356" s="2">
        <v>46052</v>
      </c>
      <c r="B356" t="s">
        <v>10</v>
      </c>
      <c r="C356" t="s">
        <v>11</v>
      </c>
      <c r="D356" t="s">
        <v>18</v>
      </c>
      <c r="E356">
        <v>24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 s="2">
        <v>46052</v>
      </c>
      <c r="B357" t="s">
        <v>10</v>
      </c>
      <c r="C357" t="s">
        <v>11</v>
      </c>
      <c r="D357" t="s">
        <v>19</v>
      </c>
      <c r="E357">
        <v>24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">
      <c r="A358" s="2">
        <v>46052</v>
      </c>
      <c r="B358" t="s">
        <v>10</v>
      </c>
      <c r="C358" t="s">
        <v>11</v>
      </c>
      <c r="D358" t="s">
        <v>20</v>
      </c>
      <c r="E358">
        <v>20</v>
      </c>
      <c r="F358">
        <v>0</v>
      </c>
      <c r="G358">
        <v>4</v>
      </c>
      <c r="H358">
        <v>0</v>
      </c>
      <c r="I358">
        <v>0</v>
      </c>
      <c r="J358">
        <v>0</v>
      </c>
    </row>
    <row r="359" spans="1:10" x14ac:dyDescent="0.3">
      <c r="A359" s="2">
        <v>46052</v>
      </c>
      <c r="B359" t="s">
        <v>10</v>
      </c>
      <c r="C359" t="s">
        <v>21</v>
      </c>
      <c r="D359" t="s">
        <v>22</v>
      </c>
      <c r="E359">
        <v>24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 s="2">
        <v>46052</v>
      </c>
      <c r="B360" t="s">
        <v>10</v>
      </c>
      <c r="C360" t="s">
        <v>21</v>
      </c>
      <c r="D360" t="s">
        <v>23</v>
      </c>
      <c r="E360">
        <v>24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 s="2">
        <v>46052</v>
      </c>
      <c r="B361" t="s">
        <v>10</v>
      </c>
      <c r="C361" t="s">
        <v>21</v>
      </c>
      <c r="D361" t="s">
        <v>24</v>
      </c>
      <c r="E361">
        <v>0</v>
      </c>
      <c r="F361">
        <v>24</v>
      </c>
      <c r="G361">
        <v>0</v>
      </c>
      <c r="H361">
        <v>0</v>
      </c>
      <c r="I361">
        <v>0</v>
      </c>
      <c r="J361">
        <v>0</v>
      </c>
    </row>
    <row r="362" spans="1:10" x14ac:dyDescent="0.3">
      <c r="A362" s="2">
        <v>46053</v>
      </c>
      <c r="B362" t="s">
        <v>10</v>
      </c>
      <c r="C362" t="s">
        <v>11</v>
      </c>
      <c r="D362" t="s">
        <v>12</v>
      </c>
      <c r="E362">
        <v>24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 s="2">
        <v>46053</v>
      </c>
      <c r="B363" t="s">
        <v>10</v>
      </c>
      <c r="C363" t="s">
        <v>11</v>
      </c>
      <c r="D363" t="s">
        <v>13</v>
      </c>
      <c r="E363">
        <v>24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">
      <c r="A364" s="2">
        <v>46053</v>
      </c>
      <c r="B364" t="s">
        <v>10</v>
      </c>
      <c r="C364" t="s">
        <v>11</v>
      </c>
      <c r="D364" t="s">
        <v>14</v>
      </c>
      <c r="E364">
        <v>24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 s="2">
        <v>46053</v>
      </c>
      <c r="B365" t="s">
        <v>10</v>
      </c>
      <c r="C365" t="s">
        <v>11</v>
      </c>
      <c r="D365" t="s">
        <v>15</v>
      </c>
      <c r="E365">
        <v>18</v>
      </c>
      <c r="F365">
        <v>6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 s="2">
        <v>46053</v>
      </c>
      <c r="B366" t="s">
        <v>10</v>
      </c>
      <c r="C366" t="s">
        <v>11</v>
      </c>
      <c r="D366" t="s">
        <v>16</v>
      </c>
      <c r="E366">
        <v>0</v>
      </c>
      <c r="F366">
        <v>24</v>
      </c>
      <c r="G366">
        <v>0</v>
      </c>
      <c r="H366">
        <v>0</v>
      </c>
      <c r="I366">
        <v>0</v>
      </c>
      <c r="J366">
        <v>0</v>
      </c>
    </row>
    <row r="367" spans="1:10" x14ac:dyDescent="0.3">
      <c r="A367" s="2">
        <v>46053</v>
      </c>
      <c r="B367" t="s">
        <v>10</v>
      </c>
      <c r="C367" t="s">
        <v>11</v>
      </c>
      <c r="D367" t="s">
        <v>17</v>
      </c>
      <c r="E367">
        <v>2</v>
      </c>
      <c r="F367">
        <v>22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 s="2">
        <v>46053</v>
      </c>
      <c r="B368" t="s">
        <v>10</v>
      </c>
      <c r="C368" t="s">
        <v>11</v>
      </c>
      <c r="D368" t="s">
        <v>18</v>
      </c>
      <c r="E368">
        <v>1</v>
      </c>
      <c r="F368">
        <v>23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s="2">
        <v>46053</v>
      </c>
      <c r="B369" t="s">
        <v>10</v>
      </c>
      <c r="C369" t="s">
        <v>11</v>
      </c>
      <c r="D369" t="s">
        <v>19</v>
      </c>
      <c r="E369">
        <v>24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">
      <c r="A370" s="2">
        <v>46053</v>
      </c>
      <c r="B370" t="s">
        <v>10</v>
      </c>
      <c r="C370" t="s">
        <v>11</v>
      </c>
      <c r="D370" t="s">
        <v>20</v>
      </c>
      <c r="E370">
        <v>21</v>
      </c>
      <c r="F370">
        <v>3</v>
      </c>
      <c r="G370">
        <v>0</v>
      </c>
      <c r="H370">
        <v>0</v>
      </c>
      <c r="I370">
        <v>0</v>
      </c>
      <c r="J370">
        <v>0</v>
      </c>
    </row>
    <row r="371" spans="1:10" x14ac:dyDescent="0.3">
      <c r="A371" s="2">
        <v>46053</v>
      </c>
      <c r="B371" t="s">
        <v>10</v>
      </c>
      <c r="C371" t="s">
        <v>21</v>
      </c>
      <c r="D371" t="s">
        <v>22</v>
      </c>
      <c r="E371">
        <v>24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s="2">
        <v>46053</v>
      </c>
      <c r="B372" t="s">
        <v>10</v>
      </c>
      <c r="C372" t="s">
        <v>21</v>
      </c>
      <c r="D372" t="s">
        <v>23</v>
      </c>
      <c r="E372">
        <v>24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s="2">
        <v>46053</v>
      </c>
      <c r="B373" t="s">
        <v>10</v>
      </c>
      <c r="C373" t="s">
        <v>21</v>
      </c>
      <c r="D373" t="s">
        <v>24</v>
      </c>
      <c r="E373">
        <v>0</v>
      </c>
      <c r="F373">
        <v>24</v>
      </c>
      <c r="G373">
        <v>0</v>
      </c>
      <c r="H373">
        <v>0</v>
      </c>
      <c r="I373">
        <v>0</v>
      </c>
      <c r="J3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Villamizar</dc:creator>
  <cp:lastModifiedBy>David Cornejo Cárdenas</cp:lastModifiedBy>
  <dcterms:created xsi:type="dcterms:W3CDTF">2026-02-10T12:21:22Z</dcterms:created>
  <dcterms:modified xsi:type="dcterms:W3CDTF">2026-07-12T20:20:01Z</dcterms:modified>
</cp:coreProperties>
</file>